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iscila\Documents\BOOTCAMPESPOL\TAREAS\21-08-2025\"/>
    </mc:Choice>
  </mc:AlternateContent>
  <xr:revisionPtr revIDLastSave="0" documentId="13_ncr:1_{893C8F40-824A-4E88-A9E1-54F57DCB1B7C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3" r:id="rId1"/>
    <sheet name="Tienda" sheetId="1" r:id="rId2"/>
    <sheet name="Resumen Género" sheetId="2" r:id="rId3"/>
  </sheets>
  <definedNames>
    <definedName name="_xlnm._FilterDatabase" localSheetId="1" hidden="1">Tienda!$A$1:$Q$5001</definedName>
  </definedNames>
  <calcPr calcId="191029"/>
  <pivotCaches>
    <pivotCache cacheId="6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858" i="1"/>
  <c r="D3" i="1"/>
  <c r="D4" i="1"/>
  <c r="D1859" i="1"/>
  <c r="D5" i="1"/>
  <c r="D1860" i="1"/>
  <c r="D1861" i="1"/>
  <c r="D1862" i="1"/>
  <c r="D1863" i="1"/>
  <c r="D6" i="1"/>
  <c r="D1864" i="1"/>
  <c r="D1865" i="1"/>
  <c r="D1866" i="1"/>
  <c r="D7" i="1"/>
  <c r="D8" i="1"/>
  <c r="D9" i="1"/>
  <c r="D10" i="1"/>
  <c r="D11" i="1"/>
  <c r="D1867" i="1"/>
  <c r="D12" i="1"/>
  <c r="D1868" i="1"/>
  <c r="D13" i="1"/>
  <c r="D14" i="1"/>
  <c r="D1869" i="1"/>
  <c r="D1870" i="1"/>
  <c r="D1871" i="1"/>
  <c r="D1872" i="1"/>
  <c r="D15" i="1"/>
  <c r="D1873" i="1"/>
  <c r="D16" i="1"/>
  <c r="D1874" i="1"/>
  <c r="D1875" i="1"/>
  <c r="D1876" i="1"/>
  <c r="D1877" i="1"/>
  <c r="D1878" i="1"/>
  <c r="D17" i="1"/>
  <c r="D1879" i="1"/>
  <c r="D18" i="1"/>
  <c r="D1880" i="1"/>
  <c r="D1881" i="1"/>
  <c r="D1882" i="1"/>
  <c r="D1883" i="1"/>
  <c r="D1884" i="1"/>
  <c r="D19" i="1"/>
  <c r="D1885" i="1"/>
  <c r="D20" i="1"/>
  <c r="D1886" i="1"/>
  <c r="D1887" i="1"/>
  <c r="D1888" i="1"/>
  <c r="D21" i="1"/>
  <c r="D22" i="1"/>
  <c r="D1889" i="1"/>
  <c r="D23" i="1"/>
  <c r="D1890" i="1"/>
  <c r="D1891" i="1"/>
  <c r="D1892" i="1"/>
  <c r="D1893" i="1"/>
  <c r="D1894" i="1"/>
  <c r="D24" i="1"/>
  <c r="D1895" i="1"/>
  <c r="D1896" i="1"/>
  <c r="D25" i="1"/>
  <c r="D26" i="1"/>
  <c r="D27" i="1"/>
  <c r="D28" i="1"/>
  <c r="D1897" i="1"/>
  <c r="D1898" i="1"/>
  <c r="D29" i="1"/>
  <c r="D1899" i="1"/>
  <c r="D30" i="1"/>
  <c r="D31" i="1"/>
  <c r="D1900" i="1"/>
  <c r="D1901" i="1"/>
  <c r="D32" i="1"/>
  <c r="D1902" i="1"/>
  <c r="D33" i="1"/>
  <c r="D1903" i="1"/>
  <c r="D1904" i="1"/>
  <c r="D1905" i="1"/>
  <c r="D1906" i="1"/>
  <c r="D1907" i="1"/>
  <c r="D34" i="1"/>
  <c r="D35" i="1"/>
  <c r="D36" i="1"/>
  <c r="D37" i="1"/>
  <c r="D1908" i="1"/>
  <c r="D1909" i="1"/>
  <c r="D1910" i="1"/>
  <c r="D1911" i="1"/>
  <c r="D1912" i="1"/>
  <c r="D38" i="1"/>
  <c r="D39" i="1"/>
  <c r="D1913" i="1"/>
  <c r="D40" i="1"/>
  <c r="D41" i="1"/>
  <c r="D42" i="1"/>
  <c r="D1914" i="1"/>
  <c r="D1915" i="1"/>
  <c r="D1916" i="1"/>
  <c r="D1917" i="1"/>
  <c r="D1918" i="1"/>
  <c r="D1919" i="1"/>
  <c r="D43" i="1"/>
  <c r="D1920" i="1"/>
  <c r="D1921" i="1"/>
  <c r="D44" i="1"/>
  <c r="D45" i="1"/>
  <c r="D1922" i="1"/>
  <c r="D1923" i="1"/>
  <c r="D1924" i="1"/>
  <c r="D46" i="1"/>
  <c r="D1925" i="1"/>
  <c r="D1926" i="1"/>
  <c r="D1927" i="1"/>
  <c r="D47" i="1"/>
  <c r="D1928" i="1"/>
  <c r="D1929" i="1"/>
  <c r="D1930" i="1"/>
  <c r="D1931" i="1"/>
  <c r="D48" i="1"/>
  <c r="D1932" i="1"/>
  <c r="D49" i="1"/>
  <c r="D1933" i="1"/>
  <c r="D1934" i="1"/>
  <c r="D1935" i="1"/>
  <c r="D50" i="1"/>
  <c r="D51" i="1"/>
  <c r="D52" i="1"/>
  <c r="D1936" i="1"/>
  <c r="D53" i="1"/>
  <c r="D1937" i="1"/>
  <c r="D54" i="1"/>
  <c r="D1938" i="1"/>
  <c r="D1939" i="1"/>
  <c r="D1940" i="1"/>
  <c r="D1941" i="1"/>
  <c r="D55" i="1"/>
  <c r="D56" i="1"/>
  <c r="D1942" i="1"/>
  <c r="D57" i="1"/>
  <c r="D58" i="1"/>
  <c r="D59" i="1"/>
  <c r="D1943" i="1"/>
  <c r="D60" i="1"/>
  <c r="D1944" i="1"/>
  <c r="D1945" i="1"/>
  <c r="D1946" i="1"/>
  <c r="D1947" i="1"/>
  <c r="D1948" i="1"/>
  <c r="D1949" i="1"/>
  <c r="D1950" i="1"/>
  <c r="D1951" i="1"/>
  <c r="D61" i="1"/>
  <c r="D1952" i="1"/>
  <c r="D1953" i="1"/>
  <c r="D1954" i="1"/>
  <c r="D62" i="1"/>
  <c r="D63" i="1"/>
  <c r="D1955" i="1"/>
  <c r="D1956" i="1"/>
  <c r="D1957" i="1"/>
  <c r="D1958" i="1"/>
  <c r="D1959" i="1"/>
  <c r="D1960" i="1"/>
  <c r="D64" i="1"/>
  <c r="D1961" i="1"/>
  <c r="D65" i="1"/>
  <c r="D1962" i="1"/>
  <c r="D1963" i="1"/>
  <c r="D1964" i="1"/>
  <c r="D66" i="1"/>
  <c r="D1965" i="1"/>
  <c r="D1966" i="1"/>
  <c r="D67" i="1"/>
  <c r="D68" i="1"/>
  <c r="D1967" i="1"/>
  <c r="D69" i="1"/>
  <c r="D70" i="1"/>
  <c r="D1968" i="1"/>
  <c r="D71" i="1"/>
  <c r="D72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73" i="1"/>
  <c r="D74" i="1"/>
  <c r="D75" i="1"/>
  <c r="D1984" i="1"/>
  <c r="D1985" i="1"/>
  <c r="D1986" i="1"/>
  <c r="D1987" i="1"/>
  <c r="D76" i="1"/>
  <c r="D77" i="1"/>
  <c r="D1988" i="1"/>
  <c r="D1989" i="1"/>
  <c r="D1990" i="1"/>
  <c r="D1991" i="1"/>
  <c r="D1992" i="1"/>
  <c r="D1993" i="1"/>
  <c r="D78" i="1"/>
  <c r="D1994" i="1"/>
  <c r="D79" i="1"/>
  <c r="D80" i="1"/>
  <c r="D81" i="1"/>
  <c r="D1995" i="1"/>
  <c r="D1996" i="1"/>
  <c r="D82" i="1"/>
  <c r="D1997" i="1"/>
  <c r="D83" i="1"/>
  <c r="D1998" i="1"/>
  <c r="D84" i="1"/>
  <c r="D85" i="1"/>
  <c r="D1999" i="1"/>
  <c r="D2000" i="1"/>
  <c r="D2001" i="1"/>
  <c r="D2002" i="1"/>
  <c r="D2003" i="1"/>
  <c r="D2004" i="1"/>
  <c r="D86" i="1"/>
  <c r="D87" i="1"/>
  <c r="D2005" i="1"/>
  <c r="D2006" i="1"/>
  <c r="D88" i="1"/>
  <c r="D2007" i="1"/>
  <c r="D89" i="1"/>
  <c r="D90" i="1"/>
  <c r="D2008" i="1"/>
  <c r="D2009" i="1"/>
  <c r="D2010" i="1"/>
  <c r="D91" i="1"/>
  <c r="D2011" i="1"/>
  <c r="D92" i="1"/>
  <c r="D93" i="1"/>
  <c r="D94" i="1"/>
  <c r="D2012" i="1"/>
  <c r="D2013" i="1"/>
  <c r="D2014" i="1"/>
  <c r="D95" i="1"/>
  <c r="D96" i="1"/>
  <c r="D97" i="1"/>
  <c r="D2015" i="1"/>
  <c r="D2016" i="1"/>
  <c r="D2017" i="1"/>
  <c r="D2018" i="1"/>
  <c r="D2019" i="1"/>
  <c r="D98" i="1"/>
  <c r="D2020" i="1"/>
  <c r="D2021" i="1"/>
  <c r="D99" i="1"/>
  <c r="D2022" i="1"/>
  <c r="D100" i="1"/>
  <c r="D101" i="1"/>
  <c r="D2023" i="1"/>
  <c r="D2024" i="1"/>
  <c r="D2025" i="1"/>
  <c r="D102" i="1"/>
  <c r="D2026" i="1"/>
  <c r="D2027" i="1"/>
  <c r="D2028" i="1"/>
  <c r="D2029" i="1"/>
  <c r="D2030" i="1"/>
  <c r="D103" i="1"/>
  <c r="D2031" i="1"/>
  <c r="D2032" i="1"/>
  <c r="D2033" i="1"/>
  <c r="D104" i="1"/>
  <c r="D105" i="1"/>
  <c r="D106" i="1"/>
  <c r="D2034" i="1"/>
  <c r="D2035" i="1"/>
  <c r="D107" i="1"/>
  <c r="D2036" i="1"/>
  <c r="D2037" i="1"/>
  <c r="D2038" i="1"/>
  <c r="D2039" i="1"/>
  <c r="D2040" i="1"/>
  <c r="D2041" i="1"/>
  <c r="D2042" i="1"/>
  <c r="D108" i="1"/>
  <c r="D2043" i="1"/>
  <c r="D2044" i="1"/>
  <c r="D2045" i="1"/>
  <c r="D109" i="1"/>
  <c r="D110" i="1"/>
  <c r="D2046" i="1"/>
  <c r="D2047" i="1"/>
  <c r="D2048" i="1"/>
  <c r="D2049" i="1"/>
  <c r="D111" i="1"/>
  <c r="D2050" i="1"/>
  <c r="D2051" i="1"/>
  <c r="D112" i="1"/>
  <c r="D2052" i="1"/>
  <c r="D2053" i="1"/>
  <c r="D2054" i="1"/>
  <c r="D113" i="1"/>
  <c r="D114" i="1"/>
  <c r="D115" i="1"/>
  <c r="D116" i="1"/>
  <c r="D117" i="1"/>
  <c r="D118" i="1"/>
  <c r="D2055" i="1"/>
  <c r="D2056" i="1"/>
  <c r="D2057" i="1"/>
  <c r="D119" i="1"/>
  <c r="D120" i="1"/>
  <c r="D121" i="1"/>
  <c r="D2058" i="1"/>
  <c r="D122" i="1"/>
  <c r="D2059" i="1"/>
  <c r="D2060" i="1"/>
  <c r="D2061" i="1"/>
  <c r="D123" i="1"/>
  <c r="D2062" i="1"/>
  <c r="D124" i="1"/>
  <c r="D125" i="1"/>
  <c r="D126" i="1"/>
  <c r="D2063" i="1"/>
  <c r="D2064" i="1"/>
  <c r="D127" i="1"/>
  <c r="D2065" i="1"/>
  <c r="D2066" i="1"/>
  <c r="D128" i="1"/>
  <c r="D129" i="1"/>
  <c r="D130" i="1"/>
  <c r="D131" i="1"/>
  <c r="D132" i="1"/>
  <c r="D2067" i="1"/>
  <c r="D133" i="1"/>
  <c r="D2068" i="1"/>
  <c r="D2069" i="1"/>
  <c r="D2070" i="1"/>
  <c r="D2071" i="1"/>
  <c r="D134" i="1"/>
  <c r="D135" i="1"/>
  <c r="D2072" i="1"/>
  <c r="D136" i="1"/>
  <c r="D137" i="1"/>
  <c r="D2073" i="1"/>
  <c r="D138" i="1"/>
  <c r="D2074" i="1"/>
  <c r="D139" i="1"/>
  <c r="D2075" i="1"/>
  <c r="D140" i="1"/>
  <c r="D2076" i="1"/>
  <c r="D2077" i="1"/>
  <c r="D2078" i="1"/>
  <c r="D2079" i="1"/>
  <c r="D2080" i="1"/>
  <c r="D2081" i="1"/>
  <c r="D2082" i="1"/>
  <c r="D2083" i="1"/>
  <c r="D141" i="1"/>
  <c r="D142" i="1"/>
  <c r="D2084" i="1"/>
  <c r="D143" i="1"/>
  <c r="D2085" i="1"/>
  <c r="D144" i="1"/>
  <c r="D2086" i="1"/>
  <c r="D2087" i="1"/>
  <c r="D145" i="1"/>
  <c r="D2088" i="1"/>
  <c r="D2089" i="1"/>
  <c r="D2090" i="1"/>
  <c r="D2091" i="1"/>
  <c r="D146" i="1"/>
  <c r="D2092" i="1"/>
  <c r="D147" i="1"/>
  <c r="D2093" i="1"/>
  <c r="D2094" i="1"/>
  <c r="D148" i="1"/>
  <c r="D2095" i="1"/>
  <c r="D2096" i="1"/>
  <c r="D149" i="1"/>
  <c r="D150" i="1"/>
  <c r="D2097" i="1"/>
  <c r="D151" i="1"/>
  <c r="D2098" i="1"/>
  <c r="D152" i="1"/>
  <c r="D2099" i="1"/>
  <c r="D2100" i="1"/>
  <c r="D2101" i="1"/>
  <c r="D2102" i="1"/>
  <c r="D2103" i="1"/>
  <c r="D2104" i="1"/>
  <c r="D153" i="1"/>
  <c r="D2105" i="1"/>
  <c r="D154" i="1"/>
  <c r="D2106" i="1"/>
  <c r="D2107" i="1"/>
  <c r="D155" i="1"/>
  <c r="D2108" i="1"/>
  <c r="D156" i="1"/>
  <c r="D157" i="1"/>
  <c r="D2109" i="1"/>
  <c r="D2110" i="1"/>
  <c r="D158" i="1"/>
  <c r="D2111" i="1"/>
  <c r="D2112" i="1"/>
  <c r="D159" i="1"/>
  <c r="D2113" i="1"/>
  <c r="D2114" i="1"/>
  <c r="D2115" i="1"/>
  <c r="D160" i="1"/>
  <c r="D2116" i="1"/>
  <c r="D161" i="1"/>
  <c r="D2117" i="1"/>
  <c r="D2118" i="1"/>
  <c r="D2119" i="1"/>
  <c r="D2120" i="1"/>
  <c r="D2121" i="1"/>
  <c r="D2122" i="1"/>
  <c r="D2123" i="1"/>
  <c r="D2124" i="1"/>
  <c r="D2125" i="1"/>
  <c r="D162" i="1"/>
  <c r="D2126" i="1"/>
  <c r="D2127" i="1"/>
  <c r="D2128" i="1"/>
  <c r="D2129" i="1"/>
  <c r="D2130" i="1"/>
  <c r="D2131" i="1"/>
  <c r="D163" i="1"/>
  <c r="D164" i="1"/>
  <c r="D165" i="1"/>
  <c r="D166" i="1"/>
  <c r="D167" i="1"/>
  <c r="D2132" i="1"/>
  <c r="D2133" i="1"/>
  <c r="D2134" i="1"/>
  <c r="D2135" i="1"/>
  <c r="D2136" i="1"/>
  <c r="D168" i="1"/>
  <c r="D2137" i="1"/>
  <c r="D2138" i="1"/>
  <c r="D2139" i="1"/>
  <c r="D2140" i="1"/>
  <c r="D2141" i="1"/>
  <c r="D2142" i="1"/>
  <c r="D2143" i="1"/>
  <c r="D2144" i="1"/>
  <c r="D169" i="1"/>
  <c r="D2145" i="1"/>
  <c r="D170" i="1"/>
  <c r="D171" i="1"/>
  <c r="D172" i="1"/>
  <c r="D173" i="1"/>
  <c r="D2146" i="1"/>
  <c r="D2147" i="1"/>
  <c r="D174" i="1"/>
  <c r="D2148" i="1"/>
  <c r="D175" i="1"/>
  <c r="D176" i="1"/>
  <c r="D2149" i="1"/>
  <c r="D177" i="1"/>
  <c r="D2150" i="1"/>
  <c r="D2151" i="1"/>
  <c r="D178" i="1"/>
  <c r="D179" i="1"/>
  <c r="D2152" i="1"/>
  <c r="D180" i="1"/>
  <c r="D2153" i="1"/>
  <c r="D181" i="1"/>
  <c r="D2154" i="1"/>
  <c r="D182" i="1"/>
  <c r="D2155" i="1"/>
  <c r="D183" i="1"/>
  <c r="D184" i="1"/>
  <c r="D2156" i="1"/>
  <c r="D185" i="1"/>
  <c r="D2157" i="1"/>
  <c r="D2158" i="1"/>
  <c r="D2159" i="1"/>
  <c r="D2160" i="1"/>
  <c r="D186" i="1"/>
  <c r="D2161" i="1"/>
  <c r="D2162" i="1"/>
  <c r="D2163" i="1"/>
  <c r="D2164" i="1"/>
  <c r="D187" i="1"/>
  <c r="D2165" i="1"/>
  <c r="D188" i="1"/>
  <c r="D2166" i="1"/>
  <c r="D2167" i="1"/>
  <c r="D2168" i="1"/>
  <c r="D189" i="1"/>
  <c r="D2169" i="1"/>
  <c r="D190" i="1"/>
  <c r="D2170" i="1"/>
  <c r="D2171" i="1"/>
  <c r="D191" i="1"/>
  <c r="D192" i="1"/>
  <c r="D2172" i="1"/>
  <c r="D193" i="1"/>
  <c r="D194" i="1"/>
  <c r="D2173" i="1"/>
  <c r="D2174" i="1"/>
  <c r="D2175" i="1"/>
  <c r="D195" i="1"/>
  <c r="D196" i="1"/>
  <c r="D2176" i="1"/>
  <c r="D197" i="1"/>
  <c r="D2177" i="1"/>
  <c r="D2178" i="1"/>
  <c r="D2179" i="1"/>
  <c r="D198" i="1"/>
  <c r="D2180" i="1"/>
  <c r="D2181" i="1"/>
  <c r="D2182" i="1"/>
  <c r="D199" i="1"/>
  <c r="D2183" i="1"/>
  <c r="D2184" i="1"/>
  <c r="D2185" i="1"/>
  <c r="D2186" i="1"/>
  <c r="D2187" i="1"/>
  <c r="D200" i="1"/>
  <c r="D2188" i="1"/>
  <c r="D201" i="1"/>
  <c r="D202" i="1"/>
  <c r="D203" i="1"/>
  <c r="D204" i="1"/>
  <c r="D205" i="1"/>
  <c r="D206" i="1"/>
  <c r="D207" i="1"/>
  <c r="D2189" i="1"/>
  <c r="D208" i="1"/>
  <c r="D2190" i="1"/>
  <c r="D2191" i="1"/>
  <c r="D209" i="1"/>
  <c r="D210" i="1"/>
  <c r="D211" i="1"/>
  <c r="D2192" i="1"/>
  <c r="D2193" i="1"/>
  <c r="D212" i="1"/>
  <c r="D213" i="1"/>
  <c r="D214" i="1"/>
  <c r="D2194" i="1"/>
  <c r="D215" i="1"/>
  <c r="D2195" i="1"/>
  <c r="D216" i="1"/>
  <c r="D2196" i="1"/>
  <c r="D2197" i="1"/>
  <c r="D217" i="1"/>
  <c r="D2198" i="1"/>
  <c r="D2199" i="1"/>
  <c r="D2200" i="1"/>
  <c r="D2201" i="1"/>
  <c r="D2202" i="1"/>
  <c r="D218" i="1"/>
  <c r="D2203" i="1"/>
  <c r="D2204" i="1"/>
  <c r="D2205" i="1"/>
  <c r="D219" i="1"/>
  <c r="D2206" i="1"/>
  <c r="D2207" i="1"/>
  <c r="D2208" i="1"/>
  <c r="D2209" i="1"/>
  <c r="D2210" i="1"/>
  <c r="D2211" i="1"/>
  <c r="D2212" i="1"/>
  <c r="D2213" i="1"/>
  <c r="D220" i="1"/>
  <c r="D2214" i="1"/>
  <c r="D221" i="1"/>
  <c r="D222" i="1"/>
  <c r="D223" i="1"/>
  <c r="D2215" i="1"/>
  <c r="D2216" i="1"/>
  <c r="D224" i="1"/>
  <c r="D2217" i="1"/>
  <c r="D2218" i="1"/>
  <c r="D225" i="1"/>
  <c r="D2219" i="1"/>
  <c r="D2220" i="1"/>
  <c r="D2221" i="1"/>
  <c r="D226" i="1"/>
  <c r="D227" i="1"/>
  <c r="D228" i="1"/>
  <c r="D2222" i="1"/>
  <c r="D2223" i="1"/>
  <c r="D229" i="1"/>
  <c r="D2224" i="1"/>
  <c r="D2225" i="1"/>
  <c r="D2226" i="1"/>
  <c r="D2227" i="1"/>
  <c r="D2228" i="1"/>
  <c r="D2229" i="1"/>
  <c r="D230" i="1"/>
  <c r="D2230" i="1"/>
  <c r="D2231" i="1"/>
  <c r="D2232" i="1"/>
  <c r="D231" i="1"/>
  <c r="D2233" i="1"/>
  <c r="D2234" i="1"/>
  <c r="D2235" i="1"/>
  <c r="D232" i="1"/>
  <c r="D2236" i="1"/>
  <c r="D2237" i="1"/>
  <c r="D2238" i="1"/>
  <c r="D2239" i="1"/>
  <c r="D2240" i="1"/>
  <c r="D2241" i="1"/>
  <c r="D233" i="1"/>
  <c r="D2242" i="1"/>
  <c r="D2243" i="1"/>
  <c r="D2244" i="1"/>
  <c r="D2245" i="1"/>
  <c r="D234" i="1"/>
  <c r="D235" i="1"/>
  <c r="D236" i="1"/>
  <c r="D237" i="1"/>
  <c r="D2246" i="1"/>
  <c r="D2247" i="1"/>
  <c r="D2248" i="1"/>
  <c r="D2249" i="1"/>
  <c r="D2250" i="1"/>
  <c r="D2251" i="1"/>
  <c r="D2252" i="1"/>
  <c r="D238" i="1"/>
  <c r="D2253" i="1"/>
  <c r="D2254" i="1"/>
  <c r="D2255" i="1"/>
  <c r="D2256" i="1"/>
  <c r="D239" i="1"/>
  <c r="D240" i="1"/>
  <c r="D2257" i="1"/>
  <c r="D2258" i="1"/>
  <c r="D2259" i="1"/>
  <c r="D241" i="1"/>
  <c r="D2260" i="1"/>
  <c r="D242" i="1"/>
  <c r="D2261" i="1"/>
  <c r="D2262" i="1"/>
  <c r="D2263" i="1"/>
  <c r="D2264" i="1"/>
  <c r="D2265" i="1"/>
  <c r="D2266" i="1"/>
  <c r="D243" i="1"/>
  <c r="D244" i="1"/>
  <c r="D2267" i="1"/>
  <c r="D245" i="1"/>
  <c r="D2268" i="1"/>
  <c r="D246" i="1"/>
  <c r="D2269" i="1"/>
  <c r="D247" i="1"/>
  <c r="D248" i="1"/>
  <c r="D249" i="1"/>
  <c r="D250" i="1"/>
  <c r="D251" i="1"/>
  <c r="D2270" i="1"/>
  <c r="D252" i="1"/>
  <c r="D253" i="1"/>
  <c r="D254" i="1"/>
  <c r="D2271" i="1"/>
  <c r="D255" i="1"/>
  <c r="D256" i="1"/>
  <c r="D2272" i="1"/>
  <c r="D257" i="1"/>
  <c r="D2273" i="1"/>
  <c r="D2274" i="1"/>
  <c r="D258" i="1"/>
  <c r="D259" i="1"/>
  <c r="D2275" i="1"/>
  <c r="D2276" i="1"/>
  <c r="D2277" i="1"/>
  <c r="D2278" i="1"/>
  <c r="D260" i="1"/>
  <c r="D2279" i="1"/>
  <c r="D261" i="1"/>
  <c r="D2280" i="1"/>
  <c r="D2281" i="1"/>
  <c r="D2282" i="1"/>
  <c r="D262" i="1"/>
  <c r="D2283" i="1"/>
  <c r="D263" i="1"/>
  <c r="D2284" i="1"/>
  <c r="D2285" i="1"/>
  <c r="D2286" i="1"/>
  <c r="D2287" i="1"/>
  <c r="D2288" i="1"/>
  <c r="D2289" i="1"/>
  <c r="D2290" i="1"/>
  <c r="D2291" i="1"/>
  <c r="D264" i="1"/>
  <c r="D2292" i="1"/>
  <c r="D2293" i="1"/>
  <c r="D265" i="1"/>
  <c r="D2294" i="1"/>
  <c r="D266" i="1"/>
  <c r="D2295" i="1"/>
  <c r="D2296" i="1"/>
  <c r="D2297" i="1"/>
  <c r="D2298" i="1"/>
  <c r="D2299" i="1"/>
  <c r="D267" i="1"/>
  <c r="D2300" i="1"/>
  <c r="D2301" i="1"/>
  <c r="D2302" i="1"/>
  <c r="D2303" i="1"/>
  <c r="D268" i="1"/>
  <c r="D2304" i="1"/>
  <c r="D2305" i="1"/>
  <c r="D269" i="1"/>
  <c r="D2306" i="1"/>
  <c r="D270" i="1"/>
  <c r="D2307" i="1"/>
  <c r="D271" i="1"/>
  <c r="D2308" i="1"/>
  <c r="D272" i="1"/>
  <c r="D2309" i="1"/>
  <c r="D273" i="1"/>
  <c r="D274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75" i="1"/>
  <c r="D2325" i="1"/>
  <c r="D2326" i="1"/>
  <c r="D276" i="1"/>
  <c r="D2327" i="1"/>
  <c r="D2328" i="1"/>
  <c r="D2329" i="1"/>
  <c r="D277" i="1"/>
  <c r="D278" i="1"/>
  <c r="D279" i="1"/>
  <c r="D2330" i="1"/>
  <c r="D2331" i="1"/>
  <c r="D2332" i="1"/>
  <c r="D2333" i="1"/>
  <c r="D2334" i="1"/>
  <c r="D2335" i="1"/>
  <c r="D2336" i="1"/>
  <c r="D280" i="1"/>
  <c r="D281" i="1"/>
  <c r="D282" i="1"/>
  <c r="D283" i="1"/>
  <c r="D2337" i="1"/>
  <c r="D284" i="1"/>
  <c r="D2338" i="1"/>
  <c r="D2339" i="1"/>
  <c r="D2340" i="1"/>
  <c r="D2341" i="1"/>
  <c r="D2342" i="1"/>
  <c r="D285" i="1"/>
  <c r="D2343" i="1"/>
  <c r="D2344" i="1"/>
  <c r="D286" i="1"/>
  <c r="D2345" i="1"/>
  <c r="D287" i="1"/>
  <c r="D288" i="1"/>
  <c r="D2346" i="1"/>
  <c r="D289" i="1"/>
  <c r="D290" i="1"/>
  <c r="D2347" i="1"/>
  <c r="D2348" i="1"/>
  <c r="D2349" i="1"/>
  <c r="D2350" i="1"/>
  <c r="D2351" i="1"/>
  <c r="D2352" i="1"/>
  <c r="D291" i="1"/>
  <c r="D292" i="1"/>
  <c r="D2353" i="1"/>
  <c r="D2354" i="1"/>
  <c r="D2355" i="1"/>
  <c r="D293" i="1"/>
  <c r="D294" i="1"/>
  <c r="D2356" i="1"/>
  <c r="D2357" i="1"/>
  <c r="D2358" i="1"/>
  <c r="D2359" i="1"/>
  <c r="D2360" i="1"/>
  <c r="D2361" i="1"/>
  <c r="D2362" i="1"/>
  <c r="D295" i="1"/>
  <c r="D296" i="1"/>
  <c r="D297" i="1"/>
  <c r="D2363" i="1"/>
  <c r="D2364" i="1"/>
  <c r="D2365" i="1"/>
  <c r="D2366" i="1"/>
  <c r="D2367" i="1"/>
  <c r="D2368" i="1"/>
  <c r="D298" i="1"/>
  <c r="D2369" i="1"/>
  <c r="D299" i="1"/>
  <c r="D2370" i="1"/>
  <c r="D2371" i="1"/>
  <c r="D2372" i="1"/>
  <c r="D2373" i="1"/>
  <c r="D2374" i="1"/>
  <c r="D2375" i="1"/>
  <c r="D2376" i="1"/>
  <c r="D2377" i="1"/>
  <c r="D300" i="1"/>
  <c r="D2378" i="1"/>
  <c r="D301" i="1"/>
  <c r="D2379" i="1"/>
  <c r="D2380" i="1"/>
  <c r="D2381" i="1"/>
  <c r="D302" i="1"/>
  <c r="D2382" i="1"/>
  <c r="D2383" i="1"/>
  <c r="D303" i="1"/>
  <c r="D2384" i="1"/>
  <c r="D304" i="1"/>
  <c r="D2385" i="1"/>
  <c r="D305" i="1"/>
  <c r="D2386" i="1"/>
  <c r="D2387" i="1"/>
  <c r="D2388" i="1"/>
  <c r="D2389" i="1"/>
  <c r="D2390" i="1"/>
  <c r="D306" i="1"/>
  <c r="D307" i="1"/>
  <c r="D2391" i="1"/>
  <c r="D308" i="1"/>
  <c r="D2392" i="1"/>
  <c r="D309" i="1"/>
  <c r="D310" i="1"/>
  <c r="D311" i="1"/>
  <c r="D312" i="1"/>
  <c r="D313" i="1"/>
  <c r="D2393" i="1"/>
  <c r="D2394" i="1"/>
  <c r="D2395" i="1"/>
  <c r="D314" i="1"/>
  <c r="D2396" i="1"/>
  <c r="D2397" i="1"/>
  <c r="D2398" i="1"/>
  <c r="D315" i="1"/>
  <c r="D2399" i="1"/>
  <c r="D2400" i="1"/>
  <c r="D2401" i="1"/>
  <c r="D2402" i="1"/>
  <c r="D316" i="1"/>
  <c r="D317" i="1"/>
  <c r="D318" i="1"/>
  <c r="D319" i="1"/>
  <c r="D2403" i="1"/>
  <c r="D320" i="1"/>
  <c r="D2404" i="1"/>
  <c r="D2405" i="1"/>
  <c r="D2406" i="1"/>
  <c r="D321" i="1"/>
  <c r="D322" i="1"/>
  <c r="D2407" i="1"/>
  <c r="D2408" i="1"/>
  <c r="D2409" i="1"/>
  <c r="D2410" i="1"/>
  <c r="D323" i="1"/>
  <c r="D2411" i="1"/>
  <c r="D2412" i="1"/>
  <c r="D324" i="1"/>
  <c r="D2413" i="1"/>
  <c r="D325" i="1"/>
  <c r="D326" i="1"/>
  <c r="D327" i="1"/>
  <c r="D2414" i="1"/>
  <c r="D2415" i="1"/>
  <c r="D2416" i="1"/>
  <c r="D328" i="1"/>
  <c r="D2417" i="1"/>
  <c r="D2418" i="1"/>
  <c r="D2419" i="1"/>
  <c r="D2420" i="1"/>
  <c r="D2421" i="1"/>
  <c r="D2422" i="1"/>
  <c r="D2423" i="1"/>
  <c r="D329" i="1"/>
  <c r="D330" i="1"/>
  <c r="D2424" i="1"/>
  <c r="D2425" i="1"/>
  <c r="D2426" i="1"/>
  <c r="D2427" i="1"/>
  <c r="D331" i="1"/>
  <c r="D2428" i="1"/>
  <c r="D332" i="1"/>
  <c r="D333" i="1"/>
  <c r="D334" i="1"/>
  <c r="D2429" i="1"/>
  <c r="D2430" i="1"/>
  <c r="D2431" i="1"/>
  <c r="D2432" i="1"/>
  <c r="D335" i="1"/>
  <c r="D2433" i="1"/>
  <c r="D336" i="1"/>
  <c r="D2434" i="1"/>
  <c r="D337" i="1"/>
  <c r="D338" i="1"/>
  <c r="D2435" i="1"/>
  <c r="D339" i="1"/>
  <c r="D340" i="1"/>
  <c r="D2436" i="1"/>
  <c r="D2437" i="1"/>
  <c r="D341" i="1"/>
  <c r="D342" i="1"/>
  <c r="D2438" i="1"/>
  <c r="D343" i="1"/>
  <c r="D344" i="1"/>
  <c r="D2439" i="1"/>
  <c r="D2440" i="1"/>
  <c r="D2441" i="1"/>
  <c r="D2442" i="1"/>
  <c r="D345" i="1"/>
  <c r="D2443" i="1"/>
  <c r="D346" i="1"/>
  <c r="D347" i="1"/>
  <c r="D348" i="1"/>
  <c r="D2444" i="1"/>
  <c r="D2445" i="1"/>
  <c r="D349" i="1"/>
  <c r="D2446" i="1"/>
  <c r="D350" i="1"/>
  <c r="D2447" i="1"/>
  <c r="D2448" i="1"/>
  <c r="D2449" i="1"/>
  <c r="D351" i="1"/>
  <c r="D2450" i="1"/>
  <c r="D352" i="1"/>
  <c r="D2451" i="1"/>
  <c r="D353" i="1"/>
  <c r="D354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355" i="1"/>
  <c r="D2465" i="1"/>
  <c r="D356" i="1"/>
  <c r="D2466" i="1"/>
  <c r="D2467" i="1"/>
  <c r="D357" i="1"/>
  <c r="D2468" i="1"/>
  <c r="D358" i="1"/>
  <c r="D2469" i="1"/>
  <c r="D2470" i="1"/>
  <c r="D359" i="1"/>
  <c r="D360" i="1"/>
  <c r="D2471" i="1"/>
  <c r="D2472" i="1"/>
  <c r="D361" i="1"/>
  <c r="D2473" i="1"/>
  <c r="D2474" i="1"/>
  <c r="D2475" i="1"/>
  <c r="D2476" i="1"/>
  <c r="D362" i="1"/>
  <c r="D363" i="1"/>
  <c r="D2477" i="1"/>
  <c r="D364" i="1"/>
  <c r="D365" i="1"/>
  <c r="D2478" i="1"/>
  <c r="D366" i="1"/>
  <c r="D2479" i="1"/>
  <c r="D2480" i="1"/>
  <c r="D2481" i="1"/>
  <c r="D2482" i="1"/>
  <c r="D2483" i="1"/>
  <c r="D2484" i="1"/>
  <c r="D367" i="1"/>
  <c r="D368" i="1"/>
  <c r="D369" i="1"/>
  <c r="D370" i="1"/>
  <c r="D371" i="1"/>
  <c r="D372" i="1"/>
  <c r="D2485" i="1"/>
  <c r="D373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374" i="1"/>
  <c r="D2498" i="1"/>
  <c r="D2499" i="1"/>
  <c r="D2500" i="1"/>
  <c r="D2501" i="1"/>
  <c r="D2502" i="1"/>
  <c r="D375" i="1"/>
  <c r="D2503" i="1"/>
  <c r="D2504" i="1"/>
  <c r="D376" i="1"/>
  <c r="D377" i="1"/>
  <c r="D2505" i="1"/>
  <c r="D2506" i="1"/>
  <c r="D378" i="1"/>
  <c r="D2507" i="1"/>
  <c r="D2508" i="1"/>
  <c r="D2509" i="1"/>
  <c r="D379" i="1"/>
  <c r="D2510" i="1"/>
  <c r="D2511" i="1"/>
  <c r="D380" i="1"/>
  <c r="D2512" i="1"/>
  <c r="D2513" i="1"/>
  <c r="D2514" i="1"/>
  <c r="D2515" i="1"/>
  <c r="D2516" i="1"/>
  <c r="D2517" i="1"/>
  <c r="D2518" i="1"/>
  <c r="D381" i="1"/>
  <c r="D2519" i="1"/>
  <c r="D2520" i="1"/>
  <c r="D2521" i="1"/>
  <c r="D2522" i="1"/>
  <c r="D382" i="1"/>
  <c r="D2523" i="1"/>
  <c r="D2524" i="1"/>
  <c r="D2525" i="1"/>
  <c r="D2526" i="1"/>
  <c r="D383" i="1"/>
  <c r="D2527" i="1"/>
  <c r="D2528" i="1"/>
  <c r="D2529" i="1"/>
  <c r="D2530" i="1"/>
  <c r="D2531" i="1"/>
  <c r="D384" i="1"/>
  <c r="D2532" i="1"/>
  <c r="D385" i="1"/>
  <c r="D2533" i="1"/>
  <c r="D2534" i="1"/>
  <c r="D386" i="1"/>
  <c r="D2535" i="1"/>
  <c r="D2536" i="1"/>
  <c r="D387" i="1"/>
  <c r="D388" i="1"/>
  <c r="D389" i="1"/>
  <c r="D2537" i="1"/>
  <c r="D2538" i="1"/>
  <c r="D2539" i="1"/>
  <c r="D2540" i="1"/>
  <c r="D2541" i="1"/>
  <c r="D2542" i="1"/>
  <c r="D2543" i="1"/>
  <c r="D2544" i="1"/>
  <c r="D390" i="1"/>
  <c r="D391" i="1"/>
  <c r="D2545" i="1"/>
  <c r="D2546" i="1"/>
  <c r="D392" i="1"/>
  <c r="D2547" i="1"/>
  <c r="D2548" i="1"/>
  <c r="D2549" i="1"/>
  <c r="D393" i="1"/>
  <c r="D394" i="1"/>
  <c r="D2550" i="1"/>
  <c r="D2551" i="1"/>
  <c r="D395" i="1"/>
  <c r="D2552" i="1"/>
  <c r="D2553" i="1"/>
  <c r="D2554" i="1"/>
  <c r="D2555" i="1"/>
  <c r="D396" i="1"/>
  <c r="D2556" i="1"/>
  <c r="D2557" i="1"/>
  <c r="D2558" i="1"/>
  <c r="D2559" i="1"/>
  <c r="D2560" i="1"/>
  <c r="D397" i="1"/>
  <c r="D2561" i="1"/>
  <c r="D398" i="1"/>
  <c r="D2562" i="1"/>
  <c r="D2563" i="1"/>
  <c r="D399" i="1"/>
  <c r="D400" i="1"/>
  <c r="D401" i="1"/>
  <c r="D402" i="1"/>
  <c r="D2564" i="1"/>
  <c r="D2565" i="1"/>
  <c r="D403" i="1"/>
  <c r="D2566" i="1"/>
  <c r="D404" i="1"/>
  <c r="D2567" i="1"/>
  <c r="D2568" i="1"/>
  <c r="D2569" i="1"/>
  <c r="D2570" i="1"/>
  <c r="D405" i="1"/>
  <c r="D406" i="1"/>
  <c r="D2571" i="1"/>
  <c r="D2572" i="1"/>
  <c r="D2573" i="1"/>
  <c r="D407" i="1"/>
  <c r="D408" i="1"/>
  <c r="D2574" i="1"/>
  <c r="D2575" i="1"/>
  <c r="D409" i="1"/>
  <c r="D2576" i="1"/>
  <c r="D2577" i="1"/>
  <c r="D2578" i="1"/>
  <c r="D2579" i="1"/>
  <c r="D2580" i="1"/>
  <c r="D2581" i="1"/>
  <c r="D410" i="1"/>
  <c r="D411" i="1"/>
  <c r="D412" i="1"/>
  <c r="D2582" i="1"/>
  <c r="D2583" i="1"/>
  <c r="D2584" i="1"/>
  <c r="D2585" i="1"/>
  <c r="D413" i="1"/>
  <c r="D414" i="1"/>
  <c r="D415" i="1"/>
  <c r="D2586" i="1"/>
  <c r="D2587" i="1"/>
  <c r="D2588" i="1"/>
  <c r="D2589" i="1"/>
  <c r="D416" i="1"/>
  <c r="D2590" i="1"/>
  <c r="D417" i="1"/>
  <c r="D2591" i="1"/>
  <c r="D2592" i="1"/>
  <c r="D2593" i="1"/>
  <c r="D418" i="1"/>
  <c r="D419" i="1"/>
  <c r="D420" i="1"/>
  <c r="D421" i="1"/>
  <c r="D2594" i="1"/>
  <c r="D422" i="1"/>
  <c r="D2595" i="1"/>
  <c r="D2596" i="1"/>
  <c r="D2597" i="1"/>
  <c r="D423" i="1"/>
  <c r="D2598" i="1"/>
  <c r="D2599" i="1"/>
  <c r="D2600" i="1"/>
  <c r="D2601" i="1"/>
  <c r="D2602" i="1"/>
  <c r="D424" i="1"/>
  <c r="D2603" i="1"/>
  <c r="D425" i="1"/>
  <c r="D2604" i="1"/>
  <c r="D426" i="1"/>
  <c r="D427" i="1"/>
  <c r="D2605" i="1"/>
  <c r="D2606" i="1"/>
  <c r="D2607" i="1"/>
  <c r="D2608" i="1"/>
  <c r="D428" i="1"/>
  <c r="D429" i="1"/>
  <c r="D430" i="1"/>
  <c r="D2609" i="1"/>
  <c r="D2610" i="1"/>
  <c r="D2611" i="1"/>
  <c r="D2612" i="1"/>
  <c r="D431" i="1"/>
  <c r="D2613" i="1"/>
  <c r="D2614" i="1"/>
  <c r="D2615" i="1"/>
  <c r="D432" i="1"/>
  <c r="D2616" i="1"/>
  <c r="D2617" i="1"/>
  <c r="D433" i="1"/>
  <c r="D2618" i="1"/>
  <c r="D2619" i="1"/>
  <c r="D2620" i="1"/>
  <c r="D2621" i="1"/>
  <c r="D434" i="1"/>
  <c r="D2622" i="1"/>
  <c r="D2623" i="1"/>
  <c r="D2624" i="1"/>
  <c r="D435" i="1"/>
  <c r="D2625" i="1"/>
  <c r="D2626" i="1"/>
  <c r="D2627" i="1"/>
  <c r="D2628" i="1"/>
  <c r="D2629" i="1"/>
  <c r="D2630" i="1"/>
  <c r="D2631" i="1"/>
  <c r="D2632" i="1"/>
  <c r="D436" i="1"/>
  <c r="D437" i="1"/>
  <c r="D2633" i="1"/>
  <c r="D2634" i="1"/>
  <c r="D438" i="1"/>
  <c r="D2635" i="1"/>
  <c r="D2636" i="1"/>
  <c r="D2637" i="1"/>
  <c r="D2638" i="1"/>
  <c r="D2639" i="1"/>
  <c r="D439" i="1"/>
  <c r="D2640" i="1"/>
  <c r="D2641" i="1"/>
  <c r="D2642" i="1"/>
  <c r="D440" i="1"/>
  <c r="D2643" i="1"/>
  <c r="D2644" i="1"/>
  <c r="D441" i="1"/>
  <c r="D442" i="1"/>
  <c r="D443" i="1"/>
  <c r="D444" i="1"/>
  <c r="D445" i="1"/>
  <c r="D446" i="1"/>
  <c r="D447" i="1"/>
  <c r="D2645" i="1"/>
  <c r="D448" i="1"/>
  <c r="D2646" i="1"/>
  <c r="D449" i="1"/>
  <c r="D2647" i="1"/>
  <c r="D2648" i="1"/>
  <c r="D450" i="1"/>
  <c r="D2649" i="1"/>
  <c r="D451" i="1"/>
  <c r="D2650" i="1"/>
  <c r="D2651" i="1"/>
  <c r="D2652" i="1"/>
  <c r="D2653" i="1"/>
  <c r="D452" i="1"/>
  <c r="D2654" i="1"/>
  <c r="D453" i="1"/>
  <c r="D454" i="1"/>
  <c r="D2655" i="1"/>
  <c r="D2656" i="1"/>
  <c r="D2657" i="1"/>
  <c r="D2658" i="1"/>
  <c r="D2659" i="1"/>
  <c r="D2660" i="1"/>
  <c r="D2661" i="1"/>
  <c r="D2662" i="1"/>
  <c r="D455" i="1"/>
  <c r="D2663" i="1"/>
  <c r="D2664" i="1"/>
  <c r="D456" i="1"/>
  <c r="D457" i="1"/>
  <c r="D458" i="1"/>
  <c r="D2665" i="1"/>
  <c r="D2666" i="1"/>
  <c r="D2667" i="1"/>
  <c r="D459" i="1"/>
  <c r="D460" i="1"/>
  <c r="D461" i="1"/>
  <c r="D2668" i="1"/>
  <c r="D2669" i="1"/>
  <c r="D2670" i="1"/>
  <c r="D462" i="1"/>
  <c r="D2671" i="1"/>
  <c r="D2672" i="1"/>
  <c r="D463" i="1"/>
  <c r="D2673" i="1"/>
  <c r="D464" i="1"/>
  <c r="D2674" i="1"/>
  <c r="D2675" i="1"/>
  <c r="D465" i="1"/>
  <c r="D466" i="1"/>
  <c r="D2676" i="1"/>
  <c r="D2677" i="1"/>
  <c r="D467" i="1"/>
  <c r="D2678" i="1"/>
  <c r="D2679" i="1"/>
  <c r="D2680" i="1"/>
  <c r="D2681" i="1"/>
  <c r="D2682" i="1"/>
  <c r="D468" i="1"/>
  <c r="D2683" i="1"/>
  <c r="D469" i="1"/>
  <c r="D2684" i="1"/>
  <c r="D2685" i="1"/>
  <c r="D2686" i="1"/>
  <c r="D470" i="1"/>
  <c r="D471" i="1"/>
  <c r="D472" i="1"/>
  <c r="D473" i="1"/>
  <c r="D474" i="1"/>
  <c r="D2687" i="1"/>
  <c r="D2688" i="1"/>
  <c r="D2689" i="1"/>
  <c r="D475" i="1"/>
  <c r="D2690" i="1"/>
  <c r="D476" i="1"/>
  <c r="D2691" i="1"/>
  <c r="D2692" i="1"/>
  <c r="D477" i="1"/>
  <c r="D2693" i="1"/>
  <c r="D478" i="1"/>
  <c r="D2694" i="1"/>
  <c r="D479" i="1"/>
  <c r="D2695" i="1"/>
  <c r="D480" i="1"/>
  <c r="D481" i="1"/>
  <c r="D2696" i="1"/>
  <c r="D2697" i="1"/>
  <c r="D2698" i="1"/>
  <c r="D482" i="1"/>
  <c r="D483" i="1"/>
  <c r="D2699" i="1"/>
  <c r="D484" i="1"/>
  <c r="D2700" i="1"/>
  <c r="D2701" i="1"/>
  <c r="D2702" i="1"/>
  <c r="D2703" i="1"/>
  <c r="D2704" i="1"/>
  <c r="D2705" i="1"/>
  <c r="D485" i="1"/>
  <c r="D486" i="1"/>
  <c r="D487" i="1"/>
  <c r="D2706" i="1"/>
  <c r="D488" i="1"/>
  <c r="D2707" i="1"/>
  <c r="D489" i="1"/>
  <c r="D2708" i="1"/>
  <c r="D490" i="1"/>
  <c r="D2709" i="1"/>
  <c r="D2710" i="1"/>
  <c r="D2711" i="1"/>
  <c r="D2712" i="1"/>
  <c r="D2713" i="1"/>
  <c r="D2714" i="1"/>
  <c r="D491" i="1"/>
  <c r="D492" i="1"/>
  <c r="D493" i="1"/>
  <c r="D2715" i="1"/>
  <c r="D494" i="1"/>
  <c r="D2716" i="1"/>
  <c r="D2717" i="1"/>
  <c r="D495" i="1"/>
  <c r="D496" i="1"/>
  <c r="D2718" i="1"/>
  <c r="D2719" i="1"/>
  <c r="D2720" i="1"/>
  <c r="D497" i="1"/>
  <c r="D2721" i="1"/>
  <c r="D2722" i="1"/>
  <c r="D2723" i="1"/>
  <c r="D498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499" i="1"/>
  <c r="D500" i="1"/>
  <c r="D2736" i="1"/>
  <c r="D501" i="1"/>
  <c r="D502" i="1"/>
  <c r="D503" i="1"/>
  <c r="D504" i="1"/>
  <c r="D505" i="1"/>
  <c r="D506" i="1"/>
  <c r="D2737" i="1"/>
  <c r="D2738" i="1"/>
  <c r="D2739" i="1"/>
  <c r="D507" i="1"/>
  <c r="D2740" i="1"/>
  <c r="D2741" i="1"/>
  <c r="D508" i="1"/>
  <c r="D509" i="1"/>
  <c r="D2742" i="1"/>
  <c r="D2743" i="1"/>
  <c r="D2744" i="1"/>
  <c r="D510" i="1"/>
  <c r="D2745" i="1"/>
  <c r="D2746" i="1"/>
  <c r="D2747" i="1"/>
  <c r="D2748" i="1"/>
  <c r="D511" i="1"/>
  <c r="D512" i="1"/>
  <c r="D513" i="1"/>
  <c r="D2749" i="1"/>
  <c r="D514" i="1"/>
  <c r="D2750" i="1"/>
  <c r="D515" i="1"/>
  <c r="D2751" i="1"/>
  <c r="D2752" i="1"/>
  <c r="D2753" i="1"/>
  <c r="D516" i="1"/>
  <c r="D517" i="1"/>
  <c r="D2754" i="1"/>
  <c r="D518" i="1"/>
  <c r="D519" i="1"/>
  <c r="D520" i="1"/>
  <c r="D2755" i="1"/>
  <c r="D521" i="1"/>
  <c r="D2756" i="1"/>
  <c r="D2757" i="1"/>
  <c r="D2758" i="1"/>
  <c r="D2759" i="1"/>
  <c r="D522" i="1"/>
  <c r="D523" i="1"/>
  <c r="D2760" i="1"/>
  <c r="D2761" i="1"/>
  <c r="D524" i="1"/>
  <c r="D525" i="1"/>
  <c r="D2762" i="1"/>
  <c r="D526" i="1"/>
  <c r="D2763" i="1"/>
  <c r="D2764" i="1"/>
  <c r="D527" i="1"/>
  <c r="D528" i="1"/>
  <c r="D2765" i="1"/>
  <c r="D2766" i="1"/>
  <c r="D529" i="1"/>
  <c r="D530" i="1"/>
  <c r="D2767" i="1"/>
  <c r="D2768" i="1"/>
  <c r="D2769" i="1"/>
  <c r="D531" i="1"/>
  <c r="D2770" i="1"/>
  <c r="D2771" i="1"/>
  <c r="D2772" i="1"/>
  <c r="D2773" i="1"/>
  <c r="D532" i="1"/>
  <c r="D2774" i="1"/>
  <c r="D533" i="1"/>
  <c r="D2775" i="1"/>
  <c r="D2776" i="1"/>
  <c r="D534" i="1"/>
  <c r="D2777" i="1"/>
  <c r="D535" i="1"/>
  <c r="D2778" i="1"/>
  <c r="D536" i="1"/>
  <c r="D2779" i="1"/>
  <c r="D537" i="1"/>
  <c r="D2780" i="1"/>
  <c r="D2781" i="1"/>
  <c r="D538" i="1"/>
  <c r="D2782" i="1"/>
  <c r="D2783" i="1"/>
  <c r="D2784" i="1"/>
  <c r="D2785" i="1"/>
  <c r="D2786" i="1"/>
  <c r="D2787" i="1"/>
  <c r="D539" i="1"/>
  <c r="D540" i="1"/>
  <c r="D2788" i="1"/>
  <c r="D2789" i="1"/>
  <c r="D541" i="1"/>
  <c r="D542" i="1"/>
  <c r="D2790" i="1"/>
  <c r="D2791" i="1"/>
  <c r="D2792" i="1"/>
  <c r="D2793" i="1"/>
  <c r="D2794" i="1"/>
  <c r="D2795" i="1"/>
  <c r="D2796" i="1"/>
  <c r="D2797" i="1"/>
  <c r="D543" i="1"/>
  <c r="D2798" i="1"/>
  <c r="D2799" i="1"/>
  <c r="D544" i="1"/>
  <c r="D2800" i="1"/>
  <c r="D2801" i="1"/>
  <c r="D545" i="1"/>
  <c r="D2802" i="1"/>
  <c r="D2803" i="1"/>
  <c r="D546" i="1"/>
  <c r="D547" i="1"/>
  <c r="D548" i="1"/>
  <c r="D2804" i="1"/>
  <c r="D2805" i="1"/>
  <c r="D2806" i="1"/>
  <c r="D549" i="1"/>
  <c r="D2807" i="1"/>
  <c r="D550" i="1"/>
  <c r="D551" i="1"/>
  <c r="D2808" i="1"/>
  <c r="D552" i="1"/>
  <c r="D2809" i="1"/>
  <c r="D2810" i="1"/>
  <c r="D553" i="1"/>
  <c r="D2811" i="1"/>
  <c r="D2812" i="1"/>
  <c r="D2813" i="1"/>
  <c r="D2814" i="1"/>
  <c r="D2815" i="1"/>
  <c r="D554" i="1"/>
  <c r="D2816" i="1"/>
  <c r="D555" i="1"/>
  <c r="D2817" i="1"/>
  <c r="D556" i="1"/>
  <c r="D557" i="1"/>
  <c r="D558" i="1"/>
  <c r="D559" i="1"/>
  <c r="D2818" i="1"/>
  <c r="D2819" i="1"/>
  <c r="D2820" i="1"/>
  <c r="D2821" i="1"/>
  <c r="D2822" i="1"/>
  <c r="D2823" i="1"/>
  <c r="D560" i="1"/>
  <c r="D561" i="1"/>
  <c r="D2824" i="1"/>
  <c r="D2825" i="1"/>
  <c r="D562" i="1"/>
  <c r="D563" i="1"/>
  <c r="D2826" i="1"/>
  <c r="D2827" i="1"/>
  <c r="D564" i="1"/>
  <c r="D2828" i="1"/>
  <c r="D2829" i="1"/>
  <c r="D2830" i="1"/>
  <c r="D2831" i="1"/>
  <c r="D565" i="1"/>
  <c r="D566" i="1"/>
  <c r="D2832" i="1"/>
  <c r="D2833" i="1"/>
  <c r="D2834" i="1"/>
  <c r="D2835" i="1"/>
  <c r="D567" i="1"/>
  <c r="D2836" i="1"/>
  <c r="D2837" i="1"/>
  <c r="D2838" i="1"/>
  <c r="D568" i="1"/>
  <c r="D569" i="1"/>
  <c r="D2839" i="1"/>
  <c r="D570" i="1"/>
  <c r="D2840" i="1"/>
  <c r="D2841" i="1"/>
  <c r="D571" i="1"/>
  <c r="D2842" i="1"/>
  <c r="D2843" i="1"/>
  <c r="D2844" i="1"/>
  <c r="D2845" i="1"/>
  <c r="D2846" i="1"/>
  <c r="D572" i="1"/>
  <c r="D2847" i="1"/>
  <c r="D573" i="1"/>
  <c r="D2848" i="1"/>
  <c r="D2849" i="1"/>
  <c r="D2850" i="1"/>
  <c r="D574" i="1"/>
  <c r="D575" i="1"/>
  <c r="D2851" i="1"/>
  <c r="D2852" i="1"/>
  <c r="D2853" i="1"/>
  <c r="D2854" i="1"/>
  <c r="D2855" i="1"/>
  <c r="D2856" i="1"/>
  <c r="D576" i="1"/>
  <c r="D2857" i="1"/>
  <c r="D2858" i="1"/>
  <c r="D2859" i="1"/>
  <c r="D2860" i="1"/>
  <c r="D2861" i="1"/>
  <c r="D577" i="1"/>
  <c r="D578" i="1"/>
  <c r="D579" i="1"/>
  <c r="D580" i="1"/>
  <c r="D2862" i="1"/>
  <c r="D581" i="1"/>
  <c r="D2863" i="1"/>
  <c r="D2864" i="1"/>
  <c r="D582" i="1"/>
  <c r="D2865" i="1"/>
  <c r="D2866" i="1"/>
  <c r="D583" i="1"/>
  <c r="D584" i="1"/>
  <c r="D2867" i="1"/>
  <c r="D585" i="1"/>
  <c r="D2868" i="1"/>
  <c r="D586" i="1"/>
  <c r="D2869" i="1"/>
  <c r="D2870" i="1"/>
  <c r="D587" i="1"/>
  <c r="D2871" i="1"/>
  <c r="D588" i="1"/>
  <c r="D589" i="1"/>
  <c r="D2872" i="1"/>
  <c r="D2873" i="1"/>
  <c r="D2874" i="1"/>
  <c r="D590" i="1"/>
  <c r="D2875" i="1"/>
  <c r="D2876" i="1"/>
  <c r="D591" i="1"/>
  <c r="D2877" i="1"/>
  <c r="D592" i="1"/>
  <c r="D2878" i="1"/>
  <c r="D2879" i="1"/>
  <c r="D2880" i="1"/>
  <c r="D593" i="1"/>
  <c r="D2881" i="1"/>
  <c r="D2882" i="1"/>
  <c r="D2883" i="1"/>
  <c r="D594" i="1"/>
  <c r="D595" i="1"/>
  <c r="D596" i="1"/>
  <c r="D2884" i="1"/>
  <c r="D2885" i="1"/>
  <c r="D597" i="1"/>
  <c r="D2886" i="1"/>
  <c r="D2887" i="1"/>
  <c r="D2888" i="1"/>
  <c r="D598" i="1"/>
  <c r="D2889" i="1"/>
  <c r="D599" i="1"/>
  <c r="D2890" i="1"/>
  <c r="D2891" i="1"/>
  <c r="D2892" i="1"/>
  <c r="D2893" i="1"/>
  <c r="D2894" i="1"/>
  <c r="D600" i="1"/>
  <c r="D601" i="1"/>
  <c r="D2895" i="1"/>
  <c r="D602" i="1"/>
  <c r="D2896" i="1"/>
  <c r="D603" i="1"/>
  <c r="D604" i="1"/>
  <c r="D2897" i="1"/>
  <c r="D2898" i="1"/>
  <c r="D605" i="1"/>
  <c r="D606" i="1"/>
  <c r="D2899" i="1"/>
  <c r="D607" i="1"/>
  <c r="D2900" i="1"/>
  <c r="D2901" i="1"/>
  <c r="D2902" i="1"/>
  <c r="D608" i="1"/>
  <c r="D2903" i="1"/>
  <c r="D609" i="1"/>
  <c r="D610" i="1"/>
  <c r="D2904" i="1"/>
  <c r="D2905" i="1"/>
  <c r="D2906" i="1"/>
  <c r="D2907" i="1"/>
  <c r="D611" i="1"/>
  <c r="D612" i="1"/>
  <c r="D2908" i="1"/>
  <c r="D2909" i="1"/>
  <c r="D2910" i="1"/>
  <c r="D2911" i="1"/>
  <c r="D613" i="1"/>
  <c r="D2912" i="1"/>
  <c r="D2913" i="1"/>
  <c r="D614" i="1"/>
  <c r="D615" i="1"/>
  <c r="D616" i="1"/>
  <c r="D2914" i="1"/>
  <c r="D617" i="1"/>
  <c r="D618" i="1"/>
  <c r="D619" i="1"/>
  <c r="D2915" i="1"/>
  <c r="D2916" i="1"/>
  <c r="D2917" i="1"/>
  <c r="D2918" i="1"/>
  <c r="D2919" i="1"/>
  <c r="D620" i="1"/>
  <c r="D2920" i="1"/>
  <c r="D2921" i="1"/>
  <c r="D621" i="1"/>
  <c r="D2922" i="1"/>
  <c r="D2923" i="1"/>
  <c r="D2924" i="1"/>
  <c r="D622" i="1"/>
  <c r="D623" i="1"/>
  <c r="D2925" i="1"/>
  <c r="D2926" i="1"/>
  <c r="D2927" i="1"/>
  <c r="D2928" i="1"/>
  <c r="D2929" i="1"/>
  <c r="D2930" i="1"/>
  <c r="D2931" i="1"/>
  <c r="D624" i="1"/>
  <c r="D2932" i="1"/>
  <c r="D2933" i="1"/>
  <c r="D2934" i="1"/>
  <c r="D2935" i="1"/>
  <c r="D2936" i="1"/>
  <c r="D2937" i="1"/>
  <c r="D2938" i="1"/>
  <c r="D2939" i="1"/>
  <c r="D625" i="1"/>
  <c r="D2940" i="1"/>
  <c r="D626" i="1"/>
  <c r="D627" i="1"/>
  <c r="D628" i="1"/>
  <c r="D629" i="1"/>
  <c r="D2941" i="1"/>
  <c r="D2942" i="1"/>
  <c r="D2943" i="1"/>
  <c r="D2944" i="1"/>
  <c r="D630" i="1"/>
  <c r="D631" i="1"/>
  <c r="D2945" i="1"/>
  <c r="D632" i="1"/>
  <c r="D633" i="1"/>
  <c r="D634" i="1"/>
  <c r="D2946" i="1"/>
  <c r="D2947" i="1"/>
  <c r="D635" i="1"/>
  <c r="D636" i="1"/>
  <c r="D2948" i="1"/>
  <c r="D2949" i="1"/>
  <c r="D2950" i="1"/>
  <c r="D2951" i="1"/>
  <c r="D2952" i="1"/>
  <c r="D637" i="1"/>
  <c r="D2953" i="1"/>
  <c r="D2954" i="1"/>
  <c r="D638" i="1"/>
  <c r="D639" i="1"/>
  <c r="D2955" i="1"/>
  <c r="D2956" i="1"/>
  <c r="D2957" i="1"/>
  <c r="D2958" i="1"/>
  <c r="D2959" i="1"/>
  <c r="D2960" i="1"/>
  <c r="D640" i="1"/>
  <c r="D2961" i="1"/>
  <c r="D2962" i="1"/>
  <c r="D2963" i="1"/>
  <c r="D2964" i="1"/>
  <c r="D2965" i="1"/>
  <c r="D2966" i="1"/>
  <c r="D641" i="1"/>
  <c r="D2967" i="1"/>
  <c r="D642" i="1"/>
  <c r="D643" i="1"/>
  <c r="D2968" i="1"/>
  <c r="D644" i="1"/>
  <c r="D645" i="1"/>
  <c r="D2969" i="1"/>
  <c r="D2970" i="1"/>
  <c r="D2971" i="1"/>
  <c r="D646" i="1"/>
  <c r="D2972" i="1"/>
  <c r="D2973" i="1"/>
  <c r="D647" i="1"/>
  <c r="D2974" i="1"/>
  <c r="D648" i="1"/>
  <c r="D649" i="1"/>
  <c r="D650" i="1"/>
  <c r="D651" i="1"/>
  <c r="D652" i="1"/>
  <c r="D2975" i="1"/>
  <c r="D2976" i="1"/>
  <c r="D2977" i="1"/>
  <c r="D2978" i="1"/>
  <c r="D653" i="1"/>
  <c r="D2979" i="1"/>
  <c r="D2980" i="1"/>
  <c r="D2981" i="1"/>
  <c r="D654" i="1"/>
  <c r="D2982" i="1"/>
  <c r="D2983" i="1"/>
  <c r="D2984" i="1"/>
  <c r="D655" i="1"/>
  <c r="D2985" i="1"/>
  <c r="D656" i="1"/>
  <c r="D2986" i="1"/>
  <c r="D2987" i="1"/>
  <c r="D2988" i="1"/>
  <c r="D2989" i="1"/>
  <c r="D2990" i="1"/>
  <c r="D2991" i="1"/>
  <c r="D2992" i="1"/>
  <c r="D2993" i="1"/>
  <c r="D2994" i="1"/>
  <c r="D657" i="1"/>
  <c r="D658" i="1"/>
  <c r="D659" i="1"/>
  <c r="D2995" i="1"/>
  <c r="D2996" i="1"/>
  <c r="D2997" i="1"/>
  <c r="D660" i="1"/>
  <c r="D2998" i="1"/>
  <c r="D2999" i="1"/>
  <c r="D3000" i="1"/>
  <c r="D3001" i="1"/>
  <c r="D661" i="1"/>
  <c r="D662" i="1"/>
  <c r="D3002" i="1"/>
  <c r="D3003" i="1"/>
  <c r="D663" i="1"/>
  <c r="D3004" i="1"/>
  <c r="D3005" i="1"/>
  <c r="D3006" i="1"/>
  <c r="D664" i="1"/>
  <c r="D3007" i="1"/>
  <c r="D3008" i="1"/>
  <c r="D3009" i="1"/>
  <c r="D665" i="1"/>
  <c r="D666" i="1"/>
  <c r="D667" i="1"/>
  <c r="D3010" i="1"/>
  <c r="D3011" i="1"/>
  <c r="D668" i="1"/>
  <c r="D669" i="1"/>
  <c r="D3012" i="1"/>
  <c r="D670" i="1"/>
  <c r="D671" i="1"/>
  <c r="D3013" i="1"/>
  <c r="D3014" i="1"/>
  <c r="D3015" i="1"/>
  <c r="D3016" i="1"/>
  <c r="D3017" i="1"/>
  <c r="D3018" i="1"/>
  <c r="D3019" i="1"/>
  <c r="D3020" i="1"/>
  <c r="D3021" i="1"/>
  <c r="D3022" i="1"/>
  <c r="D3023" i="1"/>
  <c r="D672" i="1"/>
  <c r="D3024" i="1"/>
  <c r="D3025" i="1"/>
  <c r="D673" i="1"/>
  <c r="D3026" i="1"/>
  <c r="D3027" i="1"/>
  <c r="D674" i="1"/>
  <c r="D675" i="1"/>
  <c r="D676" i="1"/>
  <c r="D3028" i="1"/>
  <c r="D677" i="1"/>
  <c r="D3029" i="1"/>
  <c r="D3030" i="1"/>
  <c r="D3031" i="1"/>
  <c r="D3032" i="1"/>
  <c r="D678" i="1"/>
  <c r="D679" i="1"/>
  <c r="D3033" i="1"/>
  <c r="D680" i="1"/>
  <c r="D3034" i="1"/>
  <c r="D681" i="1"/>
  <c r="D3035" i="1"/>
  <c r="D3036" i="1"/>
  <c r="D682" i="1"/>
  <c r="D3037" i="1"/>
  <c r="D3038" i="1"/>
  <c r="D683" i="1"/>
  <c r="D684" i="1"/>
  <c r="D685" i="1"/>
  <c r="D686" i="1"/>
  <c r="D3039" i="1"/>
  <c r="D687" i="1"/>
  <c r="D3040" i="1"/>
  <c r="D688" i="1"/>
  <c r="D3041" i="1"/>
  <c r="D689" i="1"/>
  <c r="D3042" i="1"/>
  <c r="D3043" i="1"/>
  <c r="D3044" i="1"/>
  <c r="D3045" i="1"/>
  <c r="D690" i="1"/>
  <c r="D691" i="1"/>
  <c r="D3046" i="1"/>
  <c r="D3047" i="1"/>
  <c r="D3048" i="1"/>
  <c r="D3049" i="1"/>
  <c r="D3050" i="1"/>
  <c r="D3051" i="1"/>
  <c r="D3052" i="1"/>
  <c r="D3053" i="1"/>
  <c r="D692" i="1"/>
  <c r="D3054" i="1"/>
  <c r="D3055" i="1"/>
  <c r="D693" i="1"/>
  <c r="D694" i="1"/>
  <c r="D3056" i="1"/>
  <c r="D695" i="1"/>
  <c r="D696" i="1"/>
  <c r="D3057" i="1"/>
  <c r="D697" i="1"/>
  <c r="D3058" i="1"/>
  <c r="D3059" i="1"/>
  <c r="D3060" i="1"/>
  <c r="D3061" i="1"/>
  <c r="D698" i="1"/>
  <c r="D699" i="1"/>
  <c r="D3062" i="1"/>
  <c r="D3063" i="1"/>
  <c r="D3064" i="1"/>
  <c r="D3065" i="1"/>
  <c r="D700" i="1"/>
  <c r="D701" i="1"/>
  <c r="D3066" i="1"/>
  <c r="D3067" i="1"/>
  <c r="D702" i="1"/>
  <c r="D3068" i="1"/>
  <c r="D703" i="1"/>
  <c r="D3069" i="1"/>
  <c r="D704" i="1"/>
  <c r="D705" i="1"/>
  <c r="D3070" i="1"/>
  <c r="D3071" i="1"/>
  <c r="D706" i="1"/>
  <c r="D3072" i="1"/>
  <c r="D3073" i="1"/>
  <c r="D3074" i="1"/>
  <c r="D707" i="1"/>
  <c r="D3075" i="1"/>
  <c r="D708" i="1"/>
  <c r="D3076" i="1"/>
  <c r="D3077" i="1"/>
  <c r="D3078" i="1"/>
  <c r="D709" i="1"/>
  <c r="D710" i="1"/>
  <c r="D3079" i="1"/>
  <c r="D3080" i="1"/>
  <c r="D3081" i="1"/>
  <c r="D3082" i="1"/>
  <c r="D3083" i="1"/>
  <c r="D711" i="1"/>
  <c r="D712" i="1"/>
  <c r="D3084" i="1"/>
  <c r="D3085" i="1"/>
  <c r="D3086" i="1"/>
  <c r="D3087" i="1"/>
  <c r="D3088" i="1"/>
  <c r="D3089" i="1"/>
  <c r="D3090" i="1"/>
  <c r="D3091" i="1"/>
  <c r="D3092" i="1"/>
  <c r="D713" i="1"/>
  <c r="D714" i="1"/>
  <c r="D3093" i="1"/>
  <c r="D715" i="1"/>
  <c r="D3094" i="1"/>
  <c r="D3095" i="1"/>
  <c r="D3096" i="1"/>
  <c r="D3097" i="1"/>
  <c r="D3098" i="1"/>
  <c r="D716" i="1"/>
  <c r="D3099" i="1"/>
  <c r="D3100" i="1"/>
  <c r="D717" i="1"/>
  <c r="D718" i="1"/>
  <c r="D719" i="1"/>
  <c r="D3101" i="1"/>
  <c r="D720" i="1"/>
  <c r="D3102" i="1"/>
  <c r="D3103" i="1"/>
  <c r="D721" i="1"/>
  <c r="D3104" i="1"/>
  <c r="D3105" i="1"/>
  <c r="D722" i="1"/>
  <c r="D723" i="1"/>
  <c r="D724" i="1"/>
  <c r="D3106" i="1"/>
  <c r="D3107" i="1"/>
  <c r="D725" i="1"/>
  <c r="D3108" i="1"/>
  <c r="D726" i="1"/>
  <c r="D727" i="1"/>
  <c r="D3109" i="1"/>
  <c r="D728" i="1"/>
  <c r="D729" i="1"/>
  <c r="D3110" i="1"/>
  <c r="D3111" i="1"/>
  <c r="D3112" i="1"/>
  <c r="D730" i="1"/>
  <c r="D731" i="1"/>
  <c r="D3113" i="1"/>
  <c r="D3114" i="1"/>
  <c r="D732" i="1"/>
  <c r="D733" i="1"/>
  <c r="D3115" i="1"/>
  <c r="D734" i="1"/>
  <c r="D3116" i="1"/>
  <c r="D735" i="1"/>
  <c r="D3117" i="1"/>
  <c r="D3118" i="1"/>
  <c r="D3119" i="1"/>
  <c r="D3120" i="1"/>
  <c r="D3121" i="1"/>
  <c r="D736" i="1"/>
  <c r="D737" i="1"/>
  <c r="D3122" i="1"/>
  <c r="D3123" i="1"/>
  <c r="D3124" i="1"/>
  <c r="D738" i="1"/>
  <c r="D739" i="1"/>
  <c r="D740" i="1"/>
  <c r="D3125" i="1"/>
  <c r="D3126" i="1"/>
  <c r="D741" i="1"/>
  <c r="D3127" i="1"/>
  <c r="D742" i="1"/>
  <c r="D743" i="1"/>
  <c r="D744" i="1"/>
  <c r="D3128" i="1"/>
  <c r="D3129" i="1"/>
  <c r="D3130" i="1"/>
  <c r="D745" i="1"/>
  <c r="D3131" i="1"/>
  <c r="D3132" i="1"/>
  <c r="D3133" i="1"/>
  <c r="D3134" i="1"/>
  <c r="D3135" i="1"/>
  <c r="D746" i="1"/>
  <c r="D3136" i="1"/>
  <c r="D747" i="1"/>
  <c r="D3137" i="1"/>
  <c r="D748" i="1"/>
  <c r="D749" i="1"/>
  <c r="D3138" i="1"/>
  <c r="D750" i="1"/>
  <c r="D3139" i="1"/>
  <c r="D3140" i="1"/>
  <c r="D3141" i="1"/>
  <c r="D751" i="1"/>
  <c r="D752" i="1"/>
  <c r="D3142" i="1"/>
  <c r="D3143" i="1"/>
  <c r="D753" i="1"/>
  <c r="D3144" i="1"/>
  <c r="D3145" i="1"/>
  <c r="D3146" i="1"/>
  <c r="D3147" i="1"/>
  <c r="D754" i="1"/>
  <c r="D755" i="1"/>
  <c r="D3148" i="1"/>
  <c r="D3149" i="1"/>
  <c r="D3150" i="1"/>
  <c r="D3151" i="1"/>
  <c r="D756" i="1"/>
  <c r="D3152" i="1"/>
  <c r="D3153" i="1"/>
  <c r="D3154" i="1"/>
  <c r="D3155" i="1"/>
  <c r="D3156" i="1"/>
  <c r="D3157" i="1"/>
  <c r="D3158" i="1"/>
  <c r="D757" i="1"/>
  <c r="D3159" i="1"/>
  <c r="D3160" i="1"/>
  <c r="D758" i="1"/>
  <c r="D759" i="1"/>
  <c r="D3161" i="1"/>
  <c r="D3162" i="1"/>
  <c r="D3163" i="1"/>
  <c r="D3164" i="1"/>
  <c r="D3165" i="1"/>
  <c r="D760" i="1"/>
  <c r="D3166" i="1"/>
  <c r="D3167" i="1"/>
  <c r="D3168" i="1"/>
  <c r="D3169" i="1"/>
  <c r="D761" i="1"/>
  <c r="D3170" i="1"/>
  <c r="D3171" i="1"/>
  <c r="D762" i="1"/>
  <c r="D3172" i="1"/>
  <c r="D763" i="1"/>
  <c r="D3173" i="1"/>
  <c r="D3174" i="1"/>
  <c r="D3175" i="1"/>
  <c r="D3176" i="1"/>
  <c r="D764" i="1"/>
  <c r="D765" i="1"/>
  <c r="D3177" i="1"/>
  <c r="D766" i="1"/>
  <c r="D767" i="1"/>
  <c r="D3178" i="1"/>
  <c r="D3179" i="1"/>
  <c r="D3180" i="1"/>
  <c r="D3181" i="1"/>
  <c r="D768" i="1"/>
  <c r="D769" i="1"/>
  <c r="D3182" i="1"/>
  <c r="D770" i="1"/>
  <c r="D3183" i="1"/>
  <c r="D3184" i="1"/>
  <c r="D3185" i="1"/>
  <c r="D3186" i="1"/>
  <c r="D3187" i="1"/>
  <c r="D3188" i="1"/>
  <c r="D3189" i="1"/>
  <c r="D3190" i="1"/>
  <c r="D771" i="1"/>
  <c r="D3191" i="1"/>
  <c r="D3192" i="1"/>
  <c r="D772" i="1"/>
  <c r="D3193" i="1"/>
  <c r="D3194" i="1"/>
  <c r="D773" i="1"/>
  <c r="D3195" i="1"/>
  <c r="D774" i="1"/>
  <c r="D775" i="1"/>
  <c r="D3196" i="1"/>
  <c r="D776" i="1"/>
  <c r="D3197" i="1"/>
  <c r="D777" i="1"/>
  <c r="D3198" i="1"/>
  <c r="D778" i="1"/>
  <c r="D779" i="1"/>
  <c r="D3199" i="1"/>
  <c r="D780" i="1"/>
  <c r="D3200" i="1"/>
  <c r="D3201" i="1"/>
  <c r="D3202" i="1"/>
  <c r="D3203" i="1"/>
  <c r="D781" i="1"/>
  <c r="D3204" i="1"/>
  <c r="D782" i="1"/>
  <c r="D3205" i="1"/>
  <c r="D783" i="1"/>
  <c r="D3206" i="1"/>
  <c r="D3207" i="1"/>
  <c r="D784" i="1"/>
  <c r="D3208" i="1"/>
  <c r="D3209" i="1"/>
  <c r="D785" i="1"/>
  <c r="D3210" i="1"/>
  <c r="D786" i="1"/>
  <c r="D787" i="1"/>
  <c r="D3211" i="1"/>
  <c r="D3212" i="1"/>
  <c r="D788" i="1"/>
  <c r="D789" i="1"/>
  <c r="D3213" i="1"/>
  <c r="D790" i="1"/>
  <c r="D3214" i="1"/>
  <c r="D3215" i="1"/>
  <c r="D3216" i="1"/>
  <c r="D3217" i="1"/>
  <c r="D3218" i="1"/>
  <c r="D791" i="1"/>
  <c r="D792" i="1"/>
  <c r="D793" i="1"/>
  <c r="D3219" i="1"/>
  <c r="D3220" i="1"/>
  <c r="D794" i="1"/>
  <c r="D3221" i="1"/>
  <c r="D3222" i="1"/>
  <c r="D3223" i="1"/>
  <c r="D3224" i="1"/>
  <c r="D795" i="1"/>
  <c r="D3225" i="1"/>
  <c r="D796" i="1"/>
  <c r="D797" i="1"/>
  <c r="D3226" i="1"/>
  <c r="D3227" i="1"/>
  <c r="D798" i="1"/>
  <c r="D3228" i="1"/>
  <c r="D799" i="1"/>
  <c r="D800" i="1"/>
  <c r="D801" i="1"/>
  <c r="D802" i="1"/>
  <c r="D803" i="1"/>
  <c r="D804" i="1"/>
  <c r="D3229" i="1"/>
  <c r="D3230" i="1"/>
  <c r="D3231" i="1"/>
  <c r="D3232" i="1"/>
  <c r="D805" i="1"/>
  <c r="D806" i="1"/>
  <c r="D807" i="1"/>
  <c r="D808" i="1"/>
  <c r="D809" i="1"/>
  <c r="D810" i="1"/>
  <c r="D3233" i="1"/>
  <c r="D811" i="1"/>
  <c r="D812" i="1"/>
  <c r="D813" i="1"/>
  <c r="D3234" i="1"/>
  <c r="D3235" i="1"/>
  <c r="D3236" i="1"/>
  <c r="D3237" i="1"/>
  <c r="D3238" i="1"/>
  <c r="D814" i="1"/>
  <c r="D3239" i="1"/>
  <c r="D3240" i="1"/>
  <c r="D3241" i="1"/>
  <c r="D3242" i="1"/>
  <c r="D815" i="1"/>
  <c r="D3243" i="1"/>
  <c r="D816" i="1"/>
  <c r="D3244" i="1"/>
  <c r="D3245" i="1"/>
  <c r="D817" i="1"/>
  <c r="D818" i="1"/>
  <c r="D819" i="1"/>
  <c r="D820" i="1"/>
  <c r="D821" i="1"/>
  <c r="D822" i="1"/>
  <c r="D3246" i="1"/>
  <c r="D823" i="1"/>
  <c r="D3247" i="1"/>
  <c r="D824" i="1"/>
  <c r="D3248" i="1"/>
  <c r="D825" i="1"/>
  <c r="D826" i="1"/>
  <c r="D3249" i="1"/>
  <c r="D3250" i="1"/>
  <c r="D3251" i="1"/>
  <c r="D827" i="1"/>
  <c r="D828" i="1"/>
  <c r="D829" i="1"/>
  <c r="D3252" i="1"/>
  <c r="D3253" i="1"/>
  <c r="D3254" i="1"/>
  <c r="D3255" i="1"/>
  <c r="D830" i="1"/>
  <c r="D3256" i="1"/>
  <c r="D831" i="1"/>
  <c r="D3257" i="1"/>
  <c r="D832" i="1"/>
  <c r="D833" i="1"/>
  <c r="D834" i="1"/>
  <c r="D3258" i="1"/>
  <c r="D3259" i="1"/>
  <c r="D3260" i="1"/>
  <c r="D3261" i="1"/>
  <c r="D3262" i="1"/>
  <c r="D3263" i="1"/>
  <c r="D835" i="1"/>
  <c r="D3264" i="1"/>
  <c r="D3265" i="1"/>
  <c r="D836" i="1"/>
  <c r="D3266" i="1"/>
  <c r="D3267" i="1"/>
  <c r="D837" i="1"/>
  <c r="D3268" i="1"/>
  <c r="D838" i="1"/>
  <c r="D3269" i="1"/>
  <c r="D839" i="1"/>
  <c r="D840" i="1"/>
  <c r="D841" i="1"/>
  <c r="D842" i="1"/>
  <c r="D843" i="1"/>
  <c r="D3270" i="1"/>
  <c r="D3271" i="1"/>
  <c r="D3272" i="1"/>
  <c r="D3273" i="1"/>
  <c r="D3274" i="1"/>
  <c r="D3275" i="1"/>
  <c r="D3276" i="1"/>
  <c r="D3277" i="1"/>
  <c r="D844" i="1"/>
  <c r="D3278" i="1"/>
  <c r="D3279" i="1"/>
  <c r="D845" i="1"/>
  <c r="D3280" i="1"/>
  <c r="D3281" i="1"/>
  <c r="D846" i="1"/>
  <c r="D847" i="1"/>
  <c r="D848" i="1"/>
  <c r="D849" i="1"/>
  <c r="D3282" i="1"/>
  <c r="D3283" i="1"/>
  <c r="D3284" i="1"/>
  <c r="D3285" i="1"/>
  <c r="D850" i="1"/>
  <c r="D851" i="1"/>
  <c r="D3286" i="1"/>
  <c r="D3287" i="1"/>
  <c r="D852" i="1"/>
  <c r="D853" i="1"/>
  <c r="D854" i="1"/>
  <c r="D3288" i="1"/>
  <c r="D855" i="1"/>
  <c r="D3289" i="1"/>
  <c r="D3290" i="1"/>
  <c r="D3291" i="1"/>
  <c r="D856" i="1"/>
  <c r="D857" i="1"/>
  <c r="D3292" i="1"/>
  <c r="D3293" i="1"/>
  <c r="D858" i="1"/>
  <c r="D3294" i="1"/>
  <c r="D3295" i="1"/>
  <c r="D3296" i="1"/>
  <c r="D3297" i="1"/>
  <c r="D859" i="1"/>
  <c r="D3298" i="1"/>
  <c r="D860" i="1"/>
  <c r="D3299" i="1"/>
  <c r="D861" i="1"/>
  <c r="D3300" i="1"/>
  <c r="D3301" i="1"/>
  <c r="D3302" i="1"/>
  <c r="D862" i="1"/>
  <c r="D3303" i="1"/>
  <c r="D863" i="1"/>
  <c r="D3304" i="1"/>
  <c r="D864" i="1"/>
  <c r="D865" i="1"/>
  <c r="D866" i="1"/>
  <c r="D867" i="1"/>
  <c r="D868" i="1"/>
  <c r="D3305" i="1"/>
  <c r="D3306" i="1"/>
  <c r="D3307" i="1"/>
  <c r="D3308" i="1"/>
  <c r="D3309" i="1"/>
  <c r="D869" i="1"/>
  <c r="D3310" i="1"/>
  <c r="D3311" i="1"/>
  <c r="D3312" i="1"/>
  <c r="D3313" i="1"/>
  <c r="D870" i="1"/>
  <c r="D3314" i="1"/>
  <c r="D3315" i="1"/>
  <c r="D3316" i="1"/>
  <c r="D3317" i="1"/>
  <c r="D871" i="1"/>
  <c r="D3318" i="1"/>
  <c r="D3319" i="1"/>
  <c r="D872" i="1"/>
  <c r="D3320" i="1"/>
  <c r="D3321" i="1"/>
  <c r="D873" i="1"/>
  <c r="D874" i="1"/>
  <c r="D3322" i="1"/>
  <c r="D3323" i="1"/>
  <c r="D3324" i="1"/>
  <c r="D875" i="1"/>
  <c r="D3325" i="1"/>
  <c r="D876" i="1"/>
  <c r="D877" i="1"/>
  <c r="D3326" i="1"/>
  <c r="D878" i="1"/>
  <c r="D3327" i="1"/>
  <c r="D3328" i="1"/>
  <c r="D879" i="1"/>
  <c r="D3329" i="1"/>
  <c r="D880" i="1"/>
  <c r="D881" i="1"/>
  <c r="D3330" i="1"/>
  <c r="D3331" i="1"/>
  <c r="D3332" i="1"/>
  <c r="D882" i="1"/>
  <c r="D883" i="1"/>
  <c r="D3333" i="1"/>
  <c r="D884" i="1"/>
  <c r="D885" i="1"/>
  <c r="D3334" i="1"/>
  <c r="D3335" i="1"/>
  <c r="D886" i="1"/>
  <c r="D887" i="1"/>
  <c r="D3336" i="1"/>
  <c r="D3337" i="1"/>
  <c r="D3338" i="1"/>
  <c r="D888" i="1"/>
  <c r="D889" i="1"/>
  <c r="D3339" i="1"/>
  <c r="D890" i="1"/>
  <c r="D891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892" i="1"/>
  <c r="D3352" i="1"/>
  <c r="D3353" i="1"/>
  <c r="D3354" i="1"/>
  <c r="D3355" i="1"/>
  <c r="D893" i="1"/>
  <c r="D3356" i="1"/>
  <c r="D3357" i="1"/>
  <c r="D894" i="1"/>
  <c r="D3358" i="1"/>
  <c r="D3359" i="1"/>
  <c r="D3360" i="1"/>
  <c r="D895" i="1"/>
  <c r="D896" i="1"/>
  <c r="D897" i="1"/>
  <c r="D3361" i="1"/>
  <c r="D3362" i="1"/>
  <c r="D898" i="1"/>
  <c r="D3363" i="1"/>
  <c r="D3364" i="1"/>
  <c r="D899" i="1"/>
  <c r="D3365" i="1"/>
  <c r="D3366" i="1"/>
  <c r="D3367" i="1"/>
  <c r="D3368" i="1"/>
  <c r="D900" i="1"/>
  <c r="D3369" i="1"/>
  <c r="D3370" i="1"/>
  <c r="D901" i="1"/>
  <c r="D902" i="1"/>
  <c r="D903" i="1"/>
  <c r="D3371" i="1"/>
  <c r="D904" i="1"/>
  <c r="D3372" i="1"/>
  <c r="D3373" i="1"/>
  <c r="D3374" i="1"/>
  <c r="D905" i="1"/>
  <c r="D906" i="1"/>
  <c r="D3375" i="1"/>
  <c r="D907" i="1"/>
  <c r="D3376" i="1"/>
  <c r="D3377" i="1"/>
  <c r="D3378" i="1"/>
  <c r="D3379" i="1"/>
  <c r="D908" i="1"/>
  <c r="D909" i="1"/>
  <c r="D910" i="1"/>
  <c r="D3380" i="1"/>
  <c r="D3381" i="1"/>
  <c r="D3382" i="1"/>
  <c r="D3383" i="1"/>
  <c r="D3384" i="1"/>
  <c r="D911" i="1"/>
  <c r="D912" i="1"/>
  <c r="D913" i="1"/>
  <c r="D3385" i="1"/>
  <c r="D914" i="1"/>
  <c r="D915" i="1"/>
  <c r="D3386" i="1"/>
  <c r="D916" i="1"/>
  <c r="D3387" i="1"/>
  <c r="D917" i="1"/>
  <c r="D3388" i="1"/>
  <c r="D3389" i="1"/>
  <c r="D918" i="1"/>
  <c r="D919" i="1"/>
  <c r="D3390" i="1"/>
  <c r="D920" i="1"/>
  <c r="D921" i="1"/>
  <c r="D3391" i="1"/>
  <c r="D3392" i="1"/>
  <c r="D3393" i="1"/>
  <c r="D3394" i="1"/>
  <c r="D922" i="1"/>
  <c r="D3395" i="1"/>
  <c r="D3396" i="1"/>
  <c r="D3397" i="1"/>
  <c r="D3398" i="1"/>
  <c r="D923" i="1"/>
  <c r="D3399" i="1"/>
  <c r="D3400" i="1"/>
  <c r="D3401" i="1"/>
  <c r="D3402" i="1"/>
  <c r="D3403" i="1"/>
  <c r="D3404" i="1"/>
  <c r="D924" i="1"/>
  <c r="D925" i="1"/>
  <c r="D926" i="1"/>
  <c r="D3405" i="1"/>
  <c r="D3406" i="1"/>
  <c r="D927" i="1"/>
  <c r="D3407" i="1"/>
  <c r="D3408" i="1"/>
  <c r="D3409" i="1"/>
  <c r="D928" i="1"/>
  <c r="D3410" i="1"/>
  <c r="D929" i="1"/>
  <c r="D3411" i="1"/>
  <c r="D930" i="1"/>
  <c r="D3412" i="1"/>
  <c r="D931" i="1"/>
  <c r="D932" i="1"/>
  <c r="D3413" i="1"/>
  <c r="D3414" i="1"/>
  <c r="D3415" i="1"/>
  <c r="D3416" i="1"/>
  <c r="D3417" i="1"/>
  <c r="D3418" i="1"/>
  <c r="D3419" i="1"/>
  <c r="D933" i="1"/>
  <c r="D934" i="1"/>
  <c r="D3420" i="1"/>
  <c r="D3421" i="1"/>
  <c r="D935" i="1"/>
  <c r="D936" i="1"/>
  <c r="D3422" i="1"/>
  <c r="D3423" i="1"/>
  <c r="D937" i="1"/>
  <c r="D3424" i="1"/>
  <c r="D3425" i="1"/>
  <c r="D938" i="1"/>
  <c r="D939" i="1"/>
  <c r="D940" i="1"/>
  <c r="D941" i="1"/>
  <c r="D942" i="1"/>
  <c r="D3426" i="1"/>
  <c r="D943" i="1"/>
  <c r="D3427" i="1"/>
  <c r="D3428" i="1"/>
  <c r="D944" i="1"/>
  <c r="D945" i="1"/>
  <c r="D3429" i="1"/>
  <c r="D946" i="1"/>
  <c r="D3430" i="1"/>
  <c r="D3431" i="1"/>
  <c r="D3432" i="1"/>
  <c r="D3433" i="1"/>
  <c r="D947" i="1"/>
  <c r="D3434" i="1"/>
  <c r="D948" i="1"/>
  <c r="D949" i="1"/>
  <c r="D950" i="1"/>
  <c r="D3435" i="1"/>
  <c r="D3436" i="1"/>
  <c r="D951" i="1"/>
  <c r="D3437" i="1"/>
  <c r="D3438" i="1"/>
  <c r="D3439" i="1"/>
  <c r="D3440" i="1"/>
  <c r="D3441" i="1"/>
  <c r="D3442" i="1"/>
  <c r="D3443" i="1"/>
  <c r="D3444" i="1"/>
  <c r="D3445" i="1"/>
  <c r="D3446" i="1"/>
  <c r="D952" i="1"/>
  <c r="D3447" i="1"/>
  <c r="D3448" i="1"/>
  <c r="D3449" i="1"/>
  <c r="D953" i="1"/>
  <c r="D3450" i="1"/>
  <c r="D954" i="1"/>
  <c r="D955" i="1"/>
  <c r="D3451" i="1"/>
  <c r="D3452" i="1"/>
  <c r="D3453" i="1"/>
  <c r="D956" i="1"/>
  <c r="D957" i="1"/>
  <c r="D3454" i="1"/>
  <c r="D3455" i="1"/>
  <c r="D3456" i="1"/>
  <c r="D958" i="1"/>
  <c r="D3457" i="1"/>
  <c r="D3458" i="1"/>
  <c r="D959" i="1"/>
  <c r="D3459" i="1"/>
  <c r="D960" i="1"/>
  <c r="D3460" i="1"/>
  <c r="D961" i="1"/>
  <c r="D962" i="1"/>
  <c r="D3461" i="1"/>
  <c r="D3462" i="1"/>
  <c r="D3463" i="1"/>
  <c r="D3464" i="1"/>
  <c r="D963" i="1"/>
  <c r="D964" i="1"/>
  <c r="D3465" i="1"/>
  <c r="D965" i="1"/>
  <c r="D3466" i="1"/>
  <c r="D3467" i="1"/>
  <c r="D3468" i="1"/>
  <c r="D966" i="1"/>
  <c r="D967" i="1"/>
  <c r="D3469" i="1"/>
  <c r="D3470" i="1"/>
  <c r="D3471" i="1"/>
  <c r="D968" i="1"/>
  <c r="D3472" i="1"/>
  <c r="D3473" i="1"/>
  <c r="D3474" i="1"/>
  <c r="D3475" i="1"/>
  <c r="D969" i="1"/>
  <c r="D970" i="1"/>
  <c r="D3476" i="1"/>
  <c r="D971" i="1"/>
  <c r="D972" i="1"/>
  <c r="D3477" i="1"/>
  <c r="D3478" i="1"/>
  <c r="D3479" i="1"/>
  <c r="D973" i="1"/>
  <c r="D974" i="1"/>
  <c r="D3480" i="1"/>
  <c r="D3481" i="1"/>
  <c r="D975" i="1"/>
  <c r="D3482" i="1"/>
  <c r="D976" i="1"/>
  <c r="D977" i="1"/>
  <c r="D3483" i="1"/>
  <c r="D978" i="1"/>
  <c r="D3484" i="1"/>
  <c r="D3485" i="1"/>
  <c r="D979" i="1"/>
  <c r="D3486" i="1"/>
  <c r="D980" i="1"/>
  <c r="D3487" i="1"/>
  <c r="D981" i="1"/>
  <c r="D3488" i="1"/>
  <c r="D982" i="1"/>
  <c r="D983" i="1"/>
  <c r="D3489" i="1"/>
  <c r="D3490" i="1"/>
  <c r="D3491" i="1"/>
  <c r="D3492" i="1"/>
  <c r="D3493" i="1"/>
  <c r="D984" i="1"/>
  <c r="D985" i="1"/>
  <c r="D3494" i="1"/>
  <c r="D986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987" i="1"/>
  <c r="D988" i="1"/>
  <c r="D989" i="1"/>
  <c r="D990" i="1"/>
  <c r="D3507" i="1"/>
  <c r="D991" i="1"/>
  <c r="D3508" i="1"/>
  <c r="D992" i="1"/>
  <c r="D3509" i="1"/>
  <c r="D993" i="1"/>
  <c r="D3510" i="1"/>
  <c r="D994" i="1"/>
  <c r="D995" i="1"/>
  <c r="D3511" i="1"/>
  <c r="D3512" i="1"/>
  <c r="D996" i="1"/>
  <c r="D997" i="1"/>
  <c r="D3513" i="1"/>
  <c r="D3514" i="1"/>
  <c r="D3515" i="1"/>
  <c r="D3516" i="1"/>
  <c r="D998" i="1"/>
  <c r="D3517" i="1"/>
  <c r="D3518" i="1"/>
  <c r="D3519" i="1"/>
  <c r="D3520" i="1"/>
  <c r="D3521" i="1"/>
  <c r="D3522" i="1"/>
  <c r="D999" i="1"/>
  <c r="D3523" i="1"/>
  <c r="D3524" i="1"/>
  <c r="D3525" i="1"/>
  <c r="D3526" i="1"/>
  <c r="D3527" i="1"/>
  <c r="D3528" i="1"/>
  <c r="D3529" i="1"/>
  <c r="D1000" i="1"/>
  <c r="D3530" i="1"/>
  <c r="D1001" i="1"/>
  <c r="D1002" i="1"/>
  <c r="D3531" i="1"/>
  <c r="D3532" i="1"/>
  <c r="D1003" i="1"/>
  <c r="D3533" i="1"/>
  <c r="D1004" i="1"/>
  <c r="D3534" i="1"/>
  <c r="D3535" i="1"/>
  <c r="D1005" i="1"/>
  <c r="D3536" i="1"/>
  <c r="D1006" i="1"/>
  <c r="D3537" i="1"/>
  <c r="D3538" i="1"/>
  <c r="D3539" i="1"/>
  <c r="D3540" i="1"/>
  <c r="D3541" i="1"/>
  <c r="D3542" i="1"/>
  <c r="D1007" i="1"/>
  <c r="D3543" i="1"/>
  <c r="D3544" i="1"/>
  <c r="D3545" i="1"/>
  <c r="D1008" i="1"/>
  <c r="D1009" i="1"/>
  <c r="D3546" i="1"/>
  <c r="D1010" i="1"/>
  <c r="D1011" i="1"/>
  <c r="D3547" i="1"/>
  <c r="D3548" i="1"/>
  <c r="D1012" i="1"/>
  <c r="D3549" i="1"/>
  <c r="D1013" i="1"/>
  <c r="D1014" i="1"/>
  <c r="D3550" i="1"/>
  <c r="D3551" i="1"/>
  <c r="D1015" i="1"/>
  <c r="D3552" i="1"/>
  <c r="D3553" i="1"/>
  <c r="D1016" i="1"/>
  <c r="D3554" i="1"/>
  <c r="D3555" i="1"/>
  <c r="D3556" i="1"/>
  <c r="D3557" i="1"/>
  <c r="D3558" i="1"/>
  <c r="D3559" i="1"/>
  <c r="D1017" i="1"/>
  <c r="D1018" i="1"/>
  <c r="D3560" i="1"/>
  <c r="D3561" i="1"/>
  <c r="D3562" i="1"/>
  <c r="D3563" i="1"/>
  <c r="D3564" i="1"/>
  <c r="D1019" i="1"/>
  <c r="D3565" i="1"/>
  <c r="D3566" i="1"/>
  <c r="D1020" i="1"/>
  <c r="D1021" i="1"/>
  <c r="D3567" i="1"/>
  <c r="D1022" i="1"/>
  <c r="D3568" i="1"/>
  <c r="D1023" i="1"/>
  <c r="D3569" i="1"/>
  <c r="D3570" i="1"/>
  <c r="D3571" i="1"/>
  <c r="D1024" i="1"/>
  <c r="D1025" i="1"/>
  <c r="D1026" i="1"/>
  <c r="D1027" i="1"/>
  <c r="D1028" i="1"/>
  <c r="D3572" i="1"/>
  <c r="D1029" i="1"/>
  <c r="D1030" i="1"/>
  <c r="D3573" i="1"/>
  <c r="D3574" i="1"/>
  <c r="D3575" i="1"/>
  <c r="D3576" i="1"/>
  <c r="D1031" i="1"/>
  <c r="D3577" i="1"/>
  <c r="D3578" i="1"/>
  <c r="D3579" i="1"/>
  <c r="D1032" i="1"/>
  <c r="D1033" i="1"/>
  <c r="D1034" i="1"/>
  <c r="D3580" i="1"/>
  <c r="D3581" i="1"/>
  <c r="D3582" i="1"/>
  <c r="D3583" i="1"/>
  <c r="D3584" i="1"/>
  <c r="D3585" i="1"/>
  <c r="D3586" i="1"/>
  <c r="D3587" i="1"/>
  <c r="D1035" i="1"/>
  <c r="D3588" i="1"/>
  <c r="D1036" i="1"/>
  <c r="D1037" i="1"/>
  <c r="D1038" i="1"/>
  <c r="D3589" i="1"/>
  <c r="D1039" i="1"/>
  <c r="D3590" i="1"/>
  <c r="D3591" i="1"/>
  <c r="D3592" i="1"/>
  <c r="D1040" i="1"/>
  <c r="D1041" i="1"/>
  <c r="D3593" i="1"/>
  <c r="D3594" i="1"/>
  <c r="D3595" i="1"/>
  <c r="D3596" i="1"/>
  <c r="D3597" i="1"/>
  <c r="D3598" i="1"/>
  <c r="D1042" i="1"/>
  <c r="D1043" i="1"/>
  <c r="D1044" i="1"/>
  <c r="D1045" i="1"/>
  <c r="D1046" i="1"/>
  <c r="D3599" i="1"/>
  <c r="D3600" i="1"/>
  <c r="D3601" i="1"/>
  <c r="D3602" i="1"/>
  <c r="D3603" i="1"/>
  <c r="D3604" i="1"/>
  <c r="D1047" i="1"/>
  <c r="D3605" i="1"/>
  <c r="D1048" i="1"/>
  <c r="D3606" i="1"/>
  <c r="D1049" i="1"/>
  <c r="D1050" i="1"/>
  <c r="D3607" i="1"/>
  <c r="D1051" i="1"/>
  <c r="D1052" i="1"/>
  <c r="D3608" i="1"/>
  <c r="D3609" i="1"/>
  <c r="D1053" i="1"/>
  <c r="D3610" i="1"/>
  <c r="D3611" i="1"/>
  <c r="D3612" i="1"/>
  <c r="D1054" i="1"/>
  <c r="D1055" i="1"/>
  <c r="D1056" i="1"/>
  <c r="D3613" i="1"/>
  <c r="D1057" i="1"/>
  <c r="D3614" i="1"/>
  <c r="D3615" i="1"/>
  <c r="D3616" i="1"/>
  <c r="D3617" i="1"/>
  <c r="D1058" i="1"/>
  <c r="D3618" i="1"/>
  <c r="D3619" i="1"/>
  <c r="D3620" i="1"/>
  <c r="D3621" i="1"/>
  <c r="D3622" i="1"/>
  <c r="D3623" i="1"/>
  <c r="D3624" i="1"/>
  <c r="D3625" i="1"/>
  <c r="D3626" i="1"/>
  <c r="D3627" i="1"/>
  <c r="D1059" i="1"/>
  <c r="D3628" i="1"/>
  <c r="D1060" i="1"/>
  <c r="D3629" i="1"/>
  <c r="D3630" i="1"/>
  <c r="D1061" i="1"/>
  <c r="D1062" i="1"/>
  <c r="D3631" i="1"/>
  <c r="D3632" i="1"/>
  <c r="D3633" i="1"/>
  <c r="D1063" i="1"/>
  <c r="D3634" i="1"/>
  <c r="D1064" i="1"/>
  <c r="D3635" i="1"/>
  <c r="D1065" i="1"/>
  <c r="D3636" i="1"/>
  <c r="D1066" i="1"/>
  <c r="D1067" i="1"/>
  <c r="D1068" i="1"/>
  <c r="D1069" i="1"/>
  <c r="D1070" i="1"/>
  <c r="D1071" i="1"/>
  <c r="D1072" i="1"/>
  <c r="D3637" i="1"/>
  <c r="D1073" i="1"/>
  <c r="D1074" i="1"/>
  <c r="D1075" i="1"/>
  <c r="D3638" i="1"/>
  <c r="D3639" i="1"/>
  <c r="D1076" i="1"/>
  <c r="D3640" i="1"/>
  <c r="D1077" i="1"/>
  <c r="D3641" i="1"/>
  <c r="D1078" i="1"/>
  <c r="D3642" i="1"/>
  <c r="D1079" i="1"/>
  <c r="D1080" i="1"/>
  <c r="D3643" i="1"/>
  <c r="D3644" i="1"/>
  <c r="D3645" i="1"/>
  <c r="D3646" i="1"/>
  <c r="D3647" i="1"/>
  <c r="D3648" i="1"/>
  <c r="D3649" i="1"/>
  <c r="D1081" i="1"/>
  <c r="D1082" i="1"/>
  <c r="D1083" i="1"/>
  <c r="D3650" i="1"/>
  <c r="D1084" i="1"/>
  <c r="D3651" i="1"/>
  <c r="D1085" i="1"/>
  <c r="D3652" i="1"/>
  <c r="D3653" i="1"/>
  <c r="D1086" i="1"/>
  <c r="D1087" i="1"/>
  <c r="D3654" i="1"/>
  <c r="D3655" i="1"/>
  <c r="D1088" i="1"/>
  <c r="D3656" i="1"/>
  <c r="D3657" i="1"/>
  <c r="D3658" i="1"/>
  <c r="D3659" i="1"/>
  <c r="D3660" i="1"/>
  <c r="D1089" i="1"/>
  <c r="D1090" i="1"/>
  <c r="D1091" i="1"/>
  <c r="D3661" i="1"/>
  <c r="D3662" i="1"/>
  <c r="D3663" i="1"/>
  <c r="D3664" i="1"/>
  <c r="D3665" i="1"/>
  <c r="D3666" i="1"/>
  <c r="D1092" i="1"/>
  <c r="D1093" i="1"/>
  <c r="D3667" i="1"/>
  <c r="D1094" i="1"/>
  <c r="D3668" i="1"/>
  <c r="D3669" i="1"/>
  <c r="D3670" i="1"/>
  <c r="D3671" i="1"/>
  <c r="D3672" i="1"/>
  <c r="D3673" i="1"/>
  <c r="D1095" i="1"/>
  <c r="D3674" i="1"/>
  <c r="D3675" i="1"/>
  <c r="D3676" i="1"/>
  <c r="D3677" i="1"/>
  <c r="D1096" i="1"/>
  <c r="D1097" i="1"/>
  <c r="D3678" i="1"/>
  <c r="D3679" i="1"/>
  <c r="D1098" i="1"/>
  <c r="D1099" i="1"/>
  <c r="D1100" i="1"/>
  <c r="D1101" i="1"/>
  <c r="D3680" i="1"/>
  <c r="D3681" i="1"/>
  <c r="D3682" i="1"/>
  <c r="D3683" i="1"/>
  <c r="D3684" i="1"/>
  <c r="D1102" i="1"/>
  <c r="D3685" i="1"/>
  <c r="D1103" i="1"/>
  <c r="D3686" i="1"/>
  <c r="D3687" i="1"/>
  <c r="D3688" i="1"/>
  <c r="D1104" i="1"/>
  <c r="D1105" i="1"/>
  <c r="D1106" i="1"/>
  <c r="D1107" i="1"/>
  <c r="D3689" i="1"/>
  <c r="D1108" i="1"/>
  <c r="D3690" i="1"/>
  <c r="D1109" i="1"/>
  <c r="D3691" i="1"/>
  <c r="D1110" i="1"/>
  <c r="D1111" i="1"/>
  <c r="D3692" i="1"/>
  <c r="D3693" i="1"/>
  <c r="D1112" i="1"/>
  <c r="D3694" i="1"/>
  <c r="D3695" i="1"/>
  <c r="D3696" i="1"/>
  <c r="D1113" i="1"/>
  <c r="D3697" i="1"/>
  <c r="D3698" i="1"/>
  <c r="D3699" i="1"/>
  <c r="D1114" i="1"/>
  <c r="D3700" i="1"/>
  <c r="D1115" i="1"/>
  <c r="D1116" i="1"/>
  <c r="D3701" i="1"/>
  <c r="D3702" i="1"/>
  <c r="D3703" i="1"/>
  <c r="D3704" i="1"/>
  <c r="D1117" i="1"/>
  <c r="D3705" i="1"/>
  <c r="D1118" i="1"/>
  <c r="D1119" i="1"/>
  <c r="D3706" i="1"/>
  <c r="D3707" i="1"/>
  <c r="D3708" i="1"/>
  <c r="D1120" i="1"/>
  <c r="D1121" i="1"/>
  <c r="D1122" i="1"/>
  <c r="D1123" i="1"/>
  <c r="D3709" i="1"/>
  <c r="D3710" i="1"/>
  <c r="D1124" i="1"/>
  <c r="D1125" i="1"/>
  <c r="D3711" i="1"/>
  <c r="D1126" i="1"/>
  <c r="D1127" i="1"/>
  <c r="D3712" i="1"/>
  <c r="D1128" i="1"/>
  <c r="D1129" i="1"/>
  <c r="D1130" i="1"/>
  <c r="D1131" i="1"/>
  <c r="D3713" i="1"/>
  <c r="D3714" i="1"/>
  <c r="D1132" i="1"/>
  <c r="D3715" i="1"/>
  <c r="D3716" i="1"/>
  <c r="D3717" i="1"/>
  <c r="D3718" i="1"/>
  <c r="D3719" i="1"/>
  <c r="D3720" i="1"/>
  <c r="D1133" i="1"/>
  <c r="D1134" i="1"/>
  <c r="D3721" i="1"/>
  <c r="D1135" i="1"/>
  <c r="D1136" i="1"/>
  <c r="D3722" i="1"/>
  <c r="D1137" i="1"/>
  <c r="D1138" i="1"/>
  <c r="D1139" i="1"/>
  <c r="D1140" i="1"/>
  <c r="D1141" i="1"/>
  <c r="D3723" i="1"/>
  <c r="D3724" i="1"/>
  <c r="D1142" i="1"/>
  <c r="D3725" i="1"/>
  <c r="D3726" i="1"/>
  <c r="D1143" i="1"/>
  <c r="D3727" i="1"/>
  <c r="D1144" i="1"/>
  <c r="D1145" i="1"/>
  <c r="D1146" i="1"/>
  <c r="D1147" i="1"/>
  <c r="D3728" i="1"/>
  <c r="D3729" i="1"/>
  <c r="D3730" i="1"/>
  <c r="D3731" i="1"/>
  <c r="D3732" i="1"/>
  <c r="D3733" i="1"/>
  <c r="D1148" i="1"/>
  <c r="D3734" i="1"/>
  <c r="D1149" i="1"/>
  <c r="D3735" i="1"/>
  <c r="D3736" i="1"/>
  <c r="D3737" i="1"/>
  <c r="D1150" i="1"/>
  <c r="D3738" i="1"/>
  <c r="D1151" i="1"/>
  <c r="D3739" i="1"/>
  <c r="D3740" i="1"/>
  <c r="D3741" i="1"/>
  <c r="D1152" i="1"/>
  <c r="D1153" i="1"/>
  <c r="D3742" i="1"/>
  <c r="D3743" i="1"/>
  <c r="D3744" i="1"/>
  <c r="D3745" i="1"/>
  <c r="D3746" i="1"/>
  <c r="D1154" i="1"/>
  <c r="D1155" i="1"/>
  <c r="D1156" i="1"/>
  <c r="D1157" i="1"/>
  <c r="D3747" i="1"/>
  <c r="D1158" i="1"/>
  <c r="D3748" i="1"/>
  <c r="D3749" i="1"/>
  <c r="D3750" i="1"/>
  <c r="D3751" i="1"/>
  <c r="D3752" i="1"/>
  <c r="D1159" i="1"/>
  <c r="D3753" i="1"/>
  <c r="D3754" i="1"/>
  <c r="D1160" i="1"/>
  <c r="D1161" i="1"/>
  <c r="D3755" i="1"/>
  <c r="D3756" i="1"/>
  <c r="D3757" i="1"/>
  <c r="D1162" i="1"/>
  <c r="D1163" i="1"/>
  <c r="D3758" i="1"/>
  <c r="D3759" i="1"/>
  <c r="D3760" i="1"/>
  <c r="D3761" i="1"/>
  <c r="D3762" i="1"/>
  <c r="D3763" i="1"/>
  <c r="D1164" i="1"/>
  <c r="D1165" i="1"/>
  <c r="D3764" i="1"/>
  <c r="D3765" i="1"/>
  <c r="D1166" i="1"/>
  <c r="D3766" i="1"/>
  <c r="D3767" i="1"/>
  <c r="D1167" i="1"/>
  <c r="D3768" i="1"/>
  <c r="D1168" i="1"/>
  <c r="D1169" i="1"/>
  <c r="D1170" i="1"/>
  <c r="D3769" i="1"/>
  <c r="D1171" i="1"/>
  <c r="D3770" i="1"/>
  <c r="D3771" i="1"/>
  <c r="D3772" i="1"/>
  <c r="D1172" i="1"/>
  <c r="D3773" i="1"/>
  <c r="D3774" i="1"/>
  <c r="D3775" i="1"/>
  <c r="D3776" i="1"/>
  <c r="D3777" i="1"/>
  <c r="D3778" i="1"/>
  <c r="D1173" i="1"/>
  <c r="D3779" i="1"/>
  <c r="D3780" i="1"/>
  <c r="D3781" i="1"/>
  <c r="D3782" i="1"/>
  <c r="D3783" i="1"/>
  <c r="D3784" i="1"/>
  <c r="D1174" i="1"/>
  <c r="D3785" i="1"/>
  <c r="D1175" i="1"/>
  <c r="D1176" i="1"/>
  <c r="D3786" i="1"/>
  <c r="D1177" i="1"/>
  <c r="D3787" i="1"/>
  <c r="D3788" i="1"/>
  <c r="D3789" i="1"/>
  <c r="D3790" i="1"/>
  <c r="D3791" i="1"/>
  <c r="D3792" i="1"/>
  <c r="D3793" i="1"/>
  <c r="D1178" i="1"/>
  <c r="D3794" i="1"/>
  <c r="D1179" i="1"/>
  <c r="D3795" i="1"/>
  <c r="D3796" i="1"/>
  <c r="D3797" i="1"/>
  <c r="D1180" i="1"/>
  <c r="D3798" i="1"/>
  <c r="D3799" i="1"/>
  <c r="D3800" i="1"/>
  <c r="D1181" i="1"/>
  <c r="D1182" i="1"/>
  <c r="D3801" i="1"/>
  <c r="D1183" i="1"/>
  <c r="D3802" i="1"/>
  <c r="D3803" i="1"/>
  <c r="D1184" i="1"/>
  <c r="D1185" i="1"/>
  <c r="D3804" i="1"/>
  <c r="D3805" i="1"/>
  <c r="D1186" i="1"/>
  <c r="D3806" i="1"/>
  <c r="D1187" i="1"/>
  <c r="D1188" i="1"/>
  <c r="D1189" i="1"/>
  <c r="D1190" i="1"/>
  <c r="D3807" i="1"/>
  <c r="D1191" i="1"/>
  <c r="D1192" i="1"/>
  <c r="D3808" i="1"/>
  <c r="D1193" i="1"/>
  <c r="D1194" i="1"/>
  <c r="D1195" i="1"/>
  <c r="D1196" i="1"/>
  <c r="D3809" i="1"/>
  <c r="D3810" i="1"/>
  <c r="D1197" i="1"/>
  <c r="D1198" i="1"/>
  <c r="D3811" i="1"/>
  <c r="D3812" i="1"/>
  <c r="D1199" i="1"/>
  <c r="D3813" i="1"/>
  <c r="D3814" i="1"/>
  <c r="D3815" i="1"/>
  <c r="D3816" i="1"/>
  <c r="D1200" i="1"/>
  <c r="D3817" i="1"/>
  <c r="D3818" i="1"/>
  <c r="D1201" i="1"/>
  <c r="D1202" i="1"/>
  <c r="D3819" i="1"/>
  <c r="D3820" i="1"/>
  <c r="D3821" i="1"/>
  <c r="D1203" i="1"/>
  <c r="D3822" i="1"/>
  <c r="D3823" i="1"/>
  <c r="D3824" i="1"/>
  <c r="D1204" i="1"/>
  <c r="D3825" i="1"/>
  <c r="D3826" i="1"/>
  <c r="D3827" i="1"/>
  <c r="D3828" i="1"/>
  <c r="D3829" i="1"/>
  <c r="D3830" i="1"/>
  <c r="D3831" i="1"/>
  <c r="D1205" i="1"/>
  <c r="D1206" i="1"/>
  <c r="D1207" i="1"/>
  <c r="D3832" i="1"/>
  <c r="D3833" i="1"/>
  <c r="D1208" i="1"/>
  <c r="D3834" i="1"/>
  <c r="D3835" i="1"/>
  <c r="D1209" i="1"/>
  <c r="D3836" i="1"/>
  <c r="D3837" i="1"/>
  <c r="D3838" i="1"/>
  <c r="D3839" i="1"/>
  <c r="D3840" i="1"/>
  <c r="D1210" i="1"/>
  <c r="D3841" i="1"/>
  <c r="D3842" i="1"/>
  <c r="D3843" i="1"/>
  <c r="D3844" i="1"/>
  <c r="D3845" i="1"/>
  <c r="D1211" i="1"/>
  <c r="D3846" i="1"/>
  <c r="D3847" i="1"/>
  <c r="D1212" i="1"/>
  <c r="D1213" i="1"/>
  <c r="D3848" i="1"/>
  <c r="D1214" i="1"/>
  <c r="D1215" i="1"/>
  <c r="D3849" i="1"/>
  <c r="D3850" i="1"/>
  <c r="D1216" i="1"/>
  <c r="D3851" i="1"/>
  <c r="D3852" i="1"/>
  <c r="D3853" i="1"/>
  <c r="D3854" i="1"/>
  <c r="D3855" i="1"/>
  <c r="D3856" i="1"/>
  <c r="D3857" i="1"/>
  <c r="D3858" i="1"/>
  <c r="D3859" i="1"/>
  <c r="D1217" i="1"/>
  <c r="D1218" i="1"/>
  <c r="D1219" i="1"/>
  <c r="D1220" i="1"/>
  <c r="D1221" i="1"/>
  <c r="D3860" i="1"/>
  <c r="D3861" i="1"/>
  <c r="D1222" i="1"/>
  <c r="D3862" i="1"/>
  <c r="D1223" i="1"/>
  <c r="D3863" i="1"/>
  <c r="D1224" i="1"/>
  <c r="D3864" i="1"/>
  <c r="D1225" i="1"/>
  <c r="D3865" i="1"/>
  <c r="D1226" i="1"/>
  <c r="D3866" i="1"/>
  <c r="D3867" i="1"/>
  <c r="D3868" i="1"/>
  <c r="D3869" i="1"/>
  <c r="D3870" i="1"/>
  <c r="D1227" i="1"/>
  <c r="D1228" i="1"/>
  <c r="D3871" i="1"/>
  <c r="D3872" i="1"/>
  <c r="D3873" i="1"/>
  <c r="D3874" i="1"/>
  <c r="D3875" i="1"/>
  <c r="D3876" i="1"/>
  <c r="D3877" i="1"/>
  <c r="D1229" i="1"/>
  <c r="D3878" i="1"/>
  <c r="D3879" i="1"/>
  <c r="D1230" i="1"/>
  <c r="D1231" i="1"/>
  <c r="D3880" i="1"/>
  <c r="D3881" i="1"/>
  <c r="D3882" i="1"/>
  <c r="D3883" i="1"/>
  <c r="D3884" i="1"/>
  <c r="D3885" i="1"/>
  <c r="D3886" i="1"/>
  <c r="D1232" i="1"/>
  <c r="D1233" i="1"/>
  <c r="D3887" i="1"/>
  <c r="D1234" i="1"/>
  <c r="D1235" i="1"/>
  <c r="D3888" i="1"/>
  <c r="D3889" i="1"/>
  <c r="D3890" i="1"/>
  <c r="D1236" i="1"/>
  <c r="D3891" i="1"/>
  <c r="D1237" i="1"/>
  <c r="D3892" i="1"/>
  <c r="D1238" i="1"/>
  <c r="D3893" i="1"/>
  <c r="D3894" i="1"/>
  <c r="D1239" i="1"/>
  <c r="D3895" i="1"/>
  <c r="D3896" i="1"/>
  <c r="D3897" i="1"/>
  <c r="D3898" i="1"/>
  <c r="D3899" i="1"/>
  <c r="D3900" i="1"/>
  <c r="D3901" i="1"/>
  <c r="D3902" i="1"/>
  <c r="D1240" i="1"/>
  <c r="D3903" i="1"/>
  <c r="D3904" i="1"/>
  <c r="D1241" i="1"/>
  <c r="D1242" i="1"/>
  <c r="D3905" i="1"/>
  <c r="D3906" i="1"/>
  <c r="D1243" i="1"/>
  <c r="D3907" i="1"/>
  <c r="D1244" i="1"/>
  <c r="D3908" i="1"/>
  <c r="D3909" i="1"/>
  <c r="D1245" i="1"/>
  <c r="D1246" i="1"/>
  <c r="D1247" i="1"/>
  <c r="D3910" i="1"/>
  <c r="D3911" i="1"/>
  <c r="D3912" i="1"/>
  <c r="D1248" i="1"/>
  <c r="D1249" i="1"/>
  <c r="D3913" i="1"/>
  <c r="D1250" i="1"/>
  <c r="D1251" i="1"/>
  <c r="D3914" i="1"/>
  <c r="D3915" i="1"/>
  <c r="D3916" i="1"/>
  <c r="D3917" i="1"/>
  <c r="D1252" i="1"/>
  <c r="D3918" i="1"/>
  <c r="D3919" i="1"/>
  <c r="D1253" i="1"/>
  <c r="D3920" i="1"/>
  <c r="D3921" i="1"/>
  <c r="D1254" i="1"/>
  <c r="D3922" i="1"/>
  <c r="D3923" i="1"/>
  <c r="D1255" i="1"/>
  <c r="D3924" i="1"/>
  <c r="D1256" i="1"/>
  <c r="D1257" i="1"/>
  <c r="D1258" i="1"/>
  <c r="D1259" i="1"/>
  <c r="D1260" i="1"/>
  <c r="D1261" i="1"/>
  <c r="D3925" i="1"/>
  <c r="D3926" i="1"/>
  <c r="D3927" i="1"/>
  <c r="D3928" i="1"/>
  <c r="D1262" i="1"/>
  <c r="D3929" i="1"/>
  <c r="D3930" i="1"/>
  <c r="D1263" i="1"/>
  <c r="D1264" i="1"/>
  <c r="D3931" i="1"/>
  <c r="D3932" i="1"/>
  <c r="D3933" i="1"/>
  <c r="D3934" i="1"/>
  <c r="D3935" i="1"/>
  <c r="D3936" i="1"/>
  <c r="D1265" i="1"/>
  <c r="D3937" i="1"/>
  <c r="D1266" i="1"/>
  <c r="D3938" i="1"/>
  <c r="D3939" i="1"/>
  <c r="D1267" i="1"/>
  <c r="D3940" i="1"/>
  <c r="D1268" i="1"/>
  <c r="D3941" i="1"/>
  <c r="D1269" i="1"/>
  <c r="D3942" i="1"/>
  <c r="D1270" i="1"/>
  <c r="D1271" i="1"/>
  <c r="D3943" i="1"/>
  <c r="D1272" i="1"/>
  <c r="D1273" i="1"/>
  <c r="D3944" i="1"/>
  <c r="D3945" i="1"/>
  <c r="D1274" i="1"/>
  <c r="D3946" i="1"/>
  <c r="D1275" i="1"/>
  <c r="D3947" i="1"/>
  <c r="D3948" i="1"/>
  <c r="D3949" i="1"/>
  <c r="D3950" i="1"/>
  <c r="D3951" i="1"/>
  <c r="D3952" i="1"/>
  <c r="D3953" i="1"/>
  <c r="D3954" i="1"/>
  <c r="D3955" i="1"/>
  <c r="D1276" i="1"/>
  <c r="D1277" i="1"/>
  <c r="D1278" i="1"/>
  <c r="D3956" i="1"/>
  <c r="D3957" i="1"/>
  <c r="D1279" i="1"/>
  <c r="D1280" i="1"/>
  <c r="D3958" i="1"/>
  <c r="D1281" i="1"/>
  <c r="D3959" i="1"/>
  <c r="D3960" i="1"/>
  <c r="D1282" i="1"/>
  <c r="D1283" i="1"/>
  <c r="D1284" i="1"/>
  <c r="D3961" i="1"/>
  <c r="D3962" i="1"/>
  <c r="D3963" i="1"/>
  <c r="D1285" i="1"/>
  <c r="D3964" i="1"/>
  <c r="D1286" i="1"/>
  <c r="D1287" i="1"/>
  <c r="D3965" i="1"/>
  <c r="D3966" i="1"/>
  <c r="D3967" i="1"/>
  <c r="D3968" i="1"/>
  <c r="D3969" i="1"/>
  <c r="D1288" i="1"/>
  <c r="D1289" i="1"/>
  <c r="D3970" i="1"/>
  <c r="D3971" i="1"/>
  <c r="D3972" i="1"/>
  <c r="D3973" i="1"/>
  <c r="D1290" i="1"/>
  <c r="D3974" i="1"/>
  <c r="D3975" i="1"/>
  <c r="D1291" i="1"/>
  <c r="D3976" i="1"/>
  <c r="D3977" i="1"/>
  <c r="D3978" i="1"/>
  <c r="D1292" i="1"/>
  <c r="D3979" i="1"/>
  <c r="D3980" i="1"/>
  <c r="D1293" i="1"/>
  <c r="D3981" i="1"/>
  <c r="D1294" i="1"/>
  <c r="D1295" i="1"/>
  <c r="D3982" i="1"/>
  <c r="D3983" i="1"/>
  <c r="D1296" i="1"/>
  <c r="D3984" i="1"/>
  <c r="D1297" i="1"/>
  <c r="D3985" i="1"/>
  <c r="D1298" i="1"/>
  <c r="D3986" i="1"/>
  <c r="D3987" i="1"/>
  <c r="D3988" i="1"/>
  <c r="D3989" i="1"/>
  <c r="D3990" i="1"/>
  <c r="D3991" i="1"/>
  <c r="D3992" i="1"/>
  <c r="D3993" i="1"/>
  <c r="D3994" i="1"/>
  <c r="D1299" i="1"/>
  <c r="D1300" i="1"/>
  <c r="D3995" i="1"/>
  <c r="D3996" i="1"/>
  <c r="D1301" i="1"/>
  <c r="D1302" i="1"/>
  <c r="D3997" i="1"/>
  <c r="D1303" i="1"/>
  <c r="D1304" i="1"/>
  <c r="D3998" i="1"/>
  <c r="D3999" i="1"/>
  <c r="D4000" i="1"/>
  <c r="D4001" i="1"/>
  <c r="D4002" i="1"/>
  <c r="D4003" i="1"/>
  <c r="D1305" i="1"/>
  <c r="D1306" i="1"/>
  <c r="D1307" i="1"/>
  <c r="D4004" i="1"/>
  <c r="D1308" i="1"/>
  <c r="D4005" i="1"/>
  <c r="D4006" i="1"/>
  <c r="D4007" i="1"/>
  <c r="D4008" i="1"/>
  <c r="D4009" i="1"/>
  <c r="D1309" i="1"/>
  <c r="D4010" i="1"/>
  <c r="D4011" i="1"/>
  <c r="D1310" i="1"/>
  <c r="D1311" i="1"/>
  <c r="D4012" i="1"/>
  <c r="D4013" i="1"/>
  <c r="D4014" i="1"/>
  <c r="D1312" i="1"/>
  <c r="D4015" i="1"/>
  <c r="D4016" i="1"/>
  <c r="D4017" i="1"/>
  <c r="D4018" i="1"/>
  <c r="D4019" i="1"/>
  <c r="D4020" i="1"/>
  <c r="D1313" i="1"/>
  <c r="D1314" i="1"/>
  <c r="D1315" i="1"/>
  <c r="D4021" i="1"/>
  <c r="D4022" i="1"/>
  <c r="D4023" i="1"/>
  <c r="D1316" i="1"/>
  <c r="D1317" i="1"/>
  <c r="D1318" i="1"/>
  <c r="D4024" i="1"/>
  <c r="D4025" i="1"/>
  <c r="D1319" i="1"/>
  <c r="D1320" i="1"/>
  <c r="D4026" i="1"/>
  <c r="D1321" i="1"/>
  <c r="D1322" i="1"/>
  <c r="D4027" i="1"/>
  <c r="D4028" i="1"/>
  <c r="D4029" i="1"/>
  <c r="D1323" i="1"/>
  <c r="D4030" i="1"/>
  <c r="D1324" i="1"/>
  <c r="D4031" i="1"/>
  <c r="D4032" i="1"/>
  <c r="D1325" i="1"/>
  <c r="D4033" i="1"/>
  <c r="D4034" i="1"/>
  <c r="D1326" i="1"/>
  <c r="D4035" i="1"/>
  <c r="D1327" i="1"/>
  <c r="D4036" i="1"/>
  <c r="D4037" i="1"/>
  <c r="D4038" i="1"/>
  <c r="D1328" i="1"/>
  <c r="D4039" i="1"/>
  <c r="D4040" i="1"/>
  <c r="D1329" i="1"/>
  <c r="D4041" i="1"/>
  <c r="D1330" i="1"/>
  <c r="D4042" i="1"/>
  <c r="D4043" i="1"/>
  <c r="D4044" i="1"/>
  <c r="D4045" i="1"/>
  <c r="D4046" i="1"/>
  <c r="D4047" i="1"/>
  <c r="D4048" i="1"/>
  <c r="D4049" i="1"/>
  <c r="D4050" i="1"/>
  <c r="D1331" i="1"/>
  <c r="D1332" i="1"/>
  <c r="D4051" i="1"/>
  <c r="D4052" i="1"/>
  <c r="D1333" i="1"/>
  <c r="D1334" i="1"/>
  <c r="D4053" i="1"/>
  <c r="D4054" i="1"/>
  <c r="D1335" i="1"/>
  <c r="D4055" i="1"/>
  <c r="D4056" i="1"/>
  <c r="D4057" i="1"/>
  <c r="D1336" i="1"/>
  <c r="D4058" i="1"/>
  <c r="D1337" i="1"/>
  <c r="D4059" i="1"/>
  <c r="D4060" i="1"/>
  <c r="D1338" i="1"/>
  <c r="D4061" i="1"/>
  <c r="D1339" i="1"/>
  <c r="D1340" i="1"/>
  <c r="D1341" i="1"/>
  <c r="D4062" i="1"/>
  <c r="D4063" i="1"/>
  <c r="D1342" i="1"/>
  <c r="D4064" i="1"/>
  <c r="D1343" i="1"/>
  <c r="D4065" i="1"/>
  <c r="D1344" i="1"/>
  <c r="D4066" i="1"/>
  <c r="D4067" i="1"/>
  <c r="D1345" i="1"/>
  <c r="D1346" i="1"/>
  <c r="D4068" i="1"/>
  <c r="D1347" i="1"/>
  <c r="D4069" i="1"/>
  <c r="D4070" i="1"/>
  <c r="D4071" i="1"/>
  <c r="D4072" i="1"/>
  <c r="D4073" i="1"/>
  <c r="D4074" i="1"/>
  <c r="D1348" i="1"/>
  <c r="D4075" i="1"/>
  <c r="D4076" i="1"/>
  <c r="D4077" i="1"/>
  <c r="D4078" i="1"/>
  <c r="D1349" i="1"/>
  <c r="D1350" i="1"/>
  <c r="D1351" i="1"/>
  <c r="D4079" i="1"/>
  <c r="D1352" i="1"/>
  <c r="D1353" i="1"/>
  <c r="D1354" i="1"/>
  <c r="D4080" i="1"/>
  <c r="D4081" i="1"/>
  <c r="D1355" i="1"/>
  <c r="D4082" i="1"/>
  <c r="D1356" i="1"/>
  <c r="D4083" i="1"/>
  <c r="D1357" i="1"/>
  <c r="D4084" i="1"/>
  <c r="D1358" i="1"/>
  <c r="D4085" i="1"/>
  <c r="D4086" i="1"/>
  <c r="D4087" i="1"/>
  <c r="D4088" i="1"/>
  <c r="D1359" i="1"/>
  <c r="D4089" i="1"/>
  <c r="D1360" i="1"/>
  <c r="D1361" i="1"/>
  <c r="D1362" i="1"/>
  <c r="D1363" i="1"/>
  <c r="D4090" i="1"/>
  <c r="D1364" i="1"/>
  <c r="D1365" i="1"/>
  <c r="D1366" i="1"/>
  <c r="D4091" i="1"/>
  <c r="D4092" i="1"/>
  <c r="D1367" i="1"/>
  <c r="D4093" i="1"/>
  <c r="D1368" i="1"/>
  <c r="D1369" i="1"/>
  <c r="D4094" i="1"/>
  <c r="D4095" i="1"/>
  <c r="D4096" i="1"/>
  <c r="D4097" i="1"/>
  <c r="D4098" i="1"/>
  <c r="D1370" i="1"/>
  <c r="D4099" i="1"/>
  <c r="D1371" i="1"/>
  <c r="D4100" i="1"/>
  <c r="D4101" i="1"/>
  <c r="D4102" i="1"/>
  <c r="D4103" i="1"/>
  <c r="D4104" i="1"/>
  <c r="D4105" i="1"/>
  <c r="D1372" i="1"/>
  <c r="D4106" i="1"/>
  <c r="D4107" i="1"/>
  <c r="D4108" i="1"/>
  <c r="D4109" i="1"/>
  <c r="D4110" i="1"/>
  <c r="D1373" i="1"/>
  <c r="D4111" i="1"/>
  <c r="D1374" i="1"/>
  <c r="D4112" i="1"/>
  <c r="D4113" i="1"/>
  <c r="D4114" i="1"/>
  <c r="D4115" i="1"/>
  <c r="D4116" i="1"/>
  <c r="D1375" i="1"/>
  <c r="D1376" i="1"/>
  <c r="D1377" i="1"/>
  <c r="D1378" i="1"/>
  <c r="D1379" i="1"/>
  <c r="D4117" i="1"/>
  <c r="D4118" i="1"/>
  <c r="D1380" i="1"/>
  <c r="D1381" i="1"/>
  <c r="D4119" i="1"/>
  <c r="D1382" i="1"/>
  <c r="D4120" i="1"/>
  <c r="D4121" i="1"/>
  <c r="D4122" i="1"/>
  <c r="D1383" i="1"/>
  <c r="D1384" i="1"/>
  <c r="D1385" i="1"/>
  <c r="D4123" i="1"/>
  <c r="D4124" i="1"/>
  <c r="D4125" i="1"/>
  <c r="D4126" i="1"/>
  <c r="D4127" i="1"/>
  <c r="D1386" i="1"/>
  <c r="D4128" i="1"/>
  <c r="D4129" i="1"/>
  <c r="D1387" i="1"/>
  <c r="D1388" i="1"/>
  <c r="D4130" i="1"/>
  <c r="D4131" i="1"/>
  <c r="D4132" i="1"/>
  <c r="D1389" i="1"/>
  <c r="D4133" i="1"/>
  <c r="D4134" i="1"/>
  <c r="D4135" i="1"/>
  <c r="D1390" i="1"/>
  <c r="D4136" i="1"/>
  <c r="D4137" i="1"/>
  <c r="D4138" i="1"/>
  <c r="D4139" i="1"/>
  <c r="D4140" i="1"/>
  <c r="D4141" i="1"/>
  <c r="D1391" i="1"/>
  <c r="D1392" i="1"/>
  <c r="D4142" i="1"/>
  <c r="D4143" i="1"/>
  <c r="D4144" i="1"/>
  <c r="D4145" i="1"/>
  <c r="D4146" i="1"/>
  <c r="D1393" i="1"/>
  <c r="D1394" i="1"/>
  <c r="D1395" i="1"/>
  <c r="D4147" i="1"/>
  <c r="D4148" i="1"/>
  <c r="D1396" i="1"/>
  <c r="D4149" i="1"/>
  <c r="D1397" i="1"/>
  <c r="D4150" i="1"/>
  <c r="D1398" i="1"/>
  <c r="D4151" i="1"/>
  <c r="D1399" i="1"/>
  <c r="D1400" i="1"/>
  <c r="D1401" i="1"/>
  <c r="D1402" i="1"/>
  <c r="D1403" i="1"/>
  <c r="D4152" i="1"/>
  <c r="D1404" i="1"/>
  <c r="D1405" i="1"/>
  <c r="D1406" i="1"/>
  <c r="D1407" i="1"/>
  <c r="D1408" i="1"/>
  <c r="D1409" i="1"/>
  <c r="D4153" i="1"/>
  <c r="D4154" i="1"/>
  <c r="D4155" i="1"/>
  <c r="D4156" i="1"/>
  <c r="D1410" i="1"/>
  <c r="D4157" i="1"/>
  <c r="D4158" i="1"/>
  <c r="D4159" i="1"/>
  <c r="D4160" i="1"/>
  <c r="D1411" i="1"/>
  <c r="D4161" i="1"/>
  <c r="D4162" i="1"/>
  <c r="D4163" i="1"/>
  <c r="D1412" i="1"/>
  <c r="D4164" i="1"/>
  <c r="D1413" i="1"/>
  <c r="D1414" i="1"/>
  <c r="D4165" i="1"/>
  <c r="D4166" i="1"/>
  <c r="D1415" i="1"/>
  <c r="D4167" i="1"/>
  <c r="D4168" i="1"/>
  <c r="D1416" i="1"/>
  <c r="D4169" i="1"/>
  <c r="D4170" i="1"/>
  <c r="D1417" i="1"/>
  <c r="D4171" i="1"/>
  <c r="D4172" i="1"/>
  <c r="D1418" i="1"/>
  <c r="D4173" i="1"/>
  <c r="D4174" i="1"/>
  <c r="D1419" i="1"/>
  <c r="D4175" i="1"/>
  <c r="D4176" i="1"/>
  <c r="D4177" i="1"/>
  <c r="D4178" i="1"/>
  <c r="D4179" i="1"/>
  <c r="D4180" i="1"/>
  <c r="D1420" i="1"/>
  <c r="D4181" i="1"/>
  <c r="D4182" i="1"/>
  <c r="D1421" i="1"/>
  <c r="D1422" i="1"/>
  <c r="D1423" i="1"/>
  <c r="D4183" i="1"/>
  <c r="D4184" i="1"/>
  <c r="D1424" i="1"/>
  <c r="D4185" i="1"/>
  <c r="D1425" i="1"/>
  <c r="D4186" i="1"/>
  <c r="D1426" i="1"/>
  <c r="D4187" i="1"/>
  <c r="D1427" i="1"/>
  <c r="D4188" i="1"/>
  <c r="D4189" i="1"/>
  <c r="D4190" i="1"/>
  <c r="D1428" i="1"/>
  <c r="D4191" i="1"/>
  <c r="D4192" i="1"/>
  <c r="D4193" i="1"/>
  <c r="D4194" i="1"/>
  <c r="D4195" i="1"/>
  <c r="D4196" i="1"/>
  <c r="D1429" i="1"/>
  <c r="D4197" i="1"/>
  <c r="D4198" i="1"/>
  <c r="D1430" i="1"/>
  <c r="D4199" i="1"/>
  <c r="D4200" i="1"/>
  <c r="D4201" i="1"/>
  <c r="D4202" i="1"/>
  <c r="D4203" i="1"/>
  <c r="D1431" i="1"/>
  <c r="D1432" i="1"/>
  <c r="D1433" i="1"/>
  <c r="D4204" i="1"/>
  <c r="D4205" i="1"/>
  <c r="D4206" i="1"/>
  <c r="D4207" i="1"/>
  <c r="D4208" i="1"/>
  <c r="D4209" i="1"/>
  <c r="D1434" i="1"/>
  <c r="D4210" i="1"/>
  <c r="D4211" i="1"/>
  <c r="D4212" i="1"/>
  <c r="D4213" i="1"/>
  <c r="D1435" i="1"/>
  <c r="D4214" i="1"/>
  <c r="D4215" i="1"/>
  <c r="D4216" i="1"/>
  <c r="D4217" i="1"/>
  <c r="D4218" i="1"/>
  <c r="D4219" i="1"/>
  <c r="D1436" i="1"/>
  <c r="D4220" i="1"/>
  <c r="D4221" i="1"/>
  <c r="D4222" i="1"/>
  <c r="D1437" i="1"/>
  <c r="D4223" i="1"/>
  <c r="D4224" i="1"/>
  <c r="D1438" i="1"/>
  <c r="D4225" i="1"/>
  <c r="D1439" i="1"/>
  <c r="D4226" i="1"/>
  <c r="D1440" i="1"/>
  <c r="D4227" i="1"/>
  <c r="D1441" i="1"/>
  <c r="D4228" i="1"/>
  <c r="D4229" i="1"/>
  <c r="D4230" i="1"/>
  <c r="D4231" i="1"/>
  <c r="D4232" i="1"/>
  <c r="D1442" i="1"/>
  <c r="D4233" i="1"/>
  <c r="D4234" i="1"/>
  <c r="D1443" i="1"/>
  <c r="D4235" i="1"/>
  <c r="D1444" i="1"/>
  <c r="D1445" i="1"/>
  <c r="D4236" i="1"/>
  <c r="D4237" i="1"/>
  <c r="D4238" i="1"/>
  <c r="D1446" i="1"/>
  <c r="D1447" i="1"/>
  <c r="D4239" i="1"/>
  <c r="D4240" i="1"/>
  <c r="D4241" i="1"/>
  <c r="D4242" i="1"/>
  <c r="D4243" i="1"/>
  <c r="D4244" i="1"/>
  <c r="D1448" i="1"/>
  <c r="D4245" i="1"/>
  <c r="D4246" i="1"/>
  <c r="D1449" i="1"/>
  <c r="D1450" i="1"/>
  <c r="D4247" i="1"/>
  <c r="D4248" i="1"/>
  <c r="D4249" i="1"/>
  <c r="D1451" i="1"/>
  <c r="D4250" i="1"/>
  <c r="D1452" i="1"/>
  <c r="D4251" i="1"/>
  <c r="D1453" i="1"/>
  <c r="D4252" i="1"/>
  <c r="D1454" i="1"/>
  <c r="D1455" i="1"/>
  <c r="D4253" i="1"/>
  <c r="D4254" i="1"/>
  <c r="D4255" i="1"/>
  <c r="D4256" i="1"/>
  <c r="D4257" i="1"/>
  <c r="D4258" i="1"/>
  <c r="D4259" i="1"/>
  <c r="D1456" i="1"/>
  <c r="D4260" i="1"/>
  <c r="D4261" i="1"/>
  <c r="D1457" i="1"/>
  <c r="D4262" i="1"/>
  <c r="D1458" i="1"/>
  <c r="D4263" i="1"/>
  <c r="D1459" i="1"/>
  <c r="D4264" i="1"/>
  <c r="D4265" i="1"/>
  <c r="D4266" i="1"/>
  <c r="D4267" i="1"/>
  <c r="D1460" i="1"/>
  <c r="D4268" i="1"/>
  <c r="D4269" i="1"/>
  <c r="D4270" i="1"/>
  <c r="D4271" i="1"/>
  <c r="D4272" i="1"/>
  <c r="D1461" i="1"/>
  <c r="D1462" i="1"/>
  <c r="D4273" i="1"/>
  <c r="D4274" i="1"/>
  <c r="D1463" i="1"/>
  <c r="D1464" i="1"/>
  <c r="D4275" i="1"/>
  <c r="D4276" i="1"/>
  <c r="D1465" i="1"/>
  <c r="D1466" i="1"/>
  <c r="D4277" i="1"/>
  <c r="D1467" i="1"/>
  <c r="D4278" i="1"/>
  <c r="D4279" i="1"/>
  <c r="D1468" i="1"/>
  <c r="D4280" i="1"/>
  <c r="D4281" i="1"/>
  <c r="D1469" i="1"/>
  <c r="D1470" i="1"/>
  <c r="D4282" i="1"/>
  <c r="D4283" i="1"/>
  <c r="D1471" i="1"/>
  <c r="D4284" i="1"/>
  <c r="D4285" i="1"/>
  <c r="D1472" i="1"/>
  <c r="D4286" i="1"/>
  <c r="D4287" i="1"/>
  <c r="D4288" i="1"/>
  <c r="D4289" i="1"/>
  <c r="D4290" i="1"/>
  <c r="D1473" i="1"/>
  <c r="D1474" i="1"/>
  <c r="D1475" i="1"/>
  <c r="D1476" i="1"/>
  <c r="D4291" i="1"/>
  <c r="D1477" i="1"/>
  <c r="D4292" i="1"/>
  <c r="D4293" i="1"/>
  <c r="D4294" i="1"/>
  <c r="D4295" i="1"/>
  <c r="D1478" i="1"/>
  <c r="D1479" i="1"/>
  <c r="D4296" i="1"/>
  <c r="D4297" i="1"/>
  <c r="D4298" i="1"/>
  <c r="D1480" i="1"/>
  <c r="D4299" i="1"/>
  <c r="D1481" i="1"/>
  <c r="D4300" i="1"/>
  <c r="D1482" i="1"/>
  <c r="D4301" i="1"/>
  <c r="D1483" i="1"/>
  <c r="D1484" i="1"/>
  <c r="D4302" i="1"/>
  <c r="D4303" i="1"/>
  <c r="D4304" i="1"/>
  <c r="D4305" i="1"/>
  <c r="D4306" i="1"/>
  <c r="D4307" i="1"/>
  <c r="D4308" i="1"/>
  <c r="D4309" i="1"/>
  <c r="D1485" i="1"/>
  <c r="D4310" i="1"/>
  <c r="D4311" i="1"/>
  <c r="D1486" i="1"/>
  <c r="D1487" i="1"/>
  <c r="D4312" i="1"/>
  <c r="D4313" i="1"/>
  <c r="D1488" i="1"/>
  <c r="D4314" i="1"/>
  <c r="D4315" i="1"/>
  <c r="D4316" i="1"/>
  <c r="D4317" i="1"/>
  <c r="D1489" i="1"/>
  <c r="D1490" i="1"/>
  <c r="D4318" i="1"/>
  <c r="D1491" i="1"/>
  <c r="D4319" i="1"/>
  <c r="D1492" i="1"/>
  <c r="D1493" i="1"/>
  <c r="D4320" i="1"/>
  <c r="D1494" i="1"/>
  <c r="D1495" i="1"/>
  <c r="D4321" i="1"/>
  <c r="D4322" i="1"/>
  <c r="D4323" i="1"/>
  <c r="D4324" i="1"/>
  <c r="D4325" i="1"/>
  <c r="D4326" i="1"/>
  <c r="D4327" i="1"/>
  <c r="D4328" i="1"/>
  <c r="D4329" i="1"/>
  <c r="D4330" i="1"/>
  <c r="D1496" i="1"/>
  <c r="D4331" i="1"/>
  <c r="D4332" i="1"/>
  <c r="D4333" i="1"/>
  <c r="D4334" i="1"/>
  <c r="D4335" i="1"/>
  <c r="D1497" i="1"/>
  <c r="D4336" i="1"/>
  <c r="D1498" i="1"/>
  <c r="D4337" i="1"/>
  <c r="D4338" i="1"/>
  <c r="D4339" i="1"/>
  <c r="D4340" i="1"/>
  <c r="D4341" i="1"/>
  <c r="D4342" i="1"/>
  <c r="D4343" i="1"/>
  <c r="D4344" i="1"/>
  <c r="D4345" i="1"/>
  <c r="D4346" i="1"/>
  <c r="D4347" i="1"/>
  <c r="D1499" i="1"/>
  <c r="D4348" i="1"/>
  <c r="D4349" i="1"/>
  <c r="D4350" i="1"/>
  <c r="D4351" i="1"/>
  <c r="D4352" i="1"/>
  <c r="D4353" i="1"/>
  <c r="D4354" i="1"/>
  <c r="D4355" i="1"/>
  <c r="D4356" i="1"/>
  <c r="D1500" i="1"/>
  <c r="D4357" i="1"/>
  <c r="D4358" i="1"/>
  <c r="D4359" i="1"/>
  <c r="D4360" i="1"/>
  <c r="D1501" i="1"/>
  <c r="D1502" i="1"/>
  <c r="D1503" i="1"/>
  <c r="D1504" i="1"/>
  <c r="D4361" i="1"/>
  <c r="D1505" i="1"/>
  <c r="D1506" i="1"/>
  <c r="D1507" i="1"/>
  <c r="D4362" i="1"/>
  <c r="D4363" i="1"/>
  <c r="D1508" i="1"/>
  <c r="D4364" i="1"/>
  <c r="D4365" i="1"/>
  <c r="D1509" i="1"/>
  <c r="D4366" i="1"/>
  <c r="D4367" i="1"/>
  <c r="D1510" i="1"/>
  <c r="D4368" i="1"/>
  <c r="D4369" i="1"/>
  <c r="D1511" i="1"/>
  <c r="D1512" i="1"/>
  <c r="D1513" i="1"/>
  <c r="D4370" i="1"/>
  <c r="D4371" i="1"/>
  <c r="D4372" i="1"/>
  <c r="D1514" i="1"/>
  <c r="D1515" i="1"/>
  <c r="D4373" i="1"/>
  <c r="D4374" i="1"/>
  <c r="D4375" i="1"/>
  <c r="D1516" i="1"/>
  <c r="D1517" i="1"/>
  <c r="D1518" i="1"/>
  <c r="D4376" i="1"/>
  <c r="D4377" i="1"/>
  <c r="D4378" i="1"/>
  <c r="D4379" i="1"/>
  <c r="D1519" i="1"/>
  <c r="D4380" i="1"/>
  <c r="D4381" i="1"/>
  <c r="D4382" i="1"/>
  <c r="D4383" i="1"/>
  <c r="D4384" i="1"/>
  <c r="D1520" i="1"/>
  <c r="D4385" i="1"/>
  <c r="D4386" i="1"/>
  <c r="D4387" i="1"/>
  <c r="D4388" i="1"/>
  <c r="D4389" i="1"/>
  <c r="D4390" i="1"/>
  <c r="D1521" i="1"/>
  <c r="D4391" i="1"/>
  <c r="D4392" i="1"/>
  <c r="D4393" i="1"/>
  <c r="D4394" i="1"/>
  <c r="D4395" i="1"/>
  <c r="D1522" i="1"/>
  <c r="D4396" i="1"/>
  <c r="D1523" i="1"/>
  <c r="D4397" i="1"/>
  <c r="D1524" i="1"/>
  <c r="D4398" i="1"/>
  <c r="D4399" i="1"/>
  <c r="D4400" i="1"/>
  <c r="D1525" i="1"/>
  <c r="D4401" i="1"/>
  <c r="D1526" i="1"/>
  <c r="D1527" i="1"/>
  <c r="D1528" i="1"/>
  <c r="D4402" i="1"/>
  <c r="D1529" i="1"/>
  <c r="D1530" i="1"/>
  <c r="D1531" i="1"/>
  <c r="D4403" i="1"/>
  <c r="D4404" i="1"/>
  <c r="D4405" i="1"/>
  <c r="D4406" i="1"/>
  <c r="D4407" i="1"/>
  <c r="D4408" i="1"/>
  <c r="D4409" i="1"/>
  <c r="D4410" i="1"/>
  <c r="D4411" i="1"/>
  <c r="D4412" i="1"/>
  <c r="D4413" i="1"/>
  <c r="D1532" i="1"/>
  <c r="D1533" i="1"/>
  <c r="D1534" i="1"/>
  <c r="D1535" i="1"/>
  <c r="D1536" i="1"/>
  <c r="D4414" i="1"/>
  <c r="D4415" i="1"/>
  <c r="D4416" i="1"/>
  <c r="D4417" i="1"/>
  <c r="D4418" i="1"/>
  <c r="D1537" i="1"/>
  <c r="D4419" i="1"/>
  <c r="D4420" i="1"/>
  <c r="D1538" i="1"/>
  <c r="D4421" i="1"/>
  <c r="D4422" i="1"/>
  <c r="D4423" i="1"/>
  <c r="D4424" i="1"/>
  <c r="D4425" i="1"/>
  <c r="D1539" i="1"/>
  <c r="D4426" i="1"/>
  <c r="D4427" i="1"/>
  <c r="D4428" i="1"/>
  <c r="D1540" i="1"/>
  <c r="D1541" i="1"/>
  <c r="D4429" i="1"/>
  <c r="D1542" i="1"/>
  <c r="D4430" i="1"/>
  <c r="D4431" i="1"/>
  <c r="D1543" i="1"/>
  <c r="D4432" i="1"/>
  <c r="D4433" i="1"/>
  <c r="D1544" i="1"/>
  <c r="D4434" i="1"/>
  <c r="D4435" i="1"/>
  <c r="D4436" i="1"/>
  <c r="D1545" i="1"/>
  <c r="D1546" i="1"/>
  <c r="D1547" i="1"/>
  <c r="D4437" i="1"/>
  <c r="D4438" i="1"/>
  <c r="D4439" i="1"/>
  <c r="D4440" i="1"/>
  <c r="D1548" i="1"/>
  <c r="D4441" i="1"/>
  <c r="D4442" i="1"/>
  <c r="D4443" i="1"/>
  <c r="D1549" i="1"/>
  <c r="D1550" i="1"/>
  <c r="D4444" i="1"/>
  <c r="D4445" i="1"/>
  <c r="D1551" i="1"/>
  <c r="D1552" i="1"/>
  <c r="D4446" i="1"/>
  <c r="D1553" i="1"/>
  <c r="D4447" i="1"/>
  <c r="D4448" i="1"/>
  <c r="D4449" i="1"/>
  <c r="D1554" i="1"/>
  <c r="D1555" i="1"/>
  <c r="D4450" i="1"/>
  <c r="D4451" i="1"/>
  <c r="D1556" i="1"/>
  <c r="D4452" i="1"/>
  <c r="D1557" i="1"/>
  <c r="D4453" i="1"/>
  <c r="D1558" i="1"/>
  <c r="D4454" i="1"/>
  <c r="D4455" i="1"/>
  <c r="D4456" i="1"/>
  <c r="D4457" i="1"/>
  <c r="D1559" i="1"/>
  <c r="D4458" i="1"/>
  <c r="D1560" i="1"/>
  <c r="D4459" i="1"/>
  <c r="D1561" i="1"/>
  <c r="D1562" i="1"/>
  <c r="D1563" i="1"/>
  <c r="D4460" i="1"/>
  <c r="D4461" i="1"/>
  <c r="D4462" i="1"/>
  <c r="D1564" i="1"/>
  <c r="D4463" i="1"/>
  <c r="D4464" i="1"/>
  <c r="D4465" i="1"/>
  <c r="D4466" i="1"/>
  <c r="D4467" i="1"/>
  <c r="D4468" i="1"/>
  <c r="D4469" i="1"/>
  <c r="D1565" i="1"/>
  <c r="D4470" i="1"/>
  <c r="D1566" i="1"/>
  <c r="D4471" i="1"/>
  <c r="D1567" i="1"/>
  <c r="D4472" i="1"/>
  <c r="D1568" i="1"/>
  <c r="D4473" i="1"/>
  <c r="D1569" i="1"/>
  <c r="D4474" i="1"/>
  <c r="D4475" i="1"/>
  <c r="D4476" i="1"/>
  <c r="D4477" i="1"/>
  <c r="D1570" i="1"/>
  <c r="D4478" i="1"/>
  <c r="D1571" i="1"/>
  <c r="D4479" i="1"/>
  <c r="D4480" i="1"/>
  <c r="D1572" i="1"/>
  <c r="D4481" i="1"/>
  <c r="D4482" i="1"/>
  <c r="D4483" i="1"/>
  <c r="D1573" i="1"/>
  <c r="D1574" i="1"/>
  <c r="D1575" i="1"/>
  <c r="D1576" i="1"/>
  <c r="D4484" i="1"/>
  <c r="D1577" i="1"/>
  <c r="D1578" i="1"/>
  <c r="D4485" i="1"/>
  <c r="D4486" i="1"/>
  <c r="D4487" i="1"/>
  <c r="D1579" i="1"/>
  <c r="D1580" i="1"/>
  <c r="D4488" i="1"/>
  <c r="D1581" i="1"/>
  <c r="D4489" i="1"/>
  <c r="D4490" i="1"/>
  <c r="D1582" i="1"/>
  <c r="D4491" i="1"/>
  <c r="D4492" i="1"/>
  <c r="D1583" i="1"/>
  <c r="D4493" i="1"/>
  <c r="D4494" i="1"/>
  <c r="D1584" i="1"/>
  <c r="D1585" i="1"/>
  <c r="D4495" i="1"/>
  <c r="D4496" i="1"/>
  <c r="D4497" i="1"/>
  <c r="D4498" i="1"/>
  <c r="D4499" i="1"/>
  <c r="D4500" i="1"/>
  <c r="D1586" i="1"/>
  <c r="D4501" i="1"/>
  <c r="D4502" i="1"/>
  <c r="D1587" i="1"/>
  <c r="D4503" i="1"/>
  <c r="D4504" i="1"/>
  <c r="D1588" i="1"/>
  <c r="D1589" i="1"/>
  <c r="D4505" i="1"/>
  <c r="D4506" i="1"/>
  <c r="D1590" i="1"/>
  <c r="D4507" i="1"/>
  <c r="D4508" i="1"/>
  <c r="D4509" i="1"/>
  <c r="D4510" i="1"/>
  <c r="D4511" i="1"/>
  <c r="D1591" i="1"/>
  <c r="D4512" i="1"/>
  <c r="D4513" i="1"/>
  <c r="D4514" i="1"/>
  <c r="D1592" i="1"/>
  <c r="D1593" i="1"/>
  <c r="D1594" i="1"/>
  <c r="D1595" i="1"/>
  <c r="D4515" i="1"/>
  <c r="D1596" i="1"/>
  <c r="D4516" i="1"/>
  <c r="D4517" i="1"/>
  <c r="D4518" i="1"/>
  <c r="D4519" i="1"/>
  <c r="D4520" i="1"/>
  <c r="D1597" i="1"/>
  <c r="D4521" i="1"/>
  <c r="D4522" i="1"/>
  <c r="D1598" i="1"/>
  <c r="D4523" i="1"/>
  <c r="D1599" i="1"/>
  <c r="D1600" i="1"/>
  <c r="D4524" i="1"/>
  <c r="D1601" i="1"/>
  <c r="D1602" i="1"/>
  <c r="D4525" i="1"/>
  <c r="D1603" i="1"/>
  <c r="D4526" i="1"/>
  <c r="D1604" i="1"/>
  <c r="D4527" i="1"/>
  <c r="D4528" i="1"/>
  <c r="D4529" i="1"/>
  <c r="D1605" i="1"/>
  <c r="D4530" i="1"/>
  <c r="D1606" i="1"/>
  <c r="D1607" i="1"/>
  <c r="D4531" i="1"/>
  <c r="D4532" i="1"/>
  <c r="D1608" i="1"/>
  <c r="D1609" i="1"/>
  <c r="D4533" i="1"/>
  <c r="D4534" i="1"/>
  <c r="D4535" i="1"/>
  <c r="D4536" i="1"/>
  <c r="D4537" i="1"/>
  <c r="D4538" i="1"/>
  <c r="D1610" i="1"/>
  <c r="D1611" i="1"/>
  <c r="D4539" i="1"/>
  <c r="D4540" i="1"/>
  <c r="D1612" i="1"/>
  <c r="D1613" i="1"/>
  <c r="D4541" i="1"/>
  <c r="D1614" i="1"/>
  <c r="D1615" i="1"/>
  <c r="D4542" i="1"/>
  <c r="D4543" i="1"/>
  <c r="D1616" i="1"/>
  <c r="D4544" i="1"/>
  <c r="D4545" i="1"/>
  <c r="D4546" i="1"/>
  <c r="D4547" i="1"/>
  <c r="D4548" i="1"/>
  <c r="D4549" i="1"/>
  <c r="D4550" i="1"/>
  <c r="D4551" i="1"/>
  <c r="D4552" i="1"/>
  <c r="D4553" i="1"/>
  <c r="D4554" i="1"/>
  <c r="D1617" i="1"/>
  <c r="D4555" i="1"/>
  <c r="D4556" i="1"/>
  <c r="D1618" i="1"/>
  <c r="D4557" i="1"/>
  <c r="D1619" i="1"/>
  <c r="D1620" i="1"/>
  <c r="D1621" i="1"/>
  <c r="D1622" i="1"/>
  <c r="D4558" i="1"/>
  <c r="D4559" i="1"/>
  <c r="D4560" i="1"/>
  <c r="D4561" i="1"/>
  <c r="D4562" i="1"/>
  <c r="D1623" i="1"/>
  <c r="D1624" i="1"/>
  <c r="D1625" i="1"/>
  <c r="D4563" i="1"/>
  <c r="D4564" i="1"/>
  <c r="D4565" i="1"/>
  <c r="D4566" i="1"/>
  <c r="D4567" i="1"/>
  <c r="D4568" i="1"/>
  <c r="D1626" i="1"/>
  <c r="D1627" i="1"/>
  <c r="D4569" i="1"/>
  <c r="D1628" i="1"/>
  <c r="D1629" i="1"/>
  <c r="D1630" i="1"/>
  <c r="D4570" i="1"/>
  <c r="D1631" i="1"/>
  <c r="D4571" i="1"/>
  <c r="D1632" i="1"/>
  <c r="D1633" i="1"/>
  <c r="D4572" i="1"/>
  <c r="D1634" i="1"/>
  <c r="D4573" i="1"/>
  <c r="D4574" i="1"/>
  <c r="D4575" i="1"/>
  <c r="D4576" i="1"/>
  <c r="D1635" i="1"/>
  <c r="D4577" i="1"/>
  <c r="D1636" i="1"/>
  <c r="D4578" i="1"/>
  <c r="D1637" i="1"/>
  <c r="D4579" i="1"/>
  <c r="D4580" i="1"/>
  <c r="D1638" i="1"/>
  <c r="D4581" i="1"/>
  <c r="D4582" i="1"/>
  <c r="D4583" i="1"/>
  <c r="D4584" i="1"/>
  <c r="D1639" i="1"/>
  <c r="D4585" i="1"/>
  <c r="D1640" i="1"/>
  <c r="D4586" i="1"/>
  <c r="D1641" i="1"/>
  <c r="D1642" i="1"/>
  <c r="D4587" i="1"/>
  <c r="D4588" i="1"/>
  <c r="D1643" i="1"/>
  <c r="D1644" i="1"/>
  <c r="D1645" i="1"/>
  <c r="D4589" i="1"/>
  <c r="D4590" i="1"/>
  <c r="D4591" i="1"/>
  <c r="D4592" i="1"/>
  <c r="D1646" i="1"/>
  <c r="D4593" i="1"/>
  <c r="D4594" i="1"/>
  <c r="D1647" i="1"/>
  <c r="D1648" i="1"/>
  <c r="D4595" i="1"/>
  <c r="D1649" i="1"/>
  <c r="D1650" i="1"/>
  <c r="D4596" i="1"/>
  <c r="D4597" i="1"/>
  <c r="D1651" i="1"/>
  <c r="D1652" i="1"/>
  <c r="D4598" i="1"/>
  <c r="D4599" i="1"/>
  <c r="D4600" i="1"/>
  <c r="D4601" i="1"/>
  <c r="D4602" i="1"/>
  <c r="D4603" i="1"/>
  <c r="D1653" i="1"/>
  <c r="D4604" i="1"/>
  <c r="D4605" i="1"/>
  <c r="D4606" i="1"/>
  <c r="D4607" i="1"/>
  <c r="D1654" i="1"/>
  <c r="D1655" i="1"/>
  <c r="D1656" i="1"/>
  <c r="D4608" i="1"/>
  <c r="D1657" i="1"/>
  <c r="D1658" i="1"/>
  <c r="D1659" i="1"/>
  <c r="D1660" i="1"/>
  <c r="D1661" i="1"/>
  <c r="D4609" i="1"/>
  <c r="D4610" i="1"/>
  <c r="D4611" i="1"/>
  <c r="D4612" i="1"/>
  <c r="D1662" i="1"/>
  <c r="D4613" i="1"/>
  <c r="D1663" i="1"/>
  <c r="D1664" i="1"/>
  <c r="D4614" i="1"/>
  <c r="D4615" i="1"/>
  <c r="D4616" i="1"/>
  <c r="D4617" i="1"/>
  <c r="D4618" i="1"/>
  <c r="D4619" i="1"/>
  <c r="D1665" i="1"/>
  <c r="D4620" i="1"/>
  <c r="D1666" i="1"/>
  <c r="D4621" i="1"/>
  <c r="D4622" i="1"/>
  <c r="D4623" i="1"/>
  <c r="D4624" i="1"/>
  <c r="D4625" i="1"/>
  <c r="D1667" i="1"/>
  <c r="D4626" i="1"/>
  <c r="D1668" i="1"/>
  <c r="D4627" i="1"/>
  <c r="D4628" i="1"/>
  <c r="D1669" i="1"/>
  <c r="D4629" i="1"/>
  <c r="D4630" i="1"/>
  <c r="D1670" i="1"/>
  <c r="D1671" i="1"/>
  <c r="D4631" i="1"/>
  <c r="D4632" i="1"/>
  <c r="D4633" i="1"/>
  <c r="D4634" i="1"/>
  <c r="D4635" i="1"/>
  <c r="D4636" i="1"/>
  <c r="D4637" i="1"/>
  <c r="D1672" i="1"/>
  <c r="D4638" i="1"/>
  <c r="D4639" i="1"/>
  <c r="D4640" i="1"/>
  <c r="D4641" i="1"/>
  <c r="D4642" i="1"/>
  <c r="D4643" i="1"/>
  <c r="D4644" i="1"/>
  <c r="D1673" i="1"/>
  <c r="D1674" i="1"/>
  <c r="D1675" i="1"/>
  <c r="D1676" i="1"/>
  <c r="D4645" i="1"/>
  <c r="D4646" i="1"/>
  <c r="D1677" i="1"/>
  <c r="D4647" i="1"/>
  <c r="D4648" i="1"/>
  <c r="D1678" i="1"/>
  <c r="D4649" i="1"/>
  <c r="D4650" i="1"/>
  <c r="D4651" i="1"/>
  <c r="D1679" i="1"/>
  <c r="D1680" i="1"/>
  <c r="D4652" i="1"/>
  <c r="D4653" i="1"/>
  <c r="D4654" i="1"/>
  <c r="D4655" i="1"/>
  <c r="D4656" i="1"/>
  <c r="D1681" i="1"/>
  <c r="D1682" i="1"/>
  <c r="D4657" i="1"/>
  <c r="D4658" i="1"/>
  <c r="D1683" i="1"/>
  <c r="D4659" i="1"/>
  <c r="D4660" i="1"/>
  <c r="D4661" i="1"/>
  <c r="D4662" i="1"/>
  <c r="D4663" i="1"/>
  <c r="D1684" i="1"/>
  <c r="D1685" i="1"/>
  <c r="D4664" i="1"/>
  <c r="D4665" i="1"/>
  <c r="D4666" i="1"/>
  <c r="D4667" i="1"/>
  <c r="D4668" i="1"/>
  <c r="D1686" i="1"/>
  <c r="D4669" i="1"/>
  <c r="D1687" i="1"/>
  <c r="D4670" i="1"/>
  <c r="D1688" i="1"/>
  <c r="D4671" i="1"/>
  <c r="D4672" i="1"/>
  <c r="D4673" i="1"/>
  <c r="D1689" i="1"/>
  <c r="D1690" i="1"/>
  <c r="D4674" i="1"/>
  <c r="D1691" i="1"/>
  <c r="D4675" i="1"/>
  <c r="D4676" i="1"/>
  <c r="D4677" i="1"/>
  <c r="D4678" i="1"/>
  <c r="D1692" i="1"/>
  <c r="D4679" i="1"/>
  <c r="D1693" i="1"/>
  <c r="D1694" i="1"/>
  <c r="D1695" i="1"/>
  <c r="D1696" i="1"/>
  <c r="D4680" i="1"/>
  <c r="D4681" i="1"/>
  <c r="D4682" i="1"/>
  <c r="D1697" i="1"/>
  <c r="D4683" i="1"/>
  <c r="D4684" i="1"/>
  <c r="D4685" i="1"/>
  <c r="D1698" i="1"/>
  <c r="D4686" i="1"/>
  <c r="D4687" i="1"/>
  <c r="D4688" i="1"/>
  <c r="D1699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1700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1701" i="1"/>
  <c r="D4716" i="1"/>
  <c r="D4717" i="1"/>
  <c r="D1702" i="1"/>
  <c r="D4718" i="1"/>
  <c r="D1703" i="1"/>
  <c r="D4719" i="1"/>
  <c r="D1704" i="1"/>
  <c r="D4720" i="1"/>
  <c r="D1705" i="1"/>
  <c r="D4721" i="1"/>
  <c r="D4722" i="1"/>
  <c r="D4723" i="1"/>
  <c r="D4724" i="1"/>
  <c r="D4725" i="1"/>
  <c r="D1706" i="1"/>
  <c r="D4726" i="1"/>
  <c r="D4727" i="1"/>
  <c r="D4728" i="1"/>
  <c r="D1707" i="1"/>
  <c r="D4729" i="1"/>
  <c r="D4730" i="1"/>
  <c r="D1708" i="1"/>
  <c r="D4731" i="1"/>
  <c r="D4732" i="1"/>
  <c r="D4733" i="1"/>
  <c r="D4734" i="1"/>
  <c r="D4735" i="1"/>
  <c r="D4736" i="1"/>
  <c r="D4737" i="1"/>
  <c r="D4738" i="1"/>
  <c r="D4739" i="1"/>
  <c r="D1709" i="1"/>
  <c r="D4740" i="1"/>
  <c r="D1710" i="1"/>
  <c r="D4741" i="1"/>
  <c r="D4742" i="1"/>
  <c r="D4743" i="1"/>
  <c r="D4744" i="1"/>
  <c r="D1711" i="1"/>
  <c r="D1712" i="1"/>
  <c r="D4745" i="1"/>
  <c r="D1713" i="1"/>
  <c r="D4746" i="1"/>
  <c r="D4747" i="1"/>
  <c r="D4748" i="1"/>
  <c r="D1714" i="1"/>
  <c r="D1715" i="1"/>
  <c r="D1716" i="1"/>
  <c r="D4749" i="1"/>
  <c r="D1717" i="1"/>
  <c r="D1718" i="1"/>
  <c r="D1719" i="1"/>
  <c r="D4750" i="1"/>
  <c r="D4751" i="1"/>
  <c r="D4752" i="1"/>
  <c r="D1720" i="1"/>
  <c r="D4753" i="1"/>
  <c r="D1721" i="1"/>
  <c r="D4754" i="1"/>
  <c r="D1722" i="1"/>
  <c r="D4755" i="1"/>
  <c r="D1723" i="1"/>
  <c r="D4756" i="1"/>
  <c r="D4757" i="1"/>
  <c r="D4758" i="1"/>
  <c r="D1724" i="1"/>
  <c r="D1725" i="1"/>
  <c r="D4759" i="1"/>
  <c r="D1726" i="1"/>
  <c r="D4760" i="1"/>
  <c r="D4761" i="1"/>
  <c r="D4762" i="1"/>
  <c r="D4763" i="1"/>
  <c r="D4764" i="1"/>
  <c r="D1727" i="1"/>
  <c r="D4765" i="1"/>
  <c r="D1728" i="1"/>
  <c r="D1729" i="1"/>
  <c r="D4766" i="1"/>
  <c r="D1730" i="1"/>
  <c r="D4767" i="1"/>
  <c r="D4768" i="1"/>
  <c r="D1731" i="1"/>
  <c r="D4769" i="1"/>
  <c r="D4770" i="1"/>
  <c r="D4771" i="1"/>
  <c r="D4772" i="1"/>
  <c r="D4773" i="1"/>
  <c r="D4774" i="1"/>
  <c r="D4775" i="1"/>
  <c r="D4776" i="1"/>
  <c r="D1732" i="1"/>
  <c r="D4777" i="1"/>
  <c r="D4778" i="1"/>
  <c r="D1733" i="1"/>
  <c r="D4779" i="1"/>
  <c r="D4780" i="1"/>
  <c r="D4781" i="1"/>
  <c r="D4782" i="1"/>
  <c r="D4783" i="1"/>
  <c r="D1734" i="1"/>
  <c r="D4784" i="1"/>
  <c r="D1735" i="1"/>
  <c r="D4785" i="1"/>
  <c r="D4786" i="1"/>
  <c r="D4787" i="1"/>
  <c r="D1736" i="1"/>
  <c r="D4788" i="1"/>
  <c r="D4789" i="1"/>
  <c r="D4790" i="1"/>
  <c r="D4791" i="1"/>
  <c r="D1737" i="1"/>
  <c r="D4792" i="1"/>
  <c r="D4793" i="1"/>
  <c r="D1738" i="1"/>
  <c r="D4794" i="1"/>
  <c r="D1739" i="1"/>
  <c r="D1740" i="1"/>
  <c r="D4795" i="1"/>
  <c r="D4796" i="1"/>
  <c r="D4797" i="1"/>
  <c r="D4798" i="1"/>
  <c r="D4799" i="1"/>
  <c r="D1741" i="1"/>
  <c r="D4800" i="1"/>
  <c r="D4801" i="1"/>
  <c r="D1742" i="1"/>
  <c r="D1743" i="1"/>
  <c r="D1744" i="1"/>
  <c r="D1745" i="1"/>
  <c r="D4802" i="1"/>
  <c r="D4803" i="1"/>
  <c r="D4804" i="1"/>
  <c r="D4805" i="1"/>
  <c r="D4806" i="1"/>
  <c r="D1746" i="1"/>
  <c r="D1747" i="1"/>
  <c r="D1748" i="1"/>
  <c r="D1749" i="1"/>
  <c r="D4807" i="1"/>
  <c r="D4808" i="1"/>
  <c r="D4809" i="1"/>
  <c r="D4810" i="1"/>
  <c r="D4811" i="1"/>
  <c r="D1750" i="1"/>
  <c r="D1751" i="1"/>
  <c r="D4812" i="1"/>
  <c r="D4813" i="1"/>
  <c r="D1752" i="1"/>
  <c r="D1753" i="1"/>
  <c r="D4814" i="1"/>
  <c r="D4815" i="1"/>
  <c r="D1754" i="1"/>
  <c r="D4816" i="1"/>
  <c r="D4817" i="1"/>
  <c r="D4818" i="1"/>
  <c r="D4819" i="1"/>
  <c r="D4820" i="1"/>
  <c r="D4821" i="1"/>
  <c r="D4822" i="1"/>
  <c r="D1755" i="1"/>
  <c r="D1756" i="1"/>
  <c r="D1757" i="1"/>
  <c r="D1758" i="1"/>
  <c r="D4823" i="1"/>
  <c r="D1759" i="1"/>
  <c r="D4824" i="1"/>
  <c r="D4825" i="1"/>
  <c r="D1760" i="1"/>
  <c r="D1761" i="1"/>
  <c r="D1762" i="1"/>
  <c r="D4826" i="1"/>
  <c r="D4827" i="1"/>
  <c r="D1763" i="1"/>
  <c r="D1764" i="1"/>
  <c r="D4828" i="1"/>
  <c r="D4829" i="1"/>
  <c r="D4830" i="1"/>
  <c r="D1765" i="1"/>
  <c r="D1766" i="1"/>
  <c r="D4831" i="1"/>
  <c r="D1767" i="1"/>
  <c r="D1768" i="1"/>
  <c r="D4832" i="1"/>
  <c r="D1769" i="1"/>
  <c r="D4833" i="1"/>
  <c r="D1770" i="1"/>
  <c r="D1771" i="1"/>
  <c r="D4834" i="1"/>
  <c r="D1772" i="1"/>
  <c r="D1773" i="1"/>
  <c r="D4835" i="1"/>
  <c r="D4836" i="1"/>
  <c r="D4837" i="1"/>
  <c r="D1774" i="1"/>
  <c r="D4838" i="1"/>
  <c r="D4839" i="1"/>
  <c r="D4840" i="1"/>
  <c r="D4841" i="1"/>
  <c r="D1775" i="1"/>
  <c r="D4842" i="1"/>
  <c r="D4843" i="1"/>
  <c r="D4844" i="1"/>
  <c r="D4845" i="1"/>
  <c r="D4846" i="1"/>
  <c r="D4847" i="1"/>
  <c r="D4848" i="1"/>
  <c r="D4849" i="1"/>
  <c r="D1776" i="1"/>
  <c r="D4850" i="1"/>
  <c r="D4851" i="1"/>
  <c r="D4852" i="1"/>
  <c r="D4853" i="1"/>
  <c r="D4854" i="1"/>
  <c r="D4855" i="1"/>
  <c r="D1777" i="1"/>
  <c r="D1778" i="1"/>
  <c r="D1779" i="1"/>
  <c r="D1780" i="1"/>
  <c r="D1781" i="1"/>
  <c r="D4856" i="1"/>
  <c r="D4857" i="1"/>
  <c r="D4858" i="1"/>
  <c r="D4859" i="1"/>
  <c r="D4860" i="1"/>
  <c r="D1782" i="1"/>
  <c r="D4861" i="1"/>
  <c r="D4862" i="1"/>
  <c r="D4863" i="1"/>
  <c r="D1783" i="1"/>
  <c r="D4864" i="1"/>
  <c r="D178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1785" i="1"/>
  <c r="D4878" i="1"/>
  <c r="D4879" i="1"/>
  <c r="D4880" i="1"/>
  <c r="D1786" i="1"/>
  <c r="D4881" i="1"/>
  <c r="D4882" i="1"/>
  <c r="D1787" i="1"/>
  <c r="D1788" i="1"/>
  <c r="D1789" i="1"/>
  <c r="D4883" i="1"/>
  <c r="D4884" i="1"/>
  <c r="D4885" i="1"/>
  <c r="D1790" i="1"/>
  <c r="D4886" i="1"/>
  <c r="D1791" i="1"/>
  <c r="D4887" i="1"/>
  <c r="D4888" i="1"/>
  <c r="D1792" i="1"/>
  <c r="D4889" i="1"/>
  <c r="D1793" i="1"/>
  <c r="D4890" i="1"/>
  <c r="D1794" i="1"/>
  <c r="D1795" i="1"/>
  <c r="D4891" i="1"/>
  <c r="D4892" i="1"/>
  <c r="D4893" i="1"/>
  <c r="D4894" i="1"/>
  <c r="D1796" i="1"/>
  <c r="D1797" i="1"/>
  <c r="D1798" i="1"/>
  <c r="D1799" i="1"/>
  <c r="D4895" i="1"/>
  <c r="D4896" i="1"/>
  <c r="D1800" i="1"/>
  <c r="D4897" i="1"/>
  <c r="D1801" i="1"/>
  <c r="D4898" i="1"/>
  <c r="D4899" i="1"/>
  <c r="D4900" i="1"/>
  <c r="D4901" i="1"/>
  <c r="D4902" i="1"/>
  <c r="D1802" i="1"/>
  <c r="D4903" i="1"/>
  <c r="D4904" i="1"/>
  <c r="D1803" i="1"/>
  <c r="D4905" i="1"/>
  <c r="D1804" i="1"/>
  <c r="D4906" i="1"/>
  <c r="D1805" i="1"/>
  <c r="D1806" i="1"/>
  <c r="D4907" i="1"/>
  <c r="D1807" i="1"/>
  <c r="D4908" i="1"/>
  <c r="D1808" i="1"/>
  <c r="D4909" i="1"/>
  <c r="D4910" i="1"/>
  <c r="D4911" i="1"/>
  <c r="D4912" i="1"/>
  <c r="D4913" i="1"/>
  <c r="D4914" i="1"/>
  <c r="D4915" i="1"/>
  <c r="D4916" i="1"/>
  <c r="D4917" i="1"/>
  <c r="D4918" i="1"/>
  <c r="D1809" i="1"/>
  <c r="D4919" i="1"/>
  <c r="D4920" i="1"/>
  <c r="D4921" i="1"/>
  <c r="D4922" i="1"/>
  <c r="D4923" i="1"/>
  <c r="D1810" i="1"/>
  <c r="D4924" i="1"/>
  <c r="D4925" i="1"/>
  <c r="D4926" i="1"/>
  <c r="D4927" i="1"/>
  <c r="D1811" i="1"/>
  <c r="D1812" i="1"/>
  <c r="D1813" i="1"/>
  <c r="D4928" i="1"/>
  <c r="D1814" i="1"/>
  <c r="D1815" i="1"/>
  <c r="D4929" i="1"/>
  <c r="D1816" i="1"/>
  <c r="D4930" i="1"/>
  <c r="D1817" i="1"/>
  <c r="D4931" i="1"/>
  <c r="D1818" i="1"/>
  <c r="D4932" i="1"/>
  <c r="D4933" i="1"/>
  <c r="D4934" i="1"/>
  <c r="D1819" i="1"/>
  <c r="D4935" i="1"/>
  <c r="D1820" i="1"/>
  <c r="D4936" i="1"/>
  <c r="D4937" i="1"/>
  <c r="D4938" i="1"/>
  <c r="D4939" i="1"/>
  <c r="D4940" i="1"/>
  <c r="D4941" i="1"/>
  <c r="D1821" i="1"/>
  <c r="D1822" i="1"/>
  <c r="D4942" i="1"/>
  <c r="D4943" i="1"/>
  <c r="D1823" i="1"/>
  <c r="D1824" i="1"/>
  <c r="D4944" i="1"/>
  <c r="D4945" i="1"/>
  <c r="D4946" i="1"/>
  <c r="D4947" i="1"/>
  <c r="D4948" i="1"/>
  <c r="D1825" i="1"/>
  <c r="D4949" i="1"/>
  <c r="D1826" i="1"/>
  <c r="D1827" i="1"/>
  <c r="D4950" i="1"/>
  <c r="D4951" i="1"/>
  <c r="D1828" i="1"/>
  <c r="D4952" i="1"/>
  <c r="D4953" i="1"/>
  <c r="D4954" i="1"/>
  <c r="D4955" i="1"/>
  <c r="D1829" i="1"/>
  <c r="D4956" i="1"/>
  <c r="D4957" i="1"/>
  <c r="D4958" i="1"/>
  <c r="D1830" i="1"/>
  <c r="D4959" i="1"/>
  <c r="D4960" i="1"/>
  <c r="D1831" i="1"/>
  <c r="D4961" i="1"/>
  <c r="D1832" i="1"/>
  <c r="D4962" i="1"/>
  <c r="D4963" i="1"/>
  <c r="D4964" i="1"/>
  <c r="D4965" i="1"/>
  <c r="D1833" i="1"/>
  <c r="D4966" i="1"/>
  <c r="D1834" i="1"/>
  <c r="D1835" i="1"/>
  <c r="D4967" i="1"/>
  <c r="D1836" i="1"/>
  <c r="D4968" i="1"/>
  <c r="D4969" i="1"/>
  <c r="D4970" i="1"/>
  <c r="D4971" i="1"/>
  <c r="D4972" i="1"/>
  <c r="D4973" i="1"/>
  <c r="D4974" i="1"/>
  <c r="D4975" i="1"/>
  <c r="D4976" i="1"/>
  <c r="D4977" i="1"/>
  <c r="D1837" i="1"/>
  <c r="D4978" i="1"/>
  <c r="D1838" i="1"/>
  <c r="D4979" i="1"/>
  <c r="D1839" i="1"/>
  <c r="D1840" i="1"/>
  <c r="D4980" i="1"/>
  <c r="D1841" i="1"/>
  <c r="D1842" i="1"/>
  <c r="D4981" i="1"/>
  <c r="D4982" i="1"/>
  <c r="D4983" i="1"/>
  <c r="D1843" i="1"/>
  <c r="D4984" i="1"/>
  <c r="D1844" i="1"/>
  <c r="D1845" i="1"/>
  <c r="D1846" i="1"/>
  <c r="D1847" i="1"/>
  <c r="D1848" i="1"/>
  <c r="D4985" i="1"/>
  <c r="D4986" i="1"/>
  <c r="D1849" i="1"/>
  <c r="D1850" i="1"/>
  <c r="D1851" i="1"/>
  <c r="D4987" i="1"/>
  <c r="D4988" i="1"/>
  <c r="D4989" i="1"/>
  <c r="D1852" i="1"/>
  <c r="D4990" i="1"/>
  <c r="D1853" i="1"/>
  <c r="D4991" i="1"/>
  <c r="D4992" i="1"/>
  <c r="D1854" i="1"/>
  <c r="D1855" i="1"/>
  <c r="D4993" i="1"/>
  <c r="D4994" i="1"/>
  <c r="D4995" i="1"/>
  <c r="D4996" i="1"/>
  <c r="D1856" i="1"/>
  <c r="D4997" i="1"/>
  <c r="D4998" i="1"/>
  <c r="D1857" i="1"/>
  <c r="D4999" i="1"/>
  <c r="D5000" i="1"/>
  <c r="D5001" i="1"/>
  <c r="B13" i="2" l="1"/>
  <c r="B12" i="2"/>
  <c r="J1858" i="1"/>
  <c r="J2" i="1"/>
  <c r="J3" i="1"/>
  <c r="J4" i="1"/>
  <c r="J1859" i="1"/>
  <c r="J5" i="1"/>
  <c r="J1860" i="1"/>
  <c r="J1861" i="1"/>
  <c r="J1862" i="1"/>
  <c r="J1863" i="1"/>
  <c r="J6" i="1"/>
  <c r="J1864" i="1"/>
  <c r="J1865" i="1"/>
  <c r="J1866" i="1"/>
  <c r="J7" i="1"/>
  <c r="J8" i="1"/>
  <c r="J9" i="1"/>
  <c r="J10" i="1"/>
  <c r="J11" i="1"/>
  <c r="J1867" i="1"/>
  <c r="J12" i="1"/>
  <c r="J1868" i="1"/>
  <c r="J13" i="1"/>
  <c r="J14" i="1"/>
  <c r="J1869" i="1"/>
  <c r="J1870" i="1"/>
  <c r="J1871" i="1"/>
  <c r="J1872" i="1"/>
  <c r="J15" i="1"/>
  <c r="J1873" i="1"/>
  <c r="J16" i="1"/>
  <c r="J1874" i="1"/>
  <c r="J1875" i="1"/>
  <c r="J1876" i="1"/>
  <c r="J1877" i="1"/>
  <c r="J1878" i="1"/>
  <c r="J17" i="1"/>
  <c r="J1879" i="1"/>
  <c r="J18" i="1"/>
  <c r="J1880" i="1"/>
  <c r="J1881" i="1"/>
  <c r="J1882" i="1"/>
  <c r="J1883" i="1"/>
  <c r="J1884" i="1"/>
  <c r="J19" i="1"/>
  <c r="J1885" i="1"/>
  <c r="J20" i="1"/>
  <c r="J1886" i="1"/>
  <c r="J1887" i="1"/>
  <c r="J1888" i="1"/>
  <c r="J21" i="1"/>
  <c r="J22" i="1"/>
  <c r="J1889" i="1"/>
  <c r="J23" i="1"/>
  <c r="J1890" i="1"/>
  <c r="J1891" i="1"/>
  <c r="J1892" i="1"/>
  <c r="J1893" i="1"/>
  <c r="J1894" i="1"/>
  <c r="J24" i="1"/>
  <c r="J1895" i="1"/>
  <c r="J1896" i="1"/>
  <c r="J25" i="1"/>
  <c r="J26" i="1"/>
  <c r="J27" i="1"/>
  <c r="J28" i="1"/>
  <c r="J1897" i="1"/>
  <c r="J1898" i="1"/>
  <c r="J29" i="1"/>
  <c r="J1899" i="1"/>
  <c r="J30" i="1"/>
  <c r="J31" i="1"/>
  <c r="J1900" i="1"/>
  <c r="J1901" i="1"/>
  <c r="J32" i="1"/>
  <c r="J1902" i="1"/>
  <c r="J33" i="1"/>
  <c r="J1903" i="1"/>
  <c r="J1904" i="1"/>
  <c r="J1905" i="1"/>
  <c r="J1906" i="1"/>
  <c r="J1907" i="1"/>
  <c r="J34" i="1"/>
  <c r="J35" i="1"/>
  <c r="J36" i="1"/>
  <c r="J37" i="1"/>
  <c r="J1908" i="1"/>
  <c r="J1909" i="1"/>
  <c r="J1910" i="1"/>
  <c r="J1911" i="1"/>
  <c r="J1912" i="1"/>
  <c r="J38" i="1"/>
  <c r="J39" i="1"/>
  <c r="J1913" i="1"/>
  <c r="J40" i="1"/>
  <c r="J41" i="1"/>
  <c r="J42" i="1"/>
  <c r="J1914" i="1"/>
  <c r="J1915" i="1"/>
  <c r="J1916" i="1"/>
  <c r="J1917" i="1"/>
  <c r="J1918" i="1"/>
  <c r="J1919" i="1"/>
  <c r="J43" i="1"/>
  <c r="J1920" i="1"/>
  <c r="J1921" i="1"/>
  <c r="J44" i="1"/>
  <c r="J45" i="1"/>
  <c r="J1922" i="1"/>
  <c r="J1923" i="1"/>
  <c r="J1924" i="1"/>
  <c r="J46" i="1"/>
  <c r="J1925" i="1"/>
  <c r="J1926" i="1"/>
  <c r="J1927" i="1"/>
  <c r="J47" i="1"/>
  <c r="J1928" i="1"/>
  <c r="J1929" i="1"/>
  <c r="J1930" i="1"/>
  <c r="J1931" i="1"/>
  <c r="J48" i="1"/>
  <c r="J1932" i="1"/>
  <c r="J49" i="1"/>
  <c r="J1933" i="1"/>
  <c r="J1934" i="1"/>
  <c r="J1935" i="1"/>
  <c r="J50" i="1"/>
  <c r="J51" i="1"/>
  <c r="J52" i="1"/>
  <c r="J1936" i="1"/>
  <c r="J53" i="1"/>
  <c r="J1937" i="1"/>
  <c r="J54" i="1"/>
  <c r="J1938" i="1"/>
  <c r="J1939" i="1"/>
  <c r="J1940" i="1"/>
  <c r="J1941" i="1"/>
  <c r="J55" i="1"/>
  <c r="J56" i="1"/>
  <c r="J1942" i="1"/>
  <c r="J57" i="1"/>
  <c r="J58" i="1"/>
  <c r="J59" i="1"/>
  <c r="J1943" i="1"/>
  <c r="J60" i="1"/>
  <c r="J1944" i="1"/>
  <c r="J1945" i="1"/>
  <c r="J1946" i="1"/>
  <c r="J1947" i="1"/>
  <c r="J1948" i="1"/>
  <c r="J1949" i="1"/>
  <c r="J1950" i="1"/>
  <c r="J1951" i="1"/>
  <c r="J61" i="1"/>
  <c r="J1952" i="1"/>
  <c r="J1953" i="1"/>
  <c r="J1954" i="1"/>
  <c r="J62" i="1"/>
  <c r="J63" i="1"/>
  <c r="J1955" i="1"/>
  <c r="J1956" i="1"/>
  <c r="J1957" i="1"/>
  <c r="J1958" i="1"/>
  <c r="J1959" i="1"/>
  <c r="J1960" i="1"/>
  <c r="J64" i="1"/>
  <c r="J1961" i="1"/>
  <c r="J65" i="1"/>
  <c r="J1962" i="1"/>
  <c r="J1963" i="1"/>
  <c r="J1964" i="1"/>
  <c r="J66" i="1"/>
  <c r="J1965" i="1"/>
  <c r="J1966" i="1"/>
  <c r="J67" i="1"/>
  <c r="J68" i="1"/>
  <c r="J1967" i="1"/>
  <c r="J69" i="1"/>
  <c r="J70" i="1"/>
  <c r="J1968" i="1"/>
  <c r="J71" i="1"/>
  <c r="J72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73" i="1"/>
  <c r="J74" i="1"/>
  <c r="J75" i="1"/>
  <c r="J1984" i="1"/>
  <c r="J1985" i="1"/>
  <c r="J1986" i="1"/>
  <c r="J1987" i="1"/>
  <c r="J76" i="1"/>
  <c r="J77" i="1"/>
  <c r="J1988" i="1"/>
  <c r="J1989" i="1"/>
  <c r="J1990" i="1"/>
  <c r="J1991" i="1"/>
  <c r="J1992" i="1"/>
  <c r="J1993" i="1"/>
  <c r="J78" i="1"/>
  <c r="J1994" i="1"/>
  <c r="J79" i="1"/>
  <c r="J80" i="1"/>
  <c r="J81" i="1"/>
  <c r="J1995" i="1"/>
  <c r="J1996" i="1"/>
  <c r="J82" i="1"/>
  <c r="J1997" i="1"/>
  <c r="J83" i="1"/>
  <c r="J1998" i="1"/>
  <c r="J84" i="1"/>
  <c r="J85" i="1"/>
  <c r="J1999" i="1"/>
  <c r="J2000" i="1"/>
  <c r="J2001" i="1"/>
  <c r="J2002" i="1"/>
  <c r="J2003" i="1"/>
  <c r="J2004" i="1"/>
  <c r="J86" i="1"/>
  <c r="J87" i="1"/>
  <c r="J2005" i="1"/>
  <c r="J2006" i="1"/>
  <c r="J88" i="1"/>
  <c r="J2007" i="1"/>
  <c r="J89" i="1"/>
  <c r="J90" i="1"/>
  <c r="J2008" i="1"/>
  <c r="J2009" i="1"/>
  <c r="J2010" i="1"/>
  <c r="J91" i="1"/>
  <c r="J2011" i="1"/>
  <c r="J92" i="1"/>
  <c r="J93" i="1"/>
  <c r="J94" i="1"/>
  <c r="J2012" i="1"/>
  <c r="J2013" i="1"/>
  <c r="J2014" i="1"/>
  <c r="J95" i="1"/>
  <c r="J96" i="1"/>
  <c r="J97" i="1"/>
  <c r="J2015" i="1"/>
  <c r="J2016" i="1"/>
  <c r="J2017" i="1"/>
  <c r="J2018" i="1"/>
  <c r="J2019" i="1"/>
  <c r="J98" i="1"/>
  <c r="J2020" i="1"/>
  <c r="J2021" i="1"/>
  <c r="J99" i="1"/>
  <c r="J2022" i="1"/>
  <c r="J100" i="1"/>
  <c r="J101" i="1"/>
  <c r="J2023" i="1"/>
  <c r="J2024" i="1"/>
  <c r="J2025" i="1"/>
  <c r="J102" i="1"/>
  <c r="J2026" i="1"/>
  <c r="J2027" i="1"/>
  <c r="J2028" i="1"/>
  <c r="J2029" i="1"/>
  <c r="J2030" i="1"/>
  <c r="J103" i="1"/>
  <c r="J2031" i="1"/>
  <c r="J2032" i="1"/>
  <c r="J2033" i="1"/>
  <c r="J104" i="1"/>
  <c r="J105" i="1"/>
  <c r="J106" i="1"/>
  <c r="J2034" i="1"/>
  <c r="J2035" i="1"/>
  <c r="J107" i="1"/>
  <c r="J2036" i="1"/>
  <c r="J2037" i="1"/>
  <c r="J2038" i="1"/>
  <c r="J2039" i="1"/>
  <c r="J2040" i="1"/>
  <c r="J2041" i="1"/>
  <c r="J2042" i="1"/>
  <c r="J108" i="1"/>
  <c r="J2043" i="1"/>
  <c r="J2044" i="1"/>
  <c r="J2045" i="1"/>
  <c r="J109" i="1"/>
  <c r="J110" i="1"/>
  <c r="J2046" i="1"/>
  <c r="J2047" i="1"/>
  <c r="J2048" i="1"/>
  <c r="J2049" i="1"/>
  <c r="J111" i="1"/>
  <c r="J2050" i="1"/>
  <c r="J2051" i="1"/>
  <c r="J112" i="1"/>
  <c r="J2052" i="1"/>
  <c r="J2053" i="1"/>
  <c r="J2054" i="1"/>
  <c r="J113" i="1"/>
  <c r="J114" i="1"/>
  <c r="J115" i="1"/>
  <c r="J116" i="1"/>
  <c r="J117" i="1"/>
  <c r="J118" i="1"/>
  <c r="J2055" i="1"/>
  <c r="J2056" i="1"/>
  <c r="J2057" i="1"/>
  <c r="J119" i="1"/>
  <c r="J120" i="1"/>
  <c r="J121" i="1"/>
  <c r="J2058" i="1"/>
  <c r="J122" i="1"/>
  <c r="J2059" i="1"/>
  <c r="J2060" i="1"/>
  <c r="J2061" i="1"/>
  <c r="J123" i="1"/>
  <c r="J2062" i="1"/>
  <c r="J124" i="1"/>
  <c r="J125" i="1"/>
  <c r="J126" i="1"/>
  <c r="J2063" i="1"/>
  <c r="J2064" i="1"/>
  <c r="J127" i="1"/>
  <c r="J2065" i="1"/>
  <c r="J2066" i="1"/>
  <c r="J128" i="1"/>
  <c r="J129" i="1"/>
  <c r="J130" i="1"/>
  <c r="J131" i="1"/>
  <c r="J132" i="1"/>
  <c r="J2067" i="1"/>
  <c r="J133" i="1"/>
  <c r="J2068" i="1"/>
  <c r="J2069" i="1"/>
  <c r="J2070" i="1"/>
  <c r="J2071" i="1"/>
  <c r="J134" i="1"/>
  <c r="J135" i="1"/>
  <c r="J2072" i="1"/>
  <c r="J136" i="1"/>
  <c r="J137" i="1"/>
  <c r="J2073" i="1"/>
  <c r="J138" i="1"/>
  <c r="J2074" i="1"/>
  <c r="J139" i="1"/>
  <c r="J2075" i="1"/>
  <c r="J140" i="1"/>
  <c r="J2076" i="1"/>
  <c r="J2077" i="1"/>
  <c r="J2078" i="1"/>
  <c r="J2079" i="1"/>
  <c r="J2080" i="1"/>
  <c r="J2081" i="1"/>
  <c r="J2082" i="1"/>
  <c r="J2083" i="1"/>
  <c r="J141" i="1"/>
  <c r="J142" i="1"/>
  <c r="J2084" i="1"/>
  <c r="J143" i="1"/>
  <c r="J2085" i="1"/>
  <c r="J144" i="1"/>
  <c r="J2086" i="1"/>
  <c r="J2087" i="1"/>
  <c r="J145" i="1"/>
  <c r="J2088" i="1"/>
  <c r="J2089" i="1"/>
  <c r="J2090" i="1"/>
  <c r="J2091" i="1"/>
  <c r="J146" i="1"/>
  <c r="J2092" i="1"/>
  <c r="J147" i="1"/>
  <c r="J2093" i="1"/>
  <c r="J2094" i="1"/>
  <c r="J148" i="1"/>
  <c r="J2095" i="1"/>
  <c r="J2096" i="1"/>
  <c r="J149" i="1"/>
  <c r="J150" i="1"/>
  <c r="J2097" i="1"/>
  <c r="J151" i="1"/>
  <c r="J2098" i="1"/>
  <c r="J152" i="1"/>
  <c r="J2099" i="1"/>
  <c r="J2100" i="1"/>
  <c r="J2101" i="1"/>
  <c r="J2102" i="1"/>
  <c r="J2103" i="1"/>
  <c r="J2104" i="1"/>
  <c r="J153" i="1"/>
  <c r="J2105" i="1"/>
  <c r="J154" i="1"/>
  <c r="J2106" i="1"/>
  <c r="J2107" i="1"/>
  <c r="J155" i="1"/>
  <c r="J2108" i="1"/>
  <c r="J156" i="1"/>
  <c r="J157" i="1"/>
  <c r="J2109" i="1"/>
  <c r="J2110" i="1"/>
  <c r="J158" i="1"/>
  <c r="J2111" i="1"/>
  <c r="J2112" i="1"/>
  <c r="J159" i="1"/>
  <c r="J2113" i="1"/>
  <c r="J2114" i="1"/>
  <c r="J2115" i="1"/>
  <c r="J160" i="1"/>
  <c r="J2116" i="1"/>
  <c r="J161" i="1"/>
  <c r="J2117" i="1"/>
  <c r="J2118" i="1"/>
  <c r="J2119" i="1"/>
  <c r="J2120" i="1"/>
  <c r="J2121" i="1"/>
  <c r="J2122" i="1"/>
  <c r="J2123" i="1"/>
  <c r="J2124" i="1"/>
  <c r="J2125" i="1"/>
  <c r="J162" i="1"/>
  <c r="J2126" i="1"/>
  <c r="J2127" i="1"/>
  <c r="J2128" i="1"/>
  <c r="J2129" i="1"/>
  <c r="J2130" i="1"/>
  <c r="J2131" i="1"/>
  <c r="J163" i="1"/>
  <c r="J164" i="1"/>
  <c r="J165" i="1"/>
  <c r="J166" i="1"/>
  <c r="J167" i="1"/>
  <c r="J2132" i="1"/>
  <c r="J2133" i="1"/>
  <c r="J2134" i="1"/>
  <c r="J2135" i="1"/>
  <c r="J2136" i="1"/>
  <c r="J168" i="1"/>
  <c r="J2137" i="1"/>
  <c r="J2138" i="1"/>
  <c r="J2139" i="1"/>
  <c r="J2140" i="1"/>
  <c r="J2141" i="1"/>
  <c r="J2142" i="1"/>
  <c r="J2143" i="1"/>
  <c r="J2144" i="1"/>
  <c r="J169" i="1"/>
  <c r="J2145" i="1"/>
  <c r="J170" i="1"/>
  <c r="J171" i="1"/>
  <c r="J172" i="1"/>
  <c r="J173" i="1"/>
  <c r="J2146" i="1"/>
  <c r="J2147" i="1"/>
  <c r="J174" i="1"/>
  <c r="J2148" i="1"/>
  <c r="J175" i="1"/>
  <c r="J176" i="1"/>
  <c r="J2149" i="1"/>
  <c r="J177" i="1"/>
  <c r="J2150" i="1"/>
  <c r="J2151" i="1"/>
  <c r="J178" i="1"/>
  <c r="J179" i="1"/>
  <c r="J2152" i="1"/>
  <c r="J180" i="1"/>
  <c r="J2153" i="1"/>
  <c r="J181" i="1"/>
  <c r="J2154" i="1"/>
  <c r="J182" i="1"/>
  <c r="J2155" i="1"/>
  <c r="J183" i="1"/>
  <c r="J184" i="1"/>
  <c r="J2156" i="1"/>
  <c r="J185" i="1"/>
  <c r="J2157" i="1"/>
  <c r="J2158" i="1"/>
  <c r="J2159" i="1"/>
  <c r="J2160" i="1"/>
  <c r="J186" i="1"/>
  <c r="J2161" i="1"/>
  <c r="J2162" i="1"/>
  <c r="J2163" i="1"/>
  <c r="J2164" i="1"/>
  <c r="J187" i="1"/>
  <c r="J2165" i="1"/>
  <c r="J188" i="1"/>
  <c r="J2166" i="1"/>
  <c r="J2167" i="1"/>
  <c r="J2168" i="1"/>
  <c r="J189" i="1"/>
  <c r="J2169" i="1"/>
  <c r="J190" i="1"/>
  <c r="J2170" i="1"/>
  <c r="J2171" i="1"/>
  <c r="J191" i="1"/>
  <c r="J192" i="1"/>
  <c r="J2172" i="1"/>
  <c r="J193" i="1"/>
  <c r="J194" i="1"/>
  <c r="J2173" i="1"/>
  <c r="J2174" i="1"/>
  <c r="J2175" i="1"/>
  <c r="J195" i="1"/>
  <c r="J196" i="1"/>
  <c r="J2176" i="1"/>
  <c r="J197" i="1"/>
  <c r="J2177" i="1"/>
  <c r="J2178" i="1"/>
  <c r="J2179" i="1"/>
  <c r="J198" i="1"/>
  <c r="J2180" i="1"/>
  <c r="J2181" i="1"/>
  <c r="J2182" i="1"/>
  <c r="J199" i="1"/>
  <c r="J2183" i="1"/>
  <c r="J2184" i="1"/>
  <c r="J2185" i="1"/>
  <c r="J2186" i="1"/>
  <c r="J2187" i="1"/>
  <c r="J200" i="1"/>
  <c r="J2188" i="1"/>
  <c r="J201" i="1"/>
  <c r="J202" i="1"/>
  <c r="J203" i="1"/>
  <c r="J204" i="1"/>
  <c r="J205" i="1"/>
  <c r="J206" i="1"/>
  <c r="J207" i="1"/>
  <c r="J2189" i="1"/>
  <c r="J208" i="1"/>
  <c r="J2190" i="1"/>
  <c r="J2191" i="1"/>
  <c r="J209" i="1"/>
  <c r="J210" i="1"/>
  <c r="J211" i="1"/>
  <c r="J2192" i="1"/>
  <c r="J2193" i="1"/>
  <c r="J212" i="1"/>
  <c r="J213" i="1"/>
  <c r="J214" i="1"/>
  <c r="J2194" i="1"/>
  <c r="J215" i="1"/>
  <c r="J2195" i="1"/>
  <c r="J216" i="1"/>
  <c r="J2196" i="1"/>
  <c r="J2197" i="1"/>
  <c r="J217" i="1"/>
  <c r="J2198" i="1"/>
  <c r="J2199" i="1"/>
  <c r="J2200" i="1"/>
  <c r="J2201" i="1"/>
  <c r="J2202" i="1"/>
  <c r="J218" i="1"/>
  <c r="J2203" i="1"/>
  <c r="J2204" i="1"/>
  <c r="J2205" i="1"/>
  <c r="J219" i="1"/>
  <c r="J2206" i="1"/>
  <c r="J2207" i="1"/>
  <c r="J2208" i="1"/>
  <c r="J2209" i="1"/>
  <c r="J2210" i="1"/>
  <c r="J2211" i="1"/>
  <c r="J2212" i="1"/>
  <c r="J2213" i="1"/>
  <c r="J220" i="1"/>
  <c r="J2214" i="1"/>
  <c r="J221" i="1"/>
  <c r="J222" i="1"/>
  <c r="J223" i="1"/>
  <c r="J2215" i="1"/>
  <c r="J2216" i="1"/>
  <c r="J224" i="1"/>
  <c r="J2217" i="1"/>
  <c r="J2218" i="1"/>
  <c r="J225" i="1"/>
  <c r="J2219" i="1"/>
  <c r="J2220" i="1"/>
  <c r="J2221" i="1"/>
  <c r="J226" i="1"/>
  <c r="J227" i="1"/>
  <c r="J228" i="1"/>
  <c r="J2222" i="1"/>
  <c r="J2223" i="1"/>
  <c r="J229" i="1"/>
  <c r="J2224" i="1"/>
  <c r="J2225" i="1"/>
  <c r="J2226" i="1"/>
  <c r="J2227" i="1"/>
  <c r="J2228" i="1"/>
  <c r="J2229" i="1"/>
  <c r="J230" i="1"/>
  <c r="J2230" i="1"/>
  <c r="J2231" i="1"/>
  <c r="J2232" i="1"/>
  <c r="J231" i="1"/>
  <c r="J2233" i="1"/>
  <c r="J2234" i="1"/>
  <c r="J2235" i="1"/>
  <c r="J232" i="1"/>
  <c r="J2236" i="1"/>
  <c r="J2237" i="1"/>
  <c r="J2238" i="1"/>
  <c r="J2239" i="1"/>
  <c r="J2240" i="1"/>
  <c r="J2241" i="1"/>
  <c r="J233" i="1"/>
  <c r="J2242" i="1"/>
  <c r="J2243" i="1"/>
  <c r="J2244" i="1"/>
  <c r="J2245" i="1"/>
  <c r="J234" i="1"/>
  <c r="J235" i="1"/>
  <c r="J236" i="1"/>
  <c r="J237" i="1"/>
  <c r="J2246" i="1"/>
  <c r="J2247" i="1"/>
  <c r="J2248" i="1"/>
  <c r="J2249" i="1"/>
  <c r="J2250" i="1"/>
  <c r="J2251" i="1"/>
  <c r="J2252" i="1"/>
  <c r="J238" i="1"/>
  <c r="J2253" i="1"/>
  <c r="J2254" i="1"/>
  <c r="J2255" i="1"/>
  <c r="J2256" i="1"/>
  <c r="J239" i="1"/>
  <c r="J240" i="1"/>
  <c r="J2257" i="1"/>
  <c r="J2258" i="1"/>
  <c r="J2259" i="1"/>
  <c r="J241" i="1"/>
  <c r="J2260" i="1"/>
  <c r="J242" i="1"/>
  <c r="J2261" i="1"/>
  <c r="J2262" i="1"/>
  <c r="J2263" i="1"/>
  <c r="J2264" i="1"/>
  <c r="J2265" i="1"/>
  <c r="J2266" i="1"/>
  <c r="J243" i="1"/>
  <c r="J244" i="1"/>
  <c r="J2267" i="1"/>
  <c r="J245" i="1"/>
  <c r="J2268" i="1"/>
  <c r="J246" i="1"/>
  <c r="J2269" i="1"/>
  <c r="J247" i="1"/>
  <c r="J248" i="1"/>
  <c r="J249" i="1"/>
  <c r="J250" i="1"/>
  <c r="J251" i="1"/>
  <c r="J2270" i="1"/>
  <c r="J252" i="1"/>
  <c r="J253" i="1"/>
  <c r="J254" i="1"/>
  <c r="J2271" i="1"/>
  <c r="J255" i="1"/>
  <c r="J256" i="1"/>
  <c r="J2272" i="1"/>
  <c r="J257" i="1"/>
  <c r="J2273" i="1"/>
  <c r="J2274" i="1"/>
  <c r="J258" i="1"/>
  <c r="J259" i="1"/>
  <c r="J2275" i="1"/>
  <c r="J2276" i="1"/>
  <c r="J2277" i="1"/>
  <c r="J2278" i="1"/>
  <c r="J260" i="1"/>
  <c r="J2279" i="1"/>
  <c r="J261" i="1"/>
  <c r="J2280" i="1"/>
  <c r="J2281" i="1"/>
  <c r="J2282" i="1"/>
  <c r="J262" i="1"/>
  <c r="J2283" i="1"/>
  <c r="J263" i="1"/>
  <c r="J2284" i="1"/>
  <c r="J2285" i="1"/>
  <c r="J2286" i="1"/>
  <c r="J2287" i="1"/>
  <c r="J2288" i="1"/>
  <c r="J2289" i="1"/>
  <c r="J2290" i="1"/>
  <c r="J2291" i="1"/>
  <c r="J264" i="1"/>
  <c r="J2292" i="1"/>
  <c r="J2293" i="1"/>
  <c r="J265" i="1"/>
  <c r="J2294" i="1"/>
  <c r="J266" i="1"/>
  <c r="J2295" i="1"/>
  <c r="J2296" i="1"/>
  <c r="J2297" i="1"/>
  <c r="J2298" i="1"/>
  <c r="J2299" i="1"/>
  <c r="J267" i="1"/>
  <c r="J2300" i="1"/>
  <c r="J2301" i="1"/>
  <c r="J2302" i="1"/>
  <c r="J2303" i="1"/>
  <c r="J268" i="1"/>
  <c r="J2304" i="1"/>
  <c r="J2305" i="1"/>
  <c r="J269" i="1"/>
  <c r="J2306" i="1"/>
  <c r="J270" i="1"/>
  <c r="J2307" i="1"/>
  <c r="J271" i="1"/>
  <c r="J2308" i="1"/>
  <c r="J272" i="1"/>
  <c r="J2309" i="1"/>
  <c r="J273" i="1"/>
  <c r="J274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75" i="1"/>
  <c r="J2325" i="1"/>
  <c r="J2326" i="1"/>
  <c r="J276" i="1"/>
  <c r="J2327" i="1"/>
  <c r="J2328" i="1"/>
  <c r="J2329" i="1"/>
  <c r="J277" i="1"/>
  <c r="J278" i="1"/>
  <c r="J279" i="1"/>
  <c r="J2330" i="1"/>
  <c r="J2331" i="1"/>
  <c r="J2332" i="1"/>
  <c r="J2333" i="1"/>
  <c r="J2334" i="1"/>
  <c r="J2335" i="1"/>
  <c r="J2336" i="1"/>
  <c r="J280" i="1"/>
  <c r="J281" i="1"/>
  <c r="J282" i="1"/>
  <c r="J283" i="1"/>
  <c r="J2337" i="1"/>
  <c r="J284" i="1"/>
  <c r="J2338" i="1"/>
  <c r="J2339" i="1"/>
  <c r="J2340" i="1"/>
  <c r="J2341" i="1"/>
  <c r="J2342" i="1"/>
  <c r="J285" i="1"/>
  <c r="J2343" i="1"/>
  <c r="J2344" i="1"/>
  <c r="J286" i="1"/>
  <c r="J2345" i="1"/>
  <c r="J287" i="1"/>
  <c r="J288" i="1"/>
  <c r="J2346" i="1"/>
  <c r="J289" i="1"/>
  <c r="J290" i="1"/>
  <c r="J2347" i="1"/>
  <c r="J2348" i="1"/>
  <c r="J2349" i="1"/>
  <c r="J2350" i="1"/>
  <c r="J2351" i="1"/>
  <c r="J2352" i="1"/>
  <c r="J291" i="1"/>
  <c r="J292" i="1"/>
  <c r="J2353" i="1"/>
  <c r="J2354" i="1"/>
  <c r="J2355" i="1"/>
  <c r="J293" i="1"/>
  <c r="J294" i="1"/>
  <c r="J2356" i="1"/>
  <c r="J2357" i="1"/>
  <c r="J2358" i="1"/>
  <c r="J2359" i="1"/>
  <c r="J2360" i="1"/>
  <c r="J2361" i="1"/>
  <c r="J2362" i="1"/>
  <c r="J295" i="1"/>
  <c r="J296" i="1"/>
  <c r="J297" i="1"/>
  <c r="J2363" i="1"/>
  <c r="J2364" i="1"/>
  <c r="J2365" i="1"/>
  <c r="J2366" i="1"/>
  <c r="J2367" i="1"/>
  <c r="J2368" i="1"/>
  <c r="J298" i="1"/>
  <c r="J2369" i="1"/>
  <c r="J299" i="1"/>
  <c r="J2370" i="1"/>
  <c r="J2371" i="1"/>
  <c r="J2372" i="1"/>
  <c r="J2373" i="1"/>
  <c r="J2374" i="1"/>
  <c r="J2375" i="1"/>
  <c r="J2376" i="1"/>
  <c r="J2377" i="1"/>
  <c r="J300" i="1"/>
  <c r="J2378" i="1"/>
  <c r="J301" i="1"/>
  <c r="J2379" i="1"/>
  <c r="J2380" i="1"/>
  <c r="J2381" i="1"/>
  <c r="J302" i="1"/>
  <c r="J2382" i="1"/>
  <c r="J2383" i="1"/>
  <c r="J303" i="1"/>
  <c r="J2384" i="1"/>
  <c r="J304" i="1"/>
  <c r="J2385" i="1"/>
  <c r="J305" i="1"/>
  <c r="J2386" i="1"/>
  <c r="J2387" i="1"/>
  <c r="J2388" i="1"/>
  <c r="J2389" i="1"/>
  <c r="J2390" i="1"/>
  <c r="J306" i="1"/>
  <c r="J307" i="1"/>
  <c r="J2391" i="1"/>
  <c r="J308" i="1"/>
  <c r="J2392" i="1"/>
  <c r="J309" i="1"/>
  <c r="J310" i="1"/>
  <c r="J311" i="1"/>
  <c r="J312" i="1"/>
  <c r="J313" i="1"/>
  <c r="J2393" i="1"/>
  <c r="J2394" i="1"/>
  <c r="J2395" i="1"/>
  <c r="J314" i="1"/>
  <c r="J2396" i="1"/>
  <c r="J2397" i="1"/>
  <c r="J2398" i="1"/>
  <c r="J315" i="1"/>
  <c r="J2399" i="1"/>
  <c r="J2400" i="1"/>
  <c r="J2401" i="1"/>
  <c r="J2402" i="1"/>
  <c r="J316" i="1"/>
  <c r="J317" i="1"/>
  <c r="J318" i="1"/>
  <c r="J319" i="1"/>
  <c r="J2403" i="1"/>
  <c r="J320" i="1"/>
  <c r="J2404" i="1"/>
  <c r="J2405" i="1"/>
  <c r="J2406" i="1"/>
  <c r="J321" i="1"/>
  <c r="J322" i="1"/>
  <c r="J2407" i="1"/>
  <c r="J2408" i="1"/>
  <c r="J2409" i="1"/>
  <c r="J2410" i="1"/>
  <c r="J323" i="1"/>
  <c r="J2411" i="1"/>
  <c r="J2412" i="1"/>
  <c r="J324" i="1"/>
  <c r="J2413" i="1"/>
  <c r="J325" i="1"/>
  <c r="J326" i="1"/>
  <c r="J327" i="1"/>
  <c r="J2414" i="1"/>
  <c r="J2415" i="1"/>
  <c r="J2416" i="1"/>
  <c r="J328" i="1"/>
  <c r="J2417" i="1"/>
  <c r="J2418" i="1"/>
  <c r="J2419" i="1"/>
  <c r="J2420" i="1"/>
  <c r="J2421" i="1"/>
  <c r="J2422" i="1"/>
  <c r="J2423" i="1"/>
  <c r="J329" i="1"/>
  <c r="J330" i="1"/>
  <c r="J2424" i="1"/>
  <c r="J2425" i="1"/>
  <c r="J2426" i="1"/>
  <c r="J2427" i="1"/>
  <c r="J331" i="1"/>
  <c r="J2428" i="1"/>
  <c r="J1204" i="1"/>
  <c r="J3825" i="1"/>
  <c r="J3826" i="1"/>
  <c r="J2695" i="1"/>
  <c r="J480" i="1"/>
  <c r="J3827" i="1"/>
  <c r="J3828" i="1"/>
  <c r="J481" i="1"/>
  <c r="J3829" i="1"/>
  <c r="J3830" i="1"/>
  <c r="J3831" i="1"/>
  <c r="J1205" i="1"/>
  <c r="J1206" i="1"/>
  <c r="J1207" i="1"/>
  <c r="J3832" i="1"/>
  <c r="J2696" i="1"/>
  <c r="J2697" i="1"/>
  <c r="J3833" i="1"/>
  <c r="J1208" i="1"/>
  <c r="J3834" i="1"/>
  <c r="J2698" i="1"/>
  <c r="J3835" i="1"/>
  <c r="J482" i="1"/>
  <c r="J1209" i="1"/>
  <c r="J483" i="1"/>
  <c r="J3836" i="1"/>
  <c r="J2699" i="1"/>
  <c r="J484" i="1"/>
  <c r="J3837" i="1"/>
  <c r="J3838" i="1"/>
  <c r="J3839" i="1"/>
  <c r="J3840" i="1"/>
  <c r="J2700" i="1"/>
  <c r="J1210" i="1"/>
  <c r="J2701" i="1"/>
  <c r="J3841" i="1"/>
  <c r="J2702" i="1"/>
  <c r="J3842" i="1"/>
  <c r="J3843" i="1"/>
  <c r="J3844" i="1"/>
  <c r="J3845" i="1"/>
  <c r="J2703" i="1"/>
  <c r="J1211" i="1"/>
  <c r="J2704" i="1"/>
  <c r="J3846" i="1"/>
  <c r="J3847" i="1"/>
  <c r="J1212" i="1"/>
  <c r="J1213" i="1"/>
  <c r="J3848" i="1"/>
  <c r="J1214" i="1"/>
  <c r="J1215" i="1"/>
  <c r="J3849" i="1"/>
  <c r="J2705" i="1"/>
  <c r="J485" i="1"/>
  <c r="J3850" i="1"/>
  <c r="J1216" i="1"/>
  <c r="J486" i="1"/>
  <c r="J3851" i="1"/>
  <c r="J3852" i="1"/>
  <c r="J3853" i="1"/>
  <c r="J3854" i="1"/>
  <c r="J3855" i="1"/>
  <c r="J487" i="1"/>
  <c r="J3856" i="1"/>
  <c r="J3857" i="1"/>
  <c r="J3858" i="1"/>
  <c r="J3859" i="1"/>
  <c r="J2706" i="1"/>
  <c r="J488" i="1"/>
  <c r="J2707" i="1"/>
  <c r="J1217" i="1"/>
  <c r="J1218" i="1"/>
  <c r="J1219" i="1"/>
  <c r="J489" i="1"/>
  <c r="J1220" i="1"/>
  <c r="J1221" i="1"/>
  <c r="J2708" i="1"/>
  <c r="J490" i="1"/>
  <c r="J3860" i="1"/>
  <c r="J3861" i="1"/>
  <c r="J1222" i="1"/>
  <c r="J3862" i="1"/>
  <c r="J1223" i="1"/>
  <c r="J3863" i="1"/>
  <c r="J2709" i="1"/>
  <c r="J1224" i="1"/>
  <c r="J3864" i="1"/>
  <c r="J1225" i="1"/>
  <c r="J2710" i="1"/>
  <c r="J3865" i="1"/>
  <c r="J1226" i="1"/>
  <c r="J3866" i="1"/>
  <c r="J3867" i="1"/>
  <c r="J3868" i="1"/>
  <c r="J2711" i="1"/>
  <c r="J3869" i="1"/>
  <c r="J3870" i="1"/>
  <c r="J2712" i="1"/>
  <c r="J1227" i="1"/>
  <c r="J2713" i="1"/>
  <c r="J1228" i="1"/>
  <c r="J3871" i="1"/>
  <c r="J2714" i="1"/>
  <c r="J3872" i="1"/>
  <c r="J3873" i="1"/>
  <c r="J3874" i="1"/>
  <c r="J491" i="1"/>
  <c r="J3875" i="1"/>
  <c r="J492" i="1"/>
  <c r="J3876" i="1"/>
  <c r="J493" i="1"/>
  <c r="J3877" i="1"/>
  <c r="J2715" i="1"/>
  <c r="J1229" i="1"/>
  <c r="J3878" i="1"/>
  <c r="J3879" i="1"/>
  <c r="J494" i="1"/>
  <c r="J1230" i="1"/>
  <c r="J1231" i="1"/>
  <c r="J3880" i="1"/>
  <c r="J3881" i="1"/>
  <c r="J3882" i="1"/>
  <c r="J3883" i="1"/>
  <c r="J3884" i="1"/>
  <c r="J3885" i="1"/>
  <c r="J2716" i="1"/>
  <c r="J3886" i="1"/>
  <c r="J2717" i="1"/>
  <c r="J1232" i="1"/>
  <c r="J1233" i="1"/>
  <c r="J495" i="1"/>
  <c r="J496" i="1"/>
  <c r="J2718" i="1"/>
  <c r="J3887" i="1"/>
  <c r="J1234" i="1"/>
  <c r="J1235" i="1"/>
  <c r="J3888" i="1"/>
  <c r="J3889" i="1"/>
  <c r="J2719" i="1"/>
  <c r="J2720" i="1"/>
  <c r="J497" i="1"/>
  <c r="J3890" i="1"/>
  <c r="J1236" i="1"/>
  <c r="J2721" i="1"/>
  <c r="J3891" i="1"/>
  <c r="J1237" i="1"/>
  <c r="J3892" i="1"/>
  <c r="J2722" i="1"/>
  <c r="J2723" i="1"/>
  <c r="J1238" i="1"/>
  <c r="J3893" i="1"/>
  <c r="J498" i="1"/>
  <c r="J3894" i="1"/>
  <c r="J1239" i="1"/>
  <c r="J2724" i="1"/>
  <c r="J3895" i="1"/>
  <c r="J3896" i="1"/>
  <c r="J3897" i="1"/>
  <c r="J3898" i="1"/>
  <c r="J2725" i="1"/>
  <c r="J3899" i="1"/>
  <c r="J2726" i="1"/>
  <c r="J3900" i="1"/>
  <c r="J3901" i="1"/>
  <c r="J2727" i="1"/>
  <c r="J2728" i="1"/>
  <c r="J2729" i="1"/>
  <c r="J3902" i="1"/>
  <c r="J1240" i="1"/>
  <c r="J3903" i="1"/>
  <c r="J2730" i="1"/>
  <c r="J3904" i="1"/>
  <c r="J1241" i="1"/>
  <c r="J1242" i="1"/>
  <c r="J3905" i="1"/>
  <c r="J3906" i="1"/>
  <c r="J1243" i="1"/>
  <c r="J3907" i="1"/>
  <c r="J1244" i="1"/>
  <c r="J3908" i="1"/>
  <c r="J2731" i="1"/>
  <c r="J2732" i="1"/>
  <c r="J3909" i="1"/>
  <c r="J1245" i="1"/>
  <c r="J2733" i="1"/>
  <c r="J1246" i="1"/>
  <c r="J1247" i="1"/>
  <c r="J2734" i="1"/>
  <c r="J3910" i="1"/>
  <c r="J3911" i="1"/>
  <c r="J2735" i="1"/>
  <c r="J3912" i="1"/>
  <c r="J1248" i="1"/>
  <c r="J499" i="1"/>
  <c r="J1249" i="1"/>
  <c r="J3913" i="1"/>
  <c r="J500" i="1"/>
  <c r="J2736" i="1"/>
  <c r="J1250" i="1"/>
  <c r="J1251" i="1"/>
  <c r="J501" i="1"/>
  <c r="J3914" i="1"/>
  <c r="J3915" i="1"/>
  <c r="J502" i="1"/>
  <c r="J503" i="1"/>
  <c r="J3916" i="1"/>
  <c r="J3917" i="1"/>
  <c r="J1252" i="1"/>
  <c r="J504" i="1"/>
  <c r="J505" i="1"/>
  <c r="J3918" i="1"/>
  <c r="J3919" i="1"/>
  <c r="J1253" i="1"/>
  <c r="J506" i="1"/>
  <c r="J3920" i="1"/>
  <c r="J2737" i="1"/>
  <c r="J3921" i="1"/>
  <c r="J1254" i="1"/>
  <c r="J3922" i="1"/>
  <c r="J3923" i="1"/>
  <c r="J1255" i="1"/>
  <c r="J2738" i="1"/>
  <c r="J3924" i="1"/>
  <c r="J2739" i="1"/>
  <c r="J1256" i="1"/>
  <c r="J1257" i="1"/>
  <c r="J507" i="1"/>
  <c r="J1258" i="1"/>
  <c r="J2740" i="1"/>
  <c r="J1259" i="1"/>
  <c r="J1260" i="1"/>
  <c r="J1261" i="1"/>
  <c r="J3925" i="1"/>
  <c r="J3926" i="1"/>
  <c r="J2741" i="1"/>
  <c r="J3927" i="1"/>
  <c r="J508" i="1"/>
  <c r="J3928" i="1"/>
  <c r="J1262" i="1"/>
  <c r="J509" i="1"/>
  <c r="J3929" i="1"/>
  <c r="J3930" i="1"/>
  <c r="J2742" i="1"/>
  <c r="J1263" i="1"/>
  <c r="J1264" i="1"/>
  <c r="J3931" i="1"/>
  <c r="J2743" i="1"/>
  <c r="J2744" i="1"/>
  <c r="J3932" i="1"/>
  <c r="J3933" i="1"/>
  <c r="J510" i="1"/>
  <c r="J2745" i="1"/>
  <c r="J3934" i="1"/>
  <c r="J3935" i="1"/>
  <c r="J2746" i="1"/>
  <c r="J3936" i="1"/>
  <c r="J1265" i="1"/>
  <c r="J3937" i="1"/>
  <c r="J1266" i="1"/>
  <c r="J3938" i="1"/>
  <c r="J2747" i="1"/>
  <c r="J3939" i="1"/>
  <c r="J2748" i="1"/>
  <c r="J1267" i="1"/>
  <c r="J511" i="1"/>
  <c r="J512" i="1"/>
  <c r="J3940" i="1"/>
  <c r="J1268" i="1"/>
  <c r="J3941" i="1"/>
  <c r="J513" i="1"/>
  <c r="J1269" i="1"/>
  <c r="J3942" i="1"/>
  <c r="J2749" i="1"/>
  <c r="J1270" i="1"/>
  <c r="J514" i="1"/>
  <c r="J1271" i="1"/>
  <c r="J3943" i="1"/>
  <c r="J2750" i="1"/>
  <c r="J1272" i="1"/>
  <c r="J1273" i="1"/>
  <c r="J515" i="1"/>
  <c r="J2751" i="1"/>
  <c r="J3944" i="1"/>
  <c r="J3945" i="1"/>
  <c r="J1274" i="1"/>
  <c r="J3946" i="1"/>
  <c r="J1275" i="1"/>
  <c r="J3947" i="1"/>
  <c r="J2752" i="1"/>
  <c r="J2753" i="1"/>
  <c r="J3948" i="1"/>
  <c r="J516" i="1"/>
  <c r="J517" i="1"/>
  <c r="J2754" i="1"/>
  <c r="J518" i="1"/>
  <c r="J3949" i="1"/>
  <c r="J3950" i="1"/>
  <c r="J519" i="1"/>
  <c r="J520" i="1"/>
  <c r="J3951" i="1"/>
  <c r="J2755" i="1"/>
  <c r="J521" i="1"/>
  <c r="J3952" i="1"/>
  <c r="J2756" i="1"/>
  <c r="J2757" i="1"/>
  <c r="J2758" i="1"/>
  <c r="J3953" i="1"/>
  <c r="J3954" i="1"/>
  <c r="J2759" i="1"/>
  <c r="J522" i="1"/>
  <c r="J3955" i="1"/>
  <c r="J523" i="1"/>
  <c r="J1276" i="1"/>
  <c r="J1277" i="1"/>
  <c r="J1278" i="1"/>
  <c r="J2760" i="1"/>
  <c r="J3956" i="1"/>
  <c r="J2761" i="1"/>
  <c r="J524" i="1"/>
  <c r="J525" i="1"/>
  <c r="J2762" i="1"/>
  <c r="J526" i="1"/>
  <c r="J2763" i="1"/>
  <c r="J2764" i="1"/>
  <c r="J527" i="1"/>
  <c r="J3957" i="1"/>
  <c r="J528" i="1"/>
  <c r="J1279" i="1"/>
  <c r="J2765" i="1"/>
  <c r="J2766" i="1"/>
  <c r="J529" i="1"/>
  <c r="J530" i="1"/>
  <c r="J2767" i="1"/>
  <c r="J1280" i="1"/>
  <c r="J2768" i="1"/>
  <c r="J2769" i="1"/>
  <c r="J531" i="1"/>
  <c r="J2770" i="1"/>
  <c r="J2771" i="1"/>
  <c r="J2772" i="1"/>
  <c r="J2773" i="1"/>
  <c r="J532" i="1"/>
  <c r="J3958" i="1"/>
  <c r="J1281" i="1"/>
  <c r="J3959" i="1"/>
  <c r="J2774" i="1"/>
  <c r="J3960" i="1"/>
  <c r="J533" i="1"/>
  <c r="J2775" i="1"/>
  <c r="J2776" i="1"/>
  <c r="J534" i="1"/>
  <c r="J2777" i="1"/>
  <c r="J1282" i="1"/>
  <c r="J535" i="1"/>
  <c r="J1283" i="1"/>
  <c r="J2778" i="1"/>
  <c r="J536" i="1"/>
  <c r="J1284" i="1"/>
  <c r="J2779" i="1"/>
  <c r="J537" i="1"/>
  <c r="J3961" i="1"/>
  <c r="J3962" i="1"/>
  <c r="J2780" i="1"/>
  <c r="J3963" i="1"/>
  <c r="J2781" i="1"/>
  <c r="J1285" i="1"/>
  <c r="J538" i="1"/>
  <c r="J2782" i="1"/>
  <c r="J3964" i="1"/>
  <c r="J2783" i="1"/>
  <c r="J1286" i="1"/>
  <c r="J1287" i="1"/>
  <c r="J2784" i="1"/>
  <c r="J2785" i="1"/>
  <c r="J3965" i="1"/>
  <c r="J3966" i="1"/>
  <c r="J2786" i="1"/>
  <c r="J2787" i="1"/>
  <c r="J3967" i="1"/>
  <c r="J539" i="1"/>
  <c r="J3968" i="1"/>
  <c r="J540" i="1"/>
  <c r="J2788" i="1"/>
  <c r="J2789" i="1"/>
  <c r="J3969" i="1"/>
  <c r="J541" i="1"/>
  <c r="J542" i="1"/>
  <c r="J1288" i="1"/>
  <c r="J2790" i="1"/>
  <c r="J1289" i="1"/>
  <c r="J3970" i="1"/>
  <c r="J2791" i="1"/>
  <c r="J2792" i="1"/>
  <c r="J3971" i="1"/>
  <c r="J3972" i="1"/>
  <c r="J3973" i="1"/>
  <c r="J2793" i="1"/>
  <c r="J2794" i="1"/>
  <c r="J2795" i="1"/>
  <c r="J2796" i="1"/>
  <c r="J2797" i="1"/>
  <c r="J1290" i="1"/>
  <c r="J3974" i="1"/>
  <c r="J3975" i="1"/>
  <c r="J1291" i="1"/>
  <c r="J543" i="1"/>
  <c r="J2798" i="1"/>
  <c r="J3976" i="1"/>
  <c r="J2799" i="1"/>
  <c r="J3977" i="1"/>
  <c r="J544" i="1"/>
  <c r="J3978" i="1"/>
  <c r="J1292" i="1"/>
  <c r="J3979" i="1"/>
  <c r="J2800" i="1"/>
  <c r="J2801" i="1"/>
  <c r="J3980" i="1"/>
  <c r="J545" i="1"/>
  <c r="J1293" i="1"/>
  <c r="J2802" i="1"/>
  <c r="J3981" i="1"/>
  <c r="J1294" i="1"/>
  <c r="J2803" i="1"/>
  <c r="J546" i="1"/>
  <c r="J547" i="1"/>
  <c r="J548" i="1"/>
  <c r="J1295" i="1"/>
  <c r="J2804" i="1"/>
  <c r="J2805" i="1"/>
  <c r="J3982" i="1"/>
  <c r="J2806" i="1"/>
  <c r="J549" i="1"/>
  <c r="J3983" i="1"/>
  <c r="J1296" i="1"/>
  <c r="J2807" i="1"/>
  <c r="J3984" i="1"/>
  <c r="J550" i="1"/>
  <c r="J551" i="1"/>
  <c r="J1297" i="1"/>
  <c r="J3985" i="1"/>
  <c r="J1298" i="1"/>
  <c r="J2808" i="1"/>
  <c r="J552" i="1"/>
  <c r="J2809" i="1"/>
  <c r="J2810" i="1"/>
  <c r="J553" i="1"/>
  <c r="J3986" i="1"/>
  <c r="J3987" i="1"/>
  <c r="J3988" i="1"/>
  <c r="J2811" i="1"/>
  <c r="J3989" i="1"/>
  <c r="J2812" i="1"/>
  <c r="J3990" i="1"/>
  <c r="J2813" i="1"/>
  <c r="J2814" i="1"/>
  <c r="J2815" i="1"/>
  <c r="J554" i="1"/>
  <c r="J3991" i="1"/>
  <c r="J3992" i="1"/>
  <c r="J2816" i="1"/>
  <c r="J555" i="1"/>
  <c r="J2817" i="1"/>
  <c r="J556" i="1"/>
  <c r="J3993" i="1"/>
  <c r="J557" i="1"/>
  <c r="J558" i="1"/>
  <c r="J3994" i="1"/>
  <c r="J1299" i="1"/>
  <c r="J1300" i="1"/>
  <c r="J3995" i="1"/>
  <c r="J3996" i="1"/>
  <c r="J559" i="1"/>
  <c r="J2818" i="1"/>
  <c r="J2819" i="1"/>
  <c r="J2820" i="1"/>
  <c r="J2821" i="1"/>
  <c r="J1301" i="1"/>
  <c r="J1302" i="1"/>
  <c r="J2822" i="1"/>
  <c r="J2823" i="1"/>
  <c r="J560" i="1"/>
  <c r="J3997" i="1"/>
  <c r="J1303" i="1"/>
  <c r="J561" i="1"/>
  <c r="J2824" i="1"/>
  <c r="J1304" i="1"/>
  <c r="J3998" i="1"/>
  <c r="J2825" i="1"/>
  <c r="J3999" i="1"/>
  <c r="J4000" i="1"/>
  <c r="J4001" i="1"/>
  <c r="J562" i="1"/>
  <c r="J4002" i="1"/>
  <c r="J563" i="1"/>
  <c r="J4003" i="1"/>
  <c r="J2826" i="1"/>
  <c r="J2827" i="1"/>
  <c r="J564" i="1"/>
  <c r="J2828" i="1"/>
  <c r="J2829" i="1"/>
  <c r="J1305" i="1"/>
  <c r="J2830" i="1"/>
  <c r="J1306" i="1"/>
  <c r="J1307" i="1"/>
  <c r="J4004" i="1"/>
  <c r="J2831" i="1"/>
  <c r="J565" i="1"/>
  <c r="J566" i="1"/>
  <c r="J2832" i="1"/>
  <c r="J2833" i="1"/>
  <c r="J2834" i="1"/>
  <c r="J1308" i="1"/>
  <c r="J2835" i="1"/>
  <c r="J567" i="1"/>
  <c r="J2836" i="1"/>
  <c r="J2837" i="1"/>
  <c r="J2838" i="1"/>
  <c r="J568" i="1"/>
  <c r="J569" i="1"/>
  <c r="J2839" i="1"/>
  <c r="J4005" i="1"/>
  <c r="J4006" i="1"/>
  <c r="J570" i="1"/>
  <c r="J4007" i="1"/>
  <c r="J2840" i="1"/>
  <c r="J4008" i="1"/>
  <c r="J4009" i="1"/>
  <c r="J1309" i="1"/>
  <c r="J2841" i="1"/>
  <c r="J571" i="1"/>
  <c r="J2842" i="1"/>
  <c r="J4010" i="1"/>
  <c r="J2843" i="1"/>
  <c r="J2844" i="1"/>
  <c r="J2845" i="1"/>
  <c r="J4011" i="1"/>
  <c r="J2846" i="1"/>
  <c r="J572" i="1"/>
  <c r="J2847" i="1"/>
  <c r="J573" i="1"/>
  <c r="J2848" i="1"/>
  <c r="J2849" i="1"/>
  <c r="J1310" i="1"/>
  <c r="J2850" i="1"/>
  <c r="J1311" i="1"/>
  <c r="J574" i="1"/>
  <c r="J4012" i="1"/>
  <c r="J575" i="1"/>
  <c r="J2851" i="1"/>
  <c r="J2852" i="1"/>
  <c r="J4013" i="1"/>
  <c r="J4014" i="1"/>
  <c r="J1312" i="1"/>
  <c r="J2853" i="1"/>
  <c r="J4015" i="1"/>
  <c r="J4016" i="1"/>
  <c r="J2854" i="1"/>
  <c r="J2855" i="1"/>
  <c r="J2856" i="1"/>
  <c r="J576" i="1"/>
  <c r="J2857" i="1"/>
  <c r="J2858" i="1"/>
  <c r="J2859" i="1"/>
  <c r="J2860" i="1"/>
  <c r="J4017" i="1"/>
  <c r="J4018" i="1"/>
  <c r="J2861" i="1"/>
  <c r="J4019" i="1"/>
  <c r="J4020" i="1"/>
  <c r="J1313" i="1"/>
  <c r="J577" i="1"/>
  <c r="J578" i="1"/>
  <c r="J579" i="1"/>
  <c r="J1314" i="1"/>
  <c r="J580" i="1"/>
  <c r="J2862" i="1"/>
  <c r="J581" i="1"/>
  <c r="J2863" i="1"/>
  <c r="J1315" i="1"/>
  <c r="J2864" i="1"/>
  <c r="J582" i="1"/>
  <c r="J2865" i="1"/>
  <c r="J2866" i="1"/>
  <c r="J583" i="1"/>
  <c r="J584" i="1"/>
  <c r="J2867" i="1"/>
  <c r="J585" i="1"/>
  <c r="J4021" i="1"/>
  <c r="J2868" i="1"/>
  <c r="J586" i="1"/>
  <c r="J2869" i="1"/>
  <c r="J2870" i="1"/>
  <c r="J587" i="1"/>
  <c r="J2871" i="1"/>
  <c r="J588" i="1"/>
  <c r="J589" i="1"/>
  <c r="J2872" i="1"/>
  <c r="J2873" i="1"/>
  <c r="J2874" i="1"/>
  <c r="J590" i="1"/>
  <c r="J2875" i="1"/>
  <c r="J4022" i="1"/>
  <c r="J4023" i="1"/>
  <c r="J2876" i="1"/>
  <c r="J591" i="1"/>
  <c r="J1316" i="1"/>
  <c r="J1317" i="1"/>
  <c r="J2877" i="1"/>
  <c r="J1318" i="1"/>
  <c r="J4024" i="1"/>
  <c r="J4025" i="1"/>
  <c r="J592" i="1"/>
  <c r="J1319" i="1"/>
  <c r="J1320" i="1"/>
  <c r="J4026" i="1"/>
  <c r="J2878" i="1"/>
  <c r="J1321" i="1"/>
  <c r="J2879" i="1"/>
  <c r="J2880" i="1"/>
  <c r="J593" i="1"/>
  <c r="J2881" i="1"/>
  <c r="J1322" i="1"/>
  <c r="J4027" i="1"/>
  <c r="J2882" i="1"/>
  <c r="J2883" i="1"/>
  <c r="J4028" i="1"/>
  <c r="J594" i="1"/>
  <c r="J595" i="1"/>
  <c r="J596" i="1"/>
  <c r="J2884" i="1"/>
  <c r="J2885" i="1"/>
  <c r="J4029" i="1"/>
  <c r="J1323" i="1"/>
  <c r="J597" i="1"/>
  <c r="J2886" i="1"/>
  <c r="J2887" i="1"/>
  <c r="J4030" i="1"/>
  <c r="J1324" i="1"/>
  <c r="J2888" i="1"/>
  <c r="J4031" i="1"/>
  <c r="J598" i="1"/>
  <c r="J2889" i="1"/>
  <c r="J4032" i="1"/>
  <c r="J1325" i="1"/>
  <c r="J599" i="1"/>
  <c r="J2890" i="1"/>
  <c r="J2891" i="1"/>
  <c r="J2892" i="1"/>
  <c r="J2893" i="1"/>
  <c r="J2894" i="1"/>
  <c r="J4033" i="1"/>
  <c r="J4034" i="1"/>
  <c r="J600" i="1"/>
  <c r="J601" i="1"/>
  <c r="J1326" i="1"/>
  <c r="J4035" i="1"/>
  <c r="J1327" i="1"/>
  <c r="J2895" i="1"/>
  <c r="J4036" i="1"/>
  <c r="J4037" i="1"/>
  <c r="J602" i="1"/>
  <c r="J4038" i="1"/>
  <c r="J2896" i="1"/>
  <c r="J1328" i="1"/>
  <c r="J603" i="1"/>
  <c r="J604" i="1"/>
  <c r="J4039" i="1"/>
  <c r="J4040" i="1"/>
  <c r="J1329" i="1"/>
  <c r="J2897" i="1"/>
  <c r="J2898" i="1"/>
  <c r="J605" i="1"/>
  <c r="J606" i="1"/>
  <c r="J2899" i="1"/>
  <c r="J607" i="1"/>
  <c r="J2900" i="1"/>
  <c r="J4041" i="1"/>
  <c r="J1330" i="1"/>
  <c r="J4042" i="1"/>
  <c r="J4043" i="1"/>
  <c r="J4044" i="1"/>
  <c r="J2901" i="1"/>
  <c r="J4045" i="1"/>
  <c r="J2902" i="1"/>
  <c r="J608" i="1"/>
  <c r="J4046" i="1"/>
  <c r="J2903" i="1"/>
  <c r="J609" i="1"/>
  <c r="J610" i="1"/>
  <c r="J2904" i="1"/>
  <c r="J4047" i="1"/>
  <c r="J2905" i="1"/>
  <c r="J2906" i="1"/>
  <c r="J4048" i="1"/>
  <c r="J2907" i="1"/>
  <c r="J4049" i="1"/>
  <c r="J611" i="1"/>
  <c r="J612" i="1"/>
  <c r="J2908" i="1"/>
  <c r="J2909" i="1"/>
  <c r="J4050" i="1"/>
  <c r="J2910" i="1"/>
  <c r="J1331" i="1"/>
  <c r="J1332" i="1"/>
  <c r="J2911" i="1"/>
  <c r="J613" i="1"/>
  <c r="J2912" i="1"/>
  <c r="J2913" i="1"/>
  <c r="J614" i="1"/>
  <c r="J615" i="1"/>
  <c r="J616" i="1"/>
  <c r="J2914" i="1"/>
  <c r="J617" i="1"/>
  <c r="J618" i="1"/>
  <c r="J619" i="1"/>
  <c r="J2915" i="1"/>
  <c r="J2916" i="1"/>
  <c r="J4051" i="1"/>
  <c r="J2917" i="1"/>
  <c r="J2918" i="1"/>
  <c r="J4052" i="1"/>
  <c r="J2919" i="1"/>
  <c r="J1333" i="1"/>
  <c r="J620" i="1"/>
  <c r="J2920" i="1"/>
  <c r="J1334" i="1"/>
  <c r="J2921" i="1"/>
  <c r="J621" i="1"/>
  <c r="J2922" i="1"/>
  <c r="J4053" i="1"/>
  <c r="J2923" i="1"/>
  <c r="J2924" i="1"/>
  <c r="J622" i="1"/>
  <c r="J623" i="1"/>
  <c r="J2925" i="1"/>
  <c r="J4054" i="1"/>
  <c r="J2926" i="1"/>
  <c r="J2927" i="1"/>
  <c r="J1335" i="1"/>
  <c r="J2928" i="1"/>
  <c r="J2929" i="1"/>
  <c r="J2930" i="1"/>
  <c r="J2931" i="1"/>
  <c r="J4055" i="1"/>
  <c r="J624" i="1"/>
  <c r="J2932" i="1"/>
  <c r="J2933" i="1"/>
  <c r="J2934" i="1"/>
  <c r="J4056" i="1"/>
  <c r="J2935" i="1"/>
  <c r="J2936" i="1"/>
  <c r="J4057" i="1"/>
  <c r="J1336" i="1"/>
  <c r="J2937" i="1"/>
  <c r="J2938" i="1"/>
  <c r="J2939" i="1"/>
  <c r="J4058" i="1"/>
  <c r="J625" i="1"/>
  <c r="J2940" i="1"/>
  <c r="J626" i="1"/>
  <c r="J627" i="1"/>
  <c r="J1337" i="1"/>
  <c r="J4059" i="1"/>
  <c r="J4060" i="1"/>
  <c r="J1338" i="1"/>
  <c r="J4061" i="1"/>
  <c r="J1339" i="1"/>
  <c r="J628" i="1"/>
  <c r="J629" i="1"/>
  <c r="J2941" i="1"/>
  <c r="J2942" i="1"/>
  <c r="J2943" i="1"/>
  <c r="J2944" i="1"/>
  <c r="J630" i="1"/>
  <c r="J631" i="1"/>
  <c r="J2945" i="1"/>
  <c r="J632" i="1"/>
  <c r="J1340" i="1"/>
  <c r="J1341" i="1"/>
  <c r="J633" i="1"/>
  <c r="J4062" i="1"/>
  <c r="J4063" i="1"/>
  <c r="J634" i="1"/>
  <c r="J1342" i="1"/>
  <c r="J4064" i="1"/>
  <c r="J2946" i="1"/>
  <c r="J2947" i="1"/>
  <c r="J635" i="1"/>
  <c r="J636" i="1"/>
  <c r="J2948" i="1"/>
  <c r="J1343" i="1"/>
  <c r="J4065" i="1"/>
  <c r="J2949" i="1"/>
  <c r="J1344" i="1"/>
  <c r="J2950" i="1"/>
  <c r="J4066" i="1"/>
  <c r="J2951" i="1"/>
  <c r="J4067" i="1"/>
  <c r="J1345" i="1"/>
  <c r="J1346" i="1"/>
  <c r="J2952" i="1"/>
  <c r="J4068" i="1"/>
  <c r="J1347" i="1"/>
  <c r="J637" i="1"/>
  <c r="J2953" i="1"/>
  <c r="J2954" i="1"/>
  <c r="J638" i="1"/>
  <c r="J639" i="1"/>
  <c r="J4069" i="1"/>
  <c r="J4070" i="1"/>
  <c r="J2955" i="1"/>
  <c r="J4071" i="1"/>
  <c r="J4072" i="1"/>
  <c r="J2956" i="1"/>
  <c r="J2957" i="1"/>
  <c r="J2958" i="1"/>
  <c r="J4073" i="1"/>
  <c r="J4074" i="1"/>
  <c r="J2959" i="1"/>
  <c r="J1348" i="1"/>
  <c r="J4075" i="1"/>
  <c r="J2960" i="1"/>
  <c r="J640" i="1"/>
  <c r="J4076" i="1"/>
  <c r="J4077" i="1"/>
  <c r="J4078" i="1"/>
  <c r="J2961" i="1"/>
  <c r="J2962" i="1"/>
  <c r="J2963" i="1"/>
  <c r="J2964" i="1"/>
  <c r="J1349" i="1"/>
  <c r="J1350" i="1"/>
  <c r="J1351" i="1"/>
  <c r="J2965" i="1"/>
  <c r="J2966" i="1"/>
  <c r="J4079" i="1"/>
  <c r="J641" i="1"/>
  <c r="J2967" i="1"/>
  <c r="J642" i="1"/>
  <c r="J643" i="1"/>
  <c r="J2968" i="1"/>
  <c r="J644" i="1"/>
  <c r="J1352" i="1"/>
  <c r="J645" i="1"/>
  <c r="J2969" i="1"/>
  <c r="J2970" i="1"/>
  <c r="J2971" i="1"/>
  <c r="J1353" i="1"/>
  <c r="J1354" i="1"/>
  <c r="J646" i="1"/>
  <c r="J2972" i="1"/>
  <c r="J2973" i="1"/>
  <c r="J647" i="1"/>
  <c r="J2974" i="1"/>
  <c r="J648" i="1"/>
  <c r="J4080" i="1"/>
  <c r="J649" i="1"/>
  <c r="J650" i="1"/>
  <c r="J651" i="1"/>
  <c r="J652" i="1"/>
  <c r="J4081" i="1"/>
  <c r="J1355" i="1"/>
  <c r="J4082" i="1"/>
  <c r="J2975" i="1"/>
  <c r="J1356" i="1"/>
  <c r="J2976" i="1"/>
  <c r="J2977" i="1"/>
  <c r="J4083" i="1"/>
  <c r="J1357" i="1"/>
  <c r="J4084" i="1"/>
  <c r="J1358" i="1"/>
  <c r="J2978" i="1"/>
  <c r="J4085" i="1"/>
  <c r="J653" i="1"/>
  <c r="J4086" i="1"/>
  <c r="J4087" i="1"/>
  <c r="J2979" i="1"/>
  <c r="J2980" i="1"/>
  <c r="J2981" i="1"/>
  <c r="J654" i="1"/>
  <c r="J4088" i="1"/>
  <c r="J2982" i="1"/>
  <c r="J2983" i="1"/>
  <c r="J2984" i="1"/>
  <c r="J655" i="1"/>
  <c r="J2985" i="1"/>
  <c r="J1359" i="1"/>
  <c r="J656" i="1"/>
  <c r="J2986" i="1"/>
  <c r="J4089" i="1"/>
  <c r="J2987" i="1"/>
  <c r="J2988" i="1"/>
  <c r="J2989" i="1"/>
  <c r="J2990" i="1"/>
  <c r="J1360" i="1"/>
  <c r="J2991" i="1"/>
  <c r="J2992" i="1"/>
  <c r="J2993" i="1"/>
  <c r="J2994" i="1"/>
  <c r="J657" i="1"/>
  <c r="J658" i="1"/>
  <c r="J659" i="1"/>
  <c r="J2995" i="1"/>
  <c r="J2996" i="1"/>
  <c r="J2997" i="1"/>
  <c r="J660" i="1"/>
  <c r="J2998" i="1"/>
  <c r="J1361" i="1"/>
  <c r="J1362" i="1"/>
  <c r="J2999" i="1"/>
  <c r="J1363" i="1"/>
  <c r="J4090" i="1"/>
  <c r="J3000" i="1"/>
  <c r="J1364" i="1"/>
  <c r="J3001" i="1"/>
  <c r="J1365" i="1"/>
  <c r="J661" i="1"/>
  <c r="J662" i="1"/>
  <c r="J1366" i="1"/>
  <c r="J4091" i="1"/>
  <c r="J3002" i="1"/>
  <c r="J4092" i="1"/>
  <c r="J3003" i="1"/>
  <c r="J663" i="1"/>
  <c r="J3004" i="1"/>
  <c r="J1367" i="1"/>
  <c r="J3005" i="1"/>
  <c r="J3006" i="1"/>
  <c r="J664" i="1"/>
  <c r="J4093" i="1"/>
  <c r="J1368" i="1"/>
  <c r="J3007" i="1"/>
  <c r="J1369" i="1"/>
  <c r="J4094" i="1"/>
  <c r="J4095" i="1"/>
  <c r="J3008" i="1"/>
  <c r="J4096" i="1"/>
  <c r="J3009" i="1"/>
  <c r="J665" i="1"/>
  <c r="J666" i="1"/>
  <c r="J667" i="1"/>
  <c r="J4097" i="1"/>
  <c r="J3010" i="1"/>
  <c r="J3011" i="1"/>
  <c r="J668" i="1"/>
  <c r="J669" i="1"/>
  <c r="J4098" i="1"/>
  <c r="J3012" i="1"/>
  <c r="J1370" i="1"/>
  <c r="J670" i="1"/>
  <c r="J4099" i="1"/>
  <c r="J671" i="1"/>
  <c r="J1371" i="1"/>
  <c r="J3013" i="1"/>
  <c r="J3014" i="1"/>
  <c r="J3015" i="1"/>
  <c r="J4100" i="1"/>
  <c r="J3016" i="1"/>
  <c r="J3017" i="1"/>
  <c r="J3018" i="1"/>
  <c r="J4101" i="1"/>
  <c r="J3019" i="1"/>
  <c r="J3020" i="1"/>
  <c r="J3021" i="1"/>
  <c r="J4102" i="1"/>
  <c r="J3022" i="1"/>
  <c r="J4103" i="1"/>
  <c r="J4104" i="1"/>
  <c r="J3023" i="1"/>
  <c r="J672" i="1"/>
  <c r="J3024" i="1"/>
  <c r="J3025" i="1"/>
  <c r="J673" i="1"/>
  <c r="J3026" i="1"/>
  <c r="J3027" i="1"/>
  <c r="J674" i="1"/>
  <c r="J4105" i="1"/>
  <c r="J675" i="1"/>
  <c r="J676" i="1"/>
  <c r="J1372" i="1"/>
  <c r="J3028" i="1"/>
  <c r="J677" i="1"/>
  <c r="J4106" i="1"/>
  <c r="J4107" i="1"/>
  <c r="J4108" i="1"/>
  <c r="J3029" i="1"/>
  <c r="J3030" i="1"/>
  <c r="J3031" i="1"/>
  <c r="J3032" i="1"/>
  <c r="J678" i="1"/>
  <c r="J679" i="1"/>
  <c r="J3033" i="1"/>
  <c r="J680" i="1"/>
  <c r="J3034" i="1"/>
  <c r="J681" i="1"/>
  <c r="J3035" i="1"/>
  <c r="J3036" i="1"/>
  <c r="J682" i="1"/>
  <c r="J3037" i="1"/>
  <c r="J3038" i="1"/>
  <c r="J683" i="1"/>
  <c r="J684" i="1"/>
  <c r="J685" i="1"/>
  <c r="J686" i="1"/>
  <c r="J3039" i="1"/>
  <c r="J687" i="1"/>
  <c r="J3040" i="1"/>
  <c r="J688" i="1"/>
  <c r="J3041" i="1"/>
  <c r="J689" i="1"/>
  <c r="J3042" i="1"/>
  <c r="J3043" i="1"/>
  <c r="J3044" i="1"/>
  <c r="J3045" i="1"/>
  <c r="J690" i="1"/>
  <c r="J691" i="1"/>
  <c r="J3046" i="1"/>
  <c r="J3047" i="1"/>
  <c r="J3048" i="1"/>
  <c r="J3049" i="1"/>
  <c r="J3050" i="1"/>
  <c r="J3051" i="1"/>
  <c r="J3052" i="1"/>
  <c r="J3053" i="1"/>
  <c r="J692" i="1"/>
  <c r="J3054" i="1"/>
  <c r="J3055" i="1"/>
  <c r="J693" i="1"/>
  <c r="J694" i="1"/>
  <c r="J3056" i="1"/>
  <c r="J695" i="1"/>
  <c r="J696" i="1"/>
  <c r="J3057" i="1"/>
  <c r="J697" i="1"/>
  <c r="J3058" i="1"/>
  <c r="J3059" i="1"/>
  <c r="J3060" i="1"/>
  <c r="J3061" i="1"/>
  <c r="J698" i="1"/>
  <c r="J699" i="1"/>
  <c r="J3062" i="1"/>
  <c r="J3063" i="1"/>
  <c r="J3064" i="1"/>
  <c r="J3065" i="1"/>
  <c r="J700" i="1"/>
  <c r="J701" i="1"/>
  <c r="J3066" i="1"/>
  <c r="J3067" i="1"/>
  <c r="J702" i="1"/>
  <c r="J3068" i="1"/>
  <c r="J703" i="1"/>
  <c r="J3069" i="1"/>
  <c r="J704" i="1"/>
  <c r="J705" i="1"/>
  <c r="J3070" i="1"/>
  <c r="J3071" i="1"/>
  <c r="J706" i="1"/>
  <c r="J3072" i="1"/>
  <c r="J3073" i="1"/>
  <c r="J3074" i="1"/>
  <c r="J707" i="1"/>
  <c r="J3075" i="1"/>
  <c r="J708" i="1"/>
  <c r="J3076" i="1"/>
  <c r="J3077" i="1"/>
  <c r="J3078" i="1"/>
  <c r="J709" i="1"/>
  <c r="J710" i="1"/>
  <c r="J4109" i="1"/>
  <c r="J4110" i="1"/>
  <c r="J1373" i="1"/>
  <c r="J3079" i="1"/>
  <c r="J4111" i="1"/>
  <c r="J1374" i="1"/>
  <c r="J3080" i="1"/>
  <c r="J4112" i="1"/>
  <c r="J4113" i="1"/>
  <c r="J4114" i="1"/>
  <c r="J3081" i="1"/>
  <c r="J3082" i="1"/>
  <c r="J4115" i="1"/>
  <c r="J3083" i="1"/>
  <c r="J4116" i="1"/>
  <c r="J1375" i="1"/>
  <c r="J711" i="1"/>
  <c r="J1376" i="1"/>
  <c r="J1377" i="1"/>
  <c r="J1378" i="1"/>
  <c r="J1379" i="1"/>
  <c r="J712" i="1"/>
  <c r="J4117" i="1"/>
  <c r="J4118" i="1"/>
  <c r="J3084" i="1"/>
  <c r="J1380" i="1"/>
  <c r="J3085" i="1"/>
  <c r="J3086" i="1"/>
  <c r="J3087" i="1"/>
  <c r="J3088" i="1"/>
  <c r="J1381" i="1"/>
  <c r="J4119" i="1"/>
  <c r="J1382" i="1"/>
  <c r="J4120" i="1"/>
  <c r="J4121" i="1"/>
  <c r="J4122" i="1"/>
  <c r="J3089" i="1"/>
  <c r="J3090" i="1"/>
  <c r="J1383" i="1"/>
  <c r="J1384" i="1"/>
  <c r="J3091" i="1"/>
  <c r="J3092" i="1"/>
  <c r="J1385" i="1"/>
  <c r="J713" i="1"/>
  <c r="J4123" i="1"/>
  <c r="J4124" i="1"/>
  <c r="J4125" i="1"/>
  <c r="J4126" i="1"/>
  <c r="J4127" i="1"/>
  <c r="J1386" i="1"/>
  <c r="J714" i="1"/>
  <c r="J3093" i="1"/>
  <c r="J715" i="1"/>
  <c r="J4128" i="1"/>
  <c r="J3094" i="1"/>
  <c r="J4129" i="1"/>
  <c r="J3095" i="1"/>
  <c r="J3096" i="1"/>
  <c r="J1387" i="1"/>
  <c r="J3097" i="1"/>
  <c r="J1388" i="1"/>
  <c r="J3098" i="1"/>
  <c r="J4130" i="1"/>
  <c r="J716" i="1"/>
  <c r="J3099" i="1"/>
  <c r="J4131" i="1"/>
  <c r="J4132" i="1"/>
  <c r="J1389" i="1"/>
  <c r="J3100" i="1"/>
  <c r="J717" i="1"/>
  <c r="J4133" i="1"/>
  <c r="J718" i="1"/>
  <c r="J719" i="1"/>
  <c r="J4134" i="1"/>
  <c r="J4135" i="1"/>
  <c r="J1390" i="1"/>
  <c r="J4136" i="1"/>
  <c r="J4137" i="1"/>
  <c r="J3101" i="1"/>
  <c r="J4138" i="1"/>
  <c r="J4139" i="1"/>
  <c r="J4140" i="1"/>
  <c r="J4141" i="1"/>
  <c r="J1391" i="1"/>
  <c r="J1392" i="1"/>
  <c r="J4142" i="1"/>
  <c r="J720" i="1"/>
  <c r="J4143" i="1"/>
  <c r="J3102" i="1"/>
  <c r="J4144" i="1"/>
  <c r="J3103" i="1"/>
  <c r="J4145" i="1"/>
  <c r="J4146" i="1"/>
  <c r="J1393" i="1"/>
  <c r="J721" i="1"/>
  <c r="J1394" i="1"/>
  <c r="J1395" i="1"/>
  <c r="J4147" i="1"/>
  <c r="J3104" i="1"/>
  <c r="J4148" i="1"/>
  <c r="J3105" i="1"/>
  <c r="J1396" i="1"/>
  <c r="J722" i="1"/>
  <c r="J4149" i="1"/>
  <c r="J1397" i="1"/>
  <c r="J723" i="1"/>
  <c r="J4150" i="1"/>
  <c r="J724" i="1"/>
  <c r="J1398" i="1"/>
  <c r="J4151" i="1"/>
  <c r="J3106" i="1"/>
  <c r="J1399" i="1"/>
  <c r="J3107" i="1"/>
  <c r="J725" i="1"/>
  <c r="J1400" i="1"/>
  <c r="J1401" i="1"/>
  <c r="J1402" i="1"/>
  <c r="J1403" i="1"/>
  <c r="J4152" i="1"/>
  <c r="J1404" i="1"/>
  <c r="J1405" i="1"/>
  <c r="J1406" i="1"/>
  <c r="J3108" i="1"/>
  <c r="J726" i="1"/>
  <c r="J727" i="1"/>
  <c r="J1407" i="1"/>
  <c r="J1408" i="1"/>
  <c r="J1409" i="1"/>
  <c r="J4153" i="1"/>
  <c r="J4154" i="1"/>
  <c r="J4155" i="1"/>
  <c r="J3109" i="1"/>
  <c r="J728" i="1"/>
  <c r="J4156" i="1"/>
  <c r="J1410" i="1"/>
  <c r="J4157" i="1"/>
  <c r="J729" i="1"/>
  <c r="J4158" i="1"/>
  <c r="J3110" i="1"/>
  <c r="J3111" i="1"/>
  <c r="J4159" i="1"/>
  <c r="J4160" i="1"/>
  <c r="J1411" i="1"/>
  <c r="J4161" i="1"/>
  <c r="J4162" i="1"/>
  <c r="J3112" i="1"/>
  <c r="J4163" i="1"/>
  <c r="J1412" i="1"/>
  <c r="J730" i="1"/>
  <c r="J4164" i="1"/>
  <c r="J1413" i="1"/>
  <c r="J1414" i="1"/>
  <c r="J4165" i="1"/>
  <c r="J4166" i="1"/>
  <c r="J731" i="1"/>
  <c r="J3113" i="1"/>
  <c r="J1415" i="1"/>
  <c r="J4167" i="1"/>
  <c r="J4168" i="1"/>
  <c r="J3114" i="1"/>
  <c r="J732" i="1"/>
  <c r="J733" i="1"/>
  <c r="J3115" i="1"/>
  <c r="J734" i="1"/>
  <c r="J1416" i="1"/>
  <c r="J4169" i="1"/>
  <c r="J3116" i="1"/>
  <c r="J735" i="1"/>
  <c r="J4170" i="1"/>
  <c r="J1417" i="1"/>
  <c r="J4171" i="1"/>
  <c r="J4172" i="1"/>
  <c r="J1418" i="1"/>
  <c r="J4173" i="1"/>
  <c r="J3117" i="1"/>
  <c r="J4174" i="1"/>
  <c r="J1419" i="1"/>
  <c r="J4175" i="1"/>
  <c r="J3118" i="1"/>
  <c r="J4176" i="1"/>
  <c r="J4177" i="1"/>
  <c r="J4178" i="1"/>
  <c r="J3119" i="1"/>
  <c r="J3120" i="1"/>
  <c r="J4179" i="1"/>
  <c r="J4180" i="1"/>
  <c r="J1420" i="1"/>
  <c r="J3121" i="1"/>
  <c r="J736" i="1"/>
  <c r="J737" i="1"/>
  <c r="J4181" i="1"/>
  <c r="J4182" i="1"/>
  <c r="J3122" i="1"/>
  <c r="J1421" i="1"/>
  <c r="J1422" i="1"/>
  <c r="J1423" i="1"/>
  <c r="J4183" i="1"/>
  <c r="J4184" i="1"/>
  <c r="J1424" i="1"/>
  <c r="J3123" i="1"/>
  <c r="J4185" i="1"/>
  <c r="J3124" i="1"/>
  <c r="J738" i="1"/>
  <c r="J739" i="1"/>
  <c r="J740" i="1"/>
  <c r="J1425" i="1"/>
  <c r="J3125" i="1"/>
  <c r="J3126" i="1"/>
  <c r="J4186" i="1"/>
  <c r="J1426" i="1"/>
  <c r="J741" i="1"/>
  <c r="J4187" i="1"/>
  <c r="J1427" i="1"/>
  <c r="J3127" i="1"/>
  <c r="J4188" i="1"/>
  <c r="J4189" i="1"/>
  <c r="J4190" i="1"/>
  <c r="J742" i="1"/>
  <c r="J1428" i="1"/>
  <c r="J4191" i="1"/>
  <c r="J4192" i="1"/>
  <c r="J4193" i="1"/>
  <c r="J4194" i="1"/>
  <c r="J743" i="1"/>
  <c r="J4195" i="1"/>
  <c r="J744" i="1"/>
  <c r="J4196" i="1"/>
  <c r="J3128" i="1"/>
  <c r="J1429" i="1"/>
  <c r="J4197" i="1"/>
  <c r="J3129" i="1"/>
  <c r="J4198" i="1"/>
  <c r="J1430" i="1"/>
  <c r="J4199" i="1"/>
  <c r="J3130" i="1"/>
  <c r="J4200" i="1"/>
  <c r="J4201" i="1"/>
  <c r="J4202" i="1"/>
  <c r="J745" i="1"/>
  <c r="J4203" i="1"/>
  <c r="J1431" i="1"/>
  <c r="J1432" i="1"/>
  <c r="J3131" i="1"/>
  <c r="J3132" i="1"/>
  <c r="J1433" i="1"/>
  <c r="J3133" i="1"/>
  <c r="J4204" i="1"/>
  <c r="J3134" i="1"/>
  <c r="J3135" i="1"/>
  <c r="J4205" i="1"/>
  <c r="J746" i="1"/>
  <c r="J3136" i="1"/>
  <c r="J747" i="1"/>
  <c r="J4206" i="1"/>
  <c r="J3137" i="1"/>
  <c r="J748" i="1"/>
  <c r="J4207" i="1"/>
  <c r="J749" i="1"/>
  <c r="J4208" i="1"/>
  <c r="J4209" i="1"/>
  <c r="J1434" i="1"/>
  <c r="J3138" i="1"/>
  <c r="J4210" i="1"/>
  <c r="J4211" i="1"/>
  <c r="J4212" i="1"/>
  <c r="J750" i="1"/>
  <c r="J4213" i="1"/>
  <c r="J1435" i="1"/>
  <c r="J3139" i="1"/>
  <c r="J3140" i="1"/>
  <c r="J4214" i="1"/>
  <c r="J3141" i="1"/>
  <c r="J4215" i="1"/>
  <c r="J751" i="1"/>
  <c r="J4216" i="1"/>
  <c r="J4217" i="1"/>
  <c r="J4218" i="1"/>
  <c r="J752" i="1"/>
  <c r="J3142" i="1"/>
  <c r="J3143" i="1"/>
  <c r="J4219" i="1"/>
  <c r="J1436" i="1"/>
  <c r="J4220" i="1"/>
  <c r="J4221" i="1"/>
  <c r="J753" i="1"/>
  <c r="J4222" i="1"/>
  <c r="J1437" i="1"/>
  <c r="J3144" i="1"/>
  <c r="J4223" i="1"/>
  <c r="J4224" i="1"/>
  <c r="J1438" i="1"/>
  <c r="J3145" i="1"/>
  <c r="J4225" i="1"/>
  <c r="J1439" i="1"/>
  <c r="J4226" i="1"/>
  <c r="J1440" i="1"/>
  <c r="J3146" i="1"/>
  <c r="J3147" i="1"/>
  <c r="J4227" i="1"/>
  <c r="J1441" i="1"/>
  <c r="J4228" i="1"/>
  <c r="J4229" i="1"/>
  <c r="J4230" i="1"/>
  <c r="J4231" i="1"/>
  <c r="J4232" i="1"/>
  <c r="J754" i="1"/>
  <c r="J755" i="1"/>
  <c r="J3148" i="1"/>
  <c r="J1442" i="1"/>
  <c r="J4233" i="1"/>
  <c r="J4234" i="1"/>
  <c r="J3149" i="1"/>
  <c r="J3150" i="1"/>
  <c r="J1443" i="1"/>
  <c r="J3151" i="1"/>
  <c r="J4235" i="1"/>
  <c r="J756" i="1"/>
  <c r="J1444" i="1"/>
  <c r="J3152" i="1"/>
  <c r="J1445" i="1"/>
  <c r="J4236" i="1"/>
  <c r="J3153" i="1"/>
  <c r="J4237" i="1"/>
  <c r="J4238" i="1"/>
  <c r="J3154" i="1"/>
  <c r="J1446" i="1"/>
  <c r="J1447" i="1"/>
  <c r="J3155" i="1"/>
  <c r="J4239" i="1"/>
  <c r="J4240" i="1"/>
  <c r="J4241" i="1"/>
  <c r="J4242" i="1"/>
  <c r="J4243" i="1"/>
  <c r="J4244" i="1"/>
  <c r="J1448" i="1"/>
  <c r="J3156" i="1"/>
  <c r="J3157" i="1"/>
  <c r="J4245" i="1"/>
  <c r="J4246" i="1"/>
  <c r="J3158" i="1"/>
  <c r="J1449" i="1"/>
  <c r="J1450" i="1"/>
  <c r="J4247" i="1"/>
  <c r="J4248" i="1"/>
  <c r="J757" i="1"/>
  <c r="J4249" i="1"/>
  <c r="J1451" i="1"/>
  <c r="J4250" i="1"/>
  <c r="J3159" i="1"/>
  <c r="J3160" i="1"/>
  <c r="J1452" i="1"/>
  <c r="J4251" i="1"/>
  <c r="J758" i="1"/>
  <c r="J1453" i="1"/>
  <c r="J4252" i="1"/>
  <c r="J1454" i="1"/>
  <c r="J1455" i="1"/>
  <c r="J4253" i="1"/>
  <c r="J4254" i="1"/>
  <c r="J4255" i="1"/>
  <c r="J4256" i="1"/>
  <c r="J759" i="1"/>
  <c r="J4257" i="1"/>
  <c r="J3161" i="1"/>
  <c r="J3162" i="1"/>
  <c r="J4258" i="1"/>
  <c r="J4259" i="1"/>
  <c r="J1456" i="1"/>
  <c r="J4260" i="1"/>
  <c r="J4261" i="1"/>
  <c r="J1457" i="1"/>
  <c r="J3163" i="1"/>
  <c r="J4262" i="1"/>
  <c r="J3164" i="1"/>
  <c r="J1458" i="1"/>
  <c r="J4263" i="1"/>
  <c r="J1459" i="1"/>
  <c r="J4264" i="1"/>
  <c r="J4265" i="1"/>
  <c r="J4266" i="1"/>
  <c r="J3165" i="1"/>
  <c r="J4267" i="1"/>
  <c r="J760" i="1"/>
  <c r="J1460" i="1"/>
  <c r="J4268" i="1"/>
  <c r="J4269" i="1"/>
  <c r="J3166" i="1"/>
  <c r="J3167" i="1"/>
  <c r="J4270" i="1"/>
  <c r="J4271" i="1"/>
  <c r="J4272" i="1"/>
  <c r="J1461" i="1"/>
  <c r="J3168" i="1"/>
  <c r="J3169" i="1"/>
  <c r="J761" i="1"/>
  <c r="J3170" i="1"/>
  <c r="J1462" i="1"/>
  <c r="J4273" i="1"/>
  <c r="J3171" i="1"/>
  <c r="J4274" i="1"/>
  <c r="J762" i="1"/>
  <c r="J3172" i="1"/>
  <c r="J1463" i="1"/>
  <c r="J1464" i="1"/>
  <c r="J763" i="1"/>
  <c r="J4275" i="1"/>
  <c r="J4276" i="1"/>
  <c r="J1465" i="1"/>
  <c r="J3173" i="1"/>
  <c r="J3174" i="1"/>
  <c r="J1466" i="1"/>
  <c r="J4277" i="1"/>
  <c r="J1467" i="1"/>
  <c r="J3175" i="1"/>
  <c r="J4278" i="1"/>
  <c r="J4279" i="1"/>
  <c r="J3176" i="1"/>
  <c r="J1468" i="1"/>
  <c r="J764" i="1"/>
  <c r="J4280" i="1"/>
  <c r="J4281" i="1"/>
  <c r="J1469" i="1"/>
  <c r="J1470" i="1"/>
  <c r="J4282" i="1"/>
  <c r="J765" i="1"/>
  <c r="J3177" i="1"/>
  <c r="J4283" i="1"/>
  <c r="J766" i="1"/>
  <c r="J767" i="1"/>
  <c r="J1471" i="1"/>
  <c r="J3178" i="1"/>
  <c r="J3179" i="1"/>
  <c r="J3180" i="1"/>
  <c r="J4284" i="1"/>
  <c r="J4285" i="1"/>
  <c r="J1472" i="1"/>
  <c r="J4286" i="1"/>
  <c r="J4287" i="1"/>
  <c r="J4288" i="1"/>
  <c r="J3181" i="1"/>
  <c r="J4289" i="1"/>
  <c r="J768" i="1"/>
  <c r="J4290" i="1"/>
  <c r="J1473" i="1"/>
  <c r="J1474" i="1"/>
  <c r="J1475" i="1"/>
  <c r="J1476" i="1"/>
  <c r="J769" i="1"/>
  <c r="J4291" i="1"/>
  <c r="J3182" i="1"/>
  <c r="J770" i="1"/>
  <c r="J1477" i="1"/>
  <c r="J4292" i="1"/>
  <c r="J4293" i="1"/>
  <c r="J4294" i="1"/>
  <c r="J4295" i="1"/>
  <c r="J3183" i="1"/>
  <c r="J1478" i="1"/>
  <c r="J3184" i="1"/>
  <c r="J1479" i="1"/>
  <c r="J3185" i="1"/>
  <c r="J3186" i="1"/>
  <c r="J3187" i="1"/>
  <c r="J4296" i="1"/>
  <c r="J4297" i="1"/>
  <c r="J4298" i="1"/>
  <c r="J1480" i="1"/>
  <c r="J4299" i="1"/>
  <c r="J1481" i="1"/>
  <c r="J4300" i="1"/>
  <c r="J1482" i="1"/>
  <c r="J4301" i="1"/>
  <c r="J3188" i="1"/>
  <c r="J1483" i="1"/>
  <c r="J1484" i="1"/>
  <c r="J3189" i="1"/>
  <c r="J4302" i="1"/>
  <c r="J3190" i="1"/>
  <c r="J4303" i="1"/>
  <c r="J771" i="1"/>
  <c r="J3191" i="1"/>
  <c r="J3192" i="1"/>
  <c r="J4304" i="1"/>
  <c r="J4305" i="1"/>
  <c r="J772" i="1"/>
  <c r="J4306" i="1"/>
  <c r="J4307" i="1"/>
  <c r="J4308" i="1"/>
  <c r="J4309" i="1"/>
  <c r="J1485" i="1"/>
  <c r="J3193" i="1"/>
  <c r="J4310" i="1"/>
  <c r="J4311" i="1"/>
  <c r="J3194" i="1"/>
  <c r="J1486" i="1"/>
  <c r="J1487" i="1"/>
  <c r="J773" i="1"/>
  <c r="J3195" i="1"/>
  <c r="J774" i="1"/>
  <c r="J4312" i="1"/>
  <c r="J775" i="1"/>
  <c r="J3196" i="1"/>
  <c r="J4313" i="1"/>
  <c r="J776" i="1"/>
  <c r="J1488" i="1"/>
  <c r="J3197" i="1"/>
  <c r="J4314" i="1"/>
  <c r="J777" i="1"/>
  <c r="J3198" i="1"/>
  <c r="J778" i="1"/>
  <c r="J4315" i="1"/>
  <c r="J4316" i="1"/>
  <c r="J779" i="1"/>
  <c r="J3199" i="1"/>
  <c r="J780" i="1"/>
  <c r="J4317" i="1"/>
  <c r="J1489" i="1"/>
  <c r="J1490" i="1"/>
  <c r="J4318" i="1"/>
  <c r="J1491" i="1"/>
  <c r="J3200" i="1"/>
  <c r="J4319" i="1"/>
  <c r="J1492" i="1"/>
  <c r="J3201" i="1"/>
  <c r="J3202" i="1"/>
  <c r="J1493" i="1"/>
  <c r="J4320" i="1"/>
  <c r="J3203" i="1"/>
  <c r="J1494" i="1"/>
  <c r="J781" i="1"/>
  <c r="J1495" i="1"/>
  <c r="J3204" i="1"/>
  <c r="J782" i="1"/>
  <c r="J4321" i="1"/>
  <c r="J4322" i="1"/>
  <c r="J3205" i="1"/>
  <c r="J4323" i="1"/>
  <c r="J4324" i="1"/>
  <c r="J4325" i="1"/>
  <c r="J4326" i="1"/>
  <c r="J4327" i="1"/>
  <c r="J783" i="1"/>
  <c r="J3206" i="1"/>
  <c r="J4328" i="1"/>
  <c r="J4329" i="1"/>
  <c r="J4330" i="1"/>
  <c r="J1496" i="1"/>
  <c r="J4331" i="1"/>
  <c r="J4332" i="1"/>
  <c r="J4333" i="1"/>
  <c r="J3207" i="1"/>
  <c r="J784" i="1"/>
  <c r="J4334" i="1"/>
  <c r="J3208" i="1"/>
  <c r="J4335" i="1"/>
  <c r="J1497" i="1"/>
  <c r="J4336" i="1"/>
  <c r="J3209" i="1"/>
  <c r="J1498" i="1"/>
  <c r="J4337" i="1"/>
  <c r="J4338" i="1"/>
  <c r="J785" i="1"/>
  <c r="J4339" i="1"/>
  <c r="J4340" i="1"/>
  <c r="J3210" i="1"/>
  <c r="J4341" i="1"/>
  <c r="J786" i="1"/>
  <c r="J4342" i="1"/>
  <c r="J787" i="1"/>
  <c r="J4343" i="1"/>
  <c r="J4344" i="1"/>
  <c r="J3211" i="1"/>
  <c r="J3212" i="1"/>
  <c r="J4345" i="1"/>
  <c r="J788" i="1"/>
  <c r="J789" i="1"/>
  <c r="J3213" i="1"/>
  <c r="J4346" i="1"/>
  <c r="J790" i="1"/>
  <c r="J4347" i="1"/>
  <c r="J1499" i="1"/>
  <c r="J4348" i="1"/>
  <c r="J3214" i="1"/>
  <c r="J3215" i="1"/>
  <c r="J3216" i="1"/>
  <c r="J4349" i="1"/>
  <c r="J4350" i="1"/>
  <c r="J3217" i="1"/>
  <c r="J4351" i="1"/>
  <c r="J4352" i="1"/>
  <c r="J4353" i="1"/>
  <c r="J4354" i="1"/>
  <c r="J3218" i="1"/>
  <c r="J791" i="1"/>
  <c r="J4355" i="1"/>
  <c r="J4356" i="1"/>
  <c r="J1500" i="1"/>
  <c r="J792" i="1"/>
  <c r="J4357" i="1"/>
  <c r="J4358" i="1"/>
  <c r="J4359" i="1"/>
  <c r="J793" i="1"/>
  <c r="J4360" i="1"/>
  <c r="J3219" i="1"/>
  <c r="J3220" i="1"/>
  <c r="J1501" i="1"/>
  <c r="J1502" i="1"/>
  <c r="J1503" i="1"/>
  <c r="J1504" i="1"/>
  <c r="J794" i="1"/>
  <c r="J4361" i="1"/>
  <c r="J1505" i="1"/>
  <c r="J3221" i="1"/>
  <c r="J1506" i="1"/>
  <c r="J1507" i="1"/>
  <c r="J3222" i="1"/>
  <c r="J4362" i="1"/>
  <c r="J4363" i="1"/>
  <c r="J3223" i="1"/>
  <c r="J1508" i="1"/>
  <c r="J4364" i="1"/>
  <c r="J4365" i="1"/>
  <c r="J3224" i="1"/>
  <c r="J795" i="1"/>
  <c r="J1509" i="1"/>
  <c r="J3225" i="1"/>
  <c r="J4366" i="1"/>
  <c r="J4367" i="1"/>
  <c r="J796" i="1"/>
  <c r="J797" i="1"/>
  <c r="J1510" i="1"/>
  <c r="J3226" i="1"/>
  <c r="J4368" i="1"/>
  <c r="J4369" i="1"/>
  <c r="J3227" i="1"/>
  <c r="J1511" i="1"/>
  <c r="J798" i="1"/>
  <c r="J1512" i="1"/>
  <c r="J1513" i="1"/>
  <c r="J3228" i="1"/>
  <c r="J799" i="1"/>
  <c r="J4370" i="1"/>
  <c r="J800" i="1"/>
  <c r="J4371" i="1"/>
  <c r="J801" i="1"/>
  <c r="J4372" i="1"/>
  <c r="J802" i="1"/>
  <c r="J1514" i="1"/>
  <c r="J1515" i="1"/>
  <c r="J4373" i="1"/>
  <c r="J4374" i="1"/>
  <c r="J803" i="1"/>
  <c r="J804" i="1"/>
  <c r="J4375" i="1"/>
  <c r="J1516" i="1"/>
  <c r="J1517" i="1"/>
  <c r="J1518" i="1"/>
  <c r="J4376" i="1"/>
  <c r="J4377" i="1"/>
  <c r="J3229" i="1"/>
  <c r="J4378" i="1"/>
  <c r="J3230" i="1"/>
  <c r="J4379" i="1"/>
  <c r="J1519" i="1"/>
  <c r="J4380" i="1"/>
  <c r="J3231" i="1"/>
  <c r="J3232" i="1"/>
  <c r="J4381" i="1"/>
  <c r="J4382" i="1"/>
  <c r="J4383" i="1"/>
  <c r="J4384" i="1"/>
  <c r="J1520" i="1"/>
  <c r="J4385" i="1"/>
  <c r="J4386" i="1"/>
  <c r="J805" i="1"/>
  <c r="J4387" i="1"/>
  <c r="J4388" i="1"/>
  <c r="J4389" i="1"/>
  <c r="J4390" i="1"/>
  <c r="J806" i="1"/>
  <c r="J1521" i="1"/>
  <c r="J4391" i="1"/>
  <c r="J4392" i="1"/>
  <c r="J4393" i="1"/>
  <c r="J4394" i="1"/>
  <c r="J807" i="1"/>
  <c r="J4395" i="1"/>
  <c r="J1522" i="1"/>
  <c r="J4396" i="1"/>
  <c r="J1523" i="1"/>
  <c r="J808" i="1"/>
  <c r="J809" i="1"/>
  <c r="J4397" i="1"/>
  <c r="J1524" i="1"/>
  <c r="J4398" i="1"/>
  <c r="J4399" i="1"/>
  <c r="J810" i="1"/>
  <c r="J4400" i="1"/>
  <c r="J1525" i="1"/>
  <c r="J4401" i="1"/>
  <c r="J1526" i="1"/>
  <c r="J1527" i="1"/>
  <c r="J3233" i="1"/>
  <c r="J1528" i="1"/>
  <c r="J4402" i="1"/>
  <c r="J1529" i="1"/>
  <c r="J811" i="1"/>
  <c r="J812" i="1"/>
  <c r="J1530" i="1"/>
  <c r="J813" i="1"/>
  <c r="J1531" i="1"/>
  <c r="J3234" i="1"/>
  <c r="J4403" i="1"/>
  <c r="J4404" i="1"/>
  <c r="J3235" i="1"/>
  <c r="J4405" i="1"/>
  <c r="J3236" i="1"/>
  <c r="J4406" i="1"/>
  <c r="J3237" i="1"/>
  <c r="J4407" i="1"/>
  <c r="J4408" i="1"/>
  <c r="J3238" i="1"/>
  <c r="J4409" i="1"/>
  <c r="J814" i="1"/>
  <c r="J4410" i="1"/>
  <c r="J4411" i="1"/>
  <c r="J4412" i="1"/>
  <c r="J3239" i="1"/>
  <c r="J4413" i="1"/>
  <c r="J1532" i="1"/>
  <c r="J1533" i="1"/>
  <c r="J1534" i="1"/>
  <c r="J1535" i="1"/>
  <c r="J1536" i="1"/>
  <c r="J4414" i="1"/>
  <c r="J4415" i="1"/>
  <c r="J3240" i="1"/>
  <c r="J3241" i="1"/>
  <c r="J3242" i="1"/>
  <c r="J4416" i="1"/>
  <c r="J4417" i="1"/>
  <c r="J4418" i="1"/>
  <c r="J815" i="1"/>
  <c r="J1537" i="1"/>
  <c r="J4419" i="1"/>
  <c r="J3243" i="1"/>
  <c r="J816" i="1"/>
  <c r="J4420" i="1"/>
  <c r="J1538" i="1"/>
  <c r="J3244" i="1"/>
  <c r="J3245" i="1"/>
  <c r="J4421" i="1"/>
  <c r="J4422" i="1"/>
  <c r="J4423" i="1"/>
  <c r="J817" i="1"/>
  <c r="J4424" i="1"/>
  <c r="J4425" i="1"/>
  <c r="J818" i="1"/>
  <c r="J819" i="1"/>
  <c r="J1539" i="1"/>
  <c r="J820" i="1"/>
  <c r="J4426" i="1"/>
  <c r="J821" i="1"/>
  <c r="J4427" i="1"/>
  <c r="J4428" i="1"/>
  <c r="J822" i="1"/>
  <c r="J3246" i="1"/>
  <c r="J1540" i="1"/>
  <c r="J1541" i="1"/>
  <c r="J4429" i="1"/>
  <c r="J1542" i="1"/>
  <c r="J4430" i="1"/>
  <c r="J823" i="1"/>
  <c r="J3247" i="1"/>
  <c r="J4431" i="1"/>
  <c r="J1543" i="1"/>
  <c r="J824" i="1"/>
  <c r="J4432" i="1"/>
  <c r="J3248" i="1"/>
  <c r="J4433" i="1"/>
  <c r="J1544" i="1"/>
  <c r="J4434" i="1"/>
  <c r="J825" i="1"/>
  <c r="J4435" i="1"/>
  <c r="J826" i="1"/>
  <c r="J3249" i="1"/>
  <c r="J4436" i="1"/>
  <c r="J1545" i="1"/>
  <c r="J1546" i="1"/>
  <c r="J3250" i="1"/>
  <c r="J1547" i="1"/>
  <c r="J4437" i="1"/>
  <c r="J4438" i="1"/>
  <c r="J4439" i="1"/>
  <c r="J3251" i="1"/>
  <c r="J4440" i="1"/>
  <c r="J827" i="1"/>
  <c r="J1548" i="1"/>
  <c r="J828" i="1"/>
  <c r="J829" i="1"/>
  <c r="J4441" i="1"/>
  <c r="J4442" i="1"/>
  <c r="J3252" i="1"/>
  <c r="J4443" i="1"/>
  <c r="J1549" i="1"/>
  <c r="J3253" i="1"/>
  <c r="J1550" i="1"/>
  <c r="J3254" i="1"/>
  <c r="J4444" i="1"/>
  <c r="J3255" i="1"/>
  <c r="J4445" i="1"/>
  <c r="J830" i="1"/>
  <c r="J1551" i="1"/>
  <c r="J3256" i="1"/>
  <c r="J1552" i="1"/>
  <c r="J831" i="1"/>
  <c r="J4446" i="1"/>
  <c r="J1553" i="1"/>
  <c r="J3257" i="1"/>
  <c r="J832" i="1"/>
  <c r="J4447" i="1"/>
  <c r="J4448" i="1"/>
  <c r="J4449" i="1"/>
  <c r="J1554" i="1"/>
  <c r="J833" i="1"/>
  <c r="J1555" i="1"/>
  <c r="J4450" i="1"/>
  <c r="J834" i="1"/>
  <c r="J3258" i="1"/>
  <c r="J4451" i="1"/>
  <c r="J1556" i="1"/>
  <c r="J4452" i="1"/>
  <c r="J1557" i="1"/>
  <c r="J4453" i="1"/>
  <c r="J3259" i="1"/>
  <c r="J3260" i="1"/>
  <c r="J1558" i="1"/>
  <c r="J4454" i="1"/>
  <c r="J3261" i="1"/>
  <c r="J4455" i="1"/>
  <c r="J3262" i="1"/>
  <c r="J4456" i="1"/>
  <c r="J4457" i="1"/>
  <c r="J3263" i="1"/>
  <c r="J1559" i="1"/>
  <c r="J835" i="1"/>
  <c r="J4458" i="1"/>
  <c r="J3264" i="1"/>
  <c r="J1560" i="1"/>
  <c r="J4459" i="1"/>
  <c r="J1561" i="1"/>
  <c r="J1562" i="1"/>
  <c r="J1563" i="1"/>
  <c r="J4460" i="1"/>
  <c r="J4461" i="1"/>
  <c r="J3265" i="1"/>
  <c r="J4462" i="1"/>
  <c r="J836" i="1"/>
  <c r="J1564" i="1"/>
  <c r="J4463" i="1"/>
  <c r="J3266" i="1"/>
  <c r="J3267" i="1"/>
  <c r="J837" i="1"/>
  <c r="J3268" i="1"/>
  <c r="J4464" i="1"/>
  <c r="J4465" i="1"/>
  <c r="J4466" i="1"/>
  <c r="J838" i="1"/>
  <c r="J3269" i="1"/>
  <c r="J839" i="1"/>
  <c r="J4467" i="1"/>
  <c r="J4468" i="1"/>
  <c r="J840" i="1"/>
  <c r="J4469" i="1"/>
  <c r="J1565" i="1"/>
  <c r="J4470" i="1"/>
  <c r="J1566" i="1"/>
  <c r="J4471" i="1"/>
  <c r="J841" i="1"/>
  <c r="J842" i="1"/>
  <c r="J843" i="1"/>
  <c r="J3270" i="1"/>
  <c r="J3271" i="1"/>
  <c r="J3272" i="1"/>
  <c r="J1567" i="1"/>
  <c r="J3273" i="1"/>
  <c r="J4472" i="1"/>
  <c r="J3274" i="1"/>
  <c r="J1568" i="1"/>
  <c r="J4473" i="1"/>
  <c r="J3275" i="1"/>
  <c r="J1569" i="1"/>
  <c r="J4474" i="1"/>
  <c r="J3276" i="1"/>
  <c r="J4475" i="1"/>
  <c r="J3277" i="1"/>
  <c r="J844" i="1"/>
  <c r="J3278" i="1"/>
  <c r="J3279" i="1"/>
  <c r="J4476" i="1"/>
  <c r="J4477" i="1"/>
  <c r="J1570" i="1"/>
  <c r="J4478" i="1"/>
  <c r="J1571" i="1"/>
  <c r="J4479" i="1"/>
  <c r="J4480" i="1"/>
  <c r="J845" i="1"/>
  <c r="J1572" i="1"/>
  <c r="J4481" i="1"/>
  <c r="J4482" i="1"/>
  <c r="J3280" i="1"/>
  <c r="J3281" i="1"/>
  <c r="J4483" i="1"/>
  <c r="J1573" i="1"/>
  <c r="J846" i="1"/>
  <c r="J1574" i="1"/>
  <c r="J1575" i="1"/>
  <c r="J1576" i="1"/>
  <c r="J4484" i="1"/>
  <c r="J1577" i="1"/>
  <c r="J847" i="1"/>
  <c r="J1578" i="1"/>
  <c r="J848" i="1"/>
  <c r="J849" i="1"/>
  <c r="J3282" i="1"/>
  <c r="J4485" i="1"/>
  <c r="J4486" i="1"/>
  <c r="J4487" i="1"/>
  <c r="J1579" i="1"/>
  <c r="J1580" i="1"/>
  <c r="J4488" i="1"/>
  <c r="J1581" i="1"/>
  <c r="J4489" i="1"/>
  <c r="J4490" i="1"/>
  <c r="J1582" i="1"/>
  <c r="J4491" i="1"/>
  <c r="J3283" i="1"/>
  <c r="J4492" i="1"/>
  <c r="J1583" i="1"/>
  <c r="J4493" i="1"/>
  <c r="J4494" i="1"/>
  <c r="J3284" i="1"/>
  <c r="J1584" i="1"/>
  <c r="J1585" i="1"/>
  <c r="J4495" i="1"/>
  <c r="J3285" i="1"/>
  <c r="J850" i="1"/>
  <c r="J851" i="1"/>
  <c r="J3286" i="1"/>
  <c r="J3287" i="1"/>
  <c r="J4496" i="1"/>
  <c r="J4497" i="1"/>
  <c r="J852" i="1"/>
  <c r="J853" i="1"/>
  <c r="J4498" i="1"/>
  <c r="J4499" i="1"/>
  <c r="J4500" i="1"/>
  <c r="J1586" i="1"/>
  <c r="J4501" i="1"/>
  <c r="J4502" i="1"/>
  <c r="J1587" i="1"/>
  <c r="J854" i="1"/>
  <c r="J3288" i="1"/>
  <c r="J855" i="1"/>
  <c r="J4503" i="1"/>
  <c r="J3289" i="1"/>
  <c r="J4504" i="1"/>
  <c r="J3290" i="1"/>
  <c r="J3291" i="1"/>
  <c r="J1588" i="1"/>
  <c r="J1589" i="1"/>
  <c r="J4505" i="1"/>
  <c r="J4506" i="1"/>
  <c r="J856" i="1"/>
  <c r="J1590" i="1"/>
  <c r="J4507" i="1"/>
  <c r="J857" i="1"/>
  <c r="J4508" i="1"/>
  <c r="J4509" i="1"/>
  <c r="J3292" i="1"/>
  <c r="J3293" i="1"/>
  <c r="J4510" i="1"/>
  <c r="J858" i="1"/>
  <c r="J4511" i="1"/>
  <c r="J3294" i="1"/>
  <c r="J1591" i="1"/>
  <c r="J4512" i="1"/>
  <c r="J3295" i="1"/>
  <c r="J4513" i="1"/>
  <c r="J3296" i="1"/>
  <c r="J4514" i="1"/>
  <c r="J3297" i="1"/>
  <c r="J1592" i="1"/>
  <c r="J1593" i="1"/>
  <c r="J1594" i="1"/>
  <c r="J1595" i="1"/>
  <c r="J4515" i="1"/>
  <c r="J1596" i="1"/>
  <c r="J4516" i="1"/>
  <c r="J4517" i="1"/>
  <c r="J4518" i="1"/>
  <c r="J4519" i="1"/>
  <c r="J859" i="1"/>
  <c r="J3298" i="1"/>
  <c r="J860" i="1"/>
  <c r="J4520" i="1"/>
  <c r="J3299" i="1"/>
  <c r="J861" i="1"/>
  <c r="J1597" i="1"/>
  <c r="J4521" i="1"/>
  <c r="J4522" i="1"/>
  <c r="J1598" i="1"/>
  <c r="J4523" i="1"/>
  <c r="J3300" i="1"/>
  <c r="J3301" i="1"/>
  <c r="J1599" i="1"/>
  <c r="J1600" i="1"/>
  <c r="J4524" i="1"/>
  <c r="J1601" i="1"/>
  <c r="J1602" i="1"/>
  <c r="J3302" i="1"/>
  <c r="J4525" i="1"/>
  <c r="J862" i="1"/>
  <c r="J3303" i="1"/>
  <c r="J1603" i="1"/>
  <c r="J4526" i="1"/>
  <c r="J863" i="1"/>
  <c r="J1604" i="1"/>
  <c r="J3304" i="1"/>
  <c r="J4527" i="1"/>
  <c r="J864" i="1"/>
  <c r="J4528" i="1"/>
  <c r="J4529" i="1"/>
  <c r="J1605" i="1"/>
  <c r="J4530" i="1"/>
  <c r="J865" i="1"/>
  <c r="J866" i="1"/>
  <c r="J1606" i="1"/>
  <c r="J1607" i="1"/>
  <c r="J867" i="1"/>
  <c r="J4531" i="1"/>
  <c r="J4532" i="1"/>
  <c r="J1608" i="1"/>
  <c r="J1609" i="1"/>
  <c r="J4533" i="1"/>
  <c r="J868" i="1"/>
  <c r="J3305" i="1"/>
  <c r="J4534" i="1"/>
  <c r="J4535" i="1"/>
  <c r="J3306" i="1"/>
  <c r="J4536" i="1"/>
  <c r="J4537" i="1"/>
  <c r="J4538" i="1"/>
  <c r="J1610" i="1"/>
  <c r="J1611" i="1"/>
  <c r="J3307" i="1"/>
  <c r="J3308" i="1"/>
  <c r="J3309" i="1"/>
  <c r="J869" i="1"/>
  <c r="J4539" i="1"/>
  <c r="J4540" i="1"/>
  <c r="J1612" i="1"/>
  <c r="J1613" i="1"/>
  <c r="J3310" i="1"/>
  <c r="J4541" i="1"/>
  <c r="J3311" i="1"/>
  <c r="J1614" i="1"/>
  <c r="J3312" i="1"/>
  <c r="J1615" i="1"/>
  <c r="J3313" i="1"/>
  <c r="J4542" i="1"/>
  <c r="J4543" i="1"/>
  <c r="J870" i="1"/>
  <c r="J3314" i="1"/>
  <c r="J1616" i="1"/>
  <c r="J4544" i="1"/>
  <c r="J4545" i="1"/>
  <c r="J4546" i="1"/>
  <c r="J4547" i="1"/>
  <c r="J4548" i="1"/>
  <c r="J3315" i="1"/>
  <c r="J3316" i="1"/>
  <c r="J4549" i="1"/>
  <c r="J3317" i="1"/>
  <c r="J4550" i="1"/>
  <c r="J4551" i="1"/>
  <c r="J4552" i="1"/>
  <c r="J4553" i="1"/>
  <c r="J871" i="1"/>
  <c r="J3318" i="1"/>
  <c r="J4554" i="1"/>
  <c r="J3319" i="1"/>
  <c r="J1617" i="1"/>
  <c r="J872" i="1"/>
  <c r="J4555" i="1"/>
  <c r="J3320" i="1"/>
  <c r="J3321" i="1"/>
  <c r="J4556" i="1"/>
  <c r="J873" i="1"/>
  <c r="J874" i="1"/>
  <c r="J1618" i="1"/>
  <c r="J3322" i="1"/>
  <c r="J3323" i="1"/>
  <c r="J3324" i="1"/>
  <c r="J875" i="1"/>
  <c r="J4557" i="1"/>
  <c r="J1619" i="1"/>
  <c r="J3325" i="1"/>
  <c r="J876" i="1"/>
  <c r="J1620" i="1"/>
  <c r="J877" i="1"/>
  <c r="J3326" i="1"/>
  <c r="J1621" i="1"/>
  <c r="J1622" i="1"/>
  <c r="J878" i="1"/>
  <c r="J4558" i="1"/>
  <c r="J3327" i="1"/>
  <c r="J4559" i="1"/>
  <c r="J4560" i="1"/>
  <c r="J3328" i="1"/>
  <c r="J4561" i="1"/>
  <c r="J879" i="1"/>
  <c r="J4562" i="1"/>
  <c r="J3329" i="1"/>
  <c r="J1623" i="1"/>
  <c r="J1624" i="1"/>
  <c r="J1625" i="1"/>
  <c r="J4563" i="1"/>
  <c r="J880" i="1"/>
  <c r="J881" i="1"/>
  <c r="J4564" i="1"/>
  <c r="J4565" i="1"/>
  <c r="J4566" i="1"/>
  <c r="J332" i="1"/>
  <c r="J333" i="1"/>
  <c r="J334" i="1"/>
  <c r="J2429" i="1"/>
  <c r="J2430" i="1"/>
  <c r="J2431" i="1"/>
  <c r="J2432" i="1"/>
  <c r="J335" i="1"/>
  <c r="J2433" i="1"/>
  <c r="J336" i="1"/>
  <c r="J2434" i="1"/>
  <c r="J337" i="1"/>
  <c r="J338" i="1"/>
  <c r="J2435" i="1"/>
  <c r="J339" i="1"/>
  <c r="J340" i="1"/>
  <c r="J2436" i="1"/>
  <c r="J2437" i="1"/>
  <c r="J341" i="1"/>
  <c r="J342" i="1"/>
  <c r="J2438" i="1"/>
  <c r="J343" i="1"/>
  <c r="J344" i="1"/>
  <c r="J2439" i="1"/>
  <c r="J2440" i="1"/>
  <c r="J2441" i="1"/>
  <c r="J2442" i="1"/>
  <c r="J345" i="1"/>
  <c r="J2443" i="1"/>
  <c r="J346" i="1"/>
  <c r="J347" i="1"/>
  <c r="J348" i="1"/>
  <c r="J2444" i="1"/>
  <c r="J2445" i="1"/>
  <c r="J349" i="1"/>
  <c r="J2446" i="1"/>
  <c r="J350" i="1"/>
  <c r="J2447" i="1"/>
  <c r="J2448" i="1"/>
  <c r="J2449" i="1"/>
  <c r="J351" i="1"/>
  <c r="J2450" i="1"/>
  <c r="J352" i="1"/>
  <c r="J2451" i="1"/>
  <c r="J353" i="1"/>
  <c r="J354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355" i="1"/>
  <c r="J2465" i="1"/>
  <c r="J356" i="1"/>
  <c r="J2466" i="1"/>
  <c r="J2467" i="1"/>
  <c r="J357" i="1"/>
  <c r="J2468" i="1"/>
  <c r="J358" i="1"/>
  <c r="J2469" i="1"/>
  <c r="J2470" i="1"/>
  <c r="J359" i="1"/>
  <c r="J360" i="1"/>
  <c r="J2471" i="1"/>
  <c r="J2472" i="1"/>
  <c r="J361" i="1"/>
  <c r="J2473" i="1"/>
  <c r="J2474" i="1"/>
  <c r="J2475" i="1"/>
  <c r="J2476" i="1"/>
  <c r="J362" i="1"/>
  <c r="J363" i="1"/>
  <c r="J2477" i="1"/>
  <c r="J364" i="1"/>
  <c r="J365" i="1"/>
  <c r="J2478" i="1"/>
  <c r="J366" i="1"/>
  <c r="J2479" i="1"/>
  <c r="J2480" i="1"/>
  <c r="J2481" i="1"/>
  <c r="J2482" i="1"/>
  <c r="J2483" i="1"/>
  <c r="J2484" i="1"/>
  <c r="J367" i="1"/>
  <c r="J368" i="1"/>
  <c r="J369" i="1"/>
  <c r="J370" i="1"/>
  <c r="J371" i="1"/>
  <c r="J372" i="1"/>
  <c r="J2485" i="1"/>
  <c r="J373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374" i="1"/>
  <c r="J2498" i="1"/>
  <c r="J2499" i="1"/>
  <c r="J2500" i="1"/>
  <c r="J2501" i="1"/>
  <c r="J2502" i="1"/>
  <c r="J375" i="1"/>
  <c r="J2503" i="1"/>
  <c r="J2504" i="1"/>
  <c r="J376" i="1"/>
  <c r="J377" i="1"/>
  <c r="J2505" i="1"/>
  <c r="J2506" i="1"/>
  <c r="J378" i="1"/>
  <c r="J2507" i="1"/>
  <c r="J2508" i="1"/>
  <c r="J2509" i="1"/>
  <c r="J379" i="1"/>
  <c r="J2510" i="1"/>
  <c r="J2511" i="1"/>
  <c r="J380" i="1"/>
  <c r="J2512" i="1"/>
  <c r="J2513" i="1"/>
  <c r="J2514" i="1"/>
  <c r="J2515" i="1"/>
  <c r="J2516" i="1"/>
  <c r="J2517" i="1"/>
  <c r="J2518" i="1"/>
  <c r="J381" i="1"/>
  <c r="J2519" i="1"/>
  <c r="J2520" i="1"/>
  <c r="J2521" i="1"/>
  <c r="J2522" i="1"/>
  <c r="J382" i="1"/>
  <c r="J2523" i="1"/>
  <c r="J2524" i="1"/>
  <c r="J2525" i="1"/>
  <c r="J2526" i="1"/>
  <c r="J383" i="1"/>
  <c r="J2527" i="1"/>
  <c r="J2528" i="1"/>
  <c r="J2529" i="1"/>
  <c r="J2530" i="1"/>
  <c r="J2531" i="1"/>
  <c r="J384" i="1"/>
  <c r="J2532" i="1"/>
  <c r="J385" i="1"/>
  <c r="J2533" i="1"/>
  <c r="J2534" i="1"/>
  <c r="J386" i="1"/>
  <c r="J2535" i="1"/>
  <c r="J2536" i="1"/>
  <c r="J387" i="1"/>
  <c r="J388" i="1"/>
  <c r="J389" i="1"/>
  <c r="J2537" i="1"/>
  <c r="J2538" i="1"/>
  <c r="J2539" i="1"/>
  <c r="J2540" i="1"/>
  <c r="J2541" i="1"/>
  <c r="J2542" i="1"/>
  <c r="J2543" i="1"/>
  <c r="J2544" i="1"/>
  <c r="J390" i="1"/>
  <c r="J391" i="1"/>
  <c r="J2545" i="1"/>
  <c r="J2546" i="1"/>
  <c r="J392" i="1"/>
  <c r="J2547" i="1"/>
  <c r="J2548" i="1"/>
  <c r="J2549" i="1"/>
  <c r="J393" i="1"/>
  <c r="J394" i="1"/>
  <c r="J2550" i="1"/>
  <c r="J2551" i="1"/>
  <c r="J395" i="1"/>
  <c r="J2552" i="1"/>
  <c r="J2553" i="1"/>
  <c r="J2554" i="1"/>
  <c r="J2555" i="1"/>
  <c r="J396" i="1"/>
  <c r="J2556" i="1"/>
  <c r="J2557" i="1"/>
  <c r="J2558" i="1"/>
  <c r="J2559" i="1"/>
  <c r="J2560" i="1"/>
  <c r="J397" i="1"/>
  <c r="J2561" i="1"/>
  <c r="J398" i="1"/>
  <c r="J2562" i="1"/>
  <c r="J2563" i="1"/>
  <c r="J399" i="1"/>
  <c r="J400" i="1"/>
  <c r="J401" i="1"/>
  <c r="J402" i="1"/>
  <c r="J2564" i="1"/>
  <c r="J2565" i="1"/>
  <c r="J403" i="1"/>
  <c r="J2566" i="1"/>
  <c r="J404" i="1"/>
  <c r="J2567" i="1"/>
  <c r="J2568" i="1"/>
  <c r="J2569" i="1"/>
  <c r="J2570" i="1"/>
  <c r="J405" i="1"/>
  <c r="J406" i="1"/>
  <c r="J2571" i="1"/>
  <c r="J2572" i="1"/>
  <c r="J2573" i="1"/>
  <c r="J407" i="1"/>
  <c r="J408" i="1"/>
  <c r="J2574" i="1"/>
  <c r="J2575" i="1"/>
  <c r="J409" i="1"/>
  <c r="J2576" i="1"/>
  <c r="J2577" i="1"/>
  <c r="J2578" i="1"/>
  <c r="J2579" i="1"/>
  <c r="J2580" i="1"/>
  <c r="J2581" i="1"/>
  <c r="J410" i="1"/>
  <c r="J411" i="1"/>
  <c r="J412" i="1"/>
  <c r="J2582" i="1"/>
  <c r="J2583" i="1"/>
  <c r="J2584" i="1"/>
  <c r="J2585" i="1"/>
  <c r="J413" i="1"/>
  <c r="J414" i="1"/>
  <c r="J415" i="1"/>
  <c r="J2586" i="1"/>
  <c r="J2587" i="1"/>
  <c r="J2588" i="1"/>
  <c r="J2589" i="1"/>
  <c r="J416" i="1"/>
  <c r="J2590" i="1"/>
  <c r="J417" i="1"/>
  <c r="J2591" i="1"/>
  <c r="J2592" i="1"/>
  <c r="J2593" i="1"/>
  <c r="J418" i="1"/>
  <c r="J419" i="1"/>
  <c r="J420" i="1"/>
  <c r="J421" i="1"/>
  <c r="J2594" i="1"/>
  <c r="J422" i="1"/>
  <c r="J2595" i="1"/>
  <c r="J2596" i="1"/>
  <c r="J2597" i="1"/>
  <c r="J423" i="1"/>
  <c r="J2598" i="1"/>
  <c r="J2599" i="1"/>
  <c r="J2600" i="1"/>
  <c r="J2601" i="1"/>
  <c r="J2602" i="1"/>
  <c r="J424" i="1"/>
  <c r="J2603" i="1"/>
  <c r="J425" i="1"/>
  <c r="J2604" i="1"/>
  <c r="J426" i="1"/>
  <c r="J427" i="1"/>
  <c r="J2605" i="1"/>
  <c r="J2606" i="1"/>
  <c r="J2607" i="1"/>
  <c r="J2608" i="1"/>
  <c r="J428" i="1"/>
  <c r="J429" i="1"/>
  <c r="J430" i="1"/>
  <c r="J2609" i="1"/>
  <c r="J2610" i="1"/>
  <c r="J2611" i="1"/>
  <c r="J2612" i="1"/>
  <c r="J431" i="1"/>
  <c r="J2613" i="1"/>
  <c r="J2614" i="1"/>
  <c r="J2615" i="1"/>
  <c r="J432" i="1"/>
  <c r="J2616" i="1"/>
  <c r="J2617" i="1"/>
  <c r="J433" i="1"/>
  <c r="J2618" i="1"/>
  <c r="J2619" i="1"/>
  <c r="J2620" i="1"/>
  <c r="J2621" i="1"/>
  <c r="J434" i="1"/>
  <c r="J2622" i="1"/>
  <c r="J2623" i="1"/>
  <c r="J2624" i="1"/>
  <c r="J435" i="1"/>
  <c r="J2625" i="1"/>
  <c r="J2626" i="1"/>
  <c r="J2627" i="1"/>
  <c r="J2628" i="1"/>
  <c r="J2629" i="1"/>
  <c r="J2630" i="1"/>
  <c r="J2631" i="1"/>
  <c r="J2632" i="1"/>
  <c r="J436" i="1"/>
  <c r="J437" i="1"/>
  <c r="J2633" i="1"/>
  <c r="J2634" i="1"/>
  <c r="J438" i="1"/>
  <c r="J2635" i="1"/>
  <c r="J2636" i="1"/>
  <c r="J2637" i="1"/>
  <c r="J2638" i="1"/>
  <c r="J2639" i="1"/>
  <c r="J439" i="1"/>
  <c r="J2640" i="1"/>
  <c r="J2641" i="1"/>
  <c r="J2642" i="1"/>
  <c r="J440" i="1"/>
  <c r="J2643" i="1"/>
  <c r="J2644" i="1"/>
  <c r="J441" i="1"/>
  <c r="J442" i="1"/>
  <c r="J443" i="1"/>
  <c r="J444" i="1"/>
  <c r="J445" i="1"/>
  <c r="J446" i="1"/>
  <c r="J447" i="1"/>
  <c r="J2645" i="1"/>
  <c r="J448" i="1"/>
  <c r="J2646" i="1"/>
  <c r="J449" i="1"/>
  <c r="J2647" i="1"/>
  <c r="J2648" i="1"/>
  <c r="J450" i="1"/>
  <c r="J2649" i="1"/>
  <c r="J451" i="1"/>
  <c r="J2650" i="1"/>
  <c r="J2651" i="1"/>
  <c r="J2652" i="1"/>
  <c r="J2653" i="1"/>
  <c r="J452" i="1"/>
  <c r="J2654" i="1"/>
  <c r="J453" i="1"/>
  <c r="J454" i="1"/>
  <c r="J2655" i="1"/>
  <c r="J2656" i="1"/>
  <c r="J2657" i="1"/>
  <c r="J2658" i="1"/>
  <c r="J2659" i="1"/>
  <c r="J2660" i="1"/>
  <c r="J2661" i="1"/>
  <c r="J2662" i="1"/>
  <c r="J455" i="1"/>
  <c r="J2663" i="1"/>
  <c r="J2664" i="1"/>
  <c r="J456" i="1"/>
  <c r="J457" i="1"/>
  <c r="J458" i="1"/>
  <c r="J2665" i="1"/>
  <c r="J2666" i="1"/>
  <c r="J2667" i="1"/>
  <c r="J459" i="1"/>
  <c r="J460" i="1"/>
  <c r="J461" i="1"/>
  <c r="J2668" i="1"/>
  <c r="J2669" i="1"/>
  <c r="J2670" i="1"/>
  <c r="J462" i="1"/>
  <c r="J2671" i="1"/>
  <c r="J2672" i="1"/>
  <c r="J463" i="1"/>
  <c r="J2673" i="1"/>
  <c r="J464" i="1"/>
  <c r="J2674" i="1"/>
  <c r="J2675" i="1"/>
  <c r="J465" i="1"/>
  <c r="J466" i="1"/>
  <c r="J2676" i="1"/>
  <c r="J2677" i="1"/>
  <c r="J467" i="1"/>
  <c r="J2678" i="1"/>
  <c r="J2679" i="1"/>
  <c r="J2680" i="1"/>
  <c r="J2681" i="1"/>
  <c r="J2682" i="1"/>
  <c r="J468" i="1"/>
  <c r="J2683" i="1"/>
  <c r="J469" i="1"/>
  <c r="J2684" i="1"/>
  <c r="J2685" i="1"/>
  <c r="J2686" i="1"/>
  <c r="J470" i="1"/>
  <c r="J471" i="1"/>
  <c r="J472" i="1"/>
  <c r="J473" i="1"/>
  <c r="J474" i="1"/>
  <c r="J2687" i="1"/>
  <c r="J2688" i="1"/>
  <c r="J2689" i="1"/>
  <c r="J475" i="1"/>
  <c r="J2690" i="1"/>
  <c r="J476" i="1"/>
  <c r="J2691" i="1"/>
  <c r="J2692" i="1"/>
  <c r="J477" i="1"/>
  <c r="J2693" i="1"/>
  <c r="J478" i="1"/>
  <c r="J2694" i="1"/>
  <c r="J479" i="1"/>
  <c r="J3330" i="1"/>
  <c r="J3331" i="1"/>
  <c r="J3332" i="1"/>
  <c r="J882" i="1"/>
  <c r="J883" i="1"/>
  <c r="J3333" i="1"/>
  <c r="J884" i="1"/>
  <c r="J885" i="1"/>
  <c r="J3334" i="1"/>
  <c r="J3335" i="1"/>
  <c r="J886" i="1"/>
  <c r="J887" i="1"/>
  <c r="J3336" i="1"/>
  <c r="J3337" i="1"/>
  <c r="J3338" i="1"/>
  <c r="J888" i="1"/>
  <c r="J889" i="1"/>
  <c r="J3339" i="1"/>
  <c r="J890" i="1"/>
  <c r="J891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892" i="1"/>
  <c r="J3352" i="1"/>
  <c r="J3353" i="1"/>
  <c r="J3354" i="1"/>
  <c r="J3355" i="1"/>
  <c r="J893" i="1"/>
  <c r="J3356" i="1"/>
  <c r="J3357" i="1"/>
  <c r="J894" i="1"/>
  <c r="J3358" i="1"/>
  <c r="J3359" i="1"/>
  <c r="J3360" i="1"/>
  <c r="J895" i="1"/>
  <c r="J896" i="1"/>
  <c r="J897" i="1"/>
  <c r="J3361" i="1"/>
  <c r="J3362" i="1"/>
  <c r="J898" i="1"/>
  <c r="J3363" i="1"/>
  <c r="J3364" i="1"/>
  <c r="J899" i="1"/>
  <c r="J3365" i="1"/>
  <c r="J3366" i="1"/>
  <c r="J3367" i="1"/>
  <c r="J3368" i="1"/>
  <c r="J900" i="1"/>
  <c r="J3369" i="1"/>
  <c r="J3370" i="1"/>
  <c r="J901" i="1"/>
  <c r="J902" i="1"/>
  <c r="J903" i="1"/>
  <c r="J3371" i="1"/>
  <c r="J904" i="1"/>
  <c r="J3372" i="1"/>
  <c r="J3373" i="1"/>
  <c r="J3374" i="1"/>
  <c r="J905" i="1"/>
  <c r="J906" i="1"/>
  <c r="J3375" i="1"/>
  <c r="J907" i="1"/>
  <c r="J3376" i="1"/>
  <c r="J3377" i="1"/>
  <c r="J3378" i="1"/>
  <c r="J3379" i="1"/>
  <c r="J908" i="1"/>
  <c r="J909" i="1"/>
  <c r="J910" i="1"/>
  <c r="J3380" i="1"/>
  <c r="J3381" i="1"/>
  <c r="J3382" i="1"/>
  <c r="J3383" i="1"/>
  <c r="J3384" i="1"/>
  <c r="J911" i="1"/>
  <c r="J912" i="1"/>
  <c r="J913" i="1"/>
  <c r="J3385" i="1"/>
  <c r="J914" i="1"/>
  <c r="J915" i="1"/>
  <c r="J3386" i="1"/>
  <c r="J916" i="1"/>
  <c r="J3387" i="1"/>
  <c r="J917" i="1"/>
  <c r="J3388" i="1"/>
  <c r="J3389" i="1"/>
  <c r="J918" i="1"/>
  <c r="J919" i="1"/>
  <c r="J3390" i="1"/>
  <c r="J920" i="1"/>
  <c r="J921" i="1"/>
  <c r="J3391" i="1"/>
  <c r="J3392" i="1"/>
  <c r="J3393" i="1"/>
  <c r="J3394" i="1"/>
  <c r="J922" i="1"/>
  <c r="J3395" i="1"/>
  <c r="J3396" i="1"/>
  <c r="J3397" i="1"/>
  <c r="J3398" i="1"/>
  <c r="J923" i="1"/>
  <c r="J3399" i="1"/>
  <c r="J3400" i="1"/>
  <c r="J3401" i="1"/>
  <c r="J3402" i="1"/>
  <c r="J3403" i="1"/>
  <c r="J3404" i="1"/>
  <c r="J924" i="1"/>
  <c r="J925" i="1"/>
  <c r="J926" i="1"/>
  <c r="J3405" i="1"/>
  <c r="J3406" i="1"/>
  <c r="J927" i="1"/>
  <c r="J3407" i="1"/>
  <c r="J3408" i="1"/>
  <c r="J3409" i="1"/>
  <c r="J928" i="1"/>
  <c r="J3410" i="1"/>
  <c r="J929" i="1"/>
  <c r="J3411" i="1"/>
  <c r="J930" i="1"/>
  <c r="J3412" i="1"/>
  <c r="J931" i="1"/>
  <c r="J932" i="1"/>
  <c r="J3413" i="1"/>
  <c r="J3414" i="1"/>
  <c r="J3415" i="1"/>
  <c r="J3416" i="1"/>
  <c r="J3417" i="1"/>
  <c r="J3418" i="1"/>
  <c r="J3419" i="1"/>
  <c r="J933" i="1"/>
  <c r="J934" i="1"/>
  <c r="J3420" i="1"/>
  <c r="J3421" i="1"/>
  <c r="J935" i="1"/>
  <c r="J936" i="1"/>
  <c r="J3422" i="1"/>
  <c r="J3423" i="1"/>
  <c r="J937" i="1"/>
  <c r="J3424" i="1"/>
  <c r="J3425" i="1"/>
  <c r="J938" i="1"/>
  <c r="J939" i="1"/>
  <c r="J940" i="1"/>
  <c r="J941" i="1"/>
  <c r="J942" i="1"/>
  <c r="J3426" i="1"/>
  <c r="J943" i="1"/>
  <c r="J3427" i="1"/>
  <c r="J3428" i="1"/>
  <c r="J944" i="1"/>
  <c r="J945" i="1"/>
  <c r="J3429" i="1"/>
  <c r="J946" i="1"/>
  <c r="J3430" i="1"/>
  <c r="J3431" i="1"/>
  <c r="J3432" i="1"/>
  <c r="J3433" i="1"/>
  <c r="J947" i="1"/>
  <c r="J3434" i="1"/>
  <c r="J948" i="1"/>
  <c r="J949" i="1"/>
  <c r="J950" i="1"/>
  <c r="J3435" i="1"/>
  <c r="J3436" i="1"/>
  <c r="J951" i="1"/>
  <c r="J3437" i="1"/>
  <c r="J3438" i="1"/>
  <c r="J3439" i="1"/>
  <c r="J3440" i="1"/>
  <c r="J3441" i="1"/>
  <c r="J3442" i="1"/>
  <c r="J3443" i="1"/>
  <c r="J3444" i="1"/>
  <c r="J3445" i="1"/>
  <c r="J3446" i="1"/>
  <c r="J952" i="1"/>
  <c r="J3447" i="1"/>
  <c r="J3448" i="1"/>
  <c r="J3449" i="1"/>
  <c r="J953" i="1"/>
  <c r="J3450" i="1"/>
  <c r="J954" i="1"/>
  <c r="J955" i="1"/>
  <c r="J3451" i="1"/>
  <c r="J3452" i="1"/>
  <c r="J3453" i="1"/>
  <c r="J956" i="1"/>
  <c r="J957" i="1"/>
  <c r="J3454" i="1"/>
  <c r="J3455" i="1"/>
  <c r="J3456" i="1"/>
  <c r="J958" i="1"/>
  <c r="J3457" i="1"/>
  <c r="J3458" i="1"/>
  <c r="J959" i="1"/>
  <c r="J3459" i="1"/>
  <c r="J960" i="1"/>
  <c r="J3460" i="1"/>
  <c r="J961" i="1"/>
  <c r="J962" i="1"/>
  <c r="J3461" i="1"/>
  <c r="J3462" i="1"/>
  <c r="J3463" i="1"/>
  <c r="J3464" i="1"/>
  <c r="J963" i="1"/>
  <c r="J964" i="1"/>
  <c r="J3465" i="1"/>
  <c r="J965" i="1"/>
  <c r="J3466" i="1"/>
  <c r="J3467" i="1"/>
  <c r="J3468" i="1"/>
  <c r="J966" i="1"/>
  <c r="J967" i="1"/>
  <c r="J3469" i="1"/>
  <c r="J3470" i="1"/>
  <c r="J3471" i="1"/>
  <c r="J968" i="1"/>
  <c r="J3472" i="1"/>
  <c r="J3473" i="1"/>
  <c r="J3474" i="1"/>
  <c r="J3475" i="1"/>
  <c r="J969" i="1"/>
  <c r="J970" i="1"/>
  <c r="J3476" i="1"/>
  <c r="J971" i="1"/>
  <c r="J972" i="1"/>
  <c r="J3477" i="1"/>
  <c r="J3478" i="1"/>
  <c r="J3479" i="1"/>
  <c r="J973" i="1"/>
  <c r="J974" i="1"/>
  <c r="J3480" i="1"/>
  <c r="J3481" i="1"/>
  <c r="J975" i="1"/>
  <c r="J3482" i="1"/>
  <c r="J976" i="1"/>
  <c r="J977" i="1"/>
  <c r="J3483" i="1"/>
  <c r="J978" i="1"/>
  <c r="J3484" i="1"/>
  <c r="J3485" i="1"/>
  <c r="J979" i="1"/>
  <c r="J3486" i="1"/>
  <c r="J980" i="1"/>
  <c r="J3487" i="1"/>
  <c r="J981" i="1"/>
  <c r="J3488" i="1"/>
  <c r="J982" i="1"/>
  <c r="J983" i="1"/>
  <c r="J3489" i="1"/>
  <c r="J3490" i="1"/>
  <c r="J3491" i="1"/>
  <c r="J3492" i="1"/>
  <c r="J3493" i="1"/>
  <c r="J984" i="1"/>
  <c r="J985" i="1"/>
  <c r="J3494" i="1"/>
  <c r="J986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987" i="1"/>
  <c r="J988" i="1"/>
  <c r="J989" i="1"/>
  <c r="J990" i="1"/>
  <c r="J3507" i="1"/>
  <c r="J991" i="1"/>
  <c r="J3508" i="1"/>
  <c r="J992" i="1"/>
  <c r="J3509" i="1"/>
  <c r="J993" i="1"/>
  <c r="J3510" i="1"/>
  <c r="J994" i="1"/>
  <c r="J995" i="1"/>
  <c r="J3511" i="1"/>
  <c r="J3512" i="1"/>
  <c r="J996" i="1"/>
  <c r="J997" i="1"/>
  <c r="J3513" i="1"/>
  <c r="J3514" i="1"/>
  <c r="J3515" i="1"/>
  <c r="J3516" i="1"/>
  <c r="J998" i="1"/>
  <c r="J3517" i="1"/>
  <c r="J3518" i="1"/>
  <c r="J3519" i="1"/>
  <c r="J3520" i="1"/>
  <c r="J3521" i="1"/>
  <c r="J3522" i="1"/>
  <c r="J999" i="1"/>
  <c r="J3523" i="1"/>
  <c r="J3524" i="1"/>
  <c r="J3525" i="1"/>
  <c r="J3526" i="1"/>
  <c r="J3527" i="1"/>
  <c r="J3528" i="1"/>
  <c r="J3529" i="1"/>
  <c r="J1000" i="1"/>
  <c r="J3530" i="1"/>
  <c r="J1001" i="1"/>
  <c r="J1002" i="1"/>
  <c r="J3531" i="1"/>
  <c r="J3532" i="1"/>
  <c r="J1003" i="1"/>
  <c r="J3533" i="1"/>
  <c r="J1004" i="1"/>
  <c r="J3534" i="1"/>
  <c r="J3535" i="1"/>
  <c r="J1005" i="1"/>
  <c r="J3536" i="1"/>
  <c r="J1006" i="1"/>
  <c r="J3537" i="1"/>
  <c r="J3538" i="1"/>
  <c r="J3539" i="1"/>
  <c r="J3540" i="1"/>
  <c r="J3541" i="1"/>
  <c r="J3542" i="1"/>
  <c r="J1007" i="1"/>
  <c r="J3543" i="1"/>
  <c r="J3544" i="1"/>
  <c r="J3545" i="1"/>
  <c r="J1008" i="1"/>
  <c r="J1009" i="1"/>
  <c r="J3546" i="1"/>
  <c r="J1010" i="1"/>
  <c r="J1011" i="1"/>
  <c r="J3547" i="1"/>
  <c r="J3548" i="1"/>
  <c r="J1012" i="1"/>
  <c r="J3549" i="1"/>
  <c r="J1013" i="1"/>
  <c r="J1014" i="1"/>
  <c r="J3550" i="1"/>
  <c r="J3551" i="1"/>
  <c r="J1015" i="1"/>
  <c r="J3552" i="1"/>
  <c r="J3553" i="1"/>
  <c r="J1016" i="1"/>
  <c r="J3554" i="1"/>
  <c r="J3555" i="1"/>
  <c r="J3556" i="1"/>
  <c r="J3557" i="1"/>
  <c r="J3558" i="1"/>
  <c r="J3559" i="1"/>
  <c r="J1017" i="1"/>
  <c r="J1018" i="1"/>
  <c r="J3560" i="1"/>
  <c r="J3561" i="1"/>
  <c r="J3562" i="1"/>
  <c r="J3563" i="1"/>
  <c r="J3564" i="1"/>
  <c r="J1019" i="1"/>
  <c r="J3565" i="1"/>
  <c r="J3566" i="1"/>
  <c r="J1020" i="1"/>
  <c r="J1021" i="1"/>
  <c r="J3567" i="1"/>
  <c r="J1022" i="1"/>
  <c r="J3568" i="1"/>
  <c r="J1023" i="1"/>
  <c r="J3569" i="1"/>
  <c r="J3570" i="1"/>
  <c r="J3571" i="1"/>
  <c r="J1024" i="1"/>
  <c r="J1025" i="1"/>
  <c r="J1026" i="1"/>
  <c r="J1027" i="1"/>
  <c r="J1028" i="1"/>
  <c r="J3572" i="1"/>
  <c r="J1029" i="1"/>
  <c r="J1030" i="1"/>
  <c r="J3573" i="1"/>
  <c r="J3574" i="1"/>
  <c r="J3575" i="1"/>
  <c r="J3576" i="1"/>
  <c r="J1031" i="1"/>
  <c r="J3577" i="1"/>
  <c r="J3578" i="1"/>
  <c r="J3579" i="1"/>
  <c r="J1032" i="1"/>
  <c r="J1033" i="1"/>
  <c r="J1034" i="1"/>
  <c r="J3580" i="1"/>
  <c r="J3581" i="1"/>
  <c r="J3582" i="1"/>
  <c r="J3583" i="1"/>
  <c r="J3584" i="1"/>
  <c r="J3585" i="1"/>
  <c r="J3586" i="1"/>
  <c r="J3587" i="1"/>
  <c r="J1035" i="1"/>
  <c r="J3588" i="1"/>
  <c r="J1036" i="1"/>
  <c r="J1037" i="1"/>
  <c r="J1038" i="1"/>
  <c r="J3589" i="1"/>
  <c r="J1039" i="1"/>
  <c r="J3590" i="1"/>
  <c r="J3591" i="1"/>
  <c r="J3592" i="1"/>
  <c r="J1040" i="1"/>
  <c r="J1041" i="1"/>
  <c r="J3593" i="1"/>
  <c r="J3594" i="1"/>
  <c r="J3595" i="1"/>
  <c r="J3596" i="1"/>
  <c r="J3597" i="1"/>
  <c r="J3598" i="1"/>
  <c r="J1042" i="1"/>
  <c r="J1043" i="1"/>
  <c r="J1044" i="1"/>
  <c r="J1045" i="1"/>
  <c r="J1046" i="1"/>
  <c r="J3599" i="1"/>
  <c r="J3600" i="1"/>
  <c r="J3601" i="1"/>
  <c r="J3602" i="1"/>
  <c r="J3603" i="1"/>
  <c r="J3604" i="1"/>
  <c r="J1047" i="1"/>
  <c r="J3605" i="1"/>
  <c r="J1048" i="1"/>
  <c r="J3606" i="1"/>
  <c r="J1049" i="1"/>
  <c r="J1050" i="1"/>
  <c r="J3607" i="1"/>
  <c r="J1051" i="1"/>
  <c r="J1052" i="1"/>
  <c r="J3608" i="1"/>
  <c r="J3609" i="1"/>
  <c r="J1053" i="1"/>
  <c r="J3610" i="1"/>
  <c r="J3611" i="1"/>
  <c r="J3612" i="1"/>
  <c r="J1054" i="1"/>
  <c r="J1055" i="1"/>
  <c r="J1056" i="1"/>
  <c r="J3613" i="1"/>
  <c r="J1057" i="1"/>
  <c r="J3614" i="1"/>
  <c r="J3615" i="1"/>
  <c r="J3616" i="1"/>
  <c r="J3617" i="1"/>
  <c r="J1058" i="1"/>
  <c r="J3618" i="1"/>
  <c r="J3619" i="1"/>
  <c r="J3620" i="1"/>
  <c r="J3621" i="1"/>
  <c r="J3622" i="1"/>
  <c r="J3623" i="1"/>
  <c r="J3624" i="1"/>
  <c r="J3625" i="1"/>
  <c r="J3626" i="1"/>
  <c r="J3627" i="1"/>
  <c r="J1059" i="1"/>
  <c r="J3628" i="1"/>
  <c r="J1060" i="1"/>
  <c r="J3629" i="1"/>
  <c r="J3630" i="1"/>
  <c r="J1061" i="1"/>
  <c r="J1062" i="1"/>
  <c r="J3631" i="1"/>
  <c r="J3632" i="1"/>
  <c r="J3633" i="1"/>
  <c r="J1063" i="1"/>
  <c r="J3634" i="1"/>
  <c r="J1064" i="1"/>
  <c r="J3635" i="1"/>
  <c r="J1065" i="1"/>
  <c r="J3636" i="1"/>
  <c r="J1066" i="1"/>
  <c r="J1067" i="1"/>
  <c r="J1068" i="1"/>
  <c r="J1069" i="1"/>
  <c r="J1070" i="1"/>
  <c r="J1071" i="1"/>
  <c r="J1072" i="1"/>
  <c r="J3637" i="1"/>
  <c r="J1073" i="1"/>
  <c r="J1074" i="1"/>
  <c r="J1075" i="1"/>
  <c r="J3638" i="1"/>
  <c r="J3639" i="1"/>
  <c r="J1076" i="1"/>
  <c r="J3640" i="1"/>
  <c r="J1077" i="1"/>
  <c r="J3641" i="1"/>
  <c r="J1078" i="1"/>
  <c r="J3642" i="1"/>
  <c r="J1079" i="1"/>
  <c r="J1080" i="1"/>
  <c r="J3643" i="1"/>
  <c r="J3644" i="1"/>
  <c r="J3645" i="1"/>
  <c r="J3646" i="1"/>
  <c r="J3647" i="1"/>
  <c r="J3648" i="1"/>
  <c r="J3649" i="1"/>
  <c r="J1081" i="1"/>
  <c r="J1082" i="1"/>
  <c r="J1083" i="1"/>
  <c r="J3650" i="1"/>
  <c r="J1084" i="1"/>
  <c r="J3651" i="1"/>
  <c r="J1085" i="1"/>
  <c r="J3652" i="1"/>
  <c r="J3653" i="1"/>
  <c r="J1086" i="1"/>
  <c r="J1087" i="1"/>
  <c r="J3654" i="1"/>
  <c r="J3655" i="1"/>
  <c r="J1088" i="1"/>
  <c r="J3656" i="1"/>
  <c r="J3657" i="1"/>
  <c r="J3658" i="1"/>
  <c r="J3659" i="1"/>
  <c r="J3660" i="1"/>
  <c r="J1089" i="1"/>
  <c r="J1090" i="1"/>
  <c r="J1091" i="1"/>
  <c r="J3661" i="1"/>
  <c r="J3662" i="1"/>
  <c r="J3663" i="1"/>
  <c r="J3664" i="1"/>
  <c r="J3665" i="1"/>
  <c r="J3666" i="1"/>
  <c r="J1092" i="1"/>
  <c r="J1093" i="1"/>
  <c r="J3667" i="1"/>
  <c r="J1094" i="1"/>
  <c r="J3668" i="1"/>
  <c r="J3669" i="1"/>
  <c r="J3670" i="1"/>
  <c r="J3671" i="1"/>
  <c r="J3672" i="1"/>
  <c r="J3673" i="1"/>
  <c r="J1095" i="1"/>
  <c r="J3674" i="1"/>
  <c r="J3675" i="1"/>
  <c r="J3676" i="1"/>
  <c r="J3677" i="1"/>
  <c r="J1096" i="1"/>
  <c r="J1097" i="1"/>
  <c r="J3678" i="1"/>
  <c r="J3679" i="1"/>
  <c r="J1098" i="1"/>
  <c r="J1099" i="1"/>
  <c r="J1100" i="1"/>
  <c r="J1101" i="1"/>
  <c r="J3680" i="1"/>
  <c r="J3681" i="1"/>
  <c r="J3682" i="1"/>
  <c r="J3683" i="1"/>
  <c r="J3684" i="1"/>
  <c r="J1102" i="1"/>
  <c r="J3685" i="1"/>
  <c r="J1103" i="1"/>
  <c r="J3686" i="1"/>
  <c r="J3687" i="1"/>
  <c r="J3688" i="1"/>
  <c r="J1104" i="1"/>
  <c r="J1105" i="1"/>
  <c r="J1106" i="1"/>
  <c r="J1107" i="1"/>
  <c r="J3689" i="1"/>
  <c r="J1108" i="1"/>
  <c r="J3690" i="1"/>
  <c r="J1109" i="1"/>
  <c r="J3691" i="1"/>
  <c r="J1110" i="1"/>
  <c r="J1111" i="1"/>
  <c r="J3692" i="1"/>
  <c r="J3693" i="1"/>
  <c r="J1112" i="1"/>
  <c r="J3694" i="1"/>
  <c r="J3695" i="1"/>
  <c r="J3696" i="1"/>
  <c r="J1113" i="1"/>
  <c r="J3697" i="1"/>
  <c r="J3698" i="1"/>
  <c r="J3699" i="1"/>
  <c r="J1114" i="1"/>
  <c r="J3700" i="1"/>
  <c r="J1115" i="1"/>
  <c r="J1116" i="1"/>
  <c r="J3701" i="1"/>
  <c r="J3702" i="1"/>
  <c r="J3703" i="1"/>
  <c r="J3704" i="1"/>
  <c r="J1117" i="1"/>
  <c r="J3705" i="1"/>
  <c r="J1118" i="1"/>
  <c r="J1119" i="1"/>
  <c r="J3706" i="1"/>
  <c r="J3707" i="1"/>
  <c r="J3708" i="1"/>
  <c r="J1120" i="1"/>
  <c r="J1121" i="1"/>
  <c r="J1122" i="1"/>
  <c r="J1123" i="1"/>
  <c r="J3709" i="1"/>
  <c r="J3710" i="1"/>
  <c r="J1124" i="1"/>
  <c r="J1125" i="1"/>
  <c r="J3711" i="1"/>
  <c r="J1126" i="1"/>
  <c r="J1127" i="1"/>
  <c r="J3712" i="1"/>
  <c r="J1128" i="1"/>
  <c r="J1129" i="1"/>
  <c r="J1130" i="1"/>
  <c r="J1131" i="1"/>
  <c r="J3713" i="1"/>
  <c r="J3714" i="1"/>
  <c r="J1132" i="1"/>
  <c r="J3715" i="1"/>
  <c r="J3716" i="1"/>
  <c r="J3717" i="1"/>
  <c r="J3718" i="1"/>
  <c r="J3719" i="1"/>
  <c r="J3720" i="1"/>
  <c r="J1133" i="1"/>
  <c r="J1134" i="1"/>
  <c r="J3721" i="1"/>
  <c r="J1135" i="1"/>
  <c r="J1136" i="1"/>
  <c r="J3722" i="1"/>
  <c r="J1137" i="1"/>
  <c r="J1138" i="1"/>
  <c r="J1139" i="1"/>
  <c r="J1140" i="1"/>
  <c r="J1141" i="1"/>
  <c r="J3723" i="1"/>
  <c r="J3724" i="1"/>
  <c r="J1142" i="1"/>
  <c r="J3725" i="1"/>
  <c r="J3726" i="1"/>
  <c r="J1143" i="1"/>
  <c r="J3727" i="1"/>
  <c r="J1144" i="1"/>
  <c r="J1145" i="1"/>
  <c r="J1146" i="1"/>
  <c r="J1147" i="1"/>
  <c r="J3728" i="1"/>
  <c r="J3729" i="1"/>
  <c r="J3730" i="1"/>
  <c r="J3731" i="1"/>
  <c r="J3732" i="1"/>
  <c r="J3733" i="1"/>
  <c r="J1148" i="1"/>
  <c r="J3734" i="1"/>
  <c r="J1149" i="1"/>
  <c r="J3735" i="1"/>
  <c r="J3736" i="1"/>
  <c r="J3737" i="1"/>
  <c r="J1150" i="1"/>
  <c r="J3738" i="1"/>
  <c r="J1151" i="1"/>
  <c r="J3739" i="1"/>
  <c r="J3740" i="1"/>
  <c r="J3741" i="1"/>
  <c r="J1152" i="1"/>
  <c r="J1153" i="1"/>
  <c r="J3742" i="1"/>
  <c r="J3743" i="1"/>
  <c r="J3744" i="1"/>
  <c r="J3745" i="1"/>
  <c r="J3746" i="1"/>
  <c r="J1154" i="1"/>
  <c r="J1155" i="1"/>
  <c r="J1156" i="1"/>
  <c r="J1157" i="1"/>
  <c r="J3747" i="1"/>
  <c r="J1158" i="1"/>
  <c r="J3748" i="1"/>
  <c r="J3749" i="1"/>
  <c r="J3750" i="1"/>
  <c r="J3751" i="1"/>
  <c r="J3752" i="1"/>
  <c r="J1159" i="1"/>
  <c r="J3753" i="1"/>
  <c r="J3754" i="1"/>
  <c r="J1160" i="1"/>
  <c r="J1161" i="1"/>
  <c r="J3755" i="1"/>
  <c r="J3756" i="1"/>
  <c r="J3757" i="1"/>
  <c r="J1162" i="1"/>
  <c r="J1163" i="1"/>
  <c r="J3758" i="1"/>
  <c r="J3759" i="1"/>
  <c r="J3760" i="1"/>
  <c r="J3761" i="1"/>
  <c r="J3762" i="1"/>
  <c r="J3763" i="1"/>
  <c r="J1164" i="1"/>
  <c r="J1165" i="1"/>
  <c r="J3764" i="1"/>
  <c r="J3765" i="1"/>
  <c r="J1166" i="1"/>
  <c r="J3766" i="1"/>
  <c r="J3767" i="1"/>
  <c r="J1167" i="1"/>
  <c r="J3768" i="1"/>
  <c r="J1168" i="1"/>
  <c r="J1169" i="1"/>
  <c r="J1170" i="1"/>
  <c r="J3769" i="1"/>
  <c r="J1171" i="1"/>
  <c r="J3770" i="1"/>
  <c r="J3771" i="1"/>
  <c r="J3772" i="1"/>
  <c r="J1172" i="1"/>
  <c r="J3773" i="1"/>
  <c r="J3774" i="1"/>
  <c r="J3775" i="1"/>
  <c r="J3776" i="1"/>
  <c r="J3777" i="1"/>
  <c r="J3778" i="1"/>
  <c r="J1173" i="1"/>
  <c r="J3779" i="1"/>
  <c r="J3780" i="1"/>
  <c r="J3781" i="1"/>
  <c r="J3782" i="1"/>
  <c r="J3783" i="1"/>
  <c r="J3784" i="1"/>
  <c r="J1174" i="1"/>
  <c r="J3785" i="1"/>
  <c r="J1175" i="1"/>
  <c r="J1176" i="1"/>
  <c r="J3786" i="1"/>
  <c r="J1177" i="1"/>
  <c r="J3787" i="1"/>
  <c r="J3788" i="1"/>
  <c r="J3789" i="1"/>
  <c r="J3790" i="1"/>
  <c r="J3791" i="1"/>
  <c r="J3792" i="1"/>
  <c r="J3793" i="1"/>
  <c r="J1178" i="1"/>
  <c r="J3794" i="1"/>
  <c r="J1179" i="1"/>
  <c r="J3795" i="1"/>
  <c r="J3796" i="1"/>
  <c r="J3797" i="1"/>
  <c r="J1180" i="1"/>
  <c r="J3798" i="1"/>
  <c r="J3799" i="1"/>
  <c r="J3800" i="1"/>
  <c r="J1181" i="1"/>
  <c r="J1182" i="1"/>
  <c r="J3801" i="1"/>
  <c r="J1183" i="1"/>
  <c r="J3802" i="1"/>
  <c r="J3803" i="1"/>
  <c r="J1184" i="1"/>
  <c r="J1185" i="1"/>
  <c r="J3804" i="1"/>
  <c r="J3805" i="1"/>
  <c r="J1186" i="1"/>
  <c r="J3806" i="1"/>
  <c r="J1187" i="1"/>
  <c r="J1188" i="1"/>
  <c r="J1189" i="1"/>
  <c r="J1190" i="1"/>
  <c r="J3807" i="1"/>
  <c r="J1191" i="1"/>
  <c r="J1192" i="1"/>
  <c r="J3808" i="1"/>
  <c r="J1193" i="1"/>
  <c r="J1194" i="1"/>
  <c r="J1195" i="1"/>
  <c r="J1196" i="1"/>
  <c r="J3809" i="1"/>
  <c r="J3810" i="1"/>
  <c r="J1197" i="1"/>
  <c r="J1198" i="1"/>
  <c r="J3811" i="1"/>
  <c r="J3812" i="1"/>
  <c r="J1199" i="1"/>
  <c r="J3813" i="1"/>
  <c r="J3814" i="1"/>
  <c r="J3815" i="1"/>
  <c r="J3816" i="1"/>
  <c r="J1200" i="1"/>
  <c r="J3817" i="1"/>
  <c r="J3818" i="1"/>
  <c r="J1201" i="1"/>
  <c r="J1202" i="1"/>
  <c r="J3819" i="1"/>
  <c r="J3820" i="1"/>
  <c r="J3821" i="1"/>
  <c r="J1203" i="1"/>
  <c r="J3822" i="1"/>
  <c r="J3823" i="1"/>
  <c r="J3824" i="1"/>
  <c r="J4567" i="1"/>
  <c r="J4568" i="1"/>
  <c r="J1626" i="1"/>
  <c r="J1627" i="1"/>
  <c r="J4569" i="1"/>
  <c r="J1628" i="1"/>
  <c r="J1629" i="1"/>
  <c r="J1630" i="1"/>
  <c r="J4570" i="1"/>
  <c r="J1631" i="1"/>
  <c r="J4571" i="1"/>
  <c r="J1632" i="1"/>
  <c r="J1633" i="1"/>
  <c r="J4572" i="1"/>
  <c r="J1634" i="1"/>
  <c r="J4573" i="1"/>
  <c r="J4574" i="1"/>
  <c r="J4575" i="1"/>
  <c r="J4576" i="1"/>
  <c r="J1635" i="1"/>
  <c r="J4577" i="1"/>
  <c r="J1636" i="1"/>
  <c r="J4578" i="1"/>
  <c r="J1637" i="1"/>
  <c r="J4579" i="1"/>
  <c r="J4580" i="1"/>
  <c r="J1638" i="1"/>
  <c r="J4581" i="1"/>
  <c r="J4582" i="1"/>
  <c r="J4583" i="1"/>
  <c r="J4584" i="1"/>
  <c r="J1639" i="1"/>
  <c r="J4585" i="1"/>
  <c r="J1640" i="1"/>
  <c r="J4586" i="1"/>
  <c r="J1641" i="1"/>
  <c r="J1642" i="1"/>
  <c r="J4587" i="1"/>
  <c r="J4588" i="1"/>
  <c r="J1643" i="1"/>
  <c r="J1644" i="1"/>
  <c r="J1645" i="1"/>
  <c r="J4589" i="1"/>
  <c r="J4590" i="1"/>
  <c r="J4591" i="1"/>
  <c r="J4592" i="1"/>
  <c r="J1646" i="1"/>
  <c r="J4593" i="1"/>
  <c r="J4594" i="1"/>
  <c r="J1647" i="1"/>
  <c r="J1648" i="1"/>
  <c r="J4595" i="1"/>
  <c r="J1649" i="1"/>
  <c r="J1650" i="1"/>
  <c r="J4596" i="1"/>
  <c r="J4597" i="1"/>
  <c r="J1651" i="1"/>
  <c r="J1652" i="1"/>
  <c r="J4598" i="1"/>
  <c r="J4599" i="1"/>
  <c r="J4600" i="1"/>
  <c r="J4601" i="1"/>
  <c r="J4602" i="1"/>
  <c r="J4603" i="1"/>
  <c r="J1653" i="1"/>
  <c r="J4604" i="1"/>
  <c r="J4605" i="1"/>
  <c r="J4606" i="1"/>
  <c r="J4607" i="1"/>
  <c r="J1654" i="1"/>
  <c r="J1655" i="1"/>
  <c r="J1656" i="1"/>
  <c r="J4608" i="1"/>
  <c r="J1657" i="1"/>
  <c r="J1658" i="1"/>
  <c r="J1659" i="1"/>
  <c r="J1660" i="1"/>
  <c r="J1661" i="1"/>
  <c r="J4609" i="1"/>
  <c r="J4610" i="1"/>
  <c r="J4611" i="1"/>
  <c r="J4612" i="1"/>
  <c r="J1662" i="1"/>
  <c r="J4613" i="1"/>
  <c r="J1663" i="1"/>
  <c r="J1664" i="1"/>
  <c r="J4614" i="1"/>
  <c r="J4615" i="1"/>
  <c r="J4616" i="1"/>
  <c r="J4617" i="1"/>
  <c r="J4618" i="1"/>
  <c r="J4619" i="1"/>
  <c r="J1665" i="1"/>
  <c r="J4620" i="1"/>
  <c r="J1666" i="1"/>
  <c r="J4621" i="1"/>
  <c r="J4622" i="1"/>
  <c r="J4623" i="1"/>
  <c r="J4624" i="1"/>
  <c r="J4625" i="1"/>
  <c r="J1667" i="1"/>
  <c r="J4626" i="1"/>
  <c r="J1668" i="1"/>
  <c r="J4627" i="1"/>
  <c r="J4628" i="1"/>
  <c r="J1669" i="1"/>
  <c r="J4629" i="1"/>
  <c r="J4630" i="1"/>
  <c r="J1670" i="1"/>
  <c r="J1671" i="1"/>
  <c r="J4631" i="1"/>
  <c r="J4632" i="1"/>
  <c r="J4633" i="1"/>
  <c r="J4634" i="1"/>
  <c r="J4635" i="1"/>
  <c r="J4636" i="1"/>
  <c r="J4637" i="1"/>
  <c r="J1672" i="1"/>
  <c r="J4638" i="1"/>
  <c r="J4639" i="1"/>
  <c r="J4640" i="1"/>
  <c r="J4641" i="1"/>
  <c r="J4642" i="1"/>
  <c r="J4643" i="1"/>
  <c r="J4644" i="1"/>
  <c r="J1673" i="1"/>
  <c r="J1674" i="1"/>
  <c r="J1675" i="1"/>
  <c r="J1676" i="1"/>
  <c r="J4645" i="1"/>
  <c r="J4646" i="1"/>
  <c r="J1677" i="1"/>
  <c r="J4647" i="1"/>
  <c r="J4648" i="1"/>
  <c r="J1678" i="1"/>
  <c r="J4649" i="1"/>
  <c r="J4650" i="1"/>
  <c r="J4651" i="1"/>
  <c r="J1679" i="1"/>
  <c r="J1680" i="1"/>
  <c r="J4652" i="1"/>
  <c r="J4653" i="1"/>
  <c r="J4654" i="1"/>
  <c r="J4655" i="1"/>
  <c r="J4656" i="1"/>
  <c r="J1681" i="1"/>
  <c r="J1682" i="1"/>
  <c r="J4657" i="1"/>
  <c r="J4658" i="1"/>
  <c r="J1683" i="1"/>
  <c r="J4659" i="1"/>
  <c r="J4660" i="1"/>
  <c r="J4661" i="1"/>
  <c r="J4662" i="1"/>
  <c r="J4663" i="1"/>
  <c r="J1684" i="1"/>
  <c r="J1685" i="1"/>
  <c r="J4664" i="1"/>
  <c r="J4665" i="1"/>
  <c r="J4666" i="1"/>
  <c r="J4667" i="1"/>
  <c r="J4668" i="1"/>
  <c r="J1686" i="1"/>
  <c r="J4669" i="1"/>
  <c r="J1687" i="1"/>
  <c r="J4670" i="1"/>
  <c r="J1688" i="1"/>
  <c r="J4671" i="1"/>
  <c r="J4672" i="1"/>
  <c r="J4673" i="1"/>
  <c r="J1689" i="1"/>
  <c r="J1690" i="1"/>
  <c r="J4674" i="1"/>
  <c r="J1691" i="1"/>
  <c r="J4675" i="1"/>
  <c r="J4676" i="1"/>
  <c r="J4677" i="1"/>
  <c r="J4678" i="1"/>
  <c r="J1692" i="1"/>
  <c r="J4679" i="1"/>
  <c r="J1693" i="1"/>
  <c r="J1694" i="1"/>
  <c r="J1695" i="1"/>
  <c r="J1696" i="1"/>
  <c r="J4680" i="1"/>
  <c r="J4681" i="1"/>
  <c r="J4682" i="1"/>
  <c r="J1697" i="1"/>
  <c r="J4683" i="1"/>
  <c r="J4684" i="1"/>
  <c r="J4685" i="1"/>
  <c r="J1698" i="1"/>
  <c r="J4686" i="1"/>
  <c r="J4687" i="1"/>
  <c r="J4688" i="1"/>
  <c r="J1699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1700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1701" i="1"/>
  <c r="J4716" i="1"/>
  <c r="J4717" i="1"/>
  <c r="J1702" i="1"/>
  <c r="J4718" i="1"/>
  <c r="J1703" i="1"/>
  <c r="J4719" i="1"/>
  <c r="J1704" i="1"/>
  <c r="J4720" i="1"/>
  <c r="J1705" i="1"/>
  <c r="J4721" i="1"/>
  <c r="J4722" i="1"/>
  <c r="J4723" i="1"/>
  <c r="J4724" i="1"/>
  <c r="J4725" i="1"/>
  <c r="J1706" i="1"/>
  <c r="J4726" i="1"/>
  <c r="J4727" i="1"/>
  <c r="J4728" i="1"/>
  <c r="J1707" i="1"/>
  <c r="J4729" i="1"/>
  <c r="J4730" i="1"/>
  <c r="J1708" i="1"/>
  <c r="J4731" i="1"/>
  <c r="J4732" i="1"/>
  <c r="J4733" i="1"/>
  <c r="J4734" i="1"/>
  <c r="J4735" i="1"/>
  <c r="J4736" i="1"/>
  <c r="J4737" i="1"/>
  <c r="J4738" i="1"/>
  <c r="J4739" i="1"/>
  <c r="J1709" i="1"/>
  <c r="J4740" i="1"/>
  <c r="J1710" i="1"/>
  <c r="J4741" i="1"/>
  <c r="J4742" i="1"/>
  <c r="J4743" i="1"/>
  <c r="J4744" i="1"/>
  <c r="J1711" i="1"/>
  <c r="J1712" i="1"/>
  <c r="J4745" i="1"/>
  <c r="J1713" i="1"/>
  <c r="J4746" i="1"/>
  <c r="J4747" i="1"/>
  <c r="J4748" i="1"/>
  <c r="J1714" i="1"/>
  <c r="J1715" i="1"/>
  <c r="J1716" i="1"/>
  <c r="J4749" i="1"/>
  <c r="J1717" i="1"/>
  <c r="J1718" i="1"/>
  <c r="J1719" i="1"/>
  <c r="J4750" i="1"/>
  <c r="J4751" i="1"/>
  <c r="J4752" i="1"/>
  <c r="J1720" i="1"/>
  <c r="J4753" i="1"/>
  <c r="J1721" i="1"/>
  <c r="J4754" i="1"/>
  <c r="J1722" i="1"/>
  <c r="J4755" i="1"/>
  <c r="J1723" i="1"/>
  <c r="J4756" i="1"/>
  <c r="J4757" i="1"/>
  <c r="J4758" i="1"/>
  <c r="J1724" i="1"/>
  <c r="J1725" i="1"/>
  <c r="J4759" i="1"/>
  <c r="J1726" i="1"/>
  <c r="J4760" i="1"/>
  <c r="J4761" i="1"/>
  <c r="J4762" i="1"/>
  <c r="J4763" i="1"/>
  <c r="J4764" i="1"/>
  <c r="J1727" i="1"/>
  <c r="J4765" i="1"/>
  <c r="J1728" i="1"/>
  <c r="J1729" i="1"/>
  <c r="J4766" i="1"/>
  <c r="J1730" i="1"/>
  <c r="J4767" i="1"/>
  <c r="J4768" i="1"/>
  <c r="J1731" i="1"/>
  <c r="J4769" i="1"/>
  <c r="J4770" i="1"/>
  <c r="J4771" i="1"/>
  <c r="J4772" i="1"/>
  <c r="J4773" i="1"/>
  <c r="J4774" i="1"/>
  <c r="J4775" i="1"/>
  <c r="J4776" i="1"/>
  <c r="J1732" i="1"/>
  <c r="J4777" i="1"/>
  <c r="J4778" i="1"/>
  <c r="J1733" i="1"/>
  <c r="J4779" i="1"/>
  <c r="J4780" i="1"/>
  <c r="J4781" i="1"/>
  <c r="J4782" i="1"/>
  <c r="J4783" i="1"/>
  <c r="J1734" i="1"/>
  <c r="J4784" i="1"/>
  <c r="J1735" i="1"/>
  <c r="J4785" i="1"/>
  <c r="J4786" i="1"/>
  <c r="J4787" i="1"/>
  <c r="J1736" i="1"/>
  <c r="J4788" i="1"/>
  <c r="J4789" i="1"/>
  <c r="J4790" i="1"/>
  <c r="J4791" i="1"/>
  <c r="J1737" i="1"/>
  <c r="J4792" i="1"/>
  <c r="J4793" i="1"/>
  <c r="J1738" i="1"/>
  <c r="J4794" i="1"/>
  <c r="J1739" i="1"/>
  <c r="J1740" i="1"/>
  <c r="J4795" i="1"/>
  <c r="J4796" i="1"/>
  <c r="J4797" i="1"/>
  <c r="J4798" i="1"/>
  <c r="J4799" i="1"/>
  <c r="J1741" i="1"/>
  <c r="J4800" i="1"/>
  <c r="J4801" i="1"/>
  <c r="J1742" i="1"/>
  <c r="J1743" i="1"/>
  <c r="J1744" i="1"/>
  <c r="J1745" i="1"/>
  <c r="J4802" i="1"/>
  <c r="J4803" i="1"/>
  <c r="J4804" i="1"/>
  <c r="J4805" i="1"/>
  <c r="J4806" i="1"/>
  <c r="J1746" i="1"/>
  <c r="J1747" i="1"/>
  <c r="J1748" i="1"/>
  <c r="J1749" i="1"/>
  <c r="J4807" i="1"/>
  <c r="J4808" i="1"/>
  <c r="J4809" i="1"/>
  <c r="J4810" i="1"/>
  <c r="J4811" i="1"/>
  <c r="J1750" i="1"/>
  <c r="J1751" i="1"/>
  <c r="J4812" i="1"/>
  <c r="J4813" i="1"/>
  <c r="J1752" i="1"/>
  <c r="J1753" i="1"/>
  <c r="J4814" i="1"/>
  <c r="J4815" i="1"/>
  <c r="J1754" i="1"/>
  <c r="J4816" i="1"/>
  <c r="J4817" i="1"/>
  <c r="J4818" i="1"/>
  <c r="J4819" i="1"/>
  <c r="J4820" i="1"/>
  <c r="J4821" i="1"/>
  <c r="J4822" i="1"/>
  <c r="J1755" i="1"/>
  <c r="J1756" i="1"/>
  <c r="J1757" i="1"/>
  <c r="J1758" i="1"/>
  <c r="J4823" i="1"/>
  <c r="J1759" i="1"/>
  <c r="J4824" i="1"/>
  <c r="J4825" i="1"/>
  <c r="J1760" i="1"/>
  <c r="J1761" i="1"/>
  <c r="J1762" i="1"/>
  <c r="J4826" i="1"/>
  <c r="J4827" i="1"/>
  <c r="J1763" i="1"/>
  <c r="J1764" i="1"/>
  <c r="J4828" i="1"/>
  <c r="J4829" i="1"/>
  <c r="J4830" i="1"/>
  <c r="J1765" i="1"/>
  <c r="J1766" i="1"/>
  <c r="J4831" i="1"/>
  <c r="J1767" i="1"/>
  <c r="J1768" i="1"/>
  <c r="J4832" i="1"/>
  <c r="J1769" i="1"/>
  <c r="J4833" i="1"/>
  <c r="J1770" i="1"/>
  <c r="J1771" i="1"/>
  <c r="J4834" i="1"/>
  <c r="J1772" i="1"/>
  <c r="J1773" i="1"/>
  <c r="J4835" i="1"/>
  <c r="J4836" i="1"/>
  <c r="J4837" i="1"/>
  <c r="J1774" i="1"/>
  <c r="J4838" i="1"/>
  <c r="J4839" i="1"/>
  <c r="J4840" i="1"/>
  <c r="J4841" i="1"/>
  <c r="J1775" i="1"/>
  <c r="J4842" i="1"/>
  <c r="J4843" i="1"/>
  <c r="J4844" i="1"/>
  <c r="J4845" i="1"/>
  <c r="J4846" i="1"/>
  <c r="J4847" i="1"/>
  <c r="J4848" i="1"/>
  <c r="J4849" i="1"/>
  <c r="J1776" i="1"/>
  <c r="J4850" i="1"/>
  <c r="J4851" i="1"/>
  <c r="J4852" i="1"/>
  <c r="J4853" i="1"/>
  <c r="J4854" i="1"/>
  <c r="J4855" i="1"/>
  <c r="J1777" i="1"/>
  <c r="J1778" i="1"/>
  <c r="J1779" i="1"/>
  <c r="J1780" i="1"/>
  <c r="J1781" i="1"/>
  <c r="J4856" i="1"/>
  <c r="J4857" i="1"/>
  <c r="J4858" i="1"/>
  <c r="J4859" i="1"/>
  <c r="J4860" i="1"/>
  <c r="J1782" i="1"/>
  <c r="J4861" i="1"/>
  <c r="J4862" i="1"/>
  <c r="J4863" i="1"/>
  <c r="J1783" i="1"/>
  <c r="J4864" i="1"/>
  <c r="J178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1785" i="1"/>
  <c r="J4878" i="1"/>
  <c r="J4879" i="1"/>
  <c r="J4880" i="1"/>
  <c r="J1786" i="1"/>
  <c r="J4881" i="1"/>
  <c r="J4882" i="1"/>
  <c r="J1787" i="1"/>
  <c r="J1788" i="1"/>
  <c r="J1789" i="1"/>
  <c r="J4883" i="1"/>
  <c r="J4884" i="1"/>
  <c r="J4885" i="1"/>
  <c r="J1790" i="1"/>
  <c r="J4886" i="1"/>
  <c r="J1791" i="1"/>
  <c r="J4887" i="1"/>
  <c r="J4888" i="1"/>
  <c r="J1792" i="1"/>
  <c r="J4889" i="1"/>
  <c r="J1793" i="1"/>
  <c r="J4890" i="1"/>
  <c r="J1794" i="1"/>
  <c r="J1795" i="1"/>
  <c r="J4891" i="1"/>
  <c r="J4892" i="1"/>
  <c r="J4893" i="1"/>
  <c r="J4894" i="1"/>
  <c r="J1796" i="1"/>
  <c r="J1797" i="1"/>
  <c r="J1798" i="1"/>
  <c r="J1799" i="1"/>
  <c r="J4895" i="1"/>
  <c r="J4896" i="1"/>
  <c r="J1800" i="1"/>
  <c r="J4897" i="1"/>
  <c r="J1801" i="1"/>
  <c r="J4898" i="1"/>
  <c r="J4899" i="1"/>
  <c r="J4900" i="1"/>
  <c r="J4901" i="1"/>
  <c r="J4902" i="1"/>
  <c r="J1802" i="1"/>
  <c r="J4903" i="1"/>
  <c r="J4904" i="1"/>
  <c r="J1803" i="1"/>
  <c r="J4905" i="1"/>
  <c r="J1804" i="1"/>
  <c r="J4906" i="1"/>
  <c r="J1805" i="1"/>
  <c r="J1806" i="1"/>
  <c r="J4907" i="1"/>
  <c r="J1807" i="1"/>
  <c r="J4908" i="1"/>
  <c r="J1808" i="1"/>
  <c r="J4909" i="1"/>
  <c r="J4910" i="1"/>
  <c r="J4911" i="1"/>
  <c r="J4912" i="1"/>
  <c r="J4913" i="1"/>
  <c r="J4914" i="1"/>
  <c r="J4915" i="1"/>
  <c r="J4916" i="1"/>
  <c r="J4917" i="1"/>
  <c r="J4918" i="1"/>
  <c r="J1809" i="1"/>
  <c r="J4919" i="1"/>
  <c r="J4920" i="1"/>
  <c r="J4921" i="1"/>
  <c r="J4922" i="1"/>
  <c r="J4923" i="1"/>
  <c r="J1810" i="1"/>
  <c r="J4924" i="1"/>
  <c r="J4925" i="1"/>
  <c r="J4926" i="1"/>
  <c r="J4927" i="1"/>
  <c r="J1811" i="1"/>
  <c r="J1812" i="1"/>
  <c r="J1813" i="1"/>
  <c r="J4928" i="1"/>
  <c r="J1814" i="1"/>
  <c r="J1815" i="1"/>
  <c r="J4929" i="1"/>
  <c r="J1816" i="1"/>
  <c r="J4930" i="1"/>
  <c r="J1817" i="1"/>
  <c r="J4931" i="1"/>
  <c r="J1818" i="1"/>
  <c r="J4932" i="1"/>
  <c r="J4933" i="1"/>
  <c r="J4934" i="1"/>
  <c r="J1819" i="1"/>
  <c r="J4935" i="1"/>
  <c r="J1820" i="1"/>
  <c r="J4936" i="1"/>
  <c r="J4937" i="1"/>
  <c r="J4938" i="1"/>
  <c r="J4939" i="1"/>
  <c r="J4940" i="1"/>
  <c r="J4941" i="1"/>
  <c r="J1821" i="1"/>
  <c r="J1822" i="1"/>
  <c r="J4942" i="1"/>
  <c r="J4943" i="1"/>
  <c r="J1823" i="1"/>
  <c r="J1824" i="1"/>
  <c r="J4944" i="1"/>
  <c r="J4945" i="1"/>
  <c r="J4946" i="1"/>
  <c r="J4947" i="1"/>
  <c r="J4948" i="1"/>
  <c r="J1825" i="1"/>
  <c r="J4949" i="1"/>
  <c r="J1826" i="1"/>
  <c r="J1827" i="1"/>
  <c r="J4950" i="1"/>
  <c r="J4951" i="1"/>
  <c r="J1828" i="1"/>
  <c r="J4952" i="1"/>
  <c r="J4953" i="1"/>
  <c r="J4954" i="1"/>
  <c r="J4955" i="1"/>
  <c r="J1829" i="1"/>
  <c r="J4956" i="1"/>
  <c r="J4957" i="1"/>
  <c r="J4958" i="1"/>
  <c r="J1830" i="1"/>
  <c r="J4959" i="1"/>
  <c r="J4960" i="1"/>
  <c r="J1831" i="1"/>
  <c r="J4961" i="1"/>
  <c r="J1832" i="1"/>
  <c r="J4962" i="1"/>
  <c r="J4963" i="1"/>
  <c r="J4964" i="1"/>
  <c r="J4965" i="1"/>
  <c r="J1833" i="1"/>
  <c r="J4966" i="1"/>
  <c r="J1834" i="1"/>
  <c r="J1835" i="1"/>
  <c r="J4967" i="1"/>
  <c r="J1836" i="1"/>
  <c r="J4968" i="1"/>
  <c r="J4969" i="1"/>
  <c r="J4970" i="1"/>
  <c r="J4971" i="1"/>
  <c r="J4972" i="1"/>
  <c r="J4973" i="1"/>
  <c r="J4974" i="1"/>
  <c r="J4975" i="1"/>
  <c r="J4976" i="1"/>
  <c r="J4977" i="1"/>
  <c r="J1837" i="1"/>
  <c r="J4978" i="1"/>
  <c r="J1838" i="1"/>
  <c r="J4979" i="1"/>
  <c r="J1839" i="1"/>
  <c r="J1840" i="1"/>
  <c r="J4980" i="1"/>
  <c r="J1841" i="1"/>
  <c r="J1842" i="1"/>
  <c r="J4981" i="1"/>
  <c r="J4982" i="1"/>
  <c r="J4983" i="1"/>
  <c r="J1843" i="1"/>
  <c r="J4984" i="1"/>
  <c r="J1844" i="1"/>
  <c r="J1845" i="1"/>
  <c r="J1846" i="1"/>
  <c r="J1847" i="1"/>
  <c r="J1848" i="1"/>
  <c r="J4985" i="1"/>
  <c r="J4986" i="1"/>
  <c r="J1849" i="1"/>
  <c r="J1850" i="1"/>
  <c r="J1851" i="1"/>
  <c r="J4987" i="1"/>
  <c r="J4988" i="1"/>
  <c r="J4989" i="1"/>
  <c r="J1852" i="1"/>
  <c r="J4990" i="1"/>
  <c r="J1853" i="1"/>
  <c r="J4991" i="1"/>
  <c r="J4992" i="1"/>
  <c r="J1854" i="1"/>
  <c r="J1855" i="1"/>
  <c r="J4993" i="1"/>
  <c r="J4994" i="1"/>
  <c r="J4995" i="1"/>
  <c r="J4996" i="1"/>
  <c r="J1856" i="1"/>
  <c r="J4997" i="1"/>
  <c r="J4998" i="1"/>
  <c r="J1857" i="1"/>
  <c r="J4999" i="1"/>
  <c r="J5000" i="1"/>
  <c r="J5001" i="1"/>
  <c r="M65" i="1"/>
  <c r="M1204" i="1"/>
  <c r="M3561" i="1"/>
  <c r="M3825" i="1"/>
  <c r="M3372" i="1"/>
  <c r="M3826" i="1"/>
  <c r="M1176" i="1"/>
  <c r="M2669" i="1"/>
  <c r="M2695" i="1"/>
  <c r="M2" i="1"/>
  <c r="M480" i="1"/>
  <c r="M1698" i="1"/>
  <c r="M3525" i="1"/>
  <c r="M3827" i="1"/>
  <c r="M3743" i="1"/>
  <c r="M3828" i="1"/>
  <c r="M481" i="1"/>
  <c r="M2074" i="1"/>
  <c r="M3829" i="1"/>
  <c r="M4719" i="1"/>
  <c r="M3830" i="1"/>
  <c r="M3744" i="1"/>
  <c r="M3030" i="1"/>
  <c r="M3031" i="1"/>
  <c r="M3831" i="1"/>
  <c r="M1205" i="1"/>
  <c r="M1206" i="1"/>
  <c r="M2670" i="1"/>
  <c r="M4662" i="1"/>
  <c r="M1654" i="1"/>
  <c r="M1207" i="1"/>
  <c r="M2232" i="1"/>
  <c r="M3832" i="1"/>
  <c r="M2696" i="1"/>
  <c r="M3388" i="1"/>
  <c r="M3524" i="1"/>
  <c r="M2697" i="1"/>
  <c r="M3833" i="1"/>
  <c r="M399" i="1"/>
  <c r="M1208" i="1"/>
  <c r="M1092" i="1"/>
  <c r="M4718" i="1"/>
  <c r="M3389" i="1"/>
  <c r="M1863" i="1"/>
  <c r="M3834" i="1"/>
  <c r="M919" i="1"/>
  <c r="M234" i="1"/>
  <c r="M3430" i="1"/>
  <c r="M2698" i="1"/>
  <c r="M3526" i="1"/>
  <c r="M3835" i="1"/>
  <c r="M2459" i="1"/>
  <c r="M1986" i="1"/>
  <c r="M3821" i="1"/>
  <c r="M428" i="1"/>
  <c r="M1881" i="1"/>
  <c r="M1703" i="1"/>
  <c r="M4822" i="1"/>
  <c r="M3032" i="1"/>
  <c r="M482" i="1"/>
  <c r="M2344" i="1"/>
  <c r="M2439" i="1"/>
  <c r="M1209" i="1"/>
  <c r="M2108" i="1"/>
  <c r="M920" i="1"/>
  <c r="M169" i="1"/>
  <c r="M3439" i="1"/>
  <c r="M3467" i="1"/>
  <c r="M483" i="1"/>
  <c r="M678" i="1"/>
  <c r="M3836" i="1"/>
  <c r="M679" i="1"/>
  <c r="M6" i="1"/>
  <c r="M1117" i="1"/>
  <c r="M3033" i="1"/>
  <c r="M429" i="1"/>
  <c r="M2563" i="1"/>
  <c r="M2699" i="1"/>
  <c r="M2220" i="1"/>
  <c r="M484" i="1"/>
  <c r="M1048" i="1"/>
  <c r="M3837" i="1"/>
  <c r="M71" i="1"/>
  <c r="M349" i="1"/>
  <c r="M3350" i="1"/>
  <c r="M3838" i="1"/>
  <c r="M1124" i="1"/>
  <c r="M3839" i="1"/>
  <c r="M1814" i="1"/>
  <c r="M3840" i="1"/>
  <c r="M2700" i="1"/>
  <c r="M1210" i="1"/>
  <c r="M2701" i="1"/>
  <c r="M3468" i="1"/>
  <c r="M3745" i="1"/>
  <c r="M4797" i="1"/>
  <c r="M2226" i="1"/>
  <c r="M4607" i="1"/>
  <c r="M884" i="1"/>
  <c r="M3841" i="1"/>
  <c r="M3842" i="1"/>
  <c r="M2702" i="1"/>
  <c r="M680" i="1"/>
  <c r="M2276" i="1"/>
  <c r="M937" i="1"/>
  <c r="M3034" i="1"/>
  <c r="M2315" i="1"/>
  <c r="M1973" i="1"/>
  <c r="M681" i="1"/>
  <c r="M918" i="1"/>
  <c r="M3843" i="1"/>
  <c r="M134" i="1"/>
  <c r="M3035" i="1"/>
  <c r="M3373" i="1"/>
  <c r="M4720" i="1"/>
  <c r="M3844" i="1"/>
  <c r="M1704" i="1"/>
  <c r="M3845" i="1"/>
  <c r="M200" i="1"/>
  <c r="M4663" i="1"/>
  <c r="M2703" i="1"/>
  <c r="M2704" i="1"/>
  <c r="M1211" i="1"/>
  <c r="M315" i="1"/>
  <c r="M135" i="1"/>
  <c r="M3846" i="1"/>
  <c r="M2061" i="1"/>
  <c r="M3847" i="1"/>
  <c r="M464" i="1"/>
  <c r="M1212" i="1"/>
  <c r="M1213" i="1"/>
  <c r="M3848" i="1"/>
  <c r="M1214" i="1"/>
  <c r="M3606" i="1"/>
  <c r="M1215" i="1"/>
  <c r="M3036" i="1"/>
  <c r="M3849" i="1"/>
  <c r="M1756" i="1"/>
  <c r="M1196" i="1"/>
  <c r="M462" i="1"/>
  <c r="M2705" i="1"/>
  <c r="M2162" i="1"/>
  <c r="M485" i="1"/>
  <c r="M682" i="1"/>
  <c r="M1203" i="1"/>
  <c r="M232" i="1"/>
  <c r="M3733" i="1"/>
  <c r="M3850" i="1"/>
  <c r="M1216" i="1"/>
  <c r="M2069" i="1"/>
  <c r="M3037" i="1"/>
  <c r="M4650" i="1"/>
  <c r="M4796" i="1"/>
  <c r="M486" i="1"/>
  <c r="M3851" i="1"/>
  <c r="M2356" i="1"/>
  <c r="M3852" i="1"/>
  <c r="M3853" i="1"/>
  <c r="M1720" i="1"/>
  <c r="M400" i="1"/>
  <c r="M3854" i="1"/>
  <c r="M3038" i="1"/>
  <c r="M683" i="1"/>
  <c r="M4954" i="1"/>
  <c r="M2118" i="1"/>
  <c r="M3855" i="1"/>
  <c r="M3822" i="1"/>
  <c r="M3390" i="1"/>
  <c r="M487" i="1"/>
  <c r="M3351" i="1"/>
  <c r="M3856" i="1"/>
  <c r="M3857" i="1"/>
  <c r="M2608" i="1"/>
  <c r="M3495" i="1"/>
  <c r="M3786" i="1"/>
  <c r="M3858" i="1"/>
  <c r="M2609" i="1"/>
  <c r="M3859" i="1"/>
  <c r="M2672" i="1"/>
  <c r="M684" i="1"/>
  <c r="M2706" i="1"/>
  <c r="M488" i="1"/>
  <c r="M3717" i="1"/>
  <c r="M3608" i="1"/>
  <c r="M4798" i="1"/>
  <c r="M3724" i="1"/>
  <c r="M2671" i="1"/>
  <c r="M2707" i="1"/>
  <c r="M4799" i="1"/>
  <c r="M2241" i="1"/>
  <c r="M1217" i="1"/>
  <c r="M685" i="1"/>
  <c r="M1218" i="1"/>
  <c r="M686" i="1"/>
  <c r="M3039" i="1"/>
  <c r="M1219" i="1"/>
  <c r="M489" i="1"/>
  <c r="M1221" i="1"/>
  <c r="M1220" i="1"/>
  <c r="M2708" i="1"/>
  <c r="M490" i="1"/>
  <c r="M4955" i="1"/>
  <c r="M3860" i="1"/>
  <c r="M4873" i="1"/>
  <c r="M1033" i="1"/>
  <c r="M946" i="1"/>
  <c r="M3861" i="1"/>
  <c r="M949" i="1"/>
  <c r="M2302" i="1"/>
  <c r="M3527" i="1"/>
  <c r="M166" i="1"/>
  <c r="M401" i="1"/>
  <c r="M402" i="1"/>
  <c r="M2110" i="1"/>
  <c r="M4686" i="1"/>
  <c r="M3862" i="1"/>
  <c r="M4721" i="1"/>
  <c r="M1222" i="1"/>
  <c r="M1223" i="1"/>
  <c r="M947" i="1"/>
  <c r="M2146" i="1"/>
  <c r="M4635" i="1"/>
  <c r="M430" i="1"/>
  <c r="M3863" i="1"/>
  <c r="M1802" i="1"/>
  <c r="M2709" i="1"/>
  <c r="M32" i="1"/>
  <c r="M1224" i="1"/>
  <c r="M3864" i="1"/>
  <c r="M1225" i="1"/>
  <c r="M114" i="1"/>
  <c r="M1705" i="1"/>
  <c r="M2710" i="1"/>
  <c r="M3865" i="1"/>
  <c r="M4636" i="1"/>
  <c r="M50" i="1"/>
  <c r="M1226" i="1"/>
  <c r="M921" i="1"/>
  <c r="M2451" i="1"/>
  <c r="M3866" i="1"/>
  <c r="M3867" i="1"/>
  <c r="M3868" i="1"/>
  <c r="M3441" i="1"/>
  <c r="M2711" i="1"/>
  <c r="M687" i="1"/>
  <c r="M3869" i="1"/>
  <c r="M3870" i="1"/>
  <c r="M164" i="1"/>
  <c r="M3040" i="1"/>
  <c r="M2712" i="1"/>
  <c r="M2509" i="1"/>
  <c r="M688" i="1"/>
  <c r="M1227" i="1"/>
  <c r="M4665" i="1"/>
  <c r="M2713" i="1"/>
  <c r="M2440" i="1"/>
  <c r="M3648" i="1"/>
  <c r="M463" i="1"/>
  <c r="M1755" i="1"/>
  <c r="M4722" i="1"/>
  <c r="M1228" i="1"/>
  <c r="M3871" i="1"/>
  <c r="M1684" i="1"/>
  <c r="M2714" i="1"/>
  <c r="M4801" i="1"/>
  <c r="M3872" i="1"/>
  <c r="M2507" i="1"/>
  <c r="M3873" i="1"/>
  <c r="M2674" i="1"/>
  <c r="M3874" i="1"/>
  <c r="M2673" i="1"/>
  <c r="M1656" i="1"/>
  <c r="M3626" i="1"/>
  <c r="M1190" i="1"/>
  <c r="M3041" i="1"/>
  <c r="M2565" i="1"/>
  <c r="M2612" i="1"/>
  <c r="M491" i="1"/>
  <c r="M3875" i="1"/>
  <c r="M492" i="1"/>
  <c r="M227" i="1"/>
  <c r="M966" i="1"/>
  <c r="M379" i="1"/>
  <c r="M1077" i="1"/>
  <c r="M159" i="1"/>
  <c r="M3876" i="1"/>
  <c r="M1148" i="1"/>
  <c r="M2564" i="1"/>
  <c r="M1655" i="1"/>
  <c r="M2420" i="1"/>
  <c r="M689" i="1"/>
  <c r="M2009" i="1"/>
  <c r="M3042" i="1"/>
  <c r="M2124" i="1"/>
  <c r="M493" i="1"/>
  <c r="M3877" i="1"/>
  <c r="M202" i="1"/>
  <c r="M2044" i="1"/>
  <c r="M4800" i="1"/>
  <c r="M2413" i="1"/>
  <c r="M7" i="1"/>
  <c r="M2715" i="1"/>
  <c r="M3043" i="1"/>
  <c r="M4608" i="1"/>
  <c r="M3044" i="1"/>
  <c r="M1229" i="1"/>
  <c r="M3045" i="1"/>
  <c r="M3878" i="1"/>
  <c r="M179" i="1"/>
  <c r="M1679" i="1"/>
  <c r="M41" i="1"/>
  <c r="M3374" i="1"/>
  <c r="M3879" i="1"/>
  <c r="M494" i="1"/>
  <c r="M690" i="1"/>
  <c r="M2613" i="1"/>
  <c r="M691" i="1"/>
  <c r="M2119" i="1"/>
  <c r="M1915" i="1"/>
  <c r="M2610" i="1"/>
  <c r="M2308" i="1"/>
  <c r="M3497" i="1"/>
  <c r="M1230" i="1"/>
  <c r="M2508" i="1"/>
  <c r="M165" i="1"/>
  <c r="M1231" i="1"/>
  <c r="M1141" i="1"/>
  <c r="M4981" i="1"/>
  <c r="M3880" i="1"/>
  <c r="M3046" i="1"/>
  <c r="M4874" i="1"/>
  <c r="M4723" i="1"/>
  <c r="M4929" i="1"/>
  <c r="M3047" i="1"/>
  <c r="M892" i="1"/>
  <c r="M3048" i="1"/>
  <c r="M1955" i="1"/>
  <c r="M3698" i="1"/>
  <c r="M1685" i="1"/>
  <c r="M3881" i="1"/>
  <c r="M3049" i="1"/>
  <c r="M3050" i="1"/>
  <c r="M2047" i="1"/>
  <c r="M1109" i="1"/>
  <c r="M152" i="1"/>
  <c r="M3882" i="1"/>
  <c r="M4777" i="1"/>
  <c r="M2133" i="1"/>
  <c r="M3883" i="1"/>
  <c r="M1758" i="1"/>
  <c r="M4823" i="1"/>
  <c r="M3884" i="1"/>
  <c r="M3051" i="1"/>
  <c r="M3052" i="1"/>
  <c r="M3885" i="1"/>
  <c r="M2716" i="1"/>
  <c r="M3440" i="1"/>
  <c r="M12" i="1"/>
  <c r="M905" i="1"/>
  <c r="M3886" i="1"/>
  <c r="M3787" i="1"/>
  <c r="M2717" i="1"/>
  <c r="M4930" i="1"/>
  <c r="M3053" i="1"/>
  <c r="M1974" i="1"/>
  <c r="M986" i="1"/>
  <c r="M2176" i="1"/>
  <c r="M1232" i="1"/>
  <c r="M1233" i="1"/>
  <c r="M2316" i="1"/>
  <c r="M3353" i="1"/>
  <c r="M4993" i="1"/>
  <c r="M495" i="1"/>
  <c r="M3746" i="1"/>
  <c r="M1732" i="1"/>
  <c r="M496" i="1"/>
  <c r="M3807" i="1"/>
  <c r="M3352" i="1"/>
  <c r="M2718" i="1"/>
  <c r="M1741" i="1"/>
  <c r="M3887" i="1"/>
  <c r="M1234" i="1"/>
  <c r="M1757" i="1"/>
  <c r="M1235" i="1"/>
  <c r="M3888" i="1"/>
  <c r="M257" i="1"/>
  <c r="M3889" i="1"/>
  <c r="M2260" i="1"/>
  <c r="M2719" i="1"/>
  <c r="M692" i="1"/>
  <c r="M4664" i="1"/>
  <c r="M2720" i="1"/>
  <c r="M2376" i="1"/>
  <c r="M1721" i="1"/>
  <c r="M2382" i="1"/>
  <c r="M3346" i="1"/>
  <c r="M2568" i="1"/>
  <c r="M4817" i="1"/>
  <c r="M497" i="1"/>
  <c r="M176" i="1"/>
  <c r="M1733" i="1"/>
  <c r="M291" i="1"/>
  <c r="M3496" i="1"/>
  <c r="M3" i="1"/>
  <c r="M2212" i="1"/>
  <c r="M3890" i="1"/>
  <c r="M1236" i="1"/>
  <c r="M2721" i="1"/>
  <c r="M4754" i="1"/>
  <c r="M3891" i="1"/>
  <c r="M1237" i="1"/>
  <c r="M4655" i="1"/>
  <c r="M3580" i="1"/>
  <c r="M2614" i="1"/>
  <c r="M3892" i="1"/>
  <c r="M2722" i="1"/>
  <c r="M4666" i="1"/>
  <c r="M2723" i="1"/>
  <c r="M403" i="1"/>
  <c r="M1238" i="1"/>
  <c r="M3893" i="1"/>
  <c r="M2569" i="1"/>
  <c r="M1905" i="1"/>
  <c r="M498" i="1"/>
  <c r="M1815" i="1"/>
  <c r="M432" i="1"/>
  <c r="M3894" i="1"/>
  <c r="M2399" i="1"/>
  <c r="M1239" i="1"/>
  <c r="M2611" i="1"/>
  <c r="M2255" i="1"/>
  <c r="M3581" i="1"/>
  <c r="M2724" i="1"/>
  <c r="M268" i="1"/>
  <c r="M3895" i="1"/>
  <c r="M306" i="1"/>
  <c r="M4903" i="1"/>
  <c r="M3054" i="1"/>
  <c r="M3896" i="1"/>
  <c r="M1816" i="1"/>
  <c r="M3528" i="1"/>
  <c r="M3897" i="1"/>
  <c r="M1142" i="1"/>
  <c r="M3356" i="1"/>
  <c r="M3898" i="1"/>
  <c r="M3469" i="1"/>
  <c r="M1817" i="1"/>
  <c r="M3354" i="1"/>
  <c r="M2725" i="1"/>
  <c r="M231" i="1"/>
  <c r="M3355" i="1"/>
  <c r="M3899" i="1"/>
  <c r="M1829" i="1"/>
  <c r="M2134" i="1"/>
  <c r="M1742" i="1"/>
  <c r="M3900" i="1"/>
  <c r="M2726" i="1"/>
  <c r="M1743" i="1"/>
  <c r="M1177" i="1"/>
  <c r="M1680" i="1"/>
  <c r="M4871" i="1"/>
  <c r="M1149" i="1"/>
  <c r="M3055" i="1"/>
  <c r="M3901" i="1"/>
  <c r="M2321" i="1"/>
  <c r="M693" i="1"/>
  <c r="M2727" i="1"/>
  <c r="M2728" i="1"/>
  <c r="M2729" i="1"/>
  <c r="M694" i="1"/>
  <c r="M3902" i="1"/>
  <c r="M2208" i="1"/>
  <c r="M1240" i="1"/>
  <c r="M3903" i="1"/>
  <c r="M1658" i="1"/>
  <c r="M2311" i="1"/>
  <c r="M4982" i="1"/>
  <c r="M4957" i="1"/>
  <c r="M2730" i="1"/>
  <c r="M4994" i="1"/>
  <c r="M3904" i="1"/>
  <c r="M1938" i="1"/>
  <c r="M1241" i="1"/>
  <c r="M4789" i="1"/>
  <c r="M3442" i="1"/>
  <c r="M2566" i="1"/>
  <c r="M2438" i="1"/>
  <c r="M1242" i="1"/>
  <c r="M2446" i="1"/>
  <c r="M3056" i="1"/>
  <c r="M3905" i="1"/>
  <c r="M695" i="1"/>
  <c r="M2129" i="1"/>
  <c r="M3725" i="1"/>
  <c r="M967" i="1"/>
  <c r="M353" i="1"/>
  <c r="M19" i="1"/>
  <c r="M1034" i="1"/>
  <c r="M3906" i="1"/>
  <c r="M696" i="1"/>
  <c r="M1243" i="1"/>
  <c r="M3057" i="1"/>
  <c r="M1759" i="1"/>
  <c r="M3907" i="1"/>
  <c r="M203" i="1"/>
  <c r="M4687" i="1"/>
  <c r="M2247" i="1"/>
  <c r="M4688" i="1"/>
  <c r="M4864" i="1"/>
  <c r="M697" i="1"/>
  <c r="M3776" i="1"/>
  <c r="M1244" i="1"/>
  <c r="M3908" i="1"/>
  <c r="M3529" i="1"/>
  <c r="M2731" i="1"/>
  <c r="M3498" i="1"/>
  <c r="M2099" i="1"/>
  <c r="M2732" i="1"/>
  <c r="M2361" i="1"/>
  <c r="M3734" i="1"/>
  <c r="M1093" i="1"/>
  <c r="M3909" i="1"/>
  <c r="M1868" i="1"/>
  <c r="M1245" i="1"/>
  <c r="M3809" i="1"/>
  <c r="M2341" i="1"/>
  <c r="M4877" i="1"/>
  <c r="M2733" i="1"/>
  <c r="M3500" i="1"/>
  <c r="M2615" i="1"/>
  <c r="M1246" i="1"/>
  <c r="M404" i="1"/>
  <c r="M431" i="1"/>
  <c r="M2125" i="1"/>
  <c r="M1247" i="1"/>
  <c r="M3775" i="1"/>
  <c r="M2218" i="1"/>
  <c r="M1164" i="1"/>
  <c r="M2734" i="1"/>
  <c r="M230" i="1"/>
  <c r="M3910" i="1"/>
  <c r="M3683" i="1"/>
  <c r="M2473" i="1"/>
  <c r="M3911" i="1"/>
  <c r="M4779" i="1"/>
  <c r="M906" i="1"/>
  <c r="M2567" i="1"/>
  <c r="M1744" i="1"/>
  <c r="M1803" i="1"/>
  <c r="M4983" i="1"/>
  <c r="M3058" i="1"/>
  <c r="M2735" i="1"/>
  <c r="M3912" i="1"/>
  <c r="M3059" i="1"/>
  <c r="M1071" i="1"/>
  <c r="M3562" i="1"/>
  <c r="M1248" i="1"/>
  <c r="M1639" i="1"/>
  <c r="M98" i="1"/>
  <c r="M4778" i="1"/>
  <c r="M2474" i="1"/>
  <c r="M4931" i="1"/>
  <c r="M4791" i="1"/>
  <c r="M4649" i="1"/>
  <c r="M499" i="1"/>
  <c r="M3785" i="1"/>
  <c r="M2461" i="1"/>
  <c r="M1249" i="1"/>
  <c r="M3913" i="1"/>
  <c r="M1000" i="1"/>
  <c r="M2454" i="1"/>
  <c r="M3060" i="1"/>
  <c r="M3499" i="1"/>
  <c r="M4875" i="1"/>
  <c r="M500" i="1"/>
  <c r="M2736" i="1"/>
  <c r="M4876" i="1"/>
  <c r="M1250" i="1"/>
  <c r="M2371" i="1"/>
  <c r="M4790" i="1"/>
  <c r="M3061" i="1"/>
  <c r="M1251" i="1"/>
  <c r="M3684" i="1"/>
  <c r="M2145" i="1"/>
  <c r="M501" i="1"/>
  <c r="M698" i="1"/>
  <c r="M308" i="1"/>
  <c r="M699" i="1"/>
  <c r="M3062" i="1"/>
  <c r="M2450" i="1"/>
  <c r="M3470" i="1"/>
  <c r="M3914" i="1"/>
  <c r="M3915" i="1"/>
  <c r="M285" i="1"/>
  <c r="M1722" i="1"/>
  <c r="M3391" i="1"/>
  <c r="M503" i="1"/>
  <c r="M502" i="1"/>
  <c r="M2616" i="1"/>
  <c r="M3063" i="1"/>
  <c r="M157" i="1"/>
  <c r="M3916" i="1"/>
  <c r="M3699" i="1"/>
  <c r="M3917" i="1"/>
  <c r="M1785" i="1"/>
  <c r="M238" i="1"/>
  <c r="M1070" i="1"/>
  <c r="M1252" i="1"/>
  <c r="M1723" i="1"/>
  <c r="M4802" i="1"/>
  <c r="M4724" i="1"/>
  <c r="M380" i="1"/>
  <c r="M504" i="1"/>
  <c r="M3918" i="1"/>
  <c r="M505" i="1"/>
  <c r="M3919" i="1"/>
  <c r="M4956" i="1"/>
  <c r="M4904" i="1"/>
  <c r="M3064" i="1"/>
  <c r="M1001" i="1"/>
  <c r="M2152" i="1"/>
  <c r="M1253" i="1"/>
  <c r="M506" i="1"/>
  <c r="M3920" i="1"/>
  <c r="M1977" i="1"/>
  <c r="M1657" i="1"/>
  <c r="M2737" i="1"/>
  <c r="M3065" i="1"/>
  <c r="M700" i="1"/>
  <c r="M3921" i="1"/>
  <c r="M1254" i="1"/>
  <c r="M3922" i="1"/>
  <c r="M3923" i="1"/>
  <c r="M1804" i="1"/>
  <c r="M1255" i="1"/>
  <c r="M2105" i="1"/>
  <c r="M325" i="1"/>
  <c r="M701" i="1"/>
  <c r="M236" i="1"/>
  <c r="M4753" i="1"/>
  <c r="M2282" i="1"/>
  <c r="M2738" i="1"/>
  <c r="M3924" i="1"/>
  <c r="M2739" i="1"/>
  <c r="M18" i="1"/>
  <c r="M1256" i="1"/>
  <c r="M893" i="1"/>
  <c r="M4780" i="1"/>
  <c r="M1257" i="1"/>
  <c r="M4652" i="1"/>
  <c r="M1818" i="1"/>
  <c r="M3066" i="1"/>
  <c r="M4825" i="1"/>
  <c r="M2366" i="1"/>
  <c r="M507" i="1"/>
  <c r="M2367" i="1"/>
  <c r="M1999" i="1"/>
  <c r="M3067" i="1"/>
  <c r="M260" i="1"/>
  <c r="M4824" i="1"/>
  <c r="M1154" i="1"/>
  <c r="M1258" i="1"/>
  <c r="M2740" i="1"/>
  <c r="M1259" i="1"/>
  <c r="M3641" i="1"/>
  <c r="M2511" i="1"/>
  <c r="M2285" i="1"/>
  <c r="M2087" i="1"/>
  <c r="M1260" i="1"/>
  <c r="M702" i="1"/>
  <c r="M4725" i="1"/>
  <c r="M3609" i="1"/>
  <c r="M2460" i="1"/>
  <c r="M3679" i="1"/>
  <c r="M1261" i="1"/>
  <c r="M3926" i="1"/>
  <c r="M3925" i="1"/>
  <c r="M2741" i="1"/>
  <c r="M3068" i="1"/>
  <c r="M4857" i="1"/>
  <c r="M3927" i="1"/>
  <c r="M508" i="1"/>
  <c r="M703" i="1"/>
  <c r="M1699" i="1"/>
  <c r="M3471" i="1"/>
  <c r="M3928" i="1"/>
  <c r="M1262" i="1"/>
  <c r="M3434" i="1"/>
  <c r="M1844" i="1"/>
  <c r="M3069" i="1"/>
  <c r="M1643" i="1"/>
  <c r="M509" i="1"/>
  <c r="M3393" i="1"/>
  <c r="M3929" i="1"/>
  <c r="M3930" i="1"/>
  <c r="M2742" i="1"/>
  <c r="M3788" i="1"/>
  <c r="M1760" i="1"/>
  <c r="M1263" i="1"/>
  <c r="M1659" i="1"/>
  <c r="M704" i="1"/>
  <c r="M705" i="1"/>
  <c r="M3070" i="1"/>
  <c r="M76" i="1"/>
  <c r="M3071" i="1"/>
  <c r="M1264" i="1"/>
  <c r="M2510" i="1"/>
  <c r="M2153" i="1"/>
  <c r="M3931" i="1"/>
  <c r="M4755" i="1"/>
  <c r="M2743" i="1"/>
  <c r="M2744" i="1"/>
  <c r="M3932" i="1"/>
  <c r="M3436" i="1"/>
  <c r="M706" i="1"/>
  <c r="M362" i="1"/>
  <c r="M3933" i="1"/>
  <c r="M4568" i="1"/>
  <c r="M510" i="1"/>
  <c r="M2745" i="1"/>
  <c r="M1987" i="1"/>
  <c r="M2343" i="1"/>
  <c r="M3072" i="1"/>
  <c r="M3934" i="1"/>
  <c r="M3395" i="1"/>
  <c r="M3935" i="1"/>
  <c r="M30" i="1"/>
  <c r="M2746" i="1"/>
  <c r="M3936" i="1"/>
  <c r="M4932" i="1"/>
  <c r="M4905" i="1"/>
  <c r="M1265" i="1"/>
  <c r="M3937" i="1"/>
  <c r="M3938" i="1"/>
  <c r="M1266" i="1"/>
  <c r="M4726" i="1"/>
  <c r="M2679" i="1"/>
  <c r="M3397" i="1"/>
  <c r="M2475" i="1"/>
  <c r="M1019" i="1"/>
  <c r="M3073" i="1"/>
  <c r="M1951" i="1"/>
  <c r="M2747" i="1"/>
  <c r="M1745" i="1"/>
  <c r="M3939" i="1"/>
  <c r="M2748" i="1"/>
  <c r="M1267" i="1"/>
  <c r="M2025" i="1"/>
  <c r="M2012" i="1"/>
  <c r="M3074" i="1"/>
  <c r="M3392" i="1"/>
  <c r="M3705" i="1"/>
  <c r="M511" i="1"/>
  <c r="M512" i="1"/>
  <c r="M4984" i="1"/>
  <c r="M3940" i="1"/>
  <c r="M1897" i="1"/>
  <c r="M2680" i="1"/>
  <c r="M4906" i="1"/>
  <c r="M707" i="1"/>
  <c r="M3582" i="1"/>
  <c r="M2618" i="1"/>
  <c r="M1268" i="1"/>
  <c r="M3563" i="1"/>
  <c r="M3941" i="1"/>
  <c r="M1269" i="1"/>
  <c r="M513" i="1"/>
  <c r="M3718" i="1"/>
  <c r="M3649" i="1"/>
  <c r="M3942" i="1"/>
  <c r="M2749" i="1"/>
  <c r="M2353" i="1"/>
  <c r="M1270" i="1"/>
  <c r="M4843" i="1"/>
  <c r="M4667" i="1"/>
  <c r="M514" i="1"/>
  <c r="M3420" i="1"/>
  <c r="M2619" i="1"/>
  <c r="M118" i="1"/>
  <c r="M3348" i="1"/>
  <c r="M1271" i="1"/>
  <c r="M2676" i="1"/>
  <c r="M3943" i="1"/>
  <c r="M204" i="1"/>
  <c r="M2514" i="1"/>
  <c r="M1644" i="1"/>
  <c r="M3075" i="1"/>
  <c r="M2750" i="1"/>
  <c r="M1272" i="1"/>
  <c r="M406" i="1"/>
  <c r="M708" i="1"/>
  <c r="M4639" i="1"/>
  <c r="M3700" i="1"/>
  <c r="M2045" i="1"/>
  <c r="M1991" i="1"/>
  <c r="M2677" i="1"/>
  <c r="M3076" i="1"/>
  <c r="M61" i="1"/>
  <c r="M3077" i="1"/>
  <c r="M2617" i="1"/>
  <c r="M2400" i="1"/>
  <c r="M3078" i="1"/>
  <c r="M2338" i="1"/>
  <c r="M1273" i="1"/>
  <c r="M709" i="1"/>
  <c r="M36" i="1"/>
  <c r="M2209" i="1"/>
  <c r="M3530" i="1"/>
  <c r="M4690" i="1"/>
  <c r="M515" i="1"/>
  <c r="M1686" i="1"/>
  <c r="M2751" i="1"/>
  <c r="M3945" i="1"/>
  <c r="M3944" i="1"/>
  <c r="M4567" i="1"/>
  <c r="M1274" i="1"/>
  <c r="M710" i="1"/>
  <c r="M3946" i="1"/>
  <c r="M2330" i="1"/>
  <c r="M2415" i="1"/>
  <c r="M2368" i="1"/>
  <c r="M1275" i="1"/>
  <c r="M3947" i="1"/>
  <c r="M2752" i="1"/>
  <c r="M2753" i="1"/>
  <c r="M2476" i="1"/>
  <c r="M3948" i="1"/>
  <c r="M922" i="1"/>
  <c r="M4109" i="1"/>
  <c r="M2147" i="1"/>
  <c r="M1115" i="1"/>
  <c r="M1909" i="1"/>
  <c r="M1114" i="1"/>
  <c r="M4878" i="1"/>
  <c r="M2620" i="1"/>
  <c r="M4110" i="1"/>
  <c r="M1002" i="1"/>
  <c r="M1373" i="1"/>
  <c r="M3431" i="1"/>
  <c r="M3583" i="1"/>
  <c r="M3079" i="1"/>
  <c r="M433" i="1"/>
  <c r="M516" i="1"/>
  <c r="M934" i="1"/>
  <c r="M4111" i="1"/>
  <c r="M968" i="1"/>
  <c r="M1374" i="1"/>
  <c r="M3357" i="1"/>
  <c r="M517" i="1"/>
  <c r="M1786" i="1"/>
  <c r="M4669" i="1"/>
  <c r="M4863" i="1"/>
  <c r="M2570" i="1"/>
  <c r="M3810" i="1"/>
  <c r="M3080" i="1"/>
  <c r="M3501" i="1"/>
  <c r="M2754" i="1"/>
  <c r="M2675" i="1"/>
  <c r="M518" i="1"/>
  <c r="M3949" i="1"/>
  <c r="M4112" i="1"/>
  <c r="M3950" i="1"/>
  <c r="M519" i="1"/>
  <c r="M4958" i="1"/>
  <c r="M4113" i="1"/>
  <c r="M520" i="1"/>
  <c r="M4114" i="1"/>
  <c r="M3081" i="1"/>
  <c r="M3082" i="1"/>
  <c r="M4589" i="1"/>
  <c r="M3951" i="1"/>
  <c r="M3394" i="1"/>
  <c r="M3396" i="1"/>
  <c r="M2512" i="1"/>
  <c r="M1687" i="1"/>
  <c r="M4115" i="1"/>
  <c r="M2755" i="1"/>
  <c r="M3083" i="1"/>
  <c r="M521" i="1"/>
  <c r="M3952" i="1"/>
  <c r="M4116" i="1"/>
  <c r="M2756" i="1"/>
  <c r="M347" i="1"/>
  <c r="M1375" i="1"/>
  <c r="M405" i="1"/>
  <c r="M711" i="1"/>
  <c r="M951" i="1"/>
  <c r="M4934" i="1"/>
  <c r="M1376" i="1"/>
  <c r="M1377" i="1"/>
  <c r="M2757" i="1"/>
  <c r="M2022" i="1"/>
  <c r="M2758" i="1"/>
  <c r="M1378" i="1"/>
  <c r="M4792" i="1"/>
  <c r="M1379" i="1"/>
  <c r="M712" i="1"/>
  <c r="M2138" i="1"/>
  <c r="M3531" i="1"/>
  <c r="M4117" i="1"/>
  <c r="M2464" i="1"/>
  <c r="M4118" i="1"/>
  <c r="M3953" i="1"/>
  <c r="M434" i="1"/>
  <c r="M3084" i="1"/>
  <c r="M24" i="1"/>
  <c r="M1380" i="1"/>
  <c r="M3085" i="1"/>
  <c r="M3954" i="1"/>
  <c r="M3086" i="1"/>
  <c r="M3341" i="1"/>
  <c r="M4590" i="1"/>
  <c r="M182" i="1"/>
  <c r="M3087" i="1"/>
  <c r="M3777" i="1"/>
  <c r="M4668" i="1"/>
  <c r="M2759" i="1"/>
  <c r="M3088" i="1"/>
  <c r="M1381" i="1"/>
  <c r="M4119" i="1"/>
  <c r="M3596" i="1"/>
  <c r="M2518" i="1"/>
  <c r="M4849" i="1"/>
  <c r="M522" i="1"/>
  <c r="M4933" i="1"/>
  <c r="M2283" i="1"/>
  <c r="M2462" i="1"/>
  <c r="M1382" i="1"/>
  <c r="M1688" i="1"/>
  <c r="M1118" i="1"/>
  <c r="M1081" i="1"/>
  <c r="M2063" i="1"/>
  <c r="M3955" i="1"/>
  <c r="M523" i="1"/>
  <c r="M4120" i="1"/>
  <c r="M3445" i="1"/>
  <c r="M1276" i="1"/>
  <c r="M1975" i="1"/>
  <c r="M2463" i="1"/>
  <c r="M4122" i="1"/>
  <c r="M4121" i="1"/>
  <c r="M3089" i="1"/>
  <c r="M3090" i="1"/>
  <c r="M1277" i="1"/>
  <c r="M1383" i="1"/>
  <c r="M938" i="1"/>
  <c r="M3726" i="1"/>
  <c r="M4591" i="1"/>
  <c r="M4656" i="1"/>
  <c r="M1384" i="1"/>
  <c r="M3091" i="1"/>
  <c r="M4866" i="1"/>
  <c r="M1278" i="1"/>
  <c r="M2760" i="1"/>
  <c r="M264" i="1"/>
  <c r="M123" i="1"/>
  <c r="M3956" i="1"/>
  <c r="M1843" i="1"/>
  <c r="M137" i="1"/>
  <c r="M3092" i="1"/>
  <c r="M3437" i="1"/>
  <c r="M1385" i="1"/>
  <c r="M713" i="1"/>
  <c r="M1160" i="1"/>
  <c r="M467" i="1"/>
  <c r="M4123" i="1"/>
  <c r="M4124" i="1"/>
  <c r="M3585" i="1"/>
  <c r="M2761" i="1"/>
  <c r="M2622" i="1"/>
  <c r="M2135" i="1"/>
  <c r="M2140" i="1"/>
  <c r="M2573" i="1"/>
  <c r="M4125" i="1"/>
  <c r="M2040" i="1"/>
  <c r="M4126" i="1"/>
  <c r="M2185" i="1"/>
  <c r="M4127" i="1"/>
  <c r="M1155" i="1"/>
  <c r="M3532" i="1"/>
  <c r="M2082" i="1"/>
  <c r="M1645" i="1"/>
  <c r="M2623" i="1"/>
  <c r="M2120" i="1"/>
  <c r="M1386" i="1"/>
  <c r="M714" i="1"/>
  <c r="M524" i="1"/>
  <c r="M525" i="1"/>
  <c r="M1161" i="1"/>
  <c r="M1646" i="1"/>
  <c r="M3093" i="1"/>
  <c r="M3584" i="1"/>
  <c r="M199" i="1"/>
  <c r="M3435" i="1"/>
  <c r="M4804" i="1"/>
  <c r="M2571" i="1"/>
  <c r="M2127" i="1"/>
  <c r="M715" i="1"/>
  <c r="M2149" i="1"/>
  <c r="M4128" i="1"/>
  <c r="M3094" i="1"/>
  <c r="M4593" i="1"/>
  <c r="M192" i="1"/>
  <c r="M465" i="1"/>
  <c r="M4129" i="1"/>
  <c r="M2441" i="1"/>
  <c r="M3095" i="1"/>
  <c r="M3096" i="1"/>
  <c r="M1747" i="1"/>
  <c r="M1102" i="1"/>
  <c r="M2076" i="1"/>
  <c r="M1387" i="1"/>
  <c r="M1830" i="1"/>
  <c r="M2116" i="1"/>
  <c r="M4756" i="1"/>
  <c r="M2277" i="1"/>
  <c r="M1626" i="1"/>
  <c r="M2406" i="1"/>
  <c r="M2256" i="1"/>
  <c r="M4960" i="1"/>
  <c r="M1895" i="1"/>
  <c r="M2762" i="1"/>
  <c r="M1003" i="1"/>
  <c r="M3667" i="1"/>
  <c r="M2292" i="1"/>
  <c r="M49" i="1"/>
  <c r="M2516" i="1"/>
  <c r="M466" i="1"/>
  <c r="M1964" i="1"/>
  <c r="M4803" i="1"/>
  <c r="M3097" i="1"/>
  <c r="M111" i="1"/>
  <c r="M4691" i="1"/>
  <c r="M526" i="1"/>
  <c r="M2477" i="1"/>
  <c r="M1388" i="1"/>
  <c r="M1072" i="1"/>
  <c r="M3098" i="1"/>
  <c r="M4130" i="1"/>
  <c r="M2763" i="1"/>
  <c r="M527" i="1"/>
  <c r="M2764" i="1"/>
  <c r="M716" i="1"/>
  <c r="M3957" i="1"/>
  <c r="M3099" i="1"/>
  <c r="M4131" i="1"/>
  <c r="M2385" i="1"/>
  <c r="M100" i="1"/>
  <c r="M4132" i="1"/>
  <c r="M3564" i="1"/>
  <c r="M528" i="1"/>
  <c r="M1389" i="1"/>
  <c r="M3100" i="1"/>
  <c r="M1279" i="1"/>
  <c r="M2765" i="1"/>
  <c r="M1737" i="1"/>
  <c r="M2513" i="1"/>
  <c r="M2766" i="1"/>
  <c r="M3443" i="1"/>
  <c r="M717" i="1"/>
  <c r="M2263" i="1"/>
  <c r="M4133" i="1"/>
  <c r="M1004" i="1"/>
  <c r="M529" i="1"/>
  <c r="M4757" i="1"/>
  <c r="M939" i="1"/>
  <c r="M218" i="1"/>
  <c r="M718" i="1"/>
  <c r="M140" i="1"/>
  <c r="M530" i="1"/>
  <c r="M3691" i="1"/>
  <c r="M2767" i="1"/>
  <c r="M1280" i="1"/>
  <c r="M2768" i="1"/>
  <c r="M719" i="1"/>
  <c r="M4134" i="1"/>
  <c r="M4594" i="1"/>
  <c r="M4135" i="1"/>
  <c r="M2769" i="1"/>
  <c r="M1143" i="1"/>
  <c r="M4638" i="1"/>
  <c r="M1390" i="1"/>
  <c r="M1896" i="1"/>
  <c r="M1706" i="1"/>
  <c r="M4670" i="1"/>
  <c r="M531" i="1"/>
  <c r="M4136" i="1"/>
  <c r="M2196" i="1"/>
  <c r="M1157" i="1"/>
  <c r="M2770" i="1"/>
  <c r="M4137" i="1"/>
  <c r="M3101" i="1"/>
  <c r="M4138" i="1"/>
  <c r="M2771" i="1"/>
  <c r="M4692" i="1"/>
  <c r="M2772" i="1"/>
  <c r="M4139" i="1"/>
  <c r="M2424" i="1"/>
  <c r="M2143" i="1"/>
  <c r="M1997" i="1"/>
  <c r="M4140" i="1"/>
  <c r="M2621" i="1"/>
  <c r="M2288" i="1"/>
  <c r="M1197" i="1"/>
  <c r="M4141" i="1"/>
  <c r="M1391" i="1"/>
  <c r="M1392" i="1"/>
  <c r="M2773" i="1"/>
  <c r="M4673" i="1"/>
  <c r="M532" i="1"/>
  <c r="M4142" i="1"/>
  <c r="M1940" i="1"/>
  <c r="M2478" i="1"/>
  <c r="M3958" i="1"/>
  <c r="M2100" i="1"/>
  <c r="M2427" i="1"/>
  <c r="M222" i="1"/>
  <c r="M3789" i="1"/>
  <c r="M2416" i="1"/>
  <c r="M1281" i="1"/>
  <c r="M4880" i="1"/>
  <c r="M720" i="1"/>
  <c r="M1165" i="1"/>
  <c r="M4143" i="1"/>
  <c r="M2296" i="1"/>
  <c r="M3959" i="1"/>
  <c r="M1996" i="1"/>
  <c r="M2774" i="1"/>
  <c r="M2287" i="1"/>
  <c r="M1128" i="1"/>
  <c r="M4793" i="1"/>
  <c r="M3102" i="1"/>
  <c r="M2515" i="1"/>
  <c r="M3685" i="1"/>
  <c r="M3960" i="1"/>
  <c r="M4144" i="1"/>
  <c r="M3448" i="1"/>
  <c r="M533" i="1"/>
  <c r="M2775" i="1"/>
  <c r="M1906" i="1"/>
  <c r="M3103" i="1"/>
  <c r="M4145" i="1"/>
  <c r="M4582" i="1"/>
  <c r="M2776" i="1"/>
  <c r="M2388" i="1"/>
  <c r="M4146" i="1"/>
  <c r="M534" i="1"/>
  <c r="M1393" i="1"/>
  <c r="M721" i="1"/>
  <c r="M1394" i="1"/>
  <c r="M52" i="1"/>
  <c r="M1395" i="1"/>
  <c r="M1870" i="1"/>
  <c r="M4592" i="1"/>
  <c r="M4147" i="1"/>
  <c r="M4805" i="1"/>
  <c r="M2678" i="1"/>
  <c r="M2777" i="1"/>
  <c r="M3104" i="1"/>
  <c r="M3798" i="1"/>
  <c r="M3444" i="1"/>
  <c r="M1660" i="1"/>
  <c r="M923" i="1"/>
  <c r="M4148" i="1"/>
  <c r="M1916" i="1"/>
  <c r="M3105" i="1"/>
  <c r="M3359" i="1"/>
  <c r="M3624" i="1"/>
  <c r="M120" i="1"/>
  <c r="M4579" i="1"/>
  <c r="M1396" i="1"/>
  <c r="M2055" i="1"/>
  <c r="M145" i="1"/>
  <c r="M1282" i="1"/>
  <c r="M722" i="1"/>
  <c r="M1661" i="1"/>
  <c r="M1776" i="1"/>
  <c r="M4149" i="1"/>
  <c r="M3747" i="1"/>
  <c r="M535" i="1"/>
  <c r="M1283" i="1"/>
  <c r="M1397" i="1"/>
  <c r="M2778" i="1"/>
  <c r="M3533" i="1"/>
  <c r="M536" i="1"/>
  <c r="M1627" i="1"/>
  <c r="M407" i="1"/>
  <c r="M723" i="1"/>
  <c r="M2014" i="1"/>
  <c r="M4689" i="1"/>
  <c r="M1284" i="1"/>
  <c r="M4150" i="1"/>
  <c r="M323" i="1"/>
  <c r="M1630" i="1"/>
  <c r="M2779" i="1"/>
  <c r="M724" i="1"/>
  <c r="M4609" i="1"/>
  <c r="M1787" i="1"/>
  <c r="M537" i="1"/>
  <c r="M3961" i="1"/>
  <c r="M1398" i="1"/>
  <c r="M4151" i="1"/>
  <c r="M3720" i="1"/>
  <c r="M3402" i="1"/>
  <c r="M3399" i="1"/>
  <c r="M4818" i="1"/>
  <c r="M3962" i="1"/>
  <c r="M936" i="1"/>
  <c r="M2780" i="1"/>
  <c r="M2286" i="1"/>
  <c r="M3106" i="1"/>
  <c r="M3963" i="1"/>
  <c r="M2781" i="1"/>
  <c r="M2626" i="1"/>
  <c r="M1399" i="1"/>
  <c r="M1285" i="1"/>
  <c r="M78" i="1"/>
  <c r="M3107" i="1"/>
  <c r="M2155" i="1"/>
  <c r="M725" i="1"/>
  <c r="M1890" i="1"/>
  <c r="M4693" i="1"/>
  <c r="M1400" i="1"/>
  <c r="M105" i="1"/>
  <c r="M2079" i="1"/>
  <c r="M1156" i="1"/>
  <c r="M5" i="1"/>
  <c r="M1401" i="1"/>
  <c r="M895" i="1"/>
  <c r="M538" i="1"/>
  <c r="M1005" i="1"/>
  <c r="M1402" i="1"/>
  <c r="M4959" i="1"/>
  <c r="M1082" i="1"/>
  <c r="M3597" i="1"/>
  <c r="M4570" i="1"/>
  <c r="M2782" i="1"/>
  <c r="M1910" i="1"/>
  <c r="M3755" i="1"/>
  <c r="M3633" i="1"/>
  <c r="M3964" i="1"/>
  <c r="M1403" i="1"/>
  <c r="M3502" i="1"/>
  <c r="M4879" i="1"/>
  <c r="M4152" i="1"/>
  <c r="M1404" i="1"/>
  <c r="M1405" i="1"/>
  <c r="M2401" i="1"/>
  <c r="M1406" i="1"/>
  <c r="M3108" i="1"/>
  <c r="M2520" i="1"/>
  <c r="M2192" i="1"/>
  <c r="M3403" i="1"/>
  <c r="M1806" i="1"/>
  <c r="M2783" i="1"/>
  <c r="M726" i="1"/>
  <c r="M1063" i="1"/>
  <c r="M233" i="1"/>
  <c r="M1094" i="1"/>
  <c r="M2248" i="1"/>
  <c r="M1898" i="1"/>
  <c r="M249" i="1"/>
  <c r="M727" i="1"/>
  <c r="M3565" i="1"/>
  <c r="M1407" i="1"/>
  <c r="M1408" i="1"/>
  <c r="M3447" i="1"/>
  <c r="M4695" i="1"/>
  <c r="M4" i="1"/>
  <c r="M13" i="1"/>
  <c r="M1409" i="1"/>
  <c r="M4153" i="1"/>
  <c r="M1286" i="1"/>
  <c r="M3586" i="1"/>
  <c r="M1673" i="1"/>
  <c r="M4154" i="1"/>
  <c r="M2681" i="1"/>
  <c r="M1287" i="1"/>
  <c r="M4155" i="1"/>
  <c r="M1932" i="1"/>
  <c r="M3109" i="1"/>
  <c r="M728" i="1"/>
  <c r="M1779" i="1"/>
  <c r="M1807" i="1"/>
  <c r="M4881" i="1"/>
  <c r="M149" i="1"/>
  <c r="M3799" i="1"/>
  <c r="M1943" i="1"/>
  <c r="M2785" i="1"/>
  <c r="M2784" i="1"/>
  <c r="M4882" i="1"/>
  <c r="M1948" i="1"/>
  <c r="M4156" i="1"/>
  <c r="M1410" i="1"/>
  <c r="M2188" i="1"/>
  <c r="M4157" i="1"/>
  <c r="M4908" i="1"/>
  <c r="M3965" i="1"/>
  <c r="M3966" i="1"/>
  <c r="M729" i="1"/>
  <c r="M2786" i="1"/>
  <c r="M3398" i="1"/>
  <c r="M2787" i="1"/>
  <c r="M77" i="1"/>
  <c r="M4158" i="1"/>
  <c r="M3110" i="1"/>
  <c r="M3111" i="1"/>
  <c r="M3967" i="1"/>
  <c r="M3735" i="1"/>
  <c r="M3678" i="1"/>
  <c r="M4806" i="1"/>
  <c r="M539" i="1"/>
  <c r="M4159" i="1"/>
  <c r="M3634" i="1"/>
  <c r="M2365" i="1"/>
  <c r="M1746" i="1"/>
  <c r="M4160" i="1"/>
  <c r="M3968" i="1"/>
  <c r="M2280" i="1"/>
  <c r="M3719" i="1"/>
  <c r="M1078" i="1"/>
  <c r="M1411" i="1"/>
  <c r="M4161" i="1"/>
  <c r="M4162" i="1"/>
  <c r="M1020" i="1"/>
  <c r="M3112" i="1"/>
  <c r="M540" i="1"/>
  <c r="M897" i="1"/>
  <c r="M1882" i="1"/>
  <c r="M4163" i="1"/>
  <c r="M4808" i="1"/>
  <c r="M197" i="1"/>
  <c r="M1805" i="1"/>
  <c r="M4961" i="1"/>
  <c r="M1080" i="1"/>
  <c r="M4848" i="1"/>
  <c r="M3361" i="1"/>
  <c r="M2788" i="1"/>
  <c r="M2350" i="1"/>
  <c r="M3342" i="1"/>
  <c r="M2789" i="1"/>
  <c r="M3969" i="1"/>
  <c r="M366" i="1"/>
  <c r="M2517" i="1"/>
  <c r="M226" i="1"/>
  <c r="M2411" i="1"/>
  <c r="M147" i="1"/>
  <c r="M3362" i="1"/>
  <c r="M1808" i="1"/>
  <c r="M730" i="1"/>
  <c r="M4164" i="1"/>
  <c r="M1412" i="1"/>
  <c r="M1413" i="1"/>
  <c r="M541" i="1"/>
  <c r="M542" i="1"/>
  <c r="M31" i="1"/>
  <c r="M1414" i="1"/>
  <c r="M4165" i="1"/>
  <c r="M898" i="1"/>
  <c r="M4166" i="1"/>
  <c r="M2121" i="1"/>
  <c r="M3505" i="1"/>
  <c r="M731" i="1"/>
  <c r="M190" i="1"/>
  <c r="M1288" i="1"/>
  <c r="M3536" i="1"/>
  <c r="M2790" i="1"/>
  <c r="M3113" i="1"/>
  <c r="M1289" i="1"/>
  <c r="M2572" i="1"/>
  <c r="M1415" i="1"/>
  <c r="M4167" i="1"/>
  <c r="M2448" i="1"/>
  <c r="M2054" i="1"/>
  <c r="M4168" i="1"/>
  <c r="M2525" i="1"/>
  <c r="M281" i="1"/>
  <c r="M3424" i="1"/>
  <c r="M3114" i="1"/>
  <c r="M3970" i="1"/>
  <c r="M732" i="1"/>
  <c r="M733" i="1"/>
  <c r="M1089" i="1"/>
  <c r="M4841" i="1"/>
  <c r="M3115" i="1"/>
  <c r="M734" i="1"/>
  <c r="M2791" i="1"/>
  <c r="M2526" i="1"/>
  <c r="M2000" i="1"/>
  <c r="M2203" i="1"/>
  <c r="M2792" i="1"/>
  <c r="M183" i="1"/>
  <c r="M4727" i="1"/>
  <c r="M1416" i="1"/>
  <c r="M4169" i="1"/>
  <c r="M280" i="1"/>
  <c r="M3116" i="1"/>
  <c r="M1831" i="1"/>
  <c r="M1648" i="1"/>
  <c r="M735" i="1"/>
  <c r="M3971" i="1"/>
  <c r="M69" i="1"/>
  <c r="M316" i="1"/>
  <c r="M3972" i="1"/>
  <c r="M363" i="1"/>
  <c r="M4728" i="1"/>
  <c r="M4170" i="1"/>
  <c r="M4758" i="1"/>
  <c r="M1417" i="1"/>
  <c r="M1186" i="1"/>
  <c r="M3764" i="1"/>
  <c r="M3642" i="1"/>
  <c r="M4171" i="1"/>
  <c r="M3973" i="1"/>
  <c r="M3610" i="1"/>
  <c r="M2793" i="1"/>
  <c r="M1166" i="1"/>
  <c r="M4172" i="1"/>
  <c r="M1079" i="1"/>
  <c r="M1418" i="1"/>
  <c r="M2794" i="1"/>
  <c r="M436" i="1"/>
  <c r="M4867" i="1"/>
  <c r="M2795" i="1"/>
  <c r="M4173" i="1"/>
  <c r="M2796" i="1"/>
  <c r="M3117" i="1"/>
  <c r="M2797" i="1"/>
  <c r="M3534" i="1"/>
  <c r="M4174" i="1"/>
  <c r="M1675" i="1"/>
  <c r="M1419" i="1"/>
  <c r="M4175" i="1"/>
  <c r="M2005" i="1"/>
  <c r="M4176" i="1"/>
  <c r="M3118" i="1"/>
  <c r="M4177" i="1"/>
  <c r="M1724" i="1"/>
  <c r="M4178" i="1"/>
  <c r="M1290" i="1"/>
  <c r="M3598" i="1"/>
  <c r="M79" i="1"/>
  <c r="M2421" i="1"/>
  <c r="M4963" i="1"/>
  <c r="M3119" i="1"/>
  <c r="M319" i="1"/>
  <c r="M3974" i="1"/>
  <c r="M3120" i="1"/>
  <c r="M3975" i="1"/>
  <c r="M66" i="1"/>
  <c r="M1931" i="1"/>
  <c r="M4179" i="1"/>
  <c r="M1761" i="1"/>
  <c r="M1291" i="1"/>
  <c r="M2394" i="1"/>
  <c r="M543" i="1"/>
  <c r="M4180" i="1"/>
  <c r="M2798" i="1"/>
  <c r="M95" i="1"/>
  <c r="M4819" i="1"/>
  <c r="M1420" i="1"/>
  <c r="M4569" i="1"/>
  <c r="M4580" i="1"/>
  <c r="M1885" i="1"/>
  <c r="M3611" i="1"/>
  <c r="M3121" i="1"/>
  <c r="M3706" i="1"/>
  <c r="M736" i="1"/>
  <c r="M1689" i="1"/>
  <c r="M2682" i="1"/>
  <c r="M2175" i="1"/>
  <c r="M3472" i="1"/>
  <c r="M3976" i="1"/>
  <c r="M737" i="1"/>
  <c r="M4637" i="1"/>
  <c r="M2799" i="1"/>
  <c r="M2333" i="1"/>
  <c r="M3977" i="1"/>
  <c r="M3400" i="1"/>
  <c r="M2150" i="1"/>
  <c r="M2088" i="1"/>
  <c r="M3566" i="1"/>
  <c r="M4181" i="1"/>
  <c r="M4182" i="1"/>
  <c r="M2480" i="1"/>
  <c r="M3122" i="1"/>
  <c r="M1421" i="1"/>
  <c r="M2327" i="1"/>
  <c r="M3503" i="1"/>
  <c r="M4907" i="1"/>
  <c r="M4671" i="1"/>
  <c r="M1422" i="1"/>
  <c r="M1423" i="1"/>
  <c r="M544" i="1"/>
  <c r="M954" i="1"/>
  <c r="M4183" i="1"/>
  <c r="M4184" i="1"/>
  <c r="M4807" i="1"/>
  <c r="M1424" i="1"/>
  <c r="M3123" i="1"/>
  <c r="M4185" i="1"/>
  <c r="M1707" i="1"/>
  <c r="M4855" i="1"/>
  <c r="M3790" i="1"/>
  <c r="M1053" i="1"/>
  <c r="M4731" i="1"/>
  <c r="M3124" i="1"/>
  <c r="M4729" i="1"/>
  <c r="M1875" i="1"/>
  <c r="M3978" i="1"/>
  <c r="M738" i="1"/>
  <c r="M1292" i="1"/>
  <c r="M739" i="1"/>
  <c r="M1116" i="1"/>
  <c r="M408" i="1"/>
  <c r="M740" i="1"/>
  <c r="M3446" i="1"/>
  <c r="M2574" i="1"/>
  <c r="M2092" i="1"/>
  <c r="M2239" i="1"/>
  <c r="M4844" i="1"/>
  <c r="M3627" i="1"/>
  <c r="M1425" i="1"/>
  <c r="M1042" i="1"/>
  <c r="M106" i="1"/>
  <c r="M1725" i="1"/>
  <c r="M2078" i="1"/>
  <c r="M3125" i="1"/>
  <c r="M953" i="1"/>
  <c r="M3126" i="1"/>
  <c r="M3979" i="1"/>
  <c r="M3475" i="1"/>
  <c r="M4186" i="1"/>
  <c r="M2800" i="1"/>
  <c r="M2483" i="1"/>
  <c r="M2484" i="1"/>
  <c r="M1426" i="1"/>
  <c r="M741" i="1"/>
  <c r="M2801" i="1"/>
  <c r="M3980" i="1"/>
  <c r="M4187" i="1"/>
  <c r="M1427" i="1"/>
  <c r="M3127" i="1"/>
  <c r="M2178" i="1"/>
  <c r="M4188" i="1"/>
  <c r="M1059" i="1"/>
  <c r="M545" i="1"/>
  <c r="M4189" i="1"/>
  <c r="M1043" i="1"/>
  <c r="M2635" i="1"/>
  <c r="M1103" i="1"/>
  <c r="M1293" i="1"/>
  <c r="M4190" i="1"/>
  <c r="M742" i="1"/>
  <c r="M1428" i="1"/>
  <c r="M4191" i="1"/>
  <c r="M4614" i="1"/>
  <c r="M2624" i="1"/>
  <c r="M3668" i="1"/>
  <c r="M2802" i="1"/>
  <c r="M4192" i="1"/>
  <c r="M1748" i="1"/>
  <c r="M885" i="1"/>
  <c r="M4193" i="1"/>
  <c r="M2347" i="1"/>
  <c r="M4996" i="1"/>
  <c r="M1629" i="1"/>
  <c r="M4194" i="1"/>
  <c r="M743" i="1"/>
  <c r="M3981" i="1"/>
  <c r="M2244" i="1"/>
  <c r="M2402" i="1"/>
  <c r="M1294" i="1"/>
  <c r="M3736" i="1"/>
  <c r="M4195" i="1"/>
  <c r="M364" i="1"/>
  <c r="M46" i="1"/>
  <c r="M2576" i="1"/>
  <c r="M381" i="1"/>
  <c r="M2223" i="1"/>
  <c r="M2072" i="1"/>
  <c r="M744" i="1"/>
  <c r="M4196" i="1"/>
  <c r="M148" i="1"/>
  <c r="M952" i="1"/>
  <c r="M2803" i="1"/>
  <c r="M2195" i="1"/>
  <c r="M546" i="1"/>
  <c r="M3401" i="1"/>
  <c r="M3128" i="1"/>
  <c r="M4852" i="1"/>
  <c r="M2259" i="1"/>
  <c r="M2637" i="1"/>
  <c r="M1952" i="1"/>
  <c r="M3360" i="1"/>
  <c r="M1662" i="1"/>
  <c r="M1198" i="1"/>
  <c r="M1429" i="1"/>
  <c r="M547" i="1"/>
  <c r="M4735" i="1"/>
  <c r="M3778" i="1"/>
  <c r="M2519" i="1"/>
  <c r="M121" i="1"/>
  <c r="M548" i="1"/>
  <c r="M4197" i="1"/>
  <c r="M4883" i="1"/>
  <c r="M2625" i="1"/>
  <c r="M1134" i="1"/>
  <c r="M4571" i="1"/>
  <c r="M4672" i="1"/>
  <c r="M3129" i="1"/>
  <c r="M4198" i="1"/>
  <c r="M2457" i="1"/>
  <c r="M2236" i="1"/>
  <c r="M3504" i="1"/>
  <c r="M4613" i="1"/>
  <c r="M410" i="1"/>
  <c r="M1430" i="1"/>
  <c r="M4199" i="1"/>
  <c r="M1663" i="1"/>
  <c r="M223" i="1"/>
  <c r="M3130" i="1"/>
  <c r="M4200" i="1"/>
  <c r="M3449" i="1"/>
  <c r="M2638" i="1"/>
  <c r="M1832" i="1"/>
  <c r="M4657" i="1"/>
  <c r="M4201" i="1"/>
  <c r="M1295" i="1"/>
  <c r="M1762" i="1"/>
  <c r="M4202" i="1"/>
  <c r="M2804" i="1"/>
  <c r="M1872" i="1"/>
  <c r="M3816" i="1"/>
  <c r="M170" i="1"/>
  <c r="M745" i="1"/>
  <c r="M4203" i="1"/>
  <c r="M1431" i="1"/>
  <c r="M2627" i="1"/>
  <c r="M2805" i="1"/>
  <c r="M468" i="1"/>
  <c r="M4633" i="1"/>
  <c r="M3982" i="1"/>
  <c r="M1162" i="1"/>
  <c r="M2806" i="1"/>
  <c r="M326" i="1"/>
  <c r="M1432" i="1"/>
  <c r="M549" i="1"/>
  <c r="M83" i="1"/>
  <c r="M3805" i="1"/>
  <c r="M4827" i="1"/>
  <c r="M3677" i="1"/>
  <c r="M409" i="1"/>
  <c r="M4694" i="1"/>
  <c r="M3131" i="1"/>
  <c r="M3132" i="1"/>
  <c r="M3983" i="1"/>
  <c r="M1433" i="1"/>
  <c r="M2445" i="1"/>
  <c r="M1296" i="1"/>
  <c r="M2522" i="1"/>
  <c r="M2807" i="1"/>
  <c r="M3133" i="1"/>
  <c r="M382" i="1"/>
  <c r="M3765" i="1"/>
  <c r="M4698" i="1"/>
  <c r="M322" i="1"/>
  <c r="M4204" i="1"/>
  <c r="M2412" i="1"/>
  <c r="M4962" i="1"/>
  <c r="M3984" i="1"/>
  <c r="M4730" i="1"/>
  <c r="M2639" i="1"/>
  <c r="M4935" i="1"/>
  <c r="M2085" i="1"/>
  <c r="M550" i="1"/>
  <c r="M551" i="1"/>
  <c r="M195" i="1"/>
  <c r="M1297" i="1"/>
  <c r="M1144" i="1"/>
  <c r="M4938" i="1"/>
  <c r="M3985" i="1"/>
  <c r="M146" i="1"/>
  <c r="M3134" i="1"/>
  <c r="M1298" i="1"/>
  <c r="M2808" i="1"/>
  <c r="M4965" i="1"/>
  <c r="M1097" i="1"/>
  <c r="M4810" i="1"/>
  <c r="M552" i="1"/>
  <c r="M3135" i="1"/>
  <c r="M4205" i="1"/>
  <c r="M746" i="1"/>
  <c r="M3535" i="1"/>
  <c r="M435" i="1"/>
  <c r="M1749" i="1"/>
  <c r="M3136" i="1"/>
  <c r="M2809" i="1"/>
  <c r="M4612" i="1"/>
  <c r="M383" i="1"/>
  <c r="M747" i="1"/>
  <c r="M2810" i="1"/>
  <c r="M4206" i="1"/>
  <c r="M1647" i="1"/>
  <c r="M2299" i="1"/>
  <c r="M3137" i="1"/>
  <c r="M2093" i="1"/>
  <c r="M553" i="1"/>
  <c r="M748" i="1"/>
  <c r="M4207" i="1"/>
  <c r="M1130" i="1"/>
  <c r="M365" i="1"/>
  <c r="M411" i="1"/>
  <c r="M894" i="1"/>
  <c r="M4674" i="1"/>
  <c r="M749" i="1"/>
  <c r="M2523" i="1"/>
  <c r="M3674" i="1"/>
  <c r="M3986" i="1"/>
  <c r="M3987" i="1"/>
  <c r="M1738" i="1"/>
  <c r="M437" i="1"/>
  <c r="M2204" i="1"/>
  <c r="M3988" i="1"/>
  <c r="M4208" i="1"/>
  <c r="M2811" i="1"/>
  <c r="M3989" i="1"/>
  <c r="M2812" i="1"/>
  <c r="M2068" i="1"/>
  <c r="M4209" i="1"/>
  <c r="M2633" i="1"/>
  <c r="M1956" i="1"/>
  <c r="M1434" i="1"/>
  <c r="M2423" i="1"/>
  <c r="M245" i="1"/>
  <c r="M1129" i="1"/>
  <c r="M2317" i="1"/>
  <c r="M3138" i="1"/>
  <c r="M2177" i="1"/>
  <c r="M2269" i="1"/>
  <c r="M3990" i="1"/>
  <c r="M1690" i="1"/>
  <c r="M2813" i="1"/>
  <c r="M2814" i="1"/>
  <c r="M3539" i="1"/>
  <c r="M4210" i="1"/>
  <c r="M2362" i="1"/>
  <c r="M273" i="1"/>
  <c r="M4573" i="1"/>
  <c r="M908" i="1"/>
  <c r="M4211" i="1"/>
  <c r="M1191" i="1"/>
  <c r="M3756" i="1"/>
  <c r="M4212" i="1"/>
  <c r="M3701" i="1"/>
  <c r="M2815" i="1"/>
  <c r="M750" i="1"/>
  <c r="M3567" i="1"/>
  <c r="M354" i="1"/>
  <c r="M2027" i="1"/>
  <c r="M4213" i="1"/>
  <c r="M554" i="1"/>
  <c r="M4595" i="1"/>
  <c r="M3815" i="1"/>
  <c r="M910" i="1"/>
  <c r="M2634" i="1"/>
  <c r="M3991" i="1"/>
  <c r="M3612" i="1"/>
  <c r="M1435" i="1"/>
  <c r="M955" i="1"/>
  <c r="M2170" i="1"/>
  <c r="M2527" i="1"/>
  <c r="M3358" i="1"/>
  <c r="M3992" i="1"/>
  <c r="M1834" i="1"/>
  <c r="M2073" i="1"/>
  <c r="M4939" i="1"/>
  <c r="M2268" i="1"/>
  <c r="M3473" i="1"/>
  <c r="M438" i="1"/>
  <c r="M87" i="1"/>
  <c r="M2816" i="1"/>
  <c r="M3686" i="1"/>
  <c r="M1953" i="1"/>
  <c r="M1628" i="1"/>
  <c r="M3139" i="1"/>
  <c r="M3140" i="1"/>
  <c r="M4214" i="1"/>
  <c r="M2035" i="1"/>
  <c r="M2479" i="1"/>
  <c r="M3141" i="1"/>
  <c r="M2050" i="1"/>
  <c r="M4215" i="1"/>
  <c r="M4732" i="1"/>
  <c r="M2578" i="1"/>
  <c r="M154" i="1"/>
  <c r="M1789" i="1"/>
  <c r="M2582" i="1"/>
  <c r="M751" i="1"/>
  <c r="M957" i="1"/>
  <c r="M4216" i="1"/>
  <c r="M555" i="1"/>
  <c r="M2817" i="1"/>
  <c r="M1820" i="1"/>
  <c r="M4217" i="1"/>
  <c r="M4218" i="1"/>
  <c r="M2521" i="1"/>
  <c r="M752" i="1"/>
  <c r="M3142" i="1"/>
  <c r="M2643" i="1"/>
  <c r="M2583" i="1"/>
  <c r="M3143" i="1"/>
  <c r="M4219" i="1"/>
  <c r="M556" i="1"/>
  <c r="M332" i="1"/>
  <c r="M3993" i="1"/>
  <c r="M1436" i="1"/>
  <c r="M4220" i="1"/>
  <c r="M2222" i="1"/>
  <c r="M557" i="1"/>
  <c r="M4221" i="1"/>
  <c r="M753" i="1"/>
  <c r="M4222" i="1"/>
  <c r="M4616" i="1"/>
  <c r="M558" i="1"/>
  <c r="M88" i="1"/>
  <c r="M4794" i="1"/>
  <c r="M2028" i="1"/>
  <c r="M3994" i="1"/>
  <c r="M2351" i="1"/>
  <c r="M1299" i="1"/>
  <c r="M1791" i="1"/>
  <c r="M4759" i="1"/>
  <c r="M1437" i="1"/>
  <c r="M2160" i="1"/>
  <c r="M3995" i="1"/>
  <c r="M1300" i="1"/>
  <c r="M4696" i="1"/>
  <c r="M4654" i="1"/>
  <c r="M3144" i="1"/>
  <c r="M3375" i="1"/>
  <c r="M2407" i="1"/>
  <c r="M4610" i="1"/>
  <c r="M187" i="1"/>
  <c r="M4223" i="1"/>
  <c r="M1922" i="1"/>
  <c r="M4888" i="1"/>
  <c r="M1918" i="1"/>
  <c r="M4224" i="1"/>
  <c r="M3587" i="1"/>
  <c r="M101" i="1"/>
  <c r="M1438" i="1"/>
  <c r="M3506" i="1"/>
  <c r="M4936" i="1"/>
  <c r="M3145" i="1"/>
  <c r="M1781" i="1"/>
  <c r="M4225" i="1"/>
  <c r="M2190" i="1"/>
  <c r="M2159" i="1"/>
  <c r="M1439" i="1"/>
  <c r="M4226" i="1"/>
  <c r="M4812" i="1"/>
  <c r="M4700" i="1"/>
  <c r="M1788" i="1"/>
  <c r="M1440" i="1"/>
  <c r="M1819" i="1"/>
  <c r="M3146" i="1"/>
  <c r="M3147" i="1"/>
  <c r="M989" i="1"/>
  <c r="M2575" i="1"/>
  <c r="M4828" i="1"/>
  <c r="M3428" i="1"/>
  <c r="M4611" i="1"/>
  <c r="M4227" i="1"/>
  <c r="M1441" i="1"/>
  <c r="M247" i="1"/>
  <c r="M156" i="1"/>
  <c r="M2630" i="1"/>
  <c r="M3702" i="1"/>
  <c r="M4228" i="1"/>
  <c r="M2305" i="1"/>
  <c r="M4868" i="1"/>
  <c r="M4739" i="1"/>
  <c r="M4229" i="1"/>
  <c r="M4230" i="1"/>
  <c r="M2332" i="1"/>
  <c r="M1098" i="1"/>
  <c r="M4853" i="1"/>
  <c r="M4675" i="1"/>
  <c r="M2312" i="1"/>
  <c r="M1700" i="1"/>
  <c r="M4231" i="1"/>
  <c r="M4232" i="1"/>
  <c r="M754" i="1"/>
  <c r="M3996" i="1"/>
  <c r="M559" i="1"/>
  <c r="M2818" i="1"/>
  <c r="M755" i="1"/>
  <c r="M2237" i="1"/>
  <c r="M3148" i="1"/>
  <c r="M3474" i="1"/>
  <c r="M2289" i="1"/>
  <c r="M2819" i="1"/>
  <c r="M2628" i="1"/>
  <c r="M2820" i="1"/>
  <c r="M2821" i="1"/>
  <c r="M1442" i="1"/>
  <c r="M4233" i="1"/>
  <c r="M1111" i="1"/>
  <c r="M4234" i="1"/>
  <c r="M1301" i="1"/>
  <c r="M2632" i="1"/>
  <c r="M1763" i="1"/>
  <c r="M3149" i="1"/>
  <c r="M940" i="1"/>
  <c r="M3150" i="1"/>
  <c r="M988" i="1"/>
  <c r="M60" i="1"/>
  <c r="M1946" i="1"/>
  <c r="M1119" i="1"/>
  <c r="M1443" i="1"/>
  <c r="M3618" i="1"/>
  <c r="M3151" i="1"/>
  <c r="M2481" i="1"/>
  <c r="M2227" i="1"/>
  <c r="M4235" i="1"/>
  <c r="M1302" i="1"/>
  <c r="M756" i="1"/>
  <c r="M4677" i="1"/>
  <c r="M1444" i="1"/>
  <c r="M2685" i="1"/>
  <c r="M2822" i="1"/>
  <c r="M2070" i="1"/>
  <c r="M1994" i="1"/>
  <c r="M1726" i="1"/>
  <c r="M3152" i="1"/>
  <c r="M2823" i="1"/>
  <c r="M560" i="1"/>
  <c r="M1445" i="1"/>
  <c r="M3997" i="1"/>
  <c r="M299" i="1"/>
  <c r="M2325" i="1"/>
  <c r="M1765" i="1"/>
  <c r="M2122" i="1"/>
  <c r="M945" i="1"/>
  <c r="M4236" i="1"/>
  <c r="M2334" i="1"/>
  <c r="M3153" i="1"/>
  <c r="M4237" i="1"/>
  <c r="M4238" i="1"/>
  <c r="M1303" i="1"/>
  <c r="M896" i="1"/>
  <c r="M889" i="1"/>
  <c r="M561" i="1"/>
  <c r="M2824" i="1"/>
  <c r="M3154" i="1"/>
  <c r="M263" i="1"/>
  <c r="M1446" i="1"/>
  <c r="M1083" i="1"/>
  <c r="M1709" i="1"/>
  <c r="M1447" i="1"/>
  <c r="M4820" i="1"/>
  <c r="M2186" i="1"/>
  <c r="M4911" i="1"/>
  <c r="M370" i="1"/>
  <c r="M3155" i="1"/>
  <c r="M4239" i="1"/>
  <c r="M2163" i="1"/>
  <c r="M1708" i="1"/>
  <c r="M1633" i="1"/>
  <c r="M1304" i="1"/>
  <c r="M4240" i="1"/>
  <c r="M4241" i="1"/>
  <c r="M4242" i="1"/>
  <c r="M4243" i="1"/>
  <c r="M4244" i="1"/>
  <c r="M3619" i="1"/>
  <c r="M4697" i="1"/>
  <c r="M2389" i="1"/>
  <c r="M1448" i="1"/>
  <c r="M3998" i="1"/>
  <c r="M3156" i="1"/>
  <c r="M4912" i="1"/>
  <c r="M4811" i="1"/>
  <c r="M3766" i="1"/>
  <c r="M3157" i="1"/>
  <c r="M2011" i="1"/>
  <c r="M2825" i="1"/>
  <c r="M1101" i="1"/>
  <c r="M972" i="1"/>
  <c r="M4245" i="1"/>
  <c r="M4246" i="1"/>
  <c r="M3158" i="1"/>
  <c r="M51" i="1"/>
  <c r="M1449" i="1"/>
  <c r="M1450" i="1"/>
  <c r="M3537" i="1"/>
  <c r="M4247" i="1"/>
  <c r="M1899" i="1"/>
  <c r="M2482" i="1"/>
  <c r="M3422" i="1"/>
  <c r="M4248" i="1"/>
  <c r="M4249" i="1"/>
  <c r="M757" i="1"/>
  <c r="M2524" i="1"/>
  <c r="M1451" i="1"/>
  <c r="M4884" i="1"/>
  <c r="M3999" i="1"/>
  <c r="M4250" i="1"/>
  <c r="M45" i="1"/>
  <c r="M4000" i="1"/>
  <c r="M3159" i="1"/>
  <c r="M1125" i="1"/>
  <c r="M3160" i="1"/>
  <c r="M4885" i="1"/>
  <c r="M4001" i="1"/>
  <c r="M1452" i="1"/>
  <c r="M1941" i="1"/>
  <c r="M1074" i="1"/>
  <c r="M4251" i="1"/>
  <c r="M4821" i="1"/>
  <c r="M562" i="1"/>
  <c r="M758" i="1"/>
  <c r="M3477" i="1"/>
  <c r="M1146" i="1"/>
  <c r="M2640" i="1"/>
  <c r="M4002" i="1"/>
  <c r="M235" i="1"/>
  <c r="M373" i="1"/>
  <c r="M4252" i="1"/>
  <c r="M1453" i="1"/>
  <c r="M3404" i="1"/>
  <c r="M4572" i="1"/>
  <c r="M563" i="1"/>
  <c r="M4003" i="1"/>
  <c r="M2826" i="1"/>
  <c r="M1181" i="1"/>
  <c r="M2827" i="1"/>
  <c r="M208" i="1"/>
  <c r="M564" i="1"/>
  <c r="M2828" i="1"/>
  <c r="M1454" i="1"/>
  <c r="M1455" i="1"/>
  <c r="M4253" i="1"/>
  <c r="M2529" i="1"/>
  <c r="M4254" i="1"/>
  <c r="M4255" i="1"/>
  <c r="M1664" i="1"/>
  <c r="M2322" i="1"/>
  <c r="M250" i="1"/>
  <c r="M3379" i="1"/>
  <c r="M2273" i="1"/>
  <c r="M21" i="1"/>
  <c r="M1021" i="1"/>
  <c r="M1064" i="1"/>
  <c r="M4826" i="1"/>
  <c r="M1650" i="1"/>
  <c r="M4256" i="1"/>
  <c r="M2383" i="1"/>
  <c r="M1305" i="1"/>
  <c r="M2829" i="1"/>
  <c r="M2830" i="1"/>
  <c r="M2095" i="1"/>
  <c r="M956" i="1"/>
  <c r="M1306" i="1"/>
  <c r="M4886" i="1"/>
  <c r="M2352" i="1"/>
  <c r="M2031" i="1"/>
  <c r="M215" i="1"/>
  <c r="M759" i="1"/>
  <c r="M2281" i="1"/>
  <c r="M4910" i="1"/>
  <c r="M1307" i="1"/>
  <c r="M1158" i="1"/>
  <c r="M4004" i="1"/>
  <c r="M1876" i="1"/>
  <c r="M3541" i="1"/>
  <c r="M1936" i="1"/>
  <c r="M4257" i="1"/>
  <c r="M2831" i="1"/>
  <c r="M3161" i="1"/>
  <c r="M1681" i="1"/>
  <c r="M3162" i="1"/>
  <c r="M2306" i="1"/>
  <c r="M3739" i="1"/>
  <c r="M4699" i="1"/>
  <c r="M1942" i="1"/>
  <c r="M4809" i="1"/>
  <c r="M2579" i="1"/>
  <c r="M386" i="1"/>
  <c r="M2304" i="1"/>
  <c r="M565" i="1"/>
  <c r="M4258" i="1"/>
  <c r="M4678" i="1"/>
  <c r="M3380" i="1"/>
  <c r="M3737" i="1"/>
  <c r="M4259" i="1"/>
  <c r="M1456" i="1"/>
  <c r="M2442" i="1"/>
  <c r="M4260" i="1"/>
  <c r="M270" i="1"/>
  <c r="M278" i="1"/>
  <c r="M2580" i="1"/>
  <c r="M566" i="1"/>
  <c r="M3543" i="1"/>
  <c r="M987" i="1"/>
  <c r="M3687" i="1"/>
  <c r="M3635" i="1"/>
  <c r="M4261" i="1"/>
  <c r="M2832" i="1"/>
  <c r="M243" i="1"/>
  <c r="M4995" i="1"/>
  <c r="M2174" i="1"/>
  <c r="M1848" i="1"/>
  <c r="M1457" i="1"/>
  <c r="M269" i="1"/>
  <c r="M3163" i="1"/>
  <c r="M1037" i="1"/>
  <c r="M3637" i="1"/>
  <c r="M1846" i="1"/>
  <c r="M3818" i="1"/>
  <c r="M1883" i="1"/>
  <c r="M4661" i="1"/>
  <c r="M2103" i="1"/>
  <c r="M1978" i="1"/>
  <c r="M2833" i="1"/>
  <c r="M1835" i="1"/>
  <c r="M2834" i="1"/>
  <c r="M1308" i="1"/>
  <c r="M4262" i="1"/>
  <c r="M2629" i="1"/>
  <c r="M2835" i="1"/>
  <c r="M3164" i="1"/>
  <c r="M3757" i="1"/>
  <c r="M3784" i="1"/>
  <c r="M1458" i="1"/>
  <c r="M367" i="1"/>
  <c r="M144" i="1"/>
  <c r="M262" i="1"/>
  <c r="M1917" i="1"/>
  <c r="M3625" i="1"/>
  <c r="M2488" i="1"/>
  <c r="M4263" i="1"/>
  <c r="M1459" i="1"/>
  <c r="M4264" i="1"/>
  <c r="M2337" i="1"/>
  <c r="M3450" i="1"/>
  <c r="M4265" i="1"/>
  <c r="M4266" i="1"/>
  <c r="M974" i="1"/>
  <c r="M567" i="1"/>
  <c r="M4909" i="1"/>
  <c r="M2324" i="1"/>
  <c r="M2836" i="1"/>
  <c r="M3657" i="1"/>
  <c r="M4733" i="1"/>
  <c r="M2837" i="1"/>
  <c r="M2577" i="1"/>
  <c r="M3165" i="1"/>
  <c r="M4634" i="1"/>
  <c r="M4267" i="1"/>
  <c r="M2158" i="1"/>
  <c r="M2189" i="1"/>
  <c r="M2838" i="1"/>
  <c r="M2631" i="1"/>
  <c r="M11" i="1"/>
  <c r="M274" i="1"/>
  <c r="M4734" i="1"/>
  <c r="M760" i="1"/>
  <c r="M969" i="1"/>
  <c r="M1780" i="1"/>
  <c r="M1460" i="1"/>
  <c r="M3453" i="1"/>
  <c r="M568" i="1"/>
  <c r="M1192" i="1"/>
  <c r="M971" i="1"/>
  <c r="M569" i="1"/>
  <c r="M4619" i="1"/>
  <c r="M4268" i="1"/>
  <c r="M4269" i="1"/>
  <c r="M1864" i="1"/>
  <c r="M3688" i="1"/>
  <c r="M3166" i="1"/>
  <c r="M2839" i="1"/>
  <c r="M3167" i="1"/>
  <c r="M4270" i="1"/>
  <c r="M3811" i="1"/>
  <c r="M4005" i="1"/>
  <c r="M2026" i="1"/>
  <c r="M4271" i="1"/>
  <c r="M2535" i="1"/>
  <c r="M1073" i="1"/>
  <c r="M4272" i="1"/>
  <c r="M4007" i="1"/>
  <c r="M4006" i="1"/>
  <c r="M570" i="1"/>
  <c r="M3808" i="1"/>
  <c r="M2123" i="1"/>
  <c r="M2465" i="1"/>
  <c r="M2348" i="1"/>
  <c r="M1461" i="1"/>
  <c r="M3168" i="1"/>
  <c r="M3169" i="1"/>
  <c r="M212" i="1"/>
  <c r="M2840" i="1"/>
  <c r="M761" i="1"/>
  <c r="M3170" i="1"/>
  <c r="M4273" i="1"/>
  <c r="M1462" i="1"/>
  <c r="M2452" i="1"/>
  <c r="M2136" i="1"/>
  <c r="M2683" i="1"/>
  <c r="M1649" i="1"/>
  <c r="M2403" i="1"/>
  <c r="M4964" i="1"/>
  <c r="M3376" i="1"/>
  <c r="M2313" i="1"/>
  <c r="M3669" i="1"/>
  <c r="M2257" i="1"/>
  <c r="M131" i="1"/>
  <c r="M4008" i="1"/>
  <c r="M220" i="1"/>
  <c r="M4009" i="1"/>
  <c r="M3171" i="1"/>
  <c r="M1309" i="1"/>
  <c r="M4985" i="1"/>
  <c r="M2841" i="1"/>
  <c r="M93" i="1"/>
  <c r="M4986" i="1"/>
  <c r="M4829" i="1"/>
  <c r="M4274" i="1"/>
  <c r="M762" i="1"/>
  <c r="M3172" i="1"/>
  <c r="M4761" i="1"/>
  <c r="M571" i="1"/>
  <c r="M1463" i="1"/>
  <c r="M1464" i="1"/>
  <c r="M173" i="1"/>
  <c r="M4813" i="1"/>
  <c r="M2842" i="1"/>
  <c r="M763" i="1"/>
  <c r="M4276" i="1"/>
  <c r="M4275" i="1"/>
  <c r="M132" i="1"/>
  <c r="M925" i="1"/>
  <c r="M1465" i="1"/>
  <c r="M1632" i="1"/>
  <c r="M3173" i="1"/>
  <c r="M3174" i="1"/>
  <c r="M1466" i="1"/>
  <c r="M4010" i="1"/>
  <c r="M2645" i="1"/>
  <c r="M1173" i="1"/>
  <c r="M2453" i="1"/>
  <c r="M941" i="1"/>
  <c r="M4277" i="1"/>
  <c r="M2531" i="1"/>
  <c r="M1467" i="1"/>
  <c r="M3175" i="1"/>
  <c r="M4278" i="1"/>
  <c r="M1874" i="1"/>
  <c r="M4279" i="1"/>
  <c r="M2843" i="1"/>
  <c r="M2844" i="1"/>
  <c r="M2144" i="1"/>
  <c r="M3176" i="1"/>
  <c r="M1468" i="1"/>
  <c r="M116" i="1"/>
  <c r="M217" i="1"/>
  <c r="M764" i="1"/>
  <c r="M2845" i="1"/>
  <c r="M387" i="1"/>
  <c r="M4011" i="1"/>
  <c r="M3628" i="1"/>
  <c r="M2646" i="1"/>
  <c r="M4280" i="1"/>
  <c r="M216" i="1"/>
  <c r="M328" i="1"/>
  <c r="M2846" i="1"/>
  <c r="M246" i="1"/>
  <c r="M4281" i="1"/>
  <c r="M2429" i="1"/>
  <c r="M2056" i="1"/>
  <c r="M4640" i="1"/>
  <c r="M572" i="1"/>
  <c r="M439" i="1"/>
  <c r="M2847" i="1"/>
  <c r="M1469" i="1"/>
  <c r="M573" i="1"/>
  <c r="M1470" i="1"/>
  <c r="M4913" i="1"/>
  <c r="M4282" i="1"/>
  <c r="M886" i="1"/>
  <c r="M2848" i="1"/>
  <c r="M765" i="1"/>
  <c r="M158" i="1"/>
  <c r="M3177" i="1"/>
  <c r="M1131" i="1"/>
  <c r="M3423" i="1"/>
  <c r="M4283" i="1"/>
  <c r="M766" i="1"/>
  <c r="M2020" i="1"/>
  <c r="M767" i="1"/>
  <c r="M4644" i="1"/>
  <c r="M1790" i="1"/>
  <c r="M1471" i="1"/>
  <c r="M3178" i="1"/>
  <c r="M1988" i="1"/>
  <c r="M1137" i="1"/>
  <c r="M2849" i="1"/>
  <c r="M2198" i="1"/>
  <c r="M213" i="1"/>
  <c r="M3179" i="1"/>
  <c r="M4703" i="1"/>
  <c r="M3707" i="1"/>
  <c r="M990" i="1"/>
  <c r="M1821" i="1"/>
  <c r="M2141" i="1"/>
  <c r="M3180" i="1"/>
  <c r="M239" i="1"/>
  <c r="M1310" i="1"/>
  <c r="M3806" i="1"/>
  <c r="M2850" i="1"/>
  <c r="M1311" i="1"/>
  <c r="M574" i="1"/>
  <c r="M72" i="1"/>
  <c r="M469" i="1"/>
  <c r="M4284" i="1"/>
  <c r="M1036" i="1"/>
  <c r="M4012" i="1"/>
  <c r="M2219" i="1"/>
  <c r="M1907" i="1"/>
  <c r="M29" i="1"/>
  <c r="M970" i="1"/>
  <c r="M1133" i="1"/>
  <c r="M4617" i="1"/>
  <c r="M575" i="1"/>
  <c r="M4890" i="1"/>
  <c r="M4737" i="1"/>
  <c r="M4618" i="1"/>
  <c r="M2851" i="1"/>
  <c r="M3538" i="1"/>
  <c r="M1775" i="1"/>
  <c r="M3480" i="1"/>
  <c r="M225" i="1"/>
  <c r="M3711" i="1"/>
  <c r="M3545" i="1"/>
  <c r="M1008" i="1"/>
  <c r="M4285" i="1"/>
  <c r="M1631" i="1"/>
  <c r="M1472" i="1"/>
  <c r="M1075" i="1"/>
  <c r="M2010" i="1"/>
  <c r="M4286" i="1"/>
  <c r="M4287" i="1"/>
  <c r="M2345" i="1"/>
  <c r="M1764" i="1"/>
  <c r="M4288" i="1"/>
  <c r="M2240" i="1"/>
  <c r="M3451" i="1"/>
  <c r="M355" i="1"/>
  <c r="M3644" i="1"/>
  <c r="M3181" i="1"/>
  <c r="M4289" i="1"/>
  <c r="M768" i="1"/>
  <c r="M2354" i="1"/>
  <c r="M4290" i="1"/>
  <c r="M1473" i="1"/>
  <c r="M2318" i="1"/>
  <c r="M3433" i="1"/>
  <c r="M3741" i="1"/>
  <c r="M2852" i="1"/>
  <c r="M1474" i="1"/>
  <c r="M1475" i="1"/>
  <c r="M1145" i="1"/>
  <c r="M3540" i="1"/>
  <c r="M3620" i="1"/>
  <c r="M103" i="1"/>
  <c r="M909" i="1"/>
  <c r="M1476" i="1"/>
  <c r="M1969" i="1"/>
  <c r="M769" i="1"/>
  <c r="M356" i="1"/>
  <c r="M4013" i="1"/>
  <c r="M1199" i="1"/>
  <c r="M3651" i="1"/>
  <c r="M2530" i="1"/>
  <c r="M4014" i="1"/>
  <c r="M1312" i="1"/>
  <c r="M2647" i="1"/>
  <c r="M2684" i="1"/>
  <c r="M2853" i="1"/>
  <c r="M4291" i="1"/>
  <c r="M3182" i="1"/>
  <c r="M2114" i="1"/>
  <c r="M770" i="1"/>
  <c r="M3721" i="1"/>
  <c r="M20" i="1"/>
  <c r="M3343" i="1"/>
  <c r="M91" i="1"/>
  <c r="M3476" i="1"/>
  <c r="M1477" i="1"/>
  <c r="M3727" i="1"/>
  <c r="M440" i="1"/>
  <c r="M4292" i="1"/>
  <c r="M4293" i="1"/>
  <c r="M4294" i="1"/>
  <c r="M907" i="1"/>
  <c r="M4015" i="1"/>
  <c r="M96" i="1"/>
  <c r="M4295" i="1"/>
  <c r="M4016" i="1"/>
  <c r="M3183" i="1"/>
  <c r="M4968" i="1"/>
  <c r="M1478" i="1"/>
  <c r="M2003" i="1"/>
  <c r="M3184" i="1"/>
  <c r="M2491" i="1"/>
  <c r="M1479" i="1"/>
  <c r="M2854" i="1"/>
  <c r="M3760" i="1"/>
  <c r="M1151" i="1"/>
  <c r="M2855" i="1"/>
  <c r="M3185" i="1"/>
  <c r="M2467" i="1"/>
  <c r="M3186" i="1"/>
  <c r="M3187" i="1"/>
  <c r="M4296" i="1"/>
  <c r="M927" i="1"/>
  <c r="M2856" i="1"/>
  <c r="M2857" i="1"/>
  <c r="M576" i="1"/>
  <c r="M4297" i="1"/>
  <c r="M2858" i="1"/>
  <c r="M975" i="1"/>
  <c r="M4615" i="1"/>
  <c r="M2636" i="1"/>
  <c r="M2859" i="1"/>
  <c r="M4298" i="1"/>
  <c r="M2860" i="1"/>
  <c r="M1201" i="1"/>
  <c r="M3452" i="1"/>
  <c r="M293" i="1"/>
  <c r="M991" i="1"/>
  <c r="M4017" i="1"/>
  <c r="M2278" i="1"/>
  <c r="M1480" i="1"/>
  <c r="M1845" i="1"/>
  <c r="M4018" i="1"/>
  <c r="M1992" i="1"/>
  <c r="M2861" i="1"/>
  <c r="M1822" i="1"/>
  <c r="M70" i="1"/>
  <c r="M4299" i="1"/>
  <c r="M1481" i="1"/>
  <c r="M1833" i="1"/>
  <c r="M1847" i="1"/>
  <c r="M92" i="1"/>
  <c r="M2581" i="1"/>
  <c r="M2644" i="1"/>
  <c r="M1970" i="1"/>
  <c r="M4860" i="1"/>
  <c r="M4762" i="1"/>
  <c r="M1110" i="1"/>
  <c r="M4019" i="1"/>
  <c r="M4020" i="1"/>
  <c r="M3458" i="1"/>
  <c r="M4940" i="1"/>
  <c r="M1313" i="1"/>
  <c r="M4969" i="1"/>
  <c r="M1971" i="1"/>
  <c r="M2487" i="1"/>
  <c r="M4300" i="1"/>
  <c r="M4760" i="1"/>
  <c r="M58" i="1"/>
  <c r="M4814" i="1"/>
  <c r="M1777" i="1"/>
  <c r="M577" i="1"/>
  <c r="M3407" i="1"/>
  <c r="M22" i="1"/>
  <c r="M1482" i="1"/>
  <c r="M1038" i="1"/>
  <c r="M4942" i="1"/>
  <c r="M578" i="1"/>
  <c r="M1957" i="1"/>
  <c r="M4301" i="1"/>
  <c r="M2048" i="1"/>
  <c r="M3188" i="1"/>
  <c r="M579" i="1"/>
  <c r="M4621" i="1"/>
  <c r="M4846" i="1"/>
  <c r="M1314" i="1"/>
  <c r="M1751" i="1"/>
  <c r="M1483" i="1"/>
  <c r="M1484" i="1"/>
  <c r="M2037" i="1"/>
  <c r="M3189" i="1"/>
  <c r="M3751" i="1"/>
  <c r="M580" i="1"/>
  <c r="M1006" i="1"/>
  <c r="M1140" i="1"/>
  <c r="M2862" i="1"/>
  <c r="M4658" i="1"/>
  <c r="M4736" i="1"/>
  <c r="M2335" i="1"/>
  <c r="M15" i="1"/>
  <c r="M2303" i="1"/>
  <c r="M1055" i="1"/>
  <c r="M368" i="1"/>
  <c r="M1200" i="1"/>
  <c r="M2384" i="1"/>
  <c r="M3692" i="1"/>
  <c r="M973" i="1"/>
  <c r="M581" i="1"/>
  <c r="M2863" i="1"/>
  <c r="M1315" i="1"/>
  <c r="M2373" i="1"/>
  <c r="M4302" i="1"/>
  <c r="M442" i="1"/>
  <c r="M4781" i="1"/>
  <c r="M3190" i="1"/>
  <c r="M369" i="1"/>
  <c r="M4303" i="1"/>
  <c r="M771" i="1"/>
  <c r="M2864" i="1"/>
  <c r="M4646" i="1"/>
  <c r="M73" i="1"/>
  <c r="M4966" i="1"/>
  <c r="M3191" i="1"/>
  <c r="M3192" i="1"/>
  <c r="M4937" i="1"/>
  <c r="M582" i="1"/>
  <c r="M2865" i="1"/>
  <c r="M2866" i="1"/>
  <c r="M1886" i="1"/>
  <c r="M4304" i="1"/>
  <c r="M4305" i="1"/>
  <c r="M583" i="1"/>
  <c r="M80" i="1"/>
  <c r="M772" i="1"/>
  <c r="M3680" i="1"/>
  <c r="M2001" i="1"/>
  <c r="M1096" i="1"/>
  <c r="M277" i="1"/>
  <c r="M1966" i="1"/>
  <c r="M55" i="1"/>
  <c r="M4306" i="1"/>
  <c r="M4307" i="1"/>
  <c r="M2049" i="1"/>
  <c r="M3377" i="1"/>
  <c r="M2538" i="1"/>
  <c r="M34" i="1"/>
  <c r="M4850" i="1"/>
  <c r="M4308" i="1"/>
  <c r="M2274" i="1"/>
  <c r="M584" i="1"/>
  <c r="M4830" i="1"/>
  <c r="M924" i="1"/>
  <c r="M3419" i="1"/>
  <c r="M1767" i="1"/>
  <c r="M4309" i="1"/>
  <c r="M3800" i="1"/>
  <c r="M43" i="1"/>
  <c r="M1485" i="1"/>
  <c r="M1860" i="1"/>
  <c r="M3454" i="1"/>
  <c r="M3193" i="1"/>
  <c r="M4310" i="1"/>
  <c r="M4311" i="1"/>
  <c r="M1486" i="1"/>
  <c r="M3194" i="1"/>
  <c r="M2867" i="1"/>
  <c r="M1487" i="1"/>
  <c r="M27" i="1"/>
  <c r="M443" i="1"/>
  <c r="M773" i="1"/>
  <c r="M958" i="1"/>
  <c r="M266" i="1"/>
  <c r="M282" i="1"/>
  <c r="M4676" i="1"/>
  <c r="M56" i="1"/>
  <c r="M585" i="1"/>
  <c r="M1035" i="1"/>
  <c r="M4021" i="1"/>
  <c r="M1150" i="1"/>
  <c r="M3195" i="1"/>
  <c r="M774" i="1"/>
  <c r="M4312" i="1"/>
  <c r="M384" i="1"/>
  <c r="M775" i="1"/>
  <c r="M3196" i="1"/>
  <c r="M4313" i="1"/>
  <c r="M2868" i="1"/>
  <c r="M385" i="1"/>
  <c r="M2156" i="1"/>
  <c r="M586" i="1"/>
  <c r="M2869" i="1"/>
  <c r="M1754" i="1"/>
  <c r="M2293" i="1"/>
  <c r="M776" i="1"/>
  <c r="M2106" i="1"/>
  <c r="M1488" i="1"/>
  <c r="M4967" i="1"/>
  <c r="M168" i="1"/>
  <c r="M2539" i="1"/>
  <c r="M3197" i="1"/>
  <c r="M102" i="1"/>
  <c r="M4314" i="1"/>
  <c r="M2870" i="1"/>
  <c r="M81" i="1"/>
  <c r="M777" i="1"/>
  <c r="M1066" i="1"/>
  <c r="M2528" i="1"/>
  <c r="M348" i="1"/>
  <c r="M3198" i="1"/>
  <c r="M3650" i="1"/>
  <c r="M778" i="1"/>
  <c r="M1793" i="1"/>
  <c r="M3629" i="1"/>
  <c r="M2130" i="1"/>
  <c r="M587" i="1"/>
  <c r="M4315" i="1"/>
  <c r="M1022" i="1"/>
  <c r="M883" i="1"/>
  <c r="M4316" i="1"/>
  <c r="M779" i="1"/>
  <c r="M2871" i="1"/>
  <c r="M3199" i="1"/>
  <c r="M780" i="1"/>
  <c r="M1061" i="1"/>
  <c r="M2323" i="1"/>
  <c r="M4782" i="1"/>
  <c r="M3378" i="1"/>
  <c r="M588" i="1"/>
  <c r="M4317" i="1"/>
  <c r="M589" i="1"/>
  <c r="M2641" i="1"/>
  <c r="M1489" i="1"/>
  <c r="M4918" i="1"/>
  <c r="M1490" i="1"/>
  <c r="M3752" i="1"/>
  <c r="M1054" i="1"/>
  <c r="M1634" i="1"/>
  <c r="M2872" i="1"/>
  <c r="M3761" i="1"/>
  <c r="M2873" i="1"/>
  <c r="M2541" i="1"/>
  <c r="M3571" i="1"/>
  <c r="M2874" i="1"/>
  <c r="M590" i="1"/>
  <c r="M331" i="1"/>
  <c r="M2875" i="1"/>
  <c r="M109" i="1"/>
  <c r="M1903" i="1"/>
  <c r="M2485" i="1"/>
  <c r="M4318" i="1"/>
  <c r="M307" i="1"/>
  <c r="M1980" i="1"/>
  <c r="M4022" i="1"/>
  <c r="M1491" i="1"/>
  <c r="M1911" i="1"/>
  <c r="M3200" i="1"/>
  <c r="M251" i="1"/>
  <c r="M1492" i="1"/>
  <c r="M4319" i="1"/>
  <c r="M4023" i="1"/>
  <c r="M3767" i="1"/>
  <c r="M2102" i="1"/>
  <c r="M1954" i="1"/>
  <c r="M1169" i="1"/>
  <c r="M3201" i="1"/>
  <c r="M3202" i="1"/>
  <c r="M1651" i="1"/>
  <c r="M1493" i="1"/>
  <c r="M4744" i="1"/>
  <c r="M3740" i="1"/>
  <c r="M4320" i="1"/>
  <c r="M2876" i="1"/>
  <c r="M3203" i="1"/>
  <c r="M1494" i="1"/>
  <c r="M37" i="1"/>
  <c r="M1902" i="1"/>
  <c r="M2642" i="1"/>
  <c r="M1084" i="1"/>
  <c r="M591" i="1"/>
  <c r="M2534" i="1"/>
  <c r="M781" i="1"/>
  <c r="M1495" i="1"/>
  <c r="M1769" i="1"/>
  <c r="M3455" i="1"/>
  <c r="M3204" i="1"/>
  <c r="M782" i="1"/>
  <c r="M2058" i="1"/>
  <c r="M2466" i="1"/>
  <c r="M4321" i="1"/>
  <c r="M4322" i="1"/>
  <c r="M1711" i="1"/>
  <c r="M2486" i="1"/>
  <c r="M3205" i="1"/>
  <c r="M301" i="1"/>
  <c r="M1316" i="1"/>
  <c r="M4323" i="1"/>
  <c r="M1152" i="1"/>
  <c r="M1065" i="1"/>
  <c r="M412" i="1"/>
  <c r="M85" i="1"/>
  <c r="M4324" i="1"/>
  <c r="M2494" i="1"/>
  <c r="M1317" i="1"/>
  <c r="M2877" i="1"/>
  <c r="M3791" i="1"/>
  <c r="M4325" i="1"/>
  <c r="M2380" i="1"/>
  <c r="M1318" i="1"/>
  <c r="M3349" i="1"/>
  <c r="M4854" i="1"/>
  <c r="M4024" i="1"/>
  <c r="M3460" i="1"/>
  <c r="M2086" i="1"/>
  <c r="M4025" i="1"/>
  <c r="M592" i="1"/>
  <c r="M4326" i="1"/>
  <c r="M1319" i="1"/>
  <c r="M3381" i="1"/>
  <c r="M4327" i="1"/>
  <c r="M783" i="1"/>
  <c r="M1740" i="1"/>
  <c r="M2346" i="1"/>
  <c r="M3759" i="1"/>
  <c r="M1691" i="1"/>
  <c r="M1752" i="1"/>
  <c r="M3206" i="1"/>
  <c r="M1320" i="1"/>
  <c r="M1025" i="1"/>
  <c r="M4328" i="1"/>
  <c r="M1823" i="1"/>
  <c r="M4329" i="1"/>
  <c r="M3801" i="1"/>
  <c r="M4026" i="1"/>
  <c r="M1982" i="1"/>
  <c r="M2878" i="1"/>
  <c r="M2357" i="1"/>
  <c r="M1321" i="1"/>
  <c r="M3748" i="1"/>
  <c r="M4330" i="1"/>
  <c r="M4740" i="1"/>
  <c r="M942" i="1"/>
  <c r="M26" i="1"/>
  <c r="M2879" i="1"/>
  <c r="M1496" i="1"/>
  <c r="M4331" i="1"/>
  <c r="M416" i="1"/>
  <c r="M3665" i="1"/>
  <c r="M171" i="1"/>
  <c r="M4599" i="1"/>
  <c r="M2880" i="1"/>
  <c r="M4332" i="1"/>
  <c r="M441" i="1"/>
  <c r="M314" i="1"/>
  <c r="M593" i="1"/>
  <c r="M292" i="1"/>
  <c r="M4738" i="1"/>
  <c r="M1937" i="1"/>
  <c r="M4891" i="1"/>
  <c r="M3481" i="1"/>
  <c r="M2881" i="1"/>
  <c r="M3590" i="1"/>
  <c r="M1322" i="1"/>
  <c r="M1989" i="1"/>
  <c r="M4333" i="1"/>
  <c r="M1753" i="1"/>
  <c r="M3207" i="1"/>
  <c r="M2585" i="1"/>
  <c r="M1750" i="1"/>
  <c r="M4887" i="1"/>
  <c r="M1958" i="1"/>
  <c r="M4027" i="1"/>
  <c r="M784" i="1"/>
  <c r="M2882" i="1"/>
  <c r="M3208" i="1"/>
  <c r="M4334" i="1"/>
  <c r="M2126" i="1"/>
  <c r="M3367" i="1"/>
  <c r="M4335" i="1"/>
  <c r="M1497" i="1"/>
  <c r="M4336" i="1"/>
  <c r="M3382" i="1"/>
  <c r="M4914" i="1"/>
  <c r="M47" i="1"/>
  <c r="M279" i="1"/>
  <c r="M928" i="1"/>
  <c r="M3209" i="1"/>
  <c r="M4596" i="1"/>
  <c r="M1498" i="1"/>
  <c r="M2883" i="1"/>
  <c r="M4337" i="1"/>
  <c r="M1783" i="1"/>
  <c r="M1770" i="1"/>
  <c r="M4338" i="1"/>
  <c r="M785" i="1"/>
  <c r="M3623" i="1"/>
  <c r="M2358" i="1"/>
  <c r="M296" i="1"/>
  <c r="M1163" i="1"/>
  <c r="M4028" i="1"/>
  <c r="M1873" i="1"/>
  <c r="M4339" i="1"/>
  <c r="M4340" i="1"/>
  <c r="M2396" i="1"/>
  <c r="M3210" i="1"/>
  <c r="M265" i="1"/>
  <c r="M1900" i="1"/>
  <c r="M174" i="1"/>
  <c r="M3549" i="1"/>
  <c r="M4341" i="1"/>
  <c r="M786" i="1"/>
  <c r="M4342" i="1"/>
  <c r="M413" i="1"/>
  <c r="M594" i="1"/>
  <c r="M2328" i="1"/>
  <c r="M787" i="1"/>
  <c r="M2492" i="1"/>
  <c r="M33" i="1"/>
  <c r="M3333" i="1"/>
  <c r="M4941" i="1"/>
  <c r="M4701" i="1"/>
  <c r="M1928" i="1"/>
  <c r="M1926" i="1"/>
  <c r="M595" i="1"/>
  <c r="M4343" i="1"/>
  <c r="M4344" i="1"/>
  <c r="M2007" i="1"/>
  <c r="M8" i="1"/>
  <c r="M351" i="1"/>
  <c r="M3211" i="1"/>
  <c r="M151" i="1"/>
  <c r="M596" i="1"/>
  <c r="M1856" i="1"/>
  <c r="M3693" i="1"/>
  <c r="M2884" i="1"/>
  <c r="M3758" i="1"/>
  <c r="M1965" i="1"/>
  <c r="M417" i="1"/>
  <c r="M4862" i="1"/>
  <c r="M2885" i="1"/>
  <c r="M2183" i="1"/>
  <c r="M3212" i="1"/>
  <c r="M4029" i="1"/>
  <c r="M1925" i="1"/>
  <c r="M2191" i="1"/>
  <c r="M4345" i="1"/>
  <c r="M4831" i="1"/>
  <c r="M1924" i="1"/>
  <c r="M788" i="1"/>
  <c r="M320" i="1"/>
  <c r="M1676" i="1"/>
  <c r="M1323" i="1"/>
  <c r="M3213" i="1"/>
  <c r="M789" i="1"/>
  <c r="M4346" i="1"/>
  <c r="M790" i="1"/>
  <c r="M4347" i="1"/>
  <c r="M1499" i="1"/>
  <c r="M4348" i="1"/>
  <c r="M3214" i="1"/>
  <c r="M597" i="1"/>
  <c r="M2381" i="1"/>
  <c r="M3215" i="1"/>
  <c r="M3216" i="1"/>
  <c r="M3638" i="1"/>
  <c r="M4349" i="1"/>
  <c r="M2355" i="1"/>
  <c r="M2886" i="1"/>
  <c r="M3729" i="1"/>
  <c r="M4350" i="1"/>
  <c r="M3217" i="1"/>
  <c r="M2887" i="1"/>
  <c r="M4030" i="1"/>
  <c r="M887" i="1"/>
  <c r="M4351" i="1"/>
  <c r="M2083" i="1"/>
  <c r="M1324" i="1"/>
  <c r="M959" i="1"/>
  <c r="M1692" i="1"/>
  <c r="M4352" i="1"/>
  <c r="M4353" i="1"/>
  <c r="M2532" i="1"/>
  <c r="M4354" i="1"/>
  <c r="M2888" i="1"/>
  <c r="M1013" i="1"/>
  <c r="M3542" i="1"/>
  <c r="M1984" i="1"/>
  <c r="M1060" i="1"/>
  <c r="M2650" i="1"/>
  <c r="M447" i="1"/>
  <c r="M900" i="1"/>
  <c r="M3589" i="1"/>
  <c r="M4031" i="1"/>
  <c r="M295" i="1"/>
  <c r="M3218" i="1"/>
  <c r="M791" i="1"/>
  <c r="M470" i="1"/>
  <c r="M3546" i="1"/>
  <c r="M4355" i="1"/>
  <c r="M4356" i="1"/>
  <c r="M1500" i="1"/>
  <c r="M4743" i="1"/>
  <c r="M598" i="1"/>
  <c r="M3568" i="1"/>
  <c r="M792" i="1"/>
  <c r="M3483" i="1"/>
  <c r="M2889" i="1"/>
  <c r="M4357" i="1"/>
  <c r="M4358" i="1"/>
  <c r="M4359" i="1"/>
  <c r="M1865" i="1"/>
  <c r="M793" i="1"/>
  <c r="M4360" i="1"/>
  <c r="M2113" i="1"/>
  <c r="M3219" i="1"/>
  <c r="M4032" i="1"/>
  <c r="M1325" i="1"/>
  <c r="M160" i="1"/>
  <c r="M599" i="1"/>
  <c r="M3220" i="1"/>
  <c r="M1501" i="1"/>
  <c r="M1051" i="1"/>
  <c r="M1502" i="1"/>
  <c r="M1794" i="1"/>
  <c r="M1979" i="1"/>
  <c r="M4917" i="1"/>
  <c r="M1503" i="1"/>
  <c r="M1504" i="1"/>
  <c r="M1693" i="1"/>
  <c r="M2331" i="1"/>
  <c r="M794" i="1"/>
  <c r="M4741" i="1"/>
  <c r="M115" i="1"/>
  <c r="M912" i="1"/>
  <c r="M2046" i="1"/>
  <c r="M2032" i="1"/>
  <c r="M4971" i="1"/>
  <c r="M4361" i="1"/>
  <c r="M2443" i="1"/>
  <c r="M1944" i="1"/>
  <c r="M1505" i="1"/>
  <c r="M4597" i="1"/>
  <c r="M371" i="1"/>
  <c r="M3221" i="1"/>
  <c r="M1506" i="1"/>
  <c r="M1507" i="1"/>
  <c r="M1188" i="1"/>
  <c r="M448" i="1"/>
  <c r="M4653" i="1"/>
  <c r="M3222" i="1"/>
  <c r="M372" i="1"/>
  <c r="M4362" i="1"/>
  <c r="M2890" i="1"/>
  <c r="M4363" i="1"/>
  <c r="M128" i="1"/>
  <c r="M3364" i="1"/>
  <c r="M2891" i="1"/>
  <c r="M2041" i="1"/>
  <c r="M2449" i="1"/>
  <c r="M3223" i="1"/>
  <c r="M178" i="1"/>
  <c r="M3588" i="1"/>
  <c r="M97" i="1"/>
  <c r="M2892" i="1"/>
  <c r="M2893" i="1"/>
  <c r="M309" i="1"/>
  <c r="M255" i="1"/>
  <c r="M2894" i="1"/>
  <c r="M3639" i="1"/>
  <c r="M4033" i="1"/>
  <c r="M3812" i="1"/>
  <c r="M1508" i="1"/>
  <c r="M334" i="1"/>
  <c r="M4034" i="1"/>
  <c r="M2096" i="1"/>
  <c r="M4623" i="1"/>
  <c r="M4364" i="1"/>
  <c r="M600" i="1"/>
  <c r="M4365" i="1"/>
  <c r="M1120" i="1"/>
  <c r="M1836" i="1"/>
  <c r="M1782" i="1"/>
  <c r="M4945" i="1"/>
  <c r="M3708" i="1"/>
  <c r="M3224" i="1"/>
  <c r="M2533" i="1"/>
  <c r="M795" i="1"/>
  <c r="M1509" i="1"/>
  <c r="M1766" i="1"/>
  <c r="M2182" i="1"/>
  <c r="M2165" i="1"/>
  <c r="M978" i="1"/>
  <c r="M2250" i="1"/>
  <c r="M3225" i="1"/>
  <c r="M601" i="1"/>
  <c r="M4366" i="1"/>
  <c r="M1326" i="1"/>
  <c r="M2164" i="1"/>
  <c r="M4367" i="1"/>
  <c r="M4035" i="1"/>
  <c r="M2593" i="1"/>
  <c r="M418" i="1"/>
  <c r="M4832" i="1"/>
  <c r="M899" i="1"/>
  <c r="M304" i="1"/>
  <c r="M1327" i="1"/>
  <c r="M3670" i="1"/>
  <c r="M796" i="1"/>
  <c r="M3738" i="1"/>
  <c r="M2895" i="1"/>
  <c r="M797" i="1"/>
  <c r="M1859" i="1"/>
  <c r="M75" i="1"/>
  <c r="M1090" i="1"/>
  <c r="M1510" i="1"/>
  <c r="M2111" i="1"/>
  <c r="M3226" i="1"/>
  <c r="M2004" i="1"/>
  <c r="M2193" i="1"/>
  <c r="M3631" i="1"/>
  <c r="M2199" i="1"/>
  <c r="M53" i="1"/>
  <c r="M1132" i="1"/>
  <c r="M1171" i="1"/>
  <c r="M4036" i="1"/>
  <c r="M420" i="1"/>
  <c r="M4037" i="1"/>
  <c r="M4583" i="1"/>
  <c r="M4702" i="1"/>
  <c r="M3459" i="1"/>
  <c r="M4368" i="1"/>
  <c r="M4369" i="1"/>
  <c r="M3227" i="1"/>
  <c r="M4783" i="1"/>
  <c r="M1511" i="1"/>
  <c r="M421" i="1"/>
  <c r="M798" i="1"/>
  <c r="M2584" i="1"/>
  <c r="M1007" i="1"/>
  <c r="M4865" i="1"/>
  <c r="M2251" i="1"/>
  <c r="M261" i="1"/>
  <c r="M602" i="1"/>
  <c r="M4816" i="1"/>
  <c r="M1512" i="1"/>
  <c r="M979" i="1"/>
  <c r="M1878" i="1"/>
  <c r="M2417" i="1"/>
  <c r="M1513" i="1"/>
  <c r="M4038" i="1"/>
  <c r="M4585" i="1"/>
  <c r="M3228" i="1"/>
  <c r="M1694" i="1"/>
  <c r="M799" i="1"/>
  <c r="M4370" i="1"/>
  <c r="M800" i="1"/>
  <c r="M2896" i="1"/>
  <c r="M1091" i="1"/>
  <c r="M1328" i="1"/>
  <c r="M603" i="1"/>
  <c r="M3749" i="1"/>
  <c r="M4371" i="1"/>
  <c r="M1652" i="1"/>
  <c r="M801" i="1"/>
  <c r="M2064" i="1"/>
  <c r="M3334" i="1"/>
  <c r="M4372" i="1"/>
  <c r="M1056" i="1"/>
  <c r="M802" i="1"/>
  <c r="M185" i="1"/>
  <c r="M3486" i="1"/>
  <c r="M604" i="1"/>
  <c r="M4039" i="1"/>
  <c r="M1514" i="1"/>
  <c r="M2258" i="1"/>
  <c r="M1011" i="1"/>
  <c r="M1515" i="1"/>
  <c r="M141" i="1"/>
  <c r="M1968" i="1"/>
  <c r="M4373" i="1"/>
  <c r="M4040" i="1"/>
  <c r="M3630" i="1"/>
  <c r="M1329" i="1"/>
  <c r="M4374" i="1"/>
  <c r="M803" i="1"/>
  <c r="M804" i="1"/>
  <c r="M2897" i="1"/>
  <c r="M1933" i="1"/>
  <c r="M4375" i="1"/>
  <c r="M2432" i="1"/>
  <c r="M2653" i="1"/>
  <c r="M1516" i="1"/>
  <c r="M4833" i="1"/>
  <c r="M4598" i="1"/>
  <c r="M2542" i="1"/>
  <c r="M1517" i="1"/>
  <c r="M1518" i="1"/>
  <c r="M2898" i="1"/>
  <c r="M4376" i="1"/>
  <c r="M1947" i="1"/>
  <c r="M2029" i="1"/>
  <c r="M2377" i="1"/>
  <c r="M4377" i="1"/>
  <c r="M125" i="1"/>
  <c r="M2549" i="1"/>
  <c r="M605" i="1"/>
  <c r="M1024" i="1"/>
  <c r="M3229" i="1"/>
  <c r="M606" i="1"/>
  <c r="M4378" i="1"/>
  <c r="M2899" i="1"/>
  <c r="M1667" i="1"/>
  <c r="M2166" i="1"/>
  <c r="M206" i="1"/>
  <c r="M3230" i="1"/>
  <c r="M3406" i="1"/>
  <c r="M607" i="1"/>
  <c r="M1044" i="1"/>
  <c r="M2900" i="1"/>
  <c r="M1795" i="1"/>
  <c r="M2589" i="1"/>
  <c r="M4379" i="1"/>
  <c r="M333" i="1"/>
  <c r="M4795" i="1"/>
  <c r="M1519" i="1"/>
  <c r="M4916" i="1"/>
  <c r="M4681" i="1"/>
  <c r="M4380" i="1"/>
  <c r="M3703" i="1"/>
  <c r="M1147" i="1"/>
  <c r="M107" i="1"/>
  <c r="M2428" i="1"/>
  <c r="M1995" i="1"/>
  <c r="M3478" i="1"/>
  <c r="M3479" i="1"/>
  <c r="M1138" i="1"/>
  <c r="M138" i="1"/>
  <c r="M2422" i="1"/>
  <c r="M4041" i="1"/>
  <c r="M3231" i="1"/>
  <c r="M1330" i="1"/>
  <c r="M4042" i="1"/>
  <c r="M3592" i="1"/>
  <c r="M4043" i="1"/>
  <c r="M3512" i="1"/>
  <c r="M3713" i="1"/>
  <c r="M3552" i="1"/>
  <c r="M3548" i="1"/>
  <c r="M3232" i="1"/>
  <c r="M4044" i="1"/>
  <c r="M444" i="1"/>
  <c r="M284" i="1"/>
  <c r="M2901" i="1"/>
  <c r="M336" i="1"/>
  <c r="M4381" i="1"/>
  <c r="M393" i="1"/>
  <c r="M4382" i="1"/>
  <c r="M4763" i="1"/>
  <c r="M4383" i="1"/>
  <c r="M4045" i="1"/>
  <c r="M62" i="1"/>
  <c r="M3601" i="1"/>
  <c r="M4384" i="1"/>
  <c r="M2065" i="1"/>
  <c r="M2902" i="1"/>
  <c r="M445" i="1"/>
  <c r="M1520" i="1"/>
  <c r="M608" i="1"/>
  <c r="M1739" i="1"/>
  <c r="M4987" i="1"/>
  <c r="M4046" i="1"/>
  <c r="M4385" i="1"/>
  <c r="M2903" i="1"/>
  <c r="M3365" i="1"/>
  <c r="M1734" i="1"/>
  <c r="M3770" i="1"/>
  <c r="M4386" i="1"/>
  <c r="M805" i="1"/>
  <c r="M2339" i="1"/>
  <c r="M3728" i="1"/>
  <c r="M4387" i="1"/>
  <c r="M2080" i="1"/>
  <c r="M4388" i="1"/>
  <c r="M1182" i="1"/>
  <c r="M4389" i="1"/>
  <c r="M446" i="1"/>
  <c r="M1668" i="1"/>
  <c r="M4390" i="1"/>
  <c r="M2104" i="1"/>
  <c r="M609" i="1"/>
  <c r="M610" i="1"/>
  <c r="M2434" i="1"/>
  <c r="M248" i="1"/>
  <c r="M806" i="1"/>
  <c r="M3482" i="1"/>
  <c r="M1521" i="1"/>
  <c r="M4391" i="1"/>
  <c r="M4620" i="1"/>
  <c r="M4392" i="1"/>
  <c r="M2043" i="1"/>
  <c r="M1175" i="1"/>
  <c r="M352" i="1"/>
  <c r="M4393" i="1"/>
  <c r="M4845" i="1"/>
  <c r="M4394" i="1"/>
  <c r="M3553" i="1"/>
  <c r="M4977" i="1"/>
  <c r="M3817" i="1"/>
  <c r="M3823" i="1"/>
  <c r="M122" i="1"/>
  <c r="M2904" i="1"/>
  <c r="M807" i="1"/>
  <c r="M3636" i="1"/>
  <c r="M214" i="1"/>
  <c r="M2213" i="1"/>
  <c r="M2187" i="1"/>
  <c r="M1179" i="1"/>
  <c r="M4047" i="1"/>
  <c r="M1666" i="1"/>
  <c r="M4395" i="1"/>
  <c r="M2493" i="1"/>
  <c r="M2489" i="1"/>
  <c r="M2386" i="1"/>
  <c r="M4745" i="1"/>
  <c r="M4641" i="1"/>
  <c r="M1522" i="1"/>
  <c r="M4396" i="1"/>
  <c r="M2905" i="1"/>
  <c r="M2906" i="1"/>
  <c r="M1523" i="1"/>
  <c r="M2205" i="1"/>
  <c r="M808" i="1"/>
  <c r="M809" i="1"/>
  <c r="M4679" i="1"/>
  <c r="M3510" i="1"/>
  <c r="M272" i="1"/>
  <c r="M2137" i="1"/>
  <c r="M2201" i="1"/>
  <c r="M3544" i="1"/>
  <c r="M2101" i="1"/>
  <c r="M4397" i="1"/>
  <c r="M4048" i="1"/>
  <c r="M1710" i="1"/>
  <c r="M976" i="1"/>
  <c r="M4710" i="1"/>
  <c r="M3508" i="1"/>
  <c r="M1524" i="1"/>
  <c r="M422" i="1"/>
  <c r="M3345" i="1"/>
  <c r="M388" i="1"/>
  <c r="M4970" i="1"/>
  <c r="M2907" i="1"/>
  <c r="M389" i="1"/>
  <c r="M3456" i="1"/>
  <c r="M2595" i="1"/>
  <c r="M1009" i="1"/>
  <c r="M2498" i="1"/>
  <c r="M2210" i="1"/>
  <c r="M3780" i="1"/>
  <c r="M4399" i="1"/>
  <c r="M4398" i="1"/>
  <c r="M810" i="1"/>
  <c r="M4943" i="1"/>
  <c r="M4400" i="1"/>
  <c r="M2372" i="1"/>
  <c r="M2264" i="1"/>
  <c r="M4764" i="1"/>
  <c r="M2194" i="1"/>
  <c r="M9" i="1"/>
  <c r="M1525" i="1"/>
  <c r="M2543" i="1"/>
  <c r="M2378" i="1"/>
  <c r="M2654" i="1"/>
  <c r="M4401" i="1"/>
  <c r="M1526" i="1"/>
  <c r="M1527" i="1"/>
  <c r="M1792" i="1"/>
  <c r="M201" i="1"/>
  <c r="M3233" i="1"/>
  <c r="M1799" i="1"/>
  <c r="M4049" i="1"/>
  <c r="M2052" i="1"/>
  <c r="M181" i="1"/>
  <c r="M1784" i="1"/>
  <c r="M1528" i="1"/>
  <c r="M2234" i="1"/>
  <c r="M3464" i="1"/>
  <c r="M244" i="1"/>
  <c r="M977" i="1"/>
  <c r="M930" i="1"/>
  <c r="M4402" i="1"/>
  <c r="M1202" i="1"/>
  <c r="M611" i="1"/>
  <c r="M612" i="1"/>
  <c r="M2908" i="1"/>
  <c r="M2909" i="1"/>
  <c r="M1529" i="1"/>
  <c r="M4889" i="1"/>
  <c r="M811" i="1"/>
  <c r="M812" i="1"/>
  <c r="M1530" i="1"/>
  <c r="M4050" i="1"/>
  <c r="M2171" i="1"/>
  <c r="M2418" i="1"/>
  <c r="M184" i="1"/>
  <c r="M2537" i="1"/>
  <c r="M1683" i="1"/>
  <c r="M2910" i="1"/>
  <c r="M3421" i="1"/>
  <c r="M1981" i="1"/>
  <c r="M813" i="1"/>
  <c r="M59" i="1"/>
  <c r="M1531" i="1"/>
  <c r="M2597" i="1"/>
  <c r="M2300" i="1"/>
  <c r="M3410" i="1"/>
  <c r="M1331" i="1"/>
  <c r="M3234" i="1"/>
  <c r="M2536" i="1"/>
  <c r="M1866" i="1"/>
  <c r="M1332" i="1"/>
  <c r="M1023" i="1"/>
  <c r="M1715" i="1"/>
  <c r="M4403" i="1"/>
  <c r="M415" i="1"/>
  <c r="M161" i="1"/>
  <c r="M4404" i="1"/>
  <c r="M3569" i="1"/>
  <c r="M2006" i="1"/>
  <c r="M3643" i="1"/>
  <c r="M2911" i="1"/>
  <c r="M3235" i="1"/>
  <c r="M297" i="1"/>
  <c r="M2214" i="1"/>
  <c r="M2591" i="1"/>
  <c r="M613" i="1"/>
  <c r="M935" i="1"/>
  <c r="M2912" i="1"/>
  <c r="M10" i="1"/>
  <c r="M2913" i="1"/>
  <c r="M926" i="1"/>
  <c r="M1901" i="1"/>
  <c r="M2172" i="1"/>
  <c r="M1837" i="1"/>
  <c r="M305" i="1"/>
  <c r="M4405" i="1"/>
  <c r="M4651" i="1"/>
  <c r="M3802" i="1"/>
  <c r="M2370" i="1"/>
  <c r="M1713" i="1"/>
  <c r="M3236" i="1"/>
  <c r="M614" i="1"/>
  <c r="M4978" i="1"/>
  <c r="M2036" i="1"/>
  <c r="M162" i="1"/>
  <c r="M3405" i="1"/>
  <c r="M129" i="1"/>
  <c r="M615" i="1"/>
  <c r="M2586" i="1"/>
  <c r="M3383" i="1"/>
  <c r="M616" i="1"/>
  <c r="M2914" i="1"/>
  <c r="M617" i="1"/>
  <c r="M1112" i="1"/>
  <c r="M1085" i="1"/>
  <c r="M618" i="1"/>
  <c r="M619" i="1"/>
  <c r="M4406" i="1"/>
  <c r="M3662" i="1"/>
  <c r="M1904" i="1"/>
  <c r="M2915" i="1"/>
  <c r="M1159" i="1"/>
  <c r="M329" i="1"/>
  <c r="M3237" i="1"/>
  <c r="M4407" i="1"/>
  <c r="M2587" i="1"/>
  <c r="M1768" i="1"/>
  <c r="M4408" i="1"/>
  <c r="M472" i="1"/>
  <c r="M2916" i="1"/>
  <c r="M3238" i="1"/>
  <c r="M3385" i="1"/>
  <c r="M4051" i="1"/>
  <c r="M2917" i="1"/>
  <c r="M4972" i="1"/>
  <c r="M2918" i="1"/>
  <c r="M4409" i="1"/>
  <c r="M256" i="1"/>
  <c r="M3652" i="1"/>
  <c r="M1877" i="1"/>
  <c r="M814" i="1"/>
  <c r="M2094" i="1"/>
  <c r="M1838" i="1"/>
  <c r="M4410" i="1"/>
  <c r="M2181" i="1"/>
  <c r="M4411" i="1"/>
  <c r="M2157" i="1"/>
  <c r="M4412" i="1"/>
  <c r="M1030" i="1"/>
  <c r="M3239" i="1"/>
  <c r="M4052" i="1"/>
  <c r="M4413" i="1"/>
  <c r="M2919" i="1"/>
  <c r="M1333" i="1"/>
  <c r="M1532" i="1"/>
  <c r="M2200" i="1"/>
  <c r="M3550" i="1"/>
  <c r="M3507" i="1"/>
  <c r="M2651" i="1"/>
  <c r="M3573" i="1"/>
  <c r="M2592" i="1"/>
  <c r="M2395" i="1"/>
  <c r="M2030" i="1"/>
  <c r="M4991" i="1"/>
  <c r="M620" i="1"/>
  <c r="M1533" i="1"/>
  <c r="M2051" i="1"/>
  <c r="M186" i="1"/>
  <c r="M1534" i="1"/>
  <c r="M2128" i="1"/>
  <c r="M2686" i="1"/>
  <c r="M1535" i="1"/>
  <c r="M1536" i="1"/>
  <c r="M4414" i="1"/>
  <c r="M1039" i="1"/>
  <c r="M1027" i="1"/>
  <c r="M2249" i="1"/>
  <c r="M449" i="1"/>
  <c r="M3344" i="1"/>
  <c r="M4415" i="1"/>
  <c r="M2206" i="1"/>
  <c r="M3240" i="1"/>
  <c r="M2662" i="1"/>
  <c r="M2920" i="1"/>
  <c r="M2540" i="1"/>
  <c r="M4706" i="1"/>
  <c r="M1334" i="1"/>
  <c r="M3241" i="1"/>
  <c r="M2921" i="1"/>
  <c r="M3511" i="1"/>
  <c r="M2393" i="1"/>
  <c r="M4915" i="1"/>
  <c r="M390" i="1"/>
  <c r="M3242" i="1"/>
  <c r="M3664" i="1"/>
  <c r="M3457" i="1"/>
  <c r="M4920" i="1"/>
  <c r="M621" i="1"/>
  <c r="M177" i="1"/>
  <c r="M2922" i="1"/>
  <c r="M2062" i="1"/>
  <c r="M4053" i="1"/>
  <c r="M2923" i="1"/>
  <c r="M4742" i="1"/>
  <c r="M4416" i="1"/>
  <c r="M3335" i="1"/>
  <c r="M1665" i="1"/>
  <c r="M4417" i="1"/>
  <c r="M2238" i="1"/>
  <c r="M2033" i="1"/>
  <c r="M1983" i="1"/>
  <c r="M219" i="1"/>
  <c r="M94" i="1"/>
  <c r="M2161" i="1"/>
  <c r="M4418" i="1"/>
  <c r="M2924" i="1"/>
  <c r="M346" i="1"/>
  <c r="M2363" i="1"/>
  <c r="M1641" i="1"/>
  <c r="M1537" i="1"/>
  <c r="M815" i="1"/>
  <c r="M1849" i="1"/>
  <c r="M1809" i="1"/>
  <c r="M4870" i="1"/>
  <c r="M2430" i="1"/>
  <c r="M1193" i="1"/>
  <c r="M2265" i="1"/>
  <c r="M4419" i="1"/>
  <c r="M622" i="1"/>
  <c r="M816" i="1"/>
  <c r="M4869" i="1"/>
  <c r="M3243" i="1"/>
  <c r="M2431" i="1"/>
  <c r="M1170" i="1"/>
  <c r="M108" i="1"/>
  <c r="M4420" i="1"/>
  <c r="M4628" i="1"/>
  <c r="M1057" i="1"/>
  <c r="M3599" i="1"/>
  <c r="M1538" i="1"/>
  <c r="M63" i="1"/>
  <c r="M3244" i="1"/>
  <c r="M82" i="1"/>
  <c r="M623" i="1"/>
  <c r="M948" i="1"/>
  <c r="M4847" i="1"/>
  <c r="M2925" i="1"/>
  <c r="M4054" i="1"/>
  <c r="M3750" i="1"/>
  <c r="M3339" i="1"/>
  <c r="M2490" i="1"/>
  <c r="M455" i="1"/>
  <c r="M3245" i="1"/>
  <c r="M4421" i="1"/>
  <c r="M2588" i="1"/>
  <c r="M2648" i="1"/>
  <c r="M209" i="1"/>
  <c r="M4422" i="1"/>
  <c r="M4423" i="1"/>
  <c r="M4771" i="1"/>
  <c r="M2691" i="1"/>
  <c r="M817" i="1"/>
  <c r="M2053" i="1"/>
  <c r="M57" i="1"/>
  <c r="M357" i="1"/>
  <c r="M1123" i="1"/>
  <c r="M4424" i="1"/>
  <c r="M2926" i="1"/>
  <c r="M359" i="1"/>
  <c r="M4425" i="1"/>
  <c r="M2927" i="1"/>
  <c r="M1728" i="1"/>
  <c r="M818" i="1"/>
  <c r="M1335" i="1"/>
  <c r="M3408" i="1"/>
  <c r="M2928" i="1"/>
  <c r="M3621" i="1"/>
  <c r="M3547" i="1"/>
  <c r="M2929" i="1"/>
  <c r="M2930" i="1"/>
  <c r="M819" i="1"/>
  <c r="M2931" i="1"/>
  <c r="M2279" i="1"/>
  <c r="M2038" i="1"/>
  <c r="M4624" i="1"/>
  <c r="M2008" i="1"/>
  <c r="M4055" i="1"/>
  <c r="M624" i="1"/>
  <c r="M1539" i="1"/>
  <c r="M2932" i="1"/>
  <c r="M2933" i="1"/>
  <c r="M3681" i="1"/>
  <c r="M2392" i="1"/>
  <c r="M340" i="1"/>
  <c r="M2934" i="1"/>
  <c r="M391" i="1"/>
  <c r="M820" i="1"/>
  <c r="M2002" i="1"/>
  <c r="M2455" i="1"/>
  <c r="M3689" i="1"/>
  <c r="M375" i="1"/>
  <c r="M1031" i="1"/>
  <c r="M2545" i="1"/>
  <c r="M2546" i="1"/>
  <c r="M2598" i="1"/>
  <c r="M4859" i="1"/>
  <c r="M4056" i="1"/>
  <c r="M392" i="1"/>
  <c r="M2503" i="1"/>
  <c r="M2437" i="1"/>
  <c r="M2235" i="1"/>
  <c r="M2071" i="1"/>
  <c r="M1801" i="1"/>
  <c r="M3602" i="1"/>
  <c r="M4426" i="1"/>
  <c r="M821" i="1"/>
  <c r="M4427" i="1"/>
  <c r="M450" i="1"/>
  <c r="M35" i="1"/>
  <c r="M4428" i="1"/>
  <c r="M3488" i="1"/>
  <c r="M822" i="1"/>
  <c r="M4625" i="1"/>
  <c r="M4773" i="1"/>
  <c r="M1049" i="1"/>
  <c r="M2935" i="1"/>
  <c r="M3246" i="1"/>
  <c r="M2936" i="1"/>
  <c r="M1540" i="1"/>
  <c r="M2018" i="1"/>
  <c r="M1541" i="1"/>
  <c r="M3792" i="1"/>
  <c r="M1697" i="1"/>
  <c r="M4057" i="1"/>
  <c r="M4683" i="1"/>
  <c r="M4429" i="1"/>
  <c r="M1336" i="1"/>
  <c r="M2649" i="1"/>
  <c r="M2937" i="1"/>
  <c r="M1542" i="1"/>
  <c r="M2599" i="1"/>
  <c r="M4430" i="1"/>
  <c r="M2938" i="1"/>
  <c r="M2433" i="1"/>
  <c r="M823" i="1"/>
  <c r="M4774" i="1"/>
  <c r="M4581" i="1"/>
  <c r="M1923" i="1"/>
  <c r="M2497" i="1"/>
  <c r="M1862" i="1"/>
  <c r="M2364" i="1"/>
  <c r="M3247" i="1"/>
  <c r="M3600" i="1"/>
  <c r="M4431" i="1"/>
  <c r="M1712" i="1"/>
  <c r="M1850" i="1"/>
  <c r="M343" i="1"/>
  <c r="M2939" i="1"/>
  <c r="M1543" i="1"/>
  <c r="M4626" i="1"/>
  <c r="M824" i="1"/>
  <c r="M3661" i="1"/>
  <c r="M345" i="1"/>
  <c r="M4432" i="1"/>
  <c r="M4919" i="1"/>
  <c r="M3248" i="1"/>
  <c r="M1050" i="1"/>
  <c r="M4433" i="1"/>
  <c r="M4058" i="1"/>
  <c r="M625" i="1"/>
  <c r="M2940" i="1"/>
  <c r="M2242" i="1"/>
  <c r="M1544" i="1"/>
  <c r="M982" i="1"/>
  <c r="M1796" i="1"/>
  <c r="M4815" i="1"/>
  <c r="M4434" i="1"/>
  <c r="M451" i="1"/>
  <c r="M4949" i="1"/>
  <c r="M1797" i="1"/>
  <c r="M258" i="1"/>
  <c r="M825" i="1"/>
  <c r="M4435" i="1"/>
  <c r="M826" i="1"/>
  <c r="M3249" i="1"/>
  <c r="M1839" i="1"/>
  <c r="M626" i="1"/>
  <c r="M3363" i="1"/>
  <c r="M4436" i="1"/>
  <c r="M3557" i="1"/>
  <c r="M1861" i="1"/>
  <c r="M627" i="1"/>
  <c r="M1545" i="1"/>
  <c r="M3462" i="1"/>
  <c r="M1546" i="1"/>
  <c r="M321" i="1"/>
  <c r="M3250" i="1"/>
  <c r="M1547" i="1"/>
  <c r="M4437" i="1"/>
  <c r="M2550" i="1"/>
  <c r="M2184" i="1"/>
  <c r="M4438" i="1"/>
  <c r="M3577" i="1"/>
  <c r="M1028" i="1"/>
  <c r="M4586" i="1"/>
  <c r="M4439" i="1"/>
  <c r="M1826" i="1"/>
  <c r="M950" i="1"/>
  <c r="M4709" i="1"/>
  <c r="M4947" i="1"/>
  <c r="M4440" i="1"/>
  <c r="M3251" i="1"/>
  <c r="M3572" i="1"/>
  <c r="M289" i="1"/>
  <c r="M452" i="1"/>
  <c r="M827" i="1"/>
  <c r="M1548" i="1"/>
  <c r="M327" i="1"/>
  <c r="M3489" i="1"/>
  <c r="M828" i="1"/>
  <c r="M3793" i="1"/>
  <c r="M4892" i="1"/>
  <c r="M74" i="1"/>
  <c r="M1337" i="1"/>
  <c r="M829" i="1"/>
  <c r="M335" i="1"/>
  <c r="M191" i="1"/>
  <c r="M1052" i="1"/>
  <c r="M471" i="1"/>
  <c r="M4059" i="1"/>
  <c r="M473" i="1"/>
  <c r="M3769" i="1"/>
  <c r="M2326" i="1"/>
  <c r="M4060" i="1"/>
  <c r="M1635" i="1"/>
  <c r="M4441" i="1"/>
  <c r="M1338" i="1"/>
  <c r="M1962" i="1"/>
  <c r="M4442" i="1"/>
  <c r="M1880" i="1"/>
  <c r="M414" i="1"/>
  <c r="M1851" i="1"/>
  <c r="M4061" i="1"/>
  <c r="M3252" i="1"/>
  <c r="M4443" i="1"/>
  <c r="M1990" i="1"/>
  <c r="M294" i="1"/>
  <c r="M961" i="1"/>
  <c r="M2060" i="1"/>
  <c r="M1549" i="1"/>
  <c r="M3416" i="1"/>
  <c r="M2687" i="1"/>
  <c r="M3253" i="1"/>
  <c r="M2290" i="1"/>
  <c r="M1550" i="1"/>
  <c r="M229" i="1"/>
  <c r="M3254" i="1"/>
  <c r="M2688" i="1"/>
  <c r="M4444" i="1"/>
  <c r="M2115" i="1"/>
  <c r="M1029" i="1"/>
  <c r="M3255" i="1"/>
  <c r="M1339" i="1"/>
  <c r="M4622" i="1"/>
  <c r="M1068" i="1"/>
  <c r="M242" i="1"/>
  <c r="M628" i="1"/>
  <c r="M16" i="1"/>
  <c r="M3659" i="1"/>
  <c r="M629" i="1"/>
  <c r="M2659" i="1"/>
  <c r="M205" i="1"/>
  <c r="M4445" i="1"/>
  <c r="M259" i="1"/>
  <c r="M3485" i="1"/>
  <c r="M2941" i="1"/>
  <c r="M4894" i="1"/>
  <c r="M1016" i="1"/>
  <c r="M3570" i="1"/>
  <c r="M2266" i="1"/>
  <c r="M2297" i="1"/>
  <c r="M1912" i="1"/>
  <c r="M830" i="1"/>
  <c r="M2942" i="1"/>
  <c r="M3613" i="1"/>
  <c r="M1551" i="1"/>
  <c r="M3256" i="1"/>
  <c r="M2943" i="1"/>
  <c r="M2944" i="1"/>
  <c r="M1552" i="1"/>
  <c r="M630" i="1"/>
  <c r="M631" i="1"/>
  <c r="M221" i="1"/>
  <c r="M4926" i="1"/>
  <c r="M310" i="1"/>
  <c r="M831" i="1"/>
  <c r="M2945" i="1"/>
  <c r="M2506" i="1"/>
  <c r="M4446" i="1"/>
  <c r="M3491" i="1"/>
  <c r="M632" i="1"/>
  <c r="M4950" i="1"/>
  <c r="M2098" i="1"/>
  <c r="M1553" i="1"/>
  <c r="M456" i="1"/>
  <c r="M1069" i="1"/>
  <c r="M2169" i="1"/>
  <c r="M3771" i="1"/>
  <c r="M3773" i="1"/>
  <c r="M998" i="1"/>
  <c r="M3714" i="1"/>
  <c r="M994" i="1"/>
  <c r="M1340" i="1"/>
  <c r="M1341" i="1"/>
  <c r="M3257" i="1"/>
  <c r="M633" i="1"/>
  <c r="M1884" i="1"/>
  <c r="M1670" i="1"/>
  <c r="M832" i="1"/>
  <c r="M4062" i="1"/>
  <c r="M3774" i="1"/>
  <c r="M2295" i="1"/>
  <c r="M4063" i="1"/>
  <c r="M992" i="1"/>
  <c r="M4838" i="1"/>
  <c r="M634" i="1"/>
  <c r="M1342" i="1"/>
  <c r="M4447" i="1"/>
  <c r="M4704" i="1"/>
  <c r="M996" i="1"/>
  <c r="M4448" i="1"/>
  <c r="M330" i="1"/>
  <c r="M1735" i="1"/>
  <c r="M1014" i="1"/>
  <c r="M350" i="1"/>
  <c r="M4449" i="1"/>
  <c r="M2224" i="1"/>
  <c r="M1554" i="1"/>
  <c r="M4064" i="1"/>
  <c r="M2246" i="1"/>
  <c r="M833" i="1"/>
  <c r="M395" i="1"/>
  <c r="M3723" i="1"/>
  <c r="M2131" i="1"/>
  <c r="M298" i="1"/>
  <c r="M1555" i="1"/>
  <c r="M2447" i="1"/>
  <c r="M2946" i="1"/>
  <c r="M3369" i="1"/>
  <c r="M4450" i="1"/>
  <c r="M3432" i="1"/>
  <c r="M458" i="1"/>
  <c r="M3370" i="1"/>
  <c r="M834" i="1"/>
  <c r="M2091" i="1"/>
  <c r="M3258" i="1"/>
  <c r="M4451" i="1"/>
  <c r="M2947" i="1"/>
  <c r="M90" i="1"/>
  <c r="M1556" i="1"/>
  <c r="M3762" i="1"/>
  <c r="M4452" i="1"/>
  <c r="M4705" i="1"/>
  <c r="M1557" i="1"/>
  <c r="M2468" i="1"/>
  <c r="M4453" i="1"/>
  <c r="M965" i="1"/>
  <c r="M3259" i="1"/>
  <c r="M3260" i="1"/>
  <c r="M1558" i="1"/>
  <c r="M2233" i="1"/>
  <c r="M1852" i="1"/>
  <c r="M943" i="1"/>
  <c r="M4604" i="1"/>
  <c r="M4454" i="1"/>
  <c r="M2501" i="1"/>
  <c r="M1187" i="1"/>
  <c r="M3509" i="1"/>
  <c r="M2391" i="1"/>
  <c r="M913" i="1"/>
  <c r="M3261" i="1"/>
  <c r="M110" i="1"/>
  <c r="M2666" i="1"/>
  <c r="M4944" i="1"/>
  <c r="M3347" i="1"/>
  <c r="M194" i="1"/>
  <c r="M2693" i="1"/>
  <c r="M635" i="1"/>
  <c r="M4455" i="1"/>
  <c r="M425" i="1"/>
  <c r="M2652" i="1"/>
  <c r="M361" i="1"/>
  <c r="M636" i="1"/>
  <c r="M3262" i="1"/>
  <c r="M2167" i="1"/>
  <c r="M3709" i="1"/>
  <c r="M3779" i="1"/>
  <c r="M2948" i="1"/>
  <c r="M1343" i="1"/>
  <c r="M4456" i="1"/>
  <c r="M4065" i="1"/>
  <c r="M342" i="1"/>
  <c r="M3330" i="1"/>
  <c r="M4606" i="1"/>
  <c r="M3671" i="1"/>
  <c r="M1026" i="1"/>
  <c r="M119" i="1"/>
  <c r="M2949" i="1"/>
  <c r="M2444" i="1"/>
  <c r="M2180" i="1"/>
  <c r="M4457" i="1"/>
  <c r="M4660" i="1"/>
  <c r="M3263" i="1"/>
  <c r="M1344" i="1"/>
  <c r="M929" i="1"/>
  <c r="M962" i="1"/>
  <c r="M1867" i="1"/>
  <c r="M1559" i="1"/>
  <c r="M835" i="1"/>
  <c r="M2544" i="1"/>
  <c r="M3813" i="1"/>
  <c r="M275" i="1"/>
  <c r="M1677" i="1"/>
  <c r="M4458" i="1"/>
  <c r="M2089" i="1"/>
  <c r="M3264" i="1"/>
  <c r="M1560" i="1"/>
  <c r="M4767" i="1"/>
  <c r="M3521" i="1"/>
  <c r="M4765" i="1"/>
  <c r="M112" i="1"/>
  <c r="M4459" i="1"/>
  <c r="M4746" i="1"/>
  <c r="M17" i="1"/>
  <c r="M1561" i="1"/>
  <c r="M914" i="1"/>
  <c r="M397" i="1"/>
  <c r="M3461" i="1"/>
  <c r="M2245" i="1"/>
  <c r="M2950" i="1"/>
  <c r="M1010" i="1"/>
  <c r="M1858" i="1"/>
  <c r="M1178" i="1"/>
  <c r="M915" i="1"/>
  <c r="M4851" i="1"/>
  <c r="M4066" i="1"/>
  <c r="M1920" i="1"/>
  <c r="M1562" i="1"/>
  <c r="M2951" i="1"/>
  <c r="M4946" i="1"/>
  <c r="M1136" i="1"/>
  <c r="M1563" i="1"/>
  <c r="M2197" i="1"/>
  <c r="M1126" i="1"/>
  <c r="M960" i="1"/>
  <c r="M459" i="1"/>
  <c r="M4680" i="1"/>
  <c r="M198" i="1"/>
  <c r="M4460" i="1"/>
  <c r="M1853" i="1"/>
  <c r="M4717" i="1"/>
  <c r="M14" i="1"/>
  <c r="M4461" i="1"/>
  <c r="M4067" i="1"/>
  <c r="M3265" i="1"/>
  <c r="M1345" i="1"/>
  <c r="M2555" i="1"/>
  <c r="M4462" i="1"/>
  <c r="M4600" i="1"/>
  <c r="M4921" i="1"/>
  <c r="M4647" i="1"/>
  <c r="M836" i="1"/>
  <c r="M1828" i="1"/>
  <c r="M1564" i="1"/>
  <c r="M1346" i="1"/>
  <c r="M252" i="1"/>
  <c r="M2142" i="1"/>
  <c r="M2016" i="1"/>
  <c r="M2952" i="1"/>
  <c r="M4463" i="1"/>
  <c r="M2275" i="1"/>
  <c r="M3574" i="1"/>
  <c r="M3266" i="1"/>
  <c r="M290" i="1"/>
  <c r="M3267" i="1"/>
  <c r="M4068" i="1"/>
  <c r="M4895" i="1"/>
  <c r="M2112" i="1"/>
  <c r="M3690" i="1"/>
  <c r="M837" i="1"/>
  <c r="M2661" i="1"/>
  <c r="M86" i="1"/>
  <c r="M3268" i="1"/>
  <c r="M4464" i="1"/>
  <c r="M4465" i="1"/>
  <c r="M3409" i="1"/>
  <c r="M1347" i="1"/>
  <c r="M311" i="1"/>
  <c r="M838" i="1"/>
  <c r="M4466" i="1"/>
  <c r="M124" i="1"/>
  <c r="M2387" i="1"/>
  <c r="M2215" i="1"/>
  <c r="M1095" i="1"/>
  <c r="M4901" i="1"/>
  <c r="M3660" i="1"/>
  <c r="M3269" i="1"/>
  <c r="M637" i="1"/>
  <c r="M2390" i="1"/>
  <c r="M3814" i="1"/>
  <c r="M839" i="1"/>
  <c r="M2953" i="1"/>
  <c r="M4467" i="1"/>
  <c r="M3514" i="1"/>
  <c r="M4468" i="1"/>
  <c r="M840" i="1"/>
  <c r="M2954" i="1"/>
  <c r="M4469" i="1"/>
  <c r="M638" i="1"/>
  <c r="M1565" i="1"/>
  <c r="M639" i="1"/>
  <c r="M453" i="1"/>
  <c r="M4069" i="1"/>
  <c r="M3551" i="1"/>
  <c r="M4070" i="1"/>
  <c r="M1174" i="1"/>
  <c r="M3591" i="1"/>
  <c r="M2374" i="1"/>
  <c r="M4470" i="1"/>
  <c r="M475" i="1"/>
  <c r="M4711" i="1"/>
  <c r="M1032" i="1"/>
  <c r="M3819" i="1"/>
  <c r="M1566" i="1"/>
  <c r="M42" i="1"/>
  <c r="M2955" i="1"/>
  <c r="M4071" i="1"/>
  <c r="M3371" i="1"/>
  <c r="M4072" i="1"/>
  <c r="M1930" i="1"/>
  <c r="M3763" i="1"/>
  <c r="M2956" i="1"/>
  <c r="M2957" i="1"/>
  <c r="M1642" i="1"/>
  <c r="M4471" i="1"/>
  <c r="M841" i="1"/>
  <c r="M1716" i="1"/>
  <c r="M1871" i="1"/>
  <c r="M4768" i="1"/>
  <c r="M3337" i="1"/>
  <c r="M3695" i="1"/>
  <c r="M3656" i="1"/>
  <c r="M842" i="1"/>
  <c r="M1869" i="1"/>
  <c r="M4974" i="1"/>
  <c r="M2409" i="1"/>
  <c r="M843" i="1"/>
  <c r="M2958" i="1"/>
  <c r="M339" i="1"/>
  <c r="M3270" i="1"/>
  <c r="M2690" i="1"/>
  <c r="M4073" i="1"/>
  <c r="M3715" i="1"/>
  <c r="M4953" i="1"/>
  <c r="M3331" i="1"/>
  <c r="M2039" i="1"/>
  <c r="M4643" i="1"/>
  <c r="M3271" i="1"/>
  <c r="M1960" i="1"/>
  <c r="M1778" i="1"/>
  <c r="M3272" i="1"/>
  <c r="M4074" i="1"/>
  <c r="M1567" i="1"/>
  <c r="M4632" i="1"/>
  <c r="M155" i="1"/>
  <c r="M2959" i="1"/>
  <c r="M1348" i="1"/>
  <c r="M4075" i="1"/>
  <c r="M2267" i="1"/>
  <c r="M2496" i="1"/>
  <c r="M4769" i="1"/>
  <c r="M3273" i="1"/>
  <c r="M2139" i="1"/>
  <c r="M3716" i="1"/>
  <c r="M1985" i="1"/>
  <c r="M4472" i="1"/>
  <c r="M1012" i="1"/>
  <c r="M3274" i="1"/>
  <c r="M1568" i="1"/>
  <c r="M1678" i="1"/>
  <c r="M3676" i="1"/>
  <c r="M932" i="1"/>
  <c r="M1824" i="1"/>
  <c r="M2425" i="1"/>
  <c r="M2960" i="1"/>
  <c r="M4928" i="1"/>
  <c r="M640" i="1"/>
  <c r="M64" i="1"/>
  <c r="M4473" i="1"/>
  <c r="M117" i="1"/>
  <c r="M4076" i="1"/>
  <c r="M993" i="1"/>
  <c r="M3275" i="1"/>
  <c r="M1569" i="1"/>
  <c r="M1041" i="1"/>
  <c r="M139" i="1"/>
  <c r="M54" i="1"/>
  <c r="M2179" i="1"/>
  <c r="M1927" i="1"/>
  <c r="M4077" i="1"/>
  <c r="M3366" i="1"/>
  <c r="M4474" i="1"/>
  <c r="M3276" i="1"/>
  <c r="M4475" i="1"/>
  <c r="M4685" i="1"/>
  <c r="M882" i="1"/>
  <c r="M3277" i="1"/>
  <c r="M2557" i="1"/>
  <c r="M844" i="1"/>
  <c r="M3278" i="1"/>
  <c r="M1183" i="1"/>
  <c r="M3279" i="1"/>
  <c r="M3614" i="1"/>
  <c r="M3731" i="1"/>
  <c r="M2154" i="1"/>
  <c r="M240" i="1"/>
  <c r="M4476" i="1"/>
  <c r="M3704" i="1"/>
  <c r="M2090" i="1"/>
  <c r="M4477" i="1"/>
  <c r="M1570" i="1"/>
  <c r="M4478" i="1"/>
  <c r="M5001" i="1"/>
  <c r="M4078" i="1"/>
  <c r="M2961" i="1"/>
  <c r="M2962" i="1"/>
  <c r="M1571" i="1"/>
  <c r="M4479" i="1"/>
  <c r="M4480" i="1"/>
  <c r="M2024" i="1"/>
  <c r="M845" i="1"/>
  <c r="M324" i="1"/>
  <c r="M1572" i="1"/>
  <c r="M4481" i="1"/>
  <c r="M4772" i="1"/>
  <c r="M4482" i="1"/>
  <c r="M2963" i="1"/>
  <c r="M1892" i="1"/>
  <c r="M2656" i="1"/>
  <c r="M2692" i="1"/>
  <c r="M1695" i="1"/>
  <c r="M474" i="1"/>
  <c r="M1919" i="1"/>
  <c r="M2015" i="1"/>
  <c r="M2964" i="1"/>
  <c r="M3280" i="1"/>
  <c r="M2336" i="1"/>
  <c r="M2590" i="1"/>
  <c r="M4784" i="1"/>
  <c r="M3281" i="1"/>
  <c r="M4483" i="1"/>
  <c r="M2404" i="1"/>
  <c r="M228" i="1"/>
  <c r="M1573" i="1"/>
  <c r="M846" i="1"/>
  <c r="M1172" i="1"/>
  <c r="M189" i="1"/>
  <c r="M1771" i="1"/>
  <c r="M1574" i="1"/>
  <c r="M1349" i="1"/>
  <c r="M3484" i="1"/>
  <c r="M3653" i="1"/>
  <c r="M1350" i="1"/>
  <c r="M1351" i="1"/>
  <c r="M2965" i="1"/>
  <c r="M2966" i="1"/>
  <c r="M4079" i="1"/>
  <c r="M4976" i="1"/>
  <c r="M2600" i="1"/>
  <c r="M641" i="1"/>
  <c r="M1976" i="1"/>
  <c r="M3429" i="1"/>
  <c r="M1575" i="1"/>
  <c r="M3515" i="1"/>
  <c r="M2967" i="1"/>
  <c r="M1888" i="1"/>
  <c r="M642" i="1"/>
  <c r="M1576" i="1"/>
  <c r="M2664" i="1"/>
  <c r="M4601" i="1"/>
  <c r="M2594" i="1"/>
  <c r="M4707" i="1"/>
  <c r="M643" i="1"/>
  <c r="M2968" i="1"/>
  <c r="M2456" i="1"/>
  <c r="M3413" i="1"/>
  <c r="M4484" i="1"/>
  <c r="M4893" i="1"/>
  <c r="M267" i="1"/>
  <c r="M644" i="1"/>
  <c r="M1352" i="1"/>
  <c r="M4835" i="1"/>
  <c r="M4574" i="1"/>
  <c r="M288" i="1"/>
  <c r="M1972" i="1"/>
  <c r="M1067" i="1"/>
  <c r="M2601" i="1"/>
  <c r="M1577" i="1"/>
  <c r="M2369" i="1"/>
  <c r="M344" i="1"/>
  <c r="M645" i="1"/>
  <c r="M2602" i="1"/>
  <c r="M337" i="1"/>
  <c r="M1040" i="1"/>
  <c r="M2658" i="1"/>
  <c r="M847" i="1"/>
  <c r="M4747" i="1"/>
  <c r="M1578" i="1"/>
  <c r="M2969" i="1"/>
  <c r="M849" i="1"/>
  <c r="M848" i="1"/>
  <c r="M2471" i="1"/>
  <c r="M3282" i="1"/>
  <c r="M4988" i="1"/>
  <c r="M4485" i="1"/>
  <c r="M1729" i="1"/>
  <c r="M4486" i="1"/>
  <c r="M2970" i="1"/>
  <c r="M4487" i="1"/>
  <c r="M3368" i="1"/>
  <c r="M1727" i="1"/>
  <c r="M1579" i="1"/>
  <c r="M1580" i="1"/>
  <c r="M2243" i="1"/>
  <c r="M2971" i="1"/>
  <c r="M2042" i="1"/>
  <c r="M1961" i="1"/>
  <c r="M167" i="1"/>
  <c r="M3559" i="1"/>
  <c r="M4748" i="1"/>
  <c r="M3616" i="1"/>
  <c r="M4488" i="1"/>
  <c r="M2314" i="1"/>
  <c r="M25" i="1"/>
  <c r="M1353" i="1"/>
  <c r="M995" i="1"/>
  <c r="M1714" i="1"/>
  <c r="M2168" i="1"/>
  <c r="M1581" i="1"/>
  <c r="M4489" i="1"/>
  <c r="M1354" i="1"/>
  <c r="M4708" i="1"/>
  <c r="M4714" i="1"/>
  <c r="M646" i="1"/>
  <c r="M283" i="1"/>
  <c r="M2972" i="1"/>
  <c r="M1894" i="1"/>
  <c r="M3607" i="1"/>
  <c r="M4490" i="1"/>
  <c r="M2973" i="1"/>
  <c r="M2329" i="1"/>
  <c r="M193" i="1"/>
  <c r="M3384" i="1"/>
  <c r="M1696" i="1"/>
  <c r="M2132" i="1"/>
  <c r="M1582" i="1"/>
  <c r="M647" i="1"/>
  <c r="M911" i="1"/>
  <c r="M207" i="1"/>
  <c r="M2472" i="1"/>
  <c r="M1674" i="1"/>
  <c r="M4491" i="1"/>
  <c r="M2151" i="1"/>
  <c r="M3283" i="1"/>
  <c r="M2974" i="1"/>
  <c r="M4492" i="1"/>
  <c r="M648" i="1"/>
  <c r="M1583" i="1"/>
  <c r="M4493" i="1"/>
  <c r="M358" i="1"/>
  <c r="M1045" i="1"/>
  <c r="M4494" i="1"/>
  <c r="M980" i="1"/>
  <c r="M2469" i="1"/>
  <c r="M4080" i="1"/>
  <c r="M649" i="1"/>
  <c r="M1857" i="1"/>
  <c r="M2470" i="1"/>
  <c r="M997" i="1"/>
  <c r="M650" i="1"/>
  <c r="M651" i="1"/>
  <c r="M652" i="1"/>
  <c r="M1153" i="1"/>
  <c r="M2230" i="1"/>
  <c r="M1913" i="1"/>
  <c r="M3554" i="1"/>
  <c r="M38" i="1"/>
  <c r="M3284" i="1"/>
  <c r="M1584" i="1"/>
  <c r="M4081" i="1"/>
  <c r="M963" i="1"/>
  <c r="M1949" i="1"/>
  <c r="M3412" i="1"/>
  <c r="M1585" i="1"/>
  <c r="M1047" i="1"/>
  <c r="M3338" i="1"/>
  <c r="M2660" i="1"/>
  <c r="M2603" i="1"/>
  <c r="M3513" i="1"/>
  <c r="M4495" i="1"/>
  <c r="M3285" i="1"/>
  <c r="M1355" i="1"/>
  <c r="M964" i="1"/>
  <c r="M850" i="1"/>
  <c r="M143" i="1"/>
  <c r="M3622" i="1"/>
  <c r="M851" i="1"/>
  <c r="M1950" i="1"/>
  <c r="M4082" i="1"/>
  <c r="M2270" i="1"/>
  <c r="M2319" i="1"/>
  <c r="M4989" i="1"/>
  <c r="M2211" i="1"/>
  <c r="M2500" i="1"/>
  <c r="M2059" i="1"/>
  <c r="M3286" i="1"/>
  <c r="M3594" i="1"/>
  <c r="M3287" i="1"/>
  <c r="M4496" i="1"/>
  <c r="M4497" i="1"/>
  <c r="M254" i="1"/>
  <c r="M2975" i="1"/>
  <c r="M852" i="1"/>
  <c r="M127" i="1"/>
  <c r="M1046" i="1"/>
  <c r="M1139" i="1"/>
  <c r="M457" i="1"/>
  <c r="M2559" i="1"/>
  <c r="M853" i="1"/>
  <c r="M4990" i="1"/>
  <c r="M3578" i="1"/>
  <c r="M4498" i="1"/>
  <c r="M4766" i="1"/>
  <c r="M4499" i="1"/>
  <c r="M4927" i="1"/>
  <c r="M1356" i="1"/>
  <c r="M2976" i="1"/>
  <c r="M2495" i="1"/>
  <c r="M2977" i="1"/>
  <c r="M4786" i="1"/>
  <c r="M3555" i="1"/>
  <c r="M4083" i="1"/>
  <c r="M1357" i="1"/>
  <c r="M1671" i="1"/>
  <c r="M2309" i="1"/>
  <c r="M1062" i="1"/>
  <c r="M1135" i="1"/>
  <c r="M2320" i="1"/>
  <c r="M1167" i="1"/>
  <c r="M4500" i="1"/>
  <c r="M4923" i="1"/>
  <c r="M3518" i="1"/>
  <c r="M1099" i="1"/>
  <c r="M888" i="1"/>
  <c r="M1640" i="1"/>
  <c r="M4858" i="1"/>
  <c r="M133" i="1"/>
  <c r="M1586" i="1"/>
  <c r="M4501" i="1"/>
  <c r="M338" i="1"/>
  <c r="M89" i="1"/>
  <c r="M3425" i="1"/>
  <c r="M4084" i="1"/>
  <c r="M2291" i="1"/>
  <c r="M302" i="1"/>
  <c r="M4502" i="1"/>
  <c r="M1587" i="1"/>
  <c r="M854" i="1"/>
  <c r="M2553" i="1"/>
  <c r="M1637" i="1"/>
  <c r="M1358" i="1"/>
  <c r="M1811" i="1"/>
  <c r="M2978" i="1"/>
  <c r="M4085" i="1"/>
  <c r="M2021" i="1"/>
  <c r="M44" i="1"/>
  <c r="M653" i="1"/>
  <c r="M3753" i="1"/>
  <c r="M1935" i="1"/>
  <c r="M2502" i="1"/>
  <c r="M4999" i="1"/>
  <c r="M4086" i="1"/>
  <c r="M2560" i="1"/>
  <c r="M163" i="1"/>
  <c r="M4087" i="1"/>
  <c r="M3288" i="1"/>
  <c r="M2023" i="1"/>
  <c r="M855" i="1"/>
  <c r="M419" i="1"/>
  <c r="M2979" i="1"/>
  <c r="M2980" i="1"/>
  <c r="M1879" i="1"/>
  <c r="M1104" i="1"/>
  <c r="M3722" i="1"/>
  <c r="M4503" i="1"/>
  <c r="M1105" i="1"/>
  <c r="M2410" i="1"/>
  <c r="M313" i="1"/>
  <c r="M1701" i="1"/>
  <c r="M3632" i="1"/>
  <c r="M3289" i="1"/>
  <c r="M2604" i="1"/>
  <c r="M4973" i="1"/>
  <c r="M2981" i="1"/>
  <c r="M4997" i="1"/>
  <c r="M4504" i="1"/>
  <c r="M1638" i="1"/>
  <c r="M2359" i="1"/>
  <c r="M3290" i="1"/>
  <c r="M3291" i="1"/>
  <c r="M2034" i="1"/>
  <c r="M1588" i="1"/>
  <c r="M2013" i="1"/>
  <c r="M2408" i="1"/>
  <c r="M2667" i="1"/>
  <c r="M654" i="1"/>
  <c r="M1121" i="1"/>
  <c r="M1589" i="1"/>
  <c r="M1682" i="1"/>
  <c r="M1841" i="1"/>
  <c r="M3492" i="1"/>
  <c r="M4922" i="1"/>
  <c r="M172" i="1"/>
  <c r="M3772" i="1"/>
  <c r="M4088" i="1"/>
  <c r="M901" i="1"/>
  <c r="M1015" i="1"/>
  <c r="M4750" i="1"/>
  <c r="M2982" i="1"/>
  <c r="M396" i="1"/>
  <c r="M1195" i="1"/>
  <c r="M1772" i="1"/>
  <c r="M1891" i="1"/>
  <c r="M2983" i="1"/>
  <c r="M4505" i="1"/>
  <c r="M2984" i="1"/>
  <c r="M655" i="1"/>
  <c r="M4506" i="1"/>
  <c r="M136" i="1"/>
  <c r="M2081" i="1"/>
  <c r="M2561" i="1"/>
  <c r="M856" i="1"/>
  <c r="M2148" i="1"/>
  <c r="M1590" i="1"/>
  <c r="M3575" i="1"/>
  <c r="M4507" i="1"/>
  <c r="M2985" i="1"/>
  <c r="M2556" i="1"/>
  <c r="M2231" i="1"/>
  <c r="M1017" i="1"/>
  <c r="M857" i="1"/>
  <c r="M4684" i="1"/>
  <c r="M3730" i="1"/>
  <c r="M1359" i="1"/>
  <c r="M1810" i="1"/>
  <c r="M1122" i="1"/>
  <c r="M4508" i="1"/>
  <c r="M4509" i="1"/>
  <c r="M126" i="1"/>
  <c r="M656" i="1"/>
  <c r="M3645" i="1"/>
  <c r="M3292" i="1"/>
  <c r="M3293" i="1"/>
  <c r="M2986" i="1"/>
  <c r="M2547" i="1"/>
  <c r="M4510" i="1"/>
  <c r="M4872" i="1"/>
  <c r="M3803" i="1"/>
  <c r="M142" i="1"/>
  <c r="M858" i="1"/>
  <c r="M4089" i="1"/>
  <c r="M2548" i="1"/>
  <c r="M4511" i="1"/>
  <c r="M1018" i="1"/>
  <c r="M2397" i="1"/>
  <c r="M3804" i="1"/>
  <c r="M2987" i="1"/>
  <c r="M1088" i="1"/>
  <c r="M3426" i="1"/>
  <c r="M312" i="1"/>
  <c r="M3294" i="1"/>
  <c r="M2225" i="1"/>
  <c r="M1591" i="1"/>
  <c r="M460" i="1"/>
  <c r="M2694" i="1"/>
  <c r="M4975" i="1"/>
  <c r="M4512" i="1"/>
  <c r="M2988" i="1"/>
  <c r="M3295" i="1"/>
  <c r="M476" i="1"/>
  <c r="M4513" i="1"/>
  <c r="M3296" i="1"/>
  <c r="M426" i="1"/>
  <c r="M3672" i="1"/>
  <c r="M1934" i="1"/>
  <c r="M931" i="1"/>
  <c r="M1967" i="1"/>
  <c r="M427" i="1"/>
  <c r="M2989" i="1"/>
  <c r="M4645" i="1"/>
  <c r="M1929" i="1"/>
  <c r="M2398" i="1"/>
  <c r="M3794" i="1"/>
  <c r="M981" i="1"/>
  <c r="M3556" i="1"/>
  <c r="M1731" i="1"/>
  <c r="M3697" i="1"/>
  <c r="M454" i="1"/>
  <c r="M4514" i="1"/>
  <c r="M3297" i="1"/>
  <c r="M196" i="1"/>
  <c r="M1592" i="1"/>
  <c r="M1593" i="1"/>
  <c r="M1594" i="1"/>
  <c r="M2655" i="1"/>
  <c r="M2075" i="1"/>
  <c r="M2990" i="1"/>
  <c r="M1360" i="1"/>
  <c r="M1106" i="1"/>
  <c r="M2991" i="1"/>
  <c r="M2992" i="1"/>
  <c r="M1595" i="1"/>
  <c r="M317" i="1"/>
  <c r="M4515" i="1"/>
  <c r="M2993" i="1"/>
  <c r="M3666" i="1"/>
  <c r="M175" i="1"/>
  <c r="M2994" i="1"/>
  <c r="M423" i="1"/>
  <c r="M891" i="1"/>
  <c r="M1596" i="1"/>
  <c r="M917" i="1"/>
  <c r="M3576" i="1"/>
  <c r="M2109" i="1"/>
  <c r="M657" i="1"/>
  <c r="M658" i="1"/>
  <c r="M4516" i="1"/>
  <c r="M659" i="1"/>
  <c r="M984" i="1"/>
  <c r="M2995" i="1"/>
  <c r="M4517" i="1"/>
  <c r="M4518" i="1"/>
  <c r="M2657" i="1"/>
  <c r="M394" i="1"/>
  <c r="M4519" i="1"/>
  <c r="M113" i="1"/>
  <c r="M859" i="1"/>
  <c r="M2271" i="1"/>
  <c r="M4712" i="1"/>
  <c r="M1669" i="1"/>
  <c r="M3298" i="1"/>
  <c r="M860" i="1"/>
  <c r="M4520" i="1"/>
  <c r="M2996" i="1"/>
  <c r="M3299" i="1"/>
  <c r="M48" i="1"/>
  <c r="M2997" i="1"/>
  <c r="M374" i="1"/>
  <c r="M3603" i="1"/>
  <c r="M660" i="1"/>
  <c r="M104" i="1"/>
  <c r="M3640" i="1"/>
  <c r="M861" i="1"/>
  <c r="M4948" i="1"/>
  <c r="M2998" i="1"/>
  <c r="M3604" i="1"/>
  <c r="M1361" i="1"/>
  <c r="M2504" i="1"/>
  <c r="M1362" i="1"/>
  <c r="M360" i="1"/>
  <c r="M1597" i="1"/>
  <c r="M4521" i="1"/>
  <c r="M3593" i="1"/>
  <c r="M2999" i="1"/>
  <c r="M1825" i="1"/>
  <c r="M3438" i="1"/>
  <c r="M4629" i="1"/>
  <c r="M1959" i="1"/>
  <c r="M479" i="1"/>
  <c r="M1363" i="1"/>
  <c r="M2551" i="1"/>
  <c r="M1773" i="1"/>
  <c r="M999" i="1"/>
  <c r="M985" i="1"/>
  <c r="M4090" i="1"/>
  <c r="M3663" i="1"/>
  <c r="M2375" i="1"/>
  <c r="M1058" i="1"/>
  <c r="M2668" i="1"/>
  <c r="M4522" i="1"/>
  <c r="M3673" i="1"/>
  <c r="M944" i="1"/>
  <c r="M1598" i="1"/>
  <c r="M3000" i="1"/>
  <c r="M4523" i="1"/>
  <c r="M1364" i="1"/>
  <c r="M300" i="1"/>
  <c r="M4713" i="1"/>
  <c r="M3300" i="1"/>
  <c r="M3301" i="1"/>
  <c r="M1599" i="1"/>
  <c r="M3411" i="1"/>
  <c r="M933" i="1"/>
  <c r="M3001" i="1"/>
  <c r="M1600" i="1"/>
  <c r="M1893" i="1"/>
  <c r="M341" i="1"/>
  <c r="M4524" i="1"/>
  <c r="M4659" i="1"/>
  <c r="M1601" i="1"/>
  <c r="M3414" i="1"/>
  <c r="M1798" i="1"/>
  <c r="M1365" i="1"/>
  <c r="M661" i="1"/>
  <c r="M376" i="1"/>
  <c r="M1127" i="1"/>
  <c r="M4749" i="1"/>
  <c r="M2689" i="1"/>
  <c r="M4575" i="1"/>
  <c r="M662" i="1"/>
  <c r="M1602" i="1"/>
  <c r="M3302" i="1"/>
  <c r="M276" i="1"/>
  <c r="M2019" i="1"/>
  <c r="M3463" i="1"/>
  <c r="M4525" i="1"/>
  <c r="M2310" i="1"/>
  <c r="M890" i="1"/>
  <c r="M2202" i="1"/>
  <c r="M2379" i="1"/>
  <c r="M3615" i="1"/>
  <c r="M862" i="1"/>
  <c r="M3303" i="1"/>
  <c r="M2596" i="1"/>
  <c r="M983" i="1"/>
  <c r="M1603" i="1"/>
  <c r="M1366" i="1"/>
  <c r="M3712" i="1"/>
  <c r="M2107" i="1"/>
  <c r="M2499" i="1"/>
  <c r="M4091" i="1"/>
  <c r="M4602" i="1"/>
  <c r="M3002" i="1"/>
  <c r="M4526" i="1"/>
  <c r="M863" i="1"/>
  <c r="M4861" i="1"/>
  <c r="M2117" i="1"/>
  <c r="M4834" i="1"/>
  <c r="M4785" i="1"/>
  <c r="M1113" i="1"/>
  <c r="M2558" i="1"/>
  <c r="M3415" i="1"/>
  <c r="M4092" i="1"/>
  <c r="M4577" i="1"/>
  <c r="M3694" i="1"/>
  <c r="M211" i="1"/>
  <c r="M1998" i="1"/>
  <c r="M1604" i="1"/>
  <c r="M4603" i="1"/>
  <c r="M3304" i="1"/>
  <c r="M1717" i="1"/>
  <c r="M4527" i="1"/>
  <c r="M3490" i="1"/>
  <c r="M4925" i="1"/>
  <c r="M1086" i="1"/>
  <c r="M3003" i="1"/>
  <c r="M3487" i="1"/>
  <c r="M663" i="1"/>
  <c r="M864" i="1"/>
  <c r="M3654" i="1"/>
  <c r="M3824" i="1"/>
  <c r="M4630" i="1"/>
  <c r="M4528" i="1"/>
  <c r="M3781" i="1"/>
  <c r="M4529" i="1"/>
  <c r="M3516" i="1"/>
  <c r="M67" i="1"/>
  <c r="M210" i="1"/>
  <c r="M1605" i="1"/>
  <c r="M1672" i="1"/>
  <c r="M2298" i="1"/>
  <c r="M2552" i="1"/>
  <c r="M1730" i="1"/>
  <c r="M2067" i="1"/>
  <c r="M2405" i="1"/>
  <c r="M3004" i="1"/>
  <c r="M2253" i="1"/>
  <c r="M4530" i="1"/>
  <c r="M865" i="1"/>
  <c r="M1889" i="1"/>
  <c r="M866" i="1"/>
  <c r="M68" i="1"/>
  <c r="M3655" i="1"/>
  <c r="M1367" i="1"/>
  <c r="M1606" i="1"/>
  <c r="M1607" i="1"/>
  <c r="M4584" i="1"/>
  <c r="M3006" i="1"/>
  <c r="M3005" i="1"/>
  <c r="M867" i="1"/>
  <c r="M664" i="1"/>
  <c r="M2435" i="1"/>
  <c r="M2554" i="1"/>
  <c r="M4578" i="1"/>
  <c r="M1108" i="1"/>
  <c r="M4093" i="1"/>
  <c r="M1368" i="1"/>
  <c r="M4531" i="1"/>
  <c r="M3795" i="1"/>
  <c r="M1854" i="1"/>
  <c r="M1184" i="1"/>
  <c r="M3007" i="1"/>
  <c r="M1914" i="1"/>
  <c r="M4532" i="1"/>
  <c r="M2272" i="1"/>
  <c r="M1087" i="1"/>
  <c r="M2294" i="1"/>
  <c r="M1608" i="1"/>
  <c r="M4979" i="1"/>
  <c r="M2419" i="1"/>
  <c r="M4980" i="1"/>
  <c r="M4992" i="1"/>
  <c r="M916" i="1"/>
  <c r="M1369" i="1"/>
  <c r="M4095" i="1"/>
  <c r="M4094" i="1"/>
  <c r="M3336" i="1"/>
  <c r="M1609" i="1"/>
  <c r="M287" i="1"/>
  <c r="M4533" i="1"/>
  <c r="M868" i="1"/>
  <c r="M3008" i="1"/>
  <c r="M2665" i="1"/>
  <c r="M2307" i="1"/>
  <c r="M3520" i="1"/>
  <c r="M1855" i="1"/>
  <c r="M153" i="1"/>
  <c r="M3305" i="1"/>
  <c r="M4534" i="1"/>
  <c r="M4096" i="1"/>
  <c r="M3009" i="1"/>
  <c r="M4998" i="1"/>
  <c r="M3742" i="1"/>
  <c r="M665" i="1"/>
  <c r="M188" i="1"/>
  <c r="M1719" i="1"/>
  <c r="M4535" i="1"/>
  <c r="M3306" i="1"/>
  <c r="M4536" i="1"/>
  <c r="M2254" i="1"/>
  <c r="M666" i="1"/>
  <c r="M4896" i="1"/>
  <c r="M667" i="1"/>
  <c r="M1189" i="1"/>
  <c r="M4537" i="1"/>
  <c r="M4097" i="1"/>
  <c r="M4538" i="1"/>
  <c r="M1610" i="1"/>
  <c r="M3010" i="1"/>
  <c r="M1611" i="1"/>
  <c r="M3417" i="1"/>
  <c r="M237" i="1"/>
  <c r="M4587" i="1"/>
  <c r="M3011" i="1"/>
  <c r="M3307" i="1"/>
  <c r="M4627" i="1"/>
  <c r="M3465" i="1"/>
  <c r="M23" i="1"/>
  <c r="M478" i="1"/>
  <c r="M4899" i="1"/>
  <c r="M3340" i="1"/>
  <c r="M1800" i="1"/>
  <c r="M2360" i="1"/>
  <c r="M4951" i="1"/>
  <c r="M3308" i="1"/>
  <c r="M4900" i="1"/>
  <c r="M3658" i="1"/>
  <c r="M668" i="1"/>
  <c r="M1812" i="1"/>
  <c r="M3427" i="1"/>
  <c r="M99" i="1"/>
  <c r="M3309" i="1"/>
  <c r="M4770" i="1"/>
  <c r="M869" i="1"/>
  <c r="M2663" i="1"/>
  <c r="M3783" i="1"/>
  <c r="M224" i="1"/>
  <c r="M3493" i="1"/>
  <c r="M669" i="1"/>
  <c r="M1842" i="1"/>
  <c r="M4539" i="1"/>
  <c r="M4540" i="1"/>
  <c r="M4682" i="1"/>
  <c r="M4897" i="1"/>
  <c r="M1612" i="1"/>
  <c r="M40" i="1"/>
  <c r="M1613" i="1"/>
  <c r="M902" i="1"/>
  <c r="M4631" i="1"/>
  <c r="M3310" i="1"/>
  <c r="M4541" i="1"/>
  <c r="M1945" i="1"/>
  <c r="M4098" i="1"/>
  <c r="M1107" i="1"/>
  <c r="M3646" i="1"/>
  <c r="M2057" i="1"/>
  <c r="M3311" i="1"/>
  <c r="M3647" i="1"/>
  <c r="M2173" i="1"/>
  <c r="M4751" i="1"/>
  <c r="M130" i="1"/>
  <c r="M1614" i="1"/>
  <c r="M2436" i="1"/>
  <c r="M3579" i="1"/>
  <c r="M2342" i="1"/>
  <c r="M3012" i="1"/>
  <c r="M3312" i="1"/>
  <c r="M1370" i="1"/>
  <c r="M2216" i="1"/>
  <c r="M670" i="1"/>
  <c r="M3617" i="1"/>
  <c r="M2077" i="1"/>
  <c r="M1993" i="1"/>
  <c r="M3696" i="1"/>
  <c r="M1194" i="1"/>
  <c r="M2301" i="1"/>
  <c r="M318" i="1"/>
  <c r="M2228" i="1"/>
  <c r="M4924" i="1"/>
  <c r="M4099" i="1"/>
  <c r="M671" i="1"/>
  <c r="M1615" i="1"/>
  <c r="M3313" i="1"/>
  <c r="M2349" i="1"/>
  <c r="M4542" i="1"/>
  <c r="M1371" i="1"/>
  <c r="M4543" i="1"/>
  <c r="M870" i="1"/>
  <c r="M3314" i="1"/>
  <c r="M28" i="1"/>
  <c r="M2017" i="1"/>
  <c r="M2606" i="1"/>
  <c r="M3332" i="1"/>
  <c r="M3013" i="1"/>
  <c r="M2207" i="1"/>
  <c r="M1616" i="1"/>
  <c r="M3014" i="1"/>
  <c r="M3015" i="1"/>
  <c r="M2607" i="1"/>
  <c r="M4100" i="1"/>
  <c r="M4544" i="1"/>
  <c r="M39" i="1"/>
  <c r="M4545" i="1"/>
  <c r="M3016" i="1"/>
  <c r="M4546" i="1"/>
  <c r="M4836" i="1"/>
  <c r="M3820" i="1"/>
  <c r="M4547" i="1"/>
  <c r="M4548" i="1"/>
  <c r="M3315" i="1"/>
  <c r="M3316" i="1"/>
  <c r="M3605" i="1"/>
  <c r="M4549" i="1"/>
  <c r="M3317" i="1"/>
  <c r="M4550" i="1"/>
  <c r="M4551" i="1"/>
  <c r="M4648" i="1"/>
  <c r="M3017" i="1"/>
  <c r="M2562" i="1"/>
  <c r="M4576" i="1"/>
  <c r="M3018" i="1"/>
  <c r="M377" i="1"/>
  <c r="M3732" i="1"/>
  <c r="M4840" i="1"/>
  <c r="M1168" i="1"/>
  <c r="M3494" i="1"/>
  <c r="M241" i="1"/>
  <c r="M3710" i="1"/>
  <c r="M3558" i="1"/>
  <c r="M253" i="1"/>
  <c r="M3595" i="1"/>
  <c r="M4552" i="1"/>
  <c r="M4553" i="1"/>
  <c r="M4101" i="1"/>
  <c r="M3019" i="1"/>
  <c r="M871" i="1"/>
  <c r="M84" i="1"/>
  <c r="M3318" i="1"/>
  <c r="M1827" i="1"/>
  <c r="M4554" i="1"/>
  <c r="M3319" i="1"/>
  <c r="M1617" i="1"/>
  <c r="M3020" i="1"/>
  <c r="M3682" i="1"/>
  <c r="M2426" i="1"/>
  <c r="M2066" i="1"/>
  <c r="M2458" i="1"/>
  <c r="M424" i="1"/>
  <c r="M4898" i="1"/>
  <c r="M1076" i="1"/>
  <c r="M872" i="1"/>
  <c r="M3021" i="1"/>
  <c r="M4837" i="1"/>
  <c r="M2221" i="1"/>
  <c r="M1774" i="1"/>
  <c r="M150" i="1"/>
  <c r="M2505" i="1"/>
  <c r="M1840" i="1"/>
  <c r="M1718" i="1"/>
  <c r="M1636" i="1"/>
  <c r="M4555" i="1"/>
  <c r="M2084" i="1"/>
  <c r="M2097" i="1"/>
  <c r="M4102" i="1"/>
  <c r="M2261" i="1"/>
  <c r="M477" i="1"/>
  <c r="M3022" i="1"/>
  <c r="M1185" i="1"/>
  <c r="M1921" i="1"/>
  <c r="M286" i="1"/>
  <c r="M378" i="1"/>
  <c r="M4103" i="1"/>
  <c r="M3517" i="1"/>
  <c r="M3320" i="1"/>
  <c r="M3321" i="1"/>
  <c r="M4556" i="1"/>
  <c r="M1908" i="1"/>
  <c r="M873" i="1"/>
  <c r="M3386" i="1"/>
  <c r="M4104" i="1"/>
  <c r="M1653" i="1"/>
  <c r="M4588" i="1"/>
  <c r="M3519" i="1"/>
  <c r="M874" i="1"/>
  <c r="M1100" i="1"/>
  <c r="M1618" i="1"/>
  <c r="M4715" i="1"/>
  <c r="M3023" i="1"/>
  <c r="M3322" i="1"/>
  <c r="M5000" i="1"/>
  <c r="M303" i="1"/>
  <c r="M4787" i="1"/>
  <c r="M672" i="1"/>
  <c r="M3024" i="1"/>
  <c r="M4605" i="1"/>
  <c r="M4716" i="1"/>
  <c r="M3323" i="1"/>
  <c r="M3025" i="1"/>
  <c r="M673" i="1"/>
  <c r="M2252" i="1"/>
  <c r="M1736" i="1"/>
  <c r="M3324" i="1"/>
  <c r="M3026" i="1"/>
  <c r="M2284" i="1"/>
  <c r="M875" i="1"/>
  <c r="M3387" i="1"/>
  <c r="M4557" i="1"/>
  <c r="M4775" i="1"/>
  <c r="M3675" i="1"/>
  <c r="M4776" i="1"/>
  <c r="M1619" i="1"/>
  <c r="M3325" i="1"/>
  <c r="M876" i="1"/>
  <c r="M1620" i="1"/>
  <c r="M877" i="1"/>
  <c r="M3326" i="1"/>
  <c r="M180" i="1"/>
  <c r="M1621" i="1"/>
  <c r="M1622" i="1"/>
  <c r="M398" i="1"/>
  <c r="M1813" i="1"/>
  <c r="M1887" i="1"/>
  <c r="M3796" i="1"/>
  <c r="M3782" i="1"/>
  <c r="M2262" i="1"/>
  <c r="M3797" i="1"/>
  <c r="M4788" i="1"/>
  <c r="M4856" i="1"/>
  <c r="M3027" i="1"/>
  <c r="M3522" i="1"/>
  <c r="M903" i="1"/>
  <c r="M4952" i="1"/>
  <c r="M674" i="1"/>
  <c r="M878" i="1"/>
  <c r="M4558" i="1"/>
  <c r="M4105" i="1"/>
  <c r="M675" i="1"/>
  <c r="M4902" i="1"/>
  <c r="M3327" i="1"/>
  <c r="M4559" i="1"/>
  <c r="M4560" i="1"/>
  <c r="M3328" i="1"/>
  <c r="M4642" i="1"/>
  <c r="M2605" i="1"/>
  <c r="M3466" i="1"/>
  <c r="M4752" i="1"/>
  <c r="M4561" i="1"/>
  <c r="M3754" i="1"/>
  <c r="M879" i="1"/>
  <c r="M4562" i="1"/>
  <c r="M3329" i="1"/>
  <c r="M271" i="1"/>
  <c r="M3768" i="1"/>
  <c r="M2340" i="1"/>
  <c r="M676" i="1"/>
  <c r="M904" i="1"/>
  <c r="M4839" i="1"/>
  <c r="M1623" i="1"/>
  <c r="M1624" i="1"/>
  <c r="M2217" i="1"/>
  <c r="M1625" i="1"/>
  <c r="M4563" i="1"/>
  <c r="M880" i="1"/>
  <c r="M2414" i="1"/>
  <c r="M1372" i="1"/>
  <c r="M881" i="1"/>
  <c r="M461" i="1"/>
  <c r="M3028" i="1"/>
  <c r="M677" i="1"/>
  <c r="M3418" i="1"/>
  <c r="M4564" i="1"/>
  <c r="M4106" i="1"/>
  <c r="M1702" i="1"/>
  <c r="M1963" i="1"/>
  <c r="M2229" i="1"/>
  <c r="M4565" i="1"/>
  <c r="M4842" i="1"/>
  <c r="M4566" i="1"/>
  <c r="M4107" i="1"/>
  <c r="M4108" i="1"/>
  <c r="M3523" i="1"/>
  <c r="M3029" i="1"/>
  <c r="M1939" i="1"/>
  <c r="M1180" i="1"/>
  <c r="M3560" i="1"/>
  <c r="B9" i="2" l="1"/>
  <c r="B7" i="2"/>
  <c r="B8" i="2"/>
  <c r="B3" i="2"/>
  <c r="C4" i="2"/>
  <c r="C3" i="2"/>
  <c r="B4" i="2"/>
</calcChain>
</file>

<file path=xl/sharedStrings.xml><?xml version="1.0" encoding="utf-8"?>
<sst xmlns="http://schemas.openxmlformats.org/spreadsheetml/2006/main" count="40050" uniqueCount="10062">
  <si>
    <t>ID CLIENTE</t>
  </si>
  <si>
    <t>GENERO</t>
  </si>
  <si>
    <t>EDAD</t>
  </si>
  <si>
    <t>COMPRA</t>
  </si>
  <si>
    <t>COLOR</t>
  </si>
  <si>
    <t>MARCA</t>
  </si>
  <si>
    <t>CODIGO DE ROPA</t>
  </si>
  <si>
    <t>FECHA DE COMPRA</t>
  </si>
  <si>
    <t>PRECIO</t>
  </si>
  <si>
    <t>DESCUENTO</t>
  </si>
  <si>
    <t>TOTAL A PAGAR</t>
  </si>
  <si>
    <t>TIPO DE PAGO</t>
  </si>
  <si>
    <t>DIFERIDO</t>
  </si>
  <si>
    <t>FECHA DE CORTE</t>
  </si>
  <si>
    <t>MESES DIFERIDO</t>
  </si>
  <si>
    <t>DEP-A0-0001</t>
  </si>
  <si>
    <t>DEP-A0-0002</t>
  </si>
  <si>
    <t>DEP-A0-0003</t>
  </si>
  <si>
    <t>DEP-A0-0004</t>
  </si>
  <si>
    <t>DEP-A0-0005</t>
  </si>
  <si>
    <t>DEP-A0-0006</t>
  </si>
  <si>
    <t>DEP-A0-0007</t>
  </si>
  <si>
    <t>DEP-A0-0008</t>
  </si>
  <si>
    <t>DEP-A0-0009</t>
  </si>
  <si>
    <t>DEP-A0-0010</t>
  </si>
  <si>
    <t>DEP-A0-0011</t>
  </si>
  <si>
    <t>DEP-A0-0012</t>
  </si>
  <si>
    <t>DEP-A0-0013</t>
  </si>
  <si>
    <t>DEP-A0-0014</t>
  </si>
  <si>
    <t>DEP-A0-0015</t>
  </si>
  <si>
    <t>DEP-A0-0016</t>
  </si>
  <si>
    <t>DEP-A0-0017</t>
  </si>
  <si>
    <t>DEP-A0-0018</t>
  </si>
  <si>
    <t>DEP-A0-0019</t>
  </si>
  <si>
    <t>DEP-A0-0020</t>
  </si>
  <si>
    <t>DEP-A0-0021</t>
  </si>
  <si>
    <t>DEP-A0-0022</t>
  </si>
  <si>
    <t>DEP-A0-0023</t>
  </si>
  <si>
    <t>DEP-A0-0024</t>
  </si>
  <si>
    <t>DEP-A0-0025</t>
  </si>
  <si>
    <t>DEP-A0-0026</t>
  </si>
  <si>
    <t>DEP-A0-0027</t>
  </si>
  <si>
    <t>DEP-A0-0028</t>
  </si>
  <si>
    <t>DEP-A0-0029</t>
  </si>
  <si>
    <t>DEP-A0-0030</t>
  </si>
  <si>
    <t>DEP-A0-0031</t>
  </si>
  <si>
    <t>DEP-A0-0032</t>
  </si>
  <si>
    <t>DEP-A0-0033</t>
  </si>
  <si>
    <t>DEP-A0-0034</t>
  </si>
  <si>
    <t>DEP-A0-0035</t>
  </si>
  <si>
    <t>DEP-A0-0036</t>
  </si>
  <si>
    <t>DEP-A0-0037</t>
  </si>
  <si>
    <t>DEP-A0-0038</t>
  </si>
  <si>
    <t>DEP-A0-0039</t>
  </si>
  <si>
    <t>DEP-A0-0040</t>
  </si>
  <si>
    <t>DEP-A0-0041</t>
  </si>
  <si>
    <t>DEP-A0-0042</t>
  </si>
  <si>
    <t>DEP-A0-0043</t>
  </si>
  <si>
    <t>DEP-A0-0044</t>
  </si>
  <si>
    <t>DEP-A0-0045</t>
  </si>
  <si>
    <t>DEP-A0-0046</t>
  </si>
  <si>
    <t>DEP-A0-0047</t>
  </si>
  <si>
    <t>DEP-A0-0048</t>
  </si>
  <si>
    <t>DEP-A0-0049</t>
  </si>
  <si>
    <t>DEP-A0-0050</t>
  </si>
  <si>
    <t>DEP-A0-0051</t>
  </si>
  <si>
    <t>DEP-A0-0052</t>
  </si>
  <si>
    <t>DEP-A0-0053</t>
  </si>
  <si>
    <t>DEP-A0-0054</t>
  </si>
  <si>
    <t>DEP-A0-0055</t>
  </si>
  <si>
    <t>DEP-A0-0056</t>
  </si>
  <si>
    <t>DEP-A0-0057</t>
  </si>
  <si>
    <t>DEP-A0-0058</t>
  </si>
  <si>
    <t>DEP-A0-0059</t>
  </si>
  <si>
    <t>DEP-A0-0060</t>
  </si>
  <si>
    <t>DEP-A0-0061</t>
  </si>
  <si>
    <t>DEP-A0-0062</t>
  </si>
  <si>
    <t>DEP-A0-0063</t>
  </si>
  <si>
    <t>DEP-A0-0064</t>
  </si>
  <si>
    <t>DEP-A0-0065</t>
  </si>
  <si>
    <t>DEP-A0-0066</t>
  </si>
  <si>
    <t>DEP-A0-0067</t>
  </si>
  <si>
    <t>DEP-A0-0068</t>
  </si>
  <si>
    <t>DEP-A0-0069</t>
  </si>
  <si>
    <t>DEP-A0-0070</t>
  </si>
  <si>
    <t>DEP-A0-0071</t>
  </si>
  <si>
    <t>DEP-A0-0072</t>
  </si>
  <si>
    <t>DEP-A0-0073</t>
  </si>
  <si>
    <t>DEP-A0-0074</t>
  </si>
  <si>
    <t>DEP-A0-0075</t>
  </si>
  <si>
    <t>DEP-A0-0076</t>
  </si>
  <si>
    <t>DEP-A0-0077</t>
  </si>
  <si>
    <t>DEP-A0-0078</t>
  </si>
  <si>
    <t>DEP-A0-0079</t>
  </si>
  <si>
    <t>DEP-A0-0080</t>
  </si>
  <si>
    <t>DEP-A0-0081</t>
  </si>
  <si>
    <t>DEP-A0-0082</t>
  </si>
  <si>
    <t>DEP-A0-0083</t>
  </si>
  <si>
    <t>DEP-A0-0084</t>
  </si>
  <si>
    <t>DEP-A0-0085</t>
  </si>
  <si>
    <t>DEP-A0-0086</t>
  </si>
  <si>
    <t>DEP-A0-0087</t>
  </si>
  <si>
    <t>DEP-A0-0088</t>
  </si>
  <si>
    <t>DEP-A0-0089</t>
  </si>
  <si>
    <t>DEP-A0-0090</t>
  </si>
  <si>
    <t>DEP-A0-0091</t>
  </si>
  <si>
    <t>DEP-A0-0092</t>
  </si>
  <si>
    <t>DEP-A0-0093</t>
  </si>
  <si>
    <t>DEP-A0-0094</t>
  </si>
  <si>
    <t>DEP-A0-0095</t>
  </si>
  <si>
    <t>DEP-A0-0096</t>
  </si>
  <si>
    <t>DEP-A0-0097</t>
  </si>
  <si>
    <t>DEP-A0-0098</t>
  </si>
  <si>
    <t>DEP-A0-0099</t>
  </si>
  <si>
    <t>DEP-A0-0100</t>
  </si>
  <si>
    <t>DEP-A0-0101</t>
  </si>
  <si>
    <t>DEP-A0-0102</t>
  </si>
  <si>
    <t>DEP-A0-0103</t>
  </si>
  <si>
    <t>DEP-A0-0104</t>
  </si>
  <si>
    <t>DEP-A0-0105</t>
  </si>
  <si>
    <t>DEP-A0-0106</t>
  </si>
  <si>
    <t>DEP-A0-0107</t>
  </si>
  <si>
    <t>DEP-A0-0108</t>
  </si>
  <si>
    <t>DEP-A0-0109</t>
  </si>
  <si>
    <t>DEP-A0-0110</t>
  </si>
  <si>
    <t>DEP-A0-0111</t>
  </si>
  <si>
    <t>DEP-A0-0112</t>
  </si>
  <si>
    <t>DEP-A0-0113</t>
  </si>
  <si>
    <t>DEP-A0-0114</t>
  </si>
  <si>
    <t>DEP-A0-0115</t>
  </si>
  <si>
    <t>DEP-A0-0116</t>
  </si>
  <si>
    <t>DEP-A0-0117</t>
  </si>
  <si>
    <t>DEP-A0-0118</t>
  </si>
  <si>
    <t>DEP-A0-0119</t>
  </si>
  <si>
    <t>DEP-A0-0120</t>
  </si>
  <si>
    <t>DEP-A0-0121</t>
  </si>
  <si>
    <t>DEP-A0-0122</t>
  </si>
  <si>
    <t>DEP-A0-0123</t>
  </si>
  <si>
    <t>DEP-A0-0124</t>
  </si>
  <si>
    <t>DEP-A0-0125</t>
  </si>
  <si>
    <t>DEP-A0-0126</t>
  </si>
  <si>
    <t>DEP-A0-0127</t>
  </si>
  <si>
    <t>DEP-A0-0128</t>
  </si>
  <si>
    <t>DEP-A0-0129</t>
  </si>
  <si>
    <t>DEP-A0-0130</t>
  </si>
  <si>
    <t>DEP-A0-0131</t>
  </si>
  <si>
    <t>DEP-A0-0132</t>
  </si>
  <si>
    <t>DEP-A0-0133</t>
  </si>
  <si>
    <t>DEP-A0-0134</t>
  </si>
  <si>
    <t>DEP-A0-0135</t>
  </si>
  <si>
    <t>DEP-A0-0136</t>
  </si>
  <si>
    <t>DEP-A0-0137</t>
  </si>
  <si>
    <t>DEP-A0-0138</t>
  </si>
  <si>
    <t>DEP-A0-0139</t>
  </si>
  <si>
    <t>DEP-A0-0140</t>
  </si>
  <si>
    <t>DEP-A0-0141</t>
  </si>
  <si>
    <t>DEP-A0-0142</t>
  </si>
  <si>
    <t>DEP-A0-0143</t>
  </si>
  <si>
    <t>DEP-A0-0144</t>
  </si>
  <si>
    <t>DEP-A0-0145</t>
  </si>
  <si>
    <t>DEP-A0-0146</t>
  </si>
  <si>
    <t>DEP-A0-0147</t>
  </si>
  <si>
    <t>DEP-A0-0148</t>
  </si>
  <si>
    <t>DEP-A0-0149</t>
  </si>
  <si>
    <t>DEP-A0-0150</t>
  </si>
  <si>
    <t>DEP-A0-0151</t>
  </si>
  <si>
    <t>DEP-A0-0152</t>
  </si>
  <si>
    <t>DEP-A0-0153</t>
  </si>
  <si>
    <t>DEP-A0-0154</t>
  </si>
  <si>
    <t>DEP-A0-0155</t>
  </si>
  <si>
    <t>DEP-A0-0156</t>
  </si>
  <si>
    <t>DEP-A0-0157</t>
  </si>
  <si>
    <t>DEP-A0-0158</t>
  </si>
  <si>
    <t>DEP-A0-0159</t>
  </si>
  <si>
    <t>DEP-A0-0160</t>
  </si>
  <si>
    <t>DEP-A0-0161</t>
  </si>
  <si>
    <t>DEP-A0-0162</t>
  </si>
  <si>
    <t>DEP-A0-0163</t>
  </si>
  <si>
    <t>DEP-A0-0164</t>
  </si>
  <si>
    <t>DEP-A0-0165</t>
  </si>
  <si>
    <t>DEP-A0-0166</t>
  </si>
  <si>
    <t>DEP-A0-0167</t>
  </si>
  <si>
    <t>DEP-A0-0168</t>
  </si>
  <si>
    <t>DEP-A0-0169</t>
  </si>
  <si>
    <t>DEP-A0-0170</t>
  </si>
  <si>
    <t>DEP-A0-0171</t>
  </si>
  <si>
    <t>DEP-A0-0172</t>
  </si>
  <si>
    <t>DEP-A0-0173</t>
  </si>
  <si>
    <t>DEP-A0-0174</t>
  </si>
  <si>
    <t>DEP-A0-0175</t>
  </si>
  <si>
    <t>DEP-A0-0176</t>
  </si>
  <si>
    <t>DEP-A0-0177</t>
  </si>
  <si>
    <t>DEP-A0-0178</t>
  </si>
  <si>
    <t>DEP-A0-0179</t>
  </si>
  <si>
    <t>DEP-A0-0180</t>
  </si>
  <si>
    <t>DEP-A0-0181</t>
  </si>
  <si>
    <t>DEP-A0-0182</t>
  </si>
  <si>
    <t>DEP-A0-0183</t>
  </si>
  <si>
    <t>DEP-A0-0184</t>
  </si>
  <si>
    <t>DEP-A0-0185</t>
  </si>
  <si>
    <t>DEP-A0-0186</t>
  </si>
  <si>
    <t>DEP-A0-0187</t>
  </si>
  <si>
    <t>DEP-A0-0188</t>
  </si>
  <si>
    <t>DEP-A0-0189</t>
  </si>
  <si>
    <t>DEP-A0-0190</t>
  </si>
  <si>
    <t>DEP-A0-0191</t>
  </si>
  <si>
    <t>DEP-A0-0192</t>
  </si>
  <si>
    <t>DEP-A0-0193</t>
  </si>
  <si>
    <t>DEP-A0-0194</t>
  </si>
  <si>
    <t>DEP-A0-0195</t>
  </si>
  <si>
    <t>DEP-A0-0196</t>
  </si>
  <si>
    <t>DEP-A0-0197</t>
  </si>
  <si>
    <t>DEP-A0-0198</t>
  </si>
  <si>
    <t>DEP-A0-0199</t>
  </si>
  <si>
    <t>DEP-A0-0200</t>
  </si>
  <si>
    <t>DEP-A0-0201</t>
  </si>
  <si>
    <t>DEP-A0-0202</t>
  </si>
  <si>
    <t>DEP-A0-0203</t>
  </si>
  <si>
    <t>DEP-A0-0204</t>
  </si>
  <si>
    <t>DEP-A0-0205</t>
  </si>
  <si>
    <t>DEP-A0-0206</t>
  </si>
  <si>
    <t>DEP-A0-0207</t>
  </si>
  <si>
    <t>DEP-A0-0208</t>
  </si>
  <si>
    <t>DEP-A0-0209</t>
  </si>
  <si>
    <t>DEP-A0-0210</t>
  </si>
  <si>
    <t>DEP-A0-0211</t>
  </si>
  <si>
    <t>DEP-A0-0212</t>
  </si>
  <si>
    <t>DEP-A0-0213</t>
  </si>
  <si>
    <t>DEP-A0-0214</t>
  </si>
  <si>
    <t>DEP-A0-0215</t>
  </si>
  <si>
    <t>DEP-A0-0216</t>
  </si>
  <si>
    <t>DEP-A0-0217</t>
  </si>
  <si>
    <t>DEP-A0-0218</t>
  </si>
  <si>
    <t>DEP-A0-0219</t>
  </si>
  <si>
    <t>DEP-A0-0220</t>
  </si>
  <si>
    <t>DEP-A0-0221</t>
  </si>
  <si>
    <t>DEP-A0-0222</t>
  </si>
  <si>
    <t>DEP-A0-0223</t>
  </si>
  <si>
    <t>DEP-A0-0224</t>
  </si>
  <si>
    <t>DEP-A0-0225</t>
  </si>
  <si>
    <t>DEP-A0-0226</t>
  </si>
  <si>
    <t>DEP-A0-0227</t>
  </si>
  <si>
    <t>DEP-A0-0228</t>
  </si>
  <si>
    <t>DEP-A0-0229</t>
  </si>
  <si>
    <t>DEP-A0-0230</t>
  </si>
  <si>
    <t>DEP-A0-0231</t>
  </si>
  <si>
    <t>DEP-A0-0232</t>
  </si>
  <si>
    <t>DEP-A0-0233</t>
  </si>
  <si>
    <t>DEP-A0-0234</t>
  </si>
  <si>
    <t>DEP-A0-0235</t>
  </si>
  <si>
    <t>DEP-A0-0236</t>
  </si>
  <si>
    <t>DEP-A0-0237</t>
  </si>
  <si>
    <t>DEP-A0-0238</t>
  </si>
  <si>
    <t>DEP-A0-0239</t>
  </si>
  <si>
    <t>DEP-A0-0240</t>
  </si>
  <si>
    <t>DEP-A0-0241</t>
  </si>
  <si>
    <t>DEP-A0-0242</t>
  </si>
  <si>
    <t>DEP-A0-0243</t>
  </si>
  <si>
    <t>DEP-A0-0244</t>
  </si>
  <si>
    <t>DEP-A0-0245</t>
  </si>
  <si>
    <t>DEP-A0-0246</t>
  </si>
  <si>
    <t>DEP-A0-0247</t>
  </si>
  <si>
    <t>DEP-A0-0248</t>
  </si>
  <si>
    <t>DEP-A0-0249</t>
  </si>
  <si>
    <t>DEP-A0-0250</t>
  </si>
  <si>
    <t>DEP-A0-0251</t>
  </si>
  <si>
    <t>DEP-A0-0252</t>
  </si>
  <si>
    <t>DEP-A0-0253</t>
  </si>
  <si>
    <t>DEP-A0-0254</t>
  </si>
  <si>
    <t>DEP-A0-0255</t>
  </si>
  <si>
    <t>DEP-A0-0256</t>
  </si>
  <si>
    <t>DEP-A0-0257</t>
  </si>
  <si>
    <t>DEP-A0-0258</t>
  </si>
  <si>
    <t>DEP-A0-0259</t>
  </si>
  <si>
    <t>DEP-A0-0260</t>
  </si>
  <si>
    <t>DEP-A0-0261</t>
  </si>
  <si>
    <t>DEP-A0-0262</t>
  </si>
  <si>
    <t>DEP-A0-0263</t>
  </si>
  <si>
    <t>DEP-A0-0264</t>
  </si>
  <si>
    <t>DEP-A0-0265</t>
  </si>
  <si>
    <t>DEP-A0-0266</t>
  </si>
  <si>
    <t>DEP-A0-0267</t>
  </si>
  <si>
    <t>DEP-A0-0268</t>
  </si>
  <si>
    <t>DEP-A0-0269</t>
  </si>
  <si>
    <t>DEP-A0-0270</t>
  </si>
  <si>
    <t>DEP-A0-0271</t>
  </si>
  <si>
    <t>DEP-A0-0272</t>
  </si>
  <si>
    <t>DEP-A0-0273</t>
  </si>
  <si>
    <t>DEP-A0-0274</t>
  </si>
  <si>
    <t>DEP-A0-0275</t>
  </si>
  <si>
    <t>DEP-A0-0276</t>
  </si>
  <si>
    <t>DEP-A0-0277</t>
  </si>
  <si>
    <t>DEP-A0-0278</t>
  </si>
  <si>
    <t>DEP-A0-0279</t>
  </si>
  <si>
    <t>DEP-A0-0280</t>
  </si>
  <si>
    <t>DEP-A0-0281</t>
  </si>
  <si>
    <t>DEP-A0-0282</t>
  </si>
  <si>
    <t>DEP-A0-0283</t>
  </si>
  <si>
    <t>DEP-A0-0284</t>
  </si>
  <si>
    <t>DEP-A0-0285</t>
  </si>
  <si>
    <t>DEP-A0-0286</t>
  </si>
  <si>
    <t>DEP-A0-0287</t>
  </si>
  <si>
    <t>DEP-A0-0288</t>
  </si>
  <si>
    <t>DEP-A0-0289</t>
  </si>
  <si>
    <t>DEP-A0-0290</t>
  </si>
  <si>
    <t>DEP-A0-0291</t>
  </si>
  <si>
    <t>DEP-A0-0292</t>
  </si>
  <si>
    <t>DEP-A0-0293</t>
  </si>
  <si>
    <t>DEP-A0-0294</t>
  </si>
  <si>
    <t>DEP-A0-0295</t>
  </si>
  <si>
    <t>DEP-A0-0296</t>
  </si>
  <si>
    <t>DEP-A0-0297</t>
  </si>
  <si>
    <t>DEP-A0-0298</t>
  </si>
  <si>
    <t>DEP-A0-0299</t>
  </si>
  <si>
    <t>DEP-A0-0300</t>
  </si>
  <si>
    <t>DEP-A0-0301</t>
  </si>
  <si>
    <t>DEP-A0-0302</t>
  </si>
  <si>
    <t>DEP-A0-0303</t>
  </si>
  <si>
    <t>DEP-A0-0304</t>
  </si>
  <si>
    <t>DEP-A0-0305</t>
  </si>
  <si>
    <t>DEP-A0-0306</t>
  </si>
  <si>
    <t>DEP-A0-0307</t>
  </si>
  <si>
    <t>DEP-A0-0308</t>
  </si>
  <si>
    <t>DEP-A0-0309</t>
  </si>
  <si>
    <t>DEP-A0-0310</t>
  </si>
  <si>
    <t>DEP-A0-0311</t>
  </si>
  <si>
    <t>DEP-A0-0312</t>
  </si>
  <si>
    <t>DEP-A0-0313</t>
  </si>
  <si>
    <t>DEP-A0-0314</t>
  </si>
  <si>
    <t>DEP-A0-0315</t>
  </si>
  <si>
    <t>DEP-A0-0316</t>
  </si>
  <si>
    <t>DEP-A0-0317</t>
  </si>
  <si>
    <t>DEP-A0-0318</t>
  </si>
  <si>
    <t>DEP-A0-0319</t>
  </si>
  <si>
    <t>DEP-A0-0320</t>
  </si>
  <si>
    <t>DEP-A0-0321</t>
  </si>
  <si>
    <t>DEP-A0-0322</t>
  </si>
  <si>
    <t>DEP-A0-0323</t>
  </si>
  <si>
    <t>DEP-A0-0324</t>
  </si>
  <si>
    <t>DEP-A0-0325</t>
  </si>
  <si>
    <t>DEP-A0-0326</t>
  </si>
  <si>
    <t>DEP-A0-0327</t>
  </si>
  <si>
    <t>DEP-A0-0328</t>
  </si>
  <si>
    <t>DEP-A0-0329</t>
  </si>
  <si>
    <t>DEP-A0-0330</t>
  </si>
  <si>
    <t>DEP-A0-0331</t>
  </si>
  <si>
    <t>DEP-A0-0332</t>
  </si>
  <si>
    <t>DEP-A0-0333</t>
  </si>
  <si>
    <t>DEP-A0-0334</t>
  </si>
  <si>
    <t>DEP-A0-0335</t>
  </si>
  <si>
    <t>DEP-A0-0336</t>
  </si>
  <si>
    <t>DEP-A0-0337</t>
  </si>
  <si>
    <t>DEP-A0-0338</t>
  </si>
  <si>
    <t>DEP-A0-0339</t>
  </si>
  <si>
    <t>DEP-A0-0340</t>
  </si>
  <si>
    <t>DEP-A0-0341</t>
  </si>
  <si>
    <t>DEP-A0-0342</t>
  </si>
  <si>
    <t>DEP-A0-0343</t>
  </si>
  <si>
    <t>DEP-A0-0344</t>
  </si>
  <si>
    <t>DEP-A0-0345</t>
  </si>
  <si>
    <t>DEP-A0-0346</t>
  </si>
  <si>
    <t>DEP-A0-0347</t>
  </si>
  <si>
    <t>DEP-A0-0348</t>
  </si>
  <si>
    <t>DEP-A0-0349</t>
  </si>
  <si>
    <t>DEP-A0-0350</t>
  </si>
  <si>
    <t>DEP-A0-0351</t>
  </si>
  <si>
    <t>DEP-A0-0352</t>
  </si>
  <si>
    <t>DEP-A0-0353</t>
  </si>
  <si>
    <t>DEP-A0-0354</t>
  </si>
  <si>
    <t>DEP-A0-0355</t>
  </si>
  <si>
    <t>DEP-A0-0356</t>
  </si>
  <si>
    <t>DEP-A0-0357</t>
  </si>
  <si>
    <t>DEP-A0-0358</t>
  </si>
  <si>
    <t>DEP-A0-0359</t>
  </si>
  <si>
    <t>DEP-A0-0360</t>
  </si>
  <si>
    <t>DEP-A0-0361</t>
  </si>
  <si>
    <t>DEP-A0-0362</t>
  </si>
  <si>
    <t>DEP-A0-0363</t>
  </si>
  <si>
    <t>DEP-A0-0364</t>
  </si>
  <si>
    <t>DEP-A0-0365</t>
  </si>
  <si>
    <t>DEP-A0-0366</t>
  </si>
  <si>
    <t>DEP-A0-0367</t>
  </si>
  <si>
    <t>DEP-A0-0368</t>
  </si>
  <si>
    <t>DEP-A0-0369</t>
  </si>
  <si>
    <t>DEP-A0-0370</t>
  </si>
  <si>
    <t>DEP-A0-0371</t>
  </si>
  <si>
    <t>DEP-A0-0372</t>
  </si>
  <si>
    <t>DEP-A0-0373</t>
  </si>
  <si>
    <t>DEP-A0-0374</t>
  </si>
  <si>
    <t>DEP-A0-0375</t>
  </si>
  <si>
    <t>DEP-A0-0376</t>
  </si>
  <si>
    <t>DEP-A0-0377</t>
  </si>
  <si>
    <t>DEP-A0-0378</t>
  </si>
  <si>
    <t>DEP-A0-0379</t>
  </si>
  <si>
    <t>DEP-A0-0380</t>
  </si>
  <si>
    <t>DEP-A0-0381</t>
  </si>
  <si>
    <t>DEP-A0-0382</t>
  </si>
  <si>
    <t>DEP-A0-0383</t>
  </si>
  <si>
    <t>DEP-A0-0384</t>
  </si>
  <si>
    <t>DEP-A0-0385</t>
  </si>
  <si>
    <t>DEP-A0-0386</t>
  </si>
  <si>
    <t>DEP-A0-0387</t>
  </si>
  <si>
    <t>DEP-A0-0388</t>
  </si>
  <si>
    <t>DEP-A0-0389</t>
  </si>
  <si>
    <t>DEP-A0-0390</t>
  </si>
  <si>
    <t>DEP-A0-0391</t>
  </si>
  <si>
    <t>DEP-A0-0392</t>
  </si>
  <si>
    <t>DEP-A0-0393</t>
  </si>
  <si>
    <t>DEP-A0-0394</t>
  </si>
  <si>
    <t>DEP-A0-0395</t>
  </si>
  <si>
    <t>DEP-A0-0396</t>
  </si>
  <si>
    <t>DEP-A0-0397</t>
  </si>
  <si>
    <t>DEP-A0-0398</t>
  </si>
  <si>
    <t>DEP-A0-0399</t>
  </si>
  <si>
    <t>DEP-A0-0400</t>
  </si>
  <si>
    <t>DEP-A0-0401</t>
  </si>
  <si>
    <t>DEP-A0-0402</t>
  </si>
  <si>
    <t>DEP-A0-0403</t>
  </si>
  <si>
    <t>DEP-A0-0404</t>
  </si>
  <si>
    <t>DEP-A0-0405</t>
  </si>
  <si>
    <t>DEP-A0-0406</t>
  </si>
  <si>
    <t>DEP-A0-0407</t>
  </si>
  <si>
    <t>DEP-A0-0408</t>
  </si>
  <si>
    <t>DEP-A0-0409</t>
  </si>
  <si>
    <t>DEP-A0-0410</t>
  </si>
  <si>
    <t>DEP-A0-0411</t>
  </si>
  <si>
    <t>DEP-A0-0412</t>
  </si>
  <si>
    <t>DEP-A0-0413</t>
  </si>
  <si>
    <t>DEP-A0-0414</t>
  </si>
  <si>
    <t>DEP-A0-0415</t>
  </si>
  <si>
    <t>DEP-A0-0416</t>
  </si>
  <si>
    <t>DEP-A0-0417</t>
  </si>
  <si>
    <t>DEP-A0-0418</t>
  </si>
  <si>
    <t>DEP-A0-0419</t>
  </si>
  <si>
    <t>DEP-A0-0420</t>
  </si>
  <si>
    <t>DEP-A0-0421</t>
  </si>
  <si>
    <t>DEP-A0-0422</t>
  </si>
  <si>
    <t>DEP-A0-0423</t>
  </si>
  <si>
    <t>DEP-A0-0424</t>
  </si>
  <si>
    <t>DEP-A0-0425</t>
  </si>
  <si>
    <t>DEP-A0-0426</t>
  </si>
  <si>
    <t>DEP-A0-0427</t>
  </si>
  <si>
    <t>DEP-A0-0428</t>
  </si>
  <si>
    <t>DEP-A0-0429</t>
  </si>
  <si>
    <t>DEP-A0-0430</t>
  </si>
  <si>
    <t>DEP-A0-0431</t>
  </si>
  <si>
    <t>DEP-A0-0432</t>
  </si>
  <si>
    <t>DEP-A0-0433</t>
  </si>
  <si>
    <t>DEP-A0-0434</t>
  </si>
  <si>
    <t>DEP-A0-0435</t>
  </si>
  <si>
    <t>DEP-A0-0436</t>
  </si>
  <si>
    <t>DEP-A0-0437</t>
  </si>
  <si>
    <t>DEP-A0-0438</t>
  </si>
  <si>
    <t>DEP-A0-0439</t>
  </si>
  <si>
    <t>DEP-A0-0440</t>
  </si>
  <si>
    <t>DEP-A0-0441</t>
  </si>
  <si>
    <t>DEP-A0-0442</t>
  </si>
  <si>
    <t>DEP-A0-0443</t>
  </si>
  <si>
    <t>DEP-A0-0444</t>
  </si>
  <si>
    <t>DEP-A0-0445</t>
  </si>
  <si>
    <t>DEP-A0-0446</t>
  </si>
  <si>
    <t>DEP-A0-0447</t>
  </si>
  <si>
    <t>DEP-A0-0448</t>
  </si>
  <si>
    <t>DEP-A0-0449</t>
  </si>
  <si>
    <t>DEP-A0-0450</t>
  </si>
  <si>
    <t>DEP-A0-0451</t>
  </si>
  <si>
    <t>DEP-A0-0452</t>
  </si>
  <si>
    <t>DEP-A0-0453</t>
  </si>
  <si>
    <t>DEP-A0-0454</t>
  </si>
  <si>
    <t>DEP-A0-0455</t>
  </si>
  <si>
    <t>DEP-A0-0456</t>
  </si>
  <si>
    <t>DEP-A0-0457</t>
  </si>
  <si>
    <t>DEP-A0-0458</t>
  </si>
  <si>
    <t>DEP-A0-0459</t>
  </si>
  <si>
    <t>DEP-A0-0460</t>
  </si>
  <si>
    <t>DEP-A0-0461</t>
  </si>
  <si>
    <t>DEP-A0-0462</t>
  </si>
  <si>
    <t>DEP-A0-0463</t>
  </si>
  <si>
    <t>DEP-A0-0464</t>
  </si>
  <si>
    <t>DEP-A0-0465</t>
  </si>
  <si>
    <t>DEP-A0-0466</t>
  </si>
  <si>
    <t>DEP-A0-0467</t>
  </si>
  <si>
    <t>DEP-A0-0468</t>
  </si>
  <si>
    <t>DEP-A0-0469</t>
  </si>
  <si>
    <t>DEP-A0-0470</t>
  </si>
  <si>
    <t>DEP-A0-0471</t>
  </si>
  <si>
    <t>DEP-A0-0472</t>
  </si>
  <si>
    <t>DEP-A0-0473</t>
  </si>
  <si>
    <t>DEP-A0-0474</t>
  </si>
  <si>
    <t>DEP-A0-0475</t>
  </si>
  <si>
    <t>DEP-A0-0476</t>
  </si>
  <si>
    <t>DEP-A0-0477</t>
  </si>
  <si>
    <t>DEP-A0-0478</t>
  </si>
  <si>
    <t>DEP-A0-0479</t>
  </si>
  <si>
    <t>DEP-A0-0480</t>
  </si>
  <si>
    <t>DEP-A0-0481</t>
  </si>
  <si>
    <t>DEP-A0-0482</t>
  </si>
  <si>
    <t>DEP-A0-0483</t>
  </si>
  <si>
    <t>DEP-A0-0484</t>
  </si>
  <si>
    <t>DEP-A0-0485</t>
  </si>
  <si>
    <t>DEP-A0-0486</t>
  </si>
  <si>
    <t>DEP-A0-0487</t>
  </si>
  <si>
    <t>DEP-A0-0488</t>
  </si>
  <si>
    <t>DEP-A0-0489</t>
  </si>
  <si>
    <t>DEP-A0-0490</t>
  </si>
  <si>
    <t>DEP-A0-0491</t>
  </si>
  <si>
    <t>DEP-A0-0492</t>
  </si>
  <si>
    <t>DEP-A0-0493</t>
  </si>
  <si>
    <t>DEP-A0-0494</t>
  </si>
  <si>
    <t>DEP-A0-0495</t>
  </si>
  <si>
    <t>DEP-A0-0496</t>
  </si>
  <si>
    <t>DEP-A0-0497</t>
  </si>
  <si>
    <t>DEP-A0-0498</t>
  </si>
  <si>
    <t>DEP-A0-0499</t>
  </si>
  <si>
    <t>DEP-A0-0500</t>
  </si>
  <si>
    <t>DEP-A0-0501</t>
  </si>
  <si>
    <t>DEP-A0-0502</t>
  </si>
  <si>
    <t>DEP-A0-0503</t>
  </si>
  <si>
    <t>DEP-A0-0504</t>
  </si>
  <si>
    <t>DEP-A0-0505</t>
  </si>
  <si>
    <t>DEP-A0-0506</t>
  </si>
  <si>
    <t>DEP-A0-0507</t>
  </si>
  <si>
    <t>DEP-A0-0508</t>
  </si>
  <si>
    <t>DEP-A0-0509</t>
  </si>
  <si>
    <t>DEP-A0-0510</t>
  </si>
  <si>
    <t>DEP-A0-0511</t>
  </si>
  <si>
    <t>DEP-A0-0512</t>
  </si>
  <si>
    <t>DEP-A0-0513</t>
  </si>
  <si>
    <t>DEP-A0-0514</t>
  </si>
  <si>
    <t>DEP-A0-0515</t>
  </si>
  <si>
    <t>DEP-A0-0516</t>
  </si>
  <si>
    <t>DEP-A0-0517</t>
  </si>
  <si>
    <t>DEP-A0-0518</t>
  </si>
  <si>
    <t>DEP-A0-0519</t>
  </si>
  <si>
    <t>DEP-A0-0520</t>
  </si>
  <si>
    <t>DEP-A0-0521</t>
  </si>
  <si>
    <t>DEP-A0-0522</t>
  </si>
  <si>
    <t>DEP-A0-0523</t>
  </si>
  <si>
    <t>DEP-A0-0524</t>
  </si>
  <si>
    <t>DEP-A0-0525</t>
  </si>
  <si>
    <t>DEP-A0-0526</t>
  </si>
  <si>
    <t>DEP-A0-0527</t>
  </si>
  <si>
    <t>DEP-A0-0528</t>
  </si>
  <si>
    <t>DEP-A0-0529</t>
  </si>
  <si>
    <t>DEP-A0-0530</t>
  </si>
  <si>
    <t>DEP-A0-0531</t>
  </si>
  <si>
    <t>DEP-A0-0532</t>
  </si>
  <si>
    <t>DEP-A0-0533</t>
  </si>
  <si>
    <t>DEP-A0-0534</t>
  </si>
  <si>
    <t>DEP-A0-0535</t>
  </si>
  <si>
    <t>DEP-A0-0536</t>
  </si>
  <si>
    <t>DEP-A0-0537</t>
  </si>
  <si>
    <t>DEP-A0-0538</t>
  </si>
  <si>
    <t>DEP-A0-0539</t>
  </si>
  <si>
    <t>DEP-A0-0540</t>
  </si>
  <si>
    <t>DEP-A0-0541</t>
  </si>
  <si>
    <t>DEP-A0-0542</t>
  </si>
  <si>
    <t>DEP-A0-0543</t>
  </si>
  <si>
    <t>DEP-A0-0544</t>
  </si>
  <si>
    <t>DEP-A0-0545</t>
  </si>
  <si>
    <t>DEP-A0-0546</t>
  </si>
  <si>
    <t>DEP-A0-0547</t>
  </si>
  <si>
    <t>DEP-A0-0548</t>
  </si>
  <si>
    <t>DEP-A0-0549</t>
  </si>
  <si>
    <t>DEP-A0-0550</t>
  </si>
  <si>
    <t>DEP-A0-0551</t>
  </si>
  <si>
    <t>DEP-A0-0552</t>
  </si>
  <si>
    <t>DEP-A0-0553</t>
  </si>
  <si>
    <t>DEP-A0-0554</t>
  </si>
  <si>
    <t>DEP-A0-0555</t>
  </si>
  <si>
    <t>DEP-A0-0556</t>
  </si>
  <si>
    <t>DEP-A0-0557</t>
  </si>
  <si>
    <t>DEP-A0-0558</t>
  </si>
  <si>
    <t>DEP-A0-0559</t>
  </si>
  <si>
    <t>DEP-A0-0560</t>
  </si>
  <si>
    <t>DEP-A0-0561</t>
  </si>
  <si>
    <t>DEP-A0-0562</t>
  </si>
  <si>
    <t>DEP-A0-0563</t>
  </si>
  <si>
    <t>DEP-A0-0564</t>
  </si>
  <si>
    <t>DEP-A0-0565</t>
  </si>
  <si>
    <t>DEP-A0-0566</t>
  </si>
  <si>
    <t>DEP-A0-0567</t>
  </si>
  <si>
    <t>DEP-A0-0568</t>
  </si>
  <si>
    <t>DEP-A0-0569</t>
  </si>
  <si>
    <t>DEP-A0-0570</t>
  </si>
  <si>
    <t>DEP-A0-0571</t>
  </si>
  <si>
    <t>DEP-A0-0572</t>
  </si>
  <si>
    <t>DEP-A0-0573</t>
  </si>
  <si>
    <t>DEP-A0-0574</t>
  </si>
  <si>
    <t>DEP-A0-0575</t>
  </si>
  <si>
    <t>DEP-A0-0576</t>
  </si>
  <si>
    <t>DEP-A0-0577</t>
  </si>
  <si>
    <t>DEP-A0-0578</t>
  </si>
  <si>
    <t>DEP-A0-0579</t>
  </si>
  <si>
    <t>DEP-A0-0580</t>
  </si>
  <si>
    <t>DEP-A0-0581</t>
  </si>
  <si>
    <t>DEP-A0-0582</t>
  </si>
  <si>
    <t>DEP-A0-0583</t>
  </si>
  <si>
    <t>DEP-A0-0584</t>
  </si>
  <si>
    <t>DEP-A0-0585</t>
  </si>
  <si>
    <t>DEP-A0-0586</t>
  </si>
  <si>
    <t>DEP-A0-0587</t>
  </si>
  <si>
    <t>DEP-A0-0588</t>
  </si>
  <si>
    <t>DEP-A0-0589</t>
  </si>
  <si>
    <t>DEP-A0-0590</t>
  </si>
  <si>
    <t>DEP-A0-0591</t>
  </si>
  <si>
    <t>DEP-A0-0592</t>
  </si>
  <si>
    <t>DEP-A0-0593</t>
  </si>
  <si>
    <t>DEP-A0-0594</t>
  </si>
  <si>
    <t>DEP-A0-0595</t>
  </si>
  <si>
    <t>DEP-A0-0596</t>
  </si>
  <si>
    <t>DEP-A0-0597</t>
  </si>
  <si>
    <t>DEP-A0-0598</t>
  </si>
  <si>
    <t>DEP-A0-0599</t>
  </si>
  <si>
    <t>DEP-A0-0600</t>
  </si>
  <si>
    <t>DEP-A0-0601</t>
  </si>
  <si>
    <t>DEP-A0-0602</t>
  </si>
  <si>
    <t>DEP-A0-0603</t>
  </si>
  <si>
    <t>DEP-A0-0604</t>
  </si>
  <si>
    <t>DEP-A0-0605</t>
  </si>
  <si>
    <t>DEP-A0-0606</t>
  </si>
  <si>
    <t>DEP-A0-0607</t>
  </si>
  <si>
    <t>DEP-A0-0608</t>
  </si>
  <si>
    <t>DEP-A0-0609</t>
  </si>
  <si>
    <t>DEP-A0-0610</t>
  </si>
  <si>
    <t>DEP-A0-0611</t>
  </si>
  <si>
    <t>DEP-A0-0612</t>
  </si>
  <si>
    <t>DEP-A0-0613</t>
  </si>
  <si>
    <t>DEP-A0-0614</t>
  </si>
  <si>
    <t>DEP-A0-0615</t>
  </si>
  <si>
    <t>DEP-A0-0616</t>
  </si>
  <si>
    <t>DEP-A0-0617</t>
  </si>
  <si>
    <t>DEP-A0-0618</t>
  </si>
  <si>
    <t>DEP-A0-0619</t>
  </si>
  <si>
    <t>DEP-A0-0620</t>
  </si>
  <si>
    <t>DEP-A0-0621</t>
  </si>
  <si>
    <t>DEP-A0-0622</t>
  </si>
  <si>
    <t>DEP-A0-0623</t>
  </si>
  <si>
    <t>DEP-A0-0624</t>
  </si>
  <si>
    <t>DEP-A0-0625</t>
  </si>
  <si>
    <t>DEP-A0-0626</t>
  </si>
  <si>
    <t>DEP-A0-0627</t>
  </si>
  <si>
    <t>DEP-A0-0628</t>
  </si>
  <si>
    <t>DEP-A0-0629</t>
  </si>
  <si>
    <t>DEP-A0-0630</t>
  </si>
  <si>
    <t>DEP-A0-0631</t>
  </si>
  <si>
    <t>DEP-A0-0632</t>
  </si>
  <si>
    <t>DEP-A0-0633</t>
  </si>
  <si>
    <t>DEP-A0-0634</t>
  </si>
  <si>
    <t>DEP-A0-0635</t>
  </si>
  <si>
    <t>DEP-A0-0636</t>
  </si>
  <si>
    <t>DEP-A0-0637</t>
  </si>
  <si>
    <t>DEP-A0-0638</t>
  </si>
  <si>
    <t>DEP-A0-0639</t>
  </si>
  <si>
    <t>DEP-A0-0640</t>
  </si>
  <si>
    <t>DEP-A0-0641</t>
  </si>
  <si>
    <t>DEP-A0-0642</t>
  </si>
  <si>
    <t>DEP-A0-0643</t>
  </si>
  <si>
    <t>DEP-A0-0644</t>
  </si>
  <si>
    <t>DEP-A0-0645</t>
  </si>
  <si>
    <t>DEP-A0-0646</t>
  </si>
  <si>
    <t>DEP-A0-0647</t>
  </si>
  <si>
    <t>DEP-A0-0648</t>
  </si>
  <si>
    <t>DEP-A0-0649</t>
  </si>
  <si>
    <t>DEP-A0-0650</t>
  </si>
  <si>
    <t>DEP-A0-0651</t>
  </si>
  <si>
    <t>DEP-A0-0652</t>
  </si>
  <si>
    <t>DEP-A0-0653</t>
  </si>
  <si>
    <t>DEP-A0-0654</t>
  </si>
  <si>
    <t>DEP-A0-0655</t>
  </si>
  <si>
    <t>DEP-A0-0656</t>
  </si>
  <si>
    <t>DEP-A0-0657</t>
  </si>
  <si>
    <t>DEP-A0-0658</t>
  </si>
  <si>
    <t>DEP-A0-0659</t>
  </si>
  <si>
    <t>DEP-A0-0660</t>
  </si>
  <si>
    <t>DEP-A0-0661</t>
  </si>
  <si>
    <t>DEP-A0-0662</t>
  </si>
  <si>
    <t>DEP-A0-0663</t>
  </si>
  <si>
    <t>DEP-A0-0664</t>
  </si>
  <si>
    <t>DEP-A0-0665</t>
  </si>
  <si>
    <t>DEP-A0-0666</t>
  </si>
  <si>
    <t>DEP-A0-0667</t>
  </si>
  <si>
    <t>DEP-A0-0668</t>
  </si>
  <si>
    <t>DEP-A0-0669</t>
  </si>
  <si>
    <t>DEP-A0-0670</t>
  </si>
  <si>
    <t>DEP-A0-0671</t>
  </si>
  <si>
    <t>DEP-A0-0672</t>
  </si>
  <si>
    <t>DEP-A0-0673</t>
  </si>
  <si>
    <t>DEP-A0-0674</t>
  </si>
  <si>
    <t>DEP-A0-0675</t>
  </si>
  <si>
    <t>DEP-A0-0676</t>
  </si>
  <si>
    <t>DEP-A0-0677</t>
  </si>
  <si>
    <t>DEP-A0-0678</t>
  </si>
  <si>
    <t>DEP-A0-0679</t>
  </si>
  <si>
    <t>DEP-A0-0680</t>
  </si>
  <si>
    <t>DEP-A0-0681</t>
  </si>
  <si>
    <t>DEP-A0-0682</t>
  </si>
  <si>
    <t>DEP-A0-0683</t>
  </si>
  <si>
    <t>DEP-A0-0684</t>
  </si>
  <si>
    <t>DEP-A0-0685</t>
  </si>
  <si>
    <t>DEP-A0-0686</t>
  </si>
  <si>
    <t>DEP-A0-0687</t>
  </si>
  <si>
    <t>DEP-A0-0688</t>
  </si>
  <si>
    <t>DEP-A0-0689</t>
  </si>
  <si>
    <t>DEP-A0-0690</t>
  </si>
  <si>
    <t>DEP-A0-0691</t>
  </si>
  <si>
    <t>DEP-A0-0692</t>
  </si>
  <si>
    <t>DEP-A0-0693</t>
  </si>
  <si>
    <t>DEP-A0-0694</t>
  </si>
  <si>
    <t>DEP-A0-0695</t>
  </si>
  <si>
    <t>DEP-A0-0696</t>
  </si>
  <si>
    <t>DEP-A0-0697</t>
  </si>
  <si>
    <t>DEP-A0-0698</t>
  </si>
  <si>
    <t>DEP-A0-0699</t>
  </si>
  <si>
    <t>DEP-A0-0700</t>
  </si>
  <si>
    <t>DEP-A0-0701</t>
  </si>
  <si>
    <t>DEP-A0-0702</t>
  </si>
  <si>
    <t>DEP-A0-0703</t>
  </si>
  <si>
    <t>DEP-A0-0704</t>
  </si>
  <si>
    <t>DEP-A0-0705</t>
  </si>
  <si>
    <t>DEP-A0-0706</t>
  </si>
  <si>
    <t>DEP-A0-0707</t>
  </si>
  <si>
    <t>DEP-A0-0708</t>
  </si>
  <si>
    <t>DEP-A0-0709</t>
  </si>
  <si>
    <t>DEP-A0-0710</t>
  </si>
  <si>
    <t>DEP-A0-0711</t>
  </si>
  <si>
    <t>DEP-A0-0712</t>
  </si>
  <si>
    <t>DEP-A0-0713</t>
  </si>
  <si>
    <t>DEP-A0-0714</t>
  </si>
  <si>
    <t>DEP-A0-0715</t>
  </si>
  <si>
    <t>DEP-A0-0716</t>
  </si>
  <si>
    <t>DEP-A0-0717</t>
  </si>
  <si>
    <t>DEP-A0-0718</t>
  </si>
  <si>
    <t>DEP-A0-0719</t>
  </si>
  <si>
    <t>DEP-A0-0720</t>
  </si>
  <si>
    <t>DEP-A0-0721</t>
  </si>
  <si>
    <t>DEP-A0-0722</t>
  </si>
  <si>
    <t>DEP-A0-0723</t>
  </si>
  <si>
    <t>DEP-A0-0724</t>
  </si>
  <si>
    <t>DEP-A0-0725</t>
  </si>
  <si>
    <t>DEP-A0-0726</t>
  </si>
  <si>
    <t>DEP-A0-0727</t>
  </si>
  <si>
    <t>DEP-A0-0728</t>
  </si>
  <si>
    <t>DEP-A0-0729</t>
  </si>
  <si>
    <t>DEP-A0-0730</t>
  </si>
  <si>
    <t>DEP-A0-0731</t>
  </si>
  <si>
    <t>DEP-A0-0732</t>
  </si>
  <si>
    <t>DEP-A0-0733</t>
  </si>
  <si>
    <t>DEP-A0-0734</t>
  </si>
  <si>
    <t>DEP-A0-0735</t>
  </si>
  <si>
    <t>DEP-A0-0736</t>
  </si>
  <si>
    <t>DEP-A0-0737</t>
  </si>
  <si>
    <t>DEP-A0-0738</t>
  </si>
  <si>
    <t>DEP-A0-0739</t>
  </si>
  <si>
    <t>DEP-A0-0740</t>
  </si>
  <si>
    <t>DEP-A0-0741</t>
  </si>
  <si>
    <t>DEP-A0-0742</t>
  </si>
  <si>
    <t>DEP-A0-0743</t>
  </si>
  <si>
    <t>DEP-A0-0744</t>
  </si>
  <si>
    <t>DEP-A0-0745</t>
  </si>
  <si>
    <t>DEP-A0-0746</t>
  </si>
  <si>
    <t>DEP-A0-0747</t>
  </si>
  <si>
    <t>DEP-A0-0748</t>
  </si>
  <si>
    <t>DEP-A0-0749</t>
  </si>
  <si>
    <t>DEP-A0-0750</t>
  </si>
  <si>
    <t>DEP-A0-0751</t>
  </si>
  <si>
    <t>DEP-A0-0752</t>
  </si>
  <si>
    <t>DEP-A0-0753</t>
  </si>
  <si>
    <t>DEP-A0-0754</t>
  </si>
  <si>
    <t>DEP-A0-0755</t>
  </si>
  <si>
    <t>DEP-A0-0756</t>
  </si>
  <si>
    <t>DEP-A0-0757</t>
  </si>
  <si>
    <t>DEP-A0-0758</t>
  </si>
  <si>
    <t>DEP-A0-0759</t>
  </si>
  <si>
    <t>DEP-A0-0760</t>
  </si>
  <si>
    <t>DEP-A0-0761</t>
  </si>
  <si>
    <t>DEP-A0-0762</t>
  </si>
  <si>
    <t>DEP-A0-0763</t>
  </si>
  <si>
    <t>DEP-A0-0764</t>
  </si>
  <si>
    <t>DEP-A0-0765</t>
  </si>
  <si>
    <t>DEP-A0-0766</t>
  </si>
  <si>
    <t>DEP-A0-0767</t>
  </si>
  <si>
    <t>DEP-A0-0768</t>
  </si>
  <si>
    <t>DEP-A0-0769</t>
  </si>
  <si>
    <t>DEP-A0-0770</t>
  </si>
  <si>
    <t>DEP-A0-0771</t>
  </si>
  <si>
    <t>DEP-A0-0772</t>
  </si>
  <si>
    <t>DEP-A0-0773</t>
  </si>
  <si>
    <t>DEP-A0-0774</t>
  </si>
  <si>
    <t>DEP-A0-0775</t>
  </si>
  <si>
    <t>DEP-A0-0776</t>
  </si>
  <si>
    <t>DEP-A0-0777</t>
  </si>
  <si>
    <t>DEP-A0-0778</t>
  </si>
  <si>
    <t>DEP-A0-0779</t>
  </si>
  <si>
    <t>DEP-A0-0780</t>
  </si>
  <si>
    <t>DEP-A0-0781</t>
  </si>
  <si>
    <t>DEP-A0-0782</t>
  </si>
  <si>
    <t>DEP-A0-0783</t>
  </si>
  <si>
    <t>DEP-A0-0784</t>
  </si>
  <si>
    <t>DEP-A0-0785</t>
  </si>
  <si>
    <t>DEP-A0-0786</t>
  </si>
  <si>
    <t>DEP-A0-0787</t>
  </si>
  <si>
    <t>DEP-A0-0788</t>
  </si>
  <si>
    <t>DEP-A0-0789</t>
  </si>
  <si>
    <t>DEP-A0-0790</t>
  </si>
  <si>
    <t>DEP-A0-0791</t>
  </si>
  <si>
    <t>DEP-A0-0792</t>
  </si>
  <si>
    <t>DEP-A0-0793</t>
  </si>
  <si>
    <t>DEP-A0-0794</t>
  </si>
  <si>
    <t>DEP-A0-0795</t>
  </si>
  <si>
    <t>DEP-A0-0796</t>
  </si>
  <si>
    <t>DEP-A0-0797</t>
  </si>
  <si>
    <t>DEP-A0-0798</t>
  </si>
  <si>
    <t>DEP-A0-0799</t>
  </si>
  <si>
    <t>DEP-A0-0800</t>
  </si>
  <si>
    <t>DEP-A0-0801</t>
  </si>
  <si>
    <t>DEP-A0-0802</t>
  </si>
  <si>
    <t>DEP-A0-0803</t>
  </si>
  <si>
    <t>DEP-A0-0804</t>
  </si>
  <si>
    <t>DEP-A0-0805</t>
  </si>
  <si>
    <t>DEP-A0-0806</t>
  </si>
  <si>
    <t>DEP-A0-0807</t>
  </si>
  <si>
    <t>DEP-A0-0808</t>
  </si>
  <si>
    <t>DEP-A0-0809</t>
  </si>
  <si>
    <t>DEP-A0-0810</t>
  </si>
  <si>
    <t>DEP-A0-0811</t>
  </si>
  <si>
    <t>DEP-A0-0812</t>
  </si>
  <si>
    <t>DEP-A0-0813</t>
  </si>
  <si>
    <t>DEP-A0-0814</t>
  </si>
  <si>
    <t>DEP-A0-0815</t>
  </si>
  <si>
    <t>DEP-A0-0816</t>
  </si>
  <si>
    <t>DEP-A0-0817</t>
  </si>
  <si>
    <t>DEP-A0-0818</t>
  </si>
  <si>
    <t>DEP-A0-0819</t>
  </si>
  <si>
    <t>DEP-A0-0820</t>
  </si>
  <si>
    <t>DEP-A0-0821</t>
  </si>
  <si>
    <t>DEP-A0-0822</t>
  </si>
  <si>
    <t>DEP-A0-0823</t>
  </si>
  <si>
    <t>DEP-A0-0824</t>
  </si>
  <si>
    <t>DEP-A0-0825</t>
  </si>
  <si>
    <t>DEP-A0-0826</t>
  </si>
  <si>
    <t>DEP-A0-0827</t>
  </si>
  <si>
    <t>DEP-A0-0828</t>
  </si>
  <si>
    <t>DEP-A0-0829</t>
  </si>
  <si>
    <t>DEP-A0-0830</t>
  </si>
  <si>
    <t>DEP-A0-0831</t>
  </si>
  <si>
    <t>DEP-A0-0832</t>
  </si>
  <si>
    <t>DEP-A0-0833</t>
  </si>
  <si>
    <t>DEP-A0-0834</t>
  </si>
  <si>
    <t>DEP-A0-0835</t>
  </si>
  <si>
    <t>DEP-A0-0836</t>
  </si>
  <si>
    <t>DEP-A0-0837</t>
  </si>
  <si>
    <t>DEP-A0-0838</t>
  </si>
  <si>
    <t>DEP-A0-0839</t>
  </si>
  <si>
    <t>DEP-A0-0840</t>
  </si>
  <si>
    <t>DEP-A0-0841</t>
  </si>
  <si>
    <t>DEP-A0-0842</t>
  </si>
  <si>
    <t>DEP-A0-0843</t>
  </si>
  <si>
    <t>DEP-A0-0844</t>
  </si>
  <si>
    <t>DEP-A0-0845</t>
  </si>
  <si>
    <t>DEP-A0-0846</t>
  </si>
  <si>
    <t>DEP-A0-0847</t>
  </si>
  <si>
    <t>DEP-A0-0848</t>
  </si>
  <si>
    <t>DEP-A0-0849</t>
  </si>
  <si>
    <t>DEP-A0-0850</t>
  </si>
  <si>
    <t>DEP-A0-0851</t>
  </si>
  <si>
    <t>DEP-A0-0852</t>
  </si>
  <si>
    <t>DEP-A0-0853</t>
  </si>
  <si>
    <t>DEP-A0-0854</t>
  </si>
  <si>
    <t>DEP-A0-0855</t>
  </si>
  <si>
    <t>DEP-A0-0856</t>
  </si>
  <si>
    <t>DEP-A0-0857</t>
  </si>
  <si>
    <t>DEP-A0-0858</t>
  </si>
  <si>
    <t>DEP-A0-0859</t>
  </si>
  <si>
    <t>DEP-A0-0860</t>
  </si>
  <si>
    <t>DEP-A0-0861</t>
  </si>
  <si>
    <t>DEP-A0-0862</t>
  </si>
  <si>
    <t>DEP-A0-0863</t>
  </si>
  <si>
    <t>DEP-A0-0864</t>
  </si>
  <si>
    <t>DEP-A0-0865</t>
  </si>
  <si>
    <t>DEP-A0-0866</t>
  </si>
  <si>
    <t>DEP-A0-0867</t>
  </si>
  <si>
    <t>DEP-A0-0868</t>
  </si>
  <si>
    <t>DEP-A0-0869</t>
  </si>
  <si>
    <t>DEP-A0-0870</t>
  </si>
  <si>
    <t>DEP-A0-0871</t>
  </si>
  <si>
    <t>DEP-A0-0872</t>
  </si>
  <si>
    <t>DEP-A0-0873</t>
  </si>
  <si>
    <t>DEP-A0-0874</t>
  </si>
  <si>
    <t>DEP-A0-0875</t>
  </si>
  <si>
    <t>DEP-A0-0876</t>
  </si>
  <si>
    <t>DEP-A0-0877</t>
  </si>
  <si>
    <t>DEP-A0-0878</t>
  </si>
  <si>
    <t>DEP-A0-0879</t>
  </si>
  <si>
    <t>DEP-A0-0880</t>
  </si>
  <si>
    <t>DEP-A0-0881</t>
  </si>
  <si>
    <t>DEP-A0-0882</t>
  </si>
  <si>
    <t>DEP-A0-0883</t>
  </si>
  <si>
    <t>DEP-A0-0884</t>
  </si>
  <si>
    <t>DEP-A0-0885</t>
  </si>
  <si>
    <t>DEP-A0-0886</t>
  </si>
  <si>
    <t>DEP-A0-0887</t>
  </si>
  <si>
    <t>DEP-A0-0888</t>
  </si>
  <si>
    <t>DEP-A0-0889</t>
  </si>
  <si>
    <t>DEP-A0-0890</t>
  </si>
  <si>
    <t>DEP-A0-0891</t>
  </si>
  <si>
    <t>DEP-A0-0892</t>
  </si>
  <si>
    <t>DEP-A0-0893</t>
  </si>
  <si>
    <t>DEP-A0-0894</t>
  </si>
  <si>
    <t>DEP-A0-0895</t>
  </si>
  <si>
    <t>DEP-A0-0896</t>
  </si>
  <si>
    <t>DEP-A0-0897</t>
  </si>
  <si>
    <t>DEP-A0-0898</t>
  </si>
  <si>
    <t>DEP-A0-0899</t>
  </si>
  <si>
    <t>DEP-A0-0900</t>
  </si>
  <si>
    <t>DEP-A0-0901</t>
  </si>
  <si>
    <t>DEP-A0-0902</t>
  </si>
  <si>
    <t>DEP-A0-0903</t>
  </si>
  <si>
    <t>DEP-A0-0904</t>
  </si>
  <si>
    <t>DEP-A0-0905</t>
  </si>
  <si>
    <t>DEP-A0-0906</t>
  </si>
  <si>
    <t>DEP-A0-0907</t>
  </si>
  <si>
    <t>DEP-A0-0908</t>
  </si>
  <si>
    <t>DEP-A0-0909</t>
  </si>
  <si>
    <t>DEP-A0-0910</t>
  </si>
  <si>
    <t>DEP-A0-0911</t>
  </si>
  <si>
    <t>DEP-A0-0912</t>
  </si>
  <si>
    <t>DEP-A0-0913</t>
  </si>
  <si>
    <t>DEP-A0-0914</t>
  </si>
  <si>
    <t>DEP-A0-0915</t>
  </si>
  <si>
    <t>DEP-A0-0916</t>
  </si>
  <si>
    <t>DEP-A0-0917</t>
  </si>
  <si>
    <t>DEP-A0-0918</t>
  </si>
  <si>
    <t>DEP-A0-0919</t>
  </si>
  <si>
    <t>DEP-A0-0920</t>
  </si>
  <si>
    <t>DEP-A0-0921</t>
  </si>
  <si>
    <t>DEP-A0-0922</t>
  </si>
  <si>
    <t>DEP-A0-0923</t>
  </si>
  <si>
    <t>DEP-A0-0924</t>
  </si>
  <si>
    <t>DEP-A0-0925</t>
  </si>
  <si>
    <t>DEP-A0-0926</t>
  </si>
  <si>
    <t>DEP-A0-0927</t>
  </si>
  <si>
    <t>DEP-A0-0928</t>
  </si>
  <si>
    <t>DEP-A0-0929</t>
  </si>
  <si>
    <t>DEP-A0-0930</t>
  </si>
  <si>
    <t>DEP-A0-0931</t>
  </si>
  <si>
    <t>DEP-A0-0932</t>
  </si>
  <si>
    <t>DEP-A0-0933</t>
  </si>
  <si>
    <t>DEP-A0-0934</t>
  </si>
  <si>
    <t>DEP-A0-0935</t>
  </si>
  <si>
    <t>DEP-A0-0936</t>
  </si>
  <si>
    <t>DEP-A0-0937</t>
  </si>
  <si>
    <t>DEP-A0-0938</t>
  </si>
  <si>
    <t>DEP-A0-0939</t>
  </si>
  <si>
    <t>DEP-A0-0940</t>
  </si>
  <si>
    <t>DEP-A0-0941</t>
  </si>
  <si>
    <t>DEP-A0-0942</t>
  </si>
  <si>
    <t>DEP-A0-0943</t>
  </si>
  <si>
    <t>DEP-A0-0944</t>
  </si>
  <si>
    <t>DEP-A0-0945</t>
  </si>
  <si>
    <t>DEP-A0-0946</t>
  </si>
  <si>
    <t>DEP-A0-0947</t>
  </si>
  <si>
    <t>DEP-A0-0948</t>
  </si>
  <si>
    <t>DEP-A0-0949</t>
  </si>
  <si>
    <t>DEP-A0-0950</t>
  </si>
  <si>
    <t>DEP-A0-0951</t>
  </si>
  <si>
    <t>DEP-A0-0952</t>
  </si>
  <si>
    <t>DEP-A0-0953</t>
  </si>
  <si>
    <t>DEP-A0-0954</t>
  </si>
  <si>
    <t>DEP-A0-0955</t>
  </si>
  <si>
    <t>DEP-A0-0956</t>
  </si>
  <si>
    <t>DEP-A0-0957</t>
  </si>
  <si>
    <t>DEP-A0-0958</t>
  </si>
  <si>
    <t>DEP-A0-0959</t>
  </si>
  <si>
    <t>DEP-A0-0960</t>
  </si>
  <si>
    <t>DEP-A0-0961</t>
  </si>
  <si>
    <t>DEP-A0-0962</t>
  </si>
  <si>
    <t>DEP-A0-0963</t>
  </si>
  <si>
    <t>DEP-A0-0964</t>
  </si>
  <si>
    <t>DEP-A0-0965</t>
  </si>
  <si>
    <t>DEP-A0-0966</t>
  </si>
  <si>
    <t>DEP-A0-0967</t>
  </si>
  <si>
    <t>DEP-A0-0968</t>
  </si>
  <si>
    <t>DEP-A0-0969</t>
  </si>
  <si>
    <t>DEP-A0-0970</t>
  </si>
  <si>
    <t>DEP-A0-0971</t>
  </si>
  <si>
    <t>DEP-A0-0972</t>
  </si>
  <si>
    <t>DEP-A0-0973</t>
  </si>
  <si>
    <t>DEP-A0-0974</t>
  </si>
  <si>
    <t>DEP-A0-0975</t>
  </si>
  <si>
    <t>DEP-A0-0976</t>
  </si>
  <si>
    <t>DEP-A0-0977</t>
  </si>
  <si>
    <t>DEP-A0-0978</t>
  </si>
  <si>
    <t>DEP-A0-0979</t>
  </si>
  <si>
    <t>DEP-A0-0980</t>
  </si>
  <si>
    <t>DEP-A0-0981</t>
  </si>
  <si>
    <t>DEP-A0-0982</t>
  </si>
  <si>
    <t>DEP-A0-0983</t>
  </si>
  <si>
    <t>DEP-A0-0984</t>
  </si>
  <si>
    <t>DEP-A0-0985</t>
  </si>
  <si>
    <t>DEP-A0-0986</t>
  </si>
  <si>
    <t>DEP-A0-0987</t>
  </si>
  <si>
    <t>DEP-A0-0988</t>
  </si>
  <si>
    <t>DEP-A0-0989</t>
  </si>
  <si>
    <t>DEP-A0-0990</t>
  </si>
  <si>
    <t>DEP-A0-0991</t>
  </si>
  <si>
    <t>DEP-A0-0992</t>
  </si>
  <si>
    <t>DEP-A0-0993</t>
  </si>
  <si>
    <t>DEP-A0-0994</t>
  </si>
  <si>
    <t>DEP-A0-0995</t>
  </si>
  <si>
    <t>DEP-A0-0996</t>
  </si>
  <si>
    <t>DEP-A0-0997</t>
  </si>
  <si>
    <t>DEP-A0-0998</t>
  </si>
  <si>
    <t>DEP-A0-0999</t>
  </si>
  <si>
    <t>DEP-A0-1000</t>
  </si>
  <si>
    <t>DEP-A0-1001</t>
  </si>
  <si>
    <t>DEP-A0-1002</t>
  </si>
  <si>
    <t>DEP-A0-1003</t>
  </si>
  <si>
    <t>DEP-A0-1004</t>
  </si>
  <si>
    <t>DEP-A0-1005</t>
  </si>
  <si>
    <t>DEP-A0-1006</t>
  </si>
  <si>
    <t>DEP-A0-1007</t>
  </si>
  <si>
    <t>DEP-A0-1008</t>
  </si>
  <si>
    <t>DEP-A0-1009</t>
  </si>
  <si>
    <t>DEP-A0-1010</t>
  </si>
  <si>
    <t>DEP-A0-1011</t>
  </si>
  <si>
    <t>DEP-A0-1012</t>
  </si>
  <si>
    <t>DEP-A0-1013</t>
  </si>
  <si>
    <t>DEP-A0-1014</t>
  </si>
  <si>
    <t>DEP-A0-1015</t>
  </si>
  <si>
    <t>DEP-A0-1016</t>
  </si>
  <si>
    <t>DEP-A0-1017</t>
  </si>
  <si>
    <t>DEP-A0-1018</t>
  </si>
  <si>
    <t>DEP-A0-1019</t>
  </si>
  <si>
    <t>DEP-A0-1020</t>
  </si>
  <si>
    <t>DEP-A0-1021</t>
  </si>
  <si>
    <t>DEP-A0-1022</t>
  </si>
  <si>
    <t>DEP-A0-1023</t>
  </si>
  <si>
    <t>DEP-A0-1024</t>
  </si>
  <si>
    <t>DEP-A0-1025</t>
  </si>
  <si>
    <t>DEP-A0-1026</t>
  </si>
  <si>
    <t>DEP-A0-1027</t>
  </si>
  <si>
    <t>DEP-A0-1028</t>
  </si>
  <si>
    <t>DEP-A0-1029</t>
  </si>
  <si>
    <t>DEP-A0-1030</t>
  </si>
  <si>
    <t>DEP-A0-1031</t>
  </si>
  <si>
    <t>DEP-A0-1032</t>
  </si>
  <si>
    <t>DEP-A0-1033</t>
  </si>
  <si>
    <t>DEP-A0-1034</t>
  </si>
  <si>
    <t>DEP-A0-1035</t>
  </si>
  <si>
    <t>DEP-A0-1036</t>
  </si>
  <si>
    <t>DEP-A0-1037</t>
  </si>
  <si>
    <t>DEP-A0-1038</t>
  </si>
  <si>
    <t>DEP-A0-1039</t>
  </si>
  <si>
    <t>DEP-A0-1040</t>
  </si>
  <si>
    <t>DEP-A0-1041</t>
  </si>
  <si>
    <t>DEP-A0-1042</t>
  </si>
  <si>
    <t>DEP-A0-1043</t>
  </si>
  <si>
    <t>DEP-A0-1044</t>
  </si>
  <si>
    <t>DEP-A0-1045</t>
  </si>
  <si>
    <t>DEP-A0-1046</t>
  </si>
  <si>
    <t>DEP-A0-1047</t>
  </si>
  <si>
    <t>DEP-A0-1048</t>
  </si>
  <si>
    <t>DEP-A0-1049</t>
  </si>
  <si>
    <t>DEP-A0-1050</t>
  </si>
  <si>
    <t>DEP-A0-1051</t>
  </si>
  <si>
    <t>DEP-A0-1052</t>
  </si>
  <si>
    <t>DEP-A0-1053</t>
  </si>
  <si>
    <t>DEP-A0-1054</t>
  </si>
  <si>
    <t>DEP-A0-1055</t>
  </si>
  <si>
    <t>DEP-A0-1056</t>
  </si>
  <si>
    <t>DEP-A0-1057</t>
  </si>
  <si>
    <t>DEP-A0-1058</t>
  </si>
  <si>
    <t>DEP-A0-1059</t>
  </si>
  <si>
    <t>DEP-A0-1060</t>
  </si>
  <si>
    <t>DEP-A0-1061</t>
  </si>
  <si>
    <t>DEP-A0-1062</t>
  </si>
  <si>
    <t>DEP-A0-1063</t>
  </si>
  <si>
    <t>DEP-A0-1064</t>
  </si>
  <si>
    <t>DEP-A0-1065</t>
  </si>
  <si>
    <t>DEP-A0-1066</t>
  </si>
  <si>
    <t>DEP-A0-1067</t>
  </si>
  <si>
    <t>DEP-A0-1068</t>
  </si>
  <si>
    <t>DEP-A0-1069</t>
  </si>
  <si>
    <t>DEP-A0-1070</t>
  </si>
  <si>
    <t>DEP-A0-1071</t>
  </si>
  <si>
    <t>DEP-A0-1072</t>
  </si>
  <si>
    <t>DEP-A0-1073</t>
  </si>
  <si>
    <t>DEP-A0-1074</t>
  </si>
  <si>
    <t>DEP-A0-1075</t>
  </si>
  <si>
    <t>DEP-A0-1076</t>
  </si>
  <si>
    <t>DEP-A0-1077</t>
  </si>
  <si>
    <t>DEP-A0-1078</t>
  </si>
  <si>
    <t>DEP-A0-1079</t>
  </si>
  <si>
    <t>DEP-A0-1080</t>
  </si>
  <si>
    <t>DEP-A0-1081</t>
  </si>
  <si>
    <t>DEP-A0-1082</t>
  </si>
  <si>
    <t>DEP-A0-1083</t>
  </si>
  <si>
    <t>DEP-A0-1084</t>
  </si>
  <si>
    <t>DEP-A0-1085</t>
  </si>
  <si>
    <t>DEP-A0-1086</t>
  </si>
  <si>
    <t>DEP-A0-1087</t>
  </si>
  <si>
    <t>DEP-A0-1088</t>
  </si>
  <si>
    <t>DEP-A0-1089</t>
  </si>
  <si>
    <t>DEP-A0-1090</t>
  </si>
  <si>
    <t>DEP-A0-1091</t>
  </si>
  <si>
    <t>DEP-A0-1092</t>
  </si>
  <si>
    <t>DEP-A0-1093</t>
  </si>
  <si>
    <t>DEP-A0-1094</t>
  </si>
  <si>
    <t>DEP-A0-1095</t>
  </si>
  <si>
    <t>DEP-A0-1096</t>
  </si>
  <si>
    <t>DEP-A0-1097</t>
  </si>
  <si>
    <t>DEP-A0-1098</t>
  </si>
  <si>
    <t>DEP-A0-1099</t>
  </si>
  <si>
    <t>DEP-A0-1100</t>
  </si>
  <si>
    <t>DEP-A0-1101</t>
  </si>
  <si>
    <t>DEP-A0-1102</t>
  </si>
  <si>
    <t>DEP-A0-1103</t>
  </si>
  <si>
    <t>DEP-A0-1104</t>
  </si>
  <si>
    <t>DEP-A0-1105</t>
  </si>
  <si>
    <t>DEP-A0-1106</t>
  </si>
  <si>
    <t>DEP-A0-1107</t>
  </si>
  <si>
    <t>DEP-A0-1108</t>
  </si>
  <si>
    <t>DEP-A0-1109</t>
  </si>
  <si>
    <t>DEP-A0-1110</t>
  </si>
  <si>
    <t>DEP-A0-1111</t>
  </si>
  <si>
    <t>DEP-A0-1112</t>
  </si>
  <si>
    <t>DEP-A0-1113</t>
  </si>
  <si>
    <t>DEP-A0-1114</t>
  </si>
  <si>
    <t>DEP-A0-1115</t>
  </si>
  <si>
    <t>DEP-A0-1116</t>
  </si>
  <si>
    <t>DEP-A0-1117</t>
  </si>
  <si>
    <t>DEP-A0-1118</t>
  </si>
  <si>
    <t>DEP-A0-1119</t>
  </si>
  <si>
    <t>DEP-A0-1120</t>
  </si>
  <si>
    <t>DEP-A0-1121</t>
  </si>
  <si>
    <t>DEP-A0-1122</t>
  </si>
  <si>
    <t>DEP-A0-1123</t>
  </si>
  <si>
    <t>DEP-A0-1124</t>
  </si>
  <si>
    <t>DEP-A0-1125</t>
  </si>
  <si>
    <t>DEP-A0-1126</t>
  </si>
  <si>
    <t>DEP-A0-1127</t>
  </si>
  <si>
    <t>DEP-A0-1128</t>
  </si>
  <si>
    <t>DEP-A0-1129</t>
  </si>
  <si>
    <t>DEP-A0-1130</t>
  </si>
  <si>
    <t>DEP-A0-1131</t>
  </si>
  <si>
    <t>DEP-A0-1132</t>
  </si>
  <si>
    <t>DEP-A0-1133</t>
  </si>
  <si>
    <t>DEP-A0-1134</t>
  </si>
  <si>
    <t>DEP-A0-1135</t>
  </si>
  <si>
    <t>DEP-A0-1136</t>
  </si>
  <si>
    <t>DEP-A0-1137</t>
  </si>
  <si>
    <t>DEP-A0-1138</t>
  </si>
  <si>
    <t>DEP-A0-1139</t>
  </si>
  <si>
    <t>DEP-A0-1140</t>
  </si>
  <si>
    <t>DEP-A0-1141</t>
  </si>
  <si>
    <t>DEP-A0-1142</t>
  </si>
  <si>
    <t>DEP-A0-1143</t>
  </si>
  <si>
    <t>DEP-A0-1144</t>
  </si>
  <si>
    <t>DEP-A0-1145</t>
  </si>
  <si>
    <t>DEP-A0-1146</t>
  </si>
  <si>
    <t>DEP-A0-1147</t>
  </si>
  <si>
    <t>DEP-A0-1148</t>
  </si>
  <si>
    <t>DEP-A0-1149</t>
  </si>
  <si>
    <t>DEP-A0-1150</t>
  </si>
  <si>
    <t>DEP-A0-1151</t>
  </si>
  <si>
    <t>DEP-A0-1152</t>
  </si>
  <si>
    <t>DEP-A0-1153</t>
  </si>
  <si>
    <t>DEP-A0-1154</t>
  </si>
  <si>
    <t>DEP-A0-1155</t>
  </si>
  <si>
    <t>DEP-A0-1156</t>
  </si>
  <si>
    <t>DEP-A0-1157</t>
  </si>
  <si>
    <t>DEP-A0-1158</t>
  </si>
  <si>
    <t>DEP-A0-1159</t>
  </si>
  <si>
    <t>DEP-A0-1160</t>
  </si>
  <si>
    <t>DEP-A0-1161</t>
  </si>
  <si>
    <t>DEP-A0-1162</t>
  </si>
  <si>
    <t>DEP-A0-1163</t>
  </si>
  <si>
    <t>DEP-A0-1164</t>
  </si>
  <si>
    <t>DEP-A0-1165</t>
  </si>
  <si>
    <t>DEP-A0-1166</t>
  </si>
  <si>
    <t>DEP-A0-1167</t>
  </si>
  <si>
    <t>DEP-A0-1168</t>
  </si>
  <si>
    <t>DEP-A0-1169</t>
  </si>
  <si>
    <t>DEP-A0-1170</t>
  </si>
  <si>
    <t>DEP-A0-1171</t>
  </si>
  <si>
    <t>DEP-A0-1172</t>
  </si>
  <si>
    <t>DEP-A0-1173</t>
  </si>
  <si>
    <t>DEP-A0-1174</t>
  </si>
  <si>
    <t>DEP-A0-1175</t>
  </si>
  <si>
    <t>DEP-A0-1176</t>
  </si>
  <si>
    <t>DEP-A0-1177</t>
  </si>
  <si>
    <t>DEP-A0-1178</t>
  </si>
  <si>
    <t>DEP-A0-1179</t>
  </si>
  <si>
    <t>DEP-A0-1180</t>
  </si>
  <si>
    <t>DEP-A0-1181</t>
  </si>
  <si>
    <t>DEP-A0-1182</t>
  </si>
  <si>
    <t>DEP-A0-1183</t>
  </si>
  <si>
    <t>DEP-A0-1184</t>
  </si>
  <si>
    <t>DEP-A0-1185</t>
  </si>
  <si>
    <t>DEP-A0-1186</t>
  </si>
  <si>
    <t>DEP-A0-1187</t>
  </si>
  <si>
    <t>DEP-A0-1188</t>
  </si>
  <si>
    <t>DEP-A0-1189</t>
  </si>
  <si>
    <t>DEP-A0-1190</t>
  </si>
  <si>
    <t>DEP-A0-1191</t>
  </si>
  <si>
    <t>DEP-A0-1192</t>
  </si>
  <si>
    <t>DEP-A0-1193</t>
  </si>
  <si>
    <t>DEP-A0-1194</t>
  </si>
  <si>
    <t>DEP-A0-1195</t>
  </si>
  <si>
    <t>DEP-A0-1196</t>
  </si>
  <si>
    <t>DEP-A0-1197</t>
  </si>
  <si>
    <t>DEP-A0-1198</t>
  </si>
  <si>
    <t>DEP-A0-1199</t>
  </si>
  <si>
    <t>DEP-A0-1200</t>
  </si>
  <si>
    <t>DEP-A0-1201</t>
  </si>
  <si>
    <t>DEP-A0-1202</t>
  </si>
  <si>
    <t>DEP-A0-1203</t>
  </si>
  <si>
    <t>DEP-A0-1204</t>
  </si>
  <si>
    <t>DEP-A0-1205</t>
  </si>
  <si>
    <t>DEP-A0-1206</t>
  </si>
  <si>
    <t>DEP-A0-1207</t>
  </si>
  <si>
    <t>DEP-A0-1208</t>
  </si>
  <si>
    <t>DEP-A0-1209</t>
  </si>
  <si>
    <t>DEP-A0-1210</t>
  </si>
  <si>
    <t>DEP-A0-1211</t>
  </si>
  <si>
    <t>DEP-A0-1212</t>
  </si>
  <si>
    <t>DEP-A0-1213</t>
  </si>
  <si>
    <t>DEP-A0-1214</t>
  </si>
  <si>
    <t>DEP-A0-1215</t>
  </si>
  <si>
    <t>DEP-A0-1216</t>
  </si>
  <si>
    <t>DEP-A0-1217</t>
  </si>
  <si>
    <t>DEP-A0-1218</t>
  </si>
  <si>
    <t>DEP-A0-1219</t>
  </si>
  <si>
    <t>DEP-A0-1220</t>
  </si>
  <si>
    <t>DEP-A0-1221</t>
  </si>
  <si>
    <t>DEP-A0-1222</t>
  </si>
  <si>
    <t>DEP-A0-1223</t>
  </si>
  <si>
    <t>DEP-A0-1224</t>
  </si>
  <si>
    <t>DEP-A0-1225</t>
  </si>
  <si>
    <t>DEP-A0-1226</t>
  </si>
  <si>
    <t>DEP-A0-1227</t>
  </si>
  <si>
    <t>DEP-A0-1228</t>
  </si>
  <si>
    <t>DEP-A0-1229</t>
  </si>
  <si>
    <t>DEP-A0-1230</t>
  </si>
  <si>
    <t>DEP-A0-1231</t>
  </si>
  <si>
    <t>DEP-A0-1232</t>
  </si>
  <si>
    <t>DEP-A0-1233</t>
  </si>
  <si>
    <t>DEP-A0-1234</t>
  </si>
  <si>
    <t>DEP-A0-1235</t>
  </si>
  <si>
    <t>DEP-A0-1236</t>
  </si>
  <si>
    <t>DEP-A0-1237</t>
  </si>
  <si>
    <t>DEP-A0-1238</t>
  </si>
  <si>
    <t>DEP-A0-1239</t>
  </si>
  <si>
    <t>DEP-A0-1240</t>
  </si>
  <si>
    <t>DEP-A0-1241</t>
  </si>
  <si>
    <t>DEP-A0-1242</t>
  </si>
  <si>
    <t>DEP-A0-1243</t>
  </si>
  <si>
    <t>DEP-A0-1244</t>
  </si>
  <si>
    <t>DEP-A0-1245</t>
  </si>
  <si>
    <t>DEP-A0-1246</t>
  </si>
  <si>
    <t>DEP-A0-1247</t>
  </si>
  <si>
    <t>DEP-A0-1248</t>
  </si>
  <si>
    <t>DEP-A0-1249</t>
  </si>
  <si>
    <t>DEP-A0-1250</t>
  </si>
  <si>
    <t>DEP-A0-1251</t>
  </si>
  <si>
    <t>DEP-A0-1252</t>
  </si>
  <si>
    <t>DEP-A0-1253</t>
  </si>
  <si>
    <t>DEP-A0-1254</t>
  </si>
  <si>
    <t>DEP-A0-1255</t>
  </si>
  <si>
    <t>DEP-A0-1256</t>
  </si>
  <si>
    <t>DEP-A0-1257</t>
  </si>
  <si>
    <t>DEP-A0-1258</t>
  </si>
  <si>
    <t>DEP-A0-1259</t>
  </si>
  <si>
    <t>DEP-A0-1260</t>
  </si>
  <si>
    <t>DEP-A0-1261</t>
  </si>
  <si>
    <t>DEP-A0-1262</t>
  </si>
  <si>
    <t>DEP-A0-1263</t>
  </si>
  <si>
    <t>DEP-A0-1264</t>
  </si>
  <si>
    <t>DEP-A0-1265</t>
  </si>
  <si>
    <t>DEP-A0-1266</t>
  </si>
  <si>
    <t>DEP-A0-1267</t>
  </si>
  <si>
    <t>DEP-A0-1268</t>
  </si>
  <si>
    <t>DEP-A0-1269</t>
  </si>
  <si>
    <t>DEP-A0-1270</t>
  </si>
  <si>
    <t>DEP-A0-1271</t>
  </si>
  <si>
    <t>DEP-A0-1272</t>
  </si>
  <si>
    <t>DEP-A0-1273</t>
  </si>
  <si>
    <t>DEP-A0-1274</t>
  </si>
  <si>
    <t>DEP-A0-1275</t>
  </si>
  <si>
    <t>DEP-A0-1276</t>
  </si>
  <si>
    <t>DEP-A0-1277</t>
  </si>
  <si>
    <t>DEP-A0-1278</t>
  </si>
  <si>
    <t>DEP-A0-1279</t>
  </si>
  <si>
    <t>DEP-A0-1280</t>
  </si>
  <si>
    <t>DEP-A0-1281</t>
  </si>
  <si>
    <t>DEP-A0-1282</t>
  </si>
  <si>
    <t>DEP-A0-1283</t>
  </si>
  <si>
    <t>DEP-A0-1284</t>
  </si>
  <si>
    <t>DEP-A0-1285</t>
  </si>
  <si>
    <t>DEP-A0-1286</t>
  </si>
  <si>
    <t>DEP-A0-1287</t>
  </si>
  <si>
    <t>DEP-A0-1288</t>
  </si>
  <si>
    <t>DEP-A0-1289</t>
  </si>
  <si>
    <t>DEP-A0-1290</t>
  </si>
  <si>
    <t>DEP-A0-1291</t>
  </si>
  <si>
    <t>DEP-A0-1292</t>
  </si>
  <si>
    <t>DEP-A0-1293</t>
  </si>
  <si>
    <t>DEP-A0-1294</t>
  </si>
  <si>
    <t>DEP-A0-1295</t>
  </si>
  <si>
    <t>DEP-A0-1296</t>
  </si>
  <si>
    <t>DEP-A0-1297</t>
  </si>
  <si>
    <t>DEP-A0-1298</t>
  </si>
  <si>
    <t>DEP-A0-1299</t>
  </si>
  <si>
    <t>DEP-A0-1300</t>
  </si>
  <si>
    <t>DEP-A0-1301</t>
  </si>
  <si>
    <t>DEP-A0-1302</t>
  </si>
  <si>
    <t>DEP-A0-1303</t>
  </si>
  <si>
    <t>DEP-A0-1304</t>
  </si>
  <si>
    <t>DEP-A0-1305</t>
  </si>
  <si>
    <t>DEP-A0-1306</t>
  </si>
  <si>
    <t>DEP-A0-1307</t>
  </si>
  <si>
    <t>DEP-A0-1308</t>
  </si>
  <si>
    <t>DEP-A0-1309</t>
  </si>
  <si>
    <t>DEP-A0-1310</t>
  </si>
  <si>
    <t>DEP-A0-1311</t>
  </si>
  <si>
    <t>DEP-A0-1312</t>
  </si>
  <si>
    <t>DEP-A0-1313</t>
  </si>
  <si>
    <t>DEP-A0-1314</t>
  </si>
  <si>
    <t>DEP-A0-1315</t>
  </si>
  <si>
    <t>DEP-A0-1316</t>
  </si>
  <si>
    <t>DEP-A0-1317</t>
  </si>
  <si>
    <t>DEP-A0-1318</t>
  </si>
  <si>
    <t>DEP-A0-1319</t>
  </si>
  <si>
    <t>DEP-A0-1320</t>
  </si>
  <si>
    <t>DEP-A0-1321</t>
  </si>
  <si>
    <t>DEP-A0-1322</t>
  </si>
  <si>
    <t>DEP-A0-1323</t>
  </si>
  <si>
    <t>DEP-A0-1324</t>
  </si>
  <si>
    <t>DEP-A0-1325</t>
  </si>
  <si>
    <t>DEP-A0-1326</t>
  </si>
  <si>
    <t>DEP-A0-1327</t>
  </si>
  <si>
    <t>DEP-A0-1328</t>
  </si>
  <si>
    <t>DEP-A0-1329</t>
  </si>
  <si>
    <t>DEP-A0-1330</t>
  </si>
  <si>
    <t>DEP-A0-1331</t>
  </si>
  <si>
    <t>DEP-A0-1332</t>
  </si>
  <si>
    <t>DEP-A0-1333</t>
  </si>
  <si>
    <t>DEP-A0-1334</t>
  </si>
  <si>
    <t>DEP-A0-1335</t>
  </si>
  <si>
    <t>DEP-A0-1336</t>
  </si>
  <si>
    <t>DEP-A0-1337</t>
  </si>
  <si>
    <t>DEP-A0-1338</t>
  </si>
  <si>
    <t>DEP-A0-1339</t>
  </si>
  <si>
    <t>DEP-A0-1340</t>
  </si>
  <si>
    <t>DEP-A0-1341</t>
  </si>
  <si>
    <t>DEP-A0-1342</t>
  </si>
  <si>
    <t>DEP-A0-1343</t>
  </si>
  <si>
    <t>DEP-A0-1344</t>
  </si>
  <si>
    <t>DEP-A0-1345</t>
  </si>
  <si>
    <t>DEP-A0-1346</t>
  </si>
  <si>
    <t>DEP-A0-1347</t>
  </si>
  <si>
    <t>DEP-A0-1348</t>
  </si>
  <si>
    <t>DEP-A0-1349</t>
  </si>
  <si>
    <t>DEP-A0-1350</t>
  </si>
  <si>
    <t>DEP-A0-1351</t>
  </si>
  <si>
    <t>DEP-A0-1352</t>
  </si>
  <si>
    <t>DEP-A0-1353</t>
  </si>
  <si>
    <t>DEP-A0-1354</t>
  </si>
  <si>
    <t>DEP-A0-1355</t>
  </si>
  <si>
    <t>DEP-A0-1356</t>
  </si>
  <si>
    <t>DEP-A0-1357</t>
  </si>
  <si>
    <t>DEP-A0-1358</t>
  </si>
  <si>
    <t>DEP-A0-1359</t>
  </si>
  <si>
    <t>DEP-A0-1360</t>
  </si>
  <si>
    <t>DEP-A0-1361</t>
  </si>
  <si>
    <t>DEP-A0-1362</t>
  </si>
  <si>
    <t>DEP-A0-1363</t>
  </si>
  <si>
    <t>DEP-A0-1364</t>
  </si>
  <si>
    <t>DEP-A0-1365</t>
  </si>
  <si>
    <t>DEP-A0-1366</t>
  </si>
  <si>
    <t>DEP-A0-1367</t>
  </si>
  <si>
    <t>DEP-A0-1368</t>
  </si>
  <si>
    <t>DEP-A0-1369</t>
  </si>
  <si>
    <t>DEP-A0-1370</t>
  </si>
  <si>
    <t>DEP-A0-1371</t>
  </si>
  <si>
    <t>DEP-A0-1372</t>
  </si>
  <si>
    <t>DEP-A0-1373</t>
  </si>
  <si>
    <t>DEP-A0-1374</t>
  </si>
  <si>
    <t>DEP-A0-1375</t>
  </si>
  <si>
    <t>DEP-A0-1376</t>
  </si>
  <si>
    <t>DEP-A0-1377</t>
  </si>
  <si>
    <t>DEP-A0-1378</t>
  </si>
  <si>
    <t>DEP-A0-1379</t>
  </si>
  <si>
    <t>DEP-A0-1380</t>
  </si>
  <si>
    <t>DEP-A0-1381</t>
  </si>
  <si>
    <t>DEP-A0-1382</t>
  </si>
  <si>
    <t>DEP-A0-1383</t>
  </si>
  <si>
    <t>DEP-A0-1384</t>
  </si>
  <si>
    <t>DEP-A0-1385</t>
  </si>
  <si>
    <t>DEP-A0-1386</t>
  </si>
  <si>
    <t>DEP-A0-1387</t>
  </si>
  <si>
    <t>DEP-A0-1388</t>
  </si>
  <si>
    <t>DEP-A0-1389</t>
  </si>
  <si>
    <t>DEP-A0-1390</t>
  </si>
  <si>
    <t>DEP-A0-1391</t>
  </si>
  <si>
    <t>DEP-A0-1392</t>
  </si>
  <si>
    <t>DEP-A0-1393</t>
  </si>
  <si>
    <t>DEP-A0-1394</t>
  </si>
  <si>
    <t>DEP-A0-1395</t>
  </si>
  <si>
    <t>DEP-A0-1396</t>
  </si>
  <si>
    <t>DEP-A0-1397</t>
  </si>
  <si>
    <t>DEP-A0-1398</t>
  </si>
  <si>
    <t>DEP-A0-1399</t>
  </si>
  <si>
    <t>DEP-A0-1400</t>
  </si>
  <si>
    <t>DEP-A0-1401</t>
  </si>
  <si>
    <t>DEP-A0-1402</t>
  </si>
  <si>
    <t>DEP-A0-1403</t>
  </si>
  <si>
    <t>DEP-A0-1404</t>
  </si>
  <si>
    <t>DEP-A0-1405</t>
  </si>
  <si>
    <t>DEP-A0-1406</t>
  </si>
  <si>
    <t>DEP-A0-1407</t>
  </si>
  <si>
    <t>DEP-A0-1408</t>
  </si>
  <si>
    <t>DEP-A0-1409</t>
  </si>
  <si>
    <t>DEP-A0-1410</t>
  </si>
  <si>
    <t>DEP-A0-1411</t>
  </si>
  <si>
    <t>DEP-A0-1412</t>
  </si>
  <si>
    <t>DEP-A0-1413</t>
  </si>
  <si>
    <t>DEP-A0-1414</t>
  </si>
  <si>
    <t>DEP-A0-1415</t>
  </si>
  <si>
    <t>DEP-A0-1416</t>
  </si>
  <si>
    <t>DEP-A0-1417</t>
  </si>
  <si>
    <t>DEP-A0-1418</t>
  </si>
  <si>
    <t>DEP-A0-1419</t>
  </si>
  <si>
    <t>DEP-A0-1420</t>
  </si>
  <si>
    <t>DEP-A0-1421</t>
  </si>
  <si>
    <t>DEP-A0-1422</t>
  </si>
  <si>
    <t>DEP-A0-1423</t>
  </si>
  <si>
    <t>DEP-A0-1424</t>
  </si>
  <si>
    <t>DEP-A0-1425</t>
  </si>
  <si>
    <t>DEP-A0-1426</t>
  </si>
  <si>
    <t>DEP-A0-1427</t>
  </si>
  <si>
    <t>DEP-A0-1428</t>
  </si>
  <si>
    <t>DEP-A0-1429</t>
  </si>
  <si>
    <t>DEP-A0-1430</t>
  </si>
  <si>
    <t>DEP-A0-1431</t>
  </si>
  <si>
    <t>DEP-A0-1432</t>
  </si>
  <si>
    <t>DEP-A0-1433</t>
  </si>
  <si>
    <t>DEP-A0-1434</t>
  </si>
  <si>
    <t>DEP-A0-1435</t>
  </si>
  <si>
    <t>DEP-A0-1436</t>
  </si>
  <si>
    <t>DEP-A0-1437</t>
  </si>
  <si>
    <t>DEP-A0-1438</t>
  </si>
  <si>
    <t>DEP-A0-1439</t>
  </si>
  <si>
    <t>DEP-A0-1440</t>
  </si>
  <si>
    <t>DEP-A0-1441</t>
  </si>
  <si>
    <t>DEP-A0-1442</t>
  </si>
  <si>
    <t>DEP-A0-1443</t>
  </si>
  <si>
    <t>DEP-A0-1444</t>
  </si>
  <si>
    <t>DEP-A0-1445</t>
  </si>
  <si>
    <t>DEP-A0-1446</t>
  </si>
  <si>
    <t>DEP-A0-1447</t>
  </si>
  <si>
    <t>DEP-A0-1448</t>
  </si>
  <si>
    <t>DEP-A0-1449</t>
  </si>
  <si>
    <t>DEP-A0-1450</t>
  </si>
  <si>
    <t>DEP-A0-1451</t>
  </si>
  <si>
    <t>DEP-A0-1452</t>
  </si>
  <si>
    <t>DEP-A0-1453</t>
  </si>
  <si>
    <t>DEP-A0-1454</t>
  </si>
  <si>
    <t>DEP-A0-1455</t>
  </si>
  <si>
    <t>DEP-A0-1456</t>
  </si>
  <si>
    <t>DEP-A0-1457</t>
  </si>
  <si>
    <t>DEP-A0-1458</t>
  </si>
  <si>
    <t>DEP-A0-1459</t>
  </si>
  <si>
    <t>DEP-A0-1460</t>
  </si>
  <si>
    <t>DEP-A0-1461</t>
  </si>
  <si>
    <t>DEP-A0-1462</t>
  </si>
  <si>
    <t>DEP-A0-1463</t>
  </si>
  <si>
    <t>DEP-A0-1464</t>
  </si>
  <si>
    <t>DEP-A0-1465</t>
  </si>
  <si>
    <t>DEP-A0-1466</t>
  </si>
  <si>
    <t>DEP-A0-1467</t>
  </si>
  <si>
    <t>DEP-A0-1468</t>
  </si>
  <si>
    <t>DEP-A0-1469</t>
  </si>
  <si>
    <t>DEP-A0-1470</t>
  </si>
  <si>
    <t>DEP-A0-1471</t>
  </si>
  <si>
    <t>DEP-A0-1472</t>
  </si>
  <si>
    <t>DEP-A0-1473</t>
  </si>
  <si>
    <t>DEP-A0-1474</t>
  </si>
  <si>
    <t>DEP-A0-1475</t>
  </si>
  <si>
    <t>DEP-A0-1476</t>
  </si>
  <si>
    <t>DEP-A0-1477</t>
  </si>
  <si>
    <t>DEP-A0-1478</t>
  </si>
  <si>
    <t>DEP-A0-1479</t>
  </si>
  <si>
    <t>DEP-A0-1480</t>
  </si>
  <si>
    <t>DEP-A0-1481</t>
  </si>
  <si>
    <t>DEP-A0-1482</t>
  </si>
  <si>
    <t>DEP-A0-1483</t>
  </si>
  <si>
    <t>DEP-A0-1484</t>
  </si>
  <si>
    <t>DEP-A0-1485</t>
  </si>
  <si>
    <t>DEP-A0-1486</t>
  </si>
  <si>
    <t>DEP-A0-1487</t>
  </si>
  <si>
    <t>DEP-A0-1488</t>
  </si>
  <si>
    <t>DEP-A0-1489</t>
  </si>
  <si>
    <t>DEP-A0-1490</t>
  </si>
  <si>
    <t>DEP-A0-1491</t>
  </si>
  <si>
    <t>DEP-A0-1492</t>
  </si>
  <si>
    <t>DEP-A0-1493</t>
  </si>
  <si>
    <t>DEP-A0-1494</t>
  </si>
  <si>
    <t>DEP-A0-1495</t>
  </si>
  <si>
    <t>DEP-A0-1496</t>
  </si>
  <si>
    <t>DEP-A0-1497</t>
  </si>
  <si>
    <t>DEP-A0-1498</t>
  </si>
  <si>
    <t>DEP-A0-1499</t>
  </si>
  <si>
    <t>DEP-A0-1500</t>
  </si>
  <si>
    <t>DEP-A0-1501</t>
  </si>
  <si>
    <t>DEP-A0-1502</t>
  </si>
  <si>
    <t>DEP-A0-1503</t>
  </si>
  <si>
    <t>DEP-A0-1504</t>
  </si>
  <si>
    <t>DEP-A0-1505</t>
  </si>
  <si>
    <t>DEP-A0-1506</t>
  </si>
  <si>
    <t>DEP-A0-1507</t>
  </si>
  <si>
    <t>DEP-A0-1508</t>
  </si>
  <si>
    <t>DEP-A0-1509</t>
  </si>
  <si>
    <t>DEP-A0-1510</t>
  </si>
  <si>
    <t>DEP-A0-1511</t>
  </si>
  <si>
    <t>DEP-A0-1512</t>
  </si>
  <si>
    <t>DEP-A0-1513</t>
  </si>
  <si>
    <t>DEP-A0-1514</t>
  </si>
  <si>
    <t>DEP-A0-1515</t>
  </si>
  <si>
    <t>DEP-A0-1516</t>
  </si>
  <si>
    <t>DEP-A0-1517</t>
  </si>
  <si>
    <t>DEP-A0-1518</t>
  </si>
  <si>
    <t>DEP-A0-1519</t>
  </si>
  <si>
    <t>DEP-A0-1520</t>
  </si>
  <si>
    <t>DEP-A0-1521</t>
  </si>
  <si>
    <t>DEP-A0-1522</t>
  </si>
  <si>
    <t>DEP-A0-1523</t>
  </si>
  <si>
    <t>DEP-A0-1524</t>
  </si>
  <si>
    <t>DEP-A0-1525</t>
  </si>
  <si>
    <t>DEP-A0-1526</t>
  </si>
  <si>
    <t>DEP-A0-1527</t>
  </si>
  <si>
    <t>DEP-A0-1528</t>
  </si>
  <si>
    <t>DEP-A0-1529</t>
  </si>
  <si>
    <t>DEP-A0-1530</t>
  </si>
  <si>
    <t>DEP-A0-1531</t>
  </si>
  <si>
    <t>DEP-A0-1532</t>
  </si>
  <si>
    <t>DEP-A0-1533</t>
  </si>
  <si>
    <t>DEP-A0-1534</t>
  </si>
  <si>
    <t>DEP-A0-1535</t>
  </si>
  <si>
    <t>DEP-A0-1536</t>
  </si>
  <si>
    <t>DEP-A0-1537</t>
  </si>
  <si>
    <t>DEP-A0-1538</t>
  </si>
  <si>
    <t>DEP-A0-1539</t>
  </si>
  <si>
    <t>DEP-A0-1540</t>
  </si>
  <si>
    <t>DEP-A0-1541</t>
  </si>
  <si>
    <t>DEP-A0-1542</t>
  </si>
  <si>
    <t>DEP-A0-1543</t>
  </si>
  <si>
    <t>DEP-A0-1544</t>
  </si>
  <si>
    <t>DEP-A0-1545</t>
  </si>
  <si>
    <t>DEP-A0-1546</t>
  </si>
  <si>
    <t>DEP-A0-1547</t>
  </si>
  <si>
    <t>DEP-A0-1548</t>
  </si>
  <si>
    <t>DEP-A0-1549</t>
  </si>
  <si>
    <t>DEP-A0-1550</t>
  </si>
  <si>
    <t>DEP-A0-1551</t>
  </si>
  <si>
    <t>DEP-A0-1552</t>
  </si>
  <si>
    <t>DEP-A0-1553</t>
  </si>
  <si>
    <t>DEP-A0-1554</t>
  </si>
  <si>
    <t>DEP-A0-1555</t>
  </si>
  <si>
    <t>DEP-A0-1556</t>
  </si>
  <si>
    <t>DEP-A0-1557</t>
  </si>
  <si>
    <t>DEP-A0-1558</t>
  </si>
  <si>
    <t>DEP-A0-1559</t>
  </si>
  <si>
    <t>DEP-A0-1560</t>
  </si>
  <si>
    <t>DEP-A0-1561</t>
  </si>
  <si>
    <t>DEP-A0-1562</t>
  </si>
  <si>
    <t>DEP-A0-1563</t>
  </si>
  <si>
    <t>DEP-A0-1564</t>
  </si>
  <si>
    <t>DEP-A0-1565</t>
  </si>
  <si>
    <t>DEP-A0-1566</t>
  </si>
  <si>
    <t>DEP-A0-1567</t>
  </si>
  <si>
    <t>DEP-A0-1568</t>
  </si>
  <si>
    <t>DEP-A0-1569</t>
  </si>
  <si>
    <t>DEP-A0-1570</t>
  </si>
  <si>
    <t>DEP-A0-1571</t>
  </si>
  <si>
    <t>DEP-A0-1572</t>
  </si>
  <si>
    <t>DEP-A0-1573</t>
  </si>
  <si>
    <t>DEP-A0-1574</t>
  </si>
  <si>
    <t>DEP-A0-1575</t>
  </si>
  <si>
    <t>DEP-A0-1576</t>
  </si>
  <si>
    <t>DEP-A0-1577</t>
  </si>
  <si>
    <t>DEP-A0-1578</t>
  </si>
  <si>
    <t>DEP-A0-1579</t>
  </si>
  <si>
    <t>DEP-A0-1580</t>
  </si>
  <si>
    <t>DEP-A0-1581</t>
  </si>
  <si>
    <t>DEP-A0-1582</t>
  </si>
  <si>
    <t>DEP-A0-1583</t>
  </si>
  <si>
    <t>DEP-A0-1584</t>
  </si>
  <si>
    <t>DEP-A0-1585</t>
  </si>
  <si>
    <t>DEP-A0-1586</t>
  </si>
  <si>
    <t>DEP-A0-1587</t>
  </si>
  <si>
    <t>DEP-A0-1588</t>
  </si>
  <si>
    <t>DEP-A0-1589</t>
  </si>
  <si>
    <t>DEP-A0-1590</t>
  </si>
  <si>
    <t>DEP-A0-1591</t>
  </si>
  <si>
    <t>DEP-A0-1592</t>
  </si>
  <si>
    <t>DEP-A0-1593</t>
  </si>
  <si>
    <t>DEP-A0-1594</t>
  </si>
  <si>
    <t>DEP-A0-1595</t>
  </si>
  <si>
    <t>DEP-A0-1596</t>
  </si>
  <si>
    <t>DEP-A0-1597</t>
  </si>
  <si>
    <t>DEP-A0-1598</t>
  </si>
  <si>
    <t>DEP-A0-1599</t>
  </si>
  <si>
    <t>DEP-A0-1600</t>
  </si>
  <si>
    <t>DEP-A0-1601</t>
  </si>
  <si>
    <t>DEP-A0-1602</t>
  </si>
  <si>
    <t>DEP-A0-1603</t>
  </si>
  <si>
    <t>DEP-A0-1604</t>
  </si>
  <si>
    <t>DEP-A0-1605</t>
  </si>
  <si>
    <t>DEP-A0-1606</t>
  </si>
  <si>
    <t>DEP-A0-1607</t>
  </si>
  <si>
    <t>DEP-A0-1608</t>
  </si>
  <si>
    <t>DEP-A0-1609</t>
  </si>
  <si>
    <t>DEP-A0-1610</t>
  </si>
  <si>
    <t>DEP-A0-1611</t>
  </si>
  <si>
    <t>DEP-A0-1612</t>
  </si>
  <si>
    <t>DEP-A0-1613</t>
  </si>
  <si>
    <t>DEP-A0-1614</t>
  </si>
  <si>
    <t>DEP-A0-1615</t>
  </si>
  <si>
    <t>DEP-A0-1616</t>
  </si>
  <si>
    <t>DEP-A0-1617</t>
  </si>
  <si>
    <t>DEP-A0-1618</t>
  </si>
  <si>
    <t>DEP-A0-1619</t>
  </si>
  <si>
    <t>DEP-A0-1620</t>
  </si>
  <si>
    <t>DEP-A0-1621</t>
  </si>
  <si>
    <t>DEP-A0-1622</t>
  </si>
  <si>
    <t>DEP-A0-1623</t>
  </si>
  <si>
    <t>DEP-A0-1624</t>
  </si>
  <si>
    <t>DEP-A0-1625</t>
  </si>
  <si>
    <t>DEP-A0-1626</t>
  </si>
  <si>
    <t>DEP-A0-1627</t>
  </si>
  <si>
    <t>DEP-A0-1628</t>
  </si>
  <si>
    <t>DEP-A0-1629</t>
  </si>
  <si>
    <t>DEP-A0-1630</t>
  </si>
  <si>
    <t>DEP-A0-1631</t>
  </si>
  <si>
    <t>DEP-A0-1632</t>
  </si>
  <si>
    <t>DEP-A0-1633</t>
  </si>
  <si>
    <t>DEP-A0-1634</t>
  </si>
  <si>
    <t>DEP-A0-1635</t>
  </si>
  <si>
    <t>DEP-A0-1636</t>
  </si>
  <si>
    <t>DEP-A0-1637</t>
  </si>
  <si>
    <t>DEP-A0-1638</t>
  </si>
  <si>
    <t>DEP-A0-1639</t>
  </si>
  <si>
    <t>DEP-A0-1640</t>
  </si>
  <si>
    <t>DEP-A0-1641</t>
  </si>
  <si>
    <t>DEP-A0-1642</t>
  </si>
  <si>
    <t>DEP-A0-1643</t>
  </si>
  <si>
    <t>DEP-A0-1644</t>
  </si>
  <si>
    <t>DEP-A0-1645</t>
  </si>
  <si>
    <t>DEP-A0-1646</t>
  </si>
  <si>
    <t>DEP-A0-1647</t>
  </si>
  <si>
    <t>DEP-A0-1648</t>
  </si>
  <si>
    <t>DEP-A0-1649</t>
  </si>
  <si>
    <t>DEP-A0-1650</t>
  </si>
  <si>
    <t>DEP-A0-1651</t>
  </si>
  <si>
    <t>DEP-A0-1652</t>
  </si>
  <si>
    <t>DEP-A0-1653</t>
  </si>
  <si>
    <t>DEP-A0-1654</t>
  </si>
  <si>
    <t>DEP-A0-1655</t>
  </si>
  <si>
    <t>DEP-A0-1656</t>
  </si>
  <si>
    <t>DEP-A0-1657</t>
  </si>
  <si>
    <t>DEP-A0-1658</t>
  </si>
  <si>
    <t>DEP-A0-1659</t>
  </si>
  <si>
    <t>DEP-A0-1660</t>
  </si>
  <si>
    <t>DEP-A0-1661</t>
  </si>
  <si>
    <t>DEP-A0-1662</t>
  </si>
  <si>
    <t>DEP-A0-1663</t>
  </si>
  <si>
    <t>DEP-A0-1664</t>
  </si>
  <si>
    <t>DEP-A0-1665</t>
  </si>
  <si>
    <t>DEP-A0-1666</t>
  </si>
  <si>
    <t>DEP-A0-1667</t>
  </si>
  <si>
    <t>DEP-A0-1668</t>
  </si>
  <si>
    <t>DEP-A0-1669</t>
  </si>
  <si>
    <t>DEP-A0-1670</t>
  </si>
  <si>
    <t>DEP-A0-1671</t>
  </si>
  <si>
    <t>DEP-A0-1672</t>
  </si>
  <si>
    <t>DEP-A0-1673</t>
  </si>
  <si>
    <t>DEP-A0-1674</t>
  </si>
  <si>
    <t>DEP-A0-1675</t>
  </si>
  <si>
    <t>DEP-A0-1676</t>
  </si>
  <si>
    <t>DEP-A0-1677</t>
  </si>
  <si>
    <t>DEP-A0-1678</t>
  </si>
  <si>
    <t>DEP-A0-1679</t>
  </si>
  <si>
    <t>DEP-A0-1680</t>
  </si>
  <si>
    <t>DEP-A0-1681</t>
  </si>
  <si>
    <t>DEP-A0-1682</t>
  </si>
  <si>
    <t>DEP-A0-1683</t>
  </si>
  <si>
    <t>DEP-A0-1684</t>
  </si>
  <si>
    <t>DEP-A0-1685</t>
  </si>
  <si>
    <t>DEP-A0-1686</t>
  </si>
  <si>
    <t>DEP-A0-1687</t>
  </si>
  <si>
    <t>DEP-A0-1688</t>
  </si>
  <si>
    <t>DEP-A0-1689</t>
  </si>
  <si>
    <t>DEP-A0-1690</t>
  </si>
  <si>
    <t>DEP-A0-1691</t>
  </si>
  <si>
    <t>DEP-A0-1692</t>
  </si>
  <si>
    <t>DEP-A0-1693</t>
  </si>
  <si>
    <t>DEP-A0-1694</t>
  </si>
  <si>
    <t>DEP-A0-1695</t>
  </si>
  <si>
    <t>DEP-A0-1696</t>
  </si>
  <si>
    <t>DEP-A0-1697</t>
  </si>
  <si>
    <t>DEP-A0-1698</t>
  </si>
  <si>
    <t>DEP-A0-1699</t>
  </si>
  <si>
    <t>DEP-A0-1700</t>
  </si>
  <si>
    <t>DEP-A0-1701</t>
  </si>
  <si>
    <t>DEP-A0-1702</t>
  </si>
  <si>
    <t>DEP-A0-1703</t>
  </si>
  <si>
    <t>DEP-A0-1704</t>
  </si>
  <si>
    <t>DEP-A0-1705</t>
  </si>
  <si>
    <t>DEP-A0-1706</t>
  </si>
  <si>
    <t>DEP-A0-1707</t>
  </si>
  <si>
    <t>DEP-A0-1708</t>
  </si>
  <si>
    <t>DEP-A0-1709</t>
  </si>
  <si>
    <t>DEP-A0-1710</t>
  </si>
  <si>
    <t>DEP-A0-1711</t>
  </si>
  <si>
    <t>DEP-A0-1712</t>
  </si>
  <si>
    <t>DEP-A0-1713</t>
  </si>
  <si>
    <t>DEP-A0-1714</t>
  </si>
  <si>
    <t>DEP-A0-1715</t>
  </si>
  <si>
    <t>DEP-A0-1716</t>
  </si>
  <si>
    <t>DEP-A0-1717</t>
  </si>
  <si>
    <t>DEP-A0-1718</t>
  </si>
  <si>
    <t>DEP-A0-1719</t>
  </si>
  <si>
    <t>DEP-A0-1720</t>
  </si>
  <si>
    <t>DEP-A0-1721</t>
  </si>
  <si>
    <t>DEP-A0-1722</t>
  </si>
  <si>
    <t>DEP-A0-1723</t>
  </si>
  <si>
    <t>DEP-A0-1724</t>
  </si>
  <si>
    <t>DEP-A0-1725</t>
  </si>
  <si>
    <t>DEP-A0-1726</t>
  </si>
  <si>
    <t>DEP-A0-1727</t>
  </si>
  <si>
    <t>DEP-A0-1728</t>
  </si>
  <si>
    <t>DEP-A0-1729</t>
  </si>
  <si>
    <t>DEP-A0-1730</t>
  </si>
  <si>
    <t>DEP-A0-1731</t>
  </si>
  <si>
    <t>DEP-A0-1732</t>
  </si>
  <si>
    <t>DEP-A0-1733</t>
  </si>
  <si>
    <t>DEP-A0-1734</t>
  </si>
  <si>
    <t>DEP-A0-1735</t>
  </si>
  <si>
    <t>DEP-A0-1736</t>
  </si>
  <si>
    <t>DEP-A0-1737</t>
  </si>
  <si>
    <t>DEP-A0-1738</t>
  </si>
  <si>
    <t>DEP-A0-1739</t>
  </si>
  <si>
    <t>DEP-A0-1740</t>
  </si>
  <si>
    <t>DEP-A0-1741</t>
  </si>
  <si>
    <t>DEP-A0-1742</t>
  </si>
  <si>
    <t>DEP-A0-1743</t>
  </si>
  <si>
    <t>DEP-A0-1744</t>
  </si>
  <si>
    <t>DEP-A0-1745</t>
  </si>
  <si>
    <t>DEP-A0-1746</t>
  </si>
  <si>
    <t>DEP-A0-1747</t>
  </si>
  <si>
    <t>DEP-A0-1748</t>
  </si>
  <si>
    <t>DEP-A0-1749</t>
  </si>
  <si>
    <t>DEP-A0-1750</t>
  </si>
  <si>
    <t>DEP-A0-1751</t>
  </si>
  <si>
    <t>DEP-A0-1752</t>
  </si>
  <si>
    <t>DEP-A0-1753</t>
  </si>
  <si>
    <t>DEP-A0-1754</t>
  </si>
  <si>
    <t>DEP-A0-1755</t>
  </si>
  <si>
    <t>DEP-A0-1756</t>
  </si>
  <si>
    <t>DEP-A0-1757</t>
  </si>
  <si>
    <t>DEP-A0-1758</t>
  </si>
  <si>
    <t>DEP-A0-1759</t>
  </si>
  <si>
    <t>DEP-A0-1760</t>
  </si>
  <si>
    <t>DEP-A0-1761</t>
  </si>
  <si>
    <t>DEP-A0-1762</t>
  </si>
  <si>
    <t>DEP-A0-1763</t>
  </si>
  <si>
    <t>DEP-A0-1764</t>
  </si>
  <si>
    <t>DEP-A0-1765</t>
  </si>
  <si>
    <t>DEP-A0-1766</t>
  </si>
  <si>
    <t>DEP-A0-1767</t>
  </si>
  <si>
    <t>DEP-A0-1768</t>
  </si>
  <si>
    <t>DEP-A0-1769</t>
  </si>
  <si>
    <t>DEP-A0-1770</t>
  </si>
  <si>
    <t>DEP-A0-1771</t>
  </si>
  <si>
    <t>DEP-A0-1772</t>
  </si>
  <si>
    <t>DEP-A0-1773</t>
  </si>
  <si>
    <t>DEP-A0-1774</t>
  </si>
  <si>
    <t>DEP-A0-1775</t>
  </si>
  <si>
    <t>DEP-A0-1776</t>
  </si>
  <si>
    <t>DEP-A0-1777</t>
  </si>
  <si>
    <t>DEP-A0-1778</t>
  </si>
  <si>
    <t>DEP-A0-1779</t>
  </si>
  <si>
    <t>DEP-A0-1780</t>
  </si>
  <si>
    <t>DEP-A0-1781</t>
  </si>
  <si>
    <t>DEP-A0-1782</t>
  </si>
  <si>
    <t>DEP-A0-1783</t>
  </si>
  <si>
    <t>DEP-A0-1784</t>
  </si>
  <si>
    <t>DEP-A0-1785</t>
  </si>
  <si>
    <t>DEP-A0-1786</t>
  </si>
  <si>
    <t>DEP-A0-1787</t>
  </si>
  <si>
    <t>DEP-A0-1788</t>
  </si>
  <si>
    <t>DEP-A0-1789</t>
  </si>
  <si>
    <t>DEP-A0-1790</t>
  </si>
  <si>
    <t>DEP-A0-1791</t>
  </si>
  <si>
    <t>DEP-A0-1792</t>
  </si>
  <si>
    <t>DEP-A0-1793</t>
  </si>
  <si>
    <t>DEP-A0-1794</t>
  </si>
  <si>
    <t>DEP-A0-1795</t>
  </si>
  <si>
    <t>DEP-A0-1796</t>
  </si>
  <si>
    <t>DEP-A0-1797</t>
  </si>
  <si>
    <t>DEP-A0-1798</t>
  </si>
  <si>
    <t>DEP-A0-1799</t>
  </si>
  <si>
    <t>DEP-A0-1800</t>
  </si>
  <si>
    <t>DEP-A0-1801</t>
  </si>
  <si>
    <t>DEP-A0-1802</t>
  </si>
  <si>
    <t>DEP-A0-1803</t>
  </si>
  <si>
    <t>DEP-A0-1804</t>
  </si>
  <si>
    <t>DEP-A0-1805</t>
  </si>
  <si>
    <t>DEP-A0-1806</t>
  </si>
  <si>
    <t>DEP-A0-1807</t>
  </si>
  <si>
    <t>DEP-A0-1808</t>
  </si>
  <si>
    <t>DEP-A0-1809</t>
  </si>
  <si>
    <t>DEP-A0-1810</t>
  </si>
  <si>
    <t>DEP-A0-1811</t>
  </si>
  <si>
    <t>DEP-A0-1812</t>
  </si>
  <si>
    <t>DEP-A0-1813</t>
  </si>
  <si>
    <t>DEP-A0-1814</t>
  </si>
  <si>
    <t>DEP-A0-1815</t>
  </si>
  <si>
    <t>DEP-A0-1816</t>
  </si>
  <si>
    <t>DEP-A0-1817</t>
  </si>
  <si>
    <t>DEP-A0-1818</t>
  </si>
  <si>
    <t>DEP-A0-1819</t>
  </si>
  <si>
    <t>DEP-A0-1820</t>
  </si>
  <si>
    <t>DEP-A0-1821</t>
  </si>
  <si>
    <t>DEP-A0-1822</t>
  </si>
  <si>
    <t>DEP-A0-1823</t>
  </si>
  <si>
    <t>DEP-A0-1824</t>
  </si>
  <si>
    <t>DEP-A0-1825</t>
  </si>
  <si>
    <t>DEP-A0-1826</t>
  </si>
  <si>
    <t>DEP-A0-1827</t>
  </si>
  <si>
    <t>DEP-A0-1828</t>
  </si>
  <si>
    <t>DEP-A0-1829</t>
  </si>
  <si>
    <t>DEP-A0-1830</t>
  </si>
  <si>
    <t>DEP-A0-1831</t>
  </si>
  <si>
    <t>DEP-A0-1832</t>
  </si>
  <si>
    <t>DEP-A0-1833</t>
  </si>
  <si>
    <t>DEP-A0-1834</t>
  </si>
  <si>
    <t>DEP-A0-1835</t>
  </si>
  <si>
    <t>DEP-A0-1836</t>
  </si>
  <si>
    <t>DEP-A0-1837</t>
  </si>
  <si>
    <t>DEP-A0-1838</t>
  </si>
  <si>
    <t>DEP-A0-1839</t>
  </si>
  <si>
    <t>DEP-A0-1840</t>
  </si>
  <si>
    <t>DEP-A0-1841</t>
  </si>
  <si>
    <t>DEP-A0-1842</t>
  </si>
  <si>
    <t>DEP-A0-1843</t>
  </si>
  <si>
    <t>DEP-A0-1844</t>
  </si>
  <si>
    <t>DEP-A0-1845</t>
  </si>
  <si>
    <t>DEP-A0-1846</t>
  </si>
  <si>
    <t>DEP-A0-1847</t>
  </si>
  <si>
    <t>DEP-A0-1848</t>
  </si>
  <si>
    <t>DEP-A0-1849</t>
  </si>
  <si>
    <t>DEP-A0-1850</t>
  </si>
  <si>
    <t>DEP-A0-1851</t>
  </si>
  <si>
    <t>DEP-A0-1852</t>
  </si>
  <si>
    <t>DEP-A0-1853</t>
  </si>
  <si>
    <t>DEP-A0-1854</t>
  </si>
  <si>
    <t>DEP-A0-1855</t>
  </si>
  <si>
    <t>DEP-A0-1856</t>
  </si>
  <si>
    <t>DEP-A0-1857</t>
  </si>
  <si>
    <t>DEP-A0-1858</t>
  </si>
  <si>
    <t>DEP-A0-1859</t>
  </si>
  <si>
    <t>DEP-A0-1860</t>
  </si>
  <si>
    <t>DEP-A0-1861</t>
  </si>
  <si>
    <t>DEP-A0-1862</t>
  </si>
  <si>
    <t>DEP-A0-1863</t>
  </si>
  <si>
    <t>DEP-A0-1864</t>
  </si>
  <si>
    <t>DEP-A0-1865</t>
  </si>
  <si>
    <t>DEP-A0-1866</t>
  </si>
  <si>
    <t>DEP-A0-1867</t>
  </si>
  <si>
    <t>DEP-A0-1868</t>
  </si>
  <si>
    <t>DEP-A0-1869</t>
  </si>
  <si>
    <t>DEP-A0-1870</t>
  </si>
  <si>
    <t>DEP-A0-1871</t>
  </si>
  <si>
    <t>DEP-A0-1872</t>
  </si>
  <si>
    <t>DEP-A0-1873</t>
  </si>
  <si>
    <t>DEP-A0-1874</t>
  </si>
  <si>
    <t>DEP-A0-1875</t>
  </si>
  <si>
    <t>DEP-A0-1876</t>
  </si>
  <si>
    <t>DEP-A0-1877</t>
  </si>
  <si>
    <t>DEP-A0-1878</t>
  </si>
  <si>
    <t>DEP-A0-1879</t>
  </si>
  <si>
    <t>DEP-A0-1880</t>
  </si>
  <si>
    <t>DEP-A0-1881</t>
  </si>
  <si>
    <t>DEP-A0-1882</t>
  </si>
  <si>
    <t>DEP-A0-1883</t>
  </si>
  <si>
    <t>DEP-A0-1884</t>
  </si>
  <si>
    <t>DEP-A0-1885</t>
  </si>
  <si>
    <t>DEP-A0-1886</t>
  </si>
  <si>
    <t>DEP-A0-1887</t>
  </si>
  <si>
    <t>DEP-A0-1888</t>
  </si>
  <si>
    <t>DEP-A0-1889</t>
  </si>
  <si>
    <t>DEP-A0-1890</t>
  </si>
  <si>
    <t>DEP-A0-1891</t>
  </si>
  <si>
    <t>DEP-A0-1892</t>
  </si>
  <si>
    <t>DEP-A0-1893</t>
  </si>
  <si>
    <t>DEP-A0-1894</t>
  </si>
  <si>
    <t>DEP-A0-1895</t>
  </si>
  <si>
    <t>DEP-A0-1896</t>
  </si>
  <si>
    <t>DEP-A0-1897</t>
  </si>
  <si>
    <t>DEP-A0-1898</t>
  </si>
  <si>
    <t>DEP-A0-1899</t>
  </si>
  <si>
    <t>DEP-A0-1900</t>
  </si>
  <si>
    <t>DEP-A0-1901</t>
  </si>
  <si>
    <t>DEP-A0-1902</t>
  </si>
  <si>
    <t>DEP-A0-1903</t>
  </si>
  <si>
    <t>DEP-A0-1904</t>
  </si>
  <si>
    <t>DEP-A0-1905</t>
  </si>
  <si>
    <t>DEP-A0-1906</t>
  </si>
  <si>
    <t>DEP-A0-1907</t>
  </si>
  <si>
    <t>DEP-A0-1908</t>
  </si>
  <si>
    <t>DEP-A0-1909</t>
  </si>
  <si>
    <t>DEP-A0-1910</t>
  </si>
  <si>
    <t>DEP-A0-1911</t>
  </si>
  <si>
    <t>DEP-A0-1912</t>
  </si>
  <si>
    <t>DEP-A0-1913</t>
  </si>
  <si>
    <t>DEP-A0-1914</t>
  </si>
  <si>
    <t>DEP-A0-1915</t>
  </si>
  <si>
    <t>DEP-A0-1916</t>
  </si>
  <si>
    <t>DEP-A0-1917</t>
  </si>
  <si>
    <t>DEP-A0-1918</t>
  </si>
  <si>
    <t>DEP-A0-1919</t>
  </si>
  <si>
    <t>DEP-A0-1920</t>
  </si>
  <si>
    <t>DEP-A0-1921</t>
  </si>
  <si>
    <t>DEP-A0-1922</t>
  </si>
  <si>
    <t>DEP-A0-1923</t>
  </si>
  <si>
    <t>DEP-A0-1924</t>
  </si>
  <si>
    <t>DEP-A0-1925</t>
  </si>
  <si>
    <t>DEP-A0-1926</t>
  </si>
  <si>
    <t>DEP-A0-1927</t>
  </si>
  <si>
    <t>DEP-A0-1928</t>
  </si>
  <si>
    <t>DEP-A0-1929</t>
  </si>
  <si>
    <t>DEP-A0-1930</t>
  </si>
  <si>
    <t>DEP-A0-1931</t>
  </si>
  <si>
    <t>DEP-A0-1932</t>
  </si>
  <si>
    <t>DEP-A0-1933</t>
  </si>
  <si>
    <t>DEP-A0-1934</t>
  </si>
  <si>
    <t>DEP-A0-1935</t>
  </si>
  <si>
    <t>DEP-A0-1936</t>
  </si>
  <si>
    <t>DEP-A0-1937</t>
  </si>
  <si>
    <t>DEP-A0-1938</t>
  </si>
  <si>
    <t>DEP-A0-1939</t>
  </si>
  <si>
    <t>DEP-A0-1940</t>
  </si>
  <si>
    <t>DEP-A0-1941</t>
  </si>
  <si>
    <t>DEP-A0-1942</t>
  </si>
  <si>
    <t>DEP-A0-1943</t>
  </si>
  <si>
    <t>DEP-A0-1944</t>
  </si>
  <si>
    <t>DEP-A0-1945</t>
  </si>
  <si>
    <t>DEP-A0-1946</t>
  </si>
  <si>
    <t>DEP-A0-1947</t>
  </si>
  <si>
    <t>DEP-A0-1948</t>
  </si>
  <si>
    <t>DEP-A0-1949</t>
  </si>
  <si>
    <t>DEP-A0-1950</t>
  </si>
  <si>
    <t>DEP-A0-1951</t>
  </si>
  <si>
    <t>DEP-A0-1952</t>
  </si>
  <si>
    <t>DEP-A0-1953</t>
  </si>
  <si>
    <t>DEP-A0-1954</t>
  </si>
  <si>
    <t>DEP-A0-1955</t>
  </si>
  <si>
    <t>DEP-A0-1956</t>
  </si>
  <si>
    <t>DEP-A0-1957</t>
  </si>
  <si>
    <t>DEP-A0-1958</t>
  </si>
  <si>
    <t>DEP-A0-1959</t>
  </si>
  <si>
    <t>DEP-A0-1960</t>
  </si>
  <si>
    <t>DEP-A0-1961</t>
  </si>
  <si>
    <t>DEP-A0-1962</t>
  </si>
  <si>
    <t>DEP-A0-1963</t>
  </si>
  <si>
    <t>DEP-A0-1964</t>
  </si>
  <si>
    <t>DEP-A0-1965</t>
  </si>
  <si>
    <t>DEP-A0-1966</t>
  </si>
  <si>
    <t>DEP-A0-1967</t>
  </si>
  <si>
    <t>DEP-A0-1968</t>
  </si>
  <si>
    <t>DEP-A0-1969</t>
  </si>
  <si>
    <t>DEP-A0-1970</t>
  </si>
  <si>
    <t>DEP-A0-1971</t>
  </si>
  <si>
    <t>DEP-A0-1972</t>
  </si>
  <si>
    <t>DEP-A0-1973</t>
  </si>
  <si>
    <t>DEP-A0-1974</t>
  </si>
  <si>
    <t>DEP-A0-1975</t>
  </si>
  <si>
    <t>DEP-A0-1976</t>
  </si>
  <si>
    <t>DEP-A0-1977</t>
  </si>
  <si>
    <t>DEP-A0-1978</t>
  </si>
  <si>
    <t>DEP-A0-1979</t>
  </si>
  <si>
    <t>DEP-A0-1980</t>
  </si>
  <si>
    <t>DEP-A0-1981</t>
  </si>
  <si>
    <t>DEP-A0-1982</t>
  </si>
  <si>
    <t>DEP-A0-1983</t>
  </si>
  <si>
    <t>DEP-A0-1984</t>
  </si>
  <si>
    <t>DEP-A0-1985</t>
  </si>
  <si>
    <t>DEP-A0-1986</t>
  </si>
  <si>
    <t>DEP-A0-1987</t>
  </si>
  <si>
    <t>DEP-A0-1988</t>
  </si>
  <si>
    <t>DEP-A0-1989</t>
  </si>
  <si>
    <t>DEP-A0-1990</t>
  </si>
  <si>
    <t>DEP-A0-1991</t>
  </si>
  <si>
    <t>DEP-A0-1992</t>
  </si>
  <si>
    <t>DEP-A0-1993</t>
  </si>
  <si>
    <t>DEP-A0-1994</t>
  </si>
  <si>
    <t>DEP-A0-1995</t>
  </si>
  <si>
    <t>DEP-A0-1996</t>
  </si>
  <si>
    <t>DEP-A0-1997</t>
  </si>
  <si>
    <t>DEP-A0-1998</t>
  </si>
  <si>
    <t>DEP-A0-1999</t>
  </si>
  <si>
    <t>DEP-A0-2000</t>
  </si>
  <si>
    <t>DEP-A0-2001</t>
  </si>
  <si>
    <t>DEP-A0-2002</t>
  </si>
  <si>
    <t>DEP-A0-2003</t>
  </si>
  <si>
    <t>DEP-A0-2004</t>
  </si>
  <si>
    <t>DEP-A0-2005</t>
  </si>
  <si>
    <t>DEP-A0-2006</t>
  </si>
  <si>
    <t>DEP-A0-2007</t>
  </si>
  <si>
    <t>DEP-A0-2008</t>
  </si>
  <si>
    <t>DEP-A0-2009</t>
  </si>
  <si>
    <t>DEP-A0-2010</t>
  </si>
  <si>
    <t>DEP-A0-2011</t>
  </si>
  <si>
    <t>DEP-A0-2012</t>
  </si>
  <si>
    <t>DEP-A0-2013</t>
  </si>
  <si>
    <t>DEP-A0-2014</t>
  </si>
  <si>
    <t>DEP-A0-2015</t>
  </si>
  <si>
    <t>DEP-A0-2016</t>
  </si>
  <si>
    <t>DEP-A0-2017</t>
  </si>
  <si>
    <t>DEP-A0-2018</t>
  </si>
  <si>
    <t>DEP-A0-2019</t>
  </si>
  <si>
    <t>DEP-A0-2020</t>
  </si>
  <si>
    <t>DEP-A0-2021</t>
  </si>
  <si>
    <t>DEP-A0-2022</t>
  </si>
  <si>
    <t>DEP-A0-2023</t>
  </si>
  <si>
    <t>DEP-A0-2024</t>
  </si>
  <si>
    <t>DEP-A0-2025</t>
  </si>
  <si>
    <t>DEP-A0-2026</t>
  </si>
  <si>
    <t>DEP-A0-2027</t>
  </si>
  <si>
    <t>DEP-A0-2028</t>
  </si>
  <si>
    <t>DEP-A0-2029</t>
  </si>
  <si>
    <t>DEP-A0-2030</t>
  </si>
  <si>
    <t>DEP-A0-2031</t>
  </si>
  <si>
    <t>DEP-A0-2032</t>
  </si>
  <si>
    <t>DEP-A0-2033</t>
  </si>
  <si>
    <t>DEP-A0-2034</t>
  </si>
  <si>
    <t>DEP-A0-2035</t>
  </si>
  <si>
    <t>DEP-A0-2036</t>
  </si>
  <si>
    <t>DEP-A0-2037</t>
  </si>
  <si>
    <t>DEP-A0-2038</t>
  </si>
  <si>
    <t>DEP-A0-2039</t>
  </si>
  <si>
    <t>DEP-A0-2040</t>
  </si>
  <si>
    <t>DEP-A0-2041</t>
  </si>
  <si>
    <t>DEP-A0-2042</t>
  </si>
  <si>
    <t>DEP-A0-2043</t>
  </si>
  <si>
    <t>DEP-A0-2044</t>
  </si>
  <si>
    <t>DEP-A0-2045</t>
  </si>
  <si>
    <t>DEP-A0-2046</t>
  </si>
  <si>
    <t>DEP-A0-2047</t>
  </si>
  <si>
    <t>DEP-A0-2048</t>
  </si>
  <si>
    <t>DEP-A0-2049</t>
  </si>
  <si>
    <t>DEP-A0-2050</t>
  </si>
  <si>
    <t>DEP-A0-2051</t>
  </si>
  <si>
    <t>DEP-A0-2052</t>
  </si>
  <si>
    <t>DEP-A0-2053</t>
  </si>
  <si>
    <t>DEP-A0-2054</t>
  </si>
  <si>
    <t>DEP-A0-2055</t>
  </si>
  <si>
    <t>DEP-A0-2056</t>
  </si>
  <si>
    <t>DEP-A0-2057</t>
  </si>
  <si>
    <t>DEP-A0-2058</t>
  </si>
  <si>
    <t>DEP-A0-2059</t>
  </si>
  <si>
    <t>DEP-A0-2060</t>
  </si>
  <si>
    <t>DEP-A0-2061</t>
  </si>
  <si>
    <t>DEP-A0-2062</t>
  </si>
  <si>
    <t>DEP-A0-2063</t>
  </si>
  <si>
    <t>DEP-A0-2064</t>
  </si>
  <si>
    <t>DEP-A0-2065</t>
  </si>
  <si>
    <t>DEP-A0-2066</t>
  </si>
  <si>
    <t>DEP-A0-2067</t>
  </si>
  <si>
    <t>DEP-A0-2068</t>
  </si>
  <si>
    <t>DEP-A0-2069</t>
  </si>
  <si>
    <t>DEP-A0-2070</t>
  </si>
  <si>
    <t>DEP-A0-2071</t>
  </si>
  <si>
    <t>DEP-A0-2072</t>
  </si>
  <si>
    <t>DEP-A0-2073</t>
  </si>
  <si>
    <t>DEP-A0-2074</t>
  </si>
  <si>
    <t>DEP-A0-2075</t>
  </si>
  <si>
    <t>DEP-A0-2076</t>
  </si>
  <si>
    <t>DEP-A0-2077</t>
  </si>
  <si>
    <t>DEP-A0-2078</t>
  </si>
  <si>
    <t>DEP-A0-2079</t>
  </si>
  <si>
    <t>DEP-A0-2080</t>
  </si>
  <si>
    <t>DEP-A0-2081</t>
  </si>
  <si>
    <t>DEP-A0-2082</t>
  </si>
  <si>
    <t>DEP-A0-2083</t>
  </si>
  <si>
    <t>DEP-A0-2084</t>
  </si>
  <si>
    <t>DEP-A0-2085</t>
  </si>
  <si>
    <t>DEP-A0-2086</t>
  </si>
  <si>
    <t>DEP-A0-2087</t>
  </si>
  <si>
    <t>DEP-A0-2088</t>
  </si>
  <si>
    <t>DEP-A0-2089</t>
  </si>
  <si>
    <t>DEP-A0-2090</t>
  </si>
  <si>
    <t>DEP-A0-2091</t>
  </si>
  <si>
    <t>DEP-A0-2092</t>
  </si>
  <si>
    <t>DEP-A0-2093</t>
  </si>
  <si>
    <t>DEP-A0-2094</t>
  </si>
  <si>
    <t>DEP-A0-2095</t>
  </si>
  <si>
    <t>DEP-A0-2096</t>
  </si>
  <si>
    <t>DEP-A0-2097</t>
  </si>
  <si>
    <t>DEP-A0-2098</t>
  </si>
  <si>
    <t>DEP-A0-2099</t>
  </si>
  <si>
    <t>DEP-A0-2100</t>
  </si>
  <si>
    <t>DEP-A0-2101</t>
  </si>
  <si>
    <t>DEP-A0-2102</t>
  </si>
  <si>
    <t>DEP-A0-2103</t>
  </si>
  <si>
    <t>DEP-A0-2104</t>
  </si>
  <si>
    <t>DEP-A0-2105</t>
  </si>
  <si>
    <t>DEP-A0-2106</t>
  </si>
  <si>
    <t>DEP-A0-2107</t>
  </si>
  <si>
    <t>DEP-A0-2108</t>
  </si>
  <si>
    <t>DEP-A0-2109</t>
  </si>
  <si>
    <t>DEP-A0-2110</t>
  </si>
  <si>
    <t>DEP-A0-2111</t>
  </si>
  <si>
    <t>DEP-A0-2112</t>
  </si>
  <si>
    <t>DEP-A0-2113</t>
  </si>
  <si>
    <t>DEP-A0-2114</t>
  </si>
  <si>
    <t>DEP-A0-2115</t>
  </si>
  <si>
    <t>DEP-A0-2116</t>
  </si>
  <si>
    <t>DEP-A0-2117</t>
  </si>
  <si>
    <t>DEP-A0-2118</t>
  </si>
  <si>
    <t>DEP-A0-2119</t>
  </si>
  <si>
    <t>DEP-A0-2120</t>
  </si>
  <si>
    <t>DEP-A0-2121</t>
  </si>
  <si>
    <t>DEP-A0-2122</t>
  </si>
  <si>
    <t>DEP-A0-2123</t>
  </si>
  <si>
    <t>DEP-A0-2124</t>
  </si>
  <si>
    <t>DEP-A0-2125</t>
  </si>
  <si>
    <t>DEP-A0-2126</t>
  </si>
  <si>
    <t>DEP-A0-2127</t>
  </si>
  <si>
    <t>DEP-A0-2128</t>
  </si>
  <si>
    <t>DEP-A0-2129</t>
  </si>
  <si>
    <t>DEP-A0-2130</t>
  </si>
  <si>
    <t>DEP-A0-2131</t>
  </si>
  <si>
    <t>DEP-A0-2132</t>
  </si>
  <si>
    <t>DEP-A0-2133</t>
  </si>
  <si>
    <t>DEP-A0-2134</t>
  </si>
  <si>
    <t>DEP-A0-2135</t>
  </si>
  <si>
    <t>DEP-A0-2136</t>
  </si>
  <si>
    <t>DEP-A0-2137</t>
  </si>
  <si>
    <t>DEP-A0-2138</t>
  </si>
  <si>
    <t>DEP-A0-2139</t>
  </si>
  <si>
    <t>DEP-A0-2140</t>
  </si>
  <si>
    <t>DEP-A0-2141</t>
  </si>
  <si>
    <t>DEP-A0-2142</t>
  </si>
  <si>
    <t>DEP-A0-2143</t>
  </si>
  <si>
    <t>DEP-A0-2144</t>
  </si>
  <si>
    <t>DEP-A0-2145</t>
  </si>
  <si>
    <t>DEP-A0-2146</t>
  </si>
  <si>
    <t>DEP-A0-2147</t>
  </si>
  <si>
    <t>DEP-A0-2148</t>
  </si>
  <si>
    <t>DEP-A0-2149</t>
  </si>
  <si>
    <t>DEP-A0-2150</t>
  </si>
  <si>
    <t>DEP-A0-2151</t>
  </si>
  <si>
    <t>DEP-A0-2152</t>
  </si>
  <si>
    <t>DEP-A0-2153</t>
  </si>
  <si>
    <t>DEP-A0-2154</t>
  </si>
  <si>
    <t>DEP-A0-2155</t>
  </si>
  <si>
    <t>DEP-A0-2156</t>
  </si>
  <si>
    <t>DEP-A0-2157</t>
  </si>
  <si>
    <t>DEP-A0-2158</t>
  </si>
  <si>
    <t>DEP-A0-2159</t>
  </si>
  <si>
    <t>DEP-A0-2160</t>
  </si>
  <si>
    <t>DEP-A0-2161</t>
  </si>
  <si>
    <t>DEP-A0-2162</t>
  </si>
  <si>
    <t>DEP-A0-2163</t>
  </si>
  <si>
    <t>DEP-A0-2164</t>
  </si>
  <si>
    <t>DEP-A0-2165</t>
  </si>
  <si>
    <t>DEP-A0-2166</t>
  </si>
  <si>
    <t>DEP-A0-2167</t>
  </si>
  <si>
    <t>DEP-A0-2168</t>
  </si>
  <si>
    <t>DEP-A0-2169</t>
  </si>
  <si>
    <t>DEP-A0-2170</t>
  </si>
  <si>
    <t>DEP-A0-2171</t>
  </si>
  <si>
    <t>DEP-A0-2172</t>
  </si>
  <si>
    <t>DEP-A0-2173</t>
  </si>
  <si>
    <t>DEP-A0-2174</t>
  </si>
  <si>
    <t>DEP-A0-2175</t>
  </si>
  <si>
    <t>DEP-A0-2176</t>
  </si>
  <si>
    <t>DEP-A0-2177</t>
  </si>
  <si>
    <t>DEP-A0-2178</t>
  </si>
  <si>
    <t>DEP-A0-2179</t>
  </si>
  <si>
    <t>DEP-A0-2180</t>
  </si>
  <si>
    <t>DEP-A0-2181</t>
  </si>
  <si>
    <t>DEP-A0-2182</t>
  </si>
  <si>
    <t>DEP-A0-2183</t>
  </si>
  <si>
    <t>DEP-A0-2184</t>
  </si>
  <si>
    <t>DEP-A0-2185</t>
  </si>
  <si>
    <t>DEP-A0-2186</t>
  </si>
  <si>
    <t>DEP-A0-2187</t>
  </si>
  <si>
    <t>DEP-A0-2188</t>
  </si>
  <si>
    <t>DEP-A0-2189</t>
  </si>
  <si>
    <t>DEP-A0-2190</t>
  </si>
  <si>
    <t>DEP-A0-2191</t>
  </si>
  <si>
    <t>DEP-A0-2192</t>
  </si>
  <si>
    <t>DEP-A0-2193</t>
  </si>
  <si>
    <t>DEP-A0-2194</t>
  </si>
  <si>
    <t>DEP-A0-2195</t>
  </si>
  <si>
    <t>DEP-A0-2196</t>
  </si>
  <si>
    <t>DEP-A0-2197</t>
  </si>
  <si>
    <t>DEP-A0-2198</t>
  </si>
  <si>
    <t>DEP-A0-2199</t>
  </si>
  <si>
    <t>DEP-A0-2200</t>
  </si>
  <si>
    <t>DEP-A0-2201</t>
  </si>
  <si>
    <t>DEP-A0-2202</t>
  </si>
  <si>
    <t>DEP-A0-2203</t>
  </si>
  <si>
    <t>DEP-A0-2204</t>
  </si>
  <si>
    <t>DEP-A0-2205</t>
  </si>
  <si>
    <t>DEP-A0-2206</t>
  </si>
  <si>
    <t>DEP-A0-2207</t>
  </si>
  <si>
    <t>DEP-A0-2208</t>
  </si>
  <si>
    <t>DEP-A0-2209</t>
  </si>
  <si>
    <t>DEP-A0-2210</t>
  </si>
  <si>
    <t>DEP-A0-2211</t>
  </si>
  <si>
    <t>DEP-A0-2212</t>
  </si>
  <si>
    <t>DEP-A0-2213</t>
  </si>
  <si>
    <t>DEP-A0-2214</t>
  </si>
  <si>
    <t>DEP-A0-2215</t>
  </si>
  <si>
    <t>DEP-A0-2216</t>
  </si>
  <si>
    <t>DEP-A0-2217</t>
  </si>
  <si>
    <t>DEP-A0-2218</t>
  </si>
  <si>
    <t>DEP-A0-2219</t>
  </si>
  <si>
    <t>DEP-A0-2220</t>
  </si>
  <si>
    <t>DEP-A0-2221</t>
  </si>
  <si>
    <t>DEP-A0-2222</t>
  </si>
  <si>
    <t>DEP-A0-2223</t>
  </si>
  <si>
    <t>DEP-A0-2224</t>
  </si>
  <si>
    <t>DEP-A0-2225</t>
  </si>
  <si>
    <t>DEP-A0-2226</t>
  </si>
  <si>
    <t>DEP-A0-2227</t>
  </si>
  <si>
    <t>DEP-A0-2228</t>
  </si>
  <si>
    <t>DEP-A0-2229</t>
  </si>
  <si>
    <t>DEP-A0-2230</t>
  </si>
  <si>
    <t>DEP-A0-2231</t>
  </si>
  <si>
    <t>DEP-A0-2232</t>
  </si>
  <si>
    <t>DEP-A0-2233</t>
  </si>
  <si>
    <t>DEP-A0-2234</t>
  </si>
  <si>
    <t>DEP-A0-2235</t>
  </si>
  <si>
    <t>DEP-A0-2236</t>
  </si>
  <si>
    <t>DEP-A0-2237</t>
  </si>
  <si>
    <t>DEP-A0-2238</t>
  </si>
  <si>
    <t>DEP-A0-2239</t>
  </si>
  <si>
    <t>DEP-A0-2240</t>
  </si>
  <si>
    <t>DEP-A0-2241</t>
  </si>
  <si>
    <t>DEP-A0-2242</t>
  </si>
  <si>
    <t>DEP-A0-2243</t>
  </si>
  <si>
    <t>DEP-A0-2244</t>
  </si>
  <si>
    <t>DEP-A0-2245</t>
  </si>
  <si>
    <t>DEP-A0-2246</t>
  </si>
  <si>
    <t>DEP-A0-2247</t>
  </si>
  <si>
    <t>DEP-A0-2248</t>
  </si>
  <si>
    <t>DEP-A0-2249</t>
  </si>
  <si>
    <t>DEP-A0-2250</t>
  </si>
  <si>
    <t>DEP-A0-2251</t>
  </si>
  <si>
    <t>DEP-A0-2252</t>
  </si>
  <si>
    <t>DEP-A0-2253</t>
  </si>
  <si>
    <t>DEP-A0-2254</t>
  </si>
  <si>
    <t>DEP-A0-2255</t>
  </si>
  <si>
    <t>DEP-A0-2256</t>
  </si>
  <si>
    <t>DEP-A0-2257</t>
  </si>
  <si>
    <t>DEP-A0-2258</t>
  </si>
  <si>
    <t>DEP-A0-2259</t>
  </si>
  <si>
    <t>DEP-A0-2260</t>
  </si>
  <si>
    <t>DEP-A0-2261</t>
  </si>
  <si>
    <t>DEP-A0-2262</t>
  </si>
  <si>
    <t>DEP-A0-2263</t>
  </si>
  <si>
    <t>DEP-A0-2264</t>
  </si>
  <si>
    <t>DEP-A0-2265</t>
  </si>
  <si>
    <t>DEP-A0-2266</t>
  </si>
  <si>
    <t>DEP-A0-2267</t>
  </si>
  <si>
    <t>DEP-A0-2268</t>
  </si>
  <si>
    <t>DEP-A0-2269</t>
  </si>
  <si>
    <t>DEP-A0-2270</t>
  </si>
  <si>
    <t>DEP-A0-2271</t>
  </si>
  <si>
    <t>DEP-A0-2272</t>
  </si>
  <si>
    <t>DEP-A0-2273</t>
  </si>
  <si>
    <t>DEP-A0-2274</t>
  </si>
  <si>
    <t>DEP-A0-2275</t>
  </si>
  <si>
    <t>DEP-A0-2276</t>
  </si>
  <si>
    <t>DEP-A0-2277</t>
  </si>
  <si>
    <t>DEP-A0-2278</t>
  </si>
  <si>
    <t>DEP-A0-2279</t>
  </si>
  <si>
    <t>DEP-A0-2280</t>
  </si>
  <si>
    <t>DEP-A0-2281</t>
  </si>
  <si>
    <t>DEP-A0-2282</t>
  </si>
  <si>
    <t>DEP-A0-2283</t>
  </si>
  <si>
    <t>DEP-A0-2284</t>
  </si>
  <si>
    <t>DEP-A0-2285</t>
  </si>
  <si>
    <t>DEP-A0-2286</t>
  </si>
  <si>
    <t>DEP-A0-2287</t>
  </si>
  <si>
    <t>DEP-A0-2288</t>
  </si>
  <si>
    <t>DEP-A0-2289</t>
  </si>
  <si>
    <t>DEP-A0-2290</t>
  </si>
  <si>
    <t>DEP-A0-2291</t>
  </si>
  <si>
    <t>DEP-A0-2292</t>
  </si>
  <si>
    <t>DEP-A0-2293</t>
  </si>
  <si>
    <t>DEP-A0-2294</t>
  </si>
  <si>
    <t>DEP-A0-2295</t>
  </si>
  <si>
    <t>DEP-A0-2296</t>
  </si>
  <si>
    <t>DEP-A0-2297</t>
  </si>
  <si>
    <t>DEP-A0-2298</t>
  </si>
  <si>
    <t>DEP-A0-2299</t>
  </si>
  <si>
    <t>DEP-A0-2300</t>
  </si>
  <si>
    <t>DEP-A0-2301</t>
  </si>
  <si>
    <t>DEP-A0-2302</t>
  </si>
  <si>
    <t>DEP-A0-2303</t>
  </si>
  <si>
    <t>DEP-A0-2304</t>
  </si>
  <si>
    <t>DEP-A0-2305</t>
  </si>
  <si>
    <t>DEP-A0-2306</t>
  </si>
  <si>
    <t>DEP-A0-2307</t>
  </si>
  <si>
    <t>DEP-A0-2308</t>
  </si>
  <si>
    <t>DEP-A0-2309</t>
  </si>
  <si>
    <t>DEP-A0-2310</t>
  </si>
  <si>
    <t>DEP-A0-2311</t>
  </si>
  <si>
    <t>DEP-A0-2312</t>
  </si>
  <si>
    <t>DEP-A0-2313</t>
  </si>
  <si>
    <t>DEP-A0-2314</t>
  </si>
  <si>
    <t>DEP-A0-2315</t>
  </si>
  <si>
    <t>DEP-A0-2316</t>
  </si>
  <si>
    <t>DEP-A0-2317</t>
  </si>
  <si>
    <t>DEP-A0-2318</t>
  </si>
  <si>
    <t>DEP-A0-2319</t>
  </si>
  <si>
    <t>DEP-A0-2320</t>
  </si>
  <si>
    <t>DEP-A0-2321</t>
  </si>
  <si>
    <t>DEP-A0-2322</t>
  </si>
  <si>
    <t>DEP-A0-2323</t>
  </si>
  <si>
    <t>DEP-A0-2324</t>
  </si>
  <si>
    <t>DEP-A0-2325</t>
  </si>
  <si>
    <t>DEP-A0-2326</t>
  </si>
  <si>
    <t>DEP-A0-2327</t>
  </si>
  <si>
    <t>DEP-A0-2328</t>
  </si>
  <si>
    <t>DEP-A0-2329</t>
  </si>
  <si>
    <t>DEP-A0-2330</t>
  </si>
  <si>
    <t>DEP-A0-2331</t>
  </si>
  <si>
    <t>DEP-A0-2332</t>
  </si>
  <si>
    <t>DEP-A0-2333</t>
  </si>
  <si>
    <t>DEP-A0-2334</t>
  </si>
  <si>
    <t>DEP-A0-2335</t>
  </si>
  <si>
    <t>DEP-A0-2336</t>
  </si>
  <si>
    <t>DEP-A0-2337</t>
  </si>
  <si>
    <t>DEP-A0-2338</t>
  </si>
  <si>
    <t>DEP-A0-2339</t>
  </si>
  <si>
    <t>DEP-A0-2340</t>
  </si>
  <si>
    <t>DEP-A0-2341</t>
  </si>
  <si>
    <t>DEP-A0-2342</t>
  </si>
  <si>
    <t>DEP-A0-2343</t>
  </si>
  <si>
    <t>DEP-A0-2344</t>
  </si>
  <si>
    <t>DEP-A0-2345</t>
  </si>
  <si>
    <t>DEP-A0-2346</t>
  </si>
  <si>
    <t>DEP-A0-2347</t>
  </si>
  <si>
    <t>DEP-A0-2348</t>
  </si>
  <si>
    <t>DEP-A0-2349</t>
  </si>
  <si>
    <t>DEP-A0-2350</t>
  </si>
  <si>
    <t>DEP-A0-2351</t>
  </si>
  <si>
    <t>DEP-A0-2352</t>
  </si>
  <si>
    <t>DEP-A0-2353</t>
  </si>
  <si>
    <t>DEP-A0-2354</t>
  </si>
  <si>
    <t>DEP-A0-2355</t>
  </si>
  <si>
    <t>DEP-A0-2356</t>
  </si>
  <si>
    <t>DEP-A0-2357</t>
  </si>
  <si>
    <t>DEP-A0-2358</t>
  </si>
  <si>
    <t>DEP-A0-2359</t>
  </si>
  <si>
    <t>DEP-A0-2360</t>
  </si>
  <si>
    <t>DEP-A0-2361</t>
  </si>
  <si>
    <t>DEP-A0-2362</t>
  </si>
  <si>
    <t>DEP-A0-2363</t>
  </si>
  <si>
    <t>DEP-A0-2364</t>
  </si>
  <si>
    <t>DEP-A0-2365</t>
  </si>
  <si>
    <t>DEP-A0-2366</t>
  </si>
  <si>
    <t>DEP-A0-2367</t>
  </si>
  <si>
    <t>DEP-A0-2368</t>
  </si>
  <si>
    <t>DEP-A0-2369</t>
  </si>
  <si>
    <t>DEP-A0-2370</t>
  </si>
  <si>
    <t>DEP-A0-2371</t>
  </si>
  <si>
    <t>DEP-A0-2372</t>
  </si>
  <si>
    <t>DEP-A0-2373</t>
  </si>
  <si>
    <t>DEP-A0-2374</t>
  </si>
  <si>
    <t>DEP-A0-2375</t>
  </si>
  <si>
    <t>DEP-A0-2376</t>
  </si>
  <si>
    <t>DEP-A0-2377</t>
  </si>
  <si>
    <t>DEP-A0-2378</t>
  </si>
  <si>
    <t>DEP-A0-2379</t>
  </si>
  <si>
    <t>DEP-A0-2380</t>
  </si>
  <si>
    <t>DEP-A0-2381</t>
  </si>
  <si>
    <t>DEP-A0-2382</t>
  </si>
  <si>
    <t>DEP-A0-2383</t>
  </si>
  <si>
    <t>DEP-A0-2384</t>
  </si>
  <si>
    <t>DEP-A0-2385</t>
  </si>
  <si>
    <t>DEP-A0-2386</t>
  </si>
  <si>
    <t>DEP-A0-2387</t>
  </si>
  <si>
    <t>DEP-A0-2388</t>
  </si>
  <si>
    <t>DEP-A0-2389</t>
  </si>
  <si>
    <t>DEP-A0-2390</t>
  </si>
  <si>
    <t>DEP-A0-2391</t>
  </si>
  <si>
    <t>DEP-A0-2392</t>
  </si>
  <si>
    <t>DEP-A0-2393</t>
  </si>
  <si>
    <t>DEP-A0-2394</t>
  </si>
  <si>
    <t>DEP-A0-2395</t>
  </si>
  <si>
    <t>DEP-A0-2396</t>
  </si>
  <si>
    <t>DEP-A0-2397</t>
  </si>
  <si>
    <t>DEP-A0-2398</t>
  </si>
  <si>
    <t>DEP-A0-2399</t>
  </si>
  <si>
    <t>DEP-A0-2400</t>
  </si>
  <si>
    <t>DEP-A0-2401</t>
  </si>
  <si>
    <t>DEP-A0-2402</t>
  </si>
  <si>
    <t>DEP-A0-2403</t>
  </si>
  <si>
    <t>DEP-A0-2404</t>
  </si>
  <si>
    <t>DEP-A0-2405</t>
  </si>
  <si>
    <t>DEP-A0-2406</t>
  </si>
  <si>
    <t>DEP-A0-2407</t>
  </si>
  <si>
    <t>DEP-A0-2408</t>
  </si>
  <si>
    <t>DEP-A0-2409</t>
  </si>
  <si>
    <t>DEP-A0-2410</t>
  </si>
  <si>
    <t>DEP-A0-2411</t>
  </si>
  <si>
    <t>DEP-A0-2412</t>
  </si>
  <si>
    <t>DEP-A0-2413</t>
  </si>
  <si>
    <t>DEP-A0-2414</t>
  </si>
  <si>
    <t>DEP-A0-2415</t>
  </si>
  <si>
    <t>DEP-A0-2416</t>
  </si>
  <si>
    <t>DEP-A0-2417</t>
  </si>
  <si>
    <t>DEP-A0-2418</t>
  </si>
  <si>
    <t>DEP-A0-2419</t>
  </si>
  <si>
    <t>DEP-A0-2420</t>
  </si>
  <si>
    <t>DEP-A0-2421</t>
  </si>
  <si>
    <t>DEP-A0-2422</t>
  </si>
  <si>
    <t>DEP-A0-2423</t>
  </si>
  <si>
    <t>DEP-A0-2424</t>
  </si>
  <si>
    <t>DEP-A0-2425</t>
  </si>
  <si>
    <t>DEP-A0-2426</t>
  </si>
  <si>
    <t>DEP-A0-2427</t>
  </si>
  <si>
    <t>DEP-A0-2428</t>
  </si>
  <si>
    <t>DEP-A0-2429</t>
  </si>
  <si>
    <t>DEP-A0-2430</t>
  </si>
  <si>
    <t>DEP-A0-2431</t>
  </si>
  <si>
    <t>DEP-A0-2432</t>
  </si>
  <si>
    <t>DEP-A0-2433</t>
  </si>
  <si>
    <t>DEP-A0-2434</t>
  </si>
  <si>
    <t>DEP-A0-2435</t>
  </si>
  <si>
    <t>DEP-A0-2436</t>
  </si>
  <si>
    <t>DEP-A0-2437</t>
  </si>
  <si>
    <t>DEP-A0-2438</t>
  </si>
  <si>
    <t>DEP-A0-2439</t>
  </si>
  <si>
    <t>DEP-A0-2440</t>
  </si>
  <si>
    <t>DEP-A0-2441</t>
  </si>
  <si>
    <t>DEP-A0-2442</t>
  </si>
  <si>
    <t>DEP-A0-2443</t>
  </si>
  <si>
    <t>DEP-A0-2444</t>
  </si>
  <si>
    <t>DEP-A0-2445</t>
  </si>
  <si>
    <t>DEP-A0-2446</t>
  </si>
  <si>
    <t>DEP-A0-2447</t>
  </si>
  <si>
    <t>DEP-A0-2448</t>
  </si>
  <si>
    <t>DEP-A0-2449</t>
  </si>
  <si>
    <t>DEP-A0-2450</t>
  </si>
  <si>
    <t>DEP-A0-2451</t>
  </si>
  <si>
    <t>DEP-A0-2452</t>
  </si>
  <si>
    <t>DEP-A0-2453</t>
  </si>
  <si>
    <t>DEP-A0-2454</t>
  </si>
  <si>
    <t>DEP-A0-2455</t>
  </si>
  <si>
    <t>DEP-A0-2456</t>
  </si>
  <si>
    <t>DEP-A0-2457</t>
  </si>
  <si>
    <t>DEP-A0-2458</t>
  </si>
  <si>
    <t>DEP-A0-2459</t>
  </si>
  <si>
    <t>DEP-A0-2460</t>
  </si>
  <si>
    <t>DEP-A0-2461</t>
  </si>
  <si>
    <t>DEP-A0-2462</t>
  </si>
  <si>
    <t>DEP-A0-2463</t>
  </si>
  <si>
    <t>DEP-A0-2464</t>
  </si>
  <si>
    <t>DEP-A0-2465</t>
  </si>
  <si>
    <t>DEP-A0-2466</t>
  </si>
  <si>
    <t>DEP-A0-2467</t>
  </si>
  <si>
    <t>DEP-A0-2468</t>
  </si>
  <si>
    <t>DEP-A0-2469</t>
  </si>
  <si>
    <t>DEP-A0-2470</t>
  </si>
  <si>
    <t>DEP-A0-2471</t>
  </si>
  <si>
    <t>DEP-A0-2472</t>
  </si>
  <si>
    <t>DEP-A0-2473</t>
  </si>
  <si>
    <t>DEP-A0-2474</t>
  </si>
  <si>
    <t>DEP-A0-2475</t>
  </si>
  <si>
    <t>DEP-A0-2476</t>
  </si>
  <si>
    <t>DEP-A0-2477</t>
  </si>
  <si>
    <t>DEP-A0-2478</t>
  </si>
  <si>
    <t>DEP-A0-2479</t>
  </si>
  <si>
    <t>DEP-A0-2480</t>
  </si>
  <si>
    <t>DEP-A0-2481</t>
  </si>
  <si>
    <t>DEP-A0-2482</t>
  </si>
  <si>
    <t>DEP-A0-2483</t>
  </si>
  <si>
    <t>DEP-A0-2484</t>
  </si>
  <si>
    <t>DEP-A0-2485</t>
  </si>
  <si>
    <t>DEP-A0-2486</t>
  </si>
  <si>
    <t>DEP-A0-2487</t>
  </si>
  <si>
    <t>DEP-A0-2488</t>
  </si>
  <si>
    <t>DEP-A0-2489</t>
  </si>
  <si>
    <t>DEP-A0-2490</t>
  </si>
  <si>
    <t>DEP-A0-2491</t>
  </si>
  <si>
    <t>DEP-A0-2492</t>
  </si>
  <si>
    <t>DEP-A0-2493</t>
  </si>
  <si>
    <t>DEP-A0-2494</t>
  </si>
  <si>
    <t>DEP-A0-2495</t>
  </si>
  <si>
    <t>DEP-A0-2496</t>
  </si>
  <si>
    <t>DEP-A0-2497</t>
  </si>
  <si>
    <t>DEP-A0-2498</t>
  </si>
  <si>
    <t>DEP-A0-2499</t>
  </si>
  <si>
    <t>DEP-A0-2500</t>
  </si>
  <si>
    <t>DEP-A0-2501</t>
  </si>
  <si>
    <t>DEP-A0-2502</t>
  </si>
  <si>
    <t>DEP-A0-2503</t>
  </si>
  <si>
    <t>DEP-A0-2504</t>
  </si>
  <si>
    <t>DEP-A0-2505</t>
  </si>
  <si>
    <t>DEP-A0-2506</t>
  </si>
  <si>
    <t>DEP-A0-2507</t>
  </si>
  <si>
    <t>DEP-A0-2508</t>
  </si>
  <si>
    <t>DEP-A0-2509</t>
  </si>
  <si>
    <t>DEP-A0-2510</t>
  </si>
  <si>
    <t>DEP-A0-2511</t>
  </si>
  <si>
    <t>DEP-A0-2512</t>
  </si>
  <si>
    <t>DEP-A0-2513</t>
  </si>
  <si>
    <t>DEP-A0-2514</t>
  </si>
  <si>
    <t>DEP-A0-2515</t>
  </si>
  <si>
    <t>DEP-A0-2516</t>
  </si>
  <si>
    <t>DEP-A0-2517</t>
  </si>
  <si>
    <t>DEP-A0-2518</t>
  </si>
  <si>
    <t>DEP-A0-2519</t>
  </si>
  <si>
    <t>DEP-A0-2520</t>
  </si>
  <si>
    <t>DEP-A0-2521</t>
  </si>
  <si>
    <t>DEP-A0-2522</t>
  </si>
  <si>
    <t>DEP-A0-2523</t>
  </si>
  <si>
    <t>DEP-A0-2524</t>
  </si>
  <si>
    <t>DEP-A0-2525</t>
  </si>
  <si>
    <t>DEP-A0-2526</t>
  </si>
  <si>
    <t>DEP-A0-2527</t>
  </si>
  <si>
    <t>DEP-A0-2528</t>
  </si>
  <si>
    <t>DEP-A0-2529</t>
  </si>
  <si>
    <t>DEP-A0-2530</t>
  </si>
  <si>
    <t>DEP-A0-2531</t>
  </si>
  <si>
    <t>DEP-A0-2532</t>
  </si>
  <si>
    <t>DEP-A0-2533</t>
  </si>
  <si>
    <t>DEP-A0-2534</t>
  </si>
  <si>
    <t>DEP-A0-2535</t>
  </si>
  <si>
    <t>DEP-A0-2536</t>
  </si>
  <si>
    <t>DEP-A0-2537</t>
  </si>
  <si>
    <t>DEP-A0-2538</t>
  </si>
  <si>
    <t>DEP-A0-2539</t>
  </si>
  <si>
    <t>DEP-A0-2540</t>
  </si>
  <si>
    <t>DEP-A0-2541</t>
  </si>
  <si>
    <t>DEP-A0-2542</t>
  </si>
  <si>
    <t>DEP-A0-2543</t>
  </si>
  <si>
    <t>DEP-A0-2544</t>
  </si>
  <si>
    <t>DEP-A0-2545</t>
  </si>
  <si>
    <t>DEP-A0-2546</t>
  </si>
  <si>
    <t>DEP-A0-2547</t>
  </si>
  <si>
    <t>DEP-A0-2548</t>
  </si>
  <si>
    <t>DEP-A0-2549</t>
  </si>
  <si>
    <t>DEP-A0-2550</t>
  </si>
  <si>
    <t>DEP-A0-2551</t>
  </si>
  <si>
    <t>DEP-A0-2552</t>
  </si>
  <si>
    <t>DEP-A0-2553</t>
  </si>
  <si>
    <t>DEP-A0-2554</t>
  </si>
  <si>
    <t>DEP-A0-2555</t>
  </si>
  <si>
    <t>DEP-A0-2556</t>
  </si>
  <si>
    <t>DEP-A0-2557</t>
  </si>
  <si>
    <t>DEP-A0-2558</t>
  </si>
  <si>
    <t>DEP-A0-2559</t>
  </si>
  <si>
    <t>DEP-A0-2560</t>
  </si>
  <si>
    <t>DEP-A0-2561</t>
  </si>
  <si>
    <t>DEP-A0-2562</t>
  </si>
  <si>
    <t>DEP-A0-2563</t>
  </si>
  <si>
    <t>DEP-A0-2564</t>
  </si>
  <si>
    <t>DEP-A0-2565</t>
  </si>
  <si>
    <t>DEP-A0-2566</t>
  </si>
  <si>
    <t>DEP-A0-2567</t>
  </si>
  <si>
    <t>DEP-A0-2568</t>
  </si>
  <si>
    <t>DEP-A0-2569</t>
  </si>
  <si>
    <t>DEP-A0-2570</t>
  </si>
  <si>
    <t>DEP-A0-2571</t>
  </si>
  <si>
    <t>DEP-A0-2572</t>
  </si>
  <si>
    <t>DEP-A0-2573</t>
  </si>
  <si>
    <t>DEP-A0-2574</t>
  </si>
  <si>
    <t>DEP-A0-2575</t>
  </si>
  <si>
    <t>DEP-A0-2576</t>
  </si>
  <si>
    <t>DEP-A0-2577</t>
  </si>
  <si>
    <t>DEP-A0-2578</t>
  </si>
  <si>
    <t>DEP-A0-2579</t>
  </si>
  <si>
    <t>DEP-A0-2580</t>
  </si>
  <si>
    <t>DEP-A0-2581</t>
  </si>
  <si>
    <t>DEP-A0-2582</t>
  </si>
  <si>
    <t>DEP-A0-2583</t>
  </si>
  <si>
    <t>DEP-A0-2584</t>
  </si>
  <si>
    <t>DEP-A0-2585</t>
  </si>
  <si>
    <t>DEP-A0-2586</t>
  </si>
  <si>
    <t>DEP-A0-2587</t>
  </si>
  <si>
    <t>DEP-A0-2588</t>
  </si>
  <si>
    <t>DEP-A0-2589</t>
  </si>
  <si>
    <t>DEP-A0-2590</t>
  </si>
  <si>
    <t>DEP-A0-2591</t>
  </si>
  <si>
    <t>DEP-A0-2592</t>
  </si>
  <si>
    <t>DEP-A0-2593</t>
  </si>
  <si>
    <t>DEP-A0-2594</t>
  </si>
  <si>
    <t>DEP-A0-2595</t>
  </si>
  <si>
    <t>DEP-A0-2596</t>
  </si>
  <si>
    <t>DEP-A0-2597</t>
  </si>
  <si>
    <t>DEP-A0-2598</t>
  </si>
  <si>
    <t>DEP-A0-2599</t>
  </si>
  <si>
    <t>DEP-A0-2600</t>
  </si>
  <si>
    <t>DEP-A0-2601</t>
  </si>
  <si>
    <t>DEP-A0-2602</t>
  </si>
  <si>
    <t>DEP-A0-2603</t>
  </si>
  <si>
    <t>DEP-A0-2604</t>
  </si>
  <si>
    <t>DEP-A0-2605</t>
  </si>
  <si>
    <t>DEP-A0-2606</t>
  </si>
  <si>
    <t>DEP-A0-2607</t>
  </si>
  <si>
    <t>DEP-A0-2608</t>
  </si>
  <si>
    <t>DEP-A0-2609</t>
  </si>
  <si>
    <t>DEP-A0-2610</t>
  </si>
  <si>
    <t>DEP-A0-2611</t>
  </si>
  <si>
    <t>DEP-A0-2612</t>
  </si>
  <si>
    <t>DEP-A0-2613</t>
  </si>
  <si>
    <t>DEP-A0-2614</t>
  </si>
  <si>
    <t>DEP-A0-2615</t>
  </si>
  <si>
    <t>DEP-A0-2616</t>
  </si>
  <si>
    <t>DEP-A0-2617</t>
  </si>
  <si>
    <t>DEP-A0-2618</t>
  </si>
  <si>
    <t>DEP-A0-2619</t>
  </si>
  <si>
    <t>DEP-A0-2620</t>
  </si>
  <si>
    <t>DEP-A0-2621</t>
  </si>
  <si>
    <t>DEP-A0-2622</t>
  </si>
  <si>
    <t>DEP-A0-2623</t>
  </si>
  <si>
    <t>DEP-A0-2624</t>
  </si>
  <si>
    <t>DEP-A0-2625</t>
  </si>
  <si>
    <t>DEP-A0-2626</t>
  </si>
  <si>
    <t>DEP-A0-2627</t>
  </si>
  <si>
    <t>DEP-A0-2628</t>
  </si>
  <si>
    <t>DEP-A0-2629</t>
  </si>
  <si>
    <t>DEP-A0-2630</t>
  </si>
  <si>
    <t>DEP-A0-2631</t>
  </si>
  <si>
    <t>DEP-A0-2632</t>
  </si>
  <si>
    <t>DEP-A0-2633</t>
  </si>
  <si>
    <t>DEP-A0-2634</t>
  </si>
  <si>
    <t>DEP-A0-2635</t>
  </si>
  <si>
    <t>DEP-A0-2636</t>
  </si>
  <si>
    <t>DEP-A0-2637</t>
  </si>
  <si>
    <t>DEP-A0-2638</t>
  </si>
  <si>
    <t>DEP-A0-2639</t>
  </si>
  <si>
    <t>DEP-A0-2640</t>
  </si>
  <si>
    <t>DEP-A0-2641</t>
  </si>
  <si>
    <t>DEP-A0-2642</t>
  </si>
  <si>
    <t>DEP-A0-2643</t>
  </si>
  <si>
    <t>DEP-A0-2644</t>
  </si>
  <si>
    <t>DEP-A0-2645</t>
  </si>
  <si>
    <t>DEP-A0-2646</t>
  </si>
  <si>
    <t>DEP-A0-2647</t>
  </si>
  <si>
    <t>DEP-A0-2648</t>
  </si>
  <si>
    <t>DEP-A0-2649</t>
  </si>
  <si>
    <t>DEP-A0-2650</t>
  </si>
  <si>
    <t>DEP-A0-2651</t>
  </si>
  <si>
    <t>DEP-A0-2652</t>
  </si>
  <si>
    <t>DEP-A0-2653</t>
  </si>
  <si>
    <t>DEP-A0-2654</t>
  </si>
  <si>
    <t>DEP-A0-2655</t>
  </si>
  <si>
    <t>DEP-A0-2656</t>
  </si>
  <si>
    <t>DEP-A0-2657</t>
  </si>
  <si>
    <t>DEP-A0-2658</t>
  </si>
  <si>
    <t>DEP-A0-2659</t>
  </si>
  <si>
    <t>DEP-A0-2660</t>
  </si>
  <si>
    <t>DEP-A0-2661</t>
  </si>
  <si>
    <t>DEP-A0-2662</t>
  </si>
  <si>
    <t>DEP-A0-2663</t>
  </si>
  <si>
    <t>DEP-A0-2664</t>
  </si>
  <si>
    <t>DEP-A0-2665</t>
  </si>
  <si>
    <t>DEP-A0-2666</t>
  </si>
  <si>
    <t>DEP-A0-2667</t>
  </si>
  <si>
    <t>DEP-A0-2668</t>
  </si>
  <si>
    <t>DEP-A0-2669</t>
  </si>
  <si>
    <t>DEP-A0-2670</t>
  </si>
  <si>
    <t>DEP-A0-2671</t>
  </si>
  <si>
    <t>DEP-A0-2672</t>
  </si>
  <si>
    <t>DEP-A0-2673</t>
  </si>
  <si>
    <t>DEP-A0-2674</t>
  </si>
  <si>
    <t>DEP-A0-2675</t>
  </si>
  <si>
    <t>DEP-A0-2676</t>
  </si>
  <si>
    <t>DEP-A0-2677</t>
  </si>
  <si>
    <t>DEP-A0-2678</t>
  </si>
  <si>
    <t>DEP-A0-2679</t>
  </si>
  <si>
    <t>DEP-A0-2680</t>
  </si>
  <si>
    <t>DEP-A0-2681</t>
  </si>
  <si>
    <t>DEP-A0-2682</t>
  </si>
  <si>
    <t>DEP-A0-2683</t>
  </si>
  <si>
    <t>DEP-A0-2684</t>
  </si>
  <si>
    <t>DEP-A0-2685</t>
  </si>
  <si>
    <t>DEP-A0-2686</t>
  </si>
  <si>
    <t>DEP-A0-2687</t>
  </si>
  <si>
    <t>DEP-A0-2688</t>
  </si>
  <si>
    <t>DEP-A0-2689</t>
  </si>
  <si>
    <t>DEP-A0-2690</t>
  </si>
  <si>
    <t>DEP-A0-2691</t>
  </si>
  <si>
    <t>DEP-A0-2692</t>
  </si>
  <si>
    <t>DEP-A0-2693</t>
  </si>
  <si>
    <t>DEP-A0-2694</t>
  </si>
  <si>
    <t>DEP-A0-2695</t>
  </si>
  <si>
    <t>DEP-A0-2696</t>
  </si>
  <si>
    <t>DEP-A0-2697</t>
  </si>
  <si>
    <t>DEP-A0-2698</t>
  </si>
  <si>
    <t>DEP-A0-2699</t>
  </si>
  <si>
    <t>DEP-A0-2700</t>
  </si>
  <si>
    <t>DEP-A0-2701</t>
  </si>
  <si>
    <t>DEP-A0-2702</t>
  </si>
  <si>
    <t>DEP-A0-2703</t>
  </si>
  <si>
    <t>DEP-A0-2704</t>
  </si>
  <si>
    <t>DEP-A0-2705</t>
  </si>
  <si>
    <t>DEP-A0-2706</t>
  </si>
  <si>
    <t>DEP-A0-2707</t>
  </si>
  <si>
    <t>DEP-A0-2708</t>
  </si>
  <si>
    <t>DEP-A0-2709</t>
  </si>
  <si>
    <t>DEP-A0-2710</t>
  </si>
  <si>
    <t>DEP-A0-2711</t>
  </si>
  <si>
    <t>DEP-A0-2712</t>
  </si>
  <si>
    <t>DEP-A0-2713</t>
  </si>
  <si>
    <t>DEP-A0-2714</t>
  </si>
  <si>
    <t>DEP-A0-2715</t>
  </si>
  <si>
    <t>DEP-A0-2716</t>
  </si>
  <si>
    <t>DEP-A0-2717</t>
  </si>
  <si>
    <t>DEP-A0-2718</t>
  </si>
  <si>
    <t>DEP-A0-2719</t>
  </si>
  <si>
    <t>DEP-A0-2720</t>
  </si>
  <si>
    <t>DEP-A0-2721</t>
  </si>
  <si>
    <t>DEP-A0-2722</t>
  </si>
  <si>
    <t>DEP-A0-2723</t>
  </si>
  <si>
    <t>DEP-A0-2724</t>
  </si>
  <si>
    <t>DEP-A0-2725</t>
  </si>
  <si>
    <t>DEP-A0-2726</t>
  </si>
  <si>
    <t>DEP-A0-2727</t>
  </si>
  <si>
    <t>DEP-A0-2728</t>
  </si>
  <si>
    <t>DEP-A0-2729</t>
  </si>
  <si>
    <t>DEP-A0-2730</t>
  </si>
  <si>
    <t>DEP-A0-2731</t>
  </si>
  <si>
    <t>DEP-A0-2732</t>
  </si>
  <si>
    <t>DEP-A0-2733</t>
  </si>
  <si>
    <t>DEP-A0-2734</t>
  </si>
  <si>
    <t>DEP-A0-2735</t>
  </si>
  <si>
    <t>DEP-A0-2736</t>
  </si>
  <si>
    <t>DEP-A0-2737</t>
  </si>
  <si>
    <t>DEP-A0-2738</t>
  </si>
  <si>
    <t>DEP-A0-2739</t>
  </si>
  <si>
    <t>DEP-A0-2740</t>
  </si>
  <si>
    <t>DEP-A0-2741</t>
  </si>
  <si>
    <t>DEP-A0-2742</t>
  </si>
  <si>
    <t>DEP-A0-2743</t>
  </si>
  <si>
    <t>DEP-A0-2744</t>
  </si>
  <si>
    <t>DEP-A0-2745</t>
  </si>
  <si>
    <t>DEP-A0-2746</t>
  </si>
  <si>
    <t>DEP-A0-2747</t>
  </si>
  <si>
    <t>DEP-A0-2748</t>
  </si>
  <si>
    <t>DEP-A0-2749</t>
  </si>
  <si>
    <t>DEP-A0-2750</t>
  </si>
  <si>
    <t>DEP-A0-2751</t>
  </si>
  <si>
    <t>DEP-A0-2752</t>
  </si>
  <si>
    <t>DEP-A0-2753</t>
  </si>
  <si>
    <t>DEP-A0-2754</t>
  </si>
  <si>
    <t>DEP-A0-2755</t>
  </si>
  <si>
    <t>DEP-A0-2756</t>
  </si>
  <si>
    <t>DEP-A0-2757</t>
  </si>
  <si>
    <t>DEP-A0-2758</t>
  </si>
  <si>
    <t>DEP-A0-2759</t>
  </si>
  <si>
    <t>DEP-A0-2760</t>
  </si>
  <si>
    <t>DEP-A0-2761</t>
  </si>
  <si>
    <t>DEP-A0-2762</t>
  </si>
  <si>
    <t>DEP-A0-2763</t>
  </si>
  <si>
    <t>DEP-A0-2764</t>
  </si>
  <si>
    <t>DEP-A0-2765</t>
  </si>
  <si>
    <t>DEP-A0-2766</t>
  </si>
  <si>
    <t>DEP-A0-2767</t>
  </si>
  <si>
    <t>DEP-A0-2768</t>
  </si>
  <si>
    <t>DEP-A0-2769</t>
  </si>
  <si>
    <t>DEP-A0-2770</t>
  </si>
  <si>
    <t>DEP-A0-2771</t>
  </si>
  <si>
    <t>DEP-A0-2772</t>
  </si>
  <si>
    <t>DEP-A0-2773</t>
  </si>
  <si>
    <t>DEP-A0-2774</t>
  </si>
  <si>
    <t>DEP-A0-2775</t>
  </si>
  <si>
    <t>DEP-A0-2776</t>
  </si>
  <si>
    <t>DEP-A0-2777</t>
  </si>
  <si>
    <t>DEP-A0-2778</t>
  </si>
  <si>
    <t>DEP-A0-2779</t>
  </si>
  <si>
    <t>DEP-A0-2780</t>
  </si>
  <si>
    <t>DEP-A0-2781</t>
  </si>
  <si>
    <t>DEP-A0-2782</t>
  </si>
  <si>
    <t>DEP-A0-2783</t>
  </si>
  <si>
    <t>DEP-A0-2784</t>
  </si>
  <si>
    <t>DEP-A0-2785</t>
  </si>
  <si>
    <t>DEP-A0-2786</t>
  </si>
  <si>
    <t>DEP-A0-2787</t>
  </si>
  <si>
    <t>DEP-A0-2788</t>
  </si>
  <si>
    <t>DEP-A0-2789</t>
  </si>
  <si>
    <t>DEP-A0-2790</t>
  </si>
  <si>
    <t>DEP-A0-2791</t>
  </si>
  <si>
    <t>DEP-A0-2792</t>
  </si>
  <si>
    <t>DEP-A0-2793</t>
  </si>
  <si>
    <t>DEP-A0-2794</t>
  </si>
  <si>
    <t>DEP-A0-2795</t>
  </si>
  <si>
    <t>DEP-A0-2796</t>
  </si>
  <si>
    <t>DEP-A0-2797</t>
  </si>
  <si>
    <t>DEP-A0-2798</t>
  </si>
  <si>
    <t>DEP-A0-2799</t>
  </si>
  <si>
    <t>DEP-A0-2800</t>
  </si>
  <si>
    <t>DEP-A0-2801</t>
  </si>
  <si>
    <t>DEP-A0-2802</t>
  </si>
  <si>
    <t>DEP-A0-2803</t>
  </si>
  <si>
    <t>DEP-A0-2804</t>
  </si>
  <si>
    <t>DEP-A0-2805</t>
  </si>
  <si>
    <t>DEP-A0-2806</t>
  </si>
  <si>
    <t>DEP-A0-2807</t>
  </si>
  <si>
    <t>DEP-A0-2808</t>
  </si>
  <si>
    <t>DEP-A0-2809</t>
  </si>
  <si>
    <t>DEP-A0-2810</t>
  </si>
  <si>
    <t>DEP-A0-2811</t>
  </si>
  <si>
    <t>DEP-A0-2812</t>
  </si>
  <si>
    <t>DEP-A0-2813</t>
  </si>
  <si>
    <t>DEP-A0-2814</t>
  </si>
  <si>
    <t>DEP-A0-2815</t>
  </si>
  <si>
    <t>DEP-A0-2816</t>
  </si>
  <si>
    <t>DEP-A0-2817</t>
  </si>
  <si>
    <t>DEP-A0-2818</t>
  </si>
  <si>
    <t>DEP-A0-2819</t>
  </si>
  <si>
    <t>DEP-A0-2820</t>
  </si>
  <si>
    <t>DEP-A0-2821</t>
  </si>
  <si>
    <t>DEP-A0-2822</t>
  </si>
  <si>
    <t>DEP-A0-2823</t>
  </si>
  <si>
    <t>DEP-A0-2824</t>
  </si>
  <si>
    <t>DEP-A0-2825</t>
  </si>
  <si>
    <t>DEP-A0-2826</t>
  </si>
  <si>
    <t>DEP-A0-2827</t>
  </si>
  <si>
    <t>DEP-A0-2828</t>
  </si>
  <si>
    <t>DEP-A0-2829</t>
  </si>
  <si>
    <t>DEP-A0-2830</t>
  </si>
  <si>
    <t>DEP-A0-2831</t>
  </si>
  <si>
    <t>DEP-A0-2832</t>
  </si>
  <si>
    <t>DEP-A0-2833</t>
  </si>
  <si>
    <t>DEP-A0-2834</t>
  </si>
  <si>
    <t>DEP-A0-2835</t>
  </si>
  <si>
    <t>DEP-A0-2836</t>
  </si>
  <si>
    <t>DEP-A0-2837</t>
  </si>
  <si>
    <t>DEP-A0-2838</t>
  </si>
  <si>
    <t>DEP-A0-2839</t>
  </si>
  <si>
    <t>DEP-A0-2840</t>
  </si>
  <si>
    <t>DEP-A0-2841</t>
  </si>
  <si>
    <t>DEP-A0-2842</t>
  </si>
  <si>
    <t>DEP-A0-2843</t>
  </si>
  <si>
    <t>DEP-A0-2844</t>
  </si>
  <si>
    <t>DEP-A0-2845</t>
  </si>
  <si>
    <t>DEP-A0-2846</t>
  </si>
  <si>
    <t>DEP-A0-2847</t>
  </si>
  <si>
    <t>DEP-A0-2848</t>
  </si>
  <si>
    <t>DEP-A0-2849</t>
  </si>
  <si>
    <t>DEP-A0-2850</t>
  </si>
  <si>
    <t>DEP-A0-2851</t>
  </si>
  <si>
    <t>DEP-A0-2852</t>
  </si>
  <si>
    <t>DEP-A0-2853</t>
  </si>
  <si>
    <t>DEP-A0-2854</t>
  </si>
  <si>
    <t>DEP-A0-2855</t>
  </si>
  <si>
    <t>DEP-A0-2856</t>
  </si>
  <si>
    <t>DEP-A0-2857</t>
  </si>
  <si>
    <t>DEP-A0-2858</t>
  </si>
  <si>
    <t>DEP-A0-2859</t>
  </si>
  <si>
    <t>DEP-A0-2860</t>
  </si>
  <si>
    <t>DEP-A0-2861</t>
  </si>
  <si>
    <t>DEP-A0-2862</t>
  </si>
  <si>
    <t>DEP-A0-2863</t>
  </si>
  <si>
    <t>DEP-A0-2864</t>
  </si>
  <si>
    <t>DEP-A0-2865</t>
  </si>
  <si>
    <t>DEP-A0-2866</t>
  </si>
  <si>
    <t>DEP-A0-2867</t>
  </si>
  <si>
    <t>DEP-A0-2868</t>
  </si>
  <si>
    <t>DEP-A0-2869</t>
  </si>
  <si>
    <t>DEP-A0-2870</t>
  </si>
  <si>
    <t>DEP-A0-2871</t>
  </si>
  <si>
    <t>DEP-A0-2872</t>
  </si>
  <si>
    <t>DEP-A0-2873</t>
  </si>
  <si>
    <t>DEP-A0-2874</t>
  </si>
  <si>
    <t>DEP-A0-2875</t>
  </si>
  <si>
    <t>DEP-A0-2876</t>
  </si>
  <si>
    <t>DEP-A0-2877</t>
  </si>
  <si>
    <t>DEP-A0-2878</t>
  </si>
  <si>
    <t>DEP-A0-2879</t>
  </si>
  <si>
    <t>DEP-A0-2880</t>
  </si>
  <si>
    <t>DEP-A0-2881</t>
  </si>
  <si>
    <t>DEP-A0-2882</t>
  </si>
  <si>
    <t>DEP-A0-2883</t>
  </si>
  <si>
    <t>DEP-A0-2884</t>
  </si>
  <si>
    <t>DEP-A0-2885</t>
  </si>
  <si>
    <t>DEP-A0-2886</t>
  </si>
  <si>
    <t>DEP-A0-2887</t>
  </si>
  <si>
    <t>DEP-A0-2888</t>
  </si>
  <si>
    <t>DEP-A0-2889</t>
  </si>
  <si>
    <t>DEP-A0-2890</t>
  </si>
  <si>
    <t>DEP-A0-2891</t>
  </si>
  <si>
    <t>DEP-A0-2892</t>
  </si>
  <si>
    <t>DEP-A0-2893</t>
  </si>
  <si>
    <t>DEP-A0-2894</t>
  </si>
  <si>
    <t>DEP-A0-2895</t>
  </si>
  <si>
    <t>DEP-A0-2896</t>
  </si>
  <si>
    <t>DEP-A0-2897</t>
  </si>
  <si>
    <t>DEP-A0-2898</t>
  </si>
  <si>
    <t>DEP-A0-2899</t>
  </si>
  <si>
    <t>DEP-A0-2900</t>
  </si>
  <si>
    <t>DEP-A0-2901</t>
  </si>
  <si>
    <t>DEP-A0-2902</t>
  </si>
  <si>
    <t>DEP-A0-2903</t>
  </si>
  <si>
    <t>DEP-A0-2904</t>
  </si>
  <si>
    <t>DEP-A0-2905</t>
  </si>
  <si>
    <t>DEP-A0-2906</t>
  </si>
  <si>
    <t>DEP-A0-2907</t>
  </si>
  <si>
    <t>DEP-A0-2908</t>
  </si>
  <si>
    <t>DEP-A0-2909</t>
  </si>
  <si>
    <t>DEP-A0-2910</t>
  </si>
  <si>
    <t>DEP-A0-2911</t>
  </si>
  <si>
    <t>DEP-A0-2912</t>
  </si>
  <si>
    <t>DEP-A0-2913</t>
  </si>
  <si>
    <t>DEP-A0-2914</t>
  </si>
  <si>
    <t>DEP-A0-2915</t>
  </si>
  <si>
    <t>DEP-A0-2916</t>
  </si>
  <si>
    <t>DEP-A0-2917</t>
  </si>
  <si>
    <t>DEP-A0-2918</t>
  </si>
  <si>
    <t>DEP-A0-2919</t>
  </si>
  <si>
    <t>DEP-A0-2920</t>
  </si>
  <si>
    <t>DEP-A0-2921</t>
  </si>
  <si>
    <t>DEP-A0-2922</t>
  </si>
  <si>
    <t>DEP-A0-2923</t>
  </si>
  <si>
    <t>DEP-A0-2924</t>
  </si>
  <si>
    <t>DEP-A0-2925</t>
  </si>
  <si>
    <t>DEP-A0-2926</t>
  </si>
  <si>
    <t>DEP-A0-2927</t>
  </si>
  <si>
    <t>DEP-A0-2928</t>
  </si>
  <si>
    <t>DEP-A0-2929</t>
  </si>
  <si>
    <t>DEP-A0-2930</t>
  </si>
  <si>
    <t>DEP-A0-2931</t>
  </si>
  <si>
    <t>DEP-A0-2932</t>
  </si>
  <si>
    <t>DEP-A0-2933</t>
  </si>
  <si>
    <t>DEP-A0-2934</t>
  </si>
  <si>
    <t>DEP-A0-2935</t>
  </si>
  <si>
    <t>DEP-A0-2936</t>
  </si>
  <si>
    <t>DEP-A0-2937</t>
  </si>
  <si>
    <t>DEP-A0-2938</t>
  </si>
  <si>
    <t>DEP-A0-2939</t>
  </si>
  <si>
    <t>DEP-A0-2940</t>
  </si>
  <si>
    <t>DEP-A0-2941</t>
  </si>
  <si>
    <t>DEP-A0-2942</t>
  </si>
  <si>
    <t>DEP-A0-2943</t>
  </si>
  <si>
    <t>DEP-A0-2944</t>
  </si>
  <si>
    <t>DEP-A0-2945</t>
  </si>
  <si>
    <t>DEP-A0-2946</t>
  </si>
  <si>
    <t>DEP-A0-2947</t>
  </si>
  <si>
    <t>DEP-A0-2948</t>
  </si>
  <si>
    <t>DEP-A0-2949</t>
  </si>
  <si>
    <t>DEP-A0-2950</t>
  </si>
  <si>
    <t>DEP-A0-2951</t>
  </si>
  <si>
    <t>DEP-A0-2952</t>
  </si>
  <si>
    <t>DEP-A0-2953</t>
  </si>
  <si>
    <t>DEP-A0-2954</t>
  </si>
  <si>
    <t>DEP-A0-2955</t>
  </si>
  <si>
    <t>DEP-A0-2956</t>
  </si>
  <si>
    <t>DEP-A0-2957</t>
  </si>
  <si>
    <t>DEP-A0-2958</t>
  </si>
  <si>
    <t>DEP-A0-2959</t>
  </si>
  <si>
    <t>DEP-A0-2960</t>
  </si>
  <si>
    <t>DEP-A0-2961</t>
  </si>
  <si>
    <t>DEP-A0-2962</t>
  </si>
  <si>
    <t>DEP-A0-2963</t>
  </si>
  <si>
    <t>DEP-A0-2964</t>
  </si>
  <si>
    <t>DEP-A0-2965</t>
  </si>
  <si>
    <t>DEP-A0-2966</t>
  </si>
  <si>
    <t>DEP-A0-2967</t>
  </si>
  <si>
    <t>DEP-A0-2968</t>
  </si>
  <si>
    <t>DEP-A0-2969</t>
  </si>
  <si>
    <t>DEP-A0-2970</t>
  </si>
  <si>
    <t>DEP-A0-2971</t>
  </si>
  <si>
    <t>DEP-A0-2972</t>
  </si>
  <si>
    <t>DEP-A0-2973</t>
  </si>
  <si>
    <t>DEP-A0-2974</t>
  </si>
  <si>
    <t>DEP-A0-2975</t>
  </si>
  <si>
    <t>DEP-A0-2976</t>
  </si>
  <si>
    <t>DEP-A0-2977</t>
  </si>
  <si>
    <t>DEP-A0-2978</t>
  </si>
  <si>
    <t>DEP-A0-2979</t>
  </si>
  <si>
    <t>DEP-A0-2980</t>
  </si>
  <si>
    <t>DEP-A0-2981</t>
  </si>
  <si>
    <t>DEP-A0-2982</t>
  </si>
  <si>
    <t>DEP-A0-2983</t>
  </si>
  <si>
    <t>DEP-A0-2984</t>
  </si>
  <si>
    <t>DEP-A0-2985</t>
  </si>
  <si>
    <t>DEP-A0-2986</t>
  </si>
  <si>
    <t>DEP-A0-2987</t>
  </si>
  <si>
    <t>DEP-A0-2988</t>
  </si>
  <si>
    <t>DEP-A0-2989</t>
  </si>
  <si>
    <t>DEP-A0-2990</t>
  </si>
  <si>
    <t>DEP-A0-2991</t>
  </si>
  <si>
    <t>DEP-A0-2992</t>
  </si>
  <si>
    <t>DEP-A0-2993</t>
  </si>
  <si>
    <t>DEP-A0-2994</t>
  </si>
  <si>
    <t>DEP-A0-2995</t>
  </si>
  <si>
    <t>DEP-A0-2996</t>
  </si>
  <si>
    <t>DEP-A0-2997</t>
  </si>
  <si>
    <t>DEP-A0-2998</t>
  </si>
  <si>
    <t>DEP-A0-2999</t>
  </si>
  <si>
    <t>DEP-A0-3000</t>
  </si>
  <si>
    <t>DEP-A0-3001</t>
  </si>
  <si>
    <t>DEP-A0-3002</t>
  </si>
  <si>
    <t>DEP-A0-3003</t>
  </si>
  <si>
    <t>DEP-A0-3004</t>
  </si>
  <si>
    <t>DEP-A0-3005</t>
  </si>
  <si>
    <t>DEP-A0-3006</t>
  </si>
  <si>
    <t>DEP-A0-3007</t>
  </si>
  <si>
    <t>DEP-A0-3008</t>
  </si>
  <si>
    <t>DEP-A0-3009</t>
  </si>
  <si>
    <t>DEP-A0-3010</t>
  </si>
  <si>
    <t>DEP-A0-3011</t>
  </si>
  <si>
    <t>DEP-A0-3012</t>
  </si>
  <si>
    <t>DEP-A0-3013</t>
  </si>
  <si>
    <t>DEP-A0-3014</t>
  </si>
  <si>
    <t>DEP-A0-3015</t>
  </si>
  <si>
    <t>DEP-A0-3016</t>
  </si>
  <si>
    <t>DEP-A0-3017</t>
  </si>
  <si>
    <t>DEP-A0-3018</t>
  </si>
  <si>
    <t>DEP-A0-3019</t>
  </si>
  <si>
    <t>DEP-A0-3020</t>
  </si>
  <si>
    <t>DEP-A0-3021</t>
  </si>
  <si>
    <t>DEP-A0-3022</t>
  </si>
  <si>
    <t>DEP-A0-3023</t>
  </si>
  <si>
    <t>DEP-A0-3024</t>
  </si>
  <si>
    <t>DEP-A0-3025</t>
  </si>
  <si>
    <t>DEP-A0-3026</t>
  </si>
  <si>
    <t>DEP-A0-3027</t>
  </si>
  <si>
    <t>DEP-A0-3028</t>
  </si>
  <si>
    <t>DEP-A0-3029</t>
  </si>
  <si>
    <t>DEP-A0-3030</t>
  </si>
  <si>
    <t>DEP-A0-3031</t>
  </si>
  <si>
    <t>DEP-A0-3032</t>
  </si>
  <si>
    <t>DEP-A0-3033</t>
  </si>
  <si>
    <t>DEP-A0-3034</t>
  </si>
  <si>
    <t>DEP-A0-3035</t>
  </si>
  <si>
    <t>DEP-A0-3036</t>
  </si>
  <si>
    <t>DEP-A0-3037</t>
  </si>
  <si>
    <t>DEP-A0-3038</t>
  </si>
  <si>
    <t>DEP-A0-3039</t>
  </si>
  <si>
    <t>DEP-A0-3040</t>
  </si>
  <si>
    <t>DEP-A0-3041</t>
  </si>
  <si>
    <t>DEP-A0-3042</t>
  </si>
  <si>
    <t>DEP-A0-3043</t>
  </si>
  <si>
    <t>DEP-A0-3044</t>
  </si>
  <si>
    <t>DEP-A0-3045</t>
  </si>
  <si>
    <t>DEP-A0-3046</t>
  </si>
  <si>
    <t>DEP-A0-3047</t>
  </si>
  <si>
    <t>DEP-A0-3048</t>
  </si>
  <si>
    <t>DEP-A0-3049</t>
  </si>
  <si>
    <t>DEP-A0-3050</t>
  </si>
  <si>
    <t>DEP-A0-3051</t>
  </si>
  <si>
    <t>DEP-A0-3052</t>
  </si>
  <si>
    <t>DEP-A0-3053</t>
  </si>
  <si>
    <t>DEP-A0-3054</t>
  </si>
  <si>
    <t>DEP-A0-3055</t>
  </si>
  <si>
    <t>DEP-A0-3056</t>
  </si>
  <si>
    <t>DEP-A0-3057</t>
  </si>
  <si>
    <t>DEP-A0-3058</t>
  </si>
  <si>
    <t>DEP-A0-3059</t>
  </si>
  <si>
    <t>DEP-A0-3060</t>
  </si>
  <si>
    <t>DEP-A0-3061</t>
  </si>
  <si>
    <t>DEP-A0-3062</t>
  </si>
  <si>
    <t>DEP-A0-3063</t>
  </si>
  <si>
    <t>DEP-A0-3064</t>
  </si>
  <si>
    <t>DEP-A0-3065</t>
  </si>
  <si>
    <t>DEP-A0-3066</t>
  </si>
  <si>
    <t>DEP-A0-3067</t>
  </si>
  <si>
    <t>DEP-A0-3068</t>
  </si>
  <si>
    <t>DEP-A0-3069</t>
  </si>
  <si>
    <t>DEP-A0-3070</t>
  </si>
  <si>
    <t>DEP-A0-3071</t>
  </si>
  <si>
    <t>DEP-A0-3072</t>
  </si>
  <si>
    <t>DEP-A0-3073</t>
  </si>
  <si>
    <t>DEP-A0-3074</t>
  </si>
  <si>
    <t>DEP-A0-3075</t>
  </si>
  <si>
    <t>DEP-A0-3076</t>
  </si>
  <si>
    <t>DEP-A0-3077</t>
  </si>
  <si>
    <t>DEP-A0-3078</t>
  </si>
  <si>
    <t>DEP-A0-3079</t>
  </si>
  <si>
    <t>DEP-A0-3080</t>
  </si>
  <si>
    <t>DEP-A0-3081</t>
  </si>
  <si>
    <t>DEP-A0-3082</t>
  </si>
  <si>
    <t>DEP-A0-3083</t>
  </si>
  <si>
    <t>DEP-A0-3084</t>
  </si>
  <si>
    <t>DEP-A0-3085</t>
  </si>
  <si>
    <t>DEP-A0-3086</t>
  </si>
  <si>
    <t>DEP-A0-3087</t>
  </si>
  <si>
    <t>DEP-A0-3088</t>
  </si>
  <si>
    <t>DEP-A0-3089</t>
  </si>
  <si>
    <t>DEP-A0-3090</t>
  </si>
  <si>
    <t>DEP-A0-3091</t>
  </si>
  <si>
    <t>DEP-A0-3092</t>
  </si>
  <si>
    <t>DEP-A0-3093</t>
  </si>
  <si>
    <t>DEP-A0-3094</t>
  </si>
  <si>
    <t>DEP-A0-3095</t>
  </si>
  <si>
    <t>DEP-A0-3096</t>
  </si>
  <si>
    <t>DEP-A0-3097</t>
  </si>
  <si>
    <t>DEP-A0-3098</t>
  </si>
  <si>
    <t>DEP-A0-3099</t>
  </si>
  <si>
    <t>DEP-A0-3100</t>
  </si>
  <si>
    <t>DEP-A0-3101</t>
  </si>
  <si>
    <t>DEP-A0-3102</t>
  </si>
  <si>
    <t>DEP-A0-3103</t>
  </si>
  <si>
    <t>DEP-A0-3104</t>
  </si>
  <si>
    <t>DEP-A0-3105</t>
  </si>
  <si>
    <t>DEP-A0-3106</t>
  </si>
  <si>
    <t>DEP-A0-3107</t>
  </si>
  <si>
    <t>DEP-A0-3108</t>
  </si>
  <si>
    <t>DEP-A0-3109</t>
  </si>
  <si>
    <t>DEP-A0-3110</t>
  </si>
  <si>
    <t>DEP-A0-3111</t>
  </si>
  <si>
    <t>DEP-A0-3112</t>
  </si>
  <si>
    <t>DEP-A0-3113</t>
  </si>
  <si>
    <t>DEP-A0-3114</t>
  </si>
  <si>
    <t>DEP-A0-3115</t>
  </si>
  <si>
    <t>DEP-A0-3116</t>
  </si>
  <si>
    <t>DEP-A0-3117</t>
  </si>
  <si>
    <t>DEP-A0-3118</t>
  </si>
  <si>
    <t>DEP-A0-3119</t>
  </si>
  <si>
    <t>DEP-A0-3120</t>
  </si>
  <si>
    <t>DEP-A0-3121</t>
  </si>
  <si>
    <t>DEP-A0-3122</t>
  </si>
  <si>
    <t>DEP-A0-3123</t>
  </si>
  <si>
    <t>DEP-A0-3124</t>
  </si>
  <si>
    <t>DEP-A0-3125</t>
  </si>
  <si>
    <t>DEP-A0-3126</t>
  </si>
  <si>
    <t>DEP-A0-3127</t>
  </si>
  <si>
    <t>DEP-A0-3128</t>
  </si>
  <si>
    <t>DEP-A0-3129</t>
  </si>
  <si>
    <t>DEP-A0-3130</t>
  </si>
  <si>
    <t>DEP-A0-3131</t>
  </si>
  <si>
    <t>DEP-A0-3132</t>
  </si>
  <si>
    <t>DEP-A0-3133</t>
  </si>
  <si>
    <t>DEP-A0-3134</t>
  </si>
  <si>
    <t>DEP-A0-3135</t>
  </si>
  <si>
    <t>DEP-A0-3136</t>
  </si>
  <si>
    <t>DEP-A0-3137</t>
  </si>
  <si>
    <t>DEP-A0-3138</t>
  </si>
  <si>
    <t>DEP-A0-3139</t>
  </si>
  <si>
    <t>DEP-A0-3140</t>
  </si>
  <si>
    <t>DEP-A0-3141</t>
  </si>
  <si>
    <t>DEP-A0-3142</t>
  </si>
  <si>
    <t>DEP-A0-3143</t>
  </si>
  <si>
    <t>DEP-A0-3144</t>
  </si>
  <si>
    <t>DEP-A0-3145</t>
  </si>
  <si>
    <t>DEP-A0-3146</t>
  </si>
  <si>
    <t>DEP-A0-3147</t>
  </si>
  <si>
    <t>DEP-A0-3148</t>
  </si>
  <si>
    <t>DEP-A0-3149</t>
  </si>
  <si>
    <t>DEP-A0-3150</t>
  </si>
  <si>
    <t>DEP-A0-3151</t>
  </si>
  <si>
    <t>DEP-A0-3152</t>
  </si>
  <si>
    <t>DEP-A0-3153</t>
  </si>
  <si>
    <t>DEP-A0-3154</t>
  </si>
  <si>
    <t>DEP-A0-3155</t>
  </si>
  <si>
    <t>DEP-A0-3156</t>
  </si>
  <si>
    <t>DEP-A0-3157</t>
  </si>
  <si>
    <t>DEP-A0-3158</t>
  </si>
  <si>
    <t>DEP-A0-3159</t>
  </si>
  <si>
    <t>DEP-A0-3160</t>
  </si>
  <si>
    <t>DEP-A0-3161</t>
  </si>
  <si>
    <t>DEP-A0-3162</t>
  </si>
  <si>
    <t>DEP-A0-3163</t>
  </si>
  <si>
    <t>DEP-A0-3164</t>
  </si>
  <si>
    <t>DEP-A0-3165</t>
  </si>
  <si>
    <t>DEP-A0-3166</t>
  </si>
  <si>
    <t>DEP-A0-3167</t>
  </si>
  <si>
    <t>DEP-A0-3168</t>
  </si>
  <si>
    <t>DEP-A0-3169</t>
  </si>
  <si>
    <t>DEP-A0-3170</t>
  </si>
  <si>
    <t>DEP-A0-3171</t>
  </si>
  <si>
    <t>DEP-A0-3172</t>
  </si>
  <si>
    <t>DEP-A0-3173</t>
  </si>
  <si>
    <t>DEP-A0-3174</t>
  </si>
  <si>
    <t>DEP-A0-3175</t>
  </si>
  <si>
    <t>DEP-A0-3176</t>
  </si>
  <si>
    <t>DEP-A0-3177</t>
  </si>
  <si>
    <t>DEP-A0-3178</t>
  </si>
  <si>
    <t>DEP-A0-3179</t>
  </si>
  <si>
    <t>DEP-A0-3180</t>
  </si>
  <si>
    <t>DEP-A0-3181</t>
  </si>
  <si>
    <t>DEP-A0-3182</t>
  </si>
  <si>
    <t>DEP-A0-3183</t>
  </si>
  <si>
    <t>DEP-A0-3184</t>
  </si>
  <si>
    <t>DEP-A0-3185</t>
  </si>
  <si>
    <t>DEP-A0-3186</t>
  </si>
  <si>
    <t>DEP-A0-3187</t>
  </si>
  <si>
    <t>DEP-A0-3188</t>
  </si>
  <si>
    <t>DEP-A0-3189</t>
  </si>
  <si>
    <t>DEP-A0-3190</t>
  </si>
  <si>
    <t>DEP-A0-3191</t>
  </si>
  <si>
    <t>DEP-A0-3192</t>
  </si>
  <si>
    <t>DEP-A0-3193</t>
  </si>
  <si>
    <t>DEP-A0-3194</t>
  </si>
  <si>
    <t>DEP-A0-3195</t>
  </si>
  <si>
    <t>DEP-A0-3196</t>
  </si>
  <si>
    <t>DEP-A0-3197</t>
  </si>
  <si>
    <t>DEP-A0-3198</t>
  </si>
  <si>
    <t>DEP-A0-3199</t>
  </si>
  <si>
    <t>DEP-A0-3200</t>
  </si>
  <si>
    <t>DEP-A0-3201</t>
  </si>
  <si>
    <t>DEP-A0-3202</t>
  </si>
  <si>
    <t>DEP-A0-3203</t>
  </si>
  <si>
    <t>DEP-A0-3204</t>
  </si>
  <si>
    <t>DEP-A0-3205</t>
  </si>
  <si>
    <t>DEP-A0-3206</t>
  </si>
  <si>
    <t>DEP-A0-3207</t>
  </si>
  <si>
    <t>DEP-A0-3208</t>
  </si>
  <si>
    <t>DEP-A0-3209</t>
  </si>
  <si>
    <t>DEP-A0-3210</t>
  </si>
  <si>
    <t>DEP-A0-3211</t>
  </si>
  <si>
    <t>DEP-A0-3212</t>
  </si>
  <si>
    <t>DEP-A0-3213</t>
  </si>
  <si>
    <t>DEP-A0-3214</t>
  </si>
  <si>
    <t>DEP-A0-3215</t>
  </si>
  <si>
    <t>DEP-A0-3216</t>
  </si>
  <si>
    <t>DEP-A0-3217</t>
  </si>
  <si>
    <t>DEP-A0-3218</t>
  </si>
  <si>
    <t>DEP-A0-3219</t>
  </si>
  <si>
    <t>DEP-A0-3220</t>
  </si>
  <si>
    <t>DEP-A0-3221</t>
  </si>
  <si>
    <t>DEP-A0-3222</t>
  </si>
  <si>
    <t>DEP-A0-3223</t>
  </si>
  <si>
    <t>DEP-A0-3224</t>
  </si>
  <si>
    <t>DEP-A0-3225</t>
  </si>
  <si>
    <t>DEP-A0-3226</t>
  </si>
  <si>
    <t>DEP-A0-3227</t>
  </si>
  <si>
    <t>DEP-A0-3228</t>
  </si>
  <si>
    <t>DEP-A0-3229</t>
  </si>
  <si>
    <t>DEP-A0-3230</t>
  </si>
  <si>
    <t>DEP-A0-3231</t>
  </si>
  <si>
    <t>DEP-A0-3232</t>
  </si>
  <si>
    <t>DEP-A0-3233</t>
  </si>
  <si>
    <t>DEP-A0-3234</t>
  </si>
  <si>
    <t>DEP-A0-3235</t>
  </si>
  <si>
    <t>DEP-A0-3236</t>
  </si>
  <si>
    <t>DEP-A0-3237</t>
  </si>
  <si>
    <t>DEP-A0-3238</t>
  </si>
  <si>
    <t>DEP-A0-3239</t>
  </si>
  <si>
    <t>DEP-A0-3240</t>
  </si>
  <si>
    <t>DEP-A0-3241</t>
  </si>
  <si>
    <t>DEP-A0-3242</t>
  </si>
  <si>
    <t>DEP-A0-3243</t>
  </si>
  <si>
    <t>DEP-A0-3244</t>
  </si>
  <si>
    <t>DEP-A0-3245</t>
  </si>
  <si>
    <t>DEP-A0-3246</t>
  </si>
  <si>
    <t>DEP-A0-3247</t>
  </si>
  <si>
    <t>DEP-A0-3248</t>
  </si>
  <si>
    <t>DEP-A0-3249</t>
  </si>
  <si>
    <t>DEP-A0-3250</t>
  </si>
  <si>
    <t>DEP-A0-3251</t>
  </si>
  <si>
    <t>DEP-A0-3252</t>
  </si>
  <si>
    <t>DEP-A0-3253</t>
  </si>
  <si>
    <t>DEP-A0-3254</t>
  </si>
  <si>
    <t>DEP-A0-3255</t>
  </si>
  <si>
    <t>DEP-A0-3256</t>
  </si>
  <si>
    <t>DEP-A0-3257</t>
  </si>
  <si>
    <t>DEP-A0-3258</t>
  </si>
  <si>
    <t>DEP-A0-3259</t>
  </si>
  <si>
    <t>DEP-A0-3260</t>
  </si>
  <si>
    <t>DEP-A0-3261</t>
  </si>
  <si>
    <t>DEP-A0-3262</t>
  </si>
  <si>
    <t>DEP-A0-3263</t>
  </si>
  <si>
    <t>DEP-A0-3264</t>
  </si>
  <si>
    <t>DEP-A0-3265</t>
  </si>
  <si>
    <t>DEP-A0-3266</t>
  </si>
  <si>
    <t>DEP-A0-3267</t>
  </si>
  <si>
    <t>DEP-A0-3268</t>
  </si>
  <si>
    <t>DEP-A0-3269</t>
  </si>
  <si>
    <t>DEP-A0-3270</t>
  </si>
  <si>
    <t>DEP-A0-3271</t>
  </si>
  <si>
    <t>DEP-A0-3272</t>
  </si>
  <si>
    <t>DEP-A0-3273</t>
  </si>
  <si>
    <t>DEP-A0-3274</t>
  </si>
  <si>
    <t>DEP-A0-3275</t>
  </si>
  <si>
    <t>DEP-A0-3276</t>
  </si>
  <si>
    <t>DEP-A0-3277</t>
  </si>
  <si>
    <t>DEP-A0-3278</t>
  </si>
  <si>
    <t>DEP-A0-3279</t>
  </si>
  <si>
    <t>DEP-A0-3280</t>
  </si>
  <si>
    <t>DEP-A0-3281</t>
  </si>
  <si>
    <t>DEP-A0-3282</t>
  </si>
  <si>
    <t>DEP-A0-3283</t>
  </si>
  <si>
    <t>DEP-A0-3284</t>
  </si>
  <si>
    <t>DEP-A0-3285</t>
  </si>
  <si>
    <t>DEP-A0-3286</t>
  </si>
  <si>
    <t>DEP-A0-3287</t>
  </si>
  <si>
    <t>DEP-A0-3288</t>
  </si>
  <si>
    <t>DEP-A0-3289</t>
  </si>
  <si>
    <t>DEP-A0-3290</t>
  </si>
  <si>
    <t>DEP-A0-3291</t>
  </si>
  <si>
    <t>DEP-A0-3292</t>
  </si>
  <si>
    <t>DEP-A0-3293</t>
  </si>
  <si>
    <t>DEP-A0-3294</t>
  </si>
  <si>
    <t>DEP-A0-3295</t>
  </si>
  <si>
    <t>DEP-A0-3296</t>
  </si>
  <si>
    <t>DEP-A0-3297</t>
  </si>
  <si>
    <t>DEP-A0-3298</t>
  </si>
  <si>
    <t>DEP-A0-3299</t>
  </si>
  <si>
    <t>DEP-A0-3300</t>
  </si>
  <si>
    <t>DEP-A0-3301</t>
  </si>
  <si>
    <t>DEP-A0-3302</t>
  </si>
  <si>
    <t>DEP-A0-3303</t>
  </si>
  <si>
    <t>DEP-A0-3304</t>
  </si>
  <si>
    <t>DEP-A0-3305</t>
  </si>
  <si>
    <t>DEP-A0-3306</t>
  </si>
  <si>
    <t>DEP-A0-3307</t>
  </si>
  <si>
    <t>DEP-A0-3308</t>
  </si>
  <si>
    <t>DEP-A0-3309</t>
  </si>
  <si>
    <t>DEP-A0-3310</t>
  </si>
  <si>
    <t>DEP-A0-3311</t>
  </si>
  <si>
    <t>DEP-A0-3312</t>
  </si>
  <si>
    <t>DEP-A0-3313</t>
  </si>
  <si>
    <t>DEP-A0-3314</t>
  </si>
  <si>
    <t>DEP-A0-3315</t>
  </si>
  <si>
    <t>DEP-A0-3316</t>
  </si>
  <si>
    <t>DEP-A0-3317</t>
  </si>
  <si>
    <t>DEP-A0-3318</t>
  </si>
  <si>
    <t>DEP-A0-3319</t>
  </si>
  <si>
    <t>DEP-A0-3320</t>
  </si>
  <si>
    <t>DEP-A0-3321</t>
  </si>
  <si>
    <t>DEP-A0-3322</t>
  </si>
  <si>
    <t>DEP-A0-3323</t>
  </si>
  <si>
    <t>DEP-A0-3324</t>
  </si>
  <si>
    <t>DEP-A0-3325</t>
  </si>
  <si>
    <t>DEP-A0-3326</t>
  </si>
  <si>
    <t>DEP-A0-3327</t>
  </si>
  <si>
    <t>DEP-A0-3328</t>
  </si>
  <si>
    <t>DEP-A0-3329</t>
  </si>
  <si>
    <t>DEP-A0-3330</t>
  </si>
  <si>
    <t>DEP-A0-3331</t>
  </si>
  <si>
    <t>DEP-A0-3332</t>
  </si>
  <si>
    <t>DEP-A0-3333</t>
  </si>
  <si>
    <t>DEP-A0-3334</t>
  </si>
  <si>
    <t>DEP-A0-3335</t>
  </si>
  <si>
    <t>DEP-A0-3336</t>
  </si>
  <si>
    <t>DEP-A0-3337</t>
  </si>
  <si>
    <t>DEP-A0-3338</t>
  </si>
  <si>
    <t>DEP-A0-3339</t>
  </si>
  <si>
    <t>DEP-A0-3340</t>
  </si>
  <si>
    <t>DEP-A0-3341</t>
  </si>
  <si>
    <t>DEP-A0-3342</t>
  </si>
  <si>
    <t>DEP-A0-3343</t>
  </si>
  <si>
    <t>DEP-A0-3344</t>
  </si>
  <si>
    <t>DEP-A0-3345</t>
  </si>
  <si>
    <t>DEP-A0-3346</t>
  </si>
  <si>
    <t>DEP-A0-3347</t>
  </si>
  <si>
    <t>DEP-A0-3348</t>
  </si>
  <si>
    <t>DEP-A0-3349</t>
  </si>
  <si>
    <t>DEP-A0-3350</t>
  </si>
  <si>
    <t>DEP-A0-3351</t>
  </si>
  <si>
    <t>DEP-A0-3352</t>
  </si>
  <si>
    <t>DEP-A0-3353</t>
  </si>
  <si>
    <t>DEP-A0-3354</t>
  </si>
  <si>
    <t>DEP-A0-3355</t>
  </si>
  <si>
    <t>DEP-A0-3356</t>
  </si>
  <si>
    <t>DEP-A0-3357</t>
  </si>
  <si>
    <t>DEP-A0-3358</t>
  </si>
  <si>
    <t>DEP-A0-3359</t>
  </si>
  <si>
    <t>DEP-A0-3360</t>
  </si>
  <si>
    <t>DEP-A0-3361</t>
  </si>
  <si>
    <t>DEP-A0-3362</t>
  </si>
  <si>
    <t>DEP-A0-3363</t>
  </si>
  <si>
    <t>DEP-A0-3364</t>
  </si>
  <si>
    <t>DEP-A0-3365</t>
  </si>
  <si>
    <t>DEP-A0-3366</t>
  </si>
  <si>
    <t>DEP-A0-3367</t>
  </si>
  <si>
    <t>DEP-A0-3368</t>
  </si>
  <si>
    <t>DEP-A0-3369</t>
  </si>
  <si>
    <t>DEP-A0-3370</t>
  </si>
  <si>
    <t>DEP-A0-3371</t>
  </si>
  <si>
    <t>DEP-A0-3372</t>
  </si>
  <si>
    <t>DEP-A0-3373</t>
  </si>
  <si>
    <t>DEP-A0-3374</t>
  </si>
  <si>
    <t>DEP-A0-3375</t>
  </si>
  <si>
    <t>DEP-A0-3376</t>
  </si>
  <si>
    <t>DEP-A0-3377</t>
  </si>
  <si>
    <t>DEP-A0-3378</t>
  </si>
  <si>
    <t>DEP-A0-3379</t>
  </si>
  <si>
    <t>DEP-A0-3380</t>
  </si>
  <si>
    <t>DEP-A0-3381</t>
  </si>
  <si>
    <t>DEP-A0-3382</t>
  </si>
  <si>
    <t>DEP-A0-3383</t>
  </si>
  <si>
    <t>DEP-A0-3384</t>
  </si>
  <si>
    <t>DEP-A0-3385</t>
  </si>
  <si>
    <t>DEP-A0-3386</t>
  </si>
  <si>
    <t>DEP-A0-3387</t>
  </si>
  <si>
    <t>DEP-A0-3388</t>
  </si>
  <si>
    <t>DEP-A0-3389</t>
  </si>
  <si>
    <t>DEP-A0-3390</t>
  </si>
  <si>
    <t>DEP-A0-3391</t>
  </si>
  <si>
    <t>DEP-A0-3392</t>
  </si>
  <si>
    <t>DEP-A0-3393</t>
  </si>
  <si>
    <t>DEP-A0-3394</t>
  </si>
  <si>
    <t>DEP-A0-3395</t>
  </si>
  <si>
    <t>DEP-A0-3396</t>
  </si>
  <si>
    <t>DEP-A0-3397</t>
  </si>
  <si>
    <t>DEP-A0-3398</t>
  </si>
  <si>
    <t>DEP-A0-3399</t>
  </si>
  <si>
    <t>DEP-A0-3400</t>
  </si>
  <si>
    <t>DEP-A0-3401</t>
  </si>
  <si>
    <t>DEP-A0-3402</t>
  </si>
  <si>
    <t>DEP-A0-3403</t>
  </si>
  <si>
    <t>DEP-A0-3404</t>
  </si>
  <si>
    <t>DEP-A0-3405</t>
  </si>
  <si>
    <t>DEP-A0-3406</t>
  </si>
  <si>
    <t>DEP-A0-3407</t>
  </si>
  <si>
    <t>DEP-A0-3408</t>
  </si>
  <si>
    <t>DEP-A0-3409</t>
  </si>
  <si>
    <t>DEP-A0-3410</t>
  </si>
  <si>
    <t>DEP-A0-3411</t>
  </si>
  <si>
    <t>DEP-A0-3412</t>
  </si>
  <si>
    <t>DEP-A0-3413</t>
  </si>
  <si>
    <t>DEP-A0-3414</t>
  </si>
  <si>
    <t>DEP-A0-3415</t>
  </si>
  <si>
    <t>DEP-A0-3416</t>
  </si>
  <si>
    <t>DEP-A0-3417</t>
  </si>
  <si>
    <t>DEP-A0-3418</t>
  </si>
  <si>
    <t>DEP-A0-3419</t>
  </si>
  <si>
    <t>DEP-A0-3420</t>
  </si>
  <si>
    <t>DEP-A0-3421</t>
  </si>
  <si>
    <t>DEP-A0-3422</t>
  </si>
  <si>
    <t>DEP-A0-3423</t>
  </si>
  <si>
    <t>DEP-A0-3424</t>
  </si>
  <si>
    <t>DEP-A0-3425</t>
  </si>
  <si>
    <t>DEP-A0-3426</t>
  </si>
  <si>
    <t>DEP-A0-3427</t>
  </si>
  <si>
    <t>DEP-A0-3428</t>
  </si>
  <si>
    <t>DEP-A0-3429</t>
  </si>
  <si>
    <t>DEP-A0-3430</t>
  </si>
  <si>
    <t>DEP-A0-3431</t>
  </si>
  <si>
    <t>DEP-A0-3432</t>
  </si>
  <si>
    <t>DEP-A0-3433</t>
  </si>
  <si>
    <t>DEP-A0-3434</t>
  </si>
  <si>
    <t>DEP-A0-3435</t>
  </si>
  <si>
    <t>DEP-A0-3436</t>
  </si>
  <si>
    <t>DEP-A0-3437</t>
  </si>
  <si>
    <t>DEP-A0-3438</t>
  </si>
  <si>
    <t>DEP-A0-3439</t>
  </si>
  <si>
    <t>DEP-A0-3440</t>
  </si>
  <si>
    <t>DEP-A0-3441</t>
  </si>
  <si>
    <t>DEP-A0-3442</t>
  </si>
  <si>
    <t>DEP-A0-3443</t>
  </si>
  <si>
    <t>DEP-A0-3444</t>
  </si>
  <si>
    <t>DEP-A0-3445</t>
  </si>
  <si>
    <t>DEP-A0-3446</t>
  </si>
  <si>
    <t>DEP-A0-3447</t>
  </si>
  <si>
    <t>DEP-A0-3448</t>
  </si>
  <si>
    <t>DEP-A0-3449</t>
  </si>
  <si>
    <t>DEP-A0-3450</t>
  </si>
  <si>
    <t>DEP-A0-3451</t>
  </si>
  <si>
    <t>DEP-A0-3452</t>
  </si>
  <si>
    <t>DEP-A0-3453</t>
  </si>
  <si>
    <t>DEP-A0-3454</t>
  </si>
  <si>
    <t>DEP-A0-3455</t>
  </si>
  <si>
    <t>DEP-A0-3456</t>
  </si>
  <si>
    <t>DEP-A0-3457</t>
  </si>
  <si>
    <t>DEP-A0-3458</t>
  </si>
  <si>
    <t>DEP-A0-3459</t>
  </si>
  <si>
    <t>DEP-A0-3460</t>
  </si>
  <si>
    <t>DEP-A0-3461</t>
  </si>
  <si>
    <t>DEP-A0-3462</t>
  </si>
  <si>
    <t>DEP-A0-3463</t>
  </si>
  <si>
    <t>DEP-A0-3464</t>
  </si>
  <si>
    <t>DEP-A0-3465</t>
  </si>
  <si>
    <t>DEP-A0-3466</t>
  </si>
  <si>
    <t>DEP-A0-3467</t>
  </si>
  <si>
    <t>DEP-A0-3468</t>
  </si>
  <si>
    <t>DEP-A0-3469</t>
  </si>
  <si>
    <t>DEP-A0-3470</t>
  </si>
  <si>
    <t>DEP-A0-3471</t>
  </si>
  <si>
    <t>DEP-A0-3472</t>
  </si>
  <si>
    <t>DEP-A0-3473</t>
  </si>
  <si>
    <t>DEP-A0-3474</t>
  </si>
  <si>
    <t>DEP-A0-3475</t>
  </si>
  <si>
    <t>DEP-A0-3476</t>
  </si>
  <si>
    <t>DEP-A0-3477</t>
  </si>
  <si>
    <t>DEP-A0-3478</t>
  </si>
  <si>
    <t>DEP-A0-3479</t>
  </si>
  <si>
    <t>DEP-A0-3480</t>
  </si>
  <si>
    <t>DEP-A0-3481</t>
  </si>
  <si>
    <t>DEP-A0-3482</t>
  </si>
  <si>
    <t>DEP-A0-3483</t>
  </si>
  <si>
    <t>DEP-A0-3484</t>
  </si>
  <si>
    <t>DEP-A0-3485</t>
  </si>
  <si>
    <t>DEP-A0-3486</t>
  </si>
  <si>
    <t>DEP-A0-3487</t>
  </si>
  <si>
    <t>DEP-A0-3488</t>
  </si>
  <si>
    <t>DEP-A0-3489</t>
  </si>
  <si>
    <t>DEP-A0-3490</t>
  </si>
  <si>
    <t>DEP-A0-3491</t>
  </si>
  <si>
    <t>DEP-A0-3492</t>
  </si>
  <si>
    <t>DEP-A0-3493</t>
  </si>
  <si>
    <t>DEP-A0-3494</t>
  </si>
  <si>
    <t>DEP-A0-3495</t>
  </si>
  <si>
    <t>DEP-A0-3496</t>
  </si>
  <si>
    <t>DEP-A0-3497</t>
  </si>
  <si>
    <t>DEP-A0-3498</t>
  </si>
  <si>
    <t>DEP-A0-3499</t>
  </si>
  <si>
    <t>DEP-A0-3500</t>
  </si>
  <si>
    <t>DEP-A0-3501</t>
  </si>
  <si>
    <t>DEP-A0-3502</t>
  </si>
  <si>
    <t>DEP-A0-3503</t>
  </si>
  <si>
    <t>DEP-A0-3504</t>
  </si>
  <si>
    <t>DEP-A0-3505</t>
  </si>
  <si>
    <t>DEP-A0-3506</t>
  </si>
  <si>
    <t>DEP-A0-3507</t>
  </si>
  <si>
    <t>DEP-A0-3508</t>
  </si>
  <si>
    <t>DEP-A0-3509</t>
  </si>
  <si>
    <t>DEP-A0-3510</t>
  </si>
  <si>
    <t>DEP-A0-3511</t>
  </si>
  <si>
    <t>DEP-A0-3512</t>
  </si>
  <si>
    <t>DEP-A0-3513</t>
  </si>
  <si>
    <t>DEP-A0-3514</t>
  </si>
  <si>
    <t>DEP-A0-3515</t>
  </si>
  <si>
    <t>DEP-A0-3516</t>
  </si>
  <si>
    <t>DEP-A0-3517</t>
  </si>
  <si>
    <t>DEP-A0-3518</t>
  </si>
  <si>
    <t>DEP-A0-3519</t>
  </si>
  <si>
    <t>DEP-A0-3520</t>
  </si>
  <si>
    <t>DEP-A0-3521</t>
  </si>
  <si>
    <t>DEP-A0-3522</t>
  </si>
  <si>
    <t>DEP-A0-3523</t>
  </si>
  <si>
    <t>DEP-A0-3524</t>
  </si>
  <si>
    <t>DEP-A0-3525</t>
  </si>
  <si>
    <t>DEP-A0-3526</t>
  </si>
  <si>
    <t>DEP-A0-3527</t>
  </si>
  <si>
    <t>DEP-A0-3528</t>
  </si>
  <si>
    <t>DEP-A0-3529</t>
  </si>
  <si>
    <t>DEP-A0-3530</t>
  </si>
  <si>
    <t>DEP-A0-3531</t>
  </si>
  <si>
    <t>DEP-A0-3532</t>
  </si>
  <si>
    <t>DEP-A0-3533</t>
  </si>
  <si>
    <t>DEP-A0-3534</t>
  </si>
  <si>
    <t>DEP-A0-3535</t>
  </si>
  <si>
    <t>DEP-A0-3536</t>
  </si>
  <si>
    <t>DEP-A0-3537</t>
  </si>
  <si>
    <t>DEP-A0-3538</t>
  </si>
  <si>
    <t>DEP-A0-3539</t>
  </si>
  <si>
    <t>DEP-A0-3540</t>
  </si>
  <si>
    <t>DEP-A0-3541</t>
  </si>
  <si>
    <t>DEP-A0-3542</t>
  </si>
  <si>
    <t>DEP-A0-3543</t>
  </si>
  <si>
    <t>DEP-A0-3544</t>
  </si>
  <si>
    <t>DEP-A0-3545</t>
  </si>
  <si>
    <t>DEP-A0-3546</t>
  </si>
  <si>
    <t>DEP-A0-3547</t>
  </si>
  <si>
    <t>DEP-A0-3548</t>
  </si>
  <si>
    <t>DEP-A0-3549</t>
  </si>
  <si>
    <t>DEP-A0-3550</t>
  </si>
  <si>
    <t>DEP-A0-3551</t>
  </si>
  <si>
    <t>DEP-A0-3552</t>
  </si>
  <si>
    <t>DEP-A0-3553</t>
  </si>
  <si>
    <t>DEP-A0-3554</t>
  </si>
  <si>
    <t>DEP-A0-3555</t>
  </si>
  <si>
    <t>DEP-A0-3556</t>
  </si>
  <si>
    <t>DEP-A0-3557</t>
  </si>
  <si>
    <t>DEP-A0-3558</t>
  </si>
  <si>
    <t>DEP-A0-3559</t>
  </si>
  <si>
    <t>DEP-A0-3560</t>
  </si>
  <si>
    <t>DEP-A0-3561</t>
  </si>
  <si>
    <t>DEP-A0-3562</t>
  </si>
  <si>
    <t>DEP-A0-3563</t>
  </si>
  <si>
    <t>DEP-A0-3564</t>
  </si>
  <si>
    <t>DEP-A0-3565</t>
  </si>
  <si>
    <t>DEP-A0-3566</t>
  </si>
  <si>
    <t>DEP-A0-3567</t>
  </si>
  <si>
    <t>DEP-A0-3568</t>
  </si>
  <si>
    <t>DEP-A0-3569</t>
  </si>
  <si>
    <t>DEP-A0-3570</t>
  </si>
  <si>
    <t>DEP-A0-3571</t>
  </si>
  <si>
    <t>DEP-A0-3572</t>
  </si>
  <si>
    <t>DEP-A0-3573</t>
  </si>
  <si>
    <t>DEP-A0-3574</t>
  </si>
  <si>
    <t>DEP-A0-3575</t>
  </si>
  <si>
    <t>DEP-A0-3576</t>
  </si>
  <si>
    <t>DEP-A0-3577</t>
  </si>
  <si>
    <t>DEP-A0-3578</t>
  </si>
  <si>
    <t>DEP-A0-3579</t>
  </si>
  <si>
    <t>DEP-A0-3580</t>
  </si>
  <si>
    <t>DEP-A0-3581</t>
  </si>
  <si>
    <t>DEP-A0-3582</t>
  </si>
  <si>
    <t>DEP-A0-3583</t>
  </si>
  <si>
    <t>DEP-A0-3584</t>
  </si>
  <si>
    <t>DEP-A0-3585</t>
  </si>
  <si>
    <t>DEP-A0-3586</t>
  </si>
  <si>
    <t>DEP-A0-3587</t>
  </si>
  <si>
    <t>DEP-A0-3588</t>
  </si>
  <si>
    <t>DEP-A0-3589</t>
  </si>
  <si>
    <t>DEP-A0-3590</t>
  </si>
  <si>
    <t>DEP-A0-3591</t>
  </si>
  <si>
    <t>DEP-A0-3592</t>
  </si>
  <si>
    <t>DEP-A0-3593</t>
  </si>
  <si>
    <t>DEP-A0-3594</t>
  </si>
  <si>
    <t>DEP-A0-3595</t>
  </si>
  <si>
    <t>DEP-A0-3596</t>
  </si>
  <si>
    <t>DEP-A0-3597</t>
  </si>
  <si>
    <t>DEP-A0-3598</t>
  </si>
  <si>
    <t>DEP-A0-3599</t>
  </si>
  <si>
    <t>DEP-A0-3600</t>
  </si>
  <si>
    <t>DEP-A0-3601</t>
  </si>
  <si>
    <t>DEP-A0-3602</t>
  </si>
  <si>
    <t>DEP-A0-3603</t>
  </si>
  <si>
    <t>DEP-A0-3604</t>
  </si>
  <si>
    <t>DEP-A0-3605</t>
  </si>
  <si>
    <t>DEP-A0-3606</t>
  </si>
  <si>
    <t>DEP-A0-3607</t>
  </si>
  <si>
    <t>DEP-A0-3608</t>
  </si>
  <si>
    <t>DEP-A0-3609</t>
  </si>
  <si>
    <t>DEP-A0-3610</t>
  </si>
  <si>
    <t>DEP-A0-3611</t>
  </si>
  <si>
    <t>DEP-A0-3612</t>
  </si>
  <si>
    <t>DEP-A0-3613</t>
  </si>
  <si>
    <t>DEP-A0-3614</t>
  </si>
  <si>
    <t>DEP-A0-3615</t>
  </si>
  <si>
    <t>DEP-A0-3616</t>
  </si>
  <si>
    <t>DEP-A0-3617</t>
  </si>
  <si>
    <t>DEP-A0-3618</t>
  </si>
  <si>
    <t>DEP-A0-3619</t>
  </si>
  <si>
    <t>DEP-A0-3620</t>
  </si>
  <si>
    <t>DEP-A0-3621</t>
  </si>
  <si>
    <t>DEP-A0-3622</t>
  </si>
  <si>
    <t>DEP-A0-3623</t>
  </si>
  <si>
    <t>DEP-A0-3624</t>
  </si>
  <si>
    <t>DEP-A0-3625</t>
  </si>
  <si>
    <t>DEP-A0-3626</t>
  </si>
  <si>
    <t>DEP-A0-3627</t>
  </si>
  <si>
    <t>DEP-A0-3628</t>
  </si>
  <si>
    <t>DEP-A0-3629</t>
  </si>
  <si>
    <t>DEP-A0-3630</t>
  </si>
  <si>
    <t>DEP-A0-3631</t>
  </si>
  <si>
    <t>DEP-A0-3632</t>
  </si>
  <si>
    <t>DEP-A0-3633</t>
  </si>
  <si>
    <t>DEP-A0-3634</t>
  </si>
  <si>
    <t>DEP-A0-3635</t>
  </si>
  <si>
    <t>DEP-A0-3636</t>
  </si>
  <si>
    <t>DEP-A0-3637</t>
  </si>
  <si>
    <t>DEP-A0-3638</t>
  </si>
  <si>
    <t>DEP-A0-3639</t>
  </si>
  <si>
    <t>DEP-A0-3640</t>
  </si>
  <si>
    <t>DEP-A0-3641</t>
  </si>
  <si>
    <t>DEP-A0-3642</t>
  </si>
  <si>
    <t>DEP-A0-3643</t>
  </si>
  <si>
    <t>DEP-A0-3644</t>
  </si>
  <si>
    <t>DEP-A0-3645</t>
  </si>
  <si>
    <t>DEP-A0-3646</t>
  </si>
  <si>
    <t>DEP-A0-3647</t>
  </si>
  <si>
    <t>DEP-A0-3648</t>
  </si>
  <si>
    <t>DEP-A0-3649</t>
  </si>
  <si>
    <t>DEP-A0-3650</t>
  </si>
  <si>
    <t>DEP-A0-3651</t>
  </si>
  <si>
    <t>DEP-A0-3652</t>
  </si>
  <si>
    <t>DEP-A0-3653</t>
  </si>
  <si>
    <t>DEP-A0-3654</t>
  </si>
  <si>
    <t>DEP-A0-3655</t>
  </si>
  <si>
    <t>DEP-A0-3656</t>
  </si>
  <si>
    <t>DEP-A0-3657</t>
  </si>
  <si>
    <t>DEP-A0-3658</t>
  </si>
  <si>
    <t>DEP-A0-3659</t>
  </si>
  <si>
    <t>DEP-A0-3660</t>
  </si>
  <si>
    <t>DEP-A0-3661</t>
  </si>
  <si>
    <t>DEP-A0-3662</t>
  </si>
  <si>
    <t>DEP-A0-3663</t>
  </si>
  <si>
    <t>DEP-A0-3664</t>
  </si>
  <si>
    <t>DEP-A0-3665</t>
  </si>
  <si>
    <t>DEP-A0-3666</t>
  </si>
  <si>
    <t>DEP-A0-3667</t>
  </si>
  <si>
    <t>DEP-A0-3668</t>
  </si>
  <si>
    <t>DEP-A0-3669</t>
  </si>
  <si>
    <t>DEP-A0-3670</t>
  </si>
  <si>
    <t>DEP-A0-3671</t>
  </si>
  <si>
    <t>DEP-A0-3672</t>
  </si>
  <si>
    <t>DEP-A0-3673</t>
  </si>
  <si>
    <t>DEP-A0-3674</t>
  </si>
  <si>
    <t>DEP-A0-3675</t>
  </si>
  <si>
    <t>DEP-A0-3676</t>
  </si>
  <si>
    <t>DEP-A0-3677</t>
  </si>
  <si>
    <t>DEP-A0-3678</t>
  </si>
  <si>
    <t>DEP-A0-3679</t>
  </si>
  <si>
    <t>DEP-A0-3680</t>
  </si>
  <si>
    <t>DEP-A0-3681</t>
  </si>
  <si>
    <t>DEP-A0-3682</t>
  </si>
  <si>
    <t>DEP-A0-3683</t>
  </si>
  <si>
    <t>DEP-A0-3684</t>
  </si>
  <si>
    <t>DEP-A0-3685</t>
  </si>
  <si>
    <t>DEP-A0-3686</t>
  </si>
  <si>
    <t>DEP-A0-3687</t>
  </si>
  <si>
    <t>DEP-A0-3688</t>
  </si>
  <si>
    <t>DEP-A0-3689</t>
  </si>
  <si>
    <t>DEP-A0-3690</t>
  </si>
  <si>
    <t>DEP-A0-3691</t>
  </si>
  <si>
    <t>DEP-A0-3692</t>
  </si>
  <si>
    <t>DEP-A0-3693</t>
  </si>
  <si>
    <t>DEP-A0-3694</t>
  </si>
  <si>
    <t>DEP-A0-3695</t>
  </si>
  <si>
    <t>DEP-A0-3696</t>
  </si>
  <si>
    <t>DEP-A0-3697</t>
  </si>
  <si>
    <t>DEP-A0-3698</t>
  </si>
  <si>
    <t>DEP-A0-3699</t>
  </si>
  <si>
    <t>DEP-A0-3700</t>
  </si>
  <si>
    <t>DEP-A0-3701</t>
  </si>
  <si>
    <t>DEP-A0-3702</t>
  </si>
  <si>
    <t>DEP-A0-3703</t>
  </si>
  <si>
    <t>DEP-A0-3704</t>
  </si>
  <si>
    <t>DEP-A0-3705</t>
  </si>
  <si>
    <t>DEP-A0-3706</t>
  </si>
  <si>
    <t>DEP-A0-3707</t>
  </si>
  <si>
    <t>DEP-A0-3708</t>
  </si>
  <si>
    <t>DEP-A0-3709</t>
  </si>
  <si>
    <t>DEP-A0-3710</t>
  </si>
  <si>
    <t>DEP-A0-3711</t>
  </si>
  <si>
    <t>DEP-A0-3712</t>
  </si>
  <si>
    <t>DEP-A0-3713</t>
  </si>
  <si>
    <t>DEP-A0-3714</t>
  </si>
  <si>
    <t>DEP-A0-3715</t>
  </si>
  <si>
    <t>DEP-A0-3716</t>
  </si>
  <si>
    <t>DEP-A0-3717</t>
  </si>
  <si>
    <t>DEP-A0-3718</t>
  </si>
  <si>
    <t>DEP-A0-3719</t>
  </si>
  <si>
    <t>DEP-A0-3720</t>
  </si>
  <si>
    <t>DEP-A0-3721</t>
  </si>
  <si>
    <t>DEP-A0-3722</t>
  </si>
  <si>
    <t>DEP-A0-3723</t>
  </si>
  <si>
    <t>DEP-A0-3724</t>
  </si>
  <si>
    <t>DEP-A0-3725</t>
  </si>
  <si>
    <t>DEP-A0-3726</t>
  </si>
  <si>
    <t>DEP-A0-3727</t>
  </si>
  <si>
    <t>DEP-A0-3728</t>
  </si>
  <si>
    <t>DEP-A0-3729</t>
  </si>
  <si>
    <t>DEP-A0-3730</t>
  </si>
  <si>
    <t>DEP-A0-3731</t>
  </si>
  <si>
    <t>DEP-A0-3732</t>
  </si>
  <si>
    <t>DEP-A0-3733</t>
  </si>
  <si>
    <t>DEP-A0-3734</t>
  </si>
  <si>
    <t>DEP-A0-3735</t>
  </si>
  <si>
    <t>DEP-A0-3736</t>
  </si>
  <si>
    <t>DEP-A0-3737</t>
  </si>
  <si>
    <t>DEP-A0-3738</t>
  </si>
  <si>
    <t>DEP-A0-3739</t>
  </si>
  <si>
    <t>DEP-A0-3740</t>
  </si>
  <si>
    <t>DEP-A0-3741</t>
  </si>
  <si>
    <t>DEP-A0-3742</t>
  </si>
  <si>
    <t>DEP-A0-3743</t>
  </si>
  <si>
    <t>DEP-A0-3744</t>
  </si>
  <si>
    <t>DEP-A0-3745</t>
  </si>
  <si>
    <t>DEP-A0-3746</t>
  </si>
  <si>
    <t>DEP-A0-3747</t>
  </si>
  <si>
    <t>DEP-A0-3748</t>
  </si>
  <si>
    <t>DEP-A0-3749</t>
  </si>
  <si>
    <t>DEP-A0-3750</t>
  </si>
  <si>
    <t>DEP-A0-3751</t>
  </si>
  <si>
    <t>DEP-A0-3752</t>
  </si>
  <si>
    <t>DEP-A0-3753</t>
  </si>
  <si>
    <t>DEP-A0-3754</t>
  </si>
  <si>
    <t>DEP-A0-3755</t>
  </si>
  <si>
    <t>DEP-A0-3756</t>
  </si>
  <si>
    <t>DEP-A0-3757</t>
  </si>
  <si>
    <t>DEP-A0-3758</t>
  </si>
  <si>
    <t>DEP-A0-3759</t>
  </si>
  <si>
    <t>DEP-A0-3760</t>
  </si>
  <si>
    <t>DEP-A0-3761</t>
  </si>
  <si>
    <t>DEP-A0-3762</t>
  </si>
  <si>
    <t>DEP-A0-3763</t>
  </si>
  <si>
    <t>DEP-A0-3764</t>
  </si>
  <si>
    <t>DEP-A0-3765</t>
  </si>
  <si>
    <t>DEP-A0-3766</t>
  </si>
  <si>
    <t>DEP-A0-3767</t>
  </si>
  <si>
    <t>DEP-A0-3768</t>
  </si>
  <si>
    <t>DEP-A0-3769</t>
  </si>
  <si>
    <t>DEP-A0-3770</t>
  </si>
  <si>
    <t>DEP-A0-3771</t>
  </si>
  <si>
    <t>DEP-A0-3772</t>
  </si>
  <si>
    <t>DEP-A0-3773</t>
  </si>
  <si>
    <t>DEP-A0-3774</t>
  </si>
  <si>
    <t>DEP-A0-3775</t>
  </si>
  <si>
    <t>DEP-A0-3776</t>
  </si>
  <si>
    <t>DEP-A0-3777</t>
  </si>
  <si>
    <t>DEP-A0-3778</t>
  </si>
  <si>
    <t>DEP-A0-3779</t>
  </si>
  <si>
    <t>DEP-A0-3780</t>
  </si>
  <si>
    <t>DEP-A0-3781</t>
  </si>
  <si>
    <t>DEP-A0-3782</t>
  </si>
  <si>
    <t>DEP-A0-3783</t>
  </si>
  <si>
    <t>DEP-A0-3784</t>
  </si>
  <si>
    <t>DEP-A0-3785</t>
  </si>
  <si>
    <t>DEP-A0-3786</t>
  </si>
  <si>
    <t>DEP-A0-3787</t>
  </si>
  <si>
    <t>DEP-A0-3788</t>
  </si>
  <si>
    <t>DEP-A0-3789</t>
  </si>
  <si>
    <t>DEP-A0-3790</t>
  </si>
  <si>
    <t>DEP-A0-3791</t>
  </si>
  <si>
    <t>DEP-A0-3792</t>
  </si>
  <si>
    <t>DEP-A0-3793</t>
  </si>
  <si>
    <t>DEP-A0-3794</t>
  </si>
  <si>
    <t>DEP-A0-3795</t>
  </si>
  <si>
    <t>DEP-A0-3796</t>
  </si>
  <si>
    <t>DEP-A0-3797</t>
  </si>
  <si>
    <t>DEP-A0-3798</t>
  </si>
  <si>
    <t>DEP-A0-3799</t>
  </si>
  <si>
    <t>DEP-A0-3800</t>
  </si>
  <si>
    <t>DEP-A0-3801</t>
  </si>
  <si>
    <t>DEP-A0-3802</t>
  </si>
  <si>
    <t>DEP-A0-3803</t>
  </si>
  <si>
    <t>DEP-A0-3804</t>
  </si>
  <si>
    <t>DEP-A0-3805</t>
  </si>
  <si>
    <t>DEP-A0-3806</t>
  </si>
  <si>
    <t>DEP-A0-3807</t>
  </si>
  <si>
    <t>DEP-A0-3808</t>
  </si>
  <si>
    <t>DEP-A0-3809</t>
  </si>
  <si>
    <t>DEP-A0-3810</t>
  </si>
  <si>
    <t>DEP-A0-3811</t>
  </si>
  <si>
    <t>DEP-A0-3812</t>
  </si>
  <si>
    <t>DEP-A0-3813</t>
  </si>
  <si>
    <t>DEP-A0-3814</t>
  </si>
  <si>
    <t>DEP-A0-3815</t>
  </si>
  <si>
    <t>DEP-A0-3816</t>
  </si>
  <si>
    <t>DEP-A0-3817</t>
  </si>
  <si>
    <t>DEP-A0-3818</t>
  </si>
  <si>
    <t>DEP-A0-3819</t>
  </si>
  <si>
    <t>DEP-A0-3820</t>
  </si>
  <si>
    <t>DEP-A0-3821</t>
  </si>
  <si>
    <t>DEP-A0-3822</t>
  </si>
  <si>
    <t>DEP-A0-3823</t>
  </si>
  <si>
    <t>DEP-A0-3824</t>
  </si>
  <si>
    <t>DEP-A0-3825</t>
  </si>
  <si>
    <t>DEP-A0-3826</t>
  </si>
  <si>
    <t>DEP-A0-3827</t>
  </si>
  <si>
    <t>DEP-A0-3828</t>
  </si>
  <si>
    <t>DEP-A0-3829</t>
  </si>
  <si>
    <t>DEP-A0-3830</t>
  </si>
  <si>
    <t>DEP-A0-3831</t>
  </si>
  <si>
    <t>DEP-A0-3832</t>
  </si>
  <si>
    <t>DEP-A0-3833</t>
  </si>
  <si>
    <t>DEP-A0-3834</t>
  </si>
  <si>
    <t>DEP-A0-3835</t>
  </si>
  <si>
    <t>DEP-A0-3836</t>
  </si>
  <si>
    <t>DEP-A0-3837</t>
  </si>
  <si>
    <t>DEP-A0-3838</t>
  </si>
  <si>
    <t>DEP-A0-3839</t>
  </si>
  <si>
    <t>DEP-A0-3840</t>
  </si>
  <si>
    <t>DEP-A0-3841</t>
  </si>
  <si>
    <t>DEP-A0-3842</t>
  </si>
  <si>
    <t>DEP-A0-3843</t>
  </si>
  <si>
    <t>DEP-A0-3844</t>
  </si>
  <si>
    <t>DEP-A0-3845</t>
  </si>
  <si>
    <t>DEP-A0-3846</t>
  </si>
  <si>
    <t>DEP-A0-3847</t>
  </si>
  <si>
    <t>DEP-A0-3848</t>
  </si>
  <si>
    <t>DEP-A0-3849</t>
  </si>
  <si>
    <t>DEP-A0-3850</t>
  </si>
  <si>
    <t>DEP-A0-3851</t>
  </si>
  <si>
    <t>DEP-A0-3852</t>
  </si>
  <si>
    <t>DEP-A0-3853</t>
  </si>
  <si>
    <t>DEP-A0-3854</t>
  </si>
  <si>
    <t>DEP-A0-3855</t>
  </si>
  <si>
    <t>DEP-A0-3856</t>
  </si>
  <si>
    <t>DEP-A0-3857</t>
  </si>
  <si>
    <t>DEP-A0-3858</t>
  </si>
  <si>
    <t>DEP-A0-3859</t>
  </si>
  <si>
    <t>DEP-A0-3860</t>
  </si>
  <si>
    <t>DEP-A0-3861</t>
  </si>
  <si>
    <t>DEP-A0-3862</t>
  </si>
  <si>
    <t>DEP-A0-3863</t>
  </si>
  <si>
    <t>DEP-A0-3864</t>
  </si>
  <si>
    <t>DEP-A0-3865</t>
  </si>
  <si>
    <t>DEP-A0-3866</t>
  </si>
  <si>
    <t>DEP-A0-3867</t>
  </si>
  <si>
    <t>DEP-A0-3868</t>
  </si>
  <si>
    <t>DEP-A0-3869</t>
  </si>
  <si>
    <t>DEP-A0-3870</t>
  </si>
  <si>
    <t>DEP-A0-3871</t>
  </si>
  <si>
    <t>DEP-A0-3872</t>
  </si>
  <si>
    <t>DEP-A0-3873</t>
  </si>
  <si>
    <t>DEP-A0-3874</t>
  </si>
  <si>
    <t>DEP-A0-3875</t>
  </si>
  <si>
    <t>DEP-A0-3876</t>
  </si>
  <si>
    <t>DEP-A0-3877</t>
  </si>
  <si>
    <t>DEP-A0-3878</t>
  </si>
  <si>
    <t>DEP-A0-3879</t>
  </si>
  <si>
    <t>DEP-A0-3880</t>
  </si>
  <si>
    <t>DEP-A0-3881</t>
  </si>
  <si>
    <t>DEP-A0-3882</t>
  </si>
  <si>
    <t>DEP-A0-3883</t>
  </si>
  <si>
    <t>DEP-A0-3884</t>
  </si>
  <si>
    <t>DEP-A0-3885</t>
  </si>
  <si>
    <t>DEP-A0-3886</t>
  </si>
  <si>
    <t>DEP-A0-3887</t>
  </si>
  <si>
    <t>DEP-A0-3888</t>
  </si>
  <si>
    <t>DEP-A0-3889</t>
  </si>
  <si>
    <t>DEP-A0-3890</t>
  </si>
  <si>
    <t>DEP-A0-3891</t>
  </si>
  <si>
    <t>DEP-A0-3892</t>
  </si>
  <si>
    <t>DEP-A0-3893</t>
  </si>
  <si>
    <t>DEP-A0-3894</t>
  </si>
  <si>
    <t>DEP-A0-3895</t>
  </si>
  <si>
    <t>DEP-A0-3896</t>
  </si>
  <si>
    <t>DEP-A0-3897</t>
  </si>
  <si>
    <t>DEP-A0-3898</t>
  </si>
  <si>
    <t>DEP-A0-3899</t>
  </si>
  <si>
    <t>DEP-A0-3900</t>
  </si>
  <si>
    <t>DEP-A0-3901</t>
  </si>
  <si>
    <t>DEP-A0-3902</t>
  </si>
  <si>
    <t>DEP-A0-3903</t>
  </si>
  <si>
    <t>DEP-A0-3904</t>
  </si>
  <si>
    <t>DEP-A0-3905</t>
  </si>
  <si>
    <t>DEP-A0-3906</t>
  </si>
  <si>
    <t>DEP-A0-3907</t>
  </si>
  <si>
    <t>DEP-A0-3908</t>
  </si>
  <si>
    <t>DEP-A0-3909</t>
  </si>
  <si>
    <t>DEP-A0-3910</t>
  </si>
  <si>
    <t>DEP-A0-3911</t>
  </si>
  <si>
    <t>DEP-A0-3912</t>
  </si>
  <si>
    <t>DEP-A0-3913</t>
  </si>
  <si>
    <t>DEP-A0-3914</t>
  </si>
  <si>
    <t>DEP-A0-3915</t>
  </si>
  <si>
    <t>DEP-A0-3916</t>
  </si>
  <si>
    <t>DEP-A0-3917</t>
  </si>
  <si>
    <t>DEP-A0-3918</t>
  </si>
  <si>
    <t>DEP-A0-3919</t>
  </si>
  <si>
    <t>DEP-A0-3920</t>
  </si>
  <si>
    <t>DEP-A0-3921</t>
  </si>
  <si>
    <t>DEP-A0-3922</t>
  </si>
  <si>
    <t>DEP-A0-3923</t>
  </si>
  <si>
    <t>DEP-A0-3924</t>
  </si>
  <si>
    <t>DEP-A0-3925</t>
  </si>
  <si>
    <t>DEP-A0-3926</t>
  </si>
  <si>
    <t>DEP-A0-3927</t>
  </si>
  <si>
    <t>DEP-A0-3928</t>
  </si>
  <si>
    <t>DEP-A0-3929</t>
  </si>
  <si>
    <t>DEP-A0-3930</t>
  </si>
  <si>
    <t>DEP-A0-3931</t>
  </si>
  <si>
    <t>DEP-A0-3932</t>
  </si>
  <si>
    <t>DEP-A0-3933</t>
  </si>
  <si>
    <t>DEP-A0-3934</t>
  </si>
  <si>
    <t>DEP-A0-3935</t>
  </si>
  <si>
    <t>DEP-A0-3936</t>
  </si>
  <si>
    <t>DEP-A0-3937</t>
  </si>
  <si>
    <t>DEP-A0-3938</t>
  </si>
  <si>
    <t>DEP-A0-3939</t>
  </si>
  <si>
    <t>DEP-A0-3940</t>
  </si>
  <si>
    <t>DEP-A0-3941</t>
  </si>
  <si>
    <t>DEP-A0-3942</t>
  </si>
  <si>
    <t>DEP-A0-3943</t>
  </si>
  <si>
    <t>DEP-A0-3944</t>
  </si>
  <si>
    <t>DEP-A0-3945</t>
  </si>
  <si>
    <t>DEP-A0-3946</t>
  </si>
  <si>
    <t>DEP-A0-3947</t>
  </si>
  <si>
    <t>DEP-A0-3948</t>
  </si>
  <si>
    <t>DEP-A0-3949</t>
  </si>
  <si>
    <t>DEP-A0-3950</t>
  </si>
  <si>
    <t>DEP-A0-3951</t>
  </si>
  <si>
    <t>DEP-A0-3952</t>
  </si>
  <si>
    <t>DEP-A0-3953</t>
  </si>
  <si>
    <t>DEP-A0-3954</t>
  </si>
  <si>
    <t>DEP-A0-3955</t>
  </si>
  <si>
    <t>DEP-A0-3956</t>
  </si>
  <si>
    <t>DEP-A0-3957</t>
  </si>
  <si>
    <t>DEP-A0-3958</t>
  </si>
  <si>
    <t>DEP-A0-3959</t>
  </si>
  <si>
    <t>DEP-A0-3960</t>
  </si>
  <si>
    <t>DEP-A0-3961</t>
  </si>
  <si>
    <t>DEP-A0-3962</t>
  </si>
  <si>
    <t>DEP-A0-3963</t>
  </si>
  <si>
    <t>DEP-A0-3964</t>
  </si>
  <si>
    <t>DEP-A0-3965</t>
  </si>
  <si>
    <t>DEP-A0-3966</t>
  </si>
  <si>
    <t>DEP-A0-3967</t>
  </si>
  <si>
    <t>DEP-A0-3968</t>
  </si>
  <si>
    <t>DEP-A0-3969</t>
  </si>
  <si>
    <t>DEP-A0-3970</t>
  </si>
  <si>
    <t>DEP-A0-3971</t>
  </si>
  <si>
    <t>DEP-A0-3972</t>
  </si>
  <si>
    <t>DEP-A0-3973</t>
  </si>
  <si>
    <t>DEP-A0-3974</t>
  </si>
  <si>
    <t>DEP-A0-3975</t>
  </si>
  <si>
    <t>DEP-A0-3976</t>
  </si>
  <si>
    <t>DEP-A0-3977</t>
  </si>
  <si>
    <t>DEP-A0-3978</t>
  </si>
  <si>
    <t>DEP-A0-3979</t>
  </si>
  <si>
    <t>DEP-A0-3980</t>
  </si>
  <si>
    <t>DEP-A0-3981</t>
  </si>
  <si>
    <t>DEP-A0-3982</t>
  </si>
  <si>
    <t>DEP-A0-3983</t>
  </si>
  <si>
    <t>DEP-A0-3984</t>
  </si>
  <si>
    <t>DEP-A0-3985</t>
  </si>
  <si>
    <t>DEP-A0-3986</t>
  </si>
  <si>
    <t>DEP-A0-3987</t>
  </si>
  <si>
    <t>DEP-A0-3988</t>
  </si>
  <si>
    <t>DEP-A0-3989</t>
  </si>
  <si>
    <t>DEP-A0-3990</t>
  </si>
  <si>
    <t>DEP-A0-3991</t>
  </si>
  <si>
    <t>DEP-A0-3992</t>
  </si>
  <si>
    <t>DEP-A0-3993</t>
  </si>
  <si>
    <t>DEP-A0-3994</t>
  </si>
  <si>
    <t>DEP-A0-3995</t>
  </si>
  <si>
    <t>DEP-A0-3996</t>
  </si>
  <si>
    <t>DEP-A0-3997</t>
  </si>
  <si>
    <t>DEP-A0-3998</t>
  </si>
  <si>
    <t>DEP-A0-3999</t>
  </si>
  <si>
    <t>DEP-A0-4000</t>
  </si>
  <si>
    <t>DEP-A0-4001</t>
  </si>
  <si>
    <t>DEP-A0-4002</t>
  </si>
  <si>
    <t>DEP-A0-4003</t>
  </si>
  <si>
    <t>DEP-A0-4004</t>
  </si>
  <si>
    <t>DEP-A0-4005</t>
  </si>
  <si>
    <t>DEP-A0-4006</t>
  </si>
  <si>
    <t>DEP-A0-4007</t>
  </si>
  <si>
    <t>DEP-A0-4008</t>
  </si>
  <si>
    <t>DEP-A0-4009</t>
  </si>
  <si>
    <t>DEP-A0-4010</t>
  </si>
  <si>
    <t>DEP-A0-4011</t>
  </si>
  <si>
    <t>DEP-A0-4012</t>
  </si>
  <si>
    <t>DEP-A0-4013</t>
  </si>
  <si>
    <t>DEP-A0-4014</t>
  </si>
  <si>
    <t>DEP-A0-4015</t>
  </si>
  <si>
    <t>DEP-A0-4016</t>
  </si>
  <si>
    <t>DEP-A0-4017</t>
  </si>
  <si>
    <t>DEP-A0-4018</t>
  </si>
  <si>
    <t>DEP-A0-4019</t>
  </si>
  <si>
    <t>DEP-A0-4020</t>
  </si>
  <si>
    <t>DEP-A0-4021</t>
  </si>
  <si>
    <t>DEP-A0-4022</t>
  </si>
  <si>
    <t>DEP-A0-4023</t>
  </si>
  <si>
    <t>DEP-A0-4024</t>
  </si>
  <si>
    <t>DEP-A0-4025</t>
  </si>
  <si>
    <t>DEP-A0-4026</t>
  </si>
  <si>
    <t>DEP-A0-4027</t>
  </si>
  <si>
    <t>DEP-A0-4028</t>
  </si>
  <si>
    <t>DEP-A0-4029</t>
  </si>
  <si>
    <t>DEP-A0-4030</t>
  </si>
  <si>
    <t>DEP-A0-4031</t>
  </si>
  <si>
    <t>DEP-A0-4032</t>
  </si>
  <si>
    <t>DEP-A0-4033</t>
  </si>
  <si>
    <t>DEP-A0-4034</t>
  </si>
  <si>
    <t>DEP-A0-4035</t>
  </si>
  <si>
    <t>DEP-A0-4036</t>
  </si>
  <si>
    <t>DEP-A0-4037</t>
  </si>
  <si>
    <t>DEP-A0-4038</t>
  </si>
  <si>
    <t>DEP-A0-4039</t>
  </si>
  <si>
    <t>DEP-A0-4040</t>
  </si>
  <si>
    <t>DEP-A0-4041</t>
  </si>
  <si>
    <t>DEP-A0-4042</t>
  </si>
  <si>
    <t>DEP-A0-4043</t>
  </si>
  <si>
    <t>DEP-A0-4044</t>
  </si>
  <si>
    <t>DEP-A0-4045</t>
  </si>
  <si>
    <t>DEP-A0-4046</t>
  </si>
  <si>
    <t>DEP-A0-4047</t>
  </si>
  <si>
    <t>DEP-A0-4048</t>
  </si>
  <si>
    <t>DEP-A0-4049</t>
  </si>
  <si>
    <t>DEP-A0-4050</t>
  </si>
  <si>
    <t>DEP-A0-4051</t>
  </si>
  <si>
    <t>DEP-A0-4052</t>
  </si>
  <si>
    <t>DEP-A0-4053</t>
  </si>
  <si>
    <t>DEP-A0-4054</t>
  </si>
  <si>
    <t>DEP-A0-4055</t>
  </si>
  <si>
    <t>DEP-A0-4056</t>
  </si>
  <si>
    <t>DEP-A0-4057</t>
  </si>
  <si>
    <t>DEP-A0-4058</t>
  </si>
  <si>
    <t>DEP-A0-4059</t>
  </si>
  <si>
    <t>DEP-A0-4060</t>
  </si>
  <si>
    <t>DEP-A0-4061</t>
  </si>
  <si>
    <t>DEP-A0-4062</t>
  </si>
  <si>
    <t>DEP-A0-4063</t>
  </si>
  <si>
    <t>DEP-A0-4064</t>
  </si>
  <si>
    <t>DEP-A0-4065</t>
  </si>
  <si>
    <t>DEP-A0-4066</t>
  </si>
  <si>
    <t>DEP-A0-4067</t>
  </si>
  <si>
    <t>DEP-A0-4068</t>
  </si>
  <si>
    <t>DEP-A0-4069</t>
  </si>
  <si>
    <t>DEP-A0-4070</t>
  </si>
  <si>
    <t>DEP-A0-4071</t>
  </si>
  <si>
    <t>DEP-A0-4072</t>
  </si>
  <si>
    <t>DEP-A0-4073</t>
  </si>
  <si>
    <t>DEP-A0-4074</t>
  </si>
  <si>
    <t>DEP-A0-4075</t>
  </si>
  <si>
    <t>DEP-A0-4076</t>
  </si>
  <si>
    <t>DEP-A0-4077</t>
  </si>
  <si>
    <t>DEP-A0-4078</t>
  </si>
  <si>
    <t>DEP-A0-4079</t>
  </si>
  <si>
    <t>DEP-A0-4080</t>
  </si>
  <si>
    <t>DEP-A0-4081</t>
  </si>
  <si>
    <t>DEP-A0-4082</t>
  </si>
  <si>
    <t>DEP-A0-4083</t>
  </si>
  <si>
    <t>DEP-A0-4084</t>
  </si>
  <si>
    <t>DEP-A0-4085</t>
  </si>
  <si>
    <t>DEP-A0-4086</t>
  </si>
  <si>
    <t>DEP-A0-4087</t>
  </si>
  <si>
    <t>DEP-A0-4088</t>
  </si>
  <si>
    <t>DEP-A0-4089</t>
  </si>
  <si>
    <t>DEP-A0-4090</t>
  </si>
  <si>
    <t>DEP-A0-4091</t>
  </si>
  <si>
    <t>DEP-A0-4092</t>
  </si>
  <si>
    <t>DEP-A0-4093</t>
  </si>
  <si>
    <t>DEP-A0-4094</t>
  </si>
  <si>
    <t>DEP-A0-4095</t>
  </si>
  <si>
    <t>DEP-A0-4096</t>
  </si>
  <si>
    <t>DEP-A0-4097</t>
  </si>
  <si>
    <t>DEP-A0-4098</t>
  </si>
  <si>
    <t>DEP-A0-4099</t>
  </si>
  <si>
    <t>DEP-A0-4100</t>
  </si>
  <si>
    <t>DEP-A0-4101</t>
  </si>
  <si>
    <t>DEP-A0-4102</t>
  </si>
  <si>
    <t>DEP-A0-4103</t>
  </si>
  <si>
    <t>DEP-A0-4104</t>
  </si>
  <si>
    <t>DEP-A0-4105</t>
  </si>
  <si>
    <t>DEP-A0-4106</t>
  </si>
  <si>
    <t>DEP-A0-4107</t>
  </si>
  <si>
    <t>DEP-A0-4108</t>
  </si>
  <si>
    <t>DEP-A0-4109</t>
  </si>
  <si>
    <t>DEP-A0-4110</t>
  </si>
  <si>
    <t>DEP-A0-4111</t>
  </si>
  <si>
    <t>DEP-A0-4112</t>
  </si>
  <si>
    <t>DEP-A0-4113</t>
  </si>
  <si>
    <t>DEP-A0-4114</t>
  </si>
  <si>
    <t>DEP-A0-4115</t>
  </si>
  <si>
    <t>DEP-A0-4116</t>
  </si>
  <si>
    <t>DEP-A0-4117</t>
  </si>
  <si>
    <t>DEP-A0-4118</t>
  </si>
  <si>
    <t>DEP-A0-4119</t>
  </si>
  <si>
    <t>DEP-A0-4120</t>
  </si>
  <si>
    <t>DEP-A0-4121</t>
  </si>
  <si>
    <t>DEP-A0-4122</t>
  </si>
  <si>
    <t>DEP-A0-4123</t>
  </si>
  <si>
    <t>DEP-A0-4124</t>
  </si>
  <si>
    <t>DEP-A0-4125</t>
  </si>
  <si>
    <t>DEP-A0-4126</t>
  </si>
  <si>
    <t>DEP-A0-4127</t>
  </si>
  <si>
    <t>DEP-A0-4128</t>
  </si>
  <si>
    <t>DEP-A0-4129</t>
  </si>
  <si>
    <t>DEP-A0-4130</t>
  </si>
  <si>
    <t>DEP-A0-4131</t>
  </si>
  <si>
    <t>DEP-A0-4132</t>
  </si>
  <si>
    <t>DEP-A0-4133</t>
  </si>
  <si>
    <t>DEP-A0-4134</t>
  </si>
  <si>
    <t>DEP-A0-4135</t>
  </si>
  <si>
    <t>DEP-A0-4136</t>
  </si>
  <si>
    <t>DEP-A0-4137</t>
  </si>
  <si>
    <t>DEP-A0-4138</t>
  </si>
  <si>
    <t>DEP-A0-4139</t>
  </si>
  <si>
    <t>DEP-A0-4140</t>
  </si>
  <si>
    <t>DEP-A0-4141</t>
  </si>
  <si>
    <t>DEP-A0-4142</t>
  </si>
  <si>
    <t>DEP-A0-4143</t>
  </si>
  <si>
    <t>DEP-A0-4144</t>
  </si>
  <si>
    <t>DEP-A0-4145</t>
  </si>
  <si>
    <t>DEP-A0-4146</t>
  </si>
  <si>
    <t>DEP-A0-4147</t>
  </si>
  <si>
    <t>DEP-A0-4148</t>
  </si>
  <si>
    <t>DEP-A0-4149</t>
  </si>
  <si>
    <t>DEP-A0-4150</t>
  </si>
  <si>
    <t>DEP-A0-4151</t>
  </si>
  <si>
    <t>DEP-A0-4152</t>
  </si>
  <si>
    <t>DEP-A0-4153</t>
  </si>
  <si>
    <t>DEP-A0-4154</t>
  </si>
  <si>
    <t>DEP-A0-4155</t>
  </si>
  <si>
    <t>DEP-A0-4156</t>
  </si>
  <si>
    <t>DEP-A0-4157</t>
  </si>
  <si>
    <t>DEP-A0-4158</t>
  </si>
  <si>
    <t>DEP-A0-4159</t>
  </si>
  <si>
    <t>DEP-A0-4160</t>
  </si>
  <si>
    <t>DEP-A0-4161</t>
  </si>
  <si>
    <t>DEP-A0-4162</t>
  </si>
  <si>
    <t>DEP-A0-4163</t>
  </si>
  <si>
    <t>DEP-A0-4164</t>
  </si>
  <si>
    <t>DEP-A0-4165</t>
  </si>
  <si>
    <t>DEP-A0-4166</t>
  </si>
  <si>
    <t>DEP-A0-4167</t>
  </si>
  <si>
    <t>DEP-A0-4168</t>
  </si>
  <si>
    <t>DEP-A0-4169</t>
  </si>
  <si>
    <t>DEP-A0-4170</t>
  </si>
  <si>
    <t>DEP-A0-4171</t>
  </si>
  <si>
    <t>DEP-A0-4172</t>
  </si>
  <si>
    <t>DEP-A0-4173</t>
  </si>
  <si>
    <t>DEP-A0-4174</t>
  </si>
  <si>
    <t>DEP-A0-4175</t>
  </si>
  <si>
    <t>DEP-A0-4176</t>
  </si>
  <si>
    <t>DEP-A0-4177</t>
  </si>
  <si>
    <t>DEP-A0-4178</t>
  </si>
  <si>
    <t>DEP-A0-4179</t>
  </si>
  <si>
    <t>DEP-A0-4180</t>
  </si>
  <si>
    <t>DEP-A0-4181</t>
  </si>
  <si>
    <t>DEP-A0-4182</t>
  </si>
  <si>
    <t>DEP-A0-4183</t>
  </si>
  <si>
    <t>DEP-A0-4184</t>
  </si>
  <si>
    <t>DEP-A0-4185</t>
  </si>
  <si>
    <t>DEP-A0-4186</t>
  </si>
  <si>
    <t>DEP-A0-4187</t>
  </si>
  <si>
    <t>DEP-A0-4188</t>
  </si>
  <si>
    <t>DEP-A0-4189</t>
  </si>
  <si>
    <t>DEP-A0-4190</t>
  </si>
  <si>
    <t>DEP-A0-4191</t>
  </si>
  <si>
    <t>DEP-A0-4192</t>
  </si>
  <si>
    <t>DEP-A0-4193</t>
  </si>
  <si>
    <t>DEP-A0-4194</t>
  </si>
  <si>
    <t>DEP-A0-4195</t>
  </si>
  <si>
    <t>DEP-A0-4196</t>
  </si>
  <si>
    <t>DEP-A0-4197</t>
  </si>
  <si>
    <t>DEP-A0-4198</t>
  </si>
  <si>
    <t>DEP-A0-4199</t>
  </si>
  <si>
    <t>DEP-A0-4200</t>
  </si>
  <si>
    <t>DEP-A0-4201</t>
  </si>
  <si>
    <t>DEP-A0-4202</t>
  </si>
  <si>
    <t>DEP-A0-4203</t>
  </si>
  <si>
    <t>DEP-A0-4204</t>
  </si>
  <si>
    <t>DEP-A0-4205</t>
  </si>
  <si>
    <t>DEP-A0-4206</t>
  </si>
  <si>
    <t>DEP-A0-4207</t>
  </si>
  <si>
    <t>DEP-A0-4208</t>
  </si>
  <si>
    <t>DEP-A0-4209</t>
  </si>
  <si>
    <t>DEP-A0-4210</t>
  </si>
  <si>
    <t>DEP-A0-4211</t>
  </si>
  <si>
    <t>DEP-A0-4212</t>
  </si>
  <si>
    <t>DEP-A0-4213</t>
  </si>
  <si>
    <t>DEP-A0-4214</t>
  </si>
  <si>
    <t>DEP-A0-4215</t>
  </si>
  <si>
    <t>DEP-A0-4216</t>
  </si>
  <si>
    <t>DEP-A0-4217</t>
  </si>
  <si>
    <t>DEP-A0-4218</t>
  </si>
  <si>
    <t>DEP-A0-4219</t>
  </si>
  <si>
    <t>DEP-A0-4220</t>
  </si>
  <si>
    <t>DEP-A0-4221</t>
  </si>
  <si>
    <t>DEP-A0-4222</t>
  </si>
  <si>
    <t>DEP-A0-4223</t>
  </si>
  <si>
    <t>DEP-A0-4224</t>
  </si>
  <si>
    <t>DEP-A0-4225</t>
  </si>
  <si>
    <t>DEP-A0-4226</t>
  </si>
  <si>
    <t>DEP-A0-4227</t>
  </si>
  <si>
    <t>DEP-A0-4228</t>
  </si>
  <si>
    <t>DEP-A0-4229</t>
  </si>
  <si>
    <t>DEP-A0-4230</t>
  </si>
  <si>
    <t>DEP-A0-4231</t>
  </si>
  <si>
    <t>DEP-A0-4232</t>
  </si>
  <si>
    <t>DEP-A0-4233</t>
  </si>
  <si>
    <t>DEP-A0-4234</t>
  </si>
  <si>
    <t>DEP-A0-4235</t>
  </si>
  <si>
    <t>DEP-A0-4236</t>
  </si>
  <si>
    <t>DEP-A0-4237</t>
  </si>
  <si>
    <t>DEP-A0-4238</t>
  </si>
  <si>
    <t>DEP-A0-4239</t>
  </si>
  <si>
    <t>DEP-A0-4240</t>
  </si>
  <si>
    <t>DEP-A0-4241</t>
  </si>
  <si>
    <t>DEP-A0-4242</t>
  </si>
  <si>
    <t>DEP-A0-4243</t>
  </si>
  <si>
    <t>DEP-A0-4244</t>
  </si>
  <si>
    <t>DEP-A0-4245</t>
  </si>
  <si>
    <t>DEP-A0-4246</t>
  </si>
  <si>
    <t>DEP-A0-4247</t>
  </si>
  <si>
    <t>DEP-A0-4248</t>
  </si>
  <si>
    <t>DEP-A0-4249</t>
  </si>
  <si>
    <t>DEP-A0-4250</t>
  </si>
  <si>
    <t>DEP-A0-4251</t>
  </si>
  <si>
    <t>DEP-A0-4252</t>
  </si>
  <si>
    <t>DEP-A0-4253</t>
  </si>
  <si>
    <t>DEP-A0-4254</t>
  </si>
  <si>
    <t>DEP-A0-4255</t>
  </si>
  <si>
    <t>DEP-A0-4256</t>
  </si>
  <si>
    <t>DEP-A0-4257</t>
  </si>
  <si>
    <t>DEP-A0-4258</t>
  </si>
  <si>
    <t>DEP-A0-4259</t>
  </si>
  <si>
    <t>DEP-A0-4260</t>
  </si>
  <si>
    <t>DEP-A0-4261</t>
  </si>
  <si>
    <t>DEP-A0-4262</t>
  </si>
  <si>
    <t>DEP-A0-4263</t>
  </si>
  <si>
    <t>DEP-A0-4264</t>
  </si>
  <si>
    <t>DEP-A0-4265</t>
  </si>
  <si>
    <t>DEP-A0-4266</t>
  </si>
  <si>
    <t>DEP-A0-4267</t>
  </si>
  <si>
    <t>DEP-A0-4268</t>
  </si>
  <si>
    <t>DEP-A0-4269</t>
  </si>
  <si>
    <t>DEP-A0-4270</t>
  </si>
  <si>
    <t>DEP-A0-4271</t>
  </si>
  <si>
    <t>DEP-A0-4272</t>
  </si>
  <si>
    <t>DEP-A0-4273</t>
  </si>
  <si>
    <t>DEP-A0-4274</t>
  </si>
  <si>
    <t>DEP-A0-4275</t>
  </si>
  <si>
    <t>DEP-A0-4276</t>
  </si>
  <si>
    <t>DEP-A0-4277</t>
  </si>
  <si>
    <t>DEP-A0-4278</t>
  </si>
  <si>
    <t>DEP-A0-4279</t>
  </si>
  <si>
    <t>DEP-A0-4280</t>
  </si>
  <si>
    <t>DEP-A0-4281</t>
  </si>
  <si>
    <t>DEP-A0-4282</t>
  </si>
  <si>
    <t>DEP-A0-4283</t>
  </si>
  <si>
    <t>DEP-A0-4284</t>
  </si>
  <si>
    <t>DEP-A0-4285</t>
  </si>
  <si>
    <t>DEP-A0-4286</t>
  </si>
  <si>
    <t>DEP-A0-4287</t>
  </si>
  <si>
    <t>DEP-A0-4288</t>
  </si>
  <si>
    <t>DEP-A0-4289</t>
  </si>
  <si>
    <t>DEP-A0-4290</t>
  </si>
  <si>
    <t>DEP-A0-4291</t>
  </si>
  <si>
    <t>DEP-A0-4292</t>
  </si>
  <si>
    <t>DEP-A0-4293</t>
  </si>
  <si>
    <t>DEP-A0-4294</t>
  </si>
  <si>
    <t>DEP-A0-4295</t>
  </si>
  <si>
    <t>DEP-A0-4296</t>
  </si>
  <si>
    <t>DEP-A0-4297</t>
  </si>
  <si>
    <t>DEP-A0-4298</t>
  </si>
  <si>
    <t>DEP-A0-4299</t>
  </si>
  <si>
    <t>DEP-A0-4300</t>
  </si>
  <si>
    <t>DEP-A0-4301</t>
  </si>
  <si>
    <t>DEP-A0-4302</t>
  </si>
  <si>
    <t>DEP-A0-4303</t>
  </si>
  <si>
    <t>DEP-A0-4304</t>
  </si>
  <si>
    <t>DEP-A0-4305</t>
  </si>
  <si>
    <t>DEP-A0-4306</t>
  </si>
  <si>
    <t>DEP-A0-4307</t>
  </si>
  <si>
    <t>DEP-A0-4308</t>
  </si>
  <si>
    <t>DEP-A0-4309</t>
  </si>
  <si>
    <t>DEP-A0-4310</t>
  </si>
  <si>
    <t>DEP-A0-4311</t>
  </si>
  <si>
    <t>DEP-A0-4312</t>
  </si>
  <si>
    <t>DEP-A0-4313</t>
  </si>
  <si>
    <t>DEP-A0-4314</t>
  </si>
  <si>
    <t>DEP-A0-4315</t>
  </si>
  <si>
    <t>DEP-A0-4316</t>
  </si>
  <si>
    <t>DEP-A0-4317</t>
  </si>
  <si>
    <t>DEP-A0-4318</t>
  </si>
  <si>
    <t>DEP-A0-4319</t>
  </si>
  <si>
    <t>DEP-A0-4320</t>
  </si>
  <si>
    <t>DEP-A0-4321</t>
  </si>
  <si>
    <t>DEP-A0-4322</t>
  </si>
  <si>
    <t>DEP-A0-4323</t>
  </si>
  <si>
    <t>DEP-A0-4324</t>
  </si>
  <si>
    <t>DEP-A0-4325</t>
  </si>
  <si>
    <t>DEP-A0-4326</t>
  </si>
  <si>
    <t>DEP-A0-4327</t>
  </si>
  <si>
    <t>DEP-A0-4328</t>
  </si>
  <si>
    <t>DEP-A0-4329</t>
  </si>
  <si>
    <t>DEP-A0-4330</t>
  </si>
  <si>
    <t>DEP-A0-4331</t>
  </si>
  <si>
    <t>DEP-A0-4332</t>
  </si>
  <si>
    <t>DEP-A0-4333</t>
  </si>
  <si>
    <t>DEP-A0-4334</t>
  </si>
  <si>
    <t>DEP-A0-4335</t>
  </si>
  <si>
    <t>DEP-A0-4336</t>
  </si>
  <si>
    <t>DEP-A0-4337</t>
  </si>
  <si>
    <t>DEP-A0-4338</t>
  </si>
  <si>
    <t>DEP-A0-4339</t>
  </si>
  <si>
    <t>DEP-A0-4340</t>
  </si>
  <si>
    <t>DEP-A0-4341</t>
  </si>
  <si>
    <t>DEP-A0-4342</t>
  </si>
  <si>
    <t>DEP-A0-4343</t>
  </si>
  <si>
    <t>DEP-A0-4344</t>
  </si>
  <si>
    <t>DEP-A0-4345</t>
  </si>
  <si>
    <t>DEP-A0-4346</t>
  </si>
  <si>
    <t>DEP-A0-4347</t>
  </si>
  <si>
    <t>DEP-A0-4348</t>
  </si>
  <si>
    <t>DEP-A0-4349</t>
  </si>
  <si>
    <t>DEP-A0-4350</t>
  </si>
  <si>
    <t>DEP-A0-4351</t>
  </si>
  <si>
    <t>DEP-A0-4352</t>
  </si>
  <si>
    <t>DEP-A0-4353</t>
  </si>
  <si>
    <t>DEP-A0-4354</t>
  </si>
  <si>
    <t>DEP-A0-4355</t>
  </si>
  <si>
    <t>DEP-A0-4356</t>
  </si>
  <si>
    <t>DEP-A0-4357</t>
  </si>
  <si>
    <t>DEP-A0-4358</t>
  </si>
  <si>
    <t>DEP-A0-4359</t>
  </si>
  <si>
    <t>DEP-A0-4360</t>
  </si>
  <si>
    <t>DEP-A0-4361</t>
  </si>
  <si>
    <t>DEP-A0-4362</t>
  </si>
  <si>
    <t>DEP-A0-4363</t>
  </si>
  <si>
    <t>DEP-A0-4364</t>
  </si>
  <si>
    <t>DEP-A0-4365</t>
  </si>
  <si>
    <t>DEP-A0-4366</t>
  </si>
  <si>
    <t>DEP-A0-4367</t>
  </si>
  <si>
    <t>DEP-A0-4368</t>
  </si>
  <si>
    <t>DEP-A0-4369</t>
  </si>
  <si>
    <t>DEP-A0-4370</t>
  </si>
  <si>
    <t>DEP-A0-4371</t>
  </si>
  <si>
    <t>DEP-A0-4372</t>
  </si>
  <si>
    <t>DEP-A0-4373</t>
  </si>
  <si>
    <t>DEP-A0-4374</t>
  </si>
  <si>
    <t>DEP-A0-4375</t>
  </si>
  <si>
    <t>DEP-A0-4376</t>
  </si>
  <si>
    <t>DEP-A0-4377</t>
  </si>
  <si>
    <t>DEP-A0-4378</t>
  </si>
  <si>
    <t>DEP-A0-4379</t>
  </si>
  <si>
    <t>DEP-A0-4380</t>
  </si>
  <si>
    <t>DEP-A0-4381</t>
  </si>
  <si>
    <t>DEP-A0-4382</t>
  </si>
  <si>
    <t>DEP-A0-4383</t>
  </si>
  <si>
    <t>DEP-A0-4384</t>
  </si>
  <si>
    <t>DEP-A0-4385</t>
  </si>
  <si>
    <t>DEP-A0-4386</t>
  </si>
  <si>
    <t>DEP-A0-4387</t>
  </si>
  <si>
    <t>DEP-A0-4388</t>
  </si>
  <si>
    <t>DEP-A0-4389</t>
  </si>
  <si>
    <t>DEP-A0-4390</t>
  </si>
  <si>
    <t>DEP-A0-4391</t>
  </si>
  <si>
    <t>DEP-A0-4392</t>
  </si>
  <si>
    <t>DEP-A0-4393</t>
  </si>
  <si>
    <t>DEP-A0-4394</t>
  </si>
  <si>
    <t>DEP-A0-4395</t>
  </si>
  <si>
    <t>DEP-A0-4396</t>
  </si>
  <si>
    <t>DEP-A0-4397</t>
  </si>
  <si>
    <t>DEP-A0-4398</t>
  </si>
  <si>
    <t>DEP-A0-4399</t>
  </si>
  <si>
    <t>DEP-A0-4400</t>
  </si>
  <si>
    <t>DEP-A0-4401</t>
  </si>
  <si>
    <t>DEP-A0-4402</t>
  </si>
  <si>
    <t>DEP-A0-4403</t>
  </si>
  <si>
    <t>DEP-A0-4404</t>
  </si>
  <si>
    <t>DEP-A0-4405</t>
  </si>
  <si>
    <t>DEP-A0-4406</t>
  </si>
  <si>
    <t>DEP-A0-4407</t>
  </si>
  <si>
    <t>DEP-A0-4408</t>
  </si>
  <si>
    <t>DEP-A0-4409</t>
  </si>
  <si>
    <t>DEP-A0-4410</t>
  </si>
  <si>
    <t>DEP-A0-4411</t>
  </si>
  <si>
    <t>DEP-A0-4412</t>
  </si>
  <si>
    <t>DEP-A0-4413</t>
  </si>
  <si>
    <t>DEP-A0-4414</t>
  </si>
  <si>
    <t>DEP-A0-4415</t>
  </si>
  <si>
    <t>DEP-A0-4416</t>
  </si>
  <si>
    <t>DEP-A0-4417</t>
  </si>
  <si>
    <t>DEP-A0-4418</t>
  </si>
  <si>
    <t>DEP-A0-4419</t>
  </si>
  <si>
    <t>DEP-A0-4420</t>
  </si>
  <si>
    <t>DEP-A0-4421</t>
  </si>
  <si>
    <t>DEP-A0-4422</t>
  </si>
  <si>
    <t>DEP-A0-4423</t>
  </si>
  <si>
    <t>DEP-A0-4424</t>
  </si>
  <si>
    <t>DEP-A0-4425</t>
  </si>
  <si>
    <t>DEP-A0-4426</t>
  </si>
  <si>
    <t>DEP-A0-4427</t>
  </si>
  <si>
    <t>DEP-A0-4428</t>
  </si>
  <si>
    <t>DEP-A0-4429</t>
  </si>
  <si>
    <t>DEP-A0-4430</t>
  </si>
  <si>
    <t>DEP-A0-4431</t>
  </si>
  <si>
    <t>DEP-A0-4432</t>
  </si>
  <si>
    <t>DEP-A0-4433</t>
  </si>
  <si>
    <t>DEP-A0-4434</t>
  </si>
  <si>
    <t>DEP-A0-4435</t>
  </si>
  <si>
    <t>DEP-A0-4436</t>
  </si>
  <si>
    <t>DEP-A0-4437</t>
  </si>
  <si>
    <t>DEP-A0-4438</t>
  </si>
  <si>
    <t>DEP-A0-4439</t>
  </si>
  <si>
    <t>DEP-A0-4440</t>
  </si>
  <si>
    <t>DEP-A0-4441</t>
  </si>
  <si>
    <t>DEP-A0-4442</t>
  </si>
  <si>
    <t>DEP-A0-4443</t>
  </si>
  <si>
    <t>DEP-A0-4444</t>
  </si>
  <si>
    <t>DEP-A0-4445</t>
  </si>
  <si>
    <t>DEP-A0-4446</t>
  </si>
  <si>
    <t>DEP-A0-4447</t>
  </si>
  <si>
    <t>DEP-A0-4448</t>
  </si>
  <si>
    <t>DEP-A0-4449</t>
  </si>
  <si>
    <t>DEP-A0-4450</t>
  </si>
  <si>
    <t>DEP-A0-4451</t>
  </si>
  <si>
    <t>DEP-A0-4452</t>
  </si>
  <si>
    <t>DEP-A0-4453</t>
  </si>
  <si>
    <t>DEP-A0-4454</t>
  </si>
  <si>
    <t>DEP-A0-4455</t>
  </si>
  <si>
    <t>DEP-A0-4456</t>
  </si>
  <si>
    <t>DEP-A0-4457</t>
  </si>
  <si>
    <t>DEP-A0-4458</t>
  </si>
  <si>
    <t>DEP-A0-4459</t>
  </si>
  <si>
    <t>DEP-A0-4460</t>
  </si>
  <si>
    <t>DEP-A0-4461</t>
  </si>
  <si>
    <t>DEP-A0-4462</t>
  </si>
  <si>
    <t>DEP-A0-4463</t>
  </si>
  <si>
    <t>DEP-A0-4464</t>
  </si>
  <si>
    <t>DEP-A0-4465</t>
  </si>
  <si>
    <t>DEP-A0-4466</t>
  </si>
  <si>
    <t>DEP-A0-4467</t>
  </si>
  <si>
    <t>DEP-A0-4468</t>
  </si>
  <si>
    <t>DEP-A0-4469</t>
  </si>
  <si>
    <t>DEP-A0-4470</t>
  </si>
  <si>
    <t>DEP-A0-4471</t>
  </si>
  <si>
    <t>DEP-A0-4472</t>
  </si>
  <si>
    <t>DEP-A0-4473</t>
  </si>
  <si>
    <t>DEP-A0-4474</t>
  </si>
  <si>
    <t>DEP-A0-4475</t>
  </si>
  <si>
    <t>DEP-A0-4476</t>
  </si>
  <si>
    <t>DEP-A0-4477</t>
  </si>
  <si>
    <t>DEP-A0-4478</t>
  </si>
  <si>
    <t>DEP-A0-4479</t>
  </si>
  <si>
    <t>DEP-A0-4480</t>
  </si>
  <si>
    <t>DEP-A0-4481</t>
  </si>
  <si>
    <t>DEP-A0-4482</t>
  </si>
  <si>
    <t>DEP-A0-4483</t>
  </si>
  <si>
    <t>DEP-A0-4484</t>
  </si>
  <si>
    <t>DEP-A0-4485</t>
  </si>
  <si>
    <t>DEP-A0-4486</t>
  </si>
  <si>
    <t>DEP-A0-4487</t>
  </si>
  <si>
    <t>DEP-A0-4488</t>
  </si>
  <si>
    <t>DEP-A0-4489</t>
  </si>
  <si>
    <t>DEP-A0-4490</t>
  </si>
  <si>
    <t>DEP-A0-4491</t>
  </si>
  <si>
    <t>DEP-A0-4492</t>
  </si>
  <si>
    <t>DEP-A0-4493</t>
  </si>
  <si>
    <t>DEP-A0-4494</t>
  </si>
  <si>
    <t>DEP-A0-4495</t>
  </si>
  <si>
    <t>DEP-A0-4496</t>
  </si>
  <si>
    <t>DEP-A0-4497</t>
  </si>
  <si>
    <t>DEP-A0-4498</t>
  </si>
  <si>
    <t>DEP-A0-4499</t>
  </si>
  <si>
    <t>DEP-A0-4500</t>
  </si>
  <si>
    <t>DEP-A0-4501</t>
  </si>
  <si>
    <t>DEP-A0-4502</t>
  </si>
  <si>
    <t>DEP-A0-4503</t>
  </si>
  <si>
    <t>DEP-A0-4504</t>
  </si>
  <si>
    <t>DEP-A0-4505</t>
  </si>
  <si>
    <t>DEP-A0-4506</t>
  </si>
  <si>
    <t>DEP-A0-4507</t>
  </si>
  <si>
    <t>DEP-A0-4508</t>
  </si>
  <si>
    <t>DEP-A0-4509</t>
  </si>
  <si>
    <t>DEP-A0-4510</t>
  </si>
  <si>
    <t>DEP-A0-4511</t>
  </si>
  <si>
    <t>DEP-A0-4512</t>
  </si>
  <si>
    <t>DEP-A0-4513</t>
  </si>
  <si>
    <t>DEP-A0-4514</t>
  </si>
  <si>
    <t>DEP-A0-4515</t>
  </si>
  <si>
    <t>DEP-A0-4516</t>
  </si>
  <si>
    <t>DEP-A0-4517</t>
  </si>
  <si>
    <t>DEP-A0-4518</t>
  </si>
  <si>
    <t>DEP-A0-4519</t>
  </si>
  <si>
    <t>DEP-A0-4520</t>
  </si>
  <si>
    <t>DEP-A0-4521</t>
  </si>
  <si>
    <t>DEP-A0-4522</t>
  </si>
  <si>
    <t>DEP-A0-4523</t>
  </si>
  <si>
    <t>DEP-A0-4524</t>
  </si>
  <si>
    <t>DEP-A0-4525</t>
  </si>
  <si>
    <t>DEP-A0-4526</t>
  </si>
  <si>
    <t>DEP-A0-4527</t>
  </si>
  <si>
    <t>DEP-A0-4528</t>
  </si>
  <si>
    <t>DEP-A0-4529</t>
  </si>
  <si>
    <t>DEP-A0-4530</t>
  </si>
  <si>
    <t>DEP-A0-4531</t>
  </si>
  <si>
    <t>DEP-A0-4532</t>
  </si>
  <si>
    <t>DEP-A0-4533</t>
  </si>
  <si>
    <t>DEP-A0-4534</t>
  </si>
  <si>
    <t>DEP-A0-4535</t>
  </si>
  <si>
    <t>DEP-A0-4536</t>
  </si>
  <si>
    <t>DEP-A0-4537</t>
  </si>
  <si>
    <t>DEP-A0-4538</t>
  </si>
  <si>
    <t>DEP-A0-4539</t>
  </si>
  <si>
    <t>DEP-A0-4540</t>
  </si>
  <si>
    <t>DEP-A0-4541</t>
  </si>
  <si>
    <t>DEP-A0-4542</t>
  </si>
  <si>
    <t>DEP-A0-4543</t>
  </si>
  <si>
    <t>DEP-A0-4544</t>
  </si>
  <si>
    <t>DEP-A0-4545</t>
  </si>
  <si>
    <t>DEP-A0-4546</t>
  </si>
  <si>
    <t>DEP-A0-4547</t>
  </si>
  <si>
    <t>DEP-A0-4548</t>
  </si>
  <si>
    <t>DEP-A0-4549</t>
  </si>
  <si>
    <t>DEP-A0-4550</t>
  </si>
  <si>
    <t>DEP-A0-4551</t>
  </si>
  <si>
    <t>DEP-A0-4552</t>
  </si>
  <si>
    <t>DEP-A0-4553</t>
  </si>
  <si>
    <t>DEP-A0-4554</t>
  </si>
  <si>
    <t>DEP-A0-4555</t>
  </si>
  <si>
    <t>DEP-A0-4556</t>
  </si>
  <si>
    <t>DEP-A0-4557</t>
  </si>
  <si>
    <t>DEP-A0-4558</t>
  </si>
  <si>
    <t>DEP-A0-4559</t>
  </si>
  <si>
    <t>DEP-A0-4560</t>
  </si>
  <si>
    <t>DEP-A0-4561</t>
  </si>
  <si>
    <t>DEP-A0-4562</t>
  </si>
  <si>
    <t>DEP-A0-4563</t>
  </si>
  <si>
    <t>DEP-A0-4564</t>
  </si>
  <si>
    <t>DEP-A0-4565</t>
  </si>
  <si>
    <t>DEP-A0-4566</t>
  </si>
  <si>
    <t>DEP-A0-4567</t>
  </si>
  <si>
    <t>DEP-A0-4568</t>
  </si>
  <si>
    <t>DEP-A0-4569</t>
  </si>
  <si>
    <t>DEP-A0-4570</t>
  </si>
  <si>
    <t>DEP-A0-4571</t>
  </si>
  <si>
    <t>DEP-A0-4572</t>
  </si>
  <si>
    <t>DEP-A0-4573</t>
  </si>
  <si>
    <t>DEP-A0-4574</t>
  </si>
  <si>
    <t>DEP-A0-4575</t>
  </si>
  <si>
    <t>DEP-A0-4576</t>
  </si>
  <si>
    <t>DEP-A0-4577</t>
  </si>
  <si>
    <t>DEP-A0-4578</t>
  </si>
  <si>
    <t>DEP-A0-4579</t>
  </si>
  <si>
    <t>DEP-A0-4580</t>
  </si>
  <si>
    <t>DEP-A0-4581</t>
  </si>
  <si>
    <t>DEP-A0-4582</t>
  </si>
  <si>
    <t>DEP-A0-4583</t>
  </si>
  <si>
    <t>DEP-A0-4584</t>
  </si>
  <si>
    <t>DEP-A0-4585</t>
  </si>
  <si>
    <t>DEP-A0-4586</t>
  </si>
  <si>
    <t>DEP-A0-4587</t>
  </si>
  <si>
    <t>DEP-A0-4588</t>
  </si>
  <si>
    <t>DEP-A0-4589</t>
  </si>
  <si>
    <t>DEP-A0-4590</t>
  </si>
  <si>
    <t>DEP-A0-4591</t>
  </si>
  <si>
    <t>DEP-A0-4592</t>
  </si>
  <si>
    <t>DEP-A0-4593</t>
  </si>
  <si>
    <t>DEP-A0-4594</t>
  </si>
  <si>
    <t>DEP-A0-4595</t>
  </si>
  <si>
    <t>DEP-A0-4596</t>
  </si>
  <si>
    <t>DEP-A0-4597</t>
  </si>
  <si>
    <t>DEP-A0-4598</t>
  </si>
  <si>
    <t>DEP-A0-4599</t>
  </si>
  <si>
    <t>DEP-A0-4600</t>
  </si>
  <si>
    <t>DEP-A0-4601</t>
  </si>
  <si>
    <t>DEP-A0-4602</t>
  </si>
  <si>
    <t>DEP-A0-4603</t>
  </si>
  <si>
    <t>DEP-A0-4604</t>
  </si>
  <si>
    <t>DEP-A0-4605</t>
  </si>
  <si>
    <t>DEP-A0-4606</t>
  </si>
  <si>
    <t>DEP-A0-4607</t>
  </si>
  <si>
    <t>DEP-A0-4608</t>
  </si>
  <si>
    <t>DEP-A0-4609</t>
  </si>
  <si>
    <t>DEP-A0-4610</t>
  </si>
  <si>
    <t>DEP-A0-4611</t>
  </si>
  <si>
    <t>DEP-A0-4612</t>
  </si>
  <si>
    <t>DEP-A0-4613</t>
  </si>
  <si>
    <t>DEP-A0-4614</t>
  </si>
  <si>
    <t>DEP-A0-4615</t>
  </si>
  <si>
    <t>DEP-A0-4616</t>
  </si>
  <si>
    <t>DEP-A0-4617</t>
  </si>
  <si>
    <t>DEP-A0-4618</t>
  </si>
  <si>
    <t>DEP-A0-4619</t>
  </si>
  <si>
    <t>DEP-A0-4620</t>
  </si>
  <si>
    <t>DEP-A0-4621</t>
  </si>
  <si>
    <t>DEP-A0-4622</t>
  </si>
  <si>
    <t>DEP-A0-4623</t>
  </si>
  <si>
    <t>DEP-A0-4624</t>
  </si>
  <si>
    <t>DEP-A0-4625</t>
  </si>
  <si>
    <t>DEP-A0-4626</t>
  </si>
  <si>
    <t>DEP-A0-4627</t>
  </si>
  <si>
    <t>DEP-A0-4628</t>
  </si>
  <si>
    <t>DEP-A0-4629</t>
  </si>
  <si>
    <t>DEP-A0-4630</t>
  </si>
  <si>
    <t>DEP-A0-4631</t>
  </si>
  <si>
    <t>DEP-A0-4632</t>
  </si>
  <si>
    <t>DEP-A0-4633</t>
  </si>
  <si>
    <t>DEP-A0-4634</t>
  </si>
  <si>
    <t>DEP-A0-4635</t>
  </si>
  <si>
    <t>DEP-A0-4636</t>
  </si>
  <si>
    <t>DEP-A0-4637</t>
  </si>
  <si>
    <t>DEP-A0-4638</t>
  </si>
  <si>
    <t>DEP-A0-4639</t>
  </si>
  <si>
    <t>DEP-A0-4640</t>
  </si>
  <si>
    <t>DEP-A0-4641</t>
  </si>
  <si>
    <t>DEP-A0-4642</t>
  </si>
  <si>
    <t>DEP-A0-4643</t>
  </si>
  <si>
    <t>DEP-A0-4644</t>
  </si>
  <si>
    <t>DEP-A0-4645</t>
  </si>
  <si>
    <t>DEP-A0-4646</t>
  </si>
  <si>
    <t>DEP-A0-4647</t>
  </si>
  <si>
    <t>DEP-A0-4648</t>
  </si>
  <si>
    <t>DEP-A0-4649</t>
  </si>
  <si>
    <t>DEP-A0-4650</t>
  </si>
  <si>
    <t>DEP-A0-4651</t>
  </si>
  <si>
    <t>DEP-A0-4652</t>
  </si>
  <si>
    <t>DEP-A0-4653</t>
  </si>
  <si>
    <t>DEP-A0-4654</t>
  </si>
  <si>
    <t>DEP-A0-4655</t>
  </si>
  <si>
    <t>DEP-A0-4656</t>
  </si>
  <si>
    <t>DEP-A0-4657</t>
  </si>
  <si>
    <t>DEP-A0-4658</t>
  </si>
  <si>
    <t>DEP-A0-4659</t>
  </si>
  <si>
    <t>DEP-A0-4660</t>
  </si>
  <si>
    <t>DEP-A0-4661</t>
  </si>
  <si>
    <t>DEP-A0-4662</t>
  </si>
  <si>
    <t>DEP-A0-4663</t>
  </si>
  <si>
    <t>DEP-A0-4664</t>
  </si>
  <si>
    <t>DEP-A0-4665</t>
  </si>
  <si>
    <t>DEP-A0-4666</t>
  </si>
  <si>
    <t>DEP-A0-4667</t>
  </si>
  <si>
    <t>DEP-A0-4668</t>
  </si>
  <si>
    <t>DEP-A0-4669</t>
  </si>
  <si>
    <t>DEP-A0-4670</t>
  </si>
  <si>
    <t>DEP-A0-4671</t>
  </si>
  <si>
    <t>DEP-A0-4672</t>
  </si>
  <si>
    <t>DEP-A0-4673</t>
  </si>
  <si>
    <t>DEP-A0-4674</t>
  </si>
  <si>
    <t>DEP-A0-4675</t>
  </si>
  <si>
    <t>DEP-A0-4676</t>
  </si>
  <si>
    <t>DEP-A0-4677</t>
  </si>
  <si>
    <t>DEP-A0-4678</t>
  </si>
  <si>
    <t>DEP-A0-4679</t>
  </si>
  <si>
    <t>DEP-A0-4680</t>
  </si>
  <si>
    <t>DEP-A0-4681</t>
  </si>
  <si>
    <t>DEP-A0-4682</t>
  </si>
  <si>
    <t>DEP-A0-4683</t>
  </si>
  <si>
    <t>DEP-A0-4684</t>
  </si>
  <si>
    <t>DEP-A0-4685</t>
  </si>
  <si>
    <t>DEP-A0-4686</t>
  </si>
  <si>
    <t>DEP-A0-4687</t>
  </si>
  <si>
    <t>DEP-A0-4688</t>
  </si>
  <si>
    <t>DEP-A0-4689</t>
  </si>
  <si>
    <t>DEP-A0-4690</t>
  </si>
  <si>
    <t>DEP-A0-4691</t>
  </si>
  <si>
    <t>DEP-A0-4692</t>
  </si>
  <si>
    <t>DEP-A0-4693</t>
  </si>
  <si>
    <t>DEP-A0-4694</t>
  </si>
  <si>
    <t>DEP-A0-4695</t>
  </si>
  <si>
    <t>DEP-A0-4696</t>
  </si>
  <si>
    <t>DEP-A0-4697</t>
  </si>
  <si>
    <t>DEP-A0-4698</t>
  </si>
  <si>
    <t>DEP-A0-4699</t>
  </si>
  <si>
    <t>DEP-A0-4700</t>
  </si>
  <si>
    <t>DEP-A0-4701</t>
  </si>
  <si>
    <t>DEP-A0-4702</t>
  </si>
  <si>
    <t>DEP-A0-4703</t>
  </si>
  <si>
    <t>DEP-A0-4704</t>
  </si>
  <si>
    <t>DEP-A0-4705</t>
  </si>
  <si>
    <t>DEP-A0-4706</t>
  </si>
  <si>
    <t>DEP-A0-4707</t>
  </si>
  <si>
    <t>DEP-A0-4708</t>
  </si>
  <si>
    <t>DEP-A0-4709</t>
  </si>
  <si>
    <t>DEP-A0-4710</t>
  </si>
  <si>
    <t>DEP-A0-4711</t>
  </si>
  <si>
    <t>DEP-A0-4712</t>
  </si>
  <si>
    <t>DEP-A0-4713</t>
  </si>
  <si>
    <t>DEP-A0-4714</t>
  </si>
  <si>
    <t>DEP-A0-4715</t>
  </si>
  <si>
    <t>DEP-A0-4716</t>
  </si>
  <si>
    <t>DEP-A0-4717</t>
  </si>
  <si>
    <t>DEP-A0-4718</t>
  </si>
  <si>
    <t>DEP-A0-4719</t>
  </si>
  <si>
    <t>DEP-A0-4720</t>
  </si>
  <si>
    <t>DEP-A0-4721</t>
  </si>
  <si>
    <t>DEP-A0-4722</t>
  </si>
  <si>
    <t>DEP-A0-4723</t>
  </si>
  <si>
    <t>DEP-A0-4724</t>
  </si>
  <si>
    <t>DEP-A0-4725</t>
  </si>
  <si>
    <t>DEP-A0-4726</t>
  </si>
  <si>
    <t>DEP-A0-4727</t>
  </si>
  <si>
    <t>DEP-A0-4728</t>
  </si>
  <si>
    <t>DEP-A0-4729</t>
  </si>
  <si>
    <t>DEP-A0-4730</t>
  </si>
  <si>
    <t>DEP-A0-4731</t>
  </si>
  <si>
    <t>DEP-A0-4732</t>
  </si>
  <si>
    <t>DEP-A0-4733</t>
  </si>
  <si>
    <t>DEP-A0-4734</t>
  </si>
  <si>
    <t>DEP-A0-4735</t>
  </si>
  <si>
    <t>DEP-A0-4736</t>
  </si>
  <si>
    <t>DEP-A0-4737</t>
  </si>
  <si>
    <t>DEP-A0-4738</t>
  </si>
  <si>
    <t>DEP-A0-4739</t>
  </si>
  <si>
    <t>DEP-A0-4740</t>
  </si>
  <si>
    <t>DEP-A0-4741</t>
  </si>
  <si>
    <t>DEP-A0-4742</t>
  </si>
  <si>
    <t>DEP-A0-4743</t>
  </si>
  <si>
    <t>DEP-A0-4744</t>
  </si>
  <si>
    <t>DEP-A0-4745</t>
  </si>
  <si>
    <t>DEP-A0-4746</t>
  </si>
  <si>
    <t>DEP-A0-4747</t>
  </si>
  <si>
    <t>DEP-A0-4748</t>
  </si>
  <si>
    <t>DEP-A0-4749</t>
  </si>
  <si>
    <t>DEP-A0-4750</t>
  </si>
  <si>
    <t>DEP-A0-4751</t>
  </si>
  <si>
    <t>DEP-A0-4752</t>
  </si>
  <si>
    <t>DEP-A0-4753</t>
  </si>
  <si>
    <t>DEP-A0-4754</t>
  </si>
  <si>
    <t>DEP-A0-4755</t>
  </si>
  <si>
    <t>DEP-A0-4756</t>
  </si>
  <si>
    <t>DEP-A0-4757</t>
  </si>
  <si>
    <t>DEP-A0-4758</t>
  </si>
  <si>
    <t>DEP-A0-4759</t>
  </si>
  <si>
    <t>DEP-A0-4760</t>
  </si>
  <si>
    <t>DEP-A0-4761</t>
  </si>
  <si>
    <t>DEP-A0-4762</t>
  </si>
  <si>
    <t>DEP-A0-4763</t>
  </si>
  <si>
    <t>DEP-A0-4764</t>
  </si>
  <si>
    <t>DEP-A0-4765</t>
  </si>
  <si>
    <t>DEP-A0-4766</t>
  </si>
  <si>
    <t>DEP-A0-4767</t>
  </si>
  <si>
    <t>DEP-A0-4768</t>
  </si>
  <si>
    <t>DEP-A0-4769</t>
  </si>
  <si>
    <t>DEP-A0-4770</t>
  </si>
  <si>
    <t>DEP-A0-4771</t>
  </si>
  <si>
    <t>DEP-A0-4772</t>
  </si>
  <si>
    <t>DEP-A0-4773</t>
  </si>
  <si>
    <t>DEP-A0-4774</t>
  </si>
  <si>
    <t>DEP-A0-4775</t>
  </si>
  <si>
    <t>DEP-A0-4776</t>
  </si>
  <si>
    <t>DEP-A0-4777</t>
  </si>
  <si>
    <t>DEP-A0-4778</t>
  </si>
  <si>
    <t>DEP-A0-4779</t>
  </si>
  <si>
    <t>DEP-A0-4780</t>
  </si>
  <si>
    <t>DEP-A0-4781</t>
  </si>
  <si>
    <t>DEP-A0-4782</t>
  </si>
  <si>
    <t>DEP-A0-4783</t>
  </si>
  <si>
    <t>DEP-A0-4784</t>
  </si>
  <si>
    <t>DEP-A0-4785</t>
  </si>
  <si>
    <t>DEP-A0-4786</t>
  </si>
  <si>
    <t>DEP-A0-4787</t>
  </si>
  <si>
    <t>DEP-A0-4788</t>
  </si>
  <si>
    <t>DEP-A0-4789</t>
  </si>
  <si>
    <t>DEP-A0-4790</t>
  </si>
  <si>
    <t>DEP-A0-4791</t>
  </si>
  <si>
    <t>DEP-A0-4792</t>
  </si>
  <si>
    <t>DEP-A0-4793</t>
  </si>
  <si>
    <t>DEP-A0-4794</t>
  </si>
  <si>
    <t>DEP-A0-4795</t>
  </si>
  <si>
    <t>DEP-A0-4796</t>
  </si>
  <si>
    <t>DEP-A0-4797</t>
  </si>
  <si>
    <t>DEP-A0-4798</t>
  </si>
  <si>
    <t>DEP-A0-4799</t>
  </si>
  <si>
    <t>DEP-A0-4800</t>
  </si>
  <si>
    <t>DEP-A0-4801</t>
  </si>
  <si>
    <t>DEP-A0-4802</t>
  </si>
  <si>
    <t>DEP-A0-4803</t>
  </si>
  <si>
    <t>DEP-A0-4804</t>
  </si>
  <si>
    <t>DEP-A0-4805</t>
  </si>
  <si>
    <t>DEP-A0-4806</t>
  </si>
  <si>
    <t>DEP-A0-4807</t>
  </si>
  <si>
    <t>DEP-A0-4808</t>
  </si>
  <si>
    <t>DEP-A0-4809</t>
  </si>
  <si>
    <t>DEP-A0-4810</t>
  </si>
  <si>
    <t>DEP-A0-4811</t>
  </si>
  <si>
    <t>DEP-A0-4812</t>
  </si>
  <si>
    <t>DEP-A0-4813</t>
  </si>
  <si>
    <t>DEP-A0-4814</t>
  </si>
  <si>
    <t>DEP-A0-4815</t>
  </si>
  <si>
    <t>DEP-A0-4816</t>
  </si>
  <si>
    <t>DEP-A0-4817</t>
  </si>
  <si>
    <t>DEP-A0-4818</t>
  </si>
  <si>
    <t>DEP-A0-4819</t>
  </si>
  <si>
    <t>DEP-A0-4820</t>
  </si>
  <si>
    <t>DEP-A0-4821</t>
  </si>
  <si>
    <t>DEP-A0-4822</t>
  </si>
  <si>
    <t>DEP-A0-4823</t>
  </si>
  <si>
    <t>DEP-A0-4824</t>
  </si>
  <si>
    <t>DEP-A0-4825</t>
  </si>
  <si>
    <t>DEP-A0-4826</t>
  </si>
  <si>
    <t>DEP-A0-4827</t>
  </si>
  <si>
    <t>DEP-A0-4828</t>
  </si>
  <si>
    <t>DEP-A0-4829</t>
  </si>
  <si>
    <t>DEP-A0-4830</t>
  </si>
  <si>
    <t>DEP-A0-4831</t>
  </si>
  <si>
    <t>DEP-A0-4832</t>
  </si>
  <si>
    <t>DEP-A0-4833</t>
  </si>
  <si>
    <t>DEP-A0-4834</t>
  </si>
  <si>
    <t>DEP-A0-4835</t>
  </si>
  <si>
    <t>DEP-A0-4836</t>
  </si>
  <si>
    <t>DEP-A0-4837</t>
  </si>
  <si>
    <t>DEP-A0-4838</t>
  </si>
  <si>
    <t>DEP-A0-4839</t>
  </si>
  <si>
    <t>DEP-A0-4840</t>
  </si>
  <si>
    <t>DEP-A0-4841</t>
  </si>
  <si>
    <t>DEP-A0-4842</t>
  </si>
  <si>
    <t>DEP-A0-4843</t>
  </si>
  <si>
    <t>DEP-A0-4844</t>
  </si>
  <si>
    <t>DEP-A0-4845</t>
  </si>
  <si>
    <t>DEP-A0-4846</t>
  </si>
  <si>
    <t>DEP-A0-4847</t>
  </si>
  <si>
    <t>DEP-A0-4848</t>
  </si>
  <si>
    <t>DEP-A0-4849</t>
  </si>
  <si>
    <t>DEP-A0-4850</t>
  </si>
  <si>
    <t>DEP-A0-4851</t>
  </si>
  <si>
    <t>DEP-A0-4852</t>
  </si>
  <si>
    <t>DEP-A0-4853</t>
  </si>
  <si>
    <t>DEP-A0-4854</t>
  </si>
  <si>
    <t>DEP-A0-4855</t>
  </si>
  <si>
    <t>DEP-A0-4856</t>
  </si>
  <si>
    <t>DEP-A0-4857</t>
  </si>
  <si>
    <t>DEP-A0-4858</t>
  </si>
  <si>
    <t>DEP-A0-4859</t>
  </si>
  <si>
    <t>DEP-A0-4860</t>
  </si>
  <si>
    <t>DEP-A0-4861</t>
  </si>
  <si>
    <t>DEP-A0-4862</t>
  </si>
  <si>
    <t>DEP-A0-4863</t>
  </si>
  <si>
    <t>DEP-A0-4864</t>
  </si>
  <si>
    <t>DEP-A0-4865</t>
  </si>
  <si>
    <t>DEP-A0-4866</t>
  </si>
  <si>
    <t>DEP-A0-4867</t>
  </si>
  <si>
    <t>DEP-A0-4868</t>
  </si>
  <si>
    <t>DEP-A0-4869</t>
  </si>
  <si>
    <t>DEP-A0-4870</t>
  </si>
  <si>
    <t>DEP-A0-4871</t>
  </si>
  <si>
    <t>DEP-A0-4872</t>
  </si>
  <si>
    <t>DEP-A0-4873</t>
  </si>
  <si>
    <t>DEP-A0-4874</t>
  </si>
  <si>
    <t>DEP-A0-4875</t>
  </si>
  <si>
    <t>DEP-A0-4876</t>
  </si>
  <si>
    <t>DEP-A0-4877</t>
  </si>
  <si>
    <t>DEP-A0-4878</t>
  </si>
  <si>
    <t>DEP-A0-4879</t>
  </si>
  <si>
    <t>DEP-A0-4880</t>
  </si>
  <si>
    <t>DEP-A0-4881</t>
  </si>
  <si>
    <t>DEP-A0-4882</t>
  </si>
  <si>
    <t>DEP-A0-4883</t>
  </si>
  <si>
    <t>DEP-A0-4884</t>
  </si>
  <si>
    <t>DEP-A0-4885</t>
  </si>
  <si>
    <t>DEP-A0-4886</t>
  </si>
  <si>
    <t>DEP-A0-4887</t>
  </si>
  <si>
    <t>DEP-A0-4888</t>
  </si>
  <si>
    <t>DEP-A0-4889</t>
  </si>
  <si>
    <t>DEP-A0-4890</t>
  </si>
  <si>
    <t>DEP-A0-4891</t>
  </si>
  <si>
    <t>DEP-A0-4892</t>
  </si>
  <si>
    <t>DEP-A0-4893</t>
  </si>
  <si>
    <t>DEP-A0-4894</t>
  </si>
  <si>
    <t>DEP-A0-4895</t>
  </si>
  <si>
    <t>DEP-A0-4896</t>
  </si>
  <si>
    <t>DEP-A0-4897</t>
  </si>
  <si>
    <t>DEP-A0-4898</t>
  </si>
  <si>
    <t>DEP-A0-4899</t>
  </si>
  <si>
    <t>DEP-A0-4900</t>
  </si>
  <si>
    <t>DEP-A0-4901</t>
  </si>
  <si>
    <t>DEP-A0-4902</t>
  </si>
  <si>
    <t>DEP-A0-4903</t>
  </si>
  <si>
    <t>DEP-A0-4904</t>
  </si>
  <si>
    <t>DEP-A0-4905</t>
  </si>
  <si>
    <t>DEP-A0-4906</t>
  </si>
  <si>
    <t>DEP-A0-4907</t>
  </si>
  <si>
    <t>DEP-A0-4908</t>
  </si>
  <si>
    <t>DEP-A0-4909</t>
  </si>
  <si>
    <t>DEP-A0-4910</t>
  </si>
  <si>
    <t>DEP-A0-4911</t>
  </si>
  <si>
    <t>DEP-A0-4912</t>
  </si>
  <si>
    <t>DEP-A0-4913</t>
  </si>
  <si>
    <t>DEP-A0-4914</t>
  </si>
  <si>
    <t>DEP-A0-4915</t>
  </si>
  <si>
    <t>DEP-A0-4916</t>
  </si>
  <si>
    <t>DEP-A0-4917</t>
  </si>
  <si>
    <t>DEP-A0-4918</t>
  </si>
  <si>
    <t>DEP-A0-4919</t>
  </si>
  <si>
    <t>DEP-A0-4920</t>
  </si>
  <si>
    <t>DEP-A0-4921</t>
  </si>
  <si>
    <t>DEP-A0-4922</t>
  </si>
  <si>
    <t>DEP-A0-4923</t>
  </si>
  <si>
    <t>DEP-A0-4924</t>
  </si>
  <si>
    <t>DEP-A0-4925</t>
  </si>
  <si>
    <t>DEP-A0-4926</t>
  </si>
  <si>
    <t>DEP-A0-4927</t>
  </si>
  <si>
    <t>DEP-A0-4928</t>
  </si>
  <si>
    <t>DEP-A0-4929</t>
  </si>
  <si>
    <t>DEP-A0-4930</t>
  </si>
  <si>
    <t>DEP-A0-4931</t>
  </si>
  <si>
    <t>DEP-A0-4932</t>
  </si>
  <si>
    <t>DEP-A0-4933</t>
  </si>
  <si>
    <t>DEP-A0-4934</t>
  </si>
  <si>
    <t>DEP-A0-4935</t>
  </si>
  <si>
    <t>DEP-A0-4936</t>
  </si>
  <si>
    <t>DEP-A0-4937</t>
  </si>
  <si>
    <t>DEP-A0-4938</t>
  </si>
  <si>
    <t>DEP-A0-4939</t>
  </si>
  <si>
    <t>DEP-A0-4940</t>
  </si>
  <si>
    <t>DEP-A0-4941</t>
  </si>
  <si>
    <t>DEP-A0-4942</t>
  </si>
  <si>
    <t>DEP-A0-4943</t>
  </si>
  <si>
    <t>DEP-A0-4944</t>
  </si>
  <si>
    <t>DEP-A0-4945</t>
  </si>
  <si>
    <t>DEP-A0-4946</t>
  </si>
  <si>
    <t>DEP-A0-4947</t>
  </si>
  <si>
    <t>DEP-A0-4948</t>
  </si>
  <si>
    <t>DEP-A0-4949</t>
  </si>
  <si>
    <t>DEP-A0-4950</t>
  </si>
  <si>
    <t>DEP-A0-4951</t>
  </si>
  <si>
    <t>DEP-A0-4952</t>
  </si>
  <si>
    <t>DEP-A0-4953</t>
  </si>
  <si>
    <t>DEP-A0-4954</t>
  </si>
  <si>
    <t>DEP-A0-4955</t>
  </si>
  <si>
    <t>DEP-A0-4956</t>
  </si>
  <si>
    <t>DEP-A0-4957</t>
  </si>
  <si>
    <t>DEP-A0-4958</t>
  </si>
  <si>
    <t>DEP-A0-4959</t>
  </si>
  <si>
    <t>DEP-A0-4960</t>
  </si>
  <si>
    <t>DEP-A0-4961</t>
  </si>
  <si>
    <t>DEP-A0-4962</t>
  </si>
  <si>
    <t>DEP-A0-4963</t>
  </si>
  <si>
    <t>DEP-A0-4964</t>
  </si>
  <si>
    <t>DEP-A0-4965</t>
  </si>
  <si>
    <t>DEP-A0-4966</t>
  </si>
  <si>
    <t>DEP-A0-4967</t>
  </si>
  <si>
    <t>DEP-A0-4968</t>
  </si>
  <si>
    <t>DEP-A0-4969</t>
  </si>
  <si>
    <t>DEP-A0-4970</t>
  </si>
  <si>
    <t>DEP-A0-4971</t>
  </si>
  <si>
    <t>DEP-A0-4972</t>
  </si>
  <si>
    <t>DEP-A0-4973</t>
  </si>
  <si>
    <t>DEP-A0-4974</t>
  </si>
  <si>
    <t>DEP-A0-4975</t>
  </si>
  <si>
    <t>DEP-A0-4976</t>
  </si>
  <si>
    <t>DEP-A0-4977</t>
  </si>
  <si>
    <t>DEP-A0-4978</t>
  </si>
  <si>
    <t>DEP-A0-4979</t>
  </si>
  <si>
    <t>DEP-A0-4980</t>
  </si>
  <si>
    <t>DEP-A0-4981</t>
  </si>
  <si>
    <t>DEP-A0-4982</t>
  </si>
  <si>
    <t>DEP-A0-4983</t>
  </si>
  <si>
    <t>DEP-A0-4984</t>
  </si>
  <si>
    <t>DEP-A0-4985</t>
  </si>
  <si>
    <t>DEP-A0-4986</t>
  </si>
  <si>
    <t>DEP-A0-4987</t>
  </si>
  <si>
    <t>DEP-A0-4988</t>
  </si>
  <si>
    <t>DEP-A0-4989</t>
  </si>
  <si>
    <t>DEP-A0-4990</t>
  </si>
  <si>
    <t>DEP-A0-4991</t>
  </si>
  <si>
    <t>DEP-A0-4992</t>
  </si>
  <si>
    <t>DEP-A0-4993</t>
  </si>
  <si>
    <t>DEP-A0-4994</t>
  </si>
  <si>
    <t>DEP-A0-4995</t>
  </si>
  <si>
    <t>DEP-A0-4996</t>
  </si>
  <si>
    <t>DEP-A0-4997</t>
  </si>
  <si>
    <t>DEP-A0-4998</t>
  </si>
  <si>
    <t>DEP-A0-4999</t>
  </si>
  <si>
    <t>DEP-A0-5000</t>
  </si>
  <si>
    <t>Femenino</t>
  </si>
  <si>
    <t>Masculino</t>
  </si>
  <si>
    <t>Chaqueta</t>
  </si>
  <si>
    <t>Blusa</t>
  </si>
  <si>
    <t>Pantalón</t>
  </si>
  <si>
    <t>Falda</t>
  </si>
  <si>
    <t>Camisa</t>
  </si>
  <si>
    <t>Vestido</t>
  </si>
  <si>
    <t>Zapatos</t>
  </si>
  <si>
    <t>Gris</t>
  </si>
  <si>
    <t>Blanco</t>
  </si>
  <si>
    <t>Negro</t>
  </si>
  <si>
    <t>Azul</t>
  </si>
  <si>
    <t>Rojo</t>
  </si>
  <si>
    <t>Amarillo</t>
  </si>
  <si>
    <t>Verde</t>
  </si>
  <si>
    <t>Levis</t>
  </si>
  <si>
    <t>Puma</t>
  </si>
  <si>
    <t>Tommy</t>
  </si>
  <si>
    <t>Mango</t>
  </si>
  <si>
    <t>Zara</t>
  </si>
  <si>
    <t>Adidas</t>
  </si>
  <si>
    <t>Nike</t>
  </si>
  <si>
    <t>MER-A0-0001</t>
  </si>
  <si>
    <t>MER-A0-0002</t>
  </si>
  <si>
    <t>MER-A0-0003</t>
  </si>
  <si>
    <t>MER-A0-0004</t>
  </si>
  <si>
    <t>MER-A0-0005</t>
  </si>
  <si>
    <t>MER-A0-0006</t>
  </si>
  <si>
    <t>MER-A0-0007</t>
  </si>
  <si>
    <t>MER-A0-0008</t>
  </si>
  <si>
    <t>MER-A0-0009</t>
  </si>
  <si>
    <t>MER-A0-0010</t>
  </si>
  <si>
    <t>MER-A0-0011</t>
  </si>
  <si>
    <t>MER-A0-0012</t>
  </si>
  <si>
    <t>MER-A0-0013</t>
  </si>
  <si>
    <t>MER-A0-0014</t>
  </si>
  <si>
    <t>MER-A0-0015</t>
  </si>
  <si>
    <t>MER-A0-0016</t>
  </si>
  <si>
    <t>MER-A0-0017</t>
  </si>
  <si>
    <t>MER-A0-0018</t>
  </si>
  <si>
    <t>MER-A0-0019</t>
  </si>
  <si>
    <t>MER-A0-0020</t>
  </si>
  <si>
    <t>MER-A0-0021</t>
  </si>
  <si>
    <t>MER-A0-0022</t>
  </si>
  <si>
    <t>MER-A0-0023</t>
  </si>
  <si>
    <t>MER-A0-0024</t>
  </si>
  <si>
    <t>MER-A0-0025</t>
  </si>
  <si>
    <t>MER-A0-0026</t>
  </si>
  <si>
    <t>MER-A0-0027</t>
  </si>
  <si>
    <t>MER-A0-0028</t>
  </si>
  <si>
    <t>MER-A0-0029</t>
  </si>
  <si>
    <t>MER-A0-0030</t>
  </si>
  <si>
    <t>MER-A0-0031</t>
  </si>
  <si>
    <t>MER-A0-0032</t>
  </si>
  <si>
    <t>MER-A0-0033</t>
  </si>
  <si>
    <t>MER-A0-0034</t>
  </si>
  <si>
    <t>MER-A0-0035</t>
  </si>
  <si>
    <t>MER-A0-0036</t>
  </si>
  <si>
    <t>MER-A0-0037</t>
  </si>
  <si>
    <t>MER-A0-0038</t>
  </si>
  <si>
    <t>MER-A0-0039</t>
  </si>
  <si>
    <t>MER-A0-0040</t>
  </si>
  <si>
    <t>MER-A0-0041</t>
  </si>
  <si>
    <t>MER-A0-0042</t>
  </si>
  <si>
    <t>MER-A0-0043</t>
  </si>
  <si>
    <t>MER-A0-0044</t>
  </si>
  <si>
    <t>MER-A0-0045</t>
  </si>
  <si>
    <t>MER-A0-0046</t>
  </si>
  <si>
    <t>MER-A0-0047</t>
  </si>
  <si>
    <t>MER-A0-0048</t>
  </si>
  <si>
    <t>MER-A0-0049</t>
  </si>
  <si>
    <t>MER-A0-0050</t>
  </si>
  <si>
    <t>MER-A0-0051</t>
  </si>
  <si>
    <t>MER-A0-0052</t>
  </si>
  <si>
    <t>MER-A0-0053</t>
  </si>
  <si>
    <t>MER-A0-0054</t>
  </si>
  <si>
    <t>MER-A0-0055</t>
  </si>
  <si>
    <t>MER-A0-0056</t>
  </si>
  <si>
    <t>MER-A0-0057</t>
  </si>
  <si>
    <t>MER-A0-0058</t>
  </si>
  <si>
    <t>MER-A0-0059</t>
  </si>
  <si>
    <t>MER-A0-0060</t>
  </si>
  <si>
    <t>MER-A0-0061</t>
  </si>
  <si>
    <t>MER-A0-0062</t>
  </si>
  <si>
    <t>MER-A0-0063</t>
  </si>
  <si>
    <t>MER-A0-0064</t>
  </si>
  <si>
    <t>MER-A0-0065</t>
  </si>
  <si>
    <t>MER-A0-0066</t>
  </si>
  <si>
    <t>MER-A0-0067</t>
  </si>
  <si>
    <t>MER-A0-0068</t>
  </si>
  <si>
    <t>MER-A0-0069</t>
  </si>
  <si>
    <t>MER-A0-0070</t>
  </si>
  <si>
    <t>MER-A0-0071</t>
  </si>
  <si>
    <t>MER-A0-0072</t>
  </si>
  <si>
    <t>MER-A0-0073</t>
  </si>
  <si>
    <t>MER-A0-0074</t>
  </si>
  <si>
    <t>MER-A0-0075</t>
  </si>
  <si>
    <t>MER-A0-0076</t>
  </si>
  <si>
    <t>MER-A0-0077</t>
  </si>
  <si>
    <t>MER-A0-0078</t>
  </si>
  <si>
    <t>MER-A0-0079</t>
  </si>
  <si>
    <t>MER-A0-0080</t>
  </si>
  <si>
    <t>MER-A0-0081</t>
  </si>
  <si>
    <t>MER-A0-0082</t>
  </si>
  <si>
    <t>MER-A0-0083</t>
  </si>
  <si>
    <t>MER-A0-0084</t>
  </si>
  <si>
    <t>MER-A0-0085</t>
  </si>
  <si>
    <t>MER-A0-0086</t>
  </si>
  <si>
    <t>MER-A0-0087</t>
  </si>
  <si>
    <t>MER-A0-0088</t>
  </si>
  <si>
    <t>MER-A0-0089</t>
  </si>
  <si>
    <t>MER-A0-0090</t>
  </si>
  <si>
    <t>MER-A0-0091</t>
  </si>
  <si>
    <t>MER-A0-0092</t>
  </si>
  <si>
    <t>MER-A0-0093</t>
  </si>
  <si>
    <t>MER-A0-0094</t>
  </si>
  <si>
    <t>MER-A0-0095</t>
  </si>
  <si>
    <t>MER-A0-0096</t>
  </si>
  <si>
    <t>MER-A0-0097</t>
  </si>
  <si>
    <t>MER-A0-0098</t>
  </si>
  <si>
    <t>MER-A0-0099</t>
  </si>
  <si>
    <t>MER-A0-0100</t>
  </si>
  <si>
    <t>MER-A0-0101</t>
  </si>
  <si>
    <t>MER-A0-0102</t>
  </si>
  <si>
    <t>MER-A0-0103</t>
  </si>
  <si>
    <t>MER-A0-0104</t>
  </si>
  <si>
    <t>MER-A0-0105</t>
  </si>
  <si>
    <t>MER-A0-0106</t>
  </si>
  <si>
    <t>MER-A0-0107</t>
  </si>
  <si>
    <t>MER-A0-0108</t>
  </si>
  <si>
    <t>MER-A0-0109</t>
  </si>
  <si>
    <t>MER-A0-0110</t>
  </si>
  <si>
    <t>MER-A0-0111</t>
  </si>
  <si>
    <t>MER-A0-0112</t>
  </si>
  <si>
    <t>MER-A0-0113</t>
  </si>
  <si>
    <t>MER-A0-0114</t>
  </si>
  <si>
    <t>MER-A0-0115</t>
  </si>
  <si>
    <t>MER-A0-0116</t>
  </si>
  <si>
    <t>MER-A0-0117</t>
  </si>
  <si>
    <t>MER-A0-0118</t>
  </si>
  <si>
    <t>MER-A0-0119</t>
  </si>
  <si>
    <t>MER-A0-0120</t>
  </si>
  <si>
    <t>MER-A0-0121</t>
  </si>
  <si>
    <t>MER-A0-0122</t>
  </si>
  <si>
    <t>MER-A0-0123</t>
  </si>
  <si>
    <t>MER-A0-0124</t>
  </si>
  <si>
    <t>MER-A0-0125</t>
  </si>
  <si>
    <t>MER-A0-0126</t>
  </si>
  <si>
    <t>MER-A0-0127</t>
  </si>
  <si>
    <t>MER-A0-0128</t>
  </si>
  <si>
    <t>MER-A0-0129</t>
  </si>
  <si>
    <t>MER-A0-0130</t>
  </si>
  <si>
    <t>MER-A0-0131</t>
  </si>
  <si>
    <t>MER-A0-0132</t>
  </si>
  <si>
    <t>MER-A0-0133</t>
  </si>
  <si>
    <t>MER-A0-0134</t>
  </si>
  <si>
    <t>MER-A0-0135</t>
  </si>
  <si>
    <t>MER-A0-0136</t>
  </si>
  <si>
    <t>MER-A0-0137</t>
  </si>
  <si>
    <t>MER-A0-0138</t>
  </si>
  <si>
    <t>MER-A0-0139</t>
  </si>
  <si>
    <t>MER-A0-0140</t>
  </si>
  <si>
    <t>MER-A0-0141</t>
  </si>
  <si>
    <t>MER-A0-0142</t>
  </si>
  <si>
    <t>MER-A0-0143</t>
  </si>
  <si>
    <t>MER-A0-0144</t>
  </si>
  <si>
    <t>MER-A0-0145</t>
  </si>
  <si>
    <t>MER-A0-0146</t>
  </si>
  <si>
    <t>MER-A0-0147</t>
  </si>
  <si>
    <t>MER-A0-0148</t>
  </si>
  <si>
    <t>MER-A0-0149</t>
  </si>
  <si>
    <t>MER-A0-0150</t>
  </si>
  <si>
    <t>MER-A0-0151</t>
  </si>
  <si>
    <t>MER-A0-0152</t>
  </si>
  <si>
    <t>MER-A0-0153</t>
  </si>
  <si>
    <t>MER-A0-0154</t>
  </si>
  <si>
    <t>MER-A0-0155</t>
  </si>
  <si>
    <t>MER-A0-0156</t>
  </si>
  <si>
    <t>MER-A0-0157</t>
  </si>
  <si>
    <t>MER-A0-0158</t>
  </si>
  <si>
    <t>MER-A0-0159</t>
  </si>
  <si>
    <t>MER-A0-0160</t>
  </si>
  <si>
    <t>MER-A0-0161</t>
  </si>
  <si>
    <t>MER-A0-0162</t>
  </si>
  <si>
    <t>MER-A0-0163</t>
  </si>
  <si>
    <t>MER-A0-0164</t>
  </si>
  <si>
    <t>MER-A0-0165</t>
  </si>
  <si>
    <t>MER-A0-0166</t>
  </si>
  <si>
    <t>MER-A0-0167</t>
  </si>
  <si>
    <t>MER-A0-0168</t>
  </si>
  <si>
    <t>MER-A0-0169</t>
  </si>
  <si>
    <t>MER-A0-0170</t>
  </si>
  <si>
    <t>MER-A0-0171</t>
  </si>
  <si>
    <t>MER-A0-0172</t>
  </si>
  <si>
    <t>MER-A0-0173</t>
  </si>
  <si>
    <t>MER-A0-0174</t>
  </si>
  <si>
    <t>MER-A0-0175</t>
  </si>
  <si>
    <t>MER-A0-0176</t>
  </si>
  <si>
    <t>MER-A0-0177</t>
  </si>
  <si>
    <t>MER-A0-0178</t>
  </si>
  <si>
    <t>MER-A0-0179</t>
  </si>
  <si>
    <t>MER-A0-0180</t>
  </si>
  <si>
    <t>MER-A0-0181</t>
  </si>
  <si>
    <t>MER-A0-0182</t>
  </si>
  <si>
    <t>MER-A0-0183</t>
  </si>
  <si>
    <t>MER-A0-0184</t>
  </si>
  <si>
    <t>MER-A0-0185</t>
  </si>
  <si>
    <t>MER-A0-0186</t>
  </si>
  <si>
    <t>MER-A0-0187</t>
  </si>
  <si>
    <t>MER-A0-0188</t>
  </si>
  <si>
    <t>MER-A0-0189</t>
  </si>
  <si>
    <t>MER-A0-0190</t>
  </si>
  <si>
    <t>MER-A0-0191</t>
  </si>
  <si>
    <t>MER-A0-0192</t>
  </si>
  <si>
    <t>MER-A0-0193</t>
  </si>
  <si>
    <t>MER-A0-0194</t>
  </si>
  <si>
    <t>MER-A0-0195</t>
  </si>
  <si>
    <t>MER-A0-0196</t>
  </si>
  <si>
    <t>MER-A0-0197</t>
  </si>
  <si>
    <t>MER-A0-0198</t>
  </si>
  <si>
    <t>MER-A0-0199</t>
  </si>
  <si>
    <t>MER-A0-0200</t>
  </si>
  <si>
    <t>MER-A0-0201</t>
  </si>
  <si>
    <t>MER-A0-0202</t>
  </si>
  <si>
    <t>MER-A0-0203</t>
  </si>
  <si>
    <t>MER-A0-0204</t>
  </si>
  <si>
    <t>MER-A0-0205</t>
  </si>
  <si>
    <t>MER-A0-0206</t>
  </si>
  <si>
    <t>MER-A0-0207</t>
  </si>
  <si>
    <t>MER-A0-0208</t>
  </si>
  <si>
    <t>MER-A0-0209</t>
  </si>
  <si>
    <t>MER-A0-0210</t>
  </si>
  <si>
    <t>MER-A0-0211</t>
  </si>
  <si>
    <t>MER-A0-0212</t>
  </si>
  <si>
    <t>MER-A0-0213</t>
  </si>
  <si>
    <t>MER-A0-0214</t>
  </si>
  <si>
    <t>MER-A0-0215</t>
  </si>
  <si>
    <t>MER-A0-0216</t>
  </si>
  <si>
    <t>MER-A0-0217</t>
  </si>
  <si>
    <t>MER-A0-0218</t>
  </si>
  <si>
    <t>MER-A0-0219</t>
  </si>
  <si>
    <t>MER-A0-0220</t>
  </si>
  <si>
    <t>MER-A0-0221</t>
  </si>
  <si>
    <t>MER-A0-0222</t>
  </si>
  <si>
    <t>MER-A0-0223</t>
  </si>
  <si>
    <t>MER-A0-0224</t>
  </si>
  <si>
    <t>MER-A0-0225</t>
  </si>
  <si>
    <t>MER-A0-0226</t>
  </si>
  <si>
    <t>MER-A0-0227</t>
  </si>
  <si>
    <t>MER-A0-0228</t>
  </si>
  <si>
    <t>MER-A0-0229</t>
  </si>
  <si>
    <t>MER-A0-0230</t>
  </si>
  <si>
    <t>MER-A0-0231</t>
  </si>
  <si>
    <t>MER-A0-0232</t>
  </si>
  <si>
    <t>MER-A0-0233</t>
  </si>
  <si>
    <t>MER-A0-0234</t>
  </si>
  <si>
    <t>MER-A0-0235</t>
  </si>
  <si>
    <t>MER-A0-0236</t>
  </si>
  <si>
    <t>MER-A0-0237</t>
  </si>
  <si>
    <t>MER-A0-0238</t>
  </si>
  <si>
    <t>MER-A0-0239</t>
  </si>
  <si>
    <t>MER-A0-0240</t>
  </si>
  <si>
    <t>MER-A0-0241</t>
  </si>
  <si>
    <t>MER-A0-0242</t>
  </si>
  <si>
    <t>MER-A0-0243</t>
  </si>
  <si>
    <t>MER-A0-0244</t>
  </si>
  <si>
    <t>MER-A0-0245</t>
  </si>
  <si>
    <t>MER-A0-0246</t>
  </si>
  <si>
    <t>MER-A0-0247</t>
  </si>
  <si>
    <t>MER-A0-0248</t>
  </si>
  <si>
    <t>MER-A0-0249</t>
  </si>
  <si>
    <t>MER-A0-0250</t>
  </si>
  <si>
    <t>MER-A0-0251</t>
  </si>
  <si>
    <t>MER-A0-0252</t>
  </si>
  <si>
    <t>MER-A0-0253</t>
  </si>
  <si>
    <t>MER-A0-0254</t>
  </si>
  <si>
    <t>MER-A0-0255</t>
  </si>
  <si>
    <t>MER-A0-0256</t>
  </si>
  <si>
    <t>MER-A0-0257</t>
  </si>
  <si>
    <t>MER-A0-0258</t>
  </si>
  <si>
    <t>MER-A0-0259</t>
  </si>
  <si>
    <t>MER-A0-0260</t>
  </si>
  <si>
    <t>MER-A0-0261</t>
  </si>
  <si>
    <t>MER-A0-0262</t>
  </si>
  <si>
    <t>MER-A0-0263</t>
  </si>
  <si>
    <t>MER-A0-0264</t>
  </si>
  <si>
    <t>MER-A0-0265</t>
  </si>
  <si>
    <t>MER-A0-0266</t>
  </si>
  <si>
    <t>MER-A0-0267</t>
  </si>
  <si>
    <t>MER-A0-0268</t>
  </si>
  <si>
    <t>MER-A0-0269</t>
  </si>
  <si>
    <t>MER-A0-0270</t>
  </si>
  <si>
    <t>MER-A0-0271</t>
  </si>
  <si>
    <t>MER-A0-0272</t>
  </si>
  <si>
    <t>MER-A0-0273</t>
  </si>
  <si>
    <t>MER-A0-0274</t>
  </si>
  <si>
    <t>MER-A0-0275</t>
  </si>
  <si>
    <t>MER-A0-0276</t>
  </si>
  <si>
    <t>MER-A0-0277</t>
  </si>
  <si>
    <t>MER-A0-0278</t>
  </si>
  <si>
    <t>MER-A0-0279</t>
  </si>
  <si>
    <t>MER-A0-0280</t>
  </si>
  <si>
    <t>MER-A0-0281</t>
  </si>
  <si>
    <t>MER-A0-0282</t>
  </si>
  <si>
    <t>MER-A0-0283</t>
  </si>
  <si>
    <t>MER-A0-0284</t>
  </si>
  <si>
    <t>MER-A0-0285</t>
  </si>
  <si>
    <t>MER-A0-0286</t>
  </si>
  <si>
    <t>MER-A0-0287</t>
  </si>
  <si>
    <t>MER-A0-0288</t>
  </si>
  <si>
    <t>MER-A0-0289</t>
  </si>
  <si>
    <t>MER-A0-0290</t>
  </si>
  <si>
    <t>MER-A0-0291</t>
  </si>
  <si>
    <t>MER-A0-0292</t>
  </si>
  <si>
    <t>MER-A0-0293</t>
  </si>
  <si>
    <t>MER-A0-0294</t>
  </si>
  <si>
    <t>MER-A0-0295</t>
  </si>
  <si>
    <t>MER-A0-0296</t>
  </si>
  <si>
    <t>MER-A0-0297</t>
  </si>
  <si>
    <t>MER-A0-0298</t>
  </si>
  <si>
    <t>MER-A0-0299</t>
  </si>
  <si>
    <t>MER-A0-0300</t>
  </si>
  <si>
    <t>MER-A0-0301</t>
  </si>
  <si>
    <t>MER-A0-0302</t>
  </si>
  <si>
    <t>MER-A0-0303</t>
  </si>
  <si>
    <t>MER-A0-0304</t>
  </si>
  <si>
    <t>MER-A0-0305</t>
  </si>
  <si>
    <t>MER-A0-0306</t>
  </si>
  <si>
    <t>MER-A0-0307</t>
  </si>
  <si>
    <t>MER-A0-0308</t>
  </si>
  <si>
    <t>MER-A0-0309</t>
  </si>
  <si>
    <t>MER-A0-0310</t>
  </si>
  <si>
    <t>MER-A0-0311</t>
  </si>
  <si>
    <t>MER-A0-0312</t>
  </si>
  <si>
    <t>MER-A0-0313</t>
  </si>
  <si>
    <t>MER-A0-0314</t>
  </si>
  <si>
    <t>MER-A0-0315</t>
  </si>
  <si>
    <t>MER-A0-0316</t>
  </si>
  <si>
    <t>MER-A0-0317</t>
  </si>
  <si>
    <t>MER-A0-0318</t>
  </si>
  <si>
    <t>MER-A0-0319</t>
  </si>
  <si>
    <t>MER-A0-0320</t>
  </si>
  <si>
    <t>MER-A0-0321</t>
  </si>
  <si>
    <t>MER-A0-0322</t>
  </si>
  <si>
    <t>MER-A0-0323</t>
  </si>
  <si>
    <t>MER-A0-0324</t>
  </si>
  <si>
    <t>MER-A0-0325</t>
  </si>
  <si>
    <t>MER-A0-0326</t>
  </si>
  <si>
    <t>MER-A0-0327</t>
  </si>
  <si>
    <t>MER-A0-0328</t>
  </si>
  <si>
    <t>MER-A0-0329</t>
  </si>
  <si>
    <t>MER-A0-0330</t>
  </si>
  <si>
    <t>MER-A0-0331</t>
  </si>
  <si>
    <t>MER-A0-0332</t>
  </si>
  <si>
    <t>MER-A0-0333</t>
  </si>
  <si>
    <t>MER-A0-0334</t>
  </si>
  <si>
    <t>MER-A0-0335</t>
  </si>
  <si>
    <t>MER-A0-0336</t>
  </si>
  <si>
    <t>MER-A0-0337</t>
  </si>
  <si>
    <t>MER-A0-0338</t>
  </si>
  <si>
    <t>MER-A0-0339</t>
  </si>
  <si>
    <t>MER-A0-0340</t>
  </si>
  <si>
    <t>MER-A0-0341</t>
  </si>
  <si>
    <t>MER-A0-0342</t>
  </si>
  <si>
    <t>MER-A0-0343</t>
  </si>
  <si>
    <t>MER-A0-0344</t>
  </si>
  <si>
    <t>MER-A0-0345</t>
  </si>
  <si>
    <t>MER-A0-0346</t>
  </si>
  <si>
    <t>MER-A0-0347</t>
  </si>
  <si>
    <t>MER-A0-0348</t>
  </si>
  <si>
    <t>MER-A0-0349</t>
  </si>
  <si>
    <t>MER-A0-0350</t>
  </si>
  <si>
    <t>MER-A0-0351</t>
  </si>
  <si>
    <t>MER-A0-0352</t>
  </si>
  <si>
    <t>MER-A0-0353</t>
  </si>
  <si>
    <t>MER-A0-0354</t>
  </si>
  <si>
    <t>MER-A0-0355</t>
  </si>
  <si>
    <t>MER-A0-0356</t>
  </si>
  <si>
    <t>MER-A0-0357</t>
  </si>
  <si>
    <t>MER-A0-0358</t>
  </si>
  <si>
    <t>MER-A0-0359</t>
  </si>
  <si>
    <t>MER-A0-0360</t>
  </si>
  <si>
    <t>MER-A0-0361</t>
  </si>
  <si>
    <t>MER-A0-0362</t>
  </si>
  <si>
    <t>MER-A0-0363</t>
  </si>
  <si>
    <t>MER-A0-0364</t>
  </si>
  <si>
    <t>MER-A0-0365</t>
  </si>
  <si>
    <t>MER-A0-0366</t>
  </si>
  <si>
    <t>MER-A0-0367</t>
  </si>
  <si>
    <t>MER-A0-0368</t>
  </si>
  <si>
    <t>MER-A0-0369</t>
  </si>
  <si>
    <t>MER-A0-0370</t>
  </si>
  <si>
    <t>MER-A0-0371</t>
  </si>
  <si>
    <t>MER-A0-0372</t>
  </si>
  <si>
    <t>MER-A0-0373</t>
  </si>
  <si>
    <t>MER-A0-0374</t>
  </si>
  <si>
    <t>MER-A0-0375</t>
  </si>
  <si>
    <t>MER-A0-0376</t>
  </si>
  <si>
    <t>MER-A0-0377</t>
  </si>
  <si>
    <t>MER-A0-0378</t>
  </si>
  <si>
    <t>MER-A0-0379</t>
  </si>
  <si>
    <t>MER-A0-0380</t>
  </si>
  <si>
    <t>MER-A0-0381</t>
  </si>
  <si>
    <t>MER-A0-0382</t>
  </si>
  <si>
    <t>MER-A0-0383</t>
  </si>
  <si>
    <t>MER-A0-0384</t>
  </si>
  <si>
    <t>MER-A0-0385</t>
  </si>
  <si>
    <t>MER-A0-0386</t>
  </si>
  <si>
    <t>MER-A0-0387</t>
  </si>
  <si>
    <t>MER-A0-0388</t>
  </si>
  <si>
    <t>MER-A0-0389</t>
  </si>
  <si>
    <t>MER-A0-0390</t>
  </si>
  <si>
    <t>MER-A0-0391</t>
  </si>
  <si>
    <t>MER-A0-0392</t>
  </si>
  <si>
    <t>MER-A0-0393</t>
  </si>
  <si>
    <t>MER-A0-0394</t>
  </si>
  <si>
    <t>MER-A0-0395</t>
  </si>
  <si>
    <t>MER-A0-0396</t>
  </si>
  <si>
    <t>MER-A0-0397</t>
  </si>
  <si>
    <t>MER-A0-0398</t>
  </si>
  <si>
    <t>MER-A0-0399</t>
  </si>
  <si>
    <t>MER-A0-0400</t>
  </si>
  <si>
    <t>MER-A0-0401</t>
  </si>
  <si>
    <t>MER-A0-0402</t>
  </si>
  <si>
    <t>MER-A0-0403</t>
  </si>
  <si>
    <t>MER-A0-0404</t>
  </si>
  <si>
    <t>MER-A0-0405</t>
  </si>
  <si>
    <t>MER-A0-0406</t>
  </si>
  <si>
    <t>MER-A0-0407</t>
  </si>
  <si>
    <t>MER-A0-0408</t>
  </si>
  <si>
    <t>MER-A0-0409</t>
  </si>
  <si>
    <t>MER-A0-0410</t>
  </si>
  <si>
    <t>MER-A0-0411</t>
  </si>
  <si>
    <t>MER-A0-0412</t>
  </si>
  <si>
    <t>MER-A0-0413</t>
  </si>
  <si>
    <t>MER-A0-0414</t>
  </si>
  <si>
    <t>MER-A0-0415</t>
  </si>
  <si>
    <t>MER-A0-0416</t>
  </si>
  <si>
    <t>MER-A0-0417</t>
  </si>
  <si>
    <t>MER-A0-0418</t>
  </si>
  <si>
    <t>MER-A0-0419</t>
  </si>
  <si>
    <t>MER-A0-0420</t>
  </si>
  <si>
    <t>MER-A0-0421</t>
  </si>
  <si>
    <t>MER-A0-0422</t>
  </si>
  <si>
    <t>MER-A0-0423</t>
  </si>
  <si>
    <t>MER-A0-0424</t>
  </si>
  <si>
    <t>MER-A0-0425</t>
  </si>
  <si>
    <t>MER-A0-0426</t>
  </si>
  <si>
    <t>MER-A0-0427</t>
  </si>
  <si>
    <t>MER-A0-0428</t>
  </si>
  <si>
    <t>MER-A0-0429</t>
  </si>
  <si>
    <t>MER-A0-0430</t>
  </si>
  <si>
    <t>MER-A0-0431</t>
  </si>
  <si>
    <t>MER-A0-0432</t>
  </si>
  <si>
    <t>MER-A0-0433</t>
  </si>
  <si>
    <t>MER-A0-0434</t>
  </si>
  <si>
    <t>MER-A0-0435</t>
  </si>
  <si>
    <t>MER-A0-0436</t>
  </si>
  <si>
    <t>MER-A0-0437</t>
  </si>
  <si>
    <t>MER-A0-0438</t>
  </si>
  <si>
    <t>MER-A0-0439</t>
  </si>
  <si>
    <t>MER-A0-0440</t>
  </si>
  <si>
    <t>MER-A0-0441</t>
  </si>
  <si>
    <t>MER-A0-0442</t>
  </si>
  <si>
    <t>MER-A0-0443</t>
  </si>
  <si>
    <t>MER-A0-0444</t>
  </si>
  <si>
    <t>MER-A0-0445</t>
  </si>
  <si>
    <t>MER-A0-0446</t>
  </si>
  <si>
    <t>MER-A0-0447</t>
  </si>
  <si>
    <t>MER-A0-0448</t>
  </si>
  <si>
    <t>MER-A0-0449</t>
  </si>
  <si>
    <t>MER-A0-0450</t>
  </si>
  <si>
    <t>MER-A0-0451</t>
  </si>
  <si>
    <t>MER-A0-0452</t>
  </si>
  <si>
    <t>MER-A0-0453</t>
  </si>
  <si>
    <t>MER-A0-0454</t>
  </si>
  <si>
    <t>MER-A0-0455</t>
  </si>
  <si>
    <t>MER-A0-0456</t>
  </si>
  <si>
    <t>MER-A0-0457</t>
  </si>
  <si>
    <t>MER-A0-0458</t>
  </si>
  <si>
    <t>MER-A0-0459</t>
  </si>
  <si>
    <t>MER-A0-0460</t>
  </si>
  <si>
    <t>MER-A0-0461</t>
  </si>
  <si>
    <t>MER-A0-0462</t>
  </si>
  <si>
    <t>MER-A0-0463</t>
  </si>
  <si>
    <t>MER-A0-0464</t>
  </si>
  <si>
    <t>MER-A0-0465</t>
  </si>
  <si>
    <t>MER-A0-0466</t>
  </si>
  <si>
    <t>MER-A0-0467</t>
  </si>
  <si>
    <t>MER-A0-0468</t>
  </si>
  <si>
    <t>MER-A0-0469</t>
  </si>
  <si>
    <t>MER-A0-0470</t>
  </si>
  <si>
    <t>MER-A0-0471</t>
  </si>
  <si>
    <t>MER-A0-0472</t>
  </si>
  <si>
    <t>MER-A0-0473</t>
  </si>
  <si>
    <t>MER-A0-0474</t>
  </si>
  <si>
    <t>MER-A0-0475</t>
  </si>
  <si>
    <t>MER-A0-0476</t>
  </si>
  <si>
    <t>MER-A0-0477</t>
  </si>
  <si>
    <t>MER-A0-0478</t>
  </si>
  <si>
    <t>MER-A0-0479</t>
  </si>
  <si>
    <t>MER-A0-0480</t>
  </si>
  <si>
    <t>MER-A0-0481</t>
  </si>
  <si>
    <t>MER-A0-0482</t>
  </si>
  <si>
    <t>MER-A0-0483</t>
  </si>
  <si>
    <t>MER-A0-0484</t>
  </si>
  <si>
    <t>MER-A0-0485</t>
  </si>
  <si>
    <t>MER-A0-0486</t>
  </si>
  <si>
    <t>MER-A0-0487</t>
  </si>
  <si>
    <t>MER-A0-0488</t>
  </si>
  <si>
    <t>MER-A0-0489</t>
  </si>
  <si>
    <t>MER-A0-0490</t>
  </si>
  <si>
    <t>MER-A0-0491</t>
  </si>
  <si>
    <t>MER-A0-0492</t>
  </si>
  <si>
    <t>MER-A0-0493</t>
  </si>
  <si>
    <t>MER-A0-0494</t>
  </si>
  <si>
    <t>MER-A0-0495</t>
  </si>
  <si>
    <t>MER-A0-0496</t>
  </si>
  <si>
    <t>MER-A0-0497</t>
  </si>
  <si>
    <t>MER-A0-0498</t>
  </si>
  <si>
    <t>MER-A0-0499</t>
  </si>
  <si>
    <t>MER-A0-0500</t>
  </si>
  <si>
    <t>MER-A0-0501</t>
  </si>
  <si>
    <t>MER-A0-0502</t>
  </si>
  <si>
    <t>MER-A0-0503</t>
  </si>
  <si>
    <t>MER-A0-0504</t>
  </si>
  <si>
    <t>MER-A0-0505</t>
  </si>
  <si>
    <t>MER-A0-0506</t>
  </si>
  <si>
    <t>MER-A0-0507</t>
  </si>
  <si>
    <t>MER-A0-0508</t>
  </si>
  <si>
    <t>MER-A0-0509</t>
  </si>
  <si>
    <t>MER-A0-0510</t>
  </si>
  <si>
    <t>MER-A0-0511</t>
  </si>
  <si>
    <t>MER-A0-0512</t>
  </si>
  <si>
    <t>MER-A0-0513</t>
  </si>
  <si>
    <t>MER-A0-0514</t>
  </si>
  <si>
    <t>MER-A0-0515</t>
  </si>
  <si>
    <t>MER-A0-0516</t>
  </si>
  <si>
    <t>MER-A0-0517</t>
  </si>
  <si>
    <t>MER-A0-0518</t>
  </si>
  <si>
    <t>MER-A0-0519</t>
  </si>
  <si>
    <t>MER-A0-0520</t>
  </si>
  <si>
    <t>MER-A0-0521</t>
  </si>
  <si>
    <t>MER-A0-0522</t>
  </si>
  <si>
    <t>MER-A0-0523</t>
  </si>
  <si>
    <t>MER-A0-0524</t>
  </si>
  <si>
    <t>MER-A0-0525</t>
  </si>
  <si>
    <t>MER-A0-0526</t>
  </si>
  <si>
    <t>MER-A0-0527</t>
  </si>
  <si>
    <t>MER-A0-0528</t>
  </si>
  <si>
    <t>MER-A0-0529</t>
  </si>
  <si>
    <t>MER-A0-0530</t>
  </si>
  <si>
    <t>MER-A0-0531</t>
  </si>
  <si>
    <t>MER-A0-0532</t>
  </si>
  <si>
    <t>MER-A0-0533</t>
  </si>
  <si>
    <t>MER-A0-0534</t>
  </si>
  <si>
    <t>MER-A0-0535</t>
  </si>
  <si>
    <t>MER-A0-0536</t>
  </si>
  <si>
    <t>MER-A0-0537</t>
  </si>
  <si>
    <t>MER-A0-0538</t>
  </si>
  <si>
    <t>MER-A0-0539</t>
  </si>
  <si>
    <t>MER-A0-0540</t>
  </si>
  <si>
    <t>MER-A0-0541</t>
  </si>
  <si>
    <t>MER-A0-0542</t>
  </si>
  <si>
    <t>MER-A0-0543</t>
  </si>
  <si>
    <t>MER-A0-0544</t>
  </si>
  <si>
    <t>MER-A0-0545</t>
  </si>
  <si>
    <t>MER-A0-0546</t>
  </si>
  <si>
    <t>MER-A0-0547</t>
  </si>
  <si>
    <t>MER-A0-0548</t>
  </si>
  <si>
    <t>MER-A0-0549</t>
  </si>
  <si>
    <t>MER-A0-0550</t>
  </si>
  <si>
    <t>MER-A0-0551</t>
  </si>
  <si>
    <t>MER-A0-0552</t>
  </si>
  <si>
    <t>MER-A0-0553</t>
  </si>
  <si>
    <t>MER-A0-0554</t>
  </si>
  <si>
    <t>MER-A0-0555</t>
  </si>
  <si>
    <t>MER-A0-0556</t>
  </si>
  <si>
    <t>MER-A0-0557</t>
  </si>
  <si>
    <t>MER-A0-0558</t>
  </si>
  <si>
    <t>MER-A0-0559</t>
  </si>
  <si>
    <t>MER-A0-0560</t>
  </si>
  <si>
    <t>MER-A0-0561</t>
  </si>
  <si>
    <t>MER-A0-0562</t>
  </si>
  <si>
    <t>MER-A0-0563</t>
  </si>
  <si>
    <t>MER-A0-0564</t>
  </si>
  <si>
    <t>MER-A0-0565</t>
  </si>
  <si>
    <t>MER-A0-0566</t>
  </si>
  <si>
    <t>MER-A0-0567</t>
  </si>
  <si>
    <t>MER-A0-0568</t>
  </si>
  <si>
    <t>MER-A0-0569</t>
  </si>
  <si>
    <t>MER-A0-0570</t>
  </si>
  <si>
    <t>MER-A0-0571</t>
  </si>
  <si>
    <t>MER-A0-0572</t>
  </si>
  <si>
    <t>MER-A0-0573</t>
  </si>
  <si>
    <t>MER-A0-0574</t>
  </si>
  <si>
    <t>MER-A0-0575</t>
  </si>
  <si>
    <t>MER-A0-0576</t>
  </si>
  <si>
    <t>MER-A0-0577</t>
  </si>
  <si>
    <t>MER-A0-0578</t>
  </si>
  <si>
    <t>MER-A0-0579</t>
  </si>
  <si>
    <t>MER-A0-0580</t>
  </si>
  <si>
    <t>MER-A0-0581</t>
  </si>
  <si>
    <t>MER-A0-0582</t>
  </si>
  <si>
    <t>MER-A0-0583</t>
  </si>
  <si>
    <t>MER-A0-0584</t>
  </si>
  <si>
    <t>MER-A0-0585</t>
  </si>
  <si>
    <t>MER-A0-0586</t>
  </si>
  <si>
    <t>MER-A0-0587</t>
  </si>
  <si>
    <t>MER-A0-0588</t>
  </si>
  <si>
    <t>MER-A0-0589</t>
  </si>
  <si>
    <t>MER-A0-0590</t>
  </si>
  <si>
    <t>MER-A0-0591</t>
  </si>
  <si>
    <t>MER-A0-0592</t>
  </si>
  <si>
    <t>MER-A0-0593</t>
  </si>
  <si>
    <t>MER-A0-0594</t>
  </si>
  <si>
    <t>MER-A0-0595</t>
  </si>
  <si>
    <t>MER-A0-0596</t>
  </si>
  <si>
    <t>MER-A0-0597</t>
  </si>
  <si>
    <t>MER-A0-0598</t>
  </si>
  <si>
    <t>MER-A0-0599</t>
  </si>
  <si>
    <t>MER-A0-0600</t>
  </si>
  <si>
    <t>MER-A0-0601</t>
  </si>
  <si>
    <t>MER-A0-0602</t>
  </si>
  <si>
    <t>MER-A0-0603</t>
  </si>
  <si>
    <t>MER-A0-0604</t>
  </si>
  <si>
    <t>MER-A0-0605</t>
  </si>
  <si>
    <t>MER-A0-0606</t>
  </si>
  <si>
    <t>MER-A0-0607</t>
  </si>
  <si>
    <t>MER-A0-0608</t>
  </si>
  <si>
    <t>MER-A0-0609</t>
  </si>
  <si>
    <t>MER-A0-0610</t>
  </si>
  <si>
    <t>MER-A0-0611</t>
  </si>
  <si>
    <t>MER-A0-0612</t>
  </si>
  <si>
    <t>MER-A0-0613</t>
  </si>
  <si>
    <t>MER-A0-0614</t>
  </si>
  <si>
    <t>MER-A0-0615</t>
  </si>
  <si>
    <t>MER-A0-0616</t>
  </si>
  <si>
    <t>MER-A0-0617</t>
  </si>
  <si>
    <t>MER-A0-0618</t>
  </si>
  <si>
    <t>MER-A0-0619</t>
  </si>
  <si>
    <t>MER-A0-0620</t>
  </si>
  <si>
    <t>MER-A0-0621</t>
  </si>
  <si>
    <t>MER-A0-0622</t>
  </si>
  <si>
    <t>MER-A0-0623</t>
  </si>
  <si>
    <t>MER-A0-0624</t>
  </si>
  <si>
    <t>MER-A0-0625</t>
  </si>
  <si>
    <t>MER-A0-0626</t>
  </si>
  <si>
    <t>MER-A0-0627</t>
  </si>
  <si>
    <t>MER-A0-0628</t>
  </si>
  <si>
    <t>MER-A0-0629</t>
  </si>
  <si>
    <t>MER-A0-0630</t>
  </si>
  <si>
    <t>MER-A0-0631</t>
  </si>
  <si>
    <t>MER-A0-0632</t>
  </si>
  <si>
    <t>MER-A0-0633</t>
  </si>
  <si>
    <t>MER-A0-0634</t>
  </si>
  <si>
    <t>MER-A0-0635</t>
  </si>
  <si>
    <t>MER-A0-0636</t>
  </si>
  <si>
    <t>MER-A0-0637</t>
  </si>
  <si>
    <t>MER-A0-0638</t>
  </si>
  <si>
    <t>MER-A0-0639</t>
  </si>
  <si>
    <t>MER-A0-0640</t>
  </si>
  <si>
    <t>MER-A0-0641</t>
  </si>
  <si>
    <t>MER-A0-0642</t>
  </si>
  <si>
    <t>MER-A0-0643</t>
  </si>
  <si>
    <t>MER-A0-0644</t>
  </si>
  <si>
    <t>MER-A0-0645</t>
  </si>
  <si>
    <t>MER-A0-0646</t>
  </si>
  <si>
    <t>MER-A0-0647</t>
  </si>
  <si>
    <t>MER-A0-0648</t>
  </si>
  <si>
    <t>MER-A0-0649</t>
  </si>
  <si>
    <t>MER-A0-0650</t>
  </si>
  <si>
    <t>MER-A0-0651</t>
  </si>
  <si>
    <t>MER-A0-0652</t>
  </si>
  <si>
    <t>MER-A0-0653</t>
  </si>
  <si>
    <t>MER-A0-0654</t>
  </si>
  <si>
    <t>MER-A0-0655</t>
  </si>
  <si>
    <t>MER-A0-0656</t>
  </si>
  <si>
    <t>MER-A0-0657</t>
  </si>
  <si>
    <t>MER-A0-0658</t>
  </si>
  <si>
    <t>MER-A0-0659</t>
  </si>
  <si>
    <t>MER-A0-0660</t>
  </si>
  <si>
    <t>MER-A0-0661</t>
  </si>
  <si>
    <t>MER-A0-0662</t>
  </si>
  <si>
    <t>MER-A0-0663</t>
  </si>
  <si>
    <t>MER-A0-0664</t>
  </si>
  <si>
    <t>MER-A0-0665</t>
  </si>
  <si>
    <t>MER-A0-0666</t>
  </si>
  <si>
    <t>MER-A0-0667</t>
  </si>
  <si>
    <t>MER-A0-0668</t>
  </si>
  <si>
    <t>MER-A0-0669</t>
  </si>
  <si>
    <t>MER-A0-0670</t>
  </si>
  <si>
    <t>MER-A0-0671</t>
  </si>
  <si>
    <t>MER-A0-0672</t>
  </si>
  <si>
    <t>MER-A0-0673</t>
  </si>
  <si>
    <t>MER-A0-0674</t>
  </si>
  <si>
    <t>MER-A0-0675</t>
  </si>
  <si>
    <t>MER-A0-0676</t>
  </si>
  <si>
    <t>MER-A0-0677</t>
  </si>
  <si>
    <t>MER-A0-0678</t>
  </si>
  <si>
    <t>MER-A0-0679</t>
  </si>
  <si>
    <t>MER-A0-0680</t>
  </si>
  <si>
    <t>MER-A0-0681</t>
  </si>
  <si>
    <t>MER-A0-0682</t>
  </si>
  <si>
    <t>MER-A0-0683</t>
  </si>
  <si>
    <t>MER-A0-0684</t>
  </si>
  <si>
    <t>MER-A0-0685</t>
  </si>
  <si>
    <t>MER-A0-0686</t>
  </si>
  <si>
    <t>MER-A0-0687</t>
  </si>
  <si>
    <t>MER-A0-0688</t>
  </si>
  <si>
    <t>MER-A0-0689</t>
  </si>
  <si>
    <t>MER-A0-0690</t>
  </si>
  <si>
    <t>MER-A0-0691</t>
  </si>
  <si>
    <t>MER-A0-0692</t>
  </si>
  <si>
    <t>MER-A0-0693</t>
  </si>
  <si>
    <t>MER-A0-0694</t>
  </si>
  <si>
    <t>MER-A0-0695</t>
  </si>
  <si>
    <t>MER-A0-0696</t>
  </si>
  <si>
    <t>MER-A0-0697</t>
  </si>
  <si>
    <t>MER-A0-0698</t>
  </si>
  <si>
    <t>MER-A0-0699</t>
  </si>
  <si>
    <t>MER-A0-0700</t>
  </si>
  <si>
    <t>MER-A0-0701</t>
  </si>
  <si>
    <t>MER-A0-0702</t>
  </si>
  <si>
    <t>MER-A0-0703</t>
  </si>
  <si>
    <t>MER-A0-0704</t>
  </si>
  <si>
    <t>MER-A0-0705</t>
  </si>
  <si>
    <t>MER-A0-0706</t>
  </si>
  <si>
    <t>MER-A0-0707</t>
  </si>
  <si>
    <t>MER-A0-0708</t>
  </si>
  <si>
    <t>MER-A0-0709</t>
  </si>
  <si>
    <t>MER-A0-0710</t>
  </si>
  <si>
    <t>MER-A0-0711</t>
  </si>
  <si>
    <t>MER-A0-0712</t>
  </si>
  <si>
    <t>MER-A0-0713</t>
  </si>
  <si>
    <t>MER-A0-0714</t>
  </si>
  <si>
    <t>MER-A0-0715</t>
  </si>
  <si>
    <t>MER-A0-0716</t>
  </si>
  <si>
    <t>MER-A0-0717</t>
  </si>
  <si>
    <t>MER-A0-0718</t>
  </si>
  <si>
    <t>MER-A0-0719</t>
  </si>
  <si>
    <t>MER-A0-0720</t>
  </si>
  <si>
    <t>MER-A0-0721</t>
  </si>
  <si>
    <t>MER-A0-0722</t>
  </si>
  <si>
    <t>MER-A0-0723</t>
  </si>
  <si>
    <t>MER-A0-0724</t>
  </si>
  <si>
    <t>MER-A0-0725</t>
  </si>
  <si>
    <t>MER-A0-0726</t>
  </si>
  <si>
    <t>MER-A0-0727</t>
  </si>
  <si>
    <t>MER-A0-0728</t>
  </si>
  <si>
    <t>MER-A0-0729</t>
  </si>
  <si>
    <t>MER-A0-0730</t>
  </si>
  <si>
    <t>MER-A0-0731</t>
  </si>
  <si>
    <t>MER-A0-0732</t>
  </si>
  <si>
    <t>MER-A0-0733</t>
  </si>
  <si>
    <t>MER-A0-0734</t>
  </si>
  <si>
    <t>MER-A0-0735</t>
  </si>
  <si>
    <t>MER-A0-0736</t>
  </si>
  <si>
    <t>MER-A0-0737</t>
  </si>
  <si>
    <t>MER-A0-0738</t>
  </si>
  <si>
    <t>MER-A0-0739</t>
  </si>
  <si>
    <t>MER-A0-0740</t>
  </si>
  <si>
    <t>MER-A0-0741</t>
  </si>
  <si>
    <t>MER-A0-0742</t>
  </si>
  <si>
    <t>MER-A0-0743</t>
  </si>
  <si>
    <t>MER-A0-0744</t>
  </si>
  <si>
    <t>MER-A0-0745</t>
  </si>
  <si>
    <t>MER-A0-0746</t>
  </si>
  <si>
    <t>MER-A0-0747</t>
  </si>
  <si>
    <t>MER-A0-0748</t>
  </si>
  <si>
    <t>MER-A0-0749</t>
  </si>
  <si>
    <t>MER-A0-0750</t>
  </si>
  <si>
    <t>MER-A0-0751</t>
  </si>
  <si>
    <t>MER-A0-0752</t>
  </si>
  <si>
    <t>MER-A0-0753</t>
  </si>
  <si>
    <t>MER-A0-0754</t>
  </si>
  <si>
    <t>MER-A0-0755</t>
  </si>
  <si>
    <t>MER-A0-0756</t>
  </si>
  <si>
    <t>MER-A0-0757</t>
  </si>
  <si>
    <t>MER-A0-0758</t>
  </si>
  <si>
    <t>MER-A0-0759</t>
  </si>
  <si>
    <t>MER-A0-0760</t>
  </si>
  <si>
    <t>MER-A0-0761</t>
  </si>
  <si>
    <t>MER-A0-0762</t>
  </si>
  <si>
    <t>MER-A0-0763</t>
  </si>
  <si>
    <t>MER-A0-0764</t>
  </si>
  <si>
    <t>MER-A0-0765</t>
  </si>
  <si>
    <t>MER-A0-0766</t>
  </si>
  <si>
    <t>MER-A0-0767</t>
  </si>
  <si>
    <t>MER-A0-0768</t>
  </si>
  <si>
    <t>MER-A0-0769</t>
  </si>
  <si>
    <t>MER-A0-0770</t>
  </si>
  <si>
    <t>MER-A0-0771</t>
  </si>
  <si>
    <t>MER-A0-0772</t>
  </si>
  <si>
    <t>MER-A0-0773</t>
  </si>
  <si>
    <t>MER-A0-0774</t>
  </si>
  <si>
    <t>MER-A0-0775</t>
  </si>
  <si>
    <t>MER-A0-0776</t>
  </si>
  <si>
    <t>MER-A0-0777</t>
  </si>
  <si>
    <t>MER-A0-0778</t>
  </si>
  <si>
    <t>MER-A0-0779</t>
  </si>
  <si>
    <t>MER-A0-0780</t>
  </si>
  <si>
    <t>MER-A0-0781</t>
  </si>
  <si>
    <t>MER-A0-0782</t>
  </si>
  <si>
    <t>MER-A0-0783</t>
  </si>
  <si>
    <t>MER-A0-0784</t>
  </si>
  <si>
    <t>MER-A0-0785</t>
  </si>
  <si>
    <t>MER-A0-0786</t>
  </si>
  <si>
    <t>MER-A0-0787</t>
  </si>
  <si>
    <t>MER-A0-0788</t>
  </si>
  <si>
    <t>MER-A0-0789</t>
  </si>
  <si>
    <t>MER-A0-0790</t>
  </si>
  <si>
    <t>MER-A0-0791</t>
  </si>
  <si>
    <t>MER-A0-0792</t>
  </si>
  <si>
    <t>MER-A0-0793</t>
  </si>
  <si>
    <t>MER-A0-0794</t>
  </si>
  <si>
    <t>MER-A0-0795</t>
  </si>
  <si>
    <t>MER-A0-0796</t>
  </si>
  <si>
    <t>MER-A0-0797</t>
  </si>
  <si>
    <t>MER-A0-0798</t>
  </si>
  <si>
    <t>MER-A0-0799</t>
  </si>
  <si>
    <t>MER-A0-0800</t>
  </si>
  <si>
    <t>MER-A0-0801</t>
  </si>
  <si>
    <t>MER-A0-0802</t>
  </si>
  <si>
    <t>MER-A0-0803</t>
  </si>
  <si>
    <t>MER-A0-0804</t>
  </si>
  <si>
    <t>MER-A0-0805</t>
  </si>
  <si>
    <t>MER-A0-0806</t>
  </si>
  <si>
    <t>MER-A0-0807</t>
  </si>
  <si>
    <t>MER-A0-0808</t>
  </si>
  <si>
    <t>MER-A0-0809</t>
  </si>
  <si>
    <t>MER-A0-0810</t>
  </si>
  <si>
    <t>MER-A0-0811</t>
  </si>
  <si>
    <t>MER-A0-0812</t>
  </si>
  <si>
    <t>MER-A0-0813</t>
  </si>
  <si>
    <t>MER-A0-0814</t>
  </si>
  <si>
    <t>MER-A0-0815</t>
  </si>
  <si>
    <t>MER-A0-0816</t>
  </si>
  <si>
    <t>MER-A0-0817</t>
  </si>
  <si>
    <t>MER-A0-0818</t>
  </si>
  <si>
    <t>MER-A0-0819</t>
  </si>
  <si>
    <t>MER-A0-0820</t>
  </si>
  <si>
    <t>MER-A0-0821</t>
  </si>
  <si>
    <t>MER-A0-0822</t>
  </si>
  <si>
    <t>MER-A0-0823</t>
  </si>
  <si>
    <t>MER-A0-0824</t>
  </si>
  <si>
    <t>MER-A0-0825</t>
  </si>
  <si>
    <t>MER-A0-0826</t>
  </si>
  <si>
    <t>MER-A0-0827</t>
  </si>
  <si>
    <t>MER-A0-0828</t>
  </si>
  <si>
    <t>MER-A0-0829</t>
  </si>
  <si>
    <t>MER-A0-0830</t>
  </si>
  <si>
    <t>MER-A0-0831</t>
  </si>
  <si>
    <t>MER-A0-0832</t>
  </si>
  <si>
    <t>MER-A0-0833</t>
  </si>
  <si>
    <t>MER-A0-0834</t>
  </si>
  <si>
    <t>MER-A0-0835</t>
  </si>
  <si>
    <t>MER-A0-0836</t>
  </si>
  <si>
    <t>MER-A0-0837</t>
  </si>
  <si>
    <t>MER-A0-0838</t>
  </si>
  <si>
    <t>MER-A0-0839</t>
  </si>
  <si>
    <t>MER-A0-0840</t>
  </si>
  <si>
    <t>MER-A0-0841</t>
  </si>
  <si>
    <t>MER-A0-0842</t>
  </si>
  <si>
    <t>MER-A0-0843</t>
  </si>
  <si>
    <t>MER-A0-0844</t>
  </si>
  <si>
    <t>MER-A0-0845</t>
  </si>
  <si>
    <t>MER-A0-0846</t>
  </si>
  <si>
    <t>MER-A0-0847</t>
  </si>
  <si>
    <t>MER-A0-0848</t>
  </si>
  <si>
    <t>MER-A0-0849</t>
  </si>
  <si>
    <t>MER-A0-0850</t>
  </si>
  <si>
    <t>MER-A0-0851</t>
  </si>
  <si>
    <t>MER-A0-0852</t>
  </si>
  <si>
    <t>MER-A0-0853</t>
  </si>
  <si>
    <t>MER-A0-0854</t>
  </si>
  <si>
    <t>MER-A0-0855</t>
  </si>
  <si>
    <t>MER-A0-0856</t>
  </si>
  <si>
    <t>MER-A0-0857</t>
  </si>
  <si>
    <t>MER-A0-0858</t>
  </si>
  <si>
    <t>MER-A0-0859</t>
  </si>
  <si>
    <t>MER-A0-0860</t>
  </si>
  <si>
    <t>MER-A0-0861</t>
  </si>
  <si>
    <t>MER-A0-0862</t>
  </si>
  <si>
    <t>MER-A0-0863</t>
  </si>
  <si>
    <t>MER-A0-0864</t>
  </si>
  <si>
    <t>MER-A0-0865</t>
  </si>
  <si>
    <t>MER-A0-0866</t>
  </si>
  <si>
    <t>MER-A0-0867</t>
  </si>
  <si>
    <t>MER-A0-0868</t>
  </si>
  <si>
    <t>MER-A0-0869</t>
  </si>
  <si>
    <t>MER-A0-0870</t>
  </si>
  <si>
    <t>MER-A0-0871</t>
  </si>
  <si>
    <t>MER-A0-0872</t>
  </si>
  <si>
    <t>MER-A0-0873</t>
  </si>
  <si>
    <t>MER-A0-0874</t>
  </si>
  <si>
    <t>MER-A0-0875</t>
  </si>
  <si>
    <t>MER-A0-0876</t>
  </si>
  <si>
    <t>MER-A0-0877</t>
  </si>
  <si>
    <t>MER-A0-0878</t>
  </si>
  <si>
    <t>MER-A0-0879</t>
  </si>
  <si>
    <t>MER-A0-0880</t>
  </si>
  <si>
    <t>MER-A0-0881</t>
  </si>
  <si>
    <t>MER-A0-0882</t>
  </si>
  <si>
    <t>MER-A0-0883</t>
  </si>
  <si>
    <t>MER-A0-0884</t>
  </si>
  <si>
    <t>MER-A0-0885</t>
  </si>
  <si>
    <t>MER-A0-0886</t>
  </si>
  <si>
    <t>MER-A0-0887</t>
  </si>
  <si>
    <t>MER-A0-0888</t>
  </si>
  <si>
    <t>MER-A0-0889</t>
  </si>
  <si>
    <t>MER-A0-0890</t>
  </si>
  <si>
    <t>MER-A0-0891</t>
  </si>
  <si>
    <t>MER-A0-0892</t>
  </si>
  <si>
    <t>MER-A0-0893</t>
  </si>
  <si>
    <t>MER-A0-0894</t>
  </si>
  <si>
    <t>MER-A0-0895</t>
  </si>
  <si>
    <t>MER-A0-0896</t>
  </si>
  <si>
    <t>MER-A0-0897</t>
  </si>
  <si>
    <t>MER-A0-0898</t>
  </si>
  <si>
    <t>MER-A0-0899</t>
  </si>
  <si>
    <t>MER-A0-0900</t>
  </si>
  <si>
    <t>MER-A0-0901</t>
  </si>
  <si>
    <t>MER-A0-0902</t>
  </si>
  <si>
    <t>MER-A0-0903</t>
  </si>
  <si>
    <t>MER-A0-0904</t>
  </si>
  <si>
    <t>MER-A0-0905</t>
  </si>
  <si>
    <t>MER-A0-0906</t>
  </si>
  <si>
    <t>MER-A0-0907</t>
  </si>
  <si>
    <t>MER-A0-0908</t>
  </si>
  <si>
    <t>MER-A0-0909</t>
  </si>
  <si>
    <t>MER-A0-0910</t>
  </si>
  <si>
    <t>MER-A0-0911</t>
  </si>
  <si>
    <t>MER-A0-0912</t>
  </si>
  <si>
    <t>MER-A0-0913</t>
  </si>
  <si>
    <t>MER-A0-0914</t>
  </si>
  <si>
    <t>MER-A0-0915</t>
  </si>
  <si>
    <t>MER-A0-0916</t>
  </si>
  <si>
    <t>MER-A0-0917</t>
  </si>
  <si>
    <t>MER-A0-0918</t>
  </si>
  <si>
    <t>MER-A0-0919</t>
  </si>
  <si>
    <t>MER-A0-0920</t>
  </si>
  <si>
    <t>MER-A0-0921</t>
  </si>
  <si>
    <t>MER-A0-0922</t>
  </si>
  <si>
    <t>MER-A0-0923</t>
  </si>
  <si>
    <t>MER-A0-0924</t>
  </si>
  <si>
    <t>MER-A0-0925</t>
  </si>
  <si>
    <t>MER-A0-0926</t>
  </si>
  <si>
    <t>MER-A0-0927</t>
  </si>
  <si>
    <t>MER-A0-0928</t>
  </si>
  <si>
    <t>MER-A0-0929</t>
  </si>
  <si>
    <t>MER-A0-0930</t>
  </si>
  <si>
    <t>MER-A0-0931</t>
  </si>
  <si>
    <t>MER-A0-0932</t>
  </si>
  <si>
    <t>MER-A0-0933</t>
  </si>
  <si>
    <t>MER-A0-0934</t>
  </si>
  <si>
    <t>MER-A0-0935</t>
  </si>
  <si>
    <t>MER-A0-0936</t>
  </si>
  <si>
    <t>MER-A0-0937</t>
  </si>
  <si>
    <t>MER-A0-0938</t>
  </si>
  <si>
    <t>MER-A0-0939</t>
  </si>
  <si>
    <t>MER-A0-0940</t>
  </si>
  <si>
    <t>MER-A0-0941</t>
  </si>
  <si>
    <t>MER-A0-0942</t>
  </si>
  <si>
    <t>MER-A0-0943</t>
  </si>
  <si>
    <t>MER-A0-0944</t>
  </si>
  <si>
    <t>MER-A0-0945</t>
  </si>
  <si>
    <t>MER-A0-0946</t>
  </si>
  <si>
    <t>MER-A0-0947</t>
  </si>
  <si>
    <t>MER-A0-0948</t>
  </si>
  <si>
    <t>MER-A0-0949</t>
  </si>
  <si>
    <t>MER-A0-0950</t>
  </si>
  <si>
    <t>MER-A0-0951</t>
  </si>
  <si>
    <t>MER-A0-0952</t>
  </si>
  <si>
    <t>MER-A0-0953</t>
  </si>
  <si>
    <t>MER-A0-0954</t>
  </si>
  <si>
    <t>MER-A0-0955</t>
  </si>
  <si>
    <t>MER-A0-0956</t>
  </si>
  <si>
    <t>MER-A0-0957</t>
  </si>
  <si>
    <t>MER-A0-0958</t>
  </si>
  <si>
    <t>MER-A0-0959</t>
  </si>
  <si>
    <t>MER-A0-0960</t>
  </si>
  <si>
    <t>MER-A0-0961</t>
  </si>
  <si>
    <t>MER-A0-0962</t>
  </si>
  <si>
    <t>MER-A0-0963</t>
  </si>
  <si>
    <t>MER-A0-0964</t>
  </si>
  <si>
    <t>MER-A0-0965</t>
  </si>
  <si>
    <t>MER-A0-0966</t>
  </si>
  <si>
    <t>MER-A0-0967</t>
  </si>
  <si>
    <t>MER-A0-0968</t>
  </si>
  <si>
    <t>MER-A0-0969</t>
  </si>
  <si>
    <t>MER-A0-0970</t>
  </si>
  <si>
    <t>MER-A0-0971</t>
  </si>
  <si>
    <t>MER-A0-0972</t>
  </si>
  <si>
    <t>MER-A0-0973</t>
  </si>
  <si>
    <t>MER-A0-0974</t>
  </si>
  <si>
    <t>MER-A0-0975</t>
  </si>
  <si>
    <t>MER-A0-0976</t>
  </si>
  <si>
    <t>MER-A0-0977</t>
  </si>
  <si>
    <t>MER-A0-0978</t>
  </si>
  <si>
    <t>MER-A0-0979</t>
  </si>
  <si>
    <t>MER-A0-0980</t>
  </si>
  <si>
    <t>MER-A0-0981</t>
  </si>
  <si>
    <t>MER-A0-0982</t>
  </si>
  <si>
    <t>MER-A0-0983</t>
  </si>
  <si>
    <t>MER-A0-0984</t>
  </si>
  <si>
    <t>MER-A0-0985</t>
  </si>
  <si>
    <t>MER-A0-0986</t>
  </si>
  <si>
    <t>MER-A0-0987</t>
  </si>
  <si>
    <t>MER-A0-0988</t>
  </si>
  <si>
    <t>MER-A0-0989</t>
  </si>
  <si>
    <t>MER-A0-0990</t>
  </si>
  <si>
    <t>MER-A0-0991</t>
  </si>
  <si>
    <t>MER-A0-0992</t>
  </si>
  <si>
    <t>MER-A0-0993</t>
  </si>
  <si>
    <t>MER-A0-0994</t>
  </si>
  <si>
    <t>MER-A0-0995</t>
  </si>
  <si>
    <t>MER-A0-0996</t>
  </si>
  <si>
    <t>MER-A0-0997</t>
  </si>
  <si>
    <t>MER-A0-0998</t>
  </si>
  <si>
    <t>MER-A0-0999</t>
  </si>
  <si>
    <t>MER-A0-1000</t>
  </si>
  <si>
    <t>MER-A0-1001</t>
  </si>
  <si>
    <t>MER-A0-1002</t>
  </si>
  <si>
    <t>MER-A0-1003</t>
  </si>
  <si>
    <t>MER-A0-1004</t>
  </si>
  <si>
    <t>MER-A0-1005</t>
  </si>
  <si>
    <t>MER-A0-1006</t>
  </si>
  <si>
    <t>MER-A0-1007</t>
  </si>
  <si>
    <t>MER-A0-1008</t>
  </si>
  <si>
    <t>MER-A0-1009</t>
  </si>
  <si>
    <t>MER-A0-1010</t>
  </si>
  <si>
    <t>MER-A0-1011</t>
  </si>
  <si>
    <t>MER-A0-1012</t>
  </si>
  <si>
    <t>MER-A0-1013</t>
  </si>
  <si>
    <t>MER-A0-1014</t>
  </si>
  <si>
    <t>MER-A0-1015</t>
  </si>
  <si>
    <t>MER-A0-1016</t>
  </si>
  <si>
    <t>MER-A0-1017</t>
  </si>
  <si>
    <t>MER-A0-1018</t>
  </si>
  <si>
    <t>MER-A0-1019</t>
  </si>
  <si>
    <t>MER-A0-1020</t>
  </si>
  <si>
    <t>MER-A0-1021</t>
  </si>
  <si>
    <t>MER-A0-1022</t>
  </si>
  <si>
    <t>MER-A0-1023</t>
  </si>
  <si>
    <t>MER-A0-1024</t>
  </si>
  <si>
    <t>MER-A0-1025</t>
  </si>
  <si>
    <t>MER-A0-1026</t>
  </si>
  <si>
    <t>MER-A0-1027</t>
  </si>
  <si>
    <t>MER-A0-1028</t>
  </si>
  <si>
    <t>MER-A0-1029</t>
  </si>
  <si>
    <t>MER-A0-1030</t>
  </si>
  <si>
    <t>MER-A0-1031</t>
  </si>
  <si>
    <t>MER-A0-1032</t>
  </si>
  <si>
    <t>MER-A0-1033</t>
  </si>
  <si>
    <t>MER-A0-1034</t>
  </si>
  <si>
    <t>MER-A0-1035</t>
  </si>
  <si>
    <t>MER-A0-1036</t>
  </si>
  <si>
    <t>MER-A0-1037</t>
  </si>
  <si>
    <t>MER-A0-1038</t>
  </si>
  <si>
    <t>MER-A0-1039</t>
  </si>
  <si>
    <t>MER-A0-1040</t>
  </si>
  <si>
    <t>MER-A0-1041</t>
  </si>
  <si>
    <t>MER-A0-1042</t>
  </si>
  <si>
    <t>MER-A0-1043</t>
  </si>
  <si>
    <t>MER-A0-1044</t>
  </si>
  <si>
    <t>MER-A0-1045</t>
  </si>
  <si>
    <t>MER-A0-1046</t>
  </si>
  <si>
    <t>MER-A0-1047</t>
  </si>
  <si>
    <t>MER-A0-1048</t>
  </si>
  <si>
    <t>MER-A0-1049</t>
  </si>
  <si>
    <t>MER-A0-1050</t>
  </si>
  <si>
    <t>MER-A0-1051</t>
  </si>
  <si>
    <t>MER-A0-1052</t>
  </si>
  <si>
    <t>MER-A0-1053</t>
  </si>
  <si>
    <t>MER-A0-1054</t>
  </si>
  <si>
    <t>MER-A0-1055</t>
  </si>
  <si>
    <t>MER-A0-1056</t>
  </si>
  <si>
    <t>MER-A0-1057</t>
  </si>
  <si>
    <t>MER-A0-1058</t>
  </si>
  <si>
    <t>MER-A0-1059</t>
  </si>
  <si>
    <t>MER-A0-1060</t>
  </si>
  <si>
    <t>MER-A0-1061</t>
  </si>
  <si>
    <t>MER-A0-1062</t>
  </si>
  <si>
    <t>MER-A0-1063</t>
  </si>
  <si>
    <t>MER-A0-1064</t>
  </si>
  <si>
    <t>MER-A0-1065</t>
  </si>
  <si>
    <t>MER-A0-1066</t>
  </si>
  <si>
    <t>MER-A0-1067</t>
  </si>
  <si>
    <t>MER-A0-1068</t>
  </si>
  <si>
    <t>MER-A0-1069</t>
  </si>
  <si>
    <t>MER-A0-1070</t>
  </si>
  <si>
    <t>MER-A0-1071</t>
  </si>
  <si>
    <t>MER-A0-1072</t>
  </si>
  <si>
    <t>MER-A0-1073</t>
  </si>
  <si>
    <t>MER-A0-1074</t>
  </si>
  <si>
    <t>MER-A0-1075</t>
  </si>
  <si>
    <t>MER-A0-1076</t>
  </si>
  <si>
    <t>MER-A0-1077</t>
  </si>
  <si>
    <t>MER-A0-1078</t>
  </si>
  <si>
    <t>MER-A0-1079</t>
  </si>
  <si>
    <t>MER-A0-1080</t>
  </si>
  <si>
    <t>MER-A0-1081</t>
  </si>
  <si>
    <t>MER-A0-1082</t>
  </si>
  <si>
    <t>MER-A0-1083</t>
  </si>
  <si>
    <t>MER-A0-1084</t>
  </si>
  <si>
    <t>MER-A0-1085</t>
  </si>
  <si>
    <t>MER-A0-1086</t>
  </si>
  <si>
    <t>MER-A0-1087</t>
  </si>
  <si>
    <t>MER-A0-1088</t>
  </si>
  <si>
    <t>MER-A0-1089</t>
  </si>
  <si>
    <t>MER-A0-1090</t>
  </si>
  <si>
    <t>MER-A0-1091</t>
  </si>
  <si>
    <t>MER-A0-1092</t>
  </si>
  <si>
    <t>MER-A0-1093</t>
  </si>
  <si>
    <t>MER-A0-1094</t>
  </si>
  <si>
    <t>MER-A0-1095</t>
  </si>
  <si>
    <t>MER-A0-1096</t>
  </si>
  <si>
    <t>MER-A0-1097</t>
  </si>
  <si>
    <t>MER-A0-1098</t>
  </si>
  <si>
    <t>MER-A0-1099</t>
  </si>
  <si>
    <t>MER-A0-1100</t>
  </si>
  <si>
    <t>MER-A0-1101</t>
  </si>
  <si>
    <t>MER-A0-1102</t>
  </si>
  <si>
    <t>MER-A0-1103</t>
  </si>
  <si>
    <t>MER-A0-1104</t>
  </si>
  <si>
    <t>MER-A0-1105</t>
  </si>
  <si>
    <t>MER-A0-1106</t>
  </si>
  <si>
    <t>MER-A0-1107</t>
  </si>
  <si>
    <t>MER-A0-1108</t>
  </si>
  <si>
    <t>MER-A0-1109</t>
  </si>
  <si>
    <t>MER-A0-1110</t>
  </si>
  <si>
    <t>MER-A0-1111</t>
  </si>
  <si>
    <t>MER-A0-1112</t>
  </si>
  <si>
    <t>MER-A0-1113</t>
  </si>
  <si>
    <t>MER-A0-1114</t>
  </si>
  <si>
    <t>MER-A0-1115</t>
  </si>
  <si>
    <t>MER-A0-1116</t>
  </si>
  <si>
    <t>MER-A0-1117</t>
  </si>
  <si>
    <t>MER-A0-1118</t>
  </si>
  <si>
    <t>MER-A0-1119</t>
  </si>
  <si>
    <t>MER-A0-1120</t>
  </si>
  <si>
    <t>MER-A0-1121</t>
  </si>
  <si>
    <t>MER-A0-1122</t>
  </si>
  <si>
    <t>MER-A0-1123</t>
  </si>
  <si>
    <t>MER-A0-1124</t>
  </si>
  <si>
    <t>MER-A0-1125</t>
  </si>
  <si>
    <t>MER-A0-1126</t>
  </si>
  <si>
    <t>MER-A0-1127</t>
  </si>
  <si>
    <t>MER-A0-1128</t>
  </si>
  <si>
    <t>MER-A0-1129</t>
  </si>
  <si>
    <t>MER-A0-1130</t>
  </si>
  <si>
    <t>MER-A0-1131</t>
  </si>
  <si>
    <t>MER-A0-1132</t>
  </si>
  <si>
    <t>MER-A0-1133</t>
  </si>
  <si>
    <t>MER-A0-1134</t>
  </si>
  <si>
    <t>MER-A0-1135</t>
  </si>
  <si>
    <t>MER-A0-1136</t>
  </si>
  <si>
    <t>MER-A0-1137</t>
  </si>
  <si>
    <t>MER-A0-1138</t>
  </si>
  <si>
    <t>MER-A0-1139</t>
  </si>
  <si>
    <t>MER-A0-1140</t>
  </si>
  <si>
    <t>MER-A0-1141</t>
  </si>
  <si>
    <t>MER-A0-1142</t>
  </si>
  <si>
    <t>MER-A0-1143</t>
  </si>
  <si>
    <t>MER-A0-1144</t>
  </si>
  <si>
    <t>MER-A0-1145</t>
  </si>
  <si>
    <t>MER-A0-1146</t>
  </si>
  <si>
    <t>MER-A0-1147</t>
  </si>
  <si>
    <t>MER-A0-1148</t>
  </si>
  <si>
    <t>MER-A0-1149</t>
  </si>
  <si>
    <t>MER-A0-1150</t>
  </si>
  <si>
    <t>MER-A0-1151</t>
  </si>
  <si>
    <t>MER-A0-1152</t>
  </si>
  <si>
    <t>MER-A0-1153</t>
  </si>
  <si>
    <t>MER-A0-1154</t>
  </si>
  <si>
    <t>MER-A0-1155</t>
  </si>
  <si>
    <t>MER-A0-1156</t>
  </si>
  <si>
    <t>MER-A0-1157</t>
  </si>
  <si>
    <t>MER-A0-1158</t>
  </si>
  <si>
    <t>MER-A0-1159</t>
  </si>
  <si>
    <t>MER-A0-1160</t>
  </si>
  <si>
    <t>MER-A0-1161</t>
  </si>
  <si>
    <t>MER-A0-1162</t>
  </si>
  <si>
    <t>MER-A0-1163</t>
  </si>
  <si>
    <t>MER-A0-1164</t>
  </si>
  <si>
    <t>MER-A0-1165</t>
  </si>
  <si>
    <t>MER-A0-1166</t>
  </si>
  <si>
    <t>MER-A0-1167</t>
  </si>
  <si>
    <t>MER-A0-1168</t>
  </si>
  <si>
    <t>MER-A0-1169</t>
  </si>
  <si>
    <t>MER-A0-1170</t>
  </si>
  <si>
    <t>MER-A0-1171</t>
  </si>
  <si>
    <t>MER-A0-1172</t>
  </si>
  <si>
    <t>MER-A0-1173</t>
  </si>
  <si>
    <t>MER-A0-1174</t>
  </si>
  <si>
    <t>MER-A0-1175</t>
  </si>
  <si>
    <t>MER-A0-1176</t>
  </si>
  <si>
    <t>MER-A0-1177</t>
  </si>
  <si>
    <t>MER-A0-1178</t>
  </si>
  <si>
    <t>MER-A0-1179</t>
  </si>
  <si>
    <t>MER-A0-1180</t>
  </si>
  <si>
    <t>MER-A0-1181</t>
  </si>
  <si>
    <t>MER-A0-1182</t>
  </si>
  <si>
    <t>MER-A0-1183</t>
  </si>
  <si>
    <t>MER-A0-1184</t>
  </si>
  <si>
    <t>MER-A0-1185</t>
  </si>
  <si>
    <t>MER-A0-1186</t>
  </si>
  <si>
    <t>MER-A0-1187</t>
  </si>
  <si>
    <t>MER-A0-1188</t>
  </si>
  <si>
    <t>MER-A0-1189</t>
  </si>
  <si>
    <t>MER-A0-1190</t>
  </si>
  <si>
    <t>MER-A0-1191</t>
  </si>
  <si>
    <t>MER-A0-1192</t>
  </si>
  <si>
    <t>MER-A0-1193</t>
  </si>
  <si>
    <t>MER-A0-1194</t>
  </si>
  <si>
    <t>MER-A0-1195</t>
  </si>
  <si>
    <t>MER-A0-1196</t>
  </si>
  <si>
    <t>MER-A0-1197</t>
  </si>
  <si>
    <t>MER-A0-1198</t>
  </si>
  <si>
    <t>MER-A0-1199</t>
  </si>
  <si>
    <t>MER-A0-1200</t>
  </si>
  <si>
    <t>MER-A0-1201</t>
  </si>
  <si>
    <t>MER-A0-1202</t>
  </si>
  <si>
    <t>MER-A0-1203</t>
  </si>
  <si>
    <t>MER-A0-1204</t>
  </si>
  <si>
    <t>MER-A0-1205</t>
  </si>
  <si>
    <t>MER-A0-1206</t>
  </si>
  <si>
    <t>MER-A0-1207</t>
  </si>
  <si>
    <t>MER-A0-1208</t>
  </si>
  <si>
    <t>MER-A0-1209</t>
  </si>
  <si>
    <t>MER-A0-1210</t>
  </si>
  <si>
    <t>MER-A0-1211</t>
  </si>
  <si>
    <t>MER-A0-1212</t>
  </si>
  <si>
    <t>MER-A0-1213</t>
  </si>
  <si>
    <t>MER-A0-1214</t>
  </si>
  <si>
    <t>MER-A0-1215</t>
  </si>
  <si>
    <t>MER-A0-1216</t>
  </si>
  <si>
    <t>MER-A0-1217</t>
  </si>
  <si>
    <t>MER-A0-1218</t>
  </si>
  <si>
    <t>MER-A0-1219</t>
  </si>
  <si>
    <t>MER-A0-1220</t>
  </si>
  <si>
    <t>MER-A0-1221</t>
  </si>
  <si>
    <t>MER-A0-1222</t>
  </si>
  <si>
    <t>MER-A0-1223</t>
  </si>
  <si>
    <t>MER-A0-1224</t>
  </si>
  <si>
    <t>MER-A0-1225</t>
  </si>
  <si>
    <t>MER-A0-1226</t>
  </si>
  <si>
    <t>MER-A0-1227</t>
  </si>
  <si>
    <t>MER-A0-1228</t>
  </si>
  <si>
    <t>MER-A0-1229</t>
  </si>
  <si>
    <t>MER-A0-1230</t>
  </si>
  <si>
    <t>MER-A0-1231</t>
  </si>
  <si>
    <t>MER-A0-1232</t>
  </si>
  <si>
    <t>MER-A0-1233</t>
  </si>
  <si>
    <t>MER-A0-1234</t>
  </si>
  <si>
    <t>MER-A0-1235</t>
  </si>
  <si>
    <t>MER-A0-1236</t>
  </si>
  <si>
    <t>MER-A0-1237</t>
  </si>
  <si>
    <t>MER-A0-1238</t>
  </si>
  <si>
    <t>MER-A0-1239</t>
  </si>
  <si>
    <t>MER-A0-1240</t>
  </si>
  <si>
    <t>MER-A0-1241</t>
  </si>
  <si>
    <t>MER-A0-1242</t>
  </si>
  <si>
    <t>MER-A0-1243</t>
  </si>
  <si>
    <t>MER-A0-1244</t>
  </si>
  <si>
    <t>MER-A0-1245</t>
  </si>
  <si>
    <t>MER-A0-1246</t>
  </si>
  <si>
    <t>MER-A0-1247</t>
  </si>
  <si>
    <t>MER-A0-1248</t>
  </si>
  <si>
    <t>MER-A0-1249</t>
  </si>
  <si>
    <t>MER-A0-1250</t>
  </si>
  <si>
    <t>MER-A0-1251</t>
  </si>
  <si>
    <t>MER-A0-1252</t>
  </si>
  <si>
    <t>MER-A0-1253</t>
  </si>
  <si>
    <t>MER-A0-1254</t>
  </si>
  <si>
    <t>MER-A0-1255</t>
  </si>
  <si>
    <t>MER-A0-1256</t>
  </si>
  <si>
    <t>MER-A0-1257</t>
  </si>
  <si>
    <t>MER-A0-1258</t>
  </si>
  <si>
    <t>MER-A0-1259</t>
  </si>
  <si>
    <t>MER-A0-1260</t>
  </si>
  <si>
    <t>MER-A0-1261</t>
  </si>
  <si>
    <t>MER-A0-1262</t>
  </si>
  <si>
    <t>MER-A0-1263</t>
  </si>
  <si>
    <t>MER-A0-1264</t>
  </si>
  <si>
    <t>MER-A0-1265</t>
  </si>
  <si>
    <t>MER-A0-1266</t>
  </si>
  <si>
    <t>MER-A0-1267</t>
  </si>
  <si>
    <t>MER-A0-1268</t>
  </si>
  <si>
    <t>MER-A0-1269</t>
  </si>
  <si>
    <t>MER-A0-1270</t>
  </si>
  <si>
    <t>MER-A0-1271</t>
  </si>
  <si>
    <t>MER-A0-1272</t>
  </si>
  <si>
    <t>MER-A0-1273</t>
  </si>
  <si>
    <t>MER-A0-1274</t>
  </si>
  <si>
    <t>MER-A0-1275</t>
  </si>
  <si>
    <t>MER-A0-1276</t>
  </si>
  <si>
    <t>MER-A0-1277</t>
  </si>
  <si>
    <t>MER-A0-1278</t>
  </si>
  <si>
    <t>MER-A0-1279</t>
  </si>
  <si>
    <t>MER-A0-1280</t>
  </si>
  <si>
    <t>MER-A0-1281</t>
  </si>
  <si>
    <t>MER-A0-1282</t>
  </si>
  <si>
    <t>MER-A0-1283</t>
  </si>
  <si>
    <t>MER-A0-1284</t>
  </si>
  <si>
    <t>MER-A0-1285</t>
  </si>
  <si>
    <t>MER-A0-1286</t>
  </si>
  <si>
    <t>MER-A0-1287</t>
  </si>
  <si>
    <t>MER-A0-1288</t>
  </si>
  <si>
    <t>MER-A0-1289</t>
  </si>
  <si>
    <t>MER-A0-1290</t>
  </si>
  <si>
    <t>MER-A0-1291</t>
  </si>
  <si>
    <t>MER-A0-1292</t>
  </si>
  <si>
    <t>MER-A0-1293</t>
  </si>
  <si>
    <t>MER-A0-1294</t>
  </si>
  <si>
    <t>MER-A0-1295</t>
  </si>
  <si>
    <t>MER-A0-1296</t>
  </si>
  <si>
    <t>MER-A0-1297</t>
  </si>
  <si>
    <t>MER-A0-1298</t>
  </si>
  <si>
    <t>MER-A0-1299</t>
  </si>
  <si>
    <t>MER-A0-1300</t>
  </si>
  <si>
    <t>MER-A0-1301</t>
  </si>
  <si>
    <t>MER-A0-1302</t>
  </si>
  <si>
    <t>MER-A0-1303</t>
  </si>
  <si>
    <t>MER-A0-1304</t>
  </si>
  <si>
    <t>MER-A0-1305</t>
  </si>
  <si>
    <t>MER-A0-1306</t>
  </si>
  <si>
    <t>MER-A0-1307</t>
  </si>
  <si>
    <t>MER-A0-1308</t>
  </si>
  <si>
    <t>MER-A0-1309</t>
  </si>
  <si>
    <t>MER-A0-1310</t>
  </si>
  <si>
    <t>MER-A0-1311</t>
  </si>
  <si>
    <t>MER-A0-1312</t>
  </si>
  <si>
    <t>MER-A0-1313</t>
  </si>
  <si>
    <t>MER-A0-1314</t>
  </si>
  <si>
    <t>MER-A0-1315</t>
  </si>
  <si>
    <t>MER-A0-1316</t>
  </si>
  <si>
    <t>MER-A0-1317</t>
  </si>
  <si>
    <t>MER-A0-1318</t>
  </si>
  <si>
    <t>MER-A0-1319</t>
  </si>
  <si>
    <t>MER-A0-1320</t>
  </si>
  <si>
    <t>MER-A0-1321</t>
  </si>
  <si>
    <t>MER-A0-1322</t>
  </si>
  <si>
    <t>MER-A0-1323</t>
  </si>
  <si>
    <t>MER-A0-1324</t>
  </si>
  <si>
    <t>MER-A0-1325</t>
  </si>
  <si>
    <t>MER-A0-1326</t>
  </si>
  <si>
    <t>MER-A0-1327</t>
  </si>
  <si>
    <t>MER-A0-1328</t>
  </si>
  <si>
    <t>MER-A0-1329</t>
  </si>
  <si>
    <t>MER-A0-1330</t>
  </si>
  <si>
    <t>MER-A0-1331</t>
  </si>
  <si>
    <t>MER-A0-1332</t>
  </si>
  <si>
    <t>MER-A0-1333</t>
  </si>
  <si>
    <t>MER-A0-1334</t>
  </si>
  <si>
    <t>MER-A0-1335</t>
  </si>
  <si>
    <t>MER-A0-1336</t>
  </si>
  <si>
    <t>MER-A0-1337</t>
  </si>
  <si>
    <t>MER-A0-1338</t>
  </si>
  <si>
    <t>MER-A0-1339</t>
  </si>
  <si>
    <t>MER-A0-1340</t>
  </si>
  <si>
    <t>MER-A0-1341</t>
  </si>
  <si>
    <t>MER-A0-1342</t>
  </si>
  <si>
    <t>MER-A0-1343</t>
  </si>
  <si>
    <t>MER-A0-1344</t>
  </si>
  <si>
    <t>MER-A0-1345</t>
  </si>
  <si>
    <t>MER-A0-1346</t>
  </si>
  <si>
    <t>MER-A0-1347</t>
  </si>
  <si>
    <t>MER-A0-1348</t>
  </si>
  <si>
    <t>MER-A0-1349</t>
  </si>
  <si>
    <t>MER-A0-1350</t>
  </si>
  <si>
    <t>MER-A0-1351</t>
  </si>
  <si>
    <t>MER-A0-1352</t>
  </si>
  <si>
    <t>MER-A0-1353</t>
  </si>
  <si>
    <t>MER-A0-1354</t>
  </si>
  <si>
    <t>MER-A0-1355</t>
  </si>
  <si>
    <t>MER-A0-1356</t>
  </si>
  <si>
    <t>MER-A0-1357</t>
  </si>
  <si>
    <t>MER-A0-1358</t>
  </si>
  <si>
    <t>MER-A0-1359</t>
  </si>
  <si>
    <t>MER-A0-1360</t>
  </si>
  <si>
    <t>MER-A0-1361</t>
  </si>
  <si>
    <t>MER-A0-1362</t>
  </si>
  <si>
    <t>MER-A0-1363</t>
  </si>
  <si>
    <t>MER-A0-1364</t>
  </si>
  <si>
    <t>MER-A0-1365</t>
  </si>
  <si>
    <t>MER-A0-1366</t>
  </si>
  <si>
    <t>MER-A0-1367</t>
  </si>
  <si>
    <t>MER-A0-1368</t>
  </si>
  <si>
    <t>MER-A0-1369</t>
  </si>
  <si>
    <t>MER-A0-1370</t>
  </si>
  <si>
    <t>MER-A0-1371</t>
  </si>
  <si>
    <t>MER-A0-1372</t>
  </si>
  <si>
    <t>MER-A0-1373</t>
  </si>
  <si>
    <t>MER-A0-1374</t>
  </si>
  <si>
    <t>MER-A0-1375</t>
  </si>
  <si>
    <t>MER-A0-1376</t>
  </si>
  <si>
    <t>MER-A0-1377</t>
  </si>
  <si>
    <t>MER-A0-1378</t>
  </si>
  <si>
    <t>MER-A0-1379</t>
  </si>
  <si>
    <t>MER-A0-1380</t>
  </si>
  <si>
    <t>MER-A0-1381</t>
  </si>
  <si>
    <t>MER-A0-1382</t>
  </si>
  <si>
    <t>MER-A0-1383</t>
  </si>
  <si>
    <t>MER-A0-1384</t>
  </si>
  <si>
    <t>MER-A0-1385</t>
  </si>
  <si>
    <t>MER-A0-1386</t>
  </si>
  <si>
    <t>MER-A0-1387</t>
  </si>
  <si>
    <t>MER-A0-1388</t>
  </si>
  <si>
    <t>MER-A0-1389</t>
  </si>
  <si>
    <t>MER-A0-1390</t>
  </si>
  <si>
    <t>MER-A0-1391</t>
  </si>
  <si>
    <t>MER-A0-1392</t>
  </si>
  <si>
    <t>MER-A0-1393</t>
  </si>
  <si>
    <t>MER-A0-1394</t>
  </si>
  <si>
    <t>MER-A0-1395</t>
  </si>
  <si>
    <t>MER-A0-1396</t>
  </si>
  <si>
    <t>MER-A0-1397</t>
  </si>
  <si>
    <t>MER-A0-1398</t>
  </si>
  <si>
    <t>MER-A0-1399</t>
  </si>
  <si>
    <t>MER-A0-1400</t>
  </si>
  <si>
    <t>MER-A0-1401</t>
  </si>
  <si>
    <t>MER-A0-1402</t>
  </si>
  <si>
    <t>MER-A0-1403</t>
  </si>
  <si>
    <t>MER-A0-1404</t>
  </si>
  <si>
    <t>MER-A0-1405</t>
  </si>
  <si>
    <t>MER-A0-1406</t>
  </si>
  <si>
    <t>MER-A0-1407</t>
  </si>
  <si>
    <t>MER-A0-1408</t>
  </si>
  <si>
    <t>MER-A0-1409</t>
  </si>
  <si>
    <t>MER-A0-1410</t>
  </si>
  <si>
    <t>MER-A0-1411</t>
  </si>
  <si>
    <t>MER-A0-1412</t>
  </si>
  <si>
    <t>MER-A0-1413</t>
  </si>
  <si>
    <t>MER-A0-1414</t>
  </si>
  <si>
    <t>MER-A0-1415</t>
  </si>
  <si>
    <t>MER-A0-1416</t>
  </si>
  <si>
    <t>MER-A0-1417</t>
  </si>
  <si>
    <t>MER-A0-1418</t>
  </si>
  <si>
    <t>MER-A0-1419</t>
  </si>
  <si>
    <t>MER-A0-1420</t>
  </si>
  <si>
    <t>MER-A0-1421</t>
  </si>
  <si>
    <t>MER-A0-1422</t>
  </si>
  <si>
    <t>MER-A0-1423</t>
  </si>
  <si>
    <t>MER-A0-1424</t>
  </si>
  <si>
    <t>MER-A0-1425</t>
  </si>
  <si>
    <t>MER-A0-1426</t>
  </si>
  <si>
    <t>MER-A0-1427</t>
  </si>
  <si>
    <t>MER-A0-1428</t>
  </si>
  <si>
    <t>MER-A0-1429</t>
  </si>
  <si>
    <t>MER-A0-1430</t>
  </si>
  <si>
    <t>MER-A0-1431</t>
  </si>
  <si>
    <t>MER-A0-1432</t>
  </si>
  <si>
    <t>MER-A0-1433</t>
  </si>
  <si>
    <t>MER-A0-1434</t>
  </si>
  <si>
    <t>MER-A0-1435</t>
  </si>
  <si>
    <t>MER-A0-1436</t>
  </si>
  <si>
    <t>MER-A0-1437</t>
  </si>
  <si>
    <t>MER-A0-1438</t>
  </si>
  <si>
    <t>MER-A0-1439</t>
  </si>
  <si>
    <t>MER-A0-1440</t>
  </si>
  <si>
    <t>MER-A0-1441</t>
  </si>
  <si>
    <t>MER-A0-1442</t>
  </si>
  <si>
    <t>MER-A0-1443</t>
  </si>
  <si>
    <t>MER-A0-1444</t>
  </si>
  <si>
    <t>MER-A0-1445</t>
  </si>
  <si>
    <t>MER-A0-1446</t>
  </si>
  <si>
    <t>MER-A0-1447</t>
  </si>
  <si>
    <t>MER-A0-1448</t>
  </si>
  <si>
    <t>MER-A0-1449</t>
  </si>
  <si>
    <t>MER-A0-1450</t>
  </si>
  <si>
    <t>MER-A0-1451</t>
  </si>
  <si>
    <t>MER-A0-1452</t>
  </si>
  <si>
    <t>MER-A0-1453</t>
  </si>
  <si>
    <t>MER-A0-1454</t>
  </si>
  <si>
    <t>MER-A0-1455</t>
  </si>
  <si>
    <t>MER-A0-1456</t>
  </si>
  <si>
    <t>MER-A0-1457</t>
  </si>
  <si>
    <t>MER-A0-1458</t>
  </si>
  <si>
    <t>MER-A0-1459</t>
  </si>
  <si>
    <t>MER-A0-1460</t>
  </si>
  <si>
    <t>MER-A0-1461</t>
  </si>
  <si>
    <t>MER-A0-1462</t>
  </si>
  <si>
    <t>MER-A0-1463</t>
  </si>
  <si>
    <t>MER-A0-1464</t>
  </si>
  <si>
    <t>MER-A0-1465</t>
  </si>
  <si>
    <t>MER-A0-1466</t>
  </si>
  <si>
    <t>MER-A0-1467</t>
  </si>
  <si>
    <t>MER-A0-1468</t>
  </si>
  <si>
    <t>MER-A0-1469</t>
  </si>
  <si>
    <t>MER-A0-1470</t>
  </si>
  <si>
    <t>MER-A0-1471</t>
  </si>
  <si>
    <t>MER-A0-1472</t>
  </si>
  <si>
    <t>MER-A0-1473</t>
  </si>
  <si>
    <t>MER-A0-1474</t>
  </si>
  <si>
    <t>MER-A0-1475</t>
  </si>
  <si>
    <t>MER-A0-1476</t>
  </si>
  <si>
    <t>MER-A0-1477</t>
  </si>
  <si>
    <t>MER-A0-1478</t>
  </si>
  <si>
    <t>MER-A0-1479</t>
  </si>
  <si>
    <t>MER-A0-1480</t>
  </si>
  <si>
    <t>MER-A0-1481</t>
  </si>
  <si>
    <t>MER-A0-1482</t>
  </si>
  <si>
    <t>MER-A0-1483</t>
  </si>
  <si>
    <t>MER-A0-1484</t>
  </si>
  <si>
    <t>MER-A0-1485</t>
  </si>
  <si>
    <t>MER-A0-1486</t>
  </si>
  <si>
    <t>MER-A0-1487</t>
  </si>
  <si>
    <t>MER-A0-1488</t>
  </si>
  <si>
    <t>MER-A0-1489</t>
  </si>
  <si>
    <t>MER-A0-1490</t>
  </si>
  <si>
    <t>MER-A0-1491</t>
  </si>
  <si>
    <t>MER-A0-1492</t>
  </si>
  <si>
    <t>MER-A0-1493</t>
  </si>
  <si>
    <t>MER-A0-1494</t>
  </si>
  <si>
    <t>MER-A0-1495</t>
  </si>
  <si>
    <t>MER-A0-1496</t>
  </si>
  <si>
    <t>MER-A0-1497</t>
  </si>
  <si>
    <t>MER-A0-1498</t>
  </si>
  <si>
    <t>MER-A0-1499</t>
  </si>
  <si>
    <t>MER-A0-1500</t>
  </si>
  <si>
    <t>MER-A0-1501</t>
  </si>
  <si>
    <t>MER-A0-1502</t>
  </si>
  <si>
    <t>MER-A0-1503</t>
  </si>
  <si>
    <t>MER-A0-1504</t>
  </si>
  <si>
    <t>MER-A0-1505</t>
  </si>
  <si>
    <t>MER-A0-1506</t>
  </si>
  <si>
    <t>MER-A0-1507</t>
  </si>
  <si>
    <t>MER-A0-1508</t>
  </si>
  <si>
    <t>MER-A0-1509</t>
  </si>
  <si>
    <t>MER-A0-1510</t>
  </si>
  <si>
    <t>MER-A0-1511</t>
  </si>
  <si>
    <t>MER-A0-1512</t>
  </si>
  <si>
    <t>MER-A0-1513</t>
  </si>
  <si>
    <t>MER-A0-1514</t>
  </si>
  <si>
    <t>MER-A0-1515</t>
  </si>
  <si>
    <t>MER-A0-1516</t>
  </si>
  <si>
    <t>MER-A0-1517</t>
  </si>
  <si>
    <t>MER-A0-1518</t>
  </si>
  <si>
    <t>MER-A0-1519</t>
  </si>
  <si>
    <t>MER-A0-1520</t>
  </si>
  <si>
    <t>MER-A0-1521</t>
  </si>
  <si>
    <t>MER-A0-1522</t>
  </si>
  <si>
    <t>MER-A0-1523</t>
  </si>
  <si>
    <t>MER-A0-1524</t>
  </si>
  <si>
    <t>MER-A0-1525</t>
  </si>
  <si>
    <t>MER-A0-1526</t>
  </si>
  <si>
    <t>MER-A0-1527</t>
  </si>
  <si>
    <t>MER-A0-1528</t>
  </si>
  <si>
    <t>MER-A0-1529</t>
  </si>
  <si>
    <t>MER-A0-1530</t>
  </si>
  <si>
    <t>MER-A0-1531</t>
  </si>
  <si>
    <t>MER-A0-1532</t>
  </si>
  <si>
    <t>MER-A0-1533</t>
  </si>
  <si>
    <t>MER-A0-1534</t>
  </si>
  <si>
    <t>MER-A0-1535</t>
  </si>
  <si>
    <t>MER-A0-1536</t>
  </si>
  <si>
    <t>MER-A0-1537</t>
  </si>
  <si>
    <t>MER-A0-1538</t>
  </si>
  <si>
    <t>MER-A0-1539</t>
  </si>
  <si>
    <t>MER-A0-1540</t>
  </si>
  <si>
    <t>MER-A0-1541</t>
  </si>
  <si>
    <t>MER-A0-1542</t>
  </si>
  <si>
    <t>MER-A0-1543</t>
  </si>
  <si>
    <t>MER-A0-1544</t>
  </si>
  <si>
    <t>MER-A0-1545</t>
  </si>
  <si>
    <t>MER-A0-1546</t>
  </si>
  <si>
    <t>MER-A0-1547</t>
  </si>
  <si>
    <t>MER-A0-1548</t>
  </si>
  <si>
    <t>MER-A0-1549</t>
  </si>
  <si>
    <t>MER-A0-1550</t>
  </si>
  <si>
    <t>MER-A0-1551</t>
  </si>
  <si>
    <t>MER-A0-1552</t>
  </si>
  <si>
    <t>MER-A0-1553</t>
  </si>
  <si>
    <t>MER-A0-1554</t>
  </si>
  <si>
    <t>MER-A0-1555</t>
  </si>
  <si>
    <t>MER-A0-1556</t>
  </si>
  <si>
    <t>MER-A0-1557</t>
  </si>
  <si>
    <t>MER-A0-1558</t>
  </si>
  <si>
    <t>MER-A0-1559</t>
  </si>
  <si>
    <t>MER-A0-1560</t>
  </si>
  <si>
    <t>MER-A0-1561</t>
  </si>
  <si>
    <t>MER-A0-1562</t>
  </si>
  <si>
    <t>MER-A0-1563</t>
  </si>
  <si>
    <t>MER-A0-1564</t>
  </si>
  <si>
    <t>MER-A0-1565</t>
  </si>
  <si>
    <t>MER-A0-1566</t>
  </si>
  <si>
    <t>MER-A0-1567</t>
  </si>
  <si>
    <t>MER-A0-1568</t>
  </si>
  <si>
    <t>MER-A0-1569</t>
  </si>
  <si>
    <t>MER-A0-1570</t>
  </si>
  <si>
    <t>MER-A0-1571</t>
  </si>
  <si>
    <t>MER-A0-1572</t>
  </si>
  <si>
    <t>MER-A0-1573</t>
  </si>
  <si>
    <t>MER-A0-1574</t>
  </si>
  <si>
    <t>MER-A0-1575</t>
  </si>
  <si>
    <t>MER-A0-1576</t>
  </si>
  <si>
    <t>MER-A0-1577</t>
  </si>
  <si>
    <t>MER-A0-1578</t>
  </si>
  <si>
    <t>MER-A0-1579</t>
  </si>
  <si>
    <t>MER-A0-1580</t>
  </si>
  <si>
    <t>MER-A0-1581</t>
  </si>
  <si>
    <t>MER-A0-1582</t>
  </si>
  <si>
    <t>MER-A0-1583</t>
  </si>
  <si>
    <t>MER-A0-1584</t>
  </si>
  <si>
    <t>MER-A0-1585</t>
  </si>
  <si>
    <t>MER-A0-1586</t>
  </si>
  <si>
    <t>MER-A0-1587</t>
  </si>
  <si>
    <t>MER-A0-1588</t>
  </si>
  <si>
    <t>MER-A0-1589</t>
  </si>
  <si>
    <t>MER-A0-1590</t>
  </si>
  <si>
    <t>MER-A0-1591</t>
  </si>
  <si>
    <t>MER-A0-1592</t>
  </si>
  <si>
    <t>MER-A0-1593</t>
  </si>
  <si>
    <t>MER-A0-1594</t>
  </si>
  <si>
    <t>MER-A0-1595</t>
  </si>
  <si>
    <t>MER-A0-1596</t>
  </si>
  <si>
    <t>MER-A0-1597</t>
  </si>
  <si>
    <t>MER-A0-1598</t>
  </si>
  <si>
    <t>MER-A0-1599</t>
  </si>
  <si>
    <t>MER-A0-1600</t>
  </si>
  <si>
    <t>MER-A0-1601</t>
  </si>
  <si>
    <t>MER-A0-1602</t>
  </si>
  <si>
    <t>MER-A0-1603</t>
  </si>
  <si>
    <t>MER-A0-1604</t>
  </si>
  <si>
    <t>MER-A0-1605</t>
  </si>
  <si>
    <t>MER-A0-1606</t>
  </si>
  <si>
    <t>MER-A0-1607</t>
  </si>
  <si>
    <t>MER-A0-1608</t>
  </si>
  <si>
    <t>MER-A0-1609</t>
  </si>
  <si>
    <t>MER-A0-1610</t>
  </si>
  <si>
    <t>MER-A0-1611</t>
  </si>
  <si>
    <t>MER-A0-1612</t>
  </si>
  <si>
    <t>MER-A0-1613</t>
  </si>
  <si>
    <t>MER-A0-1614</t>
  </si>
  <si>
    <t>MER-A0-1615</t>
  </si>
  <si>
    <t>MER-A0-1616</t>
  </si>
  <si>
    <t>MER-A0-1617</t>
  </si>
  <si>
    <t>MER-A0-1618</t>
  </si>
  <si>
    <t>MER-A0-1619</t>
  </si>
  <si>
    <t>MER-A0-1620</t>
  </si>
  <si>
    <t>MER-A0-1621</t>
  </si>
  <si>
    <t>MER-A0-1622</t>
  </si>
  <si>
    <t>MER-A0-1623</t>
  </si>
  <si>
    <t>MER-A0-1624</t>
  </si>
  <si>
    <t>MER-A0-1625</t>
  </si>
  <si>
    <t>MER-A0-1626</t>
  </si>
  <si>
    <t>MER-A0-1627</t>
  </si>
  <si>
    <t>MER-A0-1628</t>
  </si>
  <si>
    <t>MER-A0-1629</t>
  </si>
  <si>
    <t>MER-A0-1630</t>
  </si>
  <si>
    <t>MER-A0-1631</t>
  </si>
  <si>
    <t>MER-A0-1632</t>
  </si>
  <si>
    <t>MER-A0-1633</t>
  </si>
  <si>
    <t>MER-A0-1634</t>
  </si>
  <si>
    <t>MER-A0-1635</t>
  </si>
  <si>
    <t>MER-A0-1636</t>
  </si>
  <si>
    <t>MER-A0-1637</t>
  </si>
  <si>
    <t>MER-A0-1638</t>
  </si>
  <si>
    <t>MER-A0-1639</t>
  </si>
  <si>
    <t>MER-A0-1640</t>
  </si>
  <si>
    <t>MER-A0-1641</t>
  </si>
  <si>
    <t>MER-A0-1642</t>
  </si>
  <si>
    <t>MER-A0-1643</t>
  </si>
  <si>
    <t>MER-A0-1644</t>
  </si>
  <si>
    <t>MER-A0-1645</t>
  </si>
  <si>
    <t>MER-A0-1646</t>
  </si>
  <si>
    <t>MER-A0-1647</t>
  </si>
  <si>
    <t>MER-A0-1648</t>
  </si>
  <si>
    <t>MER-A0-1649</t>
  </si>
  <si>
    <t>MER-A0-1650</t>
  </si>
  <si>
    <t>MER-A0-1651</t>
  </si>
  <si>
    <t>MER-A0-1652</t>
  </si>
  <si>
    <t>MER-A0-1653</t>
  </si>
  <si>
    <t>MER-A0-1654</t>
  </si>
  <si>
    <t>MER-A0-1655</t>
  </si>
  <si>
    <t>MER-A0-1656</t>
  </si>
  <si>
    <t>MER-A0-1657</t>
  </si>
  <si>
    <t>MER-A0-1658</t>
  </si>
  <si>
    <t>MER-A0-1659</t>
  </si>
  <si>
    <t>MER-A0-1660</t>
  </si>
  <si>
    <t>MER-A0-1661</t>
  </si>
  <si>
    <t>MER-A0-1662</t>
  </si>
  <si>
    <t>MER-A0-1663</t>
  </si>
  <si>
    <t>MER-A0-1664</t>
  </si>
  <si>
    <t>MER-A0-1665</t>
  </si>
  <si>
    <t>MER-A0-1666</t>
  </si>
  <si>
    <t>MER-A0-1667</t>
  </si>
  <si>
    <t>MER-A0-1668</t>
  </si>
  <si>
    <t>MER-A0-1669</t>
  </si>
  <si>
    <t>MER-A0-1670</t>
  </si>
  <si>
    <t>MER-A0-1671</t>
  </si>
  <si>
    <t>MER-A0-1672</t>
  </si>
  <si>
    <t>MER-A0-1673</t>
  </si>
  <si>
    <t>MER-A0-1674</t>
  </si>
  <si>
    <t>MER-A0-1675</t>
  </si>
  <si>
    <t>MER-A0-1676</t>
  </si>
  <si>
    <t>MER-A0-1677</t>
  </si>
  <si>
    <t>MER-A0-1678</t>
  </si>
  <si>
    <t>MER-A0-1679</t>
  </si>
  <si>
    <t>MER-A0-1680</t>
  </si>
  <si>
    <t>MER-A0-1681</t>
  </si>
  <si>
    <t>MER-A0-1682</t>
  </si>
  <si>
    <t>MER-A0-1683</t>
  </si>
  <si>
    <t>MER-A0-1684</t>
  </si>
  <si>
    <t>MER-A0-1685</t>
  </si>
  <si>
    <t>MER-A0-1686</t>
  </si>
  <si>
    <t>MER-A0-1687</t>
  </si>
  <si>
    <t>MER-A0-1688</t>
  </si>
  <si>
    <t>MER-A0-1689</t>
  </si>
  <si>
    <t>MER-A0-1690</t>
  </si>
  <si>
    <t>MER-A0-1691</t>
  </si>
  <si>
    <t>MER-A0-1692</t>
  </si>
  <si>
    <t>MER-A0-1693</t>
  </si>
  <si>
    <t>MER-A0-1694</t>
  </si>
  <si>
    <t>MER-A0-1695</t>
  </si>
  <si>
    <t>MER-A0-1696</t>
  </si>
  <si>
    <t>MER-A0-1697</t>
  </si>
  <si>
    <t>MER-A0-1698</t>
  </si>
  <si>
    <t>MER-A0-1699</t>
  </si>
  <si>
    <t>MER-A0-1700</t>
  </si>
  <si>
    <t>MER-A0-1701</t>
  </si>
  <si>
    <t>MER-A0-1702</t>
  </si>
  <si>
    <t>MER-A0-1703</t>
  </si>
  <si>
    <t>MER-A0-1704</t>
  </si>
  <si>
    <t>MER-A0-1705</t>
  </si>
  <si>
    <t>MER-A0-1706</t>
  </si>
  <si>
    <t>MER-A0-1707</t>
  </si>
  <si>
    <t>MER-A0-1708</t>
  </si>
  <si>
    <t>MER-A0-1709</t>
  </si>
  <si>
    <t>MER-A0-1710</t>
  </si>
  <si>
    <t>MER-A0-1711</t>
  </si>
  <si>
    <t>MER-A0-1712</t>
  </si>
  <si>
    <t>MER-A0-1713</t>
  </si>
  <si>
    <t>MER-A0-1714</t>
  </si>
  <si>
    <t>MER-A0-1715</t>
  </si>
  <si>
    <t>MER-A0-1716</t>
  </si>
  <si>
    <t>MER-A0-1717</t>
  </si>
  <si>
    <t>MER-A0-1718</t>
  </si>
  <si>
    <t>MER-A0-1719</t>
  </si>
  <si>
    <t>MER-A0-1720</t>
  </si>
  <si>
    <t>MER-A0-1721</t>
  </si>
  <si>
    <t>MER-A0-1722</t>
  </si>
  <si>
    <t>MER-A0-1723</t>
  </si>
  <si>
    <t>MER-A0-1724</t>
  </si>
  <si>
    <t>MER-A0-1725</t>
  </si>
  <si>
    <t>MER-A0-1726</t>
  </si>
  <si>
    <t>MER-A0-1727</t>
  </si>
  <si>
    <t>MER-A0-1728</t>
  </si>
  <si>
    <t>MER-A0-1729</t>
  </si>
  <si>
    <t>MER-A0-1730</t>
  </si>
  <si>
    <t>MER-A0-1731</t>
  </si>
  <si>
    <t>MER-A0-1732</t>
  </si>
  <si>
    <t>MER-A0-1733</t>
  </si>
  <si>
    <t>MER-A0-1734</t>
  </si>
  <si>
    <t>MER-A0-1735</t>
  </si>
  <si>
    <t>MER-A0-1736</t>
  </si>
  <si>
    <t>MER-A0-1737</t>
  </si>
  <si>
    <t>MER-A0-1738</t>
  </si>
  <si>
    <t>MER-A0-1739</t>
  </si>
  <si>
    <t>MER-A0-1740</t>
  </si>
  <si>
    <t>MER-A0-1741</t>
  </si>
  <si>
    <t>MER-A0-1742</t>
  </si>
  <si>
    <t>MER-A0-1743</t>
  </si>
  <si>
    <t>MER-A0-1744</t>
  </si>
  <si>
    <t>MER-A0-1745</t>
  </si>
  <si>
    <t>MER-A0-1746</t>
  </si>
  <si>
    <t>MER-A0-1747</t>
  </si>
  <si>
    <t>MER-A0-1748</t>
  </si>
  <si>
    <t>MER-A0-1749</t>
  </si>
  <si>
    <t>MER-A0-1750</t>
  </si>
  <si>
    <t>MER-A0-1751</t>
  </si>
  <si>
    <t>MER-A0-1752</t>
  </si>
  <si>
    <t>MER-A0-1753</t>
  </si>
  <si>
    <t>MER-A0-1754</t>
  </si>
  <si>
    <t>MER-A0-1755</t>
  </si>
  <si>
    <t>MER-A0-1756</t>
  </si>
  <si>
    <t>MER-A0-1757</t>
  </si>
  <si>
    <t>MER-A0-1758</t>
  </si>
  <si>
    <t>MER-A0-1759</t>
  </si>
  <si>
    <t>MER-A0-1760</t>
  </si>
  <si>
    <t>MER-A0-1761</t>
  </si>
  <si>
    <t>MER-A0-1762</t>
  </si>
  <si>
    <t>MER-A0-1763</t>
  </si>
  <si>
    <t>MER-A0-1764</t>
  </si>
  <si>
    <t>MER-A0-1765</t>
  </si>
  <si>
    <t>MER-A0-1766</t>
  </si>
  <si>
    <t>MER-A0-1767</t>
  </si>
  <si>
    <t>MER-A0-1768</t>
  </si>
  <si>
    <t>MER-A0-1769</t>
  </si>
  <si>
    <t>MER-A0-1770</t>
  </si>
  <si>
    <t>MER-A0-1771</t>
  </si>
  <si>
    <t>MER-A0-1772</t>
  </si>
  <si>
    <t>MER-A0-1773</t>
  </si>
  <si>
    <t>MER-A0-1774</t>
  </si>
  <si>
    <t>MER-A0-1775</t>
  </si>
  <si>
    <t>MER-A0-1776</t>
  </si>
  <si>
    <t>MER-A0-1777</t>
  </si>
  <si>
    <t>MER-A0-1778</t>
  </si>
  <si>
    <t>MER-A0-1779</t>
  </si>
  <si>
    <t>MER-A0-1780</t>
  </si>
  <si>
    <t>MER-A0-1781</t>
  </si>
  <si>
    <t>MER-A0-1782</t>
  </si>
  <si>
    <t>MER-A0-1783</t>
  </si>
  <si>
    <t>MER-A0-1784</t>
  </si>
  <si>
    <t>MER-A0-1785</t>
  </si>
  <si>
    <t>MER-A0-1786</t>
  </si>
  <si>
    <t>MER-A0-1787</t>
  </si>
  <si>
    <t>MER-A0-1788</t>
  </si>
  <si>
    <t>MER-A0-1789</t>
  </si>
  <si>
    <t>MER-A0-1790</t>
  </si>
  <si>
    <t>MER-A0-1791</t>
  </si>
  <si>
    <t>MER-A0-1792</t>
  </si>
  <si>
    <t>MER-A0-1793</t>
  </si>
  <si>
    <t>MER-A0-1794</t>
  </si>
  <si>
    <t>MER-A0-1795</t>
  </si>
  <si>
    <t>MER-A0-1796</t>
  </si>
  <si>
    <t>MER-A0-1797</t>
  </si>
  <si>
    <t>MER-A0-1798</t>
  </si>
  <si>
    <t>MER-A0-1799</t>
  </si>
  <si>
    <t>MER-A0-1800</t>
  </si>
  <si>
    <t>MER-A0-1801</t>
  </si>
  <si>
    <t>MER-A0-1802</t>
  </si>
  <si>
    <t>MER-A0-1803</t>
  </si>
  <si>
    <t>MER-A0-1804</t>
  </si>
  <si>
    <t>MER-A0-1805</t>
  </si>
  <si>
    <t>MER-A0-1806</t>
  </si>
  <si>
    <t>MER-A0-1807</t>
  </si>
  <si>
    <t>MER-A0-1808</t>
  </si>
  <si>
    <t>MER-A0-1809</t>
  </si>
  <si>
    <t>MER-A0-1810</t>
  </si>
  <si>
    <t>MER-A0-1811</t>
  </si>
  <si>
    <t>MER-A0-1812</t>
  </si>
  <si>
    <t>MER-A0-1813</t>
  </si>
  <si>
    <t>MER-A0-1814</t>
  </si>
  <si>
    <t>MER-A0-1815</t>
  </si>
  <si>
    <t>MER-A0-1816</t>
  </si>
  <si>
    <t>MER-A0-1817</t>
  </si>
  <si>
    <t>MER-A0-1818</t>
  </si>
  <si>
    <t>MER-A0-1819</t>
  </si>
  <si>
    <t>MER-A0-1820</t>
  </si>
  <si>
    <t>MER-A0-1821</t>
  </si>
  <si>
    <t>MER-A0-1822</t>
  </si>
  <si>
    <t>MER-A0-1823</t>
  </si>
  <si>
    <t>MER-A0-1824</t>
  </si>
  <si>
    <t>MER-A0-1825</t>
  </si>
  <si>
    <t>MER-A0-1826</t>
  </si>
  <si>
    <t>MER-A0-1827</t>
  </si>
  <si>
    <t>MER-A0-1828</t>
  </si>
  <si>
    <t>MER-A0-1829</t>
  </si>
  <si>
    <t>MER-A0-1830</t>
  </si>
  <si>
    <t>MER-A0-1831</t>
  </si>
  <si>
    <t>MER-A0-1832</t>
  </si>
  <si>
    <t>MER-A0-1833</t>
  </si>
  <si>
    <t>MER-A0-1834</t>
  </si>
  <si>
    <t>MER-A0-1835</t>
  </si>
  <si>
    <t>MER-A0-1836</t>
  </si>
  <si>
    <t>MER-A0-1837</t>
  </si>
  <si>
    <t>MER-A0-1838</t>
  </si>
  <si>
    <t>MER-A0-1839</t>
  </si>
  <si>
    <t>MER-A0-1840</t>
  </si>
  <si>
    <t>MER-A0-1841</t>
  </si>
  <si>
    <t>MER-A0-1842</t>
  </si>
  <si>
    <t>MER-A0-1843</t>
  </si>
  <si>
    <t>MER-A0-1844</t>
  </si>
  <si>
    <t>MER-A0-1845</t>
  </si>
  <si>
    <t>MER-A0-1846</t>
  </si>
  <si>
    <t>MER-A0-1847</t>
  </si>
  <si>
    <t>MER-A0-1848</t>
  </si>
  <si>
    <t>MER-A0-1849</t>
  </si>
  <si>
    <t>MER-A0-1850</t>
  </si>
  <si>
    <t>MER-A0-1851</t>
  </si>
  <si>
    <t>MER-A0-1852</t>
  </si>
  <si>
    <t>MER-A0-1853</t>
  </si>
  <si>
    <t>MER-A0-1854</t>
  </si>
  <si>
    <t>MER-A0-1855</t>
  </si>
  <si>
    <t>MER-A0-1856</t>
  </si>
  <si>
    <t>MER-A0-1857</t>
  </si>
  <si>
    <t>MER-A0-1858</t>
  </si>
  <si>
    <t>MER-A0-1859</t>
  </si>
  <si>
    <t>MER-A0-1860</t>
  </si>
  <si>
    <t>MER-A0-1861</t>
  </si>
  <si>
    <t>MER-A0-1862</t>
  </si>
  <si>
    <t>MER-A0-1863</t>
  </si>
  <si>
    <t>MER-A0-1864</t>
  </si>
  <si>
    <t>MER-A0-1865</t>
  </si>
  <si>
    <t>MER-A0-1866</t>
  </si>
  <si>
    <t>MER-A0-1867</t>
  </si>
  <si>
    <t>MER-A0-1868</t>
  </si>
  <si>
    <t>MER-A0-1869</t>
  </si>
  <si>
    <t>MER-A0-1870</t>
  </si>
  <si>
    <t>MER-A0-1871</t>
  </si>
  <si>
    <t>MER-A0-1872</t>
  </si>
  <si>
    <t>MER-A0-1873</t>
  </si>
  <si>
    <t>MER-A0-1874</t>
  </si>
  <si>
    <t>MER-A0-1875</t>
  </si>
  <si>
    <t>MER-A0-1876</t>
  </si>
  <si>
    <t>MER-A0-1877</t>
  </si>
  <si>
    <t>MER-A0-1878</t>
  </si>
  <si>
    <t>MER-A0-1879</t>
  </si>
  <si>
    <t>MER-A0-1880</t>
  </si>
  <si>
    <t>MER-A0-1881</t>
  </si>
  <si>
    <t>MER-A0-1882</t>
  </si>
  <si>
    <t>MER-A0-1883</t>
  </si>
  <si>
    <t>MER-A0-1884</t>
  </si>
  <si>
    <t>MER-A0-1885</t>
  </si>
  <si>
    <t>MER-A0-1886</t>
  </si>
  <si>
    <t>MER-A0-1887</t>
  </si>
  <si>
    <t>MER-A0-1888</t>
  </si>
  <si>
    <t>MER-A0-1889</t>
  </si>
  <si>
    <t>MER-A0-1890</t>
  </si>
  <si>
    <t>MER-A0-1891</t>
  </si>
  <si>
    <t>MER-A0-1892</t>
  </si>
  <si>
    <t>MER-A0-1893</t>
  </si>
  <si>
    <t>MER-A0-1894</t>
  </si>
  <si>
    <t>MER-A0-1895</t>
  </si>
  <si>
    <t>MER-A0-1896</t>
  </si>
  <si>
    <t>MER-A0-1897</t>
  </si>
  <si>
    <t>MER-A0-1898</t>
  </si>
  <si>
    <t>MER-A0-1899</t>
  </si>
  <si>
    <t>MER-A0-1900</t>
  </si>
  <si>
    <t>MER-A0-1901</t>
  </si>
  <si>
    <t>MER-A0-1902</t>
  </si>
  <si>
    <t>MER-A0-1903</t>
  </si>
  <si>
    <t>MER-A0-1904</t>
  </si>
  <si>
    <t>MER-A0-1905</t>
  </si>
  <si>
    <t>MER-A0-1906</t>
  </si>
  <si>
    <t>MER-A0-1907</t>
  </si>
  <si>
    <t>MER-A0-1908</t>
  </si>
  <si>
    <t>MER-A0-1909</t>
  </si>
  <si>
    <t>MER-A0-1910</t>
  </si>
  <si>
    <t>MER-A0-1911</t>
  </si>
  <si>
    <t>MER-A0-1912</t>
  </si>
  <si>
    <t>MER-A0-1913</t>
  </si>
  <si>
    <t>MER-A0-1914</t>
  </si>
  <si>
    <t>MER-A0-1915</t>
  </si>
  <si>
    <t>MER-A0-1916</t>
  </si>
  <si>
    <t>MER-A0-1917</t>
  </si>
  <si>
    <t>MER-A0-1918</t>
  </si>
  <si>
    <t>MER-A0-1919</t>
  </si>
  <si>
    <t>MER-A0-1920</t>
  </si>
  <si>
    <t>MER-A0-1921</t>
  </si>
  <si>
    <t>MER-A0-1922</t>
  </si>
  <si>
    <t>MER-A0-1923</t>
  </si>
  <si>
    <t>MER-A0-1924</t>
  </si>
  <si>
    <t>MER-A0-1925</t>
  </si>
  <si>
    <t>MER-A0-1926</t>
  </si>
  <si>
    <t>MER-A0-1927</t>
  </si>
  <si>
    <t>MER-A0-1928</t>
  </si>
  <si>
    <t>MER-A0-1929</t>
  </si>
  <si>
    <t>MER-A0-1930</t>
  </si>
  <si>
    <t>MER-A0-1931</t>
  </si>
  <si>
    <t>MER-A0-1932</t>
  </si>
  <si>
    <t>MER-A0-1933</t>
  </si>
  <si>
    <t>MER-A0-1934</t>
  </si>
  <si>
    <t>MER-A0-1935</t>
  </si>
  <si>
    <t>MER-A0-1936</t>
  </si>
  <si>
    <t>MER-A0-1937</t>
  </si>
  <si>
    <t>MER-A0-1938</t>
  </si>
  <si>
    <t>MER-A0-1939</t>
  </si>
  <si>
    <t>MER-A0-1940</t>
  </si>
  <si>
    <t>MER-A0-1941</t>
  </si>
  <si>
    <t>MER-A0-1942</t>
  </si>
  <si>
    <t>MER-A0-1943</t>
  </si>
  <si>
    <t>MER-A0-1944</t>
  </si>
  <si>
    <t>MER-A0-1945</t>
  </si>
  <si>
    <t>MER-A0-1946</t>
  </si>
  <si>
    <t>MER-A0-1947</t>
  </si>
  <si>
    <t>MER-A0-1948</t>
  </si>
  <si>
    <t>MER-A0-1949</t>
  </si>
  <si>
    <t>MER-A0-1950</t>
  </si>
  <si>
    <t>MER-A0-1951</t>
  </si>
  <si>
    <t>MER-A0-1952</t>
  </si>
  <si>
    <t>MER-A0-1953</t>
  </si>
  <si>
    <t>MER-A0-1954</t>
  </si>
  <si>
    <t>MER-A0-1955</t>
  </si>
  <si>
    <t>MER-A0-1956</t>
  </si>
  <si>
    <t>MER-A0-1957</t>
  </si>
  <si>
    <t>MER-A0-1958</t>
  </si>
  <si>
    <t>MER-A0-1959</t>
  </si>
  <si>
    <t>MER-A0-1960</t>
  </si>
  <si>
    <t>MER-A0-1961</t>
  </si>
  <si>
    <t>MER-A0-1962</t>
  </si>
  <si>
    <t>MER-A0-1963</t>
  </si>
  <si>
    <t>MER-A0-1964</t>
  </si>
  <si>
    <t>MER-A0-1965</t>
  </si>
  <si>
    <t>MER-A0-1966</t>
  </si>
  <si>
    <t>MER-A0-1967</t>
  </si>
  <si>
    <t>MER-A0-1968</t>
  </si>
  <si>
    <t>MER-A0-1969</t>
  </si>
  <si>
    <t>MER-A0-1970</t>
  </si>
  <si>
    <t>MER-A0-1971</t>
  </si>
  <si>
    <t>MER-A0-1972</t>
  </si>
  <si>
    <t>MER-A0-1973</t>
  </si>
  <si>
    <t>MER-A0-1974</t>
  </si>
  <si>
    <t>MER-A0-1975</t>
  </si>
  <si>
    <t>MER-A0-1976</t>
  </si>
  <si>
    <t>MER-A0-1977</t>
  </si>
  <si>
    <t>MER-A0-1978</t>
  </si>
  <si>
    <t>MER-A0-1979</t>
  </si>
  <si>
    <t>MER-A0-1980</t>
  </si>
  <si>
    <t>MER-A0-1981</t>
  </si>
  <si>
    <t>MER-A0-1982</t>
  </si>
  <si>
    <t>MER-A0-1983</t>
  </si>
  <si>
    <t>MER-A0-1984</t>
  </si>
  <si>
    <t>MER-A0-1985</t>
  </si>
  <si>
    <t>MER-A0-1986</t>
  </si>
  <si>
    <t>MER-A0-1987</t>
  </si>
  <si>
    <t>MER-A0-1988</t>
  </si>
  <si>
    <t>MER-A0-1989</t>
  </si>
  <si>
    <t>MER-A0-1990</t>
  </si>
  <si>
    <t>MER-A0-1991</t>
  </si>
  <si>
    <t>MER-A0-1992</t>
  </si>
  <si>
    <t>MER-A0-1993</t>
  </si>
  <si>
    <t>MER-A0-1994</t>
  </si>
  <si>
    <t>MER-A0-1995</t>
  </si>
  <si>
    <t>MER-A0-1996</t>
  </si>
  <si>
    <t>MER-A0-1997</t>
  </si>
  <si>
    <t>MER-A0-1998</t>
  </si>
  <si>
    <t>MER-A0-1999</t>
  </si>
  <si>
    <t>MER-A0-2000</t>
  </si>
  <si>
    <t>MER-A0-2001</t>
  </si>
  <si>
    <t>MER-A0-2002</t>
  </si>
  <si>
    <t>MER-A0-2003</t>
  </si>
  <si>
    <t>MER-A0-2004</t>
  </si>
  <si>
    <t>MER-A0-2005</t>
  </si>
  <si>
    <t>MER-A0-2006</t>
  </si>
  <si>
    <t>MER-A0-2007</t>
  </si>
  <si>
    <t>MER-A0-2008</t>
  </si>
  <si>
    <t>MER-A0-2009</t>
  </si>
  <si>
    <t>MER-A0-2010</t>
  </si>
  <si>
    <t>MER-A0-2011</t>
  </si>
  <si>
    <t>MER-A0-2012</t>
  </si>
  <si>
    <t>MER-A0-2013</t>
  </si>
  <si>
    <t>MER-A0-2014</t>
  </si>
  <si>
    <t>MER-A0-2015</t>
  </si>
  <si>
    <t>MER-A0-2016</t>
  </si>
  <si>
    <t>MER-A0-2017</t>
  </si>
  <si>
    <t>MER-A0-2018</t>
  </si>
  <si>
    <t>MER-A0-2019</t>
  </si>
  <si>
    <t>MER-A0-2020</t>
  </si>
  <si>
    <t>MER-A0-2021</t>
  </si>
  <si>
    <t>MER-A0-2022</t>
  </si>
  <si>
    <t>MER-A0-2023</t>
  </si>
  <si>
    <t>MER-A0-2024</t>
  </si>
  <si>
    <t>MER-A0-2025</t>
  </si>
  <si>
    <t>MER-A0-2026</t>
  </si>
  <si>
    <t>MER-A0-2027</t>
  </si>
  <si>
    <t>MER-A0-2028</t>
  </si>
  <si>
    <t>MER-A0-2029</t>
  </si>
  <si>
    <t>MER-A0-2030</t>
  </si>
  <si>
    <t>MER-A0-2031</t>
  </si>
  <si>
    <t>MER-A0-2032</t>
  </si>
  <si>
    <t>MER-A0-2033</t>
  </si>
  <si>
    <t>MER-A0-2034</t>
  </si>
  <si>
    <t>MER-A0-2035</t>
  </si>
  <si>
    <t>MER-A0-2036</t>
  </si>
  <si>
    <t>MER-A0-2037</t>
  </si>
  <si>
    <t>MER-A0-2038</t>
  </si>
  <si>
    <t>MER-A0-2039</t>
  </si>
  <si>
    <t>MER-A0-2040</t>
  </si>
  <si>
    <t>MER-A0-2041</t>
  </si>
  <si>
    <t>MER-A0-2042</t>
  </si>
  <si>
    <t>MER-A0-2043</t>
  </si>
  <si>
    <t>MER-A0-2044</t>
  </si>
  <si>
    <t>MER-A0-2045</t>
  </si>
  <si>
    <t>MER-A0-2046</t>
  </si>
  <si>
    <t>MER-A0-2047</t>
  </si>
  <si>
    <t>MER-A0-2048</t>
  </si>
  <si>
    <t>MER-A0-2049</t>
  </si>
  <si>
    <t>MER-A0-2050</t>
  </si>
  <si>
    <t>MER-A0-2051</t>
  </si>
  <si>
    <t>MER-A0-2052</t>
  </si>
  <si>
    <t>MER-A0-2053</t>
  </si>
  <si>
    <t>MER-A0-2054</t>
  </si>
  <si>
    <t>MER-A0-2055</t>
  </si>
  <si>
    <t>MER-A0-2056</t>
  </si>
  <si>
    <t>MER-A0-2057</t>
  </si>
  <si>
    <t>MER-A0-2058</t>
  </si>
  <si>
    <t>MER-A0-2059</t>
  </si>
  <si>
    <t>MER-A0-2060</t>
  </si>
  <si>
    <t>MER-A0-2061</t>
  </si>
  <si>
    <t>MER-A0-2062</t>
  </si>
  <si>
    <t>MER-A0-2063</t>
  </si>
  <si>
    <t>MER-A0-2064</t>
  </si>
  <si>
    <t>MER-A0-2065</t>
  </si>
  <si>
    <t>MER-A0-2066</t>
  </si>
  <si>
    <t>MER-A0-2067</t>
  </si>
  <si>
    <t>MER-A0-2068</t>
  </si>
  <si>
    <t>MER-A0-2069</t>
  </si>
  <si>
    <t>MER-A0-2070</t>
  </si>
  <si>
    <t>MER-A0-2071</t>
  </si>
  <si>
    <t>MER-A0-2072</t>
  </si>
  <si>
    <t>MER-A0-2073</t>
  </si>
  <si>
    <t>MER-A0-2074</t>
  </si>
  <si>
    <t>MER-A0-2075</t>
  </si>
  <si>
    <t>MER-A0-2076</t>
  </si>
  <si>
    <t>MER-A0-2077</t>
  </si>
  <si>
    <t>MER-A0-2078</t>
  </si>
  <si>
    <t>MER-A0-2079</t>
  </si>
  <si>
    <t>MER-A0-2080</t>
  </si>
  <si>
    <t>MER-A0-2081</t>
  </si>
  <si>
    <t>MER-A0-2082</t>
  </si>
  <si>
    <t>MER-A0-2083</t>
  </si>
  <si>
    <t>MER-A0-2084</t>
  </si>
  <si>
    <t>MER-A0-2085</t>
  </si>
  <si>
    <t>MER-A0-2086</t>
  </si>
  <si>
    <t>MER-A0-2087</t>
  </si>
  <si>
    <t>MER-A0-2088</t>
  </si>
  <si>
    <t>MER-A0-2089</t>
  </si>
  <si>
    <t>MER-A0-2090</t>
  </si>
  <si>
    <t>MER-A0-2091</t>
  </si>
  <si>
    <t>MER-A0-2092</t>
  </si>
  <si>
    <t>MER-A0-2093</t>
  </si>
  <si>
    <t>MER-A0-2094</t>
  </si>
  <si>
    <t>MER-A0-2095</t>
  </si>
  <si>
    <t>MER-A0-2096</t>
  </si>
  <si>
    <t>MER-A0-2097</t>
  </si>
  <si>
    <t>MER-A0-2098</t>
  </si>
  <si>
    <t>MER-A0-2099</t>
  </si>
  <si>
    <t>MER-A0-2100</t>
  </si>
  <si>
    <t>MER-A0-2101</t>
  </si>
  <si>
    <t>MER-A0-2102</t>
  </si>
  <si>
    <t>MER-A0-2103</t>
  </si>
  <si>
    <t>MER-A0-2104</t>
  </si>
  <si>
    <t>MER-A0-2105</t>
  </si>
  <si>
    <t>MER-A0-2106</t>
  </si>
  <si>
    <t>MER-A0-2107</t>
  </si>
  <si>
    <t>MER-A0-2108</t>
  </si>
  <si>
    <t>MER-A0-2109</t>
  </si>
  <si>
    <t>MER-A0-2110</t>
  </si>
  <si>
    <t>MER-A0-2111</t>
  </si>
  <si>
    <t>MER-A0-2112</t>
  </si>
  <si>
    <t>MER-A0-2113</t>
  </si>
  <si>
    <t>MER-A0-2114</t>
  </si>
  <si>
    <t>MER-A0-2115</t>
  </si>
  <si>
    <t>MER-A0-2116</t>
  </si>
  <si>
    <t>MER-A0-2117</t>
  </si>
  <si>
    <t>MER-A0-2118</t>
  </si>
  <si>
    <t>MER-A0-2119</t>
  </si>
  <si>
    <t>MER-A0-2120</t>
  </si>
  <si>
    <t>MER-A0-2121</t>
  </si>
  <si>
    <t>MER-A0-2122</t>
  </si>
  <si>
    <t>MER-A0-2123</t>
  </si>
  <si>
    <t>MER-A0-2124</t>
  </si>
  <si>
    <t>MER-A0-2125</t>
  </si>
  <si>
    <t>MER-A0-2126</t>
  </si>
  <si>
    <t>MER-A0-2127</t>
  </si>
  <si>
    <t>MER-A0-2128</t>
  </si>
  <si>
    <t>MER-A0-2129</t>
  </si>
  <si>
    <t>MER-A0-2130</t>
  </si>
  <si>
    <t>MER-A0-2131</t>
  </si>
  <si>
    <t>MER-A0-2132</t>
  </si>
  <si>
    <t>MER-A0-2133</t>
  </si>
  <si>
    <t>MER-A0-2134</t>
  </si>
  <si>
    <t>MER-A0-2135</t>
  </si>
  <si>
    <t>MER-A0-2136</t>
  </si>
  <si>
    <t>MER-A0-2137</t>
  </si>
  <si>
    <t>MER-A0-2138</t>
  </si>
  <si>
    <t>MER-A0-2139</t>
  </si>
  <si>
    <t>MER-A0-2140</t>
  </si>
  <si>
    <t>MER-A0-2141</t>
  </si>
  <si>
    <t>MER-A0-2142</t>
  </si>
  <si>
    <t>MER-A0-2143</t>
  </si>
  <si>
    <t>MER-A0-2144</t>
  </si>
  <si>
    <t>MER-A0-2145</t>
  </si>
  <si>
    <t>MER-A0-2146</t>
  </si>
  <si>
    <t>MER-A0-2147</t>
  </si>
  <si>
    <t>MER-A0-2148</t>
  </si>
  <si>
    <t>MER-A0-2149</t>
  </si>
  <si>
    <t>MER-A0-2150</t>
  </si>
  <si>
    <t>MER-A0-2151</t>
  </si>
  <si>
    <t>MER-A0-2152</t>
  </si>
  <si>
    <t>MER-A0-2153</t>
  </si>
  <si>
    <t>MER-A0-2154</t>
  </si>
  <si>
    <t>MER-A0-2155</t>
  </si>
  <si>
    <t>MER-A0-2156</t>
  </si>
  <si>
    <t>MER-A0-2157</t>
  </si>
  <si>
    <t>MER-A0-2158</t>
  </si>
  <si>
    <t>MER-A0-2159</t>
  </si>
  <si>
    <t>MER-A0-2160</t>
  </si>
  <si>
    <t>MER-A0-2161</t>
  </si>
  <si>
    <t>MER-A0-2162</t>
  </si>
  <si>
    <t>MER-A0-2163</t>
  </si>
  <si>
    <t>MER-A0-2164</t>
  </si>
  <si>
    <t>MER-A0-2165</t>
  </si>
  <si>
    <t>MER-A0-2166</t>
  </si>
  <si>
    <t>MER-A0-2167</t>
  </si>
  <si>
    <t>MER-A0-2168</t>
  </si>
  <si>
    <t>MER-A0-2169</t>
  </si>
  <si>
    <t>MER-A0-2170</t>
  </si>
  <si>
    <t>MER-A0-2171</t>
  </si>
  <si>
    <t>MER-A0-2172</t>
  </si>
  <si>
    <t>MER-A0-2173</t>
  </si>
  <si>
    <t>MER-A0-2174</t>
  </si>
  <si>
    <t>MER-A0-2175</t>
  </si>
  <si>
    <t>MER-A0-2176</t>
  </si>
  <si>
    <t>MER-A0-2177</t>
  </si>
  <si>
    <t>MER-A0-2178</t>
  </si>
  <si>
    <t>MER-A0-2179</t>
  </si>
  <si>
    <t>MER-A0-2180</t>
  </si>
  <si>
    <t>MER-A0-2181</t>
  </si>
  <si>
    <t>MER-A0-2182</t>
  </si>
  <si>
    <t>MER-A0-2183</t>
  </si>
  <si>
    <t>MER-A0-2184</t>
  </si>
  <si>
    <t>MER-A0-2185</t>
  </si>
  <si>
    <t>MER-A0-2186</t>
  </si>
  <si>
    <t>MER-A0-2187</t>
  </si>
  <si>
    <t>MER-A0-2188</t>
  </si>
  <si>
    <t>MER-A0-2189</t>
  </si>
  <si>
    <t>MER-A0-2190</t>
  </si>
  <si>
    <t>MER-A0-2191</t>
  </si>
  <si>
    <t>MER-A0-2192</t>
  </si>
  <si>
    <t>MER-A0-2193</t>
  </si>
  <si>
    <t>MER-A0-2194</t>
  </si>
  <si>
    <t>MER-A0-2195</t>
  </si>
  <si>
    <t>MER-A0-2196</t>
  </si>
  <si>
    <t>MER-A0-2197</t>
  </si>
  <si>
    <t>MER-A0-2198</t>
  </si>
  <si>
    <t>MER-A0-2199</t>
  </si>
  <si>
    <t>MER-A0-2200</t>
  </si>
  <si>
    <t>MER-A0-2201</t>
  </si>
  <si>
    <t>MER-A0-2202</t>
  </si>
  <si>
    <t>MER-A0-2203</t>
  </si>
  <si>
    <t>MER-A0-2204</t>
  </si>
  <si>
    <t>MER-A0-2205</t>
  </si>
  <si>
    <t>MER-A0-2206</t>
  </si>
  <si>
    <t>MER-A0-2207</t>
  </si>
  <si>
    <t>MER-A0-2208</t>
  </si>
  <si>
    <t>MER-A0-2209</t>
  </si>
  <si>
    <t>MER-A0-2210</t>
  </si>
  <si>
    <t>MER-A0-2211</t>
  </si>
  <si>
    <t>MER-A0-2212</t>
  </si>
  <si>
    <t>MER-A0-2213</t>
  </si>
  <si>
    <t>MER-A0-2214</t>
  </si>
  <si>
    <t>MER-A0-2215</t>
  </si>
  <si>
    <t>MER-A0-2216</t>
  </si>
  <si>
    <t>MER-A0-2217</t>
  </si>
  <si>
    <t>MER-A0-2218</t>
  </si>
  <si>
    <t>MER-A0-2219</t>
  </si>
  <si>
    <t>MER-A0-2220</t>
  </si>
  <si>
    <t>MER-A0-2221</t>
  </si>
  <si>
    <t>MER-A0-2222</t>
  </si>
  <si>
    <t>MER-A0-2223</t>
  </si>
  <si>
    <t>MER-A0-2224</t>
  </si>
  <si>
    <t>MER-A0-2225</t>
  </si>
  <si>
    <t>MER-A0-2226</t>
  </si>
  <si>
    <t>MER-A0-2227</t>
  </si>
  <si>
    <t>MER-A0-2228</t>
  </si>
  <si>
    <t>MER-A0-2229</t>
  </si>
  <si>
    <t>MER-A0-2230</t>
  </si>
  <si>
    <t>MER-A0-2231</t>
  </si>
  <si>
    <t>MER-A0-2232</t>
  </si>
  <si>
    <t>MER-A0-2233</t>
  </si>
  <si>
    <t>MER-A0-2234</t>
  </si>
  <si>
    <t>MER-A0-2235</t>
  </si>
  <si>
    <t>MER-A0-2236</t>
  </si>
  <si>
    <t>MER-A0-2237</t>
  </si>
  <si>
    <t>MER-A0-2238</t>
  </si>
  <si>
    <t>MER-A0-2239</t>
  </si>
  <si>
    <t>MER-A0-2240</t>
  </si>
  <si>
    <t>MER-A0-2241</t>
  </si>
  <si>
    <t>MER-A0-2242</t>
  </si>
  <si>
    <t>MER-A0-2243</t>
  </si>
  <si>
    <t>MER-A0-2244</t>
  </si>
  <si>
    <t>MER-A0-2245</t>
  </si>
  <si>
    <t>MER-A0-2246</t>
  </si>
  <si>
    <t>MER-A0-2247</t>
  </si>
  <si>
    <t>MER-A0-2248</t>
  </si>
  <si>
    <t>MER-A0-2249</t>
  </si>
  <si>
    <t>MER-A0-2250</t>
  </si>
  <si>
    <t>MER-A0-2251</t>
  </si>
  <si>
    <t>MER-A0-2252</t>
  </si>
  <si>
    <t>MER-A0-2253</t>
  </si>
  <si>
    <t>MER-A0-2254</t>
  </si>
  <si>
    <t>MER-A0-2255</t>
  </si>
  <si>
    <t>MER-A0-2256</t>
  </si>
  <si>
    <t>MER-A0-2257</t>
  </si>
  <si>
    <t>MER-A0-2258</t>
  </si>
  <si>
    <t>MER-A0-2259</t>
  </si>
  <si>
    <t>MER-A0-2260</t>
  </si>
  <si>
    <t>MER-A0-2261</t>
  </si>
  <si>
    <t>MER-A0-2262</t>
  </si>
  <si>
    <t>MER-A0-2263</t>
  </si>
  <si>
    <t>MER-A0-2264</t>
  </si>
  <si>
    <t>MER-A0-2265</t>
  </si>
  <si>
    <t>MER-A0-2266</t>
  </si>
  <si>
    <t>MER-A0-2267</t>
  </si>
  <si>
    <t>MER-A0-2268</t>
  </si>
  <si>
    <t>MER-A0-2269</t>
  </si>
  <si>
    <t>MER-A0-2270</t>
  </si>
  <si>
    <t>MER-A0-2271</t>
  </si>
  <si>
    <t>MER-A0-2272</t>
  </si>
  <si>
    <t>MER-A0-2273</t>
  </si>
  <si>
    <t>MER-A0-2274</t>
  </si>
  <si>
    <t>MER-A0-2275</t>
  </si>
  <si>
    <t>MER-A0-2276</t>
  </si>
  <si>
    <t>MER-A0-2277</t>
  </si>
  <si>
    <t>MER-A0-2278</t>
  </si>
  <si>
    <t>MER-A0-2279</t>
  </si>
  <si>
    <t>MER-A0-2280</t>
  </si>
  <si>
    <t>MER-A0-2281</t>
  </si>
  <si>
    <t>MER-A0-2282</t>
  </si>
  <si>
    <t>MER-A0-2283</t>
  </si>
  <si>
    <t>MER-A0-2284</t>
  </si>
  <si>
    <t>MER-A0-2285</t>
  </si>
  <si>
    <t>MER-A0-2286</t>
  </si>
  <si>
    <t>MER-A0-2287</t>
  </si>
  <si>
    <t>MER-A0-2288</t>
  </si>
  <si>
    <t>MER-A0-2289</t>
  </si>
  <si>
    <t>MER-A0-2290</t>
  </si>
  <si>
    <t>MER-A0-2291</t>
  </si>
  <si>
    <t>MER-A0-2292</t>
  </si>
  <si>
    <t>MER-A0-2293</t>
  </si>
  <si>
    <t>MER-A0-2294</t>
  </si>
  <si>
    <t>MER-A0-2295</t>
  </si>
  <si>
    <t>MER-A0-2296</t>
  </si>
  <si>
    <t>MER-A0-2297</t>
  </si>
  <si>
    <t>MER-A0-2298</t>
  </si>
  <si>
    <t>MER-A0-2299</t>
  </si>
  <si>
    <t>MER-A0-2300</t>
  </si>
  <si>
    <t>MER-A0-2301</t>
  </si>
  <si>
    <t>MER-A0-2302</t>
  </si>
  <si>
    <t>MER-A0-2303</t>
  </si>
  <si>
    <t>MER-A0-2304</t>
  </si>
  <si>
    <t>MER-A0-2305</t>
  </si>
  <si>
    <t>MER-A0-2306</t>
  </si>
  <si>
    <t>MER-A0-2307</t>
  </si>
  <si>
    <t>MER-A0-2308</t>
  </si>
  <si>
    <t>MER-A0-2309</t>
  </si>
  <si>
    <t>MER-A0-2310</t>
  </si>
  <si>
    <t>MER-A0-2311</t>
  </si>
  <si>
    <t>MER-A0-2312</t>
  </si>
  <si>
    <t>MER-A0-2313</t>
  </si>
  <si>
    <t>MER-A0-2314</t>
  </si>
  <si>
    <t>MER-A0-2315</t>
  </si>
  <si>
    <t>MER-A0-2316</t>
  </si>
  <si>
    <t>MER-A0-2317</t>
  </si>
  <si>
    <t>MER-A0-2318</t>
  </si>
  <si>
    <t>MER-A0-2319</t>
  </si>
  <si>
    <t>MER-A0-2320</t>
  </si>
  <si>
    <t>MER-A0-2321</t>
  </si>
  <si>
    <t>MER-A0-2322</t>
  </si>
  <si>
    <t>MER-A0-2323</t>
  </si>
  <si>
    <t>MER-A0-2324</t>
  </si>
  <si>
    <t>MER-A0-2325</t>
  </si>
  <si>
    <t>MER-A0-2326</t>
  </si>
  <si>
    <t>MER-A0-2327</t>
  </si>
  <si>
    <t>MER-A0-2328</t>
  </si>
  <si>
    <t>MER-A0-2329</t>
  </si>
  <si>
    <t>MER-A0-2330</t>
  </si>
  <si>
    <t>MER-A0-2331</t>
  </si>
  <si>
    <t>MER-A0-2332</t>
  </si>
  <si>
    <t>MER-A0-2333</t>
  </si>
  <si>
    <t>MER-A0-2334</t>
  </si>
  <si>
    <t>MER-A0-2335</t>
  </si>
  <si>
    <t>MER-A0-2336</t>
  </si>
  <si>
    <t>MER-A0-2337</t>
  </si>
  <si>
    <t>MER-A0-2338</t>
  </si>
  <si>
    <t>MER-A0-2339</t>
  </si>
  <si>
    <t>MER-A0-2340</t>
  </si>
  <si>
    <t>MER-A0-2341</t>
  </si>
  <si>
    <t>MER-A0-2342</t>
  </si>
  <si>
    <t>MER-A0-2343</t>
  </si>
  <si>
    <t>MER-A0-2344</t>
  </si>
  <si>
    <t>MER-A0-2345</t>
  </si>
  <si>
    <t>MER-A0-2346</t>
  </si>
  <si>
    <t>MER-A0-2347</t>
  </si>
  <si>
    <t>MER-A0-2348</t>
  </si>
  <si>
    <t>MER-A0-2349</t>
  </si>
  <si>
    <t>MER-A0-2350</t>
  </si>
  <si>
    <t>MER-A0-2351</t>
  </si>
  <si>
    <t>MER-A0-2352</t>
  </si>
  <si>
    <t>MER-A0-2353</t>
  </si>
  <si>
    <t>MER-A0-2354</t>
  </si>
  <si>
    <t>MER-A0-2355</t>
  </si>
  <si>
    <t>MER-A0-2356</t>
  </si>
  <si>
    <t>MER-A0-2357</t>
  </si>
  <si>
    <t>MER-A0-2358</t>
  </si>
  <si>
    <t>MER-A0-2359</t>
  </si>
  <si>
    <t>MER-A0-2360</t>
  </si>
  <si>
    <t>MER-A0-2361</t>
  </si>
  <si>
    <t>MER-A0-2362</t>
  </si>
  <si>
    <t>MER-A0-2363</t>
  </si>
  <si>
    <t>MER-A0-2364</t>
  </si>
  <si>
    <t>MER-A0-2365</t>
  </si>
  <si>
    <t>MER-A0-2366</t>
  </si>
  <si>
    <t>MER-A0-2367</t>
  </si>
  <si>
    <t>MER-A0-2368</t>
  </si>
  <si>
    <t>MER-A0-2369</t>
  </si>
  <si>
    <t>MER-A0-2370</t>
  </si>
  <si>
    <t>MER-A0-2371</t>
  </si>
  <si>
    <t>MER-A0-2372</t>
  </si>
  <si>
    <t>MER-A0-2373</t>
  </si>
  <si>
    <t>MER-A0-2374</t>
  </si>
  <si>
    <t>MER-A0-2375</t>
  </si>
  <si>
    <t>MER-A0-2376</t>
  </si>
  <si>
    <t>MER-A0-2377</t>
  </si>
  <si>
    <t>MER-A0-2378</t>
  </si>
  <si>
    <t>MER-A0-2379</t>
  </si>
  <si>
    <t>MER-A0-2380</t>
  </si>
  <si>
    <t>MER-A0-2381</t>
  </si>
  <si>
    <t>MER-A0-2382</t>
  </si>
  <si>
    <t>MER-A0-2383</t>
  </si>
  <si>
    <t>MER-A0-2384</t>
  </si>
  <si>
    <t>MER-A0-2385</t>
  </si>
  <si>
    <t>MER-A0-2386</t>
  </si>
  <si>
    <t>MER-A0-2387</t>
  </si>
  <si>
    <t>MER-A0-2388</t>
  </si>
  <si>
    <t>MER-A0-2389</t>
  </si>
  <si>
    <t>MER-A0-2390</t>
  </si>
  <si>
    <t>MER-A0-2391</t>
  </si>
  <si>
    <t>MER-A0-2392</t>
  </si>
  <si>
    <t>MER-A0-2393</t>
  </si>
  <si>
    <t>MER-A0-2394</t>
  </si>
  <si>
    <t>MER-A0-2395</t>
  </si>
  <si>
    <t>MER-A0-2396</t>
  </si>
  <si>
    <t>MER-A0-2397</t>
  </si>
  <si>
    <t>MER-A0-2398</t>
  </si>
  <si>
    <t>MER-A0-2399</t>
  </si>
  <si>
    <t>MER-A0-2400</t>
  </si>
  <si>
    <t>MER-A0-2401</t>
  </si>
  <si>
    <t>MER-A0-2402</t>
  </si>
  <si>
    <t>MER-A0-2403</t>
  </si>
  <si>
    <t>MER-A0-2404</t>
  </si>
  <si>
    <t>MER-A0-2405</t>
  </si>
  <si>
    <t>MER-A0-2406</t>
  </si>
  <si>
    <t>MER-A0-2407</t>
  </si>
  <si>
    <t>MER-A0-2408</t>
  </si>
  <si>
    <t>MER-A0-2409</t>
  </si>
  <si>
    <t>MER-A0-2410</t>
  </si>
  <si>
    <t>MER-A0-2411</t>
  </si>
  <si>
    <t>MER-A0-2412</t>
  </si>
  <si>
    <t>MER-A0-2413</t>
  </si>
  <si>
    <t>MER-A0-2414</t>
  </si>
  <si>
    <t>MER-A0-2415</t>
  </si>
  <si>
    <t>MER-A0-2416</t>
  </si>
  <si>
    <t>MER-A0-2417</t>
  </si>
  <si>
    <t>MER-A0-2418</t>
  </si>
  <si>
    <t>MER-A0-2419</t>
  </si>
  <si>
    <t>MER-A0-2420</t>
  </si>
  <si>
    <t>MER-A0-2421</t>
  </si>
  <si>
    <t>MER-A0-2422</t>
  </si>
  <si>
    <t>MER-A0-2423</t>
  </si>
  <si>
    <t>MER-A0-2424</t>
  </si>
  <si>
    <t>MER-A0-2425</t>
  </si>
  <si>
    <t>MER-A0-2426</t>
  </si>
  <si>
    <t>MER-A0-2427</t>
  </si>
  <si>
    <t>MER-A0-2428</t>
  </si>
  <si>
    <t>MER-A0-2429</t>
  </si>
  <si>
    <t>MER-A0-2430</t>
  </si>
  <si>
    <t>MER-A0-2431</t>
  </si>
  <si>
    <t>MER-A0-2432</t>
  </si>
  <si>
    <t>MER-A0-2433</t>
  </si>
  <si>
    <t>MER-A0-2434</t>
  </si>
  <si>
    <t>MER-A0-2435</t>
  </si>
  <si>
    <t>MER-A0-2436</t>
  </si>
  <si>
    <t>MER-A0-2437</t>
  </si>
  <si>
    <t>MER-A0-2438</t>
  </si>
  <si>
    <t>MER-A0-2439</t>
  </si>
  <si>
    <t>MER-A0-2440</t>
  </si>
  <si>
    <t>MER-A0-2441</t>
  </si>
  <si>
    <t>MER-A0-2442</t>
  </si>
  <si>
    <t>MER-A0-2443</t>
  </si>
  <si>
    <t>MER-A0-2444</t>
  </si>
  <si>
    <t>MER-A0-2445</t>
  </si>
  <si>
    <t>MER-A0-2446</t>
  </si>
  <si>
    <t>MER-A0-2447</t>
  </si>
  <si>
    <t>MER-A0-2448</t>
  </si>
  <si>
    <t>MER-A0-2449</t>
  </si>
  <si>
    <t>MER-A0-2450</t>
  </si>
  <si>
    <t>MER-A0-2451</t>
  </si>
  <si>
    <t>MER-A0-2452</t>
  </si>
  <si>
    <t>MER-A0-2453</t>
  </si>
  <si>
    <t>MER-A0-2454</t>
  </si>
  <si>
    <t>MER-A0-2455</t>
  </si>
  <si>
    <t>MER-A0-2456</t>
  </si>
  <si>
    <t>MER-A0-2457</t>
  </si>
  <si>
    <t>MER-A0-2458</t>
  </si>
  <si>
    <t>MER-A0-2459</t>
  </si>
  <si>
    <t>MER-A0-2460</t>
  </si>
  <si>
    <t>MER-A0-2461</t>
  </si>
  <si>
    <t>MER-A0-2462</t>
  </si>
  <si>
    <t>MER-A0-2463</t>
  </si>
  <si>
    <t>MER-A0-2464</t>
  </si>
  <si>
    <t>MER-A0-2465</t>
  </si>
  <si>
    <t>MER-A0-2466</t>
  </si>
  <si>
    <t>MER-A0-2467</t>
  </si>
  <si>
    <t>MER-A0-2468</t>
  </si>
  <si>
    <t>MER-A0-2469</t>
  </si>
  <si>
    <t>MER-A0-2470</t>
  </si>
  <si>
    <t>MER-A0-2471</t>
  </si>
  <si>
    <t>MER-A0-2472</t>
  </si>
  <si>
    <t>MER-A0-2473</t>
  </si>
  <si>
    <t>MER-A0-2474</t>
  </si>
  <si>
    <t>MER-A0-2475</t>
  </si>
  <si>
    <t>MER-A0-2476</t>
  </si>
  <si>
    <t>MER-A0-2477</t>
  </si>
  <si>
    <t>MER-A0-2478</t>
  </si>
  <si>
    <t>MER-A0-2479</t>
  </si>
  <si>
    <t>MER-A0-2480</t>
  </si>
  <si>
    <t>MER-A0-2481</t>
  </si>
  <si>
    <t>MER-A0-2482</t>
  </si>
  <si>
    <t>MER-A0-2483</t>
  </si>
  <si>
    <t>MER-A0-2484</t>
  </si>
  <si>
    <t>MER-A0-2485</t>
  </si>
  <si>
    <t>MER-A0-2486</t>
  </si>
  <si>
    <t>MER-A0-2487</t>
  </si>
  <si>
    <t>MER-A0-2488</t>
  </si>
  <si>
    <t>MER-A0-2489</t>
  </si>
  <si>
    <t>MER-A0-2490</t>
  </si>
  <si>
    <t>MER-A0-2491</t>
  </si>
  <si>
    <t>MER-A0-2492</t>
  </si>
  <si>
    <t>MER-A0-2493</t>
  </si>
  <si>
    <t>MER-A0-2494</t>
  </si>
  <si>
    <t>MER-A0-2495</t>
  </si>
  <si>
    <t>MER-A0-2496</t>
  </si>
  <si>
    <t>MER-A0-2497</t>
  </si>
  <si>
    <t>MER-A0-2498</t>
  </si>
  <si>
    <t>MER-A0-2499</t>
  </si>
  <si>
    <t>MER-A0-2500</t>
  </si>
  <si>
    <t>MER-A0-2501</t>
  </si>
  <si>
    <t>MER-A0-2502</t>
  </si>
  <si>
    <t>MER-A0-2503</t>
  </si>
  <si>
    <t>MER-A0-2504</t>
  </si>
  <si>
    <t>MER-A0-2505</t>
  </si>
  <si>
    <t>MER-A0-2506</t>
  </si>
  <si>
    <t>MER-A0-2507</t>
  </si>
  <si>
    <t>MER-A0-2508</t>
  </si>
  <si>
    <t>MER-A0-2509</t>
  </si>
  <si>
    <t>MER-A0-2510</t>
  </si>
  <si>
    <t>MER-A0-2511</t>
  </si>
  <si>
    <t>MER-A0-2512</t>
  </si>
  <si>
    <t>MER-A0-2513</t>
  </si>
  <si>
    <t>MER-A0-2514</t>
  </si>
  <si>
    <t>MER-A0-2515</t>
  </si>
  <si>
    <t>MER-A0-2516</t>
  </si>
  <si>
    <t>MER-A0-2517</t>
  </si>
  <si>
    <t>MER-A0-2518</t>
  </si>
  <si>
    <t>MER-A0-2519</t>
  </si>
  <si>
    <t>MER-A0-2520</t>
  </si>
  <si>
    <t>MER-A0-2521</t>
  </si>
  <si>
    <t>MER-A0-2522</t>
  </si>
  <si>
    <t>MER-A0-2523</t>
  </si>
  <si>
    <t>MER-A0-2524</t>
  </si>
  <si>
    <t>MER-A0-2525</t>
  </si>
  <si>
    <t>MER-A0-2526</t>
  </si>
  <si>
    <t>MER-A0-2527</t>
  </si>
  <si>
    <t>MER-A0-2528</t>
  </si>
  <si>
    <t>MER-A0-2529</t>
  </si>
  <si>
    <t>MER-A0-2530</t>
  </si>
  <si>
    <t>MER-A0-2531</t>
  </si>
  <si>
    <t>MER-A0-2532</t>
  </si>
  <si>
    <t>MER-A0-2533</t>
  </si>
  <si>
    <t>MER-A0-2534</t>
  </si>
  <si>
    <t>MER-A0-2535</t>
  </si>
  <si>
    <t>MER-A0-2536</t>
  </si>
  <si>
    <t>MER-A0-2537</t>
  </si>
  <si>
    <t>MER-A0-2538</t>
  </si>
  <si>
    <t>MER-A0-2539</t>
  </si>
  <si>
    <t>MER-A0-2540</t>
  </si>
  <si>
    <t>MER-A0-2541</t>
  </si>
  <si>
    <t>MER-A0-2542</t>
  </si>
  <si>
    <t>MER-A0-2543</t>
  </si>
  <si>
    <t>MER-A0-2544</t>
  </si>
  <si>
    <t>MER-A0-2545</t>
  </si>
  <si>
    <t>MER-A0-2546</t>
  </si>
  <si>
    <t>MER-A0-2547</t>
  </si>
  <si>
    <t>MER-A0-2548</t>
  </si>
  <si>
    <t>MER-A0-2549</t>
  </si>
  <si>
    <t>MER-A0-2550</t>
  </si>
  <si>
    <t>MER-A0-2551</t>
  </si>
  <si>
    <t>MER-A0-2552</t>
  </si>
  <si>
    <t>MER-A0-2553</t>
  </si>
  <si>
    <t>MER-A0-2554</t>
  </si>
  <si>
    <t>MER-A0-2555</t>
  </si>
  <si>
    <t>MER-A0-2556</t>
  </si>
  <si>
    <t>MER-A0-2557</t>
  </si>
  <si>
    <t>MER-A0-2558</t>
  </si>
  <si>
    <t>MER-A0-2559</t>
  </si>
  <si>
    <t>MER-A0-2560</t>
  </si>
  <si>
    <t>MER-A0-2561</t>
  </si>
  <si>
    <t>MER-A0-2562</t>
  </si>
  <si>
    <t>MER-A0-2563</t>
  </si>
  <si>
    <t>MER-A0-2564</t>
  </si>
  <si>
    <t>MER-A0-2565</t>
  </si>
  <si>
    <t>MER-A0-2566</t>
  </si>
  <si>
    <t>MER-A0-2567</t>
  </si>
  <si>
    <t>MER-A0-2568</t>
  </si>
  <si>
    <t>MER-A0-2569</t>
  </si>
  <si>
    <t>MER-A0-2570</t>
  </si>
  <si>
    <t>MER-A0-2571</t>
  </si>
  <si>
    <t>MER-A0-2572</t>
  </si>
  <si>
    <t>MER-A0-2573</t>
  </si>
  <si>
    <t>MER-A0-2574</t>
  </si>
  <si>
    <t>MER-A0-2575</t>
  </si>
  <si>
    <t>MER-A0-2576</t>
  </si>
  <si>
    <t>MER-A0-2577</t>
  </si>
  <si>
    <t>MER-A0-2578</t>
  </si>
  <si>
    <t>MER-A0-2579</t>
  </si>
  <si>
    <t>MER-A0-2580</t>
  </si>
  <si>
    <t>MER-A0-2581</t>
  </si>
  <si>
    <t>MER-A0-2582</t>
  </si>
  <si>
    <t>MER-A0-2583</t>
  </si>
  <si>
    <t>MER-A0-2584</t>
  </si>
  <si>
    <t>MER-A0-2585</t>
  </si>
  <si>
    <t>MER-A0-2586</t>
  </si>
  <si>
    <t>MER-A0-2587</t>
  </si>
  <si>
    <t>MER-A0-2588</t>
  </si>
  <si>
    <t>MER-A0-2589</t>
  </si>
  <si>
    <t>MER-A0-2590</t>
  </si>
  <si>
    <t>MER-A0-2591</t>
  </si>
  <si>
    <t>MER-A0-2592</t>
  </si>
  <si>
    <t>MER-A0-2593</t>
  </si>
  <si>
    <t>MER-A0-2594</t>
  </si>
  <si>
    <t>MER-A0-2595</t>
  </si>
  <si>
    <t>MER-A0-2596</t>
  </si>
  <si>
    <t>MER-A0-2597</t>
  </si>
  <si>
    <t>MER-A0-2598</t>
  </si>
  <si>
    <t>MER-A0-2599</t>
  </si>
  <si>
    <t>MER-A0-2600</t>
  </si>
  <si>
    <t>MER-A0-2601</t>
  </si>
  <si>
    <t>MER-A0-2602</t>
  </si>
  <si>
    <t>MER-A0-2603</t>
  </si>
  <si>
    <t>MER-A0-2604</t>
  </si>
  <si>
    <t>MER-A0-2605</t>
  </si>
  <si>
    <t>MER-A0-2606</t>
  </si>
  <si>
    <t>MER-A0-2607</t>
  </si>
  <si>
    <t>MER-A0-2608</t>
  </si>
  <si>
    <t>MER-A0-2609</t>
  </si>
  <si>
    <t>MER-A0-2610</t>
  </si>
  <si>
    <t>MER-A0-2611</t>
  </si>
  <si>
    <t>MER-A0-2612</t>
  </si>
  <si>
    <t>MER-A0-2613</t>
  </si>
  <si>
    <t>MER-A0-2614</t>
  </si>
  <si>
    <t>MER-A0-2615</t>
  </si>
  <si>
    <t>MER-A0-2616</t>
  </si>
  <si>
    <t>MER-A0-2617</t>
  </si>
  <si>
    <t>MER-A0-2618</t>
  </si>
  <si>
    <t>MER-A0-2619</t>
  </si>
  <si>
    <t>MER-A0-2620</t>
  </si>
  <si>
    <t>MER-A0-2621</t>
  </si>
  <si>
    <t>MER-A0-2622</t>
  </si>
  <si>
    <t>MER-A0-2623</t>
  </si>
  <si>
    <t>MER-A0-2624</t>
  </si>
  <si>
    <t>MER-A0-2625</t>
  </si>
  <si>
    <t>MER-A0-2626</t>
  </si>
  <si>
    <t>MER-A0-2627</t>
  </si>
  <si>
    <t>MER-A0-2628</t>
  </si>
  <si>
    <t>MER-A0-2629</t>
  </si>
  <si>
    <t>MER-A0-2630</t>
  </si>
  <si>
    <t>MER-A0-2631</t>
  </si>
  <si>
    <t>MER-A0-2632</t>
  </si>
  <si>
    <t>MER-A0-2633</t>
  </si>
  <si>
    <t>MER-A0-2634</t>
  </si>
  <si>
    <t>MER-A0-2635</t>
  </si>
  <si>
    <t>MER-A0-2636</t>
  </si>
  <si>
    <t>MER-A0-2637</t>
  </si>
  <si>
    <t>MER-A0-2638</t>
  </si>
  <si>
    <t>MER-A0-2639</t>
  </si>
  <si>
    <t>MER-A0-2640</t>
  </si>
  <si>
    <t>MER-A0-2641</t>
  </si>
  <si>
    <t>MER-A0-2642</t>
  </si>
  <si>
    <t>MER-A0-2643</t>
  </si>
  <si>
    <t>MER-A0-2644</t>
  </si>
  <si>
    <t>MER-A0-2645</t>
  </si>
  <si>
    <t>MER-A0-2646</t>
  </si>
  <si>
    <t>MER-A0-2647</t>
  </si>
  <si>
    <t>MER-A0-2648</t>
  </si>
  <si>
    <t>MER-A0-2649</t>
  </si>
  <si>
    <t>MER-A0-2650</t>
  </si>
  <si>
    <t>MER-A0-2651</t>
  </si>
  <si>
    <t>MER-A0-2652</t>
  </si>
  <si>
    <t>MER-A0-2653</t>
  </si>
  <si>
    <t>MER-A0-2654</t>
  </si>
  <si>
    <t>MER-A0-2655</t>
  </si>
  <si>
    <t>MER-A0-2656</t>
  </si>
  <si>
    <t>MER-A0-2657</t>
  </si>
  <si>
    <t>MER-A0-2658</t>
  </si>
  <si>
    <t>MER-A0-2659</t>
  </si>
  <si>
    <t>MER-A0-2660</t>
  </si>
  <si>
    <t>MER-A0-2661</t>
  </si>
  <si>
    <t>MER-A0-2662</t>
  </si>
  <si>
    <t>MER-A0-2663</t>
  </si>
  <si>
    <t>MER-A0-2664</t>
  </si>
  <si>
    <t>MER-A0-2665</t>
  </si>
  <si>
    <t>MER-A0-2666</t>
  </si>
  <si>
    <t>MER-A0-2667</t>
  </si>
  <si>
    <t>MER-A0-2668</t>
  </si>
  <si>
    <t>MER-A0-2669</t>
  </si>
  <si>
    <t>MER-A0-2670</t>
  </si>
  <si>
    <t>MER-A0-2671</t>
  </si>
  <si>
    <t>MER-A0-2672</t>
  </si>
  <si>
    <t>MER-A0-2673</t>
  </si>
  <si>
    <t>MER-A0-2674</t>
  </si>
  <si>
    <t>MER-A0-2675</t>
  </si>
  <si>
    <t>MER-A0-2676</t>
  </si>
  <si>
    <t>MER-A0-2677</t>
  </si>
  <si>
    <t>MER-A0-2678</t>
  </si>
  <si>
    <t>MER-A0-2679</t>
  </si>
  <si>
    <t>MER-A0-2680</t>
  </si>
  <si>
    <t>MER-A0-2681</t>
  </si>
  <si>
    <t>MER-A0-2682</t>
  </si>
  <si>
    <t>MER-A0-2683</t>
  </si>
  <si>
    <t>MER-A0-2684</t>
  </si>
  <si>
    <t>MER-A0-2685</t>
  </si>
  <si>
    <t>MER-A0-2686</t>
  </si>
  <si>
    <t>MER-A0-2687</t>
  </si>
  <si>
    <t>MER-A0-2688</t>
  </si>
  <si>
    <t>MER-A0-2689</t>
  </si>
  <si>
    <t>MER-A0-2690</t>
  </si>
  <si>
    <t>MER-A0-2691</t>
  </si>
  <si>
    <t>MER-A0-2692</t>
  </si>
  <si>
    <t>MER-A0-2693</t>
  </si>
  <si>
    <t>MER-A0-2694</t>
  </si>
  <si>
    <t>MER-A0-2695</t>
  </si>
  <si>
    <t>MER-A0-2696</t>
  </si>
  <si>
    <t>MER-A0-2697</t>
  </si>
  <si>
    <t>MER-A0-2698</t>
  </si>
  <si>
    <t>MER-A0-2699</t>
  </si>
  <si>
    <t>MER-A0-2700</t>
  </si>
  <si>
    <t>MER-A0-2701</t>
  </si>
  <si>
    <t>MER-A0-2702</t>
  </si>
  <si>
    <t>MER-A0-2703</t>
  </si>
  <si>
    <t>MER-A0-2704</t>
  </si>
  <si>
    <t>MER-A0-2705</t>
  </si>
  <si>
    <t>MER-A0-2706</t>
  </si>
  <si>
    <t>MER-A0-2707</t>
  </si>
  <si>
    <t>MER-A0-2708</t>
  </si>
  <si>
    <t>MER-A0-2709</t>
  </si>
  <si>
    <t>MER-A0-2710</t>
  </si>
  <si>
    <t>MER-A0-2711</t>
  </si>
  <si>
    <t>MER-A0-2712</t>
  </si>
  <si>
    <t>MER-A0-2713</t>
  </si>
  <si>
    <t>MER-A0-2714</t>
  </si>
  <si>
    <t>MER-A0-2715</t>
  </si>
  <si>
    <t>MER-A0-2716</t>
  </si>
  <si>
    <t>MER-A0-2717</t>
  </si>
  <si>
    <t>MER-A0-2718</t>
  </si>
  <si>
    <t>MER-A0-2719</t>
  </si>
  <si>
    <t>MER-A0-2720</t>
  </si>
  <si>
    <t>MER-A0-2721</t>
  </si>
  <si>
    <t>MER-A0-2722</t>
  </si>
  <si>
    <t>MER-A0-2723</t>
  </si>
  <si>
    <t>MER-A0-2724</t>
  </si>
  <si>
    <t>MER-A0-2725</t>
  </si>
  <si>
    <t>MER-A0-2726</t>
  </si>
  <si>
    <t>MER-A0-2727</t>
  </si>
  <si>
    <t>MER-A0-2728</t>
  </si>
  <si>
    <t>MER-A0-2729</t>
  </si>
  <si>
    <t>MER-A0-2730</t>
  </si>
  <si>
    <t>MER-A0-2731</t>
  </si>
  <si>
    <t>MER-A0-2732</t>
  </si>
  <si>
    <t>MER-A0-2733</t>
  </si>
  <si>
    <t>MER-A0-2734</t>
  </si>
  <si>
    <t>MER-A0-2735</t>
  </si>
  <si>
    <t>MER-A0-2736</t>
  </si>
  <si>
    <t>MER-A0-2737</t>
  </si>
  <si>
    <t>MER-A0-2738</t>
  </si>
  <si>
    <t>MER-A0-2739</t>
  </si>
  <si>
    <t>MER-A0-2740</t>
  </si>
  <si>
    <t>MER-A0-2741</t>
  </si>
  <si>
    <t>MER-A0-2742</t>
  </si>
  <si>
    <t>MER-A0-2743</t>
  </si>
  <si>
    <t>MER-A0-2744</t>
  </si>
  <si>
    <t>MER-A0-2745</t>
  </si>
  <si>
    <t>MER-A0-2746</t>
  </si>
  <si>
    <t>MER-A0-2747</t>
  </si>
  <si>
    <t>MER-A0-2748</t>
  </si>
  <si>
    <t>MER-A0-2749</t>
  </si>
  <si>
    <t>MER-A0-2750</t>
  </si>
  <si>
    <t>MER-A0-2751</t>
  </si>
  <si>
    <t>MER-A0-2752</t>
  </si>
  <si>
    <t>MER-A0-2753</t>
  </si>
  <si>
    <t>MER-A0-2754</t>
  </si>
  <si>
    <t>MER-A0-2755</t>
  </si>
  <si>
    <t>MER-A0-2756</t>
  </si>
  <si>
    <t>MER-A0-2757</t>
  </si>
  <si>
    <t>MER-A0-2758</t>
  </si>
  <si>
    <t>MER-A0-2759</t>
  </si>
  <si>
    <t>MER-A0-2760</t>
  </si>
  <si>
    <t>MER-A0-2761</t>
  </si>
  <si>
    <t>MER-A0-2762</t>
  </si>
  <si>
    <t>MER-A0-2763</t>
  </si>
  <si>
    <t>MER-A0-2764</t>
  </si>
  <si>
    <t>MER-A0-2765</t>
  </si>
  <si>
    <t>MER-A0-2766</t>
  </si>
  <si>
    <t>MER-A0-2767</t>
  </si>
  <si>
    <t>MER-A0-2768</t>
  </si>
  <si>
    <t>MER-A0-2769</t>
  </si>
  <si>
    <t>MER-A0-2770</t>
  </si>
  <si>
    <t>MER-A0-2771</t>
  </si>
  <si>
    <t>MER-A0-2772</t>
  </si>
  <si>
    <t>MER-A0-2773</t>
  </si>
  <si>
    <t>MER-A0-2774</t>
  </si>
  <si>
    <t>MER-A0-2775</t>
  </si>
  <si>
    <t>MER-A0-2776</t>
  </si>
  <si>
    <t>MER-A0-2777</t>
  </si>
  <si>
    <t>MER-A0-2778</t>
  </si>
  <si>
    <t>MER-A0-2779</t>
  </si>
  <si>
    <t>MER-A0-2780</t>
  </si>
  <si>
    <t>MER-A0-2781</t>
  </si>
  <si>
    <t>MER-A0-2782</t>
  </si>
  <si>
    <t>MER-A0-2783</t>
  </si>
  <si>
    <t>MER-A0-2784</t>
  </si>
  <si>
    <t>MER-A0-2785</t>
  </si>
  <si>
    <t>MER-A0-2786</t>
  </si>
  <si>
    <t>MER-A0-2787</t>
  </si>
  <si>
    <t>MER-A0-2788</t>
  </si>
  <si>
    <t>MER-A0-2789</t>
  </si>
  <si>
    <t>MER-A0-2790</t>
  </si>
  <si>
    <t>MER-A0-2791</t>
  </si>
  <si>
    <t>MER-A0-2792</t>
  </si>
  <si>
    <t>MER-A0-2793</t>
  </si>
  <si>
    <t>MER-A0-2794</t>
  </si>
  <si>
    <t>MER-A0-2795</t>
  </si>
  <si>
    <t>MER-A0-2796</t>
  </si>
  <si>
    <t>MER-A0-2797</t>
  </si>
  <si>
    <t>MER-A0-2798</t>
  </si>
  <si>
    <t>MER-A0-2799</t>
  </si>
  <si>
    <t>MER-A0-2800</t>
  </si>
  <si>
    <t>MER-A0-2801</t>
  </si>
  <si>
    <t>MER-A0-2802</t>
  </si>
  <si>
    <t>MER-A0-2803</t>
  </si>
  <si>
    <t>MER-A0-2804</t>
  </si>
  <si>
    <t>MER-A0-2805</t>
  </si>
  <si>
    <t>MER-A0-2806</t>
  </si>
  <si>
    <t>MER-A0-2807</t>
  </si>
  <si>
    <t>MER-A0-2808</t>
  </si>
  <si>
    <t>MER-A0-2809</t>
  </si>
  <si>
    <t>MER-A0-2810</t>
  </si>
  <si>
    <t>MER-A0-2811</t>
  </si>
  <si>
    <t>MER-A0-2812</t>
  </si>
  <si>
    <t>MER-A0-2813</t>
  </si>
  <si>
    <t>MER-A0-2814</t>
  </si>
  <si>
    <t>MER-A0-2815</t>
  </si>
  <si>
    <t>MER-A0-2816</t>
  </si>
  <si>
    <t>MER-A0-2817</t>
  </si>
  <si>
    <t>MER-A0-2818</t>
  </si>
  <si>
    <t>MER-A0-2819</t>
  </si>
  <si>
    <t>MER-A0-2820</t>
  </si>
  <si>
    <t>MER-A0-2821</t>
  </si>
  <si>
    <t>MER-A0-2822</t>
  </si>
  <si>
    <t>MER-A0-2823</t>
  </si>
  <si>
    <t>MER-A0-2824</t>
  </si>
  <si>
    <t>MER-A0-2825</t>
  </si>
  <si>
    <t>MER-A0-2826</t>
  </si>
  <si>
    <t>MER-A0-2827</t>
  </si>
  <si>
    <t>MER-A0-2828</t>
  </si>
  <si>
    <t>MER-A0-2829</t>
  </si>
  <si>
    <t>MER-A0-2830</t>
  </si>
  <si>
    <t>MER-A0-2831</t>
  </si>
  <si>
    <t>MER-A0-2832</t>
  </si>
  <si>
    <t>MER-A0-2833</t>
  </si>
  <si>
    <t>MER-A0-2834</t>
  </si>
  <si>
    <t>MER-A0-2835</t>
  </si>
  <si>
    <t>MER-A0-2836</t>
  </si>
  <si>
    <t>MER-A0-2837</t>
  </si>
  <si>
    <t>MER-A0-2838</t>
  </si>
  <si>
    <t>MER-A0-2839</t>
  </si>
  <si>
    <t>MER-A0-2840</t>
  </si>
  <si>
    <t>MER-A0-2841</t>
  </si>
  <si>
    <t>MER-A0-2842</t>
  </si>
  <si>
    <t>MER-A0-2843</t>
  </si>
  <si>
    <t>MER-A0-2844</t>
  </si>
  <si>
    <t>MER-A0-2845</t>
  </si>
  <si>
    <t>MER-A0-2846</t>
  </si>
  <si>
    <t>MER-A0-2847</t>
  </si>
  <si>
    <t>MER-A0-2848</t>
  </si>
  <si>
    <t>MER-A0-2849</t>
  </si>
  <si>
    <t>MER-A0-2850</t>
  </si>
  <si>
    <t>MER-A0-2851</t>
  </si>
  <si>
    <t>MER-A0-2852</t>
  </si>
  <si>
    <t>MER-A0-2853</t>
  </si>
  <si>
    <t>MER-A0-2854</t>
  </si>
  <si>
    <t>MER-A0-2855</t>
  </si>
  <si>
    <t>MER-A0-2856</t>
  </si>
  <si>
    <t>MER-A0-2857</t>
  </si>
  <si>
    <t>MER-A0-2858</t>
  </si>
  <si>
    <t>MER-A0-2859</t>
  </si>
  <si>
    <t>MER-A0-2860</t>
  </si>
  <si>
    <t>MER-A0-2861</t>
  </si>
  <si>
    <t>MER-A0-2862</t>
  </si>
  <si>
    <t>MER-A0-2863</t>
  </si>
  <si>
    <t>MER-A0-2864</t>
  </si>
  <si>
    <t>MER-A0-2865</t>
  </si>
  <si>
    <t>MER-A0-2866</t>
  </si>
  <si>
    <t>MER-A0-2867</t>
  </si>
  <si>
    <t>MER-A0-2868</t>
  </si>
  <si>
    <t>MER-A0-2869</t>
  </si>
  <si>
    <t>MER-A0-2870</t>
  </si>
  <si>
    <t>MER-A0-2871</t>
  </si>
  <si>
    <t>MER-A0-2872</t>
  </si>
  <si>
    <t>MER-A0-2873</t>
  </si>
  <si>
    <t>MER-A0-2874</t>
  </si>
  <si>
    <t>MER-A0-2875</t>
  </si>
  <si>
    <t>MER-A0-2876</t>
  </si>
  <si>
    <t>MER-A0-2877</t>
  </si>
  <si>
    <t>MER-A0-2878</t>
  </si>
  <si>
    <t>MER-A0-2879</t>
  </si>
  <si>
    <t>MER-A0-2880</t>
  </si>
  <si>
    <t>MER-A0-2881</t>
  </si>
  <si>
    <t>MER-A0-2882</t>
  </si>
  <si>
    <t>MER-A0-2883</t>
  </si>
  <si>
    <t>MER-A0-2884</t>
  </si>
  <si>
    <t>MER-A0-2885</t>
  </si>
  <si>
    <t>MER-A0-2886</t>
  </si>
  <si>
    <t>MER-A0-2887</t>
  </si>
  <si>
    <t>MER-A0-2888</t>
  </si>
  <si>
    <t>MER-A0-2889</t>
  </si>
  <si>
    <t>MER-A0-2890</t>
  </si>
  <si>
    <t>MER-A0-2891</t>
  </si>
  <si>
    <t>MER-A0-2892</t>
  </si>
  <si>
    <t>MER-A0-2893</t>
  </si>
  <si>
    <t>MER-A0-2894</t>
  </si>
  <si>
    <t>MER-A0-2895</t>
  </si>
  <si>
    <t>MER-A0-2896</t>
  </si>
  <si>
    <t>MER-A0-2897</t>
  </si>
  <si>
    <t>MER-A0-2898</t>
  </si>
  <si>
    <t>MER-A0-2899</t>
  </si>
  <si>
    <t>MER-A0-2900</t>
  </si>
  <si>
    <t>MER-A0-2901</t>
  </si>
  <si>
    <t>MER-A0-2902</t>
  </si>
  <si>
    <t>MER-A0-2903</t>
  </si>
  <si>
    <t>MER-A0-2904</t>
  </si>
  <si>
    <t>MER-A0-2905</t>
  </si>
  <si>
    <t>MER-A0-2906</t>
  </si>
  <si>
    <t>MER-A0-2907</t>
  </si>
  <si>
    <t>MER-A0-2908</t>
  </si>
  <si>
    <t>MER-A0-2909</t>
  </si>
  <si>
    <t>MER-A0-2910</t>
  </si>
  <si>
    <t>MER-A0-2911</t>
  </si>
  <si>
    <t>MER-A0-2912</t>
  </si>
  <si>
    <t>MER-A0-2913</t>
  </si>
  <si>
    <t>MER-A0-2914</t>
  </si>
  <si>
    <t>MER-A0-2915</t>
  </si>
  <si>
    <t>MER-A0-2916</t>
  </si>
  <si>
    <t>MER-A0-2917</t>
  </si>
  <si>
    <t>MER-A0-2918</t>
  </si>
  <si>
    <t>MER-A0-2919</t>
  </si>
  <si>
    <t>MER-A0-2920</t>
  </si>
  <si>
    <t>MER-A0-2921</t>
  </si>
  <si>
    <t>MER-A0-2922</t>
  </si>
  <si>
    <t>MER-A0-2923</t>
  </si>
  <si>
    <t>MER-A0-2924</t>
  </si>
  <si>
    <t>MER-A0-2925</t>
  </si>
  <si>
    <t>MER-A0-2926</t>
  </si>
  <si>
    <t>MER-A0-2927</t>
  </si>
  <si>
    <t>MER-A0-2928</t>
  </si>
  <si>
    <t>MER-A0-2929</t>
  </si>
  <si>
    <t>MER-A0-2930</t>
  </si>
  <si>
    <t>MER-A0-2931</t>
  </si>
  <si>
    <t>MER-A0-2932</t>
  </si>
  <si>
    <t>MER-A0-2933</t>
  </si>
  <si>
    <t>MER-A0-2934</t>
  </si>
  <si>
    <t>MER-A0-2935</t>
  </si>
  <si>
    <t>MER-A0-2936</t>
  </si>
  <si>
    <t>MER-A0-2937</t>
  </si>
  <si>
    <t>MER-A0-2938</t>
  </si>
  <si>
    <t>MER-A0-2939</t>
  </si>
  <si>
    <t>MER-A0-2940</t>
  </si>
  <si>
    <t>MER-A0-2941</t>
  </si>
  <si>
    <t>MER-A0-2942</t>
  </si>
  <si>
    <t>MER-A0-2943</t>
  </si>
  <si>
    <t>MER-A0-2944</t>
  </si>
  <si>
    <t>MER-A0-2945</t>
  </si>
  <si>
    <t>MER-A0-2946</t>
  </si>
  <si>
    <t>MER-A0-2947</t>
  </si>
  <si>
    <t>MER-A0-2948</t>
  </si>
  <si>
    <t>MER-A0-2949</t>
  </si>
  <si>
    <t>MER-A0-2950</t>
  </si>
  <si>
    <t>MER-A0-2951</t>
  </si>
  <si>
    <t>MER-A0-2952</t>
  </si>
  <si>
    <t>MER-A0-2953</t>
  </si>
  <si>
    <t>MER-A0-2954</t>
  </si>
  <si>
    <t>MER-A0-2955</t>
  </si>
  <si>
    <t>MER-A0-2956</t>
  </si>
  <si>
    <t>MER-A0-2957</t>
  </si>
  <si>
    <t>MER-A0-2958</t>
  </si>
  <si>
    <t>MER-A0-2959</t>
  </si>
  <si>
    <t>MER-A0-2960</t>
  </si>
  <si>
    <t>MER-A0-2961</t>
  </si>
  <si>
    <t>MER-A0-2962</t>
  </si>
  <si>
    <t>MER-A0-2963</t>
  </si>
  <si>
    <t>MER-A0-2964</t>
  </si>
  <si>
    <t>MER-A0-2965</t>
  </si>
  <si>
    <t>MER-A0-2966</t>
  </si>
  <si>
    <t>MER-A0-2967</t>
  </si>
  <si>
    <t>MER-A0-2968</t>
  </si>
  <si>
    <t>MER-A0-2969</t>
  </si>
  <si>
    <t>MER-A0-2970</t>
  </si>
  <si>
    <t>MER-A0-2971</t>
  </si>
  <si>
    <t>MER-A0-2972</t>
  </si>
  <si>
    <t>MER-A0-2973</t>
  </si>
  <si>
    <t>MER-A0-2974</t>
  </si>
  <si>
    <t>MER-A0-2975</t>
  </si>
  <si>
    <t>MER-A0-2976</t>
  </si>
  <si>
    <t>MER-A0-2977</t>
  </si>
  <si>
    <t>MER-A0-2978</t>
  </si>
  <si>
    <t>MER-A0-2979</t>
  </si>
  <si>
    <t>MER-A0-2980</t>
  </si>
  <si>
    <t>MER-A0-2981</t>
  </si>
  <si>
    <t>MER-A0-2982</t>
  </si>
  <si>
    <t>MER-A0-2983</t>
  </si>
  <si>
    <t>MER-A0-2984</t>
  </si>
  <si>
    <t>MER-A0-2985</t>
  </si>
  <si>
    <t>MER-A0-2986</t>
  </si>
  <si>
    <t>MER-A0-2987</t>
  </si>
  <si>
    <t>MER-A0-2988</t>
  </si>
  <si>
    <t>MER-A0-2989</t>
  </si>
  <si>
    <t>MER-A0-2990</t>
  </si>
  <si>
    <t>MER-A0-2991</t>
  </si>
  <si>
    <t>MER-A0-2992</t>
  </si>
  <si>
    <t>MER-A0-2993</t>
  </si>
  <si>
    <t>MER-A0-2994</t>
  </si>
  <si>
    <t>MER-A0-2995</t>
  </si>
  <si>
    <t>MER-A0-2996</t>
  </si>
  <si>
    <t>MER-A0-2997</t>
  </si>
  <si>
    <t>MER-A0-2998</t>
  </si>
  <si>
    <t>MER-A0-2999</t>
  </si>
  <si>
    <t>MER-A0-3000</t>
  </si>
  <si>
    <t>MER-A0-3001</t>
  </si>
  <si>
    <t>MER-A0-3002</t>
  </si>
  <si>
    <t>MER-A0-3003</t>
  </si>
  <si>
    <t>MER-A0-3004</t>
  </si>
  <si>
    <t>MER-A0-3005</t>
  </si>
  <si>
    <t>MER-A0-3006</t>
  </si>
  <si>
    <t>MER-A0-3007</t>
  </si>
  <si>
    <t>MER-A0-3008</t>
  </si>
  <si>
    <t>MER-A0-3009</t>
  </si>
  <si>
    <t>MER-A0-3010</t>
  </si>
  <si>
    <t>MER-A0-3011</t>
  </si>
  <si>
    <t>MER-A0-3012</t>
  </si>
  <si>
    <t>MER-A0-3013</t>
  </si>
  <si>
    <t>MER-A0-3014</t>
  </si>
  <si>
    <t>MER-A0-3015</t>
  </si>
  <si>
    <t>MER-A0-3016</t>
  </si>
  <si>
    <t>MER-A0-3017</t>
  </si>
  <si>
    <t>MER-A0-3018</t>
  </si>
  <si>
    <t>MER-A0-3019</t>
  </si>
  <si>
    <t>MER-A0-3020</t>
  </si>
  <si>
    <t>MER-A0-3021</t>
  </si>
  <si>
    <t>MER-A0-3022</t>
  </si>
  <si>
    <t>MER-A0-3023</t>
  </si>
  <si>
    <t>MER-A0-3024</t>
  </si>
  <si>
    <t>MER-A0-3025</t>
  </si>
  <si>
    <t>MER-A0-3026</t>
  </si>
  <si>
    <t>MER-A0-3027</t>
  </si>
  <si>
    <t>MER-A0-3028</t>
  </si>
  <si>
    <t>MER-A0-3029</t>
  </si>
  <si>
    <t>MER-A0-3030</t>
  </si>
  <si>
    <t>MER-A0-3031</t>
  </si>
  <si>
    <t>MER-A0-3032</t>
  </si>
  <si>
    <t>MER-A0-3033</t>
  </si>
  <si>
    <t>MER-A0-3034</t>
  </si>
  <si>
    <t>MER-A0-3035</t>
  </si>
  <si>
    <t>MER-A0-3036</t>
  </si>
  <si>
    <t>MER-A0-3037</t>
  </si>
  <si>
    <t>MER-A0-3038</t>
  </si>
  <si>
    <t>MER-A0-3039</t>
  </si>
  <si>
    <t>MER-A0-3040</t>
  </si>
  <si>
    <t>MER-A0-3041</t>
  </si>
  <si>
    <t>MER-A0-3042</t>
  </si>
  <si>
    <t>MER-A0-3043</t>
  </si>
  <si>
    <t>MER-A0-3044</t>
  </si>
  <si>
    <t>MER-A0-3045</t>
  </si>
  <si>
    <t>MER-A0-3046</t>
  </si>
  <si>
    <t>MER-A0-3047</t>
  </si>
  <si>
    <t>MER-A0-3048</t>
  </si>
  <si>
    <t>MER-A0-3049</t>
  </si>
  <si>
    <t>MER-A0-3050</t>
  </si>
  <si>
    <t>MER-A0-3051</t>
  </si>
  <si>
    <t>MER-A0-3052</t>
  </si>
  <si>
    <t>MER-A0-3053</t>
  </si>
  <si>
    <t>MER-A0-3054</t>
  </si>
  <si>
    <t>MER-A0-3055</t>
  </si>
  <si>
    <t>MER-A0-3056</t>
  </si>
  <si>
    <t>MER-A0-3057</t>
  </si>
  <si>
    <t>MER-A0-3058</t>
  </si>
  <si>
    <t>MER-A0-3059</t>
  </si>
  <si>
    <t>MER-A0-3060</t>
  </si>
  <si>
    <t>MER-A0-3061</t>
  </si>
  <si>
    <t>MER-A0-3062</t>
  </si>
  <si>
    <t>MER-A0-3063</t>
  </si>
  <si>
    <t>MER-A0-3064</t>
  </si>
  <si>
    <t>MER-A0-3065</t>
  </si>
  <si>
    <t>MER-A0-3066</t>
  </si>
  <si>
    <t>MER-A0-3067</t>
  </si>
  <si>
    <t>MER-A0-3068</t>
  </si>
  <si>
    <t>MER-A0-3069</t>
  </si>
  <si>
    <t>MER-A0-3070</t>
  </si>
  <si>
    <t>MER-A0-3071</t>
  </si>
  <si>
    <t>MER-A0-3072</t>
  </si>
  <si>
    <t>MER-A0-3073</t>
  </si>
  <si>
    <t>MER-A0-3074</t>
  </si>
  <si>
    <t>MER-A0-3075</t>
  </si>
  <si>
    <t>MER-A0-3076</t>
  </si>
  <si>
    <t>MER-A0-3077</t>
  </si>
  <si>
    <t>MER-A0-3078</t>
  </si>
  <si>
    <t>MER-A0-3079</t>
  </si>
  <si>
    <t>MER-A0-3080</t>
  </si>
  <si>
    <t>MER-A0-3081</t>
  </si>
  <si>
    <t>MER-A0-3082</t>
  </si>
  <si>
    <t>MER-A0-3083</t>
  </si>
  <si>
    <t>MER-A0-3084</t>
  </si>
  <si>
    <t>MER-A0-3085</t>
  </si>
  <si>
    <t>MER-A0-3086</t>
  </si>
  <si>
    <t>MER-A0-3087</t>
  </si>
  <si>
    <t>MER-A0-3088</t>
  </si>
  <si>
    <t>MER-A0-3089</t>
  </si>
  <si>
    <t>MER-A0-3090</t>
  </si>
  <si>
    <t>MER-A0-3091</t>
  </si>
  <si>
    <t>MER-A0-3092</t>
  </si>
  <si>
    <t>MER-A0-3093</t>
  </si>
  <si>
    <t>MER-A0-3094</t>
  </si>
  <si>
    <t>MER-A0-3095</t>
  </si>
  <si>
    <t>MER-A0-3096</t>
  </si>
  <si>
    <t>MER-A0-3097</t>
  </si>
  <si>
    <t>MER-A0-3098</t>
  </si>
  <si>
    <t>MER-A0-3099</t>
  </si>
  <si>
    <t>MER-A0-3100</t>
  </si>
  <si>
    <t>MER-A0-3101</t>
  </si>
  <si>
    <t>MER-A0-3102</t>
  </si>
  <si>
    <t>MER-A0-3103</t>
  </si>
  <si>
    <t>MER-A0-3104</t>
  </si>
  <si>
    <t>MER-A0-3105</t>
  </si>
  <si>
    <t>MER-A0-3106</t>
  </si>
  <si>
    <t>MER-A0-3107</t>
  </si>
  <si>
    <t>MER-A0-3108</t>
  </si>
  <si>
    <t>MER-A0-3109</t>
  </si>
  <si>
    <t>MER-A0-3110</t>
  </si>
  <si>
    <t>MER-A0-3111</t>
  </si>
  <si>
    <t>MER-A0-3112</t>
  </si>
  <si>
    <t>MER-A0-3113</t>
  </si>
  <si>
    <t>MER-A0-3114</t>
  </si>
  <si>
    <t>MER-A0-3115</t>
  </si>
  <si>
    <t>MER-A0-3116</t>
  </si>
  <si>
    <t>MER-A0-3117</t>
  </si>
  <si>
    <t>MER-A0-3118</t>
  </si>
  <si>
    <t>MER-A0-3119</t>
  </si>
  <si>
    <t>MER-A0-3120</t>
  </si>
  <si>
    <t>MER-A0-3121</t>
  </si>
  <si>
    <t>MER-A0-3122</t>
  </si>
  <si>
    <t>MER-A0-3123</t>
  </si>
  <si>
    <t>MER-A0-3124</t>
  </si>
  <si>
    <t>MER-A0-3125</t>
  </si>
  <si>
    <t>MER-A0-3126</t>
  </si>
  <si>
    <t>MER-A0-3127</t>
  </si>
  <si>
    <t>MER-A0-3128</t>
  </si>
  <si>
    <t>MER-A0-3129</t>
  </si>
  <si>
    <t>MER-A0-3130</t>
  </si>
  <si>
    <t>MER-A0-3131</t>
  </si>
  <si>
    <t>MER-A0-3132</t>
  </si>
  <si>
    <t>MER-A0-3133</t>
  </si>
  <si>
    <t>MER-A0-3134</t>
  </si>
  <si>
    <t>MER-A0-3135</t>
  </si>
  <si>
    <t>MER-A0-3136</t>
  </si>
  <si>
    <t>MER-A0-3137</t>
  </si>
  <si>
    <t>MER-A0-3138</t>
  </si>
  <si>
    <t>MER-A0-3139</t>
  </si>
  <si>
    <t>MER-A0-3140</t>
  </si>
  <si>
    <t>MER-A0-3141</t>
  </si>
  <si>
    <t>MER-A0-3142</t>
  </si>
  <si>
    <t>MER-A0-3143</t>
  </si>
  <si>
    <t>MER-A0-3144</t>
  </si>
  <si>
    <t>MER-A0-3145</t>
  </si>
  <si>
    <t>MER-A0-3146</t>
  </si>
  <si>
    <t>MER-A0-3147</t>
  </si>
  <si>
    <t>MER-A0-3148</t>
  </si>
  <si>
    <t>MER-A0-3149</t>
  </si>
  <si>
    <t>MER-A0-3150</t>
  </si>
  <si>
    <t>MER-A0-3151</t>
  </si>
  <si>
    <t>MER-A0-3152</t>
  </si>
  <si>
    <t>MER-A0-3153</t>
  </si>
  <si>
    <t>MER-A0-3154</t>
  </si>
  <si>
    <t>MER-A0-3155</t>
  </si>
  <si>
    <t>MER-A0-3156</t>
  </si>
  <si>
    <t>MER-A0-3157</t>
  </si>
  <si>
    <t>MER-A0-3158</t>
  </si>
  <si>
    <t>MER-A0-3159</t>
  </si>
  <si>
    <t>MER-A0-3160</t>
  </si>
  <si>
    <t>MER-A0-3161</t>
  </si>
  <si>
    <t>MER-A0-3162</t>
  </si>
  <si>
    <t>MER-A0-3163</t>
  </si>
  <si>
    <t>MER-A0-3164</t>
  </si>
  <si>
    <t>MER-A0-3165</t>
  </si>
  <si>
    <t>MER-A0-3166</t>
  </si>
  <si>
    <t>MER-A0-3167</t>
  </si>
  <si>
    <t>MER-A0-3168</t>
  </si>
  <si>
    <t>MER-A0-3169</t>
  </si>
  <si>
    <t>MER-A0-3170</t>
  </si>
  <si>
    <t>MER-A0-3171</t>
  </si>
  <si>
    <t>MER-A0-3172</t>
  </si>
  <si>
    <t>MER-A0-3173</t>
  </si>
  <si>
    <t>MER-A0-3174</t>
  </si>
  <si>
    <t>MER-A0-3175</t>
  </si>
  <si>
    <t>MER-A0-3176</t>
  </si>
  <si>
    <t>MER-A0-3177</t>
  </si>
  <si>
    <t>MER-A0-3178</t>
  </si>
  <si>
    <t>MER-A0-3179</t>
  </si>
  <si>
    <t>MER-A0-3180</t>
  </si>
  <si>
    <t>MER-A0-3181</t>
  </si>
  <si>
    <t>MER-A0-3182</t>
  </si>
  <si>
    <t>MER-A0-3183</t>
  </si>
  <si>
    <t>MER-A0-3184</t>
  </si>
  <si>
    <t>MER-A0-3185</t>
  </si>
  <si>
    <t>MER-A0-3186</t>
  </si>
  <si>
    <t>MER-A0-3187</t>
  </si>
  <si>
    <t>MER-A0-3188</t>
  </si>
  <si>
    <t>MER-A0-3189</t>
  </si>
  <si>
    <t>MER-A0-3190</t>
  </si>
  <si>
    <t>MER-A0-3191</t>
  </si>
  <si>
    <t>MER-A0-3192</t>
  </si>
  <si>
    <t>MER-A0-3193</t>
  </si>
  <si>
    <t>MER-A0-3194</t>
  </si>
  <si>
    <t>MER-A0-3195</t>
  </si>
  <si>
    <t>MER-A0-3196</t>
  </si>
  <si>
    <t>MER-A0-3197</t>
  </si>
  <si>
    <t>MER-A0-3198</t>
  </si>
  <si>
    <t>MER-A0-3199</t>
  </si>
  <si>
    <t>MER-A0-3200</t>
  </si>
  <si>
    <t>MER-A0-3201</t>
  </si>
  <si>
    <t>MER-A0-3202</t>
  </si>
  <si>
    <t>MER-A0-3203</t>
  </si>
  <si>
    <t>MER-A0-3204</t>
  </si>
  <si>
    <t>MER-A0-3205</t>
  </si>
  <si>
    <t>MER-A0-3206</t>
  </si>
  <si>
    <t>MER-A0-3207</t>
  </si>
  <si>
    <t>MER-A0-3208</t>
  </si>
  <si>
    <t>MER-A0-3209</t>
  </si>
  <si>
    <t>MER-A0-3210</t>
  </si>
  <si>
    <t>MER-A0-3211</t>
  </si>
  <si>
    <t>MER-A0-3212</t>
  </si>
  <si>
    <t>MER-A0-3213</t>
  </si>
  <si>
    <t>MER-A0-3214</t>
  </si>
  <si>
    <t>MER-A0-3215</t>
  </si>
  <si>
    <t>MER-A0-3216</t>
  </si>
  <si>
    <t>MER-A0-3217</t>
  </si>
  <si>
    <t>MER-A0-3218</t>
  </si>
  <si>
    <t>MER-A0-3219</t>
  </si>
  <si>
    <t>MER-A0-3220</t>
  </si>
  <si>
    <t>MER-A0-3221</t>
  </si>
  <si>
    <t>MER-A0-3222</t>
  </si>
  <si>
    <t>MER-A0-3223</t>
  </si>
  <si>
    <t>MER-A0-3224</t>
  </si>
  <si>
    <t>MER-A0-3225</t>
  </si>
  <si>
    <t>MER-A0-3226</t>
  </si>
  <si>
    <t>MER-A0-3227</t>
  </si>
  <si>
    <t>MER-A0-3228</t>
  </si>
  <si>
    <t>MER-A0-3229</t>
  </si>
  <si>
    <t>MER-A0-3230</t>
  </si>
  <si>
    <t>MER-A0-3231</t>
  </si>
  <si>
    <t>MER-A0-3232</t>
  </si>
  <si>
    <t>MER-A0-3233</t>
  </si>
  <si>
    <t>MER-A0-3234</t>
  </si>
  <si>
    <t>MER-A0-3235</t>
  </si>
  <si>
    <t>MER-A0-3236</t>
  </si>
  <si>
    <t>MER-A0-3237</t>
  </si>
  <si>
    <t>MER-A0-3238</t>
  </si>
  <si>
    <t>MER-A0-3239</t>
  </si>
  <si>
    <t>MER-A0-3240</t>
  </si>
  <si>
    <t>MER-A0-3241</t>
  </si>
  <si>
    <t>MER-A0-3242</t>
  </si>
  <si>
    <t>MER-A0-3243</t>
  </si>
  <si>
    <t>MER-A0-3244</t>
  </si>
  <si>
    <t>MER-A0-3245</t>
  </si>
  <si>
    <t>MER-A0-3246</t>
  </si>
  <si>
    <t>MER-A0-3247</t>
  </si>
  <si>
    <t>MER-A0-3248</t>
  </si>
  <si>
    <t>MER-A0-3249</t>
  </si>
  <si>
    <t>MER-A0-3250</t>
  </si>
  <si>
    <t>MER-A0-3251</t>
  </si>
  <si>
    <t>MER-A0-3252</t>
  </si>
  <si>
    <t>MER-A0-3253</t>
  </si>
  <si>
    <t>MER-A0-3254</t>
  </si>
  <si>
    <t>MER-A0-3255</t>
  </si>
  <si>
    <t>MER-A0-3256</t>
  </si>
  <si>
    <t>MER-A0-3257</t>
  </si>
  <si>
    <t>MER-A0-3258</t>
  </si>
  <si>
    <t>MER-A0-3259</t>
  </si>
  <si>
    <t>MER-A0-3260</t>
  </si>
  <si>
    <t>MER-A0-3261</t>
  </si>
  <si>
    <t>MER-A0-3262</t>
  </si>
  <si>
    <t>MER-A0-3263</t>
  </si>
  <si>
    <t>MER-A0-3264</t>
  </si>
  <si>
    <t>MER-A0-3265</t>
  </si>
  <si>
    <t>MER-A0-3266</t>
  </si>
  <si>
    <t>MER-A0-3267</t>
  </si>
  <si>
    <t>MER-A0-3268</t>
  </si>
  <si>
    <t>MER-A0-3269</t>
  </si>
  <si>
    <t>MER-A0-3270</t>
  </si>
  <si>
    <t>MER-A0-3271</t>
  </si>
  <si>
    <t>MER-A0-3272</t>
  </si>
  <si>
    <t>MER-A0-3273</t>
  </si>
  <si>
    <t>MER-A0-3274</t>
  </si>
  <si>
    <t>MER-A0-3275</t>
  </si>
  <si>
    <t>MER-A0-3276</t>
  </si>
  <si>
    <t>MER-A0-3277</t>
  </si>
  <si>
    <t>MER-A0-3278</t>
  </si>
  <si>
    <t>MER-A0-3279</t>
  </si>
  <si>
    <t>MER-A0-3280</t>
  </si>
  <si>
    <t>MER-A0-3281</t>
  </si>
  <si>
    <t>MER-A0-3282</t>
  </si>
  <si>
    <t>MER-A0-3283</t>
  </si>
  <si>
    <t>MER-A0-3284</t>
  </si>
  <si>
    <t>MER-A0-3285</t>
  </si>
  <si>
    <t>MER-A0-3286</t>
  </si>
  <si>
    <t>MER-A0-3287</t>
  </si>
  <si>
    <t>MER-A0-3288</t>
  </si>
  <si>
    <t>MER-A0-3289</t>
  </si>
  <si>
    <t>MER-A0-3290</t>
  </si>
  <si>
    <t>MER-A0-3291</t>
  </si>
  <si>
    <t>MER-A0-3292</t>
  </si>
  <si>
    <t>MER-A0-3293</t>
  </si>
  <si>
    <t>MER-A0-3294</t>
  </si>
  <si>
    <t>MER-A0-3295</t>
  </si>
  <si>
    <t>MER-A0-3296</t>
  </si>
  <si>
    <t>MER-A0-3297</t>
  </si>
  <si>
    <t>MER-A0-3298</t>
  </si>
  <si>
    <t>MER-A0-3299</t>
  </si>
  <si>
    <t>MER-A0-3300</t>
  </si>
  <si>
    <t>MER-A0-3301</t>
  </si>
  <si>
    <t>MER-A0-3302</t>
  </si>
  <si>
    <t>MER-A0-3303</t>
  </si>
  <si>
    <t>MER-A0-3304</t>
  </si>
  <si>
    <t>MER-A0-3305</t>
  </si>
  <si>
    <t>MER-A0-3306</t>
  </si>
  <si>
    <t>MER-A0-3307</t>
  </si>
  <si>
    <t>MER-A0-3308</t>
  </si>
  <si>
    <t>MER-A0-3309</t>
  </si>
  <si>
    <t>MER-A0-3310</t>
  </si>
  <si>
    <t>MER-A0-3311</t>
  </si>
  <si>
    <t>MER-A0-3312</t>
  </si>
  <si>
    <t>MER-A0-3313</t>
  </si>
  <si>
    <t>MER-A0-3314</t>
  </si>
  <si>
    <t>MER-A0-3315</t>
  </si>
  <si>
    <t>MER-A0-3316</t>
  </si>
  <si>
    <t>MER-A0-3317</t>
  </si>
  <si>
    <t>MER-A0-3318</t>
  </si>
  <si>
    <t>MER-A0-3319</t>
  </si>
  <si>
    <t>MER-A0-3320</t>
  </si>
  <si>
    <t>MER-A0-3321</t>
  </si>
  <si>
    <t>MER-A0-3322</t>
  </si>
  <si>
    <t>MER-A0-3323</t>
  </si>
  <si>
    <t>MER-A0-3324</t>
  </si>
  <si>
    <t>MER-A0-3325</t>
  </si>
  <si>
    <t>MER-A0-3326</t>
  </si>
  <si>
    <t>MER-A0-3327</t>
  </si>
  <si>
    <t>MER-A0-3328</t>
  </si>
  <si>
    <t>MER-A0-3329</t>
  </si>
  <si>
    <t>MER-A0-3330</t>
  </si>
  <si>
    <t>MER-A0-3331</t>
  </si>
  <si>
    <t>MER-A0-3332</t>
  </si>
  <si>
    <t>MER-A0-3333</t>
  </si>
  <si>
    <t>MER-A0-3334</t>
  </si>
  <si>
    <t>MER-A0-3335</t>
  </si>
  <si>
    <t>MER-A0-3336</t>
  </si>
  <si>
    <t>MER-A0-3337</t>
  </si>
  <si>
    <t>MER-A0-3338</t>
  </si>
  <si>
    <t>MER-A0-3339</t>
  </si>
  <si>
    <t>MER-A0-3340</t>
  </si>
  <si>
    <t>MER-A0-3341</t>
  </si>
  <si>
    <t>MER-A0-3342</t>
  </si>
  <si>
    <t>MER-A0-3343</t>
  </si>
  <si>
    <t>MER-A0-3344</t>
  </si>
  <si>
    <t>MER-A0-3345</t>
  </si>
  <si>
    <t>MER-A0-3346</t>
  </si>
  <si>
    <t>MER-A0-3347</t>
  </si>
  <si>
    <t>MER-A0-3348</t>
  </si>
  <si>
    <t>MER-A0-3349</t>
  </si>
  <si>
    <t>MER-A0-3350</t>
  </si>
  <si>
    <t>MER-A0-3351</t>
  </si>
  <si>
    <t>MER-A0-3352</t>
  </si>
  <si>
    <t>MER-A0-3353</t>
  </si>
  <si>
    <t>MER-A0-3354</t>
  </si>
  <si>
    <t>MER-A0-3355</t>
  </si>
  <si>
    <t>MER-A0-3356</t>
  </si>
  <si>
    <t>MER-A0-3357</t>
  </si>
  <si>
    <t>MER-A0-3358</t>
  </si>
  <si>
    <t>MER-A0-3359</t>
  </si>
  <si>
    <t>MER-A0-3360</t>
  </si>
  <si>
    <t>MER-A0-3361</t>
  </si>
  <si>
    <t>MER-A0-3362</t>
  </si>
  <si>
    <t>MER-A0-3363</t>
  </si>
  <si>
    <t>MER-A0-3364</t>
  </si>
  <si>
    <t>MER-A0-3365</t>
  </si>
  <si>
    <t>MER-A0-3366</t>
  </si>
  <si>
    <t>MER-A0-3367</t>
  </si>
  <si>
    <t>MER-A0-3368</t>
  </si>
  <si>
    <t>MER-A0-3369</t>
  </si>
  <si>
    <t>MER-A0-3370</t>
  </si>
  <si>
    <t>MER-A0-3371</t>
  </si>
  <si>
    <t>MER-A0-3372</t>
  </si>
  <si>
    <t>MER-A0-3373</t>
  </si>
  <si>
    <t>MER-A0-3374</t>
  </si>
  <si>
    <t>MER-A0-3375</t>
  </si>
  <si>
    <t>MER-A0-3376</t>
  </si>
  <si>
    <t>MER-A0-3377</t>
  </si>
  <si>
    <t>MER-A0-3378</t>
  </si>
  <si>
    <t>MER-A0-3379</t>
  </si>
  <si>
    <t>MER-A0-3380</t>
  </si>
  <si>
    <t>MER-A0-3381</t>
  </si>
  <si>
    <t>MER-A0-3382</t>
  </si>
  <si>
    <t>MER-A0-3383</t>
  </si>
  <si>
    <t>MER-A0-3384</t>
  </si>
  <si>
    <t>MER-A0-3385</t>
  </si>
  <si>
    <t>MER-A0-3386</t>
  </si>
  <si>
    <t>MER-A0-3387</t>
  </si>
  <si>
    <t>MER-A0-3388</t>
  </si>
  <si>
    <t>MER-A0-3389</t>
  </si>
  <si>
    <t>MER-A0-3390</t>
  </si>
  <si>
    <t>MER-A0-3391</t>
  </si>
  <si>
    <t>MER-A0-3392</t>
  </si>
  <si>
    <t>MER-A0-3393</t>
  </si>
  <si>
    <t>MER-A0-3394</t>
  </si>
  <si>
    <t>MER-A0-3395</t>
  </si>
  <si>
    <t>MER-A0-3396</t>
  </si>
  <si>
    <t>MER-A0-3397</t>
  </si>
  <si>
    <t>MER-A0-3398</t>
  </si>
  <si>
    <t>MER-A0-3399</t>
  </si>
  <si>
    <t>MER-A0-3400</t>
  </si>
  <si>
    <t>MER-A0-3401</t>
  </si>
  <si>
    <t>MER-A0-3402</t>
  </si>
  <si>
    <t>MER-A0-3403</t>
  </si>
  <si>
    <t>MER-A0-3404</t>
  </si>
  <si>
    <t>MER-A0-3405</t>
  </si>
  <si>
    <t>MER-A0-3406</t>
  </si>
  <si>
    <t>MER-A0-3407</t>
  </si>
  <si>
    <t>MER-A0-3408</t>
  </si>
  <si>
    <t>MER-A0-3409</t>
  </si>
  <si>
    <t>MER-A0-3410</t>
  </si>
  <si>
    <t>MER-A0-3411</t>
  </si>
  <si>
    <t>MER-A0-3412</t>
  </si>
  <si>
    <t>MER-A0-3413</t>
  </si>
  <si>
    <t>MER-A0-3414</t>
  </si>
  <si>
    <t>MER-A0-3415</t>
  </si>
  <si>
    <t>MER-A0-3416</t>
  </si>
  <si>
    <t>MER-A0-3417</t>
  </si>
  <si>
    <t>MER-A0-3418</t>
  </si>
  <si>
    <t>MER-A0-3419</t>
  </si>
  <si>
    <t>MER-A0-3420</t>
  </si>
  <si>
    <t>MER-A0-3421</t>
  </si>
  <si>
    <t>MER-A0-3422</t>
  </si>
  <si>
    <t>MER-A0-3423</t>
  </si>
  <si>
    <t>MER-A0-3424</t>
  </si>
  <si>
    <t>MER-A0-3425</t>
  </si>
  <si>
    <t>MER-A0-3426</t>
  </si>
  <si>
    <t>MER-A0-3427</t>
  </si>
  <si>
    <t>MER-A0-3428</t>
  </si>
  <si>
    <t>MER-A0-3429</t>
  </si>
  <si>
    <t>MER-A0-3430</t>
  </si>
  <si>
    <t>MER-A0-3431</t>
  </si>
  <si>
    <t>MER-A0-3432</t>
  </si>
  <si>
    <t>MER-A0-3433</t>
  </si>
  <si>
    <t>MER-A0-3434</t>
  </si>
  <si>
    <t>MER-A0-3435</t>
  </si>
  <si>
    <t>MER-A0-3436</t>
  </si>
  <si>
    <t>MER-A0-3437</t>
  </si>
  <si>
    <t>MER-A0-3438</t>
  </si>
  <si>
    <t>MER-A0-3439</t>
  </si>
  <si>
    <t>MER-A0-3440</t>
  </si>
  <si>
    <t>MER-A0-3441</t>
  </si>
  <si>
    <t>MER-A0-3442</t>
  </si>
  <si>
    <t>MER-A0-3443</t>
  </si>
  <si>
    <t>MER-A0-3444</t>
  </si>
  <si>
    <t>MER-A0-3445</t>
  </si>
  <si>
    <t>MER-A0-3446</t>
  </si>
  <si>
    <t>MER-A0-3447</t>
  </si>
  <si>
    <t>MER-A0-3448</t>
  </si>
  <si>
    <t>MER-A0-3449</t>
  </si>
  <si>
    <t>MER-A0-3450</t>
  </si>
  <si>
    <t>MER-A0-3451</t>
  </si>
  <si>
    <t>MER-A0-3452</t>
  </si>
  <si>
    <t>MER-A0-3453</t>
  </si>
  <si>
    <t>MER-A0-3454</t>
  </si>
  <si>
    <t>MER-A0-3455</t>
  </si>
  <si>
    <t>MER-A0-3456</t>
  </si>
  <si>
    <t>MER-A0-3457</t>
  </si>
  <si>
    <t>MER-A0-3458</t>
  </si>
  <si>
    <t>MER-A0-3459</t>
  </si>
  <si>
    <t>MER-A0-3460</t>
  </si>
  <si>
    <t>MER-A0-3461</t>
  </si>
  <si>
    <t>MER-A0-3462</t>
  </si>
  <si>
    <t>MER-A0-3463</t>
  </si>
  <si>
    <t>MER-A0-3464</t>
  </si>
  <si>
    <t>MER-A0-3465</t>
  </si>
  <si>
    <t>MER-A0-3466</t>
  </si>
  <si>
    <t>MER-A0-3467</t>
  </si>
  <si>
    <t>MER-A0-3468</t>
  </si>
  <si>
    <t>MER-A0-3469</t>
  </si>
  <si>
    <t>MER-A0-3470</t>
  </si>
  <si>
    <t>MER-A0-3471</t>
  </si>
  <si>
    <t>MER-A0-3472</t>
  </si>
  <si>
    <t>MER-A0-3473</t>
  </si>
  <si>
    <t>MER-A0-3474</t>
  </si>
  <si>
    <t>MER-A0-3475</t>
  </si>
  <si>
    <t>MER-A0-3476</t>
  </si>
  <si>
    <t>MER-A0-3477</t>
  </si>
  <si>
    <t>MER-A0-3478</t>
  </si>
  <si>
    <t>MER-A0-3479</t>
  </si>
  <si>
    <t>MER-A0-3480</t>
  </si>
  <si>
    <t>MER-A0-3481</t>
  </si>
  <si>
    <t>MER-A0-3482</t>
  </si>
  <si>
    <t>MER-A0-3483</t>
  </si>
  <si>
    <t>MER-A0-3484</t>
  </si>
  <si>
    <t>MER-A0-3485</t>
  </si>
  <si>
    <t>MER-A0-3486</t>
  </si>
  <si>
    <t>MER-A0-3487</t>
  </si>
  <si>
    <t>MER-A0-3488</t>
  </si>
  <si>
    <t>MER-A0-3489</t>
  </si>
  <si>
    <t>MER-A0-3490</t>
  </si>
  <si>
    <t>MER-A0-3491</t>
  </si>
  <si>
    <t>MER-A0-3492</t>
  </si>
  <si>
    <t>MER-A0-3493</t>
  </si>
  <si>
    <t>MER-A0-3494</t>
  </si>
  <si>
    <t>MER-A0-3495</t>
  </si>
  <si>
    <t>MER-A0-3496</t>
  </si>
  <si>
    <t>MER-A0-3497</t>
  </si>
  <si>
    <t>MER-A0-3498</t>
  </si>
  <si>
    <t>MER-A0-3499</t>
  </si>
  <si>
    <t>MER-A0-3500</t>
  </si>
  <si>
    <t>MER-A0-3501</t>
  </si>
  <si>
    <t>MER-A0-3502</t>
  </si>
  <si>
    <t>MER-A0-3503</t>
  </si>
  <si>
    <t>MER-A0-3504</t>
  </si>
  <si>
    <t>MER-A0-3505</t>
  </si>
  <si>
    <t>MER-A0-3506</t>
  </si>
  <si>
    <t>MER-A0-3507</t>
  </si>
  <si>
    <t>MER-A0-3508</t>
  </si>
  <si>
    <t>MER-A0-3509</t>
  </si>
  <si>
    <t>MER-A0-3510</t>
  </si>
  <si>
    <t>MER-A0-3511</t>
  </si>
  <si>
    <t>MER-A0-3512</t>
  </si>
  <si>
    <t>MER-A0-3513</t>
  </si>
  <si>
    <t>MER-A0-3514</t>
  </si>
  <si>
    <t>MER-A0-3515</t>
  </si>
  <si>
    <t>MER-A0-3516</t>
  </si>
  <si>
    <t>MER-A0-3517</t>
  </si>
  <si>
    <t>MER-A0-3518</t>
  </si>
  <si>
    <t>MER-A0-3519</t>
  </si>
  <si>
    <t>MER-A0-3520</t>
  </si>
  <si>
    <t>MER-A0-3521</t>
  </si>
  <si>
    <t>MER-A0-3522</t>
  </si>
  <si>
    <t>MER-A0-3523</t>
  </si>
  <si>
    <t>MER-A0-3524</t>
  </si>
  <si>
    <t>MER-A0-3525</t>
  </si>
  <si>
    <t>MER-A0-3526</t>
  </si>
  <si>
    <t>MER-A0-3527</t>
  </si>
  <si>
    <t>MER-A0-3528</t>
  </si>
  <si>
    <t>MER-A0-3529</t>
  </si>
  <si>
    <t>MER-A0-3530</t>
  </si>
  <si>
    <t>MER-A0-3531</t>
  </si>
  <si>
    <t>MER-A0-3532</t>
  </si>
  <si>
    <t>MER-A0-3533</t>
  </si>
  <si>
    <t>MER-A0-3534</t>
  </si>
  <si>
    <t>MER-A0-3535</t>
  </si>
  <si>
    <t>MER-A0-3536</t>
  </si>
  <si>
    <t>MER-A0-3537</t>
  </si>
  <si>
    <t>MER-A0-3538</t>
  </si>
  <si>
    <t>MER-A0-3539</t>
  </si>
  <si>
    <t>MER-A0-3540</t>
  </si>
  <si>
    <t>MER-A0-3541</t>
  </si>
  <si>
    <t>MER-A0-3542</t>
  </si>
  <si>
    <t>MER-A0-3543</t>
  </si>
  <si>
    <t>MER-A0-3544</t>
  </si>
  <si>
    <t>MER-A0-3545</t>
  </si>
  <si>
    <t>MER-A0-3546</t>
  </si>
  <si>
    <t>MER-A0-3547</t>
  </si>
  <si>
    <t>MER-A0-3548</t>
  </si>
  <si>
    <t>MER-A0-3549</t>
  </si>
  <si>
    <t>MER-A0-3550</t>
  </si>
  <si>
    <t>MER-A0-3551</t>
  </si>
  <si>
    <t>MER-A0-3552</t>
  </si>
  <si>
    <t>MER-A0-3553</t>
  </si>
  <si>
    <t>MER-A0-3554</t>
  </si>
  <si>
    <t>MER-A0-3555</t>
  </si>
  <si>
    <t>MER-A0-3556</t>
  </si>
  <si>
    <t>MER-A0-3557</t>
  </si>
  <si>
    <t>MER-A0-3558</t>
  </si>
  <si>
    <t>MER-A0-3559</t>
  </si>
  <si>
    <t>MER-A0-3560</t>
  </si>
  <si>
    <t>MER-A0-3561</t>
  </si>
  <si>
    <t>MER-A0-3562</t>
  </si>
  <si>
    <t>MER-A0-3563</t>
  </si>
  <si>
    <t>MER-A0-3564</t>
  </si>
  <si>
    <t>MER-A0-3565</t>
  </si>
  <si>
    <t>MER-A0-3566</t>
  </si>
  <si>
    <t>MER-A0-3567</t>
  </si>
  <si>
    <t>MER-A0-3568</t>
  </si>
  <si>
    <t>MER-A0-3569</t>
  </si>
  <si>
    <t>MER-A0-3570</t>
  </si>
  <si>
    <t>MER-A0-3571</t>
  </si>
  <si>
    <t>MER-A0-3572</t>
  </si>
  <si>
    <t>MER-A0-3573</t>
  </si>
  <si>
    <t>MER-A0-3574</t>
  </si>
  <si>
    <t>MER-A0-3575</t>
  </si>
  <si>
    <t>MER-A0-3576</t>
  </si>
  <si>
    <t>MER-A0-3577</t>
  </si>
  <si>
    <t>MER-A0-3578</t>
  </si>
  <si>
    <t>MER-A0-3579</t>
  </si>
  <si>
    <t>MER-A0-3580</t>
  </si>
  <si>
    <t>MER-A0-3581</t>
  </si>
  <si>
    <t>MER-A0-3582</t>
  </si>
  <si>
    <t>MER-A0-3583</t>
  </si>
  <si>
    <t>MER-A0-3584</t>
  </si>
  <si>
    <t>MER-A0-3585</t>
  </si>
  <si>
    <t>MER-A0-3586</t>
  </si>
  <si>
    <t>MER-A0-3587</t>
  </si>
  <si>
    <t>MER-A0-3588</t>
  </si>
  <si>
    <t>MER-A0-3589</t>
  </si>
  <si>
    <t>MER-A0-3590</t>
  </si>
  <si>
    <t>MER-A0-3591</t>
  </si>
  <si>
    <t>MER-A0-3592</t>
  </si>
  <si>
    <t>MER-A0-3593</t>
  </si>
  <si>
    <t>MER-A0-3594</t>
  </si>
  <si>
    <t>MER-A0-3595</t>
  </si>
  <si>
    <t>MER-A0-3596</t>
  </si>
  <si>
    <t>MER-A0-3597</t>
  </si>
  <si>
    <t>MER-A0-3598</t>
  </si>
  <si>
    <t>MER-A0-3599</t>
  </si>
  <si>
    <t>MER-A0-3600</t>
  </si>
  <si>
    <t>MER-A0-3601</t>
  </si>
  <si>
    <t>MER-A0-3602</t>
  </si>
  <si>
    <t>MER-A0-3603</t>
  </si>
  <si>
    <t>MER-A0-3604</t>
  </si>
  <si>
    <t>MER-A0-3605</t>
  </si>
  <si>
    <t>MER-A0-3606</t>
  </si>
  <si>
    <t>MER-A0-3607</t>
  </si>
  <si>
    <t>MER-A0-3608</t>
  </si>
  <si>
    <t>MER-A0-3609</t>
  </si>
  <si>
    <t>MER-A0-3610</t>
  </si>
  <si>
    <t>MER-A0-3611</t>
  </si>
  <si>
    <t>MER-A0-3612</t>
  </si>
  <si>
    <t>MER-A0-3613</t>
  </si>
  <si>
    <t>MER-A0-3614</t>
  </si>
  <si>
    <t>MER-A0-3615</t>
  </si>
  <si>
    <t>MER-A0-3616</t>
  </si>
  <si>
    <t>MER-A0-3617</t>
  </si>
  <si>
    <t>MER-A0-3618</t>
  </si>
  <si>
    <t>MER-A0-3619</t>
  </si>
  <si>
    <t>MER-A0-3620</t>
  </si>
  <si>
    <t>MER-A0-3621</t>
  </si>
  <si>
    <t>MER-A0-3622</t>
  </si>
  <si>
    <t>MER-A0-3623</t>
  </si>
  <si>
    <t>MER-A0-3624</t>
  </si>
  <si>
    <t>MER-A0-3625</t>
  </si>
  <si>
    <t>MER-A0-3626</t>
  </si>
  <si>
    <t>MER-A0-3627</t>
  </si>
  <si>
    <t>MER-A0-3628</t>
  </si>
  <si>
    <t>MER-A0-3629</t>
  </si>
  <si>
    <t>MER-A0-3630</t>
  </si>
  <si>
    <t>MER-A0-3631</t>
  </si>
  <si>
    <t>MER-A0-3632</t>
  </si>
  <si>
    <t>MER-A0-3633</t>
  </si>
  <si>
    <t>MER-A0-3634</t>
  </si>
  <si>
    <t>MER-A0-3635</t>
  </si>
  <si>
    <t>MER-A0-3636</t>
  </si>
  <si>
    <t>MER-A0-3637</t>
  </si>
  <si>
    <t>MER-A0-3638</t>
  </si>
  <si>
    <t>MER-A0-3639</t>
  </si>
  <si>
    <t>MER-A0-3640</t>
  </si>
  <si>
    <t>MER-A0-3641</t>
  </si>
  <si>
    <t>MER-A0-3642</t>
  </si>
  <si>
    <t>MER-A0-3643</t>
  </si>
  <si>
    <t>MER-A0-3644</t>
  </si>
  <si>
    <t>MER-A0-3645</t>
  </si>
  <si>
    <t>MER-A0-3646</t>
  </si>
  <si>
    <t>MER-A0-3647</t>
  </si>
  <si>
    <t>MER-A0-3648</t>
  </si>
  <si>
    <t>MER-A0-3649</t>
  </si>
  <si>
    <t>MER-A0-3650</t>
  </si>
  <si>
    <t>MER-A0-3651</t>
  </si>
  <si>
    <t>MER-A0-3652</t>
  </si>
  <si>
    <t>MER-A0-3653</t>
  </si>
  <si>
    <t>MER-A0-3654</t>
  </si>
  <si>
    <t>MER-A0-3655</t>
  </si>
  <si>
    <t>MER-A0-3656</t>
  </si>
  <si>
    <t>MER-A0-3657</t>
  </si>
  <si>
    <t>MER-A0-3658</t>
  </si>
  <si>
    <t>MER-A0-3659</t>
  </si>
  <si>
    <t>MER-A0-3660</t>
  </si>
  <si>
    <t>MER-A0-3661</t>
  </si>
  <si>
    <t>MER-A0-3662</t>
  </si>
  <si>
    <t>MER-A0-3663</t>
  </si>
  <si>
    <t>MER-A0-3664</t>
  </si>
  <si>
    <t>MER-A0-3665</t>
  </si>
  <si>
    <t>MER-A0-3666</t>
  </si>
  <si>
    <t>MER-A0-3667</t>
  </si>
  <si>
    <t>MER-A0-3668</t>
  </si>
  <si>
    <t>MER-A0-3669</t>
  </si>
  <si>
    <t>MER-A0-3670</t>
  </si>
  <si>
    <t>MER-A0-3671</t>
  </si>
  <si>
    <t>MER-A0-3672</t>
  </si>
  <si>
    <t>MER-A0-3673</t>
  </si>
  <si>
    <t>MER-A0-3674</t>
  </si>
  <si>
    <t>MER-A0-3675</t>
  </si>
  <si>
    <t>MER-A0-3676</t>
  </si>
  <si>
    <t>MER-A0-3677</t>
  </si>
  <si>
    <t>MER-A0-3678</t>
  </si>
  <si>
    <t>MER-A0-3679</t>
  </si>
  <si>
    <t>MER-A0-3680</t>
  </si>
  <si>
    <t>MER-A0-3681</t>
  </si>
  <si>
    <t>MER-A0-3682</t>
  </si>
  <si>
    <t>MER-A0-3683</t>
  </si>
  <si>
    <t>MER-A0-3684</t>
  </si>
  <si>
    <t>MER-A0-3685</t>
  </si>
  <si>
    <t>MER-A0-3686</t>
  </si>
  <si>
    <t>MER-A0-3687</t>
  </si>
  <si>
    <t>MER-A0-3688</t>
  </si>
  <si>
    <t>MER-A0-3689</t>
  </si>
  <si>
    <t>MER-A0-3690</t>
  </si>
  <si>
    <t>MER-A0-3691</t>
  </si>
  <si>
    <t>MER-A0-3692</t>
  </si>
  <si>
    <t>MER-A0-3693</t>
  </si>
  <si>
    <t>MER-A0-3694</t>
  </si>
  <si>
    <t>MER-A0-3695</t>
  </si>
  <si>
    <t>MER-A0-3696</t>
  </si>
  <si>
    <t>MER-A0-3697</t>
  </si>
  <si>
    <t>MER-A0-3698</t>
  </si>
  <si>
    <t>MER-A0-3699</t>
  </si>
  <si>
    <t>MER-A0-3700</t>
  </si>
  <si>
    <t>MER-A0-3701</t>
  </si>
  <si>
    <t>MER-A0-3702</t>
  </si>
  <si>
    <t>MER-A0-3703</t>
  </si>
  <si>
    <t>MER-A0-3704</t>
  </si>
  <si>
    <t>MER-A0-3705</t>
  </si>
  <si>
    <t>MER-A0-3706</t>
  </si>
  <si>
    <t>MER-A0-3707</t>
  </si>
  <si>
    <t>MER-A0-3708</t>
  </si>
  <si>
    <t>MER-A0-3709</t>
  </si>
  <si>
    <t>MER-A0-3710</t>
  </si>
  <si>
    <t>MER-A0-3711</t>
  </si>
  <si>
    <t>MER-A0-3712</t>
  </si>
  <si>
    <t>MER-A0-3713</t>
  </si>
  <si>
    <t>MER-A0-3714</t>
  </si>
  <si>
    <t>MER-A0-3715</t>
  </si>
  <si>
    <t>MER-A0-3716</t>
  </si>
  <si>
    <t>MER-A0-3717</t>
  </si>
  <si>
    <t>MER-A0-3718</t>
  </si>
  <si>
    <t>MER-A0-3719</t>
  </si>
  <si>
    <t>MER-A0-3720</t>
  </si>
  <si>
    <t>MER-A0-3721</t>
  </si>
  <si>
    <t>MER-A0-3722</t>
  </si>
  <si>
    <t>MER-A0-3723</t>
  </si>
  <si>
    <t>MER-A0-3724</t>
  </si>
  <si>
    <t>MER-A0-3725</t>
  </si>
  <si>
    <t>MER-A0-3726</t>
  </si>
  <si>
    <t>MER-A0-3727</t>
  </si>
  <si>
    <t>MER-A0-3728</t>
  </si>
  <si>
    <t>MER-A0-3729</t>
  </si>
  <si>
    <t>MER-A0-3730</t>
  </si>
  <si>
    <t>MER-A0-3731</t>
  </si>
  <si>
    <t>MER-A0-3732</t>
  </si>
  <si>
    <t>MER-A0-3733</t>
  </si>
  <si>
    <t>MER-A0-3734</t>
  </si>
  <si>
    <t>MER-A0-3735</t>
  </si>
  <si>
    <t>MER-A0-3736</t>
  </si>
  <si>
    <t>MER-A0-3737</t>
  </si>
  <si>
    <t>MER-A0-3738</t>
  </si>
  <si>
    <t>MER-A0-3739</t>
  </si>
  <si>
    <t>MER-A0-3740</t>
  </si>
  <si>
    <t>MER-A0-3741</t>
  </si>
  <si>
    <t>MER-A0-3742</t>
  </si>
  <si>
    <t>MER-A0-3743</t>
  </si>
  <si>
    <t>MER-A0-3744</t>
  </si>
  <si>
    <t>MER-A0-3745</t>
  </si>
  <si>
    <t>MER-A0-3746</t>
  </si>
  <si>
    <t>MER-A0-3747</t>
  </si>
  <si>
    <t>MER-A0-3748</t>
  </si>
  <si>
    <t>MER-A0-3749</t>
  </si>
  <si>
    <t>MER-A0-3750</t>
  </si>
  <si>
    <t>MER-A0-3751</t>
  </si>
  <si>
    <t>MER-A0-3752</t>
  </si>
  <si>
    <t>MER-A0-3753</t>
  </si>
  <si>
    <t>MER-A0-3754</t>
  </si>
  <si>
    <t>MER-A0-3755</t>
  </si>
  <si>
    <t>MER-A0-3756</t>
  </si>
  <si>
    <t>MER-A0-3757</t>
  </si>
  <si>
    <t>MER-A0-3758</t>
  </si>
  <si>
    <t>MER-A0-3759</t>
  </si>
  <si>
    <t>MER-A0-3760</t>
  </si>
  <si>
    <t>MER-A0-3761</t>
  </si>
  <si>
    <t>MER-A0-3762</t>
  </si>
  <si>
    <t>MER-A0-3763</t>
  </si>
  <si>
    <t>MER-A0-3764</t>
  </si>
  <si>
    <t>MER-A0-3765</t>
  </si>
  <si>
    <t>MER-A0-3766</t>
  </si>
  <si>
    <t>MER-A0-3767</t>
  </si>
  <si>
    <t>MER-A0-3768</t>
  </si>
  <si>
    <t>MER-A0-3769</t>
  </si>
  <si>
    <t>MER-A0-3770</t>
  </si>
  <si>
    <t>MER-A0-3771</t>
  </si>
  <si>
    <t>MER-A0-3772</t>
  </si>
  <si>
    <t>MER-A0-3773</t>
  </si>
  <si>
    <t>MER-A0-3774</t>
  </si>
  <si>
    <t>MER-A0-3775</t>
  </si>
  <si>
    <t>MER-A0-3776</t>
  </si>
  <si>
    <t>MER-A0-3777</t>
  </si>
  <si>
    <t>MER-A0-3778</t>
  </si>
  <si>
    <t>MER-A0-3779</t>
  </si>
  <si>
    <t>MER-A0-3780</t>
  </si>
  <si>
    <t>MER-A0-3781</t>
  </si>
  <si>
    <t>MER-A0-3782</t>
  </si>
  <si>
    <t>MER-A0-3783</t>
  </si>
  <si>
    <t>MER-A0-3784</t>
  </si>
  <si>
    <t>MER-A0-3785</t>
  </si>
  <si>
    <t>MER-A0-3786</t>
  </si>
  <si>
    <t>MER-A0-3787</t>
  </si>
  <si>
    <t>MER-A0-3788</t>
  </si>
  <si>
    <t>MER-A0-3789</t>
  </si>
  <si>
    <t>MER-A0-3790</t>
  </si>
  <si>
    <t>MER-A0-3791</t>
  </si>
  <si>
    <t>MER-A0-3792</t>
  </si>
  <si>
    <t>MER-A0-3793</t>
  </si>
  <si>
    <t>MER-A0-3794</t>
  </si>
  <si>
    <t>MER-A0-3795</t>
  </si>
  <si>
    <t>MER-A0-3796</t>
  </si>
  <si>
    <t>MER-A0-3797</t>
  </si>
  <si>
    <t>MER-A0-3798</t>
  </si>
  <si>
    <t>MER-A0-3799</t>
  </si>
  <si>
    <t>MER-A0-3800</t>
  </si>
  <si>
    <t>MER-A0-3801</t>
  </si>
  <si>
    <t>MER-A0-3802</t>
  </si>
  <si>
    <t>MER-A0-3803</t>
  </si>
  <si>
    <t>MER-A0-3804</t>
  </si>
  <si>
    <t>MER-A0-3805</t>
  </si>
  <si>
    <t>MER-A0-3806</t>
  </si>
  <si>
    <t>MER-A0-3807</t>
  </si>
  <si>
    <t>MER-A0-3808</t>
  </si>
  <si>
    <t>MER-A0-3809</t>
  </si>
  <si>
    <t>MER-A0-3810</t>
  </si>
  <si>
    <t>MER-A0-3811</t>
  </si>
  <si>
    <t>MER-A0-3812</t>
  </si>
  <si>
    <t>MER-A0-3813</t>
  </si>
  <si>
    <t>MER-A0-3814</t>
  </si>
  <si>
    <t>MER-A0-3815</t>
  </si>
  <si>
    <t>MER-A0-3816</t>
  </si>
  <si>
    <t>MER-A0-3817</t>
  </si>
  <si>
    <t>MER-A0-3818</t>
  </si>
  <si>
    <t>MER-A0-3819</t>
  </si>
  <si>
    <t>MER-A0-3820</t>
  </si>
  <si>
    <t>MER-A0-3821</t>
  </si>
  <si>
    <t>MER-A0-3822</t>
  </si>
  <si>
    <t>MER-A0-3823</t>
  </si>
  <si>
    <t>MER-A0-3824</t>
  </si>
  <si>
    <t>MER-A0-3825</t>
  </si>
  <si>
    <t>MER-A0-3826</t>
  </si>
  <si>
    <t>MER-A0-3827</t>
  </si>
  <si>
    <t>MER-A0-3828</t>
  </si>
  <si>
    <t>MER-A0-3829</t>
  </si>
  <si>
    <t>MER-A0-3830</t>
  </si>
  <si>
    <t>MER-A0-3831</t>
  </si>
  <si>
    <t>MER-A0-3832</t>
  </si>
  <si>
    <t>MER-A0-3833</t>
  </si>
  <si>
    <t>MER-A0-3834</t>
  </si>
  <si>
    <t>MER-A0-3835</t>
  </si>
  <si>
    <t>MER-A0-3836</t>
  </si>
  <si>
    <t>MER-A0-3837</t>
  </si>
  <si>
    <t>MER-A0-3838</t>
  </si>
  <si>
    <t>MER-A0-3839</t>
  </si>
  <si>
    <t>MER-A0-3840</t>
  </si>
  <si>
    <t>MER-A0-3841</t>
  </si>
  <si>
    <t>MER-A0-3842</t>
  </si>
  <si>
    <t>MER-A0-3843</t>
  </si>
  <si>
    <t>MER-A0-3844</t>
  </si>
  <si>
    <t>MER-A0-3845</t>
  </si>
  <si>
    <t>MER-A0-3846</t>
  </si>
  <si>
    <t>MER-A0-3847</t>
  </si>
  <si>
    <t>MER-A0-3848</t>
  </si>
  <si>
    <t>MER-A0-3849</t>
  </si>
  <si>
    <t>MER-A0-3850</t>
  </si>
  <si>
    <t>MER-A0-3851</t>
  </si>
  <si>
    <t>MER-A0-3852</t>
  </si>
  <si>
    <t>MER-A0-3853</t>
  </si>
  <si>
    <t>MER-A0-3854</t>
  </si>
  <si>
    <t>MER-A0-3855</t>
  </si>
  <si>
    <t>MER-A0-3856</t>
  </si>
  <si>
    <t>MER-A0-3857</t>
  </si>
  <si>
    <t>MER-A0-3858</t>
  </si>
  <si>
    <t>MER-A0-3859</t>
  </si>
  <si>
    <t>MER-A0-3860</t>
  </si>
  <si>
    <t>MER-A0-3861</t>
  </si>
  <si>
    <t>MER-A0-3862</t>
  </si>
  <si>
    <t>MER-A0-3863</t>
  </si>
  <si>
    <t>MER-A0-3864</t>
  </si>
  <si>
    <t>MER-A0-3865</t>
  </si>
  <si>
    <t>MER-A0-3866</t>
  </si>
  <si>
    <t>MER-A0-3867</t>
  </si>
  <si>
    <t>MER-A0-3868</t>
  </si>
  <si>
    <t>MER-A0-3869</t>
  </si>
  <si>
    <t>MER-A0-3870</t>
  </si>
  <si>
    <t>MER-A0-3871</t>
  </si>
  <si>
    <t>MER-A0-3872</t>
  </si>
  <si>
    <t>MER-A0-3873</t>
  </si>
  <si>
    <t>MER-A0-3874</t>
  </si>
  <si>
    <t>MER-A0-3875</t>
  </si>
  <si>
    <t>MER-A0-3876</t>
  </si>
  <si>
    <t>MER-A0-3877</t>
  </si>
  <si>
    <t>MER-A0-3878</t>
  </si>
  <si>
    <t>MER-A0-3879</t>
  </si>
  <si>
    <t>MER-A0-3880</t>
  </si>
  <si>
    <t>MER-A0-3881</t>
  </si>
  <si>
    <t>MER-A0-3882</t>
  </si>
  <si>
    <t>MER-A0-3883</t>
  </si>
  <si>
    <t>MER-A0-3884</t>
  </si>
  <si>
    <t>MER-A0-3885</t>
  </si>
  <si>
    <t>MER-A0-3886</t>
  </si>
  <si>
    <t>MER-A0-3887</t>
  </si>
  <si>
    <t>MER-A0-3888</t>
  </si>
  <si>
    <t>MER-A0-3889</t>
  </si>
  <si>
    <t>MER-A0-3890</t>
  </si>
  <si>
    <t>MER-A0-3891</t>
  </si>
  <si>
    <t>MER-A0-3892</t>
  </si>
  <si>
    <t>MER-A0-3893</t>
  </si>
  <si>
    <t>MER-A0-3894</t>
  </si>
  <si>
    <t>MER-A0-3895</t>
  </si>
  <si>
    <t>MER-A0-3896</t>
  </si>
  <si>
    <t>MER-A0-3897</t>
  </si>
  <si>
    <t>MER-A0-3898</t>
  </si>
  <si>
    <t>MER-A0-3899</t>
  </si>
  <si>
    <t>MER-A0-3900</t>
  </si>
  <si>
    <t>MER-A0-3901</t>
  </si>
  <si>
    <t>MER-A0-3902</t>
  </si>
  <si>
    <t>MER-A0-3903</t>
  </si>
  <si>
    <t>MER-A0-3904</t>
  </si>
  <si>
    <t>MER-A0-3905</t>
  </si>
  <si>
    <t>MER-A0-3906</t>
  </si>
  <si>
    <t>MER-A0-3907</t>
  </si>
  <si>
    <t>MER-A0-3908</t>
  </si>
  <si>
    <t>MER-A0-3909</t>
  </si>
  <si>
    <t>MER-A0-3910</t>
  </si>
  <si>
    <t>MER-A0-3911</t>
  </si>
  <si>
    <t>MER-A0-3912</t>
  </si>
  <si>
    <t>MER-A0-3913</t>
  </si>
  <si>
    <t>MER-A0-3914</t>
  </si>
  <si>
    <t>MER-A0-3915</t>
  </si>
  <si>
    <t>MER-A0-3916</t>
  </si>
  <si>
    <t>MER-A0-3917</t>
  </si>
  <si>
    <t>MER-A0-3918</t>
  </si>
  <si>
    <t>MER-A0-3919</t>
  </si>
  <si>
    <t>MER-A0-3920</t>
  </si>
  <si>
    <t>MER-A0-3921</t>
  </si>
  <si>
    <t>MER-A0-3922</t>
  </si>
  <si>
    <t>MER-A0-3923</t>
  </si>
  <si>
    <t>MER-A0-3924</t>
  </si>
  <si>
    <t>MER-A0-3925</t>
  </si>
  <si>
    <t>MER-A0-3926</t>
  </si>
  <si>
    <t>MER-A0-3927</t>
  </si>
  <si>
    <t>MER-A0-3928</t>
  </si>
  <si>
    <t>MER-A0-3929</t>
  </si>
  <si>
    <t>MER-A0-3930</t>
  </si>
  <si>
    <t>MER-A0-3931</t>
  </si>
  <si>
    <t>MER-A0-3932</t>
  </si>
  <si>
    <t>MER-A0-3933</t>
  </si>
  <si>
    <t>MER-A0-3934</t>
  </si>
  <si>
    <t>MER-A0-3935</t>
  </si>
  <si>
    <t>MER-A0-3936</t>
  </si>
  <si>
    <t>MER-A0-3937</t>
  </si>
  <si>
    <t>MER-A0-3938</t>
  </si>
  <si>
    <t>MER-A0-3939</t>
  </si>
  <si>
    <t>MER-A0-3940</t>
  </si>
  <si>
    <t>MER-A0-3941</t>
  </si>
  <si>
    <t>MER-A0-3942</t>
  </si>
  <si>
    <t>MER-A0-3943</t>
  </si>
  <si>
    <t>MER-A0-3944</t>
  </si>
  <si>
    <t>MER-A0-3945</t>
  </si>
  <si>
    <t>MER-A0-3946</t>
  </si>
  <si>
    <t>MER-A0-3947</t>
  </si>
  <si>
    <t>MER-A0-3948</t>
  </si>
  <si>
    <t>MER-A0-3949</t>
  </si>
  <si>
    <t>MER-A0-3950</t>
  </si>
  <si>
    <t>MER-A0-3951</t>
  </si>
  <si>
    <t>MER-A0-3952</t>
  </si>
  <si>
    <t>MER-A0-3953</t>
  </si>
  <si>
    <t>MER-A0-3954</t>
  </si>
  <si>
    <t>MER-A0-3955</t>
  </si>
  <si>
    <t>MER-A0-3956</t>
  </si>
  <si>
    <t>MER-A0-3957</t>
  </si>
  <si>
    <t>MER-A0-3958</t>
  </si>
  <si>
    <t>MER-A0-3959</t>
  </si>
  <si>
    <t>MER-A0-3960</t>
  </si>
  <si>
    <t>MER-A0-3961</t>
  </si>
  <si>
    <t>MER-A0-3962</t>
  </si>
  <si>
    <t>MER-A0-3963</t>
  </si>
  <si>
    <t>MER-A0-3964</t>
  </si>
  <si>
    <t>MER-A0-3965</t>
  </si>
  <si>
    <t>MER-A0-3966</t>
  </si>
  <si>
    <t>MER-A0-3967</t>
  </si>
  <si>
    <t>MER-A0-3968</t>
  </si>
  <si>
    <t>MER-A0-3969</t>
  </si>
  <si>
    <t>MER-A0-3970</t>
  </si>
  <si>
    <t>MER-A0-3971</t>
  </si>
  <si>
    <t>MER-A0-3972</t>
  </si>
  <si>
    <t>MER-A0-3973</t>
  </si>
  <si>
    <t>MER-A0-3974</t>
  </si>
  <si>
    <t>MER-A0-3975</t>
  </si>
  <si>
    <t>MER-A0-3976</t>
  </si>
  <si>
    <t>MER-A0-3977</t>
  </si>
  <si>
    <t>MER-A0-3978</t>
  </si>
  <si>
    <t>MER-A0-3979</t>
  </si>
  <si>
    <t>MER-A0-3980</t>
  </si>
  <si>
    <t>MER-A0-3981</t>
  </si>
  <si>
    <t>MER-A0-3982</t>
  </si>
  <si>
    <t>MER-A0-3983</t>
  </si>
  <si>
    <t>MER-A0-3984</t>
  </si>
  <si>
    <t>MER-A0-3985</t>
  </si>
  <si>
    <t>MER-A0-3986</t>
  </si>
  <si>
    <t>MER-A0-3987</t>
  </si>
  <si>
    <t>MER-A0-3988</t>
  </si>
  <si>
    <t>MER-A0-3989</t>
  </si>
  <si>
    <t>MER-A0-3990</t>
  </si>
  <si>
    <t>MER-A0-3991</t>
  </si>
  <si>
    <t>MER-A0-3992</t>
  </si>
  <si>
    <t>MER-A0-3993</t>
  </si>
  <si>
    <t>MER-A0-3994</t>
  </si>
  <si>
    <t>MER-A0-3995</t>
  </si>
  <si>
    <t>MER-A0-3996</t>
  </si>
  <si>
    <t>MER-A0-3997</t>
  </si>
  <si>
    <t>MER-A0-3998</t>
  </si>
  <si>
    <t>MER-A0-3999</t>
  </si>
  <si>
    <t>MER-A0-4000</t>
  </si>
  <si>
    <t>MER-A0-4001</t>
  </si>
  <si>
    <t>MER-A0-4002</t>
  </si>
  <si>
    <t>MER-A0-4003</t>
  </si>
  <si>
    <t>MER-A0-4004</t>
  </si>
  <si>
    <t>MER-A0-4005</t>
  </si>
  <si>
    <t>MER-A0-4006</t>
  </si>
  <si>
    <t>MER-A0-4007</t>
  </si>
  <si>
    <t>MER-A0-4008</t>
  </si>
  <si>
    <t>MER-A0-4009</t>
  </si>
  <si>
    <t>MER-A0-4010</t>
  </si>
  <si>
    <t>MER-A0-4011</t>
  </si>
  <si>
    <t>MER-A0-4012</t>
  </si>
  <si>
    <t>MER-A0-4013</t>
  </si>
  <si>
    <t>MER-A0-4014</t>
  </si>
  <si>
    <t>MER-A0-4015</t>
  </si>
  <si>
    <t>MER-A0-4016</t>
  </si>
  <si>
    <t>MER-A0-4017</t>
  </si>
  <si>
    <t>MER-A0-4018</t>
  </si>
  <si>
    <t>MER-A0-4019</t>
  </si>
  <si>
    <t>MER-A0-4020</t>
  </si>
  <si>
    <t>MER-A0-4021</t>
  </si>
  <si>
    <t>MER-A0-4022</t>
  </si>
  <si>
    <t>MER-A0-4023</t>
  </si>
  <si>
    <t>MER-A0-4024</t>
  </si>
  <si>
    <t>MER-A0-4025</t>
  </si>
  <si>
    <t>MER-A0-4026</t>
  </si>
  <si>
    <t>MER-A0-4027</t>
  </si>
  <si>
    <t>MER-A0-4028</t>
  </si>
  <si>
    <t>MER-A0-4029</t>
  </si>
  <si>
    <t>MER-A0-4030</t>
  </si>
  <si>
    <t>MER-A0-4031</t>
  </si>
  <si>
    <t>MER-A0-4032</t>
  </si>
  <si>
    <t>MER-A0-4033</t>
  </si>
  <si>
    <t>MER-A0-4034</t>
  </si>
  <si>
    <t>MER-A0-4035</t>
  </si>
  <si>
    <t>MER-A0-4036</t>
  </si>
  <si>
    <t>MER-A0-4037</t>
  </si>
  <si>
    <t>MER-A0-4038</t>
  </si>
  <si>
    <t>MER-A0-4039</t>
  </si>
  <si>
    <t>MER-A0-4040</t>
  </si>
  <si>
    <t>MER-A0-4041</t>
  </si>
  <si>
    <t>MER-A0-4042</t>
  </si>
  <si>
    <t>MER-A0-4043</t>
  </si>
  <si>
    <t>MER-A0-4044</t>
  </si>
  <si>
    <t>MER-A0-4045</t>
  </si>
  <si>
    <t>MER-A0-4046</t>
  </si>
  <si>
    <t>MER-A0-4047</t>
  </si>
  <si>
    <t>MER-A0-4048</t>
  </si>
  <si>
    <t>MER-A0-4049</t>
  </si>
  <si>
    <t>MER-A0-4050</t>
  </si>
  <si>
    <t>MER-A0-4051</t>
  </si>
  <si>
    <t>MER-A0-4052</t>
  </si>
  <si>
    <t>MER-A0-4053</t>
  </si>
  <si>
    <t>MER-A0-4054</t>
  </si>
  <si>
    <t>MER-A0-4055</t>
  </si>
  <si>
    <t>MER-A0-4056</t>
  </si>
  <si>
    <t>MER-A0-4057</t>
  </si>
  <si>
    <t>MER-A0-4058</t>
  </si>
  <si>
    <t>MER-A0-4059</t>
  </si>
  <si>
    <t>MER-A0-4060</t>
  </si>
  <si>
    <t>MER-A0-4061</t>
  </si>
  <si>
    <t>MER-A0-4062</t>
  </si>
  <si>
    <t>MER-A0-4063</t>
  </si>
  <si>
    <t>MER-A0-4064</t>
  </si>
  <si>
    <t>MER-A0-4065</t>
  </si>
  <si>
    <t>MER-A0-4066</t>
  </si>
  <si>
    <t>MER-A0-4067</t>
  </si>
  <si>
    <t>MER-A0-4068</t>
  </si>
  <si>
    <t>MER-A0-4069</t>
  </si>
  <si>
    <t>MER-A0-4070</t>
  </si>
  <si>
    <t>MER-A0-4071</t>
  </si>
  <si>
    <t>MER-A0-4072</t>
  </si>
  <si>
    <t>MER-A0-4073</t>
  </si>
  <si>
    <t>MER-A0-4074</t>
  </si>
  <si>
    <t>MER-A0-4075</t>
  </si>
  <si>
    <t>MER-A0-4076</t>
  </si>
  <si>
    <t>MER-A0-4077</t>
  </si>
  <si>
    <t>MER-A0-4078</t>
  </si>
  <si>
    <t>MER-A0-4079</t>
  </si>
  <si>
    <t>MER-A0-4080</t>
  </si>
  <si>
    <t>MER-A0-4081</t>
  </si>
  <si>
    <t>MER-A0-4082</t>
  </si>
  <si>
    <t>MER-A0-4083</t>
  </si>
  <si>
    <t>MER-A0-4084</t>
  </si>
  <si>
    <t>MER-A0-4085</t>
  </si>
  <si>
    <t>MER-A0-4086</t>
  </si>
  <si>
    <t>MER-A0-4087</t>
  </si>
  <si>
    <t>MER-A0-4088</t>
  </si>
  <si>
    <t>MER-A0-4089</t>
  </si>
  <si>
    <t>MER-A0-4090</t>
  </si>
  <si>
    <t>MER-A0-4091</t>
  </si>
  <si>
    <t>MER-A0-4092</t>
  </si>
  <si>
    <t>MER-A0-4093</t>
  </si>
  <si>
    <t>MER-A0-4094</t>
  </si>
  <si>
    <t>MER-A0-4095</t>
  </si>
  <si>
    <t>MER-A0-4096</t>
  </si>
  <si>
    <t>MER-A0-4097</t>
  </si>
  <si>
    <t>MER-A0-4098</t>
  </si>
  <si>
    <t>MER-A0-4099</t>
  </si>
  <si>
    <t>MER-A0-4100</t>
  </si>
  <si>
    <t>MER-A0-4101</t>
  </si>
  <si>
    <t>MER-A0-4102</t>
  </si>
  <si>
    <t>MER-A0-4103</t>
  </si>
  <si>
    <t>MER-A0-4104</t>
  </si>
  <si>
    <t>MER-A0-4105</t>
  </si>
  <si>
    <t>MER-A0-4106</t>
  </si>
  <si>
    <t>MER-A0-4107</t>
  </si>
  <si>
    <t>MER-A0-4108</t>
  </si>
  <si>
    <t>MER-A0-4109</t>
  </si>
  <si>
    <t>MER-A0-4110</t>
  </si>
  <si>
    <t>MER-A0-4111</t>
  </si>
  <si>
    <t>MER-A0-4112</t>
  </si>
  <si>
    <t>MER-A0-4113</t>
  </si>
  <si>
    <t>MER-A0-4114</t>
  </si>
  <si>
    <t>MER-A0-4115</t>
  </si>
  <si>
    <t>MER-A0-4116</t>
  </si>
  <si>
    <t>MER-A0-4117</t>
  </si>
  <si>
    <t>MER-A0-4118</t>
  </si>
  <si>
    <t>MER-A0-4119</t>
  </si>
  <si>
    <t>MER-A0-4120</t>
  </si>
  <si>
    <t>MER-A0-4121</t>
  </si>
  <si>
    <t>MER-A0-4122</t>
  </si>
  <si>
    <t>MER-A0-4123</t>
  </si>
  <si>
    <t>MER-A0-4124</t>
  </si>
  <si>
    <t>MER-A0-4125</t>
  </si>
  <si>
    <t>MER-A0-4126</t>
  </si>
  <si>
    <t>MER-A0-4127</t>
  </si>
  <si>
    <t>MER-A0-4128</t>
  </si>
  <si>
    <t>MER-A0-4129</t>
  </si>
  <si>
    <t>MER-A0-4130</t>
  </si>
  <si>
    <t>MER-A0-4131</t>
  </si>
  <si>
    <t>MER-A0-4132</t>
  </si>
  <si>
    <t>MER-A0-4133</t>
  </si>
  <si>
    <t>MER-A0-4134</t>
  </si>
  <si>
    <t>MER-A0-4135</t>
  </si>
  <si>
    <t>MER-A0-4136</t>
  </si>
  <si>
    <t>MER-A0-4137</t>
  </si>
  <si>
    <t>MER-A0-4138</t>
  </si>
  <si>
    <t>MER-A0-4139</t>
  </si>
  <si>
    <t>MER-A0-4140</t>
  </si>
  <si>
    <t>MER-A0-4141</t>
  </si>
  <si>
    <t>MER-A0-4142</t>
  </si>
  <si>
    <t>MER-A0-4143</t>
  </si>
  <si>
    <t>MER-A0-4144</t>
  </si>
  <si>
    <t>MER-A0-4145</t>
  </si>
  <si>
    <t>MER-A0-4146</t>
  </si>
  <si>
    <t>MER-A0-4147</t>
  </si>
  <si>
    <t>MER-A0-4148</t>
  </si>
  <si>
    <t>MER-A0-4149</t>
  </si>
  <si>
    <t>MER-A0-4150</t>
  </si>
  <si>
    <t>MER-A0-4151</t>
  </si>
  <si>
    <t>MER-A0-4152</t>
  </si>
  <si>
    <t>MER-A0-4153</t>
  </si>
  <si>
    <t>MER-A0-4154</t>
  </si>
  <si>
    <t>MER-A0-4155</t>
  </si>
  <si>
    <t>MER-A0-4156</t>
  </si>
  <si>
    <t>MER-A0-4157</t>
  </si>
  <si>
    <t>MER-A0-4158</t>
  </si>
  <si>
    <t>MER-A0-4159</t>
  </si>
  <si>
    <t>MER-A0-4160</t>
  </si>
  <si>
    <t>MER-A0-4161</t>
  </si>
  <si>
    <t>MER-A0-4162</t>
  </si>
  <si>
    <t>MER-A0-4163</t>
  </si>
  <si>
    <t>MER-A0-4164</t>
  </si>
  <si>
    <t>MER-A0-4165</t>
  </si>
  <si>
    <t>MER-A0-4166</t>
  </si>
  <si>
    <t>MER-A0-4167</t>
  </si>
  <si>
    <t>MER-A0-4168</t>
  </si>
  <si>
    <t>MER-A0-4169</t>
  </si>
  <si>
    <t>MER-A0-4170</t>
  </si>
  <si>
    <t>MER-A0-4171</t>
  </si>
  <si>
    <t>MER-A0-4172</t>
  </si>
  <si>
    <t>MER-A0-4173</t>
  </si>
  <si>
    <t>MER-A0-4174</t>
  </si>
  <si>
    <t>MER-A0-4175</t>
  </si>
  <si>
    <t>MER-A0-4176</t>
  </si>
  <si>
    <t>MER-A0-4177</t>
  </si>
  <si>
    <t>MER-A0-4178</t>
  </si>
  <si>
    <t>MER-A0-4179</t>
  </si>
  <si>
    <t>MER-A0-4180</t>
  </si>
  <si>
    <t>MER-A0-4181</t>
  </si>
  <si>
    <t>MER-A0-4182</t>
  </si>
  <si>
    <t>MER-A0-4183</t>
  </si>
  <si>
    <t>MER-A0-4184</t>
  </si>
  <si>
    <t>MER-A0-4185</t>
  </si>
  <si>
    <t>MER-A0-4186</t>
  </si>
  <si>
    <t>MER-A0-4187</t>
  </si>
  <si>
    <t>MER-A0-4188</t>
  </si>
  <si>
    <t>MER-A0-4189</t>
  </si>
  <si>
    <t>MER-A0-4190</t>
  </si>
  <si>
    <t>MER-A0-4191</t>
  </si>
  <si>
    <t>MER-A0-4192</t>
  </si>
  <si>
    <t>MER-A0-4193</t>
  </si>
  <si>
    <t>MER-A0-4194</t>
  </si>
  <si>
    <t>MER-A0-4195</t>
  </si>
  <si>
    <t>MER-A0-4196</t>
  </si>
  <si>
    <t>MER-A0-4197</t>
  </si>
  <si>
    <t>MER-A0-4198</t>
  </si>
  <si>
    <t>MER-A0-4199</t>
  </si>
  <si>
    <t>MER-A0-4200</t>
  </si>
  <si>
    <t>MER-A0-4201</t>
  </si>
  <si>
    <t>MER-A0-4202</t>
  </si>
  <si>
    <t>MER-A0-4203</t>
  </si>
  <si>
    <t>MER-A0-4204</t>
  </si>
  <si>
    <t>MER-A0-4205</t>
  </si>
  <si>
    <t>MER-A0-4206</t>
  </si>
  <si>
    <t>MER-A0-4207</t>
  </si>
  <si>
    <t>MER-A0-4208</t>
  </si>
  <si>
    <t>MER-A0-4209</t>
  </si>
  <si>
    <t>MER-A0-4210</t>
  </si>
  <si>
    <t>MER-A0-4211</t>
  </si>
  <si>
    <t>MER-A0-4212</t>
  </si>
  <si>
    <t>MER-A0-4213</t>
  </si>
  <si>
    <t>MER-A0-4214</t>
  </si>
  <si>
    <t>MER-A0-4215</t>
  </si>
  <si>
    <t>MER-A0-4216</t>
  </si>
  <si>
    <t>MER-A0-4217</t>
  </si>
  <si>
    <t>MER-A0-4218</t>
  </si>
  <si>
    <t>MER-A0-4219</t>
  </si>
  <si>
    <t>MER-A0-4220</t>
  </si>
  <si>
    <t>MER-A0-4221</t>
  </si>
  <si>
    <t>MER-A0-4222</t>
  </si>
  <si>
    <t>MER-A0-4223</t>
  </si>
  <si>
    <t>MER-A0-4224</t>
  </si>
  <si>
    <t>MER-A0-4225</t>
  </si>
  <si>
    <t>MER-A0-4226</t>
  </si>
  <si>
    <t>MER-A0-4227</t>
  </si>
  <si>
    <t>MER-A0-4228</t>
  </si>
  <si>
    <t>MER-A0-4229</t>
  </si>
  <si>
    <t>MER-A0-4230</t>
  </si>
  <si>
    <t>MER-A0-4231</t>
  </si>
  <si>
    <t>MER-A0-4232</t>
  </si>
  <si>
    <t>MER-A0-4233</t>
  </si>
  <si>
    <t>MER-A0-4234</t>
  </si>
  <si>
    <t>MER-A0-4235</t>
  </si>
  <si>
    <t>MER-A0-4236</t>
  </si>
  <si>
    <t>MER-A0-4237</t>
  </si>
  <si>
    <t>MER-A0-4238</t>
  </si>
  <si>
    <t>MER-A0-4239</t>
  </si>
  <si>
    <t>MER-A0-4240</t>
  </si>
  <si>
    <t>MER-A0-4241</t>
  </si>
  <si>
    <t>MER-A0-4242</t>
  </si>
  <si>
    <t>MER-A0-4243</t>
  </si>
  <si>
    <t>MER-A0-4244</t>
  </si>
  <si>
    <t>MER-A0-4245</t>
  </si>
  <si>
    <t>MER-A0-4246</t>
  </si>
  <si>
    <t>MER-A0-4247</t>
  </si>
  <si>
    <t>MER-A0-4248</t>
  </si>
  <si>
    <t>MER-A0-4249</t>
  </si>
  <si>
    <t>MER-A0-4250</t>
  </si>
  <si>
    <t>MER-A0-4251</t>
  </si>
  <si>
    <t>MER-A0-4252</t>
  </si>
  <si>
    <t>MER-A0-4253</t>
  </si>
  <si>
    <t>MER-A0-4254</t>
  </si>
  <si>
    <t>MER-A0-4255</t>
  </si>
  <si>
    <t>MER-A0-4256</t>
  </si>
  <si>
    <t>MER-A0-4257</t>
  </si>
  <si>
    <t>MER-A0-4258</t>
  </si>
  <si>
    <t>MER-A0-4259</t>
  </si>
  <si>
    <t>MER-A0-4260</t>
  </si>
  <si>
    <t>MER-A0-4261</t>
  </si>
  <si>
    <t>MER-A0-4262</t>
  </si>
  <si>
    <t>MER-A0-4263</t>
  </si>
  <si>
    <t>MER-A0-4264</t>
  </si>
  <si>
    <t>MER-A0-4265</t>
  </si>
  <si>
    <t>MER-A0-4266</t>
  </si>
  <si>
    <t>MER-A0-4267</t>
  </si>
  <si>
    <t>MER-A0-4268</t>
  </si>
  <si>
    <t>MER-A0-4269</t>
  </si>
  <si>
    <t>MER-A0-4270</t>
  </si>
  <si>
    <t>MER-A0-4271</t>
  </si>
  <si>
    <t>MER-A0-4272</t>
  </si>
  <si>
    <t>MER-A0-4273</t>
  </si>
  <si>
    <t>MER-A0-4274</t>
  </si>
  <si>
    <t>MER-A0-4275</t>
  </si>
  <si>
    <t>MER-A0-4276</t>
  </si>
  <si>
    <t>MER-A0-4277</t>
  </si>
  <si>
    <t>MER-A0-4278</t>
  </si>
  <si>
    <t>MER-A0-4279</t>
  </si>
  <si>
    <t>MER-A0-4280</t>
  </si>
  <si>
    <t>MER-A0-4281</t>
  </si>
  <si>
    <t>MER-A0-4282</t>
  </si>
  <si>
    <t>MER-A0-4283</t>
  </si>
  <si>
    <t>MER-A0-4284</t>
  </si>
  <si>
    <t>MER-A0-4285</t>
  </si>
  <si>
    <t>MER-A0-4286</t>
  </si>
  <si>
    <t>MER-A0-4287</t>
  </si>
  <si>
    <t>MER-A0-4288</t>
  </si>
  <si>
    <t>MER-A0-4289</t>
  </si>
  <si>
    <t>MER-A0-4290</t>
  </si>
  <si>
    <t>MER-A0-4291</t>
  </si>
  <si>
    <t>MER-A0-4292</t>
  </si>
  <si>
    <t>MER-A0-4293</t>
  </si>
  <si>
    <t>MER-A0-4294</t>
  </si>
  <si>
    <t>MER-A0-4295</t>
  </si>
  <si>
    <t>MER-A0-4296</t>
  </si>
  <si>
    <t>MER-A0-4297</t>
  </si>
  <si>
    <t>MER-A0-4298</t>
  </si>
  <si>
    <t>MER-A0-4299</t>
  </si>
  <si>
    <t>MER-A0-4300</t>
  </si>
  <si>
    <t>MER-A0-4301</t>
  </si>
  <si>
    <t>MER-A0-4302</t>
  </si>
  <si>
    <t>MER-A0-4303</t>
  </si>
  <si>
    <t>MER-A0-4304</t>
  </si>
  <si>
    <t>MER-A0-4305</t>
  </si>
  <si>
    <t>MER-A0-4306</t>
  </si>
  <si>
    <t>MER-A0-4307</t>
  </si>
  <si>
    <t>MER-A0-4308</t>
  </si>
  <si>
    <t>MER-A0-4309</t>
  </si>
  <si>
    <t>MER-A0-4310</t>
  </si>
  <si>
    <t>MER-A0-4311</t>
  </si>
  <si>
    <t>MER-A0-4312</t>
  </si>
  <si>
    <t>MER-A0-4313</t>
  </si>
  <si>
    <t>MER-A0-4314</t>
  </si>
  <si>
    <t>MER-A0-4315</t>
  </si>
  <si>
    <t>MER-A0-4316</t>
  </si>
  <si>
    <t>MER-A0-4317</t>
  </si>
  <si>
    <t>MER-A0-4318</t>
  </si>
  <si>
    <t>MER-A0-4319</t>
  </si>
  <si>
    <t>MER-A0-4320</t>
  </si>
  <si>
    <t>MER-A0-4321</t>
  </si>
  <si>
    <t>MER-A0-4322</t>
  </si>
  <si>
    <t>MER-A0-4323</t>
  </si>
  <si>
    <t>MER-A0-4324</t>
  </si>
  <si>
    <t>MER-A0-4325</t>
  </si>
  <si>
    <t>MER-A0-4326</t>
  </si>
  <si>
    <t>MER-A0-4327</t>
  </si>
  <si>
    <t>MER-A0-4328</t>
  </si>
  <si>
    <t>MER-A0-4329</t>
  </si>
  <si>
    <t>MER-A0-4330</t>
  </si>
  <si>
    <t>MER-A0-4331</t>
  </si>
  <si>
    <t>MER-A0-4332</t>
  </si>
  <si>
    <t>MER-A0-4333</t>
  </si>
  <si>
    <t>MER-A0-4334</t>
  </si>
  <si>
    <t>MER-A0-4335</t>
  </si>
  <si>
    <t>MER-A0-4336</t>
  </si>
  <si>
    <t>MER-A0-4337</t>
  </si>
  <si>
    <t>MER-A0-4338</t>
  </si>
  <si>
    <t>MER-A0-4339</t>
  </si>
  <si>
    <t>MER-A0-4340</t>
  </si>
  <si>
    <t>MER-A0-4341</t>
  </si>
  <si>
    <t>MER-A0-4342</t>
  </si>
  <si>
    <t>MER-A0-4343</t>
  </si>
  <si>
    <t>MER-A0-4344</t>
  </si>
  <si>
    <t>MER-A0-4345</t>
  </si>
  <si>
    <t>MER-A0-4346</t>
  </si>
  <si>
    <t>MER-A0-4347</t>
  </si>
  <si>
    <t>MER-A0-4348</t>
  </si>
  <si>
    <t>MER-A0-4349</t>
  </si>
  <si>
    <t>MER-A0-4350</t>
  </si>
  <si>
    <t>MER-A0-4351</t>
  </si>
  <si>
    <t>MER-A0-4352</t>
  </si>
  <si>
    <t>MER-A0-4353</t>
  </si>
  <si>
    <t>MER-A0-4354</t>
  </si>
  <si>
    <t>MER-A0-4355</t>
  </si>
  <si>
    <t>MER-A0-4356</t>
  </si>
  <si>
    <t>MER-A0-4357</t>
  </si>
  <si>
    <t>MER-A0-4358</t>
  </si>
  <si>
    <t>MER-A0-4359</t>
  </si>
  <si>
    <t>MER-A0-4360</t>
  </si>
  <si>
    <t>MER-A0-4361</t>
  </si>
  <si>
    <t>MER-A0-4362</t>
  </si>
  <si>
    <t>MER-A0-4363</t>
  </si>
  <si>
    <t>MER-A0-4364</t>
  </si>
  <si>
    <t>MER-A0-4365</t>
  </si>
  <si>
    <t>MER-A0-4366</t>
  </si>
  <si>
    <t>MER-A0-4367</t>
  </si>
  <si>
    <t>MER-A0-4368</t>
  </si>
  <si>
    <t>MER-A0-4369</t>
  </si>
  <si>
    <t>MER-A0-4370</t>
  </si>
  <si>
    <t>MER-A0-4371</t>
  </si>
  <si>
    <t>MER-A0-4372</t>
  </si>
  <si>
    <t>MER-A0-4373</t>
  </si>
  <si>
    <t>MER-A0-4374</t>
  </si>
  <si>
    <t>MER-A0-4375</t>
  </si>
  <si>
    <t>MER-A0-4376</t>
  </si>
  <si>
    <t>MER-A0-4377</t>
  </si>
  <si>
    <t>MER-A0-4378</t>
  </si>
  <si>
    <t>MER-A0-4379</t>
  </si>
  <si>
    <t>MER-A0-4380</t>
  </si>
  <si>
    <t>MER-A0-4381</t>
  </si>
  <si>
    <t>MER-A0-4382</t>
  </si>
  <si>
    <t>MER-A0-4383</t>
  </si>
  <si>
    <t>MER-A0-4384</t>
  </si>
  <si>
    <t>MER-A0-4385</t>
  </si>
  <si>
    <t>MER-A0-4386</t>
  </si>
  <si>
    <t>MER-A0-4387</t>
  </si>
  <si>
    <t>MER-A0-4388</t>
  </si>
  <si>
    <t>MER-A0-4389</t>
  </si>
  <si>
    <t>MER-A0-4390</t>
  </si>
  <si>
    <t>MER-A0-4391</t>
  </si>
  <si>
    <t>MER-A0-4392</t>
  </si>
  <si>
    <t>MER-A0-4393</t>
  </si>
  <si>
    <t>MER-A0-4394</t>
  </si>
  <si>
    <t>MER-A0-4395</t>
  </si>
  <si>
    <t>MER-A0-4396</t>
  </si>
  <si>
    <t>MER-A0-4397</t>
  </si>
  <si>
    <t>MER-A0-4398</t>
  </si>
  <si>
    <t>MER-A0-4399</t>
  </si>
  <si>
    <t>MER-A0-4400</t>
  </si>
  <si>
    <t>MER-A0-4401</t>
  </si>
  <si>
    <t>MER-A0-4402</t>
  </si>
  <si>
    <t>MER-A0-4403</t>
  </si>
  <si>
    <t>MER-A0-4404</t>
  </si>
  <si>
    <t>MER-A0-4405</t>
  </si>
  <si>
    <t>MER-A0-4406</t>
  </si>
  <si>
    <t>MER-A0-4407</t>
  </si>
  <si>
    <t>MER-A0-4408</t>
  </si>
  <si>
    <t>MER-A0-4409</t>
  </si>
  <si>
    <t>MER-A0-4410</t>
  </si>
  <si>
    <t>MER-A0-4411</t>
  </si>
  <si>
    <t>MER-A0-4412</t>
  </si>
  <si>
    <t>MER-A0-4413</t>
  </si>
  <si>
    <t>MER-A0-4414</t>
  </si>
  <si>
    <t>MER-A0-4415</t>
  </si>
  <si>
    <t>MER-A0-4416</t>
  </si>
  <si>
    <t>MER-A0-4417</t>
  </si>
  <si>
    <t>MER-A0-4418</t>
  </si>
  <si>
    <t>MER-A0-4419</t>
  </si>
  <si>
    <t>MER-A0-4420</t>
  </si>
  <si>
    <t>MER-A0-4421</t>
  </si>
  <si>
    <t>MER-A0-4422</t>
  </si>
  <si>
    <t>MER-A0-4423</t>
  </si>
  <si>
    <t>MER-A0-4424</t>
  </si>
  <si>
    <t>MER-A0-4425</t>
  </si>
  <si>
    <t>MER-A0-4426</t>
  </si>
  <si>
    <t>MER-A0-4427</t>
  </si>
  <si>
    <t>MER-A0-4428</t>
  </si>
  <si>
    <t>MER-A0-4429</t>
  </si>
  <si>
    <t>MER-A0-4430</t>
  </si>
  <si>
    <t>MER-A0-4431</t>
  </si>
  <si>
    <t>MER-A0-4432</t>
  </si>
  <si>
    <t>MER-A0-4433</t>
  </si>
  <si>
    <t>MER-A0-4434</t>
  </si>
  <si>
    <t>MER-A0-4435</t>
  </si>
  <si>
    <t>MER-A0-4436</t>
  </si>
  <si>
    <t>MER-A0-4437</t>
  </si>
  <si>
    <t>MER-A0-4438</t>
  </si>
  <si>
    <t>MER-A0-4439</t>
  </si>
  <si>
    <t>MER-A0-4440</t>
  </si>
  <si>
    <t>MER-A0-4441</t>
  </si>
  <si>
    <t>MER-A0-4442</t>
  </si>
  <si>
    <t>MER-A0-4443</t>
  </si>
  <si>
    <t>MER-A0-4444</t>
  </si>
  <si>
    <t>MER-A0-4445</t>
  </si>
  <si>
    <t>MER-A0-4446</t>
  </si>
  <si>
    <t>MER-A0-4447</t>
  </si>
  <si>
    <t>MER-A0-4448</t>
  </si>
  <si>
    <t>MER-A0-4449</t>
  </si>
  <si>
    <t>MER-A0-4450</t>
  </si>
  <si>
    <t>MER-A0-4451</t>
  </si>
  <si>
    <t>MER-A0-4452</t>
  </si>
  <si>
    <t>MER-A0-4453</t>
  </si>
  <si>
    <t>MER-A0-4454</t>
  </si>
  <si>
    <t>MER-A0-4455</t>
  </si>
  <si>
    <t>MER-A0-4456</t>
  </si>
  <si>
    <t>MER-A0-4457</t>
  </si>
  <si>
    <t>MER-A0-4458</t>
  </si>
  <si>
    <t>MER-A0-4459</t>
  </si>
  <si>
    <t>MER-A0-4460</t>
  </si>
  <si>
    <t>MER-A0-4461</t>
  </si>
  <si>
    <t>MER-A0-4462</t>
  </si>
  <si>
    <t>MER-A0-4463</t>
  </si>
  <si>
    <t>MER-A0-4464</t>
  </si>
  <si>
    <t>MER-A0-4465</t>
  </si>
  <si>
    <t>MER-A0-4466</t>
  </si>
  <si>
    <t>MER-A0-4467</t>
  </si>
  <si>
    <t>MER-A0-4468</t>
  </si>
  <si>
    <t>MER-A0-4469</t>
  </si>
  <si>
    <t>MER-A0-4470</t>
  </si>
  <si>
    <t>MER-A0-4471</t>
  </si>
  <si>
    <t>MER-A0-4472</t>
  </si>
  <si>
    <t>MER-A0-4473</t>
  </si>
  <si>
    <t>MER-A0-4474</t>
  </si>
  <si>
    <t>MER-A0-4475</t>
  </si>
  <si>
    <t>MER-A0-4476</t>
  </si>
  <si>
    <t>MER-A0-4477</t>
  </si>
  <si>
    <t>MER-A0-4478</t>
  </si>
  <si>
    <t>MER-A0-4479</t>
  </si>
  <si>
    <t>MER-A0-4480</t>
  </si>
  <si>
    <t>MER-A0-4481</t>
  </si>
  <si>
    <t>MER-A0-4482</t>
  </si>
  <si>
    <t>MER-A0-4483</t>
  </si>
  <si>
    <t>MER-A0-4484</t>
  </si>
  <si>
    <t>MER-A0-4485</t>
  </si>
  <si>
    <t>MER-A0-4486</t>
  </si>
  <si>
    <t>MER-A0-4487</t>
  </si>
  <si>
    <t>MER-A0-4488</t>
  </si>
  <si>
    <t>MER-A0-4489</t>
  </si>
  <si>
    <t>MER-A0-4490</t>
  </si>
  <si>
    <t>MER-A0-4491</t>
  </si>
  <si>
    <t>MER-A0-4492</t>
  </si>
  <si>
    <t>MER-A0-4493</t>
  </si>
  <si>
    <t>MER-A0-4494</t>
  </si>
  <si>
    <t>MER-A0-4495</t>
  </si>
  <si>
    <t>MER-A0-4496</t>
  </si>
  <si>
    <t>MER-A0-4497</t>
  </si>
  <si>
    <t>MER-A0-4498</t>
  </si>
  <si>
    <t>MER-A0-4499</t>
  </si>
  <si>
    <t>MER-A0-4500</t>
  </si>
  <si>
    <t>MER-A0-4501</t>
  </si>
  <si>
    <t>MER-A0-4502</t>
  </si>
  <si>
    <t>MER-A0-4503</t>
  </si>
  <si>
    <t>MER-A0-4504</t>
  </si>
  <si>
    <t>MER-A0-4505</t>
  </si>
  <si>
    <t>MER-A0-4506</t>
  </si>
  <si>
    <t>MER-A0-4507</t>
  </si>
  <si>
    <t>MER-A0-4508</t>
  </si>
  <si>
    <t>MER-A0-4509</t>
  </si>
  <si>
    <t>MER-A0-4510</t>
  </si>
  <si>
    <t>MER-A0-4511</t>
  </si>
  <si>
    <t>MER-A0-4512</t>
  </si>
  <si>
    <t>MER-A0-4513</t>
  </si>
  <si>
    <t>MER-A0-4514</t>
  </si>
  <si>
    <t>MER-A0-4515</t>
  </si>
  <si>
    <t>MER-A0-4516</t>
  </si>
  <si>
    <t>MER-A0-4517</t>
  </si>
  <si>
    <t>MER-A0-4518</t>
  </si>
  <si>
    <t>MER-A0-4519</t>
  </si>
  <si>
    <t>MER-A0-4520</t>
  </si>
  <si>
    <t>MER-A0-4521</t>
  </si>
  <si>
    <t>MER-A0-4522</t>
  </si>
  <si>
    <t>MER-A0-4523</t>
  </si>
  <si>
    <t>MER-A0-4524</t>
  </si>
  <si>
    <t>MER-A0-4525</t>
  </si>
  <si>
    <t>MER-A0-4526</t>
  </si>
  <si>
    <t>MER-A0-4527</t>
  </si>
  <si>
    <t>MER-A0-4528</t>
  </si>
  <si>
    <t>MER-A0-4529</t>
  </si>
  <si>
    <t>MER-A0-4530</t>
  </si>
  <si>
    <t>MER-A0-4531</t>
  </si>
  <si>
    <t>MER-A0-4532</t>
  </si>
  <si>
    <t>MER-A0-4533</t>
  </si>
  <si>
    <t>MER-A0-4534</t>
  </si>
  <si>
    <t>MER-A0-4535</t>
  </si>
  <si>
    <t>MER-A0-4536</t>
  </si>
  <si>
    <t>MER-A0-4537</t>
  </si>
  <si>
    <t>MER-A0-4538</t>
  </si>
  <si>
    <t>MER-A0-4539</t>
  </si>
  <si>
    <t>MER-A0-4540</t>
  </si>
  <si>
    <t>MER-A0-4541</t>
  </si>
  <si>
    <t>MER-A0-4542</t>
  </si>
  <si>
    <t>MER-A0-4543</t>
  </si>
  <si>
    <t>MER-A0-4544</t>
  </si>
  <si>
    <t>MER-A0-4545</t>
  </si>
  <si>
    <t>MER-A0-4546</t>
  </si>
  <si>
    <t>MER-A0-4547</t>
  </si>
  <si>
    <t>MER-A0-4548</t>
  </si>
  <si>
    <t>MER-A0-4549</t>
  </si>
  <si>
    <t>MER-A0-4550</t>
  </si>
  <si>
    <t>MER-A0-4551</t>
  </si>
  <si>
    <t>MER-A0-4552</t>
  </si>
  <si>
    <t>MER-A0-4553</t>
  </si>
  <si>
    <t>MER-A0-4554</t>
  </si>
  <si>
    <t>MER-A0-4555</t>
  </si>
  <si>
    <t>MER-A0-4556</t>
  </si>
  <si>
    <t>MER-A0-4557</t>
  </si>
  <si>
    <t>MER-A0-4558</t>
  </si>
  <si>
    <t>MER-A0-4559</t>
  </si>
  <si>
    <t>MER-A0-4560</t>
  </si>
  <si>
    <t>MER-A0-4561</t>
  </si>
  <si>
    <t>MER-A0-4562</t>
  </si>
  <si>
    <t>MER-A0-4563</t>
  </si>
  <si>
    <t>MER-A0-4564</t>
  </si>
  <si>
    <t>MER-A0-4565</t>
  </si>
  <si>
    <t>MER-A0-4566</t>
  </si>
  <si>
    <t>MER-A0-4567</t>
  </si>
  <si>
    <t>MER-A0-4568</t>
  </si>
  <si>
    <t>MER-A0-4569</t>
  </si>
  <si>
    <t>MER-A0-4570</t>
  </si>
  <si>
    <t>MER-A0-4571</t>
  </si>
  <si>
    <t>MER-A0-4572</t>
  </si>
  <si>
    <t>MER-A0-4573</t>
  </si>
  <si>
    <t>MER-A0-4574</t>
  </si>
  <si>
    <t>MER-A0-4575</t>
  </si>
  <si>
    <t>MER-A0-4576</t>
  </si>
  <si>
    <t>MER-A0-4577</t>
  </si>
  <si>
    <t>MER-A0-4578</t>
  </si>
  <si>
    <t>MER-A0-4579</t>
  </si>
  <si>
    <t>MER-A0-4580</t>
  </si>
  <si>
    <t>MER-A0-4581</t>
  </si>
  <si>
    <t>MER-A0-4582</t>
  </si>
  <si>
    <t>MER-A0-4583</t>
  </si>
  <si>
    <t>MER-A0-4584</t>
  </si>
  <si>
    <t>MER-A0-4585</t>
  </si>
  <si>
    <t>MER-A0-4586</t>
  </si>
  <si>
    <t>MER-A0-4587</t>
  </si>
  <si>
    <t>MER-A0-4588</t>
  </si>
  <si>
    <t>MER-A0-4589</t>
  </si>
  <si>
    <t>MER-A0-4590</t>
  </si>
  <si>
    <t>MER-A0-4591</t>
  </si>
  <si>
    <t>MER-A0-4592</t>
  </si>
  <si>
    <t>MER-A0-4593</t>
  </si>
  <si>
    <t>MER-A0-4594</t>
  </si>
  <si>
    <t>MER-A0-4595</t>
  </si>
  <si>
    <t>MER-A0-4596</t>
  </si>
  <si>
    <t>MER-A0-4597</t>
  </si>
  <si>
    <t>MER-A0-4598</t>
  </si>
  <si>
    <t>MER-A0-4599</t>
  </si>
  <si>
    <t>MER-A0-4600</t>
  </si>
  <si>
    <t>MER-A0-4601</t>
  </si>
  <si>
    <t>MER-A0-4602</t>
  </si>
  <si>
    <t>MER-A0-4603</t>
  </si>
  <si>
    <t>MER-A0-4604</t>
  </si>
  <si>
    <t>MER-A0-4605</t>
  </si>
  <si>
    <t>MER-A0-4606</t>
  </si>
  <si>
    <t>MER-A0-4607</t>
  </si>
  <si>
    <t>MER-A0-4608</t>
  </si>
  <si>
    <t>MER-A0-4609</t>
  </si>
  <si>
    <t>MER-A0-4610</t>
  </si>
  <si>
    <t>MER-A0-4611</t>
  </si>
  <si>
    <t>MER-A0-4612</t>
  </si>
  <si>
    <t>MER-A0-4613</t>
  </si>
  <si>
    <t>MER-A0-4614</t>
  </si>
  <si>
    <t>MER-A0-4615</t>
  </si>
  <si>
    <t>MER-A0-4616</t>
  </si>
  <si>
    <t>MER-A0-4617</t>
  </si>
  <si>
    <t>MER-A0-4618</t>
  </si>
  <si>
    <t>MER-A0-4619</t>
  </si>
  <si>
    <t>MER-A0-4620</t>
  </si>
  <si>
    <t>MER-A0-4621</t>
  </si>
  <si>
    <t>MER-A0-4622</t>
  </si>
  <si>
    <t>MER-A0-4623</t>
  </si>
  <si>
    <t>MER-A0-4624</t>
  </si>
  <si>
    <t>MER-A0-4625</t>
  </si>
  <si>
    <t>MER-A0-4626</t>
  </si>
  <si>
    <t>MER-A0-4627</t>
  </si>
  <si>
    <t>MER-A0-4628</t>
  </si>
  <si>
    <t>MER-A0-4629</t>
  </si>
  <si>
    <t>MER-A0-4630</t>
  </si>
  <si>
    <t>MER-A0-4631</t>
  </si>
  <si>
    <t>MER-A0-4632</t>
  </si>
  <si>
    <t>MER-A0-4633</t>
  </si>
  <si>
    <t>MER-A0-4634</t>
  </si>
  <si>
    <t>MER-A0-4635</t>
  </si>
  <si>
    <t>MER-A0-4636</t>
  </si>
  <si>
    <t>MER-A0-4637</t>
  </si>
  <si>
    <t>MER-A0-4638</t>
  </si>
  <si>
    <t>MER-A0-4639</t>
  </si>
  <si>
    <t>MER-A0-4640</t>
  </si>
  <si>
    <t>MER-A0-4641</t>
  </si>
  <si>
    <t>MER-A0-4642</t>
  </si>
  <si>
    <t>MER-A0-4643</t>
  </si>
  <si>
    <t>MER-A0-4644</t>
  </si>
  <si>
    <t>MER-A0-4645</t>
  </si>
  <si>
    <t>MER-A0-4646</t>
  </si>
  <si>
    <t>MER-A0-4647</t>
  </si>
  <si>
    <t>MER-A0-4648</t>
  </si>
  <si>
    <t>MER-A0-4649</t>
  </si>
  <si>
    <t>MER-A0-4650</t>
  </si>
  <si>
    <t>MER-A0-4651</t>
  </si>
  <si>
    <t>MER-A0-4652</t>
  </si>
  <si>
    <t>MER-A0-4653</t>
  </si>
  <si>
    <t>MER-A0-4654</t>
  </si>
  <si>
    <t>MER-A0-4655</t>
  </si>
  <si>
    <t>MER-A0-4656</t>
  </si>
  <si>
    <t>MER-A0-4657</t>
  </si>
  <si>
    <t>MER-A0-4658</t>
  </si>
  <si>
    <t>MER-A0-4659</t>
  </si>
  <si>
    <t>MER-A0-4660</t>
  </si>
  <si>
    <t>MER-A0-4661</t>
  </si>
  <si>
    <t>MER-A0-4662</t>
  </si>
  <si>
    <t>MER-A0-4663</t>
  </si>
  <si>
    <t>MER-A0-4664</t>
  </si>
  <si>
    <t>MER-A0-4665</t>
  </si>
  <si>
    <t>MER-A0-4666</t>
  </si>
  <si>
    <t>MER-A0-4667</t>
  </si>
  <si>
    <t>MER-A0-4668</t>
  </si>
  <si>
    <t>MER-A0-4669</t>
  </si>
  <si>
    <t>MER-A0-4670</t>
  </si>
  <si>
    <t>MER-A0-4671</t>
  </si>
  <si>
    <t>MER-A0-4672</t>
  </si>
  <si>
    <t>MER-A0-4673</t>
  </si>
  <si>
    <t>MER-A0-4674</t>
  </si>
  <si>
    <t>MER-A0-4675</t>
  </si>
  <si>
    <t>MER-A0-4676</t>
  </si>
  <si>
    <t>MER-A0-4677</t>
  </si>
  <si>
    <t>MER-A0-4678</t>
  </si>
  <si>
    <t>MER-A0-4679</t>
  </si>
  <si>
    <t>MER-A0-4680</t>
  </si>
  <si>
    <t>MER-A0-4681</t>
  </si>
  <si>
    <t>MER-A0-4682</t>
  </si>
  <si>
    <t>MER-A0-4683</t>
  </si>
  <si>
    <t>MER-A0-4684</t>
  </si>
  <si>
    <t>MER-A0-4685</t>
  </si>
  <si>
    <t>MER-A0-4686</t>
  </si>
  <si>
    <t>MER-A0-4687</t>
  </si>
  <si>
    <t>MER-A0-4688</t>
  </si>
  <si>
    <t>MER-A0-4689</t>
  </si>
  <si>
    <t>MER-A0-4690</t>
  </si>
  <si>
    <t>MER-A0-4691</t>
  </si>
  <si>
    <t>MER-A0-4692</t>
  </si>
  <si>
    <t>MER-A0-4693</t>
  </si>
  <si>
    <t>MER-A0-4694</t>
  </si>
  <si>
    <t>MER-A0-4695</t>
  </si>
  <si>
    <t>MER-A0-4696</t>
  </si>
  <si>
    <t>MER-A0-4697</t>
  </si>
  <si>
    <t>MER-A0-4698</t>
  </si>
  <si>
    <t>MER-A0-4699</t>
  </si>
  <si>
    <t>MER-A0-4700</t>
  </si>
  <si>
    <t>MER-A0-4701</t>
  </si>
  <si>
    <t>MER-A0-4702</t>
  </si>
  <si>
    <t>MER-A0-4703</t>
  </si>
  <si>
    <t>MER-A0-4704</t>
  </si>
  <si>
    <t>MER-A0-4705</t>
  </si>
  <si>
    <t>MER-A0-4706</t>
  </si>
  <si>
    <t>MER-A0-4707</t>
  </si>
  <si>
    <t>MER-A0-4708</t>
  </si>
  <si>
    <t>MER-A0-4709</t>
  </si>
  <si>
    <t>MER-A0-4710</t>
  </si>
  <si>
    <t>MER-A0-4711</t>
  </si>
  <si>
    <t>MER-A0-4712</t>
  </si>
  <si>
    <t>MER-A0-4713</t>
  </si>
  <si>
    <t>MER-A0-4714</t>
  </si>
  <si>
    <t>MER-A0-4715</t>
  </si>
  <si>
    <t>MER-A0-4716</t>
  </si>
  <si>
    <t>MER-A0-4717</t>
  </si>
  <si>
    <t>MER-A0-4718</t>
  </si>
  <si>
    <t>MER-A0-4719</t>
  </si>
  <si>
    <t>MER-A0-4720</t>
  </si>
  <si>
    <t>MER-A0-4721</t>
  </si>
  <si>
    <t>MER-A0-4722</t>
  </si>
  <si>
    <t>MER-A0-4723</t>
  </si>
  <si>
    <t>MER-A0-4724</t>
  </si>
  <si>
    <t>MER-A0-4725</t>
  </si>
  <si>
    <t>MER-A0-4726</t>
  </si>
  <si>
    <t>MER-A0-4727</t>
  </si>
  <si>
    <t>MER-A0-4728</t>
  </si>
  <si>
    <t>MER-A0-4729</t>
  </si>
  <si>
    <t>MER-A0-4730</t>
  </si>
  <si>
    <t>MER-A0-4731</t>
  </si>
  <si>
    <t>MER-A0-4732</t>
  </si>
  <si>
    <t>MER-A0-4733</t>
  </si>
  <si>
    <t>MER-A0-4734</t>
  </si>
  <si>
    <t>MER-A0-4735</t>
  </si>
  <si>
    <t>MER-A0-4736</t>
  </si>
  <si>
    <t>MER-A0-4737</t>
  </si>
  <si>
    <t>MER-A0-4738</t>
  </si>
  <si>
    <t>MER-A0-4739</t>
  </si>
  <si>
    <t>MER-A0-4740</t>
  </si>
  <si>
    <t>MER-A0-4741</t>
  </si>
  <si>
    <t>MER-A0-4742</t>
  </si>
  <si>
    <t>MER-A0-4743</t>
  </si>
  <si>
    <t>MER-A0-4744</t>
  </si>
  <si>
    <t>MER-A0-4745</t>
  </si>
  <si>
    <t>MER-A0-4746</t>
  </si>
  <si>
    <t>MER-A0-4747</t>
  </si>
  <si>
    <t>MER-A0-4748</t>
  </si>
  <si>
    <t>MER-A0-4749</t>
  </si>
  <si>
    <t>MER-A0-4750</t>
  </si>
  <si>
    <t>MER-A0-4751</t>
  </si>
  <si>
    <t>MER-A0-4752</t>
  </si>
  <si>
    <t>MER-A0-4753</t>
  </si>
  <si>
    <t>MER-A0-4754</t>
  </si>
  <si>
    <t>MER-A0-4755</t>
  </si>
  <si>
    <t>MER-A0-4756</t>
  </si>
  <si>
    <t>MER-A0-4757</t>
  </si>
  <si>
    <t>MER-A0-4758</t>
  </si>
  <si>
    <t>MER-A0-4759</t>
  </si>
  <si>
    <t>MER-A0-4760</t>
  </si>
  <si>
    <t>MER-A0-4761</t>
  </si>
  <si>
    <t>MER-A0-4762</t>
  </si>
  <si>
    <t>MER-A0-4763</t>
  </si>
  <si>
    <t>MER-A0-4764</t>
  </si>
  <si>
    <t>MER-A0-4765</t>
  </si>
  <si>
    <t>MER-A0-4766</t>
  </si>
  <si>
    <t>MER-A0-4767</t>
  </si>
  <si>
    <t>MER-A0-4768</t>
  </si>
  <si>
    <t>MER-A0-4769</t>
  </si>
  <si>
    <t>MER-A0-4770</t>
  </si>
  <si>
    <t>MER-A0-4771</t>
  </si>
  <si>
    <t>MER-A0-4772</t>
  </si>
  <si>
    <t>MER-A0-4773</t>
  </si>
  <si>
    <t>MER-A0-4774</t>
  </si>
  <si>
    <t>MER-A0-4775</t>
  </si>
  <si>
    <t>MER-A0-4776</t>
  </si>
  <si>
    <t>MER-A0-4777</t>
  </si>
  <si>
    <t>MER-A0-4778</t>
  </si>
  <si>
    <t>MER-A0-4779</t>
  </si>
  <si>
    <t>MER-A0-4780</t>
  </si>
  <si>
    <t>MER-A0-4781</t>
  </si>
  <si>
    <t>MER-A0-4782</t>
  </si>
  <si>
    <t>MER-A0-4783</t>
  </si>
  <si>
    <t>MER-A0-4784</t>
  </si>
  <si>
    <t>MER-A0-4785</t>
  </si>
  <si>
    <t>MER-A0-4786</t>
  </si>
  <si>
    <t>MER-A0-4787</t>
  </si>
  <si>
    <t>MER-A0-4788</t>
  </si>
  <si>
    <t>MER-A0-4789</t>
  </si>
  <si>
    <t>MER-A0-4790</t>
  </si>
  <si>
    <t>MER-A0-4791</t>
  </si>
  <si>
    <t>MER-A0-4792</t>
  </si>
  <si>
    <t>MER-A0-4793</t>
  </si>
  <si>
    <t>MER-A0-4794</t>
  </si>
  <si>
    <t>MER-A0-4795</t>
  </si>
  <si>
    <t>MER-A0-4796</t>
  </si>
  <si>
    <t>MER-A0-4797</t>
  </si>
  <si>
    <t>MER-A0-4798</t>
  </si>
  <si>
    <t>MER-A0-4799</t>
  </si>
  <si>
    <t>MER-A0-4800</t>
  </si>
  <si>
    <t>MER-A0-4801</t>
  </si>
  <si>
    <t>MER-A0-4802</t>
  </si>
  <si>
    <t>MER-A0-4803</t>
  </si>
  <si>
    <t>MER-A0-4804</t>
  </si>
  <si>
    <t>MER-A0-4805</t>
  </si>
  <si>
    <t>MER-A0-4806</t>
  </si>
  <si>
    <t>MER-A0-4807</t>
  </si>
  <si>
    <t>MER-A0-4808</t>
  </si>
  <si>
    <t>MER-A0-4809</t>
  </si>
  <si>
    <t>MER-A0-4810</t>
  </si>
  <si>
    <t>MER-A0-4811</t>
  </si>
  <si>
    <t>MER-A0-4812</t>
  </si>
  <si>
    <t>MER-A0-4813</t>
  </si>
  <si>
    <t>MER-A0-4814</t>
  </si>
  <si>
    <t>MER-A0-4815</t>
  </si>
  <si>
    <t>MER-A0-4816</t>
  </si>
  <si>
    <t>MER-A0-4817</t>
  </si>
  <si>
    <t>MER-A0-4818</t>
  </si>
  <si>
    <t>MER-A0-4819</t>
  </si>
  <si>
    <t>MER-A0-4820</t>
  </si>
  <si>
    <t>MER-A0-4821</t>
  </si>
  <si>
    <t>MER-A0-4822</t>
  </si>
  <si>
    <t>MER-A0-4823</t>
  </si>
  <si>
    <t>MER-A0-4824</t>
  </si>
  <si>
    <t>MER-A0-4825</t>
  </si>
  <si>
    <t>MER-A0-4826</t>
  </si>
  <si>
    <t>MER-A0-4827</t>
  </si>
  <si>
    <t>MER-A0-4828</t>
  </si>
  <si>
    <t>MER-A0-4829</t>
  </si>
  <si>
    <t>MER-A0-4830</t>
  </si>
  <si>
    <t>MER-A0-4831</t>
  </si>
  <si>
    <t>MER-A0-4832</t>
  </si>
  <si>
    <t>MER-A0-4833</t>
  </si>
  <si>
    <t>MER-A0-4834</t>
  </si>
  <si>
    <t>MER-A0-4835</t>
  </si>
  <si>
    <t>MER-A0-4836</t>
  </si>
  <si>
    <t>MER-A0-4837</t>
  </si>
  <si>
    <t>MER-A0-4838</t>
  </si>
  <si>
    <t>MER-A0-4839</t>
  </si>
  <si>
    <t>MER-A0-4840</t>
  </si>
  <si>
    <t>MER-A0-4841</t>
  </si>
  <si>
    <t>MER-A0-4842</t>
  </si>
  <si>
    <t>MER-A0-4843</t>
  </si>
  <si>
    <t>MER-A0-4844</t>
  </si>
  <si>
    <t>MER-A0-4845</t>
  </si>
  <si>
    <t>MER-A0-4846</t>
  </si>
  <si>
    <t>MER-A0-4847</t>
  </si>
  <si>
    <t>MER-A0-4848</t>
  </si>
  <si>
    <t>MER-A0-4849</t>
  </si>
  <si>
    <t>MER-A0-4850</t>
  </si>
  <si>
    <t>MER-A0-4851</t>
  </si>
  <si>
    <t>MER-A0-4852</t>
  </si>
  <si>
    <t>MER-A0-4853</t>
  </si>
  <si>
    <t>MER-A0-4854</t>
  </si>
  <si>
    <t>MER-A0-4855</t>
  </si>
  <si>
    <t>MER-A0-4856</t>
  </si>
  <si>
    <t>MER-A0-4857</t>
  </si>
  <si>
    <t>MER-A0-4858</t>
  </si>
  <si>
    <t>MER-A0-4859</t>
  </si>
  <si>
    <t>MER-A0-4860</t>
  </si>
  <si>
    <t>MER-A0-4861</t>
  </si>
  <si>
    <t>MER-A0-4862</t>
  </si>
  <si>
    <t>MER-A0-4863</t>
  </si>
  <si>
    <t>MER-A0-4864</t>
  </si>
  <si>
    <t>MER-A0-4865</t>
  </si>
  <si>
    <t>MER-A0-4866</t>
  </si>
  <si>
    <t>MER-A0-4867</t>
  </si>
  <si>
    <t>MER-A0-4868</t>
  </si>
  <si>
    <t>MER-A0-4869</t>
  </si>
  <si>
    <t>MER-A0-4870</t>
  </si>
  <si>
    <t>MER-A0-4871</t>
  </si>
  <si>
    <t>MER-A0-4872</t>
  </si>
  <si>
    <t>MER-A0-4873</t>
  </si>
  <si>
    <t>MER-A0-4874</t>
  </si>
  <si>
    <t>MER-A0-4875</t>
  </si>
  <si>
    <t>MER-A0-4876</t>
  </si>
  <si>
    <t>MER-A0-4877</t>
  </si>
  <si>
    <t>MER-A0-4878</t>
  </si>
  <si>
    <t>MER-A0-4879</t>
  </si>
  <si>
    <t>MER-A0-4880</t>
  </si>
  <si>
    <t>MER-A0-4881</t>
  </si>
  <si>
    <t>MER-A0-4882</t>
  </si>
  <si>
    <t>MER-A0-4883</t>
  </si>
  <si>
    <t>MER-A0-4884</t>
  </si>
  <si>
    <t>MER-A0-4885</t>
  </si>
  <si>
    <t>MER-A0-4886</t>
  </si>
  <si>
    <t>MER-A0-4887</t>
  </si>
  <si>
    <t>MER-A0-4888</t>
  </si>
  <si>
    <t>MER-A0-4889</t>
  </si>
  <si>
    <t>MER-A0-4890</t>
  </si>
  <si>
    <t>MER-A0-4891</t>
  </si>
  <si>
    <t>MER-A0-4892</t>
  </si>
  <si>
    <t>MER-A0-4893</t>
  </si>
  <si>
    <t>MER-A0-4894</t>
  </si>
  <si>
    <t>MER-A0-4895</t>
  </si>
  <si>
    <t>MER-A0-4896</t>
  </si>
  <si>
    <t>MER-A0-4897</t>
  </si>
  <si>
    <t>MER-A0-4898</t>
  </si>
  <si>
    <t>MER-A0-4899</t>
  </si>
  <si>
    <t>MER-A0-4900</t>
  </si>
  <si>
    <t>MER-A0-4901</t>
  </si>
  <si>
    <t>MER-A0-4902</t>
  </si>
  <si>
    <t>MER-A0-4903</t>
  </si>
  <si>
    <t>MER-A0-4904</t>
  </si>
  <si>
    <t>MER-A0-4905</t>
  </si>
  <si>
    <t>MER-A0-4906</t>
  </si>
  <si>
    <t>MER-A0-4907</t>
  </si>
  <si>
    <t>MER-A0-4908</t>
  </si>
  <si>
    <t>MER-A0-4909</t>
  </si>
  <si>
    <t>MER-A0-4910</t>
  </si>
  <si>
    <t>MER-A0-4911</t>
  </si>
  <si>
    <t>MER-A0-4912</t>
  </si>
  <si>
    <t>MER-A0-4913</t>
  </si>
  <si>
    <t>MER-A0-4914</t>
  </si>
  <si>
    <t>MER-A0-4915</t>
  </si>
  <si>
    <t>MER-A0-4916</t>
  </si>
  <si>
    <t>MER-A0-4917</t>
  </si>
  <si>
    <t>MER-A0-4918</t>
  </si>
  <si>
    <t>MER-A0-4919</t>
  </si>
  <si>
    <t>MER-A0-4920</t>
  </si>
  <si>
    <t>MER-A0-4921</t>
  </si>
  <si>
    <t>MER-A0-4922</t>
  </si>
  <si>
    <t>MER-A0-4923</t>
  </si>
  <si>
    <t>MER-A0-4924</t>
  </si>
  <si>
    <t>MER-A0-4925</t>
  </si>
  <si>
    <t>MER-A0-4926</t>
  </si>
  <si>
    <t>MER-A0-4927</t>
  </si>
  <si>
    <t>MER-A0-4928</t>
  </si>
  <si>
    <t>MER-A0-4929</t>
  </si>
  <si>
    <t>MER-A0-4930</t>
  </si>
  <si>
    <t>MER-A0-4931</t>
  </si>
  <si>
    <t>MER-A0-4932</t>
  </si>
  <si>
    <t>MER-A0-4933</t>
  </si>
  <si>
    <t>MER-A0-4934</t>
  </si>
  <si>
    <t>MER-A0-4935</t>
  </si>
  <si>
    <t>MER-A0-4936</t>
  </si>
  <si>
    <t>MER-A0-4937</t>
  </si>
  <si>
    <t>MER-A0-4938</t>
  </si>
  <si>
    <t>MER-A0-4939</t>
  </si>
  <si>
    <t>MER-A0-4940</t>
  </si>
  <si>
    <t>MER-A0-4941</t>
  </si>
  <si>
    <t>MER-A0-4942</t>
  </si>
  <si>
    <t>MER-A0-4943</t>
  </si>
  <si>
    <t>MER-A0-4944</t>
  </si>
  <si>
    <t>MER-A0-4945</t>
  </si>
  <si>
    <t>MER-A0-4946</t>
  </si>
  <si>
    <t>MER-A0-4947</t>
  </si>
  <si>
    <t>MER-A0-4948</t>
  </si>
  <si>
    <t>MER-A0-4949</t>
  </si>
  <si>
    <t>MER-A0-4950</t>
  </si>
  <si>
    <t>MER-A0-4951</t>
  </si>
  <si>
    <t>MER-A0-4952</t>
  </si>
  <si>
    <t>MER-A0-4953</t>
  </si>
  <si>
    <t>MER-A0-4954</t>
  </si>
  <si>
    <t>MER-A0-4955</t>
  </si>
  <si>
    <t>MER-A0-4956</t>
  </si>
  <si>
    <t>MER-A0-4957</t>
  </si>
  <si>
    <t>MER-A0-4958</t>
  </si>
  <si>
    <t>MER-A0-4959</t>
  </si>
  <si>
    <t>MER-A0-4960</t>
  </si>
  <si>
    <t>MER-A0-4961</t>
  </si>
  <si>
    <t>MER-A0-4962</t>
  </si>
  <si>
    <t>MER-A0-4963</t>
  </si>
  <si>
    <t>MER-A0-4964</t>
  </si>
  <si>
    <t>MER-A0-4965</t>
  </si>
  <si>
    <t>MER-A0-4966</t>
  </si>
  <si>
    <t>MER-A0-4967</t>
  </si>
  <si>
    <t>MER-A0-4968</t>
  </si>
  <si>
    <t>MER-A0-4969</t>
  </si>
  <si>
    <t>MER-A0-4970</t>
  </si>
  <si>
    <t>MER-A0-4971</t>
  </si>
  <si>
    <t>MER-A0-4972</t>
  </si>
  <si>
    <t>MER-A0-4973</t>
  </si>
  <si>
    <t>MER-A0-4974</t>
  </si>
  <si>
    <t>MER-A0-4975</t>
  </si>
  <si>
    <t>MER-A0-4976</t>
  </si>
  <si>
    <t>MER-A0-4977</t>
  </si>
  <si>
    <t>MER-A0-4978</t>
  </si>
  <si>
    <t>MER-A0-4979</t>
  </si>
  <si>
    <t>MER-A0-4980</t>
  </si>
  <si>
    <t>MER-A0-4981</t>
  </si>
  <si>
    <t>MER-A0-4982</t>
  </si>
  <si>
    <t>MER-A0-4983</t>
  </si>
  <si>
    <t>MER-A0-4984</t>
  </si>
  <si>
    <t>MER-A0-4985</t>
  </si>
  <si>
    <t>MER-A0-4986</t>
  </si>
  <si>
    <t>MER-A0-4987</t>
  </si>
  <si>
    <t>MER-A0-4988</t>
  </si>
  <si>
    <t>MER-A0-4989</t>
  </si>
  <si>
    <t>MER-A0-4990</t>
  </si>
  <si>
    <t>MER-A0-4991</t>
  </si>
  <si>
    <t>MER-A0-4992</t>
  </si>
  <si>
    <t>MER-A0-4993</t>
  </si>
  <si>
    <t>MER-A0-4994</t>
  </si>
  <si>
    <t>MER-A0-4995</t>
  </si>
  <si>
    <t>MER-A0-4996</t>
  </si>
  <si>
    <t>MER-A0-4997</t>
  </si>
  <si>
    <t>MER-A0-4998</t>
  </si>
  <si>
    <t>MER-A0-4999</t>
  </si>
  <si>
    <t>MER-A0-5000</t>
  </si>
  <si>
    <t>Tarjeta Deprati</t>
  </si>
  <si>
    <t>Efectivo</t>
  </si>
  <si>
    <t>Tarjeta de crédito</t>
  </si>
  <si>
    <t>No</t>
  </si>
  <si>
    <t>Sí</t>
  </si>
  <si>
    <t>AÑO DE COMPRA</t>
  </si>
  <si>
    <t>Género</t>
  </si>
  <si>
    <t>Clientes</t>
  </si>
  <si>
    <t>Edades</t>
  </si>
  <si>
    <t>Adultos jóvenes
18 - 35  años</t>
  </si>
  <si>
    <r>
      <t xml:space="preserve">Recomendación: Usar la función </t>
    </r>
    <r>
      <rPr>
        <b/>
        <sz val="11"/>
        <color theme="1"/>
        <rFont val="Calibri Light"/>
        <family val="2"/>
      </rPr>
      <t>=CONTAR.SI.CONJUNTO()</t>
    </r>
  </si>
  <si>
    <r>
      <t xml:space="preserve">Recomendación: Usar la función </t>
    </r>
    <r>
      <rPr>
        <b/>
        <sz val="11"/>
        <color theme="1"/>
        <rFont val="Calibri Light"/>
        <family val="2"/>
      </rPr>
      <t>=CONTAR.SI()</t>
    </r>
  </si>
  <si>
    <r>
      <t xml:space="preserve">Recomendación: Usar la función </t>
    </r>
    <r>
      <rPr>
        <b/>
        <sz val="11"/>
        <color theme="1"/>
        <rFont val="Calibri Light"/>
        <family val="2"/>
      </rPr>
      <t>=PROMEDIO.SI()</t>
    </r>
  </si>
  <si>
    <t>Total a pagar</t>
  </si>
  <si>
    <t>Adultos mayores
36 años en adelante</t>
  </si>
  <si>
    <t>Tipo de pago</t>
  </si>
  <si>
    <t>CATEGORIA_EDAD</t>
  </si>
  <si>
    <t>Total general</t>
  </si>
  <si>
    <t>Cuenta de COMPRA</t>
  </si>
  <si>
    <t>Promedio de TOTAL A PAGAR</t>
  </si>
  <si>
    <t/>
  </si>
  <si>
    <t>Adultos mayores 36 años en adelante</t>
  </si>
  <si>
    <t>Adultos jóvenes 18 - 35 años</t>
  </si>
  <si>
    <t>Edades.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</si>
</sst>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/>
      <top style="thin">
        <color auto="1"/>
      </top>
      <bottom/>
      <diagonal/>
    </border>
    <border>
      <left/>
      <right style="thin">
        <color theme="7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2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4" fontId="0" fillId="0" borderId="0" xfId="1" applyFont="1"/>
    <xf numFmtId="0" fontId="0" fillId="0" borderId="10" xfId="0" applyBorder="1"/>
    <xf numFmtId="0" fontId="0" fillId="0" borderId="2" xfId="0" applyBorder="1"/>
    <xf numFmtId="14" fontId="0" fillId="0" borderId="2" xfId="0" applyNumberFormat="1" applyBorder="1"/>
    <xf numFmtId="1" fontId="0" fillId="0" borderId="2" xfId="0" applyNumberFormat="1" applyBorder="1"/>
    <xf numFmtId="44" fontId="0" fillId="0" borderId="2" xfId="1" applyFont="1" applyBorder="1"/>
    <xf numFmtId="9" fontId="0" fillId="0" borderId="2" xfId="2" applyFont="1" applyBorder="1"/>
    <xf numFmtId="0" fontId="0" fillId="0" borderId="11" xfId="0" applyBorder="1"/>
    <xf numFmtId="14" fontId="0" fillId="0" borderId="4" xfId="0" applyNumberFormat="1" applyBorder="1"/>
    <xf numFmtId="1" fontId="0" fillId="0" borderId="4" xfId="0" applyNumberFormat="1" applyBorder="1"/>
    <xf numFmtId="44" fontId="0" fillId="0" borderId="4" xfId="1" applyFont="1" applyBorder="1"/>
    <xf numFmtId="9" fontId="0" fillId="0" borderId="4" xfId="2" applyFont="1" applyBorder="1"/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top"/>
    </xf>
    <xf numFmtId="44" fontId="2" fillId="2" borderId="12" xfId="1" applyFont="1" applyFill="1" applyBorder="1" applyAlignment="1">
      <alignment horizontal="center" vertical="top"/>
    </xf>
    <xf numFmtId="2" fontId="2" fillId="2" borderId="12" xfId="0" applyNumberFormat="1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center" vertical="top"/>
    </xf>
    <xf numFmtId="0" fontId="2" fillId="3" borderId="13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2" fillId="3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37"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165" formatCode="0.000000"/>
    </dxf>
    <dxf>
      <numFmt numFmtId="2" formatCode="0.00"/>
    </dxf>
    <dxf>
      <numFmt numFmtId="0" formatCode="General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border diagonalUp="0" diagonalDown="0" outline="0">
        <left/>
        <right/>
        <top style="thin">
          <color theme="7"/>
        </top>
        <bottom/>
      </border>
    </dxf>
    <dxf>
      <border diagonalUp="0" diagonalDown="0" outline="0">
        <left/>
        <right/>
        <top style="thin">
          <color theme="7"/>
        </top>
        <bottom/>
      </border>
    </dxf>
    <dxf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numFmt numFmtId="19" formatCode="d/m/yyyy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7"/>
        </top>
        <bottom/>
        <vertical/>
        <horizontal/>
      </border>
    </dxf>
    <dxf>
      <numFmt numFmtId="19" formatCode="d/m/yyyy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top style="thin">
          <color indexed="64"/>
        </top>
        <bottom style="thin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[ActividadSesión7.2 - Corregido_ArboledaPriscila.xlsx]Hoja1!TablaDinámica3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Métodos</a:t>
            </a:r>
            <a:r>
              <a:rPr lang="en-US" baseline="0"/>
              <a:t> de pago</a:t>
            </a:r>
            <a:endParaRPr lang="en-US"/>
          </a:p>
        </c:rich>
      </c:tx>
      <c:layout>
        <c:manualLayout>
          <c:xMode val="edge"/>
          <c:yMode val="edge"/>
          <c:x val="0.3685842465568092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Hoja1!$B$19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1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Hoja1!$A$20:$A$23</c:f>
              <c:strCache>
                <c:ptCount val="3"/>
                <c:pt idx="0">
                  <c:v>Efectivo</c:v>
                </c:pt>
                <c:pt idx="1">
                  <c:v>Tarjeta de crédito</c:v>
                </c:pt>
                <c:pt idx="2">
                  <c:v>Tarjeta Deprati</c:v>
                </c:pt>
              </c:strCache>
            </c:strRef>
          </c:cat>
          <c:val>
            <c:numRef>
              <c:f>Hoja1!$B$20:$B$23</c:f>
              <c:numCache>
                <c:formatCode>0.00</c:formatCode>
                <c:ptCount val="3"/>
                <c:pt idx="0">
                  <c:v>94.120793916349825</c:v>
                </c:pt>
                <c:pt idx="1">
                  <c:v>82.938656418554544</c:v>
                </c:pt>
                <c:pt idx="2">
                  <c:v>94.799385581649304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A-4960-B7D6-8BFF6D18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[ActividadSesión7.2 - Corregido_ArboledaPriscila.xlsx]Hoja1!TablaDinámica2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Tipos de clientes por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Hoja1!$A$37:$A$39</c:f>
              <c:strCache>
                <c:ptCount val="2"/>
                <c:pt idx="0">
                  <c:v>Adultos jóvenes 18 - 35 años</c:v>
                </c:pt>
                <c:pt idx="1">
                  <c:v>Adultos mayores 36 años en adelante</c:v>
                </c:pt>
              </c:strCache>
            </c:strRef>
          </c:cat>
          <c:val>
            <c:numRef>
              <c:f>Hoja1!$B$37:$B$39</c:f>
              <c:numCache>
                <c:formatCode>General</c:formatCode>
                <c:ptCount val="2"/>
                <c:pt idx="0">
                  <c:v>1856</c:v>
                </c:pt>
                <c:pt idx="1">
                  <c:v>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8-44C4-AC0A-B4CAB229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0136575"/>
        <c:axId val="350137407"/>
      </c:barChart>
      <c:catAx>
        <c:axId val="35013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50137407"/>
        <c:crosses val="autoZero"/>
        <c:auto val="1"/>
        <c:lblAlgn val="ctr"/>
        <c:lblOffset val="100"/>
        <c:noMultiLvlLbl val="0"/>
      </c:catAx>
      <c:valAx>
        <c:axId val="35013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5013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[ActividadSesión7.2 - Corregido_ArboledaPriscila.xlsx]Hoja1!TablaDinámica1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Hoja1!$B$3:$B$4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Hoja1!$A$5:$A$7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Hoja1!$B$5:$B$7</c:f>
              <c:numCache>
                <c:formatCode>General</c:formatCode>
                <c:ptCount val="2"/>
                <c:pt idx="0">
                  <c:v>859</c:v>
                </c:pt>
                <c:pt idx="1">
                  <c:v>2243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4-4580-AC27-E7080D959969}"/>
            </c:ext>
          </c:extLst>
        </c:ser>
        <c:ser>
          <c:idx val="1"/>
          <c:order val="1"/>
          <c:tx>
            <c:strRef>
              <c:f>Hoja1!$C$3:$C$4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Hoja1!$A$5:$A$7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Hoja1!$C$5:$C$7</c:f>
              <c:numCache>
                <c:formatCode>General</c:formatCode>
                <c:ptCount val="2"/>
                <c:pt idx="0">
                  <c:v>511</c:v>
                </c:pt>
                <c:pt idx="1">
                  <c:v>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4-4580-AC27-E7080D959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254399"/>
        <c:axId val="1002229855"/>
      </c:barChart>
      <c:catAx>
        <c:axId val="10022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2229855"/>
        <c:crosses val="autoZero"/>
        <c:auto val="1"/>
        <c:lblAlgn val="ctr"/>
        <c:lblOffset val="100"/>
        <c:noMultiLvlLbl val="0"/>
      </c:catAx>
      <c:valAx>
        <c:axId val="10022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2254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Tipos</a:t>
            </a:r>
            <a:r>
              <a:rPr lang="es-ES" baseline="0"/>
              <a:t> de clientes por género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'Resumen Género'!$A$3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'Resumen Género'!$B$2:$C$2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'Resumen Género'!$B$3:$C$3</c:f>
              <c:numCache>
                <c:formatCode>General</c:formatCode>
                <c:ptCount val="2"/>
                <c:pt idx="0">
                  <c:v>859</c:v>
                </c:pt>
                <c:pt idx="1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3-4375-9551-CA1AF3A7144C}"/>
            </c:ext>
          </c:extLst>
        </c:ser>
        <c:ser>
          <c:idx val="2"/>
          <c:order val="1"/>
          <c:tx>
            <c:strRef>
              <c:f>'Resumen Género'!$A$4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cat>
            <c:numRef>
              <c:f>'Resumen Género'!$B$2:$C$2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'Resumen Género'!$B$4:$C$4</c:f>
              <c:numCache>
                <c:formatCode>General</c:formatCode>
                <c:ptCount val="2"/>
                <c:pt idx="0">
                  <c:v>2243</c:v>
                </c:pt>
                <c:pt idx="1">
                  <c:v>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93-4375-9551-CA1AF3A7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048543"/>
        <c:axId val="559050463"/>
      </c:barChart>
      <c:catAx>
        <c:axId val="55904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9050463"/>
        <c:crosses val="autoZero"/>
        <c:auto val="1"/>
        <c:lblAlgn val="ctr"/>
        <c:lblOffset val="100"/>
        <c:noMultiLvlLbl val="0"/>
      </c:catAx>
      <c:valAx>
        <c:axId val="55905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59048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Tipo de clientes por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EA-4C14-8505-383A11F86529}"/>
              </c:ext>
            </c:extLst>
          </c:dPt>
          <c:dPt>
            <c:idx val="1"/>
            <c:invertIfNegative val="0"/>
            <c:bubble3D val="0"/>
            <c:spPr>
              <a:solidFill>
                <a:srgbClr val="FF66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0EA-4C14-8505-383A11F86529}"/>
              </c:ext>
            </c:extLst>
          </c:dPt>
          <c:cat>
            <c:strRef>
              <c:f>'Resumen Género'!$A$12:$A$13</c:f>
              <c:strCache>
                <c:ptCount val="2"/>
                <c:pt idx="0">
                  <c:v>Adultos jóvenes
18 - 35  años</c:v>
                </c:pt>
                <c:pt idx="1">
                  <c:v>Adultos mayores
36 años en adelante</c:v>
                </c:pt>
              </c:strCache>
            </c:strRef>
          </c:cat>
          <c:val>
            <c:numRef>
              <c:f>'Resumen Género'!$B$12:$B$13</c:f>
              <c:numCache>
                <c:formatCode>General</c:formatCode>
                <c:ptCount val="2"/>
                <c:pt idx="0">
                  <c:v>1856</c:v>
                </c:pt>
                <c:pt idx="1">
                  <c:v>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A-4C14-8505-383A11F86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439391"/>
        <c:axId val="3474446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'Resumen Género'!$A$12:$A$13</c15:sqref>
                        </c15:formulaRef>
                      </c:ext>
                    </c:extLst>
                    <c:strCache>
                      <c:ptCount val="2"/>
                      <c:pt idx="0">
                        <c:v>Adultos jóvenes
18 - 35  años</c:v>
                      </c:pt>
                      <c:pt idx="1">
                        <c:v>Adultos mayores
36 años en adelante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'Resumen Género'!$C$12:$C$13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0EA-4C14-8505-383A11F86529}"/>
                  </c:ext>
                </c:extLst>
              </c15:ser>
            </c15:filteredBarSeries>
          </c:ext>
        </c:extLst>
      </c:barChart>
      <c:catAx>
        <c:axId val="34743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47444671"/>
        <c:crosses val="autoZero"/>
        <c:auto val="1"/>
        <c:lblAlgn val="ctr"/>
        <c:lblOffset val="100"/>
        <c:noMultiLvlLbl val="0"/>
      </c:catAx>
      <c:valAx>
        <c:axId val="34744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34743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Metodos</a:t>
            </a:r>
            <a:r>
              <a:rPr lang="es-ES" baseline="0"/>
              <a:t> de págo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7F-4E7B-A393-4DA77C8F151C}"/>
              </c:ext>
            </c:extLst>
          </c:dPt>
          <c:dPt>
            <c:idx val="1"/>
            <c:bubble3D val="0"/>
            <c:spPr>
              <a:solidFill>
                <a:srgbClr val="FF66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7F-4E7B-A393-4DA77C8F151C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D7F-4E7B-A393-4DA77C8F15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'Resumen Género'!$A$7:$A$9</c:f>
              <c:strCache>
                <c:ptCount val="3"/>
                <c:pt idx="0">
                  <c:v>Efectivo</c:v>
                </c:pt>
                <c:pt idx="1">
                  <c:v>Tarjeta de crédito</c:v>
                </c:pt>
                <c:pt idx="2">
                  <c:v>Tarjeta Deprati</c:v>
                </c:pt>
              </c:strCache>
            </c:strRef>
          </c:cat>
          <c:val>
            <c:numRef>
              <c:f>'Resumen Género'!$B$7:$B$9</c:f>
              <c:numCache>
                <c:formatCode>0.00</c:formatCode>
                <c:ptCount val="3"/>
                <c:pt idx="0">
                  <c:v>94.120793916349825</c:v>
                </c:pt>
                <c:pt idx="1">
                  <c:v>82.938656418554544</c:v>
                </c:pt>
                <c:pt idx="2">
                  <c:v>94.799385581649304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F-4E7B-A393-4DA77C8F151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B4-4419-A88B-740E728F6A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B4-4419-A88B-740E728F6A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B4-4419-A88B-740E728F6A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'Resumen Género'!$A$7:$A$9</c:f>
              <c:strCache>
                <c:ptCount val="3"/>
                <c:pt idx="0">
                  <c:v>Efectivo</c:v>
                </c:pt>
                <c:pt idx="1">
                  <c:v>Tarjeta de crédito</c:v>
                </c:pt>
                <c:pt idx="2">
                  <c:v>Tarjeta Deprati</c:v>
                </c:pt>
              </c:strCache>
            </c:strRef>
          </c:cat>
          <c:val>
            <c:numRef>
              <c:f>'Resumen Género'!$C$7:$C$9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790C-4B80-A066-B52F5C0F9B9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67077</xdr:colOff>
      <xdr:row>15</xdr:row>
      <xdr:rowOff>26829</xdr:rowOff>
    </xdr:from>
    <xdr:to>
      <xdr:col>25</xdr:col>
      <xdr:colOff>33537</xdr:colOff>
      <xdr:row>31</xdr:row>
      <xdr:rowOff>73784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01EBF1-1FB9-417A-B21E-D9CADC415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187815</xdr:colOff>
      <xdr:row>32</xdr:row>
      <xdr:rowOff>154411</xdr:rowOff>
    </xdr:from>
    <xdr:to>
      <xdr:col>25</xdr:col>
      <xdr:colOff>154278</xdr:colOff>
      <xdr:row>53</xdr:row>
      <xdr:rowOff>181109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6FB08E-E4DF-427E-9369-0260120C5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4694</xdr:colOff>
      <xdr:row>0</xdr:row>
      <xdr:rowOff>0</xdr:rowOff>
    </xdr:from>
    <xdr:to>
      <xdr:col>27</xdr:col>
      <xdr:colOff>149581</xdr:colOff>
      <xdr:row>14</xdr:row>
      <xdr:rowOff>113763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7FF1CD-1D4E-4BAD-AB83-71AE970C3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782955</xdr:colOff>
      <xdr:row>0</xdr:row>
      <xdr:rowOff>368617</xdr:rowOff>
    </xdr:from>
    <xdr:to>
      <xdr:col>10</xdr:col>
      <xdr:colOff>754380</xdr:colOff>
      <xdr:row>7</xdr:row>
      <xdr:rowOff>302896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7130CC-4A93-271A-9C3C-A48B22877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10476</xdr:colOff>
      <xdr:row>7</xdr:row>
      <xdr:rowOff>343852</xdr:rowOff>
    </xdr:from>
    <xdr:to>
      <xdr:col>10</xdr:col>
      <xdr:colOff>790574</xdr:colOff>
      <xdr:row>15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928AA5-A090-35D0-3174-29C2A0C0F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60007</xdr:colOff>
      <xdr:row>0</xdr:row>
      <xdr:rowOff>358140</xdr:rowOff>
    </xdr:from>
    <xdr:to>
      <xdr:col>17</xdr:col>
      <xdr:colOff>38100</xdr:colOff>
      <xdr:row>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4A73DF-3735-C9E2-71F8-167CDBB8D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a" refreshedDate="45890.967581249999" createdVersion="7" refreshedVersion="7" minRefreshableVersion="3" recordCount="5000" xr:uid="{1A7228BB-6DC4-4906-BC06-BD4572528B06}">
  <cacheSource type="worksheet">
    <worksheetSource name="Tabla1"/>
  </cacheSource>
  <cacheFields count="17">
    <cacheField name="ID CLIENTE" numFmtId="0">
      <sharedItems/>
    </cacheField>
    <cacheField name="GENERO" numFmtId="0">
      <sharedItems count="2">
        <s v="Femenino"/>
        <s v="Masculino"/>
      </sharedItems>
    </cacheField>
    <cacheField name="EDAD" numFmtId="0">
      <sharedItems containsSemiMixedTypes="0" containsString="0" containsNumber="1" containsInteger="1" minValue="18" maxValue="65"/>
    </cacheField>
    <cacheField name="CATEGORIA_EDAD" numFmtId="0">
      <sharedItems containsBlank="1" count="5">
        <s v="Adultos jóvenes 18 - 35 años"/>
        <s v="Adultos mayores 36 años en adelante"/>
        <m u="1"/>
        <s v="Adultos jóvenes" u="1"/>
        <s v="Adultos mayores" u="1"/>
      </sharedItems>
    </cacheField>
    <cacheField name="COMPRA" numFmtId="0">
      <sharedItems/>
    </cacheField>
    <cacheField name="COLOR" numFmtId="0">
      <sharedItems/>
    </cacheField>
    <cacheField name="MARCA" numFmtId="0">
      <sharedItems/>
    </cacheField>
    <cacheField name="CODIGO DE ROPA" numFmtId="0">
      <sharedItems/>
    </cacheField>
    <cacheField name="FECHA DE COMPRA" numFmtId="14">
      <sharedItems containsSemiMixedTypes="0" containsNonDate="0" containsDate="1" containsString="0" minDate="2024-01-16T00:00:00" maxDate="2025-08-17T00:00:00"/>
    </cacheField>
    <cacheField name="AÑO DE COMPRA" numFmtId="1">
      <sharedItems containsSemiMixedTypes="0" containsString="0" containsNumber="1" containsInteger="1" minValue="2024" maxValue="2025" count="2">
        <n v="2024"/>
        <n v="2025"/>
      </sharedItems>
    </cacheField>
    <cacheField name="PRECIO" numFmtId="44">
      <sharedItems containsSemiMixedTypes="0" containsString="0" containsNumber="1" minValue="10.050000000000001" maxValue="199.98"/>
    </cacheField>
    <cacheField name="DESCUENTO" numFmtId="9">
      <sharedItems containsSemiMixedTypes="0" containsString="0" containsNumber="1" minValue="0" maxValue="0.3"/>
    </cacheField>
    <cacheField name="TOTAL A PAGAR" numFmtId="44">
      <sharedItems containsSemiMixedTypes="0" containsString="0" containsNumber="1" minValue="7.056" maxValue="199.98"/>
    </cacheField>
    <cacheField name="TIPO DE PAGO" numFmtId="0">
      <sharedItems count="3">
        <s v="Efectivo"/>
        <s v="Tarjeta de crédito"/>
        <s v="Tarjeta Deprati"/>
      </sharedItems>
    </cacheField>
    <cacheField name="DIFERIDO" numFmtId="0">
      <sharedItems/>
    </cacheField>
    <cacheField name="FECHA DE CORTE" numFmtId="14">
      <sharedItems containsSemiMixedTypes="0" containsNonDate="0" containsDate="1" containsString="0" minDate="2024-01-01T00:00:00" maxDate="2026-08-12T00:00:00"/>
    </cacheField>
    <cacheField name="MESES DIFERIDO" numFmtId="0">
      <sharedItems containsString="0" containsBlank="1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DEP-A0-0023"/>
    <x v="0"/>
    <n v="28"/>
    <x v="0"/>
    <s v="Pantalón"/>
    <s v="Gris"/>
    <s v="Adidas"/>
    <s v="MER-A0-0023"/>
    <d v="2024-01-21T00:00:00"/>
    <x v="0"/>
    <n v="11.39"/>
    <n v="0.3"/>
    <n v="21.368000000000002"/>
    <x v="0"/>
    <s v="No"/>
    <d v="2024-01-21T00:00:00"/>
    <n v="0"/>
  </r>
  <r>
    <s v="DEP-A0-1736"/>
    <x v="0"/>
    <n v="24"/>
    <x v="0"/>
    <s v="Blusa"/>
    <s v="Verde"/>
    <s v="Zara"/>
    <s v="MER-A0-1736"/>
    <d v="2024-01-21T00:00:00"/>
    <x v="0"/>
    <n v="26.71"/>
    <n v="0.2"/>
    <n v="49.994"/>
    <x v="0"/>
    <s v="No"/>
    <d v="2024-01-21T00:00:00"/>
    <n v="0"/>
  </r>
  <r>
    <s v="DEP-A0-3526"/>
    <x v="1"/>
    <n v="31"/>
    <x v="0"/>
    <s v="Camisa"/>
    <s v="Blanco"/>
    <s v="Mango"/>
    <s v="MER-A0-3526"/>
    <d v="2024-01-22T00:00:00"/>
    <x v="0"/>
    <n v="71.42"/>
    <n v="0.3"/>
    <n v="48.111000000000004"/>
    <x v="0"/>
    <s v="No"/>
    <d v="2024-01-22T00:00:00"/>
    <n v="0"/>
  </r>
  <r>
    <s v="DEP-A0-4042"/>
    <x v="0"/>
    <n v="30"/>
    <x v="0"/>
    <s v="Falda"/>
    <s v="Blanco"/>
    <s v="Mango"/>
    <s v="MER-A0-4042"/>
    <d v="2024-01-23T00:00:00"/>
    <x v="0"/>
    <n v="68.73"/>
    <n v="0.3"/>
    <n v="18.16"/>
    <x v="0"/>
    <s v="No"/>
    <d v="2024-01-23T00:00:00"/>
    <n v="0"/>
  </r>
  <r>
    <s v="DEP-A0-0519"/>
    <x v="0"/>
    <n v="22"/>
    <x v="0"/>
    <s v="Blusa"/>
    <s v="Verde"/>
    <s v="Nike"/>
    <s v="MER-A0-0519"/>
    <d v="2024-01-27T00:00:00"/>
    <x v="0"/>
    <n v="10.65"/>
    <n v="0"/>
    <n v="19.75"/>
    <x v="0"/>
    <s v="No"/>
    <d v="2024-01-27T00:00:00"/>
    <n v="0"/>
  </r>
  <r>
    <s v="DEP-A0-4183"/>
    <x v="1"/>
    <n v="29"/>
    <x v="0"/>
    <s v="Chaqueta"/>
    <s v="Negro"/>
    <s v="Mango"/>
    <s v="MER-A0-4183"/>
    <d v="2024-01-28T00:00:00"/>
    <x v="0"/>
    <n v="22.7"/>
    <n v="0.2"/>
    <n v="128.023"/>
    <x v="0"/>
    <s v="No"/>
    <d v="2024-01-28T00:00:00"/>
    <n v="0"/>
  </r>
  <r>
    <s v="DEP-A0-4126"/>
    <x v="0"/>
    <n v="22"/>
    <x v="0"/>
    <s v="Zapatos"/>
    <s v="Verde"/>
    <s v="Nike"/>
    <s v="MER-A0-4126"/>
    <d v="2024-01-29T00:00:00"/>
    <x v="0"/>
    <n v="110"/>
    <n v="0.1"/>
    <n v="133.38399999999999"/>
    <x v="0"/>
    <s v="No"/>
    <d v="2024-01-29T00:00:00"/>
    <n v="0"/>
  </r>
  <r>
    <s v="DEP-A0-0084"/>
    <x v="0"/>
    <n v="24"/>
    <x v="0"/>
    <s v="Vestido"/>
    <s v="Verde"/>
    <s v="Nike"/>
    <s v="MER-A0-0084"/>
    <d v="2024-01-29T00:00:00"/>
    <x v="0"/>
    <n v="125.71"/>
    <n v="0.1"/>
    <n v="28.96"/>
    <x v="0"/>
    <s v="No"/>
    <d v="2024-01-29T00:00:00"/>
    <n v="0"/>
  </r>
  <r>
    <s v="DEP-A0-1801"/>
    <x v="0"/>
    <n v="20"/>
    <x v="0"/>
    <s v="Zapatos"/>
    <s v="Amarillo"/>
    <s v="Puma"/>
    <s v="MER-A0-1801"/>
    <d v="2024-01-29T00:00:00"/>
    <x v="0"/>
    <n v="144.35"/>
    <n v="0.2"/>
    <n v="24.231999999999999"/>
    <x v="0"/>
    <s v="No"/>
    <d v="2024-01-29T00:00:00"/>
    <n v="0"/>
  </r>
  <r>
    <s v="DEP-A0-3447"/>
    <x v="0"/>
    <n v="32"/>
    <x v="0"/>
    <s v="Camisa"/>
    <s v="Rojo"/>
    <s v="Tommy"/>
    <s v="MER-A0-3447"/>
    <d v="2024-01-31T00:00:00"/>
    <x v="0"/>
    <n v="86.15"/>
    <n v="0.1"/>
    <n v="84.52000000000001"/>
    <x v="0"/>
    <s v="No"/>
    <d v="2024-01-31T00:00:00"/>
    <n v="0"/>
  </r>
  <r>
    <s v="DEP-A0-4440"/>
    <x v="0"/>
    <n v="18"/>
    <x v="0"/>
    <s v="Chaqueta"/>
    <s v="Negro"/>
    <s v="Tommy"/>
    <s v="MER-A0-4440"/>
    <d v="2024-02-03T00:00:00"/>
    <x v="0"/>
    <n v="19.75"/>
    <n v="0"/>
    <n v="87.146999999999991"/>
    <x v="0"/>
    <s v="No"/>
    <d v="2024-02-03T00:00:00"/>
    <n v="0"/>
  </r>
  <r>
    <s v="DEP-A0-0153"/>
    <x v="0"/>
    <n v="34"/>
    <x v="0"/>
    <s v="Falda"/>
    <s v="Rojo"/>
    <s v="Nike"/>
    <s v="MER-A0-0153"/>
    <d v="2024-02-03T00:00:00"/>
    <x v="0"/>
    <n v="62.52"/>
    <n v="0.2"/>
    <n v="37.869999999999997"/>
    <x v="0"/>
    <s v="No"/>
    <d v="2024-02-03T00:00:00"/>
    <n v="0"/>
  </r>
  <r>
    <s v="DEP-A0-4820"/>
    <x v="1"/>
    <n v="18"/>
    <x v="0"/>
    <s v="Chaqueta"/>
    <s v="Gris"/>
    <s v="Zara"/>
    <s v="MER-A0-4820"/>
    <d v="2024-02-03T00:00:00"/>
    <x v="0"/>
    <n v="167.79"/>
    <n v="0.2"/>
    <n v="144.47"/>
    <x v="0"/>
    <s v="No"/>
    <d v="2024-02-03T00:00:00"/>
    <n v="0"/>
  </r>
  <r>
    <s v="DEP-A0-1547"/>
    <x v="1"/>
    <n v="21"/>
    <x v="0"/>
    <s v="Zapatos"/>
    <s v="Gris"/>
    <s v="Levis"/>
    <s v="MER-A0-1547"/>
    <d v="2024-02-08T00:00:00"/>
    <x v="0"/>
    <n v="97.71"/>
    <n v="0.1"/>
    <n v="32.585000000000001"/>
    <x v="0"/>
    <s v="No"/>
    <d v="2024-02-08T00:00:00"/>
    <n v="0"/>
  </r>
  <r>
    <s v="DEP-A0-2742"/>
    <x v="0"/>
    <n v="35"/>
    <x v="0"/>
    <s v="Pantalón"/>
    <s v="Gris"/>
    <s v="Nike"/>
    <s v="MER-A0-2742"/>
    <d v="2024-02-08T00:00:00"/>
    <x v="0"/>
    <n v="182.89"/>
    <n v="0.3"/>
    <n v="15.984"/>
    <x v="0"/>
    <s v="No"/>
    <d v="2024-02-08T00:00:00"/>
    <n v="0"/>
  </r>
  <r>
    <s v="DEP-A0-2624"/>
    <x v="0"/>
    <n v="25"/>
    <x v="0"/>
    <s v="Falda"/>
    <s v="Gris"/>
    <s v="Zara"/>
    <s v="MER-A0-2624"/>
    <d v="2024-02-14T00:00:00"/>
    <x v="0"/>
    <n v="166.73"/>
    <n v="0.2"/>
    <n v="146.82"/>
    <x v="0"/>
    <s v="No"/>
    <d v="2024-02-14T00:00:00"/>
    <n v="0"/>
  </r>
  <r>
    <s v="DEP-A0-0966"/>
    <x v="0"/>
    <n v="24"/>
    <x v="0"/>
    <s v="Vestido"/>
    <s v="Rojo"/>
    <s v="Zara"/>
    <s v="MER-A0-0966"/>
    <d v="2024-02-15T00:00:00"/>
    <x v="0"/>
    <n v="36.200000000000003"/>
    <n v="0.2"/>
    <n v="173.44800000000001"/>
    <x v="0"/>
    <s v="No"/>
    <d v="2024-02-15T00:00:00"/>
    <n v="0"/>
  </r>
  <r>
    <s v="DEP-A0-2461"/>
    <x v="0"/>
    <n v="18"/>
    <x v="0"/>
    <s v="Zapatos"/>
    <s v="Azul"/>
    <s v="Adidas"/>
    <s v="MER-A0-2461"/>
    <d v="2024-02-20T00:00:00"/>
    <x v="0"/>
    <n v="30.29"/>
    <n v="0.2"/>
    <n v="60.011000000000003"/>
    <x v="0"/>
    <s v="No"/>
    <d v="2024-02-20T00:00:00"/>
    <n v="0"/>
  </r>
  <r>
    <s v="DEP-A0-3469"/>
    <x v="0"/>
    <n v="20"/>
    <x v="0"/>
    <s v="Falda"/>
    <s v="Verde"/>
    <s v="Puma"/>
    <s v="MER-A0-3469"/>
    <d v="2024-02-20T00:00:00"/>
    <x v="0"/>
    <n v="105.65"/>
    <n v="0.2"/>
    <n v="157.72999999999999"/>
    <x v="0"/>
    <s v="No"/>
    <d v="2024-02-20T00:00:00"/>
    <n v="0"/>
  </r>
  <r>
    <s v="DEP-A0-3493"/>
    <x v="0"/>
    <n v="26"/>
    <x v="0"/>
    <s v="Blusa"/>
    <s v="Negro"/>
    <s v="Tommy"/>
    <s v="MER-A0-3493"/>
    <d v="2024-02-22T00:00:00"/>
    <x v="0"/>
    <n v="74.150000000000006"/>
    <n v="0"/>
    <n v="45.68"/>
    <x v="0"/>
    <s v="No"/>
    <d v="2024-02-22T00:00:00"/>
    <n v="0"/>
  </r>
  <r>
    <s v="DEP-A0-0929"/>
    <x v="0"/>
    <n v="22"/>
    <x v="0"/>
    <s v="Pantalón"/>
    <s v="Azul"/>
    <s v="Nike"/>
    <s v="MER-A0-0929"/>
    <d v="2024-02-22T00:00:00"/>
    <x v="0"/>
    <n v="96.83"/>
    <n v="0.1"/>
    <n v="105.4"/>
    <x v="0"/>
    <s v="No"/>
    <d v="2024-02-22T00:00:00"/>
    <n v="0"/>
  </r>
  <r>
    <s v="DEP-A0-3515"/>
    <x v="0"/>
    <n v="24"/>
    <x v="0"/>
    <s v="Zapatos"/>
    <s v="Azul"/>
    <s v="Levis"/>
    <s v="MER-A0-3515"/>
    <d v="2024-02-22T00:00:00"/>
    <x v="0"/>
    <n v="190.13"/>
    <n v="0.1"/>
    <n v="89.018999999999991"/>
    <x v="0"/>
    <s v="No"/>
    <d v="2024-02-22T00:00:00"/>
    <n v="0"/>
  </r>
  <r>
    <s v="DEP-A0-3698"/>
    <x v="0"/>
    <n v="24"/>
    <x v="0"/>
    <s v="Blusa"/>
    <s v="Gris"/>
    <s v="Zara"/>
    <s v="MER-A0-3698"/>
    <d v="2024-02-27T00:00:00"/>
    <x v="0"/>
    <n v="37.869999999999997"/>
    <n v="0"/>
    <n v="34.51"/>
    <x v="0"/>
    <s v="No"/>
    <d v="2024-02-27T00:00:00"/>
    <n v="0"/>
  </r>
  <r>
    <s v="DEP-A0-2456"/>
    <x v="0"/>
    <n v="33"/>
    <x v="0"/>
    <s v="Blusa"/>
    <s v="Azul"/>
    <s v="Mango"/>
    <s v="MER-A0-2456"/>
    <d v="2024-02-13T00:00:00"/>
    <x v="0"/>
    <n v="144.47"/>
    <n v="0"/>
    <n v="138.45599999999999"/>
    <x v="0"/>
    <s v="No"/>
    <d v="2024-03-20T00:00:00"/>
    <n v="0"/>
  </r>
  <r>
    <s v="DEP-A0-3450"/>
    <x v="0"/>
    <n v="34"/>
    <x v="0"/>
    <s v="Pantalón"/>
    <s v="Azul"/>
    <s v="Nike"/>
    <s v="MER-A0-3450"/>
    <d v="2024-02-13T00:00:00"/>
    <x v="0"/>
    <n v="106.54"/>
    <n v="0.1"/>
    <n v="7.056"/>
    <x v="0"/>
    <s v="No"/>
    <d v="2024-03-22T00:00:00"/>
    <n v="0"/>
  </r>
  <r>
    <s v="DEP-A0-0441"/>
    <x v="0"/>
    <n v="22"/>
    <x v="0"/>
    <s v="Camisa"/>
    <s v="Blanco"/>
    <s v="Puma"/>
    <s v="MER-A0-0441"/>
    <d v="2024-02-13T00:00:00"/>
    <x v="0"/>
    <n v="128.9"/>
    <n v="0.3"/>
    <n v="56.105000000000004"/>
    <x v="0"/>
    <s v="No"/>
    <d v="2024-03-22T00:00:00"/>
    <n v="0"/>
  </r>
  <r>
    <s v="DEP-A0-0079"/>
    <x v="0"/>
    <n v="21"/>
    <x v="0"/>
    <s v="Blusa"/>
    <s v="Gris"/>
    <s v="Levis"/>
    <s v="MER-A0-0079"/>
    <d v="2024-02-13T00:00:00"/>
    <x v="0"/>
    <n v="177.21"/>
    <n v="0"/>
    <n v="165.46"/>
    <x v="0"/>
    <s v="No"/>
    <d v="2024-03-24T00:00:00"/>
    <n v="0"/>
  </r>
  <r>
    <s v="DEP-A0-1068"/>
    <x v="1"/>
    <n v="30"/>
    <x v="0"/>
    <s v="Chaqueta"/>
    <s v="Verde"/>
    <s v="Mango"/>
    <s v="MER-A0-1068"/>
    <d v="2024-03-01T00:00:00"/>
    <x v="0"/>
    <n v="91.63"/>
    <n v="0.1"/>
    <n v="86.4"/>
    <x v="0"/>
    <s v="No"/>
    <d v="2024-03-01T00:00:00"/>
    <n v="0"/>
  </r>
  <r>
    <s v="DEP-A0-0112"/>
    <x v="1"/>
    <n v="22"/>
    <x v="0"/>
    <s v="Zapatos"/>
    <s v="Verde"/>
    <s v="Levis"/>
    <s v="MER-A0-0112"/>
    <d v="2024-03-03T00:00:00"/>
    <x v="0"/>
    <n v="46.55"/>
    <n v="0.3"/>
    <n v="82.295999999999992"/>
    <x v="0"/>
    <s v="No"/>
    <d v="2024-03-03T00:00:00"/>
    <n v="0"/>
  </r>
  <r>
    <s v="DEP-A0-2097"/>
    <x v="0"/>
    <n v="29"/>
    <x v="0"/>
    <s v="Vestido"/>
    <s v="Rojo"/>
    <s v="Mango"/>
    <s v="MER-A0-2097"/>
    <d v="2024-03-03T00:00:00"/>
    <x v="0"/>
    <n v="66.63"/>
    <n v="0.2"/>
    <n v="88.634000000000015"/>
    <x v="0"/>
    <s v="No"/>
    <d v="2024-03-03T00:00:00"/>
    <n v="0"/>
  </r>
  <r>
    <s v="DEP-A0-1776"/>
    <x v="0"/>
    <n v="26"/>
    <x v="0"/>
    <s v="Chaqueta"/>
    <s v="Negro"/>
    <s v="Tommy"/>
    <s v="MER-A0-1776"/>
    <d v="2024-03-05T00:00:00"/>
    <x v="0"/>
    <n v="19.98"/>
    <n v="0.2"/>
    <n v="31.297000000000001"/>
    <x v="0"/>
    <s v="No"/>
    <d v="2024-03-05T00:00:00"/>
    <n v="0"/>
  </r>
  <r>
    <s v="DEP-A0-3152"/>
    <x v="1"/>
    <n v="29"/>
    <x v="0"/>
    <s v="Chaqueta"/>
    <s v="Rojo"/>
    <s v="Tommy"/>
    <s v="MER-A0-3152"/>
    <d v="2024-03-05T00:00:00"/>
    <x v="0"/>
    <n v="140.78"/>
    <n v="0.3"/>
    <n v="47.7"/>
    <x v="0"/>
    <s v="No"/>
    <d v="2024-03-05T00:00:00"/>
    <n v="0"/>
  </r>
  <r>
    <s v="DEP-A0-4394"/>
    <x v="0"/>
    <n v="25"/>
    <x v="0"/>
    <s v="Blusa"/>
    <s v="Blanco"/>
    <s v="Zara"/>
    <s v="MER-A0-4394"/>
    <d v="2024-03-10T00:00:00"/>
    <x v="0"/>
    <n v="111.82"/>
    <n v="0.2"/>
    <n v="180.76"/>
    <x v="0"/>
    <s v="No"/>
    <d v="2024-03-10T00:00:00"/>
    <n v="0"/>
  </r>
  <r>
    <s v="DEP-A0-1317"/>
    <x v="0"/>
    <n v="18"/>
    <x v="0"/>
    <s v="Vestido"/>
    <s v="Negro"/>
    <s v="Zara"/>
    <s v="MER-A0-1317"/>
    <d v="2024-03-10T00:00:00"/>
    <x v="0"/>
    <n v="153.58000000000001"/>
    <n v="0.2"/>
    <n v="94.635000000000005"/>
    <x v="0"/>
    <s v="No"/>
    <d v="2024-03-10T00:00:00"/>
    <n v="0"/>
  </r>
  <r>
    <s v="DEP-A0-0785"/>
    <x v="0"/>
    <n v="29"/>
    <x v="0"/>
    <s v="Blusa"/>
    <s v="Verde"/>
    <s v="Zara"/>
    <s v="MER-A0-0785"/>
    <d v="2024-03-11T00:00:00"/>
    <x v="0"/>
    <n v="38.58"/>
    <n v="0.1"/>
    <n v="135.24"/>
    <x v="0"/>
    <s v="No"/>
    <d v="2024-03-11T00:00:00"/>
    <n v="0"/>
  </r>
  <r>
    <s v="DEP-A0-3475"/>
    <x v="0"/>
    <n v="21"/>
    <x v="0"/>
    <s v="Zapatos"/>
    <s v="Negro"/>
    <s v="Zara"/>
    <s v="MER-A0-3475"/>
    <d v="2024-03-13T00:00:00"/>
    <x v="0"/>
    <n v="134.19999999999999"/>
    <n v="0.3"/>
    <n v="66.28"/>
    <x v="0"/>
    <s v="No"/>
    <d v="2024-03-13T00:00:00"/>
    <n v="0"/>
  </r>
  <r>
    <s v="DEP-A0-4443"/>
    <x v="1"/>
    <n v="20"/>
    <x v="0"/>
    <s v="Chaqueta"/>
    <s v="Rojo"/>
    <s v="Zara"/>
    <s v="MER-A0-4443"/>
    <d v="2024-03-14T00:00:00"/>
    <x v="0"/>
    <n v="146.82"/>
    <n v="0"/>
    <n v="78.960000000000008"/>
    <x v="0"/>
    <s v="No"/>
    <d v="2024-03-14T00:00:00"/>
    <n v="0"/>
  </r>
  <r>
    <s v="DEP-A0-0232"/>
    <x v="1"/>
    <n v="19"/>
    <x v="0"/>
    <s v="Chaqueta"/>
    <s v="Amarillo"/>
    <s v="Zara"/>
    <s v="MER-A0-0232"/>
    <d v="2024-03-14T00:00:00"/>
    <x v="0"/>
    <n v="198.04"/>
    <n v="0.1"/>
    <n v="119.511"/>
    <x v="0"/>
    <s v="No"/>
    <d v="2024-03-14T00:00:00"/>
    <n v="0"/>
  </r>
  <r>
    <s v="DEP-A0-3173"/>
    <x v="0"/>
    <n v="35"/>
    <x v="0"/>
    <s v="Blusa"/>
    <s v="Negro"/>
    <s v="Levis"/>
    <s v="MER-A0-3173"/>
    <d v="2024-03-24T00:00:00"/>
    <x v="0"/>
    <n v="192.72"/>
    <n v="0.1"/>
    <n v="84.941999999999993"/>
    <x v="0"/>
    <s v="No"/>
    <d v="2024-03-24T00:00:00"/>
    <n v="0"/>
  </r>
  <r>
    <s v="DEP-A0-0955"/>
    <x v="1"/>
    <n v="34"/>
    <x v="0"/>
    <s v="Camisa"/>
    <s v="Rojo"/>
    <s v="Mango"/>
    <s v="MER-A0-0955"/>
    <d v="2024-03-25T00:00:00"/>
    <x v="0"/>
    <n v="20.52"/>
    <n v="0.1"/>
    <n v="102.84"/>
    <x v="0"/>
    <s v="No"/>
    <d v="2024-03-25T00:00:00"/>
    <n v="0"/>
  </r>
  <r>
    <s v="DEP-A0-2584"/>
    <x v="0"/>
    <n v="20"/>
    <x v="0"/>
    <s v="Vestido"/>
    <s v="Blanco"/>
    <s v="Nike"/>
    <s v="MER-A0-2584"/>
    <d v="2024-03-25T00:00:00"/>
    <x v="0"/>
    <n v="170.4"/>
    <n v="0.2"/>
    <n v="26.304000000000002"/>
    <x v="0"/>
    <s v="No"/>
    <d v="2024-03-25T00:00:00"/>
    <n v="0"/>
  </r>
  <r>
    <s v="DEP-A0-1093"/>
    <x v="0"/>
    <n v="31"/>
    <x v="0"/>
    <s v="Falda"/>
    <s v="Negro"/>
    <s v="Adidas"/>
    <s v="MER-A0-1093"/>
    <d v="2024-03-31T00:00:00"/>
    <x v="0"/>
    <n v="128.41"/>
    <n v="0.3"/>
    <n v="47.998999999999995"/>
    <x v="0"/>
    <s v="No"/>
    <d v="2024-03-31T00:00:00"/>
    <n v="0"/>
  </r>
  <r>
    <s v="DEP-A0-1826"/>
    <x v="0"/>
    <n v="33"/>
    <x v="0"/>
    <s v="Blusa"/>
    <s v="Gris"/>
    <s v="Adidas"/>
    <s v="MER-A0-1826"/>
    <d v="2024-03-31T00:00:00"/>
    <x v="0"/>
    <n v="187.7"/>
    <n v="0.2"/>
    <n v="120.06"/>
    <x v="0"/>
    <s v="No"/>
    <d v="2024-03-31T00:00:00"/>
    <n v="0"/>
  </r>
  <r>
    <s v="DEP-A0-4776"/>
    <x v="0"/>
    <n v="27"/>
    <x v="0"/>
    <s v="Zapatos"/>
    <s v="Gris"/>
    <s v="Zara"/>
    <s v="MER-A0-4776"/>
    <d v="2024-04-01T00:00:00"/>
    <x v="0"/>
    <n v="72.7"/>
    <n v="0"/>
    <n v="92.84"/>
    <x v="0"/>
    <s v="No"/>
    <d v="2024-04-01T00:00:00"/>
    <n v="0"/>
  </r>
  <r>
    <s v="DEP-A0-2011"/>
    <x v="1"/>
    <n v="33"/>
    <x v="0"/>
    <s v="Zapatos"/>
    <s v="Verde"/>
    <s v="Levis"/>
    <s v="MER-A0-2011"/>
    <d v="2024-04-02T00:00:00"/>
    <x v="0"/>
    <n v="85.73"/>
    <n v="0.3"/>
    <n v="157.37"/>
    <x v="0"/>
    <s v="No"/>
    <d v="2024-04-02T00:00:00"/>
    <n v="0"/>
  </r>
  <r>
    <s v="DEP-A0-2317"/>
    <x v="0"/>
    <n v="21"/>
    <x v="0"/>
    <s v="Blusa"/>
    <s v="Gris"/>
    <s v="Adidas"/>
    <s v="MER-A0-2317"/>
    <d v="2024-04-03T00:00:00"/>
    <x v="0"/>
    <n v="108.43"/>
    <n v="0.1"/>
    <n v="138.59300000000002"/>
    <x v="0"/>
    <s v="No"/>
    <d v="2024-04-03T00:00:00"/>
    <n v="0"/>
  </r>
  <r>
    <s v="DEP-A0-2986"/>
    <x v="0"/>
    <n v="18"/>
    <x v="0"/>
    <s v="Vestido"/>
    <s v="Azul"/>
    <s v="Tommy"/>
    <s v="MER-A0-2986"/>
    <d v="2024-04-06T00:00:00"/>
    <x v="0"/>
    <n v="157.72999999999999"/>
    <n v="0"/>
    <n v="111.51"/>
    <x v="0"/>
    <s v="No"/>
    <d v="2024-04-06T00:00:00"/>
    <n v="0"/>
  </r>
  <r>
    <s v="DEP-A0-4738"/>
    <x v="1"/>
    <n v="29"/>
    <x v="0"/>
    <s v="Chaqueta"/>
    <s v="Verde"/>
    <s v="Puma"/>
    <s v="MER-A0-4738"/>
    <d v="2024-04-08T00:00:00"/>
    <x v="0"/>
    <n v="51.76"/>
    <n v="0.2"/>
    <n v="135.49"/>
    <x v="0"/>
    <s v="No"/>
    <d v="2024-04-08T00:00:00"/>
    <n v="0"/>
  </r>
  <r>
    <s v="DEP-A0-4981"/>
    <x v="0"/>
    <n v="31"/>
    <x v="0"/>
    <s v="Pantalón"/>
    <s v="Amarillo"/>
    <s v="Tommy"/>
    <s v="MER-A0-4981"/>
    <d v="2024-04-09T00:00:00"/>
    <x v="0"/>
    <n v="23.35"/>
    <n v="0.3"/>
    <n v="102.65"/>
    <x v="0"/>
    <s v="No"/>
    <d v="2024-04-09T00:00:00"/>
    <n v="0"/>
  </r>
  <r>
    <s v="DEP-A0-4814"/>
    <x v="0"/>
    <n v="31"/>
    <x v="0"/>
    <s v="Pantalón"/>
    <s v="Gris"/>
    <s v="Nike"/>
    <s v="MER-A0-4814"/>
    <d v="2024-04-16T00:00:00"/>
    <x v="0"/>
    <n v="103.3"/>
    <n v="0.3"/>
    <n v="115.99700000000001"/>
    <x v="0"/>
    <s v="No"/>
    <d v="2024-04-16T00:00:00"/>
    <n v="0"/>
  </r>
  <r>
    <s v="DEP-A0-1013"/>
    <x v="0"/>
    <n v="28"/>
    <x v="0"/>
    <s v="Zapatos"/>
    <s v="Verde"/>
    <s v="Adidas"/>
    <s v="MER-A0-1013"/>
    <d v="2024-04-17T00:00:00"/>
    <x v="0"/>
    <n v="57.1"/>
    <n v="0.2"/>
    <n v="174.42"/>
    <x v="0"/>
    <s v="No"/>
    <d v="2024-04-17T00:00:00"/>
    <n v="0"/>
  </r>
  <r>
    <s v="DEP-A0-4953"/>
    <x v="0"/>
    <n v="30"/>
    <x v="0"/>
    <s v="Zapatos"/>
    <s v="Amarillo"/>
    <s v="Mango"/>
    <s v="MER-A0-4953"/>
    <d v="2024-04-17T00:00:00"/>
    <x v="0"/>
    <n v="105.4"/>
    <n v="0"/>
    <n v="79.394000000000005"/>
    <x v="0"/>
    <s v="No"/>
    <d v="2024-04-17T00:00:00"/>
    <n v="0"/>
  </r>
  <r>
    <s v="DEP-A0-4492"/>
    <x v="1"/>
    <n v="29"/>
    <x v="0"/>
    <s v="Camisa"/>
    <s v="Verde"/>
    <s v="Tommy"/>
    <s v="MER-A0-4492"/>
    <d v="2024-04-17T00:00:00"/>
    <x v="0"/>
    <n v="198.26"/>
    <n v="0.3"/>
    <n v="11.735999999999999"/>
    <x v="0"/>
    <s v="No"/>
    <d v="2024-04-17T00:00:00"/>
    <n v="0"/>
  </r>
  <r>
    <s v="DEP-A0-4145"/>
    <x v="1"/>
    <n v="18"/>
    <x v="0"/>
    <s v="Chaqueta"/>
    <s v="Amarillo"/>
    <s v="Adidas"/>
    <s v="MER-A0-4145"/>
    <d v="2024-04-19T00:00:00"/>
    <x v="0"/>
    <n v="98.91"/>
    <n v="0.1"/>
    <n v="138.726"/>
    <x v="0"/>
    <s v="No"/>
    <d v="2024-04-19T00:00:00"/>
    <n v="0"/>
  </r>
  <r>
    <s v="DEP-A0-4170"/>
    <x v="0"/>
    <n v="23"/>
    <x v="0"/>
    <s v="Zapatos"/>
    <s v="Gris"/>
    <s v="Levis"/>
    <s v="MER-A0-4170"/>
    <d v="2024-04-19T00:00:00"/>
    <x v="0"/>
    <n v="100.41"/>
    <n v="0.1"/>
    <n v="43.256"/>
    <x v="0"/>
    <s v="No"/>
    <d v="2024-04-19T00:00:00"/>
    <n v="0"/>
  </r>
  <r>
    <s v="DEP-A0-1507"/>
    <x v="1"/>
    <n v="19"/>
    <x v="0"/>
    <s v="Chaqueta"/>
    <s v="Azul"/>
    <s v="Adidas"/>
    <s v="MER-A0-1507"/>
    <d v="2024-04-24T00:00:00"/>
    <x v="0"/>
    <n v="121.04"/>
    <n v="0"/>
    <n v="153.96299999999999"/>
    <x v="0"/>
    <s v="No"/>
    <d v="2024-04-24T00:00:00"/>
    <n v="0"/>
  </r>
  <r>
    <s v="DEP-A0-4878"/>
    <x v="0"/>
    <n v="21"/>
    <x v="0"/>
    <s v="Falda"/>
    <s v="Azul"/>
    <s v="Levis"/>
    <s v="MER-A0-4878"/>
    <d v="2024-04-24T00:00:00"/>
    <x v="0"/>
    <n v="124.36"/>
    <n v="0.3"/>
    <n v="147.43"/>
    <x v="0"/>
    <s v="No"/>
    <d v="2024-04-24T00:00:00"/>
    <n v="0"/>
  </r>
  <r>
    <s v="DEP-A0-2849"/>
    <x v="1"/>
    <n v="24"/>
    <x v="0"/>
    <s v="Pantalón"/>
    <s v="Azul"/>
    <s v="Puma"/>
    <s v="MER-A0-2849"/>
    <d v="2024-04-24T00:00:00"/>
    <x v="0"/>
    <n v="143.26"/>
    <n v="0.2"/>
    <n v="76.912000000000006"/>
    <x v="0"/>
    <s v="No"/>
    <d v="2024-04-24T00:00:00"/>
    <n v="0"/>
  </r>
  <r>
    <s v="DEP-A0-3094"/>
    <x v="0"/>
    <n v="24"/>
    <x v="0"/>
    <s v="Falda"/>
    <s v="Rojo"/>
    <s v="Puma"/>
    <s v="MER-A0-3094"/>
    <d v="2024-04-25T00:00:00"/>
    <x v="0"/>
    <n v="77.95"/>
    <n v="0.1"/>
    <n v="62.915999999999997"/>
    <x v="0"/>
    <s v="No"/>
    <d v="2024-04-25T00:00:00"/>
    <n v="0"/>
  </r>
  <r>
    <s v="DEP-A0-1832"/>
    <x v="0"/>
    <n v="23"/>
    <x v="0"/>
    <s v="Falda"/>
    <s v="Blanco"/>
    <s v="Zara"/>
    <s v="MER-A0-1832"/>
    <d v="2024-05-02T00:00:00"/>
    <x v="0"/>
    <n v="49.3"/>
    <n v="0.3"/>
    <n v="137.71800000000002"/>
    <x v="0"/>
    <s v="No"/>
    <d v="2024-05-02T00:00:00"/>
    <n v="0"/>
  </r>
  <r>
    <s v="DEP-A0-1775"/>
    <x v="0"/>
    <n v="22"/>
    <x v="0"/>
    <s v="Falda"/>
    <s v="Amarillo"/>
    <s v="Levis"/>
    <s v="MER-A0-1775"/>
    <d v="2024-05-02T00:00:00"/>
    <x v="0"/>
    <n v="137.65"/>
    <n v="0.2"/>
    <n v="17.647000000000002"/>
    <x v="0"/>
    <s v="No"/>
    <d v="2024-05-02T00:00:00"/>
    <n v="0"/>
  </r>
  <r>
    <s v="DEP-A0-3466"/>
    <x v="0"/>
    <n v="32"/>
    <x v="0"/>
    <s v="Vestido"/>
    <s v="Verde"/>
    <s v="Nike"/>
    <s v="MER-A0-3466"/>
    <d v="2024-05-02T00:00:00"/>
    <x v="0"/>
    <n v="171.75"/>
    <n v="0.3"/>
    <n v="101.71000000000001"/>
    <x v="0"/>
    <s v="No"/>
    <d v="2024-05-02T00:00:00"/>
    <n v="0"/>
  </r>
  <r>
    <s v="DEP-A0-1437"/>
    <x v="1"/>
    <n v="30"/>
    <x v="0"/>
    <s v="Zapatos"/>
    <s v="Negro"/>
    <s v="Puma"/>
    <s v="MER-A0-1437"/>
    <d v="2024-05-04T00:00:00"/>
    <x v="0"/>
    <n v="173.07"/>
    <n v="0.2"/>
    <n v="144.19"/>
    <x v="0"/>
    <s v="No"/>
    <d v="2024-05-04T00:00:00"/>
    <n v="0"/>
  </r>
  <r>
    <s v="DEP-A0-3568"/>
    <x v="0"/>
    <n v="28"/>
    <x v="0"/>
    <s v="Chaqueta"/>
    <s v="Rojo"/>
    <s v="Mango"/>
    <s v="MER-A0-3568"/>
    <d v="2024-05-05T00:00:00"/>
    <x v="0"/>
    <n v="10.08"/>
    <n v="0.3"/>
    <n v="10.374000000000001"/>
    <x v="0"/>
    <s v="No"/>
    <d v="2024-05-05T00:00:00"/>
    <n v="0"/>
  </r>
  <r>
    <s v="DEP-A0-1543"/>
    <x v="0"/>
    <n v="31"/>
    <x v="0"/>
    <s v="Blusa"/>
    <s v="Amarillo"/>
    <s v="Adidas"/>
    <s v="MER-A0-1543"/>
    <d v="2024-05-06T00:00:00"/>
    <x v="0"/>
    <n v="80.150000000000006"/>
    <n v="0.3"/>
    <n v="79.289999999999992"/>
    <x v="0"/>
    <s v="No"/>
    <d v="2024-05-06T00:00:00"/>
    <n v="0"/>
  </r>
  <r>
    <s v="DEP-A0-1682"/>
    <x v="0"/>
    <n v="35"/>
    <x v="0"/>
    <s v="Zapatos"/>
    <s v="Gris"/>
    <s v="Nike"/>
    <s v="MER-A0-1682"/>
    <d v="2024-05-06T00:00:00"/>
    <x v="0"/>
    <n v="165.46"/>
    <n v="0"/>
    <n v="21.128"/>
    <x v="0"/>
    <s v="No"/>
    <d v="2024-05-06T00:00:00"/>
    <n v="0"/>
  </r>
  <r>
    <s v="DEP-A0-4015"/>
    <x v="0"/>
    <n v="31"/>
    <x v="0"/>
    <s v="Vestido"/>
    <s v="Azul"/>
    <s v="Puma"/>
    <s v="MER-A0-4015"/>
    <d v="2024-05-06T00:00:00"/>
    <x v="0"/>
    <n v="166.17"/>
    <n v="0"/>
    <n v="119.03"/>
    <x v="0"/>
    <s v="No"/>
    <d v="2024-05-06T00:00:00"/>
    <n v="0"/>
  </r>
  <r>
    <s v="DEP-A0-0019"/>
    <x v="1"/>
    <n v="23"/>
    <x v="0"/>
    <s v="Camisa"/>
    <s v="Verde"/>
    <s v="Levis"/>
    <s v="MER-A0-0019"/>
    <d v="2024-05-07T00:00:00"/>
    <x v="0"/>
    <n v="60.89"/>
    <n v="0.1"/>
    <n v="18.430999999999997"/>
    <x v="0"/>
    <s v="No"/>
    <d v="2024-05-07T00:00:00"/>
    <n v="0"/>
  </r>
  <r>
    <s v="DEP-A0-2582"/>
    <x v="0"/>
    <n v="32"/>
    <x v="0"/>
    <s v="Falda"/>
    <s v="Blanco"/>
    <s v="Tommy"/>
    <s v="MER-A0-2582"/>
    <d v="2024-05-07T00:00:00"/>
    <x v="0"/>
    <n v="96"/>
    <n v="0.1"/>
    <n v="192.15"/>
    <x v="0"/>
    <s v="No"/>
    <d v="2024-05-07T00:00:00"/>
    <n v="0"/>
  </r>
  <r>
    <s v="DEP-A0-2297"/>
    <x v="0"/>
    <n v="33"/>
    <x v="0"/>
    <s v="Blusa"/>
    <s v="Verde"/>
    <s v="Adidas"/>
    <s v="MER-A0-2297"/>
    <d v="2024-05-08T00:00:00"/>
    <x v="0"/>
    <n v="13.7"/>
    <n v="0.2"/>
    <n v="38.159999999999997"/>
    <x v="0"/>
    <s v="No"/>
    <d v="2024-05-08T00:00:00"/>
    <n v="0"/>
  </r>
  <r>
    <s v="DEP-A0-1056"/>
    <x v="0"/>
    <n v="32"/>
    <x v="0"/>
    <s v="Falda"/>
    <s v="Verde"/>
    <s v="Tommy"/>
    <s v="MER-A0-1056"/>
    <d v="2024-05-08T00:00:00"/>
    <x v="0"/>
    <n v="91.44"/>
    <n v="0.1"/>
    <n v="54.391999999999996"/>
    <x v="0"/>
    <s v="No"/>
    <d v="2024-05-08T00:00:00"/>
    <n v="0"/>
  </r>
  <r>
    <s v="DEP-A0-4242"/>
    <x v="0"/>
    <n v="33"/>
    <x v="0"/>
    <s v="Vestido"/>
    <s v="Azul"/>
    <s v="Tommy"/>
    <s v="MER-A0-4242"/>
    <d v="2024-05-13T00:00:00"/>
    <x v="0"/>
    <n v="126.62"/>
    <n v="0.3"/>
    <n v="40.466999999999999"/>
    <x v="0"/>
    <s v="No"/>
    <d v="2024-05-13T00:00:00"/>
    <n v="0"/>
  </r>
  <r>
    <s v="DEP-A0-4796"/>
    <x v="1"/>
    <n v="32"/>
    <x v="0"/>
    <s v="Pantalón"/>
    <s v="Verde"/>
    <s v="Mango"/>
    <s v="MER-A0-4796"/>
    <d v="2024-05-13T00:00:00"/>
    <x v="0"/>
    <n v="126.75"/>
    <n v="0"/>
    <n v="11.872"/>
    <x v="0"/>
    <s v="No"/>
    <d v="2024-05-13T00:00:00"/>
    <n v="0"/>
  </r>
  <r>
    <s v="DEP-A0-4678"/>
    <x v="0"/>
    <n v="33"/>
    <x v="0"/>
    <s v="Falda"/>
    <s v="Gris"/>
    <s v="Puma"/>
    <s v="MER-A0-4678"/>
    <d v="2024-05-13T00:00:00"/>
    <x v="0"/>
    <n v="131.27000000000001"/>
    <n v="0.2"/>
    <n v="113.40799999999999"/>
    <x v="0"/>
    <s v="No"/>
    <d v="2024-05-13T00:00:00"/>
    <n v="0"/>
  </r>
  <r>
    <s v="DEP-A0-0200"/>
    <x v="0"/>
    <n v="25"/>
    <x v="0"/>
    <s v="Blusa"/>
    <s v="Gris"/>
    <s v="Zara"/>
    <s v="MER-A0-0200"/>
    <d v="2024-05-15T00:00:00"/>
    <x v="0"/>
    <n v="44.71"/>
    <n v="0.3"/>
    <n v="108.46400000000001"/>
    <x v="0"/>
    <s v="No"/>
    <d v="2024-05-15T00:00:00"/>
    <n v="0"/>
  </r>
  <r>
    <s v="DEP-A0-0367"/>
    <x v="0"/>
    <n v="22"/>
    <x v="0"/>
    <s v="Vestido"/>
    <s v="Verde"/>
    <s v="Zara"/>
    <s v="MER-A0-0367"/>
    <d v="2024-05-15T00:00:00"/>
    <x v="0"/>
    <n v="73.349999999999994"/>
    <n v="0.3"/>
    <n v="145.755"/>
    <x v="0"/>
    <s v="No"/>
    <d v="2024-05-15T00:00:00"/>
    <n v="0"/>
  </r>
  <r>
    <s v="DEP-A0-1727"/>
    <x v="0"/>
    <n v="20"/>
    <x v="0"/>
    <s v="Pantalón"/>
    <s v="Rojo"/>
    <s v="Adidas"/>
    <s v="MER-A0-1727"/>
    <d v="2024-05-17T00:00:00"/>
    <x v="0"/>
    <n v="53"/>
    <n v="0.1"/>
    <n v="111.59099999999999"/>
    <x v="0"/>
    <s v="No"/>
    <d v="2024-05-17T00:00:00"/>
    <n v="0"/>
  </r>
  <r>
    <s v="DEP-A0-0665"/>
    <x v="0"/>
    <n v="31"/>
    <x v="0"/>
    <s v="Blusa"/>
    <s v="Rojo"/>
    <s v="Levis"/>
    <s v="MER-A0-0665"/>
    <d v="2024-05-17T00:00:00"/>
    <x v="0"/>
    <n v="79.959999999999994"/>
    <n v="0.3"/>
    <n v="80.650000000000006"/>
    <x v="0"/>
    <s v="No"/>
    <d v="2024-05-17T00:00:00"/>
    <n v="0"/>
  </r>
  <r>
    <s v="DEP-A0-0809"/>
    <x v="0"/>
    <n v="30"/>
    <x v="0"/>
    <s v="Camisa"/>
    <s v="Amarillo"/>
    <s v="Puma"/>
    <s v="MER-A0-0809"/>
    <d v="2024-05-17T00:00:00"/>
    <x v="0"/>
    <n v="88.87"/>
    <n v="0"/>
    <n v="80.320000000000007"/>
    <x v="0"/>
    <s v="No"/>
    <d v="2024-05-17T00:00:00"/>
    <n v="0"/>
  </r>
  <r>
    <s v="DEP-A0-0707"/>
    <x v="1"/>
    <n v="28"/>
    <x v="0"/>
    <s v="Zapatos"/>
    <s v="Verde"/>
    <s v="Zara"/>
    <s v="MER-A0-0707"/>
    <d v="2024-05-17T00:00:00"/>
    <x v="0"/>
    <n v="114.1"/>
    <n v="0.2"/>
    <n v="43.05"/>
    <x v="0"/>
    <s v="No"/>
    <d v="2024-05-17T00:00:00"/>
    <n v="0"/>
  </r>
  <r>
    <s v="DEP-A0-2267"/>
    <x v="0"/>
    <n v="28"/>
    <x v="0"/>
    <s v="Vestido"/>
    <s v="Verde"/>
    <s v="Zara"/>
    <s v="MER-A0-2267"/>
    <d v="2024-05-18T00:00:00"/>
    <x v="0"/>
    <n v="150.36000000000001"/>
    <n v="0.2"/>
    <n v="128.69999999999999"/>
    <x v="0"/>
    <s v="No"/>
    <d v="2024-05-18T00:00:00"/>
    <n v="0"/>
  </r>
  <r>
    <s v="DEP-A0-4745"/>
    <x v="0"/>
    <n v="24"/>
    <x v="0"/>
    <s v="Blusa"/>
    <s v="Rojo"/>
    <s v="Levis"/>
    <s v="MER-A0-4745"/>
    <d v="2024-05-20T00:00:00"/>
    <x v="0"/>
    <n v="77.540000000000006"/>
    <n v="0.2"/>
    <n v="61.319999999999993"/>
    <x v="0"/>
    <s v="No"/>
    <d v="2024-05-20T00:00:00"/>
    <n v="0"/>
  </r>
  <r>
    <s v="DEP-A0-4448"/>
    <x v="0"/>
    <n v="29"/>
    <x v="0"/>
    <s v="Pantalón"/>
    <s v="Amarillo"/>
    <s v="Adidas"/>
    <s v="MER-A0-4448"/>
    <d v="2024-05-21T00:00:00"/>
    <x v="0"/>
    <n v="180.76"/>
    <n v="0"/>
    <n v="82.772999999999996"/>
    <x v="0"/>
    <s v="No"/>
    <d v="2024-05-21T00:00:00"/>
    <n v="0"/>
  </r>
  <r>
    <s v="DEP-A0-2240"/>
    <x v="0"/>
    <n v="20"/>
    <x v="0"/>
    <s v="Blusa"/>
    <s v="Blanco"/>
    <s v="Puma"/>
    <s v="MER-A0-2240"/>
    <d v="2024-05-22T00:00:00"/>
    <x v="0"/>
    <n v="105.15"/>
    <n v="0.1"/>
    <n v="52.946999999999996"/>
    <x v="0"/>
    <s v="No"/>
    <d v="2024-05-22T00:00:00"/>
    <n v="0"/>
  </r>
  <r>
    <s v="DEP-A0-3071"/>
    <x v="0"/>
    <n v="27"/>
    <x v="0"/>
    <s v="Falda"/>
    <s v="Negro"/>
    <s v="Zara"/>
    <s v="MER-A0-3071"/>
    <d v="2024-05-25T00:00:00"/>
    <x v="0"/>
    <n v="169.05"/>
    <n v="0.2"/>
    <n v="49.488"/>
    <x v="0"/>
    <s v="No"/>
    <d v="2024-05-25T00:00:00"/>
    <n v="0"/>
  </r>
  <r>
    <s v="DEP-A0-0821"/>
    <x v="0"/>
    <n v="22"/>
    <x v="0"/>
    <s v="Camisa"/>
    <s v="Verde"/>
    <s v="Levis"/>
    <s v="MER-A0-0821"/>
    <d v="2024-05-27T00:00:00"/>
    <x v="0"/>
    <n v="66.28"/>
    <n v="0"/>
    <n v="9.5760000000000005"/>
    <x v="0"/>
    <s v="No"/>
    <d v="2024-05-27T00:00:00"/>
    <n v="0"/>
  </r>
  <r>
    <s v="DEP-A0-1877"/>
    <x v="1"/>
    <n v="20"/>
    <x v="0"/>
    <s v="Chaqueta"/>
    <s v="Verde"/>
    <s v="Tommy"/>
    <s v="MER-A0-1877"/>
    <d v="2024-05-28T00:00:00"/>
    <x v="0"/>
    <n v="84.27"/>
    <n v="0.2"/>
    <n v="170.685"/>
    <x v="0"/>
    <s v="No"/>
    <d v="2024-05-28T00:00:00"/>
    <n v="0"/>
  </r>
  <r>
    <s v="DEP-A0-2917"/>
    <x v="0"/>
    <n v="20"/>
    <x v="0"/>
    <s v="Chaqueta"/>
    <s v="Verde"/>
    <s v="Zara"/>
    <s v="MER-A0-2917"/>
    <d v="2024-05-28T00:00:00"/>
    <x v="0"/>
    <n v="149.44"/>
    <n v="0"/>
    <n v="82.087999999999994"/>
    <x v="0"/>
    <s v="No"/>
    <d v="2024-05-28T00:00:00"/>
    <n v="0"/>
  </r>
  <r>
    <s v="DEP-A0-3557"/>
    <x v="0"/>
    <n v="25"/>
    <x v="0"/>
    <s v="Blusa"/>
    <s v="Rojo"/>
    <s v="Zara"/>
    <s v="MER-A0-3557"/>
    <d v="2024-05-28T00:00:00"/>
    <x v="0"/>
    <n v="163.72999999999999"/>
    <n v="0.2"/>
    <n v="139.49100000000001"/>
    <x v="0"/>
    <s v="No"/>
    <d v="2024-05-28T00:00:00"/>
    <n v="0"/>
  </r>
  <r>
    <s v="DEP-A0-1040"/>
    <x v="0"/>
    <n v="29"/>
    <x v="0"/>
    <s v="Chaqueta"/>
    <s v="Gris"/>
    <s v="Puma"/>
    <s v="MER-A0-1040"/>
    <d v="2024-05-29T00:00:00"/>
    <x v="0"/>
    <n v="120.91"/>
    <n v="0.3"/>
    <n v="113.59"/>
    <x v="0"/>
    <s v="No"/>
    <d v="2024-05-29T00:00:00"/>
    <n v="0"/>
  </r>
  <r>
    <s v="DEP-A0-3302"/>
    <x v="0"/>
    <n v="34"/>
    <x v="0"/>
    <s v="Falda"/>
    <s v="Gris"/>
    <s v="Puma"/>
    <s v="MER-A0-3302"/>
    <d v="2024-05-30T00:00:00"/>
    <x v="0"/>
    <n v="108.21"/>
    <n v="0.2"/>
    <n v="80.736000000000004"/>
    <x v="0"/>
    <s v="No"/>
    <d v="2024-05-30T00:00:00"/>
    <n v="0"/>
  </r>
  <r>
    <s v="DEP-A0-4215"/>
    <x v="1"/>
    <n v="20"/>
    <x v="0"/>
    <s v="Pantalón"/>
    <s v="Negro"/>
    <s v="Mango"/>
    <s v="MER-A0-4215"/>
    <d v="2024-05-30T00:00:00"/>
    <x v="0"/>
    <n v="112.8"/>
    <n v="0.3"/>
    <n v="68.908000000000001"/>
    <x v="0"/>
    <s v="No"/>
    <d v="2024-05-30T00:00:00"/>
    <n v="0"/>
  </r>
  <r>
    <s v="DEP-A0-1100"/>
    <x v="1"/>
    <n v="26"/>
    <x v="0"/>
    <s v="Zapatos"/>
    <s v="Verde"/>
    <s v="Nike"/>
    <s v="MER-A0-1100"/>
    <d v="2024-05-30T00:00:00"/>
    <x v="0"/>
    <n v="170.73"/>
    <n v="0.3"/>
    <n v="111"/>
    <x v="0"/>
    <s v="No"/>
    <d v="2024-05-30T00:00:00"/>
    <n v="0"/>
  </r>
  <r>
    <s v="DEP-A0-4930"/>
    <x v="0"/>
    <n v="22"/>
    <x v="0"/>
    <s v="Vestido"/>
    <s v="Negro"/>
    <s v="Puma"/>
    <s v="MER-A0-4930"/>
    <d v="2024-06-01T00:00:00"/>
    <x v="0"/>
    <n v="70.45"/>
    <n v="0.2"/>
    <n v="134.65600000000001"/>
    <x v="0"/>
    <s v="No"/>
    <d v="2024-06-01T00:00:00"/>
    <n v="0"/>
  </r>
  <r>
    <s v="DEP-A0-1621"/>
    <x v="0"/>
    <n v="27"/>
    <x v="0"/>
    <s v="Vestido"/>
    <s v="Verde"/>
    <s v="Tommy"/>
    <s v="MER-A0-1621"/>
    <d v="2024-06-01T00:00:00"/>
    <x v="0"/>
    <n v="94.38"/>
    <n v="0.1"/>
    <n v="179.87"/>
    <x v="0"/>
    <s v="No"/>
    <d v="2024-06-01T00:00:00"/>
    <n v="0"/>
  </r>
  <r>
    <s v="DEP-A0-1307"/>
    <x v="0"/>
    <n v="23"/>
    <x v="0"/>
    <s v="Chaqueta"/>
    <s v="Gris"/>
    <s v="Mango"/>
    <s v="MER-A0-1307"/>
    <d v="2024-12-08T00:00:00"/>
    <x v="0"/>
    <n v="128.55000000000001"/>
    <n v="0.2"/>
    <n v="147.82"/>
    <x v="0"/>
    <s v="No"/>
    <d v="2024-06-01T00:00:00"/>
    <n v="0"/>
  </r>
  <r>
    <s v="DEP-A0-3565"/>
    <x v="0"/>
    <n v="27"/>
    <x v="0"/>
    <s v="Vestido"/>
    <s v="Verde"/>
    <s v="Levis"/>
    <s v="MER-A0-3565"/>
    <d v="2024-12-09T00:00:00"/>
    <x v="0"/>
    <n v="32.880000000000003"/>
    <n v="0.2"/>
    <n v="29.475000000000001"/>
    <x v="0"/>
    <s v="No"/>
    <d v="2024-06-03T00:00:00"/>
    <n v="0"/>
  </r>
  <r>
    <s v="DEP-A0-1523"/>
    <x v="0"/>
    <n v="27"/>
    <x v="0"/>
    <s v="Falda"/>
    <s v="Rojo"/>
    <s v="Tommy"/>
    <s v="MER-A0-1523"/>
    <d v="2024-12-10T00:00:00"/>
    <x v="0"/>
    <n v="191.43"/>
    <n v="0.1"/>
    <n v="71.055999999999997"/>
    <x v="0"/>
    <s v="No"/>
    <d v="2024-06-03T00:00:00"/>
    <n v="0"/>
  </r>
  <r>
    <s v="DEP-A0-4106"/>
    <x v="0"/>
    <n v="29"/>
    <x v="0"/>
    <s v="Pantalón"/>
    <s v="Blanco"/>
    <s v="Nike"/>
    <s v="MER-A0-4106"/>
    <d v="2024-12-10T00:00:00"/>
    <x v="0"/>
    <n v="60.48"/>
    <n v="0.3"/>
    <n v="98.307999999999993"/>
    <x v="0"/>
    <s v="No"/>
    <d v="2024-06-04T00:00:00"/>
    <n v="0"/>
  </r>
  <r>
    <s v="DEP-A0-2443"/>
    <x v="0"/>
    <n v="20"/>
    <x v="0"/>
    <s v="Chaqueta"/>
    <s v="Negro"/>
    <s v="Nike"/>
    <s v="MER-A0-2443"/>
    <d v="2024-12-10T00:00:00"/>
    <x v="0"/>
    <n v="75.930000000000007"/>
    <n v="0.1"/>
    <n v="90.300000000000011"/>
    <x v="0"/>
    <s v="No"/>
    <d v="2024-06-04T00:00:00"/>
    <n v="0"/>
  </r>
  <r>
    <s v="DEP-A0-4992"/>
    <x v="1"/>
    <n v="29"/>
    <x v="0"/>
    <s v="Camisa"/>
    <s v="Blanco"/>
    <s v="Puma"/>
    <s v="MER-A0-4992"/>
    <d v="2024-06-05T00:00:00"/>
    <x v="0"/>
    <n v="114.08"/>
    <n v="0.2"/>
    <n v="75.495000000000005"/>
    <x v="0"/>
    <s v="No"/>
    <d v="2024-06-05T00:00:00"/>
    <n v="0"/>
  </r>
  <r>
    <s v="DEP-A0-0656"/>
    <x v="1"/>
    <n v="31"/>
    <x v="0"/>
    <s v="Zapatos"/>
    <s v="Gris"/>
    <s v="Levis"/>
    <s v="MER-A0-0656"/>
    <d v="2024-12-09T00:00:00"/>
    <x v="0"/>
    <n v="93.26"/>
    <n v="0.1"/>
    <n v="161.577"/>
    <x v="0"/>
    <s v="No"/>
    <d v="2024-06-07T00:00:00"/>
    <n v="0"/>
  </r>
  <r>
    <s v="DEP-A0-3950"/>
    <x v="0"/>
    <n v="22"/>
    <x v="0"/>
    <s v="Falda"/>
    <s v="Gris"/>
    <s v="Mango"/>
    <s v="MER-A0-3950"/>
    <d v="2024-12-10T00:00:00"/>
    <x v="0"/>
    <n v="158.12"/>
    <n v="0"/>
    <n v="54.485999999999997"/>
    <x v="0"/>
    <s v="No"/>
    <d v="2024-06-09T00:00:00"/>
    <n v="0"/>
  </r>
  <r>
    <s v="DEP-A0-3812"/>
    <x v="0"/>
    <n v="33"/>
    <x v="0"/>
    <s v="Falda"/>
    <s v="Blanco"/>
    <s v="Tommy"/>
    <s v="MER-A0-3812"/>
    <d v="2024-12-10T00:00:00"/>
    <x v="0"/>
    <n v="68.569999999999993"/>
    <n v="0.3"/>
    <n v="53.815999999999995"/>
    <x v="0"/>
    <s v="No"/>
    <d v="2024-06-10T00:00:00"/>
    <n v="0"/>
  </r>
  <r>
    <s v="DEP-A0-2189"/>
    <x v="0"/>
    <n v="22"/>
    <x v="0"/>
    <s v="Zapatos"/>
    <s v="Amarillo"/>
    <s v="Nike"/>
    <s v="MER-A0-2189"/>
    <d v="2024-12-10T00:00:00"/>
    <x v="0"/>
    <n v="83.31"/>
    <n v="0.3"/>
    <n v="90.320999999999998"/>
    <x v="0"/>
    <s v="No"/>
    <d v="2024-06-10T00:00:00"/>
    <n v="0"/>
  </r>
  <r>
    <s v="DEP-A0-2203"/>
    <x v="0"/>
    <n v="25"/>
    <x v="0"/>
    <s v="Zapatos"/>
    <s v="Gris"/>
    <s v="Levis"/>
    <s v="MER-A0-2203"/>
    <d v="2024-06-11T00:00:00"/>
    <x v="0"/>
    <n v="109.16"/>
    <n v="0"/>
    <n v="27.375999999999998"/>
    <x v="0"/>
    <s v="No"/>
    <d v="2024-06-11T00:00:00"/>
    <n v="0"/>
  </r>
  <r>
    <s v="DEP-A0-3192"/>
    <x v="0"/>
    <n v="32"/>
    <x v="0"/>
    <s v="Blusa"/>
    <s v="Blanco"/>
    <s v="Adidas"/>
    <s v="MER-A0-3192"/>
    <d v="2024-12-10T00:00:00"/>
    <x v="0"/>
    <n v="120.06"/>
    <n v="0"/>
    <n v="85.97399999999999"/>
    <x v="0"/>
    <s v="No"/>
    <d v="2024-06-15T00:00:00"/>
    <n v="0"/>
  </r>
  <r>
    <s v="DEP-A0-2172"/>
    <x v="1"/>
    <n v="24"/>
    <x v="0"/>
    <s v="Chaqueta"/>
    <s v="Negro"/>
    <s v="Puma"/>
    <s v="MER-A0-2172"/>
    <d v="2024-06-17T00:00:00"/>
    <x v="0"/>
    <n v="116.05"/>
    <n v="0.2"/>
    <n v="115.31099999999999"/>
    <x v="0"/>
    <s v="No"/>
    <d v="2024-06-17T00:00:00"/>
    <n v="0"/>
  </r>
  <r>
    <s v="DEP-A0-4834"/>
    <x v="1"/>
    <n v="19"/>
    <x v="0"/>
    <s v="Chaqueta"/>
    <s v="Amarillo"/>
    <s v="Adidas"/>
    <s v="MER-A0-4834"/>
    <d v="2024-06-18T00:00:00"/>
    <x v="0"/>
    <n v="131.75"/>
    <n v="0"/>
    <n v="130.38"/>
    <x v="0"/>
    <s v="No"/>
    <d v="2024-06-18T00:00:00"/>
    <n v="0"/>
  </r>
  <r>
    <s v="DEP-A0-2199"/>
    <x v="0"/>
    <n v="20"/>
    <x v="0"/>
    <s v="Vestido"/>
    <s v="Amarillo"/>
    <s v="Tommy"/>
    <s v="MER-A0-2199"/>
    <d v="2024-06-21T00:00:00"/>
    <x v="0"/>
    <n v="59.5"/>
    <n v="0.3"/>
    <n v="188.27"/>
    <x v="0"/>
    <s v="No"/>
    <d v="2024-06-21T00:00:00"/>
    <n v="0"/>
  </r>
  <r>
    <s v="DEP-A0-1985"/>
    <x v="0"/>
    <n v="30"/>
    <x v="0"/>
    <s v="Vestido"/>
    <s v="Rojo"/>
    <s v="Tommy"/>
    <s v="MER-A0-1985"/>
    <d v="2024-06-21T00:00:00"/>
    <x v="0"/>
    <n v="190.42"/>
    <n v="0.3"/>
    <n v="22.533000000000001"/>
    <x v="0"/>
    <s v="No"/>
    <d v="2024-06-21T00:00:00"/>
    <n v="0"/>
  </r>
  <r>
    <s v="DEP-A0-1192"/>
    <x v="0"/>
    <n v="31"/>
    <x v="0"/>
    <s v="Falda"/>
    <s v="Amarillo"/>
    <s v="Nike"/>
    <s v="MER-A0-1192"/>
    <d v="2024-06-24T00:00:00"/>
    <x v="0"/>
    <n v="157.37"/>
    <n v="0"/>
    <n v="128.745"/>
    <x v="0"/>
    <s v="No"/>
    <d v="2024-06-24T00:00:00"/>
    <n v="0"/>
  </r>
  <r>
    <s v="DEP-A0-0168"/>
    <x v="0"/>
    <n v="30"/>
    <x v="0"/>
    <s v="Falda"/>
    <s v="Blanco"/>
    <s v="Adidas"/>
    <s v="MER-A0-0168"/>
    <d v="2024-06-26T00:00:00"/>
    <x v="0"/>
    <n v="20.260000000000002"/>
    <n v="0.2"/>
    <n v="135.464"/>
    <x v="0"/>
    <s v="No"/>
    <d v="2024-06-26T00:00:00"/>
    <n v="0"/>
  </r>
  <r>
    <s v="DEP-A0-2635"/>
    <x v="0"/>
    <n v="21"/>
    <x v="0"/>
    <s v="Camisa"/>
    <s v="Blanco"/>
    <s v="Puma"/>
    <s v="MER-A0-2635"/>
    <d v="2024-06-26T00:00:00"/>
    <x v="0"/>
    <n v="145.9"/>
    <n v="0.3"/>
    <n v="154.31400000000002"/>
    <x v="0"/>
    <s v="No"/>
    <d v="2024-06-26T00:00:00"/>
    <n v="0"/>
  </r>
  <r>
    <s v="DEP-A0-4965"/>
    <x v="0"/>
    <n v="35"/>
    <x v="0"/>
    <s v="Vestido"/>
    <s v="Azul"/>
    <s v="Nike"/>
    <s v="MER-A0-4965"/>
    <d v="2024-06-27T00:00:00"/>
    <x v="0"/>
    <n v="100.36"/>
    <n v="0.2"/>
    <n v="150.84800000000001"/>
    <x v="0"/>
    <s v="No"/>
    <d v="2024-06-27T00:00:00"/>
    <n v="0"/>
  </r>
  <r>
    <s v="DEP-A0-2374"/>
    <x v="1"/>
    <n v="20"/>
    <x v="0"/>
    <s v="Pantalón"/>
    <s v="Blanco"/>
    <s v="Mango"/>
    <s v="MER-A0-2374"/>
    <d v="2024-06-28T00:00:00"/>
    <x v="0"/>
    <n v="197.99"/>
    <n v="0.3"/>
    <n v="96.74"/>
    <x v="0"/>
    <s v="No"/>
    <d v="2024-06-28T00:00:00"/>
    <n v="0"/>
  </r>
  <r>
    <s v="DEP-A0-3867"/>
    <x v="0"/>
    <n v="32"/>
    <x v="0"/>
    <s v="Chaqueta"/>
    <s v="Blanco"/>
    <s v="Puma"/>
    <s v="MER-A0-3867"/>
    <d v="2024-06-30T00:00:00"/>
    <x v="0"/>
    <n v="48.85"/>
    <n v="0.3"/>
    <n v="12.02"/>
    <x v="0"/>
    <s v="No"/>
    <d v="2024-06-30T00:00:00"/>
    <n v="0"/>
  </r>
  <r>
    <s v="DEP-A0-3587"/>
    <x v="0"/>
    <n v="24"/>
    <x v="0"/>
    <s v="Pantalón"/>
    <s v="Amarillo"/>
    <s v="Levis"/>
    <s v="MER-A0-3587"/>
    <d v="2024-06-30T00:00:00"/>
    <x v="0"/>
    <n v="189.23"/>
    <n v="0.3"/>
    <n v="56.09"/>
    <x v="0"/>
    <s v="No"/>
    <d v="2024-06-30T00:00:00"/>
    <n v="0"/>
  </r>
  <r>
    <s v="DEP-A0-0933"/>
    <x v="1"/>
    <n v="22"/>
    <x v="0"/>
    <s v="Camisa"/>
    <s v="Verde"/>
    <s v="Nike"/>
    <s v="MER-A0-0933"/>
    <d v="2024-07-01T00:00:00"/>
    <x v="0"/>
    <n v="51.5"/>
    <n v="0.1"/>
    <n v="99.72"/>
    <x v="0"/>
    <s v="No"/>
    <d v="2024-07-01T00:00:00"/>
    <n v="0"/>
  </r>
  <r>
    <s v="DEP-A0-4140"/>
    <x v="0"/>
    <n v="33"/>
    <x v="0"/>
    <s v="Vestido"/>
    <s v="Gris"/>
    <s v="Puma"/>
    <s v="MER-A0-4140"/>
    <d v="2024-07-01T00:00:00"/>
    <x v="0"/>
    <n v="60.78"/>
    <n v="0"/>
    <n v="125.92799999999998"/>
    <x v="0"/>
    <s v="No"/>
    <d v="2024-07-01T00:00:00"/>
    <n v="0"/>
  </r>
  <r>
    <s v="DEP-A0-4660"/>
    <x v="1"/>
    <n v="26"/>
    <x v="0"/>
    <s v="Pantalón"/>
    <s v="Verde"/>
    <s v="Zara"/>
    <s v="MER-A0-4660"/>
    <d v="2024-07-02T00:00:00"/>
    <x v="0"/>
    <n v="111.51"/>
    <n v="0"/>
    <n v="47.033000000000001"/>
    <x v="0"/>
    <s v="No"/>
    <d v="2024-07-02T00:00:00"/>
    <n v="0"/>
  </r>
  <r>
    <s v="DEP-A0-2997"/>
    <x v="0"/>
    <n v="24"/>
    <x v="0"/>
    <s v="Pantalón"/>
    <s v="Azul"/>
    <s v="Levis"/>
    <s v="MER-A0-2997"/>
    <d v="2024-07-03T00:00:00"/>
    <x v="0"/>
    <n v="49.17"/>
    <n v="0.2"/>
    <n v="126.56700000000001"/>
    <x v="0"/>
    <s v="No"/>
    <d v="2024-07-03T00:00:00"/>
    <n v="0"/>
  </r>
  <r>
    <s v="DEP-A0-1962"/>
    <x v="0"/>
    <n v="31"/>
    <x v="0"/>
    <s v="Camisa"/>
    <s v="Negro"/>
    <s v="Zara"/>
    <s v="MER-A0-1962"/>
    <d v="2024-07-05T00:00:00"/>
    <x v="0"/>
    <n v="135.49"/>
    <n v="0"/>
    <n v="116.64"/>
    <x v="0"/>
    <s v="No"/>
    <d v="2024-07-05T00:00:00"/>
    <n v="0"/>
  </r>
  <r>
    <s v="DEP-A0-2507"/>
    <x v="1"/>
    <n v="33"/>
    <x v="0"/>
    <s v="Chaqueta"/>
    <s v="Gris"/>
    <s v="Levis"/>
    <s v="MER-A0-2507"/>
    <d v="2024-07-05T00:00:00"/>
    <x v="0"/>
    <n v="154.47999999999999"/>
    <n v="0.3"/>
    <n v="130.167"/>
    <x v="0"/>
    <s v="No"/>
    <d v="2024-07-05T00:00:00"/>
    <n v="0"/>
  </r>
  <r>
    <s v="DEP-A0-1262"/>
    <x v="0"/>
    <n v="26"/>
    <x v="0"/>
    <s v="Blusa"/>
    <s v="Gris"/>
    <s v="Adidas"/>
    <s v="MER-A0-1262"/>
    <d v="2024-07-06T00:00:00"/>
    <x v="0"/>
    <n v="170.66"/>
    <n v="0.1"/>
    <n v="92.762999999999991"/>
    <x v="0"/>
    <s v="No"/>
    <d v="2024-07-06T00:00:00"/>
    <n v="0"/>
  </r>
  <r>
    <s v="DEP-A0-4566"/>
    <x v="0"/>
    <n v="23"/>
    <x v="0"/>
    <s v="Zapatos"/>
    <s v="Negro"/>
    <s v="Adidas"/>
    <s v="MER-A0-4566"/>
    <d v="2024-07-07T00:00:00"/>
    <x v="0"/>
    <n v="147.93"/>
    <n v="0"/>
    <n v="103.31100000000001"/>
    <x v="0"/>
    <s v="No"/>
    <d v="2024-07-07T00:00:00"/>
    <n v="0"/>
  </r>
  <r>
    <s v="DEP-A0-4580"/>
    <x v="1"/>
    <n v="34"/>
    <x v="0"/>
    <s v="Chaqueta"/>
    <s v="Amarillo"/>
    <s v="Tommy"/>
    <s v="MER-A0-4580"/>
    <d v="2024-07-10T00:00:00"/>
    <x v="0"/>
    <n v="102.65"/>
    <n v="0"/>
    <n v="143.07300000000001"/>
    <x v="0"/>
    <s v="No"/>
    <d v="2024-07-10T00:00:00"/>
    <n v="0"/>
  </r>
  <r>
    <s v="DEP-A0-2887"/>
    <x v="0"/>
    <n v="31"/>
    <x v="0"/>
    <s v="Blusa"/>
    <s v="Verde"/>
    <s v="Nike"/>
    <s v="MER-A0-2887"/>
    <d v="2024-07-10T00:00:00"/>
    <x v="0"/>
    <n v="165.71"/>
    <n v="0.3"/>
    <n v="149.4"/>
    <x v="0"/>
    <s v="No"/>
    <d v="2024-07-10T00:00:00"/>
    <n v="0"/>
  </r>
  <r>
    <s v="DEP-A0-3779"/>
    <x v="0"/>
    <n v="23"/>
    <x v="0"/>
    <s v="Camisa"/>
    <s v="Azul"/>
    <s v="Adidas"/>
    <s v="MER-A0-3779"/>
    <d v="2024-07-10T00:00:00"/>
    <x v="0"/>
    <n v="174.42"/>
    <n v="0"/>
    <n v="137.17599999999999"/>
    <x v="0"/>
    <s v="No"/>
    <d v="2024-07-10T00:00:00"/>
    <n v="0"/>
  </r>
  <r>
    <s v="DEP-A0-0500"/>
    <x v="1"/>
    <n v="23"/>
    <x v="0"/>
    <s v="Chaqueta"/>
    <s v="Verde"/>
    <s v="Nike"/>
    <s v="MER-A0-0500"/>
    <d v="2024-07-12T00:00:00"/>
    <x v="0"/>
    <n v="87.68"/>
    <n v="0.1"/>
    <n v="122.066"/>
    <x v="0"/>
    <s v="No"/>
    <d v="2024-07-12T00:00:00"/>
    <n v="0"/>
  </r>
  <r>
    <s v="DEP-A0-1855"/>
    <x v="0"/>
    <n v="18"/>
    <x v="0"/>
    <s v="Falda"/>
    <s v="Azul"/>
    <s v="Tommy"/>
    <s v="MER-A0-1855"/>
    <d v="2024-07-12T00:00:00"/>
    <x v="0"/>
    <n v="113.42"/>
    <n v="0.3"/>
    <n v="160.155"/>
    <x v="0"/>
    <s v="No"/>
    <d v="2024-07-12T00:00:00"/>
    <n v="0"/>
  </r>
  <r>
    <s v="DEP-A0-1915"/>
    <x v="1"/>
    <n v="24"/>
    <x v="0"/>
    <s v="Pantalón"/>
    <s v="Gris"/>
    <s v="Zara"/>
    <s v="MER-A0-1915"/>
    <d v="2024-07-12T00:00:00"/>
    <x v="0"/>
    <n v="186.59"/>
    <n v="0.2"/>
    <n v="124.54400000000001"/>
    <x v="0"/>
    <s v="No"/>
    <d v="2024-07-12T00:00:00"/>
    <n v="0"/>
  </r>
  <r>
    <s v="DEP-A0-0830"/>
    <x v="0"/>
    <n v="20"/>
    <x v="0"/>
    <s v="Vestido"/>
    <s v="Azul"/>
    <s v="Zara"/>
    <s v="MER-A0-0830"/>
    <d v="2024-07-17T00:00:00"/>
    <x v="0"/>
    <n v="13.04"/>
    <n v="0.1"/>
    <n v="91.322999999999993"/>
    <x v="0"/>
    <s v="No"/>
    <d v="2024-07-17T00:00:00"/>
    <n v="0"/>
  </r>
  <r>
    <s v="DEP-A0-0531"/>
    <x v="0"/>
    <n v="22"/>
    <x v="0"/>
    <s v="Blusa"/>
    <s v="Azul"/>
    <s v="Mango"/>
    <s v="MER-A0-0531"/>
    <d v="2024-07-17T00:00:00"/>
    <x v="0"/>
    <n v="13.36"/>
    <n v="0.1"/>
    <n v="10.969000000000001"/>
    <x v="0"/>
    <s v="No"/>
    <d v="2024-07-17T00:00:00"/>
    <n v="0"/>
  </r>
  <r>
    <s v="DEP-A0-3906"/>
    <x v="1"/>
    <n v="27"/>
    <x v="0"/>
    <s v="Chaqueta"/>
    <s v="Blanco"/>
    <s v="Mango"/>
    <s v="MER-A0-3906"/>
    <d v="2024-07-18T00:00:00"/>
    <x v="0"/>
    <n v="190.96"/>
    <n v="0.2"/>
    <n v="99.014999999999986"/>
    <x v="0"/>
    <s v="No"/>
    <d v="2024-07-18T00:00:00"/>
    <n v="0"/>
  </r>
  <r>
    <s v="DEP-A0-1563"/>
    <x v="0"/>
    <n v="18"/>
    <x v="0"/>
    <s v="Vestido"/>
    <s v="Rojo"/>
    <s v="Adidas"/>
    <s v="MER-A0-1563"/>
    <d v="2024-07-19T00:00:00"/>
    <x v="0"/>
    <n v="56.28"/>
    <n v="0.3"/>
    <n v="111.21"/>
    <x v="0"/>
    <s v="No"/>
    <d v="2024-07-19T00:00:00"/>
    <n v="0"/>
  </r>
  <r>
    <s v="DEP-A0-2981"/>
    <x v="1"/>
    <n v="25"/>
    <x v="0"/>
    <s v="Zapatos"/>
    <s v="Negro"/>
    <s v="Adidas"/>
    <s v="MER-A0-2981"/>
    <d v="2024-07-19T00:00:00"/>
    <x v="0"/>
    <n v="136.68"/>
    <n v="0.2"/>
    <n v="65.66"/>
    <x v="0"/>
    <s v="No"/>
    <d v="2024-07-19T00:00:00"/>
    <n v="0"/>
  </r>
  <r>
    <s v="DEP-A0-0397"/>
    <x v="0"/>
    <n v="29"/>
    <x v="0"/>
    <s v="Vestido"/>
    <s v="Rojo"/>
    <s v="Adidas"/>
    <s v="MER-A0-0397"/>
    <d v="2024-07-20T00:00:00"/>
    <x v="0"/>
    <n v="154.13999999999999"/>
    <n v="0.1"/>
    <n v="84.105000000000004"/>
    <x v="0"/>
    <s v="No"/>
    <d v="2024-07-20T00:00:00"/>
    <n v="0"/>
  </r>
  <r>
    <s v="DEP-A0-3250"/>
    <x v="0"/>
    <n v="21"/>
    <x v="0"/>
    <s v="Pantalón"/>
    <s v="Amarillo"/>
    <s v="Nike"/>
    <s v="MER-A0-3250"/>
    <d v="2024-07-21T00:00:00"/>
    <x v="0"/>
    <n v="54.07"/>
    <n v="0.2"/>
    <n v="146.22999999999999"/>
    <x v="0"/>
    <s v="No"/>
    <d v="2024-07-21T00:00:00"/>
    <n v="0"/>
  </r>
  <r>
    <s v="DEP-A0-4989"/>
    <x v="1"/>
    <n v="34"/>
    <x v="0"/>
    <s v="Camisa"/>
    <s v="Blanco"/>
    <s v="Nike"/>
    <s v="MER-A0-4989"/>
    <d v="2024-07-26T00:00:00"/>
    <x v="0"/>
    <n v="133.99"/>
    <n v="0.2"/>
    <n v="76.736000000000004"/>
    <x v="0"/>
    <s v="No"/>
    <d v="2024-07-26T00:00:00"/>
    <n v="0"/>
  </r>
  <r>
    <s v="DEP-A0-2964"/>
    <x v="0"/>
    <n v="35"/>
    <x v="0"/>
    <s v="Chaqueta"/>
    <s v="Verde"/>
    <s v="Mango"/>
    <s v="MER-A0-2964"/>
    <d v="2024-07-26T00:00:00"/>
    <x v="0"/>
    <n v="171.07"/>
    <n v="0.1"/>
    <n v="87.984000000000009"/>
    <x v="0"/>
    <s v="No"/>
    <d v="2024-07-26T00:00:00"/>
    <n v="0"/>
  </r>
  <r>
    <s v="DEP-A0-2239"/>
    <x v="0"/>
    <n v="24"/>
    <x v="0"/>
    <s v="Vestido"/>
    <s v="Rojo"/>
    <s v="Levis"/>
    <s v="MER-A0-2239"/>
    <d v="2024-07-29T00:00:00"/>
    <x v="0"/>
    <n v="147.43"/>
    <n v="0"/>
    <n v="71.211000000000013"/>
    <x v="0"/>
    <s v="No"/>
    <d v="2024-07-29T00:00:00"/>
    <n v="0"/>
  </r>
  <r>
    <s v="DEP-A0-1190"/>
    <x v="0"/>
    <n v="33"/>
    <x v="0"/>
    <s v="Pantalón"/>
    <s v="Negro"/>
    <s v="Mango"/>
    <s v="MER-A0-1190"/>
    <d v="2024-07-30T00:00:00"/>
    <x v="0"/>
    <n v="96.14"/>
    <n v="0.2"/>
    <n v="102.63"/>
    <x v="0"/>
    <s v="No"/>
    <d v="2024-07-30T00:00:00"/>
    <n v="0"/>
  </r>
  <r>
    <s v="DEP-A0-1941"/>
    <x v="0"/>
    <n v="20"/>
    <x v="0"/>
    <s v="Camisa"/>
    <s v="Negro"/>
    <s v="Adidas"/>
    <s v="MER-A0-1941"/>
    <d v="2024-07-31T00:00:00"/>
    <x v="0"/>
    <n v="46.54"/>
    <n v="0"/>
    <n v="122.31099999999999"/>
    <x v="0"/>
    <s v="No"/>
    <d v="2024-07-31T00:00:00"/>
    <n v="0"/>
  </r>
  <r>
    <s v="DEP-A0-1605"/>
    <x v="0"/>
    <n v="21"/>
    <x v="0"/>
    <s v="Vestido"/>
    <s v="Gris"/>
    <s v="Tommy"/>
    <s v="MER-A0-1605"/>
    <d v="2024-08-01T00:00:00"/>
    <x v="0"/>
    <n v="89.88"/>
    <n v="0.3"/>
    <n v="27.96"/>
    <x v="0"/>
    <s v="No"/>
    <d v="2024-08-01T00:00:00"/>
    <n v="0"/>
  </r>
  <r>
    <s v="DEP-A0-1080"/>
    <x v="0"/>
    <n v="28"/>
    <x v="0"/>
    <s v="Blusa"/>
    <s v="Azul"/>
    <s v="Tommy"/>
    <s v="MER-A0-1080"/>
    <d v="2024-08-02T00:00:00"/>
    <x v="0"/>
    <n v="58.91"/>
    <n v="0.1"/>
    <n v="62.379000000000005"/>
    <x v="0"/>
    <s v="No"/>
    <d v="2024-08-02T00:00:00"/>
    <n v="0"/>
  </r>
  <r>
    <s v="DEP-A0-4700"/>
    <x v="1"/>
    <n v="31"/>
    <x v="0"/>
    <s v="Zapatos"/>
    <s v="Negro"/>
    <s v="Tommy"/>
    <s v="MER-A0-4700"/>
    <d v="2024-08-03T00:00:00"/>
    <x v="0"/>
    <n v="60.18"/>
    <n v="0"/>
    <n v="90.801000000000002"/>
    <x v="0"/>
    <s v="No"/>
    <d v="2024-08-03T00:00:00"/>
    <n v="0"/>
  </r>
  <r>
    <s v="DEP-A0-1790"/>
    <x v="0"/>
    <n v="27"/>
    <x v="0"/>
    <s v="Falda"/>
    <s v="Negro"/>
    <s v="Tommy"/>
    <s v="MER-A0-1790"/>
    <d v="2024-08-04T00:00:00"/>
    <x v="0"/>
    <n v="72.599999999999994"/>
    <n v="0.3"/>
    <n v="112.36499999999999"/>
    <x v="0"/>
    <s v="No"/>
    <d v="2024-08-04T00:00:00"/>
    <n v="0"/>
  </r>
  <r>
    <s v="DEP-A0-0451"/>
    <x v="0"/>
    <n v="21"/>
    <x v="0"/>
    <s v="Vestido"/>
    <s v="Rojo"/>
    <s v="Levis"/>
    <s v="MER-A0-0451"/>
    <d v="2024-08-04T00:00:00"/>
    <x v="0"/>
    <n v="183.37"/>
    <n v="0"/>
    <n v="112.509"/>
    <x v="0"/>
    <s v="No"/>
    <d v="2024-08-04T00:00:00"/>
    <n v="0"/>
  </r>
  <r>
    <s v="DEP-A0-2380"/>
    <x v="0"/>
    <n v="24"/>
    <x v="0"/>
    <s v="Falda"/>
    <s v="Azul"/>
    <s v="Levis"/>
    <s v="MER-A0-2380"/>
    <d v="2024-08-05T00:00:00"/>
    <x v="0"/>
    <n v="141.47"/>
    <n v="0.3"/>
    <n v="122.11199999999999"/>
    <x v="0"/>
    <s v="No"/>
    <d v="2024-08-05T00:00:00"/>
    <n v="0"/>
  </r>
  <r>
    <s v="DEP-A0-3315"/>
    <x v="0"/>
    <n v="21"/>
    <x v="0"/>
    <s v="Chaqueta"/>
    <s v="Amarillo"/>
    <s v="Tommy"/>
    <s v="MER-A0-3315"/>
    <d v="2024-08-06T00:00:00"/>
    <x v="0"/>
    <n v="21.49"/>
    <n v="0.1"/>
    <n v="109.94200000000001"/>
    <x v="0"/>
    <s v="No"/>
    <d v="2024-08-06T00:00:00"/>
    <n v="0"/>
  </r>
  <r>
    <s v="DEP-A0-2710"/>
    <x v="0"/>
    <n v="26"/>
    <x v="0"/>
    <s v="Falda"/>
    <s v="Rojo"/>
    <s v="Adidas"/>
    <s v="MER-A0-2710"/>
    <d v="2024-08-07T00:00:00"/>
    <x v="0"/>
    <n v="169.51"/>
    <n v="0"/>
    <n v="13.581"/>
    <x v="0"/>
    <s v="No"/>
    <d v="2024-08-07T00:00:00"/>
    <n v="0"/>
  </r>
  <r>
    <s v="DEP-A0-2168"/>
    <x v="0"/>
    <n v="20"/>
    <x v="0"/>
    <s v="Zapatos"/>
    <s v="Amarillo"/>
    <s v="Zara"/>
    <s v="MER-A0-2168"/>
    <d v="2024-08-09T00:00:00"/>
    <x v="0"/>
    <n v="83.45"/>
    <n v="0.2"/>
    <n v="15.615000000000002"/>
    <x v="0"/>
    <s v="No"/>
    <d v="2024-08-09T00:00:00"/>
    <n v="0"/>
  </r>
  <r>
    <s v="DEP-A0-2465"/>
    <x v="1"/>
    <n v="18"/>
    <x v="0"/>
    <s v="Camisa"/>
    <s v="Blanco"/>
    <s v="Adidas"/>
    <s v="MER-A0-2465"/>
    <d v="2024-08-09T00:00:00"/>
    <x v="0"/>
    <n v="196.74"/>
    <n v="0.3"/>
    <n v="37.28"/>
    <x v="0"/>
    <s v="No"/>
    <d v="2024-08-09T00:00:00"/>
    <n v="0"/>
  </r>
  <r>
    <s v="DEP-A0-2086"/>
    <x v="1"/>
    <n v="20"/>
    <x v="0"/>
    <s v="Chaqueta"/>
    <s v="Azul"/>
    <s v="Adidas"/>
    <s v="MER-A0-2086"/>
    <d v="2024-08-11T00:00:00"/>
    <x v="0"/>
    <n v="98.67"/>
    <n v="0.3"/>
    <n v="46.896000000000001"/>
    <x v="0"/>
    <s v="No"/>
    <d v="2024-08-11T00:00:00"/>
    <n v="0"/>
  </r>
  <r>
    <s v="DEP-A0-0071"/>
    <x v="0"/>
    <n v="22"/>
    <x v="0"/>
    <s v="Vestido"/>
    <s v="Rojo"/>
    <s v="Tommy"/>
    <s v="MER-A0-0071"/>
    <d v="2024-08-12T00:00:00"/>
    <x v="0"/>
    <n v="34.35"/>
    <n v="0.2"/>
    <n v="57.951000000000001"/>
    <x v="0"/>
    <s v="No"/>
    <d v="2024-08-12T00:00:00"/>
    <n v="0"/>
  </r>
  <r>
    <s v="DEP-A0-2686"/>
    <x v="0"/>
    <n v="32"/>
    <x v="0"/>
    <s v="Vestido"/>
    <s v="Negro"/>
    <s v="Nike"/>
    <s v="MER-A0-2686"/>
    <d v="2024-08-13T00:00:00"/>
    <x v="0"/>
    <n v="101.66"/>
    <n v="0.2"/>
    <n v="63.811999999999998"/>
    <x v="0"/>
    <s v="No"/>
    <d v="2024-08-13T00:00:00"/>
    <n v="0"/>
  </r>
  <r>
    <s v="DEP-A0-3200"/>
    <x v="0"/>
    <n v="26"/>
    <x v="0"/>
    <s v="Chaqueta"/>
    <s v="Rojo"/>
    <s v="Tommy"/>
    <s v="MER-A0-3200"/>
    <d v="2024-08-14T00:00:00"/>
    <x v="0"/>
    <n v="25.21"/>
    <n v="0.3"/>
    <n v="127.18"/>
    <x v="0"/>
    <s v="No"/>
    <d v="2024-08-14T00:00:00"/>
    <n v="0"/>
  </r>
  <r>
    <s v="DEP-A0-0217"/>
    <x v="0"/>
    <n v="22"/>
    <x v="0"/>
    <s v="Pantalón"/>
    <s v="Amarillo"/>
    <s v="Adidas"/>
    <s v="MER-A0-0217"/>
    <d v="2024-08-14T00:00:00"/>
    <x v="0"/>
    <n v="145.30000000000001"/>
    <n v="0.3"/>
    <n v="104.59399999999999"/>
    <x v="0"/>
    <s v="No"/>
    <d v="2024-08-14T00:00:00"/>
    <n v="0"/>
  </r>
  <r>
    <s v="DEP-A0-4835"/>
    <x v="1"/>
    <n v="33"/>
    <x v="0"/>
    <s v="Zapatos"/>
    <s v="Gris"/>
    <s v="Levis"/>
    <s v="MER-A0-4835"/>
    <d v="2024-08-15T00:00:00"/>
    <x v="0"/>
    <n v="115.2"/>
    <n v="0"/>
    <n v="105.49700000000001"/>
    <x v="0"/>
    <s v="No"/>
    <d v="2024-08-15T00:00:00"/>
    <n v="0"/>
  </r>
  <r>
    <s v="DEP-A0-3185"/>
    <x v="0"/>
    <n v="31"/>
    <x v="0"/>
    <s v="Blusa"/>
    <s v="Verde"/>
    <s v="Adidas"/>
    <s v="MER-A0-3185"/>
    <d v="2024-08-17T00:00:00"/>
    <x v="0"/>
    <n v="128.76"/>
    <n v="0.1"/>
    <n v="15.896000000000001"/>
    <x v="0"/>
    <s v="No"/>
    <d v="2024-08-17T00:00:00"/>
    <n v="0"/>
  </r>
  <r>
    <s v="DEP-A0-4507"/>
    <x v="0"/>
    <n v="22"/>
    <x v="0"/>
    <s v="Blusa"/>
    <s v="Blanco"/>
    <s v="Levis"/>
    <s v="MER-A0-4507"/>
    <d v="2024-08-19T00:00:00"/>
    <x v="0"/>
    <n v="187.99"/>
    <n v="0.2"/>
    <n v="64.152000000000001"/>
    <x v="0"/>
    <s v="No"/>
    <d v="2024-08-19T00:00:00"/>
    <n v="0"/>
  </r>
  <r>
    <s v="DEP-A0-3120"/>
    <x v="1"/>
    <n v="35"/>
    <x v="0"/>
    <s v="Camisa"/>
    <s v="Negro"/>
    <s v="Tommy"/>
    <s v="MER-A0-3120"/>
    <d v="2024-08-20T00:00:00"/>
    <x v="0"/>
    <n v="16.670000000000002"/>
    <n v="0"/>
    <n v="66.256"/>
    <x v="0"/>
    <s v="No"/>
    <d v="2024-08-20T00:00:00"/>
    <n v="0"/>
  </r>
  <r>
    <s v="DEP-A0-2246"/>
    <x v="0"/>
    <n v="34"/>
    <x v="0"/>
    <s v="Vestido"/>
    <s v="Verde"/>
    <s v="Nike"/>
    <s v="MER-A0-2246"/>
    <d v="2024-08-20T00:00:00"/>
    <x v="0"/>
    <n v="18.87"/>
    <n v="0"/>
    <n v="81.062999999999988"/>
    <x v="0"/>
    <s v="No"/>
    <d v="2024-08-20T00:00:00"/>
    <n v="0"/>
  </r>
  <r>
    <s v="DEP-A0-1554"/>
    <x v="1"/>
    <n v="30"/>
    <x v="0"/>
    <s v="Zapatos"/>
    <s v="Verde"/>
    <s v="Mango"/>
    <s v="MER-A0-1554"/>
    <d v="2024-08-20T00:00:00"/>
    <x v="0"/>
    <n v="19.47"/>
    <n v="0.2"/>
    <n v="84.698999999999998"/>
    <x v="0"/>
    <s v="No"/>
    <d v="2024-08-20T00:00:00"/>
    <n v="0"/>
  </r>
  <r>
    <s v="DEP-A0-3207"/>
    <x v="0"/>
    <n v="26"/>
    <x v="0"/>
    <s v="Zapatos"/>
    <s v="Amarillo"/>
    <s v="Nike"/>
    <s v="MER-A0-3207"/>
    <d v="2024-08-20T00:00:00"/>
    <x v="0"/>
    <n v="144.19"/>
    <n v="0"/>
    <n v="96.74"/>
    <x v="0"/>
    <s v="No"/>
    <d v="2024-08-20T00:00:00"/>
    <n v="0"/>
  </r>
  <r>
    <s v="DEP-A0-3525"/>
    <x v="1"/>
    <n v="35"/>
    <x v="0"/>
    <s v="Pantalón"/>
    <s v="Gris"/>
    <s v="Puma"/>
    <s v="MER-A0-3525"/>
    <d v="2024-08-21T00:00:00"/>
    <x v="0"/>
    <n v="101.31"/>
    <n v="0.1"/>
    <n v="100.881"/>
    <x v="0"/>
    <s v="No"/>
    <d v="2024-08-21T00:00:00"/>
    <n v="0"/>
  </r>
  <r>
    <s v="DEP-A0-0493"/>
    <x v="0"/>
    <n v="28"/>
    <x v="0"/>
    <s v="Blusa"/>
    <s v="Amarillo"/>
    <s v="Levis"/>
    <s v="MER-A0-0493"/>
    <d v="2024-08-25T00:00:00"/>
    <x v="0"/>
    <n v="14.82"/>
    <n v="0.3"/>
    <n v="129.35300000000001"/>
    <x v="0"/>
    <s v="No"/>
    <d v="2024-08-25T00:00:00"/>
    <n v="0"/>
  </r>
  <r>
    <s v="DEP-A0-0181"/>
    <x v="1"/>
    <n v="28"/>
    <x v="0"/>
    <s v="Chaqueta"/>
    <s v="Azul"/>
    <s v="Mango"/>
    <s v="MER-A0-0181"/>
    <d v="2024-08-25T00:00:00"/>
    <x v="0"/>
    <n v="68.56"/>
    <n v="0.1"/>
    <n v="130.739"/>
    <x v="0"/>
    <s v="No"/>
    <d v="2024-08-25T00:00:00"/>
    <n v="0"/>
  </r>
  <r>
    <s v="DEP-A0-2207"/>
    <x v="1"/>
    <n v="29"/>
    <x v="0"/>
    <s v="Chaqueta"/>
    <s v="Amarillo"/>
    <s v="Zara"/>
    <s v="MER-A0-2207"/>
    <d v="2024-08-25T00:00:00"/>
    <x v="0"/>
    <n v="137.66999999999999"/>
    <n v="0.3"/>
    <n v="133.94499999999999"/>
    <x v="0"/>
    <s v="No"/>
    <d v="2024-08-25T00:00:00"/>
    <n v="0"/>
  </r>
  <r>
    <s v="DEP-A0-2551"/>
    <x v="0"/>
    <n v="18"/>
    <x v="0"/>
    <s v="Falda"/>
    <s v="Azul"/>
    <s v="Tommy"/>
    <s v="MER-A0-2551"/>
    <d v="2024-08-25T00:00:00"/>
    <x v="0"/>
    <n v="151.93"/>
    <n v="0"/>
    <n v="154.376"/>
    <x v="0"/>
    <s v="No"/>
    <d v="2024-08-25T00:00:00"/>
    <n v="0"/>
  </r>
  <r>
    <s v="DEP-A0-2973"/>
    <x v="0"/>
    <n v="21"/>
    <x v="0"/>
    <s v="Falda"/>
    <s v="Negro"/>
    <s v="Nike"/>
    <s v="MER-A0-2973"/>
    <d v="2024-08-26T00:00:00"/>
    <x v="0"/>
    <n v="88.1"/>
    <n v="0.1"/>
    <n v="197.65"/>
    <x v="0"/>
    <s v="No"/>
    <d v="2024-08-26T00:00:00"/>
    <n v="0"/>
  </r>
  <r>
    <s v="DEP-A0-3831"/>
    <x v="0"/>
    <n v="28"/>
    <x v="0"/>
    <s v="Pantalón"/>
    <s v="Negro"/>
    <s v="Levis"/>
    <s v="MER-A0-3831"/>
    <d v="2024-08-27T00:00:00"/>
    <x v="0"/>
    <n v="140.53"/>
    <n v="0.3"/>
    <n v="12.291999999999998"/>
    <x v="0"/>
    <s v="No"/>
    <d v="2024-08-27T00:00:00"/>
    <n v="0"/>
  </r>
  <r>
    <s v="DEP-A0-3377"/>
    <x v="0"/>
    <n v="33"/>
    <x v="0"/>
    <s v="Falda"/>
    <s v="Blanco"/>
    <s v="Zara"/>
    <s v="MER-A0-3377"/>
    <d v="2024-08-27T00:00:00"/>
    <x v="0"/>
    <n v="156.38999999999999"/>
    <n v="0"/>
    <n v="41.54"/>
    <x v="0"/>
    <s v="No"/>
    <d v="2024-08-27T00:00:00"/>
    <n v="0"/>
  </r>
  <r>
    <s v="DEP-A0-3517"/>
    <x v="0"/>
    <n v="34"/>
    <x v="0"/>
    <s v="Blusa"/>
    <s v="Azul"/>
    <s v="Nike"/>
    <s v="MER-A0-3517"/>
    <d v="2024-08-28T00:00:00"/>
    <x v="0"/>
    <n v="26.41"/>
    <n v="0.2"/>
    <n v="39.635999999999996"/>
    <x v="0"/>
    <s v="No"/>
    <d v="2024-08-28T00:00:00"/>
    <n v="0"/>
  </r>
  <r>
    <s v="DEP-A0-2181"/>
    <x v="0"/>
    <n v="24"/>
    <x v="0"/>
    <s v="Chaqueta"/>
    <s v="Negro"/>
    <s v="Levis"/>
    <s v="MER-A0-2181"/>
    <d v="2024-08-28T00:00:00"/>
    <x v="0"/>
    <n v="119.03"/>
    <n v="0"/>
    <n v="82.332000000000008"/>
    <x v="0"/>
    <s v="No"/>
    <d v="2024-08-28T00:00:00"/>
    <n v="0"/>
  </r>
  <r>
    <s v="DEP-A0-1944"/>
    <x v="1"/>
    <n v="31"/>
    <x v="0"/>
    <s v="Camisa"/>
    <s v="Rojo"/>
    <s v="Tommy"/>
    <s v="MER-A0-1944"/>
    <d v="2024-08-30T00:00:00"/>
    <x v="0"/>
    <n v="146.86000000000001"/>
    <n v="0.3"/>
    <n v="116.80199999999999"/>
    <x v="0"/>
    <s v="No"/>
    <d v="2024-08-30T00:00:00"/>
    <n v="0"/>
  </r>
  <r>
    <s v="DEP-A0-1853"/>
    <x v="0"/>
    <n v="32"/>
    <x v="0"/>
    <s v="Vestido"/>
    <s v="Negro"/>
    <s v="Tommy"/>
    <s v="MER-A0-1853"/>
    <d v="2024-08-31T00:00:00"/>
    <x v="0"/>
    <n v="26.33"/>
    <n v="0.3"/>
    <n v="126.94500000000001"/>
    <x v="0"/>
    <s v="No"/>
    <d v="2024-08-31T00:00:00"/>
    <n v="0"/>
  </r>
  <r>
    <s v="DEP-A0-1931"/>
    <x v="0"/>
    <n v="29"/>
    <x v="0"/>
    <s v="Vestido"/>
    <s v="Blanco"/>
    <s v="Puma"/>
    <s v="MER-A0-1931"/>
    <d v="2024-08-31T00:00:00"/>
    <x v="0"/>
    <n v="192.15"/>
    <n v="0"/>
    <n v="136.24799999999999"/>
    <x v="0"/>
    <s v="No"/>
    <d v="2024-08-31T00:00:00"/>
    <n v="0"/>
  </r>
  <r>
    <s v="DEP-A0-3704"/>
    <x v="0"/>
    <n v="34"/>
    <x v="0"/>
    <s v="Zapatos"/>
    <s v="Rojo"/>
    <s v="Adidas"/>
    <s v="MER-A0-3704"/>
    <d v="2024-09-01T00:00:00"/>
    <x v="0"/>
    <n v="141.87"/>
    <n v="0.2"/>
    <n v="184.33"/>
    <x v="0"/>
    <s v="No"/>
    <d v="2024-09-01T00:00:00"/>
    <n v="0"/>
  </r>
  <r>
    <s v="DEP-A0-0492"/>
    <x v="0"/>
    <n v="19"/>
    <x v="0"/>
    <s v="Blusa"/>
    <s v="Rojo"/>
    <s v="Puma"/>
    <s v="MER-A0-0492"/>
    <d v="2024-09-02T00:00:00"/>
    <x v="0"/>
    <n v="38.159999999999997"/>
    <n v="0"/>
    <n v="159.00799999999998"/>
    <x v="0"/>
    <s v="No"/>
    <d v="2024-09-02T00:00:00"/>
    <n v="0"/>
  </r>
  <r>
    <s v="DEP-A0-1322"/>
    <x v="0"/>
    <n v="31"/>
    <x v="0"/>
    <s v="Pantalón"/>
    <s v="Verde"/>
    <s v="Nike"/>
    <s v="MER-A0-1322"/>
    <d v="2024-09-02T00:00:00"/>
    <x v="0"/>
    <n v="67.989999999999995"/>
    <n v="0.2"/>
    <n v="8.3040000000000003"/>
    <x v="0"/>
    <s v="No"/>
    <d v="2024-09-02T00:00:00"/>
    <n v="0"/>
  </r>
  <r>
    <s v="DEP-A0-1909"/>
    <x v="0"/>
    <n v="27"/>
    <x v="0"/>
    <s v="Blusa"/>
    <s v="Amarillo"/>
    <s v="Nike"/>
    <s v="MER-A0-1909"/>
    <d v="2024-09-02T00:00:00"/>
    <x v="0"/>
    <n v="114.48"/>
    <n v="0"/>
    <n v="10.179"/>
    <x v="0"/>
    <s v="No"/>
    <d v="2024-09-02T00:00:00"/>
    <n v="0"/>
  </r>
  <r>
    <s v="DEP-A0-3298"/>
    <x v="0"/>
    <n v="23"/>
    <x v="0"/>
    <s v="Camisa"/>
    <s v="Blanco"/>
    <s v="Mango"/>
    <s v="MER-A0-3298"/>
    <d v="2024-09-02T00:00:00"/>
    <x v="0"/>
    <n v="152.86000000000001"/>
    <n v="0.3"/>
    <n v="10.87"/>
    <x v="0"/>
    <s v="No"/>
    <d v="2024-09-02T00:00:00"/>
    <n v="0"/>
  </r>
  <r>
    <s v="DEP-A0-0560"/>
    <x v="1"/>
    <n v="21"/>
    <x v="0"/>
    <s v="Chaqueta"/>
    <s v="Rojo"/>
    <s v="Levis"/>
    <s v="MER-A0-0560"/>
    <d v="2024-09-04T00:00:00"/>
    <x v="0"/>
    <n v="131.08000000000001"/>
    <n v="0.1"/>
    <n v="15"/>
    <x v="0"/>
    <s v="No"/>
    <d v="2024-09-04T00:00:00"/>
    <n v="0"/>
  </r>
  <r>
    <s v="DEP-A0-2405"/>
    <x v="0"/>
    <n v="20"/>
    <x v="0"/>
    <s v="Chaqueta"/>
    <s v="Verde"/>
    <s v="Zara"/>
    <s v="MER-A0-2405"/>
    <d v="2024-09-06T00:00:00"/>
    <x v="0"/>
    <n v="75.42"/>
    <n v="0.1"/>
    <n v="18.559999999999999"/>
    <x v="0"/>
    <s v="No"/>
    <d v="2024-09-06T00:00:00"/>
    <n v="0"/>
  </r>
  <r>
    <s v="DEP-A0-3533"/>
    <x v="0"/>
    <n v="20"/>
    <x v="0"/>
    <s v="Chaqueta"/>
    <s v="Negro"/>
    <s v="Zara"/>
    <s v="MER-A0-3533"/>
    <d v="2024-09-06T00:00:00"/>
    <x v="0"/>
    <n v="169.8"/>
    <n v="0"/>
    <n v="20.37"/>
    <x v="0"/>
    <s v="No"/>
    <d v="2024-09-06T00:00:00"/>
    <n v="0"/>
  </r>
  <r>
    <s v="DEP-A0-0605"/>
    <x v="0"/>
    <n v="33"/>
    <x v="0"/>
    <s v="Pantalón"/>
    <s v="Rojo"/>
    <s v="Puma"/>
    <s v="MER-A0-0605"/>
    <d v="2024-09-08T00:00:00"/>
    <x v="0"/>
    <n v="156.38"/>
    <n v="0.1"/>
    <n v="27.007999999999999"/>
    <x v="0"/>
    <s v="No"/>
    <d v="2024-09-08T00:00:00"/>
    <n v="0"/>
  </r>
  <r>
    <s v="DEP-A0-4238"/>
    <x v="1"/>
    <n v="26"/>
    <x v="0"/>
    <s v="Zapatos"/>
    <s v="Azul"/>
    <s v="Zara"/>
    <s v="MER-A0-4238"/>
    <d v="2024-09-09T00:00:00"/>
    <x v="0"/>
    <n v="53.55"/>
    <n v="0"/>
    <n v="27.416000000000004"/>
    <x v="0"/>
    <s v="No"/>
    <d v="2024-09-09T00:00:00"/>
    <n v="0"/>
  </r>
  <r>
    <s v="DEP-A0-2436"/>
    <x v="1"/>
    <n v="20"/>
    <x v="0"/>
    <s v="Pantalón"/>
    <s v="Verde"/>
    <s v="Puma"/>
    <s v="MER-A0-2436"/>
    <d v="2024-09-09T00:00:00"/>
    <x v="0"/>
    <n v="158.62"/>
    <n v="0.2"/>
    <n v="27.992000000000001"/>
    <x v="0"/>
    <s v="No"/>
    <d v="2024-09-09T00:00:00"/>
    <n v="0"/>
  </r>
  <r>
    <s v="DEP-A0-4684"/>
    <x v="0"/>
    <n v="18"/>
    <x v="0"/>
    <s v="Camisa"/>
    <s v="Blanco"/>
    <s v="Zara"/>
    <s v="MER-A0-4684"/>
    <d v="2024-09-10T00:00:00"/>
    <x v="0"/>
    <n v="40.770000000000003"/>
    <n v="0"/>
    <n v="28.399000000000001"/>
    <x v="0"/>
    <s v="No"/>
    <d v="2024-09-10T00:00:00"/>
    <n v="0"/>
  </r>
  <r>
    <s v="DEP-A0-1545"/>
    <x v="0"/>
    <n v="21"/>
    <x v="0"/>
    <s v="Blusa"/>
    <s v="Amarillo"/>
    <s v="Puma"/>
    <s v="MER-A0-1545"/>
    <d v="2024-09-10T00:00:00"/>
    <x v="0"/>
    <n v="161.54"/>
    <n v="0.1"/>
    <n v="30.495999999999999"/>
    <x v="0"/>
    <s v="No"/>
    <d v="2024-09-10T00:00:00"/>
    <n v="0"/>
  </r>
  <r>
    <s v="DEP-A0-3538"/>
    <x v="1"/>
    <n v="29"/>
    <x v="0"/>
    <s v="Chaqueta"/>
    <s v="Verde"/>
    <s v="Puma"/>
    <s v="MER-A0-3538"/>
    <d v="2024-09-10T00:00:00"/>
    <x v="0"/>
    <n v="188.39"/>
    <n v="0.3"/>
    <n v="30.81"/>
    <x v="0"/>
    <s v="No"/>
    <d v="2024-09-10T00:00:00"/>
    <n v="0"/>
  </r>
  <r>
    <s v="DEP-A0-0540"/>
    <x v="1"/>
    <n v="20"/>
    <x v="0"/>
    <s v="Zapatos"/>
    <s v="Gris"/>
    <s v="Nike"/>
    <s v="MER-A0-0540"/>
    <d v="2024-09-12T00:00:00"/>
    <x v="0"/>
    <n v="89.79"/>
    <n v="0.3"/>
    <n v="33.792000000000002"/>
    <x v="0"/>
    <s v="No"/>
    <d v="2024-09-12T00:00:00"/>
    <n v="0"/>
  </r>
  <r>
    <s v="DEP-A0-4806"/>
    <x v="0"/>
    <n v="21"/>
    <x v="0"/>
    <s v="Falda"/>
    <s v="Amarillo"/>
    <s v="Zara"/>
    <s v="MER-A0-4806"/>
    <d v="2024-09-12T00:00:00"/>
    <x v="0"/>
    <n v="155.31"/>
    <n v="0"/>
    <n v="34.152999999999999"/>
    <x v="0"/>
    <s v="No"/>
    <d v="2024-09-12T00:00:00"/>
    <n v="0"/>
  </r>
  <r>
    <s v="DEP-A0-2767"/>
    <x v="0"/>
    <n v="22"/>
    <x v="0"/>
    <s v="Zapatos"/>
    <s v="Amarillo"/>
    <s v="Mango"/>
    <s v="MER-A0-2767"/>
    <d v="2024-09-13T00:00:00"/>
    <x v="0"/>
    <n v="58.37"/>
    <n v="0.1"/>
    <n v="36.001000000000005"/>
    <x v="0"/>
    <s v="No"/>
    <d v="2024-09-13T00:00:00"/>
    <n v="0"/>
  </r>
  <r>
    <s v="DEP-A0-4956"/>
    <x v="0"/>
    <n v="24"/>
    <x v="0"/>
    <s v="Falda"/>
    <s v="Azul"/>
    <s v="Puma"/>
    <s v="MER-A0-4956"/>
    <d v="2024-09-14T00:00:00"/>
    <x v="0"/>
    <n v="167.48"/>
    <n v="0.2"/>
    <n v="36.686999999999998"/>
    <x v="0"/>
    <s v="No"/>
    <d v="2024-09-14T00:00:00"/>
    <n v="0"/>
  </r>
  <r>
    <s v="DEP-A0-0256"/>
    <x v="0"/>
    <n v="22"/>
    <x v="0"/>
    <s v="Camisa"/>
    <s v="Azul"/>
    <s v="Levis"/>
    <s v="MER-A0-0256"/>
    <d v="2024-09-17T00:00:00"/>
    <x v="0"/>
    <n v="57.81"/>
    <n v="0.3"/>
    <n v="40.248000000000005"/>
    <x v="0"/>
    <s v="No"/>
    <d v="2024-09-17T00:00:00"/>
    <n v="0"/>
  </r>
  <r>
    <s v="DEP-A0-0857"/>
    <x v="0"/>
    <n v="22"/>
    <x v="0"/>
    <s v="Zapatos"/>
    <s v="Amarillo"/>
    <s v="Levis"/>
    <s v="MER-A0-0857"/>
    <d v="2024-09-19T00:00:00"/>
    <x v="0"/>
    <n v="14.84"/>
    <n v="0.2"/>
    <n v="43.281000000000006"/>
    <x v="0"/>
    <s v="No"/>
    <d v="2024-09-19T00:00:00"/>
    <n v="0"/>
  </r>
  <r>
    <s v="DEP-A0-0580"/>
    <x v="0"/>
    <n v="32"/>
    <x v="0"/>
    <s v="Falda"/>
    <s v="Amarillo"/>
    <s v="Adidas"/>
    <s v="MER-A0-0580"/>
    <d v="2024-09-19T00:00:00"/>
    <x v="0"/>
    <n v="141.76"/>
    <n v="0.2"/>
    <n v="44.62"/>
    <x v="0"/>
    <s v="No"/>
    <d v="2024-09-19T00:00:00"/>
    <n v="0"/>
  </r>
  <r>
    <s v="DEP-A0-3877"/>
    <x v="0"/>
    <n v="18"/>
    <x v="0"/>
    <s v="Camisa"/>
    <s v="Rojo"/>
    <s v="Zara"/>
    <s v="MER-A0-3877"/>
    <d v="2024-09-21T00:00:00"/>
    <x v="0"/>
    <n v="22.53"/>
    <n v="0.2"/>
    <n v="45.478999999999999"/>
    <x v="0"/>
    <s v="No"/>
    <d v="2024-09-21T00:00:00"/>
    <n v="0"/>
  </r>
  <r>
    <s v="DEP-A0-2571"/>
    <x v="0"/>
    <n v="21"/>
    <x v="0"/>
    <s v="Zapatos"/>
    <s v="Gris"/>
    <s v="Adidas"/>
    <s v="MER-A0-2571"/>
    <d v="2024-09-21T00:00:00"/>
    <x v="0"/>
    <n v="27.19"/>
    <n v="0.1"/>
    <n v="45.619"/>
    <x v="0"/>
    <s v="No"/>
    <d v="2024-09-21T00:00:00"/>
    <n v="0"/>
  </r>
  <r>
    <s v="DEP-A0-3055"/>
    <x v="0"/>
    <n v="25"/>
    <x v="0"/>
    <s v="Falda"/>
    <s v="Amarillo"/>
    <s v="Adidas"/>
    <s v="MER-A0-3055"/>
    <d v="2024-09-22T00:00:00"/>
    <x v="0"/>
    <n v="34.229999999999997"/>
    <n v="0"/>
    <n v="46.695999999999998"/>
    <x v="0"/>
    <s v="No"/>
    <d v="2024-09-22T00:00:00"/>
    <n v="0"/>
  </r>
  <r>
    <s v="DEP-A0-1011"/>
    <x v="0"/>
    <n v="35"/>
    <x v="0"/>
    <s v="Pantalón"/>
    <s v="Verde"/>
    <s v="Nike"/>
    <s v="MER-A0-1011"/>
    <d v="2024-09-22T00:00:00"/>
    <x v="0"/>
    <n v="128.11000000000001"/>
    <n v="0"/>
    <n v="46.865000000000002"/>
    <x v="0"/>
    <s v="No"/>
    <d v="2024-09-22T00:00:00"/>
    <n v="0"/>
  </r>
  <r>
    <s v="DEP-A0-1288"/>
    <x v="0"/>
    <n v="25"/>
    <x v="0"/>
    <s v="Falda"/>
    <s v="Gris"/>
    <s v="Adidas"/>
    <s v="MER-A0-1288"/>
    <d v="2024-09-22T00:00:00"/>
    <x v="0"/>
    <n v="135.58000000000001"/>
    <n v="0.2"/>
    <n v="47.192"/>
    <x v="0"/>
    <s v="No"/>
    <d v="2024-09-22T00:00:00"/>
    <n v="0"/>
  </r>
  <r>
    <s v="DEP-A0-1889"/>
    <x v="0"/>
    <n v="19"/>
    <x v="0"/>
    <s v="Vestido"/>
    <s v="Verde"/>
    <s v="Tommy"/>
    <s v="MER-A0-1889"/>
    <d v="2024-09-22T00:00:00"/>
    <x v="0"/>
    <n v="161.94999999999999"/>
    <n v="0.1"/>
    <n v="48.158999999999999"/>
    <x v="0"/>
    <s v="No"/>
    <d v="2024-09-22T00:00:00"/>
    <n v="0"/>
  </r>
  <r>
    <s v="DEP-A0-2318"/>
    <x v="0"/>
    <n v="23"/>
    <x v="0"/>
    <s v="Chaqueta"/>
    <s v="Azul"/>
    <s v="Mango"/>
    <s v="MER-A0-2318"/>
    <d v="2024-09-25T00:00:00"/>
    <x v="0"/>
    <n v="81.63"/>
    <n v="0.1"/>
    <n v="52.335000000000001"/>
    <x v="0"/>
    <s v="No"/>
    <d v="2024-09-25T00:00:00"/>
    <n v="0"/>
  </r>
  <r>
    <s v="DEP-A0-1746"/>
    <x v="0"/>
    <n v="22"/>
    <x v="0"/>
    <s v="Vestido"/>
    <s v="Verde"/>
    <s v="Mango"/>
    <s v="MER-A0-1746"/>
    <d v="2024-09-25T00:00:00"/>
    <x v="0"/>
    <n v="134.22"/>
    <n v="0.1"/>
    <n v="56.28"/>
    <x v="0"/>
    <s v="No"/>
    <d v="2024-09-25T00:00:00"/>
    <n v="0"/>
  </r>
  <r>
    <s v="DEP-A0-3706"/>
    <x v="0"/>
    <n v="29"/>
    <x v="0"/>
    <s v="Pantalón"/>
    <s v="Verde"/>
    <s v="Mango"/>
    <s v="MER-A0-3706"/>
    <d v="2024-09-25T00:00:00"/>
    <x v="0"/>
    <n v="165.48"/>
    <n v="0"/>
    <n v="57.43"/>
    <x v="0"/>
    <s v="No"/>
    <d v="2024-09-25T00:00:00"/>
    <n v="0"/>
  </r>
  <r>
    <s v="DEP-A0-3047"/>
    <x v="0"/>
    <n v="23"/>
    <x v="0"/>
    <s v="Zapatos"/>
    <s v="Gris"/>
    <s v="Nike"/>
    <s v="MER-A0-3047"/>
    <d v="2024-09-25T00:00:00"/>
    <x v="0"/>
    <n v="182.41"/>
    <n v="0.1"/>
    <n v="59.129000000000005"/>
    <x v="0"/>
    <s v="No"/>
    <d v="2024-09-25T00:00:00"/>
    <n v="0"/>
  </r>
  <r>
    <s v="DEP-A0-1166"/>
    <x v="1"/>
    <n v="19"/>
    <x v="0"/>
    <s v="Camisa"/>
    <s v="Blanco"/>
    <s v="Nike"/>
    <s v="MER-A0-1166"/>
    <d v="2024-09-28T00:00:00"/>
    <x v="0"/>
    <n v="86.94"/>
    <n v="0.1"/>
    <n v="60.786000000000001"/>
    <x v="0"/>
    <s v="No"/>
    <d v="2024-09-28T00:00:00"/>
    <n v="0"/>
  </r>
  <r>
    <s v="DEP-A0-2599"/>
    <x v="0"/>
    <n v="18"/>
    <x v="0"/>
    <s v="Vestido"/>
    <s v="Azul"/>
    <s v="Tommy"/>
    <s v="MER-A0-2599"/>
    <d v="2024-09-29T00:00:00"/>
    <x v="0"/>
    <n v="102.4"/>
    <n v="0.2"/>
    <n v="62.000999999999998"/>
    <x v="0"/>
    <s v="No"/>
    <d v="2024-09-29T00:00:00"/>
    <n v="0"/>
  </r>
  <r>
    <s v="DEP-A0-1754"/>
    <x v="1"/>
    <n v="31"/>
    <x v="0"/>
    <s v="Zapatos"/>
    <s v="Gris"/>
    <s v="Zara"/>
    <s v="MER-A0-1754"/>
    <d v="2024-09-29T00:00:00"/>
    <x v="0"/>
    <n v="123.99"/>
    <n v="0.1"/>
    <n v="62.84"/>
    <x v="0"/>
    <s v="No"/>
    <d v="2024-09-29T00:00:00"/>
    <n v="0"/>
  </r>
  <r>
    <s v="DEP-A0-3006"/>
    <x v="1"/>
    <n v="21"/>
    <x v="0"/>
    <s v="Chaqueta"/>
    <s v="Amarillo"/>
    <s v="Adidas"/>
    <s v="MER-A0-3006"/>
    <d v="2024-09-30T00:00:00"/>
    <x v="0"/>
    <n v="93.38"/>
    <n v="0.2"/>
    <n v="63.184000000000005"/>
    <x v="0"/>
    <s v="No"/>
    <d v="2024-09-30T00:00:00"/>
    <n v="0"/>
  </r>
  <r>
    <s v="DEP-A0-1043"/>
    <x v="0"/>
    <n v="35"/>
    <x v="0"/>
    <s v="Chaqueta"/>
    <s v="Gris"/>
    <s v="Zara"/>
    <s v="MER-A0-1043"/>
    <d v="2024-10-01T00:00:00"/>
    <x v="0"/>
    <n v="80.650000000000006"/>
    <n v="0"/>
    <n v="65.736000000000004"/>
    <x v="0"/>
    <s v="No"/>
    <d v="2024-10-01T00:00:00"/>
    <n v="0"/>
  </r>
  <r>
    <s v="DEP-A0-3005"/>
    <x v="0"/>
    <n v="27"/>
    <x v="0"/>
    <s v="Blusa"/>
    <s v="Blanco"/>
    <s v="Adidas"/>
    <s v="MER-A0-3005"/>
    <d v="2024-10-03T00:00:00"/>
    <x v="0"/>
    <n v="100.4"/>
    <n v="0.2"/>
    <n v="67.384"/>
    <x v="0"/>
    <s v="No"/>
    <d v="2024-10-03T00:00:00"/>
    <n v="0"/>
  </r>
  <r>
    <s v="DEP-A0-3717"/>
    <x v="0"/>
    <n v="34"/>
    <x v="0"/>
    <s v="Chaqueta"/>
    <s v="Amarillo"/>
    <s v="Levis"/>
    <s v="MER-A0-3717"/>
    <d v="2024-10-05T00:00:00"/>
    <x v="0"/>
    <n v="43.05"/>
    <n v="0"/>
    <n v="73.248000000000005"/>
    <x v="0"/>
    <s v="No"/>
    <d v="2024-10-05T00:00:00"/>
    <n v="0"/>
  </r>
  <r>
    <s v="DEP-A0-1597"/>
    <x v="0"/>
    <n v="21"/>
    <x v="0"/>
    <s v="Falda"/>
    <s v="Amarillo"/>
    <s v="Nike"/>
    <s v="MER-A0-1597"/>
    <d v="2024-10-06T00:00:00"/>
    <x v="0"/>
    <n v="119.39"/>
    <n v="0"/>
    <n v="77.209999999999994"/>
    <x v="0"/>
    <s v="No"/>
    <d v="2024-10-06T00:00:00"/>
    <n v="0"/>
  </r>
  <r>
    <s v="DEP-A0-4720"/>
    <x v="0"/>
    <n v="31"/>
    <x v="0"/>
    <s v="Blusa"/>
    <s v="Rojo"/>
    <s v="Nike"/>
    <s v="MER-A0-4720"/>
    <d v="2024-10-09T00:00:00"/>
    <x v="0"/>
    <n v="98.65"/>
    <n v="0.2"/>
    <n v="85.567999999999998"/>
    <x v="0"/>
    <s v="No"/>
    <d v="2024-10-09T00:00:00"/>
    <n v="0"/>
  </r>
  <r>
    <s v="DEP-A0-1367"/>
    <x v="0"/>
    <n v="34"/>
    <x v="0"/>
    <s v="Zapatos"/>
    <s v="Rojo"/>
    <s v="Mango"/>
    <s v="MER-A0-1367"/>
    <d v="2024-10-09T00:00:00"/>
    <x v="0"/>
    <n v="128.69999999999999"/>
    <n v="0"/>
    <n v="87.198999999999998"/>
    <x v="0"/>
    <s v="No"/>
    <d v="2024-10-09T00:00:00"/>
    <n v="0"/>
  </r>
  <r>
    <s v="DEP-A0-0526"/>
    <x v="0"/>
    <n v="27"/>
    <x v="0"/>
    <s v="Chaqueta"/>
    <s v="Azul"/>
    <s v="Adidas"/>
    <s v="MER-A0-0526"/>
    <d v="2024-10-10T00:00:00"/>
    <x v="0"/>
    <n v="49.76"/>
    <n v="0.1"/>
    <n v="87.567999999999998"/>
    <x v="0"/>
    <s v="No"/>
    <d v="2024-10-10T00:00:00"/>
    <n v="0"/>
  </r>
  <r>
    <s v="DEP-A0-3030"/>
    <x v="0"/>
    <n v="20"/>
    <x v="0"/>
    <s v="Falda"/>
    <s v="Verde"/>
    <s v="Puma"/>
    <s v="MER-A0-3030"/>
    <d v="2024-10-10T00:00:00"/>
    <x v="0"/>
    <n v="87.6"/>
    <n v="0.3"/>
    <n v="87.738"/>
    <x v="0"/>
    <s v="No"/>
    <d v="2024-10-10T00:00:00"/>
    <n v="0"/>
  </r>
  <r>
    <s v="DEP-A0-2159"/>
    <x v="0"/>
    <n v="32"/>
    <x v="0"/>
    <s v="Blusa"/>
    <s v="Azul"/>
    <s v="Nike"/>
    <s v="MER-A0-2159"/>
    <d v="2024-10-11T00:00:00"/>
    <x v="0"/>
    <n v="192.02"/>
    <n v="0.1"/>
    <n v="88.838999999999999"/>
    <x v="0"/>
    <s v="No"/>
    <d v="2024-10-11T00:00:00"/>
    <n v="0"/>
  </r>
  <r>
    <s v="DEP-A0-4401"/>
    <x v="0"/>
    <n v="24"/>
    <x v="0"/>
    <s v="Blusa"/>
    <s v="Gris"/>
    <s v="Levis"/>
    <s v="MER-A0-4401"/>
    <d v="2024-10-12T00:00:00"/>
    <x v="0"/>
    <n v="91.97"/>
    <n v="0.1"/>
    <n v="90.87299999999999"/>
    <x v="0"/>
    <s v="No"/>
    <d v="2024-10-12T00:00:00"/>
    <n v="0"/>
  </r>
  <r>
    <s v="DEP-A0-4795"/>
    <x v="1"/>
    <n v="25"/>
    <x v="0"/>
    <s v="Chaqueta"/>
    <s v="Gris"/>
    <s v="Levis"/>
    <s v="MER-A0-4795"/>
    <d v="2024-10-14T00:00:00"/>
    <x v="0"/>
    <n v="58.83"/>
    <n v="0.1"/>
    <n v="92.743000000000009"/>
    <x v="0"/>
    <s v="No"/>
    <d v="2024-10-14T00:00:00"/>
    <n v="0"/>
  </r>
  <r>
    <s v="DEP-A0-4121"/>
    <x v="1"/>
    <n v="31"/>
    <x v="0"/>
    <s v="Camisa"/>
    <s v="Azul"/>
    <s v="Tommy"/>
    <s v="MER-A0-4121"/>
    <d v="2024-10-16T00:00:00"/>
    <x v="0"/>
    <n v="24.96"/>
    <n v="0.3"/>
    <n v="94.016999999999996"/>
    <x v="0"/>
    <s v="No"/>
    <d v="2024-10-16T00:00:00"/>
    <n v="0"/>
  </r>
  <r>
    <s v="DEP-A0-4644"/>
    <x v="1"/>
    <n v="35"/>
    <x v="0"/>
    <s v="Camisa"/>
    <s v="Rojo"/>
    <s v="Zara"/>
    <s v="MER-A0-4644"/>
    <d v="2024-10-16T00:00:00"/>
    <x v="0"/>
    <n v="140.43"/>
    <n v="0"/>
    <n v="95.25"/>
    <x v="0"/>
    <s v="No"/>
    <d v="2024-10-16T00:00:00"/>
    <n v="0"/>
  </r>
  <r>
    <s v="DEP-A0-0122"/>
    <x v="0"/>
    <n v="25"/>
    <x v="0"/>
    <s v="Pantalón"/>
    <s v="Amarillo"/>
    <s v="Puma"/>
    <s v="MER-A0-0122"/>
    <d v="2024-10-17T00:00:00"/>
    <x v="0"/>
    <n v="159.68"/>
    <n v="0.2"/>
    <n v="98.88300000000001"/>
    <x v="0"/>
    <s v="No"/>
    <d v="2024-10-17T00:00:00"/>
    <n v="0"/>
  </r>
  <r>
    <s v="DEP-A0-3008"/>
    <x v="1"/>
    <n v="21"/>
    <x v="0"/>
    <s v="Camisa"/>
    <s v="Verde"/>
    <s v="Tommy"/>
    <s v="MER-A0-3008"/>
    <d v="2024-10-20T00:00:00"/>
    <x v="0"/>
    <n v="25.48"/>
    <n v="0"/>
    <n v="106.12"/>
    <x v="0"/>
    <s v="No"/>
    <d v="2024-10-20T00:00:00"/>
    <n v="0"/>
  </r>
  <r>
    <s v="DEP-A0-1868"/>
    <x v="0"/>
    <n v="33"/>
    <x v="0"/>
    <s v="Pantalón"/>
    <s v="Negro"/>
    <s v="Mango"/>
    <s v="MER-A0-1868"/>
    <d v="2024-10-21T00:00:00"/>
    <x v="0"/>
    <n v="28.65"/>
    <n v="0.2"/>
    <n v="108.369"/>
    <x v="0"/>
    <s v="No"/>
    <d v="2024-10-21T00:00:00"/>
    <n v="0"/>
  </r>
  <r>
    <s v="DEP-A0-1212"/>
    <x v="0"/>
    <n v="33"/>
    <x v="0"/>
    <s v="Falda"/>
    <s v="Blanco"/>
    <s v="Mango"/>
    <s v="MER-A0-1212"/>
    <d v="2024-10-23T00:00:00"/>
    <x v="0"/>
    <n v="14.57"/>
    <n v="0.1"/>
    <n v="110.97"/>
    <x v="0"/>
    <s v="No"/>
    <d v="2024-10-23T00:00:00"/>
    <n v="0"/>
  </r>
  <r>
    <s v="DEP-A0-4186"/>
    <x v="1"/>
    <n v="23"/>
    <x v="0"/>
    <s v="Pantalón"/>
    <s v="Amarillo"/>
    <s v="Nike"/>
    <s v="MER-A0-4186"/>
    <d v="2024-10-25T00:00:00"/>
    <x v="0"/>
    <n v="61.86"/>
    <n v="0.2"/>
    <n v="116.16800000000001"/>
    <x v="0"/>
    <s v="No"/>
    <d v="2024-10-25T00:00:00"/>
    <n v="0"/>
  </r>
  <r>
    <s v="DEP-A0-2524"/>
    <x v="0"/>
    <n v="19"/>
    <x v="0"/>
    <s v="Chaqueta"/>
    <s v="Gris"/>
    <s v="Nike"/>
    <s v="MER-A0-2524"/>
    <d v="2024-10-27T00:00:00"/>
    <x v="0"/>
    <n v="10.64"/>
    <n v="0.1"/>
    <n v="119.98"/>
    <x v="0"/>
    <s v="No"/>
    <d v="2024-10-27T00:00:00"/>
    <n v="0"/>
  </r>
  <r>
    <s v="DEP-A0-0577"/>
    <x v="0"/>
    <n v="22"/>
    <x v="0"/>
    <s v="Pantalón"/>
    <s v="Verde"/>
    <s v="Levis"/>
    <s v="MER-A0-0577"/>
    <d v="2024-10-27T00:00:00"/>
    <x v="0"/>
    <n v="104.49"/>
    <n v="0.3"/>
    <n v="120.3"/>
    <x v="0"/>
    <s v="No"/>
    <d v="2024-10-27T00:00:00"/>
    <n v="0"/>
  </r>
  <r>
    <s v="DEP-A0-1197"/>
    <x v="0"/>
    <n v="29"/>
    <x v="0"/>
    <s v="Vestido"/>
    <s v="Gris"/>
    <s v="Zara"/>
    <s v="MER-A0-1197"/>
    <d v="2024-10-28T00:00:00"/>
    <x v="0"/>
    <n v="35.9"/>
    <n v="0.2"/>
    <n v="121.85"/>
    <x v="0"/>
    <s v="No"/>
    <d v="2024-10-28T00:00:00"/>
    <n v="0"/>
  </r>
  <r>
    <s v="DEP-A0-4096"/>
    <x v="1"/>
    <n v="31"/>
    <x v="0"/>
    <s v="Camisa"/>
    <s v="Rojo"/>
    <s v="Adidas"/>
    <s v="MER-A0-4096"/>
    <d v="2024-10-28T00:00:00"/>
    <x v="0"/>
    <n v="189.65"/>
    <n v="0.1"/>
    <n v="125.048"/>
    <x v="0"/>
    <s v="No"/>
    <d v="2024-10-28T00:00:00"/>
    <n v="0"/>
  </r>
  <r>
    <s v="DEP-A0-2841"/>
    <x v="0"/>
    <n v="34"/>
    <x v="0"/>
    <s v="Blusa"/>
    <s v="Gris"/>
    <s v="Zara"/>
    <s v="MER-A0-2841"/>
    <d v="2024-11-28T00:00:00"/>
    <x v="0"/>
    <n v="39.56"/>
    <n v="0.3"/>
    <n v="129.72"/>
    <x v="0"/>
    <s v="No"/>
    <d v="2024-07-02T00:00:00"/>
    <n v="0"/>
  </r>
  <r>
    <s v="DEP-A0-2823"/>
    <x v="0"/>
    <n v="22"/>
    <x v="0"/>
    <s v="Camisa"/>
    <s v="Verde"/>
    <s v="Zara"/>
    <s v="MER-A0-2823"/>
    <d v="2024-11-28T00:00:00"/>
    <x v="0"/>
    <n v="102.61"/>
    <n v="0.2"/>
    <n v="135.94400000000002"/>
    <x v="0"/>
    <s v="No"/>
    <d v="2024-07-06T00:00:00"/>
    <n v="0"/>
  </r>
  <r>
    <s v="DEP-A0-4712"/>
    <x v="1"/>
    <n v="29"/>
    <x v="0"/>
    <s v="Zapatos"/>
    <s v="Rojo"/>
    <s v="Levis"/>
    <s v="MER-A0-4712"/>
    <d v="2024-11-28T00:00:00"/>
    <x v="0"/>
    <n v="154.99"/>
    <n v="0.1"/>
    <n v="136.125"/>
    <x v="0"/>
    <s v="No"/>
    <d v="2024-07-08T00:00:00"/>
    <n v="0"/>
  </r>
  <r>
    <s v="DEP-A0-3439"/>
    <x v="0"/>
    <n v="19"/>
    <x v="0"/>
    <s v="Chaqueta"/>
    <s v="Azul"/>
    <s v="Levis"/>
    <s v="MER-A0-3439"/>
    <d v="2024-11-28T00:00:00"/>
    <x v="0"/>
    <n v="199.81"/>
    <n v="0.1"/>
    <n v="142.23599999999999"/>
    <x v="0"/>
    <s v="No"/>
    <d v="2024-07-11T00:00:00"/>
    <n v="0"/>
  </r>
  <r>
    <s v="DEP-A0-3836"/>
    <x v="0"/>
    <n v="25"/>
    <x v="0"/>
    <s v="Falda"/>
    <s v="Blanco"/>
    <s v="Levis"/>
    <s v="MER-A0-3836"/>
    <d v="2024-11-28T00:00:00"/>
    <x v="0"/>
    <n v="142.22999999999999"/>
    <n v="0.1"/>
    <n v="142.95999999999998"/>
    <x v="0"/>
    <s v="No"/>
    <d v="2024-07-13T00:00:00"/>
    <n v="0"/>
  </r>
  <r>
    <s v="DEP-A0-1715"/>
    <x v="0"/>
    <n v="18"/>
    <x v="0"/>
    <s v="Blusa"/>
    <s v="Blanco"/>
    <s v="Adidas"/>
    <s v="MER-A0-1715"/>
    <d v="2024-11-28T00:00:00"/>
    <x v="0"/>
    <n v="84.32"/>
    <n v="0.1"/>
    <n v="146.59200000000001"/>
    <x v="0"/>
    <s v="No"/>
    <d v="2024-07-16T00:00:00"/>
    <n v="0"/>
  </r>
  <r>
    <s v="DEP-A0-0319"/>
    <x v="0"/>
    <n v="28"/>
    <x v="0"/>
    <s v="Blusa"/>
    <s v="Blanco"/>
    <s v="Tommy"/>
    <s v="MER-A0-0319"/>
    <d v="2024-11-28T00:00:00"/>
    <x v="0"/>
    <n v="113.59"/>
    <n v="0"/>
    <n v="150.22799999999998"/>
    <x v="0"/>
    <s v="No"/>
    <d v="2024-07-17T00:00:00"/>
    <n v="0"/>
  </r>
  <r>
    <s v="DEP-A0-4493"/>
    <x v="0"/>
    <n v="35"/>
    <x v="0"/>
    <s v="Blusa"/>
    <s v="Gris"/>
    <s v="Zara"/>
    <s v="MER-A0-4493"/>
    <d v="2024-11-28T00:00:00"/>
    <x v="0"/>
    <n v="71.55"/>
    <n v="0.1"/>
    <n v="152.65"/>
    <x v="0"/>
    <s v="No"/>
    <d v="2024-07-18T00:00:00"/>
    <n v="0"/>
  </r>
  <r>
    <s v="DEP-A0-0180"/>
    <x v="0"/>
    <n v="34"/>
    <x v="0"/>
    <s v="Falda"/>
    <s v="Negro"/>
    <s v="Zara"/>
    <s v="MER-A0-0180"/>
    <d v="2024-11-28T00:00:00"/>
    <x v="0"/>
    <n v="100.92"/>
    <n v="0.2"/>
    <n v="156.99200000000002"/>
    <x v="0"/>
    <s v="No"/>
    <d v="2024-07-20T00:00:00"/>
    <n v="0"/>
  </r>
  <r>
    <s v="DEP-A0-1582"/>
    <x v="1"/>
    <n v="25"/>
    <x v="0"/>
    <s v="Pantalón"/>
    <s v="Amarillo"/>
    <s v="Zara"/>
    <s v="MER-A0-1582"/>
    <d v="2024-11-28T00:00:00"/>
    <x v="0"/>
    <n v="98.44"/>
    <n v="0.3"/>
    <n v="157.01"/>
    <x v="0"/>
    <s v="No"/>
    <d v="2024-07-22T00:00:00"/>
    <n v="0"/>
  </r>
  <r>
    <s v="DEP-A0-1125"/>
    <x v="1"/>
    <n v="20"/>
    <x v="0"/>
    <s v="Camisa"/>
    <s v="Azul"/>
    <s v="Mango"/>
    <s v="MER-A0-1125"/>
    <d v="2024-11-28T00:00:00"/>
    <x v="0"/>
    <n v="111"/>
    <n v="0"/>
    <n v="157.93"/>
    <x v="0"/>
    <s v="No"/>
    <d v="2024-07-22T00:00:00"/>
    <n v="0"/>
  </r>
  <r>
    <s v="DEP-A0-4690"/>
    <x v="0"/>
    <n v="22"/>
    <x v="0"/>
    <s v="Vestido"/>
    <s v="Amarillo"/>
    <s v="Zara"/>
    <s v="MER-A0-4690"/>
    <d v="2024-11-28T00:00:00"/>
    <x v="0"/>
    <n v="55.11"/>
    <n v="0.1"/>
    <n v="160.88399999999999"/>
    <x v="0"/>
    <s v="No"/>
    <d v="2024-07-25T00:00:00"/>
    <n v="0"/>
  </r>
  <r>
    <s v="DEP-A0-3725"/>
    <x v="1"/>
    <n v="23"/>
    <x v="0"/>
    <s v="Pantalón"/>
    <s v="Gris"/>
    <s v="Levis"/>
    <s v="MER-A0-3725"/>
    <d v="2024-11-28T00:00:00"/>
    <x v="0"/>
    <n v="105.64"/>
    <n v="0.3"/>
    <n v="161.38"/>
    <x v="0"/>
    <s v="No"/>
    <d v="2024-07-25T00:00:00"/>
    <n v="0"/>
  </r>
  <r>
    <s v="DEP-A0-1001"/>
    <x v="0"/>
    <n v="21"/>
    <x v="0"/>
    <s v="Vestido"/>
    <s v="Blanco"/>
    <s v="Zara"/>
    <s v="MER-A0-1001"/>
    <d v="2024-11-28T00:00:00"/>
    <x v="0"/>
    <n v="133.1"/>
    <n v="0.3"/>
    <n v="165.12299999999999"/>
    <x v="0"/>
    <s v="No"/>
    <d v="2024-07-27T00:00:00"/>
    <n v="0"/>
  </r>
  <r>
    <s v="DEP-A0-0796"/>
    <x v="0"/>
    <n v="26"/>
    <x v="0"/>
    <s v="Chaqueta"/>
    <s v="Amarillo"/>
    <s v="Zara"/>
    <s v="MER-A0-0796"/>
    <d v="2024-11-28T00:00:00"/>
    <x v="0"/>
    <n v="168.32"/>
    <n v="0.2"/>
    <n v="169.75800000000001"/>
    <x v="0"/>
    <s v="No"/>
    <d v="2024-07-27T00:00:00"/>
    <n v="0"/>
  </r>
  <r>
    <s v="DEP-A0-2177"/>
    <x v="0"/>
    <n v="25"/>
    <x v="0"/>
    <s v="Vestido"/>
    <s v="Blanco"/>
    <s v="Tommy"/>
    <s v="MER-A0-2177"/>
    <d v="2024-11-28T00:00:00"/>
    <x v="0"/>
    <n v="179.87"/>
    <n v="0"/>
    <n v="170.18"/>
    <x v="0"/>
    <s v="No"/>
    <d v="2024-07-27T00:00:00"/>
    <n v="0"/>
  </r>
  <r>
    <s v="DEP-A0-1059"/>
    <x v="1"/>
    <n v="28"/>
    <x v="0"/>
    <s v="Zapatos"/>
    <s v="Verde"/>
    <s v="Tommy"/>
    <s v="MER-A0-1059"/>
    <d v="2024-11-28T00:00:00"/>
    <x v="0"/>
    <n v="147.82"/>
    <n v="0"/>
    <n v="170.262"/>
    <x v="0"/>
    <s v="No"/>
    <d v="2024-07-28T00:00:00"/>
    <n v="0"/>
  </r>
  <r>
    <s v="DEP-A0-3607"/>
    <x v="0"/>
    <n v="22"/>
    <x v="0"/>
    <s v="Falda"/>
    <s v="Blanco"/>
    <s v="Levis"/>
    <s v="MER-A0-3607"/>
    <d v="2024-11-22T00:00:00"/>
    <x v="0"/>
    <n v="128.77000000000001"/>
    <n v="0.2"/>
    <n v="173.00700000000001"/>
    <x v="0"/>
    <s v="No"/>
    <d v="2024-06-22T00:00:00"/>
    <n v="0"/>
  </r>
  <r>
    <s v="DEP-A0-4949"/>
    <x v="0"/>
    <n v="27"/>
    <x v="0"/>
    <s v="Chaqueta"/>
    <s v="Rojo"/>
    <s v="Nike"/>
    <s v="MER-A0-4949"/>
    <d v="2024-11-22T00:00:00"/>
    <x v="0"/>
    <n v="167.37"/>
    <n v="0.3"/>
    <n v="175.221"/>
    <x v="0"/>
    <s v="No"/>
    <d v="2024-06-22T00:00:00"/>
    <n v="0"/>
  </r>
  <r>
    <s v="DEP-A0-4534"/>
    <x v="0"/>
    <n v="26"/>
    <x v="0"/>
    <s v="Chaqueta"/>
    <s v="Verde"/>
    <s v="Nike"/>
    <s v="MER-A0-4534"/>
    <d v="2024-11-22T00:00:00"/>
    <x v="0"/>
    <n v="25.86"/>
    <n v="0.2"/>
    <n v="188.49"/>
    <x v="0"/>
    <s v="No"/>
    <d v="2024-06-23T00:00:00"/>
    <n v="0"/>
  </r>
  <r>
    <s v="DEP-A0-0567"/>
    <x v="0"/>
    <n v="27"/>
    <x v="0"/>
    <s v="Blusa"/>
    <s v="Azul"/>
    <s v="Puma"/>
    <s v="MER-A0-0567"/>
    <d v="2024-11-22T00:00:00"/>
    <x v="0"/>
    <n v="125.48"/>
    <n v="0"/>
    <n v="194.29"/>
    <x v="0"/>
    <s v="No"/>
    <d v="2024-06-25T00:00:00"/>
    <n v="0"/>
  </r>
  <r>
    <s v="DEP-A0-2153"/>
    <x v="0"/>
    <n v="21"/>
    <x v="0"/>
    <s v="Vestido"/>
    <s v="Rojo"/>
    <s v="Nike"/>
    <s v="MER-A0-2153"/>
    <d v="2024-11-22T00:00:00"/>
    <x v="0"/>
    <n v="183.1"/>
    <n v="0.3"/>
    <n v="196.4"/>
    <x v="0"/>
    <s v="No"/>
    <d v="2024-06-25T00:00:00"/>
    <n v="0"/>
  </r>
  <r>
    <s v="DEP-A0-0758"/>
    <x v="0"/>
    <n v="33"/>
    <x v="0"/>
    <s v="Chaqueta"/>
    <s v="Negro"/>
    <s v="Adidas"/>
    <s v="MER-A0-0758"/>
    <d v="2024-11-28T00:00:00"/>
    <x v="0"/>
    <n v="32.75"/>
    <n v="0.1"/>
    <n v="11.645999999999999"/>
    <x v="0"/>
    <s v="No"/>
    <d v="2024-04-12T00:00:00"/>
    <n v="0"/>
  </r>
  <r>
    <s v="DEP-A0-4661"/>
    <x v="0"/>
    <n v="26"/>
    <x v="0"/>
    <s v="Pantalón"/>
    <s v="Gris"/>
    <s v="Levis"/>
    <s v="MER-A0-4661"/>
    <d v="2024-11-28T00:00:00"/>
    <x v="0"/>
    <n v="151.59"/>
    <n v="0.3"/>
    <n v="13.734"/>
    <x v="0"/>
    <s v="No"/>
    <d v="2024-04-18T00:00:00"/>
    <n v="0"/>
  </r>
  <r>
    <s v="DEP-A0-4632"/>
    <x v="0"/>
    <n v="34"/>
    <x v="0"/>
    <s v="Chaqueta"/>
    <s v="Blanco"/>
    <s v="Nike"/>
    <s v="MER-A0-4632"/>
    <d v="2024-11-28T00:00:00"/>
    <x v="0"/>
    <n v="76.94"/>
    <n v="0"/>
    <n v="16.600000000000001"/>
    <x v="0"/>
    <s v="No"/>
    <d v="2024-04-30T00:00:00"/>
    <n v="0"/>
  </r>
  <r>
    <s v="DEP-A0-0420"/>
    <x v="0"/>
    <n v="21"/>
    <x v="0"/>
    <s v="Camisa"/>
    <s v="Verde"/>
    <s v="Tommy"/>
    <s v="MER-A0-0420"/>
    <d v="2024-11-01T00:00:00"/>
    <x v="0"/>
    <n v="88.82"/>
    <n v="0.2"/>
    <n v="17.765999999999998"/>
    <x v="0"/>
    <s v="No"/>
    <d v="2024-11-01T00:00:00"/>
    <n v="0"/>
  </r>
  <r>
    <s v="DEP-A0-3299"/>
    <x v="1"/>
    <n v="25"/>
    <x v="0"/>
    <s v="Zapatos"/>
    <s v="Blanco"/>
    <s v="Nike"/>
    <s v="MER-A0-3299"/>
    <d v="2024-11-04T00:00:00"/>
    <x v="0"/>
    <n v="43.71"/>
    <n v="0.1"/>
    <n v="27.285999999999998"/>
    <x v="0"/>
    <s v="No"/>
    <d v="2024-11-04T00:00:00"/>
    <n v="0"/>
  </r>
  <r>
    <s v="DEP-A0-3928"/>
    <x v="0"/>
    <n v="18"/>
    <x v="0"/>
    <s v="Zapatos"/>
    <s v="Blanco"/>
    <s v="Mango"/>
    <s v="MER-A0-3928"/>
    <d v="2024-11-04T00:00:00"/>
    <x v="0"/>
    <n v="140.44"/>
    <n v="0.3"/>
    <n v="28.693000000000001"/>
    <x v="0"/>
    <s v="No"/>
    <d v="2024-11-04T00:00:00"/>
    <n v="0"/>
  </r>
  <r>
    <s v="DEP-A0-2362"/>
    <x v="0"/>
    <n v="21"/>
    <x v="0"/>
    <s v="Blusa"/>
    <s v="Amarillo"/>
    <s v="Zara"/>
    <s v="MER-A0-2362"/>
    <d v="2024-11-06T00:00:00"/>
    <x v="0"/>
    <n v="129"/>
    <n v="0.3"/>
    <n v="30.569000000000003"/>
    <x v="0"/>
    <s v="No"/>
    <d v="2024-11-06T00:00:00"/>
    <n v="0"/>
  </r>
  <r>
    <s v="DEP-A0-1114"/>
    <x v="0"/>
    <n v="26"/>
    <x v="0"/>
    <s v="Zapatos"/>
    <s v="Verde"/>
    <s v="Adidas"/>
    <s v="MER-A0-1114"/>
    <d v="2024-11-08T00:00:00"/>
    <x v="0"/>
    <n v="158.24"/>
    <n v="0.1"/>
    <n v="34.677999999999997"/>
    <x v="0"/>
    <s v="No"/>
    <d v="2024-11-08T00:00:00"/>
    <n v="0"/>
  </r>
  <r>
    <s v="DEP-A0-2725"/>
    <x v="0"/>
    <n v="21"/>
    <x v="0"/>
    <s v="Zapatos"/>
    <s v="Verde"/>
    <s v="Tommy"/>
    <s v="MER-A0-2725"/>
    <d v="2024-11-10T00:00:00"/>
    <x v="0"/>
    <n v="24.99"/>
    <n v="0.1"/>
    <n v="40.248000000000005"/>
    <x v="0"/>
    <s v="No"/>
    <d v="2024-11-10T00:00:00"/>
    <n v="0"/>
  </r>
  <r>
    <s v="DEP-A0-4023"/>
    <x v="0"/>
    <n v="27"/>
    <x v="0"/>
    <s v="Vestido"/>
    <s v="Amarillo"/>
    <s v="Levis"/>
    <s v="MER-A0-4023"/>
    <d v="2024-11-11T00:00:00"/>
    <x v="0"/>
    <n v="95.14"/>
    <n v="0.2"/>
    <n v="42.763000000000005"/>
    <x v="0"/>
    <s v="No"/>
    <d v="2024-11-11T00:00:00"/>
    <n v="0"/>
  </r>
  <r>
    <s v="DEP-A0-1722"/>
    <x v="0"/>
    <n v="24"/>
    <x v="0"/>
    <s v="Blusa"/>
    <s v="Rojo"/>
    <s v="Adidas"/>
    <s v="MER-A0-1722"/>
    <d v="2024-11-12T00:00:00"/>
    <x v="0"/>
    <n v="107.85"/>
    <n v="0.3"/>
    <n v="43.442000000000007"/>
    <x v="0"/>
    <s v="No"/>
    <d v="2024-11-12T00:00:00"/>
    <n v="0"/>
  </r>
  <r>
    <s v="DEP-A0-1009"/>
    <x v="0"/>
    <n v="22"/>
    <x v="0"/>
    <s v="Falda"/>
    <s v="Amarillo"/>
    <s v="Puma"/>
    <s v="MER-A0-1009"/>
    <d v="2024-11-12T00:00:00"/>
    <x v="0"/>
    <n v="195.94"/>
    <n v="0"/>
    <n v="45.646999999999991"/>
    <x v="0"/>
    <s v="No"/>
    <d v="2024-11-12T00:00:00"/>
    <n v="0"/>
  </r>
  <r>
    <s v="DEP-A0-4728"/>
    <x v="0"/>
    <n v="34"/>
    <x v="0"/>
    <s v="Blusa"/>
    <s v="Gris"/>
    <s v="Adidas"/>
    <s v="MER-A0-4728"/>
    <d v="2024-11-13T00:00:00"/>
    <x v="0"/>
    <n v="124.51"/>
    <n v="0.1"/>
    <n v="46.95"/>
    <x v="0"/>
    <s v="No"/>
    <d v="2024-11-13T00:00:00"/>
    <n v="0"/>
  </r>
  <r>
    <s v="DEP-A0-1455"/>
    <x v="0"/>
    <n v="30"/>
    <x v="0"/>
    <s v="Camisa"/>
    <s v="Negro"/>
    <s v="Levis"/>
    <s v="MER-A0-1455"/>
    <d v="2024-11-14T00:00:00"/>
    <x v="0"/>
    <n v="72.319999999999993"/>
    <n v="0.1"/>
    <n v="47.870999999999995"/>
    <x v="0"/>
    <s v="No"/>
    <d v="2024-11-14T00:00:00"/>
    <n v="0"/>
  </r>
  <r>
    <s v="DEP-A0-4449"/>
    <x v="0"/>
    <n v="28"/>
    <x v="0"/>
    <s v="Chaqueta"/>
    <s v="Azul"/>
    <s v="Nike"/>
    <s v="MER-A0-4449"/>
    <d v="2024-11-14T00:00:00"/>
    <x v="0"/>
    <n v="96.95"/>
    <n v="0.2"/>
    <n v="49.378"/>
    <x v="0"/>
    <s v="No"/>
    <d v="2024-11-14T00:00:00"/>
    <n v="0"/>
  </r>
  <r>
    <s v="DEP-A0-0418"/>
    <x v="0"/>
    <n v="30"/>
    <x v="0"/>
    <s v="Blusa"/>
    <s v="Azul"/>
    <s v="Adidas"/>
    <s v="MER-A0-0418"/>
    <d v="2024-11-17T00:00:00"/>
    <x v="0"/>
    <n v="189.82"/>
    <n v="0.3"/>
    <n v="59.444999999999993"/>
    <x v="0"/>
    <s v="No"/>
    <d v="2024-11-17T00:00:00"/>
    <n v="0"/>
  </r>
  <r>
    <s v="DEP-A0-2421"/>
    <x v="0"/>
    <n v="33"/>
    <x v="0"/>
    <s v="Chaqueta"/>
    <s v="Rojo"/>
    <s v="Mango"/>
    <s v="MER-A0-2421"/>
    <d v="2024-11-18T00:00:00"/>
    <x v="0"/>
    <n v="179.53"/>
    <n v="0.1"/>
    <n v="61.698"/>
    <x v="0"/>
    <s v="No"/>
    <d v="2024-11-18T00:00:00"/>
    <n v="0"/>
  </r>
  <r>
    <s v="DEP-A0-4128"/>
    <x v="0"/>
    <n v="24"/>
    <x v="0"/>
    <s v="Vestido"/>
    <s v="Rojo"/>
    <s v="Adidas"/>
    <s v="MER-A0-4128"/>
    <d v="2024-11-20T00:00:00"/>
    <x v="0"/>
    <n v="88.97"/>
    <n v="0"/>
    <n v="63.888999999999996"/>
    <x v="0"/>
    <s v="No"/>
    <d v="2024-11-20T00:00:00"/>
    <n v="0"/>
  </r>
  <r>
    <s v="DEP-A0-0954"/>
    <x v="0"/>
    <n v="18"/>
    <x v="0"/>
    <s v="Blusa"/>
    <s v="Blanco"/>
    <s v="Mango"/>
    <s v="MER-A0-0954"/>
    <d v="2024-11-20T00:00:00"/>
    <x v="0"/>
    <n v="107.87"/>
    <n v="0.3"/>
    <n v="65.611000000000004"/>
    <x v="0"/>
    <s v="No"/>
    <d v="2024-11-20T00:00:00"/>
    <n v="0"/>
  </r>
  <r>
    <s v="DEP-A0-0534"/>
    <x v="1"/>
    <n v="28"/>
    <x v="0"/>
    <s v="Chaqueta"/>
    <s v="Gris"/>
    <s v="Nike"/>
    <s v="MER-A0-0534"/>
    <d v="2024-11-20T00:00:00"/>
    <x v="0"/>
    <n v="108.43"/>
    <n v="0.1"/>
    <n v="66.807999999999993"/>
    <x v="0"/>
    <s v="No"/>
    <d v="2024-11-20T00:00:00"/>
    <n v="0"/>
  </r>
  <r>
    <s v="DEP-A0-0699"/>
    <x v="0"/>
    <n v="35"/>
    <x v="0"/>
    <s v="Falda"/>
    <s v="Gris"/>
    <s v="Levis"/>
    <s v="MER-A0-0699"/>
    <d v="2024-11-23T00:00:00"/>
    <x v="0"/>
    <n v="60.54"/>
    <n v="0.1"/>
    <n v="74.695999999999998"/>
    <x v="0"/>
    <s v="No"/>
    <d v="2024-11-23T00:00:00"/>
    <n v="0"/>
  </r>
  <r>
    <s v="DEP-A0-4351"/>
    <x v="0"/>
    <n v="29"/>
    <x v="0"/>
    <s v="Blusa"/>
    <s v="Blanco"/>
    <s v="Nike"/>
    <s v="MER-A0-4351"/>
    <d v="2024-11-23T00:00:00"/>
    <x v="0"/>
    <n v="67.27"/>
    <n v="0.2"/>
    <n v="77.581000000000003"/>
    <x v="0"/>
    <s v="No"/>
    <d v="2024-11-23T00:00:00"/>
    <n v="0"/>
  </r>
  <r>
    <s v="DEP-A0-2585"/>
    <x v="0"/>
    <n v="27"/>
    <x v="0"/>
    <s v="Falda"/>
    <s v="Rojo"/>
    <s v="Zara"/>
    <s v="MER-A0-2585"/>
    <d v="2024-11-23T00:00:00"/>
    <x v="0"/>
    <n v="129.03"/>
    <n v="0.3"/>
    <n v="78.343999999999994"/>
    <x v="0"/>
    <s v="No"/>
    <d v="2024-11-23T00:00:00"/>
    <n v="0"/>
  </r>
  <r>
    <s v="DEP-A0-4007"/>
    <x v="1"/>
    <n v="29"/>
    <x v="0"/>
    <s v="Camisa"/>
    <s v="Rojo"/>
    <s v="Mango"/>
    <s v="MER-A0-4007"/>
    <d v="2024-11-23T00:00:00"/>
    <x v="0"/>
    <n v="161.07"/>
    <n v="0.1"/>
    <n v="79.06"/>
    <x v="0"/>
    <s v="No"/>
    <d v="2024-11-23T00:00:00"/>
    <n v="0"/>
  </r>
  <r>
    <s v="DEP-A0-4652"/>
    <x v="0"/>
    <n v="34"/>
    <x v="0"/>
    <s v="Vestido"/>
    <s v="Amarillo"/>
    <s v="Nike"/>
    <s v="MER-A0-4652"/>
    <d v="2024-11-24T00:00:00"/>
    <x v="0"/>
    <n v="137.13"/>
    <n v="0.2"/>
    <n v="80.33"/>
    <x v="0"/>
    <s v="No"/>
    <d v="2024-11-24T00:00:00"/>
    <n v="0"/>
  </r>
  <r>
    <s v="DEP-A0-3737"/>
    <x v="1"/>
    <n v="24"/>
    <x v="0"/>
    <s v="Chaqueta"/>
    <s v="Verde"/>
    <s v="Mango"/>
    <s v="MER-A0-3737"/>
    <d v="2024-11-27T00:00:00"/>
    <x v="0"/>
    <n v="34.22"/>
    <n v="0.2"/>
    <n v="84.483000000000004"/>
    <x v="0"/>
    <s v="No"/>
    <d v="2024-11-27T00:00:00"/>
    <n v="0"/>
  </r>
  <r>
    <s v="DEP-A0-3180"/>
    <x v="1"/>
    <n v="33"/>
    <x v="0"/>
    <s v="Zapatos"/>
    <s v="Gris"/>
    <s v="Adidas"/>
    <s v="MER-A0-3180"/>
    <d v="2024-11-29T00:00:00"/>
    <x v="0"/>
    <n v="184.63"/>
    <n v="0"/>
    <n v="90.28"/>
    <x v="0"/>
    <s v="No"/>
    <d v="2024-11-29T00:00:00"/>
    <n v="0"/>
  </r>
  <r>
    <s v="DEP-A0-2980"/>
    <x v="1"/>
    <n v="32"/>
    <x v="0"/>
    <s v="Pantalón"/>
    <s v="Verde"/>
    <s v="Zara"/>
    <s v="MER-A0-2980"/>
    <d v="2024-11-30T00:00:00"/>
    <x v="0"/>
    <n v="169.18"/>
    <n v="0"/>
    <n v="90.608000000000004"/>
    <x v="0"/>
    <s v="No"/>
    <d v="2024-11-30T00:00:00"/>
    <n v="0"/>
  </r>
  <r>
    <s v="DEP-A0-3919"/>
    <x v="0"/>
    <n v="25"/>
    <x v="0"/>
    <s v="Falda"/>
    <s v="Rojo"/>
    <s v="Nike"/>
    <s v="MER-A0-3919"/>
    <d v="2024-11-30T00:00:00"/>
    <x v="0"/>
    <n v="178.39"/>
    <n v="0.2"/>
    <n v="91.03"/>
    <x v="0"/>
    <s v="No"/>
    <d v="2024-11-30T00:00:00"/>
    <n v="0"/>
  </r>
  <r>
    <s v="DEP-A0-2510"/>
    <x v="1"/>
    <n v="23"/>
    <x v="0"/>
    <s v="Zapatos"/>
    <s v="Gris"/>
    <s v="Zara"/>
    <s v="MER-A0-2510"/>
    <d v="2024-12-23T00:00:00"/>
    <x v="0"/>
    <n v="140.49"/>
    <n v="0.1"/>
    <n v="91.512"/>
    <x v="0"/>
    <s v="No"/>
    <d v="2024-01-01T00:00:00"/>
    <n v="0"/>
  </r>
  <r>
    <s v="DEP-A0-4368"/>
    <x v="1"/>
    <n v="19"/>
    <x v="0"/>
    <s v="Chaqueta"/>
    <s v="Blanco"/>
    <s v="Adidas"/>
    <s v="MER-A0-4368"/>
    <d v="2024-12-23T00:00:00"/>
    <x v="0"/>
    <n v="192.74"/>
    <n v="0.3"/>
    <n v="91.777000000000015"/>
    <x v="0"/>
    <s v="No"/>
    <d v="2024-01-01T00:00:00"/>
    <n v="0"/>
  </r>
  <r>
    <s v="DEP-A0-0126"/>
    <x v="0"/>
    <n v="24"/>
    <x v="0"/>
    <s v="Zapatos"/>
    <s v="Verde"/>
    <s v="Tommy"/>
    <s v="MER-A0-0126"/>
    <d v="2024-12-23T00:00:00"/>
    <x v="0"/>
    <n v="23.69"/>
    <n v="0.1"/>
    <n v="98.39"/>
    <x v="0"/>
    <s v="No"/>
    <d v="2024-01-05T00:00:00"/>
    <n v="0"/>
  </r>
  <r>
    <s v="DEP-A0-0188"/>
    <x v="0"/>
    <n v="34"/>
    <x v="0"/>
    <s v="Blusa"/>
    <s v="Azul"/>
    <s v="Puma"/>
    <s v="MER-A0-0188"/>
    <d v="2024-12-23T00:00:00"/>
    <x v="0"/>
    <n v="121.05"/>
    <n v="0.2"/>
    <n v="98.532000000000011"/>
    <x v="0"/>
    <s v="No"/>
    <d v="2024-01-05T00:00:00"/>
    <n v="0"/>
  </r>
  <r>
    <s v="DEP-A0-1757"/>
    <x v="0"/>
    <n v="20"/>
    <x v="0"/>
    <s v="Zapatos"/>
    <s v="Azul"/>
    <s v="Mango"/>
    <s v="MER-A0-1757"/>
    <d v="2024-12-23T00:00:00"/>
    <x v="0"/>
    <n v="122.82"/>
    <n v="0.3"/>
    <n v="101.11499999999999"/>
    <x v="0"/>
    <s v="No"/>
    <d v="2024-01-08T00:00:00"/>
    <n v="0"/>
  </r>
  <r>
    <s v="DEP-A0-0894"/>
    <x v="0"/>
    <n v="22"/>
    <x v="0"/>
    <s v="Vestido"/>
    <s v="Blanco"/>
    <s v="Nike"/>
    <s v="MER-A0-0894"/>
    <d v="2024-12-23T00:00:00"/>
    <x v="0"/>
    <n v="181.97"/>
    <n v="0.3"/>
    <n v="101.339"/>
    <x v="0"/>
    <s v="No"/>
    <d v="2024-01-08T00:00:00"/>
    <n v="0"/>
  </r>
  <r>
    <s v="DEP-A0-0102"/>
    <x v="0"/>
    <n v="27"/>
    <x v="0"/>
    <s v="Falda"/>
    <s v="Azul"/>
    <s v="Nike"/>
    <s v="MER-A0-0102"/>
    <d v="2024-12-23T00:00:00"/>
    <x v="0"/>
    <n v="101.08"/>
    <n v="0"/>
    <n v="106.53599999999999"/>
    <x v="0"/>
    <s v="No"/>
    <d v="2024-01-13T00:00:00"/>
    <n v="0"/>
  </r>
  <r>
    <s v="DEP-A0-0867"/>
    <x v="1"/>
    <n v="22"/>
    <x v="0"/>
    <s v="Chaqueta"/>
    <s v="Blanco"/>
    <s v="Mango"/>
    <s v="MER-A0-0867"/>
    <d v="2024-12-23T00:00:00"/>
    <x v="0"/>
    <n v="109.03"/>
    <n v="0.1"/>
    <n v="106.95"/>
    <x v="0"/>
    <s v="No"/>
    <d v="2024-01-13T00:00:00"/>
    <n v="0"/>
  </r>
  <r>
    <s v="DEP-A0-1651"/>
    <x v="0"/>
    <n v="35"/>
    <x v="0"/>
    <s v="Blusa"/>
    <s v="Rojo"/>
    <s v="Mango"/>
    <s v="MER-A0-1651"/>
    <d v="2024-12-23T00:00:00"/>
    <x v="0"/>
    <n v="164.73"/>
    <n v="0.3"/>
    <n v="106.99"/>
    <x v="0"/>
    <s v="No"/>
    <d v="2024-01-13T00:00:00"/>
    <n v="0"/>
  </r>
  <r>
    <s v="DEP-A0-4692"/>
    <x v="0"/>
    <n v="19"/>
    <x v="0"/>
    <s v="Pantalón"/>
    <s v="Verde"/>
    <s v="Zara"/>
    <s v="MER-A0-4692"/>
    <d v="2024-12-23T00:00:00"/>
    <x v="0"/>
    <n v="130.38"/>
    <n v="0"/>
    <n v="112.03"/>
    <x v="0"/>
    <s v="No"/>
    <d v="2024-01-15T00:00:00"/>
    <n v="0"/>
  </r>
  <r>
    <s v="DEP-A0-3606"/>
    <x v="0"/>
    <n v="28"/>
    <x v="0"/>
    <s v="Vestido"/>
    <s v="Verde"/>
    <s v="Zara"/>
    <s v="MER-A0-3606"/>
    <d v="2024-12-02T00:00:00"/>
    <x v="0"/>
    <n v="78.53"/>
    <n v="0.1"/>
    <n v="113.992"/>
    <x v="0"/>
    <s v="No"/>
    <d v="2024-12-02T00:00:00"/>
    <n v="0"/>
  </r>
  <r>
    <s v="DEP-A0-0393"/>
    <x v="0"/>
    <n v="24"/>
    <x v="0"/>
    <s v="Camisa"/>
    <s v="Amarillo"/>
    <s v="Levis"/>
    <s v="MER-A0-0393"/>
    <d v="2024-12-06T00:00:00"/>
    <x v="0"/>
    <n v="159.78"/>
    <n v="0"/>
    <n v="122.11499999999999"/>
    <x v="0"/>
    <s v="No"/>
    <d v="2024-12-06T00:00:00"/>
    <n v="0"/>
  </r>
  <r>
    <s v="DEP-A0-3598"/>
    <x v="0"/>
    <n v="25"/>
    <x v="0"/>
    <s v="Vestido"/>
    <s v="Blanco"/>
    <s v="Puma"/>
    <s v="MER-A0-3598"/>
    <d v="2024-12-07T00:00:00"/>
    <x v="0"/>
    <n v="117.99"/>
    <n v="0.2"/>
    <n v="122.958"/>
    <x v="0"/>
    <s v="No"/>
    <d v="2024-12-07T00:00:00"/>
    <n v="0"/>
  </r>
  <r>
    <s v="DEP-A0-3966"/>
    <x v="0"/>
    <n v="24"/>
    <x v="0"/>
    <s v="Falda"/>
    <s v="Rojo"/>
    <s v="Nike"/>
    <s v="MER-A0-3966"/>
    <d v="2024-12-08T00:00:00"/>
    <x v="0"/>
    <n v="166.26"/>
    <n v="0.1"/>
    <n v="125.577"/>
    <x v="0"/>
    <s v="No"/>
    <d v="2024-12-08T00:00:00"/>
    <n v="0"/>
  </r>
  <r>
    <s v="DEP-A0-0990"/>
    <x v="0"/>
    <n v="26"/>
    <x v="0"/>
    <s v="Zapatos"/>
    <s v="Gris"/>
    <s v="Mango"/>
    <s v="MER-A0-0990"/>
    <d v="2024-12-09T00:00:00"/>
    <x v="0"/>
    <n v="188.27"/>
    <n v="0"/>
    <n v="126.78400000000001"/>
    <x v="0"/>
    <s v="No"/>
    <d v="2024-12-09T00:00:00"/>
    <n v="0"/>
  </r>
  <r>
    <s v="DEP-A0-0165"/>
    <x v="1"/>
    <n v="31"/>
    <x v="0"/>
    <s v="Chaqueta"/>
    <s v="Gris"/>
    <s v="Puma"/>
    <s v="MER-A0-0165"/>
    <d v="2024-12-10T00:00:00"/>
    <x v="0"/>
    <n v="116.31"/>
    <n v="0.1"/>
    <n v="128.779"/>
    <x v="0"/>
    <s v="No"/>
    <d v="2024-12-10T00:00:00"/>
    <n v="0"/>
  </r>
  <r>
    <s v="DEP-A0-0553"/>
    <x v="0"/>
    <n v="30"/>
    <x v="0"/>
    <s v="Chaqueta"/>
    <s v="Azul"/>
    <s v="Nike"/>
    <s v="MER-A0-0553"/>
    <d v="2024-12-11T00:00:00"/>
    <x v="0"/>
    <n v="128.4"/>
    <n v="0.1"/>
    <n v="130.31899999999999"/>
    <x v="0"/>
    <s v="No"/>
    <d v="2024-12-11T00:00:00"/>
    <n v="0"/>
  </r>
  <r>
    <s v="DEP-A0-2559"/>
    <x v="0"/>
    <n v="27"/>
    <x v="0"/>
    <s v="Chaqueta"/>
    <s v="Verde"/>
    <s v="Zara"/>
    <s v="MER-A0-2559"/>
    <d v="2024-12-13T00:00:00"/>
    <x v="0"/>
    <n v="32.19"/>
    <n v="0.3"/>
    <n v="135.73000000000002"/>
    <x v="0"/>
    <s v="No"/>
    <d v="2024-12-13T00:00:00"/>
    <n v="0"/>
  </r>
  <r>
    <s v="DEP-A0-4558"/>
    <x v="0"/>
    <n v="35"/>
    <x v="0"/>
    <s v="Zapatos"/>
    <s v="Rojo"/>
    <s v="Zara"/>
    <s v="MER-A0-4558"/>
    <d v="2024-12-13T00:00:00"/>
    <x v="0"/>
    <n v="103.39"/>
    <n v="0.1"/>
    <n v="135.905"/>
    <x v="0"/>
    <s v="No"/>
    <d v="2024-12-13T00:00:00"/>
    <n v="0"/>
  </r>
  <r>
    <s v="DEP-A0-3310"/>
    <x v="0"/>
    <n v="21"/>
    <x v="0"/>
    <s v="Blusa"/>
    <s v="Negro"/>
    <s v="Nike"/>
    <s v="MER-A0-3310"/>
    <d v="2024-12-14T00:00:00"/>
    <x v="0"/>
    <n v="27.3"/>
    <n v="0"/>
    <n v="136.99700000000001"/>
    <x v="0"/>
    <s v="No"/>
    <d v="2024-12-14T00:00:00"/>
    <n v="0"/>
  </r>
  <r>
    <s v="DEP-A0-3391"/>
    <x v="0"/>
    <n v="18"/>
    <x v="0"/>
    <s v="Chaqueta"/>
    <s v="Verde"/>
    <s v="Zara"/>
    <s v="MER-A0-3391"/>
    <d v="2024-12-14T00:00:00"/>
    <x v="0"/>
    <n v="128.71"/>
    <n v="0.2"/>
    <n v="139.30000000000001"/>
    <x v="0"/>
    <s v="No"/>
    <d v="2024-12-14T00:00:00"/>
    <n v="0"/>
  </r>
  <r>
    <s v="DEP-A0-3433"/>
    <x v="1"/>
    <n v="19"/>
    <x v="0"/>
    <s v="Chaqueta"/>
    <s v="Verde"/>
    <s v="Mango"/>
    <s v="MER-A0-3433"/>
    <d v="2024-12-14T00:00:00"/>
    <x v="0"/>
    <n v="143.05000000000001"/>
    <n v="0.1"/>
    <n v="139.804"/>
    <x v="0"/>
    <s v="No"/>
    <d v="2024-12-14T00:00:00"/>
    <n v="0"/>
  </r>
  <r>
    <s v="DEP-A0-3130"/>
    <x v="0"/>
    <n v="21"/>
    <x v="0"/>
    <s v="Pantalón"/>
    <s v="Negro"/>
    <s v="Levis"/>
    <s v="MER-A0-3130"/>
    <d v="2024-12-14T00:00:00"/>
    <x v="0"/>
    <n v="169.33"/>
    <n v="0.2"/>
    <n v="140.68"/>
    <x v="0"/>
    <s v="No"/>
    <d v="2024-12-14T00:00:00"/>
    <n v="0"/>
  </r>
  <r>
    <s v="DEP-A0-0517"/>
    <x v="1"/>
    <n v="32"/>
    <x v="0"/>
    <s v="Zapatos"/>
    <s v="Gris"/>
    <s v="Tommy"/>
    <s v="MER-A0-0517"/>
    <d v="2024-12-14T00:00:00"/>
    <x v="0"/>
    <n v="171.46"/>
    <n v="0.1"/>
    <n v="143.19"/>
    <x v="0"/>
    <s v="No"/>
    <d v="2024-12-14T00:00:00"/>
    <n v="0"/>
  </r>
  <r>
    <s v="DEP-A0-4066"/>
    <x v="0"/>
    <n v="21"/>
    <x v="0"/>
    <s v="Chaqueta"/>
    <s v="Negro"/>
    <s v="Zara"/>
    <s v="MER-A0-4066"/>
    <d v="2024-12-14T00:00:00"/>
    <x v="0"/>
    <n v="188.56"/>
    <n v="0.2"/>
    <n v="143.37"/>
    <x v="0"/>
    <s v="No"/>
    <d v="2024-12-14T00:00:00"/>
    <n v="0"/>
  </r>
  <r>
    <s v="DEP-A0-2505"/>
    <x v="0"/>
    <n v="34"/>
    <x v="0"/>
    <s v="Pantalón"/>
    <s v="Negro"/>
    <s v="Tommy"/>
    <s v="MER-A0-2505"/>
    <d v="2024-12-17T00:00:00"/>
    <x v="0"/>
    <n v="138.19999999999999"/>
    <n v="0.3"/>
    <n v="147.92400000000001"/>
    <x v="0"/>
    <s v="No"/>
    <d v="2024-12-17T00:00:00"/>
    <n v="0"/>
  </r>
  <r>
    <s v="DEP-A0-3403"/>
    <x v="0"/>
    <n v="24"/>
    <x v="0"/>
    <s v="Chaqueta"/>
    <s v="Negro"/>
    <s v="Puma"/>
    <s v="MER-A0-3403"/>
    <d v="2024-12-18T00:00:00"/>
    <x v="0"/>
    <n v="12.02"/>
    <n v="0"/>
    <n v="152.85599999999999"/>
    <x v="0"/>
    <s v="No"/>
    <d v="2024-12-18T00:00:00"/>
    <n v="0"/>
  </r>
  <r>
    <s v="DEP-A0-2721"/>
    <x v="0"/>
    <n v="31"/>
    <x v="0"/>
    <s v="Zapatos"/>
    <s v="Amarillo"/>
    <s v="Adidas"/>
    <s v="MER-A0-2721"/>
    <d v="2024-12-19T00:00:00"/>
    <x v="0"/>
    <n v="60.9"/>
    <n v="0.1"/>
    <n v="158.22900000000001"/>
    <x v="0"/>
    <s v="No"/>
    <d v="2024-12-19T00:00:00"/>
    <n v="0"/>
  </r>
  <r>
    <s v="DEP-A0-1647"/>
    <x v="0"/>
    <n v="21"/>
    <x v="0"/>
    <s v="Pantalón"/>
    <s v="Verde"/>
    <s v="Adidas"/>
    <s v="MER-A0-1647"/>
    <d v="2024-12-19T00:00:00"/>
    <x v="0"/>
    <n v="173.63"/>
    <n v="0.1"/>
    <n v="162.21600000000001"/>
    <x v="0"/>
    <s v="No"/>
    <d v="2024-12-19T00:00:00"/>
    <n v="0"/>
  </r>
  <r>
    <s v="DEP-A0-4253"/>
    <x v="0"/>
    <n v="22"/>
    <x v="0"/>
    <s v="Falda"/>
    <s v="Negro"/>
    <s v="Nike"/>
    <s v="MER-A0-4253"/>
    <d v="2024-12-19T00:00:00"/>
    <x v="0"/>
    <n v="176.37"/>
    <n v="0"/>
    <n v="163.28700000000001"/>
    <x v="0"/>
    <s v="No"/>
    <d v="2024-12-19T00:00:00"/>
    <n v="0"/>
  </r>
  <r>
    <s v="DEP-A0-4407"/>
    <x v="0"/>
    <n v="24"/>
    <x v="0"/>
    <s v="Chaqueta"/>
    <s v="Blanco"/>
    <s v="Tommy"/>
    <s v="MER-A0-4407"/>
    <d v="2024-12-20T00:00:00"/>
    <x v="0"/>
    <n v="56.09"/>
    <n v="0"/>
    <n v="165.15"/>
    <x v="0"/>
    <s v="No"/>
    <d v="2024-12-20T00:00:00"/>
    <n v="0"/>
  </r>
  <r>
    <s v="DEP-A0-3545"/>
    <x v="0"/>
    <n v="29"/>
    <x v="0"/>
    <s v="Camisa"/>
    <s v="Blanco"/>
    <s v="Tommy"/>
    <s v="MER-A0-3545"/>
    <d v="2024-12-20T00:00:00"/>
    <x v="0"/>
    <n v="99.72"/>
    <n v="0"/>
    <n v="166.005"/>
    <x v="0"/>
    <s v="No"/>
    <d v="2024-12-20T00:00:00"/>
    <n v="0"/>
  </r>
  <r>
    <s v="DEP-A0-1117"/>
    <x v="0"/>
    <n v="20"/>
    <x v="0"/>
    <s v="Falda"/>
    <s v="Gris"/>
    <s v="Mango"/>
    <s v="MER-A0-1117"/>
    <d v="2024-12-21T00:00:00"/>
    <x v="0"/>
    <n v="139.91999999999999"/>
    <n v="0.1"/>
    <n v="177.14"/>
    <x v="0"/>
    <s v="No"/>
    <d v="2024-12-21T00:00:00"/>
    <n v="0"/>
  </r>
  <r>
    <s v="DEP-A0-1786"/>
    <x v="0"/>
    <n v="35"/>
    <x v="0"/>
    <s v="Chaqueta"/>
    <s v="Negro"/>
    <s v="Zara"/>
    <s v="MER-A0-1786"/>
    <d v="2024-12-22T00:00:00"/>
    <x v="0"/>
    <n v="78.12"/>
    <n v="0.2"/>
    <n v="180.73"/>
    <x v="0"/>
    <s v="No"/>
    <d v="2024-12-22T00:00:00"/>
    <n v="0"/>
  </r>
  <r>
    <s v="DEP-A0-3718"/>
    <x v="0"/>
    <n v="24"/>
    <x v="0"/>
    <s v="Vestido"/>
    <s v="Azul"/>
    <s v="Zara"/>
    <s v="MER-A0-3718"/>
    <d v="2024-12-24T00:00:00"/>
    <x v="0"/>
    <n v="67.19"/>
    <n v="0.3"/>
    <n v="191.21"/>
    <x v="0"/>
    <s v="No"/>
    <d v="2024-12-24T00:00:00"/>
    <n v="0"/>
  </r>
  <r>
    <s v="DEP-A0-3610"/>
    <x v="0"/>
    <n v="32"/>
    <x v="0"/>
    <s v="Pantalón"/>
    <s v="Amarillo"/>
    <s v="Adidas"/>
    <s v="MER-A0-3610"/>
    <d v="2024-12-24T00:00:00"/>
    <x v="0"/>
    <n v="139.85"/>
    <n v="0"/>
    <n v="195.63"/>
    <x v="0"/>
    <s v="No"/>
    <d v="2024-12-24T00:00:00"/>
    <n v="0"/>
  </r>
  <r>
    <s v="DEP-A0-3848"/>
    <x v="0"/>
    <n v="18"/>
    <x v="0"/>
    <s v="Chaqueta"/>
    <s v="Gris"/>
    <s v="Zara"/>
    <s v="MER-A0-3848"/>
    <d v="2024-12-25T00:00:00"/>
    <x v="0"/>
    <n v="40.98"/>
    <n v="0.3"/>
    <n v="197.59"/>
    <x v="0"/>
    <s v="No"/>
    <d v="2024-12-25T00:00:00"/>
    <n v="0"/>
  </r>
  <r>
    <s v="DEP-A0-4714"/>
    <x v="0"/>
    <n v="27"/>
    <x v="0"/>
    <s v="Zapatos"/>
    <s v="Rojo"/>
    <s v="Puma"/>
    <s v="MER-A0-4714"/>
    <d v="2024-12-25T00:00:00"/>
    <x v="0"/>
    <n v="77.45"/>
    <n v="0.2"/>
    <n v="139.18100000000001"/>
    <x v="0"/>
    <s v="No"/>
    <d v="2024-12-25T00:00:00"/>
    <n v="0"/>
  </r>
  <r>
    <s v="DEP-A0-1622"/>
    <x v="0"/>
    <n v="25"/>
    <x v="0"/>
    <s v="Blusa"/>
    <s v="Verde"/>
    <s v="Levis"/>
    <s v="MER-A0-1622"/>
    <d v="2024-12-25T00:00:00"/>
    <x v="0"/>
    <n v="180.81"/>
    <n v="0.3"/>
    <n v="91.693000000000012"/>
    <x v="0"/>
    <s v="No"/>
    <d v="2024-12-25T00:00:00"/>
    <n v="0"/>
  </r>
  <r>
    <s v="DEP-A0-3406"/>
    <x v="0"/>
    <n v="22"/>
    <x v="0"/>
    <s v="Zapatos"/>
    <s v="Verde"/>
    <s v="Nike"/>
    <s v="MER-A0-3406"/>
    <d v="2024-12-26T00:00:00"/>
    <x v="0"/>
    <n v="100.81"/>
    <n v="0.2"/>
    <n v="100.458"/>
    <x v="0"/>
    <s v="No"/>
    <d v="2024-12-26T00:00:00"/>
    <n v="0"/>
  </r>
  <r>
    <s v="DEP-A0-0552"/>
    <x v="1"/>
    <n v="20"/>
    <x v="0"/>
    <s v="Chaqueta"/>
    <s v="Verde"/>
    <s v="Nike"/>
    <s v="MER-A0-0552"/>
    <d v="2024-12-29T00:00:00"/>
    <x v="0"/>
    <n v="116.64"/>
    <n v="0"/>
    <n v="48.138999999999996"/>
    <x v="0"/>
    <s v="No"/>
    <d v="2024-12-29T00:00:00"/>
    <n v="0"/>
  </r>
  <r>
    <s v="DEP-A0-4279"/>
    <x v="1"/>
    <n v="35"/>
    <x v="0"/>
    <s v="Pantalón"/>
    <s v="Blanco"/>
    <s v="Zara"/>
    <s v="MER-A0-4279"/>
    <d v="2024-12-29T00:00:00"/>
    <x v="0"/>
    <n v="144.63"/>
    <n v="0.1"/>
    <n v="70.98"/>
    <x v="0"/>
    <s v="No"/>
    <d v="2024-12-29T00:00:00"/>
    <n v="0"/>
  </r>
  <r>
    <s v="DEP-A0-2863"/>
    <x v="0"/>
    <n v="20"/>
    <x v="0"/>
    <s v="Chaqueta"/>
    <s v="Negro"/>
    <s v="Nike"/>
    <s v="MER-A0-2863"/>
    <d v="2024-12-31T00:00:00"/>
    <x v="0"/>
    <n v="103.07"/>
    <n v="0.1"/>
    <n v="152.05599999999998"/>
    <x v="0"/>
    <s v="No"/>
    <d v="2024-12-31T00:00:00"/>
    <n v="0"/>
  </r>
  <r>
    <s v="DEP-A0-0745"/>
    <x v="1"/>
    <n v="20"/>
    <x v="0"/>
    <s v="Camisa"/>
    <s v="Gris"/>
    <s v="Adidas"/>
    <s v="MER-A0-0745"/>
    <d v="2025-01-26T00:00:00"/>
    <x v="1"/>
    <n v="96.18"/>
    <n v="0.3"/>
    <n v="45.99"/>
    <x v="0"/>
    <s v="No"/>
    <d v="2025-01-26T00:00:00"/>
    <n v="0"/>
  </r>
  <r>
    <s v="DEP-A0-3015"/>
    <x v="1"/>
    <n v="31"/>
    <x v="0"/>
    <s v="Camisa"/>
    <s v="Gris"/>
    <s v="Levis"/>
    <s v="MER-A0-3015"/>
    <d v="2025-02-13T00:00:00"/>
    <x v="1"/>
    <n v="108.83"/>
    <n v="0"/>
    <n v="46.298000000000002"/>
    <x v="0"/>
    <s v="No"/>
    <d v="2025-01-26T00:00:00"/>
    <n v="0"/>
  </r>
  <r>
    <s v="DEP-A0-1081"/>
    <x v="0"/>
    <n v="21"/>
    <x v="0"/>
    <s v="Zapatos"/>
    <s v="Negro"/>
    <s v="Zara"/>
    <s v="MER-A0-1081"/>
    <d v="2025-02-13T00:00:00"/>
    <x v="1"/>
    <n v="114.79"/>
    <n v="0.1"/>
    <n v="47.44"/>
    <x v="0"/>
    <s v="No"/>
    <d v="2025-01-10T00:00:00"/>
    <n v="0"/>
  </r>
  <r>
    <s v="DEP-A0-0387"/>
    <x v="1"/>
    <n v="21"/>
    <x v="0"/>
    <s v="Zapatos"/>
    <s v="Amarillo"/>
    <s v="Tommy"/>
    <s v="MER-A0-0387"/>
    <d v="2025-01-12T00:00:00"/>
    <x v="1"/>
    <n v="140.88"/>
    <n v="0.1"/>
    <n v="51.373000000000005"/>
    <x v="0"/>
    <s v="No"/>
    <d v="2025-01-12T00:00:00"/>
    <n v="0"/>
  </r>
  <r>
    <s v="DEP-A0-2846"/>
    <x v="0"/>
    <n v="21"/>
    <x v="0"/>
    <s v="Vestido"/>
    <s v="Blanco"/>
    <s v="Levis"/>
    <s v="MER-A0-2846"/>
    <d v="2025-01-02T00:00:00"/>
    <x v="1"/>
    <n v="156.82"/>
    <n v="0.3"/>
    <n v="53.59"/>
    <x v="0"/>
    <s v="No"/>
    <d v="2025-01-02T00:00:00"/>
    <n v="0"/>
  </r>
  <r>
    <s v="DEP-A0-3066"/>
    <x v="0"/>
    <n v="27"/>
    <x v="0"/>
    <s v="Blusa"/>
    <s v="Amarillo"/>
    <s v="Nike"/>
    <s v="MER-A0-3066"/>
    <d v="2025-01-26T00:00:00"/>
    <x v="1"/>
    <n v="158.97"/>
    <n v="0.1"/>
    <n v="54.096000000000004"/>
    <x v="0"/>
    <s v="No"/>
    <d v="2025-01-26T00:00:00"/>
    <n v="0"/>
  </r>
  <r>
    <s v="DEP-A0-4804"/>
    <x v="0"/>
    <n v="18"/>
    <x v="0"/>
    <s v="Falda"/>
    <s v="Azul"/>
    <s v="Tommy"/>
    <s v="MER-A0-4804"/>
    <d v="2025-01-07T00:00:00"/>
    <x v="1"/>
    <n v="166"/>
    <n v="0.1"/>
    <n v="54.512999999999998"/>
    <x v="0"/>
    <s v="No"/>
    <d v="2025-01-07T00:00:00"/>
    <n v="0"/>
  </r>
  <r>
    <s v="DEP-A0-1649"/>
    <x v="0"/>
    <n v="19"/>
    <x v="0"/>
    <s v="Vestido"/>
    <s v="Rojo"/>
    <s v="Mango"/>
    <s v="MER-A0-1649"/>
    <d v="2025-01-11T00:00:00"/>
    <x v="1"/>
    <n v="171.47"/>
    <n v="0.2"/>
    <n v="55.77600000000001"/>
    <x v="0"/>
    <s v="No"/>
    <d v="2025-01-11T00:00:00"/>
    <n v="0"/>
  </r>
  <r>
    <s v="DEP-A0-1525"/>
    <x v="1"/>
    <n v="21"/>
    <x v="0"/>
    <s v="Chaqueta"/>
    <s v="Amarillo"/>
    <s v="Zara"/>
    <s v="MER-A0-1525"/>
    <d v="2025-01-25T00:00:00"/>
    <x v="1"/>
    <n v="174.38"/>
    <n v="0.3"/>
    <n v="56.042000000000002"/>
    <x v="0"/>
    <s v="No"/>
    <d v="2025-01-25T00:00:00"/>
    <n v="0"/>
  </r>
  <r>
    <s v="DEP-A0-2540"/>
    <x v="0"/>
    <n v="31"/>
    <x v="0"/>
    <s v="Zapatos"/>
    <s v="Negro"/>
    <s v="Zara"/>
    <s v="MER-A0-2540"/>
    <d v="2025-01-29T00:00:00"/>
    <x v="1"/>
    <n v="177.95"/>
    <n v="0.1"/>
    <n v="57.015999999999998"/>
    <x v="0"/>
    <s v="No"/>
    <d v="2025-01-29T00:00:00"/>
    <n v="0"/>
  </r>
  <r>
    <s v="DEP-A0-2495"/>
    <x v="0"/>
    <n v="33"/>
    <x v="0"/>
    <s v="Falda"/>
    <s v="Gris"/>
    <s v="Zara"/>
    <s v="MER-A0-2495"/>
    <d v="2025-02-13T00:00:00"/>
    <x v="1"/>
    <n v="188.94"/>
    <n v="0.3"/>
    <n v="57.616"/>
    <x v="0"/>
    <s v="No"/>
    <d v="2025-01-08T00:00:00"/>
    <n v="0"/>
  </r>
  <r>
    <s v="DEP-A0-4515"/>
    <x v="0"/>
    <n v="20"/>
    <x v="0"/>
    <s v="Vestido"/>
    <s v="Blanco"/>
    <s v="Mango"/>
    <s v="MER-A0-4515"/>
    <d v="2025-02-03T00:00:00"/>
    <x v="1"/>
    <n v="155.68"/>
    <n v="0.2"/>
    <n v="58.41"/>
    <x v="0"/>
    <s v="No"/>
    <d v="2025-02-03T00:00:00"/>
    <n v="0"/>
  </r>
  <r>
    <s v="DEP-A0-4990"/>
    <x v="1"/>
    <n v="18"/>
    <x v="0"/>
    <s v="Camisa"/>
    <s v="Azul"/>
    <s v="Tommy"/>
    <s v="MER-A0-4990"/>
    <d v="2025-02-03T00:00:00"/>
    <x v="1"/>
    <n v="158.75"/>
    <n v="0.1"/>
    <n v="58.457000000000008"/>
    <x v="0"/>
    <s v="No"/>
    <d v="2025-02-03T00:00:00"/>
    <n v="0"/>
  </r>
  <r>
    <s v="DEP-A0-1383"/>
    <x v="1"/>
    <n v="34"/>
    <x v="0"/>
    <s v="Pantalón"/>
    <s v="Gris"/>
    <s v="Tommy"/>
    <s v="MER-A0-1383"/>
    <d v="2025-02-04T00:00:00"/>
    <x v="1"/>
    <n v="138.63999999999999"/>
    <n v="0.1"/>
    <n v="62.208000000000006"/>
    <x v="0"/>
    <s v="No"/>
    <d v="2025-02-04T00:00:00"/>
    <n v="0"/>
  </r>
  <r>
    <s v="DEP-A0-0089"/>
    <x v="1"/>
    <n v="34"/>
    <x v="0"/>
    <s v="Zapatos"/>
    <s v="Gris"/>
    <s v="Puma"/>
    <s v="MER-A0-0089"/>
    <d v="2025-02-06T00:00:00"/>
    <x v="1"/>
    <n v="132.91999999999999"/>
    <n v="0.1"/>
    <n v="62.352000000000004"/>
    <x v="0"/>
    <s v="No"/>
    <d v="2025-02-06T00:00:00"/>
    <n v="0"/>
  </r>
  <r>
    <s v="DEP-A0-2756"/>
    <x v="0"/>
    <n v="22"/>
    <x v="0"/>
    <s v="Blusa"/>
    <s v="Negro"/>
    <s v="Puma"/>
    <s v="MER-A0-2756"/>
    <d v="2025-02-07T00:00:00"/>
    <x v="1"/>
    <n v="41.39"/>
    <n v="0.1"/>
    <n v="62.95"/>
    <x v="0"/>
    <s v="No"/>
    <d v="2025-02-07T00:00:00"/>
    <n v="0"/>
  </r>
  <r>
    <s v="DEP-A0-4386"/>
    <x v="0"/>
    <n v="21"/>
    <x v="0"/>
    <s v="Blusa"/>
    <s v="Rojo"/>
    <s v="Mango"/>
    <s v="MER-A0-4386"/>
    <d v="2025-02-07T00:00:00"/>
    <x v="1"/>
    <n v="101.47"/>
    <n v="0.1"/>
    <n v="63.208000000000006"/>
    <x v="0"/>
    <s v="No"/>
    <d v="2025-02-07T00:00:00"/>
    <n v="0"/>
  </r>
  <r>
    <s v="DEP-A0-4226"/>
    <x v="1"/>
    <n v="25"/>
    <x v="0"/>
    <s v="Zapatos"/>
    <s v="Negro"/>
    <s v="Puma"/>
    <s v="MER-A0-4226"/>
    <d v="2025-02-16T00:00:00"/>
    <x v="1"/>
    <n v="15.67"/>
    <n v="0.3"/>
    <n v="64.53"/>
    <x v="0"/>
    <s v="No"/>
    <d v="2025-02-16T00:00:00"/>
    <n v="0"/>
  </r>
  <r>
    <s v="DEP-A0-1330"/>
    <x v="0"/>
    <n v="21"/>
    <x v="0"/>
    <s v="Falda"/>
    <s v="Negro"/>
    <s v="Levis"/>
    <s v="MER-A0-1330"/>
    <d v="2025-02-16T00:00:00"/>
    <x v="1"/>
    <n v="144.72"/>
    <n v="0.1"/>
    <n v="66.344000000000008"/>
    <x v="0"/>
    <s v="No"/>
    <d v="2025-02-16T00:00:00"/>
    <n v="0"/>
  </r>
  <r>
    <s v="DEP-A0-0642"/>
    <x v="0"/>
    <n v="28"/>
    <x v="0"/>
    <s v="Vestido"/>
    <s v="Negro"/>
    <s v="Levis"/>
    <s v="MER-A0-0642"/>
    <d v="2025-02-17T00:00:00"/>
    <x v="1"/>
    <n v="141.44999999999999"/>
    <n v="0.3"/>
    <n v="67.77"/>
    <x v="0"/>
    <s v="No"/>
    <d v="2025-02-17T00:00:00"/>
    <n v="0"/>
  </r>
  <r>
    <s v="DEP-A0-3564"/>
    <x v="0"/>
    <n v="32"/>
    <x v="0"/>
    <s v="Camisa"/>
    <s v="Blanco"/>
    <s v="Nike"/>
    <s v="MER-A0-3564"/>
    <d v="2025-02-18T00:00:00"/>
    <x v="1"/>
    <n v="111.21"/>
    <n v="0"/>
    <n v="68.688000000000002"/>
    <x v="0"/>
    <s v="No"/>
    <d v="2025-02-18T00:00:00"/>
    <n v="0"/>
  </r>
  <r>
    <s v="DEP-A0-0191"/>
    <x v="0"/>
    <n v="19"/>
    <x v="0"/>
    <s v="Chaqueta"/>
    <s v="Blanco"/>
    <s v="Levis"/>
    <s v="MER-A0-0191"/>
    <d v="2025-02-19T00:00:00"/>
    <x v="1"/>
    <n v="30.26"/>
    <n v="0.2"/>
    <n v="69.736000000000004"/>
    <x v="0"/>
    <s v="No"/>
    <d v="2025-02-19T00:00:00"/>
    <n v="0"/>
  </r>
  <r>
    <s v="DEP-A0-2711"/>
    <x v="0"/>
    <n v="20"/>
    <x v="0"/>
    <s v="Vestido"/>
    <s v="Azul"/>
    <s v="Mango"/>
    <s v="MER-A0-2711"/>
    <d v="2025-02-23T00:00:00"/>
    <x v="1"/>
    <n v="65.66"/>
    <n v="0"/>
    <n v="70.028999999999996"/>
    <x v="0"/>
    <s v="No"/>
    <d v="2025-02-23T00:00:00"/>
    <n v="0"/>
  </r>
  <r>
    <s v="DEP-A0-3203"/>
    <x v="1"/>
    <n v="30"/>
    <x v="0"/>
    <s v="Zapatos"/>
    <s v="Amarillo"/>
    <s v="Tommy"/>
    <s v="MER-A0-3203"/>
    <d v="2025-03-07T00:00:00"/>
    <x v="1"/>
    <n v="83.37"/>
    <n v="0"/>
    <n v="76.257000000000005"/>
    <x v="0"/>
    <s v="No"/>
    <d v="2025-03-07T00:00:00"/>
    <n v="0"/>
  </r>
  <r>
    <s v="DEP-A0-2034"/>
    <x v="0"/>
    <n v="25"/>
    <x v="0"/>
    <s v="Vestido"/>
    <s v="Negro"/>
    <s v="Adidas"/>
    <s v="MER-A0-2034"/>
    <d v="2025-03-02T00:00:00"/>
    <x v="1"/>
    <n v="93.45"/>
    <n v="0.1"/>
    <n v="77.37"/>
    <x v="0"/>
    <s v="No"/>
    <d v="2025-03-02T00:00:00"/>
    <n v="0"/>
  </r>
  <r>
    <s v="DEP-A0-1291"/>
    <x v="1"/>
    <n v="28"/>
    <x v="0"/>
    <s v="Zapatos"/>
    <s v="Rojo"/>
    <s v="Levis"/>
    <s v="MER-A0-1291"/>
    <d v="2025-03-04T00:00:00"/>
    <x v="1"/>
    <n v="121.08"/>
    <n v="0"/>
    <n v="78.228000000000009"/>
    <x v="0"/>
    <s v="No"/>
    <d v="2025-03-04T00:00:00"/>
    <n v="0"/>
  </r>
  <r>
    <s v="DEP-A0-3059"/>
    <x v="1"/>
    <n v="20"/>
    <x v="0"/>
    <s v="Camisa"/>
    <s v="Blanco"/>
    <s v="Nike"/>
    <s v="MER-A0-3059"/>
    <d v="2025-03-01T00:00:00"/>
    <x v="1"/>
    <n v="146.22999999999999"/>
    <n v="0"/>
    <n v="78.393000000000001"/>
    <x v="0"/>
    <s v="No"/>
    <d v="2025-03-01T00:00:00"/>
    <n v="0"/>
  </r>
  <r>
    <s v="DEP-A0-2771"/>
    <x v="0"/>
    <n v="18"/>
    <x v="0"/>
    <s v="Falda"/>
    <s v="Gris"/>
    <s v="Tommy"/>
    <s v="MER-A0-2771"/>
    <d v="2025-03-27T00:00:00"/>
    <x v="1"/>
    <n v="151.46"/>
    <n v="0.2"/>
    <n v="79.533000000000001"/>
    <x v="0"/>
    <s v="No"/>
    <d v="2025-03-27T00:00:00"/>
    <n v="0"/>
  </r>
  <r>
    <s v="DEP-A0-2222"/>
    <x v="1"/>
    <n v="24"/>
    <x v="0"/>
    <s v="Zapatos"/>
    <s v="Verde"/>
    <s v="Nike"/>
    <s v="MER-A0-2222"/>
    <d v="2025-03-05T00:00:00"/>
    <x v="1"/>
    <n v="158.30000000000001"/>
    <n v="0"/>
    <n v="79.540000000000006"/>
    <x v="0"/>
    <s v="No"/>
    <d v="2025-03-05T00:00:00"/>
    <n v="0"/>
  </r>
  <r>
    <s v="DEP-A0-4019"/>
    <x v="0"/>
    <n v="30"/>
    <x v="0"/>
    <s v="Falda"/>
    <s v="Verde"/>
    <s v="Tommy"/>
    <s v="MER-A0-4019"/>
    <d v="2025-03-31T00:00:00"/>
    <x v="1"/>
    <n v="164.96"/>
    <n v="0.2"/>
    <n v="81.378"/>
    <x v="0"/>
    <s v="No"/>
    <d v="2025-03-31T00:00:00"/>
    <n v="0"/>
  </r>
  <r>
    <s v="DEP-A0-4152"/>
    <x v="0"/>
    <n v="24"/>
    <x v="0"/>
    <s v="Blusa"/>
    <s v="Rojo"/>
    <s v="Levis"/>
    <s v="MER-A0-4152"/>
    <d v="2025-04-28T00:00:00"/>
    <x v="1"/>
    <n v="45.6"/>
    <n v="0.3"/>
    <n v="84.43"/>
    <x v="0"/>
    <s v="No"/>
    <d v="2025-04-28T00:00:00"/>
    <n v="0"/>
  </r>
  <r>
    <s v="DEP-A0-1526"/>
    <x v="0"/>
    <n v="29"/>
    <x v="0"/>
    <s v="Blusa"/>
    <s v="Verde"/>
    <s v="Tommy"/>
    <s v="MER-A0-1526"/>
    <d v="2025-04-05T00:00:00"/>
    <x v="1"/>
    <n v="54.83"/>
    <n v="0"/>
    <n v="85.048000000000002"/>
    <x v="0"/>
    <s v="No"/>
    <d v="2025-04-05T00:00:00"/>
    <n v="0"/>
  </r>
  <r>
    <s v="DEP-A0-2572"/>
    <x v="0"/>
    <n v="19"/>
    <x v="0"/>
    <s v="Falda"/>
    <s v="Blanco"/>
    <s v="Nike"/>
    <s v="MER-A0-2572"/>
    <d v="2025-04-06T00:00:00"/>
    <x v="1"/>
    <n v="59.98"/>
    <n v="0"/>
    <n v="85.385999999999996"/>
    <x v="0"/>
    <s v="No"/>
    <d v="2025-04-06T00:00:00"/>
    <n v="0"/>
  </r>
  <r>
    <s v="DEP-A0-2727"/>
    <x v="0"/>
    <n v="20"/>
    <x v="0"/>
    <s v="Blusa"/>
    <s v="Azul"/>
    <s v="Puma"/>
    <s v="MER-A0-2727"/>
    <d v="2025-04-07T00:00:00"/>
    <x v="1"/>
    <n v="63.79"/>
    <n v="0"/>
    <n v="85.435000000000002"/>
    <x v="0"/>
    <s v="No"/>
    <d v="2025-04-07T00:00:00"/>
    <n v="0"/>
  </r>
  <r>
    <s v="DEP-A0-0041"/>
    <x v="0"/>
    <n v="26"/>
    <x v="0"/>
    <s v="Chaqueta"/>
    <s v="Verde"/>
    <s v="Puma"/>
    <s v="MER-A0-0041"/>
    <d v="2025-04-29T00:00:00"/>
    <x v="1"/>
    <n v="66.13"/>
    <n v="0.2"/>
    <n v="87.47"/>
    <x v="0"/>
    <s v="No"/>
    <d v="2025-04-29T00:00:00"/>
    <n v="0"/>
  </r>
  <r>
    <s v="DEP-A0-1840"/>
    <x v="0"/>
    <n v="20"/>
    <x v="0"/>
    <s v="Falda"/>
    <s v="Negro"/>
    <s v="Levis"/>
    <s v="MER-A0-1840"/>
    <d v="2025-04-09T00:00:00"/>
    <x v="1"/>
    <n v="95.92"/>
    <n v="0.2"/>
    <n v="90.510000000000019"/>
    <x v="0"/>
    <s v="No"/>
    <d v="2025-04-09T00:00:00"/>
    <n v="0"/>
  </r>
  <r>
    <s v="DEP-A0-3530"/>
    <x v="0"/>
    <n v="28"/>
    <x v="0"/>
    <s v="Falda"/>
    <s v="Verde"/>
    <s v="Mango"/>
    <s v="MER-A0-3530"/>
    <d v="2025-04-23T00:00:00"/>
    <x v="1"/>
    <n v="97.76"/>
    <n v="0.1"/>
    <n v="90.643000000000001"/>
    <x v="0"/>
    <s v="No"/>
    <d v="2025-04-23T00:00:00"/>
    <n v="0"/>
  </r>
  <r>
    <s v="DEP-A0-2761"/>
    <x v="0"/>
    <n v="29"/>
    <x v="0"/>
    <s v="Vestido"/>
    <s v="Blanco"/>
    <s v="Tommy"/>
    <s v="MER-A0-2761"/>
    <d v="2025-04-05T00:00:00"/>
    <x v="1"/>
    <n v="98.18"/>
    <n v="0.1"/>
    <n v="91.224000000000004"/>
    <x v="0"/>
    <s v="No"/>
    <d v="2025-04-05T00:00:00"/>
    <n v="0"/>
  </r>
  <r>
    <s v="DEP-A0-1188"/>
    <x v="0"/>
    <n v="29"/>
    <x v="0"/>
    <s v="Blusa"/>
    <s v="Gris"/>
    <s v="Adidas"/>
    <s v="MER-A0-1188"/>
    <d v="2025-04-10T00:00:00"/>
    <x v="1"/>
    <n v="101.73"/>
    <n v="0.3"/>
    <n v="91.448000000000008"/>
    <x v="0"/>
    <s v="No"/>
    <d v="2025-04-10T00:00:00"/>
    <n v="0"/>
  </r>
  <r>
    <s v="DEP-A0-4832"/>
    <x v="1"/>
    <n v="20"/>
    <x v="0"/>
    <s v="Chaqueta"/>
    <s v="Rojo"/>
    <s v="Mango"/>
    <s v="MER-A0-4832"/>
    <d v="2025-04-18T00:00:00"/>
    <x v="1"/>
    <n v="102.46"/>
    <n v="0"/>
    <n v="91.84"/>
    <x v="0"/>
    <s v="No"/>
    <d v="2025-04-18T00:00:00"/>
    <n v="0"/>
  </r>
  <r>
    <s v="DEP-A0-0799"/>
    <x v="0"/>
    <n v="23"/>
    <x v="0"/>
    <s v="Falda"/>
    <s v="Blanco"/>
    <s v="Zara"/>
    <s v="MER-A0-0799"/>
    <d v="2025-04-03T00:00:00"/>
    <x v="1"/>
    <n v="102.63"/>
    <n v="0"/>
    <n v="93.111999999999995"/>
    <x v="0"/>
    <s v="No"/>
    <d v="2025-04-03T00:00:00"/>
    <n v="0"/>
  </r>
  <r>
    <s v="DEP-A0-2547"/>
    <x v="0"/>
    <n v="32"/>
    <x v="0"/>
    <s v="Chaqueta"/>
    <s v="Azul"/>
    <s v="Puma"/>
    <s v="MER-A0-2547"/>
    <d v="2025-04-22T00:00:00"/>
    <x v="1"/>
    <n v="104.54"/>
    <n v="0.3"/>
    <n v="93.52000000000001"/>
    <x v="0"/>
    <s v="No"/>
    <d v="2025-04-22T00:00:00"/>
    <n v="0"/>
  </r>
  <r>
    <s v="DEP-A0-3253"/>
    <x v="0"/>
    <n v="21"/>
    <x v="0"/>
    <s v="Vestido"/>
    <s v="Verde"/>
    <s v="Zara"/>
    <s v="MER-A0-3253"/>
    <d v="2025-04-04T00:00:00"/>
    <x v="1"/>
    <n v="157.82"/>
    <n v="0"/>
    <n v="100.12"/>
    <x v="0"/>
    <s v="No"/>
    <d v="2025-04-04T00:00:00"/>
    <n v="0"/>
  </r>
  <r>
    <s v="DEP-A0-3822"/>
    <x v="0"/>
    <n v="31"/>
    <x v="0"/>
    <s v="Zapatos"/>
    <s v="Azul"/>
    <s v="Tommy"/>
    <s v="MER-A0-3822"/>
    <d v="2025-04-13T00:00:00"/>
    <x v="1"/>
    <n v="174.73"/>
    <n v="0.3"/>
    <n v="102.474"/>
    <x v="0"/>
    <s v="No"/>
    <d v="2025-04-13T00:00:00"/>
    <n v="0"/>
  </r>
  <r>
    <s v="DEP-A0-4636"/>
    <x v="1"/>
    <n v="34"/>
    <x v="0"/>
    <s v="Chaqueta"/>
    <s v="Negro"/>
    <s v="Mango"/>
    <s v="MER-A0-4636"/>
    <d v="2025-04-21T00:00:00"/>
    <x v="1"/>
    <n v="178.99"/>
    <n v="0.1"/>
    <n v="103.887"/>
    <x v="0"/>
    <s v="No"/>
    <d v="2025-04-21T00:00:00"/>
    <n v="0"/>
  </r>
  <r>
    <s v="DEP-A0-4586"/>
    <x v="0"/>
    <n v="26"/>
    <x v="0"/>
    <s v="Falda"/>
    <s v="Negro"/>
    <s v="Zara"/>
    <s v="MER-A0-4586"/>
    <d v="2025-04-04T00:00:00"/>
    <x v="1"/>
    <n v="179.53"/>
    <n v="0"/>
    <n v="104.07"/>
    <x v="0"/>
    <s v="No"/>
    <d v="2025-04-04T00:00:00"/>
    <n v="0"/>
  </r>
  <r>
    <s v="DEP-A0-2104"/>
    <x v="0"/>
    <n v="31"/>
    <x v="0"/>
    <s v="Chaqueta"/>
    <s v="Negro"/>
    <s v="Zara"/>
    <s v="MER-A0-2104"/>
    <d v="2025-04-23T00:00:00"/>
    <x v="1"/>
    <n v="185.22"/>
    <n v="0"/>
    <n v="106.48400000000001"/>
    <x v="0"/>
    <s v="No"/>
    <d v="2025-04-23T00:00:00"/>
    <n v="0"/>
  </r>
  <r>
    <s v="DEP-A0-3813"/>
    <x v="0"/>
    <n v="31"/>
    <x v="0"/>
    <s v="Falda"/>
    <s v="Negro"/>
    <s v="Tommy"/>
    <s v="MER-A0-3813"/>
    <d v="2025-05-05T00:00:00"/>
    <x v="1"/>
    <n v="25.01"/>
    <n v="0.3"/>
    <n v="109.61"/>
    <x v="0"/>
    <s v="No"/>
    <d v="2025-05-05T00:00:00"/>
    <n v="0"/>
  </r>
  <r>
    <s v="DEP-A0-2464"/>
    <x v="0"/>
    <n v="25"/>
    <x v="0"/>
    <s v="Vestido"/>
    <s v="Azul"/>
    <s v="Mango"/>
    <s v="MER-A0-2464"/>
    <d v="2025-05-09T00:00:00"/>
    <x v="1"/>
    <n v="34.950000000000003"/>
    <n v="0.2"/>
    <n v="115.28800000000001"/>
    <x v="0"/>
    <s v="No"/>
    <d v="2025-05-09T00:00:00"/>
    <n v="0"/>
  </r>
  <r>
    <s v="DEP-A0-4311"/>
    <x v="0"/>
    <n v="20"/>
    <x v="0"/>
    <s v="Camisa"/>
    <s v="Amarillo"/>
    <s v="Zara"/>
    <s v="MER-A0-4311"/>
    <d v="2025-05-01T00:00:00"/>
    <x v="1"/>
    <n v="60.03"/>
    <n v="0"/>
    <n v="119.988"/>
    <x v="0"/>
    <s v="No"/>
    <d v="2025-05-01T00:00:00"/>
    <n v="0"/>
  </r>
  <r>
    <s v="DEP-A0-3677"/>
    <x v="0"/>
    <n v="29"/>
    <x v="0"/>
    <s v="Falda"/>
    <s v="Blanco"/>
    <s v="Levis"/>
    <s v="MER-A0-3677"/>
    <d v="2025-05-02T00:00:00"/>
    <x v="1"/>
    <n v="69.31"/>
    <n v="0.1"/>
    <n v="124.96"/>
    <x v="0"/>
    <s v="No"/>
    <d v="2025-05-02T00:00:00"/>
    <n v="0"/>
  </r>
  <r>
    <s v="DEP-A0-3284"/>
    <x v="0"/>
    <n v="29"/>
    <x v="0"/>
    <s v="Vestido"/>
    <s v="Negro"/>
    <s v="Mango"/>
    <s v="MER-A0-3284"/>
    <d v="2025-05-31T00:00:00"/>
    <x v="1"/>
    <n v="79.25"/>
    <n v="0.2"/>
    <n v="127.61"/>
    <x v="0"/>
    <s v="No"/>
    <d v="2025-05-31T00:00:00"/>
    <n v="0"/>
  </r>
  <r>
    <s v="DEP-A0-3500"/>
    <x v="0"/>
    <n v="26"/>
    <x v="0"/>
    <s v="Falda"/>
    <s v="Rojo"/>
    <s v="Adidas"/>
    <s v="MER-A0-3500"/>
    <d v="2025-05-21T00:00:00"/>
    <x v="1"/>
    <n v="100.66"/>
    <n v="0.1"/>
    <n v="131.38300000000001"/>
    <x v="0"/>
    <s v="No"/>
    <d v="2025-05-21T00:00:00"/>
    <n v="0"/>
  </r>
  <r>
    <s v="DEP-A0-0409"/>
    <x v="0"/>
    <n v="21"/>
    <x v="0"/>
    <s v="Camisa"/>
    <s v="Amarillo"/>
    <s v="Adidas"/>
    <s v="MER-A0-0409"/>
    <d v="2025-05-10T00:00:00"/>
    <x v="1"/>
    <n v="100.89"/>
    <n v="0.1"/>
    <n v="131.608"/>
    <x v="0"/>
    <s v="No"/>
    <d v="2025-05-10T00:00:00"/>
    <n v="0"/>
  </r>
  <r>
    <s v="DEP-A0-4610"/>
    <x v="0"/>
    <n v="31"/>
    <x v="0"/>
    <s v="Blusa"/>
    <s v="Gris"/>
    <s v="Puma"/>
    <s v="MER-A0-4610"/>
    <d v="2025-05-23T00:00:00"/>
    <x v="1"/>
    <n v="107.59"/>
    <n v="0.3"/>
    <n v="133.083"/>
    <x v="0"/>
    <s v="No"/>
    <d v="2025-05-23T00:00:00"/>
    <n v="0"/>
  </r>
  <r>
    <s v="DEP-A0-2391"/>
    <x v="0"/>
    <n v="30"/>
    <x v="0"/>
    <s v="Camisa"/>
    <s v="Azul"/>
    <s v="Nike"/>
    <s v="MER-A0-2391"/>
    <d v="2025-05-04T00:00:00"/>
    <x v="1"/>
    <n v="114.92"/>
    <n v="0.3"/>
    <n v="134.953"/>
    <x v="0"/>
    <s v="No"/>
    <d v="2025-05-04T00:00:00"/>
    <n v="0"/>
  </r>
  <r>
    <s v="DEP-A0-2820"/>
    <x v="0"/>
    <n v="27"/>
    <x v="0"/>
    <s v="Falda"/>
    <s v="Verde"/>
    <s v="Adidas"/>
    <s v="MER-A0-2820"/>
    <d v="2025-05-22T00:00:00"/>
    <x v="1"/>
    <n v="124.85"/>
    <n v="0.1"/>
    <n v="135.24"/>
    <x v="0"/>
    <s v="No"/>
    <d v="2025-05-22T00:00:00"/>
    <n v="0"/>
  </r>
  <r>
    <s v="DEP-A0-4849"/>
    <x v="0"/>
    <n v="23"/>
    <x v="0"/>
    <s v="Zapatos"/>
    <s v="Amarillo"/>
    <s v="Nike"/>
    <s v="MER-A0-4849"/>
    <d v="2025-05-31T00:00:00"/>
    <x v="1"/>
    <n v="125.01"/>
    <n v="0.1"/>
    <n v="135.64600000000002"/>
    <x v="0"/>
    <s v="No"/>
    <d v="2025-05-31T00:00:00"/>
    <n v="0"/>
  </r>
  <r>
    <s v="DEP-A0-0438"/>
    <x v="1"/>
    <n v="27"/>
    <x v="0"/>
    <s v="Zapatos"/>
    <s v="Azul"/>
    <s v="Adidas"/>
    <s v="MER-A0-0438"/>
    <d v="2025-05-04T00:00:00"/>
    <x v="1"/>
    <n v="148.63"/>
    <n v="0.2"/>
    <n v="139.363"/>
    <x v="0"/>
    <s v="No"/>
    <d v="2025-05-04T00:00:00"/>
    <n v="0"/>
  </r>
  <r>
    <s v="DEP-A0-0302"/>
    <x v="0"/>
    <n v="31"/>
    <x v="0"/>
    <s v="Zapatos"/>
    <s v="Verde"/>
    <s v="Tommy"/>
    <s v="MER-A0-0302"/>
    <d v="2025-05-09T00:00:00"/>
    <x v="1"/>
    <n v="152.63999999999999"/>
    <n v="0.2"/>
    <n v="139.39099999999999"/>
    <x v="0"/>
    <s v="No"/>
    <d v="2025-05-09T00:00:00"/>
    <n v="0"/>
  </r>
  <r>
    <s v="DEP-A0-3231"/>
    <x v="0"/>
    <n v="19"/>
    <x v="0"/>
    <s v="Chaqueta"/>
    <s v="Blanco"/>
    <s v="Puma"/>
    <s v="MER-A0-3231"/>
    <d v="2025-05-03T00:00:00"/>
    <x v="1"/>
    <n v="153.19"/>
    <n v="0.2"/>
    <n v="143.44"/>
    <x v="0"/>
    <s v="No"/>
    <d v="2025-05-03T00:00:00"/>
    <n v="0"/>
  </r>
  <r>
    <s v="DEP-A0-1443"/>
    <x v="0"/>
    <n v="21"/>
    <x v="0"/>
    <s v="Vestido"/>
    <s v="Azul"/>
    <s v="Nike"/>
    <s v="MER-A0-1443"/>
    <d v="2025-05-20T00:00:00"/>
    <x v="1"/>
    <n v="157.06"/>
    <n v="0.3"/>
    <n v="147.68"/>
    <x v="0"/>
    <s v="No"/>
    <d v="2025-05-20T00:00:00"/>
    <n v="0"/>
  </r>
  <r>
    <s v="DEP-A0-0374"/>
    <x v="0"/>
    <n v="26"/>
    <x v="0"/>
    <s v="Chaqueta"/>
    <s v="Gris"/>
    <s v="Puma"/>
    <s v="MER-A0-0374"/>
    <d v="2025-05-01T00:00:00"/>
    <x v="1"/>
    <n v="157.35"/>
    <n v="0"/>
    <n v="147.71199999999999"/>
    <x v="0"/>
    <s v="No"/>
    <d v="2025-05-01T00:00:00"/>
    <n v="0"/>
  </r>
  <r>
    <s v="DEP-A0-4506"/>
    <x v="0"/>
    <n v="32"/>
    <x v="0"/>
    <s v="Blusa"/>
    <s v="Blanco"/>
    <s v="Mango"/>
    <s v="MER-A0-4506"/>
    <d v="2025-05-19T00:00:00"/>
    <x v="1"/>
    <n v="162.91"/>
    <n v="0.2"/>
    <n v="151.416"/>
    <x v="0"/>
    <s v="No"/>
    <d v="2025-05-19T00:00:00"/>
    <n v="0"/>
  </r>
  <r>
    <s v="DEP-A0-3014"/>
    <x v="0"/>
    <n v="26"/>
    <x v="0"/>
    <s v="Camisa"/>
    <s v="Gris"/>
    <s v="Levis"/>
    <s v="MER-A0-3014"/>
    <d v="2025-05-17T00:00:00"/>
    <x v="1"/>
    <n v="169.17"/>
    <n v="0.1"/>
    <n v="154.57"/>
    <x v="0"/>
    <s v="No"/>
    <d v="2025-05-17T00:00:00"/>
    <n v="0"/>
  </r>
  <r>
    <s v="DEP-A0-2084"/>
    <x v="0"/>
    <n v="18"/>
    <x v="0"/>
    <s v="Blusa"/>
    <s v="Blanco"/>
    <s v="Tommy"/>
    <s v="MER-A0-2084"/>
    <d v="2025-05-22T00:00:00"/>
    <x v="1"/>
    <n v="190.58"/>
    <n v="0.3"/>
    <n v="159.804"/>
    <x v="0"/>
    <s v="No"/>
    <d v="2025-05-22T00:00:00"/>
    <n v="0"/>
  </r>
  <r>
    <s v="DEP-A0-1860"/>
    <x v="0"/>
    <n v="35"/>
    <x v="0"/>
    <s v="Blusa"/>
    <s v="Amarillo"/>
    <s v="Puma"/>
    <s v="MER-A0-1860"/>
    <d v="2025-05-01T00:00:00"/>
    <x v="1"/>
    <n v="192.33"/>
    <n v="0"/>
    <n v="162.29"/>
    <x v="0"/>
    <s v="No"/>
    <d v="2025-05-01T00:00:00"/>
    <n v="0"/>
  </r>
  <r>
    <s v="DEP-A0-0683"/>
    <x v="0"/>
    <n v="20"/>
    <x v="0"/>
    <s v="Pantalón"/>
    <s v="Negro"/>
    <s v="Nike"/>
    <s v="MER-A0-0683"/>
    <d v="2025-06-15T00:00:00"/>
    <x v="1"/>
    <n v="11.56"/>
    <n v="0.2"/>
    <n v="170.08"/>
    <x v="0"/>
    <s v="No"/>
    <d v="2025-06-15T00:00:00"/>
    <n v="0"/>
  </r>
  <r>
    <s v="DEP-A0-0757"/>
    <x v="0"/>
    <n v="34"/>
    <x v="0"/>
    <s v="Falda"/>
    <s v="Azul"/>
    <s v="Nike"/>
    <s v="MER-A0-0757"/>
    <d v="2025-06-21T00:00:00"/>
    <x v="1"/>
    <n v="15.09"/>
    <n v="0.1"/>
    <n v="170.81"/>
    <x v="0"/>
    <s v="No"/>
    <d v="2025-06-21T00:00:00"/>
    <n v="0"/>
  </r>
  <r>
    <s v="DEP-A0-4201"/>
    <x v="0"/>
    <n v="28"/>
    <x v="0"/>
    <s v="Chaqueta"/>
    <s v="Negro"/>
    <s v="Zara"/>
    <s v="MER-A0-4201"/>
    <d v="2025-06-10T00:00:00"/>
    <x v="1"/>
    <n v="15.61"/>
    <n v="0"/>
    <n v="171.77"/>
    <x v="0"/>
    <s v="No"/>
    <d v="2025-06-10T00:00:00"/>
    <n v="0"/>
  </r>
  <r>
    <s v="DEP-A0-1665"/>
    <x v="0"/>
    <n v="31"/>
    <x v="0"/>
    <s v="Falda"/>
    <s v="Azul"/>
    <s v="Zara"/>
    <s v="MER-A0-1665"/>
    <d v="2025-06-06T00:00:00"/>
    <x v="1"/>
    <n v="17.350000000000001"/>
    <n v="0.1"/>
    <n v="172.41"/>
    <x v="0"/>
    <s v="No"/>
    <d v="2025-06-06T00:00:00"/>
    <n v="0"/>
  </r>
  <r>
    <s v="DEP-A0-4146"/>
    <x v="0"/>
    <n v="26"/>
    <x v="0"/>
    <s v="Chaqueta"/>
    <s v="Verde"/>
    <s v="Tommy"/>
    <s v="MER-A0-4146"/>
    <d v="2025-06-28T00:00:00"/>
    <x v="1"/>
    <n v="22.03"/>
    <n v="0"/>
    <n v="175.095"/>
    <x v="0"/>
    <s v="No"/>
    <d v="2025-06-28T00:00:00"/>
    <n v="0"/>
  </r>
  <r>
    <s v="DEP-A0-4789"/>
    <x v="0"/>
    <n v="35"/>
    <x v="0"/>
    <s v="Vestido"/>
    <s v="Gris"/>
    <s v="Mango"/>
    <s v="MER-A0-4789"/>
    <d v="2025-06-18T00:00:00"/>
    <x v="1"/>
    <n v="27.9"/>
    <n v="0.1"/>
    <n v="177.14700000000002"/>
    <x v="0"/>
    <s v="No"/>
    <d v="2025-06-18T00:00:00"/>
    <n v="0"/>
  </r>
  <r>
    <s v="DEP-A0-2735"/>
    <x v="0"/>
    <n v="31"/>
    <x v="0"/>
    <s v="Chaqueta"/>
    <s v="Negro"/>
    <s v="Zara"/>
    <s v="MER-A0-2735"/>
    <d v="2025-06-20T00:00:00"/>
    <x v="1"/>
    <n v="46.6"/>
    <n v="0.2"/>
    <n v="180.88"/>
    <x v="0"/>
    <s v="No"/>
    <d v="2025-06-20T00:00:00"/>
    <n v="0"/>
  </r>
  <r>
    <s v="DEP-A0-4524"/>
    <x v="0"/>
    <n v="27"/>
    <x v="0"/>
    <s v="Blusa"/>
    <s v="Amarillo"/>
    <s v="Nike"/>
    <s v="MER-A0-4524"/>
    <d v="2025-06-01T00:00:00"/>
    <x v="1"/>
    <n v="49.03"/>
    <n v="0.3"/>
    <n v="185.38"/>
    <x v="0"/>
    <s v="No"/>
    <d v="2025-06-01T00:00:00"/>
    <n v="0"/>
  </r>
  <r>
    <s v="DEP-A0-0555"/>
    <x v="0"/>
    <n v="21"/>
    <x v="0"/>
    <s v="Blusa"/>
    <s v="Rojo"/>
    <s v="Puma"/>
    <s v="MER-A0-0555"/>
    <d v="2025-06-24T00:00:00"/>
    <x v="1"/>
    <n v="58.62"/>
    <n v="0.2"/>
    <n v="189.24"/>
    <x v="0"/>
    <s v="No"/>
    <d v="2025-06-24T00:00:00"/>
    <n v="0"/>
  </r>
  <r>
    <s v="DEP-A0-2260"/>
    <x v="0"/>
    <n v="29"/>
    <x v="0"/>
    <s v="Blusa"/>
    <s v="Rojo"/>
    <s v="Zara"/>
    <s v="MER-A0-2260"/>
    <d v="2025-06-01T00:00:00"/>
    <x v="1"/>
    <n v="64.39"/>
    <n v="0.1"/>
    <n v="191.16"/>
    <x v="0"/>
    <s v="No"/>
    <d v="2025-06-01T00:00:00"/>
    <n v="0"/>
  </r>
  <r>
    <s v="DEP-A0-2617"/>
    <x v="1"/>
    <n v="23"/>
    <x v="0"/>
    <s v="Zapatos"/>
    <s v="Verde"/>
    <s v="Levis"/>
    <s v="MER-A0-2617"/>
    <d v="2025-06-15T00:00:00"/>
    <x v="1"/>
    <n v="69.09"/>
    <n v="0.1"/>
    <n v="195.17"/>
    <x v="0"/>
    <s v="No"/>
    <d v="2025-06-15T00:00:00"/>
    <n v="0"/>
  </r>
  <r>
    <s v="DEP-A0-2226"/>
    <x v="0"/>
    <n v="34"/>
    <x v="0"/>
    <s v="Falda"/>
    <s v="Blanco"/>
    <s v="Mango"/>
    <s v="MER-A0-2226"/>
    <d v="2025-06-03T00:00:00"/>
    <x v="1"/>
    <n v="87.47"/>
    <n v="0.3"/>
    <n v="119.28"/>
    <x v="0"/>
    <s v="No"/>
    <d v="2025-06-03T00:00:00"/>
    <n v="0"/>
  </r>
  <r>
    <s v="DEP-A0-0756"/>
    <x v="1"/>
    <n v="28"/>
    <x v="0"/>
    <s v="Zapatos"/>
    <s v="Gris"/>
    <s v="Puma"/>
    <s v="MER-A0-0756"/>
    <d v="2025-06-22T00:00:00"/>
    <x v="1"/>
    <n v="91.16"/>
    <n v="0.3"/>
    <n v="168.696"/>
    <x v="0"/>
    <s v="No"/>
    <d v="2025-06-22T00:00:00"/>
    <n v="0"/>
  </r>
  <r>
    <s v="DEP-A0-3221"/>
    <x v="0"/>
    <n v="32"/>
    <x v="0"/>
    <s v="Chaqueta"/>
    <s v="Negro"/>
    <s v="Zara"/>
    <s v="MER-A0-3221"/>
    <d v="2025-06-16T00:00:00"/>
    <x v="1"/>
    <n v="94.6"/>
    <n v="0"/>
    <n v="136.96899999999999"/>
    <x v="0"/>
    <s v="No"/>
    <d v="2025-06-16T00:00:00"/>
    <n v="0"/>
  </r>
  <r>
    <s v="DEP-A0-0604"/>
    <x v="1"/>
    <n v="19"/>
    <x v="0"/>
    <s v="Pantalón"/>
    <s v="Amarillo"/>
    <s v="Zara"/>
    <s v="MER-A0-0604"/>
    <d v="2025-06-29T00:00:00"/>
    <x v="1"/>
    <n v="123"/>
    <n v="0.2"/>
    <n v="52.664000000000001"/>
    <x v="0"/>
    <s v="No"/>
    <d v="2025-06-29T00:00:00"/>
    <n v="0"/>
  </r>
  <r>
    <s v="DEP-A0-4755"/>
    <x v="1"/>
    <n v="26"/>
    <x v="0"/>
    <s v="Zapatos"/>
    <s v="Verde"/>
    <s v="Puma"/>
    <s v="MER-A0-4755"/>
    <d v="2025-06-11T00:00:00"/>
    <x v="1"/>
    <n v="127.18"/>
    <n v="0"/>
    <n v="84.573999999999998"/>
    <x v="0"/>
    <s v="No"/>
    <d v="2025-06-11T00:00:00"/>
    <n v="0"/>
  </r>
  <r>
    <s v="DEP-A0-1870"/>
    <x v="0"/>
    <n v="28"/>
    <x v="0"/>
    <s v="Zapatos"/>
    <s v="Azul"/>
    <s v="Adidas"/>
    <s v="MER-A0-1870"/>
    <d v="2025-06-14T00:00:00"/>
    <x v="1"/>
    <n v="127.99"/>
    <n v="0.1"/>
    <n v="118.25099999999999"/>
    <x v="0"/>
    <s v="No"/>
    <d v="2025-06-14T00:00:00"/>
    <n v="0"/>
  </r>
  <r>
    <s v="DEP-A0-1821"/>
    <x v="0"/>
    <n v="20"/>
    <x v="0"/>
    <s v="Blusa"/>
    <s v="Gris"/>
    <s v="Puma"/>
    <s v="MER-A0-1821"/>
    <d v="2025-06-06T00:00:00"/>
    <x v="1"/>
    <n v="137.47999999999999"/>
    <n v="0.3"/>
    <n v="95.137"/>
    <x v="0"/>
    <s v="No"/>
    <d v="2025-06-06T00:00:00"/>
    <n v="0"/>
  </r>
  <r>
    <s v="DEP-A0-1006"/>
    <x v="0"/>
    <n v="20"/>
    <x v="0"/>
    <s v="Blusa"/>
    <s v="Gris"/>
    <s v="Nike"/>
    <s v="MER-A0-1006"/>
    <d v="2025-06-30T00:00:00"/>
    <x v="1"/>
    <n v="141.77000000000001"/>
    <n v="0.3"/>
    <n v="13.95"/>
    <x v="0"/>
    <s v="No"/>
    <d v="2025-06-30T00:00:00"/>
    <n v="0"/>
  </r>
  <r>
    <s v="DEP-A0-4254"/>
    <x v="0"/>
    <n v="23"/>
    <x v="0"/>
    <s v="Falda"/>
    <s v="Verde"/>
    <s v="Adidas"/>
    <s v="MER-A0-4254"/>
    <d v="2025-06-25T00:00:00"/>
    <x v="1"/>
    <n v="149.41999999999999"/>
    <n v="0.3"/>
    <n v="22.968"/>
    <x v="0"/>
    <s v="No"/>
    <d v="2025-06-25T00:00:00"/>
    <n v="0"/>
  </r>
  <r>
    <s v="DEP-A0-1453"/>
    <x v="0"/>
    <n v="24"/>
    <x v="0"/>
    <s v="Chaqueta"/>
    <s v="Gris"/>
    <s v="Mango"/>
    <s v="MER-A0-1453"/>
    <d v="2025-06-23T00:00:00"/>
    <x v="1"/>
    <n v="150.58000000000001"/>
    <n v="0"/>
    <n v="22.707999999999998"/>
    <x v="0"/>
    <s v="No"/>
    <d v="2025-06-23T00:00:00"/>
    <n v="0"/>
  </r>
  <r>
    <s v="DEP-A0-0820"/>
    <x v="0"/>
    <n v="31"/>
    <x v="0"/>
    <s v="Chaqueta"/>
    <s v="Rojo"/>
    <s v="Zara"/>
    <s v="MER-A0-0820"/>
    <d v="2025-06-03T00:00:00"/>
    <x v="1"/>
    <n v="150.71"/>
    <n v="0.3"/>
    <n v="36.15"/>
    <x v="0"/>
    <s v="No"/>
    <d v="2025-06-03T00:00:00"/>
    <n v="0"/>
  </r>
  <r>
    <s v="DEP-A0-1703"/>
    <x v="0"/>
    <n v="19"/>
    <x v="0"/>
    <s v="Falda"/>
    <s v="Amarillo"/>
    <s v="Puma"/>
    <s v="MER-A0-1703"/>
    <d v="2025-06-02T00:00:00"/>
    <x v="1"/>
    <n v="151.29"/>
    <n v="0.3"/>
    <n v="65.94"/>
    <x v="0"/>
    <s v="No"/>
    <d v="2025-06-02T00:00:00"/>
    <n v="0"/>
  </r>
  <r>
    <s v="DEP-A0-0428"/>
    <x v="0"/>
    <n v="23"/>
    <x v="0"/>
    <s v="Falda"/>
    <s v="Blanco"/>
    <s v="Levis"/>
    <s v="MER-A0-0428"/>
    <d v="2025-06-27T00:00:00"/>
    <x v="1"/>
    <n v="160.37"/>
    <n v="0.3"/>
    <n v="60.561000000000007"/>
    <x v="0"/>
    <s v="No"/>
    <d v="2025-06-27T00:00:00"/>
    <n v="0"/>
  </r>
  <r>
    <s v="DEP-A0-3170"/>
    <x v="0"/>
    <n v="31"/>
    <x v="0"/>
    <s v="Blusa"/>
    <s v="Gris"/>
    <s v="Mango"/>
    <s v="MER-A0-3170"/>
    <d v="2025-06-10T00:00:00"/>
    <x v="1"/>
    <n v="173.85"/>
    <n v="0.1"/>
    <n v="102.648"/>
    <x v="0"/>
    <s v="No"/>
    <d v="2025-06-10T00:00:00"/>
    <n v="0"/>
  </r>
  <r>
    <s v="DEP-A0-0903"/>
    <x v="0"/>
    <n v="20"/>
    <x v="0"/>
    <s v="Vestido"/>
    <s v="Rojo"/>
    <s v="Tommy"/>
    <s v="MER-A0-0903"/>
    <d v="2025-06-04T00:00:00"/>
    <x v="1"/>
    <n v="182.28"/>
    <n v="0"/>
    <n v="130.833"/>
    <x v="0"/>
    <s v="No"/>
    <d v="2025-06-04T00:00:00"/>
    <n v="0"/>
  </r>
  <r>
    <s v="DEP-A0-2729"/>
    <x v="0"/>
    <n v="35"/>
    <x v="0"/>
    <s v="Falda"/>
    <s v="Gris"/>
    <s v="Mango"/>
    <s v="MER-A0-2729"/>
    <d v="2025-06-01T00:00:00"/>
    <x v="1"/>
    <n v="188.49"/>
    <n v="0.3"/>
    <n v="7.3010000000000002"/>
    <x v="0"/>
    <s v="No"/>
    <d v="2025-06-01T00:00:00"/>
    <n v="0"/>
  </r>
  <r>
    <s v="DEP-A0-0599"/>
    <x v="1"/>
    <n v="31"/>
    <x v="0"/>
    <s v="Chaqueta"/>
    <s v="Negro"/>
    <s v="Levis"/>
    <s v="MER-A0-0599"/>
    <d v="2025-06-17T00:00:00"/>
    <x v="1"/>
    <n v="193.42"/>
    <n v="0.2"/>
    <n v="18.5"/>
    <x v="0"/>
    <s v="No"/>
    <d v="2025-06-17T00:00:00"/>
    <n v="0"/>
  </r>
  <r>
    <s v="DEP-A0-4999"/>
    <x v="0"/>
    <n v="23"/>
    <x v="0"/>
    <s v="Zapatos"/>
    <s v="Rojo"/>
    <s v="Levis"/>
    <s v="MER-A0-4999"/>
    <d v="2025-06-06T00:00:00"/>
    <x v="1"/>
    <n v="193.62"/>
    <n v="0.2"/>
    <n v="67.808000000000007"/>
    <x v="0"/>
    <s v="No"/>
    <d v="2025-06-06T00:00:00"/>
    <n v="0"/>
  </r>
  <r>
    <s v="DEP-A0-0855"/>
    <x v="0"/>
    <n v="26"/>
    <x v="0"/>
    <s v="Camisa"/>
    <s v="Gris"/>
    <s v="Adidas"/>
    <s v="MER-A0-0855"/>
    <d v="2025-07-09T00:00:00"/>
    <x v="1"/>
    <n v="14.27"/>
    <n v="0.3"/>
    <n v="75.408000000000001"/>
    <x v="0"/>
    <s v="No"/>
    <d v="2025-07-09T00:00:00"/>
    <n v="0"/>
  </r>
  <r>
    <s v="DEP-A0-2144"/>
    <x v="1"/>
    <n v="33"/>
    <x v="0"/>
    <s v="Pantalón"/>
    <s v="Verde"/>
    <s v="Adidas"/>
    <s v="MER-A0-2144"/>
    <d v="2025-07-15T00:00:00"/>
    <x v="1"/>
    <n v="15.25"/>
    <n v="0.3"/>
    <n v="95.332999999999998"/>
    <x v="0"/>
    <s v="No"/>
    <d v="2025-07-15T00:00:00"/>
    <n v="0"/>
  </r>
  <r>
    <s v="DEP-A0-3625"/>
    <x v="1"/>
    <n v="31"/>
    <x v="0"/>
    <s v="Camisa"/>
    <s v="Azul"/>
    <s v="Mango"/>
    <s v="MER-A0-3625"/>
    <d v="2025-07-22T00:00:00"/>
    <x v="1"/>
    <n v="19.87"/>
    <n v="0.2"/>
    <n v="97.572999999999993"/>
    <x v="0"/>
    <s v="No"/>
    <d v="2025-07-22T00:00:00"/>
    <n v="0"/>
  </r>
  <r>
    <s v="DEP-A0-2799"/>
    <x v="1"/>
    <n v="24"/>
    <x v="0"/>
    <s v="Camisa"/>
    <s v="Rojo"/>
    <s v="Mango"/>
    <s v="MER-A0-2799"/>
    <d v="2025-07-03T00:00:00"/>
    <x v="1"/>
    <n v="25.15"/>
    <n v="0"/>
    <n v="190.14"/>
    <x v="0"/>
    <s v="No"/>
    <d v="2025-07-03T00:00:00"/>
    <n v="0"/>
  </r>
  <r>
    <s v="DEP-A0-3693"/>
    <x v="0"/>
    <n v="22"/>
    <x v="0"/>
    <s v="Blusa"/>
    <s v="Azul"/>
    <s v="Levis"/>
    <s v="MER-A0-3693"/>
    <d v="2025-07-26T00:00:00"/>
    <x v="1"/>
    <n v="31.72"/>
    <n v="0.3"/>
    <n v="27.4"/>
    <x v="0"/>
    <s v="No"/>
    <d v="2025-07-26T00:00:00"/>
    <n v="0"/>
  </r>
  <r>
    <s v="DEP-A0-1101"/>
    <x v="1"/>
    <n v="24"/>
    <x v="0"/>
    <s v="Camisa"/>
    <s v="Azul"/>
    <s v="Zara"/>
    <s v="MER-A0-1101"/>
    <d v="2025-07-17T00:00:00"/>
    <x v="1"/>
    <n v="35.99"/>
    <n v="0"/>
    <n v="36.97"/>
    <x v="0"/>
    <s v="No"/>
    <d v="2025-07-17T00:00:00"/>
    <n v="0"/>
  </r>
  <r>
    <s v="DEP-A0-1249"/>
    <x v="1"/>
    <n v="25"/>
    <x v="0"/>
    <s v="Pantalón"/>
    <s v="Rojo"/>
    <s v="Puma"/>
    <s v="MER-A0-1249"/>
    <d v="2025-07-12T00:00:00"/>
    <x v="1"/>
    <n v="54.05"/>
    <n v="0.3"/>
    <n v="47.295999999999999"/>
    <x v="0"/>
    <s v="No"/>
    <d v="2025-07-12T00:00:00"/>
    <n v="0"/>
  </r>
  <r>
    <s v="DEP-A0-1215"/>
    <x v="0"/>
    <n v="31"/>
    <x v="0"/>
    <s v="Falda"/>
    <s v="Amarillo"/>
    <s v="Levis"/>
    <s v="MER-A0-1215"/>
    <d v="2025-07-22T00:00:00"/>
    <x v="1"/>
    <n v="63.24"/>
    <n v="0"/>
    <n v="49.265999999999998"/>
    <x v="0"/>
    <s v="No"/>
    <d v="2025-07-22T00:00:00"/>
    <n v="0"/>
  </r>
  <r>
    <s v="DEP-A0-3423"/>
    <x v="0"/>
    <n v="26"/>
    <x v="0"/>
    <s v="Pantalón"/>
    <s v="Azul"/>
    <s v="Levis"/>
    <s v="MER-A0-3423"/>
    <d v="2025-07-14T00:00:00"/>
    <x v="1"/>
    <n v="79.099999999999994"/>
    <n v="0.3"/>
    <n v="146.90699999999998"/>
    <x v="0"/>
    <s v="No"/>
    <d v="2025-07-14T00:00:00"/>
    <n v="0"/>
  </r>
  <r>
    <s v="DEP-A0-3341"/>
    <x v="0"/>
    <n v="21"/>
    <x v="0"/>
    <s v="Pantalón"/>
    <s v="Gris"/>
    <s v="Levis"/>
    <s v="MER-A0-3341"/>
    <d v="2025-07-31T00:00:00"/>
    <x v="1"/>
    <n v="80.19"/>
    <n v="0.2"/>
    <n v="142.35999999999999"/>
    <x v="0"/>
    <s v="No"/>
    <d v="2025-07-31T00:00:00"/>
    <n v="0"/>
  </r>
  <r>
    <s v="DEP-A0-2647"/>
    <x v="1"/>
    <n v="20"/>
    <x v="0"/>
    <s v="Pantalón"/>
    <s v="Blanco"/>
    <s v="Levis"/>
    <s v="MER-A0-2647"/>
    <d v="2025-07-09T00:00:00"/>
    <x v="1"/>
    <n v="82.82"/>
    <n v="0.2"/>
    <n v="127.505"/>
    <x v="0"/>
    <s v="No"/>
    <d v="2025-07-09T00:00:00"/>
    <n v="0"/>
  </r>
  <r>
    <s v="DEP-A0-0436"/>
    <x v="0"/>
    <n v="32"/>
    <x v="0"/>
    <s v="Vestido"/>
    <s v="Verde"/>
    <s v="Zara"/>
    <s v="MER-A0-0436"/>
    <d v="2025-07-17T00:00:00"/>
    <x v="1"/>
    <n v="90.07"/>
    <n v="0.1"/>
    <n v="72.496000000000009"/>
    <x v="0"/>
    <s v="No"/>
    <d v="2025-07-17T00:00:00"/>
    <n v="0"/>
  </r>
  <r>
    <s v="DEP-A0-2538"/>
    <x v="0"/>
    <n v="34"/>
    <x v="0"/>
    <s v="Vestido"/>
    <s v="Verde"/>
    <s v="Zara"/>
    <s v="MER-A0-2538"/>
    <d v="2025-07-06T00:00:00"/>
    <x v="1"/>
    <n v="94.11"/>
    <n v="0.1"/>
    <n v="154.31"/>
    <x v="0"/>
    <s v="No"/>
    <d v="2025-07-06T00:00:00"/>
    <n v="0"/>
  </r>
  <r>
    <s v="DEP-A0-2266"/>
    <x v="0"/>
    <n v="31"/>
    <x v="0"/>
    <s v="Vestido"/>
    <s v="Rojo"/>
    <s v="Mango"/>
    <s v="MER-A0-2266"/>
    <d v="2025-07-21T00:00:00"/>
    <x v="1"/>
    <n v="96.74"/>
    <n v="0"/>
    <n v="141.512"/>
    <x v="0"/>
    <s v="No"/>
    <d v="2025-07-21T00:00:00"/>
    <n v="0"/>
  </r>
  <r>
    <s v="DEP-A0-1710"/>
    <x v="1"/>
    <n v="28"/>
    <x v="0"/>
    <s v="Chaqueta"/>
    <s v="Gris"/>
    <s v="Tommy"/>
    <s v="MER-A0-1710"/>
    <d v="2025-07-26T00:00:00"/>
    <x v="1"/>
    <n v="98.1"/>
    <n v="0.1"/>
    <n v="9.6120000000000001"/>
    <x v="0"/>
    <s v="No"/>
    <d v="2025-07-26T00:00:00"/>
    <n v="0"/>
  </r>
  <r>
    <s v="DEP-A0-3734"/>
    <x v="0"/>
    <n v="22"/>
    <x v="0"/>
    <s v="Camisa"/>
    <s v="Rojo"/>
    <s v="Levis"/>
    <s v="MER-A0-3734"/>
    <d v="2025-07-28T00:00:00"/>
    <x v="1"/>
    <n v="100.29"/>
    <n v="0.1"/>
    <n v="35.94"/>
    <x v="0"/>
    <s v="No"/>
    <d v="2025-07-28T00:00:00"/>
    <n v="0"/>
  </r>
  <r>
    <s v="DEP-A0-0401"/>
    <x v="1"/>
    <n v="23"/>
    <x v="0"/>
    <s v="Chaqueta"/>
    <s v="Rojo"/>
    <s v="Adidas"/>
    <s v="MER-A0-0401"/>
    <d v="2025-07-14T00:00:00"/>
    <x v="1"/>
    <n v="109.68"/>
    <n v="0"/>
    <n v="130.72800000000001"/>
    <x v="0"/>
    <s v="No"/>
    <d v="2025-07-14T00:00:00"/>
    <n v="0"/>
  </r>
  <r>
    <s v="DEP-A0-3762"/>
    <x v="0"/>
    <n v="19"/>
    <x v="0"/>
    <s v="Camisa"/>
    <s v="Amarillo"/>
    <s v="Mango"/>
    <s v="MER-A0-3762"/>
    <d v="2025-07-06T00:00:00"/>
    <x v="1"/>
    <n v="110.35"/>
    <n v="0"/>
    <n v="83.808000000000007"/>
    <x v="0"/>
    <s v="No"/>
    <d v="2025-07-06T00:00:00"/>
    <n v="0"/>
  </r>
  <r>
    <s v="DEP-A0-3311"/>
    <x v="0"/>
    <n v="26"/>
    <x v="0"/>
    <s v="Pantalón"/>
    <s v="Azul"/>
    <s v="Tommy"/>
    <s v="MER-A0-3311"/>
    <d v="2025-07-17T00:00:00"/>
    <x v="1"/>
    <n v="110.91"/>
    <n v="0"/>
    <n v="30.707999999999998"/>
    <x v="0"/>
    <s v="No"/>
    <d v="2025-07-17T00:00:00"/>
    <n v="0"/>
  </r>
  <r>
    <s v="DEP-A0-1610"/>
    <x v="1"/>
    <n v="34"/>
    <x v="0"/>
    <s v="Chaqueta"/>
    <s v="Rojo"/>
    <s v="Zara"/>
    <s v="MER-A0-1610"/>
    <d v="2025-07-05T00:00:00"/>
    <x v="1"/>
    <n v="112.09"/>
    <n v="0.1"/>
    <n v="40.480999999999995"/>
    <x v="0"/>
    <s v="No"/>
    <d v="2025-07-05T00:00:00"/>
    <n v="0"/>
  </r>
  <r>
    <s v="DEP-A0-1078"/>
    <x v="0"/>
    <n v="21"/>
    <x v="0"/>
    <s v="Camisa"/>
    <s v="Blanco"/>
    <s v="Zara"/>
    <s v="MER-A0-1078"/>
    <d v="2025-07-23T00:00:00"/>
    <x v="1"/>
    <n v="113.95"/>
    <n v="0.1"/>
    <n v="39.472000000000001"/>
    <x v="0"/>
    <s v="No"/>
    <d v="2025-07-23T00:00:00"/>
    <n v="0"/>
  </r>
  <r>
    <s v="DEP-A0-4769"/>
    <x v="1"/>
    <n v="23"/>
    <x v="0"/>
    <s v="Zapatos"/>
    <s v="Negro"/>
    <s v="Mango"/>
    <s v="MER-A0-4769"/>
    <d v="2025-07-03T00:00:00"/>
    <x v="1"/>
    <n v="118.23"/>
    <n v="0"/>
    <n v="10.476000000000001"/>
    <x v="0"/>
    <s v="No"/>
    <d v="2025-07-03T00:00:00"/>
    <n v="0"/>
  </r>
  <r>
    <s v="DEP-A0-4802"/>
    <x v="0"/>
    <n v="28"/>
    <x v="0"/>
    <s v="Chaqueta"/>
    <s v="Gris"/>
    <s v="Puma"/>
    <s v="MER-A0-4802"/>
    <d v="2025-07-12T00:00:00"/>
    <x v="1"/>
    <n v="122.84"/>
    <n v="0"/>
    <n v="23.960999999999999"/>
    <x v="0"/>
    <s v="No"/>
    <d v="2025-07-12T00:00:00"/>
    <n v="0"/>
  </r>
  <r>
    <s v="DEP-A0-2407"/>
    <x v="0"/>
    <n v="34"/>
    <x v="0"/>
    <s v="Blusa"/>
    <s v="Azul"/>
    <s v="Levis"/>
    <s v="MER-A0-2407"/>
    <d v="2025-07-14T00:00:00"/>
    <x v="1"/>
    <n v="125.24"/>
    <n v="0"/>
    <n v="46.025999999999996"/>
    <x v="0"/>
    <s v="No"/>
    <d v="2025-07-14T00:00:00"/>
    <n v="0"/>
  </r>
  <r>
    <s v="DEP-A0-3601"/>
    <x v="0"/>
    <n v="21"/>
    <x v="0"/>
    <s v="Blusa"/>
    <s v="Amarillo"/>
    <s v="Mango"/>
    <s v="MER-A0-3601"/>
    <d v="2025-07-21T00:00:00"/>
    <x v="1"/>
    <n v="140.51"/>
    <n v="0.1"/>
    <n v="61.461000000000006"/>
    <x v="0"/>
    <s v="No"/>
    <d v="2025-07-21T00:00:00"/>
    <n v="0"/>
  </r>
  <r>
    <s v="DEP-A0-0308"/>
    <x v="0"/>
    <n v="33"/>
    <x v="0"/>
    <s v="Vestido"/>
    <s v="Blanco"/>
    <s v="Adidas"/>
    <s v="MER-A0-0308"/>
    <d v="2025-07-23T00:00:00"/>
    <x v="1"/>
    <n v="151.28"/>
    <n v="0.1"/>
    <n v="83.27"/>
    <x v="0"/>
    <s v="No"/>
    <d v="2025-07-23T00:00:00"/>
    <n v="0"/>
  </r>
  <r>
    <s v="DEP-A0-1398"/>
    <x v="0"/>
    <n v="25"/>
    <x v="0"/>
    <s v="Vestido"/>
    <s v="Verde"/>
    <s v="Mango"/>
    <s v="MER-A0-1398"/>
    <d v="2025-07-20T00:00:00"/>
    <x v="1"/>
    <n v="155.18"/>
    <n v="0"/>
    <n v="85.97"/>
    <x v="0"/>
    <s v="No"/>
    <d v="2025-07-20T00:00:00"/>
    <n v="0"/>
  </r>
  <r>
    <s v="DEP-A0-4732"/>
    <x v="1"/>
    <n v="32"/>
    <x v="0"/>
    <s v="Chaqueta"/>
    <s v="Gris"/>
    <s v="Levis"/>
    <s v="MER-A0-4732"/>
    <d v="2025-07-07T00:00:00"/>
    <x v="1"/>
    <n v="172.3"/>
    <n v="0.3"/>
    <n v="133.42500000000001"/>
    <x v="0"/>
    <s v="No"/>
    <d v="2025-07-07T00:00:00"/>
    <n v="0"/>
  </r>
  <r>
    <s v="DEP-A0-2096"/>
    <x v="0"/>
    <n v="31"/>
    <x v="0"/>
    <s v="Falda"/>
    <s v="Negro"/>
    <s v="Mango"/>
    <s v="MER-A0-2096"/>
    <d v="2025-07-18T00:00:00"/>
    <x v="1"/>
    <n v="184.79"/>
    <n v="0.3"/>
    <n v="113.58199999999999"/>
    <x v="0"/>
    <s v="No"/>
    <d v="2025-07-18T00:00:00"/>
    <n v="0"/>
  </r>
  <r>
    <s v="DEP-A0-1299"/>
    <x v="0"/>
    <n v="22"/>
    <x v="0"/>
    <s v="Chaqueta"/>
    <s v="Negro"/>
    <s v="Adidas"/>
    <s v="MER-A0-1299"/>
    <d v="2025-07-20T00:00:00"/>
    <x v="1"/>
    <n v="185.11"/>
    <n v="0.2"/>
    <n v="170.98"/>
    <x v="0"/>
    <s v="No"/>
    <d v="2025-07-20T00:00:00"/>
    <n v="0"/>
  </r>
  <r>
    <s v="DEP-A0-3037"/>
    <x v="1"/>
    <n v="32"/>
    <x v="0"/>
    <s v="Camisa"/>
    <s v="Blanco"/>
    <s v="Mango"/>
    <s v="MER-A0-3037"/>
    <d v="2025-07-23T00:00:00"/>
    <x v="1"/>
    <n v="186.77"/>
    <n v="0.3"/>
    <n v="195.29"/>
    <x v="0"/>
    <s v="No"/>
    <d v="2025-07-23T00:00:00"/>
    <n v="0"/>
  </r>
  <r>
    <s v="DEP-A0-0791"/>
    <x v="1"/>
    <n v="27"/>
    <x v="0"/>
    <s v="Camisa"/>
    <s v="Azul"/>
    <s v="Tommy"/>
    <s v="MER-A0-0791"/>
    <d v="2025-07-11T00:00:00"/>
    <x v="1"/>
    <n v="191.35"/>
    <n v="0.3"/>
    <n v="27.335000000000001"/>
    <x v="0"/>
    <s v="No"/>
    <d v="2025-07-11T00:00:00"/>
    <n v="0"/>
  </r>
  <r>
    <s v="DEP-A0-1153"/>
    <x v="0"/>
    <n v="24"/>
    <x v="0"/>
    <s v="Falda"/>
    <s v="Blanco"/>
    <s v="Adidas"/>
    <s v="MER-A0-1153"/>
    <d v="2025-07-02T00:00:00"/>
    <x v="1"/>
    <n v="192.97"/>
    <n v="0.2"/>
    <n v="30.597000000000001"/>
    <x v="0"/>
    <s v="No"/>
    <d v="2025-07-02T00:00:00"/>
    <n v="0"/>
  </r>
  <r>
    <s v="DEP-A0-5000"/>
    <x v="0"/>
    <n v="31"/>
    <x v="0"/>
    <s v="Chaqueta"/>
    <s v="Negro"/>
    <s v="Nike"/>
    <s v="MER-A0-5000"/>
    <d v="2025-07-18T00:00:00"/>
    <x v="1"/>
    <n v="197.65"/>
    <n v="0"/>
    <n v="56.718000000000004"/>
    <x v="0"/>
    <s v="No"/>
    <d v="2025-07-18T00:00:00"/>
    <n v="0"/>
  </r>
  <r>
    <s v="DEP-A0-2782"/>
    <x v="0"/>
    <n v="19"/>
    <x v="0"/>
    <s v="Zapatos"/>
    <s v="Rojo"/>
    <s v="Levis"/>
    <s v="MER-A0-2782"/>
    <d v="2025-08-03T00:00:00"/>
    <x v="1"/>
    <n v="14.11"/>
    <n v="0.1"/>
    <n v="84.662999999999997"/>
    <x v="0"/>
    <s v="No"/>
    <d v="2025-08-03T00:00:00"/>
    <n v="0"/>
  </r>
  <r>
    <s v="DEP-A0-0323"/>
    <x v="1"/>
    <n v="35"/>
    <x v="0"/>
    <s v="Chaqueta"/>
    <s v="Verde"/>
    <s v="Mango"/>
    <s v="MER-A0-0323"/>
    <d v="2025-08-12T00:00:00"/>
    <x v="1"/>
    <n v="17"/>
    <n v="0"/>
    <n v="109.31"/>
    <x v="0"/>
    <s v="No"/>
    <d v="2025-08-12T00:00:00"/>
    <n v="0"/>
  </r>
  <r>
    <s v="DEP-A0-1128"/>
    <x v="1"/>
    <n v="26"/>
    <x v="0"/>
    <s v="Pantalón"/>
    <s v="Amarillo"/>
    <s v="Tommy"/>
    <s v="MER-A0-1128"/>
    <d v="2025-08-07T00:00:00"/>
    <x v="1"/>
    <n v="17.559999999999999"/>
    <n v="0.3"/>
    <n v="96.951999999999998"/>
    <x v="0"/>
    <s v="No"/>
    <d v="2025-08-07T00:00:00"/>
    <n v="0"/>
  </r>
  <r>
    <s v="DEP-A0-4143"/>
    <x v="1"/>
    <n v="29"/>
    <x v="0"/>
    <s v="Chaqueta"/>
    <s v="Gris"/>
    <s v="Puma"/>
    <s v="MER-A0-4143"/>
    <d v="2025-08-16T00:00:00"/>
    <x v="1"/>
    <n v="40.909999999999997"/>
    <n v="0"/>
    <n v="140.9"/>
    <x v="0"/>
    <s v="No"/>
    <d v="2025-08-16T00:00:00"/>
    <n v="0"/>
  </r>
  <r>
    <s v="DEP-A0-2775"/>
    <x v="1"/>
    <n v="31"/>
    <x v="0"/>
    <s v="Zapatos"/>
    <s v="Negro"/>
    <s v="Mango"/>
    <s v="MER-A0-2775"/>
    <d v="2025-08-03T00:00:00"/>
    <x v="1"/>
    <n v="41.54"/>
    <n v="0"/>
    <n v="128.18700000000001"/>
    <x v="0"/>
    <s v="No"/>
    <d v="2025-08-03T00:00:00"/>
    <n v="0"/>
  </r>
  <r>
    <s v="DEP-A0-1819"/>
    <x v="0"/>
    <n v="21"/>
    <x v="0"/>
    <s v="Vestido"/>
    <s v="Gris"/>
    <s v="Mango"/>
    <s v="MER-A0-1819"/>
    <d v="2025-08-10T00:00:00"/>
    <x v="1"/>
    <n v="44.04"/>
    <n v="0.1"/>
    <n v="122.91999999999999"/>
    <x v="0"/>
    <s v="No"/>
    <d v="2025-08-10T00:00:00"/>
    <n v="0"/>
  </r>
  <r>
    <s v="DEP-A0-1382"/>
    <x v="1"/>
    <n v="20"/>
    <x v="0"/>
    <s v="Camisa"/>
    <s v="Negro"/>
    <s v="Mango"/>
    <s v="MER-A0-1382"/>
    <d v="2025-08-06T00:00:00"/>
    <x v="1"/>
    <n v="77.260000000000005"/>
    <n v="0.2"/>
    <n v="179.79300000000001"/>
    <x v="0"/>
    <s v="No"/>
    <d v="2025-08-06T00:00:00"/>
    <n v="0"/>
  </r>
  <r>
    <s v="DEP-A0-3936"/>
    <x v="0"/>
    <n v="18"/>
    <x v="0"/>
    <s v="Vestido"/>
    <s v="Rojo"/>
    <s v="Levis"/>
    <s v="MER-A0-3936"/>
    <d v="2025-08-04T00:00:00"/>
    <x v="1"/>
    <n v="91.48"/>
    <n v="0.1"/>
    <n v="21.321000000000002"/>
    <x v="0"/>
    <s v="No"/>
    <d v="2025-08-04T00:00:00"/>
    <n v="0"/>
  </r>
  <r>
    <s v="DEP-A0-0544"/>
    <x v="0"/>
    <n v="23"/>
    <x v="0"/>
    <s v="Chaqueta"/>
    <s v="Verde"/>
    <s v="Levis"/>
    <s v="MER-A0-0544"/>
    <d v="2025-08-10T00:00:00"/>
    <x v="1"/>
    <n v="126.4"/>
    <n v="0.2"/>
    <n v="25.06"/>
    <x v="0"/>
    <s v="No"/>
    <d v="2025-08-10T00:00:00"/>
    <n v="0"/>
  </r>
  <r>
    <s v="DEP-A0-0170"/>
    <x v="1"/>
    <n v="28"/>
    <x v="0"/>
    <s v="Camisa"/>
    <s v="Verde"/>
    <s v="Tommy"/>
    <s v="MER-A0-0170"/>
    <d v="2025-08-04T00:00:00"/>
    <x v="1"/>
    <n v="126.91"/>
    <n v="0"/>
    <n v="36.267000000000003"/>
    <x v="0"/>
    <s v="No"/>
    <d v="2025-08-04T00:00:00"/>
    <n v="0"/>
  </r>
  <r>
    <s v="DEP-A0-0219"/>
    <x v="1"/>
    <n v="18"/>
    <x v="0"/>
    <s v="Camisa"/>
    <s v="Gris"/>
    <s v="Puma"/>
    <s v="MER-A0-0219"/>
    <d v="2025-08-12T00:00:00"/>
    <x v="1"/>
    <n v="129.78"/>
    <n v="0.1"/>
    <n v="48.914999999999999"/>
    <x v="0"/>
    <s v="No"/>
    <d v="2025-08-12T00:00:00"/>
    <n v="0"/>
  </r>
  <r>
    <s v="DEP-A0-1517"/>
    <x v="0"/>
    <n v="33"/>
    <x v="0"/>
    <s v="Camisa"/>
    <s v="Verde"/>
    <s v="Nike"/>
    <s v="MER-A0-1517"/>
    <d v="2025-08-14T00:00:00"/>
    <x v="1"/>
    <n v="141.05000000000001"/>
    <n v="0.1"/>
    <n v="57.13"/>
    <x v="0"/>
    <s v="No"/>
    <d v="2025-08-14T00:00:00"/>
    <n v="0"/>
  </r>
  <r>
    <s v="DEP-A0-2281"/>
    <x v="0"/>
    <n v="32"/>
    <x v="0"/>
    <s v="Blusa"/>
    <s v="Rojo"/>
    <s v="Mango"/>
    <s v="MER-A0-2281"/>
    <d v="2025-08-01T00:00:00"/>
    <x v="1"/>
    <n v="155.66"/>
    <n v="0.1"/>
    <n v="61.18"/>
    <x v="0"/>
    <s v="No"/>
    <d v="2025-08-01T00:00:00"/>
    <n v="0"/>
  </r>
  <r>
    <s v="DEP-A0-0530"/>
    <x v="0"/>
    <n v="30"/>
    <x v="0"/>
    <s v="Vestido"/>
    <s v="Verde"/>
    <s v="Nike"/>
    <s v="MER-A0-0530"/>
    <d v="2025-08-09T00:00:00"/>
    <x v="1"/>
    <n v="170.31"/>
    <n v="0.2"/>
    <n v="112.167"/>
    <x v="0"/>
    <s v="No"/>
    <d v="2025-08-09T00:00:00"/>
    <n v="0"/>
  </r>
  <r>
    <s v="DEP-A0-0185"/>
    <x v="0"/>
    <n v="21"/>
    <x v="0"/>
    <s v="Chaqueta"/>
    <s v="Amarillo"/>
    <s v="Adidas"/>
    <s v="MER-A0-0185"/>
    <d v="2025-08-12T00:00:00"/>
    <x v="1"/>
    <n v="171.75"/>
    <n v="0.1"/>
    <n v="112.04"/>
    <x v="0"/>
    <s v="No"/>
    <d v="2025-08-12T00:00:00"/>
    <n v="0"/>
  </r>
  <r>
    <s v="DEP-A0-2401"/>
    <x v="0"/>
    <n v="29"/>
    <x v="0"/>
    <s v="Camisa"/>
    <s v="Blanco"/>
    <s v="Nike"/>
    <s v="MER-A0-2401"/>
    <d v="2025-08-10T00:00:00"/>
    <x v="1"/>
    <n v="184.33"/>
    <n v="0"/>
    <n v="147.15899999999999"/>
    <x v="0"/>
    <s v="No"/>
    <d v="2025-08-10T00:00:00"/>
    <n v="0"/>
  </r>
  <r>
    <s v="DEP-A0-0467"/>
    <x v="1"/>
    <n v="22"/>
    <x v="0"/>
    <s v="Pantalón"/>
    <s v="Blanco"/>
    <s v="Nike"/>
    <s v="MER-A0-0467"/>
    <d v="2025-08-13T00:00:00"/>
    <x v="1"/>
    <n v="190.35"/>
    <n v="0.1"/>
    <n v="141.66400000000002"/>
    <x v="0"/>
    <s v="No"/>
    <d v="2025-08-13T00:00:00"/>
    <n v="0"/>
  </r>
  <r>
    <s v="DEP-A0-2481"/>
    <x v="0"/>
    <n v="27"/>
    <x v="0"/>
    <s v="Vestido"/>
    <s v="Blanco"/>
    <s v="Zara"/>
    <s v="MER-A0-2481"/>
    <d v="2025-08-01T00:00:00"/>
    <x v="1"/>
    <n v="198.76"/>
    <n v="0.2"/>
    <n v="185.36"/>
    <x v="0"/>
    <s v="No"/>
    <d v="2025-08-01T00:00:00"/>
    <n v="0"/>
  </r>
  <r>
    <s v="DEP-A0-1239"/>
    <x v="0"/>
    <n v="18"/>
    <x v="0"/>
    <s v="Zapatos"/>
    <s v="Azul"/>
    <s v="Puma"/>
    <s v="MER-A0-1239"/>
    <d v="2024-12-23T00:00:00"/>
    <x v="0"/>
    <n v="10.050000000000001"/>
    <n v="0.2"/>
    <n v="84.81"/>
    <x v="1"/>
    <s v="No"/>
    <d v="2024-01-09T00:00:00"/>
    <n v="0"/>
  </r>
  <r>
    <s v="DEP-A0-0730"/>
    <x v="0"/>
    <n v="26"/>
    <x v="0"/>
    <s v="Vestido"/>
    <s v="Azul"/>
    <s v="Tommy"/>
    <s v="MER-A0-0730"/>
    <d v="2024-12-09T00:00:00"/>
    <x v="0"/>
    <n v="10.38"/>
    <n v="0.2"/>
    <n v="65.834999999999994"/>
    <x v="1"/>
    <s v="No"/>
    <d v="2024-06-14T00:00:00"/>
    <n v="0"/>
  </r>
  <r>
    <s v="DEP-A0-1246"/>
    <x v="1"/>
    <n v="20"/>
    <x v="0"/>
    <s v="Zapatos"/>
    <s v="Verde"/>
    <s v="Nike"/>
    <s v="MER-A0-1246"/>
    <d v="2024-10-06T00:00:00"/>
    <x v="0"/>
    <n v="11.31"/>
    <n v="0.1"/>
    <n v="79.394000000000005"/>
    <x v="1"/>
    <s v="No"/>
    <d v="2024-10-06T00:00:00"/>
    <n v="0"/>
  </r>
  <r>
    <s v="DEP-A0-0459"/>
    <x v="0"/>
    <n v="29"/>
    <x v="0"/>
    <s v="Falda"/>
    <s v="Blanco"/>
    <s v="Adidas"/>
    <s v="MER-A0-0459"/>
    <d v="2024-12-23T00:00:00"/>
    <x v="0"/>
    <n v="13.2"/>
    <n v="0.2"/>
    <n v="85.491"/>
    <x v="1"/>
    <s v="No"/>
    <d v="2024-01-12T00:00:00"/>
    <n v="0"/>
  </r>
  <r>
    <s v="DEP-A0-2385"/>
    <x v="1"/>
    <n v="23"/>
    <x v="0"/>
    <s v="Camisa"/>
    <s v="Rojo"/>
    <s v="Levis"/>
    <s v="MER-A0-2385"/>
    <d v="2024-04-06T00:00:00"/>
    <x v="0"/>
    <n v="10.87"/>
    <n v="0"/>
    <n v="113.645"/>
    <x v="1"/>
    <s v="No"/>
    <d v="2024-04-06T00:00:00"/>
    <n v="0"/>
  </r>
  <r>
    <s v="DEP-A0-4180"/>
    <x v="0"/>
    <n v="19"/>
    <x v="0"/>
    <s v="Blusa"/>
    <s v="Blanco"/>
    <s v="Levis"/>
    <s v="MER-A0-4180"/>
    <d v="2024-12-04T00:00:00"/>
    <x v="0"/>
    <n v="18.55"/>
    <n v="0.3"/>
    <n v="74.623999999999995"/>
    <x v="1"/>
    <s v="No"/>
    <d v="2024-12-04T00:00:00"/>
    <n v="0"/>
  </r>
  <r>
    <s v="DEP-A0-1076"/>
    <x v="1"/>
    <n v="32"/>
    <x v="0"/>
    <s v="Pantalón"/>
    <s v="Rojo"/>
    <s v="Adidas"/>
    <s v="MER-A0-1076"/>
    <d v="2024-03-09T00:00:00"/>
    <x v="0"/>
    <n v="16.87"/>
    <n v="0.2"/>
    <n v="100.55199999999999"/>
    <x v="1"/>
    <s v="No"/>
    <d v="2024-03-09T00:00:00"/>
    <n v="0"/>
  </r>
  <r>
    <s v="DEP-A0-1281"/>
    <x v="1"/>
    <n v="29"/>
    <x v="0"/>
    <s v="Chaqueta"/>
    <s v="Azul"/>
    <s v="Puma"/>
    <s v="MER-A0-1281"/>
    <d v="2024-08-15T00:00:00"/>
    <x v="0"/>
    <n v="19.899999999999999"/>
    <n v="0.3"/>
    <n v="131.327"/>
    <x v="1"/>
    <s v="No"/>
    <d v="2024-08-15T00:00:00"/>
    <n v="0"/>
  </r>
  <r>
    <s v="DEP-A0-4870"/>
    <x v="1"/>
    <n v="30"/>
    <x v="0"/>
    <s v="Chaqueta"/>
    <s v="Gris"/>
    <s v="Zara"/>
    <s v="MER-A0-4870"/>
    <d v="2024-01-25T00:00:00"/>
    <x v="0"/>
    <n v="14.36"/>
    <n v="0"/>
    <n v="77.688000000000002"/>
    <x v="1"/>
    <s v="No"/>
    <d v="2024-01-25T00:00:00"/>
    <n v="0"/>
  </r>
  <r>
    <s v="DEP-A0-3624"/>
    <x v="1"/>
    <n v="18"/>
    <x v="0"/>
    <s v="Zapatos"/>
    <s v="Gris"/>
    <s v="Nike"/>
    <s v="MER-A0-3624"/>
    <d v="2024-10-31T00:00:00"/>
    <x v="0"/>
    <n v="18.75"/>
    <n v="0.2"/>
    <n v="112.13999999999999"/>
    <x v="1"/>
    <s v="No"/>
    <d v="2024-10-31T00:00:00"/>
    <n v="0"/>
  </r>
  <r>
    <s v="DEP-A0-3769"/>
    <x v="1"/>
    <n v="24"/>
    <x v="0"/>
    <s v="Pantalón"/>
    <s v="Blanco"/>
    <s v="Mango"/>
    <s v="MER-A0-3769"/>
    <d v="2024-08-24T00:00:00"/>
    <x v="0"/>
    <n v="21.6"/>
    <n v="0.3"/>
    <n v="146.36699999999999"/>
    <x v="1"/>
    <s v="No"/>
    <d v="2024-08-24T00:00:00"/>
    <n v="0"/>
  </r>
  <r>
    <s v="DEP-A0-0255"/>
    <x v="0"/>
    <n v="31"/>
    <x v="0"/>
    <s v="Blusa"/>
    <s v="Azul"/>
    <s v="Zara"/>
    <s v="MER-A0-0255"/>
    <d v="2024-08-31T00:00:00"/>
    <x v="0"/>
    <n v="19.36"/>
    <n v="0.1"/>
    <n v="112.63500000000001"/>
    <x v="1"/>
    <s v="No"/>
    <d v="2024-08-31T00:00:00"/>
    <n v="0"/>
  </r>
  <r>
    <s v="DEP-A0-4696"/>
    <x v="1"/>
    <n v="19"/>
    <x v="0"/>
    <s v="Camisa"/>
    <s v="Rojo"/>
    <s v="Mango"/>
    <s v="MER-A0-4696"/>
    <d v="2024-10-20T00:00:00"/>
    <x v="0"/>
    <n v="21.8"/>
    <n v="0.2"/>
    <n v="107.128"/>
    <x v="1"/>
    <s v="No"/>
    <d v="2024-10-20T00:00:00"/>
    <n v="0"/>
  </r>
  <r>
    <s v="DEP-A0-4888"/>
    <x v="1"/>
    <n v="34"/>
    <x v="0"/>
    <s v="Pantalón"/>
    <s v="Gris"/>
    <s v="Mango"/>
    <s v="MER-A0-4888"/>
    <d v="2024-12-23T00:00:00"/>
    <x v="0"/>
    <n v="22.4"/>
    <n v="0.2"/>
    <n v="100.75800000000001"/>
    <x v="1"/>
    <s v="No"/>
    <d v="2024-01-09T00:00:00"/>
    <n v="0"/>
  </r>
  <r>
    <s v="DEP-A0-1561"/>
    <x v="0"/>
    <n v="26"/>
    <x v="0"/>
    <s v="Chaqueta"/>
    <s v="Negro"/>
    <s v="Tommy"/>
    <s v="MER-A0-1561"/>
    <d v="2024-02-13T00:00:00"/>
    <x v="0"/>
    <n v="18.559999999999999"/>
    <n v="0"/>
    <n v="33.033000000000001"/>
    <x v="1"/>
    <s v="No"/>
    <d v="2024-03-16T00:00:00"/>
    <n v="0"/>
  </r>
  <r>
    <s v="DEP-A0-0164"/>
    <x v="0"/>
    <n v="27"/>
    <x v="0"/>
    <s v="Zapatos"/>
    <s v="Gris"/>
    <s v="Mango"/>
    <s v="MER-A0-0164"/>
    <d v="2024-02-01T00:00:00"/>
    <x v="0"/>
    <n v="22.42"/>
    <n v="0.1"/>
    <n v="15.274000000000001"/>
    <x v="1"/>
    <s v="No"/>
    <d v="2024-02-01T00:00:00"/>
    <n v="0"/>
  </r>
  <r>
    <s v="DEP-A0-3292"/>
    <x v="0"/>
    <n v="24"/>
    <x v="0"/>
    <s v="Blusa"/>
    <s v="Negro"/>
    <s v="Nike"/>
    <s v="MER-A0-3292"/>
    <d v="2024-04-05T00:00:00"/>
    <x v="0"/>
    <n v="20.37"/>
    <n v="0"/>
    <n v="24.273"/>
    <x v="1"/>
    <s v="No"/>
    <d v="2024-04-05T00:00:00"/>
    <n v="0"/>
  </r>
  <r>
    <s v="DEP-A0-1891"/>
    <x v="0"/>
    <n v="28"/>
    <x v="0"/>
    <s v="Chaqueta"/>
    <s v="Verde"/>
    <s v="Puma"/>
    <s v="MER-A0-1891"/>
    <d v="2024-03-14T00:00:00"/>
    <x v="0"/>
    <n v="26.39"/>
    <n v="0.2"/>
    <n v="59.213000000000008"/>
    <x v="1"/>
    <s v="No"/>
    <d v="2024-03-14T00:00:00"/>
    <n v="0"/>
  </r>
  <r>
    <s v="DEP-A0-1105"/>
    <x v="1"/>
    <n v="21"/>
    <x v="0"/>
    <s v="Zapatos"/>
    <s v="Blanco"/>
    <s v="Puma"/>
    <s v="MER-A0-1105"/>
    <d v="2024-12-07T00:00:00"/>
    <x v="0"/>
    <n v="22.11"/>
    <n v="0"/>
    <n v="92.51"/>
    <x v="1"/>
    <s v="No"/>
    <d v="2024-12-07T00:00:00"/>
    <n v="0"/>
  </r>
  <r>
    <s v="DEP-A0-3067"/>
    <x v="0"/>
    <n v="32"/>
    <x v="0"/>
    <s v="Vestido"/>
    <s v="Rojo"/>
    <s v="Adidas"/>
    <s v="MER-A0-3067"/>
    <d v="2024-11-28T00:00:00"/>
    <x v="0"/>
    <n v="33.26"/>
    <n v="0.2"/>
    <n v="88.96"/>
    <x v="1"/>
    <s v="No"/>
    <d v="2024-07-06T00:00:00"/>
    <n v="0"/>
  </r>
  <r>
    <s v="DEP-A0-0333"/>
    <x v="1"/>
    <n v="31"/>
    <x v="0"/>
    <s v="Camisa"/>
    <s v="Azul"/>
    <s v="Levis"/>
    <s v="MER-A0-0333"/>
    <d v="2024-01-19T00:00:00"/>
    <x v="0"/>
    <n v="33.76"/>
    <n v="0.2"/>
    <n v="149.03100000000001"/>
    <x v="1"/>
    <s v="No"/>
    <d v="2024-01-19T00:00:00"/>
    <n v="0"/>
  </r>
  <r>
    <s v="DEP-A0-4103"/>
    <x v="0"/>
    <n v="24"/>
    <x v="0"/>
    <s v="Camisa"/>
    <s v="Verde"/>
    <s v="Levis"/>
    <s v="MER-A0-4103"/>
    <d v="2024-05-30T00:00:00"/>
    <x v="0"/>
    <n v="38.979999999999997"/>
    <n v="0.3"/>
    <n v="59.32"/>
    <x v="1"/>
    <s v="No"/>
    <d v="2024-05-30T00:00:00"/>
    <n v="0"/>
  </r>
  <r>
    <s v="DEP-A0-2111"/>
    <x v="0"/>
    <n v="28"/>
    <x v="0"/>
    <s v="Blusa"/>
    <s v="Amarillo"/>
    <s v="Levis"/>
    <s v="MER-A0-2111"/>
    <d v="2024-10-28T00:00:00"/>
    <x v="0"/>
    <n v="34.270000000000003"/>
    <n v="0.2"/>
    <n v="155.934"/>
    <x v="1"/>
    <s v="No"/>
    <d v="2024-10-28T00:00:00"/>
    <n v="0"/>
  </r>
  <r>
    <s v="DEP-A0-2947"/>
    <x v="1"/>
    <n v="35"/>
    <x v="0"/>
    <s v="Pantalón"/>
    <s v="Verde"/>
    <s v="Adidas"/>
    <s v="MER-A0-2947"/>
    <d v="2024-09-22T00:00:00"/>
    <x v="0"/>
    <n v="27.42"/>
    <n v="0"/>
    <n v="173.86"/>
    <x v="1"/>
    <s v="No"/>
    <d v="2024-09-22T00:00:00"/>
    <n v="0"/>
  </r>
  <r>
    <s v="DEP-A0-3778"/>
    <x v="0"/>
    <n v="35"/>
    <x v="0"/>
    <s v="Vestido"/>
    <s v="Rojo"/>
    <s v="Nike"/>
    <s v="MER-A0-3778"/>
    <d v="2024-09-04T00:00:00"/>
    <x v="0"/>
    <n v="39.94"/>
    <n v="0.3"/>
    <n v="69.927999999999997"/>
    <x v="1"/>
    <s v="No"/>
    <d v="2024-09-04T00:00:00"/>
    <n v="0"/>
  </r>
  <r>
    <s v="DEP-A0-3420"/>
    <x v="1"/>
    <n v="35"/>
    <x v="0"/>
    <s v="Zapatos"/>
    <s v="Gris"/>
    <s v="Puma"/>
    <s v="MER-A0-3420"/>
    <d v="2024-12-03T00:00:00"/>
    <x v="0"/>
    <n v="34.99"/>
    <n v="0.2"/>
    <n v="116.16800000000001"/>
    <x v="1"/>
    <s v="No"/>
    <d v="2024-12-03T00:00:00"/>
    <n v="0"/>
  </r>
  <r>
    <s v="DEP-A0-1178"/>
    <x v="1"/>
    <n v="26"/>
    <x v="0"/>
    <s v="Pantalón"/>
    <s v="Verde"/>
    <s v="Zara"/>
    <s v="MER-A0-1178"/>
    <d v="2024-11-08T00:00:00"/>
    <x v="0"/>
    <n v="40.57"/>
    <n v="0.3"/>
    <n v="57.95"/>
    <x v="1"/>
    <s v="No"/>
    <d v="2024-11-08T00:00:00"/>
    <n v="0"/>
  </r>
  <r>
    <s v="DEP-A0-0989"/>
    <x v="0"/>
    <n v="21"/>
    <x v="0"/>
    <s v="Blusa"/>
    <s v="Azul"/>
    <s v="Zara"/>
    <s v="MER-A0-0989"/>
    <d v="2024-12-23T00:00:00"/>
    <x v="0"/>
    <n v="32.590000000000003"/>
    <n v="0.1"/>
    <n v="64.421999999999997"/>
    <x v="1"/>
    <s v="No"/>
    <d v="2024-01-12T00:00:00"/>
    <n v="0"/>
  </r>
  <r>
    <s v="DEP-A0-0598"/>
    <x v="0"/>
    <n v="23"/>
    <x v="0"/>
    <s v="Pantalón"/>
    <s v="Negro"/>
    <s v="Mango"/>
    <s v="MER-A0-0598"/>
    <d v="2024-04-09T00:00:00"/>
    <x v="0"/>
    <n v="38.119999999999997"/>
    <n v="0.2"/>
    <n v="148.03199999999998"/>
    <x v="1"/>
    <s v="No"/>
    <d v="2024-04-09T00:00:00"/>
    <n v="0"/>
  </r>
  <r>
    <s v="DEP-A0-4931"/>
    <x v="0"/>
    <n v="33"/>
    <x v="0"/>
    <s v="Blusa"/>
    <s v="Blanco"/>
    <s v="Puma"/>
    <s v="MER-A0-4931"/>
    <d v="2024-11-15T00:00:00"/>
    <x v="0"/>
    <n v="30.81"/>
    <n v="0"/>
    <n v="22.670999999999999"/>
    <x v="1"/>
    <s v="No"/>
    <d v="2024-11-15T00:00:00"/>
    <n v="0"/>
  </r>
  <r>
    <s v="DEP-A0-3417"/>
    <x v="0"/>
    <n v="33"/>
    <x v="0"/>
    <s v="Pantalón"/>
    <s v="Azul"/>
    <s v="Zara"/>
    <s v="MER-A0-3417"/>
    <d v="2024-12-12T00:00:00"/>
    <x v="0"/>
    <n v="40.21"/>
    <n v="0.2"/>
    <n v="146.6"/>
    <x v="1"/>
    <s v="No"/>
    <d v="2024-12-12T00:00:00"/>
    <n v="0"/>
  </r>
  <r>
    <s v="DEP-A0-4329"/>
    <x v="0"/>
    <n v="29"/>
    <x v="0"/>
    <s v="Falda"/>
    <s v="Amarillo"/>
    <s v="Zara"/>
    <s v="MER-A0-4329"/>
    <d v="2024-05-01T00:00:00"/>
    <x v="0"/>
    <n v="41.73"/>
    <n v="0.2"/>
    <n v="148.99"/>
    <x v="1"/>
    <s v="No"/>
    <d v="2024-05-01T00:00:00"/>
    <n v="0"/>
  </r>
  <r>
    <s v="DEP-A0-3382"/>
    <x v="0"/>
    <n v="31"/>
    <x v="0"/>
    <s v="Falda"/>
    <s v="Verde"/>
    <s v="Puma"/>
    <s v="MER-A0-3382"/>
    <d v="2024-04-19T00:00:00"/>
    <x v="0"/>
    <n v="37.24"/>
    <n v="0.1"/>
    <n v="179.667"/>
    <x v="1"/>
    <s v="No"/>
    <d v="2024-04-19T00:00:00"/>
    <n v="0"/>
  </r>
  <r>
    <s v="DEP-A0-2252"/>
    <x v="0"/>
    <n v="35"/>
    <x v="0"/>
    <s v="Camisa"/>
    <s v="Gris"/>
    <s v="Puma"/>
    <s v="MER-A0-2252"/>
    <d v="2024-12-31T00:00:00"/>
    <x v="0"/>
    <n v="42.24"/>
    <n v="0.2"/>
    <n v="140.68"/>
    <x v="1"/>
    <s v="No"/>
    <d v="2024-12-31T00:00:00"/>
    <n v="0"/>
  </r>
  <r>
    <s v="DEP-A0-4380"/>
    <x v="0"/>
    <n v="28"/>
    <x v="0"/>
    <s v="Chaqueta"/>
    <s v="Verde"/>
    <s v="Puma"/>
    <s v="MER-A0-4380"/>
    <d v="2024-08-27T00:00:00"/>
    <x v="0"/>
    <n v="48.79"/>
    <n v="0.3"/>
    <n v="23.175000000000001"/>
    <x v="1"/>
    <s v="No"/>
    <d v="2024-08-27T00:00:00"/>
    <n v="0"/>
  </r>
  <r>
    <s v="DEP-A0-2929"/>
    <x v="0"/>
    <n v="29"/>
    <x v="0"/>
    <s v="Zapatos"/>
    <s v="Blanco"/>
    <s v="Puma"/>
    <s v="MER-A0-2929"/>
    <d v="2024-02-26T00:00:00"/>
    <x v="0"/>
    <n v="43.52"/>
    <n v="0.2"/>
    <n v="139.38999999999999"/>
    <x v="1"/>
    <s v="No"/>
    <d v="2024-02-26T00:00:00"/>
    <n v="0"/>
  </r>
  <r>
    <s v="DEP-A0-4686"/>
    <x v="0"/>
    <n v="29"/>
    <x v="0"/>
    <s v="Zapatos"/>
    <s v="Rojo"/>
    <s v="Adidas"/>
    <s v="MER-A0-4686"/>
    <d v="2024-11-28T00:00:00"/>
    <x v="0"/>
    <n v="51.43"/>
    <n v="0.3"/>
    <n v="175.91"/>
    <x v="1"/>
    <s v="No"/>
    <d v="2024-04-28T00:00:00"/>
    <n v="0"/>
  </r>
  <r>
    <s v="DEP-A0-4739"/>
    <x v="0"/>
    <n v="34"/>
    <x v="0"/>
    <s v="Falda"/>
    <s v="Negro"/>
    <s v="Tommy"/>
    <s v="MER-A0-4739"/>
    <d v="2024-02-05T00:00:00"/>
    <x v="0"/>
    <n v="36.19"/>
    <n v="0"/>
    <n v="152.24799999999999"/>
    <x v="1"/>
    <s v="No"/>
    <d v="2024-02-05T00:00:00"/>
    <n v="0"/>
  </r>
  <r>
    <s v="DEP-A0-4059"/>
    <x v="1"/>
    <n v="34"/>
    <x v="0"/>
    <s v="Camisa"/>
    <s v="Gris"/>
    <s v="Zara"/>
    <s v="MER-A0-4059"/>
    <d v="2024-09-09T00:00:00"/>
    <x v="0"/>
    <n v="45.56"/>
    <n v="0.2"/>
    <n v="44.387"/>
    <x v="1"/>
    <s v="No"/>
    <d v="2024-09-09T00:00:00"/>
    <n v="0"/>
  </r>
  <r>
    <s v="DEP-A0-1707"/>
    <x v="0"/>
    <n v="31"/>
    <x v="0"/>
    <s v="Blusa"/>
    <s v="Rojo"/>
    <s v="Puma"/>
    <s v="MER-A0-1707"/>
    <d v="2024-12-16T00:00:00"/>
    <x v="0"/>
    <n v="36.520000000000003"/>
    <n v="0"/>
    <n v="87.984000000000009"/>
    <x v="1"/>
    <s v="No"/>
    <d v="2024-12-16T00:00:00"/>
    <n v="0"/>
  </r>
  <r>
    <s v="DEP-A0-0296"/>
    <x v="0"/>
    <n v="28"/>
    <x v="0"/>
    <s v="Camisa"/>
    <s v="Gris"/>
    <s v="Adidas"/>
    <s v="MER-A0-0296"/>
    <d v="2024-12-15T00:00:00"/>
    <x v="0"/>
    <n v="52.41"/>
    <n v="0.3"/>
    <n v="85.903999999999996"/>
    <x v="1"/>
    <s v="No"/>
    <d v="2024-12-15T00:00:00"/>
    <n v="0"/>
  </r>
  <r>
    <s v="DEP-A0-0703"/>
    <x v="1"/>
    <n v="20"/>
    <x v="0"/>
    <s v="Pantalón"/>
    <s v="Verde"/>
    <s v="Puma"/>
    <s v="MER-A0-0703"/>
    <d v="2024-03-13T00:00:00"/>
    <x v="0"/>
    <n v="53.1"/>
    <n v="0.3"/>
    <n v="7.1539999999999999"/>
    <x v="1"/>
    <s v="No"/>
    <d v="2024-03-13T00:00:00"/>
    <n v="0"/>
  </r>
  <r>
    <s v="DEP-A0-3232"/>
    <x v="0"/>
    <n v="22"/>
    <x v="0"/>
    <s v="Falda"/>
    <s v="Gris"/>
    <s v="Zara"/>
    <s v="MER-A0-3232"/>
    <d v="2024-10-25T00:00:00"/>
    <x v="0"/>
    <n v="55.02"/>
    <n v="0.3"/>
    <n v="12.36"/>
    <x v="1"/>
    <s v="No"/>
    <d v="2024-10-25T00:00:00"/>
    <n v="0"/>
  </r>
  <r>
    <s v="DEP-A0-2926"/>
    <x v="0"/>
    <n v="20"/>
    <x v="0"/>
    <s v="Falda"/>
    <s v="Negro"/>
    <s v="Puma"/>
    <s v="MER-A0-2926"/>
    <d v="2024-10-27T00:00:00"/>
    <x v="0"/>
    <n v="48.54"/>
    <n v="0.2"/>
    <n v="12.466999999999999"/>
    <x v="1"/>
    <s v="No"/>
    <d v="2024-10-27T00:00:00"/>
    <n v="0"/>
  </r>
  <r>
    <s v="DEP-A0-2691"/>
    <x v="0"/>
    <n v="34"/>
    <x v="0"/>
    <s v="Chaqueta"/>
    <s v="Gris"/>
    <s v="Tommy"/>
    <s v="MER-A0-2691"/>
    <d v="2024-11-21T00:00:00"/>
    <x v="0"/>
    <n v="50.31"/>
    <n v="0.2"/>
    <n v="15.08"/>
    <x v="1"/>
    <s v="No"/>
    <d v="2024-11-21T00:00:00"/>
    <n v="0"/>
  </r>
  <r>
    <s v="DEP-A0-4045"/>
    <x v="1"/>
    <n v="19"/>
    <x v="0"/>
    <s v="Camisa"/>
    <s v="Verde"/>
    <s v="Nike"/>
    <s v="MER-A0-4045"/>
    <d v="2024-05-21T00:00:00"/>
    <x v="0"/>
    <n v="40.31"/>
    <n v="0"/>
    <n v="15.666"/>
    <x v="1"/>
    <s v="No"/>
    <d v="2024-05-21T00:00:00"/>
    <n v="0"/>
  </r>
  <r>
    <s v="DEP-A0-4290"/>
    <x v="0"/>
    <n v="33"/>
    <x v="0"/>
    <s v="Blusa"/>
    <s v="Negro"/>
    <s v="Tommy"/>
    <s v="MER-A0-4290"/>
    <d v="2024-12-14T00:00:00"/>
    <x v="0"/>
    <n v="52.17"/>
    <n v="0.2"/>
    <n v="16.02"/>
    <x v="1"/>
    <s v="No"/>
    <d v="2024-12-14T00:00:00"/>
    <n v="0"/>
  </r>
  <r>
    <s v="DEP-A0-1657"/>
    <x v="0"/>
    <n v="20"/>
    <x v="0"/>
    <s v="Falda"/>
    <s v="Negro"/>
    <s v="Zara"/>
    <s v="MER-A0-1657"/>
    <d v="2024-06-05T00:00:00"/>
    <x v="0"/>
    <n v="42.05"/>
    <n v="0"/>
    <n v="16.776"/>
    <x v="1"/>
    <s v="No"/>
    <d v="2024-06-05T00:00:00"/>
    <n v="0"/>
  </r>
  <r>
    <s v="DEP-A0-2244"/>
    <x v="0"/>
    <n v="19"/>
    <x v="0"/>
    <s v="Falda"/>
    <s v="Blanco"/>
    <s v="Mango"/>
    <s v="MER-A0-2244"/>
    <d v="2024-11-28T00:00:00"/>
    <x v="0"/>
    <n v="60.65"/>
    <n v="0.3"/>
    <n v="18.399999999999999"/>
    <x v="1"/>
    <s v="No"/>
    <d v="2024-07-15T00:00:00"/>
    <n v="0"/>
  </r>
  <r>
    <s v="DEP-A0-1158"/>
    <x v="0"/>
    <n v="34"/>
    <x v="0"/>
    <s v="Pantalón"/>
    <s v="Rojo"/>
    <s v="Tommy"/>
    <s v="MER-A0-1158"/>
    <d v="2024-11-06T00:00:00"/>
    <x v="0"/>
    <n v="47.71"/>
    <n v="0.1"/>
    <n v="20.083000000000002"/>
    <x v="1"/>
    <s v="No"/>
    <d v="2024-11-06T00:00:00"/>
    <n v="0"/>
  </r>
  <r>
    <s v="DEP-A0-3937"/>
    <x v="0"/>
    <n v="21"/>
    <x v="0"/>
    <s v="Zapatos"/>
    <s v="Verde"/>
    <s v="Zara"/>
    <s v="MER-A0-3937"/>
    <d v="2024-11-28T00:00:00"/>
    <x v="0"/>
    <n v="48.09"/>
    <n v="0.1"/>
    <n v="20.516999999999999"/>
    <x v="1"/>
    <s v="No"/>
    <d v="2024-04-30T00:00:00"/>
    <n v="0"/>
  </r>
  <r>
    <s v="DEP-A0-2724"/>
    <x v="1"/>
    <n v="31"/>
    <x v="0"/>
    <s v="Chaqueta"/>
    <s v="Gris"/>
    <s v="Nike"/>
    <s v="MER-A0-2724"/>
    <d v="2024-11-28T00:00:00"/>
    <x v="0"/>
    <n v="62.61"/>
    <n v="0.3"/>
    <n v="22.338000000000001"/>
    <x v="1"/>
    <s v="No"/>
    <d v="2024-07-18T00:00:00"/>
    <n v="0"/>
  </r>
  <r>
    <s v="DEP-A0-4994"/>
    <x v="0"/>
    <n v="22"/>
    <x v="0"/>
    <s v="Blusa"/>
    <s v="Verde"/>
    <s v="Tommy"/>
    <s v="MER-A0-4994"/>
    <d v="2024-03-13T00:00:00"/>
    <x v="0"/>
    <n v="44.62"/>
    <n v="0"/>
    <n v="24.591999999999999"/>
    <x v="1"/>
    <s v="No"/>
    <d v="2024-03-13T00:00:00"/>
    <n v="0"/>
  </r>
  <r>
    <s v="DEP-A0-0437"/>
    <x v="0"/>
    <n v="34"/>
    <x v="0"/>
    <s v="Blusa"/>
    <s v="Blanco"/>
    <s v="Zara"/>
    <s v="MER-A0-0437"/>
    <d v="2024-04-27T00:00:00"/>
    <x v="0"/>
    <n v="64.97"/>
    <n v="0.3"/>
    <n v="27.152999999999999"/>
    <x v="1"/>
    <s v="No"/>
    <d v="2024-04-27T00:00:00"/>
    <n v="0"/>
  </r>
  <r>
    <s v="DEP-A0-1432"/>
    <x v="1"/>
    <n v="19"/>
    <x v="0"/>
    <s v="Zapatos"/>
    <s v="Rojo"/>
    <s v="Zara"/>
    <s v="MER-A0-1432"/>
    <d v="2024-08-22T00:00:00"/>
    <x v="0"/>
    <n v="65.17"/>
    <n v="0.3"/>
    <n v="28.38"/>
    <x v="1"/>
    <s v="No"/>
    <d v="2024-08-22T00:00:00"/>
    <n v="0"/>
  </r>
  <r>
    <s v="DEP-A0-4683"/>
    <x v="0"/>
    <n v="19"/>
    <x v="0"/>
    <s v="Falda"/>
    <s v="Rojo"/>
    <s v="Levis"/>
    <s v="MER-A0-4683"/>
    <d v="2024-11-28T00:00:00"/>
    <x v="0"/>
    <n v="58.37"/>
    <n v="0.2"/>
    <n v="28.970999999999997"/>
    <x v="1"/>
    <s v="No"/>
    <d v="2024-07-06T00:00:00"/>
    <n v="0"/>
  </r>
  <r>
    <s v="DEP-A0-3695"/>
    <x v="1"/>
    <n v="26"/>
    <x v="0"/>
    <s v="Chaqueta"/>
    <s v="Gris"/>
    <s v="Levis"/>
    <s v="MER-A0-3695"/>
    <d v="2024-11-22T00:00:00"/>
    <x v="0"/>
    <n v="66.95"/>
    <n v="0.3"/>
    <n v="29.6"/>
    <x v="1"/>
    <s v="No"/>
    <d v="2024-06-22T00:00:00"/>
    <n v="0"/>
  </r>
  <r>
    <s v="DEP-A0-1584"/>
    <x v="1"/>
    <n v="19"/>
    <x v="0"/>
    <s v="Chaqueta"/>
    <s v="Amarillo"/>
    <s v="Mango"/>
    <s v="MER-A0-1584"/>
    <d v="2024-10-11T00:00:00"/>
    <x v="0"/>
    <n v="58.99"/>
    <n v="0.2"/>
    <n v="30.68"/>
    <x v="1"/>
    <s v="No"/>
    <d v="2024-10-11T00:00:00"/>
    <n v="0"/>
  </r>
  <r>
    <s v="DEP-A0-4473"/>
    <x v="1"/>
    <n v="29"/>
    <x v="0"/>
    <s v="Chaqueta"/>
    <s v="Verde"/>
    <s v="Nike"/>
    <s v="MER-A0-4473"/>
    <d v="2024-02-27T00:00:00"/>
    <x v="0"/>
    <n v="53.51"/>
    <n v="0.1"/>
    <n v="33.792000000000002"/>
    <x v="1"/>
    <s v="No"/>
    <d v="2024-02-27T00:00:00"/>
    <n v="0"/>
  </r>
  <r>
    <s v="DEP-A0-2614"/>
    <x v="0"/>
    <n v="22"/>
    <x v="0"/>
    <s v="Pantalón"/>
    <s v="Gris"/>
    <s v="Nike"/>
    <s v="MER-A0-2614"/>
    <d v="2024-12-05T00:00:00"/>
    <x v="0"/>
    <n v="73.86"/>
    <n v="0.3"/>
    <n v="46.616"/>
    <x v="1"/>
    <s v="No"/>
    <d v="2024-12-05T00:00:00"/>
    <n v="0"/>
  </r>
  <r>
    <s v="DEP-A0-2660"/>
    <x v="1"/>
    <n v="20"/>
    <x v="0"/>
    <s v="Chaqueta"/>
    <s v="Blanco"/>
    <s v="Zara"/>
    <s v="MER-A0-2660"/>
    <d v="2024-10-01T00:00:00"/>
    <x v="0"/>
    <n v="58.15"/>
    <n v="0.1"/>
    <n v="46.997999999999998"/>
    <x v="1"/>
    <s v="No"/>
    <d v="2024-10-01T00:00:00"/>
    <n v="0"/>
  </r>
  <r>
    <s v="DEP-A0-1524"/>
    <x v="0"/>
    <n v="20"/>
    <x v="0"/>
    <s v="Blusa"/>
    <s v="Gris"/>
    <s v="Mango"/>
    <s v="MER-A0-1524"/>
    <d v="2024-08-19T00:00:00"/>
    <x v="0"/>
    <n v="53.25"/>
    <n v="0"/>
    <n v="53.56"/>
    <x v="1"/>
    <s v="No"/>
    <d v="2024-08-19T00:00:00"/>
    <n v="0"/>
  </r>
  <r>
    <s v="DEP-A0-2447"/>
    <x v="0"/>
    <n v="30"/>
    <x v="0"/>
    <s v="Vestido"/>
    <s v="Blanco"/>
    <s v="Zara"/>
    <s v="MER-A0-2447"/>
    <d v="2024-12-08T00:00:00"/>
    <x v="0"/>
    <n v="59.19"/>
    <n v="0.1"/>
    <n v="53.6"/>
    <x v="1"/>
    <s v="No"/>
    <d v="2024-06-02T00:00:00"/>
    <n v="0"/>
  </r>
  <r>
    <s v="DEP-A0-3486"/>
    <x v="0"/>
    <n v="30"/>
    <x v="0"/>
    <s v="Blusa"/>
    <s v="Azul"/>
    <s v="Mango"/>
    <s v="MER-A0-3486"/>
    <d v="2024-03-21T00:00:00"/>
    <x v="0"/>
    <n v="80.400000000000006"/>
    <n v="0.3"/>
    <n v="76.575999999999993"/>
    <x v="1"/>
    <s v="No"/>
    <d v="2024-03-21T00:00:00"/>
    <n v="0"/>
  </r>
  <r>
    <s v="DEP-A0-0896"/>
    <x v="1"/>
    <n v="26"/>
    <x v="0"/>
    <s v="Pantalón"/>
    <s v="Rojo"/>
    <s v="Adidas"/>
    <s v="MER-A0-0896"/>
    <d v="2024-09-26T00:00:00"/>
    <x v="0"/>
    <n v="57.43"/>
    <n v="0"/>
    <n v="86.847999999999999"/>
    <x v="1"/>
    <s v="No"/>
    <d v="2024-09-26T00:00:00"/>
    <n v="0"/>
  </r>
  <r>
    <s v="DEP-A0-1449"/>
    <x v="0"/>
    <n v="24"/>
    <x v="0"/>
    <s v="Falda"/>
    <s v="Amarillo"/>
    <s v="Zara"/>
    <s v="MER-A0-1449"/>
    <d v="2024-09-10T00:00:00"/>
    <x v="0"/>
    <n v="84.47"/>
    <n v="0.3"/>
    <n v="95.488"/>
    <x v="1"/>
    <s v="No"/>
    <d v="2024-09-10T00:00:00"/>
    <n v="0"/>
  </r>
  <r>
    <s v="DEP-A0-1142"/>
    <x v="0"/>
    <n v="21"/>
    <x v="0"/>
    <s v="Blusa"/>
    <s v="Rojo"/>
    <s v="Adidas"/>
    <s v="MER-A0-1142"/>
    <d v="2024-02-18T00:00:00"/>
    <x v="0"/>
    <n v="86.09"/>
    <n v="0.3"/>
    <n v="104.44"/>
    <x v="1"/>
    <s v="No"/>
    <d v="2024-02-18T00:00:00"/>
    <n v="0"/>
  </r>
  <r>
    <s v="DEP-A0-4746"/>
    <x v="0"/>
    <n v="18"/>
    <x v="0"/>
    <s v="Falda"/>
    <s v="Blanco"/>
    <s v="Nike"/>
    <s v="MER-A0-4746"/>
    <d v="2024-06-18T00:00:00"/>
    <x v="0"/>
    <n v="75.819999999999993"/>
    <n v="0.2"/>
    <n v="104.678"/>
    <x v="1"/>
    <s v="No"/>
    <d v="2024-06-18T00:00:00"/>
    <n v="0"/>
  </r>
  <r>
    <s v="DEP-A0-0377"/>
    <x v="0"/>
    <n v="23"/>
    <x v="0"/>
    <s v="Falda"/>
    <s v="Negro"/>
    <s v="Nike"/>
    <s v="MER-A0-0377"/>
    <d v="2024-11-19T00:00:00"/>
    <x v="0"/>
    <n v="67.540000000000006"/>
    <n v="0.1"/>
    <n v="106.792"/>
    <x v="1"/>
    <s v="No"/>
    <d v="2024-11-19T00:00:00"/>
    <n v="0"/>
  </r>
  <r>
    <s v="DEP-A0-0512"/>
    <x v="0"/>
    <n v="25"/>
    <x v="0"/>
    <s v="Camisa"/>
    <s v="Gris"/>
    <s v="Mango"/>
    <s v="MER-A0-0512"/>
    <d v="2024-02-01T00:00:00"/>
    <x v="0"/>
    <n v="68.89"/>
    <n v="0.1"/>
    <n v="118.55999999999999"/>
    <x v="1"/>
    <s v="No"/>
    <d v="2024-02-01T00:00:00"/>
    <n v="0"/>
  </r>
  <r>
    <s v="DEP-A0-1825"/>
    <x v="0"/>
    <n v="23"/>
    <x v="0"/>
    <s v="Blusa"/>
    <s v="Gris"/>
    <s v="Puma"/>
    <s v="MER-A0-1825"/>
    <d v="2024-08-22T00:00:00"/>
    <x v="0"/>
    <n v="62.84"/>
    <n v="0"/>
    <n v="127.928"/>
    <x v="1"/>
    <s v="No"/>
    <d v="2024-08-22T00:00:00"/>
    <n v="0"/>
  </r>
  <r>
    <s v="DEP-A0-2903"/>
    <x v="0"/>
    <n v="24"/>
    <x v="0"/>
    <s v="Vestido"/>
    <s v="Verde"/>
    <s v="Nike"/>
    <s v="MER-A0-2903"/>
    <d v="2024-12-31T00:00:00"/>
    <x v="0"/>
    <n v="69.83"/>
    <n v="0.1"/>
    <n v="129.52100000000002"/>
    <x v="1"/>
    <s v="No"/>
    <d v="2024-12-31T00:00:00"/>
    <n v="0"/>
  </r>
  <r>
    <s v="DEP-A0-3072"/>
    <x v="0"/>
    <n v="28"/>
    <x v="0"/>
    <s v="Vestido"/>
    <s v="Gris"/>
    <s v="Mango"/>
    <s v="MER-A0-3072"/>
    <d v="2024-12-21T00:00:00"/>
    <x v="0"/>
    <n v="78.98"/>
    <n v="0.2"/>
    <n v="134.334"/>
    <x v="1"/>
    <s v="No"/>
    <d v="2024-12-21T00:00:00"/>
    <n v="0"/>
  </r>
  <r>
    <s v="DEP-A0-0300"/>
    <x v="0"/>
    <n v="32"/>
    <x v="0"/>
    <s v="Pantalón"/>
    <s v="Negro"/>
    <s v="Levis"/>
    <s v="MER-A0-0300"/>
    <d v="2024-11-19T00:00:00"/>
    <x v="0"/>
    <n v="63.65"/>
    <n v="0"/>
    <n v="137.87200000000001"/>
    <x v="1"/>
    <s v="No"/>
    <d v="2024-11-19T00:00:00"/>
    <n v="0"/>
  </r>
  <r>
    <s v="DEP-A0-4706"/>
    <x v="1"/>
    <n v="19"/>
    <x v="0"/>
    <s v="Chaqueta"/>
    <s v="Negro"/>
    <s v="Levis"/>
    <s v="MER-A0-4706"/>
    <d v="2024-12-11T00:00:00"/>
    <x v="0"/>
    <n v="82.17"/>
    <n v="0.2"/>
    <n v="153.29"/>
    <x v="1"/>
    <s v="No"/>
    <d v="2024-12-11T00:00:00"/>
    <n v="0"/>
  </r>
  <r>
    <s v="DEP-A0-4068"/>
    <x v="0"/>
    <n v="25"/>
    <x v="0"/>
    <s v="Vestido"/>
    <s v="Rojo"/>
    <s v="Levis"/>
    <s v="MER-A0-4068"/>
    <d v="2024-05-02T00:00:00"/>
    <x v="0"/>
    <n v="66.819999999999993"/>
    <n v="0"/>
    <n v="159.09"/>
    <x v="1"/>
    <s v="No"/>
    <d v="2024-05-02T00:00:00"/>
    <n v="0"/>
  </r>
  <r>
    <s v="DEP-A0-2160"/>
    <x v="0"/>
    <n v="34"/>
    <x v="0"/>
    <s v="Vestido"/>
    <s v="Amarillo"/>
    <s v="Tommy"/>
    <s v="MER-A0-2160"/>
    <d v="2024-11-29T00:00:00"/>
    <x v="0"/>
    <n v="67.290000000000006"/>
    <n v="0"/>
    <n v="160.52000000000001"/>
    <x v="1"/>
    <s v="No"/>
    <d v="2024-11-29T00:00:00"/>
    <n v="0"/>
  </r>
  <r>
    <s v="DEP-A0-4327"/>
    <x v="0"/>
    <n v="32"/>
    <x v="0"/>
    <s v="Blusa"/>
    <s v="Azul"/>
    <s v="Adidas"/>
    <s v="MER-A0-4327"/>
    <d v="2024-03-23T00:00:00"/>
    <x v="0"/>
    <n v="84.23"/>
    <n v="0.2"/>
    <n v="166.3"/>
    <x v="1"/>
    <s v="No"/>
    <d v="2024-03-23T00:00:00"/>
    <n v="0"/>
  </r>
  <r>
    <s v="DEP-A0-2838"/>
    <x v="0"/>
    <n v="27"/>
    <x v="0"/>
    <s v="Zapatos"/>
    <s v="Verde"/>
    <s v="Zara"/>
    <s v="MER-A0-2838"/>
    <d v="2024-11-03T00:00:00"/>
    <x v="0"/>
    <n v="67.42"/>
    <n v="0"/>
    <n v="167.24700000000001"/>
    <x v="1"/>
    <s v="No"/>
    <d v="2024-11-03T00:00:00"/>
    <n v="0"/>
  </r>
  <r>
    <s v="DEP-A0-4589"/>
    <x v="0"/>
    <n v="20"/>
    <x v="0"/>
    <s v="Pantalón"/>
    <s v="Rojo"/>
    <s v="Mango"/>
    <s v="MER-A0-4589"/>
    <d v="2024-09-22T00:00:00"/>
    <x v="0"/>
    <n v="77.34"/>
    <n v="0.1"/>
    <n v="36.134"/>
    <x v="1"/>
    <s v="No"/>
    <d v="2024-09-22T00:00:00"/>
    <n v="0"/>
  </r>
  <r>
    <s v="DEP-A0-1039"/>
    <x v="0"/>
    <n v="33"/>
    <x v="0"/>
    <s v="Pantalón"/>
    <s v="Azul"/>
    <s v="Mango"/>
    <s v="MER-A0-1039"/>
    <d v="2024-03-02T00:00:00"/>
    <x v="0"/>
    <n v="100.93"/>
    <n v="0.3"/>
    <n v="39.207999999999998"/>
    <x v="1"/>
    <s v="No"/>
    <d v="2024-03-02T00:00:00"/>
    <n v="0"/>
  </r>
  <r>
    <s v="DEP-A0-0474"/>
    <x v="0"/>
    <n v="21"/>
    <x v="0"/>
    <s v="Chaqueta"/>
    <s v="Verde"/>
    <s v="Puma"/>
    <s v="MER-A0-0474"/>
    <d v="2024-12-10T00:00:00"/>
    <x v="0"/>
    <n v="88.78"/>
    <n v="0.2"/>
    <n v="40.203000000000003"/>
    <x v="1"/>
    <s v="No"/>
    <d v="2024-06-10T00:00:00"/>
    <n v="0"/>
  </r>
  <r>
    <s v="DEP-A0-0826"/>
    <x v="0"/>
    <n v="19"/>
    <x v="0"/>
    <s v="Vestido"/>
    <s v="Amarillo"/>
    <s v="Nike"/>
    <s v="MER-A0-0826"/>
    <d v="2024-12-07T00:00:00"/>
    <x v="0"/>
    <n v="81.099999999999994"/>
    <n v="0.1"/>
    <n v="45.67"/>
    <x v="1"/>
    <s v="No"/>
    <d v="2024-12-07T00:00:00"/>
    <n v="0"/>
  </r>
  <r>
    <s v="DEP-A0-3255"/>
    <x v="0"/>
    <n v="26"/>
    <x v="0"/>
    <s v="Pantalón"/>
    <s v="Azul"/>
    <s v="Adidas"/>
    <s v="MER-A0-3255"/>
    <d v="2024-08-19T00:00:00"/>
    <x v="0"/>
    <n v="91.56"/>
    <n v="0.2"/>
    <n v="46.459000000000003"/>
    <x v="1"/>
    <s v="No"/>
    <d v="2024-08-19T00:00:00"/>
    <n v="0"/>
  </r>
  <r>
    <s v="DEP-A0-2103"/>
    <x v="0"/>
    <n v="19"/>
    <x v="0"/>
    <s v="Camisa"/>
    <s v="Azul"/>
    <s v="Adidas"/>
    <s v="MER-A0-2103"/>
    <d v="2024-09-01T00:00:00"/>
    <x v="0"/>
    <n v="81.790000000000006"/>
    <n v="0.1"/>
    <n v="47.98"/>
    <x v="1"/>
    <s v="No"/>
    <d v="2024-09-01T00:00:00"/>
    <n v="0"/>
  </r>
  <r>
    <s v="DEP-A0-2831"/>
    <x v="0"/>
    <n v="27"/>
    <x v="0"/>
    <s v="Pantalón"/>
    <s v="Azul"/>
    <s v="Levis"/>
    <s v="MER-A0-2831"/>
    <d v="2024-12-08T00:00:00"/>
    <x v="0"/>
    <n v="75.33"/>
    <n v="0"/>
    <n v="50.09"/>
    <x v="1"/>
    <s v="No"/>
    <d v="2024-06-13T00:00:00"/>
    <n v="0"/>
  </r>
  <r>
    <s v="DEP-A0-4630"/>
    <x v="0"/>
    <n v="29"/>
    <x v="0"/>
    <s v="Blusa"/>
    <s v="Verde"/>
    <s v="Mango"/>
    <s v="MER-A0-4630"/>
    <d v="2024-05-15T00:00:00"/>
    <x v="0"/>
    <n v="83.94"/>
    <n v="0.1"/>
    <n v="51.064"/>
    <x v="1"/>
    <s v="No"/>
    <d v="2024-05-15T00:00:00"/>
    <n v="0"/>
  </r>
  <r>
    <s v="DEP-A0-4235"/>
    <x v="1"/>
    <n v="18"/>
    <x v="0"/>
    <s v="Camisa"/>
    <s v="Amarillo"/>
    <s v="Adidas"/>
    <s v="MER-A0-4235"/>
    <d v="2024-06-25T00:00:00"/>
    <x v="0"/>
    <n v="77.209999999999994"/>
    <n v="0"/>
    <n v="54.423000000000002"/>
    <x v="1"/>
    <s v="No"/>
    <d v="2024-06-25T00:00:00"/>
    <n v="0"/>
  </r>
  <r>
    <s v="DEP-A0-4276"/>
    <x v="0"/>
    <n v="28"/>
    <x v="0"/>
    <s v="Blusa"/>
    <s v="Negro"/>
    <s v="Mango"/>
    <s v="MER-A0-4276"/>
    <d v="2024-11-12T00:00:00"/>
    <x v="0"/>
    <n v="86.29"/>
    <n v="0.1"/>
    <n v="56.402999999999999"/>
    <x v="1"/>
    <s v="No"/>
    <d v="2024-11-12T00:00:00"/>
    <n v="0"/>
  </r>
  <r>
    <s v="DEP-A0-3752"/>
    <x v="0"/>
    <n v="28"/>
    <x v="0"/>
    <s v="Falda"/>
    <s v="Negro"/>
    <s v="Zara"/>
    <s v="MER-A0-3752"/>
    <d v="2024-06-21T00:00:00"/>
    <x v="0"/>
    <n v="86.33"/>
    <n v="0.1"/>
    <n v="57.048000000000002"/>
    <x v="1"/>
    <s v="No"/>
    <d v="2024-06-21T00:00:00"/>
    <n v="0"/>
  </r>
  <r>
    <s v="DEP-A0-4647"/>
    <x v="0"/>
    <n v="23"/>
    <x v="0"/>
    <s v="Pantalón"/>
    <s v="Rojo"/>
    <s v="Adidas"/>
    <s v="MER-A0-4647"/>
    <d v="2024-06-17T00:00:00"/>
    <x v="0"/>
    <n v="111.52"/>
    <n v="0.3"/>
    <n v="58.29"/>
    <x v="1"/>
    <s v="No"/>
    <d v="2024-06-17T00:00:00"/>
    <n v="0"/>
  </r>
  <r>
    <s v="DEP-A0-4512"/>
    <x v="1"/>
    <n v="34"/>
    <x v="0"/>
    <s v="Camisa"/>
    <s v="Blanco"/>
    <s v="Zara"/>
    <s v="MER-A0-4512"/>
    <d v="2024-03-02T00:00:00"/>
    <x v="0"/>
    <n v="88"/>
    <n v="0.1"/>
    <n v="61.963999999999999"/>
    <x v="1"/>
    <s v="No"/>
    <d v="2024-03-02T00:00:00"/>
    <n v="0"/>
  </r>
  <r>
    <s v="DEP-A0-2230"/>
    <x v="0"/>
    <n v="33"/>
    <x v="0"/>
    <s v="Pantalón"/>
    <s v="Blanco"/>
    <s v="Adidas"/>
    <s v="MER-A0-2230"/>
    <d v="2024-08-17T00:00:00"/>
    <x v="0"/>
    <n v="115.74"/>
    <n v="0.3"/>
    <n v="68.599999999999994"/>
    <x v="1"/>
    <s v="No"/>
    <d v="2024-08-17T00:00:00"/>
    <n v="0"/>
  </r>
  <r>
    <s v="DEP-A0-0146"/>
    <x v="1"/>
    <n v="33"/>
    <x v="0"/>
    <s v="Zapatos"/>
    <s v="Negro"/>
    <s v="Levis"/>
    <s v="MER-A0-0146"/>
    <d v="2024-10-13T00:00:00"/>
    <x v="0"/>
    <n v="90.11"/>
    <n v="0.1"/>
    <n v="69.876000000000005"/>
    <x v="1"/>
    <s v="No"/>
    <d v="2024-10-13T00:00:00"/>
    <n v="0"/>
  </r>
  <r>
    <s v="DEP-A0-4483"/>
    <x v="0"/>
    <n v="26"/>
    <x v="0"/>
    <s v="Camisa"/>
    <s v="Rojo"/>
    <s v="Levis"/>
    <s v="MER-A0-4483"/>
    <d v="2024-07-02T00:00:00"/>
    <x v="0"/>
    <n v="91.43"/>
    <n v="0.1"/>
    <n v="71.81"/>
    <x v="1"/>
    <s v="No"/>
    <d v="2024-07-02T00:00:00"/>
    <n v="0"/>
  </r>
  <r>
    <s v="DEP-A0-0279"/>
    <x v="0"/>
    <n v="33"/>
    <x v="0"/>
    <s v="Falda"/>
    <s v="Blanco"/>
    <s v="Levis"/>
    <s v="MER-A0-0279"/>
    <d v="2024-04-28T00:00:00"/>
    <x v="0"/>
    <n v="82.53"/>
    <n v="0"/>
    <n v="72.430000000000007"/>
    <x v="1"/>
    <s v="No"/>
    <d v="2024-04-28T00:00:00"/>
    <n v="0"/>
  </r>
  <r>
    <s v="DEP-A0-0267"/>
    <x v="0"/>
    <n v="22"/>
    <x v="0"/>
    <s v="Zapatos"/>
    <s v="Rojo"/>
    <s v="Levis"/>
    <s v="MER-A0-0267"/>
    <d v="2024-11-28T00:00:00"/>
    <x v="0"/>
    <n v="122.24"/>
    <n v="0.3"/>
    <n v="78.455999999999989"/>
    <x v="1"/>
    <s v="No"/>
    <d v="2024-07-09T00:00:00"/>
    <n v="0"/>
  </r>
  <r>
    <s v="DEP-A0-3191"/>
    <x v="1"/>
    <n v="22"/>
    <x v="0"/>
    <s v="Pantalón"/>
    <s v="Blanco"/>
    <s v="Tommy"/>
    <s v="MER-A0-3191"/>
    <d v="2024-01-16T00:00:00"/>
    <x v="0"/>
    <n v="87.14"/>
    <n v="0"/>
    <n v="83.7"/>
    <x v="1"/>
    <s v="No"/>
    <d v="2024-01-16T00:00:00"/>
    <n v="0"/>
  </r>
  <r>
    <s v="DEP-A0-3179"/>
    <x v="0"/>
    <n v="26"/>
    <x v="0"/>
    <s v="Camisa"/>
    <s v="Verde"/>
    <s v="Puma"/>
    <s v="MER-A0-3179"/>
    <d v="2024-09-02T00:00:00"/>
    <x v="0"/>
    <n v="124.57"/>
    <n v="0.3"/>
    <n v="83.88"/>
    <x v="1"/>
    <s v="No"/>
    <d v="2024-09-02T00:00:00"/>
    <n v="0"/>
  </r>
  <r>
    <s v="DEP-A0-3178"/>
    <x v="0"/>
    <n v="21"/>
    <x v="0"/>
    <s v="Pantalón"/>
    <s v="Gris"/>
    <s v="Nike"/>
    <s v="MER-A0-3178"/>
    <d v="2024-05-16T00:00:00"/>
    <x v="0"/>
    <n v="109.46"/>
    <n v="0.2"/>
    <n v="83.9"/>
    <x v="1"/>
    <s v="No"/>
    <d v="2024-05-16T00:00:00"/>
    <n v="0"/>
  </r>
  <r>
    <s v="DEP-A0-2289"/>
    <x v="0"/>
    <n v="28"/>
    <x v="0"/>
    <s v="Camisa"/>
    <s v="Verde"/>
    <s v="Tommy"/>
    <s v="MER-A0-2289"/>
    <d v="2024-03-28T00:00:00"/>
    <x v="0"/>
    <n v="125.34"/>
    <n v="0.3"/>
    <n v="84.686000000000007"/>
    <x v="1"/>
    <s v="No"/>
    <d v="2024-03-28T00:00:00"/>
    <n v="0"/>
  </r>
  <r>
    <s v="DEP-A0-2776"/>
    <x v="1"/>
    <n v="35"/>
    <x v="0"/>
    <s v="Pantalón"/>
    <s v="Gris"/>
    <s v="Puma"/>
    <s v="MER-A0-2776"/>
    <d v="2024-12-17T00:00:00"/>
    <x v="0"/>
    <n v="97.97"/>
    <n v="0.1"/>
    <n v="85.2"/>
    <x v="1"/>
    <s v="No"/>
    <d v="2024-12-17T00:00:00"/>
    <n v="0"/>
  </r>
  <r>
    <s v="DEP-A0-4405"/>
    <x v="0"/>
    <n v="21"/>
    <x v="0"/>
    <s v="Chaqueta"/>
    <s v="Rojo"/>
    <s v="Mango"/>
    <s v="MER-A0-4405"/>
    <d v="2024-10-15T00:00:00"/>
    <x v="0"/>
    <n v="88.75"/>
    <n v="0"/>
    <n v="87.68"/>
    <x v="1"/>
    <s v="No"/>
    <d v="2024-10-15T00:00:00"/>
    <n v="0"/>
  </r>
  <r>
    <s v="DEP-A0-0307"/>
    <x v="0"/>
    <n v="22"/>
    <x v="0"/>
    <s v="Falda"/>
    <s v="Negro"/>
    <s v="Nike"/>
    <s v="MER-A0-0307"/>
    <d v="2024-12-23T00:00:00"/>
    <x v="0"/>
    <n v="98.71"/>
    <n v="0.1"/>
    <n v="90.08"/>
    <x v="1"/>
    <s v="No"/>
    <d v="2024-01-03T00:00:00"/>
    <n v="0"/>
  </r>
  <r>
    <s v="DEP-A0-0592"/>
    <x v="0"/>
    <n v="18"/>
    <x v="0"/>
    <s v="Blusa"/>
    <s v="Verde"/>
    <s v="Tommy"/>
    <s v="MER-A0-0592"/>
    <d v="2024-03-30T00:00:00"/>
    <x v="0"/>
    <n v="99.64"/>
    <n v="0.1"/>
    <n v="90.216000000000008"/>
    <x v="1"/>
    <s v="No"/>
    <d v="2024-03-30T00:00:00"/>
    <n v="0"/>
  </r>
  <r>
    <s v="DEP-A0-2995"/>
    <x v="0"/>
    <n v="30"/>
    <x v="0"/>
    <s v="Zapatos"/>
    <s v="Amarillo"/>
    <s v="Mango"/>
    <s v="MER-A0-2995"/>
    <d v="2024-03-14T00:00:00"/>
    <x v="0"/>
    <n v="112.98"/>
    <n v="0.2"/>
    <n v="92.344000000000008"/>
    <x v="1"/>
    <s v="No"/>
    <d v="2024-03-14T00:00:00"/>
    <n v="0"/>
  </r>
  <r>
    <s v="DEP-A0-2602"/>
    <x v="1"/>
    <n v="25"/>
    <x v="0"/>
    <s v="Zapatos"/>
    <s v="Azul"/>
    <s v="Tommy"/>
    <s v="MER-A0-2602"/>
    <d v="2024-11-23T00:00:00"/>
    <x v="0"/>
    <n v="100.97"/>
    <n v="0.1"/>
    <n v="93.194999999999993"/>
    <x v="1"/>
    <s v="No"/>
    <d v="2024-06-23T00:00:00"/>
    <n v="0"/>
  </r>
  <r>
    <s v="DEP-A0-1280"/>
    <x v="0"/>
    <n v="35"/>
    <x v="0"/>
    <s v="Falda"/>
    <s v="Negro"/>
    <s v="Adidas"/>
    <s v="MER-A0-1280"/>
    <d v="2024-08-10T00:00:00"/>
    <x v="0"/>
    <n v="114.48"/>
    <n v="0.2"/>
    <n v="94.12"/>
    <x v="1"/>
    <s v="No"/>
    <d v="2024-08-10T00:00:00"/>
    <n v="0"/>
  </r>
  <r>
    <s v="DEP-A0-1510"/>
    <x v="1"/>
    <n v="20"/>
    <x v="0"/>
    <s v="Camisa"/>
    <s v="Gris"/>
    <s v="Zara"/>
    <s v="MER-A0-1510"/>
    <d v="2024-10-27T00:00:00"/>
    <x v="0"/>
    <n v="131.5"/>
    <n v="0.3"/>
    <n v="97.502999999999986"/>
    <x v="1"/>
    <s v="No"/>
    <d v="2024-10-27T00:00:00"/>
    <n v="0"/>
  </r>
  <r>
    <s v="DEP-A0-0434"/>
    <x v="0"/>
    <n v="32"/>
    <x v="0"/>
    <s v="Chaqueta"/>
    <s v="Rojo"/>
    <s v="Adidas"/>
    <s v="MER-A0-0434"/>
    <d v="2024-12-20T00:00:00"/>
    <x v="0"/>
    <n v="102.49"/>
    <n v="0.1"/>
    <n v="97.766999999999996"/>
    <x v="1"/>
    <s v="No"/>
    <d v="2024-12-20T00:00:00"/>
    <n v="0"/>
  </r>
  <r>
    <s v="DEP-A0-3792"/>
    <x v="0"/>
    <n v="28"/>
    <x v="0"/>
    <s v="Camisa"/>
    <s v="Rojo"/>
    <s v="Levis"/>
    <s v="MER-A0-3792"/>
    <d v="2024-06-05T00:00:00"/>
    <x v="0"/>
    <n v="132.49"/>
    <n v="0.3"/>
    <n v="101.896"/>
    <x v="1"/>
    <s v="No"/>
    <d v="2024-06-05T00:00:00"/>
    <n v="0"/>
  </r>
  <r>
    <s v="DEP-A0-3558"/>
    <x v="0"/>
    <n v="30"/>
    <x v="0"/>
    <s v="Vestido"/>
    <s v="Amarillo"/>
    <s v="Levis"/>
    <s v="MER-A0-3558"/>
    <d v="2024-09-23T00:00:00"/>
    <x v="0"/>
    <n v="134.31"/>
    <n v="0.3"/>
    <n v="102.51199999999999"/>
    <x v="1"/>
    <s v="No"/>
    <d v="2024-09-23T00:00:00"/>
    <n v="0"/>
  </r>
  <r>
    <s v="DEP-A0-2027"/>
    <x v="1"/>
    <n v="19"/>
    <x v="0"/>
    <s v="Camisa"/>
    <s v="Amarillo"/>
    <s v="Adidas"/>
    <s v="MER-A0-2027"/>
    <d v="2024-10-09T00:00:00"/>
    <x v="0"/>
    <n v="95.25"/>
    <n v="0"/>
    <n v="107.11"/>
    <x v="1"/>
    <s v="No"/>
    <d v="2024-10-09T00:00:00"/>
    <n v="0"/>
  </r>
  <r>
    <s v="DEP-A0-2593"/>
    <x v="0"/>
    <n v="20"/>
    <x v="0"/>
    <s v="Zapatos"/>
    <s v="Amarillo"/>
    <s v="Levis"/>
    <s v="MER-A0-2593"/>
    <d v="2024-01-19T00:00:00"/>
    <x v="0"/>
    <n v="138.32"/>
    <n v="0.3"/>
    <n v="111.852"/>
    <x v="1"/>
    <s v="No"/>
    <d v="2024-01-19T00:00:00"/>
    <n v="0"/>
  </r>
  <r>
    <s v="DEP-A0-0786"/>
    <x v="0"/>
    <n v="34"/>
    <x v="0"/>
    <s v="Vestido"/>
    <s v="Verde"/>
    <s v="Zara"/>
    <s v="MER-A0-0786"/>
    <d v="2024-12-23T00:00:00"/>
    <x v="0"/>
    <n v="140.72"/>
    <n v="0.3"/>
    <n v="113.872"/>
    <x v="1"/>
    <s v="No"/>
    <d v="2024-01-02T00:00:00"/>
    <n v="0"/>
  </r>
  <r>
    <s v="DEP-A0-2120"/>
    <x v="1"/>
    <n v="28"/>
    <x v="0"/>
    <s v="Camisa"/>
    <s v="Verde"/>
    <s v="Puma"/>
    <s v="MER-A0-2120"/>
    <d v="2024-11-28T00:00:00"/>
    <x v="0"/>
    <n v="109.87"/>
    <n v="0.1"/>
    <n v="114.345"/>
    <x v="1"/>
    <s v="No"/>
    <d v="2024-07-17T00:00:00"/>
    <n v="0"/>
  </r>
  <r>
    <s v="DEP-A0-2821"/>
    <x v="0"/>
    <n v="25"/>
    <x v="0"/>
    <s v="Chaqueta"/>
    <s v="Amarillo"/>
    <s v="Puma"/>
    <s v="MER-A0-2821"/>
    <d v="2024-09-24T00:00:00"/>
    <x v="0"/>
    <n v="99.05"/>
    <n v="0"/>
    <n v="114.646"/>
    <x v="1"/>
    <s v="No"/>
    <d v="2024-09-24T00:00:00"/>
    <n v="0"/>
  </r>
  <r>
    <s v="DEP-A0-4775"/>
    <x v="0"/>
    <n v="35"/>
    <x v="0"/>
    <s v="Blusa"/>
    <s v="Amarillo"/>
    <s v="Tommy"/>
    <s v="MER-A0-4775"/>
    <d v="2024-12-27T00:00:00"/>
    <x v="0"/>
    <n v="143.02000000000001"/>
    <n v="0.3"/>
    <n v="118.1"/>
    <x v="1"/>
    <s v="No"/>
    <d v="2024-12-27T00:00:00"/>
    <n v="0"/>
  </r>
  <r>
    <s v="DEP-A0-3176"/>
    <x v="0"/>
    <n v="24"/>
    <x v="0"/>
    <s v="Vestido"/>
    <s v="Azul"/>
    <s v="Tommy"/>
    <s v="MER-A0-3176"/>
    <d v="2024-07-27T00:00:00"/>
    <x v="0"/>
    <n v="101.32"/>
    <n v="0"/>
    <n v="124.61"/>
    <x v="1"/>
    <s v="No"/>
    <d v="2024-07-27T00:00:00"/>
    <n v="0"/>
  </r>
  <r>
    <s v="DEP-A0-1130"/>
    <x v="0"/>
    <n v="30"/>
    <x v="0"/>
    <s v="Pantalón"/>
    <s v="Negro"/>
    <s v="Zara"/>
    <s v="MER-A0-1130"/>
    <d v="2024-10-12T00:00:00"/>
    <x v="0"/>
    <n v="101.72"/>
    <n v="0"/>
    <n v="125.96"/>
    <x v="1"/>
    <s v="No"/>
    <d v="2024-10-12T00:00:00"/>
    <n v="0"/>
  </r>
  <r>
    <s v="DEP-A0-3541"/>
    <x v="0"/>
    <n v="27"/>
    <x v="0"/>
    <s v="Pantalón"/>
    <s v="Verde"/>
    <s v="Mango"/>
    <s v="MER-A0-3541"/>
    <d v="2024-01-28T00:00:00"/>
    <x v="0"/>
    <n v="103.64"/>
    <n v="0"/>
    <n v="130.45599999999999"/>
    <x v="1"/>
    <s v="No"/>
    <d v="2024-01-28T00:00:00"/>
    <n v="0"/>
  </r>
  <r>
    <s v="DEP-A0-2048"/>
    <x v="0"/>
    <n v="30"/>
    <x v="0"/>
    <s v="Blusa"/>
    <s v="Azul"/>
    <s v="Zara"/>
    <s v="MER-A0-2048"/>
    <d v="2024-07-31T00:00:00"/>
    <x v="0"/>
    <n v="104.15"/>
    <n v="0"/>
    <n v="130.99200000000002"/>
    <x v="1"/>
    <s v="No"/>
    <d v="2024-07-31T00:00:00"/>
    <n v="0"/>
  </r>
  <r>
    <s v="DEP-A0-0299"/>
    <x v="0"/>
    <n v="34"/>
    <x v="0"/>
    <s v="Zapatos"/>
    <s v="Negro"/>
    <s v="Puma"/>
    <s v="MER-A0-0299"/>
    <d v="2024-09-15T00:00:00"/>
    <x v="0"/>
    <n v="132.65"/>
    <n v="0.2"/>
    <n v="133.85"/>
    <x v="1"/>
    <s v="No"/>
    <d v="2024-09-15T00:00:00"/>
    <n v="0"/>
  </r>
  <r>
    <s v="DEP-A0-3122"/>
    <x v="0"/>
    <n v="35"/>
    <x v="0"/>
    <s v="Vestido"/>
    <s v="Verde"/>
    <s v="Puma"/>
    <s v="MER-A0-3122"/>
    <d v="2024-05-25T00:00:00"/>
    <x v="0"/>
    <n v="106.8"/>
    <n v="0"/>
    <n v="137.65600000000001"/>
    <x v="1"/>
    <s v="No"/>
    <d v="2024-05-25T00:00:00"/>
    <n v="0"/>
  </r>
  <r>
    <s v="DEP-A0-1365"/>
    <x v="0"/>
    <n v="18"/>
    <x v="0"/>
    <s v="Zapatos"/>
    <s v="Amarillo"/>
    <s v="Nike"/>
    <s v="MER-A0-1365"/>
    <d v="2024-02-07T00:00:00"/>
    <x v="0"/>
    <n v="152.91"/>
    <n v="0.3"/>
    <n v="138.31200000000001"/>
    <x v="1"/>
    <s v="No"/>
    <d v="2024-02-07T00:00:00"/>
    <n v="0"/>
  </r>
  <r>
    <s v="DEP-A0-0673"/>
    <x v="0"/>
    <n v="32"/>
    <x v="0"/>
    <s v="Chaqueta"/>
    <s v="Gris"/>
    <s v="Adidas"/>
    <s v="MER-A0-0673"/>
    <d v="2024-01-17T00:00:00"/>
    <x v="0"/>
    <n v="154.66999999999999"/>
    <n v="0.3"/>
    <n v="140.80499999999998"/>
    <x v="1"/>
    <s v="No"/>
    <d v="2024-01-17T00:00:00"/>
    <n v="0"/>
  </r>
  <r>
    <s v="DEP-A0-1213"/>
    <x v="0"/>
    <n v="20"/>
    <x v="0"/>
    <s v="Zapatos"/>
    <s v="Azul"/>
    <s v="Mango"/>
    <s v="MER-A0-1213"/>
    <d v="2024-02-14T00:00:00"/>
    <x v="0"/>
    <n v="120.41"/>
    <n v="0.1"/>
    <n v="141.63999999999999"/>
    <x v="1"/>
    <s v="No"/>
    <d v="2024-02-14T00:00:00"/>
    <n v="0"/>
  </r>
  <r>
    <s v="DEP-A0-1881"/>
    <x v="0"/>
    <n v="23"/>
    <x v="0"/>
    <s v="Vestido"/>
    <s v="Negro"/>
    <s v="Levis"/>
    <s v="MER-A0-1881"/>
    <d v="2024-08-26T00:00:00"/>
    <x v="0"/>
    <n v="108.55"/>
    <n v="0"/>
    <n v="142.84800000000001"/>
    <x v="1"/>
    <s v="No"/>
    <d v="2024-08-26T00:00:00"/>
    <n v="0"/>
  </r>
  <r>
    <s v="DEP-A0-4192"/>
    <x v="0"/>
    <n v="28"/>
    <x v="0"/>
    <s v="Camisa"/>
    <s v="Rojo"/>
    <s v="Puma"/>
    <s v="MER-A0-4192"/>
    <d v="2024-06-24T00:00:00"/>
    <x v="0"/>
    <n v="110.38"/>
    <n v="0"/>
    <n v="149.69999999999999"/>
    <x v="1"/>
    <s v="No"/>
    <d v="2024-06-24T00:00:00"/>
    <n v="0"/>
  </r>
  <r>
    <s v="DEP-A0-3134"/>
    <x v="1"/>
    <n v="23"/>
    <x v="0"/>
    <s v="Chaqueta"/>
    <s v="Amarillo"/>
    <s v="Tommy"/>
    <s v="MER-A0-3134"/>
    <d v="2024-04-28T00:00:00"/>
    <x v="0"/>
    <n v="158.52000000000001"/>
    <n v="0.3"/>
    <n v="152.88800000000001"/>
    <x v="1"/>
    <s v="No"/>
    <d v="2024-04-28T00:00:00"/>
    <n v="0"/>
  </r>
  <r>
    <s v="DEP-A0-0187"/>
    <x v="0"/>
    <n v="33"/>
    <x v="0"/>
    <s v="Falda"/>
    <s v="Gris"/>
    <s v="Nike"/>
    <s v="MER-A0-0187"/>
    <d v="2024-03-07T00:00:00"/>
    <x v="0"/>
    <n v="110.97"/>
    <n v="0"/>
    <n v="154.36799999999999"/>
    <x v="1"/>
    <s v="No"/>
    <d v="2024-03-07T00:00:00"/>
    <n v="0"/>
  </r>
  <r>
    <s v="DEP-A0-1321"/>
    <x v="0"/>
    <n v="33"/>
    <x v="0"/>
    <s v="Falda"/>
    <s v="Rojo"/>
    <s v="Mango"/>
    <s v="MER-A0-1321"/>
    <d v="2024-11-28T00:00:00"/>
    <x v="0"/>
    <n v="113.78"/>
    <n v="0"/>
    <n v="159.904"/>
    <x v="1"/>
    <s v="No"/>
    <d v="2024-04-18T00:00:00"/>
    <n v="0"/>
  </r>
  <r>
    <s v="DEP-A0-0869"/>
    <x v="1"/>
    <n v="34"/>
    <x v="0"/>
    <s v="Pantalón"/>
    <s v="Azul"/>
    <s v="Levis"/>
    <s v="MER-A0-0869"/>
    <d v="2024-12-28T00:00:00"/>
    <x v="0"/>
    <n v="142.27000000000001"/>
    <n v="0.2"/>
    <n v="160.13999999999999"/>
    <x v="1"/>
    <s v="No"/>
    <d v="2024-12-28T00:00:00"/>
    <n v="0"/>
  </r>
  <r>
    <s v="DEP-A0-2023"/>
    <x v="0"/>
    <n v="19"/>
    <x v="0"/>
    <s v="Pantalón"/>
    <s v="Amarillo"/>
    <s v="Mango"/>
    <s v="MER-A0-2023"/>
    <d v="2024-01-29T00:00:00"/>
    <x v="0"/>
    <n v="164.84"/>
    <n v="0.3"/>
    <n v="168.47"/>
    <x v="1"/>
    <s v="No"/>
    <d v="2024-01-29T00:00:00"/>
    <n v="0"/>
  </r>
  <r>
    <s v="DEP-A0-1579"/>
    <x v="0"/>
    <n v="21"/>
    <x v="0"/>
    <s v="Zapatos"/>
    <s v="Blanco"/>
    <s v="Adidas"/>
    <s v="MER-A0-1579"/>
    <d v="2024-08-13T00:00:00"/>
    <x v="0"/>
    <n v="165.34"/>
    <n v="0.3"/>
    <n v="170.54"/>
    <x v="1"/>
    <s v="No"/>
    <d v="2024-08-13T00:00:00"/>
    <n v="0"/>
  </r>
  <r>
    <s v="DEP-A0-4936"/>
    <x v="1"/>
    <n v="29"/>
    <x v="0"/>
    <s v="Chaqueta"/>
    <s v="Verde"/>
    <s v="Adidas"/>
    <s v="MER-A0-4936"/>
    <d v="2024-11-28T00:00:00"/>
    <x v="0"/>
    <n v="165.72"/>
    <n v="0.3"/>
    <n v="173.41"/>
    <x v="1"/>
    <s v="No"/>
    <d v="2024-07-24T00:00:00"/>
    <n v="0"/>
  </r>
  <r>
    <s v="DEP-A0-1635"/>
    <x v="0"/>
    <n v="34"/>
    <x v="0"/>
    <s v="Falda"/>
    <s v="Negro"/>
    <s v="Levis"/>
    <s v="MER-A0-1635"/>
    <d v="2024-09-20T00:00:00"/>
    <x v="0"/>
    <n v="128.94"/>
    <n v="0.1"/>
    <n v="173.44800000000001"/>
    <x v="1"/>
    <s v="No"/>
    <d v="2024-09-20T00:00:00"/>
    <n v="0"/>
  </r>
  <r>
    <s v="DEP-A0-0337"/>
    <x v="1"/>
    <n v="23"/>
    <x v="0"/>
    <s v="Pantalón"/>
    <s v="Blanco"/>
    <s v="Zara"/>
    <s v="MER-A0-0337"/>
    <d v="2024-03-23T00:00:00"/>
    <x v="0"/>
    <n v="145.21"/>
    <n v="0.2"/>
    <n v="176.62"/>
    <x v="1"/>
    <s v="No"/>
    <d v="2024-03-23T00:00:00"/>
    <n v="0"/>
  </r>
  <r>
    <s v="DEP-A0-1837"/>
    <x v="0"/>
    <n v="21"/>
    <x v="0"/>
    <s v="Blusa"/>
    <s v="Azul"/>
    <s v="Levis"/>
    <s v="MER-A0-1837"/>
    <d v="2024-05-25T00:00:00"/>
    <x v="0"/>
    <n v="166.08"/>
    <n v="0.3"/>
    <n v="177.96"/>
    <x v="1"/>
    <s v="No"/>
    <d v="2024-05-25T00:00:00"/>
    <n v="0"/>
  </r>
  <r>
    <s v="DEP-A0-4310"/>
    <x v="0"/>
    <n v="32"/>
    <x v="0"/>
    <s v="Falda"/>
    <s v="Verde"/>
    <s v="Nike"/>
    <s v="MER-A0-4310"/>
    <d v="2024-01-20T00:00:00"/>
    <x v="0"/>
    <n v="145.41999999999999"/>
    <n v="0.2"/>
    <n v="181.04"/>
    <x v="1"/>
    <s v="No"/>
    <d v="2024-01-20T00:00:00"/>
    <n v="0"/>
  </r>
  <r>
    <s v="DEP-A0-4113"/>
    <x v="0"/>
    <n v="29"/>
    <x v="0"/>
    <s v="Falda"/>
    <s v="Gris"/>
    <s v="Mango"/>
    <s v="MER-A0-4113"/>
    <d v="2024-05-01T00:00:00"/>
    <x v="0"/>
    <n v="131"/>
    <n v="0.1"/>
    <n v="41.28"/>
    <x v="1"/>
    <s v="No"/>
    <d v="2024-05-01T00:00:00"/>
    <n v="0"/>
  </r>
  <r>
    <s v="DEP-A0-2095"/>
    <x v="0"/>
    <n v="35"/>
    <x v="0"/>
    <s v="Falda"/>
    <s v="Rojo"/>
    <s v="Tommy"/>
    <s v="MER-A0-2095"/>
    <d v="2024-10-17T00:00:00"/>
    <x v="0"/>
    <n v="148.78"/>
    <n v="0.2"/>
    <n v="47.067999999999998"/>
    <x v="1"/>
    <s v="No"/>
    <d v="2024-10-17T00:00:00"/>
    <n v="0"/>
  </r>
  <r>
    <s v="DEP-A0-4694"/>
    <x v="0"/>
    <n v="27"/>
    <x v="0"/>
    <s v="Falda"/>
    <s v="Gris"/>
    <s v="Levis"/>
    <s v="MER-A0-4694"/>
    <d v="2024-07-19T00:00:00"/>
    <x v="0"/>
    <n v="119.98"/>
    <n v="0"/>
    <n v="127.036"/>
    <x v="1"/>
    <s v="No"/>
    <d v="2024-07-19T00:00:00"/>
    <n v="0"/>
  </r>
  <r>
    <s v="DEP-A0-1899"/>
    <x v="0"/>
    <n v="21"/>
    <x v="0"/>
    <s v="Vestido"/>
    <s v="Amarillo"/>
    <s v="Puma"/>
    <s v="MER-A0-1899"/>
    <d v="2024-11-23T00:00:00"/>
    <x v="0"/>
    <n v="120.3"/>
    <n v="0"/>
    <n v="183.81"/>
    <x v="1"/>
    <s v="No"/>
    <d v="2024-11-23T00:00:00"/>
    <n v="0"/>
  </r>
  <r>
    <s v="DEP-A0-2715"/>
    <x v="1"/>
    <n v="31"/>
    <x v="0"/>
    <s v="Camisa"/>
    <s v="Gris"/>
    <s v="Adidas"/>
    <s v="MER-A0-2715"/>
    <d v="2024-03-12T00:00:00"/>
    <x v="0"/>
    <n v="121.85"/>
    <n v="0"/>
    <n v="63.55"/>
    <x v="1"/>
    <s v="No"/>
    <d v="2024-03-12T00:00:00"/>
    <n v="0"/>
  </r>
  <r>
    <s v="DEP-A0-3497"/>
    <x v="0"/>
    <n v="21"/>
    <x v="0"/>
    <s v="Falda"/>
    <s v="Negro"/>
    <s v="Zara"/>
    <s v="MER-A0-3497"/>
    <d v="2024-11-23T00:00:00"/>
    <x v="0"/>
    <n v="156.31"/>
    <n v="0.2"/>
    <n v="46.161000000000001"/>
    <x v="1"/>
    <s v="No"/>
    <d v="2024-11-23T00:00:00"/>
    <n v="0"/>
  </r>
  <r>
    <s v="DEP-A0-2967"/>
    <x v="0"/>
    <n v="34"/>
    <x v="0"/>
    <s v="Zapatos"/>
    <s v="Azul"/>
    <s v="Tommy"/>
    <s v="MER-A0-2967"/>
    <d v="2024-07-09T00:00:00"/>
    <x v="0"/>
    <n v="157.05000000000001"/>
    <n v="0.2"/>
    <n v="60.584000000000003"/>
    <x v="1"/>
    <s v="No"/>
    <d v="2024-07-09T00:00:00"/>
    <n v="0"/>
  </r>
  <r>
    <s v="DEP-A0-0875"/>
    <x v="0"/>
    <n v="32"/>
    <x v="0"/>
    <s v="Camisa"/>
    <s v="Rojo"/>
    <s v="Nike"/>
    <s v="MER-A0-0875"/>
    <d v="2024-06-05T00:00:00"/>
    <x v="0"/>
    <n v="139.76"/>
    <n v="0.1"/>
    <n v="61.303999999999995"/>
    <x v="1"/>
    <s v="No"/>
    <d v="2024-06-05T00:00:00"/>
    <n v="0"/>
  </r>
  <r>
    <s v="DEP-A0-4840"/>
    <x v="1"/>
    <n v="35"/>
    <x v="0"/>
    <s v="Pantalón"/>
    <s v="Azul"/>
    <s v="Mango"/>
    <s v="MER-A0-4840"/>
    <d v="2024-12-23T00:00:00"/>
    <x v="0"/>
    <n v="128.02000000000001"/>
    <n v="0"/>
    <n v="129.745"/>
    <x v="1"/>
    <s v="No"/>
    <d v="2024-01-06T00:00:00"/>
    <n v="0"/>
  </r>
  <r>
    <s v="DEP-A0-4039"/>
    <x v="1"/>
    <n v="19"/>
    <x v="0"/>
    <s v="Camisa"/>
    <s v="Gris"/>
    <s v="Levis"/>
    <s v="MER-A0-4039"/>
    <d v="2024-09-12T00:00:00"/>
    <x v="0"/>
    <n v="142.29"/>
    <n v="0.1"/>
    <n v="148.68"/>
    <x v="1"/>
    <s v="No"/>
    <d v="2024-09-12T00:00:00"/>
    <n v="0"/>
  </r>
  <r>
    <s v="DEP-A0-4472"/>
    <x v="1"/>
    <n v="27"/>
    <x v="0"/>
    <s v="Pantalón"/>
    <s v="Amarillo"/>
    <s v="Nike"/>
    <s v="MER-A0-4472"/>
    <d v="2024-03-18T00:00:00"/>
    <x v="0"/>
    <n v="183.85"/>
    <n v="0.3"/>
    <n v="99.722000000000008"/>
    <x v="1"/>
    <s v="No"/>
    <d v="2024-03-18T00:00:00"/>
    <n v="0"/>
  </r>
  <r>
    <s v="DEP-A0-0646"/>
    <x v="0"/>
    <n v="20"/>
    <x v="0"/>
    <s v="Chaqueta"/>
    <s v="Amarillo"/>
    <s v="Levis"/>
    <s v="MER-A0-0646"/>
    <d v="2024-07-01T00:00:00"/>
    <x v="0"/>
    <n v="128.69999999999999"/>
    <n v="0"/>
    <n v="132.88"/>
    <x v="1"/>
    <s v="No"/>
    <d v="2024-07-01T00:00:00"/>
    <n v="0"/>
  </r>
  <r>
    <s v="DEP-A0-3103"/>
    <x v="0"/>
    <n v="18"/>
    <x v="0"/>
    <s v="Blusa"/>
    <s v="Gris"/>
    <s v="Mango"/>
    <s v="MER-A0-3103"/>
    <d v="2024-11-08T00:00:00"/>
    <x v="0"/>
    <n v="184.25"/>
    <n v="0.3"/>
    <n v="18.459000000000003"/>
    <x v="1"/>
    <s v="No"/>
    <d v="2024-11-08T00:00:00"/>
    <n v="0"/>
  </r>
  <r>
    <s v="DEP-A0-0403"/>
    <x v="1"/>
    <n v="24"/>
    <x v="0"/>
    <s v="Chaqueta"/>
    <s v="Azul"/>
    <s v="Puma"/>
    <s v="MER-A0-0403"/>
    <d v="2024-02-15T00:00:00"/>
    <x v="0"/>
    <n v="162.15"/>
    <n v="0.2"/>
    <n v="151.81200000000001"/>
    <x v="1"/>
    <s v="No"/>
    <d v="2024-02-15T00:00:00"/>
    <n v="0"/>
  </r>
  <r>
    <s v="DEP-A0-2264"/>
    <x v="1"/>
    <n v="31"/>
    <x v="0"/>
    <s v="Chaqueta"/>
    <s v="Azul"/>
    <s v="Puma"/>
    <s v="MER-A0-2264"/>
    <d v="2024-07-09T00:00:00"/>
    <x v="0"/>
    <n v="162.56"/>
    <n v="0.2"/>
    <n v="19.149999999999999"/>
    <x v="1"/>
    <s v="No"/>
    <d v="2024-07-09T00:00:00"/>
    <n v="0"/>
  </r>
  <r>
    <s v="DEP-A0-2807"/>
    <x v="0"/>
    <n v="25"/>
    <x v="0"/>
    <s v="Falda"/>
    <s v="Amarillo"/>
    <s v="Puma"/>
    <s v="MER-A0-2807"/>
    <d v="2024-02-19T00:00:00"/>
    <x v="0"/>
    <n v="188.43"/>
    <n v="0.3"/>
    <n v="64.664000000000001"/>
    <x v="1"/>
    <s v="No"/>
    <d v="2024-02-19T00:00:00"/>
    <n v="0"/>
  </r>
  <r>
    <s v="DEP-A0-1656"/>
    <x v="1"/>
    <n v="23"/>
    <x v="0"/>
    <s v="Zapatos"/>
    <s v="Negro"/>
    <s v="Puma"/>
    <s v="MER-A0-1656"/>
    <d v="2024-12-12T00:00:00"/>
    <x v="0"/>
    <n v="146.69"/>
    <n v="0.1"/>
    <n v="95.48"/>
    <x v="1"/>
    <s v="No"/>
    <d v="2024-12-12T00:00:00"/>
    <n v="0"/>
  </r>
  <r>
    <s v="DEP-A0-2325"/>
    <x v="1"/>
    <n v="19"/>
    <x v="0"/>
    <s v="Camisa"/>
    <s v="Blanco"/>
    <s v="Zara"/>
    <s v="MER-A0-2325"/>
    <d v="2024-02-06T00:00:00"/>
    <x v="0"/>
    <n v="135.66"/>
    <n v="0"/>
    <n v="43.7"/>
    <x v="1"/>
    <s v="No"/>
    <d v="2024-02-06T00:00:00"/>
    <n v="0"/>
  </r>
  <r>
    <s v="DEP-A0-3440"/>
    <x v="1"/>
    <n v="27"/>
    <x v="0"/>
    <s v="Zapatos"/>
    <s v="Blanco"/>
    <s v="Adidas"/>
    <s v="MER-A0-3440"/>
    <d v="2024-04-05T00:00:00"/>
    <x v="0"/>
    <n v="169.93"/>
    <n v="0.2"/>
    <n v="71.09899999999999"/>
    <x v="1"/>
    <s v="No"/>
    <d v="2024-04-05T00:00:00"/>
    <n v="0"/>
  </r>
  <r>
    <s v="DEP-A0-1905"/>
    <x v="0"/>
    <n v="35"/>
    <x v="0"/>
    <s v="Falda"/>
    <s v="Azul"/>
    <s v="Tommy"/>
    <s v="MER-A0-1905"/>
    <d v="2024-12-23T00:00:00"/>
    <x v="0"/>
    <n v="151.25"/>
    <n v="0.1"/>
    <n v="112.13"/>
    <x v="1"/>
    <s v="No"/>
    <d v="2024-01-02T00:00:00"/>
    <n v="0"/>
  </r>
  <r>
    <s v="DEP-A0-3210"/>
    <x v="0"/>
    <n v="28"/>
    <x v="0"/>
    <s v="Vestido"/>
    <s v="Azul"/>
    <s v="Adidas"/>
    <s v="MER-A0-3210"/>
    <d v="2024-08-15T00:00:00"/>
    <x v="0"/>
    <n v="153.84"/>
    <n v="0.1"/>
    <n v="58.317000000000007"/>
    <x v="1"/>
    <s v="No"/>
    <d v="2024-08-15T00:00:00"/>
    <n v="0"/>
  </r>
  <r>
    <s v="DEP-A0-0324"/>
    <x v="0"/>
    <n v="35"/>
    <x v="0"/>
    <s v="Blusa"/>
    <s v="Gris"/>
    <s v="Zara"/>
    <s v="MER-A0-0324"/>
    <d v="2024-12-10T00:00:00"/>
    <x v="0"/>
    <n v="157.18"/>
    <n v="0.1"/>
    <n v="110.4"/>
    <x v="1"/>
    <s v="No"/>
    <d v="2024-06-03T00:00:00"/>
    <n v="0"/>
  </r>
  <r>
    <s v="DEP-A0-3270"/>
    <x v="0"/>
    <n v="33"/>
    <x v="0"/>
    <s v="Blusa"/>
    <s v="Verde"/>
    <s v="Mango"/>
    <s v="MER-A0-3270"/>
    <d v="2024-12-23T00:00:00"/>
    <x v="0"/>
    <n v="157.54"/>
    <n v="0.1"/>
    <n v="20.46"/>
    <x v="1"/>
    <s v="No"/>
    <d v="2024-01-10T00:00:00"/>
    <n v="0"/>
  </r>
  <r>
    <s v="DEP-A0-0575"/>
    <x v="0"/>
    <n v="35"/>
    <x v="0"/>
    <s v="Blusa"/>
    <s v="Blanco"/>
    <s v="Adidas"/>
    <s v="MER-A0-0575"/>
    <d v="2024-01-18T00:00:00"/>
    <x v="0"/>
    <n v="158.04"/>
    <n v="0.1"/>
    <n v="23.138999999999999"/>
    <x v="1"/>
    <s v="No"/>
    <d v="2024-01-18T00:00:00"/>
    <n v="0"/>
  </r>
  <r>
    <s v="DEP-A0-0342"/>
    <x v="0"/>
    <n v="23"/>
    <x v="0"/>
    <s v="Chaqueta"/>
    <s v="Blanco"/>
    <s v="Mango"/>
    <s v="MER-A0-0342"/>
    <d v="2024-12-09T00:00:00"/>
    <x v="0"/>
    <n v="142.47999999999999"/>
    <n v="0"/>
    <n v="25.821000000000002"/>
    <x v="1"/>
    <s v="No"/>
    <d v="2024-06-14T00:00:00"/>
    <n v="0"/>
  </r>
  <r>
    <s v="DEP-A0-2788"/>
    <x v="0"/>
    <n v="35"/>
    <x v="0"/>
    <s v="Vestido"/>
    <s v="Negro"/>
    <s v="Adidas"/>
    <s v="MER-A0-2788"/>
    <d v="2024-08-19T00:00:00"/>
    <x v="0"/>
    <n v="178.7"/>
    <n v="0.2"/>
    <n v="51.875999999999998"/>
    <x v="1"/>
    <s v="No"/>
    <d v="2024-08-19T00:00:00"/>
    <n v="0"/>
  </r>
  <r>
    <s v="DEP-A0-4582"/>
    <x v="0"/>
    <n v="20"/>
    <x v="0"/>
    <s v="Falda"/>
    <s v="Amarillo"/>
    <s v="Zara"/>
    <s v="MER-A0-4582"/>
    <d v="2024-12-23T00:00:00"/>
    <x v="0"/>
    <n v="144.94999999999999"/>
    <n v="0"/>
    <n v="95.480999999999995"/>
    <x v="1"/>
    <s v="No"/>
    <d v="2024-01-13T00:00:00"/>
    <n v="0"/>
  </r>
  <r>
    <s v="DEP-A0-3518"/>
    <x v="1"/>
    <n v="24"/>
    <x v="0"/>
    <s v="Camisa"/>
    <s v="Verde"/>
    <s v="Nike"/>
    <s v="MER-A0-3518"/>
    <d v="2024-12-27T00:00:00"/>
    <x v="0"/>
    <n v="182.08"/>
    <n v="0.2"/>
    <n v="17.010000000000002"/>
    <x v="1"/>
    <s v="No"/>
    <d v="2024-12-27T00:00:00"/>
    <n v="0"/>
  </r>
  <r>
    <s v="DEP-A0-3321"/>
    <x v="0"/>
    <n v="22"/>
    <x v="0"/>
    <s v="Falda"/>
    <s v="Verde"/>
    <s v="Levis"/>
    <s v="MER-A0-3321"/>
    <d v="2024-12-23T00:00:00"/>
    <x v="0"/>
    <n v="162.37"/>
    <n v="0.1"/>
    <n v="20.546999999999997"/>
    <x v="1"/>
    <s v="No"/>
    <d v="2024-01-07T00:00:00"/>
    <n v="0"/>
  </r>
  <r>
    <s v="DEP-A0-4679"/>
    <x v="0"/>
    <n v="20"/>
    <x v="0"/>
    <s v="Chaqueta"/>
    <s v="Blanco"/>
    <s v="Puma"/>
    <s v="MER-A0-4679"/>
    <d v="2024-12-10T00:00:00"/>
    <x v="0"/>
    <n v="146.47"/>
    <n v="0"/>
    <n v="24.431999999999999"/>
    <x v="1"/>
    <s v="No"/>
    <d v="2024-06-15T00:00:00"/>
    <n v="0"/>
  </r>
  <r>
    <s v="DEP-A0-2152"/>
    <x v="0"/>
    <n v="29"/>
    <x v="0"/>
    <s v="Vestido"/>
    <s v="Verde"/>
    <s v="Adidas"/>
    <s v="MER-A0-2152"/>
    <d v="2024-11-28T00:00:00"/>
    <x v="0"/>
    <n v="146.57"/>
    <n v="0"/>
    <n v="31.143000000000001"/>
    <x v="1"/>
    <s v="No"/>
    <d v="2024-07-22T00:00:00"/>
    <n v="0"/>
  </r>
  <r>
    <s v="DEP-A0-0311"/>
    <x v="0"/>
    <n v="32"/>
    <x v="0"/>
    <s v="Vestido"/>
    <s v="Azul"/>
    <s v="Tommy"/>
    <s v="MER-A0-0311"/>
    <d v="2024-12-19T00:00:00"/>
    <x v="0"/>
    <n v="146.58000000000001"/>
    <n v="0"/>
    <n v="56.231999999999999"/>
    <x v="1"/>
    <s v="No"/>
    <d v="2024-12-19T00:00:00"/>
    <n v="0"/>
  </r>
  <r>
    <s v="DEP-A0-1279"/>
    <x v="0"/>
    <n v="32"/>
    <x v="0"/>
    <s v="Chaqueta"/>
    <s v="Rojo"/>
    <s v="Adidas"/>
    <s v="MER-A0-1279"/>
    <d v="2024-02-18T00:00:00"/>
    <x v="0"/>
    <n v="183.24"/>
    <n v="0.2"/>
    <n v="61.578000000000003"/>
    <x v="1"/>
    <s v="No"/>
    <d v="2024-02-18T00:00:00"/>
    <n v="0"/>
  </r>
  <r>
    <s v="DEP-A0-4650"/>
    <x v="0"/>
    <n v="32"/>
    <x v="0"/>
    <s v="Vestido"/>
    <s v="Negro"/>
    <s v="Tommy"/>
    <s v="MER-A0-4650"/>
    <d v="2024-12-28T00:00:00"/>
    <x v="0"/>
    <n v="166.92"/>
    <n v="0.1"/>
    <n v="46.64"/>
    <x v="1"/>
    <s v="No"/>
    <d v="2024-12-28T00:00:00"/>
    <n v="0"/>
  </r>
  <r>
    <s v="DEP-A0-4065"/>
    <x v="0"/>
    <n v="19"/>
    <x v="0"/>
    <s v="Vestido"/>
    <s v="Rojo"/>
    <s v="Nike"/>
    <s v="MER-A0-4065"/>
    <d v="2024-05-21T00:00:00"/>
    <x v="0"/>
    <n v="151.72999999999999"/>
    <n v="0"/>
    <n v="103.82"/>
    <x v="1"/>
    <s v="No"/>
    <d v="2024-05-21T00:00:00"/>
    <n v="0"/>
  </r>
  <r>
    <s v="DEP-A0-1230"/>
    <x v="0"/>
    <n v="25"/>
    <x v="0"/>
    <s v="Zapatos"/>
    <s v="Azul"/>
    <s v="Nike"/>
    <s v="MER-A0-1230"/>
    <d v="2024-09-02T00:00:00"/>
    <x v="0"/>
    <n v="152.65"/>
    <n v="0"/>
    <n v="47.180000000000007"/>
    <x v="1"/>
    <s v="No"/>
    <d v="2024-09-02T00:00:00"/>
    <n v="0"/>
  </r>
  <r>
    <s v="DEP-A0-1379"/>
    <x v="0"/>
    <n v="27"/>
    <x v="0"/>
    <s v="Camisa"/>
    <s v="Azul"/>
    <s v="Mango"/>
    <s v="MER-A0-1379"/>
    <d v="2024-10-30T00:00:00"/>
    <x v="0"/>
    <n v="170.67"/>
    <n v="0.1"/>
    <n v="81.650000000000006"/>
    <x v="1"/>
    <s v="No"/>
    <d v="2024-10-30T00:00:00"/>
    <n v="0"/>
  </r>
  <r>
    <s v="DEP-A0-4932"/>
    <x v="0"/>
    <n v="30"/>
    <x v="0"/>
    <s v="Vestido"/>
    <s v="Negro"/>
    <s v="Mango"/>
    <s v="MER-A0-4932"/>
    <d v="2024-05-22T00:00:00"/>
    <x v="0"/>
    <n v="196.24"/>
    <n v="0.2"/>
    <n v="15.965999999999998"/>
    <x v="1"/>
    <s v="No"/>
    <d v="2024-05-22T00:00:00"/>
    <n v="0"/>
  </r>
  <r>
    <s v="DEP-A0-2271"/>
    <x v="0"/>
    <n v="35"/>
    <x v="0"/>
    <s v="Camisa"/>
    <s v="Blanco"/>
    <s v="Puma"/>
    <s v="MER-A0-2271"/>
    <d v="2024-04-06T00:00:00"/>
    <x v="0"/>
    <n v="174.44"/>
    <n v="0.1"/>
    <n v="25.832000000000001"/>
    <x v="1"/>
    <s v="No"/>
    <d v="2024-04-06T00:00:00"/>
    <n v="0"/>
  </r>
  <r>
    <s v="DEP-A0-1095"/>
    <x v="1"/>
    <n v="24"/>
    <x v="0"/>
    <s v="Pantalón"/>
    <s v="Negro"/>
    <s v="Mango"/>
    <s v="MER-A0-1095"/>
    <d v="2024-09-25T00:00:00"/>
    <x v="0"/>
    <n v="157.01"/>
    <n v="0"/>
    <n v="28.655999999999999"/>
    <x v="1"/>
    <s v="No"/>
    <d v="2024-09-25T00:00:00"/>
    <n v="0"/>
  </r>
  <r>
    <s v="DEP-A0-4980"/>
    <x v="0"/>
    <n v="29"/>
    <x v="0"/>
    <s v="Falda"/>
    <s v="Negro"/>
    <s v="Nike"/>
    <s v="MER-A0-4980"/>
    <d v="2024-11-28T00:00:00"/>
    <x v="0"/>
    <n v="157.93"/>
    <n v="0"/>
    <n v="53.06"/>
    <x v="1"/>
    <s v="No"/>
    <d v="2024-04-27T00:00:00"/>
    <n v="0"/>
  </r>
  <r>
    <s v="DEP-A0-0111"/>
    <x v="0"/>
    <n v="30"/>
    <x v="0"/>
    <s v="Blusa"/>
    <s v="Azul"/>
    <s v="Zara"/>
    <s v="MER-A0-0111"/>
    <d v="2024-03-29T00:00:00"/>
    <x v="0"/>
    <n v="178.76"/>
    <n v="0.1"/>
    <n v="68.680000000000007"/>
    <x v="1"/>
    <s v="No"/>
    <d v="2024-03-29T00:00:00"/>
    <n v="0"/>
  </r>
  <r>
    <s v="DEP-A0-0883"/>
    <x v="1"/>
    <n v="34"/>
    <x v="0"/>
    <s v="Zapatos"/>
    <s v="Gris"/>
    <s v="Mango"/>
    <s v="MER-A0-0883"/>
    <d v="2024-01-19T00:00:00"/>
    <x v="0"/>
    <n v="161.38"/>
    <n v="0"/>
    <n v="66.864000000000004"/>
    <x v="1"/>
    <s v="No"/>
    <d v="2024-01-19T00:00:00"/>
    <n v="0"/>
  </r>
  <r>
    <s v="DEP-A0-2193"/>
    <x v="1"/>
    <n v="31"/>
    <x v="0"/>
    <s v="Camisa"/>
    <s v="Verde"/>
    <s v="Nike"/>
    <s v="MER-A0-2193"/>
    <d v="2024-05-26T00:00:00"/>
    <x v="0"/>
    <n v="183.47"/>
    <n v="0.1"/>
    <n v="126.18199999999999"/>
    <x v="1"/>
    <s v="No"/>
    <d v="2024-05-26T00:00:00"/>
    <n v="0"/>
  </r>
  <r>
    <s v="DEP-A0-0143"/>
    <x v="0"/>
    <n v="21"/>
    <x v="0"/>
    <s v="Vestido"/>
    <s v="Azul"/>
    <s v="Mango"/>
    <s v="MER-A0-0143"/>
    <d v="2024-10-06T00:00:00"/>
    <x v="0"/>
    <n v="185.37"/>
    <n v="0.1"/>
    <n v="54.57"/>
    <x v="1"/>
    <s v="No"/>
    <d v="2024-10-06T00:00:00"/>
    <n v="0"/>
  </r>
  <r>
    <s v="DEP-A0-2697"/>
    <x v="0"/>
    <n v="23"/>
    <x v="0"/>
    <s v="Vestido"/>
    <s v="Verde"/>
    <s v="Puma"/>
    <s v="MER-A0-2697"/>
    <d v="2024-10-05T00:00:00"/>
    <x v="0"/>
    <n v="188.62"/>
    <n v="0.1"/>
    <n v="151.816"/>
    <x v="1"/>
    <s v="No"/>
    <d v="2024-10-05T00:00:00"/>
    <n v="0"/>
  </r>
  <r>
    <s v="DEP-A0-2759"/>
    <x v="0"/>
    <n v="18"/>
    <x v="0"/>
    <s v="Vestido"/>
    <s v="Verde"/>
    <s v="Zara"/>
    <s v="MER-A0-2759"/>
    <d v="2024-02-15T00:00:00"/>
    <x v="0"/>
    <n v="170.18"/>
    <n v="0"/>
    <n v="173.02500000000001"/>
    <x v="1"/>
    <s v="No"/>
    <d v="2024-02-15T00:00:00"/>
    <n v="0"/>
  </r>
  <r>
    <s v="DEP-A0-4546"/>
    <x v="1"/>
    <n v="27"/>
    <x v="0"/>
    <s v="Chaqueta"/>
    <s v="Blanco"/>
    <s v="Adidas"/>
    <s v="MER-A0-4546"/>
    <d v="2024-12-30T00:00:00"/>
    <x v="0"/>
    <n v="189.18"/>
    <n v="0.1"/>
    <n v="39.39"/>
    <x v="1"/>
    <s v="No"/>
    <d v="2024-12-30T00:00:00"/>
    <n v="0"/>
  </r>
  <r>
    <s v="DEP-A0-0139"/>
    <x v="0"/>
    <n v="26"/>
    <x v="0"/>
    <s v="Chaqueta"/>
    <s v="Verde"/>
    <s v="Puma"/>
    <s v="MER-A0-0139"/>
    <d v="2024-12-23T00:00:00"/>
    <x v="0"/>
    <n v="191.09"/>
    <n v="0.1"/>
    <n v="86.56"/>
    <x v="1"/>
    <s v="No"/>
    <d v="2024-01-06T00:00:00"/>
    <n v="0"/>
  </r>
  <r>
    <s v="DEP-A0-3611"/>
    <x v="0"/>
    <n v="18"/>
    <x v="0"/>
    <s v="Zapatos"/>
    <s v="Gris"/>
    <s v="Nike"/>
    <s v="MER-A0-3611"/>
    <d v="2024-10-06T00:00:00"/>
    <x v="0"/>
    <n v="192.23"/>
    <n v="0.1"/>
    <n v="75.942999999999998"/>
    <x v="1"/>
    <s v="No"/>
    <d v="2024-10-06T00:00:00"/>
    <n v="0"/>
  </r>
  <r>
    <s v="DEP-A0-4727"/>
    <x v="0"/>
    <n v="24"/>
    <x v="0"/>
    <s v="Falda"/>
    <s v="Blanco"/>
    <s v="Levis"/>
    <s v="MER-A0-4727"/>
    <d v="2024-02-01T00:00:00"/>
    <x v="0"/>
    <n v="194.69"/>
    <n v="0.1"/>
    <n v="131.488"/>
    <x v="1"/>
    <s v="No"/>
    <d v="2024-02-01T00:00:00"/>
    <n v="0"/>
  </r>
  <r>
    <s v="DEP-A0-3796"/>
    <x v="1"/>
    <n v="33"/>
    <x v="0"/>
    <s v="Zapatos"/>
    <s v="Gris"/>
    <s v="Mango"/>
    <s v="MER-A0-3796"/>
    <d v="2024-09-06T00:00:00"/>
    <x v="0"/>
    <n v="196.1"/>
    <n v="0.1"/>
    <n v="167.46299999999999"/>
    <x v="1"/>
    <s v="No"/>
    <d v="2024-09-06T00:00:00"/>
    <n v="0"/>
  </r>
  <r>
    <s v="DEP-A0-3219"/>
    <x v="0"/>
    <n v="26"/>
    <x v="0"/>
    <s v="Falda"/>
    <s v="Amarillo"/>
    <s v="Adidas"/>
    <s v="MER-A0-3219"/>
    <d v="2024-12-10T00:00:00"/>
    <x v="0"/>
    <n v="188.49"/>
    <n v="0"/>
    <n v="61.686000000000007"/>
    <x v="1"/>
    <s v="No"/>
    <d v="2024-06-15T00:00:00"/>
    <n v="0"/>
  </r>
  <r>
    <s v="DEP-A0-3655"/>
    <x v="0"/>
    <n v="30"/>
    <x v="0"/>
    <s v="Zapatos"/>
    <s v="Gris"/>
    <s v="Levis"/>
    <s v="MER-A0-3655"/>
    <d v="2024-07-19T00:00:00"/>
    <x v="0"/>
    <n v="189.13"/>
    <n v="0"/>
    <n v="57.834000000000003"/>
    <x v="1"/>
    <s v="No"/>
    <d v="2024-07-19T00:00:00"/>
    <n v="0"/>
  </r>
  <r>
    <s v="DEP-A0-2043"/>
    <x v="0"/>
    <n v="35"/>
    <x v="0"/>
    <s v="Falda"/>
    <s v="Verde"/>
    <s v="Zara"/>
    <s v="MER-A0-2043"/>
    <d v="2024-02-26T00:00:00"/>
    <x v="0"/>
    <n v="193.84"/>
    <n v="0"/>
    <n v="106.34399999999999"/>
    <x v="1"/>
    <s v="No"/>
    <d v="2024-02-26T00:00:00"/>
    <n v="0"/>
  </r>
  <r>
    <s v="DEP-A0-4742"/>
    <x v="0"/>
    <n v="33"/>
    <x v="0"/>
    <s v="Vestido"/>
    <s v="Gris"/>
    <s v="Tommy"/>
    <s v="MER-A0-4742"/>
    <d v="2024-03-31T00:00:00"/>
    <x v="0"/>
    <n v="194.29"/>
    <n v="0"/>
    <n v="127.16099999999999"/>
    <x v="1"/>
    <s v="No"/>
    <d v="2024-03-31T00:00:00"/>
    <n v="0"/>
  </r>
  <r>
    <s v="DEP-A0-0125"/>
    <x v="0"/>
    <n v="30"/>
    <x v="0"/>
    <s v="Blusa"/>
    <s v="Negro"/>
    <s v="Zara"/>
    <s v="MER-A0-0125"/>
    <d v="2024-06-10T00:00:00"/>
    <x v="0"/>
    <n v="196.4"/>
    <n v="0"/>
    <n v="10.017000000000001"/>
    <x v="1"/>
    <s v="No"/>
    <d v="2024-06-10T00:00:00"/>
    <n v="0"/>
  </r>
  <r>
    <s v="DEP-A0-0579"/>
    <x v="0"/>
    <n v="19"/>
    <x v="0"/>
    <s v="Camisa"/>
    <s v="Blanco"/>
    <s v="Adidas"/>
    <s v="MER-A0-0579"/>
    <d v="2024-03-20T00:00:00"/>
    <x v="0"/>
    <n v="197.85"/>
    <n v="0"/>
    <n v="129.72999999999999"/>
    <x v="1"/>
    <s v="No"/>
    <d v="2024-03-20T00:00:00"/>
    <n v="0"/>
  </r>
  <r>
    <s v="DEP-A0-4947"/>
    <x v="0"/>
    <n v="29"/>
    <x v="0"/>
    <s v="Vestido"/>
    <s v="Verde"/>
    <s v="Puma"/>
    <s v="MER-A0-4947"/>
    <d v="2024-02-22T00:00:00"/>
    <x v="0"/>
    <n v="11.76"/>
    <n v="0.1"/>
    <n v="140.01300000000001"/>
    <x v="1"/>
    <s v="No"/>
    <d v="2025-02-16T00:00:00"/>
    <n v="0"/>
  </r>
  <r>
    <s v="DEP-A0-4323"/>
    <x v="0"/>
    <n v="35"/>
    <x v="0"/>
    <s v="Vestido"/>
    <s v="Azul"/>
    <s v="Mango"/>
    <s v="MER-A0-4323"/>
    <d v="2024-09-15T00:00:00"/>
    <x v="0"/>
    <n v="13.24"/>
    <n v="0.2"/>
    <n v="160.13999999999999"/>
    <x v="1"/>
    <s v="No"/>
    <d v="2024-12-14T00:00:00"/>
    <n v="0"/>
  </r>
  <r>
    <s v="DEP-A0-2209"/>
    <x v="0"/>
    <n v="25"/>
    <x v="0"/>
    <s v="Vestido"/>
    <s v="Verde"/>
    <s v="Levis"/>
    <s v="MER-A0-2209"/>
    <d v="2024-07-29T00:00:00"/>
    <x v="0"/>
    <n v="14.5"/>
    <n v="0.2"/>
    <n v="41.328000000000003"/>
    <x v="1"/>
    <s v="No"/>
    <d v="2025-01-25T00:00:00"/>
    <n v="0"/>
  </r>
  <r>
    <s v="DEP-A0-2451"/>
    <x v="0"/>
    <n v="29"/>
    <x v="0"/>
    <s v="Chaqueta"/>
    <s v="Verde"/>
    <s v="Tommy"/>
    <s v="MER-A0-2451"/>
    <d v="2024-12-13T00:00:00"/>
    <x v="0"/>
    <n v="12.94"/>
    <n v="0.1"/>
    <n v="33.558"/>
    <x v="1"/>
    <s v="No"/>
    <d v="2025-03-13T00:00:00"/>
    <n v="0"/>
  </r>
  <r>
    <s v="DEP-A0-0214"/>
    <x v="1"/>
    <n v="34"/>
    <x v="0"/>
    <s v="Pantalón"/>
    <s v="Negro"/>
    <s v="Zara"/>
    <s v="MER-A0-0214"/>
    <d v="2024-05-11T00:00:00"/>
    <x v="0"/>
    <n v="18.66"/>
    <n v="0.3"/>
    <n v="98.342999999999989"/>
    <x v="1"/>
    <s v="No"/>
    <d v="2024-11-07T00:00:00"/>
    <n v="0"/>
  </r>
  <r>
    <s v="DEP-A0-3312"/>
    <x v="1"/>
    <n v="30"/>
    <x v="0"/>
    <s v="Chaqueta"/>
    <s v="Blanco"/>
    <s v="Tommy"/>
    <s v="MER-A0-3312"/>
    <d v="2024-11-28T00:00:00"/>
    <x v="0"/>
    <n v="15.26"/>
    <n v="0.1"/>
    <n v="92.889999999999986"/>
    <x v="1"/>
    <s v="No"/>
    <d v="2025-07-21T00:00:00"/>
    <n v="0"/>
  </r>
  <r>
    <s v="DEP-A0-3760"/>
    <x v="0"/>
    <n v="26"/>
    <x v="0"/>
    <s v="Camisa"/>
    <s v="Amarillo"/>
    <s v="Mango"/>
    <s v="MER-A0-3760"/>
    <d v="2024-02-23T00:00:00"/>
    <x v="0"/>
    <n v="20.46"/>
    <n v="0.3"/>
    <n v="116.50800000000001"/>
    <x v="1"/>
    <s v="No"/>
    <d v="2024-08-21T00:00:00"/>
    <n v="0"/>
  </r>
  <r>
    <s v="DEP-A0-1809"/>
    <x v="0"/>
    <n v="20"/>
    <x v="0"/>
    <s v="Falda"/>
    <s v="Blanco"/>
    <s v="Tommy"/>
    <s v="MER-A0-1809"/>
    <d v="2024-03-25T00:00:00"/>
    <x v="0"/>
    <n v="21.07"/>
    <n v="0.3"/>
    <n v="22.088000000000001"/>
    <x v="1"/>
    <s v="No"/>
    <d v="2025-03-20T00:00:00"/>
    <n v="0"/>
  </r>
  <r>
    <s v="DEP-A0-1591"/>
    <x v="0"/>
    <n v="23"/>
    <x v="0"/>
    <s v="Pantalón"/>
    <s v="Gris"/>
    <s v="Adidas"/>
    <s v="MER-A0-1591"/>
    <d v="2024-02-13T00:00:00"/>
    <x v="0"/>
    <n v="14.85"/>
    <n v="0"/>
    <n v="45.492999999999995"/>
    <x v="1"/>
    <s v="No"/>
    <d v="2025-03-12T00:00:00"/>
    <n v="0"/>
  </r>
  <r>
    <s v="DEP-A0-1906"/>
    <x v="0"/>
    <n v="19"/>
    <x v="0"/>
    <s v="Chaqueta"/>
    <s v="Rojo"/>
    <s v="Levis"/>
    <s v="MER-A0-1906"/>
    <d v="2024-09-12T00:00:00"/>
    <x v="0"/>
    <n v="16.600000000000001"/>
    <n v="0"/>
    <n v="185.95"/>
    <x v="1"/>
    <s v="No"/>
    <d v="2025-03-11T00:00:00"/>
    <n v="0"/>
  </r>
  <r>
    <s v="DEP-A0-1245"/>
    <x v="0"/>
    <n v="28"/>
    <x v="0"/>
    <s v="Blusa"/>
    <s v="Blanco"/>
    <s v="Mango"/>
    <s v="MER-A0-1245"/>
    <d v="2024-11-23T00:00:00"/>
    <x v="0"/>
    <n v="16.73"/>
    <n v="0"/>
    <n v="48.460999999999999"/>
    <x v="1"/>
    <s v="No"/>
    <d v="2025-08-20T00:00:00"/>
    <n v="0"/>
  </r>
  <r>
    <s v="DEP-A0-2513"/>
    <x v="0"/>
    <n v="30"/>
    <x v="0"/>
    <s v="Chaqueta"/>
    <s v="Verde"/>
    <s v="Mango"/>
    <s v="MER-A0-2513"/>
    <d v="2024-12-31T00:00:00"/>
    <x v="0"/>
    <n v="25.38"/>
    <n v="0.3"/>
    <n v="128.46"/>
    <x v="1"/>
    <s v="No"/>
    <d v="2025-06-29T00:00:00"/>
    <n v="0"/>
  </r>
  <r>
    <s v="DEP-A0-1972"/>
    <x v="1"/>
    <n v="32"/>
    <x v="0"/>
    <s v="Camisa"/>
    <s v="Azul"/>
    <s v="Adidas"/>
    <s v="MER-A0-1972"/>
    <d v="2024-12-21T00:00:00"/>
    <x v="0"/>
    <n v="26.58"/>
    <n v="0.3"/>
    <n v="76.989999999999995"/>
    <x v="1"/>
    <s v="No"/>
    <d v="2025-12-16T00:00:00"/>
    <n v="0"/>
  </r>
  <r>
    <s v="DEP-A0-4241"/>
    <x v="0"/>
    <n v="29"/>
    <x v="0"/>
    <s v="Zapatos"/>
    <s v="Azul"/>
    <s v="Zara"/>
    <s v="MER-A0-4241"/>
    <d v="2024-12-23T00:00:00"/>
    <x v="0"/>
    <n v="20.72"/>
    <n v="0.1"/>
    <n v="68.326999999999998"/>
    <x v="1"/>
    <s v="No"/>
    <d v="2024-04-13T00:00:00"/>
    <n v="0"/>
  </r>
  <r>
    <s v="DEP-A0-2463"/>
    <x v="1"/>
    <n v="29"/>
    <x v="0"/>
    <s v="Pantalón"/>
    <s v="Verde"/>
    <s v="Levis"/>
    <s v="MER-A0-2463"/>
    <d v="2024-05-08T00:00:00"/>
    <x v="0"/>
    <n v="20.84"/>
    <n v="0"/>
    <n v="138.83000000000001"/>
    <x v="1"/>
    <s v="No"/>
    <d v="2025-02-02T00:00:00"/>
    <n v="0"/>
  </r>
  <r>
    <s v="DEP-A0-1631"/>
    <x v="0"/>
    <n v="19"/>
    <x v="0"/>
    <s v="Pantalón"/>
    <s v="Gris"/>
    <s v="Tommy"/>
    <s v="MER-A0-1631"/>
    <d v="2024-11-28T00:00:00"/>
    <x v="0"/>
    <n v="26.18"/>
    <n v="0.1"/>
    <n v="136.59799999999998"/>
    <x v="1"/>
    <s v="No"/>
    <d v="2025-01-02T00:00:00"/>
    <n v="0"/>
  </r>
  <r>
    <s v="DEP-A0-4676"/>
    <x v="0"/>
    <n v="21"/>
    <x v="0"/>
    <s v="Vestido"/>
    <s v="Azul"/>
    <s v="Nike"/>
    <s v="MER-A0-4676"/>
    <d v="2024-04-05T00:00:00"/>
    <x v="0"/>
    <n v="33.729999999999997"/>
    <n v="0.3"/>
    <n v="56.150999999999996"/>
    <x v="1"/>
    <s v="No"/>
    <d v="2024-12-31T00:00:00"/>
    <n v="0"/>
  </r>
  <r>
    <s v="DEP-A0-3958"/>
    <x v="0"/>
    <n v="33"/>
    <x v="0"/>
    <s v="Chaqueta"/>
    <s v="Blanco"/>
    <s v="Puma"/>
    <s v="MER-A0-3958"/>
    <d v="2024-05-20T00:00:00"/>
    <x v="0"/>
    <n v="34.51"/>
    <n v="0.3"/>
    <n v="107.658"/>
    <x v="1"/>
    <s v="No"/>
    <d v="2024-11-16T00:00:00"/>
    <n v="0"/>
  </r>
  <r>
    <s v="DEP-A0-4912"/>
    <x v="1"/>
    <n v="34"/>
    <x v="0"/>
    <s v="Zapatos"/>
    <s v="Azul"/>
    <s v="Mango"/>
    <s v="MER-A0-4912"/>
    <d v="2024-04-11T00:00:00"/>
    <x v="0"/>
    <n v="24.31"/>
    <n v="0"/>
    <n v="154.827"/>
    <x v="1"/>
    <s v="No"/>
    <d v="2025-01-06T00:00:00"/>
    <n v="0"/>
  </r>
  <r>
    <s v="DEP-A0-3623"/>
    <x v="0"/>
    <n v="21"/>
    <x v="0"/>
    <s v="Falda"/>
    <s v="Negro"/>
    <s v="Adidas"/>
    <s v="MER-A0-3623"/>
    <d v="2024-03-24T00:00:00"/>
    <x v="0"/>
    <n v="27.3"/>
    <n v="0.1"/>
    <n v="74.936000000000007"/>
    <x v="1"/>
    <s v="No"/>
    <d v="2024-12-19T00:00:00"/>
    <n v="0"/>
  </r>
  <r>
    <s v="DEP-A0-2001"/>
    <x v="1"/>
    <n v="31"/>
    <x v="0"/>
    <s v="Zapatos"/>
    <s v="Rojo"/>
    <s v="Nike"/>
    <s v="MER-A0-2001"/>
    <d v="2024-09-19T00:00:00"/>
    <x v="0"/>
    <n v="38.979999999999997"/>
    <n v="0.3"/>
    <n v="72.890999999999991"/>
    <x v="1"/>
    <s v="No"/>
    <d v="2025-03-18T00:00:00"/>
    <n v="0"/>
  </r>
  <r>
    <s v="DEP-A0-1243"/>
    <x v="0"/>
    <n v="26"/>
    <x v="0"/>
    <s v="Chaqueta"/>
    <s v="Verde"/>
    <s v="Adidas"/>
    <s v="MER-A0-1243"/>
    <d v="2024-11-28T00:00:00"/>
    <x v="0"/>
    <n v="27.3"/>
    <n v="0"/>
    <n v="75.236000000000004"/>
    <x v="1"/>
    <s v="No"/>
    <d v="2025-07-13T00:00:00"/>
    <n v="0"/>
  </r>
  <r>
    <s v="DEP-A0-3419"/>
    <x v="0"/>
    <n v="30"/>
    <x v="0"/>
    <s v="Zapatos"/>
    <s v="Blanco"/>
    <s v="Zara"/>
    <s v="MER-A0-3419"/>
    <d v="2024-12-17T00:00:00"/>
    <x v="0"/>
    <n v="28.53"/>
    <n v="0"/>
    <n v="108.024"/>
    <x v="1"/>
    <s v="No"/>
    <d v="2025-03-17T00:00:00"/>
    <n v="0"/>
  </r>
  <r>
    <s v="DEP-A0-0444"/>
    <x v="1"/>
    <n v="24"/>
    <x v="0"/>
    <s v="Zapatos"/>
    <s v="Amarillo"/>
    <s v="Zara"/>
    <s v="MER-A0-0444"/>
    <d v="2024-06-21T00:00:00"/>
    <x v="0"/>
    <n v="40.99"/>
    <n v="0.3"/>
    <n v="51.022999999999996"/>
    <x v="1"/>
    <s v="No"/>
    <d v="2025-03-18T00:00:00"/>
    <n v="0"/>
  </r>
  <r>
    <s v="DEP-A0-2274"/>
    <x v="1"/>
    <n v="19"/>
    <x v="0"/>
    <s v="Camisa"/>
    <s v="Rojo"/>
    <s v="Tommy"/>
    <s v="MER-A0-2274"/>
    <d v="2024-04-02T00:00:00"/>
    <x v="0"/>
    <n v="42.72"/>
    <n v="0.3"/>
    <n v="33.049999999999997"/>
    <x v="1"/>
    <s v="No"/>
    <d v="2024-09-29T00:00:00"/>
    <n v="0"/>
  </r>
  <r>
    <s v="DEP-A0-4671"/>
    <x v="0"/>
    <n v="30"/>
    <x v="0"/>
    <s v="Blusa"/>
    <s v="Azul"/>
    <s v="Mango"/>
    <s v="MER-A0-4671"/>
    <d v="2024-12-23T00:00:00"/>
    <x v="0"/>
    <n v="43.67"/>
    <n v="0.3"/>
    <n v="66.320000000000007"/>
    <x v="1"/>
    <s v="No"/>
    <d v="2024-06-30T00:00:00"/>
    <n v="0"/>
  </r>
  <r>
    <s v="DEP-A0-3017"/>
    <x v="0"/>
    <n v="19"/>
    <x v="0"/>
    <s v="Blusa"/>
    <s v="Azul"/>
    <s v="Mango"/>
    <s v="MER-A0-3017"/>
    <d v="2024-05-01T00:00:00"/>
    <x v="0"/>
    <n v="44.59"/>
    <n v="0.3"/>
    <n v="19.13"/>
    <x v="1"/>
    <s v="No"/>
    <d v="2024-10-28T00:00:00"/>
    <n v="0"/>
  </r>
  <r>
    <s v="DEP-A0-0508"/>
    <x v="0"/>
    <n v="33"/>
    <x v="0"/>
    <s v="Blusa"/>
    <s v="Rojo"/>
    <s v="Puma"/>
    <s v="MER-A0-0508"/>
    <d v="2024-04-11T00:00:00"/>
    <x v="0"/>
    <n v="39.049999999999997"/>
    <n v="0.2"/>
    <n v="64.352000000000004"/>
    <x v="1"/>
    <s v="No"/>
    <d v="2025-01-06T00:00:00"/>
    <n v="0"/>
  </r>
  <r>
    <s v="DEP-A0-3987"/>
    <x v="1"/>
    <n v="29"/>
    <x v="0"/>
    <s v="Zapatos"/>
    <s v="Blanco"/>
    <s v="Adidas"/>
    <s v="MER-A0-3987"/>
    <d v="2024-12-22T00:00:00"/>
    <x v="0"/>
    <n v="31.83"/>
    <n v="0"/>
    <n v="158.93"/>
    <x v="1"/>
    <s v="No"/>
    <d v="2025-03-22T00:00:00"/>
    <n v="0"/>
  </r>
  <r>
    <s v="DEP-A0-0128"/>
    <x v="0"/>
    <n v="25"/>
    <x v="0"/>
    <s v="Camisa"/>
    <s v="Blanco"/>
    <s v="Levis"/>
    <s v="MER-A0-0128"/>
    <d v="2024-12-17T00:00:00"/>
    <x v="0"/>
    <n v="48.03"/>
    <n v="0.3"/>
    <n v="198.77"/>
    <x v="1"/>
    <s v="No"/>
    <d v="2025-12-12T00:00:00"/>
    <n v="0"/>
  </r>
  <r>
    <s v="DEP-A0-1937"/>
    <x v="0"/>
    <n v="20"/>
    <x v="0"/>
    <s v="Vestido"/>
    <s v="Gris"/>
    <s v="Levis"/>
    <s v="MER-A0-1937"/>
    <d v="2024-11-27T00:00:00"/>
    <x v="0"/>
    <n v="42.97"/>
    <n v="0.2"/>
    <n v="99.21"/>
    <x v="1"/>
    <s v="No"/>
    <d v="2025-11-22T00:00:00"/>
    <n v="0"/>
  </r>
  <r>
    <s v="DEP-A0-0657"/>
    <x v="0"/>
    <n v="20"/>
    <x v="0"/>
    <s v="Vestido"/>
    <s v="Negro"/>
    <s v="Adidas"/>
    <s v="MER-A0-0657"/>
    <d v="2024-12-17T00:00:00"/>
    <x v="0"/>
    <n v="49.54"/>
    <n v="0.3"/>
    <n v="84.08"/>
    <x v="1"/>
    <s v="No"/>
    <d v="2025-06-15T00:00:00"/>
    <n v="0"/>
  </r>
  <r>
    <s v="DEP-A0-0619"/>
    <x v="0"/>
    <n v="27"/>
    <x v="0"/>
    <s v="Chaqueta"/>
    <s v="Negro"/>
    <s v="Zara"/>
    <s v="MER-A0-0619"/>
    <d v="2024-09-01T00:00:00"/>
    <x v="0"/>
    <n v="39.04"/>
    <n v="0.1"/>
    <n v="86.679999999999993"/>
    <x v="1"/>
    <s v="No"/>
    <d v="2025-02-28T00:00:00"/>
    <n v="0"/>
  </r>
  <r>
    <s v="DEP-A0-2359"/>
    <x v="1"/>
    <n v="31"/>
    <x v="0"/>
    <s v="Chaqueta"/>
    <s v="Rojo"/>
    <s v="Adidas"/>
    <s v="MER-A0-2359"/>
    <d v="2024-12-09T00:00:00"/>
    <x v="0"/>
    <n v="41.43"/>
    <n v="0.1"/>
    <n v="32.238"/>
    <x v="1"/>
    <s v="No"/>
    <d v="2025-09-05T00:00:00"/>
    <n v="0"/>
  </r>
  <r>
    <s v="DEP-A0-4960"/>
    <x v="1"/>
    <n v="27"/>
    <x v="0"/>
    <s v="Chaqueta"/>
    <s v="Verde"/>
    <s v="Tommy"/>
    <s v="MER-A0-4960"/>
    <d v="2024-06-05T00:00:00"/>
    <x v="0"/>
    <n v="41.75"/>
    <n v="0.1"/>
    <n v="86.302999999999997"/>
    <x v="1"/>
    <s v="No"/>
    <d v="2024-12-02T00:00:00"/>
    <n v="0"/>
  </r>
  <r>
    <s v="DEP-A0-0789"/>
    <x v="0"/>
    <n v="30"/>
    <x v="0"/>
    <s v="Vestido"/>
    <s v="Azul"/>
    <s v="Zara"/>
    <s v="MER-A0-0789"/>
    <d v="2024-12-08T00:00:00"/>
    <x v="0"/>
    <n v="56.48"/>
    <n v="0.3"/>
    <n v="46.99"/>
    <x v="1"/>
    <s v="No"/>
    <d v="2025-06-06T00:00:00"/>
    <n v="0"/>
  </r>
  <r>
    <s v="DEP-A0-3252"/>
    <x v="0"/>
    <n v="32"/>
    <x v="0"/>
    <s v="Camisa"/>
    <s v="Azul"/>
    <s v="Adidas"/>
    <s v="MER-A0-3252"/>
    <d v="2024-09-26T00:00:00"/>
    <x v="0"/>
    <n v="50.31"/>
    <n v="0.2"/>
    <n v="149.994"/>
    <x v="1"/>
    <s v="No"/>
    <d v="2025-09-21T00:00:00"/>
    <n v="0"/>
  </r>
  <r>
    <s v="DEP-A0-3336"/>
    <x v="0"/>
    <n v="26"/>
    <x v="0"/>
    <s v="Blusa"/>
    <s v="Gris"/>
    <s v="Puma"/>
    <s v="MER-A0-3336"/>
    <d v="2024-12-23T00:00:00"/>
    <x v="0"/>
    <n v="50.66"/>
    <n v="0.2"/>
    <n v="150.52500000000001"/>
    <x v="1"/>
    <s v="No"/>
    <d v="2024-07-03T00:00:00"/>
    <n v="0"/>
  </r>
  <r>
    <s v="DEP-A0-4522"/>
    <x v="1"/>
    <n v="31"/>
    <x v="0"/>
    <s v="Camisa"/>
    <s v="Amarillo"/>
    <s v="Puma"/>
    <s v="MER-A0-4522"/>
    <d v="2024-08-23T00:00:00"/>
    <x v="0"/>
    <n v="46.76"/>
    <n v="0.1"/>
    <n v="151.53300000000002"/>
    <x v="1"/>
    <s v="Sí"/>
    <d v="2024-11-21T00:00:00"/>
    <n v="3"/>
  </r>
  <r>
    <s v="DEP-A0-4962"/>
    <x v="1"/>
    <n v="19"/>
    <x v="0"/>
    <s v="Zapatos"/>
    <s v="Amarillo"/>
    <s v="Adidas"/>
    <s v="MER-A0-4962"/>
    <d v="2024-09-04T00:00:00"/>
    <x v="0"/>
    <n v="61.09"/>
    <n v="0.3"/>
    <n v="39.933"/>
    <x v="1"/>
    <s v="Sí"/>
    <d v="2024-12-03T00:00:00"/>
    <n v="3"/>
  </r>
  <r>
    <s v="DEP-A0-1111"/>
    <x v="0"/>
    <n v="23"/>
    <x v="0"/>
    <s v="Blusa"/>
    <s v="Gris"/>
    <s v="Zara"/>
    <s v="MER-A0-1111"/>
    <d v="2024-12-08T00:00:00"/>
    <x v="0"/>
    <n v="54"/>
    <n v="0.2"/>
    <n v="144.136"/>
    <x v="1"/>
    <s v="Sí"/>
    <d v="2025-06-08T00:00:00"/>
    <n v="3"/>
  </r>
  <r>
    <s v="DEP-A0-0340"/>
    <x v="0"/>
    <n v="30"/>
    <x v="0"/>
    <s v="Camisa"/>
    <s v="Blanco"/>
    <s v="Levis"/>
    <s v="MER-A0-0340"/>
    <d v="2024-10-22T00:00:00"/>
    <x v="0"/>
    <n v="62.06"/>
    <n v="0.3"/>
    <n v="111.15299999999999"/>
    <x v="1"/>
    <s v="Sí"/>
    <d v="2025-07-19T00:00:00"/>
    <n v="3"/>
  </r>
  <r>
    <s v="DEP-A0-2284"/>
    <x v="0"/>
    <n v="34"/>
    <x v="0"/>
    <s v="Vestido"/>
    <s v="Amarillo"/>
    <s v="Tommy"/>
    <s v="MER-A0-2284"/>
    <d v="2024-04-25T00:00:00"/>
    <x v="0"/>
    <n v="45.02"/>
    <n v="0"/>
    <n v="173.96"/>
    <x v="1"/>
    <s v="Sí"/>
    <d v="2024-07-24T00:00:00"/>
    <n v="3"/>
  </r>
  <r>
    <s v="DEP-A0-0976"/>
    <x v="1"/>
    <n v="19"/>
    <x v="0"/>
    <s v="Camisa"/>
    <s v="Rojo"/>
    <s v="Levis"/>
    <s v="MER-A0-0976"/>
    <d v="2024-02-16T00:00:00"/>
    <x v="0"/>
    <n v="65.209999999999994"/>
    <n v="0.3"/>
    <n v="110.28500000000001"/>
    <x v="1"/>
    <s v="Sí"/>
    <d v="2024-11-12T00:00:00"/>
    <n v="3"/>
  </r>
  <r>
    <s v="DEP-A0-0339"/>
    <x v="1"/>
    <n v="20"/>
    <x v="0"/>
    <s v="Camisa"/>
    <s v="Rojo"/>
    <s v="Mango"/>
    <s v="MER-A0-0339"/>
    <d v="2024-04-08T00:00:00"/>
    <x v="0"/>
    <n v="46.64"/>
    <n v="0"/>
    <n v="66.08"/>
    <x v="1"/>
    <s v="Sí"/>
    <d v="2025-01-03T00:00:00"/>
    <n v="3"/>
  </r>
  <r>
    <s v="DEP-A0-2935"/>
    <x v="0"/>
    <n v="22"/>
    <x v="0"/>
    <s v="Zapatos"/>
    <s v="Gris"/>
    <s v="Nike"/>
    <s v="MER-A0-2935"/>
    <d v="2024-01-31T00:00:00"/>
    <x v="0"/>
    <n v="46.95"/>
    <n v="0"/>
    <n v="41.118000000000002"/>
    <x v="1"/>
    <s v="Sí"/>
    <d v="2024-04-30T00:00:00"/>
    <n v="3"/>
  </r>
  <r>
    <s v="DEP-A0-1869"/>
    <x v="0"/>
    <n v="28"/>
    <x v="0"/>
    <s v="Pantalón"/>
    <s v="Verde"/>
    <s v="Mango"/>
    <s v="MER-A0-1869"/>
    <d v="2024-08-26T00:00:00"/>
    <x v="0"/>
    <n v="58.91"/>
    <n v="0.2"/>
    <n v="58.34"/>
    <x v="1"/>
    <s v="Sí"/>
    <d v="2025-02-22T00:00:00"/>
    <n v="3"/>
  </r>
  <r>
    <s v="DEP-A0-4762"/>
    <x v="0"/>
    <n v="18"/>
    <x v="0"/>
    <s v="Blusa"/>
    <s v="Amarillo"/>
    <s v="Puma"/>
    <s v="MER-A0-4762"/>
    <d v="2024-05-28T00:00:00"/>
    <x v="0"/>
    <n v="53.19"/>
    <n v="0.1"/>
    <n v="184"/>
    <x v="1"/>
    <s v="Sí"/>
    <d v="2024-11-24T00:00:00"/>
    <n v="3"/>
  </r>
  <r>
    <s v="DEP-A0-0582"/>
    <x v="1"/>
    <n v="26"/>
    <x v="0"/>
    <s v="Camisa"/>
    <s v="Verde"/>
    <s v="Adidas"/>
    <s v="MER-A0-0582"/>
    <d v="2024-09-04T00:00:00"/>
    <x v="0"/>
    <n v="70.540000000000006"/>
    <n v="0.3"/>
    <n v="117.26400000000001"/>
    <x v="1"/>
    <s v="Sí"/>
    <d v="2025-08-30T00:00:00"/>
    <n v="3"/>
  </r>
  <r>
    <s v="DEP-A0-4691"/>
    <x v="1"/>
    <n v="19"/>
    <x v="0"/>
    <s v="Zapatos"/>
    <s v="Blanco"/>
    <s v="Nike"/>
    <s v="MER-A0-4691"/>
    <d v="2024-07-08T00:00:00"/>
    <x v="0"/>
    <n v="55.19"/>
    <n v="0.1"/>
    <n v="74.616"/>
    <x v="1"/>
    <s v="Sí"/>
    <d v="2025-01-04T00:00:00"/>
    <n v="3"/>
  </r>
  <r>
    <s v="DEP-A0-1667"/>
    <x v="1"/>
    <n v="18"/>
    <x v="0"/>
    <s v="Zapatos"/>
    <s v="Verde"/>
    <s v="Adidas"/>
    <s v="MER-A0-1667"/>
    <d v="2024-12-24T00:00:00"/>
    <x v="0"/>
    <n v="63.1"/>
    <n v="0.2"/>
    <n v="76.384"/>
    <x v="1"/>
    <s v="Sí"/>
    <d v="2025-03-24T00:00:00"/>
    <n v="3"/>
  </r>
  <r>
    <s v="DEP-A0-3814"/>
    <x v="0"/>
    <n v="33"/>
    <x v="0"/>
    <s v="Vestido"/>
    <s v="Gris"/>
    <s v="Adidas"/>
    <s v="MER-A0-3814"/>
    <d v="2024-09-03T00:00:00"/>
    <x v="0"/>
    <n v="57"/>
    <n v="0.1"/>
    <n v="162.86000000000001"/>
    <x v="1"/>
    <s v="Sí"/>
    <d v="2024-12-02T00:00:00"/>
    <n v="3"/>
  </r>
  <r>
    <s v="DEP-A0-2076"/>
    <x v="0"/>
    <n v="29"/>
    <x v="0"/>
    <s v="Vestido"/>
    <s v="Rojo"/>
    <s v="Puma"/>
    <s v="MER-A0-2076"/>
    <d v="2024-01-26T00:00:00"/>
    <x v="0"/>
    <n v="66.34"/>
    <n v="0.2"/>
    <n v="18.672000000000001"/>
    <x v="1"/>
    <s v="Sí"/>
    <d v="2024-07-24T00:00:00"/>
    <n v="3"/>
  </r>
  <r>
    <s v="DEP-A0-4109"/>
    <x v="1"/>
    <n v="18"/>
    <x v="0"/>
    <s v="Zapatos"/>
    <s v="Verde"/>
    <s v="Levis"/>
    <s v="MER-A0-4109"/>
    <d v="2024-12-18T00:00:00"/>
    <x v="0"/>
    <n v="53.52"/>
    <n v="0"/>
    <n v="25.207000000000001"/>
    <x v="1"/>
    <s v="Sí"/>
    <d v="2025-06-16T00:00:00"/>
    <n v="3"/>
  </r>
  <r>
    <s v="DEP-A0-3146"/>
    <x v="0"/>
    <n v="33"/>
    <x v="0"/>
    <s v="Blusa"/>
    <s v="Rojo"/>
    <s v="Levis"/>
    <s v="MER-A0-3146"/>
    <d v="2024-01-22T00:00:00"/>
    <x v="0"/>
    <n v="59.96"/>
    <n v="0.1"/>
    <n v="130.37400000000002"/>
    <x v="1"/>
    <s v="Sí"/>
    <d v="2025-01-16T00:00:00"/>
    <n v="3"/>
  </r>
  <r>
    <s v="DEP-A0-0400"/>
    <x v="0"/>
    <n v="18"/>
    <x v="0"/>
    <s v="Zapatos"/>
    <s v="Amarillo"/>
    <s v="Nike"/>
    <s v="MER-A0-0400"/>
    <d v="2024-02-01T00:00:00"/>
    <x v="0"/>
    <n v="77.12"/>
    <n v="0.3"/>
    <n v="145.548"/>
    <x v="1"/>
    <s v="Sí"/>
    <d v="2025-01-26T00:00:00"/>
    <n v="3"/>
  </r>
  <r>
    <s v="DEP-A0-1718"/>
    <x v="0"/>
    <n v="21"/>
    <x v="0"/>
    <s v="Camisa"/>
    <s v="Azul"/>
    <s v="Puma"/>
    <s v="MER-A0-1718"/>
    <d v="2024-10-02T00:00:00"/>
    <x v="0"/>
    <n v="60.14"/>
    <n v="0.1"/>
    <n v="23.071999999999999"/>
    <x v="1"/>
    <s v="Sí"/>
    <d v="2024-12-31T00:00:00"/>
    <n v="3"/>
  </r>
  <r>
    <s v="DEP-A0-2358"/>
    <x v="0"/>
    <n v="28"/>
    <x v="0"/>
    <s v="Blusa"/>
    <s v="Blanco"/>
    <s v="Puma"/>
    <s v="MER-A0-2358"/>
    <d v="2024-10-11T00:00:00"/>
    <x v="0"/>
    <n v="68.44"/>
    <n v="0.2"/>
    <n v="37.610999999999997"/>
    <x v="1"/>
    <s v="Sí"/>
    <d v="2025-10-06T00:00:00"/>
    <n v="3"/>
  </r>
  <r>
    <s v="DEP-A0-0734"/>
    <x v="1"/>
    <n v="33"/>
    <x v="0"/>
    <s v="Camisa"/>
    <s v="Verde"/>
    <s v="Zara"/>
    <s v="MER-A0-0734"/>
    <d v="2024-11-28T00:00:00"/>
    <x v="0"/>
    <n v="62.97"/>
    <n v="0.1"/>
    <n v="68.522999999999996"/>
    <x v="1"/>
    <s v="Sí"/>
    <d v="2024-12-31T00:00:00"/>
    <n v="3"/>
  </r>
  <r>
    <s v="DEP-A0-3591"/>
    <x v="0"/>
    <n v="21"/>
    <x v="0"/>
    <s v="Vestido"/>
    <s v="Azul"/>
    <s v="Mango"/>
    <s v="MER-A0-3591"/>
    <d v="2024-02-19T00:00:00"/>
    <x v="0"/>
    <n v="70.95"/>
    <n v="0.2"/>
    <n v="67.62"/>
    <x v="1"/>
    <s v="Sí"/>
    <d v="2024-08-17T00:00:00"/>
    <n v="3"/>
  </r>
  <r>
    <s v="DEP-A0-2078"/>
    <x v="0"/>
    <n v="19"/>
    <x v="0"/>
    <s v="Zapatos"/>
    <s v="Blanco"/>
    <s v="Adidas"/>
    <s v="MER-A0-2078"/>
    <d v="2024-03-12T00:00:00"/>
    <x v="0"/>
    <n v="57.86"/>
    <n v="0"/>
    <n v="174.06"/>
    <x v="1"/>
    <s v="Sí"/>
    <d v="2024-06-10T00:00:00"/>
    <n v="3"/>
  </r>
  <r>
    <s v="DEP-A0-2331"/>
    <x v="1"/>
    <n v="30"/>
    <x v="0"/>
    <s v="Camisa"/>
    <s v="Blanco"/>
    <s v="Puma"/>
    <s v="MER-A0-2331"/>
    <d v="2024-08-14T00:00:00"/>
    <x v="0"/>
    <n v="82.72"/>
    <n v="0.3"/>
    <n v="75.930000000000007"/>
    <x v="1"/>
    <s v="Sí"/>
    <d v="2025-05-11T00:00:00"/>
    <n v="3"/>
  </r>
  <r>
    <s v="DEP-A0-3592"/>
    <x v="1"/>
    <n v="28"/>
    <x v="0"/>
    <s v="Pantalón"/>
    <s v="Negro"/>
    <s v="Nike"/>
    <s v="MER-A0-3592"/>
    <d v="2024-11-28T00:00:00"/>
    <x v="0"/>
    <n v="64.400000000000006"/>
    <n v="0.1"/>
    <n v="56.713999999999999"/>
    <x v="1"/>
    <s v="Sí"/>
    <d v="2025-06-27T00:00:00"/>
    <n v="3"/>
  </r>
  <r>
    <s v="DEP-A0-1311"/>
    <x v="0"/>
    <n v="34"/>
    <x v="0"/>
    <s v="Vestido"/>
    <s v="Blanco"/>
    <s v="Puma"/>
    <s v="MER-A0-1311"/>
    <d v="2024-10-28T00:00:00"/>
    <x v="0"/>
    <n v="73.760000000000005"/>
    <n v="0.2"/>
    <n v="117.29"/>
    <x v="1"/>
    <s v="Sí"/>
    <d v="2025-04-26T00:00:00"/>
    <n v="3"/>
  </r>
  <r>
    <s v="DEP-A0-0696"/>
    <x v="0"/>
    <n v="28"/>
    <x v="0"/>
    <s v="Pantalón"/>
    <s v="Azul"/>
    <s v="Levis"/>
    <s v="MER-A0-0696"/>
    <d v="2024-12-10T00:00:00"/>
    <x v="0"/>
    <n v="66.05"/>
    <n v="0.1"/>
    <n v="51.079000000000001"/>
    <x v="1"/>
    <s v="Sí"/>
    <d v="2024-12-13T00:00:00"/>
    <n v="3"/>
  </r>
  <r>
    <s v="DEP-A0-0028"/>
    <x v="0"/>
    <n v="29"/>
    <x v="0"/>
    <s v="Camisa"/>
    <s v="Azul"/>
    <s v="Mango"/>
    <s v="MER-A0-0028"/>
    <d v="2024-08-27T00:00:00"/>
    <x v="0"/>
    <n v="74.78"/>
    <n v="0.2"/>
    <n v="113.121"/>
    <x v="1"/>
    <s v="Sí"/>
    <d v="2025-08-22T00:00:00"/>
    <n v="3"/>
  </r>
  <r>
    <s v="DEP-A0-1912"/>
    <x v="0"/>
    <n v="25"/>
    <x v="0"/>
    <s v="Falda"/>
    <s v="Rojo"/>
    <s v="Tommy"/>
    <s v="MER-A0-1912"/>
    <d v="2024-06-19T00:00:00"/>
    <x v="0"/>
    <n v="85.93"/>
    <n v="0.3"/>
    <n v="43.951999999999998"/>
    <x v="1"/>
    <s v="Sí"/>
    <d v="2025-03-16T00:00:00"/>
    <n v="3"/>
  </r>
  <r>
    <s v="DEP-A0-3169"/>
    <x v="0"/>
    <n v="33"/>
    <x v="0"/>
    <s v="Camisa"/>
    <s v="Amarillo"/>
    <s v="Zara"/>
    <s v="MER-A0-3169"/>
    <d v="2024-12-08T00:00:00"/>
    <x v="0"/>
    <n v="88.14"/>
    <n v="0.3"/>
    <n v="34.72"/>
    <x v="1"/>
    <s v="Sí"/>
    <d v="2025-05-28T00:00:00"/>
    <n v="3"/>
  </r>
  <r>
    <s v="DEP-A0-2071"/>
    <x v="0"/>
    <n v="22"/>
    <x v="0"/>
    <s v="Falda"/>
    <s v="Gris"/>
    <s v="Nike"/>
    <s v="MER-A0-2071"/>
    <d v="2024-09-07T00:00:00"/>
    <x v="0"/>
    <n v="90.31"/>
    <n v="0.3"/>
    <n v="183.26"/>
    <x v="1"/>
    <s v="Sí"/>
    <d v="2025-09-02T00:00:00"/>
    <n v="3"/>
  </r>
  <r>
    <s v="DEP-A0-2977"/>
    <x v="1"/>
    <n v="31"/>
    <x v="0"/>
    <s v="Pantalón"/>
    <s v="Rojo"/>
    <s v="Nike"/>
    <s v="MER-A0-2977"/>
    <d v="2024-06-19T00:00:00"/>
    <x v="0"/>
    <n v="90.6"/>
    <n v="0.3"/>
    <n v="60.064"/>
    <x v="1"/>
    <s v="Sí"/>
    <d v="2024-09-17T00:00:00"/>
    <n v="3"/>
  </r>
  <r>
    <s v="DEP-A0-3790"/>
    <x v="0"/>
    <n v="20"/>
    <x v="0"/>
    <s v="Blusa"/>
    <s v="Gris"/>
    <s v="Mango"/>
    <s v="MER-A0-3790"/>
    <d v="2024-12-23T00:00:00"/>
    <x v="0"/>
    <n v="63.67"/>
    <n v="0"/>
    <n v="11.423999999999999"/>
    <x v="1"/>
    <s v="Sí"/>
    <d v="2024-04-08T00:00:00"/>
    <n v="3"/>
  </r>
  <r>
    <s v="DEP-A0-0917"/>
    <x v="0"/>
    <n v="31"/>
    <x v="0"/>
    <s v="Pantalón"/>
    <s v="Azul"/>
    <s v="Levis"/>
    <s v="MER-A0-0917"/>
    <d v="2024-12-10T00:00:00"/>
    <x v="0"/>
    <n v="91.27"/>
    <n v="0.3"/>
    <n v="176.38200000000001"/>
    <x v="1"/>
    <s v="Sí"/>
    <d v="2025-06-11T00:00:00"/>
    <n v="3"/>
  </r>
  <r>
    <s v="DEP-A0-0970"/>
    <x v="1"/>
    <n v="26"/>
    <x v="0"/>
    <s v="Chaqueta"/>
    <s v="Verde"/>
    <s v="Nike"/>
    <s v="MER-A0-0970"/>
    <d v="2024-06-21T00:00:00"/>
    <x v="0"/>
    <n v="93.73"/>
    <n v="0.3"/>
    <n v="61.165999999999997"/>
    <x v="1"/>
    <s v="Sí"/>
    <d v="2025-03-18T00:00:00"/>
    <n v="3"/>
  </r>
  <r>
    <s v="DEP-A0-2036"/>
    <x v="0"/>
    <n v="18"/>
    <x v="0"/>
    <s v="Falda"/>
    <s v="Verde"/>
    <s v="Levis"/>
    <s v="MER-A0-2036"/>
    <d v="2024-11-01T00:00:00"/>
    <x v="0"/>
    <n v="95.44"/>
    <n v="0.3"/>
    <n v="59.87"/>
    <x v="1"/>
    <s v="Sí"/>
    <d v="2025-04-30T00:00:00"/>
    <n v="3"/>
  </r>
  <r>
    <s v="DEP-A0-1798"/>
    <x v="0"/>
    <n v="33"/>
    <x v="0"/>
    <s v="Vestido"/>
    <s v="Negro"/>
    <s v="Zara"/>
    <s v="MER-A0-1798"/>
    <d v="2024-07-08T00:00:00"/>
    <x v="0"/>
    <n v="74.58"/>
    <n v="0.1"/>
    <n v="49.55"/>
    <x v="1"/>
    <s v="Sí"/>
    <d v="2025-07-03T00:00:00"/>
    <n v="3"/>
  </r>
  <r>
    <s v="DEP-A0-3414"/>
    <x v="0"/>
    <n v="31"/>
    <x v="0"/>
    <s v="Blusa"/>
    <s v="Verde"/>
    <s v="Tommy"/>
    <s v="MER-A0-3414"/>
    <d v="2024-09-12T00:00:00"/>
    <x v="0"/>
    <n v="74.88"/>
    <n v="0.1"/>
    <n v="22.393000000000001"/>
    <x v="1"/>
    <s v="Sí"/>
    <d v="2025-09-07T00:00:00"/>
    <n v="3"/>
  </r>
  <r>
    <s v="DEP-A0-1471"/>
    <x v="1"/>
    <n v="24"/>
    <x v="0"/>
    <s v="Camisa"/>
    <s v="Rojo"/>
    <s v="Puma"/>
    <s v="MER-A0-1471"/>
    <d v="2024-08-09T00:00:00"/>
    <x v="0"/>
    <n v="77.27"/>
    <n v="0.1"/>
    <n v="11.599"/>
    <x v="1"/>
    <s v="Sí"/>
    <d v="2024-11-07T00:00:00"/>
    <n v="3"/>
  </r>
  <r>
    <s v="DEP-A0-2408"/>
    <x v="0"/>
    <n v="27"/>
    <x v="0"/>
    <s v="Falda"/>
    <s v="Amarillo"/>
    <s v="Adidas"/>
    <s v="MER-A0-2408"/>
    <d v="2024-02-13T00:00:00"/>
    <x v="0"/>
    <n v="69.67"/>
    <n v="0"/>
    <n v="41.265000000000001"/>
    <x v="1"/>
    <s v="Sí"/>
    <d v="2025-02-07T00:00:00"/>
    <n v="3"/>
  </r>
  <r>
    <s v="DEP-A0-3064"/>
    <x v="0"/>
    <n v="34"/>
    <x v="0"/>
    <s v="Blusa"/>
    <s v="Gris"/>
    <s v="Adidas"/>
    <s v="MER-A0-3064"/>
    <d v="2024-03-30T00:00:00"/>
    <x v="0"/>
    <n v="88.01"/>
    <n v="0.2"/>
    <n v="45.263999999999996"/>
    <x v="1"/>
    <s v="Sí"/>
    <d v="2025-03-25T00:00:00"/>
    <n v="12"/>
  </r>
  <r>
    <s v="DEP-A0-0693"/>
    <x v="1"/>
    <n v="31"/>
    <x v="0"/>
    <s v="Pantalón"/>
    <s v="Rojo"/>
    <s v="Mango"/>
    <s v="MER-A0-0693"/>
    <d v="2024-08-14T00:00:00"/>
    <x v="0"/>
    <n v="103.6"/>
    <n v="0.3"/>
    <n v="11.616"/>
    <x v="1"/>
    <s v="Sí"/>
    <d v="2025-02-10T00:00:00"/>
    <n v="6"/>
  </r>
  <r>
    <s v="DEP-A0-3309"/>
    <x v="0"/>
    <n v="26"/>
    <x v="0"/>
    <s v="Zapatos"/>
    <s v="Gris"/>
    <s v="Mango"/>
    <s v="MER-A0-3309"/>
    <d v="2024-09-30T00:00:00"/>
    <x v="0"/>
    <n v="104.3"/>
    <n v="0.3"/>
    <n v="91.899000000000001"/>
    <x v="1"/>
    <s v="Sí"/>
    <d v="2025-03-29T00:00:00"/>
    <n v="6"/>
  </r>
  <r>
    <s v="DEP-A0-0175"/>
    <x v="0"/>
    <n v="25"/>
    <x v="0"/>
    <s v="Pantalón"/>
    <s v="Blanco"/>
    <s v="Adidas"/>
    <s v="MER-A0-0175"/>
    <d v="2024-02-07T00:00:00"/>
    <x v="0"/>
    <n v="93.37"/>
    <n v="0.2"/>
    <n v="69.28"/>
    <x v="1"/>
    <s v="Sí"/>
    <d v="2025-02-01T00:00:00"/>
    <n v="12"/>
  </r>
  <r>
    <s v="DEP-A0-0290"/>
    <x v="1"/>
    <n v="30"/>
    <x v="0"/>
    <s v="Pantalón"/>
    <s v="Rojo"/>
    <s v="Mango"/>
    <s v="MER-A0-0290"/>
    <d v="2024-03-03T00:00:00"/>
    <x v="0"/>
    <n v="110.83"/>
    <n v="0.3"/>
    <n v="33.948"/>
    <x v="1"/>
    <s v="Sí"/>
    <d v="2024-08-30T00:00:00"/>
    <n v="6"/>
  </r>
  <r>
    <s v="DEP-A0-3736"/>
    <x v="1"/>
    <n v="30"/>
    <x v="0"/>
    <s v="Chaqueta"/>
    <s v="Azul"/>
    <s v="Nike"/>
    <s v="MER-A0-3736"/>
    <d v="2024-08-20T00:00:00"/>
    <x v="0"/>
    <n v="111.92"/>
    <n v="0.3"/>
    <n v="51.786000000000001"/>
    <x v="1"/>
    <s v="Sí"/>
    <d v="2024-11-18T00:00:00"/>
    <n v="3"/>
  </r>
  <r>
    <s v="DEP-A0-1126"/>
    <x v="1"/>
    <n v="32"/>
    <x v="0"/>
    <s v="Camisa"/>
    <s v="Verde"/>
    <s v="Tommy"/>
    <s v="MER-A0-1126"/>
    <d v="2024-12-09T00:00:00"/>
    <x v="0"/>
    <n v="79.06"/>
    <n v="0"/>
    <n v="27.180999999999997"/>
    <x v="1"/>
    <s v="Sí"/>
    <d v="2025-03-04T00:00:00"/>
    <n v="9"/>
  </r>
  <r>
    <s v="DEP-A0-2017"/>
    <x v="0"/>
    <n v="19"/>
    <x v="0"/>
    <s v="Zapatos"/>
    <s v="Azul"/>
    <s v="Tommy"/>
    <s v="MER-A0-2017"/>
    <d v="2024-09-17T00:00:00"/>
    <x v="0"/>
    <n v="113.35"/>
    <n v="0.3"/>
    <n v="159.255"/>
    <x v="1"/>
    <s v="Sí"/>
    <d v="2025-03-16T00:00:00"/>
    <n v="6"/>
  </r>
  <r>
    <s v="DEP-A0-2709"/>
    <x v="0"/>
    <n v="25"/>
    <x v="0"/>
    <s v="Pantalón"/>
    <s v="Azul"/>
    <s v="Adidas"/>
    <s v="MER-A0-2709"/>
    <d v="2024-03-02T00:00:00"/>
    <x v="0"/>
    <n v="80.33"/>
    <n v="0"/>
    <n v="71.790000000000006"/>
    <x v="1"/>
    <s v="Sí"/>
    <d v="2024-05-31T00:00:00"/>
    <n v="3"/>
  </r>
  <r>
    <s v="DEP-A0-1990"/>
    <x v="0"/>
    <n v="21"/>
    <x v="0"/>
    <s v="Blusa"/>
    <s v="Gris"/>
    <s v="Zara"/>
    <s v="MER-A0-1990"/>
    <d v="2024-10-18T00:00:00"/>
    <x v="0"/>
    <n v="116.17"/>
    <n v="0.3"/>
    <n v="117.80099999999999"/>
    <x v="1"/>
    <s v="Sí"/>
    <d v="2025-01-16T00:00:00"/>
    <n v="3"/>
  </r>
  <r>
    <s v="DEP-A0-3648"/>
    <x v="0"/>
    <n v="26"/>
    <x v="0"/>
    <s v="Camisa"/>
    <s v="Azul"/>
    <s v="Mango"/>
    <s v="MER-A0-3648"/>
    <d v="2024-06-12T00:00:00"/>
    <x v="0"/>
    <n v="116.48"/>
    <n v="0.3"/>
    <n v="155.072"/>
    <x v="1"/>
    <s v="Sí"/>
    <d v="2025-03-09T00:00:00"/>
    <n v="9"/>
  </r>
  <r>
    <s v="DEP-A0-3572"/>
    <x v="0"/>
    <n v="29"/>
    <x v="0"/>
    <s v="Blusa"/>
    <s v="Verde"/>
    <s v="Levis"/>
    <s v="MER-A0-3572"/>
    <d v="2024-12-05T00:00:00"/>
    <x v="0"/>
    <n v="81.61"/>
    <n v="0"/>
    <n v="22.315999999999999"/>
    <x v="1"/>
    <s v="Sí"/>
    <d v="2025-03-05T00:00:00"/>
    <n v="3"/>
  </r>
  <r>
    <s v="DEP-A0-0752"/>
    <x v="0"/>
    <n v="20"/>
    <x v="0"/>
    <s v="Blusa"/>
    <s v="Blanco"/>
    <s v="Zara"/>
    <s v="MER-A0-0752"/>
    <d v="2024-11-28T00:00:00"/>
    <x v="0"/>
    <n v="104.43"/>
    <n v="0.2"/>
    <n v="62.517000000000003"/>
    <x v="1"/>
    <s v="Sí"/>
    <d v="2025-04-04T00:00:00"/>
    <n v="9"/>
  </r>
  <r>
    <s v="DEP-A0-1438"/>
    <x v="0"/>
    <n v="21"/>
    <x v="0"/>
    <s v="Zapatos"/>
    <s v="Rojo"/>
    <s v="Nike"/>
    <s v="MER-A0-1438"/>
    <d v="2024-04-24T00:00:00"/>
    <x v="0"/>
    <n v="84.1"/>
    <n v="0"/>
    <n v="114.45"/>
    <x v="1"/>
    <s v="Sí"/>
    <d v="2025-01-19T00:00:00"/>
    <n v="9"/>
  </r>
  <r>
    <s v="DEP-A0-0372"/>
    <x v="0"/>
    <n v="32"/>
    <x v="0"/>
    <s v="Falda"/>
    <s v="Gris"/>
    <s v="Adidas"/>
    <s v="MER-A0-0372"/>
    <d v="2024-11-01T00:00:00"/>
    <x v="0"/>
    <n v="93.87"/>
    <n v="0.1"/>
    <n v="56.021000000000001"/>
    <x v="1"/>
    <s v="Sí"/>
    <d v="2025-04-30T00:00:00"/>
    <n v="6"/>
  </r>
  <r>
    <s v="DEP-A0-2283"/>
    <x v="0"/>
    <n v="20"/>
    <x v="0"/>
    <s v="Zapatos"/>
    <s v="Amarillo"/>
    <s v="Adidas"/>
    <s v="MER-A0-2283"/>
    <d v="2024-10-13T00:00:00"/>
    <x v="0"/>
    <n v="98.3"/>
    <n v="0.1"/>
    <n v="27.312000000000001"/>
    <x v="1"/>
    <s v="Sí"/>
    <d v="2025-10-08T00:00:00"/>
    <n v="12"/>
  </r>
  <r>
    <s v="DEP-A0-0430"/>
    <x v="1"/>
    <n v="20"/>
    <x v="0"/>
    <s v="Pantalón"/>
    <s v="Amarillo"/>
    <s v="Tommy"/>
    <s v="MER-A0-0430"/>
    <d v="2024-11-22T00:00:00"/>
    <x v="0"/>
    <n v="127.01"/>
    <n v="0.3"/>
    <n v="122.224"/>
    <x v="1"/>
    <s v="Sí"/>
    <d v="2025-03-22T00:00:00"/>
    <n v="9"/>
  </r>
  <r>
    <s v="DEP-A0-4966"/>
    <x v="0"/>
    <n v="23"/>
    <x v="0"/>
    <s v="Vestido"/>
    <s v="Azul"/>
    <s v="Tommy"/>
    <s v="MER-A0-4966"/>
    <d v="2024-02-05T00:00:00"/>
    <x v="0"/>
    <n v="90.28"/>
    <n v="0"/>
    <n v="85.427999999999997"/>
    <x v="1"/>
    <s v="Sí"/>
    <d v="2024-08-03T00:00:00"/>
    <n v="6"/>
  </r>
  <r>
    <s v="DEP-A0-0711"/>
    <x v="0"/>
    <n v="30"/>
    <x v="0"/>
    <s v="Zapatos"/>
    <s v="Azul"/>
    <s v="Puma"/>
    <s v="MER-A0-0711"/>
    <d v="2024-12-23T00:00:00"/>
    <x v="0"/>
    <n v="129.31"/>
    <n v="0.3"/>
    <n v="146.41"/>
    <x v="1"/>
    <s v="Sí"/>
    <d v="2024-12-28T00:00:00"/>
    <n v="12"/>
  </r>
  <r>
    <s v="DEP-A0-2018"/>
    <x v="0"/>
    <n v="31"/>
    <x v="0"/>
    <s v="Blusa"/>
    <s v="Rojo"/>
    <s v="Mango"/>
    <s v="MER-A0-2018"/>
    <d v="2024-12-06T00:00:00"/>
    <x v="0"/>
    <n v="129.44"/>
    <n v="0.3"/>
    <n v="143.43299999999999"/>
    <x v="1"/>
    <s v="Sí"/>
    <d v="2025-12-01T00:00:00"/>
    <n v="12"/>
  </r>
  <r>
    <s v="DEP-A0-3436"/>
    <x v="1"/>
    <n v="34"/>
    <x v="0"/>
    <s v="Pantalón"/>
    <s v="Verde"/>
    <s v="Mango"/>
    <s v="MER-A0-3436"/>
    <d v="2024-07-29T00:00:00"/>
    <x v="0"/>
    <n v="91.03"/>
    <n v="0"/>
    <n v="26.407999999999998"/>
    <x v="1"/>
    <s v="Sí"/>
    <d v="2025-01-25T00:00:00"/>
    <n v="6"/>
  </r>
  <r>
    <s v="DEP-A0-4281"/>
    <x v="0"/>
    <n v="28"/>
    <x v="0"/>
    <s v="Zapatos"/>
    <s v="Negro"/>
    <s v="Mango"/>
    <s v="MER-A0-4281"/>
    <d v="2024-12-14T00:00:00"/>
    <x v="0"/>
    <n v="114.11"/>
    <n v="0.2"/>
    <n v="44.695"/>
    <x v="1"/>
    <s v="Sí"/>
    <d v="2025-03-14T00:00:00"/>
    <n v="3"/>
  </r>
  <r>
    <s v="DEP-A0-1273"/>
    <x v="0"/>
    <n v="24"/>
    <x v="0"/>
    <s v="Blusa"/>
    <s v="Blanco"/>
    <s v="Zara"/>
    <s v="MER-A0-1273"/>
    <d v="2024-02-19T00:00:00"/>
    <x v="0"/>
    <n v="101.68"/>
    <n v="0.1"/>
    <n v="56.967999999999996"/>
    <x v="1"/>
    <s v="Sí"/>
    <d v="2024-11-15T00:00:00"/>
    <n v="9"/>
  </r>
  <r>
    <s v="DEP-A0-2064"/>
    <x v="0"/>
    <n v="35"/>
    <x v="0"/>
    <s v="Zapatos"/>
    <s v="Azul"/>
    <s v="Adidas"/>
    <s v="MER-A0-2064"/>
    <d v="2024-09-21T00:00:00"/>
    <x v="0"/>
    <n v="131.11000000000001"/>
    <n v="0.3"/>
    <n v="58.771999999999991"/>
    <x v="1"/>
    <s v="Sí"/>
    <d v="2025-03-20T00:00:00"/>
    <n v="6"/>
  </r>
  <r>
    <s v="DEP-A0-2969"/>
    <x v="1"/>
    <n v="21"/>
    <x v="0"/>
    <s v="Zapatos"/>
    <s v="Verde"/>
    <s v="Tommy"/>
    <s v="MER-A0-2969"/>
    <d v="2024-12-10T00:00:00"/>
    <x v="0"/>
    <n v="131.22"/>
    <n v="0.3"/>
    <n v="92.961000000000013"/>
    <x v="1"/>
    <s v="Sí"/>
    <d v="2024-12-05T00:00:00"/>
    <n v="6"/>
  </r>
  <r>
    <s v="DEP-A0-1439"/>
    <x v="0"/>
    <n v="23"/>
    <x v="0"/>
    <s v="Blusa"/>
    <s v="Azul"/>
    <s v="Puma"/>
    <s v="MER-A0-1439"/>
    <d v="2024-11-17T00:00:00"/>
    <x v="0"/>
    <n v="134.34"/>
    <n v="0.3"/>
    <n v="147.61799999999999"/>
    <x v="1"/>
    <s v="Sí"/>
    <d v="2025-02-15T00:00:00"/>
    <n v="3"/>
  </r>
  <r>
    <s v="DEP-A0-2178"/>
    <x v="0"/>
    <n v="33"/>
    <x v="0"/>
    <s v="Camisa"/>
    <s v="Blanco"/>
    <s v="Adidas"/>
    <s v="MER-A0-2178"/>
    <d v="2024-09-28T00:00:00"/>
    <x v="0"/>
    <n v="94.22"/>
    <n v="0"/>
    <n v="122.54900000000001"/>
    <x v="1"/>
    <s v="Sí"/>
    <d v="2025-03-27T00:00:00"/>
    <n v="6"/>
  </r>
  <r>
    <s v="DEP-A0-3543"/>
    <x v="0"/>
    <n v="35"/>
    <x v="0"/>
    <s v="Vestido"/>
    <s v="Azul"/>
    <s v="Tommy"/>
    <s v="MER-A0-3543"/>
    <d v="2024-05-22T00:00:00"/>
    <x v="0"/>
    <n v="119.2"/>
    <n v="0.2"/>
    <n v="37.020000000000003"/>
    <x v="1"/>
    <s v="Sí"/>
    <d v="2025-05-17T00:00:00"/>
    <n v="12"/>
  </r>
  <r>
    <s v="DEP-A0-0928"/>
    <x v="0"/>
    <n v="23"/>
    <x v="0"/>
    <s v="Pantalón"/>
    <s v="Negro"/>
    <s v="Nike"/>
    <s v="MER-A0-0928"/>
    <d v="2024-09-27T00:00:00"/>
    <x v="0"/>
    <n v="121.74"/>
    <n v="0.2"/>
    <n v="62.315999999999995"/>
    <x v="1"/>
    <s v="Sí"/>
    <d v="2024-12-26T00:00:00"/>
    <n v="3"/>
  </r>
  <r>
    <s v="DEP-A0-1695"/>
    <x v="0"/>
    <n v="21"/>
    <x v="0"/>
    <s v="Camisa"/>
    <s v="Verde"/>
    <s v="Levis"/>
    <s v="MER-A0-1695"/>
    <d v="2024-02-23T00:00:00"/>
    <x v="0"/>
    <n v="139.88999999999999"/>
    <n v="0.3"/>
    <n v="100.68"/>
    <x v="1"/>
    <s v="Sí"/>
    <d v="2024-05-23T00:00:00"/>
    <n v="3"/>
  </r>
  <r>
    <s v="DEP-A0-3529"/>
    <x v="0"/>
    <n v="21"/>
    <x v="0"/>
    <s v="Falda"/>
    <s v="Azul"/>
    <s v="Zara"/>
    <s v="MER-A0-3529"/>
    <d v="2024-07-07T00:00:00"/>
    <x v="0"/>
    <n v="98.39"/>
    <n v="0"/>
    <n v="114.48"/>
    <x v="1"/>
    <s v="Sí"/>
    <d v="2025-04-03T00:00:00"/>
    <n v="9"/>
  </r>
  <r>
    <s v="DEP-A0-0051"/>
    <x v="1"/>
    <n v="26"/>
    <x v="0"/>
    <s v="Zapatos"/>
    <s v="Verde"/>
    <s v="Tommy"/>
    <s v="MER-A0-0051"/>
    <d v="2024-12-09T00:00:00"/>
    <x v="0"/>
    <n v="109.48"/>
    <n v="0.1"/>
    <n v="91.203000000000003"/>
    <x v="1"/>
    <s v="Sí"/>
    <d v="2024-11-30T00:00:00"/>
    <n v="6"/>
  </r>
  <r>
    <s v="DEP-A0-0638"/>
    <x v="0"/>
    <n v="26"/>
    <x v="0"/>
    <s v="Falda"/>
    <s v="Amarillo"/>
    <s v="Puma"/>
    <s v="MER-A0-0638"/>
    <d v="2024-10-31T00:00:00"/>
    <x v="0"/>
    <n v="99.71"/>
    <n v="0"/>
    <n v="122.36800000000001"/>
    <x v="1"/>
    <s v="Sí"/>
    <d v="2025-10-26T00:00:00"/>
    <n v="12"/>
  </r>
  <r>
    <s v="DEP-A0-1247"/>
    <x v="0"/>
    <n v="25"/>
    <x v="0"/>
    <s v="Camisa"/>
    <s v="Azul"/>
    <s v="Mango"/>
    <s v="MER-A0-1247"/>
    <d v="2024-10-26T00:00:00"/>
    <x v="0"/>
    <n v="124.77"/>
    <n v="0.2"/>
    <n v="122.376"/>
    <x v="1"/>
    <s v="Sí"/>
    <d v="2025-10-21T00:00:00"/>
    <n v="12"/>
  </r>
  <r>
    <s v="DEP-A0-3729"/>
    <x v="1"/>
    <n v="22"/>
    <x v="0"/>
    <s v="Chaqueta"/>
    <s v="Azul"/>
    <s v="Adidas"/>
    <s v="MER-A0-3729"/>
    <d v="2024-02-14T00:00:00"/>
    <x v="0"/>
    <n v="142.66999999999999"/>
    <n v="0.3"/>
    <n v="108.23400000000001"/>
    <x v="1"/>
    <s v="Sí"/>
    <d v="2024-11-10T00:00:00"/>
    <n v="9"/>
  </r>
  <r>
    <s v="DEP-A0-1852"/>
    <x v="0"/>
    <n v="19"/>
    <x v="0"/>
    <s v="Falda"/>
    <s v="Amarillo"/>
    <s v="Mango"/>
    <s v="MER-A0-1852"/>
    <d v="2024-01-29T00:00:00"/>
    <x v="0"/>
    <n v="144.44999999999999"/>
    <n v="0.3"/>
    <n v="17.72"/>
    <x v="1"/>
    <s v="Sí"/>
    <d v="2024-10-25T00:00:00"/>
    <n v="9"/>
  </r>
  <r>
    <s v="DEP-A0-2642"/>
    <x v="1"/>
    <n v="23"/>
    <x v="0"/>
    <s v="Pantalón"/>
    <s v="Blanco"/>
    <s v="Puma"/>
    <s v="MER-A0-2642"/>
    <d v="2024-11-13T00:00:00"/>
    <x v="0"/>
    <n v="144.77000000000001"/>
    <n v="0.3"/>
    <n v="21.055999999999997"/>
    <x v="1"/>
    <s v="Sí"/>
    <d v="2025-05-12T00:00:00"/>
    <n v="6"/>
  </r>
  <r>
    <s v="DEP-A0-4885"/>
    <x v="0"/>
    <n v="23"/>
    <x v="0"/>
    <s v="Vestido"/>
    <s v="Verde"/>
    <s v="Tommy"/>
    <s v="MER-A0-4885"/>
    <d v="2024-05-13T00:00:00"/>
    <x v="0"/>
    <n v="144.99"/>
    <n v="0.3"/>
    <n v="53.64"/>
    <x v="1"/>
    <s v="Sí"/>
    <d v="2024-08-11T00:00:00"/>
    <n v="3"/>
  </r>
  <r>
    <s v="DEP-A0-4550"/>
    <x v="1"/>
    <n v="29"/>
    <x v="0"/>
    <s v="Zapatos"/>
    <s v="Verde"/>
    <s v="Adidas"/>
    <s v="MER-A0-4550"/>
    <d v="2024-11-28T00:00:00"/>
    <x v="0"/>
    <n v="102.08"/>
    <n v="0"/>
    <n v="75.528000000000006"/>
    <x v="1"/>
    <s v="Sí"/>
    <d v="2024-10-04T00:00:00"/>
    <n v="3"/>
  </r>
  <r>
    <s v="DEP-A0-4498"/>
    <x v="0"/>
    <n v="22"/>
    <x v="0"/>
    <s v="Chaqueta"/>
    <s v="Rojo"/>
    <s v="Zara"/>
    <s v="MER-A0-4498"/>
    <d v="2024-12-08T00:00:00"/>
    <x v="0"/>
    <n v="115.51"/>
    <n v="0.1"/>
    <n v="142.19999999999999"/>
    <x v="1"/>
    <s v="Sí"/>
    <d v="2025-02-26T00:00:00"/>
    <n v="9"/>
  </r>
  <r>
    <s v="DEP-A0-3376"/>
    <x v="1"/>
    <n v="21"/>
    <x v="0"/>
    <s v="Zapatos"/>
    <s v="Verde"/>
    <s v="Tommy"/>
    <s v="MER-A0-3376"/>
    <d v="2024-09-08T00:00:00"/>
    <x v="0"/>
    <n v="149.58000000000001"/>
    <n v="0.3"/>
    <n v="123.71099999999998"/>
    <x v="1"/>
    <s v="Sí"/>
    <d v="2024-12-07T00:00:00"/>
    <n v="3"/>
  </r>
  <r>
    <s v="DEP-A0-0004"/>
    <x v="0"/>
    <n v="18"/>
    <x v="0"/>
    <s v="Falda"/>
    <s v="Negro"/>
    <s v="Mango"/>
    <s v="MER-A0-0004"/>
    <d v="2024-09-15T00:00:00"/>
    <x v="0"/>
    <n v="116.6"/>
    <n v="0.1"/>
    <n v="141.38399999999999"/>
    <x v="1"/>
    <s v="Sí"/>
    <d v="2024-12-14T00:00:00"/>
    <n v="3"/>
  </r>
  <r>
    <s v="DEP-A0-2068"/>
    <x v="0"/>
    <n v="28"/>
    <x v="0"/>
    <s v="Zapatos"/>
    <s v="Rojo"/>
    <s v="Tommy"/>
    <s v="MER-A0-2068"/>
    <d v="2024-12-10T00:00:00"/>
    <x v="0"/>
    <n v="117.68"/>
    <n v="0.1"/>
    <n v="178.07400000000001"/>
    <x v="1"/>
    <s v="Sí"/>
    <d v="2024-12-06T00:00:00"/>
    <n v="6"/>
  </r>
  <r>
    <s v="DEP-A0-4707"/>
    <x v="1"/>
    <n v="21"/>
    <x v="0"/>
    <s v="Chaqueta"/>
    <s v="Negro"/>
    <s v="Adidas"/>
    <s v="MER-A0-4707"/>
    <d v="2024-03-03T00:00:00"/>
    <x v="0"/>
    <n v="106.52"/>
    <n v="0"/>
    <n v="22.338000000000001"/>
    <x v="1"/>
    <s v="Sí"/>
    <d v="2024-06-01T00:00:00"/>
    <n v="3"/>
  </r>
  <r>
    <s v="DEP-A0-0064"/>
    <x v="0"/>
    <n v="34"/>
    <x v="0"/>
    <s v="Camisa"/>
    <s v="Gris"/>
    <s v="Levis"/>
    <s v="MER-A0-0064"/>
    <d v="2024-03-30T00:00:00"/>
    <x v="0"/>
    <n v="133.16999999999999"/>
    <n v="0.2"/>
    <n v="18.640999999999998"/>
    <x v="1"/>
    <s v="Sí"/>
    <d v="2024-09-26T00:00:00"/>
    <n v="6"/>
  </r>
  <r>
    <s v="DEP-A0-0075"/>
    <x v="0"/>
    <n v="23"/>
    <x v="0"/>
    <s v="Blusa"/>
    <s v="Rojo"/>
    <s v="Puma"/>
    <s v="MER-A0-0075"/>
    <d v="2024-11-22T00:00:00"/>
    <x v="0"/>
    <n v="106.95"/>
    <n v="0"/>
    <n v="25.065000000000001"/>
    <x v="1"/>
    <s v="Sí"/>
    <d v="2025-02-20T00:00:00"/>
    <n v="3"/>
  </r>
  <r>
    <s v="DEP-A0-0066"/>
    <x v="0"/>
    <n v="20"/>
    <x v="0"/>
    <s v="Blusa"/>
    <s v="Amarillo"/>
    <s v="Zara"/>
    <s v="MER-A0-0066"/>
    <d v="2024-04-08T00:00:00"/>
    <x v="0"/>
    <n v="106.99"/>
    <n v="0"/>
    <n v="34.56"/>
    <x v="1"/>
    <s v="Sí"/>
    <d v="2024-07-07T00:00:00"/>
    <n v="3"/>
  </r>
  <r>
    <s v="DEP-A0-0405"/>
    <x v="0"/>
    <n v="33"/>
    <x v="0"/>
    <s v="Vestido"/>
    <s v="Gris"/>
    <s v="Puma"/>
    <s v="MER-A0-0405"/>
    <d v="2024-11-30T00:00:00"/>
    <x v="0"/>
    <n v="107.53"/>
    <n v="0"/>
    <n v="39.774000000000001"/>
    <x v="1"/>
    <s v="Sí"/>
    <d v="2025-05-29T00:00:00"/>
    <n v="6"/>
  </r>
  <r>
    <s v="DEP-A0-0137"/>
    <x v="0"/>
    <n v="19"/>
    <x v="0"/>
    <s v="Falda"/>
    <s v="Negro"/>
    <s v="Mango"/>
    <s v="MER-A0-0137"/>
    <d v="2024-11-22T00:00:00"/>
    <x v="0"/>
    <n v="119.51"/>
    <n v="0.1"/>
    <n v="40.158999999999999"/>
    <x v="1"/>
    <s v="Sí"/>
    <d v="2025-03-17T00:00:00"/>
    <n v="9"/>
  </r>
  <r>
    <s v="DEP-A0-4384"/>
    <x v="1"/>
    <n v="19"/>
    <x v="0"/>
    <s v="Chaqueta"/>
    <s v="Rojo"/>
    <s v="Nike"/>
    <s v="MER-A0-4384"/>
    <d v="2024-05-21T00:00:00"/>
    <x v="0"/>
    <n v="158.19"/>
    <n v="0.3"/>
    <n v="79.722999999999999"/>
    <x v="1"/>
    <s v="Sí"/>
    <d v="2025-05-16T00:00:00"/>
    <n v="12"/>
  </r>
  <r>
    <s v="DEP-A0-4024"/>
    <x v="1"/>
    <n v="35"/>
    <x v="0"/>
    <s v="Pantalón"/>
    <s v="Amarillo"/>
    <s v="Puma"/>
    <s v="MER-A0-4024"/>
    <d v="2024-10-14T00:00:00"/>
    <x v="0"/>
    <n v="111.01"/>
    <n v="0"/>
    <n v="100.872"/>
    <x v="1"/>
    <s v="Sí"/>
    <d v="2025-07-11T00:00:00"/>
    <n v="9"/>
  </r>
  <r>
    <s v="DEP-A0-2128"/>
    <x v="1"/>
    <n v="24"/>
    <x v="0"/>
    <s v="Pantalón"/>
    <s v="Blanco"/>
    <s v="Adidas"/>
    <s v="MER-A0-2128"/>
    <d v="2024-07-06T00:00:00"/>
    <x v="0"/>
    <n v="159.31"/>
    <n v="0.3"/>
    <n v="140.01300000000001"/>
    <x v="1"/>
    <s v="Sí"/>
    <d v="2025-01-02T00:00:00"/>
    <n v="6"/>
  </r>
  <r>
    <s v="DEP-A0-4051"/>
    <x v="0"/>
    <n v="30"/>
    <x v="0"/>
    <s v="Camisa"/>
    <s v="Azul"/>
    <s v="Adidas"/>
    <s v="MER-A0-4051"/>
    <d v="2024-12-08T00:00:00"/>
    <x v="0"/>
    <n v="160.03"/>
    <n v="0.3"/>
    <n v="135.17599999999999"/>
    <x v="1"/>
    <s v="Sí"/>
    <d v="2025-03-08T00:00:00"/>
    <n v="3"/>
  </r>
  <r>
    <s v="DEP-A0-2306"/>
    <x v="0"/>
    <n v="33"/>
    <x v="0"/>
    <s v="Camisa"/>
    <s v="Amarillo"/>
    <s v="Puma"/>
    <s v="MER-A0-2306"/>
    <d v="2024-02-29T00:00:00"/>
    <x v="0"/>
    <n v="112.03"/>
    <n v="0"/>
    <n v="118.43299999999999"/>
    <x v="1"/>
    <s v="Sí"/>
    <d v="2024-05-29T00:00:00"/>
    <n v="3"/>
  </r>
  <r>
    <s v="DEP-A0-3910"/>
    <x v="0"/>
    <n v="20"/>
    <x v="0"/>
    <s v="Camisa"/>
    <s v="Verde"/>
    <s v="Levis"/>
    <s v="MER-A0-3910"/>
    <d v="2024-08-18T00:00:00"/>
    <x v="0"/>
    <n v="112.78"/>
    <n v="0"/>
    <n v="151.696"/>
    <x v="1"/>
    <s v="Sí"/>
    <d v="2025-02-14T00:00:00"/>
    <n v="6"/>
  </r>
  <r>
    <s v="DEP-A0-2099"/>
    <x v="1"/>
    <n v="19"/>
    <x v="0"/>
    <s v="Zapatos"/>
    <s v="Negro"/>
    <s v="Nike"/>
    <s v="MER-A0-2099"/>
    <d v="2024-09-12T00:00:00"/>
    <x v="0"/>
    <n v="142.49"/>
    <n v="0.2"/>
    <n v="34.504000000000005"/>
    <x v="1"/>
    <s v="Sí"/>
    <d v="2025-06-09T00:00:00"/>
    <n v="9"/>
  </r>
  <r>
    <s v="DEP-A0-3798"/>
    <x v="0"/>
    <n v="18"/>
    <x v="0"/>
    <s v="Chaqueta"/>
    <s v="Gris"/>
    <s v="Nike"/>
    <s v="MER-A0-3798"/>
    <d v="2024-04-13T00:00:00"/>
    <x v="0"/>
    <n v="142.93"/>
    <n v="0.2"/>
    <n v="45.86"/>
    <x v="1"/>
    <s v="Sí"/>
    <d v="2025-01-08T00:00:00"/>
    <n v="9"/>
  </r>
  <r>
    <s v="DEP-A0-3732"/>
    <x v="0"/>
    <n v="22"/>
    <x v="0"/>
    <s v="Blusa"/>
    <s v="Gris"/>
    <s v="Nike"/>
    <s v="MER-A0-3732"/>
    <d v="2024-02-14T00:00:00"/>
    <x v="0"/>
    <n v="143.21"/>
    <n v="0.2"/>
    <n v="33.572000000000003"/>
    <x v="1"/>
    <s v="Sí"/>
    <d v="2024-11-10T00:00:00"/>
    <n v="9"/>
  </r>
  <r>
    <s v="DEP-A0-4159"/>
    <x v="0"/>
    <n v="19"/>
    <x v="0"/>
    <s v="Zapatos"/>
    <s v="Negro"/>
    <s v="Mango"/>
    <s v="MER-A0-4159"/>
    <d v="2024-12-30T00:00:00"/>
    <x v="0"/>
    <n v="167.47"/>
    <n v="0.3"/>
    <n v="154.40799999999999"/>
    <x v="1"/>
    <s v="Sí"/>
    <d v="2025-06-28T00:00:00"/>
    <n v="6"/>
  </r>
  <r>
    <s v="DEP-A0-0748"/>
    <x v="1"/>
    <n v="19"/>
    <x v="0"/>
    <s v="Zapatos"/>
    <s v="Rojo"/>
    <s v="Tommy"/>
    <s v="MER-A0-0748"/>
    <d v="2024-10-15T00:00:00"/>
    <x v="0"/>
    <n v="171.18"/>
    <n v="0.3"/>
    <n v="16.86"/>
    <x v="1"/>
    <s v="Sí"/>
    <d v="2025-10-10T00:00:00"/>
    <n v="12"/>
  </r>
  <r>
    <s v="DEP-A0-4658"/>
    <x v="0"/>
    <n v="23"/>
    <x v="0"/>
    <s v="Vestido"/>
    <s v="Blanco"/>
    <s v="Tommy"/>
    <s v="MER-A0-4658"/>
    <d v="2024-12-23T00:00:00"/>
    <x v="0"/>
    <n v="119.99"/>
    <n v="0"/>
    <n v="19.831"/>
    <x v="1"/>
    <s v="Sí"/>
    <d v="2024-07-12T00:00:00"/>
    <n v="6"/>
  </r>
  <r>
    <s v="DEP-A0-1540"/>
    <x v="0"/>
    <n v="27"/>
    <x v="0"/>
    <s v="Falda"/>
    <s v="Negro"/>
    <s v="Zara"/>
    <s v="MER-A0-1540"/>
    <d v="2024-10-30T00:00:00"/>
    <x v="0"/>
    <n v="134.44"/>
    <n v="0.1"/>
    <n v="22.922999999999998"/>
    <x v="1"/>
    <s v="Sí"/>
    <d v="2025-04-28T00:00:00"/>
    <n v="6"/>
  </r>
  <r>
    <s v="DEP-A0-1305"/>
    <x v="1"/>
    <n v="34"/>
    <x v="0"/>
    <s v="Chaqueta"/>
    <s v="Amarillo"/>
    <s v="Zara"/>
    <s v="MER-A0-1305"/>
    <d v="2024-07-05T00:00:00"/>
    <x v="0"/>
    <n v="151.61000000000001"/>
    <n v="0.2"/>
    <n v="23.576000000000001"/>
    <x v="1"/>
    <s v="Sí"/>
    <d v="2024-10-03T00:00:00"/>
    <n v="3"/>
  </r>
  <r>
    <s v="DEP-A0-3791"/>
    <x v="1"/>
    <n v="20"/>
    <x v="0"/>
    <s v="Chaqueta"/>
    <s v="Azul"/>
    <s v="Adidas"/>
    <s v="MER-A0-3791"/>
    <d v="2024-06-17T00:00:00"/>
    <x v="0"/>
    <n v="121.45"/>
    <n v="0"/>
    <n v="23.591999999999999"/>
    <x v="1"/>
    <s v="Sí"/>
    <d v="2025-06-12T00:00:00"/>
    <n v="12"/>
  </r>
  <r>
    <s v="DEP-A0-1882"/>
    <x v="0"/>
    <n v="30"/>
    <x v="0"/>
    <s v="Vestido"/>
    <s v="Blanco"/>
    <s v="Puma"/>
    <s v="MER-A0-1882"/>
    <d v="2024-09-07T00:00:00"/>
    <x v="0"/>
    <n v="174.45"/>
    <n v="0.3"/>
    <n v="24.64"/>
    <x v="1"/>
    <s v="Sí"/>
    <d v="2024-12-06T00:00:00"/>
    <n v="3"/>
  </r>
  <r>
    <s v="DEP-A0-3004"/>
    <x v="0"/>
    <n v="33"/>
    <x v="0"/>
    <s v="Pantalón"/>
    <s v="Azul"/>
    <s v="Levis"/>
    <s v="MER-A0-3004"/>
    <d v="2024-11-28T00:00:00"/>
    <x v="0"/>
    <n v="175.42"/>
    <n v="0.3"/>
    <n v="25.056000000000001"/>
    <x v="1"/>
    <s v="Sí"/>
    <d v="2024-07-17T00:00:00"/>
    <n v="3"/>
  </r>
  <r>
    <s v="DEP-A0-3544"/>
    <x v="1"/>
    <n v="33"/>
    <x v="0"/>
    <s v="Chaqueta"/>
    <s v="Rojo"/>
    <s v="Mango"/>
    <s v="MER-A0-3544"/>
    <d v="2024-02-05T00:00:00"/>
    <x v="0"/>
    <n v="136.62"/>
    <n v="0.1"/>
    <n v="27.018000000000001"/>
    <x v="1"/>
    <s v="Sí"/>
    <d v="2024-11-01T00:00:00"/>
    <n v="9"/>
  </r>
  <r>
    <s v="DEP-A0-4435"/>
    <x v="0"/>
    <n v="28"/>
    <x v="0"/>
    <s v="Chaqueta"/>
    <s v="Negro"/>
    <s v="Adidas"/>
    <s v="MER-A0-4435"/>
    <d v="2024-09-02T00:00:00"/>
    <x v="0"/>
    <n v="177.04"/>
    <n v="0.3"/>
    <n v="31.625999999999998"/>
    <x v="1"/>
    <s v="Sí"/>
    <d v="2025-08-28T00:00:00"/>
    <n v="12"/>
  </r>
  <r>
    <s v="DEP-A0-1036"/>
    <x v="0"/>
    <n v="32"/>
    <x v="0"/>
    <s v="Pantalón"/>
    <s v="Azul"/>
    <s v="Zara"/>
    <s v="MER-A0-1036"/>
    <d v="2024-05-24T00:00:00"/>
    <x v="0"/>
    <n v="155.85"/>
    <n v="0.2"/>
    <n v="33.1"/>
    <x v="1"/>
    <s v="Sí"/>
    <d v="2024-08-22T00:00:00"/>
    <n v="3"/>
  </r>
  <r>
    <s v="DEP-A0-1590"/>
    <x v="0"/>
    <n v="26"/>
    <x v="0"/>
    <s v="Vestido"/>
    <s v="Amarillo"/>
    <s v="Tommy"/>
    <s v="MER-A0-1590"/>
    <d v="2024-02-17T00:00:00"/>
    <x v="0"/>
    <n v="156.9"/>
    <n v="0.2"/>
    <n v="35.396999999999998"/>
    <x v="1"/>
    <s v="Sí"/>
    <d v="2024-05-17T00:00:00"/>
    <n v="3"/>
  </r>
  <r>
    <s v="DEP-A0-3697"/>
    <x v="0"/>
    <n v="24"/>
    <x v="0"/>
    <s v="Falda"/>
    <s v="Rojo"/>
    <s v="Puma"/>
    <s v="MER-A0-3697"/>
    <d v="2024-12-27T00:00:00"/>
    <x v="0"/>
    <n v="139.53"/>
    <n v="0.1"/>
    <n v="37.136000000000003"/>
    <x v="1"/>
    <s v="Sí"/>
    <d v="2025-12-22T00:00:00"/>
    <n v="12"/>
  </r>
  <r>
    <s v="DEP-A0-4502"/>
    <x v="1"/>
    <n v="23"/>
    <x v="0"/>
    <s v="Pantalón"/>
    <s v="Verde"/>
    <s v="Nike"/>
    <s v="MER-A0-4502"/>
    <d v="2024-03-02T00:00:00"/>
    <x v="0"/>
    <n v="140.56"/>
    <n v="0.1"/>
    <n v="43.392000000000003"/>
    <x v="1"/>
    <s v="Sí"/>
    <d v="2024-05-31T00:00:00"/>
    <n v="3"/>
  </r>
  <r>
    <s v="DEP-A0-1418"/>
    <x v="1"/>
    <n v="24"/>
    <x v="0"/>
    <s v="Camisa"/>
    <s v="Blanco"/>
    <s v="Tommy"/>
    <s v="MER-A0-1418"/>
    <d v="2024-12-30T00:00:00"/>
    <x v="0"/>
    <n v="180.87"/>
    <n v="0.3"/>
    <n v="43.512"/>
    <x v="1"/>
    <s v="Sí"/>
    <d v="2025-09-26T00:00:00"/>
    <n v="9"/>
  </r>
  <r>
    <s v="DEP-A0-1873"/>
    <x v="0"/>
    <n v="21"/>
    <x v="0"/>
    <s v="Falda"/>
    <s v="Blanco"/>
    <s v="Nike"/>
    <s v="MER-A0-1873"/>
    <d v="2024-01-22T00:00:00"/>
    <x v="0"/>
    <n v="181.12"/>
    <n v="0.3"/>
    <n v="44.06"/>
    <x v="1"/>
    <s v="Sí"/>
    <d v="2024-07-20T00:00:00"/>
    <n v="6"/>
  </r>
  <r>
    <s v="DEP-A0-2360"/>
    <x v="0"/>
    <n v="26"/>
    <x v="0"/>
    <s v="Falda"/>
    <s v="Azul"/>
    <s v="Tommy"/>
    <s v="MER-A0-2360"/>
    <d v="2024-05-18T00:00:00"/>
    <x v="0"/>
    <n v="160.59"/>
    <n v="0.2"/>
    <n v="48.46"/>
    <x v="1"/>
    <s v="Sí"/>
    <d v="2025-05-13T00:00:00"/>
    <n v="12"/>
  </r>
  <r>
    <s v="DEP-A0-0593"/>
    <x v="0"/>
    <n v="27"/>
    <x v="0"/>
    <s v="Falda"/>
    <s v="Verde"/>
    <s v="Adidas"/>
    <s v="MER-A0-0593"/>
    <d v="2024-11-03T00:00:00"/>
    <x v="0"/>
    <n v="183.97"/>
    <n v="0.3"/>
    <n v="51.308999999999997"/>
    <x v="1"/>
    <s v="Sí"/>
    <d v="2025-07-31T00:00:00"/>
    <n v="9"/>
  </r>
  <r>
    <s v="DEP-A0-2687"/>
    <x v="0"/>
    <n v="35"/>
    <x v="0"/>
    <s v="Vestido"/>
    <s v="Verde"/>
    <s v="Nike"/>
    <s v="MER-A0-2687"/>
    <d v="2024-03-19T00:00:00"/>
    <x v="0"/>
    <n v="185.46"/>
    <n v="0.3"/>
    <n v="53.584999999999994"/>
    <x v="1"/>
    <s v="Sí"/>
    <d v="2024-12-14T00:00:00"/>
    <n v="9"/>
  </r>
  <r>
    <s v="DEP-A0-0810"/>
    <x v="1"/>
    <n v="21"/>
    <x v="0"/>
    <s v="Chaqueta"/>
    <s v="Verde"/>
    <s v="Puma"/>
    <s v="MER-A0-0810"/>
    <d v="2024-08-15T00:00:00"/>
    <x v="0"/>
    <n v="186.17"/>
    <n v="0.3"/>
    <n v="55.475000000000001"/>
    <x v="1"/>
    <s v="Sí"/>
    <d v="2025-02-11T00:00:00"/>
    <n v="6"/>
  </r>
  <r>
    <s v="DEP-A0-1678"/>
    <x v="0"/>
    <n v="35"/>
    <x v="0"/>
    <s v="Falda"/>
    <s v="Azul"/>
    <s v="Puma"/>
    <s v="MER-A0-1678"/>
    <d v="2024-08-05T00:00:00"/>
    <x v="0"/>
    <n v="130.88"/>
    <n v="0"/>
    <n v="56.331000000000003"/>
    <x v="1"/>
    <s v="Sí"/>
    <d v="2025-07-31T00:00:00"/>
    <n v="12"/>
  </r>
  <r>
    <s v="DEP-A0-4134"/>
    <x v="0"/>
    <n v="31"/>
    <x v="0"/>
    <s v="Zapatos"/>
    <s v="Amarillo"/>
    <s v="Nike"/>
    <s v="MER-A0-4134"/>
    <d v="2024-05-20T00:00:00"/>
    <x v="0"/>
    <n v="147.53"/>
    <n v="0.1"/>
    <n v="66.27600000000001"/>
    <x v="1"/>
    <s v="Sí"/>
    <d v="2025-02-14T00:00:00"/>
    <n v="9"/>
  </r>
  <r>
    <s v="DEP-A0-3859"/>
    <x v="1"/>
    <n v="18"/>
    <x v="0"/>
    <s v="Camisa"/>
    <s v="Verde"/>
    <s v="Zara"/>
    <s v="MER-A0-3859"/>
    <d v="2024-04-23T00:00:00"/>
    <x v="0"/>
    <n v="192.17"/>
    <n v="0.3"/>
    <n v="73.668000000000006"/>
    <x v="1"/>
    <s v="Sí"/>
    <d v="2025-04-18T00:00:00"/>
    <n v="12"/>
  </r>
  <r>
    <s v="DEP-A0-2088"/>
    <x v="0"/>
    <n v="21"/>
    <x v="0"/>
    <s v="Falda"/>
    <s v="Amarillo"/>
    <s v="Zara"/>
    <s v="MER-A0-2088"/>
    <d v="2024-12-22T00:00:00"/>
    <x v="0"/>
    <n v="168.9"/>
    <n v="0.2"/>
    <n v="76.397999999999996"/>
    <x v="1"/>
    <s v="Sí"/>
    <d v="2025-06-20T00:00:00"/>
    <n v="6"/>
  </r>
  <r>
    <s v="DEP-A0-3993"/>
    <x v="0"/>
    <n v="30"/>
    <x v="0"/>
    <s v="Vestido"/>
    <s v="Azul"/>
    <s v="Mango"/>
    <s v="MER-A0-3993"/>
    <d v="2024-12-13T00:00:00"/>
    <x v="0"/>
    <n v="169.33"/>
    <n v="0.2"/>
    <n v="77.516999999999996"/>
    <x v="1"/>
    <s v="Sí"/>
    <d v="2025-09-09T00:00:00"/>
    <n v="9"/>
  </r>
  <r>
    <s v="DEP-A0-4979"/>
    <x v="0"/>
    <n v="18"/>
    <x v="0"/>
    <s v="Camisa"/>
    <s v="Azul"/>
    <s v="Levis"/>
    <s v="MER-A0-4979"/>
    <d v="2024-11-03T00:00:00"/>
    <x v="0"/>
    <n v="193.9"/>
    <n v="0.3"/>
    <n v="78.290000000000006"/>
    <x v="1"/>
    <s v="Sí"/>
    <d v="2025-02-01T00:00:00"/>
    <n v="3"/>
  </r>
  <r>
    <s v="DEP-A0-4613"/>
    <x v="0"/>
    <n v="26"/>
    <x v="0"/>
    <s v="Falda"/>
    <s v="Rojo"/>
    <s v="Levis"/>
    <s v="MER-A0-4613"/>
    <d v="2024-05-04T00:00:00"/>
    <x v="0"/>
    <n v="194.15"/>
    <n v="0.3"/>
    <n v="80.032000000000011"/>
    <x v="1"/>
    <s v="Sí"/>
    <d v="2024-08-02T00:00:00"/>
    <n v="3"/>
  </r>
  <r>
    <s v="DEP-A0-4803"/>
    <x v="1"/>
    <n v="25"/>
    <x v="0"/>
    <s v="Chaqueta"/>
    <s v="Verde"/>
    <s v="Puma"/>
    <s v="MER-A0-4803"/>
    <d v="2024-10-06T00:00:00"/>
    <x v="0"/>
    <n v="171.12"/>
    <n v="0.2"/>
    <n v="81.81"/>
    <x v="1"/>
    <s v="Sí"/>
    <d v="2025-07-03T00:00:00"/>
    <n v="9"/>
  </r>
  <r>
    <s v="DEP-A0-1816"/>
    <x v="1"/>
    <n v="33"/>
    <x v="0"/>
    <s v="Camisa"/>
    <s v="Blanco"/>
    <s v="Adidas"/>
    <s v="MER-A0-1816"/>
    <d v="2024-04-15T00:00:00"/>
    <x v="0"/>
    <n v="195.71"/>
    <n v="0.3"/>
    <n v="82.233000000000004"/>
    <x v="1"/>
    <s v="Sí"/>
    <d v="2024-07-14T00:00:00"/>
    <n v="3"/>
  </r>
  <r>
    <s v="DEP-A0-0882"/>
    <x v="0"/>
    <n v="28"/>
    <x v="0"/>
    <s v="Pantalón"/>
    <s v="Azul"/>
    <s v="Nike"/>
    <s v="MER-A0-0882"/>
    <d v="2024-03-08T00:00:00"/>
    <x v="0"/>
    <n v="195.96"/>
    <n v="0.3"/>
    <n v="82.58"/>
    <x v="1"/>
    <s v="Sí"/>
    <d v="2024-12-03T00:00:00"/>
    <n v="9"/>
  </r>
  <r>
    <s v="DEP-A0-0743"/>
    <x v="0"/>
    <n v="25"/>
    <x v="0"/>
    <s v="Pantalón"/>
    <s v="Amarillo"/>
    <s v="Zara"/>
    <s v="MER-A0-0743"/>
    <d v="2024-12-20T00:00:00"/>
    <x v="0"/>
    <n v="199"/>
    <n v="0.3"/>
    <n v="90.143999999999991"/>
    <x v="1"/>
    <s v="Sí"/>
    <d v="2025-03-20T00:00:00"/>
    <n v="3"/>
  </r>
  <r>
    <s v="DEP-A0-2122"/>
    <x v="1"/>
    <n v="32"/>
    <x v="0"/>
    <s v="Chaqueta"/>
    <s v="Amarillo"/>
    <s v="Zara"/>
    <s v="MER-A0-2122"/>
    <d v="2024-11-14T00:00:00"/>
    <x v="0"/>
    <n v="199.72"/>
    <n v="0.3"/>
    <n v="94.710000000000008"/>
    <x v="1"/>
    <s v="Sí"/>
    <d v="2025-05-13T00:00:00"/>
    <n v="6"/>
  </r>
  <r>
    <s v="DEP-A0-0244"/>
    <x v="1"/>
    <n v="32"/>
    <x v="0"/>
    <s v="Chaqueta"/>
    <s v="Azul"/>
    <s v="Puma"/>
    <s v="MER-A0-0244"/>
    <d v="2024-02-22T00:00:00"/>
    <x v="0"/>
    <n v="175.85"/>
    <n v="0.2"/>
    <n v="99.336999999999989"/>
    <x v="1"/>
    <s v="Sí"/>
    <d v="2025-02-16T00:00:00"/>
    <n v="12"/>
  </r>
  <r>
    <s v="DEP-A0-2005"/>
    <x v="0"/>
    <n v="29"/>
    <x v="0"/>
    <s v="Vestido"/>
    <s v="Rojo"/>
    <s v="Adidas"/>
    <s v="MER-A0-2005"/>
    <d v="2024-08-30T00:00:00"/>
    <x v="0"/>
    <n v="143.19"/>
    <n v="0"/>
    <n v="102.65599999999999"/>
    <x v="1"/>
    <s v="Sí"/>
    <d v="2025-02-26T00:00:00"/>
    <n v="6"/>
  </r>
  <r>
    <s v="DEP-A0-3119"/>
    <x v="0"/>
    <n v="35"/>
    <x v="0"/>
    <s v="Zapatos"/>
    <s v="Azul"/>
    <s v="Levis"/>
    <s v="MER-A0-3119"/>
    <d v="2024-04-28T00:00:00"/>
    <x v="0"/>
    <n v="159.30000000000001"/>
    <n v="0.1"/>
    <n v="102.935"/>
    <x v="1"/>
    <s v="Sí"/>
    <d v="2024-10-25T00:00:00"/>
    <n v="6"/>
  </r>
  <r>
    <s v="DEP-A0-3159"/>
    <x v="1"/>
    <n v="20"/>
    <x v="0"/>
    <s v="Camisa"/>
    <s v="Blanco"/>
    <s v="Mango"/>
    <s v="MER-A0-3159"/>
    <d v="2024-10-13T00:00:00"/>
    <x v="0"/>
    <n v="143.37"/>
    <n v="0"/>
    <n v="103.08"/>
    <x v="1"/>
    <s v="Sí"/>
    <d v="2025-07-10T00:00:00"/>
    <n v="9"/>
  </r>
  <r>
    <s v="DEP-A0-1516"/>
    <x v="0"/>
    <n v="33"/>
    <x v="0"/>
    <s v="Pantalón"/>
    <s v="Rojo"/>
    <s v="Mango"/>
    <s v="MER-A0-1516"/>
    <d v="2024-11-28T00:00:00"/>
    <x v="0"/>
    <n v="163.72999999999999"/>
    <n v="0.1"/>
    <n v="117.05"/>
    <x v="1"/>
    <s v="Sí"/>
    <d v="2024-09-29T00:00:00"/>
    <n v="3"/>
  </r>
  <r>
    <s v="DEP-A0-3905"/>
    <x v="1"/>
    <n v="20"/>
    <x v="0"/>
    <s v="Zapatos"/>
    <s v="Verde"/>
    <s v="Tommy"/>
    <s v="MER-A0-3905"/>
    <d v="2024-12-31T00:00:00"/>
    <x v="0"/>
    <n v="184.35"/>
    <n v="0.2"/>
    <n v="117.12599999999999"/>
    <x v="1"/>
    <s v="Sí"/>
    <d v="2025-12-26T00:00:00"/>
    <n v="12"/>
  </r>
  <r>
    <s v="DEP-A0-3476"/>
    <x v="0"/>
    <n v="27"/>
    <x v="0"/>
    <s v="Zapatos"/>
    <s v="Azul"/>
    <s v="Puma"/>
    <s v="MER-A0-3476"/>
    <d v="2024-09-08T00:00:00"/>
    <x v="0"/>
    <n v="164.36"/>
    <n v="0.1"/>
    <n v="119.11199999999999"/>
    <x v="1"/>
    <s v="Sí"/>
    <d v="2025-06-05T00:00:00"/>
    <n v="9"/>
  </r>
  <r>
    <s v="DEP-A0-1626"/>
    <x v="0"/>
    <n v="22"/>
    <x v="0"/>
    <s v="Blusa"/>
    <s v="Blanco"/>
    <s v="Levis"/>
    <s v="MER-A0-1626"/>
    <d v="2024-07-19T00:00:00"/>
    <x v="0"/>
    <n v="164.71"/>
    <n v="0.1"/>
    <n v="119.602"/>
    <x v="1"/>
    <s v="Sí"/>
    <d v="2025-07-14T00:00:00"/>
    <n v="12"/>
  </r>
  <r>
    <s v="DEP-A0-4199"/>
    <x v="1"/>
    <n v="18"/>
    <x v="0"/>
    <s v="Camisa"/>
    <s v="Rojo"/>
    <s v="Levis"/>
    <s v="MER-A0-4199"/>
    <d v="2024-10-11T00:00:00"/>
    <x v="0"/>
    <n v="166.34"/>
    <n v="0.1"/>
    <n v="121.85600000000001"/>
    <x v="1"/>
    <s v="Sí"/>
    <d v="2025-10-06T00:00:00"/>
    <n v="12"/>
  </r>
  <r>
    <s v="DEP-A0-2561"/>
    <x v="0"/>
    <n v="32"/>
    <x v="0"/>
    <s v="Zapatos"/>
    <s v="Rojo"/>
    <s v="Nike"/>
    <s v="MER-A0-2561"/>
    <d v="2024-06-18T00:00:00"/>
    <x v="0"/>
    <n v="188.2"/>
    <n v="0.2"/>
    <n v="122.08500000000001"/>
    <x v="1"/>
    <s v="Sí"/>
    <d v="2024-09-16T00:00:00"/>
    <n v="3"/>
  </r>
  <r>
    <s v="DEP-A0-1539"/>
    <x v="0"/>
    <n v="28"/>
    <x v="0"/>
    <s v="Falda"/>
    <s v="Azul"/>
    <s v="Puma"/>
    <s v="MER-A0-1539"/>
    <d v="2024-10-08T00:00:00"/>
    <x v="0"/>
    <n v="191.07"/>
    <n v="0.2"/>
    <n v="128.637"/>
    <x v="1"/>
    <s v="Sí"/>
    <d v="2025-07-05T00:00:00"/>
    <n v="9"/>
  </r>
  <r>
    <s v="DEP-A0-2933"/>
    <x v="1"/>
    <n v="22"/>
    <x v="0"/>
    <s v="Camisa"/>
    <s v="Azul"/>
    <s v="Adidas"/>
    <s v="MER-A0-2933"/>
    <d v="2024-11-02T00:00:00"/>
    <x v="0"/>
    <n v="191.45"/>
    <n v="0.2"/>
    <n v="130.93199999999999"/>
    <x v="1"/>
    <s v="Sí"/>
    <d v="2025-07-30T00:00:00"/>
    <n v="9"/>
  </r>
  <r>
    <s v="DEP-A0-3347"/>
    <x v="1"/>
    <n v="28"/>
    <x v="0"/>
    <s v="Pantalón"/>
    <s v="Amarillo"/>
    <s v="Levis"/>
    <s v="MER-A0-3347"/>
    <d v="2024-05-13T00:00:00"/>
    <x v="0"/>
    <n v="171.07"/>
    <n v="0.1"/>
    <n v="135.74700000000001"/>
    <x v="1"/>
    <s v="Sí"/>
    <d v="2024-08-11T00:00:00"/>
    <n v="3"/>
  </r>
  <r>
    <s v="DEP-A0-2999"/>
    <x v="0"/>
    <n v="21"/>
    <x v="0"/>
    <s v="Blusa"/>
    <s v="Negro"/>
    <s v="Levis"/>
    <s v="MER-A0-2999"/>
    <d v="2024-02-28T00:00:00"/>
    <x v="0"/>
    <n v="196.72"/>
    <n v="0.2"/>
    <n v="145.37700000000001"/>
    <x v="1"/>
    <s v="Sí"/>
    <d v="2024-05-28T00:00:00"/>
    <n v="3"/>
  </r>
  <r>
    <s v="DEP-A0-3973"/>
    <x v="1"/>
    <n v="22"/>
    <x v="0"/>
    <s v="Zapatos"/>
    <s v="Negro"/>
    <s v="Zara"/>
    <s v="MER-A0-3973"/>
    <d v="2024-12-24T00:00:00"/>
    <x v="0"/>
    <n v="175.13"/>
    <n v="0.1"/>
    <n v="147.83000000000001"/>
    <x v="1"/>
    <s v="Sí"/>
    <d v="2025-03-24T00:00:00"/>
    <n v="3"/>
  </r>
  <r>
    <s v="DEP-A0-0326"/>
    <x v="1"/>
    <n v="30"/>
    <x v="0"/>
    <s v="Pantalón"/>
    <s v="Negro"/>
    <s v="Nike"/>
    <s v="MER-A0-0326"/>
    <d v="2024-11-01T00:00:00"/>
    <x v="0"/>
    <n v="175.81"/>
    <n v="0.1"/>
    <n v="149.85"/>
    <x v="1"/>
    <s v="Sí"/>
    <d v="2025-01-30T00:00:00"/>
    <n v="3"/>
  </r>
  <r>
    <s v="DEP-A0-2563"/>
    <x v="0"/>
    <n v="30"/>
    <x v="0"/>
    <s v="Pantalón"/>
    <s v="Azul"/>
    <s v="Nike"/>
    <s v="MER-A0-2563"/>
    <d v="2024-11-29T00:00:00"/>
    <x v="0"/>
    <n v="180.24"/>
    <n v="0.1"/>
    <n v="156.303"/>
    <x v="1"/>
    <s v="Sí"/>
    <d v="2025-05-28T00:00:00"/>
    <n v="6"/>
  </r>
  <r>
    <s v="DEP-A0-0967"/>
    <x v="0"/>
    <n v="23"/>
    <x v="0"/>
    <s v="Falda"/>
    <s v="Amarillo"/>
    <s v="Mango"/>
    <s v="MER-A0-0967"/>
    <d v="2024-06-28T00:00:00"/>
    <x v="0"/>
    <n v="181.43"/>
    <n v="0.1"/>
    <n v="157.75"/>
    <x v="1"/>
    <s v="Sí"/>
    <d v="2025-06-23T00:00:00"/>
    <n v="12"/>
  </r>
  <r>
    <s v="DEP-A0-2749"/>
    <x v="0"/>
    <n v="33"/>
    <x v="0"/>
    <s v="Falda"/>
    <s v="Azul"/>
    <s v="Zara"/>
    <s v="MER-A0-2749"/>
    <d v="2024-12-23T00:00:00"/>
    <x v="0"/>
    <n v="183.5"/>
    <n v="0.1"/>
    <n v="160.083"/>
    <x v="1"/>
    <s v="Sí"/>
    <d v="2024-12-30T00:00:00"/>
    <n v="12"/>
  </r>
  <r>
    <s v="DEP-A0-0624"/>
    <x v="0"/>
    <n v="28"/>
    <x v="0"/>
    <s v="Falda"/>
    <s v="Gris"/>
    <s v="Adidas"/>
    <s v="MER-A0-0624"/>
    <d v="2024-11-28T00:00:00"/>
    <x v="0"/>
    <n v="184.34"/>
    <n v="0.1"/>
    <n v="166.66"/>
    <x v="1"/>
    <s v="Sí"/>
    <d v="2025-04-07T00:00:00"/>
    <n v="9"/>
  </r>
  <r>
    <s v="DEP-A0-3627"/>
    <x v="1"/>
    <n v="21"/>
    <x v="0"/>
    <s v="Zapatos"/>
    <s v="Azul"/>
    <s v="Puma"/>
    <s v="MER-A0-3627"/>
    <d v="2024-11-27T00:00:00"/>
    <x v="0"/>
    <n v="184.45"/>
    <n v="0.1"/>
    <n v="167.52599999999998"/>
    <x v="1"/>
    <s v="Sí"/>
    <d v="2025-08-24T00:00:00"/>
    <n v="9"/>
  </r>
  <r>
    <s v="DEP-A0-1856"/>
    <x v="0"/>
    <n v="32"/>
    <x v="0"/>
    <s v="Blusa"/>
    <s v="Blanco"/>
    <s v="Mango"/>
    <s v="MER-A0-1856"/>
    <d v="2024-11-28T00:00:00"/>
    <x v="0"/>
    <n v="166.78"/>
    <n v="0"/>
    <n v="170.505"/>
    <x v="1"/>
    <s v="Sí"/>
    <d v="2025-04-09T00:00:00"/>
    <n v="9"/>
  </r>
  <r>
    <s v="DEP-A0-3759"/>
    <x v="1"/>
    <n v="28"/>
    <x v="0"/>
    <s v="Pantalón"/>
    <s v="Gris"/>
    <s v="Tommy"/>
    <s v="MER-A0-3759"/>
    <d v="2024-06-11T00:00:00"/>
    <x v="0"/>
    <n v="188.06"/>
    <n v="0.1"/>
    <n v="178.45"/>
    <x v="1"/>
    <s v="Sí"/>
    <d v="2024-09-09T00:00:00"/>
    <n v="3"/>
  </r>
  <r>
    <s v="DEP-A0-3744"/>
    <x v="1"/>
    <n v="25"/>
    <x v="0"/>
    <s v="Camisa"/>
    <s v="Verde"/>
    <s v="Puma"/>
    <s v="MER-A0-3744"/>
    <d v="2024-07-16T00:00:00"/>
    <x v="0"/>
    <n v="191.73"/>
    <n v="0.1"/>
    <n v="199.74"/>
    <x v="1"/>
    <s v="Sí"/>
    <d v="2025-01-12T00:00:00"/>
    <n v="6"/>
  </r>
  <r>
    <s v="DEP-A0-4402"/>
    <x v="0"/>
    <n v="19"/>
    <x v="0"/>
    <s v="Vestido"/>
    <s v="Rojo"/>
    <s v="Zara"/>
    <s v="MER-A0-4402"/>
    <d v="2024-08-19T00:00:00"/>
    <x v="0"/>
    <n v="177.14"/>
    <n v="0"/>
    <n v="18.22"/>
    <x v="1"/>
    <s v="Sí"/>
    <d v="2025-02-15T00:00:00"/>
    <n v="6"/>
  </r>
  <r>
    <s v="DEP-A0-2484"/>
    <x v="1"/>
    <n v="31"/>
    <x v="0"/>
    <s v="Zapatos"/>
    <s v="Rojo"/>
    <s v="Levis"/>
    <s v="MER-A0-2484"/>
    <d v="2024-07-05T00:00:00"/>
    <x v="0"/>
    <n v="180.73"/>
    <n v="0"/>
    <n v="26.024000000000001"/>
    <x v="1"/>
    <s v="Sí"/>
    <d v="2025-01-01T00:00:00"/>
    <n v="6"/>
  </r>
  <r>
    <s v="DEP-A0-4540"/>
    <x v="0"/>
    <n v="33"/>
    <x v="0"/>
    <s v="Vestido"/>
    <s v="Rojo"/>
    <s v="Zara"/>
    <s v="MER-A0-4540"/>
    <d v="2024-12-23T00:00:00"/>
    <x v="0"/>
    <n v="182.73"/>
    <n v="0"/>
    <n v="28.266000000000002"/>
    <x v="1"/>
    <s v="Sí"/>
    <d v="2024-10-03T00:00:00"/>
    <n v="9"/>
  </r>
  <r>
    <s v="DEP-A0-3471"/>
    <x v="1"/>
    <n v="21"/>
    <x v="0"/>
    <s v="Pantalón"/>
    <s v="Amarillo"/>
    <s v="Nike"/>
    <s v="MER-A0-3471"/>
    <d v="2024-02-29T00:00:00"/>
    <x v="0"/>
    <n v="186.01"/>
    <n v="0"/>
    <n v="30.78"/>
    <x v="1"/>
    <s v="Sí"/>
    <d v="2024-05-29T00:00:00"/>
    <n v="3"/>
  </r>
  <r>
    <s v="DEP-A0-2615"/>
    <x v="0"/>
    <n v="35"/>
    <x v="0"/>
    <s v="Blusa"/>
    <s v="Blanco"/>
    <s v="Zara"/>
    <s v="MER-A0-2615"/>
    <d v="2024-05-30T00:00:00"/>
    <x v="0"/>
    <n v="186.84"/>
    <n v="0"/>
    <n v="31.266000000000002"/>
    <x v="1"/>
    <s v="Sí"/>
    <d v="2024-11-26T00:00:00"/>
    <n v="6"/>
  </r>
  <r>
    <s v="DEP-A0-4410"/>
    <x v="0"/>
    <n v="20"/>
    <x v="0"/>
    <s v="Blusa"/>
    <s v="Blanco"/>
    <s v="Mango"/>
    <s v="MER-A0-4410"/>
    <d v="2024-06-28T00:00:00"/>
    <x v="0"/>
    <n v="189.95"/>
    <n v="0"/>
    <n v="34.272000000000006"/>
    <x v="1"/>
    <s v="Sí"/>
    <d v="2024-12-25T00:00:00"/>
    <n v="6"/>
  </r>
  <r>
    <s v="DEP-A0-3976"/>
    <x v="0"/>
    <n v="25"/>
    <x v="0"/>
    <s v="Camisa"/>
    <s v="Amarillo"/>
    <s v="Adidas"/>
    <s v="MER-A0-3976"/>
    <d v="2024-10-18T00:00:00"/>
    <x v="0"/>
    <n v="191.21"/>
    <n v="0"/>
    <n v="35.951999999999998"/>
    <x v="1"/>
    <s v="Sí"/>
    <d v="2025-01-16T00:00:00"/>
    <n v="3"/>
  </r>
  <r>
    <s v="DEP-A0-0951"/>
    <x v="0"/>
    <n v="25"/>
    <x v="0"/>
    <s v="Falda"/>
    <s v="Gris"/>
    <s v="Levis"/>
    <s v="MER-A0-0951"/>
    <d v="2024-10-01T00:00:00"/>
    <x v="0"/>
    <n v="191.76"/>
    <n v="0"/>
    <n v="36.704000000000001"/>
    <x v="1"/>
    <s v="Sí"/>
    <d v="2025-03-30T00:00:00"/>
    <n v="6"/>
  </r>
  <r>
    <s v="DEP-A0-0317"/>
    <x v="0"/>
    <n v="31"/>
    <x v="0"/>
    <s v="Zapatos"/>
    <s v="Amarillo"/>
    <s v="Nike"/>
    <s v="MER-A0-0317"/>
    <d v="2024-12-10T00:00:00"/>
    <x v="0"/>
    <n v="194.12"/>
    <n v="0"/>
    <n v="37.917000000000002"/>
    <x v="1"/>
    <s v="Sí"/>
    <d v="2025-09-06T00:00:00"/>
    <n v="9"/>
  </r>
  <r>
    <s v="DEP-A0-1670"/>
    <x v="0"/>
    <n v="24"/>
    <x v="0"/>
    <s v="Blusa"/>
    <s v="Gris"/>
    <s v="Mango"/>
    <s v="MER-A0-1670"/>
    <d v="2024-11-09T00:00:00"/>
    <x v="0"/>
    <n v="195.63"/>
    <n v="0"/>
    <n v="39.44"/>
    <x v="1"/>
    <s v="Sí"/>
    <d v="2025-05-08T00:00:00"/>
    <n v="6"/>
  </r>
  <r>
    <s v="DEP-A0-1489"/>
    <x v="0"/>
    <n v="30"/>
    <x v="0"/>
    <s v="Vestido"/>
    <s v="Azul"/>
    <s v="Adidas"/>
    <s v="MER-A0-1489"/>
    <d v="2024-01-24T00:00:00"/>
    <x v="0"/>
    <n v="197.21"/>
    <n v="0"/>
    <n v="42.256"/>
    <x v="1"/>
    <s v="Sí"/>
    <d v="2024-07-22T00:00:00"/>
    <n v="6"/>
  </r>
  <r>
    <s v="DEP-A0-3714"/>
    <x v="1"/>
    <n v="29"/>
    <x v="0"/>
    <s v="Chaqueta"/>
    <s v="Rojo"/>
    <s v="Levis"/>
    <s v="MER-A0-3714"/>
    <d v="2024-05-25T00:00:00"/>
    <x v="0"/>
    <n v="197.59"/>
    <n v="0"/>
    <n v="42.495999999999995"/>
    <x v="1"/>
    <s v="Sí"/>
    <d v="2024-11-21T00:00:00"/>
    <n v="6"/>
  </r>
  <r>
    <s v="DEP-A0-4457"/>
    <x v="1"/>
    <n v="32"/>
    <x v="0"/>
    <s v="Chaqueta"/>
    <s v="Negro"/>
    <s v="Tommy"/>
    <s v="MER-A0-4457"/>
    <d v="2025-01-04T00:00:00"/>
    <x v="1"/>
    <n v="198.83"/>
    <n v="0.3"/>
    <n v="133.238"/>
    <x v="1"/>
    <s v="Sí"/>
    <d v="2025-01-04T00:00:00"/>
    <n v="3"/>
  </r>
  <r>
    <s v="DEP-A0-4365"/>
    <x v="1"/>
    <n v="33"/>
    <x v="0"/>
    <s v="Camisa"/>
    <s v="Azul"/>
    <s v="Adidas"/>
    <s v="MER-A0-4365"/>
    <d v="2025-02-01T00:00:00"/>
    <x v="1"/>
    <n v="130.99"/>
    <n v="0.3"/>
    <n v="193.46"/>
    <x v="1"/>
    <s v="Sí"/>
    <d v="2025-02-01T00:00:00"/>
    <n v="3"/>
  </r>
  <r>
    <s v="DEP-A0-3952"/>
    <x v="1"/>
    <n v="18"/>
    <x v="0"/>
    <s v="Zapatos"/>
    <s v="Amarillo"/>
    <s v="Levis"/>
    <s v="MER-A0-3952"/>
    <d v="2025-02-02T00:00:00"/>
    <x v="1"/>
    <n v="12.73"/>
    <n v="0.1"/>
    <n v="9.1890000000000001"/>
    <x v="1"/>
    <s v="Sí"/>
    <d v="2025-02-02T00:00:00"/>
    <n v="3"/>
  </r>
  <r>
    <s v="DEP-A0-0934"/>
    <x v="0"/>
    <n v="21"/>
    <x v="0"/>
    <s v="Falda"/>
    <s v="Rojo"/>
    <s v="Puma"/>
    <s v="MER-A0-0934"/>
    <d v="2025-02-02T00:00:00"/>
    <x v="1"/>
    <n v="59.68"/>
    <n v="0"/>
    <n v="8.0500000000000007"/>
    <x v="1"/>
    <s v="Sí"/>
    <d v="2025-02-02T00:00:00"/>
    <n v="3"/>
  </r>
  <r>
    <s v="DEP-A0-0148"/>
    <x v="0"/>
    <n v="25"/>
    <x v="0"/>
    <s v="Falda"/>
    <s v="Azul"/>
    <s v="Tommy"/>
    <s v="MER-A0-0148"/>
    <d v="2025-02-09T00:00:00"/>
    <x v="1"/>
    <n v="81.209999999999994"/>
    <n v="0"/>
    <n v="22.61"/>
    <x v="1"/>
    <s v="Sí"/>
    <d v="2025-02-09T00:00:00"/>
    <n v="3"/>
  </r>
  <r>
    <s v="DEP-A0-0688"/>
    <x v="0"/>
    <n v="21"/>
    <x v="0"/>
    <s v="Blusa"/>
    <s v="Gris"/>
    <s v="Levis"/>
    <s v="MER-A0-0688"/>
    <d v="2025-02-09T00:00:00"/>
    <x v="1"/>
    <n v="111.62"/>
    <n v="0.1"/>
    <n v="24.61"/>
    <x v="1"/>
    <s v="Sí"/>
    <d v="2025-02-09T00:00:00"/>
    <n v="6"/>
  </r>
  <r>
    <s v="DEP-A0-1598"/>
    <x v="1"/>
    <n v="34"/>
    <x v="0"/>
    <s v="Zapatos"/>
    <s v="Blanco"/>
    <s v="Adidas"/>
    <s v="MER-A0-1598"/>
    <d v="2025-02-11T00:00:00"/>
    <x v="1"/>
    <n v="165.62"/>
    <n v="0.1"/>
    <n v="46.835999999999999"/>
    <x v="1"/>
    <s v="Sí"/>
    <d v="2025-02-11T00:00:00"/>
    <n v="6"/>
  </r>
  <r>
    <s v="DEP-A0-0878"/>
    <x v="0"/>
    <n v="18"/>
    <x v="0"/>
    <s v="Vestido"/>
    <s v="Amarillo"/>
    <s v="Tommy"/>
    <s v="MER-A0-0878"/>
    <d v="2025-02-12T00:00:00"/>
    <x v="1"/>
    <n v="78.89"/>
    <n v="0.1"/>
    <n v="55.610999999999997"/>
    <x v="1"/>
    <s v="Sí"/>
    <d v="2025-02-12T00:00:00"/>
    <n v="6"/>
  </r>
  <r>
    <s v="DEP-A0-1928"/>
    <x v="1"/>
    <n v="30"/>
    <x v="0"/>
    <s v="Pantalón"/>
    <s v="Negro"/>
    <s v="Mango"/>
    <s v="MER-A0-1928"/>
    <d v="2025-02-12T00:00:00"/>
    <x v="1"/>
    <n v="180.02"/>
    <n v="0.1"/>
    <n v="53.557000000000002"/>
    <x v="1"/>
    <s v="Sí"/>
    <d v="2025-02-12T00:00:00"/>
    <n v="6"/>
  </r>
  <r>
    <s v="DEP-A0-4317"/>
    <x v="0"/>
    <n v="23"/>
    <x v="0"/>
    <s v="Pantalón"/>
    <s v="Rojo"/>
    <s v="Tommy"/>
    <s v="MER-A0-4317"/>
    <d v="2025-02-12T00:00:00"/>
    <x v="1"/>
    <n v="195.79"/>
    <n v="0.2"/>
    <n v="72.44"/>
    <x v="1"/>
    <s v="Sí"/>
    <d v="2025-02-12T00:00:00"/>
    <n v="6"/>
  </r>
  <r>
    <s v="DEP-A0-1306"/>
    <x v="1"/>
    <n v="35"/>
    <x v="0"/>
    <s v="Pantalón"/>
    <s v="Rojo"/>
    <s v="Tommy"/>
    <s v="MER-A0-1306"/>
    <d v="2025-03-13T00:00:00"/>
    <x v="1"/>
    <n v="18.97"/>
    <n v="0"/>
    <n v="117.52000000000001"/>
    <x v="1"/>
    <s v="Sí"/>
    <d v="2025-03-13T00:00:00"/>
    <n v="3"/>
  </r>
  <r>
    <s v="DEP-A0-4452"/>
    <x v="0"/>
    <n v="29"/>
    <x v="0"/>
    <s v="Vestido"/>
    <s v="Blanco"/>
    <s v="Adidas"/>
    <s v="MER-A0-4452"/>
    <d v="2025-03-06T00:00:00"/>
    <x v="1"/>
    <n v="28.99"/>
    <n v="0"/>
    <n v="148.61699999999999"/>
    <x v="1"/>
    <s v="Sí"/>
    <d v="2025-03-06T00:00:00"/>
    <n v="6"/>
  </r>
  <r>
    <s v="DEP-A0-4182"/>
    <x v="0"/>
    <n v="32"/>
    <x v="0"/>
    <s v="Blusa"/>
    <s v="Amarillo"/>
    <s v="Puma"/>
    <s v="MER-A0-4182"/>
    <d v="2025-03-05T00:00:00"/>
    <x v="1"/>
    <n v="63.82"/>
    <n v="0"/>
    <n v="179.85"/>
    <x v="1"/>
    <s v="Sí"/>
    <d v="2025-03-05T00:00:00"/>
    <n v="6"/>
  </r>
  <r>
    <s v="DEP-A0-3688"/>
    <x v="0"/>
    <n v="18"/>
    <x v="0"/>
    <s v="Falda"/>
    <s v="Negro"/>
    <s v="Levis"/>
    <s v="MER-A0-3688"/>
    <d v="2025-03-27T00:00:00"/>
    <x v="1"/>
    <n v="68.77"/>
    <n v="0.3"/>
    <n v="26.235999999999997"/>
    <x v="1"/>
    <s v="Sí"/>
    <d v="2025-03-27T00:00:00"/>
    <n v="3"/>
  </r>
  <r>
    <s v="DEP-A0-0739"/>
    <x v="0"/>
    <n v="32"/>
    <x v="0"/>
    <s v="Chaqueta"/>
    <s v="Azul"/>
    <s v="Nike"/>
    <s v="MER-A0-0739"/>
    <d v="2025-03-04T00:00:00"/>
    <x v="1"/>
    <n v="70.98"/>
    <n v="0"/>
    <n v="33.688000000000002"/>
    <x v="1"/>
    <s v="Sí"/>
    <d v="2025-03-04T00:00:00"/>
    <n v="3"/>
  </r>
  <r>
    <s v="DEP-A0-3799"/>
    <x v="1"/>
    <n v="22"/>
    <x v="0"/>
    <s v="Pantalón"/>
    <s v="Rojo"/>
    <s v="Puma"/>
    <s v="MER-A0-3799"/>
    <d v="2025-03-04T00:00:00"/>
    <x v="1"/>
    <n v="74.83"/>
    <n v="0.3"/>
    <n v="42.39"/>
    <x v="1"/>
    <s v="Sí"/>
    <d v="2025-03-04T00:00:00"/>
    <n v="3"/>
  </r>
  <r>
    <s v="DEP-A0-1327"/>
    <x v="0"/>
    <n v="24"/>
    <x v="0"/>
    <s v="Blusa"/>
    <s v="Verde"/>
    <s v="Nike"/>
    <s v="MER-A0-1327"/>
    <d v="2025-03-01T00:00:00"/>
    <x v="1"/>
    <n v="76.239999999999995"/>
    <n v="0.3"/>
    <n v="65.638999999999996"/>
    <x v="1"/>
    <s v="Sí"/>
    <d v="2025-03-01T00:00:00"/>
    <n v="3"/>
  </r>
  <r>
    <s v="DEP-A0-0735"/>
    <x v="1"/>
    <n v="25"/>
    <x v="0"/>
    <s v="Zapatos"/>
    <s v="Rojo"/>
    <s v="Levis"/>
    <s v="MER-A0-0735"/>
    <d v="2025-03-06T00:00:00"/>
    <x v="1"/>
    <n v="130.77000000000001"/>
    <n v="0.2"/>
    <n v="128.33000000000001"/>
    <x v="1"/>
    <s v="Sí"/>
    <d v="2025-03-06T00:00:00"/>
    <n v="3"/>
  </r>
  <r>
    <s v="DEP-A0-1364"/>
    <x v="0"/>
    <n v="33"/>
    <x v="0"/>
    <s v="Chaqueta"/>
    <s v="Rojo"/>
    <s v="Puma"/>
    <s v="MER-A0-1364"/>
    <d v="2025-03-06T00:00:00"/>
    <x v="1"/>
    <n v="144.24"/>
    <n v="0.3"/>
    <n v="152.928"/>
    <x v="1"/>
    <s v="Sí"/>
    <d v="2025-03-06T00:00:00"/>
    <n v="6"/>
  </r>
  <r>
    <s v="DEP-A0-3542"/>
    <x v="1"/>
    <n v="24"/>
    <x v="0"/>
    <s v="Camisa"/>
    <s v="Rojo"/>
    <s v="Nike"/>
    <s v="MER-A0-3542"/>
    <d v="2025-03-20T00:00:00"/>
    <x v="1"/>
    <n v="190.07"/>
    <n v="0.2"/>
    <n v="148.27199999999999"/>
    <x v="1"/>
    <s v="Sí"/>
    <d v="2025-03-20T00:00:00"/>
    <n v="6"/>
  </r>
  <r>
    <s v="DEP-A0-3955"/>
    <x v="1"/>
    <n v="18"/>
    <x v="0"/>
    <s v="Zapatos"/>
    <s v="Negro"/>
    <s v="Mango"/>
    <s v="MER-A0-3955"/>
    <d v="2025-03-12T00:00:00"/>
    <x v="1"/>
    <n v="192.72"/>
    <n v="0.1"/>
    <n v="174.66299999999998"/>
    <x v="1"/>
    <s v="Sí"/>
    <d v="2025-03-12T00:00:00"/>
    <n v="6"/>
  </r>
  <r>
    <s v="DEP-A0-3303"/>
    <x v="1"/>
    <n v="30"/>
    <x v="0"/>
    <s v="Pantalón"/>
    <s v="Rojo"/>
    <s v="Mango"/>
    <s v="MER-A0-3303"/>
    <d v="2025-03-29T00:00:00"/>
    <x v="1"/>
    <n v="193.53"/>
    <n v="0"/>
    <n v="21.679000000000002"/>
    <x v="1"/>
    <s v="Sí"/>
    <d v="2025-03-29T00:00:00"/>
    <n v="6"/>
  </r>
  <r>
    <s v="DEP-A0-3400"/>
    <x v="1"/>
    <n v="33"/>
    <x v="0"/>
    <s v="Pantalón"/>
    <s v="Azul"/>
    <s v="Zara"/>
    <s v="MER-A0-3400"/>
    <d v="2025-03-25T00:00:00"/>
    <x v="1"/>
    <n v="196.52"/>
    <n v="0"/>
    <n v="33.642000000000003"/>
    <x v="1"/>
    <s v="Sí"/>
    <d v="2025-03-25T00:00:00"/>
    <n v="6"/>
  </r>
  <r>
    <s v="DEP-A0-3817"/>
    <x v="0"/>
    <n v="25"/>
    <x v="0"/>
    <s v="Blusa"/>
    <s v="Blanco"/>
    <s v="Mango"/>
    <s v="MER-A0-3817"/>
    <d v="2025-04-13T00:00:00"/>
    <x v="1"/>
    <n v="24.7"/>
    <n v="0.2"/>
    <n v="50.166000000000004"/>
    <x v="1"/>
    <s v="Sí"/>
    <d v="2025-04-13T00:00:00"/>
    <n v="3"/>
  </r>
  <r>
    <s v="DEP-A0-2042"/>
    <x v="1"/>
    <n v="29"/>
    <x v="0"/>
    <s v="Camisa"/>
    <s v="Negro"/>
    <s v="Mango"/>
    <s v="MER-A0-2042"/>
    <d v="2025-04-28T00:00:00"/>
    <x v="1"/>
    <n v="25.74"/>
    <n v="0"/>
    <n v="68.34"/>
    <x v="1"/>
    <s v="Sí"/>
    <d v="2025-04-28T00:00:00"/>
    <n v="3"/>
  </r>
  <r>
    <s v="DEP-A0-0744"/>
    <x v="0"/>
    <n v="24"/>
    <x v="0"/>
    <s v="Falda"/>
    <s v="Rojo"/>
    <s v="Zara"/>
    <s v="MER-A0-0744"/>
    <d v="2025-04-07T00:00:00"/>
    <x v="1"/>
    <n v="84.81"/>
    <n v="0"/>
    <n v="101"/>
    <x v="1"/>
    <s v="Sí"/>
    <d v="2025-04-07T00:00:00"/>
    <n v="3"/>
  </r>
  <r>
    <s v="DEP-A0-0177"/>
    <x v="1"/>
    <n v="25"/>
    <x v="0"/>
    <s v="Zapatos"/>
    <s v="Amarillo"/>
    <s v="Zara"/>
    <s v="MER-A0-0177"/>
    <d v="2025-04-01T00:00:00"/>
    <x v="1"/>
    <n v="93.14"/>
    <n v="0.3"/>
    <n v="147.68800000000002"/>
    <x v="1"/>
    <s v="Sí"/>
    <d v="2025-04-01T00:00:00"/>
    <n v="3"/>
  </r>
  <r>
    <s v="DEP-A0-4079"/>
    <x v="0"/>
    <n v="21"/>
    <x v="0"/>
    <s v="Zapatos"/>
    <s v="Negro"/>
    <s v="Tommy"/>
    <s v="MER-A0-4079"/>
    <d v="2025-04-22T00:00:00"/>
    <x v="1"/>
    <n v="93.27"/>
    <n v="0.1"/>
    <n v="179.95499999999998"/>
    <x v="1"/>
    <s v="Sí"/>
    <d v="2025-04-22T00:00:00"/>
    <n v="6"/>
  </r>
  <r>
    <s v="DEP-A0-2029"/>
    <x v="0"/>
    <n v="27"/>
    <x v="0"/>
    <s v="Falda"/>
    <s v="Azul"/>
    <s v="Nike"/>
    <s v="MER-A0-2029"/>
    <d v="2025-04-02T00:00:00"/>
    <x v="1"/>
    <n v="94.05"/>
    <n v="0.3"/>
    <n v="38.395000000000003"/>
    <x v="1"/>
    <s v="Sí"/>
    <d v="2025-04-02T00:00:00"/>
    <n v="6"/>
  </r>
  <r>
    <s v="DEP-A0-2801"/>
    <x v="1"/>
    <n v="25"/>
    <x v="0"/>
    <s v="Zapatos"/>
    <s v="Azul"/>
    <s v="Adidas"/>
    <s v="MER-A0-2801"/>
    <d v="2025-04-03T00:00:00"/>
    <x v="1"/>
    <n v="145.74"/>
    <n v="0"/>
    <n v="122.67500000000001"/>
    <x v="1"/>
    <s v="Sí"/>
    <d v="2025-04-03T00:00:00"/>
    <n v="6"/>
  </r>
  <r>
    <s v="DEP-A0-0361"/>
    <x v="0"/>
    <n v="27"/>
    <x v="0"/>
    <s v="Falda"/>
    <s v="Verde"/>
    <s v="Puma"/>
    <s v="MER-A0-0361"/>
    <d v="2025-04-15T00:00:00"/>
    <x v="1"/>
    <n v="145.9"/>
    <n v="0.3"/>
    <n v="157.887"/>
    <x v="1"/>
    <s v="Sí"/>
    <d v="2025-04-15T00:00:00"/>
    <n v="6"/>
  </r>
  <r>
    <s v="DEP-A0-0460"/>
    <x v="0"/>
    <n v="34"/>
    <x v="0"/>
    <s v="Chaqueta"/>
    <s v="Verde"/>
    <s v="Puma"/>
    <s v="MER-A0-0460"/>
    <d v="2025-04-28T00:00:00"/>
    <x v="1"/>
    <n v="146.22999999999999"/>
    <n v="0.1"/>
    <n v="158.238"/>
    <x v="1"/>
    <s v="Sí"/>
    <d v="2025-04-28T00:00:00"/>
    <n v="6"/>
  </r>
  <r>
    <s v="DEP-A0-1015"/>
    <x v="0"/>
    <n v="26"/>
    <x v="0"/>
    <s v="Vestido"/>
    <s v="Verde"/>
    <s v="Levis"/>
    <s v="MER-A0-1015"/>
    <d v="2025-04-13T00:00:00"/>
    <x v="1"/>
    <n v="148.22999999999999"/>
    <n v="0.1"/>
    <n v="12.48"/>
    <x v="1"/>
    <s v="Sí"/>
    <d v="2025-04-13T00:00:00"/>
    <n v="3"/>
  </r>
  <r>
    <s v="DEP-A0-0568"/>
    <x v="0"/>
    <n v="31"/>
    <x v="0"/>
    <s v="Pantalón"/>
    <s v="Gris"/>
    <s v="Adidas"/>
    <s v="MER-A0-0568"/>
    <d v="2025-04-12T00:00:00"/>
    <x v="1"/>
    <n v="148.44"/>
    <n v="0.1"/>
    <n v="145.04"/>
    <x v="1"/>
    <s v="Sí"/>
    <d v="2025-04-12T00:00:00"/>
    <n v="3"/>
  </r>
  <r>
    <s v="DEP-A0-1858"/>
    <x v="0"/>
    <n v="35"/>
    <x v="0"/>
    <s v="Zapatos"/>
    <s v="Verde"/>
    <s v="Puma"/>
    <s v="MER-A0-1858"/>
    <d v="2025-04-15T00:00:00"/>
    <x v="1"/>
    <n v="187.39"/>
    <n v="0.1"/>
    <n v="30.134999999999998"/>
    <x v="1"/>
    <s v="Sí"/>
    <d v="2025-04-15T00:00:00"/>
    <n v="3"/>
  </r>
  <r>
    <s v="DEP-A0-4928"/>
    <x v="0"/>
    <n v="22"/>
    <x v="0"/>
    <s v="Vestido"/>
    <s v="Amarillo"/>
    <s v="Levis"/>
    <s v="MER-A0-4928"/>
    <d v="2025-04-23T00:00:00"/>
    <x v="1"/>
    <n v="196.09"/>
    <n v="0.2"/>
    <n v="56.527999999999999"/>
    <x v="1"/>
    <s v="Sí"/>
    <d v="2025-04-23T00:00:00"/>
    <n v="3"/>
  </r>
  <r>
    <s v="DEP-A0-1223"/>
    <x v="0"/>
    <n v="28"/>
    <x v="0"/>
    <s v="Falda"/>
    <s v="Amarillo"/>
    <s v="Levis"/>
    <s v="MER-A0-1223"/>
    <d v="2025-05-03T00:00:00"/>
    <x v="1"/>
    <n v="12.96"/>
    <n v="0.1"/>
    <n v="139.42400000000001"/>
    <x v="1"/>
    <s v="Sí"/>
    <d v="2025-05-03T00:00:00"/>
    <n v="3"/>
  </r>
  <r>
    <s v="DEP-A0-1980"/>
    <x v="0"/>
    <n v="31"/>
    <x v="0"/>
    <s v="Chaqueta"/>
    <s v="Verde"/>
    <s v="Adidas"/>
    <s v="MER-A0-1980"/>
    <d v="2025-05-30T00:00:00"/>
    <x v="1"/>
    <n v="13.66"/>
    <n v="0.3"/>
    <n v="162.17099999999999"/>
    <x v="1"/>
    <s v="Sí"/>
    <d v="2025-05-30T00:00:00"/>
    <n v="3"/>
  </r>
  <r>
    <s v="DEP-A0-3582"/>
    <x v="0"/>
    <n v="34"/>
    <x v="0"/>
    <s v="Camisa"/>
    <s v="Blanco"/>
    <s v="Nike"/>
    <s v="MER-A0-3582"/>
    <d v="2025-05-12T00:00:00"/>
    <x v="1"/>
    <n v="14.78"/>
    <n v="0.3"/>
    <n v="175.37400000000002"/>
    <x v="1"/>
    <s v="Sí"/>
    <d v="2025-05-12T00:00:00"/>
    <n v="6"/>
  </r>
  <r>
    <s v="DEP-A0-4375"/>
    <x v="1"/>
    <n v="29"/>
    <x v="0"/>
    <s v="Zapatos"/>
    <s v="Verde"/>
    <s v="Zara"/>
    <s v="MER-A0-4375"/>
    <d v="2025-02-13T00:00:00"/>
    <x v="1"/>
    <n v="23.37"/>
    <n v="0.3"/>
    <n v="70.28"/>
    <x v="1"/>
    <s v="Sí"/>
    <d v="2025-01-24T00:00:00"/>
    <n v="6"/>
  </r>
  <r>
    <s v="DEP-A0-3000"/>
    <x v="0"/>
    <n v="21"/>
    <x v="0"/>
    <s v="Vestido"/>
    <s v="Azul"/>
    <s v="Mango"/>
    <s v="MER-A0-3000"/>
    <d v="2025-01-10T00:00:00"/>
    <x v="1"/>
    <n v="39.57"/>
    <n v="0.1"/>
    <n v="97.972000000000008"/>
    <x v="1"/>
    <s v="Sí"/>
    <d v="2025-01-10T00:00:00"/>
    <n v="6"/>
  </r>
  <r>
    <s v="DEP-A0-0584"/>
    <x v="0"/>
    <n v="22"/>
    <x v="0"/>
    <s v="Falda"/>
    <s v="Rojo"/>
    <s v="Zara"/>
    <s v="MER-A0-0584"/>
    <d v="2025-02-13T00:00:00"/>
    <x v="1"/>
    <n v="57.71"/>
    <n v="0.2"/>
    <n v="80.594999999999999"/>
    <x v="1"/>
    <s v="Sí"/>
    <d v="2025-01-20T00:00:00"/>
    <n v="3"/>
  </r>
  <r>
    <s v="DEP-A0-3503"/>
    <x v="0"/>
    <n v="31"/>
    <x v="0"/>
    <s v="Pantalón"/>
    <s v="Verde"/>
    <s v="Puma"/>
    <s v="MER-A0-3503"/>
    <d v="2025-02-13T00:00:00"/>
    <x v="1"/>
    <n v="112.16"/>
    <n v="0.2"/>
    <n v="75.760000000000005"/>
    <x v="1"/>
    <s v="Sí"/>
    <d v="2025-01-11T00:00:00"/>
    <n v="3"/>
  </r>
  <r>
    <s v="DEP-A0-4491"/>
    <x v="1"/>
    <n v="29"/>
    <x v="0"/>
    <s v="Pantalón"/>
    <s v="Rojo"/>
    <s v="Puma"/>
    <s v="MER-A0-4491"/>
    <d v="2025-02-13T00:00:00"/>
    <x v="1"/>
    <n v="113.42"/>
    <n v="0.3"/>
    <n v="111.55"/>
    <x v="1"/>
    <s v="Sí"/>
    <d v="2025-01-03T00:00:00"/>
    <n v="3"/>
  </r>
  <r>
    <s v="DEP-A0-3851"/>
    <x v="0"/>
    <n v="33"/>
    <x v="0"/>
    <s v="Zapatos"/>
    <s v="Blanco"/>
    <s v="Nike"/>
    <s v="MER-A0-3851"/>
    <d v="2025-01-21T00:00:00"/>
    <x v="1"/>
    <n v="115.53"/>
    <n v="0"/>
    <n v="76.272000000000006"/>
    <x v="1"/>
    <s v="Sí"/>
    <d v="2025-01-21T00:00:00"/>
    <n v="3"/>
  </r>
  <r>
    <s v="DEP-A0-2562"/>
    <x v="0"/>
    <n v="20"/>
    <x v="0"/>
    <s v="Zapatos"/>
    <s v="Amarillo"/>
    <s v="Mango"/>
    <s v="MER-A0-2562"/>
    <d v="2025-01-01T00:00:00"/>
    <x v="1"/>
    <n v="122.13"/>
    <n v="0.3"/>
    <n v="158.184"/>
    <x v="1"/>
    <s v="Sí"/>
    <d v="2025-01-01T00:00:00"/>
    <n v="6"/>
  </r>
  <r>
    <s v="DEP-A0-0640"/>
    <x v="1"/>
    <n v="20"/>
    <x v="0"/>
    <s v="Camisa"/>
    <s v="Gris"/>
    <s v="Tommy"/>
    <s v="MER-A0-0640"/>
    <d v="2025-01-28T00:00:00"/>
    <x v="1"/>
    <n v="139.52000000000001"/>
    <n v="0.3"/>
    <n v="83.37700000000001"/>
    <x v="1"/>
    <s v="Sí"/>
    <d v="2025-01-28T00:00:00"/>
    <n v="6"/>
  </r>
  <r>
    <s v="DEP-A0-1135"/>
    <x v="1"/>
    <n v="31"/>
    <x v="0"/>
    <s v="Chaqueta"/>
    <s v="Blanco"/>
    <s v="Nike"/>
    <s v="MER-A0-1135"/>
    <d v="2025-01-10T00:00:00"/>
    <x v="1"/>
    <n v="147.33000000000001"/>
    <n v="0.1"/>
    <n v="173.898"/>
    <x v="1"/>
    <s v="Sí"/>
    <d v="2025-01-10T00:00:00"/>
    <n v="6"/>
  </r>
  <r>
    <s v="DEP-A0-0700"/>
    <x v="0"/>
    <n v="24"/>
    <x v="0"/>
    <s v="Blusa"/>
    <s v="Rojo"/>
    <s v="Puma"/>
    <s v="MER-A0-0700"/>
    <d v="2025-01-07T00:00:00"/>
    <x v="1"/>
    <n v="162.35"/>
    <n v="0.3"/>
    <n v="16.952000000000002"/>
    <x v="1"/>
    <s v="Sí"/>
    <d v="2025-01-07T00:00:00"/>
    <n v="6"/>
  </r>
  <r>
    <s v="DEP-A0-0527"/>
    <x v="0"/>
    <n v="35"/>
    <x v="0"/>
    <s v="Blusa"/>
    <s v="Negro"/>
    <s v="Puma"/>
    <s v="MER-A0-0527"/>
    <d v="2025-01-13T00:00:00"/>
    <x v="1"/>
    <n v="172.06"/>
    <n v="0.1"/>
    <n v="91.466999999999999"/>
    <x v="1"/>
    <s v="Sí"/>
    <d v="2025-01-13T00:00:00"/>
    <n v="3"/>
  </r>
  <r>
    <s v="DEP-A0-4793"/>
    <x v="0"/>
    <n v="27"/>
    <x v="0"/>
    <s v="Blusa"/>
    <s v="Blanco"/>
    <s v="Zara"/>
    <s v="MER-A0-4793"/>
    <d v="2025-01-22T00:00:00"/>
    <x v="1"/>
    <n v="172.98"/>
    <n v="0.2"/>
    <n v="84.207999999999998"/>
    <x v="1"/>
    <s v="Sí"/>
    <d v="2025-01-22T00:00:00"/>
    <n v="3"/>
  </r>
  <r>
    <s v="DEP-A0-2858"/>
    <x v="0"/>
    <n v="27"/>
    <x v="0"/>
    <s v="Zapatos"/>
    <s v="Amarillo"/>
    <s v="Puma"/>
    <s v="MER-A0-2858"/>
    <d v="2025-02-01T00:00:00"/>
    <x v="1"/>
    <n v="160.07"/>
    <n v="0"/>
    <n v="128.04399999999998"/>
    <x v="1"/>
    <s v="Sí"/>
    <d v="2025-02-01T00:00:00"/>
    <n v="3"/>
  </r>
  <r>
    <s v="DEP-A0-2002"/>
    <x v="0"/>
    <n v="22"/>
    <x v="0"/>
    <s v="Camisa"/>
    <s v="Gris"/>
    <s v="Zara"/>
    <s v="MER-A0-2002"/>
    <d v="2025-02-02T00:00:00"/>
    <x v="1"/>
    <n v="40.03"/>
    <n v="0.1"/>
    <n v="135.625"/>
    <x v="1"/>
    <s v="Sí"/>
    <d v="2025-02-02T00:00:00"/>
    <n v="3"/>
  </r>
  <r>
    <s v="DEP-A0-4549"/>
    <x v="0"/>
    <n v="28"/>
    <x v="0"/>
    <s v="Blusa"/>
    <s v="Amarillo"/>
    <s v="Puma"/>
    <s v="MER-A0-4549"/>
    <d v="2025-02-02T00:00:00"/>
    <x v="1"/>
    <n v="144.34"/>
    <n v="0.2"/>
    <n v="159.208"/>
    <x v="1"/>
    <s v="Sí"/>
    <d v="2025-02-02T00:00:00"/>
    <n v="6"/>
  </r>
  <r>
    <s v="DEP-A0-0559"/>
    <x v="1"/>
    <n v="34"/>
    <x v="0"/>
    <s v="Zapatos"/>
    <s v="Verde"/>
    <s v="Nike"/>
    <s v="MER-A0-0559"/>
    <d v="2025-02-03T00:00:00"/>
    <x v="1"/>
    <n v="59.19"/>
    <n v="0.2"/>
    <n v="118.917"/>
    <x v="1"/>
    <s v="Sí"/>
    <d v="2025-02-03T00:00:00"/>
    <n v="6"/>
  </r>
  <r>
    <s v="DEP-A0-1644"/>
    <x v="1"/>
    <n v="25"/>
    <x v="0"/>
    <s v="Zapatos"/>
    <s v="Amarillo"/>
    <s v="Mango"/>
    <s v="MER-A0-1644"/>
    <d v="2025-02-04T00:00:00"/>
    <x v="1"/>
    <n v="12.91"/>
    <n v="0.1"/>
    <n v="41.37"/>
    <x v="1"/>
    <s v="Sí"/>
    <d v="2025-02-04T00:00:00"/>
    <n v="6"/>
  </r>
  <r>
    <s v="DEP-A0-0837"/>
    <x v="0"/>
    <n v="19"/>
    <x v="0"/>
    <s v="Camisa"/>
    <s v="Blanco"/>
    <s v="Puma"/>
    <s v="MER-A0-0837"/>
    <d v="2025-02-08T00:00:00"/>
    <x v="1"/>
    <n v="39.22"/>
    <n v="0"/>
    <n v="104.68800000000002"/>
    <x v="1"/>
    <s v="Sí"/>
    <d v="2025-02-08T00:00:00"/>
    <n v="3"/>
  </r>
  <r>
    <s v="DEP-A0-2427"/>
    <x v="0"/>
    <n v="34"/>
    <x v="0"/>
    <s v="Camisa"/>
    <s v="Blanco"/>
    <s v="Zara"/>
    <s v="MER-A0-2427"/>
    <d v="2025-02-10T00:00:00"/>
    <x v="1"/>
    <n v="61.47"/>
    <n v="0.3"/>
    <n v="132.38999999999999"/>
    <x v="1"/>
    <s v="Sí"/>
    <d v="2025-02-10T00:00:00"/>
    <n v="3"/>
  </r>
  <r>
    <s v="DEP-A0-4697"/>
    <x v="0"/>
    <n v="24"/>
    <x v="0"/>
    <s v="Camisa"/>
    <s v="Azul"/>
    <s v="Levis"/>
    <s v="MER-A0-4697"/>
    <d v="2025-02-10T00:00:00"/>
    <x v="1"/>
    <n v="70.11"/>
    <n v="0"/>
    <n v="154.76400000000001"/>
    <x v="1"/>
    <s v="Sí"/>
    <d v="2025-02-10T00:00:00"/>
    <n v="3"/>
  </r>
  <r>
    <s v="DEP-A0-4605"/>
    <x v="1"/>
    <n v="32"/>
    <x v="0"/>
    <s v="Pantalón"/>
    <s v="Amarillo"/>
    <s v="Mango"/>
    <s v="MER-A0-4605"/>
    <d v="2025-02-10T00:00:00"/>
    <x v="1"/>
    <n v="88.72"/>
    <n v="0.1"/>
    <n v="159.435"/>
    <x v="1"/>
    <s v="Sí"/>
    <d v="2025-02-10T00:00:00"/>
    <n v="3"/>
  </r>
  <r>
    <s v="DEP-A0-0211"/>
    <x v="0"/>
    <n v="35"/>
    <x v="0"/>
    <s v="Vestido"/>
    <s v="Rojo"/>
    <s v="Puma"/>
    <s v="MER-A0-0211"/>
    <d v="2025-02-10T00:00:00"/>
    <x v="1"/>
    <n v="106.52"/>
    <n v="0.1"/>
    <n v="63.92"/>
    <x v="1"/>
    <s v="Sí"/>
    <d v="2025-02-10T00:00:00"/>
    <n v="3"/>
  </r>
  <r>
    <s v="DEP-A0-1745"/>
    <x v="0"/>
    <n v="23"/>
    <x v="0"/>
    <s v="Zapatos"/>
    <s v="Gris"/>
    <s v="Levis"/>
    <s v="MER-A0-1745"/>
    <d v="2025-02-10T00:00:00"/>
    <x v="1"/>
    <n v="164.38"/>
    <n v="0.2"/>
    <n v="138.37"/>
    <x v="1"/>
    <s v="Sí"/>
    <d v="2025-02-10T00:00:00"/>
    <n v="3"/>
  </r>
  <r>
    <s v="DEP-A0-0944"/>
    <x v="0"/>
    <n v="33"/>
    <x v="0"/>
    <s v="Blusa"/>
    <s v="Blanco"/>
    <s v="Mango"/>
    <s v="MER-A0-0944"/>
    <d v="2025-02-11T00:00:00"/>
    <x v="1"/>
    <n v="159.51"/>
    <n v="0"/>
    <n v="30.186"/>
    <x v="1"/>
    <s v="Sí"/>
    <d v="2025-02-11T00:00:00"/>
    <n v="3"/>
  </r>
  <r>
    <s v="DEP-A0-1149"/>
    <x v="0"/>
    <n v="30"/>
    <x v="0"/>
    <s v="Zapatos"/>
    <s v="Negro"/>
    <s v="Adidas"/>
    <s v="MER-A0-1149"/>
    <d v="2025-02-12T00:00:00"/>
    <x v="1"/>
    <n v="88.47"/>
    <n v="0.2"/>
    <n v="88.944000000000003"/>
    <x v="1"/>
    <s v="Sí"/>
    <d v="2025-02-12T00:00:00"/>
    <n v="6"/>
  </r>
  <r>
    <s v="DEP-A0-1951"/>
    <x v="0"/>
    <n v="32"/>
    <x v="0"/>
    <s v="Falda"/>
    <s v="Blanco"/>
    <s v="Zara"/>
    <s v="MER-A0-1951"/>
    <d v="2025-02-14T00:00:00"/>
    <x v="1"/>
    <n v="15.34"/>
    <n v="0"/>
    <n v="181.62"/>
    <x v="1"/>
    <s v="Sí"/>
    <d v="2025-02-14T00:00:00"/>
    <n v="6"/>
  </r>
  <r>
    <s v="DEP-A0-0932"/>
    <x v="1"/>
    <n v="35"/>
    <x v="0"/>
    <s v="Chaqueta"/>
    <s v="Rojo"/>
    <s v="Zara"/>
    <s v="MER-A0-0932"/>
    <d v="2025-02-18T00:00:00"/>
    <x v="1"/>
    <n v="19.73"/>
    <n v="0.2"/>
    <n v="75.727999999999994"/>
    <x v="1"/>
    <s v="Sí"/>
    <d v="2025-02-18T00:00:00"/>
    <n v="6"/>
  </r>
  <r>
    <s v="DEP-A0-3656"/>
    <x v="1"/>
    <n v="19"/>
    <x v="0"/>
    <s v="Zapatos"/>
    <s v="Verde"/>
    <s v="Levis"/>
    <s v="MER-A0-3656"/>
    <d v="2025-02-19T00:00:00"/>
    <x v="1"/>
    <n v="120.33"/>
    <n v="0"/>
    <n v="122.304"/>
    <x v="1"/>
    <s v="Sí"/>
    <d v="2025-02-19T00:00:00"/>
    <n v="6"/>
  </r>
  <r>
    <s v="DEP-A0-3354"/>
    <x v="0"/>
    <n v="24"/>
    <x v="0"/>
    <s v="Pantalón"/>
    <s v="Amarillo"/>
    <s v="Zara"/>
    <s v="MER-A0-3354"/>
    <d v="2025-02-20T00:00:00"/>
    <x v="1"/>
    <n v="22.07"/>
    <n v="0.3"/>
    <n v="135.114"/>
    <x v="1"/>
    <s v="Sí"/>
    <d v="2025-02-20T00:00:00"/>
    <n v="6"/>
  </r>
  <r>
    <s v="DEP-A0-1087"/>
    <x v="0"/>
    <n v="31"/>
    <x v="0"/>
    <s v="Blusa"/>
    <s v="Blanco"/>
    <s v="Levis"/>
    <s v="MER-A0-1087"/>
    <d v="2025-02-23T00:00:00"/>
    <x v="1"/>
    <n v="140.24"/>
    <n v="0.1"/>
    <n v="43.3"/>
    <x v="1"/>
    <s v="Sí"/>
    <d v="2025-02-23T00:00:00"/>
    <n v="3"/>
  </r>
  <r>
    <s v="DEP-A0-0269"/>
    <x v="0"/>
    <n v="33"/>
    <x v="0"/>
    <s v="Camisa"/>
    <s v="Gris"/>
    <s v="Levis"/>
    <s v="MER-A0-0269"/>
    <d v="2025-02-26T00:00:00"/>
    <x v="1"/>
    <n v="37.32"/>
    <n v="0"/>
    <n v="164.02"/>
    <x v="1"/>
    <s v="Sí"/>
    <d v="2025-02-26T00:00:00"/>
    <n v="3"/>
  </r>
  <r>
    <s v="DEP-A0-1820"/>
    <x v="0"/>
    <n v="34"/>
    <x v="0"/>
    <s v="Falda"/>
    <s v="Rojo"/>
    <s v="Mango"/>
    <s v="MER-A0-1820"/>
    <d v="2025-03-14T00:00:00"/>
    <x v="1"/>
    <n v="60.19"/>
    <n v="0"/>
    <n v="33.354999999999997"/>
    <x v="1"/>
    <s v="Sí"/>
    <d v="2025-03-14T00:00:00"/>
    <n v="6"/>
  </r>
  <r>
    <s v="DEP-A0-2233"/>
    <x v="0"/>
    <n v="30"/>
    <x v="0"/>
    <s v="Chaqueta"/>
    <s v="Blanco"/>
    <s v="Levis"/>
    <s v="MER-A0-2233"/>
    <d v="2025-03-26T00:00:00"/>
    <x v="1"/>
    <n v="73.06"/>
    <n v="0.2"/>
    <n v="132.125"/>
    <x v="1"/>
    <s v="Sí"/>
    <d v="2025-03-26T00:00:00"/>
    <n v="6"/>
  </r>
  <r>
    <s v="DEP-A0-3080"/>
    <x v="0"/>
    <n v="20"/>
    <x v="0"/>
    <s v="Camisa"/>
    <s v="Rojo"/>
    <s v="Mango"/>
    <s v="MER-A0-3080"/>
    <d v="2025-03-15T00:00:00"/>
    <x v="1"/>
    <n v="82.06"/>
    <n v="0.3"/>
    <n v="82.837999999999994"/>
    <x v="1"/>
    <s v="Sí"/>
    <d v="2025-03-15T00:00:00"/>
    <n v="6"/>
  </r>
  <r>
    <s v="DEP-A0-2487"/>
    <x v="1"/>
    <n v="24"/>
    <x v="0"/>
    <s v="Chaqueta"/>
    <s v="Azul"/>
    <s v="Tommy"/>
    <s v="MER-A0-2487"/>
    <d v="2025-03-09T00:00:00"/>
    <x v="1"/>
    <n v="82.38"/>
    <n v="0.2"/>
    <n v="162.78300000000002"/>
    <x v="1"/>
    <s v="Sí"/>
    <d v="2025-03-09T00:00:00"/>
    <n v="6"/>
  </r>
  <r>
    <s v="DEP-A0-4288"/>
    <x v="1"/>
    <n v="35"/>
    <x v="0"/>
    <s v="Chaqueta"/>
    <s v="Verde"/>
    <s v="Puma"/>
    <s v="MER-A0-4288"/>
    <d v="2025-03-20T00:00:00"/>
    <x v="1"/>
    <n v="93.28"/>
    <n v="0.2"/>
    <n v="138.16800000000001"/>
    <x v="1"/>
    <s v="Sí"/>
    <d v="2025-03-20T00:00:00"/>
    <n v="3"/>
  </r>
  <r>
    <s v="DEP-A0-3202"/>
    <x v="1"/>
    <n v="31"/>
    <x v="0"/>
    <s v="Chaqueta"/>
    <s v="Azul"/>
    <s v="Zara"/>
    <s v="MER-A0-3202"/>
    <d v="2025-03-29T00:00:00"/>
    <x v="1"/>
    <n v="95.44"/>
    <n v="0.3"/>
    <n v="14.49"/>
    <x v="1"/>
    <s v="Sí"/>
    <d v="2025-03-29T00:00:00"/>
    <n v="3"/>
  </r>
  <r>
    <s v="DEP-A0-4271"/>
    <x v="1"/>
    <n v="25"/>
    <x v="0"/>
    <s v="Pantalón"/>
    <s v="Blanco"/>
    <s v="Mango"/>
    <s v="MER-A0-4271"/>
    <d v="2025-03-22T00:00:00"/>
    <x v="1"/>
    <n v="112.86"/>
    <n v="0.2"/>
    <n v="84.51"/>
    <x v="1"/>
    <s v="Sí"/>
    <d v="2025-03-22T00:00:00"/>
    <n v="3"/>
  </r>
  <r>
    <s v="DEP-A0-3187"/>
    <x v="0"/>
    <n v="26"/>
    <x v="0"/>
    <s v="Blusa"/>
    <s v="Rojo"/>
    <s v="Mango"/>
    <s v="MER-A0-3187"/>
    <d v="2025-03-02T00:00:00"/>
    <x v="1"/>
    <n v="125.69"/>
    <n v="0.2"/>
    <n v="14.575999999999999"/>
    <x v="1"/>
    <s v="Sí"/>
    <d v="2025-03-02T00:00:00"/>
    <n v="6"/>
  </r>
  <r>
    <s v="DEP-A0-1770"/>
    <x v="0"/>
    <n v="25"/>
    <x v="0"/>
    <s v="Falda"/>
    <s v="Blanco"/>
    <s v="Tommy"/>
    <s v="MER-A0-1770"/>
    <d v="2025-03-23T00:00:00"/>
    <x v="1"/>
    <n v="133.91999999999999"/>
    <n v="0"/>
    <n v="39.222000000000001"/>
    <x v="1"/>
    <s v="Sí"/>
    <d v="2025-03-23T00:00:00"/>
    <n v="6"/>
  </r>
  <r>
    <s v="DEP-A0-1968"/>
    <x v="0"/>
    <n v="27"/>
    <x v="0"/>
    <s v="Blusa"/>
    <s v="Verde"/>
    <s v="Puma"/>
    <s v="MER-A0-1968"/>
    <d v="2025-03-02T00:00:00"/>
    <x v="1"/>
    <n v="141.56"/>
    <n v="0.1"/>
    <n v="110.745"/>
    <x v="1"/>
    <s v="Sí"/>
    <d v="2025-03-02T00:00:00"/>
    <n v="6"/>
  </r>
  <r>
    <s v="DEP-A0-1620"/>
    <x v="0"/>
    <n v="34"/>
    <x v="0"/>
    <s v="Zapatos"/>
    <s v="Negro"/>
    <s v="Adidas"/>
    <s v="MER-A0-1620"/>
    <d v="2025-03-21T00:00:00"/>
    <x v="1"/>
    <n v="147.35"/>
    <n v="0.1"/>
    <n v="100.352"/>
    <x v="1"/>
    <s v="Sí"/>
    <d v="2025-03-21T00:00:00"/>
    <n v="6"/>
  </r>
  <r>
    <s v="DEP-A0-3576"/>
    <x v="0"/>
    <n v="34"/>
    <x v="0"/>
    <s v="Blusa"/>
    <s v="Verde"/>
    <s v="Levis"/>
    <s v="MER-A0-3576"/>
    <d v="2025-03-18T00:00:00"/>
    <x v="1"/>
    <n v="163.21"/>
    <n v="0.1"/>
    <n v="24.752000000000002"/>
    <x v="1"/>
    <s v="Sí"/>
    <d v="2025-03-18T00:00:00"/>
    <n v="6"/>
  </r>
  <r>
    <s v="DEP-A0-4833"/>
    <x v="1"/>
    <n v="32"/>
    <x v="0"/>
    <s v="Camisa"/>
    <s v="Verde"/>
    <s v="Puma"/>
    <s v="MER-A0-4833"/>
    <d v="2025-03-26T00:00:00"/>
    <x v="1"/>
    <n v="163.71"/>
    <n v="0.1"/>
    <n v="51.48"/>
    <x v="1"/>
    <s v="Sí"/>
    <d v="2025-03-26T00:00:00"/>
    <n v="3"/>
  </r>
  <r>
    <s v="DEP-A0-4517"/>
    <x v="0"/>
    <n v="28"/>
    <x v="0"/>
    <s v="Chaqueta"/>
    <s v="Blanco"/>
    <s v="Adidas"/>
    <s v="MER-A0-4517"/>
    <d v="2025-03-10T00:00:00"/>
    <x v="1"/>
    <n v="187.61"/>
    <n v="0.3"/>
    <n v="75.42"/>
    <x v="1"/>
    <s v="Sí"/>
    <d v="2025-03-10T00:00:00"/>
    <n v="3"/>
  </r>
  <r>
    <s v="DEP-A0-4941"/>
    <x v="1"/>
    <n v="30"/>
    <x v="0"/>
    <s v="Zapatos"/>
    <s v="Negro"/>
    <s v="Nike"/>
    <s v="MER-A0-4941"/>
    <d v="2025-04-16T00:00:00"/>
    <x v="1"/>
    <n v="19.46"/>
    <n v="0.1"/>
    <n v="83.832000000000008"/>
    <x v="1"/>
    <s v="Sí"/>
    <d v="2025-04-16T00:00:00"/>
    <n v="3"/>
  </r>
  <r>
    <s v="DEP-A0-4648"/>
    <x v="1"/>
    <n v="23"/>
    <x v="0"/>
    <s v="Pantalón"/>
    <s v="Verde"/>
    <s v="Levis"/>
    <s v="MER-A0-4648"/>
    <d v="2025-04-28T00:00:00"/>
    <x v="1"/>
    <n v="24.21"/>
    <n v="0"/>
    <n v="169.70400000000001"/>
    <x v="1"/>
    <s v="Sí"/>
    <d v="2025-04-28T00:00:00"/>
    <n v="3"/>
  </r>
  <r>
    <s v="DEP-A0-2182"/>
    <x v="1"/>
    <n v="31"/>
    <x v="0"/>
    <s v="Pantalón"/>
    <s v="Verde"/>
    <s v="Zara"/>
    <s v="MER-A0-2182"/>
    <d v="2025-04-28T00:00:00"/>
    <x v="1"/>
    <n v="51.53"/>
    <n v="0.3"/>
    <n v="20.180999999999997"/>
    <x v="1"/>
    <s v="Sí"/>
    <d v="2025-04-28T00:00:00"/>
    <n v="6"/>
  </r>
  <r>
    <s v="DEP-A0-3373"/>
    <x v="0"/>
    <n v="29"/>
    <x v="0"/>
    <s v="Vestido"/>
    <s v="Verde"/>
    <s v="Adidas"/>
    <s v="MER-A0-3373"/>
    <d v="2025-04-02T00:00:00"/>
    <x v="1"/>
    <n v="86.21"/>
    <n v="0.1"/>
    <n v="87.72399999999999"/>
    <x v="1"/>
    <s v="Sí"/>
    <d v="2025-04-02T00:00:00"/>
    <n v="6"/>
  </r>
  <r>
    <s v="DEP-A0-4083"/>
    <x v="1"/>
    <n v="19"/>
    <x v="0"/>
    <s v="Zapatos"/>
    <s v="Rojo"/>
    <s v="Zara"/>
    <s v="MER-A0-4083"/>
    <d v="2025-04-01T00:00:00"/>
    <x v="1"/>
    <n v="91.66"/>
    <n v="0.1"/>
    <n v="92.491"/>
    <x v="1"/>
    <s v="Sí"/>
    <d v="2025-04-01T00:00:00"/>
    <n v="6"/>
  </r>
  <r>
    <s v="DEP-A0-2058"/>
    <x v="0"/>
    <n v="30"/>
    <x v="0"/>
    <s v="Vestido"/>
    <s v="Blanco"/>
    <s v="Zara"/>
    <s v="MER-A0-2058"/>
    <d v="2025-04-01T00:00:00"/>
    <x v="1"/>
    <n v="97.11"/>
    <n v="0.2"/>
    <n v="195.46"/>
    <x v="1"/>
    <s v="Sí"/>
    <d v="2025-04-01T00:00:00"/>
    <n v="6"/>
  </r>
  <r>
    <s v="DEP-A0-1553"/>
    <x v="0"/>
    <n v="22"/>
    <x v="0"/>
    <s v="Chaqueta"/>
    <s v="Gris"/>
    <s v="Tommy"/>
    <s v="MER-A0-1553"/>
    <d v="2025-04-24T00:00:00"/>
    <x v="1"/>
    <n v="103.14"/>
    <n v="0.3"/>
    <n v="48.504000000000005"/>
    <x v="1"/>
    <s v="Sí"/>
    <d v="2025-04-24T00:00:00"/>
    <n v="6"/>
  </r>
  <r>
    <s v="DEP-A0-3384"/>
    <x v="0"/>
    <n v="28"/>
    <x v="0"/>
    <s v="Pantalón"/>
    <s v="Azul"/>
    <s v="Mango"/>
    <s v="MER-A0-3384"/>
    <d v="2025-04-16T00:00:00"/>
    <x v="1"/>
    <n v="110.06"/>
    <n v="0.2"/>
    <n v="95.472000000000008"/>
    <x v="1"/>
    <s v="Sí"/>
    <d v="2025-04-16T00:00:00"/>
    <n v="3"/>
  </r>
  <r>
    <s v="DEP-A0-1067"/>
    <x v="1"/>
    <n v="35"/>
    <x v="0"/>
    <s v="Chaqueta"/>
    <s v="Rojo"/>
    <s v="Adidas"/>
    <s v="MER-A0-1067"/>
    <d v="2025-04-14T00:00:00"/>
    <x v="1"/>
    <n v="110.29"/>
    <n v="0.3"/>
    <n v="85.274000000000001"/>
    <x v="1"/>
    <s v="Sí"/>
    <d v="2025-04-14T00:00:00"/>
    <n v="3"/>
  </r>
  <r>
    <s v="DEP-A0-1815"/>
    <x v="0"/>
    <n v="31"/>
    <x v="0"/>
    <s v="Falda"/>
    <s v="Negro"/>
    <s v="Tommy"/>
    <s v="MER-A0-1815"/>
    <d v="2025-04-28T00:00:00"/>
    <x v="1"/>
    <n v="122.41"/>
    <n v="0.3"/>
    <n v="136.619"/>
    <x v="1"/>
    <s v="Sí"/>
    <d v="2025-04-28T00:00:00"/>
    <n v="3"/>
  </r>
  <r>
    <s v="DEP-A0-1019"/>
    <x v="0"/>
    <n v="32"/>
    <x v="0"/>
    <s v="Falda"/>
    <s v="Azul"/>
    <s v="Puma"/>
    <s v="MER-A0-1019"/>
    <d v="2025-04-14T00:00:00"/>
    <x v="1"/>
    <n v="124.6"/>
    <n v="0.1"/>
    <n v="62.448"/>
    <x v="1"/>
    <s v="Sí"/>
    <d v="2025-04-14T00:00:00"/>
    <n v="3"/>
  </r>
  <r>
    <s v="DEP-A0-3061"/>
    <x v="0"/>
    <n v="21"/>
    <x v="0"/>
    <s v="Zapatos"/>
    <s v="Gris"/>
    <s v="Nike"/>
    <s v="MER-A0-3061"/>
    <d v="2025-04-13T00:00:00"/>
    <x v="1"/>
    <n v="126.23"/>
    <n v="0.1"/>
    <n v="72.072000000000003"/>
    <x v="1"/>
    <s v="Sí"/>
    <d v="2025-04-13T00:00:00"/>
    <n v="3"/>
  </r>
  <r>
    <s v="DEP-A0-2249"/>
    <x v="0"/>
    <n v="33"/>
    <x v="0"/>
    <s v="Zapatos"/>
    <s v="Gris"/>
    <s v="Levis"/>
    <s v="MER-A0-2249"/>
    <d v="2025-04-11T00:00:00"/>
    <x v="1"/>
    <n v="130.08000000000001"/>
    <n v="0.2"/>
    <n v="196.16"/>
    <x v="1"/>
    <s v="Sí"/>
    <d v="2025-04-11T00:00:00"/>
    <n v="6"/>
  </r>
  <r>
    <s v="DEP-A0-0082"/>
    <x v="1"/>
    <n v="34"/>
    <x v="0"/>
    <s v="Zapatos"/>
    <s v="Azul"/>
    <s v="Tommy"/>
    <s v="MER-A0-0082"/>
    <d v="2025-04-20T00:00:00"/>
    <x v="1"/>
    <n v="151.87"/>
    <n v="0.3"/>
    <n v="129.40199999999999"/>
    <x v="1"/>
    <s v="Sí"/>
    <d v="2025-04-20T00:00:00"/>
    <n v="6"/>
  </r>
  <r>
    <s v="DEP-A0-2212"/>
    <x v="0"/>
    <n v="21"/>
    <x v="0"/>
    <s v="Pantalón"/>
    <s v="Verde"/>
    <s v="Puma"/>
    <s v="MER-A0-2212"/>
    <d v="2025-04-09T00:00:00"/>
    <x v="1"/>
    <n v="162.63"/>
    <n v="0.1"/>
    <n v="129.458"/>
    <x v="1"/>
    <s v="Sí"/>
    <d v="2025-04-09T00:00:00"/>
    <n v="6"/>
  </r>
  <r>
    <s v="DEP-A0-1782"/>
    <x v="0"/>
    <n v="31"/>
    <x v="0"/>
    <s v="Vestido"/>
    <s v="Negro"/>
    <s v="Nike"/>
    <s v="MER-A0-1782"/>
    <d v="2025-04-11T00:00:00"/>
    <x v="1"/>
    <n v="172.31"/>
    <n v="0.1"/>
    <n v="25.262999999999998"/>
    <x v="1"/>
    <s v="Sí"/>
    <d v="2025-04-11T00:00:00"/>
    <n v="6"/>
  </r>
  <r>
    <s v="DEP-A0-3031"/>
    <x v="0"/>
    <n v="26"/>
    <x v="0"/>
    <s v="Camisa"/>
    <s v="Rojo"/>
    <s v="Mango"/>
    <s v="MER-A0-3031"/>
    <d v="2025-04-28T00:00:00"/>
    <x v="1"/>
    <n v="178.75"/>
    <n v="0.3"/>
    <n v="38.331000000000003"/>
    <x v="1"/>
    <s v="Sí"/>
    <d v="2025-04-28T00:00:00"/>
    <n v="6"/>
  </r>
  <r>
    <s v="DEP-A0-1047"/>
    <x v="1"/>
    <n v="28"/>
    <x v="0"/>
    <s v="Zapatos"/>
    <s v="Azul"/>
    <s v="Zara"/>
    <s v="MER-A0-1047"/>
    <d v="2025-04-10T00:00:00"/>
    <x v="1"/>
    <n v="180.61"/>
    <n v="0.1"/>
    <n v="60.759"/>
    <x v="1"/>
    <s v="Sí"/>
    <d v="2025-04-10T00:00:00"/>
    <n v="6"/>
  </r>
  <r>
    <s v="DEP-A0-4624"/>
    <x v="0"/>
    <n v="27"/>
    <x v="0"/>
    <s v="Falda"/>
    <s v="Amarillo"/>
    <s v="Tommy"/>
    <s v="MER-A0-4624"/>
    <d v="2025-04-30T00:00:00"/>
    <x v="1"/>
    <n v="196.39"/>
    <n v="0.2"/>
    <n v="76.657000000000011"/>
    <x v="1"/>
    <s v="Sí"/>
    <d v="2025-04-30T00:00:00"/>
    <n v="3"/>
  </r>
  <r>
    <s v="DEP-A0-1116"/>
    <x v="0"/>
    <n v="28"/>
    <x v="0"/>
    <s v="Falda"/>
    <s v="Azul"/>
    <s v="Adidas"/>
    <s v="MER-A0-1116"/>
    <d v="2025-04-19T00:00:00"/>
    <x v="1"/>
    <n v="198.96"/>
    <n v="0.2"/>
    <n v="26.649000000000001"/>
    <x v="1"/>
    <s v="Sí"/>
    <d v="2025-04-19T00:00:00"/>
    <n v="3"/>
  </r>
  <r>
    <s v="DEP-A0-3954"/>
    <x v="0"/>
    <n v="32"/>
    <x v="0"/>
    <s v="Zapatos"/>
    <s v="Verde"/>
    <s v="Mango"/>
    <s v="MER-A0-3954"/>
    <d v="2025-05-17T00:00:00"/>
    <x v="1"/>
    <n v="19.98"/>
    <n v="0"/>
    <n v="19.795999999999999"/>
    <x v="1"/>
    <s v="Sí"/>
    <d v="2025-05-17T00:00:00"/>
    <n v="3"/>
  </r>
  <r>
    <s v="DEP-A0-3645"/>
    <x v="0"/>
    <n v="24"/>
    <x v="0"/>
    <s v="Vestido"/>
    <s v="Blanco"/>
    <s v="Zara"/>
    <s v="MER-A0-3645"/>
    <d v="2025-05-19T00:00:00"/>
    <x v="1"/>
    <n v="75.7"/>
    <n v="0"/>
    <n v="89.88"/>
    <x v="1"/>
    <s v="Sí"/>
    <d v="2025-05-19T00:00:00"/>
    <n v="6"/>
  </r>
  <r>
    <s v="DEP-A0-1689"/>
    <x v="0"/>
    <n v="25"/>
    <x v="0"/>
    <s v="Falda"/>
    <s v="Blanco"/>
    <s v="Zara"/>
    <s v="MER-A0-1689"/>
    <d v="2025-05-04T00:00:00"/>
    <x v="1"/>
    <n v="87.69"/>
    <n v="0.2"/>
    <n v="95.606000000000009"/>
    <x v="1"/>
    <s v="Sí"/>
    <d v="2025-05-04T00:00:00"/>
    <n v="3"/>
  </r>
  <r>
    <s v="DEP-A0-4547"/>
    <x v="0"/>
    <n v="20"/>
    <x v="0"/>
    <s v="Zapatos"/>
    <s v="Azul"/>
    <s v="Nike"/>
    <s v="MER-A0-4547"/>
    <d v="2025-05-22T00:00:00"/>
    <x v="1"/>
    <n v="98.16"/>
    <n v="0.3"/>
    <n v="115.60799999999999"/>
    <x v="1"/>
    <s v="Sí"/>
    <d v="2025-05-22T00:00:00"/>
    <n v="3"/>
  </r>
  <r>
    <s v="DEP-A0-4331"/>
    <x v="0"/>
    <n v="29"/>
    <x v="0"/>
    <s v="Falda"/>
    <s v="Amarillo"/>
    <s v="Zara"/>
    <s v="MER-A0-4331"/>
    <d v="2025-05-28T00:00:00"/>
    <x v="1"/>
    <n v="102.48"/>
    <n v="0.2"/>
    <n v="153.94"/>
    <x v="1"/>
    <s v="Sí"/>
    <d v="2025-05-28T00:00:00"/>
    <n v="3"/>
  </r>
  <r>
    <s v="DEP-A0-2670"/>
    <x v="0"/>
    <n v="31"/>
    <x v="0"/>
    <s v="Zapatos"/>
    <s v="Rojo"/>
    <s v="Adidas"/>
    <s v="MER-A0-2670"/>
    <d v="2025-05-12T00:00:00"/>
    <x v="1"/>
    <n v="122.82"/>
    <n v="0.3"/>
    <n v="62.073"/>
    <x v="1"/>
    <s v="Sí"/>
    <d v="2025-05-12T00:00:00"/>
    <n v="3"/>
  </r>
  <r>
    <s v="DEP-A0-3281"/>
    <x v="1"/>
    <n v="24"/>
    <x v="0"/>
    <s v="Camisa"/>
    <s v="Amarillo"/>
    <s v="Nike"/>
    <s v="MER-A0-3281"/>
    <d v="2025-05-13T00:00:00"/>
    <x v="1"/>
    <n v="129.93"/>
    <n v="0"/>
    <n v="20.384"/>
    <x v="1"/>
    <s v="Sí"/>
    <d v="2025-05-13T00:00:00"/>
    <n v="3"/>
  </r>
  <r>
    <s v="DEP-A0-3499"/>
    <x v="1"/>
    <n v="27"/>
    <x v="0"/>
    <s v="Camisa"/>
    <s v="Verde"/>
    <s v="Tommy"/>
    <s v="MER-A0-3499"/>
    <d v="2025-05-16T00:00:00"/>
    <x v="1"/>
    <n v="138.63"/>
    <n v="0"/>
    <n v="24.992999999999999"/>
    <x v="1"/>
    <s v="Sí"/>
    <d v="2025-05-16T00:00:00"/>
    <n v="3"/>
  </r>
  <r>
    <s v="DEP-A0-3885"/>
    <x v="0"/>
    <n v="35"/>
    <x v="0"/>
    <s v="Falda"/>
    <s v="Amarillo"/>
    <s v="Levis"/>
    <s v="MER-A0-3885"/>
    <d v="2025-05-28T00:00:00"/>
    <x v="1"/>
    <n v="143.91"/>
    <n v="0.1"/>
    <n v="77.805000000000007"/>
    <x v="1"/>
    <s v="Sí"/>
    <d v="2025-05-28T00:00:00"/>
    <n v="3"/>
  </r>
  <r>
    <s v="DEP-A0-2176"/>
    <x v="0"/>
    <n v="33"/>
    <x v="0"/>
    <s v="Pantalón"/>
    <s v="Negro"/>
    <s v="Tommy"/>
    <s v="MER-A0-2176"/>
    <d v="2025-05-19T00:00:00"/>
    <x v="1"/>
    <n v="144.53"/>
    <n v="0"/>
    <n v="103.24799999999999"/>
    <x v="1"/>
    <s v="Sí"/>
    <d v="2025-05-19T00:00:00"/>
    <n v="6"/>
  </r>
  <r>
    <s v="DEP-A0-0844"/>
    <x v="0"/>
    <n v="23"/>
    <x v="0"/>
    <s v="Camisa"/>
    <s v="Verde"/>
    <s v="Puma"/>
    <s v="MER-A0-0844"/>
    <d v="2025-05-27T00:00:00"/>
    <x v="1"/>
    <n v="162.63999999999999"/>
    <n v="0.2"/>
    <n v="65.808000000000007"/>
    <x v="1"/>
    <s v="Sí"/>
    <d v="2025-05-27T00:00:00"/>
    <n v="6"/>
  </r>
  <r>
    <s v="DEP-A0-0245"/>
    <x v="0"/>
    <n v="28"/>
    <x v="0"/>
    <s v="Vestido"/>
    <s v="Verde"/>
    <s v="Puma"/>
    <s v="MER-A0-0245"/>
    <d v="2025-05-29T00:00:00"/>
    <x v="1"/>
    <n v="162.80000000000001"/>
    <n v="0.1"/>
    <n v="61.691000000000003"/>
    <x v="1"/>
    <s v="Sí"/>
    <d v="2025-05-29T00:00:00"/>
    <n v="6"/>
  </r>
  <r>
    <s v="DEP-A0-2302"/>
    <x v="1"/>
    <n v="33"/>
    <x v="0"/>
    <s v="Chaqueta"/>
    <s v="Verde"/>
    <s v="Nike"/>
    <s v="MER-A0-2302"/>
    <d v="2025-05-14T00:00:00"/>
    <x v="1"/>
    <n v="184.99"/>
    <n v="0.3"/>
    <n v="9.9760000000000009"/>
    <x v="1"/>
    <s v="Sí"/>
    <d v="2025-05-14T00:00:00"/>
    <n v="3"/>
  </r>
  <r>
    <s v="DEP-A0-2332"/>
    <x v="0"/>
    <n v="24"/>
    <x v="0"/>
    <s v="Pantalón"/>
    <s v="Gris"/>
    <s v="Mango"/>
    <s v="MER-A0-2332"/>
    <d v="2025-05-22T00:00:00"/>
    <x v="1"/>
    <n v="198.94"/>
    <n v="0.2"/>
    <n v="8.2159999999999993"/>
    <x v="1"/>
    <s v="Sí"/>
    <d v="2025-05-22T00:00:00"/>
    <n v="3"/>
  </r>
  <r>
    <s v="DEP-A0-1010"/>
    <x v="1"/>
    <n v="22"/>
    <x v="0"/>
    <s v="Camisa"/>
    <s v="Rojo"/>
    <s v="Zara"/>
    <s v="MER-A0-1010"/>
    <d v="2025-06-05T00:00:00"/>
    <x v="1"/>
    <n v="29.85"/>
    <n v="0.1"/>
    <n v="10.577"/>
    <x v="1"/>
    <s v="Sí"/>
    <d v="2025-06-05T00:00:00"/>
    <n v="6"/>
  </r>
  <r>
    <s v="DEP-A0-3941"/>
    <x v="0"/>
    <n v="21"/>
    <x v="0"/>
    <s v="Vestido"/>
    <s v="Rojo"/>
    <s v="Levis"/>
    <s v="MER-A0-3941"/>
    <d v="2025-06-14T00:00:00"/>
    <x v="1"/>
    <n v="40.39"/>
    <n v="0.3"/>
    <n v="11.048"/>
    <x v="1"/>
    <s v="Sí"/>
    <d v="2025-06-14T00:00:00"/>
    <n v="6"/>
  </r>
  <r>
    <s v="DEP-A0-1206"/>
    <x v="0"/>
    <n v="19"/>
    <x v="0"/>
    <s v="Falda"/>
    <s v="Rojo"/>
    <s v="Adidas"/>
    <s v="MER-A0-1206"/>
    <d v="2025-06-16T00:00:00"/>
    <x v="1"/>
    <n v="44.88"/>
    <n v="0.2"/>
    <n v="11.123999999999999"/>
    <x v="1"/>
    <s v="Sí"/>
    <d v="2025-06-16T00:00:00"/>
    <n v="6"/>
  </r>
  <r>
    <s v="DEP-A0-2529"/>
    <x v="0"/>
    <n v="28"/>
    <x v="0"/>
    <s v="Chaqueta"/>
    <s v="Gris"/>
    <s v="Puma"/>
    <s v="MER-A0-2529"/>
    <d v="2025-06-30T00:00:00"/>
    <x v="1"/>
    <n v="51.69"/>
    <n v="0.2"/>
    <n v="11.582999999999998"/>
    <x v="1"/>
    <s v="Sí"/>
    <d v="2025-06-30T00:00:00"/>
    <n v="3"/>
  </r>
  <r>
    <s v="DEP-A0-0081"/>
    <x v="1"/>
    <n v="21"/>
    <x v="0"/>
    <s v="Pantalón"/>
    <s v="Negro"/>
    <s v="Mango"/>
    <s v="MER-A0-0081"/>
    <d v="2025-06-09T00:00:00"/>
    <x v="1"/>
    <n v="61.3"/>
    <n v="0.3"/>
    <n v="11.808"/>
    <x v="1"/>
    <s v="Sí"/>
    <d v="2025-06-09T00:00:00"/>
    <n v="3"/>
  </r>
  <r>
    <s v="DEP-A0-0968"/>
    <x v="0"/>
    <n v="22"/>
    <x v="0"/>
    <s v="Vestido"/>
    <s v="Gris"/>
    <s v="Mango"/>
    <s v="MER-A0-0968"/>
    <d v="2025-06-05T00:00:00"/>
    <x v="1"/>
    <n v="68.849999999999994"/>
    <n v="0.3"/>
    <n v="12.29"/>
    <x v="1"/>
    <s v="Sí"/>
    <d v="2025-06-05T00:00:00"/>
    <n v="3"/>
  </r>
  <r>
    <s v="DEP-A0-4062"/>
    <x v="0"/>
    <n v="29"/>
    <x v="0"/>
    <s v="Chaqueta"/>
    <s v="Blanco"/>
    <s v="Zara"/>
    <s v="MER-A0-4062"/>
    <d v="2025-06-14T00:00:00"/>
    <x v="1"/>
    <n v="87.8"/>
    <n v="0"/>
    <n v="12.544"/>
    <x v="1"/>
    <s v="Sí"/>
    <d v="2025-06-14T00:00:00"/>
    <n v="3"/>
  </r>
  <r>
    <s v="DEP-A0-3631"/>
    <x v="0"/>
    <n v="25"/>
    <x v="0"/>
    <s v="Chaqueta"/>
    <s v="Verde"/>
    <s v="Tommy"/>
    <s v="MER-A0-3631"/>
    <d v="2025-06-05T00:00:00"/>
    <x v="1"/>
    <n v="106.02"/>
    <n v="0"/>
    <n v="13.95"/>
    <x v="1"/>
    <s v="Sí"/>
    <d v="2025-06-05T00:00:00"/>
    <n v="6"/>
  </r>
  <r>
    <s v="DEP-A0-0483"/>
    <x v="0"/>
    <n v="21"/>
    <x v="0"/>
    <s v="Chaqueta"/>
    <s v="Verde"/>
    <s v="Zara"/>
    <s v="MER-A0-0483"/>
    <d v="2025-06-08T00:00:00"/>
    <x v="1"/>
    <n v="118.37"/>
    <n v="0.3"/>
    <n v="15.197000000000001"/>
    <x v="1"/>
    <s v="Sí"/>
    <d v="2025-06-08T00:00:00"/>
    <n v="6"/>
  </r>
  <r>
    <s v="DEP-A0-2622"/>
    <x v="0"/>
    <n v="21"/>
    <x v="0"/>
    <s v="Zapatos"/>
    <s v="Gris"/>
    <s v="Nike"/>
    <s v="MER-A0-2622"/>
    <d v="2025-06-23T00:00:00"/>
    <x v="1"/>
    <n v="125.15"/>
    <n v="0.1"/>
    <n v="15.4"/>
    <x v="1"/>
    <s v="Sí"/>
    <d v="2025-06-23T00:00:00"/>
    <n v="6"/>
  </r>
  <r>
    <s v="DEP-A0-4259"/>
    <x v="0"/>
    <n v="30"/>
    <x v="0"/>
    <s v="Falda"/>
    <s v="Azul"/>
    <s v="Tommy"/>
    <s v="MER-A0-4259"/>
    <d v="2025-06-14T00:00:00"/>
    <x v="1"/>
    <n v="133.51"/>
    <n v="0"/>
    <n v="15.928000000000001"/>
    <x v="1"/>
    <s v="Sí"/>
    <d v="2025-06-14T00:00:00"/>
    <n v="6"/>
  </r>
  <r>
    <s v="DEP-A0-3396"/>
    <x v="0"/>
    <n v="28"/>
    <x v="0"/>
    <s v="Zapatos"/>
    <s v="Blanco"/>
    <s v="Adidas"/>
    <s v="MER-A0-3396"/>
    <d v="2025-06-02T00:00:00"/>
    <x v="1"/>
    <n v="133.91"/>
    <n v="0.2"/>
    <n v="16.072000000000003"/>
    <x v="1"/>
    <s v="Sí"/>
    <d v="2025-06-02T00:00:00"/>
    <n v="3"/>
  </r>
  <r>
    <s v="DEP-A0-1325"/>
    <x v="1"/>
    <n v="33"/>
    <x v="0"/>
    <s v="Chaqueta"/>
    <s v="Gris"/>
    <s v="Zara"/>
    <s v="MER-A0-1325"/>
    <d v="2025-06-09T00:00:00"/>
    <x v="1"/>
    <n v="138.28"/>
    <n v="0"/>
    <n v="16.408000000000001"/>
    <x v="1"/>
    <s v="Sí"/>
    <d v="2025-06-09T00:00:00"/>
    <n v="3"/>
  </r>
  <r>
    <s v="DEP-A0-2327"/>
    <x v="0"/>
    <n v="34"/>
    <x v="0"/>
    <s v="Camisa"/>
    <s v="Amarillo"/>
    <s v="Tommy"/>
    <s v="MER-A0-2327"/>
    <d v="2025-06-08T00:00:00"/>
    <x v="1"/>
    <n v="143.94"/>
    <n v="0.3"/>
    <n v="16.632000000000001"/>
    <x v="1"/>
    <s v="Sí"/>
    <d v="2025-06-08T00:00:00"/>
    <n v="3"/>
  </r>
  <r>
    <s v="DEP-A0-2618"/>
    <x v="0"/>
    <n v="33"/>
    <x v="0"/>
    <s v="Pantalón"/>
    <s v="Rojo"/>
    <s v="Mango"/>
    <s v="MER-A0-2618"/>
    <d v="2025-06-12T00:00:00"/>
    <x v="1"/>
    <n v="144.66"/>
    <n v="0.1"/>
    <n v="16.66"/>
    <x v="1"/>
    <s v="Sí"/>
    <d v="2025-06-12T00:00:00"/>
    <n v="3"/>
  </r>
  <r>
    <s v="DEP-A0-0633"/>
    <x v="0"/>
    <n v="29"/>
    <x v="0"/>
    <s v="Vestido"/>
    <s v="Amarillo"/>
    <s v="Tommy"/>
    <s v="MER-A0-0633"/>
    <d v="2025-06-24T00:00:00"/>
    <x v="1"/>
    <n v="152.16999999999999"/>
    <n v="0"/>
    <n v="17.21"/>
    <x v="1"/>
    <s v="Sí"/>
    <d v="2025-06-24T00:00:00"/>
    <n v="3"/>
  </r>
  <r>
    <s v="DEP-A0-1732"/>
    <x v="1"/>
    <n v="28"/>
    <x v="0"/>
    <s v="Chaqueta"/>
    <s v="Azul"/>
    <s v="Zara"/>
    <s v="MER-A0-1732"/>
    <d v="2025-06-20T00:00:00"/>
    <x v="1"/>
    <n v="160.31"/>
    <n v="0.2"/>
    <n v="17.682000000000002"/>
    <x v="1"/>
    <s v="Sí"/>
    <d v="2025-06-20T00:00:00"/>
    <n v="6"/>
  </r>
  <r>
    <s v="DEP-A0-4633"/>
    <x v="1"/>
    <n v="22"/>
    <x v="0"/>
    <s v="Camisa"/>
    <s v="Blanco"/>
    <s v="Zara"/>
    <s v="MER-A0-4633"/>
    <d v="2025-06-21T00:00:00"/>
    <x v="1"/>
    <n v="191.37"/>
    <n v="0.2"/>
    <n v="19.416"/>
    <x v="1"/>
    <s v="Sí"/>
    <d v="2025-06-21T00:00:00"/>
    <n v="6"/>
  </r>
  <r>
    <s v="DEP-A0-3455"/>
    <x v="1"/>
    <n v="22"/>
    <x v="0"/>
    <s v="Zapatos"/>
    <s v="Rojo"/>
    <s v="Tommy"/>
    <s v="MER-A0-3455"/>
    <d v="2025-06-26T00:00:00"/>
    <x v="1"/>
    <n v="192.7"/>
    <n v="0.2"/>
    <n v="19.5"/>
    <x v="1"/>
    <s v="Sí"/>
    <d v="2025-06-26T00:00:00"/>
    <n v="6"/>
  </r>
  <r>
    <s v="DEP-A0-2522"/>
    <x v="0"/>
    <n v="21"/>
    <x v="0"/>
    <s v="Falda"/>
    <s v="Rojo"/>
    <s v="Puma"/>
    <s v="MER-A0-2522"/>
    <d v="2025-07-02T00:00:00"/>
    <x v="1"/>
    <n v="47.19"/>
    <n v="0.3"/>
    <n v="21.423999999999999"/>
    <x v="1"/>
    <s v="Sí"/>
    <d v="2025-07-02T00:00:00"/>
    <n v="3"/>
  </r>
  <r>
    <s v="DEP-A0-1442"/>
    <x v="1"/>
    <n v="35"/>
    <x v="0"/>
    <s v="Zapatos"/>
    <s v="Amarillo"/>
    <s v="Adidas"/>
    <s v="MER-A0-1442"/>
    <d v="2025-07-25T00:00:00"/>
    <x v="1"/>
    <n v="74.650000000000006"/>
    <n v="0.3"/>
    <n v="22.064"/>
    <x v="1"/>
    <s v="Sí"/>
    <d v="2025-07-25T00:00:00"/>
    <n v="3"/>
  </r>
  <r>
    <s v="DEP-A0-4689"/>
    <x v="0"/>
    <n v="35"/>
    <x v="0"/>
    <s v="Zapatos"/>
    <s v="Negro"/>
    <s v="Levis"/>
    <s v="MER-A0-4689"/>
    <d v="2025-07-27T00:00:00"/>
    <x v="1"/>
    <n v="82.39"/>
    <n v="0.1"/>
    <n v="22.303999999999998"/>
    <x v="1"/>
    <s v="Sí"/>
    <d v="2025-07-27T00:00:00"/>
    <n v="3"/>
  </r>
  <r>
    <s v="DEP-A0-0628"/>
    <x v="1"/>
    <n v="26"/>
    <x v="0"/>
    <s v="Zapatos"/>
    <s v="Blanco"/>
    <s v="Zara"/>
    <s v="MER-A0-0628"/>
    <d v="2025-07-17T00:00:00"/>
    <x v="1"/>
    <n v="101.84"/>
    <n v="0.1"/>
    <n v="22.59"/>
    <x v="1"/>
    <s v="Sí"/>
    <d v="2025-07-17T00:00:00"/>
    <n v="3"/>
  </r>
  <r>
    <s v="DEP-A0-4731"/>
    <x v="0"/>
    <n v="20"/>
    <x v="0"/>
    <s v="Vestido"/>
    <s v="Amarillo"/>
    <s v="Tommy"/>
    <s v="MER-A0-4731"/>
    <d v="2025-07-01T00:00:00"/>
    <x v="1"/>
    <n v="115.01"/>
    <n v="0"/>
    <n v="22.756999999999998"/>
    <x v="1"/>
    <s v="Sí"/>
    <d v="2025-07-01T00:00:00"/>
    <n v="6"/>
  </r>
  <r>
    <s v="DEP-A0-0376"/>
    <x v="0"/>
    <n v="25"/>
    <x v="0"/>
    <s v="Zapatos"/>
    <s v="Blanco"/>
    <s v="Mango"/>
    <s v="MER-A0-0376"/>
    <d v="2025-07-08T00:00:00"/>
    <x v="1"/>
    <n v="135.38"/>
    <n v="0.2"/>
    <n v="23.634"/>
    <x v="1"/>
    <s v="Sí"/>
    <d v="2025-07-08T00:00:00"/>
    <n v="6"/>
  </r>
  <r>
    <s v="DEP-A0-4269"/>
    <x v="0"/>
    <n v="27"/>
    <x v="0"/>
    <s v="Chaqueta"/>
    <s v="Amarillo"/>
    <s v="Tommy"/>
    <s v="MER-A0-4269"/>
    <d v="2025-07-26T00:00:00"/>
    <x v="1"/>
    <n v="136.41"/>
    <n v="0.3"/>
    <n v="23.688000000000002"/>
    <x v="1"/>
    <s v="Sí"/>
    <d v="2025-07-26T00:00:00"/>
    <n v="6"/>
  </r>
  <r>
    <s v="DEP-A0-3727"/>
    <x v="0"/>
    <n v="32"/>
    <x v="0"/>
    <s v="Zapatos"/>
    <s v="Amarillo"/>
    <s v="Tommy"/>
    <s v="MER-A0-3727"/>
    <d v="2025-07-16T00:00:00"/>
    <x v="1"/>
    <n v="147.16"/>
    <n v="0.1"/>
    <n v="23.898000000000003"/>
    <x v="1"/>
    <s v="Sí"/>
    <d v="2025-07-16T00:00:00"/>
    <n v="6"/>
  </r>
  <r>
    <s v="DEP-A0-0312"/>
    <x v="0"/>
    <n v="20"/>
    <x v="0"/>
    <s v="Vestido"/>
    <s v="Negro"/>
    <s v="Levis"/>
    <s v="MER-A0-0312"/>
    <d v="2025-07-14T00:00:00"/>
    <x v="1"/>
    <n v="147.74"/>
    <n v="0.2"/>
    <n v="24.128"/>
    <x v="1"/>
    <s v="Sí"/>
    <d v="2025-07-14T00:00:00"/>
    <n v="6"/>
  </r>
  <r>
    <s v="DEP-A0-2712"/>
    <x v="1"/>
    <n v="25"/>
    <x v="0"/>
    <s v="Pantalón"/>
    <s v="Negro"/>
    <s v="Zara"/>
    <s v="MER-A0-2712"/>
    <d v="2025-07-10T00:00:00"/>
    <x v="1"/>
    <n v="157.55000000000001"/>
    <n v="0.2"/>
    <n v="24.290999999999997"/>
    <x v="1"/>
    <s v="Sí"/>
    <d v="2025-07-10T00:00:00"/>
    <n v="6"/>
  </r>
  <r>
    <s v="DEP-A0-0963"/>
    <x v="1"/>
    <n v="21"/>
    <x v="0"/>
    <s v="Zapatos"/>
    <s v="Amarillo"/>
    <s v="Tommy"/>
    <s v="MER-A0-0963"/>
    <d v="2025-07-31T00:00:00"/>
    <x v="1"/>
    <n v="159.86000000000001"/>
    <n v="0.2"/>
    <n v="24.61"/>
    <x v="1"/>
    <s v="Sí"/>
    <d v="2025-07-31T00:00:00"/>
    <n v="3"/>
  </r>
  <r>
    <s v="DEP-A0-4667"/>
    <x v="0"/>
    <n v="32"/>
    <x v="0"/>
    <s v="Chaqueta"/>
    <s v="Rojo"/>
    <s v="Puma"/>
    <s v="MER-A0-4667"/>
    <d v="2025-07-02T00:00:00"/>
    <x v="1"/>
    <n v="167.64"/>
    <n v="0.3"/>
    <n v="24.88"/>
    <x v="1"/>
    <s v="Sí"/>
    <d v="2025-07-02T00:00:00"/>
    <n v="3"/>
  </r>
  <r>
    <s v="DEP-A0-2223"/>
    <x v="0"/>
    <n v="32"/>
    <x v="0"/>
    <s v="Vestido"/>
    <s v="Verde"/>
    <s v="Mango"/>
    <s v="MER-A0-2223"/>
    <d v="2025-07-20T00:00:00"/>
    <x v="1"/>
    <n v="174.8"/>
    <n v="0.3"/>
    <n v="27.349"/>
    <x v="1"/>
    <s v="Sí"/>
    <d v="2025-07-20T00:00:00"/>
    <n v="3"/>
  </r>
  <r>
    <s v="DEP-A0-4699"/>
    <x v="0"/>
    <n v="26"/>
    <x v="0"/>
    <s v="Falda"/>
    <s v="Rojo"/>
    <s v="Levis"/>
    <s v="MER-A0-4699"/>
    <d v="2025-07-30T00:00:00"/>
    <x v="1"/>
    <n v="194.66"/>
    <n v="0.3"/>
    <n v="27.992000000000001"/>
    <x v="1"/>
    <s v="Sí"/>
    <d v="2025-07-30T00:00:00"/>
    <n v="3"/>
  </r>
  <r>
    <s v="DEP-A0-2066"/>
    <x v="1"/>
    <n v="20"/>
    <x v="0"/>
    <s v="Chaqueta"/>
    <s v="Verde"/>
    <s v="Nike"/>
    <s v="MER-A0-2066"/>
    <d v="2025-08-01T00:00:00"/>
    <x v="1"/>
    <n v="21.82"/>
    <n v="0.3"/>
    <n v="28.014000000000003"/>
    <x v="1"/>
    <s v="Sí"/>
    <d v="2025-08-01T00:00:00"/>
    <n v="6"/>
  </r>
  <r>
    <s v="DEP-A0-3194"/>
    <x v="0"/>
    <n v="25"/>
    <x v="0"/>
    <s v="Chaqueta"/>
    <s v="Blanco"/>
    <s v="Puma"/>
    <s v="MER-A0-3194"/>
    <d v="2025-08-10T00:00:00"/>
    <x v="1"/>
    <n v="26.97"/>
    <n v="0.1"/>
    <n v="28.427"/>
    <x v="1"/>
    <s v="Sí"/>
    <d v="2025-08-10T00:00:00"/>
    <n v="6"/>
  </r>
  <r>
    <s v="DEP-A0-0150"/>
    <x v="0"/>
    <n v="35"/>
    <x v="0"/>
    <s v="Blusa"/>
    <s v="Verde"/>
    <s v="Mango"/>
    <s v="MER-A0-0150"/>
    <d v="2025-08-14T00:00:00"/>
    <x v="1"/>
    <n v="90.41"/>
    <n v="0"/>
    <n v="30.959999999999997"/>
    <x v="1"/>
    <s v="Sí"/>
    <d v="2025-08-14T00:00:00"/>
    <n v="6"/>
  </r>
  <r>
    <s v="DEP-A0-4777"/>
    <x v="0"/>
    <n v="25"/>
    <x v="0"/>
    <s v="Chaqueta"/>
    <s v="Gris"/>
    <s v="Tommy"/>
    <s v="MER-A0-4777"/>
    <d v="2025-08-10T00:00:00"/>
    <x v="1"/>
    <n v="102.97"/>
    <n v="0.2"/>
    <n v="31.495999999999999"/>
    <x v="1"/>
    <s v="Sí"/>
    <d v="2025-08-10T00:00:00"/>
    <n v="3"/>
  </r>
  <r>
    <s v="DEP-A0-2834"/>
    <x v="0"/>
    <n v="23"/>
    <x v="0"/>
    <s v="Camisa"/>
    <s v="Negro"/>
    <s v="Adidas"/>
    <s v="MER-A0-2834"/>
    <d v="2025-08-16T00:00:00"/>
    <x v="1"/>
    <n v="108.94"/>
    <n v="0.3"/>
    <n v="31.76"/>
    <x v="1"/>
    <s v="Sí"/>
    <d v="2025-08-16T00:00:00"/>
    <n v="3"/>
  </r>
  <r>
    <s v="DEP-A0-4086"/>
    <x v="1"/>
    <n v="33"/>
    <x v="0"/>
    <s v="Zapatos"/>
    <s v="Azul"/>
    <s v="Mango"/>
    <s v="MER-A0-4086"/>
    <d v="2025-08-13T00:00:00"/>
    <x v="1"/>
    <n v="124.51"/>
    <n v="0.3"/>
    <n v="31.98"/>
    <x v="1"/>
    <s v="Sí"/>
    <d v="2025-08-13T00:00:00"/>
    <n v="3"/>
  </r>
  <r>
    <s v="DEP-A0-4604"/>
    <x v="1"/>
    <n v="27"/>
    <x v="0"/>
    <s v="Camisa"/>
    <s v="Azul"/>
    <s v="Puma"/>
    <s v="MER-A0-4604"/>
    <d v="2025-08-10T00:00:00"/>
    <x v="1"/>
    <n v="131.25"/>
    <n v="0.1"/>
    <n v="32.515000000000001"/>
    <x v="1"/>
    <s v="Sí"/>
    <d v="2025-08-10T00:00:00"/>
    <n v="3"/>
  </r>
  <r>
    <s v="DEP-A0-0169"/>
    <x v="0"/>
    <n v="33"/>
    <x v="0"/>
    <s v="Camisa"/>
    <s v="Blanco"/>
    <s v="Mango"/>
    <s v="MER-A0-0169"/>
    <d v="2025-08-11T00:00:00"/>
    <x v="1"/>
    <n v="159"/>
    <n v="0.1"/>
    <n v="33.124000000000002"/>
    <x v="1"/>
    <s v="Sí"/>
    <d v="2025-08-11T00:00:00"/>
    <n v="3"/>
  </r>
  <r>
    <s v="DEP-A0-1506"/>
    <x v="0"/>
    <n v="32"/>
    <x v="0"/>
    <s v="Falda"/>
    <s v="Negro"/>
    <s v="Tommy"/>
    <s v="MER-A0-1506"/>
    <d v="2025-08-04T00:00:00"/>
    <x v="1"/>
    <n v="173.36"/>
    <n v="0.2"/>
    <n v="33.561"/>
    <x v="1"/>
    <s v="Sí"/>
    <d v="2025-08-04T00:00:00"/>
    <n v="3"/>
  </r>
  <r>
    <s v="DEP-A0-1031"/>
    <x v="0"/>
    <n v="18"/>
    <x v="0"/>
    <s v="Falda"/>
    <s v="Gris"/>
    <s v="Zara"/>
    <s v="MER-A0-1031"/>
    <d v="2025-07-25T00:00:00"/>
    <x v="1"/>
    <n v="83.28"/>
    <n v="0.3"/>
    <n v="35.384999999999998"/>
    <x v="1"/>
    <s v="Sí"/>
    <d v="2025-07-25T00:00:00"/>
    <n v="6"/>
  </r>
  <r>
    <s v="DEP-A0-2665"/>
    <x v="0"/>
    <n v="32"/>
    <x v="0"/>
    <s v="Blusa"/>
    <s v="Rojo"/>
    <s v="Puma"/>
    <s v="MER-A0-2665"/>
    <d v="2025-07-04T00:00:00"/>
    <x v="1"/>
    <n v="84.59"/>
    <n v="0.3"/>
    <n v="35.53"/>
    <x v="1"/>
    <s v="Sí"/>
    <d v="2025-07-04T00:00:00"/>
    <n v="6"/>
  </r>
  <r>
    <s v="DEP-A0-1546"/>
    <x v="1"/>
    <n v="22"/>
    <x v="0"/>
    <s v="Chaqueta"/>
    <s v="Azul"/>
    <s v="Tommy"/>
    <s v="MER-A0-1546"/>
    <d v="2025-07-29T00:00:00"/>
    <x v="1"/>
    <n v="120.68"/>
    <n v="0.1"/>
    <n v="36.458999999999996"/>
    <x v="1"/>
    <s v="Sí"/>
    <d v="2025-07-29T00:00:00"/>
    <n v="6"/>
  </r>
  <r>
    <s v="DEP-A0-3153"/>
    <x v="0"/>
    <n v="30"/>
    <x v="0"/>
    <s v="Chaqueta"/>
    <s v="Gris"/>
    <s v="Zara"/>
    <s v="MER-A0-3153"/>
    <d v="2025-07-11T00:00:00"/>
    <x v="1"/>
    <n v="146.36000000000001"/>
    <n v="0"/>
    <n v="36.49"/>
    <x v="1"/>
    <s v="Sí"/>
    <d v="2025-07-11T00:00:00"/>
    <n v="6"/>
  </r>
  <r>
    <s v="DEP-A0-3348"/>
    <x v="0"/>
    <n v="22"/>
    <x v="0"/>
    <s v="Chaqueta"/>
    <s v="Rojo"/>
    <s v="Mango"/>
    <s v="MER-A0-3348"/>
    <d v="2025-07-03T00:00:00"/>
    <x v="1"/>
    <n v="147.97"/>
    <n v="0"/>
    <n v="36.83"/>
    <x v="1"/>
    <s v="Sí"/>
    <d v="2025-07-03T00:00:00"/>
    <n v="6"/>
  </r>
  <r>
    <s v="DEP-A0-4240"/>
    <x v="1"/>
    <n v="25"/>
    <x v="0"/>
    <s v="Pantalón"/>
    <s v="Gris"/>
    <s v="Levis"/>
    <s v="MER-A0-4240"/>
    <d v="2025-07-14T00:00:00"/>
    <x v="1"/>
    <n v="183.85"/>
    <n v="0.2"/>
    <n v="44.73"/>
    <x v="1"/>
    <s v="Sí"/>
    <d v="2025-07-14T00:00:00"/>
    <n v="3"/>
  </r>
  <r>
    <s v="DEP-A0-1069"/>
    <x v="0"/>
    <n v="34"/>
    <x v="0"/>
    <s v="Camisa"/>
    <s v="Negro"/>
    <s v="Levis"/>
    <s v="MER-A0-1069"/>
    <d v="2025-08-06T00:00:00"/>
    <x v="1"/>
    <n v="10.87"/>
    <n v="0"/>
    <n v="45.32"/>
    <x v="1"/>
    <s v="Sí"/>
    <d v="2025-08-06T00:00:00"/>
    <n v="3"/>
  </r>
  <r>
    <s v="DEP-A0-1133"/>
    <x v="0"/>
    <n v="20"/>
    <x v="0"/>
    <s v="Vestido"/>
    <s v="Blanco"/>
    <s v="Nike"/>
    <s v="MER-A0-1133"/>
    <d v="2025-08-01T00:00:00"/>
    <x v="1"/>
    <n v="123.03"/>
    <n v="0"/>
    <n v="47.334000000000003"/>
    <x v="1"/>
    <s v="Sí"/>
    <d v="2025-08-01T00:00:00"/>
    <n v="3"/>
  </r>
  <r>
    <s v="DEP-A0-1551"/>
    <x v="0"/>
    <n v="32"/>
    <x v="0"/>
    <s v="Chaqueta"/>
    <s v="Gris"/>
    <s v="Levis"/>
    <s v="MER-A0-1551"/>
    <d v="2025-08-12T00:00:00"/>
    <x v="1"/>
    <n v="138.86000000000001"/>
    <n v="0.1"/>
    <n v="47.466000000000001"/>
    <x v="1"/>
    <s v="Sí"/>
    <d v="2025-08-12T00:00:00"/>
    <n v="6"/>
  </r>
  <r>
    <s v="DEP-A0-0465"/>
    <x v="0"/>
    <n v="22"/>
    <x v="0"/>
    <s v="Blusa"/>
    <s v="Azul"/>
    <s v="Adidas"/>
    <s v="MER-A0-0465"/>
    <d v="2025-08-15T00:00:00"/>
    <x v="1"/>
    <n v="145.51"/>
    <n v="0.3"/>
    <n v="51.12"/>
    <x v="1"/>
    <s v="Sí"/>
    <d v="2025-08-15T00:00:00"/>
    <n v="6"/>
  </r>
  <r>
    <s v="DEP-A0-0001"/>
    <x v="0"/>
    <n v="23"/>
    <x v="0"/>
    <s v="Chaqueta"/>
    <s v="Gris"/>
    <s v="Levis"/>
    <s v="MER-A0-0001"/>
    <d v="2025-08-08T00:00:00"/>
    <x v="1"/>
    <n v="158.63"/>
    <n v="0.2"/>
    <n v="51.205000000000005"/>
    <x v="1"/>
    <s v="Sí"/>
    <d v="2025-08-08T00:00:00"/>
    <n v="6"/>
  </r>
  <r>
    <s v="DEP-A0-1950"/>
    <x v="0"/>
    <n v="32"/>
    <x v="0"/>
    <s v="Pantalón"/>
    <s v="Negro"/>
    <s v="Mango"/>
    <s v="MER-A0-1950"/>
    <d v="2025-02-13T00:00:00"/>
    <x v="1"/>
    <n v="64.12"/>
    <n v="0.1"/>
    <n v="52.730999999999995"/>
    <x v="1"/>
    <s v="Sí"/>
    <d v="2025-04-25T00:00:00"/>
    <n v="6"/>
  </r>
  <r>
    <s v="DEP-A0-1893"/>
    <x v="0"/>
    <n v="31"/>
    <x v="0"/>
    <s v="Vestido"/>
    <s v="Rojo"/>
    <s v="Tommy"/>
    <s v="MER-A0-1893"/>
    <d v="2025-01-14T00:00:00"/>
    <x v="1"/>
    <n v="92.51"/>
    <n v="0"/>
    <n v="55.17"/>
    <x v="1"/>
    <s v="Sí"/>
    <d v="2025-04-14T00:00:00"/>
    <n v="3"/>
  </r>
  <r>
    <s v="DEP-A0-1761"/>
    <x v="0"/>
    <n v="34"/>
    <x v="0"/>
    <s v="Chaqueta"/>
    <s v="Azul"/>
    <s v="Nike"/>
    <s v="MER-A0-1761"/>
    <d v="2025-01-26T00:00:00"/>
    <x v="1"/>
    <n v="125.65"/>
    <n v="0.3"/>
    <n v="56.096999999999994"/>
    <x v="1"/>
    <s v="Sí"/>
    <d v="2025-04-26T00:00:00"/>
    <n v="3"/>
  </r>
  <r>
    <s v="DEP-A0-0166"/>
    <x v="0"/>
    <n v="33"/>
    <x v="0"/>
    <s v="Zapatos"/>
    <s v="Negro"/>
    <s v="Zara"/>
    <s v="MER-A0-0166"/>
    <d v="2025-01-23T00:00:00"/>
    <x v="1"/>
    <n v="133.72999999999999"/>
    <n v="0.2"/>
    <n v="56.11"/>
    <x v="1"/>
    <s v="Sí"/>
    <d v="2025-04-23T00:00:00"/>
    <n v="3"/>
  </r>
  <r>
    <s v="DEP-A0-1637"/>
    <x v="1"/>
    <n v="34"/>
    <x v="0"/>
    <s v="Camisa"/>
    <s v="Rojo"/>
    <s v="Puma"/>
    <s v="MER-A0-1637"/>
    <d v="2025-01-14T00:00:00"/>
    <x v="1"/>
    <n v="171.57"/>
    <n v="0.3"/>
    <n v="56.83"/>
    <x v="1"/>
    <s v="Sí"/>
    <d v="2025-04-14T00:00:00"/>
    <n v="3"/>
  </r>
  <r>
    <s v="DEP-A0-1921"/>
    <x v="0"/>
    <n v="32"/>
    <x v="0"/>
    <s v="Falda"/>
    <s v="Blanco"/>
    <s v="Levis"/>
    <s v="MER-A0-1921"/>
    <d v="2025-01-12T00:00:00"/>
    <x v="1"/>
    <n v="199.23"/>
    <n v="0.2"/>
    <n v="61.817000000000007"/>
    <x v="1"/>
    <s v="Sí"/>
    <d v="2025-04-12T00:00:00"/>
    <n v="3"/>
  </r>
  <r>
    <s v="DEP-A0-4943"/>
    <x v="0"/>
    <n v="35"/>
    <x v="0"/>
    <s v="Chaqueta"/>
    <s v="Azul"/>
    <s v="Levis"/>
    <s v="MER-A0-4943"/>
    <d v="2025-03-11T00:00:00"/>
    <x v="1"/>
    <n v="73.89"/>
    <n v="0.2"/>
    <n v="67.346999999999994"/>
    <x v="1"/>
    <s v="Sí"/>
    <d v="2025-06-09T00:00:00"/>
    <n v="3"/>
  </r>
  <r>
    <s v="DEP-A0-2195"/>
    <x v="0"/>
    <n v="23"/>
    <x v="0"/>
    <s v="Falda"/>
    <s v="Amarillo"/>
    <s v="Tommy"/>
    <s v="MER-A0-2195"/>
    <d v="2025-03-30T00:00:00"/>
    <x v="1"/>
    <n v="112.02"/>
    <n v="0.1"/>
    <n v="67.724999999999994"/>
    <x v="1"/>
    <s v="Sí"/>
    <d v="2025-06-28T00:00:00"/>
    <n v="3"/>
  </r>
  <r>
    <s v="DEP-A0-0814"/>
    <x v="0"/>
    <n v="18"/>
    <x v="0"/>
    <s v="Blusa"/>
    <s v="Amarillo"/>
    <s v="Levis"/>
    <s v="MER-A0-0814"/>
    <d v="2025-03-17T00:00:00"/>
    <x v="1"/>
    <n v="131.25"/>
    <n v="0.3"/>
    <n v="71.86"/>
    <x v="1"/>
    <s v="Sí"/>
    <d v="2025-06-15T00:00:00"/>
    <n v="3"/>
  </r>
  <r>
    <s v="DEP-A0-1569"/>
    <x v="0"/>
    <n v="32"/>
    <x v="0"/>
    <s v="Camisa"/>
    <s v="Blanco"/>
    <s v="Nike"/>
    <s v="MER-A0-1569"/>
    <d v="2025-03-24T00:00:00"/>
    <x v="1"/>
    <n v="148.87"/>
    <n v="0"/>
    <n v="72.638999999999996"/>
    <x v="1"/>
    <s v="Sí"/>
    <d v="2025-06-22T00:00:00"/>
    <n v="3"/>
  </r>
  <r>
    <s v="DEP-A0-0557"/>
    <x v="0"/>
    <n v="21"/>
    <x v="0"/>
    <s v="Blusa"/>
    <s v="Gris"/>
    <s v="Nike"/>
    <s v="MER-A0-0557"/>
    <d v="2025-04-27T00:00:00"/>
    <x v="1"/>
    <n v="70.64"/>
    <n v="0.3"/>
    <n v="73.263999999999996"/>
    <x v="1"/>
    <s v="Sí"/>
    <d v="2025-07-26T00:00:00"/>
    <n v="3"/>
  </r>
  <r>
    <s v="DEP-A0-4618"/>
    <x v="0"/>
    <n v="27"/>
    <x v="0"/>
    <s v="Chaqueta"/>
    <s v="Blanco"/>
    <s v="Puma"/>
    <s v="MER-A0-4618"/>
    <d v="2025-04-08T00:00:00"/>
    <x v="1"/>
    <n v="92.75"/>
    <n v="0.2"/>
    <n v="77.849999999999994"/>
    <x v="1"/>
    <s v="Sí"/>
    <d v="2025-07-07T00:00:00"/>
    <n v="3"/>
  </r>
  <r>
    <s v="DEP-A0-2466"/>
    <x v="0"/>
    <n v="23"/>
    <x v="0"/>
    <s v="Vestido"/>
    <s v="Rojo"/>
    <s v="Tommy"/>
    <s v="MER-A0-2466"/>
    <d v="2025-04-24T00:00:00"/>
    <x v="1"/>
    <n v="105.1"/>
    <n v="0.1"/>
    <n v="78.063999999999993"/>
    <x v="1"/>
    <s v="Sí"/>
    <d v="2025-07-23T00:00:00"/>
    <n v="3"/>
  </r>
  <r>
    <s v="DEP-A0-4756"/>
    <x v="0"/>
    <n v="20"/>
    <x v="0"/>
    <s v="Vestido"/>
    <s v="Azul"/>
    <s v="Nike"/>
    <s v="MER-A0-4756"/>
    <d v="2025-04-16T00:00:00"/>
    <x v="1"/>
    <n v="114.11"/>
    <n v="0.2"/>
    <n v="78.92"/>
    <x v="1"/>
    <s v="Sí"/>
    <d v="2025-07-15T00:00:00"/>
    <n v="3"/>
  </r>
  <r>
    <s v="DEP-A0-3837"/>
    <x v="0"/>
    <n v="32"/>
    <x v="0"/>
    <s v="Vestido"/>
    <s v="Verde"/>
    <s v="Nike"/>
    <s v="MER-A0-3837"/>
    <d v="2025-04-01T00:00:00"/>
    <x v="1"/>
    <n v="178.43"/>
    <n v="0.2"/>
    <n v="79.667000000000002"/>
    <x v="1"/>
    <s v="Sí"/>
    <d v="2025-06-30T00:00:00"/>
    <n v="3"/>
  </r>
  <r>
    <s v="DEP-A0-0645"/>
    <x v="0"/>
    <n v="32"/>
    <x v="0"/>
    <s v="Falda"/>
    <s v="Blanco"/>
    <s v="Levis"/>
    <s v="MER-A0-0645"/>
    <d v="2025-04-04T00:00:00"/>
    <x v="1"/>
    <n v="182.81"/>
    <n v="0.3"/>
    <n v="80.56"/>
    <x v="1"/>
    <s v="Sí"/>
    <d v="2025-07-03T00:00:00"/>
    <n v="3"/>
  </r>
  <r>
    <s v="DEP-A0-1131"/>
    <x v="0"/>
    <n v="26"/>
    <x v="0"/>
    <s v="Falda"/>
    <s v="Azul"/>
    <s v="Adidas"/>
    <s v="MER-A0-1131"/>
    <d v="2025-04-07T00:00:00"/>
    <x v="1"/>
    <n v="184.82"/>
    <n v="0.3"/>
    <n v="82.39"/>
    <x v="1"/>
    <s v="Sí"/>
    <d v="2025-07-06T00:00:00"/>
    <n v="3"/>
  </r>
  <r>
    <s v="DEP-A0-4759"/>
    <x v="0"/>
    <n v="21"/>
    <x v="0"/>
    <s v="Blusa"/>
    <s v="Azul"/>
    <s v="Puma"/>
    <s v="MER-A0-4759"/>
    <d v="2025-05-10T00:00:00"/>
    <x v="1"/>
    <n v="30.82"/>
    <n v="0.1"/>
    <n v="84.186000000000007"/>
    <x v="1"/>
    <s v="Sí"/>
    <d v="2025-08-08T00:00:00"/>
    <n v="3"/>
  </r>
  <r>
    <s v="DEP-A0-3540"/>
    <x v="0"/>
    <n v="20"/>
    <x v="0"/>
    <s v="Blusa"/>
    <s v="Amarillo"/>
    <s v="Mango"/>
    <s v="MER-A0-3540"/>
    <d v="2025-05-11T00:00:00"/>
    <x v="1"/>
    <n v="37.299999999999997"/>
    <n v="0.3"/>
    <n v="84.293999999999997"/>
    <x v="1"/>
    <s v="Sí"/>
    <d v="2025-08-09T00:00:00"/>
    <n v="3"/>
  </r>
  <r>
    <s v="DEP-A0-0946"/>
    <x v="0"/>
    <n v="25"/>
    <x v="0"/>
    <s v="Vestido"/>
    <s v="Rojo"/>
    <s v="Adidas"/>
    <s v="MER-A0-0946"/>
    <d v="2025-05-31T00:00:00"/>
    <x v="1"/>
    <n v="52.28"/>
    <n v="0.2"/>
    <n v="84.808000000000007"/>
    <x v="1"/>
    <s v="Sí"/>
    <d v="2025-08-29T00:00:00"/>
    <n v="3"/>
  </r>
  <r>
    <s v="DEP-A0-2664"/>
    <x v="0"/>
    <n v="32"/>
    <x v="0"/>
    <s v="Blusa"/>
    <s v="Gris"/>
    <s v="Mango"/>
    <s v="MER-A0-2664"/>
    <d v="2025-05-08T00:00:00"/>
    <x v="1"/>
    <n v="97.44"/>
    <n v="0.2"/>
    <n v="85.980999999999995"/>
    <x v="1"/>
    <s v="Sí"/>
    <d v="2025-08-06T00:00:00"/>
    <n v="3"/>
  </r>
  <r>
    <s v="DEP-A0-4422"/>
    <x v="0"/>
    <n v="32"/>
    <x v="0"/>
    <s v="Zapatos"/>
    <s v="Rojo"/>
    <s v="Mango"/>
    <s v="MER-A0-4422"/>
    <d v="2025-05-05T00:00:00"/>
    <x v="1"/>
    <n v="104.15"/>
    <n v="0.3"/>
    <n v="86.163000000000011"/>
    <x v="1"/>
    <s v="Sí"/>
    <d v="2025-08-03T00:00:00"/>
    <n v="3"/>
  </r>
  <r>
    <s v="DEP-A0-1464"/>
    <x v="1"/>
    <n v="23"/>
    <x v="0"/>
    <s v="Pantalón"/>
    <s v="Gris"/>
    <s v="Mango"/>
    <s v="MER-A0-1464"/>
    <d v="2025-05-28T00:00:00"/>
    <x v="1"/>
    <n v="118.53"/>
    <n v="0.3"/>
    <n v="86.787000000000006"/>
    <x v="1"/>
    <s v="Sí"/>
    <d v="2025-08-26T00:00:00"/>
    <n v="3"/>
  </r>
  <r>
    <s v="DEP-A0-1544"/>
    <x v="0"/>
    <n v="21"/>
    <x v="0"/>
    <s v="Camisa"/>
    <s v="Rojo"/>
    <s v="Mango"/>
    <s v="MER-A0-1544"/>
    <d v="2025-05-20T00:00:00"/>
    <x v="1"/>
    <n v="182.71"/>
    <n v="0"/>
    <n v="93.055999999999997"/>
    <x v="1"/>
    <s v="Sí"/>
    <d v="2025-08-18T00:00:00"/>
    <n v="3"/>
  </r>
  <r>
    <s v="DEP-A0-0953"/>
    <x v="0"/>
    <n v="22"/>
    <x v="0"/>
    <s v="Blusa"/>
    <s v="Blanco"/>
    <s v="Zara"/>
    <s v="MER-A0-0953"/>
    <d v="2025-06-21T00:00:00"/>
    <x v="1"/>
    <n v="17.649999999999999"/>
    <n v="0"/>
    <n v="95.183999999999997"/>
    <x v="1"/>
    <s v="Sí"/>
    <d v="2025-09-19T00:00:00"/>
    <n v="3"/>
  </r>
  <r>
    <s v="DEP-A0-1827"/>
    <x v="0"/>
    <n v="29"/>
    <x v="0"/>
    <s v="Falda"/>
    <s v="Amarillo"/>
    <s v="Adidas"/>
    <s v="MER-A0-1827"/>
    <d v="2025-06-14T00:00:00"/>
    <x v="1"/>
    <n v="52.18"/>
    <n v="0"/>
    <n v="95.623999999999995"/>
    <x v="1"/>
    <s v="Sí"/>
    <d v="2025-09-12T00:00:00"/>
    <n v="3"/>
  </r>
  <r>
    <s v="DEP-A0-3878"/>
    <x v="0"/>
    <n v="24"/>
    <x v="0"/>
    <s v="Falda"/>
    <s v="Rojo"/>
    <s v="Mango"/>
    <s v="MER-A0-3878"/>
    <d v="2025-06-11T00:00:00"/>
    <x v="1"/>
    <n v="69.11"/>
    <n v="0.2"/>
    <n v="98.147000000000006"/>
    <x v="1"/>
    <s v="Sí"/>
    <d v="2025-09-09T00:00:00"/>
    <n v="3"/>
  </r>
  <r>
    <s v="DEP-A0-4284"/>
    <x v="0"/>
    <n v="20"/>
    <x v="0"/>
    <s v="Falda"/>
    <s v="Gris"/>
    <s v="Tommy"/>
    <s v="MER-A0-4284"/>
    <d v="2025-06-19T00:00:00"/>
    <x v="1"/>
    <n v="75.06"/>
    <n v="0.3"/>
    <n v="99.462999999999994"/>
    <x v="1"/>
    <s v="Sí"/>
    <d v="2025-09-17T00:00:00"/>
    <n v="3"/>
  </r>
  <r>
    <s v="DEP-A0-3142"/>
    <x v="0"/>
    <n v="19"/>
    <x v="0"/>
    <s v="Pantalón"/>
    <s v="Gris"/>
    <s v="Tommy"/>
    <s v="MER-A0-3142"/>
    <d v="2025-07-05T00:00:00"/>
    <x v="1"/>
    <n v="55.23"/>
    <n v="0.3"/>
    <n v="105.59200000000001"/>
    <x v="1"/>
    <s v="Sí"/>
    <d v="2025-10-03T00:00:00"/>
    <n v="3"/>
  </r>
  <r>
    <s v="DEP-A0-2265"/>
    <x v="1"/>
    <n v="18"/>
    <x v="0"/>
    <s v="Chaqueta"/>
    <s v="Azul"/>
    <s v="Nike"/>
    <s v="MER-A0-2265"/>
    <d v="2025-07-24T00:00:00"/>
    <x v="1"/>
    <n v="69.14"/>
    <n v="0.3"/>
    <n v="106.39200000000001"/>
    <x v="1"/>
    <s v="Sí"/>
    <d v="2025-10-22T00:00:00"/>
    <n v="3"/>
  </r>
  <r>
    <s v="DEP-A0-1155"/>
    <x v="1"/>
    <n v="21"/>
    <x v="0"/>
    <s v="Chaqueta"/>
    <s v="Gris"/>
    <s v="Adidas"/>
    <s v="MER-A0-1155"/>
    <d v="2025-07-05T00:00:00"/>
    <x v="1"/>
    <n v="88.88"/>
    <n v="0.2"/>
    <n v="107.096"/>
    <x v="1"/>
    <s v="Sí"/>
    <d v="2025-10-03T00:00:00"/>
    <n v="3"/>
  </r>
  <r>
    <s v="DEP-A0-0466"/>
    <x v="0"/>
    <n v="30"/>
    <x v="0"/>
    <s v="Falda"/>
    <s v="Amarillo"/>
    <s v="Levis"/>
    <s v="MER-A0-0466"/>
    <d v="2025-07-14T00:00:00"/>
    <x v="1"/>
    <n v="104.45"/>
    <n v="0.1"/>
    <n v="109.38600000000001"/>
    <x v="1"/>
    <s v="Sí"/>
    <d v="2025-10-12T00:00:00"/>
    <n v="3"/>
  </r>
  <r>
    <s v="DEP-A0-4033"/>
    <x v="0"/>
    <n v="33"/>
    <x v="0"/>
    <s v="Blusa"/>
    <s v="Blanco"/>
    <s v="Levis"/>
    <s v="MER-A0-4033"/>
    <d v="2025-07-28T00:00:00"/>
    <x v="1"/>
    <n v="129.18"/>
    <n v="0.1"/>
    <n v="109.50399999999999"/>
    <x v="1"/>
    <s v="Sí"/>
    <d v="2025-10-26T00:00:00"/>
    <n v="3"/>
  </r>
  <r>
    <s v="DEP-A0-1788"/>
    <x v="0"/>
    <n v="18"/>
    <x v="0"/>
    <s v="Camisa"/>
    <s v="Blanco"/>
    <s v="Puma"/>
    <s v="MER-A0-1788"/>
    <d v="2025-07-09T00:00:00"/>
    <x v="1"/>
    <n v="164.79"/>
    <n v="0"/>
    <n v="110.48800000000001"/>
    <x v="1"/>
    <s v="Sí"/>
    <d v="2025-10-07T00:00:00"/>
    <n v="3"/>
  </r>
  <r>
    <s v="DEP-A0-3297"/>
    <x v="0"/>
    <n v="18"/>
    <x v="0"/>
    <s v="Falda"/>
    <s v="Gris"/>
    <s v="Nike"/>
    <s v="MER-A0-3297"/>
    <d v="2025-07-15T00:00:00"/>
    <x v="1"/>
    <n v="168.11"/>
    <n v="0"/>
    <n v="111.60799999999999"/>
    <x v="1"/>
    <s v="Sí"/>
    <d v="2025-10-13T00:00:00"/>
    <n v="3"/>
  </r>
  <r>
    <s v="DEP-A0-3073"/>
    <x v="0"/>
    <n v="29"/>
    <x v="0"/>
    <s v="Zapatos"/>
    <s v="Gris"/>
    <s v="Nike"/>
    <s v="MER-A0-3073"/>
    <d v="2025-07-11T00:00:00"/>
    <x v="1"/>
    <n v="192.86"/>
    <n v="0.2"/>
    <n v="114.354"/>
    <x v="1"/>
    <s v="Sí"/>
    <d v="2025-10-09T00:00:00"/>
    <n v="3"/>
  </r>
  <r>
    <s v="DEP-A0-4193"/>
    <x v="0"/>
    <n v="23"/>
    <x v="0"/>
    <s v="Vestido"/>
    <s v="Rojo"/>
    <s v="Tommy"/>
    <s v="MER-A0-4193"/>
    <d v="2025-07-17T00:00:00"/>
    <x v="1"/>
    <n v="60.05"/>
    <n v="0.1"/>
    <n v="122.55199999999999"/>
    <x v="1"/>
    <s v="Sí"/>
    <d v="2025-10-15T00:00:00"/>
    <n v="3"/>
  </r>
  <r>
    <s v="DEP-A0-3984"/>
    <x v="1"/>
    <n v="35"/>
    <x v="0"/>
    <s v="Camisa"/>
    <s v="Verde"/>
    <s v="Zara"/>
    <s v="MER-A0-3984"/>
    <d v="2025-07-19T00:00:00"/>
    <x v="1"/>
    <n v="116.82"/>
    <n v="0.1"/>
    <n v="123.33599999999998"/>
    <x v="1"/>
    <s v="Sí"/>
    <d v="2025-10-17T00:00:00"/>
    <n v="3"/>
  </r>
  <r>
    <s v="DEP-A0-1435"/>
    <x v="0"/>
    <n v="28"/>
    <x v="0"/>
    <s v="Zapatos"/>
    <s v="Azul"/>
    <s v="Tommy"/>
    <s v="MER-A0-1435"/>
    <d v="2025-07-26T00:00:00"/>
    <x v="1"/>
    <n v="118.61"/>
    <n v="0.1"/>
    <n v="125.024"/>
    <x v="1"/>
    <s v="Sí"/>
    <d v="2025-10-24T00:00:00"/>
    <n v="3"/>
  </r>
  <r>
    <s v="DEP-A0-0260"/>
    <x v="0"/>
    <n v="25"/>
    <x v="0"/>
    <s v="Blusa"/>
    <s v="Verde"/>
    <s v="Levis"/>
    <s v="MER-A0-0260"/>
    <d v="2025-01-09T00:00:00"/>
    <x v="1"/>
    <n v="10.38"/>
    <n v="0.1"/>
    <n v="132.25800000000001"/>
    <x v="1"/>
    <s v="Sí"/>
    <d v="2025-07-08T00:00:00"/>
    <n v="6"/>
  </r>
  <r>
    <s v="DEP-A0-3945"/>
    <x v="0"/>
    <n v="30"/>
    <x v="0"/>
    <s v="Falda"/>
    <s v="Verde"/>
    <s v="Nike"/>
    <s v="MER-A0-3945"/>
    <d v="2025-01-15T00:00:00"/>
    <x v="1"/>
    <n v="30.96"/>
    <n v="0.2"/>
    <n v="133.65600000000001"/>
    <x v="1"/>
    <s v="Sí"/>
    <d v="2025-07-14T00:00:00"/>
    <n v="6"/>
  </r>
  <r>
    <s v="DEP-A0-2535"/>
    <x v="0"/>
    <n v="32"/>
    <x v="0"/>
    <s v="Zapatos"/>
    <s v="Blanco"/>
    <s v="Adidas"/>
    <s v="MER-A0-2535"/>
    <d v="2025-02-13T00:00:00"/>
    <x v="1"/>
    <n v="61.93"/>
    <n v="0.2"/>
    <n v="134.964"/>
    <x v="1"/>
    <s v="Sí"/>
    <d v="2025-07-18T00:00:00"/>
    <n v="6"/>
  </r>
  <r>
    <s v="DEP-A0-4701"/>
    <x v="1"/>
    <n v="27"/>
    <x v="0"/>
    <s v="Pantalón"/>
    <s v="Amarillo"/>
    <s v="Puma"/>
    <s v="MER-A0-4701"/>
    <d v="2025-01-19T00:00:00"/>
    <x v="1"/>
    <n v="193.62"/>
    <n v="0.3"/>
    <n v="137.88"/>
    <x v="1"/>
    <s v="Sí"/>
    <d v="2025-07-18T00:00:00"/>
    <n v="6"/>
  </r>
  <r>
    <s v="DEP-A0-0497"/>
    <x v="0"/>
    <n v="18"/>
    <x v="0"/>
    <s v="Blusa"/>
    <s v="Gris"/>
    <s v="Zara"/>
    <s v="MER-A0-0497"/>
    <d v="2025-02-09T00:00:00"/>
    <x v="1"/>
    <n v="88.96"/>
    <n v="0"/>
    <n v="146.40799999999999"/>
    <x v="1"/>
    <s v="Sí"/>
    <d v="2025-08-08T00:00:00"/>
    <n v="6"/>
  </r>
  <r>
    <s v="DEP-A0-3978"/>
    <x v="0"/>
    <n v="27"/>
    <x v="0"/>
    <s v="Blusa"/>
    <s v="Blanco"/>
    <s v="Adidas"/>
    <s v="MER-A0-3978"/>
    <d v="2025-02-11T00:00:00"/>
    <x v="1"/>
    <n v="70.12"/>
    <n v="0.1"/>
    <n v="146.87200000000001"/>
    <x v="1"/>
    <s v="Sí"/>
    <d v="2025-08-10T00:00:00"/>
    <n v="6"/>
  </r>
  <r>
    <s v="DEP-A0-3871"/>
    <x v="0"/>
    <n v="25"/>
    <x v="0"/>
    <s v="Falda"/>
    <s v="Verde"/>
    <s v="Mango"/>
    <s v="MER-A0-3871"/>
    <d v="2025-02-15T00:00:00"/>
    <x v="1"/>
    <n v="99.1"/>
    <n v="0.3"/>
    <n v="149.47999999999999"/>
    <x v="1"/>
    <s v="Sí"/>
    <d v="2025-08-14T00:00:00"/>
    <n v="6"/>
  </r>
  <r>
    <s v="DEP-A0-2434"/>
    <x v="0"/>
    <n v="22"/>
    <x v="0"/>
    <s v="Camisa"/>
    <s v="Blanco"/>
    <s v="Mango"/>
    <s v="MER-A0-2434"/>
    <d v="2025-02-19T00:00:00"/>
    <x v="1"/>
    <n v="165.59"/>
    <n v="0.1"/>
    <n v="149.88"/>
    <x v="1"/>
    <s v="Sí"/>
    <d v="2025-08-18T00:00:00"/>
    <n v="6"/>
  </r>
  <r>
    <s v="DEP-A0-1615"/>
    <x v="0"/>
    <n v="19"/>
    <x v="0"/>
    <s v="Blusa"/>
    <s v="Amarillo"/>
    <s v="Puma"/>
    <s v="MER-A0-1615"/>
    <d v="2025-02-27T00:00:00"/>
    <x v="1"/>
    <n v="186.9"/>
    <n v="0"/>
    <n v="150.381"/>
    <x v="1"/>
    <s v="Sí"/>
    <d v="2025-08-26T00:00:00"/>
    <n v="6"/>
  </r>
  <r>
    <s v="DEP-A0-2201"/>
    <x v="0"/>
    <n v="21"/>
    <x v="0"/>
    <s v="Camisa"/>
    <s v="Negro"/>
    <s v="Mango"/>
    <s v="MER-A0-2201"/>
    <d v="2025-03-24T00:00:00"/>
    <x v="1"/>
    <n v="90.23"/>
    <n v="0.2"/>
    <n v="150.47999999999999"/>
    <x v="1"/>
    <s v="Sí"/>
    <d v="2025-09-20T00:00:00"/>
    <n v="6"/>
  </r>
  <r>
    <s v="DEP-A0-0852"/>
    <x v="1"/>
    <n v="18"/>
    <x v="0"/>
    <s v="Zapatos"/>
    <s v="Gris"/>
    <s v="Nike"/>
    <s v="MER-A0-0852"/>
    <d v="2025-04-02T00:00:00"/>
    <x v="1"/>
    <n v="41.11"/>
    <n v="0"/>
    <n v="167.22900000000001"/>
    <x v="1"/>
    <s v="Sí"/>
    <d v="2025-09-29T00:00:00"/>
    <n v="6"/>
  </r>
  <r>
    <s v="DEP-A0-4724"/>
    <x v="0"/>
    <n v="31"/>
    <x v="0"/>
    <s v="Vestido"/>
    <s v="Verde"/>
    <s v="Adidas"/>
    <s v="MER-A0-4724"/>
    <d v="2025-04-29T00:00:00"/>
    <x v="1"/>
    <n v="59.32"/>
    <n v="0"/>
    <n v="168.7"/>
    <x v="1"/>
    <s v="Sí"/>
    <d v="2025-10-26T00:00:00"/>
    <n v="6"/>
  </r>
  <r>
    <s v="DEP-A0-2151"/>
    <x v="0"/>
    <n v="35"/>
    <x v="0"/>
    <s v="Camisa"/>
    <s v="Gris"/>
    <s v="Levis"/>
    <s v="MER-A0-2151"/>
    <d v="2025-04-19T00:00:00"/>
    <x v="1"/>
    <n v="167.53"/>
    <n v="0.1"/>
    <n v="176.47200000000001"/>
    <x v="1"/>
    <s v="Sí"/>
    <d v="2025-10-16T00:00:00"/>
    <n v="6"/>
  </r>
  <r>
    <s v="DEP-A0-2301"/>
    <x v="1"/>
    <n v="26"/>
    <x v="0"/>
    <s v="Chaqueta"/>
    <s v="Blanco"/>
    <s v="Mango"/>
    <s v="MER-A0-2301"/>
    <d v="2025-04-02T00:00:00"/>
    <x v="1"/>
    <n v="167.57"/>
    <n v="0.1"/>
    <n v="178.09199999999998"/>
    <x v="1"/>
    <s v="Sí"/>
    <d v="2025-09-29T00:00:00"/>
    <n v="6"/>
  </r>
  <r>
    <s v="DEP-A0-2219"/>
    <x v="0"/>
    <n v="27"/>
    <x v="0"/>
    <s v="Falda"/>
    <s v="Verde"/>
    <s v="Levis"/>
    <s v="MER-A0-2219"/>
    <d v="2025-04-27T00:00:00"/>
    <x v="1"/>
    <n v="173.26"/>
    <n v="0.1"/>
    <n v="180.25"/>
    <x v="1"/>
    <s v="Sí"/>
    <d v="2025-10-24T00:00:00"/>
    <n v="6"/>
  </r>
  <r>
    <s v="DEP-A0-1688"/>
    <x v="0"/>
    <n v="25"/>
    <x v="0"/>
    <s v="Blusa"/>
    <s v="Gris"/>
    <s v="Mango"/>
    <s v="MER-A0-1688"/>
    <d v="2025-04-04T00:00:00"/>
    <x v="1"/>
    <n v="173.86"/>
    <n v="0"/>
    <n v="184.18"/>
    <x v="1"/>
    <s v="Sí"/>
    <d v="2025-10-01T00:00:00"/>
    <n v="6"/>
  </r>
  <r>
    <s v="DEP-A0-1494"/>
    <x v="0"/>
    <n v="27"/>
    <x v="0"/>
    <s v="Vestido"/>
    <s v="Blanco"/>
    <s v="Levis"/>
    <s v="MER-A0-1494"/>
    <d v="2025-04-30T00:00:00"/>
    <x v="1"/>
    <n v="185.68"/>
    <n v="0.1"/>
    <n v="186.23"/>
    <x v="1"/>
    <s v="Sí"/>
    <d v="2025-10-27T00:00:00"/>
    <n v="6"/>
  </r>
  <r>
    <s v="DEP-A0-0876"/>
    <x v="0"/>
    <n v="23"/>
    <x v="0"/>
    <s v="Chaqueta"/>
    <s v="Amarillo"/>
    <s v="Zara"/>
    <s v="MER-A0-0876"/>
    <d v="2025-05-04T00:00:00"/>
    <x v="1"/>
    <n v="21.47"/>
    <n v="0.1"/>
    <n v="198.58"/>
    <x v="1"/>
    <s v="Sí"/>
    <d v="2025-10-31T00:00:00"/>
    <n v="6"/>
  </r>
  <r>
    <s v="DEP-A0-0099"/>
    <x v="1"/>
    <n v="33"/>
    <x v="0"/>
    <s v="Camisa"/>
    <s v="Negro"/>
    <s v="Zara"/>
    <s v="MER-A0-0099"/>
    <d v="2025-05-10T00:00:00"/>
    <x v="1"/>
    <n v="86.76"/>
    <n v="0"/>
    <n v="199.62"/>
    <x v="1"/>
    <s v="Sí"/>
    <d v="2025-11-06T00:00:00"/>
    <n v="6"/>
  </r>
  <r>
    <s v="DEP-A0-2171"/>
    <x v="0"/>
    <n v="35"/>
    <x v="0"/>
    <s v="Vestido"/>
    <s v="Negro"/>
    <s v="Puma"/>
    <s v="MER-A0-2171"/>
    <d v="2025-05-24T00:00:00"/>
    <x v="1"/>
    <n v="87.41"/>
    <n v="0.2"/>
    <n v="35.629999999999995"/>
    <x v="1"/>
    <s v="Sí"/>
    <d v="2025-11-20T00:00:00"/>
    <n v="6"/>
  </r>
  <r>
    <s v="DEP-A0-0011"/>
    <x v="0"/>
    <n v="25"/>
    <x v="0"/>
    <s v="Zapatos"/>
    <s v="Negro"/>
    <s v="Adidas"/>
    <s v="MER-A0-0011"/>
    <d v="2025-05-04T00:00:00"/>
    <x v="1"/>
    <n v="145.21"/>
    <n v="0.2"/>
    <n v="36.47"/>
    <x v="1"/>
    <s v="Sí"/>
    <d v="2025-10-31T00:00:00"/>
    <n v="6"/>
  </r>
  <r>
    <s v="DEP-A0-1071"/>
    <x v="0"/>
    <n v="23"/>
    <x v="0"/>
    <s v="Blusa"/>
    <s v="Rojo"/>
    <s v="Mango"/>
    <s v="MER-A0-1071"/>
    <d v="2025-05-29T00:00:00"/>
    <x v="1"/>
    <n v="181.69"/>
    <n v="0.1"/>
    <n v="37.206000000000003"/>
    <x v="1"/>
    <s v="Sí"/>
    <d v="2025-11-25T00:00:00"/>
    <n v="6"/>
  </r>
  <r>
    <s v="DEP-A0-4680"/>
    <x v="0"/>
    <n v="18"/>
    <x v="0"/>
    <s v="Pantalón"/>
    <s v="Azul"/>
    <s v="Mango"/>
    <s v="MER-A0-4680"/>
    <d v="2025-06-24T00:00:00"/>
    <x v="1"/>
    <n v="35.799999999999997"/>
    <n v="0"/>
    <n v="38.829000000000001"/>
    <x v="1"/>
    <s v="Sí"/>
    <d v="2025-12-21T00:00:00"/>
    <n v="6"/>
  </r>
  <r>
    <s v="DEP-A0-1201"/>
    <x v="1"/>
    <n v="21"/>
    <x v="0"/>
    <s v="Pantalón"/>
    <s v="Blanco"/>
    <s v="Mango"/>
    <s v="MER-A0-1201"/>
    <d v="2025-06-13T00:00:00"/>
    <x v="1"/>
    <n v="50.95"/>
    <n v="0.3"/>
    <n v="39.159999999999997"/>
    <x v="1"/>
    <s v="Sí"/>
    <d v="2025-12-10T00:00:00"/>
    <n v="6"/>
  </r>
  <r>
    <s v="DEP-A0-0689"/>
    <x v="0"/>
    <n v="31"/>
    <x v="0"/>
    <s v="Falda"/>
    <s v="Amarillo"/>
    <s v="Levis"/>
    <s v="MER-A0-0689"/>
    <d v="2025-06-18T00:00:00"/>
    <x v="1"/>
    <n v="57.95"/>
    <n v="0"/>
    <n v="39.664000000000001"/>
    <x v="1"/>
    <s v="Sí"/>
    <d v="2025-12-15T00:00:00"/>
    <n v="6"/>
  </r>
  <r>
    <s v="DEP-A0-2936"/>
    <x v="1"/>
    <n v="20"/>
    <x v="0"/>
    <s v="Chaqueta"/>
    <s v="Negro"/>
    <s v="Levis"/>
    <s v="MER-A0-2936"/>
    <d v="2025-07-10T00:00:00"/>
    <x v="1"/>
    <n v="11.84"/>
    <n v="0.1"/>
    <n v="40.591999999999999"/>
    <x v="1"/>
    <s v="Sí"/>
    <d v="2026-01-06T00:00:00"/>
    <n v="6"/>
  </r>
  <r>
    <s v="DEP-A0-0676"/>
    <x v="0"/>
    <n v="29"/>
    <x v="0"/>
    <s v="Blusa"/>
    <s v="Azul"/>
    <s v="Puma"/>
    <s v="MER-A0-0676"/>
    <d v="2025-07-06T00:00:00"/>
    <x v="1"/>
    <n v="55.18"/>
    <n v="0.3"/>
    <n v="41.927999999999997"/>
    <x v="1"/>
    <s v="Sí"/>
    <d v="2026-01-02T00:00:00"/>
    <n v="6"/>
  </r>
  <r>
    <s v="DEP-A0-1979"/>
    <x v="1"/>
    <n v="30"/>
    <x v="0"/>
    <s v="Chaqueta"/>
    <s v="Blanco"/>
    <s v="Nike"/>
    <s v="MER-A0-1979"/>
    <d v="2025-07-30T00:00:00"/>
    <x v="1"/>
    <n v="70.2"/>
    <n v="0"/>
    <n v="42.28"/>
    <x v="1"/>
    <s v="Sí"/>
    <d v="2026-01-26T00:00:00"/>
    <n v="6"/>
  </r>
  <r>
    <s v="DEP-A0-1144"/>
    <x v="1"/>
    <n v="31"/>
    <x v="0"/>
    <s v="Zapatos"/>
    <s v="Verde"/>
    <s v="Tommy"/>
    <s v="MER-A0-1144"/>
    <d v="2025-07-29T00:00:00"/>
    <x v="1"/>
    <n v="129.68"/>
    <n v="0.2"/>
    <n v="43.478999999999999"/>
    <x v="1"/>
    <s v="Sí"/>
    <d v="2026-01-25T00:00:00"/>
    <n v="6"/>
  </r>
  <r>
    <s v="DEP-A0-3018"/>
    <x v="0"/>
    <n v="24"/>
    <x v="0"/>
    <s v="Zapatos"/>
    <s v="Azul"/>
    <s v="Puma"/>
    <s v="MER-A0-3018"/>
    <d v="2025-07-22T00:00:00"/>
    <x v="1"/>
    <n v="151.72999999999999"/>
    <n v="0"/>
    <n v="43.861999999999995"/>
    <x v="1"/>
    <s v="Sí"/>
    <d v="2026-01-18T00:00:00"/>
    <n v="6"/>
  </r>
  <r>
    <s v="DEP-A0-1333"/>
    <x v="0"/>
    <n v="18"/>
    <x v="0"/>
    <s v="Zapatos"/>
    <s v="Verde"/>
    <s v="Mango"/>
    <s v="MER-A0-1333"/>
    <d v="2025-07-12T00:00:00"/>
    <x v="1"/>
    <n v="170.34"/>
    <n v="0.1"/>
    <n v="44.064"/>
    <x v="1"/>
    <s v="Sí"/>
    <d v="2026-01-08T00:00:00"/>
    <n v="6"/>
  </r>
  <r>
    <s v="DEP-A0-0912"/>
    <x v="1"/>
    <n v="21"/>
    <x v="0"/>
    <s v="Pantalón"/>
    <s v="Amarillo"/>
    <s v="Puma"/>
    <s v="MER-A0-0912"/>
    <d v="2025-07-12T00:00:00"/>
    <x v="1"/>
    <n v="173.05"/>
    <n v="0.3"/>
    <n v="44.114000000000004"/>
    <x v="1"/>
    <s v="Sí"/>
    <d v="2026-01-08T00:00:00"/>
    <n v="6"/>
  </r>
  <r>
    <s v="DEP-A0-2184"/>
    <x v="0"/>
    <n v="23"/>
    <x v="0"/>
    <s v="Falda"/>
    <s v="Verde"/>
    <s v="Puma"/>
    <s v="MER-A0-2184"/>
    <d v="2025-08-14T00:00:00"/>
    <x v="1"/>
    <n v="13.88"/>
    <n v="0.2"/>
    <n v="44.416000000000004"/>
    <x v="1"/>
    <s v="Sí"/>
    <d v="2026-02-10T00:00:00"/>
    <n v="6"/>
  </r>
  <r>
    <s v="DEP-A0-4099"/>
    <x v="0"/>
    <n v="23"/>
    <x v="0"/>
    <s v="Vestido"/>
    <s v="Verde"/>
    <s v="Adidas"/>
    <s v="MER-A0-4099"/>
    <d v="2025-08-08T00:00:00"/>
    <x v="1"/>
    <n v="72.790000000000006"/>
    <n v="0"/>
    <n v="44.62"/>
    <x v="1"/>
    <s v="Sí"/>
    <d v="2026-02-04T00:00:00"/>
    <n v="6"/>
  </r>
  <r>
    <s v="DEP-A0-0763"/>
    <x v="0"/>
    <n v="28"/>
    <x v="0"/>
    <s v="Camisa"/>
    <s v="Azul"/>
    <s v="Nike"/>
    <s v="MER-A0-0763"/>
    <d v="2025-08-04T00:00:00"/>
    <x v="1"/>
    <n v="148.79"/>
    <n v="0.1"/>
    <n v="45.394999999999996"/>
    <x v="1"/>
    <s v="Sí"/>
    <d v="2026-01-31T00:00:00"/>
    <n v="6"/>
  </r>
  <r>
    <s v="DEP-A0-4877"/>
    <x v="0"/>
    <n v="32"/>
    <x v="0"/>
    <s v="Falda"/>
    <s v="Blanco"/>
    <s v="Zara"/>
    <s v="MER-A0-4877"/>
    <d v="2025-08-14T00:00:00"/>
    <x v="1"/>
    <n v="179.08"/>
    <n v="0.1"/>
    <n v="45.507000000000005"/>
    <x v="1"/>
    <s v="Sí"/>
    <d v="2026-02-10T00:00:00"/>
    <n v="6"/>
  </r>
  <r>
    <s v="DEP-A0-2702"/>
    <x v="0"/>
    <n v="22"/>
    <x v="0"/>
    <s v="Falda"/>
    <s v="Amarillo"/>
    <s v="Levis"/>
    <s v="MER-A0-2702"/>
    <d v="2025-07-05T00:00:00"/>
    <x v="1"/>
    <n v="64.66"/>
    <n v="0.3"/>
    <n v="45.793999999999997"/>
    <x v="1"/>
    <s v="Sí"/>
    <d v="2026-01-01T00:00:00"/>
    <n v="6"/>
  </r>
  <r>
    <s v="DEP-A0-4685"/>
    <x v="0"/>
    <n v="29"/>
    <x v="0"/>
    <s v="Camisa"/>
    <s v="Azul"/>
    <s v="Nike"/>
    <s v="MER-A0-4685"/>
    <d v="2025-07-20T00:00:00"/>
    <x v="1"/>
    <n v="71.58"/>
    <n v="0.1"/>
    <n v="46.22"/>
    <x v="1"/>
    <s v="Sí"/>
    <d v="2026-01-16T00:00:00"/>
    <n v="6"/>
  </r>
  <r>
    <s v="DEP-A0-0600"/>
    <x v="1"/>
    <n v="21"/>
    <x v="0"/>
    <s v="Pantalón"/>
    <s v="Negro"/>
    <s v="Nike"/>
    <s v="MER-A0-0600"/>
    <d v="2025-07-24T00:00:00"/>
    <x v="1"/>
    <n v="79.72"/>
    <n v="0.2"/>
    <n v="46.664999999999999"/>
    <x v="1"/>
    <s v="Sí"/>
    <d v="2026-01-20T00:00:00"/>
    <n v="6"/>
  </r>
  <r>
    <s v="DEP-A0-4532"/>
    <x v="0"/>
    <n v="22"/>
    <x v="0"/>
    <s v="Camisa"/>
    <s v="Azul"/>
    <s v="Mango"/>
    <s v="MER-A0-4532"/>
    <d v="2025-07-10T00:00:00"/>
    <x v="1"/>
    <n v="116.37"/>
    <n v="0.3"/>
    <n v="47.02"/>
    <x v="1"/>
    <s v="Sí"/>
    <d v="2026-01-06T00:00:00"/>
    <n v="6"/>
  </r>
  <r>
    <s v="DEP-A0-3865"/>
    <x v="1"/>
    <n v="19"/>
    <x v="0"/>
    <s v="Pantalón"/>
    <s v="Azul"/>
    <s v="Mango"/>
    <s v="MER-A0-3865"/>
    <d v="2025-07-16T00:00:00"/>
    <x v="1"/>
    <n v="150.62"/>
    <n v="0.3"/>
    <n v="50.13"/>
    <x v="1"/>
    <s v="Sí"/>
    <d v="2026-01-12T00:00:00"/>
    <n v="6"/>
  </r>
  <r>
    <s v="DEP-A0-0853"/>
    <x v="0"/>
    <n v="30"/>
    <x v="0"/>
    <s v="Zapatos"/>
    <s v="Blanco"/>
    <s v="Mango"/>
    <s v="MER-A0-0853"/>
    <d v="2025-02-13T00:00:00"/>
    <x v="1"/>
    <n v="82.5"/>
    <n v="0"/>
    <n v="51.884"/>
    <x v="1"/>
    <s v="Sí"/>
    <d v="2025-10-25T00:00:00"/>
    <n v="9"/>
  </r>
  <r>
    <s v="DEP-A0-1210"/>
    <x v="0"/>
    <n v="33"/>
    <x v="0"/>
    <s v="Vestido"/>
    <s v="Verde"/>
    <s v="Tommy"/>
    <s v="MER-A0-1210"/>
    <d v="2025-02-13T00:00:00"/>
    <x v="1"/>
    <n v="87.07"/>
    <n v="0.3"/>
    <n v="52.208999999999996"/>
    <x v="1"/>
    <s v="Sí"/>
    <d v="2025-10-26T00:00:00"/>
    <n v="9"/>
  </r>
  <r>
    <s v="DEP-A0-1642"/>
    <x v="0"/>
    <n v="24"/>
    <x v="0"/>
    <s v="Zapatos"/>
    <s v="Negro"/>
    <s v="Nike"/>
    <s v="MER-A0-1642"/>
    <d v="2025-01-31T00:00:00"/>
    <x v="1"/>
    <n v="148.96"/>
    <n v="0"/>
    <n v="52.48"/>
    <x v="1"/>
    <s v="Sí"/>
    <d v="2025-10-28T00:00:00"/>
    <n v="9"/>
  </r>
  <r>
    <s v="DEP-A0-2669"/>
    <x v="1"/>
    <n v="23"/>
    <x v="0"/>
    <s v="Camisa"/>
    <s v="Rojo"/>
    <s v="Adidas"/>
    <s v="MER-A0-2669"/>
    <d v="2025-01-13T00:00:00"/>
    <x v="1"/>
    <n v="167.3"/>
    <n v="0.2"/>
    <n v="53.073999999999998"/>
    <x v="1"/>
    <s v="Sí"/>
    <d v="2025-10-10T00:00:00"/>
    <n v="9"/>
  </r>
  <r>
    <s v="DEP-A0-3886"/>
    <x v="1"/>
    <n v="22"/>
    <x v="0"/>
    <s v="Pantalón"/>
    <s v="Verde"/>
    <s v="Mango"/>
    <s v="MER-A0-3886"/>
    <d v="2025-02-01T00:00:00"/>
    <x v="1"/>
    <n v="102.25"/>
    <n v="0.2"/>
    <n v="53.396999999999998"/>
    <x v="1"/>
    <s v="Sí"/>
    <d v="2025-10-29T00:00:00"/>
    <n v="9"/>
  </r>
  <r>
    <s v="DEP-A0-1925"/>
    <x v="0"/>
    <n v="34"/>
    <x v="0"/>
    <s v="Camisa"/>
    <s v="Blanco"/>
    <s v="Nike"/>
    <s v="MER-A0-1925"/>
    <d v="2025-02-02T00:00:00"/>
    <x v="1"/>
    <n v="136.66"/>
    <n v="0.2"/>
    <n v="53.7"/>
    <x v="1"/>
    <s v="Sí"/>
    <d v="2025-10-30T00:00:00"/>
    <n v="9"/>
  </r>
  <r>
    <s v="DEP-A0-0801"/>
    <x v="0"/>
    <n v="30"/>
    <x v="0"/>
    <s v="Pantalón"/>
    <s v="Rojo"/>
    <s v="Nike"/>
    <s v="MER-A0-0801"/>
    <d v="2025-02-05T00:00:00"/>
    <x v="1"/>
    <n v="185.04"/>
    <n v="0.2"/>
    <n v="53.766000000000005"/>
    <x v="1"/>
    <s v="Sí"/>
    <d v="2025-11-02T00:00:00"/>
    <n v="9"/>
  </r>
  <r>
    <s v="DEP-A0-0586"/>
    <x v="1"/>
    <n v="27"/>
    <x v="0"/>
    <s v="Chaqueta"/>
    <s v="Gris"/>
    <s v="Levis"/>
    <s v="MER-A0-0586"/>
    <d v="2025-02-06T00:00:00"/>
    <x v="1"/>
    <n v="87.84"/>
    <n v="0"/>
    <n v="54.463999999999999"/>
    <x v="1"/>
    <s v="Sí"/>
    <d v="2025-11-03T00:00:00"/>
    <n v="9"/>
  </r>
  <r>
    <s v="DEP-A0-3708"/>
    <x v="0"/>
    <n v="18"/>
    <x v="0"/>
    <s v="Falda"/>
    <s v="Rojo"/>
    <s v="Zara"/>
    <s v="MER-A0-3708"/>
    <d v="2025-02-14T00:00:00"/>
    <x v="1"/>
    <n v="18.88"/>
    <n v="0"/>
    <n v="54.88"/>
    <x v="1"/>
    <s v="Sí"/>
    <d v="2025-11-11T00:00:00"/>
    <n v="9"/>
  </r>
  <r>
    <s v="DEP-A0-3412"/>
    <x v="1"/>
    <n v="19"/>
    <x v="0"/>
    <s v="Pantalón"/>
    <s v="Azul"/>
    <s v="Mango"/>
    <s v="MER-A0-3412"/>
    <d v="2025-03-25T00:00:00"/>
    <x v="1"/>
    <n v="25.19"/>
    <n v="0.1"/>
    <n v="55.53"/>
    <x v="1"/>
    <s v="Sí"/>
    <d v="2025-12-20T00:00:00"/>
    <n v="9"/>
  </r>
  <r>
    <s v="DEP-A0-3022"/>
    <x v="0"/>
    <n v="20"/>
    <x v="0"/>
    <s v="Zapatos"/>
    <s v="Rojo"/>
    <s v="Adidas"/>
    <s v="MER-A0-3022"/>
    <d v="2025-03-28T00:00:00"/>
    <x v="1"/>
    <n v="54.39"/>
    <n v="0.2"/>
    <n v="55.77600000000001"/>
    <x v="1"/>
    <s v="Sí"/>
    <d v="2025-12-23T00:00:00"/>
    <n v="9"/>
  </r>
  <r>
    <s v="DEP-A0-2991"/>
    <x v="0"/>
    <n v="32"/>
    <x v="0"/>
    <s v="Blusa"/>
    <s v="Blanco"/>
    <s v="Zara"/>
    <s v="MER-A0-2991"/>
    <d v="2025-03-29T00:00:00"/>
    <x v="1"/>
    <n v="89.85"/>
    <n v="0.3"/>
    <n v="55.9"/>
    <x v="1"/>
    <s v="Sí"/>
    <d v="2025-12-24T00:00:00"/>
    <n v="9"/>
  </r>
  <r>
    <s v="DEP-A0-1467"/>
    <x v="0"/>
    <n v="25"/>
    <x v="0"/>
    <s v="Falda"/>
    <s v="Gris"/>
    <s v="Tommy"/>
    <s v="MER-A0-1467"/>
    <d v="2025-03-26T00:00:00"/>
    <x v="1"/>
    <n v="93.22"/>
    <n v="0.1"/>
    <n v="56.146999999999991"/>
    <x v="1"/>
    <s v="Sí"/>
    <d v="2025-12-21T00:00:00"/>
    <n v="9"/>
  </r>
  <r>
    <s v="DEP-A0-2423"/>
    <x v="0"/>
    <n v="32"/>
    <x v="0"/>
    <s v="Falda"/>
    <s v="Rojo"/>
    <s v="Zara"/>
    <s v="MER-A0-2423"/>
    <d v="2025-03-18T00:00:00"/>
    <x v="1"/>
    <n v="104.33"/>
    <n v="0.3"/>
    <n v="56.32"/>
    <x v="1"/>
    <s v="Sí"/>
    <d v="2025-12-13T00:00:00"/>
    <n v="9"/>
  </r>
  <r>
    <s v="DEP-A0-2383"/>
    <x v="0"/>
    <n v="22"/>
    <x v="0"/>
    <s v="Camisa"/>
    <s v="Rojo"/>
    <s v="Adidas"/>
    <s v="MER-A0-2383"/>
    <d v="2025-03-05T00:00:00"/>
    <x v="1"/>
    <n v="121.19"/>
    <n v="0.1"/>
    <n v="56.936"/>
    <x v="1"/>
    <s v="Sí"/>
    <d v="2025-11-30T00:00:00"/>
    <n v="9"/>
  </r>
  <r>
    <s v="DEP-A0-0192"/>
    <x v="0"/>
    <n v="25"/>
    <x v="0"/>
    <s v="Falda"/>
    <s v="Verde"/>
    <s v="Puma"/>
    <s v="MER-A0-0192"/>
    <d v="2025-04-29T00:00:00"/>
    <x v="1"/>
    <n v="25.3"/>
    <n v="0.3"/>
    <n v="59.112000000000009"/>
    <x v="1"/>
    <s v="Sí"/>
    <d v="2026-01-24T00:00:00"/>
    <n v="9"/>
  </r>
  <r>
    <s v="DEP-A0-3998"/>
    <x v="1"/>
    <n v="25"/>
    <x v="0"/>
    <s v="Camisa"/>
    <s v="Verde"/>
    <s v="Zara"/>
    <s v="MER-A0-3998"/>
    <d v="2025-04-17T00:00:00"/>
    <x v="1"/>
    <n v="33.31"/>
    <n v="0.3"/>
    <n v="59.390999999999991"/>
    <x v="1"/>
    <s v="Sí"/>
    <d v="2026-01-12T00:00:00"/>
    <n v="9"/>
  </r>
  <r>
    <s v="DEP-A0-1580"/>
    <x v="0"/>
    <n v="23"/>
    <x v="0"/>
    <s v="Falda"/>
    <s v="Blanco"/>
    <s v="Adidas"/>
    <s v="MER-A0-1580"/>
    <d v="2025-04-19T00:00:00"/>
    <x v="1"/>
    <n v="100.51"/>
    <n v="0.1"/>
    <n v="59.786999999999999"/>
    <x v="1"/>
    <s v="Sí"/>
    <d v="2026-01-14T00:00:00"/>
    <n v="9"/>
  </r>
  <r>
    <s v="DEP-A0-4626"/>
    <x v="0"/>
    <n v="18"/>
    <x v="0"/>
    <s v="Blusa"/>
    <s v="Negro"/>
    <s v="Puma"/>
    <s v="MER-A0-4626"/>
    <d v="2025-04-13T00:00:00"/>
    <x v="1"/>
    <n v="106.65"/>
    <n v="0.2"/>
    <n v="60.160000000000004"/>
    <x v="1"/>
    <s v="Sí"/>
    <d v="2026-01-08T00:00:00"/>
    <n v="9"/>
  </r>
  <r>
    <s v="DEP-A0-3165"/>
    <x v="0"/>
    <n v="30"/>
    <x v="0"/>
    <s v="Falda"/>
    <s v="Gris"/>
    <s v="Levis"/>
    <s v="MER-A0-3165"/>
    <d v="2025-04-30T00:00:00"/>
    <x v="1"/>
    <n v="134.99"/>
    <n v="0.3"/>
    <n v="61.461000000000006"/>
    <x v="1"/>
    <s v="Sí"/>
    <d v="2026-01-25T00:00:00"/>
    <n v="9"/>
  </r>
  <r>
    <s v="DEP-A0-4772"/>
    <x v="0"/>
    <n v="34"/>
    <x v="0"/>
    <s v="Zapatos"/>
    <s v="Negro"/>
    <s v="Levis"/>
    <s v="MER-A0-4772"/>
    <d v="2025-04-27T00:00:00"/>
    <x v="1"/>
    <n v="146.6"/>
    <n v="0"/>
    <n v="61.567999999999998"/>
    <x v="1"/>
    <s v="Sí"/>
    <d v="2026-01-22T00:00:00"/>
    <n v="9"/>
  </r>
  <r>
    <s v="DEP-A0-2070"/>
    <x v="0"/>
    <n v="28"/>
    <x v="0"/>
    <s v="Zapatos"/>
    <s v="Gris"/>
    <s v="Puma"/>
    <s v="MER-A0-2070"/>
    <d v="2025-05-12T00:00:00"/>
    <x v="1"/>
    <n v="32.75"/>
    <n v="0.1"/>
    <n v="63.756"/>
    <x v="1"/>
    <s v="Sí"/>
    <d v="2026-02-06T00:00:00"/>
    <n v="9"/>
  </r>
  <r>
    <s v="DEP-A0-0545"/>
    <x v="1"/>
    <n v="30"/>
    <x v="0"/>
    <s v="Camisa"/>
    <s v="Rojo"/>
    <s v="Zara"/>
    <s v="MER-A0-0545"/>
    <d v="2025-05-22T00:00:00"/>
    <x v="1"/>
    <n v="44.48"/>
    <n v="0.1"/>
    <n v="64.217999999999989"/>
    <x v="1"/>
    <s v="Sí"/>
    <d v="2026-02-16T00:00:00"/>
    <n v="9"/>
  </r>
  <r>
    <s v="DEP-A0-2985"/>
    <x v="0"/>
    <n v="33"/>
    <x v="0"/>
    <s v="Falda"/>
    <s v="Amarillo"/>
    <s v="Nike"/>
    <s v="MER-A0-2985"/>
    <d v="2025-05-30T00:00:00"/>
    <x v="1"/>
    <n v="48.11"/>
    <n v="0"/>
    <n v="64.316000000000003"/>
    <x v="1"/>
    <s v="Sí"/>
    <d v="2026-02-24T00:00:00"/>
    <n v="9"/>
  </r>
  <r>
    <s v="DEP-A0-1368"/>
    <x v="1"/>
    <n v="32"/>
    <x v="0"/>
    <s v="Zapatos"/>
    <s v="Blanco"/>
    <s v="Tommy"/>
    <s v="MER-A0-1368"/>
    <d v="2025-05-25T00:00:00"/>
    <x v="1"/>
    <n v="48.93"/>
    <n v="0.1"/>
    <n v="64.953000000000003"/>
    <x v="1"/>
    <s v="Sí"/>
    <d v="2026-02-19T00:00:00"/>
    <n v="9"/>
  </r>
  <r>
    <s v="DEP-A0-4388"/>
    <x v="1"/>
    <n v="31"/>
    <x v="0"/>
    <s v="Pantalón"/>
    <s v="Negro"/>
    <s v="Puma"/>
    <s v="MER-A0-4388"/>
    <d v="2025-05-17T00:00:00"/>
    <x v="1"/>
    <n v="93.61"/>
    <n v="0.2"/>
    <n v="65.432000000000002"/>
    <x v="1"/>
    <s v="Sí"/>
    <d v="2026-02-11T00:00:00"/>
    <n v="9"/>
  </r>
  <r>
    <s v="DEP-A0-3351"/>
    <x v="0"/>
    <n v="25"/>
    <x v="0"/>
    <s v="Vestido"/>
    <s v="Amarillo"/>
    <s v="Puma"/>
    <s v="MER-A0-3351"/>
    <d v="2025-05-27T00:00:00"/>
    <x v="1"/>
    <n v="145.69"/>
    <n v="0.2"/>
    <n v="66.99199999999999"/>
    <x v="1"/>
    <s v="Sí"/>
    <d v="2026-02-21T00:00:00"/>
    <n v="9"/>
  </r>
  <r>
    <s v="DEP-A0-3838"/>
    <x v="1"/>
    <n v="21"/>
    <x v="0"/>
    <s v="Pantalón"/>
    <s v="Negro"/>
    <s v="Levis"/>
    <s v="MER-A0-3838"/>
    <d v="2025-06-15T00:00:00"/>
    <x v="1"/>
    <n v="49.53"/>
    <n v="0.2"/>
    <n v="67.382000000000005"/>
    <x v="1"/>
    <s v="Sí"/>
    <d v="2026-03-12T00:00:00"/>
    <n v="9"/>
  </r>
  <r>
    <s v="DEP-A0-3977"/>
    <x v="0"/>
    <n v="33"/>
    <x v="0"/>
    <s v="Falda"/>
    <s v="Negro"/>
    <s v="Adidas"/>
    <s v="MER-A0-3977"/>
    <d v="2025-06-19T00:00:00"/>
    <x v="1"/>
    <n v="50.4"/>
    <n v="0.2"/>
    <n v="67.400000000000006"/>
    <x v="1"/>
    <s v="Sí"/>
    <d v="2026-03-16T00:00:00"/>
    <n v="9"/>
  </r>
  <r>
    <s v="DEP-A0-1565"/>
    <x v="0"/>
    <n v="26"/>
    <x v="0"/>
    <s v="Chaqueta"/>
    <s v="Verde"/>
    <s v="Mango"/>
    <s v="MER-A0-1565"/>
    <d v="2025-06-30T00:00:00"/>
    <x v="1"/>
    <n v="77.36"/>
    <n v="0.2"/>
    <n v="68.56"/>
    <x v="1"/>
    <s v="Sí"/>
    <d v="2026-03-27T00:00:00"/>
    <n v="9"/>
  </r>
  <r>
    <s v="DEP-A0-4082"/>
    <x v="0"/>
    <n v="30"/>
    <x v="0"/>
    <s v="Blusa"/>
    <s v="Verde"/>
    <s v="Mango"/>
    <s v="MER-A0-4082"/>
    <d v="2025-06-12T00:00:00"/>
    <x v="1"/>
    <n v="109.05"/>
    <n v="0.1"/>
    <n v="68.849999999999994"/>
    <x v="1"/>
    <s v="Sí"/>
    <d v="2026-03-09T00:00:00"/>
    <n v="9"/>
  </r>
  <r>
    <s v="DEP-A0-2848"/>
    <x v="0"/>
    <n v="23"/>
    <x v="0"/>
    <s v="Falda"/>
    <s v="Verde"/>
    <s v="Levis"/>
    <s v="MER-A0-2848"/>
    <d v="2025-07-08T00:00:00"/>
    <x v="1"/>
    <n v="36.229999999999997"/>
    <n v="0.3"/>
    <n v="69.95"/>
    <x v="1"/>
    <s v="Sí"/>
    <d v="2026-04-04T00:00:00"/>
    <n v="9"/>
  </r>
  <r>
    <s v="DEP-A0-0344"/>
    <x v="0"/>
    <n v="27"/>
    <x v="0"/>
    <s v="Zapatos"/>
    <s v="Amarillo"/>
    <s v="Adidas"/>
    <s v="MER-A0-0344"/>
    <d v="2025-07-09T00:00:00"/>
    <x v="1"/>
    <n v="45.02"/>
    <n v="0"/>
    <n v="70.335999999999999"/>
    <x v="1"/>
    <s v="Sí"/>
    <d v="2026-04-05T00:00:00"/>
    <n v="9"/>
  </r>
  <r>
    <s v="DEP-A0-4595"/>
    <x v="1"/>
    <n v="25"/>
    <x v="0"/>
    <s v="Pantalón"/>
    <s v="Rojo"/>
    <s v="Adidas"/>
    <s v="MER-A0-4595"/>
    <d v="2025-07-10T00:00:00"/>
    <x v="1"/>
    <n v="78.900000000000006"/>
    <n v="0.3"/>
    <n v="70.903999999999996"/>
    <x v="1"/>
    <s v="Sí"/>
    <d v="2026-04-06T00:00:00"/>
    <n v="9"/>
  </r>
  <r>
    <s v="DEP-A0-0518"/>
    <x v="0"/>
    <n v="18"/>
    <x v="0"/>
    <s v="Falda"/>
    <s v="Azul"/>
    <s v="Puma"/>
    <s v="MER-A0-0518"/>
    <d v="2025-07-04T00:00:00"/>
    <x v="1"/>
    <n v="148.99"/>
    <n v="0"/>
    <n v="71.47999999999999"/>
    <x v="1"/>
    <s v="Sí"/>
    <d v="2026-03-31T00:00:00"/>
    <n v="9"/>
  </r>
  <r>
    <s v="DEP-A0-0061"/>
    <x v="0"/>
    <n v="23"/>
    <x v="0"/>
    <s v="Vestido"/>
    <s v="Gris"/>
    <s v="Adidas"/>
    <s v="MER-A0-0061"/>
    <d v="2025-07-11T00:00:00"/>
    <x v="1"/>
    <n v="199.63"/>
    <n v="0.1"/>
    <n v="71.623999999999995"/>
    <x v="1"/>
    <s v="Sí"/>
    <d v="2026-04-07T00:00:00"/>
    <n v="9"/>
  </r>
  <r>
    <s v="DEP-A0-4436"/>
    <x v="0"/>
    <n v="25"/>
    <x v="0"/>
    <s v="Chaqueta"/>
    <s v="Blanco"/>
    <s v="Levis"/>
    <s v="MER-A0-4436"/>
    <d v="2025-08-09T00:00:00"/>
    <x v="1"/>
    <n v="93.45"/>
    <n v="0"/>
    <n v="71.631"/>
    <x v="1"/>
    <s v="Sí"/>
    <d v="2026-05-06T00:00:00"/>
    <n v="9"/>
  </r>
  <r>
    <s v="DEP-A0-3334"/>
    <x v="0"/>
    <n v="27"/>
    <x v="0"/>
    <s v="Falda"/>
    <s v="Rojo"/>
    <s v="Levis"/>
    <s v="MER-A0-3334"/>
    <d v="2025-08-10T00:00:00"/>
    <x v="1"/>
    <n v="171.49"/>
    <n v="0.3"/>
    <n v="72.260000000000005"/>
    <x v="1"/>
    <s v="Sí"/>
    <d v="2026-05-07T00:00:00"/>
    <n v="9"/>
  </r>
  <r>
    <s v="DEP-A0-4355"/>
    <x v="0"/>
    <n v="28"/>
    <x v="0"/>
    <s v="Camisa"/>
    <s v="Rojo"/>
    <s v="Mango"/>
    <s v="MER-A0-4355"/>
    <d v="2025-07-18T00:00:00"/>
    <x v="1"/>
    <n v="117.18"/>
    <n v="0.1"/>
    <n v="72.459999999999994"/>
    <x v="1"/>
    <s v="Sí"/>
    <d v="2026-04-14T00:00:00"/>
    <n v="9"/>
  </r>
  <r>
    <s v="DEP-A0-4454"/>
    <x v="0"/>
    <n v="28"/>
    <x v="0"/>
    <s v="Chaqueta"/>
    <s v="Blanco"/>
    <s v="Nike"/>
    <s v="MER-A0-4454"/>
    <d v="2025-07-23T00:00:00"/>
    <x v="1"/>
    <n v="175.85"/>
    <n v="0.2"/>
    <n v="72.927000000000007"/>
    <x v="1"/>
    <s v="Sí"/>
    <d v="2026-04-19T00:00:00"/>
    <n v="9"/>
  </r>
  <r>
    <s v="DEP-A0-4335"/>
    <x v="0"/>
    <n v="32"/>
    <x v="0"/>
    <s v="Chaqueta"/>
    <s v="Azul"/>
    <s v="Levis"/>
    <s v="MER-A0-4335"/>
    <d v="2025-02-13T00:00:00"/>
    <x v="1"/>
    <n v="79.760000000000005"/>
    <n v="0"/>
    <n v="75.369"/>
    <x v="1"/>
    <s v="Sí"/>
    <d v="2026-01-19T00:00:00"/>
    <n v="12"/>
  </r>
  <r>
    <s v="DEP-A0-3345"/>
    <x v="1"/>
    <n v="32"/>
    <x v="0"/>
    <s v="Camisa"/>
    <s v="Azul"/>
    <s v="Mango"/>
    <s v="MER-A0-3345"/>
    <d v="2025-02-04T00:00:00"/>
    <x v="1"/>
    <n v="136.19999999999999"/>
    <n v="0"/>
    <n v="77.191999999999993"/>
    <x v="1"/>
    <s v="Sí"/>
    <d v="2026-01-30T00:00:00"/>
    <n v="12"/>
  </r>
  <r>
    <s v="DEP-A0-4298"/>
    <x v="1"/>
    <n v="24"/>
    <x v="0"/>
    <s v="Zapatos"/>
    <s v="Negro"/>
    <s v="Adidas"/>
    <s v="MER-A0-4298"/>
    <d v="2025-02-21T00:00:00"/>
    <x v="1"/>
    <n v="111.17"/>
    <n v="0"/>
    <n v="77.424000000000007"/>
    <x v="1"/>
    <s v="Sí"/>
    <d v="2026-02-16T00:00:00"/>
    <n v="12"/>
  </r>
  <r>
    <s v="DEP-A0-3560"/>
    <x v="0"/>
    <n v="33"/>
    <x v="0"/>
    <s v="Chaqueta"/>
    <s v="Verde"/>
    <s v="Puma"/>
    <s v="MER-A0-3560"/>
    <d v="2025-03-30T00:00:00"/>
    <x v="1"/>
    <n v="10.92"/>
    <n v="0.3"/>
    <n v="77.760000000000005"/>
    <x v="1"/>
    <s v="Sí"/>
    <d v="2026-03-25T00:00:00"/>
    <n v="12"/>
  </r>
  <r>
    <s v="DEP-A0-1530"/>
    <x v="0"/>
    <n v="20"/>
    <x v="0"/>
    <s v="Falda"/>
    <s v="Gris"/>
    <s v="Levis"/>
    <s v="MER-A0-1530"/>
    <d v="2025-03-20T00:00:00"/>
    <x v="1"/>
    <n v="25.75"/>
    <n v="0.1"/>
    <n v="77.798000000000002"/>
    <x v="1"/>
    <s v="Sí"/>
    <d v="2026-03-15T00:00:00"/>
    <n v="12"/>
  </r>
  <r>
    <s v="DEP-A0-2865"/>
    <x v="0"/>
    <n v="28"/>
    <x v="0"/>
    <s v="Falda"/>
    <s v="Rojo"/>
    <s v="Mango"/>
    <s v="MER-A0-2865"/>
    <d v="2025-03-15T00:00:00"/>
    <x v="1"/>
    <n v="148.41999999999999"/>
    <n v="0.1"/>
    <n v="79.960000000000008"/>
    <x v="1"/>
    <s v="Sí"/>
    <d v="2026-03-10T00:00:00"/>
    <n v="12"/>
  </r>
  <r>
    <s v="DEP-A0-2956"/>
    <x v="0"/>
    <n v="18"/>
    <x v="0"/>
    <s v="Blusa"/>
    <s v="Verde"/>
    <s v="Puma"/>
    <s v="MER-A0-2956"/>
    <d v="2025-03-25T00:00:00"/>
    <x v="1"/>
    <n v="159.41999999999999"/>
    <n v="0.3"/>
    <n v="80.611999999999995"/>
    <x v="1"/>
    <s v="Sí"/>
    <d v="2026-03-20T00:00:00"/>
    <n v="12"/>
  </r>
  <r>
    <s v="DEP-A0-2077"/>
    <x v="0"/>
    <n v="24"/>
    <x v="0"/>
    <s v="Zapatos"/>
    <s v="Negro"/>
    <s v="Adidas"/>
    <s v="MER-A0-2077"/>
    <d v="2025-03-25T00:00:00"/>
    <x v="1"/>
    <n v="199.9"/>
    <n v="0"/>
    <n v="82.369"/>
    <x v="1"/>
    <s v="Sí"/>
    <d v="2026-03-20T00:00:00"/>
    <n v="12"/>
  </r>
  <r>
    <s v="DEP-A0-1603"/>
    <x v="0"/>
    <n v="32"/>
    <x v="0"/>
    <s v="Blusa"/>
    <s v="Amarillo"/>
    <s v="Adidas"/>
    <s v="MER-A0-1603"/>
    <d v="2025-04-25T00:00:00"/>
    <x v="1"/>
    <n v="91.82"/>
    <n v="0.2"/>
    <n v="83.213999999999999"/>
    <x v="1"/>
    <s v="Sí"/>
    <d v="2026-04-20T00:00:00"/>
    <n v="12"/>
  </r>
  <r>
    <s v="DEP-A0-3457"/>
    <x v="0"/>
    <n v="33"/>
    <x v="0"/>
    <s v="Blusa"/>
    <s v="Gris"/>
    <s v="Zara"/>
    <s v="MER-A0-3457"/>
    <d v="2025-04-10T00:00:00"/>
    <x v="1"/>
    <n v="123.17"/>
    <n v="0.1"/>
    <n v="83.5"/>
    <x v="1"/>
    <s v="Sí"/>
    <d v="2026-04-05T00:00:00"/>
    <n v="12"/>
  </r>
  <r>
    <s v="DEP-A0-1302"/>
    <x v="0"/>
    <n v="20"/>
    <x v="0"/>
    <s v="Chaqueta"/>
    <s v="Negro"/>
    <s v="Levis"/>
    <s v="MER-A0-1302"/>
    <d v="2025-04-07T00:00:00"/>
    <x v="1"/>
    <n v="139.38999999999999"/>
    <n v="0"/>
    <n v="84.399000000000001"/>
    <x v="1"/>
    <s v="Sí"/>
    <d v="2026-04-02T00:00:00"/>
    <n v="12"/>
  </r>
  <r>
    <s v="DEP-A0-4584"/>
    <x v="0"/>
    <n v="29"/>
    <x v="0"/>
    <s v="Camisa"/>
    <s v="Negro"/>
    <s v="Nike"/>
    <s v="MER-A0-4584"/>
    <d v="2025-04-01T00:00:00"/>
    <x v="1"/>
    <n v="167.49"/>
    <n v="0"/>
    <n v="84.734999999999999"/>
    <x v="1"/>
    <s v="Sí"/>
    <d v="2026-03-27T00:00:00"/>
    <n v="12"/>
  </r>
  <r>
    <s v="DEP-A0-2373"/>
    <x v="0"/>
    <n v="18"/>
    <x v="0"/>
    <s v="Vestido"/>
    <s v="Verde"/>
    <s v="Tommy"/>
    <s v="MER-A0-2373"/>
    <d v="2025-04-24T00:00:00"/>
    <x v="1"/>
    <n v="184.4"/>
    <n v="0"/>
    <n v="85.04"/>
    <x v="1"/>
    <s v="Sí"/>
    <d v="2026-04-19T00:00:00"/>
    <n v="12"/>
  </r>
  <r>
    <s v="DEP-A0-0914"/>
    <x v="0"/>
    <n v="24"/>
    <x v="0"/>
    <s v="Pantalón"/>
    <s v="Verde"/>
    <s v="Levis"/>
    <s v="MER-A0-0914"/>
    <d v="2025-05-17T00:00:00"/>
    <x v="1"/>
    <n v="78.510000000000005"/>
    <n v="0.3"/>
    <n v="85.823999999999998"/>
    <x v="1"/>
    <s v="Sí"/>
    <d v="2026-05-12T00:00:00"/>
    <n v="12"/>
  </r>
  <r>
    <s v="DEP-A0-4995"/>
    <x v="0"/>
    <n v="21"/>
    <x v="0"/>
    <s v="Falda"/>
    <s v="Amarillo"/>
    <s v="Levis"/>
    <s v="MER-A0-4995"/>
    <d v="2025-05-09T00:00:00"/>
    <x v="1"/>
    <n v="131.54"/>
    <n v="0"/>
    <n v="86.95"/>
    <x v="1"/>
    <s v="Sí"/>
    <d v="2026-05-04T00:00:00"/>
    <n v="12"/>
  </r>
  <r>
    <s v="DEP-A0-1419"/>
    <x v="0"/>
    <n v="23"/>
    <x v="0"/>
    <s v="Vestido"/>
    <s v="Amarillo"/>
    <s v="Nike"/>
    <s v="MER-A0-1419"/>
    <d v="2025-05-27T00:00:00"/>
    <x v="1"/>
    <n v="146.44999999999999"/>
    <n v="0.3"/>
    <n v="87.408000000000001"/>
    <x v="1"/>
    <s v="Sí"/>
    <d v="2026-05-22T00:00:00"/>
    <n v="12"/>
  </r>
  <r>
    <s v="DEP-A0-4009"/>
    <x v="0"/>
    <n v="22"/>
    <x v="0"/>
    <s v="Falda"/>
    <s v="Blanco"/>
    <s v="Nike"/>
    <s v="MER-A0-4009"/>
    <d v="2025-05-26T00:00:00"/>
    <x v="1"/>
    <n v="170.29"/>
    <n v="0"/>
    <n v="88.27"/>
    <x v="1"/>
    <s v="Sí"/>
    <d v="2026-05-21T00:00:00"/>
    <n v="12"/>
  </r>
  <r>
    <s v="DEP-A0-3901"/>
    <x v="0"/>
    <n v="28"/>
    <x v="0"/>
    <s v="Camisa"/>
    <s v="Azul"/>
    <s v="Mango"/>
    <s v="MER-A0-3901"/>
    <d v="2025-06-20T00:00:00"/>
    <x v="1"/>
    <n v="17.32"/>
    <n v="0"/>
    <n v="88.448000000000008"/>
    <x v="1"/>
    <s v="Sí"/>
    <d v="2026-06-15T00:00:00"/>
    <n v="12"/>
  </r>
  <r>
    <s v="DEP-A0-1119"/>
    <x v="0"/>
    <n v="29"/>
    <x v="0"/>
    <s v="Zapatos"/>
    <s v="Gris"/>
    <s v="Tommy"/>
    <s v="MER-A0-1119"/>
    <d v="2025-06-24T00:00:00"/>
    <x v="1"/>
    <n v="65.39"/>
    <n v="0"/>
    <n v="88.83"/>
    <x v="1"/>
    <s v="Sí"/>
    <d v="2026-06-19T00:00:00"/>
    <n v="12"/>
  </r>
  <r>
    <s v="DEP-A0-1407"/>
    <x v="1"/>
    <n v="26"/>
    <x v="0"/>
    <s v="Camisa"/>
    <s v="Azul"/>
    <s v="Zara"/>
    <s v="MER-A0-1407"/>
    <d v="2025-06-29T00:00:00"/>
    <x v="1"/>
    <n v="110.94"/>
    <n v="0.3"/>
    <n v="89.072999999999993"/>
    <x v="1"/>
    <s v="Sí"/>
    <d v="2026-06-24T00:00:00"/>
    <n v="12"/>
  </r>
  <r>
    <s v="DEP-A0-1457"/>
    <x v="1"/>
    <n v="20"/>
    <x v="0"/>
    <s v="Zapatos"/>
    <s v="Azul"/>
    <s v="Zara"/>
    <s v="MER-A0-1457"/>
    <d v="2025-06-05T00:00:00"/>
    <x v="1"/>
    <n v="133.19999999999999"/>
    <n v="0.1"/>
    <n v="89.56"/>
    <x v="1"/>
    <s v="Sí"/>
    <d v="2026-05-31T00:00:00"/>
    <n v="12"/>
  </r>
  <r>
    <s v="DEP-A0-2065"/>
    <x v="0"/>
    <n v="29"/>
    <x v="0"/>
    <s v="Vestido"/>
    <s v="Blanco"/>
    <s v="Adidas"/>
    <s v="MER-A0-2065"/>
    <d v="2025-06-10T00:00:00"/>
    <x v="1"/>
    <n v="175.91"/>
    <n v="0"/>
    <n v="89.85"/>
    <x v="1"/>
    <s v="Sí"/>
    <d v="2026-06-05T00:00:00"/>
    <n v="12"/>
  </r>
  <r>
    <s v="DEP-A0-2090"/>
    <x v="0"/>
    <n v="27"/>
    <x v="0"/>
    <s v="Zapatos"/>
    <s v="Gris"/>
    <s v="Adidas"/>
    <s v="MER-A0-2090"/>
    <d v="2025-06-03T00:00:00"/>
    <x v="1"/>
    <n v="190.31"/>
    <n v="0.2"/>
    <n v="90.048000000000002"/>
    <x v="1"/>
    <s v="Sí"/>
    <d v="2026-05-29T00:00:00"/>
    <n v="12"/>
  </r>
  <r>
    <s v="DEP-A0-0609"/>
    <x v="0"/>
    <n v="34"/>
    <x v="0"/>
    <s v="Blusa"/>
    <s v="Gris"/>
    <s v="Levis"/>
    <s v="MER-A0-0609"/>
    <d v="2025-07-08T00:00:00"/>
    <x v="1"/>
    <n v="15.85"/>
    <n v="0.2"/>
    <n v="90.06"/>
    <x v="1"/>
    <s v="Sí"/>
    <d v="2026-07-03T00:00:00"/>
    <n v="12"/>
  </r>
  <r>
    <s v="DEP-A0-2747"/>
    <x v="0"/>
    <n v="35"/>
    <x v="0"/>
    <s v="Vestido"/>
    <s v="Negro"/>
    <s v="Nike"/>
    <s v="MER-A0-2747"/>
    <d v="2025-07-18T00:00:00"/>
    <x v="1"/>
    <n v="63.41"/>
    <n v="0.3"/>
    <n v="91.27"/>
    <x v="1"/>
    <s v="Sí"/>
    <d v="2026-07-13T00:00:00"/>
    <n v="12"/>
  </r>
  <r>
    <s v="DEP-A0-3247"/>
    <x v="1"/>
    <n v="34"/>
    <x v="0"/>
    <s v="Pantalón"/>
    <s v="Blanco"/>
    <s v="Levis"/>
    <s v="MER-A0-3247"/>
    <d v="2025-07-16T00:00:00"/>
    <x v="1"/>
    <n v="75.78"/>
    <n v="0.2"/>
    <n v="91.66"/>
    <x v="1"/>
    <s v="Sí"/>
    <d v="2026-07-11T00:00:00"/>
    <n v="12"/>
  </r>
  <r>
    <s v="DEP-A0-2185"/>
    <x v="0"/>
    <n v="23"/>
    <x v="0"/>
    <s v="Camisa"/>
    <s v="Azul"/>
    <s v="Puma"/>
    <s v="MER-A0-2185"/>
    <d v="2025-07-16T00:00:00"/>
    <x v="1"/>
    <n v="120.27"/>
    <n v="0.3"/>
    <n v="93.00200000000001"/>
    <x v="1"/>
    <s v="Sí"/>
    <d v="2026-07-11T00:00:00"/>
    <n v="12"/>
  </r>
  <r>
    <s v="DEP-A0-4031"/>
    <x v="0"/>
    <n v="26"/>
    <x v="0"/>
    <s v="Vestido"/>
    <s v="Azul"/>
    <s v="Zara"/>
    <s v="MER-A0-4031"/>
    <d v="2025-08-09T00:00:00"/>
    <x v="1"/>
    <n v="109.98"/>
    <n v="0.2"/>
    <n v="94.49"/>
    <x v="1"/>
    <s v="Sí"/>
    <d v="2026-08-04T00:00:00"/>
    <n v="12"/>
  </r>
  <r>
    <s v="DEP-A0-4872"/>
    <x v="1"/>
    <n v="30"/>
    <x v="0"/>
    <s v="Chaqueta"/>
    <s v="Blanco"/>
    <s v="Adidas"/>
    <s v="MER-A0-4872"/>
    <d v="2025-07-12T00:00:00"/>
    <x v="1"/>
    <n v="122.72"/>
    <n v="0.3"/>
    <n v="95.318999999999988"/>
    <x v="1"/>
    <s v="Sí"/>
    <d v="2026-07-07T00:00:00"/>
    <n v="12"/>
  </r>
  <r>
    <s v="DEP-A0-0940"/>
    <x v="0"/>
    <n v="29"/>
    <x v="0"/>
    <s v="Chaqueta"/>
    <s v="Rojo"/>
    <s v="Zara"/>
    <s v="MER-A0-0940"/>
    <d v="2025-07-22T00:00:00"/>
    <x v="1"/>
    <n v="142.21"/>
    <n v="0.2"/>
    <n v="95.337000000000003"/>
    <x v="1"/>
    <s v="Sí"/>
    <d v="2026-07-17T00:00:00"/>
    <n v="12"/>
  </r>
  <r>
    <s v="DEP-A0-1490"/>
    <x v="0"/>
    <n v="20"/>
    <x v="0"/>
    <s v="Falda"/>
    <s v="Gris"/>
    <s v="Levis"/>
    <s v="MER-A0-1490"/>
    <d v="2025-08-16T00:00:00"/>
    <x v="1"/>
    <n v="18.71"/>
    <n v="0.3"/>
    <n v="96.152000000000015"/>
    <x v="1"/>
    <s v="Sí"/>
    <d v="2026-08-11T00:00:00"/>
    <n v="12"/>
  </r>
  <r>
    <s v="DEP-A0-1378"/>
    <x v="0"/>
    <n v="22"/>
    <x v="0"/>
    <s v="Falda"/>
    <s v="Gris"/>
    <s v="Tommy"/>
    <s v="MER-A0-1378"/>
    <d v="2024-02-13T00:00:00"/>
    <x v="0"/>
    <n v="10.220000000000001"/>
    <n v="0.3"/>
    <n v="193.53"/>
    <x v="2"/>
    <s v="No"/>
    <d v="2024-03-23T00:00:00"/>
    <n v="0"/>
  </r>
  <r>
    <s v="DEP-A0-0539"/>
    <x v="0"/>
    <n v="21"/>
    <x v="0"/>
    <s v="Chaqueta"/>
    <s v="Azul"/>
    <s v="Nike"/>
    <s v="MER-A0-0539"/>
    <d v="2024-09-01T00:00:00"/>
    <x v="0"/>
    <n v="12.59"/>
    <n v="0.3"/>
    <n v="133.40699999999998"/>
    <x v="2"/>
    <s v="No"/>
    <d v="2024-09-01T00:00:00"/>
    <n v="0"/>
  </r>
  <r>
    <s v="DEP-A0-4220"/>
    <x v="0"/>
    <n v="26"/>
    <x v="0"/>
    <s v="Falda"/>
    <s v="Amarillo"/>
    <s v="Puma"/>
    <s v="MER-A0-4220"/>
    <d v="2024-01-21T00:00:00"/>
    <x v="0"/>
    <n v="11.02"/>
    <n v="0.2"/>
    <n v="133.596"/>
    <x v="2"/>
    <s v="No"/>
    <d v="2024-01-21T00:00:00"/>
    <n v="0"/>
  </r>
  <r>
    <s v="DEP-A0-3660"/>
    <x v="0"/>
    <n v="25"/>
    <x v="0"/>
    <s v="Zapatos"/>
    <s v="Rojo"/>
    <s v="Zara"/>
    <s v="MER-A0-3660"/>
    <d v="2024-01-19T00:00:00"/>
    <x v="0"/>
    <n v="12.83"/>
    <n v="0.3"/>
    <n v="168.65099999999998"/>
    <x v="2"/>
    <s v="No"/>
    <d v="2024-01-19T00:00:00"/>
    <n v="0"/>
  </r>
  <r>
    <s v="DEP-A0-2857"/>
    <x v="0"/>
    <n v="19"/>
    <x v="0"/>
    <s v="Blusa"/>
    <s v="Azul"/>
    <s v="Nike"/>
    <s v="MER-A0-2857"/>
    <d v="2024-04-08T00:00:00"/>
    <x v="0"/>
    <n v="10.34"/>
    <n v="0.1"/>
    <n v="16.359000000000002"/>
    <x v="2"/>
    <s v="No"/>
    <d v="2024-04-08T00:00:00"/>
    <n v="0"/>
  </r>
  <r>
    <s v="DEP-A0-1835"/>
    <x v="1"/>
    <n v="31"/>
    <x v="0"/>
    <s v="Zapatos"/>
    <s v="Amarillo"/>
    <s v="Puma"/>
    <s v="MER-A0-1835"/>
    <d v="2024-06-27T00:00:00"/>
    <x v="0"/>
    <n v="12.91"/>
    <n v="0.2"/>
    <n v="115.53"/>
    <x v="2"/>
    <s v="No"/>
    <d v="2025-03-24T00:00:00"/>
    <n v="0"/>
  </r>
  <r>
    <s v="DEP-A0-3809"/>
    <x v="0"/>
    <n v="24"/>
    <x v="0"/>
    <s v="Vestido"/>
    <s v="Verde"/>
    <s v="Tommy"/>
    <s v="MER-A0-3809"/>
    <d v="2024-04-08T00:00:00"/>
    <x v="0"/>
    <n v="14"/>
    <n v="0.2"/>
    <n v="47.351999999999997"/>
    <x v="2"/>
    <s v="No"/>
    <d v="2024-07-07T00:00:00"/>
    <n v="0"/>
  </r>
  <r>
    <s v="DEP-A0-1589"/>
    <x v="0"/>
    <n v="25"/>
    <x v="0"/>
    <s v="Falda"/>
    <s v="Verde"/>
    <s v="Adidas"/>
    <s v="MER-A0-1589"/>
    <d v="2024-05-27T00:00:00"/>
    <x v="0"/>
    <n v="14.96"/>
    <n v="0.2"/>
    <n v="70.775999999999996"/>
    <x v="2"/>
    <s v="No"/>
    <d v="2024-05-27T00:00:00"/>
    <n v="0"/>
  </r>
  <r>
    <s v="DEP-A0-2916"/>
    <x v="0"/>
    <n v="19"/>
    <x v="0"/>
    <s v="Chaqueta"/>
    <s v="Negro"/>
    <s v="Tommy"/>
    <s v="MER-A0-2916"/>
    <d v="2024-02-27T00:00:00"/>
    <x v="0"/>
    <n v="12.36"/>
    <n v="0"/>
    <n v="15.449000000000002"/>
    <x v="2"/>
    <s v="No"/>
    <d v="2024-08-25T00:00:00"/>
    <n v="0"/>
  </r>
  <r>
    <s v="DEP-A0-1803"/>
    <x v="0"/>
    <n v="32"/>
    <x v="0"/>
    <s v="Blusa"/>
    <s v="Amarillo"/>
    <s v="Puma"/>
    <s v="MER-A0-1803"/>
    <d v="2024-03-02T00:00:00"/>
    <x v="0"/>
    <n v="13.76"/>
    <n v="0.1"/>
    <n v="126.21600000000001"/>
    <x v="2"/>
    <s v="No"/>
    <d v="2024-03-02T00:00:00"/>
    <n v="0"/>
  </r>
  <r>
    <s v="DEP-A0-1057"/>
    <x v="0"/>
    <n v="28"/>
    <x v="0"/>
    <s v="Vestido"/>
    <s v="Negro"/>
    <s v="Tommy"/>
    <s v="MER-A0-1057"/>
    <d v="2024-11-28T00:00:00"/>
    <x v="0"/>
    <n v="17.809999999999999"/>
    <n v="0.3"/>
    <n v="60.19"/>
    <x v="2"/>
    <s v="No"/>
    <d v="2025-04-10T00:00:00"/>
    <n v="0"/>
  </r>
  <r>
    <s v="DEP-A0-1465"/>
    <x v="1"/>
    <n v="32"/>
    <x v="0"/>
    <s v="Chaqueta"/>
    <s v="Amarillo"/>
    <s v="Levis"/>
    <s v="MER-A0-1465"/>
    <d v="2024-03-11T00:00:00"/>
    <x v="0"/>
    <n v="12.49"/>
    <n v="0"/>
    <n v="58.448"/>
    <x v="2"/>
    <s v="No"/>
    <d v="2024-03-11T00:00:00"/>
    <n v="0"/>
  </r>
  <r>
    <s v="DEP-A0-4080"/>
    <x v="1"/>
    <n v="32"/>
    <x v="0"/>
    <s v="Chaqueta"/>
    <s v="Negro"/>
    <s v="Levis"/>
    <s v="MER-A0-4080"/>
    <d v="2024-02-25T00:00:00"/>
    <x v="0"/>
    <n v="18.940000000000001"/>
    <n v="0.3"/>
    <n v="90.287999999999997"/>
    <x v="2"/>
    <s v="No"/>
    <d v="2024-02-25T00:00:00"/>
    <n v="0"/>
  </r>
  <r>
    <s v="DEP-A0-4333"/>
    <x v="0"/>
    <n v="25"/>
    <x v="0"/>
    <s v="Chaqueta"/>
    <s v="Negro"/>
    <s v="Mango"/>
    <s v="MER-A0-4333"/>
    <d v="2024-07-29T00:00:00"/>
    <x v="0"/>
    <n v="16.38"/>
    <n v="0.1"/>
    <n v="88.048000000000002"/>
    <x v="2"/>
    <s v="No"/>
    <d v="2024-07-29T00:00:00"/>
    <n v="0"/>
  </r>
  <r>
    <s v="DEP-A0-3552"/>
    <x v="1"/>
    <n v="28"/>
    <x v="0"/>
    <s v="Zapatos"/>
    <s v="Gris"/>
    <s v="Levis"/>
    <s v="MER-A0-3552"/>
    <d v="2024-03-24T00:00:00"/>
    <x v="0"/>
    <n v="18.510000000000002"/>
    <n v="0.2"/>
    <n v="77.203000000000003"/>
    <x v="2"/>
    <s v="No"/>
    <d v="2024-03-24T00:00:00"/>
    <n v="0"/>
  </r>
  <r>
    <s v="DEP-A0-4341"/>
    <x v="1"/>
    <n v="24"/>
    <x v="0"/>
    <s v="Chaqueta"/>
    <s v="Azul"/>
    <s v="Adidas"/>
    <s v="MER-A0-4341"/>
    <d v="2024-04-29T00:00:00"/>
    <x v="0"/>
    <n v="18.7"/>
    <n v="0.2"/>
    <n v="85.686999999999998"/>
    <x v="2"/>
    <s v="No"/>
    <d v="2024-04-29T00:00:00"/>
    <n v="0"/>
  </r>
  <r>
    <s v="DEP-A0-2470"/>
    <x v="0"/>
    <n v="33"/>
    <x v="0"/>
    <s v="Chaqueta"/>
    <s v="Negro"/>
    <s v="Adidas"/>
    <s v="MER-A0-2470"/>
    <d v="2024-06-13T00:00:00"/>
    <x v="0"/>
    <n v="15.08"/>
    <n v="0"/>
    <n v="113.607"/>
    <x v="2"/>
    <s v="No"/>
    <d v="2024-06-13T00:00:00"/>
    <n v="0"/>
  </r>
  <r>
    <s v="DEP-A0-4666"/>
    <x v="0"/>
    <n v="29"/>
    <x v="0"/>
    <s v="Camisa"/>
    <s v="Negro"/>
    <s v="Nike"/>
    <s v="MER-A0-4666"/>
    <d v="2024-02-13T00:00:00"/>
    <x v="0"/>
    <n v="15.08"/>
    <n v="0"/>
    <n v="104.06400000000001"/>
    <x v="2"/>
    <s v="No"/>
    <d v="2024-03-17T00:00:00"/>
    <n v="0"/>
  </r>
  <r>
    <s v="DEP-A0-1796"/>
    <x v="0"/>
    <n v="27"/>
    <x v="0"/>
    <s v="Camisa"/>
    <s v="Negro"/>
    <s v="Zara"/>
    <s v="MER-A0-1796"/>
    <d v="2024-01-24T00:00:00"/>
    <x v="0"/>
    <n v="22.38"/>
    <n v="0.3"/>
    <n v="162.54900000000001"/>
    <x v="2"/>
    <s v="No"/>
    <d v="2024-01-24T00:00:00"/>
    <n v="0"/>
  </r>
  <r>
    <s v="DEP-A0-2457"/>
    <x v="0"/>
    <n v="28"/>
    <x v="0"/>
    <s v="Chaqueta"/>
    <s v="Verde"/>
    <s v="Puma"/>
    <s v="MER-A0-2457"/>
    <d v="2024-04-24T00:00:00"/>
    <x v="0"/>
    <n v="22.49"/>
    <n v="0.3"/>
    <n v="159.16800000000001"/>
    <x v="2"/>
    <s v="No"/>
    <d v="2024-04-24T00:00:00"/>
    <n v="0"/>
  </r>
  <r>
    <s v="DEP-A0-1106"/>
    <x v="0"/>
    <n v="30"/>
    <x v="0"/>
    <s v="Zapatos"/>
    <s v="Amarillo"/>
    <s v="Tommy"/>
    <s v="MER-A0-1106"/>
    <d v="2024-11-04T00:00:00"/>
    <x v="0"/>
    <n v="17.8"/>
    <n v="0.1"/>
    <n v="70.152000000000001"/>
    <x v="2"/>
    <s v="No"/>
    <d v="2024-11-04T00:00:00"/>
    <n v="0"/>
  </r>
  <r>
    <s v="DEP-A0-3039"/>
    <x v="0"/>
    <n v="29"/>
    <x v="0"/>
    <s v="Chaqueta"/>
    <s v="Amarillo"/>
    <s v="Zara"/>
    <s v="MER-A0-3039"/>
    <d v="2024-02-06T00:00:00"/>
    <x v="0"/>
    <n v="17.91"/>
    <n v="0.1"/>
    <n v="81.984000000000009"/>
    <x v="2"/>
    <s v="No"/>
    <d v="2024-02-06T00:00:00"/>
    <n v="0"/>
  </r>
  <r>
    <s v="DEP-A0-0601"/>
    <x v="0"/>
    <n v="30"/>
    <x v="0"/>
    <s v="Blusa"/>
    <s v="Gris"/>
    <s v="Zara"/>
    <s v="MER-A0-0601"/>
    <d v="2024-12-23T00:00:00"/>
    <x v="0"/>
    <n v="23.37"/>
    <n v="0.3"/>
    <n v="138.63"/>
    <x v="2"/>
    <s v="No"/>
    <d v="2024-07-09T00:00:00"/>
    <n v="0"/>
  </r>
  <r>
    <s v="DEP-A0-3262"/>
    <x v="1"/>
    <n v="21"/>
    <x v="0"/>
    <s v="Zapatos"/>
    <s v="Amarillo"/>
    <s v="Tommy"/>
    <s v="MER-A0-3262"/>
    <d v="2024-10-13T00:00:00"/>
    <x v="0"/>
    <n v="18.64"/>
    <n v="0.1"/>
    <n v="28.273000000000003"/>
    <x v="2"/>
    <s v="No"/>
    <d v="2024-10-13T00:00:00"/>
    <n v="0"/>
  </r>
  <r>
    <s v="DEP-A0-0322"/>
    <x v="1"/>
    <n v="34"/>
    <x v="0"/>
    <s v="Chaqueta"/>
    <s v="Amarillo"/>
    <s v="Mango"/>
    <s v="MER-A0-0322"/>
    <d v="2024-02-08T00:00:00"/>
    <x v="0"/>
    <n v="24.31"/>
    <n v="0.3"/>
    <n v="41.351999999999997"/>
    <x v="2"/>
    <s v="No"/>
    <d v="2024-02-08T00:00:00"/>
    <n v="0"/>
  </r>
  <r>
    <s v="DEP-A0-1403"/>
    <x v="0"/>
    <n v="26"/>
    <x v="0"/>
    <s v="Camisa"/>
    <s v="Gris"/>
    <s v="Puma"/>
    <s v="MER-A0-1403"/>
    <d v="2024-12-23T00:00:00"/>
    <x v="0"/>
    <n v="18.399999999999999"/>
    <n v="0"/>
    <n v="128.24799999999999"/>
    <x v="2"/>
    <s v="No"/>
    <d v="2024-01-02T00:00:00"/>
    <n v="0"/>
  </r>
  <r>
    <s v="DEP-A0-2634"/>
    <x v="1"/>
    <n v="19"/>
    <x v="0"/>
    <s v="Camisa"/>
    <s v="Amarillo"/>
    <s v="Levis"/>
    <s v="MER-A0-2634"/>
    <d v="2024-03-13T00:00:00"/>
    <x v="0"/>
    <n v="23.58"/>
    <n v="0.2"/>
    <n v="52.25500000000001"/>
    <x v="2"/>
    <s v="No"/>
    <d v="2024-03-13T00:00:00"/>
    <n v="0"/>
  </r>
  <r>
    <s v="DEP-A0-0104"/>
    <x v="0"/>
    <n v="23"/>
    <x v="0"/>
    <s v="Falda"/>
    <s v="Verde"/>
    <s v="Puma"/>
    <s v="MER-A0-0104"/>
    <d v="2024-07-29T00:00:00"/>
    <x v="0"/>
    <n v="26.95"/>
    <n v="0.3"/>
    <n v="74.150999999999996"/>
    <x v="2"/>
    <s v="No"/>
    <d v="2024-10-27T00:00:00"/>
    <n v="0"/>
  </r>
  <r>
    <s v="DEP-A0-3686"/>
    <x v="0"/>
    <n v="19"/>
    <x v="0"/>
    <s v="Falda"/>
    <s v="Amarillo"/>
    <s v="Puma"/>
    <s v="MER-A0-3686"/>
    <d v="2024-08-11T00:00:00"/>
    <x v="0"/>
    <n v="22.26"/>
    <n v="0.1"/>
    <n v="122.36000000000001"/>
    <x v="2"/>
    <s v="No"/>
    <d v="2024-08-11T00:00:00"/>
    <n v="0"/>
  </r>
  <r>
    <s v="DEP-A0-3155"/>
    <x v="1"/>
    <n v="29"/>
    <x v="0"/>
    <s v="Pantalón"/>
    <s v="Negro"/>
    <s v="Nike"/>
    <s v="MER-A0-3155"/>
    <d v="2024-07-21T00:00:00"/>
    <x v="0"/>
    <n v="28.69"/>
    <n v="0.3"/>
    <n v="136.262"/>
    <x v="2"/>
    <s v="No"/>
    <d v="2024-10-19T00:00:00"/>
    <n v="0"/>
  </r>
  <r>
    <s v="DEP-A0-3304"/>
    <x v="0"/>
    <n v="27"/>
    <x v="0"/>
    <s v="Blusa"/>
    <s v="Azul"/>
    <s v="Zara"/>
    <s v="MER-A0-3304"/>
    <d v="2024-09-14T00:00:00"/>
    <x v="0"/>
    <n v="29.31"/>
    <n v="0.3"/>
    <n v="76.25800000000001"/>
    <x v="2"/>
    <s v="No"/>
    <d v="2024-09-14T00:00:00"/>
    <n v="0"/>
  </r>
  <r>
    <s v="DEP-A0-3780"/>
    <x v="0"/>
    <n v="35"/>
    <x v="0"/>
    <s v="Blusa"/>
    <s v="Azul"/>
    <s v="Adidas"/>
    <s v="MER-A0-3780"/>
    <d v="2024-04-15T00:00:00"/>
    <x v="0"/>
    <n v="25.73"/>
    <n v="0.2"/>
    <n v="87.157000000000011"/>
    <x v="2"/>
    <s v="No"/>
    <d v="2024-04-15T00:00:00"/>
    <n v="0"/>
  </r>
  <r>
    <s v="DEP-A0-2094"/>
    <x v="0"/>
    <n v="19"/>
    <x v="0"/>
    <s v="Camisa"/>
    <s v="Amarillo"/>
    <s v="Zara"/>
    <s v="MER-A0-2094"/>
    <d v="2024-03-19T00:00:00"/>
    <x v="0"/>
    <n v="26.79"/>
    <n v="0.2"/>
    <n v="146.36000000000001"/>
    <x v="2"/>
    <s v="No"/>
    <d v="2024-03-19T00:00:00"/>
    <n v="0"/>
  </r>
  <r>
    <s v="DEP-A0-2745"/>
    <x v="0"/>
    <n v="22"/>
    <x v="0"/>
    <s v="Blusa"/>
    <s v="Negro"/>
    <s v="Puma"/>
    <s v="MER-A0-2745"/>
    <d v="2024-11-28T00:00:00"/>
    <x v="0"/>
    <n v="30.73"/>
    <n v="0.3"/>
    <n v="10.87"/>
    <x v="2"/>
    <s v="No"/>
    <d v="2024-07-28T00:00:00"/>
    <n v="0"/>
  </r>
  <r>
    <s v="DEP-A0-4919"/>
    <x v="0"/>
    <n v="18"/>
    <x v="0"/>
    <s v="Blusa"/>
    <s v="Gris"/>
    <s v="Tommy"/>
    <s v="MER-A0-4919"/>
    <d v="2024-11-04T00:00:00"/>
    <x v="0"/>
    <n v="31.5"/>
    <n v="0.3"/>
    <n v="126.904"/>
    <x v="2"/>
    <s v="No"/>
    <d v="2025-10-30T00:00:00"/>
    <n v="0"/>
  </r>
  <r>
    <s v="DEP-A0-0865"/>
    <x v="1"/>
    <n v="26"/>
    <x v="0"/>
    <s v="Pantalón"/>
    <s v="Blanco"/>
    <s v="Levis"/>
    <s v="MER-A0-0865"/>
    <d v="2024-10-09T00:00:00"/>
    <x v="0"/>
    <n v="24.82"/>
    <n v="0.1"/>
    <n v="106.98399999999999"/>
    <x v="2"/>
    <s v="No"/>
    <d v="2025-10-04T00:00:00"/>
    <n v="0"/>
  </r>
  <r>
    <s v="DEP-A0-0353"/>
    <x v="0"/>
    <n v="23"/>
    <x v="0"/>
    <s v="Pantalón"/>
    <s v="Azul"/>
    <s v="Mango"/>
    <s v="MER-A0-0353"/>
    <d v="2024-10-01T00:00:00"/>
    <x v="0"/>
    <n v="26.32"/>
    <n v="0.1"/>
    <n v="26.11"/>
    <x v="2"/>
    <s v="No"/>
    <d v="2025-03-30T00:00:00"/>
    <n v="0"/>
  </r>
  <r>
    <s v="DEP-A0-1353"/>
    <x v="0"/>
    <n v="22"/>
    <x v="0"/>
    <s v="Chaqueta"/>
    <s v="Verde"/>
    <s v="Zara"/>
    <s v="MER-A0-1353"/>
    <d v="2024-01-25T00:00:00"/>
    <x v="0"/>
    <n v="29.95"/>
    <n v="0.2"/>
    <n v="82.971000000000004"/>
    <x v="2"/>
    <s v="No"/>
    <d v="2024-10-21T00:00:00"/>
    <n v="0"/>
  </r>
  <r>
    <s v="DEP-A0-4670"/>
    <x v="0"/>
    <n v="35"/>
    <x v="0"/>
    <s v="Zapatos"/>
    <s v="Gris"/>
    <s v="Puma"/>
    <s v="MER-A0-4670"/>
    <d v="2024-04-22T00:00:00"/>
    <x v="0"/>
    <n v="30.1"/>
    <n v="0.2"/>
    <n v="182.71"/>
    <x v="2"/>
    <s v="No"/>
    <d v="2024-04-22T00:00:00"/>
    <n v="0"/>
  </r>
  <r>
    <s v="DEP-A0-0208"/>
    <x v="0"/>
    <n v="35"/>
    <x v="0"/>
    <s v="Zapatos"/>
    <s v="Blanco"/>
    <s v="Puma"/>
    <s v="MER-A0-0208"/>
    <d v="2024-12-23T00:00:00"/>
    <x v="0"/>
    <n v="27.11"/>
    <n v="0.1"/>
    <n v="55.287999999999997"/>
    <x v="2"/>
    <s v="No"/>
    <d v="2025-01-02T00:00:00"/>
    <n v="0"/>
  </r>
  <r>
    <s v="DEP-A0-2288"/>
    <x v="0"/>
    <n v="22"/>
    <x v="0"/>
    <s v="Vestido"/>
    <s v="Azul"/>
    <s v="Adidas"/>
    <s v="MER-A0-2288"/>
    <d v="2024-04-03T00:00:00"/>
    <x v="0"/>
    <n v="30.74"/>
    <n v="0.2"/>
    <n v="38.661000000000001"/>
    <x v="2"/>
    <s v="No"/>
    <d v="2024-07-02T00:00:00"/>
    <n v="0"/>
  </r>
  <r>
    <s v="DEP-A0-3320"/>
    <x v="0"/>
    <n v="31"/>
    <x v="0"/>
    <s v="Chaqueta"/>
    <s v="Amarillo"/>
    <s v="Nike"/>
    <s v="MER-A0-3320"/>
    <d v="2024-04-05T00:00:00"/>
    <x v="0"/>
    <n v="35.67"/>
    <n v="0.3"/>
    <n v="164.79"/>
    <x v="2"/>
    <s v="No"/>
    <d v="2024-04-05T00:00:00"/>
    <n v="0"/>
  </r>
  <r>
    <s v="DEP-A0-4010"/>
    <x v="1"/>
    <n v="24"/>
    <x v="0"/>
    <s v="Zapatos"/>
    <s v="Amarillo"/>
    <s v="Tommy"/>
    <s v="MER-A0-4010"/>
    <d v="2024-01-25T00:00:00"/>
    <x v="0"/>
    <n v="31.35"/>
    <n v="0.2"/>
    <n v="154.28800000000001"/>
    <x v="2"/>
    <s v="No"/>
    <d v="2024-01-25T00:00:00"/>
    <n v="0"/>
  </r>
  <r>
    <s v="DEP-A0-2092"/>
    <x v="0"/>
    <n v="32"/>
    <x v="0"/>
    <s v="Pantalón"/>
    <s v="Azul"/>
    <s v="Levis"/>
    <s v="MER-A0-2092"/>
    <d v="2024-09-29T00:00:00"/>
    <x v="0"/>
    <n v="25.25"/>
    <n v="0"/>
    <n v="54.044999999999995"/>
    <x v="2"/>
    <s v="No"/>
    <d v="2025-09-24T00:00:00"/>
    <n v="0"/>
  </r>
  <r>
    <s v="DEP-A0-2873"/>
    <x v="1"/>
    <n v="18"/>
    <x v="0"/>
    <s v="Pantalón"/>
    <s v="Azul"/>
    <s v="Puma"/>
    <s v="MER-A0-2873"/>
    <d v="2024-01-17T00:00:00"/>
    <x v="0"/>
    <n v="26.25"/>
    <n v="0"/>
    <n v="135.53399999999999"/>
    <x v="2"/>
    <s v="No"/>
    <d v="2024-01-17T00:00:00"/>
    <n v="0"/>
  </r>
  <r>
    <s v="DEP-A0-0103"/>
    <x v="0"/>
    <n v="33"/>
    <x v="0"/>
    <s v="Falda"/>
    <s v="Amarillo"/>
    <s v="Nike"/>
    <s v="MER-A0-0103"/>
    <d v="2024-01-19T00:00:00"/>
    <x v="0"/>
    <n v="29.76"/>
    <n v="0.1"/>
    <n v="63.108000000000004"/>
    <x v="2"/>
    <s v="No"/>
    <d v="2024-10-15T00:00:00"/>
    <n v="0"/>
  </r>
  <r>
    <s v="DEP-A0-4450"/>
    <x v="1"/>
    <n v="25"/>
    <x v="0"/>
    <s v="Zapatos"/>
    <s v="Negro"/>
    <s v="Tommy"/>
    <s v="MER-A0-4450"/>
    <d v="2024-12-23T00:00:00"/>
    <x v="0"/>
    <n v="38.79"/>
    <n v="0.3"/>
    <n v="72.183999999999997"/>
    <x v="2"/>
    <s v="No"/>
    <d v="2024-09-28T00:00:00"/>
    <n v="0"/>
  </r>
  <r>
    <s v="DEP-A0-1037"/>
    <x v="0"/>
    <n v="23"/>
    <x v="0"/>
    <s v="Pantalón"/>
    <s v="Negro"/>
    <s v="Adidas"/>
    <s v="MER-A0-1037"/>
    <d v="2024-03-20T00:00:00"/>
    <x v="0"/>
    <n v="30.24"/>
    <n v="0.1"/>
    <n v="41.11"/>
    <x v="2"/>
    <s v="No"/>
    <d v="2024-06-18T00:00:00"/>
    <n v="0"/>
  </r>
  <r>
    <s v="DEP-A0-4758"/>
    <x v="1"/>
    <n v="35"/>
    <x v="0"/>
    <s v="Zapatos"/>
    <s v="Blanco"/>
    <s v="Nike"/>
    <s v="MER-A0-4758"/>
    <d v="2024-10-16T00:00:00"/>
    <x v="0"/>
    <n v="27.79"/>
    <n v="0"/>
    <n v="86.76"/>
    <x v="2"/>
    <s v="No"/>
    <d v="2025-01-14T00:00:00"/>
    <n v="0"/>
  </r>
  <r>
    <s v="DEP-A0-1497"/>
    <x v="1"/>
    <n v="22"/>
    <x v="0"/>
    <s v="Pantalón"/>
    <s v="Rojo"/>
    <s v="Tommy"/>
    <s v="MER-A0-1497"/>
    <d v="2024-04-29T00:00:00"/>
    <x v="0"/>
    <n v="28.38"/>
    <n v="0"/>
    <n v="35.665000000000006"/>
    <x v="2"/>
    <s v="No"/>
    <d v="2024-04-29T00:00:00"/>
    <n v="0"/>
  </r>
  <r>
    <s v="DEP-A0-0873"/>
    <x v="0"/>
    <n v="22"/>
    <x v="0"/>
    <s v="Zapatos"/>
    <s v="Verde"/>
    <s v="Levis"/>
    <s v="MER-A0-0873"/>
    <d v="2024-03-13T00:00:00"/>
    <x v="0"/>
    <n v="28.58"/>
    <n v="0"/>
    <n v="103.744"/>
    <x v="2"/>
    <s v="No"/>
    <d v="2024-03-13T00:00:00"/>
    <n v="0"/>
  </r>
  <r>
    <s v="DEP-A0-2431"/>
    <x v="1"/>
    <n v="28"/>
    <x v="0"/>
    <s v="Pantalón"/>
    <s v="Blanco"/>
    <s v="Levis"/>
    <s v="MER-A0-2431"/>
    <d v="2024-12-23T00:00:00"/>
    <x v="0"/>
    <n v="40.94"/>
    <n v="0.3"/>
    <n v="121.13500000000002"/>
    <x v="2"/>
    <s v="No"/>
    <d v="2024-03-31T00:00:00"/>
    <n v="0"/>
  </r>
  <r>
    <s v="DEP-A0-1609"/>
    <x v="1"/>
    <n v="34"/>
    <x v="0"/>
    <s v="Camisa"/>
    <s v="Amarillo"/>
    <s v="Tommy"/>
    <s v="MER-A0-1609"/>
    <d v="2024-05-27T00:00:00"/>
    <x v="0"/>
    <n v="32.19"/>
    <n v="0.1"/>
    <n v="161.17200000000003"/>
    <x v="2"/>
    <s v="No"/>
    <d v="2025-05-22T00:00:00"/>
    <n v="0"/>
  </r>
  <r>
    <s v="DEP-A0-2760"/>
    <x v="0"/>
    <n v="30"/>
    <x v="0"/>
    <s v="Pantalón"/>
    <s v="Blanco"/>
    <s v="Adidas"/>
    <s v="MER-A0-2760"/>
    <d v="2024-01-18T00:00:00"/>
    <x v="0"/>
    <n v="29.05"/>
    <n v="0"/>
    <n v="45.262"/>
    <x v="2"/>
    <s v="No"/>
    <d v="2024-01-18T00:00:00"/>
    <n v="0"/>
  </r>
  <r>
    <s v="DEP-A0-0413"/>
    <x v="0"/>
    <n v="33"/>
    <x v="0"/>
    <s v="Camisa"/>
    <s v="Gris"/>
    <s v="Tommy"/>
    <s v="MER-A0-0413"/>
    <d v="2024-11-14T00:00:00"/>
    <x v="0"/>
    <n v="36.950000000000003"/>
    <n v="0.2"/>
    <n v="63.775999999999996"/>
    <x v="2"/>
    <s v="No"/>
    <d v="2025-02-12T00:00:00"/>
    <n v="0"/>
  </r>
  <r>
    <s v="DEP-A0-2695"/>
    <x v="1"/>
    <n v="22"/>
    <x v="0"/>
    <s v="Pantalón"/>
    <s v="Blanco"/>
    <s v="Puma"/>
    <s v="MER-A0-2695"/>
    <d v="2024-11-28T00:00:00"/>
    <x v="0"/>
    <n v="37"/>
    <n v="0.2"/>
    <n v="105.434"/>
    <x v="2"/>
    <s v="No"/>
    <d v="2024-04-30T00:00:00"/>
    <n v="0"/>
  </r>
  <r>
    <s v="DEP-A0-3997"/>
    <x v="0"/>
    <n v="33"/>
    <x v="0"/>
    <s v="Blusa"/>
    <s v="Verde"/>
    <s v="Mango"/>
    <s v="MER-A0-3997"/>
    <d v="2024-02-19T00:00:00"/>
    <x v="0"/>
    <n v="42.47"/>
    <n v="0.3"/>
    <n v="82.5"/>
    <x v="2"/>
    <s v="No"/>
    <d v="2024-02-19T00:00:00"/>
    <n v="0"/>
  </r>
  <r>
    <s v="DEP-A0-0936"/>
    <x v="0"/>
    <n v="30"/>
    <x v="0"/>
    <s v="Falda"/>
    <s v="Verde"/>
    <s v="Levis"/>
    <s v="MER-A0-0936"/>
    <d v="2024-08-29T00:00:00"/>
    <x v="0"/>
    <n v="43.15"/>
    <n v="0.3"/>
    <n v="60.948999999999998"/>
    <x v="2"/>
    <s v="No"/>
    <d v="2024-11-27T00:00:00"/>
    <n v="0"/>
  </r>
  <r>
    <s v="DEP-A0-2087"/>
    <x v="1"/>
    <n v="35"/>
    <x v="0"/>
    <s v="Chaqueta"/>
    <s v="Amarillo"/>
    <s v="Adidas"/>
    <s v="MER-A0-2087"/>
    <d v="2024-02-13T00:00:00"/>
    <x v="0"/>
    <n v="38.35"/>
    <n v="0.2"/>
    <n v="18.88"/>
    <x v="2"/>
    <s v="No"/>
    <d v="2024-02-13T00:00:00"/>
    <n v="0"/>
  </r>
  <r>
    <s v="DEP-A0-0503"/>
    <x v="0"/>
    <n v="27"/>
    <x v="0"/>
    <s v="Vestido"/>
    <s v="Azul"/>
    <s v="Nike"/>
    <s v="MER-A0-0503"/>
    <d v="2024-01-24T00:00:00"/>
    <x v="0"/>
    <n v="34.61"/>
    <n v="0.1"/>
    <n v="73.031000000000006"/>
    <x v="2"/>
    <s v="No"/>
    <d v="2024-01-24T00:00:00"/>
    <n v="0"/>
  </r>
  <r>
    <s v="DEP-A0-3926"/>
    <x v="0"/>
    <n v="28"/>
    <x v="0"/>
    <s v="Camisa"/>
    <s v="Verde"/>
    <s v="Puma"/>
    <s v="MER-A0-3926"/>
    <d v="2024-01-28T00:00:00"/>
    <x v="0"/>
    <n v="34.79"/>
    <n v="0.1"/>
    <n v="109.071"/>
    <x v="2"/>
    <s v="No"/>
    <d v="2024-04-27T00:00:00"/>
    <n v="0"/>
  </r>
  <r>
    <s v="DEP-A0-1124"/>
    <x v="0"/>
    <n v="25"/>
    <x v="0"/>
    <s v="Vestido"/>
    <s v="Verde"/>
    <s v="Puma"/>
    <s v="MER-A0-1124"/>
    <d v="2024-07-07T00:00:00"/>
    <x v="0"/>
    <n v="32.840000000000003"/>
    <n v="0"/>
    <n v="116.55199999999999"/>
    <x v="2"/>
    <s v="No"/>
    <d v="2024-07-07T00:00:00"/>
    <n v="0"/>
  </r>
  <r>
    <s v="DEP-A0-4664"/>
    <x v="0"/>
    <n v="21"/>
    <x v="0"/>
    <s v="Blusa"/>
    <s v="Rojo"/>
    <s v="Tommy"/>
    <s v="MER-A0-4664"/>
    <d v="2024-11-11T00:00:00"/>
    <x v="0"/>
    <n v="47.05"/>
    <n v="0.3"/>
    <n v="40.32"/>
    <x v="2"/>
    <s v="No"/>
    <d v="2025-08-08T00:00:00"/>
    <n v="0"/>
  </r>
  <r>
    <s v="DEP-A0-4285"/>
    <x v="1"/>
    <n v="21"/>
    <x v="0"/>
    <s v="Chaqueta"/>
    <s v="Blanco"/>
    <s v="Zara"/>
    <s v="MER-A0-4285"/>
    <d v="2024-03-23T00:00:00"/>
    <x v="0"/>
    <n v="41.44"/>
    <n v="0.2"/>
    <n v="55.230000000000004"/>
    <x v="2"/>
    <s v="No"/>
    <d v="2024-03-23T00:00:00"/>
    <n v="0"/>
  </r>
  <r>
    <s v="DEP-A0-1857"/>
    <x v="0"/>
    <n v="21"/>
    <x v="0"/>
    <s v="Vestido"/>
    <s v="Gris"/>
    <s v="Puma"/>
    <s v="MER-A0-1857"/>
    <d v="2024-09-03T00:00:00"/>
    <x v="0"/>
    <n v="37.43"/>
    <n v="0.1"/>
    <n v="120.04300000000001"/>
    <x v="2"/>
    <s v="No"/>
    <d v="2025-05-31T00:00:00"/>
    <n v="0"/>
  </r>
  <r>
    <s v="DEP-A0-0669"/>
    <x v="0"/>
    <n v="21"/>
    <x v="0"/>
    <s v="Blusa"/>
    <s v="Azul"/>
    <s v="Zara"/>
    <s v="MER-A0-0669"/>
    <d v="2024-04-16T00:00:00"/>
    <x v="0"/>
    <n v="42.24"/>
    <n v="0.2"/>
    <n v="79.760000000000005"/>
    <x v="2"/>
    <s v="No"/>
    <d v="2024-04-16T00:00:00"/>
    <n v="0"/>
  </r>
  <r>
    <s v="DEP-A0-2864"/>
    <x v="0"/>
    <n v="26"/>
    <x v="0"/>
    <s v="Pantalón"/>
    <s v="Gris"/>
    <s v="Zara"/>
    <s v="MER-A0-2864"/>
    <d v="2024-05-26T00:00:00"/>
    <x v="0"/>
    <n v="48.52"/>
    <n v="0.3"/>
    <n v="7.6440000000000001"/>
    <x v="2"/>
    <s v="No"/>
    <d v="2024-11-22T00:00:00"/>
    <n v="0"/>
  </r>
  <r>
    <s v="DEP-A0-0421"/>
    <x v="0"/>
    <n v="31"/>
    <x v="0"/>
    <s v="Blusa"/>
    <s v="Verde"/>
    <s v="Tommy"/>
    <s v="MER-A0-0421"/>
    <d v="2024-12-23T00:00:00"/>
    <x v="0"/>
    <n v="42.77"/>
    <n v="0.2"/>
    <n v="133.57799999999997"/>
    <x v="2"/>
    <s v="No"/>
    <d v="2024-01-03T00:00:00"/>
    <n v="0"/>
  </r>
  <r>
    <s v="DEP-A0-4597"/>
    <x v="0"/>
    <n v="23"/>
    <x v="0"/>
    <s v="Zapatos"/>
    <s v="Verde"/>
    <s v="Tommy"/>
    <s v="MER-A0-4597"/>
    <d v="2024-10-29T00:00:00"/>
    <x v="0"/>
    <n v="38.11"/>
    <n v="0.1"/>
    <n v="73.455999999999989"/>
    <x v="2"/>
    <s v="No"/>
    <d v="2025-07-26T00:00:00"/>
    <n v="0"/>
  </r>
  <r>
    <s v="DEP-A0-2591"/>
    <x v="0"/>
    <n v="31"/>
    <x v="0"/>
    <s v="Vestido"/>
    <s v="Gris"/>
    <s v="Puma"/>
    <s v="MER-A0-2591"/>
    <d v="2024-03-26T00:00:00"/>
    <x v="0"/>
    <n v="49.53"/>
    <n v="0.3"/>
    <n v="110.85300000000001"/>
    <x v="2"/>
    <s v="No"/>
    <d v="2024-06-24T00:00:00"/>
    <n v="0"/>
  </r>
  <r>
    <s v="DEP-A0-0765"/>
    <x v="1"/>
    <n v="26"/>
    <x v="0"/>
    <s v="Pantalón"/>
    <s v="Verde"/>
    <s v="Adidas"/>
    <s v="MER-A0-0765"/>
    <d v="2024-03-09T00:00:00"/>
    <x v="0"/>
    <n v="35.03"/>
    <n v="0"/>
    <n v="131.54"/>
    <x v="2"/>
    <s v="No"/>
    <d v="2024-06-07T00:00:00"/>
    <n v="0"/>
  </r>
  <r>
    <s v="DEP-A0-0480"/>
    <x v="0"/>
    <n v="30"/>
    <x v="0"/>
    <s v="Vestido"/>
    <s v="Amarillo"/>
    <s v="Nike"/>
    <s v="MER-A0-0480"/>
    <d v="2024-05-09T00:00:00"/>
    <x v="0"/>
    <n v="35.36"/>
    <n v="0"/>
    <n v="170.29"/>
    <x v="2"/>
    <s v="No"/>
    <d v="2024-05-09T00:00:00"/>
    <n v="0"/>
  </r>
  <r>
    <s v="DEP-A0-4713"/>
    <x v="0"/>
    <n v="18"/>
    <x v="0"/>
    <s v="Zapatos"/>
    <s v="Verde"/>
    <s v="Mango"/>
    <s v="MER-A0-4713"/>
    <d v="2024-11-28T00:00:00"/>
    <x v="0"/>
    <n v="43.16"/>
    <n v="0.1"/>
    <n v="12.49"/>
    <x v="2"/>
    <s v="No"/>
    <d v="2024-04-30T00:00:00"/>
    <n v="0"/>
  </r>
  <r>
    <s v="DEP-A0-3959"/>
    <x v="0"/>
    <n v="20"/>
    <x v="0"/>
    <s v="Falda"/>
    <s v="Amarillo"/>
    <s v="Levis"/>
    <s v="MER-A0-3959"/>
    <d v="2024-05-21T00:00:00"/>
    <x v="0"/>
    <n v="55.99"/>
    <n v="0.3"/>
    <n v="13.258000000000001"/>
    <x v="2"/>
    <s v="No"/>
    <d v="2024-05-21T00:00:00"/>
    <n v="0"/>
  </r>
  <r>
    <s v="DEP-A0-3275"/>
    <x v="0"/>
    <n v="20"/>
    <x v="0"/>
    <s v="Chaqueta"/>
    <s v="Verde"/>
    <s v="Nike"/>
    <s v="MER-A0-3275"/>
    <d v="2024-08-25T00:00:00"/>
    <x v="0"/>
    <n v="56.17"/>
    <n v="0.3"/>
    <n v="14.741999999999999"/>
    <x v="2"/>
    <s v="No"/>
    <d v="2024-08-25T00:00:00"/>
    <n v="0"/>
  </r>
  <r>
    <s v="DEP-A0-2556"/>
    <x v="0"/>
    <n v="18"/>
    <x v="0"/>
    <s v="Falda"/>
    <s v="Amarillo"/>
    <s v="Puma"/>
    <s v="MER-A0-2556"/>
    <d v="2024-09-28T00:00:00"/>
    <x v="0"/>
    <n v="60.74"/>
    <n v="0.3"/>
    <n v="18.863999999999997"/>
    <x v="2"/>
    <s v="No"/>
    <d v="2024-09-28T00:00:00"/>
    <n v="0"/>
  </r>
  <r>
    <s v="DEP-A0-3575"/>
    <x v="0"/>
    <n v="23"/>
    <x v="0"/>
    <s v="Falda"/>
    <s v="Verde"/>
    <s v="Adidas"/>
    <s v="MER-A0-3575"/>
    <d v="2024-12-10T00:00:00"/>
    <x v="0"/>
    <n v="61.99"/>
    <n v="0.3"/>
    <n v="21.431999999999999"/>
    <x v="2"/>
    <s v="No"/>
    <d v="2024-12-10T00:00:00"/>
    <n v="0"/>
  </r>
  <r>
    <s v="DEP-A0-2194"/>
    <x v="1"/>
    <n v="32"/>
    <x v="0"/>
    <s v="Camisa"/>
    <s v="Verde"/>
    <s v="Adidas"/>
    <s v="MER-A0-2194"/>
    <d v="2024-12-21T00:00:00"/>
    <x v="0"/>
    <n v="44.96"/>
    <n v="0"/>
    <n v="25.080000000000002"/>
    <x v="2"/>
    <s v="No"/>
    <d v="2024-12-21T00:00:00"/>
    <n v="0"/>
  </r>
  <r>
    <s v="DEP-A0-0395"/>
    <x v="0"/>
    <n v="30"/>
    <x v="0"/>
    <s v="Blusa"/>
    <s v="Blanco"/>
    <s v="Levis"/>
    <s v="MER-A0-0395"/>
    <d v="2024-02-05T00:00:00"/>
    <x v="0"/>
    <n v="58.27"/>
    <n v="0.2"/>
    <n v="28.658000000000001"/>
    <x v="2"/>
    <s v="No"/>
    <d v="2024-02-05T00:00:00"/>
    <n v="0"/>
  </r>
  <r>
    <s v="DEP-A0-2555"/>
    <x v="1"/>
    <n v="33"/>
    <x v="0"/>
    <s v="Camisa"/>
    <s v="Azul"/>
    <s v="Mango"/>
    <s v="MER-A0-2555"/>
    <d v="2024-02-07T00:00:00"/>
    <x v="0"/>
    <n v="58.44"/>
    <n v="0.2"/>
    <n v="29.05"/>
    <x v="2"/>
    <s v="No"/>
    <d v="2024-02-07T00:00:00"/>
    <n v="0"/>
  </r>
  <r>
    <s v="DEP-A0-2598"/>
    <x v="0"/>
    <n v="26"/>
    <x v="0"/>
    <s v="Blusa"/>
    <s v="Rojo"/>
    <s v="Adidas"/>
    <s v="MER-A0-2598"/>
    <d v="2024-05-10T00:00:00"/>
    <x v="0"/>
    <n v="52.22"/>
    <n v="0.1"/>
    <n v="29.728999999999999"/>
    <x v="2"/>
    <s v="No"/>
    <d v="2024-05-10T00:00:00"/>
    <n v="0"/>
  </r>
  <r>
    <s v="DEP-A0-1550"/>
    <x v="0"/>
    <n v="34"/>
    <x v="0"/>
    <s v="Vestido"/>
    <s v="Blanco"/>
    <s v="Levis"/>
    <s v="MER-A0-1550"/>
    <d v="2024-11-28T00:00:00"/>
    <x v="0"/>
    <n v="68.08"/>
    <n v="0.3"/>
    <n v="33.686999999999998"/>
    <x v="2"/>
    <s v="No"/>
    <d v="2024-11-28T00:00:00"/>
    <n v="0"/>
  </r>
  <r>
    <s v="DEP-A0-0158"/>
    <x v="0"/>
    <n v="29"/>
    <x v="0"/>
    <s v="Falda"/>
    <s v="Blanco"/>
    <s v="Mango"/>
    <s v="MER-A0-0158"/>
    <d v="2024-11-19T00:00:00"/>
    <x v="0"/>
    <n v="50.13"/>
    <n v="0"/>
    <n v="34.670999999999999"/>
    <x v="2"/>
    <s v="No"/>
    <d v="2024-11-19T00:00:00"/>
    <n v="0"/>
  </r>
  <r>
    <s v="DEP-A0-4122"/>
    <x v="0"/>
    <n v="25"/>
    <x v="0"/>
    <s v="Chaqueta"/>
    <s v="Verde"/>
    <s v="Nike"/>
    <s v="MER-A0-4122"/>
    <d v="2024-07-07T00:00:00"/>
    <x v="0"/>
    <n v="71.78"/>
    <n v="0.3"/>
    <n v="35.03"/>
    <x v="2"/>
    <s v="No"/>
    <d v="2024-07-07T00:00:00"/>
    <n v="0"/>
  </r>
  <r>
    <s v="DEP-A0-1753"/>
    <x v="0"/>
    <n v="28"/>
    <x v="0"/>
    <s v="Falda"/>
    <s v="Verde"/>
    <s v="Levis"/>
    <s v="MER-A0-1753"/>
    <d v="2024-05-18T00:00:00"/>
    <x v="0"/>
    <n v="53.56"/>
    <n v="0"/>
    <n v="55.911999999999999"/>
    <x v="2"/>
    <s v="No"/>
    <d v="2024-05-18T00:00:00"/>
    <n v="0"/>
  </r>
  <r>
    <s v="DEP-A0-2102"/>
    <x v="0"/>
    <n v="27"/>
    <x v="0"/>
    <s v="Pantalón"/>
    <s v="Negro"/>
    <s v="Puma"/>
    <s v="MER-A0-2102"/>
    <d v="2024-05-12T00:00:00"/>
    <x v="0"/>
    <n v="53.6"/>
    <n v="0"/>
    <n v="57.9"/>
    <x v="2"/>
    <s v="No"/>
    <d v="2024-05-12T00:00:00"/>
    <n v="0"/>
  </r>
  <r>
    <s v="DEP-A0-2381"/>
    <x v="0"/>
    <n v="35"/>
    <x v="0"/>
    <s v="Blusa"/>
    <s v="Blanco"/>
    <s v="Nike"/>
    <s v="MER-A0-2381"/>
    <d v="2024-12-28T00:00:00"/>
    <x v="0"/>
    <n v="69.89"/>
    <n v="0.2"/>
    <n v="71.391999999999996"/>
    <x v="2"/>
    <s v="No"/>
    <d v="2024-12-28T00:00:00"/>
    <n v="0"/>
  </r>
  <r>
    <s v="DEP-A0-4002"/>
    <x v="0"/>
    <n v="33"/>
    <x v="0"/>
    <s v="Blusa"/>
    <s v="Amarillo"/>
    <s v="Zara"/>
    <s v="MER-A0-4002"/>
    <d v="2024-12-23T00:00:00"/>
    <x v="0"/>
    <n v="80.34"/>
    <n v="0.3"/>
    <n v="74.808999999999997"/>
    <x v="2"/>
    <s v="No"/>
    <d v="2024-01-09T00:00:00"/>
    <n v="0"/>
  </r>
  <r>
    <s v="DEP-A0-2124"/>
    <x v="0"/>
    <n v="24"/>
    <x v="0"/>
    <s v="Vestido"/>
    <s v="Azul"/>
    <s v="Mango"/>
    <s v="MER-A0-2124"/>
    <d v="2024-11-16T00:00:00"/>
    <x v="0"/>
    <n v="57.9"/>
    <n v="0"/>
    <n v="88.227000000000004"/>
    <x v="2"/>
    <s v="No"/>
    <d v="2024-11-16T00:00:00"/>
    <n v="0"/>
  </r>
  <r>
    <s v="DEP-A0-2946"/>
    <x v="0"/>
    <n v="32"/>
    <x v="0"/>
    <s v="Camisa"/>
    <s v="Rojo"/>
    <s v="Nike"/>
    <s v="MER-A0-2946"/>
    <d v="2024-08-03T00:00:00"/>
    <x v="0"/>
    <n v="84.77"/>
    <n v="0.3"/>
    <n v="95.81"/>
    <x v="2"/>
    <s v="No"/>
    <d v="2024-08-03T00:00:00"/>
    <n v="0"/>
  </r>
  <r>
    <s v="DEP-A0-3432"/>
    <x v="1"/>
    <n v="23"/>
    <x v="0"/>
    <s v="Zapatos"/>
    <s v="Amarillo"/>
    <s v="Nike"/>
    <s v="MER-A0-3432"/>
    <d v="2024-05-26T00:00:00"/>
    <x v="0"/>
    <n v="74.87"/>
    <n v="0.2"/>
    <n v="100.55199999999999"/>
    <x v="2"/>
    <s v="No"/>
    <d v="2024-05-26T00:00:00"/>
    <n v="0"/>
  </r>
  <r>
    <s v="DEP-A0-4076"/>
    <x v="1"/>
    <n v="30"/>
    <x v="0"/>
    <s v="Zapatos"/>
    <s v="Rojo"/>
    <s v="Mango"/>
    <s v="MER-A0-4076"/>
    <d v="2024-03-05T00:00:00"/>
    <x v="0"/>
    <n v="68.42"/>
    <n v="0.1"/>
    <n v="107.47799999999999"/>
    <x v="2"/>
    <s v="No"/>
    <d v="2024-03-05T00:00:00"/>
    <n v="0"/>
  </r>
  <r>
    <s v="DEP-A0-1450"/>
    <x v="0"/>
    <n v="18"/>
    <x v="0"/>
    <s v="Falda"/>
    <s v="Blanco"/>
    <s v="Levis"/>
    <s v="MER-A0-1450"/>
    <d v="2024-09-07T00:00:00"/>
    <x v="0"/>
    <n v="62.31"/>
    <n v="0"/>
    <n v="123.43"/>
    <x v="2"/>
    <s v="No"/>
    <d v="2024-09-07T00:00:00"/>
    <n v="0"/>
  </r>
  <r>
    <s v="DEP-A0-2588"/>
    <x v="0"/>
    <n v="33"/>
    <x v="0"/>
    <s v="Pantalón"/>
    <s v="Azul"/>
    <s v="Puma"/>
    <s v="MER-A0-2588"/>
    <d v="2024-11-08T00:00:00"/>
    <x v="0"/>
    <n v="62.89"/>
    <n v="0"/>
    <n v="129.54400000000001"/>
    <x v="2"/>
    <s v="No"/>
    <d v="2024-11-08T00:00:00"/>
    <n v="0"/>
  </r>
  <r>
    <s v="DEP-A0-1021"/>
    <x v="0"/>
    <n v="28"/>
    <x v="0"/>
    <s v="Vestido"/>
    <s v="Blanco"/>
    <s v="Adidas"/>
    <s v="MER-A0-1021"/>
    <d v="2024-11-22T00:00:00"/>
    <x v="0"/>
    <n v="70.03"/>
    <n v="0.1"/>
    <n v="132.21"/>
    <x v="2"/>
    <s v="No"/>
    <d v="2024-06-28T00:00:00"/>
    <n v="0"/>
  </r>
  <r>
    <s v="DEP-A0-3360"/>
    <x v="0"/>
    <n v="18"/>
    <x v="0"/>
    <s v="Falda"/>
    <s v="Verde"/>
    <s v="Levis"/>
    <s v="MER-A0-3360"/>
    <d v="2024-03-02T00:00:00"/>
    <x v="0"/>
    <n v="84.41"/>
    <n v="0.2"/>
    <n v="175.095"/>
    <x v="2"/>
    <s v="No"/>
    <d v="2024-03-02T00:00:00"/>
    <n v="0"/>
  </r>
  <r>
    <s v="DEP-A0-1655"/>
    <x v="1"/>
    <n v="29"/>
    <x v="0"/>
    <s v="Camisa"/>
    <s v="Negro"/>
    <s v="Tommy"/>
    <s v="MER-A0-1655"/>
    <d v="2024-02-12T00:00:00"/>
    <x v="0"/>
    <n v="96.75"/>
    <n v="0.3"/>
    <n v="177.02999999999997"/>
    <x v="2"/>
    <s v="No"/>
    <d v="2024-02-12T00:00:00"/>
    <n v="0"/>
  </r>
  <r>
    <s v="DEP-A0-0870"/>
    <x v="0"/>
    <n v="27"/>
    <x v="0"/>
    <s v="Falda"/>
    <s v="Negro"/>
    <s v="Mango"/>
    <s v="MER-A0-0870"/>
    <d v="2024-12-03T00:00:00"/>
    <x v="0"/>
    <n v="99.94"/>
    <n v="0.3"/>
    <n v="37.513000000000005"/>
    <x v="2"/>
    <s v="No"/>
    <d v="2024-12-03T00:00:00"/>
    <n v="0"/>
  </r>
  <r>
    <s v="DEP-A0-2778"/>
    <x v="1"/>
    <n v="29"/>
    <x v="0"/>
    <s v="Zapatos"/>
    <s v="Negro"/>
    <s v="Mango"/>
    <s v="MER-A0-2778"/>
    <d v="2024-11-08T00:00:00"/>
    <x v="0"/>
    <n v="100.51"/>
    <n v="0.3"/>
    <n v="37.872"/>
    <x v="2"/>
    <s v="No"/>
    <d v="2024-11-08T00:00:00"/>
    <n v="0"/>
  </r>
  <r>
    <s v="DEP-A0-3495"/>
    <x v="0"/>
    <n v="21"/>
    <x v="0"/>
    <s v="Zapatos"/>
    <s v="Amarillo"/>
    <s v="Adidas"/>
    <s v="MER-A0-3495"/>
    <d v="2024-11-28T00:00:00"/>
    <x v="0"/>
    <n v="101.28"/>
    <n v="0.3"/>
    <n v="39.492000000000004"/>
    <x v="2"/>
    <s v="No"/>
    <d v="2024-07-28T00:00:00"/>
    <n v="0"/>
  </r>
  <r>
    <s v="DEP-A0-3089"/>
    <x v="1"/>
    <n v="25"/>
    <x v="0"/>
    <s v="Zapatos"/>
    <s v="Blanco"/>
    <s v="Tommy"/>
    <s v="MER-A0-3089"/>
    <d v="2024-12-23T00:00:00"/>
    <x v="0"/>
    <n v="89.24"/>
    <n v="0.2"/>
    <n v="41.760000000000005"/>
    <x v="2"/>
    <s v="No"/>
    <d v="2024-01-12T00:00:00"/>
    <n v="0"/>
  </r>
  <r>
    <s v="DEP-A0-0808"/>
    <x v="1"/>
    <n v="32"/>
    <x v="0"/>
    <s v="Chaqueta"/>
    <s v="Negro"/>
    <s v="Tommy"/>
    <s v="MER-A0-0808"/>
    <d v="2024-12-23T00:00:00"/>
    <x v="0"/>
    <n v="82.75"/>
    <n v="0.1"/>
    <n v="48.804000000000002"/>
    <x v="2"/>
    <s v="No"/>
    <d v="2024-01-11T00:00:00"/>
    <n v="0"/>
  </r>
  <r>
    <s v="DEP-A0-1051"/>
    <x v="1"/>
    <n v="21"/>
    <x v="0"/>
    <s v="Chaqueta"/>
    <s v="Gris"/>
    <s v="Tommy"/>
    <s v="MER-A0-1051"/>
    <d v="2024-11-02T00:00:00"/>
    <x v="0"/>
    <n v="82.93"/>
    <n v="0.1"/>
    <n v="49.048000000000002"/>
    <x v="2"/>
    <s v="No"/>
    <d v="2024-11-02T00:00:00"/>
    <n v="0"/>
  </r>
  <r>
    <s v="DEP-A0-1401"/>
    <x v="0"/>
    <n v="27"/>
    <x v="0"/>
    <s v="Camisa"/>
    <s v="Blanco"/>
    <s v="Zara"/>
    <s v="MER-A0-1401"/>
    <d v="2024-11-26T00:00:00"/>
    <x v="0"/>
    <n v="106.87"/>
    <n v="0.3"/>
    <n v="49.158000000000001"/>
    <x v="2"/>
    <s v="No"/>
    <d v="2024-11-26T00:00:00"/>
    <n v="0"/>
  </r>
  <r>
    <s v="DEP-A0-0505"/>
    <x v="0"/>
    <n v="21"/>
    <x v="0"/>
    <s v="Vestido"/>
    <s v="Negro"/>
    <s v="Mango"/>
    <s v="MER-A0-0505"/>
    <d v="2024-02-06T00:00:00"/>
    <x v="0"/>
    <n v="95.72"/>
    <n v="0.2"/>
    <n v="53.319000000000003"/>
    <x v="2"/>
    <s v="No"/>
    <d v="2024-02-06T00:00:00"/>
    <n v="0"/>
  </r>
  <r>
    <s v="DEP-A0-4781"/>
    <x v="1"/>
    <n v="23"/>
    <x v="0"/>
    <s v="Pantalón"/>
    <s v="Amarillo"/>
    <s v="Tommy"/>
    <s v="MER-A0-4781"/>
    <d v="2024-10-28T00:00:00"/>
    <x v="0"/>
    <n v="87.71"/>
    <n v="0.1"/>
    <n v="61.255999999999993"/>
    <x v="2"/>
    <s v="No"/>
    <d v="2024-10-28T00:00:00"/>
    <n v="0"/>
  </r>
  <r>
    <s v="DEP-A0-3597"/>
    <x v="0"/>
    <n v="33"/>
    <x v="0"/>
    <s v="Falda"/>
    <s v="Blanco"/>
    <s v="Tommy"/>
    <s v="MER-A0-3597"/>
    <d v="2024-11-28T00:00:00"/>
    <x v="0"/>
    <n v="117.3"/>
    <n v="0.3"/>
    <n v="70.664000000000001"/>
    <x v="2"/>
    <s v="No"/>
    <d v="2024-07-15T00:00:00"/>
    <n v="0"/>
  </r>
  <r>
    <s v="DEP-A0-1109"/>
    <x v="0"/>
    <n v="32"/>
    <x v="0"/>
    <s v="Blusa"/>
    <s v="Amarillo"/>
    <s v="Puma"/>
    <s v="MER-A0-1109"/>
    <d v="2024-02-29T00:00:00"/>
    <x v="0"/>
    <n v="117.54"/>
    <n v="0.3"/>
    <n v="71.135999999999996"/>
    <x v="2"/>
    <s v="No"/>
    <d v="2024-02-29T00:00:00"/>
    <n v="0"/>
  </r>
  <r>
    <s v="DEP-A0-1991"/>
    <x v="1"/>
    <n v="21"/>
    <x v="0"/>
    <s v="Camisa"/>
    <s v="Rojo"/>
    <s v="Puma"/>
    <s v="MER-A0-1991"/>
    <d v="2024-11-28T00:00:00"/>
    <x v="0"/>
    <n v="120.49"/>
    <n v="0.3"/>
    <n v="73.682000000000002"/>
    <x v="2"/>
    <s v="No"/>
    <d v="2024-07-18T00:00:00"/>
    <n v="0"/>
  </r>
  <r>
    <s v="DEP-A0-2657"/>
    <x v="0"/>
    <n v="35"/>
    <x v="0"/>
    <s v="Pantalón"/>
    <s v="Rojo"/>
    <s v="Nike"/>
    <s v="MER-A0-2657"/>
    <d v="2024-04-03T00:00:00"/>
    <x v="0"/>
    <n v="108.56"/>
    <n v="0.2"/>
    <n v="82.944000000000003"/>
    <x v="2"/>
    <s v="No"/>
    <d v="2024-04-03T00:00:00"/>
    <n v="0"/>
  </r>
  <r>
    <s v="DEP-A0-1690"/>
    <x v="1"/>
    <n v="33"/>
    <x v="0"/>
    <s v="Pantalón"/>
    <s v="Amarillo"/>
    <s v="Tommy"/>
    <s v="MER-A0-1690"/>
    <d v="2024-10-18T00:00:00"/>
    <x v="0"/>
    <n v="97.38"/>
    <n v="0.1"/>
    <n v="84.013999999999996"/>
    <x v="2"/>
    <s v="No"/>
    <d v="2024-10-18T00:00:00"/>
    <n v="0"/>
  </r>
  <r>
    <s v="DEP-A0-0982"/>
    <x v="1"/>
    <n v="33"/>
    <x v="0"/>
    <s v="Chaqueta"/>
    <s v="Verde"/>
    <s v="Mango"/>
    <s v="MER-A0-0982"/>
    <d v="2024-05-18T00:00:00"/>
    <x v="0"/>
    <n v="98.03"/>
    <n v="0.1"/>
    <n v="86.426999999999992"/>
    <x v="2"/>
    <s v="No"/>
    <d v="2024-05-18T00:00:00"/>
    <n v="0"/>
  </r>
  <r>
    <s v="DEP-A0-3691"/>
    <x v="1"/>
    <n v="23"/>
    <x v="0"/>
    <s v="Camisa"/>
    <s v="Amarillo"/>
    <s v="Tommy"/>
    <s v="MER-A0-3691"/>
    <d v="2024-05-23T00:00:00"/>
    <x v="0"/>
    <n v="94.45"/>
    <n v="0"/>
    <n v="103.27500000000001"/>
    <x v="2"/>
    <s v="No"/>
    <d v="2024-05-23T00:00:00"/>
    <n v="0"/>
  </r>
  <r>
    <s v="DEP-A0-3600"/>
    <x v="0"/>
    <n v="20"/>
    <x v="0"/>
    <s v="Camisa"/>
    <s v="Gris"/>
    <s v="Zara"/>
    <s v="MER-A0-3600"/>
    <d v="2024-04-19T00:00:00"/>
    <x v="0"/>
    <n v="105.21"/>
    <n v="0.1"/>
    <n v="103.97"/>
    <x v="2"/>
    <s v="No"/>
    <d v="2024-04-19T00:00:00"/>
    <n v="0"/>
  </r>
  <r>
    <s v="DEP-A0-4764"/>
    <x v="1"/>
    <n v="20"/>
    <x v="0"/>
    <s v="Chaqueta"/>
    <s v="Verde"/>
    <s v="Puma"/>
    <s v="MER-A0-4764"/>
    <d v="2024-02-12T00:00:00"/>
    <x v="0"/>
    <n v="118.75"/>
    <n v="0.2"/>
    <n v="105.872"/>
    <x v="2"/>
    <s v="No"/>
    <d v="2024-02-12T00:00:00"/>
    <n v="0"/>
  </r>
  <r>
    <s v="DEP-A0-4579"/>
    <x v="0"/>
    <n v="21"/>
    <x v="0"/>
    <s v="Blusa"/>
    <s v="Negro"/>
    <s v="Adidas"/>
    <s v="MER-A0-4579"/>
    <d v="2024-10-25T00:00:00"/>
    <x v="0"/>
    <n v="105.92"/>
    <n v="0.1"/>
    <n v="107.14"/>
    <x v="2"/>
    <s v="No"/>
    <d v="2024-10-25T00:00:00"/>
    <n v="0"/>
  </r>
  <r>
    <s v="DEP-A0-0827"/>
    <x v="0"/>
    <n v="24"/>
    <x v="0"/>
    <s v="Chaqueta"/>
    <s v="Verde"/>
    <s v="Adidas"/>
    <s v="MER-A0-0827"/>
    <d v="2024-12-25T00:00:00"/>
    <x v="0"/>
    <n v="119.36"/>
    <n v="0.2"/>
    <n v="107.78400000000001"/>
    <x v="2"/>
    <s v="No"/>
    <d v="2024-12-25T00:00:00"/>
    <n v="0"/>
  </r>
  <r>
    <s v="DEP-A0-4414"/>
    <x v="1"/>
    <n v="35"/>
    <x v="0"/>
    <s v="Pantalón"/>
    <s v="Blanco"/>
    <s v="Tommy"/>
    <s v="MER-A0-4414"/>
    <d v="2024-12-11T00:00:00"/>
    <x v="0"/>
    <n v="95.81"/>
    <n v="0"/>
    <n v="108.88"/>
    <x v="2"/>
    <s v="No"/>
    <d v="2024-12-11T00:00:00"/>
    <n v="0"/>
  </r>
  <r>
    <s v="DEP-A0-2091"/>
    <x v="1"/>
    <n v="25"/>
    <x v="0"/>
    <s v="Chaqueta"/>
    <s v="Verde"/>
    <s v="Tommy"/>
    <s v="MER-A0-2091"/>
    <d v="2024-02-09T00:00:00"/>
    <x v="0"/>
    <n v="121.22"/>
    <n v="0.2"/>
    <n v="112.25700000000001"/>
    <x v="2"/>
    <s v="No"/>
    <d v="2024-02-09T00:00:00"/>
    <n v="0"/>
  </r>
  <r>
    <s v="DEP-A0-1390"/>
    <x v="0"/>
    <n v="27"/>
    <x v="0"/>
    <s v="Falda"/>
    <s v="Negro"/>
    <s v="Nike"/>
    <s v="MER-A0-1390"/>
    <d v="2024-12-21T00:00:00"/>
    <x v="0"/>
    <n v="124.76"/>
    <n v="0.2"/>
    <n v="118.06200000000001"/>
    <x v="2"/>
    <s v="No"/>
    <d v="2024-12-21T00:00:00"/>
    <n v="0"/>
  </r>
  <r>
    <s v="DEP-A0-2811"/>
    <x v="0"/>
    <n v="28"/>
    <x v="0"/>
    <s v="Falda"/>
    <s v="Verde"/>
    <s v="Zara"/>
    <s v="MER-A0-2811"/>
    <d v="2024-02-13T00:00:00"/>
    <x v="0"/>
    <n v="125.69"/>
    <n v="0.2"/>
    <n v="123.246"/>
    <x v="2"/>
    <s v="No"/>
    <d v="2024-03-24T00:00:00"/>
    <n v="0"/>
  </r>
  <r>
    <s v="DEP-A0-0335"/>
    <x v="0"/>
    <n v="26"/>
    <x v="0"/>
    <s v="Vestido"/>
    <s v="Blanco"/>
    <s v="Mango"/>
    <s v="MER-A0-0335"/>
    <d v="2024-09-22T00:00:00"/>
    <x v="0"/>
    <n v="145.22999999999999"/>
    <n v="0.3"/>
    <n v="125.867"/>
    <x v="2"/>
    <s v="No"/>
    <d v="2024-09-22T00:00:00"/>
    <n v="0"/>
  </r>
  <r>
    <s v="DEP-A0-3489"/>
    <x v="0"/>
    <n v="21"/>
    <x v="0"/>
    <s v="Blusa"/>
    <s v="Rojo"/>
    <s v="Zara"/>
    <s v="MER-A0-3489"/>
    <d v="2024-09-25T00:00:00"/>
    <x v="0"/>
    <n v="104.44"/>
    <n v="0"/>
    <n v="131.18"/>
    <x v="2"/>
    <s v="No"/>
    <d v="2024-09-25T00:00:00"/>
    <n v="0"/>
  </r>
  <r>
    <s v="DEP-A0-2442"/>
    <x v="0"/>
    <n v="32"/>
    <x v="0"/>
    <s v="Blusa"/>
    <s v="Rojo"/>
    <s v="Puma"/>
    <s v="MER-A0-2442"/>
    <d v="2024-09-21T00:00:00"/>
    <x v="0"/>
    <n v="149.54"/>
    <n v="0.3"/>
    <n v="132.72"/>
    <x v="2"/>
    <s v="No"/>
    <d v="2024-09-21T00:00:00"/>
    <n v="0"/>
  </r>
  <r>
    <s v="DEP-A0-4911"/>
    <x v="0"/>
    <n v="28"/>
    <x v="0"/>
    <s v="Zapatos"/>
    <s v="Negro"/>
    <s v="Tommy"/>
    <s v="MER-A0-4911"/>
    <d v="2024-05-17T00:00:00"/>
    <x v="0"/>
    <n v="152.56"/>
    <n v="0.3"/>
    <n v="136.29599999999999"/>
    <x v="2"/>
    <s v="No"/>
    <d v="2024-05-17T00:00:00"/>
    <n v="0"/>
  </r>
  <r>
    <s v="DEP-A0-0199"/>
    <x v="1"/>
    <n v="32"/>
    <x v="0"/>
    <s v="Pantalón"/>
    <s v="Azul"/>
    <s v="Mango"/>
    <s v="MER-A0-0199"/>
    <d v="2024-03-05T00:00:00"/>
    <x v="0"/>
    <n v="153.54"/>
    <n v="0.3"/>
    <n v="139.779"/>
    <x v="2"/>
    <s v="No"/>
    <d v="2024-03-05T00:00:00"/>
    <n v="0"/>
  </r>
  <r>
    <s v="DEP-A0-1616"/>
    <x v="0"/>
    <n v="27"/>
    <x v="0"/>
    <s v="Blusa"/>
    <s v="Gris"/>
    <s v="Nike"/>
    <s v="MER-A0-1616"/>
    <d v="2024-12-10T00:00:00"/>
    <x v="0"/>
    <n v="121.65"/>
    <n v="0.1"/>
    <n v="144.09"/>
    <x v="2"/>
    <s v="No"/>
    <d v="2024-06-16T00:00:00"/>
    <n v="0"/>
  </r>
  <r>
    <s v="DEP-A0-0977"/>
    <x v="0"/>
    <n v="21"/>
    <x v="0"/>
    <s v="Falda"/>
    <s v="Negro"/>
    <s v="Levis"/>
    <s v="MER-A0-0977"/>
    <d v="2024-11-28T00:00:00"/>
    <x v="0"/>
    <n v="114.88"/>
    <n v="0"/>
    <n v="165.51900000000001"/>
    <x v="2"/>
    <s v="No"/>
    <d v="2024-07-04T00:00:00"/>
    <n v="0"/>
  </r>
  <r>
    <s v="DEP-A0-4356"/>
    <x v="0"/>
    <n v="20"/>
    <x v="0"/>
    <s v="Falda"/>
    <s v="Blanco"/>
    <s v="Mango"/>
    <s v="MER-A0-4356"/>
    <d v="2024-12-23T00:00:00"/>
    <x v="0"/>
    <n v="114.98"/>
    <n v="0"/>
    <n v="166.3"/>
    <x v="2"/>
    <s v="No"/>
    <d v="2024-01-13T00:00:00"/>
    <n v="0"/>
  </r>
  <r>
    <s v="DEP-A0-4381"/>
    <x v="1"/>
    <n v="30"/>
    <x v="0"/>
    <s v="Pantalón"/>
    <s v="Verde"/>
    <s v="Puma"/>
    <s v="MER-A0-4381"/>
    <d v="2024-12-07T00:00:00"/>
    <x v="0"/>
    <n v="117.48"/>
    <n v="0"/>
    <n v="196.89"/>
    <x v="2"/>
    <s v="No"/>
    <d v="2024-12-07T00:00:00"/>
    <n v="0"/>
  </r>
  <r>
    <s v="DEP-A0-0573"/>
    <x v="0"/>
    <n v="26"/>
    <x v="0"/>
    <s v="Vestido"/>
    <s v="Verde"/>
    <s v="Nike"/>
    <s v="MER-A0-0573"/>
    <d v="2024-10-23T00:00:00"/>
    <x v="0"/>
    <n v="148.19999999999999"/>
    <n v="0.2"/>
    <n v="66.33"/>
    <x v="2"/>
    <s v="No"/>
    <d v="2024-10-23T00:00:00"/>
    <n v="0"/>
  </r>
  <r>
    <s v="DEP-A0-0985"/>
    <x v="0"/>
    <n v="21"/>
    <x v="0"/>
    <s v="Blusa"/>
    <s v="Verde"/>
    <s v="Puma"/>
    <s v="MER-A0-0985"/>
    <d v="2024-10-30T00:00:00"/>
    <x v="0"/>
    <n v="121.32"/>
    <n v="0"/>
    <n v="119.791"/>
    <x v="2"/>
    <s v="No"/>
    <d v="2024-10-30T00:00:00"/>
    <n v="0"/>
  </r>
  <r>
    <s v="DEP-A0-1220"/>
    <x v="0"/>
    <n v="32"/>
    <x v="0"/>
    <s v="Falda"/>
    <s v="Amarillo"/>
    <s v="Tommy"/>
    <s v="MER-A0-1220"/>
    <d v="2024-05-10T00:00:00"/>
    <x v="0"/>
    <n v="123.43"/>
    <n v="0"/>
    <n v="17.73"/>
    <x v="2"/>
    <s v="No"/>
    <d v="2024-05-10T00:00:00"/>
    <n v="0"/>
  </r>
  <r>
    <s v="DEP-A0-4811"/>
    <x v="1"/>
    <n v="18"/>
    <x v="0"/>
    <s v="Camisa"/>
    <s v="Rojo"/>
    <s v="Puma"/>
    <s v="MER-A0-4811"/>
    <d v="2024-05-24T00:00:00"/>
    <x v="0"/>
    <n v="158.47"/>
    <n v="0.2"/>
    <n v="73.917000000000002"/>
    <x v="2"/>
    <s v="No"/>
    <d v="2024-05-24T00:00:00"/>
    <n v="0"/>
  </r>
  <r>
    <s v="DEP-A0-2148"/>
    <x v="1"/>
    <n v="29"/>
    <x v="0"/>
    <s v="Pantalón"/>
    <s v="Azul"/>
    <s v="Levis"/>
    <s v="MER-A0-2148"/>
    <d v="2024-05-18T00:00:00"/>
    <x v="0"/>
    <n v="141.22999999999999"/>
    <n v="0.1"/>
    <n v="108.395"/>
    <x v="2"/>
    <s v="No"/>
    <d v="2024-05-18T00:00:00"/>
    <n v="0"/>
  </r>
  <r>
    <s v="DEP-A0-4982"/>
    <x v="0"/>
    <n v="34"/>
    <x v="0"/>
    <s v="Blusa"/>
    <s v="Negro"/>
    <s v="Adidas"/>
    <s v="MER-A0-4982"/>
    <d v="2024-12-19T00:00:00"/>
    <x v="0"/>
    <n v="159.91"/>
    <n v="0.2"/>
    <n v="157.446"/>
    <x v="2"/>
    <s v="No"/>
    <d v="2024-12-19T00:00:00"/>
    <n v="0"/>
  </r>
  <r>
    <s v="DEP-A0-2204"/>
    <x v="1"/>
    <n v="20"/>
    <x v="0"/>
    <s v="Camisa"/>
    <s v="Rojo"/>
    <s v="Zara"/>
    <s v="MER-A0-2204"/>
    <d v="2024-11-28T00:00:00"/>
    <x v="0"/>
    <n v="185.03"/>
    <n v="0.3"/>
    <n v="23.228999999999999"/>
    <x v="2"/>
    <s v="No"/>
    <d v="2024-07-08T00:00:00"/>
    <n v="0"/>
  </r>
  <r>
    <s v="DEP-A0-3307"/>
    <x v="0"/>
    <n v="35"/>
    <x v="0"/>
    <s v="Pantalón"/>
    <s v="Azul"/>
    <s v="Levis"/>
    <s v="MER-A0-3307"/>
    <d v="2024-12-03T00:00:00"/>
    <x v="0"/>
    <n v="161.93"/>
    <n v="0.2"/>
    <n v="75.06"/>
    <x v="2"/>
    <s v="No"/>
    <d v="2024-12-03T00:00:00"/>
    <n v="0"/>
  </r>
  <r>
    <s v="DEP-A0-0516"/>
    <x v="1"/>
    <n v="27"/>
    <x v="0"/>
    <s v="Chaqueta"/>
    <s v="Rojo"/>
    <s v="Nike"/>
    <s v="MER-A0-0516"/>
    <d v="2024-11-14T00:00:00"/>
    <x v="0"/>
    <n v="162.57"/>
    <n v="0.2"/>
    <n v="34.956000000000003"/>
    <x v="2"/>
    <s v="No"/>
    <d v="2024-11-14T00:00:00"/>
    <n v="0"/>
  </r>
  <r>
    <s v="DEP-A0-4631"/>
    <x v="0"/>
    <n v="26"/>
    <x v="0"/>
    <s v="Pantalón"/>
    <s v="Rojo"/>
    <s v="Zara"/>
    <s v="MER-A0-4631"/>
    <d v="2024-12-23T00:00:00"/>
    <x v="0"/>
    <n v="146.9"/>
    <n v="0.1"/>
    <n v="102.00800000000001"/>
    <x v="2"/>
    <s v="No"/>
    <d v="2024-01-02T00:00:00"/>
    <n v="0"/>
  </r>
  <r>
    <s v="DEP-A0-2319"/>
    <x v="0"/>
    <n v="25"/>
    <x v="0"/>
    <s v="Blusa"/>
    <s v="Verde"/>
    <s v="Adidas"/>
    <s v="MER-A0-2319"/>
    <d v="2024-12-27T00:00:00"/>
    <x v="0"/>
    <n v="165.73"/>
    <n v="0.2"/>
    <n v="145.49"/>
    <x v="2"/>
    <s v="No"/>
    <d v="2024-12-27T00:00:00"/>
    <n v="0"/>
  </r>
  <r>
    <s v="DEP-A0-0261"/>
    <x v="0"/>
    <n v="20"/>
    <x v="0"/>
    <s v="Zapatos"/>
    <s v="Verde"/>
    <s v="Adidas"/>
    <s v="MER-A0-0261"/>
    <d v="2024-11-28T00:00:00"/>
    <x v="0"/>
    <n v="149.26"/>
    <n v="0.1"/>
    <n v="150.85599999999999"/>
    <x v="2"/>
    <s v="No"/>
    <d v="2024-07-06T00:00:00"/>
    <n v="0"/>
  </r>
  <r>
    <s v="DEP-A0-2546"/>
    <x v="0"/>
    <n v="30"/>
    <x v="0"/>
    <s v="Falda"/>
    <s v="Rojo"/>
    <s v="Adidas"/>
    <s v="MER-A0-2546"/>
    <d v="2024-05-23T00:00:00"/>
    <x v="0"/>
    <n v="134.6"/>
    <n v="0"/>
    <n v="198.71"/>
    <x v="2"/>
    <s v="No"/>
    <d v="2024-05-23T00:00:00"/>
    <n v="0"/>
  </r>
  <r>
    <s v="DEP-A0-2896"/>
    <x v="0"/>
    <n v="22"/>
    <x v="0"/>
    <s v="Zapatos"/>
    <s v="Azul"/>
    <s v="Nike"/>
    <s v="MER-A0-2896"/>
    <d v="2024-02-13T00:00:00"/>
    <x v="0"/>
    <n v="169.27"/>
    <n v="0.2"/>
    <n v="16.218"/>
    <x v="2"/>
    <s v="No"/>
    <d v="2024-03-22T00:00:00"/>
    <n v="0"/>
  </r>
  <r>
    <s v="DEP-A0-0572"/>
    <x v="0"/>
    <n v="28"/>
    <x v="0"/>
    <s v="Falda"/>
    <s v="Negro"/>
    <s v="Zara"/>
    <s v="MER-A0-0572"/>
    <d v="2024-12-23T00:00:00"/>
    <x v="0"/>
    <n v="172.34"/>
    <n v="0.2"/>
    <n v="27.375999999999998"/>
    <x v="2"/>
    <s v="No"/>
    <d v="2024-01-15T00:00:00"/>
    <n v="0"/>
  </r>
  <r>
    <s v="DEP-A0-2897"/>
    <x v="0"/>
    <n v="24"/>
    <x v="0"/>
    <s v="Falda"/>
    <s v="Amarillo"/>
    <s v="Tommy"/>
    <s v="MER-A0-2897"/>
    <d v="2024-11-13T00:00:00"/>
    <x v="0"/>
    <n v="156.47999999999999"/>
    <n v="0.1"/>
    <n v="21.312000000000001"/>
    <x v="2"/>
    <s v="No"/>
    <d v="2024-11-13T00:00:00"/>
    <n v="0"/>
  </r>
  <r>
    <s v="DEP-A0-1564"/>
    <x v="0"/>
    <n v="31"/>
    <x v="0"/>
    <s v="Pantalón"/>
    <s v="Rojo"/>
    <s v="Mango"/>
    <s v="MER-A0-1564"/>
    <d v="2024-09-22T00:00:00"/>
    <x v="0"/>
    <n v="176.56"/>
    <n v="0.2"/>
    <n v="110.648"/>
    <x v="2"/>
    <s v="No"/>
    <d v="2024-09-22T00:00:00"/>
    <n v="0"/>
  </r>
  <r>
    <s v="DEP-A0-3949"/>
    <x v="0"/>
    <n v="18"/>
    <x v="0"/>
    <s v="Blusa"/>
    <s v="Verde"/>
    <s v="Mango"/>
    <s v="MER-A0-3949"/>
    <d v="2024-09-07T00:00:00"/>
    <x v="0"/>
    <n v="176.58"/>
    <n v="0.2"/>
    <n v="130.184"/>
    <x v="2"/>
    <s v="No"/>
    <d v="2024-09-07T00:00:00"/>
    <n v="0"/>
  </r>
  <r>
    <s v="DEP-A0-2450"/>
    <x v="0"/>
    <n v="29"/>
    <x v="0"/>
    <s v="Vestido"/>
    <s v="Azul"/>
    <s v="Tommy"/>
    <s v="MER-A0-2450"/>
    <d v="2024-08-06T00:00:00"/>
    <x v="0"/>
    <n v="178.13"/>
    <n v="0.2"/>
    <n v="33.119999999999997"/>
    <x v="2"/>
    <s v="No"/>
    <d v="2024-08-06T00:00:00"/>
    <n v="0"/>
  </r>
  <r>
    <s v="DEP-A0-4034"/>
    <x v="1"/>
    <n v="22"/>
    <x v="0"/>
    <s v="Chaqueta"/>
    <s v="Amarillo"/>
    <s v="Adidas"/>
    <s v="MER-A0-4034"/>
    <d v="2024-06-24T00:00:00"/>
    <x v="0"/>
    <n v="144.51"/>
    <n v="0"/>
    <n v="97.17"/>
    <x v="2"/>
    <s v="No"/>
    <d v="2024-06-24T00:00:00"/>
    <n v="0"/>
  </r>
  <r>
    <s v="DEP-A0-0717"/>
    <x v="0"/>
    <n v="32"/>
    <x v="0"/>
    <s v="Blusa"/>
    <s v="Negro"/>
    <s v="Nike"/>
    <s v="MER-A0-0717"/>
    <d v="2024-06-20T00:00:00"/>
    <x v="0"/>
    <n v="181.02"/>
    <n v="0.2"/>
    <n v="87.650999999999996"/>
    <x v="2"/>
    <s v="No"/>
    <d v="2024-06-20T00:00:00"/>
    <n v="0"/>
  </r>
  <r>
    <s v="DEP-A0-2861"/>
    <x v="1"/>
    <n v="31"/>
    <x v="0"/>
    <s v="Pantalón"/>
    <s v="Gris"/>
    <s v="Zara"/>
    <s v="MER-A0-2861"/>
    <d v="2024-10-27T00:00:00"/>
    <x v="0"/>
    <n v="183.99"/>
    <n v="0.2"/>
    <n v="83.21"/>
    <x v="2"/>
    <s v="No"/>
    <d v="2024-10-27T00:00:00"/>
    <n v="0"/>
  </r>
  <r>
    <s v="DEP-A0-4574"/>
    <x v="0"/>
    <n v="35"/>
    <x v="0"/>
    <s v="Falda"/>
    <s v="Negro"/>
    <s v="Levis"/>
    <s v="MER-A0-4574"/>
    <d v="2024-02-05T00:00:00"/>
    <x v="0"/>
    <n v="185.54"/>
    <n v="0.2"/>
    <n v="89.81"/>
    <x v="2"/>
    <s v="No"/>
    <d v="2024-02-05T00:00:00"/>
    <n v="0"/>
  </r>
  <r>
    <s v="DEP-A0-0710"/>
    <x v="0"/>
    <n v="28"/>
    <x v="0"/>
    <s v="Vestido"/>
    <s v="Azul"/>
    <s v="Tommy"/>
    <s v="MER-A0-0710"/>
    <d v="2024-12-13T00:00:00"/>
    <x v="0"/>
    <n v="185.79"/>
    <n v="0.2"/>
    <n v="140.77000000000001"/>
    <x v="2"/>
    <s v="No"/>
    <d v="2024-12-13T00:00:00"/>
    <n v="0"/>
  </r>
  <r>
    <s v="DEP-A0-4695"/>
    <x v="1"/>
    <n v="24"/>
    <x v="0"/>
    <s v="Camisa"/>
    <s v="Rojo"/>
    <s v="Nike"/>
    <s v="MER-A0-4695"/>
    <d v="2024-02-29T00:00:00"/>
    <x v="0"/>
    <n v="149.77000000000001"/>
    <n v="0"/>
    <n v="159.12899999999999"/>
    <x v="2"/>
    <s v="No"/>
    <d v="2024-02-29T00:00:00"/>
    <n v="0"/>
  </r>
  <r>
    <s v="DEP-A0-3051"/>
    <x v="0"/>
    <n v="24"/>
    <x v="0"/>
    <s v="Chaqueta"/>
    <s v="Azul"/>
    <s v="Nike"/>
    <s v="MER-A0-3051"/>
    <d v="2024-11-28T00:00:00"/>
    <x v="0"/>
    <n v="153.29"/>
    <n v="0"/>
    <n v="66.78"/>
    <x v="2"/>
    <s v="No"/>
    <d v="2024-07-04T00:00:00"/>
    <n v="0"/>
  </r>
  <r>
    <s v="DEP-A0-4774"/>
    <x v="0"/>
    <n v="20"/>
    <x v="0"/>
    <s v="Pantalón"/>
    <s v="Azul"/>
    <s v="Zara"/>
    <s v="MER-A0-4774"/>
    <d v="2024-05-12T00:00:00"/>
    <x v="0"/>
    <n v="155.63"/>
    <n v="0"/>
    <n v="125.45599999999999"/>
    <x v="2"/>
    <s v="No"/>
    <d v="2024-05-12T00:00:00"/>
    <n v="0"/>
  </r>
  <r>
    <s v="DEP-A0-4792"/>
    <x v="1"/>
    <n v="29"/>
    <x v="0"/>
    <s v="Camisa"/>
    <s v="Rojo"/>
    <s v="Zara"/>
    <s v="MER-A0-4792"/>
    <d v="2024-11-22T00:00:00"/>
    <x v="0"/>
    <n v="197.8"/>
    <n v="0.2"/>
    <n v="153.315"/>
    <x v="2"/>
    <s v="No"/>
    <d v="2024-06-25T00:00:00"/>
    <n v="0"/>
  </r>
  <r>
    <s v="DEP-A0-3463"/>
    <x v="0"/>
    <n v="23"/>
    <x v="0"/>
    <s v="Camisa"/>
    <s v="Amarillo"/>
    <s v="Mango"/>
    <s v="MER-A0-3463"/>
    <d v="2024-11-28T00:00:00"/>
    <x v="0"/>
    <n v="158.30000000000001"/>
    <n v="0"/>
    <n v="149.80799999999999"/>
    <x v="2"/>
    <s v="No"/>
    <d v="2024-07-08T00:00:00"/>
    <n v="0"/>
  </r>
  <r>
    <s v="DEP-A0-1518"/>
    <x v="0"/>
    <n v="20"/>
    <x v="0"/>
    <s v="Vestido"/>
    <s v="Verde"/>
    <s v="Tommy"/>
    <s v="MER-A0-1518"/>
    <d v="2024-11-22T00:00:00"/>
    <x v="0"/>
    <n v="159.09"/>
    <n v="0"/>
    <n v="192.55"/>
    <x v="2"/>
    <s v="No"/>
    <d v="2024-06-27T00:00:00"/>
    <n v="0"/>
  </r>
  <r>
    <s v="DEP-A0-0766"/>
    <x v="1"/>
    <n v="29"/>
    <x v="0"/>
    <s v="Pantalón"/>
    <s v="Amarillo"/>
    <s v="Nike"/>
    <s v="MER-A0-0766"/>
    <d v="2024-07-03T00:00:00"/>
    <x v="0"/>
    <n v="177.45"/>
    <n v="0.1"/>
    <n v="22.6"/>
    <x v="2"/>
    <s v="No"/>
    <d v="2024-07-03T00:00:00"/>
    <n v="0"/>
  </r>
  <r>
    <s v="DEP-A0-4551"/>
    <x v="0"/>
    <n v="21"/>
    <x v="0"/>
    <s v="Zapatos"/>
    <s v="Gris"/>
    <s v="Mango"/>
    <s v="MER-A0-4551"/>
    <d v="2024-02-11T00:00:00"/>
    <x v="0"/>
    <n v="160.52000000000001"/>
    <n v="0"/>
    <n v="29.24"/>
    <x v="2"/>
    <s v="No"/>
    <d v="2024-02-11T00:00:00"/>
    <n v="0"/>
  </r>
  <r>
    <s v="DEP-A0-1479"/>
    <x v="1"/>
    <n v="32"/>
    <x v="0"/>
    <s v="Camisa"/>
    <s v="Azul"/>
    <s v="Tommy"/>
    <s v="MER-A0-1479"/>
    <d v="2024-06-30T00:00:00"/>
    <x v="0"/>
    <n v="162.63999999999999"/>
    <n v="0"/>
    <n v="82.032000000000011"/>
    <x v="2"/>
    <s v="No"/>
    <d v="2024-06-30T00:00:00"/>
    <n v="0"/>
  </r>
  <r>
    <s v="DEP-A0-2268"/>
    <x v="1"/>
    <n v="31"/>
    <x v="0"/>
    <s v="Camisa"/>
    <s v="Gris"/>
    <s v="Levis"/>
    <s v="MER-A0-2268"/>
    <d v="2024-12-15T00:00:00"/>
    <x v="0"/>
    <n v="166.3"/>
    <n v="0"/>
    <n v="134.56099999999998"/>
    <x v="2"/>
    <s v="No"/>
    <d v="2024-12-15T00:00:00"/>
    <n v="0"/>
  </r>
  <r>
    <s v="DEP-A0-3418"/>
    <x v="1"/>
    <n v="24"/>
    <x v="0"/>
    <s v="Zapatos"/>
    <s v="Verde"/>
    <s v="Levis"/>
    <s v="MER-A0-3418"/>
    <d v="2024-12-23T00:00:00"/>
    <x v="0"/>
    <n v="185.83"/>
    <n v="0.1"/>
    <n v="86.48"/>
    <x v="2"/>
    <s v="No"/>
    <d v="2024-12-23T00:00:00"/>
    <n v="0"/>
  </r>
  <r>
    <s v="DEP-A0-2573"/>
    <x v="0"/>
    <n v="34"/>
    <x v="0"/>
    <s v="Falda"/>
    <s v="Gris"/>
    <s v="Nike"/>
    <s v="MER-A0-2573"/>
    <d v="2024-12-23T00:00:00"/>
    <x v="0"/>
    <n v="187.4"/>
    <n v="0.1"/>
    <n v="76.467999999999989"/>
    <x v="2"/>
    <s v="No"/>
    <d v="2024-01-02T00:00:00"/>
    <n v="0"/>
  </r>
  <r>
    <s v="DEP-A0-3208"/>
    <x v="1"/>
    <n v="34"/>
    <x v="0"/>
    <s v="Pantalón"/>
    <s v="Rojo"/>
    <s v="Zara"/>
    <s v="MER-A0-3208"/>
    <d v="2024-10-17T00:00:00"/>
    <x v="0"/>
    <n v="194.55"/>
    <n v="0.1"/>
    <n v="127.206"/>
    <x v="2"/>
    <s v="No"/>
    <d v="2024-10-17T00:00:00"/>
    <n v="0"/>
  </r>
  <r>
    <s v="DEP-A0-3375"/>
    <x v="0"/>
    <n v="22"/>
    <x v="0"/>
    <s v="Vestido"/>
    <s v="Rojo"/>
    <s v="Adidas"/>
    <s v="MER-A0-3375"/>
    <d v="2024-10-17T00:00:00"/>
    <x v="0"/>
    <n v="196.7"/>
    <n v="0.1"/>
    <n v="169.452"/>
    <x v="2"/>
    <s v="No"/>
    <d v="2024-10-17T00:00:00"/>
    <n v="0"/>
  </r>
  <r>
    <s v="DEP-A0-3042"/>
    <x v="0"/>
    <n v="22"/>
    <x v="0"/>
    <s v="Blusa"/>
    <s v="Gris"/>
    <s v="Tommy"/>
    <s v="MER-A0-3042"/>
    <d v="2024-12-01T00:00:00"/>
    <x v="0"/>
    <n v="197.59"/>
    <n v="0"/>
    <n v="52.388000000000005"/>
    <x v="2"/>
    <s v="No"/>
    <d v="2024-12-01T00:00:00"/>
    <n v="0"/>
  </r>
  <r>
    <s v="DEP-A0-3362"/>
    <x v="1"/>
    <n v="18"/>
    <x v="0"/>
    <s v="Chaqueta"/>
    <s v="Amarillo"/>
    <s v="Puma"/>
    <s v="MER-A0-3362"/>
    <d v="2024-05-25T00:00:00"/>
    <x v="0"/>
    <n v="51.3"/>
    <n v="0.3"/>
    <n v="11.64"/>
    <x v="2"/>
    <s v="No"/>
    <d v="2025-05-20T00:00:00"/>
    <n v="0"/>
  </r>
  <r>
    <s v="DEP-A0-0334"/>
    <x v="0"/>
    <n v="31"/>
    <x v="0"/>
    <s v="Zapatos"/>
    <s v="Amarillo"/>
    <s v="Zara"/>
    <s v="MER-A0-0334"/>
    <d v="2024-10-28T00:00:00"/>
    <x v="0"/>
    <n v="51.62"/>
    <n v="0.3"/>
    <n v="141.49600000000001"/>
    <x v="2"/>
    <s v="No"/>
    <d v="2025-07-25T00:00:00"/>
    <n v="0"/>
  </r>
  <r>
    <s v="DEP-A0-3646"/>
    <x v="0"/>
    <n v="33"/>
    <x v="0"/>
    <s v="Falda"/>
    <s v="Negro"/>
    <s v="Levis"/>
    <s v="MER-A0-3646"/>
    <d v="2024-11-05T00:00:00"/>
    <x v="0"/>
    <n v="53.22"/>
    <n v="0.3"/>
    <n v="9.7279999999999998"/>
    <x v="2"/>
    <s v="No"/>
    <d v="2025-08-02T00:00:00"/>
    <n v="0"/>
  </r>
  <r>
    <s v="DEP-A0-1671"/>
    <x v="0"/>
    <n v="26"/>
    <x v="0"/>
    <s v="Blusa"/>
    <s v="Amarillo"/>
    <s v="Puma"/>
    <s v="MER-A0-1671"/>
    <d v="2024-02-03T00:00:00"/>
    <x v="0"/>
    <n v="37.4"/>
    <n v="0"/>
    <n v="81.768000000000001"/>
    <x v="2"/>
    <s v="No"/>
    <d v="2024-02-03T00:00:00"/>
    <n v="0"/>
  </r>
  <r>
    <s v="DEP-A0-0325"/>
    <x v="0"/>
    <n v="25"/>
    <x v="0"/>
    <s v="Pantalón"/>
    <s v="Negro"/>
    <s v="Nike"/>
    <s v="MER-A0-0325"/>
    <d v="2024-04-20T00:00:00"/>
    <x v="0"/>
    <n v="37.4"/>
    <n v="0"/>
    <n v="97.02"/>
    <x v="2"/>
    <s v="No"/>
    <d v="2024-04-20T00:00:00"/>
    <n v="0"/>
  </r>
  <r>
    <s v="DEP-A0-4206"/>
    <x v="1"/>
    <n v="21"/>
    <x v="0"/>
    <s v="Zapatos"/>
    <s v="Rojo"/>
    <s v="Levis"/>
    <s v="MER-A0-4206"/>
    <d v="2024-02-29T00:00:00"/>
    <x v="0"/>
    <n v="46.87"/>
    <n v="0.2"/>
    <n v="127.36"/>
    <x v="2"/>
    <s v="No"/>
    <d v="2024-02-29T00:00:00"/>
    <n v="0"/>
  </r>
  <r>
    <s v="DEP-A0-2533"/>
    <x v="0"/>
    <n v="24"/>
    <x v="0"/>
    <s v="Vestido"/>
    <s v="Amarillo"/>
    <s v="Nike"/>
    <s v="MER-A0-2533"/>
    <d v="2024-04-11T00:00:00"/>
    <x v="0"/>
    <n v="53.59"/>
    <n v="0.3"/>
    <n v="34.49"/>
    <x v="2"/>
    <s v="No"/>
    <d v="2024-04-11T00:00:00"/>
    <n v="0"/>
  </r>
  <r>
    <s v="DEP-A0-4236"/>
    <x v="0"/>
    <n v="26"/>
    <x v="0"/>
    <s v="Falda"/>
    <s v="Blanco"/>
    <s v="Adidas"/>
    <s v="MER-A0-4236"/>
    <d v="2024-12-21T00:00:00"/>
    <x v="0"/>
    <n v="47.34"/>
    <n v="0.2"/>
    <n v="45.216000000000001"/>
    <x v="2"/>
    <s v="No"/>
    <d v="2025-03-21T00:00:00"/>
    <n v="0"/>
  </r>
  <r>
    <s v="DEP-A0-0231"/>
    <x v="0"/>
    <n v="24"/>
    <x v="0"/>
    <s v="Blusa"/>
    <s v="Azul"/>
    <s v="Zara"/>
    <s v="MER-A0-0231"/>
    <d v="2024-12-01T00:00:00"/>
    <x v="0"/>
    <n v="54.84"/>
    <n v="0.3"/>
    <n v="88.951999999999998"/>
    <x v="2"/>
    <s v="No"/>
    <d v="2025-05-30T00:00:00"/>
    <n v="0"/>
  </r>
  <r>
    <s v="DEP-A0-2989"/>
    <x v="0"/>
    <n v="34"/>
    <x v="0"/>
    <s v="Vestido"/>
    <s v="Verde"/>
    <s v="Nike"/>
    <s v="MER-A0-2989"/>
    <d v="2024-02-14T00:00:00"/>
    <x v="0"/>
    <n v="55.1"/>
    <n v="0.3"/>
    <n v="85.103999999999999"/>
    <x v="2"/>
    <s v="No"/>
    <d v="2024-08-12T00:00:00"/>
    <n v="0"/>
  </r>
  <r>
    <s v="DEP-A0-4628"/>
    <x v="0"/>
    <n v="35"/>
    <x v="0"/>
    <s v="Blusa"/>
    <s v="Rojo"/>
    <s v="Adidas"/>
    <s v="MER-A0-4628"/>
    <d v="2024-02-29T00:00:00"/>
    <x v="0"/>
    <n v="49.01"/>
    <n v="0.2"/>
    <n v="17.822000000000003"/>
    <x v="2"/>
    <s v="No"/>
    <d v="2024-08-27T00:00:00"/>
    <n v="0"/>
  </r>
  <r>
    <s v="DEP-A0-3816"/>
    <x v="0"/>
    <n v="35"/>
    <x v="0"/>
    <s v="Vestido"/>
    <s v="Azul"/>
    <s v="Puma"/>
    <s v="MER-A0-3816"/>
    <d v="2024-01-31T00:00:00"/>
    <x v="0"/>
    <n v="56.08"/>
    <n v="0.3"/>
    <n v="82.99199999999999"/>
    <x v="2"/>
    <s v="No"/>
    <d v="2024-07-29T00:00:00"/>
    <n v="0"/>
  </r>
  <r>
    <s v="DEP-A0-0892"/>
    <x v="0"/>
    <n v="34"/>
    <x v="0"/>
    <s v="Zapatos"/>
    <s v="Rojo"/>
    <s v="Nike"/>
    <s v="MER-A0-0892"/>
    <d v="2024-12-18T00:00:00"/>
    <x v="0"/>
    <n v="43.88"/>
    <n v="0.1"/>
    <n v="151.63"/>
    <x v="2"/>
    <s v="No"/>
    <d v="2025-06-16T00:00:00"/>
    <n v="0"/>
  </r>
  <r>
    <s v="DEP-A0-1634"/>
    <x v="0"/>
    <n v="20"/>
    <x v="0"/>
    <s v="Falda"/>
    <s v="Azul"/>
    <s v="Adidas"/>
    <s v="MER-A0-1634"/>
    <d v="2024-02-06T00:00:00"/>
    <x v="0"/>
    <n v="44.67"/>
    <n v="0.1"/>
    <n v="81.578000000000003"/>
    <x v="2"/>
    <s v="No"/>
    <d v="2024-02-06T00:00:00"/>
    <n v="0"/>
  </r>
  <r>
    <s v="DEP-A0-1263"/>
    <x v="1"/>
    <n v="31"/>
    <x v="0"/>
    <s v="Pantalón"/>
    <s v="Amarillo"/>
    <s v="Adidas"/>
    <s v="MER-A0-1263"/>
    <d v="2024-05-02T00:00:00"/>
    <x v="0"/>
    <n v="51.41"/>
    <n v="0.2"/>
    <n v="108.06400000000001"/>
    <x v="2"/>
    <s v="Sí"/>
    <d v="2024-05-02T00:00:00"/>
    <n v="3"/>
  </r>
  <r>
    <s v="DEP-A0-1079"/>
    <x v="0"/>
    <n v="22"/>
    <x v="0"/>
    <s v="Camisa"/>
    <s v="Verde"/>
    <s v="Puma"/>
    <s v="MER-A0-1079"/>
    <d v="2024-12-25T00:00:00"/>
    <x v="0"/>
    <n v="52.2"/>
    <n v="0.2"/>
    <n v="74.688000000000002"/>
    <x v="2"/>
    <s v="Sí"/>
    <d v="2025-09-21T00:00:00"/>
    <n v="3"/>
  </r>
  <r>
    <s v="DEP-A0-2730"/>
    <x v="1"/>
    <n v="22"/>
    <x v="0"/>
    <s v="Zapatos"/>
    <s v="Amarillo"/>
    <s v="Puma"/>
    <s v="MER-A0-2730"/>
    <d v="2024-04-28T00:00:00"/>
    <x v="0"/>
    <n v="53.07"/>
    <n v="0.2"/>
    <n v="121.48800000000001"/>
    <x v="2"/>
    <s v="Sí"/>
    <d v="2024-04-28T00:00:00"/>
    <n v="3"/>
  </r>
  <r>
    <s v="DEP-A0-0113"/>
    <x v="1"/>
    <n v="26"/>
    <x v="0"/>
    <s v="Camisa"/>
    <s v="Verde"/>
    <s v="Zara"/>
    <s v="MER-A0-0113"/>
    <d v="2024-02-21T00:00:00"/>
    <x v="0"/>
    <n v="48.38"/>
    <n v="0.1"/>
    <n v="102.137"/>
    <x v="2"/>
    <s v="Sí"/>
    <d v="2024-11-17T00:00:00"/>
    <n v="3"/>
  </r>
  <r>
    <s v="DEP-A0-0938"/>
    <x v="0"/>
    <n v="20"/>
    <x v="0"/>
    <s v="Falda"/>
    <s v="Amarillo"/>
    <s v="Adidas"/>
    <s v="MER-A0-0938"/>
    <d v="2024-03-20T00:00:00"/>
    <x v="0"/>
    <n v="44.46"/>
    <n v="0"/>
    <n v="53.731999999999999"/>
    <x v="2"/>
    <s v="Sí"/>
    <d v="2024-09-16T00:00:00"/>
    <n v="3"/>
  </r>
  <r>
    <s v="DEP-A0-2882"/>
    <x v="0"/>
    <n v="32"/>
    <x v="0"/>
    <s v="Zapatos"/>
    <s v="Gris"/>
    <s v="Zara"/>
    <s v="MER-A0-2882"/>
    <d v="2024-05-04T00:00:00"/>
    <x v="0"/>
    <n v="49.41"/>
    <n v="0.1"/>
    <n v="46.504000000000005"/>
    <x v="2"/>
    <s v="Sí"/>
    <d v="2024-05-04T00:00:00"/>
    <n v="3"/>
  </r>
  <r>
    <s v="DEP-A0-1534"/>
    <x v="0"/>
    <n v="28"/>
    <x v="0"/>
    <s v="Blusa"/>
    <s v="Verde"/>
    <s v="Nike"/>
    <s v="MER-A0-1534"/>
    <d v="2024-12-09T00:00:00"/>
    <x v="0"/>
    <n v="50.71"/>
    <n v="0.1"/>
    <n v="106.968"/>
    <x v="2"/>
    <s v="Sí"/>
    <d v="2024-06-03T00:00:00"/>
    <n v="3"/>
  </r>
  <r>
    <s v="DEP-A0-3462"/>
    <x v="0"/>
    <n v="32"/>
    <x v="0"/>
    <s v="Camisa"/>
    <s v="Rojo"/>
    <s v="Zara"/>
    <s v="MER-A0-3462"/>
    <d v="2024-12-23T00:00:00"/>
    <x v="0"/>
    <n v="45.67"/>
    <n v="0"/>
    <n v="182.19"/>
    <x v="2"/>
    <s v="Sí"/>
    <d v="2024-12-30T00:00:00"/>
    <n v="3"/>
  </r>
  <r>
    <s v="DEP-A0-0570"/>
    <x v="0"/>
    <n v="31"/>
    <x v="0"/>
    <s v="Blusa"/>
    <s v="Verde"/>
    <s v="Nike"/>
    <s v="MER-A0-0570"/>
    <d v="2024-05-02T00:00:00"/>
    <x v="0"/>
    <n v="65.27"/>
    <n v="0.3"/>
    <n v="165.76"/>
    <x v="2"/>
    <s v="Sí"/>
    <d v="2025-04-27T00:00:00"/>
    <n v="3"/>
  </r>
  <r>
    <s v="DEP-A0-2234"/>
    <x v="0"/>
    <n v="21"/>
    <x v="0"/>
    <s v="Falda"/>
    <s v="Negro"/>
    <s v="Zara"/>
    <s v="MER-A0-2234"/>
    <d v="2024-05-03T00:00:00"/>
    <x v="0"/>
    <n v="66.37"/>
    <n v="0.3"/>
    <n v="60.07"/>
    <x v="2"/>
    <s v="Sí"/>
    <d v="2024-08-01T00:00:00"/>
    <n v="3"/>
  </r>
  <r>
    <s v="DEP-A0-1902"/>
    <x v="1"/>
    <n v="24"/>
    <x v="0"/>
    <s v="Zapatos"/>
    <s v="Azul"/>
    <s v="Puma"/>
    <s v="MER-A0-1902"/>
    <d v="2024-04-25T00:00:00"/>
    <x v="0"/>
    <n v="46.77"/>
    <n v="0"/>
    <n v="155.52000000000001"/>
    <x v="2"/>
    <s v="Sí"/>
    <d v="2024-04-25T00:00:00"/>
    <n v="3"/>
  </r>
  <r>
    <s v="DEP-A0-4200"/>
    <x v="1"/>
    <n v="34"/>
    <x v="0"/>
    <s v="Pantalón"/>
    <s v="Gris"/>
    <s v="Tommy"/>
    <s v="MER-A0-4200"/>
    <d v="2024-10-24T00:00:00"/>
    <x v="0"/>
    <n v="59.05"/>
    <n v="0.2"/>
    <n v="48.076000000000008"/>
    <x v="2"/>
    <s v="Sí"/>
    <d v="2025-07-21T00:00:00"/>
    <n v="3"/>
  </r>
  <r>
    <s v="DEP-A0-3637"/>
    <x v="0"/>
    <n v="21"/>
    <x v="0"/>
    <s v="Vestido"/>
    <s v="Rojo"/>
    <s v="Adidas"/>
    <s v="MER-A0-3637"/>
    <d v="2024-08-18T00:00:00"/>
    <x v="0"/>
    <n v="52.92"/>
    <n v="0.1"/>
    <n v="40.143999999999998"/>
    <x v="2"/>
    <s v="Sí"/>
    <d v="2024-08-18T00:00:00"/>
    <n v="3"/>
  </r>
  <r>
    <s v="DEP-A0-3720"/>
    <x v="1"/>
    <n v="33"/>
    <x v="0"/>
    <s v="Zapatos"/>
    <s v="Verde"/>
    <s v="Adidas"/>
    <s v="MER-A0-3720"/>
    <d v="2024-04-09T00:00:00"/>
    <x v="0"/>
    <n v="47.98"/>
    <n v="0"/>
    <n v="62.825000000000003"/>
    <x v="2"/>
    <s v="Sí"/>
    <d v="2025-04-04T00:00:00"/>
    <n v="3"/>
  </r>
  <r>
    <s v="DEP-A0-1918"/>
    <x v="0"/>
    <n v="23"/>
    <x v="0"/>
    <s v="Camisa"/>
    <s v="Amarillo"/>
    <s v="Zara"/>
    <s v="MER-A0-1918"/>
    <d v="2024-10-06T00:00:00"/>
    <x v="0"/>
    <n v="68.77"/>
    <n v="0.3"/>
    <n v="95.228999999999999"/>
    <x v="2"/>
    <s v="Sí"/>
    <d v="2025-10-01T00:00:00"/>
    <n v="3"/>
  </r>
  <r>
    <s v="DEP-A0-2928"/>
    <x v="0"/>
    <n v="22"/>
    <x v="0"/>
    <s v="Vestido"/>
    <s v="Verde"/>
    <s v="Levis"/>
    <s v="MER-A0-2928"/>
    <d v="2024-09-02T00:00:00"/>
    <x v="0"/>
    <n v="60.4"/>
    <n v="0.2"/>
    <n v="29.7"/>
    <x v="2"/>
    <s v="Sí"/>
    <d v="2025-08-28T00:00:00"/>
    <n v="3"/>
  </r>
  <r>
    <s v="DEP-A0-3101"/>
    <x v="0"/>
    <n v="22"/>
    <x v="0"/>
    <s v="Vestido"/>
    <s v="Rojo"/>
    <s v="Mango"/>
    <s v="MER-A0-3101"/>
    <d v="2024-06-12T00:00:00"/>
    <x v="0"/>
    <n v="69.72"/>
    <n v="0.3"/>
    <n v="56.9"/>
    <x v="2"/>
    <s v="Sí"/>
    <d v="2025-03-09T00:00:00"/>
    <n v="3"/>
  </r>
  <r>
    <s v="DEP-A0-3277"/>
    <x v="0"/>
    <n v="27"/>
    <x v="0"/>
    <s v="Chaqueta"/>
    <s v="Blanco"/>
    <s v="Mango"/>
    <s v="MER-A0-3277"/>
    <d v="2024-08-17T00:00:00"/>
    <x v="0"/>
    <n v="61.29"/>
    <n v="0.2"/>
    <n v="139.50899999999999"/>
    <x v="2"/>
    <s v="Sí"/>
    <d v="2025-02-13T00:00:00"/>
    <n v="3"/>
  </r>
  <r>
    <s v="DEP-A0-0537"/>
    <x v="0"/>
    <n v="18"/>
    <x v="0"/>
    <s v="Chaqueta"/>
    <s v="Negro"/>
    <s v="Adidas"/>
    <s v="MER-A0-0537"/>
    <d v="2024-03-19T00:00:00"/>
    <x v="0"/>
    <n v="61.31"/>
    <n v="0.2"/>
    <n v="130.904"/>
    <x v="2"/>
    <s v="Sí"/>
    <d v="2024-06-17T00:00:00"/>
    <n v="3"/>
  </r>
  <r>
    <s v="DEP-A0-0504"/>
    <x v="0"/>
    <n v="27"/>
    <x v="0"/>
    <s v="Camisa"/>
    <s v="Gris"/>
    <s v="Tommy"/>
    <s v="MER-A0-0504"/>
    <d v="2024-09-03T00:00:00"/>
    <x v="0"/>
    <n v="54.62"/>
    <n v="0.1"/>
    <n v="58.05"/>
    <x v="2"/>
    <s v="Sí"/>
    <d v="2025-03-02T00:00:00"/>
    <n v="3"/>
  </r>
  <r>
    <s v="DEP-A0-2998"/>
    <x v="0"/>
    <n v="32"/>
    <x v="0"/>
    <s v="Vestido"/>
    <s v="Verde"/>
    <s v="Adidas"/>
    <s v="MER-A0-2998"/>
    <d v="2024-03-20T00:00:00"/>
    <x v="0"/>
    <n v="71.16"/>
    <n v="0.3"/>
    <n v="103.401"/>
    <x v="2"/>
    <s v="Sí"/>
    <d v="2024-12-15T00:00:00"/>
    <n v="3"/>
  </r>
  <r>
    <s v="DEP-A0-0155"/>
    <x v="0"/>
    <n v="20"/>
    <x v="0"/>
    <s v="Falda"/>
    <s v="Amarillo"/>
    <s v="Levis"/>
    <s v="MER-A0-0155"/>
    <d v="2024-03-18T00:00:00"/>
    <x v="0"/>
    <n v="71.25"/>
    <n v="0.3"/>
    <n v="184.02"/>
    <x v="2"/>
    <s v="Sí"/>
    <d v="2024-03-18T00:00:00"/>
    <n v="3"/>
  </r>
  <r>
    <s v="DEP-A0-0941"/>
    <x v="0"/>
    <n v="19"/>
    <x v="0"/>
    <s v="Blusa"/>
    <s v="Negro"/>
    <s v="Levis"/>
    <s v="MER-A0-0941"/>
    <d v="2024-11-27T00:00:00"/>
    <x v="0"/>
    <n v="50.09"/>
    <n v="0"/>
    <n v="129.304"/>
    <x v="2"/>
    <s v="Sí"/>
    <d v="2025-05-26T00:00:00"/>
    <n v="3"/>
  </r>
  <r>
    <s v="DEP-A0-1895"/>
    <x v="0"/>
    <n v="25"/>
    <x v="0"/>
    <s v="Falda"/>
    <s v="Amarillo"/>
    <s v="Tommy"/>
    <s v="MER-A0-1895"/>
    <d v="2024-01-22T00:00:00"/>
    <x v="0"/>
    <n v="63.83"/>
    <n v="0.2"/>
    <n v="28.672000000000004"/>
    <x v="2"/>
    <s v="Sí"/>
    <d v="2024-01-22T00:00:00"/>
    <n v="3"/>
  </r>
  <r>
    <s v="DEP-A0-3920"/>
    <x v="0"/>
    <n v="18"/>
    <x v="0"/>
    <s v="Vestido"/>
    <s v="Azul"/>
    <s v="Levis"/>
    <s v="MER-A0-3920"/>
    <d v="2024-11-22T00:00:00"/>
    <x v="0"/>
    <n v="65.239999999999995"/>
    <n v="0.2"/>
    <n v="101.56"/>
    <x v="2"/>
    <s v="Sí"/>
    <d v="2025-03-17T00:00:00"/>
    <n v="3"/>
  </r>
  <r>
    <s v="DEP-A0-1521"/>
    <x v="1"/>
    <n v="22"/>
    <x v="0"/>
    <s v="Pantalón"/>
    <s v="Amarillo"/>
    <s v="Levis"/>
    <s v="MER-A0-1521"/>
    <d v="2024-01-18T00:00:00"/>
    <x v="0"/>
    <n v="75.81"/>
    <n v="0.3"/>
    <n v="13.728"/>
    <x v="2"/>
    <s v="Sí"/>
    <d v="2024-01-18T00:00:00"/>
    <n v="3"/>
  </r>
  <r>
    <s v="DEP-A0-4266"/>
    <x v="0"/>
    <n v="32"/>
    <x v="0"/>
    <s v="Falda"/>
    <s v="Gris"/>
    <s v="Mango"/>
    <s v="MER-A0-4266"/>
    <d v="2024-08-04T00:00:00"/>
    <x v="0"/>
    <n v="66.44"/>
    <n v="0.2"/>
    <n v="53.465999999999994"/>
    <x v="2"/>
    <s v="Sí"/>
    <d v="2024-11-02T00:00:00"/>
    <n v="3"/>
  </r>
  <r>
    <s v="DEP-A0-3426"/>
    <x v="1"/>
    <n v="22"/>
    <x v="0"/>
    <s v="Pantalón"/>
    <s v="Gris"/>
    <s v="Puma"/>
    <s v="MER-A0-3426"/>
    <d v="2024-06-12T00:00:00"/>
    <x v="0"/>
    <n v="76.17"/>
    <n v="0.3"/>
    <n v="70.744"/>
    <x v="2"/>
    <s v="Sí"/>
    <d v="2024-12-09T00:00:00"/>
    <n v="3"/>
  </r>
  <r>
    <s v="DEP-A0-1181"/>
    <x v="0"/>
    <n v="34"/>
    <x v="0"/>
    <s v="Falda"/>
    <s v="Amarillo"/>
    <s v="Nike"/>
    <s v="MER-A0-1181"/>
    <d v="2024-03-02T00:00:00"/>
    <x v="0"/>
    <n v="76.69"/>
    <n v="0.3"/>
    <n v="40.527000000000001"/>
    <x v="2"/>
    <s v="Sí"/>
    <d v="2025-02-25T00:00:00"/>
    <n v="3"/>
  </r>
  <r>
    <s v="DEP-A0-2689"/>
    <x v="0"/>
    <n v="24"/>
    <x v="0"/>
    <s v="Camisa"/>
    <s v="Negro"/>
    <s v="Zara"/>
    <s v="MER-A0-2689"/>
    <d v="2024-08-15T00:00:00"/>
    <x v="0"/>
    <n v="60.47"/>
    <n v="0.1"/>
    <n v="39.78"/>
    <x v="2"/>
    <s v="Sí"/>
    <d v="2024-08-15T00:00:00"/>
    <n v="3"/>
  </r>
  <r>
    <s v="DEP-A0-4470"/>
    <x v="0"/>
    <n v="18"/>
    <x v="0"/>
    <s v="Blusa"/>
    <s v="Blanco"/>
    <s v="Levis"/>
    <s v="MER-A0-4470"/>
    <d v="2024-02-01T00:00:00"/>
    <x v="0"/>
    <n v="61.02"/>
    <n v="0.1"/>
    <n v="39.799999999999997"/>
    <x v="2"/>
    <s v="Sí"/>
    <d v="2024-02-01T00:00:00"/>
    <n v="3"/>
  </r>
  <r>
    <s v="DEP-A0-0486"/>
    <x v="0"/>
    <n v="24"/>
    <x v="0"/>
    <s v="Blusa"/>
    <s v="Rojo"/>
    <s v="Puma"/>
    <s v="MER-A0-0486"/>
    <d v="2024-03-08T00:00:00"/>
    <x v="0"/>
    <n v="69.17"/>
    <n v="0.2"/>
    <n v="44.271000000000001"/>
    <x v="2"/>
    <s v="Sí"/>
    <d v="2024-03-08T00:00:00"/>
    <n v="3"/>
  </r>
  <r>
    <s v="DEP-A0-0305"/>
    <x v="0"/>
    <n v="21"/>
    <x v="0"/>
    <s v="Camisa"/>
    <s v="Blanco"/>
    <s v="Tommy"/>
    <s v="MER-A0-0305"/>
    <d v="2024-02-13T00:00:00"/>
    <x v="0"/>
    <n v="79.599999999999994"/>
    <n v="0.3"/>
    <n v="35.649000000000001"/>
    <x v="2"/>
    <s v="Sí"/>
    <d v="2024-12-11T00:00:00"/>
    <n v="3"/>
  </r>
  <r>
    <s v="DEP-A0-0909"/>
    <x v="0"/>
    <n v="26"/>
    <x v="0"/>
    <s v="Pantalón"/>
    <s v="Amarillo"/>
    <s v="Puma"/>
    <s v="MER-A0-0909"/>
    <d v="2024-09-27T00:00:00"/>
    <x v="0"/>
    <n v="62.67"/>
    <n v="0.1"/>
    <n v="117.29900000000001"/>
    <x v="2"/>
    <s v="Sí"/>
    <d v="2024-12-26T00:00:00"/>
    <n v="3"/>
  </r>
  <r>
    <s v="DEP-A0-4815"/>
    <x v="0"/>
    <n v="32"/>
    <x v="0"/>
    <s v="Blusa"/>
    <s v="Gris"/>
    <s v="Mango"/>
    <s v="MER-A0-4815"/>
    <d v="2024-04-20T00:00:00"/>
    <x v="0"/>
    <n v="71.31"/>
    <n v="0.2"/>
    <n v="104.44000000000001"/>
    <x v="2"/>
    <s v="Sí"/>
    <d v="2024-04-20T00:00:00"/>
    <n v="3"/>
  </r>
  <r>
    <s v="DEP-A0-4469"/>
    <x v="0"/>
    <n v="23"/>
    <x v="0"/>
    <s v="Camisa"/>
    <s v="Negro"/>
    <s v="Tommy"/>
    <s v="MER-A0-4469"/>
    <d v="2024-08-16T00:00:00"/>
    <x v="0"/>
    <n v="81.849999999999994"/>
    <n v="0.3"/>
    <n v="104.056"/>
    <x v="2"/>
    <s v="Sí"/>
    <d v="2024-08-16T00:00:00"/>
    <n v="3"/>
  </r>
  <r>
    <s v="DEP-A0-4013"/>
    <x v="0"/>
    <n v="24"/>
    <x v="0"/>
    <s v="Vestido"/>
    <s v="Rojo"/>
    <s v="Zara"/>
    <s v="MER-A0-4013"/>
    <d v="2024-12-10T00:00:00"/>
    <x v="0"/>
    <n v="71.760000000000005"/>
    <n v="0.2"/>
    <n v="108.40900000000001"/>
    <x v="2"/>
    <s v="Sí"/>
    <d v="2025-05-30T00:00:00"/>
    <n v="3"/>
  </r>
  <r>
    <s v="DEP-A0-4968"/>
    <x v="1"/>
    <n v="23"/>
    <x v="0"/>
    <s v="Pantalón"/>
    <s v="Gris"/>
    <s v="Puma"/>
    <s v="MER-A0-4968"/>
    <d v="2024-04-16T00:00:00"/>
    <x v="0"/>
    <n v="57.57"/>
    <n v="0"/>
    <n v="129.38399999999999"/>
    <x v="2"/>
    <s v="Sí"/>
    <d v="2024-04-16T00:00:00"/>
    <n v="3"/>
  </r>
  <r>
    <s v="DEP-A0-3629"/>
    <x v="0"/>
    <n v="21"/>
    <x v="0"/>
    <s v="Pantalón"/>
    <s v="Rojo"/>
    <s v="Levis"/>
    <s v="MER-A0-3629"/>
    <d v="2024-07-11T00:00:00"/>
    <x v="0"/>
    <n v="58.29"/>
    <n v="0"/>
    <n v="20.012999999999998"/>
    <x v="2"/>
    <s v="Sí"/>
    <d v="2025-01-07T00:00:00"/>
    <n v="3"/>
  </r>
  <r>
    <s v="DEP-A0-4163"/>
    <x v="0"/>
    <n v="35"/>
    <x v="0"/>
    <s v="Vestido"/>
    <s v="Negro"/>
    <s v="Tommy"/>
    <s v="MER-A0-4163"/>
    <d v="2024-09-06T00:00:00"/>
    <x v="0"/>
    <n v="58.93"/>
    <n v="0"/>
    <n v="132.517"/>
    <x v="2"/>
    <s v="Sí"/>
    <d v="2024-09-06T00:00:00"/>
    <n v="3"/>
  </r>
  <r>
    <s v="DEP-A0-3808"/>
    <x v="0"/>
    <n v="34"/>
    <x v="0"/>
    <s v="Falda"/>
    <s v="Negro"/>
    <s v="Zara"/>
    <s v="MER-A0-3808"/>
    <d v="2024-03-11T00:00:00"/>
    <x v="0"/>
    <n v="73.84"/>
    <n v="0.2"/>
    <n v="99.384"/>
    <x v="2"/>
    <s v="Sí"/>
    <d v="2024-03-11T00:00:00"/>
    <n v="3"/>
  </r>
  <r>
    <s v="DEP-A0-4428"/>
    <x v="0"/>
    <n v="27"/>
    <x v="0"/>
    <s v="Pantalón"/>
    <s v="Amarillo"/>
    <s v="Mango"/>
    <s v="MER-A0-4428"/>
    <d v="2024-03-26T00:00:00"/>
    <x v="0"/>
    <n v="84.95"/>
    <n v="0.3"/>
    <n v="77.45"/>
    <x v="2"/>
    <s v="Sí"/>
    <d v="2024-09-22T00:00:00"/>
    <n v="3"/>
  </r>
  <r>
    <s v="DEP-A0-2392"/>
    <x v="0"/>
    <n v="26"/>
    <x v="0"/>
    <s v="Chaqueta"/>
    <s v="Gris"/>
    <s v="Levis"/>
    <s v="MER-A0-2392"/>
    <d v="2024-12-01T00:00:00"/>
    <x v="0"/>
    <n v="60.63"/>
    <n v="0"/>
    <n v="105.38399999999999"/>
    <x v="2"/>
    <s v="Sí"/>
    <d v="2025-03-01T00:00:00"/>
    <n v="3"/>
  </r>
  <r>
    <s v="DEP-A0-3775"/>
    <x v="1"/>
    <n v="31"/>
    <x v="0"/>
    <s v="Chaqueta"/>
    <s v="Blanco"/>
    <s v="Zara"/>
    <s v="MER-A0-3775"/>
    <d v="2024-08-18T00:00:00"/>
    <x v="0"/>
    <n v="76.569999999999993"/>
    <n v="0.2"/>
    <n v="54.287999999999997"/>
    <x v="2"/>
    <s v="Sí"/>
    <d v="2024-08-18T00:00:00"/>
    <n v="3"/>
  </r>
  <r>
    <s v="DEP-A0-4064"/>
    <x v="0"/>
    <n v="18"/>
    <x v="0"/>
    <s v="Falda"/>
    <s v="Rojo"/>
    <s v="Zara"/>
    <s v="MER-A0-4064"/>
    <d v="2024-05-01T00:00:00"/>
    <x v="0"/>
    <n v="61.73"/>
    <n v="0"/>
    <n v="147.62"/>
    <x v="2"/>
    <s v="Sí"/>
    <d v="2025-04-26T00:00:00"/>
    <n v="3"/>
  </r>
  <r>
    <s v="DEP-A0-3390"/>
    <x v="0"/>
    <n v="31"/>
    <x v="0"/>
    <s v="Pantalón"/>
    <s v="Blanco"/>
    <s v="Nike"/>
    <s v="MER-A0-3390"/>
    <d v="2024-04-03T00:00:00"/>
    <x v="0"/>
    <n v="88.52"/>
    <n v="0.3"/>
    <n v="21.4"/>
    <x v="2"/>
    <s v="Sí"/>
    <d v="2025-03-29T00:00:00"/>
    <n v="3"/>
  </r>
  <r>
    <s v="DEP-A0-4322"/>
    <x v="0"/>
    <n v="21"/>
    <x v="0"/>
    <s v="Chaqueta"/>
    <s v="Blanco"/>
    <s v="Mango"/>
    <s v="MER-A0-4322"/>
    <d v="2024-02-19T00:00:00"/>
    <x v="0"/>
    <n v="62.27"/>
    <n v="0"/>
    <n v="135.52799999999999"/>
    <x v="2"/>
    <s v="Sí"/>
    <d v="2024-08-17T00:00:00"/>
    <n v="3"/>
  </r>
  <r>
    <s v="DEP-A0-4056"/>
    <x v="0"/>
    <n v="26"/>
    <x v="0"/>
    <s v="Camisa"/>
    <s v="Negro"/>
    <s v="Tommy"/>
    <s v="MER-A0-4056"/>
    <d v="2024-02-25T00:00:00"/>
    <x v="0"/>
    <n v="91.96"/>
    <n v="0.3"/>
    <n v="153.06400000000002"/>
    <x v="2"/>
    <s v="Sí"/>
    <d v="2024-02-25T00:00:00"/>
    <n v="3"/>
  </r>
  <r>
    <s v="DEP-A0-1251"/>
    <x v="0"/>
    <n v="21"/>
    <x v="0"/>
    <s v="Vestido"/>
    <s v="Blanco"/>
    <s v="Zara"/>
    <s v="MER-A0-1251"/>
    <d v="2024-11-28T00:00:00"/>
    <x v="0"/>
    <n v="65.87"/>
    <n v="0"/>
    <n v="119.35"/>
    <x v="2"/>
    <s v="Sí"/>
    <d v="2025-04-02T00:00:00"/>
    <n v="3"/>
  </r>
  <r>
    <s v="DEP-A0-2388"/>
    <x v="0"/>
    <n v="26"/>
    <x v="0"/>
    <s v="Vestido"/>
    <s v="Blanco"/>
    <s v="Levis"/>
    <s v="MER-A0-2388"/>
    <d v="2024-03-30T00:00:00"/>
    <x v="0"/>
    <n v="67.36"/>
    <n v="0"/>
    <n v="189.15"/>
    <x v="2"/>
    <s v="Sí"/>
    <d v="2024-03-30T00:00:00"/>
    <n v="3"/>
  </r>
  <r>
    <s v="DEP-A0-3975"/>
    <x v="1"/>
    <n v="21"/>
    <x v="0"/>
    <s v="Chaqueta"/>
    <s v="Blanco"/>
    <s v="Tommy"/>
    <s v="MER-A0-3975"/>
    <d v="2024-11-23T00:00:00"/>
    <x v="0"/>
    <n v="96.53"/>
    <n v="0.3"/>
    <n v="78.896000000000001"/>
    <x v="2"/>
    <s v="Sí"/>
    <d v="2025-03-25T00:00:00"/>
    <n v="3"/>
  </r>
  <r>
    <s v="DEP-A0-3566"/>
    <x v="1"/>
    <n v="21"/>
    <x v="0"/>
    <s v="Camisa"/>
    <s v="Blanco"/>
    <s v="Adidas"/>
    <s v="MER-A0-3566"/>
    <d v="2024-09-17T00:00:00"/>
    <x v="0"/>
    <n v="68.36"/>
    <n v="0"/>
    <n v="184.33"/>
    <x v="2"/>
    <s v="Sí"/>
    <d v="2025-06-14T00:00:00"/>
    <n v="3"/>
  </r>
  <r>
    <s v="DEP-A0-0408"/>
    <x v="0"/>
    <n v="32"/>
    <x v="0"/>
    <s v="Zapatos"/>
    <s v="Azul"/>
    <s v="Mango"/>
    <s v="MER-A0-0408"/>
    <d v="2024-02-23T00:00:00"/>
    <x v="0"/>
    <n v="76.150000000000006"/>
    <n v="0.1"/>
    <n v="113.04"/>
    <x v="2"/>
    <s v="Sí"/>
    <d v="2024-02-23T00:00:00"/>
    <n v="3"/>
  </r>
  <r>
    <s v="DEP-A0-1594"/>
    <x v="0"/>
    <n v="33"/>
    <x v="0"/>
    <s v="Camisa"/>
    <s v="Gris"/>
    <s v="Tommy"/>
    <s v="MER-A0-1594"/>
    <d v="2024-01-19T00:00:00"/>
    <x v="0"/>
    <n v="85.75"/>
    <n v="0.2"/>
    <n v="128.352"/>
    <x v="2"/>
    <s v="Sí"/>
    <d v="2024-01-19T00:00:00"/>
    <n v="3"/>
  </r>
  <r>
    <s v="DEP-A0-0202"/>
    <x v="0"/>
    <n v="32"/>
    <x v="0"/>
    <s v="Chaqueta"/>
    <s v="Azul"/>
    <s v="Zara"/>
    <s v="MER-A0-0202"/>
    <d v="2024-04-05T00:00:00"/>
    <x v="0"/>
    <n v="86.09"/>
    <n v="0.2"/>
    <n v="147.54599999999999"/>
    <x v="2"/>
    <s v="Sí"/>
    <d v="2024-12-31T00:00:00"/>
    <n v="3"/>
  </r>
  <r>
    <s v="DEP-A0-1334"/>
    <x v="0"/>
    <n v="21"/>
    <x v="0"/>
    <s v="Falda"/>
    <s v="Azul"/>
    <s v="Nike"/>
    <s v="MER-A0-1334"/>
    <d v="2024-01-17T00:00:00"/>
    <x v="0"/>
    <n v="77.64"/>
    <n v="0.1"/>
    <n v="121.49100000000001"/>
    <x v="2"/>
    <s v="Sí"/>
    <d v="2024-01-17T00:00:00"/>
    <n v="3"/>
  </r>
  <r>
    <s v="DEP-A0-0980"/>
    <x v="1"/>
    <n v="18"/>
    <x v="0"/>
    <s v="Zapatos"/>
    <s v="Amarillo"/>
    <s v="Zara"/>
    <s v="MER-A0-0980"/>
    <d v="2024-10-03T00:00:00"/>
    <x v="0"/>
    <n v="78.02"/>
    <n v="0.1"/>
    <n v="189.58"/>
    <x v="2"/>
    <s v="Sí"/>
    <d v="2025-06-30T00:00:00"/>
    <n v="4"/>
  </r>
  <r>
    <s v="DEP-A0-1145"/>
    <x v="0"/>
    <n v="21"/>
    <x v="0"/>
    <s v="Pantalón"/>
    <s v="Gris"/>
    <s v="Mango"/>
    <s v="MER-A0-1145"/>
    <d v="2024-12-09T00:00:00"/>
    <x v="0"/>
    <n v="78.36"/>
    <n v="0.1"/>
    <n v="44.387"/>
    <x v="2"/>
    <s v="Sí"/>
    <d v="2024-12-04T00:00:00"/>
    <n v="6"/>
  </r>
  <r>
    <s v="DEP-A0-4141"/>
    <x v="0"/>
    <n v="21"/>
    <x v="0"/>
    <s v="Vestido"/>
    <s v="Negro"/>
    <s v="Nike"/>
    <s v="MER-A0-4141"/>
    <d v="2024-08-28T00:00:00"/>
    <x v="0"/>
    <n v="88.33"/>
    <n v="0.2"/>
    <n v="127.62"/>
    <x v="2"/>
    <s v="Sí"/>
    <d v="2024-11-26T00:00:00"/>
    <n v="3"/>
  </r>
  <r>
    <s v="DEP-A0-4255"/>
    <x v="0"/>
    <n v="22"/>
    <x v="0"/>
    <s v="Vestido"/>
    <s v="Rojo"/>
    <s v="Zara"/>
    <s v="MER-A0-4255"/>
    <d v="2024-04-05T00:00:00"/>
    <x v="0"/>
    <n v="88.86"/>
    <n v="0.2"/>
    <n v="45.170999999999999"/>
    <x v="2"/>
    <s v="Sí"/>
    <d v="2024-10-02T00:00:00"/>
    <n v="6"/>
  </r>
  <r>
    <s v="DEP-A0-1103"/>
    <x v="0"/>
    <n v="33"/>
    <x v="0"/>
    <s v="Chaqueta"/>
    <s v="Gris"/>
    <s v="Puma"/>
    <s v="MER-A0-1103"/>
    <d v="2024-09-10T00:00:00"/>
    <x v="0"/>
    <n v="88.92"/>
    <n v="0.2"/>
    <n v="128.44999999999999"/>
    <x v="2"/>
    <s v="Sí"/>
    <d v="2024-09-10T00:00:00"/>
    <n v="9"/>
  </r>
  <r>
    <s v="DEP-A0-2640"/>
    <x v="1"/>
    <n v="28"/>
    <x v="0"/>
    <s v="Zapatos"/>
    <s v="Gris"/>
    <s v="Mango"/>
    <s v="MER-A0-2640"/>
    <d v="2024-08-20T00:00:00"/>
    <x v="0"/>
    <n v="71.81"/>
    <n v="0"/>
    <n v="69.12"/>
    <x v="2"/>
    <s v="Sí"/>
    <d v="2024-08-20T00:00:00"/>
    <n v="6"/>
  </r>
  <r>
    <s v="DEP-A0-4073"/>
    <x v="0"/>
    <n v="25"/>
    <x v="0"/>
    <s v="Zapatos"/>
    <s v="Blanco"/>
    <s v="Zara"/>
    <s v="MER-A0-4073"/>
    <d v="2024-12-23T00:00:00"/>
    <x v="0"/>
    <n v="80.37"/>
    <n v="0.1"/>
    <n v="23.75"/>
    <x v="2"/>
    <s v="Sí"/>
    <d v="2024-10-09T00:00:00"/>
    <n v="9"/>
  </r>
  <r>
    <s v="DEP-A0-3713"/>
    <x v="0"/>
    <n v="33"/>
    <x v="0"/>
    <s v="Falda"/>
    <s v="Rojo"/>
    <s v="Adidas"/>
    <s v="MER-A0-3713"/>
    <d v="2024-04-04T00:00:00"/>
    <x v="0"/>
    <n v="72.430000000000007"/>
    <n v="0"/>
    <n v="69.44"/>
    <x v="2"/>
    <s v="Sí"/>
    <d v="2024-04-04T00:00:00"/>
    <n v="12"/>
  </r>
  <r>
    <s v="DEP-A0-2596"/>
    <x v="0"/>
    <n v="27"/>
    <x v="0"/>
    <s v="Blusa"/>
    <s v="Blanco"/>
    <s v="Tommy"/>
    <s v="MER-A0-2596"/>
    <d v="2024-02-11T00:00:00"/>
    <x v="0"/>
    <n v="90.77"/>
    <n v="0.2"/>
    <n v="64.512"/>
    <x v="2"/>
    <s v="Sí"/>
    <d v="2024-02-11T00:00:00"/>
    <n v="12"/>
  </r>
  <r>
    <s v="DEP-A0-0729"/>
    <x v="0"/>
    <n v="22"/>
    <x v="0"/>
    <s v="Blusa"/>
    <s v="Gris"/>
    <s v="Zara"/>
    <s v="MER-A0-0729"/>
    <d v="2024-07-26T00:00:00"/>
    <x v="0"/>
    <n v="91.07"/>
    <n v="0.2"/>
    <n v="23.506"/>
    <x v="2"/>
    <s v="Sí"/>
    <d v="2024-10-24T00:00:00"/>
    <n v="3"/>
  </r>
  <r>
    <s v="DEP-A0-1608"/>
    <x v="0"/>
    <n v="32"/>
    <x v="0"/>
    <s v="Falda"/>
    <s v="Amarillo"/>
    <s v="Mango"/>
    <s v="MER-A0-1608"/>
    <d v="2024-02-02T00:00:00"/>
    <x v="0"/>
    <n v="104.55"/>
    <n v="0.3"/>
    <n v="77.238"/>
    <x v="2"/>
    <s v="Sí"/>
    <d v="2024-02-02T00:00:00"/>
    <n v="9"/>
  </r>
  <r>
    <s v="DEP-A0-3961"/>
    <x v="0"/>
    <n v="32"/>
    <x v="0"/>
    <s v="Falda"/>
    <s v="Rojo"/>
    <s v="Zara"/>
    <s v="MER-A0-3961"/>
    <d v="2024-07-14T00:00:00"/>
    <x v="0"/>
    <n v="92.1"/>
    <n v="0.2"/>
    <n v="127.017"/>
    <x v="2"/>
    <s v="Sí"/>
    <d v="2024-07-14T00:00:00"/>
    <n v="9"/>
  </r>
  <r>
    <s v="DEP-A0-2511"/>
    <x v="0"/>
    <n v="22"/>
    <x v="0"/>
    <s v="Falda"/>
    <s v="Negro"/>
    <s v="Nike"/>
    <s v="MER-A0-2511"/>
    <d v="2024-02-27T00:00:00"/>
    <x v="0"/>
    <n v="105.26"/>
    <n v="0.3"/>
    <n v="57.113"/>
    <x v="2"/>
    <s v="Sí"/>
    <d v="2024-08-25T00:00:00"/>
    <n v="6"/>
  </r>
  <r>
    <s v="DEP-A0-3571"/>
    <x v="1"/>
    <n v="23"/>
    <x v="0"/>
    <s v="Zapatos"/>
    <s v="Negro"/>
    <s v="Nike"/>
    <s v="MER-A0-3571"/>
    <d v="2024-01-24T00:00:00"/>
    <x v="0"/>
    <n v="94.33"/>
    <n v="0.2"/>
    <n v="34.643000000000001"/>
    <x v="2"/>
    <s v="Sí"/>
    <d v="2024-01-24T00:00:00"/>
    <n v="9"/>
  </r>
  <r>
    <s v="DEP-A0-0343"/>
    <x v="0"/>
    <n v="23"/>
    <x v="0"/>
    <s v="Vestido"/>
    <s v="Gris"/>
    <s v="Nike"/>
    <s v="MER-A0-0343"/>
    <d v="2024-02-22T00:00:00"/>
    <x v="0"/>
    <n v="95.1"/>
    <n v="0.2"/>
    <n v="25.018000000000001"/>
    <x v="2"/>
    <s v="Sí"/>
    <d v="2024-08-20T00:00:00"/>
    <n v="6"/>
  </r>
  <r>
    <s v="DEP-A0-2150"/>
    <x v="0"/>
    <n v="28"/>
    <x v="0"/>
    <s v="Falda"/>
    <s v="Negro"/>
    <s v="Mango"/>
    <s v="MER-A0-2150"/>
    <d v="2024-10-09T00:00:00"/>
    <x v="0"/>
    <n v="85.24"/>
    <n v="0.1"/>
    <n v="83.13"/>
    <x v="2"/>
    <s v="Sí"/>
    <d v="2025-10-04T00:00:00"/>
    <n v="12"/>
  </r>
  <r>
    <s v="DEP-A0-3001"/>
    <x v="1"/>
    <n v="30"/>
    <x v="0"/>
    <s v="Camisa"/>
    <s v="Blanco"/>
    <s v="Levis"/>
    <s v="MER-A0-3001"/>
    <d v="2024-02-19T00:00:00"/>
    <x v="0"/>
    <n v="85.62"/>
    <n v="0.1"/>
    <n v="59.730999999999995"/>
    <x v="2"/>
    <s v="Sí"/>
    <d v="2024-02-19T00:00:00"/>
    <n v="3"/>
  </r>
  <r>
    <s v="DEP-A0-3107"/>
    <x v="1"/>
    <n v="28"/>
    <x v="0"/>
    <s v="Pantalón"/>
    <s v="Verde"/>
    <s v="Levis"/>
    <s v="MER-A0-3107"/>
    <d v="2024-11-07T00:00:00"/>
    <x v="0"/>
    <n v="110.92"/>
    <n v="0.3"/>
    <n v="83.538000000000011"/>
    <x v="2"/>
    <s v="Sí"/>
    <d v="2025-11-02T00:00:00"/>
    <n v="12"/>
  </r>
  <r>
    <s v="DEP-A0-1061"/>
    <x v="0"/>
    <n v="33"/>
    <x v="0"/>
    <s v="Camisa"/>
    <s v="Negro"/>
    <s v="Tommy"/>
    <s v="MER-A0-1061"/>
    <d v="2024-11-11T00:00:00"/>
    <x v="0"/>
    <n v="111.73"/>
    <n v="0.3"/>
    <n v="64.99199999999999"/>
    <x v="2"/>
    <s v="Sí"/>
    <d v="2025-02-09T00:00:00"/>
    <n v="3"/>
  </r>
  <r>
    <s v="DEP-A0-1930"/>
    <x v="0"/>
    <n v="22"/>
    <x v="0"/>
    <s v="Vestido"/>
    <s v="Azul"/>
    <s v="Zara"/>
    <s v="MER-A0-1930"/>
    <d v="2024-02-01T00:00:00"/>
    <x v="0"/>
    <n v="98.07"/>
    <n v="0.2"/>
    <n v="29.384999999999998"/>
    <x v="2"/>
    <s v="Sí"/>
    <d v="2024-02-01T00:00:00"/>
    <n v="6"/>
  </r>
  <r>
    <s v="DEP-A0-3470"/>
    <x v="1"/>
    <n v="20"/>
    <x v="0"/>
    <s v="Pantalón"/>
    <s v="Negro"/>
    <s v="Zara"/>
    <s v="MER-A0-3470"/>
    <d v="2024-10-11T00:00:00"/>
    <x v="0"/>
    <n v="113.16"/>
    <n v="0.3"/>
    <n v="88.234999999999999"/>
    <x v="2"/>
    <s v="Sí"/>
    <d v="2024-10-11T00:00:00"/>
    <n v="3"/>
  </r>
  <r>
    <s v="DEP-A0-1808"/>
    <x v="0"/>
    <n v="23"/>
    <x v="0"/>
    <s v="Pantalón"/>
    <s v="Gris"/>
    <s v="Tommy"/>
    <s v="MER-A0-1808"/>
    <d v="2024-02-14T00:00:00"/>
    <x v="0"/>
    <n v="79.27"/>
    <n v="0"/>
    <n v="136.232"/>
    <x v="2"/>
    <s v="Sí"/>
    <d v="2024-02-14T00:00:00"/>
    <n v="12"/>
  </r>
  <r>
    <s v="DEP-A0-3181"/>
    <x v="0"/>
    <n v="25"/>
    <x v="0"/>
    <s v="Falda"/>
    <s v="Blanco"/>
    <s v="Mango"/>
    <s v="MER-A0-3181"/>
    <d v="2024-05-05T00:00:00"/>
    <x v="0"/>
    <n v="99.26"/>
    <n v="0.2"/>
    <n v="113.19"/>
    <x v="2"/>
    <s v="Sí"/>
    <d v="2025-04-30T00:00:00"/>
    <n v="12"/>
  </r>
  <r>
    <s v="DEP-A0-0511"/>
    <x v="0"/>
    <n v="27"/>
    <x v="0"/>
    <s v="Blusa"/>
    <s v="Amarillo"/>
    <s v="Tommy"/>
    <s v="MER-A0-0511"/>
    <d v="2024-01-19T00:00:00"/>
    <x v="0"/>
    <n v="99.46"/>
    <n v="0.2"/>
    <n v="100.107"/>
    <x v="2"/>
    <s v="Sí"/>
    <d v="2024-01-19T00:00:00"/>
    <n v="6"/>
  </r>
  <r>
    <s v="DEP-A0-4415"/>
    <x v="1"/>
    <n v="28"/>
    <x v="0"/>
    <s v="Pantalón"/>
    <s v="Azul"/>
    <s v="Tommy"/>
    <s v="MER-A0-4415"/>
    <d v="2024-07-17T00:00:00"/>
    <x v="0"/>
    <n v="79.900000000000006"/>
    <n v="0"/>
    <n v="74.457000000000008"/>
    <x v="2"/>
    <s v="Sí"/>
    <d v="2025-04-13T00:00:00"/>
    <n v="9"/>
  </r>
  <r>
    <s v="DEP-A0-2305"/>
    <x v="0"/>
    <n v="33"/>
    <x v="0"/>
    <s v="Blusa"/>
    <s v="Azul"/>
    <s v="Puma"/>
    <s v="MER-A0-2305"/>
    <d v="2024-05-14T00:00:00"/>
    <x v="0"/>
    <n v="80.2"/>
    <n v="0"/>
    <n v="45.567"/>
    <x v="2"/>
    <s v="Sí"/>
    <d v="2024-11-10T00:00:00"/>
    <n v="6"/>
  </r>
  <r>
    <s v="DEP-A0-3818"/>
    <x v="1"/>
    <n v="31"/>
    <x v="0"/>
    <s v="Zapatos"/>
    <s v="Gris"/>
    <s v="Zara"/>
    <s v="MER-A0-3818"/>
    <d v="2024-09-26T00:00:00"/>
    <x v="0"/>
    <n v="101.36"/>
    <n v="0.2"/>
    <n v="122.06"/>
    <x v="2"/>
    <s v="Sí"/>
    <d v="2025-03-25T00:00:00"/>
    <n v="6"/>
  </r>
  <r>
    <s v="DEP-A0-1702"/>
    <x v="0"/>
    <n v="32"/>
    <x v="0"/>
    <s v="Vestido"/>
    <s v="Blanco"/>
    <s v="Adidas"/>
    <s v="MER-A0-1702"/>
    <d v="2024-12-23T00:00:00"/>
    <x v="0"/>
    <n v="90.18"/>
    <n v="0.1"/>
    <n v="118.88999999999999"/>
    <x v="2"/>
    <s v="Sí"/>
    <d v="2024-07-08T00:00:00"/>
    <n v="6"/>
  </r>
  <r>
    <s v="DEP-A0-1476"/>
    <x v="1"/>
    <n v="32"/>
    <x v="0"/>
    <s v="Zapatos"/>
    <s v="Amarillo"/>
    <s v="Adidas"/>
    <s v="MER-A0-1476"/>
    <d v="2024-06-12T00:00:00"/>
    <x v="0"/>
    <n v="102.1"/>
    <n v="0.2"/>
    <n v="34.56"/>
    <x v="2"/>
    <s v="Sí"/>
    <d v="2024-09-10T00:00:00"/>
    <n v="3"/>
  </r>
  <r>
    <s v="DEP-A0-1088"/>
    <x v="1"/>
    <n v="23"/>
    <x v="0"/>
    <s v="Chaqueta"/>
    <s v="Rojo"/>
    <s v="Nike"/>
    <s v="MER-A0-1088"/>
    <d v="2024-01-24T00:00:00"/>
    <x v="0"/>
    <n v="103.68"/>
    <n v="0.2"/>
    <n v="41.31"/>
    <x v="2"/>
    <s v="Sí"/>
    <d v="2024-01-24T00:00:00"/>
    <n v="9"/>
  </r>
  <r>
    <s v="DEP-A0-2170"/>
    <x v="0"/>
    <n v="28"/>
    <x v="0"/>
    <s v="Camisa"/>
    <s v="Blanco"/>
    <s v="Nike"/>
    <s v="MER-A0-2170"/>
    <d v="2024-02-21T00:00:00"/>
    <x v="0"/>
    <n v="83.7"/>
    <n v="0"/>
    <n v="197.26"/>
    <x v="2"/>
    <s v="Sí"/>
    <d v="2024-02-21T00:00:00"/>
    <n v="6"/>
  </r>
  <r>
    <s v="DEP-A0-2439"/>
    <x v="0"/>
    <n v="25"/>
    <x v="0"/>
    <s v="Vestido"/>
    <s v="Gris"/>
    <s v="Nike"/>
    <s v="MER-A0-2439"/>
    <d v="2024-11-28T00:00:00"/>
    <x v="0"/>
    <n v="83.88"/>
    <n v="0"/>
    <n v="35.200000000000003"/>
    <x v="2"/>
    <s v="Sí"/>
    <d v="2024-10-24T00:00:00"/>
    <n v="6"/>
  </r>
  <r>
    <s v="DEP-A0-4705"/>
    <x v="0"/>
    <n v="31"/>
    <x v="0"/>
    <s v="Blusa"/>
    <s v="Azul"/>
    <s v="Nike"/>
    <s v="MER-A0-4705"/>
    <d v="2024-11-28T00:00:00"/>
    <x v="0"/>
    <n v="83.9"/>
    <n v="0"/>
    <n v="44.905000000000001"/>
    <x v="2"/>
    <s v="Sí"/>
    <d v="2025-01-21T00:00:00"/>
    <n v="6"/>
  </r>
  <r>
    <s v="DEP-A0-3383"/>
    <x v="0"/>
    <n v="31"/>
    <x v="0"/>
    <s v="Vestido"/>
    <s v="Azul"/>
    <s v="Levis"/>
    <s v="MER-A0-3383"/>
    <d v="2024-08-13T00:00:00"/>
    <x v="0"/>
    <n v="120.02"/>
    <n v="0.3"/>
    <n v="106.358"/>
    <x v="2"/>
    <s v="Sí"/>
    <d v="2024-11-11T00:00:00"/>
    <n v="3"/>
  </r>
  <r>
    <s v="DEP-A0-2110"/>
    <x v="1"/>
    <n v="23"/>
    <x v="0"/>
    <s v="Camisa"/>
    <s v="Verde"/>
    <s v="Tommy"/>
    <s v="MER-A0-2110"/>
    <d v="2024-03-08T00:00:00"/>
    <x v="0"/>
    <n v="120.98"/>
    <n v="0.3"/>
    <n v="109.36"/>
    <x v="2"/>
    <s v="Sí"/>
    <d v="2024-03-08T00:00:00"/>
    <n v="9"/>
  </r>
  <r>
    <s v="DEP-A0-3092"/>
    <x v="0"/>
    <n v="19"/>
    <x v="0"/>
    <s v="Falda"/>
    <s v="Amarillo"/>
    <s v="Levis"/>
    <s v="MER-A0-3092"/>
    <d v="2024-08-01T00:00:00"/>
    <x v="0"/>
    <n v="106.36"/>
    <n v="0.2"/>
    <n v="109.179"/>
    <x v="2"/>
    <s v="Sí"/>
    <d v="2025-01-28T00:00:00"/>
    <n v="6"/>
  </r>
  <r>
    <s v="DEP-A0-1352"/>
    <x v="0"/>
    <n v="24"/>
    <x v="0"/>
    <s v="Chaqueta"/>
    <s v="Azul"/>
    <s v="Levis"/>
    <s v="MER-A0-1352"/>
    <d v="2024-01-30T00:00:00"/>
    <x v="0"/>
    <n v="106.5"/>
    <n v="0.2"/>
    <n v="119.88"/>
    <x v="2"/>
    <s v="Sí"/>
    <d v="2024-07-28T00:00:00"/>
    <n v="6"/>
  </r>
  <r>
    <s v="DEP-A0-1890"/>
    <x v="0"/>
    <n v="29"/>
    <x v="0"/>
    <s v="Vestido"/>
    <s v="Verde"/>
    <s v="Zara"/>
    <s v="MER-A0-1890"/>
    <d v="2024-04-26T00:00:00"/>
    <x v="0"/>
    <n v="86.09"/>
    <n v="0"/>
    <n v="122.59100000000001"/>
    <x v="2"/>
    <s v="Sí"/>
    <d v="2024-04-26T00:00:00"/>
    <n v="3"/>
  </r>
  <r>
    <s v="DEP-A0-4768"/>
    <x v="0"/>
    <n v="31"/>
    <x v="0"/>
    <s v="Chaqueta"/>
    <s v="Gris"/>
    <s v="Levis"/>
    <s v="MER-A0-4768"/>
    <d v="2024-10-14T00:00:00"/>
    <x v="0"/>
    <n v="96.03"/>
    <n v="0.1"/>
    <n v="10.26"/>
    <x v="2"/>
    <s v="Sí"/>
    <d v="2024-10-14T00:00:00"/>
    <n v="9"/>
  </r>
  <r>
    <s v="DEP-A0-0529"/>
    <x v="0"/>
    <n v="26"/>
    <x v="0"/>
    <s v="Pantalón"/>
    <s v="Rojo"/>
    <s v="Nike"/>
    <s v="MER-A0-0529"/>
    <d v="2024-04-06T00:00:00"/>
    <x v="0"/>
    <n v="87.16"/>
    <n v="0"/>
    <n v="40.96"/>
    <x v="2"/>
    <s v="Sí"/>
    <d v="2025-01-01T00:00:00"/>
    <n v="9"/>
  </r>
  <r>
    <s v="DEP-A0-4309"/>
    <x v="0"/>
    <n v="31"/>
    <x v="0"/>
    <s v="Vestido"/>
    <s v="Rojo"/>
    <s v="Nike"/>
    <s v="MER-A0-4309"/>
    <d v="2024-11-23T00:00:00"/>
    <x v="0"/>
    <n v="87.68"/>
    <n v="0"/>
    <n v="132.512"/>
    <x v="2"/>
    <s v="Sí"/>
    <d v="2025-05-22T00:00:00"/>
    <n v="6"/>
  </r>
  <r>
    <s v="DEP-A0-1474"/>
    <x v="0"/>
    <n v="22"/>
    <x v="0"/>
    <s v="Falda"/>
    <s v="Azul"/>
    <s v="Puma"/>
    <s v="MER-A0-1474"/>
    <d v="2024-02-27T00:00:00"/>
    <x v="0"/>
    <n v="87.7"/>
    <n v="0"/>
    <n v="62.29"/>
    <x v="2"/>
    <s v="Sí"/>
    <d v="2024-02-27T00:00:00"/>
    <n v="3"/>
  </r>
  <r>
    <s v="DEP-A0-1268"/>
    <x v="0"/>
    <n v="22"/>
    <x v="0"/>
    <s v="Chaqueta"/>
    <s v="Negro"/>
    <s v="Tommy"/>
    <s v="MER-A0-1268"/>
    <d v="2024-09-09T00:00:00"/>
    <x v="0"/>
    <n v="112.39"/>
    <n v="0.2"/>
    <n v="30.175999999999998"/>
    <x v="2"/>
    <s v="Sí"/>
    <d v="2024-09-09T00:00:00"/>
    <n v="12"/>
  </r>
  <r>
    <s v="DEP-A0-1349"/>
    <x v="0"/>
    <n v="22"/>
    <x v="0"/>
    <s v="Falda"/>
    <s v="Amarillo"/>
    <s v="Mango"/>
    <s v="MER-A0-1349"/>
    <d v="2024-08-14T00:00:00"/>
    <x v="0"/>
    <n v="112.6"/>
    <n v="0.2"/>
    <n v="78.164999999999992"/>
    <x v="2"/>
    <s v="Sí"/>
    <d v="2024-08-14T00:00:00"/>
    <n v="9"/>
  </r>
  <r>
    <s v="DEP-A0-0240"/>
    <x v="0"/>
    <n v="22"/>
    <x v="0"/>
    <s v="Vestido"/>
    <s v="Rojo"/>
    <s v="Levis"/>
    <s v="MER-A0-0240"/>
    <d v="2024-06-24T00:00:00"/>
    <x v="0"/>
    <n v="128.88"/>
    <n v="0.3"/>
    <n v="94.25"/>
    <x v="2"/>
    <s v="Sí"/>
    <d v="2025-06-19T00:00:00"/>
    <n v="12"/>
  </r>
  <r>
    <s v="DEP-A0-3751"/>
    <x v="0"/>
    <n v="24"/>
    <x v="0"/>
    <s v="Camisa"/>
    <s v="Blanco"/>
    <s v="Mango"/>
    <s v="MER-A0-3751"/>
    <d v="2024-03-28T00:00:00"/>
    <x v="0"/>
    <n v="101.21"/>
    <n v="0.1"/>
    <n v="33.024000000000001"/>
    <x v="2"/>
    <s v="Sí"/>
    <d v="2024-03-28T00:00:00"/>
    <n v="12"/>
  </r>
  <r>
    <s v="DEP-A0-4354"/>
    <x v="1"/>
    <n v="30"/>
    <x v="0"/>
    <s v="Zapatos"/>
    <s v="Blanco"/>
    <s v="Tommy"/>
    <s v="MER-A0-4354"/>
    <d v="2024-09-14T00:00:00"/>
    <x v="0"/>
    <n v="115.43"/>
    <n v="0.2"/>
    <n v="86.927999999999997"/>
    <x v="2"/>
    <s v="Sí"/>
    <d v="2024-09-14T00:00:00"/>
    <n v="9"/>
  </r>
  <r>
    <s v="DEP-A0-3494"/>
    <x v="0"/>
    <n v="29"/>
    <x v="0"/>
    <s v="Blusa"/>
    <s v="Verde"/>
    <s v="Mango"/>
    <s v="MER-A0-3494"/>
    <d v="2024-07-29T00:00:00"/>
    <x v="0"/>
    <n v="102.77"/>
    <n v="0.1"/>
    <n v="77.042000000000002"/>
    <x v="2"/>
    <s v="Sí"/>
    <d v="2024-07-29T00:00:00"/>
    <n v="9"/>
  </r>
  <r>
    <s v="DEP-A0-2303"/>
    <x v="0"/>
    <n v="25"/>
    <x v="0"/>
    <s v="Vestido"/>
    <s v="Blanco"/>
    <s v="Nike"/>
    <s v="MER-A0-2303"/>
    <d v="2024-11-21T00:00:00"/>
    <x v="0"/>
    <n v="116.36"/>
    <n v="0.2"/>
    <n v="120.51"/>
    <x v="2"/>
    <s v="Sí"/>
    <d v="2025-05-20T00:00:00"/>
    <n v="6"/>
  </r>
  <r>
    <s v="DEP-A0-2368"/>
    <x v="0"/>
    <n v="20"/>
    <x v="0"/>
    <s v="Falda"/>
    <s v="Verde"/>
    <s v="Zara"/>
    <s v="MER-A0-2368"/>
    <d v="2024-04-15T00:00:00"/>
    <x v="0"/>
    <n v="103.55"/>
    <n v="0.1"/>
    <n v="111.681"/>
    <x v="2"/>
    <s v="Sí"/>
    <d v="2024-04-15T00:00:00"/>
    <n v="12"/>
  </r>
  <r>
    <s v="DEP-A0-1646"/>
    <x v="1"/>
    <n v="34"/>
    <x v="0"/>
    <s v="Chaqueta"/>
    <s v="Gris"/>
    <s v="Nike"/>
    <s v="MER-A0-1646"/>
    <d v="2024-02-02T00:00:00"/>
    <x v="0"/>
    <n v="93.72"/>
    <n v="0"/>
    <n v="137.92500000000001"/>
    <x v="2"/>
    <s v="Sí"/>
    <d v="2024-10-29T00:00:00"/>
    <n v="9"/>
  </r>
  <r>
    <s v="DEP-A0-3456"/>
    <x v="0"/>
    <n v="27"/>
    <x v="0"/>
    <s v="Chaqueta"/>
    <s v="Amarillo"/>
    <s v="Zara"/>
    <s v="MER-A0-3456"/>
    <d v="2024-02-24T00:00:00"/>
    <x v="0"/>
    <n v="117.4"/>
    <n v="0.2"/>
    <n v="162.88"/>
    <x v="2"/>
    <s v="Sí"/>
    <d v="2024-11-20T00:00:00"/>
    <n v="9"/>
  </r>
  <r>
    <s v="DEP-A0-2299"/>
    <x v="0"/>
    <n v="18"/>
    <x v="0"/>
    <s v="Falda"/>
    <s v="Negro"/>
    <s v="Levis"/>
    <s v="MER-A0-2299"/>
    <d v="2024-09-18T00:00:00"/>
    <x v="0"/>
    <n v="117.65"/>
    <n v="0.2"/>
    <n v="131.52799999999999"/>
    <x v="2"/>
    <s v="Sí"/>
    <d v="2024-09-18T00:00:00"/>
    <n v="12"/>
  </r>
  <r>
    <s v="DEP-A0-4852"/>
    <x v="0"/>
    <n v="19"/>
    <x v="0"/>
    <s v="Pantalón"/>
    <s v="Azul"/>
    <s v="Puma"/>
    <s v="MER-A0-4852"/>
    <d v="2024-04-05T00:00:00"/>
    <x v="0"/>
    <n v="120.16"/>
    <n v="0.2"/>
    <n v="52.91"/>
    <x v="2"/>
    <s v="Sí"/>
    <d v="2024-04-05T00:00:00"/>
    <n v="6"/>
  </r>
  <r>
    <s v="DEP-A0-3389"/>
    <x v="0"/>
    <n v="21"/>
    <x v="0"/>
    <s v="Falda"/>
    <s v="Blanco"/>
    <s v="Mango"/>
    <s v="MER-A0-3389"/>
    <d v="2024-06-11T00:00:00"/>
    <x v="0"/>
    <n v="139.29"/>
    <n v="0.3"/>
    <n v="54.165999999999997"/>
    <x v="2"/>
    <s v="Sí"/>
    <d v="2025-03-08T00:00:00"/>
    <n v="9"/>
  </r>
  <r>
    <s v="DEP-A0-1503"/>
    <x v="0"/>
    <n v="19"/>
    <x v="0"/>
    <s v="Zapatos"/>
    <s v="Gris"/>
    <s v="Tommy"/>
    <s v="MER-A0-1503"/>
    <d v="2024-03-12T00:00:00"/>
    <x v="0"/>
    <n v="108.63"/>
    <n v="0.1"/>
    <n v="73.768000000000001"/>
    <x v="2"/>
    <s v="Sí"/>
    <d v="2024-03-12T00:00:00"/>
    <n v="9"/>
  </r>
  <r>
    <s v="DEP-A0-4620"/>
    <x v="0"/>
    <n v="32"/>
    <x v="0"/>
    <s v="Falda"/>
    <s v="Verde"/>
    <s v="Zara"/>
    <s v="MER-A0-4620"/>
    <d v="2024-04-13T00:00:00"/>
    <x v="0"/>
    <n v="142.88999999999999"/>
    <n v="0.3"/>
    <n v="159.12"/>
    <x v="2"/>
    <s v="Sí"/>
    <d v="2024-04-13T00:00:00"/>
    <n v="9"/>
  </r>
  <r>
    <s v="DEP-A0-1341"/>
    <x v="1"/>
    <n v="29"/>
    <x v="0"/>
    <s v="Zapatos"/>
    <s v="Negro"/>
    <s v="Zara"/>
    <s v="MER-A0-1341"/>
    <d v="2024-11-20T00:00:00"/>
    <x v="0"/>
    <n v="101.3"/>
    <n v="0"/>
    <n v="25.794"/>
    <x v="2"/>
    <s v="Sí"/>
    <d v="2025-05-19T00:00:00"/>
    <n v="6"/>
  </r>
  <r>
    <s v="DEP-A0-3133"/>
    <x v="0"/>
    <n v="23"/>
    <x v="0"/>
    <s v="Falda"/>
    <s v="Amarillo"/>
    <s v="Nike"/>
    <s v="MER-A0-3133"/>
    <d v="2024-09-09T00:00:00"/>
    <x v="0"/>
    <n v="145.5"/>
    <n v="0.3"/>
    <n v="60.024000000000001"/>
    <x v="2"/>
    <s v="Sí"/>
    <d v="2024-09-09T00:00:00"/>
    <n v="3"/>
  </r>
  <r>
    <s v="DEP-A0-4094"/>
    <x v="0"/>
    <n v="23"/>
    <x v="0"/>
    <s v="Pantalón"/>
    <s v="Gris"/>
    <s v="Mango"/>
    <s v="MER-A0-4094"/>
    <d v="2024-12-09T00:00:00"/>
    <x v="0"/>
    <n v="127.37"/>
    <n v="0.2"/>
    <n v="77.36"/>
    <x v="2"/>
    <s v="Sí"/>
    <d v="2025-06-02T00:00:00"/>
    <n v="12"/>
  </r>
  <r>
    <s v="DEP-A0-3567"/>
    <x v="0"/>
    <n v="19"/>
    <x v="0"/>
    <s v="Pantalón"/>
    <s v="Blanco"/>
    <s v="Tommy"/>
    <s v="MER-A0-3567"/>
    <d v="2024-05-31T00:00:00"/>
    <x v="0"/>
    <n v="101.96"/>
    <n v="0"/>
    <n v="66.679999999999993"/>
    <x v="2"/>
    <s v="Sí"/>
    <d v="2024-05-31T00:00:00"/>
    <n v="6"/>
  </r>
  <r>
    <s v="DEP-A0-1156"/>
    <x v="1"/>
    <n v="23"/>
    <x v="0"/>
    <s v="Camisa"/>
    <s v="Negro"/>
    <s v="Tommy"/>
    <s v="MER-A0-1156"/>
    <d v="2024-11-22T00:00:00"/>
    <x v="0"/>
    <n v="127.48"/>
    <n v="0.2"/>
    <n v="75.302999999999997"/>
    <x v="2"/>
    <s v="Sí"/>
    <d v="2025-08-19T00:00:00"/>
    <n v="9"/>
  </r>
  <r>
    <s v="DEP-A0-0662"/>
    <x v="1"/>
    <n v="33"/>
    <x v="0"/>
    <s v="Pantalón"/>
    <s v="Azul"/>
    <s v="Zara"/>
    <s v="MER-A0-0662"/>
    <d v="2024-05-23T00:00:00"/>
    <x v="0"/>
    <n v="127.91"/>
    <n v="0.2"/>
    <n v="66.787000000000006"/>
    <x v="2"/>
    <s v="Sí"/>
    <d v="2025-05-18T00:00:00"/>
    <n v="12"/>
  </r>
  <r>
    <s v="DEP-A0-2851"/>
    <x v="0"/>
    <n v="27"/>
    <x v="0"/>
    <s v="Camisa"/>
    <s v="Rojo"/>
    <s v="Mango"/>
    <s v="MER-A0-2851"/>
    <d v="2024-02-10T00:00:00"/>
    <x v="0"/>
    <n v="146.43"/>
    <n v="0.3"/>
    <n v="105.91200000000001"/>
    <x v="2"/>
    <s v="Sí"/>
    <d v="2025-02-04T00:00:00"/>
    <n v="12"/>
  </r>
  <r>
    <s v="DEP-A0-0750"/>
    <x v="0"/>
    <n v="30"/>
    <x v="0"/>
    <s v="Falda"/>
    <s v="Rojo"/>
    <s v="Adidas"/>
    <s v="MER-A0-0750"/>
    <d v="2024-09-02T00:00:00"/>
    <x v="0"/>
    <n v="128.13999999999999"/>
    <n v="0.2"/>
    <n v="97.16"/>
    <x v="2"/>
    <s v="Sí"/>
    <d v="2025-05-30T00:00:00"/>
    <n v="9"/>
  </r>
  <r>
    <s v="DEP-A0-4915"/>
    <x v="0"/>
    <n v="30"/>
    <x v="0"/>
    <s v="Chaqueta"/>
    <s v="Negro"/>
    <s v="Levis"/>
    <s v="MER-A0-4915"/>
    <d v="2024-07-12T00:00:00"/>
    <x v="0"/>
    <n v="114.75"/>
    <n v="0.1"/>
    <n v="140.30000000000001"/>
    <x v="2"/>
    <s v="Sí"/>
    <d v="2025-07-07T00:00:00"/>
    <n v="12"/>
  </r>
  <r>
    <s v="DEP-A0-2530"/>
    <x v="0"/>
    <n v="28"/>
    <x v="0"/>
    <s v="Zapatos"/>
    <s v="Rojo"/>
    <s v="Adidas"/>
    <s v="MER-A0-2530"/>
    <d v="2024-03-23T00:00:00"/>
    <x v="0"/>
    <n v="103.97"/>
    <n v="0"/>
    <n v="112.53900000000002"/>
    <x v="2"/>
    <s v="Sí"/>
    <d v="2024-03-23T00:00:00"/>
    <n v="3"/>
  </r>
  <r>
    <s v="DEP-A0-2992"/>
    <x v="0"/>
    <n v="18"/>
    <x v="0"/>
    <s v="Blusa"/>
    <s v="Blanco"/>
    <s v="Nike"/>
    <s v="MER-A0-2992"/>
    <d v="2024-05-07T00:00:00"/>
    <x v="0"/>
    <n v="150.28"/>
    <n v="0.3"/>
    <n v="142.77600000000001"/>
    <x v="2"/>
    <s v="Sí"/>
    <d v="2024-05-07T00:00:00"/>
    <n v="9"/>
  </r>
  <r>
    <s v="DEP-A0-1185"/>
    <x v="1"/>
    <n v="27"/>
    <x v="0"/>
    <s v="Zapatos"/>
    <s v="Verde"/>
    <s v="Mango"/>
    <s v="MER-A0-1185"/>
    <d v="2024-04-26T00:00:00"/>
    <x v="0"/>
    <n v="132.34"/>
    <n v="0.2"/>
    <n v="177.55199999999999"/>
    <x v="2"/>
    <s v="Sí"/>
    <d v="2024-04-26T00:00:00"/>
    <n v="9"/>
  </r>
  <r>
    <s v="DEP-A0-4169"/>
    <x v="0"/>
    <n v="33"/>
    <x v="0"/>
    <s v="Zapatos"/>
    <s v="Negro"/>
    <s v="Levis"/>
    <s v="MER-A0-4169"/>
    <d v="2024-07-26T00:00:00"/>
    <x v="0"/>
    <n v="132.88"/>
    <n v="0.2"/>
    <n v="14"/>
    <x v="2"/>
    <s v="Sí"/>
    <d v="2024-07-26T00:00:00"/>
    <n v="12"/>
  </r>
  <r>
    <s v="DEP-A0-0659"/>
    <x v="0"/>
    <n v="31"/>
    <x v="0"/>
    <s v="Vestido"/>
    <s v="Rojo"/>
    <s v="Mango"/>
    <s v="MER-A0-0659"/>
    <d v="2024-08-25T00:00:00"/>
    <x v="0"/>
    <n v="151.96"/>
    <n v="0.3"/>
    <n v="14.251999999999999"/>
    <x v="2"/>
    <s v="Sí"/>
    <d v="2025-05-22T00:00:00"/>
    <n v="9"/>
  </r>
  <r>
    <s v="DEP-A0-3029"/>
    <x v="0"/>
    <n v="21"/>
    <x v="0"/>
    <s v="Falda"/>
    <s v="Azul"/>
    <s v="Levis"/>
    <s v="MER-A0-3029"/>
    <d v="2024-10-27T00:00:00"/>
    <x v="0"/>
    <n v="107.11"/>
    <n v="0"/>
    <n v="33.678000000000004"/>
    <x v="2"/>
    <s v="Sí"/>
    <d v="2025-04-25T00:00:00"/>
    <n v="6"/>
  </r>
  <r>
    <s v="DEP-A0-4392"/>
    <x v="0"/>
    <n v="28"/>
    <x v="0"/>
    <s v="Pantalón"/>
    <s v="Blanco"/>
    <s v="Adidas"/>
    <s v="MER-A0-4392"/>
    <d v="2024-04-16T00:00:00"/>
    <x v="0"/>
    <n v="107.14"/>
    <n v="0"/>
    <n v="34.200000000000003"/>
    <x v="2"/>
    <s v="Sí"/>
    <d v="2024-07-15T00:00:00"/>
    <n v="3"/>
  </r>
  <r>
    <s v="DEP-A0-1898"/>
    <x v="1"/>
    <n v="19"/>
    <x v="0"/>
    <s v="Pantalón"/>
    <s v="Rojo"/>
    <s v="Tommy"/>
    <s v="MER-A0-1898"/>
    <d v="2024-02-02T00:00:00"/>
    <x v="0"/>
    <n v="119.76"/>
    <n v="0.1"/>
    <n v="60.912000000000006"/>
    <x v="2"/>
    <s v="Sí"/>
    <d v="2024-02-02T00:00:00"/>
    <n v="9"/>
  </r>
  <r>
    <s v="DEP-A0-0792"/>
    <x v="1"/>
    <n v="31"/>
    <x v="0"/>
    <s v="Camisa"/>
    <s v="Negro"/>
    <s v="Levis"/>
    <s v="MER-A0-0792"/>
    <d v="2024-08-12T00:00:00"/>
    <x v="0"/>
    <n v="154.03"/>
    <n v="0.3"/>
    <n v="47.543999999999997"/>
    <x v="2"/>
    <s v="Sí"/>
    <d v="2025-02-08T00:00:00"/>
    <n v="6"/>
  </r>
  <r>
    <s v="DEP-A0-0213"/>
    <x v="0"/>
    <n v="30"/>
    <x v="0"/>
    <s v="Falda"/>
    <s v="Amarillo"/>
    <s v="Levis"/>
    <s v="MER-A0-0213"/>
    <d v="2024-04-02T00:00:00"/>
    <x v="0"/>
    <n v="107.92"/>
    <n v="0"/>
    <n v="61.739999999999995"/>
    <x v="2"/>
    <s v="Sí"/>
    <d v="2024-07-01T00:00:00"/>
    <n v="3"/>
  </r>
  <r>
    <s v="DEP-A0-4521"/>
    <x v="0"/>
    <n v="25"/>
    <x v="0"/>
    <s v="Pantalón"/>
    <s v="Azul"/>
    <s v="Puma"/>
    <s v="MER-A0-4521"/>
    <d v="2024-11-28T00:00:00"/>
    <x v="0"/>
    <n v="108.88"/>
    <n v="0"/>
    <n v="65.84"/>
    <x v="2"/>
    <s v="Sí"/>
    <d v="2025-04-24T00:00:00"/>
    <n v="9"/>
  </r>
  <r>
    <s v="DEP-A0-1136"/>
    <x v="1"/>
    <n v="30"/>
    <x v="0"/>
    <s v="Zapatos"/>
    <s v="Amarillo"/>
    <s v="Nike"/>
    <s v="MER-A0-1136"/>
    <d v="2024-01-30T00:00:00"/>
    <x v="0"/>
    <n v="122.63"/>
    <n v="0.1"/>
    <n v="93.97"/>
    <x v="2"/>
    <s v="Sí"/>
    <d v="2024-01-30T00:00:00"/>
    <n v="9"/>
  </r>
  <r>
    <s v="DEP-A0-3300"/>
    <x v="0"/>
    <n v="33"/>
    <x v="0"/>
    <s v="Blusa"/>
    <s v="Blanco"/>
    <s v="Adidas"/>
    <s v="MER-A0-3300"/>
    <d v="2024-03-02T00:00:00"/>
    <x v="0"/>
    <n v="123.42"/>
    <n v="0.1"/>
    <n v="117.61200000000001"/>
    <x v="2"/>
    <s v="Sí"/>
    <d v="2025-02-25T00:00:00"/>
    <n v="12"/>
  </r>
  <r>
    <s v="DEP-A0-3109"/>
    <x v="1"/>
    <n v="21"/>
    <x v="0"/>
    <s v="Chaqueta"/>
    <s v="Verde"/>
    <s v="Levis"/>
    <s v="MER-A0-3109"/>
    <d v="2024-01-18T00:00:00"/>
    <x v="0"/>
    <n v="124.28"/>
    <n v="0.1"/>
    <n v="143.10899999999998"/>
    <x v="2"/>
    <s v="Sí"/>
    <d v="2024-01-18T00:00:00"/>
    <n v="12"/>
  </r>
  <r>
    <s v="DEP-A0-3793"/>
    <x v="0"/>
    <n v="19"/>
    <x v="0"/>
    <s v="Chaqueta"/>
    <s v="Blanco"/>
    <s v="Levis"/>
    <s v="MER-A0-3793"/>
    <d v="2024-01-17T00:00:00"/>
    <x v="0"/>
    <n v="124.4"/>
    <n v="0.1"/>
    <n v="147.12299999999999"/>
    <x v="2"/>
    <s v="Sí"/>
    <d v="2024-01-17T00:00:00"/>
    <n v="3"/>
  </r>
  <r>
    <s v="DEP-A0-0906"/>
    <x v="0"/>
    <n v="35"/>
    <x v="0"/>
    <s v="Falda"/>
    <s v="Azul"/>
    <s v="Zara"/>
    <s v="MER-A0-0906"/>
    <d v="2024-02-13T00:00:00"/>
    <x v="0"/>
    <n v="124.73"/>
    <n v="0.1"/>
    <n v="141.864"/>
    <x v="2"/>
    <s v="Sí"/>
    <d v="2024-02-13T00:00:00"/>
    <n v="9"/>
  </r>
  <r>
    <s v="DEP-A0-3385"/>
    <x v="1"/>
    <n v="20"/>
    <x v="0"/>
    <s v="Pantalón"/>
    <s v="Gris"/>
    <s v="Nike"/>
    <s v="MER-A0-3385"/>
    <d v="2024-02-05T00:00:00"/>
    <x v="0"/>
    <n v="161.65"/>
    <n v="0.3"/>
    <n v="7.7"/>
    <x v="2"/>
    <s v="Sí"/>
    <d v="2024-02-05T00:00:00"/>
    <n v="3"/>
  </r>
  <r>
    <s v="DEP-A0-3114"/>
    <x v="0"/>
    <n v="29"/>
    <x v="0"/>
    <s v="Camisa"/>
    <s v="Rojo"/>
    <s v="Zara"/>
    <s v="MER-A0-3114"/>
    <d v="2024-02-25T00:00:00"/>
    <x v="0"/>
    <n v="161.88"/>
    <n v="0.3"/>
    <n v="14.59"/>
    <x v="2"/>
    <s v="Sí"/>
    <d v="2024-02-25T00:00:00"/>
    <n v="9"/>
  </r>
  <r>
    <s v="DEP-A0-4403"/>
    <x v="1"/>
    <n v="19"/>
    <x v="0"/>
    <s v="Pantalón"/>
    <s v="Negro"/>
    <s v="Mango"/>
    <s v="MER-A0-4403"/>
    <d v="2024-11-30T00:00:00"/>
    <x v="0"/>
    <n v="113.34"/>
    <n v="0"/>
    <n v="14.292000000000002"/>
    <x v="2"/>
    <s v="Sí"/>
    <d v="2025-05-29T00:00:00"/>
    <n v="6"/>
  </r>
  <r>
    <s v="DEP-A0-4204"/>
    <x v="0"/>
    <n v="35"/>
    <x v="0"/>
    <s v="Blusa"/>
    <s v="Negro"/>
    <s v="Zara"/>
    <s v="MER-A0-4204"/>
    <d v="2024-10-05T00:00:00"/>
    <x v="0"/>
    <n v="141.91999999999999"/>
    <n v="0.2"/>
    <n v="17.224"/>
    <x v="2"/>
    <s v="Sí"/>
    <d v="2024-10-05T00:00:00"/>
    <n v="9"/>
  </r>
  <r>
    <s v="DEP-A0-3431"/>
    <x v="0"/>
    <n v="21"/>
    <x v="0"/>
    <s v="Falda"/>
    <s v="Azul"/>
    <s v="Zara"/>
    <s v="MER-A0-3431"/>
    <d v="2024-12-21T00:00:00"/>
    <x v="0"/>
    <n v="142.34"/>
    <n v="0.2"/>
    <n v="34.224000000000004"/>
    <x v="2"/>
    <s v="Sí"/>
    <d v="2025-03-21T00:00:00"/>
    <n v="3"/>
  </r>
  <r>
    <s v="DEP-A0-4011"/>
    <x v="0"/>
    <n v="22"/>
    <x v="0"/>
    <s v="Blusa"/>
    <s v="Amarillo"/>
    <s v="Levis"/>
    <s v="MER-A0-4011"/>
    <d v="2024-11-28T00:00:00"/>
    <x v="0"/>
    <n v="163.35"/>
    <n v="0.3"/>
    <n v="32.983999999999995"/>
    <x v="2"/>
    <s v="Sí"/>
    <d v="2024-09-29T00:00:00"/>
    <n v="3"/>
  </r>
  <r>
    <s v="DEP-A0-2129"/>
    <x v="1"/>
    <n v="26"/>
    <x v="0"/>
    <s v="Zapatos"/>
    <s v="Blanco"/>
    <s v="Zara"/>
    <s v="MER-A0-2129"/>
    <d v="2024-09-12T00:00:00"/>
    <x v="0"/>
    <n v="163.78"/>
    <n v="0.3"/>
    <n v="50.231999999999999"/>
    <x v="2"/>
    <s v="Sí"/>
    <d v="2024-09-12T00:00:00"/>
    <n v="9"/>
  </r>
  <r>
    <s v="DEP-A0-0749"/>
    <x v="0"/>
    <n v="31"/>
    <x v="0"/>
    <s v="Chaqueta"/>
    <s v="Gris"/>
    <s v="Puma"/>
    <s v="MER-A0-0749"/>
    <d v="2024-11-01T00:00:00"/>
    <x v="0"/>
    <n v="117.49"/>
    <n v="0"/>
    <n v="11.193000000000001"/>
    <x v="2"/>
    <s v="Sí"/>
    <d v="2025-07-29T00:00:00"/>
    <n v="9"/>
  </r>
  <r>
    <s v="DEP-A0-4853"/>
    <x v="0"/>
    <n v="32"/>
    <x v="0"/>
    <s v="Falda"/>
    <s v="Blanco"/>
    <s v="Zara"/>
    <s v="MER-A0-4853"/>
    <d v="2024-05-03T00:00:00"/>
    <x v="0"/>
    <n v="131.02000000000001"/>
    <n v="0.1"/>
    <n v="11.213999999999999"/>
    <x v="2"/>
    <s v="Sí"/>
    <d v="2024-10-30T00:00:00"/>
    <n v="6"/>
  </r>
  <r>
    <s v="DEP-A0-2351"/>
    <x v="0"/>
    <n v="28"/>
    <x v="0"/>
    <s v="Falda"/>
    <s v="Gris"/>
    <s v="Puma"/>
    <s v="MER-A0-2351"/>
    <d v="2024-05-13T00:00:00"/>
    <x v="0"/>
    <n v="117.98"/>
    <n v="0"/>
    <n v="11.577999999999999"/>
    <x v="2"/>
    <s v="Sí"/>
    <d v="2024-08-11T00:00:00"/>
    <n v="3"/>
  </r>
  <r>
    <s v="DEP-A0-3617"/>
    <x v="0"/>
    <n v="21"/>
    <x v="0"/>
    <s v="Zapatos"/>
    <s v="Rojo"/>
    <s v="Tommy"/>
    <s v="MER-A0-3617"/>
    <d v="2024-02-04T00:00:00"/>
    <x v="0"/>
    <n v="131.18"/>
    <n v="0.1"/>
    <n v="11.943999999999999"/>
    <x v="2"/>
    <s v="Sí"/>
    <d v="2024-02-04T00:00:00"/>
    <n v="9"/>
  </r>
  <r>
    <s v="DEP-A0-3638"/>
    <x v="0"/>
    <n v="26"/>
    <x v="0"/>
    <s v="Pantalón"/>
    <s v="Verde"/>
    <s v="Mango"/>
    <s v="MER-A0-3638"/>
    <d v="2024-12-26T00:00:00"/>
    <x v="0"/>
    <n v="118.1"/>
    <n v="0"/>
    <n v="11.97"/>
    <x v="2"/>
    <s v="Sí"/>
    <d v="2025-09-22T00:00:00"/>
    <n v="9"/>
  </r>
  <r>
    <s v="DEP-A0-2576"/>
    <x v="0"/>
    <n v="24"/>
    <x v="0"/>
    <s v="Falda"/>
    <s v="Negro"/>
    <s v="Zara"/>
    <s v="MER-A0-2576"/>
    <d v="2024-06-04T00:00:00"/>
    <x v="0"/>
    <n v="149.79"/>
    <n v="0.2"/>
    <n v="17.064"/>
    <x v="2"/>
    <s v="Sí"/>
    <d v="2024-12-01T00:00:00"/>
    <n v="6"/>
  </r>
  <r>
    <s v="DEP-A0-1129"/>
    <x v="0"/>
    <n v="19"/>
    <x v="0"/>
    <s v="Blusa"/>
    <s v="Verde"/>
    <s v="Puma"/>
    <s v="MER-A0-1129"/>
    <d v="2024-09-15T00:00:00"/>
    <x v="0"/>
    <n v="150.27000000000001"/>
    <n v="0.2"/>
    <n v="20.808"/>
    <x v="2"/>
    <s v="Sí"/>
    <d v="2025-06-12T00:00:00"/>
    <n v="9"/>
  </r>
  <r>
    <s v="DEP-A0-0118"/>
    <x v="1"/>
    <n v="19"/>
    <x v="0"/>
    <s v="Pantalón"/>
    <s v="Rojo"/>
    <s v="Puma"/>
    <s v="MER-A0-0118"/>
    <d v="2024-04-06T00:00:00"/>
    <x v="0"/>
    <n v="121.86"/>
    <n v="0"/>
    <n v="23.849"/>
    <x v="2"/>
    <s v="Sí"/>
    <d v="2024-04-06T00:00:00"/>
    <n v="3"/>
  </r>
  <r>
    <s v="DEP-A0-3756"/>
    <x v="0"/>
    <n v="32"/>
    <x v="0"/>
    <s v="Camisa"/>
    <s v="Rojo"/>
    <s v="Adidas"/>
    <s v="MER-A0-3756"/>
    <d v="2024-05-02T00:00:00"/>
    <x v="0"/>
    <n v="136.94"/>
    <n v="0.1"/>
    <n v="28.811999999999998"/>
    <x v="2"/>
    <s v="Sí"/>
    <d v="2025-04-27T00:00:00"/>
    <n v="12"/>
  </r>
  <r>
    <s v="DEP-A0-2628"/>
    <x v="0"/>
    <n v="25"/>
    <x v="0"/>
    <s v="Falda"/>
    <s v="Azul"/>
    <s v="Mango"/>
    <s v="MER-A0-2628"/>
    <d v="2024-08-14T00:00:00"/>
    <x v="0"/>
    <n v="176.12"/>
    <n v="0.3"/>
    <n v="28.94"/>
    <x v="2"/>
    <s v="Sí"/>
    <d v="2024-11-12T00:00:00"/>
    <n v="3"/>
  </r>
  <r>
    <s v="DEP-A0-1005"/>
    <x v="0"/>
    <n v="30"/>
    <x v="0"/>
    <s v="Zapatos"/>
    <s v="Azul"/>
    <s v="Levis"/>
    <s v="MER-A0-1005"/>
    <d v="2024-02-05T00:00:00"/>
    <x v="0"/>
    <n v="137.46"/>
    <n v="0.1"/>
    <n v="30.344000000000001"/>
    <x v="2"/>
    <s v="Sí"/>
    <d v="2024-02-05T00:00:00"/>
    <n v="12"/>
  </r>
  <r>
    <s v="DEP-A0-0354"/>
    <x v="0"/>
    <n v="19"/>
    <x v="0"/>
    <s v="Chaqueta"/>
    <s v="Verde"/>
    <s v="Puma"/>
    <s v="MER-A0-0354"/>
    <d v="2024-02-07T00:00:00"/>
    <x v="0"/>
    <n v="124.61"/>
    <n v="0"/>
    <n v="32.6"/>
    <x v="2"/>
    <s v="Sí"/>
    <d v="2025-02-01T00:00:00"/>
    <n v="12"/>
  </r>
  <r>
    <s v="DEP-A0-2213"/>
    <x v="0"/>
    <n v="35"/>
    <x v="0"/>
    <s v="Pantalón"/>
    <s v="Gris"/>
    <s v="Mango"/>
    <s v="MER-A0-2213"/>
    <d v="2024-09-02T00:00:00"/>
    <x v="0"/>
    <n v="178.74"/>
    <n v="0.3"/>
    <n v="34.97"/>
    <x v="2"/>
    <s v="Sí"/>
    <d v="2025-05-30T00:00:00"/>
    <n v="9"/>
  </r>
  <r>
    <s v="DEP-A0-0919"/>
    <x v="0"/>
    <n v="21"/>
    <x v="0"/>
    <s v="Falda"/>
    <s v="Negro"/>
    <s v="Zara"/>
    <s v="MER-A0-0919"/>
    <d v="2024-12-23T00:00:00"/>
    <x v="0"/>
    <n v="139.81"/>
    <n v="0.1"/>
    <n v="37.475999999999999"/>
    <x v="2"/>
    <s v="Sí"/>
    <d v="2024-07-02T00:00:00"/>
    <n v="6"/>
  </r>
  <r>
    <s v="DEP-A0-2988"/>
    <x v="0"/>
    <n v="28"/>
    <x v="0"/>
    <s v="Zapatos"/>
    <s v="Rojo"/>
    <s v="Puma"/>
    <s v="MER-A0-2988"/>
    <d v="2024-11-14T00:00:00"/>
    <x v="0"/>
    <n v="179.81"/>
    <n v="0.3"/>
    <n v="38.369999999999997"/>
    <x v="2"/>
    <s v="Sí"/>
    <d v="2025-05-13T00:00:00"/>
    <n v="6"/>
  </r>
  <r>
    <s v="DEP-A0-1034"/>
    <x v="0"/>
    <n v="29"/>
    <x v="0"/>
    <s v="Zapatos"/>
    <s v="Blanco"/>
    <s v="Adidas"/>
    <s v="MER-A0-1034"/>
    <d v="2024-04-22T00:00:00"/>
    <x v="0"/>
    <n v="125.96"/>
    <n v="0"/>
    <n v="39.734999999999999"/>
    <x v="2"/>
    <s v="Sí"/>
    <d v="2024-04-22T00:00:00"/>
    <n v="9"/>
  </r>
  <r>
    <s v="DEP-A0-1107"/>
    <x v="0"/>
    <n v="35"/>
    <x v="0"/>
    <s v="Chaqueta"/>
    <s v="Gris"/>
    <s v="Adidas"/>
    <s v="MER-A0-1107"/>
    <d v="2024-09-13T00:00:00"/>
    <x v="0"/>
    <n v="140.59"/>
    <n v="0.1"/>
    <n v="43.4"/>
    <x v="2"/>
    <s v="Sí"/>
    <d v="2024-12-12T00:00:00"/>
    <n v="3"/>
  </r>
  <r>
    <s v="DEP-A0-3754"/>
    <x v="1"/>
    <n v="21"/>
    <x v="0"/>
    <s v="Pantalón"/>
    <s v="Azul"/>
    <s v="Zara"/>
    <s v="MER-A0-3754"/>
    <d v="2024-03-15T00:00:00"/>
    <x v="0"/>
    <n v="182.11"/>
    <n v="0.3"/>
    <n v="45.49"/>
    <x v="2"/>
    <s v="Sí"/>
    <d v="2025-03-10T00:00:00"/>
    <n v="12"/>
  </r>
  <r>
    <s v="DEP-A0-0140"/>
    <x v="0"/>
    <n v="18"/>
    <x v="0"/>
    <s v="Blusa"/>
    <s v="Amarillo"/>
    <s v="Adidas"/>
    <s v="MER-A0-0140"/>
    <d v="2024-10-09T00:00:00"/>
    <x v="0"/>
    <n v="159.59"/>
    <n v="0.2"/>
    <n v="45.936"/>
    <x v="2"/>
    <s v="Sí"/>
    <d v="2025-04-07T00:00:00"/>
    <n v="6"/>
  </r>
  <r>
    <s v="DEP-A0-3840"/>
    <x v="0"/>
    <n v="34"/>
    <x v="0"/>
    <s v="Chaqueta"/>
    <s v="Amarillo"/>
    <s v="Levis"/>
    <s v="MER-A0-3840"/>
    <d v="2024-03-19T00:00:00"/>
    <x v="0"/>
    <n v="128.56"/>
    <n v="0"/>
    <n v="49.36"/>
    <x v="2"/>
    <s v="Sí"/>
    <d v="2024-09-15T00:00:00"/>
    <n v="6"/>
  </r>
  <r>
    <s v="DEP-A0-2459"/>
    <x v="0"/>
    <n v="29"/>
    <x v="0"/>
    <s v="Zapatos"/>
    <s v="Rojo"/>
    <s v="Adidas"/>
    <s v="MER-A0-2459"/>
    <d v="2024-11-28T00:00:00"/>
    <x v="0"/>
    <n v="160.82"/>
    <n v="0.2"/>
    <n v="50.94"/>
    <x v="2"/>
    <s v="Sí"/>
    <d v="2025-04-21T00:00:00"/>
    <n v="9"/>
  </r>
  <r>
    <s v="DEP-A0-1091"/>
    <x v="0"/>
    <n v="30"/>
    <x v="0"/>
    <s v="Vestido"/>
    <s v="Verde"/>
    <s v="Mango"/>
    <s v="MER-A0-1091"/>
    <d v="2024-02-03T00:00:00"/>
    <x v="0"/>
    <n v="184.79"/>
    <n v="0.3"/>
    <n v="52.614000000000004"/>
    <x v="2"/>
    <s v="Sí"/>
    <d v="2024-10-30T00:00:00"/>
    <n v="9"/>
  </r>
  <r>
    <s v="DEP-A0-3322"/>
    <x v="1"/>
    <n v="24"/>
    <x v="0"/>
    <s v="Chaqueta"/>
    <s v="Gris"/>
    <s v="Mango"/>
    <s v="MER-A0-3322"/>
    <d v="2024-01-24T00:00:00"/>
    <x v="0"/>
    <n v="130.30000000000001"/>
    <n v="0"/>
    <n v="55.335999999999999"/>
    <x v="2"/>
    <s v="Sí"/>
    <d v="2024-07-22T00:00:00"/>
    <n v="6"/>
  </r>
  <r>
    <s v="DEP-A0-4751"/>
    <x v="0"/>
    <n v="31"/>
    <x v="0"/>
    <s v="Pantalón"/>
    <s v="Verde"/>
    <s v="Tommy"/>
    <s v="MER-A0-4751"/>
    <d v="2024-11-22T00:00:00"/>
    <x v="0"/>
    <n v="163.07"/>
    <n v="0.2"/>
    <n v="55.527999999999999"/>
    <x v="2"/>
    <s v="Sí"/>
    <d v="2025-11-17T00:00:00"/>
    <n v="12"/>
  </r>
  <r>
    <s v="DEP-A0-1267"/>
    <x v="0"/>
    <n v="23"/>
    <x v="0"/>
    <s v="Chaqueta"/>
    <s v="Blanco"/>
    <s v="Mango"/>
    <s v="MER-A0-1267"/>
    <d v="2024-07-30T00:00:00"/>
    <x v="0"/>
    <n v="163.74"/>
    <n v="0.2"/>
    <n v="59.031000000000006"/>
    <x v="2"/>
    <s v="Sí"/>
    <d v="2024-10-28T00:00:00"/>
    <n v="3"/>
  </r>
  <r>
    <s v="DEP-A0-3767"/>
    <x v="0"/>
    <n v="31"/>
    <x v="0"/>
    <s v="Falda"/>
    <s v="Blanco"/>
    <s v="Mango"/>
    <s v="MER-A0-3767"/>
    <d v="2024-04-16T00:00:00"/>
    <x v="0"/>
    <n v="187.4"/>
    <n v="0.3"/>
    <n v="60.191999999999993"/>
    <x v="2"/>
    <s v="Sí"/>
    <d v="2025-04-11T00:00:00"/>
    <n v="12"/>
  </r>
  <r>
    <s v="DEP-A0-4926"/>
    <x v="0"/>
    <n v="31"/>
    <x v="0"/>
    <s v="Blusa"/>
    <s v="Rojo"/>
    <s v="Levis"/>
    <s v="MER-A0-4926"/>
    <d v="2024-02-08T00:00:00"/>
    <x v="0"/>
    <n v="164.29"/>
    <n v="0.2"/>
    <n v="62.352000000000004"/>
    <x v="2"/>
    <s v="Sí"/>
    <d v="2025-02-02T00:00:00"/>
    <n v="12"/>
  </r>
  <r>
    <s v="DEP-A0-2690"/>
    <x v="0"/>
    <n v="22"/>
    <x v="0"/>
    <s v="Vestido"/>
    <s v="Negro"/>
    <s v="Mango"/>
    <s v="MER-A0-2690"/>
    <d v="2024-08-15T00:00:00"/>
    <x v="0"/>
    <n v="165.9"/>
    <n v="0.2"/>
    <n v="65.600999999999999"/>
    <x v="2"/>
    <s v="Sí"/>
    <d v="2025-05-12T00:00:00"/>
    <n v="9"/>
  </r>
  <r>
    <s v="DEP-A0-4391"/>
    <x v="0"/>
    <n v="28"/>
    <x v="0"/>
    <s v="Blusa"/>
    <s v="Rojo"/>
    <s v="Nike"/>
    <s v="MER-A0-4391"/>
    <d v="2024-07-29T00:00:00"/>
    <x v="0"/>
    <n v="190.21"/>
    <n v="0.3"/>
    <n v="69.81"/>
    <x v="2"/>
    <s v="Sí"/>
    <d v="2025-01-25T00:00:00"/>
    <n v="6"/>
  </r>
  <r>
    <s v="DEP-A0-3196"/>
    <x v="0"/>
    <n v="32"/>
    <x v="0"/>
    <s v="Chaqueta"/>
    <s v="Gris"/>
    <s v="Tommy"/>
    <s v="MER-A0-3196"/>
    <d v="2024-11-22T00:00:00"/>
    <x v="0"/>
    <n v="166.74"/>
    <n v="0.2"/>
    <n v="69.847999999999999"/>
    <x v="2"/>
    <s v="Sí"/>
    <d v="2024-09-20T00:00:00"/>
    <n v="3"/>
  </r>
  <r>
    <s v="DEP-A0-0189"/>
    <x v="1"/>
    <n v="25"/>
    <x v="0"/>
    <s v="Pantalón"/>
    <s v="Amarillo"/>
    <s v="Puma"/>
    <s v="MER-A0-0189"/>
    <d v="2024-07-30T00:00:00"/>
    <x v="0"/>
    <n v="167.19"/>
    <n v="0.2"/>
    <n v="70.581000000000003"/>
    <x v="2"/>
    <s v="Sí"/>
    <d v="2024-07-30T00:00:00"/>
    <n v="6"/>
  </r>
  <r>
    <s v="DEP-A0-0918"/>
    <x v="0"/>
    <n v="24"/>
    <x v="0"/>
    <s v="Falda"/>
    <s v="Negro"/>
    <s v="Nike"/>
    <s v="MER-A0-0918"/>
    <d v="2024-03-19T00:00:00"/>
    <x v="0"/>
    <n v="133.85"/>
    <n v="0"/>
    <n v="70.64"/>
    <x v="2"/>
    <s v="Sí"/>
    <d v="2024-09-15T00:00:00"/>
    <n v="6"/>
  </r>
  <r>
    <s v="DEP-A0-0106"/>
    <x v="0"/>
    <n v="23"/>
    <x v="0"/>
    <s v="Falda"/>
    <s v="Gris"/>
    <s v="Puma"/>
    <s v="MER-A0-0106"/>
    <d v="2024-07-12T00:00:00"/>
    <x v="0"/>
    <n v="192.25"/>
    <n v="0.3"/>
    <n v="74.465999999999994"/>
    <x v="2"/>
    <s v="Sí"/>
    <d v="2024-07-12T00:00:00"/>
    <n v="9"/>
  </r>
  <r>
    <s v="DEP-A0-1356"/>
    <x v="1"/>
    <n v="18"/>
    <x v="0"/>
    <s v="Pantalón"/>
    <s v="Gris"/>
    <s v="Levis"/>
    <s v="MER-A0-1356"/>
    <d v="2024-03-03T00:00:00"/>
    <x v="0"/>
    <n v="170.05"/>
    <n v="0.2"/>
    <n v="80.430000000000007"/>
    <x v="2"/>
    <s v="Sí"/>
    <d v="2024-06-01T00:00:00"/>
    <n v="3"/>
  </r>
  <r>
    <s v="DEP-A0-4662"/>
    <x v="1"/>
    <n v="32"/>
    <x v="0"/>
    <s v="Chaqueta"/>
    <s v="Verde"/>
    <s v="Puma"/>
    <s v="MER-A0-4662"/>
    <d v="2024-03-13T00:00:00"/>
    <x v="0"/>
    <n v="151.44"/>
    <n v="0.1"/>
    <n v="81.06"/>
    <x v="2"/>
    <s v="Sí"/>
    <d v="2024-06-11T00:00:00"/>
    <n v="3"/>
  </r>
  <r>
    <s v="DEP-A0-0554"/>
    <x v="0"/>
    <n v="18"/>
    <x v="0"/>
    <s v="Falda"/>
    <s v="Azul"/>
    <s v="Mango"/>
    <s v="MER-A0-0554"/>
    <d v="2024-04-13T00:00:00"/>
    <x v="0"/>
    <n v="172.07"/>
    <n v="0.2"/>
    <n v="85.38300000000001"/>
    <x v="2"/>
    <s v="Sí"/>
    <d v="2024-04-13T00:00:00"/>
    <n v="9"/>
  </r>
  <r>
    <s v="DEP-A0-3386"/>
    <x v="1"/>
    <n v="24"/>
    <x v="0"/>
    <s v="Chaqueta"/>
    <s v="Rojo"/>
    <s v="Puma"/>
    <s v="MER-A0-3386"/>
    <d v="2024-12-11T00:00:00"/>
    <x v="0"/>
    <n v="153.68"/>
    <n v="0.1"/>
    <n v="85.77"/>
    <x v="2"/>
    <s v="Sí"/>
    <d v="2025-09-07T00:00:00"/>
    <n v="9"/>
  </r>
  <r>
    <s v="DEP-A0-3496"/>
    <x v="0"/>
    <n v="30"/>
    <x v="0"/>
    <s v="Blusa"/>
    <s v="Rojo"/>
    <s v="Mango"/>
    <s v="MER-A0-3496"/>
    <d v="2024-01-31T00:00:00"/>
    <x v="0"/>
    <n v="154.06"/>
    <n v="0.1"/>
    <n v="87.9"/>
    <x v="2"/>
    <s v="Sí"/>
    <d v="2024-01-31T00:00:00"/>
    <n v="9"/>
  </r>
  <r>
    <s v="DEP-A0-2074"/>
    <x v="1"/>
    <n v="24"/>
    <x v="0"/>
    <s v="Chaqueta"/>
    <s v="Verde"/>
    <s v="Tommy"/>
    <s v="MER-A0-2074"/>
    <d v="2024-08-24T00:00:00"/>
    <x v="0"/>
    <n v="155.06"/>
    <n v="0.1"/>
    <n v="92.52"/>
    <x v="2"/>
    <s v="Sí"/>
    <d v="2025-08-19T00:00:00"/>
    <n v="12"/>
  </r>
  <r>
    <s v="DEP-A0-0141"/>
    <x v="0"/>
    <n v="24"/>
    <x v="0"/>
    <s v="Falda"/>
    <s v="Rojo"/>
    <s v="Puma"/>
    <s v="MER-A0-0141"/>
    <d v="2024-11-26T00:00:00"/>
    <x v="0"/>
    <n v="155.31"/>
    <n v="0.1"/>
    <n v="92.72"/>
    <x v="2"/>
    <s v="Sí"/>
    <d v="2025-05-25T00:00:00"/>
    <n v="6"/>
  </r>
  <r>
    <s v="DEP-A0-2258"/>
    <x v="1"/>
    <n v="33"/>
    <x v="0"/>
    <s v="Chaqueta"/>
    <s v="Blanco"/>
    <s v="Mango"/>
    <s v="MER-A0-2258"/>
    <d v="2024-05-02T00:00:00"/>
    <x v="0"/>
    <n v="174.81"/>
    <n v="0.2"/>
    <n v="95.697000000000003"/>
    <x v="2"/>
    <s v="Sí"/>
    <d v="2024-10-29T00:00:00"/>
    <n v="6"/>
  </r>
  <r>
    <s v="DEP-A0-2636"/>
    <x v="1"/>
    <n v="23"/>
    <x v="0"/>
    <s v="Pantalón"/>
    <s v="Gris"/>
    <s v="Levis"/>
    <s v="MER-A0-2636"/>
    <d v="2024-04-04T00:00:00"/>
    <x v="0"/>
    <n v="140.47"/>
    <n v="0"/>
    <n v="99.17"/>
    <x v="2"/>
    <s v="Sí"/>
    <d v="2024-04-04T00:00:00"/>
    <n v="12"/>
  </r>
  <r>
    <s v="DEP-A0-0349"/>
    <x v="1"/>
    <n v="33"/>
    <x v="0"/>
    <s v="Chaqueta"/>
    <s v="Azul"/>
    <s v="Mango"/>
    <s v="MER-A0-0349"/>
    <d v="2024-04-22T00:00:00"/>
    <x v="0"/>
    <n v="156.44999999999999"/>
    <n v="0.1"/>
    <n v="100.28"/>
    <x v="2"/>
    <s v="Sí"/>
    <d v="2024-04-22T00:00:00"/>
    <n v="12"/>
  </r>
  <r>
    <s v="DEP-A0-3074"/>
    <x v="0"/>
    <n v="24"/>
    <x v="0"/>
    <s v="Falda"/>
    <s v="Negro"/>
    <s v="Adidas"/>
    <s v="MER-A0-3074"/>
    <d v="2024-08-29T00:00:00"/>
    <x v="0"/>
    <n v="141.63999999999999"/>
    <n v="0"/>
    <n v="100.44"/>
    <x v="2"/>
    <s v="Sí"/>
    <d v="2024-11-27T00:00:00"/>
    <n v="3"/>
  </r>
  <r>
    <s v="DEP-A0-1675"/>
    <x v="0"/>
    <n v="19"/>
    <x v="0"/>
    <s v="Falda"/>
    <s v="Amarillo"/>
    <s v="Nike"/>
    <s v="MER-A0-1675"/>
    <d v="2024-01-24T00:00:00"/>
    <x v="0"/>
    <n v="177.31"/>
    <n v="0.2"/>
    <n v="100.755"/>
    <x v="2"/>
    <s v="Sí"/>
    <d v="2024-07-22T00:00:00"/>
    <n v="6"/>
  </r>
  <r>
    <s v="DEP-A0-1833"/>
    <x v="0"/>
    <n v="26"/>
    <x v="0"/>
    <s v="Vestido"/>
    <s v="Verde"/>
    <s v="Levis"/>
    <s v="MER-A0-1833"/>
    <d v="2024-04-10T00:00:00"/>
    <x v="0"/>
    <n v="178.56"/>
    <n v="0.2"/>
    <n v="102.63400000000001"/>
    <x v="2"/>
    <s v="Sí"/>
    <d v="2024-04-10T00:00:00"/>
    <n v="9"/>
  </r>
  <r>
    <s v="DEP-A0-2990"/>
    <x v="0"/>
    <n v="33"/>
    <x v="0"/>
    <s v="Chaqueta"/>
    <s v="Negro"/>
    <s v="Zara"/>
    <s v="MER-A0-2990"/>
    <d v="2024-05-17T00:00:00"/>
    <x v="0"/>
    <n v="159.25"/>
    <n v="0.1"/>
    <n v="102.86499999999999"/>
    <x v="2"/>
    <s v="Sí"/>
    <d v="2024-08-15T00:00:00"/>
    <n v="3"/>
  </r>
  <r>
    <s v="DEP-A0-2131"/>
    <x v="0"/>
    <n v="25"/>
    <x v="0"/>
    <s v="Falda"/>
    <s v="Blanco"/>
    <s v="Puma"/>
    <s v="MER-A0-2131"/>
    <d v="2024-01-17T00:00:00"/>
    <x v="0"/>
    <n v="144.01"/>
    <n v="0"/>
    <n v="108.39"/>
    <x v="2"/>
    <s v="Sí"/>
    <d v="2024-01-17T00:00:00"/>
    <n v="6"/>
  </r>
  <r>
    <s v="DEP-A0-4383"/>
    <x v="0"/>
    <n v="18"/>
    <x v="0"/>
    <s v="Blusa"/>
    <s v="Gris"/>
    <s v="Mango"/>
    <s v="MER-A0-4383"/>
    <d v="2024-03-18T00:00:00"/>
    <x v="0"/>
    <n v="144.09"/>
    <n v="0"/>
    <n v="108.63199999999999"/>
    <x v="2"/>
    <s v="Sí"/>
    <d v="2024-03-18T00:00:00"/>
    <n v="6"/>
  </r>
  <r>
    <s v="DEP-A0-1658"/>
    <x v="0"/>
    <n v="21"/>
    <x v="0"/>
    <s v="Vestido"/>
    <s v="Verde"/>
    <s v="Adidas"/>
    <s v="MER-A0-1658"/>
    <d v="2024-04-24T00:00:00"/>
    <x v="0"/>
    <n v="160.75"/>
    <n v="0.1"/>
    <n v="110.334"/>
    <x v="2"/>
    <s v="Sí"/>
    <d v="2024-04-24T00:00:00"/>
    <n v="3"/>
  </r>
  <r>
    <s v="DEP-A0-0815"/>
    <x v="1"/>
    <n v="31"/>
    <x v="0"/>
    <s v="Camisa"/>
    <s v="Azul"/>
    <s v="Tommy"/>
    <s v="MER-A0-0815"/>
    <d v="2024-03-13T00:00:00"/>
    <x v="0"/>
    <n v="182.01"/>
    <n v="0.2"/>
    <n v="111.91"/>
    <x v="2"/>
    <s v="Sí"/>
    <d v="2025-03-08T00:00:00"/>
    <n v="12"/>
  </r>
  <r>
    <s v="DEP-A0-2706"/>
    <x v="0"/>
    <n v="29"/>
    <x v="0"/>
    <s v="Blusa"/>
    <s v="Amarillo"/>
    <s v="Zara"/>
    <s v="MER-A0-2706"/>
    <d v="2024-02-28T00:00:00"/>
    <x v="0"/>
    <n v="162.38999999999999"/>
    <n v="0.1"/>
    <n v="113.87"/>
    <x v="2"/>
    <s v="Sí"/>
    <d v="2025-02-22T00:00:00"/>
    <n v="12"/>
  </r>
  <r>
    <s v="DEP-A0-2337"/>
    <x v="0"/>
    <n v="35"/>
    <x v="0"/>
    <s v="Camisa"/>
    <s v="Gris"/>
    <s v="Levis"/>
    <s v="MER-A0-2337"/>
    <d v="2024-04-26T00:00:00"/>
    <x v="0"/>
    <n v="183.58"/>
    <n v="0.2"/>
    <n v="115.5"/>
    <x v="2"/>
    <s v="Sí"/>
    <d v="2024-04-26T00:00:00"/>
    <n v="6"/>
  </r>
  <r>
    <s v="DEP-A0-4165"/>
    <x v="0"/>
    <n v="30"/>
    <x v="0"/>
    <s v="Pantalón"/>
    <s v="Verde"/>
    <s v="Puma"/>
    <s v="MER-A0-4165"/>
    <d v="2024-04-04T00:00:00"/>
    <x v="0"/>
    <n v="183.84"/>
    <n v="0.2"/>
    <n v="116.074"/>
    <x v="2"/>
    <s v="Sí"/>
    <d v="2024-04-04T00:00:00"/>
    <n v="12"/>
  </r>
  <r>
    <s v="DEP-A0-3131"/>
    <x v="1"/>
    <n v="29"/>
    <x v="0"/>
    <s v="Zapatos"/>
    <s v="Amarillo"/>
    <s v="Nike"/>
    <s v="MER-A0-3131"/>
    <d v="2024-05-12T00:00:00"/>
    <x v="0"/>
    <n v="165.92"/>
    <n v="0.1"/>
    <n v="121.39399999999999"/>
    <x v="2"/>
    <s v="Sí"/>
    <d v="2025-02-06T00:00:00"/>
    <n v="9"/>
  </r>
  <r>
    <s v="DEP-A0-4442"/>
    <x v="1"/>
    <n v="34"/>
    <x v="0"/>
    <s v="Camisa"/>
    <s v="Gris"/>
    <s v="Mango"/>
    <s v="MER-A0-4442"/>
    <d v="2024-12-23T00:00:00"/>
    <x v="0"/>
    <n v="149.69999999999999"/>
    <n v="0"/>
    <n v="121.46"/>
    <x v="2"/>
    <s v="Sí"/>
    <d v="2024-04-06T00:00:00"/>
    <n v="3"/>
  </r>
  <r>
    <s v="DEP-A0-0840"/>
    <x v="1"/>
    <n v="24"/>
    <x v="0"/>
    <s v="Pantalón"/>
    <s v="Rojo"/>
    <s v="Puma"/>
    <s v="MER-A0-0840"/>
    <d v="2024-09-15T00:00:00"/>
    <x v="0"/>
    <n v="168.47"/>
    <n v="0.1"/>
    <n v="125.072"/>
    <x v="2"/>
    <s v="Sí"/>
    <d v="2025-06-12T00:00:00"/>
    <n v="9"/>
  </r>
  <r>
    <s v="DEP-A0-3083"/>
    <x v="0"/>
    <n v="35"/>
    <x v="0"/>
    <s v="Zapatos"/>
    <s v="Blanco"/>
    <s v="Zara"/>
    <s v="MER-A0-3083"/>
    <d v="2024-02-10T00:00:00"/>
    <x v="0"/>
    <n v="151.81"/>
    <n v="0"/>
    <n v="128.21199999999999"/>
    <x v="2"/>
    <s v="Sí"/>
    <d v="2025-02-04T00:00:00"/>
    <n v="12"/>
  </r>
  <r>
    <s v="DEP-A0-3925"/>
    <x v="0"/>
    <n v="23"/>
    <x v="0"/>
    <s v="Zapatos"/>
    <s v="Negro"/>
    <s v="Zara"/>
    <s v="MER-A0-3925"/>
    <d v="2024-11-22T00:00:00"/>
    <x v="0"/>
    <n v="191.11"/>
    <n v="0.2"/>
    <n v="128.80799999999999"/>
    <x v="2"/>
    <s v="Sí"/>
    <d v="2024-09-23T00:00:00"/>
    <n v="3"/>
  </r>
  <r>
    <s v="DEP-A0-1485"/>
    <x v="0"/>
    <n v="27"/>
    <x v="0"/>
    <s v="Chaqueta"/>
    <s v="Azul"/>
    <s v="Levis"/>
    <s v="MER-A0-1485"/>
    <d v="2024-04-14T00:00:00"/>
    <x v="0"/>
    <n v="171.52"/>
    <n v="0.1"/>
    <n v="136.73699999999999"/>
    <x v="2"/>
    <s v="Sí"/>
    <d v="2025-04-09T00:00:00"/>
    <n v="12"/>
  </r>
  <r>
    <s v="DEP-A0-4889"/>
    <x v="0"/>
    <n v="21"/>
    <x v="0"/>
    <s v="Chaqueta"/>
    <s v="Gris"/>
    <s v="Nike"/>
    <s v="MER-A0-4889"/>
    <d v="2024-05-01T00:00:00"/>
    <x v="0"/>
    <n v="172.6"/>
    <n v="0.1"/>
    <n v="140.00399999999999"/>
    <x v="2"/>
    <s v="Sí"/>
    <d v="2025-04-26T00:00:00"/>
    <n v="12"/>
  </r>
  <r>
    <s v="DEP-A0-2320"/>
    <x v="1"/>
    <n v="34"/>
    <x v="0"/>
    <s v="Chaqueta"/>
    <s v="Amarillo"/>
    <s v="Levis"/>
    <s v="MER-A0-2320"/>
    <d v="2024-11-15T00:00:00"/>
    <x v="0"/>
    <n v="194.18"/>
    <n v="0.2"/>
    <n v="140.27000000000001"/>
    <x v="2"/>
    <s v="Sí"/>
    <d v="2025-02-13T00:00:00"/>
    <n v="3"/>
  </r>
  <r>
    <s v="DEP-A0-1643"/>
    <x v="1"/>
    <n v="30"/>
    <x v="0"/>
    <s v="Pantalón"/>
    <s v="Amarillo"/>
    <s v="Nike"/>
    <s v="MER-A0-1643"/>
    <d v="2024-06-11T00:00:00"/>
    <x v="0"/>
    <n v="155.43"/>
    <n v="0"/>
    <n v="141.29599999999999"/>
    <x v="2"/>
    <s v="Sí"/>
    <d v="2024-09-09T00:00:00"/>
    <n v="3"/>
  </r>
  <r>
    <s v="DEP-A0-0046"/>
    <x v="1"/>
    <n v="34"/>
    <x v="0"/>
    <s v="Camisa"/>
    <s v="Gris"/>
    <s v="Puma"/>
    <s v="MER-A0-0046"/>
    <d v="2024-10-06T00:00:00"/>
    <x v="0"/>
    <n v="195.29"/>
    <n v="0.2"/>
    <n v="141.33599999999998"/>
    <x v="2"/>
    <s v="Sí"/>
    <d v="2025-10-01T00:00:00"/>
    <n v="12"/>
  </r>
  <r>
    <s v="DEP-A0-0943"/>
    <x v="0"/>
    <n v="19"/>
    <x v="0"/>
    <s v="Pantalón"/>
    <s v="Verde"/>
    <s v="Adidas"/>
    <s v="MER-A0-0943"/>
    <d v="2024-03-07T00:00:00"/>
    <x v="0"/>
    <n v="174.23"/>
    <n v="0.1"/>
    <n v="142.26300000000001"/>
    <x v="2"/>
    <s v="Sí"/>
    <d v="2024-03-07T00:00:00"/>
    <n v="9"/>
  </r>
  <r>
    <s v="DEP-A0-2957"/>
    <x v="0"/>
    <n v="27"/>
    <x v="0"/>
    <s v="Zapatos"/>
    <s v="Rojo"/>
    <s v="Mango"/>
    <s v="MER-A0-2957"/>
    <d v="2024-12-31T00:00:00"/>
    <x v="0"/>
    <n v="158.34"/>
    <n v="0"/>
    <n v="150.608"/>
    <x v="2"/>
    <s v="Sí"/>
    <d v="2025-06-29T00:00:00"/>
    <n v="6"/>
  </r>
  <r>
    <s v="DEP-A0-0426"/>
    <x v="0"/>
    <n v="33"/>
    <x v="0"/>
    <s v="Pantalón"/>
    <s v="Gris"/>
    <s v="Tommy"/>
    <s v="MER-A0-0426"/>
    <d v="2024-12-10T00:00:00"/>
    <x v="0"/>
    <n v="177.32"/>
    <n v="0.1"/>
    <n v="152.23500000000001"/>
    <x v="2"/>
    <s v="Sí"/>
    <d v="2025-06-08T00:00:00"/>
    <n v="6"/>
  </r>
  <r>
    <s v="DEP-A0-2112"/>
    <x v="0"/>
    <n v="34"/>
    <x v="0"/>
    <s v="Falda"/>
    <s v="Negro"/>
    <s v="Zara"/>
    <s v="MER-A0-2112"/>
    <d v="2024-03-15T00:00:00"/>
    <x v="0"/>
    <n v="199.88"/>
    <n v="0.2"/>
    <n v="153.744"/>
    <x v="2"/>
    <s v="Sí"/>
    <d v="2024-03-15T00:00:00"/>
    <n v="12"/>
  </r>
  <r>
    <s v="DEP-A0-2382"/>
    <x v="0"/>
    <n v="23"/>
    <x v="0"/>
    <s v="Pantalón"/>
    <s v="Verde"/>
    <s v="Adidas"/>
    <s v="MER-A0-2382"/>
    <d v="2024-08-17T00:00:00"/>
    <x v="0"/>
    <n v="160.13999999999999"/>
    <n v="0"/>
    <n v="154.25"/>
    <x v="2"/>
    <s v="Sí"/>
    <d v="2024-08-17T00:00:00"/>
    <n v="9"/>
  </r>
  <r>
    <s v="DEP-A0-4569"/>
    <x v="0"/>
    <n v="26"/>
    <x v="0"/>
    <s v="Vestido"/>
    <s v="Verde"/>
    <s v="Nike"/>
    <s v="MER-A0-4569"/>
    <d v="2024-06-12T00:00:00"/>
    <x v="0"/>
    <n v="178.29"/>
    <n v="0.1"/>
    <n v="155"/>
    <x v="2"/>
    <s v="Sí"/>
    <d v="2024-06-12T00:00:00"/>
    <n v="6"/>
  </r>
  <r>
    <s v="DEP-A0-2673"/>
    <x v="0"/>
    <n v="23"/>
    <x v="0"/>
    <s v="Falda"/>
    <s v="Azul"/>
    <s v="Mango"/>
    <s v="MER-A0-2673"/>
    <d v="2024-11-28T00:00:00"/>
    <x v="0"/>
    <n v="179.4"/>
    <n v="0.1"/>
    <n v="155.565"/>
    <x v="2"/>
    <s v="Sí"/>
    <d v="2024-10-08T00:00:00"/>
    <n v="6"/>
  </r>
  <r>
    <s v="DEP-A0-2419"/>
    <x v="0"/>
    <n v="29"/>
    <x v="0"/>
    <s v="Blusa"/>
    <s v="Blanco"/>
    <s v="Adidas"/>
    <s v="MER-A0-2419"/>
    <d v="2024-12-03T00:00:00"/>
    <x v="0"/>
    <n v="162.56"/>
    <n v="0"/>
    <n v="157.12"/>
    <x v="2"/>
    <s v="Sí"/>
    <d v="2025-11-28T00:00:00"/>
    <n v="12"/>
  </r>
  <r>
    <s v="DEP-A0-3900"/>
    <x v="1"/>
    <n v="27"/>
    <x v="0"/>
    <s v="Chaqueta"/>
    <s v="Rojo"/>
    <s v="Nike"/>
    <s v="MER-A0-3900"/>
    <d v="2024-12-27T00:00:00"/>
    <x v="0"/>
    <n v="182.8"/>
    <n v="0.1"/>
    <n v="158.238"/>
    <x v="2"/>
    <s v="Sí"/>
    <d v="2025-06-25T00:00:00"/>
    <n v="6"/>
  </r>
  <r>
    <s v="DEP-A0-2948"/>
    <x v="0"/>
    <n v="27"/>
    <x v="0"/>
    <s v="Chaqueta"/>
    <s v="Blanco"/>
    <s v="Tommy"/>
    <s v="MER-A0-2948"/>
    <d v="2024-08-20T00:00:00"/>
    <x v="0"/>
    <n v="183.91"/>
    <n v="0.1"/>
    <n v="165.79"/>
    <x v="2"/>
    <s v="Sí"/>
    <d v="2024-08-20T00:00:00"/>
    <n v="3"/>
  </r>
  <r>
    <s v="DEP-A0-0705"/>
    <x v="1"/>
    <n v="35"/>
    <x v="0"/>
    <s v="Pantalón"/>
    <s v="Amarillo"/>
    <s v="Puma"/>
    <s v="MER-A0-0705"/>
    <d v="2024-12-09T00:00:00"/>
    <x v="0"/>
    <n v="166.3"/>
    <n v="0"/>
    <n v="169.33500000000001"/>
    <x v="2"/>
    <s v="Sí"/>
    <d v="2025-06-02T00:00:00"/>
    <n v="12"/>
  </r>
  <r>
    <s v="DEP-A0-4821"/>
    <x v="1"/>
    <n v="26"/>
    <x v="0"/>
    <s v="Camisa"/>
    <s v="Azul"/>
    <s v="Nike"/>
    <s v="MER-A0-4821"/>
    <d v="2024-09-21T00:00:00"/>
    <x v="0"/>
    <n v="166.33"/>
    <n v="0"/>
    <n v="169.64"/>
    <x v="2"/>
    <s v="Sí"/>
    <d v="2024-12-20T00:00:00"/>
    <n v="3"/>
  </r>
  <r>
    <s v="DEP-A0-2241"/>
    <x v="1"/>
    <n v="24"/>
    <x v="0"/>
    <s v="Pantalón"/>
    <s v="Amarillo"/>
    <s v="Tommy"/>
    <s v="MER-A0-2241"/>
    <d v="2024-05-12T00:00:00"/>
    <x v="0"/>
    <n v="168.47"/>
    <n v="0"/>
    <n v="177.768"/>
    <x v="2"/>
    <s v="Sí"/>
    <d v="2025-05-07T00:00:00"/>
    <n v="12"/>
  </r>
  <r>
    <s v="DEP-A0-0521"/>
    <x v="0"/>
    <n v="21"/>
    <x v="0"/>
    <s v="Falda"/>
    <s v="Azul"/>
    <s v="Nike"/>
    <s v="MER-A0-0521"/>
    <d v="2024-10-11T00:00:00"/>
    <x v="0"/>
    <n v="187.64"/>
    <n v="0.1"/>
    <n v="178.02"/>
    <x v="2"/>
    <s v="Sí"/>
    <d v="2024-10-11T00:00:00"/>
    <n v="9"/>
  </r>
  <r>
    <s v="DEP-A0-3931"/>
    <x v="0"/>
    <n v="21"/>
    <x v="0"/>
    <s v="Vestido"/>
    <s v="Amarillo"/>
    <s v="Puma"/>
    <s v="MER-A0-3931"/>
    <d v="2024-12-06T00:00:00"/>
    <x v="0"/>
    <n v="189.43"/>
    <n v="0.1"/>
    <n v="188.6"/>
    <x v="2"/>
    <s v="Sí"/>
    <d v="2025-12-01T00:00:00"/>
    <n v="12"/>
  </r>
  <r>
    <s v="DEP-A0-2428"/>
    <x v="0"/>
    <n v="34"/>
    <x v="0"/>
    <s v="Vestido"/>
    <s v="Negro"/>
    <s v="Puma"/>
    <s v="MER-A0-2428"/>
    <d v="2024-01-18T00:00:00"/>
    <x v="0"/>
    <n v="170.54"/>
    <n v="0"/>
    <n v="189.09"/>
    <x v="2"/>
    <s v="Sí"/>
    <d v="2024-01-18T00:00:00"/>
    <n v="6"/>
  </r>
  <r>
    <s v="DEP-A0-2765"/>
    <x v="1"/>
    <n v="27"/>
    <x v="0"/>
    <s v="Pantalón"/>
    <s v="Verde"/>
    <s v="Adidas"/>
    <s v="MER-A0-2765"/>
    <d v="2024-08-15T00:00:00"/>
    <x v="0"/>
    <n v="173.41"/>
    <n v="0"/>
    <n v="10.142999999999999"/>
    <x v="2"/>
    <s v="Sí"/>
    <d v="2024-08-15T00:00:00"/>
    <n v="12"/>
  </r>
  <r>
    <s v="DEP-A0-3445"/>
    <x v="0"/>
    <n v="25"/>
    <x v="0"/>
    <s v="Vestido"/>
    <s v="Azul"/>
    <s v="Adidas"/>
    <s v="MER-A0-3445"/>
    <d v="2024-09-18T00:00:00"/>
    <x v="0"/>
    <n v="192.72"/>
    <n v="0.1"/>
    <n v="10.661000000000001"/>
    <x v="2"/>
    <s v="Sí"/>
    <d v="2025-06-15T00:00:00"/>
    <n v="9"/>
  </r>
  <r>
    <s v="DEP-A0-1849"/>
    <x v="0"/>
    <n v="21"/>
    <x v="0"/>
    <s v="Vestido"/>
    <s v="Blanco"/>
    <s v="Mango"/>
    <s v="MER-A0-1849"/>
    <d v="2024-10-04T00:00:00"/>
    <x v="0"/>
    <n v="174.42"/>
    <n v="0"/>
    <n v="13.408000000000001"/>
    <x v="2"/>
    <s v="Sí"/>
    <d v="2024-10-04T00:00:00"/>
    <n v="6"/>
  </r>
  <r>
    <s v="DEP-A0-2014"/>
    <x v="0"/>
    <n v="31"/>
    <x v="0"/>
    <s v="Vestido"/>
    <s v="Blanco"/>
    <s v="Adidas"/>
    <s v="MER-A0-2014"/>
    <d v="2024-02-01T00:00:00"/>
    <x v="0"/>
    <n v="176.62"/>
    <n v="0"/>
    <n v="14.91"/>
    <x v="2"/>
    <s v="Sí"/>
    <d v="2024-02-01T00:00:00"/>
    <n v="12"/>
  </r>
  <r>
    <s v="DEP-A0-2032"/>
    <x v="0"/>
    <n v="19"/>
    <x v="0"/>
    <s v="Blusa"/>
    <s v="Gris"/>
    <s v="Nike"/>
    <s v="MER-A0-2032"/>
    <d v="2024-09-03T00:00:00"/>
    <x v="0"/>
    <n v="177.96"/>
    <n v="0"/>
    <n v="18.399999999999999"/>
    <x v="2"/>
    <s v="Sí"/>
    <d v="2025-08-29T00:00:00"/>
    <n v="12"/>
  </r>
  <r>
    <s v="DEP-A0-4110"/>
    <x v="0"/>
    <n v="29"/>
    <x v="0"/>
    <s v="Pantalón"/>
    <s v="Verde"/>
    <s v="Mango"/>
    <s v="MER-A0-4110"/>
    <d v="2024-03-02T00:00:00"/>
    <x v="0"/>
    <n v="181.04"/>
    <n v="0"/>
    <n v="27.468"/>
    <x v="2"/>
    <s v="Sí"/>
    <d v="2024-11-27T00:00:00"/>
    <n v="9"/>
  </r>
  <r>
    <s v="DEP-A0-3164"/>
    <x v="1"/>
    <n v="22"/>
    <x v="0"/>
    <s v="Camisa"/>
    <s v="Amarillo"/>
    <s v="Mango"/>
    <s v="MER-A0-3164"/>
    <d v="2024-06-11T00:00:00"/>
    <x v="0"/>
    <n v="187.3"/>
    <n v="0"/>
    <n v="31.31"/>
    <x v="2"/>
    <s v="Sí"/>
    <d v="2025-06-06T00:00:00"/>
    <n v="12"/>
  </r>
  <r>
    <s v="DEP-A0-3367"/>
    <x v="0"/>
    <n v="31"/>
    <x v="0"/>
    <s v="Vestido"/>
    <s v="Verde"/>
    <s v="Puma"/>
    <s v="MER-A0-3367"/>
    <d v="2024-12-16T00:00:00"/>
    <x v="0"/>
    <n v="191.14"/>
    <n v="0"/>
    <n v="34.520000000000003"/>
    <x v="2"/>
    <s v="Sí"/>
    <d v="2025-06-14T00:00:00"/>
    <n v="6"/>
  </r>
  <r>
    <s v="DEP-A0-1952"/>
    <x v="0"/>
    <n v="31"/>
    <x v="0"/>
    <s v="Pantalón"/>
    <s v="Blanco"/>
    <s v="Nike"/>
    <s v="MER-A0-1952"/>
    <d v="2024-05-15T00:00:00"/>
    <x v="0"/>
    <n v="191.55"/>
    <n v="0"/>
    <n v="36.269999999999996"/>
    <x v="2"/>
    <s v="Sí"/>
    <d v="2024-08-13T00:00:00"/>
    <n v="3"/>
  </r>
  <r>
    <s v="DEP-A0-0862"/>
    <x v="0"/>
    <n v="35"/>
    <x v="0"/>
    <s v="Camisa"/>
    <s v="Gris"/>
    <s v="Nike"/>
    <s v="MER-A0-0862"/>
    <d v="2024-03-15T00:00:00"/>
    <x v="0"/>
    <n v="192.17"/>
    <n v="0"/>
    <n v="37.155999999999999"/>
    <x v="2"/>
    <s v="Sí"/>
    <d v="2024-09-11T00:00:00"/>
    <n v="6"/>
  </r>
  <r>
    <s v="DEP-A0-1394"/>
    <x v="0"/>
    <n v="21"/>
    <x v="0"/>
    <s v="Pantalón"/>
    <s v="Azul"/>
    <s v="Mango"/>
    <s v="MER-A0-1394"/>
    <d v="2024-04-15T00:00:00"/>
    <x v="0"/>
    <n v="192.28"/>
    <n v="0"/>
    <n v="37.85"/>
    <x v="2"/>
    <s v="Sí"/>
    <d v="2024-04-15T00:00:00"/>
    <n v="12"/>
  </r>
  <r>
    <s v="DEP-A0-2277"/>
    <x v="1"/>
    <n v="23"/>
    <x v="0"/>
    <s v="Camisa"/>
    <s v="Blanco"/>
    <s v="Levis"/>
    <s v="MER-A0-2277"/>
    <d v="2024-12-08T00:00:00"/>
    <x v="0"/>
    <n v="196.73"/>
    <n v="0"/>
    <n v="41.02"/>
    <x v="2"/>
    <s v="Sí"/>
    <d v="2024-12-03T00:00:00"/>
    <n v="6"/>
  </r>
  <r>
    <s v="DEP-A0-0635"/>
    <x v="1"/>
    <n v="27"/>
    <x v="0"/>
    <s v="Pantalón"/>
    <s v="Rojo"/>
    <s v="Adidas"/>
    <s v="MER-A0-0635"/>
    <d v="2024-08-03T00:00:00"/>
    <x v="0"/>
    <n v="196.75"/>
    <n v="0"/>
    <n v="41.048000000000002"/>
    <x v="2"/>
    <s v="Sí"/>
    <d v="2024-11-01T00:00:00"/>
    <n v="3"/>
  </r>
  <r>
    <s v="DEP-A0-2924"/>
    <x v="1"/>
    <n v="26"/>
    <x v="0"/>
    <s v="Pantalón"/>
    <s v="Amarillo"/>
    <s v="Tommy"/>
    <s v="MER-A0-2924"/>
    <d v="2024-01-31T00:00:00"/>
    <x v="0"/>
    <n v="196.89"/>
    <n v="0"/>
    <n v="41.629000000000005"/>
    <x v="2"/>
    <s v="Sí"/>
    <d v="2024-01-31T00:00:00"/>
    <n v="9"/>
  </r>
  <r>
    <s v="DEP-A0-2601"/>
    <x v="1"/>
    <n v="19"/>
    <x v="0"/>
    <s v="Zapatos"/>
    <s v="Rojo"/>
    <s v="Tommy"/>
    <s v="MER-A0-2601"/>
    <d v="2025-01-05T00:00:00"/>
    <x v="1"/>
    <n v="51.6"/>
    <n v="0.2"/>
    <n v="97.855999999999995"/>
    <x v="2"/>
    <s v="No"/>
    <d v="2025-01-05T00:00:00"/>
    <n v="0"/>
  </r>
  <r>
    <s v="DEP-A0-0396"/>
    <x v="0"/>
    <n v="27"/>
    <x v="0"/>
    <s v="Vestido"/>
    <s v="Azul"/>
    <s v="Mango"/>
    <s v="MER-A0-0396"/>
    <d v="2025-01-28T00:00:00"/>
    <x v="1"/>
    <n v="52.09"/>
    <n v="0.1"/>
    <n v="97.888000000000005"/>
    <x v="2"/>
    <s v="No"/>
    <d v="2025-01-28T00:00:00"/>
    <n v="0"/>
  </r>
  <r>
    <s v="DEP-A0-1395"/>
    <x v="0"/>
    <n v="28"/>
    <x v="0"/>
    <s v="Vestido"/>
    <s v="Verde"/>
    <s v="Mango"/>
    <s v="MER-A0-1395"/>
    <d v="2025-02-13T00:00:00"/>
    <x v="1"/>
    <n v="66.33"/>
    <n v="0"/>
    <n v="98.238"/>
    <x v="2"/>
    <s v="No"/>
    <d v="2025-01-18T00:00:00"/>
    <n v="0"/>
  </r>
  <r>
    <s v="DEP-A0-2276"/>
    <x v="1"/>
    <n v="25"/>
    <x v="0"/>
    <s v="Chaqueta"/>
    <s v="Blanco"/>
    <s v="Mango"/>
    <s v="MER-A0-2276"/>
    <d v="2025-02-13T00:00:00"/>
    <x v="1"/>
    <n v="66.38"/>
    <n v="0.1"/>
    <n v="98.38"/>
    <x v="2"/>
    <s v="No"/>
    <d v="2025-01-14T00:00:00"/>
    <n v="0"/>
  </r>
  <r>
    <s v="DEP-A0-3784"/>
    <x v="0"/>
    <n v="30"/>
    <x v="0"/>
    <s v="Falda"/>
    <s v="Blanco"/>
    <s v="Zara"/>
    <s v="MER-A0-3784"/>
    <d v="2025-02-13T00:00:00"/>
    <x v="1"/>
    <n v="67.239999999999995"/>
    <n v="0.3"/>
    <n v="98.4"/>
    <x v="2"/>
    <s v="No"/>
    <d v="2025-01-22T00:00:00"/>
    <n v="0"/>
  </r>
  <r>
    <s v="DEP-A0-1916"/>
    <x v="0"/>
    <n v="31"/>
    <x v="0"/>
    <s v="Vestido"/>
    <s v="Gris"/>
    <s v="Tommy"/>
    <s v="MER-A0-1916"/>
    <d v="2025-02-13T00:00:00"/>
    <x v="1"/>
    <n v="82.92"/>
    <n v="0"/>
    <n v="98.960000000000008"/>
    <x v="2"/>
    <s v="No"/>
    <d v="2025-01-09T00:00:00"/>
    <n v="0"/>
  </r>
  <r>
    <s v="DEP-A0-0035"/>
    <x v="0"/>
    <n v="33"/>
    <x v="0"/>
    <s v="Blusa"/>
    <s v="Rojo"/>
    <s v="Zara"/>
    <s v="MER-A0-0035"/>
    <d v="2025-02-13T00:00:00"/>
    <x v="1"/>
    <n v="88.24"/>
    <n v="0.1"/>
    <n v="99.83"/>
    <x v="2"/>
    <s v="No"/>
    <d v="2025-01-03T00:00:00"/>
    <n v="0"/>
  </r>
  <r>
    <s v="DEP-A0-3913"/>
    <x v="0"/>
    <n v="19"/>
    <x v="0"/>
    <s v="Camisa"/>
    <s v="Blanco"/>
    <s v="Adidas"/>
    <s v="MER-A0-3913"/>
    <d v="2025-01-26T00:00:00"/>
    <x v="1"/>
    <n v="89.22"/>
    <n v="0.2"/>
    <n v="99.98"/>
    <x v="2"/>
    <s v="No"/>
    <d v="2025-01-26T00:00:00"/>
    <n v="0"/>
  </r>
  <r>
    <s v="DEP-A0-3589"/>
    <x v="0"/>
    <n v="33"/>
    <x v="0"/>
    <s v="Falda"/>
    <s v="Azul"/>
    <s v="Levis"/>
    <s v="MER-A0-3589"/>
    <d v="2025-01-30T00:00:00"/>
    <x v="1"/>
    <n v="92.52"/>
    <n v="0"/>
    <n v="100.16"/>
    <x v="2"/>
    <s v="No"/>
    <d v="2025-01-30T00:00:00"/>
    <n v="0"/>
  </r>
  <r>
    <s v="DEP-A0-3502"/>
    <x v="0"/>
    <n v="23"/>
    <x v="0"/>
    <s v="Pantalón"/>
    <s v="Blanco"/>
    <s v="Nike"/>
    <s v="MER-A0-3502"/>
    <d v="2025-01-28T00:00:00"/>
    <x v="1"/>
    <n v="181.48"/>
    <n v="0.3"/>
    <n v="100.70200000000001"/>
    <x v="2"/>
    <s v="No"/>
    <d v="2025-01-28T00:00:00"/>
    <n v="0"/>
  </r>
  <r>
    <s v="DEP-A0-1705"/>
    <x v="1"/>
    <n v="26"/>
    <x v="0"/>
    <s v="Chaqueta"/>
    <s v="Verde"/>
    <s v="Tommy"/>
    <s v="MER-A0-1705"/>
    <d v="2025-01-28T00:00:00"/>
    <x v="1"/>
    <n v="183.81"/>
    <n v="0"/>
    <n v="101.27200000000001"/>
    <x v="2"/>
    <s v="No"/>
    <d v="2025-01-28T00:00:00"/>
    <n v="0"/>
  </r>
  <r>
    <s v="DEP-A0-4347"/>
    <x v="0"/>
    <n v="21"/>
    <x v="0"/>
    <s v="Vestido"/>
    <s v="Gris"/>
    <s v="Levis"/>
    <s v="MER-A0-4347"/>
    <d v="2025-01-12T00:00:00"/>
    <x v="1"/>
    <n v="187.2"/>
    <n v="0.2"/>
    <n v="101.40200000000002"/>
    <x v="2"/>
    <s v="No"/>
    <d v="2025-01-12T00:00:00"/>
    <n v="0"/>
  </r>
  <r>
    <s v="DEP-A0-3967"/>
    <x v="0"/>
    <n v="28"/>
    <x v="0"/>
    <s v="Falda"/>
    <s v="Rojo"/>
    <s v="Levis"/>
    <s v="MER-A0-3967"/>
    <d v="2025-02-13T00:00:00"/>
    <x v="1"/>
    <n v="151.26"/>
    <n v="0"/>
    <n v="102.208"/>
    <x v="2"/>
    <s v="No"/>
    <d v="2025-02-13T00:00:00"/>
    <n v="0"/>
  </r>
  <r>
    <s v="DEP-A0-1391"/>
    <x v="0"/>
    <n v="35"/>
    <x v="0"/>
    <s v="Pantalón"/>
    <s v="Gris"/>
    <s v="Nike"/>
    <s v="MER-A0-1391"/>
    <d v="2025-02-15T00:00:00"/>
    <x v="1"/>
    <n v="37.5"/>
    <n v="0.3"/>
    <n v="104.4"/>
    <x v="2"/>
    <s v="No"/>
    <d v="2025-02-15T00:00:00"/>
    <n v="0"/>
  </r>
  <r>
    <s v="DEP-A0-0841"/>
    <x v="0"/>
    <n v="30"/>
    <x v="0"/>
    <s v="Falda"/>
    <s v="Negro"/>
    <s v="Nike"/>
    <s v="MER-A0-0841"/>
    <d v="2025-02-23T00:00:00"/>
    <x v="1"/>
    <n v="149.19"/>
    <n v="0"/>
    <n v="105.82"/>
    <x v="2"/>
    <s v="No"/>
    <d v="2025-02-23T00:00:00"/>
    <n v="0"/>
  </r>
  <r>
    <s v="DEP-A0-0905"/>
    <x v="0"/>
    <n v="21"/>
    <x v="0"/>
    <s v="Camisa"/>
    <s v="Amarillo"/>
    <s v="Puma"/>
    <s v="MER-A0-0905"/>
    <d v="2025-02-23T00:00:00"/>
    <x v="1"/>
    <n v="171.13"/>
    <n v="0.3"/>
    <n v="106.524"/>
    <x v="2"/>
    <s v="No"/>
    <d v="2025-02-23T00:00:00"/>
    <n v="0"/>
  </r>
  <r>
    <s v="DEP-A0-4771"/>
    <x v="1"/>
    <n v="27"/>
    <x v="0"/>
    <s v="Pantalón"/>
    <s v="Blanco"/>
    <s v="Puma"/>
    <s v="MER-A0-4771"/>
    <d v="2025-02-23T00:00:00"/>
    <x v="1"/>
    <n v="195.41"/>
    <n v="0.3"/>
    <n v="106.86199999999999"/>
    <x v="2"/>
    <s v="No"/>
    <d v="2025-02-23T00:00:00"/>
    <n v="0"/>
  </r>
  <r>
    <s v="DEP-A0-2871"/>
    <x v="0"/>
    <n v="35"/>
    <x v="0"/>
    <s v="Falda"/>
    <s v="Verde"/>
    <s v="Levis"/>
    <s v="MER-A0-2871"/>
    <d v="2025-02-25T00:00:00"/>
    <x v="1"/>
    <n v="38.49"/>
    <n v="0.2"/>
    <n v="107.50399999999999"/>
    <x v="2"/>
    <s v="No"/>
    <d v="2025-02-25T00:00:00"/>
    <n v="0"/>
  </r>
  <r>
    <s v="DEP-A0-1160"/>
    <x v="0"/>
    <n v="34"/>
    <x v="0"/>
    <s v="Falda"/>
    <s v="Rojo"/>
    <s v="Adidas"/>
    <s v="MER-A0-1160"/>
    <d v="2025-03-27T00:00:00"/>
    <x v="1"/>
    <n v="48.94"/>
    <n v="0.3"/>
    <n v="107.68800000000002"/>
    <x v="2"/>
    <s v="No"/>
    <d v="2025-03-27T00:00:00"/>
    <n v="0"/>
  </r>
  <r>
    <s v="DEP-A0-2605"/>
    <x v="0"/>
    <n v="26"/>
    <x v="0"/>
    <s v="Pantalón"/>
    <s v="Blanco"/>
    <s v="Adidas"/>
    <s v="MER-A0-2605"/>
    <d v="2025-03-04T00:00:00"/>
    <x v="1"/>
    <n v="50.17"/>
    <n v="0.2"/>
    <n v="108.024"/>
    <x v="2"/>
    <s v="No"/>
    <d v="2025-03-04T00:00:00"/>
    <n v="0"/>
  </r>
  <r>
    <s v="DEP-A0-3863"/>
    <x v="0"/>
    <n v="32"/>
    <x v="0"/>
    <s v="Falda"/>
    <s v="Blanco"/>
    <s v="Nike"/>
    <s v="MER-A0-3863"/>
    <d v="2025-03-09T00:00:00"/>
    <x v="1"/>
    <n v="57.67"/>
    <n v="0.3"/>
    <n v="109.85"/>
    <x v="2"/>
    <s v="No"/>
    <d v="2025-03-09T00:00:00"/>
    <n v="0"/>
  </r>
  <r>
    <s v="DEP-A0-2798"/>
    <x v="1"/>
    <n v="29"/>
    <x v="0"/>
    <s v="Chaqueta"/>
    <s v="Negro"/>
    <s v="Zara"/>
    <s v="MER-A0-2798"/>
    <d v="2025-03-24T00:00:00"/>
    <x v="1"/>
    <n v="63.55"/>
    <n v="0"/>
    <n v="110.27200000000001"/>
    <x v="2"/>
    <s v="No"/>
    <d v="2025-03-24T00:00:00"/>
    <n v="0"/>
  </r>
  <r>
    <s v="DEP-A0-1218"/>
    <x v="1"/>
    <n v="22"/>
    <x v="0"/>
    <s v="Pantalón"/>
    <s v="Verde"/>
    <s v="Puma"/>
    <s v="MER-A0-1218"/>
    <d v="2025-03-09T00:00:00"/>
    <x v="1"/>
    <n v="78.14"/>
    <n v="0.3"/>
    <n v="110.51100000000001"/>
    <x v="2"/>
    <s v="No"/>
    <d v="2025-03-09T00:00:00"/>
    <n v="0"/>
  </r>
  <r>
    <s v="DEP-A0-1969"/>
    <x v="0"/>
    <n v="25"/>
    <x v="0"/>
    <s v="Falda"/>
    <s v="Negro"/>
    <s v="Tommy"/>
    <s v="MER-A0-1969"/>
    <d v="2025-03-07T00:00:00"/>
    <x v="1"/>
    <n v="98.2"/>
    <n v="0.2"/>
    <n v="110.78900000000002"/>
    <x v="2"/>
    <s v="No"/>
    <d v="2025-03-07T00:00:00"/>
    <n v="0"/>
  </r>
  <r>
    <s v="DEP-A0-3985"/>
    <x v="0"/>
    <n v="32"/>
    <x v="0"/>
    <s v="Blusa"/>
    <s v="Rojo"/>
    <s v="Mango"/>
    <s v="MER-A0-3985"/>
    <d v="2025-03-09T00:00:00"/>
    <x v="1"/>
    <n v="106.29"/>
    <n v="0.3"/>
    <n v="110.85300000000001"/>
    <x v="2"/>
    <s v="No"/>
    <d v="2025-03-09T00:00:00"/>
    <n v="0"/>
  </r>
  <r>
    <s v="DEP-A0-0086"/>
    <x v="1"/>
    <n v="23"/>
    <x v="0"/>
    <s v="Pantalón"/>
    <s v="Blanco"/>
    <s v="Levis"/>
    <s v="MER-A0-0086"/>
    <d v="2025-03-17T00:00:00"/>
    <x v="1"/>
    <n v="117.13"/>
    <n v="0.2"/>
    <n v="111.08"/>
    <x v="2"/>
    <s v="No"/>
    <d v="2025-03-17T00:00:00"/>
    <n v="0"/>
  </r>
  <r>
    <s v="DEP-A0-2229"/>
    <x v="1"/>
    <n v="23"/>
    <x v="0"/>
    <s v="Pantalón"/>
    <s v="Blanco"/>
    <s v="Adidas"/>
    <s v="MER-A0-2229"/>
    <d v="2025-03-12T00:00:00"/>
    <x v="1"/>
    <n v="118.82"/>
    <n v="0.1"/>
    <n v="111.11199999999999"/>
    <x v="2"/>
    <s v="No"/>
    <d v="2025-03-12T00:00:00"/>
    <n v="0"/>
  </r>
  <r>
    <s v="DEP-A0-0718"/>
    <x v="0"/>
    <n v="21"/>
    <x v="0"/>
    <s v="Vestido"/>
    <s v="Azul"/>
    <s v="Puma"/>
    <s v="MER-A0-0718"/>
    <d v="2025-03-15T00:00:00"/>
    <x v="1"/>
    <n v="186.3"/>
    <n v="0"/>
    <n v="112.68899999999999"/>
    <x v="2"/>
    <s v="No"/>
    <d v="2025-03-15T00:00:00"/>
    <n v="0"/>
  </r>
  <r>
    <s v="DEP-A0-2069"/>
    <x v="0"/>
    <n v="24"/>
    <x v="0"/>
    <s v="Blusa"/>
    <s v="Blanco"/>
    <s v="Tommy"/>
    <s v="MER-A0-2069"/>
    <d v="2025-01-05T00:00:00"/>
    <x v="1"/>
    <n v="12.73"/>
    <n v="0.3"/>
    <n v="115.23"/>
    <x v="2"/>
    <s v="No"/>
    <d v="2025-01-05T00:00:00"/>
    <n v="0"/>
  </r>
  <r>
    <s v="DEP-A0-2815"/>
    <x v="1"/>
    <n v="25"/>
    <x v="0"/>
    <s v="Chaqueta"/>
    <s v="Negro"/>
    <s v="Tommy"/>
    <s v="MER-A0-2815"/>
    <d v="2025-02-13T00:00:00"/>
    <x v="1"/>
    <n v="17.73"/>
    <n v="0"/>
    <n v="115.563"/>
    <x v="2"/>
    <s v="No"/>
    <d v="2025-01-24T00:00:00"/>
    <n v="0"/>
  </r>
  <r>
    <s v="DEP-A0-2824"/>
    <x v="1"/>
    <n v="21"/>
    <x v="0"/>
    <s v="Camisa"/>
    <s v="Amarillo"/>
    <s v="Zara"/>
    <s v="MER-A0-2824"/>
    <d v="2025-01-06T00:00:00"/>
    <x v="1"/>
    <n v="24.66"/>
    <n v="0.3"/>
    <n v="116.38799999999999"/>
    <x v="2"/>
    <s v="No"/>
    <d v="2025-01-06T00:00:00"/>
    <n v="0"/>
  </r>
  <r>
    <s v="DEP-A0-2400"/>
    <x v="0"/>
    <n v="26"/>
    <x v="0"/>
    <s v="Falda"/>
    <s v="Amarillo"/>
    <s v="Tommy"/>
    <s v="MER-A0-2400"/>
    <d v="2025-01-10T00:00:00"/>
    <x v="1"/>
    <n v="28.46"/>
    <n v="0"/>
    <n v="116.752"/>
    <x v="2"/>
    <s v="No"/>
    <d v="2025-01-10T00:00:00"/>
    <n v="0"/>
  </r>
  <r>
    <s v="DEP-A0-0291"/>
    <x v="0"/>
    <n v="23"/>
    <x v="0"/>
    <s v="Blusa"/>
    <s v="Amarillo"/>
    <s v="Puma"/>
    <s v="MER-A0-0291"/>
    <d v="2025-01-02T00:00:00"/>
    <x v="1"/>
    <n v="29.63"/>
    <n v="0.2"/>
    <n v="117.152"/>
    <x v="2"/>
    <s v="No"/>
    <d v="2025-01-02T00:00:00"/>
    <n v="0"/>
  </r>
  <r>
    <s v="DEP-A0-3679"/>
    <x v="0"/>
    <n v="28"/>
    <x v="0"/>
    <s v="Falda"/>
    <s v="Rojo"/>
    <s v="Adidas"/>
    <s v="MER-A0-3679"/>
    <d v="2025-01-16T00:00:00"/>
    <x v="1"/>
    <n v="44.55"/>
    <n v="0.3"/>
    <n v="117.27000000000001"/>
    <x v="2"/>
    <s v="No"/>
    <d v="2025-01-16T00:00:00"/>
    <n v="0"/>
  </r>
  <r>
    <s v="DEP-A0-4564"/>
    <x v="0"/>
    <n v="32"/>
    <x v="0"/>
    <s v="Zapatos"/>
    <s v="Amarillo"/>
    <s v="Tommy"/>
    <s v="MER-A0-4564"/>
    <d v="2025-01-27T00:00:00"/>
    <x v="1"/>
    <n v="51.29"/>
    <n v="0.1"/>
    <n v="117.28500000000001"/>
    <x v="2"/>
    <s v="No"/>
    <d v="2025-01-27T00:00:00"/>
    <n v="0"/>
  </r>
  <r>
    <s v="DEP-A0-1182"/>
    <x v="0"/>
    <n v="32"/>
    <x v="0"/>
    <s v="Zapatos"/>
    <s v="Negro"/>
    <s v="Tommy"/>
    <s v="MER-A0-1182"/>
    <d v="2025-01-28T00:00:00"/>
    <x v="1"/>
    <n v="51.82"/>
    <n v="0.1"/>
    <n v="117.31"/>
    <x v="2"/>
    <s v="No"/>
    <d v="2025-01-28T00:00:00"/>
    <n v="0"/>
  </r>
  <r>
    <s v="DEP-A0-1700"/>
    <x v="0"/>
    <n v="29"/>
    <x v="0"/>
    <s v="Camisa"/>
    <s v="Verde"/>
    <s v="Adidas"/>
    <s v="MER-A0-1700"/>
    <d v="2025-01-25T00:00:00"/>
    <x v="1"/>
    <n v="75.73"/>
    <n v="0.2"/>
    <n v="119.33599999999998"/>
    <x v="2"/>
    <s v="No"/>
    <d v="2025-01-25T00:00:00"/>
    <n v="0"/>
  </r>
  <r>
    <s v="DEP-A0-3943"/>
    <x v="0"/>
    <n v="28"/>
    <x v="0"/>
    <s v="Chaqueta"/>
    <s v="Gris"/>
    <s v="Levis"/>
    <s v="MER-A0-3943"/>
    <d v="2025-01-18T00:00:00"/>
    <x v="1"/>
    <n v="76.63"/>
    <n v="0.2"/>
    <n v="119.96"/>
    <x v="2"/>
    <s v="No"/>
    <d v="2025-01-18T00:00:00"/>
    <n v="0"/>
  </r>
  <r>
    <s v="DEP-A0-3326"/>
    <x v="0"/>
    <n v="33"/>
    <x v="0"/>
    <s v="Falda"/>
    <s v="Verde"/>
    <s v="Tommy"/>
    <s v="MER-A0-3326"/>
    <d v="2025-02-13T00:00:00"/>
    <x v="1"/>
    <n v="82.13"/>
    <n v="0.1"/>
    <n v="120.06899999999999"/>
    <x v="2"/>
    <s v="No"/>
    <d v="2025-01-03T00:00:00"/>
    <n v="0"/>
  </r>
  <r>
    <s v="DEP-A0-2717"/>
    <x v="1"/>
    <n v="28"/>
    <x v="0"/>
    <s v="Pantalón"/>
    <s v="Amarillo"/>
    <s v="Adidas"/>
    <s v="MER-A0-2717"/>
    <d v="2025-01-19T00:00:00"/>
    <x v="1"/>
    <n v="119.3"/>
    <n v="0"/>
    <n v="122.80499999999999"/>
    <x v="2"/>
    <s v="No"/>
    <d v="2025-01-19T00:00:00"/>
    <n v="0"/>
  </r>
  <r>
    <s v="DEP-A0-2812"/>
    <x v="0"/>
    <n v="25"/>
    <x v="0"/>
    <s v="Falda"/>
    <s v="Amarillo"/>
    <s v="Nike"/>
    <s v="MER-A0-2812"/>
    <d v="2025-01-29T00:00:00"/>
    <x v="1"/>
    <n v="124.05"/>
    <n v="0.1"/>
    <n v="123.417"/>
    <x v="2"/>
    <s v="No"/>
    <d v="2025-01-29T00:00:00"/>
    <n v="0"/>
  </r>
  <r>
    <s v="DEP-A0-0402"/>
    <x v="0"/>
    <n v="25"/>
    <x v="0"/>
    <s v="Zapatos"/>
    <s v="Gris"/>
    <s v="Levis"/>
    <s v="MER-A0-0402"/>
    <d v="2025-01-31T00:00:00"/>
    <x v="1"/>
    <n v="154.85"/>
    <n v="0.3"/>
    <n v="125.559"/>
    <x v="2"/>
    <s v="No"/>
    <d v="2025-01-31T00:00:00"/>
    <n v="0"/>
  </r>
  <r>
    <s v="DEP-A0-2963"/>
    <x v="1"/>
    <n v="32"/>
    <x v="0"/>
    <s v="Zapatos"/>
    <s v="Rojo"/>
    <s v="Zara"/>
    <s v="MER-A0-2963"/>
    <d v="2025-01-27T00:00:00"/>
    <x v="1"/>
    <n v="158.44999999999999"/>
    <n v="0.3"/>
    <n v="125.968"/>
    <x v="2"/>
    <s v="No"/>
    <d v="2025-01-27T00:00:00"/>
    <n v="0"/>
  </r>
  <r>
    <s v="DEP-A0-3050"/>
    <x v="0"/>
    <n v="19"/>
    <x v="0"/>
    <s v="Vestido"/>
    <s v="Gris"/>
    <s v="Nike"/>
    <s v="MER-A0-3050"/>
    <d v="2025-01-19T00:00:00"/>
    <x v="1"/>
    <n v="174.94"/>
    <n v="0.1"/>
    <n v="126.252"/>
    <x v="2"/>
    <s v="No"/>
    <d v="2025-01-19T00:00:00"/>
    <n v="0"/>
  </r>
  <r>
    <s v="DEP-A0-2186"/>
    <x v="0"/>
    <n v="25"/>
    <x v="0"/>
    <s v="Falda"/>
    <s v="Amarillo"/>
    <s v="Adidas"/>
    <s v="MER-A0-2186"/>
    <d v="2025-01-08T00:00:00"/>
    <x v="1"/>
    <n v="185.35"/>
    <n v="0.3"/>
    <n v="127.33699999999999"/>
    <x v="2"/>
    <s v="No"/>
    <d v="2025-01-08T00:00:00"/>
    <n v="0"/>
  </r>
  <r>
    <s v="DEP-A0-0732"/>
    <x v="0"/>
    <n v="34"/>
    <x v="0"/>
    <s v="Chaqueta"/>
    <s v="Verde"/>
    <s v="Nike"/>
    <s v="MER-A0-0732"/>
    <d v="2025-02-13T00:00:00"/>
    <x v="1"/>
    <n v="185.85"/>
    <n v="0.2"/>
    <n v="127.89"/>
    <x v="2"/>
    <s v="No"/>
    <d v="2025-01-25T00:00:00"/>
    <n v="0"/>
  </r>
  <r>
    <s v="DEP-A0-0380"/>
    <x v="0"/>
    <n v="35"/>
    <x v="0"/>
    <s v="Blusa"/>
    <s v="Gris"/>
    <s v="Mango"/>
    <s v="MER-A0-0380"/>
    <d v="2025-02-06T00:00:00"/>
    <x v="1"/>
    <n v="165.57"/>
    <n v="0"/>
    <n v="131.04900000000001"/>
    <x v="2"/>
    <s v="No"/>
    <d v="2025-02-06T00:00:00"/>
    <n v="0"/>
  </r>
  <r>
    <s v="DEP-A0-3482"/>
    <x v="0"/>
    <n v="30"/>
    <x v="0"/>
    <s v="Camisa"/>
    <s v="Rojo"/>
    <s v="Tommy"/>
    <s v="MER-A0-3482"/>
    <d v="2025-02-11T00:00:00"/>
    <x v="1"/>
    <n v="55.77"/>
    <n v="0.1"/>
    <n v="134.078"/>
    <x v="2"/>
    <s v="No"/>
    <d v="2025-02-11T00:00:00"/>
    <n v="0"/>
  </r>
  <r>
    <s v="DEP-A0-0495"/>
    <x v="0"/>
    <n v="35"/>
    <x v="0"/>
    <s v="Blusa"/>
    <s v="Verde"/>
    <s v="Puma"/>
    <s v="MER-A0-0495"/>
    <d v="2025-02-11T00:00:00"/>
    <x v="1"/>
    <n v="182.3"/>
    <n v="0.2"/>
    <n v="134.24"/>
    <x v="2"/>
    <s v="No"/>
    <d v="2025-02-11T00:00:00"/>
    <n v="0"/>
  </r>
  <r>
    <s v="DEP-A0-1628"/>
    <x v="1"/>
    <n v="19"/>
    <x v="0"/>
    <s v="Chaqueta"/>
    <s v="Amarillo"/>
    <s v="Puma"/>
    <s v="MER-A0-1628"/>
    <d v="2025-02-12T00:00:00"/>
    <x v="1"/>
    <n v="61.86"/>
    <n v="0.1"/>
    <n v="134.34399999999999"/>
    <x v="2"/>
    <s v="No"/>
    <d v="2025-02-12T00:00:00"/>
    <n v="0"/>
  </r>
  <r>
    <s v="DEP-A0-1454"/>
    <x v="1"/>
    <n v="33"/>
    <x v="0"/>
    <s v="Camisa"/>
    <s v="Gris"/>
    <s v="Adidas"/>
    <s v="MER-A0-1454"/>
    <d v="2025-02-12T00:00:00"/>
    <x v="1"/>
    <n v="142.46"/>
    <n v="0.3"/>
    <n v="134.84100000000001"/>
    <x v="2"/>
    <s v="No"/>
    <d v="2025-02-12T00:00:00"/>
    <n v="0"/>
  </r>
  <r>
    <s v="DEP-A0-1372"/>
    <x v="0"/>
    <n v="19"/>
    <x v="0"/>
    <s v="Zapatos"/>
    <s v="Verde"/>
    <s v="Adidas"/>
    <s v="MER-A0-1372"/>
    <d v="2025-02-14T00:00:00"/>
    <x v="1"/>
    <n v="166.1"/>
    <n v="0.2"/>
    <n v="135.45599999999999"/>
    <x v="2"/>
    <s v="No"/>
    <d v="2025-02-14T00:00:00"/>
    <n v="0"/>
  </r>
  <r>
    <s v="DEP-A0-0782"/>
    <x v="1"/>
    <n v="26"/>
    <x v="0"/>
    <s v="Camisa"/>
    <s v="Amarillo"/>
    <s v="Mango"/>
    <s v="MER-A0-0782"/>
    <d v="2025-02-16T00:00:00"/>
    <x v="1"/>
    <n v="138.33000000000001"/>
    <n v="0"/>
    <n v="135.93"/>
    <x v="2"/>
    <s v="No"/>
    <d v="2025-02-16T00:00:00"/>
    <n v="0"/>
  </r>
  <r>
    <s v="DEP-A0-3621"/>
    <x v="0"/>
    <n v="29"/>
    <x v="0"/>
    <s v="Falda"/>
    <s v="Amarillo"/>
    <s v="Mango"/>
    <s v="MER-A0-3621"/>
    <d v="2025-02-19T00:00:00"/>
    <x v="1"/>
    <n v="20.51"/>
    <n v="0.1"/>
    <n v="138.523"/>
    <x v="2"/>
    <s v="No"/>
    <d v="2025-02-19T00:00:00"/>
    <n v="0"/>
  </r>
  <r>
    <s v="DEP-A0-0479"/>
    <x v="1"/>
    <n v="19"/>
    <x v="0"/>
    <s v="Camisa"/>
    <s v="Negro"/>
    <s v="Levis"/>
    <s v="MER-A0-0479"/>
    <d v="2025-02-19T00:00:00"/>
    <x v="1"/>
    <n v="25.81"/>
    <n v="0.1"/>
    <n v="138.976"/>
    <x v="2"/>
    <s v="No"/>
    <d v="2025-02-19T00:00:00"/>
    <n v="0"/>
  </r>
  <r>
    <s v="DEP-A0-3337"/>
    <x v="0"/>
    <n v="23"/>
    <x v="0"/>
    <s v="Vestido"/>
    <s v="Rojo"/>
    <s v="Zara"/>
    <s v="MER-A0-3337"/>
    <d v="2025-02-21T00:00:00"/>
    <x v="1"/>
    <n v="75.06"/>
    <n v="0"/>
    <n v="139.79700000000003"/>
    <x v="2"/>
    <s v="No"/>
    <d v="2025-02-21T00:00:00"/>
    <n v="0"/>
  </r>
  <r>
    <s v="DEP-A0-4754"/>
    <x v="1"/>
    <n v="19"/>
    <x v="0"/>
    <s v="Chaqueta"/>
    <s v="Azul"/>
    <s v="Mango"/>
    <s v="MER-A0-4754"/>
    <d v="2025-02-21T00:00:00"/>
    <x v="1"/>
    <n v="168.68"/>
    <n v="0.1"/>
    <n v="139.88800000000001"/>
    <x v="2"/>
    <s v="No"/>
    <d v="2025-02-21T00:00:00"/>
    <n v="0"/>
  </r>
  <r>
    <s v="DEP-A0-4504"/>
    <x v="0"/>
    <n v="31"/>
    <x v="0"/>
    <s v="Falda"/>
    <s v="Gris"/>
    <s v="Mango"/>
    <s v="MER-A0-4504"/>
    <d v="2025-02-25T00:00:00"/>
    <x v="1"/>
    <n v="114.5"/>
    <n v="0"/>
    <n v="142.38999999999999"/>
    <x v="2"/>
    <s v="No"/>
    <d v="2025-02-25T00:00:00"/>
    <n v="0"/>
  </r>
  <r>
    <s v="DEP-A0-4326"/>
    <x v="1"/>
    <n v="31"/>
    <x v="0"/>
    <s v="Camisa"/>
    <s v="Verde"/>
    <s v="Zara"/>
    <s v="MER-A0-4326"/>
    <d v="2025-03-23T00:00:00"/>
    <x v="1"/>
    <n v="17.05"/>
    <n v="0"/>
    <n v="145.15199999999999"/>
    <x v="2"/>
    <s v="No"/>
    <d v="2025-03-23T00:00:00"/>
    <n v="0"/>
  </r>
  <r>
    <s v="DEP-A0-4963"/>
    <x v="0"/>
    <n v="30"/>
    <x v="0"/>
    <s v="Blusa"/>
    <s v="Negro"/>
    <s v="Mango"/>
    <s v="MER-A0-4963"/>
    <d v="2025-03-14T00:00:00"/>
    <x v="1"/>
    <n v="19.149999999999999"/>
    <n v="0"/>
    <n v="145.85"/>
    <x v="2"/>
    <s v="No"/>
    <d v="2025-03-14T00:00:00"/>
    <n v="0"/>
  </r>
  <r>
    <s v="DEP-A0-3188"/>
    <x v="1"/>
    <n v="29"/>
    <x v="0"/>
    <s v="Camisa"/>
    <s v="Amarillo"/>
    <s v="Levis"/>
    <s v="MER-A0-3188"/>
    <d v="2025-03-30T00:00:00"/>
    <x v="1"/>
    <n v="38.840000000000003"/>
    <n v="0.1"/>
    <n v="147.77600000000001"/>
    <x v="2"/>
    <s v="No"/>
    <d v="2025-03-30T00:00:00"/>
    <n v="0"/>
  </r>
  <r>
    <s v="DEP-A0-4808"/>
    <x v="1"/>
    <n v="35"/>
    <x v="0"/>
    <s v="Chaqueta"/>
    <s v="Rojo"/>
    <s v="Zara"/>
    <s v="MER-A0-4808"/>
    <d v="2025-03-02T00:00:00"/>
    <x v="1"/>
    <n v="52.99"/>
    <n v="0.3"/>
    <n v="148.40099999999998"/>
    <x v="2"/>
    <s v="No"/>
    <d v="2025-03-02T00:00:00"/>
    <n v="0"/>
  </r>
  <r>
    <s v="DEP-A0-3078"/>
    <x v="0"/>
    <n v="20"/>
    <x v="0"/>
    <s v="Blusa"/>
    <s v="Azul"/>
    <s v="Levis"/>
    <s v="MER-A0-3078"/>
    <d v="2025-03-25T00:00:00"/>
    <x v="1"/>
    <n v="55.14"/>
    <n v="0.3"/>
    <n v="149.4"/>
    <x v="2"/>
    <s v="No"/>
    <d v="2025-03-25T00:00:00"/>
    <n v="0"/>
  </r>
  <r>
    <s v="DEP-A0-4014"/>
    <x v="1"/>
    <n v="34"/>
    <x v="0"/>
    <s v="Pantalón"/>
    <s v="Amarillo"/>
    <s v="Levis"/>
    <s v="MER-A0-4014"/>
    <d v="2025-03-31T00:00:00"/>
    <x v="1"/>
    <n v="70.84"/>
    <n v="0.2"/>
    <n v="152.43199999999999"/>
    <x v="2"/>
    <s v="No"/>
    <d v="2025-03-31T00:00:00"/>
    <n v="0"/>
  </r>
  <r>
    <s v="DEP-A0-2913"/>
    <x v="0"/>
    <n v="33"/>
    <x v="0"/>
    <s v="Blusa"/>
    <s v="Verde"/>
    <s v="Levis"/>
    <s v="MER-A0-2913"/>
    <d v="2025-03-31T00:00:00"/>
    <x v="1"/>
    <n v="80.83"/>
    <n v="0.2"/>
    <n v="152.75700000000001"/>
    <x v="2"/>
    <s v="No"/>
    <d v="2025-03-31T00:00:00"/>
    <n v="0"/>
  </r>
  <r>
    <s v="DEP-A0-1967"/>
    <x v="0"/>
    <n v="28"/>
    <x v="0"/>
    <s v="Vestido"/>
    <s v="Rojo"/>
    <s v="Levis"/>
    <s v="MER-A0-1967"/>
    <d v="2025-03-15T00:00:00"/>
    <x v="1"/>
    <n v="95.48"/>
    <n v="0"/>
    <n v="153.328"/>
    <x v="2"/>
    <s v="No"/>
    <d v="2025-03-15T00:00:00"/>
    <n v="0"/>
  </r>
  <r>
    <s v="DEP-A0-4654"/>
    <x v="0"/>
    <n v="29"/>
    <x v="0"/>
    <s v="Chaqueta"/>
    <s v="Rojo"/>
    <s v="Zara"/>
    <s v="MER-A0-4654"/>
    <d v="2025-03-08T00:00:00"/>
    <x v="1"/>
    <n v="111.76"/>
    <n v="0.1"/>
    <n v="154.62"/>
    <x v="2"/>
    <s v="No"/>
    <d v="2025-03-08T00:00:00"/>
    <n v="0"/>
  </r>
  <r>
    <s v="DEP-A0-2435"/>
    <x v="0"/>
    <n v="34"/>
    <x v="0"/>
    <s v="Pantalón"/>
    <s v="Blanco"/>
    <s v="Zara"/>
    <s v="MER-A0-2435"/>
    <d v="2025-03-11T00:00:00"/>
    <x v="1"/>
    <n v="127.51"/>
    <n v="0.2"/>
    <n v="156.27599999999998"/>
    <x v="2"/>
    <s v="No"/>
    <d v="2025-03-11T00:00:00"/>
    <n v="0"/>
  </r>
  <r>
    <s v="DEP-A0-1884"/>
    <x v="1"/>
    <n v="28"/>
    <x v="0"/>
    <s v="Pantalón"/>
    <s v="Negro"/>
    <s v="Mango"/>
    <s v="MER-A0-1884"/>
    <d v="2025-03-17T00:00:00"/>
    <x v="1"/>
    <n v="133.13"/>
    <n v="0.2"/>
    <n v="157.005"/>
    <x v="2"/>
    <s v="No"/>
    <d v="2025-03-17T00:00:00"/>
    <n v="0"/>
  </r>
  <r>
    <s v="DEP-A0-2806"/>
    <x v="0"/>
    <n v="30"/>
    <x v="0"/>
    <s v="Zapatos"/>
    <s v="Negro"/>
    <s v="Levis"/>
    <s v="MER-A0-2806"/>
    <d v="2025-03-18T00:00:00"/>
    <x v="1"/>
    <n v="140.02000000000001"/>
    <n v="0"/>
    <n v="157.21"/>
    <x v="2"/>
    <s v="No"/>
    <d v="2025-03-18T00:00:00"/>
    <n v="0"/>
  </r>
  <r>
    <s v="DEP-A0-3594"/>
    <x v="1"/>
    <n v="35"/>
    <x v="0"/>
    <s v="Pantalón"/>
    <s v="Negro"/>
    <s v="Mango"/>
    <s v="MER-A0-3594"/>
    <d v="2025-03-04T00:00:00"/>
    <x v="1"/>
    <n v="145.49"/>
    <n v="0"/>
    <n v="157.232"/>
    <x v="2"/>
    <s v="No"/>
    <d v="2025-03-04T00:00:00"/>
    <n v="0"/>
  </r>
  <r>
    <s v="DEP-A0-4497"/>
    <x v="1"/>
    <n v="29"/>
    <x v="0"/>
    <s v="Camisa"/>
    <s v="Rojo"/>
    <s v="Nike"/>
    <s v="MER-A0-4497"/>
    <d v="2025-03-16T00:00:00"/>
    <x v="1"/>
    <n v="176.14"/>
    <n v="0.3"/>
    <n v="159.40799999999999"/>
    <x v="2"/>
    <s v="No"/>
    <d v="2025-03-16T00:00:00"/>
    <n v="0"/>
  </r>
  <r>
    <s v="DEP-A0-2743"/>
    <x v="0"/>
    <n v="21"/>
    <x v="0"/>
    <s v="Blusa"/>
    <s v="Amarillo"/>
    <s v="Levis"/>
    <s v="MER-A0-2743"/>
    <d v="2025-04-02T00:00:00"/>
    <x v="1"/>
    <n v="10.050000000000001"/>
    <n v="0.2"/>
    <n v="163.22"/>
    <x v="2"/>
    <s v="No"/>
    <d v="2025-04-02T00:00:00"/>
    <n v="0"/>
  </r>
  <r>
    <s v="DEP-A0-1173"/>
    <x v="0"/>
    <n v="24"/>
    <x v="0"/>
    <s v="Blusa"/>
    <s v="Gris"/>
    <s v="Levis"/>
    <s v="MER-A0-1173"/>
    <d v="2025-04-16T00:00:00"/>
    <x v="1"/>
    <n v="38.25"/>
    <n v="0.2"/>
    <n v="165.83"/>
    <x v="2"/>
    <s v="No"/>
    <d v="2025-04-16T00:00:00"/>
    <n v="0"/>
  </r>
  <r>
    <s v="DEP-A0-1468"/>
    <x v="0"/>
    <n v="30"/>
    <x v="0"/>
    <s v="Blusa"/>
    <s v="Verde"/>
    <s v="Mango"/>
    <s v="MER-A0-1468"/>
    <d v="2025-04-11T00:00:00"/>
    <x v="1"/>
    <n v="99.21"/>
    <n v="0.3"/>
    <n v="178.209"/>
    <x v="2"/>
    <s v="No"/>
    <d v="2025-04-11T00:00:00"/>
    <n v="0"/>
  </r>
  <r>
    <s v="DEP-A0-1653"/>
    <x v="1"/>
    <n v="35"/>
    <x v="0"/>
    <s v="Zapatos"/>
    <s v="Gris"/>
    <s v="Levis"/>
    <s v="MER-A0-1653"/>
    <d v="2025-04-17T00:00:00"/>
    <x v="1"/>
    <n v="188.57"/>
    <n v="0.2"/>
    <n v="194.78"/>
    <x v="2"/>
    <s v="No"/>
    <d v="2025-04-17T00:00:00"/>
    <n v="0"/>
  </r>
  <r>
    <s v="DEP-A0-1987"/>
    <x v="1"/>
    <n v="20"/>
    <x v="0"/>
    <s v="Pantalón"/>
    <s v="Negro"/>
    <s v="Nike"/>
    <s v="MER-A0-1987"/>
    <d v="2025-04-13T00:00:00"/>
    <x v="1"/>
    <n v="198.71"/>
    <n v="0"/>
    <n v="195.77"/>
    <x v="2"/>
    <s v="No"/>
    <d v="2025-04-13T00:00:00"/>
    <n v="0"/>
  </r>
  <r>
    <s v="DEP-A0-2498"/>
    <x v="0"/>
    <n v="28"/>
    <x v="0"/>
    <s v="Pantalón"/>
    <s v="Blanco"/>
    <s v="Adidas"/>
    <s v="MER-A0-2498"/>
    <d v="2025-05-20T00:00:00"/>
    <x v="1"/>
    <n v="11.18"/>
    <n v="0.1"/>
    <n v="198.54"/>
    <x v="2"/>
    <s v="No"/>
    <d v="2025-05-20T00:00:00"/>
    <n v="0"/>
  </r>
  <r>
    <s v="DEP-A0-1248"/>
    <x v="0"/>
    <n v="32"/>
    <x v="0"/>
    <s v="Vestido"/>
    <s v="Verde"/>
    <s v="Zara"/>
    <s v="MER-A0-1248"/>
    <d v="2025-05-19T00:00:00"/>
    <x v="1"/>
    <n v="14.78"/>
    <n v="0.2"/>
    <n v="199.32"/>
    <x v="2"/>
    <s v="No"/>
    <d v="2025-05-19T00:00:00"/>
    <n v="0"/>
  </r>
  <r>
    <s v="DEP-A0-0054"/>
    <x v="0"/>
    <n v="28"/>
    <x v="0"/>
    <s v="Zapatos"/>
    <s v="Rojo"/>
    <s v="Mango"/>
    <s v="MER-A0-0054"/>
    <d v="2025-05-04T00:00:00"/>
    <x v="1"/>
    <n v="18.02"/>
    <n v="0.1"/>
    <n v="32.130000000000003"/>
    <x v="2"/>
    <s v="No"/>
    <d v="2025-05-04T00:00:00"/>
    <n v="0"/>
  </r>
  <r>
    <s v="DEP-A0-2227"/>
    <x v="0"/>
    <n v="28"/>
    <x v="0"/>
    <s v="Falda"/>
    <s v="Azul"/>
    <s v="Zara"/>
    <s v="MER-A0-2227"/>
    <d v="2025-05-18T00:00:00"/>
    <x v="1"/>
    <n v="43.7"/>
    <n v="0"/>
    <n v="142.63200000000001"/>
    <x v="2"/>
    <s v="No"/>
    <d v="2025-05-18T00:00:00"/>
    <n v="0"/>
  </r>
  <r>
    <s v="DEP-A0-0983"/>
    <x v="1"/>
    <n v="25"/>
    <x v="0"/>
    <s v="Camisa"/>
    <s v="Rojo"/>
    <s v="Mango"/>
    <s v="MER-A0-0983"/>
    <d v="2025-05-15T00:00:00"/>
    <x v="1"/>
    <n v="64.040000000000006"/>
    <n v="0.1"/>
    <n v="167.10299999999998"/>
    <x v="2"/>
    <s v="No"/>
    <d v="2025-05-15T00:00:00"/>
    <n v="0"/>
  </r>
  <r>
    <s v="DEP-A0-1599"/>
    <x v="0"/>
    <n v="32"/>
    <x v="0"/>
    <s v="Chaqueta"/>
    <s v="Rojo"/>
    <s v="Levis"/>
    <s v="MER-A0-1599"/>
    <d v="2025-05-30T00:00:00"/>
    <x v="1"/>
    <n v="71.38"/>
    <n v="0"/>
    <n v="124.13800000000001"/>
    <x v="2"/>
    <s v="No"/>
    <d v="2025-05-30T00:00:00"/>
    <n v="0"/>
  </r>
  <r>
    <s v="DEP-A0-1191"/>
    <x v="0"/>
    <n v="21"/>
    <x v="0"/>
    <s v="Falda"/>
    <s v="Azul"/>
    <s v="Mango"/>
    <s v="MER-A0-1191"/>
    <d v="2025-05-15T00:00:00"/>
    <x v="1"/>
    <n v="101.57"/>
    <n v="0.3"/>
    <n v="39.242000000000004"/>
    <x v="2"/>
    <s v="No"/>
    <d v="2025-05-15T00:00:00"/>
    <n v="0"/>
  </r>
  <r>
    <s v="DEP-A0-1841"/>
    <x v="0"/>
    <n v="20"/>
    <x v="0"/>
    <s v="Vestido"/>
    <s v="Azul"/>
    <s v="Mango"/>
    <s v="MER-A0-1841"/>
    <d v="2025-05-20T00:00:00"/>
    <x v="1"/>
    <n v="112.13"/>
    <n v="0"/>
    <n v="40.733000000000004"/>
    <x v="2"/>
    <s v="No"/>
    <d v="2025-05-20T00:00:00"/>
    <n v="0"/>
  </r>
  <r>
    <s v="DEP-A0-3290"/>
    <x v="0"/>
    <n v="21"/>
    <x v="0"/>
    <s v="Vestido"/>
    <s v="Blanco"/>
    <s v="Nike"/>
    <s v="MER-A0-3290"/>
    <d v="2025-05-12T00:00:00"/>
    <x v="1"/>
    <n v="134.72999999999999"/>
    <n v="0.3"/>
    <n v="107.81100000000001"/>
    <x v="2"/>
    <s v="No"/>
    <d v="2025-05-12T00:00:00"/>
    <n v="0"/>
  </r>
  <r>
    <s v="DEP-A0-2035"/>
    <x v="0"/>
    <n v="31"/>
    <x v="0"/>
    <s v="Camisa"/>
    <s v="Rojo"/>
    <s v="Mango"/>
    <s v="MER-A0-2035"/>
    <d v="2025-05-18T00:00:00"/>
    <x v="1"/>
    <n v="138.37"/>
    <n v="0.1"/>
    <n v="96.455999999999989"/>
    <x v="2"/>
    <s v="No"/>
    <d v="2025-05-18T00:00:00"/>
    <n v="0"/>
  </r>
  <r>
    <s v="DEP-A0-1065"/>
    <x v="0"/>
    <n v="28"/>
    <x v="0"/>
    <s v="Falda"/>
    <s v="Rojo"/>
    <s v="Tommy"/>
    <s v="MER-A0-1065"/>
    <d v="2025-05-30T00:00:00"/>
    <x v="1"/>
    <n v="144.58000000000001"/>
    <n v="0.2"/>
    <n v="141.904"/>
    <x v="2"/>
    <s v="No"/>
    <d v="2025-05-30T00:00:00"/>
    <n v="0"/>
  </r>
  <r>
    <s v="DEP-A0-1004"/>
    <x v="1"/>
    <n v="35"/>
    <x v="0"/>
    <s v="Zapatos"/>
    <s v="Negro"/>
    <s v="Adidas"/>
    <s v="MER-A0-1004"/>
    <d v="2025-05-03T00:00:00"/>
    <x v="1"/>
    <n v="160.72"/>
    <n v="0.1"/>
    <n v="188.62"/>
    <x v="2"/>
    <s v="No"/>
    <d v="2025-05-03T00:00:00"/>
    <n v="0"/>
  </r>
  <r>
    <s v="DEP-A0-4925"/>
    <x v="1"/>
    <n v="27"/>
    <x v="0"/>
    <s v="Zapatos"/>
    <s v="Verde"/>
    <s v="Levis"/>
    <s v="MER-A0-4925"/>
    <d v="2025-05-14T00:00:00"/>
    <x v="1"/>
    <n v="164.44"/>
    <n v="0.3"/>
    <n v="132.34899999999999"/>
    <x v="2"/>
    <s v="No"/>
    <d v="2025-05-14T00:00:00"/>
    <n v="0"/>
  </r>
  <r>
    <s v="DEP-A0-0877"/>
    <x v="0"/>
    <n v="19"/>
    <x v="0"/>
    <s v="Camisa"/>
    <s v="Rojo"/>
    <s v="Mango"/>
    <s v="MER-A0-0877"/>
    <d v="2025-05-08T00:00:00"/>
    <x v="1"/>
    <n v="171.12"/>
    <n v="0.2"/>
    <n v="11.43"/>
    <x v="2"/>
    <s v="No"/>
    <d v="2025-05-08T00:00:00"/>
    <n v="0"/>
  </r>
  <r>
    <s v="DEP-A0-4433"/>
    <x v="1"/>
    <n v="21"/>
    <x v="0"/>
    <s v="Camisa"/>
    <s v="Blanco"/>
    <s v="Tommy"/>
    <s v="MER-A0-4433"/>
    <d v="2025-05-13T00:00:00"/>
    <x v="1"/>
    <n v="182.92"/>
    <n v="0.1"/>
    <n v="47.138000000000005"/>
    <x v="2"/>
    <s v="No"/>
    <d v="2025-05-13T00:00:00"/>
    <n v="0"/>
  </r>
  <r>
    <s v="DEP-A0-1999"/>
    <x v="0"/>
    <n v="23"/>
    <x v="0"/>
    <s v="Falda"/>
    <s v="Negro"/>
    <s v="Tommy"/>
    <s v="MER-A0-1999"/>
    <d v="2025-05-16T00:00:00"/>
    <x v="1"/>
    <n v="183.56"/>
    <n v="0"/>
    <n v="67.87"/>
    <x v="2"/>
    <s v="No"/>
    <d v="2025-05-16T00:00:00"/>
    <n v="0"/>
  </r>
  <r>
    <s v="DEP-A0-4516"/>
    <x v="0"/>
    <n v="22"/>
    <x v="0"/>
    <s v="Blusa"/>
    <s v="Negro"/>
    <s v="Mango"/>
    <s v="MER-A0-4516"/>
    <d v="2025-05-05T00:00:00"/>
    <x v="1"/>
    <n v="188.75"/>
    <n v="0.1"/>
    <n v="68.84"/>
    <x v="2"/>
    <s v="No"/>
    <d v="2025-05-05T00:00:00"/>
    <n v="0"/>
  </r>
  <r>
    <s v="DEP-A0-0209"/>
    <x v="0"/>
    <n v="22"/>
    <x v="0"/>
    <s v="Chaqueta"/>
    <s v="Verde"/>
    <s v="Zara"/>
    <s v="MER-A0-0209"/>
    <d v="2025-06-26T00:00:00"/>
    <x v="1"/>
    <n v="19.39"/>
    <n v="0.3"/>
    <n v="85.74"/>
    <x v="2"/>
    <s v="No"/>
    <d v="2025-06-26T00:00:00"/>
    <n v="0"/>
  </r>
  <r>
    <s v="DEP-A0-4615"/>
    <x v="1"/>
    <n v="23"/>
    <x v="0"/>
    <s v="Chaqueta"/>
    <s v="Rojo"/>
    <s v="Adidas"/>
    <s v="MER-A0-4615"/>
    <d v="2025-06-14T00:00:00"/>
    <x v="1"/>
    <n v="29.99"/>
    <n v="0.3"/>
    <n v="82.503999999999991"/>
    <x v="2"/>
    <s v="No"/>
    <d v="2025-06-14T00:00:00"/>
    <n v="0"/>
  </r>
  <r>
    <s v="DEP-A0-3820"/>
    <x v="1"/>
    <n v="25"/>
    <x v="0"/>
    <s v="Chaqueta"/>
    <s v="Amarillo"/>
    <s v="Puma"/>
    <s v="MER-A0-3820"/>
    <d v="2025-06-15T00:00:00"/>
    <x v="1"/>
    <n v="34.22"/>
    <n v="0.2"/>
    <n v="77.707000000000008"/>
    <x v="2"/>
    <s v="No"/>
    <d v="2025-06-15T00:00:00"/>
    <n v="0"/>
  </r>
  <r>
    <s v="DEP-A0-0510"/>
    <x v="0"/>
    <n v="28"/>
    <x v="0"/>
    <s v="Pantalón"/>
    <s v="Blanco"/>
    <s v="Tommy"/>
    <s v="MER-A0-0510"/>
    <d v="2025-06-26T00:00:00"/>
    <x v="1"/>
    <n v="39.729999999999997"/>
    <n v="0.3"/>
    <n v="87.611999999999995"/>
    <x v="2"/>
    <s v="No"/>
    <d v="2025-06-26T00:00:00"/>
    <n v="0"/>
  </r>
  <r>
    <s v="DEP-A0-2406"/>
    <x v="1"/>
    <n v="24"/>
    <x v="0"/>
    <s v="Zapatos"/>
    <s v="Blanco"/>
    <s v="Mango"/>
    <s v="MER-A0-2406"/>
    <d v="2025-06-28T00:00:00"/>
    <x v="1"/>
    <n v="55.85"/>
    <n v="0"/>
    <n v="122.992"/>
    <x v="2"/>
    <s v="No"/>
    <d v="2025-06-28T00:00:00"/>
    <n v="0"/>
  </r>
  <r>
    <s v="DEP-A0-1089"/>
    <x v="0"/>
    <n v="28"/>
    <x v="0"/>
    <s v="Vestido"/>
    <s v="Negro"/>
    <s v="Mango"/>
    <s v="MER-A0-1089"/>
    <d v="2025-06-19T00:00:00"/>
    <x v="1"/>
    <n v="83.31"/>
    <n v="0.3"/>
    <n v="124.63199999999999"/>
    <x v="2"/>
    <s v="No"/>
    <d v="2025-06-19T00:00:00"/>
    <n v="0"/>
  </r>
  <r>
    <s v="DEP-A0-4148"/>
    <x v="1"/>
    <n v="35"/>
    <x v="0"/>
    <s v="Chaqueta"/>
    <s v="Gris"/>
    <s v="Nike"/>
    <s v="MER-A0-4148"/>
    <d v="2025-06-09T00:00:00"/>
    <x v="1"/>
    <n v="100.88"/>
    <n v="0.3"/>
    <n v="120.08500000000001"/>
    <x v="2"/>
    <s v="No"/>
    <d v="2025-06-09T00:00:00"/>
    <n v="0"/>
  </r>
  <r>
    <s v="DEP-A0-4973"/>
    <x v="1"/>
    <n v="24"/>
    <x v="0"/>
    <s v="Chaqueta"/>
    <s v="Amarillo"/>
    <s v="Puma"/>
    <s v="MER-A0-4973"/>
    <d v="2025-06-02T00:00:00"/>
    <x v="1"/>
    <n v="143.96"/>
    <n v="0"/>
    <n v="77.376000000000005"/>
    <x v="2"/>
    <s v="No"/>
    <d v="2025-06-02T00:00:00"/>
    <n v="0"/>
  </r>
  <r>
    <s v="DEP-A0-0885"/>
    <x v="0"/>
    <n v="33"/>
    <x v="0"/>
    <s v="Blusa"/>
    <s v="Rojo"/>
    <s v="Puma"/>
    <s v="MER-A0-0885"/>
    <d v="2025-06-15T00:00:00"/>
    <x v="1"/>
    <n v="151.6"/>
    <n v="0.2"/>
    <n v="16.317"/>
    <x v="2"/>
    <s v="No"/>
    <d v="2025-06-15T00:00:00"/>
    <n v="0"/>
  </r>
  <r>
    <s v="DEP-A0-2404"/>
    <x v="0"/>
    <n v="21"/>
    <x v="0"/>
    <s v="Pantalón"/>
    <s v="Blanco"/>
    <s v="Adidas"/>
    <s v="MER-A0-2404"/>
    <d v="2025-06-09T00:00:00"/>
    <x v="1"/>
    <n v="159.49"/>
    <n v="0.1"/>
    <n v="56.769999999999996"/>
    <x v="2"/>
    <s v="No"/>
    <d v="2025-06-09T00:00:00"/>
    <n v="0"/>
  </r>
  <r>
    <s v="DEP-A0-0008"/>
    <x v="0"/>
    <n v="23"/>
    <x v="0"/>
    <s v="Camisa"/>
    <s v="Gris"/>
    <s v="Tommy"/>
    <s v="MER-A0-0008"/>
    <d v="2025-06-14T00:00:00"/>
    <x v="1"/>
    <n v="165.73"/>
    <n v="0"/>
    <n v="34.419000000000004"/>
    <x v="2"/>
    <s v="No"/>
    <d v="2025-06-14T00:00:00"/>
    <n v="0"/>
  </r>
  <r>
    <s v="DEP-A0-3583"/>
    <x v="1"/>
    <n v="27"/>
    <x v="0"/>
    <s v="Zapatos"/>
    <s v="Amarillo"/>
    <s v="Zara"/>
    <s v="MER-A0-3583"/>
    <d v="2025-06-12T00:00:00"/>
    <x v="1"/>
    <n v="172.31"/>
    <n v="0.1"/>
    <n v="195.24"/>
    <x v="2"/>
    <s v="No"/>
    <d v="2025-06-12T00:00:00"/>
    <n v="0"/>
  </r>
  <r>
    <s v="DEP-A0-3581"/>
    <x v="0"/>
    <n v="31"/>
    <x v="0"/>
    <s v="Vestido"/>
    <s v="Rojo"/>
    <s v="Tommy"/>
    <s v="MER-A0-3581"/>
    <d v="2025-07-17T00:00:00"/>
    <x v="1"/>
    <n v="20.190000000000001"/>
    <n v="0"/>
    <n v="115.587"/>
    <x v="2"/>
    <s v="No"/>
    <d v="2025-07-17T00:00:00"/>
    <n v="0"/>
  </r>
  <r>
    <s v="DEP-A0-3889"/>
    <x v="0"/>
    <n v="35"/>
    <x v="0"/>
    <s v="Falda"/>
    <s v="Rojo"/>
    <s v="Mango"/>
    <s v="MER-A0-3889"/>
    <d v="2025-07-12T00:00:00"/>
    <x v="1"/>
    <n v="26.64"/>
    <n v="0.2"/>
    <n v="67.77"/>
    <x v="2"/>
    <s v="No"/>
    <d v="2025-07-12T00:00:00"/>
    <n v="0"/>
  </r>
  <r>
    <s v="DEP-A0-4296"/>
    <x v="0"/>
    <n v="34"/>
    <x v="0"/>
    <s v="Falda"/>
    <s v="Azul"/>
    <s v="Nike"/>
    <s v="MER-A0-4296"/>
    <d v="2025-07-19T00:00:00"/>
    <x v="1"/>
    <n v="138.31"/>
    <n v="0.2"/>
    <n v="132.55000000000001"/>
    <x v="2"/>
    <s v="No"/>
    <d v="2025-07-19T00:00:00"/>
    <n v="0"/>
  </r>
  <r>
    <s v="DEP-A0-1278"/>
    <x v="0"/>
    <n v="34"/>
    <x v="0"/>
    <s v="Camisa"/>
    <s v="Amarillo"/>
    <s v="Mango"/>
    <s v="MER-A0-1278"/>
    <d v="2025-07-17T00:00:00"/>
    <x v="1"/>
    <n v="162.72999999999999"/>
    <n v="0.2"/>
    <n v="8.8559999999999999"/>
    <x v="2"/>
    <s v="No"/>
    <d v="2025-07-17T00:00:00"/>
    <n v="0"/>
  </r>
  <r>
    <s v="DEP-A0-3618"/>
    <x v="0"/>
    <n v="32"/>
    <x v="0"/>
    <s v="Pantalón"/>
    <s v="Amarillo"/>
    <s v="Puma"/>
    <s v="MER-A0-3618"/>
    <d v="2025-07-04T00:00:00"/>
    <x v="1"/>
    <n v="189.17"/>
    <n v="0"/>
    <n v="21.951999999999998"/>
    <x v="2"/>
    <s v="No"/>
    <d v="2025-07-04T00:00:00"/>
    <n v="0"/>
  </r>
  <r>
    <s v="DEP-A0-3619"/>
    <x v="1"/>
    <n v="22"/>
    <x v="0"/>
    <s v="Chaqueta"/>
    <s v="Verde"/>
    <s v="Tommy"/>
    <s v="MER-A0-3619"/>
    <d v="2025-08-16T00:00:00"/>
    <x v="1"/>
    <n v="42.6"/>
    <n v="0"/>
    <n v="57.22"/>
    <x v="2"/>
    <s v="No"/>
    <d v="2025-08-16T00:00:00"/>
    <n v="0"/>
  </r>
  <r>
    <s v="DEP-A0-2446"/>
    <x v="0"/>
    <n v="35"/>
    <x v="0"/>
    <s v="Vestido"/>
    <s v="Blanco"/>
    <s v="Adidas"/>
    <s v="MER-A0-2446"/>
    <d v="2025-08-08T00:00:00"/>
    <x v="1"/>
    <n v="80.180000000000007"/>
    <n v="0.2"/>
    <n v="63.882000000000005"/>
    <x v="2"/>
    <s v="No"/>
    <d v="2025-08-08T00:00:00"/>
    <n v="0"/>
  </r>
  <r>
    <s v="DEP-A0-4100"/>
    <x v="0"/>
    <n v="30"/>
    <x v="0"/>
    <s v="Zapatos"/>
    <s v="Blanco"/>
    <s v="Adidas"/>
    <s v="MER-A0-4100"/>
    <d v="2025-08-15T00:00:00"/>
    <x v="1"/>
    <n v="110.4"/>
    <n v="0"/>
    <n v="90.350999999999999"/>
    <x v="2"/>
    <s v="No"/>
    <d v="2025-08-15T00:00:00"/>
    <n v="0"/>
  </r>
  <r>
    <s v="DEP-A0-4895"/>
    <x v="0"/>
    <n v="19"/>
    <x v="0"/>
    <s v="Chaqueta"/>
    <s v="Amarillo"/>
    <s v="Nike"/>
    <s v="MER-A0-4895"/>
    <d v="2025-08-14T00:00:00"/>
    <x v="1"/>
    <n v="119.23"/>
    <n v="0.2"/>
    <n v="70.42"/>
    <x v="2"/>
    <s v="No"/>
    <d v="2025-08-14T00:00:00"/>
    <n v="0"/>
  </r>
  <r>
    <s v="DEP-A0-3841"/>
    <x v="0"/>
    <n v="20"/>
    <x v="0"/>
    <s v="Chaqueta"/>
    <s v="Blanco"/>
    <s v="Zara"/>
    <s v="MER-A0-3841"/>
    <d v="2025-02-13T00:00:00"/>
    <x v="1"/>
    <n v="20.46"/>
    <n v="0"/>
    <n v="123.38900000000001"/>
    <x v="2"/>
    <s v="Sí"/>
    <d v="2025-01-26T00:00:00"/>
    <n v="0"/>
  </r>
  <r>
    <s v="DEP-A0-3041"/>
    <x v="1"/>
    <n v="23"/>
    <x v="0"/>
    <s v="Pantalón"/>
    <s v="Amarillo"/>
    <s v="Mango"/>
    <s v="MER-A0-3041"/>
    <d v="2025-01-05T00:00:00"/>
    <x v="1"/>
    <n v="25.71"/>
    <n v="0.1"/>
    <n v="15.64"/>
    <x v="2"/>
    <s v="Sí"/>
    <d v="2025-01-05T00:00:00"/>
    <n v="0"/>
  </r>
  <r>
    <s v="DEP-A0-4342"/>
    <x v="0"/>
    <n v="30"/>
    <x v="0"/>
    <s v="Blusa"/>
    <s v="Gris"/>
    <s v="Adidas"/>
    <s v="MER-A0-4342"/>
    <d v="2025-01-24T00:00:00"/>
    <x v="1"/>
    <n v="25.74"/>
    <n v="0.1"/>
    <n v="24.471"/>
    <x v="2"/>
    <s v="Sí"/>
    <d v="2025-01-24T00:00:00"/>
    <n v="0"/>
  </r>
  <r>
    <s v="DEP-A0-4958"/>
    <x v="1"/>
    <n v="23"/>
    <x v="0"/>
    <s v="Camisa"/>
    <s v="Amarillo"/>
    <s v="Levis"/>
    <s v="MER-A0-4958"/>
    <d v="2025-01-09T00:00:00"/>
    <x v="1"/>
    <n v="28.69"/>
    <n v="0.1"/>
    <n v="24.485999999999997"/>
    <x v="2"/>
    <s v="Sí"/>
    <d v="2025-01-09T00:00:00"/>
    <n v="0"/>
  </r>
  <r>
    <s v="DEP-A0-4404"/>
    <x v="0"/>
    <n v="35"/>
    <x v="0"/>
    <s v="Falda"/>
    <s v="Negro"/>
    <s v="Zara"/>
    <s v="MER-A0-4404"/>
    <d v="2025-01-03T00:00:00"/>
    <x v="1"/>
    <n v="36.799999999999997"/>
    <n v="0.1"/>
    <n v="47"/>
    <x v="2"/>
    <s v="Sí"/>
    <d v="2025-01-03T00:00:00"/>
    <n v="0"/>
  </r>
  <r>
    <s v="DEP-A0-4072"/>
    <x v="0"/>
    <n v="34"/>
    <x v="0"/>
    <s v="Chaqueta"/>
    <s v="Gris"/>
    <s v="Puma"/>
    <s v="MER-A0-4072"/>
    <d v="2025-02-13T00:00:00"/>
    <x v="1"/>
    <n v="57.64"/>
    <n v="0.1"/>
    <n v="49.923999999999992"/>
    <x v="2"/>
    <s v="Sí"/>
    <d v="2025-01-18T00:00:00"/>
    <n v="0"/>
  </r>
  <r>
    <s v="DEP-A0-4687"/>
    <x v="0"/>
    <n v="34"/>
    <x v="0"/>
    <s v="Falda"/>
    <s v="Verde"/>
    <s v="Levis"/>
    <s v="MER-A0-4687"/>
    <d v="2025-02-13T00:00:00"/>
    <x v="1"/>
    <n v="58.68"/>
    <n v="0.3"/>
    <n v="67.742999999999995"/>
    <x v="2"/>
    <s v="Sí"/>
    <d v="2025-01-31T00:00:00"/>
    <n v="0"/>
  </r>
  <r>
    <s v="DEP-A0-0114"/>
    <x v="0"/>
    <n v="21"/>
    <x v="0"/>
    <s v="Vestido"/>
    <s v="Verde"/>
    <s v="Zara"/>
    <s v="MER-A0-0114"/>
    <d v="2025-02-13T00:00:00"/>
    <x v="1"/>
    <n v="59.68"/>
    <n v="0"/>
    <n v="71.73"/>
    <x v="2"/>
    <s v="Sí"/>
    <d v="2025-01-06T00:00:00"/>
    <n v="0"/>
  </r>
  <r>
    <s v="DEP-A0-0697"/>
    <x v="1"/>
    <n v="22"/>
    <x v="0"/>
    <s v="Pantalón"/>
    <s v="Amarillo"/>
    <s v="Levis"/>
    <s v="MER-A0-0697"/>
    <d v="2025-02-13T00:00:00"/>
    <x v="1"/>
    <n v="63.28"/>
    <n v="0"/>
    <n v="62.475000000000001"/>
    <x v="2"/>
    <s v="Sí"/>
    <d v="2025-01-24T00:00:00"/>
    <n v="0"/>
  </r>
  <r>
    <s v="DEP-A0-3081"/>
    <x v="0"/>
    <n v="30"/>
    <x v="0"/>
    <s v="Pantalón"/>
    <s v="Blanco"/>
    <s v="Adidas"/>
    <s v="MER-A0-3081"/>
    <d v="2025-01-01T00:00:00"/>
    <x v="1"/>
    <n v="97.17"/>
    <n v="0"/>
    <n v="130.11000000000001"/>
    <x v="2"/>
    <s v="Sí"/>
    <d v="2025-01-01T00:00:00"/>
    <n v="0"/>
  </r>
  <r>
    <s v="DEP-A0-1784"/>
    <x v="0"/>
    <n v="35"/>
    <x v="0"/>
    <s v="Vestido"/>
    <s v="Rojo"/>
    <s v="Nike"/>
    <s v="MER-A0-1784"/>
    <d v="2025-01-19T00:00:00"/>
    <x v="1"/>
    <n v="97.39"/>
    <n v="0.1"/>
    <n v="131.06"/>
    <x v="2"/>
    <s v="Sí"/>
    <d v="2025-01-19T00:00:00"/>
    <n v="0"/>
  </r>
  <r>
    <s v="DEP-A0-4459"/>
    <x v="0"/>
    <n v="33"/>
    <x v="0"/>
    <s v="Falda"/>
    <s v="Negro"/>
    <s v="Tommy"/>
    <s v="MER-A0-4459"/>
    <d v="2025-02-13T00:00:00"/>
    <x v="1"/>
    <n v="106.09"/>
    <n v="0.1"/>
    <n v="144.93"/>
    <x v="2"/>
    <s v="Sí"/>
    <d v="2025-01-14T00:00:00"/>
    <n v="0"/>
  </r>
  <r>
    <s v="DEP-A0-3260"/>
    <x v="1"/>
    <n v="22"/>
    <x v="0"/>
    <s v="Camisa"/>
    <s v="Verde"/>
    <s v="Tommy"/>
    <s v="MER-A0-3260"/>
    <d v="2025-01-24T00:00:00"/>
    <x v="1"/>
    <n v="121.36"/>
    <n v="0.2"/>
    <n v="126.224"/>
    <x v="2"/>
    <s v="Sí"/>
    <d v="2025-01-24T00:00:00"/>
    <n v="0"/>
  </r>
  <r>
    <s v="DEP-A0-3939"/>
    <x v="0"/>
    <n v="33"/>
    <x v="0"/>
    <s v="Falda"/>
    <s v="Blanco"/>
    <s v="Tommy"/>
    <s v="MER-A0-3939"/>
    <d v="2025-01-19T00:00:00"/>
    <x v="1"/>
    <n v="129.96"/>
    <n v="0.3"/>
    <n v="157.41899999999998"/>
    <x v="2"/>
    <s v="Sí"/>
    <d v="2025-01-19T00:00:00"/>
    <n v="0"/>
  </r>
  <r>
    <s v="DEP-A0-0625"/>
    <x v="0"/>
    <n v="22"/>
    <x v="0"/>
    <s v="Chaqueta"/>
    <s v="Gris"/>
    <s v="Levis"/>
    <s v="MER-A0-0625"/>
    <d v="2025-02-13T00:00:00"/>
    <x v="1"/>
    <n v="17.010000000000002"/>
    <n v="0"/>
    <n v="11.802"/>
    <x v="2"/>
    <s v="Sí"/>
    <d v="2025-07-25T00:00:00"/>
    <n v="6"/>
  </r>
  <r>
    <s v="DEP-A0-2198"/>
    <x v="0"/>
    <n v="35"/>
    <x v="0"/>
    <s v="Blusa"/>
    <s v="Rojo"/>
    <s v="Mango"/>
    <s v="MER-A0-2198"/>
    <d v="2025-02-13T00:00:00"/>
    <x v="1"/>
    <n v="17.97"/>
    <n v="0.3"/>
    <n v="15.672000000000001"/>
    <x v="2"/>
    <s v="Sí"/>
    <d v="2025-10-04T00:00:00"/>
    <n v="9"/>
  </r>
  <r>
    <s v="DEP-A0-1409"/>
    <x v="0"/>
    <n v="26"/>
    <x v="0"/>
    <s v="Camisa"/>
    <s v="Amarillo"/>
    <s v="Puma"/>
    <s v="MER-A0-1409"/>
    <d v="2025-02-13T00:00:00"/>
    <x v="1"/>
    <n v="22.83"/>
    <n v="0.1"/>
    <n v="17.015999999999998"/>
    <x v="2"/>
    <s v="Sí"/>
    <d v="2025-04-03T00:00:00"/>
    <n v="3"/>
  </r>
  <r>
    <s v="DEP-A0-0895"/>
    <x v="0"/>
    <n v="30"/>
    <x v="0"/>
    <s v="Vestido"/>
    <s v="Negro"/>
    <s v="Nike"/>
    <s v="MER-A0-0895"/>
    <d v="2025-02-13T00:00:00"/>
    <x v="1"/>
    <n v="24.32"/>
    <n v="0.2"/>
    <n v="18.928000000000001"/>
    <x v="2"/>
    <s v="Sí"/>
    <d v="2025-04-13T00:00:00"/>
    <n v="3"/>
  </r>
  <r>
    <s v="DEP-A0-3443"/>
    <x v="0"/>
    <n v="23"/>
    <x v="0"/>
    <s v="Zapatos"/>
    <s v="Blanco"/>
    <s v="Adidas"/>
    <s v="MER-A0-3443"/>
    <d v="2025-01-15T00:00:00"/>
    <x v="1"/>
    <n v="30.54"/>
    <n v="0.2"/>
    <n v="30.095999999999997"/>
    <x v="2"/>
    <s v="Sí"/>
    <d v="2025-07-14T00:00:00"/>
    <n v="6"/>
  </r>
  <r>
    <s v="DEP-A0-0891"/>
    <x v="0"/>
    <n v="19"/>
    <x v="0"/>
    <s v="Falda"/>
    <s v="Verde"/>
    <s v="Puma"/>
    <s v="MER-A0-0891"/>
    <d v="2025-01-15T00:00:00"/>
    <x v="1"/>
    <n v="44.49"/>
    <n v="0.3"/>
    <n v="54.828000000000003"/>
    <x v="2"/>
    <s v="Sí"/>
    <d v="2025-07-14T00:00:00"/>
    <n v="6"/>
  </r>
  <r>
    <s v="DEP-A0-4357"/>
    <x v="0"/>
    <n v="28"/>
    <x v="0"/>
    <s v="Falda"/>
    <s v="Amarillo"/>
    <s v="Nike"/>
    <s v="MER-A0-4357"/>
    <d v="2025-02-13T00:00:00"/>
    <x v="1"/>
    <n v="62.48"/>
    <n v="0.1"/>
    <n v="57.834000000000003"/>
    <x v="2"/>
    <s v="Sí"/>
    <d v="2026-01-02T00:00:00"/>
    <n v="12"/>
  </r>
  <r>
    <s v="DEP-A0-2768"/>
    <x v="0"/>
    <n v="34"/>
    <x v="0"/>
    <s v="Blusa"/>
    <s v="Rojo"/>
    <s v="Nike"/>
    <s v="MER-A0-2768"/>
    <d v="2025-02-13T00:00:00"/>
    <x v="1"/>
    <n v="68.42"/>
    <n v="0.1"/>
    <n v="62.747999999999998"/>
    <x v="2"/>
    <s v="Sí"/>
    <d v="2025-04-27T00:00:00"/>
    <n v="3"/>
  </r>
  <r>
    <s v="DEP-A0-1108"/>
    <x v="0"/>
    <n v="35"/>
    <x v="0"/>
    <s v="Zapatos"/>
    <s v="Amarillo"/>
    <s v="Mango"/>
    <s v="MER-A0-1108"/>
    <d v="2025-01-28T00:00:00"/>
    <x v="1"/>
    <n v="77.77"/>
    <n v="0.1"/>
    <n v="77.319000000000003"/>
    <x v="2"/>
    <s v="Sí"/>
    <d v="2025-07-27T00:00:00"/>
    <n v="6"/>
  </r>
  <r>
    <s v="DEP-A0-1926"/>
    <x v="1"/>
    <n v="35"/>
    <x v="0"/>
    <s v="Zapatos"/>
    <s v="Rojo"/>
    <s v="Tommy"/>
    <s v="MER-A0-1926"/>
    <d v="2025-02-13T00:00:00"/>
    <x v="1"/>
    <n v="83.21"/>
    <n v="0"/>
    <n v="77.570999999999998"/>
    <x v="2"/>
    <s v="Sí"/>
    <d v="2025-09-28T00:00:00"/>
    <n v="9"/>
  </r>
  <r>
    <s v="DEP-A0-3839"/>
    <x v="0"/>
    <n v="35"/>
    <x v="0"/>
    <s v="Zapatos"/>
    <s v="Blanco"/>
    <s v="Tommy"/>
    <s v="MER-A0-3839"/>
    <d v="2025-02-13T00:00:00"/>
    <x v="1"/>
    <n v="101.05"/>
    <n v="0.3"/>
    <n v="96.87"/>
    <x v="2"/>
    <s v="Sí"/>
    <d v="2026-01-13T00:00:00"/>
    <n v="12"/>
  </r>
  <r>
    <s v="DEP-A0-4883"/>
    <x v="1"/>
    <n v="28"/>
    <x v="0"/>
    <s v="Zapatos"/>
    <s v="Verde"/>
    <s v="Puma"/>
    <s v="MER-A0-4883"/>
    <d v="2025-02-13T00:00:00"/>
    <x v="1"/>
    <n v="103.98"/>
    <n v="0"/>
    <n v="69.180999999999997"/>
    <x v="2"/>
    <s v="Sí"/>
    <d v="2025-09-29T00:00:00"/>
    <n v="9"/>
  </r>
  <r>
    <s v="DEP-A0-4378"/>
    <x v="0"/>
    <n v="18"/>
    <x v="0"/>
    <s v="Blusa"/>
    <s v="Negro"/>
    <s v="Nike"/>
    <s v="MER-A0-4378"/>
    <d v="2025-01-10T00:00:00"/>
    <x v="1"/>
    <n v="128.30000000000001"/>
    <n v="0.3"/>
    <n v="102.078"/>
    <x v="2"/>
    <s v="Sí"/>
    <d v="2025-07-09T00:00:00"/>
    <n v="6"/>
  </r>
  <r>
    <s v="DEP-A0-0154"/>
    <x v="0"/>
    <n v="32"/>
    <x v="0"/>
    <s v="Vestido"/>
    <s v="Negro"/>
    <s v="Mango"/>
    <s v="MER-A0-0154"/>
    <d v="2025-01-31T00:00:00"/>
    <x v="1"/>
    <n v="129.71"/>
    <n v="0.1"/>
    <n v="119.19"/>
    <x v="2"/>
    <s v="Sí"/>
    <d v="2025-07-30T00:00:00"/>
    <n v="6"/>
  </r>
  <r>
    <s v="DEP-A0-4313"/>
    <x v="0"/>
    <n v="31"/>
    <x v="0"/>
    <s v="Zapatos"/>
    <s v="Amarillo"/>
    <s v="Zara"/>
    <s v="MER-A0-4313"/>
    <d v="2025-01-25T00:00:00"/>
    <x v="1"/>
    <n v="134.47"/>
    <n v="0.3"/>
    <n v="93.722999999999985"/>
    <x v="2"/>
    <s v="Sí"/>
    <d v="2026-01-20T00:00:00"/>
    <n v="12"/>
  </r>
  <r>
    <s v="DEP-A0-3003"/>
    <x v="0"/>
    <n v="25"/>
    <x v="0"/>
    <s v="Zapatos"/>
    <s v="Gris"/>
    <s v="Adidas"/>
    <s v="MER-A0-3003"/>
    <d v="2025-01-27T00:00:00"/>
    <x v="1"/>
    <n v="139.83000000000001"/>
    <n v="0.3"/>
    <n v="133.36199999999999"/>
    <x v="2"/>
    <s v="Sí"/>
    <d v="2025-10-24T00:00:00"/>
    <n v="9"/>
  </r>
  <r>
    <s v="DEP-A0-2180"/>
    <x v="1"/>
    <n v="32"/>
    <x v="0"/>
    <s v="Pantalón"/>
    <s v="Verde"/>
    <s v="Nike"/>
    <s v="MER-A0-2180"/>
    <d v="2025-01-06T00:00:00"/>
    <x v="1"/>
    <n v="140.77000000000001"/>
    <n v="0"/>
    <n v="143.19"/>
    <x v="2"/>
    <s v="Sí"/>
    <d v="2026-01-01T00:00:00"/>
    <n v="12"/>
  </r>
  <r>
    <s v="DEP-A0-4273"/>
    <x v="0"/>
    <n v="33"/>
    <x v="0"/>
    <s v="Vestido"/>
    <s v="Verde"/>
    <s v="Adidas"/>
    <s v="MER-A0-4273"/>
    <d v="2025-01-06T00:00:00"/>
    <x v="1"/>
    <n v="169.19"/>
    <n v="0.1"/>
    <n v="161.18100000000001"/>
    <x v="2"/>
    <s v="Sí"/>
    <d v="2025-10-03T00:00:00"/>
    <n v="9"/>
  </r>
  <r>
    <s v="DEP-A0-0157"/>
    <x v="0"/>
    <n v="27"/>
    <x v="0"/>
    <s v="Pantalón"/>
    <s v="Amarillo"/>
    <s v="Zara"/>
    <s v="MER-A0-0157"/>
    <d v="2025-01-08T00:00:00"/>
    <x v="1"/>
    <n v="176.81"/>
    <n v="0.1"/>
    <n v="152.21600000000001"/>
    <x v="2"/>
    <s v="Sí"/>
    <d v="2025-04-08T00:00:00"/>
    <n v="3"/>
  </r>
  <r>
    <s v="DEP-A0-3957"/>
    <x v="1"/>
    <n v="18"/>
    <x v="0"/>
    <s v="Chaqueta"/>
    <s v="Rojo"/>
    <s v="Nike"/>
    <s v="MER-A0-3957"/>
    <d v="2025-01-23T00:00:00"/>
    <x v="1"/>
    <n v="183.26"/>
    <n v="0"/>
    <n v="21.490000000000002"/>
    <x v="2"/>
    <s v="Sí"/>
    <d v="2025-10-20T00:00:00"/>
    <n v="9"/>
  </r>
  <r>
    <s v="DEP-A0-2046"/>
    <x v="0"/>
    <n v="20"/>
    <x v="0"/>
    <s v="Vestido"/>
    <s v="Blanco"/>
    <s v="Zara"/>
    <s v="MER-A0-2046"/>
    <d v="2025-02-01T00:00:00"/>
    <x v="1"/>
    <n v="118.13"/>
    <n v="0.3"/>
    <n v="67.56"/>
    <x v="2"/>
    <s v="Sí"/>
    <d v="2026-01-27T00:00:00"/>
    <n v="12"/>
  </r>
  <r>
    <s v="DEP-A0-0332"/>
    <x v="1"/>
    <n v="31"/>
    <x v="0"/>
    <s v="Camisa"/>
    <s v="Rojo"/>
    <s v="Puma"/>
    <s v="MER-A0-0332"/>
    <d v="2025-02-08T00:00:00"/>
    <x v="1"/>
    <n v="58.3"/>
    <n v="0.2"/>
    <n v="136.93599999999998"/>
    <x v="2"/>
    <s v="Sí"/>
    <d v="2026-02-03T00:00:00"/>
    <n v="12"/>
  </r>
  <r>
    <s v="DEP-A0-4028"/>
    <x v="0"/>
    <n v="31"/>
    <x v="0"/>
    <s v="Zapatos"/>
    <s v="Negro"/>
    <s v="Levis"/>
    <s v="MER-A0-4028"/>
    <d v="2025-02-12T00:00:00"/>
    <x v="1"/>
    <n v="96.8"/>
    <n v="0.1"/>
    <n v="190.94"/>
    <x v="2"/>
    <s v="Sí"/>
    <d v="2025-08-11T00:00:00"/>
    <n v="6"/>
  </r>
  <r>
    <s v="DEP-A0-4127"/>
    <x v="0"/>
    <n v="32"/>
    <x v="0"/>
    <s v="Vestido"/>
    <s v="Rojo"/>
    <s v="Zara"/>
    <s v="MER-A0-4127"/>
    <d v="2025-02-12T00:00:00"/>
    <x v="1"/>
    <n v="196.58"/>
    <n v="0.3"/>
    <n v="191.08"/>
    <x v="2"/>
    <s v="Sí"/>
    <d v="2025-11-09T00:00:00"/>
    <n v="9"/>
  </r>
  <r>
    <s v="DEP-A0-4021"/>
    <x v="1"/>
    <n v="24"/>
    <x v="0"/>
    <s v="Camisa"/>
    <s v="Gris"/>
    <s v="Puma"/>
    <s v="MER-A0-4021"/>
    <d v="2025-02-14T00:00:00"/>
    <x v="1"/>
    <n v="63.1"/>
    <n v="0.2"/>
    <n v="19.391999999999999"/>
    <x v="2"/>
    <s v="Sí"/>
    <d v="2025-08-13T00:00:00"/>
    <n v="6"/>
  </r>
  <r>
    <s v="DEP-A0-3663"/>
    <x v="1"/>
    <n v="30"/>
    <x v="0"/>
    <s v="Chaqueta"/>
    <s v="Blanco"/>
    <s v="Puma"/>
    <s v="MER-A0-3663"/>
    <d v="2025-02-14T00:00:00"/>
    <x v="1"/>
    <n v="97.04"/>
    <n v="0.2"/>
    <n v="26.38"/>
    <x v="2"/>
    <s v="Sí"/>
    <d v="2026-02-09T00:00:00"/>
    <n v="12"/>
  </r>
  <r>
    <s v="DEP-A0-3531"/>
    <x v="0"/>
    <n v="30"/>
    <x v="0"/>
    <s v="Zapatos"/>
    <s v="Azul"/>
    <s v="Zara"/>
    <s v="MER-A0-3531"/>
    <d v="2025-02-14T00:00:00"/>
    <x v="1"/>
    <n v="97.71"/>
    <n v="0.3"/>
    <n v="25.631999999999998"/>
    <x v="2"/>
    <s v="Sí"/>
    <d v="2025-11-11T00:00:00"/>
    <n v="9"/>
  </r>
  <r>
    <s v="DEP-A0-0246"/>
    <x v="0"/>
    <n v="20"/>
    <x v="0"/>
    <s v="Vestido"/>
    <s v="Verde"/>
    <s v="Levis"/>
    <s v="MER-A0-0246"/>
    <d v="2025-02-18T00:00:00"/>
    <x v="1"/>
    <n v="103.82"/>
    <n v="0"/>
    <n v="163.5"/>
    <x v="2"/>
    <s v="Sí"/>
    <d v="2026-02-13T00:00:00"/>
    <n v="12"/>
  </r>
  <r>
    <s v="DEP-A0-0776"/>
    <x v="0"/>
    <n v="35"/>
    <x v="0"/>
    <s v="Blusa"/>
    <s v="Blanco"/>
    <s v="Nike"/>
    <s v="MER-A0-0776"/>
    <d v="2025-02-20T00:00:00"/>
    <x v="1"/>
    <n v="122.33"/>
    <n v="0.2"/>
    <n v="23.96"/>
    <x v="2"/>
    <s v="Sí"/>
    <d v="2026-02-15T00:00:00"/>
    <n v="12"/>
  </r>
  <r>
    <s v="DEP-A0-3082"/>
    <x v="0"/>
    <n v="35"/>
    <x v="0"/>
    <s v="Zapatos"/>
    <s v="Azul"/>
    <s v="Adidas"/>
    <s v="MER-A0-3082"/>
    <d v="2025-02-21T00:00:00"/>
    <x v="1"/>
    <n v="113.54"/>
    <n v="0"/>
    <n v="26.431999999999999"/>
    <x v="2"/>
    <s v="Sí"/>
    <d v="2025-11-18T00:00:00"/>
    <n v="9"/>
  </r>
  <r>
    <s v="DEP-A0-4035"/>
    <x v="1"/>
    <n v="24"/>
    <x v="0"/>
    <s v="Chaqueta"/>
    <s v="Amarillo"/>
    <s v="Zara"/>
    <s v="MER-A0-4035"/>
    <d v="2025-03-06T00:00:00"/>
    <x v="1"/>
    <n v="39.549999999999997"/>
    <n v="0.3"/>
    <n v="45.81"/>
    <x v="2"/>
    <s v="Sí"/>
    <d v="2025-09-02T00:00:00"/>
    <n v="6"/>
  </r>
  <r>
    <s v="DEP-A0-2619"/>
    <x v="0"/>
    <n v="21"/>
    <x v="0"/>
    <s v="Vestido"/>
    <s v="Rojo"/>
    <s v="Adidas"/>
    <s v="MER-A0-2619"/>
    <d v="2025-03-22T00:00:00"/>
    <x v="1"/>
    <n v="51.7"/>
    <n v="0.3"/>
    <n v="75.27"/>
    <x v="2"/>
    <s v="Sí"/>
    <d v="2026-03-17T00:00:00"/>
    <n v="12"/>
  </r>
  <r>
    <s v="DEP-A0-2558"/>
    <x v="1"/>
    <n v="28"/>
    <x v="0"/>
    <s v="Chaqueta"/>
    <s v="Negro"/>
    <s v="Mango"/>
    <s v="MER-A0-2558"/>
    <d v="2025-03-19T00:00:00"/>
    <x v="1"/>
    <n v="67.400000000000006"/>
    <n v="0.3"/>
    <n v="68.557999999999993"/>
    <x v="2"/>
    <s v="Sí"/>
    <d v="2026-03-14T00:00:00"/>
    <n v="12"/>
  </r>
  <r>
    <s v="DEP-A0-0695"/>
    <x v="0"/>
    <n v="29"/>
    <x v="0"/>
    <s v="Pantalón"/>
    <s v="Amarillo"/>
    <s v="Mango"/>
    <s v="MER-A0-0695"/>
    <d v="2025-03-12T00:00:00"/>
    <x v="1"/>
    <n v="68.569999999999993"/>
    <n v="0"/>
    <n v="79.311999999999998"/>
    <x v="2"/>
    <s v="Sí"/>
    <d v="2025-06-10T00:00:00"/>
    <n v="3"/>
  </r>
  <r>
    <s v="DEP-A0-3724"/>
    <x v="0"/>
    <n v="20"/>
    <x v="0"/>
    <s v="Pantalón"/>
    <s v="Negro"/>
    <s v="Puma"/>
    <s v="MER-A0-3724"/>
    <d v="2025-03-13T00:00:00"/>
    <x v="1"/>
    <n v="74.2"/>
    <n v="0.1"/>
    <n v="87.066000000000003"/>
    <x v="2"/>
    <s v="Sí"/>
    <d v="2025-06-11T00:00:00"/>
    <n v="3"/>
  </r>
  <r>
    <s v="DEP-A0-0258"/>
    <x v="0"/>
    <n v="34"/>
    <x v="0"/>
    <s v="Blusa"/>
    <s v="Negro"/>
    <s v="Nike"/>
    <s v="MER-A0-0258"/>
    <d v="2025-03-07T00:00:00"/>
    <x v="1"/>
    <n v="81.650000000000006"/>
    <n v="0"/>
    <n v="47.305999999999997"/>
    <x v="2"/>
    <s v="Sí"/>
    <d v="2025-12-02T00:00:00"/>
    <n v="9"/>
  </r>
  <r>
    <s v="DEP-A0-0470"/>
    <x v="0"/>
    <n v="27"/>
    <x v="0"/>
    <s v="Chaqueta"/>
    <s v="Verde"/>
    <s v="Levis"/>
    <s v="MER-A0-0470"/>
    <d v="2025-03-14T00:00:00"/>
    <x v="1"/>
    <n v="96.47"/>
    <n v="0.3"/>
    <n v="71.16"/>
    <x v="2"/>
    <s v="Sí"/>
    <d v="2025-06-12T00:00:00"/>
    <n v="3"/>
  </r>
  <r>
    <s v="DEP-A0-0152"/>
    <x v="0"/>
    <n v="22"/>
    <x v="0"/>
    <s v="Falda"/>
    <s v="Blanco"/>
    <s v="Puma"/>
    <s v="MER-A0-0152"/>
    <d v="2025-03-08T00:00:00"/>
    <x v="1"/>
    <n v="113.35"/>
    <n v="0"/>
    <n v="19.466999999999999"/>
    <x v="2"/>
    <s v="Sí"/>
    <d v="2025-09-04T00:00:00"/>
    <n v="6"/>
  </r>
  <r>
    <s v="DEP-A0-1940"/>
    <x v="0"/>
    <n v="34"/>
    <x v="0"/>
    <s v="Blusa"/>
    <s v="Rojo"/>
    <s v="Adidas"/>
    <s v="MER-A0-1940"/>
    <d v="2025-03-04T00:00:00"/>
    <x v="1"/>
    <n v="114.42"/>
    <n v="0.2"/>
    <n v="29.256"/>
    <x v="2"/>
    <s v="Sí"/>
    <d v="2025-06-02T00:00:00"/>
    <n v="3"/>
  </r>
  <r>
    <s v="DEP-A0-1421"/>
    <x v="0"/>
    <n v="25"/>
    <x v="0"/>
    <s v="Zapatos"/>
    <s v="Rojo"/>
    <s v="Zara"/>
    <s v="MER-A0-1421"/>
    <d v="2025-03-05T00:00:00"/>
    <x v="1"/>
    <n v="127.39"/>
    <n v="0.2"/>
    <n v="62.167999999999992"/>
    <x v="2"/>
    <s v="Sí"/>
    <d v="2026-02-28T00:00:00"/>
    <n v="12"/>
  </r>
  <r>
    <s v="DEP-A0-2125"/>
    <x v="0"/>
    <n v="22"/>
    <x v="0"/>
    <s v="Falda"/>
    <s v="Negro"/>
    <s v="Zara"/>
    <s v="MER-A0-2125"/>
    <d v="2025-03-31T00:00:00"/>
    <x v="1"/>
    <n v="135.9"/>
    <n v="0.2"/>
    <n v="68.831000000000003"/>
    <x v="2"/>
    <s v="Sí"/>
    <d v="2025-06-29T00:00:00"/>
    <n v="3"/>
  </r>
  <r>
    <s v="DEP-A0-0065"/>
    <x v="0"/>
    <n v="26"/>
    <x v="0"/>
    <s v="Pantalón"/>
    <s v="Amarillo"/>
    <s v="Mango"/>
    <s v="MER-A0-0065"/>
    <d v="2025-03-23T00:00:00"/>
    <x v="1"/>
    <n v="156.41999999999999"/>
    <n v="0.2"/>
    <n v="107.792"/>
    <x v="2"/>
    <s v="Sí"/>
    <d v="2026-03-18T00:00:00"/>
    <n v="12"/>
  </r>
  <r>
    <s v="DEP-A0-1531"/>
    <x v="0"/>
    <n v="33"/>
    <x v="0"/>
    <s v="Camisa"/>
    <s v="Azul"/>
    <s v="Mango"/>
    <s v="MER-A0-1531"/>
    <d v="2025-03-23T00:00:00"/>
    <x v="1"/>
    <n v="156.82"/>
    <n v="0.2"/>
    <n v="163.5"/>
    <x v="2"/>
    <s v="Sí"/>
    <d v="2025-06-21T00:00:00"/>
    <n v="3"/>
  </r>
  <r>
    <s v="DEP-A0-1938"/>
    <x v="0"/>
    <n v="30"/>
    <x v="0"/>
    <s v="Falda"/>
    <s v="Rojo"/>
    <s v="Levis"/>
    <s v="MER-A0-1938"/>
    <d v="2025-03-13T00:00:00"/>
    <x v="1"/>
    <n v="160.5"/>
    <n v="0"/>
    <n v="142.54400000000001"/>
    <x v="2"/>
    <s v="Sí"/>
    <d v="2026-03-08T00:00:00"/>
    <n v="12"/>
  </r>
  <r>
    <s v="DEP-A0-2259"/>
    <x v="0"/>
    <n v="21"/>
    <x v="0"/>
    <s v="Vestido"/>
    <s v="Blanco"/>
    <s v="Levis"/>
    <s v="MER-A0-2259"/>
    <d v="2025-03-18T00:00:00"/>
    <x v="1"/>
    <n v="162.04"/>
    <n v="0.3"/>
    <n v="178.72"/>
    <x v="2"/>
    <s v="Sí"/>
    <d v="2025-12-13T00:00:00"/>
    <n v="9"/>
  </r>
  <r>
    <s v="DEP-A0-2321"/>
    <x v="1"/>
    <n v="31"/>
    <x v="0"/>
    <s v="Zapatos"/>
    <s v="Verde"/>
    <s v="Puma"/>
    <s v="MER-A0-2321"/>
    <d v="2025-03-03T00:00:00"/>
    <x v="1"/>
    <n v="171.57"/>
    <n v="0"/>
    <n v="196.63"/>
    <x v="2"/>
    <s v="Sí"/>
    <d v="2025-06-01T00:00:00"/>
    <n v="3"/>
  </r>
  <r>
    <s v="DEP-A0-3806"/>
    <x v="0"/>
    <n v="22"/>
    <x v="0"/>
    <s v="Vestido"/>
    <s v="Rojo"/>
    <s v="Tommy"/>
    <s v="MER-A0-3806"/>
    <d v="2025-03-17T00:00:00"/>
    <x v="1"/>
    <n v="175.26"/>
    <n v="0.3"/>
    <n v="54.064"/>
    <x v="2"/>
    <s v="Sí"/>
    <d v="2026-03-12T00:00:00"/>
    <n v="12"/>
  </r>
  <r>
    <s v="DEP-A0-1515"/>
    <x v="1"/>
    <n v="28"/>
    <x v="0"/>
    <s v="Zapatos"/>
    <s v="Verde"/>
    <s v="Adidas"/>
    <s v="MER-A0-1515"/>
    <d v="2025-04-22T00:00:00"/>
    <x v="1"/>
    <n v="17.739999999999998"/>
    <n v="0.1"/>
    <n v="120.348"/>
    <x v="2"/>
    <s v="Sí"/>
    <d v="2025-10-19T00:00:00"/>
    <n v="6"/>
  </r>
  <r>
    <s v="DEP-A0-0194"/>
    <x v="0"/>
    <n v="35"/>
    <x v="0"/>
    <s v="Falda"/>
    <s v="Gris"/>
    <s v="Nike"/>
    <s v="MER-A0-0194"/>
    <d v="2025-04-18T00:00:00"/>
    <x v="1"/>
    <n v="32.29"/>
    <n v="0.2"/>
    <n v="89.478000000000009"/>
    <x v="2"/>
    <s v="Sí"/>
    <d v="2026-04-13T00:00:00"/>
    <n v="12"/>
  </r>
  <r>
    <s v="DEP-A0-3364"/>
    <x v="0"/>
    <n v="24"/>
    <x v="0"/>
    <s v="Pantalón"/>
    <s v="Azul"/>
    <s v="Levis"/>
    <s v="MER-A0-3364"/>
    <d v="2025-04-01T00:00:00"/>
    <x v="1"/>
    <n v="35.82"/>
    <n v="0.2"/>
    <n v="60.435000000000002"/>
    <x v="2"/>
    <s v="Sí"/>
    <d v="2025-09-28T00:00:00"/>
    <n v="6"/>
  </r>
  <r>
    <s v="DEP-A0-3785"/>
    <x v="1"/>
    <n v="33"/>
    <x v="0"/>
    <s v="Camisa"/>
    <s v="Verde"/>
    <s v="Adidas"/>
    <s v="MER-A0-3785"/>
    <d v="2025-04-07T00:00:00"/>
    <x v="1"/>
    <n v="58.37"/>
    <n v="0.1"/>
    <n v="95.147999999999996"/>
    <x v="2"/>
    <s v="Sí"/>
    <d v="2025-07-06T00:00:00"/>
    <n v="3"/>
  </r>
  <r>
    <s v="DEP-A0-3365"/>
    <x v="0"/>
    <n v="33"/>
    <x v="0"/>
    <s v="Vestido"/>
    <s v="Gris"/>
    <s v="Zara"/>
    <s v="MER-A0-3365"/>
    <d v="2025-04-16T00:00:00"/>
    <x v="1"/>
    <n v="70.400000000000006"/>
    <n v="0.3"/>
    <n v="57.65"/>
    <x v="2"/>
    <s v="Sí"/>
    <d v="2026-01-11T00:00:00"/>
    <n v="9"/>
  </r>
  <r>
    <s v="DEP-A0-1683"/>
    <x v="0"/>
    <n v="30"/>
    <x v="0"/>
    <s v="Vestido"/>
    <s v="Blanco"/>
    <s v="Zara"/>
    <s v="MER-A0-1683"/>
    <d v="2025-04-23T00:00:00"/>
    <x v="1"/>
    <n v="72.209999999999994"/>
    <n v="0.3"/>
    <n v="30.439999999999998"/>
    <x v="2"/>
    <s v="Sí"/>
    <d v="2025-10-20T00:00:00"/>
    <n v="6"/>
  </r>
  <r>
    <s v="DEP-A0-2667"/>
    <x v="0"/>
    <n v="27"/>
    <x v="0"/>
    <s v="Falda"/>
    <s v="Rojo"/>
    <s v="Mango"/>
    <s v="MER-A0-2667"/>
    <d v="2025-04-07T00:00:00"/>
    <x v="1"/>
    <n v="75.8"/>
    <n v="0.3"/>
    <n v="122.458"/>
    <x v="2"/>
    <s v="Sí"/>
    <d v="2026-01-02T00:00:00"/>
    <n v="9"/>
  </r>
  <r>
    <s v="DEP-A0-2884"/>
    <x v="0"/>
    <n v="28"/>
    <x v="0"/>
    <s v="Zapatos"/>
    <s v="Negro"/>
    <s v="Adidas"/>
    <s v="MER-A0-2884"/>
    <d v="2025-04-14T00:00:00"/>
    <x v="1"/>
    <n v="133.19"/>
    <n v="0.1"/>
    <n v="119.86800000000001"/>
    <x v="2"/>
    <s v="Sí"/>
    <d v="2026-01-09T00:00:00"/>
    <n v="9"/>
  </r>
  <r>
    <s v="DEP-A0-1604"/>
    <x v="1"/>
    <n v="26"/>
    <x v="0"/>
    <s v="Zapatos"/>
    <s v="Azul"/>
    <s v="Mango"/>
    <s v="MER-A0-1604"/>
    <d v="2025-04-03T00:00:00"/>
    <x v="1"/>
    <n v="170.35"/>
    <n v="0.1"/>
    <n v="27.143999999999998"/>
    <x v="2"/>
    <s v="Sí"/>
    <d v="2025-09-30T00:00:00"/>
    <n v="6"/>
  </r>
  <r>
    <s v="DEP-A0-1963"/>
    <x v="1"/>
    <n v="30"/>
    <x v="0"/>
    <s v="Zapatos"/>
    <s v="Gris"/>
    <s v="Mango"/>
    <s v="MER-A0-1963"/>
    <d v="2025-04-16T00:00:00"/>
    <x v="1"/>
    <n v="187.26"/>
    <n v="0.2"/>
    <n v="50.588999999999999"/>
    <x v="2"/>
    <s v="Sí"/>
    <d v="2025-10-13T00:00:00"/>
    <n v="6"/>
  </r>
  <r>
    <s v="DEP-A0-2536"/>
    <x v="1"/>
    <n v="35"/>
    <x v="0"/>
    <s v="Zapatos"/>
    <s v="Negro"/>
    <s v="Puma"/>
    <s v="MER-A0-2536"/>
    <d v="2025-04-28T00:00:00"/>
    <x v="1"/>
    <n v="191.09"/>
    <n v="0.1"/>
    <n v="50.936"/>
    <x v="2"/>
    <s v="Sí"/>
    <d v="2025-10-25T00:00:00"/>
    <n v="6"/>
  </r>
  <r>
    <s v="DEP-A0-2224"/>
    <x v="1"/>
    <n v="34"/>
    <x v="0"/>
    <s v="Zapatos"/>
    <s v="Amarillo"/>
    <s v="Puma"/>
    <s v="MER-A0-2224"/>
    <d v="2025-04-07T00:00:00"/>
    <x v="1"/>
    <n v="192.55"/>
    <n v="0"/>
    <n v="60.823999999999998"/>
    <x v="2"/>
    <s v="Sí"/>
    <d v="2025-07-06T00:00:00"/>
    <n v="3"/>
  </r>
  <r>
    <s v="DEP-A0-1164"/>
    <x v="1"/>
    <n v="28"/>
    <x v="0"/>
    <s v="Chaqueta"/>
    <s v="Azul"/>
    <s v="Tommy"/>
    <s v="MER-A0-1164"/>
    <d v="2025-05-15T00:00:00"/>
    <x v="1"/>
    <n v="15.9"/>
    <n v="0.3"/>
    <n v="72.819000000000003"/>
    <x v="2"/>
    <s v="Sí"/>
    <d v="2026-02-09T00:00:00"/>
    <n v="9"/>
  </r>
  <r>
    <s v="DEP-A0-2608"/>
    <x v="0"/>
    <n v="23"/>
    <x v="0"/>
    <s v="Blusa"/>
    <s v="Amarillo"/>
    <s v="Puma"/>
    <s v="MER-A0-2608"/>
    <d v="2025-05-04T00:00:00"/>
    <x v="1"/>
    <n v="22.2"/>
    <n v="0"/>
    <n v="74.637"/>
    <x v="2"/>
    <s v="Sí"/>
    <d v="2026-01-29T00:00:00"/>
    <n v="9"/>
  </r>
  <r>
    <s v="DEP-A0-4929"/>
    <x v="0"/>
    <n v="20"/>
    <x v="0"/>
    <s v="Vestido"/>
    <s v="Amarillo"/>
    <s v="Nike"/>
    <s v="MER-A0-4929"/>
    <d v="2025-05-04T00:00:00"/>
    <x v="1"/>
    <n v="28.25"/>
    <n v="0.2"/>
    <n v="68.159000000000006"/>
    <x v="2"/>
    <s v="Sí"/>
    <d v="2025-10-31T00:00:00"/>
    <n v="6"/>
  </r>
  <r>
    <s v="DEP-A0-2736"/>
    <x v="1"/>
    <n v="28"/>
    <x v="0"/>
    <s v="Pantalón"/>
    <s v="Negro"/>
    <s v="Levis"/>
    <s v="MER-A0-2736"/>
    <d v="2025-05-01T00:00:00"/>
    <x v="1"/>
    <n v="28.63"/>
    <n v="0.2"/>
    <n v="82.53"/>
    <x v="2"/>
    <s v="Sí"/>
    <d v="2026-04-26T00:00:00"/>
    <n v="12"/>
  </r>
  <r>
    <s v="DEP-A0-2501"/>
    <x v="0"/>
    <n v="25"/>
    <x v="0"/>
    <s v="Vestido"/>
    <s v="Gris"/>
    <s v="Mango"/>
    <s v="MER-A0-2501"/>
    <d v="2025-05-26T00:00:00"/>
    <x v="1"/>
    <n v="36.549999999999997"/>
    <n v="0.2"/>
    <n v="126.69300000000001"/>
    <x v="2"/>
    <s v="Sí"/>
    <d v="2026-05-21T00:00:00"/>
    <n v="12"/>
  </r>
  <r>
    <s v="DEP-A0-2532"/>
    <x v="0"/>
    <n v="32"/>
    <x v="0"/>
    <s v="Pantalón"/>
    <s v="Gris"/>
    <s v="Mango"/>
    <s v="MER-A0-2532"/>
    <d v="2025-05-26T00:00:00"/>
    <x v="1"/>
    <n v="68.680000000000007"/>
    <n v="0"/>
    <n v="170.25"/>
    <x v="2"/>
    <s v="Sí"/>
    <d v="2025-11-22T00:00:00"/>
    <n v="6"/>
  </r>
  <r>
    <s v="DEP-A0-2632"/>
    <x v="0"/>
    <n v="19"/>
    <x v="0"/>
    <s v="Zapatos"/>
    <s v="Gris"/>
    <s v="Zara"/>
    <s v="MER-A0-2632"/>
    <d v="2025-05-07T00:00:00"/>
    <x v="1"/>
    <n v="83.58"/>
    <n v="0.2"/>
    <n v="182.63"/>
    <x v="2"/>
    <s v="Sí"/>
    <d v="2026-05-02T00:00:00"/>
    <n v="12"/>
  </r>
  <r>
    <s v="DEP-A0-2037"/>
    <x v="0"/>
    <n v="26"/>
    <x v="0"/>
    <s v="Pantalón"/>
    <s v="Gris"/>
    <s v="Zara"/>
    <s v="MER-A0-2037"/>
    <d v="2025-05-22T00:00:00"/>
    <x v="1"/>
    <n v="102.54"/>
    <n v="0.2"/>
    <n v="32.83"/>
    <x v="2"/>
    <s v="Sí"/>
    <d v="2026-02-16T00:00:00"/>
    <n v="9"/>
  </r>
  <r>
    <s v="DEP-A0-2932"/>
    <x v="0"/>
    <n v="27"/>
    <x v="0"/>
    <s v="Falda"/>
    <s v="Gris"/>
    <s v="Adidas"/>
    <s v="MER-A0-2932"/>
    <d v="2025-05-29T00:00:00"/>
    <x v="1"/>
    <n v="107.95"/>
    <n v="0.2"/>
    <n v="33.615000000000002"/>
    <x v="2"/>
    <s v="Sí"/>
    <d v="2025-08-27T00:00:00"/>
    <n v="3"/>
  </r>
  <r>
    <s v="DEP-A0-2671"/>
    <x v="0"/>
    <n v="32"/>
    <x v="0"/>
    <s v="Blusa"/>
    <s v="Rojo"/>
    <s v="Nike"/>
    <s v="MER-A0-2671"/>
    <d v="2025-05-18T00:00:00"/>
    <x v="1"/>
    <n v="136.5"/>
    <n v="0.3"/>
    <n v="77.239999999999995"/>
    <x v="2"/>
    <s v="Sí"/>
    <d v="2026-05-13T00:00:00"/>
    <n v="12"/>
  </r>
  <r>
    <s v="DEP-A0-2183"/>
    <x v="0"/>
    <n v="28"/>
    <x v="0"/>
    <s v="Falda"/>
    <s v="Verde"/>
    <s v="Levis"/>
    <s v="MER-A0-2183"/>
    <d v="2025-05-01T00:00:00"/>
    <x v="1"/>
    <n v="138.4"/>
    <n v="0"/>
    <n v="74.745000000000005"/>
    <x v="2"/>
    <s v="Sí"/>
    <d v="2025-07-30T00:00:00"/>
    <n v="3"/>
  </r>
  <r>
    <s v="DEP-A0-0712"/>
    <x v="0"/>
    <n v="19"/>
    <x v="0"/>
    <s v="Chaqueta"/>
    <s v="Gris"/>
    <s v="Puma"/>
    <s v="MER-A0-0712"/>
    <d v="2025-05-06T00:00:00"/>
    <x v="1"/>
    <n v="176.17"/>
    <n v="0.1"/>
    <n v="108.999"/>
    <x v="2"/>
    <s v="Sí"/>
    <d v="2025-11-02T00:00:00"/>
    <n v="6"/>
  </r>
  <r>
    <s v="DEP-A0-3578"/>
    <x v="0"/>
    <n v="21"/>
    <x v="0"/>
    <s v="Falda"/>
    <s v="Azul"/>
    <s v="Adidas"/>
    <s v="MER-A0-3578"/>
    <d v="2025-05-07T00:00:00"/>
    <x v="1"/>
    <n v="180.26"/>
    <n v="0.3"/>
    <n v="92.420999999999992"/>
    <x v="2"/>
    <s v="Sí"/>
    <d v="2025-08-05T00:00:00"/>
    <n v="3"/>
  </r>
  <r>
    <s v="DEP-A0-4577"/>
    <x v="1"/>
    <n v="23"/>
    <x v="0"/>
    <s v="Chaqueta"/>
    <s v="Blanco"/>
    <s v="Adidas"/>
    <s v="MER-A0-4577"/>
    <d v="2025-05-24T00:00:00"/>
    <x v="1"/>
    <n v="180.77"/>
    <n v="0"/>
    <n v="124.92000000000002"/>
    <x v="2"/>
    <s v="Sí"/>
    <d v="2026-02-18T00:00:00"/>
    <n v="9"/>
  </r>
  <r>
    <s v="DEP-A0-2342"/>
    <x v="0"/>
    <n v="28"/>
    <x v="0"/>
    <s v="Pantalón"/>
    <s v="Negro"/>
    <s v="Mango"/>
    <s v="MER-A0-2342"/>
    <d v="2025-05-30T00:00:00"/>
    <x v="1"/>
    <n v="192.23"/>
    <n v="0.3"/>
    <n v="151.88"/>
    <x v="2"/>
    <s v="Sí"/>
    <d v="2025-11-26T00:00:00"/>
    <n v="6"/>
  </r>
  <r>
    <s v="DEP-A0-0338"/>
    <x v="1"/>
    <n v="33"/>
    <x v="0"/>
    <s v="Camisa"/>
    <s v="Blanco"/>
    <s v="Puma"/>
    <s v="MER-A0-0338"/>
    <d v="2025-06-03T00:00:00"/>
    <x v="1"/>
    <n v="25.62"/>
    <n v="0.1"/>
    <n v="148.40799999999999"/>
    <x v="2"/>
    <s v="Sí"/>
    <d v="2025-11-30T00:00:00"/>
    <n v="6"/>
  </r>
  <r>
    <s v="DEP-A0-2678"/>
    <x v="0"/>
    <n v="27"/>
    <x v="0"/>
    <s v="Falda"/>
    <s v="Negro"/>
    <s v="Zara"/>
    <s v="MER-A0-2678"/>
    <d v="2025-06-13T00:00:00"/>
    <x v="1"/>
    <n v="41.17"/>
    <n v="0"/>
    <n v="26.423999999999999"/>
    <x v="2"/>
    <s v="Sí"/>
    <d v="2026-03-10T00:00:00"/>
    <n v="9"/>
  </r>
  <r>
    <s v="DEP-A0-3380"/>
    <x v="1"/>
    <n v="27"/>
    <x v="0"/>
    <s v="Camisa"/>
    <s v="Negro"/>
    <s v="Tommy"/>
    <s v="MER-A0-3380"/>
    <d v="2025-06-25T00:00:00"/>
    <x v="1"/>
    <n v="54.57"/>
    <n v="0"/>
    <n v="37.335999999999999"/>
    <x v="2"/>
    <s v="Sí"/>
    <d v="2026-03-22T00:00:00"/>
    <n v="9"/>
  </r>
  <r>
    <s v="DEP-A0-4387"/>
    <x v="0"/>
    <n v="30"/>
    <x v="0"/>
    <s v="Pantalón"/>
    <s v="Rojo"/>
    <s v="Puma"/>
    <s v="MER-A0-4387"/>
    <d v="2025-06-11T00:00:00"/>
    <x v="1"/>
    <n v="68.31"/>
    <n v="0.1"/>
    <n v="68.376000000000005"/>
    <x v="2"/>
    <s v="Sí"/>
    <d v="2025-12-08T00:00:00"/>
    <n v="6"/>
  </r>
  <r>
    <s v="DEP-A0-2339"/>
    <x v="0"/>
    <n v="31"/>
    <x v="0"/>
    <s v="Blusa"/>
    <s v="Amarillo"/>
    <s v="Tommy"/>
    <s v="MER-A0-2339"/>
    <d v="2025-06-27T00:00:00"/>
    <x v="1"/>
    <n v="86.48"/>
    <n v="0"/>
    <n v="98.65"/>
    <x v="2"/>
    <s v="Sí"/>
    <d v="2025-09-25T00:00:00"/>
    <n v="3"/>
  </r>
  <r>
    <s v="DEP-A0-3065"/>
    <x v="0"/>
    <n v="30"/>
    <x v="0"/>
    <s v="Blusa"/>
    <s v="Rojo"/>
    <s v="Nike"/>
    <s v="MER-A0-3065"/>
    <d v="2025-06-28T00:00:00"/>
    <x v="1"/>
    <n v="94.34"/>
    <n v="0.3"/>
    <n v="112.82"/>
    <x v="2"/>
    <s v="Sí"/>
    <d v="2026-03-25T00:00:00"/>
    <n v="9"/>
  </r>
  <r>
    <s v="DEP-A0-1666"/>
    <x v="1"/>
    <n v="22"/>
    <x v="0"/>
    <s v="Chaqueta"/>
    <s v="Blanco"/>
    <s v="Tommy"/>
    <s v="MER-A0-1666"/>
    <d v="2025-06-14T00:00:00"/>
    <x v="1"/>
    <n v="109.24"/>
    <n v="0.3"/>
    <n v="131.79599999999999"/>
    <x v="2"/>
    <s v="Sí"/>
    <d v="2026-06-09T00:00:00"/>
    <n v="12"/>
  </r>
  <r>
    <s v="DEP-A0-4044"/>
    <x v="0"/>
    <n v="20"/>
    <x v="0"/>
    <s v="Falda"/>
    <s v="Gris"/>
    <s v="Nike"/>
    <s v="MER-A0-4044"/>
    <d v="2025-06-17T00:00:00"/>
    <x v="1"/>
    <n v="115.28"/>
    <n v="0.1"/>
    <n v="133.839"/>
    <x v="2"/>
    <s v="Sí"/>
    <d v="2026-06-12T00:00:00"/>
    <n v="12"/>
  </r>
  <r>
    <s v="DEP-A0-0237"/>
    <x v="0"/>
    <n v="26"/>
    <x v="0"/>
    <s v="Vestido"/>
    <s v="Amarillo"/>
    <s v="Adidas"/>
    <s v="MER-A0-0237"/>
    <d v="2025-06-15T00:00:00"/>
    <x v="1"/>
    <n v="165.06"/>
    <n v="0.3"/>
    <n v="23.842000000000002"/>
    <x v="2"/>
    <s v="Sí"/>
    <d v="2026-03-12T00:00:00"/>
    <n v="9"/>
  </r>
  <r>
    <s v="DEP-A0-0975"/>
    <x v="0"/>
    <n v="30"/>
    <x v="0"/>
    <s v="Zapatos"/>
    <s v="Gris"/>
    <s v="Levis"/>
    <s v="MER-A0-0975"/>
    <d v="2025-06-17T00:00:00"/>
    <x v="1"/>
    <n v="167.52"/>
    <n v="0.3"/>
    <n v="48.39"/>
    <x v="2"/>
    <s v="Sí"/>
    <d v="2026-06-12T00:00:00"/>
    <n v="12"/>
  </r>
  <r>
    <s v="DEP-A0-4957"/>
    <x v="0"/>
    <n v="35"/>
    <x v="0"/>
    <s v="Camisa"/>
    <s v="Gris"/>
    <s v="Nike"/>
    <s v="MER-A0-4957"/>
    <d v="2025-06-15T00:00:00"/>
    <x v="1"/>
    <n v="179.47"/>
    <n v="0.3"/>
    <n v="52.536000000000001"/>
    <x v="2"/>
    <s v="Sí"/>
    <d v="2026-03-12T00:00:00"/>
    <n v="9"/>
  </r>
  <r>
    <s v="DEP-A0-4252"/>
    <x v="0"/>
    <n v="33"/>
    <x v="0"/>
    <s v="Zapatos"/>
    <s v="Azul"/>
    <s v="Mango"/>
    <s v="MER-A0-4252"/>
    <d v="2025-06-10T00:00:00"/>
    <x v="1"/>
    <n v="183.52"/>
    <n v="0"/>
    <n v="62.603999999999999"/>
    <x v="2"/>
    <s v="Sí"/>
    <d v="2025-09-08T00:00:00"/>
    <n v="3"/>
  </r>
  <r>
    <s v="DEP-A0-4900"/>
    <x v="0"/>
    <n v="18"/>
    <x v="0"/>
    <s v="Blusa"/>
    <s v="Amarillo"/>
    <s v="Mango"/>
    <s v="MER-A0-4900"/>
    <d v="2025-06-14T00:00:00"/>
    <x v="1"/>
    <n v="189.77"/>
    <n v="0.2"/>
    <n v="78.61"/>
    <x v="2"/>
    <s v="Sí"/>
    <d v="2025-09-12T00:00:00"/>
    <n v="3"/>
  </r>
  <r>
    <s v="DEP-A0-4716"/>
    <x v="0"/>
    <n v="23"/>
    <x v="0"/>
    <s v="Pantalón"/>
    <s v="Blanco"/>
    <s v="Nike"/>
    <s v="MER-A0-4716"/>
    <d v="2025-06-24T00:00:00"/>
    <x v="1"/>
    <n v="192.25"/>
    <n v="0.1"/>
    <n v="63.103999999999999"/>
    <x v="2"/>
    <s v="Sí"/>
    <d v="2026-03-21T00:00:00"/>
    <n v="9"/>
  </r>
  <r>
    <s v="DEP-A0-4828"/>
    <x v="0"/>
    <n v="35"/>
    <x v="0"/>
    <s v="Zapatos"/>
    <s v="Negro"/>
    <s v="Puma"/>
    <s v="MER-A0-4828"/>
    <d v="2025-07-11T00:00:00"/>
    <x v="1"/>
    <n v="39.39"/>
    <n v="0"/>
    <n v="86.863"/>
    <x v="2"/>
    <s v="Sí"/>
    <d v="2026-04-07T00:00:00"/>
    <n v="9"/>
  </r>
  <r>
    <s v="DEP-A0-4343"/>
    <x v="1"/>
    <n v="32"/>
    <x v="0"/>
    <s v="Pantalón"/>
    <s v="Negro"/>
    <s v="Adidas"/>
    <s v="MER-A0-4343"/>
    <d v="2025-07-09T00:00:00"/>
    <x v="1"/>
    <n v="43.93"/>
    <n v="0.3"/>
    <n v="102.172"/>
    <x v="2"/>
    <s v="Sí"/>
    <d v="2026-04-05T00:00:00"/>
    <n v="9"/>
  </r>
  <r>
    <s v="DEP-A0-1778"/>
    <x v="1"/>
    <n v="34"/>
    <x v="0"/>
    <s v="Camisa"/>
    <s v="Negro"/>
    <s v="Puma"/>
    <s v="MER-A0-1778"/>
    <d v="2025-07-12T00:00:00"/>
    <x v="1"/>
    <n v="86.09"/>
    <n v="0"/>
    <n v="117.12"/>
    <x v="2"/>
    <s v="Sí"/>
    <d v="2026-07-07T00:00:00"/>
    <n v="12"/>
  </r>
  <r>
    <s v="DEP-A0-4500"/>
    <x v="1"/>
    <n v="35"/>
    <x v="0"/>
    <s v="Chaqueta"/>
    <s v="Blanco"/>
    <s v="Zara"/>
    <s v="MER-A0-4500"/>
    <d v="2025-07-30T00:00:00"/>
    <x v="1"/>
    <n v="95.39"/>
    <n v="0.2"/>
    <n v="151.16999999999999"/>
    <x v="2"/>
    <s v="Sí"/>
    <d v="2025-10-28T00:00:00"/>
    <n v="3"/>
  </r>
  <r>
    <s v="DEP-A0-4012"/>
    <x v="0"/>
    <n v="19"/>
    <x v="0"/>
    <s v="Blusa"/>
    <s v="Azul"/>
    <s v="Zara"/>
    <s v="MER-A0-4012"/>
    <d v="2025-07-24T00:00:00"/>
    <x v="1"/>
    <n v="108.2"/>
    <n v="0.2"/>
    <n v="137.05199999999999"/>
    <x v="2"/>
    <s v="Sí"/>
    <d v="2026-01-20T00:00:00"/>
    <n v="6"/>
  </r>
  <r>
    <s v="DEP-A0-4346"/>
    <x v="0"/>
    <n v="23"/>
    <x v="0"/>
    <s v="Falda"/>
    <s v="Negro"/>
    <s v="Tommy"/>
    <s v="MER-A0-4346"/>
    <d v="2025-07-15T00:00:00"/>
    <x v="1"/>
    <n v="108.49"/>
    <n v="0.3"/>
    <n v="154.41999999999999"/>
    <x v="2"/>
    <s v="Sí"/>
    <d v="2025-10-13T00:00:00"/>
    <n v="3"/>
  </r>
  <r>
    <s v="DEP-A0-3519"/>
    <x v="0"/>
    <n v="35"/>
    <x v="0"/>
    <s v="Falda"/>
    <s v="Rojo"/>
    <s v="Levis"/>
    <s v="MER-A0-3519"/>
    <d v="2025-07-31T00:00:00"/>
    <x v="1"/>
    <n v="133.18"/>
    <n v="0.1"/>
    <n v="115.738"/>
    <x v="2"/>
    <s v="Sí"/>
    <d v="2026-01-27T00:00:00"/>
    <n v="6"/>
  </r>
  <r>
    <s v="DEP-A0-4265"/>
    <x v="0"/>
    <n v="30"/>
    <x v="0"/>
    <s v="Vestido"/>
    <s v="Negro"/>
    <s v="Zara"/>
    <s v="MER-A0-4265"/>
    <d v="2025-07-12T00:00:00"/>
    <x v="1"/>
    <n v="138.38"/>
    <n v="0.1"/>
    <n v="168.51"/>
    <x v="2"/>
    <s v="Sí"/>
    <d v="2026-04-08T00:00:00"/>
    <n v="9"/>
  </r>
  <r>
    <s v="DEP-A0-0398"/>
    <x v="0"/>
    <n v="34"/>
    <x v="0"/>
    <s v="Pantalón"/>
    <s v="Gris"/>
    <s v="Levis"/>
    <s v="MER-A0-0398"/>
    <d v="2025-07-22T00:00:00"/>
    <x v="1"/>
    <n v="141.34"/>
    <n v="0.1"/>
    <n v="168.60599999999999"/>
    <x v="2"/>
    <s v="Sí"/>
    <d v="2026-07-17T00:00:00"/>
    <n v="12"/>
  </r>
  <r>
    <s v="DEP-A0-2308"/>
    <x v="1"/>
    <n v="35"/>
    <x v="0"/>
    <s v="Camisa"/>
    <s v="Rojo"/>
    <s v="Mango"/>
    <s v="MER-A0-2308"/>
    <d v="2025-07-25T00:00:00"/>
    <x v="1"/>
    <n v="164.36"/>
    <n v="0.2"/>
    <n v="33.543999999999997"/>
    <x v="2"/>
    <s v="Sí"/>
    <d v="2026-01-21T00:00:00"/>
    <n v="6"/>
  </r>
  <r>
    <s v="DEP-A0-2113"/>
    <x v="0"/>
    <n v="19"/>
    <x v="0"/>
    <s v="Blusa"/>
    <s v="Azul"/>
    <s v="Puma"/>
    <s v="MER-A0-2113"/>
    <d v="2025-07-05T00:00:00"/>
    <x v="1"/>
    <n v="167.74"/>
    <n v="0.2"/>
    <n v="78.960000000000008"/>
    <x v="2"/>
    <s v="Sí"/>
    <d v="2026-04-01T00:00:00"/>
    <n v="9"/>
  </r>
  <r>
    <s v="DEP-A0-0550"/>
    <x v="0"/>
    <n v="32"/>
    <x v="0"/>
    <s v="Zapatos"/>
    <s v="Negro"/>
    <s v="Nike"/>
    <s v="MER-A0-0550"/>
    <d v="2025-07-15T00:00:00"/>
    <x v="1"/>
    <n v="186.07"/>
    <n v="0.1"/>
    <n v="147.56400000000002"/>
    <x v="2"/>
    <s v="Sí"/>
    <d v="2026-01-11T00:00:00"/>
    <n v="6"/>
  </r>
  <r>
    <s v="DEP-A0-1698"/>
    <x v="1"/>
    <n v="32"/>
    <x v="0"/>
    <s v="Zapatos"/>
    <s v="Amarillo"/>
    <s v="Nike"/>
    <s v="MER-A0-1698"/>
    <d v="2025-07-14T00:00:00"/>
    <x v="1"/>
    <n v="188.28"/>
    <n v="0.1"/>
    <n v="148.25700000000001"/>
    <x v="2"/>
    <s v="Sí"/>
    <d v="2026-07-09T00:00:00"/>
    <n v="12"/>
  </r>
  <r>
    <s v="DEP-A0-3167"/>
    <x v="1"/>
    <n v="34"/>
    <x v="0"/>
    <s v="Camisa"/>
    <s v="Negro"/>
    <s v="Adidas"/>
    <s v="MER-A0-3167"/>
    <d v="2025-08-05T00:00:00"/>
    <x v="1"/>
    <n v="110.1"/>
    <n v="0.1"/>
    <n v="75.91"/>
    <x v="2"/>
    <s v="Sí"/>
    <d v="2026-02-01T00:00:00"/>
    <n v="6"/>
  </r>
  <r>
    <s v="DEP-A0-0381"/>
    <x v="0"/>
    <n v="34"/>
    <x v="0"/>
    <s v="Pantalón"/>
    <s v="Amarillo"/>
    <s v="Puma"/>
    <s v="MER-A0-0381"/>
    <d v="2025-08-04T00:00:00"/>
    <x v="1"/>
    <n v="183.1"/>
    <n v="0.2"/>
    <n v="169.68"/>
    <x v="2"/>
    <s v="Sí"/>
    <d v="2026-07-30T00:00:00"/>
    <n v="12"/>
  </r>
  <r>
    <s v="DEP-A0-4961"/>
    <x v="0"/>
    <n v="36"/>
    <x v="1"/>
    <s v="Camisa"/>
    <s v="Gris"/>
    <s v="Zara"/>
    <s v="MER-A0-4961"/>
    <d v="2024-01-18T00:00:00"/>
    <x v="0"/>
    <n v="190.82"/>
    <n v="0.3"/>
    <n v="7.9730000000000008"/>
    <x v="0"/>
    <s v="No"/>
    <d v="2024-01-18T00:00:00"/>
    <n v="0"/>
  </r>
  <r>
    <s v="DEP-A0-0612"/>
    <x v="0"/>
    <n v="53"/>
    <x v="1"/>
    <s v="Camisa"/>
    <s v="Gris"/>
    <s v="Zara"/>
    <s v="MER-A0-0612"/>
    <d v="2024-01-22T00:00:00"/>
    <x v="0"/>
    <n v="150.01"/>
    <n v="0.3"/>
    <n v="10.65"/>
    <x v="0"/>
    <s v="No"/>
    <d v="2024-01-22T00:00:00"/>
    <n v="0"/>
  </r>
  <r>
    <s v="DEP-A0-1981"/>
    <x v="1"/>
    <n v="39"/>
    <x v="1"/>
    <s v="Zapatos"/>
    <s v="Verde"/>
    <s v="Mango"/>
    <s v="MER-A0-1981"/>
    <d v="2024-01-23T00:00:00"/>
    <x v="0"/>
    <n v="89.94"/>
    <n v="0"/>
    <n v="99"/>
    <x v="0"/>
    <s v="No"/>
    <d v="2024-01-23T00:00:00"/>
    <n v="0"/>
  </r>
  <r>
    <s v="DEP-A0-2238"/>
    <x v="0"/>
    <n v="57"/>
    <x v="1"/>
    <s v="Vestido"/>
    <s v="Verde"/>
    <s v="Tommy"/>
    <s v="MER-A0-2238"/>
    <d v="2024-01-23T00:00:00"/>
    <x v="0"/>
    <n v="139.71"/>
    <n v="0.1"/>
    <n v="113.139"/>
    <x v="0"/>
    <s v="No"/>
    <d v="2024-01-23T00:00:00"/>
    <n v="0"/>
  </r>
  <r>
    <s v="DEP-A0-3825"/>
    <x v="0"/>
    <n v="53"/>
    <x v="1"/>
    <s v="Blusa"/>
    <s v="Blanco"/>
    <s v="Zara"/>
    <s v="MER-A0-3825"/>
    <d v="2024-01-23T00:00:00"/>
    <x v="0"/>
    <n v="177.71"/>
    <n v="0.3"/>
    <n v="115.47999999999999"/>
    <x v="0"/>
    <s v="No"/>
    <d v="2024-01-23T00:00:00"/>
    <n v="0"/>
  </r>
  <r>
    <s v="DEP-A0-2746"/>
    <x v="1"/>
    <n v="36"/>
    <x v="1"/>
    <s v="Zapatos"/>
    <s v="Negro"/>
    <s v="Mango"/>
    <s v="MER-A0-2746"/>
    <d v="2024-01-24T00:00:00"/>
    <x v="0"/>
    <n v="10.53"/>
    <n v="0.1"/>
    <n v="77.535000000000011"/>
    <x v="0"/>
    <s v="No"/>
    <d v="2024-01-24T00:00:00"/>
    <n v="0"/>
  </r>
  <r>
    <s v="DEP-A0-0874"/>
    <x v="0"/>
    <n v="57"/>
    <x v="1"/>
    <s v="Vestido"/>
    <s v="Negro"/>
    <s v="Adidas"/>
    <s v="MER-A0-0874"/>
    <d v="2024-01-27T00:00:00"/>
    <x v="0"/>
    <n v="97.23"/>
    <n v="0.2"/>
    <n v="50.016000000000005"/>
    <x v="0"/>
    <s v="No"/>
    <d v="2024-01-27T00:00:00"/>
    <n v="0"/>
  </r>
  <r>
    <s v="DEP-A0-3474"/>
    <x v="0"/>
    <n v="65"/>
    <x v="1"/>
    <s v="Falda"/>
    <s v="Amarillo"/>
    <s v="Tommy"/>
    <s v="MER-A0-3474"/>
    <d v="2024-01-27T00:00:00"/>
    <x v="0"/>
    <n v="101.48"/>
    <n v="0"/>
    <n v="134.232"/>
    <x v="0"/>
    <s v="No"/>
    <d v="2024-01-27T00:00:00"/>
    <n v="0"/>
  </r>
  <r>
    <s v="DEP-A0-3739"/>
    <x v="1"/>
    <n v="37"/>
    <x v="1"/>
    <s v="Camisa"/>
    <s v="Gris"/>
    <s v="Puma"/>
    <s v="MER-A0-3739"/>
    <d v="2024-01-27T00:00:00"/>
    <x v="0"/>
    <n v="143.65"/>
    <n v="0.2"/>
    <n v="87.938999999999993"/>
    <x v="0"/>
    <s v="No"/>
    <d v="2024-01-27T00:00:00"/>
    <n v="0"/>
  </r>
  <r>
    <s v="DEP-A0-4908"/>
    <x v="0"/>
    <n v="41"/>
    <x v="1"/>
    <s v="Vestido"/>
    <s v="Verde"/>
    <s v="Levis"/>
    <s v="MER-A0-4908"/>
    <d v="2024-02-02T00:00:00"/>
    <x v="0"/>
    <n v="189.57"/>
    <n v="0.3"/>
    <n v="74.150000000000006"/>
    <x v="0"/>
    <s v="No"/>
    <d v="2024-02-02T00:00:00"/>
    <n v="0"/>
  </r>
  <r>
    <s v="DEP-A0-0805"/>
    <x v="0"/>
    <n v="45"/>
    <x v="1"/>
    <s v="Falda"/>
    <s v="Verde"/>
    <s v="Tommy"/>
    <s v="MER-A0-0805"/>
    <d v="2024-02-03T00:00:00"/>
    <x v="0"/>
    <n v="27.66"/>
    <n v="0.1"/>
    <n v="171.11699999999999"/>
    <x v="0"/>
    <s v="No"/>
    <d v="2024-02-03T00:00:00"/>
    <n v="0"/>
  </r>
  <r>
    <s v="DEP-A0-1139"/>
    <x v="0"/>
    <n v="65"/>
    <x v="1"/>
    <s v="Zapatos"/>
    <s v="Verde"/>
    <s v="Mango"/>
    <s v="MER-A0-1139"/>
    <d v="2024-02-03T00:00:00"/>
    <x v="0"/>
    <n v="195.76"/>
    <n v="0.3"/>
    <n v="95.88600000000001"/>
    <x v="0"/>
    <s v="No"/>
    <d v="2024-02-03T00:00:00"/>
    <n v="0"/>
  </r>
  <r>
    <s v="DEP-A0-2208"/>
    <x v="0"/>
    <n v="59"/>
    <x v="1"/>
    <s v="Blusa"/>
    <s v="Rojo"/>
    <s v="Tommy"/>
    <s v="MER-A0-2208"/>
    <d v="2024-02-04T00:00:00"/>
    <x v="0"/>
    <n v="45.73"/>
    <n v="0"/>
    <n v="90.23"/>
    <x v="0"/>
    <s v="No"/>
    <d v="2024-02-04T00:00:00"/>
    <n v="0"/>
  </r>
  <r>
    <s v="DEP-A0-3834"/>
    <x v="0"/>
    <n v="38"/>
    <x v="1"/>
    <s v="Zapatos"/>
    <s v="Blanco"/>
    <s v="Mango"/>
    <s v="MER-A0-3834"/>
    <d v="2024-02-07T00:00:00"/>
    <x v="0"/>
    <n v="152.16"/>
    <n v="0.1"/>
    <n v="177.21"/>
    <x v="0"/>
    <s v="No"/>
    <d v="2024-02-07T00:00:00"/>
    <n v="0"/>
  </r>
  <r>
    <s v="DEP-A0-3783"/>
    <x v="0"/>
    <n v="41"/>
    <x v="1"/>
    <s v="Camisa"/>
    <s v="Blanco"/>
    <s v="Nike"/>
    <s v="MER-A0-3783"/>
    <d v="2024-02-08T00:00:00"/>
    <x v="0"/>
    <n v="68.540000000000006"/>
    <n v="0.1"/>
    <n v="82.466999999999999"/>
    <x v="0"/>
    <s v="No"/>
    <d v="2024-02-08T00:00:00"/>
    <n v="0"/>
  </r>
  <r>
    <s v="DEP-A0-1942"/>
    <x v="0"/>
    <n v="55"/>
    <x v="1"/>
    <s v="Vestido"/>
    <s v="Gris"/>
    <s v="Zara"/>
    <s v="MER-A0-1942"/>
    <d v="2024-02-08T00:00:00"/>
    <x v="0"/>
    <n v="98.16"/>
    <n v="0"/>
    <n v="53.303999999999995"/>
    <x v="0"/>
    <s v="No"/>
    <d v="2024-02-08T00:00:00"/>
    <n v="0"/>
  </r>
  <r>
    <s v="DEP-A0-4537"/>
    <x v="1"/>
    <n v="60"/>
    <x v="1"/>
    <s v="Chaqueta"/>
    <s v="Verde"/>
    <s v="Mango"/>
    <s v="MER-A0-4537"/>
    <d v="2024-02-09T00:00:00"/>
    <x v="0"/>
    <n v="79.98"/>
    <n v="0"/>
    <n v="98.545999999999992"/>
    <x v="0"/>
    <s v="No"/>
    <d v="2024-02-09T00:00:00"/>
    <n v="0"/>
  </r>
  <r>
    <s v="DEP-A0-0991"/>
    <x v="0"/>
    <n v="65"/>
    <x v="1"/>
    <s v="Blusa"/>
    <s v="Blanco"/>
    <s v="Levis"/>
    <s v="MER-A0-0991"/>
    <d v="2024-02-09T00:00:00"/>
    <x v="0"/>
    <n v="82.62"/>
    <n v="0.3"/>
    <n v="89.455999999999989"/>
    <x v="0"/>
    <s v="No"/>
    <d v="2024-02-09T00:00:00"/>
    <n v="0"/>
  </r>
  <r>
    <s v="DEP-A0-1272"/>
    <x v="0"/>
    <n v="50"/>
    <x v="1"/>
    <s v="Chaqueta"/>
    <s v="Azul"/>
    <s v="Puma"/>
    <s v="MER-A0-1272"/>
    <d v="2024-02-09T00:00:00"/>
    <x v="0"/>
    <n v="83.24"/>
    <n v="0.1"/>
    <n v="122.864"/>
    <x v="0"/>
    <s v="No"/>
    <d v="2024-02-09T00:00:00"/>
    <n v="0"/>
  </r>
  <r>
    <s v="DEP-A0-1668"/>
    <x v="0"/>
    <n v="51"/>
    <x v="1"/>
    <s v="Pantalón"/>
    <s v="Amarillo"/>
    <s v="Adidas"/>
    <s v="MER-A0-1668"/>
    <d v="2024-02-14T00:00:00"/>
    <x v="0"/>
    <n v="130.25"/>
    <n v="0.1"/>
    <n v="34.722000000000001"/>
    <x v="0"/>
    <s v="No"/>
    <d v="2024-02-14T00:00:00"/>
    <n v="0"/>
  </r>
  <r>
    <s v="DEP-A0-4425"/>
    <x v="0"/>
    <n v="51"/>
    <x v="1"/>
    <s v="Vestido"/>
    <s v="Negro"/>
    <s v="Tommy"/>
    <s v="MER-A0-4425"/>
    <d v="2024-02-14T00:00:00"/>
    <x v="0"/>
    <n v="151.91999999999999"/>
    <n v="0.3"/>
    <n v="93.94"/>
    <x v="0"/>
    <s v="No"/>
    <d v="2024-02-14T00:00:00"/>
    <n v="0"/>
  </r>
  <r>
    <s v="DEP-A0-2659"/>
    <x v="0"/>
    <n v="49"/>
    <x v="1"/>
    <s v="Falda"/>
    <s v="Verde"/>
    <s v="Puma"/>
    <s v="MER-A0-2659"/>
    <d v="2024-02-14T00:00:00"/>
    <x v="0"/>
    <n v="188.39"/>
    <n v="0.2"/>
    <n v="178.23599999999999"/>
    <x v="0"/>
    <s v="No"/>
    <d v="2024-02-14T00:00:00"/>
    <n v="0"/>
  </r>
  <r>
    <s v="DEP-A0-0622"/>
    <x v="0"/>
    <n v="39"/>
    <x v="1"/>
    <s v="Pantalón"/>
    <s v="Blanco"/>
    <s v="Nike"/>
    <s v="MER-A0-0622"/>
    <d v="2024-02-15T00:00:00"/>
    <x v="0"/>
    <n v="141.29"/>
    <n v="0.1"/>
    <n v="18.468"/>
    <x v="0"/>
    <s v="No"/>
    <d v="2024-02-15T00:00:00"/>
    <n v="0"/>
  </r>
  <r>
    <s v="DEP-A0-2984"/>
    <x v="0"/>
    <n v="51"/>
    <x v="1"/>
    <s v="Camisa"/>
    <s v="Gris"/>
    <s v="Zara"/>
    <s v="MER-A0-2984"/>
    <d v="2024-02-16T00:00:00"/>
    <x v="0"/>
    <n v="11.13"/>
    <n v="0.1"/>
    <n v="136.32"/>
    <x v="0"/>
    <s v="No"/>
    <d v="2024-02-16T00:00:00"/>
    <n v="0"/>
  </r>
  <r>
    <s v="DEP-A0-1012"/>
    <x v="1"/>
    <n v="65"/>
    <x v="1"/>
    <s v="Camisa"/>
    <s v="Rojo"/>
    <s v="Nike"/>
    <s v="MER-A0-1012"/>
    <d v="2024-02-16T00:00:00"/>
    <x v="0"/>
    <n v="74.84"/>
    <n v="0.3"/>
    <n v="89.887"/>
    <x v="0"/>
    <s v="No"/>
    <d v="2024-02-16T00:00:00"/>
    <n v="0"/>
  </r>
  <r>
    <s v="DEP-A0-4471"/>
    <x v="1"/>
    <n v="38"/>
    <x v="1"/>
    <s v="Chaqueta"/>
    <s v="Gris"/>
    <s v="Tommy"/>
    <s v="MER-A0-4471"/>
    <d v="2024-02-16T00:00:00"/>
    <x v="0"/>
    <n v="76.37"/>
    <n v="0"/>
    <n v="150.16"/>
    <x v="0"/>
    <s v="No"/>
    <d v="2024-02-16T00:00:00"/>
    <n v="0"/>
  </r>
  <r>
    <s v="DEP-A0-2121"/>
    <x v="0"/>
    <n v="45"/>
    <x v="1"/>
    <s v="Chaqueta"/>
    <s v="Azul"/>
    <s v="Zara"/>
    <s v="MER-A0-2121"/>
    <d v="2024-02-19T00:00:00"/>
    <x v="0"/>
    <n v="129.72999999999999"/>
    <n v="0"/>
    <n v="72.7"/>
    <x v="0"/>
    <s v="No"/>
    <d v="2024-02-19T00:00:00"/>
    <n v="0"/>
  </r>
  <r>
    <s v="DEP-A0-3430"/>
    <x v="1"/>
    <n v="39"/>
    <x v="1"/>
    <s v="Chaqueta"/>
    <s v="Rojo"/>
    <s v="Tommy"/>
    <s v="MER-A0-3430"/>
    <d v="2024-02-20T00:00:00"/>
    <x v="0"/>
    <n v="62.81"/>
    <n v="0.1"/>
    <n v="97.587000000000003"/>
    <x v="0"/>
    <s v="No"/>
    <d v="2024-02-20T00:00:00"/>
    <n v="0"/>
  </r>
  <r>
    <s v="DEP-A0-0117"/>
    <x v="1"/>
    <n v="49"/>
    <x v="1"/>
    <s v="Pantalón"/>
    <s v="Blanco"/>
    <s v="Tommy"/>
    <s v="MER-A0-0117"/>
    <d v="2024-02-20T00:00:00"/>
    <x v="0"/>
    <n v="126.87"/>
    <n v="0.3"/>
    <n v="41.408000000000001"/>
    <x v="0"/>
    <s v="No"/>
    <d v="2024-02-20T00:00:00"/>
    <n v="0"/>
  </r>
  <r>
    <s v="DEP-A0-4938"/>
    <x v="0"/>
    <n v="54"/>
    <x v="1"/>
    <s v="Camisa"/>
    <s v="Rojo"/>
    <s v="Mango"/>
    <s v="MER-A0-4938"/>
    <d v="2024-02-20T00:00:00"/>
    <x v="0"/>
    <n v="192.61"/>
    <n v="0"/>
    <n v="16.345000000000002"/>
    <x v="0"/>
    <s v="No"/>
    <d v="2024-02-20T00:00:00"/>
    <n v="0"/>
  </r>
  <r>
    <s v="DEP-A0-3916"/>
    <x v="0"/>
    <n v="36"/>
    <x v="1"/>
    <s v="Falda"/>
    <s v="Gris"/>
    <s v="Levis"/>
    <s v="MER-A0-3916"/>
    <d v="2024-02-21T00:00:00"/>
    <x v="0"/>
    <n v="141.69"/>
    <n v="0"/>
    <n v="72.31"/>
    <x v="0"/>
    <s v="No"/>
    <d v="2024-02-21T00:00:00"/>
    <n v="0"/>
  </r>
  <r>
    <s v="DEP-A0-4805"/>
    <x v="0"/>
    <n v="44"/>
    <x v="1"/>
    <s v="Blusa"/>
    <s v="Verde"/>
    <s v="Mango"/>
    <s v="MER-A0-4805"/>
    <d v="2024-02-22T00:00:00"/>
    <x v="0"/>
    <n v="165.94"/>
    <n v="0"/>
    <n v="138.78199999999998"/>
    <x v="0"/>
    <s v="No"/>
    <d v="2024-02-22T00:00:00"/>
    <n v="0"/>
  </r>
  <r>
    <s v="DEP-A0-1187"/>
    <x v="1"/>
    <n v="48"/>
    <x v="1"/>
    <s v="Zapatos"/>
    <s v="Rojo"/>
    <s v="Zara"/>
    <s v="MER-A0-1187"/>
    <d v="2024-02-23T00:00:00"/>
    <x v="0"/>
    <n v="53.2"/>
    <n v="0.1"/>
    <n v="90.369"/>
    <x v="0"/>
    <s v="No"/>
    <d v="2024-02-23T00:00:00"/>
    <n v="0"/>
  </r>
  <r>
    <s v="DEP-A0-2574"/>
    <x v="0"/>
    <n v="45"/>
    <x v="1"/>
    <s v="Falda"/>
    <s v="Gris"/>
    <s v="Adidas"/>
    <s v="MER-A0-2574"/>
    <d v="2024-02-26T00:00:00"/>
    <x v="0"/>
    <n v="152.30000000000001"/>
    <n v="0"/>
    <n v="121.04"/>
    <x v="0"/>
    <s v="No"/>
    <d v="2024-02-26T00:00:00"/>
    <n v="0"/>
  </r>
  <r>
    <s v="DEP-A0-1541"/>
    <x v="0"/>
    <n v="48"/>
    <x v="1"/>
    <s v="Blusa"/>
    <s v="Gris"/>
    <s v="Puma"/>
    <s v="MER-A0-1541"/>
    <d v="2024-02-26T00:00:00"/>
    <x v="0"/>
    <n v="155.57"/>
    <n v="0.1"/>
    <n v="87.051999999999992"/>
    <x v="0"/>
    <s v="No"/>
    <d v="2024-02-26T00:00:00"/>
    <n v="0"/>
  </r>
  <r>
    <s v="DEP-A0-3970"/>
    <x v="0"/>
    <n v="63"/>
    <x v="1"/>
    <s v="Vestido"/>
    <s v="Amarillo"/>
    <s v="Adidas"/>
    <s v="MER-A0-3970"/>
    <d v="2024-02-26T00:00:00"/>
    <x v="0"/>
    <n v="160.13999999999999"/>
    <n v="0"/>
    <n v="114.60799999999999"/>
    <x v="0"/>
    <s v="No"/>
    <d v="2024-02-26T00:00:00"/>
    <n v="0"/>
  </r>
  <r>
    <s v="DEP-A0-4260"/>
    <x v="0"/>
    <n v="57"/>
    <x v="1"/>
    <s v="Vestido"/>
    <s v="Amarillo"/>
    <s v="Zara"/>
    <s v="MER-A0-4260"/>
    <d v="2024-02-26T00:00:00"/>
    <x v="0"/>
    <n v="181.25"/>
    <n v="0.2"/>
    <n v="70.155000000000001"/>
    <x v="0"/>
    <s v="No"/>
    <d v="2024-02-26T00:00:00"/>
    <n v="0"/>
  </r>
  <r>
    <s v="DEP-A0-0315"/>
    <x v="0"/>
    <n v="63"/>
    <x v="1"/>
    <s v="Falda"/>
    <s v="Azul"/>
    <s v="Mango"/>
    <s v="MER-A0-0315"/>
    <d v="2024-02-27T00:00:00"/>
    <x v="0"/>
    <n v="45.92"/>
    <n v="0.1"/>
    <n v="110.12"/>
    <x v="0"/>
    <s v="No"/>
    <d v="2024-02-27T00:00:00"/>
    <n v="0"/>
  </r>
  <r>
    <s v="DEP-A0-0105"/>
    <x v="0"/>
    <n v="56"/>
    <x v="1"/>
    <s v="Falda"/>
    <s v="Rojo"/>
    <s v="Levis"/>
    <s v="MER-A0-0105"/>
    <d v="2024-02-27T00:00:00"/>
    <x v="0"/>
    <n v="62.41"/>
    <n v="0.3"/>
    <n v="120.22499999999999"/>
    <x v="0"/>
    <s v="No"/>
    <d v="2024-02-27T00:00:00"/>
    <n v="0"/>
  </r>
  <r>
    <s v="DEP-A0-4006"/>
    <x v="0"/>
    <n v="50"/>
    <x v="1"/>
    <s v="Camisa"/>
    <s v="Blanco"/>
    <s v="Tommy"/>
    <s v="MER-A0-4006"/>
    <d v="2024-03-01T00:00:00"/>
    <x v="0"/>
    <n v="47.94"/>
    <n v="0.3"/>
    <n v="166.17"/>
    <x v="0"/>
    <s v="No"/>
    <d v="2024-03-01T00:00:00"/>
    <n v="0"/>
  </r>
  <r>
    <s v="DEP-A0-2892"/>
    <x v="1"/>
    <n v="62"/>
    <x v="1"/>
    <s v="Camisa"/>
    <s v="Blanco"/>
    <s v="Zara"/>
    <s v="MER-A0-2892"/>
    <d v="2024-03-01T00:00:00"/>
    <x v="0"/>
    <n v="55.11"/>
    <n v="0.1"/>
    <n v="54.801000000000002"/>
    <x v="0"/>
    <s v="No"/>
    <d v="2024-03-01T00:00:00"/>
    <n v="0"/>
  </r>
  <r>
    <s v="DEP-A0-4161"/>
    <x v="0"/>
    <n v="41"/>
    <x v="1"/>
    <s v="Falda"/>
    <s v="Rojo"/>
    <s v="Puma"/>
    <s v="MER-A0-4161"/>
    <d v="2024-03-01T00:00:00"/>
    <x v="0"/>
    <n v="103.55"/>
    <n v="0.3"/>
    <n v="10.959999999999999"/>
    <x v="0"/>
    <s v="No"/>
    <d v="2024-03-01T00:00:00"/>
    <n v="0"/>
  </r>
  <r>
    <s v="DEP-A0-1074"/>
    <x v="1"/>
    <n v="51"/>
    <x v="1"/>
    <s v="Camisa"/>
    <s v="Negro"/>
    <s v="Zara"/>
    <s v="MER-A0-1074"/>
    <d v="2024-03-03T00:00:00"/>
    <x v="0"/>
    <n v="109.27"/>
    <n v="0.1"/>
    <n v="126.75"/>
    <x v="0"/>
    <s v="No"/>
    <d v="2024-03-03T00:00:00"/>
    <n v="0"/>
  </r>
  <r>
    <s v="DEP-A0-2114"/>
    <x v="0"/>
    <n v="54"/>
    <x v="1"/>
    <s v="Vestido"/>
    <s v="Amarillo"/>
    <s v="Tommy"/>
    <s v="MER-A0-2114"/>
    <d v="2024-03-03T00:00:00"/>
    <x v="0"/>
    <n v="115.54"/>
    <n v="0"/>
    <n v="105.01600000000001"/>
    <x v="0"/>
    <s v="No"/>
    <d v="2024-03-03T00:00:00"/>
    <n v="0"/>
  </r>
  <r>
    <s v="DEP-A0-4219"/>
    <x v="0"/>
    <n v="61"/>
    <x v="1"/>
    <s v="Zapatos"/>
    <s v="Gris"/>
    <s v="Mango"/>
    <s v="MER-A0-4219"/>
    <d v="2024-03-05T00:00:00"/>
    <x v="0"/>
    <n v="104.39"/>
    <n v="0.1"/>
    <n v="51.344999999999999"/>
    <x v="0"/>
    <s v="No"/>
    <d v="2024-03-05T00:00:00"/>
    <n v="0"/>
  </r>
  <r>
    <s v="DEP-A0-1481"/>
    <x v="0"/>
    <n v="49"/>
    <x v="1"/>
    <s v="Zapatos"/>
    <s v="Amarillo"/>
    <s v="Puma"/>
    <s v="MER-A0-1481"/>
    <d v="2024-03-09T00:00:00"/>
    <x v="0"/>
    <n v="132.69999999999999"/>
    <n v="0.3"/>
    <n v="55.971999999999994"/>
    <x v="0"/>
    <s v="No"/>
    <d v="2024-03-09T00:00:00"/>
    <n v="0"/>
  </r>
  <r>
    <s v="DEP-A0-3204"/>
    <x v="1"/>
    <n v="36"/>
    <x v="1"/>
    <s v="Zapatos"/>
    <s v="Verde"/>
    <s v="Mango"/>
    <s v="MER-A0-3204"/>
    <d v="2024-03-09T00:00:00"/>
    <x v="0"/>
    <n v="166.44"/>
    <n v="0.3"/>
    <n v="88.87"/>
    <x v="0"/>
    <s v="No"/>
    <d v="2024-03-09T00:00:00"/>
    <n v="0"/>
  </r>
  <r>
    <s v="DEP-A0-3045"/>
    <x v="1"/>
    <n v="46"/>
    <x v="1"/>
    <s v="Zapatos"/>
    <s v="Verde"/>
    <s v="Zara"/>
    <s v="MER-A0-3045"/>
    <d v="2024-03-10T00:00:00"/>
    <x v="0"/>
    <n v="27.61"/>
    <n v="0.2"/>
    <n v="91.28"/>
    <x v="0"/>
    <s v="No"/>
    <d v="2024-03-10T00:00:00"/>
    <n v="0"/>
  </r>
  <r>
    <s v="DEP-A0-0482"/>
    <x v="0"/>
    <n v="51"/>
    <x v="1"/>
    <s v="Vestido"/>
    <s v="Amarillo"/>
    <s v="Puma"/>
    <s v="MER-A0-0482"/>
    <d v="2024-03-10T00:00:00"/>
    <x v="0"/>
    <n v="64.989999999999995"/>
    <n v="0.3"/>
    <n v="120.28800000000001"/>
    <x v="0"/>
    <s v="No"/>
    <d v="2024-03-10T00:00:00"/>
    <n v="0"/>
  </r>
  <r>
    <s v="DEP-A0-1035"/>
    <x v="1"/>
    <n v="51"/>
    <x v="1"/>
    <s v="Zapatos"/>
    <s v="Verde"/>
    <s v="Nike"/>
    <s v="MER-A0-1035"/>
    <d v="2024-03-10T00:00:00"/>
    <x v="0"/>
    <n v="103.06"/>
    <n v="0.2"/>
    <n v="62.032000000000004"/>
    <x v="0"/>
    <s v="No"/>
    <d v="2024-03-10T00:00:00"/>
    <n v="0"/>
  </r>
  <r>
    <s v="DEP-A0-2504"/>
    <x v="1"/>
    <n v="42"/>
    <x v="1"/>
    <s v="Camisa"/>
    <s v="Rojo"/>
    <s v="Puma"/>
    <s v="MER-A0-2504"/>
    <d v="2024-03-13T00:00:00"/>
    <x v="0"/>
    <n v="185.95"/>
    <n v="0"/>
    <n v="67.415999999999997"/>
    <x v="0"/>
    <s v="No"/>
    <d v="2024-03-13T00:00:00"/>
    <n v="0"/>
  </r>
  <r>
    <s v="DEP-A0-2162"/>
    <x v="0"/>
    <n v="48"/>
    <x v="1"/>
    <s v="Vestido"/>
    <s v="Amarillo"/>
    <s v="Mango"/>
    <s v="MER-A0-2162"/>
    <d v="2024-03-14T00:00:00"/>
    <x v="0"/>
    <n v="51.03"/>
    <n v="0.3"/>
    <n v="149.44"/>
    <x v="0"/>
    <s v="No"/>
    <d v="2024-03-14T00:00:00"/>
    <n v="0"/>
  </r>
  <r>
    <s v="DEP-A0-2352"/>
    <x v="1"/>
    <n v="56"/>
    <x v="1"/>
    <s v="Pantalón"/>
    <s v="Amarillo"/>
    <s v="Zara"/>
    <s v="MER-A0-2352"/>
    <d v="2024-03-14T00:00:00"/>
    <x v="0"/>
    <n v="69.23"/>
    <n v="0.3"/>
    <n v="130.98399999999998"/>
    <x v="0"/>
    <s v="No"/>
    <d v="2024-03-14T00:00:00"/>
    <n v="0"/>
  </r>
  <r>
    <s v="DEP-A0-0491"/>
    <x v="1"/>
    <n v="52"/>
    <x v="1"/>
    <s v="Pantalón"/>
    <s v="Negro"/>
    <s v="Puma"/>
    <s v="MER-A0-0491"/>
    <d v="2024-03-14T00:00:00"/>
    <x v="0"/>
    <n v="116.37"/>
    <n v="0.2"/>
    <n v="84.637"/>
    <x v="0"/>
    <s v="No"/>
    <d v="2024-03-14T00:00:00"/>
    <n v="0"/>
  </r>
  <r>
    <s v="DEP-A0-2876"/>
    <x v="0"/>
    <n v="36"/>
    <x v="1"/>
    <s v="Vestido"/>
    <s v="Rojo"/>
    <s v="Nike"/>
    <s v="MER-A0-2876"/>
    <d v="2024-03-14T00:00:00"/>
    <x v="0"/>
    <n v="128.46"/>
    <n v="0"/>
    <n v="86.567999999999998"/>
    <x v="0"/>
    <s v="No"/>
    <d v="2024-03-14T00:00:00"/>
    <n v="0"/>
  </r>
  <r>
    <s v="DEP-A0-4608"/>
    <x v="0"/>
    <n v="48"/>
    <x v="1"/>
    <s v="Blusa"/>
    <s v="Verde"/>
    <s v="Puma"/>
    <s v="MER-A0-4608"/>
    <d v="2024-03-15T00:00:00"/>
    <x v="0"/>
    <n v="163.01"/>
    <n v="0.1"/>
    <n v="56.36"/>
    <x v="0"/>
    <s v="No"/>
    <d v="2024-03-15T00:00:00"/>
    <n v="0"/>
  </r>
  <r>
    <s v="DEP-A0-1236"/>
    <x v="0"/>
    <n v="45"/>
    <x v="1"/>
    <s v="Blusa"/>
    <s v="Blanco"/>
    <s v="Mango"/>
    <s v="MER-A0-1236"/>
    <d v="2024-03-25T00:00:00"/>
    <x v="0"/>
    <n v="186.16"/>
    <n v="0.1"/>
    <n v="172.28700000000001"/>
    <x v="0"/>
    <s v="No"/>
    <d v="2024-03-25T00:00:00"/>
    <n v="0"/>
  </r>
  <r>
    <s v="DEP-A0-3689"/>
    <x v="0"/>
    <n v="62"/>
    <x v="1"/>
    <s v="Falda"/>
    <s v="Blanco"/>
    <s v="Mango"/>
    <s v="MER-A0-3689"/>
    <d v="2024-03-26T00:00:00"/>
    <x v="0"/>
    <n v="20.76"/>
    <n v="0.1"/>
    <n v="42.335999999999999"/>
    <x v="0"/>
    <s v="No"/>
    <d v="2024-03-26T00:00:00"/>
    <n v="0"/>
  </r>
  <r>
    <s v="DEP-A0-1843"/>
    <x v="1"/>
    <n v="54"/>
    <x v="1"/>
    <s v="Chaqueta"/>
    <s v="Amarillo"/>
    <s v="Puma"/>
    <s v="MER-A0-1843"/>
    <d v="2024-03-26T00:00:00"/>
    <x v="0"/>
    <n v="66.069999999999993"/>
    <n v="0.3"/>
    <n v="68.337000000000003"/>
    <x v="0"/>
    <s v="No"/>
    <d v="2024-03-26T00:00:00"/>
    <n v="0"/>
  </r>
  <r>
    <s v="DEP-A0-2366"/>
    <x v="0"/>
    <n v="51"/>
    <x v="1"/>
    <s v="Chaqueta"/>
    <s v="Gris"/>
    <s v="Zara"/>
    <s v="MER-A0-2366"/>
    <d v="2024-03-27T00:00:00"/>
    <x v="0"/>
    <n v="76.989999999999995"/>
    <n v="0"/>
    <n v="91.263999999999996"/>
    <x v="0"/>
    <s v="No"/>
    <d v="2024-03-27T00:00:00"/>
    <n v="0"/>
  </r>
  <r>
    <s v="DEP-A0-3174"/>
    <x v="0"/>
    <n v="65"/>
    <x v="1"/>
    <s v="Vestido"/>
    <s v="Negro"/>
    <s v="Mango"/>
    <s v="MER-A0-3174"/>
    <d v="2024-03-27T00:00:00"/>
    <x v="0"/>
    <n v="97.61"/>
    <n v="0.3"/>
    <n v="83.933999999999997"/>
    <x v="0"/>
    <s v="No"/>
    <d v="2024-03-27T00:00:00"/>
    <n v="0"/>
  </r>
  <r>
    <s v="DEP-A0-3305"/>
    <x v="1"/>
    <n v="62"/>
    <x v="1"/>
    <s v="Pantalón"/>
    <s v="Verde"/>
    <s v="Mango"/>
    <s v="MER-A0-3305"/>
    <d v="2024-03-27T00:00:00"/>
    <x v="0"/>
    <n v="140.19999999999999"/>
    <n v="0"/>
    <n v="158.12"/>
    <x v="0"/>
    <s v="No"/>
    <d v="2024-03-27T00:00:00"/>
    <n v="0"/>
  </r>
  <r>
    <s v="DEP-A0-3258"/>
    <x v="0"/>
    <n v="49"/>
    <x v="1"/>
    <s v="Vestido"/>
    <s v="Azul"/>
    <s v="Mango"/>
    <s v="MER-A0-3258"/>
    <d v="2024-03-31T00:00:00"/>
    <x v="0"/>
    <n v="133.72"/>
    <n v="0"/>
    <n v="58.317000000000007"/>
    <x v="0"/>
    <s v="No"/>
    <d v="2024-03-31T00:00:00"/>
    <n v="0"/>
  </r>
  <r>
    <s v="DEP-A0-0822"/>
    <x v="1"/>
    <n v="40"/>
    <x v="1"/>
    <s v="Zapatos"/>
    <s v="Verde"/>
    <s v="Mango"/>
    <s v="MER-A0-0822"/>
    <d v="2024-03-31T00:00:00"/>
    <x v="0"/>
    <n v="184.45"/>
    <n v="0"/>
    <n v="109.16"/>
    <x v="0"/>
    <s v="No"/>
    <d v="2024-03-31T00:00:00"/>
    <n v="0"/>
  </r>
  <r>
    <s v="DEP-A0-4704"/>
    <x v="0"/>
    <n v="36"/>
    <x v="1"/>
    <s v="Vestido"/>
    <s v="Rojo"/>
    <s v="Levis"/>
    <s v="MER-A0-4704"/>
    <d v="2024-04-01T00:00:00"/>
    <x v="0"/>
    <n v="84.9"/>
    <n v="0.2"/>
    <n v="131.75"/>
    <x v="0"/>
    <s v="No"/>
    <d v="2024-04-01T00:00:00"/>
    <n v="0"/>
  </r>
  <r>
    <s v="DEP-A0-0543"/>
    <x v="0"/>
    <n v="63"/>
    <x v="1"/>
    <s v="Chaqueta"/>
    <s v="Azul"/>
    <s v="Levis"/>
    <s v="MER-A0-0543"/>
    <d v="2024-04-01T00:00:00"/>
    <x v="0"/>
    <n v="138.11000000000001"/>
    <n v="0.1"/>
    <n v="41.650000000000006"/>
    <x v="0"/>
    <s v="No"/>
    <d v="2024-04-01T00:00:00"/>
    <n v="0"/>
  </r>
  <r>
    <s v="DEP-A0-2951"/>
    <x v="0"/>
    <n v="41"/>
    <x v="1"/>
    <s v="Blusa"/>
    <s v="Rojo"/>
    <s v="Tommy"/>
    <s v="MER-A0-2951"/>
    <d v="2024-04-01T00:00:00"/>
    <x v="0"/>
    <n v="142.36000000000001"/>
    <n v="0.3"/>
    <n v="133.29399999999998"/>
    <x v="0"/>
    <s v="No"/>
    <d v="2024-04-01T00:00:00"/>
    <n v="0"/>
  </r>
  <r>
    <s v="DEP-A0-2894"/>
    <x v="0"/>
    <n v="49"/>
    <x v="1"/>
    <s v="Pantalón"/>
    <s v="Negro"/>
    <s v="Puma"/>
    <s v="MER-A0-2894"/>
    <d v="2024-04-02T00:00:00"/>
    <x v="0"/>
    <n v="99.5"/>
    <n v="0"/>
    <n v="16.208000000000002"/>
    <x v="0"/>
    <s v="No"/>
    <d v="2024-04-02T00:00:00"/>
    <n v="0"/>
  </r>
  <r>
    <s v="DEP-A0-3665"/>
    <x v="0"/>
    <n v="43"/>
    <x v="1"/>
    <s v="Blusa"/>
    <s v="Amarillo"/>
    <s v="Zara"/>
    <s v="MER-A0-3665"/>
    <d v="2024-04-02T00:00:00"/>
    <x v="0"/>
    <n v="123.51"/>
    <n v="0.2"/>
    <n v="102.13"/>
    <x v="0"/>
    <s v="No"/>
    <d v="2024-04-02T00:00:00"/>
    <n v="0"/>
  </r>
  <r>
    <s v="DEP-A0-1885"/>
    <x v="0"/>
    <n v="54"/>
    <x v="1"/>
    <s v="Chaqueta"/>
    <s v="Gris"/>
    <s v="Puma"/>
    <s v="MER-A0-1885"/>
    <d v="2024-04-02T00:00:00"/>
    <x v="0"/>
    <n v="138.83000000000001"/>
    <n v="0"/>
    <n v="80.287999999999997"/>
    <x v="0"/>
    <s v="No"/>
    <d v="2024-04-02T00:00:00"/>
    <n v="0"/>
  </r>
  <r>
    <s v="DEP-A0-1340"/>
    <x v="0"/>
    <n v="48"/>
    <x v="1"/>
    <s v="Falda"/>
    <s v="Gris"/>
    <s v="Zara"/>
    <s v="MER-A0-1340"/>
    <d v="2024-04-03T00:00:00"/>
    <x v="0"/>
    <n v="123.5"/>
    <n v="0.2"/>
    <n v="34.195"/>
    <x v="0"/>
    <s v="No"/>
    <d v="2024-04-03T00:00:00"/>
    <n v="0"/>
  </r>
  <r>
    <s v="DEP-A0-4050"/>
    <x v="0"/>
    <n v="48"/>
    <x v="1"/>
    <s v="Falda"/>
    <s v="Blanco"/>
    <s v="Puma"/>
    <s v="MER-A0-4050"/>
    <d v="2024-04-05T00:00:00"/>
    <x v="0"/>
    <n v="193.81"/>
    <n v="0.2"/>
    <n v="132.46099999999998"/>
    <x v="0"/>
    <s v="No"/>
    <d v="2024-04-05T00:00:00"/>
    <n v="0"/>
  </r>
  <r>
    <s v="DEP-A0-0273"/>
    <x v="0"/>
    <n v="64"/>
    <x v="1"/>
    <s v="Vestido"/>
    <s v="Negro"/>
    <s v="Mango"/>
    <s v="MER-A0-0273"/>
    <d v="2024-04-05T00:00:00"/>
    <x v="0"/>
    <n v="195.14"/>
    <n v="0.3"/>
    <n v="46.35"/>
    <x v="0"/>
    <s v="No"/>
    <d v="2024-04-05T00:00:00"/>
    <n v="0"/>
  </r>
  <r>
    <s v="DEP-A0-1738"/>
    <x v="0"/>
    <n v="36"/>
    <x v="1"/>
    <s v="Falda"/>
    <s v="Blanco"/>
    <s v="Tommy"/>
    <s v="MER-A0-1738"/>
    <d v="2024-04-06T00:00:00"/>
    <x v="0"/>
    <n v="62.39"/>
    <n v="0.1"/>
    <n v="60.78"/>
    <x v="0"/>
    <s v="No"/>
    <d v="2024-04-06T00:00:00"/>
    <n v="0"/>
  </r>
  <r>
    <s v="DEP-A0-0996"/>
    <x v="0"/>
    <n v="61"/>
    <x v="1"/>
    <s v="Blusa"/>
    <s v="Amarillo"/>
    <s v="Zara"/>
    <s v="MER-A0-0996"/>
    <d v="2024-04-07T00:00:00"/>
    <x v="0"/>
    <n v="55.92"/>
    <n v="0.1"/>
    <n v="39.335999999999999"/>
    <x v="0"/>
    <s v="No"/>
    <d v="2024-04-07T00:00:00"/>
    <n v="0"/>
  </r>
  <r>
    <s v="DEP-A0-0239"/>
    <x v="0"/>
    <n v="60"/>
    <x v="1"/>
    <s v="Vestido"/>
    <s v="Negro"/>
    <s v="Nike"/>
    <s v="MER-A0-0239"/>
    <d v="2024-04-08T00:00:00"/>
    <x v="0"/>
    <n v="119.62"/>
    <n v="0.1"/>
    <n v="108.136"/>
    <x v="0"/>
    <s v="No"/>
    <d v="2024-04-08T00:00:00"/>
    <n v="0"/>
  </r>
  <r>
    <s v="DEP-A0-4737"/>
    <x v="0"/>
    <n v="59"/>
    <x v="1"/>
    <s v="Vestido"/>
    <s v="Gris"/>
    <s v="Zara"/>
    <s v="MER-A0-4737"/>
    <d v="2024-04-08T00:00:00"/>
    <x v="0"/>
    <n v="172.03"/>
    <n v="0.1"/>
    <n v="153.59399999999999"/>
    <x v="0"/>
    <s v="No"/>
    <d v="2024-04-08T00:00:00"/>
    <n v="0"/>
  </r>
  <r>
    <s v="DEP-A0-1679"/>
    <x v="1"/>
    <n v="55"/>
    <x v="1"/>
    <s v="Camisa"/>
    <s v="Blanco"/>
    <s v="Tommy"/>
    <s v="MER-A0-1679"/>
    <d v="2024-04-08T00:00:00"/>
    <x v="0"/>
    <n v="187.86"/>
    <n v="0.2"/>
    <n v="147.93"/>
    <x v="0"/>
    <s v="No"/>
    <d v="2024-04-08T00:00:00"/>
    <n v="0"/>
  </r>
  <r>
    <s v="DEP-A0-3099"/>
    <x v="0"/>
    <n v="52"/>
    <x v="1"/>
    <s v="Pantalón"/>
    <s v="Verde"/>
    <s v="Mango"/>
    <s v="MER-A0-3099"/>
    <d v="2024-04-17T00:00:00"/>
    <x v="0"/>
    <n v="93.67"/>
    <n v="0.2"/>
    <n v="78.912000000000006"/>
    <x v="0"/>
    <s v="No"/>
    <d v="2024-04-17T00:00:00"/>
    <n v="0"/>
  </r>
  <r>
    <s v="DEP-A0-0301"/>
    <x v="1"/>
    <n v="56"/>
    <x v="1"/>
    <s v="Pantalón"/>
    <s v="Amarillo"/>
    <s v="Nike"/>
    <s v="MER-A0-0301"/>
    <d v="2024-04-17T00:00:00"/>
    <x v="0"/>
    <n v="138.4"/>
    <n v="0.3"/>
    <n v="149.27199999999999"/>
    <x v="0"/>
    <s v="No"/>
    <d v="2024-04-17T00:00:00"/>
    <n v="0"/>
  </r>
  <r>
    <s v="DEP-A0-0971"/>
    <x v="0"/>
    <n v="42"/>
    <x v="1"/>
    <s v="Chaqueta"/>
    <s v="Rojo"/>
    <s v="Mango"/>
    <s v="MER-A0-0971"/>
    <d v="2024-04-18T00:00:00"/>
    <x v="0"/>
    <n v="26.58"/>
    <n v="0.1"/>
    <n v="12.023999999999999"/>
    <x v="0"/>
    <s v="No"/>
    <d v="2024-04-18T00:00:00"/>
    <n v="0"/>
  </r>
  <r>
    <s v="DEP-A0-2832"/>
    <x v="0"/>
    <n v="55"/>
    <x v="1"/>
    <s v="Blusa"/>
    <s v="Amarillo"/>
    <s v="Tommy"/>
    <s v="MER-A0-2832"/>
    <d v="2024-04-18T00:00:00"/>
    <x v="0"/>
    <n v="199.79"/>
    <n v="0"/>
    <n v="152.768"/>
    <x v="0"/>
    <s v="No"/>
    <d v="2024-04-18T00:00:00"/>
    <n v="0"/>
  </r>
  <r>
    <s v="DEP-A0-4565"/>
    <x v="1"/>
    <n v="56"/>
    <x v="1"/>
    <s v="Zapatos"/>
    <s v="Rojo"/>
    <s v="Zara"/>
    <s v="MER-A0-4565"/>
    <d v="2024-04-19T00:00:00"/>
    <x v="0"/>
    <n v="63.77"/>
    <n v="0.3"/>
    <n v="39.396000000000001"/>
    <x v="0"/>
    <s v="No"/>
    <d v="2024-04-19T00:00:00"/>
    <n v="0"/>
  </r>
  <r>
    <s v="DEP-A0-4599"/>
    <x v="1"/>
    <n v="51"/>
    <x v="1"/>
    <s v="Chaqueta"/>
    <s v="Blanco"/>
    <s v="Nike"/>
    <s v="MER-A0-4599"/>
    <d v="2024-04-19T00:00:00"/>
    <x v="0"/>
    <n v="80.989999999999995"/>
    <n v="0.1"/>
    <n v="109.34400000000001"/>
    <x v="0"/>
    <s v="No"/>
    <d v="2024-04-19T00:00:00"/>
    <n v="0"/>
  </r>
  <r>
    <s v="DEP-A0-3378"/>
    <x v="0"/>
    <n v="47"/>
    <x v="1"/>
    <s v="Falda"/>
    <s v="Azul"/>
    <s v="Adidas"/>
    <s v="MER-A0-3378"/>
    <d v="2024-04-24T00:00:00"/>
    <x v="0"/>
    <n v="107.48"/>
    <n v="0.3"/>
    <n v="107.19200000000001"/>
    <x v="0"/>
    <s v="No"/>
    <d v="2024-04-24T00:00:00"/>
    <n v="0"/>
  </r>
  <r>
    <s v="DEP-A0-4657"/>
    <x v="1"/>
    <n v="58"/>
    <x v="1"/>
    <s v="Chaqueta"/>
    <s v="Negro"/>
    <s v="Mango"/>
    <s v="MER-A0-4657"/>
    <d v="2024-04-25T00:00:00"/>
    <x v="0"/>
    <n v="50.88"/>
    <n v="0"/>
    <n v="46.54"/>
    <x v="0"/>
    <s v="No"/>
    <d v="2024-04-25T00:00:00"/>
    <n v="0"/>
  </r>
  <r>
    <s v="DEP-A0-2416"/>
    <x v="0"/>
    <n v="48"/>
    <x v="1"/>
    <s v="Zapatos"/>
    <s v="Rojo"/>
    <s v="Levis"/>
    <s v="MER-A0-2416"/>
    <d v="2024-04-25T00:00:00"/>
    <x v="0"/>
    <n v="146.15"/>
    <n v="0.3"/>
    <n v="53.018999999999998"/>
    <x v="0"/>
    <s v="No"/>
    <d v="2024-04-25T00:00:00"/>
    <n v="0"/>
  </r>
  <r>
    <s v="DEP-A0-0009"/>
    <x v="0"/>
    <n v="53"/>
    <x v="1"/>
    <s v="Vestido"/>
    <s v="Blanco"/>
    <s v="Puma"/>
    <s v="MER-A0-0009"/>
    <d v="2024-04-25T00:00:00"/>
    <x v="0"/>
    <n v="173.72"/>
    <n v="0"/>
    <n v="60.18"/>
    <x v="0"/>
    <s v="No"/>
    <d v="2024-04-25T00:00:00"/>
    <n v="0"/>
  </r>
  <r>
    <s v="DEP-A0-2329"/>
    <x v="0"/>
    <n v="47"/>
    <x v="1"/>
    <s v="Chaqueta"/>
    <s v="Amarillo"/>
    <s v="Mango"/>
    <s v="MER-A0-2329"/>
    <d v="2024-04-26T00:00:00"/>
    <x v="0"/>
    <n v="70.17"/>
    <n v="0"/>
    <n v="50.819999999999993"/>
    <x v="0"/>
    <s v="No"/>
    <d v="2024-04-26T00:00:00"/>
    <n v="0"/>
  </r>
  <r>
    <s v="DEP-A0-4074"/>
    <x v="0"/>
    <n v="62"/>
    <x v="1"/>
    <s v="Blusa"/>
    <s v="Verde"/>
    <s v="Puma"/>
    <s v="MER-A0-4074"/>
    <d v="2024-04-30T00:00:00"/>
    <x v="0"/>
    <n v="154.32"/>
    <n v="0.3"/>
    <n v="183.37"/>
    <x v="0"/>
    <s v="No"/>
    <d v="2024-04-30T00:00:00"/>
    <n v="0"/>
  </r>
  <r>
    <s v="DEP-A0-4462"/>
    <x v="0"/>
    <n v="57"/>
    <x v="1"/>
    <s v="Vestido"/>
    <s v="Azul"/>
    <s v="Zara"/>
    <s v="MER-A0-4462"/>
    <d v="2024-05-01T00:00:00"/>
    <x v="0"/>
    <n v="72.89"/>
    <n v="0.3"/>
    <n v="99.028999999999996"/>
    <x v="0"/>
    <s v="No"/>
    <d v="2024-05-01T00:00:00"/>
    <n v="0"/>
  </r>
  <r>
    <s v="DEP-A0-4539"/>
    <x v="1"/>
    <n v="44"/>
    <x v="1"/>
    <s v="Pantalón"/>
    <s v="Blanco"/>
    <s v="Levis"/>
    <s v="MER-A0-4539"/>
    <d v="2024-05-01T00:00:00"/>
    <x v="0"/>
    <n v="146.91"/>
    <n v="0"/>
    <n v="19.340999999999998"/>
    <x v="0"/>
    <s v="No"/>
    <d v="2024-05-01T00:00:00"/>
    <n v="0"/>
  </r>
  <r>
    <s v="DEP-A0-3144"/>
    <x v="1"/>
    <n v="58"/>
    <x v="1"/>
    <s v="Zapatos"/>
    <s v="Blanco"/>
    <s v="Levis"/>
    <s v="MER-A0-3144"/>
    <d v="2024-05-01T00:00:00"/>
    <x v="0"/>
    <n v="184.38"/>
    <n v="0.2"/>
    <n v="169.51"/>
    <x v="0"/>
    <s v="No"/>
    <d v="2024-05-01T00:00:00"/>
    <n v="0"/>
  </r>
  <r>
    <s v="DEP-A0-1359"/>
    <x v="0"/>
    <n v="50"/>
    <x v="1"/>
    <s v="Blusa"/>
    <s v="Verde"/>
    <s v="Adidas"/>
    <s v="MER-A0-1359"/>
    <d v="2024-05-02T00:00:00"/>
    <x v="0"/>
    <n v="33.049999999999997"/>
    <n v="0"/>
    <n v="66.760000000000005"/>
    <x v="0"/>
    <s v="No"/>
    <d v="2024-05-02T00:00:00"/>
    <n v="0"/>
  </r>
  <r>
    <s v="DEP-A0-0108"/>
    <x v="0"/>
    <n v="40"/>
    <x v="1"/>
    <s v="Blusa"/>
    <s v="Amarillo"/>
    <s v="Levis"/>
    <s v="MER-A0-0108"/>
    <d v="2024-05-02T00:00:00"/>
    <x v="0"/>
    <n v="67.2"/>
    <n v="0.1"/>
    <n v="69.069000000000003"/>
    <x v="0"/>
    <s v="No"/>
    <d v="2024-05-02T00:00:00"/>
    <n v="0"/>
  </r>
  <r>
    <s v="DEP-A0-1303"/>
    <x v="0"/>
    <n v="45"/>
    <x v="1"/>
    <s v="Zapatos"/>
    <s v="Negro"/>
    <s v="Levis"/>
    <s v="MER-A0-1303"/>
    <d v="2024-05-02T00:00:00"/>
    <x v="0"/>
    <n v="82.9"/>
    <n v="0.2"/>
    <n v="27.48"/>
    <x v="0"/>
    <s v="No"/>
    <d v="2024-05-02T00:00:00"/>
    <n v="0"/>
  </r>
  <r>
    <s v="DEP-A0-4431"/>
    <x v="0"/>
    <n v="64"/>
    <x v="1"/>
    <s v="Chaqueta"/>
    <s v="Negro"/>
    <s v="Nike"/>
    <s v="MER-A0-4431"/>
    <d v="2024-05-02T00:00:00"/>
    <x v="0"/>
    <n v="103.82"/>
    <n v="0.1"/>
    <n v="81.328000000000003"/>
    <x v="0"/>
    <s v="No"/>
    <d v="2024-05-02T00:00:00"/>
    <n v="0"/>
  </r>
  <r>
    <s v="DEP-A0-0621"/>
    <x v="1"/>
    <n v="64"/>
    <x v="1"/>
    <s v="Camisa"/>
    <s v="Blanco"/>
    <s v="Tommy"/>
    <s v="MER-A0-0621"/>
    <d v="2024-05-03T00:00:00"/>
    <x v="0"/>
    <n v="19.13"/>
    <n v="0"/>
    <n v="115.2"/>
    <x v="0"/>
    <s v="No"/>
    <d v="2024-05-03T00:00:00"/>
    <n v="0"/>
  </r>
  <r>
    <s v="DEP-A0-3446"/>
    <x v="0"/>
    <n v="56"/>
    <x v="1"/>
    <s v="Pantalón"/>
    <s v="Blanco"/>
    <s v="Nike"/>
    <s v="MER-A0-3446"/>
    <d v="2024-05-03T00:00:00"/>
    <x v="0"/>
    <n v="80.44"/>
    <n v="0.2"/>
    <n v="115.88399999999999"/>
    <x v="0"/>
    <s v="No"/>
    <d v="2024-05-03T00:00:00"/>
    <n v="0"/>
  </r>
  <r>
    <s v="DEP-A0-0250"/>
    <x v="0"/>
    <n v="37"/>
    <x v="1"/>
    <s v="Falda"/>
    <s v="Gris"/>
    <s v="Levis"/>
    <s v="MER-A0-0250"/>
    <d v="2024-05-03T00:00:00"/>
    <x v="0"/>
    <n v="109.08"/>
    <n v="0.2"/>
    <n v="150.392"/>
    <x v="0"/>
    <s v="No"/>
    <d v="2024-05-03T00:00:00"/>
    <n v="0"/>
  </r>
  <r>
    <s v="DEP-A0-2994"/>
    <x v="0"/>
    <n v="64"/>
    <x v="1"/>
    <s v="Blusa"/>
    <s v="Rojo"/>
    <s v="Zara"/>
    <s v="MER-A0-2994"/>
    <d v="2024-05-03T00:00:00"/>
    <x v="0"/>
    <n v="121.57"/>
    <n v="0.2"/>
    <n v="16.670000000000002"/>
    <x v="0"/>
    <s v="No"/>
    <d v="2024-05-03T00:00:00"/>
    <n v="0"/>
  </r>
  <r>
    <s v="DEP-A0-3535"/>
    <x v="1"/>
    <n v="39"/>
    <x v="1"/>
    <s v="Chaqueta"/>
    <s v="Verde"/>
    <s v="Puma"/>
    <s v="MER-A0-3535"/>
    <d v="2024-05-03T00:00:00"/>
    <x v="0"/>
    <n v="158.93"/>
    <n v="0"/>
    <n v="18.87"/>
    <x v="0"/>
    <s v="No"/>
    <d v="2024-05-03T00:00:00"/>
    <n v="0"/>
  </r>
  <r>
    <s v="DEP-A0-2853"/>
    <x v="0"/>
    <n v="47"/>
    <x v="1"/>
    <s v="Vestido"/>
    <s v="Amarillo"/>
    <s v="Puma"/>
    <s v="MER-A0-2853"/>
    <d v="2024-05-04T00:00:00"/>
    <x v="0"/>
    <n v="171.97"/>
    <n v="0.2"/>
    <n v="15.575999999999999"/>
    <x v="0"/>
    <s v="No"/>
    <d v="2024-05-04T00:00:00"/>
    <n v="0"/>
  </r>
  <r>
    <s v="DEP-A0-0925"/>
    <x v="0"/>
    <n v="43"/>
    <x v="1"/>
    <s v="Vestido"/>
    <s v="Amarillo"/>
    <s v="Nike"/>
    <s v="MER-A0-0925"/>
    <d v="2024-05-04T00:00:00"/>
    <x v="0"/>
    <n v="180.18"/>
    <n v="0.2"/>
    <n v="91.179000000000002"/>
    <x v="0"/>
    <s v="No"/>
    <d v="2024-05-04T00:00:00"/>
    <n v="0"/>
  </r>
  <r>
    <s v="DEP-A0-3369"/>
    <x v="0"/>
    <n v="37"/>
    <x v="1"/>
    <s v="Chaqueta"/>
    <s v="Negro"/>
    <s v="Zara"/>
    <s v="MER-A0-3369"/>
    <d v="2024-05-05T00:00:00"/>
    <x v="0"/>
    <n v="158.93"/>
    <n v="0.2"/>
    <n v="61.704000000000001"/>
    <x v="0"/>
    <s v="No"/>
    <d v="2024-05-05T00:00:00"/>
    <n v="0"/>
  </r>
  <r>
    <s v="DEP-A0-3969"/>
    <x v="0"/>
    <n v="58"/>
    <x v="1"/>
    <s v="Vestido"/>
    <s v="Rojo"/>
    <s v="Mango"/>
    <s v="MER-A0-3969"/>
    <d v="2024-05-05T00:00:00"/>
    <x v="0"/>
    <n v="198.77"/>
    <n v="0"/>
    <n v="96.369"/>
    <x v="0"/>
    <s v="No"/>
    <d v="2024-05-05T00:00:00"/>
    <n v="0"/>
  </r>
  <r>
    <s v="DEP-A0-0399"/>
    <x v="0"/>
    <n v="51"/>
    <x v="1"/>
    <s v="Zapatos"/>
    <s v="Azul"/>
    <s v="Tommy"/>
    <s v="MER-A0-0399"/>
    <d v="2024-05-06T00:00:00"/>
    <x v="0"/>
    <n v="46.18"/>
    <n v="0.1"/>
    <n v="151.93"/>
    <x v="0"/>
    <s v="No"/>
    <d v="2024-05-06T00:00:00"/>
    <n v="0"/>
  </r>
  <r>
    <s v="DEP-A0-1728"/>
    <x v="0"/>
    <n v="48"/>
    <x v="1"/>
    <s v="Pantalón"/>
    <s v="Azul"/>
    <s v="Adidas"/>
    <s v="MER-A0-1728"/>
    <d v="2024-05-06T00:00:00"/>
    <x v="0"/>
    <n v="99.21"/>
    <n v="0"/>
    <n v="98.371000000000009"/>
    <x v="0"/>
    <s v="No"/>
    <d v="2024-05-06T00:00:00"/>
    <n v="0"/>
  </r>
  <r>
    <s v="DEP-A0-1859"/>
    <x v="0"/>
    <n v="57"/>
    <x v="1"/>
    <s v="Camisa"/>
    <s v="Blanco"/>
    <s v="Levis"/>
    <s v="MER-A0-1859"/>
    <d v="2024-05-06T00:00:00"/>
    <x v="0"/>
    <n v="127.1"/>
    <n v="0.3"/>
    <n v="156.38999999999999"/>
    <x v="0"/>
    <s v="No"/>
    <d v="2024-05-06T00:00:00"/>
    <n v="0"/>
  </r>
  <r>
    <s v="DEP-A0-1120"/>
    <x v="0"/>
    <n v="64"/>
    <x v="1"/>
    <s v="Blusa"/>
    <s v="Azul"/>
    <s v="Nike"/>
    <s v="MER-A0-1120"/>
    <d v="2024-05-06T00:00:00"/>
    <x v="0"/>
    <n v="193.56"/>
    <n v="0.2"/>
    <n v="102.80200000000002"/>
    <x v="0"/>
    <s v="No"/>
    <d v="2024-05-06T00:00:00"/>
    <n v="0"/>
  </r>
  <r>
    <s v="DEP-A0-1167"/>
    <x v="1"/>
    <n v="54"/>
    <x v="1"/>
    <s v="Zapatos"/>
    <s v="Amarillo"/>
    <s v="Puma"/>
    <s v="MER-A0-1167"/>
    <d v="2024-05-07T00:00:00"/>
    <x v="0"/>
    <n v="134.11000000000001"/>
    <n v="0.2"/>
    <n v="113.49600000000001"/>
    <x v="0"/>
    <s v="No"/>
    <d v="2024-05-07T00:00:00"/>
    <n v="0"/>
  </r>
  <r>
    <s v="DEP-A0-4575"/>
    <x v="0"/>
    <n v="42"/>
    <x v="1"/>
    <s v="Blusa"/>
    <s v="Negro"/>
    <s v="Nike"/>
    <s v="MER-A0-4575"/>
    <d v="2024-05-08T00:00:00"/>
    <x v="0"/>
    <n v="105.1"/>
    <n v="0.2"/>
    <n v="114.48"/>
    <x v="0"/>
    <s v="No"/>
    <d v="2024-05-08T00:00:00"/>
    <n v="0"/>
  </r>
  <r>
    <s v="DEP-A0-0728"/>
    <x v="0"/>
    <n v="62"/>
    <x v="1"/>
    <s v="Camisa"/>
    <s v="Amarillo"/>
    <s v="Zara"/>
    <s v="MER-A0-0728"/>
    <d v="2024-05-08T00:00:00"/>
    <x v="0"/>
    <n v="108.35"/>
    <n v="0.2"/>
    <n v="107.00200000000001"/>
    <x v="0"/>
    <s v="No"/>
    <d v="2024-05-08T00:00:00"/>
    <n v="0"/>
  </r>
  <r>
    <s v="DEP-A0-4018"/>
    <x v="1"/>
    <n v="56"/>
    <x v="1"/>
    <s v="Chaqueta"/>
    <s v="Verde"/>
    <s v="Zara"/>
    <s v="MER-A0-4018"/>
    <d v="2024-05-09T00:00:00"/>
    <x v="0"/>
    <n v="108.64"/>
    <n v="0.2"/>
    <n v="117.97200000000001"/>
    <x v="0"/>
    <s v="No"/>
    <d v="2024-05-09T00:00:00"/>
    <n v="0"/>
  </r>
  <r>
    <s v="DEP-A0-4827"/>
    <x v="0"/>
    <n v="63"/>
    <x v="1"/>
    <s v="Blusa"/>
    <s v="Verde"/>
    <s v="Levis"/>
    <s v="MER-A0-4827"/>
    <d v="2024-05-09T00:00:00"/>
    <x v="0"/>
    <n v="178.41"/>
    <n v="0.2"/>
    <n v="67.878"/>
    <x v="0"/>
    <s v="No"/>
    <d v="2024-05-09T00:00:00"/>
    <n v="0"/>
  </r>
  <r>
    <s v="DEP-A0-4369"/>
    <x v="0"/>
    <n v="56"/>
    <x v="1"/>
    <s v="Vestido"/>
    <s v="Azul"/>
    <s v="Mango"/>
    <s v="MER-A0-4369"/>
    <d v="2024-05-10T00:00:00"/>
    <x v="0"/>
    <n v="14.55"/>
    <n v="0.2"/>
    <n v="169.8"/>
    <x v="0"/>
    <s v="No"/>
    <d v="2024-05-10T00:00:00"/>
    <n v="0"/>
  </r>
  <r>
    <s v="DEP-A0-2000"/>
    <x v="1"/>
    <n v="55"/>
    <x v="1"/>
    <s v="Zapatos"/>
    <s v="Amarillo"/>
    <s v="Nike"/>
    <s v="MER-A0-2000"/>
    <d v="2024-05-10T00:00:00"/>
    <x v="0"/>
    <n v="28.51"/>
    <n v="0.3"/>
    <n v="140.74199999999999"/>
    <x v="0"/>
    <s v="No"/>
    <d v="2024-05-10T00:00:00"/>
    <n v="0"/>
  </r>
  <r>
    <s v="DEP-A0-0069"/>
    <x v="0"/>
    <n v="59"/>
    <x v="1"/>
    <s v="Pantalón"/>
    <s v="Gris"/>
    <s v="Nike"/>
    <s v="MER-A0-0069"/>
    <d v="2024-05-10T00:00:00"/>
    <x v="0"/>
    <n v="39.06"/>
    <n v="0"/>
    <n v="53.55"/>
    <x v="0"/>
    <s v="No"/>
    <d v="2024-05-10T00:00:00"/>
    <n v="0"/>
  </r>
  <r>
    <s v="DEP-A0-3942"/>
    <x v="0"/>
    <n v="58"/>
    <x v="1"/>
    <s v="Falda"/>
    <s v="Negro"/>
    <s v="Zara"/>
    <s v="MER-A0-3942"/>
    <d v="2024-05-10T00:00:00"/>
    <x v="0"/>
    <n v="176.87"/>
    <n v="0.2"/>
    <n v="126.896"/>
    <x v="0"/>
    <s v="No"/>
    <d v="2024-05-10T00:00:00"/>
    <n v="0"/>
  </r>
  <r>
    <s v="DEP-A0-0124"/>
    <x v="0"/>
    <n v="58"/>
    <x v="1"/>
    <s v="Pantalón"/>
    <s v="Azul"/>
    <s v="Adidas"/>
    <s v="MER-A0-0124"/>
    <d v="2024-05-11T00:00:00"/>
    <x v="0"/>
    <n v="31.6"/>
    <n v="0.1"/>
    <n v="40.770000000000003"/>
    <x v="0"/>
    <s v="No"/>
    <d v="2024-05-11T00:00:00"/>
    <n v="0"/>
  </r>
  <r>
    <s v="DEP-A0-0494"/>
    <x v="0"/>
    <n v="39"/>
    <x v="1"/>
    <s v="Camisa"/>
    <s v="Verde"/>
    <s v="Zara"/>
    <s v="MER-A0-0494"/>
    <d v="2024-05-11T00:00:00"/>
    <x v="0"/>
    <n v="95.49"/>
    <n v="0.2"/>
    <n v="145.386"/>
    <x v="0"/>
    <s v="No"/>
    <d v="2024-05-11T00:00:00"/>
    <n v="0"/>
  </r>
  <r>
    <s v="DEP-A0-0913"/>
    <x v="0"/>
    <n v="54"/>
    <x v="1"/>
    <s v="Falda"/>
    <s v="Amarillo"/>
    <s v="Adidas"/>
    <s v="MER-A0-0913"/>
    <d v="2024-05-11T00:00:00"/>
    <x v="0"/>
    <n v="101.92"/>
    <n v="0"/>
    <n v="131.87299999999999"/>
    <x v="0"/>
    <s v="No"/>
    <d v="2024-05-11T00:00:00"/>
    <n v="0"/>
  </r>
  <r>
    <s v="DEP-A0-0506"/>
    <x v="0"/>
    <n v="56"/>
    <x v="1"/>
    <s v="Blusa"/>
    <s v="Amarillo"/>
    <s v="Adidas"/>
    <s v="MER-A0-0506"/>
    <d v="2024-05-11T00:00:00"/>
    <x v="0"/>
    <n v="116.31"/>
    <n v="0.2"/>
    <n v="62.853000000000009"/>
    <x v="0"/>
    <s v="No"/>
    <d v="2024-05-11T00:00:00"/>
    <n v="0"/>
  </r>
  <r>
    <s v="DEP-A0-1134"/>
    <x v="0"/>
    <n v="59"/>
    <x v="1"/>
    <s v="Chaqueta"/>
    <s v="Azul"/>
    <s v="Mango"/>
    <s v="MER-A0-1134"/>
    <d v="2024-05-11T00:00:00"/>
    <x v="0"/>
    <n v="163.66"/>
    <n v="0.3"/>
    <n v="155.31"/>
    <x v="0"/>
    <s v="No"/>
    <d v="2024-05-11T00:00:00"/>
    <n v="0"/>
  </r>
  <r>
    <s v="DEP-A0-4494"/>
    <x v="1"/>
    <n v="51"/>
    <x v="1"/>
    <s v="Chaqueta"/>
    <s v="Blanco"/>
    <s v="Mango"/>
    <s v="MER-A0-4494"/>
    <d v="2024-05-12T00:00:00"/>
    <x v="0"/>
    <n v="95.7"/>
    <n v="0"/>
    <n v="52.533000000000001"/>
    <x v="0"/>
    <s v="No"/>
    <d v="2024-05-12T00:00:00"/>
    <n v="0"/>
  </r>
  <r>
    <s v="DEP-A0-4816"/>
    <x v="0"/>
    <n v="41"/>
    <x v="1"/>
    <s v="Zapatos"/>
    <s v="Amarillo"/>
    <s v="Levis"/>
    <s v="MER-A0-4816"/>
    <d v="2024-05-12T00:00:00"/>
    <x v="0"/>
    <n v="119.36"/>
    <n v="0"/>
    <n v="133.98399999999998"/>
    <x v="0"/>
    <s v="No"/>
    <d v="2024-05-12T00:00:00"/>
    <n v="0"/>
  </r>
  <r>
    <s v="DEP-A0-2718"/>
    <x v="0"/>
    <n v="59"/>
    <x v="1"/>
    <s v="Zapatos"/>
    <s v="Rojo"/>
    <s v="Zara"/>
    <s v="MER-A0-2718"/>
    <d v="2024-05-13T00:00:00"/>
    <x v="0"/>
    <n v="144.01"/>
    <n v="0.3"/>
    <n v="18.024000000000001"/>
    <x v="0"/>
    <s v="No"/>
    <d v="2024-05-13T00:00:00"/>
    <n v="0"/>
  </r>
  <r>
    <s v="DEP-A0-1205"/>
    <x v="0"/>
    <n v="46"/>
    <x v="1"/>
    <s v="Camisa"/>
    <s v="Verde"/>
    <s v="Tommy"/>
    <s v="MER-A0-1205"/>
    <d v="2024-05-13T00:00:00"/>
    <x v="0"/>
    <n v="197.48"/>
    <n v="0.3"/>
    <n v="24.471"/>
    <x v="0"/>
    <s v="No"/>
    <d v="2024-05-13T00:00:00"/>
    <n v="0"/>
  </r>
  <r>
    <s v="DEP-A0-3343"/>
    <x v="0"/>
    <n v="65"/>
    <x v="1"/>
    <s v="Blusa"/>
    <s v="Gris"/>
    <s v="Mango"/>
    <s v="MER-A0-3343"/>
    <d v="2024-05-14T00:00:00"/>
    <x v="0"/>
    <n v="12.16"/>
    <n v="0.2"/>
    <n v="34.229999999999997"/>
    <x v="0"/>
    <s v="No"/>
    <d v="2024-05-14T00:00:00"/>
    <n v="0"/>
  </r>
  <r>
    <s v="DEP-A0-0715"/>
    <x v="1"/>
    <n v="38"/>
    <x v="1"/>
    <s v="Chaqueta"/>
    <s v="Verde"/>
    <s v="Nike"/>
    <s v="MER-A0-0715"/>
    <d v="2024-05-15T00:00:00"/>
    <x v="0"/>
    <n v="35.82"/>
    <n v="0.1"/>
    <n v="128.11000000000001"/>
    <x v="0"/>
    <s v="No"/>
    <d v="2024-05-15T00:00:00"/>
    <n v="0"/>
  </r>
  <r>
    <s v="DEP-A0-2845"/>
    <x v="0"/>
    <n v="61"/>
    <x v="1"/>
    <s v="Chaqueta"/>
    <s v="Blanco"/>
    <s v="Levis"/>
    <s v="MER-A0-2845"/>
    <d v="2024-05-15T00:00:00"/>
    <x v="0"/>
    <n v="102.21"/>
    <n v="0.2"/>
    <n v="73.466999999999999"/>
    <x v="0"/>
    <s v="No"/>
    <d v="2024-05-15T00:00:00"/>
    <n v="0"/>
  </r>
  <r>
    <s v="DEP-A0-2179"/>
    <x v="0"/>
    <n v="45"/>
    <x v="1"/>
    <s v="Blusa"/>
    <s v="Azul"/>
    <s v="Tommy"/>
    <s v="MER-A0-2179"/>
    <d v="2024-05-15T00:00:00"/>
    <x v="0"/>
    <n v="107.8"/>
    <n v="0.1"/>
    <n v="120.798"/>
    <x v="0"/>
    <s v="No"/>
    <d v="2024-05-15T00:00:00"/>
    <n v="0"/>
  </r>
  <r>
    <s v="DEP-A0-3996"/>
    <x v="0"/>
    <n v="58"/>
    <x v="1"/>
    <s v="Blusa"/>
    <s v="Amarillo"/>
    <s v="Mango"/>
    <s v="MER-A0-3996"/>
    <d v="2024-05-15T00:00:00"/>
    <x v="0"/>
    <n v="127.36"/>
    <n v="0"/>
    <n v="165.48"/>
    <x v="0"/>
    <s v="No"/>
    <d v="2024-05-15T00:00:00"/>
    <n v="0"/>
  </r>
  <r>
    <s v="DEP-A0-4017"/>
    <x v="0"/>
    <n v="46"/>
    <x v="1"/>
    <s v="Falda"/>
    <s v="Blanco"/>
    <s v="Puma"/>
    <s v="MER-A0-4017"/>
    <d v="2024-05-16T00:00:00"/>
    <x v="0"/>
    <n v="34.49"/>
    <n v="0"/>
    <n v="164.16899999999998"/>
    <x v="0"/>
    <s v="No"/>
    <d v="2024-05-16T00:00:00"/>
    <n v="0"/>
  </r>
  <r>
    <s v="DEP-A0-0313"/>
    <x v="1"/>
    <n v="37"/>
    <x v="1"/>
    <s v="Camisa"/>
    <s v="Negro"/>
    <s v="Mango"/>
    <s v="MER-A0-0313"/>
    <d v="2024-05-16T00:00:00"/>
    <x v="0"/>
    <n v="123.29"/>
    <n v="0.3"/>
    <n v="78.245999999999995"/>
    <x v="0"/>
    <s v="No"/>
    <d v="2024-05-16T00:00:00"/>
    <n v="0"/>
  </r>
  <r>
    <s v="DEP-A0-0478"/>
    <x v="0"/>
    <n v="65"/>
    <x v="1"/>
    <s v="Pantalón"/>
    <s v="Blanco"/>
    <s v="Mango"/>
    <s v="MER-A0-0478"/>
    <d v="2024-05-16T00:00:00"/>
    <x v="0"/>
    <n v="175.83"/>
    <n v="0"/>
    <n v="81.92"/>
    <x v="0"/>
    <s v="No"/>
    <d v="2024-05-16T00:00:00"/>
    <n v="0"/>
  </r>
  <r>
    <s v="DEP-A0-1538"/>
    <x v="1"/>
    <n v="56"/>
    <x v="1"/>
    <s v="Zapatos"/>
    <s v="Negro"/>
    <s v="Puma"/>
    <s v="MER-A0-1538"/>
    <d v="2024-05-17T00:00:00"/>
    <x v="0"/>
    <n v="78.45"/>
    <n v="0.1"/>
    <n v="74.703999999999994"/>
    <x v="0"/>
    <s v="No"/>
    <d v="2024-05-17T00:00:00"/>
    <n v="0"/>
  </r>
  <r>
    <s v="DEP-A0-3370"/>
    <x v="0"/>
    <n v="48"/>
    <x v="1"/>
    <s v="Pantalón"/>
    <s v="Verde"/>
    <s v="Puma"/>
    <s v="MER-A0-3370"/>
    <d v="2024-05-17T00:00:00"/>
    <x v="0"/>
    <n v="136.5"/>
    <n v="0.2"/>
    <n v="119.39"/>
    <x v="0"/>
    <s v="No"/>
    <d v="2024-05-17T00:00:00"/>
    <n v="0"/>
  </r>
  <r>
    <s v="DEP-A0-2250"/>
    <x v="1"/>
    <n v="49"/>
    <x v="1"/>
    <s v="Pantalón"/>
    <s v="Verde"/>
    <s v="Levis"/>
    <s v="MER-A0-2250"/>
    <d v="2024-05-18T00:00:00"/>
    <x v="0"/>
    <n v="56.52"/>
    <n v="0.2"/>
    <n v="78.92"/>
    <x v="0"/>
    <s v="No"/>
    <d v="2024-05-18T00:00:00"/>
    <n v="0"/>
  </r>
  <r>
    <s v="DEP-A0-0116"/>
    <x v="0"/>
    <n v="62"/>
    <x v="1"/>
    <s v="Falda"/>
    <s v="Amarillo"/>
    <s v="Levis"/>
    <s v="MER-A0-0116"/>
    <d v="2024-05-19T00:00:00"/>
    <x v="0"/>
    <n v="55.34"/>
    <n v="0.2"/>
    <n v="44.783999999999999"/>
    <x v="0"/>
    <s v="No"/>
    <d v="2024-05-19T00:00:00"/>
    <n v="0"/>
  </r>
  <r>
    <s v="DEP-A0-1723"/>
    <x v="0"/>
    <n v="53"/>
    <x v="1"/>
    <s v="Blusa"/>
    <s v="Negro"/>
    <s v="Puma"/>
    <s v="MER-A0-1723"/>
    <d v="2024-05-21T00:00:00"/>
    <x v="0"/>
    <n v="164.39"/>
    <n v="0"/>
    <n v="172.81800000000001"/>
    <x v="0"/>
    <s v="No"/>
    <d v="2024-05-21T00:00:00"/>
    <n v="0"/>
  </r>
  <r>
    <s v="DEP-A0-1308"/>
    <x v="0"/>
    <n v="37"/>
    <x v="1"/>
    <s v="Blusa"/>
    <s v="Negro"/>
    <s v="Puma"/>
    <s v="MER-A0-1308"/>
    <d v="2024-05-23T00:00:00"/>
    <x v="0"/>
    <n v="29.43"/>
    <n v="0"/>
    <n v="17.472000000000001"/>
    <x v="0"/>
    <s v="No"/>
    <d v="2024-05-23T00:00:00"/>
    <n v="0"/>
  </r>
  <r>
    <s v="DEP-A0-0845"/>
    <x v="0"/>
    <n v="64"/>
    <x v="1"/>
    <s v="Vestido"/>
    <s v="Negro"/>
    <s v="Zara"/>
    <s v="MER-A0-0845"/>
    <d v="2024-05-23T00:00:00"/>
    <x v="0"/>
    <n v="77.430000000000007"/>
    <n v="0.3"/>
    <n v="140.43"/>
    <x v="0"/>
    <s v="No"/>
    <d v="2024-05-23T00:00:00"/>
    <n v="0"/>
  </r>
  <r>
    <s v="DEP-A0-0632"/>
    <x v="0"/>
    <n v="49"/>
    <x v="1"/>
    <s v="Vestido"/>
    <s v="Verde"/>
    <s v="Puma"/>
    <s v="MER-A0-0632"/>
    <d v="2024-05-23T00:00:00"/>
    <x v="0"/>
    <n v="111.19"/>
    <n v="0.2"/>
    <n v="127.744"/>
    <x v="0"/>
    <s v="No"/>
    <d v="2024-05-23T00:00:00"/>
    <n v="0"/>
  </r>
  <r>
    <s v="DEP-A0-2609"/>
    <x v="0"/>
    <n v="64"/>
    <x v="1"/>
    <s v="Vestido"/>
    <s v="Verde"/>
    <s v="Tommy"/>
    <s v="MER-A0-2609"/>
    <d v="2024-05-23T00:00:00"/>
    <x v="0"/>
    <n v="174.53"/>
    <n v="0.3"/>
    <n v="25.48"/>
    <x v="0"/>
    <s v="No"/>
    <d v="2024-05-23T00:00:00"/>
    <n v="0"/>
  </r>
  <r>
    <s v="DEP-A0-2269"/>
    <x v="0"/>
    <n v="37"/>
    <x v="1"/>
    <s v="Camisa"/>
    <s v="Blanco"/>
    <s v="Adidas"/>
    <s v="MER-A0-2269"/>
    <d v="2024-05-24T00:00:00"/>
    <x v="0"/>
    <n v="94.56"/>
    <n v="0.1"/>
    <n v="22.919999999999998"/>
    <x v="0"/>
    <s v="No"/>
    <d v="2024-05-24T00:00:00"/>
    <n v="0"/>
  </r>
  <r>
    <s v="DEP-A0-4466"/>
    <x v="0"/>
    <n v="57"/>
    <x v="1"/>
    <s v="Vestido"/>
    <s v="Gris"/>
    <s v="Zara"/>
    <s v="MER-A0-4466"/>
    <d v="2024-05-25T00:00:00"/>
    <x v="0"/>
    <n v="150.47999999999999"/>
    <n v="0.3"/>
    <n v="13.113"/>
    <x v="0"/>
    <s v="No"/>
    <d v="2024-05-25T00:00:00"/>
    <n v="0"/>
  </r>
  <r>
    <s v="DEP-A0-1242"/>
    <x v="0"/>
    <n v="47"/>
    <x v="1"/>
    <s v="Blusa"/>
    <s v="Negro"/>
    <s v="Tommy"/>
    <s v="MER-A0-1242"/>
    <d v="2024-05-27T00:00:00"/>
    <x v="0"/>
    <n v="79.680000000000007"/>
    <n v="0.3"/>
    <n v="73.143000000000001"/>
    <x v="0"/>
    <s v="No"/>
    <d v="2024-05-27T00:00:00"/>
    <n v="0"/>
  </r>
  <r>
    <s v="DEP-A0-4474"/>
    <x v="0"/>
    <n v="46"/>
    <x v="1"/>
    <s v="Falda"/>
    <s v="Blanco"/>
    <s v="Mango"/>
    <s v="MER-A0-4474"/>
    <d v="2024-05-27T00:00:00"/>
    <x v="0"/>
    <n v="164.65"/>
    <n v="0.3"/>
    <n v="28.72"/>
    <x v="0"/>
    <s v="No"/>
    <d v="2024-05-27T00:00:00"/>
    <n v="0"/>
  </r>
  <r>
    <s v="DEP-A0-1864"/>
    <x v="0"/>
    <n v="55"/>
    <x v="1"/>
    <s v="Camisa"/>
    <s v="Verde"/>
    <s v="Puma"/>
    <s v="MER-A0-1864"/>
    <d v="2024-05-28T00:00:00"/>
    <x v="0"/>
    <n v="109.98"/>
    <n v="0.1"/>
    <n v="27.692"/>
    <x v="0"/>
    <s v="No"/>
    <d v="2024-05-28T00:00:00"/>
    <n v="0"/>
  </r>
  <r>
    <s v="DEP-A0-3584"/>
    <x v="0"/>
    <n v="56"/>
    <x v="1"/>
    <s v="Falda"/>
    <s v="Verde"/>
    <s v="Nike"/>
    <s v="MER-A0-3584"/>
    <d v="2024-05-28T00:00:00"/>
    <x v="0"/>
    <n v="173.94"/>
    <n v="0.3"/>
    <n v="179.82900000000001"/>
    <x v="0"/>
    <s v="No"/>
    <d v="2024-05-28T00:00:00"/>
    <n v="0"/>
  </r>
  <r>
    <s v="DEP-A0-1413"/>
    <x v="1"/>
    <n v="40"/>
    <x v="1"/>
    <s v="Camisa"/>
    <s v="Negro"/>
    <s v="Tommy"/>
    <s v="MER-A0-1413"/>
    <d v="2024-05-29T00:00:00"/>
    <x v="0"/>
    <n v="25.46"/>
    <n v="0.3"/>
    <n v="128.00700000000001"/>
    <x v="0"/>
    <s v="No"/>
    <d v="2024-05-29T00:00:00"/>
    <n v="0"/>
  </r>
  <r>
    <s v="DEP-A0-0761"/>
    <x v="0"/>
    <n v="50"/>
    <x v="1"/>
    <s v="Pantalón"/>
    <s v="Azul"/>
    <s v="Puma"/>
    <s v="MER-A0-0761"/>
    <d v="2024-05-29T00:00:00"/>
    <x v="0"/>
    <n v="103.74"/>
    <n v="0.2"/>
    <n v="75.887999999999991"/>
    <x v="0"/>
    <s v="No"/>
    <d v="2024-05-29T00:00:00"/>
    <n v="0"/>
  </r>
  <r>
    <s v="DEP-A0-0174"/>
    <x v="0"/>
    <n v="42"/>
    <x v="1"/>
    <s v="Vestido"/>
    <s v="Azul"/>
    <s v="Nike"/>
    <s v="MER-A0-0174"/>
    <d v="2024-05-30T00:00:00"/>
    <x v="0"/>
    <n v="72.17"/>
    <n v="0"/>
    <n v="64.394999999999996"/>
    <x v="0"/>
    <s v="No"/>
    <d v="2024-05-30T00:00:00"/>
    <n v="0"/>
  </r>
  <r>
    <s v="DEP-A0-4282"/>
    <x v="0"/>
    <n v="50"/>
    <x v="1"/>
    <s v="Falda"/>
    <s v="Blanco"/>
    <s v="Adidas"/>
    <s v="MER-A0-4282"/>
    <d v="2024-05-31T00:00:00"/>
    <x v="0"/>
    <n v="41.54"/>
    <n v="0.2"/>
    <n v="49.598999999999997"/>
    <x v="0"/>
    <s v="No"/>
    <d v="2024-05-31T00:00:00"/>
    <n v="0"/>
  </r>
  <r>
    <s v="DEP-A0-1977"/>
    <x v="0"/>
    <n v="51"/>
    <x v="1"/>
    <s v="Blusa"/>
    <s v="Amarillo"/>
    <s v="Levis"/>
    <s v="MER-A0-1977"/>
    <d v="2024-05-31T00:00:00"/>
    <x v="0"/>
    <n v="151.63"/>
    <n v="0"/>
    <n v="73.948000000000008"/>
    <x v="0"/>
    <s v="No"/>
    <d v="2024-05-31T00:00:00"/>
    <n v="0"/>
  </r>
  <r>
    <s v="DEP-A0-0346"/>
    <x v="1"/>
    <n v="42"/>
    <x v="1"/>
    <s v="Pantalón"/>
    <s v="Verde"/>
    <s v="Mango"/>
    <s v="MER-A0-0346"/>
    <d v="2024-06-01T00:00:00"/>
    <x v="0"/>
    <n v="46.99"/>
    <n v="0"/>
    <n v="93.169999999999987"/>
    <x v="0"/>
    <s v="No"/>
    <d v="2024-06-01T00:00:00"/>
    <n v="0"/>
  </r>
  <r>
    <s v="DEP-A0-4837"/>
    <x v="1"/>
    <n v="59"/>
    <x v="1"/>
    <s v="Chaqueta"/>
    <s v="Azul"/>
    <s v="Levis"/>
    <s v="MER-A0-4837"/>
    <d v="2024-12-08T00:00:00"/>
    <x v="0"/>
    <n v="140.22999999999999"/>
    <n v="0"/>
    <n v="103.01600000000001"/>
    <x v="0"/>
    <s v="No"/>
    <d v="2024-06-01T00:00:00"/>
    <n v="0"/>
  </r>
  <r>
    <s v="DEP-A0-0902"/>
    <x v="1"/>
    <n v="44"/>
    <x v="1"/>
    <s v="Chaqueta"/>
    <s v="Azul"/>
    <s v="Puma"/>
    <s v="MER-A0-0902"/>
    <d v="2024-12-08T00:00:00"/>
    <x v="0"/>
    <n v="168.49"/>
    <n v="0.2"/>
    <n v="117.15900000000001"/>
    <x v="0"/>
    <s v="No"/>
    <d v="2024-06-01T00:00:00"/>
    <n v="0"/>
  </r>
  <r>
    <s v="DEP-A0-1730"/>
    <x v="0"/>
    <n v="52"/>
    <x v="1"/>
    <s v="Vestido"/>
    <s v="Rojo"/>
    <s v="Puma"/>
    <s v="MER-A0-1730"/>
    <d v="2024-12-08T00:00:00"/>
    <x v="0"/>
    <n v="177.51"/>
    <n v="0"/>
    <n v="20.687999999999999"/>
    <x v="0"/>
    <s v="No"/>
    <d v="2024-06-01T00:00:00"/>
    <n v="0"/>
  </r>
  <r>
    <s v="DEP-A0-1342"/>
    <x v="0"/>
    <n v="59"/>
    <x v="1"/>
    <s v="Vestido"/>
    <s v="Gris"/>
    <s v="Adidas"/>
    <s v="MER-A0-1342"/>
    <d v="2024-12-09T00:00:00"/>
    <x v="0"/>
    <n v="136.94999999999999"/>
    <n v="0.1"/>
    <n v="125.48"/>
    <x v="0"/>
    <s v="No"/>
    <d v="2024-06-02T00:00:00"/>
    <n v="0"/>
  </r>
  <r>
    <s v="DEP-A0-1907"/>
    <x v="1"/>
    <n v="59"/>
    <x v="1"/>
    <s v="Zapatos"/>
    <s v="Azul"/>
    <s v="Puma"/>
    <s v="MER-A0-1907"/>
    <d v="2024-12-09T00:00:00"/>
    <x v="0"/>
    <n v="179.69"/>
    <n v="0.1"/>
    <n v="128.16999999999999"/>
    <x v="0"/>
    <s v="No"/>
    <d v="2024-06-02T00:00:00"/>
    <n v="0"/>
  </r>
  <r>
    <s v="DEP-A0-3563"/>
    <x v="0"/>
    <n v="54"/>
    <x v="1"/>
    <s v="Falda"/>
    <s v="Azul"/>
    <s v="Mango"/>
    <s v="MER-A0-3563"/>
    <d v="2024-12-10T00:00:00"/>
    <x v="0"/>
    <n v="116.54"/>
    <n v="0.3"/>
    <n v="106.113"/>
    <x v="0"/>
    <s v="No"/>
    <d v="2024-06-03T00:00:00"/>
    <n v="0"/>
  </r>
  <r>
    <s v="DEP-A0-4829"/>
    <x v="1"/>
    <n v="42"/>
    <x v="1"/>
    <s v="Camisa"/>
    <s v="Negro"/>
    <s v="Puma"/>
    <s v="MER-A0-4829"/>
    <d v="2024-12-10T00:00:00"/>
    <x v="0"/>
    <n v="166.66"/>
    <n v="0.1"/>
    <n v="76.94"/>
    <x v="0"/>
    <s v="No"/>
    <d v="2024-06-03T00:00:00"/>
    <n v="0"/>
  </r>
  <r>
    <s v="DEP-A0-3308"/>
    <x v="0"/>
    <n v="51"/>
    <x v="1"/>
    <s v="Falda"/>
    <s v="Blanco"/>
    <s v="Levis"/>
    <s v="MER-A0-3308"/>
    <d v="2024-12-10T00:00:00"/>
    <x v="0"/>
    <n v="46.81"/>
    <n v="0.2"/>
    <n v="39.338999999999999"/>
    <x v="0"/>
    <s v="No"/>
    <d v="2024-06-04T00:00:00"/>
    <n v="0"/>
  </r>
  <r>
    <s v="DEP-A0-0031"/>
    <x v="0"/>
    <n v="64"/>
    <x v="1"/>
    <s v="Vestido"/>
    <s v="Amarillo"/>
    <s v="Tommy"/>
    <s v="MER-A0-0031"/>
    <d v="2024-06-04T00:00:00"/>
    <x v="0"/>
    <n v="167.25"/>
    <n v="0.1"/>
    <n v="142.416"/>
    <x v="0"/>
    <s v="No"/>
    <d v="2024-06-04T00:00:00"/>
    <n v="0"/>
  </r>
  <r>
    <s v="DEP-A0-2312"/>
    <x v="1"/>
    <n v="62"/>
    <x v="1"/>
    <s v="Camisa"/>
    <s v="Azul"/>
    <s v="Adidas"/>
    <s v="MER-A0-2312"/>
    <d v="2024-06-04T00:00:00"/>
    <x v="0"/>
    <n v="199.72"/>
    <n v="0.3"/>
    <n v="22.491"/>
    <x v="0"/>
    <s v="No"/>
    <d v="2024-06-04T00:00:00"/>
    <n v="0"/>
  </r>
  <r>
    <s v="DEP-A0-1585"/>
    <x v="0"/>
    <n v="39"/>
    <x v="1"/>
    <s v="Chaqueta"/>
    <s v="Verde"/>
    <s v="Zara"/>
    <s v="MER-A0-1585"/>
    <d v="2024-06-05T00:00:00"/>
    <x v="0"/>
    <n v="47.35"/>
    <n v="0.3"/>
    <n v="76.111999999999995"/>
    <x v="0"/>
    <s v="No"/>
    <d v="2024-06-05T00:00:00"/>
    <n v="0"/>
  </r>
  <r>
    <s v="DEP-A0-2728"/>
    <x v="0"/>
    <n v="43"/>
    <x v="1"/>
    <s v="Zapatos"/>
    <s v="Gris"/>
    <s v="Nike"/>
    <s v="MER-A0-2728"/>
    <d v="2024-12-08T00:00:00"/>
    <x v="0"/>
    <n v="77.86"/>
    <n v="0"/>
    <n v="195.94"/>
    <x v="0"/>
    <s v="No"/>
    <d v="2024-06-06T00:00:00"/>
    <n v="0"/>
  </r>
  <r>
    <s v="DEP-A0-1426"/>
    <x v="1"/>
    <n v="52"/>
    <x v="1"/>
    <s v="Chaqueta"/>
    <s v="Verde"/>
    <s v="Mango"/>
    <s v="MER-A0-1426"/>
    <d v="2024-12-08T00:00:00"/>
    <x v="0"/>
    <n v="82.11"/>
    <n v="0.2"/>
    <n v="112.059"/>
    <x v="0"/>
    <s v="No"/>
    <d v="2024-06-06T00:00:00"/>
    <n v="0"/>
  </r>
  <r>
    <s v="DEP-A0-1122"/>
    <x v="0"/>
    <n v="52"/>
    <x v="1"/>
    <s v="Blusa"/>
    <s v="Negro"/>
    <s v="Levis"/>
    <s v="MER-A0-1122"/>
    <d v="2024-12-08T00:00:00"/>
    <x v="0"/>
    <n v="96.32"/>
    <n v="0.3"/>
    <n v="65.087999999999994"/>
    <x v="0"/>
    <s v="No"/>
    <d v="2024-06-06T00:00:00"/>
    <n v="0"/>
  </r>
  <r>
    <s v="DEP-A0-0680"/>
    <x v="0"/>
    <n v="47"/>
    <x v="1"/>
    <s v="Blusa"/>
    <s v="Azul"/>
    <s v="Nike"/>
    <s v="MER-A0-0680"/>
    <d v="2024-12-08T00:00:00"/>
    <x v="0"/>
    <n v="135.08000000000001"/>
    <n v="0.2"/>
    <n v="77.56"/>
    <x v="0"/>
    <s v="No"/>
    <d v="2024-06-06T00:00:00"/>
    <n v="0"/>
  </r>
  <r>
    <s v="DEP-A0-1397"/>
    <x v="0"/>
    <n v="62"/>
    <x v="1"/>
    <s v="Vestido"/>
    <s v="Gris"/>
    <s v="Puma"/>
    <s v="MER-A0-1397"/>
    <d v="2024-12-08T00:00:00"/>
    <x v="0"/>
    <n v="168.34"/>
    <n v="0.3"/>
    <n v="132.874"/>
    <x v="0"/>
    <s v="No"/>
    <d v="2024-06-06T00:00:00"/>
    <n v="0"/>
  </r>
  <r>
    <s v="DEP-A0-3602"/>
    <x v="0"/>
    <n v="40"/>
    <x v="1"/>
    <s v="Zapatos"/>
    <s v="Amarillo"/>
    <s v="Mango"/>
    <s v="MER-A0-3602"/>
    <d v="2024-12-10T00:00:00"/>
    <x v="0"/>
    <n v="93.36"/>
    <n v="0.2"/>
    <n v="88.97"/>
    <x v="0"/>
    <s v="No"/>
    <d v="2024-06-08T00:00:00"/>
    <n v="0"/>
  </r>
  <r>
    <s v="DEP-A0-3195"/>
    <x v="1"/>
    <n v="63"/>
    <x v="1"/>
    <s v="Zapatos"/>
    <s v="Amarillo"/>
    <s v="Mango"/>
    <s v="MER-A0-3195"/>
    <d v="2024-12-10T00:00:00"/>
    <x v="0"/>
    <n v="102.15"/>
    <n v="0"/>
    <n v="75.509000000000015"/>
    <x v="0"/>
    <s v="No"/>
    <d v="2024-06-09T00:00:00"/>
    <n v="0"/>
  </r>
  <r>
    <s v="DEP-A0-2750"/>
    <x v="0"/>
    <n v="47"/>
    <x v="1"/>
    <s v="Vestido"/>
    <s v="Gris"/>
    <s v="Tommy"/>
    <s v="MER-A0-2750"/>
    <d v="2024-12-10T00:00:00"/>
    <x v="0"/>
    <n v="149.19"/>
    <n v="0.2"/>
    <n v="97.587000000000003"/>
    <x v="0"/>
    <s v="No"/>
    <d v="2024-06-09T00:00:00"/>
    <n v="0"/>
  </r>
  <r>
    <s v="DEP-A0-1986"/>
    <x v="0"/>
    <n v="55"/>
    <x v="1"/>
    <s v="Blusa"/>
    <s v="Azul"/>
    <s v="Levis"/>
    <s v="MER-A0-1986"/>
    <d v="2024-06-10T00:00:00"/>
    <x v="0"/>
    <n v="168.37"/>
    <n v="0.1"/>
    <n v="144.96299999999999"/>
    <x v="0"/>
    <s v="No"/>
    <d v="2024-06-10T00:00:00"/>
    <n v="0"/>
  </r>
  <r>
    <s v="DEP-A0-4673"/>
    <x v="0"/>
    <n v="36"/>
    <x v="1"/>
    <s v="Chaqueta"/>
    <s v="Negro"/>
    <s v="Puma"/>
    <s v="MER-A0-4673"/>
    <d v="2024-06-11T00:00:00"/>
    <x v="0"/>
    <n v="94.8"/>
    <n v="0.3"/>
    <n v="109.70399999999999"/>
    <x v="0"/>
    <s v="No"/>
    <d v="2024-06-11T00:00:00"/>
    <n v="0"/>
  </r>
  <r>
    <s v="DEP-A0-0653"/>
    <x v="1"/>
    <n v="50"/>
    <x v="1"/>
    <s v="Pantalón"/>
    <s v="Rojo"/>
    <s v="Tommy"/>
    <s v="MER-A0-0653"/>
    <d v="2024-06-11T00:00:00"/>
    <x v="0"/>
    <n v="144.71"/>
    <n v="0.2"/>
    <n v="184.63"/>
    <x v="0"/>
    <s v="No"/>
    <d v="2024-06-11T00:00:00"/>
    <n v="0"/>
  </r>
  <r>
    <s v="DEP-A0-1793"/>
    <x v="1"/>
    <n v="65"/>
    <x v="1"/>
    <s v="Camisa"/>
    <s v="Negro"/>
    <s v="Zara"/>
    <s v="MER-A0-1793"/>
    <d v="2024-06-12T00:00:00"/>
    <x v="0"/>
    <n v="97.44"/>
    <n v="0.1"/>
    <n v="169.18"/>
    <x v="0"/>
    <s v="No"/>
    <d v="2024-06-12T00:00:00"/>
    <n v="0"/>
  </r>
  <r>
    <s v="DEP-A0-3002"/>
    <x v="0"/>
    <n v="54"/>
    <x v="1"/>
    <s v="Vestido"/>
    <s v="Gris"/>
    <s v="Puma"/>
    <s v="MER-A0-3002"/>
    <d v="2024-06-12T00:00:00"/>
    <x v="0"/>
    <n v="151.86000000000001"/>
    <n v="0.2"/>
    <n v="142.71199999999999"/>
    <x v="0"/>
    <s v="No"/>
    <d v="2024-06-12T00:00:00"/>
    <n v="0"/>
  </r>
  <r>
    <s v="DEP-A0-1380"/>
    <x v="0"/>
    <n v="41"/>
    <x v="1"/>
    <s v="Falda"/>
    <s v="Negro"/>
    <s v="Tommy"/>
    <s v="MER-A0-1380"/>
    <d v="2024-06-12T00:00:00"/>
    <x v="0"/>
    <n v="171.91"/>
    <n v="0.2"/>
    <n v="126.441"/>
    <x v="0"/>
    <s v="No"/>
    <d v="2024-06-12T00:00:00"/>
    <n v="0"/>
  </r>
  <r>
    <s v="DEP-A0-0760"/>
    <x v="0"/>
    <n v="65"/>
    <x v="1"/>
    <s v="Chaqueta"/>
    <s v="Negro"/>
    <s v="Zara"/>
    <s v="MER-A0-0760"/>
    <d v="2024-12-08T00:00:00"/>
    <x v="0"/>
    <n v="44.37"/>
    <n v="0.1"/>
    <n v="134.91800000000001"/>
    <x v="0"/>
    <s v="No"/>
    <d v="2024-06-13T00:00:00"/>
    <n v="0"/>
  </r>
  <r>
    <s v="DEP-A0-4081"/>
    <x v="1"/>
    <n v="40"/>
    <x v="1"/>
    <s v="Zapatos"/>
    <s v="Negro"/>
    <s v="Levis"/>
    <s v="MER-A0-4081"/>
    <d v="2024-12-08T00:00:00"/>
    <x v="0"/>
    <n v="128.36000000000001"/>
    <n v="0.2"/>
    <n v="21.321000000000002"/>
    <x v="0"/>
    <s v="No"/>
    <d v="2024-06-13T00:00:00"/>
    <n v="0"/>
  </r>
  <r>
    <s v="DEP-A0-2387"/>
    <x v="1"/>
    <n v="63"/>
    <x v="1"/>
    <s v="Pantalón"/>
    <s v="Blanco"/>
    <s v="Mango"/>
    <s v="MER-A0-2387"/>
    <d v="2024-12-08T00:00:00"/>
    <x v="0"/>
    <n v="180.17"/>
    <n v="0.2"/>
    <n v="96.84"/>
    <x v="0"/>
    <s v="No"/>
    <d v="2024-06-13T00:00:00"/>
    <n v="0"/>
  </r>
  <r>
    <s v="DEP-A0-1699"/>
    <x v="1"/>
    <n v="40"/>
    <x v="1"/>
    <s v="Chaqueta"/>
    <s v="Rojo"/>
    <s v="Mango"/>
    <s v="MER-A0-1699"/>
    <d v="2024-06-16T00:00:00"/>
    <x v="0"/>
    <n v="158.79"/>
    <n v="0.3"/>
    <n v="127.37899999999999"/>
    <x v="0"/>
    <s v="No"/>
    <d v="2024-06-16T00:00:00"/>
    <n v="0"/>
  </r>
  <r>
    <s v="DEP-A0-4854"/>
    <x v="0"/>
    <n v="40"/>
    <x v="1"/>
    <s v="Falda"/>
    <s v="Verde"/>
    <s v="Tommy"/>
    <s v="MER-A0-4854"/>
    <d v="2024-06-17T00:00:00"/>
    <x v="0"/>
    <n v="20.04"/>
    <n v="0.1"/>
    <n v="101.08"/>
    <x v="0"/>
    <s v="No"/>
    <d v="2024-06-17T00:00:00"/>
    <n v="0"/>
  </r>
  <r>
    <s v="DEP-A0-0228"/>
    <x v="0"/>
    <n v="45"/>
    <x v="1"/>
    <s v="Zapatos"/>
    <s v="Blanco"/>
    <s v="Mango"/>
    <s v="MER-A0-0228"/>
    <d v="2024-06-17T00:00:00"/>
    <x v="0"/>
    <n v="49.25"/>
    <n v="0.3"/>
    <n v="98.126999999999995"/>
    <x v="0"/>
    <s v="No"/>
    <d v="2024-06-17T00:00:00"/>
    <n v="0"/>
  </r>
  <r>
    <s v="DEP-A0-4541"/>
    <x v="0"/>
    <n v="52"/>
    <x v="1"/>
    <s v="Blusa"/>
    <s v="Azul"/>
    <s v="Mango"/>
    <s v="MER-A0-4541"/>
    <d v="2024-06-18T00:00:00"/>
    <x v="0"/>
    <n v="145.91"/>
    <n v="0.3"/>
    <n v="70.677000000000007"/>
    <x v="0"/>
    <s v="No"/>
    <d v="2024-06-18T00:00:00"/>
    <n v="0"/>
  </r>
  <r>
    <s v="DEP-A0-0949"/>
    <x v="0"/>
    <n v="41"/>
    <x v="1"/>
    <s v="Falda"/>
    <s v="Rojo"/>
    <s v="Tommy"/>
    <s v="MER-A0-0949"/>
    <d v="2024-06-19T00:00:00"/>
    <x v="0"/>
    <n v="24.11"/>
    <n v="0.2"/>
    <n v="159.78"/>
    <x v="0"/>
    <s v="No"/>
    <d v="2024-06-19T00:00:00"/>
    <n v="0"/>
  </r>
  <r>
    <s v="DEP-A0-1482"/>
    <x v="0"/>
    <n v="38"/>
    <x v="1"/>
    <s v="Zapatos"/>
    <s v="Blanco"/>
    <s v="Puma"/>
    <s v="MER-A0-1482"/>
    <d v="2024-06-19T00:00:00"/>
    <x v="0"/>
    <n v="87.44"/>
    <n v="0"/>
    <n v="94.391999999999996"/>
    <x v="0"/>
    <s v="No"/>
    <d v="2024-06-19T00:00:00"/>
    <n v="0"/>
  </r>
  <r>
    <s v="DEP-A0-2216"/>
    <x v="0"/>
    <n v="38"/>
    <x v="1"/>
    <s v="Vestido"/>
    <s v="Negro"/>
    <s v="Levis"/>
    <s v="MER-A0-2216"/>
    <d v="2024-06-19T00:00:00"/>
    <x v="0"/>
    <n v="111.48"/>
    <n v="0.2"/>
    <n v="149.63399999999999"/>
    <x v="0"/>
    <s v="No"/>
    <d v="2024-06-19T00:00:00"/>
    <n v="0"/>
  </r>
  <r>
    <s v="DEP-A0-0063"/>
    <x v="0"/>
    <n v="64"/>
    <x v="1"/>
    <s v="Falda"/>
    <s v="Amarillo"/>
    <s v="Tommy"/>
    <s v="MER-A0-0063"/>
    <d v="2024-06-21T00:00:00"/>
    <x v="0"/>
    <n v="94.9"/>
    <n v="0.3"/>
    <n v="104.679"/>
    <x v="0"/>
    <s v="No"/>
    <d v="2024-06-21T00:00:00"/>
    <n v="0"/>
  </r>
  <r>
    <s v="DEP-A0-1150"/>
    <x v="1"/>
    <n v="59"/>
    <x v="1"/>
    <s v="Zapatos"/>
    <s v="Azul"/>
    <s v="Adidas"/>
    <s v="MER-A0-1150"/>
    <d v="2024-06-21T00:00:00"/>
    <x v="0"/>
    <n v="168.48"/>
    <n v="0.3"/>
    <n v="115.56"/>
    <x v="0"/>
    <s v="No"/>
    <d v="2024-06-21T00:00:00"/>
    <n v="0"/>
  </r>
  <r>
    <s v="DEP-A0-0385"/>
    <x v="1"/>
    <n v="54"/>
    <x v="1"/>
    <s v="Camisa"/>
    <s v="Verde"/>
    <s v="Zara"/>
    <s v="MER-A0-0385"/>
    <d v="2024-06-23T00:00:00"/>
    <x v="0"/>
    <n v="141.88"/>
    <n v="0.2"/>
    <n v="93.051000000000002"/>
    <x v="0"/>
    <s v="No"/>
    <d v="2024-06-23T00:00:00"/>
    <n v="0"/>
  </r>
  <r>
    <s v="DEP-A0-0794"/>
    <x v="0"/>
    <n v="45"/>
    <x v="1"/>
    <s v="Falda"/>
    <s v="Gris"/>
    <s v="Nike"/>
    <s v="MER-A0-0794"/>
    <d v="2024-06-23T00:00:00"/>
    <x v="0"/>
    <n v="151.26"/>
    <n v="0.2"/>
    <n v="27.3"/>
    <x v="0"/>
    <s v="No"/>
    <d v="2024-06-23T00:00:00"/>
    <n v="0"/>
  </r>
  <r>
    <s v="DEP-A0-2733"/>
    <x v="1"/>
    <n v="41"/>
    <x v="1"/>
    <s v="Pantalón"/>
    <s v="Rojo"/>
    <s v="Nike"/>
    <s v="MER-A0-2733"/>
    <d v="2024-06-24T00:00:00"/>
    <x v="0"/>
    <n v="76.760000000000005"/>
    <n v="0.3"/>
    <n v="102.968"/>
    <x v="0"/>
    <s v="No"/>
    <d v="2024-06-24T00:00:00"/>
    <n v="0"/>
  </r>
  <r>
    <s v="DEP-A0-1202"/>
    <x v="1"/>
    <n v="39"/>
    <x v="1"/>
    <s v="Zapatos"/>
    <s v="Amarillo"/>
    <s v="Tommy"/>
    <s v="MER-A0-1202"/>
    <d v="2024-06-30T00:00:00"/>
    <x v="0"/>
    <n v="58.13"/>
    <n v="0.2"/>
    <n v="54.81"/>
    <x v="0"/>
    <s v="No"/>
    <d v="2024-06-30T00:00:00"/>
    <n v="0"/>
  </r>
  <r>
    <s v="DEP-A0-4209"/>
    <x v="0"/>
    <n v="43"/>
    <x v="1"/>
    <s v="Blusa"/>
    <s v="Azul"/>
    <s v="Puma"/>
    <s v="MER-A0-4209"/>
    <d v="2024-06-30T00:00:00"/>
    <x v="0"/>
    <n v="89.94"/>
    <n v="0.1"/>
    <n v="156.267"/>
    <x v="0"/>
    <s v="No"/>
    <d v="2024-06-30T00:00:00"/>
    <n v="0"/>
  </r>
  <r>
    <s v="DEP-A0-2952"/>
    <x v="0"/>
    <n v="65"/>
    <x v="1"/>
    <s v="Blusa"/>
    <s v="Gris"/>
    <s v="Nike"/>
    <s v="MER-A0-2952"/>
    <d v="2024-06-30T00:00:00"/>
    <x v="0"/>
    <n v="173.96"/>
    <n v="0"/>
    <n v="176.37"/>
    <x v="0"/>
    <s v="No"/>
    <d v="2024-06-30T00:00:00"/>
    <n v="0"/>
  </r>
  <r>
    <s v="DEP-A0-1528"/>
    <x v="0"/>
    <n v="59"/>
    <x v="1"/>
    <s v="Vestido"/>
    <s v="Rojo"/>
    <s v="Adidas"/>
    <s v="MER-A0-1528"/>
    <d v="2024-07-01T00:00:00"/>
    <x v="0"/>
    <n v="134.61000000000001"/>
    <n v="0.3"/>
    <n v="62.496000000000002"/>
    <x v="0"/>
    <s v="No"/>
    <d v="2024-07-01T00:00:00"/>
    <n v="0"/>
  </r>
  <r>
    <s v="DEP-A0-1224"/>
    <x v="0"/>
    <n v="43"/>
    <x v="1"/>
    <s v="Falda"/>
    <s v="Amarillo"/>
    <s v="Levis"/>
    <s v="MER-A0-1224"/>
    <d v="2024-07-02T00:00:00"/>
    <x v="0"/>
    <n v="164.07"/>
    <n v="0.1"/>
    <n v="139.85"/>
    <x v="0"/>
    <s v="No"/>
    <d v="2024-07-02T00:00:00"/>
    <n v="0"/>
  </r>
  <r>
    <s v="DEP-A0-0285"/>
    <x v="0"/>
    <n v="47"/>
    <x v="1"/>
    <s v="Blusa"/>
    <s v="Amarillo"/>
    <s v="Mango"/>
    <s v="MER-A0-0285"/>
    <d v="2024-07-02T00:00:00"/>
    <x v="0"/>
    <n v="182.11"/>
    <n v="0.3"/>
    <n v="28.686"/>
    <x v="0"/>
    <s v="No"/>
    <d v="2024-07-02T00:00:00"/>
    <n v="0"/>
  </r>
  <r>
    <s v="DEP-A0-2357"/>
    <x v="1"/>
    <n v="36"/>
    <x v="1"/>
    <s v="Zapatos"/>
    <s v="Gris"/>
    <s v="Mango"/>
    <s v="MER-A0-2357"/>
    <d v="2024-07-03T00:00:00"/>
    <x v="0"/>
    <n v="13.64"/>
    <n v="0.1"/>
    <n v="61.96"/>
    <x v="0"/>
    <s v="No"/>
    <d v="2024-07-03T00:00:00"/>
    <n v="0"/>
  </r>
  <r>
    <s v="DEP-A0-3855"/>
    <x v="1"/>
    <n v="48"/>
    <x v="1"/>
    <s v="Pantalón"/>
    <s v="Negro"/>
    <s v="Zara"/>
    <s v="MER-A0-3855"/>
    <d v="2024-07-05T00:00:00"/>
    <x v="0"/>
    <n v="119.05"/>
    <n v="0"/>
    <n v="80.647999999999996"/>
    <x v="0"/>
    <s v="No"/>
    <d v="2024-07-05T00:00:00"/>
    <n v="0"/>
  </r>
  <r>
    <s v="DEP-A0-3448"/>
    <x v="0"/>
    <n v="37"/>
    <x v="1"/>
    <s v="Falda"/>
    <s v="Gris"/>
    <s v="Levis"/>
    <s v="MER-A0-3448"/>
    <d v="2024-07-07T00:00:00"/>
    <x v="0"/>
    <n v="48.37"/>
    <n v="0.2"/>
    <n v="67.326000000000008"/>
    <x v="0"/>
    <s v="No"/>
    <d v="2024-07-07T00:00:00"/>
    <n v="0"/>
  </r>
  <r>
    <s v="DEP-A0-0725"/>
    <x v="0"/>
    <n v="47"/>
    <x v="1"/>
    <s v="Blusa"/>
    <s v="Rojo"/>
    <s v="Nike"/>
    <s v="MER-A0-0725"/>
    <d v="2024-07-07T00:00:00"/>
    <x v="0"/>
    <n v="133.71"/>
    <n v="0.2"/>
    <n v="108.83"/>
    <x v="0"/>
    <s v="No"/>
    <d v="2024-07-07T00:00:00"/>
    <n v="0"/>
  </r>
  <r>
    <s v="DEP-A0-1433"/>
    <x v="0"/>
    <n v="58"/>
    <x v="1"/>
    <s v="Blusa"/>
    <s v="Amarillo"/>
    <s v="Zara"/>
    <s v="MER-A0-1433"/>
    <d v="2024-07-07T00:00:00"/>
    <x v="0"/>
    <n v="157.55000000000001"/>
    <n v="0.3"/>
    <n v="126.792"/>
    <x v="0"/>
    <s v="No"/>
    <d v="2024-07-07T00:00:00"/>
    <n v="0"/>
  </r>
  <r>
    <s v="DEP-A0-0886"/>
    <x v="0"/>
    <n v="46"/>
    <x v="1"/>
    <s v="Falda"/>
    <s v="Negro"/>
    <s v="Zara"/>
    <s v="MER-A0-0886"/>
    <d v="2024-07-09T00:00:00"/>
    <x v="0"/>
    <n v="182.19"/>
    <n v="0"/>
    <n v="109.774"/>
    <x v="0"/>
    <s v="No"/>
    <d v="2024-07-09T00:00:00"/>
    <n v="0"/>
  </r>
  <r>
    <s v="DEP-A0-0364"/>
    <x v="0"/>
    <n v="61"/>
    <x v="1"/>
    <s v="Vestido"/>
    <s v="Blanco"/>
    <s v="Levis"/>
    <s v="MER-A0-0364"/>
    <d v="2024-07-12T00:00:00"/>
    <x v="0"/>
    <n v="165.76"/>
    <n v="0"/>
    <n v="132.25800000000001"/>
    <x v="0"/>
    <s v="No"/>
    <d v="2024-07-12T00:00:00"/>
    <n v="0"/>
  </r>
  <r>
    <s v="DEP-A0-0549"/>
    <x v="1"/>
    <n v="38"/>
    <x v="1"/>
    <s v="Camisa"/>
    <s v="Rojo"/>
    <s v="Tommy"/>
    <s v="MER-A0-0549"/>
    <d v="2024-07-14T00:00:00"/>
    <x v="0"/>
    <n v="91.81"/>
    <n v="0.3"/>
    <n v="142.875"/>
    <x v="0"/>
    <s v="No"/>
    <d v="2024-07-14T00:00:00"/>
    <n v="0"/>
  </r>
  <r>
    <s v="DEP-A0-1399"/>
    <x v="0"/>
    <n v="49"/>
    <x v="1"/>
    <s v="Vestido"/>
    <s v="Blanco"/>
    <s v="Levis"/>
    <s v="MER-A0-1399"/>
    <d v="2024-07-15T00:00:00"/>
    <x v="0"/>
    <n v="13.32"/>
    <n v="0"/>
    <n v="124.77599999999998"/>
    <x v="0"/>
    <s v="No"/>
    <d v="2024-07-15T00:00:00"/>
    <n v="0"/>
  </r>
  <r>
    <s v="DEP-A0-2934"/>
    <x v="0"/>
    <n v="61"/>
    <x v="1"/>
    <s v="Falda"/>
    <s v="Amarillo"/>
    <s v="Zara"/>
    <s v="MER-A0-2934"/>
    <d v="2024-07-16T00:00:00"/>
    <x v="0"/>
    <n v="100.86"/>
    <n v="0.3"/>
    <n v="119.62799999999999"/>
    <x v="0"/>
    <s v="No"/>
    <d v="2024-07-16T00:00:00"/>
    <n v="0"/>
  </r>
  <r>
    <s v="DEP-A0-0901"/>
    <x v="0"/>
    <n v="52"/>
    <x v="1"/>
    <s v="Vestido"/>
    <s v="Amarillo"/>
    <s v="Adidas"/>
    <s v="MER-A0-0901"/>
    <d v="2024-07-16T00:00:00"/>
    <x v="0"/>
    <n v="136.31"/>
    <n v="0.1"/>
    <n v="37.250999999999998"/>
    <x v="0"/>
    <s v="No"/>
    <d v="2024-07-16T00:00:00"/>
    <n v="0"/>
  </r>
  <r>
    <s v="DEP-A0-4247"/>
    <x v="0"/>
    <n v="52"/>
    <x v="1"/>
    <s v="Blusa"/>
    <s v="Amarillo"/>
    <s v="Zara"/>
    <s v="MER-A0-4247"/>
    <d v="2024-07-17T00:00:00"/>
    <x v="0"/>
    <n v="60.07"/>
    <n v="0"/>
    <n v="130.24799999999999"/>
    <x v="0"/>
    <s v="No"/>
    <d v="2024-07-17T00:00:00"/>
    <n v="0"/>
  </r>
  <r>
    <s v="DEP-A0-4294"/>
    <x v="0"/>
    <n v="45"/>
    <x v="1"/>
    <s v="Chaqueta"/>
    <s v="Blanco"/>
    <s v="Nike"/>
    <s v="MER-A0-4294"/>
    <d v="2024-07-19T00:00:00"/>
    <x v="0"/>
    <n v="82.6"/>
    <n v="0.2"/>
    <n v="24.208000000000002"/>
    <x v="0"/>
    <s v="No"/>
    <d v="2024-07-19T00:00:00"/>
    <n v="0"/>
  </r>
  <r>
    <s v="DEP-A0-4672"/>
    <x v="1"/>
    <n v="47"/>
    <x v="1"/>
    <s v="Pantalón"/>
    <s v="Verde"/>
    <s v="Nike"/>
    <s v="MER-A0-4672"/>
    <d v="2024-07-20T00:00:00"/>
    <x v="0"/>
    <n v="11.89"/>
    <n v="0.3"/>
    <n v="83.37"/>
    <x v="0"/>
    <s v="No"/>
    <d v="2024-07-20T00:00:00"/>
    <n v="0"/>
  </r>
  <r>
    <s v="DEP-A0-1496"/>
    <x v="0"/>
    <n v="39"/>
    <x v="1"/>
    <s v="Falda"/>
    <s v="Verde"/>
    <s v="Puma"/>
    <s v="MER-A0-1496"/>
    <d v="2024-07-20T00:00:00"/>
    <x v="0"/>
    <n v="172.8"/>
    <n v="0.1"/>
    <n v="121.08"/>
    <x v="0"/>
    <s v="No"/>
    <d v="2024-07-20T00:00:00"/>
    <n v="0"/>
  </r>
  <r>
    <s v="DEP-A0-3501"/>
    <x v="0"/>
    <n v="62"/>
    <x v="1"/>
    <s v="Blusa"/>
    <s v="Verde"/>
    <s v="Tommy"/>
    <s v="MER-A0-3501"/>
    <d v="2024-07-21T00:00:00"/>
    <x v="0"/>
    <n v="58.74"/>
    <n v="0.3"/>
    <n v="121.16800000000001"/>
    <x v="0"/>
    <s v="No"/>
    <d v="2024-07-21T00:00:00"/>
    <n v="0"/>
  </r>
  <r>
    <s v="DEP-A0-4270"/>
    <x v="0"/>
    <n v="62"/>
    <x v="1"/>
    <s v="Chaqueta"/>
    <s v="Amarillo"/>
    <s v="Nike"/>
    <s v="MER-A0-4270"/>
    <d v="2024-07-21T00:00:00"/>
    <x v="0"/>
    <n v="175.54"/>
    <n v="0"/>
    <n v="158.30000000000001"/>
    <x v="0"/>
    <s v="No"/>
    <d v="2024-07-21T00:00:00"/>
    <n v="0"/>
  </r>
  <r>
    <s v="DEP-A0-4205"/>
    <x v="0"/>
    <n v="42"/>
    <x v="1"/>
    <s v="Camisa"/>
    <s v="Azul"/>
    <s v="Nike"/>
    <s v="MER-A0-4205"/>
    <d v="2024-07-23T00:00:00"/>
    <x v="0"/>
    <n v="58.34"/>
    <n v="0"/>
    <n v="131.96800000000002"/>
    <x v="0"/>
    <s v="No"/>
    <d v="2024-07-23T00:00:00"/>
    <n v="0"/>
  </r>
  <r>
    <s v="DEP-A0-2852"/>
    <x v="0"/>
    <n v="53"/>
    <x v="1"/>
    <s v="Camisa"/>
    <s v="Verde"/>
    <s v="Nike"/>
    <s v="MER-A0-2852"/>
    <d v="2024-07-23T00:00:00"/>
    <x v="0"/>
    <n v="68.680000000000007"/>
    <n v="0.3"/>
    <n v="31.92"/>
    <x v="0"/>
    <s v="No"/>
    <d v="2024-07-23T00:00:00"/>
    <n v="0"/>
  </r>
  <r>
    <s v="DEP-A0-3411"/>
    <x v="0"/>
    <n v="53"/>
    <x v="1"/>
    <s v="Blusa"/>
    <s v="Azul"/>
    <s v="Nike"/>
    <s v="MER-A0-3411"/>
    <d v="2024-07-23T00:00:00"/>
    <x v="0"/>
    <n v="110.82"/>
    <n v="0"/>
    <n v="54.83"/>
    <x v="0"/>
    <s v="No"/>
    <d v="2024-07-23T00:00:00"/>
    <n v="0"/>
  </r>
  <r>
    <s v="DEP-A0-2581"/>
    <x v="0"/>
    <n v="51"/>
    <x v="1"/>
    <s v="Camisa"/>
    <s v="Blanco"/>
    <s v="Zara"/>
    <s v="MER-A0-2581"/>
    <d v="2024-07-23T00:00:00"/>
    <x v="0"/>
    <n v="169.79"/>
    <n v="0.1"/>
    <n v="59.98"/>
    <x v="0"/>
    <s v="No"/>
    <d v="2024-07-23T00:00:00"/>
    <n v="0"/>
  </r>
  <r>
    <s v="DEP-A0-2752"/>
    <x v="1"/>
    <n v="52"/>
    <x v="1"/>
    <s v="Pantalón"/>
    <s v="Amarillo"/>
    <s v="Puma"/>
    <s v="MER-A0-2752"/>
    <d v="2024-07-24T00:00:00"/>
    <x v="0"/>
    <n v="50.18"/>
    <n v="0.2"/>
    <n v="63.79"/>
    <x v="0"/>
    <s v="No"/>
    <d v="2024-07-24T00:00:00"/>
    <n v="0"/>
  </r>
  <r>
    <s v="DEP-A0-3327"/>
    <x v="0"/>
    <n v="52"/>
    <x v="1"/>
    <s v="Falda"/>
    <s v="Rojo"/>
    <s v="Tommy"/>
    <s v="MER-A0-3327"/>
    <d v="2024-07-24T00:00:00"/>
    <x v="0"/>
    <n v="143.61000000000001"/>
    <n v="0.3"/>
    <n v="52.903999999999996"/>
    <x v="0"/>
    <s v="No"/>
    <d v="2024-07-24T00:00:00"/>
    <n v="0"/>
  </r>
  <r>
    <s v="DEP-A0-4305"/>
    <x v="1"/>
    <n v="43"/>
    <x v="1"/>
    <s v="Chaqueta"/>
    <s v="Gris"/>
    <s v="Adidas"/>
    <s v="MER-A0-4305"/>
    <d v="2024-07-28T00:00:00"/>
    <x v="0"/>
    <n v="184"/>
    <n v="0"/>
    <n v="88.362000000000009"/>
    <x v="0"/>
    <s v="No"/>
    <d v="2024-07-28T00:00:00"/>
    <n v="0"/>
  </r>
  <r>
    <s v="DEP-A0-4426"/>
    <x v="0"/>
    <n v="65"/>
    <x v="1"/>
    <s v="Blusa"/>
    <s v="Amarillo"/>
    <s v="Zara"/>
    <s v="MER-A0-4426"/>
    <d v="2024-07-30T00:00:00"/>
    <x v="0"/>
    <n v="89.75"/>
    <n v="0.3"/>
    <n v="102.46"/>
    <x v="0"/>
    <s v="No"/>
    <d v="2024-07-30T00:00:00"/>
    <n v="0"/>
  </r>
  <r>
    <s v="DEP-A0-3283"/>
    <x v="0"/>
    <n v="56"/>
    <x v="1"/>
    <s v="Vestido"/>
    <s v="Azul"/>
    <s v="Levis"/>
    <s v="MER-A0-3283"/>
    <d v="2024-07-30T00:00:00"/>
    <x v="0"/>
    <n v="105.81"/>
    <n v="0.1"/>
    <n v="73.177999999999997"/>
    <x v="0"/>
    <s v="No"/>
    <d v="2024-07-30T00:00:00"/>
    <n v="0"/>
  </r>
  <r>
    <s v="DEP-A0-0498"/>
    <x v="0"/>
    <n v="36"/>
    <x v="1"/>
    <s v="Chaqueta"/>
    <s v="Blanco"/>
    <s v="Nike"/>
    <s v="MER-A0-0498"/>
    <d v="2024-07-31T00:00:00"/>
    <x v="0"/>
    <n v="33"/>
    <n v="0.1"/>
    <n v="157.82"/>
    <x v="0"/>
    <s v="No"/>
    <d v="2024-07-31T00:00:00"/>
    <n v="0"/>
  </r>
  <r>
    <s v="DEP-A0-1169"/>
    <x v="0"/>
    <n v="37"/>
    <x v="1"/>
    <s v="Vestido"/>
    <s v="Gris"/>
    <s v="Tommy"/>
    <s v="MER-A0-1169"/>
    <d v="2024-07-31T00:00:00"/>
    <x v="0"/>
    <n v="56.9"/>
    <n v="0"/>
    <n v="161.09100000000001"/>
    <x v="0"/>
    <s v="No"/>
    <d v="2024-07-31T00:00:00"/>
    <n v="0"/>
  </r>
  <r>
    <s v="DEP-A0-4258"/>
    <x v="1"/>
    <n v="55"/>
    <x v="1"/>
    <s v="Pantalón"/>
    <s v="Rojo"/>
    <s v="Nike"/>
    <s v="MER-A0-4258"/>
    <d v="2024-07-31T00:00:00"/>
    <x v="0"/>
    <n v="132.94999999999999"/>
    <n v="0"/>
    <n v="179.53"/>
    <x v="0"/>
    <s v="No"/>
    <d v="2024-07-31T00:00:00"/>
    <n v="0"/>
  </r>
  <r>
    <s v="DEP-A0-0649"/>
    <x v="0"/>
    <n v="56"/>
    <x v="1"/>
    <s v="Pantalón"/>
    <s v="Gris"/>
    <s v="Adidas"/>
    <s v="MER-A0-0649"/>
    <d v="2024-07-31T00:00:00"/>
    <x v="0"/>
    <n v="155.01"/>
    <n v="0.1"/>
    <n v="185.22"/>
    <x v="0"/>
    <s v="No"/>
    <d v="2024-07-31T00:00:00"/>
    <n v="0"/>
  </r>
  <r>
    <s v="DEP-A0-2753"/>
    <x v="1"/>
    <n v="41"/>
    <x v="1"/>
    <s v="Camisa"/>
    <s v="Azul"/>
    <s v="Nike"/>
    <s v="MER-A0-2753"/>
    <d v="2024-07-31T00:00:00"/>
    <x v="0"/>
    <n v="163.63"/>
    <n v="0.2"/>
    <n v="17.507000000000001"/>
    <x v="0"/>
    <s v="No"/>
    <d v="2024-07-31T00:00:00"/>
    <n v="0"/>
  </r>
  <r>
    <s v="DEP-A0-1664"/>
    <x v="0"/>
    <n v="47"/>
    <x v="1"/>
    <s v="Blusa"/>
    <s v="Verde"/>
    <s v="Mango"/>
    <s v="MER-A0-1664"/>
    <d v="2024-08-02T00:00:00"/>
    <x v="0"/>
    <n v="58.05"/>
    <n v="0"/>
    <n v="60.03"/>
    <x v="0"/>
    <s v="No"/>
    <d v="2024-08-02T00:00:00"/>
    <n v="0"/>
  </r>
  <r>
    <s v="DEP-A0-4069"/>
    <x v="1"/>
    <n v="48"/>
    <x v="1"/>
    <s v="Chaqueta"/>
    <s v="Verde"/>
    <s v="Nike"/>
    <s v="MER-A0-4069"/>
    <d v="2024-08-02T00:00:00"/>
    <x v="0"/>
    <n v="79.52"/>
    <n v="0.2"/>
    <n v="63.4"/>
    <x v="0"/>
    <s v="No"/>
    <d v="2024-08-02T00:00:00"/>
    <n v="0"/>
  </r>
  <r>
    <s v="DEP-A0-4531"/>
    <x v="0"/>
    <n v="59"/>
    <x v="1"/>
    <s v="Zapatos"/>
    <s v="Azul"/>
    <s v="Tommy"/>
    <s v="MER-A0-4531"/>
    <d v="2024-08-02T00:00:00"/>
    <x v="0"/>
    <n v="167.52"/>
    <n v="0.3"/>
    <n v="90.593999999999994"/>
    <x v="0"/>
    <s v="No"/>
    <d v="2024-08-02T00:00:00"/>
    <n v="0"/>
  </r>
  <r>
    <s v="DEP-A0-0138"/>
    <x v="0"/>
    <n v="38"/>
    <x v="1"/>
    <s v="Falda"/>
    <s v="Verde"/>
    <s v="Mango"/>
    <s v="MER-A0-0138"/>
    <d v="2024-08-03T00:00:00"/>
    <x v="0"/>
    <n v="93.27"/>
    <n v="0.2"/>
    <n v="75.313000000000002"/>
    <x v="0"/>
    <s v="No"/>
    <d v="2024-08-03T00:00:00"/>
    <n v="0"/>
  </r>
  <r>
    <s v="DEP-A0-3355"/>
    <x v="0"/>
    <n v="53"/>
    <x v="1"/>
    <s v="Zapatos"/>
    <s v="Negro"/>
    <s v="Adidas"/>
    <s v="MER-A0-3355"/>
    <d v="2024-08-03T00:00:00"/>
    <x v="0"/>
    <n v="114.89"/>
    <n v="0.1"/>
    <n v="80.444000000000003"/>
    <x v="0"/>
    <s v="No"/>
    <d v="2024-08-03T00:00:00"/>
    <n v="0"/>
  </r>
  <r>
    <s v="DEP-A0-4190"/>
    <x v="0"/>
    <n v="38"/>
    <x v="1"/>
    <s v="Pantalón"/>
    <s v="Blanco"/>
    <s v="Tommy"/>
    <s v="MER-A0-4190"/>
    <d v="2024-08-04T00:00:00"/>
    <x v="0"/>
    <n v="184.02"/>
    <n v="0"/>
    <n v="118.904"/>
    <x v="0"/>
    <s v="No"/>
    <d v="2024-08-04T00:00:00"/>
    <n v="0"/>
  </r>
  <r>
    <s v="DEP-A0-2437"/>
    <x v="0"/>
    <n v="41"/>
    <x v="1"/>
    <s v="Camisa"/>
    <s v="Blanco"/>
    <s v="Zara"/>
    <s v="MER-A0-2437"/>
    <d v="2024-08-05T00:00:00"/>
    <x v="0"/>
    <n v="161.63"/>
    <n v="0.2"/>
    <n v="122.55199999999999"/>
    <x v="0"/>
    <s v="No"/>
    <d v="2024-08-05T00:00:00"/>
    <n v="0"/>
  </r>
  <r>
    <s v="DEP-A0-1369"/>
    <x v="0"/>
    <n v="41"/>
    <x v="1"/>
    <s v="Vestido"/>
    <s v="Verde"/>
    <s v="Puma"/>
    <s v="MER-A0-1369"/>
    <d v="2024-08-06T00:00:00"/>
    <x v="0"/>
    <n v="24.67"/>
    <n v="0"/>
    <n v="157.35"/>
    <x v="0"/>
    <s v="No"/>
    <d v="2024-08-06T00:00:00"/>
    <n v="0"/>
  </r>
  <r>
    <s v="DEP-A0-0132"/>
    <x v="0"/>
    <n v="41"/>
    <x v="1"/>
    <s v="Zapatos"/>
    <s v="Verde"/>
    <s v="Nike"/>
    <s v="MER-A0-0132"/>
    <d v="2024-08-06T00:00:00"/>
    <x v="0"/>
    <n v="63.93"/>
    <n v="0.3"/>
    <n v="130.328"/>
    <x v="0"/>
    <s v="No"/>
    <d v="2024-08-06T00:00:00"/>
    <n v="0"/>
  </r>
  <r>
    <s v="DEP-A0-0981"/>
    <x v="0"/>
    <n v="53"/>
    <x v="1"/>
    <s v="Falda"/>
    <s v="Amarillo"/>
    <s v="Levis"/>
    <s v="MER-A0-0981"/>
    <d v="2024-08-06T00:00:00"/>
    <x v="0"/>
    <n v="124.55"/>
    <n v="0.1"/>
    <n v="152.25299999999999"/>
    <x v="0"/>
    <s v="No"/>
    <d v="2024-08-06T00:00:00"/>
    <n v="0"/>
  </r>
  <r>
    <s v="DEP-A0-3273"/>
    <x v="1"/>
    <n v="57"/>
    <x v="1"/>
    <s v="Pantalón"/>
    <s v="Azul"/>
    <s v="Adidas"/>
    <s v="MER-A0-3273"/>
    <d v="2024-08-07T00:00:00"/>
    <x v="0"/>
    <n v="93.33"/>
    <n v="0"/>
    <n v="133.40600000000001"/>
    <x v="0"/>
    <s v="No"/>
    <d v="2024-08-07T00:00:00"/>
    <n v="0"/>
  </r>
  <r>
    <s v="DEP-A0-1752"/>
    <x v="1"/>
    <n v="54"/>
    <x v="1"/>
    <s v="Chaqueta"/>
    <s v="Verde"/>
    <s v="Puma"/>
    <s v="MER-A0-1752"/>
    <d v="2024-08-07T00:00:00"/>
    <x v="0"/>
    <n v="95.48"/>
    <n v="0.2"/>
    <n v="192.33"/>
    <x v="0"/>
    <s v="No"/>
    <d v="2024-08-07T00:00:00"/>
    <n v="0"/>
  </r>
  <r>
    <s v="DEP-A0-4617"/>
    <x v="1"/>
    <n v="37"/>
    <x v="1"/>
    <s v="Zapatos"/>
    <s v="Negro"/>
    <s v="Adidas"/>
    <s v="MER-A0-4617"/>
    <d v="2024-08-07T00:00:00"/>
    <x v="0"/>
    <n v="158.49"/>
    <n v="0.3"/>
    <n v="9.2480000000000011"/>
    <x v="0"/>
    <s v="No"/>
    <d v="2024-08-07T00:00:00"/>
    <n v="0"/>
  </r>
  <r>
    <s v="DEP-A0-4408"/>
    <x v="0"/>
    <n v="54"/>
    <x v="1"/>
    <s v="Vestido"/>
    <s v="Verde"/>
    <s v="Levis"/>
    <s v="MER-A0-4408"/>
    <d v="2024-08-09T00:00:00"/>
    <x v="0"/>
    <n v="35.840000000000003"/>
    <n v="0.2"/>
    <n v="15.61"/>
    <x v="0"/>
    <s v="No"/>
    <d v="2024-08-09T00:00:00"/>
    <n v="0"/>
  </r>
  <r>
    <s v="DEP-A0-0018"/>
    <x v="1"/>
    <n v="61"/>
    <x v="1"/>
    <s v="Camisa"/>
    <s v="Blanco"/>
    <s v="Mango"/>
    <s v="MER-A0-0018"/>
    <d v="2024-08-09T00:00:00"/>
    <x v="0"/>
    <n v="130.09"/>
    <n v="0.3"/>
    <n v="22.03"/>
    <x v="0"/>
    <s v="No"/>
    <d v="2024-08-09T00:00:00"/>
    <n v="0"/>
  </r>
  <r>
    <s v="DEP-A0-4303"/>
    <x v="1"/>
    <n v="48"/>
    <x v="1"/>
    <s v="Pantalón"/>
    <s v="Gris"/>
    <s v="Nike"/>
    <s v="MER-A0-4303"/>
    <d v="2024-08-09T00:00:00"/>
    <x v="0"/>
    <n v="162.86000000000001"/>
    <n v="0"/>
    <n v="25.11"/>
    <x v="0"/>
    <s v="No"/>
    <d v="2024-08-09T00:00:00"/>
    <n v="0"/>
  </r>
  <r>
    <s v="DEP-A0-0490"/>
    <x v="0"/>
    <n v="46"/>
    <x v="1"/>
    <s v="Pantalón"/>
    <s v="Verde"/>
    <s v="Mango"/>
    <s v="MER-A0-0490"/>
    <d v="2024-08-10T00:00:00"/>
    <x v="0"/>
    <n v="11.49"/>
    <n v="0.1"/>
    <n v="34.320999999999998"/>
    <x v="0"/>
    <s v="No"/>
    <d v="2024-08-10T00:00:00"/>
    <n v="0"/>
  </r>
  <r>
    <s v="DEP-A0-3405"/>
    <x v="1"/>
    <n v="39"/>
    <x v="1"/>
    <s v="Camisa"/>
    <s v="Blanco"/>
    <s v="Levis"/>
    <s v="MER-A0-3405"/>
    <d v="2024-08-12T00:00:00"/>
    <x v="0"/>
    <n v="196.22"/>
    <n v="0.2"/>
    <n v="62.181000000000004"/>
    <x v="0"/>
    <s v="No"/>
    <d v="2024-08-12T00:00:00"/>
    <n v="0"/>
  </r>
  <r>
    <s v="DEP-A0-3251"/>
    <x v="0"/>
    <n v="56"/>
    <x v="1"/>
    <s v="Falda"/>
    <s v="Blanco"/>
    <s v="Mango"/>
    <s v="MER-A0-3251"/>
    <d v="2024-08-13T00:00:00"/>
    <x v="0"/>
    <n v="19.53"/>
    <n v="0.2"/>
    <n v="61.228999999999999"/>
    <x v="0"/>
    <s v="No"/>
    <d v="2024-08-13T00:00:00"/>
    <n v="0"/>
  </r>
  <r>
    <s v="DEP-A0-4623"/>
    <x v="0"/>
    <n v="45"/>
    <x v="1"/>
    <s v="Camisa"/>
    <s v="Azul"/>
    <s v="Levis"/>
    <s v="MER-A0-4623"/>
    <d v="2024-08-13T00:00:00"/>
    <x v="0"/>
    <n v="116.98"/>
    <n v="0.1"/>
    <n v="94.6"/>
    <x v="0"/>
    <s v="No"/>
    <d v="2024-08-13T00:00:00"/>
    <n v="0"/>
  </r>
  <r>
    <s v="DEP-A0-1284"/>
    <x v="1"/>
    <n v="59"/>
    <x v="1"/>
    <s v="Zapatos"/>
    <s v="Negro"/>
    <s v="Adidas"/>
    <s v="MER-A0-1284"/>
    <d v="2024-08-13T00:00:00"/>
    <x v="0"/>
    <n v="135.07"/>
    <n v="0"/>
    <n v="98.4"/>
    <x v="0"/>
    <s v="No"/>
    <d v="2024-08-13T00:00:00"/>
    <n v="0"/>
  </r>
  <r>
    <s v="DEP-A0-2458"/>
    <x v="1"/>
    <n v="36"/>
    <x v="1"/>
    <s v="Camisa"/>
    <s v="Azul"/>
    <s v="Mango"/>
    <s v="MER-A0-2458"/>
    <d v="2024-08-14T00:00:00"/>
    <x v="0"/>
    <n v="101.56"/>
    <n v="0"/>
    <n v="115.191"/>
    <x v="0"/>
    <s v="No"/>
    <d v="2024-08-14T00:00:00"/>
    <n v="0"/>
  </r>
  <r>
    <s v="DEP-A0-4218"/>
    <x v="0"/>
    <n v="40"/>
    <x v="1"/>
    <s v="Vestido"/>
    <s v="Verde"/>
    <s v="Zara"/>
    <s v="MER-A0-4218"/>
    <d v="2024-08-14T00:00:00"/>
    <x v="0"/>
    <n v="120.66"/>
    <n v="0.3"/>
    <n v="96.23599999999999"/>
    <x v="0"/>
    <s v="No"/>
    <d v="2024-08-14T00:00:00"/>
    <n v="0"/>
  </r>
  <r>
    <s v="DEP-A0-3811"/>
    <x v="0"/>
    <n v="64"/>
    <x v="1"/>
    <s v="Pantalón"/>
    <s v="Negro"/>
    <s v="Tommy"/>
    <s v="MER-A0-3811"/>
    <d v="2024-08-14T00:00:00"/>
    <x v="0"/>
    <n v="127.89"/>
    <n v="0"/>
    <n v="99.239000000000004"/>
    <x v="0"/>
    <s v="No"/>
    <d v="2024-08-14T00:00:00"/>
    <n v="0"/>
  </r>
  <r>
    <s v="DEP-A0-3675"/>
    <x v="0"/>
    <n v="39"/>
    <x v="1"/>
    <s v="Vestido"/>
    <s v="Rojo"/>
    <s v="Levis"/>
    <s v="MER-A0-3675"/>
    <d v="2024-08-15T00:00:00"/>
    <x v="0"/>
    <n v="45.75"/>
    <n v="0.1"/>
    <n v="150.58000000000001"/>
    <x v="0"/>
    <s v="No"/>
    <d v="2024-08-15T00:00:00"/>
    <n v="0"/>
  </r>
  <r>
    <s v="DEP-A0-0207"/>
    <x v="0"/>
    <n v="54"/>
    <x v="1"/>
    <s v="Chaqueta"/>
    <s v="Blanco"/>
    <s v="Nike"/>
    <s v="MER-A0-0207"/>
    <d v="2024-08-15T00:00:00"/>
    <x v="0"/>
    <n v="163.44999999999999"/>
    <n v="0"/>
    <n v="105.90299999999999"/>
    <x v="0"/>
    <s v="No"/>
    <d v="2024-08-15T00:00:00"/>
    <n v="0"/>
  </r>
  <r>
    <s v="DEP-A0-2311"/>
    <x v="0"/>
    <n v="38"/>
    <x v="1"/>
    <s v="Chaqueta"/>
    <s v="Verde"/>
    <s v="Levis"/>
    <s v="MER-A0-2311"/>
    <d v="2024-08-16T00:00:00"/>
    <x v="0"/>
    <n v="17.16"/>
    <n v="0.2"/>
    <n v="112.25900000000001"/>
    <x v="0"/>
    <s v="No"/>
    <d v="2024-08-16T00:00:00"/>
    <n v="0"/>
  </r>
  <r>
    <s v="DEP-A0-0597"/>
    <x v="0"/>
    <n v="63"/>
    <x v="1"/>
    <s v="Falda"/>
    <s v="Amarillo"/>
    <s v="Mango"/>
    <s v="MER-A0-0597"/>
    <d v="2024-08-16T00:00:00"/>
    <x v="0"/>
    <n v="23.34"/>
    <n v="0.2"/>
    <n v="156.465"/>
    <x v="0"/>
    <s v="No"/>
    <d v="2024-08-16T00:00:00"/>
    <n v="0"/>
  </r>
  <r>
    <s v="DEP-A0-4783"/>
    <x v="0"/>
    <n v="58"/>
    <x v="1"/>
    <s v="Vestido"/>
    <s v="Gris"/>
    <s v="Adidas"/>
    <s v="MER-A0-4783"/>
    <d v="2024-08-16T00:00:00"/>
    <x v="0"/>
    <n v="50.21"/>
    <n v="0.2"/>
    <n v="182.28"/>
    <x v="0"/>
    <s v="No"/>
    <d v="2024-08-16T00:00:00"/>
    <n v="0"/>
  </r>
  <r>
    <s v="DEP-A0-2375"/>
    <x v="1"/>
    <n v="64"/>
    <x v="1"/>
    <s v="Chaqueta"/>
    <s v="Azul"/>
    <s v="Zara"/>
    <s v="MER-A0-2375"/>
    <d v="2024-08-16T00:00:00"/>
    <x v="0"/>
    <n v="76.38"/>
    <n v="0.3"/>
    <n v="131.94300000000001"/>
    <x v="0"/>
    <s v="No"/>
    <d v="2024-08-16T00:00:00"/>
    <n v="0"/>
  </r>
  <r>
    <s v="DEP-A0-3891"/>
    <x v="1"/>
    <n v="57"/>
    <x v="1"/>
    <s v="Pantalón"/>
    <s v="Amarillo"/>
    <s v="Mango"/>
    <s v="MER-A0-3891"/>
    <d v="2024-08-16T00:00:00"/>
    <x v="0"/>
    <n v="88.43"/>
    <n v="0.2"/>
    <n v="154.73599999999999"/>
    <x v="0"/>
    <s v="No"/>
    <d v="2024-08-16T00:00:00"/>
    <n v="0"/>
  </r>
  <r>
    <s v="DEP-A0-1168"/>
    <x v="0"/>
    <n v="45"/>
    <x v="1"/>
    <s v="Blusa"/>
    <s v="Gris"/>
    <s v="Levis"/>
    <s v="MER-A0-1168"/>
    <d v="2024-08-16T00:00:00"/>
    <x v="0"/>
    <n v="111.64"/>
    <n v="0.3"/>
    <n v="154.89600000000002"/>
    <x v="0"/>
    <s v="No"/>
    <d v="2024-08-16T00:00:00"/>
    <n v="0"/>
  </r>
  <r>
    <s v="DEP-A0-1417"/>
    <x v="0"/>
    <n v="37"/>
    <x v="1"/>
    <s v="Blusa"/>
    <s v="Blanco"/>
    <s v="Levis"/>
    <s v="MER-A0-1417"/>
    <d v="2024-08-17T00:00:00"/>
    <x v="0"/>
    <n v="17.899999999999999"/>
    <n v="0"/>
    <n v="9.9890000000000008"/>
    <x v="0"/>
    <s v="No"/>
    <d v="2024-08-17T00:00:00"/>
    <n v="0"/>
  </r>
  <r>
    <s v="DEP-A0-3166"/>
    <x v="0"/>
    <n v="57"/>
    <x v="1"/>
    <s v="Blusa"/>
    <s v="Gris"/>
    <s v="Adidas"/>
    <s v="MER-A0-3166"/>
    <d v="2024-08-17T00:00:00"/>
    <x v="0"/>
    <n v="36.01"/>
    <n v="0.3"/>
    <n v="10.675000000000001"/>
    <x v="0"/>
    <s v="No"/>
    <d v="2024-08-17T00:00:00"/>
    <n v="0"/>
  </r>
  <r>
    <s v="DEP-A0-0443"/>
    <x v="0"/>
    <n v="52"/>
    <x v="1"/>
    <s v="Blusa"/>
    <s v="Azul"/>
    <s v="Zara"/>
    <s v="MER-A0-0443"/>
    <d v="2024-08-17T00:00:00"/>
    <x v="0"/>
    <n v="139.18"/>
    <n v="0.3"/>
    <n v="25.15"/>
    <x v="0"/>
    <s v="No"/>
    <d v="2024-08-17T00:00:00"/>
    <n v="0"/>
  </r>
  <r>
    <s v="DEP-A0-3844"/>
    <x v="1"/>
    <n v="40"/>
    <x v="1"/>
    <s v="Camisa"/>
    <s v="Negro"/>
    <s v="Zara"/>
    <s v="MER-A0-3844"/>
    <d v="2024-08-18T00:00:00"/>
    <x v="0"/>
    <n v="45.03"/>
    <n v="0.1"/>
    <n v="22.204000000000001"/>
    <x v="0"/>
    <s v="No"/>
    <d v="2024-08-18T00:00:00"/>
    <n v="0"/>
  </r>
  <r>
    <s v="DEP-A0-3719"/>
    <x v="0"/>
    <n v="54"/>
    <x v="1"/>
    <s v="Vestido"/>
    <s v="Azul"/>
    <s v="Zara"/>
    <s v="MER-A0-3719"/>
    <d v="2024-08-18T00:00:00"/>
    <x v="0"/>
    <n v="168.58"/>
    <n v="0.3"/>
    <n v="35.99"/>
    <x v="0"/>
    <s v="No"/>
    <d v="2024-08-18T00:00:00"/>
    <n v="0"/>
  </r>
  <r>
    <s v="DEP-A0-3069"/>
    <x v="0"/>
    <n v="51"/>
    <x v="1"/>
    <s v="Vestido"/>
    <s v="Negro"/>
    <s v="Nike"/>
    <s v="MER-A0-3069"/>
    <d v="2024-08-19T00:00:00"/>
    <x v="0"/>
    <n v="30.23"/>
    <n v="0.2"/>
    <n v="37.834999999999994"/>
    <x v="0"/>
    <s v="No"/>
    <d v="2024-08-19T00:00:00"/>
    <n v="0"/>
  </r>
  <r>
    <s v="DEP-A0-2411"/>
    <x v="0"/>
    <n v="49"/>
    <x v="1"/>
    <s v="Blusa"/>
    <s v="Gris"/>
    <s v="Puma"/>
    <s v="MER-A0-2411"/>
    <d v="2024-08-19T00:00:00"/>
    <x v="0"/>
    <n v="114.45"/>
    <n v="0.2"/>
    <n v="63.24"/>
    <x v="0"/>
    <s v="No"/>
    <d v="2024-08-19T00:00:00"/>
    <n v="0"/>
  </r>
  <r>
    <s v="DEP-A0-1629"/>
    <x v="0"/>
    <n v="47"/>
    <x v="1"/>
    <s v="Vestido"/>
    <s v="Blanco"/>
    <s v="Tommy"/>
    <s v="MER-A0-1629"/>
    <d v="2024-08-19T00:00:00"/>
    <x v="0"/>
    <n v="144.86000000000001"/>
    <n v="0.1"/>
    <n v="55.37"/>
    <x v="0"/>
    <s v="No"/>
    <d v="2024-08-19T00:00:00"/>
    <n v="0"/>
  </r>
  <r>
    <s v="DEP-A0-0110"/>
    <x v="0"/>
    <n v="40"/>
    <x v="1"/>
    <s v="Zapatos"/>
    <s v="Amarillo"/>
    <s v="Zara"/>
    <s v="MER-A0-0110"/>
    <d v="2024-08-20T00:00:00"/>
    <x v="0"/>
    <n v="161.72"/>
    <n v="0.1"/>
    <n v="88.289999999999992"/>
    <x v="0"/>
    <s v="No"/>
    <d v="2024-08-20T00:00:00"/>
    <n v="0"/>
  </r>
  <r>
    <s v="DEP-A0-3866"/>
    <x v="1"/>
    <n v="37"/>
    <x v="1"/>
    <s v="Chaqueta"/>
    <s v="Blanco"/>
    <s v="Tommy"/>
    <s v="MER-A0-3866"/>
    <d v="2024-08-21T00:00:00"/>
    <x v="0"/>
    <n v="24.26"/>
    <n v="0.2"/>
    <n v="90.26100000000001"/>
    <x v="0"/>
    <s v="No"/>
    <d v="2024-08-21T00:00:00"/>
    <n v="0"/>
  </r>
  <r>
    <s v="DEP-A0-2025"/>
    <x v="0"/>
    <n v="45"/>
    <x v="1"/>
    <s v="Falda"/>
    <s v="Gris"/>
    <s v="Levis"/>
    <s v="MER-A0-2025"/>
    <d v="2024-08-21T00:00:00"/>
    <x v="0"/>
    <n v="28.84"/>
    <n v="0.2"/>
    <n v="109.68"/>
    <x v="0"/>
    <s v="No"/>
    <d v="2024-08-21T00:00:00"/>
    <n v="0"/>
  </r>
  <r>
    <s v="DEP-A0-4826"/>
    <x v="0"/>
    <n v="62"/>
    <x v="1"/>
    <s v="Vestido"/>
    <s v="Blanco"/>
    <s v="Adidas"/>
    <s v="MER-A0-4826"/>
    <d v="2024-08-21T00:00:00"/>
    <x v="0"/>
    <n v="44.2"/>
    <n v="0.1"/>
    <n v="110.35"/>
    <x v="0"/>
    <s v="No"/>
    <d v="2024-08-21T00:00:00"/>
    <n v="0"/>
  </r>
  <r>
    <s v="DEP-A0-4052"/>
    <x v="1"/>
    <n v="42"/>
    <x v="1"/>
    <s v="Pantalón"/>
    <s v="Negro"/>
    <s v="Adidas"/>
    <s v="MER-A0-4052"/>
    <d v="2024-08-21T00:00:00"/>
    <x v="0"/>
    <n v="87.23"/>
    <n v="0.1"/>
    <n v="110.91"/>
    <x v="0"/>
    <s v="No"/>
    <d v="2024-08-21T00:00:00"/>
    <n v="0"/>
  </r>
  <r>
    <s v="DEP-A0-2019"/>
    <x v="0"/>
    <n v="56"/>
    <x v="1"/>
    <s v="Falda"/>
    <s v="Verde"/>
    <s v="Adidas"/>
    <s v="MER-A0-2019"/>
    <d v="2024-08-21T00:00:00"/>
    <x v="0"/>
    <n v="112.08"/>
    <n v="0"/>
    <n v="102.55500000000001"/>
    <x v="0"/>
    <s v="No"/>
    <d v="2024-08-21T00:00:00"/>
    <n v="0"/>
  </r>
  <r>
    <s v="DEP-A0-1300"/>
    <x v="0"/>
    <n v="36"/>
    <x v="1"/>
    <s v="Blusa"/>
    <s v="Azul"/>
    <s v="Zara"/>
    <s v="MER-A0-1300"/>
    <d v="2024-08-22T00:00:00"/>
    <x v="0"/>
    <n v="53.73"/>
    <n v="0.3"/>
    <n v="118.23"/>
    <x v="0"/>
    <s v="No"/>
    <d v="2024-08-22T00:00:00"/>
    <n v="0"/>
  </r>
  <r>
    <s v="DEP-A0-1804"/>
    <x v="0"/>
    <n v="45"/>
    <x v="1"/>
    <s v="Blusa"/>
    <s v="Verde"/>
    <s v="Mango"/>
    <s v="MER-A0-1804"/>
    <d v="2024-08-22T00:00:00"/>
    <x v="0"/>
    <n v="138.08000000000001"/>
    <n v="0"/>
    <n v="122.84"/>
    <x v="0"/>
    <s v="No"/>
    <d v="2024-08-22T00:00:00"/>
    <n v="0"/>
  </r>
  <r>
    <s v="DEP-A0-0881"/>
    <x v="0"/>
    <n v="50"/>
    <x v="1"/>
    <s v="Zapatos"/>
    <s v="Negro"/>
    <s v="Mango"/>
    <s v="MER-A0-0881"/>
    <d v="2024-08-23T00:00:00"/>
    <x v="0"/>
    <n v="49.75"/>
    <n v="0.2"/>
    <n v="125.24"/>
    <x v="0"/>
    <s v="No"/>
    <d v="2024-08-23T00:00:00"/>
    <n v="0"/>
  </r>
  <r>
    <s v="DEP-A0-2502"/>
    <x v="0"/>
    <n v="60"/>
    <x v="1"/>
    <s v="Falda"/>
    <s v="Verde"/>
    <s v="Adidas"/>
    <s v="MER-A0-2502"/>
    <d v="2024-08-23T00:00:00"/>
    <x v="0"/>
    <n v="91.16"/>
    <n v="0.1"/>
    <n v="126.45899999999999"/>
    <x v="0"/>
    <s v="No"/>
    <d v="2024-08-23T00:00:00"/>
    <n v="0"/>
  </r>
  <r>
    <s v="DEP-A0-1693"/>
    <x v="1"/>
    <n v="40"/>
    <x v="1"/>
    <s v="Camisa"/>
    <s v="Amarillo"/>
    <s v="Tommy"/>
    <s v="MER-A0-1693"/>
    <d v="2024-08-23T00:00:00"/>
    <x v="0"/>
    <n v="149.66"/>
    <n v="0.1"/>
    <n v="136.15199999999999"/>
    <x v="0"/>
    <s v="No"/>
    <d v="2024-08-23T00:00:00"/>
    <n v="0"/>
  </r>
  <r>
    <s v="DEP-A0-0241"/>
    <x v="0"/>
    <n v="45"/>
    <x v="1"/>
    <s v="Camisa"/>
    <s v="Rojo"/>
    <s v="Adidas"/>
    <s v="MER-A0-0241"/>
    <d v="2024-08-24T00:00:00"/>
    <x v="0"/>
    <n v="49.19"/>
    <n v="0.1"/>
    <n v="155.18"/>
    <x v="0"/>
    <s v="No"/>
    <d v="2024-08-24T00:00:00"/>
    <n v="0"/>
  </r>
  <r>
    <s v="DEP-A0-1577"/>
    <x v="0"/>
    <n v="44"/>
    <x v="1"/>
    <s v="Vestido"/>
    <s v="Blanco"/>
    <s v="Mango"/>
    <s v="MER-A0-1577"/>
    <d v="2024-08-24T00:00:00"/>
    <x v="0"/>
    <n v="80.099999999999994"/>
    <n v="0"/>
    <n v="120.61000000000001"/>
    <x v="0"/>
    <s v="No"/>
    <d v="2024-08-24T00:00:00"/>
    <n v="0"/>
  </r>
  <r>
    <s v="DEP-A0-2791"/>
    <x v="1"/>
    <n v="65"/>
    <x v="1"/>
    <s v="Chaqueta"/>
    <s v="Blanco"/>
    <s v="Zara"/>
    <s v="MER-A0-2791"/>
    <d v="2024-08-25T00:00:00"/>
    <x v="0"/>
    <n v="27.27"/>
    <n v="0"/>
    <n v="148.08800000000002"/>
    <x v="0"/>
    <s v="No"/>
    <d v="2024-08-25T00:00:00"/>
    <n v="0"/>
  </r>
  <r>
    <s v="DEP-A0-0528"/>
    <x v="0"/>
    <n v="50"/>
    <x v="1"/>
    <s v="Chaqueta"/>
    <s v="Rojo"/>
    <s v="Zara"/>
    <s v="MER-A0-0528"/>
    <d v="2024-08-27T00:00:00"/>
    <x v="0"/>
    <n v="17.57"/>
    <n v="0.1"/>
    <n v="12.699"/>
    <x v="0"/>
    <s v="No"/>
    <d v="2024-08-27T00:00:00"/>
    <n v="0"/>
  </r>
  <r>
    <s v="DEP-A0-3172"/>
    <x v="0"/>
    <n v="64"/>
    <x v="1"/>
    <s v="Blusa"/>
    <s v="Amarillo"/>
    <s v="Puma"/>
    <s v="MER-A0-3172"/>
    <d v="2024-08-27T00:00:00"/>
    <x v="0"/>
    <n v="39.61"/>
    <n v="0.1"/>
    <n v="17"/>
    <x v="0"/>
    <s v="No"/>
    <d v="2024-08-27T00:00:00"/>
    <n v="0"/>
  </r>
  <r>
    <s v="DEP-A0-3110"/>
    <x v="0"/>
    <n v="49"/>
    <x v="1"/>
    <s v="Falda"/>
    <s v="Rojo"/>
    <s v="Zara"/>
    <s v="MER-A0-3110"/>
    <d v="2024-08-27T00:00:00"/>
    <x v="0"/>
    <n v="152.88"/>
    <n v="0"/>
    <n v="40.909999999999997"/>
    <x v="0"/>
    <s v="No"/>
    <d v="2024-08-27T00:00:00"/>
    <n v="0"/>
  </r>
  <r>
    <s v="DEP-A0-1934"/>
    <x v="1"/>
    <n v="53"/>
    <x v="1"/>
    <s v="Camisa"/>
    <s v="Gris"/>
    <s v="Mango"/>
    <s v="MER-A0-1934"/>
    <d v="2024-08-28T00:00:00"/>
    <x v="0"/>
    <n v="57.92"/>
    <n v="0.3"/>
    <n v="61.808000000000007"/>
    <x v="0"/>
    <s v="No"/>
    <d v="2024-08-28T00:00:00"/>
    <n v="0"/>
  </r>
  <r>
    <s v="DEP-A0-3953"/>
    <x v="1"/>
    <n v="56"/>
    <x v="1"/>
    <s v="Chaqueta"/>
    <s v="Rojo"/>
    <s v="Zara"/>
    <s v="MER-A0-3953"/>
    <d v="2024-08-29T00:00:00"/>
    <x v="0"/>
    <n v="56.89"/>
    <n v="0"/>
    <n v="101.12"/>
    <x v="0"/>
    <s v="No"/>
    <d v="2024-08-29T00:00:00"/>
    <n v="0"/>
  </r>
  <r>
    <s v="DEP-A0-4336"/>
    <x v="0"/>
    <n v="58"/>
    <x v="1"/>
    <s v="Zapatos"/>
    <s v="Negro"/>
    <s v="Adidas"/>
    <s v="MER-A0-4336"/>
    <d v="2024-08-29T00:00:00"/>
    <x v="0"/>
    <n v="182.44"/>
    <n v="0.2"/>
    <n v="126.91"/>
    <x v="0"/>
    <s v="No"/>
    <d v="2024-08-29T00:00:00"/>
    <n v="0"/>
  </r>
  <r>
    <s v="DEP-A0-0347"/>
    <x v="0"/>
    <n v="49"/>
    <x v="1"/>
    <s v="Blusa"/>
    <s v="Verde"/>
    <s v="Mango"/>
    <s v="MER-A0-0347"/>
    <d v="2024-08-31T00:00:00"/>
    <x v="0"/>
    <n v="35.42"/>
    <n v="0.2"/>
    <n v="140.09399999999999"/>
    <x v="0"/>
    <s v="No"/>
    <d v="2024-08-31T00:00:00"/>
    <n v="0"/>
  </r>
  <r>
    <s v="DEP-A0-4049"/>
    <x v="0"/>
    <n v="63"/>
    <x v="1"/>
    <s v="Blusa"/>
    <s v="Blanco"/>
    <s v="Nike"/>
    <s v="MER-A0-4049"/>
    <d v="2024-09-01T00:00:00"/>
    <x v="0"/>
    <n v="31.37"/>
    <n v="0"/>
    <n v="154.57499999999999"/>
    <x v="0"/>
    <s v="No"/>
    <d v="2024-09-01T00:00:00"/>
    <n v="0"/>
  </r>
  <r>
    <s v="DEP-A0-4850"/>
    <x v="0"/>
    <n v="42"/>
    <x v="1"/>
    <s v="Falda"/>
    <s v="Rojo"/>
    <s v="Mango"/>
    <s v="MER-A0-4850"/>
    <d v="2024-09-01T00:00:00"/>
    <x v="0"/>
    <n v="154.96"/>
    <n v="0.1"/>
    <n v="171.315"/>
    <x v="0"/>
    <s v="No"/>
    <d v="2024-09-01T00:00:00"/>
    <n v="0"/>
  </r>
  <r>
    <s v="DEP-A0-1774"/>
    <x v="0"/>
    <n v="42"/>
    <x v="1"/>
    <s v="Pantalón"/>
    <s v="Gris"/>
    <s v="Zara"/>
    <s v="MER-A0-1774"/>
    <d v="2024-09-02T00:00:00"/>
    <x v="0"/>
    <n v="59.82"/>
    <n v="0.2"/>
    <n v="8.0400000000000009"/>
    <x v="0"/>
    <s v="No"/>
    <d v="2024-09-02T00:00:00"/>
    <n v="0"/>
  </r>
  <r>
    <s v="DEP-A0-3137"/>
    <x v="0"/>
    <n v="51"/>
    <x v="1"/>
    <s v="Chaqueta"/>
    <s v="Amarillo"/>
    <s v="Tommy"/>
    <s v="MER-A0-3137"/>
    <d v="2024-09-02T00:00:00"/>
    <x v="0"/>
    <n v="129.74"/>
    <n v="0.3"/>
    <n v="10.559999999999999"/>
    <x v="0"/>
    <s v="No"/>
    <d v="2024-09-02T00:00:00"/>
    <n v="0"/>
  </r>
  <r>
    <s v="DEP-A0-3903"/>
    <x v="0"/>
    <n v="57"/>
    <x v="1"/>
    <s v="Falda"/>
    <s v="Negro"/>
    <s v="Tommy"/>
    <s v="MER-A0-3903"/>
    <d v="2024-09-02T00:00:00"/>
    <x v="0"/>
    <n v="167.57"/>
    <n v="0.3"/>
    <n v="12.984999999999999"/>
    <x v="0"/>
    <s v="No"/>
    <d v="2024-09-02T00:00:00"/>
    <n v="0"/>
  </r>
  <r>
    <s v="DEP-A0-1393"/>
    <x v="0"/>
    <n v="52"/>
    <x v="1"/>
    <s v="Chaqueta"/>
    <s v="Negro"/>
    <s v="Zara"/>
    <s v="MER-A0-1393"/>
    <d v="2024-09-03T00:00:00"/>
    <x v="0"/>
    <n v="77.44"/>
    <n v="0"/>
    <n v="13.496"/>
    <x v="0"/>
    <s v="No"/>
    <d v="2024-09-03T00:00:00"/>
    <n v="0"/>
  </r>
  <r>
    <s v="DEP-A0-3828"/>
    <x v="1"/>
    <n v="43"/>
    <x v="1"/>
    <s v="Pantalón"/>
    <s v="Azul"/>
    <s v="Tommy"/>
    <s v="MER-A0-3828"/>
    <d v="2024-09-03T00:00:00"/>
    <x v="0"/>
    <n v="97.89"/>
    <n v="0.3"/>
    <n v="13.93"/>
    <x v="0"/>
    <s v="No"/>
    <d v="2024-09-03T00:00:00"/>
    <n v="0"/>
  </r>
  <r>
    <s v="DEP-A0-3464"/>
    <x v="0"/>
    <n v="49"/>
    <x v="1"/>
    <s v="Blusa"/>
    <s v="Azul"/>
    <s v="Mango"/>
    <s v="MER-A0-3464"/>
    <d v="2024-09-04T00:00:00"/>
    <x v="0"/>
    <n v="67.62"/>
    <n v="0"/>
    <n v="14.36"/>
    <x v="0"/>
    <s v="No"/>
    <d v="2024-09-04T00:00:00"/>
    <n v="0"/>
  </r>
  <r>
    <s v="DEP-A0-3547"/>
    <x v="0"/>
    <n v="58"/>
    <x v="1"/>
    <s v="Blusa"/>
    <s v="Negro"/>
    <s v="Nike"/>
    <s v="MER-A0-3547"/>
    <d v="2024-09-04T00:00:00"/>
    <x v="0"/>
    <n v="149.44"/>
    <n v="0.2"/>
    <n v="15.120000000000001"/>
    <x v="0"/>
    <s v="No"/>
    <d v="2024-09-04T00:00:00"/>
    <n v="0"/>
  </r>
  <r>
    <s v="DEP-A0-4287"/>
    <x v="0"/>
    <n v="51"/>
    <x v="1"/>
    <s v="Chaqueta"/>
    <s v="Verde"/>
    <s v="Zara"/>
    <s v="MER-A0-4287"/>
    <d v="2024-09-05T00:00:00"/>
    <x v="0"/>
    <n v="12.82"/>
    <n v="0"/>
    <n v="17.423999999999999"/>
    <x v="0"/>
    <s v="No"/>
    <d v="2024-09-05T00:00:00"/>
    <n v="0"/>
  </r>
  <r>
    <s v="DEP-A0-0236"/>
    <x v="1"/>
    <n v="63"/>
    <x v="1"/>
    <s v="Zapatos"/>
    <s v="Azul"/>
    <s v="Levis"/>
    <s v="MER-A0-0236"/>
    <d v="2024-09-05T00:00:00"/>
    <x v="0"/>
    <n v="101.87"/>
    <n v="0.3"/>
    <n v="17.440000000000001"/>
    <x v="0"/>
    <s v="No"/>
    <d v="2024-09-05T00:00:00"/>
    <n v="0"/>
  </r>
  <r>
    <s v="DEP-A0-2837"/>
    <x v="0"/>
    <n v="43"/>
    <x v="1"/>
    <s v="Falda"/>
    <s v="Azul"/>
    <s v="Tommy"/>
    <s v="MER-A0-2837"/>
    <d v="2024-09-05T00:00:00"/>
    <x v="0"/>
    <n v="130.55000000000001"/>
    <n v="0.2"/>
    <n v="17.919999999999998"/>
    <x v="0"/>
    <s v="No"/>
    <d v="2024-09-05T00:00:00"/>
    <n v="0"/>
  </r>
  <r>
    <s v="DEP-A0-4482"/>
    <x v="0"/>
    <n v="36"/>
    <x v="1"/>
    <s v="Falda"/>
    <s v="Negro"/>
    <s v="Levis"/>
    <s v="MER-A0-4482"/>
    <d v="2024-09-06T00:00:00"/>
    <x v="0"/>
    <n v="130.07"/>
    <n v="0.2"/>
    <n v="20.178000000000001"/>
    <x v="0"/>
    <s v="No"/>
    <d v="2024-09-06T00:00:00"/>
    <n v="0"/>
  </r>
  <r>
    <s v="DEP-A0-4841"/>
    <x v="1"/>
    <n v="37"/>
    <x v="1"/>
    <s v="Camisa"/>
    <s v="Azul"/>
    <s v="Puma"/>
    <s v="MER-A0-4841"/>
    <d v="2024-09-07T00:00:00"/>
    <x v="0"/>
    <n v="154.87"/>
    <n v="0.3"/>
    <n v="21.112000000000002"/>
    <x v="0"/>
    <s v="No"/>
    <d v="2024-09-07T00:00:00"/>
    <n v="0"/>
  </r>
  <r>
    <s v="DEP-A0-1549"/>
    <x v="0"/>
    <n v="55"/>
    <x v="1"/>
    <s v="Zapatos"/>
    <s v="Negro"/>
    <s v="Zara"/>
    <s v="MER-A0-1549"/>
    <d v="2024-09-07T00:00:00"/>
    <x v="0"/>
    <n v="188.67"/>
    <n v="0.3"/>
    <n v="22.11"/>
    <x v="0"/>
    <s v="No"/>
    <d v="2024-09-07T00:00:00"/>
    <n v="0"/>
  </r>
  <r>
    <s v="DEP-A0-0119"/>
    <x v="0"/>
    <n v="57"/>
    <x v="1"/>
    <s v="Blusa"/>
    <s v="Amarillo"/>
    <s v="Tommy"/>
    <s v="MER-A0-0119"/>
    <d v="2024-09-08T00:00:00"/>
    <x v="0"/>
    <n v="144.66999999999999"/>
    <n v="0"/>
    <n v="26.607999999999997"/>
    <x v="0"/>
    <s v="No"/>
    <d v="2024-09-08T00:00:00"/>
    <n v="0"/>
  </r>
  <r>
    <s v="DEP-A0-1765"/>
    <x v="0"/>
    <n v="65"/>
    <x v="1"/>
    <s v="Vestido"/>
    <s v="Blanco"/>
    <s v="Puma"/>
    <s v="MER-A0-1765"/>
    <d v="2024-09-08T00:00:00"/>
    <x v="0"/>
    <n v="161.72999999999999"/>
    <n v="0.2"/>
    <n v="27.285999999999998"/>
    <x v="0"/>
    <s v="No"/>
    <d v="2024-09-08T00:00:00"/>
    <n v="0"/>
  </r>
  <r>
    <s v="DEP-A0-1760"/>
    <x v="0"/>
    <n v="44"/>
    <x v="1"/>
    <s v="Vestido"/>
    <s v="Rojo"/>
    <s v="Nike"/>
    <s v="MER-A0-1760"/>
    <d v="2024-09-09T00:00:00"/>
    <x v="0"/>
    <n v="94.16"/>
    <n v="0.3"/>
    <n v="27.42"/>
    <x v="0"/>
    <s v="No"/>
    <d v="2024-09-09T00:00:00"/>
    <n v="0"/>
  </r>
  <r>
    <s v="DEP-A0-4875"/>
    <x v="0"/>
    <n v="45"/>
    <x v="1"/>
    <s v="Falda"/>
    <s v="Negro"/>
    <s v="Mango"/>
    <s v="MER-A0-4875"/>
    <d v="2024-09-09T00:00:00"/>
    <x v="0"/>
    <n v="143.05000000000001"/>
    <n v="0.2"/>
    <n v="27.957999999999998"/>
    <x v="0"/>
    <s v="No"/>
    <d v="2024-09-09T00:00:00"/>
    <n v="0"/>
  </r>
  <r>
    <s v="DEP-A0-2751"/>
    <x v="0"/>
    <n v="61"/>
    <x v="1"/>
    <s v="Camisa"/>
    <s v="Gris"/>
    <s v="Adidas"/>
    <s v="MER-A0-2751"/>
    <d v="2024-09-10T00:00:00"/>
    <x v="0"/>
    <n v="144.41999999999999"/>
    <n v="0.2"/>
    <n v="29.331000000000003"/>
    <x v="0"/>
    <s v="No"/>
    <d v="2024-09-10T00:00:00"/>
    <n v="0"/>
  </r>
  <r>
    <s v="DEP-A0-4321"/>
    <x v="1"/>
    <n v="62"/>
    <x v="1"/>
    <s v="Pantalón"/>
    <s v="Amarillo"/>
    <s v="Zara"/>
    <s v="MER-A0-4321"/>
    <d v="2024-09-11T00:00:00"/>
    <x v="0"/>
    <n v="193.4"/>
    <n v="0.1"/>
    <n v="32.167999999999999"/>
    <x v="0"/>
    <s v="No"/>
    <d v="2024-09-11T00:00:00"/>
    <n v="0"/>
  </r>
  <r>
    <s v="DEP-A0-1601"/>
    <x v="0"/>
    <n v="40"/>
    <x v="1"/>
    <s v="Blusa"/>
    <s v="Azul"/>
    <s v="Adidas"/>
    <s v="MER-A0-1601"/>
    <d v="2024-09-12T00:00:00"/>
    <x v="0"/>
    <n v="75.930000000000007"/>
    <n v="0"/>
    <n v="33.384"/>
    <x v="0"/>
    <s v="No"/>
    <d v="2024-09-12T00:00:00"/>
    <n v="0"/>
  </r>
  <r>
    <s v="DEP-A0-0359"/>
    <x v="1"/>
    <n v="44"/>
    <x v="1"/>
    <s v="Chaqueta"/>
    <s v="Azul"/>
    <s v="Zara"/>
    <s v="MER-A0-0359"/>
    <d v="2024-09-12T00:00:00"/>
    <x v="0"/>
    <n v="81.02"/>
    <n v="0.3"/>
    <n v="33.516000000000005"/>
    <x v="0"/>
    <s v="No"/>
    <d v="2024-09-12T00:00:00"/>
    <n v="0"/>
  </r>
  <r>
    <s v="DEP-A0-1165"/>
    <x v="0"/>
    <n v="39"/>
    <x v="1"/>
    <s v="Pantalón"/>
    <s v="Blanco"/>
    <s v="Tommy"/>
    <s v="MER-A0-1165"/>
    <d v="2024-09-13T00:00:00"/>
    <x v="0"/>
    <n v="28.59"/>
    <n v="0.3"/>
    <n v="34.816000000000003"/>
    <x v="0"/>
    <s v="No"/>
    <d v="2024-09-13T00:00:00"/>
    <n v="0"/>
  </r>
  <r>
    <s v="DEP-A0-2544"/>
    <x v="1"/>
    <n v="37"/>
    <x v="1"/>
    <s v="Camisa"/>
    <s v="Negro"/>
    <s v="Tommy"/>
    <s v="MER-A0-2544"/>
    <d v="2024-09-13T00:00:00"/>
    <x v="0"/>
    <n v="92.19"/>
    <n v="0.3"/>
    <n v="36.19"/>
    <x v="0"/>
    <s v="No"/>
    <d v="2024-09-13T00:00:00"/>
    <n v="0"/>
  </r>
  <r>
    <s v="DEP-A0-0328"/>
    <x v="0"/>
    <n v="58"/>
    <x v="1"/>
    <s v="Falda"/>
    <s v="Negro"/>
    <s v="Adidas"/>
    <s v="MER-A0-0328"/>
    <d v="2024-09-14T00:00:00"/>
    <x v="0"/>
    <n v="65.66"/>
    <n v="0.1"/>
    <n v="36.448"/>
    <x v="0"/>
    <s v="No"/>
    <d v="2024-09-14T00:00:00"/>
    <n v="0"/>
  </r>
  <r>
    <s v="DEP-A0-3416"/>
    <x v="1"/>
    <n v="51"/>
    <x v="1"/>
    <s v="Chaqueta"/>
    <s v="Amarillo"/>
    <s v="Zara"/>
    <s v="MER-A0-3416"/>
    <d v="2024-09-14T00:00:00"/>
    <x v="0"/>
    <n v="154.22999999999999"/>
    <n v="0.1"/>
    <n v="36.520000000000003"/>
    <x v="0"/>
    <s v="No"/>
    <d v="2024-09-14T00:00:00"/>
    <n v="0"/>
  </r>
  <r>
    <s v="DEP-A0-2770"/>
    <x v="0"/>
    <n v="65"/>
    <x v="1"/>
    <s v="Vestido"/>
    <s v="Blanco"/>
    <s v="Mango"/>
    <s v="MER-A0-2770"/>
    <d v="2024-09-14T00:00:00"/>
    <x v="0"/>
    <n v="189.31"/>
    <n v="0.3"/>
    <n v="37.17"/>
    <x v="0"/>
    <s v="No"/>
    <d v="2024-09-14T00:00:00"/>
    <n v="0"/>
  </r>
  <r>
    <s v="DEP-A0-2056"/>
    <x v="0"/>
    <n v="58"/>
    <x v="1"/>
    <s v="Blusa"/>
    <s v="Amarillo"/>
    <s v="Nike"/>
    <s v="MER-A0-2056"/>
    <d v="2024-09-15T00:00:00"/>
    <x v="0"/>
    <n v="117.29"/>
    <n v="0"/>
    <n v="38.514000000000003"/>
    <x v="0"/>
    <s v="No"/>
    <d v="2024-09-15T00:00:00"/>
    <n v="0"/>
  </r>
  <r>
    <s v="DEP-A0-3036"/>
    <x v="0"/>
    <n v="57"/>
    <x v="1"/>
    <s v="Chaqueta"/>
    <s v="Amarillo"/>
    <s v="Nike"/>
    <s v="MER-A0-3036"/>
    <d v="2024-09-16T00:00:00"/>
    <x v="0"/>
    <n v="129.97"/>
    <n v="0.2"/>
    <n v="38.832000000000001"/>
    <x v="0"/>
    <s v="No"/>
    <d v="2024-09-16T00:00:00"/>
    <n v="0"/>
  </r>
  <r>
    <s v="DEP-A0-0144"/>
    <x v="0"/>
    <n v="37"/>
    <x v="1"/>
    <s v="Falda"/>
    <s v="Amarillo"/>
    <s v="Adidas"/>
    <s v="MER-A0-0144"/>
    <d v="2024-09-17T00:00:00"/>
    <x v="0"/>
    <n v="124.23"/>
    <n v="0.2"/>
    <n v="40.31"/>
    <x v="0"/>
    <s v="No"/>
    <d v="2024-09-17T00:00:00"/>
    <n v="0"/>
  </r>
  <r>
    <s v="DEP-A0-1691"/>
    <x v="0"/>
    <n v="58"/>
    <x v="1"/>
    <s v="Vestido"/>
    <s v="Verde"/>
    <s v="Zara"/>
    <s v="MER-A0-1691"/>
    <d v="2024-09-17T00:00:00"/>
    <x v="0"/>
    <n v="139.99"/>
    <n v="0.1"/>
    <n v="41.736000000000004"/>
    <x v="0"/>
    <s v="No"/>
    <d v="2024-09-17T00:00:00"/>
    <n v="0"/>
  </r>
  <r>
    <s v="DEP-A0-1945"/>
    <x v="1"/>
    <n v="44"/>
    <x v="1"/>
    <s v="Pantalón"/>
    <s v="Gris"/>
    <s v="Levis"/>
    <s v="MER-A0-1945"/>
    <d v="2024-09-18T00:00:00"/>
    <x v="0"/>
    <n v="49.92"/>
    <n v="0.2"/>
    <n v="42.05"/>
    <x v="0"/>
    <s v="No"/>
    <d v="2024-09-18T00:00:00"/>
    <n v="0"/>
  </r>
  <r>
    <s v="DEP-A0-3100"/>
    <x v="0"/>
    <n v="65"/>
    <x v="1"/>
    <s v="Chaqueta"/>
    <s v="Amarillo"/>
    <s v="Tommy"/>
    <s v="MER-A0-3100"/>
    <d v="2024-09-18T00:00:00"/>
    <x v="0"/>
    <n v="101.66"/>
    <n v="0.3"/>
    <n v="42.454999999999998"/>
    <x v="0"/>
    <s v="No"/>
    <d v="2024-09-18T00:00:00"/>
    <n v="0"/>
  </r>
  <r>
    <s v="DEP-A0-3344"/>
    <x v="1"/>
    <n v="41"/>
    <x v="1"/>
    <s v="Zapatos"/>
    <s v="Rojo"/>
    <s v="Tommy"/>
    <s v="MER-A0-3344"/>
    <d v="2024-09-18T00:00:00"/>
    <x v="0"/>
    <n v="139.49"/>
    <n v="0.2"/>
    <n v="42.939"/>
    <x v="0"/>
    <s v="No"/>
    <d v="2024-09-18T00:00:00"/>
    <n v="0"/>
  </r>
  <r>
    <s v="DEP-A0-3467"/>
    <x v="0"/>
    <n v="65"/>
    <x v="1"/>
    <s v="Falda"/>
    <s v="Negro"/>
    <s v="Adidas"/>
    <s v="MER-A0-3467"/>
    <d v="2024-09-19T00:00:00"/>
    <x v="0"/>
    <n v="72.97"/>
    <n v="0.3"/>
    <n v="43.826999999999998"/>
    <x v="0"/>
    <s v="No"/>
    <d v="2024-09-19T00:00:00"/>
    <n v="0"/>
  </r>
  <r>
    <s v="DEP-A0-1600"/>
    <x v="0"/>
    <n v="47"/>
    <x v="1"/>
    <s v="Blusa"/>
    <s v="Rojo"/>
    <s v="Nike"/>
    <s v="MER-A0-1600"/>
    <d v="2024-09-23T00:00:00"/>
    <x v="0"/>
    <n v="77.45"/>
    <n v="0"/>
    <n v="51.701999999999998"/>
    <x v="0"/>
    <s v="No"/>
    <d v="2024-09-23T00:00:00"/>
    <n v="0"/>
  </r>
  <r>
    <s v="DEP-A0-1354"/>
    <x v="0"/>
    <n v="55"/>
    <x v="1"/>
    <s v="Vestido"/>
    <s v="Blanco"/>
    <s v="Tommy"/>
    <s v="MER-A0-1354"/>
    <d v="2024-09-25T00:00:00"/>
    <x v="0"/>
    <n v="85.6"/>
    <n v="0.2"/>
    <n v="53.25"/>
    <x v="0"/>
    <s v="No"/>
    <d v="2024-09-25T00:00:00"/>
    <n v="0"/>
  </r>
  <r>
    <s v="DEP-A0-3819"/>
    <x v="0"/>
    <n v="45"/>
    <x v="1"/>
    <s v="Vestido"/>
    <s v="Negro"/>
    <s v="Tommy"/>
    <s v="MER-A0-3819"/>
    <d v="2024-09-25T00:00:00"/>
    <x v="0"/>
    <n v="124.41"/>
    <n v="0.2"/>
    <n v="53.271000000000001"/>
    <x v="0"/>
    <s v="No"/>
    <d v="2024-09-25T00:00:00"/>
    <n v="0"/>
  </r>
  <r>
    <s v="DEP-A0-3643"/>
    <x v="0"/>
    <n v="38"/>
    <x v="1"/>
    <s v="Zapatos"/>
    <s v="Gris"/>
    <s v="Mango"/>
    <s v="MER-A0-3643"/>
    <d v="2024-09-26T00:00:00"/>
    <x v="0"/>
    <n v="54.74"/>
    <n v="0.1"/>
    <n v="60.263000000000005"/>
    <x v="0"/>
    <s v="No"/>
    <d v="2024-09-26T00:00:00"/>
    <n v="0"/>
  </r>
  <r>
    <s v="DEP-A0-3422"/>
    <x v="0"/>
    <n v="52"/>
    <x v="1"/>
    <s v="Blusa"/>
    <s v="Gris"/>
    <s v="Zara"/>
    <s v="MER-A0-3422"/>
    <d v="2024-09-27T00:00:00"/>
    <x v="0"/>
    <n v="131.69999999999999"/>
    <n v="0.2"/>
    <n v="60.655999999999992"/>
    <x v="0"/>
    <s v="No"/>
    <d v="2024-09-27T00:00:00"/>
    <n v="0"/>
  </r>
  <r>
    <s v="DEP-A0-3845"/>
    <x v="0"/>
    <n v="56"/>
    <x v="1"/>
    <s v="Blusa"/>
    <s v="Negro"/>
    <s v="Puma"/>
    <s v="MER-A0-3845"/>
    <d v="2024-09-29T00:00:00"/>
    <x v="0"/>
    <n v="125.69"/>
    <n v="0.1"/>
    <n v="62.846999999999994"/>
    <x v="0"/>
    <s v="No"/>
    <d v="2024-09-29T00:00:00"/>
    <n v="0"/>
  </r>
  <r>
    <s v="DEP-A0-0234"/>
    <x v="0"/>
    <n v="42"/>
    <x v="1"/>
    <s v="Chaqueta"/>
    <s v="Verde"/>
    <s v="Levis"/>
    <s v="MER-A0-0234"/>
    <d v="2024-10-01T00:00:00"/>
    <x v="0"/>
    <n v="75.319999999999993"/>
    <n v="0.2"/>
    <n v="63.65"/>
    <x v="0"/>
    <s v="No"/>
    <d v="2024-10-01T00:00:00"/>
    <n v="0"/>
  </r>
  <r>
    <s v="DEP-A0-2920"/>
    <x v="1"/>
    <n v="42"/>
    <x v="1"/>
    <s v="Zapatos"/>
    <s v="Gris"/>
    <s v="Tommy"/>
    <s v="MER-A0-2920"/>
    <d v="2024-10-02T00:00:00"/>
    <x v="0"/>
    <n v="54.94"/>
    <n v="0.2"/>
    <n v="66.819999999999993"/>
    <x v="0"/>
    <s v="No"/>
    <d v="2024-10-02T00:00:00"/>
    <n v="0"/>
  </r>
  <r>
    <s v="DEP-A0-4478"/>
    <x v="0"/>
    <n v="65"/>
    <x v="1"/>
    <s v="Vestido"/>
    <s v="Azul"/>
    <s v="Nike"/>
    <s v="MER-A0-4478"/>
    <d v="2024-10-02T00:00:00"/>
    <x v="0"/>
    <n v="167.33"/>
    <n v="0.2"/>
    <n v="67.290000000000006"/>
    <x v="0"/>
    <s v="No"/>
    <d v="2024-10-02T00:00:00"/>
    <n v="0"/>
  </r>
  <r>
    <s v="DEP-A0-4139"/>
    <x v="0"/>
    <n v="65"/>
    <x v="1"/>
    <s v="Pantalón"/>
    <s v="Rojo"/>
    <s v="Adidas"/>
    <s v="MER-A0-4139"/>
    <d v="2024-10-03T00:00:00"/>
    <x v="0"/>
    <n v="102.28"/>
    <n v="0.2"/>
    <n v="67.42"/>
    <x v="0"/>
    <s v="No"/>
    <d v="2024-10-03T00:00:00"/>
    <n v="0"/>
  </r>
  <r>
    <s v="DEP-A0-1163"/>
    <x v="0"/>
    <n v="49"/>
    <x v="1"/>
    <s v="Falda"/>
    <s v="Gris"/>
    <s v="Levis"/>
    <s v="MER-A0-1163"/>
    <d v="2024-10-03T00:00:00"/>
    <x v="0"/>
    <n v="131.72999999999999"/>
    <n v="0.2"/>
    <n v="69.606000000000009"/>
    <x v="0"/>
    <s v="No"/>
    <d v="2024-10-03T00:00:00"/>
    <n v="0"/>
  </r>
  <r>
    <s v="DEP-A0-0060"/>
    <x v="1"/>
    <n v="60"/>
    <x v="1"/>
    <s v="Pantalón"/>
    <s v="Blanco"/>
    <s v="Zara"/>
    <s v="MER-A0-0060"/>
    <d v="2024-10-03T00:00:00"/>
    <x v="0"/>
    <n v="146.87"/>
    <n v="0.2"/>
    <n v="70.65100000000001"/>
    <x v="0"/>
    <s v="No"/>
    <d v="2024-10-03T00:00:00"/>
    <n v="0"/>
  </r>
  <r>
    <s v="DEP-A0-4824"/>
    <x v="0"/>
    <n v="58"/>
    <x v="1"/>
    <s v="Pantalón"/>
    <s v="Rojo"/>
    <s v="Tommy"/>
    <s v="MER-A0-4824"/>
    <d v="2024-10-04T00:00:00"/>
    <x v="0"/>
    <n v="160.12"/>
    <n v="0.3"/>
    <n v="71.024000000000001"/>
    <x v="0"/>
    <s v="No"/>
    <d v="2024-10-04T00:00:00"/>
    <n v="0"/>
  </r>
  <r>
    <s v="DEP-A0-2527"/>
    <x v="1"/>
    <n v="42"/>
    <x v="1"/>
    <s v="Camisa"/>
    <s v="Blanco"/>
    <s v="Puma"/>
    <s v="MER-A0-2527"/>
    <d v="2024-10-04T00:00:00"/>
    <x v="0"/>
    <n v="162.04"/>
    <n v="0"/>
    <n v="72.989999999999995"/>
    <x v="0"/>
    <s v="No"/>
    <d v="2024-10-04T00:00:00"/>
    <n v="0"/>
  </r>
  <r>
    <s v="DEP-A0-0993"/>
    <x v="0"/>
    <n v="43"/>
    <x v="1"/>
    <s v="Blusa"/>
    <s v="Verde"/>
    <s v="Adidas"/>
    <s v="MER-A0-0993"/>
    <d v="2024-10-05T00:00:00"/>
    <x v="0"/>
    <n v="60.32"/>
    <n v="0.1"/>
    <n v="73.611000000000004"/>
    <x v="0"/>
    <s v="No"/>
    <d v="2024-10-05T00:00:00"/>
    <n v="0"/>
  </r>
  <r>
    <s v="DEP-A0-1266"/>
    <x v="0"/>
    <n v="40"/>
    <x v="1"/>
    <s v="Blusa"/>
    <s v="Amarillo"/>
    <s v="Nike"/>
    <s v="MER-A0-1266"/>
    <d v="2024-10-06T00:00:00"/>
    <x v="0"/>
    <n v="91.7"/>
    <n v="0.3"/>
    <n v="75.33"/>
    <x v="0"/>
    <s v="No"/>
    <d v="2024-10-06T00:00:00"/>
    <n v="0"/>
  </r>
  <r>
    <s v="DEP-A0-4993"/>
    <x v="1"/>
    <n v="62"/>
    <x v="1"/>
    <s v="Pantalón"/>
    <s v="Verde"/>
    <s v="Mango"/>
    <s v="MER-A0-4993"/>
    <d v="2024-10-06T00:00:00"/>
    <x v="0"/>
    <n v="112.02"/>
    <n v="0"/>
    <n v="75.545999999999992"/>
    <x v="0"/>
    <s v="No"/>
    <d v="2024-10-06T00:00:00"/>
    <n v="0"/>
  </r>
  <r>
    <s v="DEP-A0-0973"/>
    <x v="0"/>
    <n v="46"/>
    <x v="1"/>
    <s v="Falda"/>
    <s v="Azul"/>
    <s v="Adidas"/>
    <s v="MER-A0-0973"/>
    <d v="2024-10-06T00:00:00"/>
    <x v="0"/>
    <n v="131.52000000000001"/>
    <n v="0.1"/>
    <n v="77.661000000000001"/>
    <x v="0"/>
    <s v="No"/>
    <d v="2024-10-06T00:00:00"/>
    <n v="0"/>
  </r>
  <r>
    <s v="DEP-A0-2554"/>
    <x v="0"/>
    <n v="45"/>
    <x v="1"/>
    <s v="Pantalón"/>
    <s v="Amarillo"/>
    <s v="Puma"/>
    <s v="MER-A0-2554"/>
    <d v="2024-10-06T00:00:00"/>
    <x v="0"/>
    <n v="197.63"/>
    <n v="0.1"/>
    <n v="77.697000000000003"/>
    <x v="0"/>
    <s v="No"/>
    <d v="2024-10-06T00:00:00"/>
    <n v="0"/>
  </r>
  <r>
    <s v="DEP-A0-2279"/>
    <x v="1"/>
    <n v="53"/>
    <x v="1"/>
    <s v="Chaqueta"/>
    <s v="Amarillo"/>
    <s v="Mango"/>
    <s v="MER-A0-2279"/>
    <d v="2024-10-07T00:00:00"/>
    <x v="0"/>
    <n v="33.81"/>
    <n v="0.3"/>
    <n v="78.063999999999993"/>
    <x v="0"/>
    <s v="No"/>
    <d v="2024-10-07T00:00:00"/>
    <n v="0"/>
  </r>
  <r>
    <s v="DEP-A0-1650"/>
    <x v="0"/>
    <n v="64"/>
    <x v="1"/>
    <s v="Chaqueta"/>
    <s v="Blanco"/>
    <s v="Levis"/>
    <s v="MER-A0-1650"/>
    <d v="2024-10-07T00:00:00"/>
    <x v="0"/>
    <n v="43.4"/>
    <n v="0.2"/>
    <n v="79.2"/>
    <x v="0"/>
    <s v="No"/>
    <d v="2024-10-07T00:00:00"/>
    <n v="0"/>
  </r>
  <r>
    <s v="DEP-A0-1208"/>
    <x v="0"/>
    <n v="58"/>
    <x v="1"/>
    <s v="Chaqueta"/>
    <s v="Negro"/>
    <s v="Tommy"/>
    <s v="MER-A0-1208"/>
    <d v="2024-10-07T00:00:00"/>
    <x v="0"/>
    <n v="112.67"/>
    <n v="0"/>
    <n v="81.018000000000001"/>
    <x v="0"/>
    <s v="No"/>
    <d v="2024-10-07T00:00:00"/>
    <n v="0"/>
  </r>
  <r>
    <s v="DEP-A0-2135"/>
    <x v="1"/>
    <n v="58"/>
    <x v="1"/>
    <s v="Pantalón"/>
    <s v="Azul"/>
    <s v="Mango"/>
    <s v="MER-A0-2135"/>
    <d v="2024-10-07T00:00:00"/>
    <x v="0"/>
    <n v="147.62"/>
    <n v="0"/>
    <n v="81.099000000000004"/>
    <x v="0"/>
    <s v="No"/>
    <d v="2024-10-07T00:00:00"/>
    <n v="0"/>
  </r>
  <r>
    <s v="DEP-A0-0536"/>
    <x v="0"/>
    <n v="42"/>
    <x v="1"/>
    <s v="Vestido"/>
    <s v="Blanco"/>
    <s v="Mango"/>
    <s v="MER-A0-0536"/>
    <d v="2024-10-08T00:00:00"/>
    <x v="0"/>
    <n v="26.75"/>
    <n v="0.2"/>
    <n v="82.287000000000006"/>
    <x v="0"/>
    <s v="No"/>
    <d v="2024-10-08T00:00:00"/>
    <n v="0"/>
  </r>
  <r>
    <s v="DEP-A0-2377"/>
    <x v="0"/>
    <n v="45"/>
    <x v="1"/>
    <s v="Chaqueta"/>
    <s v="Azul"/>
    <s v="Mango"/>
    <s v="MER-A0-2377"/>
    <d v="2024-10-08T00:00:00"/>
    <x v="0"/>
    <n v="139.49"/>
    <n v="0.2"/>
    <n v="82.53"/>
    <x v="0"/>
    <s v="No"/>
    <d v="2024-10-08T00:00:00"/>
    <n v="0"/>
  </r>
  <r>
    <s v="DEP-A0-1406"/>
    <x v="0"/>
    <n v="51"/>
    <x v="1"/>
    <s v="Blusa"/>
    <s v="Gris"/>
    <s v="Tommy"/>
    <s v="MER-A0-1406"/>
    <d v="2024-10-09T00:00:00"/>
    <x v="0"/>
    <n v="115.32"/>
    <n v="0"/>
    <n v="87.14"/>
    <x v="0"/>
    <s v="No"/>
    <d v="2024-10-09T00:00:00"/>
    <n v="0"/>
  </r>
  <r>
    <s v="DEP-A0-1143"/>
    <x v="1"/>
    <n v="36"/>
    <x v="1"/>
    <s v="Chaqueta"/>
    <s v="Negro"/>
    <s v="Nike"/>
    <s v="MER-A0-1143"/>
    <d v="2024-10-10T00:00:00"/>
    <x v="0"/>
    <n v="169.41"/>
    <n v="0.2"/>
    <n v="88.173000000000002"/>
    <x v="0"/>
    <s v="No"/>
    <d v="2024-10-10T00:00:00"/>
    <n v="0"/>
  </r>
  <r>
    <s v="DEP-A0-4583"/>
    <x v="0"/>
    <n v="63"/>
    <x v="1"/>
    <s v="Vestido"/>
    <s v="Blanco"/>
    <s v="Nike"/>
    <s v="MER-A0-4583"/>
    <d v="2024-10-10T00:00:00"/>
    <x v="0"/>
    <n v="194.6"/>
    <n v="0.1"/>
    <n v="88.75"/>
    <x v="0"/>
    <s v="No"/>
    <d v="2024-10-10T00:00:00"/>
    <n v="0"/>
  </r>
  <r>
    <s v="DEP-A0-2138"/>
    <x v="0"/>
    <n v="52"/>
    <x v="1"/>
    <s v="Falda"/>
    <s v="Blanco"/>
    <s v="Mango"/>
    <s v="MER-A0-2138"/>
    <d v="2024-10-11T00:00:00"/>
    <x v="0"/>
    <n v="196.88"/>
    <n v="0"/>
    <n v="89.676000000000002"/>
    <x v="0"/>
    <s v="No"/>
    <d v="2024-10-11T00:00:00"/>
    <n v="0"/>
  </r>
  <r>
    <s v="DEP-A0-3746"/>
    <x v="1"/>
    <n v="56"/>
    <x v="1"/>
    <s v="Camisa"/>
    <s v="Amarillo"/>
    <s v="Zara"/>
    <s v="MER-A0-3746"/>
    <d v="2024-10-12T00:00:00"/>
    <x v="0"/>
    <n v="31.6"/>
    <n v="0.2"/>
    <n v="90.384"/>
    <x v="0"/>
    <s v="No"/>
    <d v="2024-10-12T00:00:00"/>
    <n v="0"/>
  </r>
  <r>
    <s v="DEP-A0-4871"/>
    <x v="1"/>
    <n v="37"/>
    <x v="1"/>
    <s v="Camisa"/>
    <s v="Gris"/>
    <s v="Zara"/>
    <s v="MER-A0-4871"/>
    <d v="2024-10-12T00:00:00"/>
    <x v="0"/>
    <n v="103.05"/>
    <n v="0.2"/>
    <n v="91.584000000000003"/>
    <x v="0"/>
    <s v="No"/>
    <d v="2024-10-12T00:00:00"/>
    <n v="0"/>
  </r>
  <r>
    <s v="DEP-A0-2683"/>
    <x v="0"/>
    <n v="41"/>
    <x v="1"/>
    <s v="Pantalón"/>
    <s v="Verde"/>
    <s v="Puma"/>
    <s v="MER-A0-2683"/>
    <d v="2024-10-13T00:00:00"/>
    <x v="0"/>
    <n v="12.03"/>
    <n v="0.1"/>
    <n v="92.050000000000011"/>
    <x v="0"/>
    <s v="No"/>
    <d v="2024-10-13T00:00:00"/>
    <n v="0"/>
  </r>
  <r>
    <s v="DEP-A0-3388"/>
    <x v="0"/>
    <n v="39"/>
    <x v="1"/>
    <s v="Blusa"/>
    <s v="Rojo"/>
    <s v="Zara"/>
    <s v="MER-A0-3388"/>
    <d v="2024-10-13T00:00:00"/>
    <x v="0"/>
    <n v="183.26"/>
    <n v="0"/>
    <n v="92.241"/>
    <x v="0"/>
    <s v="No"/>
    <d v="2024-10-13T00:00:00"/>
    <n v="0"/>
  </r>
  <r>
    <s v="DEP-A0-0362"/>
    <x v="0"/>
    <n v="61"/>
    <x v="1"/>
    <s v="Vestido"/>
    <s v="Blanco"/>
    <s v="Puma"/>
    <s v="MER-A0-0362"/>
    <d v="2024-10-17T00:00:00"/>
    <x v="0"/>
    <n v="67.37"/>
    <n v="0"/>
    <n v="96.823999999999998"/>
    <x v="0"/>
    <s v="No"/>
    <d v="2024-10-17T00:00:00"/>
    <n v="0"/>
  </r>
  <r>
    <s v="DEP-A0-0606"/>
    <x v="0"/>
    <n v="39"/>
    <x v="1"/>
    <s v="Vestido"/>
    <s v="Rojo"/>
    <s v="Zara"/>
    <s v="MER-A0-0606"/>
    <d v="2024-10-17T00:00:00"/>
    <x v="0"/>
    <n v="75.08"/>
    <n v="0.2"/>
    <n v="98.503999999999991"/>
    <x v="0"/>
    <s v="No"/>
    <d v="2024-10-17T00:00:00"/>
    <n v="0"/>
  </r>
  <r>
    <s v="DEP-A0-4964"/>
    <x v="0"/>
    <n v="45"/>
    <x v="1"/>
    <s v="Falda"/>
    <s v="Verde"/>
    <s v="Tommy"/>
    <s v="MER-A0-4964"/>
    <d v="2024-10-18T00:00:00"/>
    <x v="0"/>
    <n v="130.29"/>
    <n v="0"/>
    <n v="99.05"/>
    <x v="0"/>
    <s v="No"/>
    <d v="2024-10-18T00:00:00"/>
    <n v="0"/>
  </r>
  <r>
    <s v="DEP-A0-1939"/>
    <x v="0"/>
    <n v="36"/>
    <x v="1"/>
    <s v="Falda"/>
    <s v="Gris"/>
    <s v="Adidas"/>
    <s v="MER-A0-1939"/>
    <d v="2024-10-18T00:00:00"/>
    <x v="0"/>
    <n v="154.35"/>
    <n v="0"/>
    <n v="100.114"/>
    <x v="0"/>
    <s v="No"/>
    <d v="2024-10-18T00:00:00"/>
    <n v="0"/>
  </r>
  <r>
    <s v="DEP-A0-4118"/>
    <x v="1"/>
    <n v="38"/>
    <x v="1"/>
    <s v="Camisa"/>
    <s v="Amarillo"/>
    <s v="Mango"/>
    <s v="MER-A0-4118"/>
    <d v="2024-10-19T00:00:00"/>
    <x v="0"/>
    <n v="14.28"/>
    <n v="0.2"/>
    <n v="101.32"/>
    <x v="0"/>
    <s v="No"/>
    <d v="2024-10-19T00:00:00"/>
    <n v="0"/>
  </r>
  <r>
    <s v="DEP-A0-1161"/>
    <x v="1"/>
    <n v="44"/>
    <x v="1"/>
    <s v="Pantalón"/>
    <s v="Gris"/>
    <s v="Nike"/>
    <s v="MER-A0-1161"/>
    <d v="2024-10-19T00:00:00"/>
    <x v="0"/>
    <n v="78.14"/>
    <n v="0.1"/>
    <n v="101.72"/>
    <x v="0"/>
    <s v="No"/>
    <d v="2024-10-19T00:00:00"/>
    <n v="0"/>
  </r>
  <r>
    <s v="DEP-A0-4715"/>
    <x v="0"/>
    <n v="65"/>
    <x v="1"/>
    <s v="Zapatos"/>
    <s v="Verde"/>
    <s v="Tommy"/>
    <s v="MER-A0-4715"/>
    <d v="2024-10-19T00:00:00"/>
    <x v="0"/>
    <n v="195.98"/>
    <n v="0.1"/>
    <n v="103.64"/>
    <x v="0"/>
    <s v="No"/>
    <d v="2024-10-19T00:00:00"/>
    <n v="0"/>
  </r>
  <r>
    <s v="DEP-A0-2127"/>
    <x v="0"/>
    <n v="36"/>
    <x v="1"/>
    <s v="Blusa"/>
    <s v="Verde"/>
    <s v="Adidas"/>
    <s v="MER-A0-2127"/>
    <d v="2024-10-19T00:00:00"/>
    <x v="0"/>
    <n v="198.98"/>
    <n v="0"/>
    <n v="104.15"/>
    <x v="0"/>
    <s v="No"/>
    <d v="2024-10-19T00:00:00"/>
    <n v="0"/>
  </r>
  <r>
    <s v="DEP-A0-1320"/>
    <x v="0"/>
    <n v="64"/>
    <x v="1"/>
    <s v="Falda"/>
    <s v="Blanco"/>
    <s v="Tommy"/>
    <s v="MER-A0-1320"/>
    <d v="2024-10-20T00:00:00"/>
    <x v="0"/>
    <n v="162.97"/>
    <n v="0.1"/>
    <n v="106.8"/>
    <x v="0"/>
    <s v="No"/>
    <d v="2024-10-20T00:00:00"/>
    <n v="0"/>
  </r>
  <r>
    <s v="DEP-A0-3102"/>
    <x v="0"/>
    <n v="45"/>
    <x v="1"/>
    <s v="Vestido"/>
    <s v="Verde"/>
    <s v="Levis"/>
    <s v="MER-A0-3102"/>
    <d v="2024-10-20T00:00:00"/>
    <x v="0"/>
    <n v="191.33"/>
    <n v="0.2"/>
    <n v="107.03700000000001"/>
    <x v="0"/>
    <s v="No"/>
    <d v="2024-10-20T00:00:00"/>
    <n v="0"/>
  </r>
  <r>
    <s v="DEP-A0-0880"/>
    <x v="0"/>
    <n v="53"/>
    <x v="1"/>
    <s v="Zapatos"/>
    <s v="Azul"/>
    <s v="Tommy"/>
    <s v="MER-A0-0880"/>
    <d v="2024-10-21T00:00:00"/>
    <x v="0"/>
    <n v="10.050000000000001"/>
    <n v="0.1"/>
    <n v="108.26899999999999"/>
    <x v="0"/>
    <s v="No"/>
    <d v="2024-10-21T00:00:00"/>
    <n v="0"/>
  </r>
  <r>
    <s v="DEP-A0-3869"/>
    <x v="1"/>
    <n v="40"/>
    <x v="1"/>
    <s v="Camisa"/>
    <s v="Rojo"/>
    <s v="Puma"/>
    <s v="MER-A0-3869"/>
    <d v="2024-10-21T00:00:00"/>
    <x v="0"/>
    <n v="131.47"/>
    <n v="0"/>
    <n v="108.55"/>
    <x v="0"/>
    <s v="No"/>
    <d v="2024-10-21T00:00:00"/>
    <n v="0"/>
  </r>
  <r>
    <s v="DEP-A0-2154"/>
    <x v="1"/>
    <n v="58"/>
    <x v="1"/>
    <s v="Pantalón"/>
    <s v="Amarillo"/>
    <s v="Zara"/>
    <s v="MER-A0-2154"/>
    <d v="2024-10-21T00:00:00"/>
    <x v="0"/>
    <n v="162.22"/>
    <n v="0.3"/>
    <n v="110.38"/>
    <x v="0"/>
    <s v="No"/>
    <d v="2024-10-21T00:00:00"/>
    <n v="0"/>
  </r>
  <r>
    <s v="DEP-A0-0859"/>
    <x v="0"/>
    <n v="58"/>
    <x v="1"/>
    <s v="Blusa"/>
    <s v="Rojo"/>
    <s v="Mango"/>
    <s v="MER-A0-0859"/>
    <d v="2024-10-22T00:00:00"/>
    <x v="0"/>
    <n v="122.63"/>
    <n v="0"/>
    <n v="110.964"/>
    <x v="0"/>
    <s v="No"/>
    <d v="2024-10-22T00:00:00"/>
    <n v="0"/>
  </r>
  <r>
    <s v="DEP-A0-2955"/>
    <x v="1"/>
    <n v="38"/>
    <x v="1"/>
    <s v="Zapatos"/>
    <s v="Verde"/>
    <s v="Adidas"/>
    <s v="MER-A0-2955"/>
    <d v="2024-10-23T00:00:00"/>
    <x v="0"/>
    <n v="87.38"/>
    <n v="0.3"/>
    <n v="113.78"/>
    <x v="0"/>
    <s v="No"/>
    <d v="2024-10-23T00:00:00"/>
    <n v="0"/>
  </r>
  <r>
    <s v="DEP-A0-4465"/>
    <x v="0"/>
    <n v="63"/>
    <x v="1"/>
    <s v="Falda"/>
    <s v="Gris"/>
    <s v="Levis"/>
    <s v="MER-A0-4465"/>
    <d v="2024-10-23T00:00:00"/>
    <x v="0"/>
    <n v="99.55"/>
    <n v="0.3"/>
    <n v="113.816"/>
    <x v="0"/>
    <s v="No"/>
    <d v="2024-10-23T00:00:00"/>
    <n v="0"/>
  </r>
  <r>
    <s v="DEP-A0-1381"/>
    <x v="1"/>
    <n v="56"/>
    <x v="1"/>
    <s v="Camisa"/>
    <s v="Amarillo"/>
    <s v="Zara"/>
    <s v="MER-A0-1381"/>
    <d v="2024-10-23T00:00:00"/>
    <x v="0"/>
    <n v="119.35"/>
    <n v="0"/>
    <n v="115.38800000000001"/>
    <x v="0"/>
    <s v="No"/>
    <d v="2024-10-23T00:00:00"/>
    <n v="0"/>
  </r>
  <r>
    <s v="DEP-A0-4763"/>
    <x v="1"/>
    <n v="53"/>
    <x v="1"/>
    <s v="Pantalón"/>
    <s v="Amarillo"/>
    <s v="Mango"/>
    <s v="MER-A0-4763"/>
    <d v="2024-10-24T00:00:00"/>
    <x v="0"/>
    <n v="64.59"/>
    <n v="0.1"/>
    <n v="115.738"/>
    <x v="0"/>
    <s v="No"/>
    <d v="2024-10-24T00:00:00"/>
    <n v="0"/>
  </r>
  <r>
    <s v="DEP-A0-4646"/>
    <x v="1"/>
    <n v="58"/>
    <x v="1"/>
    <s v="Camisa"/>
    <s v="Amarillo"/>
    <s v="Adidas"/>
    <s v="MER-A0-4646"/>
    <d v="2024-10-24T00:00:00"/>
    <x v="0"/>
    <n v="92.51"/>
    <n v="0.1"/>
    <n v="116.00399999999999"/>
    <x v="0"/>
    <s v="No"/>
    <d v="2024-10-24T00:00:00"/>
    <n v="0"/>
  </r>
  <r>
    <s v="DEP-A0-0784"/>
    <x v="0"/>
    <n v="48"/>
    <x v="1"/>
    <s v="Blusa"/>
    <s v="Negro"/>
    <s v="Nike"/>
    <s v="MER-A0-0784"/>
    <d v="2024-10-25T00:00:00"/>
    <x v="0"/>
    <n v="20.91"/>
    <n v="0.3"/>
    <n v="116.04599999999999"/>
    <x v="0"/>
    <s v="No"/>
    <d v="2024-10-25T00:00:00"/>
    <n v="0"/>
  </r>
  <r>
    <s v="DEP-A0-0533"/>
    <x v="0"/>
    <n v="39"/>
    <x v="1"/>
    <s v="Camisa"/>
    <s v="Amarillo"/>
    <s v="Puma"/>
    <s v="MER-A0-0533"/>
    <d v="2024-10-25T00:00:00"/>
    <x v="0"/>
    <n v="139"/>
    <n v="0.1"/>
    <n v="116.256"/>
    <x v="0"/>
    <s v="No"/>
    <d v="2024-10-25T00:00:00"/>
    <n v="0"/>
  </r>
  <r>
    <s v="DEP-A0-0535"/>
    <x v="1"/>
    <n v="43"/>
    <x v="1"/>
    <s v="Zapatos"/>
    <s v="Blanco"/>
    <s v="Puma"/>
    <s v="MER-A0-0535"/>
    <d v="2024-10-25T00:00:00"/>
    <x v="0"/>
    <n v="180.11"/>
    <n v="0.2"/>
    <n v="116.33599999999998"/>
    <x v="0"/>
    <s v="No"/>
    <d v="2024-10-25T00:00:00"/>
    <n v="0"/>
  </r>
  <r>
    <s v="DEP-A0-2248"/>
    <x v="1"/>
    <n v="56"/>
    <x v="1"/>
    <s v="Chaqueta"/>
    <s v="Amarillo"/>
    <s v="Adidas"/>
    <s v="MER-A0-2248"/>
    <d v="2024-10-26T00:00:00"/>
    <x v="0"/>
    <n v="59.87"/>
    <n v="0"/>
    <n v="117.9"/>
    <x v="0"/>
    <s v="No"/>
    <d v="2024-10-26T00:00:00"/>
    <n v="0"/>
  </r>
  <r>
    <s v="DEP-A0-0691"/>
    <x v="1"/>
    <n v="38"/>
    <x v="1"/>
    <s v="Pantalón"/>
    <s v="Gris"/>
    <s v="Adidas"/>
    <s v="MER-A0-0691"/>
    <d v="2024-10-26T00:00:00"/>
    <x v="0"/>
    <n v="148.28"/>
    <n v="0.1"/>
    <n v="119.024"/>
    <x v="0"/>
    <s v="No"/>
    <d v="2024-10-26T00:00:00"/>
    <n v="0"/>
  </r>
  <r>
    <s v="DEP-A0-2777"/>
    <x v="0"/>
    <n v="37"/>
    <x v="1"/>
    <s v="Vestido"/>
    <s v="Verde"/>
    <s v="Zara"/>
    <s v="MER-A0-2777"/>
    <d v="2024-10-29T00:00:00"/>
    <x v="0"/>
    <n v="186.14"/>
    <n v="0.3"/>
    <n v="125.64000000000001"/>
    <x v="0"/>
    <s v="No"/>
    <d v="2024-10-29T00:00:00"/>
    <n v="0"/>
  </r>
  <r>
    <s v="DEP-A0-1904"/>
    <x v="0"/>
    <n v="38"/>
    <x v="1"/>
    <s v="Vestido"/>
    <s v="Rojo"/>
    <s v="Zara"/>
    <s v="MER-A0-1904"/>
    <d v="2024-10-31T00:00:00"/>
    <x v="0"/>
    <n v="24.48"/>
    <n v="0"/>
    <n v="125.78399999999999"/>
    <x v="0"/>
    <s v="No"/>
    <d v="2024-10-31T00:00:00"/>
    <n v="0"/>
  </r>
  <r>
    <s v="DEP-A0-4596"/>
    <x v="1"/>
    <n v="36"/>
    <x v="1"/>
    <s v="Chaqueta"/>
    <s v="Gris"/>
    <s v="Zara"/>
    <s v="MER-A0-4596"/>
    <d v="2024-10-31T00:00:00"/>
    <x v="0"/>
    <n v="49.55"/>
    <n v="0"/>
    <n v="128.02000000000001"/>
    <x v="0"/>
    <s v="No"/>
    <d v="2024-10-31T00:00:00"/>
    <n v="0"/>
  </r>
  <r>
    <s v="DEP-A0-0351"/>
    <x v="1"/>
    <n v="63"/>
    <x v="1"/>
    <s v="Pantalón"/>
    <s v="Negro"/>
    <s v="Tommy"/>
    <s v="MER-A0-0351"/>
    <d v="2024-10-31T00:00:00"/>
    <x v="0"/>
    <n v="131.34"/>
    <n v="0.1"/>
    <n v="128.06099999999998"/>
    <x v="0"/>
    <s v="No"/>
    <d v="2024-10-31T00:00:00"/>
    <n v="0"/>
  </r>
  <r>
    <s v="DEP-A0-0898"/>
    <x v="0"/>
    <n v="49"/>
    <x v="1"/>
    <s v="Falda"/>
    <s v="Blanco"/>
    <s v="Adidas"/>
    <s v="MER-A0-0898"/>
    <d v="2024-11-28T00:00:00"/>
    <x v="0"/>
    <n v="148.66"/>
    <n v="0.3"/>
    <n v="128.69499999999999"/>
    <x v="0"/>
    <s v="No"/>
    <d v="2024-07-01T00:00:00"/>
    <n v="0"/>
  </r>
  <r>
    <s v="DEP-A0-4101"/>
    <x v="0"/>
    <n v="64"/>
    <x v="1"/>
    <s v="Chaqueta"/>
    <s v="Azul"/>
    <s v="Puma"/>
    <s v="MER-A0-4101"/>
    <d v="2024-11-28T00:00:00"/>
    <x v="0"/>
    <n v="151.57"/>
    <n v="0.3"/>
    <n v="128.69999999999999"/>
    <x v="0"/>
    <s v="No"/>
    <d v="2024-07-01T00:00:00"/>
    <n v="0"/>
  </r>
  <r>
    <s v="DEP-A0-0045"/>
    <x v="0"/>
    <n v="45"/>
    <x v="1"/>
    <s v="Blusa"/>
    <s v="Rojo"/>
    <s v="Levis"/>
    <s v="MER-A0-0045"/>
    <d v="2024-11-28T00:00:00"/>
    <x v="0"/>
    <n v="189.15"/>
    <n v="0"/>
    <n v="128.97499999999999"/>
    <x v="0"/>
    <s v="No"/>
    <d v="2024-07-01T00:00:00"/>
    <n v="0"/>
  </r>
  <r>
    <s v="DEP-A0-2637"/>
    <x v="1"/>
    <n v="39"/>
    <x v="1"/>
    <s v="Pantalón"/>
    <s v="Azul"/>
    <s v="Puma"/>
    <s v="MER-A0-2637"/>
    <d v="2024-11-28T00:00:00"/>
    <x v="0"/>
    <n v="165.81"/>
    <n v="0"/>
    <n v="130.048"/>
    <x v="0"/>
    <s v="No"/>
    <d v="2024-07-04T00:00:00"/>
    <n v="0"/>
  </r>
  <r>
    <s v="DEP-A0-2196"/>
    <x v="0"/>
    <n v="60"/>
    <x v="1"/>
    <s v="Blusa"/>
    <s v="Azul"/>
    <s v="Puma"/>
    <s v="MER-A0-2196"/>
    <d v="2024-11-28T00:00:00"/>
    <x v="0"/>
    <n v="189.05"/>
    <n v="0.1"/>
    <n v="131.90100000000001"/>
    <x v="0"/>
    <s v="No"/>
    <d v="2024-07-04T00:00:00"/>
    <n v="0"/>
  </r>
  <r>
    <s v="DEP-A0-4890"/>
    <x v="0"/>
    <n v="39"/>
    <x v="1"/>
    <s v="Zapatos"/>
    <s v="Amarillo"/>
    <s v="Zara"/>
    <s v="MER-A0-4890"/>
    <d v="2024-11-28T00:00:00"/>
    <x v="0"/>
    <n v="31.99"/>
    <n v="0.3"/>
    <n v="132.02099999999999"/>
    <x v="0"/>
    <s v="No"/>
    <d v="2024-07-05T00:00:00"/>
    <n v="0"/>
  </r>
  <r>
    <s v="DEP-A0-3077"/>
    <x v="0"/>
    <n v="44"/>
    <x v="1"/>
    <s v="Pantalón"/>
    <s v="Amarillo"/>
    <s v="Adidas"/>
    <s v="MER-A0-3077"/>
    <d v="2024-11-28T00:00:00"/>
    <x v="0"/>
    <n v="51.64"/>
    <n v="0.2"/>
    <n v="135.66"/>
    <x v="0"/>
    <s v="No"/>
    <d v="2024-07-05T00:00:00"/>
    <n v="0"/>
  </r>
  <r>
    <s v="DEP-A0-2976"/>
    <x v="1"/>
    <n v="60"/>
    <x v="1"/>
    <s v="Pantalón"/>
    <s v="Gris"/>
    <s v="Levis"/>
    <s v="MER-A0-2976"/>
    <d v="2024-11-28T00:00:00"/>
    <x v="0"/>
    <n v="98.62"/>
    <n v="0.2"/>
    <n v="138.45600000000002"/>
    <x v="0"/>
    <s v="No"/>
    <d v="2024-07-09T00:00:00"/>
    <n v="0"/>
  </r>
  <r>
    <s v="DEP-A0-3895"/>
    <x v="0"/>
    <n v="39"/>
    <x v="1"/>
    <s v="Blusa"/>
    <s v="Amarillo"/>
    <s v="Adidas"/>
    <s v="MER-A0-3895"/>
    <d v="2024-11-28T00:00:00"/>
    <x v="0"/>
    <n v="107.12"/>
    <n v="0"/>
    <n v="141.46200000000002"/>
    <x v="0"/>
    <s v="No"/>
    <d v="2024-07-09T00:00:00"/>
    <n v="0"/>
  </r>
  <r>
    <s v="DEP-A0-3513"/>
    <x v="0"/>
    <n v="45"/>
    <x v="1"/>
    <s v="Chaqueta"/>
    <s v="Azul"/>
    <s v="Mango"/>
    <s v="MER-A0-3513"/>
    <d v="2024-11-28T00:00:00"/>
    <x v="0"/>
    <n v="86.36"/>
    <n v="0.3"/>
    <n v="141.786"/>
    <x v="0"/>
    <s v="No"/>
    <d v="2024-07-11T00:00:00"/>
    <n v="0"/>
  </r>
  <r>
    <s v="DEP-A0-1265"/>
    <x v="0"/>
    <n v="52"/>
    <x v="1"/>
    <s v="Falda"/>
    <s v="Verde"/>
    <s v="Puma"/>
    <s v="MER-A0-1265"/>
    <d v="2024-11-28T00:00:00"/>
    <x v="0"/>
    <n v="25.95"/>
    <n v="0.2"/>
    <n v="142.47999999999999"/>
    <x v="0"/>
    <s v="No"/>
    <d v="2024-07-13T00:00:00"/>
    <n v="0"/>
  </r>
  <r>
    <s v="DEP-A0-4734"/>
    <x v="1"/>
    <n v="55"/>
    <x v="1"/>
    <s v="Pantalón"/>
    <s v="Rojo"/>
    <s v="Nike"/>
    <s v="MER-A0-4734"/>
    <d v="2024-11-28T00:00:00"/>
    <x v="0"/>
    <n v="184.33"/>
    <n v="0"/>
    <n v="144.94999999999999"/>
    <x v="0"/>
    <s v="No"/>
    <d v="2024-07-13T00:00:00"/>
    <n v="0"/>
  </r>
  <r>
    <s v="DEP-A0-2163"/>
    <x v="0"/>
    <n v="62"/>
    <x v="1"/>
    <s v="Chaqueta"/>
    <s v="Gris"/>
    <s v="Mango"/>
    <s v="MER-A0-2163"/>
    <d v="2024-11-28T00:00:00"/>
    <x v="0"/>
    <n v="192.94"/>
    <n v="0"/>
    <n v="145.66400000000002"/>
    <x v="0"/>
    <s v="No"/>
    <d v="2024-07-13T00:00:00"/>
    <n v="0"/>
  </r>
  <r>
    <s v="DEP-A0-0861"/>
    <x v="1"/>
    <n v="49"/>
    <x v="1"/>
    <s v="Chaqueta"/>
    <s v="Blanco"/>
    <s v="Adidas"/>
    <s v="MER-A0-0861"/>
    <d v="2024-11-28T00:00:00"/>
    <x v="0"/>
    <n v="61.15"/>
    <n v="0.3"/>
    <n v="146.13300000000001"/>
    <x v="0"/>
    <s v="No"/>
    <d v="2024-07-14T00:00:00"/>
    <n v="0"/>
  </r>
  <r>
    <s v="DEP-A0-2898"/>
    <x v="1"/>
    <n v="61"/>
    <x v="1"/>
    <s v="Pantalón"/>
    <s v="Blanco"/>
    <s v="Nike"/>
    <s v="MER-A0-2898"/>
    <d v="2024-11-28T00:00:00"/>
    <x v="0"/>
    <n v="113.04"/>
    <n v="0"/>
    <n v="146.47"/>
    <x v="0"/>
    <s v="No"/>
    <d v="2024-07-15T00:00:00"/>
    <n v="0"/>
  </r>
  <r>
    <s v="DEP-A0-1674"/>
    <x v="1"/>
    <n v="47"/>
    <x v="1"/>
    <s v="Zapatos"/>
    <s v="Azul"/>
    <s v="Adidas"/>
    <s v="MER-A0-1674"/>
    <d v="2024-11-28T00:00:00"/>
    <x v="0"/>
    <n v="149.93"/>
    <n v="0.2"/>
    <n v="146.57"/>
    <x v="0"/>
    <s v="No"/>
    <d v="2024-07-15T00:00:00"/>
    <n v="0"/>
  </r>
  <r>
    <s v="DEP-A0-4486"/>
    <x v="0"/>
    <n v="38"/>
    <x v="1"/>
    <s v="Pantalón"/>
    <s v="Azul"/>
    <s v="Puma"/>
    <s v="MER-A0-4486"/>
    <d v="2024-11-28T00:00:00"/>
    <x v="0"/>
    <n v="183.36"/>
    <n v="0.3"/>
    <n v="146.58000000000001"/>
    <x v="0"/>
    <s v="No"/>
    <d v="2024-07-15T00:00:00"/>
    <n v="0"/>
  </r>
  <r>
    <s v="DEP-A0-4233"/>
    <x v="0"/>
    <n v="57"/>
    <x v="1"/>
    <s v="Blusa"/>
    <s v="Rojo"/>
    <s v="Adidas"/>
    <s v="MER-A0-4233"/>
    <d v="2024-11-28T00:00:00"/>
    <x v="0"/>
    <n v="153.21"/>
    <n v="0.1"/>
    <n v="151.72999999999999"/>
    <x v="0"/>
    <s v="No"/>
    <d v="2024-07-17T00:00:00"/>
    <n v="0"/>
  </r>
  <r>
    <s v="DEP-A0-0685"/>
    <x v="1"/>
    <n v="60"/>
    <x v="1"/>
    <s v="Zapatos"/>
    <s v="Rojo"/>
    <s v="Puma"/>
    <s v="MER-A0-0685"/>
    <d v="2024-11-28T00:00:00"/>
    <x v="0"/>
    <n v="66.099999999999994"/>
    <n v="0"/>
    <n v="153.60299999999998"/>
    <x v="0"/>
    <s v="No"/>
    <d v="2024-07-20T00:00:00"/>
    <n v="0"/>
  </r>
  <r>
    <s v="DEP-A0-3555"/>
    <x v="0"/>
    <n v="47"/>
    <x v="1"/>
    <s v="Vestido"/>
    <s v="Gris"/>
    <s v="Tommy"/>
    <s v="MER-A0-3555"/>
    <d v="2024-11-28T00:00:00"/>
    <x v="0"/>
    <n v="71.790000000000006"/>
    <n v="0.1"/>
    <n v="156.99600000000001"/>
    <x v="0"/>
    <s v="No"/>
    <d v="2024-07-22T00:00:00"/>
    <n v="0"/>
  </r>
  <r>
    <s v="DEP-A0-0484"/>
    <x v="0"/>
    <n v="59"/>
    <x v="1"/>
    <s v="Vestido"/>
    <s v="Verde"/>
    <s v="Mango"/>
    <s v="MER-A0-0484"/>
    <d v="2024-11-28T00:00:00"/>
    <x v="0"/>
    <n v="163.94"/>
    <n v="0.1"/>
    <n v="166.833"/>
    <x v="0"/>
    <s v="No"/>
    <d v="2024-07-27T00:00:00"/>
    <n v="0"/>
  </r>
  <r>
    <s v="DEP-A0-2922"/>
    <x v="0"/>
    <n v="49"/>
    <x v="1"/>
    <s v="Pantalón"/>
    <s v="Verde"/>
    <s v="Mango"/>
    <s v="MER-A0-2922"/>
    <d v="2024-11-22T00:00:00"/>
    <x v="0"/>
    <n v="157.41999999999999"/>
    <n v="0"/>
    <n v="171.98099999999999"/>
    <x v="0"/>
    <s v="No"/>
    <d v="2024-06-19T00:00:00"/>
    <n v="0"/>
  </r>
  <r>
    <s v="DEP-A0-4338"/>
    <x v="0"/>
    <n v="51"/>
    <x v="1"/>
    <s v="Camisa"/>
    <s v="Rojo"/>
    <s v="Adidas"/>
    <s v="MER-A0-4338"/>
    <d v="2024-11-22T00:00:00"/>
    <x v="0"/>
    <n v="167.79"/>
    <n v="0"/>
    <n v="176.49"/>
    <x v="0"/>
    <s v="No"/>
    <d v="2024-06-22T00:00:00"/>
    <n v="0"/>
  </r>
  <r>
    <s v="DEP-A0-4562"/>
    <x v="0"/>
    <n v="46"/>
    <x v="1"/>
    <s v="Falda"/>
    <s v="Amarillo"/>
    <s v="Mango"/>
    <s v="MER-A0-4562"/>
    <d v="2024-11-22T00:00:00"/>
    <x v="0"/>
    <n v="82.29"/>
    <n v="0.1"/>
    <n v="189.13"/>
    <x v="0"/>
    <s v="No"/>
    <d v="2024-06-25T00:00:00"/>
    <n v="0"/>
  </r>
  <r>
    <s v="DEP-A0-3603"/>
    <x v="0"/>
    <n v="58"/>
    <x v="1"/>
    <s v="Pantalón"/>
    <s v="Amarillo"/>
    <s v="Puma"/>
    <s v="MER-A0-3603"/>
    <d v="2024-11-22T00:00:00"/>
    <x v="0"/>
    <n v="99.61"/>
    <n v="0.1"/>
    <n v="193.84"/>
    <x v="0"/>
    <s v="No"/>
    <d v="2024-06-25T00:00:00"/>
    <n v="0"/>
  </r>
  <r>
    <s v="DEP-A0-1850"/>
    <x v="0"/>
    <n v="53"/>
    <x v="1"/>
    <s v="Blusa"/>
    <s v="Negro"/>
    <s v="Adidas"/>
    <s v="MER-A0-1850"/>
    <d v="2024-11-22T00:00:00"/>
    <x v="0"/>
    <n v="192.69"/>
    <n v="0.3"/>
    <n v="197.85"/>
    <x v="0"/>
    <s v="No"/>
    <d v="2024-06-25T00:00:00"/>
    <n v="0"/>
  </r>
  <r>
    <s v="DEP-A0-1493"/>
    <x v="1"/>
    <n v="57"/>
    <x v="1"/>
    <s v="Zapatos"/>
    <s v="Gris"/>
    <s v="Zara"/>
    <s v="MER-A0-1493"/>
    <d v="2024-11-22T00:00:00"/>
    <x v="0"/>
    <n v="16.57"/>
    <n v="0.3"/>
    <n v="10.584"/>
    <x v="0"/>
    <s v="No"/>
    <d v="2024-06-28T00:00:00"/>
    <n v="0"/>
  </r>
  <r>
    <s v="DEP-A0-0287"/>
    <x v="0"/>
    <n v="45"/>
    <x v="1"/>
    <s v="Blusa"/>
    <s v="Azul"/>
    <s v="Tommy"/>
    <s v="MER-A0-0287"/>
    <d v="2024-11-22T00:00:00"/>
    <x v="0"/>
    <n v="58.95"/>
    <n v="0.3"/>
    <n v="10.592000000000001"/>
    <x v="0"/>
    <s v="No"/>
    <d v="2024-06-28T00:00:00"/>
    <n v="0"/>
  </r>
  <r>
    <s v="DEP-A0-1228"/>
    <x v="0"/>
    <n v="58"/>
    <x v="1"/>
    <s v="Zapatos"/>
    <s v="Verde"/>
    <s v="Tommy"/>
    <s v="MER-A0-1228"/>
    <d v="2024-11-22T00:00:00"/>
    <x v="0"/>
    <n v="86.05"/>
    <n v="0"/>
    <n v="11.6"/>
    <x v="0"/>
    <s v="No"/>
    <d v="2024-06-28T00:00:00"/>
    <n v="0"/>
  </r>
  <r>
    <s v="DEP-A0-3524"/>
    <x v="0"/>
    <n v="63"/>
    <x v="1"/>
    <s v="Blusa"/>
    <s v="Azul"/>
    <s v="Tommy"/>
    <s v="MER-A0-3524"/>
    <d v="2024-11-28T00:00:00"/>
    <x v="0"/>
    <n v="134.99"/>
    <n v="0.1"/>
    <n v="13.062000000000001"/>
    <x v="0"/>
    <s v="No"/>
    <d v="2024-04-12T00:00:00"/>
    <n v="0"/>
  </r>
  <r>
    <s v="DEP-A0-1886"/>
    <x v="0"/>
    <n v="40"/>
    <x v="1"/>
    <s v="Blusa"/>
    <s v="Verde"/>
    <s v="Zara"/>
    <s v="MER-A0-1886"/>
    <d v="2024-11-28T00:00:00"/>
    <x v="0"/>
    <n v="74.39"/>
    <n v="0.3"/>
    <n v="14.322000000000001"/>
    <x v="0"/>
    <s v="No"/>
    <d v="2024-04-27T00:00:00"/>
    <n v="0"/>
  </r>
  <r>
    <s v="DEP-A0-3971"/>
    <x v="0"/>
    <n v="38"/>
    <x v="1"/>
    <s v="Vestido"/>
    <s v="Verde"/>
    <s v="Nike"/>
    <s v="MER-A0-3971"/>
    <d v="2024-11-28T00:00:00"/>
    <x v="0"/>
    <n v="106.71"/>
    <n v="0.3"/>
    <n v="14.749000000000001"/>
    <x v="0"/>
    <s v="No"/>
    <d v="2024-04-27T00:00:00"/>
    <n v="0"/>
  </r>
  <r>
    <s v="DEP-A0-4508"/>
    <x v="1"/>
    <n v="62"/>
    <x v="1"/>
    <s v="Pantalón"/>
    <s v="Blanco"/>
    <s v="Nike"/>
    <s v="MER-A0-4508"/>
    <d v="2024-11-28T00:00:00"/>
    <x v="0"/>
    <n v="36.01"/>
    <n v="0.2"/>
    <n v="14.85"/>
    <x v="0"/>
    <s v="No"/>
    <d v="2024-04-28T00:00:00"/>
    <n v="0"/>
  </r>
  <r>
    <s v="DEP-A0-1162"/>
    <x v="0"/>
    <n v="48"/>
    <x v="1"/>
    <s v="Blusa"/>
    <s v="Negro"/>
    <s v="Levis"/>
    <s v="MER-A0-1162"/>
    <d v="2024-11-01T00:00:00"/>
    <x v="0"/>
    <n v="38.57"/>
    <n v="0"/>
    <n v="16.73"/>
    <x v="0"/>
    <s v="No"/>
    <d v="2024-11-01T00:00:00"/>
    <n v="0"/>
  </r>
  <r>
    <s v="DEP-A0-1984"/>
    <x v="0"/>
    <n v="44"/>
    <x v="1"/>
    <s v="Camisa"/>
    <s v="Blanco"/>
    <s v="Tommy"/>
    <s v="MER-A0-1984"/>
    <d v="2024-11-01T00:00:00"/>
    <x v="0"/>
    <n v="189.58"/>
    <n v="0"/>
    <n v="18.605999999999998"/>
    <x v="0"/>
    <s v="No"/>
    <d v="2024-11-01T00:00:00"/>
    <n v="0"/>
  </r>
  <r>
    <s v="DEP-A0-3279"/>
    <x v="0"/>
    <n v="62"/>
    <x v="1"/>
    <s v="Falda"/>
    <s v="Rojo"/>
    <s v="Zara"/>
    <s v="MER-A0-3279"/>
    <d v="2024-11-03T00:00:00"/>
    <x v="0"/>
    <n v="42.41"/>
    <n v="0.3"/>
    <n v="18.648"/>
    <x v="0"/>
    <s v="No"/>
    <d v="2024-11-03T00:00:00"/>
    <n v="0"/>
  </r>
  <r>
    <s v="DEP-A0-4195"/>
    <x v="0"/>
    <n v="54"/>
    <x v="1"/>
    <s v="Vestido"/>
    <s v="Rojo"/>
    <s v="Zara"/>
    <s v="MER-A0-4195"/>
    <d v="2024-11-03T00:00:00"/>
    <x v="0"/>
    <n v="52.66"/>
    <n v="0.1"/>
    <n v="20.84"/>
    <x v="0"/>
    <s v="No"/>
    <d v="2024-11-03T00:00:00"/>
    <n v="0"/>
  </r>
  <r>
    <s v="DEP-A0-2716"/>
    <x v="1"/>
    <n v="49"/>
    <x v="1"/>
    <s v="Zapatos"/>
    <s v="Gris"/>
    <s v="Adidas"/>
    <s v="MER-A0-2716"/>
    <d v="2024-11-03T00:00:00"/>
    <x v="0"/>
    <n v="56.58"/>
    <n v="0.2"/>
    <n v="23.561999999999998"/>
    <x v="0"/>
    <s v="No"/>
    <d v="2024-11-03T00:00:00"/>
    <n v="0"/>
  </r>
  <r>
    <s v="DEP-A0-2187"/>
    <x v="1"/>
    <n v="45"/>
    <x v="1"/>
    <s v="Chaqueta"/>
    <s v="Gris"/>
    <s v="Adidas"/>
    <s v="MER-A0-2187"/>
    <d v="2024-11-03T00:00:00"/>
    <x v="0"/>
    <n v="63.41"/>
    <n v="0.3"/>
    <n v="23.610999999999997"/>
    <x v="0"/>
    <s v="No"/>
    <d v="2024-11-03T00:00:00"/>
    <n v="0"/>
  </r>
  <r>
    <s v="DEP-A0-2394"/>
    <x v="0"/>
    <n v="50"/>
    <x v="1"/>
    <s v="Blusa"/>
    <s v="Rojo"/>
    <s v="Nike"/>
    <s v="MER-A0-2394"/>
    <d v="2024-11-03T00:00:00"/>
    <x v="0"/>
    <n v="99.68"/>
    <n v="0.3"/>
    <n v="24.156999999999996"/>
    <x v="0"/>
    <s v="No"/>
    <d v="2024-11-03T00:00:00"/>
    <n v="0"/>
  </r>
  <r>
    <s v="DEP-A0-4910"/>
    <x v="0"/>
    <n v="58"/>
    <x v="1"/>
    <s v="Vestido"/>
    <s v="Amarillo"/>
    <s v="Mango"/>
    <s v="MER-A0-4910"/>
    <d v="2024-11-03T00:00:00"/>
    <x v="0"/>
    <n v="141.80000000000001"/>
    <n v="0.1"/>
    <n v="24.31"/>
    <x v="0"/>
    <s v="No"/>
    <d v="2024-11-03T00:00:00"/>
    <n v="0"/>
  </r>
  <r>
    <s v="DEP-A0-3271"/>
    <x v="1"/>
    <n v="61"/>
    <x v="1"/>
    <s v="Zapatos"/>
    <s v="Rojo"/>
    <s v="Tommy"/>
    <s v="MER-A0-3271"/>
    <d v="2024-11-03T00:00:00"/>
    <x v="0"/>
    <n v="149.63"/>
    <n v="0"/>
    <n v="24.57"/>
    <x v="0"/>
    <s v="No"/>
    <d v="2024-11-03T00:00:00"/>
    <n v="0"/>
  </r>
  <r>
    <s v="DEP-A0-4319"/>
    <x v="0"/>
    <n v="45"/>
    <x v="1"/>
    <s v="Chaqueta"/>
    <s v="Negro"/>
    <s v="Mango"/>
    <s v="MER-A0-4319"/>
    <d v="2024-11-04T00:00:00"/>
    <x v="0"/>
    <n v="51.74"/>
    <n v="0.2"/>
    <n v="27.3"/>
    <x v="0"/>
    <s v="No"/>
    <d v="2024-11-04T00:00:00"/>
    <n v="0"/>
  </r>
  <r>
    <s v="DEP-A0-4156"/>
    <x v="0"/>
    <n v="43"/>
    <x v="1"/>
    <s v="Falda"/>
    <s v="Negro"/>
    <s v="Levis"/>
    <s v="MER-A0-4156"/>
    <d v="2024-11-04T00:00:00"/>
    <x v="0"/>
    <n v="129.97999999999999"/>
    <n v="0.3"/>
    <n v="28.53"/>
    <x v="0"/>
    <s v="No"/>
    <d v="2024-11-04T00:00:00"/>
    <n v="0"/>
  </r>
  <r>
    <s v="DEP-A0-4831"/>
    <x v="0"/>
    <n v="38"/>
    <x v="1"/>
    <s v="Falda"/>
    <s v="Gris"/>
    <s v="Levis"/>
    <s v="MER-A0-4831"/>
    <d v="2024-11-05T00:00:00"/>
    <x v="0"/>
    <n v="187.02"/>
    <n v="0.1"/>
    <n v="29.904"/>
    <x v="0"/>
    <s v="No"/>
    <d v="2024-11-05T00:00:00"/>
    <n v="0"/>
  </r>
  <r>
    <s v="DEP-A0-2255"/>
    <x v="0"/>
    <n v="57"/>
    <x v="1"/>
    <s v="Vestido"/>
    <s v="Amarillo"/>
    <s v="Nike"/>
    <s v="MER-A0-2255"/>
    <d v="2024-11-06T00:00:00"/>
    <x v="0"/>
    <n v="162.37"/>
    <n v="0.2"/>
    <n v="31.213000000000001"/>
    <x v="0"/>
    <s v="No"/>
    <d v="2024-11-06T00:00:00"/>
    <n v="0"/>
  </r>
  <r>
    <s v="DEP-A0-2105"/>
    <x v="0"/>
    <n v="49"/>
    <x v="1"/>
    <s v="Vestido"/>
    <s v="Verde"/>
    <s v="Puma"/>
    <s v="MER-A0-2105"/>
    <d v="2024-11-07T00:00:00"/>
    <x v="0"/>
    <n v="50.19"/>
    <n v="0.1"/>
    <n v="31.24"/>
    <x v="0"/>
    <s v="No"/>
    <d v="2024-11-07T00:00:00"/>
    <n v="0"/>
  </r>
  <r>
    <s v="DEP-A0-1751"/>
    <x v="0"/>
    <n v="50"/>
    <x v="1"/>
    <s v="Vestido"/>
    <s v="Verde"/>
    <s v="Puma"/>
    <s v="MER-A0-1751"/>
    <d v="2024-11-07T00:00:00"/>
    <x v="0"/>
    <n v="183.5"/>
    <n v="0.3"/>
    <n v="31.83"/>
    <x v="0"/>
    <s v="No"/>
    <d v="2024-11-07T00:00:00"/>
    <n v="0"/>
  </r>
  <r>
    <s v="DEP-A0-2621"/>
    <x v="0"/>
    <n v="46"/>
    <x v="1"/>
    <s v="Vestido"/>
    <s v="Amarillo"/>
    <s v="Nike"/>
    <s v="MER-A0-2621"/>
    <d v="2024-11-07T00:00:00"/>
    <x v="0"/>
    <n v="183.98"/>
    <n v="0.1"/>
    <n v="33.621000000000002"/>
    <x v="0"/>
    <s v="No"/>
    <d v="2024-11-07T00:00:00"/>
    <n v="0"/>
  </r>
  <r>
    <s v="DEP-A0-3127"/>
    <x v="0"/>
    <n v="63"/>
    <x v="1"/>
    <s v="Chaqueta"/>
    <s v="Rojo"/>
    <s v="Levis"/>
    <s v="MER-A0-3127"/>
    <d v="2024-11-08T00:00:00"/>
    <x v="0"/>
    <n v="70.680000000000007"/>
    <n v="0.1"/>
    <n v="34.375999999999998"/>
    <x v="0"/>
    <s v="No"/>
    <d v="2024-11-08T00:00:00"/>
    <n v="0"/>
  </r>
  <r>
    <s v="DEP-A0-0911"/>
    <x v="0"/>
    <n v="61"/>
    <x v="1"/>
    <s v="Chaqueta"/>
    <s v="Gris"/>
    <s v="Levis"/>
    <s v="MER-A0-0911"/>
    <d v="2024-11-08T00:00:00"/>
    <x v="0"/>
    <n v="163.99"/>
    <n v="0.3"/>
    <n v="35.135999999999996"/>
    <x v="0"/>
    <s v="No"/>
    <d v="2024-11-08T00:00:00"/>
    <n v="0"/>
  </r>
  <r>
    <s v="DEP-A0-4162"/>
    <x v="0"/>
    <n v="64"/>
    <x v="1"/>
    <s v="Vestido"/>
    <s v="Gris"/>
    <s v="Puma"/>
    <s v="MER-A0-4162"/>
    <d v="2024-11-08T00:00:00"/>
    <x v="0"/>
    <n v="176.02"/>
    <n v="0"/>
    <n v="37.286999999999999"/>
    <x v="0"/>
    <s v="No"/>
    <d v="2024-11-08T00:00:00"/>
    <n v="0"/>
  </r>
  <r>
    <s v="DEP-A0-4822"/>
    <x v="0"/>
    <n v="53"/>
    <x v="1"/>
    <s v="Vestido"/>
    <s v="Azul"/>
    <s v="Levis"/>
    <s v="MER-A0-4822"/>
    <d v="2024-11-09T00:00:00"/>
    <x v="0"/>
    <n v="17.21"/>
    <n v="0.1"/>
    <n v="37.575000000000003"/>
    <x v="0"/>
    <s v="No"/>
    <d v="2024-11-09T00:00:00"/>
    <n v="0"/>
  </r>
  <r>
    <s v="DEP-A0-2123"/>
    <x v="1"/>
    <n v="59"/>
    <x v="1"/>
    <s v="Camisa"/>
    <s v="Amarillo"/>
    <s v="Nike"/>
    <s v="MER-A0-2123"/>
    <d v="2024-11-09T00:00:00"/>
    <x v="0"/>
    <n v="125.64"/>
    <n v="0.3"/>
    <n v="39.536000000000001"/>
    <x v="0"/>
    <s v="No"/>
    <d v="2024-11-09T00:00:00"/>
    <n v="0"/>
  </r>
  <r>
    <s v="DEP-A0-2353"/>
    <x v="0"/>
    <n v="54"/>
    <x v="1"/>
    <s v="Camisa"/>
    <s v="Negro"/>
    <s v="Tommy"/>
    <s v="MER-A0-2353"/>
    <d v="2024-11-10T00:00:00"/>
    <x v="0"/>
    <n v="75.319999999999993"/>
    <n v="0"/>
    <n v="40.527999999999999"/>
    <x v="0"/>
    <s v="No"/>
    <d v="2024-11-10T00:00:00"/>
    <n v="0"/>
  </r>
  <r>
    <s v="DEP-A0-0481"/>
    <x v="1"/>
    <n v="55"/>
    <x v="1"/>
    <s v="Pantalón"/>
    <s v="Verde"/>
    <s v="Puma"/>
    <s v="MER-A0-0481"/>
    <d v="2024-11-10T00:00:00"/>
    <x v="0"/>
    <n v="86.4"/>
    <n v="0.2"/>
    <n v="42.083999999999996"/>
    <x v="0"/>
    <s v="No"/>
    <d v="2024-11-10T00:00:00"/>
    <n v="0"/>
  </r>
  <r>
    <s v="DEP-A0-1371"/>
    <x v="1"/>
    <n v="53"/>
    <x v="1"/>
    <s v="Chaqueta"/>
    <s v="Rojo"/>
    <s v="Zara"/>
    <s v="MER-A0-1371"/>
    <d v="2024-11-12T00:00:00"/>
    <x v="0"/>
    <n v="93.93"/>
    <n v="0.2"/>
    <n v="43.2"/>
    <x v="0"/>
    <s v="No"/>
    <d v="2024-11-12T00:00:00"/>
    <n v="0"/>
  </r>
  <r>
    <s v="DEP-A0-4740"/>
    <x v="0"/>
    <n v="63"/>
    <x v="1"/>
    <s v="Falda"/>
    <s v="Rojo"/>
    <s v="Puma"/>
    <s v="MER-A0-4740"/>
    <d v="2024-11-12T00:00:00"/>
    <x v="0"/>
    <n v="188.2"/>
    <n v="0.1"/>
    <n v="45.02"/>
    <x v="0"/>
    <s v="No"/>
    <d v="2024-11-12T00:00:00"/>
    <n v="0"/>
  </r>
  <r>
    <s v="DEP-A0-0774"/>
    <x v="1"/>
    <n v="39"/>
    <x v="1"/>
    <s v="Chaqueta"/>
    <s v="Verde"/>
    <s v="Tommy"/>
    <s v="MER-A0-0774"/>
    <d v="2024-11-13T00:00:00"/>
    <x v="0"/>
    <n v="26.85"/>
    <n v="0.3"/>
    <n v="46.64"/>
    <x v="0"/>
    <s v="No"/>
    <d v="2024-11-13T00:00:00"/>
    <n v="0"/>
  </r>
  <r>
    <s v="DEP-A0-0701"/>
    <x v="0"/>
    <n v="43"/>
    <x v="1"/>
    <s v="Camisa"/>
    <s v="Verde"/>
    <s v="Nike"/>
    <s v="MER-A0-0701"/>
    <d v="2024-11-13T00:00:00"/>
    <x v="0"/>
    <n v="185.91"/>
    <n v="0.2"/>
    <n v="47.128"/>
    <x v="0"/>
    <s v="No"/>
    <d v="2024-11-13T00:00:00"/>
    <n v="0"/>
  </r>
  <r>
    <s v="DEP-A0-0254"/>
    <x v="1"/>
    <n v="54"/>
    <x v="1"/>
    <s v="Chaqueta"/>
    <s v="Amarillo"/>
    <s v="Tommy"/>
    <s v="MER-A0-0254"/>
    <d v="2024-11-14T00:00:00"/>
    <x v="0"/>
    <n v="180.01"/>
    <n v="0.1"/>
    <n v="49.670999999999999"/>
    <x v="0"/>
    <s v="No"/>
    <d v="2024-11-14T00:00:00"/>
    <n v="0"/>
  </r>
  <r>
    <s v="DEP-A0-3157"/>
    <x v="0"/>
    <n v="57"/>
    <x v="1"/>
    <s v="Blusa"/>
    <s v="Rojo"/>
    <s v="Nike"/>
    <s v="MER-A0-3157"/>
    <d v="2024-11-15T00:00:00"/>
    <x v="0"/>
    <n v="23.75"/>
    <n v="0"/>
    <n v="50.480000000000004"/>
    <x v="0"/>
    <s v="No"/>
    <d v="2024-11-15T00:00:00"/>
    <n v="0"/>
  </r>
  <r>
    <s v="DEP-A0-1865"/>
    <x v="1"/>
    <n v="61"/>
    <x v="1"/>
    <s v="Camisa"/>
    <s v="Amarillo"/>
    <s v="Nike"/>
    <s v="MER-A0-1865"/>
    <d v="2024-11-15T00:00:00"/>
    <x v="0"/>
    <n v="69.44"/>
    <n v="0"/>
    <n v="51.3"/>
    <x v="0"/>
    <s v="No"/>
    <d v="2024-11-15T00:00:00"/>
    <n v="0"/>
  </r>
  <r>
    <s v="DEP-A0-3875"/>
    <x v="1"/>
    <n v="53"/>
    <x v="1"/>
    <s v="Camisa"/>
    <s v="Negro"/>
    <s v="Adidas"/>
    <s v="MER-A0-3875"/>
    <d v="2024-11-15T00:00:00"/>
    <x v="0"/>
    <n v="112.41"/>
    <n v="0.3"/>
    <n v="53.072000000000003"/>
    <x v="0"/>
    <s v="No"/>
    <d v="2024-11-15T00:00:00"/>
    <n v="0"/>
  </r>
  <r>
    <s v="DEP-A0-4244"/>
    <x v="0"/>
    <n v="65"/>
    <x v="1"/>
    <s v="Blusa"/>
    <s v="Blanco"/>
    <s v="Puma"/>
    <s v="MER-A0-4244"/>
    <d v="2024-11-15T00:00:00"/>
    <x v="0"/>
    <n v="160.5"/>
    <n v="0.1"/>
    <n v="53.52"/>
    <x v="0"/>
    <s v="No"/>
    <d v="2024-11-15T00:00:00"/>
    <n v="0"/>
  </r>
  <r>
    <s v="DEP-A0-0747"/>
    <x v="1"/>
    <n v="39"/>
    <x v="1"/>
    <s v="Zapatos"/>
    <s v="Rojo"/>
    <s v="Adidas"/>
    <s v="MER-A0-0747"/>
    <d v="2024-11-16T00:00:00"/>
    <x v="0"/>
    <n v="14.52"/>
    <n v="0.2"/>
    <n v="53.963999999999999"/>
    <x v="0"/>
    <s v="No"/>
    <d v="2024-11-16T00:00:00"/>
    <n v="0"/>
  </r>
  <r>
    <s v="DEP-A0-4446"/>
    <x v="1"/>
    <n v="54"/>
    <x v="1"/>
    <s v="Zapatos"/>
    <s v="Negro"/>
    <s v="Nike"/>
    <s v="MER-A0-4446"/>
    <d v="2024-11-16T00:00:00"/>
    <x v="0"/>
    <n v="20.09"/>
    <n v="0"/>
    <n v="53.984000000000009"/>
    <x v="0"/>
    <s v="No"/>
    <d v="2024-11-16T00:00:00"/>
    <n v="0"/>
  </r>
  <r>
    <s v="DEP-A0-3883"/>
    <x v="0"/>
    <n v="56"/>
    <x v="1"/>
    <s v="Blusa"/>
    <s v="Rojo"/>
    <s v="Levis"/>
    <s v="MER-A0-3883"/>
    <d v="2024-11-16T00:00:00"/>
    <x v="0"/>
    <n v="92.16"/>
    <n v="0.3"/>
    <n v="54.125999999999998"/>
    <x v="0"/>
    <s v="No"/>
    <d v="2024-11-16T00:00:00"/>
    <n v="0"/>
  </r>
  <r>
    <s v="DEP-A0-4316"/>
    <x v="1"/>
    <n v="39"/>
    <x v="1"/>
    <s v="Zapatos"/>
    <s v="Gris"/>
    <s v="Zara"/>
    <s v="MER-A0-4316"/>
    <d v="2024-11-16T00:00:00"/>
    <x v="0"/>
    <n v="119.71"/>
    <n v="0.3"/>
    <n v="54.751999999999995"/>
    <x v="0"/>
    <s v="No"/>
    <d v="2024-11-16T00:00:00"/>
    <n v="0"/>
  </r>
  <r>
    <s v="DEP-A0-0304"/>
    <x v="0"/>
    <n v="58"/>
    <x v="1"/>
    <s v="Zapatos"/>
    <s v="Blanco"/>
    <s v="Zara"/>
    <s v="MER-A0-0304"/>
    <d v="2024-11-16T00:00:00"/>
    <x v="0"/>
    <n v="147.56"/>
    <n v="0"/>
    <n v="56.673000000000002"/>
    <x v="0"/>
    <s v="No"/>
    <d v="2024-11-16T00:00:00"/>
    <n v="0"/>
  </r>
  <r>
    <s v="DEP-A0-2703"/>
    <x v="1"/>
    <n v="55"/>
    <x v="1"/>
    <s v="Zapatos"/>
    <s v="Gris"/>
    <s v="Tommy"/>
    <s v="MER-A0-2703"/>
    <d v="2024-11-16T00:00:00"/>
    <x v="0"/>
    <n v="148.99"/>
    <n v="0"/>
    <n v="56.760000000000005"/>
    <x v="0"/>
    <s v="No"/>
    <d v="2024-11-16T00:00:00"/>
    <n v="0"/>
  </r>
  <r>
    <s v="DEP-A0-4232"/>
    <x v="0"/>
    <n v="64"/>
    <x v="1"/>
    <s v="Zapatos"/>
    <s v="Azul"/>
    <s v="Tommy"/>
    <s v="MER-A0-4232"/>
    <d v="2024-11-17T00:00:00"/>
    <x v="0"/>
    <n v="33.58"/>
    <n v="0.3"/>
    <n v="57.86"/>
    <x v="0"/>
    <s v="No"/>
    <d v="2024-11-17T00:00:00"/>
    <n v="0"/>
  </r>
  <r>
    <s v="DEP-A0-1911"/>
    <x v="0"/>
    <n v="62"/>
    <x v="1"/>
    <s v="Blusa"/>
    <s v="Negro"/>
    <s v="Mango"/>
    <s v="MER-A0-1911"/>
    <d v="2024-11-17T00:00:00"/>
    <x v="0"/>
    <n v="82.17"/>
    <n v="0.1"/>
    <n v="57.903999999999996"/>
    <x v="0"/>
    <s v="No"/>
    <d v="2024-11-17T00:00:00"/>
    <n v="0"/>
  </r>
  <r>
    <s v="DEP-A0-0134"/>
    <x v="1"/>
    <n v="61"/>
    <x v="1"/>
    <s v="Camisa"/>
    <s v="Verde"/>
    <s v="Levis"/>
    <s v="MER-A0-0134"/>
    <d v="2024-11-17T00:00:00"/>
    <x v="0"/>
    <n v="102.11"/>
    <n v="0.1"/>
    <n v="57.960000000000008"/>
    <x v="0"/>
    <s v="No"/>
    <d v="2024-11-17T00:00:00"/>
    <n v="0"/>
  </r>
  <r>
    <s v="DEP-A0-3934"/>
    <x v="0"/>
    <n v="46"/>
    <x v="1"/>
    <s v="Zapatos"/>
    <s v="Verde"/>
    <s v="Tommy"/>
    <s v="MER-A0-3934"/>
    <d v="2024-11-17T00:00:00"/>
    <x v="0"/>
    <n v="110.34"/>
    <n v="0.3"/>
    <n v="59.008000000000003"/>
    <x v="0"/>
    <s v="No"/>
    <d v="2024-11-17T00:00:00"/>
    <n v="0"/>
  </r>
  <r>
    <s v="DEP-A0-2140"/>
    <x v="0"/>
    <n v="46"/>
    <x v="1"/>
    <s v="Blusa"/>
    <s v="Negro"/>
    <s v="Adidas"/>
    <s v="MER-A0-2140"/>
    <d v="2024-11-18T00:00:00"/>
    <x v="0"/>
    <n v="78.540000000000006"/>
    <n v="0.1"/>
    <n v="59.823999999999998"/>
    <x v="0"/>
    <s v="No"/>
    <d v="2024-11-18T00:00:00"/>
    <n v="0"/>
  </r>
  <r>
    <s v="DEP-A0-0788"/>
    <x v="0"/>
    <n v="63"/>
    <x v="1"/>
    <s v="Chaqueta"/>
    <s v="Verde"/>
    <s v="Tommy"/>
    <s v="MER-A0-0788"/>
    <d v="2024-11-18T00:00:00"/>
    <x v="0"/>
    <n v="141.13"/>
    <n v="0.1"/>
    <n v="60.15100000000001"/>
    <x v="0"/>
    <s v="No"/>
    <d v="2024-11-18T00:00:00"/>
    <n v="0"/>
  </r>
  <r>
    <s v="DEP-A0-1575"/>
    <x v="1"/>
    <n v="39"/>
    <x v="1"/>
    <s v="Zapatos"/>
    <s v="Blanco"/>
    <s v="Mango"/>
    <s v="MER-A0-1575"/>
    <d v="2024-11-19T00:00:00"/>
    <x v="0"/>
    <n v="81.59"/>
    <n v="0.3"/>
    <n v="63.216999999999999"/>
    <x v="0"/>
    <s v="No"/>
    <d v="2024-11-19T00:00:00"/>
    <n v="0"/>
  </r>
  <r>
    <s v="DEP-A0-0778"/>
    <x v="0"/>
    <n v="38"/>
    <x v="1"/>
    <s v="Blusa"/>
    <s v="Negro"/>
    <s v="Zara"/>
    <s v="MER-A0-0778"/>
    <d v="2024-11-19T00:00:00"/>
    <x v="0"/>
    <n v="140.74"/>
    <n v="0.3"/>
    <n v="63.42"/>
    <x v="0"/>
    <s v="No"/>
    <d v="2024-11-19T00:00:00"/>
    <n v="0"/>
  </r>
  <r>
    <s v="DEP-A0-2958"/>
    <x v="0"/>
    <n v="56"/>
    <x v="1"/>
    <s v="Pantalón"/>
    <s v="Blanco"/>
    <s v="Levis"/>
    <s v="MER-A0-2958"/>
    <d v="2024-11-19T00:00:00"/>
    <x v="0"/>
    <n v="161.53"/>
    <n v="0.1"/>
    <n v="63.67"/>
    <x v="0"/>
    <s v="No"/>
    <d v="2024-11-19T00:00:00"/>
    <n v="0"/>
  </r>
  <r>
    <s v="DEP-A0-1396"/>
    <x v="1"/>
    <n v="54"/>
    <x v="1"/>
    <s v="Chaqueta"/>
    <s v="Rojo"/>
    <s v="Zara"/>
    <s v="MER-A0-1396"/>
    <d v="2024-11-21T00:00:00"/>
    <x v="0"/>
    <n v="35.19"/>
    <n v="0"/>
    <n v="67.122"/>
    <x v="0"/>
    <s v="No"/>
    <d v="2024-11-21T00:00:00"/>
    <n v="0"/>
  </r>
  <r>
    <s v="DEP-A0-4390"/>
    <x v="0"/>
    <n v="62"/>
    <x v="1"/>
    <s v="Pantalón"/>
    <s v="Gris"/>
    <s v="Tommy"/>
    <s v="MER-A0-4390"/>
    <d v="2024-11-21T00:00:00"/>
    <x v="0"/>
    <n v="127.54"/>
    <n v="0.2"/>
    <n v="67.391999999999996"/>
    <x v="0"/>
    <s v="No"/>
    <d v="2024-11-21T00:00:00"/>
    <n v="0"/>
  </r>
  <r>
    <s v="DEP-A0-4607"/>
    <x v="0"/>
    <n v="53"/>
    <x v="1"/>
    <s v="Zapatos"/>
    <s v="Amarillo"/>
    <s v="Zara"/>
    <s v="MER-A0-4607"/>
    <d v="2024-11-22T00:00:00"/>
    <x v="0"/>
    <n v="69.28"/>
    <n v="0"/>
    <n v="69.542999999999992"/>
    <x v="0"/>
    <s v="No"/>
    <d v="2024-11-22T00:00:00"/>
    <n v="0"/>
  </r>
  <r>
    <s v="DEP-A0-3452"/>
    <x v="1"/>
    <n v="45"/>
    <x v="1"/>
    <s v="Chaqueta"/>
    <s v="Blanco"/>
    <s v="Puma"/>
    <s v="MER-A0-3452"/>
    <d v="2024-11-22T00:00:00"/>
    <x v="0"/>
    <n v="71.010000000000005"/>
    <n v="0.2"/>
    <n v="69.67"/>
    <x v="0"/>
    <s v="No"/>
    <d v="2024-11-22T00:00:00"/>
    <n v="0"/>
  </r>
  <r>
    <s v="DEP-A0-0327"/>
    <x v="0"/>
    <n v="53"/>
    <x v="1"/>
    <s v="Camisa"/>
    <s v="Amarillo"/>
    <s v="Levis"/>
    <s v="MER-A0-0327"/>
    <d v="2024-11-22T00:00:00"/>
    <x v="0"/>
    <n v="88.51"/>
    <n v="0.2"/>
    <n v="70.408000000000001"/>
    <x v="0"/>
    <s v="No"/>
    <d v="2024-11-22T00:00:00"/>
    <n v="0"/>
  </r>
  <r>
    <s v="DEP-A0-2902"/>
    <x v="0"/>
    <n v="63"/>
    <x v="1"/>
    <s v="Vestido"/>
    <s v="Gris"/>
    <s v="Tommy"/>
    <s v="MER-A0-2902"/>
    <d v="2024-11-22T00:00:00"/>
    <x v="0"/>
    <n v="125.62"/>
    <n v="0.3"/>
    <n v="72.52"/>
    <x v="0"/>
    <s v="No"/>
    <d v="2024-11-22T00:00:00"/>
    <n v="0"/>
  </r>
  <r>
    <s v="DEP-A0-3402"/>
    <x v="0"/>
    <n v="45"/>
    <x v="1"/>
    <s v="Vestido"/>
    <s v="Verde"/>
    <s v="Puma"/>
    <s v="MER-A0-3402"/>
    <d v="2024-11-22T00:00:00"/>
    <x v="0"/>
    <n v="175.36"/>
    <n v="0.2"/>
    <n v="73.009999999999991"/>
    <x v="0"/>
    <s v="No"/>
    <d v="2024-11-22T00:00:00"/>
    <n v="0"/>
  </r>
  <r>
    <s v="DEP-A0-4177"/>
    <x v="1"/>
    <n v="59"/>
    <x v="1"/>
    <s v="Chaqueta"/>
    <s v="Verde"/>
    <s v="Mango"/>
    <s v="MER-A0-4177"/>
    <d v="2024-11-24T00:00:00"/>
    <x v="0"/>
    <n v="96.41"/>
    <n v="0.2"/>
    <n v="79.344999999999999"/>
    <x v="0"/>
    <s v="No"/>
    <d v="2024-11-24T00:00:00"/>
    <n v="0"/>
  </r>
  <r>
    <s v="DEP-A0-0538"/>
    <x v="0"/>
    <n v="60"/>
    <x v="1"/>
    <s v="Pantalón"/>
    <s v="Blanco"/>
    <s v="Puma"/>
    <s v="MER-A0-0538"/>
    <d v="2024-11-25T00:00:00"/>
    <x v="0"/>
    <n v="49.49"/>
    <n v="0.3"/>
    <n v="81.319000000000003"/>
    <x v="0"/>
    <s v="No"/>
    <d v="2024-11-25T00:00:00"/>
    <n v="0"/>
  </r>
  <r>
    <s v="DEP-A0-3633"/>
    <x v="0"/>
    <n v="59"/>
    <x v="1"/>
    <s v="Pantalón"/>
    <s v="Negro"/>
    <s v="Zara"/>
    <s v="MER-A0-3633"/>
    <d v="2024-11-25T00:00:00"/>
    <x v="0"/>
    <n v="158.18"/>
    <n v="0.3"/>
    <n v="81.536000000000001"/>
    <x v="0"/>
    <s v="No"/>
    <d v="2024-11-25T00:00:00"/>
    <n v="0"/>
  </r>
  <r>
    <s v="DEP-A0-2278"/>
    <x v="0"/>
    <n v="44"/>
    <x v="1"/>
    <s v="Chaqueta"/>
    <s v="Rojo"/>
    <s v="Tommy"/>
    <s v="MER-A0-2278"/>
    <d v="2024-11-25T00:00:00"/>
    <x v="0"/>
    <n v="196.19"/>
    <n v="0"/>
    <n v="81.61"/>
    <x v="0"/>
    <s v="No"/>
    <d v="2024-11-25T00:00:00"/>
    <n v="0"/>
  </r>
  <r>
    <s v="DEP-A0-4382"/>
    <x v="0"/>
    <n v="48"/>
    <x v="1"/>
    <s v="Falda"/>
    <s v="Negro"/>
    <s v="Puma"/>
    <s v="MER-A0-4382"/>
    <d v="2024-11-26T00:00:00"/>
    <x v="0"/>
    <n v="35.74"/>
    <n v="0.3"/>
    <n v="83.544000000000011"/>
    <x v="0"/>
    <s v="No"/>
    <d v="2024-11-26T00:00:00"/>
    <n v="0"/>
  </r>
  <r>
    <s v="DEP-A0-2254"/>
    <x v="0"/>
    <n v="39"/>
    <x v="1"/>
    <s v="Blusa"/>
    <s v="Blanco"/>
    <s v="Levis"/>
    <s v="MER-A0-2254"/>
    <d v="2024-11-26T00:00:00"/>
    <x v="0"/>
    <n v="194.29"/>
    <n v="0.1"/>
    <n v="84.1"/>
    <x v="0"/>
    <s v="No"/>
    <d v="2024-11-26T00:00:00"/>
    <n v="0"/>
  </r>
  <r>
    <s v="DEP-A0-0038"/>
    <x v="0"/>
    <n v="45"/>
    <x v="1"/>
    <s v="Pantalón"/>
    <s v="Verde"/>
    <s v="Mango"/>
    <s v="MER-A0-0038"/>
    <d v="2024-11-27T00:00:00"/>
    <x v="0"/>
    <n v="40.32"/>
    <n v="0.2"/>
    <n v="88.47"/>
    <x v="0"/>
    <s v="No"/>
    <d v="2024-11-27T00:00:00"/>
    <n v="0"/>
  </r>
  <r>
    <s v="DEP-A0-4921"/>
    <x v="1"/>
    <n v="54"/>
    <x v="1"/>
    <s v="Chaqueta"/>
    <s v="Rojo"/>
    <s v="Tommy"/>
    <s v="MER-A0-4921"/>
    <d v="2024-11-29T00:00:00"/>
    <x v="0"/>
    <n v="12.74"/>
    <n v="0.2"/>
    <n v="88.907000000000011"/>
    <x v="0"/>
    <s v="No"/>
    <d v="2024-11-29T00:00:00"/>
    <n v="0"/>
  </r>
  <r>
    <s v="DEP-A0-1346"/>
    <x v="0"/>
    <n v="37"/>
    <x v="1"/>
    <s v="Falda"/>
    <s v="Blanco"/>
    <s v="Puma"/>
    <s v="MER-A0-1346"/>
    <d v="2024-11-30T00:00:00"/>
    <x v="0"/>
    <n v="83.13"/>
    <n v="0"/>
    <n v="90.516999999999996"/>
    <x v="0"/>
    <s v="No"/>
    <d v="2024-11-30T00:00:00"/>
    <n v="0"/>
  </r>
  <r>
    <s v="DEP-A0-2607"/>
    <x v="0"/>
    <n v="65"/>
    <x v="1"/>
    <s v="Vestido"/>
    <s v="Negro"/>
    <s v="Puma"/>
    <s v="MER-A0-2607"/>
    <d v="2024-12-23T00:00:00"/>
    <x v="0"/>
    <n v="95.47"/>
    <n v="0"/>
    <n v="91.287999999999997"/>
    <x v="0"/>
    <s v="No"/>
    <d v="2024-01-01T00:00:00"/>
    <n v="0"/>
  </r>
  <r>
    <s v="DEP-A0-4090"/>
    <x v="0"/>
    <n v="36"/>
    <x v="1"/>
    <s v="Pantalón"/>
    <s v="Verde"/>
    <s v="Tommy"/>
    <s v="MER-A0-4090"/>
    <d v="2024-12-23T00:00:00"/>
    <x v="0"/>
    <n v="85.33"/>
    <n v="0.3"/>
    <n v="91.853999999999999"/>
    <x v="0"/>
    <s v="No"/>
    <d v="2024-01-02T00:00:00"/>
    <n v="0"/>
  </r>
  <r>
    <s v="DEP-A0-3186"/>
    <x v="0"/>
    <n v="40"/>
    <x v="1"/>
    <s v="Chaqueta"/>
    <s v="Azul"/>
    <s v="Zara"/>
    <s v="MER-A0-3186"/>
    <d v="2024-12-23T00:00:00"/>
    <x v="0"/>
    <n v="86.87"/>
    <n v="0.1"/>
    <n v="94.038000000000011"/>
    <x v="0"/>
    <s v="No"/>
    <d v="2024-01-02T00:00:00"/>
    <n v="0"/>
  </r>
  <r>
    <s v="DEP-A0-4307"/>
    <x v="0"/>
    <n v="52"/>
    <x v="1"/>
    <s v="Falda"/>
    <s v="Blanco"/>
    <s v="Puma"/>
    <s v="MER-A0-4307"/>
    <d v="2024-12-23T00:00:00"/>
    <x v="0"/>
    <n v="196.47"/>
    <n v="0.1"/>
    <n v="94.22"/>
    <x v="0"/>
    <s v="No"/>
    <d v="2024-01-02T00:00:00"/>
    <n v="0"/>
  </r>
  <r>
    <s v="DEP-A0-3353"/>
    <x v="1"/>
    <n v="43"/>
    <x v="1"/>
    <s v="Chaqueta"/>
    <s v="Negro"/>
    <s v="Tommy"/>
    <s v="MER-A0-3353"/>
    <d v="2024-12-23T00:00:00"/>
    <x v="0"/>
    <n v="65.81"/>
    <n v="0.2"/>
    <n v="95.36"/>
    <x v="0"/>
    <s v="No"/>
    <d v="2024-01-03T00:00:00"/>
    <n v="0"/>
  </r>
  <r>
    <s v="DEP-A0-0085"/>
    <x v="0"/>
    <n v="36"/>
    <x v="1"/>
    <s v="Falda"/>
    <s v="Negro"/>
    <s v="Adidas"/>
    <s v="MER-A0-0085"/>
    <d v="2024-12-23T00:00:00"/>
    <x v="0"/>
    <n v="84.4"/>
    <n v="0.2"/>
    <n v="97.391999999999996"/>
    <x v="0"/>
    <s v="No"/>
    <d v="2024-01-03T00:00:00"/>
    <n v="0"/>
  </r>
  <r>
    <s v="DEP-A0-1297"/>
    <x v="0"/>
    <n v="46"/>
    <x v="1"/>
    <s v="Vestido"/>
    <s v="Negro"/>
    <s v="Tommy"/>
    <s v="MER-A0-1297"/>
    <d v="2024-12-23T00:00:00"/>
    <x v="0"/>
    <n v="106.63"/>
    <n v="0.3"/>
    <n v="97.923000000000002"/>
    <x v="0"/>
    <s v="No"/>
    <d v="2024-01-03T00:00:00"/>
    <n v="0"/>
  </r>
  <r>
    <s v="DEP-A0-1932"/>
    <x v="0"/>
    <n v="46"/>
    <x v="1"/>
    <s v="Vestido"/>
    <s v="Verde"/>
    <s v="Nike"/>
    <s v="MER-A0-1932"/>
    <d v="2024-12-23T00:00:00"/>
    <x v="0"/>
    <n v="37.72"/>
    <n v="0.1"/>
    <n v="99.71"/>
    <x v="0"/>
    <s v="No"/>
    <d v="2024-01-06T00:00:00"/>
    <n v="0"/>
  </r>
  <r>
    <s v="DEP-A0-3992"/>
    <x v="1"/>
    <n v="37"/>
    <x v="1"/>
    <s v="Zapatos"/>
    <s v="Blanco"/>
    <s v="Levis"/>
    <s v="MER-A0-3992"/>
    <d v="2024-12-23T00:00:00"/>
    <x v="0"/>
    <n v="119.34"/>
    <n v="0.3"/>
    <n v="99.816000000000003"/>
    <x v="0"/>
    <s v="No"/>
    <d v="2024-01-06T00:00:00"/>
    <n v="0"/>
  </r>
  <r>
    <s v="DEP-A0-0020"/>
    <x v="0"/>
    <n v="62"/>
    <x v="1"/>
    <s v="Falda"/>
    <s v="Amarillo"/>
    <s v="Levis"/>
    <s v="MER-A0-0020"/>
    <d v="2024-12-23T00:00:00"/>
    <x v="0"/>
    <n v="111.33"/>
    <n v="0.1"/>
    <n v="99.869"/>
    <x v="0"/>
    <s v="No"/>
    <d v="2024-01-07T00:00:00"/>
    <n v="0"/>
  </r>
  <r>
    <s v="DEP-A0-4665"/>
    <x v="0"/>
    <n v="41"/>
    <x v="1"/>
    <s v="Falda"/>
    <s v="Verde"/>
    <s v="Levis"/>
    <s v="MER-A0-4665"/>
    <d v="2024-12-23T00:00:00"/>
    <x v="0"/>
    <n v="19.32"/>
    <n v="0.3"/>
    <n v="101.49300000000001"/>
    <x v="0"/>
    <s v="No"/>
    <d v="2024-01-10T00:00:00"/>
    <n v="0"/>
  </r>
  <r>
    <s v="DEP-A0-4396"/>
    <x v="0"/>
    <n v="48"/>
    <x v="1"/>
    <s v="Blusa"/>
    <s v="Rojo"/>
    <s v="Zara"/>
    <s v="MER-A0-4396"/>
    <d v="2024-12-23T00:00:00"/>
    <x v="0"/>
    <n v="119.64"/>
    <n v="0.2"/>
    <n v="102.08"/>
    <x v="0"/>
    <s v="No"/>
    <d v="2024-01-10T00:00:00"/>
    <n v="0"/>
  </r>
  <r>
    <s v="DEP-A0-1414"/>
    <x v="0"/>
    <n v="49"/>
    <x v="1"/>
    <s v="Blusa"/>
    <s v="Negro"/>
    <s v="Adidas"/>
    <s v="MER-A0-1414"/>
    <d v="2024-12-23T00:00:00"/>
    <x v="0"/>
    <n v="108.89"/>
    <n v="0.1"/>
    <n v="103.959"/>
    <x v="0"/>
    <s v="No"/>
    <d v="2024-01-11T00:00:00"/>
    <n v="0"/>
  </r>
  <r>
    <s v="DEP-A0-3393"/>
    <x v="0"/>
    <n v="45"/>
    <x v="1"/>
    <s v="Blusa"/>
    <s v="Azul"/>
    <s v="Nike"/>
    <s v="MER-A0-3393"/>
    <d v="2024-12-23T00:00:00"/>
    <x v="0"/>
    <n v="189.09"/>
    <n v="0.2"/>
    <n v="104.70600000000002"/>
    <x v="0"/>
    <s v="No"/>
    <d v="2024-01-11T00:00:00"/>
    <n v="0"/>
  </r>
  <r>
    <s v="DEP-A0-1983"/>
    <x v="0"/>
    <n v="52"/>
    <x v="1"/>
    <s v="Falda"/>
    <s v="Rojo"/>
    <s v="Zara"/>
    <s v="MER-A0-1983"/>
    <d v="2024-12-23T00:00:00"/>
    <x v="0"/>
    <n v="190.66"/>
    <n v="0.1"/>
    <n v="104.94"/>
    <x v="0"/>
    <s v="No"/>
    <d v="2024-01-11T00:00:00"/>
    <n v="0"/>
  </r>
  <r>
    <s v="DEP-A0-3659"/>
    <x v="0"/>
    <n v="57"/>
    <x v="1"/>
    <s v="Pantalón"/>
    <s v="Rojo"/>
    <s v="Adidas"/>
    <s v="MER-A0-3659"/>
    <d v="2024-12-23T00:00:00"/>
    <x v="0"/>
    <n v="30.91"/>
    <n v="0.2"/>
    <n v="105.91200000000001"/>
    <x v="0"/>
    <s v="No"/>
    <d v="2024-01-12T00:00:00"/>
    <n v="0"/>
  </r>
  <r>
    <s v="DEP-A0-2286"/>
    <x v="0"/>
    <n v="47"/>
    <x v="1"/>
    <s v="Camisa"/>
    <s v="Rojo"/>
    <s v="Zara"/>
    <s v="MER-A0-2286"/>
    <d v="2024-12-23T00:00:00"/>
    <x v="0"/>
    <n v="81.239999999999995"/>
    <n v="0.2"/>
    <n v="106.52"/>
    <x v="0"/>
    <s v="No"/>
    <d v="2024-01-12T00:00:00"/>
    <n v="0"/>
  </r>
  <r>
    <s v="DEP-A0-1112"/>
    <x v="0"/>
    <n v="36"/>
    <x v="1"/>
    <s v="Blusa"/>
    <s v="Amarillo"/>
    <s v="Tommy"/>
    <s v="MER-A0-1112"/>
    <d v="2024-12-23T00:00:00"/>
    <x v="0"/>
    <n v="170.96"/>
    <n v="0.3"/>
    <n v="107.53"/>
    <x v="0"/>
    <s v="No"/>
    <d v="2024-01-13T00:00:00"/>
    <n v="0"/>
  </r>
  <r>
    <s v="DEP-A0-2397"/>
    <x v="0"/>
    <n v="40"/>
    <x v="1"/>
    <s v="Chaqueta"/>
    <s v="Amarillo"/>
    <s v="Tommy"/>
    <s v="MER-A0-2397"/>
    <d v="2024-12-23T00:00:00"/>
    <x v="0"/>
    <n v="177.71"/>
    <n v="0.3"/>
    <n v="107.559"/>
    <x v="0"/>
    <s v="No"/>
    <d v="2024-01-13T00:00:00"/>
    <n v="0"/>
  </r>
  <r>
    <s v="DEP-A0-2696"/>
    <x v="0"/>
    <n v="39"/>
    <x v="1"/>
    <s v="Falda"/>
    <s v="Gris"/>
    <s v="Adidas"/>
    <s v="MER-A0-2696"/>
    <d v="2024-12-23T00:00:00"/>
    <x v="0"/>
    <n v="57.54"/>
    <n v="0.1"/>
    <n v="110.733"/>
    <x v="0"/>
    <s v="No"/>
    <d v="2024-01-14T00:00:00"/>
    <n v="0"/>
  </r>
  <r>
    <s v="DEP-A0-4102"/>
    <x v="0"/>
    <n v="56"/>
    <x v="1"/>
    <s v="Falda"/>
    <s v="Rojo"/>
    <s v="Puma"/>
    <s v="MER-A0-4102"/>
    <d v="2024-12-23T00:00:00"/>
    <x v="0"/>
    <n v="29.31"/>
    <n v="0"/>
    <n v="111.01"/>
    <x v="0"/>
    <s v="No"/>
    <d v="2024-01-15T00:00:00"/>
    <n v="0"/>
  </r>
  <r>
    <s v="DEP-A0-2165"/>
    <x v="0"/>
    <n v="41"/>
    <x v="1"/>
    <s v="Zapatos"/>
    <s v="Amarillo"/>
    <s v="Tommy"/>
    <s v="MER-A0-2165"/>
    <d v="2024-12-23T00:00:00"/>
    <x v="0"/>
    <n v="32.65"/>
    <n v="0.1"/>
    <n v="111.517"/>
    <x v="0"/>
    <s v="No"/>
    <d v="2024-01-15T00:00:00"/>
    <n v="0"/>
  </r>
  <r>
    <s v="DEP-A0-3487"/>
    <x v="1"/>
    <n v="50"/>
    <x v="1"/>
    <s v="Chaqueta"/>
    <s v="Gris"/>
    <s v="Mango"/>
    <s v="MER-A0-3487"/>
    <d v="2024-12-23T00:00:00"/>
    <x v="0"/>
    <n v="35.340000000000003"/>
    <n v="0"/>
    <n v="112.021"/>
    <x v="0"/>
    <s v="No"/>
    <d v="2024-01-15T00:00:00"/>
    <n v="0"/>
  </r>
  <r>
    <s v="DEP-A0-1871"/>
    <x v="0"/>
    <n v="63"/>
    <x v="1"/>
    <s v="Falda"/>
    <s v="Verde"/>
    <s v="Adidas"/>
    <s v="MER-A0-1871"/>
    <d v="2024-12-23T00:00:00"/>
    <x v="0"/>
    <n v="142.88"/>
    <n v="0"/>
    <n v="112.78"/>
    <x v="0"/>
    <s v="No"/>
    <d v="2024-01-15T00:00:00"/>
    <n v="0"/>
  </r>
  <r>
    <s v="DEP-A0-0848"/>
    <x v="1"/>
    <n v="54"/>
    <x v="1"/>
    <s v="Camisa"/>
    <s v="Azul"/>
    <s v="Tommy"/>
    <s v="MER-A0-0848"/>
    <d v="2024-12-02T00:00:00"/>
    <x v="0"/>
    <n v="115.64"/>
    <n v="0"/>
    <n v="114.34400000000001"/>
    <x v="0"/>
    <s v="No"/>
    <d v="2024-12-02T00:00:00"/>
    <n v="0"/>
  </r>
  <r>
    <s v="DEP-A0-4843"/>
    <x v="0"/>
    <n v="64"/>
    <x v="1"/>
    <s v="Blusa"/>
    <s v="Azul"/>
    <s v="Nike"/>
    <s v="MER-A0-4843"/>
    <d v="2024-12-03T00:00:00"/>
    <x v="0"/>
    <n v="38.83"/>
    <n v="0.3"/>
    <n v="114.56800000000001"/>
    <x v="0"/>
    <s v="No"/>
    <d v="2024-12-03T00:00:00"/>
    <n v="0"/>
  </r>
  <r>
    <s v="DEP-A0-2738"/>
    <x v="0"/>
    <n v="59"/>
    <x v="1"/>
    <s v="Vestido"/>
    <s v="Rojo"/>
    <s v="Zara"/>
    <s v="MER-A0-2738"/>
    <d v="2024-12-03T00:00:00"/>
    <x v="0"/>
    <n v="161.46"/>
    <n v="0.3"/>
    <n v="117.229"/>
    <x v="0"/>
    <s v="No"/>
    <d v="2024-12-03T00:00:00"/>
    <n v="0"/>
  </r>
  <r>
    <s v="DEP-A0-2026"/>
    <x v="1"/>
    <n v="59"/>
    <x v="1"/>
    <s v="Camisa"/>
    <s v="Negro"/>
    <s v="Nike"/>
    <s v="MER-A0-2026"/>
    <d v="2024-12-04T00:00:00"/>
    <x v="0"/>
    <n v="126.05"/>
    <n v="0.3"/>
    <n v="119.82600000000001"/>
    <x v="0"/>
    <s v="No"/>
    <d v="2024-12-04T00:00:00"/>
    <n v="0"/>
  </r>
  <r>
    <s v="DEP-A0-3480"/>
    <x v="1"/>
    <n v="52"/>
    <x v="1"/>
    <s v="Chaqueta"/>
    <s v="Verde"/>
    <s v="Nike"/>
    <s v="MER-A0-3480"/>
    <d v="2024-12-04T00:00:00"/>
    <x v="0"/>
    <n v="170.29"/>
    <n v="0.2"/>
    <n v="119.99"/>
    <x v="0"/>
    <s v="No"/>
    <d v="2024-12-04T00:00:00"/>
    <n v="0"/>
  </r>
  <r>
    <s v="DEP-A0-4484"/>
    <x v="0"/>
    <n v="46"/>
    <x v="1"/>
    <s v="Camisa"/>
    <s v="Azul"/>
    <s v="Puma"/>
    <s v="MER-A0-4484"/>
    <d v="2024-12-04T00:00:00"/>
    <x v="0"/>
    <n v="176.95"/>
    <n v="0.1"/>
    <n v="120.996"/>
    <x v="0"/>
    <s v="No"/>
    <d v="2024-12-04T00:00:00"/>
    <n v="0"/>
  </r>
  <r>
    <s v="DEP-A0-3879"/>
    <x v="0"/>
    <n v="52"/>
    <x v="1"/>
    <s v="Vestido"/>
    <s v="Gris"/>
    <s v="Puma"/>
    <s v="MER-A0-3879"/>
    <d v="2024-12-06T00:00:00"/>
    <x v="0"/>
    <n v="29.79"/>
    <n v="0.3"/>
    <n v="121.28800000000001"/>
    <x v="0"/>
    <s v="No"/>
    <d v="2024-12-06T00:00:00"/>
    <n v="0"/>
  </r>
  <r>
    <s v="DEP-A0-2879"/>
    <x v="0"/>
    <n v="60"/>
    <x v="1"/>
    <s v="Chaqueta"/>
    <s v="Amarillo"/>
    <s v="Tommy"/>
    <s v="MER-A0-2879"/>
    <d v="2024-12-06T00:00:00"/>
    <x v="0"/>
    <n v="120.1"/>
    <n v="0.1"/>
    <n v="121.45"/>
    <x v="0"/>
    <s v="No"/>
    <d v="2024-12-06T00:00:00"/>
    <n v="0"/>
  </r>
  <r>
    <s v="DEP-A0-2701"/>
    <x v="1"/>
    <n v="55"/>
    <x v="1"/>
    <s v="Camisa"/>
    <s v="Azul"/>
    <s v="Nike"/>
    <s v="MER-A0-2701"/>
    <d v="2024-12-06T00:00:00"/>
    <x v="0"/>
    <n v="161.69999999999999"/>
    <n v="0.3"/>
    <n v="122.79399999999998"/>
    <x v="0"/>
    <s v="No"/>
    <d v="2024-12-06T00:00:00"/>
    <n v="0"/>
  </r>
  <r>
    <s v="DEP-A0-2460"/>
    <x v="0"/>
    <n v="43"/>
    <x v="1"/>
    <s v="Blusa"/>
    <s v="Verde"/>
    <s v="Zara"/>
    <s v="MER-A0-2460"/>
    <d v="2024-12-07T00:00:00"/>
    <x v="0"/>
    <n v="162.15"/>
    <n v="0"/>
    <n v="123.928"/>
    <x v="0"/>
    <s v="No"/>
    <d v="2024-12-07T00:00:00"/>
    <n v="0"/>
  </r>
  <r>
    <s v="DEP-A0-1914"/>
    <x v="0"/>
    <n v="43"/>
    <x v="1"/>
    <s v="Falda"/>
    <s v="Azul"/>
    <s v="Levis"/>
    <s v="MER-A0-1914"/>
    <d v="2024-12-08T00:00:00"/>
    <x v="0"/>
    <n v="118.57"/>
    <n v="0.2"/>
    <n v="124.67999999999999"/>
    <x v="0"/>
    <s v="No"/>
    <d v="2024-12-08T00:00:00"/>
    <n v="0"/>
  </r>
  <r>
    <s v="DEP-A0-1721"/>
    <x v="0"/>
    <n v="38"/>
    <x v="1"/>
    <s v="Vestido"/>
    <s v="Amarillo"/>
    <s v="Zara"/>
    <s v="MER-A0-1721"/>
    <d v="2024-12-08T00:00:00"/>
    <x v="0"/>
    <n v="143.01"/>
    <n v="0.3"/>
    <n v="125.52000000000001"/>
    <x v="0"/>
    <s v="No"/>
    <d v="2024-12-08T00:00:00"/>
    <n v="0"/>
  </r>
  <r>
    <s v="DEP-A0-3872"/>
    <x v="0"/>
    <n v="61"/>
    <x v="1"/>
    <s v="Vestido"/>
    <s v="Blanco"/>
    <s v="Zara"/>
    <s v="MER-A0-3872"/>
    <d v="2024-12-09T00:00:00"/>
    <x v="0"/>
    <n v="23.35"/>
    <n v="0.1"/>
    <n v="126.504"/>
    <x v="0"/>
    <s v="No"/>
    <d v="2024-12-09T00:00:00"/>
    <n v="0"/>
  </r>
  <r>
    <s v="DEP-A0-3492"/>
    <x v="0"/>
    <n v="65"/>
    <x v="1"/>
    <s v="Falda"/>
    <s v="Gris"/>
    <s v="Adidas"/>
    <s v="MER-A0-3492"/>
    <d v="2024-12-09T00:00:00"/>
    <x v="0"/>
    <n v="82.73"/>
    <n v="0.1"/>
    <n v="126.60900000000001"/>
    <x v="0"/>
    <s v="No"/>
    <d v="2024-12-09T00:00:00"/>
    <n v="0"/>
  </r>
  <r>
    <s v="DEP-A0-4886"/>
    <x v="0"/>
    <n v="64"/>
    <x v="1"/>
    <s v="Vestido"/>
    <s v="Blanco"/>
    <s v="Tommy"/>
    <s v="MER-A0-4886"/>
    <d v="2024-12-10T00:00:00"/>
    <x v="0"/>
    <n v="97.77"/>
    <n v="0.1"/>
    <n v="128.47200000000001"/>
    <x v="0"/>
    <s v="No"/>
    <d v="2024-12-10T00:00:00"/>
    <n v="0"/>
  </r>
  <r>
    <s v="DEP-A0-2217"/>
    <x v="0"/>
    <n v="55"/>
    <x v="1"/>
    <s v="Falda"/>
    <s v="Amarillo"/>
    <s v="Nike"/>
    <s v="MER-A0-2217"/>
    <d v="2024-12-11T00:00:00"/>
    <x v="0"/>
    <n v="47.02"/>
    <n v="0.1"/>
    <n v="129.822"/>
    <x v="0"/>
    <s v="No"/>
    <d v="2024-12-11T00:00:00"/>
    <n v="0"/>
  </r>
  <r>
    <s v="DEP-A0-2737"/>
    <x v="0"/>
    <n v="62"/>
    <x v="1"/>
    <s v="Zapatos"/>
    <s v="Verde"/>
    <s v="Tommy"/>
    <s v="MER-A0-2737"/>
    <d v="2024-12-11T00:00:00"/>
    <x v="0"/>
    <n v="159.69"/>
    <n v="0.3"/>
    <n v="130.88"/>
    <x v="0"/>
    <s v="No"/>
    <d v="2024-12-11T00:00:00"/>
    <n v="0"/>
  </r>
  <r>
    <s v="DEP-A0-1677"/>
    <x v="0"/>
    <n v="57"/>
    <x v="1"/>
    <s v="Vestido"/>
    <s v="Verde"/>
    <s v="Levis"/>
    <s v="MER-A0-1677"/>
    <d v="2024-12-11T00:00:00"/>
    <x v="0"/>
    <n v="193.6"/>
    <n v="0.3"/>
    <n v="132.77699999999999"/>
    <x v="0"/>
    <s v="No"/>
    <d v="2024-12-11T00:00:00"/>
    <n v="0"/>
  </r>
  <r>
    <s v="DEP-A0-2978"/>
    <x v="1"/>
    <n v="48"/>
    <x v="1"/>
    <s v="Pantalón"/>
    <s v="Blanco"/>
    <s v="Mango"/>
    <s v="MER-A0-2978"/>
    <d v="2024-12-12T00:00:00"/>
    <x v="0"/>
    <n v="50.63"/>
    <n v="0.1"/>
    <n v="134.51900000000001"/>
    <x v="0"/>
    <s v="No"/>
    <d v="2024-12-12T00:00:00"/>
    <n v="0"/>
  </r>
  <r>
    <s v="DEP-A0-2429"/>
    <x v="1"/>
    <n v="49"/>
    <x v="1"/>
    <s v="Camisa"/>
    <s v="Azul"/>
    <s v="Levis"/>
    <s v="MER-A0-2429"/>
    <d v="2024-12-12T00:00:00"/>
    <x v="0"/>
    <n v="71.790000000000006"/>
    <n v="0"/>
    <n v="135.12"/>
    <x v="0"/>
    <s v="No"/>
    <d v="2024-12-12T00:00:00"/>
    <n v="0"/>
  </r>
  <r>
    <s v="DEP-A0-0368"/>
    <x v="0"/>
    <n v="43"/>
    <x v="1"/>
    <s v="Falda"/>
    <s v="Rojo"/>
    <s v="Adidas"/>
    <s v="MER-A0-0368"/>
    <d v="2024-12-12T00:00:00"/>
    <x v="0"/>
    <n v="135.69"/>
    <n v="0"/>
    <n v="135.464"/>
    <x v="0"/>
    <s v="No"/>
    <d v="2024-12-12T00:00:00"/>
    <n v="0"/>
  </r>
  <r>
    <s v="DEP-A0-4723"/>
    <x v="0"/>
    <n v="51"/>
    <x v="1"/>
    <s v="Chaqueta"/>
    <s v="Verde"/>
    <s v="Adidas"/>
    <s v="MER-A0-4723"/>
    <d v="2024-12-13T00:00:00"/>
    <x v="0"/>
    <n v="146.19999999999999"/>
    <n v="0.1"/>
    <n v="136.89600000000002"/>
    <x v="0"/>
    <s v="No"/>
    <d v="2024-12-13T00:00:00"/>
    <n v="0"/>
  </r>
  <r>
    <s v="DEP-A0-1813"/>
    <x v="1"/>
    <n v="50"/>
    <x v="1"/>
    <s v="Zapatos"/>
    <s v="Blanco"/>
    <s v="Nike"/>
    <s v="MER-A0-1813"/>
    <d v="2024-12-14T00:00:00"/>
    <x v="0"/>
    <n v="122.06"/>
    <n v="0"/>
    <n v="137.17200000000003"/>
    <x v="0"/>
    <s v="No"/>
    <d v="2024-12-14T00:00:00"/>
    <n v="0"/>
  </r>
  <r>
    <s v="DEP-A0-0780"/>
    <x v="0"/>
    <n v="47"/>
    <x v="1"/>
    <s v="Vestido"/>
    <s v="Gris"/>
    <s v="Mango"/>
    <s v="MER-A0-0780"/>
    <d v="2024-12-16T00:00:00"/>
    <x v="0"/>
    <n v="132.1"/>
    <n v="0.1"/>
    <n v="143.37"/>
    <x v="0"/>
    <s v="No"/>
    <d v="2024-12-16T00:00:00"/>
    <n v="0"/>
  </r>
  <r>
    <s v="DEP-A0-2493"/>
    <x v="0"/>
    <n v="44"/>
    <x v="1"/>
    <s v="Falda"/>
    <s v="Negro"/>
    <s v="Mango"/>
    <s v="MER-A0-2493"/>
    <d v="2024-12-17T00:00:00"/>
    <x v="0"/>
    <n v="80.39"/>
    <n v="0.3"/>
    <n v="147.357"/>
    <x v="0"/>
    <s v="No"/>
    <d v="2024-12-17T00:00:00"/>
    <n v="0"/>
  </r>
  <r>
    <s v="DEP-A0-0643"/>
    <x v="0"/>
    <n v="47"/>
    <x v="1"/>
    <s v="Falda"/>
    <s v="Verde"/>
    <s v="Tommy"/>
    <s v="MER-A0-0643"/>
    <d v="2024-12-17T00:00:00"/>
    <x v="0"/>
    <n v="130.88999999999999"/>
    <n v="0.1"/>
    <n v="147.47999999999999"/>
    <x v="0"/>
    <s v="No"/>
    <d v="2024-12-17T00:00:00"/>
    <n v="0"/>
  </r>
  <r>
    <s v="DEP-A0-0210"/>
    <x v="0"/>
    <n v="38"/>
    <x v="1"/>
    <s v="Vestido"/>
    <s v="Verde"/>
    <s v="Adidas"/>
    <s v="MER-A0-0210"/>
    <d v="2024-12-17T00:00:00"/>
    <x v="0"/>
    <n v="140.34"/>
    <n v="0.3"/>
    <n v="148.239"/>
    <x v="0"/>
    <s v="No"/>
    <d v="2024-12-17T00:00:00"/>
    <n v="0"/>
  </r>
  <r>
    <s v="DEP-A0-0566"/>
    <x v="1"/>
    <n v="58"/>
    <x v="1"/>
    <s v="Pantalón"/>
    <s v="Verde"/>
    <s v="Mango"/>
    <s v="MER-A0-0566"/>
    <d v="2024-12-17T00:00:00"/>
    <x v="0"/>
    <n v="192.73"/>
    <n v="0.2"/>
    <n v="149.70600000000002"/>
    <x v="0"/>
    <s v="No"/>
    <d v="2024-12-17T00:00:00"/>
    <n v="0"/>
  </r>
  <r>
    <s v="DEP-A0-0647"/>
    <x v="0"/>
    <n v="41"/>
    <x v="1"/>
    <s v="Chaqueta"/>
    <s v="Amarillo"/>
    <s v="Puma"/>
    <s v="MER-A0-0647"/>
    <d v="2024-12-17T00:00:00"/>
    <x v="0"/>
    <n v="193.84"/>
    <n v="0.2"/>
    <n v="150.56"/>
    <x v="0"/>
    <s v="No"/>
    <d v="2024-12-17T00:00:00"/>
    <n v="0"/>
  </r>
  <r>
    <s v="DEP-A0-1687"/>
    <x v="0"/>
    <n v="36"/>
    <x v="1"/>
    <s v="Falda"/>
    <s v="Gris"/>
    <s v="Zara"/>
    <s v="MER-A0-1687"/>
    <d v="2024-12-18T00:00:00"/>
    <x v="0"/>
    <n v="31.88"/>
    <n v="0.3"/>
    <n v="153.16"/>
    <x v="0"/>
    <s v="No"/>
    <d v="2024-12-18T00:00:00"/>
    <n v="0"/>
  </r>
  <r>
    <s v="DEP-A0-1259"/>
    <x v="1"/>
    <n v="59"/>
    <x v="1"/>
    <s v="Camisa"/>
    <s v="Rojo"/>
    <s v="Zara"/>
    <s v="MER-A0-1259"/>
    <d v="2024-12-18T00:00:00"/>
    <x v="0"/>
    <n v="43.2"/>
    <n v="0.2"/>
    <n v="153.96299999999999"/>
    <x v="0"/>
    <s v="No"/>
    <d v="2024-12-18T00:00:00"/>
    <n v="0"/>
  </r>
  <r>
    <s v="DEP-A0-2899"/>
    <x v="1"/>
    <n v="54"/>
    <x v="1"/>
    <s v="Chaqueta"/>
    <s v="Amarillo"/>
    <s v="Zara"/>
    <s v="MER-A0-2899"/>
    <d v="2024-12-18T00:00:00"/>
    <x v="0"/>
    <n v="70.099999999999994"/>
    <n v="0.3"/>
    <n v="157.376"/>
    <x v="0"/>
    <s v="No"/>
    <d v="2024-12-18T00:00:00"/>
    <n v="0"/>
  </r>
  <r>
    <s v="DEP-A0-1007"/>
    <x v="0"/>
    <n v="38"/>
    <x v="1"/>
    <s v="Blusa"/>
    <s v="Blanco"/>
    <s v="Levis"/>
    <s v="MER-A0-1007"/>
    <d v="2024-12-18T00:00:00"/>
    <x v="0"/>
    <n v="74.87"/>
    <n v="0.2"/>
    <n v="157.61699999999999"/>
    <x v="0"/>
    <s v="No"/>
    <d v="2024-12-18T00:00:00"/>
    <n v="0"/>
  </r>
  <r>
    <s v="DEP-A0-0463"/>
    <x v="0"/>
    <n v="49"/>
    <x v="1"/>
    <s v="Vestido"/>
    <s v="Rojo"/>
    <s v="Puma"/>
    <s v="MER-A0-0463"/>
    <d v="2024-12-20T00:00:00"/>
    <x v="0"/>
    <n v="87.32"/>
    <n v="0.1"/>
    <n v="165.90600000000001"/>
    <x v="0"/>
    <s v="No"/>
    <d v="2024-12-20T00:00:00"/>
    <n v="0"/>
  </r>
  <r>
    <s v="DEP-A0-4902"/>
    <x v="0"/>
    <n v="58"/>
    <x v="1"/>
    <s v="Vestido"/>
    <s v="Azul"/>
    <s v="Levis"/>
    <s v="MER-A0-4902"/>
    <d v="2024-12-20T00:00:00"/>
    <x v="0"/>
    <n v="140.41"/>
    <n v="0"/>
    <n v="166.78"/>
    <x v="0"/>
    <s v="No"/>
    <d v="2024-12-20T00:00:00"/>
    <n v="0"/>
  </r>
  <r>
    <s v="DEP-A0-4634"/>
    <x v="1"/>
    <n v="47"/>
    <x v="1"/>
    <s v="Pantalón"/>
    <s v="Verde"/>
    <s v="Levis"/>
    <s v="MER-A0-4634"/>
    <d v="2024-12-20T00:00:00"/>
    <x v="0"/>
    <n v="165.79"/>
    <n v="0"/>
    <n v="169.25399999999999"/>
    <x v="0"/>
    <s v="No"/>
    <d v="2024-12-20T00:00:00"/>
    <n v="0"/>
  </r>
  <r>
    <s v="DEP-A0-4959"/>
    <x v="0"/>
    <n v="40"/>
    <x v="1"/>
    <s v="Vestido"/>
    <s v="Amarillo"/>
    <s v="Mango"/>
    <s v="MER-A0-4959"/>
    <d v="2024-12-21T00:00:00"/>
    <x v="0"/>
    <n v="41.31"/>
    <n v="0"/>
    <n v="172.55699999999999"/>
    <x v="0"/>
    <s v="No"/>
    <d v="2024-12-21T00:00:00"/>
    <n v="0"/>
  </r>
  <r>
    <s v="DEP-A0-0926"/>
    <x v="1"/>
    <n v="64"/>
    <x v="1"/>
    <s v="Camisa"/>
    <s v="Gris"/>
    <s v="Mango"/>
    <s v="MER-A0-0926"/>
    <d v="2024-12-22T00:00:00"/>
    <x v="0"/>
    <n v="96.94"/>
    <n v="0.3"/>
    <n v="182.73"/>
    <x v="0"/>
    <s v="No"/>
    <d v="2024-12-22T00:00:00"/>
    <n v="0"/>
  </r>
  <r>
    <s v="DEP-A0-4306"/>
    <x v="0"/>
    <n v="62"/>
    <x v="1"/>
    <s v="Vestido"/>
    <s v="Amarillo"/>
    <s v="Tommy"/>
    <s v="MER-A0-4306"/>
    <d v="2024-12-22T00:00:00"/>
    <x v="0"/>
    <n v="151.69999999999999"/>
    <n v="0"/>
    <n v="186.01"/>
    <x v="0"/>
    <s v="No"/>
    <d v="2024-12-22T00:00:00"/>
    <n v="0"/>
  </r>
  <r>
    <s v="DEP-A0-2133"/>
    <x v="0"/>
    <n v="63"/>
    <x v="1"/>
    <s v="Vestido"/>
    <s v="Azul"/>
    <s v="Nike"/>
    <s v="MER-A0-2133"/>
    <d v="2024-12-23T00:00:00"/>
    <x v="0"/>
    <n v="152.30000000000001"/>
    <n v="0.1"/>
    <n v="186.84"/>
    <x v="0"/>
    <s v="No"/>
    <d v="2024-12-23T00:00:00"/>
    <n v="0"/>
  </r>
  <r>
    <s v="DEP-A0-4256"/>
    <x v="1"/>
    <n v="41"/>
    <x v="1"/>
    <s v="Pantalón"/>
    <s v="Blanco"/>
    <s v="Zara"/>
    <s v="MER-A0-4256"/>
    <d v="2024-12-23T00:00:00"/>
    <x v="0"/>
    <n v="188.54"/>
    <n v="0.2"/>
    <n v="189.95"/>
    <x v="0"/>
    <s v="No"/>
    <d v="2024-12-23T00:00:00"/>
    <n v="0"/>
  </r>
  <r>
    <s v="DEP-A0-2334"/>
    <x v="1"/>
    <n v="44"/>
    <x v="1"/>
    <s v="Pantalón"/>
    <s v="Gris"/>
    <s v="Tommy"/>
    <s v="MER-A0-2334"/>
    <d v="2024-12-24T00:00:00"/>
    <x v="0"/>
    <n v="75.64"/>
    <n v="0.3"/>
    <n v="191.76"/>
    <x v="0"/>
    <s v="No"/>
    <d v="2024-12-24T00:00:00"/>
    <n v="0"/>
  </r>
  <r>
    <s v="DEP-A0-2943"/>
    <x v="1"/>
    <n v="39"/>
    <x v="1"/>
    <s v="Zapatos"/>
    <s v="Negro"/>
    <s v="Mango"/>
    <s v="MER-A0-2943"/>
    <d v="2024-12-24T00:00:00"/>
    <x v="0"/>
    <n v="89.31"/>
    <n v="0.3"/>
    <n v="194.12"/>
    <x v="0"/>
    <s v="No"/>
    <d v="2024-12-24T00:00:00"/>
    <n v="0"/>
  </r>
  <r>
    <s v="DEP-A0-1892"/>
    <x v="0"/>
    <n v="36"/>
    <x v="1"/>
    <s v="Blusa"/>
    <s v="Amarillo"/>
    <s v="Zara"/>
    <s v="MER-A0-1892"/>
    <d v="2024-12-25T00:00:00"/>
    <x v="0"/>
    <n v="20.079999999999998"/>
    <n v="0.1"/>
    <n v="197.21"/>
    <x v="0"/>
    <s v="No"/>
    <d v="2024-12-25T00:00:00"/>
    <n v="0"/>
  </r>
  <r>
    <s v="DEP-A0-2996"/>
    <x v="1"/>
    <n v="65"/>
    <x v="1"/>
    <s v="Pantalón"/>
    <s v="Amarillo"/>
    <s v="Zara"/>
    <s v="MER-A0-2996"/>
    <d v="2024-12-25T00:00:00"/>
    <x v="0"/>
    <n v="197.26"/>
    <n v="0"/>
    <n v="11.457000000000001"/>
    <x v="0"/>
    <s v="No"/>
    <d v="2024-12-25T00:00:00"/>
    <n v="0"/>
  </r>
  <r>
    <s v="DEP-A0-1500"/>
    <x v="0"/>
    <n v="37"/>
    <x v="1"/>
    <s v="Falda"/>
    <s v="Azul"/>
    <s v="Mango"/>
    <s v="MER-A0-1500"/>
    <d v="2024-12-26T00:00:00"/>
    <x v="0"/>
    <n v="44"/>
    <n v="0.2"/>
    <n v="59.68"/>
    <x v="0"/>
    <s v="No"/>
    <d v="2024-12-26T00:00:00"/>
    <n v="0"/>
  </r>
  <r>
    <s v="DEP-A0-1839"/>
    <x v="1"/>
    <n v="38"/>
    <x v="1"/>
    <s v="Pantalón"/>
    <s v="Azul"/>
    <s v="Mango"/>
    <s v="MER-A0-1839"/>
    <d v="2024-12-26T00:00:00"/>
    <x v="0"/>
    <n v="64.150000000000006"/>
    <n v="0.3"/>
    <n v="81.209999999999994"/>
    <x v="0"/>
    <s v="No"/>
    <d v="2024-12-26T00:00:00"/>
    <n v="0"/>
  </r>
  <r>
    <s v="DEP-A0-2741"/>
    <x v="0"/>
    <n v="48"/>
    <x v="1"/>
    <s v="Zapatos"/>
    <s v="Gris"/>
    <s v="Mango"/>
    <s v="MER-A0-2741"/>
    <d v="2024-12-26T00:00:00"/>
    <x v="0"/>
    <n v="151.94"/>
    <n v="0.3"/>
    <n v="149.05799999999999"/>
    <x v="0"/>
    <s v="No"/>
    <d v="2024-12-26T00:00:00"/>
    <n v="0"/>
  </r>
  <r>
    <s v="DEP-A0-0772"/>
    <x v="0"/>
    <n v="37"/>
    <x v="1"/>
    <s v="Vestido"/>
    <s v="Blanco"/>
    <s v="Nike"/>
    <s v="MER-A0-0772"/>
    <d v="2024-12-27T00:00:00"/>
    <x v="0"/>
    <n v="163.5"/>
    <n v="0.3"/>
    <n v="71.001000000000005"/>
    <x v="0"/>
    <s v="No"/>
    <d v="2024-12-27T00:00:00"/>
    <n v="0"/>
  </r>
  <r>
    <s v="DEP-A0-4095"/>
    <x v="0"/>
    <n v="46"/>
    <x v="1"/>
    <s v="Vestido"/>
    <s v="Azul"/>
    <s v="Tommy"/>
    <s v="MER-A0-4095"/>
    <d v="2024-12-27T00:00:00"/>
    <x v="0"/>
    <n v="187.34"/>
    <n v="0.1"/>
    <n v="162.018"/>
    <x v="0"/>
    <s v="No"/>
    <d v="2024-12-27T00:00:00"/>
    <n v="0"/>
  </r>
  <r>
    <s v="DEP-A0-1822"/>
    <x v="0"/>
    <n v="38"/>
    <x v="1"/>
    <s v="Vestido"/>
    <s v="Gris"/>
    <s v="Mango"/>
    <s v="MER-A0-1822"/>
    <d v="2024-12-28T00:00:00"/>
    <x v="0"/>
    <n v="17.77"/>
    <n v="0"/>
    <n v="156.63200000000001"/>
    <x v="0"/>
    <s v="No"/>
    <d v="2024-12-28T00:00:00"/>
    <n v="0"/>
  </r>
  <r>
    <s v="DEP-A0-2157"/>
    <x v="0"/>
    <n v="39"/>
    <x v="1"/>
    <s v="Falda"/>
    <s v="Azul"/>
    <s v="Tommy"/>
    <s v="MER-A0-2157"/>
    <d v="2024-12-28T00:00:00"/>
    <x v="0"/>
    <n v="80.03"/>
    <n v="0.3"/>
    <n v="18.97"/>
    <x v="0"/>
    <s v="No"/>
    <d v="2024-12-28T00:00:00"/>
    <n v="0"/>
  </r>
  <r>
    <s v="DEP-A0-4047"/>
    <x v="0"/>
    <n v="52"/>
    <x v="1"/>
    <s v="Blusa"/>
    <s v="Verde"/>
    <s v="Nike"/>
    <s v="MER-A0-4047"/>
    <d v="2024-12-28T00:00:00"/>
    <x v="0"/>
    <n v="109.36"/>
    <n v="0"/>
    <n v="28.99"/>
    <x v="0"/>
    <s v="No"/>
    <d v="2024-12-28T00:00:00"/>
    <n v="0"/>
  </r>
  <r>
    <s v="DEP-A0-2503"/>
    <x v="0"/>
    <n v="43"/>
    <x v="1"/>
    <s v="Vestido"/>
    <s v="Blanco"/>
    <s v="Puma"/>
    <s v="MER-A0-2503"/>
    <d v="2024-12-29T00:00:00"/>
    <x v="0"/>
    <n v="64.39"/>
    <n v="0"/>
    <n v="63.82"/>
    <x v="0"/>
    <s v="No"/>
    <d v="2024-12-29T00:00:00"/>
    <n v="0"/>
  </r>
  <r>
    <s v="DEP-A0-0767"/>
    <x v="0"/>
    <n v="61"/>
    <x v="1"/>
    <s v="Falda"/>
    <s v="Gris"/>
    <s v="Nike"/>
    <s v="MER-A0-0767"/>
    <d v="2024-12-30T00:00:00"/>
    <x v="0"/>
    <n v="63.2"/>
    <n v="0.3"/>
    <n v="52.381"/>
    <x v="0"/>
    <s v="No"/>
    <d v="2024-12-30T00:00:00"/>
    <n v="0"/>
  </r>
  <r>
    <s v="DEP-A0-1355"/>
    <x v="0"/>
    <n v="41"/>
    <x v="1"/>
    <s v="Falda"/>
    <s v="Gris"/>
    <s v="Nike"/>
    <s v="MER-A0-1355"/>
    <d v="2024-12-30T00:00:00"/>
    <x v="0"/>
    <n v="138.41"/>
    <n v="0"/>
    <n v="53.367999999999995"/>
    <x v="0"/>
    <s v="No"/>
    <d v="2024-12-30T00:00:00"/>
    <n v="0"/>
  </r>
  <r>
    <s v="DEP-A0-2376"/>
    <x v="0"/>
    <n v="36"/>
    <x v="1"/>
    <s v="Blusa"/>
    <s v="Blanco"/>
    <s v="Zara"/>
    <s v="MER-A0-2376"/>
    <d v="2024-12-30T00:00:00"/>
    <x v="0"/>
    <n v="181.95"/>
    <n v="0"/>
    <n v="104.61600000000001"/>
    <x v="0"/>
    <s v="No"/>
    <d v="2024-12-30T00:00:00"/>
    <n v="0"/>
  </r>
  <r>
    <s v="DEP-A0-4914"/>
    <x v="1"/>
    <n v="40"/>
    <x v="1"/>
    <s v="Pantalón"/>
    <s v="Gris"/>
    <s v="Levis"/>
    <s v="MER-A0-4914"/>
    <d v="2024-12-31T00:00:00"/>
    <x v="0"/>
    <n v="49.74"/>
    <n v="0.1"/>
    <n v="100.96800000000002"/>
    <x v="0"/>
    <s v="No"/>
    <d v="2024-12-31T00:00:00"/>
    <n v="0"/>
  </r>
  <r>
    <s v="DEP-A0-4606"/>
    <x v="0"/>
    <n v="55"/>
    <x v="1"/>
    <s v="Blusa"/>
    <s v="Blanco"/>
    <s v="Adidas"/>
    <s v="MER-A0-4606"/>
    <d v="2024-12-31T00:00:00"/>
    <x v="0"/>
    <n v="121.31"/>
    <n v="0.1"/>
    <n v="173.44800000000001"/>
    <x v="0"/>
    <s v="No"/>
    <d v="2024-12-31T00:00:00"/>
    <n v="0"/>
  </r>
  <r>
    <s v="DEP-A0-2341"/>
    <x v="0"/>
    <n v="37"/>
    <x v="1"/>
    <s v="Falda"/>
    <s v="Verde"/>
    <s v="Puma"/>
    <s v="MER-A0-2341"/>
    <d v="2025-02-13T00:00:00"/>
    <x v="1"/>
    <n v="115.46"/>
    <n v="0.3"/>
    <n v="47.72"/>
    <x v="0"/>
    <s v="No"/>
    <d v="2025-01-28T00:00:00"/>
    <n v="0"/>
  </r>
  <r>
    <s v="DEP-A0-2631"/>
    <x v="1"/>
    <n v="47"/>
    <x v="1"/>
    <s v="Camisa"/>
    <s v="Blanco"/>
    <s v="Zara"/>
    <s v="MER-A0-2631"/>
    <d v="2025-01-06T00:00:00"/>
    <x v="1"/>
    <n v="133.19999999999999"/>
    <n v="0.1"/>
    <n v="49.160000000000004"/>
    <x v="0"/>
    <s v="No"/>
    <d v="2025-01-06T00:00:00"/>
    <n v="0"/>
  </r>
  <r>
    <s v="DEP-A0-0410"/>
    <x v="0"/>
    <n v="47"/>
    <x v="1"/>
    <s v="Falda"/>
    <s v="Rojo"/>
    <s v="Levis"/>
    <s v="MER-A0-0410"/>
    <d v="2025-01-07T00:00:00"/>
    <x v="1"/>
    <n v="133.34"/>
    <n v="0.1"/>
    <n v="50.435000000000002"/>
    <x v="0"/>
    <s v="No"/>
    <d v="2025-01-07T00:00:00"/>
    <n v="0"/>
  </r>
  <r>
    <s v="DEP-A0-0623"/>
    <x v="0"/>
    <n v="43"/>
    <x v="1"/>
    <s v="Camisa"/>
    <s v="Negro"/>
    <s v="Zara"/>
    <s v="MER-A0-0623"/>
    <d v="2025-01-20T00:00:00"/>
    <x v="1"/>
    <n v="134.63999999999999"/>
    <n v="0.2"/>
    <n v="51.359000000000009"/>
    <x v="0"/>
    <s v="No"/>
    <d v="2025-01-20T00:00:00"/>
    <n v="0"/>
  </r>
  <r>
    <s v="DEP-A0-3044"/>
    <x v="1"/>
    <n v="58"/>
    <x v="1"/>
    <s v="Chaqueta"/>
    <s v="Rojo"/>
    <s v="Levis"/>
    <s v="MER-A0-3044"/>
    <d v="2025-01-04T00:00:00"/>
    <x v="1"/>
    <n v="154.91"/>
    <n v="0.2"/>
    <n v="52.32"/>
    <x v="0"/>
    <s v="No"/>
    <d v="2025-01-04T00:00:00"/>
    <n v="0"/>
  </r>
  <r>
    <s v="DEP-A0-2626"/>
    <x v="0"/>
    <n v="62"/>
    <x v="1"/>
    <s v="Falda"/>
    <s v="Blanco"/>
    <s v="Zara"/>
    <s v="MER-A0-2626"/>
    <d v="2025-01-03T00:00:00"/>
    <x v="1"/>
    <n v="158.53"/>
    <n v="0.3"/>
    <n v="53.879000000000005"/>
    <x v="0"/>
    <s v="No"/>
    <d v="2025-01-03T00:00:00"/>
    <n v="0"/>
  </r>
  <r>
    <s v="DEP-A0-4479"/>
    <x v="0"/>
    <n v="52"/>
    <x v="1"/>
    <s v="Vestido"/>
    <s v="Negro"/>
    <s v="Zara"/>
    <s v="MER-A0-4479"/>
    <d v="2025-01-09T00:00:00"/>
    <x v="1"/>
    <n v="166.85"/>
    <n v="0"/>
    <n v="55.593000000000004"/>
    <x v="0"/>
    <s v="No"/>
    <d v="2025-01-09T00:00:00"/>
    <n v="0"/>
  </r>
  <r>
    <s v="DEP-A0-4178"/>
    <x v="1"/>
    <n v="46"/>
    <x v="1"/>
    <s v="Chaqueta"/>
    <s v="Gris"/>
    <s v="Nike"/>
    <s v="MER-A0-4178"/>
    <d v="2025-01-12T00:00:00"/>
    <x v="1"/>
    <n v="174.53"/>
    <n v="0"/>
    <n v="56.097999999999999"/>
    <x v="0"/>
    <s v="No"/>
    <d v="2025-01-12T00:00:00"/>
    <n v="0"/>
  </r>
  <r>
    <s v="DEP-A0-4352"/>
    <x v="0"/>
    <n v="59"/>
    <x v="1"/>
    <s v="Camisa"/>
    <s v="Gris"/>
    <s v="Levis"/>
    <s v="MER-A0-4352"/>
    <d v="2025-01-02T00:00:00"/>
    <x v="1"/>
    <n v="175.13"/>
    <n v="0.3"/>
    <n v="56.56"/>
    <x v="0"/>
    <s v="No"/>
    <d v="2025-01-02T00:00:00"/>
    <n v="0"/>
  </r>
  <r>
    <s v="DEP-A0-0142"/>
    <x v="0"/>
    <n v="54"/>
    <x v="1"/>
    <s v="Zapatos"/>
    <s v="Negro"/>
    <s v="Zara"/>
    <s v="MER-A0-0142"/>
    <d v="2025-02-03T00:00:00"/>
    <x v="1"/>
    <n v="34.32"/>
    <n v="0.3"/>
    <n v="57.79"/>
    <x v="0"/>
    <s v="No"/>
    <d v="2025-02-03T00:00:00"/>
    <n v="0"/>
  </r>
  <r>
    <s v="DEP-A0-3363"/>
    <x v="0"/>
    <n v="41"/>
    <x v="1"/>
    <s v="Zapatos"/>
    <s v="Blanco"/>
    <s v="Mango"/>
    <s v="MER-A0-3363"/>
    <d v="2025-02-04T00:00:00"/>
    <x v="1"/>
    <n v="11.4"/>
    <n v="0.1"/>
    <n v="59.073"/>
    <x v="0"/>
    <s v="No"/>
    <d v="2025-02-04T00:00:00"/>
    <n v="0"/>
  </r>
  <r>
    <s v="DEP-A0-4114"/>
    <x v="0"/>
    <n v="62"/>
    <x v="1"/>
    <s v="Pantalón"/>
    <s v="Verde"/>
    <s v="Tommy"/>
    <s v="MER-A0-4114"/>
    <d v="2025-02-04T00:00:00"/>
    <x v="1"/>
    <n v="21.17"/>
    <n v="0.2"/>
    <n v="60.423999999999992"/>
    <x v="0"/>
    <s v="No"/>
    <d v="2025-02-04T00:00:00"/>
    <n v="0"/>
  </r>
  <r>
    <s v="DEP-A0-4974"/>
    <x v="1"/>
    <n v="44"/>
    <x v="1"/>
    <s v="Pantalón"/>
    <s v="Blanco"/>
    <s v="Mango"/>
    <s v="MER-A0-4974"/>
    <d v="2025-02-04T00:00:00"/>
    <x v="1"/>
    <n v="51.2"/>
    <n v="0.2"/>
    <n v="61.12"/>
    <x v="0"/>
    <s v="No"/>
    <d v="2025-02-04T00:00:00"/>
    <n v="0"/>
  </r>
  <r>
    <s v="DEP-A0-2781"/>
    <x v="1"/>
    <n v="49"/>
    <x v="1"/>
    <s v="Camisa"/>
    <s v="Blanco"/>
    <s v="Puma"/>
    <s v="MER-A0-2781"/>
    <d v="2025-02-04T00:00:00"/>
    <x v="1"/>
    <n v="94.33"/>
    <n v="0.2"/>
    <n v="61.424999999999997"/>
    <x v="0"/>
    <s v="No"/>
    <d v="2025-02-04T00:00:00"/>
    <n v="0"/>
  </r>
  <r>
    <s v="DEP-A0-3516"/>
    <x v="0"/>
    <n v="42"/>
    <x v="1"/>
    <s v="Blusa"/>
    <s v="Amarillo"/>
    <s v="Adidas"/>
    <s v="MER-A0-3516"/>
    <d v="2025-02-06T00:00:00"/>
    <x v="1"/>
    <n v="113.62"/>
    <n v="0.1"/>
    <n v="62.239999999999995"/>
    <x v="0"/>
    <s v="No"/>
    <d v="2025-02-06T00:00:00"/>
    <n v="0"/>
  </r>
  <r>
    <s v="DEP-A0-2073"/>
    <x v="1"/>
    <n v="58"/>
    <x v="1"/>
    <s v="Pantalón"/>
    <s v="Azul"/>
    <s v="Zara"/>
    <s v="MER-A0-2073"/>
    <d v="2025-02-08T00:00:00"/>
    <x v="1"/>
    <n v="165.64"/>
    <n v="0.2"/>
    <n v="63.367999999999995"/>
    <x v="0"/>
    <s v="No"/>
    <d v="2025-02-08T00:00:00"/>
    <n v="0"/>
  </r>
  <r>
    <s v="DEP-A0-3753"/>
    <x v="0"/>
    <n v="56"/>
    <x v="1"/>
    <s v="Chaqueta"/>
    <s v="Rojo"/>
    <s v="Tommy"/>
    <s v="MER-A0-3753"/>
    <d v="2025-02-09T00:00:00"/>
    <x v="1"/>
    <n v="62.29"/>
    <n v="0"/>
    <n v="63.62"/>
    <x v="0"/>
    <s v="No"/>
    <d v="2025-02-09T00:00:00"/>
    <n v="0"/>
  </r>
  <r>
    <s v="DEP-A0-0053"/>
    <x v="0"/>
    <n v="48"/>
    <x v="1"/>
    <s v="Zapatos"/>
    <s v="Negro"/>
    <s v="Adidas"/>
    <s v="MER-A0-0053"/>
    <d v="2025-02-16T00:00:00"/>
    <x v="1"/>
    <n v="30.1"/>
    <n v="0.2"/>
    <n v="66.328000000000003"/>
    <x v="0"/>
    <s v="No"/>
    <d v="2025-02-16T00:00:00"/>
    <n v="0"/>
  </r>
  <r>
    <s v="DEP-A0-4945"/>
    <x v="0"/>
    <n v="62"/>
    <x v="1"/>
    <s v="Blusa"/>
    <s v="Verde"/>
    <s v="Puma"/>
    <s v="MER-A0-4945"/>
    <d v="2025-02-16T00:00:00"/>
    <x v="1"/>
    <n v="186.44"/>
    <n v="0.3"/>
    <n v="66.424000000000007"/>
    <x v="0"/>
    <s v="No"/>
    <d v="2025-02-16T00:00:00"/>
    <n v="0"/>
  </r>
  <r>
    <s v="DEP-A0-1385"/>
    <x v="0"/>
    <n v="65"/>
    <x v="1"/>
    <s v="Falda"/>
    <s v="Negro"/>
    <s v="Zara"/>
    <s v="MER-A0-1385"/>
    <d v="2025-02-17T00:00:00"/>
    <x v="1"/>
    <n v="59.68"/>
    <n v="0.1"/>
    <n v="67.16"/>
    <x v="0"/>
    <s v="No"/>
    <d v="2025-02-17T00:00:00"/>
    <n v="0"/>
  </r>
  <r>
    <s v="DEP-A0-3472"/>
    <x v="1"/>
    <n v="56"/>
    <x v="1"/>
    <s v="Chaqueta"/>
    <s v="Azul"/>
    <s v="Mango"/>
    <s v="MER-A0-3472"/>
    <d v="2025-02-17T00:00:00"/>
    <x v="1"/>
    <n v="114.13"/>
    <n v="0.1"/>
    <n v="67.248999999999995"/>
    <x v="0"/>
    <s v="No"/>
    <d v="2025-02-17T00:00:00"/>
    <n v="0"/>
  </r>
  <r>
    <s v="DEP-A0-2468"/>
    <x v="1"/>
    <n v="55"/>
    <x v="1"/>
    <s v="Pantalón"/>
    <s v="Amarillo"/>
    <s v="Mango"/>
    <s v="MER-A0-2468"/>
    <d v="2025-02-18T00:00:00"/>
    <x v="1"/>
    <n v="34.14"/>
    <n v="0.2"/>
    <n v="68.400000000000006"/>
    <x v="0"/>
    <s v="No"/>
    <d v="2025-02-18T00:00:00"/>
    <n v="0"/>
  </r>
  <r>
    <s v="DEP-A0-1140"/>
    <x v="1"/>
    <n v="63"/>
    <x v="1"/>
    <s v="Camisa"/>
    <s v="Gris"/>
    <s v="Nike"/>
    <s v="MER-A0-1140"/>
    <d v="2025-02-19T00:00:00"/>
    <x v="1"/>
    <n v="20.49"/>
    <n v="0.2"/>
    <n v="68.712000000000003"/>
    <x v="0"/>
    <s v="No"/>
    <d v="2025-02-19T00:00:00"/>
    <n v="0"/>
  </r>
  <r>
    <s v="DEP-A0-0489"/>
    <x v="0"/>
    <n v="36"/>
    <x v="1"/>
    <s v="Vestido"/>
    <s v="Azul"/>
    <s v="Zara"/>
    <s v="MER-A0-0489"/>
    <d v="2025-02-23T00:00:00"/>
    <x v="1"/>
    <n v="98.08"/>
    <n v="0.2"/>
    <n v="70.132999999999996"/>
    <x v="0"/>
    <s v="No"/>
    <d v="2025-02-23T00:00:00"/>
    <n v="0"/>
  </r>
  <r>
    <s v="DEP-A0-2793"/>
    <x v="0"/>
    <n v="61"/>
    <x v="1"/>
    <s v="Blusa"/>
    <s v="Verde"/>
    <s v="Nike"/>
    <s v="MER-A0-2793"/>
    <d v="2025-02-26T00:00:00"/>
    <x v="1"/>
    <n v="79.8"/>
    <n v="0"/>
    <n v="70.289999999999992"/>
    <x v="0"/>
    <s v="No"/>
    <d v="2025-02-26T00:00:00"/>
    <n v="0"/>
  </r>
  <r>
    <s v="DEP-A0-4324"/>
    <x v="1"/>
    <n v="45"/>
    <x v="1"/>
    <s v="Pantalón"/>
    <s v="Verde"/>
    <s v="Tommy"/>
    <s v="MER-A0-4324"/>
    <d v="2025-02-27T00:00:00"/>
    <x v="1"/>
    <n v="26.92"/>
    <n v="0"/>
    <n v="70.63"/>
    <x v="0"/>
    <s v="No"/>
    <d v="2025-02-27T00:00:00"/>
    <n v="0"/>
  </r>
  <r>
    <s v="DEP-A0-4283"/>
    <x v="0"/>
    <n v="42"/>
    <x v="1"/>
    <s v="Zapatos"/>
    <s v="Amarillo"/>
    <s v="Zara"/>
    <s v="MER-A0-4283"/>
    <d v="2025-02-27T00:00:00"/>
    <x v="1"/>
    <n v="152.78"/>
    <n v="0.2"/>
    <n v="70.849999999999994"/>
    <x v="0"/>
    <s v="No"/>
    <d v="2025-02-27T00:00:00"/>
    <n v="0"/>
  </r>
  <r>
    <s v="DEP-A0-1209"/>
    <x v="1"/>
    <n v="44"/>
    <x v="1"/>
    <s v="Pantalón"/>
    <s v="Negro"/>
    <s v="Puma"/>
    <s v="MER-A0-1209"/>
    <d v="2025-02-27T00:00:00"/>
    <x v="1"/>
    <n v="177.82"/>
    <n v="0.2"/>
    <n v="71.048000000000002"/>
    <x v="0"/>
    <s v="No"/>
    <d v="2025-02-27T00:00:00"/>
    <n v="0"/>
  </r>
  <r>
    <s v="DEP-A0-2553"/>
    <x v="0"/>
    <n v="57"/>
    <x v="1"/>
    <s v="Chaqueta"/>
    <s v="Azul"/>
    <s v="Mango"/>
    <s v="MER-A0-2553"/>
    <d v="2025-02-28T00:00:00"/>
    <x v="1"/>
    <n v="61.15"/>
    <n v="0"/>
    <n v="71.224999999999994"/>
    <x v="0"/>
    <s v="No"/>
    <d v="2025-02-28T00:00:00"/>
    <n v="0"/>
  </r>
  <r>
    <s v="DEP-A0-2713"/>
    <x v="0"/>
    <n v="50"/>
    <x v="1"/>
    <s v="Falda"/>
    <s v="Gris"/>
    <s v="Adidas"/>
    <s v="MER-A0-2713"/>
    <d v="2025-02-28T00:00:00"/>
    <x v="1"/>
    <n v="182.27"/>
    <n v="0"/>
    <n v="71.918999999999997"/>
    <x v="0"/>
    <s v="No"/>
    <d v="2025-02-28T00:00:00"/>
    <n v="0"/>
  </r>
  <r>
    <s v="DEP-A0-1576"/>
    <x v="1"/>
    <n v="44"/>
    <x v="1"/>
    <s v="Camisa"/>
    <s v="Verde"/>
    <s v="Zara"/>
    <s v="MER-A0-1576"/>
    <d v="2025-03-27T00:00:00"/>
    <x v="1"/>
    <n v="10.81"/>
    <n v="0.1"/>
    <n v="72.128"/>
    <x v="0"/>
    <s v="No"/>
    <d v="2025-03-27T00:00:00"/>
    <n v="0"/>
  </r>
  <r>
    <s v="DEP-A0-1448"/>
    <x v="0"/>
    <n v="49"/>
    <x v="1"/>
    <s v="Falda"/>
    <s v="Amarillo"/>
    <s v="Tommy"/>
    <s v="MER-A0-1448"/>
    <d v="2025-03-19T00:00:00"/>
    <x v="1"/>
    <n v="37.72"/>
    <n v="0.2"/>
    <n v="72.304000000000002"/>
    <x v="0"/>
    <s v="No"/>
    <d v="2025-03-19T00:00:00"/>
    <n v="0"/>
  </r>
  <r>
    <s v="DEP-A0-0626"/>
    <x v="0"/>
    <n v="49"/>
    <x v="1"/>
    <s v="Falda"/>
    <s v="Azul"/>
    <s v="Puma"/>
    <s v="MER-A0-0626"/>
    <d v="2025-03-29T00:00:00"/>
    <x v="1"/>
    <n v="38.229999999999997"/>
    <n v="0.3"/>
    <n v="72.765000000000001"/>
    <x v="0"/>
    <s v="No"/>
    <d v="2025-03-29T00:00:00"/>
    <n v="0"/>
  </r>
  <r>
    <s v="DEP-A0-2679"/>
    <x v="1"/>
    <n v="59"/>
    <x v="1"/>
    <s v="Pantalón"/>
    <s v="Blanco"/>
    <s v="Puma"/>
    <s v="MER-A0-2679"/>
    <d v="2025-03-05T00:00:00"/>
    <x v="1"/>
    <n v="38.57"/>
    <n v="0"/>
    <n v="72.792000000000002"/>
    <x v="0"/>
    <s v="No"/>
    <d v="2025-03-05T00:00:00"/>
    <n v="0"/>
  </r>
  <r>
    <s v="DEP-A0-2467"/>
    <x v="1"/>
    <n v="50"/>
    <x v="1"/>
    <s v="Chaqueta"/>
    <s v="Verde"/>
    <s v="Mango"/>
    <s v="MER-A0-2467"/>
    <d v="2025-03-01T00:00:00"/>
    <x v="1"/>
    <n v="39.08"/>
    <n v="0"/>
    <n v="75.02"/>
    <x v="0"/>
    <s v="No"/>
    <d v="2025-03-01T00:00:00"/>
    <n v="0"/>
  </r>
  <r>
    <s v="DEP-A0-2322"/>
    <x v="0"/>
    <n v="47"/>
    <x v="1"/>
    <s v="Blusa"/>
    <s v="Rojo"/>
    <s v="Levis"/>
    <s v="MER-A0-2322"/>
    <d v="2025-03-31T00:00:00"/>
    <x v="1"/>
    <n v="41.92"/>
    <n v="0.1"/>
    <n v="75.061000000000007"/>
    <x v="0"/>
    <s v="No"/>
    <d v="2025-03-31T00:00:00"/>
    <n v="0"/>
  </r>
  <r>
    <s v="DEP-A0-4819"/>
    <x v="0"/>
    <n v="43"/>
    <x v="1"/>
    <s v="Vestido"/>
    <s v="Gris"/>
    <s v="Nike"/>
    <s v="MER-A0-4819"/>
    <d v="2025-03-31T00:00:00"/>
    <x v="1"/>
    <n v="86.85"/>
    <n v="0.1"/>
    <n v="76.63"/>
    <x v="0"/>
    <s v="No"/>
    <d v="2025-03-31T00:00:00"/>
    <n v="0"/>
  </r>
  <r>
    <s v="DEP-A0-2526"/>
    <x v="0"/>
    <n v="36"/>
    <x v="1"/>
    <s v="Blusa"/>
    <s v="Rojo"/>
    <s v="Levis"/>
    <s v="MER-A0-2526"/>
    <d v="2025-03-30T00:00:00"/>
    <x v="1"/>
    <n v="94.25"/>
    <n v="0"/>
    <n v="77.790999999999997"/>
    <x v="0"/>
    <s v="No"/>
    <d v="2025-03-30T00:00:00"/>
    <n v="0"/>
  </r>
  <r>
    <s v="DEP-A0-1296"/>
    <x v="1"/>
    <n v="58"/>
    <x v="1"/>
    <s v="Pantalón"/>
    <s v="Rojo"/>
    <s v="Nike"/>
    <s v="MER-A0-1296"/>
    <d v="2025-03-06T00:00:00"/>
    <x v="1"/>
    <n v="94.92"/>
    <n v="0.1"/>
    <n v="77.795999999999992"/>
    <x v="0"/>
    <s v="No"/>
    <d v="2025-03-06T00:00:00"/>
    <n v="0"/>
  </r>
  <r>
    <s v="DEP-A0-2595"/>
    <x v="0"/>
    <n v="52"/>
    <x v="1"/>
    <s v="Blusa"/>
    <s v="Azul"/>
    <s v="Mango"/>
    <s v="MER-A0-2595"/>
    <d v="2025-03-02T00:00:00"/>
    <x v="1"/>
    <n v="145.88"/>
    <n v="0.1"/>
    <n v="78.239999999999995"/>
    <x v="0"/>
    <s v="No"/>
    <d v="2025-03-02T00:00:00"/>
    <n v="0"/>
  </r>
  <r>
    <s v="DEP-A0-0864"/>
    <x v="0"/>
    <n v="61"/>
    <x v="1"/>
    <s v="Pantalón"/>
    <s v="Verde"/>
    <s v="Mango"/>
    <s v="MER-A0-0864"/>
    <d v="2025-03-31T00:00:00"/>
    <x v="1"/>
    <n v="146.41"/>
    <n v="0"/>
    <n v="78.930000000000007"/>
    <x v="0"/>
    <s v="No"/>
    <d v="2025-03-31T00:00:00"/>
    <n v="0"/>
  </r>
  <r>
    <s v="DEP-A0-2881"/>
    <x v="1"/>
    <n v="40"/>
    <x v="1"/>
    <s v="Chaqueta"/>
    <s v="Amarillo"/>
    <s v="Levis"/>
    <s v="MER-A0-2881"/>
    <d v="2025-03-09T00:00:00"/>
    <x v="1"/>
    <n v="146.51"/>
    <n v="0"/>
    <n v="79.119"/>
    <x v="0"/>
    <s v="No"/>
    <d v="2025-03-09T00:00:00"/>
    <n v="0"/>
  </r>
  <r>
    <s v="DEP-A0-4227"/>
    <x v="0"/>
    <n v="47"/>
    <x v="1"/>
    <s v="Pantalón"/>
    <s v="Amarillo"/>
    <s v="Tommy"/>
    <s v="MER-A0-4227"/>
    <d v="2025-03-15T00:00:00"/>
    <x v="1"/>
    <n v="159.37"/>
    <n v="0.1"/>
    <n v="79.911000000000001"/>
    <x v="0"/>
    <s v="No"/>
    <d v="2025-03-15T00:00:00"/>
    <n v="0"/>
  </r>
  <r>
    <s v="DEP-A0-0161"/>
    <x v="0"/>
    <n v="57"/>
    <x v="1"/>
    <s v="Camisa"/>
    <s v="Negro"/>
    <s v="Adidas"/>
    <s v="MER-A0-0161"/>
    <d v="2025-03-17T00:00:00"/>
    <x v="1"/>
    <n v="162.03"/>
    <n v="0.1"/>
    <n v="80.150000000000006"/>
    <x v="0"/>
    <s v="No"/>
    <d v="2025-03-17T00:00:00"/>
    <n v="0"/>
  </r>
  <r>
    <s v="DEP-A0-3025"/>
    <x v="1"/>
    <n v="64"/>
    <x v="1"/>
    <s v="Zapatos"/>
    <s v="Blanco"/>
    <s v="Tommy"/>
    <s v="MER-A0-3025"/>
    <d v="2025-04-04T00:00:00"/>
    <x v="1"/>
    <n v="31.93"/>
    <n v="0.2"/>
    <n v="81.760000000000005"/>
    <x v="0"/>
    <s v="No"/>
    <d v="2025-04-04T00:00:00"/>
    <n v="0"/>
  </r>
  <r>
    <s v="DEP-A0-0074"/>
    <x v="1"/>
    <n v="36"/>
    <x v="1"/>
    <s v="Camisa"/>
    <s v="Rojo"/>
    <s v="Nike"/>
    <s v="MER-A0-0074"/>
    <d v="2025-04-03T00:00:00"/>
    <x v="1"/>
    <n v="33.01"/>
    <n v="0.2"/>
    <n v="81.927999999999997"/>
    <x v="0"/>
    <s v="No"/>
    <d v="2025-04-03T00:00:00"/>
    <n v="0"/>
  </r>
  <r>
    <s v="DEP-A0-2313"/>
    <x v="0"/>
    <n v="39"/>
    <x v="1"/>
    <s v="Falda"/>
    <s v="Gris"/>
    <s v="Puma"/>
    <s v="MER-A0-2313"/>
    <d v="2025-04-03T00:00:00"/>
    <x v="1"/>
    <n v="41.28"/>
    <n v="0.2"/>
    <n v="82.05"/>
    <x v="0"/>
    <s v="No"/>
    <d v="2025-04-03T00:00:00"/>
    <n v="0"/>
  </r>
  <r>
    <s v="DEP-A0-3554"/>
    <x v="0"/>
    <n v="59"/>
    <x v="1"/>
    <s v="Blusa"/>
    <s v="Amarillo"/>
    <s v="Levis"/>
    <s v="MER-A0-3554"/>
    <d v="2025-04-04T00:00:00"/>
    <x v="1"/>
    <n v="44.31"/>
    <n v="0.2"/>
    <n v="83.39"/>
    <x v="0"/>
    <s v="No"/>
    <d v="2025-04-04T00:00:00"/>
    <n v="0"/>
  </r>
  <r>
    <s v="DEP-A0-4785"/>
    <x v="0"/>
    <n v="36"/>
    <x v="1"/>
    <s v="Zapatos"/>
    <s v="Azul"/>
    <s v="Tommy"/>
    <s v="MER-A0-4785"/>
    <d v="2025-04-10T00:00:00"/>
    <x v="1"/>
    <n v="59.63"/>
    <n v="0.3"/>
    <n v="85.135999999999996"/>
    <x v="0"/>
    <s v="No"/>
    <d v="2025-04-10T00:00:00"/>
    <n v="0"/>
  </r>
  <r>
    <s v="DEP-A0-4898"/>
    <x v="1"/>
    <n v="52"/>
    <x v="1"/>
    <s v="Chaqueta"/>
    <s v="Blanco"/>
    <s v="Adidas"/>
    <s v="MER-A0-4898"/>
    <d v="2025-04-04T00:00:00"/>
    <x v="1"/>
    <n v="63.85"/>
    <n v="0.3"/>
    <n v="85.488"/>
    <x v="0"/>
    <s v="No"/>
    <d v="2025-04-04T00:00:00"/>
    <n v="0"/>
  </r>
  <r>
    <s v="DEP-A0-2539"/>
    <x v="0"/>
    <n v="63"/>
    <x v="1"/>
    <s v="Blusa"/>
    <s v="Rojo"/>
    <s v="Nike"/>
    <s v="MER-A0-2539"/>
    <d v="2025-04-03T00:00:00"/>
    <x v="1"/>
    <n v="66.38"/>
    <n v="0"/>
    <n v="87.710000000000008"/>
    <x v="0"/>
    <s v="No"/>
    <d v="2025-04-03T00:00:00"/>
    <n v="0"/>
  </r>
  <r>
    <s v="DEP-A0-2490"/>
    <x v="1"/>
    <n v="59"/>
    <x v="1"/>
    <s v="Camisa"/>
    <s v="Rojo"/>
    <s v="Zara"/>
    <s v="MER-A0-2490"/>
    <d v="2025-04-05T00:00:00"/>
    <x v="1"/>
    <n v="71.209999999999994"/>
    <n v="0.2"/>
    <n v="88.362000000000009"/>
    <x v="0"/>
    <s v="No"/>
    <d v="2025-04-05T00:00:00"/>
    <n v="0"/>
  </r>
  <r>
    <s v="DEP-A0-1115"/>
    <x v="0"/>
    <n v="45"/>
    <x v="1"/>
    <s v="Falda"/>
    <s v="Rojo"/>
    <s v="Adidas"/>
    <s v="MER-A0-1115"/>
    <d v="2025-04-25T00:00:00"/>
    <x v="1"/>
    <n v="78.13"/>
    <n v="0.1"/>
    <n v="88.697000000000003"/>
    <x v="0"/>
    <s v="No"/>
    <d v="2025-04-25T00:00:00"/>
    <n v="0"/>
  </r>
  <r>
    <s v="DEP-A0-0825"/>
    <x v="1"/>
    <n v="64"/>
    <x v="1"/>
    <s v="Zapatos"/>
    <s v="Rojo"/>
    <s v="Nike"/>
    <s v="MER-A0-0825"/>
    <d v="2025-04-19T00:00:00"/>
    <x v="1"/>
    <n v="80.56"/>
    <n v="0.1"/>
    <n v="88.712999999999994"/>
    <x v="0"/>
    <s v="No"/>
    <d v="2025-04-19T00:00:00"/>
    <n v="0"/>
  </r>
  <r>
    <s v="DEP-A0-2492"/>
    <x v="0"/>
    <n v="51"/>
    <x v="1"/>
    <s v="Vestido"/>
    <s v="Azul"/>
    <s v="Mango"/>
    <s v="MER-A0-2492"/>
    <d v="2025-04-19T00:00:00"/>
    <x v="1"/>
    <n v="83.96"/>
    <n v="0.3"/>
    <n v="90.02"/>
    <x v="0"/>
    <s v="No"/>
    <d v="2025-04-19T00:00:00"/>
    <n v="0"/>
  </r>
  <r>
    <s v="DEP-A0-3007"/>
    <x v="0"/>
    <n v="46"/>
    <x v="1"/>
    <s v="Pantalón"/>
    <s v="Blanco"/>
    <s v="Mango"/>
    <s v="MER-A0-3007"/>
    <d v="2025-04-20T00:00:00"/>
    <x v="1"/>
    <n v="84.08"/>
    <n v="0.3"/>
    <n v="90.076000000000008"/>
    <x v="0"/>
    <s v="No"/>
    <d v="2025-04-20T00:00:00"/>
    <n v="0"/>
  </r>
  <r>
    <s v="DEP-A0-0741"/>
    <x v="0"/>
    <n v="56"/>
    <x v="1"/>
    <s v="Vestido"/>
    <s v="Gris"/>
    <s v="Levis"/>
    <s v="MER-A0-0741"/>
    <d v="2025-04-13T00:00:00"/>
    <x v="1"/>
    <n v="103.29"/>
    <n v="0.1"/>
    <n v="93.47"/>
    <x v="0"/>
    <s v="No"/>
    <d v="2025-04-13T00:00:00"/>
    <n v="0"/>
  </r>
  <r>
    <s v="DEP-A0-3988"/>
    <x v="0"/>
    <n v="63"/>
    <x v="1"/>
    <s v="Blusa"/>
    <s v="Verde"/>
    <s v="Nike"/>
    <s v="MER-A0-3988"/>
    <d v="2025-04-13T00:00:00"/>
    <x v="1"/>
    <n v="104.84"/>
    <n v="0.1"/>
    <n v="93.9"/>
    <x v="0"/>
    <s v="No"/>
    <d v="2025-04-13T00:00:00"/>
    <n v="0"/>
  </r>
  <r>
    <s v="DEP-A0-1802"/>
    <x v="0"/>
    <n v="48"/>
    <x v="1"/>
    <s v="Camisa"/>
    <s v="Rojo"/>
    <s v="Puma"/>
    <s v="MER-A0-1802"/>
    <d v="2025-04-03T00:00:00"/>
    <x v="1"/>
    <n v="108.66"/>
    <n v="0.2"/>
    <n v="94.183999999999997"/>
    <x v="0"/>
    <s v="No"/>
    <d v="2025-04-03T00:00:00"/>
    <n v="0"/>
  </r>
  <r>
    <s v="DEP-A0-3301"/>
    <x v="1"/>
    <n v="51"/>
    <x v="1"/>
    <s v="Chaqueta"/>
    <s v="Rojo"/>
    <s v="Nike"/>
    <s v="MER-A0-3301"/>
    <d v="2025-04-10T00:00:00"/>
    <x v="1"/>
    <n v="110.06"/>
    <n v="0.3"/>
    <n v="94.373999999999995"/>
    <x v="0"/>
    <s v="No"/>
    <d v="2025-04-10T00:00:00"/>
    <n v="0"/>
  </r>
  <r>
    <s v="DEP-A0-0663"/>
    <x v="0"/>
    <n v="41"/>
    <x v="1"/>
    <s v="Camisa"/>
    <s v="Rojo"/>
    <s v="Puma"/>
    <s v="MER-A0-0663"/>
    <d v="2025-04-01T00:00:00"/>
    <x v="1"/>
    <n v="111.78"/>
    <n v="0"/>
    <n v="95.48"/>
    <x v="0"/>
    <s v="No"/>
    <d v="2025-04-01T00:00:00"/>
    <n v="0"/>
  </r>
  <r>
    <s v="DEP-A0-3649"/>
    <x v="0"/>
    <n v="64"/>
    <x v="1"/>
    <s v="Chaqueta"/>
    <s v="Azul"/>
    <s v="Zara"/>
    <s v="MER-A0-3649"/>
    <d v="2025-04-06T00:00:00"/>
    <x v="1"/>
    <n v="120.51"/>
    <n v="0"/>
    <n v="97.152000000000001"/>
    <x v="0"/>
    <s v="No"/>
    <d v="2025-04-06T00:00:00"/>
    <n v="0"/>
  </r>
  <r>
    <s v="DEP-A0-1312"/>
    <x v="0"/>
    <n v="45"/>
    <x v="1"/>
    <s v="Falda"/>
    <s v="Azul"/>
    <s v="Levis"/>
    <s v="MER-A0-1312"/>
    <d v="2025-04-04T00:00:00"/>
    <x v="1"/>
    <n v="121.7"/>
    <n v="0.3"/>
    <n v="97.424999999999997"/>
    <x v="0"/>
    <s v="No"/>
    <d v="2025-04-04T00:00:00"/>
    <n v="0"/>
  </r>
  <r>
    <s v="DEP-A0-3678"/>
    <x v="1"/>
    <n v="48"/>
    <x v="1"/>
    <s v="Zapatos"/>
    <s v="Gris"/>
    <s v="Adidas"/>
    <s v="MER-A0-3678"/>
    <d v="2025-04-18T00:00:00"/>
    <x v="1"/>
    <n v="123.16"/>
    <n v="0.2"/>
    <n v="97.734000000000009"/>
    <x v="0"/>
    <s v="No"/>
    <d v="2025-04-18T00:00:00"/>
    <n v="0"/>
  </r>
  <r>
    <s v="DEP-A0-4721"/>
    <x v="0"/>
    <n v="38"/>
    <x v="1"/>
    <s v="Zapatos"/>
    <s v="Negro"/>
    <s v="Puma"/>
    <s v="MER-A0-4721"/>
    <d v="2025-04-30T00:00:00"/>
    <x v="1"/>
    <n v="124.09"/>
    <n v="0.1"/>
    <n v="98.259000000000015"/>
    <x v="0"/>
    <s v="No"/>
    <d v="2025-04-30T00:00:00"/>
    <n v="0"/>
  </r>
  <r>
    <s v="DEP-A0-1805"/>
    <x v="0"/>
    <n v="46"/>
    <x v="1"/>
    <s v="Chaqueta"/>
    <s v="Blanco"/>
    <s v="Levis"/>
    <s v="MER-A0-1805"/>
    <d v="2025-04-05T00:00:00"/>
    <x v="1"/>
    <n v="135.21"/>
    <n v="0.3"/>
    <n v="99.03"/>
    <x v="0"/>
    <s v="No"/>
    <d v="2025-04-05T00:00:00"/>
    <n v="0"/>
  </r>
  <r>
    <s v="DEP-A0-2075"/>
    <x v="0"/>
    <n v="64"/>
    <x v="1"/>
    <s v="Blusa"/>
    <s v="Verde"/>
    <s v="Puma"/>
    <s v="MER-A0-2075"/>
    <d v="2025-04-08T00:00:00"/>
    <x v="1"/>
    <n v="148.46"/>
    <n v="0"/>
    <n v="99.406999999999996"/>
    <x v="0"/>
    <s v="No"/>
    <d v="2025-04-08T00:00:00"/>
    <n v="0"/>
  </r>
  <r>
    <s v="DEP-A0-1578"/>
    <x v="0"/>
    <n v="49"/>
    <x v="1"/>
    <s v="Camisa"/>
    <s v="Rojo"/>
    <s v="Levis"/>
    <s v="MER-A0-1578"/>
    <d v="2025-04-08T00:00:00"/>
    <x v="1"/>
    <n v="153.25"/>
    <n v="0.1"/>
    <n v="99.82"/>
    <x v="0"/>
    <s v="No"/>
    <d v="2025-04-08T00:00:00"/>
    <n v="0"/>
  </r>
  <r>
    <s v="DEP-A0-4788"/>
    <x v="0"/>
    <n v="53"/>
    <x v="1"/>
    <s v="Pantalón"/>
    <s v="Blanco"/>
    <s v="Zara"/>
    <s v="MER-A0-4788"/>
    <d v="2025-04-18T00:00:00"/>
    <x v="1"/>
    <n v="155.44"/>
    <n v="0.2"/>
    <n v="100.09"/>
    <x v="0"/>
    <s v="No"/>
    <d v="2025-04-18T00:00:00"/>
    <n v="0"/>
  </r>
  <r>
    <s v="DEP-A0-4668"/>
    <x v="0"/>
    <n v="42"/>
    <x v="1"/>
    <s v="Pantalón"/>
    <s v="Azul"/>
    <s v="Zara"/>
    <s v="MER-A0-4668"/>
    <d v="2025-04-30T00:00:00"/>
    <x v="1"/>
    <n v="160.91999999999999"/>
    <n v="0.3"/>
    <n v="100.14400000000001"/>
    <x v="0"/>
    <s v="No"/>
    <d v="2025-04-30T00:00:00"/>
    <n v="0"/>
  </r>
  <r>
    <s v="DEP-A0-4571"/>
    <x v="1"/>
    <n v="37"/>
    <x v="1"/>
    <s v="Camisa"/>
    <s v="Blanco"/>
    <s v="Puma"/>
    <s v="MER-A0-4571"/>
    <d v="2025-04-09T00:00:00"/>
    <x v="1"/>
    <n v="162.88"/>
    <n v="0"/>
    <n v="100.44"/>
    <x v="0"/>
    <s v="No"/>
    <d v="2025-04-09T00:00:00"/>
    <n v="0"/>
  </r>
  <r>
    <s v="DEP-A0-3233"/>
    <x v="0"/>
    <n v="40"/>
    <x v="1"/>
    <s v="Falda"/>
    <s v="Negro"/>
    <s v="Puma"/>
    <s v="MER-A0-3233"/>
    <d v="2025-04-16T00:00:00"/>
    <x v="1"/>
    <n v="164.02"/>
    <n v="0.1"/>
    <n v="101.09"/>
    <x v="0"/>
    <s v="No"/>
    <d v="2025-04-16T00:00:00"/>
    <n v="0"/>
  </r>
  <r>
    <s v="DEP-A0-0179"/>
    <x v="1"/>
    <n v="41"/>
    <x v="1"/>
    <s v="Zapatos"/>
    <s v="Azul"/>
    <s v="Nike"/>
    <s v="MER-A0-0179"/>
    <d v="2025-04-06T00:00:00"/>
    <x v="1"/>
    <n v="164.41"/>
    <n v="0.2"/>
    <n v="101.563"/>
    <x v="0"/>
    <s v="No"/>
    <d v="2025-04-06T00:00:00"/>
    <n v="0"/>
  </r>
  <r>
    <s v="DEP-A0-3776"/>
    <x v="0"/>
    <n v="42"/>
    <x v="1"/>
    <s v="Vestido"/>
    <s v="Blanco"/>
    <s v="Puma"/>
    <s v="MER-A0-3776"/>
    <d v="2025-04-03T00:00:00"/>
    <x v="1"/>
    <n v="167.01"/>
    <n v="0.1"/>
    <n v="101.80800000000001"/>
    <x v="0"/>
    <s v="No"/>
    <d v="2025-04-03T00:00:00"/>
    <n v="0"/>
  </r>
  <r>
    <s v="DEP-A0-0687"/>
    <x v="0"/>
    <n v="62"/>
    <x v="1"/>
    <s v="Zapatos"/>
    <s v="Azul"/>
    <s v="Levis"/>
    <s v="MER-A0-0687"/>
    <d v="2025-04-29T00:00:00"/>
    <x v="1"/>
    <n v="175.07"/>
    <n v="0.3"/>
    <n v="102.6"/>
    <x v="0"/>
    <s v="No"/>
    <d v="2025-04-29T00:00:00"/>
    <n v="0"/>
  </r>
  <r>
    <s v="DEP-A0-4444"/>
    <x v="0"/>
    <n v="46"/>
    <x v="1"/>
    <s v="Vestido"/>
    <s v="Verde"/>
    <s v="Mango"/>
    <s v="MER-A0-4444"/>
    <d v="2025-04-03T00:00:00"/>
    <x v="1"/>
    <n v="175.84"/>
    <n v="0.1"/>
    <n v="102.771"/>
    <x v="0"/>
    <s v="No"/>
    <d v="2025-04-03T00:00:00"/>
    <n v="0"/>
  </r>
  <r>
    <s v="DEP-A0-4142"/>
    <x v="0"/>
    <n v="59"/>
    <x v="1"/>
    <s v="Falda"/>
    <s v="Gris"/>
    <s v="Mango"/>
    <s v="MER-A0-4142"/>
    <d v="2025-04-06T00:00:00"/>
    <x v="1"/>
    <n v="183.45"/>
    <n v="0"/>
    <n v="105.33599999999998"/>
    <x v="0"/>
    <s v="No"/>
    <d v="2025-04-06T00:00:00"/>
    <n v="0"/>
  </r>
  <r>
    <s v="DEP-A0-1118"/>
    <x v="0"/>
    <n v="47"/>
    <x v="1"/>
    <s v="Zapatos"/>
    <s v="Azul"/>
    <s v="Zara"/>
    <s v="MER-A0-1118"/>
    <d v="2025-04-13T00:00:00"/>
    <x v="1"/>
    <n v="184.07"/>
    <n v="0.3"/>
    <n v="105.833"/>
    <x v="0"/>
    <s v="No"/>
    <d v="2025-04-13T00:00:00"/>
    <n v="0"/>
  </r>
  <r>
    <s v="DEP-A0-1176"/>
    <x v="0"/>
    <n v="45"/>
    <x v="1"/>
    <s v="Blusa"/>
    <s v="Verde"/>
    <s v="Mango"/>
    <s v="MER-A0-1176"/>
    <d v="2025-05-20T00:00:00"/>
    <x v="1"/>
    <n v="17.18"/>
    <n v="0"/>
    <n v="108.34400000000001"/>
    <x v="0"/>
    <s v="No"/>
    <d v="2025-05-20T00:00:00"/>
    <n v="0"/>
  </r>
  <r>
    <s v="DEP-A0-2921"/>
    <x v="1"/>
    <n v="64"/>
    <x v="1"/>
    <s v="Chaqueta"/>
    <s v="Gris"/>
    <s v="Zara"/>
    <s v="MER-A0-2921"/>
    <d v="2025-05-16T00:00:00"/>
    <x v="1"/>
    <n v="23.57"/>
    <n v="0.2"/>
    <n v="108.51199999999999"/>
    <x v="0"/>
    <s v="No"/>
    <d v="2025-05-16T00:00:00"/>
    <n v="0"/>
  </r>
  <r>
    <s v="DEP-A0-0846"/>
    <x v="0"/>
    <n v="39"/>
    <x v="1"/>
    <s v="Camisa"/>
    <s v="Amarillo"/>
    <s v="Tommy"/>
    <s v="MER-A0-0846"/>
    <d v="2025-05-27T00:00:00"/>
    <x v="1"/>
    <n v="23.89"/>
    <n v="0.3"/>
    <n v="109.40299999999999"/>
    <x v="0"/>
    <s v="No"/>
    <d v="2025-05-27T00:00:00"/>
    <n v="0"/>
  </r>
  <r>
    <s v="DEP-A0-1595"/>
    <x v="1"/>
    <n v="38"/>
    <x v="1"/>
    <s v="Zapatos"/>
    <s v="Verde"/>
    <s v="Mango"/>
    <s v="MER-A0-1595"/>
    <d v="2025-05-28T00:00:00"/>
    <x v="1"/>
    <n v="31.34"/>
    <n v="0"/>
    <n v="113.43199999999999"/>
    <x v="0"/>
    <s v="No"/>
    <d v="2025-05-28T00:00:00"/>
    <n v="0"/>
  </r>
  <r>
    <s v="DEP-A0-1509"/>
    <x v="0"/>
    <n v="63"/>
    <x v="1"/>
    <s v="Vestido"/>
    <s v="Blanco"/>
    <s v="Nike"/>
    <s v="MER-A0-1509"/>
    <d v="2025-05-30T00:00:00"/>
    <x v="1"/>
    <n v="32.979999999999997"/>
    <n v="0.1"/>
    <n v="114.88400000000001"/>
    <x v="0"/>
    <s v="No"/>
    <d v="2025-05-30T00:00:00"/>
    <n v="0"/>
  </r>
  <r>
    <s v="DEP-A0-4063"/>
    <x v="0"/>
    <n v="39"/>
    <x v="1"/>
    <s v="Blusa"/>
    <s v="Amarillo"/>
    <s v="Zara"/>
    <s v="MER-A0-4063"/>
    <d v="2025-05-05T00:00:00"/>
    <x v="1"/>
    <n v="37.020000000000003"/>
    <n v="0"/>
    <n v="115.67"/>
    <x v="0"/>
    <s v="No"/>
    <d v="2025-05-05T00:00:00"/>
    <n v="0"/>
  </r>
  <r>
    <s v="DEP-A0-0350"/>
    <x v="1"/>
    <n v="48"/>
    <x v="1"/>
    <s v="Camisa"/>
    <s v="Amarillo"/>
    <s v="Levis"/>
    <s v="MER-A0-0350"/>
    <d v="2025-05-12T00:00:00"/>
    <x v="1"/>
    <n v="42.65"/>
    <n v="0"/>
    <n v="116.64000000000001"/>
    <x v="0"/>
    <s v="No"/>
    <d v="2025-05-12T00:00:00"/>
    <n v="0"/>
  </r>
  <r>
    <s v="DEP-A0-3661"/>
    <x v="1"/>
    <n v="53"/>
    <x v="1"/>
    <s v="Zapatos"/>
    <s v="Gris"/>
    <s v="Nike"/>
    <s v="MER-A0-3661"/>
    <d v="2025-05-19T00:00:00"/>
    <x v="1"/>
    <n v="48.92"/>
    <n v="0.3"/>
    <n v="116.93700000000001"/>
    <x v="0"/>
    <s v="No"/>
    <d v="2025-05-19T00:00:00"/>
    <n v="0"/>
  </r>
  <r>
    <s v="DEP-A0-4581"/>
    <x v="0"/>
    <n v="58"/>
    <x v="1"/>
    <s v="Zapatos"/>
    <s v="Gris"/>
    <s v="Levis"/>
    <s v="MER-A0-4581"/>
    <d v="2025-05-16T00:00:00"/>
    <x v="1"/>
    <n v="50.34"/>
    <n v="0.1"/>
    <n v="117.38"/>
    <x v="0"/>
    <s v="No"/>
    <d v="2025-05-16T00:00:00"/>
    <n v="0"/>
  </r>
  <r>
    <s v="DEP-A0-1567"/>
    <x v="1"/>
    <n v="44"/>
    <x v="1"/>
    <s v="Chaqueta"/>
    <s v="Azul"/>
    <s v="Tommy"/>
    <s v="MER-A0-1567"/>
    <d v="2025-05-16T00:00:00"/>
    <x v="1"/>
    <n v="51.87"/>
    <n v="0.2"/>
    <n v="118.4"/>
    <x v="0"/>
    <s v="No"/>
    <d v="2025-05-16T00:00:00"/>
    <n v="0"/>
  </r>
  <r>
    <s v="DEP-A0-4451"/>
    <x v="0"/>
    <n v="36"/>
    <x v="1"/>
    <s v="Vestido"/>
    <s v="Amarillo"/>
    <s v="Puma"/>
    <s v="MER-A0-4451"/>
    <d v="2025-05-28T00:00:00"/>
    <x v="1"/>
    <n v="52.91"/>
    <n v="0"/>
    <n v="118.62"/>
    <x v="0"/>
    <s v="No"/>
    <d v="2025-05-28T00:00:00"/>
    <n v="0"/>
  </r>
  <r>
    <s v="DEP-A0-1132"/>
    <x v="0"/>
    <n v="59"/>
    <x v="1"/>
    <s v="Vestido"/>
    <s v="Blanco"/>
    <s v="Adidas"/>
    <s v="MER-A0-1132"/>
    <d v="2025-05-26T00:00:00"/>
    <x v="1"/>
    <n v="54.92"/>
    <n v="0.3"/>
    <n v="118.91"/>
    <x v="0"/>
    <s v="No"/>
    <d v="2025-05-26T00:00:00"/>
    <n v="0"/>
  </r>
  <r>
    <s v="DEP-A0-1052"/>
    <x v="0"/>
    <n v="45"/>
    <x v="1"/>
    <s v="Vestido"/>
    <s v="Negro"/>
    <s v="Tommy"/>
    <s v="MER-A0-1052"/>
    <d v="2025-05-26T00:00:00"/>
    <x v="1"/>
    <n v="60.77"/>
    <n v="0"/>
    <n v="120.248"/>
    <x v="0"/>
    <s v="No"/>
    <d v="2025-05-26T00:00:00"/>
    <n v="0"/>
  </r>
  <r>
    <s v="DEP-A0-4008"/>
    <x v="0"/>
    <n v="63"/>
    <x v="1"/>
    <s v="Falda"/>
    <s v="Verde"/>
    <s v="Zara"/>
    <s v="MER-A0-4008"/>
    <d v="2025-05-06T00:00:00"/>
    <x v="1"/>
    <n v="61.55"/>
    <n v="0.2"/>
    <n v="120.67200000000001"/>
    <x v="0"/>
    <s v="No"/>
    <d v="2025-05-06T00:00:00"/>
    <n v="0"/>
  </r>
  <r>
    <s v="DEP-A0-0576"/>
    <x v="0"/>
    <n v="61"/>
    <x v="1"/>
    <s v="Chaqueta"/>
    <s v="Rojo"/>
    <s v="Adidas"/>
    <s v="MER-A0-0576"/>
    <d v="2025-05-22T00:00:00"/>
    <x v="1"/>
    <n v="67.03"/>
    <n v="0"/>
    <n v="123.14700000000001"/>
    <x v="0"/>
    <s v="No"/>
    <d v="2025-05-22T00:00:00"/>
    <n v="0"/>
  </r>
  <r>
    <s v="DEP-A0-0753"/>
    <x v="1"/>
    <n v="45"/>
    <x v="1"/>
    <s v="Pantalón"/>
    <s v="Rojo"/>
    <s v="Nike"/>
    <s v="MER-A0-0753"/>
    <d v="2025-05-05T00:00:00"/>
    <x v="1"/>
    <n v="69.239999999999995"/>
    <n v="0.1"/>
    <n v="124.40699999999998"/>
    <x v="0"/>
    <s v="No"/>
    <d v="2025-05-05T00:00:00"/>
    <n v="0"/>
  </r>
  <r>
    <s v="DEP-A0-4851"/>
    <x v="0"/>
    <n v="48"/>
    <x v="1"/>
    <s v="Chaqueta"/>
    <s v="Rojo"/>
    <s v="Puma"/>
    <s v="MER-A0-4851"/>
    <d v="2025-05-16T00:00:00"/>
    <x v="1"/>
    <n v="71"/>
    <n v="0.1"/>
    <n v="125.604"/>
    <x v="0"/>
    <s v="No"/>
    <d v="2025-05-16T00:00:00"/>
    <n v="0"/>
  </r>
  <r>
    <s v="DEP-A0-3821"/>
    <x v="0"/>
    <n v="60"/>
    <x v="1"/>
    <s v="Blusa"/>
    <s v="Blanco"/>
    <s v="Tommy"/>
    <s v="MER-A0-3821"/>
    <d v="2025-05-07T00:00:00"/>
    <x v="1"/>
    <n v="72.58"/>
    <n v="0"/>
    <n v="125.944"/>
    <x v="0"/>
    <s v="No"/>
    <d v="2025-05-07T00:00:00"/>
    <n v="0"/>
  </r>
  <r>
    <s v="DEP-A0-0145"/>
    <x v="1"/>
    <n v="45"/>
    <x v="1"/>
    <s v="Zapatos"/>
    <s v="Amarillo"/>
    <s v="Nike"/>
    <s v="MER-A0-0145"/>
    <d v="2025-05-28T00:00:00"/>
    <x v="1"/>
    <n v="76.87"/>
    <n v="0.3"/>
    <n v="126.245"/>
    <x v="0"/>
    <s v="No"/>
    <d v="2025-05-28T00:00:00"/>
    <n v="0"/>
  </r>
  <r>
    <s v="DEP-A0-4553"/>
    <x v="0"/>
    <n v="44"/>
    <x v="1"/>
    <s v="Chaqueta"/>
    <s v="Rojo"/>
    <s v="Nike"/>
    <s v="MER-A0-4553"/>
    <d v="2025-05-28T00:00:00"/>
    <x v="1"/>
    <n v="77.38"/>
    <n v="0.3"/>
    <n v="127.316"/>
    <x v="0"/>
    <s v="No"/>
    <d v="2025-05-28T00:00:00"/>
    <n v="0"/>
  </r>
  <r>
    <s v="DEP-A0-3995"/>
    <x v="0"/>
    <n v="62"/>
    <x v="1"/>
    <s v="Blusa"/>
    <s v="Azul"/>
    <s v="Zara"/>
    <s v="MER-A0-3995"/>
    <d v="2025-05-23T00:00:00"/>
    <x v="1"/>
    <n v="82.41"/>
    <n v="0.2"/>
    <n v="127.82"/>
    <x v="0"/>
    <s v="No"/>
    <d v="2025-05-23T00:00:00"/>
    <n v="0"/>
  </r>
  <r>
    <s v="DEP-A0-0369"/>
    <x v="0"/>
    <n v="45"/>
    <x v="1"/>
    <s v="Vestido"/>
    <s v="Verde"/>
    <s v="Zara"/>
    <s v="MER-A0-0369"/>
    <d v="2025-05-27T00:00:00"/>
    <x v="1"/>
    <n v="91.31"/>
    <n v="0"/>
    <n v="127.92"/>
    <x v="0"/>
    <s v="No"/>
    <d v="2025-05-27T00:00:00"/>
    <n v="0"/>
  </r>
  <r>
    <s v="DEP-A0-3890"/>
    <x v="0"/>
    <n v="47"/>
    <x v="1"/>
    <s v="Vestido"/>
    <s v="Blanco"/>
    <s v="Zara"/>
    <s v="MER-A0-3890"/>
    <d v="2025-05-19T00:00:00"/>
    <x v="1"/>
    <n v="92.21"/>
    <n v="0.2"/>
    <n v="128.6"/>
    <x v="0"/>
    <s v="No"/>
    <d v="2025-05-19T00:00:00"/>
    <n v="0"/>
  </r>
  <r>
    <s v="DEP-A0-1508"/>
    <x v="1"/>
    <n v="65"/>
    <x v="1"/>
    <s v="Pantalón"/>
    <s v="Rojo"/>
    <s v="Levis"/>
    <s v="MER-A0-1508"/>
    <d v="2025-05-17T00:00:00"/>
    <x v="1"/>
    <n v="93.59"/>
    <n v="0.1"/>
    <n v="129.69900000000001"/>
    <x v="0"/>
    <s v="No"/>
    <d v="2025-05-17T00:00:00"/>
    <n v="0"/>
  </r>
  <r>
    <s v="DEP-A0-1669"/>
    <x v="0"/>
    <n v="59"/>
    <x v="1"/>
    <s v="Chaqueta"/>
    <s v="Amarillo"/>
    <s v="Adidas"/>
    <s v="MER-A0-1669"/>
    <d v="2025-05-24T00:00:00"/>
    <x v="1"/>
    <n v="99.85"/>
    <n v="0.2"/>
    <n v="130.905"/>
    <x v="0"/>
    <s v="No"/>
    <d v="2025-05-24T00:00:00"/>
    <n v="0"/>
  </r>
  <r>
    <s v="DEP-A0-1755"/>
    <x v="0"/>
    <n v="54"/>
    <x v="1"/>
    <s v="Vestido"/>
    <s v="Gris"/>
    <s v="Tommy"/>
    <s v="MER-A0-1755"/>
    <d v="2025-05-26T00:00:00"/>
    <x v="1"/>
    <n v="100.68"/>
    <n v="0"/>
    <n v="131.40899999999999"/>
    <x v="0"/>
    <s v="No"/>
    <d v="2025-05-26T00:00:00"/>
    <n v="0"/>
  </r>
  <r>
    <s v="DEP-A0-3721"/>
    <x v="0"/>
    <n v="40"/>
    <x v="1"/>
    <s v="Vestido"/>
    <s v="Azul"/>
    <s v="Levis"/>
    <s v="MER-A0-3721"/>
    <d v="2025-05-03T00:00:00"/>
    <x v="1"/>
    <n v="103.95"/>
    <n v="0"/>
    <n v="132.06200000000001"/>
    <x v="0"/>
    <s v="No"/>
    <d v="2025-05-03T00:00:00"/>
    <n v="0"/>
  </r>
  <r>
    <s v="DEP-A0-0253"/>
    <x v="0"/>
    <n v="58"/>
    <x v="1"/>
    <s v="Pantalón"/>
    <s v="Rojo"/>
    <s v="Zara"/>
    <s v="MER-A0-0253"/>
    <d v="2025-05-19T00:00:00"/>
    <x v="1"/>
    <n v="104.48"/>
    <n v="0.1"/>
    <n v="132.55199999999999"/>
    <x v="0"/>
    <s v="No"/>
    <d v="2025-05-19T00:00:00"/>
    <n v="0"/>
  </r>
  <r>
    <s v="DEP-A0-3226"/>
    <x v="0"/>
    <n v="54"/>
    <x v="1"/>
    <s v="Vestido"/>
    <s v="Rojo"/>
    <s v="Levis"/>
    <s v="MER-A0-3226"/>
    <d v="2025-05-15T00:00:00"/>
    <x v="1"/>
    <n v="111.32"/>
    <n v="0.3"/>
    <n v="134.28"/>
    <x v="0"/>
    <s v="No"/>
    <d v="2025-05-15T00:00:00"/>
    <n v="0"/>
  </r>
  <r>
    <s v="DEP-A0-3585"/>
    <x v="0"/>
    <n v="40"/>
    <x v="1"/>
    <s v="Falda"/>
    <s v="Rojo"/>
    <s v="Levis"/>
    <s v="MER-A0-3585"/>
    <d v="2025-05-04T00:00:00"/>
    <x v="1"/>
    <n v="114.9"/>
    <n v="0"/>
    <n v="134.91"/>
    <x v="0"/>
    <s v="No"/>
    <d v="2025-05-04T00:00:00"/>
    <n v="0"/>
  </r>
  <r>
    <s v="DEP-A0-3612"/>
    <x v="0"/>
    <n v="62"/>
    <x v="1"/>
    <s v="Blusa"/>
    <s v="Verde"/>
    <s v="Tommy"/>
    <s v="MER-A0-3612"/>
    <d v="2025-05-20T00:00:00"/>
    <x v="1"/>
    <n v="127.2"/>
    <n v="0.1"/>
    <n v="137.25600000000003"/>
    <x v="0"/>
    <s v="No"/>
    <d v="2025-05-20T00:00:00"/>
    <n v="0"/>
  </r>
  <r>
    <s v="DEP-A0-1785"/>
    <x v="1"/>
    <n v="62"/>
    <x v="1"/>
    <s v="Zapatos"/>
    <s v="Blanco"/>
    <s v="Mango"/>
    <s v="MER-A0-1785"/>
    <d v="2025-05-24T00:00:00"/>
    <x v="1"/>
    <n v="127.68"/>
    <n v="0.3"/>
    <n v="137.56"/>
    <x v="0"/>
    <s v="No"/>
    <d v="2025-05-24T00:00:00"/>
    <n v="0"/>
  </r>
  <r>
    <s v="DEP-A0-1092"/>
    <x v="0"/>
    <n v="46"/>
    <x v="1"/>
    <s v="Zapatos"/>
    <s v="Rojo"/>
    <s v="Mango"/>
    <s v="MER-A0-1092"/>
    <d v="2025-05-03T00:00:00"/>
    <x v="1"/>
    <n v="130.29"/>
    <n v="0.3"/>
    <n v="137.62700000000001"/>
    <x v="0"/>
    <s v="No"/>
    <d v="2025-05-03T00:00:00"/>
    <n v="0"/>
  </r>
  <r>
    <s v="DEP-A0-3593"/>
    <x v="0"/>
    <n v="37"/>
    <x v="1"/>
    <s v="Zapatos"/>
    <s v="Azul"/>
    <s v="Tommy"/>
    <s v="MER-A0-3593"/>
    <d v="2025-05-02T00:00:00"/>
    <x v="1"/>
    <n v="131.63"/>
    <n v="0.1"/>
    <n v="137.97"/>
    <x v="0"/>
    <s v="No"/>
    <d v="2025-05-02T00:00:00"/>
    <n v="0"/>
  </r>
  <r>
    <s v="DEP-A0-4264"/>
    <x v="1"/>
    <n v="53"/>
    <x v="1"/>
    <s v="Pantalón"/>
    <s v="Azul"/>
    <s v="Nike"/>
    <s v="MER-A0-4264"/>
    <d v="2025-05-30T00:00:00"/>
    <x v="1"/>
    <n v="132.34"/>
    <n v="0.3"/>
    <n v="138.28500000000003"/>
    <x v="0"/>
    <s v="No"/>
    <d v="2025-05-30T00:00:00"/>
    <n v="0"/>
  </r>
  <r>
    <s v="DEP-A0-2370"/>
    <x v="0"/>
    <n v="65"/>
    <x v="1"/>
    <s v="Vestido"/>
    <s v="Azul"/>
    <s v="Levis"/>
    <s v="MER-A0-2370"/>
    <d v="2025-05-20T00:00:00"/>
    <x v="1"/>
    <n v="134.76"/>
    <n v="0.2"/>
    <n v="138.62799999999999"/>
    <x v="0"/>
    <s v="No"/>
    <d v="2025-05-20T00:00:00"/>
    <n v="0"/>
  </r>
  <r>
    <s v="DEP-A0-3668"/>
    <x v="0"/>
    <n v="57"/>
    <x v="1"/>
    <s v="Falda"/>
    <s v="Negro"/>
    <s v="Adidas"/>
    <s v="MER-A0-3668"/>
    <d v="2025-05-25T00:00:00"/>
    <x v="1"/>
    <n v="141.46"/>
    <n v="0.2"/>
    <n v="138.999"/>
    <x v="0"/>
    <s v="No"/>
    <d v="2025-05-25T00:00:00"/>
    <n v="0"/>
  </r>
  <r>
    <s v="DEP-A0-4526"/>
    <x v="0"/>
    <n v="43"/>
    <x v="1"/>
    <s v="Falda"/>
    <s v="Amarillo"/>
    <s v="Zara"/>
    <s v="MER-A0-4526"/>
    <d v="2025-05-08T00:00:00"/>
    <x v="1"/>
    <n v="147.53"/>
    <n v="0.1"/>
    <n v="139.256"/>
    <x v="0"/>
    <s v="No"/>
    <d v="2025-05-08T00:00:00"/>
    <n v="0"/>
  </r>
  <r>
    <s v="DEP-A0-4866"/>
    <x v="0"/>
    <n v="38"/>
    <x v="1"/>
    <s v="Falda"/>
    <s v="Verde"/>
    <s v="Nike"/>
    <s v="MER-A0-4866"/>
    <d v="2025-05-25T00:00:00"/>
    <x v="1"/>
    <n v="152.96"/>
    <n v="0.2"/>
    <n v="140.27199999999999"/>
    <x v="0"/>
    <s v="No"/>
    <d v="2025-05-25T00:00:00"/>
    <n v="0"/>
  </r>
  <r>
    <s v="DEP-A0-3323"/>
    <x v="0"/>
    <n v="52"/>
    <x v="1"/>
    <s v="Chaqueta"/>
    <s v="Rojo"/>
    <s v="Nike"/>
    <s v="MER-A0-3323"/>
    <d v="2025-05-06T00:00:00"/>
    <x v="1"/>
    <n v="152.97"/>
    <n v="0.2"/>
    <n v="140.31899999999999"/>
    <x v="0"/>
    <s v="No"/>
    <d v="2025-05-06T00:00:00"/>
    <n v="0"/>
  </r>
  <r>
    <s v="DEP-A0-0522"/>
    <x v="0"/>
    <n v="63"/>
    <x v="1"/>
    <s v="Falda"/>
    <s v="Azul"/>
    <s v="Zara"/>
    <s v="MER-A0-0522"/>
    <d v="2025-05-24T00:00:00"/>
    <x v="1"/>
    <n v="153.76"/>
    <n v="0"/>
    <n v="146.03399999999999"/>
    <x v="0"/>
    <s v="No"/>
    <d v="2025-05-24T00:00:00"/>
    <n v="0"/>
  </r>
  <r>
    <s v="DEP-A0-1878"/>
    <x v="0"/>
    <n v="59"/>
    <x v="1"/>
    <s v="Vestido"/>
    <s v="Rojo"/>
    <s v="Tommy"/>
    <s v="MER-A0-1878"/>
    <d v="2025-05-06T00:00:00"/>
    <x v="1"/>
    <n v="154.08000000000001"/>
    <n v="0"/>
    <n v="146.83199999999999"/>
    <x v="0"/>
    <s v="No"/>
    <d v="2025-05-06T00:00:00"/>
    <n v="0"/>
  </r>
  <r>
    <s v="DEP-A0-4272"/>
    <x v="0"/>
    <n v="51"/>
    <x v="1"/>
    <s v="Falda"/>
    <s v="Azul"/>
    <s v="Mango"/>
    <s v="MER-A0-4272"/>
    <d v="2025-05-09T00:00:00"/>
    <x v="1"/>
    <n v="154.62"/>
    <n v="0.3"/>
    <n v="147.19200000000001"/>
    <x v="0"/>
    <s v="No"/>
    <d v="2025-05-09T00:00:00"/>
    <n v="0"/>
  </r>
  <r>
    <s v="DEP-A0-0092"/>
    <x v="0"/>
    <n v="44"/>
    <x v="1"/>
    <s v="Pantalón"/>
    <s v="Azul"/>
    <s v="Puma"/>
    <s v="MER-A0-0092"/>
    <d v="2025-05-19T00:00:00"/>
    <x v="1"/>
    <n v="157.46"/>
    <n v="0.2"/>
    <n v="150.51"/>
    <x v="0"/>
    <s v="No"/>
    <d v="2025-05-19T00:00:00"/>
    <n v="0"/>
  </r>
  <r>
    <s v="DEP-A0-1717"/>
    <x v="1"/>
    <n v="56"/>
    <x v="1"/>
    <s v="Chaqueta"/>
    <s v="Verde"/>
    <s v="Levis"/>
    <s v="MER-A0-1717"/>
    <d v="2025-05-01T00:00:00"/>
    <x v="1"/>
    <n v="159.12"/>
    <n v="0"/>
    <n v="150.89600000000002"/>
    <x v="0"/>
    <s v="No"/>
    <d v="2025-05-01T00:00:00"/>
    <n v="0"/>
  </r>
  <r>
    <s v="DEP-A0-0281"/>
    <x v="0"/>
    <n v="41"/>
    <x v="1"/>
    <s v="Vestido"/>
    <s v="Rojo"/>
    <s v="Mango"/>
    <s v="MER-A0-0281"/>
    <d v="2025-05-05T00:00:00"/>
    <x v="1"/>
    <n v="165.59"/>
    <n v="0"/>
    <n v="151.53"/>
    <x v="0"/>
    <s v="No"/>
    <d v="2025-05-05T00:00:00"/>
    <n v="0"/>
  </r>
  <r>
    <s v="DEP-A0-1294"/>
    <x v="0"/>
    <n v="48"/>
    <x v="1"/>
    <s v="Chaqueta"/>
    <s v="Blanco"/>
    <s v="Levis"/>
    <s v="MER-A0-1294"/>
    <d v="2025-05-16T00:00:00"/>
    <x v="1"/>
    <n v="166.36"/>
    <n v="0.1"/>
    <n v="153.672"/>
    <x v="0"/>
    <s v="No"/>
    <d v="2025-05-16T00:00:00"/>
    <n v="0"/>
  </r>
  <r>
    <s v="DEP-A0-1469"/>
    <x v="0"/>
    <n v="63"/>
    <x v="1"/>
    <s v="Falda"/>
    <s v="Negro"/>
    <s v="Puma"/>
    <s v="MER-A0-1469"/>
    <d v="2025-05-16T00:00:00"/>
    <x v="1"/>
    <n v="166.96"/>
    <n v="0"/>
    <n v="153.71"/>
    <x v="0"/>
    <s v="No"/>
    <d v="2025-05-16T00:00:00"/>
    <n v="0"/>
  </r>
  <r>
    <s v="DEP-A0-0251"/>
    <x v="0"/>
    <n v="52"/>
    <x v="1"/>
    <s v="Blusa"/>
    <s v="Gris"/>
    <s v="Mango"/>
    <s v="MER-A0-0251"/>
    <d v="2025-05-22T00:00:00"/>
    <x v="1"/>
    <n v="167.91"/>
    <n v="0.2"/>
    <n v="154.33000000000001"/>
    <x v="0"/>
    <s v="No"/>
    <d v="2025-05-22T00:00:00"/>
    <n v="0"/>
  </r>
  <r>
    <s v="DEP-A0-1537"/>
    <x v="0"/>
    <n v="39"/>
    <x v="1"/>
    <s v="Vestido"/>
    <s v="Rojo"/>
    <s v="Tommy"/>
    <s v="MER-A0-1537"/>
    <d v="2025-05-25T00:00:00"/>
    <x v="1"/>
    <n v="170.03"/>
    <n v="0.1"/>
    <n v="154.72"/>
    <x v="0"/>
    <s v="No"/>
    <d v="2025-05-25T00:00:00"/>
    <n v="0"/>
  </r>
  <r>
    <s v="DEP-A0-2534"/>
    <x v="0"/>
    <n v="48"/>
    <x v="1"/>
    <s v="Blusa"/>
    <s v="Negro"/>
    <s v="Adidas"/>
    <s v="MER-A0-2534"/>
    <d v="2025-05-26T00:00:00"/>
    <x v="1"/>
    <n v="174.08"/>
    <n v="0.2"/>
    <n v="155.26400000000001"/>
    <x v="0"/>
    <s v="No"/>
    <d v="2025-05-26T00:00:00"/>
    <n v="0"/>
  </r>
  <r>
    <s v="DEP-A0-2914"/>
    <x v="1"/>
    <n v="40"/>
    <x v="1"/>
    <s v="Camisa"/>
    <s v="Gris"/>
    <s v="Adidas"/>
    <s v="MER-A0-2914"/>
    <d v="2025-05-15T00:00:00"/>
    <x v="1"/>
    <n v="181.72"/>
    <n v="0.1"/>
    <n v="157.52799999999999"/>
    <x v="0"/>
    <s v="No"/>
    <d v="2025-05-15T00:00:00"/>
    <n v="0"/>
  </r>
  <r>
    <s v="DEP-A0-1016"/>
    <x v="0"/>
    <n v="61"/>
    <x v="1"/>
    <s v="Falda"/>
    <s v="Verde"/>
    <s v="Mango"/>
    <s v="MER-A0-1016"/>
    <d v="2025-05-05T00:00:00"/>
    <x v="1"/>
    <n v="185.26"/>
    <n v="0.2"/>
    <n v="157.70400000000001"/>
    <x v="0"/>
    <s v="No"/>
    <d v="2025-05-05T00:00:00"/>
    <n v="0"/>
  </r>
  <r>
    <s v="DEP-A0-4399"/>
    <x v="0"/>
    <n v="56"/>
    <x v="1"/>
    <s v="Camisa"/>
    <s v="Verde"/>
    <s v="Zara"/>
    <s v="MER-A0-4399"/>
    <d v="2025-05-10T00:00:00"/>
    <x v="1"/>
    <n v="187.97"/>
    <n v="0.2"/>
    <n v="159.79500000000002"/>
    <x v="0"/>
    <s v="No"/>
    <d v="2025-05-10T00:00:00"/>
    <n v="0"/>
  </r>
  <r>
    <s v="DEP-A0-0100"/>
    <x v="0"/>
    <n v="49"/>
    <x v="1"/>
    <s v="Falda"/>
    <s v="Amarillo"/>
    <s v="Zara"/>
    <s v="MER-A0-0100"/>
    <d v="2025-05-19T00:00:00"/>
    <x v="1"/>
    <n v="191.04"/>
    <n v="0.2"/>
    <n v="161.54"/>
    <x v="0"/>
    <s v="No"/>
    <d v="2025-05-19T00:00:00"/>
    <n v="0"/>
  </r>
  <r>
    <s v="DEP-A0-4358"/>
    <x v="0"/>
    <n v="63"/>
    <x v="1"/>
    <s v="Falda"/>
    <s v="Gris"/>
    <s v="Zara"/>
    <s v="MER-A0-4358"/>
    <d v="2025-05-28T00:00:00"/>
    <x v="1"/>
    <n v="199.38"/>
    <n v="0.1"/>
    <n v="164.54700000000003"/>
    <x v="0"/>
    <s v="No"/>
    <d v="2025-05-28T00:00:00"/>
    <n v="0"/>
  </r>
  <r>
    <s v="DEP-A0-2384"/>
    <x v="0"/>
    <n v="50"/>
    <x v="1"/>
    <s v="Falda"/>
    <s v="Amarillo"/>
    <s v="Adidas"/>
    <s v="MER-A0-2384"/>
    <d v="2025-06-01T00:00:00"/>
    <x v="1"/>
    <n v="10.76"/>
    <n v="0"/>
    <n v="169.54"/>
    <x v="0"/>
    <s v="No"/>
    <d v="2025-06-01T00:00:00"/>
    <n v="0"/>
  </r>
  <r>
    <s v="DEP-A0-1606"/>
    <x v="0"/>
    <n v="60"/>
    <x v="1"/>
    <s v="Blusa"/>
    <s v="Amarillo"/>
    <s v="Zara"/>
    <s v="MER-A0-1606"/>
    <d v="2025-06-11T00:00:00"/>
    <x v="1"/>
    <n v="17.72"/>
    <n v="0"/>
    <n v="173.61"/>
    <x v="0"/>
    <s v="No"/>
    <d v="2025-06-11T00:00:00"/>
    <n v="0"/>
  </r>
  <r>
    <s v="DEP-A0-0524"/>
    <x v="0"/>
    <n v="47"/>
    <x v="1"/>
    <s v="Zapatos"/>
    <s v="Gris"/>
    <s v="Adidas"/>
    <s v="MER-A0-0524"/>
    <d v="2025-06-01T00:00:00"/>
    <x v="1"/>
    <n v="19.309999999999999"/>
    <n v="0.1"/>
    <n v="174"/>
    <x v="0"/>
    <s v="No"/>
    <d v="2025-06-01T00:00:00"/>
    <n v="0"/>
  </r>
  <r>
    <s v="DEP-A0-0040"/>
    <x v="0"/>
    <n v="40"/>
    <x v="1"/>
    <s v="Falda"/>
    <s v="Amarillo"/>
    <s v="Puma"/>
    <s v="MER-A0-0040"/>
    <d v="2025-06-26T00:00:00"/>
    <x v="1"/>
    <n v="23.99"/>
    <n v="0"/>
    <n v="176.68"/>
    <x v="0"/>
    <s v="No"/>
    <d v="2025-06-26T00:00:00"/>
    <n v="0"/>
  </r>
  <r>
    <s v="DEP-A0-0571"/>
    <x v="0"/>
    <n v="49"/>
    <x v="1"/>
    <s v="Blusa"/>
    <s v="Amarillo"/>
    <s v="Zara"/>
    <s v="MER-A0-0571"/>
    <d v="2025-06-29T00:00:00"/>
    <x v="1"/>
    <n v="28.66"/>
    <n v="0.1"/>
    <n v="178.98"/>
    <x v="0"/>
    <s v="No"/>
    <d v="2025-06-29T00:00:00"/>
    <n v="0"/>
  </r>
  <r>
    <s v="DEP-A0-0277"/>
    <x v="0"/>
    <n v="36"/>
    <x v="1"/>
    <s v="Blusa"/>
    <s v="Negro"/>
    <s v="Tommy"/>
    <s v="MER-A0-0277"/>
    <d v="2025-06-22T00:00:00"/>
    <x v="1"/>
    <n v="30.08"/>
    <n v="0.3"/>
    <n v="179.00099999999998"/>
    <x v="0"/>
    <s v="No"/>
    <d v="2025-06-22T00:00:00"/>
    <n v="0"/>
  </r>
  <r>
    <s v="DEP-A0-0472"/>
    <x v="1"/>
    <n v="62"/>
    <x v="1"/>
    <s v="Pantalón"/>
    <s v="Verde"/>
    <s v="Adidas"/>
    <s v="MER-A0-0472"/>
    <d v="2025-06-03T00:00:00"/>
    <x v="1"/>
    <n v="31.54"/>
    <n v="0.3"/>
    <n v="179.11799999999999"/>
    <x v="0"/>
    <s v="No"/>
    <d v="2025-06-03T00:00:00"/>
    <n v="0"/>
  </r>
  <r>
    <s v="DEP-A0-4798"/>
    <x v="0"/>
    <n v="63"/>
    <x v="1"/>
    <s v="Blusa"/>
    <s v="Amarillo"/>
    <s v="Zara"/>
    <s v="MER-A0-4798"/>
    <d v="2025-06-26T00:00:00"/>
    <x v="1"/>
    <n v="36.25"/>
    <n v="0"/>
    <n v="180.77"/>
    <x v="0"/>
    <s v="No"/>
    <d v="2025-06-26T00:00:00"/>
    <n v="0"/>
  </r>
  <r>
    <s v="DEP-A0-1872"/>
    <x v="1"/>
    <n v="55"/>
    <x v="1"/>
    <s v="Zapatos"/>
    <s v="Gris"/>
    <s v="Levis"/>
    <s v="MER-A0-1872"/>
    <d v="2025-06-05T00:00:00"/>
    <x v="1"/>
    <n v="50.65"/>
    <n v="0.2"/>
    <n v="185.43"/>
    <x v="0"/>
    <s v="No"/>
    <d v="2025-06-05T00:00:00"/>
    <n v="0"/>
  </r>
  <r>
    <s v="DEP-A0-4172"/>
    <x v="0"/>
    <n v="55"/>
    <x v="1"/>
    <s v="Zapatos"/>
    <s v="Verde"/>
    <s v="Levis"/>
    <s v="MER-A0-4172"/>
    <d v="2025-06-18T00:00:00"/>
    <x v="1"/>
    <n v="53.64"/>
    <n v="0"/>
    <n v="187.72"/>
    <x v="0"/>
    <s v="No"/>
    <d v="2025-06-18T00:00:00"/>
    <n v="0"/>
  </r>
  <r>
    <s v="DEP-A0-3096"/>
    <x v="1"/>
    <n v="36"/>
    <x v="1"/>
    <s v="Zapatos"/>
    <s v="Blanco"/>
    <s v="Nike"/>
    <s v="MER-A0-3096"/>
    <d v="2025-06-30T00:00:00"/>
    <x v="1"/>
    <n v="56.93"/>
    <n v="0.3"/>
    <n v="189.02"/>
    <x v="0"/>
    <s v="No"/>
    <d v="2025-06-30T00:00:00"/>
    <n v="0"/>
  </r>
  <r>
    <s v="DEP-A0-1789"/>
    <x v="1"/>
    <n v="41"/>
    <x v="1"/>
    <s v="Pantalón"/>
    <s v="Amarillo"/>
    <s v="Mango"/>
    <s v="MER-A0-1789"/>
    <d v="2025-06-06T00:00:00"/>
    <x v="1"/>
    <n v="64.42"/>
    <n v="0.1"/>
    <n v="191.96"/>
    <x v="0"/>
    <s v="No"/>
    <d v="2025-06-06T00:00:00"/>
    <n v="0"/>
  </r>
  <r>
    <s v="DEP-A0-3241"/>
    <x v="0"/>
    <n v="53"/>
    <x v="1"/>
    <s v="Falda"/>
    <s v="Amarillo"/>
    <s v="Levis"/>
    <s v="MER-A0-3241"/>
    <d v="2025-06-17T00:00:00"/>
    <x v="1"/>
    <n v="68.83"/>
    <n v="0"/>
    <n v="194.78"/>
    <x v="0"/>
    <s v="No"/>
    <d v="2025-06-17T00:00:00"/>
    <n v="0"/>
  </r>
  <r>
    <s v="DEP-A0-1014"/>
    <x v="0"/>
    <n v="40"/>
    <x v="1"/>
    <s v="Falda"/>
    <s v="Gris"/>
    <s v="Tommy"/>
    <s v="MER-A0-1014"/>
    <d v="2025-06-28T00:00:00"/>
    <x v="1"/>
    <n v="75.03"/>
    <n v="0.2"/>
    <n v="195.85"/>
    <x v="0"/>
    <s v="No"/>
    <d v="2025-06-28T00:00:00"/>
    <n v="0"/>
  </r>
  <r>
    <s v="DEP-A0-3394"/>
    <x v="0"/>
    <n v="52"/>
    <x v="1"/>
    <s v="Blusa"/>
    <s v="Verde"/>
    <s v="Adidas"/>
    <s v="MER-A0-3394"/>
    <d v="2025-06-12T00:00:00"/>
    <x v="1"/>
    <n v="77.36"/>
    <n v="0"/>
    <n v="132.29300000000001"/>
    <x v="0"/>
    <s v="No"/>
    <d v="2025-06-12T00:00:00"/>
    <n v="0"/>
  </r>
  <r>
    <s v="DEP-A0-1338"/>
    <x v="0"/>
    <n v="46"/>
    <x v="1"/>
    <s v="Vestido"/>
    <s v="Rojo"/>
    <s v="Mango"/>
    <s v="MER-A0-1338"/>
    <d v="2025-06-12T00:00:00"/>
    <x v="1"/>
    <n v="83.35"/>
    <n v="0.2"/>
    <n v="137.50800000000001"/>
    <x v="0"/>
    <s v="No"/>
    <d v="2025-06-12T00:00:00"/>
    <n v="0"/>
  </r>
  <r>
    <s v="DEP-A0-3161"/>
    <x v="0"/>
    <n v="38"/>
    <x v="1"/>
    <s v="Vestido"/>
    <s v="Azul"/>
    <s v="Zara"/>
    <s v="MER-A0-3161"/>
    <d v="2025-06-02T00:00:00"/>
    <x v="1"/>
    <n v="83.67"/>
    <n v="0.1"/>
    <n v="177.696"/>
    <x v="0"/>
    <s v="No"/>
    <d v="2025-06-02T00:00:00"/>
    <n v="0"/>
  </r>
  <r>
    <s v="DEP-A0-4441"/>
    <x v="0"/>
    <n v="58"/>
    <x v="1"/>
    <s v="Falda"/>
    <s v="Rojo"/>
    <s v="Levis"/>
    <s v="MER-A0-4441"/>
    <d v="2025-06-09T00:00:00"/>
    <x v="1"/>
    <n v="83.92"/>
    <n v="0.1"/>
    <n v="98.567000000000007"/>
    <x v="0"/>
    <s v="No"/>
    <d v="2025-06-09T00:00:00"/>
    <n v="0"/>
  </r>
  <r>
    <s v="DEP-A0-0379"/>
    <x v="1"/>
    <n v="54"/>
    <x v="1"/>
    <s v="Camisa"/>
    <s v="Blanco"/>
    <s v="Puma"/>
    <s v="MER-A0-0379"/>
    <d v="2025-06-07T00:00:00"/>
    <x v="1"/>
    <n v="86.58"/>
    <n v="0"/>
    <n v="106.968"/>
    <x v="0"/>
    <s v="No"/>
    <d v="2025-06-07T00:00:00"/>
    <n v="0"/>
  </r>
  <r>
    <s v="DEP-A0-4984"/>
    <x v="1"/>
    <n v="49"/>
    <x v="1"/>
    <s v="Pantalón"/>
    <s v="Rojo"/>
    <s v="Zara"/>
    <s v="MER-A0-4984"/>
    <d v="2025-06-14T00:00:00"/>
    <x v="1"/>
    <n v="95.41"/>
    <n v="0.3"/>
    <n v="147.096"/>
    <x v="0"/>
    <s v="No"/>
    <d v="2025-06-14T00:00:00"/>
    <n v="0"/>
  </r>
  <r>
    <s v="DEP-A0-1447"/>
    <x v="1"/>
    <n v="47"/>
    <x v="1"/>
    <s v="Zapatos"/>
    <s v="Rojo"/>
    <s v="Mango"/>
    <s v="MER-A0-1447"/>
    <d v="2025-06-15T00:00:00"/>
    <x v="1"/>
    <n v="96"/>
    <n v="0.3"/>
    <n v="120.46400000000001"/>
    <x v="0"/>
    <s v="No"/>
    <d v="2025-06-15T00:00:00"/>
    <n v="0"/>
  </r>
  <r>
    <s v="DEP-A0-2694"/>
    <x v="0"/>
    <n v="58"/>
    <x v="1"/>
    <s v="Blusa"/>
    <s v="Gris"/>
    <s v="Mango"/>
    <s v="MER-A0-2694"/>
    <d v="2025-06-19T00:00:00"/>
    <x v="1"/>
    <n v="117.68"/>
    <n v="0.1"/>
    <n v="171.54"/>
    <x v="0"/>
    <s v="No"/>
    <d v="2025-06-19T00:00:00"/>
    <n v="0"/>
  </r>
  <r>
    <s v="DEP-A0-4036"/>
    <x v="0"/>
    <n v="56"/>
    <x v="1"/>
    <s v="Vestido"/>
    <s v="Negro"/>
    <s v="Mango"/>
    <s v="MER-A0-4036"/>
    <d v="2025-06-28T00:00:00"/>
    <x v="1"/>
    <n v="121.45"/>
    <n v="0.2"/>
    <n v="38.073"/>
    <x v="0"/>
    <s v="No"/>
    <d v="2025-06-28T00:00:00"/>
    <n v="0"/>
  </r>
  <r>
    <s v="DEP-A0-3398"/>
    <x v="0"/>
    <n v="53"/>
    <x v="1"/>
    <s v="Falda"/>
    <s v="Amarillo"/>
    <s v="Nike"/>
    <s v="MER-A0-3398"/>
    <d v="2025-06-03T00:00:00"/>
    <x v="1"/>
    <n v="128.9"/>
    <n v="0.1"/>
    <n v="112.26599999999999"/>
    <x v="0"/>
    <s v="No"/>
    <d v="2025-06-03T00:00:00"/>
    <n v="0"/>
  </r>
  <r>
    <s v="DEP-A0-1976"/>
    <x v="0"/>
    <n v="47"/>
    <x v="1"/>
    <s v="Falda"/>
    <s v="Rojo"/>
    <s v="Puma"/>
    <s v="MER-A0-1976"/>
    <d v="2025-06-22T00:00:00"/>
    <x v="1"/>
    <n v="129.66999999999999"/>
    <n v="0.1"/>
    <n v="21.048999999999999"/>
    <x v="0"/>
    <s v="No"/>
    <d v="2025-06-22T00:00:00"/>
    <n v="0"/>
  </r>
  <r>
    <s v="DEP-A0-4053"/>
    <x v="0"/>
    <n v="49"/>
    <x v="1"/>
    <s v="Vestido"/>
    <s v="Negro"/>
    <s v="Tommy"/>
    <s v="MER-A0-4053"/>
    <d v="2025-06-10T00:00:00"/>
    <x v="1"/>
    <n v="134.16999999999999"/>
    <n v="0.1"/>
    <n v="131.83199999999999"/>
    <x v="0"/>
    <s v="No"/>
    <d v="2025-06-10T00:00:00"/>
    <n v="0"/>
  </r>
  <r>
    <s v="DEP-A0-4075"/>
    <x v="0"/>
    <n v="40"/>
    <x v="1"/>
    <s v="Pantalón"/>
    <s v="Rojo"/>
    <s v="Nike"/>
    <s v="MER-A0-4075"/>
    <d v="2025-06-20T00:00:00"/>
    <x v="1"/>
    <n v="135.91999999999999"/>
    <n v="0.2"/>
    <n v="34.201999999999998"/>
    <x v="0"/>
    <s v="No"/>
    <d v="2025-06-20T00:00:00"/>
    <n v="0"/>
  </r>
  <r>
    <s v="DEP-A0-0314"/>
    <x v="0"/>
    <n v="44"/>
    <x v="1"/>
    <s v="Falda"/>
    <s v="Azul"/>
    <s v="Mango"/>
    <s v="MER-A0-0314"/>
    <d v="2025-06-18T00:00:00"/>
    <x v="1"/>
    <n v="140.30000000000001"/>
    <n v="0"/>
    <n v="10.998000000000001"/>
    <x v="0"/>
    <s v="No"/>
    <d v="2025-06-18T00:00:00"/>
    <n v="0"/>
  </r>
  <r>
    <s v="DEP-A0-4087"/>
    <x v="1"/>
    <n v="58"/>
    <x v="1"/>
    <s v="Zapatos"/>
    <s v="Negro"/>
    <s v="Levis"/>
    <s v="MER-A0-4087"/>
    <d v="2025-06-18T00:00:00"/>
    <x v="1"/>
    <n v="144.16"/>
    <n v="0.2"/>
    <n v="20.39"/>
    <x v="0"/>
    <s v="No"/>
    <d v="2025-06-18T00:00:00"/>
    <n v="0"/>
  </r>
  <r>
    <s v="DEP-A0-3510"/>
    <x v="0"/>
    <n v="58"/>
    <x v="1"/>
    <s v="Blusa"/>
    <s v="Amarillo"/>
    <s v="Zara"/>
    <s v="MER-A0-3510"/>
    <d v="2025-06-24T00:00:00"/>
    <x v="1"/>
    <n v="147.15"/>
    <n v="0.2"/>
    <n v="20.106000000000002"/>
    <x v="0"/>
    <s v="No"/>
    <d v="2025-06-24T00:00:00"/>
    <n v="0"/>
  </r>
  <r>
    <s v="DEP-A0-1232"/>
    <x v="0"/>
    <n v="58"/>
    <x v="1"/>
    <s v="Camisa"/>
    <s v="Amarillo"/>
    <s v="Adidas"/>
    <s v="MER-A0-1232"/>
    <d v="2025-06-08T00:00:00"/>
    <x v="1"/>
    <n v="149.37"/>
    <n v="0.3"/>
    <n v="22.92"/>
    <x v="0"/>
    <s v="No"/>
    <d v="2025-06-08T00:00:00"/>
    <n v="0"/>
  </r>
  <r>
    <s v="DEP-A0-2232"/>
    <x v="0"/>
    <n v="63"/>
    <x v="1"/>
    <s v="Camisa"/>
    <s v="Blanco"/>
    <s v="Levis"/>
    <s v="MER-A0-2232"/>
    <d v="2025-06-26T00:00:00"/>
    <x v="1"/>
    <n v="158"/>
    <n v="0.1"/>
    <n v="46.34"/>
    <x v="0"/>
    <s v="No"/>
    <d v="2025-06-26T00:00:00"/>
    <n v="0"/>
  </r>
  <r>
    <s v="DEP-A0-4371"/>
    <x v="1"/>
    <n v="48"/>
    <x v="1"/>
    <s v="Zapatos"/>
    <s v="Azul"/>
    <s v="Levis"/>
    <s v="MER-A0-4371"/>
    <d v="2025-06-03T00:00:00"/>
    <x v="1"/>
    <n v="160.77000000000001"/>
    <n v="0.3"/>
    <n v="52.597999999999999"/>
    <x v="0"/>
    <s v="No"/>
    <d v="2025-06-03T00:00:00"/>
    <n v="0"/>
  </r>
  <r>
    <s v="DEP-A0-1444"/>
    <x v="1"/>
    <n v="55"/>
    <x v="1"/>
    <s v="Zapatos"/>
    <s v="Gris"/>
    <s v="Adidas"/>
    <s v="MER-A0-1444"/>
    <d v="2025-06-03T00:00:00"/>
    <x v="1"/>
    <n v="162.43"/>
    <n v="0"/>
    <n v="53.053000000000004"/>
    <x v="0"/>
    <s v="No"/>
    <d v="2025-06-03T00:00:00"/>
    <n v="0"/>
  </r>
  <r>
    <s v="DEP-A0-2062"/>
    <x v="0"/>
    <n v="62"/>
    <x v="1"/>
    <s v="Pantalón"/>
    <s v="Rojo"/>
    <s v="Nike"/>
    <s v="MER-A0-2062"/>
    <d v="2025-06-06T00:00:00"/>
    <x v="1"/>
    <n v="163.88"/>
    <n v="0.3"/>
    <n v="125.67"/>
    <x v="0"/>
    <s v="No"/>
    <d v="2025-06-06T00:00:00"/>
    <n v="0"/>
  </r>
  <r>
    <s v="DEP-A0-0957"/>
    <x v="1"/>
    <n v="63"/>
    <x v="1"/>
    <s v="Camisa"/>
    <s v="Negro"/>
    <s v="Nike"/>
    <s v="MER-A0-0957"/>
    <d v="2025-06-12T00:00:00"/>
    <x v="1"/>
    <n v="174.91"/>
    <n v="0.3"/>
    <n v="110.54400000000001"/>
    <x v="0"/>
    <s v="No"/>
    <d v="2025-06-12T00:00:00"/>
    <n v="0"/>
  </r>
  <r>
    <s v="DEP-A0-2293"/>
    <x v="0"/>
    <n v="44"/>
    <x v="1"/>
    <s v="Chaqueta"/>
    <s v="Negro"/>
    <s v="Levis"/>
    <s v="MER-A0-2293"/>
    <d v="2025-06-23T00:00:00"/>
    <x v="1"/>
    <n v="176.73"/>
    <n v="0.3"/>
    <n v="138.97999999999999"/>
    <x v="0"/>
    <s v="No"/>
    <d v="2025-06-23T00:00:00"/>
    <n v="0"/>
  </r>
  <r>
    <s v="DEP-A0-4434"/>
    <x v="0"/>
    <n v="50"/>
    <x v="1"/>
    <s v="Falda"/>
    <s v="Azul"/>
    <s v="Tommy"/>
    <s v="MER-A0-4434"/>
    <d v="2025-06-19T00:00:00"/>
    <x v="1"/>
    <n v="176.73"/>
    <n v="0.2"/>
    <n v="97.454000000000008"/>
    <x v="0"/>
    <s v="No"/>
    <d v="2025-06-19T00:00:00"/>
    <n v="0"/>
  </r>
  <r>
    <s v="DEP-A0-2699"/>
    <x v="0"/>
    <n v="56"/>
    <x v="1"/>
    <s v="Zapatos"/>
    <s v="Amarillo"/>
    <s v="Nike"/>
    <s v="MER-A0-2699"/>
    <d v="2025-06-02T00:00:00"/>
    <x v="1"/>
    <n v="178.47"/>
    <n v="0.2"/>
    <n v="143.96"/>
    <x v="0"/>
    <s v="No"/>
    <d v="2025-06-02T00:00:00"/>
    <n v="0"/>
  </r>
  <r>
    <s v="DEP-A0-4137"/>
    <x v="0"/>
    <n v="59"/>
    <x v="1"/>
    <s v="Zapatos"/>
    <s v="Gris"/>
    <s v="Mango"/>
    <s v="MER-A0-4137"/>
    <d v="2025-06-17T00:00:00"/>
    <x v="1"/>
    <n v="178.8"/>
    <n v="0.2"/>
    <n v="130.67099999999999"/>
    <x v="0"/>
    <s v="No"/>
    <d v="2025-06-17T00:00:00"/>
    <n v="0"/>
  </r>
  <r>
    <s v="DEP-A0-1758"/>
    <x v="0"/>
    <n v="52"/>
    <x v="1"/>
    <s v="Camisa"/>
    <s v="Amarillo"/>
    <s v="Nike"/>
    <s v="MER-A0-1758"/>
    <d v="2025-06-24T00:00:00"/>
    <x v="1"/>
    <n v="183.94"/>
    <n v="0.2"/>
    <n v="136.44399999999999"/>
    <x v="0"/>
    <s v="No"/>
    <d v="2025-06-24T00:00:00"/>
    <n v="0"/>
  </r>
  <r>
    <s v="DEP-A0-3635"/>
    <x v="0"/>
    <n v="47"/>
    <x v="1"/>
    <s v="Pantalón"/>
    <s v="Rojo"/>
    <s v="Zara"/>
    <s v="MER-A0-3635"/>
    <d v="2025-06-02T00:00:00"/>
    <x v="1"/>
    <n v="188.64"/>
    <n v="0.2"/>
    <n v="11.795000000000002"/>
    <x v="0"/>
    <s v="No"/>
    <d v="2025-06-02T00:00:00"/>
    <n v="0"/>
  </r>
  <r>
    <s v="DEP-A0-3684"/>
    <x v="1"/>
    <n v="63"/>
    <x v="1"/>
    <s v="Zapatos"/>
    <s v="Verde"/>
    <s v="Mango"/>
    <s v="MER-A0-3684"/>
    <d v="2025-06-27T00:00:00"/>
    <x v="1"/>
    <n v="195.27"/>
    <n v="0"/>
    <n v="78.668999999999997"/>
    <x v="0"/>
    <s v="No"/>
    <d v="2025-06-27T00:00:00"/>
    <n v="0"/>
  </r>
  <r>
    <s v="DEP-A0-0812"/>
    <x v="0"/>
    <n v="62"/>
    <x v="1"/>
    <s v="Vestido"/>
    <s v="Rojo"/>
    <s v="Zara"/>
    <s v="MER-A0-0812"/>
    <d v="2025-06-26T00:00:00"/>
    <x v="1"/>
    <n v="197.28"/>
    <n v="0.1"/>
    <n v="89.37"/>
    <x v="0"/>
    <s v="No"/>
    <d v="2025-06-26T00:00:00"/>
    <n v="0"/>
  </r>
  <r>
    <s v="DEP-A0-4529"/>
    <x v="0"/>
    <n v="48"/>
    <x v="1"/>
    <s v="Camisa"/>
    <s v="Verde"/>
    <s v="Puma"/>
    <s v="MER-A0-4529"/>
    <d v="2025-06-25T00:00:00"/>
    <x v="1"/>
    <n v="197.86"/>
    <n v="0.1"/>
    <n v="92.05"/>
    <x v="0"/>
    <s v="No"/>
    <d v="2025-06-25T00:00:00"/>
    <n v="0"/>
  </r>
  <r>
    <s v="DEP-A0-4185"/>
    <x v="1"/>
    <n v="61"/>
    <x v="1"/>
    <s v="Chaqueta"/>
    <s v="Gris"/>
    <s v="Mango"/>
    <s v="MER-A0-4185"/>
    <d v="2025-07-22T00:00:00"/>
    <x v="1"/>
    <n v="14"/>
    <n v="0"/>
    <n v="74.015999999999991"/>
    <x v="0"/>
    <s v="No"/>
    <d v="2025-07-22T00:00:00"/>
    <n v="0"/>
  </r>
  <r>
    <s v="DEP-A0-1716"/>
    <x v="1"/>
    <n v="42"/>
    <x v="1"/>
    <s v="Camisa"/>
    <s v="Negro"/>
    <s v="Puma"/>
    <s v="MER-A0-1716"/>
    <d v="2025-07-08T00:00:00"/>
    <x v="1"/>
    <n v="20.36"/>
    <n v="0.3"/>
    <n v="116.024"/>
    <x v="0"/>
    <s v="No"/>
    <d v="2025-07-08T00:00:00"/>
    <n v="0"/>
  </r>
  <r>
    <s v="DEP-A0-4149"/>
    <x v="0"/>
    <n v="62"/>
    <x v="1"/>
    <s v="Vestido"/>
    <s v="Verde"/>
    <s v="Zara"/>
    <s v="MER-A0-4149"/>
    <d v="2025-07-14T00:00:00"/>
    <x v="1"/>
    <n v="20.79"/>
    <n v="0.1"/>
    <n v="145.47"/>
    <x v="0"/>
    <s v="No"/>
    <d v="2025-07-14T00:00:00"/>
    <n v="0"/>
  </r>
  <r>
    <s v="DEP-A0-3771"/>
    <x v="0"/>
    <n v="39"/>
    <x v="1"/>
    <s v="Falda"/>
    <s v="Negro"/>
    <s v="Adidas"/>
    <s v="MER-A0-3771"/>
    <d v="2025-07-06T00:00:00"/>
    <x v="1"/>
    <n v="24.82"/>
    <n v="0.1"/>
    <n v="117.024"/>
    <x v="0"/>
    <s v="No"/>
    <d v="2025-07-06T00:00:00"/>
    <n v="0"/>
  </r>
  <r>
    <s v="DEP-A0-4561"/>
    <x v="1"/>
    <n v="51"/>
    <x v="1"/>
    <s v="Chaqueta"/>
    <s v="Gris"/>
    <s v="Nike"/>
    <s v="MER-A0-4561"/>
    <d v="2025-07-16T00:00:00"/>
    <x v="1"/>
    <n v="24.86"/>
    <n v="0.3"/>
    <n v="186.02"/>
    <x v="0"/>
    <s v="No"/>
    <d v="2025-07-16T00:00:00"/>
    <n v="0"/>
  </r>
  <r>
    <s v="DEP-A0-3532"/>
    <x v="0"/>
    <n v="46"/>
    <x v="1"/>
    <s v="Vestido"/>
    <s v="Azul"/>
    <s v="Levis"/>
    <s v="MER-A0-3532"/>
    <d v="2025-07-17T00:00:00"/>
    <x v="1"/>
    <n v="26.63"/>
    <n v="0.3"/>
    <n v="9.1440000000000001"/>
    <x v="0"/>
    <s v="No"/>
    <d v="2025-07-17T00:00:00"/>
    <n v="0"/>
  </r>
  <r>
    <s v="DEP-A0-3106"/>
    <x v="1"/>
    <n v="58"/>
    <x v="1"/>
    <s v="Chaqueta"/>
    <s v="Amarillo"/>
    <s v="Levis"/>
    <s v="MER-A0-3106"/>
    <d v="2025-07-10T00:00:00"/>
    <x v="1"/>
    <n v="27.24"/>
    <n v="0.2"/>
    <n v="9.4559999999999995"/>
    <x v="0"/>
    <s v="No"/>
    <d v="2025-07-10T00:00:00"/>
    <n v="0"/>
  </r>
  <r>
    <s v="DEP-A0-0771"/>
    <x v="0"/>
    <n v="49"/>
    <x v="1"/>
    <s v="Camisa"/>
    <s v="Gris"/>
    <s v="Nike"/>
    <s v="MER-A0-0771"/>
    <d v="2025-07-15T00:00:00"/>
    <x v="1"/>
    <n v="27.85"/>
    <n v="0.1"/>
    <n v="13.85"/>
    <x v="0"/>
    <s v="No"/>
    <d v="2025-07-15T00:00:00"/>
    <n v="0"/>
  </r>
  <r>
    <s v="DEP-A0-1077"/>
    <x v="0"/>
    <n v="61"/>
    <x v="1"/>
    <s v="Vestido"/>
    <s v="Gris"/>
    <s v="Tommy"/>
    <s v="MER-A0-1077"/>
    <d v="2025-07-28T00:00:00"/>
    <x v="1"/>
    <n v="34.31"/>
    <n v="0.2"/>
    <n v="33.35"/>
    <x v="0"/>
    <s v="No"/>
    <d v="2025-07-28T00:00:00"/>
    <n v="0"/>
  </r>
  <r>
    <s v="DEP-A0-4203"/>
    <x v="1"/>
    <n v="59"/>
    <x v="1"/>
    <s v="Chaqueta"/>
    <s v="Amarillo"/>
    <s v="Mango"/>
    <s v="MER-A0-4203"/>
    <d v="2025-07-02T00:00:00"/>
    <x v="1"/>
    <n v="34.56"/>
    <n v="0"/>
    <n v="30.896999999999998"/>
    <x v="0"/>
    <s v="No"/>
    <d v="2025-07-02T00:00:00"/>
    <n v="0"/>
  </r>
  <r>
    <s v="DEP-A0-0884"/>
    <x v="0"/>
    <n v="45"/>
    <x v="1"/>
    <s v="Falda"/>
    <s v="Azul"/>
    <s v="Puma"/>
    <s v="MER-A0-0884"/>
    <d v="2025-07-29T00:00:00"/>
    <x v="1"/>
    <n v="37.42"/>
    <n v="0.1"/>
    <n v="32.480000000000004"/>
    <x v="0"/>
    <s v="No"/>
    <d v="2025-07-29T00:00:00"/>
    <n v="0"/>
  </r>
  <r>
    <s v="DEP-A0-4719"/>
    <x v="1"/>
    <n v="47"/>
    <x v="1"/>
    <s v="Zapatos"/>
    <s v="Verde"/>
    <s v="Mango"/>
    <s v="MER-A0-4719"/>
    <d v="2025-07-18T00:00:00"/>
    <x v="1"/>
    <n v="38"/>
    <n v="0.1"/>
    <n v="36.972000000000001"/>
    <x v="0"/>
    <s v="No"/>
    <d v="2025-07-18T00:00:00"/>
    <n v="0"/>
  </r>
  <r>
    <s v="DEP-A0-3338"/>
    <x v="0"/>
    <n v="53"/>
    <x v="1"/>
    <s v="Falda"/>
    <s v="Amarillo"/>
    <s v="Zara"/>
    <s v="MER-A0-3338"/>
    <d v="2025-07-21T00:00:00"/>
    <x v="1"/>
    <n v="39.869999999999997"/>
    <n v="0.1"/>
    <n v="32.998000000000005"/>
    <x v="0"/>
    <s v="No"/>
    <d v="2025-07-21T00:00:00"/>
    <n v="0"/>
  </r>
  <r>
    <s v="DEP-A0-2531"/>
    <x v="1"/>
    <n v="58"/>
    <x v="1"/>
    <s v="Zapatos"/>
    <s v="Rojo"/>
    <s v="Adidas"/>
    <s v="MER-A0-2531"/>
    <d v="2025-07-01T00:00:00"/>
    <x v="1"/>
    <n v="49.29"/>
    <n v="0.1"/>
    <n v="51.308999999999997"/>
    <x v="0"/>
    <s v="No"/>
    <d v="2025-07-01T00:00:00"/>
    <n v="0"/>
  </r>
  <r>
    <s v="DEP-A0-3797"/>
    <x v="1"/>
    <n v="45"/>
    <x v="1"/>
    <s v="Pantalón"/>
    <s v="Negro"/>
    <s v="Levis"/>
    <s v="MER-A0-3797"/>
    <d v="2025-07-01T00:00:00"/>
    <x v="1"/>
    <n v="56.82"/>
    <n v="0.3"/>
    <n v="56.835000000000001"/>
    <x v="0"/>
    <s v="No"/>
    <d v="2025-07-01T00:00:00"/>
    <n v="0"/>
  </r>
  <r>
    <s v="DEP-A0-4983"/>
    <x v="0"/>
    <n v="45"/>
    <x v="1"/>
    <s v="Chaqueta"/>
    <s v="Gris"/>
    <s v="Puma"/>
    <s v="MER-A0-4983"/>
    <d v="2025-07-29T00:00:00"/>
    <x v="1"/>
    <n v="57.37"/>
    <n v="0.3"/>
    <n v="60.272999999999996"/>
    <x v="0"/>
    <s v="No"/>
    <d v="2025-07-29T00:00:00"/>
    <n v="0"/>
  </r>
  <r>
    <s v="DEP-A0-2101"/>
    <x v="0"/>
    <n v="47"/>
    <x v="1"/>
    <s v="Blusa"/>
    <s v="Azul"/>
    <s v="Levis"/>
    <s v="MER-A0-2101"/>
    <d v="2025-07-25T00:00:00"/>
    <x v="1"/>
    <n v="59.53"/>
    <n v="0"/>
    <n v="47.292000000000002"/>
    <x v="0"/>
    <s v="No"/>
    <d v="2025-07-25T00:00:00"/>
    <n v="0"/>
  </r>
  <r>
    <s v="DEP-A0-1661"/>
    <x v="0"/>
    <n v="58"/>
    <x v="1"/>
    <s v="Falda"/>
    <s v="Azul"/>
    <s v="Adidas"/>
    <s v="MER-A0-1661"/>
    <d v="2025-07-04T00:00:00"/>
    <x v="1"/>
    <n v="67.680000000000007"/>
    <n v="0.1"/>
    <n v="73.224000000000004"/>
    <x v="0"/>
    <s v="No"/>
    <d v="2025-07-04T00:00:00"/>
    <n v="0"/>
  </r>
  <r>
    <s v="DEP-A0-4097"/>
    <x v="0"/>
    <n v="58"/>
    <x v="1"/>
    <s v="Zapatos"/>
    <s v="Blanco"/>
    <s v="Tommy"/>
    <s v="MER-A0-4097"/>
    <d v="2025-07-17T00:00:00"/>
    <x v="1"/>
    <n v="67.92"/>
    <n v="0.3"/>
    <n v="115.93"/>
    <x v="0"/>
    <s v="No"/>
    <d v="2025-07-17T00:00:00"/>
    <n v="0"/>
  </r>
  <r>
    <s v="DEP-A0-0678"/>
    <x v="0"/>
    <n v="65"/>
    <x v="1"/>
    <s v="Zapatos"/>
    <s v="Azul"/>
    <s v="Puma"/>
    <s v="MER-A0-0678"/>
    <d v="2025-07-06T00:00:00"/>
    <x v="1"/>
    <n v="68.599999999999994"/>
    <n v="0.1"/>
    <n v="108.52199999999999"/>
    <x v="0"/>
    <s v="No"/>
    <d v="2025-07-06T00:00:00"/>
    <n v="0"/>
  </r>
  <r>
    <s v="DEP-A0-4223"/>
    <x v="1"/>
    <n v="41"/>
    <x v="1"/>
    <s v="Chaqueta"/>
    <s v="Verde"/>
    <s v="Tommy"/>
    <s v="MER-A0-4223"/>
    <d v="2025-07-25T00:00:00"/>
    <x v="1"/>
    <n v="69.81"/>
    <n v="0"/>
    <n v="87.135999999999996"/>
    <x v="0"/>
    <s v="No"/>
    <d v="2025-07-25T00:00:00"/>
    <n v="0"/>
  </r>
  <r>
    <s v="DEP-A0-4432"/>
    <x v="1"/>
    <n v="63"/>
    <x v="1"/>
    <s v="Chaqueta"/>
    <s v="Rojo"/>
    <s v="Nike"/>
    <s v="MER-A0-4432"/>
    <d v="2025-07-19T00:00:00"/>
    <x v="1"/>
    <n v="76.61"/>
    <n v="0"/>
    <n v="121.36499999999999"/>
    <x v="0"/>
    <s v="No"/>
    <d v="2025-07-19T00:00:00"/>
    <n v="0"/>
  </r>
  <r>
    <s v="DEP-A0-2393"/>
    <x v="0"/>
    <n v="58"/>
    <x v="1"/>
    <s v="Falda"/>
    <s v="Negro"/>
    <s v="Zara"/>
    <s v="MER-A0-2393"/>
    <d v="2025-07-17T00:00:00"/>
    <x v="1"/>
    <n v="76.75"/>
    <n v="0.1"/>
    <n v="135.4"/>
    <x v="0"/>
    <s v="No"/>
    <d v="2025-07-17T00:00:00"/>
    <n v="0"/>
  </r>
  <r>
    <s v="DEP-A0-0358"/>
    <x v="0"/>
    <n v="38"/>
    <x v="1"/>
    <s v="Blusa"/>
    <s v="Rojo"/>
    <s v="Tommy"/>
    <s v="MER-A0-0358"/>
    <d v="2025-07-23T00:00:00"/>
    <x v="1"/>
    <n v="77.540000000000006"/>
    <n v="0"/>
    <n v="114.864"/>
    <x v="0"/>
    <s v="No"/>
    <d v="2025-07-23T00:00:00"/>
    <n v="0"/>
  </r>
  <r>
    <s v="DEP-A0-2471"/>
    <x v="0"/>
    <n v="42"/>
    <x v="1"/>
    <s v="Blusa"/>
    <s v="Rojo"/>
    <s v="Tommy"/>
    <s v="MER-A0-2471"/>
    <d v="2025-07-10T00:00:00"/>
    <x v="1"/>
    <n v="77.760000000000005"/>
    <n v="0.1"/>
    <n v="159.93"/>
    <x v="0"/>
    <s v="No"/>
    <d v="2025-07-10T00:00:00"/>
    <n v="0"/>
  </r>
  <r>
    <s v="DEP-A0-4150"/>
    <x v="0"/>
    <n v="46"/>
    <x v="1"/>
    <s v="Blusa"/>
    <s v="Amarillo"/>
    <s v="Tommy"/>
    <s v="MER-A0-4150"/>
    <d v="2025-07-11T00:00:00"/>
    <x v="1"/>
    <n v="80.430000000000007"/>
    <n v="0.2"/>
    <n v="160.46099999999998"/>
    <x v="0"/>
    <s v="No"/>
    <d v="2025-07-11T00:00:00"/>
    <n v="0"/>
  </r>
  <r>
    <s v="DEP-A0-2890"/>
    <x v="0"/>
    <n v="61"/>
    <x v="1"/>
    <s v="Falda"/>
    <s v="Blanco"/>
    <s v="Mango"/>
    <s v="MER-A0-2890"/>
    <d v="2025-07-06T00:00:00"/>
    <x v="1"/>
    <n v="82.3"/>
    <n v="0.2"/>
    <n v="163.55699999999999"/>
    <x v="0"/>
    <s v="No"/>
    <d v="2025-07-06T00:00:00"/>
    <n v="0"/>
  </r>
  <r>
    <s v="DEP-A0-4906"/>
    <x v="1"/>
    <n v="51"/>
    <x v="1"/>
    <s v="Camisa"/>
    <s v="Gris"/>
    <s v="Zara"/>
    <s v="MER-A0-4906"/>
    <d v="2025-07-26T00:00:00"/>
    <x v="1"/>
    <n v="84.61"/>
    <n v="0.3"/>
    <n v="170.667"/>
    <x v="0"/>
    <s v="No"/>
    <d v="2025-07-26T00:00:00"/>
    <n v="0"/>
  </r>
  <r>
    <s v="DEP-A0-0452"/>
    <x v="0"/>
    <n v="46"/>
    <x v="1"/>
    <s v="Vestido"/>
    <s v="Verde"/>
    <s v="Adidas"/>
    <s v="MER-A0-0452"/>
    <d v="2025-07-05T00:00:00"/>
    <x v="1"/>
    <n v="85.74"/>
    <n v="0"/>
    <n v="198.26"/>
    <x v="0"/>
    <s v="No"/>
    <d v="2025-07-05T00:00:00"/>
    <n v="0"/>
  </r>
  <r>
    <s v="DEP-A0-1807"/>
    <x v="0"/>
    <n v="44"/>
    <x v="1"/>
    <s v="Blusa"/>
    <s v="Negro"/>
    <s v="Zara"/>
    <s v="MER-A0-1807"/>
    <d v="2025-07-21T00:00:00"/>
    <x v="1"/>
    <n v="86.37"/>
    <n v="0.3"/>
    <n v="89.8"/>
    <x v="0"/>
    <s v="No"/>
    <d v="2025-07-21T00:00:00"/>
    <n v="0"/>
  </r>
  <r>
    <s v="DEP-A0-4677"/>
    <x v="0"/>
    <n v="49"/>
    <x v="1"/>
    <s v="Chaqueta"/>
    <s v="Gris"/>
    <s v="Puma"/>
    <s v="MER-A0-4677"/>
    <d v="2025-07-27T00:00:00"/>
    <x v="1"/>
    <n v="87.81"/>
    <n v="0.3"/>
    <n v="34.167000000000002"/>
    <x v="0"/>
    <s v="No"/>
    <d v="2025-07-27T00:00:00"/>
    <n v="0"/>
  </r>
  <r>
    <s v="DEP-A0-1323"/>
    <x v="0"/>
    <n v="42"/>
    <x v="1"/>
    <s v="Falda"/>
    <s v="Verde"/>
    <s v="Adidas"/>
    <s v="MER-A0-1323"/>
    <d v="2025-07-14T00:00:00"/>
    <x v="1"/>
    <n v="89.72"/>
    <n v="0.3"/>
    <n v="114.52000000000001"/>
    <x v="0"/>
    <s v="No"/>
    <d v="2025-07-14T00:00:00"/>
    <n v="0"/>
  </r>
  <r>
    <s v="DEP-A0-1596"/>
    <x v="0"/>
    <n v="44"/>
    <x v="1"/>
    <s v="Vestido"/>
    <s v="Rojo"/>
    <s v="Mango"/>
    <s v="MER-A0-1596"/>
    <d v="2025-07-20T00:00:00"/>
    <x v="1"/>
    <n v="91.31"/>
    <n v="0.2"/>
    <n v="81.48"/>
    <x v="0"/>
    <s v="No"/>
    <d v="2025-07-20T00:00:00"/>
    <n v="0"/>
  </r>
  <r>
    <s v="DEP-A0-0392"/>
    <x v="1"/>
    <n v="50"/>
    <x v="1"/>
    <s v="Chaqueta"/>
    <s v="Negro"/>
    <s v="Puma"/>
    <s v="MER-A0-0392"/>
    <d v="2025-07-03T00:00:00"/>
    <x v="1"/>
    <n v="92.28"/>
    <n v="0"/>
    <n v="53.816000000000003"/>
    <x v="0"/>
    <s v="No"/>
    <d v="2025-07-03T00:00:00"/>
    <n v="0"/>
  </r>
  <r>
    <s v="DEP-A0-2166"/>
    <x v="0"/>
    <n v="57"/>
    <x v="1"/>
    <s v="Blusa"/>
    <s v="Gris"/>
    <s v="Levis"/>
    <s v="MER-A0-2166"/>
    <d v="2025-07-29T00:00:00"/>
    <x v="1"/>
    <n v="93.97"/>
    <n v="0"/>
    <n v="149.45599999999999"/>
    <x v="0"/>
    <s v="No"/>
    <d v="2025-07-29T00:00:00"/>
    <n v="0"/>
  </r>
  <r>
    <s v="DEP-A0-2449"/>
    <x v="0"/>
    <n v="57"/>
    <x v="1"/>
    <s v="Falda"/>
    <s v="Azul"/>
    <s v="Zara"/>
    <s v="MER-A0-2449"/>
    <d v="2025-07-10T00:00:00"/>
    <x v="1"/>
    <n v="95.99"/>
    <n v="0.3"/>
    <n v="172.01"/>
    <x v="0"/>
    <s v="No"/>
    <d v="2025-07-10T00:00:00"/>
    <n v="0"/>
  </r>
  <r>
    <s v="DEP-A0-3349"/>
    <x v="1"/>
    <n v="50"/>
    <x v="1"/>
    <s v="Chaqueta"/>
    <s v="Negro"/>
    <s v="Levis"/>
    <s v="MER-A0-3349"/>
    <d v="2025-07-07T00:00:00"/>
    <x v="1"/>
    <n v="96.25"/>
    <n v="0.1"/>
    <n v="68.831000000000003"/>
    <x v="0"/>
    <s v="No"/>
    <d v="2025-07-07T00:00:00"/>
    <n v="0"/>
  </r>
  <r>
    <s v="DEP-A0-0127"/>
    <x v="1"/>
    <n v="57"/>
    <x v="1"/>
    <s v="Pantalón"/>
    <s v="Rojo"/>
    <s v="Tommy"/>
    <s v="MER-A0-0127"/>
    <d v="2025-07-14T00:00:00"/>
    <x v="1"/>
    <n v="113.89"/>
    <n v="0.3"/>
    <n v="31.760999999999999"/>
    <x v="0"/>
    <s v="No"/>
    <d v="2025-07-14T00:00:00"/>
    <n v="0"/>
  </r>
  <r>
    <s v="DEP-A0-2681"/>
    <x v="0"/>
    <n v="43"/>
    <x v="1"/>
    <s v="Pantalón"/>
    <s v="Blanco"/>
    <s v="Nike"/>
    <s v="MER-A0-2681"/>
    <d v="2025-07-20T00:00:00"/>
    <x v="1"/>
    <n v="115.14"/>
    <n v="0.3"/>
    <n v="158.80000000000001"/>
    <x v="0"/>
    <s v="No"/>
    <d v="2025-07-20T00:00:00"/>
    <n v="0"/>
  </r>
  <r>
    <s v="DEP-A0-2587"/>
    <x v="0"/>
    <n v="41"/>
    <x v="1"/>
    <s v="Vestido"/>
    <s v="Rojo"/>
    <s v="Nike"/>
    <s v="MER-A0-2587"/>
    <d v="2025-07-01T00:00:00"/>
    <x v="1"/>
    <n v="120.53"/>
    <n v="0.3"/>
    <n v="19.72"/>
    <x v="0"/>
    <s v="No"/>
    <d v="2025-07-01T00:00:00"/>
    <n v="0"/>
  </r>
  <r>
    <s v="DEP-A0-4037"/>
    <x v="0"/>
    <n v="42"/>
    <x v="1"/>
    <s v="Blusa"/>
    <s v="Rojo"/>
    <s v="Levis"/>
    <s v="MER-A0-4037"/>
    <d v="2025-07-13T00:00:00"/>
    <x v="1"/>
    <n v="120.76"/>
    <n v="0"/>
    <n v="16.506"/>
    <x v="0"/>
    <s v="No"/>
    <d v="2025-07-13T00:00:00"/>
    <n v="0"/>
  </r>
  <r>
    <s v="DEP-A0-1514"/>
    <x v="0"/>
    <n v="42"/>
    <x v="1"/>
    <s v="Zapatos"/>
    <s v="Rojo"/>
    <s v="Zara"/>
    <s v="MER-A0-1514"/>
    <d v="2025-07-15T00:00:00"/>
    <x v="1"/>
    <n v="123.44"/>
    <n v="0"/>
    <n v="42.76"/>
    <x v="0"/>
    <s v="No"/>
    <d v="2025-07-15T00:00:00"/>
    <n v="0"/>
  </r>
  <r>
    <s v="DEP-A0-1219"/>
    <x v="0"/>
    <n v="59"/>
    <x v="1"/>
    <s v="Blusa"/>
    <s v="Verde"/>
    <s v="Mango"/>
    <s v="MER-A0-1219"/>
    <d v="2025-07-31T00:00:00"/>
    <x v="1"/>
    <n v="126.09"/>
    <n v="0.2"/>
    <n v="38.829000000000001"/>
    <x v="0"/>
    <s v="No"/>
    <d v="2025-07-31T00:00:00"/>
    <n v="0"/>
  </r>
  <r>
    <s v="DEP-A0-3630"/>
    <x v="0"/>
    <n v="49"/>
    <x v="1"/>
    <s v="Chaqueta"/>
    <s v="Amarillo"/>
    <s v="Adidas"/>
    <s v="MER-A0-3630"/>
    <d v="2025-07-16T00:00:00"/>
    <x v="1"/>
    <n v="130.68"/>
    <n v="0.1"/>
    <n v="57.97"/>
    <x v="0"/>
    <s v="No"/>
    <d v="2025-07-16T00:00:00"/>
    <n v="0"/>
  </r>
  <r>
    <s v="DEP-A0-4518"/>
    <x v="0"/>
    <n v="56"/>
    <x v="1"/>
    <s v="Falda"/>
    <s v="Negro"/>
    <s v="Nike"/>
    <s v="MER-A0-4518"/>
    <d v="2025-07-03T00:00:00"/>
    <x v="1"/>
    <n v="131.97"/>
    <n v="0"/>
    <n v="49.911999999999999"/>
    <x v="0"/>
    <s v="No"/>
    <d v="2025-07-03T00:00:00"/>
    <n v="0"/>
  </r>
  <r>
    <s v="DEP-A0-0090"/>
    <x v="1"/>
    <n v="50"/>
    <x v="1"/>
    <s v="Camisa"/>
    <s v="Blanco"/>
    <s v="Tommy"/>
    <s v="MER-A0-0090"/>
    <d v="2025-07-31T00:00:00"/>
    <x v="1"/>
    <n v="134.71"/>
    <n v="0.2"/>
    <n v="45.471999999999994"/>
    <x v="0"/>
    <s v="No"/>
    <d v="2025-07-31T00:00:00"/>
    <n v="0"/>
  </r>
  <r>
    <s v="DEP-A0-2763"/>
    <x v="1"/>
    <n v="37"/>
    <x v="1"/>
    <s v="Camisa"/>
    <s v="Amarillo"/>
    <s v="Tommy"/>
    <s v="MER-A0-2763"/>
    <d v="2025-07-07T00:00:00"/>
    <x v="1"/>
    <n v="141.51"/>
    <n v="0.2"/>
    <n v="77.19"/>
    <x v="0"/>
    <s v="No"/>
    <d v="2025-07-07T00:00:00"/>
    <n v="0"/>
  </r>
  <r>
    <s v="DEP-A0-0149"/>
    <x v="0"/>
    <n v="62"/>
    <x v="1"/>
    <s v="Vestido"/>
    <s v="Gris"/>
    <s v="Adidas"/>
    <s v="MER-A0-0149"/>
    <d v="2025-07-11T00:00:00"/>
    <x v="1"/>
    <n v="155.49"/>
    <n v="0"/>
    <n v="77.652000000000001"/>
    <x v="0"/>
    <s v="No"/>
    <d v="2025-07-11T00:00:00"/>
    <n v="0"/>
  </r>
  <r>
    <s v="DEP-A0-0916"/>
    <x v="0"/>
    <n v="43"/>
    <x v="1"/>
    <s v="Blusa"/>
    <s v="Blanco"/>
    <s v="Mango"/>
    <s v="MER-A0-0916"/>
    <d v="2025-07-13T00:00:00"/>
    <x v="1"/>
    <n v="155.57"/>
    <n v="0.1"/>
    <n v="89.937000000000012"/>
    <x v="0"/>
    <s v="No"/>
    <d v="2025-07-13T00:00:00"/>
    <n v="0"/>
  </r>
  <r>
    <s v="DEP-A0-3049"/>
    <x v="0"/>
    <n v="58"/>
    <x v="1"/>
    <s v="Camisa"/>
    <s v="Blanco"/>
    <s v="Zara"/>
    <s v="MER-A0-3049"/>
    <d v="2025-07-18T00:00:00"/>
    <x v="1"/>
    <n v="157.24"/>
    <n v="0"/>
    <n v="94.176000000000002"/>
    <x v="0"/>
    <s v="No"/>
    <d v="2025-07-18T00:00:00"/>
    <n v="0"/>
  </r>
  <r>
    <s v="DEP-A0-2797"/>
    <x v="0"/>
    <n v="37"/>
    <x v="1"/>
    <s v="Blusa"/>
    <s v="Blanco"/>
    <s v="Puma"/>
    <s v="MER-A0-2797"/>
    <d v="2025-07-05T00:00:00"/>
    <x v="1"/>
    <n v="159.01"/>
    <n v="0.1"/>
    <n v="112.54"/>
    <x v="0"/>
    <s v="No"/>
    <d v="2025-07-05T00:00:00"/>
    <n v="0"/>
  </r>
  <r>
    <s v="DEP-A0-2704"/>
    <x v="0"/>
    <n v="64"/>
    <x v="1"/>
    <s v="Vestido"/>
    <s v="Negro"/>
    <s v="Puma"/>
    <s v="MER-A0-2704"/>
    <d v="2025-07-14T00:00:00"/>
    <x v="1"/>
    <n v="160.08000000000001"/>
    <n v="0.2"/>
    <n v="118.96"/>
    <x v="0"/>
    <s v="No"/>
    <d v="2025-07-14T00:00:00"/>
    <n v="0"/>
  </r>
  <r>
    <s v="DEP-A0-1639"/>
    <x v="1"/>
    <n v="51"/>
    <x v="1"/>
    <s v="Chaqueta"/>
    <s v="Negro"/>
    <s v="Levis"/>
    <s v="MER-A0-1639"/>
    <d v="2025-07-24T00:00:00"/>
    <x v="1"/>
    <n v="163.47"/>
    <n v="0.1"/>
    <n v="86.786000000000001"/>
    <x v="0"/>
    <s v="No"/>
    <d v="2025-07-24T00:00:00"/>
    <n v="0"/>
  </r>
  <r>
    <s v="DEP-A0-3726"/>
    <x v="0"/>
    <n v="36"/>
    <x v="1"/>
    <s v="Chaqueta"/>
    <s v="Blanco"/>
    <s v="Mango"/>
    <s v="MER-A0-3726"/>
    <d v="2025-07-09T00:00:00"/>
    <x v="1"/>
    <n v="168.97"/>
    <n v="0.2"/>
    <n v="105.792"/>
    <x v="0"/>
    <s v="No"/>
    <d v="2025-07-09T00:00:00"/>
    <n v="0"/>
  </r>
  <r>
    <s v="DEP-A0-3150"/>
    <x v="0"/>
    <n v="53"/>
    <x v="1"/>
    <s v="Falda"/>
    <s v="Rojo"/>
    <s v="Zara"/>
    <s v="MER-A0-3150"/>
    <d v="2025-07-26T00:00:00"/>
    <x v="1"/>
    <n v="169.19"/>
    <n v="0.3"/>
    <n v="95.221000000000004"/>
    <x v="0"/>
    <s v="No"/>
    <d v="2025-07-26T00:00:00"/>
    <n v="0"/>
  </r>
  <r>
    <s v="DEP-A0-1913"/>
    <x v="0"/>
    <n v="36"/>
    <x v="1"/>
    <s v="Vestido"/>
    <s v="Amarillo"/>
    <s v="Zara"/>
    <s v="MER-A0-1913"/>
    <d v="2025-07-11T00:00:00"/>
    <x v="1"/>
    <n v="172.6"/>
    <n v="0"/>
    <n v="125.85599999999999"/>
    <x v="0"/>
    <s v="No"/>
    <d v="2025-07-11T00:00:00"/>
    <n v="0"/>
  </r>
  <r>
    <s v="DEP-A0-1961"/>
    <x v="1"/>
    <n v="58"/>
    <x v="1"/>
    <s v="Camisa"/>
    <s v="Gris"/>
    <s v="Levis"/>
    <s v="MER-A0-1961"/>
    <d v="2025-07-22T00:00:00"/>
    <x v="1"/>
    <n v="177.33"/>
    <n v="0.2"/>
    <n v="161.83000000000001"/>
    <x v="0"/>
    <s v="No"/>
    <d v="2025-07-22T00:00:00"/>
    <n v="0"/>
  </r>
  <r>
    <s v="DEP-A0-1586"/>
    <x v="0"/>
    <n v="49"/>
    <x v="1"/>
    <s v="Vestido"/>
    <s v="Rojo"/>
    <s v="Nike"/>
    <s v="MER-A0-1586"/>
    <d v="2025-07-20T00:00:00"/>
    <x v="1"/>
    <n v="188.19"/>
    <n v="0.1"/>
    <n v="10.56"/>
    <x v="0"/>
    <s v="No"/>
    <d v="2025-07-20T00:00:00"/>
    <n v="0"/>
  </r>
  <r>
    <s v="DEP-A0-3636"/>
    <x v="0"/>
    <n v="42"/>
    <x v="1"/>
    <s v="Camisa"/>
    <s v="Gris"/>
    <s v="Levis"/>
    <s v="MER-A0-3636"/>
    <d v="2025-07-11T00:00:00"/>
    <x v="1"/>
    <n v="188.26"/>
    <n v="0.3"/>
    <n v="11.312000000000001"/>
    <x v="0"/>
    <s v="No"/>
    <d v="2025-07-11T00:00:00"/>
    <n v="0"/>
  </r>
  <r>
    <s v="DEP-A0-0235"/>
    <x v="0"/>
    <n v="45"/>
    <x v="1"/>
    <s v="Vestido"/>
    <s v="Verde"/>
    <s v="Tommy"/>
    <s v="MER-A0-0235"/>
    <d v="2025-07-22T00:00:00"/>
    <x v="1"/>
    <n v="189.62"/>
    <n v="0.2"/>
    <n v="22.8"/>
    <x v="0"/>
    <s v="No"/>
    <d v="2025-07-22T00:00:00"/>
    <n v="0"/>
  </r>
  <r>
    <s v="DEP-A0-0931"/>
    <x v="0"/>
    <n v="37"/>
    <x v="1"/>
    <s v="Falda"/>
    <s v="Verde"/>
    <s v="Nike"/>
    <s v="MER-A0-0931"/>
    <d v="2025-07-18T00:00:00"/>
    <x v="1"/>
    <n v="199.23"/>
    <n v="0.2"/>
    <n v="66.180000000000007"/>
    <x v="0"/>
    <s v="No"/>
    <d v="2025-07-18T00:00:00"/>
    <n v="0"/>
  </r>
  <r>
    <s v="DEP-A0-1094"/>
    <x v="1"/>
    <n v="59"/>
    <x v="1"/>
    <s v="Camisa"/>
    <s v="Negro"/>
    <s v="Tommy"/>
    <s v="MER-A0-1094"/>
    <d v="2025-08-05T00:00:00"/>
    <x v="1"/>
    <n v="11"/>
    <n v="0.3"/>
    <n v="69.760000000000005"/>
    <x v="0"/>
    <s v="No"/>
    <d v="2025-08-05T00:00:00"/>
    <n v="0"/>
  </r>
  <r>
    <s v="DEP-A0-3352"/>
    <x v="0"/>
    <n v="53"/>
    <x v="1"/>
    <s v="Blusa"/>
    <s v="Amarillo"/>
    <s v="Puma"/>
    <s v="MER-A0-3352"/>
    <d v="2025-08-03T00:00:00"/>
    <x v="1"/>
    <n v="11.02"/>
    <n v="0.2"/>
    <n v="58.603999999999999"/>
    <x v="0"/>
    <s v="No"/>
    <d v="2025-08-03T00:00:00"/>
    <n v="0"/>
  </r>
  <r>
    <s v="DEP-A0-4117"/>
    <x v="0"/>
    <n v="41"/>
    <x v="1"/>
    <s v="Blusa"/>
    <s v="Blanco"/>
    <s v="Nike"/>
    <s v="MER-A0-4117"/>
    <d v="2025-08-13T00:00:00"/>
    <x v="1"/>
    <n v="14.59"/>
    <n v="0"/>
    <n v="73.009999999999991"/>
    <x v="0"/>
    <s v="No"/>
    <d v="2025-08-13T00:00:00"/>
    <n v="0"/>
  </r>
  <r>
    <s v="DEP-A0-4767"/>
    <x v="0"/>
    <n v="63"/>
    <x v="1"/>
    <s v="Falda"/>
    <s v="Negro"/>
    <s v="Tommy"/>
    <s v="MER-A0-4767"/>
    <d v="2025-08-03T00:00:00"/>
    <x v="1"/>
    <n v="15.88"/>
    <n v="0.1"/>
    <n v="109.26"/>
    <x v="0"/>
    <s v="No"/>
    <d v="2025-08-03T00:00:00"/>
    <n v="0"/>
  </r>
  <r>
    <s v="DEP-A0-0694"/>
    <x v="0"/>
    <n v="44"/>
    <x v="1"/>
    <s v="Blusa"/>
    <s v="Gris"/>
    <s v="Mango"/>
    <s v="MER-A0-0694"/>
    <d v="2025-08-01T00:00:00"/>
    <x v="1"/>
    <n v="17.25"/>
    <n v="0"/>
    <n v="82.753999999999991"/>
    <x v="0"/>
    <s v="No"/>
    <d v="2025-08-01T00:00:00"/>
    <n v="0"/>
  </r>
  <r>
    <s v="DEP-A0-4092"/>
    <x v="0"/>
    <n v="38"/>
    <x v="1"/>
    <s v="Vestido"/>
    <s v="Gris"/>
    <s v="Nike"/>
    <s v="MER-A0-4092"/>
    <d v="2025-08-14T00:00:00"/>
    <x v="1"/>
    <n v="21.53"/>
    <n v="0.2"/>
    <n v="111.042"/>
    <x v="0"/>
    <s v="No"/>
    <d v="2025-08-14T00:00:00"/>
    <n v="0"/>
  </r>
  <r>
    <s v="DEP-A0-4297"/>
    <x v="1"/>
    <n v="44"/>
    <x v="1"/>
    <s v="Zapatos"/>
    <s v="Negro"/>
    <s v="Puma"/>
    <s v="MER-A0-4297"/>
    <d v="2025-08-04T00:00:00"/>
    <x v="1"/>
    <n v="40.47"/>
    <n v="0.1"/>
    <n v="101.352"/>
    <x v="0"/>
    <s v="No"/>
    <d v="2025-08-04T00:00:00"/>
    <n v="0"/>
  </r>
  <r>
    <s v="DEP-A0-2931"/>
    <x v="0"/>
    <n v="63"/>
    <x v="1"/>
    <s v="Vestido"/>
    <s v="Blanco"/>
    <s v="Zara"/>
    <s v="MER-A0-2931"/>
    <d v="2025-08-13T00:00:00"/>
    <x v="1"/>
    <n v="42.78"/>
    <n v="0.2"/>
    <n v="107.00200000000001"/>
    <x v="0"/>
    <s v="No"/>
    <d v="2025-08-13T00:00:00"/>
    <n v="0"/>
  </r>
  <r>
    <s v="DEP-A0-3265"/>
    <x v="1"/>
    <n v="43"/>
    <x v="1"/>
    <s v="Pantalón"/>
    <s v="Negro"/>
    <s v="Puma"/>
    <s v="MER-A0-3265"/>
    <d v="2025-08-06T00:00:00"/>
    <x v="1"/>
    <n v="43.13"/>
    <n v="0.2"/>
    <n v="165.09"/>
    <x v="0"/>
    <s v="No"/>
    <d v="2025-08-06T00:00:00"/>
    <n v="0"/>
  </r>
  <r>
    <s v="DEP-A0-4729"/>
    <x v="1"/>
    <n v="45"/>
    <x v="1"/>
    <s v="Pantalón"/>
    <s v="Amarillo"/>
    <s v="Zara"/>
    <s v="MER-A0-4729"/>
    <d v="2025-08-13T00:00:00"/>
    <x v="1"/>
    <n v="45.86"/>
    <n v="0"/>
    <n v="126.595"/>
    <x v="0"/>
    <s v="No"/>
    <d v="2025-08-13T00:00:00"/>
    <n v="0"/>
  </r>
  <r>
    <s v="DEP-A0-2235"/>
    <x v="0"/>
    <n v="63"/>
    <x v="1"/>
    <s v="Falda"/>
    <s v="Blanco"/>
    <s v="Levis"/>
    <s v="MER-A0-2235"/>
    <d v="2025-08-11T00:00:00"/>
    <x v="1"/>
    <n v="47.12"/>
    <n v="0.3"/>
    <n v="164.745"/>
    <x v="0"/>
    <s v="No"/>
    <d v="2025-08-11T00:00:00"/>
    <n v="0"/>
  </r>
  <r>
    <s v="DEP-A0-1572"/>
    <x v="0"/>
    <n v="53"/>
    <x v="1"/>
    <s v="Camisa"/>
    <s v="Gris"/>
    <s v="Mango"/>
    <s v="MER-A0-1572"/>
    <d v="2025-08-13T00:00:00"/>
    <x v="1"/>
    <n v="47.96"/>
    <n v="0.3"/>
    <n v="128.91200000000001"/>
    <x v="0"/>
    <s v="No"/>
    <d v="2025-08-13T00:00:00"/>
    <n v="0"/>
  </r>
  <r>
    <s v="DEP-A0-1946"/>
    <x v="0"/>
    <n v="44"/>
    <x v="1"/>
    <s v="Vestido"/>
    <s v="Amarillo"/>
    <s v="Nike"/>
    <s v="MER-A0-1946"/>
    <d v="2025-08-01T00:00:00"/>
    <x v="1"/>
    <n v="62.79"/>
    <n v="0.2"/>
    <n v="151.87200000000001"/>
    <x v="0"/>
    <s v="No"/>
    <d v="2025-08-01T00:00:00"/>
    <n v="0"/>
  </r>
  <r>
    <s v="DEP-A0-3182"/>
    <x v="0"/>
    <n v="63"/>
    <x v="1"/>
    <s v="Zapatos"/>
    <s v="Amarillo"/>
    <s v="Adidas"/>
    <s v="MER-A0-3182"/>
    <d v="2025-08-13T00:00:00"/>
    <x v="1"/>
    <n v="62.98"/>
    <n v="0.1"/>
    <n v="172.96199999999999"/>
    <x v="0"/>
    <s v="No"/>
    <d v="2025-08-13T00:00:00"/>
    <n v="0"/>
  </r>
  <r>
    <s v="DEP-A0-3026"/>
    <x v="0"/>
    <n v="63"/>
    <x v="1"/>
    <s v="Vestido"/>
    <s v="Rojo"/>
    <s v="Mango"/>
    <s v="MER-A0-3026"/>
    <d v="2025-08-12T00:00:00"/>
    <x v="1"/>
    <n v="78.52"/>
    <n v="0"/>
    <n v="14.112"/>
    <x v="0"/>
    <s v="No"/>
    <d v="2025-08-12T00:00:00"/>
    <n v="0"/>
  </r>
  <r>
    <s v="DEP-A0-0969"/>
    <x v="0"/>
    <n v="57"/>
    <x v="1"/>
    <s v="Falda"/>
    <s v="Verde"/>
    <s v="Adidas"/>
    <s v="MER-A0-0969"/>
    <d v="2025-08-10T00:00:00"/>
    <x v="1"/>
    <n v="93.77"/>
    <n v="0.1"/>
    <n v="18.829999999999998"/>
    <x v="0"/>
    <s v="No"/>
    <d v="2025-08-10T00:00:00"/>
    <n v="0"/>
  </r>
  <r>
    <s v="DEP-A0-3700"/>
    <x v="0"/>
    <n v="36"/>
    <x v="1"/>
    <s v="Pantalón"/>
    <s v="Verde"/>
    <s v="Puma"/>
    <s v="MER-A0-3700"/>
    <d v="2025-08-16T00:00:00"/>
    <x v="1"/>
    <n v="100.76"/>
    <n v="0.3"/>
    <n v="24.659999999999997"/>
    <x v="0"/>
    <s v="No"/>
    <d v="2025-08-16T00:00:00"/>
    <n v="0"/>
  </r>
  <r>
    <s v="DEP-A0-2231"/>
    <x v="0"/>
    <n v="57"/>
    <x v="1"/>
    <s v="Falda"/>
    <s v="Azul"/>
    <s v="Levis"/>
    <s v="MER-A0-2231"/>
    <d v="2025-08-14T00:00:00"/>
    <x v="1"/>
    <n v="118.02"/>
    <n v="0"/>
    <n v="26.946000000000002"/>
    <x v="0"/>
    <s v="No"/>
    <d v="2025-08-14T00:00:00"/>
    <n v="0"/>
  </r>
  <r>
    <s v="DEP-A0-0682"/>
    <x v="1"/>
    <n v="58"/>
    <x v="1"/>
    <s v="Pantalón"/>
    <s v="Negro"/>
    <s v="Nike"/>
    <s v="MER-A0-0682"/>
    <d v="2025-08-03T00:00:00"/>
    <x v="1"/>
    <n v="159.4"/>
    <n v="0.2"/>
    <n v="53.503999999999998"/>
    <x v="0"/>
    <s v="No"/>
    <d v="2025-08-03T00:00:00"/>
    <n v="0"/>
  </r>
  <r>
    <s v="DEP-A0-2939"/>
    <x v="0"/>
    <n v="57"/>
    <x v="1"/>
    <s v="Chaqueta"/>
    <s v="Rojo"/>
    <s v="Adidas"/>
    <s v="MER-A0-2939"/>
    <d v="2025-08-13T00:00:00"/>
    <x v="1"/>
    <n v="159.80000000000001"/>
    <n v="0.2"/>
    <n v="68.36"/>
    <x v="0"/>
    <s v="No"/>
    <d v="2025-08-13T00:00:00"/>
    <n v="0"/>
  </r>
  <r>
    <s v="DEP-A0-0817"/>
    <x v="0"/>
    <n v="60"/>
    <x v="1"/>
    <s v="Blusa"/>
    <s v="Amarillo"/>
    <s v="Tommy"/>
    <s v="MER-A0-0817"/>
    <d v="2025-08-14T00:00:00"/>
    <x v="1"/>
    <n v="161.21"/>
    <n v="0"/>
    <n v="117.54"/>
    <x v="0"/>
    <s v="No"/>
    <d v="2025-08-14T00:00:00"/>
    <n v="0"/>
  </r>
  <r>
    <s v="DEP-A0-3021"/>
    <x v="1"/>
    <n v="38"/>
    <x v="1"/>
    <s v="Zapatos"/>
    <s v="Negro"/>
    <s v="Nike"/>
    <s v="MER-A0-3021"/>
    <d v="2025-08-07T00:00:00"/>
    <x v="1"/>
    <n v="171.6"/>
    <n v="0.2"/>
    <n v="131.56"/>
    <x v="0"/>
    <s v="No"/>
    <d v="2025-08-07T00:00:00"/>
    <n v="0"/>
  </r>
  <r>
    <s v="DEP-A0-4778"/>
    <x v="0"/>
    <n v="49"/>
    <x v="1"/>
    <s v="Blusa"/>
    <s v="Gris"/>
    <s v="Zara"/>
    <s v="MER-A0-4778"/>
    <d v="2025-08-14T00:00:00"/>
    <x v="1"/>
    <n v="172.84"/>
    <n v="0.3"/>
    <n v="118.75999999999999"/>
    <x v="0"/>
    <s v="No"/>
    <d v="2025-08-14T00:00:00"/>
    <n v="0"/>
  </r>
  <r>
    <s v="DEP-A0-0167"/>
    <x v="0"/>
    <n v="53"/>
    <x v="1"/>
    <s v="Falda"/>
    <s v="Negro"/>
    <s v="Levis"/>
    <s v="MER-A0-0167"/>
    <d v="2025-08-09T00:00:00"/>
    <x v="1"/>
    <n v="175.01"/>
    <n v="0.2"/>
    <n v="109.501"/>
    <x v="0"/>
    <s v="No"/>
    <d v="2025-08-09T00:00:00"/>
    <n v="0"/>
  </r>
  <r>
    <s v="DEP-A0-4954"/>
    <x v="0"/>
    <n v="65"/>
    <x v="1"/>
    <s v="Pantalón"/>
    <s v="Azul"/>
    <s v="Adidas"/>
    <s v="MER-A0-4954"/>
    <d v="2025-08-01T00:00:00"/>
    <x v="1"/>
    <n v="188.38"/>
    <n v="0.3"/>
    <n v="135.80799999999999"/>
    <x v="0"/>
    <s v="No"/>
    <d v="2025-08-01T00:00:00"/>
    <n v="0"/>
  </r>
  <r>
    <s v="DEP-A0-0270"/>
    <x v="0"/>
    <n v="51"/>
    <x v="1"/>
    <s v="Camisa"/>
    <s v="Amarillo"/>
    <s v="Adidas"/>
    <s v="MER-A0-0270"/>
    <d v="2025-08-09T00:00:00"/>
    <x v="1"/>
    <n v="193.01"/>
    <n v="0.2"/>
    <n v="165.375"/>
    <x v="0"/>
    <s v="No"/>
    <d v="2025-08-09T00:00:00"/>
    <n v="0"/>
  </r>
  <r>
    <s v="DEP-A0-0740"/>
    <x v="1"/>
    <n v="64"/>
    <x v="1"/>
    <s v="Pantalón"/>
    <s v="Blanco"/>
    <s v="Tommy"/>
    <s v="MER-A0-0740"/>
    <d v="2024-04-17T00:00:00"/>
    <x v="0"/>
    <n v="11.12"/>
    <n v="0.3"/>
    <n v="25.74"/>
    <x v="1"/>
    <s v="No"/>
    <d v="2024-04-17T00:00:00"/>
    <n v="0"/>
  </r>
  <r>
    <s v="DEP-A0-4698"/>
    <x v="1"/>
    <n v="54"/>
    <x v="1"/>
    <s v="Pantalón"/>
    <s v="Gris"/>
    <s v="Nike"/>
    <s v="MER-A0-4698"/>
    <d v="2024-06-22T00:00:00"/>
    <x v="0"/>
    <n v="11.41"/>
    <n v="0.2"/>
    <n v="11.664000000000001"/>
    <x v="1"/>
    <s v="No"/>
    <d v="2024-06-22T00:00:00"/>
    <n v="0"/>
  </r>
  <r>
    <s v="DEP-A0-1992"/>
    <x v="0"/>
    <n v="54"/>
    <x v="1"/>
    <s v="Falda"/>
    <s v="Gris"/>
    <s v="Levis"/>
    <s v="MER-A0-1992"/>
    <d v="2024-12-09T00:00:00"/>
    <x v="0"/>
    <n v="13.14"/>
    <n v="0.3"/>
    <n v="9.5620000000000012"/>
    <x v="1"/>
    <s v="No"/>
    <d v="2024-06-14T00:00:00"/>
    <n v="0"/>
  </r>
  <r>
    <s v="DEP-A0-0871"/>
    <x v="0"/>
    <n v="37"/>
    <x v="1"/>
    <s v="Zapatos"/>
    <s v="Azul"/>
    <s v="Mango"/>
    <s v="MER-A0-0871"/>
    <d v="2024-03-21T00:00:00"/>
    <x v="0"/>
    <n v="10.69"/>
    <n v="0.1"/>
    <n v="46.167999999999999"/>
    <x v="1"/>
    <s v="No"/>
    <d v="2024-03-21T00:00:00"/>
    <n v="0"/>
  </r>
  <r>
    <s v="DEP-A0-0923"/>
    <x v="0"/>
    <n v="37"/>
    <x v="1"/>
    <s v="Pantalón"/>
    <s v="Amarillo"/>
    <s v="Nike"/>
    <s v="MER-A0-0923"/>
    <d v="2024-06-01T00:00:00"/>
    <x v="0"/>
    <n v="13.5"/>
    <n v="0.2"/>
    <n v="132.59700000000001"/>
    <x v="1"/>
    <s v="No"/>
    <d v="2024-06-01T00:00:00"/>
    <n v="0"/>
  </r>
  <r>
    <s v="DEP-A0-4267"/>
    <x v="0"/>
    <n v="36"/>
    <x v="1"/>
    <s v="Falda"/>
    <s v="Rojo"/>
    <s v="Adidas"/>
    <s v="MER-A0-4267"/>
    <d v="2024-11-06T00:00:00"/>
    <x v="0"/>
    <n v="15.99"/>
    <n v="0.3"/>
    <n v="115.47200000000001"/>
    <x v="1"/>
    <s v="No"/>
    <d v="2024-11-06T00:00:00"/>
    <n v="0"/>
  </r>
  <r>
    <s v="DEP-A0-1862"/>
    <x v="1"/>
    <n v="63"/>
    <x v="1"/>
    <s v="Zapatos"/>
    <s v="Blanco"/>
    <s v="Zara"/>
    <s v="MER-A0-1862"/>
    <d v="2024-05-15T00:00:00"/>
    <x v="0"/>
    <n v="16.02"/>
    <n v="0.3"/>
    <n v="11.619"/>
    <x v="1"/>
    <s v="No"/>
    <d v="2024-05-15T00:00:00"/>
    <n v="0"/>
  </r>
  <r>
    <s v="DEP-A0-4437"/>
    <x v="0"/>
    <n v="51"/>
    <x v="1"/>
    <s v="Zapatos"/>
    <s v="Negro"/>
    <s v="Tommy"/>
    <s v="MER-A0-4437"/>
    <d v="2024-01-30T00:00:00"/>
    <x v="0"/>
    <n v="16.54"/>
    <n v="0.3"/>
    <n v="43.028999999999996"/>
    <x v="1"/>
    <s v="No"/>
    <d v="2024-01-30T00:00:00"/>
    <n v="0"/>
  </r>
  <r>
    <s v="DEP-A0-3862"/>
    <x v="0"/>
    <n v="52"/>
    <x v="1"/>
    <s v="Blusa"/>
    <s v="Rojo"/>
    <s v="Puma"/>
    <s v="MER-A0-3862"/>
    <d v="2024-11-09T00:00:00"/>
    <x v="0"/>
    <n v="14.93"/>
    <n v="0.2"/>
    <n v="159.51"/>
    <x v="1"/>
    <s v="No"/>
    <d v="2024-11-09T00:00:00"/>
    <n v="0"/>
  </r>
  <r>
    <s v="DEP-A0-2982"/>
    <x v="0"/>
    <n v="54"/>
    <x v="1"/>
    <s v="Blusa"/>
    <s v="Verde"/>
    <s v="Nike"/>
    <s v="MER-A0-2982"/>
    <d v="2024-12-10T00:00:00"/>
    <x v="0"/>
    <n v="13.3"/>
    <n v="0.1"/>
    <n v="15.34"/>
    <x v="1"/>
    <s v="No"/>
    <d v="2024-06-16T00:00:00"/>
    <n v="0"/>
  </r>
  <r>
    <s v="DEP-A0-2057"/>
    <x v="0"/>
    <n v="39"/>
    <x v="1"/>
    <s v="Camisa"/>
    <s v="Gris"/>
    <s v="Zara"/>
    <s v="MER-A0-2057"/>
    <d v="2024-02-01T00:00:00"/>
    <x v="0"/>
    <n v="18.16"/>
    <n v="0.3"/>
    <n v="65.903999999999996"/>
    <x v="1"/>
    <s v="No"/>
    <d v="2024-02-01T00:00:00"/>
    <n v="0"/>
  </r>
  <r>
    <s v="DEP-A0-3361"/>
    <x v="0"/>
    <n v="63"/>
    <x v="1"/>
    <s v="Falda"/>
    <s v="Azul"/>
    <s v="Puma"/>
    <s v="MER-A0-3361"/>
    <d v="2024-10-12T00:00:00"/>
    <x v="0"/>
    <n v="14.35"/>
    <n v="0"/>
    <n v="82.494"/>
    <x v="1"/>
    <s v="No"/>
    <d v="2024-10-12T00:00:00"/>
    <n v="0"/>
  </r>
  <r>
    <s v="DEP-A0-4568"/>
    <x v="0"/>
    <n v="54"/>
    <x v="1"/>
    <s v="Falda"/>
    <s v="Rojo"/>
    <s v="Adidas"/>
    <s v="MER-A0-4568"/>
    <d v="2024-02-06T00:00:00"/>
    <x v="0"/>
    <n v="18.25"/>
    <n v="0.2"/>
    <n v="72.198000000000008"/>
    <x v="1"/>
    <s v="No"/>
    <d v="2024-02-06T00:00:00"/>
    <n v="0"/>
  </r>
  <r>
    <s v="DEP-A0-2256"/>
    <x v="0"/>
    <n v="51"/>
    <x v="1"/>
    <s v="Falda"/>
    <s v="Blanco"/>
    <s v="Adidas"/>
    <s v="MER-A0-2256"/>
    <d v="2024-01-23T00:00:00"/>
    <x v="0"/>
    <n v="16.8"/>
    <n v="0.1"/>
    <n v="106.309"/>
    <x v="1"/>
    <s v="No"/>
    <d v="2024-01-23T00:00:00"/>
    <n v="0"/>
  </r>
  <r>
    <s v="DEP-A0-2081"/>
    <x v="0"/>
    <n v="61"/>
    <x v="1"/>
    <s v="Pantalón"/>
    <s v="Gris"/>
    <s v="Adidas"/>
    <s v="MER-A0-2081"/>
    <d v="2024-11-03T00:00:00"/>
    <x v="0"/>
    <n v="17.760000000000002"/>
    <n v="0.1"/>
    <n v="75.7"/>
    <x v="1"/>
    <s v="No"/>
    <d v="2024-11-03T00:00:00"/>
    <n v="0"/>
  </r>
  <r>
    <s v="DEP-A0-2809"/>
    <x v="0"/>
    <n v="63"/>
    <x v="1"/>
    <s v="Falda"/>
    <s v="Gris"/>
    <s v="Zara"/>
    <s v="MER-A0-2809"/>
    <d v="2024-10-22T00:00:00"/>
    <x v="0"/>
    <n v="23.24"/>
    <n v="0.3"/>
    <n v="85.97399999999999"/>
    <x v="1"/>
    <s v="No"/>
    <d v="2024-10-22T00:00:00"/>
    <n v="0"/>
  </r>
  <r>
    <s v="DEP-A0-1780"/>
    <x v="0"/>
    <n v="57"/>
    <x v="1"/>
    <s v="Chaqueta"/>
    <s v="Rojo"/>
    <s v="Zara"/>
    <s v="MER-A0-1780"/>
    <d v="2024-12-23T00:00:00"/>
    <x v="0"/>
    <n v="18.38"/>
    <n v="0.1"/>
    <n v="146.52000000000001"/>
    <x v="1"/>
    <s v="No"/>
    <d v="2024-01-02T00:00:00"/>
    <n v="0"/>
  </r>
  <r>
    <s v="DEP-A0-2425"/>
    <x v="0"/>
    <n v="49"/>
    <x v="1"/>
    <s v="Zapatos"/>
    <s v="Azul"/>
    <s v="Puma"/>
    <s v="MER-A0-2425"/>
    <d v="2024-04-16T00:00:00"/>
    <x v="0"/>
    <n v="20.87"/>
    <n v="0.2"/>
    <n v="26.865000000000002"/>
    <x v="1"/>
    <s v="No"/>
    <d v="2024-04-16T00:00:00"/>
    <n v="0"/>
  </r>
  <r>
    <s v="DEP-A0-0133"/>
    <x v="0"/>
    <n v="58"/>
    <x v="1"/>
    <s v="Camisa"/>
    <s v="Azul"/>
    <s v="Adidas"/>
    <s v="MER-A0-0133"/>
    <d v="2024-09-26T00:00:00"/>
    <x v="0"/>
    <n v="16.86"/>
    <n v="0"/>
    <n v="35.904000000000003"/>
    <x v="1"/>
    <s v="No"/>
    <d v="2024-09-26T00:00:00"/>
    <n v="0"/>
  </r>
  <r>
    <s v="DEP-A0-4552"/>
    <x v="1"/>
    <n v="59"/>
    <x v="1"/>
    <s v="Camisa"/>
    <s v="Verde"/>
    <s v="Nike"/>
    <s v="MER-A0-4552"/>
    <d v="2024-09-14T00:00:00"/>
    <x v="0"/>
    <n v="18.96"/>
    <n v="0.1"/>
    <n v="48.194999999999993"/>
    <x v="1"/>
    <s v="No"/>
    <d v="2024-09-14T00:00:00"/>
    <n v="0"/>
  </r>
  <r>
    <s v="DEP-A0-2047"/>
    <x v="1"/>
    <n v="50"/>
    <x v="1"/>
    <s v="Camisa"/>
    <s v="Blanco"/>
    <s v="Levis"/>
    <s v="MER-A0-2047"/>
    <d v="2024-05-15T00:00:00"/>
    <x v="0"/>
    <n v="25.98"/>
    <n v="0.3"/>
    <n v="152.16999999999999"/>
    <x v="1"/>
    <s v="No"/>
    <d v="2024-05-15T00:00:00"/>
    <n v="0"/>
  </r>
  <r>
    <s v="DEP-A0-3329"/>
    <x v="0"/>
    <n v="50"/>
    <x v="1"/>
    <s v="Chaqueta"/>
    <s v="Verde"/>
    <s v="Mango"/>
    <s v="MER-A0-3329"/>
    <d v="2024-01-19T00:00:00"/>
    <x v="0"/>
    <n v="19.7"/>
    <n v="0"/>
    <n v="126.04"/>
    <x v="1"/>
    <s v="No"/>
    <d v="2024-01-19T00:00:00"/>
    <n v="0"/>
  </r>
  <r>
    <s v="DEP-A0-0907"/>
    <x v="1"/>
    <n v="39"/>
    <x v="1"/>
    <s v="Camisa"/>
    <s v="Negro"/>
    <s v="Puma"/>
    <s v="MER-A0-0907"/>
    <d v="2024-07-30T00:00:00"/>
    <x v="0"/>
    <n v="28.33"/>
    <n v="0.3"/>
    <n v="117.34799999999998"/>
    <x v="1"/>
    <s v="No"/>
    <d v="2024-07-30T00:00:00"/>
    <n v="0"/>
  </r>
  <r>
    <s v="DEP-A0-4578"/>
    <x v="0"/>
    <n v="49"/>
    <x v="1"/>
    <s v="Blusa"/>
    <s v="Negro"/>
    <s v="Zara"/>
    <s v="MER-A0-4578"/>
    <d v="2024-05-16T00:00:00"/>
    <x v="0"/>
    <n v="25.51"/>
    <n v="0.2"/>
    <n v="90.41"/>
    <x v="1"/>
    <s v="No"/>
    <d v="2024-05-16T00:00:00"/>
    <n v="0"/>
  </r>
  <r>
    <s v="DEP-A0-1519"/>
    <x v="1"/>
    <n v="49"/>
    <x v="1"/>
    <s v="Pantalón"/>
    <s v="Azul"/>
    <s v="Mango"/>
    <s v="MER-A0-1519"/>
    <d v="2024-02-13T00:00:00"/>
    <x v="0"/>
    <n v="23.12"/>
    <n v="0.1"/>
    <n v="138.68800000000002"/>
    <x v="1"/>
    <s v="No"/>
    <d v="2024-03-16T00:00:00"/>
    <n v="0"/>
  </r>
  <r>
    <s v="DEP-A0-0243"/>
    <x v="0"/>
    <n v="54"/>
    <x v="1"/>
    <s v="Vestido"/>
    <s v="Rojo"/>
    <s v="Adidas"/>
    <s v="MER-A0-0243"/>
    <d v="2024-03-24T00:00:00"/>
    <x v="0"/>
    <n v="23.17"/>
    <n v="0.1"/>
    <n v="58.296000000000006"/>
    <x v="1"/>
    <s v="No"/>
    <d v="2024-03-24T00:00:00"/>
    <n v="0"/>
  </r>
  <r>
    <s v="DEP-A0-0596"/>
    <x v="0"/>
    <n v="41"/>
    <x v="1"/>
    <s v="Chaqueta"/>
    <s v="Verde"/>
    <s v="Levis"/>
    <s v="MER-A0-0596"/>
    <d v="2024-11-12T00:00:00"/>
    <x v="0"/>
    <n v="26.84"/>
    <n v="0.2"/>
    <n v="147.97"/>
    <x v="1"/>
    <s v="No"/>
    <d v="2024-11-12T00:00:00"/>
    <n v="0"/>
  </r>
  <r>
    <s v="DEP-A0-4656"/>
    <x v="0"/>
    <n v="37"/>
    <x v="1"/>
    <s v="Chaqueta"/>
    <s v="Verde"/>
    <s v="Zara"/>
    <s v="MER-A0-4656"/>
    <d v="2024-03-19T00:00:00"/>
    <x v="0"/>
    <n v="27.44"/>
    <n v="0.2"/>
    <n v="124.97400000000002"/>
    <x v="1"/>
    <s v="No"/>
    <d v="2024-03-19T00:00:00"/>
    <n v="0"/>
  </r>
  <r>
    <s v="DEP-A0-3314"/>
    <x v="0"/>
    <n v="43"/>
    <x v="1"/>
    <s v="Falda"/>
    <s v="Azul"/>
    <s v="Puma"/>
    <s v="MER-A0-3314"/>
    <d v="2024-05-31T00:00:00"/>
    <x v="0"/>
    <n v="31.44"/>
    <n v="0.3"/>
    <n v="101.857"/>
    <x v="1"/>
    <s v="No"/>
    <d v="2024-05-31T00:00:00"/>
    <n v="0"/>
  </r>
  <r>
    <s v="DEP-A0-0965"/>
    <x v="0"/>
    <n v="62"/>
    <x v="1"/>
    <s v="Camisa"/>
    <s v="Rojo"/>
    <s v="Zara"/>
    <s v="MER-A0-0965"/>
    <d v="2024-04-02T00:00:00"/>
    <x v="0"/>
    <n v="28.09"/>
    <n v="0.2"/>
    <n v="120.09899999999999"/>
    <x v="1"/>
    <s v="No"/>
    <d v="2024-04-02T00:00:00"/>
    <n v="0"/>
  </r>
  <r>
    <s v="DEP-A0-4525"/>
    <x v="0"/>
    <n v="62"/>
    <x v="1"/>
    <s v="Pantalón"/>
    <s v="Gris"/>
    <s v="Levis"/>
    <s v="MER-A0-4525"/>
    <d v="2024-05-14T00:00:00"/>
    <x v="0"/>
    <n v="25.47"/>
    <n v="0.1"/>
    <n v="148.87"/>
    <x v="1"/>
    <s v="No"/>
    <d v="2024-05-14T00:00:00"/>
    <n v="0"/>
  </r>
  <r>
    <s v="DEP-A0-4600"/>
    <x v="0"/>
    <n v="36"/>
    <x v="1"/>
    <s v="Pantalón"/>
    <s v="Rojo"/>
    <s v="Zara"/>
    <s v="MER-A0-4600"/>
    <d v="2024-10-30T00:00:00"/>
    <x v="0"/>
    <n v="33.07"/>
    <n v="0.3"/>
    <n v="74.2"/>
    <x v="1"/>
    <s v="No"/>
    <d v="2024-10-30T00:00:00"/>
    <n v="0"/>
  </r>
  <r>
    <s v="DEP-A0-3266"/>
    <x v="0"/>
    <n v="45"/>
    <x v="1"/>
    <s v="Blusa"/>
    <s v="Rojo"/>
    <s v="Nike"/>
    <s v="MER-A0-3266"/>
    <d v="2024-05-31T00:00:00"/>
    <x v="0"/>
    <n v="29.45"/>
    <n v="0.2"/>
    <n v="142.744"/>
    <x v="1"/>
    <s v="No"/>
    <d v="2024-05-31T00:00:00"/>
    <n v="0"/>
  </r>
  <r>
    <s v="DEP-A0-0501"/>
    <x v="0"/>
    <n v="56"/>
    <x v="1"/>
    <s v="Camisa"/>
    <s v="Blanco"/>
    <s v="Adidas"/>
    <s v="MER-A0-0501"/>
    <d v="2024-09-15T00:00:00"/>
    <x v="0"/>
    <n v="33.68"/>
    <n v="0.3"/>
    <n v="127.96700000000001"/>
    <x v="1"/>
    <s v="No"/>
    <d v="2024-09-15T00:00:00"/>
    <n v="0"/>
  </r>
  <r>
    <s v="DEP-A0-4111"/>
    <x v="0"/>
    <n v="43"/>
    <x v="1"/>
    <s v="Chaqueta"/>
    <s v="Blanco"/>
    <s v="Tommy"/>
    <s v="MER-A0-4111"/>
    <d v="2024-03-21T00:00:00"/>
    <x v="0"/>
    <n v="29.49"/>
    <n v="0.2"/>
    <n v="129.374"/>
    <x v="1"/>
    <s v="No"/>
    <d v="2024-03-21T00:00:00"/>
    <n v="0"/>
  </r>
  <r>
    <s v="DEP-A0-1387"/>
    <x v="1"/>
    <n v="53"/>
    <x v="1"/>
    <s v="Camisa"/>
    <s v="Gris"/>
    <s v="Puma"/>
    <s v="MER-A0-1387"/>
    <d v="2024-11-02T00:00:00"/>
    <x v="0"/>
    <n v="34.07"/>
    <n v="0.3"/>
    <n v="77.951999999999998"/>
    <x v="1"/>
    <s v="No"/>
    <d v="2024-11-02T00:00:00"/>
    <n v="0"/>
  </r>
  <r>
    <s v="DEP-A0-4359"/>
    <x v="0"/>
    <n v="41"/>
    <x v="1"/>
    <s v="Camisa"/>
    <s v="Gris"/>
    <s v="Adidas"/>
    <s v="MER-A0-4359"/>
    <d v="2024-10-08T00:00:00"/>
    <x v="0"/>
    <n v="35.200000000000003"/>
    <n v="0.3"/>
    <n v="71.103999999999999"/>
    <x v="1"/>
    <s v="No"/>
    <d v="2024-10-08T00:00:00"/>
    <n v="0"/>
  </r>
  <r>
    <s v="DEP-A0-1879"/>
    <x v="0"/>
    <n v="49"/>
    <x v="1"/>
    <s v="Falda"/>
    <s v="Verde"/>
    <s v="Mango"/>
    <s v="MER-A0-1879"/>
    <d v="2024-03-18T00:00:00"/>
    <x v="0"/>
    <n v="27.45"/>
    <n v="0.1"/>
    <n v="94.004999999999995"/>
    <x v="1"/>
    <s v="No"/>
    <d v="2024-03-18T00:00:00"/>
    <n v="0"/>
  </r>
  <r>
    <s v="DEP-A0-2962"/>
    <x v="1"/>
    <n v="39"/>
    <x v="1"/>
    <s v="Pantalón"/>
    <s v="Blanco"/>
    <s v="Zara"/>
    <s v="MER-A0-2962"/>
    <d v="2024-11-28T00:00:00"/>
    <x v="0"/>
    <n v="27.84"/>
    <n v="0.1"/>
    <n v="168.11"/>
    <x v="1"/>
    <s v="No"/>
    <d v="2024-07-16T00:00:00"/>
    <n v="0"/>
  </r>
  <r>
    <s v="DEP-A0-1799"/>
    <x v="0"/>
    <n v="58"/>
    <x v="1"/>
    <s v="Chaqueta"/>
    <s v="Azul"/>
    <s v="Mango"/>
    <s v="MER-A0-1799"/>
    <d v="2024-02-18T00:00:00"/>
    <x v="0"/>
    <n v="36.36"/>
    <n v="0.3"/>
    <n v="105.13799999999999"/>
    <x v="1"/>
    <s v="No"/>
    <d v="2024-02-18T00:00:00"/>
    <n v="0"/>
  </r>
  <r>
    <s v="DEP-A0-4345"/>
    <x v="0"/>
    <n v="60"/>
    <x v="1"/>
    <s v="Vestido"/>
    <s v="Rojo"/>
    <s v="Levis"/>
    <s v="MER-A0-4345"/>
    <d v="2024-12-27T00:00:00"/>
    <x v="0"/>
    <n v="25.95"/>
    <n v="0"/>
    <n v="24.768000000000001"/>
    <x v="1"/>
    <s v="No"/>
    <d v="2024-12-27T00:00:00"/>
    <n v="0"/>
  </r>
  <r>
    <s v="DEP-A0-0787"/>
    <x v="0"/>
    <n v="65"/>
    <x v="1"/>
    <s v="Chaqueta"/>
    <s v="Blanco"/>
    <s v="Mango"/>
    <s v="MER-A0-0787"/>
    <d v="2024-08-07T00:00:00"/>
    <x v="0"/>
    <n v="30.02"/>
    <n v="0.1"/>
    <n v="186.9"/>
    <x v="1"/>
    <s v="No"/>
    <d v="2024-08-07T00:00:00"/>
    <n v="0"/>
  </r>
  <r>
    <s v="DEP-A0-4825"/>
    <x v="0"/>
    <n v="53"/>
    <x v="1"/>
    <s v="Zapatos"/>
    <s v="Azul"/>
    <s v="Nike"/>
    <s v="MER-A0-4825"/>
    <d v="2024-01-24T00:00:00"/>
    <x v="0"/>
    <n v="31.64"/>
    <n v="0.1"/>
    <n v="38.626000000000005"/>
    <x v="1"/>
    <s v="No"/>
    <d v="2024-01-24T00:00:00"/>
    <n v="0"/>
  </r>
  <r>
    <s v="DEP-A0-2827"/>
    <x v="0"/>
    <n v="56"/>
    <x v="1"/>
    <s v="Pantalón"/>
    <s v="Azul"/>
    <s v="Zara"/>
    <s v="MER-A0-2827"/>
    <d v="2024-03-22T00:00:00"/>
    <x v="0"/>
    <n v="41.16"/>
    <n v="0.3"/>
    <n v="11.104000000000001"/>
    <x v="1"/>
    <s v="No"/>
    <d v="2024-03-22T00:00:00"/>
    <n v="0"/>
  </r>
  <r>
    <s v="DEP-A0-4167"/>
    <x v="0"/>
    <n v="43"/>
    <x v="1"/>
    <s v="Vestido"/>
    <s v="Verde"/>
    <s v="Adidas"/>
    <s v="MER-A0-4167"/>
    <d v="2024-03-19T00:00:00"/>
    <x v="0"/>
    <n v="28.94"/>
    <n v="0"/>
    <n v="133.911"/>
    <x v="1"/>
    <s v="No"/>
    <d v="2024-03-19T00:00:00"/>
    <n v="0"/>
  </r>
  <r>
    <s v="DEP-A0-1357"/>
    <x v="0"/>
    <n v="62"/>
    <x v="1"/>
    <s v="Camisa"/>
    <s v="Gris"/>
    <s v="Tommy"/>
    <s v="MER-A0-1357"/>
    <d v="2024-12-01T00:00:00"/>
    <x v="0"/>
    <n v="37"/>
    <n v="0.2"/>
    <n v="81.459000000000003"/>
    <x v="1"/>
    <s v="No"/>
    <d v="2024-12-01T00:00:00"/>
    <n v="0"/>
  </r>
  <r>
    <s v="DEP-A0-3810"/>
    <x v="0"/>
    <n v="58"/>
    <x v="1"/>
    <s v="Camisa"/>
    <s v="Rojo"/>
    <s v="Nike"/>
    <s v="MER-A0-3810"/>
    <d v="2024-12-09T00:00:00"/>
    <x v="0"/>
    <n v="37.93"/>
    <n v="0.2"/>
    <n v="81.8"/>
    <x v="1"/>
    <s v="No"/>
    <d v="2024-06-03T00:00:00"/>
    <n v="0"/>
  </r>
  <r>
    <s v="DEP-A0-4213"/>
    <x v="0"/>
    <n v="37"/>
    <x v="1"/>
    <s v="Chaqueta"/>
    <s v="Azul"/>
    <s v="Levis"/>
    <s v="MER-A0-4213"/>
    <d v="2024-11-28T00:00:00"/>
    <x v="0"/>
    <n v="44.35"/>
    <n v="0.3"/>
    <n v="83.897999999999996"/>
    <x v="1"/>
    <s v="No"/>
    <d v="2024-07-12T00:00:00"/>
    <n v="0"/>
  </r>
  <r>
    <s v="DEP-A0-0265"/>
    <x v="1"/>
    <n v="47"/>
    <x v="1"/>
    <s v="Camisa"/>
    <s v="Azul"/>
    <s v="Tommy"/>
    <s v="MER-A0-0265"/>
    <d v="2024-12-15T00:00:00"/>
    <x v="0"/>
    <n v="45.18"/>
    <n v="0.3"/>
    <n v="23.317"/>
    <x v="1"/>
    <s v="No"/>
    <d v="2024-12-15T00:00:00"/>
    <n v="0"/>
  </r>
  <r>
    <s v="DEP-A0-3198"/>
    <x v="0"/>
    <n v="44"/>
    <x v="1"/>
    <s v="Falda"/>
    <s v="Blanco"/>
    <s v="Puma"/>
    <s v="MER-A0-3198"/>
    <d v="2024-03-02T00:00:00"/>
    <x v="0"/>
    <n v="35.21"/>
    <n v="0.1"/>
    <n v="90.459000000000003"/>
    <x v="1"/>
    <s v="No"/>
    <d v="2024-03-02T00:00:00"/>
    <n v="0"/>
  </r>
  <r>
    <s v="DEP-A0-1874"/>
    <x v="0"/>
    <n v="45"/>
    <x v="1"/>
    <s v="Blusa"/>
    <s v="Verde"/>
    <s v="Zara"/>
    <s v="MER-A0-1874"/>
    <d v="2024-11-16T00:00:00"/>
    <x v="0"/>
    <n v="40.270000000000003"/>
    <n v="0.2"/>
    <n v="29.475000000000001"/>
    <x v="1"/>
    <s v="No"/>
    <d v="2024-11-16T00:00:00"/>
    <n v="0"/>
  </r>
  <r>
    <s v="DEP-A0-4438"/>
    <x v="1"/>
    <n v="40"/>
    <x v="1"/>
    <s v="Pantalón"/>
    <s v="Gris"/>
    <s v="Levis"/>
    <s v="MER-A0-4438"/>
    <d v="2024-10-23T00:00:00"/>
    <x v="0"/>
    <n v="40.75"/>
    <n v="0.2"/>
    <n v="44.036999999999999"/>
    <x v="1"/>
    <s v="No"/>
    <d v="2024-10-23T00:00:00"/>
    <n v="0"/>
  </r>
  <r>
    <s v="DEP-A0-0520"/>
    <x v="0"/>
    <n v="51"/>
    <x v="1"/>
    <s v="Falda"/>
    <s v="Gris"/>
    <s v="Levis"/>
    <s v="MER-A0-0520"/>
    <d v="2024-05-27T00:00:00"/>
    <x v="0"/>
    <n v="33.1"/>
    <n v="0"/>
    <n v="98.144999999999996"/>
    <x v="1"/>
    <s v="No"/>
    <d v="2024-05-27T00:00:00"/>
    <n v="0"/>
  </r>
  <r>
    <s v="DEP-A0-2970"/>
    <x v="0"/>
    <n v="38"/>
    <x v="1"/>
    <s v="Camisa"/>
    <s v="Blanco"/>
    <s v="Puma"/>
    <s v="MER-A0-2970"/>
    <d v="2024-11-28T00:00:00"/>
    <x v="0"/>
    <n v="36.81"/>
    <n v="0.1"/>
    <n v="45.02"/>
    <x v="1"/>
    <s v="No"/>
    <d v="2024-07-20T00:00:00"/>
    <n v="0"/>
  </r>
  <r>
    <s v="DEP-A0-2941"/>
    <x v="0"/>
    <n v="56"/>
    <x v="1"/>
    <s v="Chaqueta"/>
    <s v="Gris"/>
    <s v="Adidas"/>
    <s v="MER-A0-2941"/>
    <d v="2024-10-20T00:00:00"/>
    <x v="0"/>
    <n v="37.700000000000003"/>
    <n v="0.1"/>
    <n v="111.17"/>
    <x v="1"/>
    <s v="No"/>
    <d v="2024-10-20T00:00:00"/>
    <n v="0"/>
  </r>
  <r>
    <s v="DEP-A0-2365"/>
    <x v="0"/>
    <n v="59"/>
    <x v="1"/>
    <s v="Blusa"/>
    <s v="Amarillo"/>
    <s v="Adidas"/>
    <s v="MER-A0-2365"/>
    <d v="2024-01-30T00:00:00"/>
    <x v="0"/>
    <n v="38.090000000000003"/>
    <n v="0.1"/>
    <n v="199.9"/>
    <x v="1"/>
    <s v="No"/>
    <d v="2024-01-30T00:00:00"/>
    <n v="0"/>
  </r>
  <r>
    <s v="DEP-A0-3981"/>
    <x v="0"/>
    <n v="58"/>
    <x v="1"/>
    <s v="Vestido"/>
    <s v="Amarillo"/>
    <s v="Puma"/>
    <s v="MER-A0-3981"/>
    <d v="2024-11-21T00:00:00"/>
    <x v="0"/>
    <n v="34.97"/>
    <n v="0"/>
    <n v="167.49"/>
    <x v="1"/>
    <s v="No"/>
    <d v="2024-11-21T00:00:00"/>
    <n v="0"/>
  </r>
  <r>
    <s v="DEP-A0-4856"/>
    <x v="1"/>
    <n v="57"/>
    <x v="1"/>
    <s v="Zapatos"/>
    <s v="Verde"/>
    <s v="Tommy"/>
    <s v="MER-A0-4856"/>
    <d v="2024-09-20T00:00:00"/>
    <x v="0"/>
    <n v="39.32"/>
    <n v="0.1"/>
    <n v="65.39"/>
    <x v="1"/>
    <s v="No"/>
    <d v="2024-09-20T00:00:00"/>
    <n v="0"/>
  </r>
  <r>
    <s v="DEP-A0-2661"/>
    <x v="0"/>
    <n v="50"/>
    <x v="1"/>
    <s v="Falda"/>
    <s v="Rojo"/>
    <s v="Nike"/>
    <s v="MER-A0-2661"/>
    <d v="2024-04-29T00:00:00"/>
    <x v="0"/>
    <n v="39.33"/>
    <n v="0.1"/>
    <n v="77.658000000000001"/>
    <x v="1"/>
    <s v="No"/>
    <d v="2024-04-29T00:00:00"/>
    <n v="0"/>
  </r>
  <r>
    <s v="DEP-A0-4130"/>
    <x v="0"/>
    <n v="59"/>
    <x v="1"/>
    <s v="Vestido"/>
    <s v="Amarillo"/>
    <s v="Puma"/>
    <s v="MER-A0-4130"/>
    <d v="2024-12-17T00:00:00"/>
    <x v="0"/>
    <n v="40.36"/>
    <n v="0.1"/>
    <n v="12.68"/>
    <x v="1"/>
    <s v="No"/>
    <d v="2024-12-17T00:00:00"/>
    <n v="0"/>
  </r>
  <r>
    <s v="DEP-A0-2402"/>
    <x v="1"/>
    <n v="52"/>
    <x v="1"/>
    <s v="Pantalón"/>
    <s v="Verde"/>
    <s v="Mango"/>
    <s v="MER-A0-2402"/>
    <d v="2024-11-28T00:00:00"/>
    <x v="0"/>
    <n v="46.42"/>
    <n v="0.2"/>
    <n v="13.097000000000001"/>
    <x v="1"/>
    <s v="No"/>
    <d v="2024-04-18T00:00:00"/>
    <n v="0"/>
  </r>
  <r>
    <s v="DEP-A0-3765"/>
    <x v="1"/>
    <n v="61"/>
    <x v="1"/>
    <s v="Zapatos"/>
    <s v="Verde"/>
    <s v="Adidas"/>
    <s v="MER-A0-3765"/>
    <d v="2024-02-18T00:00:00"/>
    <x v="0"/>
    <n v="37.22"/>
    <n v="0"/>
    <n v="8.8159999999999989"/>
    <x v="1"/>
    <s v="No"/>
    <d v="2024-02-18T00:00:00"/>
    <n v="0"/>
  </r>
  <r>
    <s v="DEP-A0-1177"/>
    <x v="0"/>
    <n v="62"/>
    <x v="1"/>
    <s v="Falda"/>
    <s v="Rojo"/>
    <s v="Tommy"/>
    <s v="MER-A0-1177"/>
    <d v="2024-09-28T00:00:00"/>
    <x v="0"/>
    <n v="46.8"/>
    <n v="0.2"/>
    <n v="8.9809999999999999"/>
    <x v="1"/>
    <s v="No"/>
    <d v="2024-09-28T00:00:00"/>
    <n v="0"/>
  </r>
  <r>
    <s v="DEP-A0-1611"/>
    <x v="0"/>
    <n v="57"/>
    <x v="1"/>
    <s v="Pantalón"/>
    <s v="Negro"/>
    <s v="Zara"/>
    <s v="MER-A0-1611"/>
    <d v="2024-09-26T00:00:00"/>
    <x v="0"/>
    <n v="41.64"/>
    <n v="0.1"/>
    <n v="9.3059999999999992"/>
    <x v="1"/>
    <s v="No"/>
    <d v="2024-09-26T00:00:00"/>
    <n v="0"/>
  </r>
  <r>
    <s v="DEP-A0-1422"/>
    <x v="1"/>
    <n v="63"/>
    <x v="1"/>
    <s v="Camisa"/>
    <s v="Negro"/>
    <s v="Levis"/>
    <s v="MER-A0-1422"/>
    <d v="2024-03-09T00:00:00"/>
    <x v="0"/>
    <n v="38.369999999999997"/>
    <n v="0"/>
    <n v="11.968"/>
    <x v="1"/>
    <s v="No"/>
    <d v="2024-03-09T00:00:00"/>
    <n v="0"/>
  </r>
  <r>
    <s v="DEP-A0-3590"/>
    <x v="0"/>
    <n v="37"/>
    <x v="1"/>
    <s v="Chaqueta"/>
    <s v="Verde"/>
    <s v="Adidas"/>
    <s v="MER-A0-3590"/>
    <d v="2024-08-26T00:00:00"/>
    <x v="0"/>
    <n v="56.18"/>
    <n v="0.3"/>
    <n v="14.808000000000002"/>
    <x v="1"/>
    <s v="No"/>
    <d v="2024-08-26T00:00:00"/>
    <n v="0"/>
  </r>
  <r>
    <s v="DEP-A0-3947"/>
    <x v="0"/>
    <n v="57"/>
    <x v="1"/>
    <s v="Pantalón"/>
    <s v="Amarillo"/>
    <s v="Adidas"/>
    <s v="MER-A0-3947"/>
    <d v="2024-03-26T00:00:00"/>
    <x v="0"/>
    <n v="44.15"/>
    <n v="0.1"/>
    <n v="15.08"/>
    <x v="1"/>
    <s v="No"/>
    <d v="2024-03-26T00:00:00"/>
    <n v="0"/>
  </r>
  <r>
    <s v="DEP-A0-2245"/>
    <x v="0"/>
    <n v="44"/>
    <x v="1"/>
    <s v="Blusa"/>
    <s v="Rojo"/>
    <s v="Puma"/>
    <s v="MER-A0-2245"/>
    <d v="2024-10-01T00:00:00"/>
    <x v="0"/>
    <n v="59.06"/>
    <n v="0.3"/>
    <n v="15.742999999999999"/>
    <x v="1"/>
    <s v="No"/>
    <d v="2024-10-01T00:00:00"/>
    <n v="0"/>
  </r>
  <r>
    <s v="DEP-A0-1295"/>
    <x v="0"/>
    <n v="61"/>
    <x v="1"/>
    <s v="Zapatos"/>
    <s v="Blanco"/>
    <s v="Adidas"/>
    <s v="MER-A0-1295"/>
    <d v="2024-08-08T00:00:00"/>
    <x v="0"/>
    <n v="60.05"/>
    <n v="0.3"/>
    <n v="16.119"/>
    <x v="1"/>
    <s v="No"/>
    <d v="2024-08-08T00:00:00"/>
    <n v="0"/>
  </r>
  <r>
    <s v="DEP-A0-3350"/>
    <x v="1"/>
    <n v="44"/>
    <x v="1"/>
    <s v="Pantalón"/>
    <s v="Verde"/>
    <s v="Nike"/>
    <s v="MER-A0-3350"/>
    <d v="2024-03-26T00:00:00"/>
    <x v="0"/>
    <n v="60.07"/>
    <n v="0.3"/>
    <n v="16.359000000000002"/>
    <x v="1"/>
    <s v="No"/>
    <d v="2024-03-26T00:00:00"/>
    <n v="0"/>
  </r>
  <r>
    <s v="DEP-A0-1434"/>
    <x v="1"/>
    <n v="45"/>
    <x v="1"/>
    <s v="Zapatos"/>
    <s v="Rojo"/>
    <s v="Adidas"/>
    <s v="MER-A0-1434"/>
    <d v="2024-06-26T00:00:00"/>
    <x v="0"/>
    <n v="47.31"/>
    <n v="0.1"/>
    <n v="18.865000000000002"/>
    <x v="1"/>
    <s v="No"/>
    <d v="2024-06-26T00:00:00"/>
    <n v="0"/>
  </r>
  <r>
    <s v="DEP-A0-4741"/>
    <x v="1"/>
    <n v="41"/>
    <x v="1"/>
    <s v="Camisa"/>
    <s v="Amarillo"/>
    <s v="Adidas"/>
    <s v="MER-A0-4741"/>
    <d v="2024-08-03T00:00:00"/>
    <x v="0"/>
    <n v="42.68"/>
    <n v="0"/>
    <n v="20.034000000000002"/>
    <x v="1"/>
    <s v="No"/>
    <d v="2024-08-03T00:00:00"/>
    <n v="0"/>
  </r>
  <r>
    <s v="DEP-A0-0278"/>
    <x v="0"/>
    <n v="38"/>
    <x v="1"/>
    <s v="Camisa"/>
    <s v="Gris"/>
    <s v="Levis"/>
    <s v="MER-A0-0278"/>
    <d v="2024-06-22T00:00:00"/>
    <x v="0"/>
    <n v="54.24"/>
    <n v="0.2"/>
    <n v="20.584"/>
    <x v="1"/>
    <s v="No"/>
    <d v="2024-06-22T00:00:00"/>
    <n v="0"/>
  </r>
  <r>
    <s v="DEP-A0-3880"/>
    <x v="0"/>
    <n v="64"/>
    <x v="1"/>
    <s v="Vestido"/>
    <s v="Azul"/>
    <s v="Puma"/>
    <s v="MER-A0-3880"/>
    <d v="2024-09-20T00:00:00"/>
    <x v="0"/>
    <n v="43.4"/>
    <n v="0"/>
    <n v="21.511000000000003"/>
    <x v="1"/>
    <s v="No"/>
    <d v="2024-09-20T00:00:00"/>
    <n v="0"/>
  </r>
  <r>
    <s v="DEP-A0-0948"/>
    <x v="0"/>
    <n v="37"/>
    <x v="1"/>
    <s v="Pantalón"/>
    <s v="Rojo"/>
    <s v="Adidas"/>
    <s v="MER-A0-0948"/>
    <d v="2024-10-17T00:00:00"/>
    <x v="0"/>
    <n v="54.39"/>
    <n v="0.2"/>
    <n v="22.05"/>
    <x v="1"/>
    <s v="No"/>
    <d v="2024-10-17T00:00:00"/>
    <n v="0"/>
  </r>
  <r>
    <s v="DEP-A0-0890"/>
    <x v="0"/>
    <n v="50"/>
    <x v="1"/>
    <s v="Blusa"/>
    <s v="Blanco"/>
    <s v="Nike"/>
    <s v="MER-A0-0890"/>
    <d v="2024-02-24T00:00:00"/>
    <x v="0"/>
    <n v="44.06"/>
    <n v="0"/>
    <n v="23.687999999999999"/>
    <x v="1"/>
    <s v="No"/>
    <d v="2024-02-24T00:00:00"/>
    <n v="0"/>
  </r>
  <r>
    <s v="DEP-A0-0987"/>
    <x v="1"/>
    <n v="39"/>
    <x v="1"/>
    <s v="Pantalón"/>
    <s v="Amarillo"/>
    <s v="Puma"/>
    <s v="MER-A0-0987"/>
    <d v="2024-12-16T00:00:00"/>
    <x v="0"/>
    <n v="63.09"/>
    <n v="0.3"/>
    <n v="23.96"/>
    <x v="1"/>
    <s v="No"/>
    <d v="2024-12-16T00:00:00"/>
    <n v="0"/>
  </r>
  <r>
    <s v="DEP-A0-2592"/>
    <x v="0"/>
    <n v="52"/>
    <x v="1"/>
    <s v="Falda"/>
    <s v="Negro"/>
    <s v="Nike"/>
    <s v="MER-A0-2592"/>
    <d v="2024-12-25T00:00:00"/>
    <x v="0"/>
    <n v="55.26"/>
    <n v="0.2"/>
    <n v="24.080000000000002"/>
    <x v="1"/>
    <s v="No"/>
    <d v="2024-12-25T00:00:00"/>
    <n v="0"/>
  </r>
  <r>
    <s v="DEP-A0-2158"/>
    <x v="0"/>
    <n v="52"/>
    <x v="1"/>
    <s v="Camisa"/>
    <s v="Amarillo"/>
    <s v="Adidas"/>
    <s v="MER-A0-2158"/>
    <d v="2024-06-21T00:00:00"/>
    <x v="0"/>
    <n v="63.56"/>
    <n v="0.3"/>
    <n v="24.399000000000001"/>
    <x v="1"/>
    <s v="No"/>
    <d v="2024-06-21T00:00:00"/>
    <n v="0"/>
  </r>
  <r>
    <s v="DEP-A0-2762"/>
    <x v="0"/>
    <n v="42"/>
    <x v="1"/>
    <s v="Vestido"/>
    <s v="Amarillo"/>
    <s v="Levis"/>
    <s v="MER-A0-2762"/>
    <d v="2024-05-24T00:00:00"/>
    <x v="0"/>
    <n v="50.29"/>
    <n v="0.1"/>
    <n v="26.25"/>
    <x v="1"/>
    <s v="No"/>
    <d v="2024-05-24T00:00:00"/>
    <n v="0"/>
  </r>
  <r>
    <s v="DEP-A0-0935"/>
    <x v="1"/>
    <n v="54"/>
    <x v="1"/>
    <s v="Pantalón"/>
    <s v="Azul"/>
    <s v="Nike"/>
    <s v="MER-A0-0935"/>
    <d v="2024-07-27T00:00:00"/>
    <x v="0"/>
    <n v="45.49"/>
    <n v="0"/>
    <n v="27.215999999999998"/>
    <x v="1"/>
    <s v="No"/>
    <d v="2024-07-27T00:00:00"/>
    <n v="0"/>
  </r>
  <r>
    <s v="DEP-A0-1189"/>
    <x v="0"/>
    <n v="50"/>
    <x v="1"/>
    <s v="Pantalón"/>
    <s v="Verde"/>
    <s v="Nike"/>
    <s v="MER-A0-1189"/>
    <d v="2024-05-06T00:00:00"/>
    <x v="0"/>
    <n v="45.57"/>
    <n v="0"/>
    <n v="27.79"/>
    <x v="1"/>
    <s v="No"/>
    <d v="2024-05-06T00:00:00"/>
    <n v="0"/>
  </r>
  <r>
    <s v="DEP-A0-3546"/>
    <x v="1"/>
    <n v="53"/>
    <x v="1"/>
    <s v="Camisa"/>
    <s v="Gris"/>
    <s v="Tommy"/>
    <s v="MER-A0-3546"/>
    <d v="2024-11-28T00:00:00"/>
    <x v="0"/>
    <n v="51.04"/>
    <n v="0.1"/>
    <n v="28.58"/>
    <x v="1"/>
    <s v="No"/>
    <d v="2024-07-04T00:00:00"/>
    <n v="0"/>
  </r>
  <r>
    <s v="DEP-A0-4952"/>
    <x v="0"/>
    <n v="50"/>
    <x v="1"/>
    <s v="Blusa"/>
    <s v="Gris"/>
    <s v="Puma"/>
    <s v="MER-A0-4952"/>
    <d v="2024-11-23T00:00:00"/>
    <x v="0"/>
    <n v="66.81"/>
    <n v="0.3"/>
    <n v="29.560000000000002"/>
    <x v="1"/>
    <s v="No"/>
    <d v="2024-11-23T00:00:00"/>
    <n v="0"/>
  </r>
  <r>
    <s v="DEP-A0-4659"/>
    <x v="0"/>
    <n v="65"/>
    <x v="1"/>
    <s v="Vestido"/>
    <s v="Rojo"/>
    <s v="Mango"/>
    <s v="MER-A0-4659"/>
    <d v="2024-03-11T00:00:00"/>
    <x v="0"/>
    <n v="52.31"/>
    <n v="0.1"/>
    <n v="30.204999999999998"/>
    <x v="1"/>
    <s v="No"/>
    <d v="2024-03-11T00:00:00"/>
    <n v="0"/>
  </r>
  <r>
    <s v="DEP-A0-3662"/>
    <x v="0"/>
    <n v="56"/>
    <x v="1"/>
    <s v="Blusa"/>
    <s v="Azul"/>
    <s v="Levis"/>
    <s v="MER-A0-3662"/>
    <d v="2024-09-06T00:00:00"/>
    <x v="0"/>
    <n v="52.66"/>
    <n v="0.1"/>
    <n v="32.840000000000003"/>
    <x v="1"/>
    <s v="No"/>
    <d v="2024-09-06T00:00:00"/>
    <n v="0"/>
  </r>
  <r>
    <s v="DEP-A0-1329"/>
    <x v="1"/>
    <n v="47"/>
    <x v="1"/>
    <s v="Camisa"/>
    <s v="Negro"/>
    <s v="Nike"/>
    <s v="MER-A0-1329"/>
    <d v="2024-11-30T00:00:00"/>
    <x v="0"/>
    <n v="47.49"/>
    <n v="0"/>
    <n v="33.152000000000001"/>
    <x v="1"/>
    <s v="No"/>
    <d v="2024-11-30T00:00:00"/>
    <n v="0"/>
  </r>
  <r>
    <s v="DEP-A0-4104"/>
    <x v="1"/>
    <n v="52"/>
    <x v="1"/>
    <s v="Pantalón"/>
    <s v="Amarillo"/>
    <s v="Nike"/>
    <s v="MER-A0-4104"/>
    <d v="2024-10-21T00:00:00"/>
    <x v="0"/>
    <n v="48.46"/>
    <n v="0"/>
    <n v="33.963999999999999"/>
    <x v="1"/>
    <s v="No"/>
    <d v="2024-10-21T00:00:00"/>
    <n v="0"/>
  </r>
  <r>
    <s v="DEP-A0-0073"/>
    <x v="0"/>
    <n v="45"/>
    <x v="1"/>
    <s v="Blusa"/>
    <s v="Rojo"/>
    <s v="Adidas"/>
    <s v="MER-A0-0073"/>
    <d v="2024-12-12T00:00:00"/>
    <x v="0"/>
    <n v="49.36"/>
    <n v="0"/>
    <n v="34.298999999999999"/>
    <x v="1"/>
    <s v="No"/>
    <d v="2024-12-12T00:00:00"/>
    <n v="0"/>
  </r>
  <r>
    <s v="DEP-A0-0386"/>
    <x v="0"/>
    <n v="52"/>
    <x v="1"/>
    <s v="Falda"/>
    <s v="Negro"/>
    <s v="Tommy"/>
    <s v="MER-A0-0386"/>
    <d v="2024-08-21T00:00:00"/>
    <x v="0"/>
    <n v="63.67"/>
    <n v="0.2"/>
    <n v="35.36"/>
    <x v="1"/>
    <s v="No"/>
    <d v="2024-08-21T00:00:00"/>
    <n v="0"/>
  </r>
  <r>
    <s v="DEP-A0-1829"/>
    <x v="1"/>
    <n v="57"/>
    <x v="1"/>
    <s v="Zapatos"/>
    <s v="Amarillo"/>
    <s v="Adidas"/>
    <s v="MER-A0-1829"/>
    <d v="2024-04-21T00:00:00"/>
    <x v="0"/>
    <n v="50.94"/>
    <n v="0"/>
    <n v="38.843999999999994"/>
    <x v="1"/>
    <s v="No"/>
    <d v="2024-04-21T00:00:00"/>
    <n v="0"/>
  </r>
  <r>
    <s v="DEP-A0-0802"/>
    <x v="0"/>
    <n v="37"/>
    <x v="1"/>
    <s v="Blusa"/>
    <s v="Negro"/>
    <s v="Nike"/>
    <s v="MER-A0-0802"/>
    <d v="2024-10-02T00:00:00"/>
    <x v="0"/>
    <n v="57.01"/>
    <n v="0.1"/>
    <n v="42.518000000000001"/>
    <x v="1"/>
    <s v="No"/>
    <d v="2024-10-02T00:00:00"/>
    <n v="0"/>
  </r>
  <r>
    <s v="DEP-A0-2415"/>
    <x v="0"/>
    <n v="44"/>
    <x v="1"/>
    <s v="Vestido"/>
    <s v="Negro"/>
    <s v="Adidas"/>
    <s v="MER-A0-2415"/>
    <d v="2024-12-15T00:00:00"/>
    <x v="0"/>
    <n v="64.180000000000007"/>
    <n v="0.2"/>
    <n v="43.393000000000001"/>
    <x v="1"/>
    <s v="No"/>
    <d v="2024-12-15T00:00:00"/>
    <n v="0"/>
  </r>
  <r>
    <s v="DEP-A0-3356"/>
    <x v="0"/>
    <n v="64"/>
    <x v="1"/>
    <s v="Camisa"/>
    <s v="Amarillo"/>
    <s v="Adidas"/>
    <s v="MER-A0-3356"/>
    <d v="2024-05-01T00:00:00"/>
    <x v="0"/>
    <n v="58.46"/>
    <n v="0.1"/>
    <n v="47.655999999999999"/>
    <x v="1"/>
    <s v="No"/>
    <d v="2024-05-01T00:00:00"/>
    <n v="0"/>
  </r>
  <r>
    <s v="DEP-A0-2326"/>
    <x v="0"/>
    <n v="49"/>
    <x v="1"/>
    <s v="Blusa"/>
    <s v="Negro"/>
    <s v="Levis"/>
    <s v="MER-A0-2326"/>
    <d v="2024-08-03T00:00:00"/>
    <x v="0"/>
    <n v="65.88"/>
    <n v="0.2"/>
    <n v="50.13"/>
    <x v="1"/>
    <s v="No"/>
    <d v="2024-08-03T00:00:00"/>
    <n v="0"/>
  </r>
  <r>
    <s v="DEP-A0-1216"/>
    <x v="0"/>
    <n v="61"/>
    <x v="1"/>
    <s v="Falda"/>
    <s v="Azul"/>
    <s v="Nike"/>
    <s v="MER-A0-1216"/>
    <d v="2024-12-11T00:00:00"/>
    <x v="0"/>
    <n v="76.55"/>
    <n v="0.3"/>
    <n v="56.238"/>
    <x v="1"/>
    <s v="No"/>
    <d v="2024-12-11T00:00:00"/>
    <n v="0"/>
  </r>
  <r>
    <s v="DEP-A0-0686"/>
    <x v="0"/>
    <n v="62"/>
    <x v="1"/>
    <s v="Vestido"/>
    <s v="Rojo"/>
    <s v="Mango"/>
    <s v="MER-A0-0686"/>
    <d v="2024-12-15T00:00:00"/>
    <x v="0"/>
    <n v="67.67"/>
    <n v="0.2"/>
    <n v="59.896000000000001"/>
    <x v="1"/>
    <s v="No"/>
    <d v="2024-12-15T00:00:00"/>
    <n v="0"/>
  </r>
  <r>
    <s v="DEP-A0-1066"/>
    <x v="0"/>
    <n v="49"/>
    <x v="1"/>
    <s v="Blusa"/>
    <s v="Azul"/>
    <s v="Tommy"/>
    <s v="MER-A0-1066"/>
    <d v="2024-11-28T00:00:00"/>
    <x v="0"/>
    <n v="54.31"/>
    <n v="0"/>
    <n v="61.578000000000003"/>
    <x v="1"/>
    <s v="No"/>
    <d v="2024-07-12T00:00:00"/>
    <n v="0"/>
  </r>
  <r>
    <s v="DEP-A0-1411"/>
    <x v="1"/>
    <n v="65"/>
    <x v="1"/>
    <s v="Camisa"/>
    <s v="Amarillo"/>
    <s v="Mango"/>
    <s v="MER-A0-1411"/>
    <d v="2024-03-29T00:00:00"/>
    <x v="0"/>
    <n v="61.31"/>
    <n v="0.1"/>
    <n v="67.527999999999992"/>
    <x v="1"/>
    <s v="No"/>
    <d v="2024-03-29T00:00:00"/>
    <n v="0"/>
  </r>
  <r>
    <s v="DEP-A0-2052"/>
    <x v="0"/>
    <n v="65"/>
    <x v="1"/>
    <s v="Pantalón"/>
    <s v="Azul"/>
    <s v="Adidas"/>
    <s v="MER-A0-2052"/>
    <d v="2024-08-18T00:00:00"/>
    <x v="0"/>
    <n v="69.17"/>
    <n v="0.2"/>
    <n v="67.724999999999994"/>
    <x v="1"/>
    <s v="No"/>
    <d v="2024-08-18T00:00:00"/>
    <n v="0"/>
  </r>
  <r>
    <s v="DEP-A0-0212"/>
    <x v="0"/>
    <n v="51"/>
    <x v="1"/>
    <s v="Pantalón"/>
    <s v="Azul"/>
    <s v="Zara"/>
    <s v="MER-A0-0212"/>
    <d v="2024-10-15T00:00:00"/>
    <x v="0"/>
    <n v="79.25"/>
    <n v="0.3"/>
    <n v="69.957999999999998"/>
    <x v="1"/>
    <s v="No"/>
    <d v="2024-10-15T00:00:00"/>
    <n v="0"/>
  </r>
  <r>
    <s v="DEP-A0-2272"/>
    <x v="0"/>
    <n v="50"/>
    <x v="1"/>
    <s v="Camisa"/>
    <s v="Rojo"/>
    <s v="Tommy"/>
    <s v="MER-A0-2272"/>
    <d v="2024-12-20T00:00:00"/>
    <x v="0"/>
    <n v="69.41"/>
    <n v="0.2"/>
    <n v="70.356999999999999"/>
    <x v="1"/>
    <s v="No"/>
    <d v="2024-12-20T00:00:00"/>
    <n v="0"/>
  </r>
  <r>
    <s v="DEP-A0-3427"/>
    <x v="0"/>
    <n v="36"/>
    <x v="1"/>
    <s v="Chaqueta"/>
    <s v="Negro"/>
    <s v="Zara"/>
    <s v="MER-A0-3427"/>
    <d v="2024-05-19T00:00:00"/>
    <x v="0"/>
    <n v="69.489999999999995"/>
    <n v="0.2"/>
    <n v="70.896000000000001"/>
    <x v="1"/>
    <s v="No"/>
    <d v="2024-05-19T00:00:00"/>
    <n v="0"/>
  </r>
  <r>
    <s v="DEP-A0-3731"/>
    <x v="0"/>
    <n v="60"/>
    <x v="1"/>
    <s v="Blusa"/>
    <s v="Rojo"/>
    <s v="Levis"/>
    <s v="MER-A0-3731"/>
    <d v="2024-12-11T00:00:00"/>
    <x v="0"/>
    <n v="62.59"/>
    <n v="0.1"/>
    <n v="78.938999999999993"/>
    <x v="1"/>
    <s v="No"/>
    <d v="2024-12-11T00:00:00"/>
    <n v="0"/>
  </r>
  <r>
    <s v="DEP-A0-1846"/>
    <x v="0"/>
    <n v="51"/>
    <x v="1"/>
    <s v="Vestido"/>
    <s v="Rojo"/>
    <s v="Nike"/>
    <s v="MER-A0-1846"/>
    <d v="2024-02-19T00:00:00"/>
    <x v="0"/>
    <n v="56.78"/>
    <n v="0"/>
    <n v="82.278000000000006"/>
    <x v="1"/>
    <s v="No"/>
    <d v="2024-02-19T00:00:00"/>
    <n v="0"/>
  </r>
  <r>
    <s v="DEP-A0-3681"/>
    <x v="1"/>
    <n v="44"/>
    <x v="1"/>
    <s v="Chaqueta"/>
    <s v="Azul"/>
    <s v="Tommy"/>
    <s v="MER-A0-3681"/>
    <d v="2024-04-04T00:00:00"/>
    <x v="0"/>
    <n v="65.23"/>
    <n v="0.1"/>
    <n v="94.688999999999993"/>
    <x v="1"/>
    <s v="No"/>
    <d v="2024-04-04T00:00:00"/>
    <n v="0"/>
  </r>
  <r>
    <s v="DEP-A0-2285"/>
    <x v="1"/>
    <n v="53"/>
    <x v="1"/>
    <s v="Zapatos"/>
    <s v="Verde"/>
    <s v="Nike"/>
    <s v="MER-A0-2285"/>
    <d v="2024-11-28T00:00:00"/>
    <x v="0"/>
    <n v="65.59"/>
    <n v="0.1"/>
    <n v="95"/>
    <x v="1"/>
    <s v="No"/>
    <d v="2024-04-12T00:00:00"/>
    <n v="0"/>
  </r>
  <r>
    <s v="DEP-A0-0022"/>
    <x v="0"/>
    <n v="51"/>
    <x v="1"/>
    <s v="Chaqueta"/>
    <s v="Verde"/>
    <s v="Levis"/>
    <s v="MER-A0-0022"/>
    <d v="2024-09-27T00:00:00"/>
    <x v="0"/>
    <n v="85.09"/>
    <n v="0.3"/>
    <n v="96.975999999999999"/>
    <x v="1"/>
    <s v="No"/>
    <d v="2024-09-27T00:00:00"/>
    <n v="0"/>
  </r>
  <r>
    <s v="DEP-A0-3048"/>
    <x v="0"/>
    <n v="46"/>
    <x v="1"/>
    <s v="Falda"/>
    <s v="Rojo"/>
    <s v="Adidas"/>
    <s v="MER-A0-3048"/>
    <d v="2024-11-17T00:00:00"/>
    <x v="0"/>
    <n v="66.88"/>
    <n v="0.1"/>
    <n v="101.661"/>
    <x v="1"/>
    <s v="No"/>
    <d v="2024-11-17T00:00:00"/>
    <n v="0"/>
  </r>
  <r>
    <s v="DEP-A0-1948"/>
    <x v="0"/>
    <n v="53"/>
    <x v="1"/>
    <s v="Chaqueta"/>
    <s v="Negro"/>
    <s v="Zara"/>
    <s v="MER-A0-1948"/>
    <d v="2024-09-18T00:00:00"/>
    <x v="0"/>
    <n v="61.65"/>
    <n v="0"/>
    <n v="109.485"/>
    <x v="1"/>
    <s v="No"/>
    <d v="2024-09-18T00:00:00"/>
    <n v="0"/>
  </r>
  <r>
    <s v="DEP-A0-4922"/>
    <x v="0"/>
    <n v="48"/>
    <x v="1"/>
    <s v="Falda"/>
    <s v="Rojo"/>
    <s v="Adidas"/>
    <s v="MER-A0-4922"/>
    <d v="2024-11-21T00:00:00"/>
    <x v="0"/>
    <n v="77.19"/>
    <n v="0.2"/>
    <n v="114.88"/>
    <x v="1"/>
    <s v="No"/>
    <d v="2024-11-21T00:00:00"/>
    <n v="0"/>
  </r>
  <r>
    <s v="DEP-A0-0824"/>
    <x v="1"/>
    <n v="62"/>
    <x v="1"/>
    <s v="Chaqueta"/>
    <s v="Gris"/>
    <s v="Zara"/>
    <s v="MER-A0-0824"/>
    <d v="2024-09-13T00:00:00"/>
    <x v="0"/>
    <n v="61.94"/>
    <n v="0"/>
    <n v="117.48"/>
    <x v="1"/>
    <s v="No"/>
    <d v="2024-09-13T00:00:00"/>
    <n v="0"/>
  </r>
  <r>
    <s v="DEP-A0-4439"/>
    <x v="0"/>
    <n v="51"/>
    <x v="1"/>
    <s v="Pantalón"/>
    <s v="Amarillo"/>
    <s v="Zara"/>
    <s v="MER-A0-4439"/>
    <d v="2024-11-05T00:00:00"/>
    <x v="0"/>
    <n v="69.28"/>
    <n v="0.1"/>
    <n v="126.776"/>
    <x v="1"/>
    <s v="No"/>
    <d v="2024-11-05T00:00:00"/>
    <n v="0"/>
  </r>
  <r>
    <s v="DEP-A0-0457"/>
    <x v="0"/>
    <n v="63"/>
    <x v="1"/>
    <s v="Pantalón"/>
    <s v="Gris"/>
    <s v="Zara"/>
    <s v="MER-A0-0457"/>
    <d v="2024-02-17T00:00:00"/>
    <x v="0"/>
    <n v="90.11"/>
    <n v="0.3"/>
    <n v="132.584"/>
    <x v="1"/>
    <s v="No"/>
    <d v="2024-02-17T00:00:00"/>
    <n v="0"/>
  </r>
  <r>
    <s v="DEP-A0-3745"/>
    <x v="0"/>
    <n v="62"/>
    <x v="1"/>
    <s v="Zapatos"/>
    <s v="Rojo"/>
    <s v="Nike"/>
    <s v="MER-A0-3745"/>
    <d v="2024-02-22T00:00:00"/>
    <x v="0"/>
    <n v="63.39"/>
    <n v="0"/>
    <n v="134.6"/>
    <x v="1"/>
    <s v="No"/>
    <d v="2024-02-22T00:00:00"/>
    <n v="0"/>
  </r>
  <r>
    <s v="DEP-A0-0259"/>
    <x v="0"/>
    <n v="40"/>
    <x v="1"/>
    <s v="Falda"/>
    <s v="Verde"/>
    <s v="Mango"/>
    <s v="MER-A0-0259"/>
    <d v="2024-10-31T00:00:00"/>
    <x v="0"/>
    <n v="79.41"/>
    <n v="0.2"/>
    <n v="135.416"/>
    <x v="1"/>
    <s v="No"/>
    <d v="2024-10-31T00:00:00"/>
    <n v="0"/>
  </r>
  <r>
    <s v="DEP-A0-3295"/>
    <x v="0"/>
    <n v="60"/>
    <x v="1"/>
    <s v="Falda"/>
    <s v="Verde"/>
    <s v="Zara"/>
    <s v="MER-A0-3295"/>
    <d v="2024-02-29T00:00:00"/>
    <x v="0"/>
    <n v="91.77"/>
    <n v="0.3"/>
    <n v="142.50399999999999"/>
    <x v="1"/>
    <s v="No"/>
    <d v="2024-02-29T00:00:00"/>
    <n v="0"/>
  </r>
  <r>
    <s v="DEP-A0-1174"/>
    <x v="1"/>
    <n v="46"/>
    <x v="1"/>
    <s v="Camisa"/>
    <s v="Gris"/>
    <s v="Zara"/>
    <s v="MER-A0-1174"/>
    <d v="2024-03-12T00:00:00"/>
    <x v="0"/>
    <n v="91.8"/>
    <n v="0.3"/>
    <n v="144.816"/>
    <x v="1"/>
    <s v="No"/>
    <d v="2024-03-12T00:00:00"/>
    <n v="0"/>
  </r>
  <r>
    <s v="DEP-A0-2512"/>
    <x v="0"/>
    <n v="46"/>
    <x v="1"/>
    <s v="Blusa"/>
    <s v="Azul"/>
    <s v="Puma"/>
    <s v="MER-A0-2512"/>
    <d v="2024-09-20T00:00:00"/>
    <x v="0"/>
    <n v="81.099999999999994"/>
    <n v="0.2"/>
    <n v="148.43199999999999"/>
    <x v="1"/>
    <s v="No"/>
    <d v="2024-09-20T00:00:00"/>
    <n v="0"/>
  </r>
  <r>
    <s v="DEP-A0-2389"/>
    <x v="0"/>
    <n v="59"/>
    <x v="1"/>
    <s v="Camisa"/>
    <s v="Verde"/>
    <s v="Levis"/>
    <s v="MER-A0-2389"/>
    <d v="2024-10-30T00:00:00"/>
    <x v="0"/>
    <n v="81.12"/>
    <n v="0.2"/>
    <n v="148.63200000000001"/>
    <x v="1"/>
    <s v="No"/>
    <d v="2024-10-30T00:00:00"/>
    <n v="0"/>
  </r>
  <r>
    <s v="DEP-A0-2494"/>
    <x v="0"/>
    <n v="47"/>
    <x v="1"/>
    <s v="Falda"/>
    <s v="Azul"/>
    <s v="Zara"/>
    <s v="MER-A0-2494"/>
    <d v="2024-01-21T00:00:00"/>
    <x v="0"/>
    <n v="72.89"/>
    <n v="0.1"/>
    <n v="149.77000000000001"/>
    <x v="1"/>
    <s v="No"/>
    <d v="2024-01-21T00:00:00"/>
    <n v="0"/>
  </r>
  <r>
    <s v="DEP-A0-1258"/>
    <x v="1"/>
    <n v="38"/>
    <x v="1"/>
    <s v="Zapatos"/>
    <s v="Amarillo"/>
    <s v="Levis"/>
    <s v="MER-A0-1258"/>
    <d v="2024-02-13T00:00:00"/>
    <x v="0"/>
    <n v="94.68"/>
    <n v="0.3"/>
    <n v="158.30000000000001"/>
    <x v="1"/>
    <s v="No"/>
    <d v="2024-03-17T00:00:00"/>
    <n v="0"/>
  </r>
  <r>
    <s v="DEP-A0-1287"/>
    <x v="1"/>
    <n v="48"/>
    <x v="1"/>
    <s v="Pantalón"/>
    <s v="Gris"/>
    <s v="Tommy"/>
    <s v="MER-A0-1287"/>
    <d v="2024-10-22T00:00:00"/>
    <x v="0"/>
    <n v="95.49"/>
    <n v="0.3"/>
    <n v="159.70499999999998"/>
    <x v="1"/>
    <s v="No"/>
    <d v="2024-10-22T00:00:00"/>
    <n v="0"/>
  </r>
  <r>
    <s v="DEP-A0-2792"/>
    <x v="0"/>
    <n v="44"/>
    <x v="1"/>
    <s v="Falda"/>
    <s v="Azul"/>
    <s v="Nike"/>
    <s v="MER-A0-2792"/>
    <d v="2024-06-27T00:00:00"/>
    <x v="0"/>
    <n v="87.05"/>
    <n v="0.2"/>
    <n v="37.253999999999998"/>
    <x v="1"/>
    <s v="No"/>
    <d v="2024-06-27T00:00:00"/>
    <n v="0"/>
  </r>
  <r>
    <s v="DEP-A0-2300"/>
    <x v="0"/>
    <n v="50"/>
    <x v="1"/>
    <s v="Falda"/>
    <s v="Blanco"/>
    <s v="Levis"/>
    <s v="MER-A0-2300"/>
    <d v="2024-10-27T00:00:00"/>
    <x v="0"/>
    <n v="69.81"/>
    <n v="0"/>
    <n v="37.4"/>
    <x v="1"/>
    <s v="No"/>
    <d v="2024-10-27T00:00:00"/>
    <n v="0"/>
  </r>
  <r>
    <s v="DEP-A0-1104"/>
    <x v="1"/>
    <n v="53"/>
    <x v="1"/>
    <s v="Pantalón"/>
    <s v="Negro"/>
    <s v="Zara"/>
    <s v="MER-A0-1104"/>
    <d v="2024-12-10T00:00:00"/>
    <x v="0"/>
    <n v="99.73"/>
    <n v="0.3"/>
    <n v="37.4"/>
    <x v="1"/>
    <s v="No"/>
    <d v="2024-06-16T00:00:00"/>
    <n v="0"/>
  </r>
  <r>
    <s v="DEP-A0-4533"/>
    <x v="0"/>
    <n v="46"/>
    <x v="1"/>
    <s v="Vestido"/>
    <s v="Amarillo"/>
    <s v="Mango"/>
    <s v="MER-A0-4533"/>
    <d v="2024-02-13T00:00:00"/>
    <x v="0"/>
    <n v="87.31"/>
    <n v="0.2"/>
    <n v="37.495999999999995"/>
    <x v="1"/>
    <s v="No"/>
    <d v="2024-03-17T00:00:00"/>
    <n v="0"/>
  </r>
  <r>
    <s v="DEP-A0-3010"/>
    <x v="0"/>
    <n v="39"/>
    <x v="1"/>
    <s v="Zapatos"/>
    <s v="Gris"/>
    <s v="Mango"/>
    <s v="MER-A0-3010"/>
    <d v="2024-09-09T00:00:00"/>
    <x v="0"/>
    <n v="100.83"/>
    <n v="0.3"/>
    <n v="38.388000000000005"/>
    <x v="1"/>
    <s v="No"/>
    <d v="2024-09-09T00:00:00"/>
    <n v="0"/>
  </r>
  <r>
    <s v="DEP-A0-0499"/>
    <x v="0"/>
    <n v="64"/>
    <x v="1"/>
    <s v="Zapatos"/>
    <s v="Verde"/>
    <s v="Zara"/>
    <s v="MER-A0-0499"/>
    <d v="2024-08-19T00:00:00"/>
    <x v="0"/>
    <n v="88.3"/>
    <n v="0.2"/>
    <n v="38.57"/>
    <x v="1"/>
    <s v="No"/>
    <d v="2024-08-19T00:00:00"/>
    <n v="0"/>
  </r>
  <r>
    <s v="DEP-A0-1536"/>
    <x v="1"/>
    <n v="55"/>
    <x v="1"/>
    <s v="Camisa"/>
    <s v="Negro"/>
    <s v="Zara"/>
    <s v="MER-A0-1536"/>
    <d v="2024-03-08T00:00:00"/>
    <x v="0"/>
    <n v="88.81"/>
    <n v="0.2"/>
    <n v="41.128"/>
    <x v="1"/>
    <s v="No"/>
    <d v="2024-03-08T00:00:00"/>
    <n v="0"/>
  </r>
  <r>
    <s v="DEP-A0-4091"/>
    <x v="0"/>
    <n v="64"/>
    <x v="1"/>
    <s v="Falda"/>
    <s v="Negro"/>
    <s v="Puma"/>
    <s v="MER-A0-4091"/>
    <d v="2024-10-11T00:00:00"/>
    <x v="0"/>
    <n v="90.22"/>
    <n v="0.2"/>
    <n v="43.542000000000002"/>
    <x v="1"/>
    <s v="No"/>
    <d v="2024-10-11T00:00:00"/>
    <n v="0"/>
  </r>
  <r>
    <s v="DEP-A0-2590"/>
    <x v="0"/>
    <n v="41"/>
    <x v="1"/>
    <s v="Falda"/>
    <s v="Rojo"/>
    <s v="Levis"/>
    <s v="MER-A0-2590"/>
    <d v="2024-01-23T00:00:00"/>
    <x v="0"/>
    <n v="91.69"/>
    <n v="0.2"/>
    <n v="47.239999999999995"/>
    <x v="1"/>
    <s v="No"/>
    <d v="2024-01-23T00:00:00"/>
    <n v="0"/>
  </r>
  <r>
    <s v="DEP-A0-4189"/>
    <x v="0"/>
    <n v="58"/>
    <x v="1"/>
    <s v="Camisa"/>
    <s v="Rojo"/>
    <s v="Nike"/>
    <s v="MER-A0-4189"/>
    <d v="2024-12-09T00:00:00"/>
    <x v="0"/>
    <n v="73.47"/>
    <n v="0"/>
    <n v="47.628"/>
    <x v="1"/>
    <s v="No"/>
    <d v="2024-12-09T00:00:00"/>
    <n v="0"/>
  </r>
  <r>
    <s v="DEP-A0-4397"/>
    <x v="1"/>
    <n v="59"/>
    <x v="1"/>
    <s v="Zapatos"/>
    <s v="Negro"/>
    <s v="Mango"/>
    <s v="MER-A0-4397"/>
    <d v="2024-02-28T00:00:00"/>
    <x v="0"/>
    <n v="105.24"/>
    <n v="0.3"/>
    <n v="48.138999999999996"/>
    <x v="1"/>
    <s v="No"/>
    <d v="2024-02-28T00:00:00"/>
    <n v="0"/>
  </r>
  <r>
    <s v="DEP-A0-2783"/>
    <x v="0"/>
    <n v="62"/>
    <x v="1"/>
    <s v="Camisa"/>
    <s v="Gris"/>
    <s v="Puma"/>
    <s v="MER-A0-2783"/>
    <d v="2024-02-16T00:00:00"/>
    <x v="0"/>
    <n v="106.38"/>
    <n v="0.3"/>
    <n v="48.32"/>
    <x v="1"/>
    <s v="No"/>
    <d v="2024-02-16T00:00:00"/>
    <n v="0"/>
  </r>
  <r>
    <s v="DEP-A0-3972"/>
    <x v="0"/>
    <n v="53"/>
    <x v="1"/>
    <s v="Vestido"/>
    <s v="Blanco"/>
    <s v="Puma"/>
    <s v="MER-A0-3972"/>
    <d v="2024-05-11T00:00:00"/>
    <x v="0"/>
    <n v="106.44"/>
    <n v="0.3"/>
    <n v="49.031999999999996"/>
    <x v="1"/>
    <s v="No"/>
    <d v="2024-05-11T00:00:00"/>
    <n v="0"/>
  </r>
  <r>
    <s v="DEP-A0-2779"/>
    <x v="0"/>
    <n v="53"/>
    <x v="1"/>
    <s v="Vestido"/>
    <s v="Gris"/>
    <s v="Mango"/>
    <s v="MER-A0-2779"/>
    <d v="2024-02-05T00:00:00"/>
    <x v="0"/>
    <n v="93.76"/>
    <n v="0.2"/>
    <n v="49.875"/>
    <x v="1"/>
    <s v="No"/>
    <d v="2024-02-05T00:00:00"/>
    <n v="0"/>
  </r>
  <r>
    <s v="DEP-A0-3921"/>
    <x v="1"/>
    <n v="43"/>
    <x v="1"/>
    <s v="Zapatos"/>
    <s v="Rojo"/>
    <s v="Puma"/>
    <s v="MER-A0-3921"/>
    <d v="2024-11-14T00:00:00"/>
    <x v="0"/>
    <n v="94.78"/>
    <n v="0.2"/>
    <n v="52.191999999999993"/>
    <x v="1"/>
    <s v="No"/>
    <d v="2024-11-14T00:00:00"/>
    <n v="0"/>
  </r>
  <r>
    <s v="DEP-A0-2627"/>
    <x v="0"/>
    <n v="44"/>
    <x v="1"/>
    <s v="Camisa"/>
    <s v="Blanco"/>
    <s v="Tommy"/>
    <s v="MER-A0-2627"/>
    <d v="2024-08-08T00:00:00"/>
    <x v="0"/>
    <n v="109.14"/>
    <n v="0.3"/>
    <n v="53.067000000000007"/>
    <x v="1"/>
    <s v="No"/>
    <d v="2024-08-08T00:00:00"/>
    <n v="0"/>
  </r>
  <r>
    <s v="DEP-A0-4935"/>
    <x v="1"/>
    <n v="36"/>
    <x v="1"/>
    <s v="Camisa"/>
    <s v="Blanco"/>
    <s v="Zara"/>
    <s v="MER-A0-4935"/>
    <d v="2024-09-26T00:00:00"/>
    <x v="0"/>
    <n v="109.28"/>
    <n v="0.3"/>
    <n v="53.152000000000001"/>
    <x v="1"/>
    <s v="No"/>
    <d v="2024-09-26T00:00:00"/>
    <n v="0"/>
  </r>
  <r>
    <s v="DEP-A0-2453"/>
    <x v="0"/>
    <n v="50"/>
    <x v="1"/>
    <s v="Falda"/>
    <s v="Amarillo"/>
    <s v="Zara"/>
    <s v="MER-A0-2453"/>
    <d v="2024-05-27T00:00:00"/>
    <x v="0"/>
    <n v="95.76"/>
    <n v="0.2"/>
    <n v="53.683"/>
    <x v="1"/>
    <s v="No"/>
    <d v="2024-05-27T00:00:00"/>
    <n v="0"/>
  </r>
  <r>
    <s v="DEP-A0-2455"/>
    <x v="1"/>
    <n v="43"/>
    <x v="1"/>
    <s v="Zapatos"/>
    <s v="Rojo"/>
    <s v="Puma"/>
    <s v="MER-A0-2455"/>
    <d v="2024-08-21T00:00:00"/>
    <x v="0"/>
    <n v="85.85"/>
    <n v="0.1"/>
    <n v="54.918000000000006"/>
    <x v="1"/>
    <s v="No"/>
    <d v="2024-08-21T00:00:00"/>
    <n v="0"/>
  </r>
  <r>
    <s v="DEP-A0-4154"/>
    <x v="0"/>
    <n v="54"/>
    <x v="1"/>
    <s v="Pantalón"/>
    <s v="Verde"/>
    <s v="Mango"/>
    <s v="MER-A0-4154"/>
    <d v="2024-10-11T00:00:00"/>
    <x v="0"/>
    <n v="77.34"/>
    <n v="0"/>
    <n v="55.335999999999999"/>
    <x v="1"/>
    <s v="No"/>
    <d v="2024-10-11T00:00:00"/>
    <n v="0"/>
  </r>
  <r>
    <s v="DEP-A0-2641"/>
    <x v="0"/>
    <n v="44"/>
    <x v="1"/>
    <s v="Zapatos"/>
    <s v="Azul"/>
    <s v="Tommy"/>
    <s v="MER-A0-2641"/>
    <d v="2024-11-11T00:00:00"/>
    <x v="0"/>
    <n v="86.13"/>
    <n v="0.1"/>
    <n v="55.72"/>
    <x v="1"/>
    <s v="No"/>
    <d v="2024-11-11T00:00:00"/>
    <n v="0"/>
  </r>
  <r>
    <s v="DEP-A0-0330"/>
    <x v="0"/>
    <n v="63"/>
    <x v="1"/>
    <s v="Blusa"/>
    <s v="Azul"/>
    <s v="Zara"/>
    <s v="MER-A0-0330"/>
    <d v="2024-11-05T00:00:00"/>
    <x v="0"/>
    <n v="86.44"/>
    <n v="0.1"/>
    <n v="57.295000000000002"/>
    <x v="1"/>
    <s v="No"/>
    <d v="2024-11-05T00:00:00"/>
    <n v="0"/>
  </r>
  <r>
    <s v="DEP-A0-0807"/>
    <x v="1"/>
    <n v="63"/>
    <x v="1"/>
    <s v="Zapatos"/>
    <s v="Verde"/>
    <s v="Levis"/>
    <s v="MER-A0-0807"/>
    <d v="2024-10-30T00:00:00"/>
    <x v="0"/>
    <n v="78.290000000000006"/>
    <n v="0"/>
    <n v="59.072000000000003"/>
    <x v="1"/>
    <s v="No"/>
    <d v="2024-10-30T00:00:00"/>
    <n v="0"/>
  </r>
  <r>
    <s v="DEP-A0-2093"/>
    <x v="1"/>
    <n v="38"/>
    <x v="1"/>
    <s v="Chaqueta"/>
    <s v="Negro"/>
    <s v="Zara"/>
    <s v="MER-A0-2093"/>
    <d v="2024-12-29T00:00:00"/>
    <x v="0"/>
    <n v="78.959999999999994"/>
    <n v="0"/>
    <n v="61.73"/>
    <x v="1"/>
    <s v="No"/>
    <d v="2024-12-29T00:00:00"/>
    <n v="0"/>
  </r>
  <r>
    <s v="DEP-A0-2516"/>
    <x v="1"/>
    <n v="62"/>
    <x v="1"/>
    <s v="Camisa"/>
    <s v="Azul"/>
    <s v="Puma"/>
    <s v="MER-A0-2516"/>
    <d v="2024-05-17T00:00:00"/>
    <x v="0"/>
    <n v="79.34"/>
    <n v="0"/>
    <n v="62.27"/>
    <x v="1"/>
    <s v="No"/>
    <d v="2024-05-17T00:00:00"/>
    <n v="0"/>
  </r>
  <r>
    <s v="DEP-A0-2399"/>
    <x v="0"/>
    <n v="38"/>
    <x v="1"/>
    <s v="Zapatos"/>
    <s v="Azul"/>
    <s v="Nike"/>
    <s v="MER-A0-2399"/>
    <d v="2024-07-05T00:00:00"/>
    <x v="0"/>
    <n v="100.04"/>
    <n v="0.2"/>
    <n v="65.87"/>
    <x v="1"/>
    <s v="No"/>
    <d v="2024-07-05T00:00:00"/>
    <n v="0"/>
  </r>
  <r>
    <s v="DEP-A0-1462"/>
    <x v="1"/>
    <n v="39"/>
    <x v="1"/>
    <s v="Pantalón"/>
    <s v="Amarillo"/>
    <s v="Levis"/>
    <s v="MER-A0-1462"/>
    <d v="2024-03-04T00:00:00"/>
    <x v="0"/>
    <n v="88.93"/>
    <n v="0.1"/>
    <n v="67.36"/>
    <x v="1"/>
    <s v="No"/>
    <d v="2024-03-04T00:00:00"/>
    <n v="0"/>
  </r>
  <r>
    <s v="DEP-A0-1573"/>
    <x v="0"/>
    <n v="57"/>
    <x v="1"/>
    <s v="Vestido"/>
    <s v="Gris"/>
    <s v="Nike"/>
    <s v="MER-A0-1573"/>
    <d v="2024-10-17T00:00:00"/>
    <x v="0"/>
    <n v="114.9"/>
    <n v="0.3"/>
    <n v="67.570999999999998"/>
    <x v="1"/>
    <s v="No"/>
    <d v="2024-10-17T00:00:00"/>
    <n v="0"/>
  </r>
  <r>
    <s v="DEP-A0-1363"/>
    <x v="0"/>
    <n v="43"/>
    <x v="1"/>
    <s v="Blusa"/>
    <s v="Verde"/>
    <s v="Puma"/>
    <s v="MER-A0-1363"/>
    <d v="2024-12-23T00:00:00"/>
    <x v="0"/>
    <n v="100.91"/>
    <n v="0.2"/>
    <n v="68.535000000000011"/>
    <x v="1"/>
    <s v="No"/>
    <d v="2024-01-06T00:00:00"/>
    <n v="0"/>
  </r>
  <r>
    <s v="DEP-A0-3113"/>
    <x v="0"/>
    <n v="46"/>
    <x v="1"/>
    <s v="Vestido"/>
    <s v="Verde"/>
    <s v="Nike"/>
    <s v="MER-A0-3113"/>
    <d v="2024-08-15T00:00:00"/>
    <x v="0"/>
    <n v="115.8"/>
    <n v="0.3"/>
    <n v="68.872"/>
    <x v="1"/>
    <s v="No"/>
    <d v="2024-08-15T00:00:00"/>
    <n v="0"/>
  </r>
  <r>
    <s v="DEP-A0-3032"/>
    <x v="0"/>
    <n v="54"/>
    <x v="1"/>
    <s v="Blusa"/>
    <s v="Gris"/>
    <s v="Levis"/>
    <s v="MER-A0-3032"/>
    <d v="2024-12-23T00:00:00"/>
    <x v="0"/>
    <n v="116.04"/>
    <n v="0.3"/>
    <n v="70.217999999999989"/>
    <x v="1"/>
    <s v="No"/>
    <d v="2024-01-06T00:00:00"/>
    <n v="0"/>
  </r>
  <r>
    <s v="DEP-A0-4489"/>
    <x v="1"/>
    <n v="54"/>
    <x v="1"/>
    <s v="Camisa"/>
    <s v="Blanco"/>
    <s v="Mango"/>
    <s v="MER-A0-4489"/>
    <d v="2024-12-04T00:00:00"/>
    <x v="0"/>
    <n v="90.9"/>
    <n v="0.1"/>
    <n v="70.524000000000001"/>
    <x v="1"/>
    <s v="No"/>
    <d v="2024-12-04T00:00:00"/>
    <n v="0"/>
  </r>
  <r>
    <s v="DEP-A0-3162"/>
    <x v="1"/>
    <n v="57"/>
    <x v="1"/>
    <s v="Pantalón"/>
    <s v="Rojo"/>
    <s v="Puma"/>
    <s v="MER-A0-3162"/>
    <d v="2024-08-24T00:00:00"/>
    <x v="0"/>
    <n v="91.37"/>
    <n v="0.1"/>
    <n v="71.087999999999994"/>
    <x v="1"/>
    <s v="No"/>
    <d v="2024-08-24T00:00:00"/>
    <n v="0"/>
  </r>
  <r>
    <s v="DEP-A0-3735"/>
    <x v="0"/>
    <n v="60"/>
    <x v="1"/>
    <s v="Falda"/>
    <s v="Rojo"/>
    <s v="Nike"/>
    <s v="MER-A0-3735"/>
    <d v="2024-03-11T00:00:00"/>
    <x v="0"/>
    <n v="82.58"/>
    <n v="0"/>
    <n v="72.616"/>
    <x v="1"/>
    <s v="No"/>
    <d v="2024-03-11T00:00:00"/>
    <n v="0"/>
  </r>
  <r>
    <s v="DEP-A0-2589"/>
    <x v="0"/>
    <n v="53"/>
    <x v="1"/>
    <s v="Blusa"/>
    <s v="Negro"/>
    <s v="Tommy"/>
    <s v="MER-A0-2589"/>
    <d v="2024-10-06T00:00:00"/>
    <x v="0"/>
    <n v="104.82"/>
    <n v="0.2"/>
    <n v="72.855999999999995"/>
    <x v="1"/>
    <s v="No"/>
    <d v="2024-10-06T00:00:00"/>
    <n v="0"/>
  </r>
  <r>
    <s v="DEP-A0-1768"/>
    <x v="1"/>
    <n v="36"/>
    <x v="1"/>
    <s v="Chaqueta"/>
    <s v="Negro"/>
    <s v="Nike"/>
    <s v="MER-A0-1768"/>
    <d v="2024-12-30T00:00:00"/>
    <x v="0"/>
    <n v="120.56"/>
    <n v="0.3"/>
    <n v="75.463999999999999"/>
    <x v="1"/>
    <s v="No"/>
    <d v="2024-12-30T00:00:00"/>
    <n v="0"/>
  </r>
  <r>
    <s v="DEP-A0-4544"/>
    <x v="0"/>
    <n v="58"/>
    <x v="1"/>
    <s v="Blusa"/>
    <s v="Amarillo"/>
    <s v="Levis"/>
    <s v="MER-A0-4544"/>
    <d v="2024-10-26T00:00:00"/>
    <x v="0"/>
    <n v="106.54"/>
    <n v="0.2"/>
    <n v="77.058000000000007"/>
    <x v="1"/>
    <s v="No"/>
    <d v="2024-10-26T00:00:00"/>
    <n v="0"/>
  </r>
  <r>
    <s v="DEP-A0-0603"/>
    <x v="0"/>
    <n v="46"/>
    <x v="1"/>
    <s v="Vestido"/>
    <s v="Rojo"/>
    <s v="Nike"/>
    <s v="MER-A0-0603"/>
    <d v="2024-12-20T00:00:00"/>
    <x v="0"/>
    <n v="94.87"/>
    <n v="0.1"/>
    <n v="77.644000000000005"/>
    <x v="1"/>
    <s v="No"/>
    <d v="2024-12-20T00:00:00"/>
    <n v="0"/>
  </r>
  <r>
    <s v="DEP-A0-4709"/>
    <x v="0"/>
    <n v="51"/>
    <x v="1"/>
    <s v="Vestido"/>
    <s v="Gris"/>
    <s v="Puma"/>
    <s v="MER-A0-4709"/>
    <d v="2024-11-09T00:00:00"/>
    <x v="0"/>
    <n v="122.17"/>
    <n v="0.3"/>
    <n v="78.211000000000013"/>
    <x v="1"/>
    <s v="No"/>
    <d v="2024-11-09T00:00:00"/>
    <n v="0"/>
  </r>
  <r>
    <s v="DEP-A0-2803"/>
    <x v="0"/>
    <n v="50"/>
    <x v="1"/>
    <s v="Pantalón"/>
    <s v="Negro"/>
    <s v="Nike"/>
    <s v="MER-A0-2803"/>
    <d v="2024-11-28T00:00:00"/>
    <x v="0"/>
    <n v="106.96"/>
    <n v="0.2"/>
    <n v="79.211999999999989"/>
    <x v="1"/>
    <s v="No"/>
    <d v="2024-07-22T00:00:00"/>
    <n v="0"/>
  </r>
  <r>
    <s v="DEP-A0-2974"/>
    <x v="1"/>
    <n v="63"/>
    <x v="1"/>
    <s v="Camisa"/>
    <s v="Amarillo"/>
    <s v="Puma"/>
    <s v="MER-A0-2974"/>
    <d v="2024-04-19T00:00:00"/>
    <x v="0"/>
    <n v="95.16"/>
    <n v="0.1"/>
    <n v="79.27"/>
    <x v="1"/>
    <s v="No"/>
    <d v="2024-04-19T00:00:00"/>
    <n v="0"/>
  </r>
  <r>
    <s v="DEP-A0-1478"/>
    <x v="0"/>
    <n v="43"/>
    <x v="1"/>
    <s v="Camisa"/>
    <s v="Gris"/>
    <s v="Tommy"/>
    <s v="MER-A0-1478"/>
    <d v="2024-04-01T00:00:00"/>
    <x v="0"/>
    <n v="85.77"/>
    <n v="0"/>
    <n v="79.408000000000001"/>
    <x v="1"/>
    <s v="No"/>
    <d v="2024-04-01T00:00:00"/>
    <n v="0"/>
  </r>
  <r>
    <s v="DEP-A0-4743"/>
    <x v="0"/>
    <n v="55"/>
    <x v="1"/>
    <s v="Falda"/>
    <s v="Amarillo"/>
    <s v="Levis"/>
    <s v="MER-A0-4743"/>
    <d v="2024-07-03T00:00:00"/>
    <x v="0"/>
    <n v="107.31"/>
    <n v="0.2"/>
    <n v="79.567999999999998"/>
    <x v="1"/>
    <s v="No"/>
    <d v="2024-07-03T00:00:00"/>
    <n v="0"/>
  </r>
  <r>
    <s v="DEP-A0-3803"/>
    <x v="0"/>
    <n v="55"/>
    <x v="1"/>
    <s v="Falda"/>
    <s v="Amarillo"/>
    <s v="Zara"/>
    <s v="MER-A0-3803"/>
    <d v="2024-05-29T00:00:00"/>
    <x v="0"/>
    <n v="123.34"/>
    <n v="0.3"/>
    <n v="81.087999999999994"/>
    <x v="1"/>
    <s v="No"/>
    <d v="2024-05-29T00:00:00"/>
    <n v="0"/>
  </r>
  <r>
    <s v="DEP-A0-4230"/>
    <x v="0"/>
    <n v="36"/>
    <x v="1"/>
    <s v="Pantalón"/>
    <s v="Azul"/>
    <s v="Adidas"/>
    <s v="MER-A0-4230"/>
    <d v="2024-04-26T00:00:00"/>
    <x v="0"/>
    <n v="87.9"/>
    <n v="0"/>
    <n v="85.087999999999994"/>
    <x v="1"/>
    <s v="No"/>
    <d v="2024-04-26T00:00:00"/>
    <n v="0"/>
  </r>
  <r>
    <s v="DEP-A0-4598"/>
    <x v="0"/>
    <n v="56"/>
    <x v="1"/>
    <s v="Pantalón"/>
    <s v="Azul"/>
    <s v="Mango"/>
    <s v="MER-A0-4598"/>
    <d v="2024-08-09T00:00:00"/>
    <x v="0"/>
    <n v="110.25"/>
    <n v="0.2"/>
    <n v="86.09"/>
    <x v="1"/>
    <s v="No"/>
    <d v="2024-08-09T00:00:00"/>
    <n v="0"/>
  </r>
  <r>
    <s v="DEP-A0-1612"/>
    <x v="0"/>
    <n v="58"/>
    <x v="1"/>
    <s v="Falda"/>
    <s v="Rojo"/>
    <s v="Zara"/>
    <s v="MER-A0-1612"/>
    <d v="2024-11-10T00:00:00"/>
    <x v="0"/>
    <n v="88.49"/>
    <n v="0"/>
    <n v="87.16"/>
    <x v="1"/>
    <s v="No"/>
    <d v="2024-11-10T00:00:00"/>
    <n v="0"/>
  </r>
  <r>
    <s v="DEP-A0-0360"/>
    <x v="1"/>
    <n v="65"/>
    <x v="1"/>
    <s v="Chaqueta"/>
    <s v="Verde"/>
    <s v="Mango"/>
    <s v="MER-A0-0360"/>
    <d v="2024-12-20T00:00:00"/>
    <x v="0"/>
    <n v="126.84"/>
    <n v="0.3"/>
    <n v="87.7"/>
    <x v="1"/>
    <s v="No"/>
    <d v="2024-12-20T00:00:00"/>
    <n v="0"/>
  </r>
  <r>
    <s v="DEP-A0-4136"/>
    <x v="0"/>
    <n v="54"/>
    <x v="1"/>
    <s v="Camisa"/>
    <s v="Amarillo"/>
    <s v="Tommy"/>
    <s v="MER-A0-4136"/>
    <d v="2024-06-17T00:00:00"/>
    <x v="0"/>
    <n v="98.67"/>
    <n v="0.1"/>
    <n v="89.912000000000006"/>
    <x v="1"/>
    <s v="No"/>
    <d v="2024-06-17T00:00:00"/>
    <n v="0"/>
  </r>
  <r>
    <s v="DEP-A0-3986"/>
    <x v="0"/>
    <n v="38"/>
    <x v="1"/>
    <s v="Vestido"/>
    <s v="Gris"/>
    <s v="Zara"/>
    <s v="MER-A0-3986"/>
    <d v="2024-08-27T00:00:00"/>
    <x v="0"/>
    <n v="100.16"/>
    <n v="0.1"/>
    <n v="91.088999999999999"/>
    <x v="1"/>
    <s v="No"/>
    <d v="2024-08-27T00:00:00"/>
    <n v="0"/>
  </r>
  <r>
    <s v="DEP-A0-3229"/>
    <x v="0"/>
    <n v="60"/>
    <x v="1"/>
    <s v="Vestido"/>
    <s v="Blanco"/>
    <s v="Mango"/>
    <s v="MER-A0-3229"/>
    <d v="2024-02-08T00:00:00"/>
    <x v="0"/>
    <n v="100.86"/>
    <n v="0.1"/>
    <n v="93.087999999999994"/>
    <x v="1"/>
    <s v="No"/>
    <d v="2024-02-08T00:00:00"/>
    <n v="0"/>
  </r>
  <r>
    <s v="DEP-A0-2945"/>
    <x v="0"/>
    <n v="63"/>
    <x v="1"/>
    <s v="Vestido"/>
    <s v="Rojo"/>
    <s v="Mango"/>
    <s v="MER-A0-2945"/>
    <d v="2024-12-23T00:00:00"/>
    <x v="0"/>
    <n v="90.93"/>
    <n v="0"/>
    <n v="93.72"/>
    <x v="1"/>
    <s v="No"/>
    <d v="2024-01-09T00:00:00"/>
    <n v="0"/>
  </r>
  <r>
    <s v="DEP-A0-0264"/>
    <x v="0"/>
    <n v="62"/>
    <x v="1"/>
    <s v="Blusa"/>
    <s v="Blanco"/>
    <s v="Adidas"/>
    <s v="MER-A0-0264"/>
    <d v="2024-11-28T00:00:00"/>
    <x v="0"/>
    <n v="130.38999999999999"/>
    <n v="0.3"/>
    <n v="93.92"/>
    <x v="1"/>
    <s v="No"/>
    <d v="2024-04-18T00:00:00"/>
    <n v="0"/>
  </r>
  <r>
    <s v="DEP-A0-3324"/>
    <x v="0"/>
    <n v="50"/>
    <x v="1"/>
    <s v="Falda"/>
    <s v="Gris"/>
    <s v="Mango"/>
    <s v="MER-A0-3324"/>
    <d v="2024-10-28T00:00:00"/>
    <x v="0"/>
    <n v="91.82"/>
    <n v="0"/>
    <n v="96.128"/>
    <x v="1"/>
    <s v="No"/>
    <d v="2024-10-28T00:00:00"/>
    <n v="0"/>
  </r>
  <r>
    <s v="DEP-A0-3331"/>
    <x v="1"/>
    <n v="60"/>
    <x v="1"/>
    <s v="Zapatos"/>
    <s v="Azul"/>
    <s v="Levis"/>
    <s v="MER-A0-3331"/>
    <d v="2024-10-23T00:00:00"/>
    <x v="0"/>
    <n v="102.8"/>
    <n v="0.1"/>
    <n v="100.023"/>
    <x v="1"/>
    <s v="No"/>
    <d v="2024-10-23T00:00:00"/>
    <n v="0"/>
  </r>
  <r>
    <s v="DEP-A0-0162"/>
    <x v="0"/>
    <n v="60"/>
    <x v="1"/>
    <s v="Vestido"/>
    <s v="Rojo"/>
    <s v="Puma"/>
    <s v="MER-A0-0162"/>
    <d v="2024-11-05T00:00:00"/>
    <x v="0"/>
    <n v="102.82"/>
    <n v="0.1"/>
    <n v="101.3"/>
    <x v="1"/>
    <s v="No"/>
    <d v="2024-11-05T00:00:00"/>
    <n v="0"/>
  </r>
  <r>
    <s v="DEP-A0-2757"/>
    <x v="1"/>
    <n v="55"/>
    <x v="1"/>
    <s v="Camisa"/>
    <s v="Gris"/>
    <s v="Puma"/>
    <s v="MER-A0-2757"/>
    <d v="2024-05-16T00:00:00"/>
    <x v="0"/>
    <n v="115.9"/>
    <n v="0.2"/>
    <n v="101.85"/>
    <x v="1"/>
    <s v="No"/>
    <d v="2024-05-16T00:00:00"/>
    <n v="0"/>
  </r>
  <r>
    <s v="DEP-A0-1090"/>
    <x v="0"/>
    <n v="45"/>
    <x v="1"/>
    <s v="Pantalón"/>
    <s v="Rojo"/>
    <s v="Nike"/>
    <s v="MER-A0-1090"/>
    <d v="2024-02-25T00:00:00"/>
    <x v="0"/>
    <n v="115.97"/>
    <n v="0.2"/>
    <n v="101.96"/>
    <x v="1"/>
    <s v="No"/>
    <d v="2024-02-25T00:00:00"/>
    <n v="0"/>
  </r>
  <r>
    <s v="DEP-A0-2651"/>
    <x v="1"/>
    <n v="47"/>
    <x v="1"/>
    <s v="Chaqueta"/>
    <s v="Azul"/>
    <s v="Levis"/>
    <s v="MER-A0-2651"/>
    <d v="2024-11-28T00:00:00"/>
    <x v="0"/>
    <n v="104.22"/>
    <n v="0.1"/>
    <n v="102.501"/>
    <x v="1"/>
    <s v="No"/>
    <d v="2024-07-20T00:00:00"/>
    <n v="0"/>
  </r>
  <r>
    <s v="DEP-A0-4026"/>
    <x v="0"/>
    <n v="56"/>
    <x v="1"/>
    <s v="Blusa"/>
    <s v="Gris"/>
    <s v="Adidas"/>
    <s v="MER-A0-4026"/>
    <d v="2024-09-15T00:00:00"/>
    <x v="0"/>
    <n v="135.30000000000001"/>
    <n v="0.3"/>
    <n v="105.196"/>
    <x v="1"/>
    <s v="No"/>
    <d v="2024-09-15T00:00:00"/>
    <n v="0"/>
  </r>
  <r>
    <s v="DEP-A0-4239"/>
    <x v="1"/>
    <n v="53"/>
    <x v="1"/>
    <s v="Camisa"/>
    <s v="Rojo"/>
    <s v="Levis"/>
    <s v="MER-A0-4239"/>
    <d v="2024-12-23T00:00:00"/>
    <x v="0"/>
    <n v="136.71"/>
    <n v="0.3"/>
    <n v="107.92"/>
    <x v="1"/>
    <s v="No"/>
    <d v="2024-12-23T00:00:00"/>
    <n v="0"/>
  </r>
  <r>
    <s v="DEP-A0-1377"/>
    <x v="1"/>
    <n v="52"/>
    <x v="1"/>
    <s v="Zapatos"/>
    <s v="Rojo"/>
    <s v="Levis"/>
    <s v="MER-A0-1377"/>
    <d v="2024-08-09T00:00:00"/>
    <x v="0"/>
    <n v="137.1"/>
    <n v="0.3"/>
    <n v="110.36699999999999"/>
    <x v="1"/>
    <s v="No"/>
    <d v="2024-08-09T00:00:00"/>
    <n v="0"/>
  </r>
  <r>
    <s v="DEP-A0-2348"/>
    <x v="0"/>
    <n v="49"/>
    <x v="1"/>
    <s v="Blusa"/>
    <s v="Rojo"/>
    <s v="Tommy"/>
    <s v="MER-A0-2348"/>
    <d v="2024-02-01T00:00:00"/>
    <x v="0"/>
    <n v="137.82"/>
    <n v="0.3"/>
    <n v="111.078"/>
    <x v="1"/>
    <s v="No"/>
    <d v="2024-02-01T00:00:00"/>
    <n v="0"/>
  </r>
  <r>
    <s v="DEP-A0-4370"/>
    <x v="0"/>
    <n v="47"/>
    <x v="1"/>
    <s v="Zapatos"/>
    <s v="Negro"/>
    <s v="Tommy"/>
    <s v="MER-A0-4370"/>
    <d v="2024-08-22T00:00:00"/>
    <x v="0"/>
    <n v="107.73"/>
    <n v="0.1"/>
    <n v="111.96000000000001"/>
    <x v="1"/>
    <s v="No"/>
    <d v="2024-08-22T00:00:00"/>
    <n v="0"/>
  </r>
  <r>
    <s v="DEP-A0-4934"/>
    <x v="1"/>
    <n v="47"/>
    <x v="1"/>
    <s v="Chaqueta"/>
    <s v="Rojo"/>
    <s v="Tommy"/>
    <s v="MER-A0-4934"/>
    <d v="2024-06-27T00:00:00"/>
    <x v="0"/>
    <n v="139.13"/>
    <n v="0.3"/>
    <n v="113.316"/>
    <x v="1"/>
    <s v="No"/>
    <d v="2024-06-27T00:00:00"/>
    <n v="0"/>
  </r>
  <r>
    <s v="DEP-A0-4320"/>
    <x v="1"/>
    <n v="41"/>
    <x v="1"/>
    <s v="Chaqueta"/>
    <s v="Azul"/>
    <s v="Nike"/>
    <s v="MER-A0-4320"/>
    <d v="2024-01-21T00:00:00"/>
    <x v="0"/>
    <n v="108.65"/>
    <n v="0.1"/>
    <n v="113.34"/>
    <x v="1"/>
    <s v="No"/>
    <d v="2024-01-21T00:00:00"/>
    <n v="0"/>
  </r>
  <r>
    <s v="DEP-A0-4782"/>
    <x v="0"/>
    <n v="52"/>
    <x v="1"/>
    <s v="Blusa"/>
    <s v="Amarillo"/>
    <s v="Mango"/>
    <s v="MER-A0-4782"/>
    <d v="2024-05-26T00:00:00"/>
    <x v="0"/>
    <n v="99.17"/>
    <n v="0"/>
    <n v="117.49"/>
    <x v="1"/>
    <s v="No"/>
    <d v="2024-05-26T00:00:00"/>
    <n v="0"/>
  </r>
  <r>
    <s v="DEP-A0-1328"/>
    <x v="0"/>
    <n v="60"/>
    <x v="1"/>
    <s v="Camisa"/>
    <s v="Amarillo"/>
    <s v="Puma"/>
    <s v="MER-A0-1328"/>
    <d v="2024-11-28T00:00:00"/>
    <x v="0"/>
    <n v="141.91"/>
    <n v="0.3"/>
    <n v="117.91800000000001"/>
    <x v="1"/>
    <s v="No"/>
    <d v="2024-07-20T00:00:00"/>
    <n v="0"/>
  </r>
  <r>
    <s v="DEP-A0-1121"/>
    <x v="0"/>
    <n v="37"/>
    <x v="1"/>
    <s v="Vestido"/>
    <s v="Amarillo"/>
    <s v="Levis"/>
    <s v="MER-A0-1121"/>
    <d v="2024-03-01T00:00:00"/>
    <x v="0"/>
    <n v="100.28"/>
    <n v="0"/>
    <n v="119.83199999999999"/>
    <x v="1"/>
    <s v="No"/>
    <d v="2024-03-01T00:00:00"/>
    <n v="0"/>
  </r>
  <r>
    <s v="DEP-A0-2016"/>
    <x v="0"/>
    <n v="51"/>
    <x v="1"/>
    <s v="Falda"/>
    <s v="Azul"/>
    <s v="Levis"/>
    <s v="MER-A0-2016"/>
    <d v="2024-12-03T00:00:00"/>
    <x v="0"/>
    <n v="125.55"/>
    <n v="0.2"/>
    <n v="120.21600000000001"/>
    <x v="1"/>
    <s v="No"/>
    <d v="2024-12-03T00:00:00"/>
    <n v="0"/>
  </r>
  <r>
    <s v="DEP-A0-3915"/>
    <x v="0"/>
    <n v="52"/>
    <x v="1"/>
    <s v="Chaqueta"/>
    <s v="Rojo"/>
    <s v="Nike"/>
    <s v="MER-A0-3915"/>
    <d v="2024-09-08T00:00:00"/>
    <x v="0"/>
    <n v="111.95"/>
    <n v="0.1"/>
    <n v="123.28400000000001"/>
    <x v="1"/>
    <s v="No"/>
    <d v="2024-09-08T00:00:00"/>
    <n v="0"/>
  </r>
  <r>
    <s v="DEP-A0-4413"/>
    <x v="0"/>
    <n v="50"/>
    <x v="1"/>
    <s v="Pantalón"/>
    <s v="Blanco"/>
    <s v="Mango"/>
    <s v="MER-A0-4413"/>
    <d v="2024-09-26T00:00:00"/>
    <x v="0"/>
    <n v="112.63"/>
    <n v="0.1"/>
    <n v="125.11800000000001"/>
    <x v="1"/>
    <s v="No"/>
    <d v="2024-09-26T00:00:00"/>
    <n v="0"/>
  </r>
  <r>
    <s v="DEP-A0-2472"/>
    <x v="0"/>
    <n v="59"/>
    <x v="1"/>
    <s v="Falda"/>
    <s v="Negro"/>
    <s v="Adidas"/>
    <s v="MER-A0-2472"/>
    <d v="2024-06-28T00:00:00"/>
    <x v="0"/>
    <n v="146.62"/>
    <n v="0.3"/>
    <n v="126.53100000000001"/>
    <x v="1"/>
    <s v="No"/>
    <d v="2024-06-28T00:00:00"/>
    <n v="0"/>
  </r>
  <r>
    <s v="DEP-A0-3124"/>
    <x v="0"/>
    <n v="51"/>
    <x v="1"/>
    <s v="Pantalón"/>
    <s v="Verde"/>
    <s v="Adidas"/>
    <s v="MER-A0-3124"/>
    <d v="2024-02-11T00:00:00"/>
    <x v="0"/>
    <n v="128.32"/>
    <n v="0.2"/>
    <n v="127.477"/>
    <x v="1"/>
    <s v="No"/>
    <d v="2024-02-11T00:00:00"/>
    <n v="0"/>
  </r>
  <r>
    <s v="DEP-A0-3870"/>
    <x v="0"/>
    <n v="62"/>
    <x v="1"/>
    <s v="Blusa"/>
    <s v="Azul"/>
    <s v="Puma"/>
    <s v="MER-A0-3870"/>
    <d v="2024-01-19T00:00:00"/>
    <x v="0"/>
    <n v="146.94999999999999"/>
    <n v="0.3"/>
    <n v="127.672"/>
    <x v="1"/>
    <s v="No"/>
    <d v="2024-01-19T00:00:00"/>
    <n v="0"/>
  </r>
  <r>
    <s v="DEP-A0-4367"/>
    <x v="1"/>
    <n v="45"/>
    <x v="1"/>
    <s v="Pantalón"/>
    <s v="Amarillo"/>
    <s v="Tommy"/>
    <s v="MER-A0-4367"/>
    <d v="2024-07-14T00:00:00"/>
    <x v="0"/>
    <n v="147.05000000000001"/>
    <n v="0.3"/>
    <n v="128.56"/>
    <x v="1"/>
    <s v="No"/>
    <d v="2024-07-14T00:00:00"/>
    <n v="0"/>
  </r>
  <r>
    <s v="DEP-A0-3764"/>
    <x v="1"/>
    <n v="50"/>
    <x v="1"/>
    <s v="Zapatos"/>
    <s v="Verde"/>
    <s v="Puma"/>
    <s v="MER-A0-3764"/>
    <d v="2024-02-13T00:00:00"/>
    <x v="0"/>
    <n v="128.85"/>
    <n v="0.2"/>
    <n v="128.65600000000001"/>
    <x v="1"/>
    <s v="No"/>
    <d v="2024-03-17T00:00:00"/>
    <n v="0"/>
  </r>
  <r>
    <s v="DEP-A0-1734"/>
    <x v="0"/>
    <n v="55"/>
    <x v="1"/>
    <s v="Chaqueta"/>
    <s v="Blanco"/>
    <s v="Levis"/>
    <s v="MER-A0-1734"/>
    <d v="2024-08-05T00:00:00"/>
    <x v="0"/>
    <n v="116.59"/>
    <n v="0.1"/>
    <n v="133.14699999999999"/>
    <x v="1"/>
    <s v="No"/>
    <d v="2024-08-05T00:00:00"/>
    <n v="0"/>
  </r>
  <r>
    <s v="DEP-A0-0800"/>
    <x v="1"/>
    <n v="45"/>
    <x v="1"/>
    <s v="Pantalón"/>
    <s v="Amarillo"/>
    <s v="Tommy"/>
    <s v="MER-A0-0800"/>
    <d v="2024-06-17T00:00:00"/>
    <x v="0"/>
    <n v="152.4"/>
    <n v="0.3"/>
    <n v="136.04000000000002"/>
    <x v="1"/>
    <s v="No"/>
    <d v="2024-06-17T00:00:00"/>
    <n v="0"/>
  </r>
  <r>
    <s v="DEP-A0-4131"/>
    <x v="0"/>
    <n v="40"/>
    <x v="1"/>
    <s v="Vestido"/>
    <s v="Azul"/>
    <s v="Adidas"/>
    <s v="MER-A0-4131"/>
    <d v="2024-10-05T00:00:00"/>
    <x v="0"/>
    <n v="119.59"/>
    <n v="0.1"/>
    <n v="139.84800000000001"/>
    <x v="1"/>
    <s v="No"/>
    <d v="2024-10-05T00:00:00"/>
    <n v="0"/>
  </r>
  <r>
    <s v="DEP-A0-1652"/>
    <x v="0"/>
    <n v="61"/>
    <x v="1"/>
    <s v="Vestido"/>
    <s v="Azul"/>
    <s v="Levis"/>
    <s v="MER-A0-1652"/>
    <d v="2024-06-24T00:00:00"/>
    <x v="0"/>
    <n v="134.96"/>
    <n v="0.2"/>
    <n v="140.47"/>
    <x v="1"/>
    <s v="No"/>
    <d v="2024-06-24T00:00:00"/>
    <n v="0"/>
  </r>
  <r>
    <s v="DEP-A0-1936"/>
    <x v="0"/>
    <n v="50"/>
    <x v="1"/>
    <s v="Vestido"/>
    <s v="Amarillo"/>
    <s v="Adidas"/>
    <s v="MER-A0-1936"/>
    <d v="2024-10-09T00:00:00"/>
    <x v="0"/>
    <n v="108.39"/>
    <n v="0"/>
    <n v="141.84800000000001"/>
    <x v="1"/>
    <s v="No"/>
    <d v="2024-10-09T00:00:00"/>
    <n v="0"/>
  </r>
  <r>
    <s v="DEP-A0-4857"/>
    <x v="0"/>
    <n v="51"/>
    <x v="1"/>
    <s v="Zapatos"/>
    <s v="Rojo"/>
    <s v="Adidas"/>
    <s v="MER-A0-4857"/>
    <d v="2024-05-29T00:00:00"/>
    <x v="0"/>
    <n v="135.79"/>
    <n v="0.2"/>
    <n v="143.32499999999999"/>
    <x v="1"/>
    <s v="No"/>
    <d v="2024-05-29T00:00:00"/>
    <n v="0"/>
  </r>
  <r>
    <s v="DEP-A0-3149"/>
    <x v="0"/>
    <n v="55"/>
    <x v="1"/>
    <s v="Camisa"/>
    <s v="Blanco"/>
    <s v="Levis"/>
    <s v="MER-A0-3149"/>
    <d v="2024-12-23T00:00:00"/>
    <x v="0"/>
    <n v="156.76"/>
    <n v="0.3"/>
    <n v="146.864"/>
    <x v="1"/>
    <s v="No"/>
    <d v="2024-01-09T00:00:00"/>
    <n v="0"/>
  </r>
  <r>
    <s v="DEP-A0-1618"/>
    <x v="1"/>
    <n v="36"/>
    <x v="1"/>
    <s v="Camisa"/>
    <s v="Rojo"/>
    <s v="Puma"/>
    <s v="MER-A0-1618"/>
    <d v="2024-05-05T00:00:00"/>
    <x v="0"/>
    <n v="157.62"/>
    <n v="0.3"/>
    <n v="149.32799999999997"/>
    <x v="1"/>
    <s v="No"/>
    <d v="2024-05-05T00:00:00"/>
    <n v="0"/>
  </r>
  <r>
    <s v="DEP-A0-4770"/>
    <x v="1"/>
    <n v="64"/>
    <x v="1"/>
    <s v="Camisa"/>
    <s v="Gris"/>
    <s v="Tommy"/>
    <s v="MER-A0-4770"/>
    <d v="2024-11-28T00:00:00"/>
    <x v="0"/>
    <n v="138.15"/>
    <n v="0.2"/>
    <n v="151.81"/>
    <x v="1"/>
    <s v="No"/>
    <d v="2024-04-29T00:00:00"/>
    <n v="0"/>
  </r>
  <r>
    <s v="DEP-A0-4603"/>
    <x v="1"/>
    <n v="55"/>
    <x v="1"/>
    <s v="Camisa"/>
    <s v="Rojo"/>
    <s v="Nike"/>
    <s v="MER-A0-4603"/>
    <d v="2024-05-23T00:00:00"/>
    <x v="0"/>
    <n v="139.4"/>
    <n v="0.2"/>
    <n v="155.34"/>
    <x v="1"/>
    <s v="No"/>
    <d v="2024-05-23T00:00:00"/>
    <n v="0"/>
  </r>
  <r>
    <s v="DEP-A0-1286"/>
    <x v="0"/>
    <n v="57"/>
    <x v="1"/>
    <s v="Pantalón"/>
    <s v="Negro"/>
    <s v="Levis"/>
    <s v="MER-A0-1286"/>
    <d v="2024-02-22T00:00:00"/>
    <x v="0"/>
    <n v="111.91"/>
    <n v="0"/>
    <n v="155.43"/>
    <x v="1"/>
    <s v="No"/>
    <d v="2024-02-22T00:00:00"/>
    <n v="0"/>
  </r>
  <r>
    <s v="DEP-A0-2109"/>
    <x v="0"/>
    <n v="40"/>
    <x v="1"/>
    <s v="Blusa"/>
    <s v="Verde"/>
    <s v="Adidas"/>
    <s v="MER-A0-2109"/>
    <d v="2024-12-23T00:00:00"/>
    <x v="0"/>
    <n v="124.38"/>
    <n v="0.1"/>
    <n v="156.232"/>
    <x v="1"/>
    <s v="No"/>
    <d v="2024-01-13T00:00:00"/>
    <n v="0"/>
  </r>
  <r>
    <s v="DEP-A0-2390"/>
    <x v="0"/>
    <n v="50"/>
    <x v="1"/>
    <s v="Zapatos"/>
    <s v="Rojo"/>
    <s v="Adidas"/>
    <s v="MER-A0-2390"/>
    <d v="2024-08-14T00:00:00"/>
    <x v="0"/>
    <n v="140.63"/>
    <n v="0.2"/>
    <n v="158.34"/>
    <x v="1"/>
    <s v="No"/>
    <d v="2024-08-14T00:00:00"/>
    <n v="0"/>
  </r>
  <r>
    <s v="DEP-A0-4231"/>
    <x v="0"/>
    <n v="49"/>
    <x v="1"/>
    <s v="Vestido"/>
    <s v="Blanco"/>
    <s v="Puma"/>
    <s v="MER-A0-4231"/>
    <d v="2024-10-23T00:00:00"/>
    <x v="0"/>
    <n v="142.29"/>
    <n v="0.2"/>
    <n v="160.46099999999998"/>
    <x v="1"/>
    <s v="No"/>
    <d v="2024-10-23T00:00:00"/>
    <n v="0"/>
  </r>
  <r>
    <s v="DEP-A0-4490"/>
    <x v="0"/>
    <n v="36"/>
    <x v="1"/>
    <s v="Blusa"/>
    <s v="Blanco"/>
    <s v="Mango"/>
    <s v="MER-A0-4490"/>
    <d v="2024-05-19T00:00:00"/>
    <x v="0"/>
    <n v="113.87"/>
    <n v="0"/>
    <n v="161.46"/>
    <x v="1"/>
    <s v="No"/>
    <d v="2024-05-19T00:00:00"/>
    <n v="0"/>
  </r>
  <r>
    <s v="DEP-A0-2968"/>
    <x v="0"/>
    <n v="54"/>
    <x v="1"/>
    <s v="Blusa"/>
    <s v="Verde"/>
    <s v="Nike"/>
    <s v="MER-A0-2968"/>
    <d v="2024-12-23T00:00:00"/>
    <x v="0"/>
    <n v="143.13999999999999"/>
    <n v="0.2"/>
    <n v="164.52"/>
    <x v="1"/>
    <s v="No"/>
    <d v="2024-01-10T00:00:00"/>
    <n v="0"/>
  </r>
  <r>
    <s v="DEP-A0-3682"/>
    <x v="0"/>
    <n v="42"/>
    <x v="1"/>
    <s v="Blusa"/>
    <s v="Blanco"/>
    <s v="Nike"/>
    <s v="MER-A0-3682"/>
    <d v="2024-08-11T00:00:00"/>
    <x v="0"/>
    <n v="144.07"/>
    <n v="0.2"/>
    <n v="166.33"/>
    <x v="1"/>
    <s v="No"/>
    <d v="2024-08-11T00:00:00"/>
    <n v="0"/>
  </r>
  <r>
    <s v="DEP-A0-1958"/>
    <x v="0"/>
    <n v="54"/>
    <x v="1"/>
    <s v="Camisa"/>
    <s v="Azul"/>
    <s v="Zara"/>
    <s v="MER-A0-1958"/>
    <d v="2024-03-08T00:00:00"/>
    <x v="0"/>
    <n v="164.95"/>
    <n v="0.3"/>
    <n v="168.87599999999998"/>
    <x v="1"/>
    <s v="No"/>
    <d v="2024-03-08T00:00:00"/>
    <n v="0"/>
  </r>
  <r>
    <s v="DEP-A0-0961"/>
    <x v="0"/>
    <n v="46"/>
    <x v="1"/>
    <s v="Zapatos"/>
    <s v="Gris"/>
    <s v="Nike"/>
    <s v="MER-A0-0961"/>
    <d v="2024-10-27T00:00:00"/>
    <x v="0"/>
    <n v="115.5"/>
    <n v="0"/>
    <n v="170.48699999999999"/>
    <x v="1"/>
    <s v="No"/>
    <d v="2024-10-27T00:00:00"/>
    <n v="0"/>
  </r>
  <r>
    <s v="DEP-A0-0341"/>
    <x v="0"/>
    <n v="50"/>
    <x v="1"/>
    <s v="Camisa"/>
    <s v="Rojo"/>
    <s v="Tommy"/>
    <s v="MER-A0-0341"/>
    <d v="2024-03-28T00:00:00"/>
    <x v="0"/>
    <n v="165.82"/>
    <n v="0.3"/>
    <n v="174.42"/>
    <x v="1"/>
    <s v="No"/>
    <d v="2024-03-28T00:00:00"/>
    <n v="0"/>
  </r>
  <r>
    <s v="DEP-A0-0900"/>
    <x v="0"/>
    <n v="41"/>
    <x v="1"/>
    <s v="Falda"/>
    <s v="Verde"/>
    <s v="Nike"/>
    <s v="MER-A0-0900"/>
    <d v="2024-05-28T00:00:00"/>
    <x v="0"/>
    <n v="129.47"/>
    <n v="0.1"/>
    <n v="187.3"/>
    <x v="1"/>
    <s v="No"/>
    <d v="2024-05-28T00:00:00"/>
    <n v="0"/>
  </r>
  <r>
    <s v="DEP-A0-1706"/>
    <x v="0"/>
    <n v="60"/>
    <x v="1"/>
    <s v="Blusa"/>
    <s v="Verde"/>
    <s v="Puma"/>
    <s v="MER-A0-1706"/>
    <d v="2024-01-20T00:00:00"/>
    <x v="0"/>
    <n v="146.02000000000001"/>
    <n v="0.2"/>
    <n v="191.14"/>
    <x v="1"/>
    <s v="No"/>
    <d v="2024-01-20T00:00:00"/>
    <n v="0"/>
  </r>
  <r>
    <s v="DEP-A0-2220"/>
    <x v="0"/>
    <n v="52"/>
    <x v="1"/>
    <s v="Vestido"/>
    <s v="Negro"/>
    <s v="Levis"/>
    <s v="MER-A0-2220"/>
    <d v="2024-11-28T00:00:00"/>
    <x v="0"/>
    <n v="117.05"/>
    <n v="0"/>
    <n v="192.17"/>
    <x v="1"/>
    <s v="No"/>
    <d v="2024-04-18T00:00:00"/>
    <n v="0"/>
  </r>
  <r>
    <s v="DEP-A0-3842"/>
    <x v="0"/>
    <n v="43"/>
    <x v="1"/>
    <s v="Blusa"/>
    <s v="Azul"/>
    <s v="Zara"/>
    <s v="MER-A0-3842"/>
    <d v="2024-08-31T00:00:00"/>
    <x v="0"/>
    <n v="130.13999999999999"/>
    <n v="0.1"/>
    <n v="192.28"/>
    <x v="1"/>
    <s v="No"/>
    <d v="2024-08-31T00:00:00"/>
    <n v="0"/>
  </r>
  <r>
    <s v="DEP-A0-1373"/>
    <x v="0"/>
    <n v="43"/>
    <x v="1"/>
    <s v="Blusa"/>
    <s v="Gris"/>
    <s v="Mango"/>
    <s v="MER-A0-1373"/>
    <d v="2024-03-18T00:00:00"/>
    <x v="0"/>
    <n v="130.49"/>
    <n v="0.1"/>
    <n v="196.75"/>
    <x v="1"/>
    <s v="No"/>
    <d v="2024-03-18T00:00:00"/>
    <n v="0"/>
  </r>
  <r>
    <s v="DEP-A0-2755"/>
    <x v="0"/>
    <n v="39"/>
    <x v="1"/>
    <s v="Falda"/>
    <s v="Azul"/>
    <s v="Puma"/>
    <s v="MER-A0-2755"/>
    <d v="2024-10-29T00:00:00"/>
    <x v="0"/>
    <n v="131.62"/>
    <n v="0.1"/>
    <n v="46.881"/>
    <x v="1"/>
    <s v="No"/>
    <d v="2024-10-29T00:00:00"/>
    <n v="0"/>
  </r>
  <r>
    <s v="DEP-A0-1971"/>
    <x v="0"/>
    <n v="49"/>
    <x v="1"/>
    <s v="Blusa"/>
    <s v="Azul"/>
    <s v="Nike"/>
    <s v="MER-A0-1971"/>
    <d v="2024-08-16T00:00:00"/>
    <x v="0"/>
    <n v="148.37"/>
    <n v="0.2"/>
    <n v="59.741999999999997"/>
    <x v="1"/>
    <s v="No"/>
    <d v="2024-08-16T00:00:00"/>
    <n v="0"/>
  </r>
  <r>
    <s v="DEP-A0-0284"/>
    <x v="0"/>
    <n v="36"/>
    <x v="1"/>
    <s v="Camisa"/>
    <s v="Rojo"/>
    <s v="Levis"/>
    <s v="MER-A0-0284"/>
    <d v="2024-02-13T00:00:00"/>
    <x v="0"/>
    <n v="148.80000000000001"/>
    <n v="0.2"/>
    <n v="82.92"/>
    <x v="1"/>
    <s v="No"/>
    <d v="2024-03-16T00:00:00"/>
    <n v="0"/>
  </r>
  <r>
    <s v="DEP-A0-2426"/>
    <x v="0"/>
    <n v="36"/>
    <x v="1"/>
    <s v="Camisa"/>
    <s v="Azul"/>
    <s v="Zara"/>
    <s v="MER-A0-2426"/>
    <d v="2024-09-29T00:00:00"/>
    <x v="0"/>
    <n v="148.88999999999999"/>
    <n v="0.2"/>
    <n v="71.376000000000005"/>
    <x v="1"/>
    <s v="No"/>
    <d v="2024-09-29T00:00:00"/>
    <n v="0"/>
  </r>
  <r>
    <s v="DEP-A0-3614"/>
    <x v="0"/>
    <n v="64"/>
    <x v="1"/>
    <s v="Zapatos"/>
    <s v="Amarillo"/>
    <s v="Tommy"/>
    <s v="MER-A0-3614"/>
    <d v="2024-02-05T00:00:00"/>
    <x v="0"/>
    <n v="170.86"/>
    <n v="0.3"/>
    <n v="92.52"/>
    <x v="1"/>
    <s v="No"/>
    <d v="2024-02-05T00:00:00"/>
    <n v="0"/>
  </r>
  <r>
    <s v="DEP-A0-1227"/>
    <x v="0"/>
    <n v="50"/>
    <x v="1"/>
    <s v="Chaqueta"/>
    <s v="Amarillo"/>
    <s v="Tommy"/>
    <s v="MER-A0-1227"/>
    <d v="2024-12-02T00:00:00"/>
    <x v="0"/>
    <n v="120.38"/>
    <n v="0"/>
    <n v="149.76"/>
    <x v="1"/>
    <s v="No"/>
    <d v="2024-12-02T00:00:00"/>
    <n v="0"/>
  </r>
  <r>
    <s v="DEP-A0-4865"/>
    <x v="0"/>
    <n v="65"/>
    <x v="1"/>
    <s v="Falda"/>
    <s v="Negro"/>
    <s v="Nike"/>
    <s v="MER-A0-4865"/>
    <d v="2024-09-27T00:00:00"/>
    <x v="0"/>
    <n v="151.46"/>
    <n v="0.2"/>
    <n v="26.25"/>
    <x v="1"/>
    <s v="No"/>
    <d v="2024-09-27T00:00:00"/>
    <n v="0"/>
  </r>
  <r>
    <s v="DEP-A0-2518"/>
    <x v="1"/>
    <n v="44"/>
    <x v="1"/>
    <s v="Zapatos"/>
    <s v="Verde"/>
    <s v="Mango"/>
    <s v="MER-A0-2518"/>
    <d v="2024-07-10T00:00:00"/>
    <x v="0"/>
    <n v="134.72"/>
    <n v="0.1"/>
    <n v="149.19"/>
    <x v="1"/>
    <s v="No"/>
    <d v="2024-07-10T00:00:00"/>
    <n v="0"/>
  </r>
  <r>
    <s v="DEP-A0-0509"/>
    <x v="0"/>
    <n v="59"/>
    <x v="1"/>
    <s v="Chaqueta"/>
    <s v="Negro"/>
    <s v="Puma"/>
    <s v="MER-A0-0509"/>
    <d v="2024-04-21T00:00:00"/>
    <x v="0"/>
    <n v="173.42"/>
    <n v="0.3"/>
    <n v="136.78700000000001"/>
    <x v="1"/>
    <s v="No"/>
    <d v="2024-04-21T00:00:00"/>
    <n v="0"/>
  </r>
  <r>
    <s v="DEP-A0-2740"/>
    <x v="1"/>
    <n v="37"/>
    <x v="1"/>
    <s v="Chaqueta"/>
    <s v="Rojo"/>
    <s v="Levis"/>
    <s v="MER-A0-2740"/>
    <d v="2024-08-23T00:00:00"/>
    <x v="0"/>
    <n v="151.75"/>
    <n v="0.2"/>
    <n v="30.792000000000002"/>
    <x v="1"/>
    <s v="No"/>
    <d v="2024-08-23T00:00:00"/>
    <n v="0"/>
  </r>
  <r>
    <s v="DEP-A0-2372"/>
    <x v="0"/>
    <n v="42"/>
    <x v="1"/>
    <s v="Vestido"/>
    <s v="Gris"/>
    <s v="Nike"/>
    <s v="MER-A0-2372"/>
    <d v="2024-03-14T00:00:00"/>
    <x v="0"/>
    <n v="173.45"/>
    <n v="0.3"/>
    <n v="34.257999999999996"/>
    <x v="1"/>
    <s v="No"/>
    <d v="2024-03-14T00:00:00"/>
    <n v="0"/>
  </r>
  <r>
    <s v="DEP-A0-4838"/>
    <x v="0"/>
    <n v="55"/>
    <x v="1"/>
    <s v="Vestido"/>
    <s v="Verde"/>
    <s v="Zara"/>
    <s v="MER-A0-4838"/>
    <d v="2024-11-10T00:00:00"/>
    <x v="0"/>
    <n v="121.46"/>
    <n v="0"/>
    <n v="40.136000000000003"/>
    <x v="1"/>
    <s v="No"/>
    <d v="2024-11-10T00:00:00"/>
    <n v="0"/>
  </r>
  <r>
    <s v="DEP-A0-4913"/>
    <x v="0"/>
    <n v="56"/>
    <x v="1"/>
    <s v="Camisa"/>
    <s v="Gris"/>
    <s v="Adidas"/>
    <s v="MER-A0-4913"/>
    <d v="2024-02-07T00:00:00"/>
    <x v="0"/>
    <n v="174.08"/>
    <n v="0.3"/>
    <n v="54.698"/>
    <x v="1"/>
    <s v="No"/>
    <d v="2024-02-07T00:00:00"/>
    <n v="0"/>
  </r>
  <r>
    <s v="DEP-A0-4275"/>
    <x v="0"/>
    <n v="64"/>
    <x v="1"/>
    <s v="Zapatos"/>
    <s v="Amarillo"/>
    <s v="Mango"/>
    <s v="MER-A0-4275"/>
    <d v="2024-09-25T00:00:00"/>
    <x v="0"/>
    <n v="174.36"/>
    <n v="0.3"/>
    <n v="78.56"/>
    <x v="1"/>
    <s v="No"/>
    <d v="2024-09-25T00:00:00"/>
    <n v="0"/>
  </r>
  <r>
    <s v="DEP-A0-3316"/>
    <x v="0"/>
    <n v="47"/>
    <x v="1"/>
    <s v="Blusa"/>
    <s v="Rojo"/>
    <s v="Levis"/>
    <s v="MER-A0-3316"/>
    <d v="2024-10-01T00:00:00"/>
    <x v="0"/>
    <n v="135.65"/>
    <n v="0.1"/>
    <n v="74.403000000000006"/>
    <x v="1"/>
    <s v="No"/>
    <d v="2024-10-01T00:00:00"/>
    <n v="0"/>
  </r>
  <r>
    <s v="DEP-A0-3285"/>
    <x v="0"/>
    <n v="51"/>
    <x v="1"/>
    <s v="Zapatos"/>
    <s v="Amarillo"/>
    <s v="Tommy"/>
    <s v="MER-A0-3285"/>
    <d v="2024-11-28T00:00:00"/>
    <x v="0"/>
    <n v="136.74"/>
    <n v="0.1"/>
    <n v="106.93799999999999"/>
    <x v="1"/>
    <s v="No"/>
    <d v="2024-07-20T00:00:00"/>
    <n v="0"/>
  </r>
  <r>
    <s v="DEP-A0-4987"/>
    <x v="0"/>
    <n v="64"/>
    <x v="1"/>
    <s v="Blusa"/>
    <s v="Amarillo"/>
    <s v="Mango"/>
    <s v="MER-A0-4987"/>
    <d v="2024-12-23T00:00:00"/>
    <x v="0"/>
    <n v="176.01"/>
    <n v="0.3"/>
    <n v="186.3"/>
    <x v="1"/>
    <s v="No"/>
    <d v="2024-01-06T00:00:00"/>
    <n v="0"/>
  </r>
  <r>
    <s v="DEP-A0-3282"/>
    <x v="0"/>
    <n v="36"/>
    <x v="1"/>
    <s v="Vestido"/>
    <s v="Verde"/>
    <s v="Levis"/>
    <s v="MER-A0-3282"/>
    <d v="2024-08-10T00:00:00"/>
    <x v="0"/>
    <n v="154.32"/>
    <n v="0.2"/>
    <n v="17.262"/>
    <x v="1"/>
    <s v="No"/>
    <d v="2024-08-10T00:00:00"/>
    <n v="0"/>
  </r>
  <r>
    <s v="DEP-A0-4942"/>
    <x v="0"/>
    <n v="54"/>
    <x v="1"/>
    <s v="Vestido"/>
    <s v="Azul"/>
    <s v="Tommy"/>
    <s v="MER-A0-4942"/>
    <d v="2024-11-13T00:00:00"/>
    <x v="0"/>
    <n v="123.93"/>
    <n v="0"/>
    <n v="28.46"/>
    <x v="1"/>
    <s v="No"/>
    <d v="2024-11-13T00:00:00"/>
    <n v="0"/>
  </r>
  <r>
    <s v="DEP-A0-1186"/>
    <x v="0"/>
    <n v="56"/>
    <x v="1"/>
    <s v="Zapatos"/>
    <s v="Blanco"/>
    <s v="Zara"/>
    <s v="MER-A0-1186"/>
    <d v="2024-09-06T00:00:00"/>
    <x v="0"/>
    <n v="177.95"/>
    <n v="0.3"/>
    <n v="23.704000000000001"/>
    <x v="1"/>
    <s v="No"/>
    <d v="2024-09-06T00:00:00"/>
    <n v="0"/>
  </r>
  <r>
    <s v="DEP-A0-3509"/>
    <x v="0"/>
    <n v="57"/>
    <x v="1"/>
    <s v="Falda"/>
    <s v="Rojo"/>
    <s v="Puma"/>
    <s v="MER-A0-3509"/>
    <d v="2024-07-21T00:00:00"/>
    <x v="0"/>
    <n v="156.34"/>
    <n v="0.2"/>
    <n v="46.637999999999998"/>
    <x v="1"/>
    <s v="No"/>
    <d v="2024-07-21T00:00:00"/>
    <n v="0"/>
  </r>
  <r>
    <s v="DEP-A0-2386"/>
    <x v="0"/>
    <n v="53"/>
    <x v="1"/>
    <s v="Blusa"/>
    <s v="Verde"/>
    <s v="Mango"/>
    <s v="MER-A0-2386"/>
    <d v="2024-12-10T00:00:00"/>
    <x v="0"/>
    <n v="183.16"/>
    <n v="0.3"/>
    <n v="165.57"/>
    <x v="1"/>
    <s v="No"/>
    <d v="2024-12-10T00:00:00"/>
    <n v="0"/>
  </r>
  <r>
    <s v="DEP-A0-2629"/>
    <x v="0"/>
    <n v="44"/>
    <x v="1"/>
    <s v="Blusa"/>
    <s v="Blanco"/>
    <s v="Tommy"/>
    <s v="MER-A0-2629"/>
    <d v="2024-07-23T00:00:00"/>
    <x v="0"/>
    <n v="142.78"/>
    <n v="0.1"/>
    <n v="50.193000000000005"/>
    <x v="1"/>
    <s v="No"/>
    <d v="2024-07-23T00:00:00"/>
    <n v="0"/>
  </r>
  <r>
    <s v="DEP-A0-2020"/>
    <x v="0"/>
    <n v="37"/>
    <x v="1"/>
    <s v="Camisa"/>
    <s v="Negro"/>
    <s v="Levis"/>
    <s v="MER-A0-2020"/>
    <d v="2024-05-19T00:00:00"/>
    <x v="0"/>
    <n v="142.93"/>
    <n v="0.1"/>
    <n v="145.84"/>
    <x v="1"/>
    <s v="No"/>
    <d v="2024-05-19T00:00:00"/>
    <n v="0"/>
  </r>
  <r>
    <s v="DEP-A0-0777"/>
    <x v="1"/>
    <n v="44"/>
    <x v="1"/>
    <s v="Pantalón"/>
    <s v="Negro"/>
    <s v="Levis"/>
    <s v="MER-A0-0777"/>
    <d v="2024-07-21T00:00:00"/>
    <x v="0"/>
    <n v="142.93"/>
    <n v="0.1"/>
    <n v="55.673999999999999"/>
    <x v="1"/>
    <s v="No"/>
    <d v="2024-07-21T00:00:00"/>
    <n v="0"/>
  </r>
  <r>
    <s v="DEP-A0-0276"/>
    <x v="0"/>
    <n v="54"/>
    <x v="1"/>
    <s v="Vestido"/>
    <s v="Amarillo"/>
    <s v="Tommy"/>
    <s v="MER-A0-0276"/>
    <d v="2024-04-04T00:00:00"/>
    <x v="0"/>
    <n v="143.12"/>
    <n v="0.1"/>
    <n v="138.33000000000001"/>
    <x v="1"/>
    <s v="No"/>
    <d v="2024-04-04T00:00:00"/>
    <n v="0"/>
  </r>
  <r>
    <s v="DEP-A0-4420"/>
    <x v="1"/>
    <n v="50"/>
    <x v="1"/>
    <s v="Zapatos"/>
    <s v="Negro"/>
    <s v="Adidas"/>
    <s v="MER-A0-4420"/>
    <d v="2024-10-08T00:00:00"/>
    <x v="0"/>
    <n v="186.54"/>
    <n v="0.3"/>
    <n v="38.597999999999999"/>
    <x v="1"/>
    <s v="No"/>
    <d v="2024-10-08T00:00:00"/>
    <n v="0"/>
  </r>
  <r>
    <s v="DEP-A0-2652"/>
    <x v="1"/>
    <n v="46"/>
    <x v="1"/>
    <s v="Zapatos"/>
    <s v="Blanco"/>
    <s v="Puma"/>
    <s v="MER-A0-2652"/>
    <d v="2024-12-26T00:00:00"/>
    <x v="0"/>
    <n v="145.47999999999999"/>
    <n v="0.1"/>
    <n v="56.672000000000004"/>
    <x v="1"/>
    <s v="No"/>
    <d v="2024-12-26T00:00:00"/>
    <n v="0"/>
  </r>
  <r>
    <s v="DEP-A0-0052"/>
    <x v="0"/>
    <n v="65"/>
    <x v="1"/>
    <s v="Pantalón"/>
    <s v="Rojo"/>
    <s v="Puma"/>
    <s v="MER-A0-0052"/>
    <d v="2024-11-28T00:00:00"/>
    <x v="0"/>
    <n v="165.24"/>
    <n v="0.2"/>
    <n v="100.584"/>
    <x v="1"/>
    <s v="No"/>
    <d v="2024-07-18T00:00:00"/>
    <n v="0"/>
  </r>
  <r>
    <s v="DEP-A0-4328"/>
    <x v="0"/>
    <n v="63"/>
    <x v="1"/>
    <s v="Blusa"/>
    <s v="Verde"/>
    <s v="Zara"/>
    <s v="MER-A0-4328"/>
    <d v="2024-03-28T00:00:00"/>
    <x v="0"/>
    <n v="189.29"/>
    <n v="0.3"/>
    <n v="140.02000000000001"/>
    <x v="1"/>
    <s v="No"/>
    <d v="2024-03-28T00:00:00"/>
    <n v="0"/>
  </r>
  <r>
    <s v="DEP-A0-3570"/>
    <x v="0"/>
    <n v="65"/>
    <x v="1"/>
    <s v="Falda"/>
    <s v="Negro"/>
    <s v="Nike"/>
    <s v="MER-A0-3570"/>
    <d v="2024-10-29T00:00:00"/>
    <x v="0"/>
    <n v="190.64"/>
    <n v="0.3"/>
    <n v="123.298"/>
    <x v="1"/>
    <s v="No"/>
    <d v="2024-10-29T00:00:00"/>
    <n v="0"/>
  </r>
  <r>
    <s v="DEP-A0-0477"/>
    <x v="0"/>
    <n v="62"/>
    <x v="1"/>
    <s v="Chaqueta"/>
    <s v="Blanco"/>
    <s v="Nike"/>
    <s v="MER-A0-0477"/>
    <d v="2024-08-06T00:00:00"/>
    <x v="0"/>
    <n v="148.71"/>
    <n v="0.1"/>
    <n v="30.6"/>
    <x v="1"/>
    <s v="No"/>
    <d v="2024-08-06T00:00:00"/>
    <n v="0"/>
  </r>
  <r>
    <s v="DEP-A0-1319"/>
    <x v="1"/>
    <n v="63"/>
    <x v="1"/>
    <s v="Zapatos"/>
    <s v="Negro"/>
    <s v="Zara"/>
    <s v="MER-A0-1319"/>
    <d v="2024-02-13T00:00:00"/>
    <x v="0"/>
    <n v="168.51"/>
    <n v="0.2"/>
    <n v="10.061999999999999"/>
    <x v="1"/>
    <s v="No"/>
    <d v="2024-03-20T00:00:00"/>
    <n v="0"/>
  </r>
  <r>
    <s v="DEP-A0-3702"/>
    <x v="0"/>
    <n v="43"/>
    <x v="1"/>
    <s v="Vestido"/>
    <s v="Blanco"/>
    <s v="Mango"/>
    <s v="MER-A0-3702"/>
    <d v="2024-07-28T00:00:00"/>
    <x v="0"/>
    <n v="150.83000000000001"/>
    <n v="0.1"/>
    <n v="57.636000000000003"/>
    <x v="1"/>
    <s v="No"/>
    <d v="2024-07-28T00:00:00"/>
    <n v="0"/>
  </r>
  <r>
    <s v="DEP-A0-2335"/>
    <x v="0"/>
    <n v="36"/>
    <x v="1"/>
    <s v="Vestido"/>
    <s v="Negro"/>
    <s v="Puma"/>
    <s v="MER-A0-2335"/>
    <d v="2024-12-08T00:00:00"/>
    <x v="0"/>
    <n v="194.17"/>
    <n v="0.3"/>
    <n v="71.38"/>
    <x v="1"/>
    <s v="No"/>
    <d v="2024-06-13T00:00:00"/>
    <n v="0"/>
  </r>
  <r>
    <s v="DEP-A0-2734"/>
    <x v="1"/>
    <n v="37"/>
    <x v="1"/>
    <s v="Chaqueta"/>
    <s v="Rojo"/>
    <s v="Tommy"/>
    <s v="MER-A0-2734"/>
    <d v="2024-03-18T00:00:00"/>
    <x v="0"/>
    <n v="151.5"/>
    <n v="0.1"/>
    <n v="115.66400000000002"/>
    <x v="1"/>
    <s v="No"/>
    <d v="2024-03-18T00:00:00"/>
    <n v="0"/>
  </r>
  <r>
    <s v="DEP-A0-3118"/>
    <x v="0"/>
    <n v="41"/>
    <x v="1"/>
    <s v="Camisa"/>
    <s v="Negro"/>
    <s v="Mango"/>
    <s v="MER-A0-3118"/>
    <d v="2024-02-15T00:00:00"/>
    <x v="0"/>
    <n v="151.93"/>
    <n v="0.1"/>
    <n v="136.89600000000002"/>
    <x v="1"/>
    <s v="No"/>
    <d v="2024-02-15T00:00:00"/>
    <n v="0"/>
  </r>
  <r>
    <s v="DEP-A0-3613"/>
    <x v="1"/>
    <n v="40"/>
    <x v="1"/>
    <s v="Camisa"/>
    <s v="Gris"/>
    <s v="Adidas"/>
    <s v="MER-A0-3613"/>
    <d v="2024-12-10T00:00:00"/>
    <x v="0"/>
    <n v="151.96"/>
    <n v="0.1"/>
    <n v="164.62799999999999"/>
    <x v="1"/>
    <s v="No"/>
    <d v="2024-12-10T00:00:00"/>
    <n v="0"/>
  </r>
  <r>
    <s v="DEP-A0-2491"/>
    <x v="0"/>
    <n v="45"/>
    <x v="1"/>
    <s v="Pantalón"/>
    <s v="Gris"/>
    <s v="Tommy"/>
    <s v="MER-A0-2491"/>
    <d v="2024-12-11T00:00:00"/>
    <x v="0"/>
    <n v="171.47"/>
    <n v="0.2"/>
    <n v="183.56"/>
    <x v="1"/>
    <s v="No"/>
    <d v="2024-12-11T00:00:00"/>
    <n v="0"/>
  </r>
  <r>
    <s v="DEP-A0-0893"/>
    <x v="0"/>
    <n v="55"/>
    <x v="1"/>
    <s v="Zapatos"/>
    <s v="Amarillo"/>
    <s v="Adidas"/>
    <s v="MER-A0-0893"/>
    <d v="2024-11-19T00:00:00"/>
    <x v="0"/>
    <n v="153.09"/>
    <n v="0.1"/>
    <n v="20.992999999999999"/>
    <x v="1"/>
    <s v="No"/>
    <d v="2024-11-19T00:00:00"/>
    <n v="0"/>
  </r>
  <r>
    <s v="DEP-A0-4703"/>
    <x v="1"/>
    <n v="54"/>
    <x v="1"/>
    <s v="Chaqueta"/>
    <s v="Azul"/>
    <s v="Mango"/>
    <s v="MER-A0-4703"/>
    <d v="2024-07-16T00:00:00"/>
    <x v="0"/>
    <n v="138.41999999999999"/>
    <n v="0"/>
    <n v="55.85"/>
    <x v="1"/>
    <s v="No"/>
    <d v="2024-07-16T00:00:00"/>
    <n v="0"/>
  </r>
  <r>
    <s v="DEP-A0-0836"/>
    <x v="1"/>
    <n v="53"/>
    <x v="1"/>
    <s v="Pantalón"/>
    <s v="Negro"/>
    <s v="Levis"/>
    <s v="MER-A0-0836"/>
    <d v="2024-12-08T00:00:00"/>
    <x v="0"/>
    <n v="199.58"/>
    <n v="0.3"/>
    <n v="143.541"/>
    <x v="1"/>
    <s v="No"/>
    <d v="2024-12-08T00:00:00"/>
    <n v="0"/>
  </r>
  <r>
    <s v="DEP-A0-2784"/>
    <x v="0"/>
    <n v="59"/>
    <x v="1"/>
    <s v="Vestido"/>
    <s v="Rojo"/>
    <s v="Nike"/>
    <s v="MER-A0-2784"/>
    <d v="2024-06-18T00:00:00"/>
    <x v="0"/>
    <n v="174.66"/>
    <n v="0.2"/>
    <n v="165.73"/>
    <x v="1"/>
    <s v="No"/>
    <d v="2024-06-18T00:00:00"/>
    <n v="0"/>
  </r>
  <r>
    <s v="DEP-A0-4299"/>
    <x v="1"/>
    <n v="57"/>
    <x v="1"/>
    <s v="Chaqueta"/>
    <s v="Rojo"/>
    <s v="Levis"/>
    <s v="MER-A0-4299"/>
    <d v="2024-04-16T00:00:00"/>
    <x v="0"/>
    <n v="155.56"/>
    <n v="0.1"/>
    <n v="155.07900000000001"/>
    <x v="1"/>
    <s v="No"/>
    <d v="2024-04-16T00:00:00"/>
    <n v="0"/>
  </r>
  <r>
    <s v="DEP-A0-0331"/>
    <x v="0"/>
    <n v="36"/>
    <x v="1"/>
    <s v="Pantalón"/>
    <s v="Gris"/>
    <s v="Zara"/>
    <s v="MER-A0-0331"/>
    <d v="2024-03-03T00:00:00"/>
    <x v="0"/>
    <n v="140.27000000000001"/>
    <n v="0"/>
    <n v="20.190000000000001"/>
    <x v="1"/>
    <s v="No"/>
    <d v="2024-03-03T00:00:00"/>
    <n v="0"/>
  </r>
  <r>
    <s v="DEP-A0-4119"/>
    <x v="0"/>
    <n v="42"/>
    <x v="1"/>
    <s v="Blusa"/>
    <s v="Blanco"/>
    <s v="Nike"/>
    <s v="MER-A0-4119"/>
    <d v="2024-05-28T00:00:00"/>
    <x v="0"/>
    <n v="176.62"/>
    <n v="0.2"/>
    <n v="189.17"/>
    <x v="1"/>
    <s v="No"/>
    <d v="2024-05-28T00:00:00"/>
    <n v="0"/>
  </r>
  <r>
    <s v="DEP-A0-3680"/>
    <x v="0"/>
    <n v="45"/>
    <x v="1"/>
    <s v="Vestido"/>
    <s v="Verde"/>
    <s v="Tommy"/>
    <s v="MER-A0-3680"/>
    <d v="2024-11-28T00:00:00"/>
    <x v="0"/>
    <n v="157.04"/>
    <n v="0.1"/>
    <n v="42.6"/>
    <x v="1"/>
    <s v="No"/>
    <d v="2024-07-17T00:00:00"/>
    <n v="0"/>
  </r>
  <r>
    <s v="DEP-A0-4944"/>
    <x v="0"/>
    <n v="65"/>
    <x v="1"/>
    <s v="Blusa"/>
    <s v="Gris"/>
    <s v="Nike"/>
    <s v="MER-A0-4944"/>
    <d v="2024-10-21T00:00:00"/>
    <x v="0"/>
    <n v="177.1"/>
    <n v="0.2"/>
    <n v="95.384"/>
    <x v="1"/>
    <s v="No"/>
    <d v="2024-10-21T00:00:00"/>
    <n v="0"/>
  </r>
  <r>
    <s v="DEP-A0-3012"/>
    <x v="0"/>
    <n v="56"/>
    <x v="1"/>
    <s v="Camisa"/>
    <s v="Amarillo"/>
    <s v="Nike"/>
    <s v="MER-A0-3012"/>
    <d v="2024-12-23T00:00:00"/>
    <x v="0"/>
    <n v="158.07"/>
    <n v="0.1"/>
    <n v="23.165999999999997"/>
    <x v="1"/>
    <s v="No"/>
    <d v="2024-12-23T00:00:00"/>
    <n v="0"/>
  </r>
  <r>
    <s v="DEP-A0-0384"/>
    <x v="1"/>
    <n v="40"/>
    <x v="1"/>
    <s v="Camisa"/>
    <s v="Negro"/>
    <s v="Mango"/>
    <s v="MER-A0-0384"/>
    <d v="2024-03-21T00:00:00"/>
    <x v="0"/>
    <n v="143.35"/>
    <n v="0"/>
    <n v="41.076000000000001"/>
    <x v="1"/>
    <s v="No"/>
    <d v="2024-03-21T00:00:00"/>
    <n v="0"/>
  </r>
  <r>
    <s v="DEP-A0-0049"/>
    <x v="1"/>
    <n v="54"/>
    <x v="1"/>
    <s v="Chaqueta"/>
    <s v="Rojo"/>
    <s v="Nike"/>
    <s v="MER-A0-0049"/>
    <d v="2024-11-28T00:00:00"/>
    <x v="0"/>
    <n v="159.6"/>
    <n v="0.1"/>
    <n v="59.68"/>
    <x v="1"/>
    <s v="No"/>
    <d v="2024-04-18T00:00:00"/>
    <n v="0"/>
  </r>
  <r>
    <s v="DEP-A0-3652"/>
    <x v="0"/>
    <n v="58"/>
    <x v="1"/>
    <s v="Blusa"/>
    <s v="Rojo"/>
    <s v="Mango"/>
    <s v="MER-A0-3652"/>
    <d v="2024-11-05T00:00:00"/>
    <x v="0"/>
    <n v="180.18"/>
    <n v="0.2"/>
    <n v="63.28"/>
    <x v="1"/>
    <s v="No"/>
    <d v="2024-11-05T00:00:00"/>
    <n v="0"/>
  </r>
  <r>
    <s v="DEP-A0-0920"/>
    <x v="0"/>
    <n v="58"/>
    <x v="1"/>
    <s v="Falda"/>
    <s v="Gris"/>
    <s v="Zara"/>
    <s v="MER-A0-0920"/>
    <d v="2024-07-12T00:00:00"/>
    <x v="0"/>
    <n v="144.97"/>
    <n v="0"/>
    <n v="97.087999999999994"/>
    <x v="1"/>
    <s v="No"/>
    <d v="2024-07-12T00:00:00"/>
    <n v="0"/>
  </r>
  <r>
    <s v="DEP-A0-4164"/>
    <x v="1"/>
    <n v="57"/>
    <x v="1"/>
    <s v="Camisa"/>
    <s v="Blanco"/>
    <s v="Puma"/>
    <s v="MER-A0-4164"/>
    <d v="2024-10-06T00:00:00"/>
    <x v="0"/>
    <n v="161.53"/>
    <n v="0.1"/>
    <n v="90.972000000000008"/>
    <x v="1"/>
    <s v="No"/>
    <d v="2024-10-06T00:00:00"/>
    <n v="0"/>
  </r>
  <r>
    <s v="DEP-A0-2038"/>
    <x v="1"/>
    <n v="57"/>
    <x v="1"/>
    <s v="Camisa"/>
    <s v="Rojo"/>
    <s v="Adidas"/>
    <s v="MER-A0-2038"/>
    <d v="2024-01-16T00:00:00"/>
    <x v="0"/>
    <n v="182.62"/>
    <n v="0.2"/>
    <n v="12.579000000000001"/>
    <x v="1"/>
    <s v="No"/>
    <d v="2024-01-16T00:00:00"/>
    <n v="0"/>
  </r>
  <r>
    <s v="DEP-A0-3223"/>
    <x v="1"/>
    <n v="36"/>
    <x v="1"/>
    <s v="Zapatos"/>
    <s v="Negro"/>
    <s v="Nike"/>
    <s v="MER-A0-3223"/>
    <d v="2024-11-06T00:00:00"/>
    <x v="0"/>
    <n v="147.83000000000001"/>
    <n v="0"/>
    <n v="103.98"/>
    <x v="1"/>
    <s v="No"/>
    <d v="2024-11-06T00:00:00"/>
    <n v="0"/>
  </r>
  <r>
    <s v="DEP-A0-2294"/>
    <x v="0"/>
    <n v="61"/>
    <x v="1"/>
    <s v="Camisa"/>
    <s v="Verde"/>
    <s v="Tommy"/>
    <s v="MER-A0-2294"/>
    <d v="2024-08-06T00:00:00"/>
    <x v="0"/>
    <n v="185.55"/>
    <n v="0.2"/>
    <n v="116.739"/>
    <x v="1"/>
    <s v="No"/>
    <d v="2024-08-06T00:00:00"/>
    <n v="0"/>
  </r>
  <r>
    <s v="DEP-A0-1428"/>
    <x v="0"/>
    <n v="57"/>
    <x v="1"/>
    <s v="Pantalón"/>
    <s v="Azul"/>
    <s v="Zara"/>
    <s v="MER-A0-1428"/>
    <d v="2024-10-19T00:00:00"/>
    <x v="0"/>
    <n v="164.96"/>
    <n v="0.1"/>
    <n v="94.128999999999991"/>
    <x v="1"/>
    <s v="No"/>
    <d v="2024-10-19T00:00:00"/>
    <n v="0"/>
  </r>
  <r>
    <s v="DEP-A0-3884"/>
    <x v="0"/>
    <n v="59"/>
    <x v="1"/>
    <s v="Blusa"/>
    <s v="Azul"/>
    <s v="Zara"/>
    <s v="MER-A0-3884"/>
    <d v="2024-04-28T00:00:00"/>
    <x v="0"/>
    <n v="166.5"/>
    <n v="0.1"/>
    <n v="183.26"/>
    <x v="1"/>
    <s v="No"/>
    <d v="2024-04-28T00:00:00"/>
    <n v="0"/>
  </r>
  <r>
    <s v="DEP-A0-3306"/>
    <x v="0"/>
    <n v="37"/>
    <x v="1"/>
    <s v="Falda"/>
    <s v="Gris"/>
    <s v="Zara"/>
    <s v="MER-A0-3306"/>
    <d v="2024-05-26T00:00:00"/>
    <x v="0"/>
    <n v="188.26"/>
    <n v="0.2"/>
    <n v="50.480000000000004"/>
    <x v="1"/>
    <s v="No"/>
    <d v="2024-05-26T00:00:00"/>
    <n v="0"/>
  </r>
  <r>
    <s v="DEP-A0-4794"/>
    <x v="0"/>
    <n v="54"/>
    <x v="1"/>
    <s v="Camisa"/>
    <s v="Rojo"/>
    <s v="Nike"/>
    <s v="MER-A0-4794"/>
    <d v="2024-02-13T00:00:00"/>
    <x v="0"/>
    <n v="167.46"/>
    <n v="0.1"/>
    <n v="77.632000000000005"/>
    <x v="1"/>
    <s v="No"/>
    <d v="2024-03-22T00:00:00"/>
    <n v="0"/>
  </r>
  <r>
    <s v="DEP-A0-0055"/>
    <x v="1"/>
    <n v="57"/>
    <x v="1"/>
    <s v="Chaqueta"/>
    <s v="Verde"/>
    <s v="Adidas"/>
    <s v="MER-A0-0055"/>
    <d v="2024-05-25T00:00:00"/>
    <x v="0"/>
    <n v="167.98"/>
    <n v="0.1"/>
    <n v="68.396999999999991"/>
    <x v="1"/>
    <s v="No"/>
    <d v="2024-05-25T00:00:00"/>
    <n v="0"/>
  </r>
  <r>
    <s v="DEP-A0-1792"/>
    <x v="1"/>
    <n v="54"/>
    <x v="1"/>
    <s v="Camisa"/>
    <s v="Gris"/>
    <s v="Nike"/>
    <s v="MER-A0-1792"/>
    <d v="2024-08-14T00:00:00"/>
    <x v="0"/>
    <n v="169.15"/>
    <n v="0.1"/>
    <n v="113.54"/>
    <x v="1"/>
    <s v="No"/>
    <d v="2024-08-14T00:00:00"/>
    <n v="0"/>
  </r>
  <r>
    <s v="DEP-A0-1709"/>
    <x v="0"/>
    <n v="53"/>
    <x v="1"/>
    <s v="Blusa"/>
    <s v="Verde"/>
    <s v="Adidas"/>
    <s v="MER-A0-1709"/>
    <d v="2024-01-17T00:00:00"/>
    <x v="0"/>
    <n v="169.26"/>
    <n v="0.1"/>
    <n v="27.684999999999999"/>
    <x v="1"/>
    <s v="No"/>
    <d v="2024-01-17T00:00:00"/>
    <n v="0"/>
  </r>
  <r>
    <s v="DEP-A0-1283"/>
    <x v="0"/>
    <n v="38"/>
    <x v="1"/>
    <s v="Falda"/>
    <s v="Verde"/>
    <s v="Mango"/>
    <s v="MER-A0-1283"/>
    <d v="2024-08-17T00:00:00"/>
    <x v="0"/>
    <n v="169.56"/>
    <n v="0.1"/>
    <n v="36.190000000000005"/>
    <x v="1"/>
    <s v="No"/>
    <d v="2024-08-17T00:00:00"/>
    <n v="0"/>
  </r>
  <r>
    <s v="DEP-A0-0769"/>
    <x v="0"/>
    <n v="55"/>
    <x v="1"/>
    <s v="Vestido"/>
    <s v="Negro"/>
    <s v="Tommy"/>
    <s v="MER-A0-0769"/>
    <d v="2024-11-28T00:00:00"/>
    <x v="0"/>
    <n v="191.27"/>
    <n v="0.2"/>
    <n v="68.569999999999993"/>
    <x v="1"/>
    <s v="No"/>
    <d v="2024-04-11T00:00:00"/>
    <n v="0"/>
  </r>
  <r>
    <s v="DEP-A0-1374"/>
    <x v="0"/>
    <n v="43"/>
    <x v="1"/>
    <s v="Blusa"/>
    <s v="Gris"/>
    <s v="Mango"/>
    <s v="MER-A0-1374"/>
    <d v="2024-09-10T00:00:00"/>
    <x v="0"/>
    <n v="192.18"/>
    <n v="0.2"/>
    <n v="67.528999999999996"/>
    <x v="1"/>
    <s v="No"/>
    <d v="2024-09-10T00:00:00"/>
    <n v="0"/>
  </r>
  <r>
    <s v="DEP-A0-1720"/>
    <x v="0"/>
    <n v="58"/>
    <x v="1"/>
    <s v="Chaqueta"/>
    <s v="Azul"/>
    <s v="Levis"/>
    <s v="MER-A0-1720"/>
    <d v="2024-11-22T00:00:00"/>
    <x v="0"/>
    <n v="154.25"/>
    <n v="0"/>
    <n v="91.536000000000001"/>
    <x v="1"/>
    <s v="No"/>
    <d v="2024-06-19T00:00:00"/>
    <n v="0"/>
  </r>
  <r>
    <s v="DEP-A0-4591"/>
    <x v="1"/>
    <n v="65"/>
    <x v="1"/>
    <s v="Zapatos"/>
    <s v="Verde"/>
    <s v="Tommy"/>
    <s v="MER-A0-4591"/>
    <d v="2024-12-02T00:00:00"/>
    <x v="0"/>
    <n v="193.2"/>
    <n v="0.2"/>
    <n v="101.91200000000001"/>
    <x v="1"/>
    <s v="No"/>
    <d v="2024-12-02T00:00:00"/>
    <n v="0"/>
  </r>
  <r>
    <s v="DEP-A0-0620"/>
    <x v="0"/>
    <n v="41"/>
    <x v="1"/>
    <s v="Vestido"/>
    <s v="Gris"/>
    <s v="Zara"/>
    <s v="MER-A0-0620"/>
    <d v="2024-08-18T00:00:00"/>
    <x v="0"/>
    <n v="193.75"/>
    <n v="0.2"/>
    <n v="108.72"/>
    <x v="1"/>
    <s v="No"/>
    <d v="2024-08-18T00:00:00"/>
    <n v="0"/>
  </r>
  <r>
    <s v="DEP-A0-0879"/>
    <x v="0"/>
    <n v="36"/>
    <x v="1"/>
    <s v="Blusa"/>
    <s v="Amarillo"/>
    <s v="Tommy"/>
    <s v="MER-A0-0879"/>
    <d v="2024-12-10T00:00:00"/>
    <x v="0"/>
    <n v="172.85"/>
    <n v="0.1"/>
    <n v="125.136"/>
    <x v="1"/>
    <s v="No"/>
    <d v="2024-06-03T00:00:00"/>
    <n v="0"/>
  </r>
  <r>
    <s v="DEP-A0-0450"/>
    <x v="1"/>
    <n v="46"/>
    <x v="1"/>
    <s v="Zapatos"/>
    <s v="Verde"/>
    <s v="Levis"/>
    <s v="MER-A0-0450"/>
    <d v="2024-09-22T00:00:00"/>
    <x v="0"/>
    <n v="173.31"/>
    <n v="0.1"/>
    <n v="160.5"/>
    <x v="1"/>
    <s v="No"/>
    <d v="2024-09-22T00:00:00"/>
    <n v="0"/>
  </r>
  <r>
    <s v="DEP-A0-0136"/>
    <x v="0"/>
    <n v="47"/>
    <x v="1"/>
    <s v="Blusa"/>
    <s v="Amarillo"/>
    <s v="Tommy"/>
    <s v="MER-A0-0136"/>
    <d v="2024-11-15T00:00:00"/>
    <x v="0"/>
    <n v="195.11"/>
    <n v="0.2"/>
    <n v="113.428"/>
    <x v="1"/>
    <s v="No"/>
    <d v="2024-11-15T00:00:00"/>
    <n v="0"/>
  </r>
  <r>
    <s v="DEP-A0-0828"/>
    <x v="0"/>
    <n v="40"/>
    <x v="1"/>
    <s v="Camisa"/>
    <s v="Amarillo"/>
    <s v="Puma"/>
    <s v="MER-A0-0828"/>
    <d v="2024-12-04T00:00:00"/>
    <x v="0"/>
    <n v="173.67"/>
    <n v="0.1"/>
    <n v="171.57"/>
    <x v="1"/>
    <s v="No"/>
    <d v="2024-12-04T00:00:00"/>
    <n v="0"/>
  </r>
  <r>
    <s v="DEP-A0-2218"/>
    <x v="0"/>
    <n v="60"/>
    <x v="1"/>
    <s v="Falda"/>
    <s v="Azul"/>
    <s v="Tommy"/>
    <s v="MER-A0-2218"/>
    <d v="2024-03-30T00:00:00"/>
    <x v="0"/>
    <n v="195.58"/>
    <n v="0.2"/>
    <n v="122.68199999999999"/>
    <x v="1"/>
    <s v="No"/>
    <d v="2024-03-30T00:00:00"/>
    <n v="0"/>
  </r>
  <r>
    <s v="DEP-A0-0719"/>
    <x v="1"/>
    <n v="43"/>
    <x v="1"/>
    <s v="Pantalón"/>
    <s v="Azul"/>
    <s v="Puma"/>
    <s v="MER-A0-0719"/>
    <d v="2024-11-10T00:00:00"/>
    <x v="0"/>
    <n v="157.12"/>
    <n v="0"/>
    <n v="52.533000000000001"/>
    <x v="1"/>
    <s v="No"/>
    <d v="2024-11-10T00:00:00"/>
    <n v="0"/>
  </r>
  <r>
    <s v="DEP-A0-3244"/>
    <x v="1"/>
    <n v="57"/>
    <x v="1"/>
    <s v="Camisa"/>
    <s v="Amarillo"/>
    <s v="Puma"/>
    <s v="MER-A0-3244"/>
    <d v="2024-06-30T00:00:00"/>
    <x v="0"/>
    <n v="197.08"/>
    <n v="0.2"/>
    <n v="49.28"/>
    <x v="1"/>
    <s v="No"/>
    <d v="2024-06-30T00:00:00"/>
    <n v="0"/>
  </r>
  <r>
    <s v="DEP-A0-1491"/>
    <x v="1"/>
    <n v="57"/>
    <x v="1"/>
    <s v="Pantalón"/>
    <s v="Azul"/>
    <s v="Adidas"/>
    <s v="MER-A0-1491"/>
    <d v="2024-04-02T00:00:00"/>
    <x v="0"/>
    <n v="157.75"/>
    <n v="0"/>
    <n v="50.546999999999997"/>
    <x v="1"/>
    <s v="No"/>
    <d v="2024-04-02T00:00:00"/>
    <n v="0"/>
  </r>
  <r>
    <s v="DEP-A0-1123"/>
    <x v="0"/>
    <n v="51"/>
    <x v="1"/>
    <s v="Blusa"/>
    <s v="Rojo"/>
    <s v="Levis"/>
    <s v="MER-A0-1123"/>
    <d v="2024-08-20T00:00:00"/>
    <x v="0"/>
    <n v="175.82"/>
    <n v="0.1"/>
    <n v="119.871"/>
    <x v="1"/>
    <s v="No"/>
    <d v="2024-08-20T00:00:00"/>
    <n v="0"/>
  </r>
  <r>
    <s v="DEP-A0-2354"/>
    <x v="1"/>
    <n v="51"/>
    <x v="1"/>
    <s v="Chaqueta"/>
    <s v="Azul"/>
    <s v="Tommy"/>
    <s v="MER-A0-2354"/>
    <d v="2024-11-28T00:00:00"/>
    <x v="0"/>
    <n v="198.17"/>
    <n v="0.2"/>
    <n v="171.98099999999999"/>
    <x v="1"/>
    <s v="No"/>
    <d v="2024-07-01T00:00:00"/>
    <n v="0"/>
  </r>
  <r>
    <s v="DEP-A0-1970"/>
    <x v="0"/>
    <n v="62"/>
    <x v="1"/>
    <s v="Falda"/>
    <s v="Blanco"/>
    <s v="Levis"/>
    <s v="MER-A0-1970"/>
    <d v="2024-11-10T00:00:00"/>
    <x v="0"/>
    <n v="199.57"/>
    <n v="0.2"/>
    <n v="22.2"/>
    <x v="1"/>
    <s v="No"/>
    <d v="2024-11-10T00:00:00"/>
    <n v="0"/>
  </r>
  <r>
    <s v="DEP-A0-0297"/>
    <x v="1"/>
    <n v="60"/>
    <x v="1"/>
    <s v="Zapatos"/>
    <s v="Negro"/>
    <s v="Tommy"/>
    <s v="MER-A0-0297"/>
    <d v="2024-09-29T00:00:00"/>
    <x v="0"/>
    <n v="177.87"/>
    <n v="0.1"/>
    <n v="22.904"/>
    <x v="1"/>
    <s v="No"/>
    <d v="2024-09-29T00:00:00"/>
    <n v="0"/>
  </r>
  <r>
    <s v="DEP-A0-4986"/>
    <x v="0"/>
    <n v="46"/>
    <x v="1"/>
    <s v="Blusa"/>
    <s v="Negro"/>
    <s v="Adidas"/>
    <s v="MER-A0-4986"/>
    <d v="2024-05-06T00:00:00"/>
    <x v="0"/>
    <n v="181.3"/>
    <n v="0.1"/>
    <n v="95.550000000000011"/>
    <x v="1"/>
    <s v="No"/>
    <d v="2024-05-06T00:00:00"/>
    <n v="0"/>
  </r>
  <r>
    <s v="DEP-A0-0336"/>
    <x v="1"/>
    <n v="63"/>
    <x v="1"/>
    <s v="Camisa"/>
    <s v="Rojo"/>
    <s v="Adidas"/>
    <s v="MER-A0-0336"/>
    <d v="2024-03-28T00:00:00"/>
    <x v="0"/>
    <n v="165.04"/>
    <n v="0"/>
    <n v="158.553"/>
    <x v="1"/>
    <s v="No"/>
    <d v="2024-03-28T00:00:00"/>
    <n v="0"/>
  </r>
  <r>
    <s v="DEP-A0-0594"/>
    <x v="0"/>
    <n v="60"/>
    <x v="1"/>
    <s v="Zapatos"/>
    <s v="Verde"/>
    <s v="Nike"/>
    <s v="MER-A0-0594"/>
    <d v="2024-02-21T00:00:00"/>
    <x v="0"/>
    <n v="165.79"/>
    <n v="0"/>
    <n v="180.77"/>
    <x v="1"/>
    <s v="No"/>
    <d v="2024-02-21T00:00:00"/>
    <n v="0"/>
  </r>
  <r>
    <s v="DEP-A0-2015"/>
    <x v="0"/>
    <n v="37"/>
    <x v="1"/>
    <s v="Pantalón"/>
    <s v="Blanco"/>
    <s v="Tommy"/>
    <s v="MER-A0-2015"/>
    <d v="2024-01-19T00:00:00"/>
    <x v="0"/>
    <n v="166.66"/>
    <n v="0"/>
    <n v="23.058"/>
    <x v="1"/>
    <s v="No"/>
    <d v="2024-01-19T00:00:00"/>
    <n v="0"/>
  </r>
  <r>
    <s v="DEP-A0-0475"/>
    <x v="0"/>
    <n v="54"/>
    <x v="1"/>
    <s v="Blusa"/>
    <s v="Gris"/>
    <s v="Nike"/>
    <s v="MER-A0-0475"/>
    <d v="2024-08-01T00:00:00"/>
    <x v="0"/>
    <n v="166.66"/>
    <n v="0"/>
    <n v="41.17"/>
    <x v="1"/>
    <s v="No"/>
    <d v="2024-08-01T00:00:00"/>
    <n v="0"/>
  </r>
  <r>
    <s v="DEP-A0-3711"/>
    <x v="0"/>
    <n v="44"/>
    <x v="1"/>
    <s v="Blusa"/>
    <s v="Rojo"/>
    <s v="Levis"/>
    <s v="MER-A0-3711"/>
    <d v="2024-01-17T00:00:00"/>
    <x v="0"/>
    <n v="186.14"/>
    <n v="0.1"/>
    <n v="66.038000000000011"/>
    <x v="1"/>
    <s v="No"/>
    <d v="2024-01-17T00:00:00"/>
    <n v="0"/>
  </r>
  <r>
    <s v="DEP-A0-4907"/>
    <x v="0"/>
    <n v="41"/>
    <x v="1"/>
    <s v="Chaqueta"/>
    <s v="Blanco"/>
    <s v="Puma"/>
    <s v="MER-A0-4907"/>
    <d v="2024-02-04T00:00:00"/>
    <x v="0"/>
    <n v="188.15"/>
    <n v="0.1"/>
    <n v="117.26400000000001"/>
    <x v="1"/>
    <s v="No"/>
    <d v="2024-02-04T00:00:00"/>
    <n v="0"/>
  </r>
  <r>
    <s v="DEP-A0-2825"/>
    <x v="0"/>
    <n v="53"/>
    <x v="1"/>
    <s v="Blusa"/>
    <s v="Amarillo"/>
    <s v="Nike"/>
    <s v="MER-A0-2825"/>
    <d v="2024-05-15T00:00:00"/>
    <x v="0"/>
    <n v="169.64"/>
    <n v="0"/>
    <n v="183.52"/>
    <x v="1"/>
    <s v="No"/>
    <d v="2024-05-15T00:00:00"/>
    <n v="0"/>
  </r>
  <r>
    <s v="DEP-A0-0542"/>
    <x v="0"/>
    <n v="59"/>
    <x v="1"/>
    <s v="Pantalón"/>
    <s v="Azul"/>
    <s v="Levis"/>
    <s v="MER-A0-0542"/>
    <d v="2024-11-28T00:00:00"/>
    <x v="0"/>
    <n v="189.45"/>
    <n v="0.1"/>
    <n v="86.09"/>
    <x v="1"/>
    <s v="No"/>
    <d v="2024-07-24T00:00:00"/>
    <n v="0"/>
  </r>
  <r>
    <s v="DEP-A0-3023"/>
    <x v="0"/>
    <n v="61"/>
    <x v="1"/>
    <s v="Pantalón"/>
    <s v="Gris"/>
    <s v="Adidas"/>
    <s v="MER-A0-3023"/>
    <d v="2024-09-30T00:00:00"/>
    <x v="0"/>
    <n v="189.73"/>
    <n v="0.1"/>
    <n v="76.311999999999998"/>
    <x v="1"/>
    <s v="No"/>
    <d v="2024-09-30T00:00:00"/>
    <n v="0"/>
  </r>
  <r>
    <s v="DEP-A0-4773"/>
    <x v="0"/>
    <n v="63"/>
    <x v="1"/>
    <s v="Falda"/>
    <s v="Amarillo"/>
    <s v="Adidas"/>
    <s v="MER-A0-4773"/>
    <d v="2024-07-05T00:00:00"/>
    <x v="0"/>
    <n v="194.43"/>
    <n v="0.1"/>
    <n v="124.542"/>
    <x v="1"/>
    <s v="No"/>
    <d v="2024-07-05T00:00:00"/>
    <n v="0"/>
  </r>
  <r>
    <s v="DEP-A0-2925"/>
    <x v="0"/>
    <n v="62"/>
    <x v="1"/>
    <s v="Falda"/>
    <s v="Gris"/>
    <s v="Adidas"/>
    <s v="MER-A0-2925"/>
    <d v="2024-05-30T00:00:00"/>
    <x v="0"/>
    <n v="197.52"/>
    <n v="0.1"/>
    <n v="99.089999999999989"/>
    <x v="1"/>
    <s v="No"/>
    <d v="2024-05-30T00:00:00"/>
    <n v="0"/>
  </r>
  <r>
    <s v="DEP-A0-4616"/>
    <x v="0"/>
    <n v="53"/>
    <x v="1"/>
    <s v="Vestido"/>
    <s v="Amarillo"/>
    <s v="Zara"/>
    <s v="MER-A0-4616"/>
    <d v="2024-09-20T00:00:00"/>
    <x v="0"/>
    <n v="178.02"/>
    <n v="0"/>
    <n v="146.47999999999999"/>
    <x v="1"/>
    <s v="No"/>
    <d v="2024-09-20T00:00:00"/>
    <n v="0"/>
  </r>
  <r>
    <s v="DEP-A0-3111"/>
    <x v="0"/>
    <n v="49"/>
    <x v="1"/>
    <s v="Falda"/>
    <s v="Rojo"/>
    <s v="Mango"/>
    <s v="MER-A0-3111"/>
    <d v="2024-07-16T00:00:00"/>
    <x v="0"/>
    <n v="178.06"/>
    <n v="0"/>
    <n v="133.57400000000001"/>
    <x v="1"/>
    <s v="No"/>
    <d v="2024-07-16T00:00:00"/>
    <n v="0"/>
  </r>
  <r>
    <s v="DEP-A0-3705"/>
    <x v="1"/>
    <n v="61"/>
    <x v="1"/>
    <s v="Pantalón"/>
    <s v="Negro"/>
    <s v="Mango"/>
    <s v="MER-A0-3705"/>
    <d v="2024-12-23T00:00:00"/>
    <x v="0"/>
    <n v="178.45"/>
    <n v="0"/>
    <n v="89.94"/>
    <x v="1"/>
    <s v="No"/>
    <d v="2024-12-23T00:00:00"/>
    <n v="0"/>
  </r>
  <r>
    <s v="DEP-A0-1806"/>
    <x v="0"/>
    <n v="51"/>
    <x v="1"/>
    <s v="Falda"/>
    <s v="Azul"/>
    <s v="Nike"/>
    <s v="MER-A0-1806"/>
    <d v="2024-03-23T00:00:00"/>
    <x v="0"/>
    <n v="179.44"/>
    <n v="0"/>
    <n v="125.739"/>
    <x v="1"/>
    <s v="No"/>
    <d v="2024-03-23T00:00:00"/>
    <n v="0"/>
  </r>
  <r>
    <s v="DEP-A0-3215"/>
    <x v="1"/>
    <n v="64"/>
    <x v="1"/>
    <s v="Chaqueta"/>
    <s v="Rojo"/>
    <s v="Tommy"/>
    <s v="MER-A0-3215"/>
    <d v="2024-02-17T00:00:00"/>
    <x v="0"/>
    <n v="199.43"/>
    <n v="0.1"/>
    <n v="124.39700000000001"/>
    <x v="1"/>
    <s v="No"/>
    <d v="2024-02-17T00:00:00"/>
    <n v="0"/>
  </r>
  <r>
    <s v="DEP-A0-4749"/>
    <x v="0"/>
    <n v="36"/>
    <x v="1"/>
    <s v="Vestido"/>
    <s v="Azul"/>
    <s v="Tommy"/>
    <s v="MER-A0-4749"/>
    <d v="2024-10-08T00:00:00"/>
    <x v="0"/>
    <n v="180.41"/>
    <n v="0"/>
    <n v="77.784000000000006"/>
    <x v="1"/>
    <s v="No"/>
    <d v="2024-10-08T00:00:00"/>
    <n v="0"/>
  </r>
  <r>
    <s v="DEP-A0-4373"/>
    <x v="0"/>
    <n v="50"/>
    <x v="1"/>
    <s v="Vestido"/>
    <s v="Gris"/>
    <s v="Mango"/>
    <s v="MER-A0-4373"/>
    <d v="2024-06-21T00:00:00"/>
    <x v="0"/>
    <n v="181.09"/>
    <n v="0"/>
    <n v="101.48"/>
    <x v="1"/>
    <s v="No"/>
    <d v="2024-06-21T00:00:00"/>
    <n v="0"/>
  </r>
  <r>
    <s v="DEP-A0-4181"/>
    <x v="0"/>
    <n v="62"/>
    <x v="1"/>
    <s v="Pantalón"/>
    <s v="Blanco"/>
    <s v="Nike"/>
    <s v="MER-A0-4181"/>
    <d v="2024-06-23T00:00:00"/>
    <x v="0"/>
    <n v="182.96"/>
    <n v="0"/>
    <n v="114.92"/>
    <x v="1"/>
    <s v="No"/>
    <d v="2024-06-23T00:00:00"/>
    <n v="0"/>
  </r>
  <r>
    <s v="DEP-A0-3722"/>
    <x v="0"/>
    <n v="62"/>
    <x v="1"/>
    <s v="Zapatos"/>
    <s v="Gris"/>
    <s v="Levis"/>
    <s v="MER-A0-3722"/>
    <d v="2024-12-05T00:00:00"/>
    <x v="0"/>
    <n v="184.34"/>
    <n v="0"/>
    <n v="24.893999999999998"/>
    <x v="1"/>
    <s v="No"/>
    <d v="2024-12-05T00:00:00"/>
    <n v="0"/>
  </r>
  <r>
    <s v="DEP-A0-0115"/>
    <x v="0"/>
    <n v="39"/>
    <x v="1"/>
    <s v="Chaqueta"/>
    <s v="Azul"/>
    <s v="Adidas"/>
    <s v="MER-A0-0115"/>
    <d v="2024-05-03T00:00:00"/>
    <x v="0"/>
    <n v="187.58"/>
    <n v="0"/>
    <n v="136.94399999999999"/>
    <x v="1"/>
    <s v="No"/>
    <d v="2024-05-03T00:00:00"/>
    <n v="0"/>
  </r>
  <r>
    <s v="DEP-A0-3248"/>
    <x v="0"/>
    <n v="59"/>
    <x v="1"/>
    <s v="Camisa"/>
    <s v="Gris"/>
    <s v="Puma"/>
    <s v="MER-A0-3248"/>
    <d v="2024-09-18T00:00:00"/>
    <x v="0"/>
    <n v="188.6"/>
    <n v="0"/>
    <n v="98.16"/>
    <x v="1"/>
    <s v="No"/>
    <d v="2024-09-18T00:00:00"/>
    <n v="0"/>
  </r>
  <r>
    <s v="DEP-A0-2965"/>
    <x v="0"/>
    <n v="46"/>
    <x v="1"/>
    <s v="Chaqueta"/>
    <s v="Rojo"/>
    <s v="Adidas"/>
    <s v="MER-A0-2965"/>
    <d v="2024-04-25T00:00:00"/>
    <x v="0"/>
    <n v="189.09"/>
    <n v="0"/>
    <n v="79.98"/>
    <x v="1"/>
    <s v="No"/>
    <d v="2024-04-25T00:00:00"/>
    <n v="0"/>
  </r>
  <r>
    <s v="DEP-A0-3346"/>
    <x v="1"/>
    <n v="53"/>
    <x v="1"/>
    <s v="Zapatos"/>
    <s v="Verde"/>
    <s v="Zara"/>
    <s v="MER-A0-3346"/>
    <d v="2024-10-13T00:00:00"/>
    <x v="0"/>
    <n v="189.32"/>
    <n v="0"/>
    <n v="74.915999999999997"/>
    <x v="1"/>
    <s v="No"/>
    <d v="2024-10-13T00:00:00"/>
    <n v="0"/>
  </r>
  <r>
    <s v="DEP-A0-0283"/>
    <x v="0"/>
    <n v="48"/>
    <x v="1"/>
    <s v="Falda"/>
    <s v="Blanco"/>
    <s v="Mango"/>
    <s v="MER-A0-0283"/>
    <d v="2024-12-11T00:00:00"/>
    <x v="0"/>
    <n v="193.44"/>
    <n v="0"/>
    <n v="117.22499999999999"/>
    <x v="1"/>
    <s v="No"/>
    <d v="2024-12-11T00:00:00"/>
    <n v="0"/>
  </r>
  <r>
    <s v="DEP-A0-3835"/>
    <x v="0"/>
    <n v="64"/>
    <x v="1"/>
    <s v="Falda"/>
    <s v="Negro"/>
    <s v="Mango"/>
    <s v="MER-A0-3835"/>
    <d v="2024-11-28T00:00:00"/>
    <x v="0"/>
    <n v="197.71"/>
    <n v="0"/>
    <n v="76.37"/>
    <x v="1"/>
    <s v="No"/>
    <d v="2024-07-01T00:00:00"/>
    <n v="0"/>
  </r>
  <r>
    <s v="DEP-A0-0182"/>
    <x v="0"/>
    <n v="50"/>
    <x v="1"/>
    <s v="Vestido"/>
    <s v="Verde"/>
    <s v="Puma"/>
    <s v="MER-A0-0182"/>
    <d v="2024-12-23T00:00:00"/>
    <x v="0"/>
    <n v="199.74"/>
    <n v="0"/>
    <n v="141.69"/>
    <x v="1"/>
    <s v="No"/>
    <d v="2024-01-15T00:00:00"/>
    <n v="0"/>
  </r>
  <r>
    <s v="DEP-A0-3243"/>
    <x v="1"/>
    <n v="38"/>
    <x v="1"/>
    <s v="Chaqueta"/>
    <s v="Gris"/>
    <s v="Puma"/>
    <s v="MER-A0-3243"/>
    <d v="2024-11-10T00:00:00"/>
    <x v="0"/>
    <n v="10.78"/>
    <n v="0.2"/>
    <n v="165.94"/>
    <x v="1"/>
    <s v="No"/>
    <d v="2025-08-07T00:00:00"/>
    <n v="0"/>
  </r>
  <r>
    <s v="DEP-A0-4955"/>
    <x v="1"/>
    <n v="48"/>
    <x v="1"/>
    <s v="Chaqueta"/>
    <s v="Negro"/>
    <s v="Puma"/>
    <s v="MER-A0-4955"/>
    <d v="2024-05-15T00:00:00"/>
    <x v="0"/>
    <n v="12.43"/>
    <n v="0.3"/>
    <n v="47.88"/>
    <x v="1"/>
    <s v="No"/>
    <d v="2025-02-09T00:00:00"/>
    <n v="0"/>
  </r>
  <r>
    <s v="DEP-A0-2324"/>
    <x v="1"/>
    <n v="52"/>
    <x v="1"/>
    <s v="Zapatos"/>
    <s v="Negro"/>
    <s v="Levis"/>
    <s v="MER-A0-2324"/>
    <d v="2024-12-23T00:00:00"/>
    <x v="0"/>
    <n v="11.27"/>
    <n v="0.1"/>
    <n v="152.30000000000001"/>
    <x v="1"/>
    <s v="No"/>
    <d v="2024-04-02T00:00:00"/>
    <n v="0"/>
  </r>
  <r>
    <s v="DEP-A0-2054"/>
    <x v="0"/>
    <n v="42"/>
    <x v="1"/>
    <s v="Camisa"/>
    <s v="Verde"/>
    <s v="Zara"/>
    <s v="MER-A0-2054"/>
    <d v="2024-01-22T00:00:00"/>
    <x v="0"/>
    <n v="15.23"/>
    <n v="0.3"/>
    <n v="145"/>
    <x v="1"/>
    <s v="No"/>
    <d v="2024-07-20T00:00:00"/>
    <n v="0"/>
  </r>
  <r>
    <s v="DEP-A0-3035"/>
    <x v="0"/>
    <n v="55"/>
    <x v="1"/>
    <s v="Camisa"/>
    <s v="Gris"/>
    <s v="Adidas"/>
    <s v="MER-A0-3035"/>
    <d v="2024-12-10T00:00:00"/>
    <x v="0"/>
    <n v="14.52"/>
    <n v="0.2"/>
    <n v="43.686999999999998"/>
    <x v="1"/>
    <s v="No"/>
    <d v="2025-03-05T00:00:00"/>
    <n v="0"/>
  </r>
  <r>
    <s v="DEP-A0-4000"/>
    <x v="0"/>
    <n v="61"/>
    <x v="1"/>
    <s v="Chaqueta"/>
    <s v="Blanco"/>
    <s v="Puma"/>
    <s v="MER-A0-4000"/>
    <d v="2024-11-23T00:00:00"/>
    <x v="0"/>
    <n v="11.78"/>
    <n v="0"/>
    <n v="49.598999999999997"/>
    <x v="1"/>
    <s v="No"/>
    <d v="2024-12-23T00:00:00"/>
    <n v="0"/>
  </r>
  <r>
    <s v="DEP-A0-3940"/>
    <x v="0"/>
    <n v="37"/>
    <x v="1"/>
    <s v="Camisa"/>
    <s v="Blanco"/>
    <s v="Adidas"/>
    <s v="MER-A0-3940"/>
    <d v="2024-05-21T00:00:00"/>
    <x v="0"/>
    <n v="17.89"/>
    <n v="0.3"/>
    <n v="72.484999999999999"/>
    <x v="1"/>
    <s v="No"/>
    <d v="2024-08-19T00:00:00"/>
    <n v="0"/>
  </r>
  <r>
    <s v="DEP-A0-1025"/>
    <x v="1"/>
    <n v="48"/>
    <x v="1"/>
    <s v="Chaqueta"/>
    <s v="Rojo"/>
    <s v="Tommy"/>
    <s v="MER-A0-1025"/>
    <d v="2024-07-22T00:00:00"/>
    <x v="0"/>
    <n v="16.760000000000002"/>
    <n v="0.2"/>
    <n v="115.54"/>
    <x v="1"/>
    <s v="No"/>
    <d v="2025-07-17T00:00:00"/>
    <n v="0"/>
  </r>
  <r>
    <s v="DEP-A0-0563"/>
    <x v="0"/>
    <n v="62"/>
    <x v="1"/>
    <s v="Blusa"/>
    <s v="Rojo"/>
    <s v="Puma"/>
    <s v="MER-A0-0563"/>
    <d v="2024-03-14T00:00:00"/>
    <x v="0"/>
    <n v="19.59"/>
    <n v="0.3"/>
    <n v="93.950999999999993"/>
    <x v="1"/>
    <s v="No"/>
    <d v="2024-09-10T00:00:00"/>
    <n v="0"/>
  </r>
  <r>
    <s v="DEP-A0-3750"/>
    <x v="0"/>
    <n v="42"/>
    <x v="1"/>
    <s v="Blusa"/>
    <s v="Negro"/>
    <s v="Zara"/>
    <s v="MER-A0-3750"/>
    <d v="2024-03-31T00:00:00"/>
    <x v="0"/>
    <n v="21.3"/>
    <n v="0.3"/>
    <n v="82.448000000000008"/>
    <x v="1"/>
    <s v="No"/>
    <d v="2024-09-27T00:00:00"/>
    <n v="0"/>
  </r>
  <r>
    <s v="DEP-A0-3651"/>
    <x v="0"/>
    <n v="62"/>
    <x v="1"/>
    <s v="Zapatos"/>
    <s v="Verde"/>
    <s v="Zara"/>
    <s v="MER-A0-3651"/>
    <d v="2024-09-18T00:00:00"/>
    <x v="0"/>
    <n v="18.53"/>
    <n v="0.1"/>
    <n v="35.721000000000004"/>
    <x v="1"/>
    <s v="No"/>
    <d v="2025-09-13T00:00:00"/>
    <n v="0"/>
  </r>
  <r>
    <s v="DEP-A0-0091"/>
    <x v="0"/>
    <n v="65"/>
    <x v="1"/>
    <s v="Chaqueta"/>
    <s v="Amarillo"/>
    <s v="Puma"/>
    <s v="MER-A0-0091"/>
    <d v="2024-02-19T00:00:00"/>
    <x v="0"/>
    <n v="17.36"/>
    <n v="0"/>
    <n v="93.096000000000004"/>
    <x v="1"/>
    <s v="No"/>
    <d v="2024-11-15T00:00:00"/>
    <n v="0"/>
  </r>
  <r>
    <s v="DEP-A0-2519"/>
    <x v="0"/>
    <n v="42"/>
    <x v="1"/>
    <s v="Vestido"/>
    <s v="Gris"/>
    <s v="Tommy"/>
    <s v="MER-A0-2519"/>
    <d v="2024-07-22T00:00:00"/>
    <x v="0"/>
    <n v="19.88"/>
    <n v="0.1"/>
    <n v="146.709"/>
    <x v="1"/>
    <s v="No"/>
    <d v="2025-04-18T00:00:00"/>
    <n v="0"/>
  </r>
  <r>
    <s v="DEP-A0-1086"/>
    <x v="0"/>
    <n v="43"/>
    <x v="1"/>
    <s v="Vestido"/>
    <s v="Rojo"/>
    <s v="Zara"/>
    <s v="MER-A0-1086"/>
    <d v="2024-11-20T00:00:00"/>
    <x v="0"/>
    <n v="18.22"/>
    <n v="0"/>
    <n v="167.54399999999998"/>
    <x v="1"/>
    <s v="No"/>
    <d v="2025-02-18T00:00:00"/>
    <n v="0"/>
  </r>
  <r>
    <s v="DEP-A0-0203"/>
    <x v="0"/>
    <n v="51"/>
    <x v="1"/>
    <s v="Chaqueta"/>
    <s v="Rojo"/>
    <s v="Adidas"/>
    <s v="MER-A0-0203"/>
    <d v="2024-09-12T00:00:00"/>
    <x v="0"/>
    <n v="26.06"/>
    <n v="0.3"/>
    <n v="18.684000000000001"/>
    <x v="1"/>
    <s v="No"/>
    <d v="2025-06-09T00:00:00"/>
    <n v="0"/>
  </r>
  <r>
    <s v="DEP-A0-2773"/>
    <x v="1"/>
    <n v="61"/>
    <x v="1"/>
    <s v="Chaqueta"/>
    <s v="Negro"/>
    <s v="Mango"/>
    <s v="MER-A0-2773"/>
    <d v="2024-10-24T00:00:00"/>
    <x v="0"/>
    <n v="18.399999999999999"/>
    <n v="0"/>
    <n v="46.248999999999995"/>
    <x v="1"/>
    <s v="No"/>
    <d v="2025-04-22T00:00:00"/>
    <n v="0"/>
  </r>
  <r>
    <s v="DEP-A0-3639"/>
    <x v="0"/>
    <n v="58"/>
    <x v="1"/>
    <s v="Vestido"/>
    <s v="Gris"/>
    <s v="Adidas"/>
    <s v="MER-A0-3639"/>
    <d v="2024-08-26T00:00:00"/>
    <x v="0"/>
    <n v="21.02"/>
    <n v="0.1"/>
    <n v="140.19999999999999"/>
    <x v="1"/>
    <s v="No"/>
    <d v="2025-02-22T00:00:00"/>
    <n v="0"/>
  </r>
  <r>
    <s v="DEP-A0-3128"/>
    <x v="1"/>
    <n v="46"/>
    <x v="1"/>
    <s v="Chaqueta"/>
    <s v="Blanco"/>
    <s v="Levis"/>
    <s v="MER-A0-3128"/>
    <d v="2024-06-21T00:00:00"/>
    <x v="0"/>
    <n v="21.07"/>
    <n v="0.1"/>
    <n v="133.72"/>
    <x v="1"/>
    <s v="No"/>
    <d v="2025-06-16T00:00:00"/>
    <n v="0"/>
  </r>
  <r>
    <s v="DEP-A0-2789"/>
    <x v="0"/>
    <n v="46"/>
    <x v="1"/>
    <s v="Pantalón"/>
    <s v="Amarillo"/>
    <s v="Tommy"/>
    <s v="MER-A0-2789"/>
    <d v="2024-12-14T00:00:00"/>
    <x v="0"/>
    <n v="27.28"/>
    <n v="0.3"/>
    <n v="184.45"/>
    <x v="1"/>
    <s v="No"/>
    <d v="2025-09-10T00:00:00"/>
    <n v="0"/>
  </r>
  <r>
    <s v="DEP-A0-1834"/>
    <x v="0"/>
    <n v="46"/>
    <x v="1"/>
    <s v="Pantalón"/>
    <s v="Blanco"/>
    <s v="Nike"/>
    <s v="MER-A0-1834"/>
    <d v="2024-11-08T00:00:00"/>
    <x v="0"/>
    <n v="19.190000000000001"/>
    <n v="0"/>
    <n v="67.92"/>
    <x v="1"/>
    <s v="No"/>
    <d v="2025-05-07T00:00:00"/>
    <n v="0"/>
  </r>
  <r>
    <s v="DEP-A0-4786"/>
    <x v="0"/>
    <n v="54"/>
    <x v="1"/>
    <s v="Zapatos"/>
    <s v="Amarillo"/>
    <s v="Nike"/>
    <s v="MER-A0-4786"/>
    <d v="2024-08-06T00:00:00"/>
    <x v="0"/>
    <n v="19.25"/>
    <n v="0"/>
    <n v="124.29900000000001"/>
    <x v="1"/>
    <s v="No"/>
    <d v="2025-05-03T00:00:00"/>
    <n v="0"/>
  </r>
  <r>
    <s v="DEP-A0-2039"/>
    <x v="1"/>
    <n v="52"/>
    <x v="1"/>
    <s v="Camisa"/>
    <s v="Azul"/>
    <s v="Zara"/>
    <s v="MER-A0-2039"/>
    <d v="2024-05-09T00:00:00"/>
    <x v="0"/>
    <n v="27.94"/>
    <n v="0.3"/>
    <n v="99.652000000000015"/>
    <x v="1"/>
    <s v="No"/>
    <d v="2025-02-03T00:00:00"/>
    <n v="0"/>
  </r>
  <r>
    <s v="DEP-A0-2137"/>
    <x v="0"/>
    <n v="46"/>
    <x v="1"/>
    <s v="Pantalón"/>
    <s v="Verde"/>
    <s v="Adidas"/>
    <s v="MER-A0-2137"/>
    <d v="2024-03-10T00:00:00"/>
    <x v="0"/>
    <n v="21.76"/>
    <n v="0.1"/>
    <n v="99.5"/>
    <x v="1"/>
    <s v="No"/>
    <d v="2024-12-05T00:00:00"/>
    <n v="0"/>
  </r>
  <r>
    <s v="DEP-A0-3897"/>
    <x v="0"/>
    <n v="65"/>
    <x v="1"/>
    <s v="Vestido"/>
    <s v="Rojo"/>
    <s v="Nike"/>
    <s v="MER-A0-3897"/>
    <d v="2024-12-23T00:00:00"/>
    <x v="0"/>
    <n v="28.5"/>
    <n v="0.3"/>
    <n v="98.808000000000007"/>
    <x v="1"/>
    <s v="No"/>
    <d v="2024-10-10T00:00:00"/>
    <n v="0"/>
  </r>
  <r>
    <s v="DEP-A0-2010"/>
    <x v="1"/>
    <n v="39"/>
    <x v="1"/>
    <s v="Zapatos"/>
    <s v="Blanco"/>
    <s v="Levis"/>
    <s v="MER-A0-2010"/>
    <d v="2024-02-22T00:00:00"/>
    <x v="0"/>
    <n v="28.21"/>
    <n v="0.2"/>
    <n v="98.8"/>
    <x v="1"/>
    <s v="No"/>
    <d v="2024-05-22T00:00:00"/>
    <n v="0"/>
  </r>
  <r>
    <s v="DEP-A0-2859"/>
    <x v="0"/>
    <n v="59"/>
    <x v="1"/>
    <s v="Pantalón"/>
    <s v="Rojo"/>
    <s v="Nike"/>
    <s v="MER-A0-2859"/>
    <d v="2024-11-23T00:00:00"/>
    <x v="0"/>
    <n v="23.4"/>
    <n v="0"/>
    <n v="155.048"/>
    <x v="1"/>
    <s v="No"/>
    <d v="2025-02-21T00:00:00"/>
    <n v="0"/>
  </r>
  <r>
    <s v="DEP-A0-3116"/>
    <x v="1"/>
    <n v="42"/>
    <x v="1"/>
    <s v="Chaqueta"/>
    <s v="Negro"/>
    <s v="Adidas"/>
    <s v="MER-A0-3116"/>
    <d v="2024-07-10T00:00:00"/>
    <x v="0"/>
    <n v="26.79"/>
    <n v="0.1"/>
    <n v="50.328000000000003"/>
    <x v="1"/>
    <s v="No"/>
    <d v="2025-04-06T00:00:00"/>
    <n v="0"/>
  </r>
  <r>
    <s v="DEP-A0-3743"/>
    <x v="0"/>
    <n v="49"/>
    <x v="1"/>
    <s v="Pantalón"/>
    <s v="Negro"/>
    <s v="Adidas"/>
    <s v="MER-A0-3743"/>
    <d v="2024-11-29T00:00:00"/>
    <x v="0"/>
    <n v="24.43"/>
    <n v="0"/>
    <n v="150.28800000000001"/>
    <x v="1"/>
    <s v="No"/>
    <d v="2025-02-27T00:00:00"/>
    <n v="0"/>
  </r>
  <r>
    <s v="DEP-A0-4248"/>
    <x v="0"/>
    <n v="56"/>
    <x v="1"/>
    <s v="Blusa"/>
    <s v="Rojo"/>
    <s v="Adidas"/>
    <s v="MER-A0-4248"/>
    <d v="2024-09-21T00:00:00"/>
    <x v="0"/>
    <n v="25.87"/>
    <n v="0"/>
    <n v="96.88"/>
    <x v="1"/>
    <s v="No"/>
    <d v="2025-09-16T00:00:00"/>
    <n v="0"/>
  </r>
  <r>
    <s v="DEP-A0-0101"/>
    <x v="0"/>
    <n v="62"/>
    <x v="1"/>
    <s v="Blusa"/>
    <s v="Blanco"/>
    <s v="Adidas"/>
    <s v="MER-A0-0101"/>
    <d v="2024-03-15T00:00:00"/>
    <x v="0"/>
    <n v="32.53"/>
    <n v="0.2"/>
    <n v="23.921999999999997"/>
    <x v="1"/>
    <s v="No"/>
    <d v="2024-06-13T00:00:00"/>
    <n v="0"/>
  </r>
  <r>
    <s v="DEP-A0-2190"/>
    <x v="0"/>
    <n v="58"/>
    <x v="1"/>
    <s v="Camisa"/>
    <s v="Gris"/>
    <s v="Nike"/>
    <s v="MER-A0-2190"/>
    <d v="2024-10-01T00:00:00"/>
    <x v="0"/>
    <n v="29.91"/>
    <n v="0.1"/>
    <n v="199.79"/>
    <x v="1"/>
    <s v="No"/>
    <d v="2025-06-28T00:00:00"/>
    <n v="0"/>
  </r>
  <r>
    <s v="DEP-A0-2840"/>
    <x v="0"/>
    <n v="37"/>
    <x v="1"/>
    <s v="Zapatos"/>
    <s v="Blanco"/>
    <s v="Zara"/>
    <s v="MER-A0-2840"/>
    <d v="2024-02-28T00:00:00"/>
    <x v="0"/>
    <n v="27.22"/>
    <n v="0"/>
    <n v="44.639000000000003"/>
    <x v="1"/>
    <s v="No"/>
    <d v="2024-08-26T00:00:00"/>
    <n v="0"/>
  </r>
  <r>
    <s v="DEP-A0-3802"/>
    <x v="0"/>
    <n v="45"/>
    <x v="1"/>
    <s v="Blusa"/>
    <s v="Blanco"/>
    <s v="Zara"/>
    <s v="MER-A0-3802"/>
    <d v="2024-09-04T00:00:00"/>
    <x v="0"/>
    <n v="34.130000000000003"/>
    <n v="0.2"/>
    <n v="50.88"/>
    <x v="1"/>
    <s v="No"/>
    <d v="2025-03-03T00:00:00"/>
    <n v="0"/>
  </r>
  <r>
    <s v="DEP-A0-4924"/>
    <x v="0"/>
    <n v="45"/>
    <x v="1"/>
    <s v="Blusa"/>
    <s v="Amarillo"/>
    <s v="Adidas"/>
    <s v="MER-A0-4924"/>
    <d v="2024-02-11T00:00:00"/>
    <x v="0"/>
    <n v="30.52"/>
    <n v="0.1"/>
    <n v="102.30500000000001"/>
    <x v="1"/>
    <s v="No"/>
    <d v="2024-11-07T00:00:00"/>
    <n v="0"/>
  </r>
  <r>
    <s v="DEP-A0-2565"/>
    <x v="1"/>
    <n v="62"/>
    <x v="1"/>
    <s v="Pantalón"/>
    <s v="Negro"/>
    <s v="Zara"/>
    <s v="MER-A0-2565"/>
    <d v="2024-05-27T00:00:00"/>
    <x v="0"/>
    <n v="40.380000000000003"/>
    <n v="0.3"/>
    <n v="173.72"/>
    <x v="1"/>
    <s v="No"/>
    <d v="2025-02-21T00:00:00"/>
    <n v="0"/>
  </r>
  <r>
    <s v="DEP-A0-3145"/>
    <x v="0"/>
    <n v="41"/>
    <x v="1"/>
    <s v="Pantalón"/>
    <s v="Gris"/>
    <s v="Tommy"/>
    <s v="MER-A0-3145"/>
    <d v="2024-02-28T00:00:00"/>
    <x v="0"/>
    <n v="31.66"/>
    <n v="0.1"/>
    <n v="70.17"/>
    <x v="1"/>
    <s v="No"/>
    <d v="2024-08-26T00:00:00"/>
    <n v="0"/>
  </r>
  <r>
    <s v="DEP-A0-2979"/>
    <x v="1"/>
    <n v="58"/>
    <x v="1"/>
    <s v="Chaqueta"/>
    <s v="Verde"/>
    <s v="Nike"/>
    <s v="MER-A0-2979"/>
    <d v="2024-10-30T00:00:00"/>
    <x v="0"/>
    <n v="41.79"/>
    <n v="0.3"/>
    <n v="146.91"/>
    <x v="1"/>
    <s v="No"/>
    <d v="2025-04-28T00:00:00"/>
    <n v="0"/>
  </r>
  <r>
    <s v="DEP-A0-0823"/>
    <x v="0"/>
    <n v="59"/>
    <x v="1"/>
    <s v="Vestido"/>
    <s v="Rojo"/>
    <s v="Levis"/>
    <s v="MER-A0-0823"/>
    <d v="2024-12-23T00:00:00"/>
    <x v="0"/>
    <n v="29.48"/>
    <n v="0"/>
    <n v="147.50399999999999"/>
    <x v="1"/>
    <s v="No"/>
    <d v="2024-07-05T00:00:00"/>
    <n v="0"/>
  </r>
  <r>
    <s v="DEP-A0-1366"/>
    <x v="1"/>
    <n v="53"/>
    <x v="1"/>
    <s v="Zapatos"/>
    <s v="Rojo"/>
    <s v="Tommy"/>
    <s v="MER-A0-1366"/>
    <d v="2024-05-09T00:00:00"/>
    <x v="0"/>
    <n v="33.74"/>
    <n v="0.1"/>
    <n v="60.480000000000004"/>
    <x v="1"/>
    <s v="No"/>
    <d v="2025-05-04T00:00:00"/>
    <n v="0"/>
  </r>
  <r>
    <s v="DEP-A0-2766"/>
    <x v="1"/>
    <n v="62"/>
    <x v="1"/>
    <s v="Chaqueta"/>
    <s v="Amarillo"/>
    <s v="Adidas"/>
    <s v="MER-A0-2766"/>
    <d v="2024-03-30T00:00:00"/>
    <x v="0"/>
    <n v="30.78"/>
    <n v="0"/>
    <n v="93.437999999999988"/>
    <x v="1"/>
    <s v="No"/>
    <d v="2024-06-28T00:00:00"/>
    <n v="0"/>
  </r>
  <r>
    <s v="DEP-A0-4510"/>
    <x v="1"/>
    <n v="40"/>
    <x v="1"/>
    <s v="Zapatos"/>
    <s v="Verde"/>
    <s v="Adidas"/>
    <s v="MER-A0-4510"/>
    <d v="2024-04-21T00:00:00"/>
    <x v="0"/>
    <n v="34.74"/>
    <n v="0.1"/>
    <n v="87.263999999999996"/>
    <x v="1"/>
    <s v="No"/>
    <d v="2024-10-18T00:00:00"/>
    <n v="0"/>
  </r>
  <r>
    <s v="DEP-A0-0013"/>
    <x v="0"/>
    <n v="36"/>
    <x v="1"/>
    <s v="Vestido"/>
    <s v="Rojo"/>
    <s v="Levis"/>
    <s v="MER-A0-0013"/>
    <d v="2024-12-01T00:00:00"/>
    <x v="0"/>
    <n v="31.31"/>
    <n v="0"/>
    <n v="97.256"/>
    <x v="1"/>
    <s v="No"/>
    <d v="2025-11-26T00:00:00"/>
    <n v="0"/>
  </r>
  <r>
    <s v="DEP-A0-4651"/>
    <x v="0"/>
    <n v="36"/>
    <x v="1"/>
    <s v="Chaqueta"/>
    <s v="Blanco"/>
    <s v="Puma"/>
    <s v="MER-A0-4651"/>
    <d v="2024-02-04T00:00:00"/>
    <x v="0"/>
    <n v="35.909999999999997"/>
    <n v="0.1"/>
    <n v="137.57599999999999"/>
    <x v="1"/>
    <s v="No"/>
    <d v="2024-05-04T00:00:00"/>
    <n v="0"/>
  </r>
  <r>
    <s v="DEP-A0-3325"/>
    <x v="0"/>
    <n v="54"/>
    <x v="1"/>
    <s v="Vestido"/>
    <s v="Gris"/>
    <s v="Mango"/>
    <s v="MER-A0-3325"/>
    <d v="2024-05-10T00:00:00"/>
    <x v="0"/>
    <n v="41.3"/>
    <n v="0.2"/>
    <n v="144.14400000000001"/>
    <x v="1"/>
    <s v="No"/>
    <d v="2025-02-04T00:00:00"/>
    <n v="0"/>
  </r>
  <r>
    <s v="DEP-A0-4753"/>
    <x v="1"/>
    <n v="52"/>
    <x v="1"/>
    <s v="Zapatos"/>
    <s v="Amarillo"/>
    <s v="Zara"/>
    <s v="MER-A0-4753"/>
    <d v="2024-08-28T00:00:00"/>
    <x v="0"/>
    <n v="33.299999999999997"/>
    <n v="0"/>
    <n v="127.14400000000001"/>
    <x v="1"/>
    <s v="No"/>
    <d v="2025-05-25T00:00:00"/>
    <n v="0"/>
  </r>
  <r>
    <s v="DEP-A0-0415"/>
    <x v="0"/>
    <n v="36"/>
    <x v="1"/>
    <s v="Vestido"/>
    <s v="Gris"/>
    <s v="Levis"/>
    <s v="MER-A0-0415"/>
    <d v="2024-11-02T00:00:00"/>
    <x v="0"/>
    <n v="42.84"/>
    <n v="0.2"/>
    <n v="41.561999999999998"/>
    <x v="1"/>
    <s v="No"/>
    <d v="2025-05-01T00:00:00"/>
    <n v="0"/>
  </r>
  <r>
    <s v="DEP-A0-4314"/>
    <x v="0"/>
    <n v="52"/>
    <x v="1"/>
    <s v="Blusa"/>
    <s v="Blanco"/>
    <s v="Mango"/>
    <s v="MER-A0-4314"/>
    <d v="2024-11-26T00:00:00"/>
    <x v="0"/>
    <n v="49.28"/>
    <n v="0.3"/>
    <n v="88.97"/>
    <x v="1"/>
    <s v="No"/>
    <d v="2025-11-21T00:00:00"/>
    <n v="0"/>
  </r>
  <r>
    <s v="DEP-A0-1233"/>
    <x v="0"/>
    <n v="38"/>
    <x v="1"/>
    <s v="Falda"/>
    <s v="Negro"/>
    <s v="Tommy"/>
    <s v="MER-A0-1233"/>
    <d v="2024-02-23T00:00:00"/>
    <x v="0"/>
    <n v="34.520000000000003"/>
    <n v="0"/>
    <n v="154.84800000000001"/>
    <x v="1"/>
    <s v="No"/>
    <d v="2024-11-19T00:00:00"/>
    <n v="0"/>
  </r>
  <r>
    <s v="DEP-A0-4022"/>
    <x v="0"/>
    <n v="58"/>
    <x v="1"/>
    <s v="Chaqueta"/>
    <s v="Amarillo"/>
    <s v="Adidas"/>
    <s v="MER-A0-4022"/>
    <d v="2024-02-19T00:00:00"/>
    <x v="0"/>
    <n v="38.43"/>
    <n v="0.1"/>
    <n v="107.28800000000001"/>
    <x v="1"/>
    <s v="No"/>
    <d v="2024-11-15T00:00:00"/>
    <n v="0"/>
  </r>
  <r>
    <s v="DEP-A0-0684"/>
    <x v="0"/>
    <n v="55"/>
    <x v="1"/>
    <s v="Blusa"/>
    <s v="Rojo"/>
    <s v="Nike"/>
    <s v="MER-A0-0684"/>
    <d v="2024-11-18T00:00:00"/>
    <x v="0"/>
    <n v="51.36"/>
    <n v="0.3"/>
    <n v="19.957000000000001"/>
    <x v="1"/>
    <s v="No"/>
    <d v="2025-08-15T00:00:00"/>
    <n v="0"/>
  </r>
  <r>
    <s v="DEP-A0-2676"/>
    <x v="0"/>
    <n v="54"/>
    <x v="1"/>
    <s v="Falda"/>
    <s v="Negro"/>
    <s v="Adidas"/>
    <s v="MER-A0-2676"/>
    <d v="2024-12-23T00:00:00"/>
    <x v="0"/>
    <n v="40.299999999999997"/>
    <n v="0.1"/>
    <n v="28.44"/>
    <x v="1"/>
    <s v="No"/>
    <d v="2024-10-06T00:00:00"/>
    <n v="0"/>
  </r>
  <r>
    <s v="DEP-A0-1513"/>
    <x v="0"/>
    <n v="39"/>
    <x v="1"/>
    <s v="Camisa"/>
    <s v="Amarillo"/>
    <s v="Tommy"/>
    <s v="MER-A0-1513"/>
    <d v="2024-09-21T00:00:00"/>
    <x v="0"/>
    <n v="45.88"/>
    <n v="0.2"/>
    <n v="114.562"/>
    <x v="1"/>
    <s v="No"/>
    <d v="2024-12-20T00:00:00"/>
    <n v="0"/>
  </r>
  <r>
    <s v="DEP-A0-0984"/>
    <x v="0"/>
    <n v="60"/>
    <x v="1"/>
    <s v="Chaqueta"/>
    <s v="Rojo"/>
    <s v="Puma"/>
    <s v="MER-A0-0984"/>
    <d v="2024-10-31T00:00:00"/>
    <x v="0"/>
    <n v="45.91"/>
    <n v="0.2"/>
    <n v="95.7"/>
    <x v="1"/>
    <s v="No"/>
    <d v="2025-04-29T00:00:00"/>
    <n v="0"/>
  </r>
  <r>
    <s v="DEP-A0-3861"/>
    <x v="1"/>
    <n v="57"/>
    <x v="1"/>
    <s v="Camisa"/>
    <s v="Gris"/>
    <s v="Tommy"/>
    <s v="MER-A0-3861"/>
    <d v="2024-09-27T00:00:00"/>
    <x v="0"/>
    <n v="53.08"/>
    <n v="0.3"/>
    <n v="100.80699999999999"/>
    <x v="1"/>
    <s v="No"/>
    <d v="2025-06-24T00:00:00"/>
    <n v="0"/>
  </r>
  <r>
    <s v="DEP-A0-3506"/>
    <x v="0"/>
    <n v="61"/>
    <x v="1"/>
    <s v="Blusa"/>
    <s v="Verde"/>
    <s v="Mango"/>
    <s v="MER-A0-3506"/>
    <d v="2024-03-07T00:00:00"/>
    <x v="0"/>
    <n v="37.85"/>
    <n v="0"/>
    <n v="109.2"/>
    <x v="1"/>
    <s v="No"/>
    <d v="2024-12-02T00:00:00"/>
    <n v="0"/>
  </r>
  <r>
    <s v="DEP-A0-1424"/>
    <x v="0"/>
    <n v="37"/>
    <x v="1"/>
    <s v="Chaqueta"/>
    <s v="Blanco"/>
    <s v="Levis"/>
    <s v="MER-A0-1424"/>
    <d v="2024-02-18T00:00:00"/>
    <x v="0"/>
    <n v="42.13"/>
    <n v="0.1"/>
    <n v="44.272000000000006"/>
    <x v="1"/>
    <s v="No"/>
    <d v="2024-05-18T00:00:00"/>
    <n v="0"/>
  </r>
  <r>
    <s v="DEP-A0-1326"/>
    <x v="0"/>
    <n v="55"/>
    <x v="1"/>
    <s v="Vestido"/>
    <s v="Negro"/>
    <s v="Levis"/>
    <s v="MER-A0-1326"/>
    <d v="2024-07-27T00:00:00"/>
    <x v="0"/>
    <n v="47.55"/>
    <n v="0.2"/>
    <n v="164.39"/>
    <x v="1"/>
    <s v="No"/>
    <d v="2025-04-23T00:00:00"/>
    <n v="0"/>
  </r>
  <r>
    <s v="DEP-A0-0888"/>
    <x v="0"/>
    <n v="41"/>
    <x v="1"/>
    <s v="Zapatos"/>
    <s v="Rojo"/>
    <s v="Mango"/>
    <s v="MER-A0-0888"/>
    <d v="2024-04-20T00:00:00"/>
    <x v="0"/>
    <n v="47.82"/>
    <n v="0.2"/>
    <n v="29.43"/>
    <x v="1"/>
    <s v="No"/>
    <d v="2025-04-15T00:00:00"/>
    <n v="0"/>
  </r>
  <r>
    <s v="DEP-A0-1375"/>
    <x v="1"/>
    <n v="48"/>
    <x v="1"/>
    <s v="Camisa"/>
    <s v="Rojo"/>
    <s v="Mango"/>
    <s v="MER-A0-1375"/>
    <d v="2024-02-13T00:00:00"/>
    <x v="0"/>
    <n v="47.98"/>
    <n v="0.2"/>
    <n v="54.201000000000008"/>
    <x v="1"/>
    <s v="No"/>
    <d v="2024-09-13T00:00:00"/>
    <n v="0"/>
  </r>
  <r>
    <s v="DEP-A0-3896"/>
    <x v="1"/>
    <n v="39"/>
    <x v="1"/>
    <s v="Chaqueta"/>
    <s v="Rojo"/>
    <s v="Puma"/>
    <s v="MER-A0-3896"/>
    <d v="2024-12-16T00:00:00"/>
    <x v="0"/>
    <n v="55.96"/>
    <n v="0.3"/>
    <n v="98.981999999999999"/>
    <x v="1"/>
    <s v="No"/>
    <d v="2025-03-16T00:00:00"/>
    <n v="0"/>
  </r>
  <r>
    <s v="DEP-A0-0186"/>
    <x v="0"/>
    <n v="53"/>
    <x v="1"/>
    <s v="Camisa"/>
    <s v="Rojo"/>
    <s v="Puma"/>
    <s v="MER-A0-0186"/>
    <d v="2024-03-05T00:00:00"/>
    <x v="0"/>
    <n v="43.53"/>
    <n v="0.1"/>
    <n v="121.75800000000001"/>
    <x v="1"/>
    <s v="No"/>
    <d v="2024-06-03T00:00:00"/>
    <n v="0"/>
  </r>
  <r>
    <s v="DEP-A0-4972"/>
    <x v="0"/>
    <n v="56"/>
    <x v="1"/>
    <s v="Falda"/>
    <s v="Negro"/>
    <s v="Tommy"/>
    <s v="MER-A0-4972"/>
    <d v="2024-04-01T00:00:00"/>
    <x v="0"/>
    <n v="56.14"/>
    <n v="0.3"/>
    <n v="72.17"/>
    <x v="1"/>
    <s v="No"/>
    <d v="2024-12-27T00:00:00"/>
    <n v="0"/>
  </r>
  <r>
    <s v="DEP-A0-0196"/>
    <x v="0"/>
    <n v="64"/>
    <x v="1"/>
    <s v="Blusa"/>
    <s v="Gris"/>
    <s v="Adidas"/>
    <s v="MER-A0-0196"/>
    <d v="2024-04-15T00:00:00"/>
    <x v="0"/>
    <n v="49.3"/>
    <n v="0.2"/>
    <n v="33.231999999999999"/>
    <x v="1"/>
    <s v="No"/>
    <d v="2025-01-10T00:00:00"/>
    <n v="0"/>
  </r>
  <r>
    <s v="DEP-A0-3599"/>
    <x v="0"/>
    <n v="52"/>
    <x v="1"/>
    <s v="Falda"/>
    <s v="Blanco"/>
    <s v="Zara"/>
    <s v="MER-A0-3599"/>
    <d v="2024-11-06T00:00:00"/>
    <x v="0"/>
    <n v="44.89"/>
    <n v="0.1"/>
    <n v="37.448"/>
    <x v="1"/>
    <s v="No"/>
    <d v="2025-02-04T00:00:00"/>
    <n v="0"/>
  </r>
  <r>
    <s v="DEP-A0-4891"/>
    <x v="0"/>
    <n v="65"/>
    <x v="1"/>
    <s v="Falda"/>
    <s v="Verde"/>
    <s v="Mango"/>
    <s v="MER-A0-4891"/>
    <d v="2024-08-24T00:00:00"/>
    <x v="0"/>
    <n v="40.630000000000003"/>
    <n v="0"/>
    <n v="33.145000000000003"/>
    <x v="1"/>
    <s v="No"/>
    <d v="2025-05-21T00:00:00"/>
    <n v="0"/>
  </r>
  <r>
    <s v="DEP-A0-0978"/>
    <x v="0"/>
    <n v="40"/>
    <x v="1"/>
    <s v="Zapatos"/>
    <s v="Amarillo"/>
    <s v="Puma"/>
    <s v="MER-A0-0978"/>
    <d v="2024-08-05T00:00:00"/>
    <x v="0"/>
    <n v="41.02"/>
    <n v="0"/>
    <n v="65.688000000000002"/>
    <x v="1"/>
    <s v="Sí"/>
    <d v="2025-05-02T00:00:00"/>
    <n v="3"/>
  </r>
  <r>
    <s v="DEP-A0-2579"/>
    <x v="1"/>
    <n v="50"/>
    <x v="1"/>
    <s v="Chaqueta"/>
    <s v="Rojo"/>
    <s v="Levis"/>
    <s v="MER-A0-2579"/>
    <d v="2024-11-28T00:00:00"/>
    <x v="0"/>
    <n v="58.64"/>
    <n v="0.3"/>
    <n v="67.423999999999992"/>
    <x v="1"/>
    <s v="Sí"/>
    <d v="2024-10-04T00:00:00"/>
    <n v="3"/>
  </r>
  <r>
    <s v="DEP-A0-1195"/>
    <x v="0"/>
    <n v="63"/>
    <x v="1"/>
    <s v="Chaqueta"/>
    <s v="Azul"/>
    <s v="Nike"/>
    <s v="MER-A0-1195"/>
    <d v="2024-04-10T00:00:00"/>
    <x v="0"/>
    <n v="59.47"/>
    <n v="0.3"/>
    <n v="117.83799999999999"/>
    <x v="1"/>
    <s v="Sí"/>
    <d v="2024-07-09T00:00:00"/>
    <n v="3"/>
  </r>
  <r>
    <s v="DEP-A0-3143"/>
    <x v="0"/>
    <n v="59"/>
    <x v="1"/>
    <s v="Falda"/>
    <s v="Amarillo"/>
    <s v="Zara"/>
    <s v="MER-A0-3143"/>
    <d v="2024-08-19T00:00:00"/>
    <x v="0"/>
    <n v="41.92"/>
    <n v="0"/>
    <n v="102.15"/>
    <x v="1"/>
    <s v="Sí"/>
    <d v="2025-05-16T00:00:00"/>
    <n v="3"/>
  </r>
  <r>
    <s v="DEP-A0-3860"/>
    <x v="0"/>
    <n v="62"/>
    <x v="1"/>
    <s v="Zapatos"/>
    <s v="Verde"/>
    <s v="Puma"/>
    <s v="MER-A0-3860"/>
    <d v="2024-11-01T00:00:00"/>
    <x v="0"/>
    <n v="52.82"/>
    <n v="0.2"/>
    <n v="66.36"/>
    <x v="1"/>
    <s v="Sí"/>
    <d v="2025-01-30T00:00:00"/>
    <n v="3"/>
  </r>
  <r>
    <s v="DEP-A0-2413"/>
    <x v="0"/>
    <n v="37"/>
    <x v="1"/>
    <s v="Vestido"/>
    <s v="Blanco"/>
    <s v="Zara"/>
    <s v="MER-A0-2413"/>
    <d v="2024-11-19T00:00:00"/>
    <x v="0"/>
    <n v="53.12"/>
    <n v="0.2"/>
    <n v="137.52799999999999"/>
    <x v="1"/>
    <s v="Sí"/>
    <d v="2025-11-14T00:00:00"/>
    <n v="3"/>
  </r>
  <r>
    <s v="DEP-A0-0252"/>
    <x v="0"/>
    <n v="51"/>
    <x v="1"/>
    <s v="Falda"/>
    <s v="Verde"/>
    <s v="Nike"/>
    <s v="MER-A0-0252"/>
    <d v="2024-05-06T00:00:00"/>
    <x v="0"/>
    <n v="62.99"/>
    <n v="0.3"/>
    <n v="89.183999999999997"/>
    <x v="1"/>
    <s v="Sí"/>
    <d v="2025-05-01T00:00:00"/>
    <n v="3"/>
  </r>
  <r>
    <s v="DEP-A0-3882"/>
    <x v="1"/>
    <n v="55"/>
    <x v="1"/>
    <s v="Chaqueta"/>
    <s v="Blanco"/>
    <s v="Zara"/>
    <s v="MER-A0-3882"/>
    <d v="2024-11-26T00:00:00"/>
    <x v="0"/>
    <n v="64.7"/>
    <n v="0.3"/>
    <n v="147.66299999999998"/>
    <x v="1"/>
    <s v="Sí"/>
    <d v="2025-11-21T00:00:00"/>
    <n v="3"/>
  </r>
  <r>
    <s v="DEP-A0-0790"/>
    <x v="0"/>
    <n v="52"/>
    <x v="1"/>
    <s v="Falda"/>
    <s v="Verde"/>
    <s v="Zara"/>
    <s v="MER-A0-0790"/>
    <d v="2024-01-30T00:00:00"/>
    <x v="0"/>
    <n v="65"/>
    <n v="0.3"/>
    <n v="12.276"/>
    <x v="1"/>
    <s v="Sí"/>
    <d v="2024-10-26T00:00:00"/>
    <n v="3"/>
  </r>
  <r>
    <s v="DEP-A0-4363"/>
    <x v="0"/>
    <n v="54"/>
    <x v="1"/>
    <s v="Falda"/>
    <s v="Rojo"/>
    <s v="Mango"/>
    <s v="MER-A0-4363"/>
    <d v="2024-05-28T00:00:00"/>
    <x v="0"/>
    <n v="51.1"/>
    <n v="0.1"/>
    <n v="13.32"/>
    <x v="1"/>
    <s v="Sí"/>
    <d v="2024-11-24T00:00:00"/>
    <n v="3"/>
  </r>
  <r>
    <s v="DEP-A0-4211"/>
    <x v="0"/>
    <n v="41"/>
    <x v="1"/>
    <s v="Blusa"/>
    <s v="Verde"/>
    <s v="Puma"/>
    <s v="MER-A0-4211"/>
    <d v="2024-12-28T00:00:00"/>
    <x v="0"/>
    <n v="66.14"/>
    <n v="0.3"/>
    <n v="122.679"/>
    <x v="1"/>
    <s v="Sí"/>
    <d v="2025-03-28T00:00:00"/>
    <n v="3"/>
  </r>
  <r>
    <s v="DEP-A0-2557"/>
    <x v="1"/>
    <n v="42"/>
    <x v="1"/>
    <s v="Chaqueta"/>
    <s v="Rojo"/>
    <s v="Mango"/>
    <s v="MER-A0-2557"/>
    <d v="2024-10-20T00:00:00"/>
    <x v="0"/>
    <n v="59.3"/>
    <n v="0.2"/>
    <n v="152.81099999999998"/>
    <x v="1"/>
    <s v="Sí"/>
    <d v="2025-04-18T00:00:00"/>
    <n v="3"/>
  </r>
  <r>
    <s v="DEP-A0-4927"/>
    <x v="1"/>
    <n v="49"/>
    <x v="1"/>
    <s v="Chaqueta"/>
    <s v="Blanco"/>
    <s v="Mango"/>
    <s v="MER-A0-4927"/>
    <d v="2024-11-14T00:00:00"/>
    <x v="0"/>
    <n v="59.65"/>
    <n v="0.2"/>
    <n v="100.52700000000002"/>
    <x v="1"/>
    <s v="Sí"/>
    <d v="2025-08-11T00:00:00"/>
    <n v="3"/>
  </r>
  <r>
    <s v="DEP-A0-1096"/>
    <x v="0"/>
    <n v="65"/>
    <x v="1"/>
    <s v="Falda"/>
    <s v="Negro"/>
    <s v="Tommy"/>
    <s v="MER-A0-1096"/>
    <d v="2024-09-13T00:00:00"/>
    <x v="0"/>
    <n v="61.45"/>
    <n v="0.2"/>
    <n v="63.616"/>
    <x v="1"/>
    <s v="Sí"/>
    <d v="2025-03-12T00:00:00"/>
    <n v="3"/>
  </r>
  <r>
    <s v="DEP-A0-4262"/>
    <x v="0"/>
    <n v="61"/>
    <x v="1"/>
    <s v="Falda"/>
    <s v="Blanco"/>
    <s v="Zara"/>
    <s v="MER-A0-4262"/>
    <d v="2024-08-27T00:00:00"/>
    <x v="0"/>
    <n v="72.05"/>
    <n v="0.3"/>
    <n v="93.33"/>
    <x v="1"/>
    <s v="Sí"/>
    <d v="2025-05-24T00:00:00"/>
    <n v="3"/>
  </r>
  <r>
    <s v="DEP-A0-2662"/>
    <x v="0"/>
    <n v="42"/>
    <x v="1"/>
    <s v="Falda"/>
    <s v="Rojo"/>
    <s v="Adidas"/>
    <s v="MER-A0-2662"/>
    <d v="2024-09-23T00:00:00"/>
    <x v="0"/>
    <n v="73.37"/>
    <n v="0.3"/>
    <n v="156.976"/>
    <x v="1"/>
    <s v="Sí"/>
    <d v="2025-06-20T00:00:00"/>
    <n v="3"/>
  </r>
  <r>
    <s v="DEP-A0-0513"/>
    <x v="0"/>
    <n v="37"/>
    <x v="1"/>
    <s v="Pantalón"/>
    <s v="Gris"/>
    <s v="Zara"/>
    <s v="MER-A0-0513"/>
    <d v="2024-05-15T00:00:00"/>
    <x v="0"/>
    <n v="73.39"/>
    <n v="0.3"/>
    <n v="15.624000000000001"/>
    <x v="1"/>
    <s v="Sí"/>
    <d v="2025-02-09T00:00:00"/>
    <n v="3"/>
  </r>
  <r>
    <s v="DEP-A0-0026"/>
    <x v="0"/>
    <n v="45"/>
    <x v="1"/>
    <s v="Blusa"/>
    <s v="Verde"/>
    <s v="Nike"/>
    <s v="MER-A0-0026"/>
    <d v="2024-11-12T00:00:00"/>
    <x v="0"/>
    <n v="52.32"/>
    <n v="0"/>
    <n v="41.174999999999997"/>
    <x v="1"/>
    <s v="Sí"/>
    <d v="2025-11-07T00:00:00"/>
    <n v="3"/>
  </r>
  <r>
    <s v="DEP-A0-0546"/>
    <x v="1"/>
    <n v="44"/>
    <x v="1"/>
    <s v="Zapatos"/>
    <s v="Negro"/>
    <s v="Zara"/>
    <s v="MER-A0-0546"/>
    <d v="2024-06-25T00:00:00"/>
    <x v="0"/>
    <n v="53.59"/>
    <n v="0"/>
    <n v="97.426000000000016"/>
    <x v="1"/>
    <s v="Sí"/>
    <d v="2025-06-20T00:00:00"/>
    <n v="3"/>
  </r>
  <r>
    <s v="DEP-A0-0720"/>
    <x v="0"/>
    <n v="50"/>
    <x v="1"/>
    <s v="Falda"/>
    <s v="Blanco"/>
    <s v="Tommy"/>
    <s v="MER-A0-0720"/>
    <d v="2024-02-24T00:00:00"/>
    <x v="0"/>
    <n v="76.97"/>
    <n v="0.3"/>
    <n v="91.56"/>
    <x v="1"/>
    <s v="Sí"/>
    <d v="2024-08-22T00:00:00"/>
    <n v="3"/>
  </r>
  <r>
    <s v="DEP-A0-4278"/>
    <x v="0"/>
    <n v="42"/>
    <x v="1"/>
    <s v="Camisa"/>
    <s v="Blanco"/>
    <s v="Zara"/>
    <s v="MER-A0-4278"/>
    <d v="2024-01-16T00:00:00"/>
    <x v="0"/>
    <n v="67.62"/>
    <n v="0.2"/>
    <n v="19.408000000000001"/>
    <x v="1"/>
    <s v="Sí"/>
    <d v="2025-01-10T00:00:00"/>
    <n v="3"/>
  </r>
  <r>
    <s v="DEP-A0-1347"/>
    <x v="0"/>
    <n v="48"/>
    <x v="1"/>
    <s v="Blusa"/>
    <s v="Gris"/>
    <s v="Nike"/>
    <s v="MER-A0-1347"/>
    <d v="2024-03-06T00:00:00"/>
    <x v="0"/>
    <n v="60.57"/>
    <n v="0.1"/>
    <n v="112.08"/>
    <x v="1"/>
    <s v="Sí"/>
    <d v="2024-09-02T00:00:00"/>
    <n v="3"/>
  </r>
  <r>
    <s v="DEP-A0-4611"/>
    <x v="0"/>
    <n v="56"/>
    <x v="1"/>
    <s v="Camisa"/>
    <s v="Amarillo"/>
    <s v="Zara"/>
    <s v="MER-A0-4611"/>
    <d v="2024-11-28T00:00:00"/>
    <x v="0"/>
    <n v="61.77"/>
    <n v="0.1"/>
    <n v="27.27"/>
    <x v="1"/>
    <s v="Sí"/>
    <d v="2025-01-22T00:00:00"/>
    <n v="3"/>
  </r>
  <r>
    <s v="DEP-A0-2242"/>
    <x v="0"/>
    <n v="41"/>
    <x v="1"/>
    <s v="Vestido"/>
    <s v="Negro"/>
    <s v="Zara"/>
    <s v="MER-A0-2242"/>
    <d v="2024-12-08T00:00:00"/>
    <x v="0"/>
    <n v="79.680000000000007"/>
    <n v="0.3"/>
    <n v="40.543999999999997"/>
    <x v="1"/>
    <s v="Sí"/>
    <d v="2025-12-03T00:00:00"/>
    <n v="3"/>
  </r>
  <r>
    <s v="DEP-A0-4107"/>
    <x v="1"/>
    <n v="49"/>
    <x v="1"/>
    <s v="Chaqueta"/>
    <s v="Gris"/>
    <s v="Nike"/>
    <s v="MER-A0-4107"/>
    <d v="2024-03-07T00:00:00"/>
    <x v="0"/>
    <n v="80.06"/>
    <n v="0.3"/>
    <n v="31.37"/>
    <x v="1"/>
    <s v="Sí"/>
    <d v="2024-06-05T00:00:00"/>
    <n v="3"/>
  </r>
  <r>
    <s v="DEP-A0-4859"/>
    <x v="1"/>
    <n v="39"/>
    <x v="1"/>
    <s v="Pantalón"/>
    <s v="Rojo"/>
    <s v="Zara"/>
    <s v="MER-A0-4859"/>
    <d v="2024-10-09T00:00:00"/>
    <x v="0"/>
    <n v="80.14"/>
    <n v="0.3"/>
    <n v="139.464"/>
    <x v="1"/>
    <s v="Sí"/>
    <d v="2025-04-07T00:00:00"/>
    <n v="3"/>
  </r>
  <r>
    <s v="DEP-A0-3670"/>
    <x v="0"/>
    <n v="42"/>
    <x v="1"/>
    <s v="Falda"/>
    <s v="Gris"/>
    <s v="Tommy"/>
    <s v="MER-A0-3670"/>
    <d v="2024-11-02T00:00:00"/>
    <x v="0"/>
    <n v="80.8"/>
    <n v="0.3"/>
    <n v="77.44"/>
    <x v="1"/>
    <s v="Sí"/>
    <d v="2025-01-31T00:00:00"/>
    <n v="3"/>
  </r>
  <r>
    <s v="DEP-A0-1681"/>
    <x v="0"/>
    <n v="40"/>
    <x v="1"/>
    <s v="Blusa"/>
    <s v="Verde"/>
    <s v="Mango"/>
    <s v="MER-A0-1681"/>
    <d v="2024-02-12T00:00:00"/>
    <x v="0"/>
    <n v="71.27"/>
    <n v="0.2"/>
    <n v="71.308999999999997"/>
    <x v="1"/>
    <s v="Sí"/>
    <d v="2024-11-08T00:00:00"/>
    <n v="3"/>
  </r>
  <r>
    <s v="DEP-A0-1810"/>
    <x v="0"/>
    <n v="45"/>
    <x v="1"/>
    <s v="Blusa"/>
    <s v="Blanco"/>
    <s v="Levis"/>
    <s v="MER-A0-1810"/>
    <d v="2024-02-04T00:00:00"/>
    <x v="0"/>
    <n v="72.02"/>
    <n v="0.2"/>
    <n v="65.912000000000006"/>
    <x v="1"/>
    <s v="Sí"/>
    <d v="2024-10-31T00:00:00"/>
    <n v="3"/>
  </r>
  <r>
    <s v="DEP-A0-3873"/>
    <x v="1"/>
    <n v="46"/>
    <x v="1"/>
    <s v="Chaqueta"/>
    <s v="Gris"/>
    <s v="Mango"/>
    <s v="MER-A0-3873"/>
    <d v="2024-03-11T00:00:00"/>
    <x v="0"/>
    <n v="57.79"/>
    <n v="0"/>
    <n v="115.53599999999999"/>
    <x v="1"/>
    <s v="Sí"/>
    <d v="2024-09-07T00:00:00"/>
    <n v="3"/>
  </r>
  <r>
    <s v="DEP-A0-3371"/>
    <x v="1"/>
    <n v="50"/>
    <x v="1"/>
    <s v="Camisa"/>
    <s v="Negro"/>
    <s v="Zara"/>
    <s v="MER-A0-3371"/>
    <d v="2024-08-08T00:00:00"/>
    <x v="0"/>
    <n v="58.41"/>
    <n v="0"/>
    <n v="64.533000000000001"/>
    <x v="1"/>
    <s v="Sí"/>
    <d v="2024-11-06T00:00:00"/>
    <n v="3"/>
  </r>
  <r>
    <s v="DEP-A0-3933"/>
    <x v="0"/>
    <n v="48"/>
    <x v="1"/>
    <s v="Pantalón"/>
    <s v="Amarillo"/>
    <s v="Mango"/>
    <s v="MER-A0-3933"/>
    <d v="2024-11-28T00:00:00"/>
    <x v="0"/>
    <n v="83.51"/>
    <n v="0.3"/>
    <n v="59.093999999999994"/>
    <x v="1"/>
    <s v="Sí"/>
    <d v="2025-01-07T00:00:00"/>
    <n v="3"/>
  </r>
  <r>
    <s v="DEP-A0-0959"/>
    <x v="0"/>
    <n v="59"/>
    <x v="1"/>
    <s v="Camisa"/>
    <s v="Gris"/>
    <s v="Adidas"/>
    <s v="MER-A0-0959"/>
    <d v="2024-10-20T00:00:00"/>
    <x v="0"/>
    <n v="84.39"/>
    <n v="0.3"/>
    <n v="125.99100000000001"/>
    <x v="1"/>
    <s v="Sí"/>
    <d v="2025-04-18T00:00:00"/>
    <n v="3"/>
  </r>
  <r>
    <s v="DEP-A0-1697"/>
    <x v="0"/>
    <n v="44"/>
    <x v="1"/>
    <s v="Blusa"/>
    <s v="Gris"/>
    <s v="Puma"/>
    <s v="MER-A0-1697"/>
    <d v="2024-08-03T00:00:00"/>
    <x v="0"/>
    <n v="86.32"/>
    <n v="0.3"/>
    <n v="81.823999999999998"/>
    <x v="1"/>
    <s v="Sí"/>
    <d v="2024-11-01T00:00:00"/>
    <n v="3"/>
  </r>
  <r>
    <s v="DEP-A0-1315"/>
    <x v="1"/>
    <n v="43"/>
    <x v="1"/>
    <s v="Zapatos"/>
    <s v="Azul"/>
    <s v="Adidas"/>
    <s v="MER-A0-1315"/>
    <d v="2024-09-29T00:00:00"/>
    <x v="0"/>
    <n v="61.12"/>
    <n v="0"/>
    <n v="112.084"/>
    <x v="1"/>
    <s v="Sí"/>
    <d v="2025-09-24T00:00:00"/>
    <n v="3"/>
  </r>
  <r>
    <s v="DEP-A0-4160"/>
    <x v="1"/>
    <n v="61"/>
    <x v="1"/>
    <s v="Chaqueta"/>
    <s v="Gris"/>
    <s v="Adidas"/>
    <s v="MER-A0-4160"/>
    <d v="2024-10-20T00:00:00"/>
    <x v="0"/>
    <n v="68.25"/>
    <n v="0.1"/>
    <n v="112.02"/>
    <x v="1"/>
    <s v="Sí"/>
    <d v="2025-04-18T00:00:00"/>
    <n v="3"/>
  </r>
  <r>
    <s v="DEP-A0-1415"/>
    <x v="0"/>
    <n v="55"/>
    <x v="1"/>
    <s v="Vestido"/>
    <s v="Amarillo"/>
    <s v="Levis"/>
    <s v="MER-A0-1415"/>
    <d v="2024-07-02T00:00:00"/>
    <x v="0"/>
    <n v="77.760000000000005"/>
    <n v="0.2"/>
    <n v="111.59200000000001"/>
    <x v="1"/>
    <s v="Sí"/>
    <d v="2024-12-29T00:00:00"/>
    <n v="3"/>
  </r>
  <r>
    <s v="DEP-A0-1293"/>
    <x v="0"/>
    <n v="42"/>
    <x v="1"/>
    <s v="Pantalón"/>
    <s v="Blanco"/>
    <s v="Tommy"/>
    <s v="MER-A0-1293"/>
    <d v="2024-11-04T00:00:00"/>
    <x v="0"/>
    <n v="77.8"/>
    <n v="0.2"/>
    <n v="115.32"/>
    <x v="1"/>
    <s v="Sí"/>
    <d v="2025-02-02T00:00:00"/>
    <n v="3"/>
  </r>
  <r>
    <s v="DEP-A0-4360"/>
    <x v="0"/>
    <n v="44"/>
    <x v="1"/>
    <s v="Vestido"/>
    <s v="Rojo"/>
    <s v="Puma"/>
    <s v="MER-A0-4360"/>
    <d v="2024-04-23T00:00:00"/>
    <x v="0"/>
    <n v="69.28"/>
    <n v="0.1"/>
    <n v="175.14"/>
    <x v="1"/>
    <s v="Sí"/>
    <d v="2024-10-20T00:00:00"/>
    <n v="3"/>
  </r>
  <r>
    <s v="DEP-A0-0746"/>
    <x v="0"/>
    <n v="62"/>
    <x v="1"/>
    <s v="Falda"/>
    <s v="Amarillo"/>
    <s v="Adidas"/>
    <s v="MER-A0-0746"/>
    <d v="2024-09-20T00:00:00"/>
    <x v="0"/>
    <n v="62.95"/>
    <n v="0"/>
    <n v="25.28"/>
    <x v="1"/>
    <s v="Sí"/>
    <d v="2025-03-19T00:00:00"/>
    <n v="3"/>
  </r>
  <r>
    <s v="DEP-A0-4655"/>
    <x v="0"/>
    <n v="45"/>
    <x v="1"/>
    <s v="Pantalón"/>
    <s v="Amarillo"/>
    <s v="Adidas"/>
    <s v="MER-A0-4655"/>
    <d v="2024-08-05T00:00:00"/>
    <x v="0"/>
    <n v="79.010000000000005"/>
    <n v="0.2"/>
    <n v="82.44"/>
    <x v="1"/>
    <s v="Sí"/>
    <d v="2024-11-03T00:00:00"/>
    <n v="3"/>
  </r>
  <r>
    <s v="DEP-A0-1361"/>
    <x v="0"/>
    <n v="39"/>
    <x v="1"/>
    <s v="Chaqueta"/>
    <s v="Negro"/>
    <s v="Tommy"/>
    <s v="MER-A0-1361"/>
    <d v="2024-11-28T00:00:00"/>
    <x v="0"/>
    <n v="79.209999999999994"/>
    <n v="0.2"/>
    <n v="67.37"/>
    <x v="1"/>
    <s v="Sí"/>
    <d v="2025-04-22T00:00:00"/>
    <n v="3"/>
  </r>
  <r>
    <s v="DEP-A0-4468"/>
    <x v="0"/>
    <n v="38"/>
    <x v="1"/>
    <s v="Chaqueta"/>
    <s v="Rojo"/>
    <s v="Puma"/>
    <s v="MER-A0-4468"/>
    <d v="2024-10-21T00:00:00"/>
    <x v="0"/>
    <n v="63.62"/>
    <n v="0"/>
    <n v="154.35"/>
    <x v="1"/>
    <s v="Sí"/>
    <d v="2025-01-19T00:00:00"/>
    <n v="3"/>
  </r>
  <r>
    <s v="DEP-A0-4702"/>
    <x v="0"/>
    <n v="63"/>
    <x v="1"/>
    <s v="Falda"/>
    <s v="Verde"/>
    <s v="Puma"/>
    <s v="MER-A0-4702"/>
    <d v="2024-07-29T00:00:00"/>
    <x v="0"/>
    <n v="64.53"/>
    <n v="0"/>
    <n v="9.0449999999999999"/>
    <x v="1"/>
    <s v="Sí"/>
    <d v="2025-07-24T00:00:00"/>
    <n v="3"/>
  </r>
  <r>
    <s v="DEP-A0-3267"/>
    <x v="0"/>
    <n v="39"/>
    <x v="1"/>
    <s v="Chaqueta"/>
    <s v="Negro"/>
    <s v="Adidas"/>
    <s v="MER-A0-3267"/>
    <d v="2024-05-25T00:00:00"/>
    <x v="0"/>
    <n v="82.91"/>
    <n v="0.2"/>
    <n v="58.131"/>
    <x v="1"/>
    <s v="Sí"/>
    <d v="2025-05-20T00:00:00"/>
    <n v="3"/>
  </r>
  <r>
    <s v="DEP-A0-1472"/>
    <x v="1"/>
    <n v="47"/>
    <x v="1"/>
    <s v="Camisa"/>
    <s v="Amarillo"/>
    <s v="Puma"/>
    <s v="MER-A0-1472"/>
    <d v="2024-01-22T00:00:00"/>
    <x v="0"/>
    <n v="82.93"/>
    <n v="0.2"/>
    <n v="83.259"/>
    <x v="1"/>
    <s v="Sí"/>
    <d v="2024-04-21T00:00:00"/>
    <n v="3"/>
  </r>
  <r>
    <s v="DEP-A0-3473"/>
    <x v="0"/>
    <n v="42"/>
    <x v="1"/>
    <s v="Pantalón"/>
    <s v="Verde"/>
    <s v="Tommy"/>
    <s v="MER-A0-3473"/>
    <d v="2024-12-21T00:00:00"/>
    <x v="0"/>
    <n v="83.03"/>
    <n v="0.2"/>
    <n v="125.1"/>
    <x v="1"/>
    <s v="Sí"/>
    <d v="2025-09-17T00:00:00"/>
    <n v="3"/>
  </r>
  <r>
    <s v="DEP-A0-0025"/>
    <x v="0"/>
    <n v="40"/>
    <x v="1"/>
    <s v="Zapatos"/>
    <s v="Azul"/>
    <s v="Puma"/>
    <s v="MER-A0-0025"/>
    <d v="2024-12-23T00:00:00"/>
    <x v="0"/>
    <n v="83.95"/>
    <n v="0.2"/>
    <n v="118.206"/>
    <x v="1"/>
    <s v="Sí"/>
    <d v="2024-12-26T00:00:00"/>
    <n v="3"/>
  </r>
  <r>
    <s v="DEP-A0-0764"/>
    <x v="0"/>
    <n v="47"/>
    <x v="1"/>
    <s v="Falda"/>
    <s v="Verde"/>
    <s v="Tommy"/>
    <s v="MER-A0-0764"/>
    <d v="2024-08-16T00:00:00"/>
    <x v="0"/>
    <n v="96.07"/>
    <n v="0.3"/>
    <n v="104.062"/>
    <x v="1"/>
    <s v="Sí"/>
    <d v="2024-11-14T00:00:00"/>
    <n v="3"/>
  </r>
  <r>
    <s v="DEP-A0-3850"/>
    <x v="0"/>
    <n v="49"/>
    <x v="1"/>
    <s v="Falda"/>
    <s v="Amarillo"/>
    <s v="Zara"/>
    <s v="MER-A0-3850"/>
    <d v="2024-11-29T00:00:00"/>
    <x v="0"/>
    <n v="75.3"/>
    <n v="0.1"/>
    <n v="107.12"/>
    <x v="1"/>
    <s v="Sí"/>
    <d v="2025-02-27T00:00:00"/>
    <n v="3"/>
  </r>
  <r>
    <s v="DEP-A0-2680"/>
    <x v="1"/>
    <n v="59"/>
    <x v="1"/>
    <s v="Pantalón"/>
    <s v="Verde"/>
    <s v="Zara"/>
    <s v="MER-A0-2680"/>
    <d v="2024-11-11T00:00:00"/>
    <x v="0"/>
    <n v="76"/>
    <n v="0.1"/>
    <n v="192.94"/>
    <x v="1"/>
    <s v="Sí"/>
    <d v="2025-05-10T00:00:00"/>
    <n v="3"/>
  </r>
  <r>
    <s v="DEP-A0-1733"/>
    <x v="1"/>
    <n v="47"/>
    <x v="1"/>
    <s v="Camisa"/>
    <s v="Amarillo"/>
    <s v="Nike"/>
    <s v="MER-A0-1733"/>
    <d v="2024-02-10T00:00:00"/>
    <x v="0"/>
    <n v="85.86"/>
    <n v="0.2"/>
    <n v="137.88900000000001"/>
    <x v="1"/>
    <s v="Sí"/>
    <d v="2024-05-10T00:00:00"/>
    <n v="3"/>
  </r>
  <r>
    <s v="DEP-A0-1082"/>
    <x v="0"/>
    <n v="43"/>
    <x v="1"/>
    <s v="Chaqueta"/>
    <s v="Blanco"/>
    <s v="Zara"/>
    <s v="MER-A0-1082"/>
    <d v="2024-04-09T00:00:00"/>
    <x v="0"/>
    <n v="85.89"/>
    <n v="0.2"/>
    <n v="66.099999999999994"/>
    <x v="1"/>
    <s v="Sí"/>
    <d v="2024-10-06T00:00:00"/>
    <n v="3"/>
  </r>
  <r>
    <s v="DEP-A0-1460"/>
    <x v="0"/>
    <n v="39"/>
    <x v="1"/>
    <s v="Chaqueta"/>
    <s v="Azul"/>
    <s v="Tommy"/>
    <s v="MER-A0-1460"/>
    <d v="2024-05-12T00:00:00"/>
    <x v="0"/>
    <n v="87.17"/>
    <n v="0.2"/>
    <n v="86.05"/>
    <x v="1"/>
    <s v="Sí"/>
    <d v="2024-11-08T00:00:00"/>
    <n v="3"/>
  </r>
  <r>
    <s v="DEP-A0-1400"/>
    <x v="0"/>
    <n v="41"/>
    <x v="1"/>
    <s v="Blusa"/>
    <s v="Azul"/>
    <s v="Adidas"/>
    <s v="MER-A0-1400"/>
    <d v="2024-11-28T00:00:00"/>
    <x v="0"/>
    <n v="77.81"/>
    <n v="0.1"/>
    <n v="28.808"/>
    <x v="1"/>
    <s v="Sí"/>
    <d v="2024-10-10T00:00:00"/>
    <n v="3"/>
  </r>
  <r>
    <s v="DEP-A0-1994"/>
    <x v="0"/>
    <n v="40"/>
    <x v="1"/>
    <s v="Blusa"/>
    <s v="Verde"/>
    <s v="Levis"/>
    <s v="MER-A0-1994"/>
    <d v="2024-01-23T00:00:00"/>
    <x v="0"/>
    <n v="100.19"/>
    <n v="0.3"/>
    <n v="38.57"/>
    <x v="1"/>
    <s v="Sí"/>
    <d v="2025-01-17T00:00:00"/>
    <n v="3"/>
  </r>
  <r>
    <s v="DEP-A0-0974"/>
    <x v="0"/>
    <n v="37"/>
    <x v="1"/>
    <s v="Blusa"/>
    <s v="Azul"/>
    <s v="Mango"/>
    <s v="MER-A0-0974"/>
    <d v="2024-11-28T00:00:00"/>
    <x v="0"/>
    <n v="78.099999999999994"/>
    <n v="0.1"/>
    <n v="29.686999999999998"/>
    <x v="1"/>
    <s v="Sí"/>
    <d v="2024-10-04T00:00:00"/>
    <n v="3"/>
  </r>
  <r>
    <s v="DEP-A0-3216"/>
    <x v="0"/>
    <n v="60"/>
    <x v="1"/>
    <s v="Pantalón"/>
    <s v="Gris"/>
    <s v="Puma"/>
    <s v="MER-A0-3216"/>
    <d v="2024-12-23T00:00:00"/>
    <x v="0"/>
    <n v="70.63"/>
    <n v="0"/>
    <n v="69.77600000000001"/>
    <x v="1"/>
    <s v="Sí"/>
    <d v="2025-01-03T00:00:00"/>
    <n v="12"/>
  </r>
  <r>
    <s v="DEP-A0-0956"/>
    <x v="1"/>
    <n v="46"/>
    <x v="1"/>
    <s v="Chaqueta"/>
    <s v="Verde"/>
    <s v="Mango"/>
    <s v="MER-A0-0956"/>
    <d v="2024-05-09T00:00:00"/>
    <x v="0"/>
    <n v="70.849999999999994"/>
    <n v="0"/>
    <n v="41.392000000000003"/>
    <x v="1"/>
    <s v="Sí"/>
    <d v="2025-02-03T00:00:00"/>
    <n v="9"/>
  </r>
  <r>
    <s v="DEP-A0-1269"/>
    <x v="0"/>
    <n v="41"/>
    <x v="1"/>
    <s v="Zapatos"/>
    <s v="Rojo"/>
    <s v="Adidas"/>
    <s v="MER-A0-1269"/>
    <d v="2024-03-12T00:00:00"/>
    <x v="0"/>
    <n v="88.81"/>
    <n v="0.2"/>
    <n v="129.89600000000002"/>
    <x v="1"/>
    <s v="Sí"/>
    <d v="2024-12-07T00:00:00"/>
    <n v="9"/>
  </r>
  <r>
    <s v="DEP-A0-0692"/>
    <x v="1"/>
    <n v="53"/>
    <x v="1"/>
    <s v="Chaqueta"/>
    <s v="Blanco"/>
    <s v="Mango"/>
    <s v="MER-A0-0692"/>
    <d v="2024-02-12T00:00:00"/>
    <x v="0"/>
    <n v="101.75"/>
    <n v="0.3"/>
    <n v="165.58199999999999"/>
    <x v="1"/>
    <s v="Sí"/>
    <d v="2024-08-10T00:00:00"/>
    <n v="6"/>
  </r>
  <r>
    <s v="DEP-A0-4427"/>
    <x v="0"/>
    <n v="42"/>
    <x v="1"/>
    <s v="Camisa"/>
    <s v="Amarillo"/>
    <s v="Zara"/>
    <s v="MER-A0-4427"/>
    <d v="2024-04-08T00:00:00"/>
    <x v="0"/>
    <n v="79.91"/>
    <n v="0.1"/>
    <n v="75.144000000000005"/>
    <x v="1"/>
    <s v="Sí"/>
    <d v="2025-04-03T00:00:00"/>
    <n v="12"/>
  </r>
  <r>
    <s v="DEP-A0-0447"/>
    <x v="0"/>
    <n v="63"/>
    <x v="1"/>
    <s v="Falda"/>
    <s v="Negro"/>
    <s v="Zara"/>
    <s v="MER-A0-0447"/>
    <d v="2024-08-27T00:00:00"/>
    <x v="0"/>
    <n v="90.16"/>
    <n v="0.2"/>
    <n v="169.38"/>
    <x v="1"/>
    <s v="Sí"/>
    <d v="2025-05-24T00:00:00"/>
    <n v="9"/>
  </r>
  <r>
    <s v="DEP-A0-1154"/>
    <x v="0"/>
    <n v="60"/>
    <x v="1"/>
    <s v="Vestido"/>
    <s v="Blanco"/>
    <s v="Nike"/>
    <s v="MER-A0-1154"/>
    <d v="2024-05-22T00:00:00"/>
    <x v="0"/>
    <n v="90.38"/>
    <n v="0.2"/>
    <n v="162.00899999999999"/>
    <x v="1"/>
    <s v="Sí"/>
    <d v="2025-02-16T00:00:00"/>
    <n v="9"/>
  </r>
  <r>
    <s v="DEP-A0-4873"/>
    <x v="0"/>
    <n v="37"/>
    <x v="1"/>
    <s v="Falda"/>
    <s v="Amarillo"/>
    <s v="Nike"/>
    <s v="MER-A0-4873"/>
    <d v="2024-10-22T00:00:00"/>
    <x v="0"/>
    <n v="80.849999999999994"/>
    <n v="0.1"/>
    <n v="147.56"/>
    <x v="1"/>
    <s v="Sí"/>
    <d v="2025-04-20T00:00:00"/>
    <n v="6"/>
  </r>
  <r>
    <s v="DEP-A0-0050"/>
    <x v="0"/>
    <n v="37"/>
    <x v="1"/>
    <s v="Blusa"/>
    <s v="Azul"/>
    <s v="Mango"/>
    <s v="MER-A0-0050"/>
    <d v="2024-11-23T00:00:00"/>
    <x v="0"/>
    <n v="80.88"/>
    <n v="0.1"/>
    <n v="148.99"/>
    <x v="1"/>
    <s v="Sí"/>
    <d v="2025-11-18T00:00:00"/>
    <n v="12"/>
  </r>
  <r>
    <s v="DEP-A0-3980"/>
    <x v="1"/>
    <n v="65"/>
    <x v="1"/>
    <s v="Pantalón"/>
    <s v="Negro"/>
    <s v="Zara"/>
    <s v="MER-A0-3980"/>
    <d v="2024-02-07T00:00:00"/>
    <x v="0"/>
    <n v="75.02"/>
    <n v="0"/>
    <n v="70.808000000000007"/>
    <x v="1"/>
    <s v="Sí"/>
    <d v="2025-02-01T00:00:00"/>
    <n v="12"/>
  </r>
  <r>
    <s v="DEP-A0-4904"/>
    <x v="0"/>
    <n v="39"/>
    <x v="1"/>
    <s v="Pantalón"/>
    <s v="Negro"/>
    <s v="Mango"/>
    <s v="MER-A0-4904"/>
    <d v="2024-03-02T00:00:00"/>
    <x v="0"/>
    <n v="107.23"/>
    <n v="0.3"/>
    <n v="87.933999999999997"/>
    <x v="1"/>
    <s v="Sí"/>
    <d v="2025-02-25T00:00:00"/>
    <n v="12"/>
  </r>
  <r>
    <s v="DEP-A0-0469"/>
    <x v="0"/>
    <n v="38"/>
    <x v="1"/>
    <s v="Falda"/>
    <s v="Amarillo"/>
    <s v="Tommy"/>
    <s v="MER-A0-0469"/>
    <d v="2024-10-28T00:00:00"/>
    <x v="0"/>
    <n v="84.73"/>
    <n v="0.1"/>
    <n v="174.86099999999999"/>
    <x v="1"/>
    <s v="Sí"/>
    <d v="2025-04-26T00:00:00"/>
    <n v="6"/>
  </r>
  <r>
    <s v="DEP-A0-2063"/>
    <x v="0"/>
    <n v="60"/>
    <x v="1"/>
    <s v="Blusa"/>
    <s v="Negro"/>
    <s v="Levis"/>
    <s v="MER-A0-2063"/>
    <d v="2024-11-28T00:00:00"/>
    <x v="0"/>
    <n v="76.63"/>
    <n v="0"/>
    <n v="10.192"/>
    <x v="1"/>
    <s v="Sí"/>
    <d v="2024-10-09T00:00:00"/>
    <n v="6"/>
  </r>
  <r>
    <s v="DEP-A0-3183"/>
    <x v="0"/>
    <n v="52"/>
    <x v="1"/>
    <s v="Vestido"/>
    <s v="Gris"/>
    <s v="Tommy"/>
    <s v="MER-A0-3183"/>
    <d v="2024-10-11T00:00:00"/>
    <x v="0"/>
    <n v="77.37"/>
    <n v="0"/>
    <n v="67.52000000000001"/>
    <x v="1"/>
    <s v="Sí"/>
    <d v="2025-10-06T00:00:00"/>
    <n v="12"/>
  </r>
  <r>
    <s v="DEP-A0-1511"/>
    <x v="1"/>
    <n v="40"/>
    <x v="1"/>
    <s v="Pantalón"/>
    <s v="Gris"/>
    <s v="Adidas"/>
    <s v="MER-A0-1511"/>
    <d v="2024-12-26T00:00:00"/>
    <x v="0"/>
    <n v="111.13"/>
    <n v="0.3"/>
    <n v="95.712000000000003"/>
    <x v="1"/>
    <s v="Sí"/>
    <d v="2025-03-26T00:00:00"/>
    <n v="3"/>
  </r>
  <r>
    <s v="DEP-A0-0021"/>
    <x v="0"/>
    <n v="61"/>
    <x v="1"/>
    <s v="Camisa"/>
    <s v="Rojo"/>
    <s v="Tommy"/>
    <s v="MER-A0-0021"/>
    <d v="2024-04-15T00:00:00"/>
    <x v="0"/>
    <n v="86.44"/>
    <n v="0.1"/>
    <n v="98.001000000000005"/>
    <x v="1"/>
    <s v="Sí"/>
    <d v="2025-01-10T00:00:00"/>
    <n v="9"/>
  </r>
  <r>
    <s v="DEP-A0-2907"/>
    <x v="1"/>
    <n v="58"/>
    <x v="1"/>
    <s v="Zapatos"/>
    <s v="Verde"/>
    <s v="Zara"/>
    <s v="MER-A0-2907"/>
    <d v="2024-09-24T00:00:00"/>
    <x v="0"/>
    <n v="86.92"/>
    <n v="0.1"/>
    <n v="119.672"/>
    <x v="1"/>
    <s v="Sí"/>
    <d v="2024-12-23T00:00:00"/>
    <n v="3"/>
  </r>
  <r>
    <s v="DEP-A0-2482"/>
    <x v="1"/>
    <n v="54"/>
    <x v="1"/>
    <s v="Pantalón"/>
    <s v="Gris"/>
    <s v="Adidas"/>
    <s v="MER-A0-2482"/>
    <d v="2024-09-02T00:00:00"/>
    <x v="0"/>
    <n v="78.239999999999995"/>
    <n v="0"/>
    <n v="124.39700000000001"/>
    <x v="1"/>
    <s v="Sí"/>
    <d v="2025-08-28T00:00:00"/>
    <n v="12"/>
  </r>
  <r>
    <s v="DEP-A0-2486"/>
    <x v="1"/>
    <n v="36"/>
    <x v="1"/>
    <s v="Camisa"/>
    <s v="Negro"/>
    <s v="Levis"/>
    <s v="MER-A0-2486"/>
    <d v="2024-07-21T00:00:00"/>
    <x v="0"/>
    <n v="111.99"/>
    <n v="0.3"/>
    <n v="29.31"/>
    <x v="1"/>
    <s v="Sí"/>
    <d v="2025-07-16T00:00:00"/>
    <n v="12"/>
  </r>
  <r>
    <s v="DEP-A0-4970"/>
    <x v="0"/>
    <n v="51"/>
    <x v="1"/>
    <s v="Vestido"/>
    <s v="Rojo"/>
    <s v="Puma"/>
    <s v="MER-A0-4970"/>
    <d v="2024-11-03T00:00:00"/>
    <x v="0"/>
    <n v="87.7"/>
    <n v="0.1"/>
    <n v="142.88"/>
    <x v="1"/>
    <s v="Sí"/>
    <d v="2025-02-01T00:00:00"/>
    <n v="3"/>
  </r>
  <r>
    <s v="DEP-A0-2169"/>
    <x v="0"/>
    <n v="41"/>
    <x v="1"/>
    <s v="Camisa"/>
    <s v="Gris"/>
    <s v="Puma"/>
    <s v="MER-A0-2169"/>
    <d v="2024-12-15T00:00:00"/>
    <x v="0"/>
    <n v="87.91"/>
    <n v="0.1"/>
    <n v="113.02200000000001"/>
    <x v="1"/>
    <s v="Sí"/>
    <d v="2025-03-15T00:00:00"/>
    <n v="3"/>
  </r>
  <r>
    <s v="DEP-A0-3401"/>
    <x v="1"/>
    <n v="37"/>
    <x v="1"/>
    <s v="Pantalón"/>
    <s v="Blanco"/>
    <s v="Tommy"/>
    <s v="MER-A0-3401"/>
    <d v="2024-08-11T00:00:00"/>
    <x v="0"/>
    <n v="88.37"/>
    <n v="0.1"/>
    <n v="162.15"/>
    <x v="1"/>
    <s v="Sí"/>
    <d v="2025-08-06T00:00:00"/>
    <n v="12"/>
  </r>
  <r>
    <s v="DEP-A0-3539"/>
    <x v="0"/>
    <n v="60"/>
    <x v="1"/>
    <s v="Falda"/>
    <s v="Amarillo"/>
    <s v="Tommy"/>
    <s v="MER-A0-3539"/>
    <d v="2024-07-27T00:00:00"/>
    <x v="0"/>
    <n v="79.540000000000006"/>
    <n v="0"/>
    <n v="94.855999999999995"/>
    <x v="1"/>
    <s v="Sí"/>
    <d v="2025-04-23T00:00:00"/>
    <n v="9"/>
  </r>
  <r>
    <s v="DEP-A0-2938"/>
    <x v="1"/>
    <n v="45"/>
    <x v="1"/>
    <s v="Chaqueta"/>
    <s v="Negro"/>
    <s v="Zara"/>
    <s v="MER-A0-2938"/>
    <d v="2024-12-25T00:00:00"/>
    <x v="0"/>
    <n v="88.79"/>
    <n v="0.1"/>
    <n v="87.992999999999995"/>
    <x v="1"/>
    <s v="Sí"/>
    <d v="2025-12-20T00:00:00"/>
    <n v="12"/>
  </r>
  <r>
    <s v="DEP-A0-0057"/>
    <x v="1"/>
    <n v="40"/>
    <x v="1"/>
    <s v="Camisa"/>
    <s v="Negro"/>
    <s v="Puma"/>
    <s v="MER-A0-0057"/>
    <d v="2024-12-08T00:00:00"/>
    <x v="0"/>
    <n v="114.5"/>
    <n v="0.3"/>
    <n v="135.51999999999998"/>
    <x v="1"/>
    <s v="Sí"/>
    <d v="2025-06-06T00:00:00"/>
    <n v="6"/>
  </r>
  <r>
    <s v="DEP-A0-1024"/>
    <x v="1"/>
    <n v="38"/>
    <x v="1"/>
    <s v="Zapatos"/>
    <s v="Negro"/>
    <s v="Adidas"/>
    <s v="MER-A0-1024"/>
    <d v="2024-12-23T00:00:00"/>
    <x v="0"/>
    <n v="90.42"/>
    <n v="0.1"/>
    <n v="98.238"/>
    <x v="1"/>
    <s v="Sí"/>
    <d v="2024-04-04T00:00:00"/>
    <n v="3"/>
  </r>
  <r>
    <s v="DEP-A0-0282"/>
    <x v="0"/>
    <n v="58"/>
    <x v="1"/>
    <s v="Falda"/>
    <s v="Negro"/>
    <s v="Tommy"/>
    <s v="MER-A0-0282"/>
    <d v="2024-01-17T00:00:00"/>
    <x v="0"/>
    <n v="102.2"/>
    <n v="0.2"/>
    <n v="49.069999999999993"/>
    <x v="1"/>
    <s v="Sí"/>
    <d v="2024-04-16T00:00:00"/>
    <n v="3"/>
  </r>
  <r>
    <s v="DEP-A0-0087"/>
    <x v="0"/>
    <n v="56"/>
    <x v="1"/>
    <s v="Zapatos"/>
    <s v="Blanco"/>
    <s v="Adidas"/>
    <s v="MER-A0-0087"/>
    <d v="2024-12-28T00:00:00"/>
    <x v="0"/>
    <n v="117.04"/>
    <n v="0.3"/>
    <n v="59.896000000000001"/>
    <x v="1"/>
    <s v="Sí"/>
    <d v="2025-03-28T00:00:00"/>
    <n v="3"/>
  </r>
  <r>
    <s v="DEP-A0-4867"/>
    <x v="0"/>
    <n v="44"/>
    <x v="1"/>
    <s v="Falda"/>
    <s v="Gris"/>
    <s v="Tommy"/>
    <s v="MER-A0-4867"/>
    <d v="2024-03-18T00:00:00"/>
    <x v="0"/>
    <n v="82.05"/>
    <n v="0"/>
    <n v="78.587999999999994"/>
    <x v="1"/>
    <s v="Sí"/>
    <d v="2024-12-13T00:00:00"/>
    <n v="9"/>
  </r>
  <r>
    <s v="DEP-A0-4302"/>
    <x v="0"/>
    <n v="61"/>
    <x v="1"/>
    <s v="Falda"/>
    <s v="Negro"/>
    <s v="Adidas"/>
    <s v="MER-A0-4302"/>
    <d v="2024-12-10T00:00:00"/>
    <x v="0"/>
    <n v="83.39"/>
    <n v="0"/>
    <n v="150.83199999999999"/>
    <x v="1"/>
    <s v="Sí"/>
    <d v="2025-09-06T00:00:00"/>
    <n v="9"/>
  </r>
  <r>
    <s v="DEP-A0-4280"/>
    <x v="0"/>
    <n v="51"/>
    <x v="1"/>
    <s v="Blusa"/>
    <s v="Azul"/>
    <s v="Tommy"/>
    <s v="MER-A0-4280"/>
    <d v="2024-07-10T00:00:00"/>
    <x v="0"/>
    <n v="84.43"/>
    <n v="0"/>
    <n v="17.77"/>
    <x v="1"/>
    <s v="Sí"/>
    <d v="2025-01-06T00:00:00"/>
    <n v="6"/>
  </r>
  <r>
    <s v="DEP-A0-4046"/>
    <x v="0"/>
    <n v="46"/>
    <x v="1"/>
    <s v="Falda"/>
    <s v="Azul"/>
    <s v="Tommy"/>
    <s v="MER-A0-4046"/>
    <d v="2024-08-09T00:00:00"/>
    <x v="0"/>
    <n v="106.31"/>
    <n v="0.2"/>
    <n v="44.766000000000005"/>
    <x v="1"/>
    <s v="Sí"/>
    <d v="2025-08-04T00:00:00"/>
    <n v="12"/>
  </r>
  <r>
    <s v="DEP-A0-3911"/>
    <x v="0"/>
    <n v="40"/>
    <x v="1"/>
    <s v="Blusa"/>
    <s v="Azul"/>
    <s v="Puma"/>
    <s v="MER-A0-3911"/>
    <d v="2024-09-08T00:00:00"/>
    <x v="0"/>
    <n v="106.42"/>
    <n v="0.2"/>
    <n v="80.822000000000003"/>
    <x v="1"/>
    <s v="Sí"/>
    <d v="2025-09-03T00:00:00"/>
    <n v="12"/>
  </r>
  <r>
    <s v="DEP-A0-1933"/>
    <x v="0"/>
    <n v="64"/>
    <x v="1"/>
    <s v="Falda"/>
    <s v="Blanco"/>
    <s v="Tommy"/>
    <s v="MER-A0-1933"/>
    <d v="2024-04-13T00:00:00"/>
    <x v="0"/>
    <n v="121.98"/>
    <n v="0.3"/>
    <n v="120.006"/>
    <x v="1"/>
    <s v="Sí"/>
    <d v="2024-07-12T00:00:00"/>
    <n v="3"/>
  </r>
  <r>
    <s v="DEP-A0-4453"/>
    <x v="0"/>
    <n v="59"/>
    <x v="1"/>
    <s v="Zapatos"/>
    <s v="Negro"/>
    <s v="Adidas"/>
    <s v="MER-A0-4453"/>
    <d v="2024-07-05T00:00:00"/>
    <x v="0"/>
    <n v="122.05"/>
    <n v="0.3"/>
    <n v="107.71199999999999"/>
    <x v="1"/>
    <s v="Sí"/>
    <d v="2025-04-01T00:00:00"/>
    <n v="9"/>
  </r>
  <r>
    <s v="DEP-A0-1686"/>
    <x v="1"/>
    <n v="41"/>
    <x v="1"/>
    <s v="Chaqueta"/>
    <s v="Azul"/>
    <s v="Tommy"/>
    <s v="MER-A0-1686"/>
    <d v="2024-07-12T00:00:00"/>
    <x v="0"/>
    <n v="106.86"/>
    <n v="0.2"/>
    <n v="123.928"/>
    <x v="1"/>
    <s v="Sí"/>
    <d v="2025-07-07T00:00:00"/>
    <n v="12"/>
  </r>
  <r>
    <s v="DEP-A0-3804"/>
    <x v="0"/>
    <n v="65"/>
    <x v="1"/>
    <s v="Blusa"/>
    <s v="Blanco"/>
    <s v="Levis"/>
    <s v="MER-A0-3804"/>
    <d v="2024-12-02T00:00:00"/>
    <x v="0"/>
    <n v="87.47"/>
    <n v="0"/>
    <n v="102.25800000000001"/>
    <x v="1"/>
    <s v="Sí"/>
    <d v="2025-08-29T00:00:00"/>
    <n v="9"/>
  </r>
  <r>
    <s v="DEP-A0-3043"/>
    <x v="0"/>
    <n v="41"/>
    <x v="1"/>
    <s v="Falda"/>
    <s v="Azul"/>
    <s v="Puma"/>
    <s v="MER-A0-3043"/>
    <d v="2024-02-18T00:00:00"/>
    <x v="0"/>
    <n v="125.3"/>
    <n v="0.3"/>
    <n v="24.080000000000002"/>
    <x v="1"/>
    <s v="Sí"/>
    <d v="2024-05-18T00:00:00"/>
    <n v="3"/>
  </r>
  <r>
    <s v="DEP-A0-1995"/>
    <x v="0"/>
    <n v="51"/>
    <x v="1"/>
    <s v="Zapatos"/>
    <s v="Gris"/>
    <s v="Adidas"/>
    <s v="MER-A0-1995"/>
    <d v="2024-02-13T00:00:00"/>
    <x v="0"/>
    <n v="98.18"/>
    <n v="0.1"/>
    <n v="53.712000000000003"/>
    <x v="1"/>
    <s v="Sí"/>
    <d v="2024-12-11T00:00:00"/>
    <n v="9"/>
  </r>
  <r>
    <s v="DEP-A0-2891"/>
    <x v="0"/>
    <n v="46"/>
    <x v="1"/>
    <s v="Vestido"/>
    <s v="Negro"/>
    <s v="Mango"/>
    <s v="MER-A0-2891"/>
    <d v="2024-05-09T00:00:00"/>
    <x v="0"/>
    <n v="126.71"/>
    <n v="0.3"/>
    <n v="16.391999999999999"/>
    <x v="1"/>
    <s v="Sí"/>
    <d v="2024-08-07T00:00:00"/>
    <n v="3"/>
  </r>
  <r>
    <s v="DEP-A0-3242"/>
    <x v="0"/>
    <n v="39"/>
    <x v="1"/>
    <s v="Blusa"/>
    <s v="Amarillo"/>
    <s v="Adidas"/>
    <s v="MER-A0-3242"/>
    <d v="2024-03-10T00:00:00"/>
    <x v="0"/>
    <n v="98.57"/>
    <n v="0.1"/>
    <n v="78.463999999999999"/>
    <x v="1"/>
    <s v="Sí"/>
    <d v="2024-12-05T00:00:00"/>
    <n v="9"/>
  </r>
  <r>
    <s v="DEP-A0-2146"/>
    <x v="0"/>
    <n v="54"/>
    <x v="1"/>
    <s v="Vestido"/>
    <s v="Rojo"/>
    <s v="Zara"/>
    <s v="MER-A0-2146"/>
    <d v="2024-07-07T00:00:00"/>
    <x v="0"/>
    <n v="128.6"/>
    <n v="0.3"/>
    <n v="26.760999999999996"/>
    <x v="1"/>
    <s v="Sí"/>
    <d v="2025-01-03T00:00:00"/>
    <n v="6"/>
  </r>
  <r>
    <s v="DEP-A0-4609"/>
    <x v="1"/>
    <n v="55"/>
    <x v="1"/>
    <s v="Chaqueta"/>
    <s v="Verde"/>
    <s v="Zara"/>
    <s v="MER-A0-4609"/>
    <d v="2024-09-06T00:00:00"/>
    <x v="0"/>
    <n v="128.68"/>
    <n v="0.3"/>
    <n v="37.728000000000002"/>
    <x v="1"/>
    <s v="Sí"/>
    <d v="2025-09-01T00:00:00"/>
    <n v="12"/>
  </r>
  <r>
    <s v="DEP-A0-1458"/>
    <x v="0"/>
    <n v="55"/>
    <x v="1"/>
    <s v="Vestido"/>
    <s v="Verde"/>
    <s v="Nike"/>
    <s v="MER-A0-1458"/>
    <d v="2024-07-24T00:00:00"/>
    <x v="0"/>
    <n v="129.30000000000001"/>
    <n v="0.3"/>
    <n v="131.292"/>
    <x v="1"/>
    <s v="Sí"/>
    <d v="2025-04-20T00:00:00"/>
    <n v="9"/>
  </r>
  <r>
    <s v="DEP-A0-1966"/>
    <x v="0"/>
    <n v="62"/>
    <x v="1"/>
    <s v="Pantalón"/>
    <s v="Amarillo"/>
    <s v="Puma"/>
    <s v="MER-A0-1966"/>
    <d v="2024-06-18T00:00:00"/>
    <x v="0"/>
    <n v="129.49"/>
    <n v="0.3"/>
    <n v="145.827"/>
    <x v="1"/>
    <s v="Sí"/>
    <d v="2024-12-15T00:00:00"/>
    <n v="6"/>
  </r>
  <r>
    <s v="DEP-A0-2616"/>
    <x v="0"/>
    <n v="51"/>
    <x v="1"/>
    <s v="Blusa"/>
    <s v="Negro"/>
    <s v="Tommy"/>
    <s v="MER-A0-2616"/>
    <d v="2024-03-30T00:00:00"/>
    <x v="0"/>
    <n v="101.36"/>
    <n v="0.1"/>
    <n v="35.448"/>
    <x v="1"/>
    <s v="Sí"/>
    <d v="2024-06-28T00:00:00"/>
    <n v="3"/>
  </r>
  <r>
    <s v="DEP-A0-4158"/>
    <x v="1"/>
    <n v="37"/>
    <x v="1"/>
    <s v="Camisa"/>
    <s v="Blanco"/>
    <s v="Tommy"/>
    <s v="MER-A0-4158"/>
    <d v="2024-02-14T00:00:00"/>
    <x v="0"/>
    <n v="114.31"/>
    <n v="0.2"/>
    <n v="66.38"/>
    <x v="1"/>
    <s v="Sí"/>
    <d v="2024-11-10T00:00:00"/>
    <n v="9"/>
  </r>
  <r>
    <s v="DEP-A0-4088"/>
    <x v="0"/>
    <n v="65"/>
    <x v="1"/>
    <s v="Pantalón"/>
    <s v="Negro"/>
    <s v="Nike"/>
    <s v="MER-A0-4088"/>
    <d v="2024-09-03T00:00:00"/>
    <x v="0"/>
    <n v="114.8"/>
    <n v="0.2"/>
    <n v="58.855999999999995"/>
    <x v="1"/>
    <s v="Sí"/>
    <d v="2025-08-29T00:00:00"/>
    <n v="12"/>
  </r>
  <r>
    <s v="DEP-A0-4245"/>
    <x v="0"/>
    <n v="37"/>
    <x v="1"/>
    <s v="Pantalón"/>
    <s v="Azul"/>
    <s v="Zara"/>
    <s v="MER-A0-4245"/>
    <d v="2024-02-13T00:00:00"/>
    <x v="0"/>
    <n v="116.39"/>
    <n v="0.2"/>
    <n v="85.19"/>
    <x v="1"/>
    <s v="Sí"/>
    <d v="2024-06-22T00:00:00"/>
    <n v="3"/>
  </r>
  <r>
    <s v="DEP-A0-0163"/>
    <x v="1"/>
    <n v="55"/>
    <x v="1"/>
    <s v="Camisa"/>
    <s v="Amarillo"/>
    <s v="Puma"/>
    <s v="MER-A0-0163"/>
    <d v="2024-08-09T00:00:00"/>
    <x v="0"/>
    <n v="93.47"/>
    <n v="0"/>
    <n v="94.647000000000006"/>
    <x v="1"/>
    <s v="Sí"/>
    <d v="2025-02-05T00:00:00"/>
    <n v="6"/>
  </r>
  <r>
    <s v="DEP-A0-1324"/>
    <x v="1"/>
    <n v="59"/>
    <x v="1"/>
    <s v="Camisa"/>
    <s v="Gris"/>
    <s v="Nike"/>
    <s v="MER-A0-1324"/>
    <d v="2024-03-26T00:00:00"/>
    <x v="0"/>
    <n v="116.9"/>
    <n v="0.2"/>
    <n v="148.46"/>
    <x v="1"/>
    <s v="Sí"/>
    <d v="2025-03-21T00:00:00"/>
    <n v="12"/>
  </r>
  <r>
    <s v="DEP-A0-2805"/>
    <x v="1"/>
    <n v="55"/>
    <x v="1"/>
    <s v="Chaqueta"/>
    <s v="Blanco"/>
    <s v="Mango"/>
    <s v="MER-A0-2805"/>
    <d v="2024-08-02T00:00:00"/>
    <x v="0"/>
    <n v="93.9"/>
    <n v="0"/>
    <n v="112.64399999999999"/>
    <x v="1"/>
    <s v="Sí"/>
    <d v="2025-04-29T00:00:00"/>
    <n v="9"/>
  </r>
  <r>
    <s v="DEP-A0-2731"/>
    <x v="0"/>
    <n v="56"/>
    <x v="1"/>
    <s v="Vestido"/>
    <s v="Rojo"/>
    <s v="Levis"/>
    <s v="MER-A0-2731"/>
    <d v="2024-12-23T00:00:00"/>
    <x v="0"/>
    <n v="117.73"/>
    <n v="0.2"/>
    <n v="150.309"/>
    <x v="1"/>
    <s v="Sí"/>
    <d v="2024-04-06T00:00:00"/>
    <n v="3"/>
  </r>
  <r>
    <s v="DEP-A0-1748"/>
    <x v="0"/>
    <n v="51"/>
    <x v="1"/>
    <s v="Falda"/>
    <s v="Azul"/>
    <s v="Zara"/>
    <s v="MER-A0-1748"/>
    <d v="2024-12-10T00:00:00"/>
    <x v="0"/>
    <n v="134.82"/>
    <n v="0.3"/>
    <n v="128.84899999999999"/>
    <x v="1"/>
    <s v="Sí"/>
    <d v="2025-03-06T00:00:00"/>
    <n v="9"/>
  </r>
  <r>
    <s v="DEP-A0-0525"/>
    <x v="0"/>
    <n v="57"/>
    <x v="1"/>
    <s v="Blusa"/>
    <s v="Verde"/>
    <s v="Mango"/>
    <s v="MER-A0-0525"/>
    <d v="2024-10-02T00:00:00"/>
    <x v="0"/>
    <n v="136.4"/>
    <n v="0.3"/>
    <n v="42.65"/>
    <x v="1"/>
    <s v="Sí"/>
    <d v="2025-03-31T00:00:00"/>
    <n v="6"/>
  </r>
  <r>
    <s v="DEP-A0-3930"/>
    <x v="1"/>
    <n v="36"/>
    <x v="1"/>
    <s v="Pantalón"/>
    <s v="Verde"/>
    <s v="Levis"/>
    <s v="MER-A0-3930"/>
    <d v="2024-02-07T00:00:00"/>
    <x v="0"/>
    <n v="121.44"/>
    <n v="0.2"/>
    <n v="67.03"/>
    <x v="1"/>
    <s v="Sí"/>
    <d v="2025-02-01T00:00:00"/>
    <n v="12"/>
  </r>
  <r>
    <s v="DEP-A0-4602"/>
    <x v="0"/>
    <n v="43"/>
    <x v="1"/>
    <s v="Blusa"/>
    <s v="Gris"/>
    <s v="Nike"/>
    <s v="MER-A0-4602"/>
    <d v="2024-10-18T00:00:00"/>
    <x v="0"/>
    <n v="108.25"/>
    <n v="0.1"/>
    <n v="72.58"/>
    <x v="1"/>
    <s v="Sí"/>
    <d v="2025-07-15T00:00:00"/>
    <n v="9"/>
  </r>
  <r>
    <s v="DEP-A0-2564"/>
    <x v="0"/>
    <n v="50"/>
    <x v="1"/>
    <s v="Blusa"/>
    <s v="Gris"/>
    <s v="Adidas"/>
    <s v="MER-A0-2564"/>
    <d v="2024-12-23T00:00:00"/>
    <x v="0"/>
    <n v="139.62"/>
    <n v="0.3"/>
    <n v="91.31"/>
    <x v="1"/>
    <s v="Sí"/>
    <d v="2024-06-30T00:00:00"/>
    <n v="6"/>
  </r>
  <r>
    <s v="DEP-A0-3261"/>
    <x v="0"/>
    <n v="64"/>
    <x v="1"/>
    <s v="Blusa"/>
    <s v="Blanco"/>
    <s v="Tommy"/>
    <s v="MER-A0-3261"/>
    <d v="2024-06-05T00:00:00"/>
    <x v="0"/>
    <n v="140.37"/>
    <n v="0.3"/>
    <n v="77.924000000000007"/>
    <x v="1"/>
    <s v="Sí"/>
    <d v="2024-09-03T00:00:00"/>
    <n v="3"/>
  </r>
  <r>
    <s v="DEP-A0-0618"/>
    <x v="0"/>
    <n v="51"/>
    <x v="1"/>
    <s v="Pantalón"/>
    <s v="Azul"/>
    <s v="Zara"/>
    <s v="MER-A0-0618"/>
    <d v="2024-02-28T00:00:00"/>
    <x v="0"/>
    <n v="99.03"/>
    <n v="0"/>
    <n v="107.80799999999999"/>
    <x v="1"/>
    <s v="Sí"/>
    <d v="2025-02-22T00:00:00"/>
    <n v="12"/>
  </r>
  <r>
    <s v="DEP-A0-3908"/>
    <x v="0"/>
    <n v="44"/>
    <x v="1"/>
    <s v="Blusa"/>
    <s v="Azul"/>
    <s v="Zara"/>
    <s v="MER-A0-3908"/>
    <d v="2024-05-24T00:00:00"/>
    <x v="0"/>
    <n v="142.01"/>
    <n v="0.3"/>
    <n v="113.16800000000001"/>
    <x v="1"/>
    <s v="Sí"/>
    <d v="2025-05-19T00:00:00"/>
    <n v="12"/>
  </r>
  <r>
    <s v="DEP-A0-4480"/>
    <x v="0"/>
    <n v="38"/>
    <x v="1"/>
    <s v="Zapatos"/>
    <s v="Rojo"/>
    <s v="Levis"/>
    <s v="MER-A0-4480"/>
    <d v="2024-10-10T00:00:00"/>
    <x v="0"/>
    <n v="99.82"/>
    <n v="0"/>
    <n v="153.76"/>
    <x v="1"/>
    <s v="Sí"/>
    <d v="2025-04-08T00:00:00"/>
    <n v="6"/>
  </r>
  <r>
    <s v="DEP-A0-2474"/>
    <x v="0"/>
    <n v="37"/>
    <x v="1"/>
    <s v="Camisa"/>
    <s v="Negro"/>
    <s v="Nike"/>
    <s v="MER-A0-2474"/>
    <d v="2024-12-27T00:00:00"/>
    <x v="0"/>
    <n v="100.09"/>
    <n v="0"/>
    <n v="149.72400000000002"/>
    <x v="1"/>
    <s v="Sí"/>
    <d v="2025-12-22T00:00:00"/>
    <n v="12"/>
  </r>
  <r>
    <s v="DEP-A0-1800"/>
    <x v="0"/>
    <n v="65"/>
    <x v="1"/>
    <s v="Pantalón"/>
    <s v="Verde"/>
    <s v="Puma"/>
    <s v="MER-A0-1800"/>
    <d v="2024-12-09T00:00:00"/>
    <x v="0"/>
    <n v="100.12"/>
    <n v="0"/>
    <n v="166.96"/>
    <x v="1"/>
    <s v="Sí"/>
    <d v="2025-03-11T00:00:00"/>
    <n v="9"/>
  </r>
  <r>
    <s v="DEP-A0-0964"/>
    <x v="0"/>
    <n v="44"/>
    <x v="1"/>
    <s v="Vestido"/>
    <s v="Verde"/>
    <s v="Nike"/>
    <s v="MER-A0-0964"/>
    <d v="2024-04-28T00:00:00"/>
    <x v="0"/>
    <n v="125.18"/>
    <n v="0.2"/>
    <n v="134.328"/>
    <x v="1"/>
    <s v="Sí"/>
    <d v="2025-01-23T00:00:00"/>
    <n v="9"/>
  </r>
  <r>
    <s v="DEP-A0-4374"/>
    <x v="0"/>
    <n v="51"/>
    <x v="1"/>
    <s v="Chaqueta"/>
    <s v="Blanco"/>
    <s v="Zara"/>
    <s v="MER-A0-4374"/>
    <d v="2024-11-25T00:00:00"/>
    <x v="0"/>
    <n v="100.44"/>
    <n v="0"/>
    <n v="163.548"/>
    <x v="1"/>
    <s v="Sí"/>
    <d v="2025-08-22T00:00:00"/>
    <n v="9"/>
  </r>
  <r>
    <s v="DEP-A0-3117"/>
    <x v="0"/>
    <n v="58"/>
    <x v="1"/>
    <s v="Falda"/>
    <s v="Blanco"/>
    <s v="Puma"/>
    <s v="MER-A0-3117"/>
    <d v="2024-02-17T00:00:00"/>
    <x v="0"/>
    <n v="101.09"/>
    <n v="0"/>
    <n v="10.76"/>
    <x v="1"/>
    <s v="Sí"/>
    <d v="2024-08-15T00:00:00"/>
    <n v="6"/>
  </r>
  <r>
    <s v="DEP-A0-1867"/>
    <x v="0"/>
    <n v="48"/>
    <x v="1"/>
    <s v="Zapatos"/>
    <s v="Rojo"/>
    <s v="Levis"/>
    <s v="MER-A0-1867"/>
    <d v="2024-01-20T00:00:00"/>
    <x v="0"/>
    <n v="145.09"/>
    <n v="0.3"/>
    <n v="57.978000000000002"/>
    <x v="1"/>
    <s v="Sí"/>
    <d v="2024-10-16T00:00:00"/>
    <n v="9"/>
  </r>
  <r>
    <s v="DEP-A0-3340"/>
    <x v="0"/>
    <n v="57"/>
    <x v="1"/>
    <s v="Falda"/>
    <s v="Verde"/>
    <s v="Zara"/>
    <s v="MER-A0-3340"/>
    <d v="2024-12-23T00:00:00"/>
    <x v="0"/>
    <n v="113.12"/>
    <n v="0.1"/>
    <n v="68.83"/>
    <x v="1"/>
    <s v="Sí"/>
    <d v="2024-10-10T00:00:00"/>
    <n v="9"/>
  </r>
  <r>
    <s v="DEP-A0-0027"/>
    <x v="0"/>
    <n v="61"/>
    <x v="1"/>
    <s v="Chaqueta"/>
    <s v="Rojo"/>
    <s v="Adidas"/>
    <s v="MER-A0-0027"/>
    <d v="2024-12-09T00:00:00"/>
    <x v="0"/>
    <n v="113.86"/>
    <n v="0.1"/>
    <n v="67.2"/>
    <x v="1"/>
    <s v="Sí"/>
    <d v="2025-06-09T00:00:00"/>
    <n v="12"/>
  </r>
  <r>
    <s v="DEP-A0-4349"/>
    <x v="0"/>
    <n v="39"/>
    <x v="1"/>
    <s v="Vestido"/>
    <s v="Amarillo"/>
    <s v="Mango"/>
    <s v="MER-A0-4349"/>
    <d v="2024-10-08T00:00:00"/>
    <x v="0"/>
    <n v="102.6"/>
    <n v="0"/>
    <n v="116.01"/>
    <x v="1"/>
    <s v="Sí"/>
    <d v="2025-10-03T00:00:00"/>
    <n v="12"/>
  </r>
  <r>
    <s v="DEP-A0-4717"/>
    <x v="0"/>
    <n v="44"/>
    <x v="1"/>
    <s v="Blusa"/>
    <s v="Verde"/>
    <s v="Tommy"/>
    <s v="MER-A0-4717"/>
    <d v="2024-09-06T00:00:00"/>
    <x v="0"/>
    <n v="114.19"/>
    <n v="0.1"/>
    <n v="108.73599999999999"/>
    <x v="1"/>
    <s v="Sí"/>
    <d v="2025-09-01T00:00:00"/>
    <n v="12"/>
  </r>
  <r>
    <s v="DEP-A0-4263"/>
    <x v="0"/>
    <n v="39"/>
    <x v="1"/>
    <s v="Blusa"/>
    <s v="Verde"/>
    <s v="Adidas"/>
    <s v="MER-A0-4263"/>
    <d v="2024-08-15T00:00:00"/>
    <x v="0"/>
    <n v="115.43"/>
    <n v="0.1"/>
    <n v="104.559"/>
    <x v="1"/>
    <s v="Sí"/>
    <d v="2024-11-13T00:00:00"/>
    <n v="3"/>
  </r>
  <r>
    <s v="DEP-A0-1241"/>
    <x v="0"/>
    <n v="55"/>
    <x v="1"/>
    <s v="Chaqueta"/>
    <s v="Verde"/>
    <s v="Levis"/>
    <s v="MER-A0-1241"/>
    <d v="2024-08-23T00:00:00"/>
    <x v="0"/>
    <n v="104.07"/>
    <n v="0"/>
    <n v="162.43"/>
    <x v="1"/>
    <s v="Sí"/>
    <d v="2025-02-19T00:00:00"/>
    <n v="6"/>
  </r>
  <r>
    <s v="DEP-A0-2028"/>
    <x v="0"/>
    <n v="44"/>
    <x v="1"/>
    <s v="Zapatos"/>
    <s v="Verde"/>
    <s v="Mango"/>
    <s v="MER-A0-2028"/>
    <d v="2024-05-18T00:00:00"/>
    <x v="0"/>
    <n v="131.66999999999999"/>
    <n v="0.2"/>
    <n v="143.04000000000002"/>
    <x v="1"/>
    <s v="Sí"/>
    <d v="2024-08-16T00:00:00"/>
    <n v="3"/>
  </r>
  <r>
    <s v="DEP-A0-4612"/>
    <x v="0"/>
    <n v="40"/>
    <x v="1"/>
    <s v="Vestido"/>
    <s v="Verde"/>
    <s v="Mango"/>
    <s v="MER-A0-4612"/>
    <d v="2024-11-28T00:00:00"/>
    <x v="0"/>
    <n v="151.19"/>
    <n v="0.3"/>
    <n v="195.27"/>
    <x v="1"/>
    <s v="Sí"/>
    <d v="2025-07-22T00:00:00"/>
    <n v="12"/>
  </r>
  <r>
    <s v="DEP-A0-1632"/>
    <x v="0"/>
    <n v="45"/>
    <x v="1"/>
    <s v="Chaqueta"/>
    <s v="Amarillo"/>
    <s v="Zara"/>
    <s v="MER-A0-1632"/>
    <d v="2024-12-27T00:00:00"/>
    <x v="0"/>
    <n v="152.12"/>
    <n v="0.3"/>
    <n v="18.710999999999999"/>
    <x v="1"/>
    <s v="Sí"/>
    <d v="2025-12-22T00:00:00"/>
    <n v="12"/>
  </r>
  <r>
    <s v="DEP-A0-1900"/>
    <x v="1"/>
    <n v="61"/>
    <x v="1"/>
    <s v="Chaqueta"/>
    <s v="Gris"/>
    <s v="Levis"/>
    <s v="MER-A0-1900"/>
    <d v="2024-07-24T00:00:00"/>
    <x v="0"/>
    <n v="135.43"/>
    <n v="0.2"/>
    <n v="69.075000000000003"/>
    <x v="1"/>
    <s v="Sí"/>
    <d v="2024-10-22T00:00:00"/>
    <n v="3"/>
  </r>
  <r>
    <s v="DEP-A0-4077"/>
    <x v="1"/>
    <n v="58"/>
    <x v="1"/>
    <s v="Chaqueta"/>
    <s v="Verde"/>
    <s v="Adidas"/>
    <s v="MER-A0-4077"/>
    <d v="2024-12-23T00:00:00"/>
    <x v="0"/>
    <n v="135.63999999999999"/>
    <n v="0.2"/>
    <n v="69.984000000000009"/>
    <x v="1"/>
    <s v="Sí"/>
    <d v="2024-10-02T00:00:00"/>
    <n v="9"/>
  </r>
  <r>
    <s v="DEP-A0-3864"/>
    <x v="0"/>
    <n v="45"/>
    <x v="1"/>
    <s v="Falda"/>
    <s v="Negro"/>
    <s v="Nike"/>
    <s v="MER-A0-3864"/>
    <d v="2024-05-24T00:00:00"/>
    <x v="0"/>
    <n v="156.29"/>
    <n v="0.3"/>
    <n v="85.74"/>
    <x v="1"/>
    <s v="Sí"/>
    <d v="2024-11-20T00:00:00"/>
    <n v="6"/>
  </r>
  <r>
    <s v="DEP-A0-2350"/>
    <x v="0"/>
    <n v="42"/>
    <x v="1"/>
    <s v="Blusa"/>
    <s v="Azul"/>
    <s v="Nike"/>
    <s v="MER-A0-2350"/>
    <d v="2024-03-27T00:00:00"/>
    <x v="0"/>
    <n v="109.61"/>
    <n v="0"/>
    <n v="60.459000000000003"/>
    <x v="1"/>
    <s v="Sí"/>
    <d v="2024-09-23T00:00:00"/>
    <n v="6"/>
  </r>
  <r>
    <s v="DEP-A0-1194"/>
    <x v="0"/>
    <n v="63"/>
    <x v="1"/>
    <s v="Zapatos"/>
    <s v="Azul"/>
    <s v="Adidas"/>
    <s v="MER-A0-1194"/>
    <d v="2024-10-02T00:00:00"/>
    <x v="0"/>
    <n v="141.79"/>
    <n v="0.2"/>
    <n v="17.25"/>
    <x v="1"/>
    <s v="Sí"/>
    <d v="2024-12-31T00:00:00"/>
    <n v="3"/>
  </r>
  <r>
    <s v="DEP-A0-0770"/>
    <x v="0"/>
    <n v="62"/>
    <x v="1"/>
    <s v="Chaqueta"/>
    <s v="Gris"/>
    <s v="Puma"/>
    <s v="MER-A0-0770"/>
    <d v="2024-07-31T00:00:00"/>
    <x v="0"/>
    <n v="164.12"/>
    <n v="0.3"/>
    <n v="56.681999999999995"/>
    <x v="1"/>
    <s v="Sí"/>
    <d v="2025-07-26T00:00:00"/>
    <n v="12"/>
  </r>
  <r>
    <s v="DEP-A0-4225"/>
    <x v="0"/>
    <n v="46"/>
    <x v="1"/>
    <s v="Chaqueta"/>
    <s v="Azul"/>
    <s v="Mango"/>
    <s v="MER-A0-4225"/>
    <d v="2024-08-01T00:00:00"/>
    <x v="0"/>
    <n v="144.11000000000001"/>
    <n v="0.2"/>
    <n v="70.532000000000011"/>
    <x v="1"/>
    <s v="Sí"/>
    <d v="2024-10-30T00:00:00"/>
    <n v="3"/>
  </r>
  <r>
    <s v="DEP-A0-2568"/>
    <x v="0"/>
    <n v="54"/>
    <x v="1"/>
    <s v="Vestido"/>
    <s v="Rojo"/>
    <s v="Levis"/>
    <s v="MER-A0-2568"/>
    <d v="2024-02-20T00:00:00"/>
    <x v="0"/>
    <n v="115.67"/>
    <n v="0"/>
    <n v="127.52000000000001"/>
    <x v="1"/>
    <s v="Sí"/>
    <d v="2025-02-14T00:00:00"/>
    <n v="12"/>
  </r>
  <r>
    <s v="DEP-A0-3465"/>
    <x v="0"/>
    <n v="65"/>
    <x v="1"/>
    <s v="Pantalón"/>
    <s v="Amarillo"/>
    <s v="Tommy"/>
    <s v="MER-A0-3465"/>
    <d v="2024-11-26T00:00:00"/>
    <x v="0"/>
    <n v="145.80000000000001"/>
    <n v="0.2"/>
    <n v="161.21"/>
    <x v="1"/>
    <s v="Sí"/>
    <d v="2025-02-24T00:00:00"/>
    <n v="3"/>
  </r>
  <r>
    <s v="DEP-A0-4801"/>
    <x v="0"/>
    <n v="56"/>
    <x v="1"/>
    <s v="Blusa"/>
    <s v="Gris"/>
    <s v="Nike"/>
    <s v="MER-A0-4801"/>
    <d v="2024-03-27T00:00:00"/>
    <x v="0"/>
    <n v="129.93"/>
    <n v="0.1"/>
    <n v="140.00799999999998"/>
    <x v="1"/>
    <s v="Sí"/>
    <d v="2024-06-25T00:00:00"/>
    <n v="3"/>
  </r>
  <r>
    <s v="DEP-A0-3019"/>
    <x v="0"/>
    <n v="43"/>
    <x v="1"/>
    <s v="Pantalón"/>
    <s v="Rojo"/>
    <s v="Mango"/>
    <s v="MER-A0-3019"/>
    <d v="2024-02-19T00:00:00"/>
    <x v="0"/>
    <n v="117.38"/>
    <n v="0"/>
    <n v="9.6209999999999987"/>
    <x v="1"/>
    <s v="Sí"/>
    <d v="2024-05-19T00:00:00"/>
    <n v="3"/>
  </r>
  <r>
    <s v="DEP-A0-3070"/>
    <x v="1"/>
    <n v="49"/>
    <x v="1"/>
    <s v="Chaqueta"/>
    <s v="Gris"/>
    <s v="Zara"/>
    <s v="MER-A0-3070"/>
    <d v="2024-05-21T00:00:00"/>
    <x v="0"/>
    <n v="148"/>
    <n v="0.2"/>
    <n v="14.6"/>
    <x v="1"/>
    <s v="Sí"/>
    <d v="2024-08-19T00:00:00"/>
    <n v="3"/>
  </r>
  <r>
    <s v="DEP-A0-3511"/>
    <x v="1"/>
    <n v="47"/>
    <x v="1"/>
    <s v="Chaqueta"/>
    <s v="Gris"/>
    <s v="Puma"/>
    <s v="MER-A0-3511"/>
    <d v="2024-02-02T00:00:00"/>
    <x v="0"/>
    <n v="118.62"/>
    <n v="0"/>
    <n v="15.120000000000001"/>
    <x v="1"/>
    <s v="Sí"/>
    <d v="2024-05-02T00:00:00"/>
    <n v="3"/>
  </r>
  <r>
    <s v="DEP-A0-0671"/>
    <x v="0"/>
    <n v="52"/>
    <x v="1"/>
    <s v="Camisa"/>
    <s v="Amarillo"/>
    <s v="Puma"/>
    <s v="MER-A0-0671"/>
    <d v="2024-03-20T00:00:00"/>
    <x v="0"/>
    <n v="118.91"/>
    <n v="0"/>
    <n v="15.984000000000002"/>
    <x v="1"/>
    <s v="Sí"/>
    <d v="2025-03-15T00:00:00"/>
    <n v="12"/>
  </r>
  <r>
    <s v="DEP-A0-1684"/>
    <x v="0"/>
    <n v="59"/>
    <x v="1"/>
    <s v="Zapatos"/>
    <s v="Verde"/>
    <s v="Puma"/>
    <s v="MER-A0-1684"/>
    <d v="2024-05-08T00:00:00"/>
    <x v="0"/>
    <n v="133.32"/>
    <n v="0.1"/>
    <n v="19.7"/>
    <x v="1"/>
    <s v="Sí"/>
    <d v="2024-08-06T00:00:00"/>
    <n v="3"/>
  </r>
  <r>
    <s v="DEP-A0-3730"/>
    <x v="1"/>
    <n v="56"/>
    <x v="1"/>
    <s v="Camisa"/>
    <s v="Amarillo"/>
    <s v="Zara"/>
    <s v="MER-A0-3730"/>
    <d v="2024-11-03T00:00:00"/>
    <x v="0"/>
    <n v="150.31"/>
    <n v="0.2"/>
    <n v="20.853000000000002"/>
    <x v="1"/>
    <s v="Sí"/>
    <d v="2025-07-31T00:00:00"/>
    <n v="9"/>
  </r>
  <r>
    <s v="DEP-A0-0462"/>
    <x v="0"/>
    <n v="56"/>
    <x v="1"/>
    <s v="Vestido"/>
    <s v="Gris"/>
    <s v="Adidas"/>
    <s v="MER-A0-0462"/>
    <d v="2024-11-24T00:00:00"/>
    <x v="0"/>
    <n v="134.08000000000001"/>
    <n v="0.1"/>
    <n v="21.472000000000001"/>
    <x v="1"/>
    <s v="Sí"/>
    <d v="2025-05-23T00:00:00"/>
    <n v="6"/>
  </r>
  <r>
    <s v="DEP-A0-1298"/>
    <x v="1"/>
    <n v="55"/>
    <x v="1"/>
    <s v="Camisa"/>
    <s v="Azul"/>
    <s v="Puma"/>
    <s v="MER-A0-1298"/>
    <d v="2024-03-21T00:00:00"/>
    <x v="0"/>
    <n v="136.83000000000001"/>
    <n v="0.1"/>
    <n v="28.475999999999999"/>
    <x v="1"/>
    <s v="Sí"/>
    <d v="2024-12-16T00:00:00"/>
    <n v="9"/>
  </r>
  <r>
    <s v="DEP-A0-0226"/>
    <x v="0"/>
    <n v="36"/>
    <x v="1"/>
    <s v="Falda"/>
    <s v="Azul"/>
    <s v="Zara"/>
    <s v="MER-A0-0226"/>
    <d v="2024-12-15T00:00:00"/>
    <x v="0"/>
    <n v="138.22999999999999"/>
    <n v="0.1"/>
    <n v="31.689"/>
    <x v="1"/>
    <s v="Sí"/>
    <d v="2025-09-11T00:00:00"/>
    <n v="9"/>
  </r>
  <r>
    <s v="DEP-A0-3085"/>
    <x v="0"/>
    <n v="41"/>
    <x v="1"/>
    <s v="Falda"/>
    <s v="Rojo"/>
    <s v="Puma"/>
    <s v="MER-A0-3085"/>
    <d v="2024-04-22T00:00:00"/>
    <x v="0"/>
    <n v="124.96"/>
    <n v="0"/>
    <n v="33.93"/>
    <x v="1"/>
    <s v="Sí"/>
    <d v="2024-10-19T00:00:00"/>
    <n v="6"/>
  </r>
  <r>
    <s v="DEP-A0-1556"/>
    <x v="1"/>
    <n v="41"/>
    <x v="1"/>
    <s v="Zapatos"/>
    <s v="Amarillo"/>
    <s v="Puma"/>
    <s v="MER-A0-1556"/>
    <d v="2024-04-25T00:00:00"/>
    <x v="0"/>
    <n v="139.56"/>
    <n v="0.1"/>
    <n v="37.22"/>
    <x v="1"/>
    <s v="Sí"/>
    <d v="2025-01-20T00:00:00"/>
    <n v="9"/>
  </r>
  <r>
    <s v="DEP-A0-4120"/>
    <x v="1"/>
    <n v="62"/>
    <x v="1"/>
    <s v="Pantalón"/>
    <s v="Verde"/>
    <s v="Adidas"/>
    <s v="MER-A0-4120"/>
    <d v="2024-09-12T00:00:00"/>
    <x v="0"/>
    <n v="157.43"/>
    <n v="0.2"/>
    <n v="39.326000000000001"/>
    <x v="1"/>
    <s v="Sí"/>
    <d v="2025-03-11T00:00:00"/>
    <n v="6"/>
  </r>
  <r>
    <s v="DEP-A0-0515"/>
    <x v="0"/>
    <n v="41"/>
    <x v="1"/>
    <s v="Vestido"/>
    <s v="Verde"/>
    <s v="Tommy"/>
    <s v="MER-A0-0515"/>
    <d v="2024-11-28T00:00:00"/>
    <x v="0"/>
    <n v="180.35"/>
    <n v="0.3"/>
    <n v="42.579000000000001"/>
    <x v="1"/>
    <s v="Sí"/>
    <d v="2025-04-13T00:00:00"/>
    <n v="12"/>
  </r>
  <r>
    <s v="DEP-A0-1402"/>
    <x v="1"/>
    <n v="38"/>
    <x v="1"/>
    <s v="Pantalón"/>
    <s v="Amarillo"/>
    <s v="Levis"/>
    <s v="MER-A0-1402"/>
    <d v="2024-08-08T00:00:00"/>
    <x v="0"/>
    <n v="181.88"/>
    <n v="0.3"/>
    <n v="44.492000000000004"/>
    <x v="1"/>
    <s v="Sí"/>
    <d v="2025-08-03T00:00:00"/>
    <n v="12"/>
  </r>
  <r>
    <s v="DEP-A0-0390"/>
    <x v="1"/>
    <n v="52"/>
    <x v="1"/>
    <s v="Zapatos"/>
    <s v="Amarillo"/>
    <s v="Zara"/>
    <s v="MER-A0-0390"/>
    <d v="2024-06-12T00:00:00"/>
    <x v="0"/>
    <n v="127.61"/>
    <n v="0"/>
    <n v="45.57"/>
    <x v="1"/>
    <s v="Sí"/>
    <d v="2024-09-10T00:00:00"/>
    <n v="3"/>
  </r>
  <r>
    <s v="DEP-A0-0585"/>
    <x v="0"/>
    <n v="36"/>
    <x v="1"/>
    <s v="Camisa"/>
    <s v="Negro"/>
    <s v="Tommy"/>
    <s v="MER-A0-0585"/>
    <d v="2024-01-31T00:00:00"/>
    <x v="0"/>
    <n v="127.82"/>
    <n v="0"/>
    <n v="46.767000000000003"/>
    <x v="1"/>
    <s v="Sí"/>
    <d v="2025-01-25T00:00:00"/>
    <n v="12"/>
  </r>
  <r>
    <s v="DEP-A0-2345"/>
    <x v="0"/>
    <n v="63"/>
    <x v="1"/>
    <s v="Pantalón"/>
    <s v="Amarillo"/>
    <s v="Levis"/>
    <s v="MER-A0-2345"/>
    <d v="2024-03-14T00:00:00"/>
    <x v="0"/>
    <n v="127.92"/>
    <n v="0"/>
    <n v="47.393999999999998"/>
    <x v="1"/>
    <s v="Sí"/>
    <d v="2024-06-12T00:00:00"/>
    <n v="3"/>
  </r>
  <r>
    <s v="DEP-A0-0206"/>
    <x v="0"/>
    <n v="57"/>
    <x v="1"/>
    <s v="Blusa"/>
    <s v="Gris"/>
    <s v="Mango"/>
    <s v="MER-A0-0206"/>
    <d v="2024-09-28T00:00:00"/>
    <x v="0"/>
    <n v="128.6"/>
    <n v="0"/>
    <n v="50.936"/>
    <x v="1"/>
    <s v="Sí"/>
    <d v="2025-06-25T00:00:00"/>
    <n v="9"/>
  </r>
  <r>
    <s v="DEP-A0-4112"/>
    <x v="0"/>
    <n v="62"/>
    <x v="1"/>
    <s v="Blusa"/>
    <s v="Negro"/>
    <s v="Nike"/>
    <s v="MER-A0-4112"/>
    <d v="2024-06-10T00:00:00"/>
    <x v="0"/>
    <n v="144.11000000000001"/>
    <n v="0.1"/>
    <n v="52.703999999999994"/>
    <x v="1"/>
    <s v="Sí"/>
    <d v="2025-03-07T00:00:00"/>
    <n v="9"/>
  </r>
  <r>
    <s v="DEP-A0-0960"/>
    <x v="0"/>
    <n v="47"/>
    <x v="1"/>
    <s v="Vestido"/>
    <s v="Azul"/>
    <s v="Mango"/>
    <s v="MER-A0-0960"/>
    <d v="2024-03-14T00:00:00"/>
    <x v="0"/>
    <n v="145.44999999999999"/>
    <n v="0.1"/>
    <n v="56.78"/>
    <x v="1"/>
    <s v="Sí"/>
    <d v="2024-09-10T00:00:00"/>
    <n v="6"/>
  </r>
  <r>
    <s v="DEP-A0-3520"/>
    <x v="1"/>
    <n v="45"/>
    <x v="1"/>
    <s v="Pantalón"/>
    <s v="Blanco"/>
    <s v="Levis"/>
    <s v="MER-A0-3520"/>
    <d v="2024-11-18T00:00:00"/>
    <x v="0"/>
    <n v="187.69"/>
    <n v="0.3"/>
    <n v="61.751999999999995"/>
    <x v="1"/>
    <s v="Sí"/>
    <d v="2025-02-16T00:00:00"/>
    <n v="3"/>
  </r>
  <r>
    <s v="DEP-A0-1282"/>
    <x v="0"/>
    <n v="42"/>
    <x v="1"/>
    <s v="Blusa"/>
    <s v="Rojo"/>
    <s v="Puma"/>
    <s v="MER-A0-1282"/>
    <d v="2024-02-13T00:00:00"/>
    <x v="0"/>
    <n v="146.01"/>
    <n v="0.1"/>
    <n v="61.94"/>
    <x v="1"/>
    <s v="Sí"/>
    <d v="2025-03-15T00:00:00"/>
    <n v="12"/>
  </r>
  <r>
    <s v="DEP-A0-0424"/>
    <x v="0"/>
    <n v="47"/>
    <x v="1"/>
    <s v="Blusa"/>
    <s v="Amarillo"/>
    <s v="Adidas"/>
    <s v="MER-A0-0424"/>
    <d v="2024-11-21T00:00:00"/>
    <x v="0"/>
    <n v="164.51"/>
    <n v="0.2"/>
    <n v="63.39"/>
    <x v="1"/>
    <s v="Sí"/>
    <d v="2025-05-20T00:00:00"/>
    <n v="6"/>
  </r>
  <r>
    <s v="DEP-A0-1854"/>
    <x v="0"/>
    <n v="52"/>
    <x v="1"/>
    <s v="Vestido"/>
    <s v="Rojo"/>
    <s v="Adidas"/>
    <s v="MER-A0-1854"/>
    <d v="2024-08-22T00:00:00"/>
    <x v="0"/>
    <n v="188.66"/>
    <n v="0.3"/>
    <n v="64.239000000000004"/>
    <x v="1"/>
    <s v="Sí"/>
    <d v="2025-02-18T00:00:00"/>
    <n v="6"/>
  </r>
  <r>
    <s v="DEP-A0-2007"/>
    <x v="1"/>
    <n v="40"/>
    <x v="1"/>
    <s v="Pantalón"/>
    <s v="Negro"/>
    <s v="Zara"/>
    <s v="MER-A0-2007"/>
    <d v="2024-10-18T00:00:00"/>
    <x v="0"/>
    <n v="165.69"/>
    <n v="0.2"/>
    <n v="64.896000000000001"/>
    <x v="1"/>
    <s v="Sí"/>
    <d v="2025-04-16T00:00:00"/>
    <n v="6"/>
  </r>
  <r>
    <s v="DEP-A0-3826"/>
    <x v="0"/>
    <n v="65"/>
    <x v="1"/>
    <s v="Vestido"/>
    <s v="Rojo"/>
    <s v="Zara"/>
    <s v="MER-A0-3826"/>
    <d v="2024-12-27T00:00:00"/>
    <x v="0"/>
    <n v="147.87"/>
    <n v="0.1"/>
    <n v="69.64"/>
    <x v="1"/>
    <s v="Sí"/>
    <d v="2025-12-22T00:00:00"/>
    <n v="12"/>
  </r>
  <r>
    <s v="DEP-A0-3935"/>
    <x v="0"/>
    <n v="55"/>
    <x v="1"/>
    <s v="Camisa"/>
    <s v="Blanco"/>
    <s v="Levis"/>
    <s v="MER-A0-3935"/>
    <d v="2024-01-28T00:00:00"/>
    <x v="0"/>
    <n v="149.19999999999999"/>
    <n v="0.1"/>
    <n v="73.352000000000004"/>
    <x v="1"/>
    <s v="Sí"/>
    <d v="2024-10-24T00:00:00"/>
    <n v="9"/>
  </r>
  <r>
    <s v="DEP-A0-1459"/>
    <x v="0"/>
    <n v="49"/>
    <x v="1"/>
    <s v="Blusa"/>
    <s v="Gris"/>
    <s v="Nike"/>
    <s v="MER-A0-1459"/>
    <d v="2024-08-18T00:00:00"/>
    <x v="0"/>
    <n v="149.9"/>
    <n v="0.1"/>
    <n v="75.00800000000001"/>
    <x v="1"/>
    <s v="Sí"/>
    <d v="2025-08-13T00:00:00"/>
    <n v="12"/>
  </r>
  <r>
    <s v="DEP-A0-3126"/>
    <x v="0"/>
    <n v="45"/>
    <x v="1"/>
    <s v="Camisa"/>
    <s v="Gris"/>
    <s v="Adidas"/>
    <s v="MER-A0-3126"/>
    <d v="2024-11-28T00:00:00"/>
    <x v="0"/>
    <n v="192.79"/>
    <n v="0.3"/>
    <n v="75.823999999999998"/>
    <x v="1"/>
    <s v="Sí"/>
    <d v="2024-10-24T00:00:00"/>
    <n v="6"/>
  </r>
  <r>
    <s v="DEP-A0-1571"/>
    <x v="1"/>
    <n v="47"/>
    <x v="1"/>
    <s v="Zapatos"/>
    <s v="Blanco"/>
    <s v="Mango"/>
    <s v="MER-A0-1571"/>
    <d v="2024-10-13T00:00:00"/>
    <x v="0"/>
    <n v="193.2"/>
    <n v="0.3"/>
    <n v="76.496000000000009"/>
    <x v="1"/>
    <s v="Sí"/>
    <d v="2025-10-08T00:00:00"/>
    <n v="12"/>
  </r>
  <r>
    <s v="DEP-A0-3549"/>
    <x v="0"/>
    <n v="37"/>
    <x v="1"/>
    <s v="Pantalón"/>
    <s v="Amarillo"/>
    <s v="Levis"/>
    <s v="MER-A0-3549"/>
    <d v="2024-07-30T00:00:00"/>
    <x v="0"/>
    <n v="193.78"/>
    <n v="0.3"/>
    <n v="77.795999999999992"/>
    <x v="1"/>
    <s v="Sí"/>
    <d v="2024-10-28T00:00:00"/>
    <n v="3"/>
  </r>
  <r>
    <s v="DEP-A0-3240"/>
    <x v="1"/>
    <n v="52"/>
    <x v="1"/>
    <s v="Chaqueta"/>
    <s v="Blanco"/>
    <s v="Adidas"/>
    <s v="MER-A0-3240"/>
    <d v="2024-11-28T00:00:00"/>
    <x v="0"/>
    <n v="196.08"/>
    <n v="0.3"/>
    <n v="83.855999999999995"/>
    <x v="1"/>
    <s v="Sí"/>
    <d v="2025-01-24T00:00:00"/>
    <n v="9"/>
  </r>
  <r>
    <s v="DEP-A0-0072"/>
    <x v="1"/>
    <n v="38"/>
    <x v="1"/>
    <s v="Zapatos"/>
    <s v="Negro"/>
    <s v="Tommy"/>
    <s v="MER-A0-0072"/>
    <d v="2024-03-06T00:00:00"/>
    <x v="0"/>
    <n v="137.56"/>
    <n v="0"/>
    <n v="84.391999999999996"/>
    <x v="1"/>
    <s v="Sí"/>
    <d v="2024-09-02T00:00:00"/>
    <n v="6"/>
  </r>
  <r>
    <s v="DEP-A0-4423"/>
    <x v="0"/>
    <n v="47"/>
    <x v="1"/>
    <s v="Zapatos"/>
    <s v="Rojo"/>
    <s v="Zara"/>
    <s v="MER-A0-4423"/>
    <d v="2024-11-22T00:00:00"/>
    <x v="0"/>
    <n v="196.61"/>
    <n v="0.3"/>
    <n v="85.231999999999999"/>
    <x v="1"/>
    <s v="Sí"/>
    <d v="2024-12-16T00:00:00"/>
    <n v="6"/>
  </r>
  <r>
    <s v="DEP-A0-2089"/>
    <x v="0"/>
    <n v="57"/>
    <x v="1"/>
    <s v="Camisa"/>
    <s v="Blanco"/>
    <s v="Zara"/>
    <s v="MER-A0-2089"/>
    <d v="2024-08-24T00:00:00"/>
    <x v="0"/>
    <n v="153.30000000000001"/>
    <n v="0.1"/>
    <n v="85.519000000000005"/>
    <x v="1"/>
    <s v="Sí"/>
    <d v="2024-11-22T00:00:00"/>
    <n v="3"/>
  </r>
  <r>
    <s v="DEP-A0-2688"/>
    <x v="1"/>
    <n v="60"/>
    <x v="1"/>
    <s v="Camisa"/>
    <s v="Negro"/>
    <s v="Tommy"/>
    <s v="MER-A0-2688"/>
    <d v="2024-02-07T00:00:00"/>
    <x v="0"/>
    <n v="197.55"/>
    <n v="0.3"/>
    <n v="85.643999999999991"/>
    <x v="1"/>
    <s v="Sí"/>
    <d v="2024-11-03T00:00:00"/>
    <n v="9"/>
  </r>
  <r>
    <s v="DEP-A0-3846"/>
    <x v="0"/>
    <n v="55"/>
    <x v="1"/>
    <s v="Camisa"/>
    <s v="Blanco"/>
    <s v="Puma"/>
    <s v="MER-A0-3846"/>
    <d v="2024-03-12T00:00:00"/>
    <x v="0"/>
    <n v="198.04"/>
    <n v="0.3"/>
    <n v="86.337999999999994"/>
    <x v="1"/>
    <s v="Sí"/>
    <d v="2024-06-10T00:00:00"/>
    <n v="3"/>
  </r>
  <r>
    <s v="DEP-A0-2802"/>
    <x v="1"/>
    <n v="53"/>
    <x v="1"/>
    <s v="Camisa"/>
    <s v="Azul"/>
    <s v="Adidas"/>
    <s v="MER-A0-2802"/>
    <d v="2024-10-12T00:00:00"/>
    <x v="0"/>
    <n v="198.57"/>
    <n v="0.3"/>
    <n v="88.49"/>
    <x v="1"/>
    <s v="Sí"/>
    <d v="2025-07-09T00:00:00"/>
    <n v="9"/>
  </r>
  <r>
    <s v="DEP-A0-2139"/>
    <x v="1"/>
    <n v="63"/>
    <x v="1"/>
    <s v="Chaqueta"/>
    <s v="Verde"/>
    <s v="Adidas"/>
    <s v="MER-A0-2139"/>
    <d v="2024-06-11T00:00:00"/>
    <x v="0"/>
    <n v="174.07"/>
    <n v="0.2"/>
    <n v="88.802999999999997"/>
    <x v="1"/>
    <s v="Sí"/>
    <d v="2025-06-06T00:00:00"/>
    <n v="12"/>
  </r>
  <r>
    <s v="DEP-A0-2654"/>
    <x v="0"/>
    <n v="46"/>
    <x v="1"/>
    <s v="Blusa"/>
    <s v="Blanco"/>
    <s v="Levis"/>
    <s v="MER-A0-2654"/>
    <d v="2024-05-05T00:00:00"/>
    <x v="0"/>
    <n v="199.09"/>
    <n v="0.3"/>
    <n v="90.774000000000001"/>
    <x v="1"/>
    <s v="Sí"/>
    <d v="2024-11-01T00:00:00"/>
    <n v="6"/>
  </r>
  <r>
    <s v="DEP-A0-1499"/>
    <x v="0"/>
    <n v="38"/>
    <x v="1"/>
    <s v="Blusa"/>
    <s v="Gris"/>
    <s v="Mango"/>
    <s v="MER-A0-1499"/>
    <d v="2024-12-05T00:00:00"/>
    <x v="0"/>
    <n v="199.13"/>
    <n v="0.3"/>
    <n v="90.93"/>
    <x v="1"/>
    <s v="Sí"/>
    <d v="2025-09-01T00:00:00"/>
    <n v="9"/>
  </r>
  <r>
    <s v="DEP-A0-4920"/>
    <x v="1"/>
    <n v="65"/>
    <x v="1"/>
    <s v="Camisa"/>
    <s v="Azul"/>
    <s v="Tommy"/>
    <s v="MER-A0-4920"/>
    <d v="2024-07-03T00:00:00"/>
    <x v="0"/>
    <n v="175.34"/>
    <n v="0.2"/>
    <n v="96.957000000000008"/>
    <x v="1"/>
    <s v="Sí"/>
    <d v="2025-03-30T00:00:00"/>
    <n v="9"/>
  </r>
  <r>
    <s v="DEP-A0-4168"/>
    <x v="0"/>
    <n v="57"/>
    <x v="1"/>
    <s v="Camisa"/>
    <s v="Rojo"/>
    <s v="Puma"/>
    <s v="MER-A0-4168"/>
    <d v="2024-08-20T00:00:00"/>
    <x v="0"/>
    <n v="155.91"/>
    <n v="0.1"/>
    <n v="97.390999999999991"/>
    <x v="1"/>
    <s v="Sí"/>
    <d v="2025-05-17T00:00:00"/>
    <n v="9"/>
  </r>
  <r>
    <s v="DEP-A0-3692"/>
    <x v="1"/>
    <n v="46"/>
    <x v="1"/>
    <s v="Pantalón"/>
    <s v="Verde"/>
    <s v="Mango"/>
    <s v="MER-A0-3692"/>
    <d v="2024-12-10T00:00:00"/>
    <x v="0"/>
    <n v="143.44"/>
    <n v="0"/>
    <n v="104.931"/>
    <x v="1"/>
    <s v="Sí"/>
    <d v="2025-05-29T00:00:00"/>
    <n v="12"/>
  </r>
  <r>
    <s v="DEP-A0-0679"/>
    <x v="0"/>
    <n v="37"/>
    <x v="1"/>
    <s v="Falda"/>
    <s v="Azul"/>
    <s v="Tommy"/>
    <s v="MER-A0-0679"/>
    <d v="2024-03-01T00:00:00"/>
    <x v="0"/>
    <n v="162.26"/>
    <n v="0.1"/>
    <n v="112.50399999999999"/>
    <x v="1"/>
    <s v="Sí"/>
    <d v="2025-02-24T00:00:00"/>
    <n v="12"/>
  </r>
  <r>
    <s v="DEP-A0-2886"/>
    <x v="1"/>
    <n v="51"/>
    <x v="1"/>
    <s v="Chaqueta"/>
    <s v="Blanco"/>
    <s v="Nike"/>
    <s v="MER-A0-2886"/>
    <d v="2024-12-23T00:00:00"/>
    <x v="0"/>
    <n v="183.54"/>
    <n v="0.2"/>
    <n v="115.465"/>
    <x v="1"/>
    <s v="Sí"/>
    <d v="2024-10-04T00:00:00"/>
    <n v="9"/>
  </r>
  <r>
    <s v="DEP-A0-0616"/>
    <x v="0"/>
    <n v="37"/>
    <x v="1"/>
    <s v="Falda"/>
    <s v="Gris"/>
    <s v="Zara"/>
    <s v="MER-A0-0616"/>
    <d v="2024-08-18T00:00:00"/>
    <x v="0"/>
    <n v="183.99"/>
    <n v="0.2"/>
    <n v="116.816"/>
    <x v="1"/>
    <s v="Sí"/>
    <d v="2024-11-16T00:00:00"/>
    <n v="3"/>
  </r>
  <r>
    <s v="DEP-A0-3641"/>
    <x v="0"/>
    <n v="61"/>
    <x v="1"/>
    <s v="Vestido"/>
    <s v="Verde"/>
    <s v="Levis"/>
    <s v="MER-A0-3641"/>
    <d v="2024-11-28T00:00:00"/>
    <x v="0"/>
    <n v="184.6"/>
    <n v="0.2"/>
    <n v="117.441"/>
    <x v="1"/>
    <s v="Sí"/>
    <d v="2025-01-24T00:00:00"/>
    <n v="9"/>
  </r>
  <r>
    <s v="DEP-A0-0904"/>
    <x v="0"/>
    <n v="62"/>
    <x v="1"/>
    <s v="Vestido"/>
    <s v="Negro"/>
    <s v="Mango"/>
    <s v="MER-A0-0904"/>
    <d v="2024-10-12T00:00:00"/>
    <x v="0"/>
    <n v="184.64"/>
    <n v="0.2"/>
    <n v="118.458"/>
    <x v="1"/>
    <s v="Sí"/>
    <d v="2025-10-07T00:00:00"/>
    <n v="12"/>
  </r>
  <r>
    <s v="DEP-A0-1026"/>
    <x v="0"/>
    <n v="47"/>
    <x v="1"/>
    <s v="Chaqueta"/>
    <s v="Gris"/>
    <s v="Levis"/>
    <s v="MER-A0-1026"/>
    <d v="2024-03-11T00:00:00"/>
    <x v="0"/>
    <n v="150.51"/>
    <n v="0"/>
    <n v="122.05200000000002"/>
    <x v="1"/>
    <s v="Sí"/>
    <d v="2024-12-06T00:00:00"/>
    <n v="9"/>
  </r>
  <r>
    <s v="DEP-A0-3033"/>
    <x v="0"/>
    <n v="48"/>
    <x v="1"/>
    <s v="Blusa"/>
    <s v="Amarillo"/>
    <s v="Nike"/>
    <s v="MER-A0-3033"/>
    <d v="2024-08-01T00:00:00"/>
    <x v="0"/>
    <n v="188.62"/>
    <n v="0.2"/>
    <n v="123.20699999999999"/>
    <x v="1"/>
    <s v="Sí"/>
    <d v="2025-07-27T00:00:00"/>
    <n v="12"/>
  </r>
  <r>
    <s v="DEP-A0-1769"/>
    <x v="0"/>
    <n v="60"/>
    <x v="1"/>
    <s v="Chaqueta"/>
    <s v="Blanco"/>
    <s v="Tommy"/>
    <s v="MER-A0-1769"/>
    <d v="2024-07-09T00:00:00"/>
    <x v="0"/>
    <n v="189.27"/>
    <n v="0.2"/>
    <n v="123.93"/>
    <x v="1"/>
    <s v="Sí"/>
    <d v="2025-01-05T00:00:00"/>
    <n v="6"/>
  </r>
  <r>
    <s v="DEP-A0-0655"/>
    <x v="1"/>
    <n v="36"/>
    <x v="1"/>
    <s v="Pantalón"/>
    <s v="Azul"/>
    <s v="Mango"/>
    <s v="MER-A0-0655"/>
    <d v="2024-10-29T00:00:00"/>
    <x v="0"/>
    <n v="151.53"/>
    <n v="0"/>
    <n v="124.565"/>
    <x v="1"/>
    <s v="Sí"/>
    <d v="2025-07-26T00:00:00"/>
    <n v="9"/>
  </r>
  <r>
    <s v="DEP-A0-1423"/>
    <x v="1"/>
    <n v="50"/>
    <x v="1"/>
    <s v="Zapatos"/>
    <s v="Verde"/>
    <s v="Zara"/>
    <s v="MER-A0-1423"/>
    <d v="2024-03-14T00:00:00"/>
    <x v="0"/>
    <n v="192.09"/>
    <n v="0.2"/>
    <n v="133.44799999999998"/>
    <x v="1"/>
    <s v="Sí"/>
    <d v="2024-12-09T00:00:00"/>
    <n v="9"/>
  </r>
  <r>
    <s v="DEP-A0-3881"/>
    <x v="1"/>
    <n v="62"/>
    <x v="1"/>
    <s v="Zapatos"/>
    <s v="Verde"/>
    <s v="Nike"/>
    <s v="MER-A0-3881"/>
    <d v="2024-12-10T00:00:00"/>
    <x v="0"/>
    <n v="153.71"/>
    <n v="0"/>
    <n v="133.839"/>
    <x v="1"/>
    <s v="Sí"/>
    <d v="2024-12-12T00:00:00"/>
    <n v="6"/>
  </r>
  <r>
    <s v="DEP-A0-2656"/>
    <x v="0"/>
    <n v="59"/>
    <x v="1"/>
    <s v="Vestido"/>
    <s v="Gris"/>
    <s v="Nike"/>
    <s v="MER-A0-2656"/>
    <d v="2024-02-21T00:00:00"/>
    <x v="0"/>
    <n v="154.33000000000001"/>
    <n v="0"/>
    <n v="136.35"/>
    <x v="1"/>
    <s v="Sí"/>
    <d v="2025-02-15T00:00:00"/>
    <n v="12"/>
  </r>
  <r>
    <s v="DEP-A0-3999"/>
    <x v="0"/>
    <n v="56"/>
    <x v="1"/>
    <s v="Camisa"/>
    <s v="Negro"/>
    <s v="Tommy"/>
    <s v="MER-A0-3999"/>
    <d v="2024-12-04T00:00:00"/>
    <x v="0"/>
    <n v="154.57"/>
    <n v="0"/>
    <n v="137.17599999999999"/>
    <x v="1"/>
    <s v="Sí"/>
    <d v="2025-03-04T00:00:00"/>
    <n v="3"/>
  </r>
  <r>
    <s v="DEP-A0-2174"/>
    <x v="0"/>
    <n v="41"/>
    <x v="1"/>
    <s v="Falda"/>
    <s v="Negro"/>
    <s v="Mango"/>
    <s v="MER-A0-2174"/>
    <d v="2024-01-27T00:00:00"/>
    <x v="0"/>
    <n v="154.72"/>
    <n v="0"/>
    <n v="138.41999999999999"/>
    <x v="1"/>
    <s v="Sí"/>
    <d v="2024-07-25T00:00:00"/>
    <n v="6"/>
  </r>
  <r>
    <s v="DEP-A0-4637"/>
    <x v="0"/>
    <n v="39"/>
    <x v="1"/>
    <s v="Falda"/>
    <s v="Rojo"/>
    <s v="Mango"/>
    <s v="MER-A0-4637"/>
    <d v="2024-01-21T00:00:00"/>
    <x v="0"/>
    <n v="194.08"/>
    <n v="0.2"/>
    <n v="139.72800000000001"/>
    <x v="1"/>
    <s v="Sí"/>
    <d v="2024-07-19T00:00:00"/>
    <n v="6"/>
  </r>
  <r>
    <s v="DEP-A0-0078"/>
    <x v="0"/>
    <n v="46"/>
    <x v="1"/>
    <s v="Vestido"/>
    <s v="Gris"/>
    <s v="Adidas"/>
    <s v="MER-A0-0078"/>
    <d v="2024-04-15T00:00:00"/>
    <x v="0"/>
    <n v="196.91"/>
    <n v="0.2"/>
    <n v="146.096"/>
    <x v="1"/>
    <s v="Sí"/>
    <d v="2025-04-10T00:00:00"/>
    <n v="12"/>
  </r>
  <r>
    <s v="DEP-A0-2927"/>
    <x v="0"/>
    <n v="54"/>
    <x v="1"/>
    <s v="Blusa"/>
    <s v="Rojo"/>
    <s v="Tommy"/>
    <s v="MER-A0-2927"/>
    <d v="2024-12-04T00:00:00"/>
    <x v="0"/>
    <n v="197.13"/>
    <n v="0.2"/>
    <n v="148.464"/>
    <x v="1"/>
    <s v="Sí"/>
    <d v="2025-06-02T00:00:00"/>
    <n v="6"/>
  </r>
  <r>
    <s v="DEP-A0-3028"/>
    <x v="0"/>
    <n v="36"/>
    <x v="1"/>
    <s v="Falda"/>
    <s v="Rojo"/>
    <s v="Tommy"/>
    <s v="MER-A0-3028"/>
    <d v="2024-04-11T00:00:00"/>
    <x v="0"/>
    <n v="177.55"/>
    <n v="0.1"/>
    <n v="152.60400000000001"/>
    <x v="1"/>
    <s v="Sí"/>
    <d v="2024-07-10T00:00:00"/>
    <n v="3"/>
  </r>
  <r>
    <s v="DEP-A0-1285"/>
    <x v="0"/>
    <n v="49"/>
    <x v="1"/>
    <s v="Pantalón"/>
    <s v="Blanco"/>
    <s v="Nike"/>
    <s v="MER-A0-1285"/>
    <d v="2024-05-11T00:00:00"/>
    <x v="0"/>
    <n v="177.56"/>
    <n v="0.1"/>
    <n v="153.01600000000002"/>
    <x v="1"/>
    <s v="Sí"/>
    <d v="2024-08-09T00:00:00"/>
    <n v="3"/>
  </r>
  <r>
    <s v="DEP-A0-4129"/>
    <x v="0"/>
    <n v="45"/>
    <x v="1"/>
    <s v="Falda"/>
    <s v="Amarillo"/>
    <s v="Adidas"/>
    <s v="MER-A0-4129"/>
    <d v="2024-12-12T00:00:00"/>
    <x v="0"/>
    <n v="161.54"/>
    <n v="0"/>
    <n v="155.97900000000001"/>
    <x v="1"/>
    <s v="Sí"/>
    <d v="2025-03-12T00:00:00"/>
    <n v="3"/>
  </r>
  <r>
    <s v="DEP-A0-0030"/>
    <x v="0"/>
    <n v="49"/>
    <x v="1"/>
    <s v="Camisa"/>
    <s v="Gris"/>
    <s v="Adidas"/>
    <s v="MER-A0-0030"/>
    <d v="2024-10-07T00:00:00"/>
    <x v="0"/>
    <n v="162.29"/>
    <n v="0"/>
    <n v="156.464"/>
    <x v="1"/>
    <s v="Sí"/>
    <d v="2025-04-05T00:00:00"/>
    <n v="6"/>
  </r>
  <r>
    <s v="DEP-A0-1180"/>
    <x v="0"/>
    <n v="63"/>
    <x v="1"/>
    <s v="Blusa"/>
    <s v="Azul"/>
    <s v="Nike"/>
    <s v="MER-A0-1180"/>
    <d v="2024-04-16T00:00:00"/>
    <x v="0"/>
    <n v="182.83"/>
    <n v="0.1"/>
    <n v="158.536"/>
    <x v="1"/>
    <s v="Sí"/>
    <d v="2024-10-13T00:00:00"/>
    <n v="6"/>
  </r>
  <r>
    <s v="DEP-A0-1894"/>
    <x v="0"/>
    <n v="40"/>
    <x v="1"/>
    <s v="Vestido"/>
    <s v="Azul"/>
    <s v="Zara"/>
    <s v="MER-A0-1894"/>
    <d v="2024-04-13T00:00:00"/>
    <x v="0"/>
    <n v="169.54"/>
    <n v="0"/>
    <n v="179.44"/>
    <x v="1"/>
    <s v="Sí"/>
    <d v="2025-04-08T00:00:00"/>
    <n v="12"/>
  </r>
  <r>
    <s v="DEP-A0-1054"/>
    <x v="0"/>
    <n v="63"/>
    <x v="1"/>
    <s v="Vestido"/>
    <s v="Verde"/>
    <s v="Zara"/>
    <s v="MER-A0-1054"/>
    <d v="2024-11-03T00:00:00"/>
    <x v="0"/>
    <n v="170.08"/>
    <n v="0"/>
    <n v="181.09"/>
    <x v="1"/>
    <s v="Sí"/>
    <d v="2025-07-31T00:00:00"/>
    <n v="9"/>
  </r>
  <r>
    <s v="DEP-A0-4093"/>
    <x v="0"/>
    <n v="45"/>
    <x v="1"/>
    <s v="Vestido"/>
    <s v="Azul"/>
    <s v="Levis"/>
    <s v="MER-A0-4093"/>
    <d v="2024-08-24T00:00:00"/>
    <x v="0"/>
    <n v="170.81"/>
    <n v="0"/>
    <n v="189.32"/>
    <x v="1"/>
    <s v="Sí"/>
    <d v="2025-05-21T00:00:00"/>
    <n v="9"/>
  </r>
  <r>
    <s v="DEP-A0-4229"/>
    <x v="0"/>
    <n v="45"/>
    <x v="1"/>
    <s v="Zapatos"/>
    <s v="Azul"/>
    <s v="Levis"/>
    <s v="MER-A0-4229"/>
    <d v="2024-07-14T00:00:00"/>
    <x v="0"/>
    <n v="171.77"/>
    <n v="0"/>
    <n v="193.44"/>
    <x v="1"/>
    <s v="Sí"/>
    <d v="2025-04-10T00:00:00"/>
    <n v="9"/>
  </r>
  <r>
    <s v="DEP-A0-2496"/>
    <x v="0"/>
    <n v="50"/>
    <x v="1"/>
    <s v="Falda"/>
    <s v="Gris"/>
    <s v="Nike"/>
    <s v="MER-A0-2496"/>
    <d v="2024-06-28T00:00:00"/>
    <x v="0"/>
    <n v="172.41"/>
    <n v="0"/>
    <n v="197.71"/>
    <x v="1"/>
    <s v="Sí"/>
    <d v="2024-12-25T00:00:00"/>
    <n v="6"/>
  </r>
  <r>
    <s v="DEP-A0-4710"/>
    <x v="0"/>
    <n v="61"/>
    <x v="1"/>
    <s v="Blusa"/>
    <s v="Amarillo"/>
    <s v="Mango"/>
    <s v="MER-A0-4710"/>
    <d v="2024-12-23T00:00:00"/>
    <x v="0"/>
    <n v="173.61"/>
    <n v="0"/>
    <n v="11.616"/>
    <x v="1"/>
    <s v="Sí"/>
    <d v="2024-12-31T00:00:00"/>
    <n v="12"/>
  </r>
  <r>
    <s v="DEP-A0-0010"/>
    <x v="0"/>
    <n v="53"/>
    <x v="1"/>
    <s v="Vestido"/>
    <s v="Gris"/>
    <s v="Nike"/>
    <s v="MER-A0-0010"/>
    <d v="2024-05-28T00:00:00"/>
    <x v="0"/>
    <n v="174"/>
    <n v="0"/>
    <n v="12.523"/>
    <x v="1"/>
    <s v="Sí"/>
    <d v="2024-08-26T00:00:00"/>
    <n v="3"/>
  </r>
  <r>
    <s v="DEP-A0-2080"/>
    <x v="0"/>
    <n v="45"/>
    <x v="1"/>
    <s v="Camisa"/>
    <s v="Gris"/>
    <s v="Levis"/>
    <s v="MER-A0-2080"/>
    <d v="2024-04-10T00:00:00"/>
    <x v="0"/>
    <n v="194.55"/>
    <n v="0.1"/>
    <n v="13.713000000000001"/>
    <x v="1"/>
    <s v="Sí"/>
    <d v="2025-01-05T00:00:00"/>
    <n v="9"/>
  </r>
  <r>
    <s v="DEP-A0-4016"/>
    <x v="0"/>
    <n v="52"/>
    <x v="1"/>
    <s v="Blusa"/>
    <s v="Amarillo"/>
    <s v="Zara"/>
    <s v="MER-A0-4016"/>
    <d v="2024-12-13T00:00:00"/>
    <x v="0"/>
    <n v="176.68"/>
    <n v="0"/>
    <n v="16.677"/>
    <x v="1"/>
    <s v="Sí"/>
    <d v="2025-09-09T00:00:00"/>
    <n v="9"/>
  </r>
  <r>
    <s v="DEP-A0-0709"/>
    <x v="1"/>
    <n v="62"/>
    <x v="1"/>
    <s v="Pantalón"/>
    <s v="Verde"/>
    <s v="Levis"/>
    <s v="MER-A0-0709"/>
    <d v="2024-12-23T00:00:00"/>
    <x v="0"/>
    <n v="196.83"/>
    <n v="0.1"/>
    <n v="18.241999999999997"/>
    <x v="1"/>
    <s v="Sí"/>
    <d v="2024-12-29T00:00:00"/>
    <n v="12"/>
  </r>
  <r>
    <s v="DEP-A0-1301"/>
    <x v="1"/>
    <n v="60"/>
    <x v="1"/>
    <s v="Camisa"/>
    <s v="Azul"/>
    <s v="Zara"/>
    <s v="MER-A0-1301"/>
    <d v="2024-01-24T00:00:00"/>
    <x v="0"/>
    <n v="178.98"/>
    <n v="0"/>
    <n v="19.558"/>
    <x v="1"/>
    <s v="Sí"/>
    <d v="2024-10-20T00:00:00"/>
    <n v="9"/>
  </r>
  <r>
    <s v="DEP-A0-1949"/>
    <x v="0"/>
    <n v="36"/>
    <x v="1"/>
    <s v="Falda"/>
    <s v="Blanco"/>
    <s v="Nike"/>
    <s v="MER-A0-1949"/>
    <d v="2024-03-17T00:00:00"/>
    <x v="0"/>
    <n v="198.89"/>
    <n v="0.1"/>
    <n v="19.584000000000003"/>
    <x v="1"/>
    <s v="Sí"/>
    <d v="2024-12-12T00:00:00"/>
    <n v="9"/>
  </r>
  <r>
    <s v="DEP-A0-1708"/>
    <x v="0"/>
    <n v="61"/>
    <x v="1"/>
    <s v="Blusa"/>
    <s v="Amarillo"/>
    <s v="Levis"/>
    <s v="MER-A0-1708"/>
    <d v="2024-02-13T00:00:00"/>
    <x v="0"/>
    <n v="199.02"/>
    <n v="0.1"/>
    <n v="22.568000000000001"/>
    <x v="1"/>
    <s v="Sí"/>
    <d v="2024-06-14T00:00:00"/>
    <n v="3"/>
  </r>
  <r>
    <s v="DEP-A0-1935"/>
    <x v="1"/>
    <n v="55"/>
    <x v="1"/>
    <s v="Camisa"/>
    <s v="Azul"/>
    <s v="Nike"/>
    <s v="MER-A0-1935"/>
    <d v="2024-02-11T00:00:00"/>
    <x v="0"/>
    <n v="180.77"/>
    <n v="0"/>
    <n v="26.919"/>
    <x v="1"/>
    <s v="Sí"/>
    <d v="2024-11-07T00:00:00"/>
    <n v="9"/>
  </r>
  <r>
    <s v="DEP-A0-3056"/>
    <x v="0"/>
    <n v="40"/>
    <x v="1"/>
    <s v="Blusa"/>
    <s v="Rojo"/>
    <s v="Mango"/>
    <s v="MER-A0-3056"/>
    <d v="2024-12-09T00:00:00"/>
    <x v="0"/>
    <n v="180.88"/>
    <n v="0"/>
    <n v="27.304000000000002"/>
    <x v="1"/>
    <s v="Sí"/>
    <d v="2025-03-04T00:00:00"/>
    <n v="9"/>
  </r>
  <r>
    <s v="DEP-A0-0588"/>
    <x v="1"/>
    <n v="45"/>
    <x v="1"/>
    <s v="Pantalón"/>
    <s v="Azul"/>
    <s v="Levis"/>
    <s v="MER-A0-0588"/>
    <d v="2024-01-30T00:00:00"/>
    <x v="0"/>
    <n v="185.38"/>
    <n v="0"/>
    <n v="29.253"/>
    <x v="1"/>
    <s v="Sí"/>
    <d v="2024-10-26T00:00:00"/>
    <n v="9"/>
  </r>
  <r>
    <s v="DEP-A0-2142"/>
    <x v="0"/>
    <n v="55"/>
    <x v="1"/>
    <s v="Blusa"/>
    <s v="Blanco"/>
    <s v="Levis"/>
    <s v="MER-A0-2142"/>
    <d v="2024-02-27T00:00:00"/>
    <x v="0"/>
    <n v="185.43"/>
    <n v="0"/>
    <n v="29.48"/>
    <x v="1"/>
    <s v="Sí"/>
    <d v="2025-02-21T00:00:00"/>
    <n v="12"/>
  </r>
  <r>
    <s v="DEP-A0-4718"/>
    <x v="0"/>
    <n v="61"/>
    <x v="1"/>
    <s v="Chaqueta"/>
    <s v="Verde"/>
    <s v="Nike"/>
    <s v="MER-A0-4718"/>
    <d v="2024-02-09T00:00:00"/>
    <x v="0"/>
    <n v="187.72"/>
    <n v="0"/>
    <n v="32.318999999999996"/>
    <x v="1"/>
    <s v="Sí"/>
    <d v="2024-05-09T00:00:00"/>
    <n v="3"/>
  </r>
  <r>
    <s v="DEP-A0-1171"/>
    <x v="0"/>
    <n v="39"/>
    <x v="1"/>
    <s v="Pantalón"/>
    <s v="Azul"/>
    <s v="Zara"/>
    <s v="MER-A0-1171"/>
    <d v="2024-12-23T00:00:00"/>
    <x v="0"/>
    <n v="189.02"/>
    <n v="0"/>
    <n v="33.04"/>
    <x v="1"/>
    <s v="Sí"/>
    <d v="2024-07-06T00:00:00"/>
    <n v="6"/>
  </r>
  <r>
    <s v="DEP-A0-1314"/>
    <x v="0"/>
    <n v="42"/>
    <x v="1"/>
    <s v="Chaqueta"/>
    <s v="Rojo"/>
    <s v="Tommy"/>
    <s v="MER-A0-1314"/>
    <d v="2024-03-26T00:00:00"/>
    <x v="0"/>
    <n v="189.24"/>
    <n v="0"/>
    <n v="33.299999999999997"/>
    <x v="1"/>
    <s v="Sí"/>
    <d v="2024-12-21T00:00:00"/>
    <n v="9"/>
  </r>
  <r>
    <s v="DEP-A0-2480"/>
    <x v="0"/>
    <n v="52"/>
    <x v="1"/>
    <s v="Pantalón"/>
    <s v="Blanco"/>
    <s v="Tommy"/>
    <s v="MER-A0-2480"/>
    <d v="2024-11-17T00:00:00"/>
    <x v="0"/>
    <n v="191.16"/>
    <n v="0"/>
    <n v="34.587000000000003"/>
    <x v="1"/>
    <s v="Sí"/>
    <d v="2025-08-14T00:00:00"/>
    <n v="9"/>
  </r>
  <r>
    <s v="DEP-A0-2937"/>
    <x v="0"/>
    <n v="46"/>
    <x v="1"/>
    <s v="Chaqueta"/>
    <s v="Negro"/>
    <s v="Tommy"/>
    <s v="MER-A0-2937"/>
    <d v="2024-03-20T00:00:00"/>
    <x v="0"/>
    <n v="191.96"/>
    <n v="0"/>
    <n v="36.727999999999994"/>
    <x v="1"/>
    <s v="Sí"/>
    <d v="2025-03-15T00:00:00"/>
    <n v="12"/>
  </r>
  <r>
    <s v="DEP-A0-4976"/>
    <x v="0"/>
    <n v="40"/>
    <x v="1"/>
    <s v="Falda"/>
    <s v="Rojo"/>
    <s v="Tommy"/>
    <s v="MER-A0-4976"/>
    <d v="2024-12-03T00:00:00"/>
    <x v="0"/>
    <n v="194.78"/>
    <n v="0"/>
    <n v="38.256"/>
    <x v="1"/>
    <s v="Sí"/>
    <d v="2025-08-30T00:00:00"/>
    <n v="9"/>
  </r>
  <r>
    <s v="DEP-A0-0726"/>
    <x v="1"/>
    <n v="43"/>
    <x v="1"/>
    <s v="Zapatos"/>
    <s v="Verde"/>
    <s v="Puma"/>
    <s v="MER-A0-0726"/>
    <d v="2024-12-25T00:00:00"/>
    <x v="0"/>
    <n v="195.17"/>
    <n v="0"/>
    <n v="39.177"/>
    <x v="1"/>
    <s v="Sí"/>
    <d v="2025-12-20T00:00:00"/>
    <n v="12"/>
  </r>
  <r>
    <s v="DEP-A0-2257"/>
    <x v="0"/>
    <n v="47"/>
    <x v="1"/>
    <s v="Pantalón"/>
    <s v="Amarillo"/>
    <s v="Mango"/>
    <s v="MER-A0-2257"/>
    <d v="2024-02-19T00:00:00"/>
    <x v="0"/>
    <n v="195.85"/>
    <n v="0"/>
    <n v="40.630000000000003"/>
    <x v="1"/>
    <s v="Sí"/>
    <d v="2024-05-19T00:00:00"/>
    <n v="3"/>
  </r>
  <r>
    <s v="DEP-A0-1172"/>
    <x v="1"/>
    <n v="61"/>
    <x v="1"/>
    <s v="Pantalón"/>
    <s v="Gris"/>
    <s v="Tommy"/>
    <s v="MER-A0-1172"/>
    <d v="2025-01-21T00:00:00"/>
    <x v="1"/>
    <n v="188.99"/>
    <n v="0.3"/>
    <n v="149.024"/>
    <x v="1"/>
    <s v="Sí"/>
    <d v="2025-01-21T00:00:00"/>
    <n v="3"/>
  </r>
  <r>
    <s v="DEP-A0-1527"/>
    <x v="0"/>
    <n v="50"/>
    <x v="1"/>
    <s v="Chaqueta"/>
    <s v="Verde"/>
    <s v="Zara"/>
    <s v="MER-A0-1527"/>
    <d v="2025-02-13T00:00:00"/>
    <x v="1"/>
    <n v="196.44"/>
    <n v="0.3"/>
    <n v="186.65"/>
    <x v="1"/>
    <s v="Sí"/>
    <d v="2025-01-19T00:00:00"/>
    <n v="3"/>
  </r>
  <r>
    <s v="DEP-A0-2930"/>
    <x v="1"/>
    <n v="38"/>
    <x v="1"/>
    <s v="Chaqueta"/>
    <s v="Amarillo"/>
    <s v="Adidas"/>
    <s v="MER-A0-2930"/>
    <d v="2025-02-13T00:00:00"/>
    <x v="1"/>
    <n v="197.44"/>
    <n v="0.1"/>
    <n v="169.38900000000001"/>
    <x v="1"/>
    <s v="Sí"/>
    <d v="2025-01-11T00:00:00"/>
    <n v="3"/>
  </r>
  <r>
    <s v="DEP-A0-2643"/>
    <x v="1"/>
    <n v="41"/>
    <x v="1"/>
    <s v="Camisa"/>
    <s v="Negro"/>
    <s v="Adidas"/>
    <s v="MER-A0-2643"/>
    <d v="2025-02-01T00:00:00"/>
    <x v="1"/>
    <n v="140.81"/>
    <n v="0.3"/>
    <n v="199.67"/>
    <x v="1"/>
    <s v="Sí"/>
    <d v="2025-02-01T00:00:00"/>
    <n v="3"/>
  </r>
  <r>
    <s v="DEP-A0-4475"/>
    <x v="0"/>
    <n v="59"/>
    <x v="1"/>
    <s v="Blusa"/>
    <s v="Azul"/>
    <s v="Levis"/>
    <s v="MER-A0-4475"/>
    <d v="2025-02-02T00:00:00"/>
    <x v="1"/>
    <n v="133.71"/>
    <n v="0.2"/>
    <n v="9.6529999999999987"/>
    <x v="1"/>
    <s v="Sí"/>
    <d v="2025-02-02T00:00:00"/>
    <n v="3"/>
  </r>
  <r>
    <s v="DEP-A0-3147"/>
    <x v="1"/>
    <n v="58"/>
    <x v="1"/>
    <s v="Zapatos"/>
    <s v="Gris"/>
    <s v="Levis"/>
    <s v="MER-A0-3147"/>
    <d v="2025-02-02T00:00:00"/>
    <x v="1"/>
    <n v="170.4"/>
    <n v="0.3"/>
    <n v="15.57"/>
    <x v="1"/>
    <s v="Sí"/>
    <d v="2025-02-02T00:00:00"/>
    <n v="3"/>
  </r>
  <r>
    <s v="DEP-A0-0674"/>
    <x v="1"/>
    <n v="64"/>
    <x v="1"/>
    <s v="Chaqueta"/>
    <s v="Rojo"/>
    <s v="Mango"/>
    <s v="MER-A0-0674"/>
    <d v="2025-02-09T00:00:00"/>
    <x v="1"/>
    <n v="187.44"/>
    <n v="0.1"/>
    <n v="34.729999999999997"/>
    <x v="1"/>
    <s v="Sí"/>
    <d v="2025-02-09T00:00:00"/>
    <n v="6"/>
  </r>
  <r>
    <s v="DEP-A0-4861"/>
    <x v="1"/>
    <n v="42"/>
    <x v="1"/>
    <s v="Camisa"/>
    <s v="Negro"/>
    <s v="Nike"/>
    <s v="MER-A0-4861"/>
    <d v="2025-02-10T00:00:00"/>
    <x v="1"/>
    <n v="195.67"/>
    <n v="0.3"/>
    <n v="37.64"/>
    <x v="1"/>
    <s v="Sí"/>
    <d v="2025-02-10T00:00:00"/>
    <n v="6"/>
  </r>
  <r>
    <s v="DEP-A0-4389"/>
    <x v="0"/>
    <n v="55"/>
    <x v="1"/>
    <s v="Falda"/>
    <s v="Gris"/>
    <s v="Levis"/>
    <s v="MER-A0-4389"/>
    <d v="2025-02-11T00:00:00"/>
    <x v="1"/>
    <n v="163.44"/>
    <n v="0.1"/>
    <n v="40.112000000000002"/>
    <x v="1"/>
    <s v="Sí"/>
    <d v="2025-02-11T00:00:00"/>
    <n v="6"/>
  </r>
  <r>
    <s v="DEP-A0-0723"/>
    <x v="0"/>
    <n v="39"/>
    <x v="1"/>
    <s v="Blusa"/>
    <s v="Rojo"/>
    <s v="Levis"/>
    <s v="MER-A0-0723"/>
    <d v="2025-02-12T00:00:00"/>
    <x v="1"/>
    <n v="150.58000000000001"/>
    <n v="0.2"/>
    <n v="63.23"/>
    <x v="1"/>
    <s v="Sí"/>
    <d v="2025-02-12T00:00:00"/>
    <n v="6"/>
  </r>
  <r>
    <s v="DEP-A0-3983"/>
    <x v="0"/>
    <n v="42"/>
    <x v="1"/>
    <s v="Pantalón"/>
    <s v="Amarillo"/>
    <s v="Mango"/>
    <s v="MER-A0-3983"/>
    <d v="2025-02-19T00:00:00"/>
    <x v="1"/>
    <n v="190.6"/>
    <n v="0.1"/>
    <n v="82.674000000000007"/>
    <x v="1"/>
    <s v="Sí"/>
    <d v="2025-02-19T00:00:00"/>
    <n v="6"/>
  </r>
  <r>
    <s v="DEP-A0-1844"/>
    <x v="0"/>
    <n v="36"/>
    <x v="1"/>
    <s v="Camisa"/>
    <s v="Negro"/>
    <s v="Zara"/>
    <s v="MER-A0-1844"/>
    <d v="2025-02-20T00:00:00"/>
    <x v="1"/>
    <n v="54.39"/>
    <n v="0.3"/>
    <n v="64.938999999999993"/>
    <x v="1"/>
    <s v="Sí"/>
    <d v="2025-02-20T00:00:00"/>
    <n v="6"/>
  </r>
  <r>
    <s v="DEP-A0-2478"/>
    <x v="0"/>
    <n v="37"/>
    <x v="1"/>
    <s v="Vestido"/>
    <s v="Verde"/>
    <s v="Zara"/>
    <s v="MER-A0-2478"/>
    <d v="2025-02-20T00:00:00"/>
    <x v="1"/>
    <n v="65.83"/>
    <n v="0.2"/>
    <n v="83.897999999999996"/>
    <x v="1"/>
    <s v="Sí"/>
    <d v="2025-02-20T00:00:00"/>
    <n v="3"/>
  </r>
  <r>
    <s v="DEP-A0-0556"/>
    <x v="0"/>
    <n v="42"/>
    <x v="1"/>
    <s v="Vestido"/>
    <s v="Verde"/>
    <s v="Nike"/>
    <s v="MER-A0-0556"/>
    <d v="2025-02-20T00:00:00"/>
    <x v="1"/>
    <n v="120.82"/>
    <n v="0.3"/>
    <n v="74.92"/>
    <x v="1"/>
    <s v="Sí"/>
    <d v="2025-02-20T00:00:00"/>
    <n v="3"/>
  </r>
  <r>
    <s v="DEP-A0-4726"/>
    <x v="0"/>
    <n v="56"/>
    <x v="1"/>
    <s v="Falda"/>
    <s v="Rojo"/>
    <s v="Tommy"/>
    <s v="MER-A0-4726"/>
    <d v="2025-02-20T00:00:00"/>
    <x v="1"/>
    <n v="131.38999999999999"/>
    <n v="0.1"/>
    <n v="100.8"/>
    <x v="1"/>
    <s v="Sí"/>
    <d v="2025-02-20T00:00:00"/>
    <n v="3"/>
  </r>
  <r>
    <s v="DEP-A0-1501"/>
    <x v="1"/>
    <n v="65"/>
    <x v="1"/>
    <s v="Zapatos"/>
    <s v="Rojo"/>
    <s v="Adidas"/>
    <s v="MER-A0-1501"/>
    <d v="2025-02-20T00:00:00"/>
    <x v="1"/>
    <n v="160.38"/>
    <n v="0.3"/>
    <n v="75.614000000000004"/>
    <x v="1"/>
    <s v="Sí"/>
    <d v="2025-02-20T00:00:00"/>
    <n v="3"/>
  </r>
  <r>
    <s v="DEP-A0-1200"/>
    <x v="0"/>
    <n v="42"/>
    <x v="1"/>
    <s v="Blusa"/>
    <s v="Azul"/>
    <s v="Zara"/>
    <s v="MER-A0-1200"/>
    <d v="2025-02-21T00:00:00"/>
    <x v="1"/>
    <n v="30.07"/>
    <n v="0.3"/>
    <n v="112.09"/>
    <x v="1"/>
    <s v="Sí"/>
    <d v="2025-02-21T00:00:00"/>
    <n v="3"/>
  </r>
  <r>
    <s v="DEP-A0-3608"/>
    <x v="0"/>
    <n v="42"/>
    <x v="1"/>
    <s v="Vestido"/>
    <s v="Negro"/>
    <s v="Zara"/>
    <s v="MER-A0-3608"/>
    <d v="2025-02-21T00:00:00"/>
    <x v="1"/>
    <n v="164.79"/>
    <n v="0.2"/>
    <n v="82.852000000000004"/>
    <x v="1"/>
    <s v="Sí"/>
    <d v="2025-02-21T00:00:00"/>
    <n v="3"/>
  </r>
  <r>
    <s v="DEP-A0-4752"/>
    <x v="0"/>
    <n v="53"/>
    <x v="1"/>
    <s v="Chaqueta"/>
    <s v="Verde"/>
    <s v="Mango"/>
    <s v="MER-A0-4752"/>
    <d v="2025-02-22T00:00:00"/>
    <x v="1"/>
    <n v="48.86"/>
    <n v="0.3"/>
    <n v="101.184"/>
    <x v="1"/>
    <s v="Sí"/>
    <d v="2025-02-22T00:00:00"/>
    <n v="3"/>
  </r>
  <r>
    <s v="DEP-A0-2953"/>
    <x v="1"/>
    <n v="41"/>
    <x v="1"/>
    <s v="Chaqueta"/>
    <s v="Blanco"/>
    <s v="Zara"/>
    <s v="MER-A0-2953"/>
    <d v="2025-02-22T00:00:00"/>
    <x v="1"/>
    <n v="135.91"/>
    <n v="0.3"/>
    <n v="121.40099999999998"/>
    <x v="1"/>
    <s v="Sí"/>
    <d v="2025-02-22T00:00:00"/>
    <n v="3"/>
  </r>
  <r>
    <s v="DEP-A0-4108"/>
    <x v="1"/>
    <n v="48"/>
    <x v="1"/>
    <s v="Chaqueta"/>
    <s v="Gris"/>
    <s v="Mango"/>
    <s v="MER-A0-4108"/>
    <d v="2025-03-15T00:00:00"/>
    <x v="1"/>
    <n v="12.22"/>
    <n v="0.1"/>
    <n v="109.59200000000001"/>
    <x v="1"/>
    <s v="Sí"/>
    <d v="2025-03-15T00:00:00"/>
    <n v="3"/>
  </r>
  <r>
    <s v="DEP-A0-0835"/>
    <x v="0"/>
    <n v="61"/>
    <x v="1"/>
    <s v="Chaqueta"/>
    <s v="Verde"/>
    <s v="Puma"/>
    <s v="MER-A0-0835"/>
    <d v="2025-03-27T00:00:00"/>
    <x v="1"/>
    <n v="13.95"/>
    <n v="0"/>
    <n v="98.371000000000009"/>
    <x v="1"/>
    <s v="Sí"/>
    <d v="2025-03-27T00:00:00"/>
    <n v="3"/>
  </r>
  <r>
    <s v="DEP-A0-4400"/>
    <x v="1"/>
    <n v="48"/>
    <x v="1"/>
    <s v="Pantalón"/>
    <s v="Verde"/>
    <s v="Tommy"/>
    <s v="MER-A0-4400"/>
    <d v="2025-03-07T00:00:00"/>
    <x v="1"/>
    <n v="20.39"/>
    <n v="0"/>
    <n v="136.179"/>
    <x v="1"/>
    <s v="Sí"/>
    <d v="2025-03-07T00:00:00"/>
    <n v="6"/>
  </r>
  <r>
    <s v="DEP-A0-1982"/>
    <x v="0"/>
    <n v="39"/>
    <x v="1"/>
    <s v="Vestido"/>
    <s v="Rojo"/>
    <s v="Tommy"/>
    <s v="MER-A0-1982"/>
    <d v="2025-03-22T00:00:00"/>
    <x v="1"/>
    <n v="22.34"/>
    <n v="0.1"/>
    <n v="109.55000000000001"/>
    <x v="1"/>
    <s v="Sí"/>
    <d v="2025-03-22T00:00:00"/>
    <n v="6"/>
  </r>
  <r>
    <s v="DEP-A0-1866"/>
    <x v="0"/>
    <n v="45"/>
    <x v="1"/>
    <s v="Zapatos"/>
    <s v="Verde"/>
    <s v="Mango"/>
    <s v="MER-A0-1866"/>
    <d v="2025-03-12T00:00:00"/>
    <x v="1"/>
    <n v="22.92"/>
    <n v="0"/>
    <n v="111.37700000000001"/>
    <x v="1"/>
    <s v="Sí"/>
    <d v="2025-03-12T00:00:00"/>
    <n v="6"/>
  </r>
  <r>
    <s v="DEP-A0-0266"/>
    <x v="0"/>
    <n v="56"/>
    <x v="1"/>
    <s v="Chaqueta"/>
    <s v="Blanco"/>
    <s v="Nike"/>
    <s v="MER-A0-0266"/>
    <d v="2025-03-16T00:00:00"/>
    <x v="1"/>
    <n v="25.52"/>
    <n v="0.1"/>
    <n v="146.71800000000002"/>
    <x v="1"/>
    <s v="Sí"/>
    <d v="2025-03-16T00:00:00"/>
    <n v="6"/>
  </r>
  <r>
    <s v="DEP-A0-3632"/>
    <x v="0"/>
    <n v="62"/>
    <x v="1"/>
    <s v="Falda"/>
    <s v="Verde"/>
    <s v="Tommy"/>
    <s v="MER-A0-3632"/>
    <d v="2025-03-31T00:00:00"/>
    <x v="1"/>
    <n v="32.44"/>
    <n v="0.3"/>
    <n v="155.07900000000001"/>
    <x v="1"/>
    <s v="Sí"/>
    <d v="2025-03-31T00:00:00"/>
    <n v="6"/>
  </r>
  <r>
    <s v="DEP-A0-1028"/>
    <x v="0"/>
    <n v="55"/>
    <x v="1"/>
    <s v="Camisa"/>
    <s v="Verde"/>
    <s v="Adidas"/>
    <s v="MER-A0-1028"/>
    <d v="2025-03-01T00:00:00"/>
    <x v="1"/>
    <n v="36.15"/>
    <n v="0"/>
    <n v="125.699"/>
    <x v="1"/>
    <s v="Sí"/>
    <d v="2025-03-01T00:00:00"/>
    <n v="6"/>
  </r>
  <r>
    <s v="DEP-A0-3650"/>
    <x v="0"/>
    <n v="52"/>
    <x v="1"/>
    <s v="Blusa"/>
    <s v="Amarillo"/>
    <s v="Tommy"/>
    <s v="MER-A0-3650"/>
    <d v="2025-03-31T00:00:00"/>
    <x v="1"/>
    <n v="65.94"/>
    <n v="0"/>
    <n v="144.232"/>
    <x v="1"/>
    <s v="Sí"/>
    <d v="2025-03-31T00:00:00"/>
    <n v="6"/>
  </r>
  <r>
    <s v="DEP-A0-2847"/>
    <x v="0"/>
    <n v="42"/>
    <x v="1"/>
    <s v="Chaqueta"/>
    <s v="Azul"/>
    <s v="Zara"/>
    <s v="MER-A0-2847"/>
    <d v="2025-03-16T00:00:00"/>
    <x v="1"/>
    <n v="66.2"/>
    <n v="0.3"/>
    <n v="199.98"/>
    <x v="1"/>
    <s v="Sí"/>
    <d v="2025-03-16T00:00:00"/>
    <n v="6"/>
  </r>
  <r>
    <s v="DEP-A0-2833"/>
    <x v="1"/>
    <n v="37"/>
    <x v="1"/>
    <s v="Chaqueta"/>
    <s v="Blanco"/>
    <s v="Tommy"/>
    <s v="MER-A0-2833"/>
    <d v="2025-03-14T00:00:00"/>
    <x v="1"/>
    <n v="67.290000000000006"/>
    <n v="0.1"/>
    <n v="7.1890000000000001"/>
    <x v="1"/>
    <s v="Sí"/>
    <d v="2025-03-14T00:00:00"/>
    <n v="6"/>
  </r>
  <r>
    <s v="DEP-A0-3580"/>
    <x v="0"/>
    <n v="39"/>
    <x v="1"/>
    <s v="Zapatos"/>
    <s v="Amarillo"/>
    <s v="Mango"/>
    <s v="MER-A0-3580"/>
    <d v="2025-03-22T00:00:00"/>
    <x v="1"/>
    <n v="75.14"/>
    <n v="0.3"/>
    <n v="49.72"/>
    <x v="1"/>
    <s v="Sí"/>
    <d v="2025-03-22T00:00:00"/>
    <n v="3"/>
  </r>
  <r>
    <s v="DEP-A0-1440"/>
    <x v="0"/>
    <n v="47"/>
    <x v="1"/>
    <s v="Vestido"/>
    <s v="Gris"/>
    <s v="Puma"/>
    <s v="MER-A0-1440"/>
    <d v="2025-03-17T00:00:00"/>
    <x v="1"/>
    <n v="75.790000000000006"/>
    <n v="0.3"/>
    <n v="56.911999999999999"/>
    <x v="1"/>
    <s v="Sí"/>
    <d v="2025-03-17T00:00:00"/>
    <n v="3"/>
  </r>
  <r>
    <s v="DEP-A0-2371"/>
    <x v="0"/>
    <n v="50"/>
    <x v="1"/>
    <s v="Blusa"/>
    <s v="Blanco"/>
    <s v="Zara"/>
    <s v="MER-A0-2371"/>
    <d v="2025-03-22T00:00:00"/>
    <x v="1"/>
    <n v="125.67"/>
    <n v="0"/>
    <n v="101.322"/>
    <x v="1"/>
    <s v="Sí"/>
    <d v="2025-03-22T00:00:00"/>
    <n v="3"/>
  </r>
  <r>
    <s v="DEP-A0-3604"/>
    <x v="0"/>
    <n v="65"/>
    <x v="1"/>
    <s v="Falda"/>
    <s v="Negro"/>
    <s v="Mango"/>
    <s v="MER-A0-3604"/>
    <d v="2025-03-09T00:00:00"/>
    <x v="1"/>
    <n v="128.31"/>
    <n v="0.2"/>
    <n v="115.23"/>
    <x v="1"/>
    <s v="Sí"/>
    <d v="2025-03-09T00:00:00"/>
    <n v="3"/>
  </r>
  <r>
    <s v="DEP-A0-1838"/>
    <x v="0"/>
    <n v="40"/>
    <x v="1"/>
    <s v="Zapatos"/>
    <s v="Blanco"/>
    <s v="Adidas"/>
    <s v="MER-A0-1838"/>
    <d v="2025-03-09T00:00:00"/>
    <x v="1"/>
    <n v="138.18"/>
    <n v="0.2"/>
    <n v="92.665999999999997"/>
    <x v="1"/>
    <s v="Sí"/>
    <d v="2025-03-09T00:00:00"/>
    <n v="3"/>
  </r>
  <r>
    <s v="DEP-A0-4393"/>
    <x v="0"/>
    <n v="39"/>
    <x v="1"/>
    <s v="Chaqueta"/>
    <s v="Rojo"/>
    <s v="Tommy"/>
    <s v="MER-A0-4393"/>
    <d v="2025-03-21T00:00:00"/>
    <x v="1"/>
    <n v="138.97999999999999"/>
    <n v="0"/>
    <n v="126.376"/>
    <x v="1"/>
    <s v="Sí"/>
    <d v="2025-03-21T00:00:00"/>
    <n v="3"/>
  </r>
  <r>
    <s v="DEP-A0-2287"/>
    <x v="0"/>
    <n v="45"/>
    <x v="1"/>
    <s v="Blusa"/>
    <s v="Azul"/>
    <s v="Nike"/>
    <s v="MER-A0-2287"/>
    <d v="2025-03-22T00:00:00"/>
    <x v="1"/>
    <n v="139.22"/>
    <n v="0.3"/>
    <n v="117.691"/>
    <x v="1"/>
    <s v="Sí"/>
    <d v="2025-03-22T00:00:00"/>
    <n v="6"/>
  </r>
  <r>
    <s v="DEP-A0-3904"/>
    <x v="0"/>
    <n v="63"/>
    <x v="1"/>
    <s v="Chaqueta"/>
    <s v="Gris"/>
    <s v="Zara"/>
    <s v="MER-A0-3904"/>
    <d v="2025-03-22T00:00:00"/>
    <x v="1"/>
    <n v="143.96"/>
    <n v="0"/>
    <n v="134.904"/>
    <x v="1"/>
    <s v="Sí"/>
    <d v="2025-03-22T00:00:00"/>
    <n v="6"/>
  </r>
  <r>
    <s v="DEP-A0-3537"/>
    <x v="0"/>
    <n v="65"/>
    <x v="1"/>
    <s v="Blusa"/>
    <s v="Gris"/>
    <s v="Adidas"/>
    <s v="MER-A0-3537"/>
    <d v="2025-03-14T00:00:00"/>
    <x v="1"/>
    <n v="145.19"/>
    <n v="0.1"/>
    <n v="156.96899999999999"/>
    <x v="1"/>
    <s v="Sí"/>
    <d v="2025-03-14T00:00:00"/>
    <n v="6"/>
  </r>
  <r>
    <s v="DEP-A0-3379"/>
    <x v="0"/>
    <n v="42"/>
    <x v="1"/>
    <s v="Falda"/>
    <s v="Blanco"/>
    <s v="Nike"/>
    <s v="MER-A0-3379"/>
    <d v="2025-03-29T00:00:00"/>
    <x v="1"/>
    <n v="145.37"/>
    <n v="0.1"/>
    <n v="126.021"/>
    <x v="1"/>
    <s v="Sí"/>
    <d v="2025-03-29T00:00:00"/>
    <n v="6"/>
  </r>
  <r>
    <s v="DEP-A0-1017"/>
    <x v="0"/>
    <n v="42"/>
    <x v="1"/>
    <s v="Chaqueta"/>
    <s v="Negro"/>
    <s v="Puma"/>
    <s v="MER-A0-1017"/>
    <d v="2025-03-20T00:00:00"/>
    <x v="1"/>
    <n v="194.92"/>
    <n v="0.3"/>
    <n v="22.420999999999999"/>
    <x v="1"/>
    <s v="Sí"/>
    <d v="2025-03-20T00:00:00"/>
    <n v="6"/>
  </r>
  <r>
    <s v="DEP-A0-3224"/>
    <x v="1"/>
    <n v="59"/>
    <x v="1"/>
    <s v="Pantalón"/>
    <s v="Azul"/>
    <s v="Mango"/>
    <s v="MER-A0-3224"/>
    <d v="2025-04-09T00:00:00"/>
    <x v="1"/>
    <n v="10.43"/>
    <n v="0.3"/>
    <n v="35.936999999999998"/>
    <x v="1"/>
    <s v="Sí"/>
    <d v="2025-04-09T00:00:00"/>
    <n v="6"/>
  </r>
  <r>
    <s v="DEP-A0-0738"/>
    <x v="1"/>
    <n v="47"/>
    <x v="1"/>
    <s v="Camisa"/>
    <s v="Gris"/>
    <s v="Nike"/>
    <s v="MER-A0-0738"/>
    <d v="2025-04-09T00:00:00"/>
    <x v="1"/>
    <n v="16.850000000000001"/>
    <n v="0.3"/>
    <n v="40.436999999999998"/>
    <x v="1"/>
    <s v="Sí"/>
    <d v="2025-04-09T00:00:00"/>
    <n v="3"/>
  </r>
  <r>
    <s v="DEP-A0-1562"/>
    <x v="0"/>
    <n v="55"/>
    <x v="1"/>
    <s v="Falda"/>
    <s v="Rojo"/>
    <s v="Tommy"/>
    <s v="MER-A0-1562"/>
    <d v="2025-04-01T00:00:00"/>
    <x v="1"/>
    <n v="18.5"/>
    <n v="0"/>
    <n v="39.712000000000003"/>
    <x v="1"/>
    <s v="Sí"/>
    <d v="2025-04-01T00:00:00"/>
    <n v="3"/>
  </r>
  <r>
    <s v="DEP-A0-2013"/>
    <x v="1"/>
    <n v="65"/>
    <x v="1"/>
    <s v="Zapatos"/>
    <s v="Azul"/>
    <s v="Zara"/>
    <s v="MER-A0-2013"/>
    <d v="2025-04-28T00:00:00"/>
    <x v="1"/>
    <n v="84.76"/>
    <n v="0.2"/>
    <n v="102.82"/>
    <x v="1"/>
    <s v="Sí"/>
    <d v="2025-04-28T00:00:00"/>
    <n v="3"/>
  </r>
  <r>
    <s v="DEP-A0-4557"/>
    <x v="0"/>
    <n v="63"/>
    <x v="1"/>
    <s v="Falda"/>
    <s v="Azul"/>
    <s v="Mango"/>
    <s v="MER-A0-4557"/>
    <d v="2025-04-25T00:00:00"/>
    <x v="1"/>
    <n v="87.41"/>
    <n v="0.1"/>
    <n v="96.963999999999999"/>
    <x v="1"/>
    <s v="Sí"/>
    <d v="2025-04-25T00:00:00"/>
    <n v="3"/>
  </r>
  <r>
    <s v="DEP-A0-0615"/>
    <x v="1"/>
    <n v="53"/>
    <x v="1"/>
    <s v="Chaqueta"/>
    <s v="Blanco"/>
    <s v="Mango"/>
    <s v="MER-A0-0615"/>
    <d v="2025-04-23T00:00:00"/>
    <x v="1"/>
    <n v="89.37"/>
    <n v="0"/>
    <n v="136.233"/>
    <x v="1"/>
    <s v="Sí"/>
    <d v="2025-04-23T00:00:00"/>
    <n v="3"/>
  </r>
  <r>
    <s v="DEP-A0-4057"/>
    <x v="0"/>
    <n v="55"/>
    <x v="1"/>
    <s v="Falda"/>
    <s v="Verde"/>
    <s v="Nike"/>
    <s v="MER-A0-4057"/>
    <d v="2025-04-27T00:00:00"/>
    <x v="1"/>
    <n v="92.05"/>
    <n v="0"/>
    <n v="109.494"/>
    <x v="1"/>
    <s v="Sí"/>
    <d v="2025-04-27T00:00:00"/>
    <n v="3"/>
  </r>
  <r>
    <s v="DEP-A0-2819"/>
    <x v="0"/>
    <n v="50"/>
    <x v="1"/>
    <s v="Blusa"/>
    <s v="Blanco"/>
    <s v="Nike"/>
    <s v="MER-A0-2819"/>
    <d v="2025-04-19T00:00:00"/>
    <x v="1"/>
    <n v="92.52"/>
    <n v="0.2"/>
    <n v="158.535"/>
    <x v="1"/>
    <s v="Sí"/>
    <d v="2025-04-19T00:00:00"/>
    <n v="3"/>
  </r>
  <r>
    <s v="DEP-A0-2639"/>
    <x v="0"/>
    <n v="46"/>
    <x v="1"/>
    <s v="Vestido"/>
    <s v="Verde"/>
    <s v="Zara"/>
    <s v="MER-A0-2639"/>
    <d v="2025-04-08T00:00:00"/>
    <x v="1"/>
    <n v="94.26"/>
    <n v="0.2"/>
    <n v="48.411999999999999"/>
    <x v="1"/>
    <s v="Sí"/>
    <d v="2025-04-08T00:00:00"/>
    <n v="6"/>
  </r>
  <r>
    <s v="DEP-A0-1694"/>
    <x v="0"/>
    <n v="52"/>
    <x v="1"/>
    <s v="Vestido"/>
    <s v="Negro"/>
    <s v="Nike"/>
    <s v="MER-A0-1694"/>
    <d v="2025-04-22T00:00:00"/>
    <x v="1"/>
    <n v="136.19"/>
    <n v="0.3"/>
    <n v="55.927999999999997"/>
    <x v="1"/>
    <s v="Sí"/>
    <d v="2025-04-22T00:00:00"/>
    <n v="6"/>
  </r>
  <r>
    <s v="DEP-A0-1532"/>
    <x v="1"/>
    <n v="42"/>
    <x v="1"/>
    <s v="Chaqueta"/>
    <s v="Amarillo"/>
    <s v="Nike"/>
    <s v="MER-A0-1532"/>
    <d v="2025-04-20T00:00:00"/>
    <x v="1"/>
    <n v="139.38999999999999"/>
    <n v="0.3"/>
    <n v="120.136"/>
    <x v="1"/>
    <s v="Sí"/>
    <d v="2025-04-20T00:00:00"/>
    <n v="6"/>
  </r>
  <r>
    <s v="DEP-A0-2758"/>
    <x v="0"/>
    <n v="54"/>
    <x v="1"/>
    <s v="Vestido"/>
    <s v="Blanco"/>
    <s v="Puma"/>
    <s v="MER-A0-2758"/>
    <d v="2025-04-23T00:00:00"/>
    <x v="1"/>
    <n v="145.03"/>
    <n v="0.2"/>
    <n v="124.44000000000001"/>
    <x v="1"/>
    <s v="Sí"/>
    <d v="2025-04-23T00:00:00"/>
    <n v="6"/>
  </r>
  <r>
    <s v="DEP-A0-1887"/>
    <x v="0"/>
    <n v="64"/>
    <x v="1"/>
    <s v="Falda"/>
    <s v="Gris"/>
    <s v="Nike"/>
    <s v="MER-A0-1887"/>
    <d v="2025-04-21T00:00:00"/>
    <x v="1"/>
    <n v="145.47"/>
    <n v="0"/>
    <n v="110.166"/>
    <x v="1"/>
    <s v="Sí"/>
    <d v="2025-04-21T00:00:00"/>
    <n v="6"/>
  </r>
  <r>
    <s v="DEP-A0-3368"/>
    <x v="0"/>
    <n v="58"/>
    <x v="1"/>
    <s v="Falda"/>
    <s v="Gris"/>
    <s v="Adidas"/>
    <s v="MER-A0-3368"/>
    <d v="2025-04-20T00:00:00"/>
    <x v="1"/>
    <n v="146.28"/>
    <n v="0.2"/>
    <n v="179.08199999999999"/>
    <x v="1"/>
    <s v="Sí"/>
    <d v="2025-04-20T00:00:00"/>
    <n v="6"/>
  </r>
  <r>
    <s v="DEP-A0-1002"/>
    <x v="0"/>
    <n v="48"/>
    <x v="1"/>
    <s v="Falda"/>
    <s v="Azul"/>
    <s v="Zara"/>
    <s v="MER-A0-1002"/>
    <d v="2025-04-08T00:00:00"/>
    <x v="1"/>
    <n v="186.02"/>
    <n v="0"/>
    <n v="14.546000000000001"/>
    <x v="1"/>
    <s v="Sí"/>
    <d v="2025-04-08T00:00:00"/>
    <n v="3"/>
  </r>
  <r>
    <s v="DEP-A0-1737"/>
    <x v="0"/>
    <n v="65"/>
    <x v="1"/>
    <s v="Falda"/>
    <s v="Negro"/>
    <s v="Levis"/>
    <s v="MER-A0-1737"/>
    <d v="2025-04-06T00:00:00"/>
    <x v="1"/>
    <n v="190.14"/>
    <n v="0"/>
    <n v="55.167999999999992"/>
    <x v="1"/>
    <s v="Sí"/>
    <d v="2025-04-06T00:00:00"/>
    <n v="3"/>
  </r>
  <r>
    <s v="DEP-A0-3160"/>
    <x v="0"/>
    <n v="55"/>
    <x v="1"/>
    <s v="Falda"/>
    <s v="Amarillo"/>
    <s v="Mango"/>
    <s v="MER-A0-3160"/>
    <d v="2025-05-06T00:00:00"/>
    <x v="1"/>
    <n v="11.43"/>
    <n v="0.2"/>
    <n v="65.864000000000004"/>
    <x v="1"/>
    <s v="Sí"/>
    <d v="2025-05-06T00:00:00"/>
    <n v="3"/>
  </r>
  <r>
    <s v="DEP-A0-3156"/>
    <x v="0"/>
    <n v="64"/>
    <x v="1"/>
    <s v="Falda"/>
    <s v="Blanco"/>
    <s v="Tommy"/>
    <s v="MER-A0-3156"/>
    <d v="2025-05-20T00:00:00"/>
    <x v="1"/>
    <n v="11.82"/>
    <n v="0.2"/>
    <n v="128.50200000000001"/>
    <x v="1"/>
    <s v="Sí"/>
    <d v="2025-05-20T00:00:00"/>
    <n v="3"/>
  </r>
  <r>
    <s v="DEP-A0-4089"/>
    <x v="1"/>
    <n v="65"/>
    <x v="1"/>
    <s v="Camisa"/>
    <s v="Rojo"/>
    <s v="Adidas"/>
    <s v="MER-A0-4089"/>
    <d v="2025-05-19T00:00:00"/>
    <x v="1"/>
    <n v="13.85"/>
    <n v="0"/>
    <n v="144.31199999999998"/>
    <x v="1"/>
    <s v="Sí"/>
    <d v="2025-05-19T00:00:00"/>
    <n v="3"/>
  </r>
  <r>
    <s v="DEP-A0-3410"/>
    <x v="0"/>
    <n v="64"/>
    <x v="1"/>
    <s v="Vestido"/>
    <s v="Rojo"/>
    <s v="Puma"/>
    <s v="MER-A0-3410"/>
    <d v="2025-01-06T00:00:00"/>
    <x v="1"/>
    <n v="27.4"/>
    <n v="0"/>
    <n v="71.649000000000001"/>
    <x v="1"/>
    <s v="Sí"/>
    <d v="2025-01-06T00:00:00"/>
    <n v="6"/>
  </r>
  <r>
    <s v="DEP-A0-1110"/>
    <x v="0"/>
    <n v="46"/>
    <x v="1"/>
    <s v="Falda"/>
    <s v="Blanco"/>
    <s v="Tommy"/>
    <s v="MER-A0-1110"/>
    <d v="2025-02-13T00:00:00"/>
    <x v="1"/>
    <n v="33.35"/>
    <n v="0"/>
    <n v="83.907000000000011"/>
    <x v="1"/>
    <s v="Sí"/>
    <d v="2025-01-26T00:00:00"/>
    <n v="6"/>
  </r>
  <r>
    <s v="DEP-A0-1847"/>
    <x v="0"/>
    <n v="56"/>
    <x v="1"/>
    <s v="Falda"/>
    <s v="Negro"/>
    <s v="Adidas"/>
    <s v="MER-A0-1847"/>
    <d v="2025-02-13T00:00:00"/>
    <x v="1"/>
    <n v="34.33"/>
    <n v="0.1"/>
    <n v="121.39399999999999"/>
    <x v="1"/>
    <s v="Sí"/>
    <d v="2025-01-09T00:00:00"/>
    <n v="6"/>
  </r>
  <r>
    <s v="DEP-A0-0309"/>
    <x v="0"/>
    <n v="41"/>
    <x v="1"/>
    <s v="Camisa"/>
    <s v="Rojo"/>
    <s v="Tommy"/>
    <s v="MER-A0-0309"/>
    <d v="2025-01-13T00:00:00"/>
    <x v="1"/>
    <n v="36.97"/>
    <n v="0"/>
    <n v="147.447"/>
    <x v="1"/>
    <s v="Sí"/>
    <d v="2025-01-13T00:00:00"/>
    <n v="6"/>
  </r>
  <r>
    <s v="DEP-A0-3060"/>
    <x v="0"/>
    <n v="59"/>
    <x v="1"/>
    <s v="Blusa"/>
    <s v="Gris"/>
    <s v="Adidas"/>
    <s v="MER-A0-3060"/>
    <d v="2025-01-09T00:00:00"/>
    <x v="1"/>
    <n v="40.6"/>
    <n v="0.2"/>
    <n v="46.35"/>
    <x v="1"/>
    <s v="Sí"/>
    <d v="2025-01-09T00:00:00"/>
    <n v="6"/>
  </r>
  <r>
    <s v="DEP-A0-4711"/>
    <x v="0"/>
    <n v="53"/>
    <x v="1"/>
    <s v="Pantalón"/>
    <s v="Gris"/>
    <s v="Mango"/>
    <s v="MER-A0-4711"/>
    <d v="2025-01-29T00:00:00"/>
    <x v="1"/>
    <n v="41.08"/>
    <n v="0.1"/>
    <n v="77.00800000000001"/>
    <x v="1"/>
    <s v="Sí"/>
    <d v="2025-01-29T00:00:00"/>
    <n v="6"/>
  </r>
  <r>
    <s v="DEP-A0-3171"/>
    <x v="1"/>
    <n v="62"/>
    <x v="1"/>
    <s v="Zapatos"/>
    <s v="Azul"/>
    <s v="Zara"/>
    <s v="MER-A0-3171"/>
    <d v="2025-01-24T00:00:00"/>
    <x v="1"/>
    <n v="47.14"/>
    <n v="0.3"/>
    <n v="17.283000000000001"/>
    <x v="1"/>
    <s v="Sí"/>
    <d v="2025-01-24T00:00:00"/>
    <n v="6"/>
  </r>
  <r>
    <s v="DEP-A0-0768"/>
    <x v="0"/>
    <n v="55"/>
    <x v="1"/>
    <s v="Chaqueta"/>
    <s v="Blanco"/>
    <s v="Mango"/>
    <s v="MER-A0-0768"/>
    <d v="2025-02-13T00:00:00"/>
    <x v="1"/>
    <n v="57.01"/>
    <n v="0.1"/>
    <n v="58.232000000000006"/>
    <x v="1"/>
    <s v="Sí"/>
    <d v="2025-01-31T00:00:00"/>
    <n v="6"/>
  </r>
  <r>
    <s v="DEP-A0-2888"/>
    <x v="0"/>
    <n v="56"/>
    <x v="1"/>
    <s v="Blusa"/>
    <s v="Verde"/>
    <s v="Mango"/>
    <s v="MER-A0-2888"/>
    <d v="2025-02-13T00:00:00"/>
    <x v="1"/>
    <n v="59.12"/>
    <n v="0.2"/>
    <n v="91.544000000000011"/>
    <x v="1"/>
    <s v="Sí"/>
    <d v="2025-01-01T00:00:00"/>
    <n v="3"/>
  </r>
  <r>
    <s v="DEP-A0-3932"/>
    <x v="0"/>
    <n v="63"/>
    <x v="1"/>
    <s v="Pantalón"/>
    <s v="Verde"/>
    <s v="Zara"/>
    <s v="MER-A0-3932"/>
    <d v="2025-02-13T00:00:00"/>
    <x v="1"/>
    <n v="63.15"/>
    <n v="0.1"/>
    <n v="107.41499999999999"/>
    <x v="1"/>
    <s v="Sí"/>
    <d v="2025-01-31T00:00:00"/>
    <n v="3"/>
  </r>
  <r>
    <s v="DEP-A0-1033"/>
    <x v="0"/>
    <n v="64"/>
    <x v="1"/>
    <s v="Zapatos"/>
    <s v="Azul"/>
    <s v="Tommy"/>
    <s v="MER-A0-1033"/>
    <d v="2025-02-13T00:00:00"/>
    <x v="1"/>
    <n v="66.97"/>
    <n v="0.1"/>
    <n v="105.37100000000001"/>
    <x v="1"/>
    <s v="Sí"/>
    <d v="2025-01-25T00:00:00"/>
    <n v="3"/>
  </r>
  <r>
    <s v="DEP-A0-2949"/>
    <x v="0"/>
    <n v="62"/>
    <x v="1"/>
    <s v="Chaqueta"/>
    <s v="Gris"/>
    <s v="Nike"/>
    <s v="MER-A0-2949"/>
    <d v="2025-02-13T00:00:00"/>
    <x v="1"/>
    <n v="67.56"/>
    <n v="0.3"/>
    <n v="150.88499999999999"/>
    <x v="1"/>
    <s v="Sí"/>
    <d v="2025-01-22T00:00:00"/>
    <n v="3"/>
  </r>
  <r>
    <s v="DEP-A0-0048"/>
    <x v="0"/>
    <n v="60"/>
    <x v="1"/>
    <s v="Camisa"/>
    <s v="Rojo"/>
    <s v="Puma"/>
    <s v="MER-A0-0048"/>
    <d v="2025-02-13T00:00:00"/>
    <x v="1"/>
    <n v="70.38"/>
    <n v="0.3"/>
    <n v="48.496000000000002"/>
    <x v="1"/>
    <s v="Sí"/>
    <d v="2025-01-25T00:00:00"/>
    <n v="3"/>
  </r>
  <r>
    <s v="DEP-A0-4191"/>
    <x v="0"/>
    <n v="45"/>
    <x v="1"/>
    <s v="Falda"/>
    <s v="Rojo"/>
    <s v="Levis"/>
    <s v="MER-A0-4191"/>
    <d v="2025-02-13T00:00:00"/>
    <x v="1"/>
    <n v="81.36"/>
    <n v="0.1"/>
    <n v="51.771999999999991"/>
    <x v="1"/>
    <s v="Sí"/>
    <d v="2025-01-02T00:00:00"/>
    <n v="3"/>
  </r>
  <r>
    <s v="DEP-A0-2610"/>
    <x v="0"/>
    <n v="45"/>
    <x v="1"/>
    <s v="Pantalón"/>
    <s v="Azul"/>
    <s v="Levis"/>
    <s v="MER-A0-2610"/>
    <d v="2025-01-04T00:00:00"/>
    <x v="1"/>
    <n v="115.93"/>
    <n v="0"/>
    <n v="100.152"/>
    <x v="1"/>
    <s v="Sí"/>
    <d v="2025-01-04T00:00:00"/>
    <n v="3"/>
  </r>
  <r>
    <s v="DEP-A0-3318"/>
    <x v="0"/>
    <n v="42"/>
    <x v="1"/>
    <s v="Camisa"/>
    <s v="Rojo"/>
    <s v="Levis"/>
    <s v="MER-A0-3318"/>
    <d v="2025-01-26T00:00:00"/>
    <x v="1"/>
    <n v="120.58"/>
    <n v="0.1"/>
    <n v="103.124"/>
    <x v="1"/>
    <s v="Sí"/>
    <d v="2025-01-26T00:00:00"/>
    <n v="6"/>
  </r>
  <r>
    <s v="DEP-A0-1151"/>
    <x v="0"/>
    <n v="42"/>
    <x v="1"/>
    <s v="Camisa"/>
    <s v="Azul"/>
    <s v="Tommy"/>
    <s v="MER-A0-1151"/>
    <d v="2025-01-30T00:00:00"/>
    <x v="1"/>
    <n v="124.48"/>
    <n v="0.3"/>
    <n v="29.603000000000002"/>
    <x v="1"/>
    <s v="Sí"/>
    <d v="2025-01-30T00:00:00"/>
    <n v="6"/>
  </r>
  <r>
    <s v="DEP-A0-1204"/>
    <x v="0"/>
    <n v="57"/>
    <x v="1"/>
    <s v="Zapatos"/>
    <s v="Negro"/>
    <s v="Tommy"/>
    <s v="MER-A0-1204"/>
    <d v="2025-01-27T00:00:00"/>
    <x v="1"/>
    <n v="134.85"/>
    <n v="0.1"/>
    <n v="55.043999999999997"/>
    <x v="1"/>
    <s v="Sí"/>
    <d v="2025-01-27T00:00:00"/>
    <n v="6"/>
  </r>
  <r>
    <s v="DEP-A0-1113"/>
    <x v="0"/>
    <n v="43"/>
    <x v="1"/>
    <s v="Pantalón"/>
    <s v="Blanco"/>
    <s v="Mango"/>
    <s v="MER-A0-1113"/>
    <d v="2025-01-04T00:00:00"/>
    <x v="1"/>
    <n v="135.4"/>
    <n v="0"/>
    <n v="115.26"/>
    <x v="1"/>
    <s v="Sí"/>
    <d v="2025-01-04T00:00:00"/>
    <n v="6"/>
  </r>
  <r>
    <s v="DEP-A0-3424"/>
    <x v="0"/>
    <n v="60"/>
    <x v="1"/>
    <s v="Blusa"/>
    <s v="Blanco"/>
    <s v="Nike"/>
    <s v="MER-A0-3424"/>
    <d v="2025-01-30T00:00:00"/>
    <x v="1"/>
    <n v="143.58000000000001"/>
    <n v="0.2"/>
    <n v="153.61000000000001"/>
    <x v="1"/>
    <s v="Sí"/>
    <d v="2025-01-30T00:00:00"/>
    <n v="6"/>
  </r>
  <r>
    <s v="DEP-A0-3490"/>
    <x v="0"/>
    <n v="59"/>
    <x v="1"/>
    <s v="Camisa"/>
    <s v="Rojo"/>
    <s v="Nike"/>
    <s v="MER-A0-3490"/>
    <d v="2025-01-27T00:00:00"/>
    <x v="1"/>
    <n v="159.93"/>
    <n v="0"/>
    <n v="174.006"/>
    <x v="1"/>
    <s v="Sí"/>
    <d v="2025-01-27T00:00:00"/>
    <n v="6"/>
  </r>
  <r>
    <s v="DEP-A0-4166"/>
    <x v="0"/>
    <n v="64"/>
    <x v="1"/>
    <s v="Falda"/>
    <s v="Negro"/>
    <s v="Tommy"/>
    <s v="MER-A0-4166"/>
    <d v="2025-01-18T00:00:00"/>
    <x v="1"/>
    <n v="163.22999999999999"/>
    <n v="0.1"/>
    <n v="33.838000000000001"/>
    <x v="1"/>
    <s v="Sí"/>
    <d v="2025-01-18T00:00:00"/>
    <n v="6"/>
  </r>
  <r>
    <s v="DEP-A0-4292"/>
    <x v="0"/>
    <n v="42"/>
    <x v="1"/>
    <s v="Falda"/>
    <s v="Verde"/>
    <s v="Nike"/>
    <s v="MER-A0-4292"/>
    <d v="2025-01-18T00:00:00"/>
    <x v="1"/>
    <n v="177.95"/>
    <n v="0.2"/>
    <n v="117.19799999999999"/>
    <x v="1"/>
    <s v="Sí"/>
    <d v="2025-01-18T00:00:00"/>
    <n v="3"/>
  </r>
  <r>
    <s v="DEP-A0-1260"/>
    <x v="0"/>
    <n v="65"/>
    <x v="1"/>
    <s v="Vestido"/>
    <s v="Rojo"/>
    <s v="Puma"/>
    <s v="MER-A0-1260"/>
    <d v="2025-01-21T00:00:00"/>
    <x v="1"/>
    <n v="178.29"/>
    <n v="0.1"/>
    <n v="141.09"/>
    <x v="1"/>
    <s v="Sí"/>
    <d v="2025-01-21T00:00:00"/>
    <n v="3"/>
  </r>
  <r>
    <s v="DEP-A0-2714"/>
    <x v="0"/>
    <n v="36"/>
    <x v="1"/>
    <s v="Falda"/>
    <s v="Verde"/>
    <s v="Adidas"/>
    <s v="MER-A0-2714"/>
    <d v="2025-01-16T00:00:00"/>
    <x v="1"/>
    <n v="181.73"/>
    <n v="0.1"/>
    <n v="165.15899999999999"/>
    <x v="1"/>
    <s v="Sí"/>
    <d v="2025-01-16T00:00:00"/>
    <n v="3"/>
  </r>
  <r>
    <s v="DEP-A0-3858"/>
    <x v="0"/>
    <n v="47"/>
    <x v="1"/>
    <s v="Vestido"/>
    <s v="Negro"/>
    <s v="Adidas"/>
    <s v="MER-A0-3858"/>
    <d v="2025-01-03T00:00:00"/>
    <x v="1"/>
    <n v="182.15"/>
    <n v="0.3"/>
    <n v="166.25700000000001"/>
    <x v="1"/>
    <s v="Sí"/>
    <d v="2025-01-03T00:00:00"/>
    <n v="3"/>
  </r>
  <r>
    <s v="DEP-A0-0173"/>
    <x v="1"/>
    <n v="55"/>
    <x v="1"/>
    <s v="Pantalón"/>
    <s v="Verde"/>
    <s v="Levis"/>
    <s v="MER-A0-0173"/>
    <d v="2025-01-08T00:00:00"/>
    <x v="1"/>
    <n v="189.63"/>
    <n v="0.1"/>
    <n v="136.983"/>
    <x v="1"/>
    <s v="Sí"/>
    <d v="2025-01-08T00:00:00"/>
    <n v="3"/>
  </r>
  <r>
    <s v="DEP-A0-0724"/>
    <x v="0"/>
    <n v="52"/>
    <x v="1"/>
    <s v="Chaqueta"/>
    <s v="Amarillo"/>
    <s v="Nike"/>
    <s v="MER-A0-0724"/>
    <d v="2025-02-13T00:00:00"/>
    <x v="1"/>
    <n v="198.26"/>
    <n v="0"/>
    <n v="77.311999999999998"/>
    <x v="1"/>
    <s v="Sí"/>
    <d v="2025-01-29T00:00:00"/>
    <n v="3"/>
  </r>
  <r>
    <s v="DEP-A0-1897"/>
    <x v="1"/>
    <n v="51"/>
    <x v="1"/>
    <s v="Pantalón"/>
    <s v="Negro"/>
    <s v="Zara"/>
    <s v="MER-A0-1897"/>
    <d v="2025-02-01T00:00:00"/>
    <x v="1"/>
    <n v="89.8"/>
    <n v="0"/>
    <n v="171.96"/>
    <x v="1"/>
    <s v="Sí"/>
    <d v="2025-02-01T00:00:00"/>
    <n v="3"/>
  </r>
  <r>
    <s v="DEP-A0-2569"/>
    <x v="1"/>
    <n v="41"/>
    <x v="1"/>
    <s v="Camisa"/>
    <s v="Verde"/>
    <s v="Levis"/>
    <s v="MER-A0-2569"/>
    <d v="2025-02-02T00:00:00"/>
    <x v="1"/>
    <n v="48.81"/>
    <n v="0.3"/>
    <n v="124.71"/>
    <x v="1"/>
    <s v="Sí"/>
    <d v="2025-02-02T00:00:00"/>
    <n v="6"/>
  </r>
  <r>
    <s v="DEP-A0-3459"/>
    <x v="0"/>
    <n v="36"/>
    <x v="1"/>
    <s v="Blusa"/>
    <s v="Gris"/>
    <s v="Nike"/>
    <s v="MER-A0-3459"/>
    <d v="2025-02-02T00:00:00"/>
    <x v="1"/>
    <n v="143.15"/>
    <n v="0.2"/>
    <n v="116.48700000000001"/>
    <x v="1"/>
    <s v="Sí"/>
    <d v="2025-02-02T00:00:00"/>
    <n v="6"/>
  </r>
  <r>
    <s v="DEP-A0-2594"/>
    <x v="0"/>
    <n v="42"/>
    <x v="1"/>
    <s v="Blusa"/>
    <s v="Blanco"/>
    <s v="Nike"/>
    <s v="MER-A0-2594"/>
    <d v="2025-02-03T00:00:00"/>
    <x v="1"/>
    <n v="90.62"/>
    <n v="0.2"/>
    <n v="96.299000000000007"/>
    <x v="1"/>
    <s v="Sí"/>
    <d v="2025-02-03T00:00:00"/>
    <n v="6"/>
  </r>
  <r>
    <s v="DEP-A0-4836"/>
    <x v="1"/>
    <n v="52"/>
    <x v="1"/>
    <s v="Camisa"/>
    <s v="Blanco"/>
    <s v="Levis"/>
    <s v="MER-A0-4836"/>
    <d v="2025-02-03T00:00:00"/>
    <x v="1"/>
    <n v="116.4"/>
    <n v="0.3"/>
    <n v="156.31"/>
    <x v="1"/>
    <s v="Sí"/>
    <d v="2025-02-03T00:00:00"/>
    <n v="6"/>
  </r>
  <r>
    <s v="DEP-A0-4461"/>
    <x v="1"/>
    <n v="62"/>
    <x v="1"/>
    <s v="Chaqueta"/>
    <s v="Gris"/>
    <s v="Puma"/>
    <s v="MER-A0-4461"/>
    <d v="2025-02-05T00:00:00"/>
    <x v="1"/>
    <n v="76.88"/>
    <n v="0.3"/>
    <n v="59.527999999999999"/>
    <x v="1"/>
    <s v="Sí"/>
    <d v="2025-02-05T00:00:00"/>
    <n v="6"/>
  </r>
  <r>
    <s v="DEP-A0-3508"/>
    <x v="0"/>
    <n v="52"/>
    <x v="1"/>
    <s v="Camisa"/>
    <s v="Amarillo"/>
    <s v="Levis"/>
    <s v="MER-A0-3508"/>
    <d v="2025-02-05T00:00:00"/>
    <x v="1"/>
    <n v="186.82"/>
    <n v="0.2"/>
    <n v="78.88300000000001"/>
    <x v="1"/>
    <s v="Sí"/>
    <d v="2025-02-05T00:00:00"/>
    <n v="3"/>
  </r>
  <r>
    <s v="DEP-A0-4458"/>
    <x v="0"/>
    <n v="41"/>
    <x v="1"/>
    <s v="Chaqueta"/>
    <s v="Negro"/>
    <s v="Mango"/>
    <s v="MER-A0-4458"/>
    <d v="2025-02-10T00:00:00"/>
    <x v="1"/>
    <n v="154.31"/>
    <n v="0"/>
    <n v="191.03"/>
    <x v="1"/>
    <s v="Sí"/>
    <d v="2025-02-10T00:00:00"/>
    <n v="3"/>
  </r>
  <r>
    <s v="DEP-A0-2828"/>
    <x v="1"/>
    <n v="62"/>
    <x v="1"/>
    <s v="Chaqueta"/>
    <s v="Negro"/>
    <s v="Puma"/>
    <s v="MER-A0-2828"/>
    <d v="2025-02-10T00:00:00"/>
    <x v="1"/>
    <n v="172.01"/>
    <n v="0"/>
    <n v="62.173999999999992"/>
    <x v="1"/>
    <s v="Sí"/>
    <d v="2025-02-10T00:00:00"/>
    <n v="3"/>
  </r>
  <r>
    <s v="DEP-A0-1430"/>
    <x v="1"/>
    <n v="56"/>
    <x v="1"/>
    <s v="Camisa"/>
    <s v="Blanco"/>
    <s v="Zara"/>
    <s v="MER-A0-1430"/>
    <d v="2025-02-11T00:00:00"/>
    <x v="1"/>
    <n v="98.33"/>
    <n v="0.3"/>
    <n v="51.632000000000005"/>
    <x v="1"/>
    <s v="Sí"/>
    <d v="2025-02-11T00:00:00"/>
    <n v="3"/>
  </r>
  <r>
    <s v="DEP-A0-3657"/>
    <x v="0"/>
    <n v="64"/>
    <x v="1"/>
    <s v="Pantalón"/>
    <s v="Rojo"/>
    <s v="Adidas"/>
    <s v="MER-A0-3657"/>
    <d v="2025-02-12T00:00:00"/>
    <x v="1"/>
    <n v="176.89"/>
    <n v="0.2"/>
    <n v="122.05200000000002"/>
    <x v="1"/>
    <s v="Sí"/>
    <d v="2025-02-12T00:00:00"/>
    <n v="6"/>
  </r>
  <r>
    <s v="DEP-A0-1331"/>
    <x v="0"/>
    <n v="63"/>
    <x v="1"/>
    <s v="Pantalón"/>
    <s v="Blanco"/>
    <s v="Nike"/>
    <s v="MER-A0-1331"/>
    <d v="2025-02-15T00:00:00"/>
    <x v="1"/>
    <n v="10.68"/>
    <n v="0.1"/>
    <n v="25.5"/>
    <x v="1"/>
    <s v="Sí"/>
    <d v="2025-02-15T00:00:00"/>
    <n v="6"/>
  </r>
  <r>
    <s v="DEP-A0-0176"/>
    <x v="1"/>
    <n v="57"/>
    <x v="1"/>
    <s v="Chaqueta"/>
    <s v="Negro"/>
    <s v="Zara"/>
    <s v="MER-A0-0176"/>
    <d v="2025-02-15T00:00:00"/>
    <x v="1"/>
    <n v="35.94"/>
    <n v="0"/>
    <n v="27.26"/>
    <x v="1"/>
    <s v="Sí"/>
    <d v="2025-02-15T00:00:00"/>
    <n v="6"/>
  </r>
  <r>
    <s v="DEP-A0-4085"/>
    <x v="1"/>
    <n v="48"/>
    <x v="1"/>
    <s v="Camisa"/>
    <s v="Blanco"/>
    <s v="Levis"/>
    <s v="MER-A0-4085"/>
    <d v="2025-02-15T00:00:00"/>
    <x v="1"/>
    <n v="163.41"/>
    <n v="0.2"/>
    <n v="45.32"/>
    <x v="1"/>
    <s v="Sí"/>
    <d v="2025-02-15T00:00:00"/>
    <n v="6"/>
  </r>
  <r>
    <s v="DEP-A0-4622"/>
    <x v="1"/>
    <n v="55"/>
    <x v="1"/>
    <s v="Chaqueta"/>
    <s v="Azul"/>
    <s v="Adidas"/>
    <s v="MER-A0-4622"/>
    <d v="2025-02-16T00:00:00"/>
    <x v="1"/>
    <n v="93.12"/>
    <n v="0.1"/>
    <n v="66.290000000000006"/>
    <x v="1"/>
    <s v="Sí"/>
    <d v="2025-02-16T00:00:00"/>
    <n v="6"/>
  </r>
  <r>
    <s v="DEP-A0-4174"/>
    <x v="0"/>
    <n v="55"/>
    <x v="1"/>
    <s v="Falda"/>
    <s v="Verde"/>
    <s v="Levis"/>
    <s v="MER-A0-4174"/>
    <d v="2025-02-19T00:00:00"/>
    <x v="1"/>
    <n v="34.119999999999997"/>
    <n v="0.1"/>
    <n v="77.775999999999996"/>
    <x v="1"/>
    <s v="Sí"/>
    <d v="2025-02-19T00:00:00"/>
    <n v="6"/>
  </r>
  <r>
    <s v="DEP-A0-0222"/>
    <x v="0"/>
    <n v="41"/>
    <x v="1"/>
    <s v="Vestido"/>
    <s v="Verde"/>
    <s v="Tommy"/>
    <s v="MER-A0-0222"/>
    <d v="2025-02-24T00:00:00"/>
    <x v="1"/>
    <n v="57.83"/>
    <n v="0.3"/>
    <n v="88"/>
    <x v="1"/>
    <s v="Sí"/>
    <d v="2025-02-24T00:00:00"/>
    <n v="3"/>
  </r>
  <r>
    <s v="DEP-A0-2862"/>
    <x v="0"/>
    <n v="50"/>
    <x v="1"/>
    <s v="Blusa"/>
    <s v="Rojo"/>
    <s v="Adidas"/>
    <s v="MER-A0-2862"/>
    <d v="2025-02-25T00:00:00"/>
    <x v="1"/>
    <n v="35.29"/>
    <n v="0.1"/>
    <n v="99.111999999999995"/>
    <x v="1"/>
    <s v="Sí"/>
    <d v="2025-02-25T00:00:00"/>
    <n v="3"/>
  </r>
  <r>
    <s v="DEP-A0-0839"/>
    <x v="1"/>
    <n v="47"/>
    <x v="1"/>
    <s v="Camisa"/>
    <s v="Negro"/>
    <s v="Adidas"/>
    <s v="MER-A0-0839"/>
    <d v="2025-02-28T00:00:00"/>
    <x v="1"/>
    <n v="49.34"/>
    <n v="0.2"/>
    <n v="136.976"/>
    <x v="1"/>
    <s v="Sí"/>
    <d v="2025-02-28T00:00:00"/>
    <n v="3"/>
  </r>
  <r>
    <s v="DEP-A0-1602"/>
    <x v="1"/>
    <n v="57"/>
    <x v="1"/>
    <s v="Camisa"/>
    <s v="Azul"/>
    <s v="Puma"/>
    <s v="MER-A0-1602"/>
    <d v="2025-02-28T00:00:00"/>
    <x v="1"/>
    <n v="198.5"/>
    <n v="0.2"/>
    <n v="175.91"/>
    <x v="1"/>
    <s v="Sí"/>
    <d v="2025-02-28T00:00:00"/>
    <n v="3"/>
  </r>
  <r>
    <s v="DEP-A0-1956"/>
    <x v="0"/>
    <n v="56"/>
    <x v="1"/>
    <s v="Falda"/>
    <s v="Negro"/>
    <s v="Adidas"/>
    <s v="MER-A0-1956"/>
    <d v="2025-03-12T00:00:00"/>
    <x v="1"/>
    <n v="11.64"/>
    <n v="0.1"/>
    <n v="155.14400000000001"/>
    <x v="1"/>
    <s v="Sí"/>
    <d v="2025-03-12T00:00:00"/>
    <n v="3"/>
  </r>
  <r>
    <s v="DEP-A0-2191"/>
    <x v="1"/>
    <n v="41"/>
    <x v="1"/>
    <s v="Zapatos"/>
    <s v="Gris"/>
    <s v="Adidas"/>
    <s v="MER-A0-2191"/>
    <d v="2025-03-03T00:00:00"/>
    <x v="1"/>
    <n v="19.72"/>
    <n v="0"/>
    <n v="19.143000000000001"/>
    <x v="1"/>
    <s v="Sí"/>
    <d v="2025-03-03T00:00:00"/>
    <n v="3"/>
  </r>
  <r>
    <s v="DEP-A0-2364"/>
    <x v="1"/>
    <n v="42"/>
    <x v="1"/>
    <s v="Chaqueta"/>
    <s v="Azul"/>
    <s v="Puma"/>
    <s v="MER-A0-2364"/>
    <d v="2025-03-13T00:00:00"/>
    <x v="1"/>
    <n v="23.58"/>
    <n v="0.3"/>
    <n v="27.560000000000002"/>
    <x v="1"/>
    <s v="Sí"/>
    <d v="2025-03-13T00:00:00"/>
    <n v="3"/>
  </r>
  <r>
    <s v="DEP-A0-0795"/>
    <x v="0"/>
    <n v="57"/>
    <x v="1"/>
    <s v="Camisa"/>
    <s v="Blanco"/>
    <s v="Levis"/>
    <s v="MER-A0-0795"/>
    <d v="2025-03-02T00:00:00"/>
    <x v="1"/>
    <n v="34.229999999999997"/>
    <n v="0.3"/>
    <n v="34.460999999999999"/>
    <x v="1"/>
    <s v="Sí"/>
    <d v="2025-03-02T00:00:00"/>
    <n v="3"/>
  </r>
  <r>
    <s v="DEP-A0-4570"/>
    <x v="1"/>
    <n v="58"/>
    <x v="1"/>
    <s v="Pantalón"/>
    <s v="Rojo"/>
    <s v="Tommy"/>
    <s v="MER-A0-4570"/>
    <d v="2025-03-18T00:00:00"/>
    <x v="1"/>
    <n v="42.76"/>
    <n v="0"/>
    <n v="65.544000000000011"/>
    <x v="1"/>
    <s v="Sí"/>
    <d v="2025-03-18T00:00:00"/>
    <n v="3"/>
  </r>
  <r>
    <s v="DEP-A0-2552"/>
    <x v="0"/>
    <n v="60"/>
    <x v="1"/>
    <s v="Falda"/>
    <s v="Blanco"/>
    <s v="Puma"/>
    <s v="MER-A0-2552"/>
    <d v="2025-03-28T00:00:00"/>
    <x v="1"/>
    <n v="51.14"/>
    <n v="0.1"/>
    <n v="69.103999999999999"/>
    <x v="1"/>
    <s v="Sí"/>
    <d v="2025-03-28T00:00:00"/>
    <n v="6"/>
  </r>
  <r>
    <s v="DEP-A0-0363"/>
    <x v="1"/>
    <n v="40"/>
    <x v="1"/>
    <s v="Chaqueta"/>
    <s v="Rojo"/>
    <s v="Levis"/>
    <s v="MER-A0-0363"/>
    <d v="2025-03-11T00:00:00"/>
    <x v="1"/>
    <n v="55.47"/>
    <n v="0.3"/>
    <n v="109.06400000000001"/>
    <x v="1"/>
    <s v="Sí"/>
    <d v="2025-03-11T00:00:00"/>
    <n v="6"/>
  </r>
  <r>
    <s v="DEP-A0-1923"/>
    <x v="0"/>
    <n v="46"/>
    <x v="1"/>
    <s v="Chaqueta"/>
    <s v="Amarillo"/>
    <s v="Tommy"/>
    <s v="MER-A0-1923"/>
    <d v="2025-03-04T00:00:00"/>
    <x v="1"/>
    <n v="57.97"/>
    <n v="0"/>
    <n v="139.5"/>
    <x v="1"/>
    <s v="Sí"/>
    <d v="2025-03-04T00:00:00"/>
    <n v="6"/>
  </r>
  <r>
    <s v="DEP-A0-3040"/>
    <x v="0"/>
    <n v="38"/>
    <x v="1"/>
    <s v="Falda"/>
    <s v="Rojo"/>
    <s v="Mango"/>
    <s v="MER-A0-3040"/>
    <d v="2025-03-02T00:00:00"/>
    <x v="1"/>
    <n v="62.39"/>
    <n v="0.2"/>
    <n v="56.576000000000001"/>
    <x v="1"/>
    <s v="Sí"/>
    <d v="2025-03-02T00:00:00"/>
    <n v="6"/>
  </r>
  <r>
    <s v="DEP-A0-2541"/>
    <x v="0"/>
    <n v="47"/>
    <x v="1"/>
    <s v="Vestido"/>
    <s v="Gris"/>
    <s v="Tommy"/>
    <s v="MER-A0-2541"/>
    <d v="2025-03-13T00:00:00"/>
    <x v="1"/>
    <n v="64.959999999999994"/>
    <n v="0.3"/>
    <n v="81.96"/>
    <x v="1"/>
    <s v="Sí"/>
    <d v="2025-03-13T00:00:00"/>
    <n v="6"/>
  </r>
  <r>
    <s v="DEP-A0-1097"/>
    <x v="0"/>
    <n v="65"/>
    <x v="1"/>
    <s v="Vestido"/>
    <s v="Amarillo"/>
    <s v="Adidas"/>
    <s v="MER-A0-1097"/>
    <d v="2025-03-12T00:00:00"/>
    <x v="1"/>
    <n v="68.290000000000006"/>
    <n v="0.1"/>
    <n v="103.878"/>
    <x v="1"/>
    <s v="Sí"/>
    <d v="2025-03-12T00:00:00"/>
    <n v="6"/>
  </r>
  <r>
    <s v="DEP-A0-3577"/>
    <x v="0"/>
    <n v="44"/>
    <x v="1"/>
    <s v="Chaqueta"/>
    <s v="Verde"/>
    <s v="Tommy"/>
    <s v="MER-A0-3577"/>
    <d v="2025-03-10T00:00:00"/>
    <x v="1"/>
    <n v="77.19"/>
    <n v="0"/>
    <n v="179.83799999999999"/>
    <x v="1"/>
    <s v="Sí"/>
    <d v="2025-03-10T00:00:00"/>
    <n v="6"/>
  </r>
  <r>
    <s v="DEP-A0-0416"/>
    <x v="0"/>
    <n v="44"/>
    <x v="1"/>
    <s v="Camisa"/>
    <s v="Rojo"/>
    <s v="Zara"/>
    <s v="MER-A0-0416"/>
    <d v="2025-03-11T00:00:00"/>
    <x v="1"/>
    <n v="83.27"/>
    <n v="0"/>
    <n v="109.512"/>
    <x v="1"/>
    <s v="Sí"/>
    <d v="2025-03-11T00:00:00"/>
    <n v="3"/>
  </r>
  <r>
    <s v="DEP-A0-3442"/>
    <x v="1"/>
    <n v="39"/>
    <x v="1"/>
    <s v="Zapatos"/>
    <s v="Negro"/>
    <s v="Mango"/>
    <s v="MER-A0-3442"/>
    <d v="2025-03-21T00:00:00"/>
    <x v="1"/>
    <n v="85.97"/>
    <n v="0"/>
    <n v="129.51"/>
    <x v="1"/>
    <s v="Sí"/>
    <d v="2025-03-21T00:00:00"/>
    <n v="3"/>
  </r>
  <r>
    <s v="DEP-A0-2161"/>
    <x v="0"/>
    <n v="51"/>
    <x v="1"/>
    <s v="Falda"/>
    <s v="Gris"/>
    <s v="Adidas"/>
    <s v="MER-A0-2161"/>
    <d v="2025-03-09T00:00:00"/>
    <x v="1"/>
    <n v="86.28"/>
    <n v="0.1"/>
    <n v="137.47200000000001"/>
    <x v="1"/>
    <s v="Sí"/>
    <d v="2025-03-09T00:00:00"/>
    <n v="3"/>
  </r>
  <r>
    <s v="DEP-A0-4985"/>
    <x v="0"/>
    <n v="60"/>
    <x v="1"/>
    <s v="Vestido"/>
    <s v="Verde"/>
    <s v="Levis"/>
    <s v="MER-A0-4985"/>
    <d v="2025-03-07T00:00:00"/>
    <x v="1"/>
    <n v="99.93"/>
    <n v="0.1"/>
    <n v="33.808"/>
    <x v="1"/>
    <s v="Sí"/>
    <d v="2025-03-07T00:00:00"/>
    <n v="3"/>
  </r>
  <r>
    <s v="DEP-A0-1337"/>
    <x v="0"/>
    <n v="41"/>
    <x v="1"/>
    <s v="Zapatos"/>
    <s v="Verde"/>
    <s v="Tommy"/>
    <s v="MER-A0-1337"/>
    <d v="2025-03-16T00:00:00"/>
    <x v="1"/>
    <n v="104.64"/>
    <n v="0.1"/>
    <n v="52.09"/>
    <x v="1"/>
    <s v="Sí"/>
    <d v="2025-03-16T00:00:00"/>
    <n v="3"/>
  </r>
  <r>
    <s v="DEP-A0-1592"/>
    <x v="0"/>
    <n v="65"/>
    <x v="1"/>
    <s v="Vestido"/>
    <s v="Azul"/>
    <s v="Levis"/>
    <s v="MER-A0-1592"/>
    <d v="2025-03-04T00:00:00"/>
    <x v="1"/>
    <n v="112.54"/>
    <n v="0"/>
    <n v="47.257000000000005"/>
    <x v="1"/>
    <s v="Sí"/>
    <d v="2025-03-04T00:00:00"/>
    <n v="3"/>
  </r>
  <r>
    <s v="DEP-A0-4421"/>
    <x v="0"/>
    <n v="61"/>
    <x v="1"/>
    <s v="Zapatos"/>
    <s v="Amarillo"/>
    <s v="Mango"/>
    <s v="MER-A0-4421"/>
    <d v="2025-03-28T00:00:00"/>
    <x v="1"/>
    <n v="118.96"/>
    <n v="0"/>
    <n v="150.77600000000001"/>
    <x v="1"/>
    <s v="Sí"/>
    <d v="2025-03-28T00:00:00"/>
    <n v="3"/>
  </r>
  <r>
    <s v="DEP-A0-2356"/>
    <x v="0"/>
    <n v="44"/>
    <x v="1"/>
    <s v="Falda"/>
    <s v="Gris"/>
    <s v="Tommy"/>
    <s v="MER-A0-2356"/>
    <d v="2025-03-26T00:00:00"/>
    <x v="1"/>
    <n v="123.98"/>
    <n v="0.3"/>
    <n v="130.34"/>
    <x v="1"/>
    <s v="Sí"/>
    <d v="2025-03-26T00:00:00"/>
    <n v="3"/>
  </r>
  <r>
    <s v="DEP-A0-2273"/>
    <x v="0"/>
    <n v="39"/>
    <x v="1"/>
    <s v="Chaqueta"/>
    <s v="Rojo"/>
    <s v="Nike"/>
    <s v="MER-A0-2273"/>
    <d v="2025-03-25T00:00:00"/>
    <x v="1"/>
    <n v="132.24"/>
    <n v="0.2"/>
    <n v="24.177999999999997"/>
    <x v="1"/>
    <s v="Sí"/>
    <d v="2025-03-25T00:00:00"/>
    <n v="6"/>
  </r>
  <r>
    <s v="DEP-A0-2578"/>
    <x v="0"/>
    <n v="63"/>
    <x v="1"/>
    <s v="Vestido"/>
    <s v="Azul"/>
    <s v="Levis"/>
    <s v="MER-A0-2578"/>
    <d v="2025-03-01T00:00:00"/>
    <x v="1"/>
    <n v="136.03"/>
    <n v="0.3"/>
    <n v="84.7"/>
    <x v="1"/>
    <s v="Sí"/>
    <d v="2025-03-01T00:00:00"/>
    <n v="6"/>
  </r>
  <r>
    <s v="DEP-A0-4138"/>
    <x v="1"/>
    <n v="54"/>
    <x v="1"/>
    <s v="Zapatos"/>
    <s v="Amarillo"/>
    <s v="Levis"/>
    <s v="MER-A0-4138"/>
    <d v="2025-03-03T00:00:00"/>
    <x v="1"/>
    <n v="148.25"/>
    <n v="0.1"/>
    <n v="153.26"/>
    <x v="1"/>
    <s v="Sí"/>
    <d v="2025-03-03T00:00:00"/>
    <n v="6"/>
  </r>
  <r>
    <s v="DEP-A0-0316"/>
    <x v="0"/>
    <n v="41"/>
    <x v="1"/>
    <s v="Blusa"/>
    <s v="Rojo"/>
    <s v="Adidas"/>
    <s v="MER-A0-0316"/>
    <d v="2025-03-24T00:00:00"/>
    <x v="1"/>
    <n v="157.32"/>
    <n v="0.2"/>
    <n v="139.447"/>
    <x v="1"/>
    <s v="Sí"/>
    <d v="2025-03-24T00:00:00"/>
    <n v="6"/>
  </r>
  <r>
    <s v="DEP-A0-4903"/>
    <x v="0"/>
    <n v="58"/>
    <x v="1"/>
    <s v="Chaqueta"/>
    <s v="Rojo"/>
    <s v="Adidas"/>
    <s v="MER-A0-4903"/>
    <d v="2025-03-12T00:00:00"/>
    <x v="1"/>
    <n v="161.83000000000001"/>
    <n v="0"/>
    <n v="179.55"/>
    <x v="1"/>
    <s v="Sí"/>
    <d v="2025-03-12T00:00:00"/>
    <n v="6"/>
  </r>
  <r>
    <s v="DEP-A0-0804"/>
    <x v="1"/>
    <n v="61"/>
    <x v="1"/>
    <s v="Camisa"/>
    <s v="Amarillo"/>
    <s v="Mango"/>
    <s v="MER-A0-0804"/>
    <d v="2025-03-31T00:00:00"/>
    <x v="1"/>
    <n v="162.26"/>
    <n v="0.3"/>
    <n v="13.208000000000002"/>
    <x v="1"/>
    <s v="Sí"/>
    <d v="2025-03-31T00:00:00"/>
    <n v="6"/>
  </r>
  <r>
    <s v="DEP-A0-2323"/>
    <x v="1"/>
    <n v="38"/>
    <x v="1"/>
    <s v="Pantalón"/>
    <s v="Negro"/>
    <s v="Levis"/>
    <s v="MER-A0-2323"/>
    <d v="2025-03-11T00:00:00"/>
    <x v="1"/>
    <n v="170.98"/>
    <n v="0"/>
    <n v="59.921999999999997"/>
    <x v="1"/>
    <s v="Sí"/>
    <d v="2025-03-11T00:00:00"/>
    <n v="3"/>
  </r>
  <r>
    <s v="DEP-A0-2674"/>
    <x v="1"/>
    <n v="48"/>
    <x v="1"/>
    <s v="Camisa"/>
    <s v="Verde"/>
    <s v="Puma"/>
    <s v="MER-A0-2674"/>
    <d v="2025-03-01T00:00:00"/>
    <x v="1"/>
    <n v="195.29"/>
    <n v="0"/>
    <n v="104.93"/>
    <x v="1"/>
    <s v="Sí"/>
    <d v="2025-03-01T00:00:00"/>
    <n v="3"/>
  </r>
  <r>
    <s v="DEP-A0-2221"/>
    <x v="0"/>
    <n v="64"/>
    <x v="1"/>
    <s v="Blusa"/>
    <s v="Negro"/>
    <s v="Puma"/>
    <s v="MER-A0-2221"/>
    <d v="2025-04-09T00:00:00"/>
    <x v="1"/>
    <n v="10.56"/>
    <n v="0"/>
    <n v="75.152000000000001"/>
    <x v="1"/>
    <s v="Sí"/>
    <d v="2025-04-09T00:00:00"/>
    <n v="3"/>
  </r>
  <r>
    <s v="DEP-A0-2983"/>
    <x v="0"/>
    <n v="49"/>
    <x v="1"/>
    <s v="Vestido"/>
    <s v="Gris"/>
    <s v="Puma"/>
    <s v="MER-A0-2983"/>
    <d v="2025-04-06T00:00:00"/>
    <x v="1"/>
    <n v="14.14"/>
    <n v="0.2"/>
    <n v="93.744"/>
    <x v="1"/>
    <s v="Sí"/>
    <d v="2025-04-06T00:00:00"/>
    <n v="3"/>
  </r>
  <r>
    <s v="DEP-A0-3768"/>
    <x v="0"/>
    <n v="53"/>
    <x v="1"/>
    <s v="Zapatos"/>
    <s v="Rojo"/>
    <s v="Tommy"/>
    <s v="MER-A0-3768"/>
    <d v="2025-04-13T00:00:00"/>
    <x v="1"/>
    <n v="28.5"/>
    <n v="0.2"/>
    <n v="8.2080000000000002"/>
    <x v="1"/>
    <s v="Sí"/>
    <d v="2025-04-13T00:00:00"/>
    <n v="3"/>
  </r>
  <r>
    <s v="DEP-A0-2214"/>
    <x v="0"/>
    <n v="50"/>
    <x v="1"/>
    <s v="Blusa"/>
    <s v="Blanco"/>
    <s v="Levis"/>
    <s v="MER-A0-2214"/>
    <d v="2025-04-30T00:00:00"/>
    <x v="1"/>
    <n v="39.049999999999997"/>
    <n v="0.3"/>
    <n v="8.5749999999999993"/>
    <x v="1"/>
    <s v="Sí"/>
    <d v="2025-04-30T00:00:00"/>
    <n v="3"/>
  </r>
  <r>
    <s v="DEP-A0-4001"/>
    <x v="1"/>
    <n v="44"/>
    <x v="1"/>
    <s v="Chaqueta"/>
    <s v="Blanco"/>
    <s v="Nike"/>
    <s v="MER-A0-4001"/>
    <d v="2025-04-19T00:00:00"/>
    <x v="1"/>
    <n v="43.71"/>
    <n v="0.3"/>
    <n v="11.391999999999999"/>
    <x v="1"/>
    <s v="Sí"/>
    <d v="2025-04-19T00:00:00"/>
    <n v="3"/>
  </r>
  <r>
    <s v="DEP-A0-3228"/>
    <x v="1"/>
    <n v="63"/>
    <x v="1"/>
    <s v="Camisa"/>
    <s v="Verde"/>
    <s v="Mango"/>
    <s v="MER-A0-3228"/>
    <d v="2025-04-21T00:00:00"/>
    <x v="1"/>
    <n v="63.02"/>
    <n v="0.1"/>
    <n v="46.688000000000002"/>
    <x v="1"/>
    <s v="Sí"/>
    <d v="2025-04-21T00:00:00"/>
    <n v="6"/>
  </r>
  <r>
    <s v="DEP-A0-3738"/>
    <x v="0"/>
    <n v="53"/>
    <x v="1"/>
    <s v="Falda"/>
    <s v="Azul"/>
    <s v="Adidas"/>
    <s v="MER-A0-3738"/>
    <d v="2025-04-08T00:00:00"/>
    <x v="1"/>
    <n v="66.180000000000007"/>
    <n v="0"/>
    <n v="95.82"/>
    <x v="1"/>
    <s v="Sí"/>
    <d v="2025-04-08T00:00:00"/>
    <n v="6"/>
  </r>
  <r>
    <s v="DEP-A0-0407"/>
    <x v="0"/>
    <n v="59"/>
    <x v="1"/>
    <s v="Pantalón"/>
    <s v="Negro"/>
    <s v="Adidas"/>
    <s v="MER-A0-0407"/>
    <d v="2025-04-09T00:00:00"/>
    <x v="1"/>
    <n v="69.760000000000005"/>
    <n v="0"/>
    <n v="106.83"/>
    <x v="1"/>
    <s v="Sí"/>
    <d v="2025-04-09T00:00:00"/>
    <n v="6"/>
  </r>
  <r>
    <s v="DEP-A0-1022"/>
    <x v="0"/>
    <n v="62"/>
    <x v="1"/>
    <s v="Vestido"/>
    <s v="Blanco"/>
    <s v="Adidas"/>
    <s v="MER-A0-1022"/>
    <d v="2025-04-14T00:00:00"/>
    <x v="1"/>
    <n v="83.72"/>
    <n v="0.3"/>
    <n v="120.45"/>
    <x v="1"/>
    <s v="Sí"/>
    <d v="2025-04-14T00:00:00"/>
    <n v="6"/>
  </r>
  <r>
    <s v="DEP-A0-3404"/>
    <x v="0"/>
    <n v="65"/>
    <x v="1"/>
    <s v="Pantalón"/>
    <s v="Negro"/>
    <s v="Levis"/>
    <s v="MER-A0-3404"/>
    <d v="2025-04-18T00:00:00"/>
    <x v="1"/>
    <n v="94.07"/>
    <n v="0.1"/>
    <n v="150.23699999999999"/>
    <x v="1"/>
    <s v="Sí"/>
    <d v="2025-04-18T00:00:00"/>
    <n v="6"/>
  </r>
  <r>
    <s v="DEP-A0-4116"/>
    <x v="0"/>
    <n v="40"/>
    <x v="1"/>
    <s v="Falda"/>
    <s v="Verde"/>
    <s v="Zara"/>
    <s v="MER-A0-4116"/>
    <d v="2025-04-21T00:00:00"/>
    <x v="1"/>
    <n v="104.3"/>
    <n v="0.3"/>
    <n v="65.400000000000006"/>
    <x v="1"/>
    <s v="Sí"/>
    <d v="2025-04-21T00:00:00"/>
    <n v="6"/>
  </r>
  <r>
    <s v="DEP-A0-2079"/>
    <x v="0"/>
    <n v="65"/>
    <x v="1"/>
    <s v="Vestido"/>
    <s v="Amarillo"/>
    <s v="Zara"/>
    <s v="MER-A0-2079"/>
    <d v="2025-04-22T00:00:00"/>
    <x v="1"/>
    <n v="109.26"/>
    <n v="0"/>
    <n v="76.66"/>
    <x v="1"/>
    <s v="Sí"/>
    <d v="2025-04-22T00:00:00"/>
    <n v="3"/>
  </r>
  <r>
    <s v="DEP-A0-4519"/>
    <x v="0"/>
    <n v="61"/>
    <x v="1"/>
    <s v="Zapatos"/>
    <s v="Amarillo"/>
    <s v="Puma"/>
    <s v="MER-A0-4519"/>
    <d v="2025-04-21T00:00:00"/>
    <x v="1"/>
    <n v="109.31"/>
    <n v="0"/>
    <n v="99.170999999999992"/>
    <x v="1"/>
    <s v="Sí"/>
    <d v="2025-04-21T00:00:00"/>
    <n v="3"/>
  </r>
  <r>
    <s v="DEP-A0-1392"/>
    <x v="1"/>
    <n v="36"/>
    <x v="1"/>
    <s v="Camisa"/>
    <s v="Negro"/>
    <s v="Mango"/>
    <s v="MER-A0-1392"/>
    <d v="2025-04-30T00:00:00"/>
    <x v="1"/>
    <n v="118.22"/>
    <n v="0.3"/>
    <n v="92.52600000000001"/>
    <x v="1"/>
    <s v="Sí"/>
    <d v="2025-04-30T00:00:00"/>
    <n v="3"/>
  </r>
  <r>
    <s v="DEP-A0-0029"/>
    <x v="0"/>
    <n v="58"/>
    <x v="1"/>
    <s v="Vestido"/>
    <s v="Rojo"/>
    <s v="Adidas"/>
    <s v="MER-A0-0029"/>
    <d v="2025-04-14T00:00:00"/>
    <x v="1"/>
    <n v="121.19"/>
    <n v="0.2"/>
    <n v="131.03100000000001"/>
    <x v="1"/>
    <s v="Sí"/>
    <d v="2025-04-14T00:00:00"/>
    <n v="3"/>
  </r>
  <r>
    <s v="DEP-A0-0098"/>
    <x v="0"/>
    <n v="41"/>
    <x v="1"/>
    <s v="Falda"/>
    <s v="Verde"/>
    <s v="Tommy"/>
    <s v="MER-A0-0098"/>
    <d v="2025-04-02T00:00:00"/>
    <x v="1"/>
    <n v="123.38"/>
    <n v="0.1"/>
    <n v="54.97"/>
    <x v="1"/>
    <s v="Sí"/>
    <d v="2025-04-02T00:00:00"/>
    <n v="3"/>
  </r>
  <r>
    <s v="DEP-A0-3212"/>
    <x v="0"/>
    <n v="65"/>
    <x v="1"/>
    <s v="Blusa"/>
    <s v="Blanco"/>
    <s v="Puma"/>
    <s v="MER-A0-3212"/>
    <d v="2025-04-06T00:00:00"/>
    <x v="1"/>
    <n v="126.69"/>
    <n v="0.2"/>
    <n v="93.312000000000012"/>
    <x v="1"/>
    <s v="Sí"/>
    <d v="2025-04-06T00:00:00"/>
    <n v="3"/>
  </r>
  <r>
    <s v="DEP-A0-0097"/>
    <x v="0"/>
    <n v="51"/>
    <x v="1"/>
    <s v="Camisa"/>
    <s v="Azul"/>
    <s v="Mango"/>
    <s v="MER-A0-0097"/>
    <d v="2025-04-02T00:00:00"/>
    <x v="1"/>
    <n v="140.9"/>
    <n v="0"/>
    <n v="127.01499999999999"/>
    <x v="1"/>
    <s v="Sí"/>
    <d v="2025-04-02T00:00:00"/>
    <n v="6"/>
  </r>
  <r>
    <s v="DEP-A0-3853"/>
    <x v="0"/>
    <n v="51"/>
    <x v="1"/>
    <s v="Falda"/>
    <s v="Blanco"/>
    <s v="Zara"/>
    <s v="MER-A0-3853"/>
    <d v="2025-04-22T00:00:00"/>
    <x v="1"/>
    <n v="142.43"/>
    <n v="0.1"/>
    <n v="110.655"/>
    <x v="1"/>
    <s v="Sí"/>
    <d v="2025-04-22T00:00:00"/>
    <n v="6"/>
  </r>
  <r>
    <s v="DEP-A0-2720"/>
    <x v="0"/>
    <n v="43"/>
    <x v="1"/>
    <s v="Falda"/>
    <s v="Azul"/>
    <s v="Adidas"/>
    <s v="MER-A0-2720"/>
    <d v="2025-04-11T00:00:00"/>
    <x v="1"/>
    <n v="152.86000000000001"/>
    <n v="0.3"/>
    <n v="151.97"/>
    <x v="1"/>
    <s v="Sí"/>
    <d v="2025-04-11T00:00:00"/>
    <n v="6"/>
  </r>
  <r>
    <s v="DEP-A0-4286"/>
    <x v="0"/>
    <n v="37"/>
    <x v="1"/>
    <s v="Blusa"/>
    <s v="Negro"/>
    <s v="Zara"/>
    <s v="MER-A0-4286"/>
    <d v="2025-04-07T00:00:00"/>
    <x v="1"/>
    <n v="165.09"/>
    <n v="0"/>
    <n v="129.892"/>
    <x v="1"/>
    <s v="Sí"/>
    <d v="2025-04-07T00:00:00"/>
    <n v="6"/>
  </r>
  <r>
    <s v="DEP-A0-3234"/>
    <x v="1"/>
    <n v="63"/>
    <x v="1"/>
    <s v="Camisa"/>
    <s v="Negro"/>
    <s v="Mango"/>
    <s v="MER-A0-3234"/>
    <d v="2025-04-18T00:00:00"/>
    <x v="1"/>
    <n v="175.6"/>
    <n v="0.3"/>
    <n v="24.59"/>
    <x v="1"/>
    <s v="Sí"/>
    <d v="2025-04-18T00:00:00"/>
    <n v="6"/>
  </r>
  <r>
    <s v="DEP-A0-0858"/>
    <x v="0"/>
    <n v="63"/>
    <x v="1"/>
    <s v="Camisa"/>
    <s v="Rojo"/>
    <s v="Tommy"/>
    <s v="MER-A0-0858"/>
    <d v="2025-04-18T00:00:00"/>
    <x v="1"/>
    <n v="180.85"/>
    <n v="0.3"/>
    <n v="132.17400000000001"/>
    <x v="1"/>
    <s v="Sí"/>
    <d v="2025-04-18T00:00:00"/>
    <n v="3"/>
  </r>
  <r>
    <s v="DEP-A0-3485"/>
    <x v="0"/>
    <n v="48"/>
    <x v="1"/>
    <s v="Falda"/>
    <s v="Rojo"/>
    <s v="Adidas"/>
    <s v="MER-A0-3485"/>
    <d v="2025-04-03T00:00:00"/>
    <x v="1"/>
    <n v="183.05"/>
    <n v="0.1"/>
    <n v="112.672"/>
    <x v="1"/>
    <s v="Sí"/>
    <d v="2025-04-03T00:00:00"/>
    <n v="3"/>
  </r>
  <r>
    <s v="DEP-A0-1264"/>
    <x v="0"/>
    <n v="63"/>
    <x v="1"/>
    <s v="Chaqueta"/>
    <s v="Amarillo"/>
    <s v="Tommy"/>
    <s v="MER-A0-1264"/>
    <d v="2025-04-20T00:00:00"/>
    <x v="1"/>
    <n v="184.16"/>
    <n v="0.3"/>
    <n v="165.339"/>
    <x v="1"/>
    <s v="Sí"/>
    <d v="2025-04-20T00:00:00"/>
    <n v="3"/>
  </r>
  <r>
    <s v="DEP-A0-3206"/>
    <x v="0"/>
    <n v="62"/>
    <x v="1"/>
    <s v="Falda"/>
    <s v="Amarillo"/>
    <s v="Zara"/>
    <s v="MER-A0-3206"/>
    <d v="2025-04-25T00:00:00"/>
    <x v="1"/>
    <n v="189.84"/>
    <n v="0.2"/>
    <n v="192.78"/>
    <x v="1"/>
    <s v="Sí"/>
    <d v="2025-04-25T00:00:00"/>
    <n v="3"/>
  </r>
  <r>
    <s v="DEP-A0-3748"/>
    <x v="0"/>
    <n v="50"/>
    <x v="1"/>
    <s v="Falda"/>
    <s v="Amarillo"/>
    <s v="Zara"/>
    <s v="MER-A0-3748"/>
    <d v="2025-04-24T00:00:00"/>
    <x v="1"/>
    <n v="192.18"/>
    <n v="0.1"/>
    <n v="172.791"/>
    <x v="1"/>
    <s v="Sí"/>
    <d v="2025-04-24T00:00:00"/>
    <n v="3"/>
  </r>
  <r>
    <s v="DEP-A0-3013"/>
    <x v="0"/>
    <n v="56"/>
    <x v="1"/>
    <s v="Zapatos"/>
    <s v="Verde"/>
    <s v="Tommy"/>
    <s v="MER-A0-3013"/>
    <d v="2025-04-23T00:00:00"/>
    <x v="1"/>
    <n v="199.77"/>
    <n v="0.1"/>
    <n v="14.2"/>
    <x v="1"/>
    <s v="Sí"/>
    <d v="2025-04-23T00:00:00"/>
    <n v="3"/>
  </r>
  <r>
    <s v="DEP-A0-0548"/>
    <x v="0"/>
    <n v="36"/>
    <x v="1"/>
    <s v="Falda"/>
    <s v="Rojo"/>
    <s v="Zara"/>
    <s v="MER-A0-0548"/>
    <d v="2025-05-12T00:00:00"/>
    <x v="1"/>
    <n v="20.16"/>
    <n v="0.3"/>
    <n v="31.12"/>
    <x v="1"/>
    <s v="Sí"/>
    <d v="2025-05-12T00:00:00"/>
    <n v="3"/>
  </r>
  <r>
    <s v="DEP-A0-0690"/>
    <x v="0"/>
    <n v="63"/>
    <x v="1"/>
    <s v="Vestido"/>
    <s v="Negro"/>
    <s v="Nike"/>
    <s v="MER-A0-0690"/>
    <d v="2025-05-26T00:00:00"/>
    <x v="1"/>
    <n v="23.69"/>
    <n v="0.1"/>
    <n v="44.91"/>
    <x v="1"/>
    <s v="Sí"/>
    <d v="2025-05-26T00:00:00"/>
    <n v="3"/>
  </r>
  <r>
    <s v="DEP-A0-2808"/>
    <x v="0"/>
    <n v="60"/>
    <x v="1"/>
    <s v="Vestido"/>
    <s v="Azul"/>
    <s v="Adidas"/>
    <s v="MER-A0-2808"/>
    <d v="2025-05-05T00:00:00"/>
    <x v="1"/>
    <n v="26.9"/>
    <n v="0.3"/>
    <n v="57.694000000000003"/>
    <x v="1"/>
    <s v="Sí"/>
    <d v="2025-05-05T00:00:00"/>
    <n v="6"/>
  </r>
  <r>
    <s v="DEP-A0-1993"/>
    <x v="0"/>
    <n v="58"/>
    <x v="1"/>
    <s v="Vestido"/>
    <s v="Verde"/>
    <s v="Nike"/>
    <s v="MER-A0-1993"/>
    <d v="2025-05-04T00:00:00"/>
    <x v="1"/>
    <n v="27.4"/>
    <n v="0.1"/>
    <n v="94.734000000000009"/>
    <x v="1"/>
    <s v="Sí"/>
    <d v="2025-05-04T00:00:00"/>
    <n v="6"/>
  </r>
  <r>
    <s v="DEP-A0-2959"/>
    <x v="1"/>
    <n v="44"/>
    <x v="1"/>
    <s v="Camisa"/>
    <s v="Gris"/>
    <s v="Adidas"/>
    <s v="MER-A0-2959"/>
    <d v="2025-05-08T00:00:00"/>
    <x v="1"/>
    <n v="29.94"/>
    <n v="0.1"/>
    <n v="123.3"/>
    <x v="1"/>
    <s v="Sí"/>
    <d v="2025-05-08T00:00:00"/>
    <n v="6"/>
  </r>
  <r>
    <s v="DEP-A0-3488"/>
    <x v="1"/>
    <n v="54"/>
    <x v="1"/>
    <s v="Pantalón"/>
    <s v="Negro"/>
    <s v="Adidas"/>
    <s v="MER-A0-3488"/>
    <d v="2025-05-03T00:00:00"/>
    <x v="1"/>
    <n v="35.799999999999997"/>
    <n v="0.3"/>
    <n v="126.65699999999998"/>
    <x v="1"/>
    <s v="Sí"/>
    <d v="2025-05-03T00:00:00"/>
    <n v="6"/>
  </r>
  <r>
    <s v="DEP-A0-3227"/>
    <x v="1"/>
    <n v="54"/>
    <x v="1"/>
    <s v="Zapatos"/>
    <s v="Verde"/>
    <s v="Tommy"/>
    <s v="MER-A0-3227"/>
    <d v="2025-05-02T00:00:00"/>
    <x v="1"/>
    <n v="51.81"/>
    <n v="0.3"/>
    <n v="155.08000000000001"/>
    <x v="1"/>
    <s v="Sí"/>
    <d v="2025-05-02T00:00:00"/>
    <n v="6"/>
  </r>
  <r>
    <s v="DEP-A0-2842"/>
    <x v="0"/>
    <n v="44"/>
    <x v="1"/>
    <s v="Falda"/>
    <s v="Negro"/>
    <s v="Puma"/>
    <s v="MER-A0-2842"/>
    <d v="2025-05-19T00:00:00"/>
    <x v="1"/>
    <n v="54.35"/>
    <n v="0.1"/>
    <n v="167.46"/>
    <x v="1"/>
    <s v="Sí"/>
    <d v="2025-05-19T00:00:00"/>
    <n v="6"/>
  </r>
  <r>
    <s v="DEP-A0-1726"/>
    <x v="0"/>
    <n v="59"/>
    <x v="1"/>
    <s v="Chaqueta"/>
    <s v="Negro"/>
    <s v="Tommy"/>
    <s v="MER-A0-1726"/>
    <d v="2025-05-08T00:00:00"/>
    <x v="1"/>
    <n v="57.13"/>
    <n v="0"/>
    <n v="192.64"/>
    <x v="1"/>
    <s v="Sí"/>
    <d v="2025-05-08T00:00:00"/>
    <n v="6"/>
  </r>
  <r>
    <s v="DEP-A0-3213"/>
    <x v="1"/>
    <n v="39"/>
    <x v="1"/>
    <s v="Chaqueta"/>
    <s v="Verde"/>
    <s v="Mango"/>
    <s v="MER-A0-3213"/>
    <d v="2025-05-11T00:00:00"/>
    <x v="1"/>
    <n v="61.18"/>
    <n v="0"/>
    <n v="193.1"/>
    <x v="1"/>
    <s v="Sí"/>
    <d v="2025-05-11T00:00:00"/>
    <n v="6"/>
  </r>
  <r>
    <s v="DEP-A0-3674"/>
    <x v="0"/>
    <n v="41"/>
    <x v="1"/>
    <s v="Falda"/>
    <s v="Negro"/>
    <s v="Mango"/>
    <s v="MER-A0-3674"/>
    <d v="2025-05-28T00:00:00"/>
    <x v="1"/>
    <n v="66.88"/>
    <n v="0.2"/>
    <n v="46.024000000000001"/>
    <x v="1"/>
    <s v="Sí"/>
    <d v="2025-05-28T00:00:00"/>
    <n v="6"/>
  </r>
  <r>
    <s v="DEP-A0-3205"/>
    <x v="0"/>
    <n v="45"/>
    <x v="1"/>
    <s v="Camisa"/>
    <s v="Rojo"/>
    <s v="Mango"/>
    <s v="MER-A0-3205"/>
    <d v="2025-05-03T00:00:00"/>
    <x v="1"/>
    <n v="68.36"/>
    <n v="0"/>
    <n v="50.856000000000002"/>
    <x v="1"/>
    <s v="Sí"/>
    <d v="2025-05-03T00:00:00"/>
    <n v="6"/>
  </r>
  <r>
    <s v="DEP-A0-1064"/>
    <x v="1"/>
    <n v="59"/>
    <x v="1"/>
    <s v="Pantalón"/>
    <s v="Amarillo"/>
    <s v="Tommy"/>
    <s v="MER-A0-1064"/>
    <d v="2025-05-04T00:00:00"/>
    <x v="1"/>
    <n v="117.54"/>
    <n v="0"/>
    <n v="154.19999999999999"/>
    <x v="1"/>
    <s v="Sí"/>
    <d v="2025-05-04T00:00:00"/>
    <n v="3"/>
  </r>
  <r>
    <s v="DEP-A0-4060"/>
    <x v="0"/>
    <n v="53"/>
    <x v="1"/>
    <s v="Blusa"/>
    <s v="Verde"/>
    <s v="Mango"/>
    <s v="MER-A0-4060"/>
    <d v="2025-05-22T00:00:00"/>
    <x v="1"/>
    <n v="124.63"/>
    <n v="0.1"/>
    <n v="82.224000000000004"/>
    <x v="1"/>
    <s v="Sí"/>
    <d v="2025-05-22T00:00:00"/>
    <n v="3"/>
  </r>
  <r>
    <s v="DEP-A0-1475"/>
    <x v="0"/>
    <n v="47"/>
    <x v="1"/>
    <s v="Camisa"/>
    <s v="Gris"/>
    <s v="Levis"/>
    <s v="MER-A0-1475"/>
    <d v="2025-05-10T00:00:00"/>
    <x v="1"/>
    <n v="131.56"/>
    <n v="0"/>
    <n v="78.078000000000003"/>
    <x v="1"/>
    <s v="Sí"/>
    <d v="2025-05-10T00:00:00"/>
    <n v="3"/>
  </r>
  <r>
    <s v="DEP-A0-4418"/>
    <x v="1"/>
    <n v="49"/>
    <x v="1"/>
    <s v="Pantalón"/>
    <s v="Gris"/>
    <s v="Puma"/>
    <s v="MER-A0-4418"/>
    <d v="2025-05-18T00:00:00"/>
    <x v="1"/>
    <n v="140.05000000000001"/>
    <n v="0.2"/>
    <n v="36.25"/>
    <x v="1"/>
    <s v="Sí"/>
    <d v="2025-05-18T00:00:00"/>
    <n v="3"/>
  </r>
  <r>
    <s v="DEP-A0-3211"/>
    <x v="0"/>
    <n v="38"/>
    <x v="1"/>
    <s v="Camisa"/>
    <s v="Azul"/>
    <s v="Mango"/>
    <s v="MER-A0-3211"/>
    <d v="2025-05-02T00:00:00"/>
    <x v="1"/>
    <n v="148.44999999999999"/>
    <n v="0.2"/>
    <n v="132.786"/>
    <x v="1"/>
    <s v="Sí"/>
    <d v="2025-05-02T00:00:00"/>
    <n v="6"/>
  </r>
  <r>
    <s v="DEP-A0-2369"/>
    <x v="0"/>
    <n v="38"/>
    <x v="1"/>
    <s v="Chaqueta"/>
    <s v="Amarillo"/>
    <s v="Adidas"/>
    <s v="MER-A0-2369"/>
    <d v="2025-05-18T00:00:00"/>
    <x v="1"/>
    <n v="156.43"/>
    <n v="0.3"/>
    <n v="135.72"/>
    <x v="1"/>
    <s v="Sí"/>
    <d v="2025-05-18T00:00:00"/>
    <n v="6"/>
  </r>
  <r>
    <s v="DEP-A0-4372"/>
    <x v="0"/>
    <n v="52"/>
    <x v="1"/>
    <s v="Pantalón"/>
    <s v="Gris"/>
    <s v="Tommy"/>
    <s v="MER-A0-4372"/>
    <d v="2025-05-24T00:00:00"/>
    <x v="1"/>
    <n v="163.51"/>
    <n v="0.1"/>
    <n v="111.398"/>
    <x v="1"/>
    <s v="Sí"/>
    <d v="2025-05-24T00:00:00"/>
    <n v="6"/>
  </r>
  <r>
    <s v="DEP-A0-0024"/>
    <x v="1"/>
    <n v="56"/>
    <x v="1"/>
    <s v="Zapatos"/>
    <s v="Amarillo"/>
    <s v="Puma"/>
    <s v="MER-A0-0024"/>
    <d v="2025-05-11T00:00:00"/>
    <x v="1"/>
    <n v="169.76"/>
    <n v="0.2"/>
    <n v="76.349999999999994"/>
    <x v="1"/>
    <s v="Sí"/>
    <d v="2025-05-11T00:00:00"/>
    <n v="6"/>
  </r>
  <r>
    <s v="DEP-A0-3441"/>
    <x v="0"/>
    <n v="63"/>
    <x v="1"/>
    <s v="Chaqueta"/>
    <s v="Verde"/>
    <s v="Mango"/>
    <s v="MER-A0-3441"/>
    <d v="2025-05-27T00:00:00"/>
    <x v="1"/>
    <n v="177.08"/>
    <n v="0.2"/>
    <n v="136.28800000000001"/>
    <x v="1"/>
    <s v="Sí"/>
    <d v="2025-05-27T00:00:00"/>
    <n v="6"/>
  </r>
  <r>
    <s v="DEP-A0-4588"/>
    <x v="0"/>
    <n v="64"/>
    <x v="1"/>
    <s v="Blusa"/>
    <s v="Gris"/>
    <s v="Nike"/>
    <s v="MER-A0-4588"/>
    <d v="2025-05-14T00:00:00"/>
    <x v="1"/>
    <n v="183.75"/>
    <n v="0.1"/>
    <n v="178.74"/>
    <x v="1"/>
    <s v="Sí"/>
    <d v="2025-05-14T00:00:00"/>
    <n v="3"/>
  </r>
  <r>
    <s v="DEP-A0-3994"/>
    <x v="1"/>
    <n v="40"/>
    <x v="1"/>
    <s v="Chaqueta"/>
    <s v="Gris"/>
    <s v="Nike"/>
    <s v="MER-A0-3994"/>
    <d v="2025-05-22T00:00:00"/>
    <x v="1"/>
    <n v="185.36"/>
    <n v="0"/>
    <n v="13.838999999999999"/>
    <x v="1"/>
    <s v="Sí"/>
    <d v="2025-05-22T00:00:00"/>
    <n v="3"/>
  </r>
  <r>
    <s v="DEP-A0-0660"/>
    <x v="0"/>
    <n v="49"/>
    <x v="1"/>
    <s v="Vestido"/>
    <s v="Negro"/>
    <s v="Tommy"/>
    <s v="MER-A0-0660"/>
    <d v="2025-05-28T00:00:00"/>
    <x v="1"/>
    <n v="186.28"/>
    <n v="0.2"/>
    <n v="111.42600000000002"/>
    <x v="1"/>
    <s v="Sí"/>
    <d v="2025-05-28T00:00:00"/>
    <n v="3"/>
  </r>
  <r>
    <s v="DEP-A0-2764"/>
    <x v="0"/>
    <n v="59"/>
    <x v="1"/>
    <s v="Falda"/>
    <s v="Amarillo"/>
    <s v="Nike"/>
    <s v="MER-A0-2764"/>
    <d v="2025-05-08T00:00:00"/>
    <x v="1"/>
    <n v="186.65"/>
    <n v="0"/>
    <n v="165.25"/>
    <x v="1"/>
    <s v="Sí"/>
    <d v="2025-05-08T00:00:00"/>
    <n v="3"/>
  </r>
  <r>
    <s v="DEP-A0-3237"/>
    <x v="0"/>
    <n v="48"/>
    <x v="1"/>
    <s v="Falda"/>
    <s v="Negro"/>
    <s v="Puma"/>
    <s v="MER-A0-3237"/>
    <d v="2025-05-05T00:00:00"/>
    <x v="1"/>
    <n v="188.21"/>
    <n v="0.1"/>
    <n v="7.28"/>
    <x v="1"/>
    <s v="Sí"/>
    <d v="2025-05-05T00:00:00"/>
    <n v="3"/>
  </r>
  <r>
    <s v="DEP-A0-2145"/>
    <x v="0"/>
    <n v="59"/>
    <x v="1"/>
    <s v="Vestido"/>
    <s v="Blanco"/>
    <s v="Mango"/>
    <s v="MER-A0-2145"/>
    <d v="2025-05-27T00:00:00"/>
    <x v="1"/>
    <n v="190.34"/>
    <n v="0.3"/>
    <n v="7.4970000000000008"/>
    <x v="1"/>
    <s v="Sí"/>
    <d v="2025-05-27T00:00:00"/>
    <n v="3"/>
  </r>
  <r>
    <s v="DEP-A0-2072"/>
    <x v="1"/>
    <n v="37"/>
    <x v="1"/>
    <s v="Pantalón"/>
    <s v="Negro"/>
    <s v="Zara"/>
    <s v="MER-A0-2072"/>
    <d v="2025-05-25T00:00:00"/>
    <x v="1"/>
    <n v="193.46"/>
    <n v="0"/>
    <n v="8.1620000000000008"/>
    <x v="1"/>
    <s v="Sí"/>
    <d v="2025-05-25T00:00:00"/>
    <n v="3"/>
  </r>
  <r>
    <s v="DEP-A0-0433"/>
    <x v="0"/>
    <n v="51"/>
    <x v="1"/>
    <s v="Falda"/>
    <s v="Gris"/>
    <s v="Levis"/>
    <s v="MER-A0-0433"/>
    <d v="2025-05-16T00:00:00"/>
    <x v="1"/>
    <n v="199.67"/>
    <n v="0"/>
    <n v="8.3360000000000003"/>
    <x v="1"/>
    <s v="Sí"/>
    <d v="2025-05-16T00:00:00"/>
    <n v="3"/>
  </r>
  <r>
    <s v="DEP-A0-3209"/>
    <x v="0"/>
    <n v="63"/>
    <x v="1"/>
    <s v="Blusa"/>
    <s v="Azul"/>
    <s v="Levis"/>
    <s v="MER-A0-3209"/>
    <d v="2025-06-25T00:00:00"/>
    <x v="1"/>
    <n v="10.210000000000001"/>
    <n v="0.1"/>
    <n v="8.5190000000000001"/>
    <x v="1"/>
    <s v="Sí"/>
    <d v="2025-06-25T00:00:00"/>
    <n v="3"/>
  </r>
  <r>
    <s v="DEP-A0-0223"/>
    <x v="0"/>
    <n v="62"/>
    <x v="1"/>
    <s v="Vestido"/>
    <s v="Amarillo"/>
    <s v="Levis"/>
    <s v="MER-A0-0223"/>
    <d v="2025-06-03T00:00:00"/>
    <x v="1"/>
    <n v="11.5"/>
    <n v="0.3"/>
    <n v="8.7919999999999998"/>
    <x v="1"/>
    <s v="Sí"/>
    <d v="2025-06-03T00:00:00"/>
    <n v="6"/>
  </r>
  <r>
    <s v="DEP-A0-1659"/>
    <x v="0"/>
    <n v="65"/>
    <x v="1"/>
    <s v="Vestido"/>
    <s v="Negro"/>
    <s v="Tommy"/>
    <s v="MER-A0-1659"/>
    <d v="2025-06-01T00:00:00"/>
    <x v="1"/>
    <n v="13.79"/>
    <n v="0.3"/>
    <n v="9.08"/>
    <x v="1"/>
    <s v="Sí"/>
    <d v="2025-06-01T00:00:00"/>
    <n v="6"/>
  </r>
  <r>
    <s v="DEP-A0-3294"/>
    <x v="0"/>
    <n v="44"/>
    <x v="1"/>
    <s v="Blusa"/>
    <s v="Amarillo"/>
    <s v="Tommy"/>
    <s v="MER-A0-3294"/>
    <d v="2025-06-06T00:00:00"/>
    <x v="1"/>
    <n v="17.3"/>
    <n v="0.1"/>
    <n v="9.24"/>
    <x v="1"/>
    <s v="Sí"/>
    <d v="2025-06-06T00:00:00"/>
    <n v="6"/>
  </r>
  <r>
    <s v="DEP-A0-1627"/>
    <x v="0"/>
    <n v="64"/>
    <x v="1"/>
    <s v="Camisa"/>
    <s v="Amarillo"/>
    <s v="Adidas"/>
    <s v="MER-A0-1627"/>
    <d v="2025-06-12T00:00:00"/>
    <x v="1"/>
    <n v="22.61"/>
    <n v="0"/>
    <n v="9.5489999999999995"/>
    <x v="1"/>
    <s v="Sí"/>
    <d v="2025-06-12T00:00:00"/>
    <n v="6"/>
  </r>
  <r>
    <s v="DEP-A0-1274"/>
    <x v="0"/>
    <n v="43"/>
    <x v="1"/>
    <s v="Falda"/>
    <s v="Negro"/>
    <s v="Puma"/>
    <s v="MER-A0-1274"/>
    <d v="2025-06-25T00:00:00"/>
    <x v="1"/>
    <n v="24.61"/>
    <n v="0"/>
    <n v="9.702"/>
    <x v="1"/>
    <s v="Sí"/>
    <d v="2025-06-25T00:00:00"/>
    <n v="6"/>
  </r>
  <r>
    <s v="DEP-A0-0449"/>
    <x v="0"/>
    <n v="44"/>
    <x v="1"/>
    <s v="Zapatos"/>
    <s v="Rojo"/>
    <s v="Levis"/>
    <s v="MER-A0-0449"/>
    <d v="2025-06-29T00:00:00"/>
    <x v="1"/>
    <n v="34.729999999999997"/>
    <n v="0"/>
    <n v="10.891999999999999"/>
    <x v="1"/>
    <s v="Sí"/>
    <d v="2025-06-29T00:00:00"/>
    <n v="6"/>
  </r>
  <r>
    <s v="DEP-A0-3595"/>
    <x v="1"/>
    <n v="59"/>
    <x v="1"/>
    <s v="Pantalón"/>
    <s v="Negro"/>
    <s v="Tommy"/>
    <s v="MER-A0-3595"/>
    <d v="2025-06-08T00:00:00"/>
    <x v="1"/>
    <n v="47.05"/>
    <n v="0.2"/>
    <n v="11.15"/>
    <x v="1"/>
    <s v="Sí"/>
    <d v="2025-06-08T00:00:00"/>
    <n v="6"/>
  </r>
  <r>
    <s v="DEP-A0-2215"/>
    <x v="0"/>
    <n v="45"/>
    <x v="1"/>
    <s v="Blusa"/>
    <s v="Rojo"/>
    <s v="Adidas"/>
    <s v="MER-A0-2215"/>
    <d v="2025-06-12T00:00:00"/>
    <x v="1"/>
    <n v="50.14"/>
    <n v="0.2"/>
    <n v="11.522000000000002"/>
    <x v="1"/>
    <s v="Sí"/>
    <d v="2025-06-12T00:00:00"/>
    <n v="6"/>
  </r>
  <r>
    <s v="DEP-A0-4300"/>
    <x v="0"/>
    <n v="62"/>
    <x v="1"/>
    <s v="Falda"/>
    <s v="Gris"/>
    <s v="Tommy"/>
    <s v="MER-A0-4300"/>
    <d v="2025-06-08T00:00:00"/>
    <x v="1"/>
    <n v="52.04"/>
    <n v="0.1"/>
    <n v="11.67"/>
    <x v="1"/>
    <s v="Sí"/>
    <d v="2025-06-08T00:00:00"/>
    <n v="3"/>
  </r>
  <r>
    <s v="DEP-A0-3707"/>
    <x v="0"/>
    <n v="58"/>
    <x v="1"/>
    <s v="Pantalón"/>
    <s v="Azul"/>
    <s v="Nike"/>
    <s v="MER-A0-3707"/>
    <d v="2025-06-20T00:00:00"/>
    <x v="1"/>
    <n v="61.79"/>
    <n v="0.1"/>
    <n v="11.85"/>
    <x v="1"/>
    <s v="Sí"/>
    <d v="2025-06-20T00:00:00"/>
    <n v="3"/>
  </r>
  <r>
    <s v="DEP-A0-4340"/>
    <x v="1"/>
    <n v="43"/>
    <x v="1"/>
    <s v="Pantalón"/>
    <s v="Amarillo"/>
    <s v="Mango"/>
    <s v="MER-A0-4340"/>
    <d v="2025-06-27T00:00:00"/>
    <x v="1"/>
    <n v="63.23"/>
    <n v="0"/>
    <n v="12.184000000000001"/>
    <x v="1"/>
    <s v="Sí"/>
    <d v="2025-06-27T00:00:00"/>
    <n v="3"/>
  </r>
  <r>
    <s v="DEP-A0-3098"/>
    <x v="0"/>
    <n v="36"/>
    <x v="1"/>
    <s v="Chaqueta"/>
    <s v="Amarillo"/>
    <s v="Adidas"/>
    <s v="MER-A0-3098"/>
    <d v="2025-06-18T00:00:00"/>
    <x v="1"/>
    <n v="76.510000000000005"/>
    <n v="0.3"/>
    <n v="12.417999999999999"/>
    <x v="1"/>
    <s v="Sí"/>
    <d v="2025-06-18T00:00:00"/>
    <n v="3"/>
  </r>
  <r>
    <s v="DEP-A0-1824"/>
    <x v="1"/>
    <n v="64"/>
    <x v="1"/>
    <s v="Pantalón"/>
    <s v="Amarillo"/>
    <s v="Mango"/>
    <s v="MER-A0-1824"/>
    <d v="2025-06-21T00:00:00"/>
    <x v="1"/>
    <n v="90.55"/>
    <n v="0.2"/>
    <n v="13.247999999999999"/>
    <x v="1"/>
    <s v="Sí"/>
    <d v="2025-06-21T00:00:00"/>
    <n v="3"/>
  </r>
  <r>
    <s v="DEP-A0-2343"/>
    <x v="0"/>
    <n v="38"/>
    <x v="1"/>
    <s v="Camisa"/>
    <s v="Verde"/>
    <s v="Nike"/>
    <s v="MER-A0-2343"/>
    <d v="2025-06-12T00:00:00"/>
    <x v="1"/>
    <n v="91.86"/>
    <n v="0.1"/>
    <n v="13.503"/>
    <x v="1"/>
    <s v="Sí"/>
    <d v="2025-06-12T00:00:00"/>
    <n v="3"/>
  </r>
  <r>
    <s v="DEP-A0-0068"/>
    <x v="0"/>
    <n v="65"/>
    <x v="1"/>
    <s v="Blusa"/>
    <s v="Azul"/>
    <s v="Adidas"/>
    <s v="MER-A0-0068"/>
    <d v="2025-06-08T00:00:00"/>
    <x v="1"/>
    <n v="92.77"/>
    <n v="0.3"/>
    <n v="13.563000000000001"/>
    <x v="1"/>
    <s v="Sí"/>
    <d v="2025-06-08T00:00:00"/>
    <n v="3"/>
  </r>
  <r>
    <s v="DEP-A0-1588"/>
    <x v="1"/>
    <n v="44"/>
    <x v="1"/>
    <s v="Pantalón"/>
    <s v="Rojo"/>
    <s v="Puma"/>
    <s v="MER-A0-1588"/>
    <d v="2025-06-12T00:00:00"/>
    <x v="1"/>
    <n v="93.22"/>
    <n v="0.1"/>
    <n v="13.573"/>
    <x v="1"/>
    <s v="Sí"/>
    <d v="2025-06-12T00:00:00"/>
    <n v="6"/>
  </r>
  <r>
    <s v="DEP-A0-4385"/>
    <x v="0"/>
    <n v="63"/>
    <x v="1"/>
    <s v="Blusa"/>
    <s v="Blanco"/>
    <s v="Levis"/>
    <s v="MER-A0-4385"/>
    <d v="2025-06-27T00:00:00"/>
    <x v="1"/>
    <n v="93.65"/>
    <n v="0.2"/>
    <n v="13.703999999999999"/>
    <x v="1"/>
    <s v="Sí"/>
    <d v="2025-06-27T00:00:00"/>
    <n v="6"/>
  </r>
  <r>
    <s v="DEP-A0-3968"/>
    <x v="0"/>
    <n v="45"/>
    <x v="1"/>
    <s v="Blusa"/>
    <s v="Negro"/>
    <s v="Levis"/>
    <s v="MER-A0-3968"/>
    <d v="2025-06-25T00:00:00"/>
    <x v="1"/>
    <n v="100.8"/>
    <n v="0"/>
    <n v="13.838999999999999"/>
    <x v="1"/>
    <s v="Sí"/>
    <d v="2025-06-25T00:00:00"/>
    <n v="6"/>
  </r>
  <r>
    <s v="DEP-A0-4635"/>
    <x v="0"/>
    <n v="46"/>
    <x v="1"/>
    <s v="Chaqueta"/>
    <s v="Blanco"/>
    <s v="Puma"/>
    <s v="MER-A0-4635"/>
    <d v="2025-06-20T00:00:00"/>
    <x v="1"/>
    <n v="108.02"/>
    <n v="0.3"/>
    <n v="13.975999999999999"/>
    <x v="1"/>
    <s v="Sí"/>
    <d v="2025-06-20T00:00:00"/>
    <n v="6"/>
  </r>
  <r>
    <s v="DEP-A0-3634"/>
    <x v="1"/>
    <n v="54"/>
    <x v="1"/>
    <s v="Chaqueta"/>
    <s v="Rojo"/>
    <s v="Puma"/>
    <s v="MER-A0-3634"/>
    <d v="2025-06-13T00:00:00"/>
    <x v="1"/>
    <n v="112.09"/>
    <n v="0"/>
    <n v="14.22"/>
    <x v="1"/>
    <s v="Sí"/>
    <d v="2025-06-13T00:00:00"/>
    <n v="6"/>
  </r>
  <r>
    <s v="DEP-A0-0352"/>
    <x v="0"/>
    <n v="43"/>
    <x v="1"/>
    <s v="Vestido"/>
    <s v="Azul"/>
    <s v="Tommy"/>
    <s v="MER-A0-0352"/>
    <d v="2025-06-08T00:00:00"/>
    <x v="1"/>
    <n v="118.36"/>
    <n v="0.3"/>
    <n v="14.259"/>
    <x v="1"/>
    <s v="Sí"/>
    <d v="2025-06-08T00:00:00"/>
    <n v="6"/>
  </r>
  <r>
    <s v="DEP-A0-3696"/>
    <x v="0"/>
    <n v="50"/>
    <x v="1"/>
    <s v="Pantalón"/>
    <s v="Rojo"/>
    <s v="Mango"/>
    <s v="MER-A0-3696"/>
    <d v="2025-06-20T00:00:00"/>
    <x v="1"/>
    <n v="126.48"/>
    <n v="0.2"/>
    <n v="15.672000000000001"/>
    <x v="1"/>
    <s v="Sí"/>
    <d v="2025-06-20T00:00:00"/>
    <n v="6"/>
  </r>
  <r>
    <s v="DEP-A0-3011"/>
    <x v="1"/>
    <n v="57"/>
    <x v="1"/>
    <s v="Pantalón"/>
    <s v="Azul"/>
    <s v="Adidas"/>
    <s v="MER-A0-3011"/>
    <d v="2025-06-20T00:00:00"/>
    <x v="1"/>
    <n v="134.88999999999999"/>
    <n v="0.1"/>
    <n v="16.295999999999999"/>
    <x v="1"/>
    <s v="Sí"/>
    <d v="2025-06-20T00:00:00"/>
    <n v="3"/>
  </r>
  <r>
    <s v="DEP-A0-0793"/>
    <x v="1"/>
    <n v="61"/>
    <x v="1"/>
    <s v="Chaqueta"/>
    <s v="Azul"/>
    <s v="Zara"/>
    <s v="MER-A0-0793"/>
    <d v="2025-06-22T00:00:00"/>
    <x v="1"/>
    <n v="136.99"/>
    <n v="0.2"/>
    <n v="16.398"/>
    <x v="1"/>
    <s v="Sí"/>
    <d v="2025-06-22T00:00:00"/>
    <n v="3"/>
  </r>
  <r>
    <s v="DEP-A0-4364"/>
    <x v="0"/>
    <n v="44"/>
    <x v="1"/>
    <s v="Vestido"/>
    <s v="Negro"/>
    <s v="Puma"/>
    <s v="MER-A0-4364"/>
    <d v="2025-06-02T00:00:00"/>
    <x v="1"/>
    <n v="140.53"/>
    <n v="0.3"/>
    <n v="16.452000000000002"/>
    <x v="1"/>
    <s v="Sí"/>
    <d v="2025-06-02T00:00:00"/>
    <n v="3"/>
  </r>
  <r>
    <s v="DEP-A0-2136"/>
    <x v="0"/>
    <n v="42"/>
    <x v="1"/>
    <s v="Vestido"/>
    <s v="Verde"/>
    <s v="Nike"/>
    <s v="MER-A0-2136"/>
    <d v="2025-06-10T00:00:00"/>
    <x v="1"/>
    <n v="146.9"/>
    <n v="0.2"/>
    <n v="17.05"/>
    <x v="1"/>
    <s v="Sí"/>
    <d v="2025-06-10T00:00:00"/>
    <n v="3"/>
  </r>
  <r>
    <s v="DEP-A0-3058"/>
    <x v="1"/>
    <n v="47"/>
    <x v="1"/>
    <s v="Pantalón"/>
    <s v="Rojo"/>
    <s v="Adidas"/>
    <s v="MER-A0-3058"/>
    <d v="2025-06-10T00:00:00"/>
    <x v="1"/>
    <n v="151.31"/>
    <n v="0.1"/>
    <n v="17.149999999999999"/>
    <x v="1"/>
    <s v="Sí"/>
    <d v="2025-06-10T00:00:00"/>
    <n v="3"/>
  </r>
  <r>
    <s v="DEP-A0-3716"/>
    <x v="1"/>
    <n v="52"/>
    <x v="1"/>
    <s v="Chaqueta"/>
    <s v="Blanco"/>
    <s v="Nike"/>
    <s v="MER-A0-3716"/>
    <d v="2025-06-10T00:00:00"/>
    <x v="1"/>
    <n v="156.5"/>
    <n v="0.3"/>
    <n v="17.225999999999999"/>
    <x v="1"/>
    <s v="Sí"/>
    <d v="2025-06-10T00:00:00"/>
    <n v="3"/>
  </r>
  <r>
    <s v="DEP-A0-3027"/>
    <x v="0"/>
    <n v="49"/>
    <x v="1"/>
    <s v="Pantalón"/>
    <s v="Rojo"/>
    <s v="Nike"/>
    <s v="MER-A0-3027"/>
    <d v="2025-06-27T00:00:00"/>
    <x v="1"/>
    <n v="159.11000000000001"/>
    <n v="0.3"/>
    <n v="17.423999999999999"/>
    <x v="1"/>
    <s v="Sí"/>
    <d v="2025-06-27T00:00:00"/>
    <n v="6"/>
  </r>
  <r>
    <s v="DEP-A0-0298"/>
    <x v="0"/>
    <n v="49"/>
    <x v="1"/>
    <s v="Zapatos"/>
    <s v="Negro"/>
    <s v="Mango"/>
    <s v="MER-A0-0298"/>
    <d v="2025-06-08T00:00:00"/>
    <x v="1"/>
    <n v="163.02000000000001"/>
    <n v="0.1"/>
    <n v="18.02"/>
    <x v="1"/>
    <s v="Sí"/>
    <d v="2025-06-08T00:00:00"/>
    <n v="6"/>
  </r>
  <r>
    <s v="DEP-A0-0365"/>
    <x v="0"/>
    <n v="62"/>
    <x v="1"/>
    <s v="Falda"/>
    <s v="Negro"/>
    <s v="Mango"/>
    <s v="MER-A0-0365"/>
    <d v="2025-06-15T00:00:00"/>
    <x v="1"/>
    <n v="165.13"/>
    <n v="0.1"/>
    <n v="18.417000000000002"/>
    <x v="1"/>
    <s v="Sí"/>
    <d v="2025-06-15T00:00:00"/>
    <n v="6"/>
  </r>
  <r>
    <s v="DEP-A0-0488"/>
    <x v="0"/>
    <n v="38"/>
    <x v="1"/>
    <s v="Vestido"/>
    <s v="Rojo"/>
    <s v="Levis"/>
    <s v="MER-A0-0488"/>
    <d v="2025-06-23T00:00:00"/>
    <x v="1"/>
    <n v="172.31"/>
    <n v="0.1"/>
    <n v="18.540000000000003"/>
    <x v="1"/>
    <s v="Sí"/>
    <d v="2025-06-23T00:00:00"/>
    <n v="6"/>
  </r>
  <r>
    <s v="DEP-A0-3703"/>
    <x v="0"/>
    <n v="50"/>
    <x v="1"/>
    <s v="Falda"/>
    <s v="Negro"/>
    <s v="Mango"/>
    <s v="MER-A0-3703"/>
    <d v="2025-06-09T00:00:00"/>
    <x v="1"/>
    <n v="179.57"/>
    <n v="0.3"/>
    <n v="18.907000000000004"/>
    <x v="1"/>
    <s v="Sí"/>
    <d v="2025-06-09T00:00:00"/>
    <n v="6"/>
  </r>
  <r>
    <s v="DEP-A0-2107"/>
    <x v="1"/>
    <n v="52"/>
    <x v="1"/>
    <s v="Camisa"/>
    <s v="Azul"/>
    <s v="Zara"/>
    <s v="MER-A0-2107"/>
    <d v="2025-06-10T00:00:00"/>
    <x v="1"/>
    <n v="179.85"/>
    <n v="0"/>
    <n v="19.160999999999998"/>
    <x v="1"/>
    <s v="Sí"/>
    <d v="2025-06-10T00:00:00"/>
    <n v="6"/>
  </r>
  <r>
    <s v="DEP-A0-4071"/>
    <x v="1"/>
    <n v="43"/>
    <x v="1"/>
    <s v="Pantalón"/>
    <s v="Verde"/>
    <s v="Tommy"/>
    <s v="MER-A0-4071"/>
    <d v="2025-06-06T00:00:00"/>
    <x v="1"/>
    <n v="180.29"/>
    <n v="0.2"/>
    <n v="19.375999999999998"/>
    <x v="1"/>
    <s v="Sí"/>
    <d v="2025-06-06T00:00:00"/>
    <n v="6"/>
  </r>
  <r>
    <s v="DEP-A0-4939"/>
    <x v="0"/>
    <n v="62"/>
    <x v="1"/>
    <s v="Zapatos"/>
    <s v="Verde"/>
    <s v="Nike"/>
    <s v="MER-A0-4939"/>
    <d v="2025-06-26T00:00:00"/>
    <x v="1"/>
    <n v="199.98"/>
    <n v="0"/>
    <n v="19.614000000000001"/>
    <x v="1"/>
    <s v="Sí"/>
    <d v="2025-06-26T00:00:00"/>
    <n v="6"/>
  </r>
  <r>
    <s v="DEP-A0-0371"/>
    <x v="0"/>
    <n v="41"/>
    <x v="1"/>
    <s v="Zapatos"/>
    <s v="Azul"/>
    <s v="Nike"/>
    <s v="MER-A0-0371"/>
    <d v="2025-07-27T00:00:00"/>
    <x v="1"/>
    <n v="10.27"/>
    <n v="0.3"/>
    <n v="19.789000000000001"/>
    <x v="1"/>
    <s v="Sí"/>
    <d v="2025-07-27T00:00:00"/>
    <n v="3"/>
  </r>
  <r>
    <s v="DEP-A0-1148"/>
    <x v="0"/>
    <n v="61"/>
    <x v="1"/>
    <s v="Falda"/>
    <s v="Amarillo"/>
    <s v="Nike"/>
    <s v="MER-A0-1148"/>
    <d v="2025-07-28T00:00:00"/>
    <x v="1"/>
    <n v="37.479999999999997"/>
    <n v="0.3"/>
    <n v="20.503999999999998"/>
    <x v="1"/>
    <s v="Sí"/>
    <d v="2025-07-28T00:00:00"/>
    <n v="3"/>
  </r>
  <r>
    <s v="DEP-A0-4467"/>
    <x v="1"/>
    <n v="56"/>
    <x v="1"/>
    <s v="Chaqueta"/>
    <s v="Azul"/>
    <s v="Nike"/>
    <s v="MER-A0-4467"/>
    <d v="2025-07-06T00:00:00"/>
    <x v="1"/>
    <n v="42.11"/>
    <n v="0.2"/>
    <n v="20.637"/>
    <x v="1"/>
    <s v="Sí"/>
    <d v="2025-07-06T00:00:00"/>
    <n v="3"/>
  </r>
  <r>
    <s v="DEP-A0-3805"/>
    <x v="0"/>
    <n v="41"/>
    <x v="1"/>
    <s v="Chaqueta"/>
    <s v="Rojo"/>
    <s v="Nike"/>
    <s v="MER-A0-3805"/>
    <d v="2025-07-29T00:00:00"/>
    <x v="1"/>
    <n v="47.1"/>
    <n v="0.1"/>
    <n v="20.712"/>
    <x v="1"/>
    <s v="Sí"/>
    <d v="2025-07-29T00:00:00"/>
    <n v="3"/>
  </r>
  <r>
    <s v="DEP-A0-0617"/>
    <x v="1"/>
    <n v="57"/>
    <x v="1"/>
    <s v="Pantalón"/>
    <s v="Amarillo"/>
    <s v="Levis"/>
    <s v="MER-A0-0617"/>
    <d v="2025-07-07T00:00:00"/>
    <x v="1"/>
    <n v="49.72"/>
    <n v="0"/>
    <n v="21.509999999999998"/>
    <x v="1"/>
    <s v="Sí"/>
    <d v="2025-07-07T00:00:00"/>
    <n v="3"/>
  </r>
  <r>
    <s v="DEP-A0-0348"/>
    <x v="0"/>
    <n v="50"/>
    <x v="1"/>
    <s v="Vestido"/>
    <s v="Negro"/>
    <s v="Nike"/>
    <s v="MER-A0-0348"/>
    <d v="2025-07-03T00:00:00"/>
    <x v="1"/>
    <n v="71.14"/>
    <n v="0.2"/>
    <n v="21.856000000000002"/>
    <x v="1"/>
    <s v="Sí"/>
    <d v="2025-07-03T00:00:00"/>
    <n v="3"/>
  </r>
  <r>
    <s v="DEP-A0-0435"/>
    <x v="0"/>
    <n v="61"/>
    <x v="1"/>
    <s v="Blusa"/>
    <s v="Azul"/>
    <s v="Levis"/>
    <s v="MER-A0-0435"/>
    <d v="2025-07-24T00:00:00"/>
    <x v="1"/>
    <n v="93.77"/>
    <n v="0.3"/>
    <n v="22.5"/>
    <x v="1"/>
    <s v="Sí"/>
    <d v="2025-07-24T00:00:00"/>
    <n v="3"/>
  </r>
  <r>
    <s v="DEP-A0-1336"/>
    <x v="0"/>
    <n v="49"/>
    <x v="1"/>
    <s v="Falda"/>
    <s v="Azul"/>
    <s v="Zara"/>
    <s v="MER-A0-1336"/>
    <d v="2025-07-02T00:00:00"/>
    <x v="1"/>
    <n v="112.58"/>
    <n v="0.1"/>
    <n v="22.626000000000001"/>
    <x v="1"/>
    <s v="Sí"/>
    <d v="2025-07-02T00:00:00"/>
    <n v="6"/>
  </r>
  <r>
    <s v="DEP-A0-1486"/>
    <x v="0"/>
    <n v="50"/>
    <x v="1"/>
    <s v="Falda"/>
    <s v="Verde"/>
    <s v="Zara"/>
    <s v="MER-A0-1486"/>
    <d v="2025-07-21T00:00:00"/>
    <x v="1"/>
    <n v="115.23"/>
    <n v="0"/>
    <n v="22.981000000000002"/>
    <x v="1"/>
    <s v="Sí"/>
    <d v="2025-07-21T00:00:00"/>
    <n v="6"/>
  </r>
  <r>
    <s v="DEP-A0-3832"/>
    <x v="0"/>
    <n v="47"/>
    <x v="1"/>
    <s v="Falda"/>
    <s v="Blanco"/>
    <s v="Puma"/>
    <s v="MER-A0-3832"/>
    <d v="2025-07-04T00:00:00"/>
    <x v="1"/>
    <n v="128.33000000000001"/>
    <n v="0"/>
    <n v="23.15"/>
    <x v="1"/>
    <s v="Sí"/>
    <d v="2025-07-04T00:00:00"/>
    <n v="6"/>
  </r>
  <r>
    <s v="DEP-A0-4882"/>
    <x v="0"/>
    <n v="64"/>
    <x v="1"/>
    <s v="Camisa"/>
    <s v="Amarillo"/>
    <s v="Levis"/>
    <s v="MER-A0-4882"/>
    <d v="2025-07-11T00:00:00"/>
    <x v="1"/>
    <n v="132.38"/>
    <n v="0.3"/>
    <n v="23.44"/>
    <x v="1"/>
    <s v="Sí"/>
    <d v="2025-07-11T00:00:00"/>
    <n v="6"/>
  </r>
  <r>
    <s v="DEP-A0-3407"/>
    <x v="1"/>
    <n v="62"/>
    <x v="1"/>
    <s v="Chaqueta"/>
    <s v="Blanco"/>
    <s v="Levis"/>
    <s v="MER-A0-3407"/>
    <d v="2025-07-26T00:00:00"/>
    <x v="1"/>
    <n v="157.97"/>
    <n v="0.2"/>
    <n v="24.46"/>
    <x v="1"/>
    <s v="Sí"/>
    <d v="2025-07-26T00:00:00"/>
    <n v="6"/>
  </r>
  <r>
    <s v="DEP-A0-0422"/>
    <x v="0"/>
    <n v="50"/>
    <x v="1"/>
    <s v="Vestido"/>
    <s v="Blanco"/>
    <s v="Mango"/>
    <s v="MER-A0-0422"/>
    <d v="2025-07-05T00:00:00"/>
    <x v="1"/>
    <n v="168.13"/>
    <n v="0.3"/>
    <n v="25.479999999999997"/>
    <x v="1"/>
    <s v="Sí"/>
    <d v="2025-07-05T00:00:00"/>
    <n v="3"/>
  </r>
  <r>
    <s v="DEP-A0-4214"/>
    <x v="0"/>
    <n v="64"/>
    <x v="1"/>
    <s v="Falda"/>
    <s v="Negro"/>
    <s v="Puma"/>
    <s v="MER-A0-4214"/>
    <d v="2025-07-08T00:00:00"/>
    <x v="1"/>
    <n v="168.63"/>
    <n v="0.2"/>
    <n v="25.587"/>
    <x v="1"/>
    <s v="Sí"/>
    <d v="2025-07-08T00:00:00"/>
    <n v="3"/>
  </r>
  <r>
    <s v="DEP-A0-2942"/>
    <x v="0"/>
    <n v="54"/>
    <x v="1"/>
    <s v="Pantalón"/>
    <s v="Amarillo"/>
    <s v="Puma"/>
    <s v="MER-A0-2942"/>
    <d v="2025-07-22T00:00:00"/>
    <x v="1"/>
    <n v="169.92"/>
    <n v="0.1"/>
    <n v="26.004999999999999"/>
    <x v="1"/>
    <s v="Sí"/>
    <d v="2025-07-22T00:00:00"/>
    <n v="3"/>
  </r>
  <r>
    <s v="DEP-A0-0866"/>
    <x v="0"/>
    <n v="44"/>
    <x v="1"/>
    <s v="Blusa"/>
    <s v="Blanco"/>
    <s v="Tommy"/>
    <s v="MER-A0-0866"/>
    <d v="2025-07-04T00:00:00"/>
    <x v="1"/>
    <n v="174.41"/>
    <n v="0.1"/>
    <n v="26.831"/>
    <x v="1"/>
    <s v="Sí"/>
    <d v="2025-07-04T00:00:00"/>
    <n v="3"/>
  </r>
  <r>
    <s v="DEP-A0-1445"/>
    <x v="1"/>
    <n v="60"/>
    <x v="1"/>
    <s v="Camisa"/>
    <s v="Rojo"/>
    <s v="Mango"/>
    <s v="MER-A0-1445"/>
    <d v="2025-07-27T00:00:00"/>
    <x v="1"/>
    <n v="180.03"/>
    <n v="0.3"/>
    <n v="27.356000000000002"/>
    <x v="1"/>
    <s v="Sí"/>
    <d v="2025-07-27T00:00:00"/>
    <n v="3"/>
  </r>
  <r>
    <s v="DEP-A0-3521"/>
    <x v="0"/>
    <n v="61"/>
    <x v="1"/>
    <s v="Falda"/>
    <s v="Rojo"/>
    <s v="Puma"/>
    <s v="MER-A0-3521"/>
    <d v="2025-07-12T00:00:00"/>
    <x v="1"/>
    <n v="185.34"/>
    <n v="0.2"/>
    <n v="27.512"/>
    <x v="1"/>
    <s v="Sí"/>
    <d v="2025-07-12T00:00:00"/>
    <n v="3"/>
  </r>
  <r>
    <s v="DEP-A0-1505"/>
    <x v="0"/>
    <n v="47"/>
    <x v="1"/>
    <s v="Camisa"/>
    <s v="Blanco"/>
    <s v="Puma"/>
    <s v="MER-A0-1505"/>
    <d v="2025-07-10T00:00:00"/>
    <x v="1"/>
    <n v="194.07"/>
    <n v="0.1"/>
    <n v="27.657"/>
    <x v="1"/>
    <s v="Sí"/>
    <d v="2025-07-10T00:00:00"/>
    <n v="3"/>
  </r>
  <r>
    <s v="DEP-A0-1211"/>
    <x v="0"/>
    <n v="57"/>
    <x v="1"/>
    <s v="Falda"/>
    <s v="Amarillo"/>
    <s v="Tommy"/>
    <s v="MER-A0-1211"/>
    <d v="2025-08-08T00:00:00"/>
    <x v="1"/>
    <n v="30.97"/>
    <n v="0.3"/>
    <n v="28.565999999999999"/>
    <x v="1"/>
    <s v="Sí"/>
    <d v="2025-08-08T00:00:00"/>
    <n v="6"/>
  </r>
  <r>
    <s v="DEP-A0-3788"/>
    <x v="0"/>
    <n v="63"/>
    <x v="1"/>
    <s v="Blusa"/>
    <s v="Blanco"/>
    <s v="Puma"/>
    <s v="MER-A0-3788"/>
    <d v="2025-08-08T00:00:00"/>
    <x v="1"/>
    <n v="32.03"/>
    <n v="0.3"/>
    <n v="28.608999999999998"/>
    <x v="1"/>
    <s v="Sí"/>
    <d v="2025-08-08T00:00:00"/>
    <n v="6"/>
  </r>
  <r>
    <s v="DEP-A0-3328"/>
    <x v="0"/>
    <n v="38"/>
    <x v="1"/>
    <s v="Blusa"/>
    <s v="Azul"/>
    <s v="Tommy"/>
    <s v="MER-A0-3328"/>
    <d v="2025-08-04T00:00:00"/>
    <x v="1"/>
    <n v="37.380000000000003"/>
    <n v="0.1"/>
    <n v="28.616"/>
    <x v="1"/>
    <s v="Sí"/>
    <d v="2025-08-04T00:00:00"/>
    <n v="6"/>
  </r>
  <r>
    <s v="DEP-A0-1845"/>
    <x v="0"/>
    <n v="39"/>
    <x v="1"/>
    <s v="Chaqueta"/>
    <s v="Amarillo"/>
    <s v="Puma"/>
    <s v="MER-A0-1845"/>
    <d v="2025-08-13T00:00:00"/>
    <x v="1"/>
    <n v="39.93"/>
    <n v="0.1"/>
    <n v="28.832000000000001"/>
    <x v="1"/>
    <s v="Sí"/>
    <d v="2025-08-13T00:00:00"/>
    <n v="6"/>
  </r>
  <r>
    <s v="DEP-A0-3052"/>
    <x v="1"/>
    <n v="45"/>
    <x v="1"/>
    <s v="Chaqueta"/>
    <s v="Rojo"/>
    <s v="Mango"/>
    <s v="MER-A0-3052"/>
    <d v="2025-08-08T00:00:00"/>
    <x v="1"/>
    <n v="44.93"/>
    <n v="0.1"/>
    <n v="30.256"/>
    <x v="1"/>
    <s v="Sí"/>
    <d v="2025-08-08T00:00:00"/>
    <n v="6"/>
  </r>
  <r>
    <s v="DEP-A0-4054"/>
    <x v="0"/>
    <n v="51"/>
    <x v="1"/>
    <s v="Blusa"/>
    <s v="Azul"/>
    <s v="Puma"/>
    <s v="MER-A0-4054"/>
    <d v="2025-08-10T00:00:00"/>
    <x v="1"/>
    <n v="49.64"/>
    <n v="0.2"/>
    <n v="30.263999999999999"/>
    <x v="1"/>
    <s v="Sí"/>
    <d v="2025-08-10T00:00:00"/>
    <n v="6"/>
  </r>
  <r>
    <s v="DEP-A0-3887"/>
    <x v="0"/>
    <n v="60"/>
    <x v="1"/>
    <s v="Falda"/>
    <s v="Gris"/>
    <s v="Levis"/>
    <s v="MER-A0-3887"/>
    <d v="2025-08-03T00:00:00"/>
    <x v="1"/>
    <n v="55.74"/>
    <n v="0.1"/>
    <n v="30.45"/>
    <x v="1"/>
    <s v="Sí"/>
    <d v="2025-08-03T00:00:00"/>
    <n v="6"/>
  </r>
  <r>
    <s v="DEP-A0-0129"/>
    <x v="1"/>
    <n v="45"/>
    <x v="1"/>
    <s v="Chaqueta"/>
    <s v="Gris"/>
    <s v="Adidas"/>
    <s v="MER-A0-0129"/>
    <d v="2025-08-13T00:00:00"/>
    <x v="1"/>
    <n v="68.34"/>
    <n v="0"/>
    <n v="30.646000000000001"/>
    <x v="1"/>
    <s v="Sí"/>
    <d v="2025-08-13T00:00:00"/>
    <n v="6"/>
  </r>
  <r>
    <s v="DEP-A0-3609"/>
    <x v="1"/>
    <n v="56"/>
    <x v="1"/>
    <s v="Chaqueta"/>
    <s v="Rojo"/>
    <s v="Puma"/>
    <s v="MER-A0-3609"/>
    <d v="2025-08-14T00:00:00"/>
    <x v="1"/>
    <n v="102.82"/>
    <n v="0"/>
    <n v="30.99"/>
    <x v="1"/>
    <s v="Sí"/>
    <d v="2025-08-14T00:00:00"/>
    <n v="3"/>
  </r>
  <r>
    <s v="DEP-A0-3184"/>
    <x v="1"/>
    <n v="53"/>
    <x v="1"/>
    <s v="Zapatos"/>
    <s v="Negro"/>
    <s v="Tommy"/>
    <s v="MER-A0-3184"/>
    <d v="2025-08-08T00:00:00"/>
    <x v="1"/>
    <n v="126.25"/>
    <n v="0.2"/>
    <n v="32.344000000000001"/>
    <x v="1"/>
    <s v="Sí"/>
    <d v="2025-08-08T00:00:00"/>
    <n v="3"/>
  </r>
  <r>
    <s v="DEP-A0-1974"/>
    <x v="1"/>
    <n v="59"/>
    <x v="1"/>
    <s v="Chaqueta"/>
    <s v="Rojo"/>
    <s v="Nike"/>
    <s v="MER-A0-1974"/>
    <d v="2025-08-08T00:00:00"/>
    <x v="1"/>
    <n v="138.52000000000001"/>
    <n v="0.3"/>
    <n v="32.736000000000004"/>
    <x v="1"/>
    <s v="Sí"/>
    <d v="2025-08-08T00:00:00"/>
    <n v="3"/>
  </r>
  <r>
    <s v="DEP-A0-1953"/>
    <x v="1"/>
    <n v="65"/>
    <x v="1"/>
    <s v="Chaqueta"/>
    <s v="Amarillo"/>
    <s v="Mango"/>
    <s v="MER-A0-1953"/>
    <d v="2025-08-16T00:00:00"/>
    <x v="1"/>
    <n v="151.37"/>
    <n v="0.1"/>
    <n v="32.847999999999999"/>
    <x v="1"/>
    <s v="Sí"/>
    <d v="2025-08-16T00:00:00"/>
    <n v="3"/>
  </r>
  <r>
    <s v="DEP-A0-3484"/>
    <x v="0"/>
    <n v="42"/>
    <x v="1"/>
    <s v="Falda"/>
    <s v="Azul"/>
    <s v="Levis"/>
    <s v="MER-A0-3484"/>
    <d v="2025-08-02T00:00:00"/>
    <x v="1"/>
    <n v="156.41999999999999"/>
    <n v="0.3"/>
    <n v="32.94"/>
    <x v="1"/>
    <s v="Sí"/>
    <d v="2025-08-02T00:00:00"/>
    <n v="3"/>
  </r>
  <r>
    <s v="DEP-A0-3046"/>
    <x v="1"/>
    <n v="58"/>
    <x v="1"/>
    <s v="Chaqueta"/>
    <s v="Rojo"/>
    <s v="Levis"/>
    <s v="MER-A0-3046"/>
    <d v="2025-08-14T00:00:00"/>
    <x v="1"/>
    <n v="176.15"/>
    <n v="0.1"/>
    <n v="33.744"/>
    <x v="1"/>
    <s v="Sí"/>
    <d v="2025-08-14T00:00:00"/>
    <n v="6"/>
  </r>
  <r>
    <s v="DEP-A0-3105"/>
    <x v="0"/>
    <n v="50"/>
    <x v="1"/>
    <s v="Chaqueta"/>
    <s v="Verde"/>
    <s v="Adidas"/>
    <s v="MER-A0-3105"/>
    <d v="2025-08-15T00:00:00"/>
    <x v="1"/>
    <n v="184.61"/>
    <n v="0.2"/>
    <n v="33.879999999999995"/>
    <x v="1"/>
    <s v="Sí"/>
    <d v="2025-08-15T00:00:00"/>
    <n v="6"/>
  </r>
  <r>
    <s v="DEP-A0-1630"/>
    <x v="0"/>
    <n v="38"/>
    <x v="1"/>
    <s v="Zapatos"/>
    <s v="Verde"/>
    <s v="Tommy"/>
    <s v="MER-A0-1630"/>
    <d v="2025-08-09T00:00:00"/>
    <x v="1"/>
    <n v="199.95"/>
    <n v="0.1"/>
    <n v="34.222999999999999"/>
    <x v="1"/>
    <s v="Sí"/>
    <d v="2025-08-09T00:00:00"/>
    <n v="6"/>
  </r>
  <r>
    <s v="DEP-A0-2915"/>
    <x v="0"/>
    <n v="40"/>
    <x v="1"/>
    <s v="Chaqueta"/>
    <s v="Amarillo"/>
    <s v="Zara"/>
    <s v="MER-A0-2915"/>
    <d v="2025-07-25T00:00:00"/>
    <x v="1"/>
    <n v="54.85"/>
    <n v="0.3"/>
    <n v="34.985999999999997"/>
    <x v="1"/>
    <s v="Sí"/>
    <d v="2025-07-25T00:00:00"/>
    <n v="6"/>
  </r>
  <r>
    <s v="DEP-A0-3278"/>
    <x v="0"/>
    <n v="47"/>
    <x v="1"/>
    <s v="Camisa"/>
    <s v="Negro"/>
    <s v="Adidas"/>
    <s v="MER-A0-3278"/>
    <d v="2025-07-29T00:00:00"/>
    <x v="1"/>
    <n v="69.16"/>
    <n v="0.3"/>
    <n v="34.99"/>
    <x v="1"/>
    <s v="Sí"/>
    <d v="2025-07-29T00:00:00"/>
    <n v="6"/>
  </r>
  <r>
    <s v="DEP-A0-0602"/>
    <x v="0"/>
    <n v="57"/>
    <x v="1"/>
    <s v="Pantalón"/>
    <s v="Amarillo"/>
    <s v="Tommy"/>
    <s v="MER-A0-0602"/>
    <d v="2025-07-19T00:00:00"/>
    <x v="1"/>
    <n v="69.91"/>
    <n v="0.2"/>
    <n v="35.152000000000001"/>
    <x v="1"/>
    <s v="Sí"/>
    <d v="2025-07-19T00:00:00"/>
    <n v="6"/>
  </r>
  <r>
    <s v="DEP-A0-1138"/>
    <x v="0"/>
    <n v="63"/>
    <x v="1"/>
    <s v="Blusa"/>
    <s v="Blanco"/>
    <s v="Puma"/>
    <s v="MER-A0-1138"/>
    <d v="2025-07-30T00:00:00"/>
    <x v="1"/>
    <n v="150.16999999999999"/>
    <n v="0.2"/>
    <n v="37.206000000000003"/>
    <x v="1"/>
    <s v="Sí"/>
    <d v="2025-07-30T00:00:00"/>
    <n v="3"/>
  </r>
  <r>
    <s v="DEP-A0-0249"/>
    <x v="0"/>
    <n v="55"/>
    <x v="1"/>
    <s v="Zapatos"/>
    <s v="Verde"/>
    <s v="Zara"/>
    <s v="MER-A0-0249"/>
    <d v="2025-07-15T00:00:00"/>
    <x v="1"/>
    <n v="155.55000000000001"/>
    <n v="0.2"/>
    <n v="37.828000000000003"/>
    <x v="1"/>
    <s v="Sí"/>
    <d v="2025-07-15T00:00:00"/>
    <n v="3"/>
  </r>
  <r>
    <s v="DEP-A0-3481"/>
    <x v="1"/>
    <n v="48"/>
    <x v="1"/>
    <s v="Camisa"/>
    <s v="Blanco"/>
    <s v="Levis"/>
    <s v="MER-A0-3481"/>
    <d v="2025-07-29T00:00:00"/>
    <x v="1"/>
    <n v="157.38"/>
    <n v="0.3"/>
    <n v="37.936"/>
    <x v="1"/>
    <s v="Sí"/>
    <d v="2025-07-29T00:00:00"/>
    <n v="3"/>
  </r>
  <r>
    <s v="DEP-A0-2744"/>
    <x v="0"/>
    <n v="63"/>
    <x v="1"/>
    <s v="Vestido"/>
    <s v="Rojo"/>
    <s v="Mango"/>
    <s v="MER-A0-2744"/>
    <d v="2025-07-09T00:00:00"/>
    <x v="1"/>
    <n v="175.25"/>
    <n v="0.3"/>
    <n v="38.730999999999995"/>
    <x v="1"/>
    <s v="Sí"/>
    <d v="2025-07-09T00:00:00"/>
    <n v="3"/>
  </r>
  <r>
    <s v="DEP-A0-2417"/>
    <x v="1"/>
    <n v="58"/>
    <x v="1"/>
    <s v="Zapatos"/>
    <s v="Azul"/>
    <s v="Nike"/>
    <s v="MER-A0-2417"/>
    <d v="2025-07-02T00:00:00"/>
    <x v="1"/>
    <n v="175.43"/>
    <n v="0.1"/>
    <n v="39.351999999999997"/>
    <x v="1"/>
    <s v="Sí"/>
    <d v="2025-07-02T00:00:00"/>
    <n v="3"/>
  </r>
  <r>
    <s v="DEP-A0-3288"/>
    <x v="0"/>
    <n v="41"/>
    <x v="1"/>
    <s v="Falda"/>
    <s v="Azul"/>
    <s v="Mango"/>
    <s v="MER-A0-3288"/>
    <d v="2025-07-19T00:00:00"/>
    <x v="1"/>
    <n v="175.82"/>
    <n v="0.1"/>
    <n v="42.136000000000003"/>
    <x v="1"/>
    <s v="Sí"/>
    <d v="2025-07-19T00:00:00"/>
    <n v="3"/>
  </r>
  <r>
    <s v="DEP-A0-1742"/>
    <x v="0"/>
    <n v="52"/>
    <x v="1"/>
    <s v="Blusa"/>
    <s v="Negro"/>
    <s v="Levis"/>
    <s v="MER-A0-1742"/>
    <d v="2025-07-14T00:00:00"/>
    <x v="1"/>
    <n v="198.98"/>
    <n v="0.1"/>
    <n v="45.192000000000007"/>
    <x v="1"/>
    <s v="Sí"/>
    <d v="2025-07-14T00:00:00"/>
    <n v="3"/>
  </r>
  <r>
    <s v="DEP-A0-1791"/>
    <x v="1"/>
    <n v="36"/>
    <x v="1"/>
    <s v="Camisa"/>
    <s v="Blanco"/>
    <s v="Nike"/>
    <s v="MER-A0-1791"/>
    <d v="2025-08-01T00:00:00"/>
    <x v="1"/>
    <n v="12.48"/>
    <n v="0"/>
    <n v="47.207999999999998"/>
    <x v="1"/>
    <s v="Sí"/>
    <d v="2025-08-01T00:00:00"/>
    <n v="3"/>
  </r>
  <r>
    <s v="DEP-A0-2008"/>
    <x v="1"/>
    <n v="52"/>
    <x v="1"/>
    <s v="Pantalón"/>
    <s v="Gris"/>
    <s v="Tommy"/>
    <s v="MER-A0-2008"/>
    <d v="2025-08-06T00:00:00"/>
    <x v="1"/>
    <n v="145.04"/>
    <n v="0"/>
    <n v="48.712000000000003"/>
    <x v="1"/>
    <s v="Sí"/>
    <d v="2025-08-06T00:00:00"/>
    <n v="6"/>
  </r>
  <r>
    <s v="DEP-A0-1053"/>
    <x v="0"/>
    <n v="59"/>
    <x v="1"/>
    <s v="Falda"/>
    <s v="Azul"/>
    <s v="Nike"/>
    <s v="MER-A0-1053"/>
    <d v="2025-02-13T00:00:00"/>
    <x v="1"/>
    <n v="20.78"/>
    <n v="0.3"/>
    <n v="51.426000000000002"/>
    <x v="1"/>
    <s v="Sí"/>
    <d v="2025-04-27T00:00:00"/>
    <n v="6"/>
  </r>
  <r>
    <s v="DEP-A0-2147"/>
    <x v="1"/>
    <n v="53"/>
    <x v="1"/>
    <s v="Pantalón"/>
    <s v="Amarillo"/>
    <s v="Levis"/>
    <s v="MER-A0-2147"/>
    <d v="2025-01-19T00:00:00"/>
    <x v="1"/>
    <n v="43.05"/>
    <n v="0.3"/>
    <n v="51.920999999999999"/>
    <x v="1"/>
    <s v="Sí"/>
    <d v="2025-04-19T00:00:00"/>
    <n v="6"/>
  </r>
  <r>
    <s v="DEP-A0-0595"/>
    <x v="0"/>
    <n v="46"/>
    <x v="1"/>
    <s v="Falda"/>
    <s v="Gris"/>
    <s v="Nike"/>
    <s v="MER-A0-0595"/>
    <d v="2025-02-13T00:00:00"/>
    <x v="1"/>
    <n v="68.959999999999994"/>
    <n v="0.2"/>
    <n v="53.92"/>
    <x v="1"/>
    <s v="Sí"/>
    <d v="2025-04-06T00:00:00"/>
    <n v="6"/>
  </r>
  <r>
    <s v="DEP-A0-3104"/>
    <x v="1"/>
    <n v="60"/>
    <x v="1"/>
    <s v="Pantalón"/>
    <s v="Negro"/>
    <s v="Puma"/>
    <s v="MER-A0-3104"/>
    <d v="2025-01-25T00:00:00"/>
    <x v="1"/>
    <n v="70.66"/>
    <n v="0.2"/>
    <n v="54.756"/>
    <x v="1"/>
    <s v="Sí"/>
    <d v="2025-04-25T00:00:00"/>
    <n v="3"/>
  </r>
  <r>
    <s v="DEP-A0-4896"/>
    <x v="0"/>
    <n v="51"/>
    <x v="1"/>
    <s v="Zapatos"/>
    <s v="Azul"/>
    <s v="Nike"/>
    <s v="MER-A0-4896"/>
    <d v="2025-02-13T00:00:00"/>
    <x v="1"/>
    <n v="82.33"/>
    <n v="0.2"/>
    <n v="54.81"/>
    <x v="1"/>
    <s v="Sí"/>
    <d v="2025-04-09T00:00:00"/>
    <n v="3"/>
  </r>
  <r>
    <s v="DEP-A0-2061"/>
    <x v="1"/>
    <n v="59"/>
    <x v="1"/>
    <s v="Pantalón"/>
    <s v="Rojo"/>
    <s v="Puma"/>
    <s v="MER-A0-2061"/>
    <d v="2025-01-01T00:00:00"/>
    <x v="1"/>
    <n v="142.78"/>
    <n v="0.1"/>
    <n v="56.728000000000009"/>
    <x v="1"/>
    <s v="Sí"/>
    <d v="2025-04-01T00:00:00"/>
    <n v="3"/>
  </r>
  <r>
    <s v="DEP-A0-1137"/>
    <x v="0"/>
    <n v="52"/>
    <x v="1"/>
    <s v="Camisa"/>
    <s v="Negro"/>
    <s v="Levis"/>
    <s v="MER-A0-1137"/>
    <d v="2025-01-19T00:00:00"/>
    <x v="1"/>
    <n v="174.28"/>
    <n v="0.2"/>
    <n v="57.847999999999999"/>
    <x v="1"/>
    <s v="Sí"/>
    <d v="2025-04-19T00:00:00"/>
    <n v="3"/>
  </r>
  <r>
    <s v="DEP-A0-4876"/>
    <x v="0"/>
    <n v="42"/>
    <x v="1"/>
    <s v="Vestido"/>
    <s v="Azul"/>
    <s v="Nike"/>
    <s v="MER-A0-4876"/>
    <d v="2025-01-18T00:00:00"/>
    <x v="1"/>
    <n v="180.19"/>
    <n v="0.1"/>
    <n v="58.540999999999997"/>
    <x v="1"/>
    <s v="Sí"/>
    <d v="2025-04-18T00:00:00"/>
    <n v="3"/>
  </r>
  <r>
    <s v="DEP-A0-0238"/>
    <x v="0"/>
    <n v="43"/>
    <x v="1"/>
    <s v="Vestido"/>
    <s v="Blanco"/>
    <s v="Levis"/>
    <s v="MER-A0-0238"/>
    <d v="2025-01-10T00:00:00"/>
    <x v="1"/>
    <n v="180.39"/>
    <n v="0.2"/>
    <n v="59.05"/>
    <x v="1"/>
    <s v="Sí"/>
    <d v="2025-04-10T00:00:00"/>
    <n v="3"/>
  </r>
  <r>
    <s v="DEP-A0-2692"/>
    <x v="0"/>
    <n v="45"/>
    <x v="1"/>
    <s v="Zapatos"/>
    <s v="Gris"/>
    <s v="Adidas"/>
    <s v="MER-A0-2692"/>
    <d v="2025-02-13T00:00:00"/>
    <x v="1"/>
    <n v="194.86"/>
    <n v="0.1"/>
    <n v="59.87"/>
    <x v="1"/>
    <s v="Sí"/>
    <d v="2025-04-20T00:00:00"/>
    <n v="3"/>
  </r>
  <r>
    <s v="DEP-A0-0056"/>
    <x v="0"/>
    <n v="51"/>
    <x v="1"/>
    <s v="Blusa"/>
    <s v="Amarillo"/>
    <s v="Adidas"/>
    <s v="MER-A0-0056"/>
    <d v="2025-02-02T00:00:00"/>
    <x v="1"/>
    <n v="100.4"/>
    <n v="0.3"/>
    <n v="62.239999999999995"/>
    <x v="1"/>
    <s v="Sí"/>
    <d v="2025-05-03T00:00:00"/>
    <n v="3"/>
  </r>
  <r>
    <s v="DEP-A0-1781"/>
    <x v="0"/>
    <n v="41"/>
    <x v="1"/>
    <s v="Vestido"/>
    <s v="Verde"/>
    <s v="Adidas"/>
    <s v="MER-A0-1781"/>
    <d v="2025-02-09T00:00:00"/>
    <x v="1"/>
    <n v="79.61"/>
    <n v="0.1"/>
    <n v="62.649000000000001"/>
    <x v="1"/>
    <s v="Sí"/>
    <d v="2025-05-10T00:00:00"/>
    <n v="3"/>
  </r>
  <r>
    <s v="DEP-A0-2856"/>
    <x v="0"/>
    <n v="42"/>
    <x v="1"/>
    <s v="Chaqueta"/>
    <s v="Azul"/>
    <s v="Zara"/>
    <s v="MER-A0-2856"/>
    <d v="2025-02-14T00:00:00"/>
    <x v="1"/>
    <n v="93.23"/>
    <n v="0.1"/>
    <n v="62.910000000000004"/>
    <x v="1"/>
    <s v="Sí"/>
    <d v="2025-05-15T00:00:00"/>
    <n v="3"/>
  </r>
  <r>
    <s v="DEP-A0-2895"/>
    <x v="1"/>
    <n v="39"/>
    <x v="1"/>
    <s v="Camisa"/>
    <s v="Verde"/>
    <s v="Levis"/>
    <s v="MER-A0-2895"/>
    <d v="2025-02-17T00:00:00"/>
    <x v="1"/>
    <n v="173.42"/>
    <n v="0.3"/>
    <n v="64.134"/>
    <x v="1"/>
    <s v="Sí"/>
    <d v="2025-05-18T00:00:00"/>
    <n v="3"/>
  </r>
  <r>
    <s v="DEP-A0-1851"/>
    <x v="0"/>
    <n v="40"/>
    <x v="1"/>
    <s v="Falda"/>
    <s v="Negro"/>
    <s v="Tommy"/>
    <s v="MER-A0-1851"/>
    <d v="2025-02-19T00:00:00"/>
    <x v="1"/>
    <n v="163.83000000000001"/>
    <n v="0.1"/>
    <n v="64.14"/>
    <x v="1"/>
    <s v="Sí"/>
    <d v="2025-05-20T00:00:00"/>
    <n v="3"/>
  </r>
  <r>
    <s v="DEP-A0-1240"/>
    <x v="1"/>
    <n v="48"/>
    <x v="1"/>
    <s v="Zapatos"/>
    <s v="Verde"/>
    <s v="Levis"/>
    <s v="MER-A0-1240"/>
    <d v="2025-02-21T00:00:00"/>
    <x v="1"/>
    <n v="139.96"/>
    <n v="0.3"/>
    <n v="64.224999999999994"/>
    <x v="1"/>
    <s v="Sí"/>
    <d v="2025-05-22T00:00:00"/>
    <n v="3"/>
  </r>
  <r>
    <s v="DEP-A0-3898"/>
    <x v="1"/>
    <n v="38"/>
    <x v="1"/>
    <s v="Pantalón"/>
    <s v="Rojo"/>
    <s v="Puma"/>
    <s v="MER-A0-3898"/>
    <d v="2025-02-23T00:00:00"/>
    <x v="1"/>
    <n v="46.35"/>
    <n v="0"/>
    <n v="64.256"/>
    <x v="1"/>
    <s v="Sí"/>
    <d v="2025-05-24T00:00:00"/>
    <n v="3"/>
  </r>
  <r>
    <s v="DEP-A0-1504"/>
    <x v="0"/>
    <n v="53"/>
    <x v="1"/>
    <s v="Vestido"/>
    <s v="Gris"/>
    <s v="Levis"/>
    <s v="MER-A0-1504"/>
    <d v="2025-02-28T00:00:00"/>
    <x v="1"/>
    <n v="96.26"/>
    <n v="0.2"/>
    <n v="64.655999999999992"/>
    <x v="1"/>
    <s v="Sí"/>
    <d v="2025-05-29T00:00:00"/>
    <n v="3"/>
  </r>
  <r>
    <s v="DEP-A0-1345"/>
    <x v="0"/>
    <n v="38"/>
    <x v="1"/>
    <s v="Falda"/>
    <s v="Blanco"/>
    <s v="Nike"/>
    <s v="MER-A0-1345"/>
    <d v="2025-03-10T00:00:00"/>
    <x v="1"/>
    <n v="24.69"/>
    <n v="0.3"/>
    <n v="65.864000000000004"/>
    <x v="1"/>
    <s v="Sí"/>
    <d v="2025-06-08T00:00:00"/>
    <n v="3"/>
  </r>
  <r>
    <s v="DEP-A0-1198"/>
    <x v="0"/>
    <n v="39"/>
    <x v="1"/>
    <s v="Blusa"/>
    <s v="Azul"/>
    <s v="Tommy"/>
    <s v="MER-A0-1198"/>
    <d v="2025-03-01T00:00:00"/>
    <x v="1"/>
    <n v="72.790000000000006"/>
    <n v="0.2"/>
    <n v="65.978999999999999"/>
    <x v="1"/>
    <s v="Sí"/>
    <d v="2025-05-30T00:00:00"/>
    <n v="3"/>
  </r>
  <r>
    <s v="DEP-A0-3807"/>
    <x v="0"/>
    <n v="48"/>
    <x v="1"/>
    <s v="Vestido"/>
    <s v="Gris"/>
    <s v="Levis"/>
    <s v="MER-A0-3807"/>
    <d v="2025-03-15T00:00:00"/>
    <x v="1"/>
    <n v="89.55"/>
    <n v="0.1"/>
    <n v="67.45"/>
    <x v="1"/>
    <s v="Sí"/>
    <d v="2025-06-13T00:00:00"/>
    <n v="3"/>
  </r>
  <r>
    <s v="DEP-A0-3854"/>
    <x v="0"/>
    <n v="49"/>
    <x v="1"/>
    <s v="Pantalón"/>
    <s v="Negro"/>
    <s v="Mango"/>
    <s v="MER-A0-3854"/>
    <d v="2025-03-30T00:00:00"/>
    <x v="1"/>
    <n v="114.43"/>
    <n v="0.2"/>
    <n v="69.558999999999997"/>
    <x v="1"/>
    <s v="Sí"/>
    <d v="2025-06-28T00:00:00"/>
    <n v="3"/>
  </r>
  <r>
    <s v="DEP-A0-2684"/>
    <x v="0"/>
    <n v="40"/>
    <x v="1"/>
    <s v="Vestido"/>
    <s v="Rojo"/>
    <s v="Adidas"/>
    <s v="MER-A0-2684"/>
    <d v="2025-03-13T00:00:00"/>
    <x v="1"/>
    <n v="119.35"/>
    <n v="0.1"/>
    <n v="70.665000000000006"/>
    <x v="1"/>
    <s v="Sí"/>
    <d v="2025-06-11T00:00:00"/>
    <n v="3"/>
  </r>
  <r>
    <s v="DEP-A0-1888"/>
    <x v="1"/>
    <n v="45"/>
    <x v="1"/>
    <s v="Chaqueta"/>
    <s v="Amarillo"/>
    <s v="Mango"/>
    <s v="MER-A0-1888"/>
    <d v="2025-03-10T00:00:00"/>
    <x v="1"/>
    <n v="150.53"/>
    <n v="0.3"/>
    <n v="72.760000000000005"/>
    <x v="1"/>
    <s v="Sí"/>
    <d v="2025-06-08T00:00:00"/>
    <n v="3"/>
  </r>
  <r>
    <s v="DEP-A0-0997"/>
    <x v="0"/>
    <n v="63"/>
    <x v="1"/>
    <s v="Zapatos"/>
    <s v="Blanco"/>
    <s v="Tommy"/>
    <s v="MER-A0-0997"/>
    <d v="2025-03-25T00:00:00"/>
    <x v="1"/>
    <n v="167.65"/>
    <n v="0.1"/>
    <n v="72.832000000000008"/>
    <x v="1"/>
    <s v="Sí"/>
    <d v="2025-06-23T00:00:00"/>
    <n v="3"/>
  </r>
  <r>
    <s v="DEP-A0-4799"/>
    <x v="1"/>
    <n v="57"/>
    <x v="1"/>
    <s v="Pantalón"/>
    <s v="Azul"/>
    <s v="Puma"/>
    <s v="MER-A0-4799"/>
    <d v="2025-04-04T00:00:00"/>
    <x v="1"/>
    <n v="69.28"/>
    <n v="0.3"/>
    <n v="73.106999999999999"/>
    <x v="1"/>
    <s v="Sí"/>
    <d v="2025-07-03T00:00:00"/>
    <n v="3"/>
  </r>
  <r>
    <s v="DEP-A0-2328"/>
    <x v="0"/>
    <n v="57"/>
    <x v="1"/>
    <s v="Chaqueta"/>
    <s v="Amarillo"/>
    <s v="Tommy"/>
    <s v="MER-A0-2328"/>
    <d v="2025-04-15T00:00:00"/>
    <x v="1"/>
    <n v="73.959999999999994"/>
    <n v="0.3"/>
    <n v="74.91"/>
    <x v="1"/>
    <s v="Sí"/>
    <d v="2025-07-14T00:00:00"/>
    <n v="3"/>
  </r>
  <r>
    <s v="DEP-A0-2483"/>
    <x v="0"/>
    <n v="44"/>
    <x v="1"/>
    <s v="Blusa"/>
    <s v="Amarillo"/>
    <s v="Puma"/>
    <s v="MER-A0-2483"/>
    <d v="2025-04-05T00:00:00"/>
    <x v="1"/>
    <n v="94.7"/>
    <n v="0.2"/>
    <n v="78.055999999999997"/>
    <x v="1"/>
    <s v="Sí"/>
    <d v="2025-07-04T00:00:00"/>
    <n v="3"/>
  </r>
  <r>
    <s v="DEP-A0-1152"/>
    <x v="1"/>
    <n v="56"/>
    <x v="1"/>
    <s v="Pantalón"/>
    <s v="Verde"/>
    <s v="Tommy"/>
    <s v="MER-A0-1152"/>
    <d v="2025-04-08T00:00:00"/>
    <x v="1"/>
    <n v="111.55"/>
    <n v="0"/>
    <n v="78.912000000000006"/>
    <x v="1"/>
    <s v="Sí"/>
    <d v="2025-07-07T00:00:00"/>
    <n v="3"/>
  </r>
  <r>
    <s v="DEP-A0-3461"/>
    <x v="0"/>
    <n v="39"/>
    <x v="1"/>
    <s v="Vestido"/>
    <s v="Verde"/>
    <s v="Nike"/>
    <s v="MER-A0-3461"/>
    <d v="2025-05-24T00:00:00"/>
    <x v="1"/>
    <n v="95.34"/>
    <n v="0.2"/>
    <n v="85.039999999999992"/>
    <x v="1"/>
    <s v="Sí"/>
    <d v="2025-08-22T00:00:00"/>
    <n v="3"/>
  </r>
  <r>
    <s v="DEP-A0-1973"/>
    <x v="0"/>
    <n v="63"/>
    <x v="1"/>
    <s v="Pantalón"/>
    <s v="Gris"/>
    <s v="Tommy"/>
    <s v="MER-A0-1973"/>
    <d v="2025-05-30T00:00:00"/>
    <x v="1"/>
    <n v="125.19"/>
    <n v="0.2"/>
    <n v="86.793000000000006"/>
    <x v="1"/>
    <s v="Sí"/>
    <d v="2025-08-28T00:00:00"/>
    <n v="3"/>
  </r>
  <r>
    <s v="DEP-A0-3408"/>
    <x v="0"/>
    <n v="65"/>
    <x v="1"/>
    <s v="Blusa"/>
    <s v="Verde"/>
    <s v="Nike"/>
    <s v="MER-A0-3408"/>
    <d v="2025-05-09T00:00:00"/>
    <x v="1"/>
    <n v="147.32"/>
    <n v="0.3"/>
    <n v="90.44"/>
    <x v="1"/>
    <s v="Sí"/>
    <d v="2025-08-07T00:00:00"/>
    <n v="3"/>
  </r>
  <r>
    <s v="DEP-A0-3097"/>
    <x v="0"/>
    <n v="54"/>
    <x v="1"/>
    <s v="Blusa"/>
    <s v="Rojo"/>
    <s v="Levis"/>
    <s v="MER-A0-3097"/>
    <d v="2025-05-04T00:00:00"/>
    <x v="1"/>
    <n v="197.73"/>
    <n v="0.2"/>
    <n v="93.225999999999999"/>
    <x v="1"/>
    <s v="Sí"/>
    <d v="2025-08-02T00:00:00"/>
    <n v="3"/>
  </r>
  <r>
    <s v="DEP-A0-1020"/>
    <x v="0"/>
    <n v="37"/>
    <x v="1"/>
    <s v="Zapatos"/>
    <s v="Negro"/>
    <s v="Puma"/>
    <s v="MER-A0-1020"/>
    <d v="2025-06-09T00:00:00"/>
    <x v="1"/>
    <n v="42.29"/>
    <n v="0.3"/>
    <n v="95.235000000000014"/>
    <x v="1"/>
    <s v="Sí"/>
    <d v="2025-09-07T00:00:00"/>
    <n v="3"/>
  </r>
  <r>
    <s v="DEP-A0-1943"/>
    <x v="0"/>
    <n v="53"/>
    <x v="1"/>
    <s v="Chaqueta"/>
    <s v="Gris"/>
    <s v="Levis"/>
    <s v="MER-A0-1943"/>
    <d v="2025-06-08T00:00:00"/>
    <x v="1"/>
    <n v="61.16"/>
    <n v="0.1"/>
    <n v="97.281000000000006"/>
    <x v="1"/>
    <s v="Sí"/>
    <d v="2025-09-06T00:00:00"/>
    <n v="3"/>
  </r>
  <r>
    <s v="DEP-A0-1719"/>
    <x v="1"/>
    <n v="43"/>
    <x v="1"/>
    <s v="Zapatos"/>
    <s v="Verde"/>
    <s v="Adidas"/>
    <s v="MER-A0-1719"/>
    <d v="2025-06-18T00:00:00"/>
    <x v="1"/>
    <n v="115.26"/>
    <n v="0"/>
    <n v="100.45"/>
    <x v="1"/>
    <s v="Sí"/>
    <d v="2025-09-16T00:00:00"/>
    <n v="3"/>
  </r>
  <r>
    <s v="DEP-A0-4563"/>
    <x v="0"/>
    <n v="44"/>
    <x v="1"/>
    <s v="Vestido"/>
    <s v="Rojo"/>
    <s v="Levis"/>
    <s v="MER-A0-4563"/>
    <d v="2025-06-29T00:00:00"/>
    <x v="1"/>
    <n v="119.11"/>
    <n v="0.3"/>
    <n v="101.059"/>
    <x v="1"/>
    <s v="Sí"/>
    <d v="2025-09-27T00:00:00"/>
    <n v="3"/>
  </r>
  <r>
    <s v="DEP-A0-0017"/>
    <x v="1"/>
    <n v="64"/>
    <x v="1"/>
    <s v="Camisa"/>
    <s v="Azul"/>
    <s v="Mango"/>
    <s v="MER-A0-0017"/>
    <d v="2025-06-27T00:00:00"/>
    <x v="1"/>
    <n v="153.61000000000001"/>
    <n v="0"/>
    <n v="101.64"/>
    <x v="1"/>
    <s v="Sí"/>
    <d v="2025-09-25T00:00:00"/>
    <n v="3"/>
  </r>
  <r>
    <s v="DEP-A0-1766"/>
    <x v="0"/>
    <n v="55"/>
    <x v="1"/>
    <s v="Falda"/>
    <s v="Verde"/>
    <s v="Mango"/>
    <s v="MER-A0-1766"/>
    <d v="2025-06-08T00:00:00"/>
    <x v="1"/>
    <n v="193.22"/>
    <n v="0.1"/>
    <n v="103.13800000000001"/>
    <x v="1"/>
    <s v="Sí"/>
    <d v="2025-09-06T00:00:00"/>
    <n v="3"/>
  </r>
  <r>
    <s v="DEP-A0-0849"/>
    <x v="0"/>
    <n v="63"/>
    <x v="1"/>
    <s v="Zapatos"/>
    <s v="Blanco"/>
    <s v="Tommy"/>
    <s v="MER-A0-0849"/>
    <d v="2025-06-04T00:00:00"/>
    <x v="1"/>
    <n v="193.34"/>
    <n v="0.1"/>
    <n v="103.32"/>
    <x v="1"/>
    <s v="Sí"/>
    <d v="2025-09-02T00:00:00"/>
    <n v="3"/>
  </r>
  <r>
    <s v="DEP-A0-1451"/>
    <x v="1"/>
    <n v="37"/>
    <x v="1"/>
    <s v="Pantalón"/>
    <s v="Amarillo"/>
    <s v="Adidas"/>
    <s v="MER-A0-1451"/>
    <d v="2025-07-06T00:00:00"/>
    <x v="1"/>
    <n v="21.19"/>
    <n v="0.2"/>
    <n v="104.53"/>
    <x v="1"/>
    <s v="Sí"/>
    <d v="2025-10-04T00:00:00"/>
    <n v="3"/>
  </r>
  <r>
    <s v="DEP-A0-0658"/>
    <x v="0"/>
    <n v="42"/>
    <x v="1"/>
    <s v="Falda"/>
    <s v="Blanco"/>
    <s v="Tommy"/>
    <s v="MER-A0-0658"/>
    <d v="2025-07-12T00:00:00"/>
    <x v="1"/>
    <n v="48.34"/>
    <n v="0.3"/>
    <n v="105.46199999999999"/>
    <x v="1"/>
    <s v="Sí"/>
    <d v="2025-10-10T00:00:00"/>
    <n v="3"/>
  </r>
  <r>
    <s v="DEP-A0-3274"/>
    <x v="0"/>
    <n v="43"/>
    <x v="1"/>
    <s v="Vestido"/>
    <s v="Negro"/>
    <s v="Mango"/>
    <s v="MER-A0-3274"/>
    <d v="2025-07-07T00:00:00"/>
    <x v="1"/>
    <n v="101.63"/>
    <n v="0.1"/>
    <n v="107.36"/>
    <x v="1"/>
    <s v="Sí"/>
    <d v="2025-10-05T00:00:00"/>
    <n v="3"/>
  </r>
  <r>
    <s v="DEP-A0-0962"/>
    <x v="1"/>
    <n v="62"/>
    <x v="1"/>
    <s v="Zapatos"/>
    <s v="Azul"/>
    <s v="Puma"/>
    <s v="MER-A0-0962"/>
    <d v="2025-07-07T00:00:00"/>
    <x v="1"/>
    <n v="105.26"/>
    <n v="0.2"/>
    <n v="109.49"/>
    <x v="1"/>
    <s v="Sí"/>
    <d v="2025-10-05T00:00:00"/>
    <n v="3"/>
  </r>
  <r>
    <s v="DEP-A0-4523"/>
    <x v="1"/>
    <n v="60"/>
    <x v="1"/>
    <s v="Chaqueta"/>
    <s v="Azul"/>
    <s v="Adidas"/>
    <s v="MER-A0-4523"/>
    <d v="2025-07-14T00:00:00"/>
    <x v="1"/>
    <n v="130.22"/>
    <n v="0.1"/>
    <n v="109.65"/>
    <x v="1"/>
    <s v="Sí"/>
    <d v="2025-10-12T00:00:00"/>
    <n v="3"/>
  </r>
  <r>
    <s v="DEP-A0-0294"/>
    <x v="0"/>
    <n v="51"/>
    <x v="1"/>
    <s v="Zapatos"/>
    <s v="Verde"/>
    <s v="Nike"/>
    <s v="MER-A0-0294"/>
    <d v="2025-07-20T00:00:00"/>
    <x v="1"/>
    <n v="141.09"/>
    <n v="0"/>
    <n v="110.075"/>
    <x v="1"/>
    <s v="Sí"/>
    <d v="2025-10-18T00:00:00"/>
    <n v="3"/>
  </r>
  <r>
    <s v="DEP-A0-4061"/>
    <x v="0"/>
    <n v="52"/>
    <x v="1"/>
    <s v="Blusa"/>
    <s v="Azul"/>
    <s v="Nike"/>
    <s v="MER-A0-4061"/>
    <d v="2025-07-21T00:00:00"/>
    <x v="1"/>
    <n v="183.51"/>
    <n v="0.1"/>
    <n v="112.13"/>
    <x v="1"/>
    <s v="Sí"/>
    <d v="2025-10-19T00:00:00"/>
    <n v="3"/>
  </r>
  <r>
    <s v="DEP-A0-4905"/>
    <x v="0"/>
    <n v="52"/>
    <x v="1"/>
    <s v="Vestido"/>
    <s v="Rojo"/>
    <s v="Adidas"/>
    <s v="MER-A0-4905"/>
    <d v="2025-07-11T00:00:00"/>
    <x v="1"/>
    <n v="184.73"/>
    <n v="0.1"/>
    <n v="113.43600000000001"/>
    <x v="1"/>
    <s v="Sí"/>
    <d v="2025-10-09T00:00:00"/>
    <n v="3"/>
  </r>
  <r>
    <s v="DEP-A0-1184"/>
    <x v="0"/>
    <n v="65"/>
    <x v="1"/>
    <s v="Camisa"/>
    <s v="Negro"/>
    <s v="Mango"/>
    <s v="MER-A0-1184"/>
    <d v="2025-07-11T00:00:00"/>
    <x v="1"/>
    <n v="195.69"/>
    <n v="0.3"/>
    <n v="117.01899999999999"/>
    <x v="1"/>
    <s v="Sí"/>
    <d v="2025-10-09T00:00:00"/>
    <n v="3"/>
  </r>
  <r>
    <s v="DEP-A0-1058"/>
    <x v="1"/>
    <n v="45"/>
    <x v="1"/>
    <s v="Zapatos"/>
    <s v="Gris"/>
    <s v="Tommy"/>
    <s v="MER-A0-1058"/>
    <d v="2025-08-14T00:00:00"/>
    <x v="1"/>
    <n v="96.64"/>
    <n v="0.2"/>
    <n v="117.38300000000001"/>
    <x v="1"/>
    <s v="Sí"/>
    <d v="2025-11-12T00:00:00"/>
    <n v="3"/>
  </r>
  <r>
    <s v="DEP-A0-4499"/>
    <x v="0"/>
    <n v="50"/>
    <x v="1"/>
    <s v="Blusa"/>
    <s v="Azul"/>
    <s v="Levis"/>
    <s v="MER-A0-4499"/>
    <d v="2025-08-10T00:00:00"/>
    <x v="1"/>
    <n v="171.96"/>
    <n v="0"/>
    <n v="119.09799999999998"/>
    <x v="1"/>
    <s v="Sí"/>
    <d v="2025-11-08T00:00:00"/>
    <n v="3"/>
  </r>
  <r>
    <s v="DEP-A0-0096"/>
    <x v="1"/>
    <n v="64"/>
    <x v="1"/>
    <s v="Chaqueta"/>
    <s v="Rojo"/>
    <s v="Levis"/>
    <s v="MER-A0-0096"/>
    <d v="2025-08-13T00:00:00"/>
    <x v="1"/>
    <n v="182.92"/>
    <n v="0.3"/>
    <n v="120.43799999999999"/>
    <x v="1"/>
    <s v="Sí"/>
    <d v="2025-11-11T00:00:00"/>
    <n v="3"/>
  </r>
  <r>
    <s v="DEP-A0-3766"/>
    <x v="1"/>
    <n v="54"/>
    <x v="1"/>
    <s v="Chaqueta"/>
    <s v="Azul"/>
    <s v="Mango"/>
    <s v="MER-A0-3766"/>
    <d v="2025-08-06T00:00:00"/>
    <x v="1"/>
    <n v="193.75"/>
    <n v="0.3"/>
    <n v="121.786"/>
    <x v="1"/>
    <s v="Sí"/>
    <d v="2025-11-04T00:00:00"/>
    <n v="3"/>
  </r>
  <r>
    <s v="DEP-A0-3197"/>
    <x v="0"/>
    <n v="57"/>
    <x v="1"/>
    <s v="Vestido"/>
    <s v="Amarillo"/>
    <s v="Mango"/>
    <s v="MER-A0-3197"/>
    <d v="2025-07-09T00:00:00"/>
    <x v="1"/>
    <n v="124.71"/>
    <n v="0"/>
    <n v="126.917"/>
    <x v="1"/>
    <s v="Sí"/>
    <d v="2025-10-07T00:00:00"/>
    <n v="3"/>
  </r>
  <r>
    <s v="DEP-A0-4868"/>
    <x v="0"/>
    <n v="56"/>
    <x v="1"/>
    <s v="Falda"/>
    <s v="Blanco"/>
    <s v="Puma"/>
    <s v="MER-A0-4868"/>
    <d v="2025-07-12T00:00:00"/>
    <x v="1"/>
    <n v="129.43"/>
    <n v="0.1"/>
    <n v="127.02200000000001"/>
    <x v="1"/>
    <s v="Sí"/>
    <d v="2025-10-10T00:00:00"/>
    <n v="3"/>
  </r>
  <r>
    <s v="DEP-A0-4251"/>
    <x v="1"/>
    <n v="40"/>
    <x v="1"/>
    <s v="Camisa"/>
    <s v="Rojo"/>
    <s v="Zara"/>
    <s v="MER-A0-4251"/>
    <d v="2025-07-15T00:00:00"/>
    <x v="1"/>
    <n v="199.01"/>
    <n v="0.2"/>
    <n v="127.24199999999999"/>
    <x v="1"/>
    <s v="Sí"/>
    <d v="2025-10-13T00:00:00"/>
    <n v="3"/>
  </r>
  <r>
    <s v="DEP-A0-3824"/>
    <x v="0"/>
    <n v="57"/>
    <x v="1"/>
    <s v="Blusa"/>
    <s v="Azul"/>
    <s v="Mango"/>
    <s v="MER-A0-3824"/>
    <d v="2025-08-03T00:00:00"/>
    <x v="1"/>
    <n v="132.13"/>
    <n v="0.1"/>
    <n v="129.88500000000002"/>
    <x v="1"/>
    <s v="Sí"/>
    <d v="2025-11-01T00:00:00"/>
    <n v="3"/>
  </r>
  <r>
    <s v="DEP-A0-2867"/>
    <x v="1"/>
    <n v="49"/>
    <x v="1"/>
    <s v="Pantalón"/>
    <s v="Azul"/>
    <s v="Mango"/>
    <s v="MER-A0-2867"/>
    <d v="2025-08-16T00:00:00"/>
    <x v="1"/>
    <n v="137.57"/>
    <n v="0.3"/>
    <n v="129.91999999999999"/>
    <x v="1"/>
    <s v="Sí"/>
    <d v="2025-11-14T00:00:00"/>
    <n v="3"/>
  </r>
  <r>
    <s v="DEP-A0-1023"/>
    <x v="0"/>
    <n v="51"/>
    <x v="1"/>
    <s v="Vestido"/>
    <s v="Blanco"/>
    <s v="Levis"/>
    <s v="MER-A0-1023"/>
    <d v="2025-08-14T00:00:00"/>
    <x v="1"/>
    <n v="156.31"/>
    <n v="0"/>
    <n v="130.29599999999999"/>
    <x v="1"/>
    <s v="Sí"/>
    <d v="2025-11-12T00:00:00"/>
    <n v="3"/>
  </r>
  <r>
    <s v="DEP-A0-2340"/>
    <x v="0"/>
    <n v="44"/>
    <x v="1"/>
    <s v="Vestido"/>
    <s v="Gris"/>
    <s v="Puma"/>
    <s v="MER-A0-2340"/>
    <d v="2025-01-05T00:00:00"/>
    <x v="1"/>
    <n v="41.37"/>
    <n v="0"/>
    <n v="134.24600000000001"/>
    <x v="1"/>
    <s v="Sí"/>
    <d v="2025-07-04T00:00:00"/>
    <n v="6"/>
  </r>
  <r>
    <s v="DEP-A0-1098"/>
    <x v="0"/>
    <n v="56"/>
    <x v="1"/>
    <s v="Vestido"/>
    <s v="Gris"/>
    <s v="Nike"/>
    <s v="MER-A0-1098"/>
    <d v="2025-01-20T00:00:00"/>
    <x v="1"/>
    <n v="74.41"/>
    <n v="0.2"/>
    <n v="136.15199999999999"/>
    <x v="1"/>
    <s v="Sí"/>
    <d v="2025-07-19T00:00:00"/>
    <n v="6"/>
  </r>
  <r>
    <s v="DEP-A0-1663"/>
    <x v="0"/>
    <n v="59"/>
    <x v="1"/>
    <s v="Pantalón"/>
    <s v="Rojo"/>
    <s v="Nike"/>
    <s v="MER-A0-1663"/>
    <d v="2025-02-13T00:00:00"/>
    <x v="1"/>
    <n v="112.69"/>
    <n v="0.3"/>
    <n v="136.184"/>
    <x v="1"/>
    <s v="Sí"/>
    <d v="2025-07-04T00:00:00"/>
    <n v="6"/>
  </r>
  <r>
    <s v="DEP-A0-1360"/>
    <x v="0"/>
    <n v="41"/>
    <x v="1"/>
    <s v="Pantalón"/>
    <s v="Amarillo"/>
    <s v="Tommy"/>
    <s v="MER-A0-1360"/>
    <d v="2025-01-02T00:00:00"/>
    <x v="1"/>
    <n v="130.86000000000001"/>
    <n v="0.2"/>
    <n v="136.40799999999999"/>
    <x v="1"/>
    <s v="Sí"/>
    <d v="2025-07-01T00:00:00"/>
    <n v="6"/>
  </r>
  <r>
    <s v="DEP-A0-2270"/>
    <x v="0"/>
    <n v="62"/>
    <x v="1"/>
    <s v="Vestido"/>
    <s v="Gris"/>
    <s v="Zara"/>
    <s v="MER-A0-2270"/>
    <d v="2025-01-31T00:00:00"/>
    <x v="1"/>
    <n v="132.38999999999999"/>
    <n v="0"/>
    <n v="136.52100000000002"/>
    <x v="1"/>
    <s v="Sí"/>
    <d v="2025-07-30T00:00:00"/>
    <n v="6"/>
  </r>
  <r>
    <s v="DEP-A0-3763"/>
    <x v="1"/>
    <n v="46"/>
    <x v="1"/>
    <s v="Zapatos"/>
    <s v="Rojo"/>
    <s v="Levis"/>
    <s v="MER-A0-3763"/>
    <d v="2025-01-24T00:00:00"/>
    <x v="1"/>
    <n v="171.96"/>
    <n v="0.1"/>
    <n v="137.47499999999999"/>
    <x v="1"/>
    <s v="Sí"/>
    <d v="2025-07-23T00:00:00"/>
    <n v="6"/>
  </r>
  <r>
    <s v="DEP-A0-2645"/>
    <x v="1"/>
    <n v="43"/>
    <x v="1"/>
    <s v="Pantalón"/>
    <s v="Blanco"/>
    <s v="Zara"/>
    <s v="MER-A0-2645"/>
    <d v="2025-01-21T00:00:00"/>
    <x v="1"/>
    <n v="177.15"/>
    <n v="0.1"/>
    <n v="137.648"/>
    <x v="1"/>
    <s v="Sí"/>
    <d v="2025-07-20T00:00:00"/>
    <n v="6"/>
  </r>
  <r>
    <s v="DEP-A0-2972"/>
    <x v="1"/>
    <n v="42"/>
    <x v="1"/>
    <s v="Zapatos"/>
    <s v="Azul"/>
    <s v="Zara"/>
    <s v="MER-A0-2972"/>
    <d v="2025-02-05T00:00:00"/>
    <x v="1"/>
    <n v="79.900000000000006"/>
    <n v="0.2"/>
    <n v="138.608"/>
    <x v="1"/>
    <s v="Sí"/>
    <d v="2025-08-04T00:00:00"/>
    <n v="6"/>
  </r>
  <r>
    <s v="DEP-A0-0650"/>
    <x v="0"/>
    <n v="48"/>
    <x v="1"/>
    <s v="Chaqueta"/>
    <s v="Azul"/>
    <s v="Tommy"/>
    <s v="MER-A0-0650"/>
    <d v="2025-02-07T00:00:00"/>
    <x v="1"/>
    <n v="191.03"/>
    <n v="0"/>
    <n v="138.90100000000001"/>
    <x v="1"/>
    <s v="Sí"/>
    <d v="2025-08-06T00:00:00"/>
    <n v="6"/>
  </r>
  <r>
    <s v="DEP-A0-4005"/>
    <x v="1"/>
    <n v="46"/>
    <x v="1"/>
    <s v="Camisa"/>
    <s v="Amarillo"/>
    <s v="Tommy"/>
    <s v="MER-A0-4005"/>
    <d v="2025-02-08T00:00:00"/>
    <x v="1"/>
    <n v="138.37"/>
    <n v="0"/>
    <n v="139.648"/>
    <x v="1"/>
    <s v="Sí"/>
    <d v="2025-08-07T00:00:00"/>
    <n v="6"/>
  </r>
  <r>
    <s v="DEP-A0-2908"/>
    <x v="0"/>
    <n v="64"/>
    <x v="1"/>
    <s v="Chaqueta"/>
    <s v="Rojo"/>
    <s v="Adidas"/>
    <s v="MER-A0-2908"/>
    <d v="2025-02-09T00:00:00"/>
    <x v="1"/>
    <n v="88.82"/>
    <n v="0.3"/>
    <n v="141.35999999999999"/>
    <x v="1"/>
    <s v="Sí"/>
    <d v="2025-08-08T00:00:00"/>
    <n v="6"/>
  </r>
  <r>
    <s v="DEP-A0-0722"/>
    <x v="0"/>
    <n v="37"/>
    <x v="1"/>
    <s v="Zapatos"/>
    <s v="Negro"/>
    <s v="Puma"/>
    <s v="MER-A0-0722"/>
    <d v="2025-02-12T00:00:00"/>
    <x v="1"/>
    <n v="73.760000000000005"/>
    <n v="0.3"/>
    <n v="147.55000000000001"/>
    <x v="1"/>
    <s v="Sí"/>
    <d v="2025-08-11T00:00:00"/>
    <n v="6"/>
  </r>
  <r>
    <s v="DEP-A0-4559"/>
    <x v="0"/>
    <n v="51"/>
    <x v="1"/>
    <s v="Camisa"/>
    <s v="Azul"/>
    <s v="Puma"/>
    <s v="MER-A0-4559"/>
    <d v="2025-02-14T00:00:00"/>
    <x v="1"/>
    <n v="33.54"/>
    <n v="0.1"/>
    <n v="148.63"/>
    <x v="1"/>
    <s v="Sí"/>
    <d v="2025-08-13T00:00:00"/>
    <n v="6"/>
  </r>
  <r>
    <s v="DEP-A0-3672"/>
    <x v="0"/>
    <n v="39"/>
    <x v="1"/>
    <s v="Falda"/>
    <s v="Blanco"/>
    <s v="Puma"/>
    <s v="MER-A0-3672"/>
    <d v="2025-03-02T00:00:00"/>
    <x v="1"/>
    <n v="111.18"/>
    <n v="0.2"/>
    <n v="152.02799999999999"/>
    <x v="1"/>
    <s v="Sí"/>
    <d v="2025-08-29T00:00:00"/>
    <n v="6"/>
  </r>
  <r>
    <s v="DEP-A0-3962"/>
    <x v="1"/>
    <n v="61"/>
    <x v="1"/>
    <s v="Zapatos"/>
    <s v="Gris"/>
    <s v="Nike"/>
    <s v="MER-A0-3962"/>
    <d v="2025-03-22T00:00:00"/>
    <x v="1"/>
    <n v="174.36"/>
    <n v="0.3"/>
    <n v="153.97999999999999"/>
    <x v="1"/>
    <s v="Sí"/>
    <d v="2025-09-18T00:00:00"/>
    <n v="6"/>
  </r>
  <r>
    <s v="DEP-A0-3757"/>
    <x v="0"/>
    <n v="52"/>
    <x v="1"/>
    <s v="Blusa"/>
    <s v="Blanco"/>
    <s v="Tommy"/>
    <s v="MER-A0-3757"/>
    <d v="2025-03-19T00:00:00"/>
    <x v="1"/>
    <n v="181.62"/>
    <n v="0"/>
    <n v="159.20099999999999"/>
    <x v="1"/>
    <s v="Sí"/>
    <d v="2025-09-15T00:00:00"/>
    <n v="6"/>
  </r>
  <r>
    <s v="DEP-A0-3148"/>
    <x v="0"/>
    <n v="46"/>
    <x v="1"/>
    <s v="Vestido"/>
    <s v="Amarillo"/>
    <s v="Puma"/>
    <s v="MER-A0-3148"/>
    <d v="2025-04-18T00:00:00"/>
    <x v="1"/>
    <n v="25.5"/>
    <n v="0"/>
    <n v="163.02000000000001"/>
    <x v="1"/>
    <s v="Sí"/>
    <d v="2025-10-15T00:00:00"/>
    <n v="6"/>
  </r>
  <r>
    <s v="DEP-A0-4601"/>
    <x v="0"/>
    <n v="41"/>
    <x v="1"/>
    <s v="Zapatos"/>
    <s v="Negro"/>
    <s v="Adidas"/>
    <s v="MER-A0-4601"/>
    <d v="2025-04-18T00:00:00"/>
    <x v="1"/>
    <n v="27.26"/>
    <n v="0"/>
    <n v="163.566"/>
    <x v="1"/>
    <s v="Sí"/>
    <d v="2025-10-15T00:00:00"/>
    <n v="6"/>
  </r>
  <r>
    <s v="DEP-A0-0468"/>
    <x v="0"/>
    <n v="45"/>
    <x v="1"/>
    <s v="Vestido"/>
    <s v="Verde"/>
    <s v="Adidas"/>
    <s v="MER-A0-0468"/>
    <d v="2025-04-23T00:00:00"/>
    <x v="1"/>
    <n v="45.32"/>
    <n v="0"/>
    <n v="168.696"/>
    <x v="1"/>
    <s v="Sí"/>
    <d v="2025-10-20T00:00:00"/>
    <n v="6"/>
  </r>
  <r>
    <s v="DEP-A0-1063"/>
    <x v="0"/>
    <n v="59"/>
    <x v="1"/>
    <s v="Pantalón"/>
    <s v="Azul"/>
    <s v="Tommy"/>
    <s v="MER-A0-1063"/>
    <d v="2025-04-29T00:00:00"/>
    <x v="1"/>
    <n v="66.290000000000006"/>
    <n v="0"/>
    <n v="169.61"/>
    <x v="1"/>
    <s v="Sí"/>
    <d v="2025-10-26T00:00:00"/>
    <n v="6"/>
  </r>
  <r>
    <s v="DEP-A0-3199"/>
    <x v="1"/>
    <n v="51"/>
    <x v="1"/>
    <s v="Camisa"/>
    <s v="Rojo"/>
    <s v="Zara"/>
    <s v="MER-A0-3199"/>
    <d v="2025-04-16T00:00:00"/>
    <x v="1"/>
    <n v="94.66"/>
    <n v="0.2"/>
    <n v="170.36099999999999"/>
    <x v="1"/>
    <s v="Sí"/>
    <d v="2025-10-13T00:00:00"/>
    <n v="6"/>
  </r>
  <r>
    <s v="DEP-A0-2452"/>
    <x v="0"/>
    <n v="48"/>
    <x v="1"/>
    <s v="Pantalón"/>
    <s v="Verde"/>
    <s v="Mango"/>
    <s v="MER-A0-2452"/>
    <d v="2025-04-24T00:00:00"/>
    <x v="1"/>
    <n v="97.22"/>
    <n v="0.2"/>
    <n v="173.75399999999999"/>
    <x v="1"/>
    <s v="Sí"/>
    <d v="2025-10-21T00:00:00"/>
    <n v="6"/>
  </r>
  <r>
    <s v="DEP-A0-3332"/>
    <x v="1"/>
    <n v="64"/>
    <x v="1"/>
    <s v="Pantalón"/>
    <s v="Negro"/>
    <s v="Zara"/>
    <s v="MER-A0-3332"/>
    <d v="2025-04-12T00:00:00"/>
    <x v="1"/>
    <n v="174.72"/>
    <n v="0.3"/>
    <n v="185.33"/>
    <x v="1"/>
    <s v="Sí"/>
    <d v="2025-10-09T00:00:00"/>
    <n v="6"/>
  </r>
  <r>
    <s v="DEP-A0-0036"/>
    <x v="0"/>
    <n v="54"/>
    <x v="1"/>
    <s v="Falda"/>
    <s v="Negro"/>
    <s v="Nike"/>
    <s v="MER-A0-0036"/>
    <d v="2025-04-01T00:00:00"/>
    <x v="1"/>
    <n v="193.02"/>
    <n v="0.3"/>
    <n v="194.28"/>
    <x v="1"/>
    <s v="Sí"/>
    <d v="2025-09-28T00:00:00"/>
    <n v="6"/>
  </r>
  <r>
    <s v="DEP-A0-2126"/>
    <x v="0"/>
    <n v="40"/>
    <x v="1"/>
    <s v="Zapatos"/>
    <s v="Negro"/>
    <s v="Levis"/>
    <s v="MER-A0-2126"/>
    <d v="2025-05-10T00:00:00"/>
    <x v="1"/>
    <n v="43.3"/>
    <n v="0"/>
    <n v="199.33"/>
    <x v="1"/>
    <s v="Sí"/>
    <d v="2025-11-06T00:00:00"/>
    <n v="6"/>
  </r>
  <r>
    <s v="DEP-A0-2021"/>
    <x v="1"/>
    <n v="37"/>
    <x v="1"/>
    <s v="Camisa"/>
    <s v="Rojo"/>
    <s v="Adidas"/>
    <s v="MER-A0-2021"/>
    <d v="2025-05-20T00:00:00"/>
    <x v="1"/>
    <n v="110"/>
    <n v="0.2"/>
    <n v="35.9"/>
    <x v="1"/>
    <s v="Sí"/>
    <d v="2025-11-16T00:00:00"/>
    <n v="6"/>
  </r>
  <r>
    <s v="DEP-A0-4268"/>
    <x v="0"/>
    <n v="48"/>
    <x v="1"/>
    <s v="Blusa"/>
    <s v="Rojo"/>
    <s v="Puma"/>
    <s v="MER-A0-4268"/>
    <d v="2025-05-25T00:00:00"/>
    <x v="1"/>
    <n v="123.89"/>
    <n v="0.2"/>
    <n v="36.063000000000002"/>
    <x v="1"/>
    <s v="Sí"/>
    <d v="2025-11-21T00:00:00"/>
    <n v="6"/>
  </r>
  <r>
    <s v="DEP-A0-1919"/>
    <x v="0"/>
    <n v="63"/>
    <x v="1"/>
    <s v="Blusa"/>
    <s v="Negro"/>
    <s v="Adidas"/>
    <s v="MER-A0-1919"/>
    <d v="2025-05-07T00:00:00"/>
    <x v="1"/>
    <n v="164.02"/>
    <n v="0"/>
    <n v="36.603000000000002"/>
    <x v="1"/>
    <s v="Sí"/>
    <d v="2025-11-03T00:00:00"/>
    <n v="6"/>
  </r>
  <r>
    <s v="DEP-A0-2666"/>
    <x v="0"/>
    <n v="44"/>
    <x v="1"/>
    <s v="Vestido"/>
    <s v="Azul"/>
    <s v="Zara"/>
    <s v="MER-A0-2666"/>
    <d v="2025-05-20T00:00:00"/>
    <x v="1"/>
    <n v="171.22"/>
    <n v="0.2"/>
    <n v="36.701999999999998"/>
    <x v="1"/>
    <s v="Sí"/>
    <d v="2025-11-16T00:00:00"/>
    <n v="6"/>
  </r>
  <r>
    <s v="DEP-A0-2051"/>
    <x v="0"/>
    <n v="65"/>
    <x v="1"/>
    <s v="Blusa"/>
    <s v="Verde"/>
    <s v="Nike"/>
    <s v="MER-A0-2051"/>
    <d v="2025-05-19T00:00:00"/>
    <x v="1"/>
    <n v="175.91"/>
    <n v="0"/>
    <n v="37.097999999999999"/>
    <x v="1"/>
    <s v="Sí"/>
    <d v="2025-11-15T00:00:00"/>
    <n v="6"/>
  </r>
  <r>
    <s v="DEP-A0-1466"/>
    <x v="1"/>
    <n v="41"/>
    <x v="1"/>
    <s v="Zapatos"/>
    <s v="Negro"/>
    <s v="Tommy"/>
    <s v="MER-A0-1466"/>
    <d v="2025-05-17T00:00:00"/>
    <x v="1"/>
    <n v="193.93"/>
    <n v="0.2"/>
    <n v="37.712000000000003"/>
    <x v="1"/>
    <s v="Sí"/>
    <d v="2025-11-13T00:00:00"/>
    <n v="6"/>
  </r>
  <r>
    <s v="DEP-A0-1654"/>
    <x v="0"/>
    <n v="50"/>
    <x v="1"/>
    <s v="Zapatos"/>
    <s v="Verde"/>
    <s v="Tommy"/>
    <s v="MER-A0-1654"/>
    <d v="2025-06-18T00:00:00"/>
    <x v="1"/>
    <n v="21.27"/>
    <n v="0.1"/>
    <n v="37.76"/>
    <x v="1"/>
    <s v="Sí"/>
    <d v="2025-12-15T00:00:00"/>
    <n v="6"/>
  </r>
  <r>
    <s v="DEP-A0-1083"/>
    <x v="0"/>
    <n v="65"/>
    <x v="1"/>
    <s v="Blusa"/>
    <s v="Negro"/>
    <s v="Adidas"/>
    <s v="MER-A0-1083"/>
    <d v="2025-06-27T00:00:00"/>
    <x v="1"/>
    <n v="34.450000000000003"/>
    <n v="0.2"/>
    <n v="38.402000000000001"/>
    <x v="1"/>
    <s v="Sí"/>
    <d v="2025-12-24T00:00:00"/>
    <n v="6"/>
  </r>
  <r>
    <s v="DEP-A0-3899"/>
    <x v="0"/>
    <n v="55"/>
    <x v="1"/>
    <s v="Blusa"/>
    <s v="Verde"/>
    <s v="Adidas"/>
    <s v="MER-A0-3899"/>
    <d v="2025-06-13T00:00:00"/>
    <x v="1"/>
    <n v="38.29"/>
    <n v="0.1"/>
    <n v="39.158000000000001"/>
    <x v="1"/>
    <s v="Sí"/>
    <d v="2025-12-10T00:00:00"/>
    <n v="6"/>
  </r>
  <r>
    <s v="DEP-A0-0033"/>
    <x v="0"/>
    <n v="42"/>
    <x v="1"/>
    <s v="Falda"/>
    <s v="Azul"/>
    <s v="Mango"/>
    <s v="MER-A0-0033"/>
    <d v="2025-06-21T00:00:00"/>
    <x v="1"/>
    <n v="81.93"/>
    <n v="0.2"/>
    <n v="39.67"/>
    <x v="1"/>
    <s v="Sí"/>
    <d v="2025-12-18T00:00:00"/>
    <n v="6"/>
  </r>
  <r>
    <s v="DEP-A0-2520"/>
    <x v="0"/>
    <n v="59"/>
    <x v="1"/>
    <s v="Pantalón"/>
    <s v="Blanco"/>
    <s v="Mango"/>
    <s v="MER-A0-2520"/>
    <d v="2025-06-17T00:00:00"/>
    <x v="1"/>
    <n v="86.38"/>
    <n v="0.2"/>
    <n v="39.872"/>
    <x v="1"/>
    <s v="Sí"/>
    <d v="2025-12-14T00:00:00"/>
    <n v="6"/>
  </r>
  <r>
    <s v="DEP-A0-0608"/>
    <x v="1"/>
    <n v="54"/>
    <x v="1"/>
    <s v="Chaqueta"/>
    <s v="Azul"/>
    <s v="Levis"/>
    <s v="MER-A0-0608"/>
    <d v="2025-06-14T00:00:00"/>
    <x v="1"/>
    <n v="136.33000000000001"/>
    <n v="0.2"/>
    <n v="39.927999999999997"/>
    <x v="1"/>
    <s v="Sí"/>
    <d v="2025-12-11T00:00:00"/>
    <n v="6"/>
  </r>
  <r>
    <s v="DEP-A0-3687"/>
    <x v="1"/>
    <n v="37"/>
    <x v="1"/>
    <s v="Zapatos"/>
    <s v="Blanco"/>
    <s v="Adidas"/>
    <s v="MER-A0-3687"/>
    <d v="2025-06-14T00:00:00"/>
    <x v="1"/>
    <n v="155"/>
    <n v="0.1"/>
    <n v="39.977000000000004"/>
    <x v="1"/>
    <s v="Sí"/>
    <d v="2025-12-11T00:00:00"/>
    <n v="6"/>
  </r>
  <r>
    <s v="DEP-A0-0288"/>
    <x v="1"/>
    <n v="41"/>
    <x v="1"/>
    <s v="Chaqueta"/>
    <s v="Verde"/>
    <s v="Adidas"/>
    <s v="MER-A0-0288"/>
    <d v="2025-07-30T00:00:00"/>
    <x v="1"/>
    <n v="47.65"/>
    <n v="0.3"/>
    <n v="40.96"/>
    <x v="1"/>
    <s v="Sí"/>
    <d v="2026-01-26T00:00:00"/>
    <n v="6"/>
  </r>
  <r>
    <s v="DEP-A0-2975"/>
    <x v="0"/>
    <n v="38"/>
    <x v="1"/>
    <s v="Zapatos"/>
    <s v="Amarillo"/>
    <s v="Zara"/>
    <s v="MER-A0-2975"/>
    <d v="2025-07-03T00:00:00"/>
    <x v="1"/>
    <n v="70.72"/>
    <n v="0.2"/>
    <n v="42.363"/>
    <x v="1"/>
    <s v="Sí"/>
    <d v="2025-12-30T00:00:00"/>
    <n v="6"/>
  </r>
  <r>
    <s v="DEP-A0-1416"/>
    <x v="0"/>
    <n v="53"/>
    <x v="1"/>
    <s v="Vestido"/>
    <s v="Azul"/>
    <s v="Zara"/>
    <s v="MER-A0-1416"/>
    <d v="2025-07-15T00:00:00"/>
    <x v="1"/>
    <n v="81.96"/>
    <n v="0"/>
    <n v="42.811999999999998"/>
    <x v="1"/>
    <s v="Sí"/>
    <d v="2026-01-11T00:00:00"/>
    <n v="6"/>
  </r>
  <r>
    <s v="DEP-A0-1339"/>
    <x v="0"/>
    <n v="55"/>
    <x v="1"/>
    <s v="Vestido"/>
    <s v="Azul"/>
    <s v="Puma"/>
    <s v="MER-A0-1339"/>
    <d v="2025-07-16T00:00:00"/>
    <x v="1"/>
    <n v="115.42"/>
    <n v="0.1"/>
    <n v="43.46"/>
    <x v="1"/>
    <s v="Sí"/>
    <d v="2026-01-12T00:00:00"/>
    <n v="6"/>
  </r>
  <r>
    <s v="DEP-A0-4722"/>
    <x v="1"/>
    <n v="40"/>
    <x v="1"/>
    <s v="Camisa"/>
    <s v="Verde"/>
    <s v="Puma"/>
    <s v="MER-A0-4722"/>
    <d v="2025-07-09T00:00:00"/>
    <x v="1"/>
    <n v="188.75"/>
    <n v="0.3"/>
    <n v="44.234999999999999"/>
    <x v="1"/>
    <s v="Sí"/>
    <d v="2026-01-05T00:00:00"/>
    <n v="6"/>
  </r>
  <r>
    <s v="DEP-A0-0151"/>
    <x v="1"/>
    <n v="56"/>
    <x v="1"/>
    <s v="Zapatos"/>
    <s v="Rojo"/>
    <s v="Tommy"/>
    <s v="MER-A0-0151"/>
    <d v="2025-07-04T00:00:00"/>
    <x v="1"/>
    <n v="199.82"/>
    <n v="0.1"/>
    <n v="44.31"/>
    <x v="1"/>
    <s v="Sí"/>
    <d v="2025-12-31T00:00:00"/>
    <n v="6"/>
  </r>
  <r>
    <s v="DEP-A0-4188"/>
    <x v="0"/>
    <n v="37"/>
    <x v="1"/>
    <s v="Blusa"/>
    <s v="Amarillo"/>
    <s v="Puma"/>
    <s v="MER-A0-4188"/>
    <d v="2025-08-12T00:00:00"/>
    <x v="1"/>
    <n v="118.34"/>
    <n v="0.3"/>
    <n v="45.036000000000001"/>
    <x v="1"/>
    <s v="Sí"/>
    <d v="2026-02-08T00:00:00"/>
    <n v="6"/>
  </r>
  <r>
    <s v="DEP-A0-4003"/>
    <x v="0"/>
    <n v="36"/>
    <x v="1"/>
    <s v="Vestido"/>
    <s v="Gris"/>
    <s v="Nike"/>
    <s v="MER-A0-4003"/>
    <d v="2025-08-03T00:00:00"/>
    <x v="1"/>
    <n v="180.87"/>
    <n v="0.1"/>
    <n v="45.619"/>
    <x v="1"/>
    <s v="Sí"/>
    <d v="2026-01-30T00:00:00"/>
    <n v="6"/>
  </r>
  <r>
    <s v="DEP-A0-3478"/>
    <x v="0"/>
    <n v="61"/>
    <x v="1"/>
    <s v="Falda"/>
    <s v="Verde"/>
    <s v="Zara"/>
    <s v="MER-A0-3478"/>
    <d v="2025-07-17T00:00:00"/>
    <x v="1"/>
    <n v="121.68"/>
    <n v="0.1"/>
    <n v="47.257000000000005"/>
    <x v="1"/>
    <s v="Sí"/>
    <d v="2026-01-13T00:00:00"/>
    <n v="6"/>
  </r>
  <r>
    <s v="DEP-A0-3616"/>
    <x v="0"/>
    <n v="53"/>
    <x v="1"/>
    <s v="Chaqueta"/>
    <s v="Azul"/>
    <s v="Tommy"/>
    <s v="MER-A0-3616"/>
    <d v="2025-07-31T00:00:00"/>
    <x v="1"/>
    <n v="143.9"/>
    <n v="0.1"/>
    <n v="48.96"/>
    <x v="1"/>
    <s v="Sí"/>
    <d v="2026-01-27T00:00:00"/>
    <n v="6"/>
  </r>
  <r>
    <s v="DEP-A0-1920"/>
    <x v="0"/>
    <n v="42"/>
    <x v="1"/>
    <s v="Zapatos"/>
    <s v="Rojo"/>
    <s v="Adidas"/>
    <s v="MER-A0-1920"/>
    <d v="2025-07-27T00:00:00"/>
    <x v="1"/>
    <n v="171.84"/>
    <n v="0.2"/>
    <n v="50.210999999999999"/>
    <x v="1"/>
    <s v="Sí"/>
    <d v="2026-01-23T00:00:00"/>
    <n v="6"/>
  </r>
  <r>
    <s v="DEP-A0-4744"/>
    <x v="0"/>
    <n v="36"/>
    <x v="1"/>
    <s v="Zapatos"/>
    <s v="Blanco"/>
    <s v="Levis"/>
    <s v="MER-A0-4744"/>
    <d v="2025-07-25T00:00:00"/>
    <x v="1"/>
    <n v="172.71"/>
    <n v="0.2"/>
    <n v="50.295999999999999"/>
    <x v="1"/>
    <s v="Sí"/>
    <d v="2026-01-21T00:00:00"/>
    <n v="6"/>
  </r>
  <r>
    <s v="DEP-A0-2707"/>
    <x v="0"/>
    <n v="56"/>
    <x v="1"/>
    <s v="Blusa"/>
    <s v="Verde"/>
    <s v="Zara"/>
    <s v="MER-A0-2707"/>
    <d v="2025-08-05T00:00:00"/>
    <x v="1"/>
    <n v="14.49"/>
    <n v="0"/>
    <n v="51.039000000000001"/>
    <x v="1"/>
    <s v="Sí"/>
    <d v="2026-02-01T00:00:00"/>
    <n v="6"/>
  </r>
  <r>
    <s v="DEP-A0-3902"/>
    <x v="0"/>
    <n v="50"/>
    <x v="1"/>
    <s v="Zapatos"/>
    <s v="Rojo"/>
    <s v="Zara"/>
    <s v="MER-A0-3902"/>
    <d v="2025-01-28T00:00:00"/>
    <x v="1"/>
    <n v="42.26"/>
    <n v="0.2"/>
    <n v="51.085999999999999"/>
    <x v="1"/>
    <s v="Sí"/>
    <d v="2025-10-25T00:00:00"/>
    <n v="9"/>
  </r>
  <r>
    <s v="DEP-A0-0816"/>
    <x v="0"/>
    <n v="52"/>
    <x v="1"/>
    <s v="Chaqueta"/>
    <s v="Azul"/>
    <s v="Nike"/>
    <s v="MER-A0-0816"/>
    <d v="2025-02-13T00:00:00"/>
    <x v="1"/>
    <n v="52.09"/>
    <n v="0"/>
    <n v="51.35"/>
    <x v="1"/>
    <s v="Sí"/>
    <d v="2025-10-20T00:00:00"/>
    <n v="9"/>
  </r>
  <r>
    <s v="DEP-A0-1046"/>
    <x v="0"/>
    <n v="65"/>
    <x v="1"/>
    <s v="Chaqueta"/>
    <s v="Rojo"/>
    <s v="Nike"/>
    <s v="MER-A0-1046"/>
    <d v="2025-02-13T00:00:00"/>
    <x v="1"/>
    <n v="67.510000000000005"/>
    <n v="0.3"/>
    <n v="51.731999999999999"/>
    <x v="1"/>
    <s v="Sí"/>
    <d v="2025-10-21T00:00:00"/>
    <n v="9"/>
  </r>
  <r>
    <s v="DEP-A0-1318"/>
    <x v="1"/>
    <n v="53"/>
    <x v="1"/>
    <s v="Chaqueta"/>
    <s v="Negro"/>
    <s v="Adidas"/>
    <s v="MER-A0-1318"/>
    <d v="2025-01-19T00:00:00"/>
    <x v="1"/>
    <n v="93.9"/>
    <n v="0.1"/>
    <n v="52.248000000000005"/>
    <x v="1"/>
    <s v="Sí"/>
    <d v="2025-10-16T00:00:00"/>
    <n v="9"/>
  </r>
  <r>
    <s v="DEP-A0-3444"/>
    <x v="1"/>
    <n v="44"/>
    <x v="1"/>
    <s v="Camisa"/>
    <s v="Amarillo"/>
    <s v="Tommy"/>
    <s v="MER-A0-3444"/>
    <d v="2025-02-13T00:00:00"/>
    <x v="1"/>
    <n v="188.47"/>
    <n v="0.2"/>
    <n v="53.34"/>
    <x v="1"/>
    <s v="Sí"/>
    <d v="2025-10-06T00:00:00"/>
    <n v="9"/>
  </r>
  <r>
    <s v="DEP-A0-4614"/>
    <x v="1"/>
    <n v="58"/>
    <x v="1"/>
    <s v="Zapatos"/>
    <s v="Blanco"/>
    <s v="Puma"/>
    <s v="MER-A0-4614"/>
    <d v="2025-02-14T00:00:00"/>
    <x v="1"/>
    <n v="186.2"/>
    <n v="0.3"/>
    <n v="55.082999999999998"/>
    <x v="1"/>
    <s v="Sí"/>
    <d v="2025-11-11T00:00:00"/>
    <n v="9"/>
  </r>
  <r>
    <s v="DEP-A0-0806"/>
    <x v="1"/>
    <n v="44"/>
    <x v="1"/>
    <s v="Camisa"/>
    <s v="Verde"/>
    <s v="Levis"/>
    <s v="MER-A0-0806"/>
    <d v="2025-02-28T00:00:00"/>
    <x v="1"/>
    <n v="18.22"/>
    <n v="0.2"/>
    <n v="55.277999999999999"/>
    <x v="1"/>
    <s v="Sí"/>
    <d v="2025-11-25T00:00:00"/>
    <n v="9"/>
  </r>
  <r>
    <s v="DEP-A0-4978"/>
    <x v="0"/>
    <n v="43"/>
    <x v="1"/>
    <s v="Vestido"/>
    <s v="Verde"/>
    <s v="Mango"/>
    <s v="MER-A0-4978"/>
    <d v="2025-03-27T00:00:00"/>
    <x v="1"/>
    <n v="34.54"/>
    <n v="0.3"/>
    <n v="55.655999999999992"/>
    <x v="1"/>
    <s v="Sí"/>
    <d v="2025-12-22T00:00:00"/>
    <n v="9"/>
  </r>
  <r>
    <s v="DEP-A0-0083"/>
    <x v="1"/>
    <n v="41"/>
    <x v="1"/>
    <s v="Pantalón"/>
    <s v="Rojo"/>
    <s v="Adidas"/>
    <s v="MER-A0-0083"/>
    <d v="2025-03-31T00:00:00"/>
    <x v="1"/>
    <n v="43.58"/>
    <n v="0.1"/>
    <n v="55.760000000000005"/>
    <x v="1"/>
    <s v="Sí"/>
    <d v="2025-12-26T00:00:00"/>
    <n v="9"/>
  </r>
  <r>
    <s v="DEP-A0-1277"/>
    <x v="0"/>
    <n v="48"/>
    <x v="1"/>
    <s v="Vestido"/>
    <s v="Rojo"/>
    <s v="Adidas"/>
    <s v="MER-A0-1277"/>
    <d v="2025-03-19T00:00:00"/>
    <x v="1"/>
    <n v="84.7"/>
    <n v="0"/>
    <n v="55.838999999999999"/>
    <x v="1"/>
    <s v="Sí"/>
    <d v="2025-12-14T00:00:00"/>
    <n v="9"/>
  </r>
  <r>
    <s v="DEP-A0-1183"/>
    <x v="1"/>
    <n v="61"/>
    <x v="1"/>
    <s v="Zapatos"/>
    <s v="Verde"/>
    <s v="Puma"/>
    <s v="MER-A0-1183"/>
    <d v="2025-03-11T00:00:00"/>
    <x v="1"/>
    <n v="123.05"/>
    <n v="0.1"/>
    <n v="56.97"/>
    <x v="1"/>
    <s v="Sí"/>
    <d v="2025-12-06T00:00:00"/>
    <n v="9"/>
  </r>
  <r>
    <s v="DEP-A0-0591"/>
    <x v="0"/>
    <n v="65"/>
    <x v="1"/>
    <s v="Zapatos"/>
    <s v="Amarillo"/>
    <s v="Tommy"/>
    <s v="MER-A0-0591"/>
    <d v="2025-03-26T00:00:00"/>
    <x v="1"/>
    <n v="125.44"/>
    <n v="0.2"/>
    <n v="57.498000000000005"/>
    <x v="1"/>
    <s v="Sí"/>
    <d v="2025-12-21T00:00:00"/>
    <n v="9"/>
  </r>
  <r>
    <s v="DEP-A0-2790"/>
    <x v="0"/>
    <n v="52"/>
    <x v="1"/>
    <s v="Falda"/>
    <s v="Gris"/>
    <s v="Zara"/>
    <s v="MER-A0-2790"/>
    <d v="2025-03-05T00:00:00"/>
    <x v="1"/>
    <n v="153.26"/>
    <n v="0"/>
    <n v="57.512"/>
    <x v="1"/>
    <s v="Sí"/>
    <d v="2025-11-30T00:00:00"/>
    <n v="9"/>
  </r>
  <r>
    <s v="DEP-A0-1257"/>
    <x v="0"/>
    <n v="62"/>
    <x v="1"/>
    <s v="Chaqueta"/>
    <s v="Rojo"/>
    <s v="Nike"/>
    <s v="MER-A0-1257"/>
    <d v="2025-03-23T00:00:00"/>
    <x v="1"/>
    <n v="199.21"/>
    <n v="0.3"/>
    <n v="57.616"/>
    <x v="1"/>
    <s v="Sí"/>
    <d v="2025-12-18T00:00:00"/>
    <n v="9"/>
  </r>
  <r>
    <s v="DEP-A0-2693"/>
    <x v="0"/>
    <n v="62"/>
    <x v="1"/>
    <s v="Vestido"/>
    <s v="Verde"/>
    <s v="Levis"/>
    <s v="MER-A0-2693"/>
    <d v="2025-03-19T00:00:00"/>
    <x v="1"/>
    <n v="199.5"/>
    <n v="0.1"/>
    <n v="58.680999999999997"/>
    <x v="1"/>
    <s v="Sí"/>
    <d v="2025-12-14T00:00:00"/>
    <n v="9"/>
  </r>
  <r>
    <s v="DEP-A0-3079"/>
    <x v="1"/>
    <n v="59"/>
    <x v="1"/>
    <s v="Camisa"/>
    <s v="Gris"/>
    <s v="Zara"/>
    <s v="MER-A0-3079"/>
    <d v="2025-04-10T00:00:00"/>
    <x v="1"/>
    <n v="16.510000000000002"/>
    <n v="0.2"/>
    <n v="59.06"/>
    <x v="1"/>
    <s v="Sí"/>
    <d v="2026-01-05T00:00:00"/>
    <n v="9"/>
  </r>
  <r>
    <s v="DEP-A0-0630"/>
    <x v="0"/>
    <n v="58"/>
    <x v="1"/>
    <s v="Vestido"/>
    <s v="Negro"/>
    <s v="Mango"/>
    <s v="MER-A0-0630"/>
    <d v="2025-04-03T00:00:00"/>
    <x v="1"/>
    <n v="30.94"/>
    <n v="0.2"/>
    <n v="59.211000000000006"/>
    <x v="1"/>
    <s v="Sí"/>
    <d v="2025-12-29T00:00:00"/>
    <n v="9"/>
  </r>
  <r>
    <s v="DEP-A0-2115"/>
    <x v="1"/>
    <n v="49"/>
    <x v="1"/>
    <s v="Zapatos"/>
    <s v="Negro"/>
    <s v="Levis"/>
    <s v="MER-A0-2115"/>
    <d v="2025-04-05T00:00:00"/>
    <x v="1"/>
    <n v="64.349999999999994"/>
    <n v="0.2"/>
    <n v="59.489999999999995"/>
    <x v="1"/>
    <s v="Sí"/>
    <d v="2025-12-31T00:00:00"/>
    <n v="9"/>
  </r>
  <r>
    <s v="DEP-A0-1756"/>
    <x v="0"/>
    <n v="58"/>
    <x v="1"/>
    <s v="Vestido"/>
    <s v="Amarillo"/>
    <s v="Nike"/>
    <s v="MER-A0-1756"/>
    <d v="2025-04-01T00:00:00"/>
    <x v="1"/>
    <n v="66.58"/>
    <n v="0.1"/>
    <n v="59.59"/>
    <x v="1"/>
    <s v="Sí"/>
    <d v="2025-12-27T00:00:00"/>
    <n v="9"/>
  </r>
  <r>
    <s v="DEP-A0-1997"/>
    <x v="1"/>
    <n v="59"/>
    <x v="1"/>
    <s v="Zapatos"/>
    <s v="Rojo"/>
    <s v="Zara"/>
    <s v="MER-A0-1997"/>
    <d v="2025-04-28T00:00:00"/>
    <x v="1"/>
    <n v="75.42"/>
    <n v="0"/>
    <n v="59.71"/>
    <x v="1"/>
    <s v="Sí"/>
    <d v="2026-01-23T00:00:00"/>
    <n v="9"/>
  </r>
  <r>
    <s v="DEP-A0-2438"/>
    <x v="0"/>
    <n v="61"/>
    <x v="1"/>
    <s v="Zapatos"/>
    <s v="Rojo"/>
    <s v="Puma"/>
    <s v="MER-A0-2438"/>
    <d v="2025-04-10T00:00:00"/>
    <x v="1"/>
    <n v="104.93"/>
    <n v="0"/>
    <n v="59.927"/>
    <x v="1"/>
    <s v="Sí"/>
    <d v="2026-01-05T00:00:00"/>
    <n v="9"/>
  </r>
  <r>
    <s v="DEP-A0-3139"/>
    <x v="0"/>
    <n v="38"/>
    <x v="1"/>
    <s v="Vestido"/>
    <s v="Rojo"/>
    <s v="Tommy"/>
    <s v="MER-A0-3139"/>
    <d v="2025-04-06T00:00:00"/>
    <x v="1"/>
    <n v="107.36"/>
    <n v="0.3"/>
    <n v="60.823999999999998"/>
    <x v="1"/>
    <s v="Sí"/>
    <d v="2026-01-01T00:00:00"/>
    <n v="9"/>
  </r>
  <r>
    <s v="DEP-A0-2049"/>
    <x v="0"/>
    <n v="60"/>
    <x v="1"/>
    <s v="Falda"/>
    <s v="Azul"/>
    <s v="Mango"/>
    <s v="MER-A0-2049"/>
    <d v="2025-04-04T00:00:00"/>
    <x v="1"/>
    <n v="117.18"/>
    <n v="0.2"/>
    <n v="61.138000000000005"/>
    <x v="1"/>
    <s v="Sí"/>
    <d v="2025-12-30T00:00:00"/>
    <n v="9"/>
  </r>
  <r>
    <s v="DEP-A0-2878"/>
    <x v="0"/>
    <n v="59"/>
    <x v="1"/>
    <s v="Camisa"/>
    <s v="Gris"/>
    <s v="Zara"/>
    <s v="MER-A0-2878"/>
    <d v="2025-04-25T00:00:00"/>
    <x v="1"/>
    <n v="119.76"/>
    <n v="0.3"/>
    <n v="61.263999999999996"/>
    <x v="1"/>
    <s v="Sí"/>
    <d v="2026-01-20T00:00:00"/>
    <n v="9"/>
  </r>
  <r>
    <s v="DEP-A0-3190"/>
    <x v="0"/>
    <n v="46"/>
    <x v="1"/>
    <s v="Vestido"/>
    <s v="Blanco"/>
    <s v="Mango"/>
    <s v="MER-A0-3190"/>
    <d v="2025-04-25T00:00:00"/>
    <x v="1"/>
    <n v="188.56"/>
    <n v="0.1"/>
    <n v="61.595999999999997"/>
    <x v="1"/>
    <s v="Sí"/>
    <d v="2026-01-20T00:00:00"/>
    <n v="9"/>
  </r>
  <r>
    <s v="DEP-A0-3690"/>
    <x v="1"/>
    <n v="50"/>
    <x v="1"/>
    <s v="Chaqueta"/>
    <s v="Blanco"/>
    <s v="Mango"/>
    <s v="MER-A0-3690"/>
    <d v="2025-05-06T00:00:00"/>
    <x v="1"/>
    <n v="10.26"/>
    <n v="0.2"/>
    <n v="61.720000000000006"/>
    <x v="1"/>
    <s v="Sí"/>
    <d v="2026-01-31T00:00:00"/>
    <n v="9"/>
  </r>
  <r>
    <s v="DEP-A0-3548"/>
    <x v="0"/>
    <n v="49"/>
    <x v="1"/>
    <s v="Vestido"/>
    <s v="Gris"/>
    <s v="Tommy"/>
    <s v="MER-A0-3548"/>
    <d v="2025-05-17T00:00:00"/>
    <x v="1"/>
    <n v="12.25"/>
    <n v="0.3"/>
    <n v="62.505000000000003"/>
    <x v="1"/>
    <s v="Sí"/>
    <d v="2026-02-11T00:00:00"/>
    <n v="9"/>
  </r>
  <r>
    <s v="DEP-A0-4619"/>
    <x v="0"/>
    <n v="53"/>
    <x v="1"/>
    <s v="Zapatos"/>
    <s v="Gris"/>
    <s v="Zara"/>
    <s v="MER-A0-4619"/>
    <d v="2025-05-07T00:00:00"/>
    <x v="1"/>
    <n v="14.24"/>
    <n v="0.2"/>
    <n v="63.209999999999994"/>
    <x v="1"/>
    <s v="Sí"/>
    <d v="2026-02-01T00:00:00"/>
    <n v="9"/>
  </r>
  <r>
    <s v="DEP-A0-4084"/>
    <x v="0"/>
    <n v="49"/>
    <x v="1"/>
    <s v="Blusa"/>
    <s v="Amarillo"/>
    <s v="Adidas"/>
    <s v="MER-A0-4084"/>
    <d v="2025-05-22T00:00:00"/>
    <x v="1"/>
    <n v="28.83"/>
    <n v="0.3"/>
    <n v="63.54"/>
    <x v="1"/>
    <s v="Sí"/>
    <d v="2026-02-16T00:00:00"/>
    <n v="9"/>
  </r>
  <r>
    <s v="DEP-A0-1488"/>
    <x v="1"/>
    <n v="48"/>
    <x v="1"/>
    <s v="Chaqueta"/>
    <s v="Rojo"/>
    <s v="Adidas"/>
    <s v="MER-A0-1488"/>
    <d v="2025-05-26T00:00:00"/>
    <x v="1"/>
    <n v="58.36"/>
    <n v="0.2"/>
    <n v="65.260000000000005"/>
    <x v="1"/>
    <s v="Sí"/>
    <d v="2026-02-20T00:00:00"/>
    <n v="9"/>
  </r>
  <r>
    <s v="DEP-A0-3177"/>
    <x v="0"/>
    <n v="38"/>
    <x v="1"/>
    <s v="Falda"/>
    <s v="Azul"/>
    <s v="Adidas"/>
    <s v="MER-A0-3177"/>
    <d v="2025-05-17T00:00:00"/>
    <x v="1"/>
    <n v="95.82"/>
    <n v="0"/>
    <n v="65.744"/>
    <x v="1"/>
    <s v="Sí"/>
    <d v="2026-02-11T00:00:00"/>
    <n v="9"/>
  </r>
  <r>
    <s v="DEP-A0-0681"/>
    <x v="0"/>
    <n v="64"/>
    <x v="1"/>
    <s v="Vestido"/>
    <s v="Amarillo"/>
    <s v="Tommy"/>
    <s v="MER-A0-0681"/>
    <d v="2025-05-28T00:00:00"/>
    <x v="1"/>
    <n v="118.7"/>
    <n v="0.1"/>
    <n v="66.344000000000008"/>
    <x v="1"/>
    <s v="Sí"/>
    <d v="2026-02-22T00:00:00"/>
    <n v="9"/>
  </r>
  <r>
    <s v="DEP-A0-0610"/>
    <x v="1"/>
    <n v="42"/>
    <x v="1"/>
    <s v="Camisa"/>
    <s v="Azul"/>
    <s v="Tommy"/>
    <s v="MER-A0-0610"/>
    <d v="2025-05-08T00:00:00"/>
    <x v="1"/>
    <n v="120.45"/>
    <n v="0"/>
    <n v="66.626999999999995"/>
    <x v="1"/>
    <s v="Sí"/>
    <d v="2026-02-02T00:00:00"/>
    <n v="9"/>
  </r>
  <r>
    <s v="DEP-A0-3507"/>
    <x v="0"/>
    <n v="45"/>
    <x v="1"/>
    <s v="Chaqueta"/>
    <s v="Blanco"/>
    <s v="Puma"/>
    <s v="MER-A0-3507"/>
    <d v="2025-05-07T00:00:00"/>
    <x v="1"/>
    <n v="125.32"/>
    <n v="0.3"/>
    <n v="66.819999999999993"/>
    <x v="1"/>
    <s v="Sí"/>
    <d v="2026-02-01T00:00:00"/>
    <n v="9"/>
  </r>
  <r>
    <s v="DEP-A0-1484"/>
    <x v="0"/>
    <n v="59"/>
    <x v="1"/>
    <s v="Chaqueta"/>
    <s v="Negro"/>
    <s v="Nike"/>
    <s v="MER-A0-1484"/>
    <d v="2025-05-16T00:00:00"/>
    <x v="1"/>
    <n v="132.13"/>
    <n v="0.3"/>
    <n v="66.912000000000006"/>
    <x v="1"/>
    <s v="Sí"/>
    <d v="2026-02-10T00:00:00"/>
    <n v="9"/>
  </r>
  <r>
    <s v="DEP-A0-2448"/>
    <x v="0"/>
    <n v="58"/>
    <x v="1"/>
    <s v="Falda"/>
    <s v="Verde"/>
    <s v="Mango"/>
    <s v="MER-A0-2448"/>
    <d v="2025-05-02T00:00:00"/>
    <x v="1"/>
    <n v="166.93"/>
    <n v="0.1"/>
    <n v="67.263000000000005"/>
    <x v="1"/>
    <s v="Sí"/>
    <d v="2026-01-27T00:00:00"/>
    <n v="9"/>
  </r>
  <r>
    <s v="DEP-A0-1254"/>
    <x v="0"/>
    <n v="60"/>
    <x v="1"/>
    <s v="Vestido"/>
    <s v="Azul"/>
    <s v="Nike"/>
    <s v="MER-A0-1254"/>
    <d v="2025-05-26T00:00:00"/>
    <x v="1"/>
    <n v="195.46"/>
    <n v="0"/>
    <n v="67.361000000000004"/>
    <x v="1"/>
    <s v="Sí"/>
    <d v="2026-02-20T00:00:00"/>
    <n v="9"/>
  </r>
  <r>
    <s v="DEP-A0-3794"/>
    <x v="0"/>
    <n v="63"/>
    <x v="1"/>
    <s v="Falda"/>
    <s v="Blanco"/>
    <s v="Tommy"/>
    <s v="MER-A0-3794"/>
    <d v="2025-06-02T00:00:00"/>
    <x v="1"/>
    <n v="60.63"/>
    <n v="0.2"/>
    <n v="67.893000000000001"/>
    <x v="1"/>
    <s v="Sí"/>
    <d v="2026-02-27T00:00:00"/>
    <n v="9"/>
  </r>
  <r>
    <s v="DEP-A0-4892"/>
    <x v="0"/>
    <n v="60"/>
    <x v="1"/>
    <s v="Falda"/>
    <s v="Rojo"/>
    <s v="Levis"/>
    <s v="MER-A0-4892"/>
    <d v="2025-06-22T00:00:00"/>
    <x v="1"/>
    <n v="65.400000000000006"/>
    <n v="0"/>
    <n v="68.34"/>
    <x v="1"/>
    <s v="Sí"/>
    <d v="2026-03-19T00:00:00"/>
    <n v="9"/>
  </r>
  <r>
    <s v="DEP-A0-3319"/>
    <x v="1"/>
    <n v="42"/>
    <x v="1"/>
    <s v="Chaqueta"/>
    <s v="Amarillo"/>
    <s v="Zara"/>
    <s v="MER-A0-3319"/>
    <d v="2025-06-08T00:00:00"/>
    <x v="1"/>
    <n v="76.66"/>
    <n v="0"/>
    <n v="68.47999999999999"/>
    <x v="1"/>
    <s v="Sí"/>
    <d v="2026-03-05T00:00:00"/>
    <n v="9"/>
  </r>
  <r>
    <s v="DEP-A0-0007"/>
    <x v="0"/>
    <n v="56"/>
    <x v="1"/>
    <s v="Falda"/>
    <s v="Azul"/>
    <s v="Adidas"/>
    <s v="MER-A0-0007"/>
    <d v="2025-06-05T00:00:00"/>
    <x v="1"/>
    <n v="110.19"/>
    <n v="0.1"/>
    <n v="69.111000000000004"/>
    <x v="1"/>
    <s v="Sí"/>
    <d v="2026-03-02T00:00:00"/>
    <n v="9"/>
  </r>
  <r>
    <s v="DEP-A0-1049"/>
    <x v="0"/>
    <n v="42"/>
    <x v="1"/>
    <s v="Falda"/>
    <s v="Rojo"/>
    <s v="Zara"/>
    <s v="MER-A0-1049"/>
    <d v="2025-06-10T00:00:00"/>
    <x v="1"/>
    <n v="119.34"/>
    <n v="0.2"/>
    <n v="69.22"/>
    <x v="1"/>
    <s v="Sí"/>
    <d v="2026-03-07T00:00:00"/>
    <n v="9"/>
  </r>
  <r>
    <s v="DEP-A0-0773"/>
    <x v="0"/>
    <n v="59"/>
    <x v="1"/>
    <s v="Vestido"/>
    <s v="Verde"/>
    <s v="Puma"/>
    <s v="MER-A0-0773"/>
    <d v="2025-06-19T00:00:00"/>
    <x v="1"/>
    <n v="121.82"/>
    <n v="0.3"/>
    <n v="69.25"/>
    <x v="1"/>
    <s v="Sí"/>
    <d v="2026-03-16T00:00:00"/>
    <n v="9"/>
  </r>
  <r>
    <s v="DEP-A0-3715"/>
    <x v="0"/>
    <n v="38"/>
    <x v="1"/>
    <s v="Falda"/>
    <s v="Amarillo"/>
    <s v="Adidas"/>
    <s v="MER-A0-3715"/>
    <d v="2025-06-27T00:00:00"/>
    <x v="1"/>
    <n v="132.18"/>
    <n v="0.3"/>
    <n v="69.489999999999995"/>
    <x v="1"/>
    <s v="Sí"/>
    <d v="2026-03-24T00:00:00"/>
    <n v="9"/>
  </r>
  <r>
    <s v="DEP-A0-0432"/>
    <x v="0"/>
    <n v="37"/>
    <x v="1"/>
    <s v="Falda"/>
    <s v="Verde"/>
    <s v="Puma"/>
    <s v="MER-A0-0432"/>
    <d v="2025-06-23T00:00:00"/>
    <x v="1"/>
    <n v="145.59"/>
    <n v="0.1"/>
    <n v="69.510000000000005"/>
    <x v="1"/>
    <s v="Sí"/>
    <d v="2026-03-20T00:00:00"/>
    <n v="9"/>
  </r>
  <r>
    <s v="DEP-A0-3409"/>
    <x v="0"/>
    <n v="39"/>
    <x v="1"/>
    <s v="Zapatos"/>
    <s v="Gris"/>
    <s v="Adidas"/>
    <s v="MER-A0-3409"/>
    <d v="2025-06-11T00:00:00"/>
    <x v="1"/>
    <n v="195.17"/>
    <n v="0.3"/>
    <n v="69.909000000000006"/>
    <x v="1"/>
    <s v="Sí"/>
    <d v="2026-03-08T00:00:00"/>
    <n v="9"/>
  </r>
  <r>
    <s v="DEP-A0-3989"/>
    <x v="1"/>
    <n v="58"/>
    <x v="1"/>
    <s v="Pantalón"/>
    <s v="Blanco"/>
    <s v="Zara"/>
    <s v="MER-A0-3989"/>
    <d v="2025-07-29T00:00:00"/>
    <x v="1"/>
    <n v="54.97"/>
    <n v="0"/>
    <n v="70.790999999999997"/>
    <x v="1"/>
    <s v="Sí"/>
    <d v="2026-04-25T00:00:00"/>
    <n v="9"/>
  </r>
  <r>
    <s v="DEP-A0-2414"/>
    <x v="0"/>
    <n v="40"/>
    <x v="1"/>
    <s v="Falda"/>
    <s v="Rojo"/>
    <s v="Zara"/>
    <s v="MER-A0-2414"/>
    <d v="2025-07-08T00:00:00"/>
    <x v="1"/>
    <n v="78.06"/>
    <n v="0.2"/>
    <n v="70.849999999999994"/>
    <x v="1"/>
    <s v="Sí"/>
    <d v="2026-04-04T00:00:00"/>
    <n v="9"/>
  </r>
  <r>
    <s v="DEP-A0-0295"/>
    <x v="0"/>
    <n v="39"/>
    <x v="1"/>
    <s v="Pantalón"/>
    <s v="Verde"/>
    <s v="Zara"/>
    <s v="MER-A0-0295"/>
    <d v="2025-07-21T00:00:00"/>
    <x v="1"/>
    <n v="102.96"/>
    <n v="0.3"/>
    <n v="71.308999999999997"/>
    <x v="1"/>
    <s v="Sí"/>
    <d v="2026-04-17T00:00:00"/>
    <n v="9"/>
  </r>
  <r>
    <s v="DEP-A0-3415"/>
    <x v="0"/>
    <n v="55"/>
    <x v="1"/>
    <s v="Falda"/>
    <s v="Amarillo"/>
    <s v="Adidas"/>
    <s v="MER-A0-3415"/>
    <d v="2025-07-14T00:00:00"/>
    <x v="1"/>
    <n v="103.68"/>
    <n v="0.1"/>
    <n v="71.400000000000006"/>
    <x v="1"/>
    <s v="Sí"/>
    <d v="2026-04-10T00:00:00"/>
    <n v="9"/>
  </r>
  <r>
    <s v="DEP-A0-3132"/>
    <x v="0"/>
    <n v="65"/>
    <x v="1"/>
    <s v="Pantalón"/>
    <s v="Verde"/>
    <s v="Nike"/>
    <s v="MER-A0-3132"/>
    <d v="2025-07-03T00:00:00"/>
    <x v="1"/>
    <n v="196.16"/>
    <n v="0"/>
    <n v="71.58"/>
    <x v="1"/>
    <s v="Sí"/>
    <d v="2026-03-30T00:00:00"/>
    <n v="9"/>
  </r>
  <r>
    <s v="DEP-A0-3938"/>
    <x v="0"/>
    <n v="52"/>
    <x v="1"/>
    <s v="Pantalón"/>
    <s v="Azul"/>
    <s v="Nike"/>
    <s v="MER-A0-3938"/>
    <d v="2025-08-03T00:00:00"/>
    <x v="1"/>
    <n v="181.45"/>
    <n v="0.3"/>
    <n v="72.278999999999996"/>
    <x v="1"/>
    <s v="Sí"/>
    <d v="2026-04-30T00:00:00"/>
    <n v="9"/>
  </r>
  <r>
    <s v="DEP-A0-0002"/>
    <x v="0"/>
    <n v="40"/>
    <x v="1"/>
    <s v="Blusa"/>
    <s v="Blanco"/>
    <s v="Puma"/>
    <s v="MER-A0-0002"/>
    <d v="2025-07-23T00:00:00"/>
    <x v="1"/>
    <n v="122.95"/>
    <n v="0.1"/>
    <n v="72.510000000000005"/>
    <x v="1"/>
    <s v="Sí"/>
    <d v="2026-04-19T00:00:00"/>
    <n v="9"/>
  </r>
  <r>
    <s v="DEP-A0-3927"/>
    <x v="1"/>
    <n v="50"/>
    <x v="1"/>
    <s v="Chaqueta"/>
    <s v="Verde"/>
    <s v="Adidas"/>
    <s v="MER-A0-3927"/>
    <d v="2025-07-17T00:00:00"/>
    <x v="1"/>
    <n v="143.78"/>
    <n v="0.1"/>
    <n v="72.521999999999991"/>
    <x v="1"/>
    <s v="Sí"/>
    <d v="2026-04-13T00:00:00"/>
    <n v="9"/>
  </r>
  <r>
    <s v="DEP-A0-3644"/>
    <x v="0"/>
    <n v="42"/>
    <x v="1"/>
    <s v="Chaqueta"/>
    <s v="Blanco"/>
    <s v="Zara"/>
    <s v="MER-A0-3644"/>
    <d v="2025-07-21T00:00:00"/>
    <x v="1"/>
    <n v="151.97"/>
    <n v="0"/>
    <n v="72.653000000000006"/>
    <x v="1"/>
    <s v="Sí"/>
    <d v="2026-04-17T00:00:00"/>
    <n v="9"/>
  </r>
  <r>
    <s v="DEP-A0-0329"/>
    <x v="0"/>
    <n v="43"/>
    <x v="1"/>
    <s v="Chaqueta"/>
    <s v="Azul"/>
    <s v="Levis"/>
    <s v="MER-A0-0329"/>
    <d v="2025-07-25T00:00:00"/>
    <x v="1"/>
    <n v="184.94"/>
    <n v="0.3"/>
    <n v="73.19"/>
    <x v="1"/>
    <s v="Sí"/>
    <d v="2026-04-21T00:00:00"/>
    <n v="9"/>
  </r>
  <r>
    <s v="DEP-A0-2506"/>
    <x v="0"/>
    <n v="64"/>
    <x v="1"/>
    <s v="Pantalón"/>
    <s v="Verde"/>
    <s v="Zara"/>
    <s v="MER-A0-2506"/>
    <d v="2025-07-12T00:00:00"/>
    <x v="1"/>
    <n v="185.56"/>
    <n v="0.3"/>
    <n v="73.709999999999994"/>
    <x v="1"/>
    <s v="Sí"/>
    <d v="2026-04-08T00:00:00"/>
    <n v="9"/>
  </r>
  <r>
    <s v="DEP-A0-3289"/>
    <x v="0"/>
    <n v="45"/>
    <x v="1"/>
    <s v="Chaqueta"/>
    <s v="Verde"/>
    <s v="Adidas"/>
    <s v="MER-A0-3289"/>
    <d v="2025-08-10T00:00:00"/>
    <x v="1"/>
    <n v="28.07"/>
    <n v="0.1"/>
    <n v="73.794000000000011"/>
    <x v="1"/>
    <s v="Sí"/>
    <d v="2026-05-07T00:00:00"/>
    <n v="9"/>
  </r>
  <r>
    <s v="DEP-A0-0708"/>
    <x v="0"/>
    <n v="57"/>
    <x v="1"/>
    <s v="Zapatos"/>
    <s v="Amarillo"/>
    <s v="Adidas"/>
    <s v="MER-A0-0708"/>
    <d v="2025-01-06T00:00:00"/>
    <x v="1"/>
    <n v="24.59"/>
    <n v="0"/>
    <n v="73.863"/>
    <x v="1"/>
    <s v="Sí"/>
    <d v="2026-01-01T00:00:00"/>
    <n v="12"/>
  </r>
  <r>
    <s v="DEP-A0-1370"/>
    <x v="1"/>
    <n v="56"/>
    <x v="1"/>
    <s v="Camisa"/>
    <s v="Verde"/>
    <s v="Nike"/>
    <s v="MER-A0-1370"/>
    <d v="2025-01-07T00:00:00"/>
    <x v="1"/>
    <n v="42.59"/>
    <n v="0.1"/>
    <n v="74.408000000000001"/>
    <x v="1"/>
    <s v="Sí"/>
    <d v="2026-01-02T00:00:00"/>
    <n v="12"/>
  </r>
  <r>
    <s v="DEP-A0-1271"/>
    <x v="0"/>
    <n v="49"/>
    <x v="1"/>
    <s v="Vestido"/>
    <s v="Negro"/>
    <s v="Puma"/>
    <s v="MER-A0-1271"/>
    <d v="2025-02-13T00:00:00"/>
    <x v="1"/>
    <n v="67.510000000000005"/>
    <n v="0.1"/>
    <n v="75.004999999999995"/>
    <x v="1"/>
    <s v="Sí"/>
    <d v="2026-01-13T00:00:00"/>
    <n v="12"/>
  </r>
  <r>
    <s v="DEP-A0-2700"/>
    <x v="0"/>
    <n v="58"/>
    <x v="1"/>
    <s v="Zapatos"/>
    <s v="Blanco"/>
    <s v="Adidas"/>
    <s v="MER-A0-2700"/>
    <d v="2025-01-22T00:00:00"/>
    <x v="1"/>
    <n v="146.86000000000001"/>
    <n v="0.1"/>
    <n v="75.42"/>
    <x v="1"/>
    <s v="Sí"/>
    <d v="2026-01-17T00:00:00"/>
    <n v="12"/>
  </r>
  <r>
    <s v="DEP-A0-3468"/>
    <x v="0"/>
    <n v="60"/>
    <x v="1"/>
    <s v="Chaqueta"/>
    <s v="Rojo"/>
    <s v="Nike"/>
    <s v="MER-A0-3468"/>
    <d v="2025-01-19T00:00:00"/>
    <x v="1"/>
    <n v="160.96"/>
    <n v="0.3"/>
    <n v="75.47999999999999"/>
    <x v="1"/>
    <s v="Sí"/>
    <d v="2026-01-14T00:00:00"/>
    <n v="12"/>
  </r>
  <r>
    <s v="DEP-A0-1725"/>
    <x v="0"/>
    <n v="61"/>
    <x v="1"/>
    <s v="Falda"/>
    <s v="Negro"/>
    <s v="Tommy"/>
    <s v="MER-A0-1725"/>
    <d v="2025-01-31T00:00:00"/>
    <x v="1"/>
    <n v="183.71"/>
    <n v="0.1"/>
    <n v="75.823999999999998"/>
    <x v="1"/>
    <s v="Sí"/>
    <d v="2026-01-26T00:00:00"/>
    <n v="12"/>
  </r>
  <r>
    <s v="DEP-A0-2912"/>
    <x v="0"/>
    <n v="45"/>
    <x v="1"/>
    <s v="Vestido"/>
    <s v="Gris"/>
    <s v="Levis"/>
    <s v="MER-A0-2912"/>
    <d v="2025-02-13T00:00:00"/>
    <x v="1"/>
    <n v="192.78"/>
    <n v="0"/>
    <n v="76.599999999999994"/>
    <x v="1"/>
    <s v="Sí"/>
    <d v="2026-01-19T00:00:00"/>
    <n v="12"/>
  </r>
  <r>
    <s v="DEP-A0-0958"/>
    <x v="0"/>
    <n v="44"/>
    <x v="1"/>
    <s v="Zapatos"/>
    <s v="Blanco"/>
    <s v="Zara"/>
    <s v="MER-A0-0958"/>
    <d v="2025-02-02T00:00:00"/>
    <x v="1"/>
    <n v="191.99"/>
    <n v="0.1"/>
    <n v="77.05"/>
    <x v="1"/>
    <s v="Sí"/>
    <d v="2026-01-28T00:00:00"/>
    <n v="12"/>
  </r>
  <r>
    <s v="DEP-A0-0204"/>
    <x v="1"/>
    <n v="62"/>
    <x v="1"/>
    <s v="Zapatos"/>
    <s v="Verde"/>
    <s v="Nike"/>
    <s v="MER-A0-0204"/>
    <d v="2025-02-04T00:00:00"/>
    <x v="1"/>
    <n v="109.51"/>
    <n v="0.3"/>
    <n v="77.103000000000009"/>
    <x v="1"/>
    <s v="Sí"/>
    <d v="2026-01-30T00:00:00"/>
    <n v="12"/>
  </r>
  <r>
    <s v="DEP-A0-3016"/>
    <x v="0"/>
    <n v="57"/>
    <x v="1"/>
    <s v="Falda"/>
    <s v="Negro"/>
    <s v="Zara"/>
    <s v="MER-A0-3016"/>
    <d v="2025-02-10T00:00:00"/>
    <x v="1"/>
    <n v="38.07"/>
    <n v="0.3"/>
    <n v="77.2"/>
    <x v="1"/>
    <s v="Sí"/>
    <d v="2026-02-05T00:00:00"/>
    <n v="12"/>
  </r>
  <r>
    <s v="DEP-A0-1027"/>
    <x v="1"/>
    <n v="55"/>
    <x v="1"/>
    <s v="Pantalón"/>
    <s v="Blanco"/>
    <s v="Levis"/>
    <s v="MER-A0-1027"/>
    <d v="2025-03-11T00:00:00"/>
    <x v="1"/>
    <n v="14.2"/>
    <n v="0"/>
    <n v="77.775999999999996"/>
    <x v="1"/>
    <s v="Sí"/>
    <d v="2026-03-06T00:00:00"/>
    <n v="12"/>
  </r>
  <r>
    <s v="DEP-A0-0832"/>
    <x v="0"/>
    <n v="44"/>
    <x v="1"/>
    <s v="Chaqueta"/>
    <s v="Blanco"/>
    <s v="Zara"/>
    <s v="MER-A0-0832"/>
    <d v="2025-03-17T00:00:00"/>
    <x v="1"/>
    <n v="28.28"/>
    <n v="0.3"/>
    <n v="77.859000000000009"/>
    <x v="1"/>
    <s v="Sí"/>
    <d v="2026-03-12T00:00:00"/>
    <n v="12"/>
  </r>
  <r>
    <s v="DEP-A0-2860"/>
    <x v="0"/>
    <n v="43"/>
    <x v="1"/>
    <s v="Vestido"/>
    <s v="Azul"/>
    <s v="Puma"/>
    <s v="MER-A0-2860"/>
    <d v="2025-03-19T00:00:00"/>
    <x v="1"/>
    <n v="31.12"/>
    <n v="0"/>
    <n v="78.015000000000001"/>
    <x v="1"/>
    <s v="Sí"/>
    <d v="2026-03-14T00:00:00"/>
    <n v="12"/>
  </r>
  <r>
    <s v="DEP-A0-3235"/>
    <x v="1"/>
    <n v="39"/>
    <x v="1"/>
    <s v="Camisa"/>
    <s v="Blanco"/>
    <s v="Tommy"/>
    <s v="MER-A0-3235"/>
    <d v="2025-03-21T00:00:00"/>
    <x v="1"/>
    <n v="49.9"/>
    <n v="0.1"/>
    <n v="78.463999999999999"/>
    <x v="1"/>
    <s v="Sí"/>
    <d v="2026-03-16T00:00:00"/>
    <n v="12"/>
  </r>
  <r>
    <s v="DEP-A0-1557"/>
    <x v="0"/>
    <n v="46"/>
    <x v="1"/>
    <s v="Chaqueta"/>
    <s v="Gris"/>
    <s v="Tommy"/>
    <s v="MER-A0-1557"/>
    <d v="2025-03-31T00:00:00"/>
    <x v="1"/>
    <n v="82.42"/>
    <n v="0.3"/>
    <n v="79.00200000000001"/>
    <x v="1"/>
    <s v="Sí"/>
    <d v="2026-03-26T00:00:00"/>
    <n v="12"/>
  </r>
  <r>
    <s v="DEP-A0-4779"/>
    <x v="0"/>
    <n v="64"/>
    <x v="1"/>
    <s v="Vestido"/>
    <s v="Blanco"/>
    <s v="Mango"/>
    <s v="MER-A0-4779"/>
    <d v="2025-03-12T00:00:00"/>
    <x v="1"/>
    <n v="105.26"/>
    <n v="0.1"/>
    <n v="79.376000000000005"/>
    <x v="1"/>
    <s v="Sí"/>
    <d v="2026-03-07T00:00:00"/>
    <n v="12"/>
  </r>
  <r>
    <s v="DEP-A0-0248"/>
    <x v="1"/>
    <n v="57"/>
    <x v="1"/>
    <s v="Camisa"/>
    <s v="Azul"/>
    <s v="Levis"/>
    <s v="MER-A0-0248"/>
    <d v="2025-03-21T00:00:00"/>
    <x v="1"/>
    <n v="137"/>
    <n v="0.1"/>
    <n v="79.38"/>
    <x v="1"/>
    <s v="Sí"/>
    <d v="2026-03-16T00:00:00"/>
    <n v="12"/>
  </r>
  <r>
    <s v="DEP-A0-0198"/>
    <x v="1"/>
    <n v="60"/>
    <x v="1"/>
    <s v="Chaqueta"/>
    <s v="Gris"/>
    <s v="Zara"/>
    <s v="MER-A0-0198"/>
    <d v="2025-03-01T00:00:00"/>
    <x v="1"/>
    <n v="140.72999999999999"/>
    <n v="0.1"/>
    <n v="79.884"/>
    <x v="1"/>
    <s v="Sí"/>
    <d v="2026-02-24T00:00:00"/>
    <n v="12"/>
  </r>
  <r>
    <s v="DEP-A0-0648"/>
    <x v="0"/>
    <n v="49"/>
    <x v="1"/>
    <s v="Vestido"/>
    <s v="Gris"/>
    <s v="Nike"/>
    <s v="MER-A0-0648"/>
    <d v="2025-03-16T00:00:00"/>
    <x v="1"/>
    <n v="155.08000000000001"/>
    <n v="0"/>
    <n v="79.996000000000009"/>
    <x v="1"/>
    <s v="Sí"/>
    <d v="2026-03-11T00:00:00"/>
    <n v="12"/>
  </r>
  <r>
    <s v="DEP-A0-3068"/>
    <x v="0"/>
    <n v="42"/>
    <x v="1"/>
    <s v="Zapatos"/>
    <s v="Amarillo"/>
    <s v="Zara"/>
    <s v="MER-A0-3068"/>
    <d v="2025-03-04T00:00:00"/>
    <x v="1"/>
    <n v="167.46"/>
    <n v="0"/>
    <n v="80.819999999999993"/>
    <x v="1"/>
    <s v="Sí"/>
    <d v="2026-02-27T00:00:00"/>
    <n v="12"/>
  </r>
  <r>
    <s v="DEP-A0-0819"/>
    <x v="0"/>
    <n v="56"/>
    <x v="1"/>
    <s v="Vestido"/>
    <s v="Negro"/>
    <s v="Adidas"/>
    <s v="MER-A0-0819"/>
    <d v="2025-03-11T00:00:00"/>
    <x v="1"/>
    <n v="192.64"/>
    <n v="0"/>
    <n v="81.192999999999998"/>
    <x v="1"/>
    <s v="Sí"/>
    <d v="2026-03-06T00:00:00"/>
    <n v="12"/>
  </r>
  <r>
    <s v="DEP-A0-4243"/>
    <x v="0"/>
    <n v="37"/>
    <x v="1"/>
    <s v="Chaqueta"/>
    <s v="Negro"/>
    <s v="Nike"/>
    <s v="MER-A0-4243"/>
    <d v="2025-03-06T00:00:00"/>
    <x v="1"/>
    <n v="193.1"/>
    <n v="0"/>
    <n v="81.52000000000001"/>
    <x v="1"/>
    <s v="Sí"/>
    <d v="2026-03-01T00:00:00"/>
    <n v="12"/>
  </r>
  <r>
    <s v="DEP-A0-2192"/>
    <x v="0"/>
    <n v="40"/>
    <x v="1"/>
    <s v="Blusa"/>
    <s v="Azul"/>
    <s v="Mango"/>
    <s v="MER-A0-2192"/>
    <d v="2025-04-02T00:00:00"/>
    <x v="1"/>
    <n v="57.53"/>
    <n v="0.2"/>
    <n v="82.912000000000006"/>
    <x v="1"/>
    <s v="Sí"/>
    <d v="2026-03-28T00:00:00"/>
    <n v="12"/>
  </r>
  <r>
    <s v="DEP-A0-0461"/>
    <x v="0"/>
    <n v="46"/>
    <x v="1"/>
    <s v="Falda"/>
    <s v="Azul"/>
    <s v="Nike"/>
    <s v="MER-A0-0461"/>
    <d v="2025-04-12T00:00:00"/>
    <x v="1"/>
    <n v="63.57"/>
    <n v="0.2"/>
    <n v="82.998000000000005"/>
    <x v="1"/>
    <s v="Sí"/>
    <d v="2026-04-07T00:00:00"/>
    <n v="12"/>
  </r>
  <r>
    <s v="DEP-A0-1446"/>
    <x v="0"/>
    <n v="36"/>
    <x v="1"/>
    <s v="Falda"/>
    <s v="Verde"/>
    <s v="Puma"/>
    <s v="MER-A0-1446"/>
    <d v="2025-04-10T00:00:00"/>
    <x v="1"/>
    <n v="89.88"/>
    <n v="0"/>
    <n v="83.114999999999995"/>
    <x v="1"/>
    <s v="Sí"/>
    <d v="2026-04-05T00:00:00"/>
    <n v="12"/>
  </r>
  <r>
    <s v="DEP-A0-0860"/>
    <x v="0"/>
    <n v="61"/>
    <x v="1"/>
    <s v="Falda"/>
    <s v="Gris"/>
    <s v="Zara"/>
    <s v="MER-A0-0860"/>
    <d v="2025-04-14T00:00:00"/>
    <x v="1"/>
    <n v="136.58000000000001"/>
    <n v="0.3"/>
    <n v="83.64"/>
    <x v="1"/>
    <s v="Sí"/>
    <d v="2026-04-09T00:00:00"/>
    <n v="12"/>
  </r>
  <r>
    <s v="DEP-A0-1386"/>
    <x v="1"/>
    <n v="64"/>
    <x v="1"/>
    <s v="Camisa"/>
    <s v="Verde"/>
    <s v="Adidas"/>
    <s v="MER-A0-1386"/>
    <d v="2025-04-28T00:00:00"/>
    <x v="1"/>
    <n v="144.51"/>
    <n v="0.2"/>
    <n v="84.695999999999998"/>
    <x v="1"/>
    <s v="Sí"/>
    <d v="2026-04-23T00:00:00"/>
    <n v="12"/>
  </r>
  <r>
    <s v="DEP-A0-1823"/>
    <x v="0"/>
    <n v="64"/>
    <x v="1"/>
    <s v="Chaqueta"/>
    <s v="Negro"/>
    <s v="Tommy"/>
    <s v="MER-A0-1823"/>
    <d v="2025-04-23T00:00:00"/>
    <x v="1"/>
    <n v="153.94"/>
    <n v="0"/>
    <n v="84.707000000000008"/>
    <x v="1"/>
    <s v="Sí"/>
    <d v="2026-04-18T00:00:00"/>
    <n v="12"/>
  </r>
  <r>
    <s v="DEP-A0-3374"/>
    <x v="1"/>
    <n v="49"/>
    <x v="1"/>
    <s v="Chaqueta"/>
    <s v="Negro"/>
    <s v="Nike"/>
    <s v="MER-A0-3374"/>
    <d v="2025-04-11T00:00:00"/>
    <x v="1"/>
    <n v="192.75"/>
    <n v="0.2"/>
    <n v="85.488"/>
    <x v="1"/>
    <s v="Sí"/>
    <d v="2026-04-06T00:00:00"/>
    <n v="12"/>
  </r>
  <r>
    <s v="DEP-A0-0109"/>
    <x v="0"/>
    <n v="39"/>
    <x v="1"/>
    <s v="Falda"/>
    <s v="Azul"/>
    <s v="Adidas"/>
    <s v="MER-A0-0109"/>
    <d v="2025-05-06T00:00:00"/>
    <x v="1"/>
    <n v="68.97"/>
    <n v="0.1"/>
    <n v="85.596000000000004"/>
    <x v="1"/>
    <s v="Sí"/>
    <d v="2026-05-01T00:00:00"/>
    <n v="12"/>
  </r>
  <r>
    <s v="DEP-A0-3712"/>
    <x v="0"/>
    <n v="52"/>
    <x v="1"/>
    <s v="Blusa"/>
    <s v="Gris"/>
    <s v="Puma"/>
    <s v="MER-A0-3712"/>
    <d v="2025-05-26T00:00:00"/>
    <x v="1"/>
    <n v="91.36"/>
    <n v="0.1"/>
    <n v="86.42"/>
    <x v="1"/>
    <s v="Sí"/>
    <d v="2026-05-21T00:00:00"/>
    <n v="12"/>
  </r>
  <r>
    <s v="DEP-A0-2911"/>
    <x v="0"/>
    <n v="43"/>
    <x v="1"/>
    <s v="Zapatos"/>
    <s v="Verde"/>
    <s v="Zara"/>
    <s v="MER-A0-2911"/>
    <d v="2025-06-11T00:00:00"/>
    <x v="1"/>
    <n v="29.12"/>
    <n v="0.3"/>
    <n v="88.823999999999998"/>
    <x v="1"/>
    <s v="Sí"/>
    <d v="2026-06-06T00:00:00"/>
    <n v="12"/>
  </r>
  <r>
    <s v="DEP-A0-2488"/>
    <x v="1"/>
    <n v="36"/>
    <x v="1"/>
    <s v="Zapatos"/>
    <s v="Rojo"/>
    <s v="Levis"/>
    <s v="MER-A0-2488"/>
    <d v="2025-06-09T00:00:00"/>
    <x v="1"/>
    <n v="111.54"/>
    <n v="0.3"/>
    <n v="89.088999999999999"/>
    <x v="1"/>
    <s v="Sí"/>
    <d v="2026-06-04T00:00:00"/>
    <n v="12"/>
  </r>
  <r>
    <s v="DEP-A0-1619"/>
    <x v="0"/>
    <n v="51"/>
    <x v="1"/>
    <s v="Falda"/>
    <s v="Verde"/>
    <s v="Zara"/>
    <s v="MER-A0-1619"/>
    <d v="2025-07-02T00:00:00"/>
    <x v="1"/>
    <n v="27.77"/>
    <n v="0.1"/>
    <n v="90.536000000000001"/>
    <x v="1"/>
    <s v="Sí"/>
    <d v="2026-06-27T00:00:00"/>
    <n v="12"/>
  </r>
  <r>
    <s v="DEP-A0-1863"/>
    <x v="0"/>
    <n v="59"/>
    <x v="1"/>
    <s v="Falda"/>
    <s v="Negro"/>
    <s v="Zara"/>
    <s v="MER-A0-1863"/>
    <d v="2025-07-09T00:00:00"/>
    <x v="1"/>
    <n v="36.25"/>
    <n v="0"/>
    <n v="90.698999999999998"/>
    <x v="1"/>
    <s v="Sí"/>
    <d v="2026-07-04T00:00:00"/>
    <n v="12"/>
  </r>
  <r>
    <s v="DEP-A0-0037"/>
    <x v="0"/>
    <n v="42"/>
    <x v="1"/>
    <s v="Blusa"/>
    <s v="Negro"/>
    <s v="Zara"/>
    <s v="MER-A0-0037"/>
    <d v="2025-07-15T00:00:00"/>
    <x v="1"/>
    <n v="111.15"/>
    <n v="0.3"/>
    <n v="91.7"/>
    <x v="1"/>
    <s v="Sí"/>
    <d v="2026-07-10T00:00:00"/>
    <n v="12"/>
  </r>
  <r>
    <s v="DEP-A0-3761"/>
    <x v="0"/>
    <n v="47"/>
    <x v="1"/>
    <s v="Pantalón"/>
    <s v="Negro"/>
    <s v="Zara"/>
    <s v="MER-A0-3761"/>
    <d v="2025-07-01T00:00:00"/>
    <x v="1"/>
    <n v="114.72"/>
    <n v="0.1"/>
    <n v="92.152000000000001"/>
    <x v="1"/>
    <s v="Sí"/>
    <d v="2026-06-26T00:00:00"/>
    <n v="12"/>
  </r>
  <r>
    <s v="DEP-A0-4730"/>
    <x v="0"/>
    <n v="42"/>
    <x v="1"/>
    <s v="Falda"/>
    <s v="Azul"/>
    <s v="Nike"/>
    <s v="MER-A0-4730"/>
    <d v="2025-07-04T00:00:00"/>
    <x v="1"/>
    <n v="147.54"/>
    <n v="0.1"/>
    <n v="93.186000000000007"/>
    <x v="1"/>
    <s v="Sí"/>
    <d v="2026-06-29T00:00:00"/>
    <n v="12"/>
  </r>
  <r>
    <s v="DEP-A0-3256"/>
    <x v="1"/>
    <n v="36"/>
    <x v="1"/>
    <s v="Camisa"/>
    <s v="Negro"/>
    <s v="Zara"/>
    <s v="MER-A0-3256"/>
    <d v="2025-07-05T00:00:00"/>
    <x v="1"/>
    <n v="169.65"/>
    <n v="0.2"/>
    <n v="93.77"/>
    <x v="1"/>
    <s v="Sí"/>
    <d v="2026-06-30T00:00:00"/>
    <n v="12"/>
  </r>
  <r>
    <s v="DEP-A0-3909"/>
    <x v="0"/>
    <n v="48"/>
    <x v="1"/>
    <s v="Falda"/>
    <s v="Amarillo"/>
    <s v="Adidas"/>
    <s v="MER-A0-3909"/>
    <d v="2025-08-04T00:00:00"/>
    <x v="1"/>
    <n v="82.26"/>
    <n v="0.2"/>
    <n v="94.28"/>
    <x v="1"/>
    <s v="Sí"/>
    <d v="2026-07-30T00:00:00"/>
    <n v="12"/>
  </r>
  <r>
    <s v="DEP-A0-3435"/>
    <x v="0"/>
    <n v="49"/>
    <x v="1"/>
    <s v="Camisa"/>
    <s v="Verde"/>
    <s v="Levis"/>
    <s v="MER-A0-3435"/>
    <d v="2025-08-10T00:00:00"/>
    <x v="1"/>
    <n v="88.13"/>
    <n v="0.3"/>
    <n v="94.29"/>
    <x v="1"/>
    <s v="Sí"/>
    <d v="2026-08-05T00:00:00"/>
    <n v="12"/>
  </r>
  <r>
    <s v="DEP-A0-1771"/>
    <x v="0"/>
    <n v="47"/>
    <x v="1"/>
    <s v="Vestido"/>
    <s v="Amarillo"/>
    <s v="Levis"/>
    <s v="MER-A0-1771"/>
    <d v="2025-08-12T00:00:00"/>
    <x v="1"/>
    <n v="159.13999999999999"/>
    <n v="0.3"/>
    <n v="94.647000000000006"/>
    <x v="1"/>
    <s v="Sí"/>
    <d v="2026-08-07T00:00:00"/>
    <n v="12"/>
  </r>
  <r>
    <s v="DEP-A0-3163"/>
    <x v="0"/>
    <n v="65"/>
    <x v="1"/>
    <s v="Blusa"/>
    <s v="Rojo"/>
    <s v="Tommy"/>
    <s v="MER-A0-3163"/>
    <d v="2025-07-23T00:00:00"/>
    <x v="1"/>
    <n v="76.349999999999994"/>
    <n v="0"/>
    <n v="94.835999999999984"/>
    <x v="1"/>
    <s v="Sí"/>
    <d v="2026-07-18T00:00:00"/>
    <n v="12"/>
  </r>
  <r>
    <s v="DEP-A0-1244"/>
    <x v="0"/>
    <n v="40"/>
    <x v="1"/>
    <s v="Chaqueta"/>
    <s v="Amarillo"/>
    <s v="Adidas"/>
    <s v="MER-A0-1244"/>
    <d v="2025-07-03T00:00:00"/>
    <x v="1"/>
    <n v="170.36"/>
    <n v="0.2"/>
    <n v="95.51"/>
    <x v="1"/>
    <s v="Sí"/>
    <d v="2026-06-28T00:00:00"/>
    <n v="12"/>
  </r>
  <r>
    <s v="DEP-A0-3514"/>
    <x v="0"/>
    <n v="61"/>
    <x v="1"/>
    <s v="Pantalón"/>
    <s v="Azul"/>
    <s v="Nike"/>
    <s v="MER-A0-3514"/>
    <d v="2025-07-08T00:00:00"/>
    <x v="1"/>
    <n v="198.6"/>
    <n v="0.1"/>
    <n v="95.57"/>
    <x v="1"/>
    <s v="Sí"/>
    <d v="2026-07-03T00:00:00"/>
    <n v="12"/>
  </r>
  <r>
    <s v="DEP-A0-1441"/>
    <x v="0"/>
    <n v="63"/>
    <x v="1"/>
    <s v="Pantalón"/>
    <s v="Blanco"/>
    <s v="Puma"/>
    <s v="MER-A0-1441"/>
    <d v="2025-08-04T00:00:00"/>
    <x v="1"/>
    <n v="12.47"/>
    <n v="0.2"/>
    <n v="95.847999999999999"/>
    <x v="1"/>
    <s v="Sí"/>
    <d v="2026-07-30T00:00:00"/>
    <n v="12"/>
  </r>
  <r>
    <s v="DEP-A0-2050"/>
    <x v="0"/>
    <n v="53"/>
    <x v="1"/>
    <s v="Vestido"/>
    <s v="Verde"/>
    <s v="Levis"/>
    <s v="MER-A0-2050"/>
    <d v="2025-08-10T00:00:00"/>
    <x v="1"/>
    <n v="19.77"/>
    <n v="0.3"/>
    <n v="96.677000000000021"/>
    <x v="1"/>
    <s v="Sí"/>
    <d v="2026-08-05T00:00:00"/>
    <n v="12"/>
  </r>
  <r>
    <s v="DEP-A0-4376"/>
    <x v="0"/>
    <n v="37"/>
    <x v="1"/>
    <s v="Chaqueta"/>
    <s v="Verde"/>
    <s v="Levis"/>
    <s v="MER-A0-4376"/>
    <d v="2025-08-11T00:00:00"/>
    <x v="1"/>
    <n v="159.18"/>
    <n v="0.3"/>
    <n v="97.08"/>
    <x v="1"/>
    <s v="Sí"/>
    <d v="2026-08-06T00:00:00"/>
    <n v="12"/>
  </r>
  <r>
    <s v="DEP-A0-3868"/>
    <x v="0"/>
    <n v="48"/>
    <x v="1"/>
    <s v="Falda"/>
    <s v="Amarillo"/>
    <s v="Puma"/>
    <s v="MER-A0-3868"/>
    <d v="2025-08-16T00:00:00"/>
    <x v="1"/>
    <n v="165.25"/>
    <n v="0"/>
    <n v="97.415999999999997"/>
    <x v="1"/>
    <s v="Sí"/>
    <d v="2026-08-11T00:00:00"/>
    <n v="12"/>
  </r>
  <r>
    <s v="DEP-A0-3201"/>
    <x v="0"/>
    <n v="39"/>
    <x v="1"/>
    <s v="Chaqueta"/>
    <s v="Blanco"/>
    <s v="Zara"/>
    <s v="MER-A0-3201"/>
    <d v="2024-12-17T00:00:00"/>
    <x v="0"/>
    <n v="10.4"/>
    <n v="0.3"/>
    <n v="196.52"/>
    <x v="2"/>
    <s v="No"/>
    <d v="2025-03-17T00:00:00"/>
    <n v="0"/>
  </r>
  <r>
    <s v="DEP-A0-0088"/>
    <x v="0"/>
    <n v="39"/>
    <x v="1"/>
    <s v="Blusa"/>
    <s v="Verde"/>
    <s v="Puma"/>
    <s v="MER-A0-0088"/>
    <d v="2024-01-21T00:00:00"/>
    <x v="0"/>
    <n v="10.71"/>
    <n v="0.3"/>
    <n v="19.759999999999998"/>
    <x v="2"/>
    <s v="No"/>
    <d v="2024-07-19T00:00:00"/>
    <n v="0"/>
  </r>
  <r>
    <s v="DEP-A0-4250"/>
    <x v="0"/>
    <n v="41"/>
    <x v="1"/>
    <s v="Falda"/>
    <s v="Gris"/>
    <s v="Puma"/>
    <s v="MER-A0-4250"/>
    <d v="2024-04-05T00:00:00"/>
    <x v="0"/>
    <n v="11.66"/>
    <n v="0.3"/>
    <n v="65.198000000000008"/>
    <x v="2"/>
    <s v="No"/>
    <d v="2024-04-05T00:00:00"/>
    <n v="0"/>
  </r>
  <r>
    <s v="DEP-A0-1170"/>
    <x v="1"/>
    <n v="55"/>
    <x v="1"/>
    <s v="Pantalón"/>
    <s v="Negro"/>
    <s v="Puma"/>
    <s v="MER-A0-1170"/>
    <d v="2024-05-12T00:00:00"/>
    <x v="0"/>
    <n v="10.27"/>
    <n v="0.2"/>
    <n v="83.942999999999998"/>
    <x v="2"/>
    <s v="No"/>
    <d v="2024-05-12T00:00:00"/>
    <n v="0"/>
  </r>
  <r>
    <s v="DEP-A0-1427"/>
    <x v="0"/>
    <n v="62"/>
    <x v="1"/>
    <s v="Blusa"/>
    <s v="Amarillo"/>
    <s v="Nike"/>
    <s v="MER-A0-1427"/>
    <d v="2024-04-04T00:00:00"/>
    <x v="0"/>
    <n v="10.42"/>
    <n v="0.2"/>
    <n v="145.74"/>
    <x v="2"/>
    <s v="No"/>
    <d v="2024-04-04T00:00:00"/>
    <n v="0"/>
  </r>
  <r>
    <s v="DEP-A0-1574"/>
    <x v="0"/>
    <n v="58"/>
    <x v="1"/>
    <s v="Vestido"/>
    <s v="Azul"/>
    <s v="Adidas"/>
    <s v="MER-A0-1574"/>
    <d v="2024-03-15T00:00:00"/>
    <x v="0"/>
    <n v="12.17"/>
    <n v="0.3"/>
    <n v="102.13"/>
    <x v="2"/>
    <s v="No"/>
    <d v="2024-09-11T00:00:00"/>
    <n v="0"/>
  </r>
  <r>
    <s v="DEP-A0-3982"/>
    <x v="0"/>
    <n v="46"/>
    <x v="1"/>
    <s v="Blusa"/>
    <s v="Gris"/>
    <s v="Zara"/>
    <s v="MER-A0-3982"/>
    <d v="2024-12-04T00:00:00"/>
    <x v="0"/>
    <n v="10.99"/>
    <n v="0.2"/>
    <n v="131.607"/>
    <x v="2"/>
    <s v="No"/>
    <d v="2025-06-02T00:00:00"/>
    <n v="0"/>
  </r>
  <r>
    <s v="DEP-A0-3254"/>
    <x v="0"/>
    <n v="55"/>
    <x v="1"/>
    <s v="Blusa"/>
    <s v="Gris"/>
    <s v="Zara"/>
    <s v="MER-A0-3254"/>
    <d v="2024-03-04T00:00:00"/>
    <x v="0"/>
    <n v="11.35"/>
    <n v="0.2"/>
    <n v="156.87200000000001"/>
    <x v="2"/>
    <s v="No"/>
    <d v="2024-03-04T00:00:00"/>
    <n v="0"/>
  </r>
  <r>
    <s v="DEP-A0-3946"/>
    <x v="0"/>
    <n v="49"/>
    <x v="1"/>
    <s v="Pantalón"/>
    <s v="Blanco"/>
    <s v="Mango"/>
    <s v="MER-A0-3946"/>
    <d v="2024-12-28T00:00:00"/>
    <x v="0"/>
    <n v="13.2"/>
    <n v="0.3"/>
    <n v="10.346"/>
    <x v="2"/>
    <s v="No"/>
    <d v="2024-12-28T00:00:00"/>
    <n v="0"/>
  </r>
  <r>
    <s v="DEP-A0-3888"/>
    <x v="0"/>
    <n v="47"/>
    <x v="1"/>
    <s v="Blusa"/>
    <s v="Gris"/>
    <s v="Puma"/>
    <s v="MER-A0-3888"/>
    <d v="2024-05-02T00:00:00"/>
    <x v="0"/>
    <n v="10.61"/>
    <n v="0.1"/>
    <n v="35.613"/>
    <x v="2"/>
    <s v="No"/>
    <d v="2024-05-02T00:00:00"/>
    <n v="0"/>
  </r>
  <r>
    <s v="DEP-A0-1811"/>
    <x v="0"/>
    <n v="37"/>
    <x v="1"/>
    <s v="Falda"/>
    <s v="Negro"/>
    <s v="Zara"/>
    <s v="MER-A0-1811"/>
    <d v="2024-10-22T00:00:00"/>
    <x v="0"/>
    <n v="13.86"/>
    <n v="0.3"/>
    <n v="89.727999999999994"/>
    <x v="2"/>
    <s v="No"/>
    <d v="2025-04-20T00:00:00"/>
    <n v="0"/>
  </r>
  <r>
    <s v="DEP-A0-2175"/>
    <x v="1"/>
    <n v="61"/>
    <x v="1"/>
    <s v="Zapatos"/>
    <s v="Negro"/>
    <s v="Adidas"/>
    <s v="MER-A0-2175"/>
    <d v="2024-12-04T00:00:00"/>
    <x v="0"/>
    <n v="15.11"/>
    <n v="0.3"/>
    <n v="97.664000000000016"/>
    <x v="2"/>
    <s v="No"/>
    <d v="2025-06-02T00:00:00"/>
    <n v="0"/>
  </r>
  <r>
    <s v="DEP-A0-0587"/>
    <x v="1"/>
    <n v="53"/>
    <x v="1"/>
    <s v="Pantalón"/>
    <s v="Azul"/>
    <s v="Zara"/>
    <s v="MER-A0-0587"/>
    <d v="2024-04-07T00:00:00"/>
    <x v="0"/>
    <n v="15.56"/>
    <n v="0.3"/>
    <n v="154.85400000000001"/>
    <x v="2"/>
    <s v="No"/>
    <d v="2024-07-06T00:00:00"/>
    <n v="0"/>
  </r>
  <r>
    <s v="DEP-A0-3075"/>
    <x v="0"/>
    <n v="54"/>
    <x v="1"/>
    <s v="Blusa"/>
    <s v="Rojo"/>
    <s v="Mango"/>
    <s v="MER-A0-3075"/>
    <d v="2024-09-02T00:00:00"/>
    <x v="0"/>
    <n v="13.81"/>
    <n v="0.2"/>
    <n v="138.38399999999999"/>
    <x v="2"/>
    <s v="No"/>
    <d v="2024-09-02T00:00:00"/>
    <n v="0"/>
  </r>
  <r>
    <s v="DEP-A0-4842"/>
    <x v="0"/>
    <n v="55"/>
    <x v="1"/>
    <s v="Blusa"/>
    <s v="Negro"/>
    <s v="Adidas"/>
    <s v="MER-A0-4842"/>
    <d v="2024-02-11T00:00:00"/>
    <x v="0"/>
    <n v="12.36"/>
    <n v="0.1"/>
    <n v="160.07"/>
    <x v="2"/>
    <s v="No"/>
    <d v="2024-02-11T00:00:00"/>
    <n v="0"/>
  </r>
  <r>
    <s v="DEP-A0-3392"/>
    <x v="1"/>
    <n v="53"/>
    <x v="1"/>
    <s v="Chaqueta"/>
    <s v="Rojo"/>
    <s v="Tommy"/>
    <s v="MER-A0-3392"/>
    <d v="2024-05-05T00:00:00"/>
    <x v="0"/>
    <n v="11.15"/>
    <n v="0"/>
    <n v="36.027000000000001"/>
    <x v="2"/>
    <s v="No"/>
    <d v="2024-05-05T00:00:00"/>
    <n v="0"/>
  </r>
  <r>
    <s v="DEP-A0-2905"/>
    <x v="0"/>
    <n v="43"/>
    <x v="1"/>
    <s v="Pantalón"/>
    <s v="Azul"/>
    <s v="Levis"/>
    <s v="MER-A0-2905"/>
    <d v="2024-06-30T00:00:00"/>
    <x v="0"/>
    <n v="16.46"/>
    <n v="0.3"/>
    <n v="39.22"/>
    <x v="2"/>
    <s v="No"/>
    <d v="2024-06-30T00:00:00"/>
    <n v="0"/>
  </r>
  <r>
    <s v="DEP-A0-2583"/>
    <x v="1"/>
    <n v="37"/>
    <x v="1"/>
    <s v="Camisa"/>
    <s v="Gris"/>
    <s v="Nike"/>
    <s v="MER-A0-2583"/>
    <d v="2024-05-31T00:00:00"/>
    <x v="0"/>
    <n v="12.87"/>
    <n v="0.1"/>
    <n v="70.11"/>
    <x v="2"/>
    <s v="No"/>
    <d v="2025-05-26T00:00:00"/>
    <n v="0"/>
  </r>
  <r>
    <s v="DEP-A0-0851"/>
    <x v="0"/>
    <n v="39"/>
    <x v="1"/>
    <s v="Zapatos"/>
    <s v="Rojo"/>
    <s v="Puma"/>
    <s v="MER-A0-0851"/>
    <d v="2024-09-17T00:00:00"/>
    <x v="0"/>
    <n v="11.67"/>
    <n v="0"/>
    <n v="79.847999999999999"/>
    <x v="2"/>
    <s v="No"/>
    <d v="2024-12-16T00:00:00"/>
    <n v="0"/>
  </r>
  <r>
    <s v="DEP-A0-2263"/>
    <x v="0"/>
    <n v="43"/>
    <x v="1"/>
    <s v="Falda"/>
    <s v="Verde"/>
    <s v="Puma"/>
    <s v="MER-A0-2263"/>
    <d v="2024-07-13T00:00:00"/>
    <x v="0"/>
    <n v="14.76"/>
    <n v="0.2"/>
    <n v="95.867999999999995"/>
    <x v="2"/>
    <s v="No"/>
    <d v="2024-07-13T00:00:00"/>
    <n v="0"/>
  </r>
  <r>
    <s v="DEP-A0-3498"/>
    <x v="1"/>
    <n v="37"/>
    <x v="1"/>
    <s v="Pantalón"/>
    <s v="Azul"/>
    <s v="Levis"/>
    <s v="MER-A0-3498"/>
    <d v="2024-02-18T00:00:00"/>
    <x v="0"/>
    <n v="11.85"/>
    <n v="0"/>
    <n v="131.50399999999999"/>
    <x v="2"/>
    <s v="No"/>
    <d v="2024-05-18T00:00:00"/>
    <n v="0"/>
  </r>
  <r>
    <s v="DEP-A0-3245"/>
    <x v="0"/>
    <n v="39"/>
    <x v="1"/>
    <s v="Blusa"/>
    <s v="Negro"/>
    <s v="Nike"/>
    <s v="MER-A0-3245"/>
    <d v="2024-03-12T00:00:00"/>
    <x v="0"/>
    <n v="15.23"/>
    <n v="0.2"/>
    <n v="15.784000000000001"/>
    <x v="2"/>
    <s v="No"/>
    <d v="2024-03-12T00:00:00"/>
    <n v="0"/>
  </r>
  <r>
    <s v="DEP-A0-2835"/>
    <x v="1"/>
    <n v="43"/>
    <x v="1"/>
    <s v="Chaqueta"/>
    <s v="Rojo"/>
    <s v="Mango"/>
    <s v="MER-A0-2835"/>
    <d v="2024-08-25T00:00:00"/>
    <x v="0"/>
    <n v="12.29"/>
    <n v="0"/>
    <n v="120.33"/>
    <x v="2"/>
    <s v="No"/>
    <d v="2024-11-23T00:00:00"/>
    <n v="0"/>
  </r>
  <r>
    <s v="DEP-A0-4505"/>
    <x v="0"/>
    <n v="42"/>
    <x v="1"/>
    <s v="Pantalón"/>
    <s v="Amarillo"/>
    <s v="Nike"/>
    <s v="MER-A0-4505"/>
    <d v="2024-04-05T00:00:00"/>
    <x v="0"/>
    <n v="17.739999999999998"/>
    <n v="0.3"/>
    <n v="37.32"/>
    <x v="2"/>
    <s v="No"/>
    <d v="2024-04-05T00:00:00"/>
    <n v="0"/>
  </r>
  <r>
    <s v="DEP-A0-3257"/>
    <x v="1"/>
    <n v="38"/>
    <x v="1"/>
    <s v="Pantalón"/>
    <s v="Negro"/>
    <s v="Nike"/>
    <s v="MER-A0-3257"/>
    <d v="2024-05-26T00:00:00"/>
    <x v="0"/>
    <n v="15.68"/>
    <n v="0.2"/>
    <n v="57.442000000000007"/>
    <x v="2"/>
    <s v="No"/>
    <d v="2024-05-26T00:00:00"/>
    <n v="0"/>
  </r>
  <r>
    <s v="DEP-A0-0998"/>
    <x v="0"/>
    <n v="45"/>
    <x v="1"/>
    <s v="Chaqueta"/>
    <s v="Blanco"/>
    <s v="Tommy"/>
    <s v="MER-A0-0998"/>
    <d v="2024-11-21T00:00:00"/>
    <x v="0"/>
    <n v="16.559999999999999"/>
    <n v="0.2"/>
    <n v="66.807999999999993"/>
    <x v="2"/>
    <s v="No"/>
    <d v="2025-05-20T00:00:00"/>
    <n v="0"/>
  </r>
  <r>
    <s v="DEP-A0-0887"/>
    <x v="0"/>
    <n v="65"/>
    <x v="1"/>
    <s v="Vestido"/>
    <s v="Verde"/>
    <s v="Zara"/>
    <s v="MER-A0-0887"/>
    <d v="2024-06-21T00:00:00"/>
    <x v="0"/>
    <n v="19.29"/>
    <n v="0.3"/>
    <n v="133.91999999999999"/>
    <x v="2"/>
    <s v="No"/>
    <d v="2024-06-21T00:00:00"/>
    <n v="0"/>
  </r>
  <r>
    <s v="DEP-A0-2754"/>
    <x v="1"/>
    <n v="36"/>
    <x v="1"/>
    <s v="Zapatos"/>
    <s v="Blanco"/>
    <s v="Mango"/>
    <s v="MER-A0-2754"/>
    <d v="2024-04-23T00:00:00"/>
    <x v="0"/>
    <n v="15.07"/>
    <n v="0.1"/>
    <n v="127.404"/>
    <x v="2"/>
    <s v="No"/>
    <d v="2024-07-22T00:00:00"/>
    <n v="0"/>
  </r>
  <r>
    <s v="DEP-A0-3647"/>
    <x v="1"/>
    <n v="61"/>
    <x v="1"/>
    <s v="Zapatos"/>
    <s v="Negro"/>
    <s v="Tommy"/>
    <s v="MER-A0-3647"/>
    <d v="2024-03-18T00:00:00"/>
    <x v="0"/>
    <n v="19.39"/>
    <n v="0.3"/>
    <n v="132.61500000000001"/>
    <x v="2"/>
    <s v="No"/>
    <d v="2024-03-18T00:00:00"/>
    <n v="0"/>
  </r>
  <r>
    <s v="DEP-A0-0613"/>
    <x v="1"/>
    <n v="46"/>
    <x v="1"/>
    <s v="Chaqueta"/>
    <s v="Gris"/>
    <s v="Puma"/>
    <s v="MER-A0-0613"/>
    <d v="2024-06-26T00:00:00"/>
    <x v="0"/>
    <n v="17.13"/>
    <n v="0.2"/>
    <n v="146.88900000000001"/>
    <x v="2"/>
    <s v="No"/>
    <d v="2024-06-26T00:00:00"/>
    <n v="0"/>
  </r>
  <r>
    <s v="DEP-A0-1207"/>
    <x v="1"/>
    <n v="37"/>
    <x v="1"/>
    <s v="Zapatos"/>
    <s v="Amarillo"/>
    <s v="Zara"/>
    <s v="MER-A0-1207"/>
    <d v="2024-03-06T00:00:00"/>
    <x v="0"/>
    <n v="19.77"/>
    <n v="0.3"/>
    <n v="147.339"/>
    <x v="2"/>
    <s v="No"/>
    <d v="2024-03-06T00:00:00"/>
    <n v="0"/>
  </r>
  <r>
    <s v="DEP-A0-1570"/>
    <x v="1"/>
    <n v="45"/>
    <x v="1"/>
    <s v="Chaqueta"/>
    <s v="Amarillo"/>
    <s v="Puma"/>
    <s v="MER-A0-1570"/>
    <d v="2024-02-10T00:00:00"/>
    <x v="0"/>
    <n v="15.5"/>
    <n v="0.1"/>
    <n v="17.513999999999999"/>
    <x v="2"/>
    <s v="No"/>
    <d v="2024-02-10T00:00:00"/>
    <n v="0"/>
  </r>
  <r>
    <s v="DEP-A0-0607"/>
    <x v="1"/>
    <n v="55"/>
    <x v="1"/>
    <s v="Zapatos"/>
    <s v="Amarillo"/>
    <s v="Tommy"/>
    <s v="MER-A0-0607"/>
    <d v="2024-03-31T00:00:00"/>
    <x v="0"/>
    <n v="17.47"/>
    <n v="0.2"/>
    <n v="24.21"/>
    <x v="2"/>
    <s v="No"/>
    <d v="2024-03-31T00:00:00"/>
    <n v="0"/>
  </r>
  <r>
    <s v="DEP-A0-1680"/>
    <x v="0"/>
    <n v="45"/>
    <x v="1"/>
    <s v="Chaqueta"/>
    <s v="Gris"/>
    <s v="Puma"/>
    <s v="MER-A0-1680"/>
    <d v="2024-12-23T00:00:00"/>
    <x v="0"/>
    <n v="14.22"/>
    <n v="0"/>
    <n v="36.070999999999998"/>
    <x v="2"/>
    <s v="No"/>
    <d v="2024-01-04T00:00:00"/>
    <n v="0"/>
  </r>
  <r>
    <s v="DEP-A0-4881"/>
    <x v="1"/>
    <n v="53"/>
    <x v="1"/>
    <s v="Chaqueta"/>
    <s v="Blanco"/>
    <s v="Mango"/>
    <s v="MER-A0-4881"/>
    <d v="2024-10-04T00:00:00"/>
    <x v="0"/>
    <n v="20.37"/>
    <n v="0.3"/>
    <n v="77.588999999999999"/>
    <x v="2"/>
    <s v="No"/>
    <d v="2025-09-29T00:00:00"/>
    <n v="0"/>
  </r>
  <r>
    <s v="DEP-A0-1196"/>
    <x v="0"/>
    <n v="61"/>
    <x v="1"/>
    <s v="Chaqueta"/>
    <s v="Amarillo"/>
    <s v="Puma"/>
    <s v="MER-A0-1196"/>
    <d v="2024-08-05T00:00:00"/>
    <x v="0"/>
    <n v="21.71"/>
    <n v="0.3"/>
    <n v="155.07900000000001"/>
    <x v="2"/>
    <s v="No"/>
    <d v="2025-07-31T00:00:00"/>
    <n v="0"/>
  </r>
  <r>
    <s v="DEP-A0-1641"/>
    <x v="0"/>
    <n v="52"/>
    <x v="1"/>
    <s v="Falda"/>
    <s v="Gris"/>
    <s v="Adidas"/>
    <s v="MER-A0-1641"/>
    <d v="2024-12-18T00:00:00"/>
    <x v="0"/>
    <n v="15.4"/>
    <n v="0"/>
    <n v="125.125"/>
    <x v="2"/>
    <s v="No"/>
    <d v="2024-12-18T00:00:00"/>
    <n v="0"/>
  </r>
  <r>
    <s v="DEP-A0-4790"/>
    <x v="0"/>
    <n v="39"/>
    <x v="1"/>
    <s v="Falda"/>
    <s v="Gris"/>
    <s v="Adidas"/>
    <s v="MER-A0-4790"/>
    <d v="2024-05-30T00:00:00"/>
    <x v="0"/>
    <n v="19.59"/>
    <n v="0.2"/>
    <n v="157.11199999999999"/>
    <x v="2"/>
    <s v="No"/>
    <d v="2024-05-30T00:00:00"/>
    <n v="0"/>
  </r>
  <r>
    <s v="DEP-A0-0076"/>
    <x v="0"/>
    <n v="41"/>
    <x v="1"/>
    <s v="Zapatos"/>
    <s v="Azul"/>
    <s v="Zara"/>
    <s v="MER-A0-0076"/>
    <d v="2024-10-30T00:00:00"/>
    <x v="0"/>
    <n v="19.91"/>
    <n v="0.2"/>
    <n v="19.98"/>
    <x v="2"/>
    <s v="No"/>
    <d v="2024-10-30T00:00:00"/>
    <n v="0"/>
  </r>
  <r>
    <s v="DEP-A0-1234"/>
    <x v="1"/>
    <n v="62"/>
    <x v="1"/>
    <s v="Pantalón"/>
    <s v="Negro"/>
    <s v="Mango"/>
    <s v="MER-A0-1234"/>
    <d v="2024-06-01T00:00:00"/>
    <x v="0"/>
    <n v="22.96"/>
    <n v="0.3"/>
    <n v="68.712000000000003"/>
    <x v="2"/>
    <s v="No"/>
    <d v="2024-06-01T00:00:00"/>
    <n v="0"/>
  </r>
  <r>
    <s v="DEP-A0-4681"/>
    <x v="1"/>
    <n v="49"/>
    <x v="1"/>
    <s v="Zapatos"/>
    <s v="Blanco"/>
    <s v="Tommy"/>
    <s v="MER-A0-4681"/>
    <d v="2024-07-30T00:00:00"/>
    <x v="0"/>
    <n v="20.37"/>
    <n v="0.2"/>
    <n v="129.93"/>
    <x v="2"/>
    <s v="No"/>
    <d v="2024-10-28T00:00:00"/>
    <n v="0"/>
  </r>
  <r>
    <s v="DEP-A0-1741"/>
    <x v="0"/>
    <n v="64"/>
    <x v="1"/>
    <s v="Pantalón"/>
    <s v="Negro"/>
    <s v="Nike"/>
    <s v="MER-A0-1741"/>
    <d v="2024-01-16T00:00:00"/>
    <x v="0"/>
    <n v="18.22"/>
    <n v="0.1"/>
    <n v="129.51900000000001"/>
    <x v="2"/>
    <s v="No"/>
    <d v="2024-07-14T00:00:00"/>
    <n v="0"/>
  </r>
  <r>
    <s v="DEP-A0-1175"/>
    <x v="1"/>
    <n v="53"/>
    <x v="1"/>
    <s v="Pantalón"/>
    <s v="Verde"/>
    <s v="Zara"/>
    <s v="MER-A0-1175"/>
    <d v="2024-05-03T00:00:00"/>
    <x v="0"/>
    <n v="20.51"/>
    <n v="0.2"/>
    <n v="144.53"/>
    <x v="2"/>
    <s v="No"/>
    <d v="2024-05-03T00:00:00"/>
    <n v="0"/>
  </r>
  <r>
    <s v="DEP-A0-0193"/>
    <x v="1"/>
    <n v="38"/>
    <x v="1"/>
    <s v="Chaqueta"/>
    <s v="Blanco"/>
    <s v="Mango"/>
    <s v="MER-A0-0193"/>
    <d v="2024-06-29T00:00:00"/>
    <x v="0"/>
    <n v="18.28"/>
    <n v="0.1"/>
    <n v="130.11199999999999"/>
    <x v="2"/>
    <s v="No"/>
    <d v="2024-09-27T00:00:00"/>
    <n v="0"/>
  </r>
  <r>
    <s v="DEP-A0-2971"/>
    <x v="1"/>
    <n v="60"/>
    <x v="1"/>
    <s v="Zapatos"/>
    <s v="Rojo"/>
    <s v="Puma"/>
    <s v="MER-A0-2971"/>
    <d v="2024-07-17T00:00:00"/>
    <x v="0"/>
    <n v="23.76"/>
    <n v="0.3"/>
    <n v="129.49299999999999"/>
    <x v="2"/>
    <s v="No"/>
    <d v="2024-07-17T00:00:00"/>
    <n v="0"/>
  </r>
  <r>
    <s v="DEP-A0-0190"/>
    <x v="0"/>
    <n v="39"/>
    <x v="1"/>
    <s v="Falda"/>
    <s v="Azul"/>
    <s v="Tommy"/>
    <s v="MER-A0-0190"/>
    <d v="2024-08-07T00:00:00"/>
    <x v="0"/>
    <n v="16.66"/>
    <n v="0"/>
    <n v="159.15199999999999"/>
    <x v="2"/>
    <s v="No"/>
    <d v="2024-08-07T00:00:00"/>
    <n v="0"/>
  </r>
  <r>
    <s v="DEP-A0-3088"/>
    <x v="0"/>
    <n v="46"/>
    <x v="1"/>
    <s v="Chaqueta"/>
    <s v="Amarillo"/>
    <s v="Adidas"/>
    <s v="MER-A0-3088"/>
    <d v="2024-05-24T00:00:00"/>
    <x v="0"/>
    <n v="17.05"/>
    <n v="0"/>
    <n v="42.91"/>
    <x v="2"/>
    <s v="No"/>
    <d v="2025-05-19T00:00:00"/>
    <n v="0"/>
  </r>
  <r>
    <s v="DEP-A0-4548"/>
    <x v="0"/>
    <n v="38"/>
    <x v="1"/>
    <s v="Pantalón"/>
    <s v="Negro"/>
    <s v="Adidas"/>
    <s v="MER-A0-4548"/>
    <d v="2024-09-08T00:00:00"/>
    <x v="0"/>
    <n v="17.149999999999999"/>
    <n v="0"/>
    <n v="87.8"/>
    <x v="2"/>
    <s v="No"/>
    <d v="2024-12-07T00:00:00"/>
    <n v="0"/>
  </r>
  <r>
    <s v="DEP-A0-3158"/>
    <x v="0"/>
    <n v="52"/>
    <x v="1"/>
    <s v="Camisa"/>
    <s v="Gris"/>
    <s v="Adidas"/>
    <s v="MER-A0-3158"/>
    <d v="2024-10-08T00:00:00"/>
    <x v="0"/>
    <n v="17.21"/>
    <n v="0"/>
    <n v="106.02"/>
    <x v="2"/>
    <s v="No"/>
    <d v="2025-07-05T00:00:00"/>
    <n v="0"/>
  </r>
  <r>
    <s v="DEP-A0-4198"/>
    <x v="0"/>
    <n v="58"/>
    <x v="1"/>
    <s v="Falda"/>
    <s v="Gris"/>
    <s v="Zara"/>
    <s v="MER-A0-4198"/>
    <d v="2024-11-28T00:00:00"/>
    <x v="0"/>
    <n v="19.14"/>
    <n v="0.1"/>
    <n v="82.859000000000009"/>
    <x v="2"/>
    <s v="No"/>
    <d v="2025-07-08T00:00:00"/>
    <n v="0"/>
  </r>
  <r>
    <s v="DEP-A0-3951"/>
    <x v="0"/>
    <n v="49"/>
    <x v="1"/>
    <s v="Camisa"/>
    <s v="Rojo"/>
    <s v="Tommy"/>
    <s v="MER-A0-3951"/>
    <d v="2024-01-25T00:00:00"/>
    <x v="0"/>
    <n v="19.36"/>
    <n v="0.1"/>
    <n v="133.51"/>
    <x v="2"/>
    <s v="No"/>
    <d v="2024-01-25T00:00:00"/>
    <n v="0"/>
  </r>
  <r>
    <s v="DEP-A0-2206"/>
    <x v="1"/>
    <n v="38"/>
    <x v="1"/>
    <s v="Camisa"/>
    <s v="Amarillo"/>
    <s v="Zara"/>
    <s v="MER-A0-2206"/>
    <d v="2024-04-29T00:00:00"/>
    <x v="0"/>
    <n v="25.26"/>
    <n v="0.3"/>
    <n v="138.28"/>
    <x v="2"/>
    <s v="No"/>
    <d v="2024-04-29T00:00:00"/>
    <n v="0"/>
  </r>
  <r>
    <s v="DEP-A0-1924"/>
    <x v="1"/>
    <n v="40"/>
    <x v="1"/>
    <s v="Camisa"/>
    <s v="Blanco"/>
    <s v="Levis"/>
    <s v="MER-A0-1924"/>
    <d v="2024-07-23T00:00:00"/>
    <x v="0"/>
    <n v="18.02"/>
    <n v="0"/>
    <n v="130.19399999999999"/>
    <x v="2"/>
    <s v="No"/>
    <d v="2025-07-18T00:00:00"/>
    <n v="0"/>
  </r>
  <r>
    <s v="DEP-A0-0915"/>
    <x v="0"/>
    <n v="63"/>
    <x v="1"/>
    <s v="Vestido"/>
    <s v="Verde"/>
    <s v="Zara"/>
    <s v="MER-A0-0915"/>
    <d v="2024-12-23T00:00:00"/>
    <x v="0"/>
    <n v="26.31"/>
    <n v="0.3"/>
    <n v="153.096"/>
    <x v="2"/>
    <s v="No"/>
    <d v="2024-07-05T00:00:00"/>
    <n v="0"/>
  </r>
  <r>
    <s v="DEP-A0-4653"/>
    <x v="0"/>
    <n v="45"/>
    <x v="1"/>
    <s v="Pantalón"/>
    <s v="Amarillo"/>
    <s v="Adidas"/>
    <s v="MER-A0-4653"/>
    <d v="2024-10-12T00:00:00"/>
    <x v="0"/>
    <n v="20.6"/>
    <n v="0.1"/>
    <n v="154.16"/>
    <x v="2"/>
    <s v="No"/>
    <d v="2024-10-12T00:00:00"/>
    <n v="0"/>
  </r>
  <r>
    <s v="DEP-A0-4917"/>
    <x v="1"/>
    <n v="61"/>
    <x v="1"/>
    <s v="Chaqueta"/>
    <s v="Verde"/>
    <s v="Mango"/>
    <s v="MER-A0-4917"/>
    <d v="2024-08-26T00:00:00"/>
    <x v="0"/>
    <n v="27.01"/>
    <n v="0.3"/>
    <n v="91.656000000000006"/>
    <x v="2"/>
    <s v="No"/>
    <d v="2024-08-26T00:00:00"/>
    <n v="0"/>
  </r>
  <r>
    <s v="DEP-A0-2885"/>
    <x v="0"/>
    <n v="48"/>
    <x v="1"/>
    <s v="Vestido"/>
    <s v="Blanco"/>
    <s v="Zara"/>
    <s v="MER-A0-2885"/>
    <d v="2024-03-01T00:00:00"/>
    <x v="0"/>
    <n v="21.29"/>
    <n v="0.1"/>
    <n v="115.01"/>
    <x v="2"/>
    <s v="No"/>
    <d v="2024-11-26T00:00:00"/>
    <n v="0"/>
  </r>
  <r>
    <s v="DEP-A0-0742"/>
    <x v="0"/>
    <n v="63"/>
    <x v="1"/>
    <s v="Falda"/>
    <s v="Amarillo"/>
    <s v="Levis"/>
    <s v="MER-A0-0742"/>
    <d v="2024-11-28T00:00:00"/>
    <x v="0"/>
    <n v="24.22"/>
    <n v="0.2"/>
    <n v="108.304"/>
    <x v="2"/>
    <s v="No"/>
    <d v="2024-07-20T00:00:00"/>
    <n v="0"/>
  </r>
  <r>
    <s v="DEP-A0-3264"/>
    <x v="0"/>
    <n v="61"/>
    <x v="1"/>
    <s v="Vestido"/>
    <s v="Blanco"/>
    <s v="Tommy"/>
    <s v="MER-A0-3264"/>
    <d v="2024-03-04T00:00:00"/>
    <x v="0"/>
    <n v="24.27"/>
    <n v="0.2"/>
    <n v="95.486999999999995"/>
    <x v="2"/>
    <s v="No"/>
    <d v="2024-03-04T00:00:00"/>
    <n v="0"/>
  </r>
  <r>
    <s v="DEP-A0-2098"/>
    <x v="0"/>
    <n v="50"/>
    <x v="1"/>
    <s v="Blusa"/>
    <s v="Gris"/>
    <s v="Tommy"/>
    <s v="MER-A0-2098"/>
    <d v="2024-02-05T00:00:00"/>
    <x v="0"/>
    <n v="19.5"/>
    <n v="0"/>
    <n v="132.44399999999999"/>
    <x v="2"/>
    <s v="No"/>
    <d v="2024-02-05T00:00:00"/>
    <n v="0"/>
  </r>
  <r>
    <s v="DEP-A0-3827"/>
    <x v="0"/>
    <n v="44"/>
    <x v="1"/>
    <s v="Blusa"/>
    <s v="Negro"/>
    <s v="Mango"/>
    <s v="MER-A0-3827"/>
    <d v="2024-03-07T00:00:00"/>
    <x v="0"/>
    <n v="28.02"/>
    <n v="0.3"/>
    <n v="118.19200000000001"/>
    <x v="2"/>
    <s v="No"/>
    <d v="2024-03-07T00:00:00"/>
    <n v="0"/>
  </r>
  <r>
    <s v="DEP-A0-0016"/>
    <x v="0"/>
    <n v="46"/>
    <x v="1"/>
    <s v="Pantalón"/>
    <s v="Amarillo"/>
    <s v="Nike"/>
    <s v="MER-A0-0016"/>
    <d v="2024-11-29T00:00:00"/>
    <x v="0"/>
    <n v="28.27"/>
    <n v="0.3"/>
    <n v="127.88800000000001"/>
    <x v="2"/>
    <s v="No"/>
    <d v="2024-11-29T00:00:00"/>
    <n v="0"/>
  </r>
  <r>
    <s v="DEP-A0-4429"/>
    <x v="0"/>
    <n v="60"/>
    <x v="1"/>
    <s v="Pantalón"/>
    <s v="Blanco"/>
    <s v="Tommy"/>
    <s v="MER-A0-4429"/>
    <d v="2024-08-29T00:00:00"/>
    <x v="0"/>
    <n v="25.63"/>
    <n v="0.2"/>
    <n v="82.376000000000005"/>
    <x v="2"/>
    <s v="No"/>
    <d v="2024-08-29T00:00:00"/>
    <n v="0"/>
  </r>
  <r>
    <s v="DEP-A0-1237"/>
    <x v="0"/>
    <n v="50"/>
    <x v="1"/>
    <s v="Pantalón"/>
    <s v="Amarillo"/>
    <s v="Puma"/>
    <s v="MER-A0-1237"/>
    <d v="2024-09-23T00:00:00"/>
    <x v="0"/>
    <n v="22.93"/>
    <n v="0.1"/>
    <n v="118.125"/>
    <x v="2"/>
    <s v="No"/>
    <d v="2024-09-23T00:00:00"/>
    <n v="0"/>
  </r>
  <r>
    <s v="DEP-A0-1713"/>
    <x v="0"/>
    <n v="60"/>
    <x v="1"/>
    <s v="Falda"/>
    <s v="Gris"/>
    <s v="Levis"/>
    <s v="MER-A0-1713"/>
    <d v="2024-04-17T00:00:00"/>
    <x v="0"/>
    <n v="25.89"/>
    <n v="0.2"/>
    <n v="143.1"/>
    <x v="2"/>
    <s v="No"/>
    <d v="2024-10-14T00:00:00"/>
    <n v="0"/>
  </r>
  <r>
    <s v="DEP-A0-4760"/>
    <x v="0"/>
    <n v="42"/>
    <x v="1"/>
    <s v="Chaqueta"/>
    <s v="Verde"/>
    <s v="Adidas"/>
    <s v="MER-A0-4760"/>
    <d v="2024-07-29T00:00:00"/>
    <x v="0"/>
    <n v="26.78"/>
    <n v="0.2"/>
    <n v="108.61200000000001"/>
    <x v="2"/>
    <s v="No"/>
    <d v="2024-10-27T00:00:00"/>
    <n v="0"/>
  </r>
  <r>
    <s v="DEP-A0-2567"/>
    <x v="1"/>
    <n v="50"/>
    <x v="1"/>
    <s v="Chaqueta"/>
    <s v="Gris"/>
    <s v="Mango"/>
    <s v="MER-A0-2567"/>
    <d v="2024-03-24T00:00:00"/>
    <x v="0"/>
    <n v="23.9"/>
    <n v="0.1"/>
    <n v="147.07999999999998"/>
    <x v="2"/>
    <s v="No"/>
    <d v="2024-03-24T00:00:00"/>
    <n v="0"/>
  </r>
  <r>
    <s v="DEP-A0-0842"/>
    <x v="0"/>
    <n v="65"/>
    <x v="1"/>
    <s v="Chaqueta"/>
    <s v="Blanco"/>
    <s v="Zara"/>
    <s v="MER-A0-0842"/>
    <d v="2024-12-07T00:00:00"/>
    <x v="0"/>
    <n v="27.32"/>
    <n v="0.2"/>
    <n v="123.03"/>
    <x v="2"/>
    <s v="No"/>
    <d v="2025-12-02T00:00:00"/>
    <n v="0"/>
  </r>
  <r>
    <s v="DEP-A0-3573"/>
    <x v="0"/>
    <n v="46"/>
    <x v="1"/>
    <s v="Camisa"/>
    <s v="Amarillo"/>
    <s v="Puma"/>
    <s v="MER-A0-3573"/>
    <d v="2024-11-28T00:00:00"/>
    <x v="0"/>
    <n v="27.58"/>
    <n v="0.2"/>
    <n v="57.708000000000006"/>
    <x v="2"/>
    <s v="No"/>
    <d v="2024-04-28T00:00:00"/>
    <n v="0"/>
  </r>
  <r>
    <s v="DEP-A0-0067"/>
    <x v="0"/>
    <n v="55"/>
    <x v="1"/>
    <s v="Chaqueta"/>
    <s v="Azul"/>
    <s v="Levis"/>
    <s v="MER-A0-0067"/>
    <d v="2024-11-28T00:00:00"/>
    <x v="0"/>
    <n v="27.88"/>
    <n v="0.2"/>
    <n v="87.955000000000013"/>
    <x v="2"/>
    <s v="No"/>
    <d v="2024-04-28T00:00:00"/>
    <n v="0"/>
  </r>
  <r>
    <s v="DEP-A0-0093"/>
    <x v="0"/>
    <n v="53"/>
    <x v="1"/>
    <s v="Chaqueta"/>
    <s v="Rojo"/>
    <s v="Adidas"/>
    <s v="MER-A0-0093"/>
    <d v="2024-11-13T00:00:00"/>
    <x v="0"/>
    <n v="25"/>
    <n v="0.1"/>
    <n v="159.38399999999999"/>
    <x v="2"/>
    <s v="No"/>
    <d v="2024-11-13T00:00:00"/>
    <n v="0"/>
  </r>
  <r>
    <s v="DEP-A0-2813"/>
    <x v="0"/>
    <n v="39"/>
    <x v="1"/>
    <s v="Falda"/>
    <s v="Amarillo"/>
    <s v="Adidas"/>
    <s v="MER-A0-2813"/>
    <d v="2024-03-12T00:00:00"/>
    <x v="0"/>
    <n v="22.59"/>
    <n v="0"/>
    <n v="59.112000000000002"/>
    <x v="2"/>
    <s v="No"/>
    <d v="2024-03-12T00:00:00"/>
    <n v="0"/>
  </r>
  <r>
    <s v="DEP-A0-4682"/>
    <x v="0"/>
    <n v="60"/>
    <x v="1"/>
    <s v="Falda"/>
    <s v="Negro"/>
    <s v="Zara"/>
    <s v="MER-A0-4682"/>
    <d v="2024-11-06T00:00:00"/>
    <x v="0"/>
    <n v="25.14"/>
    <n v="0.1"/>
    <n v="100.818"/>
    <x v="2"/>
    <s v="No"/>
    <d v="2024-11-06T00:00:00"/>
    <n v="0"/>
  </r>
  <r>
    <s v="DEP-A0-0762"/>
    <x v="0"/>
    <n v="49"/>
    <x v="1"/>
    <s v="Zapatos"/>
    <s v="Amarillo"/>
    <s v="Nike"/>
    <s v="MER-A0-0762"/>
    <d v="2024-04-09T00:00:00"/>
    <x v="0"/>
    <n v="32.51"/>
    <n v="0.3"/>
    <n v="91.875"/>
    <x v="2"/>
    <s v="No"/>
    <d v="2024-04-09T00:00:00"/>
    <n v="0"/>
  </r>
  <r>
    <s v="DEP-A0-1614"/>
    <x v="0"/>
    <n v="48"/>
    <x v="1"/>
    <s v="Chaqueta"/>
    <s v="Verde"/>
    <s v="Zara"/>
    <s v="MER-A0-1614"/>
    <d v="2024-09-04T00:00:00"/>
    <x v="0"/>
    <n v="32.83"/>
    <n v="0.3"/>
    <n v="49.448"/>
    <x v="2"/>
    <s v="No"/>
    <d v="2025-06-01T00:00:00"/>
    <n v="0"/>
  </r>
  <r>
    <s v="DEP-A0-2919"/>
    <x v="0"/>
    <n v="37"/>
    <x v="1"/>
    <s v="Vestido"/>
    <s v="Azul"/>
    <s v="Puma"/>
    <s v="MER-A0-2919"/>
    <d v="2024-05-24T00:00:00"/>
    <x v="0"/>
    <n v="23.15"/>
    <n v="0"/>
    <n v="94.589999999999989"/>
    <x v="2"/>
    <s v="No"/>
    <d v="2025-05-19T00:00:00"/>
    <n v="0"/>
  </r>
  <r>
    <s v="DEP-A0-4224"/>
    <x v="0"/>
    <n v="65"/>
    <x v="1"/>
    <s v="Vestido"/>
    <s v="Blanco"/>
    <s v="Puma"/>
    <s v="MER-A0-4224"/>
    <d v="2024-05-28T00:00:00"/>
    <x v="0"/>
    <n v="23.44"/>
    <n v="0"/>
    <n v="91.287999999999997"/>
    <x v="2"/>
    <s v="No"/>
    <d v="2024-05-28T00:00:00"/>
    <n v="0"/>
  </r>
  <r>
    <s v="DEP-A0-1662"/>
    <x v="0"/>
    <n v="54"/>
    <x v="1"/>
    <s v="Vestido"/>
    <s v="Gris"/>
    <s v="Puma"/>
    <s v="MER-A0-1662"/>
    <d v="2024-10-19T00:00:00"/>
    <x v="0"/>
    <n v="26.26"/>
    <n v="0.1"/>
    <n v="27.738"/>
    <x v="2"/>
    <s v="No"/>
    <d v="2025-10-14T00:00:00"/>
    <n v="0"/>
  </r>
  <r>
    <s v="DEP-A0-2298"/>
    <x v="0"/>
    <n v="39"/>
    <x v="1"/>
    <s v="Vestido"/>
    <s v="Gris"/>
    <s v="Puma"/>
    <s v="MER-A0-2298"/>
    <d v="2024-02-18T00:00:00"/>
    <x v="0"/>
    <n v="33.840000000000003"/>
    <n v="0.3"/>
    <n v="41.823999999999998"/>
    <x v="2"/>
    <s v="No"/>
    <d v="2024-02-18T00:00:00"/>
    <n v="0"/>
  </r>
  <r>
    <s v="DEP-A0-0227"/>
    <x v="1"/>
    <n v="63"/>
    <x v="1"/>
    <s v="Pantalón"/>
    <s v="Negro"/>
    <s v="Zara"/>
    <s v="MER-A0-0227"/>
    <d v="2024-10-12T00:00:00"/>
    <x v="0"/>
    <n v="34.14"/>
    <n v="0.3"/>
    <n v="72.905000000000001"/>
    <x v="2"/>
    <s v="No"/>
    <d v="2024-10-12T00:00:00"/>
    <n v="0"/>
  </r>
  <r>
    <s v="DEP-A0-0015"/>
    <x v="0"/>
    <n v="64"/>
    <x v="1"/>
    <s v="Blusa"/>
    <s v="Gris"/>
    <s v="Zara"/>
    <s v="MER-A0-0015"/>
    <d v="2024-04-22T00:00:00"/>
    <x v="0"/>
    <n v="30.16"/>
    <n v="0.2"/>
    <n v="17.649999999999999"/>
    <x v="2"/>
    <s v="No"/>
    <d v="2024-04-22T00:00:00"/>
    <n v="0"/>
  </r>
  <r>
    <s v="DEP-A0-1739"/>
    <x v="0"/>
    <n v="45"/>
    <x v="1"/>
    <s v="Camisa"/>
    <s v="Azul"/>
    <s v="Tommy"/>
    <s v="MER-A0-1739"/>
    <d v="2024-09-02T00:00:00"/>
    <x v="0"/>
    <n v="26.99"/>
    <n v="0.1"/>
    <n v="52.18"/>
    <x v="2"/>
    <s v="No"/>
    <d v="2024-09-02T00:00:00"/>
    <n v="0"/>
  </r>
  <r>
    <s v="DEP-A0-3357"/>
    <x v="0"/>
    <n v="47"/>
    <x v="1"/>
    <s v="Chaqueta"/>
    <s v="Azul"/>
    <s v="Zara"/>
    <s v="MER-A0-3357"/>
    <d v="2024-06-30T00:00:00"/>
    <x v="0"/>
    <n v="24.46"/>
    <n v="0"/>
    <n v="52.542000000000002"/>
    <x v="2"/>
    <s v="No"/>
    <d v="2024-06-30T00:00:00"/>
    <n v="0"/>
  </r>
  <r>
    <s v="DEP-A0-4894"/>
    <x v="1"/>
    <n v="59"/>
    <x v="1"/>
    <s v="Zapatos"/>
    <s v="Gris"/>
    <s v="Zara"/>
    <s v="MER-A0-4894"/>
    <d v="2024-05-11T00:00:00"/>
    <x v="0"/>
    <n v="24.61"/>
    <n v="0"/>
    <n v="48.397999999999996"/>
    <x v="2"/>
    <s v="No"/>
    <d v="2024-11-07T00:00:00"/>
    <n v="0"/>
  </r>
  <r>
    <s v="DEP-A0-0423"/>
    <x v="0"/>
    <n v="62"/>
    <x v="1"/>
    <s v="Pantalón"/>
    <s v="Gris"/>
    <s v="Mango"/>
    <s v="MER-A0-0423"/>
    <d v="2024-09-08T00:00:00"/>
    <x v="0"/>
    <n v="24.88"/>
    <n v="0"/>
    <n v="116.262"/>
    <x v="2"/>
    <s v="No"/>
    <d v="2024-09-08T00:00:00"/>
    <n v="0"/>
  </r>
  <r>
    <s v="DEP-A0-4998"/>
    <x v="0"/>
    <n v="60"/>
    <x v="1"/>
    <s v="Pantalón"/>
    <s v="Gris"/>
    <s v="Levis"/>
    <s v="MER-A0-4998"/>
    <d v="2024-10-27T00:00:00"/>
    <x v="0"/>
    <n v="36.4"/>
    <n v="0.3"/>
    <n v="106.749"/>
    <x v="2"/>
    <s v="No"/>
    <d v="2024-10-27T00:00:00"/>
    <n v="0"/>
  </r>
  <r>
    <s v="DEP-A0-4860"/>
    <x v="0"/>
    <n v="42"/>
    <x v="1"/>
    <s v="Falda"/>
    <s v="Gris"/>
    <s v="Zara"/>
    <s v="MER-A0-4860"/>
    <d v="2024-09-23T00:00:00"/>
    <x v="0"/>
    <n v="28.43"/>
    <n v="0.1"/>
    <n v="9.3420000000000005"/>
    <x v="2"/>
    <s v="No"/>
    <d v="2024-09-23T00:00:00"/>
    <n v="0"/>
  </r>
  <r>
    <s v="DEP-A0-2672"/>
    <x v="0"/>
    <n v="61"/>
    <x v="1"/>
    <s v="Camisa"/>
    <s v="Blanco"/>
    <s v="Adidas"/>
    <s v="MER-A0-2672"/>
    <d v="2024-09-29T00:00:00"/>
    <x v="0"/>
    <n v="37.15"/>
    <n v="0.3"/>
    <n v="49.543999999999997"/>
    <x v="2"/>
    <s v="No"/>
    <d v="2024-09-29T00:00:00"/>
    <n v="0"/>
  </r>
  <r>
    <s v="DEP-A0-2363"/>
    <x v="0"/>
    <n v="47"/>
    <x v="1"/>
    <s v="Pantalón"/>
    <s v="Amarillo"/>
    <s v="Puma"/>
    <s v="MER-A0-2363"/>
    <d v="2024-12-25T00:00:00"/>
    <x v="0"/>
    <n v="38.33"/>
    <n v="0.3"/>
    <n v="69.37"/>
    <x v="2"/>
    <s v="No"/>
    <d v="2025-03-25T00:00:00"/>
    <n v="0"/>
  </r>
  <r>
    <s v="DEP-A0-0427"/>
    <x v="0"/>
    <n v="48"/>
    <x v="1"/>
    <s v="Falda"/>
    <s v="Gris"/>
    <s v="Nike"/>
    <s v="MER-A0-0427"/>
    <d v="2024-04-01T00:00:00"/>
    <x v="0"/>
    <n v="39.07"/>
    <n v="0.3"/>
    <n v="150.77699999999999"/>
    <x v="2"/>
    <s v="No"/>
    <d v="2024-04-01T00:00:00"/>
    <n v="0"/>
  </r>
  <r>
    <s v="DEP-A0-0986"/>
    <x v="1"/>
    <n v="47"/>
    <x v="1"/>
    <s v="Chaqueta"/>
    <s v="Negro"/>
    <s v="Mango"/>
    <s v="MER-A0-0986"/>
    <d v="2024-03-29T00:00:00"/>
    <x v="0"/>
    <n v="39.08"/>
    <n v="0.3"/>
    <n v="150.81299999999999"/>
    <x v="2"/>
    <s v="No"/>
    <d v="2024-03-29T00:00:00"/>
    <n v="0"/>
  </r>
  <r>
    <s v="DEP-A0-1038"/>
    <x v="1"/>
    <n v="44"/>
    <x v="1"/>
    <s v="Zapatos"/>
    <s v="Blanco"/>
    <s v="Nike"/>
    <s v="MER-A0-1038"/>
    <d v="2024-03-20T00:00:00"/>
    <x v="0"/>
    <n v="34.39"/>
    <n v="0.2"/>
    <n v="167.11199999999999"/>
    <x v="2"/>
    <s v="No"/>
    <d v="2024-06-18T00:00:00"/>
    <n v="0"/>
  </r>
  <r>
    <s v="DEP-A0-2454"/>
    <x v="0"/>
    <n v="59"/>
    <x v="1"/>
    <s v="Falda"/>
    <s v="Blanco"/>
    <s v="Levis"/>
    <s v="MER-A0-2454"/>
    <d v="2024-10-18T00:00:00"/>
    <x v="0"/>
    <n v="30.73"/>
    <n v="0.1"/>
    <n v="19.323"/>
    <x v="2"/>
    <s v="No"/>
    <d v="2025-07-15T00:00:00"/>
    <n v="0"/>
  </r>
  <r>
    <s v="DEP-A0-3667"/>
    <x v="1"/>
    <n v="58"/>
    <x v="1"/>
    <s v="Pantalón"/>
    <s v="Rojo"/>
    <s v="Tommy"/>
    <s v="MER-A0-3667"/>
    <d v="2024-05-24T00:00:00"/>
    <x v="0"/>
    <n v="34.99"/>
    <n v="0.2"/>
    <n v="163.52099999999999"/>
    <x v="2"/>
    <s v="No"/>
    <d v="2025-05-19T00:00:00"/>
    <n v="0"/>
  </r>
  <r>
    <s v="DEP-A0-2292"/>
    <x v="1"/>
    <n v="44"/>
    <x v="1"/>
    <s v="Camisa"/>
    <s v="Azul"/>
    <s v="Adidas"/>
    <s v="MER-A0-2292"/>
    <d v="2024-11-28T00:00:00"/>
    <x v="0"/>
    <n v="40.020000000000003"/>
    <n v="0.3"/>
    <n v="35.799999999999997"/>
    <x v="2"/>
    <s v="No"/>
    <d v="2024-10-10T00:00:00"/>
    <n v="0"/>
  </r>
  <r>
    <s v="DEP-A0-2822"/>
    <x v="1"/>
    <n v="58"/>
    <x v="1"/>
    <s v="Camisa"/>
    <s v="Azul"/>
    <s v="Adidas"/>
    <s v="MER-A0-2822"/>
    <d v="2024-09-20T00:00:00"/>
    <x v="0"/>
    <n v="40.61"/>
    <n v="0.3"/>
    <n v="10.656000000000001"/>
    <x v="2"/>
    <s v="No"/>
    <d v="2024-09-20T00:00:00"/>
    <n v="0"/>
  </r>
  <r>
    <s v="DEP-A0-2580"/>
    <x v="1"/>
    <n v="59"/>
    <x v="1"/>
    <s v="Zapatos"/>
    <s v="Amarillo"/>
    <s v="Puma"/>
    <s v="MER-A0-2580"/>
    <d v="2024-05-20T00:00:00"/>
    <x v="0"/>
    <n v="31.74"/>
    <n v="0.1"/>
    <n v="70.2"/>
    <x v="2"/>
    <s v="No"/>
    <d v="2025-02-14T00:00:00"/>
    <n v="0"/>
  </r>
  <r>
    <s v="DEP-A0-1954"/>
    <x v="0"/>
    <n v="50"/>
    <x v="1"/>
    <s v="Falda"/>
    <s v="Amarillo"/>
    <s v="Levis"/>
    <s v="MER-A0-1954"/>
    <d v="2024-05-08T00:00:00"/>
    <x v="0"/>
    <n v="40.869999999999997"/>
    <n v="0.3"/>
    <n v="151.72999999999999"/>
    <x v="2"/>
    <s v="No"/>
    <d v="2025-02-02T00:00:00"/>
    <n v="0"/>
  </r>
  <r>
    <s v="DEP-A0-3175"/>
    <x v="1"/>
    <n v="39"/>
    <x v="1"/>
    <s v="Camisa"/>
    <s v="Blanco"/>
    <s v="Levis"/>
    <s v="MER-A0-3175"/>
    <d v="2024-02-13T00:00:00"/>
    <x v="0"/>
    <n v="40.880000000000003"/>
    <n v="0.3"/>
    <n v="153.30600000000001"/>
    <x v="2"/>
    <s v="No"/>
    <d v="2024-06-14T00:00:00"/>
    <n v="0"/>
  </r>
  <r>
    <s v="DEP-A0-3620"/>
    <x v="0"/>
    <n v="65"/>
    <x v="1"/>
    <s v="Zapatos"/>
    <s v="Rojo"/>
    <s v="Tommy"/>
    <s v="MER-A0-3620"/>
    <d v="2024-10-13T00:00:00"/>
    <x v="0"/>
    <n v="36.04"/>
    <n v="0.2"/>
    <n v="72.790000000000006"/>
    <x v="2"/>
    <s v="No"/>
    <d v="2024-10-13T00:00:00"/>
    <n v="0"/>
  </r>
  <r>
    <s v="DEP-A0-3395"/>
    <x v="0"/>
    <n v="37"/>
    <x v="1"/>
    <s v="Zapatos"/>
    <s v="Rojo"/>
    <s v="Mango"/>
    <s v="MER-A0-3395"/>
    <d v="2024-10-07T00:00:00"/>
    <x v="0"/>
    <n v="37.82"/>
    <n v="0.2"/>
    <n v="148.96"/>
    <x v="2"/>
    <s v="No"/>
    <d v="2025-01-05T00:00:00"/>
    <n v="0"/>
  </r>
  <r>
    <s v="DEP-A0-3449"/>
    <x v="0"/>
    <n v="55"/>
    <x v="1"/>
    <s v="Chaqueta"/>
    <s v="Verde"/>
    <s v="Zara"/>
    <s v="MER-A0-3449"/>
    <d v="2024-12-29T00:00:00"/>
    <x v="0"/>
    <n v="37.83"/>
    <n v="0.2"/>
    <n v="133.84"/>
    <x v="2"/>
    <s v="No"/>
    <d v="2024-12-29T00:00:00"/>
    <n v="0"/>
  </r>
  <r>
    <s v="DEP-A0-2349"/>
    <x v="1"/>
    <n v="60"/>
    <x v="1"/>
    <s v="Zapatos"/>
    <s v="Blanco"/>
    <s v="Levis"/>
    <s v="MER-A0-2349"/>
    <d v="2024-06-18T00:00:00"/>
    <x v="0"/>
    <n v="30.45"/>
    <n v="0"/>
    <n v="109.328"/>
    <x v="2"/>
    <s v="No"/>
    <d v="2024-06-18T00:00:00"/>
    <n v="0"/>
  </r>
  <r>
    <s v="DEP-A0-0147"/>
    <x v="1"/>
    <n v="63"/>
    <x v="1"/>
    <s v="Zapatos"/>
    <s v="Gris"/>
    <s v="Tommy"/>
    <s v="MER-A0-0147"/>
    <d v="2024-05-31T00:00:00"/>
    <x v="0"/>
    <n v="43.78"/>
    <n v="0.3"/>
    <n v="87.84"/>
    <x v="2"/>
    <s v="No"/>
    <d v="2025-05-26T00:00:00"/>
    <n v="0"/>
  </r>
  <r>
    <s v="DEP-A0-0003"/>
    <x v="0"/>
    <n v="50"/>
    <x v="1"/>
    <s v="Pantalón"/>
    <s v="Gris"/>
    <s v="Tommy"/>
    <s v="MER-A0-0003"/>
    <d v="2024-03-07T00:00:00"/>
    <x v="0"/>
    <n v="34.4"/>
    <n v="0.1"/>
    <n v="43.512"/>
    <x v="2"/>
    <s v="No"/>
    <d v="2024-03-07T00:00:00"/>
    <n v="0"/>
  </r>
  <r>
    <s v="DEP-A0-0195"/>
    <x v="0"/>
    <n v="64"/>
    <x v="1"/>
    <s v="Vestido"/>
    <s v="Blanco"/>
    <s v="Levis"/>
    <s v="MER-A0-0195"/>
    <d v="2024-06-29T00:00:00"/>
    <x v="0"/>
    <n v="30.99"/>
    <n v="0"/>
    <n v="62.894999999999996"/>
    <x v="2"/>
    <s v="No"/>
    <d v="2025-06-24T00:00:00"/>
    <n v="0"/>
  </r>
  <r>
    <s v="DEP-A0-0394"/>
    <x v="0"/>
    <n v="60"/>
    <x v="1"/>
    <s v="Blusa"/>
    <s v="Blanco"/>
    <s v="Tommy"/>
    <s v="MER-A0-0394"/>
    <d v="2024-08-27T00:00:00"/>
    <x v="0"/>
    <n v="39.369999999999997"/>
    <n v="0.2"/>
    <n v="17.71"/>
    <x v="2"/>
    <s v="No"/>
    <d v="2024-08-27T00:00:00"/>
    <n v="0"/>
  </r>
  <r>
    <s v="DEP-A0-3774"/>
    <x v="0"/>
    <n v="61"/>
    <x v="1"/>
    <s v="Falda"/>
    <s v="Azul"/>
    <s v="Levis"/>
    <s v="MER-A0-3774"/>
    <d v="2024-08-14T00:00:00"/>
    <x v="0"/>
    <n v="31.76"/>
    <n v="0"/>
    <n v="85.320000000000007"/>
    <x v="2"/>
    <s v="No"/>
    <d v="2025-02-10T00:00:00"/>
    <n v="0"/>
  </r>
  <r>
    <s v="DEP-A0-1959"/>
    <x v="0"/>
    <n v="43"/>
    <x v="1"/>
    <s v="Blusa"/>
    <s v="Blanco"/>
    <s v="Puma"/>
    <s v="MER-A0-1959"/>
    <d v="2024-09-08T00:00:00"/>
    <x v="0"/>
    <n v="31.98"/>
    <n v="0"/>
    <n v="94.493000000000009"/>
    <x v="2"/>
    <s v="No"/>
    <d v="2024-09-08T00:00:00"/>
    <n v="0"/>
  </r>
  <r>
    <s v="DEP-A0-2347"/>
    <x v="0"/>
    <n v="55"/>
    <x v="1"/>
    <s v="Vestido"/>
    <s v="Verde"/>
    <s v="Nike"/>
    <s v="MER-A0-2347"/>
    <d v="2024-11-22T00:00:00"/>
    <x v="0"/>
    <n v="40.43"/>
    <n v="0.2"/>
    <n v="40.031999999999996"/>
    <x v="2"/>
    <s v="No"/>
    <d v="2025-11-17T00:00:00"/>
    <n v="0"/>
  </r>
  <r>
    <s v="DEP-A0-3217"/>
    <x v="0"/>
    <n v="59"/>
    <x v="1"/>
    <s v="Zapatos"/>
    <s v="Blanco"/>
    <s v="Puma"/>
    <s v="MER-A0-3217"/>
    <d v="2024-09-25T00:00:00"/>
    <x v="0"/>
    <n v="46.45"/>
    <n v="0.3"/>
    <n v="48.11"/>
    <x v="2"/>
    <s v="No"/>
    <d v="2024-12-24T00:00:00"/>
    <n v="0"/>
  </r>
  <r>
    <s v="DEP-A0-3246"/>
    <x v="0"/>
    <n v="65"/>
    <x v="1"/>
    <s v="Chaqueta"/>
    <s v="Verde"/>
    <s v="Adidas"/>
    <s v="MER-A0-3246"/>
    <d v="2024-09-07T00:00:00"/>
    <x v="0"/>
    <n v="40.92"/>
    <n v="0.2"/>
    <n v="74.888000000000005"/>
    <x v="2"/>
    <s v="No"/>
    <d v="2024-09-07T00:00:00"/>
    <n v="0"/>
  </r>
  <r>
    <s v="DEP-A0-1425"/>
    <x v="0"/>
    <n v="62"/>
    <x v="1"/>
    <s v="Vestido"/>
    <s v="Azul"/>
    <s v="Adidas"/>
    <s v="MER-A0-1425"/>
    <d v="2024-11-07T00:00:00"/>
    <x v="0"/>
    <n v="41.06"/>
    <n v="0.2"/>
    <n v="39.624000000000002"/>
    <x v="2"/>
    <s v="No"/>
    <d v="2025-02-05T00:00:00"/>
    <n v="0"/>
  </r>
  <r>
    <s v="DEP-A0-2106"/>
    <x v="0"/>
    <n v="38"/>
    <x v="1"/>
    <s v="Chaqueta"/>
    <s v="Gris"/>
    <s v="Zara"/>
    <s v="MER-A0-2106"/>
    <d v="2024-02-11T00:00:00"/>
    <x v="0"/>
    <n v="36.6"/>
    <n v="0.1"/>
    <n v="61.887999999999998"/>
    <x v="2"/>
    <s v="No"/>
    <d v="2024-05-11T00:00:00"/>
    <n v="0"/>
  </r>
  <r>
    <s v="DEP-A0-2509"/>
    <x v="0"/>
    <n v="60"/>
    <x v="1"/>
    <s v="Blusa"/>
    <s v="Blanco"/>
    <s v="Adidas"/>
    <s v="MER-A0-2509"/>
    <d v="2024-07-21T00:00:00"/>
    <x v="0"/>
    <n v="47.32"/>
    <n v="0.3"/>
    <n v="25.360999999999997"/>
    <x v="2"/>
    <s v="No"/>
    <d v="2024-07-21T00:00:00"/>
    <n v="0"/>
  </r>
  <r>
    <s v="DEP-A0-0507"/>
    <x v="1"/>
    <n v="42"/>
    <x v="1"/>
    <s v="Pantalón"/>
    <s v="Rojo"/>
    <s v="Tommy"/>
    <s v="MER-A0-0507"/>
    <d v="2024-12-10T00:00:00"/>
    <x v="0"/>
    <n v="37.29"/>
    <n v="0.1"/>
    <n v="93.45"/>
    <x v="2"/>
    <s v="No"/>
    <d v="2025-09-06T00:00:00"/>
    <n v="0"/>
  </r>
  <r>
    <s v="DEP-A0-4884"/>
    <x v="0"/>
    <n v="41"/>
    <x v="1"/>
    <s v="Blusa"/>
    <s v="Negro"/>
    <s v="Puma"/>
    <s v="MER-A0-4884"/>
    <d v="2024-11-22T00:00:00"/>
    <x v="0"/>
    <n v="42.18"/>
    <n v="0.2"/>
    <n v="105.462"/>
    <x v="2"/>
    <s v="No"/>
    <d v="2024-11-22T00:00:00"/>
    <n v="0"/>
  </r>
  <r>
    <s v="DEP-A0-3773"/>
    <x v="0"/>
    <n v="37"/>
    <x v="1"/>
    <s v="Falda"/>
    <s v="Rojo"/>
    <s v="Nike"/>
    <s v="MER-A0-3773"/>
    <d v="2024-12-23T00:00:00"/>
    <x v="0"/>
    <n v="48.4"/>
    <n v="0.3"/>
    <n v="136.19999999999999"/>
    <x v="2"/>
    <s v="No"/>
    <d v="2024-12-23T00:00:00"/>
    <n v="0"/>
  </r>
  <r>
    <s v="DEP-A0-4869"/>
    <x v="0"/>
    <n v="42"/>
    <x v="1"/>
    <s v="Camisa"/>
    <s v="Negro"/>
    <s v="Tommy"/>
    <s v="MER-A0-4869"/>
    <d v="2024-08-01T00:00:00"/>
    <x v="0"/>
    <n v="48.89"/>
    <n v="0.3"/>
    <n v="111.59399999999999"/>
    <x v="2"/>
    <s v="No"/>
    <d v="2024-08-01T00:00:00"/>
    <n v="0"/>
  </r>
  <r>
    <s v="DEP-A0-0856"/>
    <x v="0"/>
    <n v="51"/>
    <x v="1"/>
    <s v="Falda"/>
    <s v="Blanco"/>
    <s v="Mango"/>
    <s v="MER-A0-0856"/>
    <d v="2024-11-22T00:00:00"/>
    <x v="0"/>
    <n v="49.98"/>
    <n v="0.3"/>
    <n v="184.4"/>
    <x v="2"/>
    <s v="No"/>
    <d v="2024-06-28T00:00:00"/>
    <n v="0"/>
  </r>
  <r>
    <s v="DEP-A0-0464"/>
    <x v="0"/>
    <n v="63"/>
    <x v="1"/>
    <s v="Vestido"/>
    <s v="Negro"/>
    <s v="Nike"/>
    <s v="MER-A0-0464"/>
    <d v="2024-11-28T00:00:00"/>
    <x v="0"/>
    <n v="34.99"/>
    <n v="0"/>
    <n v="54.957000000000008"/>
    <x v="2"/>
    <s v="No"/>
    <d v="2025-07-15T00:00:00"/>
    <n v="0"/>
  </r>
  <r>
    <s v="DEP-A0-4817"/>
    <x v="1"/>
    <n v="46"/>
    <x v="1"/>
    <s v="Zapatos"/>
    <s v="Blanco"/>
    <s v="Puma"/>
    <s v="MER-A0-4817"/>
    <d v="2024-05-22T00:00:00"/>
    <x v="0"/>
    <n v="43.94"/>
    <n v="0.2"/>
    <n v="102.51499999999999"/>
    <x v="2"/>
    <s v="No"/>
    <d v="2024-08-20T00:00:00"/>
    <n v="0"/>
  </r>
  <r>
    <s v="DEP-A0-1714"/>
    <x v="0"/>
    <n v="39"/>
    <x v="1"/>
    <s v="Falda"/>
    <s v="Gris"/>
    <s v="Zara"/>
    <s v="MER-A0-1714"/>
    <d v="2024-02-05T00:00:00"/>
    <x v="0"/>
    <n v="50.55"/>
    <n v="0.3"/>
    <n v="17.32"/>
    <x v="2"/>
    <s v="No"/>
    <d v="2024-02-05T00:00:00"/>
    <n v="0"/>
  </r>
  <r>
    <s v="DEP-A0-1724"/>
    <x v="0"/>
    <n v="57"/>
    <x v="1"/>
    <s v="Vestido"/>
    <s v="Rojo"/>
    <s v="Mango"/>
    <s v="MER-A0-1724"/>
    <d v="2024-03-26T00:00:00"/>
    <x v="0"/>
    <n v="35.53"/>
    <n v="0"/>
    <n v="119.88"/>
    <x v="2"/>
    <s v="No"/>
    <d v="2024-03-26T00:00:00"/>
    <n v="0"/>
  </r>
  <r>
    <s v="DEP-A0-2167"/>
    <x v="0"/>
    <n v="46"/>
    <x v="1"/>
    <s v="Falda"/>
    <s v="Azul"/>
    <s v="Tommy"/>
    <s v="MER-A0-2167"/>
    <d v="2024-12-08T00:00:00"/>
    <x v="0"/>
    <n v="40.51"/>
    <n v="0.1"/>
    <n v="60.624000000000002"/>
    <x v="2"/>
    <s v="No"/>
    <d v="2024-12-08T00:00:00"/>
    <n v="0"/>
  </r>
  <r>
    <s v="DEP-A0-1883"/>
    <x v="0"/>
    <n v="40"/>
    <x v="1"/>
    <s v="Falda"/>
    <s v="Amarillo"/>
    <s v="Levis"/>
    <s v="MER-A0-1883"/>
    <d v="2024-05-25T00:00:00"/>
    <x v="0"/>
    <n v="36.49"/>
    <n v="0"/>
    <n v="84.188999999999993"/>
    <x v="2"/>
    <s v="No"/>
    <d v="2024-05-25T00:00:00"/>
    <n v="0"/>
  </r>
  <r>
    <s v="DEP-A0-1908"/>
    <x v="1"/>
    <n v="48"/>
    <x v="1"/>
    <s v="Zapatos"/>
    <s v="Amarillo"/>
    <s v="Tommy"/>
    <s v="MER-A0-1908"/>
    <d v="2024-11-28T00:00:00"/>
    <x v="0"/>
    <n v="36.83"/>
    <n v="0"/>
    <n v="113.768"/>
    <x v="2"/>
    <s v="No"/>
    <d v="2024-07-15T00:00:00"/>
    <n v="0"/>
  </r>
  <r>
    <s v="DEP-A0-0005"/>
    <x v="0"/>
    <n v="59"/>
    <x v="1"/>
    <s v="Chaqueta"/>
    <s v="Blanco"/>
    <s v="Mango"/>
    <s v="MER-A0-0005"/>
    <d v="2024-04-02T00:00:00"/>
    <x v="0"/>
    <n v="41.34"/>
    <n v="0.1"/>
    <n v="8.8130000000000006"/>
    <x v="2"/>
    <s v="No"/>
    <d v="2024-04-02T00:00:00"/>
    <n v="0"/>
  </r>
  <r>
    <s v="DEP-A0-2646"/>
    <x v="0"/>
    <n v="42"/>
    <x v="1"/>
    <s v="Chaqueta"/>
    <s v="Negro"/>
    <s v="Adidas"/>
    <s v="MER-A0-2646"/>
    <d v="2024-11-04T00:00:00"/>
    <x v="0"/>
    <n v="54.04"/>
    <n v="0.3"/>
    <n v="10.327999999999999"/>
    <x v="2"/>
    <s v="No"/>
    <d v="2024-11-04T00:00:00"/>
    <n v="0"/>
  </r>
  <r>
    <s v="DEP-A0-1763"/>
    <x v="1"/>
    <n v="56"/>
    <x v="1"/>
    <s v="Chaqueta"/>
    <s v="Verde"/>
    <s v="Mango"/>
    <s v="MER-A0-1763"/>
    <d v="2024-11-30T00:00:00"/>
    <x v="0"/>
    <n v="47.42"/>
    <n v="0.2"/>
    <n v="11.2"/>
    <x v="2"/>
    <s v="No"/>
    <d v="2024-11-30T00:00:00"/>
    <n v="0"/>
  </r>
  <r>
    <s v="DEP-A0-4025"/>
    <x v="1"/>
    <n v="36"/>
    <x v="1"/>
    <s v="Camisa"/>
    <s v="Negro"/>
    <s v="Adidas"/>
    <s v="MER-A0-4025"/>
    <d v="2024-11-28T00:00:00"/>
    <x v="0"/>
    <n v="55.33"/>
    <n v="0.3"/>
    <n v="12.384"/>
    <x v="2"/>
    <s v="No"/>
    <d v="2024-04-30T00:00:00"/>
    <n v="0"/>
  </r>
  <r>
    <s v="DEP-A0-3974"/>
    <x v="0"/>
    <n v="50"/>
    <x v="1"/>
    <s v="Vestido"/>
    <s v="Negro"/>
    <s v="Tommy"/>
    <s v="MER-A0-3974"/>
    <d v="2024-09-30T00:00:00"/>
    <x v="0"/>
    <n v="49.19"/>
    <n v="0.2"/>
    <n v="14.959999999999999"/>
    <x v="2"/>
    <s v="No"/>
    <d v="2024-09-30T00:00:00"/>
    <n v="0"/>
  </r>
  <r>
    <s v="DEP-A0-3238"/>
    <x v="0"/>
    <n v="42"/>
    <x v="1"/>
    <s v="Camisa"/>
    <s v="Negro"/>
    <s v="Zara"/>
    <s v="MER-A0-3238"/>
    <d v="2024-11-01T00:00:00"/>
    <x v="0"/>
    <n v="52.67"/>
    <n v="0.2"/>
    <n v="17.016999999999999"/>
    <x v="2"/>
    <s v="No"/>
    <d v="2024-11-01T00:00:00"/>
    <n v="0"/>
  </r>
  <r>
    <s v="DEP-A0-4040"/>
    <x v="1"/>
    <n v="50"/>
    <x v="1"/>
    <s v="Zapatos"/>
    <s v="Azul"/>
    <s v="Tommy"/>
    <s v="MER-A0-4040"/>
    <d v="2024-06-18T00:00:00"/>
    <x v="0"/>
    <n v="44.73"/>
    <n v="0"/>
    <n v="24.969000000000001"/>
    <x v="2"/>
    <s v="No"/>
    <d v="2024-06-18T00:00:00"/>
    <n v="0"/>
  </r>
  <r>
    <s v="DEP-A0-2444"/>
    <x v="1"/>
    <n v="63"/>
    <x v="1"/>
    <s v="Chaqueta"/>
    <s v="Azul"/>
    <s v="Levis"/>
    <s v="MER-A0-2444"/>
    <d v="2024-08-02T00:00:00"/>
    <x v="0"/>
    <n v="64.56"/>
    <n v="0.3"/>
    <n v="25.25"/>
    <x v="2"/>
    <s v="No"/>
    <d v="2024-08-02T00:00:00"/>
    <n v="0"/>
  </r>
  <r>
    <s v="DEP-A0-0062"/>
    <x v="0"/>
    <n v="48"/>
    <x v="1"/>
    <s v="Chaqueta"/>
    <s v="Rojo"/>
    <s v="Nike"/>
    <s v="MER-A0-0062"/>
    <d v="2024-12-16T00:00:00"/>
    <x v="0"/>
    <n v="56.65"/>
    <n v="0.2"/>
    <n v="26.784000000000002"/>
    <x v="2"/>
    <s v="No"/>
    <d v="2024-12-16T00:00:00"/>
    <n v="0"/>
  </r>
  <r>
    <s v="DEP-A0-2024"/>
    <x v="0"/>
    <n v="58"/>
    <x v="1"/>
    <s v="Falda"/>
    <s v="Negro"/>
    <s v="Mango"/>
    <s v="MER-A0-2024"/>
    <d v="2024-03-29T00:00:00"/>
    <x v="0"/>
    <n v="67.44"/>
    <n v="0.3"/>
    <n v="31.149000000000001"/>
    <x v="2"/>
    <s v="No"/>
    <d v="2024-03-29T00:00:00"/>
    <n v="0"/>
  </r>
  <r>
    <s v="DEP-A0-4780"/>
    <x v="1"/>
    <n v="44"/>
    <x v="1"/>
    <s v="Pantalón"/>
    <s v="Negro"/>
    <s v="Levis"/>
    <s v="MER-A0-4780"/>
    <d v="2024-12-23T00:00:00"/>
    <x v="0"/>
    <n v="67.62"/>
    <n v="0.3"/>
    <n v="31.311"/>
    <x v="2"/>
    <s v="No"/>
    <d v="2024-01-05T00:00:00"/>
    <n v="0"/>
  </r>
  <r>
    <s v="DEP-A0-0927"/>
    <x v="0"/>
    <n v="38"/>
    <x v="1"/>
    <s v="Blusa"/>
    <s v="Amarillo"/>
    <s v="Nike"/>
    <s v="MER-A0-0927"/>
    <d v="2024-09-20T00:00:00"/>
    <x v="0"/>
    <n v="52.74"/>
    <n v="0.1"/>
    <n v="32.935000000000002"/>
    <x v="2"/>
    <s v="No"/>
    <d v="2024-09-20T00:00:00"/>
    <n v="0"/>
  </r>
  <r>
    <s v="DEP-A0-1221"/>
    <x v="0"/>
    <n v="41"/>
    <x v="1"/>
    <s v="Camisa"/>
    <s v="Verde"/>
    <s v="Zara"/>
    <s v="MER-A0-1221"/>
    <d v="2024-12-02T00:00:00"/>
    <x v="0"/>
    <n v="60.89"/>
    <n v="0.2"/>
    <n v="34.216000000000001"/>
    <x v="2"/>
    <s v="No"/>
    <d v="2024-12-02T00:00:00"/>
    <n v="0"/>
  </r>
  <r>
    <s v="DEP-A0-3230"/>
    <x v="0"/>
    <n v="62"/>
    <x v="1"/>
    <s v="Chaqueta"/>
    <s v="Rojo"/>
    <s v="Puma"/>
    <s v="MER-A0-3230"/>
    <d v="2024-11-13T00:00:00"/>
    <x v="0"/>
    <n v="63.9"/>
    <n v="0.2"/>
    <n v="39.192999999999998"/>
    <x v="2"/>
    <s v="No"/>
    <d v="2024-11-13T00:00:00"/>
    <n v="0"/>
  </r>
  <r>
    <s v="DEP-A0-1044"/>
    <x v="0"/>
    <n v="45"/>
    <x v="1"/>
    <s v="Blusa"/>
    <s v="Verde"/>
    <s v="Zara"/>
    <s v="MER-A0-1044"/>
    <d v="2024-11-24T00:00:00"/>
    <x v="0"/>
    <n v="73.150000000000006"/>
    <n v="0.3"/>
    <n v="39.319000000000003"/>
    <x v="2"/>
    <s v="No"/>
    <d v="2024-11-24T00:00:00"/>
    <n v="0"/>
  </r>
  <r>
    <s v="DEP-A0-4334"/>
    <x v="0"/>
    <n v="51"/>
    <x v="1"/>
    <s v="Vestido"/>
    <s v="Rojo"/>
    <s v="Levis"/>
    <s v="MER-A0-4334"/>
    <d v="2024-05-20T00:00:00"/>
    <x v="0"/>
    <n v="57.14"/>
    <n v="0.1"/>
    <n v="44.96"/>
    <x v="2"/>
    <s v="No"/>
    <d v="2024-05-20T00:00:00"/>
    <n v="0"/>
  </r>
  <r>
    <s v="DEP-A0-4844"/>
    <x v="1"/>
    <n v="40"/>
    <x v="1"/>
    <s v="Pantalón"/>
    <s v="Blanco"/>
    <s v="Levis"/>
    <s v="MER-A0-4844"/>
    <d v="2024-12-10T00:00:00"/>
    <x v="0"/>
    <n v="57.69"/>
    <n v="0.1"/>
    <n v="46.751999999999995"/>
    <x v="2"/>
    <s v="No"/>
    <d v="2024-12-10T00:00:00"/>
    <n v="0"/>
  </r>
  <r>
    <s v="DEP-A0-4135"/>
    <x v="1"/>
    <n v="40"/>
    <x v="1"/>
    <s v="Chaqueta"/>
    <s v="Rojo"/>
    <s v="Nike"/>
    <s v="MER-A0-4135"/>
    <d v="2024-11-28T00:00:00"/>
    <x v="0"/>
    <n v="75.33"/>
    <n v="0.3"/>
    <n v="50.246000000000002"/>
    <x v="2"/>
    <s v="No"/>
    <d v="2024-07-13T00:00:00"/>
    <n v="0"/>
  </r>
  <r>
    <s v="DEP-A0-2515"/>
    <x v="1"/>
    <n v="65"/>
    <x v="1"/>
    <s v="Chaqueta"/>
    <s v="Rojo"/>
    <s v="Tommy"/>
    <s v="MER-A0-2515"/>
    <d v="2024-02-04T00:00:00"/>
    <x v="0"/>
    <n v="67.400000000000006"/>
    <n v="0.2"/>
    <n v="59.338999999999999"/>
    <x v="2"/>
    <s v="No"/>
    <d v="2024-02-04T00:00:00"/>
    <n v="0"/>
  </r>
  <r>
    <s v="DEP-A0-3586"/>
    <x v="0"/>
    <n v="47"/>
    <x v="1"/>
    <s v="Camisa"/>
    <s v="Negro"/>
    <s v="Mango"/>
    <s v="MER-A0-3586"/>
    <d v="2024-11-28T00:00:00"/>
    <x v="0"/>
    <n v="60.84"/>
    <n v="0.1"/>
    <n v="62.31"/>
    <x v="2"/>
    <s v="No"/>
    <d v="2024-11-28T00:00:00"/>
    <n v="0"/>
  </r>
  <r>
    <s v="DEP-A0-3963"/>
    <x v="0"/>
    <n v="59"/>
    <x v="1"/>
    <s v="Zapatos"/>
    <s v="Blanco"/>
    <s v="Zara"/>
    <s v="MER-A0-3963"/>
    <d v="2024-12-31T00:00:00"/>
    <x v="0"/>
    <n v="60.9"/>
    <n v="0.1"/>
    <n v="62.89"/>
    <x v="2"/>
    <s v="No"/>
    <d v="2024-12-31T00:00:00"/>
    <n v="0"/>
  </r>
  <r>
    <s v="DEP-A0-4937"/>
    <x v="0"/>
    <n v="43"/>
    <x v="1"/>
    <s v="Vestido"/>
    <s v="Amarillo"/>
    <s v="Adidas"/>
    <s v="MER-A0-4937"/>
    <d v="2024-05-29T00:00:00"/>
    <x v="0"/>
    <n v="55.17"/>
    <n v="0"/>
    <n v="63.027000000000001"/>
    <x v="2"/>
    <s v="No"/>
    <d v="2024-05-29T00:00:00"/>
    <n v="0"/>
  </r>
  <r>
    <s v="DEP-A0-1964"/>
    <x v="1"/>
    <n v="48"/>
    <x v="1"/>
    <s v="Pantalón"/>
    <s v="Blanco"/>
    <s v="Tommy"/>
    <s v="MER-A0-1964"/>
    <d v="2024-05-10T00:00:00"/>
    <x v="0"/>
    <n v="62.33"/>
    <n v="0.1"/>
    <n v="74.474999999999994"/>
    <x v="2"/>
    <s v="No"/>
    <d v="2024-05-10T00:00:00"/>
    <n v="0"/>
  </r>
  <r>
    <s v="DEP-A0-1636"/>
    <x v="1"/>
    <n v="44"/>
    <x v="1"/>
    <s v="Pantalón"/>
    <s v="Amarillo"/>
    <s v="Zara"/>
    <s v="MER-A0-1636"/>
    <d v="2024-06-29T00:00:00"/>
    <x v="0"/>
    <n v="56.11"/>
    <n v="0"/>
    <n v="74.637"/>
    <x v="2"/>
    <s v="No"/>
    <d v="2024-06-29T00:00:00"/>
    <n v="0"/>
  </r>
  <r>
    <s v="DEP-A0-0677"/>
    <x v="1"/>
    <n v="53"/>
    <x v="1"/>
    <s v="Chaqueta"/>
    <s v="Negro"/>
    <s v="Mango"/>
    <s v="MER-A0-0677"/>
    <d v="2024-10-24T00:00:00"/>
    <x v="0"/>
    <n v="81.040000000000006"/>
    <n v="0.3"/>
    <n v="82.11"/>
    <x v="2"/>
    <s v="No"/>
    <d v="2024-10-24T00:00:00"/>
    <n v="0"/>
  </r>
  <r>
    <s v="DEP-A0-3556"/>
    <x v="1"/>
    <n v="60"/>
    <x v="1"/>
    <s v="Camisa"/>
    <s v="Amarillo"/>
    <s v="Puma"/>
    <s v="MER-A0-3556"/>
    <d v="2024-12-13T00:00:00"/>
    <x v="0"/>
    <n v="56.83"/>
    <n v="0"/>
    <n v="84.342999999999989"/>
    <x v="2"/>
    <s v="No"/>
    <d v="2024-12-13T00:00:00"/>
    <n v="0"/>
  </r>
  <r>
    <s v="DEP-A0-2901"/>
    <x v="1"/>
    <n v="65"/>
    <x v="1"/>
    <s v="Pantalón"/>
    <s v="Gris"/>
    <s v="Adidas"/>
    <s v="MER-A0-2901"/>
    <d v="2024-02-06T00:00:00"/>
    <x v="0"/>
    <n v="72.31"/>
    <n v="0.2"/>
    <n v="87.641999999999996"/>
    <x v="2"/>
    <s v="No"/>
    <d v="2024-02-06T00:00:00"/>
    <n v="0"/>
  </r>
  <r>
    <s v="DEP-A0-0889"/>
    <x v="0"/>
    <n v="55"/>
    <x v="1"/>
    <s v="Chaqueta"/>
    <s v="Amarillo"/>
    <s v="Mango"/>
    <s v="MER-A0-0889"/>
    <d v="2024-10-04T00:00:00"/>
    <x v="0"/>
    <n v="83.63"/>
    <n v="0.3"/>
    <n v="94.45"/>
    <x v="2"/>
    <s v="No"/>
    <d v="2024-10-04T00:00:00"/>
    <n v="0"/>
  </r>
  <r>
    <s v="DEP-A0-1704"/>
    <x v="0"/>
    <n v="43"/>
    <x v="1"/>
    <s v="Pantalón"/>
    <s v="Gris"/>
    <s v="Levis"/>
    <s v="MER-A0-1704"/>
    <d v="2024-08-21T00:00:00"/>
    <x v="0"/>
    <n v="59.05"/>
    <n v="0"/>
    <n v="95.328000000000003"/>
    <x v="2"/>
    <s v="No"/>
    <d v="2024-08-21T00:00:00"/>
    <n v="0"/>
  </r>
  <r>
    <s v="DEP-A0-0262"/>
    <x v="0"/>
    <n v="62"/>
    <x v="1"/>
    <s v="Chaqueta"/>
    <s v="Amarillo"/>
    <s v="Zara"/>
    <s v="MER-A0-0262"/>
    <d v="2024-06-17T00:00:00"/>
    <x v="0"/>
    <n v="59.87"/>
    <n v="0"/>
    <n v="99.808000000000007"/>
    <x v="2"/>
    <s v="No"/>
    <d v="2024-06-17T00:00:00"/>
    <n v="0"/>
  </r>
  <r>
    <s v="DEP-A0-2149"/>
    <x v="0"/>
    <n v="46"/>
    <x v="1"/>
    <s v="Blusa"/>
    <s v="Blanco"/>
    <s v="Nike"/>
    <s v="MER-A0-2149"/>
    <d v="2024-11-28T00:00:00"/>
    <x v="0"/>
    <n v="88.31"/>
    <n v="0.3"/>
    <n v="114.98"/>
    <x v="2"/>
    <s v="No"/>
    <d v="2024-04-18T00:00:00"/>
    <n v="0"/>
  </r>
  <r>
    <s v="DEP-A0-0216"/>
    <x v="1"/>
    <n v="44"/>
    <x v="1"/>
    <s v="Zapatos"/>
    <s v="Rojo"/>
    <s v="Tommy"/>
    <s v="MER-A0-0216"/>
    <d v="2024-11-28T00:00:00"/>
    <x v="0"/>
    <n v="77.8"/>
    <n v="0.2"/>
    <n v="121.32"/>
    <x v="2"/>
    <s v="No"/>
    <d v="2024-07-08T00:00:00"/>
    <n v="0"/>
  </r>
  <r>
    <s v="DEP-A0-3755"/>
    <x v="0"/>
    <n v="38"/>
    <x v="1"/>
    <s v="Chaqueta"/>
    <s v="Amarillo"/>
    <s v="Adidas"/>
    <s v="MER-A0-3755"/>
    <d v="2024-12-23T00:00:00"/>
    <x v="0"/>
    <n v="69.61"/>
    <n v="0.1"/>
    <n v="127.10699999999999"/>
    <x v="2"/>
    <s v="No"/>
    <d v="2024-01-14T00:00:00"/>
    <n v="0"/>
  </r>
  <r>
    <s v="DEP-A0-0445"/>
    <x v="0"/>
    <n v="45"/>
    <x v="1"/>
    <s v="Vestido"/>
    <s v="Rojo"/>
    <s v="Adidas"/>
    <s v="MER-A0-0445"/>
    <d v="2024-05-08T00:00:00"/>
    <x v="0"/>
    <n v="69.900000000000006"/>
    <n v="0.1"/>
    <n v="130.05599999999998"/>
    <x v="2"/>
    <s v="No"/>
    <d v="2024-05-08T00:00:00"/>
    <n v="0"/>
  </r>
  <r>
    <s v="DEP-A0-1045"/>
    <x v="0"/>
    <n v="60"/>
    <x v="1"/>
    <s v="Zapatos"/>
    <s v="Negro"/>
    <s v="Nike"/>
    <s v="MER-A0-1045"/>
    <d v="2024-12-23T00:00:00"/>
    <x v="0"/>
    <n v="91.62"/>
    <n v="0.3"/>
    <n v="140.83199999999999"/>
    <x v="2"/>
    <s v="No"/>
    <d v="2024-01-01T00:00:00"/>
    <n v="0"/>
  </r>
  <r>
    <s v="DEP-A0-0355"/>
    <x v="0"/>
    <n v="41"/>
    <x v="1"/>
    <s v="Blusa"/>
    <s v="Verde"/>
    <s v="Puma"/>
    <s v="MER-A0-0355"/>
    <d v="2024-05-25T00:00:00"/>
    <x v="0"/>
    <n v="64.14"/>
    <n v="0"/>
    <n v="141.24799999999999"/>
    <x v="2"/>
    <s v="No"/>
    <d v="2024-05-25T00:00:00"/>
    <n v="0"/>
  </r>
  <r>
    <s v="DEP-A0-4747"/>
    <x v="0"/>
    <n v="64"/>
    <x v="1"/>
    <s v="Zapatos"/>
    <s v="Azul"/>
    <s v="Adidas"/>
    <s v="MER-A0-4747"/>
    <d v="2024-12-13T00:00:00"/>
    <x v="0"/>
    <n v="91.75"/>
    <n v="0.3"/>
    <n v="141.26400000000001"/>
    <x v="2"/>
    <s v="No"/>
    <d v="2024-12-13T00:00:00"/>
    <n v="0"/>
  </r>
  <r>
    <s v="DEP-A0-1645"/>
    <x v="0"/>
    <n v="36"/>
    <x v="1"/>
    <s v="Blusa"/>
    <s v="Verde"/>
    <s v="Adidas"/>
    <s v="MER-A0-1645"/>
    <d v="2024-05-12T00:00:00"/>
    <x v="0"/>
    <n v="80.319999999999993"/>
    <n v="0.2"/>
    <n v="144.51"/>
    <x v="2"/>
    <s v="No"/>
    <d v="2024-05-12T00:00:00"/>
    <n v="0"/>
  </r>
  <r>
    <s v="DEP-A0-2355"/>
    <x v="0"/>
    <n v="38"/>
    <x v="1"/>
    <s v="Zapatos"/>
    <s v="Azul"/>
    <s v="Levis"/>
    <s v="MER-A0-2355"/>
    <d v="2024-03-31T00:00:00"/>
    <x v="0"/>
    <n v="80.819999999999993"/>
    <n v="0.2"/>
    <n v="147.19200000000001"/>
    <x v="2"/>
    <s v="No"/>
    <d v="2024-03-31T00:00:00"/>
    <n v="0"/>
  </r>
  <r>
    <s v="DEP-A0-2839"/>
    <x v="0"/>
    <n v="65"/>
    <x v="1"/>
    <s v="Falda"/>
    <s v="Verde"/>
    <s v="Tommy"/>
    <s v="MER-A0-2839"/>
    <d v="2024-12-23T00:00:00"/>
    <x v="0"/>
    <n v="82.33"/>
    <n v="0.2"/>
    <n v="155.63"/>
    <x v="2"/>
    <s v="No"/>
    <d v="2024-01-05T00:00:00"/>
    <n v="0"/>
  </r>
  <r>
    <s v="DEP-A0-1055"/>
    <x v="0"/>
    <n v="49"/>
    <x v="1"/>
    <s v="Blusa"/>
    <s v="Verde"/>
    <s v="Tommy"/>
    <s v="MER-A0-1055"/>
    <d v="2024-11-28T00:00:00"/>
    <x v="0"/>
    <n v="73.31"/>
    <n v="0.1"/>
    <n v="158.24"/>
    <x v="2"/>
    <s v="No"/>
    <d v="2024-07-09T00:00:00"/>
    <n v="0"/>
  </r>
  <r>
    <s v="DEP-A0-4350"/>
    <x v="1"/>
    <n v="61"/>
    <x v="1"/>
    <s v="Zapatos"/>
    <s v="Gris"/>
    <s v="Adidas"/>
    <s v="MER-A0-4350"/>
    <d v="2024-11-28T00:00:00"/>
    <x v="0"/>
    <n v="96.21"/>
    <n v="0.3"/>
    <n v="162.63999999999999"/>
    <x v="2"/>
    <s v="No"/>
    <d v="2024-04-29T00:00:00"/>
    <n v="0"/>
  </r>
  <r>
    <s v="DEP-A0-3054"/>
    <x v="0"/>
    <n v="58"/>
    <x v="1"/>
    <s v="Pantalón"/>
    <s v="Negro"/>
    <s v="Mango"/>
    <s v="MER-A0-3054"/>
    <d v="2024-09-06T00:00:00"/>
    <x v="0"/>
    <n v="67.45"/>
    <n v="0"/>
    <n v="168.66"/>
    <x v="2"/>
    <s v="No"/>
    <d v="2024-09-06T00:00:00"/>
    <n v="0"/>
  </r>
  <r>
    <s v="DEP-A0-1255"/>
    <x v="0"/>
    <n v="47"/>
    <x v="1"/>
    <s v="Vestido"/>
    <s v="Negro"/>
    <s v="Zara"/>
    <s v="MER-A0-1255"/>
    <d v="2024-12-27T00:00:00"/>
    <x v="0"/>
    <n v="75.25"/>
    <n v="0.1"/>
    <n v="197.59"/>
    <x v="2"/>
    <s v="No"/>
    <d v="2024-12-27T00:00:00"/>
    <n v="0"/>
  </r>
  <r>
    <s v="DEP-A0-0289"/>
    <x v="0"/>
    <n v="47"/>
    <x v="1"/>
    <s v="Blusa"/>
    <s v="Amarillo"/>
    <s v="Nike"/>
    <s v="MER-A0-0289"/>
    <d v="2024-02-13T00:00:00"/>
    <x v="0"/>
    <n v="99.37"/>
    <n v="0.3"/>
    <n v="35.909999999999997"/>
    <x v="2"/>
    <s v="No"/>
    <d v="2024-03-17T00:00:00"/>
    <n v="0"/>
  </r>
  <r>
    <s v="DEP-A0-0850"/>
    <x v="0"/>
    <n v="56"/>
    <x v="1"/>
    <s v="Blusa"/>
    <s v="Gris"/>
    <s v="Adidas"/>
    <s v="MER-A0-0850"/>
    <d v="2024-12-30T00:00:00"/>
    <x v="0"/>
    <n v="100.95"/>
    <n v="0.3"/>
    <n v="39.256"/>
    <x v="2"/>
    <s v="No"/>
    <d v="2024-12-30T00:00:00"/>
    <n v="0"/>
  </r>
  <r>
    <s v="DEP-A0-0634"/>
    <x v="0"/>
    <n v="45"/>
    <x v="1"/>
    <s v="Chaqueta"/>
    <s v="Verde"/>
    <s v="Puma"/>
    <s v="MER-A0-0634"/>
    <d v="2024-11-13T00:00:00"/>
    <x v="0"/>
    <n v="71.86"/>
    <n v="0"/>
    <n v="42.456000000000003"/>
    <x v="2"/>
    <s v="No"/>
    <d v="2024-11-13T00:00:00"/>
    <n v="0"/>
  </r>
  <r>
    <s v="DEP-A0-4038"/>
    <x v="1"/>
    <n v="54"/>
    <x v="1"/>
    <s v="Pantalón"/>
    <s v="Blanco"/>
    <s v="Adidas"/>
    <s v="MER-A0-4038"/>
    <d v="2024-08-22T00:00:00"/>
    <x v="0"/>
    <n v="80.709999999999994"/>
    <n v="0.1"/>
    <n v="44.46"/>
    <x v="2"/>
    <s v="No"/>
    <d v="2024-08-22T00:00:00"/>
    <n v="0"/>
  </r>
  <r>
    <s v="DEP-A0-0414"/>
    <x v="0"/>
    <n v="41"/>
    <x v="1"/>
    <s v="Pantalón"/>
    <s v="Verde"/>
    <s v="Adidas"/>
    <s v="MER-A0-0414"/>
    <d v="2024-11-28T00:00:00"/>
    <x v="0"/>
    <n v="90.95"/>
    <n v="0.2"/>
    <n v="44.468999999999994"/>
    <x v="2"/>
    <s v="No"/>
    <d v="2024-07-16T00:00:00"/>
    <n v="0"/>
  </r>
  <r>
    <s v="DEP-A0-2211"/>
    <x v="0"/>
    <n v="57"/>
    <x v="1"/>
    <s v="Falda"/>
    <s v="Rojo"/>
    <s v="Puma"/>
    <s v="MER-A0-2211"/>
    <d v="2024-11-01T00:00:00"/>
    <x v="0"/>
    <n v="91.04"/>
    <n v="0.2"/>
    <n v="45.639000000000003"/>
    <x v="2"/>
    <s v="No"/>
    <d v="2024-11-01T00:00:00"/>
    <n v="0"/>
  </r>
  <r>
    <s v="DEP-A0-1470"/>
    <x v="0"/>
    <n v="48"/>
    <x v="1"/>
    <s v="Vestido"/>
    <s v="Gris"/>
    <s v="Puma"/>
    <s v="MER-A0-1470"/>
    <d v="2024-04-20T00:00:00"/>
    <x v="0"/>
    <n v="81.23"/>
    <n v="0.1"/>
    <n v="45.688999999999993"/>
    <x v="2"/>
    <s v="No"/>
    <d v="2024-04-20T00:00:00"/>
    <n v="0"/>
  </r>
  <r>
    <s v="DEP-A0-4295"/>
    <x v="0"/>
    <n v="42"/>
    <x v="1"/>
    <s v="Falda"/>
    <s v="Azul"/>
    <s v="Mango"/>
    <s v="MER-A0-4295"/>
    <d v="2024-05-10T00:00:00"/>
    <x v="0"/>
    <n v="91.58"/>
    <n v="0.2"/>
    <n v="46.77"/>
    <x v="2"/>
    <s v="No"/>
    <d v="2024-05-10T00:00:00"/>
    <n v="0"/>
  </r>
  <r>
    <s v="DEP-A0-3815"/>
    <x v="0"/>
    <n v="38"/>
    <x v="1"/>
    <s v="Vestido"/>
    <s v="Rojo"/>
    <s v="Mango"/>
    <s v="MER-A0-3815"/>
    <d v="2024-06-24T00:00:00"/>
    <x v="0"/>
    <n v="74.91"/>
    <n v="0"/>
    <n v="49.811999999999998"/>
    <x v="2"/>
    <s v="No"/>
    <d v="2024-06-24T00:00:00"/>
    <n v="0"/>
  </r>
  <r>
    <s v="DEP-A0-3653"/>
    <x v="0"/>
    <n v="52"/>
    <x v="1"/>
    <s v="Zapatos"/>
    <s v="Rojo"/>
    <s v="Mango"/>
    <s v="MER-A0-3653"/>
    <d v="2024-10-31T00:00:00"/>
    <x v="0"/>
    <n v="77.849999999999994"/>
    <n v="0"/>
    <n v="57.408000000000001"/>
    <x v="2"/>
    <s v="No"/>
    <d v="2024-10-31T00:00:00"/>
    <n v="0"/>
  </r>
  <r>
    <s v="DEP-A0-4675"/>
    <x v="0"/>
    <n v="41"/>
    <x v="1"/>
    <s v="Chaqueta"/>
    <s v="Blanco"/>
    <s v="Nike"/>
    <s v="MER-A0-4675"/>
    <d v="2024-08-22T00:00:00"/>
    <x v="0"/>
    <n v="97.57"/>
    <n v="0.2"/>
    <n v="57.57"/>
    <x v="2"/>
    <s v="No"/>
    <d v="2024-08-22T00:00:00"/>
    <n v="0"/>
  </r>
  <r>
    <s v="DEP-A0-4125"/>
    <x v="0"/>
    <n v="62"/>
    <x v="1"/>
    <s v="Blusa"/>
    <s v="Amarillo"/>
    <s v="Adidas"/>
    <s v="MER-A0-4125"/>
    <d v="2024-10-29T00:00:00"/>
    <x v="0"/>
    <n v="97.58"/>
    <n v="0.2"/>
    <n v="58.93"/>
    <x v="2"/>
    <s v="No"/>
    <d v="2024-10-29T00:00:00"/>
    <n v="0"/>
  </r>
  <r>
    <s v="DEP-A0-1289"/>
    <x v="1"/>
    <n v="41"/>
    <x v="1"/>
    <s v="Pantalón"/>
    <s v="Verde"/>
    <s v="Mango"/>
    <s v="MER-A0-1289"/>
    <d v="2024-11-28T00:00:00"/>
    <x v="0"/>
    <n v="87.68"/>
    <n v="0.1"/>
    <n v="59.465000000000003"/>
    <x v="2"/>
    <s v="No"/>
    <d v="2024-07-20T00:00:00"/>
    <n v="0"/>
  </r>
  <r>
    <s v="DEP-A0-0357"/>
    <x v="1"/>
    <n v="60"/>
    <x v="1"/>
    <s v="Chaqueta"/>
    <s v="Amarillo"/>
    <s v="Nike"/>
    <s v="MER-A0-0357"/>
    <d v="2024-02-28T00:00:00"/>
    <x v="0"/>
    <n v="98.65"/>
    <n v="0.2"/>
    <n v="60.63"/>
    <x v="2"/>
    <s v="No"/>
    <d v="2024-02-28T00:00:00"/>
    <n v="0"/>
  </r>
  <r>
    <s v="DEP-A0-2130"/>
    <x v="0"/>
    <n v="43"/>
    <x v="1"/>
    <s v="Falda"/>
    <s v="Amarillo"/>
    <s v="Zara"/>
    <s v="MER-A0-2130"/>
    <d v="2024-11-28T00:00:00"/>
    <x v="0"/>
    <n v="113.81"/>
    <n v="0.3"/>
    <n v="64.372"/>
    <x v="2"/>
    <s v="No"/>
    <d v="2024-04-18T00:00:00"/>
    <n v="0"/>
  </r>
  <r>
    <s v="DEP-A0-0551"/>
    <x v="0"/>
    <n v="61"/>
    <x v="1"/>
    <s v="Vestido"/>
    <s v="Amarillo"/>
    <s v="Adidas"/>
    <s v="MER-A0-0551"/>
    <d v="2024-09-22T00:00:00"/>
    <x v="0"/>
    <n v="100.7"/>
    <n v="0.2"/>
    <n v="68.36"/>
    <x v="2"/>
    <s v="No"/>
    <d v="2024-09-22T00:00:00"/>
    <n v="0"/>
  </r>
  <r>
    <s v="DEP-A0-2786"/>
    <x v="0"/>
    <n v="54"/>
    <x v="1"/>
    <s v="Camisa"/>
    <s v="Blanco"/>
    <s v="Zara"/>
    <s v="MER-A0-2786"/>
    <d v="2024-11-25T00:00:00"/>
    <x v="0"/>
    <n v="82.39"/>
    <n v="0"/>
    <n v="72.332999999999998"/>
    <x v="2"/>
    <s v="No"/>
    <d v="2024-11-25T00:00:00"/>
    <n v="0"/>
  </r>
  <r>
    <s v="DEP-A0-3728"/>
    <x v="0"/>
    <n v="53"/>
    <x v="1"/>
    <s v="Blusa"/>
    <s v="Gris"/>
    <s v="Adidas"/>
    <s v="MER-A0-3728"/>
    <d v="2024-05-08T00:00:00"/>
    <x v="0"/>
    <n v="93.54"/>
    <n v="0.1"/>
    <n v="73.185000000000002"/>
    <x v="2"/>
    <s v="No"/>
    <d v="2024-05-08T00:00:00"/>
    <n v="0"/>
  </r>
  <r>
    <s v="DEP-A0-3829"/>
    <x v="0"/>
    <n v="53"/>
    <x v="1"/>
    <s v="Vestido"/>
    <s v="Azul"/>
    <s v="Adidas"/>
    <s v="MER-A0-3829"/>
    <d v="2024-05-13T00:00:00"/>
    <x v="0"/>
    <n v="93.66"/>
    <n v="0.1"/>
    <n v="73.679999999999993"/>
    <x v="2"/>
    <s v="No"/>
    <d v="2024-05-13T00:00:00"/>
    <n v="0"/>
  </r>
  <r>
    <s v="DEP-A0-4642"/>
    <x v="0"/>
    <n v="47"/>
    <x v="1"/>
    <s v="Blusa"/>
    <s v="Gris"/>
    <s v="Zara"/>
    <s v="MER-A0-4642"/>
    <d v="2024-12-23T00:00:00"/>
    <x v="0"/>
    <n v="106.01"/>
    <n v="0.2"/>
    <n v="76.08"/>
    <x v="2"/>
    <s v="No"/>
    <d v="2024-12-23T00:00:00"/>
    <n v="0"/>
  </r>
  <r>
    <s v="DEP-A0-3857"/>
    <x v="0"/>
    <n v="47"/>
    <x v="1"/>
    <s v="Pantalón"/>
    <s v="Blanco"/>
    <s v="Adidas"/>
    <s v="MER-A0-3857"/>
    <d v="2024-10-22T00:00:00"/>
    <x v="0"/>
    <n v="106.3"/>
    <n v="0.2"/>
    <n v="76.715999999999994"/>
    <x v="2"/>
    <s v="No"/>
    <d v="2024-10-22T00:00:00"/>
    <n v="0"/>
  </r>
  <r>
    <s v="DEP-A0-4257"/>
    <x v="0"/>
    <n v="47"/>
    <x v="1"/>
    <s v="Camisa"/>
    <s v="Amarillo"/>
    <s v="Puma"/>
    <s v="MER-A0-4257"/>
    <d v="2024-05-24T00:00:00"/>
    <x v="0"/>
    <n v="122.83"/>
    <n v="0.3"/>
    <n v="79.900000000000006"/>
    <x v="2"/>
    <s v="No"/>
    <d v="2024-05-24T00:00:00"/>
    <n v="0"/>
  </r>
  <r>
    <s v="DEP-A0-2843"/>
    <x v="1"/>
    <n v="41"/>
    <x v="1"/>
    <s v="Zapatos"/>
    <s v="Rojo"/>
    <s v="Mango"/>
    <s v="MER-A0-2843"/>
    <d v="2024-08-23T00:00:00"/>
    <x v="0"/>
    <n v="123.09"/>
    <n v="0.3"/>
    <n v="80.2"/>
    <x v="2"/>
    <s v="No"/>
    <d v="2024-08-23T00:00:00"/>
    <n v="0"/>
  </r>
  <r>
    <s v="DEP-A0-2586"/>
    <x v="0"/>
    <n v="46"/>
    <x v="1"/>
    <s v="Falda"/>
    <s v="Verde"/>
    <s v="Nike"/>
    <s v="MER-A0-2586"/>
    <d v="2024-11-09T00:00:00"/>
    <x v="0"/>
    <n v="96.43"/>
    <n v="0.1"/>
    <n v="81.162000000000006"/>
    <x v="2"/>
    <s v="No"/>
    <d v="2024-11-09T00:00:00"/>
    <n v="0"/>
  </r>
  <r>
    <s v="DEP-A0-0221"/>
    <x v="0"/>
    <n v="51"/>
    <x v="1"/>
    <s v="Falda"/>
    <s v="Negro"/>
    <s v="Puma"/>
    <s v="MER-A0-0221"/>
    <d v="2024-04-20T00:00:00"/>
    <x v="0"/>
    <n v="123.99"/>
    <n v="0.3"/>
    <n v="81.679999999999993"/>
    <x v="2"/>
    <s v="No"/>
    <d v="2024-04-20T00:00:00"/>
    <n v="0"/>
  </r>
  <r>
    <s v="DEP-A0-4621"/>
    <x v="1"/>
    <n v="40"/>
    <x v="1"/>
    <s v="Chaqueta"/>
    <s v="Rojo"/>
    <s v="Zara"/>
    <s v="MER-A0-4621"/>
    <d v="2024-11-03T00:00:00"/>
    <x v="0"/>
    <n v="90.44"/>
    <n v="0"/>
    <n v="92.492999999999995"/>
    <x v="2"/>
    <s v="No"/>
    <d v="2024-11-03T00:00:00"/>
    <n v="0"/>
  </r>
  <r>
    <s v="DEP-A0-4460"/>
    <x v="0"/>
    <n v="59"/>
    <x v="1"/>
    <s v="Falda"/>
    <s v="Rojo"/>
    <s v="Adidas"/>
    <s v="MER-A0-4460"/>
    <d v="2024-11-28T00:00:00"/>
    <x v="0"/>
    <n v="116.32"/>
    <n v="0.2"/>
    <n v="101.98400000000001"/>
    <x v="2"/>
    <s v="No"/>
    <d v="2024-07-11T00:00:00"/>
    <n v="0"/>
  </r>
  <r>
    <s v="DEP-A0-0406"/>
    <x v="0"/>
    <n v="43"/>
    <x v="1"/>
    <s v="Blusa"/>
    <s v="Azul"/>
    <s v="Levis"/>
    <s v="MER-A0-0406"/>
    <d v="2024-12-09T00:00:00"/>
    <x v="0"/>
    <n v="133.18"/>
    <n v="0.3"/>
    <n v="102.328"/>
    <x v="2"/>
    <s v="No"/>
    <d v="2024-12-09T00:00:00"/>
    <n v="0"/>
  </r>
  <r>
    <s v="DEP-A0-2620"/>
    <x v="0"/>
    <n v="53"/>
    <x v="1"/>
    <s v="Zapatos"/>
    <s v="Amarillo"/>
    <s v="Tommy"/>
    <s v="MER-A0-2620"/>
    <d v="2024-04-20T00:00:00"/>
    <x v="0"/>
    <n v="105.76"/>
    <n v="0.1"/>
    <n v="106.304"/>
    <x v="2"/>
    <s v="No"/>
    <d v="2024-04-20T00:00:00"/>
    <n v="0"/>
  </r>
  <r>
    <s v="DEP-A0-0059"/>
    <x v="1"/>
    <n v="53"/>
    <x v="1"/>
    <s v="Chaqueta"/>
    <s v="Azul"/>
    <s v="Puma"/>
    <s v="MER-A0-0059"/>
    <d v="2024-05-22T00:00:00"/>
    <x v="0"/>
    <n v="136.05000000000001"/>
    <n v="0.3"/>
    <n v="106.37200000000001"/>
    <x v="2"/>
    <s v="No"/>
    <d v="2024-05-22T00:00:00"/>
    <n v="0"/>
  </r>
  <r>
    <s v="DEP-A0-4501"/>
    <x v="1"/>
    <n v="38"/>
    <x v="1"/>
    <s v="Zapatos"/>
    <s v="Azul"/>
    <s v="Nike"/>
    <s v="MER-A0-4501"/>
    <d v="2024-11-14T00:00:00"/>
    <x v="0"/>
    <n v="119.53"/>
    <n v="0.2"/>
    <n v="107.821"/>
    <x v="2"/>
    <s v="No"/>
    <d v="2024-11-14T00:00:00"/>
    <n v="0"/>
  </r>
  <r>
    <s v="DEP-A0-3669"/>
    <x v="0"/>
    <n v="38"/>
    <x v="1"/>
    <s v="Vestido"/>
    <s v="Blanco"/>
    <s v="Tommy"/>
    <s v="MER-A0-3669"/>
    <d v="2024-12-01T00:00:00"/>
    <x v="0"/>
    <n v="108.09"/>
    <n v="0.1"/>
    <n v="113.155"/>
    <x v="2"/>
    <s v="No"/>
    <d v="2024-12-01T00:00:00"/>
    <n v="0"/>
  </r>
  <r>
    <s v="DEP-A0-1978"/>
    <x v="0"/>
    <n v="38"/>
    <x v="1"/>
    <s v="Blusa"/>
    <s v="Azul"/>
    <s v="Puma"/>
    <s v="MER-A0-1978"/>
    <d v="2024-11-28T00:00:00"/>
    <x v="0"/>
    <n v="140.21"/>
    <n v="0.3"/>
    <n v="113.53599999999999"/>
    <x v="2"/>
    <s v="No"/>
    <d v="2024-04-29T00:00:00"/>
    <n v="0"/>
  </r>
  <r>
    <s v="DEP-A0-0668"/>
    <x v="1"/>
    <n v="37"/>
    <x v="1"/>
    <s v="Zapatos"/>
    <s v="Gris"/>
    <s v="Adidas"/>
    <s v="MER-A0-0668"/>
    <d v="2024-08-05T00:00:00"/>
    <x v="0"/>
    <n v="142.09"/>
    <n v="0.3"/>
    <n v="117.98"/>
    <x v="2"/>
    <s v="No"/>
    <d v="2024-08-05T00:00:00"/>
    <n v="0"/>
  </r>
  <r>
    <s v="DEP-A0-4216"/>
    <x v="0"/>
    <n v="57"/>
    <x v="1"/>
    <s v="Camisa"/>
    <s v="Azul"/>
    <s v="Puma"/>
    <s v="MER-A0-4216"/>
    <d v="2024-11-28T00:00:00"/>
    <x v="0"/>
    <n v="100.45"/>
    <n v="0"/>
    <n v="121.86"/>
    <x v="2"/>
    <s v="No"/>
    <d v="2024-07-22T00:00:00"/>
    <n v="0"/>
  </r>
  <r>
    <s v="DEP-A0-1896"/>
    <x v="0"/>
    <n v="55"/>
    <x v="1"/>
    <s v="Blusa"/>
    <s v="Azul"/>
    <s v="Nike"/>
    <s v="MER-A0-1896"/>
    <d v="2024-11-28T00:00:00"/>
    <x v="0"/>
    <n v="144.37"/>
    <n v="0.3"/>
    <n v="123.714"/>
    <x v="2"/>
    <s v="No"/>
    <d v="2024-04-12T00:00:00"/>
    <n v="0"/>
  </r>
  <r>
    <s v="DEP-A0-4098"/>
    <x v="1"/>
    <n v="47"/>
    <x v="1"/>
    <s v="Camisa"/>
    <s v="Blanco"/>
    <s v="Mango"/>
    <s v="MER-A0-4098"/>
    <d v="2024-06-28T00:00:00"/>
    <x v="0"/>
    <n v="127.05"/>
    <n v="0.2"/>
    <n v="125.82900000000001"/>
    <x v="2"/>
    <s v="No"/>
    <d v="2024-06-28T00:00:00"/>
    <n v="0"/>
  </r>
  <r>
    <s v="DEP-A0-4555"/>
    <x v="0"/>
    <n v="54"/>
    <x v="1"/>
    <s v="Zapatos"/>
    <s v="Amarillo"/>
    <s v="Nike"/>
    <s v="MER-A0-4555"/>
    <d v="2024-02-27T00:00:00"/>
    <x v="0"/>
    <n v="147.34"/>
    <n v="0.3"/>
    <n v="129.35300000000001"/>
    <x v="2"/>
    <s v="No"/>
    <d v="2024-02-27T00:00:00"/>
    <n v="0"/>
  </r>
  <r>
    <s v="DEP-A0-2197"/>
    <x v="0"/>
    <n v="49"/>
    <x v="1"/>
    <s v="Blusa"/>
    <s v="Rojo"/>
    <s v="Levis"/>
    <s v="MER-A0-2197"/>
    <d v="2024-11-28T00:00:00"/>
    <x v="0"/>
    <n v="114.8"/>
    <n v="0.1"/>
    <n v="130.30000000000001"/>
    <x v="2"/>
    <s v="No"/>
    <d v="2024-04-12T00:00:00"/>
    <n v="0"/>
  </r>
  <r>
    <s v="DEP-A0-2291"/>
    <x v="0"/>
    <n v="52"/>
    <x v="1"/>
    <s v="Zapatos"/>
    <s v="Rojo"/>
    <s v="Mango"/>
    <s v="MER-A0-2291"/>
    <d v="2024-09-29T00:00:00"/>
    <x v="0"/>
    <n v="104.53"/>
    <n v="0"/>
    <n v="131.43199999999999"/>
    <x v="2"/>
    <s v="No"/>
    <d v="2024-09-29T00:00:00"/>
    <n v="0"/>
  </r>
  <r>
    <s v="DEP-A0-1814"/>
    <x v="0"/>
    <n v="45"/>
    <x v="1"/>
    <s v="Zapatos"/>
    <s v="Gris"/>
    <s v="Adidas"/>
    <s v="MER-A0-1814"/>
    <d v="2024-11-22T00:00:00"/>
    <x v="0"/>
    <n v="150.66"/>
    <n v="0.3"/>
    <n v="133.392"/>
    <x v="2"/>
    <s v="No"/>
    <d v="2024-06-22T00:00:00"/>
    <n v="0"/>
  </r>
  <r>
    <s v="DEP-A0-4485"/>
    <x v="0"/>
    <n v="56"/>
    <x v="1"/>
    <s v="Vestido"/>
    <s v="Negro"/>
    <s v="Zara"/>
    <s v="MER-A0-4485"/>
    <d v="2024-11-16T00:00:00"/>
    <x v="0"/>
    <n v="131.99"/>
    <n v="0.2"/>
    <n v="133.75200000000001"/>
    <x v="2"/>
    <s v="No"/>
    <d v="2024-11-16T00:00:00"/>
    <n v="0"/>
  </r>
  <r>
    <s v="DEP-A0-3140"/>
    <x v="0"/>
    <n v="39"/>
    <x v="1"/>
    <s v="Camisa"/>
    <s v="Azul"/>
    <s v="Levis"/>
    <s v="MER-A0-3140"/>
    <d v="2024-06-16T00:00:00"/>
    <x v="0"/>
    <n v="132.99"/>
    <n v="0.2"/>
    <n v="134.57499999999999"/>
    <x v="2"/>
    <s v="No"/>
    <d v="2024-06-16T00:00:00"/>
    <n v="0"/>
  </r>
  <r>
    <s v="DEP-A0-3830"/>
    <x v="1"/>
    <n v="65"/>
    <x v="1"/>
    <s v="Pantalón"/>
    <s v="Negro"/>
    <s v="Mango"/>
    <s v="MER-A0-3830"/>
    <d v="2024-04-19T00:00:00"/>
    <x v="0"/>
    <n v="133.87"/>
    <n v="0.2"/>
    <n v="138.654"/>
    <x v="2"/>
    <s v="No"/>
    <d v="2024-04-19T00:00:00"/>
    <n v="0"/>
  </r>
  <r>
    <s v="DEP-A0-1099"/>
    <x v="0"/>
    <n v="58"/>
    <x v="1"/>
    <s v="Chaqueta"/>
    <s v="Gris"/>
    <s v="Levis"/>
    <s v="MER-A0-1099"/>
    <d v="2024-02-03T00:00:00"/>
    <x v="0"/>
    <n v="107.36"/>
    <n v="0"/>
    <n v="139.554"/>
    <x v="2"/>
    <s v="No"/>
    <d v="2024-02-03T00:00:00"/>
    <n v="0"/>
  </r>
  <r>
    <s v="DEP-A0-0502"/>
    <x v="0"/>
    <n v="51"/>
    <x v="1"/>
    <s v="Camisa"/>
    <s v="Amarillo"/>
    <s v="Adidas"/>
    <s v="MER-A0-0502"/>
    <d v="2024-09-20T00:00:00"/>
    <x v="0"/>
    <n v="121.54"/>
    <n v="0.1"/>
    <n v="144.01"/>
    <x v="2"/>
    <s v="No"/>
    <d v="2024-09-20T00:00:00"/>
    <n v="0"/>
  </r>
  <r>
    <s v="DEP-A0-2874"/>
    <x v="0"/>
    <n v="41"/>
    <x v="1"/>
    <s v="Chaqueta"/>
    <s v="Blanco"/>
    <s v="Nike"/>
    <s v="MER-A0-2874"/>
    <d v="2024-05-13T00:00:00"/>
    <x v="0"/>
    <n v="109.49"/>
    <n v="0"/>
    <n v="144.67500000000001"/>
    <x v="2"/>
    <s v="No"/>
    <d v="2024-05-13T00:00:00"/>
    <n v="0"/>
  </r>
  <r>
    <s v="DEP-A0-1362"/>
    <x v="0"/>
    <n v="52"/>
    <x v="1"/>
    <s v="Camisa"/>
    <s v="Azul"/>
    <s v="Levis"/>
    <s v="MER-A0-1362"/>
    <d v="2024-05-16T00:00:00"/>
    <x v="0"/>
    <n v="136.88"/>
    <n v="0.2"/>
    <n v="145.608"/>
    <x v="2"/>
    <s v="No"/>
    <d v="2024-05-16T00:00:00"/>
    <n v="0"/>
  </r>
  <r>
    <s v="DEP-A0-0736"/>
    <x v="1"/>
    <n v="38"/>
    <x v="1"/>
    <s v="Pantalón"/>
    <s v="Negro"/>
    <s v="Puma"/>
    <s v="MER-A0-0736"/>
    <d v="2024-12-18T00:00:00"/>
    <x v="0"/>
    <n v="109.65"/>
    <n v="0"/>
    <n v="146.15099999999998"/>
    <x v="2"/>
    <s v="No"/>
    <d v="2024-12-18T00:00:00"/>
    <n v="0"/>
  </r>
  <r>
    <s v="DEP-A0-0215"/>
    <x v="1"/>
    <n v="54"/>
    <x v="1"/>
    <s v="Pantalón"/>
    <s v="Verde"/>
    <s v="Levis"/>
    <s v="MER-A0-0215"/>
    <d v="2024-03-30T00:00:00"/>
    <x v="0"/>
    <n v="157.25"/>
    <n v="0.3"/>
    <n v="147.072"/>
    <x v="2"/>
    <s v="No"/>
    <d v="2024-03-30T00:00:00"/>
    <n v="0"/>
  </r>
  <r>
    <s v="DEP-A0-2307"/>
    <x v="0"/>
    <n v="50"/>
    <x v="1"/>
    <s v="Falda"/>
    <s v="Rojo"/>
    <s v="Mango"/>
    <s v="MER-A0-2307"/>
    <d v="2024-03-01T00:00:00"/>
    <x v="0"/>
    <n v="138.11000000000001"/>
    <n v="0.2"/>
    <n v="151.62299999999999"/>
    <x v="2"/>
    <s v="No"/>
    <d v="2024-03-01T00:00:00"/>
    <n v="0"/>
  </r>
  <r>
    <s v="DEP-A0-2877"/>
    <x v="1"/>
    <n v="56"/>
    <x v="1"/>
    <s v="Pantalón"/>
    <s v="Azul"/>
    <s v="Puma"/>
    <s v="MER-A0-2877"/>
    <d v="2024-02-08T00:00:00"/>
    <x v="0"/>
    <n v="139.51"/>
    <n v="0.2"/>
    <n v="155.34399999999999"/>
    <x v="2"/>
    <s v="No"/>
    <d v="2024-02-08T00:00:00"/>
    <n v="0"/>
  </r>
  <r>
    <s v="DEP-A0-2367"/>
    <x v="0"/>
    <n v="63"/>
    <x v="1"/>
    <s v="Blusa"/>
    <s v="Verde"/>
    <s v="Puma"/>
    <s v="MER-A0-2367"/>
    <d v="2024-11-22T00:00:00"/>
    <x v="0"/>
    <n v="112.13"/>
    <n v="0"/>
    <n v="156.80699999999999"/>
    <x v="2"/>
    <s v="No"/>
    <d v="2024-06-19T00:00:00"/>
    <n v="0"/>
  </r>
  <r>
    <s v="DEP-A0-0897"/>
    <x v="0"/>
    <n v="51"/>
    <x v="1"/>
    <s v="Pantalón"/>
    <s v="Verde"/>
    <s v="Puma"/>
    <s v="MER-A0-0897"/>
    <d v="2024-09-28T00:00:00"/>
    <x v="0"/>
    <n v="126.04"/>
    <n v="0.1"/>
    <n v="159.58799999999999"/>
    <x v="2"/>
    <s v="No"/>
    <d v="2024-09-28T00:00:00"/>
    <n v="0"/>
  </r>
  <r>
    <s v="DEP-A0-3849"/>
    <x v="0"/>
    <n v="43"/>
    <x v="1"/>
    <s v="Camisa"/>
    <s v="Rojo"/>
    <s v="Tommy"/>
    <s v="MER-A0-3849"/>
    <d v="2024-05-21T00:00:00"/>
    <x v="0"/>
    <n v="127.06"/>
    <n v="0.1"/>
    <n v="162.56"/>
    <x v="2"/>
    <s v="No"/>
    <d v="2024-05-21T00:00:00"/>
    <n v="0"/>
  </r>
  <r>
    <s v="DEP-A0-2316"/>
    <x v="0"/>
    <n v="52"/>
    <x v="1"/>
    <s v="Zapatos"/>
    <s v="Amarillo"/>
    <s v="Nike"/>
    <s v="MER-A0-2316"/>
    <d v="2024-11-02T00:00:00"/>
    <x v="0"/>
    <n v="167.17"/>
    <n v="0.3"/>
    <n v="191.55"/>
    <x v="2"/>
    <s v="No"/>
    <d v="2024-11-02T00:00:00"/>
    <n v="0"/>
  </r>
  <r>
    <s v="DEP-A0-2336"/>
    <x v="0"/>
    <n v="51"/>
    <x v="1"/>
    <s v="Zapatos"/>
    <s v="Gris"/>
    <s v="Levis"/>
    <s v="MER-A0-2336"/>
    <d v="2024-02-12T00:00:00"/>
    <x v="0"/>
    <n v="167.69"/>
    <n v="0.3"/>
    <n v="196.73"/>
    <x v="2"/>
    <s v="No"/>
    <d v="2024-02-12T00:00:00"/>
    <n v="0"/>
  </r>
  <r>
    <s v="DEP-A0-1157"/>
    <x v="1"/>
    <n v="61"/>
    <x v="1"/>
    <s v="Camisa"/>
    <s v="Amarillo"/>
    <s v="Adidas"/>
    <s v="MER-A0-1157"/>
    <d v="2024-06-28T00:00:00"/>
    <x v="0"/>
    <n v="170.14"/>
    <n v="0.3"/>
    <n v="79.415999999999997"/>
    <x v="2"/>
    <s v="No"/>
    <d v="2024-06-28T00:00:00"/>
    <n v="0"/>
  </r>
  <r>
    <s v="DEP-A0-0156"/>
    <x v="0"/>
    <n v="48"/>
    <x v="1"/>
    <s v="Falda"/>
    <s v="Rojo"/>
    <s v="Nike"/>
    <s v="MER-A0-0156"/>
    <d v="2024-10-30T00:00:00"/>
    <x v="0"/>
    <n v="133.82"/>
    <n v="0.1"/>
    <n v="151.26"/>
    <x v="2"/>
    <s v="No"/>
    <d v="2024-10-30T00:00:00"/>
    <n v="0"/>
  </r>
  <r>
    <s v="DEP-A0-1316"/>
    <x v="0"/>
    <n v="56"/>
    <x v="1"/>
    <s v="Vestido"/>
    <s v="Negro"/>
    <s v="Nike"/>
    <s v="MER-A0-1316"/>
    <d v="2024-06-29T00:00:00"/>
    <x v="0"/>
    <n v="173.98"/>
    <n v="0.3"/>
    <n v="40.369"/>
    <x v="2"/>
    <s v="No"/>
    <d v="2024-06-29T00:00:00"/>
    <n v="0"/>
  </r>
  <r>
    <s v="DEP-A0-0293"/>
    <x v="0"/>
    <n v="65"/>
    <x v="1"/>
    <s v="Blusa"/>
    <s v="Azul"/>
    <s v="Tommy"/>
    <s v="MER-A0-0293"/>
    <d v="2024-02-13T00:00:00"/>
    <x v="0"/>
    <n v="153.19"/>
    <n v="0.2"/>
    <n v="93.703999999999994"/>
    <x v="2"/>
    <s v="No"/>
    <d v="2024-03-16T00:00:00"/>
    <n v="0"/>
  </r>
  <r>
    <s v="DEP-A0-3664"/>
    <x v="0"/>
    <n v="45"/>
    <x v="1"/>
    <s v="Zapatos"/>
    <s v="Verde"/>
    <s v="Zara"/>
    <s v="MER-A0-3664"/>
    <d v="2024-09-20T00:00:00"/>
    <x v="0"/>
    <n v="154.16999999999999"/>
    <n v="0.2"/>
    <n v="8.9110000000000014"/>
    <x v="2"/>
    <s v="No"/>
    <d v="2024-09-20T00:00:00"/>
    <n v="0"/>
  </r>
  <r>
    <s v="DEP-A0-2966"/>
    <x v="0"/>
    <n v="41"/>
    <x v="1"/>
    <s v="Falda"/>
    <s v="Verde"/>
    <s v="Zara"/>
    <s v="MER-A0-2966"/>
    <d v="2024-11-10T00:00:00"/>
    <x v="0"/>
    <n v="156.28"/>
    <n v="0.2"/>
    <n v="31.184999999999999"/>
    <x v="2"/>
    <s v="No"/>
    <d v="2024-11-10T00:00:00"/>
    <n v="0"/>
  </r>
  <r>
    <s v="DEP-A0-1729"/>
    <x v="0"/>
    <n v="36"/>
    <x v="1"/>
    <s v="Vestido"/>
    <s v="Gris"/>
    <s v="Zara"/>
    <s v="MER-A0-1729"/>
    <d v="2024-05-17T00:00:00"/>
    <x v="0"/>
    <n v="181.31"/>
    <n v="0.3"/>
    <n v="119.3"/>
    <x v="2"/>
    <s v="No"/>
    <d v="2024-05-17T00:00:00"/>
    <n v="0"/>
  </r>
  <r>
    <s v="DEP-A0-3090"/>
    <x v="0"/>
    <n v="63"/>
    <x v="1"/>
    <s v="Falda"/>
    <s v="Gris"/>
    <s v="Adidas"/>
    <s v="MER-A0-3090"/>
    <d v="2024-03-02T00:00:00"/>
    <x v="0"/>
    <n v="181.46"/>
    <n v="0.3"/>
    <n v="111.645"/>
    <x v="2"/>
    <s v="No"/>
    <d v="2024-03-02T00:00:00"/>
    <n v="0"/>
  </r>
  <r>
    <s v="DEP-A0-3504"/>
    <x v="1"/>
    <n v="54"/>
    <x v="1"/>
    <s v="Camisa"/>
    <s v="Verde"/>
    <s v="Tommy"/>
    <s v="MER-A0-3504"/>
    <d v="2024-10-24T00:00:00"/>
    <x v="0"/>
    <n v="141.38"/>
    <n v="0.1"/>
    <n v="110.91499999999999"/>
    <x v="2"/>
    <s v="No"/>
    <d v="2024-10-24T00:00:00"/>
    <n v="0"/>
  </r>
  <r>
    <s v="DEP-A0-3479"/>
    <x v="1"/>
    <n v="57"/>
    <x v="1"/>
    <s v="Zapatos"/>
    <s v="Amarillo"/>
    <s v="Tommy"/>
    <s v="MER-A0-3479"/>
    <d v="2024-12-31T00:00:00"/>
    <x v="0"/>
    <n v="185.55"/>
    <n v="0.3"/>
    <n v="114.5"/>
    <x v="2"/>
    <s v="No"/>
    <d v="2024-12-31T00:00:00"/>
    <n v="0"/>
  </r>
  <r>
    <s v="DEP-A0-3948"/>
    <x v="0"/>
    <n v="53"/>
    <x v="1"/>
    <s v="Chaqueta"/>
    <s v="Rojo"/>
    <s v="Adidas"/>
    <s v="MER-A0-3948"/>
    <d v="2024-11-27T00:00:00"/>
    <x v="0"/>
    <n v="129.91999999999999"/>
    <n v="0"/>
    <n v="17.05"/>
    <x v="2"/>
    <s v="No"/>
    <d v="2024-11-27T00:00:00"/>
    <n v="0"/>
  </r>
  <r>
    <s v="DEP-A0-4839"/>
    <x v="0"/>
    <n v="60"/>
    <x v="1"/>
    <s v="Pantalón"/>
    <s v="Amarillo"/>
    <s v="Tommy"/>
    <s v="MER-A0-4839"/>
    <d v="2024-10-17T00:00:00"/>
    <x v="0"/>
    <n v="162.87"/>
    <n v="0.2"/>
    <n v="37.093000000000004"/>
    <x v="2"/>
    <s v="No"/>
    <d v="2024-10-17T00:00:00"/>
    <n v="0"/>
  </r>
  <r>
    <s v="DEP-A0-2880"/>
    <x v="1"/>
    <n v="55"/>
    <x v="1"/>
    <s v="Chaqueta"/>
    <s v="Blanco"/>
    <s v="Zara"/>
    <s v="MER-A0-2880"/>
    <d v="2024-05-16T00:00:00"/>
    <x v="0"/>
    <n v="188.94"/>
    <n v="0.3"/>
    <n v="106.50399999999999"/>
    <x v="2"/>
    <s v="No"/>
    <d v="2024-05-16T00:00:00"/>
    <n v="0"/>
  </r>
  <r>
    <s v="DEP-A0-4975"/>
    <x v="0"/>
    <n v="38"/>
    <x v="1"/>
    <s v="Vestido"/>
    <s v="Verde"/>
    <s v="Nike"/>
    <s v="MER-A0-4975"/>
    <d v="2024-08-05T00:00:00"/>
    <x v="0"/>
    <n v="167.07"/>
    <n v="0.2"/>
    <n v="8.0400000000000009"/>
    <x v="2"/>
    <s v="No"/>
    <d v="2024-08-05T00:00:00"/>
    <n v="0"/>
  </r>
  <r>
    <s v="DEP-A0-0847"/>
    <x v="0"/>
    <n v="60"/>
    <x v="1"/>
    <s v="Pantalón"/>
    <s v="Negro"/>
    <s v="Nike"/>
    <s v="MER-A0-0847"/>
    <d v="2024-12-23T00:00:00"/>
    <x v="0"/>
    <n v="191.78"/>
    <n v="0.3"/>
    <n v="69.447000000000003"/>
    <x v="2"/>
    <s v="No"/>
    <d v="2024-12-23T00:00:00"/>
    <n v="0"/>
  </r>
  <r>
    <s v="DEP-A0-3534"/>
    <x v="1"/>
    <n v="64"/>
    <x v="1"/>
    <s v="Zapatos"/>
    <s v="Amarillo"/>
    <s v="Tommy"/>
    <s v="MER-A0-3534"/>
    <d v="2024-11-22T00:00:00"/>
    <x v="0"/>
    <n v="149.96"/>
    <n v="0.1"/>
    <n v="11.824"/>
    <x v="2"/>
    <s v="No"/>
    <d v="2024-06-22T00:00:00"/>
    <n v="0"/>
  </r>
  <r>
    <s v="DEP-A0-4640"/>
    <x v="0"/>
    <n v="45"/>
    <x v="1"/>
    <s v="Vestido"/>
    <s v="Gris"/>
    <s v="Levis"/>
    <s v="MER-A0-4640"/>
    <d v="2024-05-26T00:00:00"/>
    <x v="0"/>
    <n v="170.19"/>
    <n v="0.2"/>
    <n v="94.310999999999993"/>
    <x v="2"/>
    <s v="No"/>
    <d v="2024-05-26T00:00:00"/>
    <n v="0"/>
  </r>
  <r>
    <s v="DEP-A0-0345"/>
    <x v="0"/>
    <n v="46"/>
    <x v="1"/>
    <s v="Vestido"/>
    <s v="Amarillo"/>
    <s v="Tommy"/>
    <s v="MER-A0-0345"/>
    <d v="2024-11-22T00:00:00"/>
    <x v="0"/>
    <n v="170.23"/>
    <n v="0.2"/>
    <n v="124.533"/>
    <x v="2"/>
    <s v="No"/>
    <d v="2024-06-27T00:00:00"/>
    <n v="0"/>
  </r>
  <r>
    <s v="DEP-A0-4845"/>
    <x v="0"/>
    <n v="57"/>
    <x v="1"/>
    <s v="Vestido"/>
    <s v="Negro"/>
    <s v="Puma"/>
    <s v="MER-A0-4845"/>
    <d v="2024-11-22T00:00:00"/>
    <x v="0"/>
    <n v="170.51"/>
    <n v="0.2"/>
    <n v="144.648"/>
    <x v="2"/>
    <s v="No"/>
    <d v="2024-11-22T00:00:00"/>
    <n v="0"/>
  </r>
  <r>
    <s v="DEP-A0-2261"/>
    <x v="0"/>
    <n v="46"/>
    <x v="1"/>
    <s v="Vestido"/>
    <s v="Azul"/>
    <s v="Levis"/>
    <s v="MER-A0-2261"/>
    <d v="2024-03-01T00:00:00"/>
    <x v="0"/>
    <n v="195.03"/>
    <n v="0.3"/>
    <n v="115.108"/>
    <x v="2"/>
    <s v="No"/>
    <d v="2024-03-01T00:00:00"/>
    <n v="0"/>
  </r>
  <r>
    <s v="DEP-A0-2082"/>
    <x v="0"/>
    <n v="57"/>
    <x v="1"/>
    <s v="Chaqueta"/>
    <s v="Gris"/>
    <s v="Zara"/>
    <s v="MER-A0-2082"/>
    <d v="2024-12-22T00:00:00"/>
    <x v="0"/>
    <n v="152.75"/>
    <n v="0.1"/>
    <n v="169.875"/>
    <x v="2"/>
    <s v="No"/>
    <d v="2024-12-22T00:00:00"/>
    <n v="0"/>
  </r>
  <r>
    <s v="DEP-A0-1759"/>
    <x v="0"/>
    <n v="59"/>
    <x v="1"/>
    <s v="Vestido"/>
    <s v="Negro"/>
    <s v="Tommy"/>
    <s v="MER-A0-1759"/>
    <d v="2024-12-24T00:00:00"/>
    <x v="0"/>
    <n v="172.06"/>
    <n v="0.2"/>
    <n v="13.573"/>
    <x v="2"/>
    <s v="No"/>
    <d v="2024-12-24T00:00:00"/>
    <n v="0"/>
  </r>
  <r>
    <s v="DEP-A0-4977"/>
    <x v="0"/>
    <n v="63"/>
    <x v="1"/>
    <s v="Zapatos"/>
    <s v="Amarillo"/>
    <s v="Zara"/>
    <s v="MER-A0-4977"/>
    <d v="2024-02-07T00:00:00"/>
    <x v="0"/>
    <n v="153.19999999999999"/>
    <n v="0.1"/>
    <n v="27.811"/>
    <x v="2"/>
    <s v="No"/>
    <d v="2024-02-07T00:00:00"/>
    <n v="0"/>
  </r>
  <r>
    <s v="DEP-A0-0303"/>
    <x v="0"/>
    <n v="62"/>
    <x v="1"/>
    <s v="Zapatos"/>
    <s v="Blanco"/>
    <s v="Adidas"/>
    <s v="MER-A0-0303"/>
    <d v="2024-05-24T00:00:00"/>
    <x v="0"/>
    <n v="173.26"/>
    <n v="0.2"/>
    <n v="70.616"/>
    <x v="2"/>
    <s v="No"/>
    <d v="2024-05-24T00:00:00"/>
    <n v="0"/>
  </r>
  <r>
    <s v="DEP-A0-2412"/>
    <x v="0"/>
    <n v="59"/>
    <x v="1"/>
    <s v="Camisa"/>
    <s v="Blanco"/>
    <s v="Tommy"/>
    <s v="MER-A0-2412"/>
    <d v="2024-11-04T00:00:00"/>
    <x v="0"/>
    <n v="198.43"/>
    <n v="0.3"/>
    <n v="143.96"/>
    <x v="2"/>
    <s v="No"/>
    <d v="2024-11-04T00:00:00"/>
    <n v="0"/>
  </r>
  <r>
    <s v="DEP-A0-1773"/>
    <x v="0"/>
    <n v="37"/>
    <x v="1"/>
    <s v="Vestido"/>
    <s v="Blanco"/>
    <s v="Puma"/>
    <s v="MER-A0-1773"/>
    <d v="2024-09-25T00:00:00"/>
    <x v="0"/>
    <n v="174.56"/>
    <n v="0.2"/>
    <n v="121.28"/>
    <x v="2"/>
    <s v="No"/>
    <d v="2024-09-25T00:00:00"/>
    <n v="0"/>
  </r>
  <r>
    <s v="DEP-A0-0561"/>
    <x v="1"/>
    <n v="47"/>
    <x v="1"/>
    <s v="Camisa"/>
    <s v="Negro"/>
    <s v="Levis"/>
    <s v="MER-A0-0561"/>
    <d v="2024-12-23T00:00:00"/>
    <x v="0"/>
    <n v="176.7"/>
    <n v="0.2"/>
    <n v="64.144000000000005"/>
    <x v="2"/>
    <s v="No"/>
    <d v="2024-12-23T00:00:00"/>
    <n v="0"/>
  </r>
  <r>
    <s v="DEP-A0-2748"/>
    <x v="0"/>
    <n v="43"/>
    <x v="1"/>
    <s v="Falda"/>
    <s v="Verde"/>
    <s v="Nike"/>
    <s v="MER-A0-2748"/>
    <d v="2024-04-03T00:00:00"/>
    <x v="0"/>
    <n v="183.01"/>
    <n v="0.2"/>
    <n v="19.456"/>
    <x v="2"/>
    <s v="No"/>
    <d v="2024-04-03T00:00:00"/>
    <n v="0"/>
  </r>
  <r>
    <s v="DEP-A0-1764"/>
    <x v="0"/>
    <n v="64"/>
    <x v="1"/>
    <s v="Blusa"/>
    <s v="Blanco"/>
    <s v="Levis"/>
    <s v="MER-A0-1764"/>
    <d v="2024-12-12T00:00:00"/>
    <x v="0"/>
    <n v="183.59"/>
    <n v="0.2"/>
    <n v="69.992999999999995"/>
    <x v="2"/>
    <s v="No"/>
    <d v="2024-12-12T00:00:00"/>
    <n v="0"/>
  </r>
  <r>
    <s v="DEP-A0-2719"/>
    <x v="0"/>
    <n v="46"/>
    <x v="1"/>
    <s v="Chaqueta"/>
    <s v="Blanco"/>
    <s v="Adidas"/>
    <s v="MER-A0-2719"/>
    <d v="2024-05-26T00:00:00"/>
    <x v="0"/>
    <n v="147.55000000000001"/>
    <n v="0"/>
    <n v="70.734999999999999"/>
    <x v="2"/>
    <s v="No"/>
    <d v="2024-05-26T00:00:00"/>
    <n v="0"/>
  </r>
  <r>
    <s v="DEP-A0-0834"/>
    <x v="1"/>
    <n v="39"/>
    <x v="1"/>
    <s v="Zapatos"/>
    <s v="Verde"/>
    <s v="Levis"/>
    <s v="MER-A0-0834"/>
    <d v="2024-12-23T00:00:00"/>
    <x v="0"/>
    <n v="148.63"/>
    <n v="0"/>
    <n v="97.881"/>
    <x v="2"/>
    <s v="No"/>
    <d v="2024-01-15T00:00:00"/>
    <n v="0"/>
  </r>
  <r>
    <s v="DEP-A0-0754"/>
    <x v="0"/>
    <n v="36"/>
    <x v="1"/>
    <s v="Vestido"/>
    <s v="Gris"/>
    <s v="Adidas"/>
    <s v="MER-A0-0754"/>
    <d v="2024-10-28T00:00:00"/>
    <x v="0"/>
    <n v="149.47999999999999"/>
    <n v="0"/>
    <n v="152.27099999999999"/>
    <x v="2"/>
    <s v="No"/>
    <d v="2024-10-28T00:00:00"/>
    <n v="0"/>
  </r>
  <r>
    <s v="DEP-A0-1050"/>
    <x v="0"/>
    <n v="39"/>
    <x v="1"/>
    <s v="Vestido"/>
    <s v="Negro"/>
    <s v="Zara"/>
    <s v="MER-A0-1050"/>
    <d v="2024-07-03T00:00:00"/>
    <x v="0"/>
    <n v="149.88"/>
    <n v="0"/>
    <n v="82.691000000000003"/>
    <x v="2"/>
    <s v="No"/>
    <d v="2024-07-03T00:00:00"/>
    <n v="0"/>
  </r>
  <r>
    <s v="DEP-A0-4196"/>
    <x v="1"/>
    <n v="37"/>
    <x v="1"/>
    <s v="Pantalón"/>
    <s v="Blanco"/>
    <s v="Puma"/>
    <s v="MER-A0-4196"/>
    <d v="2024-10-23T00:00:00"/>
    <x v="0"/>
    <n v="167.09"/>
    <n v="0.1"/>
    <n v="87.12"/>
    <x v="2"/>
    <s v="No"/>
    <d v="2024-10-23T00:00:00"/>
    <n v="0"/>
  </r>
  <r>
    <s v="DEP-A0-0952"/>
    <x v="0"/>
    <n v="53"/>
    <x v="1"/>
    <s v="Camisa"/>
    <s v="Gris"/>
    <s v="Nike"/>
    <s v="MER-A0-0952"/>
    <d v="2024-02-03T00:00:00"/>
    <x v="0"/>
    <n v="188.1"/>
    <n v="0.2"/>
    <n v="137.60599999999999"/>
    <x v="2"/>
    <s v="No"/>
    <d v="2024-02-03T00:00:00"/>
    <n v="0"/>
  </r>
  <r>
    <s v="DEP-A0-4419"/>
    <x v="0"/>
    <n v="39"/>
    <x v="1"/>
    <s v="Falda"/>
    <s v="Gris"/>
    <s v="Levis"/>
    <s v="MER-A0-4419"/>
    <d v="2024-11-28T00:00:00"/>
    <x v="0"/>
    <n v="168.92"/>
    <n v="0.1"/>
    <n v="97.864000000000004"/>
    <x v="2"/>
    <s v="No"/>
    <d v="2024-07-22T00:00:00"/>
    <n v="0"/>
  </r>
  <r>
    <s v="DEP-A0-0135"/>
    <x v="1"/>
    <n v="56"/>
    <x v="1"/>
    <s v="Zapatos"/>
    <s v="Azul"/>
    <s v="Puma"/>
    <s v="MER-A0-0135"/>
    <d v="2024-12-14T00:00:00"/>
    <x v="0"/>
    <n v="153.97999999999999"/>
    <n v="0"/>
    <n v="113.35"/>
    <x v="2"/>
    <s v="No"/>
    <d v="2024-12-14T00:00:00"/>
    <n v="0"/>
  </r>
  <r>
    <s v="DEP-A0-0006"/>
    <x v="0"/>
    <n v="50"/>
    <x v="1"/>
    <s v="Blusa"/>
    <s v="Negro"/>
    <s v="Zara"/>
    <s v="MER-A0-0006"/>
    <d v="2024-12-26T00:00:00"/>
    <x v="0"/>
    <n v="176.89"/>
    <n v="0.1"/>
    <n v="11.13"/>
    <x v="2"/>
    <s v="No"/>
    <d v="2024-12-26T00:00:00"/>
    <n v="0"/>
  </r>
  <r>
    <s v="DEP-A0-4249"/>
    <x v="0"/>
    <n v="57"/>
    <x v="1"/>
    <s v="Pantalón"/>
    <s v="Rojo"/>
    <s v="Mango"/>
    <s v="MER-A0-4249"/>
    <d v="2024-04-21T00:00:00"/>
    <x v="0"/>
    <n v="163.02000000000001"/>
    <n v="0"/>
    <n v="86.36"/>
    <x v="2"/>
    <s v="No"/>
    <d v="2024-04-21T00:00:00"/>
    <n v="0"/>
  </r>
  <r>
    <s v="DEP-A0-0425"/>
    <x v="1"/>
    <n v="42"/>
    <x v="1"/>
    <s v="Chaqueta"/>
    <s v="Azul"/>
    <s v="Tommy"/>
    <s v="MER-A0-0425"/>
    <d v="2024-12-23T00:00:00"/>
    <x v="0"/>
    <n v="181.74"/>
    <n v="0.1"/>
    <n v="138.4"/>
    <x v="2"/>
    <s v="No"/>
    <d v="2024-01-12T00:00:00"/>
    <n v="0"/>
  </r>
  <r>
    <s v="DEP-A0-1960"/>
    <x v="0"/>
    <n v="44"/>
    <x v="1"/>
    <s v="Falda"/>
    <s v="Negro"/>
    <s v="Levis"/>
    <s v="MER-A0-1960"/>
    <d v="2024-09-20T00:00:00"/>
    <x v="0"/>
    <n v="185.81"/>
    <n v="0.1"/>
    <n v="61.478999999999999"/>
    <x v="2"/>
    <s v="No"/>
    <d v="2024-09-20T00:00:00"/>
    <n v="0"/>
  </r>
  <r>
    <s v="DEP-A0-2333"/>
    <x v="0"/>
    <n v="46"/>
    <x v="1"/>
    <s v="Zapatos"/>
    <s v="Blanco"/>
    <s v="Mango"/>
    <s v="MER-A0-2333"/>
    <d v="2024-11-28T00:00:00"/>
    <x v="0"/>
    <n v="187.44"/>
    <n v="0.1"/>
    <n v="103.752"/>
    <x v="2"/>
    <s v="No"/>
    <d v="2024-04-12T00:00:00"/>
    <n v="0"/>
  </r>
  <r>
    <s v="DEP-A0-4950"/>
    <x v="0"/>
    <n v="43"/>
    <x v="1"/>
    <s v="Vestido"/>
    <s v="Verde"/>
    <s v="Tommy"/>
    <s v="MER-A0-4950"/>
    <d v="2024-12-28T00:00:00"/>
    <x v="0"/>
    <n v="168.7"/>
    <n v="0"/>
    <n v="115.542"/>
    <x v="2"/>
    <s v="No"/>
    <d v="2024-12-28T00:00:00"/>
    <n v="0"/>
  </r>
  <r>
    <s v="DEP-A0-3709"/>
    <x v="0"/>
    <n v="51"/>
    <x v="1"/>
    <s v="Pantalón"/>
    <s v="Blanco"/>
    <s v="Mango"/>
    <s v="MER-A0-3709"/>
    <d v="2024-09-18T00:00:00"/>
    <x v="0"/>
    <n v="169.61"/>
    <n v="0"/>
    <n v="125.62899999999999"/>
    <x v="2"/>
    <s v="No"/>
    <d v="2024-09-18T00:00:00"/>
    <n v="0"/>
  </r>
  <r>
    <s v="DEP-A0-2200"/>
    <x v="0"/>
    <n v="39"/>
    <x v="1"/>
    <s v="Vestido"/>
    <s v="Negro"/>
    <s v="Puma"/>
    <s v="MER-A0-2200"/>
    <d v="2024-02-13T00:00:00"/>
    <x v="0"/>
    <n v="189.29"/>
    <n v="0.1"/>
    <n v="30.750999999999998"/>
    <x v="2"/>
    <s v="No"/>
    <d v="2024-03-24T00:00:00"/>
    <n v="0"/>
  </r>
  <r>
    <s v="DEP-A0-3268"/>
    <x v="0"/>
    <n v="43"/>
    <x v="1"/>
    <s v="Vestido"/>
    <s v="Gris"/>
    <s v="Mango"/>
    <s v="MER-A0-3268"/>
    <d v="2024-12-17T00:00:00"/>
    <x v="0"/>
    <n v="193.06"/>
    <n v="0.1"/>
    <n v="119.86200000000001"/>
    <x v="2"/>
    <s v="No"/>
    <d v="2024-12-17T00:00:00"/>
    <n v="0"/>
  </r>
  <r>
    <s v="DEP-A0-1477"/>
    <x v="1"/>
    <n v="53"/>
    <x v="1"/>
    <s v="Pantalón"/>
    <s v="Gris"/>
    <s v="Mango"/>
    <s v="MER-A0-1477"/>
    <d v="2024-12-23T00:00:00"/>
    <x v="0"/>
    <n v="196.08"/>
    <n v="0.1"/>
    <n v="134.19200000000001"/>
    <x v="2"/>
    <s v="No"/>
    <d v="2024-01-04T00:00:00"/>
    <n v="0"/>
  </r>
  <r>
    <s v="DEP-A0-2550"/>
    <x v="0"/>
    <n v="40"/>
    <x v="1"/>
    <s v="Zapatos"/>
    <s v="Verde"/>
    <s v="Zara"/>
    <s v="MER-A0-2550"/>
    <d v="2024-12-20T00:00:00"/>
    <x v="0"/>
    <n v="197.88"/>
    <n v="0.1"/>
    <n v="105.00700000000001"/>
    <x v="2"/>
    <s v="No"/>
    <d v="2024-12-20T00:00:00"/>
    <n v="0"/>
  </r>
  <r>
    <s v="DEP-A0-2304"/>
    <x v="0"/>
    <n v="47"/>
    <x v="1"/>
    <s v="Falda"/>
    <s v="Amarillo"/>
    <s v="Tommy"/>
    <s v="MER-A0-2304"/>
    <d v="2024-05-09T00:00:00"/>
    <x v="0"/>
    <n v="180.25"/>
    <n v="0"/>
    <n v="9.4770000000000003"/>
    <x v="2"/>
    <s v="No"/>
    <d v="2024-05-09T00:00:00"/>
    <n v="0"/>
  </r>
  <r>
    <s v="DEP-A0-4495"/>
    <x v="0"/>
    <n v="41"/>
    <x v="1"/>
    <s v="Chaqueta"/>
    <s v="Amarillo"/>
    <s v="Tommy"/>
    <s v="MER-A0-4495"/>
    <d v="2024-12-10T00:00:00"/>
    <x v="0"/>
    <n v="184.18"/>
    <n v="0"/>
    <n v="132.69900000000001"/>
    <x v="2"/>
    <s v="No"/>
    <d v="2024-12-10T00:00:00"/>
    <n v="0"/>
  </r>
  <r>
    <s v="DEP-A0-2810"/>
    <x v="0"/>
    <n v="53"/>
    <x v="1"/>
    <s v="Zapatos"/>
    <s v="Verde"/>
    <s v="Zara"/>
    <s v="MER-A0-2810"/>
    <d v="2024-12-23T00:00:00"/>
    <x v="0"/>
    <n v="185.33"/>
    <n v="0"/>
    <n v="137.03199999999998"/>
    <x v="2"/>
    <s v="No"/>
    <d v="2024-01-08T00:00:00"/>
    <n v="0"/>
  </r>
  <r>
    <s v="DEP-A0-3239"/>
    <x v="0"/>
    <n v="43"/>
    <x v="1"/>
    <s v="Falda"/>
    <s v="Azul"/>
    <s v="Zara"/>
    <s v="MER-A0-3239"/>
    <d v="2024-10-03T00:00:00"/>
    <x v="0"/>
    <n v="186.23"/>
    <n v="0"/>
    <n v="45.73"/>
    <x v="2"/>
    <s v="No"/>
    <d v="2024-10-03T00:00:00"/>
    <n v="0"/>
  </r>
  <r>
    <s v="DEP-A0-4395"/>
    <x v="1"/>
    <n v="50"/>
    <x v="1"/>
    <s v="Pantalón"/>
    <s v="Blanco"/>
    <s v="Zara"/>
    <s v="MER-A0-4395"/>
    <d v="2024-11-28T00:00:00"/>
    <x v="0"/>
    <n v="194.28"/>
    <n v="0"/>
    <n v="150.71199999999999"/>
    <x v="2"/>
    <s v="No"/>
    <d v="2024-07-22T00:00:00"/>
    <n v="0"/>
  </r>
  <r>
    <s v="DEP-A0-3317"/>
    <x v="0"/>
    <n v="42"/>
    <x v="1"/>
    <s v="Blusa"/>
    <s v="Negro"/>
    <s v="Adidas"/>
    <s v="MER-A0-3317"/>
    <d v="2024-03-04T00:00:00"/>
    <x v="0"/>
    <n v="198.58"/>
    <n v="0"/>
    <n v="56.529000000000003"/>
    <x v="2"/>
    <s v="No"/>
    <d v="2024-03-04T00:00:00"/>
    <n v="0"/>
  </r>
  <r>
    <s v="DEP-A0-0644"/>
    <x v="0"/>
    <n v="54"/>
    <x v="1"/>
    <s v="Zapatos"/>
    <s v="Rojo"/>
    <s v="Nike"/>
    <s v="MER-A0-0644"/>
    <d v="2024-02-06T00:00:00"/>
    <x v="0"/>
    <n v="199.33"/>
    <n v="0"/>
    <n v="88.808999999999997"/>
    <x v="2"/>
    <s v="No"/>
    <d v="2024-02-06T00:00:00"/>
    <n v="0"/>
  </r>
  <r>
    <s v="DEP-A0-2225"/>
    <x v="0"/>
    <n v="39"/>
    <x v="1"/>
    <s v="Pantalón"/>
    <s v="Verde"/>
    <s v="Mango"/>
    <s v="MER-A0-2225"/>
    <d v="2024-09-19T00:00:00"/>
    <x v="0"/>
    <n v="199.62"/>
    <n v="0"/>
    <n v="192.61"/>
    <x v="2"/>
    <s v="No"/>
    <d v="2024-09-19T00:00:00"/>
    <n v="0"/>
  </r>
  <r>
    <s v="DEP-A0-2800"/>
    <x v="0"/>
    <n v="58"/>
    <x v="1"/>
    <s v="Blusa"/>
    <s v="Verde"/>
    <s v="Tommy"/>
    <s v="MER-A0-2800"/>
    <d v="2024-12-16T00:00:00"/>
    <x v="0"/>
    <n v="50.9"/>
    <n v="0.3"/>
    <n v="86.912000000000006"/>
    <x v="2"/>
    <s v="No"/>
    <d v="2025-09-12T00:00:00"/>
    <n v="0"/>
  </r>
  <r>
    <s v="DEP-A0-4627"/>
    <x v="0"/>
    <n v="40"/>
    <x v="1"/>
    <s v="Zapatos"/>
    <s v="Verde"/>
    <s v="Mango"/>
    <s v="MER-A0-4627"/>
    <d v="2024-07-23T00:00:00"/>
    <x v="0"/>
    <n v="35.9"/>
    <n v="0"/>
    <n v="142.72800000000001"/>
    <x v="2"/>
    <s v="No"/>
    <d v="2025-07-18T00:00:00"/>
    <n v="0"/>
  </r>
  <r>
    <s v="DEP-A0-0043"/>
    <x v="1"/>
    <n v="48"/>
    <x v="1"/>
    <s v="Pantalón"/>
    <s v="Rojo"/>
    <s v="Adidas"/>
    <s v="MER-A0-0043"/>
    <d v="2024-02-27T00:00:00"/>
    <x v="0"/>
    <n v="40.07"/>
    <n v="0.1"/>
    <n v="39.06"/>
    <x v="2"/>
    <s v="No"/>
    <d v="2024-02-27T00:00:00"/>
    <n v="0"/>
  </r>
  <r>
    <s v="DEP-A0-3626"/>
    <x v="0"/>
    <n v="37"/>
    <x v="1"/>
    <s v="Vestido"/>
    <s v="Blanco"/>
    <s v="Mango"/>
    <s v="MER-A0-3626"/>
    <d v="2024-03-23T00:00:00"/>
    <x v="0"/>
    <n v="52.1"/>
    <n v="0.3"/>
    <n v="76.391999999999996"/>
    <x v="2"/>
    <s v="No"/>
    <d v="2024-03-23T00:00:00"/>
    <n v="0"/>
  </r>
  <r>
    <s v="DEP-A0-2575"/>
    <x v="1"/>
    <n v="62"/>
    <x v="1"/>
    <s v="Pantalón"/>
    <s v="Rojo"/>
    <s v="Tommy"/>
    <s v="MER-A0-2575"/>
    <d v="2024-02-26T00:00:00"/>
    <x v="0"/>
    <n v="40.67"/>
    <n v="0.1"/>
    <n v="101.92"/>
    <x v="2"/>
    <s v="No"/>
    <d v="2024-02-26T00:00:00"/>
    <n v="0"/>
  </r>
  <r>
    <s v="DEP-A0-2904"/>
    <x v="0"/>
    <n v="50"/>
    <x v="1"/>
    <s v="Zapatos"/>
    <s v="Blanco"/>
    <s v="Zara"/>
    <s v="MER-A0-2904"/>
    <d v="2024-08-03T00:00:00"/>
    <x v="0"/>
    <n v="40.78"/>
    <n v="0.1"/>
    <n v="93.048000000000002"/>
    <x v="2"/>
    <s v="No"/>
    <d v="2024-11-01T00:00:00"/>
    <n v="0"/>
  </r>
  <r>
    <s v="DEP-A0-1555"/>
    <x v="0"/>
    <n v="56"/>
    <x v="1"/>
    <s v="Blusa"/>
    <s v="Negro"/>
    <s v="Levis"/>
    <s v="MER-A0-1555"/>
    <d v="2024-03-08T00:00:00"/>
    <x v="0"/>
    <n v="41.22"/>
    <n v="0.1"/>
    <n v="119.36"/>
    <x v="2"/>
    <s v="No"/>
    <d v="2024-03-08T00:00:00"/>
    <n v="0"/>
  </r>
  <r>
    <s v="DEP-A0-1343"/>
    <x v="0"/>
    <n v="49"/>
    <x v="1"/>
    <s v="Pantalón"/>
    <s v="Rojo"/>
    <s v="Mango"/>
    <s v="MER-A0-1343"/>
    <d v="2024-10-09T00:00:00"/>
    <x v="0"/>
    <n v="41.34"/>
    <n v="0.1"/>
    <n v="138.23599999999999"/>
    <x v="2"/>
    <s v="No"/>
    <d v="2024-10-09T00:00:00"/>
    <n v="0"/>
  </r>
  <r>
    <s v="DEP-A0-4151"/>
    <x v="0"/>
    <n v="46"/>
    <x v="1"/>
    <s v="Chaqueta"/>
    <s v="Amarillo"/>
    <s v="Mango"/>
    <s v="MER-A0-4151"/>
    <d v="2024-02-13T00:00:00"/>
    <x v="0"/>
    <n v="47.14"/>
    <n v="0.2"/>
    <n v="175.83"/>
    <x v="2"/>
    <s v="No"/>
    <d v="2024-02-13T00:00:00"/>
    <n v="0"/>
  </r>
  <r>
    <s v="DEP-A0-1607"/>
    <x v="1"/>
    <n v="64"/>
    <x v="1"/>
    <s v="Chaqueta"/>
    <s v="Rojo"/>
    <s v="Tommy"/>
    <s v="MER-A0-1607"/>
    <d v="2024-03-22T00:00:00"/>
    <x v="0"/>
    <n v="37.76"/>
    <n v="0"/>
    <n v="70.605000000000004"/>
    <x v="2"/>
    <s v="No"/>
    <d v="2024-09-18T00:00:00"/>
    <n v="0"/>
  </r>
  <r>
    <s v="DEP-A0-1747"/>
    <x v="0"/>
    <n v="54"/>
    <x v="1"/>
    <s v="Falda"/>
    <s v="Blanco"/>
    <s v="Zara"/>
    <s v="MER-A0-1747"/>
    <d v="2024-06-18T00:00:00"/>
    <x v="0"/>
    <n v="54.86"/>
    <n v="0.3"/>
    <n v="122.17099999999999"/>
    <x v="2"/>
    <s v="No"/>
    <d v="2024-09-16T00:00:00"/>
    <n v="0"/>
  </r>
  <r>
    <s v="DEP-A0-4585"/>
    <x v="1"/>
    <n v="55"/>
    <x v="1"/>
    <s v="Camisa"/>
    <s v="Azul"/>
    <s v="Mango"/>
    <s v="MER-A0-4585"/>
    <d v="2024-05-29T00:00:00"/>
    <x v="0"/>
    <n v="55.47"/>
    <n v="0.3"/>
    <n v="105.33599999999998"/>
    <x v="2"/>
    <s v="No"/>
    <d v="2024-05-29T00:00:00"/>
    <n v="0"/>
  </r>
  <r>
    <s v="DEP-A0-2708"/>
    <x v="0"/>
    <n v="60"/>
    <x v="1"/>
    <s v="Blusa"/>
    <s v="Gris"/>
    <s v="Puma"/>
    <s v="MER-A0-2708"/>
    <d v="2024-01-19T00:00:00"/>
    <x v="0"/>
    <n v="55.94"/>
    <n v="0.3"/>
    <n v="55.77600000000001"/>
    <x v="2"/>
    <s v="No"/>
    <d v="2024-01-19T00:00:00"/>
    <n v="0"/>
  </r>
  <r>
    <s v="DEP-A0-3843"/>
    <x v="0"/>
    <n v="40"/>
    <x v="1"/>
    <s v="Chaqueta"/>
    <s v="Amarillo"/>
    <s v="Nike"/>
    <s v="MER-A0-3843"/>
    <d v="2024-04-10T00:00:00"/>
    <x v="0"/>
    <n v="39.159999999999997"/>
    <n v="0"/>
    <n v="115.255"/>
    <x v="2"/>
    <s v="No"/>
    <d v="2024-04-10T00:00:00"/>
    <n v="0"/>
  </r>
  <r>
    <s v="DEP-A0-3694"/>
    <x v="1"/>
    <n v="65"/>
    <x v="1"/>
    <s v="Zapatos"/>
    <s v="Gris"/>
    <s v="Zara"/>
    <s v="MER-A0-3694"/>
    <d v="2024-02-11T00:00:00"/>
    <x v="0"/>
    <n v="49.58"/>
    <n v="0.2"/>
    <n v="140.22999999999999"/>
    <x v="2"/>
    <s v="No"/>
    <d v="2024-02-11T00:00:00"/>
    <n v="0"/>
  </r>
  <r>
    <s v="DEP-A0-2060"/>
    <x v="0"/>
    <n v="45"/>
    <x v="1"/>
    <s v="Pantalón"/>
    <s v="Amarillo"/>
    <s v="Levis"/>
    <s v="MER-A0-2060"/>
    <d v="2024-02-25T00:00:00"/>
    <x v="0"/>
    <n v="39.67"/>
    <n v="0"/>
    <n v="134.792"/>
    <x v="2"/>
    <s v="No"/>
    <d v="2024-02-25T00:00:00"/>
    <n v="0"/>
  </r>
  <r>
    <s v="DEP-A0-0404"/>
    <x v="0"/>
    <n v="60"/>
    <x v="1"/>
    <s v="Blusa"/>
    <s v="Rojo"/>
    <s v="Zara"/>
    <s v="MER-A0-0404"/>
    <d v="2024-09-28T00:00:00"/>
    <x v="0"/>
    <n v="56.96"/>
    <n v="0.3"/>
    <n v="177.51"/>
    <x v="2"/>
    <s v="No"/>
    <d v="2025-06-25T00:00:00"/>
    <n v="0"/>
  </r>
  <r>
    <s v="DEP-A0-4810"/>
    <x v="0"/>
    <n v="57"/>
    <x v="1"/>
    <s v="Falda"/>
    <s v="Blanco"/>
    <s v="Zara"/>
    <s v="MER-A0-4810"/>
    <d v="2024-05-20T00:00:00"/>
    <x v="0"/>
    <n v="49.91"/>
    <n v="0.2"/>
    <n v="123.255"/>
    <x v="2"/>
    <s v="No"/>
    <d v="2025-05-15T00:00:00"/>
    <n v="0"/>
  </r>
  <r>
    <s v="DEP-A0-4173"/>
    <x v="0"/>
    <n v="38"/>
    <x v="1"/>
    <s v="Falda"/>
    <s v="Blanco"/>
    <s v="Mango"/>
    <s v="MER-A0-4173"/>
    <d v="2024-02-05T00:00:00"/>
    <x v="0"/>
    <n v="57.11"/>
    <n v="0.3"/>
    <n v="161.721"/>
    <x v="2"/>
    <s v="No"/>
    <d v="2024-11-01T00:00:00"/>
    <n v="0"/>
  </r>
  <r>
    <s v="DEP-A0-0798"/>
    <x v="0"/>
    <n v="44"/>
    <x v="1"/>
    <s v="Camisa"/>
    <s v="Negro"/>
    <s v="Nike"/>
    <s v="MER-A0-0798"/>
    <d v="2024-10-14T00:00:00"/>
    <x v="0"/>
    <n v="50.74"/>
    <n v="0.2"/>
    <n v="139.804"/>
    <x v="2"/>
    <s v="No"/>
    <d v="2024-10-14T00:00:00"/>
    <n v="0"/>
  </r>
  <r>
    <s v="DEP-A0-2682"/>
    <x v="0"/>
    <n v="37"/>
    <x v="1"/>
    <s v="Zapatos"/>
    <s v="Rojo"/>
    <s v="Mango"/>
    <s v="MER-A0-2682"/>
    <d v="2024-03-12T00:00:00"/>
    <x v="0"/>
    <n v="51.2"/>
    <n v="0.2"/>
    <n v="77.86"/>
    <x v="2"/>
    <s v="No"/>
    <d v="2024-03-12T00:00:00"/>
    <n v="0"/>
  </r>
  <r>
    <s v="DEP-A0-0863"/>
    <x v="0"/>
    <n v="63"/>
    <x v="1"/>
    <s v="Falda"/>
    <s v="Verde"/>
    <s v="Mango"/>
    <s v="MER-A0-0863"/>
    <d v="2024-02-17T00:00:00"/>
    <x v="0"/>
    <n v="52.41"/>
    <n v="0.2"/>
    <n v="119.352"/>
    <x v="2"/>
    <s v="Sí"/>
    <d v="2025-02-11T00:00:00"/>
    <n v="3"/>
  </r>
  <r>
    <s v="DEP-A0-1988"/>
    <x v="1"/>
    <n v="51"/>
    <x v="1"/>
    <s v="Chaqueta"/>
    <s v="Verde"/>
    <s v="Mango"/>
    <s v="MER-A0-1988"/>
    <d v="2024-10-17T00:00:00"/>
    <x v="0"/>
    <n v="52.85"/>
    <n v="0.2"/>
    <n v="115.768"/>
    <x v="2"/>
    <s v="Sí"/>
    <d v="2024-10-17T00:00:00"/>
    <n v="3"/>
  </r>
  <r>
    <s v="DEP-A0-1018"/>
    <x v="1"/>
    <n v="50"/>
    <x v="1"/>
    <s v="Camisa"/>
    <s v="Amarillo"/>
    <s v="Mango"/>
    <s v="MER-A0-1018"/>
    <d v="2024-08-21T00:00:00"/>
    <x v="0"/>
    <n v="47.07"/>
    <n v="0.1"/>
    <n v="87.695999999999998"/>
    <x v="2"/>
    <s v="Sí"/>
    <d v="2024-08-21T00:00:00"/>
    <n v="3"/>
  </r>
  <r>
    <s v="DEP-A0-2410"/>
    <x v="0"/>
    <n v="44"/>
    <x v="1"/>
    <s v="Chaqueta"/>
    <s v="Gris"/>
    <s v="Zara"/>
    <s v="MER-A0-2410"/>
    <d v="2024-02-13T00:00:00"/>
    <x v="0"/>
    <n v="61.16"/>
    <n v="0.3"/>
    <n v="102.68800000000002"/>
    <x v="2"/>
    <s v="Sí"/>
    <d v="2024-02-13T00:00:00"/>
    <n v="3"/>
  </r>
  <r>
    <s v="DEP-A0-0047"/>
    <x v="0"/>
    <n v="47"/>
    <x v="1"/>
    <s v="Blusa"/>
    <s v="Gris"/>
    <s v="Mango"/>
    <s v="MER-A0-0047"/>
    <d v="2024-04-17T00:00:00"/>
    <x v="0"/>
    <n v="43.46"/>
    <n v="0"/>
    <n v="18.035999999999998"/>
    <x v="2"/>
    <s v="Sí"/>
    <d v="2024-10-14T00:00:00"/>
    <n v="3"/>
  </r>
  <r>
    <s v="DEP-A0-2379"/>
    <x v="0"/>
    <n v="47"/>
    <x v="1"/>
    <s v="Vestido"/>
    <s v="Rojo"/>
    <s v="Levis"/>
    <s v="MER-A0-2379"/>
    <d v="2024-01-28T00:00:00"/>
    <x v="0"/>
    <n v="48.31"/>
    <n v="0.1"/>
    <n v="34.475000000000001"/>
    <x v="2"/>
    <s v="Sí"/>
    <d v="2024-04-27T00:00:00"/>
    <n v="3"/>
  </r>
  <r>
    <s v="DEP-A0-1102"/>
    <x v="0"/>
    <n v="63"/>
    <x v="1"/>
    <s v="Camisa"/>
    <s v="Negro"/>
    <s v="Levis"/>
    <s v="MER-A0-1102"/>
    <d v="2024-08-08T00:00:00"/>
    <x v="0"/>
    <n v="62.66"/>
    <n v="0.3"/>
    <n v="19.288"/>
    <x v="2"/>
    <s v="Sí"/>
    <d v="2025-02-04T00:00:00"/>
    <n v="3"/>
  </r>
  <r>
    <s v="DEP-A0-4398"/>
    <x v="0"/>
    <n v="46"/>
    <x v="1"/>
    <s v="Camisa"/>
    <s v="Azul"/>
    <s v="Puma"/>
    <s v="MER-A0-4398"/>
    <d v="2024-10-13T00:00:00"/>
    <x v="0"/>
    <n v="48.96"/>
    <n v="0.1"/>
    <n v="87.44"/>
    <x v="2"/>
    <s v="Sí"/>
    <d v="2024-10-13T00:00:00"/>
    <n v="3"/>
  </r>
  <r>
    <s v="DEP-A0-3087"/>
    <x v="1"/>
    <n v="52"/>
    <x v="1"/>
    <s v="Pantalón"/>
    <s v="Azul"/>
    <s v="Adidas"/>
    <s v="MER-A0-3087"/>
    <d v="2024-09-17T00:00:00"/>
    <x v="0"/>
    <n v="63.02"/>
    <n v="0.3"/>
    <n v="66.430000000000007"/>
    <x v="2"/>
    <s v="Sí"/>
    <d v="2025-03-16T00:00:00"/>
    <n v="3"/>
  </r>
  <r>
    <s v="DEP-A0-4625"/>
    <x v="0"/>
    <n v="46"/>
    <x v="1"/>
    <s v="Blusa"/>
    <s v="Gris"/>
    <s v="Adidas"/>
    <s v="MER-A0-4625"/>
    <d v="2024-03-22T00:00:00"/>
    <x v="0"/>
    <n v="49.15"/>
    <n v="0.1"/>
    <n v="117.93599999999999"/>
    <x v="2"/>
    <s v="Sí"/>
    <d v="2024-03-22T00:00:00"/>
    <n v="3"/>
  </r>
  <r>
    <s v="DEP-A0-4339"/>
    <x v="0"/>
    <n v="58"/>
    <x v="1"/>
    <s v="Blusa"/>
    <s v="Blanco"/>
    <s v="Levis"/>
    <s v="MER-A0-4339"/>
    <d v="2024-09-16T00:00:00"/>
    <x v="0"/>
    <n v="44.31"/>
    <n v="0"/>
    <n v="113.50399999999999"/>
    <x v="2"/>
    <s v="Sí"/>
    <d v="2024-09-16T00:00:00"/>
    <n v="3"/>
  </r>
  <r>
    <s v="DEP-A0-4879"/>
    <x v="0"/>
    <n v="50"/>
    <x v="1"/>
    <s v="Falda"/>
    <s v="Rojo"/>
    <s v="Zara"/>
    <s v="MER-A0-4879"/>
    <d v="2024-04-10T00:00:00"/>
    <x v="0"/>
    <n v="55.52"/>
    <n v="0.2"/>
    <n v="121.008"/>
    <x v="2"/>
    <s v="Sí"/>
    <d v="2024-04-10T00:00:00"/>
    <n v="3"/>
  </r>
  <r>
    <s v="DEP-A0-4344"/>
    <x v="0"/>
    <n v="61"/>
    <x v="1"/>
    <s v="Vestido"/>
    <s v="Rojo"/>
    <s v="Puma"/>
    <s v="MER-A0-4344"/>
    <d v="2024-08-11T00:00:00"/>
    <x v="0"/>
    <n v="44.62"/>
    <n v="0"/>
    <n v="80.945999999999998"/>
    <x v="2"/>
    <s v="Sí"/>
    <d v="2025-08-06T00:00:00"/>
    <n v="3"/>
  </r>
  <r>
    <s v="DEP-A0-1376"/>
    <x v="1"/>
    <n v="39"/>
    <x v="1"/>
    <s v="Pantalón"/>
    <s v="Verde"/>
    <s v="Mango"/>
    <s v="MER-A0-1376"/>
    <d v="2024-04-22T00:00:00"/>
    <x v="0"/>
    <n v="50.04"/>
    <n v="0.1"/>
    <n v="94.227000000000004"/>
    <x v="2"/>
    <s v="Sí"/>
    <d v="2024-04-22T00:00:00"/>
    <n v="3"/>
  </r>
  <r>
    <s v="DEP-A0-0637"/>
    <x v="0"/>
    <n v="57"/>
    <x v="1"/>
    <s v="Falda"/>
    <s v="Gris"/>
    <s v="Adidas"/>
    <s v="MER-A0-0637"/>
    <d v="2024-05-31T00:00:00"/>
    <x v="0"/>
    <n v="64.849999999999994"/>
    <n v="0.3"/>
    <n v="127.477"/>
    <x v="2"/>
    <s v="Sí"/>
    <d v="2024-05-31T00:00:00"/>
    <n v="3"/>
  </r>
  <r>
    <s v="DEP-A0-3108"/>
    <x v="0"/>
    <n v="43"/>
    <x v="1"/>
    <s v="Vestido"/>
    <s v="Gris"/>
    <s v="Adidas"/>
    <s v="MER-A0-3108"/>
    <d v="2024-01-19T00:00:00"/>
    <x v="0"/>
    <n v="65.010000000000005"/>
    <n v="0.3"/>
    <n v="119.05"/>
    <x v="2"/>
    <s v="Sí"/>
    <d v="2024-01-19T00:00:00"/>
    <n v="3"/>
  </r>
  <r>
    <s v="DEP-A0-0274"/>
    <x v="1"/>
    <n v="63"/>
    <x v="1"/>
    <s v="Chaqueta"/>
    <s v="Rojo"/>
    <s v="Mango"/>
    <s v="MER-A0-0274"/>
    <d v="2024-10-07T00:00:00"/>
    <x v="0"/>
    <n v="65.17"/>
    <n v="0.3"/>
    <n v="38.695999999999998"/>
    <x v="2"/>
    <s v="Sí"/>
    <d v="2024-10-07T00:00:00"/>
    <n v="3"/>
  </r>
  <r>
    <s v="DEP-A0-2403"/>
    <x v="0"/>
    <n v="56"/>
    <x v="1"/>
    <s v="Camisa"/>
    <s v="Gris"/>
    <s v="Zara"/>
    <s v="MER-A0-2403"/>
    <d v="2024-03-09T00:00:00"/>
    <x v="0"/>
    <n v="65.42"/>
    <n v="0.3"/>
    <n v="64.266999999999996"/>
    <x v="2"/>
    <s v="Sí"/>
    <d v="2025-03-04T00:00:00"/>
    <n v="3"/>
  </r>
  <r>
    <s v="DEP-A0-4228"/>
    <x v="1"/>
    <n v="60"/>
    <x v="1"/>
    <s v="Zapatos"/>
    <s v="Negro"/>
    <s v="Tommy"/>
    <s v="MER-A0-4228"/>
    <d v="2024-11-24T00:00:00"/>
    <x v="0"/>
    <n v="46.22"/>
    <n v="0"/>
    <n v="70.602000000000004"/>
    <x v="2"/>
    <s v="Sí"/>
    <d v="2025-02-22T00:00:00"/>
    <n v="3"/>
  </r>
  <r>
    <s v="DEP-A0-0751"/>
    <x v="0"/>
    <n v="63"/>
    <x v="1"/>
    <s v="Vestido"/>
    <s v="Amarillo"/>
    <s v="Tommy"/>
    <s v="MER-A0-0751"/>
    <d v="2024-02-08T00:00:00"/>
    <x v="0"/>
    <n v="51.85"/>
    <n v="0.1"/>
    <n v="8.3230000000000004"/>
    <x v="2"/>
    <s v="Sí"/>
    <d v="2025-02-02T00:00:00"/>
    <n v="3"/>
  </r>
  <r>
    <s v="DEP-A0-4503"/>
    <x v="0"/>
    <n v="58"/>
    <x v="1"/>
    <s v="Camisa"/>
    <s v="Rojo"/>
    <s v="Puma"/>
    <s v="MER-A0-4503"/>
    <d v="2024-06-17T00:00:00"/>
    <x v="0"/>
    <n v="47.02"/>
    <n v="0"/>
    <n v="175.54"/>
    <x v="2"/>
    <s v="Sí"/>
    <d v="2025-03-14T00:00:00"/>
    <n v="3"/>
  </r>
  <r>
    <s v="DEP-A0-1625"/>
    <x v="0"/>
    <n v="49"/>
    <x v="1"/>
    <s v="Falda"/>
    <s v="Negro"/>
    <s v="Nike"/>
    <s v="MER-A0-1625"/>
    <d v="2024-01-24T00:00:00"/>
    <x v="0"/>
    <n v="67.510000000000005"/>
    <n v="0.3"/>
    <n v="110.82"/>
    <x v="2"/>
    <s v="Sí"/>
    <d v="2024-01-24T00:00:00"/>
    <n v="3"/>
  </r>
  <r>
    <s v="DEP-A0-2422"/>
    <x v="0"/>
    <n v="45"/>
    <x v="1"/>
    <s v="Zapatos"/>
    <s v="Rojo"/>
    <s v="Adidas"/>
    <s v="MER-A0-2422"/>
    <d v="2024-04-27T00:00:00"/>
    <x v="0"/>
    <n v="61.2"/>
    <n v="0.2"/>
    <n v="132.94999999999999"/>
    <x v="2"/>
    <s v="Sí"/>
    <d v="2024-10-24T00:00:00"/>
    <n v="3"/>
  </r>
  <r>
    <s v="DEP-A0-0439"/>
    <x v="0"/>
    <n v="62"/>
    <x v="1"/>
    <s v="Camisa"/>
    <s v="Amarillo"/>
    <s v="Nike"/>
    <s v="MER-A0-0439"/>
    <d v="2024-07-23T00:00:00"/>
    <x v="0"/>
    <n v="50.13"/>
    <n v="0"/>
    <n v="24.67"/>
    <x v="2"/>
    <s v="Sí"/>
    <d v="2024-10-21T00:00:00"/>
    <n v="3"/>
  </r>
  <r>
    <s v="DEP-A0-4784"/>
    <x v="0"/>
    <n v="37"/>
    <x v="1"/>
    <s v="Chaqueta"/>
    <s v="Gris"/>
    <s v="Adidas"/>
    <s v="MER-A0-4784"/>
    <d v="2024-04-05T00:00:00"/>
    <x v="0"/>
    <n v="71.73"/>
    <n v="0.3"/>
    <n v="44.751000000000005"/>
    <x v="2"/>
    <s v="Sí"/>
    <d v="2024-04-05T00:00:00"/>
    <n v="3"/>
  </r>
  <r>
    <s v="DEP-A0-2653"/>
    <x v="1"/>
    <n v="56"/>
    <x v="1"/>
    <s v="Zapatos"/>
    <s v="Amarillo"/>
    <s v="Tommy"/>
    <s v="MER-A0-2653"/>
    <d v="2024-08-02T00:00:00"/>
    <x v="0"/>
    <n v="62.87"/>
    <n v="0.2"/>
    <n v="112.095"/>
    <x v="2"/>
    <s v="Sí"/>
    <d v="2025-04-29T00:00:00"/>
    <n v="3"/>
  </r>
  <r>
    <s v="DEP-A0-3699"/>
    <x v="1"/>
    <n v="50"/>
    <x v="1"/>
    <s v="Zapatos"/>
    <s v="Gris"/>
    <s v="Tommy"/>
    <s v="MER-A0-3699"/>
    <d v="2024-12-09T00:00:00"/>
    <x v="0"/>
    <n v="56.71"/>
    <n v="0.1"/>
    <n v="110.94300000000001"/>
    <x v="2"/>
    <s v="Sí"/>
    <d v="2025-09-05T00:00:00"/>
    <n v="3"/>
  </r>
  <r>
    <s v="DEP-A0-1452"/>
    <x v="0"/>
    <n v="38"/>
    <x v="1"/>
    <s v="Pantalón"/>
    <s v="Amarillo"/>
    <s v="Puma"/>
    <s v="MER-A0-1452"/>
    <d v="2024-12-18T00:00:00"/>
    <x v="0"/>
    <n v="72.98"/>
    <n v="0.3"/>
    <n v="91.063000000000002"/>
    <x v="2"/>
    <s v="Sí"/>
    <d v="2025-12-13T00:00:00"/>
    <n v="3"/>
  </r>
  <r>
    <s v="DEP-A0-1922"/>
    <x v="0"/>
    <n v="49"/>
    <x v="1"/>
    <s v="Camisa"/>
    <s v="Blanco"/>
    <s v="Tommy"/>
    <s v="MER-A0-1922"/>
    <d v="2024-03-29T00:00:00"/>
    <x v="0"/>
    <n v="51.35"/>
    <n v="0"/>
    <n v="10.341000000000001"/>
    <x v="2"/>
    <s v="Sí"/>
    <d v="2024-03-29T00:00:00"/>
    <n v="3"/>
  </r>
  <r>
    <s v="DEP-A0-2476"/>
    <x v="1"/>
    <n v="52"/>
    <x v="1"/>
    <s v="Zapatos"/>
    <s v="Verde"/>
    <s v="Levis"/>
    <s v="MER-A0-2476"/>
    <d v="2024-10-23T00:00:00"/>
    <x v="0"/>
    <n v="57.48"/>
    <n v="0.1"/>
    <n v="105.28200000000001"/>
    <x v="2"/>
    <s v="Sí"/>
    <d v="2025-10-18T00:00:00"/>
    <n v="3"/>
  </r>
  <r>
    <s v="DEP-A0-2663"/>
    <x v="0"/>
    <n v="57"/>
    <x v="1"/>
    <s v="Blusa"/>
    <s v="Azul"/>
    <s v="Adidas"/>
    <s v="MER-A0-2663"/>
    <d v="2024-02-24T00:00:00"/>
    <x v="0"/>
    <n v="74.12"/>
    <n v="0.3"/>
    <n v="135.07"/>
    <x v="2"/>
    <s v="Sí"/>
    <d v="2024-02-24T00:00:00"/>
    <n v="3"/>
  </r>
  <r>
    <s v="DEP-A0-2228"/>
    <x v="1"/>
    <n v="49"/>
    <x v="1"/>
    <s v="Zapatos"/>
    <s v="Amarillo"/>
    <s v="Zara"/>
    <s v="MER-A0-2228"/>
    <d v="2024-04-02T00:00:00"/>
    <x v="0"/>
    <n v="58.01"/>
    <n v="0.1"/>
    <n v="84.461999999999989"/>
    <x v="2"/>
    <s v="Sí"/>
    <d v="2024-12-28T00:00:00"/>
    <n v="3"/>
  </r>
  <r>
    <s v="DEP-A0-4693"/>
    <x v="1"/>
    <n v="63"/>
    <x v="1"/>
    <s v="Chaqueta"/>
    <s v="Blanco"/>
    <s v="Mango"/>
    <s v="MER-A0-4693"/>
    <d v="2024-02-13T00:00:00"/>
    <x v="0"/>
    <n v="65.31"/>
    <n v="0.2"/>
    <n v="127.89"/>
    <x v="2"/>
    <s v="Sí"/>
    <d v="2024-02-13T00:00:00"/>
    <n v="3"/>
  </r>
  <r>
    <s v="DEP-A0-2633"/>
    <x v="1"/>
    <n v="38"/>
    <x v="1"/>
    <s v="Zapatos"/>
    <s v="Gris"/>
    <s v="Zara"/>
    <s v="MER-A0-2633"/>
    <d v="2024-10-18T00:00:00"/>
    <x v="0"/>
    <n v="52.48"/>
    <n v="0"/>
    <n v="163.44999999999999"/>
    <x v="2"/>
    <s v="Sí"/>
    <d v="2025-07-15T00:00:00"/>
    <n v="3"/>
  </r>
  <r>
    <s v="DEP-A0-3622"/>
    <x v="0"/>
    <n v="56"/>
    <x v="1"/>
    <s v="Blusa"/>
    <s v="Azul"/>
    <s v="Nike"/>
    <s v="MER-A0-3622"/>
    <d v="2024-08-10T00:00:00"/>
    <x v="0"/>
    <n v="75.819999999999993"/>
    <n v="0.3"/>
    <n v="40.167999999999999"/>
    <x v="2"/>
    <s v="Sí"/>
    <d v="2024-08-10T00:00:00"/>
    <n v="3"/>
  </r>
  <r>
    <s v="DEP-A0-4576"/>
    <x v="0"/>
    <n v="43"/>
    <x v="1"/>
    <s v="Vestido"/>
    <s v="Rojo"/>
    <s v="Tommy"/>
    <s v="MER-A0-4576"/>
    <d v="2024-09-16T00:00:00"/>
    <x v="0"/>
    <n v="53.34"/>
    <n v="0"/>
    <n v="78.147999999999996"/>
    <x v="2"/>
    <s v="Sí"/>
    <d v="2024-09-16T00:00:00"/>
    <n v="3"/>
  </r>
  <r>
    <s v="DEP-A0-4194"/>
    <x v="1"/>
    <n v="54"/>
    <x v="1"/>
    <s v="Zapatos"/>
    <s v="Negro"/>
    <s v="Nike"/>
    <s v="MER-A0-4194"/>
    <d v="2024-11-02T00:00:00"/>
    <x v="0"/>
    <n v="59.33"/>
    <n v="0.1"/>
    <n v="17.899999999999999"/>
    <x v="2"/>
    <s v="Sí"/>
    <d v="2025-01-31T00:00:00"/>
    <n v="3"/>
  </r>
  <r>
    <s v="DEP-A0-2155"/>
    <x v="1"/>
    <n v="51"/>
    <x v="1"/>
    <s v="Pantalón"/>
    <s v="Amarillo"/>
    <s v="Levis"/>
    <s v="MER-A0-2155"/>
    <d v="2024-03-20T00:00:00"/>
    <x v="0"/>
    <n v="53.7"/>
    <n v="0"/>
    <n v="118.006"/>
    <x v="2"/>
    <s v="Sí"/>
    <d v="2024-06-18T00:00:00"/>
    <n v="3"/>
  </r>
  <r>
    <s v="DEP-A0-2603"/>
    <x v="0"/>
    <n v="61"/>
    <x v="1"/>
    <s v="Falda"/>
    <s v="Amarillo"/>
    <s v="Nike"/>
    <s v="MER-A0-2603"/>
    <d v="2024-12-08T00:00:00"/>
    <x v="0"/>
    <n v="59.74"/>
    <n v="0.1"/>
    <n v="24.184000000000001"/>
    <x v="2"/>
    <s v="Sí"/>
    <d v="2024-11-29T00:00:00"/>
    <n v="3"/>
  </r>
  <r>
    <s v="DEP-A0-3671"/>
    <x v="1"/>
    <n v="43"/>
    <x v="1"/>
    <s v="Pantalón"/>
    <s v="Gris"/>
    <s v="Levis"/>
    <s v="MER-A0-3671"/>
    <d v="2024-08-13T00:00:00"/>
    <x v="0"/>
    <n v="68.08"/>
    <n v="0.2"/>
    <n v="78.507000000000005"/>
    <x v="2"/>
    <s v="Sí"/>
    <d v="2024-08-13T00:00:00"/>
    <n v="3"/>
  </r>
  <r>
    <s v="DEP-A0-0854"/>
    <x v="1"/>
    <n v="60"/>
    <x v="1"/>
    <s v="Chaqueta"/>
    <s v="Amarillo"/>
    <s v="Nike"/>
    <s v="MER-A0-0854"/>
    <d v="2024-12-25T00:00:00"/>
    <x v="0"/>
    <n v="54.88"/>
    <n v="0"/>
    <n v="138.08000000000001"/>
    <x v="2"/>
    <s v="Sí"/>
    <d v="2025-03-25T00:00:00"/>
    <n v="3"/>
  </r>
  <r>
    <s v="DEP-A0-3740"/>
    <x v="1"/>
    <n v="43"/>
    <x v="1"/>
    <s v="Chaqueta"/>
    <s v="Rojo"/>
    <s v="Adidas"/>
    <s v="MER-A0-3740"/>
    <d v="2024-02-12T00:00:00"/>
    <x v="0"/>
    <n v="78.69"/>
    <n v="0.3"/>
    <n v="82.043999999999997"/>
    <x v="2"/>
    <s v="Sí"/>
    <d v="2024-08-10T00:00:00"/>
    <n v="3"/>
  </r>
  <r>
    <s v="DEP-A0-0667"/>
    <x v="0"/>
    <n v="58"/>
    <x v="1"/>
    <s v="Falda"/>
    <s v="Rojo"/>
    <s v="Zara"/>
    <s v="MER-A0-0667"/>
    <d v="2024-07-10T00:00:00"/>
    <x v="0"/>
    <n v="61.42"/>
    <n v="0.1"/>
    <n v="134.69399999999999"/>
    <x v="2"/>
    <s v="Sí"/>
    <d v="2024-07-10T00:00:00"/>
    <n v="3"/>
  </r>
  <r>
    <s v="DEP-A0-1502"/>
    <x v="1"/>
    <n v="60"/>
    <x v="1"/>
    <s v="Zapatos"/>
    <s v="Gris"/>
    <s v="Nike"/>
    <s v="MER-A0-1502"/>
    <d v="2024-12-04T00:00:00"/>
    <x v="0"/>
    <n v="61.7"/>
    <n v="0.1"/>
    <n v="80.099999999999994"/>
    <x v="2"/>
    <s v="Sí"/>
    <d v="2025-11-29T00:00:00"/>
    <n v="3"/>
  </r>
  <r>
    <s v="DEP-A0-3786"/>
    <x v="0"/>
    <n v="55"/>
    <x v="1"/>
    <s v="Blusa"/>
    <s v="Azul"/>
    <s v="Mango"/>
    <s v="MER-A0-3786"/>
    <d v="2024-03-29T00:00:00"/>
    <x v="0"/>
    <n v="69.569999999999993"/>
    <n v="0.2"/>
    <n v="15.813000000000001"/>
    <x v="2"/>
    <s v="Sí"/>
    <d v="2024-03-29T00:00:00"/>
    <n v="3"/>
  </r>
  <r>
    <s v="DEP-A0-4184"/>
    <x v="0"/>
    <n v="42"/>
    <x v="1"/>
    <s v="Zapatos"/>
    <s v="Amarillo"/>
    <s v="Adidas"/>
    <s v="MER-A0-4184"/>
    <d v="2024-12-25T00:00:00"/>
    <x v="0"/>
    <n v="69.7"/>
    <n v="0.2"/>
    <n v="152.88"/>
    <x v="2"/>
    <s v="Sí"/>
    <d v="2025-03-25T00:00:00"/>
    <n v="3"/>
  </r>
  <r>
    <s v="DEP-A0-2804"/>
    <x v="0"/>
    <n v="36"/>
    <x v="1"/>
    <s v="Blusa"/>
    <s v="Negro"/>
    <s v="Mango"/>
    <s v="MER-A0-2804"/>
    <d v="2024-04-29T00:00:00"/>
    <x v="0"/>
    <n v="79.680000000000007"/>
    <n v="0.3"/>
    <n v="56.89"/>
    <x v="2"/>
    <s v="Sí"/>
    <d v="2024-04-29T00:00:00"/>
    <n v="3"/>
  </r>
  <r>
    <s v="DEP-A0-3553"/>
    <x v="0"/>
    <n v="43"/>
    <x v="1"/>
    <s v="Vestido"/>
    <s v="Gris"/>
    <s v="Tommy"/>
    <s v="MER-A0-3553"/>
    <d v="2024-11-20T00:00:00"/>
    <x v="0"/>
    <n v="79.77"/>
    <n v="0.3"/>
    <n v="145.952"/>
    <x v="2"/>
    <s v="Sí"/>
    <d v="2025-05-19T00:00:00"/>
    <n v="3"/>
  </r>
  <r>
    <s v="DEP-A0-1633"/>
    <x v="0"/>
    <n v="57"/>
    <x v="1"/>
    <s v="Blusa"/>
    <s v="Gris"/>
    <s v="Tommy"/>
    <s v="MER-A0-1633"/>
    <d v="2024-03-13T00:00:00"/>
    <x v="0"/>
    <n v="55.9"/>
    <n v="0"/>
    <n v="28.336000000000002"/>
    <x v="2"/>
    <s v="Sí"/>
    <d v="2024-03-13T00:00:00"/>
    <n v="3"/>
  </r>
  <r>
    <s v="DEP-A0-0218"/>
    <x v="1"/>
    <n v="52"/>
    <x v="1"/>
    <s v="Zapatos"/>
    <s v="Rojo"/>
    <s v="Nike"/>
    <s v="MER-A0-0218"/>
    <d v="2024-12-21T00:00:00"/>
    <x v="0"/>
    <n v="80.209999999999994"/>
    <n v="0.3"/>
    <n v="47.856000000000002"/>
    <x v="2"/>
    <s v="Sí"/>
    <d v="2025-09-17T00:00:00"/>
    <n v="3"/>
  </r>
  <r>
    <s v="DEP-A0-2310"/>
    <x v="0"/>
    <n v="36"/>
    <x v="1"/>
    <s v="Falda"/>
    <s v="Amarillo"/>
    <s v="Nike"/>
    <s v="MER-A0-2310"/>
    <d v="2024-03-21T00:00:00"/>
    <x v="0"/>
    <n v="56.32"/>
    <n v="0"/>
    <n v="90.818000000000012"/>
    <x v="2"/>
    <s v="Sí"/>
    <d v="2024-12-16T00:00:00"/>
    <n v="3"/>
  </r>
  <r>
    <s v="DEP-A0-4874"/>
    <x v="1"/>
    <n v="51"/>
    <x v="1"/>
    <s v="Camisa"/>
    <s v="Amarillo"/>
    <s v="Levis"/>
    <s v="MER-A0-4874"/>
    <d v="2024-06-19T00:00:00"/>
    <x v="0"/>
    <n v="71.17"/>
    <n v="0.2"/>
    <n v="119.55199999999999"/>
    <x v="2"/>
    <s v="Sí"/>
    <d v="2024-12-16T00:00:00"/>
    <n v="3"/>
  </r>
  <r>
    <s v="DEP-A0-3372"/>
    <x v="0"/>
    <n v="37"/>
    <x v="1"/>
    <s v="Chaqueta"/>
    <s v="Gris"/>
    <s v="Adidas"/>
    <s v="MER-A0-3372"/>
    <d v="2024-02-22T00:00:00"/>
    <x v="0"/>
    <n v="56.97"/>
    <n v="0"/>
    <n v="12.82"/>
    <x v="2"/>
    <s v="Sí"/>
    <d v="2024-11-18T00:00:00"/>
    <n v="3"/>
  </r>
  <r>
    <s v="DEP-A0-4055"/>
    <x v="1"/>
    <n v="51"/>
    <x v="1"/>
    <s v="Camisa"/>
    <s v="Amarillo"/>
    <s v="Nike"/>
    <s v="MER-A0-4055"/>
    <d v="2024-03-24T00:00:00"/>
    <x v="0"/>
    <n v="82.14"/>
    <n v="0.3"/>
    <n v="132.06899999999999"/>
    <x v="2"/>
    <s v="Sí"/>
    <d v="2024-03-24T00:00:00"/>
    <n v="3"/>
  </r>
  <r>
    <s v="DEP-A0-1256"/>
    <x v="1"/>
    <n v="62"/>
    <x v="1"/>
    <s v="Chaqueta"/>
    <s v="Gris"/>
    <s v="Mango"/>
    <s v="MER-A0-1256"/>
    <d v="2024-11-02T00:00:00"/>
    <x v="0"/>
    <n v="71.89"/>
    <n v="0.2"/>
    <n v="144.66999999999999"/>
    <x v="2"/>
    <s v="Sí"/>
    <d v="2025-05-01T00:00:00"/>
    <n v="3"/>
  </r>
  <r>
    <s v="DEP-A0-0995"/>
    <x v="1"/>
    <n v="52"/>
    <x v="1"/>
    <s v="Zapatos"/>
    <s v="Amarillo"/>
    <s v="Zara"/>
    <s v="MER-A0-0995"/>
    <d v="2024-05-04T00:00:00"/>
    <x v="0"/>
    <n v="72.02"/>
    <n v="0.2"/>
    <n v="114.44000000000001"/>
    <x v="2"/>
    <s v="Sí"/>
    <d v="2024-05-04T00:00:00"/>
    <n v="3"/>
  </r>
  <r>
    <s v="DEP-A0-0220"/>
    <x v="0"/>
    <n v="53"/>
    <x v="1"/>
    <s v="Falda"/>
    <s v="Verde"/>
    <s v="Puma"/>
    <s v="MER-A0-0220"/>
    <d v="2024-12-19T00:00:00"/>
    <x v="0"/>
    <n v="83.83"/>
    <n v="0.3"/>
    <n v="138.80699999999999"/>
    <x v="2"/>
    <s v="Sí"/>
    <d v="2025-03-19T00:00:00"/>
    <n v="3"/>
  </r>
  <r>
    <s v="DEP-A0-0565"/>
    <x v="0"/>
    <n v="49"/>
    <x v="1"/>
    <s v="Pantalón"/>
    <s v="Rojo"/>
    <s v="Adidas"/>
    <s v="MER-A0-0565"/>
    <d v="2024-03-12T00:00:00"/>
    <x v="0"/>
    <n v="59.06"/>
    <n v="0"/>
    <n v="103.976"/>
    <x v="2"/>
    <s v="Sí"/>
    <d v="2024-03-12T00:00:00"/>
    <n v="3"/>
  </r>
  <r>
    <s v="DEP-A0-0318"/>
    <x v="0"/>
    <n v="38"/>
    <x v="1"/>
    <s v="Vestido"/>
    <s v="Blanco"/>
    <s v="Nike"/>
    <s v="MER-A0-0318"/>
    <d v="2024-01-19T00:00:00"/>
    <x v="0"/>
    <n v="65.680000000000007"/>
    <n v="0.1"/>
    <n v="39.936"/>
    <x v="2"/>
    <s v="Sí"/>
    <d v="2024-01-19T00:00:00"/>
    <n v="3"/>
  </r>
  <r>
    <s v="DEP-A0-4315"/>
    <x v="1"/>
    <n v="42"/>
    <x v="1"/>
    <s v="Zapatos"/>
    <s v="Blanco"/>
    <s v="Nike"/>
    <s v="MER-A0-4315"/>
    <d v="2024-02-19T00:00:00"/>
    <x v="0"/>
    <n v="65.790000000000006"/>
    <n v="0.1"/>
    <n v="71.162000000000006"/>
    <x v="2"/>
    <s v="Sí"/>
    <d v="2024-02-19T00:00:00"/>
    <n v="3"/>
  </r>
  <r>
    <s v="DEP-A0-2398"/>
    <x v="0"/>
    <n v="54"/>
    <x v="1"/>
    <s v="Camisa"/>
    <s v="Gris"/>
    <s v="Tommy"/>
    <s v="MER-A0-2398"/>
    <d v="2024-03-15T00:00:00"/>
    <x v="0"/>
    <n v="65.989999999999995"/>
    <n v="0.1"/>
    <n v="111.59200000000001"/>
    <x v="2"/>
    <s v="Sí"/>
    <d v="2024-06-13T00:00:00"/>
    <n v="3"/>
  </r>
  <r>
    <s v="DEP-A0-4379"/>
    <x v="0"/>
    <n v="56"/>
    <x v="1"/>
    <s v="Vestido"/>
    <s v="Negro"/>
    <s v="Adidas"/>
    <s v="MER-A0-4379"/>
    <d v="2024-03-09T00:00:00"/>
    <x v="0"/>
    <n v="66.099999999999994"/>
    <n v="0.1"/>
    <n v="68.47999999999999"/>
    <x v="2"/>
    <s v="Sí"/>
    <d v="2024-03-09T00:00:00"/>
    <n v="3"/>
  </r>
  <r>
    <s v="DEP-A0-2116"/>
    <x v="0"/>
    <n v="36"/>
    <x v="1"/>
    <s v="Pantalón"/>
    <s v="Amarillo"/>
    <s v="Levis"/>
    <s v="MER-A0-2116"/>
    <d v="2024-09-06T00:00:00"/>
    <x v="0"/>
    <n v="59.59"/>
    <n v="0"/>
    <n v="99.527999999999992"/>
    <x v="2"/>
    <s v="Sí"/>
    <d v="2025-06-03T00:00:00"/>
    <n v="3"/>
  </r>
  <r>
    <s v="DEP-A0-3397"/>
    <x v="0"/>
    <n v="56"/>
    <x v="1"/>
    <s v="Vestido"/>
    <s v="Gris"/>
    <s v="Levis"/>
    <s v="MER-A0-3397"/>
    <d v="2024-12-04T00:00:00"/>
    <x v="0"/>
    <n v="59.71"/>
    <n v="0"/>
    <n v="49.266000000000005"/>
    <x v="2"/>
    <s v="Sí"/>
    <d v="2025-03-04T00:00:00"/>
    <n v="3"/>
  </r>
  <r>
    <s v="DEP-A0-4070"/>
    <x v="0"/>
    <n v="36"/>
    <x v="1"/>
    <s v="Camisa"/>
    <s v="Amarillo"/>
    <s v="Adidas"/>
    <s v="MER-A0-4070"/>
    <d v="2024-08-01T00:00:00"/>
    <x v="0"/>
    <n v="85.41"/>
    <n v="0.3"/>
    <n v="105.35999999999999"/>
    <x v="2"/>
    <s v="Sí"/>
    <d v="2024-08-01T00:00:00"/>
    <n v="3"/>
  </r>
  <r>
    <s v="DEP-A0-3225"/>
    <x v="0"/>
    <n v="48"/>
    <x v="1"/>
    <s v="Chaqueta"/>
    <s v="Blanco"/>
    <s v="Nike"/>
    <s v="MER-A0-3225"/>
    <d v="2024-07-26T00:00:00"/>
    <x v="0"/>
    <n v="85.61"/>
    <n v="0.3"/>
    <n v="60.255999999999993"/>
    <x v="2"/>
    <s v="Sí"/>
    <d v="2025-04-22T00:00:00"/>
    <n v="3"/>
  </r>
  <r>
    <s v="DEP-A0-1740"/>
    <x v="1"/>
    <n v="40"/>
    <x v="1"/>
    <s v="Pantalón"/>
    <s v="Gris"/>
    <s v="Nike"/>
    <s v="MER-A0-1740"/>
    <d v="2024-10-09T00:00:00"/>
    <x v="0"/>
    <n v="75.2"/>
    <n v="0.2"/>
    <n v="133.864"/>
    <x v="2"/>
    <s v="Sí"/>
    <d v="2025-01-07T00:00:00"/>
    <n v="3"/>
  </r>
  <r>
    <s v="DEP-A0-2960"/>
    <x v="0"/>
    <n v="51"/>
    <x v="1"/>
    <s v="Vestido"/>
    <s v="Blanco"/>
    <s v="Levis"/>
    <s v="MER-A0-2960"/>
    <d v="2024-12-10T00:00:00"/>
    <x v="0"/>
    <n v="76.03"/>
    <n v="0.2"/>
    <n v="117.49600000000001"/>
    <x v="2"/>
    <s v="Sí"/>
    <d v="2025-06-10T00:00:00"/>
    <n v="3"/>
  </r>
  <r>
    <s v="DEP-A0-4416"/>
    <x v="0"/>
    <n v="36"/>
    <x v="1"/>
    <s v="Falda"/>
    <s v="Azul"/>
    <s v="Adidas"/>
    <s v="MER-A0-4416"/>
    <d v="2024-04-06T00:00:00"/>
    <x v="0"/>
    <n v="87.34"/>
    <n v="0.3"/>
    <n v="162.04"/>
    <x v="2"/>
    <s v="Sí"/>
    <d v="2024-04-06T00:00:00"/>
    <n v="3"/>
  </r>
  <r>
    <s v="DEP-A0-4864"/>
    <x v="1"/>
    <n v="43"/>
    <x v="1"/>
    <s v="Zapatos"/>
    <s v="Gris"/>
    <s v="Adidas"/>
    <s v="MER-A0-4864"/>
    <d v="2024-02-17T00:00:00"/>
    <x v="0"/>
    <n v="87.52"/>
    <n v="0.3"/>
    <n v="64.19"/>
    <x v="2"/>
    <s v="Sí"/>
    <d v="2024-08-15T00:00:00"/>
    <n v="3"/>
  </r>
  <r>
    <s v="DEP-A0-3550"/>
    <x v="1"/>
    <n v="64"/>
    <x v="1"/>
    <s v="Pantalón"/>
    <s v="Negro"/>
    <s v="Levis"/>
    <s v="MER-A0-3550"/>
    <d v="2024-06-24T00:00:00"/>
    <x v="0"/>
    <n v="68.290000000000006"/>
    <n v="0.1"/>
    <n v="118.36800000000001"/>
    <x v="2"/>
    <s v="Sí"/>
    <d v="2025-03-21T00:00:00"/>
    <n v="3"/>
  </r>
  <r>
    <s v="DEP-A0-2445"/>
    <x v="0"/>
    <n v="51"/>
    <x v="1"/>
    <s v="Camisa"/>
    <s v="Negro"/>
    <s v="Adidas"/>
    <s v="MER-A0-2445"/>
    <d v="2024-09-06T00:00:00"/>
    <x v="0"/>
    <n v="76.959999999999994"/>
    <n v="0.2"/>
    <n v="177.86699999999999"/>
    <x v="2"/>
    <s v="Sí"/>
    <d v="2024-12-05T00:00:00"/>
    <n v="3"/>
  </r>
  <r>
    <s v="DEP-A0-1817"/>
    <x v="0"/>
    <n v="40"/>
    <x v="1"/>
    <s v="Blusa"/>
    <s v="Gris"/>
    <s v="Zara"/>
    <s v="MER-A0-1817"/>
    <d v="2024-07-31T00:00:00"/>
    <x v="0"/>
    <n v="68.44"/>
    <n v="0.1"/>
    <n v="23.667000000000002"/>
    <x v="2"/>
    <s v="Sí"/>
    <d v="2025-07-26T00:00:00"/>
    <n v="3"/>
  </r>
  <r>
    <s v="DEP-A0-3437"/>
    <x v="0"/>
    <n v="44"/>
    <x v="1"/>
    <s v="Falda"/>
    <s v="Amarillo"/>
    <s v="Tommy"/>
    <s v="MER-A0-3437"/>
    <d v="2024-08-30T00:00:00"/>
    <x v="0"/>
    <n v="77.150000000000006"/>
    <n v="0.2"/>
    <n v="112.67"/>
    <x v="2"/>
    <s v="Sí"/>
    <d v="2025-05-27T00:00:00"/>
    <n v="3"/>
  </r>
  <r>
    <s v="DEP-A0-4528"/>
    <x v="0"/>
    <n v="48"/>
    <x v="1"/>
    <s v="Blusa"/>
    <s v="Gris"/>
    <s v="Levis"/>
    <s v="MER-A0-4528"/>
    <d v="2024-10-10T00:00:00"/>
    <x v="0"/>
    <n v="69.45"/>
    <n v="0.1"/>
    <n v="196.88"/>
    <x v="2"/>
    <s v="Sí"/>
    <d v="2024-10-10T00:00:00"/>
    <n v="3"/>
  </r>
  <r>
    <s v="DEP-A0-3193"/>
    <x v="0"/>
    <n v="53"/>
    <x v="1"/>
    <s v="Vestido"/>
    <s v="Rojo"/>
    <s v="Zara"/>
    <s v="MER-A0-3193"/>
    <d v="2024-05-10T00:00:00"/>
    <x v="0"/>
    <n v="90.3"/>
    <n v="0.3"/>
    <n v="10.827"/>
    <x v="2"/>
    <s v="Sí"/>
    <d v="2025-05-05T00:00:00"/>
    <n v="3"/>
  </r>
  <r>
    <s v="DEP-A0-0123"/>
    <x v="0"/>
    <n v="62"/>
    <x v="1"/>
    <s v="Pantalón"/>
    <s v="Blanco"/>
    <s v="Mango"/>
    <s v="MER-A0-0123"/>
    <d v="2024-12-08T00:00:00"/>
    <x v="0"/>
    <n v="63.54"/>
    <n v="0"/>
    <n v="130.29"/>
    <x v="2"/>
    <s v="Sí"/>
    <d v="2025-06-02T00:00:00"/>
    <n v="3"/>
  </r>
  <r>
    <s v="DEP-A0-0639"/>
    <x v="0"/>
    <n v="36"/>
    <x v="1"/>
    <s v="Zapatos"/>
    <s v="Azul"/>
    <s v="Zara"/>
    <s v="MER-A0-0639"/>
    <d v="2024-09-13T00:00:00"/>
    <x v="0"/>
    <n v="91.08"/>
    <n v="0.3"/>
    <n v="70.325999999999993"/>
    <x v="2"/>
    <s v="Sí"/>
    <d v="2025-06-10T00:00:00"/>
    <n v="3"/>
  </r>
  <r>
    <s v="DEP-A0-3640"/>
    <x v="1"/>
    <n v="49"/>
    <x v="1"/>
    <s v="Zapatos"/>
    <s v="Rojo"/>
    <s v="Zara"/>
    <s v="MER-A0-3640"/>
    <d v="2024-02-19T00:00:00"/>
    <x v="0"/>
    <n v="91.74"/>
    <n v="0.3"/>
    <n v="198.98"/>
    <x v="2"/>
    <s v="Sí"/>
    <d v="2024-02-19T00:00:00"/>
    <n v="3"/>
  </r>
  <r>
    <s v="DEP-A0-1072"/>
    <x v="1"/>
    <n v="65"/>
    <x v="1"/>
    <s v="Zapatos"/>
    <s v="Verde"/>
    <s v="Tommy"/>
    <s v="MER-A0-1072"/>
    <d v="2024-10-18T00:00:00"/>
    <x v="0"/>
    <n v="91.88"/>
    <n v="0.3"/>
    <n v="146.673"/>
    <x v="2"/>
    <s v="Sí"/>
    <d v="2025-10-13T00:00:00"/>
    <n v="3"/>
  </r>
  <r>
    <s v="DEP-A0-1456"/>
    <x v="0"/>
    <n v="40"/>
    <x v="1"/>
    <s v="Zapatos"/>
    <s v="Verde"/>
    <s v="Mango"/>
    <s v="MER-A0-1456"/>
    <d v="2024-07-14T00:00:00"/>
    <x v="0"/>
    <n v="92.79"/>
    <n v="0.3"/>
    <n v="131.47"/>
    <x v="2"/>
    <s v="Sí"/>
    <d v="2025-04-10T00:00:00"/>
    <n v="3"/>
  </r>
  <r>
    <s v="DEP-A0-3313"/>
    <x v="0"/>
    <n v="62"/>
    <x v="1"/>
    <s v="Blusa"/>
    <s v="Azul"/>
    <s v="Zara"/>
    <s v="MER-A0-3313"/>
    <d v="2024-12-09T00:00:00"/>
    <x v="0"/>
    <n v="65.260000000000005"/>
    <n v="0"/>
    <n v="113.554"/>
    <x v="2"/>
    <s v="Sí"/>
    <d v="2025-09-05T00:00:00"/>
    <n v="3"/>
  </r>
  <r>
    <s v="DEP-A0-0523"/>
    <x v="0"/>
    <n v="61"/>
    <x v="1"/>
    <s v="Blusa"/>
    <s v="Rojo"/>
    <s v="Zara"/>
    <s v="MER-A0-0523"/>
    <d v="2024-01-23T00:00:00"/>
    <x v="0"/>
    <n v="81.790000000000006"/>
    <n v="0.2"/>
    <n v="122.63"/>
    <x v="2"/>
    <s v="Sí"/>
    <d v="2024-07-21T00:00:00"/>
    <n v="3"/>
  </r>
  <r>
    <s v="DEP-A0-2156"/>
    <x v="0"/>
    <n v="59"/>
    <x v="1"/>
    <s v="Camisa"/>
    <s v="Negro"/>
    <s v="Mango"/>
    <s v="MER-A0-2156"/>
    <d v="2024-02-19T00:00:00"/>
    <x v="0"/>
    <n v="82.18"/>
    <n v="0.2"/>
    <n v="69.685000000000002"/>
    <x v="2"/>
    <s v="Sí"/>
    <d v="2024-02-19T00:00:00"/>
    <n v="3"/>
  </r>
  <r>
    <s v="DEP-A0-0569"/>
    <x v="0"/>
    <n v="62"/>
    <x v="1"/>
    <s v="Chaqueta"/>
    <s v="Verde"/>
    <s v="Zara"/>
    <s v="MER-A0-0569"/>
    <d v="2024-01-25T00:00:00"/>
    <x v="0"/>
    <n v="82.93"/>
    <n v="0.2"/>
    <n v="14.637"/>
    <x v="2"/>
    <s v="Sí"/>
    <d v="2024-01-25T00:00:00"/>
    <n v="3"/>
  </r>
  <r>
    <s v="DEP-A0-2508"/>
    <x v="0"/>
    <n v="48"/>
    <x v="1"/>
    <s v="Falda"/>
    <s v="Blanco"/>
    <s v="Adidas"/>
    <s v="MER-A0-2508"/>
    <d v="2024-09-25T00:00:00"/>
    <x v="0"/>
    <n v="74.03"/>
    <n v="0.1"/>
    <n v="144.08800000000002"/>
    <x v="2"/>
    <s v="Sí"/>
    <d v="2025-06-22T00:00:00"/>
    <n v="3"/>
  </r>
  <r>
    <s v="DEP-A0-2117"/>
    <x v="0"/>
    <n v="59"/>
    <x v="1"/>
    <s v="Vestido"/>
    <s v="Blanco"/>
    <s v="Mango"/>
    <s v="MER-A0-2117"/>
    <d v="2024-03-03T00:00:00"/>
    <x v="0"/>
    <n v="66.819999999999993"/>
    <n v="0"/>
    <n v="133.452"/>
    <x v="2"/>
    <s v="Sí"/>
    <d v="2024-11-28T00:00:00"/>
    <n v="3"/>
  </r>
  <r>
    <s v="DEP-A0-0471"/>
    <x v="0"/>
    <n v="47"/>
    <x v="1"/>
    <s v="Falda"/>
    <s v="Blanco"/>
    <s v="Nike"/>
    <s v="MER-A0-0471"/>
    <d v="2024-07-29T00:00:00"/>
    <x v="0"/>
    <n v="83.64"/>
    <n v="0.2"/>
    <n v="130.298"/>
    <x v="2"/>
    <s v="Sí"/>
    <d v="2024-07-29T00:00:00"/>
    <n v="3"/>
  </r>
  <r>
    <s v="DEP-A0-2100"/>
    <x v="1"/>
    <n v="40"/>
    <x v="1"/>
    <s v="Pantalón"/>
    <s v="Rojo"/>
    <s v="Levis"/>
    <s v="MER-A0-2100"/>
    <d v="2024-04-10T00:00:00"/>
    <x v="0"/>
    <n v="83.74"/>
    <n v="0.2"/>
    <n v="24.48"/>
    <x v="2"/>
    <s v="Sí"/>
    <d v="2024-04-10T00:00:00"/>
    <n v="3"/>
  </r>
  <r>
    <s v="DEP-A0-3505"/>
    <x v="1"/>
    <n v="39"/>
    <x v="1"/>
    <s v="Chaqueta"/>
    <s v="Blanco"/>
    <s v="Zara"/>
    <s v="MER-A0-3505"/>
    <d v="2024-02-23T00:00:00"/>
    <x v="0"/>
    <n v="96.09"/>
    <n v="0.3"/>
    <n v="106.09899999999999"/>
    <x v="2"/>
    <s v="Sí"/>
    <d v="2024-02-23T00:00:00"/>
    <n v="3"/>
  </r>
  <r>
    <s v="DEP-A0-4846"/>
    <x v="1"/>
    <n v="57"/>
    <x v="1"/>
    <s v="Pantalón"/>
    <s v="Amarillo"/>
    <s v="Mango"/>
    <s v="MER-A0-4846"/>
    <d v="2024-11-28T00:00:00"/>
    <x v="0"/>
    <n v="96.23"/>
    <n v="0.3"/>
    <n v="165.81"/>
    <x v="2"/>
    <s v="Sí"/>
    <d v="2025-02-26T00:00:00"/>
    <n v="3"/>
  </r>
  <r>
    <s v="DEP-A0-3685"/>
    <x v="1"/>
    <n v="58"/>
    <x v="1"/>
    <s v="Zapatos"/>
    <s v="Verde"/>
    <s v="Puma"/>
    <s v="MER-A0-3685"/>
    <d v="2024-06-21T00:00:00"/>
    <x v="0"/>
    <n v="96.26"/>
    <n v="0.3"/>
    <n v="170.14500000000001"/>
    <x v="2"/>
    <s v="Sí"/>
    <d v="2025-06-16T00:00:00"/>
    <n v="3"/>
  </r>
  <r>
    <s v="DEP-A0-4124"/>
    <x v="0"/>
    <n v="58"/>
    <x v="1"/>
    <s v="Camisa"/>
    <s v="Amarillo"/>
    <s v="Nike"/>
    <s v="MER-A0-4124"/>
    <d v="2024-07-26T00:00:00"/>
    <x v="0"/>
    <n v="84.25"/>
    <n v="0.2"/>
    <n v="41.311999999999998"/>
    <x v="2"/>
    <s v="Sí"/>
    <d v="2025-04-22T00:00:00"/>
    <n v="3"/>
  </r>
  <r>
    <s v="DEP-A0-4567"/>
    <x v="0"/>
    <n v="49"/>
    <x v="1"/>
    <s v="Blusa"/>
    <s v="Rojo"/>
    <s v="Tommy"/>
    <s v="MER-A0-4567"/>
    <d v="2024-03-26T00:00:00"/>
    <x v="0"/>
    <n v="96.99"/>
    <n v="0.3"/>
    <n v="60.451999999999998"/>
    <x v="2"/>
    <s v="Sí"/>
    <d v="2024-06-24T00:00:00"/>
    <n v="3"/>
  </r>
  <r>
    <s v="DEP-A0-0922"/>
    <x v="0"/>
    <n v="46"/>
    <x v="1"/>
    <s v="Falda"/>
    <s v="Amarillo"/>
    <s v="Adidas"/>
    <s v="MER-A0-0922"/>
    <d v="2024-02-02T00:00:00"/>
    <x v="0"/>
    <n v="68.34"/>
    <n v="0"/>
    <n v="20.759999999999998"/>
    <x v="2"/>
    <s v="Sí"/>
    <d v="2025-01-27T00:00:00"/>
    <n v="3"/>
  </r>
  <r>
    <s v="DEP-A0-0356"/>
    <x v="0"/>
    <n v="43"/>
    <x v="1"/>
    <s v="Camisa"/>
    <s v="Negro"/>
    <s v="Puma"/>
    <s v="MER-A0-0356"/>
    <d v="2024-02-09T00:00:00"/>
    <x v="0"/>
    <n v="85.6"/>
    <n v="0.2"/>
    <n v="42.805"/>
    <x v="2"/>
    <s v="Sí"/>
    <d v="2024-02-09T00:00:00"/>
    <n v="3"/>
  </r>
  <r>
    <s v="DEP-A0-2844"/>
    <x v="1"/>
    <n v="40"/>
    <x v="1"/>
    <s v="Chaqueta"/>
    <s v="Gris"/>
    <s v="Adidas"/>
    <s v="MER-A0-2844"/>
    <d v="2024-03-30T00:00:00"/>
    <x v="0"/>
    <n v="85.7"/>
    <n v="0.2"/>
    <n v="119.944"/>
    <x v="2"/>
    <s v="Sí"/>
    <d v="2024-03-30T00:00:00"/>
    <n v="3"/>
  </r>
  <r>
    <s v="DEP-A0-1842"/>
    <x v="1"/>
    <n v="43"/>
    <x v="1"/>
    <s v="Pantalón"/>
    <s v="Gris"/>
    <s v="Nike"/>
    <s v="MER-A0-1842"/>
    <d v="2024-07-14T00:00:00"/>
    <x v="0"/>
    <n v="76.5"/>
    <n v="0.1"/>
    <n v="64.611000000000004"/>
    <x v="2"/>
    <s v="Sí"/>
    <d v="2024-10-12T00:00:00"/>
    <n v="3"/>
  </r>
  <r>
    <s v="DEP-A0-4639"/>
    <x v="0"/>
    <n v="60"/>
    <x v="1"/>
    <s v="Falda"/>
    <s v="Gris"/>
    <s v="Zara"/>
    <s v="MER-A0-4639"/>
    <d v="2024-11-28T00:00:00"/>
    <x v="0"/>
    <n v="76.790000000000006"/>
    <n v="0.1"/>
    <n v="157.41999999999999"/>
    <x v="2"/>
    <s v="Sí"/>
    <d v="2025-01-18T00:00:00"/>
    <n v="3"/>
  </r>
  <r>
    <s v="DEP-A0-0661"/>
    <x v="0"/>
    <n v="65"/>
    <x v="1"/>
    <s v="Blusa"/>
    <s v="Blanco"/>
    <s v="Levis"/>
    <s v="MER-A0-0661"/>
    <d v="2024-03-08T00:00:00"/>
    <x v="0"/>
    <n v="69.22"/>
    <n v="0"/>
    <n v="167.79"/>
    <x v="2"/>
    <s v="Sí"/>
    <d v="2024-03-08T00:00:00"/>
    <n v="3"/>
  </r>
  <r>
    <s v="DEP-A0-0476"/>
    <x v="0"/>
    <n v="44"/>
    <x v="1"/>
    <s v="Camisa"/>
    <s v="Gris"/>
    <s v="Levis"/>
    <s v="MER-A0-0476"/>
    <d v="2024-11-01T00:00:00"/>
    <x v="0"/>
    <n v="69.25"/>
    <n v="0"/>
    <n v="74.061000000000007"/>
    <x v="2"/>
    <s v="Sí"/>
    <d v="2025-07-29T00:00:00"/>
    <n v="3"/>
  </r>
  <r>
    <s v="DEP-A0-2009"/>
    <x v="0"/>
    <n v="47"/>
    <x v="1"/>
    <s v="Blusa"/>
    <s v="Gris"/>
    <s v="Mango"/>
    <s v="MER-A0-2009"/>
    <d v="2024-03-30T00:00:00"/>
    <x v="0"/>
    <n v="69.489999999999995"/>
    <n v="0"/>
    <n v="89.649000000000001"/>
    <x v="2"/>
    <s v="Sí"/>
    <d v="2024-03-30T00:00:00"/>
    <n v="3"/>
  </r>
  <r>
    <s v="DEP-A0-0094"/>
    <x v="1"/>
    <n v="56"/>
    <x v="1"/>
    <s v="Pantalón"/>
    <s v="Amarillo"/>
    <s v="Puma"/>
    <s v="MER-A0-0094"/>
    <d v="2024-10-20T00:00:00"/>
    <x v="0"/>
    <n v="69.510000000000005"/>
    <n v="0"/>
    <n v="134.88300000000001"/>
    <x v="2"/>
    <s v="Sí"/>
    <d v="2025-01-18T00:00:00"/>
    <n v="3"/>
  </r>
  <r>
    <s v="DEP-A0-4688"/>
    <x v="0"/>
    <n v="44"/>
    <x v="1"/>
    <s v="Vestido"/>
    <s v="Gris"/>
    <s v="Adidas"/>
    <s v="MER-A0-4688"/>
    <d v="2024-12-08T00:00:00"/>
    <x v="0"/>
    <n v="99.87"/>
    <n v="0.3"/>
    <n v="52.073"/>
    <x v="2"/>
    <s v="Sí"/>
    <d v="2024-06-13T00:00:00"/>
    <n v="3"/>
  </r>
  <r>
    <s v="DEP-A0-2433"/>
    <x v="0"/>
    <n v="54"/>
    <x v="1"/>
    <s v="Chaqueta"/>
    <s v="Negro"/>
    <s v="Adidas"/>
    <s v="MER-A0-2433"/>
    <d v="2024-04-09T00:00:00"/>
    <x v="0"/>
    <n v="69.95"/>
    <n v="0"/>
    <n v="74.697000000000003"/>
    <x v="2"/>
    <s v="Sí"/>
    <d v="2024-04-09T00:00:00"/>
    <n v="3"/>
  </r>
  <r>
    <s v="DEP-A0-1060"/>
    <x v="0"/>
    <n v="65"/>
    <x v="1"/>
    <s v="Chaqueta"/>
    <s v="Verde"/>
    <s v="Puma"/>
    <s v="MER-A0-1060"/>
    <d v="2024-02-19T00:00:00"/>
    <x v="0"/>
    <n v="87.92"/>
    <n v="0.2"/>
    <n v="47.393999999999998"/>
    <x v="2"/>
    <s v="Sí"/>
    <d v="2024-08-17T00:00:00"/>
    <m/>
  </r>
  <r>
    <s v="DEP-A0-4996"/>
    <x v="0"/>
    <n v="50"/>
    <x v="1"/>
    <s v="Chaqueta"/>
    <s v="Gris"/>
    <s v="Puma"/>
    <s v="MER-A0-4996"/>
    <d v="2024-01-28T00:00:00"/>
    <x v="0"/>
    <n v="101.13"/>
    <n v="0.3"/>
    <n v="149.63"/>
    <x v="2"/>
    <s v="Sí"/>
    <d v="2024-04-27T00:00:00"/>
    <n v="3"/>
  </r>
  <r>
    <s v="DEP-A0-3359"/>
    <x v="1"/>
    <n v="53"/>
    <x v="1"/>
    <s v="Chaqueta"/>
    <s v="Negro"/>
    <s v="Nike"/>
    <s v="MER-A0-3359"/>
    <d v="2024-11-10T00:00:00"/>
    <x v="0"/>
    <n v="70.849999999999994"/>
    <n v="0"/>
    <n v="90.98599999999999"/>
    <x v="2"/>
    <s v="Sí"/>
    <d v="2025-02-08T00:00:00"/>
    <n v="3"/>
  </r>
  <r>
    <s v="DEP-A0-0514"/>
    <x v="0"/>
    <n v="38"/>
    <x v="1"/>
    <s v="Pantalón"/>
    <s v="Azul"/>
    <s v="Adidas"/>
    <s v="MER-A0-0514"/>
    <d v="2024-08-09T00:00:00"/>
    <x v="0"/>
    <n v="88.63"/>
    <n v="0.2"/>
    <n v="168.31800000000001"/>
    <x v="2"/>
    <s v="Sí"/>
    <d v="2024-08-09T00:00:00"/>
    <n v="12"/>
  </r>
  <r>
    <s v="DEP-A0-1957"/>
    <x v="0"/>
    <n v="53"/>
    <x v="1"/>
    <s v="Chaqueta"/>
    <s v="Verde"/>
    <s v="Zara"/>
    <s v="MER-A0-1957"/>
    <d v="2024-11-23T00:00:00"/>
    <x v="0"/>
    <n v="101.87"/>
    <n v="0.3"/>
    <n v="63.612000000000009"/>
    <x v="2"/>
    <s v="Sí"/>
    <d v="2025-08-20T00:00:00"/>
    <n v="9"/>
  </r>
  <r>
    <s v="DEP-A0-0184"/>
    <x v="0"/>
    <n v="56"/>
    <x v="1"/>
    <s v="Blusa"/>
    <s v="Rojo"/>
    <s v="Adidas"/>
    <s v="MER-A0-0184"/>
    <d v="2024-09-18T00:00:00"/>
    <x v="0"/>
    <n v="71.400000000000006"/>
    <n v="0"/>
    <n v="114.79300000000001"/>
    <x v="2"/>
    <s v="Sí"/>
    <d v="2025-03-17T00:00:00"/>
    <n v="6"/>
  </r>
  <r>
    <s v="DEP-A0-0160"/>
    <x v="0"/>
    <n v="52"/>
    <x v="1"/>
    <s v="Chaqueta"/>
    <s v="Negro"/>
    <s v="Mango"/>
    <s v="MER-A0-0160"/>
    <d v="2024-09-19T00:00:00"/>
    <x v="0"/>
    <n v="89.35"/>
    <n v="0.2"/>
    <n v="176.02"/>
    <x v="2"/>
    <s v="Sí"/>
    <d v="2025-06-16T00:00:00"/>
    <n v="9"/>
  </r>
  <r>
    <s v="DEP-A0-0389"/>
    <x v="0"/>
    <n v="64"/>
    <x v="1"/>
    <s v="Falda"/>
    <s v="Verde"/>
    <s v="Zara"/>
    <s v="MER-A0-0389"/>
    <d v="2024-10-10T00:00:00"/>
    <x v="0"/>
    <n v="71.58"/>
    <n v="0"/>
    <n v="15.489000000000001"/>
    <x v="2"/>
    <s v="Sí"/>
    <d v="2025-04-08T00:00:00"/>
    <n v="6"/>
  </r>
  <r>
    <s v="DEP-A0-2514"/>
    <x v="0"/>
    <n v="45"/>
    <x v="1"/>
    <s v="Pantalón"/>
    <s v="Amarillo"/>
    <s v="Puma"/>
    <s v="MER-A0-2514"/>
    <d v="2024-02-13T00:00:00"/>
    <x v="0"/>
    <n v="89.53"/>
    <n v="0.2"/>
    <n v="87.948000000000008"/>
    <x v="2"/>
    <s v="Sí"/>
    <d v="2024-02-13T00:00:00"/>
    <n v="9"/>
  </r>
  <r>
    <s v="DEP-A0-1085"/>
    <x v="0"/>
    <n v="55"/>
    <x v="1"/>
    <s v="Vestido"/>
    <s v="Blanco"/>
    <s v="Nike"/>
    <s v="MER-A0-1085"/>
    <d v="2024-01-20T00:00:00"/>
    <x v="0"/>
    <n v="102.33"/>
    <n v="0.3"/>
    <n v="75.319999999999993"/>
    <x v="2"/>
    <s v="Sí"/>
    <d v="2025-01-14T00:00:00"/>
    <n v="12"/>
  </r>
  <r>
    <s v="DEP-A0-2118"/>
    <x v="1"/>
    <n v="51"/>
    <x v="1"/>
    <s v="Pantalón"/>
    <s v="Gris"/>
    <s v="Nike"/>
    <s v="MER-A0-2118"/>
    <d v="2024-08-27T00:00:00"/>
    <x v="0"/>
    <n v="72.260000000000005"/>
    <n v="0"/>
    <n v="18.795000000000002"/>
    <x v="2"/>
    <s v="Sí"/>
    <d v="2025-08-22T00:00:00"/>
    <n v="12"/>
  </r>
  <r>
    <s v="DEP-A0-0581"/>
    <x v="1"/>
    <n v="62"/>
    <x v="1"/>
    <s v="Pantalón"/>
    <s v="Gris"/>
    <s v="Tommy"/>
    <s v="MER-A0-0581"/>
    <d v="2024-06-01T00:00:00"/>
    <x v="0"/>
    <n v="80.31"/>
    <n v="0.1"/>
    <n v="148.72800000000001"/>
    <x v="2"/>
    <s v="Sí"/>
    <d v="2024-11-28T00:00:00"/>
    <n v="6"/>
  </r>
  <r>
    <s v="DEP-A0-2923"/>
    <x v="0"/>
    <n v="52"/>
    <x v="1"/>
    <s v="Camisa"/>
    <s v="Rojo"/>
    <s v="Puma"/>
    <s v="MER-A0-2923"/>
    <d v="2024-04-13T00:00:00"/>
    <x v="0"/>
    <n v="72.459999999999994"/>
    <n v="0"/>
    <n v="78.686999999999998"/>
    <x v="2"/>
    <s v="Sí"/>
    <d v="2024-07-12T00:00:00"/>
    <n v="3"/>
  </r>
  <r>
    <s v="DEP-A0-0070"/>
    <x v="0"/>
    <n v="52"/>
    <x v="1"/>
    <s v="Pantalón"/>
    <s v="Blanco"/>
    <s v="Puma"/>
    <s v="MER-A0-0070"/>
    <d v="2024-04-05T00:00:00"/>
    <x v="0"/>
    <n v="72.510000000000005"/>
    <n v="0"/>
    <n v="144.44999999999999"/>
    <x v="2"/>
    <s v="Sí"/>
    <d v="2024-04-05T00:00:00"/>
    <n v="9"/>
  </r>
  <r>
    <s v="DEP-A0-1147"/>
    <x v="1"/>
    <n v="60"/>
    <x v="1"/>
    <s v="Chaqueta"/>
    <s v="Negro"/>
    <s v="Tommy"/>
    <s v="MER-A0-1147"/>
    <d v="2024-02-14T00:00:00"/>
    <x v="0"/>
    <n v="80.58"/>
    <n v="0.1"/>
    <n v="20.09"/>
    <x v="2"/>
    <s v="Sí"/>
    <d v="2024-05-14T00:00:00"/>
    <n v="3"/>
  </r>
  <r>
    <s v="DEP-A0-0306"/>
    <x v="0"/>
    <n v="61"/>
    <x v="1"/>
    <s v="Chaqueta"/>
    <s v="Verde"/>
    <s v="Nike"/>
    <s v="MER-A0-0306"/>
    <d v="2024-12-04T00:00:00"/>
    <x v="0"/>
    <n v="103.79"/>
    <n v="0.3"/>
    <n v="83.796999999999997"/>
    <x v="2"/>
    <s v="Sí"/>
    <d v="2025-08-31T00:00:00"/>
    <n v="9"/>
  </r>
  <r>
    <s v="DEP-A0-1548"/>
    <x v="1"/>
    <n v="38"/>
    <x v="1"/>
    <s v="Zapatos"/>
    <s v="Rojo"/>
    <s v="Adidas"/>
    <s v="MER-A0-1548"/>
    <d v="2024-02-04T00:00:00"/>
    <x v="0"/>
    <n v="81.03"/>
    <n v="0.1"/>
    <n v="73.953000000000003"/>
    <x v="2"/>
    <s v="Sí"/>
    <d v="2024-02-04T00:00:00"/>
    <n v="6"/>
  </r>
  <r>
    <s v="DEP-A0-3112"/>
    <x v="0"/>
    <n v="55"/>
    <x v="1"/>
    <s v="Chaqueta"/>
    <s v="Negro"/>
    <s v="Levis"/>
    <s v="MER-A0-3112"/>
    <d v="2024-10-01T00:00:00"/>
    <x v="0"/>
    <n v="73.19"/>
    <n v="0"/>
    <n v="70.686000000000007"/>
    <x v="2"/>
    <s v="Sí"/>
    <d v="2025-06-28T00:00:00"/>
    <n v="9"/>
  </r>
  <r>
    <s v="DEP-A0-2475"/>
    <x v="0"/>
    <n v="46"/>
    <x v="1"/>
    <s v="Vestido"/>
    <s v="Verde"/>
    <s v="Tommy"/>
    <s v="MER-A0-2475"/>
    <d v="2024-02-03T00:00:00"/>
    <x v="0"/>
    <n v="73.709999999999994"/>
    <n v="0"/>
    <n v="98.518000000000001"/>
    <x v="2"/>
    <s v="Sí"/>
    <d v="2024-02-03T00:00:00"/>
    <n v="12"/>
  </r>
  <r>
    <s v="DEP-A0-4301"/>
    <x v="0"/>
    <n v="36"/>
    <x v="1"/>
    <s v="Pantalón"/>
    <s v="Rojo"/>
    <s v="Nike"/>
    <s v="MER-A0-4301"/>
    <d v="2024-10-07T00:00:00"/>
    <x v="0"/>
    <n v="105.42"/>
    <n v="0.3"/>
    <n v="145.37700000000001"/>
    <x v="2"/>
    <s v="Sí"/>
    <d v="2025-01-05T00:00:00"/>
    <n v="3"/>
  </r>
  <r>
    <s v="DEP-A0-3579"/>
    <x v="0"/>
    <n v="40"/>
    <x v="1"/>
    <s v="Vestido"/>
    <s v="Rojo"/>
    <s v="Zara"/>
    <s v="MER-A0-3579"/>
    <d v="2024-04-17T00:00:00"/>
    <x v="0"/>
    <n v="82.07"/>
    <n v="0.1"/>
    <n v="35.19"/>
    <x v="2"/>
    <s v="Sí"/>
    <d v="2025-01-12T00:00:00"/>
    <n v="9"/>
  </r>
  <r>
    <s v="DEP-A0-0412"/>
    <x v="0"/>
    <n v="46"/>
    <x v="1"/>
    <s v="Falda"/>
    <s v="Negro"/>
    <s v="Nike"/>
    <s v="MER-A0-0412"/>
    <d v="2024-02-29T00:00:00"/>
    <x v="0"/>
    <n v="93.01"/>
    <n v="0.2"/>
    <n v="102.03200000000001"/>
    <x v="2"/>
    <s v="Sí"/>
    <d v="2024-02-29T00:00:00"/>
    <n v="9"/>
  </r>
  <r>
    <s v="DEP-A0-4997"/>
    <x v="0"/>
    <n v="42"/>
    <x v="1"/>
    <s v="Blusa"/>
    <s v="Rojo"/>
    <s v="Zara"/>
    <s v="MER-A0-4997"/>
    <d v="2024-07-14T00:00:00"/>
    <x v="0"/>
    <n v="107.15"/>
    <n v="0.3"/>
    <n v="56.808000000000007"/>
    <x v="2"/>
    <s v="Sí"/>
    <d v="2024-07-14T00:00:00"/>
    <n v="3"/>
  </r>
  <r>
    <s v="DEP-A0-2202"/>
    <x v="0"/>
    <n v="56"/>
    <x v="1"/>
    <s v="Blusa"/>
    <s v="Blanco"/>
    <s v="Adidas"/>
    <s v="MER-A0-2202"/>
    <d v="2024-03-14T00:00:00"/>
    <x v="0"/>
    <n v="107.67"/>
    <n v="0.3"/>
    <n v="140.28800000000001"/>
    <x v="2"/>
    <s v="Sí"/>
    <d v="2024-03-14T00:00:00"/>
    <n v="9"/>
  </r>
  <r>
    <s v="DEP-A0-0458"/>
    <x v="0"/>
    <n v="42"/>
    <x v="1"/>
    <s v="Camisa"/>
    <s v="Negro"/>
    <s v="Tommy"/>
    <s v="MER-A0-0458"/>
    <d v="2024-03-03T00:00:00"/>
    <x v="0"/>
    <n v="83.8"/>
    <n v="0.1"/>
    <n v="77.128"/>
    <x v="2"/>
    <s v="Sí"/>
    <d v="2024-06-01T00:00:00"/>
    <n v="3"/>
  </r>
  <r>
    <s v="DEP-A0-1275"/>
    <x v="0"/>
    <n v="61"/>
    <x v="1"/>
    <s v="Camisa"/>
    <s v="Rojo"/>
    <s v="Nike"/>
    <s v="MER-A0-1275"/>
    <d v="2024-12-28T00:00:00"/>
    <x v="0"/>
    <n v="94.35"/>
    <n v="0.2"/>
    <n v="110.726"/>
    <x v="2"/>
    <s v="Sí"/>
    <d v="2025-03-28T00:00:00"/>
    <n v="3"/>
  </r>
  <r>
    <s v="DEP-A0-1483"/>
    <x v="0"/>
    <n v="56"/>
    <x v="1"/>
    <s v="Chaqueta"/>
    <s v="Negro"/>
    <s v="Nike"/>
    <s v="MER-A0-1483"/>
    <d v="2024-02-15T00:00:00"/>
    <x v="0"/>
    <n v="94.78"/>
    <n v="0.2"/>
    <n v="196.19"/>
    <x v="2"/>
    <s v="Sí"/>
    <d v="2024-05-15T00:00:00"/>
    <n v="3"/>
  </r>
  <r>
    <s v="DEP-A0-4543"/>
    <x v="0"/>
    <n v="51"/>
    <x v="1"/>
    <s v="Falda"/>
    <s v="Azul"/>
    <s v="Nike"/>
    <s v="MER-A0-4543"/>
    <d v="2024-08-26T00:00:00"/>
    <x v="0"/>
    <n v="95.75"/>
    <n v="0.2"/>
    <n v="32.256"/>
    <x v="2"/>
    <s v="Sí"/>
    <d v="2024-08-26T00:00:00"/>
    <n v="9"/>
  </r>
  <r>
    <s v="DEP-A0-1073"/>
    <x v="0"/>
    <n v="39"/>
    <x v="1"/>
    <s v="Chaqueta"/>
    <s v="Amarillo"/>
    <s v="Mango"/>
    <s v="MER-A0-1073"/>
    <d v="2024-02-28T00:00:00"/>
    <x v="0"/>
    <n v="77.05"/>
    <n v="0"/>
    <n v="95.47"/>
    <x v="2"/>
    <s v="Sí"/>
    <d v="2024-05-28T00:00:00"/>
    <n v="3"/>
  </r>
  <r>
    <s v="DEP-A0-4447"/>
    <x v="0"/>
    <n v="44"/>
    <x v="1"/>
    <s v="Vestido"/>
    <s v="Gris"/>
    <s v="Adidas"/>
    <s v="MER-A0-4447"/>
    <d v="2024-02-01T00:00:00"/>
    <x v="0"/>
    <n v="85.67"/>
    <n v="0.1"/>
    <n v="78.183000000000007"/>
    <x v="2"/>
    <s v="Sí"/>
    <d v="2024-02-01T00:00:00"/>
    <n v="6"/>
  </r>
  <r>
    <s v="DEP-A0-3588"/>
    <x v="0"/>
    <n v="50"/>
    <x v="1"/>
    <s v="Vestido"/>
    <s v="Gris"/>
    <s v="Mango"/>
    <s v="MER-A0-3588"/>
    <d v="2024-02-13T00:00:00"/>
    <x v="0"/>
    <n v="96.49"/>
    <n v="0.2"/>
    <n v="176.82300000000001"/>
    <x v="2"/>
    <s v="Sí"/>
    <d v="2024-02-13T00:00:00"/>
    <n v="9"/>
  </r>
  <r>
    <s v="DEP-A0-0908"/>
    <x v="0"/>
    <n v="46"/>
    <x v="1"/>
    <s v="Zapatos"/>
    <s v="Azul"/>
    <s v="Nike"/>
    <s v="MER-A0-0908"/>
    <d v="2024-05-08T00:00:00"/>
    <x v="0"/>
    <n v="96.5"/>
    <n v="0.2"/>
    <n v="52.648000000000003"/>
    <x v="2"/>
    <s v="Sí"/>
    <d v="2024-11-04T00:00:00"/>
    <n v="6"/>
  </r>
  <r>
    <s v="DEP-A0-1429"/>
    <x v="0"/>
    <n v="57"/>
    <x v="1"/>
    <s v="Vestido"/>
    <s v="Azul"/>
    <s v="Puma"/>
    <s v="MER-A0-1429"/>
    <d v="2024-11-19T00:00:00"/>
    <x v="0"/>
    <n v="96.78"/>
    <n v="0.2"/>
    <n v="74.640999999999991"/>
    <x v="2"/>
    <s v="Sí"/>
    <d v="2025-02-17T00:00:00"/>
    <n v="3"/>
  </r>
  <r>
    <s v="DEP-A0-3960"/>
    <x v="0"/>
    <n v="45"/>
    <x v="1"/>
    <s v="Falda"/>
    <s v="Amarillo"/>
    <s v="Mango"/>
    <s v="MER-A0-3960"/>
    <d v="2024-02-14T00:00:00"/>
    <x v="0"/>
    <n v="77.760000000000005"/>
    <n v="0"/>
    <n v="100.197"/>
    <x v="2"/>
    <s v="Sí"/>
    <d v="2024-02-14T00:00:00"/>
    <n v="3"/>
  </r>
  <r>
    <s v="DEP-A0-1917"/>
    <x v="1"/>
    <n v="52"/>
    <x v="1"/>
    <s v="Camisa"/>
    <s v="Amarillo"/>
    <s v="Nike"/>
    <s v="MER-A0-1917"/>
    <d v="2024-07-27T00:00:00"/>
    <x v="0"/>
    <n v="97.22"/>
    <n v="0.2"/>
    <n v="13.524000000000001"/>
    <x v="2"/>
    <s v="Sí"/>
    <d v="2024-07-27T00:00:00"/>
    <n v="6"/>
  </r>
  <r>
    <s v="DEP-A0-1270"/>
    <x v="1"/>
    <n v="49"/>
    <x v="1"/>
    <s v="Camisa"/>
    <s v="Blanco"/>
    <s v="Tommy"/>
    <s v="MER-A0-1270"/>
    <d v="2024-01-17T00:00:00"/>
    <x v="0"/>
    <n v="111.14"/>
    <n v="0.3"/>
    <n v="151.27199999999999"/>
    <x v="2"/>
    <s v="Sí"/>
    <d v="2024-01-17T00:00:00"/>
    <n v="12"/>
  </r>
  <r>
    <s v="DEP-A0-4004"/>
    <x v="0"/>
    <n v="48"/>
    <x v="1"/>
    <s v="Zapatos"/>
    <s v="Rojo"/>
    <s v="Adidas"/>
    <s v="MER-A0-4004"/>
    <d v="2024-11-28T00:00:00"/>
    <x v="0"/>
    <n v="86.51"/>
    <n v="0.1"/>
    <n v="171.59399999999999"/>
    <x v="2"/>
    <s v="Sí"/>
    <d v="2025-06-30T00:00:00"/>
    <n v="12"/>
  </r>
  <r>
    <s v="DEP-A0-2033"/>
    <x v="1"/>
    <n v="36"/>
    <x v="1"/>
    <s v="Pantalón"/>
    <s v="Azul"/>
    <s v="Levis"/>
    <s v="MER-A0-2033"/>
    <d v="2024-02-18T00:00:00"/>
    <x v="0"/>
    <n v="111.45"/>
    <n v="0.3"/>
    <n v="24.728000000000002"/>
    <x v="2"/>
    <s v="Sí"/>
    <d v="2024-02-18T00:00:00"/>
    <n v="9"/>
  </r>
  <r>
    <s v="DEP-A0-1310"/>
    <x v="0"/>
    <n v="42"/>
    <x v="1"/>
    <s v="Camisa"/>
    <s v="Gris"/>
    <s v="Levis"/>
    <s v="MER-A0-1310"/>
    <d v="2024-03-07T00:00:00"/>
    <x v="0"/>
    <n v="98.08"/>
    <n v="0.2"/>
    <n v="35.340000000000003"/>
    <x v="2"/>
    <s v="Sí"/>
    <d v="2024-03-07T00:00:00"/>
    <n v="6"/>
  </r>
  <r>
    <s v="DEP-A0-4237"/>
    <x v="0"/>
    <n v="36"/>
    <x v="1"/>
    <s v="Pantalón"/>
    <s v="Rojo"/>
    <s v="Adidas"/>
    <s v="MER-A0-4237"/>
    <d v="2024-01-31T00:00:00"/>
    <x v="0"/>
    <n v="112.86"/>
    <n v="0.3"/>
    <n v="115.64"/>
    <x v="2"/>
    <s v="Sí"/>
    <d v="2024-01-31T00:00:00"/>
    <n v="6"/>
  </r>
  <r>
    <s v="DEP-A0-3852"/>
    <x v="1"/>
    <n v="61"/>
    <x v="1"/>
    <s v="Pantalón"/>
    <s v="Azul"/>
    <s v="Nike"/>
    <s v="MER-A0-3852"/>
    <d v="2024-03-13T00:00:00"/>
    <x v="0"/>
    <n v="99.22"/>
    <n v="0.2"/>
    <n v="20.853000000000002"/>
    <x v="2"/>
    <s v="Sí"/>
    <d v="2024-03-13T00:00:00"/>
    <n v="12"/>
  </r>
  <r>
    <s v="DEP-A0-4175"/>
    <x v="0"/>
    <n v="54"/>
    <x v="1"/>
    <s v="Vestido"/>
    <s v="Gris"/>
    <s v="Zara"/>
    <s v="MER-A0-4175"/>
    <d v="2024-07-26T00:00:00"/>
    <x v="0"/>
    <n v="79.38"/>
    <n v="0"/>
    <n v="108.08999999999999"/>
    <x v="2"/>
    <s v="Sí"/>
    <d v="2024-07-26T00:00:00"/>
    <n v="9"/>
  </r>
  <r>
    <s v="DEP-A0-4812"/>
    <x v="1"/>
    <n v="48"/>
    <x v="1"/>
    <s v="Chaqueta"/>
    <s v="Blanco"/>
    <s v="Levis"/>
    <s v="MER-A0-4812"/>
    <d v="2024-03-11T00:00:00"/>
    <x v="0"/>
    <n v="88.76"/>
    <n v="0.1"/>
    <n v="21.015000000000001"/>
    <x v="2"/>
    <s v="Sí"/>
    <d v="2024-03-11T00:00:00"/>
    <n v="12"/>
  </r>
  <r>
    <s v="DEP-A0-1749"/>
    <x v="1"/>
    <n v="63"/>
    <x v="1"/>
    <s v="Chaqueta"/>
    <s v="Amarillo"/>
    <s v="Zara"/>
    <s v="MER-A0-1749"/>
    <d v="2024-03-27T00:00:00"/>
    <x v="0"/>
    <n v="99.95"/>
    <n v="0.2"/>
    <n v="42.318000000000005"/>
    <x v="2"/>
    <s v="Sí"/>
    <d v="2024-03-27T00:00:00"/>
    <n v="6"/>
  </r>
  <r>
    <s v="DEP-A0-3833"/>
    <x v="0"/>
    <n v="59"/>
    <x v="1"/>
    <s v="Blusa"/>
    <s v="Verde"/>
    <s v="Adidas"/>
    <s v="MER-A0-3833"/>
    <d v="2024-09-28T00:00:00"/>
    <x v="0"/>
    <n v="114.28"/>
    <n v="0.3"/>
    <n v="111.783"/>
    <x v="2"/>
    <s v="Sí"/>
    <d v="2025-09-23T00:00:00"/>
    <n v="12"/>
  </r>
  <r>
    <s v="DEP-A0-2173"/>
    <x v="0"/>
    <n v="37"/>
    <x v="1"/>
    <s v="Camisa"/>
    <s v="Verde"/>
    <s v="Nike"/>
    <s v="MER-A0-2173"/>
    <d v="2024-12-04T00:00:00"/>
    <x v="0"/>
    <n v="115.16"/>
    <n v="0.3"/>
    <n v="135.69"/>
    <x v="2"/>
    <s v="Sí"/>
    <d v="2025-08-31T00:00:00"/>
    <n v="9"/>
  </r>
  <r>
    <s v="DEP-A0-4289"/>
    <x v="0"/>
    <n v="49"/>
    <x v="1"/>
    <s v="Falda"/>
    <s v="Azul"/>
    <s v="Puma"/>
    <s v="MER-A0-4289"/>
    <d v="2024-12-09T00:00:00"/>
    <x v="0"/>
    <n v="89.8"/>
    <n v="0.1"/>
    <n v="131.57999999999998"/>
    <x v="2"/>
    <s v="Sí"/>
    <d v="2024-06-14T00:00:00"/>
    <n v="3"/>
  </r>
  <r>
    <s v="DEP-A0-2085"/>
    <x v="0"/>
    <n v="60"/>
    <x v="1"/>
    <s v="Blusa"/>
    <s v="Amarillo"/>
    <s v="Tommy"/>
    <s v="MER-A0-2085"/>
    <d v="2024-09-04T00:00:00"/>
    <x v="0"/>
    <n v="115.99"/>
    <n v="0.3"/>
    <n v="56.272999999999996"/>
    <x v="2"/>
    <s v="Sí"/>
    <d v="2024-09-04T00:00:00"/>
    <n v="9"/>
  </r>
  <r>
    <s v="DEP-A0-1335"/>
    <x v="0"/>
    <n v="44"/>
    <x v="1"/>
    <s v="Chaqueta"/>
    <s v="Gris"/>
    <s v="Adidas"/>
    <s v="MER-A0-1335"/>
    <d v="2024-12-08T00:00:00"/>
    <x v="0"/>
    <n v="101.9"/>
    <n v="0.2"/>
    <n v="154.184"/>
    <x v="2"/>
    <s v="Sí"/>
    <d v="2024-08-31T00:00:00"/>
    <n v="3"/>
  </r>
  <r>
    <s v="DEP-A0-4048"/>
    <x v="0"/>
    <n v="51"/>
    <x v="1"/>
    <s v="Blusa"/>
    <s v="Azul"/>
    <s v="Adidas"/>
    <s v="MER-A0-4048"/>
    <d v="2024-09-02T00:00:00"/>
    <x v="0"/>
    <n v="117.67"/>
    <n v="0.3"/>
    <n v="140.41"/>
    <x v="2"/>
    <s v="Sí"/>
    <d v="2024-12-01T00:00:00"/>
    <n v="3"/>
  </r>
  <r>
    <s v="DEP-A0-0286"/>
    <x v="1"/>
    <n v="47"/>
    <x v="1"/>
    <s v="Chaqueta"/>
    <s v="Blanco"/>
    <s v="Tommy"/>
    <s v="MER-A0-0286"/>
    <d v="2024-06-19T00:00:00"/>
    <x v="0"/>
    <n v="103.64"/>
    <n v="0.2"/>
    <n v="165.79"/>
    <x v="2"/>
    <s v="Sí"/>
    <d v="2025-06-14T00:00:00"/>
    <n v="12"/>
  </r>
  <r>
    <s v="DEP-A0-4032"/>
    <x v="0"/>
    <n v="63"/>
    <x v="1"/>
    <s v="Pantalón"/>
    <s v="Amarillo"/>
    <s v="Nike"/>
    <s v="MER-A0-4032"/>
    <d v="2024-05-21T00:00:00"/>
    <x v="0"/>
    <n v="92.22"/>
    <n v="0.1"/>
    <n v="67.858000000000004"/>
    <x v="2"/>
    <s v="Sí"/>
    <d v="2024-11-17T00:00:00"/>
    <n v="6"/>
  </r>
  <r>
    <s v="DEP-A0-3912"/>
    <x v="0"/>
    <n v="61"/>
    <x v="1"/>
    <s v="Zapatos"/>
    <s v="Verde"/>
    <s v="Adidas"/>
    <s v="MER-A0-3912"/>
    <d v="2024-04-26T00:00:00"/>
    <x v="0"/>
    <n v="92.35"/>
    <n v="0.1"/>
    <n v="151.69999999999999"/>
    <x v="2"/>
    <s v="Sí"/>
    <d v="2024-04-26T00:00:00"/>
    <n v="6"/>
  </r>
  <r>
    <s v="DEP-A0-0813"/>
    <x v="1"/>
    <n v="46"/>
    <x v="1"/>
    <s v="Zapatos"/>
    <s v="Amarillo"/>
    <s v="Puma"/>
    <s v="MER-A0-0813"/>
    <d v="2024-11-16T00:00:00"/>
    <x v="0"/>
    <n v="92.46"/>
    <n v="0.1"/>
    <n v="137.07000000000002"/>
    <x v="2"/>
    <s v="Sí"/>
    <d v="2025-11-11T00:00:00"/>
    <n v="12"/>
  </r>
  <r>
    <s v="DEP-A0-0627"/>
    <x v="0"/>
    <n v="63"/>
    <x v="1"/>
    <s v="Falda"/>
    <s v="Negro"/>
    <s v="Zara"/>
    <s v="MER-A0-0627"/>
    <d v="2024-05-02T00:00:00"/>
    <x v="0"/>
    <n v="83.5"/>
    <n v="0"/>
    <n v="52.948"/>
    <x v="2"/>
    <s v="Sí"/>
    <d v="2024-10-29T00:00:00"/>
    <n v="6"/>
  </r>
  <r>
    <s v="DEP-A0-3358"/>
    <x v="0"/>
    <n v="36"/>
    <x v="1"/>
    <s v="Falda"/>
    <s v="Gris"/>
    <s v="Nike"/>
    <s v="MER-A0-3358"/>
    <d v="2024-02-24T00:00:00"/>
    <x v="0"/>
    <n v="104.55"/>
    <n v="0.2"/>
    <n v="18.071999999999999"/>
    <x v="2"/>
    <s v="Sí"/>
    <d v="2024-08-22T00:00:00"/>
    <n v="6"/>
  </r>
  <r>
    <s v="DEP-A0-3917"/>
    <x v="0"/>
    <n v="41"/>
    <x v="1"/>
    <s v="Vestido"/>
    <s v="Azul"/>
    <s v="Nike"/>
    <s v="MER-A0-3917"/>
    <d v="2024-08-10T00:00:00"/>
    <x v="0"/>
    <n v="120.57"/>
    <n v="0.3"/>
    <n v="168.60599999999999"/>
    <x v="2"/>
    <s v="Sí"/>
    <d v="2025-05-07T00:00:00"/>
    <n v="9"/>
  </r>
  <r>
    <s v="DEP-A0-0275"/>
    <x v="0"/>
    <n v="58"/>
    <x v="1"/>
    <s v="Falda"/>
    <s v="Azul"/>
    <s v="Adidas"/>
    <s v="MER-A0-0275"/>
    <d v="2024-08-20T00:00:00"/>
    <x v="0"/>
    <n v="105.87"/>
    <n v="0.2"/>
    <n v="64.39"/>
    <x v="2"/>
    <s v="Sí"/>
    <d v="2024-08-20T00:00:00"/>
    <n v="12"/>
  </r>
  <r>
    <s v="DEP-A0-4940"/>
    <x v="0"/>
    <n v="47"/>
    <x v="1"/>
    <s v="Camisa"/>
    <s v="Amarillo"/>
    <s v="Adidas"/>
    <s v="MER-A0-4940"/>
    <d v="2024-09-19T00:00:00"/>
    <x v="0"/>
    <n v="121.01"/>
    <n v="0.3"/>
    <n v="44.24"/>
    <x v="2"/>
    <s v="Sí"/>
    <d v="2025-03-18T00:00:00"/>
    <n v="6"/>
  </r>
  <r>
    <s v="DEP-A0-0366"/>
    <x v="0"/>
    <n v="46"/>
    <x v="1"/>
    <s v="Falda"/>
    <s v="Gris"/>
    <s v="Adidas"/>
    <s v="MER-A0-0366"/>
    <d v="2024-09-13T00:00:00"/>
    <x v="0"/>
    <n v="121.05"/>
    <n v="0.3"/>
    <n v="138.41"/>
    <x v="2"/>
    <s v="Sí"/>
    <d v="2024-09-13T00:00:00"/>
    <n v="12"/>
  </r>
  <r>
    <s v="DEP-A0-3222"/>
    <x v="0"/>
    <n v="61"/>
    <x v="1"/>
    <s v="Vestido"/>
    <s v="Negro"/>
    <s v="Zara"/>
    <s v="MER-A0-3222"/>
    <d v="2024-03-20T00:00:00"/>
    <x v="0"/>
    <n v="85.04"/>
    <n v="0"/>
    <n v="181.95"/>
    <x v="2"/>
    <s v="Sí"/>
    <d v="2024-09-16T00:00:00"/>
    <n v="6"/>
  </r>
  <r>
    <s v="DEP-A0-3777"/>
    <x v="0"/>
    <n v="51"/>
    <x v="1"/>
    <s v="Zapatos"/>
    <s v="Azul"/>
    <s v="Zara"/>
    <s v="MER-A0-3777"/>
    <d v="2024-12-19T00:00:00"/>
    <x v="0"/>
    <n v="106.86"/>
    <n v="0.2"/>
    <n v="110.971"/>
    <x v="2"/>
    <s v="Sí"/>
    <d v="2025-03-19T00:00:00"/>
    <n v="3"/>
  </r>
  <r>
    <s v="DEP-A0-2722"/>
    <x v="0"/>
    <n v="52"/>
    <x v="1"/>
    <s v="Blusa"/>
    <s v="Verde"/>
    <s v="Nike"/>
    <s v="MER-A0-2722"/>
    <d v="2024-01-30T00:00:00"/>
    <x v="0"/>
    <n v="122.28"/>
    <n v="0.3"/>
    <n v="166.85"/>
    <x v="2"/>
    <s v="Sí"/>
    <d v="2024-07-28T00:00:00"/>
    <n v="6"/>
  </r>
  <r>
    <s v="DEP-A0-2649"/>
    <x v="0"/>
    <n v="48"/>
    <x v="1"/>
    <s v="Blusa"/>
    <s v="Verde"/>
    <s v="Levis"/>
    <s v="MER-A0-2649"/>
    <d v="2024-09-06T00:00:00"/>
    <x v="0"/>
    <n v="107.28"/>
    <n v="0.2"/>
    <n v="174.53"/>
    <x v="2"/>
    <s v="Sí"/>
    <d v="2024-12-05T00:00:00"/>
    <n v="3"/>
  </r>
  <r>
    <s v="DEP-A0-0233"/>
    <x v="1"/>
    <n v="63"/>
    <x v="1"/>
    <s v="Chaqueta"/>
    <s v="Azul"/>
    <s v="Mango"/>
    <s v="MER-A0-0233"/>
    <d v="2024-06-29T00:00:00"/>
    <x v="0"/>
    <n v="86.42"/>
    <n v="0"/>
    <n v="24.024000000000001"/>
    <x v="2"/>
    <s v="Sí"/>
    <d v="2024-09-27T00:00:00"/>
    <n v="3"/>
  </r>
  <r>
    <s v="DEP-A0-0779"/>
    <x v="1"/>
    <n v="38"/>
    <x v="1"/>
    <s v="Zapatos"/>
    <s v="Blanco"/>
    <s v="Levis"/>
    <s v="MER-A0-0779"/>
    <d v="2024-10-09T00:00:00"/>
    <x v="0"/>
    <n v="86.95"/>
    <n v="0"/>
    <n v="16.936"/>
    <x v="2"/>
    <s v="Sí"/>
    <d v="2025-04-07T00:00:00"/>
    <n v="6"/>
  </r>
  <r>
    <s v="DEP-A0-3551"/>
    <x v="0"/>
    <n v="57"/>
    <x v="1"/>
    <s v="Vestido"/>
    <s v="Azul"/>
    <s v="Levis"/>
    <s v="MER-A0-3551"/>
    <d v="2024-09-20T00:00:00"/>
    <x v="0"/>
    <n v="109.26"/>
    <n v="0.2"/>
    <n v="75.463999999999999"/>
    <x v="2"/>
    <s v="Sí"/>
    <d v="2024-12-19T00:00:00"/>
    <n v="3"/>
  </r>
  <r>
    <s v="DEP-A0-4669"/>
    <x v="0"/>
    <n v="50"/>
    <x v="1"/>
    <s v="Vestido"/>
    <s v="Blanco"/>
    <s v="Puma"/>
    <s v="MER-A0-4669"/>
    <d v="2024-05-06T00:00:00"/>
    <x v="0"/>
    <n v="126.1"/>
    <n v="0.3"/>
    <n v="130.50800000000001"/>
    <x v="2"/>
    <s v="Sí"/>
    <d v="2024-08-04T00:00:00"/>
    <n v="3"/>
  </r>
  <r>
    <s v="DEP-A0-2612"/>
    <x v="0"/>
    <n v="46"/>
    <x v="1"/>
    <s v="Chaqueta"/>
    <s v="Amarillo"/>
    <s v="Puma"/>
    <s v="MER-A0-2612"/>
    <d v="2024-05-21T00:00:00"/>
    <x v="0"/>
    <n v="110.56"/>
    <n v="0.2"/>
    <n v="102.717"/>
    <x v="2"/>
    <s v="Sí"/>
    <d v="2025-02-15T00:00:00"/>
    <n v="9"/>
  </r>
  <r>
    <s v="DEP-A0-3642"/>
    <x v="0"/>
    <n v="60"/>
    <x v="1"/>
    <s v="Vestido"/>
    <s v="Azul"/>
    <s v="Levis"/>
    <s v="MER-A0-3642"/>
    <d v="2024-12-23T00:00:00"/>
    <x v="0"/>
    <n v="111.03"/>
    <n v="0.2"/>
    <n v="79.8"/>
    <x v="2"/>
    <s v="Sí"/>
    <d v="2025-12-18T00:00:00"/>
    <n v="12"/>
  </r>
  <r>
    <s v="DEP-A0-3151"/>
    <x v="1"/>
    <n v="64"/>
    <x v="1"/>
    <s v="Pantalón"/>
    <s v="Negro"/>
    <s v="Nike"/>
    <s v="MER-A0-3151"/>
    <d v="2024-04-28T00:00:00"/>
    <x v="0"/>
    <n v="88.83"/>
    <n v="0"/>
    <n v="26.92"/>
    <x v="2"/>
    <s v="Sí"/>
    <d v="2024-04-28T00:00:00"/>
    <n v="9"/>
  </r>
  <r>
    <s v="DEP-A0-2296"/>
    <x v="0"/>
    <n v="51"/>
    <x v="1"/>
    <s v="Falda"/>
    <s v="Rojo"/>
    <s v="Adidas"/>
    <s v="MER-A0-2296"/>
    <d v="2024-02-13T00:00:00"/>
    <x v="0"/>
    <n v="98.97"/>
    <n v="0.1"/>
    <n v="142.256"/>
    <x v="2"/>
    <s v="Sí"/>
    <d v="2024-03-16T00:00:00"/>
    <n v="12"/>
  </r>
  <r>
    <s v="DEP-A0-1797"/>
    <x v="0"/>
    <n v="41"/>
    <x v="1"/>
    <s v="Falda"/>
    <s v="Verde"/>
    <s v="Levis"/>
    <s v="MER-A0-1797"/>
    <d v="2024-09-11T00:00:00"/>
    <x v="0"/>
    <n v="127.27"/>
    <n v="0.3"/>
    <n v="61.15"/>
    <x v="2"/>
    <s v="Sí"/>
    <d v="2024-09-11T00:00:00"/>
    <n v="6"/>
  </r>
  <r>
    <s v="DEP-A0-1351"/>
    <x v="0"/>
    <n v="36"/>
    <x v="1"/>
    <s v="Blusa"/>
    <s v="Rojo"/>
    <s v="Mango"/>
    <s v="MER-A0-1351"/>
    <d v="2024-04-14T00:00:00"/>
    <x v="0"/>
    <n v="111.95"/>
    <n v="0.2"/>
    <n v="182.27"/>
    <x v="2"/>
    <s v="Sí"/>
    <d v="2024-04-14T00:00:00"/>
    <n v="9"/>
  </r>
  <r>
    <s v="DEP-A0-2723"/>
    <x v="1"/>
    <n v="53"/>
    <x v="1"/>
    <s v="Chaqueta"/>
    <s v="Verde"/>
    <s v="Tommy"/>
    <s v="MER-A0-2723"/>
    <d v="2024-10-16T00:00:00"/>
    <x v="0"/>
    <n v="89.85"/>
    <n v="0"/>
    <n v="9.729000000000001"/>
    <x v="2"/>
    <s v="Sí"/>
    <d v="2025-01-14T00:00:00"/>
    <n v="3"/>
  </r>
  <r>
    <s v="DEP-A0-0783"/>
    <x v="0"/>
    <n v="45"/>
    <x v="1"/>
    <s v="Falda"/>
    <s v="Gris"/>
    <s v="Mango"/>
    <s v="MER-A0-0783"/>
    <d v="2024-02-26T00:00:00"/>
    <x v="0"/>
    <n v="128.63999999999999"/>
    <n v="0.3"/>
    <n v="38.57"/>
    <x v="2"/>
    <s v="Sí"/>
    <d v="2024-11-22T00:00:00"/>
    <n v="9"/>
  </r>
  <r>
    <s v="DEP-A0-1848"/>
    <x v="0"/>
    <n v="39"/>
    <x v="1"/>
    <s v="Camisa"/>
    <s v="Blanco"/>
    <s v="Nike"/>
    <s v="MER-A0-1848"/>
    <d v="2024-09-13T00:00:00"/>
    <x v="0"/>
    <n v="90.06"/>
    <n v="0"/>
    <n v="39.08"/>
    <x v="2"/>
    <s v="Sí"/>
    <d v="2024-09-13T00:00:00"/>
    <n v="12"/>
  </r>
  <r>
    <s v="DEP-A0-1998"/>
    <x v="0"/>
    <n v="46"/>
    <x v="1"/>
    <s v="Pantalón"/>
    <s v="Negro"/>
    <s v="Adidas"/>
    <s v="MER-A0-1998"/>
    <d v="2024-02-24T00:00:00"/>
    <x v="0"/>
    <n v="113.17"/>
    <n v="0.2"/>
    <n v="146.51"/>
    <x v="2"/>
    <s v="Sí"/>
    <d v="2025-02-18T00:00:00"/>
    <n v="12"/>
  </r>
  <r>
    <s v="DEP-A0-1522"/>
    <x v="0"/>
    <n v="47"/>
    <x v="1"/>
    <s v="Camisa"/>
    <s v="Gris"/>
    <s v="Levis"/>
    <s v="MER-A0-1522"/>
    <d v="2024-11-22T00:00:00"/>
    <x v="0"/>
    <n v="129.57"/>
    <n v="0.3"/>
    <n v="25.544"/>
    <x v="2"/>
    <s v="Sí"/>
    <d v="2025-08-19T00:00:00"/>
    <n v="9"/>
  </r>
  <r>
    <s v="DEP-A0-1492"/>
    <x v="1"/>
    <n v="56"/>
    <x v="1"/>
    <s v="Chaqueta"/>
    <s v="Azul"/>
    <s v="Adidas"/>
    <s v="MER-A0-1492"/>
    <d v="2024-12-09T00:00:00"/>
    <x v="0"/>
    <n v="91.27"/>
    <n v="0"/>
    <n v="41.741"/>
    <x v="2"/>
    <s v="Sí"/>
    <d v="2025-06-09T00:00:00"/>
    <n v="12"/>
  </r>
  <r>
    <s v="DEP-A0-2440"/>
    <x v="1"/>
    <n v="50"/>
    <x v="1"/>
    <s v="Chaqueta"/>
    <s v="Blanco"/>
    <s v="Adidas"/>
    <s v="MER-A0-2440"/>
    <d v="2024-08-29T00:00:00"/>
    <x v="0"/>
    <n v="91.66"/>
    <n v="0"/>
    <n v="70.316999999999993"/>
    <x v="2"/>
    <s v="Sí"/>
    <d v="2024-11-27T00:00:00"/>
    <n v="3"/>
  </r>
  <r>
    <s v="DEP-A0-4761"/>
    <x v="0"/>
    <n v="38"/>
    <x v="1"/>
    <s v="Blusa"/>
    <s v="Verde"/>
    <s v="Adidas"/>
    <s v="MER-A0-4761"/>
    <d v="2024-08-16T00:00:00"/>
    <x v="0"/>
    <n v="91.7"/>
    <n v="0"/>
    <n v="72.504000000000005"/>
    <x v="2"/>
    <s v="Sí"/>
    <d v="2024-08-16T00:00:00"/>
    <n v="6"/>
  </r>
  <r>
    <s v="DEP-A0-4304"/>
    <x v="0"/>
    <n v="58"/>
    <x v="1"/>
    <s v="Camisa"/>
    <s v="Azul"/>
    <s v="Mango"/>
    <s v="MER-A0-4304"/>
    <d v="2024-08-11T00:00:00"/>
    <x v="0"/>
    <n v="115.19"/>
    <n v="0.2"/>
    <n v="94.355999999999995"/>
    <x v="2"/>
    <s v="Sí"/>
    <d v="2024-08-11T00:00:00"/>
    <n v="9"/>
  </r>
  <r>
    <s v="DEP-A0-3523"/>
    <x v="0"/>
    <n v="64"/>
    <x v="1"/>
    <s v="Pantalón"/>
    <s v="Rojo"/>
    <s v="Levis"/>
    <s v="MER-A0-3523"/>
    <d v="2024-02-11T00:00:00"/>
    <x v="0"/>
    <n v="132.86000000000001"/>
    <n v="0.3"/>
    <n v="111.78"/>
    <x v="2"/>
    <s v="Sí"/>
    <d v="2024-02-11T00:00:00"/>
    <n v="6"/>
  </r>
  <r>
    <s v="DEP-A0-0942"/>
    <x v="0"/>
    <n v="50"/>
    <x v="1"/>
    <s v="Vestido"/>
    <s v="Azul"/>
    <s v="Zara"/>
    <s v="MER-A0-0942"/>
    <d v="2024-04-11T00:00:00"/>
    <x v="0"/>
    <n v="103.54"/>
    <n v="0.1"/>
    <n v="98.527999999999992"/>
    <x v="2"/>
    <s v="Sí"/>
    <d v="2024-07-10T00:00:00"/>
    <n v="3"/>
  </r>
  <r>
    <s v="DEP-A0-1910"/>
    <x v="1"/>
    <n v="43"/>
    <x v="1"/>
    <s v="Chaqueta"/>
    <s v="Verde"/>
    <s v="Tommy"/>
    <s v="MER-A0-1910"/>
    <d v="2024-02-17T00:00:00"/>
    <x v="0"/>
    <n v="93.77"/>
    <n v="0"/>
    <n v="124.352"/>
    <x v="2"/>
    <s v="Sí"/>
    <d v="2024-02-17T00:00:00"/>
    <n v="12"/>
  </r>
  <r>
    <s v="DEP-A0-3741"/>
    <x v="0"/>
    <n v="36"/>
    <x v="1"/>
    <s v="Falda"/>
    <s v="Blanco"/>
    <s v="Puma"/>
    <s v="MER-A0-3741"/>
    <d v="2024-05-23T00:00:00"/>
    <x v="0"/>
    <n v="94.28"/>
    <n v="0"/>
    <n v="158.256"/>
    <x v="2"/>
    <s v="Sí"/>
    <d v="2025-02-17T00:00:00"/>
    <n v="9"/>
  </r>
  <r>
    <s v="DEP-A0-1408"/>
    <x v="0"/>
    <n v="57"/>
    <x v="1"/>
    <s v="Pantalón"/>
    <s v="Azul"/>
    <s v="Mango"/>
    <s v="MER-A0-1408"/>
    <d v="2024-10-22T00:00:00"/>
    <x v="0"/>
    <n v="94.29"/>
    <n v="0"/>
    <n v="183.45"/>
    <x v="2"/>
    <s v="Sí"/>
    <d v="2025-04-20T00:00:00"/>
    <n v="6"/>
  </r>
  <r>
    <s v="DEP-A0-2829"/>
    <x v="0"/>
    <n v="47"/>
    <x v="1"/>
    <s v="Blusa"/>
    <s v="Verde"/>
    <s v="Adidas"/>
    <s v="MER-A0-2829"/>
    <d v="2024-04-23T00:00:00"/>
    <x v="0"/>
    <n v="94.49"/>
    <n v="0"/>
    <n v="17.18"/>
    <x v="2"/>
    <s v="Sí"/>
    <d v="2024-04-23T00:00:00"/>
    <n v="6"/>
  </r>
  <r>
    <s v="DEP-A0-2883"/>
    <x v="0"/>
    <n v="47"/>
    <x v="1"/>
    <s v="Zapatos"/>
    <s v="Rojo"/>
    <s v="Tommy"/>
    <s v="MER-A0-2883"/>
    <d v="2024-12-05T00:00:00"/>
    <x v="0"/>
    <n v="135.21"/>
    <n v="0.3"/>
    <n v="18.856000000000002"/>
    <x v="2"/>
    <s v="Sí"/>
    <d v="2025-11-30T00:00:00"/>
    <n v="12"/>
  </r>
  <r>
    <s v="DEP-A0-1676"/>
    <x v="0"/>
    <n v="50"/>
    <x v="1"/>
    <s v="Chaqueta"/>
    <s v="Amarillo"/>
    <s v="Levis"/>
    <s v="MER-A0-1676"/>
    <d v="2024-04-20T00:00:00"/>
    <x v="0"/>
    <n v="135.47999999999999"/>
    <n v="0.3"/>
    <n v="16.722999999999999"/>
    <x v="2"/>
    <s v="Sí"/>
    <d v="2024-04-20T00:00:00"/>
    <n v="6"/>
  </r>
  <r>
    <s v="DEP-A0-1685"/>
    <x v="1"/>
    <n v="50"/>
    <x v="1"/>
    <s v="Pantalón"/>
    <s v="Rojo"/>
    <s v="Zara"/>
    <s v="MER-A0-1685"/>
    <d v="2024-08-05T00:00:00"/>
    <x v="0"/>
    <n v="136.16999999999999"/>
    <n v="0.3"/>
    <n v="31.34"/>
    <x v="2"/>
    <s v="Sí"/>
    <d v="2025-02-01T00:00:00"/>
    <n v="6"/>
  </r>
  <r>
    <s v="DEP-A0-0382"/>
    <x v="0"/>
    <n v="49"/>
    <x v="1"/>
    <s v="Falda"/>
    <s v="Gris"/>
    <s v="Mango"/>
    <s v="MER-A0-0382"/>
    <d v="2024-11-28T00:00:00"/>
    <x v="0"/>
    <n v="105.93"/>
    <n v="0.1"/>
    <n v="29.681999999999995"/>
    <x v="2"/>
    <s v="Sí"/>
    <d v="2025-05-27T00:00:00"/>
    <n v="6"/>
  </r>
  <r>
    <s v="DEP-A0-3429"/>
    <x v="1"/>
    <n v="53"/>
    <x v="1"/>
    <s v="Pantalón"/>
    <s v="Blanco"/>
    <s v="Mango"/>
    <s v="MER-A0-3429"/>
    <d v="2024-10-19T00:00:00"/>
    <x v="0"/>
    <n v="95.51"/>
    <n v="0"/>
    <n v="34.244"/>
    <x v="2"/>
    <s v="Sí"/>
    <d v="2025-01-17T00:00:00"/>
    <n v="3"/>
  </r>
  <r>
    <s v="DEP-A0-0448"/>
    <x v="0"/>
    <n v="60"/>
    <x v="1"/>
    <s v="Falda"/>
    <s v="Azul"/>
    <s v="Mango"/>
    <s v="MER-A0-0448"/>
    <d v="2024-08-05T00:00:00"/>
    <x v="0"/>
    <n v="95.57"/>
    <n v="0"/>
    <n v="45.306000000000004"/>
    <x v="2"/>
    <s v="Sí"/>
    <d v="2024-11-03T00:00:00"/>
    <n v="3"/>
  </r>
  <r>
    <s v="DEP-A0-4887"/>
    <x v="0"/>
    <n v="56"/>
    <x v="1"/>
    <s v="Pantalón"/>
    <s v="Negro"/>
    <s v="Tommy"/>
    <s v="MER-A0-4887"/>
    <d v="2024-01-17T00:00:00"/>
    <x v="0"/>
    <n v="119.81"/>
    <n v="0.2"/>
    <n v="41.495999999999995"/>
    <x v="2"/>
    <s v="Sí"/>
    <d v="2024-01-17T00:00:00"/>
    <n v="12"/>
  </r>
  <r>
    <s v="DEP-A0-0321"/>
    <x v="0"/>
    <n v="64"/>
    <x v="1"/>
    <s v="Falda"/>
    <s v="Verde"/>
    <s v="Puma"/>
    <s v="MER-A0-0321"/>
    <d v="2024-04-19T00:00:00"/>
    <x v="0"/>
    <n v="137.36000000000001"/>
    <n v="0.3"/>
    <n v="38.444000000000003"/>
    <x v="2"/>
    <s v="Sí"/>
    <d v="2025-04-14T00:00:00"/>
    <n v="12"/>
  </r>
  <r>
    <s v="DEP-A0-2523"/>
    <x v="1"/>
    <n v="50"/>
    <x v="1"/>
    <s v="Chaqueta"/>
    <s v="Rojo"/>
    <s v="Puma"/>
    <s v="MER-A0-2523"/>
    <d v="2024-02-14T00:00:00"/>
    <x v="0"/>
    <n v="138.11000000000001"/>
    <n v="0.3"/>
    <n v="60.77"/>
    <x v="2"/>
    <s v="Sí"/>
    <d v="2024-02-14T00:00:00"/>
    <n v="3"/>
  </r>
  <r>
    <s v="DEP-A0-1947"/>
    <x v="0"/>
    <n v="46"/>
    <x v="1"/>
    <s v="Falda"/>
    <s v="Negro"/>
    <s v="Puma"/>
    <s v="MER-A0-1947"/>
    <d v="2024-04-20T00:00:00"/>
    <x v="0"/>
    <n v="121.35"/>
    <n v="0.2"/>
    <n v="49.239999999999995"/>
    <x v="2"/>
    <s v="Sí"/>
    <d v="2024-04-20T00:00:00"/>
    <n v="3"/>
  </r>
  <r>
    <s v="DEP-A0-4406"/>
    <x v="1"/>
    <n v="62"/>
    <x v="1"/>
    <s v="Camisa"/>
    <s v="Blanco"/>
    <s v="Tommy"/>
    <s v="MER-A0-4406"/>
    <d v="2024-04-30T00:00:00"/>
    <x v="0"/>
    <n v="108.24"/>
    <n v="0.1"/>
    <n v="63.9"/>
    <x v="2"/>
    <s v="Sí"/>
    <d v="2024-04-30T00:00:00"/>
    <n v="3"/>
  </r>
  <r>
    <s v="DEP-A0-1235"/>
    <x v="0"/>
    <n v="58"/>
    <x v="1"/>
    <s v="Pantalón"/>
    <s v="Rojo"/>
    <s v="Tommy"/>
    <s v="MER-A0-1235"/>
    <d v="2024-03-09T00:00:00"/>
    <x v="0"/>
    <n v="121.84"/>
    <n v="0.2"/>
    <n v="53.809000000000005"/>
    <x v="2"/>
    <s v="Sí"/>
    <d v="2024-03-09T00:00:00"/>
    <n v="3"/>
  </r>
  <r>
    <s v="DEP-A0-3425"/>
    <x v="0"/>
    <n v="55"/>
    <x v="1"/>
    <s v="Vestido"/>
    <s v="Blanco"/>
    <s v="Nike"/>
    <s v="MER-A0-3425"/>
    <d v="2024-05-30T00:00:00"/>
    <x v="0"/>
    <n v="139.38"/>
    <n v="0.3"/>
    <n v="65.927999999999997"/>
    <x v="2"/>
    <s v="Sí"/>
    <d v="2025-02-24T00:00:00"/>
    <n v="9"/>
  </r>
  <r>
    <s v="DEP-A0-0080"/>
    <x v="0"/>
    <n v="65"/>
    <x v="1"/>
    <s v="Vestido"/>
    <s v="Negro"/>
    <s v="Adidas"/>
    <s v="MER-A0-0080"/>
    <d v="2024-01-19T00:00:00"/>
    <x v="0"/>
    <n v="122.32"/>
    <n v="0.2"/>
    <n v="84.231000000000009"/>
    <x v="2"/>
    <s v="Sí"/>
    <d v="2024-01-19T00:00:00"/>
    <n v="9"/>
  </r>
  <r>
    <s v="DEP-A0-2787"/>
    <x v="0"/>
    <n v="62"/>
    <x v="1"/>
    <s v="Chaqueta"/>
    <s v="Verde"/>
    <s v="Nike"/>
    <s v="MER-A0-2787"/>
    <d v="2024-11-22T00:00:00"/>
    <x v="0"/>
    <n v="139.84"/>
    <n v="0.3"/>
    <n v="79.88"/>
    <x v="2"/>
    <s v="Sí"/>
    <d v="2024-12-17T00:00:00"/>
    <n v="6"/>
  </r>
  <r>
    <s v="DEP-A0-3801"/>
    <x v="0"/>
    <n v="55"/>
    <x v="1"/>
    <s v="Chaqueta"/>
    <s v="Rojo"/>
    <s v="Levis"/>
    <s v="MER-A0-3801"/>
    <d v="2024-04-15T00:00:00"/>
    <x v="0"/>
    <n v="140.31"/>
    <n v="0.3"/>
    <n v="103.95"/>
    <x v="2"/>
    <s v="Sí"/>
    <d v="2024-04-15T00:00:00"/>
    <n v="9"/>
  </r>
  <r>
    <s v="DEP-A0-2344"/>
    <x v="0"/>
    <n v="37"/>
    <x v="1"/>
    <s v="Falda"/>
    <s v="Verde"/>
    <s v="Nike"/>
    <s v="MER-A0-2344"/>
    <d v="2024-10-16T00:00:00"/>
    <x v="0"/>
    <n v="140.34"/>
    <n v="0.3"/>
    <n v="94.032000000000011"/>
    <x v="2"/>
    <s v="Sí"/>
    <d v="2025-10-11T00:00:00"/>
    <n v="12"/>
  </r>
  <r>
    <s v="DEP-A0-0641"/>
    <x v="0"/>
    <n v="37"/>
    <x v="1"/>
    <s v="Camisa"/>
    <s v="Negro"/>
    <s v="Tommy"/>
    <s v="MER-A0-0641"/>
    <d v="2024-03-11T00:00:00"/>
    <x v="0"/>
    <n v="98.38"/>
    <n v="0"/>
    <n v="114.9"/>
    <x v="2"/>
    <s v="Sí"/>
    <d v="2025-03-06T00:00:00"/>
    <n v="12"/>
  </r>
  <r>
    <s v="DEP-A0-2854"/>
    <x v="0"/>
    <n v="51"/>
    <x v="1"/>
    <s v="Vestido"/>
    <s v="Verde"/>
    <s v="Mango"/>
    <s v="MER-A0-2854"/>
    <d v="2024-10-29T00:00:00"/>
    <x v="0"/>
    <n v="123"/>
    <n v="0.2"/>
    <n v="89.376000000000005"/>
    <x v="2"/>
    <s v="Sí"/>
    <d v="2025-01-27T00:00:00"/>
    <n v="3"/>
  </r>
  <r>
    <s v="DEP-A0-0280"/>
    <x v="1"/>
    <n v="44"/>
    <x v="1"/>
    <s v="Chaqueta"/>
    <s v="Negro"/>
    <s v="Levis"/>
    <s v="MER-A0-0280"/>
    <d v="2024-04-06T00:00:00"/>
    <x v="0"/>
    <n v="98.89"/>
    <n v="0"/>
    <n v="118.467"/>
    <x v="2"/>
    <s v="Sí"/>
    <d v="2024-04-06T00:00:00"/>
    <n v="9"/>
  </r>
  <r>
    <s v="DEP-A0-0042"/>
    <x v="0"/>
    <n v="53"/>
    <x v="1"/>
    <s v="Chaqueta"/>
    <s v="Blanco"/>
    <s v="Tommy"/>
    <s v="MER-A0-0042"/>
    <d v="2024-02-24T00:00:00"/>
    <x v="0"/>
    <n v="123.7"/>
    <n v="0.2"/>
    <n v="92.638000000000005"/>
    <x v="2"/>
    <s v="Sí"/>
    <d v="2024-02-24T00:00:00"/>
    <n v="12"/>
  </r>
  <r>
    <s v="DEP-A0-3454"/>
    <x v="0"/>
    <n v="48"/>
    <x v="1"/>
    <s v="Pantalón"/>
    <s v="Azul"/>
    <s v="Adidas"/>
    <s v="MER-A0-3454"/>
    <d v="2024-06-01T00:00:00"/>
    <x v="0"/>
    <n v="99.56"/>
    <n v="0"/>
    <n v="132.77699999999999"/>
    <x v="2"/>
    <s v="Sí"/>
    <d v="2024-08-30T00:00:00"/>
    <n v="3"/>
  </r>
  <r>
    <s v="DEP-A0-3366"/>
    <x v="0"/>
    <n v="57"/>
    <x v="1"/>
    <s v="Blusa"/>
    <s v="Amarillo"/>
    <s v="Puma"/>
    <s v="MER-A0-3366"/>
    <d v="2024-03-18T00:00:00"/>
    <x v="0"/>
    <n v="99.83"/>
    <n v="0"/>
    <n v="154.08000000000001"/>
    <x v="2"/>
    <s v="Sí"/>
    <d v="2024-12-13T00:00:00"/>
    <n v="9"/>
  </r>
  <r>
    <s v="DEP-A0-1779"/>
    <x v="0"/>
    <n v="48"/>
    <x v="1"/>
    <s v="Falda"/>
    <s v="Rojo"/>
    <s v="Nike"/>
    <s v="MER-A0-1779"/>
    <d v="2024-03-08T00:00:00"/>
    <x v="0"/>
    <n v="99.98"/>
    <n v="0"/>
    <n v="125.968"/>
    <x v="2"/>
    <s v="Sí"/>
    <d v="2024-03-08T00:00:00"/>
    <n v="3"/>
  </r>
  <r>
    <s v="DEP-A0-4058"/>
    <x v="0"/>
    <n v="51"/>
    <x v="1"/>
    <s v="Blusa"/>
    <s v="Rojo"/>
    <s v="Levis"/>
    <s v="MER-A0-4058"/>
    <d v="2024-12-23T00:00:00"/>
    <x v="0"/>
    <n v="111.18"/>
    <n v="0.1"/>
    <n v="165.59"/>
    <x v="2"/>
    <s v="Sí"/>
    <d v="2024-10-10T00:00:00"/>
    <n v="9"/>
  </r>
  <r>
    <s v="DEP-A0-3562"/>
    <x v="1"/>
    <n v="46"/>
    <x v="1"/>
    <s v="Zapatos"/>
    <s v="Blanco"/>
    <s v="Nike"/>
    <s v="MER-A0-3562"/>
    <d v="2024-10-16T00:00:00"/>
    <x v="0"/>
    <n v="100.16"/>
    <n v="0"/>
    <n v="153.02699999999999"/>
    <x v="2"/>
    <s v="Sí"/>
    <d v="2025-01-14T00:00:00"/>
    <n v="3"/>
  </r>
  <r>
    <s v="DEP-A0-3339"/>
    <x v="0"/>
    <n v="47"/>
    <x v="1"/>
    <s v="Pantalón"/>
    <s v="Rojo"/>
    <s v="Tommy"/>
    <s v="MER-A0-3339"/>
    <d v="2024-12-23T00:00:00"/>
    <x v="0"/>
    <n v="143.46"/>
    <n v="0.3"/>
    <n v="139.26400000000001"/>
    <x v="2"/>
    <s v="Sí"/>
    <d v="2024-07-04T00:00:00"/>
    <n v="6"/>
  </r>
  <r>
    <s v="DEP-A0-0818"/>
    <x v="0"/>
    <n v="38"/>
    <x v="1"/>
    <s v="Chaqueta"/>
    <s v="Blanco"/>
    <s v="Zara"/>
    <s v="MER-A0-0818"/>
    <d v="2024-03-05T00:00:00"/>
    <x v="0"/>
    <n v="143.51"/>
    <n v="0.3"/>
    <n v="148.208"/>
    <x v="2"/>
    <s v="Sí"/>
    <d v="2024-03-05T00:00:00"/>
    <n v="6"/>
  </r>
  <r>
    <s v="DEP-A0-1225"/>
    <x v="0"/>
    <n v="60"/>
    <x v="1"/>
    <s v="Pantalón"/>
    <s v="Verde"/>
    <s v="Zara"/>
    <s v="MER-A0-1225"/>
    <d v="2024-08-03T00:00:00"/>
    <x v="0"/>
    <n v="111.79"/>
    <n v="0.1"/>
    <n v="150.376"/>
    <x v="2"/>
    <s v="Sí"/>
    <d v="2024-11-01T00:00:00"/>
    <n v="3"/>
  </r>
  <r>
    <s v="DEP-A0-2059"/>
    <x v="1"/>
    <n v="45"/>
    <x v="1"/>
    <s v="Camisa"/>
    <s v="Verde"/>
    <s v="Adidas"/>
    <s v="MER-A0-2059"/>
    <d v="2024-03-13T00:00:00"/>
    <x v="0"/>
    <n v="100.62"/>
    <n v="0"/>
    <n v="152.83199999999999"/>
    <x v="2"/>
    <s v="Sí"/>
    <d v="2024-03-13T00:00:00"/>
    <n v="3"/>
  </r>
  <r>
    <s v="DEP-A0-4735"/>
    <x v="0"/>
    <n v="48"/>
    <x v="1"/>
    <s v="Falda"/>
    <s v="Gris"/>
    <s v="Levis"/>
    <s v="MER-A0-4735"/>
    <d v="2024-08-28T00:00:00"/>
    <x v="0"/>
    <n v="143.86000000000001"/>
    <n v="0.3"/>
    <n v="179.44200000000001"/>
    <x v="2"/>
    <s v="Sí"/>
    <d v="2024-08-28T00:00:00"/>
    <n v="12"/>
  </r>
  <r>
    <s v="DEP-A0-4477"/>
    <x v="0"/>
    <n v="53"/>
    <x v="1"/>
    <s v="Vestido"/>
    <s v="Amarillo"/>
    <s v="Mango"/>
    <s v="MER-A0-4477"/>
    <d v="2024-12-19T00:00:00"/>
    <x v="0"/>
    <n v="112.45"/>
    <n v="0.1"/>
    <n v="17.378999999999998"/>
    <x v="2"/>
    <s v="Sí"/>
    <d v="2025-06-17T00:00:00"/>
    <n v="6"/>
  </r>
  <r>
    <s v="DEP-A0-1648"/>
    <x v="1"/>
    <n v="56"/>
    <x v="1"/>
    <s v="Camisa"/>
    <s v="Rojo"/>
    <s v="Puma"/>
    <s v="MER-A0-1648"/>
    <d v="2024-03-23T00:00:00"/>
    <x v="0"/>
    <n v="126.59"/>
    <n v="0.2"/>
    <n v="23.99"/>
    <x v="2"/>
    <s v="Sí"/>
    <d v="2024-03-23T00:00:00"/>
    <n v="12"/>
  </r>
  <r>
    <s v="DEP-A0-0429"/>
    <x v="0"/>
    <n v="57"/>
    <x v="1"/>
    <s v="Vestido"/>
    <s v="Negro"/>
    <s v="Zara"/>
    <s v="MER-A0-0429"/>
    <d v="2024-09-10T00:00:00"/>
    <x v="0"/>
    <n v="144.84"/>
    <n v="0.3"/>
    <n v="22.077999999999999"/>
    <x v="2"/>
    <s v="Sí"/>
    <d v="2024-09-10T00:00:00"/>
    <n v="6"/>
  </r>
  <r>
    <s v="DEP-A0-1062"/>
    <x v="1"/>
    <n v="65"/>
    <x v="1"/>
    <s v="Pantalón"/>
    <s v="Rojo"/>
    <s v="Mango"/>
    <s v="MER-A0-1062"/>
    <d v="2024-08-12T00:00:00"/>
    <x v="0"/>
    <n v="144.86000000000001"/>
    <n v="0.3"/>
    <n v="36.25"/>
    <x v="2"/>
    <s v="Sí"/>
    <d v="2025-02-08T00:00:00"/>
    <n v="6"/>
  </r>
  <r>
    <s v="DEP-A0-4481"/>
    <x v="0"/>
    <n v="51"/>
    <x v="1"/>
    <s v="Falda"/>
    <s v="Amarillo"/>
    <s v="Nike"/>
    <s v="MER-A0-4481"/>
    <d v="2024-01-24T00:00:00"/>
    <x v="0"/>
    <n v="112.69"/>
    <n v="0.1"/>
    <n v="40.519999999999996"/>
    <x v="2"/>
    <s v="Sí"/>
    <d v="2024-01-24T00:00:00"/>
    <n v="12"/>
  </r>
  <r>
    <s v="DEP-A0-4348"/>
    <x v="0"/>
    <n v="64"/>
    <x v="1"/>
    <s v="Zapatos"/>
    <s v="Amarillo"/>
    <s v="Nike"/>
    <s v="MER-A0-4348"/>
    <d v="2024-08-10T00:00:00"/>
    <x v="0"/>
    <n v="101.51"/>
    <n v="0"/>
    <n v="39.850999999999999"/>
    <x v="2"/>
    <s v="Sí"/>
    <d v="2024-08-10T00:00:00"/>
    <n v="9"/>
  </r>
  <r>
    <s v="DEP-A0-2247"/>
    <x v="0"/>
    <n v="39"/>
    <x v="1"/>
    <s v="Blusa"/>
    <s v="Negro"/>
    <s v="Nike"/>
    <s v="MER-A0-2247"/>
    <d v="2024-12-23T00:00:00"/>
    <x v="0"/>
    <n v="127.76"/>
    <n v="0.2"/>
    <n v="86.58"/>
    <x v="2"/>
    <s v="Sí"/>
    <d v="2024-09-27T00:00:00"/>
    <n v="9"/>
  </r>
  <r>
    <s v="DEP-A0-4791"/>
    <x v="0"/>
    <n v="49"/>
    <x v="1"/>
    <s v="Camisa"/>
    <s v="Blanco"/>
    <s v="Levis"/>
    <s v="MER-A0-4791"/>
    <d v="2024-01-17T00:00:00"/>
    <x v="0"/>
    <n v="146.61000000000001"/>
    <n v="0.3"/>
    <n v="116.70299999999999"/>
    <x v="2"/>
    <s v="Sí"/>
    <d v="2024-04-16T00:00:00"/>
    <n v="3"/>
  </r>
  <r>
    <s v="DEP-A0-3062"/>
    <x v="1"/>
    <n v="50"/>
    <x v="1"/>
    <s v="Chaqueta"/>
    <s v="Gris"/>
    <s v="Mango"/>
    <s v="MER-A0-3062"/>
    <d v="2024-08-31T00:00:00"/>
    <x v="0"/>
    <n v="102.64"/>
    <n v="0"/>
    <n v="120.75299999999999"/>
    <x v="2"/>
    <s v="Sí"/>
    <d v="2024-08-31T00:00:00"/>
    <n v="9"/>
  </r>
  <r>
    <s v="DEP-A0-1692"/>
    <x v="0"/>
    <n v="48"/>
    <x v="1"/>
    <s v="Pantalón"/>
    <s v="Verde"/>
    <s v="Mango"/>
    <s v="MER-A0-1692"/>
    <d v="2024-12-23T00:00:00"/>
    <x v="0"/>
    <n v="147.91999999999999"/>
    <n v="0.3"/>
    <n v="115.328"/>
    <x v="2"/>
    <s v="Sí"/>
    <d v="2024-07-02T00:00:00"/>
    <n v="6"/>
  </r>
  <r>
    <s v="DEP-A0-1927"/>
    <x v="0"/>
    <n v="51"/>
    <x v="1"/>
    <s v="Falda"/>
    <s v="Blanco"/>
    <s v="Tommy"/>
    <s v="MER-A0-1927"/>
    <d v="2024-08-02T00:00:00"/>
    <x v="0"/>
    <n v="148.18"/>
    <n v="0.3"/>
    <n v="117.72"/>
    <x v="2"/>
    <s v="Sí"/>
    <d v="2025-07-28T00:00:00"/>
    <n v="12"/>
  </r>
  <r>
    <s v="DEP-A0-2548"/>
    <x v="0"/>
    <n v="60"/>
    <x v="1"/>
    <s v="Vestido"/>
    <s v="Negro"/>
    <s v="Nike"/>
    <s v="MER-A0-2548"/>
    <d v="2024-03-25T00:00:00"/>
    <x v="0"/>
    <n v="104.4"/>
    <n v="0"/>
    <n v="114.71600000000001"/>
    <x v="2"/>
    <s v="Sí"/>
    <d v="2024-03-25T00:00:00"/>
    <n v="9"/>
  </r>
  <r>
    <s v="DEP-A0-3628"/>
    <x v="0"/>
    <n v="56"/>
    <x v="1"/>
    <s v="Falda"/>
    <s v="Amarillo"/>
    <s v="Mango"/>
    <s v="MER-A0-3628"/>
    <d v="2024-04-14T00:00:00"/>
    <x v="0"/>
    <n v="130.6"/>
    <n v="0.2"/>
    <n v="122.437"/>
    <x v="2"/>
    <s v="Sí"/>
    <d v="2025-04-09T00:00:00"/>
    <n v="12"/>
  </r>
  <r>
    <s v="DEP-A0-4041"/>
    <x v="1"/>
    <n v="39"/>
    <x v="1"/>
    <s v="Chaqueta"/>
    <s v="Gris"/>
    <s v="Nike"/>
    <s v="MER-A0-4041"/>
    <d v="2024-11-02T00:00:00"/>
    <x v="0"/>
    <n v="105.82"/>
    <n v="0"/>
    <n v="147.15199999999999"/>
    <x v="2"/>
    <s v="Sí"/>
    <d v="2025-10-28T00:00:00"/>
    <n v="12"/>
  </r>
  <r>
    <s v="DEP-A0-4545"/>
    <x v="0"/>
    <n v="55"/>
    <x v="1"/>
    <s v="Chaqueta"/>
    <s v="Negro"/>
    <s v="Mango"/>
    <s v="MER-A0-4545"/>
    <d v="2024-02-25T00:00:00"/>
    <x v="0"/>
    <n v="151.18"/>
    <n v="0.3"/>
    <n v="150.91199999999998"/>
    <x v="2"/>
    <s v="Sí"/>
    <d v="2024-02-25T00:00:00"/>
    <n v="12"/>
  </r>
  <r>
    <s v="DEP-A0-4153"/>
    <x v="0"/>
    <n v="61"/>
    <x v="1"/>
    <s v="Vestido"/>
    <s v="Gris"/>
    <s v="Mango"/>
    <s v="MER-A0-4153"/>
    <d v="2024-08-03T00:00:00"/>
    <x v="0"/>
    <n v="118.36"/>
    <n v="0.1"/>
    <n v="17.402000000000001"/>
    <x v="2"/>
    <s v="Sí"/>
    <d v="2024-11-01T00:00:00"/>
    <n v="3"/>
  </r>
  <r>
    <s v="DEP-A0-3491"/>
    <x v="1"/>
    <n v="61"/>
    <x v="1"/>
    <s v="Zapatos"/>
    <s v="Rojo"/>
    <s v="Tommy"/>
    <s v="MER-A0-3491"/>
    <d v="2024-02-12T00:00:00"/>
    <x v="0"/>
    <n v="152.66"/>
    <n v="0.3"/>
    <n v="21.791999999999998"/>
    <x v="2"/>
    <s v="Sí"/>
    <d v="2024-05-12T00:00:00"/>
    <n v="3"/>
  </r>
  <r>
    <s v="DEP-A0-2868"/>
    <x v="0"/>
    <n v="38"/>
    <x v="1"/>
    <s v="Vestido"/>
    <s v="Azul"/>
    <s v="Mango"/>
    <s v="MER-A0-2868"/>
    <d v="2024-12-23T00:00:00"/>
    <x v="0"/>
    <n v="152.81"/>
    <n v="0.3"/>
    <n v="27.448"/>
    <x v="2"/>
    <s v="Sí"/>
    <d v="2024-04-11T00:00:00"/>
    <n v="3"/>
  </r>
  <r>
    <s v="DEP-A0-0924"/>
    <x v="1"/>
    <n v="53"/>
    <x v="1"/>
    <s v="Zapatos"/>
    <s v="Azul"/>
    <s v="Zara"/>
    <s v="MER-A0-0924"/>
    <d v="2024-01-21T00:00:00"/>
    <x v="0"/>
    <n v="134.16999999999999"/>
    <n v="0.2"/>
    <n v="35.882999999999996"/>
    <x v="2"/>
    <s v="Sí"/>
    <d v="2024-01-21T00:00:00"/>
    <n v="9"/>
  </r>
  <r>
    <s v="DEP-A0-4946"/>
    <x v="1"/>
    <n v="39"/>
    <x v="1"/>
    <s v="Pantalón"/>
    <s v="Rojo"/>
    <s v="Mango"/>
    <s v="MER-A0-4946"/>
    <d v="2024-02-19T00:00:00"/>
    <x v="0"/>
    <n v="134.38"/>
    <n v="0.2"/>
    <n v="44.360999999999997"/>
    <x v="2"/>
    <s v="Sí"/>
    <d v="2024-11-15T00:00:00"/>
    <n v="9"/>
  </r>
  <r>
    <s v="DEP-A0-2675"/>
    <x v="0"/>
    <n v="63"/>
    <x v="1"/>
    <s v="Falda"/>
    <s v="Rojo"/>
    <s v="Zara"/>
    <s v="MER-A0-2675"/>
    <d v="2024-02-28T00:00:00"/>
    <x v="0"/>
    <n v="134.61000000000001"/>
    <n v="0.2"/>
    <n v="59.53"/>
    <x v="2"/>
    <s v="Sí"/>
    <d v="2024-02-28T00:00:00"/>
    <n v="6"/>
  </r>
  <r>
    <s v="DEP-A0-3894"/>
    <x v="0"/>
    <n v="62"/>
    <x v="1"/>
    <s v="Vestido"/>
    <s v="Amarillo"/>
    <s v="Levis"/>
    <s v="MER-A0-3894"/>
    <d v="2024-03-10T00:00:00"/>
    <x v="0"/>
    <n v="135.03"/>
    <n v="0.2"/>
    <n v="69.81"/>
    <x v="2"/>
    <s v="Sí"/>
    <d v="2024-12-05T00:00:00"/>
    <n v="9"/>
  </r>
  <r>
    <s v="DEP-A0-3189"/>
    <x v="0"/>
    <n v="45"/>
    <x v="1"/>
    <s v="Vestido"/>
    <s v="Verde"/>
    <s v="Mango"/>
    <s v="MER-A0-3189"/>
    <d v="2024-02-13T00:00:00"/>
    <x v="0"/>
    <n v="135.15"/>
    <n v="0.2"/>
    <n v="76.61"/>
    <x v="2"/>
    <s v="Sí"/>
    <d v="2024-03-20T00:00:00"/>
    <n v="9"/>
  </r>
  <r>
    <s v="DEP-A0-3125"/>
    <x v="1"/>
    <n v="56"/>
    <x v="1"/>
    <s v="Camisa"/>
    <s v="Negro"/>
    <s v="Levis"/>
    <s v="MER-A0-3125"/>
    <d v="2024-12-08T00:00:00"/>
    <x v="0"/>
    <n v="135.46"/>
    <n v="0.2"/>
    <n v="77.540000000000006"/>
    <x v="2"/>
    <s v="Sí"/>
    <d v="2024-06-13T00:00:00"/>
    <n v="12"/>
  </r>
  <r>
    <s v="DEP-A0-1431"/>
    <x v="0"/>
    <n v="48"/>
    <x v="1"/>
    <s v="Falda"/>
    <s v="Verde"/>
    <s v="Levis"/>
    <s v="MER-A0-1431"/>
    <d v="2024-07-16T00:00:00"/>
    <x v="0"/>
    <n v="155.35"/>
    <n v="0.3"/>
    <n v="64.344000000000008"/>
    <x v="2"/>
    <s v="Sí"/>
    <d v="2025-01-12T00:00:00"/>
    <n v="6"/>
  </r>
  <r>
    <s v="DEP-A0-3280"/>
    <x v="0"/>
    <n v="51"/>
    <x v="1"/>
    <s v="Blusa"/>
    <s v="Negro"/>
    <s v="Zara"/>
    <s v="MER-A0-3280"/>
    <d v="2024-03-11T00:00:00"/>
    <x v="0"/>
    <n v="121.16"/>
    <n v="0.1"/>
    <n v="59.227000000000004"/>
    <x v="2"/>
    <s v="Sí"/>
    <d v="2024-12-06T00:00:00"/>
    <n v="9"/>
  </r>
  <r>
    <s v="DEP-A0-2473"/>
    <x v="0"/>
    <n v="58"/>
    <x v="1"/>
    <s v="Falda"/>
    <s v="Rojo"/>
    <s v="Mango"/>
    <s v="MER-A0-2473"/>
    <d v="2024-03-11T00:00:00"/>
    <x v="0"/>
    <n v="109.85"/>
    <n v="0"/>
    <n v="61.466999999999999"/>
    <x v="2"/>
    <s v="Sí"/>
    <d v="2024-03-11T00:00:00"/>
    <n v="9"/>
  </r>
  <r>
    <s v="DEP-A0-4862"/>
    <x v="0"/>
    <n v="59"/>
    <x v="1"/>
    <s v="Blusa"/>
    <s v="Verde"/>
    <s v="Mango"/>
    <s v="MER-A0-4862"/>
    <d v="2024-02-13T00:00:00"/>
    <x v="0"/>
    <n v="157.1"/>
    <n v="0.3"/>
    <n v="62.804000000000002"/>
    <x v="2"/>
    <s v="Sí"/>
    <d v="2024-02-13T00:00:00"/>
    <n v="12"/>
  </r>
  <r>
    <s v="DEP-A0-1193"/>
    <x v="1"/>
    <n v="52"/>
    <x v="1"/>
    <s v="Zapatos"/>
    <s v="Azul"/>
    <s v="Mango"/>
    <s v="MER-A0-1193"/>
    <d v="2024-09-18T00:00:00"/>
    <x v="0"/>
    <n v="157.15"/>
    <n v="0.3"/>
    <n v="73.048000000000002"/>
    <x v="2"/>
    <s v="Sí"/>
    <d v="2024-09-18T00:00:00"/>
    <n v="3"/>
  </r>
  <r>
    <s v="DEP-A0-1593"/>
    <x v="1"/>
    <n v="54"/>
    <x v="1"/>
    <s v="Zapatos"/>
    <s v="Rojo"/>
    <s v="Mango"/>
    <s v="MER-A0-1593"/>
    <d v="2024-12-23T00:00:00"/>
    <x v="0"/>
    <n v="137.84"/>
    <n v="0.2"/>
    <n v="92.28"/>
    <x v="2"/>
    <s v="Sí"/>
    <d v="2024-07-04T00:00:00"/>
    <n v="6"/>
  </r>
  <r>
    <s v="DEP-A0-0121"/>
    <x v="0"/>
    <n v="37"/>
    <x v="1"/>
    <s v="Zapatos"/>
    <s v="Negro"/>
    <s v="Puma"/>
    <s v="MER-A0-0121"/>
    <d v="2024-02-14T00:00:00"/>
    <x v="0"/>
    <n v="122.79"/>
    <n v="0.1"/>
    <n v="67.192999999999998"/>
    <x v="2"/>
    <s v="Sí"/>
    <d v="2024-11-10T00:00:00"/>
    <n v="9"/>
  </r>
  <r>
    <s v="DEP-A0-0716"/>
    <x v="0"/>
    <n v="56"/>
    <x v="1"/>
    <s v="Blusa"/>
    <s v="Negro"/>
    <s v="Levis"/>
    <s v="MER-A0-0716"/>
    <d v="2024-03-09T00:00:00"/>
    <x v="0"/>
    <n v="138.41"/>
    <n v="0.2"/>
    <n v="86.625"/>
    <x v="2"/>
    <s v="Sí"/>
    <d v="2024-06-07T00:00:00"/>
    <n v="3"/>
  </r>
  <r>
    <s v="DEP-A0-1226"/>
    <x v="0"/>
    <n v="51"/>
    <x v="1"/>
    <s v="Zapatos"/>
    <s v="Amarillo"/>
    <s v="Adidas"/>
    <s v="MER-A0-1226"/>
    <d v="2024-05-11T00:00:00"/>
    <x v="0"/>
    <n v="158.27000000000001"/>
    <n v="0.3"/>
    <n v="80.597999999999999"/>
    <x v="2"/>
    <s v="Sí"/>
    <d v="2025-02-05T00:00:00"/>
    <n v="9"/>
  </r>
  <r>
    <s v="DEP-A0-0652"/>
    <x v="0"/>
    <n v="43"/>
    <x v="1"/>
    <s v="Vestido"/>
    <s v="Blanco"/>
    <s v="Puma"/>
    <s v="MER-A0-0652"/>
    <d v="2024-08-30T00:00:00"/>
    <x v="0"/>
    <n v="123.17"/>
    <n v="0.1"/>
    <n v="84.371000000000009"/>
    <x v="2"/>
    <s v="Sí"/>
    <d v="2024-08-30T00:00:00"/>
    <n v="9"/>
  </r>
  <r>
    <s v="DEP-A0-4412"/>
    <x v="0"/>
    <n v="43"/>
    <x v="1"/>
    <s v="Blusa"/>
    <s v="Rojo"/>
    <s v="Mango"/>
    <s v="MER-A0-4412"/>
    <d v="2024-02-13T00:00:00"/>
    <x v="0"/>
    <n v="138.58000000000001"/>
    <n v="0.2"/>
    <n v="120.76"/>
    <x v="2"/>
    <s v="Sí"/>
    <d v="2024-11-09T00:00:00"/>
    <n v="9"/>
  </r>
  <r>
    <s v="DEP-A0-2188"/>
    <x v="1"/>
    <n v="39"/>
    <x v="1"/>
    <s v="Pantalón"/>
    <s v="Rojo"/>
    <s v="Adidas"/>
    <s v="MER-A0-2188"/>
    <d v="2024-09-12T00:00:00"/>
    <x v="0"/>
    <n v="158.49"/>
    <n v="0.3"/>
    <n v="123.44"/>
    <x v="2"/>
    <s v="Sí"/>
    <d v="2025-09-07T00:00:00"/>
    <n v="12"/>
  </r>
  <r>
    <s v="DEP-A0-0077"/>
    <x v="0"/>
    <n v="46"/>
    <x v="1"/>
    <s v="Camisa"/>
    <s v="Verde"/>
    <s v="Levis"/>
    <s v="MER-A0-0077"/>
    <d v="2024-09-25T00:00:00"/>
    <x v="0"/>
    <n v="138.85"/>
    <n v="0.2"/>
    <n v="131.97"/>
    <x v="2"/>
    <s v="Sí"/>
    <d v="2025-03-24T00:00:00"/>
    <n v="6"/>
  </r>
  <r>
    <s v="DEP-A0-3770"/>
    <x v="0"/>
    <n v="41"/>
    <x v="1"/>
    <s v="Falda"/>
    <s v="Verde"/>
    <s v="Nike"/>
    <s v="MER-A0-3770"/>
    <d v="2024-12-09T00:00:00"/>
    <x v="0"/>
    <n v="138.88999999999999"/>
    <n v="0.2"/>
    <n v="107.768"/>
    <x v="2"/>
    <s v="Sí"/>
    <d v="2024-12-11T00:00:00"/>
    <n v="6"/>
  </r>
  <r>
    <s v="DEP-A0-1350"/>
    <x v="0"/>
    <n v="56"/>
    <x v="1"/>
    <s v="Chaqueta"/>
    <s v="Negro"/>
    <s v="Puma"/>
    <s v="MER-A0-1350"/>
    <d v="2024-08-25T00:00:00"/>
    <x v="0"/>
    <n v="111.23"/>
    <n v="0"/>
    <n v="113.208"/>
    <x v="2"/>
    <s v="Sí"/>
    <d v="2024-08-25T00:00:00"/>
    <n v="6"/>
  </r>
  <r>
    <s v="DEP-A0-3141"/>
    <x v="0"/>
    <n v="63"/>
    <x v="1"/>
    <s v="Vestido"/>
    <s v="Azul"/>
    <s v="Mango"/>
    <s v="MER-A0-3141"/>
    <d v="2024-01-20T00:00:00"/>
    <x v="0"/>
    <n v="139.12"/>
    <n v="0.2"/>
    <n v="155.49"/>
    <x v="2"/>
    <s v="Sí"/>
    <d v="2024-01-20T00:00:00"/>
    <n v="12"/>
  </r>
  <r>
    <s v="DEP-A0-0247"/>
    <x v="0"/>
    <n v="46"/>
    <x v="1"/>
    <s v="Blusa"/>
    <s v="Verde"/>
    <s v="Puma"/>
    <s v="MER-A0-0247"/>
    <d v="2024-02-11T00:00:00"/>
    <x v="0"/>
    <n v="111.65"/>
    <n v="0"/>
    <n v="157.24"/>
    <x v="2"/>
    <s v="Sí"/>
    <d v="2024-02-11T00:00:00"/>
    <n v="3"/>
  </r>
  <r>
    <s v="DEP-A0-3758"/>
    <x v="0"/>
    <n v="53"/>
    <x v="1"/>
    <s v="Blusa"/>
    <s v="Azul"/>
    <s v="Puma"/>
    <s v="MER-A0-3758"/>
    <d v="2024-02-22T00:00:00"/>
    <x v="0"/>
    <n v="159.80000000000001"/>
    <n v="0.3"/>
    <n v="128.06400000000002"/>
    <x v="2"/>
    <s v="Sí"/>
    <d v="2024-05-22T00:00:00"/>
    <n v="3"/>
  </r>
  <r>
    <s v="DEP-A0-0272"/>
    <x v="1"/>
    <n v="58"/>
    <x v="1"/>
    <s v="Zapatos"/>
    <s v="Rojo"/>
    <s v="Levis"/>
    <s v="MER-A0-0272"/>
    <d v="2024-02-16T00:00:00"/>
    <x v="0"/>
    <n v="140.13999999999999"/>
    <n v="0.2"/>
    <n v="172.6"/>
    <x v="2"/>
    <s v="Sí"/>
    <d v="2024-02-16T00:00:00"/>
    <n v="9"/>
  </r>
  <r>
    <s v="DEP-A0-2545"/>
    <x v="0"/>
    <n v="55"/>
    <x v="1"/>
    <s v="Zapatos"/>
    <s v="Blanco"/>
    <s v="Adidas"/>
    <s v="MER-A0-2545"/>
    <d v="2024-12-09T00:00:00"/>
    <x v="0"/>
    <n v="160.97999999999999"/>
    <n v="0.3"/>
    <n v="169.37100000000001"/>
    <x v="2"/>
    <s v="Sí"/>
    <d v="2024-06-07T00:00:00"/>
    <n v="3"/>
  </r>
  <r>
    <s v="DEP-A0-4797"/>
    <x v="1"/>
    <n v="39"/>
    <x v="1"/>
    <s v="Zapatos"/>
    <s v="Amarillo"/>
    <s v="Tommy"/>
    <s v="MER-A0-4797"/>
    <d v="2024-04-04T00:00:00"/>
    <x v="0"/>
    <n v="125.21"/>
    <n v="0.1"/>
    <n v="131.78199999999998"/>
    <x v="2"/>
    <s v="Sí"/>
    <d v="2024-04-04T00:00:00"/>
    <n v="6"/>
  </r>
  <r>
    <s v="DEP-A0-4513"/>
    <x v="0"/>
    <n v="52"/>
    <x v="1"/>
    <s v="Pantalón"/>
    <s v="Rojo"/>
    <s v="Adidas"/>
    <s v="MER-A0-4513"/>
    <d v="2024-01-22T00:00:00"/>
    <x v="0"/>
    <n v="112.99"/>
    <n v="0"/>
    <n v="159.38399999999999"/>
    <x v="2"/>
    <s v="Sí"/>
    <d v="2025-01-16T00:00:00"/>
    <n v="12"/>
  </r>
  <r>
    <s v="DEP-A0-3121"/>
    <x v="1"/>
    <n v="46"/>
    <x v="1"/>
    <s v="Zapatos"/>
    <s v="Negro"/>
    <s v="Adidas"/>
    <s v="MER-A0-3121"/>
    <d v="2024-08-26T00:00:00"/>
    <x v="0"/>
    <n v="125.83"/>
    <n v="0.1"/>
    <n v="8.8159999999999989"/>
    <x v="2"/>
    <s v="Sí"/>
    <d v="2024-08-26T00:00:00"/>
    <n v="3"/>
  </r>
  <r>
    <s v="DEP-A0-1787"/>
    <x v="1"/>
    <n v="39"/>
    <x v="1"/>
    <s v="Chaqueta"/>
    <s v="Azul"/>
    <s v="Adidas"/>
    <s v="MER-A0-1787"/>
    <d v="2024-06-29T00:00:00"/>
    <x v="0"/>
    <n v="162.38"/>
    <n v="0.3"/>
    <n v="36.423000000000002"/>
    <x v="2"/>
    <s v="Sí"/>
    <d v="2024-12-26T00:00:00"/>
    <n v="6"/>
  </r>
  <r>
    <s v="DEP-A0-1473"/>
    <x v="0"/>
    <n v="51"/>
    <x v="1"/>
    <s v="Blusa"/>
    <s v="Azul"/>
    <s v="Puma"/>
    <s v="MER-A0-1473"/>
    <d v="2024-11-06T00:00:00"/>
    <x v="0"/>
    <n v="164.53"/>
    <n v="0.3"/>
    <n v="78.52"/>
    <x v="2"/>
    <s v="Sí"/>
    <d v="2025-02-04T00:00:00"/>
    <n v="3"/>
  </r>
  <r>
    <s v="DEP-A0-3823"/>
    <x v="0"/>
    <n v="39"/>
    <x v="1"/>
    <s v="Pantalón"/>
    <s v="Gris"/>
    <s v="Nike"/>
    <s v="MER-A0-3823"/>
    <d v="2024-01-20T00:00:00"/>
    <x v="0"/>
    <n v="115.23"/>
    <n v="0"/>
    <n v="84.393000000000001"/>
    <x v="2"/>
    <s v="Sí"/>
    <d v="2024-01-20T00:00:00"/>
    <n v="12"/>
  </r>
  <r>
    <s v="DEP-A0-3483"/>
    <x v="0"/>
    <n v="55"/>
    <x v="1"/>
    <s v="Camisa"/>
    <s v="Azul"/>
    <s v="Tommy"/>
    <s v="MER-A0-3483"/>
    <d v="2024-01-31T00:00:00"/>
    <x v="0"/>
    <n v="165.09"/>
    <n v="0.3"/>
    <n v="118.02"/>
    <x v="2"/>
    <s v="Sí"/>
    <d v="2024-01-31T00:00:00"/>
    <n v="6"/>
  </r>
  <r>
    <s v="DEP-A0-3615"/>
    <x v="0"/>
    <n v="55"/>
    <x v="1"/>
    <s v="Camisa"/>
    <s v="Rojo"/>
    <s v="Zara"/>
    <s v="MER-A0-3615"/>
    <d v="2024-02-13T00:00:00"/>
    <x v="0"/>
    <n v="129.32"/>
    <n v="0.1"/>
    <n v="127.84"/>
    <x v="2"/>
    <s v="Sí"/>
    <d v="2024-06-22T00:00:00"/>
    <n v="3"/>
  </r>
  <r>
    <s v="DEP-A0-3091"/>
    <x v="1"/>
    <n v="56"/>
    <x v="1"/>
    <s v="Chaqueta"/>
    <s v="Azul"/>
    <s v="Adidas"/>
    <s v="MER-A0-3091"/>
    <d v="2024-05-11T00:00:00"/>
    <x v="0"/>
    <n v="166.69"/>
    <n v="0.3"/>
    <n v="137.28"/>
    <x v="2"/>
    <s v="Sí"/>
    <d v="2024-08-09T00:00:00"/>
    <n v="3"/>
  </r>
  <r>
    <s v="DEP-A0-3168"/>
    <x v="0"/>
    <n v="63"/>
    <x v="1"/>
    <s v="Falda"/>
    <s v="Blanco"/>
    <s v="Puma"/>
    <s v="MER-A0-3168"/>
    <d v="2024-02-16T00:00:00"/>
    <x v="0"/>
    <n v="145.94"/>
    <n v="0.2"/>
    <n v="120.988"/>
    <x v="2"/>
    <s v="Sí"/>
    <d v="2024-02-16T00:00:00"/>
    <n v="9"/>
  </r>
  <r>
    <s v="DEP-A0-3918"/>
    <x v="0"/>
    <n v="61"/>
    <x v="1"/>
    <s v="Falda"/>
    <s v="Azul"/>
    <s v="Nike"/>
    <s v="MER-A0-3918"/>
    <d v="2024-04-10T00:00:00"/>
    <x v="0"/>
    <n v="146.44"/>
    <n v="0.2"/>
    <n v="131.86599999999999"/>
    <x v="2"/>
    <s v="Sí"/>
    <d v="2024-04-10T00:00:00"/>
    <n v="9"/>
  </r>
  <r>
    <s v="DEP-A0-1420"/>
    <x v="0"/>
    <n v="55"/>
    <x v="1"/>
    <s v="Falda"/>
    <s v="Verde"/>
    <s v="Tommy"/>
    <s v="MER-A0-1420"/>
    <d v="2024-02-26T00:00:00"/>
    <x v="0"/>
    <n v="130.30000000000001"/>
    <n v="0.1"/>
    <n v="7.7839999999999989"/>
    <x v="2"/>
    <s v="Sí"/>
    <d v="2024-02-26T00:00:00"/>
    <n v="12"/>
  </r>
  <r>
    <s v="DEP-A0-2570"/>
    <x v="0"/>
    <n v="42"/>
    <x v="1"/>
    <s v="Chaqueta"/>
    <s v="Azul"/>
    <s v="Levis"/>
    <s v="MER-A0-2570"/>
    <d v="2024-03-14T00:00:00"/>
    <x v="0"/>
    <n v="167.55"/>
    <n v="0.3"/>
    <n v="9.1280000000000001"/>
    <x v="2"/>
    <s v="Sí"/>
    <d v="2024-03-14T00:00:00"/>
    <n v="9"/>
  </r>
  <r>
    <s v="DEP-A0-1309"/>
    <x v="0"/>
    <n v="40"/>
    <x v="1"/>
    <s v="Vestido"/>
    <s v="Rojo"/>
    <s v="Tommy"/>
    <s v="MER-A0-1309"/>
    <d v="2024-08-20T00:00:00"/>
    <x v="0"/>
    <n v="117.31"/>
    <n v="0"/>
    <n v="9.1980000000000004"/>
    <x v="2"/>
    <s v="Sí"/>
    <d v="2025-08-15T00:00:00"/>
    <n v="12"/>
  </r>
  <r>
    <s v="DEP-A0-2338"/>
    <x v="1"/>
    <n v="65"/>
    <x v="1"/>
    <s v="Zapatos"/>
    <s v="Blanco"/>
    <s v="Adidas"/>
    <s v="MER-A0-2338"/>
    <d v="2024-09-17T00:00:00"/>
    <x v="0"/>
    <n v="130.44999999999999"/>
    <n v="0.1"/>
    <n v="10.8"/>
    <x v="2"/>
    <s v="Sí"/>
    <d v="2025-03-16T00:00:00"/>
    <n v="6"/>
  </r>
  <r>
    <s v="DEP-A0-0721"/>
    <x v="0"/>
    <n v="42"/>
    <x v="1"/>
    <s v="Blusa"/>
    <s v="Negro"/>
    <s v="Puma"/>
    <s v="MER-A0-0721"/>
    <d v="2024-07-18T00:00:00"/>
    <x v="0"/>
    <n v="168.72"/>
    <n v="0.3"/>
    <n v="12.712"/>
    <x v="2"/>
    <s v="Sí"/>
    <d v="2024-07-18T00:00:00"/>
    <n v="6"/>
  </r>
  <r>
    <s v="DEP-A0-4132"/>
    <x v="0"/>
    <n v="36"/>
    <x v="1"/>
    <s v="Blusa"/>
    <s v="Amarillo"/>
    <s v="Zara"/>
    <s v="MER-A0-4132"/>
    <d v="2024-05-01T00:00:00"/>
    <x v="0"/>
    <n v="147.91"/>
    <n v="0.2"/>
    <n v="14.35"/>
    <x v="2"/>
    <s v="Sí"/>
    <d v="2024-05-01T00:00:00"/>
    <n v="12"/>
  </r>
  <r>
    <s v="DEP-A0-3944"/>
    <x v="0"/>
    <n v="44"/>
    <x v="1"/>
    <s v="Falda"/>
    <s v="Blanco"/>
    <s v="Nike"/>
    <s v="MER-A0-3944"/>
    <d v="2024-05-08T00:00:00"/>
    <x v="0"/>
    <n v="132.44999999999999"/>
    <n v="0.1"/>
    <n v="16.268000000000001"/>
    <x v="2"/>
    <s v="Sí"/>
    <d v="2025-05-03T00:00:00"/>
    <n v="12"/>
  </r>
  <r>
    <s v="DEP-A0-4366"/>
    <x v="0"/>
    <n v="44"/>
    <x v="1"/>
    <s v="Falda"/>
    <s v="Rojo"/>
    <s v="Adidas"/>
    <s v="MER-A0-4366"/>
    <d v="2024-09-22T00:00:00"/>
    <x v="0"/>
    <n v="170.48"/>
    <n v="0.3"/>
    <n v="16.541999999999998"/>
    <x v="2"/>
    <s v="Sí"/>
    <d v="2025-09-17T00:00:00"/>
    <n v="12"/>
  </r>
  <r>
    <s v="DEP-A0-2521"/>
    <x v="1"/>
    <n v="44"/>
    <x v="1"/>
    <s v="Pantalón"/>
    <s v="Gris"/>
    <s v="Nike"/>
    <s v="MER-A0-2521"/>
    <d v="2024-01-28T00:00:00"/>
    <x v="0"/>
    <n v="170.79"/>
    <n v="0.3"/>
    <n v="16.696000000000002"/>
    <x v="2"/>
    <s v="Sí"/>
    <d v="2025-01-22T00:00:00"/>
    <n v="12"/>
  </r>
  <r>
    <s v="DEP-A0-1696"/>
    <x v="0"/>
    <n v="44"/>
    <x v="1"/>
    <s v="Falda"/>
    <s v="Blanco"/>
    <s v="Nike"/>
    <s v="MER-A0-1696"/>
    <d v="2024-10-14T00:00:00"/>
    <x v="0"/>
    <n v="149.94999999999999"/>
    <n v="0.2"/>
    <n v="18.186"/>
    <x v="2"/>
    <s v="Sí"/>
    <d v="2025-07-11T00:00:00"/>
    <n v="9"/>
  </r>
  <r>
    <s v="DEP-A0-1828"/>
    <x v="1"/>
    <n v="65"/>
    <x v="1"/>
    <s v="Camisa"/>
    <s v="Gris"/>
    <s v="Tommy"/>
    <s v="MER-A0-1828"/>
    <d v="2024-09-27T00:00:00"/>
    <x v="0"/>
    <n v="133.41"/>
    <n v="0.1"/>
    <n v="20.408000000000001"/>
    <x v="2"/>
    <s v="Sí"/>
    <d v="2025-03-26T00:00:00"/>
    <n v="6"/>
  </r>
  <r>
    <s v="DEP-A0-0058"/>
    <x v="0"/>
    <n v="63"/>
    <x v="1"/>
    <s v="Pantalón"/>
    <s v="Verde"/>
    <s v="Nike"/>
    <s v="MER-A0-0058"/>
    <d v="2024-02-29T00:00:00"/>
    <x v="0"/>
    <n v="172.45"/>
    <n v="0.3"/>
    <n v="21.952000000000002"/>
    <x v="2"/>
    <s v="Sí"/>
    <d v="2024-02-29T00:00:00"/>
    <n v="6"/>
  </r>
  <r>
    <s v="DEP-A0-4511"/>
    <x v="0"/>
    <n v="58"/>
    <x v="1"/>
    <s v="Zapatos"/>
    <s v="Verde"/>
    <s v="Adidas"/>
    <s v="MER-A0-4511"/>
    <d v="2024-09-03T00:00:00"/>
    <x v="0"/>
    <n v="151.01"/>
    <n v="0.2"/>
    <n v="22.008000000000003"/>
    <x v="2"/>
    <s v="Sí"/>
    <d v="2024-09-03T00:00:00"/>
    <n v="3"/>
  </r>
  <r>
    <s v="DEP-A0-3979"/>
    <x v="1"/>
    <n v="62"/>
    <x v="1"/>
    <s v="Zapatos"/>
    <s v="Verde"/>
    <s v="Tommy"/>
    <s v="MER-A0-3979"/>
    <d v="2024-08-16T00:00:00"/>
    <x v="0"/>
    <n v="172.6"/>
    <n v="0.3"/>
    <n v="22.472000000000001"/>
    <x v="2"/>
    <s v="Sí"/>
    <d v="2025-02-12T00:00:00"/>
    <n v="6"/>
  </r>
  <r>
    <s v="DEP-A0-0453"/>
    <x v="0"/>
    <n v="59"/>
    <x v="1"/>
    <s v="Falda"/>
    <s v="Blanco"/>
    <s v="Levis"/>
    <s v="MER-A0-0453"/>
    <d v="2024-10-12T00:00:00"/>
    <x v="0"/>
    <n v="121.17"/>
    <n v="0"/>
    <n v="23.149000000000001"/>
    <x v="2"/>
    <s v="Sí"/>
    <d v="2024-10-12T00:00:00"/>
    <n v="9"/>
  </r>
  <r>
    <s v="DEP-A0-4899"/>
    <x v="0"/>
    <n v="40"/>
    <x v="1"/>
    <s v="Blusa"/>
    <s v="Verde"/>
    <s v="Nike"/>
    <s v="MER-A0-4899"/>
    <d v="2024-02-16T00:00:00"/>
    <x v="0"/>
    <n v="151.52000000000001"/>
    <n v="0.2"/>
    <n v="23.56"/>
    <x v="2"/>
    <s v="Sí"/>
    <d v="2024-02-16T00:00:00"/>
    <n v="6"/>
  </r>
  <r>
    <s v="DEP-A0-0672"/>
    <x v="1"/>
    <n v="50"/>
    <x v="1"/>
    <s v="Pantalón"/>
    <s v="Negro"/>
    <s v="Nike"/>
    <s v="MER-A0-0672"/>
    <d v="2024-06-11T00:00:00"/>
    <x v="0"/>
    <n v="136.41"/>
    <n v="0.1"/>
    <n v="24.704999999999998"/>
    <x v="2"/>
    <s v="Sí"/>
    <d v="2024-09-09T00:00:00"/>
    <n v="3"/>
  </r>
  <r>
    <s v="DEP-A0-3293"/>
    <x v="0"/>
    <n v="45"/>
    <x v="1"/>
    <s v="Blusa"/>
    <s v="Blanco"/>
    <s v="Zara"/>
    <s v="MER-A0-3293"/>
    <d v="2024-09-08T00:00:00"/>
    <x v="0"/>
    <n v="136.44999999999999"/>
    <n v="0.1"/>
    <n v="25.451999999999998"/>
    <x v="2"/>
    <s v="Sí"/>
    <d v="2025-09-03T00:00:00"/>
    <n v="12"/>
  </r>
  <r>
    <s v="DEP-A0-4855"/>
    <x v="0"/>
    <n v="45"/>
    <x v="1"/>
    <s v="Falda"/>
    <s v="Gris"/>
    <s v="Adidas"/>
    <s v="MER-A0-4855"/>
    <d v="2024-08-31T00:00:00"/>
    <x v="0"/>
    <n v="136.58000000000001"/>
    <n v="0.1"/>
    <n v="25.95"/>
    <x v="2"/>
    <s v="Sí"/>
    <d v="2024-11-29T00:00:00"/>
    <n v="3"/>
  </r>
  <r>
    <s v="DEP-A0-3907"/>
    <x v="0"/>
    <n v="51"/>
    <x v="1"/>
    <s v="Zapatos"/>
    <s v="Blanco"/>
    <s v="Nike"/>
    <s v="MER-A0-3907"/>
    <d v="2024-04-23T00:00:00"/>
    <x v="0"/>
    <n v="176.31"/>
    <n v="0.3"/>
    <n v="29.6"/>
    <x v="2"/>
    <s v="Sí"/>
    <d v="2025-01-18T00:00:00"/>
    <n v="9"/>
  </r>
  <r>
    <s v="DEP-A0-3676"/>
    <x v="0"/>
    <n v="45"/>
    <x v="1"/>
    <s v="Falda"/>
    <s v="Gris"/>
    <s v="Nike"/>
    <s v="MER-A0-3676"/>
    <d v="2024-01-25T00:00:00"/>
    <x v="0"/>
    <n v="176.95"/>
    <n v="0.3"/>
    <n v="31.045000000000002"/>
    <x v="2"/>
    <s v="Sí"/>
    <d v="2024-01-25T00:00:00"/>
    <n v="3"/>
  </r>
  <r>
    <s v="DEP-A0-4809"/>
    <x v="1"/>
    <n v="43"/>
    <x v="1"/>
    <s v="Zapatos"/>
    <s v="Gris"/>
    <s v="Tommy"/>
    <s v="MER-A0-4809"/>
    <d v="2024-12-10T00:00:00"/>
    <x v="0"/>
    <n v="124.46"/>
    <n v="0"/>
    <n v="32.216000000000001"/>
    <x v="2"/>
    <s v="Sí"/>
    <d v="2024-06-03T00:00:00"/>
    <n v="12"/>
  </r>
  <r>
    <s v="DEP-A0-2022"/>
    <x v="0"/>
    <n v="61"/>
    <x v="1"/>
    <s v="Falda"/>
    <s v="Blanco"/>
    <s v="Nike"/>
    <s v="MER-A0-2022"/>
    <d v="2024-01-19T00:00:00"/>
    <x v="0"/>
    <n v="138.75"/>
    <n v="0.1"/>
    <n v="33.129000000000005"/>
    <x v="2"/>
    <s v="Sí"/>
    <d v="2024-01-19T00:00:00"/>
    <n v="12"/>
  </r>
  <r>
    <s v="DEP-A0-4988"/>
    <x v="1"/>
    <n v="57"/>
    <x v="1"/>
    <s v="Chaqueta"/>
    <s v="Azul"/>
    <s v="Zara"/>
    <s v="MER-A0-4988"/>
    <d v="2024-01-27T00:00:00"/>
    <x v="0"/>
    <n v="178.59"/>
    <n v="0.3"/>
    <n v="34.281000000000006"/>
    <x v="2"/>
    <s v="Sí"/>
    <d v="2024-04-26T00:00:00"/>
    <n v="3"/>
  </r>
  <r>
    <s v="DEP-A0-3154"/>
    <x v="0"/>
    <n v="43"/>
    <x v="1"/>
    <s v="Camisa"/>
    <s v="Azul"/>
    <s v="Puma"/>
    <s v="MER-A0-3154"/>
    <d v="2024-06-30T00:00:00"/>
    <x v="0"/>
    <n v="125.24"/>
    <n v="0"/>
    <n v="35.387999999999998"/>
    <x v="2"/>
    <s v="Sí"/>
    <d v="2025-03-27T00:00:00"/>
    <n v="9"/>
  </r>
  <r>
    <s v="DEP-A0-1623"/>
    <x v="1"/>
    <n v="47"/>
    <x v="1"/>
    <s v="Chaqueta"/>
    <s v="Rojo"/>
    <s v="Tommy"/>
    <s v="MER-A0-1623"/>
    <d v="2024-05-23T00:00:00"/>
    <x v="0"/>
    <n v="139.51"/>
    <n v="0.1"/>
    <n v="36.323999999999998"/>
    <x v="2"/>
    <s v="Sí"/>
    <d v="2024-11-19T00:00:00"/>
    <n v="6"/>
  </r>
  <r>
    <s v="DEP-A0-2031"/>
    <x v="1"/>
    <n v="58"/>
    <x v="1"/>
    <s v="Chaqueta"/>
    <s v="Blanco"/>
    <s v="Adidas"/>
    <s v="MER-A0-2031"/>
    <d v="2024-02-14T00:00:00"/>
    <x v="0"/>
    <n v="179.56"/>
    <n v="0.3"/>
    <n v="37.44"/>
    <x v="2"/>
    <s v="Sí"/>
    <d v="2024-02-14T00:00:00"/>
    <n v="6"/>
  </r>
  <r>
    <s v="DEP-A0-3136"/>
    <x v="1"/>
    <n v="48"/>
    <x v="1"/>
    <s v="Camisa"/>
    <s v="Rojo"/>
    <s v="Zara"/>
    <s v="MER-A0-3136"/>
    <d v="2024-10-29T00:00:00"/>
    <x v="0"/>
    <n v="157.46"/>
    <n v="0.2"/>
    <n v="41.341999999999999"/>
    <x v="2"/>
    <s v="Sí"/>
    <d v="2025-01-27T00:00:00"/>
    <n v="3"/>
  </r>
  <r>
    <s v="DEP-A0-3772"/>
    <x v="0"/>
    <n v="41"/>
    <x v="1"/>
    <s v="Blusa"/>
    <s v="Negro"/>
    <s v="Levis"/>
    <s v="MER-A0-3772"/>
    <d v="2024-12-23T00:00:00"/>
    <x v="0"/>
    <n v="157.52000000000001"/>
    <n v="0.2"/>
    <n v="42.034999999999997"/>
    <x v="2"/>
    <s v="Sí"/>
    <d v="2025-01-06T00:00:00"/>
    <n v="12"/>
  </r>
  <r>
    <s v="DEP-A0-2650"/>
    <x v="0"/>
    <n v="51"/>
    <x v="1"/>
    <s v="Camisa"/>
    <s v="Verde"/>
    <s v="Nike"/>
    <s v="MER-A0-2650"/>
    <d v="2024-10-10T00:00:00"/>
    <x v="0"/>
    <n v="126.16"/>
    <n v="0"/>
    <n v="42.048999999999999"/>
    <x v="2"/>
    <s v="Sí"/>
    <d v="2025-10-05T00:00:00"/>
    <n v="12"/>
  </r>
  <r>
    <s v="DEP-A0-3115"/>
    <x v="0"/>
    <n v="55"/>
    <x v="1"/>
    <s v="Camisa"/>
    <s v="Rojo"/>
    <s v="Adidas"/>
    <s v="MER-A0-3115"/>
    <d v="2024-11-22T00:00:00"/>
    <x v="0"/>
    <n v="140.28"/>
    <n v="0.1"/>
    <n v="42.68"/>
    <x v="2"/>
    <s v="Sí"/>
    <d v="2025-06-22T00:00:00"/>
    <n v="12"/>
  </r>
  <r>
    <s v="DEP-A0-3063"/>
    <x v="0"/>
    <n v="46"/>
    <x v="1"/>
    <s v="Falda"/>
    <s v="Rojo"/>
    <s v="Zara"/>
    <s v="MER-A0-3063"/>
    <d v="2024-01-19T00:00:00"/>
    <x v="0"/>
    <n v="158.86000000000001"/>
    <n v="0.2"/>
    <n v="44.163000000000004"/>
    <x v="2"/>
    <s v="Sí"/>
    <d v="2024-01-19T00:00:00"/>
    <n v="3"/>
  </r>
  <r>
    <s v="DEP-A0-4463"/>
    <x v="0"/>
    <n v="52"/>
    <x v="1"/>
    <s v="Camisa"/>
    <s v="Verde"/>
    <s v="Tommy"/>
    <s v="MER-A0-4463"/>
    <d v="2024-02-07T00:00:00"/>
    <x v="0"/>
    <n v="141.29"/>
    <n v="0.1"/>
    <n v="44.207999999999998"/>
    <x v="2"/>
    <s v="Sí"/>
    <d v="2025-02-01T00:00:00"/>
    <n v="12"/>
  </r>
  <r>
    <s v="DEP-A0-3596"/>
    <x v="1"/>
    <n v="40"/>
    <x v="1"/>
    <s v="Chaqueta"/>
    <s v="Verde"/>
    <s v="Zara"/>
    <s v="MER-A0-3596"/>
    <d v="2024-10-08T00:00:00"/>
    <x v="0"/>
    <n v="181.91"/>
    <n v="0.3"/>
    <n v="45.260999999999996"/>
    <x v="2"/>
    <s v="Sí"/>
    <d v="2024-10-08T00:00:00"/>
    <n v="12"/>
  </r>
  <r>
    <s v="DEP-A0-1876"/>
    <x v="0"/>
    <n v="56"/>
    <x v="1"/>
    <s v="Camisa"/>
    <s v="Rojo"/>
    <s v="Puma"/>
    <s v="MER-A0-1876"/>
    <d v="2024-09-05T00:00:00"/>
    <x v="0"/>
    <n v="127.89"/>
    <n v="0"/>
    <n v="47.079000000000001"/>
    <x v="2"/>
    <s v="Sí"/>
    <d v="2025-03-04T00:00:00"/>
    <n v="6"/>
  </r>
  <r>
    <s v="DEP-A0-0131"/>
    <x v="1"/>
    <n v="49"/>
    <x v="1"/>
    <s v="Chaqueta"/>
    <s v="Amarillo"/>
    <s v="Levis"/>
    <s v="MER-A0-0131"/>
    <d v="2024-08-27T00:00:00"/>
    <x v="0"/>
    <n v="160.21"/>
    <n v="0.2"/>
    <n v="47.49"/>
    <x v="2"/>
    <s v="Sí"/>
    <d v="2025-05-24T00:00:00"/>
    <n v="9"/>
  </r>
  <r>
    <s v="DEP-A0-3922"/>
    <x v="0"/>
    <n v="63"/>
    <x v="1"/>
    <s v="Falda"/>
    <s v="Blanco"/>
    <s v="Tommy"/>
    <s v="MER-A0-3922"/>
    <d v="2024-06-10T00:00:00"/>
    <x v="0"/>
    <n v="143.21"/>
    <n v="0.1"/>
    <n v="51.344000000000008"/>
    <x v="2"/>
    <s v="Sí"/>
    <d v="2024-09-08T00:00:00"/>
    <n v="3"/>
  </r>
  <r>
    <s v="DEP-A0-4337"/>
    <x v="0"/>
    <n v="52"/>
    <x v="1"/>
    <s v="Camisa"/>
    <s v="Rojo"/>
    <s v="Levis"/>
    <s v="MER-A0-4337"/>
    <d v="2024-07-14T00:00:00"/>
    <x v="0"/>
    <n v="130.09"/>
    <n v="0"/>
    <n v="54.136000000000003"/>
    <x v="2"/>
    <s v="Sí"/>
    <d v="2024-07-14T00:00:00"/>
    <n v="12"/>
  </r>
  <r>
    <s v="DEP-A0-0558"/>
    <x v="0"/>
    <n v="65"/>
    <x v="1"/>
    <s v="Chaqueta"/>
    <s v="Rojo"/>
    <s v="Levis"/>
    <s v="MER-A0-0558"/>
    <d v="2024-04-05T00:00:00"/>
    <x v="0"/>
    <n v="185.87"/>
    <n v="0.3"/>
    <n v="54.31"/>
    <x v="2"/>
    <s v="Sí"/>
    <d v="2024-04-05T00:00:00"/>
    <n v="6"/>
  </r>
  <r>
    <s v="DEP-A0-2205"/>
    <x v="0"/>
    <n v="44"/>
    <x v="1"/>
    <s v="Vestido"/>
    <s v="Azul"/>
    <s v="Levis"/>
    <s v="MER-A0-2205"/>
    <d v="2024-09-05T00:00:00"/>
    <x v="0"/>
    <n v="144.72999999999999"/>
    <n v="0.1"/>
    <n v="55.179000000000002"/>
    <x v="2"/>
    <s v="Sí"/>
    <d v="2024-12-04T00:00:00"/>
    <n v="3"/>
  </r>
  <r>
    <s v="DEP-A0-2906"/>
    <x v="0"/>
    <n v="52"/>
    <x v="1"/>
    <s v="Falda"/>
    <s v="Gris"/>
    <s v="Tommy"/>
    <s v="MER-A0-2906"/>
    <d v="2024-02-04T00:00:00"/>
    <x v="0"/>
    <n v="186.67"/>
    <n v="0.3"/>
    <n v="55.591999999999999"/>
    <x v="2"/>
    <s v="Sí"/>
    <d v="2025-01-29T00:00:00"/>
    <n v="12"/>
  </r>
  <r>
    <s v="DEP-A0-1558"/>
    <x v="0"/>
    <n v="54"/>
    <x v="1"/>
    <s v="Chaqueta"/>
    <s v="Verde"/>
    <s v="Tommy"/>
    <s v="MER-A0-1558"/>
    <d v="2024-12-05T00:00:00"/>
    <x v="0"/>
    <n v="163.65"/>
    <n v="0.2"/>
    <n v="58.707000000000001"/>
    <x v="2"/>
    <s v="Sí"/>
    <d v="2025-06-03T00:00:00"/>
    <n v="6"/>
  </r>
  <r>
    <s v="DEP-A0-0988"/>
    <x v="0"/>
    <n v="36"/>
    <x v="1"/>
    <s v="Falda"/>
    <s v="Azul"/>
    <s v="Nike"/>
    <s v="MER-A0-0988"/>
    <d v="2024-01-20T00:00:00"/>
    <x v="0"/>
    <n v="145.61000000000001"/>
    <n v="0.1"/>
    <n v="59.563000000000002"/>
    <x v="2"/>
    <s v="Sí"/>
    <d v="2024-01-20T00:00:00"/>
    <n v="6"/>
  </r>
  <r>
    <s v="DEP-A0-1989"/>
    <x v="0"/>
    <n v="47"/>
    <x v="1"/>
    <s v="Zapatos"/>
    <s v="Blanco"/>
    <s v="Adidas"/>
    <s v="MER-A0-1989"/>
    <d v="2024-12-23T00:00:00"/>
    <x v="0"/>
    <n v="131.30000000000001"/>
    <n v="0"/>
    <n v="61.65"/>
    <x v="2"/>
    <s v="Sí"/>
    <d v="2024-04-08T00:00:00"/>
    <n v="3"/>
  </r>
  <r>
    <s v="DEP-A0-3795"/>
    <x v="1"/>
    <n v="61"/>
    <x v="1"/>
    <s v="Chaqueta"/>
    <s v="Negro"/>
    <s v="Nike"/>
    <s v="MER-A0-3795"/>
    <d v="2024-04-13T00:00:00"/>
    <x v="0"/>
    <n v="164.39"/>
    <n v="0.2"/>
    <n v="63.076999999999998"/>
    <x v="2"/>
    <s v="Sí"/>
    <d v="2024-10-10T00:00:00"/>
    <n v="6"/>
  </r>
  <r>
    <s v="DEP-A0-2462"/>
    <x v="0"/>
    <n v="48"/>
    <x v="1"/>
    <s v="Zapatos"/>
    <s v="Blanco"/>
    <s v="Nike"/>
    <s v="MER-A0-2462"/>
    <d v="2024-02-10T00:00:00"/>
    <x v="0"/>
    <n v="146.59"/>
    <n v="0.1"/>
    <n v="63.527999999999999"/>
    <x v="2"/>
    <s v="Sí"/>
    <d v="2025-02-04T00:00:00"/>
    <n v="12"/>
  </r>
  <r>
    <s v="DEP-A0-2432"/>
    <x v="1"/>
    <n v="53"/>
    <x v="1"/>
    <s v="Pantalón"/>
    <s v="Gris"/>
    <s v="Zara"/>
    <s v="MER-A0-2432"/>
    <d v="2024-06-12T00:00:00"/>
    <x v="0"/>
    <n v="146.94"/>
    <n v="0.1"/>
    <n v="64.259999999999991"/>
    <x v="2"/>
    <s v="Sí"/>
    <d v="2025-06-07T00:00:00"/>
    <n v="12"/>
  </r>
  <r>
    <s v="DEP-A0-4171"/>
    <x v="0"/>
    <n v="43"/>
    <x v="1"/>
    <s v="Falda"/>
    <s v="Gris"/>
    <s v="Puma"/>
    <s v="MER-A0-4171"/>
    <d v="2024-02-11T00:00:00"/>
    <x v="0"/>
    <n v="147.25"/>
    <n v="0.1"/>
    <n v="64.88"/>
    <x v="2"/>
    <s v="Sí"/>
    <d v="2025-02-05T00:00:00"/>
    <n v="12"/>
  </r>
  <r>
    <s v="DEP-A0-4455"/>
    <x v="0"/>
    <n v="57"/>
    <x v="1"/>
    <s v="Falda"/>
    <s v="Blanco"/>
    <s v="Adidas"/>
    <s v="MER-A0-4455"/>
    <d v="2024-11-17T00:00:00"/>
    <x v="0"/>
    <n v="166.13"/>
    <n v="0.2"/>
    <n v="66.842999999999989"/>
    <x v="2"/>
    <s v="Sí"/>
    <d v="2025-02-15T00:00:00"/>
    <n v="3"/>
  </r>
  <r>
    <s v="DEP-A0-4708"/>
    <x v="0"/>
    <n v="53"/>
    <x v="1"/>
    <s v="Blusa"/>
    <s v="Verde"/>
    <s v="Mango"/>
    <s v="MER-A0-4708"/>
    <d v="2024-08-25T00:00:00"/>
    <x v="0"/>
    <n v="166.68"/>
    <n v="0.2"/>
    <n v="69.811000000000007"/>
    <x v="2"/>
    <s v="Sí"/>
    <d v="2025-08-20T00:00:00"/>
    <n v="12"/>
  </r>
  <r>
    <s v="DEP-A0-0930"/>
    <x v="0"/>
    <n v="63"/>
    <x v="1"/>
    <s v="Blusa"/>
    <s v="Azul"/>
    <s v="Zara"/>
    <s v="MER-A0-0930"/>
    <d v="2024-11-30T00:00:00"/>
    <x v="0"/>
    <n v="191.54"/>
    <n v="0.3"/>
    <n v="71.048000000000002"/>
    <x v="2"/>
    <s v="Sí"/>
    <d v="2025-05-29T00:00:00"/>
    <n v="6"/>
  </r>
  <r>
    <s v="DEP-A0-3038"/>
    <x v="0"/>
    <n v="65"/>
    <x v="1"/>
    <s v="Blusa"/>
    <s v="Negro"/>
    <s v="Zara"/>
    <s v="MER-A0-3038"/>
    <d v="2024-04-23T00:00:00"/>
    <x v="0"/>
    <n v="134.24"/>
    <n v="0"/>
    <n v="72.176000000000002"/>
    <x v="2"/>
    <s v="Sí"/>
    <d v="2024-04-23T00:00:00"/>
    <n v="6"/>
  </r>
  <r>
    <s v="DEP-A0-1512"/>
    <x v="1"/>
    <n v="51"/>
    <x v="1"/>
    <s v="Camisa"/>
    <s v="Gris"/>
    <s v="Adidas"/>
    <s v="MER-A0-1512"/>
    <d v="2024-03-27T00:00:00"/>
    <x v="0"/>
    <n v="167.93"/>
    <n v="0.2"/>
    <n v="73.47"/>
    <x v="2"/>
    <s v="Sí"/>
    <d v="2024-03-27T00:00:00"/>
    <n v="9"/>
  </r>
  <r>
    <s v="DEP-A0-4592"/>
    <x v="0"/>
    <n v="64"/>
    <x v="1"/>
    <s v="Chaqueta"/>
    <s v="Verde"/>
    <s v="Levis"/>
    <s v="MER-A0-4592"/>
    <d v="2024-09-17T00:00:00"/>
    <x v="0"/>
    <n v="192.63"/>
    <n v="0.3"/>
    <n v="74.507999999999996"/>
    <x v="2"/>
    <s v="Sí"/>
    <d v="2025-09-12T00:00:00"/>
    <n v="12"/>
  </r>
  <r>
    <s v="DEP-A0-3528"/>
    <x v="1"/>
    <n v="37"/>
    <x v="1"/>
    <s v="Camisa"/>
    <s v="Negro"/>
    <s v="Mango"/>
    <s v="MER-A0-3528"/>
    <d v="2024-12-23T00:00:00"/>
    <x v="0"/>
    <n v="169.12"/>
    <n v="0.2"/>
    <n v="76.608000000000004"/>
    <x v="2"/>
    <s v="Sí"/>
    <d v="2024-12-26T00:00:00"/>
    <n v="12"/>
  </r>
  <r>
    <s v="DEP-A0-4222"/>
    <x v="0"/>
    <n v="44"/>
    <x v="1"/>
    <s v="Vestido"/>
    <s v="Negro"/>
    <s v="Tommy"/>
    <s v="MER-A0-4222"/>
    <d v="2024-03-03T00:00:00"/>
    <x v="0"/>
    <n v="150.35"/>
    <n v="0.1"/>
    <n v="77.265000000000001"/>
    <x v="2"/>
    <s v="Sí"/>
    <d v="2024-06-01T00:00:00"/>
    <n v="3"/>
  </r>
  <r>
    <s v="DEP-A0-0225"/>
    <x v="1"/>
    <n v="45"/>
    <x v="1"/>
    <s v="Zapatos"/>
    <s v="Rojo"/>
    <s v="Puma"/>
    <s v="MER-A0-0225"/>
    <d v="2024-02-08T00:00:00"/>
    <x v="0"/>
    <n v="169.32"/>
    <n v="0.2"/>
    <n v="77.34"/>
    <x v="2"/>
    <s v="Sí"/>
    <d v="2024-11-04T00:00:00"/>
    <n v="9"/>
  </r>
  <r>
    <s v="DEP-A0-4736"/>
    <x v="0"/>
    <n v="48"/>
    <x v="1"/>
    <s v="Camisa"/>
    <s v="Azul"/>
    <s v="Puma"/>
    <s v="MER-A0-4736"/>
    <d v="2024-04-05T00:00:00"/>
    <x v="0"/>
    <n v="150.85"/>
    <n v="0.1"/>
    <n v="78.959999999999994"/>
    <x v="2"/>
    <s v="Sí"/>
    <d v="2024-04-05T00:00:00"/>
    <n v="9"/>
  </r>
  <r>
    <s v="DEP-A0-0014"/>
    <x v="0"/>
    <n v="43"/>
    <x v="1"/>
    <s v="Pantalón"/>
    <s v="Azul"/>
    <s v="Puma"/>
    <s v="MER-A0-0014"/>
    <d v="2024-02-29T00:00:00"/>
    <x v="0"/>
    <n v="150.97999999999999"/>
    <n v="0.1"/>
    <n v="79.34"/>
    <x v="2"/>
    <s v="Sí"/>
    <d v="2024-02-29T00:00:00"/>
    <n v="12"/>
  </r>
  <r>
    <s v="DEP-A0-0130"/>
    <x v="1"/>
    <n v="64"/>
    <x v="1"/>
    <s v="Pantalón"/>
    <s v="Rojo"/>
    <s v="Puma"/>
    <s v="MER-A0-0130"/>
    <d v="2024-03-06T00:00:00"/>
    <x v="0"/>
    <n v="135.93"/>
    <n v="0"/>
    <n v="80.037000000000006"/>
    <x v="2"/>
    <s v="Sí"/>
    <d v="2024-03-06T00:00:00"/>
    <n v="9"/>
  </r>
  <r>
    <s v="DEP-A0-4593"/>
    <x v="0"/>
    <n v="47"/>
    <x v="1"/>
    <s v="Camisa"/>
    <s v="Amarillo"/>
    <s v="Mango"/>
    <s v="MER-A0-4593"/>
    <d v="2024-08-12T00:00:00"/>
    <x v="0"/>
    <n v="136.24"/>
    <n v="0"/>
    <n v="80.727999999999994"/>
    <x v="2"/>
    <s v="Sí"/>
    <d v="2024-11-10T00:00:00"/>
    <n v="3"/>
  </r>
  <r>
    <s v="DEP-A0-3249"/>
    <x v="0"/>
    <n v="50"/>
    <x v="1"/>
    <s v="Vestido"/>
    <s v="Blanco"/>
    <s v="Puma"/>
    <s v="MER-A0-3249"/>
    <d v="2024-09-25T00:00:00"/>
    <x v="0"/>
    <n v="171.04"/>
    <n v="0.2"/>
    <n v="81.228000000000009"/>
    <x v="2"/>
    <s v="Sí"/>
    <d v="2025-09-20T00:00:00"/>
    <n v="12"/>
  </r>
  <r>
    <s v="DEP-A0-2441"/>
    <x v="0"/>
    <n v="52"/>
    <x v="1"/>
    <s v="Vestido"/>
    <s v="Gris"/>
    <s v="Levis"/>
    <s v="MER-A0-2441"/>
    <d v="2024-03-05T00:00:00"/>
    <x v="0"/>
    <n v="153.62"/>
    <n v="0.1"/>
    <n v="85.567999999999998"/>
    <x v="2"/>
    <s v="Sí"/>
    <d v="2024-03-05T00:00:00"/>
    <n v="6"/>
  </r>
  <r>
    <s v="DEP-A0-3605"/>
    <x v="0"/>
    <n v="59"/>
    <x v="1"/>
    <s v="Zapatos"/>
    <s v="Gris"/>
    <s v="Zara"/>
    <s v="MER-A0-3605"/>
    <d v="2024-12-08T00:00:00"/>
    <x v="0"/>
    <n v="197.89"/>
    <n v="0.3"/>
    <n v="85.847999999999999"/>
    <x v="2"/>
    <s v="Sí"/>
    <d v="2024-09-04T00:00:00"/>
    <n v="3"/>
  </r>
  <r>
    <s v="DEP-A0-3559"/>
    <x v="0"/>
    <n v="53"/>
    <x v="1"/>
    <s v="Blusa"/>
    <s v="Rojo"/>
    <s v="Puma"/>
    <s v="MER-A0-3559"/>
    <d v="2024-12-07T00:00:00"/>
    <x v="0"/>
    <n v="173.72"/>
    <n v="0.2"/>
    <n v="88.2"/>
    <x v="2"/>
    <s v="Sí"/>
    <d v="2025-12-02T00:00:00"/>
    <n v="12"/>
  </r>
  <r>
    <s v="DEP-A0-4078"/>
    <x v="0"/>
    <n v="49"/>
    <x v="1"/>
    <s v="Vestido"/>
    <s v="Amarillo"/>
    <s v="Nike"/>
    <s v="MER-A0-4078"/>
    <d v="2024-04-09T00:00:00"/>
    <x v="0"/>
    <n v="139.05000000000001"/>
    <n v="0"/>
    <n v="88.788000000000011"/>
    <x v="2"/>
    <s v="Sí"/>
    <d v="2024-04-09T00:00:00"/>
    <n v="3"/>
  </r>
  <r>
    <s v="DEP-A0-1617"/>
    <x v="1"/>
    <n v="48"/>
    <x v="1"/>
    <s v="Chaqueta"/>
    <s v="Gris"/>
    <s v="Zara"/>
    <s v="MER-A0-1617"/>
    <d v="2024-08-20T00:00:00"/>
    <x v="0"/>
    <n v="174.36"/>
    <n v="0.2"/>
    <n v="91.272999999999996"/>
    <x v="2"/>
    <s v="Sí"/>
    <d v="2024-11-18T00:00:00"/>
    <n v="3"/>
  </r>
  <r>
    <s v="DEP-A0-2780"/>
    <x v="0"/>
    <n v="63"/>
    <x v="1"/>
    <s v="Camisa"/>
    <s v="Negro"/>
    <s v="Mango"/>
    <s v="MER-A0-2780"/>
    <d v="2024-09-03T00:00:00"/>
    <x v="0"/>
    <n v="155.04"/>
    <n v="0.1"/>
    <n v="91.82"/>
    <x v="2"/>
    <s v="Sí"/>
    <d v="2024-09-03T00:00:00"/>
    <n v="6"/>
  </r>
  <r>
    <s v="DEP-A0-2251"/>
    <x v="0"/>
    <n v="56"/>
    <x v="1"/>
    <s v="Vestido"/>
    <s v="Amarillo"/>
    <s v="Tommy"/>
    <s v="MER-A0-2251"/>
    <d v="2024-12-09T00:00:00"/>
    <x v="0"/>
    <n v="139.59"/>
    <n v="0"/>
    <n v="92.537999999999997"/>
    <x v="2"/>
    <s v="Sí"/>
    <d v="2024-08-31T00:00:00"/>
    <n v="3"/>
  </r>
  <r>
    <s v="DEP-A0-3965"/>
    <x v="1"/>
    <n v="63"/>
    <x v="1"/>
    <s v="Chaqueta"/>
    <s v="Verde"/>
    <s v="Mango"/>
    <s v="MER-A0-3965"/>
    <d v="2024-11-28T00:00:00"/>
    <x v="0"/>
    <n v="174.73"/>
    <n v="0.2"/>
    <n v="92.775999999999996"/>
    <x v="2"/>
    <s v="Sí"/>
    <d v="2024-07-17T00:00:00"/>
    <n v="3"/>
  </r>
  <r>
    <s v="DEP-A0-0197"/>
    <x v="0"/>
    <n v="40"/>
    <x v="1"/>
    <s v="Zapatos"/>
    <s v="Blanco"/>
    <s v="Tommy"/>
    <s v="MER-A0-0197"/>
    <d v="2024-04-25T00:00:00"/>
    <x v="0"/>
    <n v="155.33000000000001"/>
    <n v="0.1"/>
    <n v="93.798000000000002"/>
    <x v="2"/>
    <s v="Sí"/>
    <d v="2024-07-24T00:00:00"/>
    <n v="3"/>
  </r>
  <r>
    <s v="DEP-A0-0664"/>
    <x v="1"/>
    <n v="52"/>
    <x v="1"/>
    <s v="Pantalón"/>
    <s v="Gris"/>
    <s v="Levis"/>
    <s v="MER-A0-0664"/>
    <d v="2024-08-03T00:00:00"/>
    <x v="0"/>
    <n v="174.86"/>
    <n v="0.2"/>
    <n v="95.97"/>
    <x v="2"/>
    <s v="Sí"/>
    <d v="2025-07-29T00:00:00"/>
    <n v="12"/>
  </r>
  <r>
    <s v="DEP-A0-4362"/>
    <x v="1"/>
    <n v="39"/>
    <x v="1"/>
    <s v="Zapatos"/>
    <s v="Negro"/>
    <s v="Adidas"/>
    <s v="MER-A0-4362"/>
    <d v="2024-07-03T00:00:00"/>
    <x v="0"/>
    <n v="174.96"/>
    <n v="0.2"/>
    <n v="96.47399999999999"/>
    <x v="2"/>
    <s v="Sí"/>
    <d v="2025-03-30T00:00:00"/>
    <n v="9"/>
  </r>
  <r>
    <s v="DEP-A0-1461"/>
    <x v="0"/>
    <n v="58"/>
    <x v="1"/>
    <s v="Falda"/>
    <s v="Gris"/>
    <s v="Tommy"/>
    <s v="MER-A0-1461"/>
    <d v="2024-04-22T00:00:00"/>
    <x v="0"/>
    <n v="140.37"/>
    <n v="0"/>
    <n v="97.784999999999997"/>
    <x v="2"/>
    <s v="Sí"/>
    <d v="2025-01-17T00:00:00"/>
    <n v="9"/>
  </r>
  <r>
    <s v="DEP-A0-1560"/>
    <x v="0"/>
    <n v="61"/>
    <x v="1"/>
    <s v="Pantalón"/>
    <s v="Verde"/>
    <s v="Adidas"/>
    <s v="MER-A0-1560"/>
    <d v="2024-12-13T00:00:00"/>
    <x v="0"/>
    <n v="142.38999999999999"/>
    <n v="0"/>
    <n v="101.36699999999999"/>
    <x v="2"/>
    <s v="Sí"/>
    <d v="2025-09-09T00:00:00"/>
    <n v="9"/>
  </r>
  <r>
    <s v="DEP-A0-4594"/>
    <x v="1"/>
    <n v="54"/>
    <x v="1"/>
    <s v="Camisa"/>
    <s v="Rojo"/>
    <s v="Puma"/>
    <s v="MER-A0-4594"/>
    <d v="2024-04-23T00:00:00"/>
    <x v="0"/>
    <n v="179.34"/>
    <n v="0.2"/>
    <n v="106.68"/>
    <x v="2"/>
    <s v="Sí"/>
    <d v="2024-04-23T00:00:00"/>
    <n v="12"/>
  </r>
  <r>
    <s v="DEP-A0-1533"/>
    <x v="1"/>
    <n v="38"/>
    <x v="1"/>
    <s v="Camisa"/>
    <s v="Rojo"/>
    <s v="Puma"/>
    <s v="MER-A0-1533"/>
    <d v="2024-07-16T00:00:00"/>
    <x v="0"/>
    <n v="159.55000000000001"/>
    <n v="0.1"/>
    <n v="107.631"/>
    <x v="2"/>
    <s v="Sí"/>
    <d v="2025-01-12T00:00:00"/>
    <n v="6"/>
  </r>
  <r>
    <s v="DEP-A0-1304"/>
    <x v="0"/>
    <n v="39"/>
    <x v="1"/>
    <s v="Blusa"/>
    <s v="Rojo"/>
    <s v="Adidas"/>
    <s v="MER-A0-1304"/>
    <d v="2024-03-08T00:00:00"/>
    <x v="0"/>
    <n v="143.79"/>
    <n v="0"/>
    <n v="107.968"/>
    <x v="2"/>
    <s v="Sí"/>
    <d v="2024-03-08T00:00:00"/>
    <n v="12"/>
  </r>
  <r>
    <s v="DEP-A0-4133"/>
    <x v="1"/>
    <n v="55"/>
    <x v="1"/>
    <s v="Chaqueta"/>
    <s v="Amarillo"/>
    <s v="Nike"/>
    <s v="MER-A0-4133"/>
    <d v="2024-04-30T00:00:00"/>
    <x v="0"/>
    <n v="180.48"/>
    <n v="0.2"/>
    <n v="109.732"/>
    <x v="2"/>
    <s v="Sí"/>
    <d v="2024-04-30T00:00:00"/>
    <n v="3"/>
  </r>
  <r>
    <s v="DEP-A0-1638"/>
    <x v="0"/>
    <n v="54"/>
    <x v="1"/>
    <s v="Falda"/>
    <s v="Negro"/>
    <s v="Puma"/>
    <s v="MER-A0-1638"/>
    <d v="2024-09-05T00:00:00"/>
    <x v="0"/>
    <n v="181"/>
    <n v="0.2"/>
    <n v="110.52000000000001"/>
    <x v="2"/>
    <s v="Sí"/>
    <d v="2024-09-05T00:00:00"/>
    <n v="9"/>
  </r>
  <r>
    <s v="DEP-A0-3086"/>
    <x v="0"/>
    <n v="37"/>
    <x v="1"/>
    <s v="Chaqueta"/>
    <s v="Rojo"/>
    <s v="Puma"/>
    <s v="MER-A0-3086"/>
    <d v="2024-01-16T00:00:00"/>
    <x v="0"/>
    <n v="161.28"/>
    <n v="0.1"/>
    <n v="111.52000000000001"/>
    <x v="2"/>
    <s v="Sí"/>
    <d v="2024-07-14T00:00:00"/>
    <n v="9"/>
  </r>
  <r>
    <s v="DEP-A0-4530"/>
    <x v="1"/>
    <n v="40"/>
    <x v="1"/>
    <s v="Pantalón"/>
    <s v="Gris"/>
    <s v="Mango"/>
    <s v="MER-A0-4530"/>
    <d v="2024-11-28T00:00:00"/>
    <x v="0"/>
    <n v="145.85"/>
    <n v="0"/>
    <n v="111.94199999999999"/>
    <x v="2"/>
    <s v="Sí"/>
    <d v="2025-07-19T00:00:00"/>
    <n v="12"/>
  </r>
  <r>
    <s v="DEP-A0-3747"/>
    <x v="0"/>
    <n v="62"/>
    <x v="1"/>
    <s v="Vestido"/>
    <s v="Gris"/>
    <s v="Tommy"/>
    <s v="MER-A0-3747"/>
    <d v="2024-12-23T00:00:00"/>
    <x v="0"/>
    <n v="162.34"/>
    <n v="0.1"/>
    <n v="113.83199999999999"/>
    <x v="2"/>
    <s v="Sí"/>
    <d v="2024-04-08T00:00:00"/>
    <n v="3"/>
  </r>
  <r>
    <s v="DEP-A0-2517"/>
    <x v="0"/>
    <n v="43"/>
    <x v="1"/>
    <s v="Pantalón"/>
    <s v="Azul"/>
    <s v="Nike"/>
    <s v="MER-A0-2517"/>
    <d v="2024-02-13T00:00:00"/>
    <x v="0"/>
    <n v="182.69"/>
    <n v="0.2"/>
    <n v="114.51199999999999"/>
    <x v="2"/>
    <s v="Sí"/>
    <d v="2024-06-14T00:00:00"/>
    <n v="3"/>
  </r>
  <r>
    <s v="DEP-A0-0583"/>
    <x v="1"/>
    <n v="37"/>
    <x v="1"/>
    <s v="Pantalón"/>
    <s v="Azul"/>
    <s v="Levis"/>
    <s v="MER-A0-0583"/>
    <d v="2024-12-10T00:00:00"/>
    <x v="0"/>
    <n v="162.62"/>
    <n v="0.1"/>
    <n v="115.256"/>
    <x v="2"/>
    <s v="Sí"/>
    <d v="2024-06-15T00:00:00"/>
    <n v="9"/>
  </r>
  <r>
    <s v="DEP-A0-3453"/>
    <x v="0"/>
    <n v="62"/>
    <x v="1"/>
    <s v="Pantalón"/>
    <s v="Rojo"/>
    <s v="Adidas"/>
    <s v="MER-A0-3453"/>
    <d v="2024-04-13T00:00:00"/>
    <x v="0"/>
    <n v="163.54"/>
    <n v="0.1"/>
    <n v="116.523"/>
    <x v="2"/>
    <s v="Sí"/>
    <d v="2024-04-13T00:00:00"/>
    <n v="9"/>
  </r>
  <r>
    <s v="DEP-A0-1640"/>
    <x v="0"/>
    <n v="48"/>
    <x v="1"/>
    <s v="Blusa"/>
    <s v="Gris"/>
    <s v="Puma"/>
    <s v="MER-A0-1640"/>
    <d v="2024-04-10T00:00:00"/>
    <x v="0"/>
    <n v="184.68"/>
    <n v="0.2"/>
    <n v="118.696"/>
    <x v="2"/>
    <s v="Sí"/>
    <d v="2024-04-10T00:00:00"/>
    <n v="3"/>
  </r>
  <r>
    <s v="DEP-A0-4787"/>
    <x v="0"/>
    <n v="65"/>
    <x v="1"/>
    <s v="Falda"/>
    <s v="Verde"/>
    <s v="Puma"/>
    <s v="MER-A0-4787"/>
    <d v="2024-08-21T00:00:00"/>
    <x v="0"/>
    <n v="184.72"/>
    <n v="0.2"/>
    <n v="119.04"/>
    <x v="2"/>
    <s v="Sí"/>
    <d v="2025-02-17T00:00:00"/>
    <n v="6"/>
  </r>
  <r>
    <s v="DEP-A0-3438"/>
    <x v="1"/>
    <n v="61"/>
    <x v="1"/>
    <s v="Camisa"/>
    <s v="Amarillo"/>
    <s v="Adidas"/>
    <s v="MER-A0-3438"/>
    <d v="2024-02-11T00:00:00"/>
    <x v="0"/>
    <n v="164.78"/>
    <n v="0.1"/>
    <n v="120.38"/>
    <x v="2"/>
    <s v="Sí"/>
    <d v="2024-05-11T00:00:00"/>
    <n v="3"/>
  </r>
  <r>
    <s v="DEP-A0-0589"/>
    <x v="0"/>
    <n v="59"/>
    <x v="1"/>
    <s v="Chaqueta"/>
    <s v="Blanco"/>
    <s v="Mango"/>
    <s v="MER-A0-0589"/>
    <d v="2024-02-13T00:00:00"/>
    <x v="0"/>
    <n v="164.89"/>
    <n v="0.1"/>
    <n v="121.16800000000001"/>
    <x v="2"/>
    <s v="Sí"/>
    <d v="2024-02-13T00:00:00"/>
    <n v="9"/>
  </r>
  <r>
    <s v="DEP-A0-2315"/>
    <x v="0"/>
    <n v="44"/>
    <x v="1"/>
    <s v="Vestido"/>
    <s v="Blanco"/>
    <s v="Zara"/>
    <s v="MER-A0-2315"/>
    <d v="2024-03-27T00:00:00"/>
    <x v="0"/>
    <n v="149.01"/>
    <n v="0"/>
    <n v="121.24799999999999"/>
    <x v="2"/>
    <s v="Sí"/>
    <d v="2024-03-27T00:00:00"/>
    <n v="9"/>
  </r>
  <r>
    <s v="DEP-A0-4330"/>
    <x v="0"/>
    <n v="58"/>
    <x v="1"/>
    <s v="Blusa"/>
    <s v="Azul"/>
    <s v="Mango"/>
    <s v="MER-A0-4330"/>
    <d v="2024-02-02T00:00:00"/>
    <x v="0"/>
    <n v="166"/>
    <n v="0.1"/>
    <n v="121.4"/>
    <x v="2"/>
    <s v="Sí"/>
    <d v="2024-02-02T00:00:00"/>
    <n v="6"/>
  </r>
  <r>
    <s v="DEP-A0-2909"/>
    <x v="0"/>
    <n v="63"/>
    <x v="1"/>
    <s v="Blusa"/>
    <s v="Blanco"/>
    <s v="Adidas"/>
    <s v="MER-A0-2909"/>
    <d v="2024-04-26T00:00:00"/>
    <x v="0"/>
    <n v="187.08"/>
    <n v="0.2"/>
    <n v="121.41499999999999"/>
    <x v="2"/>
    <s v="Sí"/>
    <d v="2024-04-26T00:00:00"/>
    <n v="6"/>
  </r>
  <r>
    <s v="DEP-A0-2732"/>
    <x v="0"/>
    <n v="43"/>
    <x v="1"/>
    <s v="Chaqueta"/>
    <s v="Azul"/>
    <s v="Tommy"/>
    <s v="MER-A0-2732"/>
    <d v="2024-08-27T00:00:00"/>
    <x v="0"/>
    <n v="188.5"/>
    <n v="0.2"/>
    <n v="123.066"/>
    <x v="2"/>
    <s v="Sí"/>
    <d v="2025-02-23T00:00:00"/>
    <n v="6"/>
  </r>
  <r>
    <s v="DEP-A0-3658"/>
    <x v="0"/>
    <n v="55"/>
    <x v="1"/>
    <s v="Vestido"/>
    <s v="Negro"/>
    <s v="Puma"/>
    <s v="MER-A0-3658"/>
    <d v="2024-09-13T00:00:00"/>
    <x v="0"/>
    <n v="189"/>
    <n v="0.2"/>
    <n v="123.45599999999999"/>
    <x v="2"/>
    <s v="Sí"/>
    <d v="2024-09-13T00:00:00"/>
    <n v="9"/>
  </r>
  <r>
    <s v="DEP-A0-0999"/>
    <x v="0"/>
    <n v="46"/>
    <x v="1"/>
    <s v="Vestido"/>
    <s v="Rojo"/>
    <s v="Puma"/>
    <s v="MER-A0-0999"/>
    <d v="2024-03-23T00:00:00"/>
    <x v="0"/>
    <n v="190.54"/>
    <n v="0.2"/>
    <n v="128.50200000000001"/>
    <x v="2"/>
    <s v="Sí"/>
    <d v="2025-03-18T00:00:00"/>
    <n v="12"/>
  </r>
  <r>
    <s v="DEP-A0-2549"/>
    <x v="1"/>
    <n v="61"/>
    <x v="1"/>
    <s v="Zapatos"/>
    <s v="Negro"/>
    <s v="Tommy"/>
    <s v="MER-A0-2549"/>
    <d v="2024-10-29T00:00:00"/>
    <x v="0"/>
    <n v="169.73"/>
    <n v="0.1"/>
    <n v="128.637"/>
    <x v="2"/>
    <s v="Sí"/>
    <d v="2025-10-24T00:00:00"/>
    <n v="12"/>
  </r>
  <r>
    <s v="DEP-A0-2006"/>
    <x v="1"/>
    <n v="61"/>
    <x v="1"/>
    <s v="Chaqueta"/>
    <s v="Amarillo"/>
    <s v="Nike"/>
    <s v="MER-A0-2006"/>
    <d v="2024-10-16T00:00:00"/>
    <x v="0"/>
    <n v="170.01"/>
    <n v="0.1"/>
    <n v="130.578"/>
    <x v="2"/>
    <s v="Sí"/>
    <d v="2024-10-16T00:00:00"/>
    <n v="9"/>
  </r>
  <r>
    <s v="DEP-A0-3536"/>
    <x v="1"/>
    <n v="62"/>
    <x v="1"/>
    <s v="Camisa"/>
    <s v="Verde"/>
    <s v="Puma"/>
    <s v="MER-A0-3536"/>
    <d v="2024-04-13T00:00:00"/>
    <x v="0"/>
    <n v="191.66"/>
    <n v="0.2"/>
    <n v="132.19200000000001"/>
    <x v="2"/>
    <s v="Sí"/>
    <d v="2024-07-12T00:00:00"/>
    <n v="3"/>
  </r>
  <r>
    <s v="DEP-A0-0178"/>
    <x v="1"/>
    <n v="53"/>
    <x v="1"/>
    <s v="Chaqueta"/>
    <s v="Gris"/>
    <s v="Puma"/>
    <s v="MER-A0-0178"/>
    <d v="2024-12-23T00:00:00"/>
    <x v="0"/>
    <n v="191.87"/>
    <n v="0.2"/>
    <n v="132.50299999999999"/>
    <x v="2"/>
    <s v="Sí"/>
    <d v="2024-04-01T00:00:00"/>
    <n v="3"/>
  </r>
  <r>
    <s v="DEP-A0-1008"/>
    <x v="0"/>
    <n v="36"/>
    <x v="1"/>
    <s v="Chaqueta"/>
    <s v="Blanco"/>
    <s v="Levis"/>
    <s v="MER-A0-1008"/>
    <d v="2024-11-05T00:00:00"/>
    <x v="0"/>
    <n v="192.21"/>
    <n v="0.2"/>
    <n v="134.80799999999999"/>
    <x v="2"/>
    <s v="Sí"/>
    <d v="2025-10-31T00:00:00"/>
    <n v="12"/>
  </r>
  <r>
    <s v="DEP-A0-2004"/>
    <x v="1"/>
    <n v="52"/>
    <x v="1"/>
    <s v="Zapatos"/>
    <s v="Negro"/>
    <s v="Mango"/>
    <s v="MER-A0-2004"/>
    <d v="2024-10-21T00:00:00"/>
    <x v="0"/>
    <n v="154.13"/>
    <n v="0"/>
    <n v="135.91899999999998"/>
    <x v="2"/>
    <s v="Sí"/>
    <d v="2025-07-18T00:00:00"/>
    <n v="9"/>
  </r>
  <r>
    <s v="DEP-A0-2796"/>
    <x v="0"/>
    <n v="60"/>
    <x v="1"/>
    <s v="Camisa"/>
    <s v="Rojo"/>
    <s v="Adidas"/>
    <s v="MER-A0-2796"/>
    <d v="2024-09-12T00:00:00"/>
    <x v="0"/>
    <n v="171.68"/>
    <n v="0.1"/>
    <n v="136.76400000000001"/>
    <x v="2"/>
    <s v="Sí"/>
    <d v="2024-09-12T00:00:00"/>
    <n v="3"/>
  </r>
  <r>
    <s v="DEP-A0-3428"/>
    <x v="0"/>
    <n v="63"/>
    <x v="1"/>
    <s v="Falda"/>
    <s v="Amarillo"/>
    <s v="Nike"/>
    <s v="MER-A0-3428"/>
    <d v="2024-12-09T00:00:00"/>
    <x v="0"/>
    <n v="154.62"/>
    <n v="0"/>
    <n v="137.78100000000001"/>
    <x v="2"/>
    <s v="Sí"/>
    <d v="2024-06-02T00:00:00"/>
    <n v="12"/>
  </r>
  <r>
    <s v="DEP-A0-4823"/>
    <x v="0"/>
    <n v="46"/>
    <x v="1"/>
    <s v="Vestido"/>
    <s v="Blanco"/>
    <s v="Mango"/>
    <s v="MER-A0-4823"/>
    <d v="2024-09-11T00:00:00"/>
    <x v="0"/>
    <n v="172.44"/>
    <n v="0.1"/>
    <n v="139.70600000000002"/>
    <x v="2"/>
    <s v="Sí"/>
    <d v="2025-06-08T00:00:00"/>
    <n v="9"/>
  </r>
  <r>
    <s v="DEP-A0-4573"/>
    <x v="1"/>
    <n v="46"/>
    <x v="1"/>
    <s v="Pantalón"/>
    <s v="Gris"/>
    <s v="Puma"/>
    <s v="MER-A0-4573"/>
    <d v="2024-03-04T00:00:00"/>
    <x v="0"/>
    <n v="173.64"/>
    <n v="0.1"/>
    <n v="141.68"/>
    <x v="2"/>
    <s v="Sí"/>
    <d v="2024-08-31T00:00:00"/>
    <n v="6"/>
  </r>
  <r>
    <s v="DEP-A0-4643"/>
    <x v="0"/>
    <n v="51"/>
    <x v="1"/>
    <s v="Falda"/>
    <s v="Amarillo"/>
    <s v="Mango"/>
    <s v="MER-A0-4643"/>
    <d v="2024-01-17T00:00:00"/>
    <x v="0"/>
    <n v="174.45"/>
    <n v="0.1"/>
    <n v="143.35"/>
    <x v="2"/>
    <s v="Sí"/>
    <d v="2024-01-17T00:00:00"/>
    <n v="9"/>
  </r>
  <r>
    <s v="DEP-A0-4847"/>
    <x v="1"/>
    <n v="44"/>
    <x v="1"/>
    <s v="Zapatos"/>
    <s v="Verde"/>
    <s v="Levis"/>
    <s v="MER-A0-4847"/>
    <d v="2024-12-13T00:00:00"/>
    <x v="0"/>
    <n v="157.21"/>
    <n v="0"/>
    <n v="143.63999999999999"/>
    <x v="2"/>
    <s v="Sí"/>
    <d v="2025-06-11T00:00:00"/>
    <n v="6"/>
  </r>
  <r>
    <s v="DEP-A0-1410"/>
    <x v="0"/>
    <n v="62"/>
    <x v="1"/>
    <s v="Chaqueta"/>
    <s v="Gris"/>
    <s v="Puma"/>
    <s v="MER-A0-1410"/>
    <d v="2024-10-29T00:00:00"/>
    <x v="0"/>
    <n v="196.54"/>
    <n v="0.2"/>
    <n v="144.14400000000001"/>
    <x v="2"/>
    <s v="Sí"/>
    <d v="2025-04-27T00:00:00"/>
    <n v="6"/>
  </r>
  <r>
    <s v="DEP-A0-1032"/>
    <x v="1"/>
    <n v="62"/>
    <x v="1"/>
    <s v="Chaqueta"/>
    <s v="Rojo"/>
    <s v="Mango"/>
    <s v="MER-A0-1032"/>
    <d v="2024-09-18T00:00:00"/>
    <x v="0"/>
    <n v="157.36000000000001"/>
    <n v="0"/>
    <n v="144.97"/>
    <x v="2"/>
    <s v="Sí"/>
    <d v="2025-03-17T00:00:00"/>
    <n v="6"/>
  </r>
  <r>
    <s v="DEP-A0-4933"/>
    <x v="0"/>
    <n v="43"/>
    <x v="1"/>
    <s v="Camisa"/>
    <s v="Verde"/>
    <s v="Tommy"/>
    <s v="MER-A0-4933"/>
    <d v="2024-09-22T00:00:00"/>
    <x v="0"/>
    <n v="157.66"/>
    <n v="0"/>
    <n v="148.44"/>
    <x v="2"/>
    <s v="Sí"/>
    <d v="2025-06-19T00:00:00"/>
    <n v="9"/>
  </r>
  <r>
    <s v="DEP-A0-4556"/>
    <x v="0"/>
    <n v="50"/>
    <x v="1"/>
    <s v="Blusa"/>
    <s v="Negro"/>
    <s v="Tommy"/>
    <s v="MER-A0-4556"/>
    <d v="2024-03-17T00:00:00"/>
    <x v="0"/>
    <n v="158.44999999999999"/>
    <n v="0"/>
    <n v="150.714"/>
    <x v="2"/>
    <s v="Sí"/>
    <d v="2024-06-15T00:00:00"/>
    <n v="3"/>
  </r>
  <r>
    <s v="DEP-A0-0574"/>
    <x v="0"/>
    <n v="62"/>
    <x v="1"/>
    <s v="Falda"/>
    <s v="Azul"/>
    <s v="Tommy"/>
    <s v="MER-A0-0574"/>
    <d v="2024-02-06T00:00:00"/>
    <x v="0"/>
    <n v="199.26"/>
    <n v="0.2"/>
    <n v="151.18199999999999"/>
    <x v="2"/>
    <s v="Sí"/>
    <d v="2024-02-06T00:00:00"/>
    <n v="9"/>
  </r>
  <r>
    <s v="DEP-A0-1261"/>
    <x v="0"/>
    <n v="48"/>
    <x v="1"/>
    <s v="Pantalón"/>
    <s v="Azul"/>
    <s v="Mango"/>
    <s v="MER-A0-1261"/>
    <d v="2024-03-26T00:00:00"/>
    <x v="0"/>
    <n v="177.41"/>
    <n v="0.1"/>
    <n v="152.334"/>
    <x v="2"/>
    <s v="Sí"/>
    <d v="2024-03-26T00:00:00"/>
    <n v="12"/>
  </r>
  <r>
    <s v="DEP-A0-0230"/>
    <x v="0"/>
    <n v="63"/>
    <x v="1"/>
    <s v="Falda"/>
    <s v="Gris"/>
    <s v="Tommy"/>
    <s v="MER-A0-0230"/>
    <d v="2024-08-31T00:00:00"/>
    <x v="0"/>
    <n v="178.2"/>
    <n v="0.1"/>
    <n v="154.56"/>
    <x v="2"/>
    <s v="Sí"/>
    <d v="2024-08-31T00:00:00"/>
    <n v="9"/>
  </r>
  <r>
    <s v="DEP-A0-2604"/>
    <x v="0"/>
    <n v="55"/>
    <x v="1"/>
    <s v="Blusa"/>
    <s v="Amarillo"/>
    <s v="Mango"/>
    <s v="MER-A0-2604"/>
    <d v="2024-11-23T00:00:00"/>
    <x v="0"/>
    <n v="179.95"/>
    <n v="0.1"/>
    <n v="156.08800000000002"/>
    <x v="2"/>
    <s v="Sí"/>
    <d v="2025-06-15T00:00:00"/>
    <n v="12"/>
  </r>
  <r>
    <s v="DEP-A0-3034"/>
    <x v="1"/>
    <n v="60"/>
    <x v="1"/>
    <s v="Chaqueta"/>
    <s v="Negro"/>
    <s v="Tommy"/>
    <s v="MER-A0-3034"/>
    <d v="2024-11-09T00:00:00"/>
    <x v="0"/>
    <n v="163.22"/>
    <n v="0"/>
    <n v="157.66400000000002"/>
    <x v="2"/>
    <s v="Sí"/>
    <d v="2025-02-07T00:00:00"/>
    <n v="3"/>
  </r>
  <r>
    <s v="DEP-A0-4187"/>
    <x v="0"/>
    <n v="45"/>
    <x v="1"/>
    <s v="Zapatos"/>
    <s v="Rojo"/>
    <s v="Zara"/>
    <s v="MER-A0-4187"/>
    <d v="2024-05-10T00:00:00"/>
    <x v="0"/>
    <n v="164.74"/>
    <n v="0"/>
    <n v="159.65600000000001"/>
    <x v="2"/>
    <s v="Sí"/>
    <d v="2024-08-08T00:00:00"/>
    <n v="3"/>
  </r>
  <r>
    <s v="DEP-A0-1767"/>
    <x v="1"/>
    <n v="42"/>
    <x v="1"/>
    <s v="Camisa"/>
    <s v="Rojo"/>
    <s v="Tommy"/>
    <s v="MER-A0-1767"/>
    <d v="2024-11-22T00:00:00"/>
    <x v="0"/>
    <n v="183.66"/>
    <n v="0.1"/>
    <n v="163.17000000000002"/>
    <x v="2"/>
    <s v="Sí"/>
    <d v="2025-03-16T00:00:00"/>
    <n v="9"/>
  </r>
  <r>
    <s v="DEP-A0-0803"/>
    <x v="0"/>
    <n v="63"/>
    <x v="1"/>
    <s v="Pantalón"/>
    <s v="Azul"/>
    <s v="Mango"/>
    <s v="MER-A0-0803"/>
    <d v="2024-10-15T00:00:00"/>
    <x v="0"/>
    <n v="183.74"/>
    <n v="0.1"/>
    <n v="165.04"/>
    <x v="2"/>
    <s v="Sí"/>
    <d v="2024-10-15T00:00:00"/>
    <n v="9"/>
  </r>
  <r>
    <s v="DEP-A0-0411"/>
    <x v="0"/>
    <n v="61"/>
    <x v="1"/>
    <s v="Vestido"/>
    <s v="Negro"/>
    <s v="Adidas"/>
    <s v="MER-A0-0411"/>
    <d v="2024-05-24T00:00:00"/>
    <x v="0"/>
    <n v="165.83"/>
    <n v="0"/>
    <n v="166.66"/>
    <x v="2"/>
    <s v="Sí"/>
    <d v="2025-05-19T00:00:00"/>
    <n v="12"/>
  </r>
  <r>
    <s v="DEP-A0-2500"/>
    <x v="0"/>
    <n v="37"/>
    <x v="1"/>
    <s v="Zapatos"/>
    <s v="Amarillo"/>
    <s v="Puma"/>
    <s v="MER-A0-2500"/>
    <d v="2024-09-02T00:00:00"/>
    <x v="0"/>
    <n v="186.03"/>
    <n v="0.1"/>
    <n v="170.75700000000001"/>
    <x v="2"/>
    <s v="Sí"/>
    <d v="2024-09-02T00:00:00"/>
    <n v="12"/>
  </r>
  <r>
    <s v="DEP-A0-1901"/>
    <x v="0"/>
    <n v="40"/>
    <x v="1"/>
    <s v="Pantalón"/>
    <s v="Gris"/>
    <s v="Tommy"/>
    <s v="MER-A0-1901"/>
    <d v="2024-09-14T00:00:00"/>
    <x v="0"/>
    <n v="167.65"/>
    <n v="0"/>
    <n v="174.98699999999999"/>
    <x v="2"/>
    <s v="Sí"/>
    <d v="2024-09-14T00:00:00"/>
    <n v="12"/>
  </r>
  <r>
    <s v="DEP-A0-0666"/>
    <x v="1"/>
    <n v="37"/>
    <x v="1"/>
    <s v="Chaqueta"/>
    <s v="Amarillo"/>
    <s v="Mango"/>
    <s v="MER-A0-0666"/>
    <d v="2024-02-28T00:00:00"/>
    <x v="0"/>
    <n v="169.21"/>
    <n v="0"/>
    <n v="178.06"/>
    <x v="2"/>
    <s v="Sí"/>
    <d v="2025-02-22T00:00:00"/>
    <n v="12"/>
  </r>
  <r>
    <s v="DEP-A0-3057"/>
    <x v="0"/>
    <n v="47"/>
    <x v="1"/>
    <s v="Vestido"/>
    <s v="Rojo"/>
    <s v="Nike"/>
    <s v="MER-A0-3057"/>
    <d v="2024-05-10T00:00:00"/>
    <x v="0"/>
    <n v="169.54"/>
    <n v="0"/>
    <n v="179.48699999999999"/>
    <x v="2"/>
    <s v="Sí"/>
    <d v="2025-05-05T00:00:00"/>
    <n v="12"/>
  </r>
  <r>
    <s v="DEP-A0-1812"/>
    <x v="1"/>
    <n v="41"/>
    <x v="1"/>
    <s v="Zapatos"/>
    <s v="Blanco"/>
    <s v="Mango"/>
    <s v="MER-A0-1812"/>
    <d v="2024-02-24T00:00:00"/>
    <x v="0"/>
    <n v="188.89"/>
    <n v="0.1"/>
    <n v="180.41"/>
    <x v="2"/>
    <s v="Sí"/>
    <d v="2024-02-24T00:00:00"/>
    <n v="9"/>
  </r>
  <r>
    <s v="DEP-A0-1880"/>
    <x v="0"/>
    <n v="42"/>
    <x v="1"/>
    <s v="Pantalón"/>
    <s v="Verde"/>
    <s v="Levis"/>
    <s v="MER-A0-1880"/>
    <d v="2024-05-08T00:00:00"/>
    <x v="0"/>
    <n v="170.1"/>
    <n v="0"/>
    <n v="182.96"/>
    <x v="2"/>
    <s v="Sí"/>
    <d v="2025-02-02T00:00:00"/>
    <n v="9"/>
  </r>
  <r>
    <s v="DEP-A0-2134"/>
    <x v="0"/>
    <n v="42"/>
    <x v="1"/>
    <s v="Blusa"/>
    <s v="Gris"/>
    <s v="Nike"/>
    <s v="MER-A0-2134"/>
    <d v="2024-03-06T00:00:00"/>
    <x v="0"/>
    <n v="189.21"/>
    <n v="0.1"/>
    <n v="184.34"/>
    <x v="2"/>
    <s v="Sí"/>
    <d v="2024-03-06T00:00:00"/>
    <n v="3"/>
  </r>
  <r>
    <s v="DEP-A0-3399"/>
    <x v="0"/>
    <n v="50"/>
    <x v="1"/>
    <s v="Falda"/>
    <s v="Verde"/>
    <s v="Puma"/>
    <s v="MER-A0-3399"/>
    <d v="2024-01-19T00:00:00"/>
    <x v="0"/>
    <n v="170.38"/>
    <n v="0"/>
    <n v="187.58"/>
    <x v="2"/>
    <s v="Sí"/>
    <d v="2024-01-19T00:00:00"/>
    <n v="3"/>
  </r>
  <r>
    <s v="DEP-A0-0614"/>
    <x v="1"/>
    <n v="41"/>
    <x v="1"/>
    <s v="Chaqueta"/>
    <s v="Rojo"/>
    <s v="Mango"/>
    <s v="MER-A0-0614"/>
    <d v="2024-09-13T00:00:00"/>
    <x v="0"/>
    <n v="173.26"/>
    <n v="0"/>
    <n v="8.6239999999999988"/>
    <x v="2"/>
    <s v="Sí"/>
    <d v="2024-09-13T00:00:00"/>
    <n v="3"/>
  </r>
  <r>
    <s v="DEP-A0-2497"/>
    <x v="0"/>
    <n v="41"/>
    <x v="1"/>
    <s v="Blusa"/>
    <s v="Verde"/>
    <s v="Nike"/>
    <s v="MER-A0-2497"/>
    <d v="2024-04-02T00:00:00"/>
    <x v="0"/>
    <n v="192.55"/>
    <n v="0.1"/>
    <n v="8.7010000000000005"/>
    <x v="2"/>
    <s v="Sí"/>
    <d v="2025-03-28T00:00:00"/>
    <n v="12"/>
  </r>
  <r>
    <s v="DEP-A0-0714"/>
    <x v="0"/>
    <n v="50"/>
    <x v="1"/>
    <s v="Vestido"/>
    <s v="Negro"/>
    <s v="Levis"/>
    <s v="MER-A0-0714"/>
    <d v="2024-02-16T00:00:00"/>
    <x v="0"/>
    <n v="173.72"/>
    <n v="0"/>
    <n v="11.78"/>
    <x v="2"/>
    <s v="Sí"/>
    <d v="2024-02-16T00:00:00"/>
    <n v="12"/>
  </r>
  <r>
    <s v="DEP-A0-0578"/>
    <x v="1"/>
    <n v="40"/>
    <x v="1"/>
    <s v="Camisa"/>
    <s v="Azul"/>
    <s v="Tommy"/>
    <s v="MER-A0-0578"/>
    <d v="2024-02-01T00:00:00"/>
    <x v="0"/>
    <n v="176.97"/>
    <n v="0"/>
    <n v="17.36"/>
    <x v="2"/>
    <s v="Sí"/>
    <d v="2024-02-01T00:00:00"/>
    <n v="3"/>
  </r>
  <r>
    <s v="DEP-A0-4830"/>
    <x v="0"/>
    <n v="62"/>
    <x v="1"/>
    <s v="Vestido"/>
    <s v="Gris"/>
    <s v="Tommy"/>
    <s v="MER-A0-4830"/>
    <d v="2024-01-28T00:00:00"/>
    <x v="0"/>
    <n v="177.06"/>
    <n v="0"/>
    <n v="17.891999999999999"/>
    <x v="2"/>
    <s v="Sí"/>
    <d v="2024-01-28T00:00:00"/>
    <n v="3"/>
  </r>
  <r>
    <s v="DEP-A0-2237"/>
    <x v="1"/>
    <n v="60"/>
    <x v="1"/>
    <s v="Chaqueta"/>
    <s v="Gris"/>
    <s v="Adidas"/>
    <s v="MER-A0-2237"/>
    <d v="2024-11-08T00:00:00"/>
    <x v="0"/>
    <n v="198.01"/>
    <n v="0.1"/>
    <n v="18.917999999999999"/>
    <x v="2"/>
    <s v="Sí"/>
    <d v="2025-11-03T00:00:00"/>
    <n v="12"/>
  </r>
  <r>
    <s v="DEP-A0-0713"/>
    <x v="0"/>
    <n v="64"/>
    <x v="1"/>
    <s v="Chaqueta"/>
    <s v="Verde"/>
    <s v="Levis"/>
    <s v="MER-A0-0713"/>
    <d v="2024-06-11T00:00:00"/>
    <x v="0"/>
    <n v="178.37"/>
    <n v="0"/>
    <n v="18.963000000000001"/>
    <x v="2"/>
    <s v="Sí"/>
    <d v="2024-06-11T00:00:00"/>
    <n v="6"/>
  </r>
  <r>
    <s v="DEP-A0-1217"/>
    <x v="1"/>
    <n v="45"/>
    <x v="1"/>
    <s v="Zapatos"/>
    <s v="Azul"/>
    <s v="Levis"/>
    <s v="MER-A0-1217"/>
    <d v="2024-12-22T00:00:00"/>
    <x v="0"/>
    <n v="198.39"/>
    <n v="0.1"/>
    <n v="19.096000000000004"/>
    <x v="2"/>
    <s v="Sí"/>
    <d v="2025-06-20T00:00:00"/>
    <n v="6"/>
  </r>
  <r>
    <s v="DEP-A0-2489"/>
    <x v="0"/>
    <n v="63"/>
    <x v="1"/>
    <s v="Camisa"/>
    <s v="Blanco"/>
    <s v="Zara"/>
    <s v="MER-A0-2489"/>
    <d v="2024-02-13T00:00:00"/>
    <x v="0"/>
    <n v="178.76"/>
    <n v="0"/>
    <n v="19.190000000000001"/>
    <x v="2"/>
    <s v="Sí"/>
    <d v="2024-02-13T00:00:00"/>
    <n v="12"/>
  </r>
  <r>
    <s v="DEP-A0-3892"/>
    <x v="0"/>
    <n v="39"/>
    <x v="1"/>
    <s v="Vestido"/>
    <s v="Negro"/>
    <s v="Levis"/>
    <s v="MER-A0-3892"/>
    <d v="2024-01-16T00:00:00"/>
    <x v="0"/>
    <n v="178.83"/>
    <n v="0"/>
    <n v="19.25"/>
    <x v="2"/>
    <s v="Sí"/>
    <d v="2024-01-16T00:00:00"/>
    <n v="9"/>
  </r>
  <r>
    <s v="DEP-A0-2648"/>
    <x v="1"/>
    <n v="51"/>
    <x v="1"/>
    <s v="Camisa"/>
    <s v="Gris"/>
    <s v="Tommy"/>
    <s v="MER-A0-2648"/>
    <d v="2024-08-01T00:00:00"/>
    <x v="0"/>
    <n v="199"/>
    <n v="0.1"/>
    <n v="19.950000000000003"/>
    <x v="2"/>
    <s v="Sí"/>
    <d v="2024-08-01T00:00:00"/>
    <n v="3"/>
  </r>
  <r>
    <s v="DEP-A0-4318"/>
    <x v="0"/>
    <n v="59"/>
    <x v="1"/>
    <s v="Falda"/>
    <s v="Azul"/>
    <s v="Nike"/>
    <s v="MER-A0-4318"/>
    <d v="2024-12-23T00:00:00"/>
    <x v="0"/>
    <n v="199.08"/>
    <n v="0.1"/>
    <n v="23.4"/>
    <x v="2"/>
    <s v="Sí"/>
    <d v="2024-04-12T00:00:00"/>
    <n v="3"/>
  </r>
  <r>
    <s v="DEP-A0-2726"/>
    <x v="0"/>
    <n v="60"/>
    <x v="1"/>
    <s v="Zapatos"/>
    <s v="Blanco"/>
    <s v="Tommy"/>
    <s v="MER-A0-2726"/>
    <d v="2024-12-24T00:00:00"/>
    <x v="0"/>
    <n v="179.38"/>
    <n v="0"/>
    <n v="24.110999999999997"/>
    <x v="2"/>
    <s v="Sí"/>
    <d v="2025-03-24T00:00:00"/>
    <n v="3"/>
  </r>
  <r>
    <s v="DEP-A0-2290"/>
    <x v="1"/>
    <n v="63"/>
    <x v="1"/>
    <s v="Pantalón"/>
    <s v="Rojo"/>
    <s v="Levis"/>
    <s v="MER-A0-2290"/>
    <d v="2024-03-18T00:00:00"/>
    <x v="0"/>
    <n v="179.99"/>
    <n v="0"/>
    <n v="24.43"/>
    <x v="2"/>
    <s v="Sí"/>
    <d v="2024-03-18T00:00:00"/>
    <n v="3"/>
  </r>
  <r>
    <s v="DEP-A0-4645"/>
    <x v="0"/>
    <n v="38"/>
    <x v="1"/>
    <s v="Blusa"/>
    <s v="Verde"/>
    <s v="Zara"/>
    <s v="MER-A0-4645"/>
    <d v="2024-05-31T00:00:00"/>
    <x v="0"/>
    <n v="180.18"/>
    <n v="0"/>
    <n v="25.87"/>
    <x v="2"/>
    <s v="Sí"/>
    <d v="2024-05-31T00:00:00"/>
    <n v="9"/>
  </r>
  <r>
    <s v="DEP-A0-3914"/>
    <x v="1"/>
    <n v="58"/>
    <x v="1"/>
    <s v="Camisa"/>
    <s v="Rojo"/>
    <s v="Nike"/>
    <s v="MER-A0-3914"/>
    <d v="2024-12-01T00:00:00"/>
    <x v="0"/>
    <n v="180.78"/>
    <n v="0"/>
    <n v="27.22"/>
    <x v="2"/>
    <s v="Sí"/>
    <d v="2025-11-26T00:00:00"/>
    <n v="12"/>
  </r>
  <r>
    <s v="DEP-A0-0838"/>
    <x v="0"/>
    <n v="36"/>
    <x v="1"/>
    <s v="Falda"/>
    <s v="Gris"/>
    <s v="Levis"/>
    <s v="MER-A0-0838"/>
    <d v="2024-09-20T00:00:00"/>
    <x v="0"/>
    <n v="183.89"/>
    <n v="0"/>
    <n v="28.494"/>
    <x v="2"/>
    <s v="Sí"/>
    <d v="2025-03-19T00:00:00"/>
    <n v="6"/>
  </r>
  <r>
    <s v="DEP-A0-3673"/>
    <x v="1"/>
    <n v="60"/>
    <x v="1"/>
    <s v="Camisa"/>
    <s v="Gris"/>
    <s v="Zara"/>
    <s v="MER-A0-3673"/>
    <d v="2024-12-09T00:00:00"/>
    <x v="0"/>
    <n v="185.78"/>
    <n v="0"/>
    <n v="30.366"/>
    <x v="2"/>
    <s v="Sí"/>
    <d v="2024-06-07T00:00:00"/>
    <n v="9"/>
  </r>
  <r>
    <s v="DEP-A0-0547"/>
    <x v="0"/>
    <n v="38"/>
    <x v="1"/>
    <s v="Falda"/>
    <s v="Amarillo"/>
    <s v="Nike"/>
    <s v="MER-A0-0547"/>
    <d v="2024-03-21T00:00:00"/>
    <x v="0"/>
    <n v="190.24"/>
    <n v="0"/>
    <n v="34.496000000000002"/>
    <x v="2"/>
    <s v="Sí"/>
    <d v="2024-03-21T00:00:00"/>
    <n v="12"/>
  </r>
  <r>
    <s v="DEP-A0-4409"/>
    <x v="0"/>
    <n v="57"/>
    <x v="1"/>
    <s v="Chaqueta"/>
    <s v="Blanco"/>
    <s v="Zara"/>
    <s v="MER-A0-4409"/>
    <d v="2024-07-05T00:00:00"/>
    <x v="0"/>
    <n v="194.16"/>
    <n v="0"/>
    <n v="38.04"/>
    <x v="2"/>
    <s v="Sí"/>
    <d v="2025-06-30T00:00:00"/>
    <n v="12"/>
  </r>
  <r>
    <s v="DEP-A0-0292"/>
    <x v="0"/>
    <n v="58"/>
    <x v="1"/>
    <s v="Falda"/>
    <s v="Verde"/>
    <s v="Puma"/>
    <s v="MER-A0-0292"/>
    <d v="2024-12-08T00:00:00"/>
    <x v="0"/>
    <n v="194.78"/>
    <n v="0"/>
    <n v="38.384"/>
    <x v="2"/>
    <s v="Sí"/>
    <d v="2025-05-31T00:00:00"/>
    <n v="12"/>
  </r>
  <r>
    <s v="DEP-A0-3259"/>
    <x v="0"/>
    <n v="38"/>
    <x v="1"/>
    <s v="Vestido"/>
    <s v="Gris"/>
    <s v="Puma"/>
    <s v="MER-A0-3259"/>
    <d v="2024-12-08T00:00:00"/>
    <x v="0"/>
    <n v="195.16"/>
    <n v="0"/>
    <n v="39.171999999999997"/>
    <x v="2"/>
    <s v="Sí"/>
    <d v="2024-06-13T00:00:00"/>
    <n v="12"/>
  </r>
  <r>
    <s v="DEP-A0-2543"/>
    <x v="0"/>
    <n v="59"/>
    <x v="1"/>
    <s v="Vestido"/>
    <s v="Amarillo"/>
    <s v="Adidas"/>
    <s v="MER-A0-2543"/>
    <d v="2024-10-13T00:00:00"/>
    <x v="0"/>
    <n v="195.45"/>
    <n v="0"/>
    <n v="39.298000000000002"/>
    <x v="2"/>
    <s v="Sí"/>
    <d v="2025-07-10T00:00:00"/>
    <n v="9"/>
  </r>
  <r>
    <s v="DEP-A0-4411"/>
    <x v="0"/>
    <n v="44"/>
    <x v="1"/>
    <s v="Vestido"/>
    <s v="Azul"/>
    <s v="Nike"/>
    <s v="MER-A0-4411"/>
    <d v="2024-01-27T00:00:00"/>
    <x v="0"/>
    <n v="195.77"/>
    <n v="0"/>
    <n v="40.401000000000003"/>
    <x v="2"/>
    <s v="Sí"/>
    <d v="2024-01-27T00:00:00"/>
    <n v="12"/>
  </r>
  <r>
    <s v="DEP-A0-2378"/>
    <x v="1"/>
    <n v="57"/>
    <x v="1"/>
    <s v="Pantalón"/>
    <s v="Negro"/>
    <s v="Mango"/>
    <s v="MER-A0-2378"/>
    <d v="2024-08-29T00:00:00"/>
    <x v="0"/>
    <n v="197.09"/>
    <n v="0"/>
    <n v="41.92"/>
    <x v="2"/>
    <s v="Sí"/>
    <d v="2025-02-25T00:00:00"/>
    <n v="6"/>
  </r>
  <r>
    <s v="DEP-A0-0034"/>
    <x v="0"/>
    <n v="61"/>
    <x v="1"/>
    <s v="Vestido"/>
    <s v="Rojo"/>
    <s v="Zara"/>
    <s v="MER-A0-0034"/>
    <d v="2024-12-23T00:00:00"/>
    <x v="0"/>
    <n v="198.54"/>
    <n v="0"/>
    <n v="44.093000000000004"/>
    <x v="2"/>
    <s v="Sí"/>
    <d v="2025-01-05T00:00:00"/>
    <n v="12"/>
  </r>
  <r>
    <s v="DEP-A0-4105"/>
    <x v="1"/>
    <n v="60"/>
    <x v="1"/>
    <s v="Camisa"/>
    <s v="Gris"/>
    <s v="Nike"/>
    <s v="MER-A0-4105"/>
    <d v="2024-04-22T00:00:00"/>
    <x v="0"/>
    <n v="199.29"/>
    <n v="0"/>
    <n v="45.290000000000006"/>
    <x v="2"/>
    <s v="Sí"/>
    <d v="2024-04-22T00:00:00"/>
    <n v="12"/>
  </r>
  <r>
    <s v="DEP-A0-3296"/>
    <x v="0"/>
    <n v="51"/>
    <x v="1"/>
    <s v="Vestido"/>
    <s v="Amarillo"/>
    <s v="Nike"/>
    <s v="MER-A0-3296"/>
    <d v="2024-03-28T00:00:00"/>
    <x v="0"/>
    <n v="199.32"/>
    <n v="0"/>
    <n v="45.5"/>
    <x v="2"/>
    <s v="Sí"/>
    <d v="2025-03-23T00:00:00"/>
    <n v="12"/>
  </r>
  <r>
    <s v="DEP-A0-3286"/>
    <x v="1"/>
    <n v="45"/>
    <x v="1"/>
    <s v="Chaqueta"/>
    <s v="Rojo"/>
    <s v="Adidas"/>
    <s v="MER-A0-3286"/>
    <d v="2025-01-15T00:00:00"/>
    <x v="1"/>
    <n v="35.020000000000003"/>
    <n v="0"/>
    <n v="97.472000000000008"/>
    <x v="2"/>
    <s v="No"/>
    <d v="2025-01-15T00:00:00"/>
    <n v="0"/>
  </r>
  <r>
    <s v="DEP-A0-0611"/>
    <x v="0"/>
    <n v="59"/>
    <x v="1"/>
    <s v="Falda"/>
    <s v="Gris"/>
    <s v="Levis"/>
    <s v="MER-A0-0611"/>
    <d v="2025-01-16T00:00:00"/>
    <x v="1"/>
    <n v="35.700000000000003"/>
    <n v="0.1"/>
    <n v="97.566000000000003"/>
    <x v="2"/>
    <s v="No"/>
    <d v="2025-01-16T00:00:00"/>
    <n v="0"/>
  </r>
  <r>
    <s v="DEP-A0-2418"/>
    <x v="1"/>
    <n v="48"/>
    <x v="1"/>
    <s v="Chaqueta"/>
    <s v="Amarillo"/>
    <s v="Zara"/>
    <s v="MER-A0-2418"/>
    <d v="2025-02-13T00:00:00"/>
    <x v="1"/>
    <n v="56.44"/>
    <n v="0"/>
    <n v="98.217000000000013"/>
    <x v="2"/>
    <s v="No"/>
    <d v="2025-01-16T00:00:00"/>
    <n v="0"/>
  </r>
  <r>
    <s v="DEP-A0-2282"/>
    <x v="0"/>
    <n v="56"/>
    <x v="1"/>
    <s v="Vestido"/>
    <s v="Rojo"/>
    <s v="Mango"/>
    <s v="MER-A0-2282"/>
    <d v="2025-02-13T00:00:00"/>
    <x v="1"/>
    <n v="69.2"/>
    <n v="0.3"/>
    <n v="98.89"/>
    <x v="2"/>
    <s v="No"/>
    <d v="2025-01-29T00:00:00"/>
    <n v="0"/>
  </r>
  <r>
    <s v="DEP-A0-0229"/>
    <x v="0"/>
    <n v="38"/>
    <x v="1"/>
    <s v="Chaqueta"/>
    <s v="Azul"/>
    <s v="Puma"/>
    <s v="MER-A0-0229"/>
    <d v="2025-02-13T00:00:00"/>
    <x v="1"/>
    <n v="87.18"/>
    <n v="0.3"/>
    <n v="99.56"/>
    <x v="2"/>
    <s v="No"/>
    <d v="2025-01-24T00:00:00"/>
    <n v="0"/>
  </r>
  <r>
    <s v="DEP-A0-4246"/>
    <x v="0"/>
    <n v="49"/>
    <x v="1"/>
    <s v="Blusa"/>
    <s v="Amarillo"/>
    <s v="Tommy"/>
    <s v="MER-A0-4246"/>
    <d v="2025-01-10T00:00:00"/>
    <x v="1"/>
    <n v="91.52"/>
    <n v="0.2"/>
    <n v="100.06200000000001"/>
    <x v="2"/>
    <s v="No"/>
    <d v="2025-01-10T00:00:00"/>
    <n v="0"/>
  </r>
  <r>
    <s v="DEP-A0-3220"/>
    <x v="0"/>
    <n v="42"/>
    <x v="1"/>
    <s v="Zapatos"/>
    <s v="Negro"/>
    <s v="Mango"/>
    <s v="MER-A0-3220"/>
    <d v="2025-01-05T00:00:00"/>
    <x v="1"/>
    <n v="93.11"/>
    <n v="0.3"/>
    <n v="100.422"/>
    <x v="2"/>
    <s v="No"/>
    <d v="2025-01-05T00:00:00"/>
    <n v="0"/>
  </r>
  <r>
    <s v="DEP-A0-3129"/>
    <x v="0"/>
    <n v="48"/>
    <x v="1"/>
    <s v="Pantalón"/>
    <s v="Blanco"/>
    <s v="Nike"/>
    <s v="MER-A0-3129"/>
    <d v="2025-01-14T00:00:00"/>
    <x v="1"/>
    <n v="178.29"/>
    <n v="0.2"/>
    <n v="100.45699999999999"/>
    <x v="2"/>
    <s v="No"/>
    <d v="2025-01-14T00:00:00"/>
    <n v="0"/>
  </r>
  <r>
    <s v="DEP-A0-0564"/>
    <x v="1"/>
    <n v="61"/>
    <x v="1"/>
    <s v="Zapatos"/>
    <s v="Rojo"/>
    <s v="Nike"/>
    <s v="MER-A0-0564"/>
    <d v="2025-01-14T00:00:00"/>
    <x v="1"/>
    <n v="179.25"/>
    <n v="0.1"/>
    <n v="100.611"/>
    <x v="2"/>
    <s v="No"/>
    <d v="2025-01-14T00:00:00"/>
    <n v="0"/>
  </r>
  <r>
    <s v="DEP-A0-4332"/>
    <x v="0"/>
    <n v="44"/>
    <x v="1"/>
    <s v="Falda"/>
    <s v="Azul"/>
    <s v="Puma"/>
    <s v="MER-A0-4332"/>
    <d v="2025-01-12T00:00:00"/>
    <x v="1"/>
    <n v="179.49"/>
    <n v="0"/>
    <n v="100.62"/>
    <x v="2"/>
    <s v="No"/>
    <d v="2025-01-12T00:00:00"/>
    <n v="0"/>
  </r>
  <r>
    <s v="DEP-A0-0473"/>
    <x v="0"/>
    <n v="54"/>
    <x v="1"/>
    <s v="Blusa"/>
    <s v="Gris"/>
    <s v="Nike"/>
    <s v="MER-A0-0473"/>
    <d v="2025-01-16T00:00:00"/>
    <x v="1"/>
    <n v="181.79"/>
    <n v="0.1"/>
    <n v="101.205"/>
    <x v="2"/>
    <s v="No"/>
    <d v="2025-01-16T00:00:00"/>
    <n v="0"/>
  </r>
  <r>
    <s v="DEP-A0-4029"/>
    <x v="0"/>
    <n v="42"/>
    <x v="1"/>
    <s v="Chaqueta"/>
    <s v="Negro"/>
    <s v="Zara"/>
    <s v="MER-A0-4029"/>
    <d v="2025-01-01T00:00:00"/>
    <x v="1"/>
    <n v="185.67"/>
    <n v="0.1"/>
    <n v="101.38800000000001"/>
    <x v="2"/>
    <s v="No"/>
    <d v="2025-01-01T00:00:00"/>
    <n v="0"/>
  </r>
  <r>
    <s v="DEP-A0-3856"/>
    <x v="0"/>
    <n v="42"/>
    <x v="1"/>
    <s v="Vestido"/>
    <s v="Blanco"/>
    <s v="Nike"/>
    <s v="MER-A0-3856"/>
    <d v="2025-02-09T00:00:00"/>
    <x v="1"/>
    <n v="66.349999999999994"/>
    <n v="0.3"/>
    <n v="101.42099999999999"/>
    <x v="2"/>
    <s v="No"/>
    <d v="2025-02-09T00:00:00"/>
    <n v="0"/>
  </r>
  <r>
    <s v="DEP-A0-1566"/>
    <x v="0"/>
    <n v="37"/>
    <x v="1"/>
    <s v="Falda"/>
    <s v="Blanco"/>
    <s v="Adidas"/>
    <s v="MER-A0-1566"/>
    <d v="2025-02-09T00:00:00"/>
    <x v="1"/>
    <n v="80.650000000000006"/>
    <n v="0.3"/>
    <n v="101.51"/>
    <x v="2"/>
    <s v="No"/>
    <d v="2025-02-09T00:00:00"/>
    <n v="0"/>
  </r>
  <r>
    <s v="DEP-A0-4991"/>
    <x v="0"/>
    <n v="47"/>
    <x v="1"/>
    <s v="Vestido"/>
    <s v="Negro"/>
    <s v="Adidas"/>
    <s v="MER-A0-4991"/>
    <d v="2025-02-13T00:00:00"/>
    <x v="1"/>
    <n v="177.34"/>
    <n v="0.3"/>
    <n v="102.62700000000001"/>
    <x v="2"/>
    <s v="No"/>
    <d v="2025-02-13T00:00:00"/>
    <n v="0"/>
  </r>
  <r>
    <s v="DEP-A0-3666"/>
    <x v="1"/>
    <n v="57"/>
    <x v="1"/>
    <s v="Camisa"/>
    <s v="Verde"/>
    <s v="Nike"/>
    <s v="MER-A0-3666"/>
    <d v="2025-02-14T00:00:00"/>
    <x v="1"/>
    <n v="50.58"/>
    <n v="0.1"/>
    <n v="102.64"/>
    <x v="2"/>
    <s v="No"/>
    <d v="2025-02-14T00:00:00"/>
    <n v="0"/>
  </r>
  <r>
    <s v="DEP-A0-2668"/>
    <x v="0"/>
    <n v="62"/>
    <x v="1"/>
    <s v="Chaqueta"/>
    <s v="Blanco"/>
    <s v="Tommy"/>
    <s v="MER-A0-2668"/>
    <d v="2025-02-14T00:00:00"/>
    <x v="1"/>
    <n v="150.97999999999999"/>
    <n v="0.3"/>
    <n v="103.54399999999998"/>
    <x v="2"/>
    <s v="No"/>
    <d v="2025-02-14T00:00:00"/>
    <n v="0"/>
  </r>
  <r>
    <s v="DEP-A0-4353"/>
    <x v="1"/>
    <n v="39"/>
    <x v="1"/>
    <s v="Chaqueta"/>
    <s v="Azul"/>
    <s v="Mango"/>
    <s v="MER-A0-4353"/>
    <d v="2025-02-14T00:00:00"/>
    <x v="1"/>
    <n v="185.09"/>
    <n v="0.1"/>
    <n v="103.726"/>
    <x v="2"/>
    <s v="No"/>
    <d v="2025-02-14T00:00:00"/>
    <n v="0"/>
  </r>
  <r>
    <s v="DEP-A0-1711"/>
    <x v="0"/>
    <n v="37"/>
    <x v="1"/>
    <s v="Vestido"/>
    <s v="Rojo"/>
    <s v="Zara"/>
    <s v="MER-A0-1711"/>
    <d v="2025-02-23T00:00:00"/>
    <x v="1"/>
    <n v="106.4"/>
    <n v="0"/>
    <n v="104.47999999999999"/>
    <x v="2"/>
    <s v="No"/>
    <d v="2025-02-23T00:00:00"/>
    <n v="0"/>
  </r>
  <r>
    <s v="DEP-A0-2566"/>
    <x v="0"/>
    <n v="45"/>
    <x v="1"/>
    <s v="Camisa"/>
    <s v="Azul"/>
    <s v="Mango"/>
    <s v="MER-A0-2566"/>
    <d v="2025-02-23T00:00:00"/>
    <x v="1"/>
    <n v="157.61000000000001"/>
    <n v="0.2"/>
    <n v="105.82600000000001"/>
    <x v="2"/>
    <s v="No"/>
    <d v="2025-02-23T00:00:00"/>
    <n v="0"/>
  </r>
  <r>
    <s v="DEP-A0-4464"/>
    <x v="0"/>
    <n v="56"/>
    <x v="1"/>
    <s v="Camisa"/>
    <s v="Negro"/>
    <s v="Adidas"/>
    <s v="MER-A0-4464"/>
    <d v="2025-02-24T00:00:00"/>
    <x v="1"/>
    <n v="170.76"/>
    <n v="0"/>
    <n v="106.96700000000001"/>
    <x v="2"/>
    <s v="No"/>
    <d v="2025-02-24T00:00:00"/>
    <n v="0"/>
  </r>
  <r>
    <s v="DEP-A0-2499"/>
    <x v="1"/>
    <n v="49"/>
    <x v="1"/>
    <s v="Camisa"/>
    <s v="Rojo"/>
    <s v="Puma"/>
    <s v="MER-A0-2499"/>
    <d v="2025-02-24T00:00:00"/>
    <x v="1"/>
    <n v="186.32"/>
    <n v="0"/>
    <n v="107.33599999999998"/>
    <x v="2"/>
    <s v="No"/>
    <d v="2025-02-24T00:00:00"/>
    <n v="0"/>
  </r>
  <r>
    <s v="DEP-A0-0383"/>
    <x v="0"/>
    <n v="57"/>
    <x v="1"/>
    <s v="Chaqueta"/>
    <s v="Amarillo"/>
    <s v="Tommy"/>
    <s v="MER-A0-0383"/>
    <d v="2025-03-23T00:00:00"/>
    <x v="1"/>
    <n v="52.54"/>
    <n v="0.3"/>
    <n v="108.12"/>
    <x v="2"/>
    <s v="No"/>
    <d v="2025-03-23T00:00:00"/>
    <n v="0"/>
  </r>
  <r>
    <s v="DEP-A0-0731"/>
    <x v="0"/>
    <n v="47"/>
    <x v="1"/>
    <s v="Falda"/>
    <s v="Negro"/>
    <s v="Adidas"/>
    <s v="MER-A0-0731"/>
    <d v="2025-03-20T00:00:00"/>
    <x v="1"/>
    <n v="54.42"/>
    <n v="0.3"/>
    <n v="108.36800000000001"/>
    <x v="2"/>
    <s v="No"/>
    <d v="2025-03-20T00:00:00"/>
    <n v="0"/>
  </r>
  <r>
    <s v="DEP-A0-1358"/>
    <x v="0"/>
    <n v="37"/>
    <x v="1"/>
    <s v="Blusa"/>
    <s v="Blanco"/>
    <s v="Adidas"/>
    <s v="MER-A0-1358"/>
    <d v="2025-03-10T00:00:00"/>
    <x v="1"/>
    <n v="56.06"/>
    <n v="0.3"/>
    <n v="108.745"/>
    <x v="2"/>
    <s v="No"/>
    <d v="2025-03-10T00:00:00"/>
    <n v="0"/>
  </r>
  <r>
    <s v="DEP-A0-1404"/>
    <x v="0"/>
    <n v="40"/>
    <x v="1"/>
    <s v="Camisa"/>
    <s v="Amarillo"/>
    <s v="Puma"/>
    <s v="MER-A0-1404"/>
    <d v="2025-03-20T00:00:00"/>
    <x v="1"/>
    <n v="57.2"/>
    <n v="0.2"/>
    <n v="109.044"/>
    <x v="2"/>
    <s v="No"/>
    <d v="2025-03-20T00:00:00"/>
    <n v="0"/>
  </r>
  <r>
    <s v="DEP-A0-0201"/>
    <x v="1"/>
    <n v="62"/>
    <x v="1"/>
    <s v="Zapatos"/>
    <s v="Negro"/>
    <s v="Puma"/>
    <s v="MER-A0-0201"/>
    <d v="2025-03-21T00:00:00"/>
    <x v="1"/>
    <n v="58.19"/>
    <n v="0.3"/>
    <n v="109.97"/>
    <x v="2"/>
    <s v="No"/>
    <d v="2025-03-21T00:00:00"/>
    <n v="0"/>
  </r>
  <r>
    <s v="DEP-A0-0702"/>
    <x v="0"/>
    <n v="58"/>
    <x v="1"/>
    <s v="Pantalón"/>
    <s v="Amarillo"/>
    <s v="Levis"/>
    <s v="MER-A0-0702"/>
    <d v="2025-03-10T00:00:00"/>
    <x v="1"/>
    <n v="62.09"/>
    <n v="0.3"/>
    <n v="110.005"/>
    <x v="2"/>
    <s v="No"/>
    <d v="2025-03-10T00:00:00"/>
    <n v="0"/>
  </r>
  <r>
    <s v="DEP-A0-2644"/>
    <x v="0"/>
    <n v="63"/>
    <x v="1"/>
    <s v="Blusa"/>
    <s v="Negro"/>
    <s v="Nike"/>
    <s v="MER-A0-2644"/>
    <d v="2025-03-31T00:00:00"/>
    <x v="1"/>
    <n v="82.25"/>
    <n v="0.2"/>
    <n v="110.72799999999999"/>
    <x v="2"/>
    <s v="No"/>
    <d v="2025-03-31T00:00:00"/>
    <n v="0"/>
  </r>
  <r>
    <s v="DEP-A0-2940"/>
    <x v="0"/>
    <n v="60"/>
    <x v="1"/>
    <s v="Falda"/>
    <s v="Gris"/>
    <s v="Nike"/>
    <s v="MER-A0-2940"/>
    <d v="2025-03-28T00:00:00"/>
    <x v="1"/>
    <n v="108.6"/>
    <n v="0.1"/>
    <n v="110.864"/>
    <x v="2"/>
    <s v="No"/>
    <d v="2025-03-28T00:00:00"/>
    <n v="0"/>
  </r>
  <r>
    <s v="DEP-A0-4217"/>
    <x v="1"/>
    <n v="57"/>
    <x v="1"/>
    <s v="Pantalón"/>
    <s v="Negro"/>
    <s v="Puma"/>
    <s v="MER-A0-4217"/>
    <d v="2025-03-02T00:00:00"/>
    <x v="1"/>
    <n v="113.82"/>
    <n v="0.1"/>
    <n v="110.94300000000001"/>
    <x v="2"/>
    <s v="No"/>
    <d v="2025-03-02T00:00:00"/>
    <n v="0"/>
  </r>
  <r>
    <s v="DEP-A0-0039"/>
    <x v="0"/>
    <n v="64"/>
    <x v="1"/>
    <s v="Pantalón"/>
    <s v="Gris"/>
    <s v="Zara"/>
    <s v="MER-A0-0039"/>
    <d v="2025-03-06T00:00:00"/>
    <x v="1"/>
    <n v="119.79"/>
    <n v="0.1"/>
    <n v="111.23"/>
    <x v="2"/>
    <s v="No"/>
    <d v="2025-03-06T00:00:00"/>
    <n v="0"/>
  </r>
  <r>
    <s v="DEP-A0-0370"/>
    <x v="0"/>
    <n v="41"/>
    <x v="1"/>
    <s v="Blusa"/>
    <s v="Gris"/>
    <s v="Tommy"/>
    <s v="MER-A0-0370"/>
    <d v="2025-03-20T00:00:00"/>
    <x v="1"/>
    <n v="120.57"/>
    <n v="0.2"/>
    <n v="111.29600000000001"/>
    <x v="2"/>
    <s v="No"/>
    <d v="2025-03-20T00:00:00"/>
    <n v="0"/>
  </r>
  <r>
    <s v="DEP-A0-4030"/>
    <x v="1"/>
    <n v="46"/>
    <x v="1"/>
    <s v="Camisa"/>
    <s v="Negro"/>
    <s v="Nike"/>
    <s v="MER-A0-4030"/>
    <d v="2025-03-01T00:00:00"/>
    <x v="1"/>
    <n v="168.08"/>
    <n v="0.2"/>
    <n v="111.65"/>
    <x v="2"/>
    <s v="No"/>
    <d v="2025-03-01T00:00:00"/>
    <n v="0"/>
  </r>
  <r>
    <s v="DEP-A0-1818"/>
    <x v="0"/>
    <n v="50"/>
    <x v="1"/>
    <s v="Chaqueta"/>
    <s v="Blanco"/>
    <s v="Levis"/>
    <s v="MER-A0-1818"/>
    <d v="2025-03-04T00:00:00"/>
    <x v="1"/>
    <n v="177.38"/>
    <n v="0.2"/>
    <n v="111.86000000000001"/>
    <x v="2"/>
    <s v="No"/>
    <d v="2025-03-04T00:00:00"/>
    <n v="0"/>
  </r>
  <r>
    <s v="DEP-A0-4858"/>
    <x v="0"/>
    <n v="50"/>
    <x v="1"/>
    <s v="Blusa"/>
    <s v="Rojo"/>
    <s v="Tommy"/>
    <s v="MER-A0-4858"/>
    <d v="2025-03-07T00:00:00"/>
    <x v="1"/>
    <n v="181.16"/>
    <n v="0.1"/>
    <n v="112.11199999999999"/>
    <x v="2"/>
    <s v="No"/>
    <d v="2025-03-07T00:00:00"/>
    <n v="0"/>
  </r>
  <r>
    <s v="DEP-A0-3020"/>
    <x v="1"/>
    <n v="62"/>
    <x v="1"/>
    <s v="Pantalón"/>
    <s v="Negro"/>
    <s v="Levis"/>
    <s v="MER-A0-3020"/>
    <d v="2025-03-15T00:00:00"/>
    <x v="1"/>
    <n v="182.82"/>
    <n v="0.1"/>
    <n v="112.68599999999999"/>
    <x v="2"/>
    <s v="No"/>
    <d v="2025-03-15T00:00:00"/>
    <n v="0"/>
  </r>
  <r>
    <s v="DEP-A0-2420"/>
    <x v="1"/>
    <n v="40"/>
    <x v="1"/>
    <s v="Zapatos"/>
    <s v="Blanco"/>
    <s v="Adidas"/>
    <s v="MER-A0-2420"/>
    <d v="2025-03-08T00:00:00"/>
    <x v="1"/>
    <n v="187.86"/>
    <n v="0.3"/>
    <n v="112.99"/>
    <x v="2"/>
    <s v="No"/>
    <d v="2025-03-08T00:00:00"/>
    <n v="0"/>
  </r>
  <r>
    <s v="DEP-A0-4951"/>
    <x v="0"/>
    <n v="46"/>
    <x v="1"/>
    <s v="Vestido"/>
    <s v="Negro"/>
    <s v="Nike"/>
    <s v="MER-A0-4951"/>
    <d v="2025-03-09T00:00:00"/>
    <x v="1"/>
    <n v="188.62"/>
    <n v="0"/>
    <n v="113.247"/>
    <x v="2"/>
    <s v="No"/>
    <d v="2025-03-09T00:00:00"/>
    <n v="0"/>
  </r>
  <r>
    <s v="DEP-A0-3789"/>
    <x v="0"/>
    <n v="40"/>
    <x v="1"/>
    <s v="Zapatos"/>
    <s v="Verde"/>
    <s v="Nike"/>
    <s v="MER-A0-3789"/>
    <d v="2025-03-15T00:00:00"/>
    <x v="1"/>
    <n v="189.07"/>
    <n v="0.3"/>
    <n v="113.666"/>
    <x v="2"/>
    <s v="No"/>
    <d v="2025-03-15T00:00:00"/>
    <n v="0"/>
  </r>
  <r>
    <s v="DEP-A0-0012"/>
    <x v="0"/>
    <n v="58"/>
    <x v="1"/>
    <s v="Falda"/>
    <s v="Blanco"/>
    <s v="Nike"/>
    <s v="MER-A0-0012"/>
    <d v="2025-02-13T00:00:00"/>
    <x v="1"/>
    <n v="11.43"/>
    <n v="0"/>
    <n v="115.17099999999999"/>
    <x v="2"/>
    <s v="No"/>
    <d v="2025-01-04T00:00:00"/>
    <n v="0"/>
  </r>
  <r>
    <s v="DEP-A0-4123"/>
    <x v="0"/>
    <n v="53"/>
    <x v="1"/>
    <s v="Blusa"/>
    <s v="Gris"/>
    <s v="Tommy"/>
    <s v="MER-A0-4123"/>
    <d v="2025-01-13T00:00:00"/>
    <x v="1"/>
    <n v="26.04"/>
    <n v="0.3"/>
    <n v="116.68299999999999"/>
    <x v="2"/>
    <s v="No"/>
    <d v="2025-01-13T00:00:00"/>
    <n v="0"/>
  </r>
  <r>
    <s v="DEP-A0-2785"/>
    <x v="0"/>
    <n v="54"/>
    <x v="1"/>
    <s v="Pantalón"/>
    <s v="Amarillo"/>
    <s v="Adidas"/>
    <s v="MER-A0-2785"/>
    <d v="2025-02-13T00:00:00"/>
    <x v="1"/>
    <n v="67.34"/>
    <n v="0.3"/>
    <n v="117.40499999999999"/>
    <x v="2"/>
    <s v="No"/>
    <d v="2025-01-28T00:00:00"/>
    <n v="0"/>
  </r>
  <r>
    <s v="DEP-A0-4179"/>
    <x v="0"/>
    <n v="57"/>
    <x v="1"/>
    <s v="Blusa"/>
    <s v="Blanco"/>
    <s v="Nike"/>
    <s v="MER-A0-4179"/>
    <d v="2025-02-13T00:00:00"/>
    <x v="1"/>
    <n v="67.87"/>
    <n v="0"/>
    <n v="118.104"/>
    <x v="2"/>
    <s v="No"/>
    <d v="2025-01-09T00:00:00"/>
    <n v="0"/>
  </r>
  <r>
    <s v="DEP-A0-2044"/>
    <x v="0"/>
    <n v="50"/>
    <x v="1"/>
    <s v="Vestido"/>
    <s v="Rojo"/>
    <s v="Adidas"/>
    <s v="MER-A0-2044"/>
    <d v="2025-02-13T00:00:00"/>
    <x v="1"/>
    <n v="68.84"/>
    <n v="0"/>
    <n v="118.328"/>
    <x v="2"/>
    <s v="No"/>
    <d v="2025-01-27T00:00:00"/>
    <n v="0"/>
  </r>
  <r>
    <s v="DEP-A0-0242"/>
    <x v="0"/>
    <n v="45"/>
    <x v="1"/>
    <s v="Falda"/>
    <s v="Azul"/>
    <s v="Mango"/>
    <s v="MER-A0-0242"/>
    <d v="2025-01-16T00:00:00"/>
    <x v="1"/>
    <n v="70.430000000000007"/>
    <n v="0.1"/>
    <n v="119.20499999999998"/>
    <x v="2"/>
    <s v="No"/>
    <d v="2025-01-16T00:00:00"/>
    <n v="0"/>
  </r>
  <r>
    <s v="DEP-A0-2430"/>
    <x v="1"/>
    <n v="46"/>
    <x v="1"/>
    <s v="Camisa"/>
    <s v="Negro"/>
    <s v="Tommy"/>
    <s v="MER-A0-2430"/>
    <d v="2025-01-03T00:00:00"/>
    <x v="1"/>
    <n v="76.489999999999995"/>
    <n v="0.2"/>
    <n v="119.553"/>
    <x v="2"/>
    <s v="No"/>
    <d v="2025-01-03T00:00:00"/>
    <n v="0"/>
  </r>
  <r>
    <s v="DEP-A0-2774"/>
    <x v="0"/>
    <n v="51"/>
    <x v="1"/>
    <s v="Blusa"/>
    <s v="Verde"/>
    <s v="Puma"/>
    <s v="MER-A0-2774"/>
    <d v="2025-02-13T00:00:00"/>
    <x v="1"/>
    <n v="85"/>
    <n v="0.3"/>
    <n v="120.715"/>
    <x v="2"/>
    <s v="No"/>
    <d v="2025-01-28T00:00:00"/>
    <n v="0"/>
  </r>
  <r>
    <s v="DEP-A0-0320"/>
    <x v="0"/>
    <n v="43"/>
    <x v="1"/>
    <s v="Chaqueta"/>
    <s v="Verde"/>
    <s v="Zara"/>
    <s v="MER-A0-0320"/>
    <d v="2025-02-13T00:00:00"/>
    <x v="1"/>
    <n v="85.74"/>
    <n v="0"/>
    <n v="120.80799999999999"/>
    <x v="2"/>
    <s v="No"/>
    <d v="2025-01-09T00:00:00"/>
    <n v="0"/>
  </r>
  <r>
    <s v="DEP-A0-1903"/>
    <x v="1"/>
    <n v="43"/>
    <x v="1"/>
    <s v="Chaqueta"/>
    <s v="Negro"/>
    <s v="Nike"/>
    <s v="MER-A0-1903"/>
    <d v="2025-01-02T00:00:00"/>
    <x v="1"/>
    <n v="96.29"/>
    <n v="0.3"/>
    <n v="120.82"/>
    <x v="2"/>
    <s v="No"/>
    <d v="2025-01-02T00:00:00"/>
    <n v="0"/>
  </r>
  <r>
    <s v="DEP-A0-0629"/>
    <x v="0"/>
    <n v="47"/>
    <x v="1"/>
    <s v="Pantalón"/>
    <s v="Rojo"/>
    <s v="Zara"/>
    <s v="MER-A0-0629"/>
    <d v="2025-02-13T00:00:00"/>
    <x v="1"/>
    <n v="103.13"/>
    <n v="0.2"/>
    <n v="121.17"/>
    <x v="2"/>
    <s v="No"/>
    <d v="2025-01-20T00:00:00"/>
    <n v="0"/>
  </r>
  <r>
    <s v="DEP-A0-3574"/>
    <x v="0"/>
    <n v="48"/>
    <x v="1"/>
    <s v="Zapatos"/>
    <s v="Blanco"/>
    <s v="Adidas"/>
    <s v="MER-A0-3574"/>
    <d v="2025-02-13T00:00:00"/>
    <x v="1"/>
    <n v="103.18"/>
    <n v="0.2"/>
    <n v="121.21600000000001"/>
    <x v="2"/>
    <s v="No"/>
    <d v="2025-01-22T00:00:00"/>
    <n v="0"/>
  </r>
  <r>
    <s v="DEP-A0-4590"/>
    <x v="0"/>
    <n v="44"/>
    <x v="1"/>
    <s v="Chaqueta"/>
    <s v="Verde"/>
    <s v="Adidas"/>
    <s v="MER-A0-4590"/>
    <d v="2025-02-13T00:00:00"/>
    <x v="1"/>
    <n v="111.01"/>
    <n v="0.3"/>
    <n v="122.76899999999999"/>
    <x v="2"/>
    <s v="No"/>
    <d v="2025-01-17T00:00:00"/>
    <n v="0"/>
  </r>
  <r>
    <s v="DEP-A0-4487"/>
    <x v="0"/>
    <n v="45"/>
    <x v="1"/>
    <s v="Chaqueta"/>
    <s v="Negro"/>
    <s v="Mango"/>
    <s v="MER-A0-4487"/>
    <d v="2025-01-31T00:00:00"/>
    <x v="1"/>
    <n v="123.46"/>
    <n v="0.1"/>
    <n v="122.92200000000001"/>
    <x v="2"/>
    <s v="No"/>
    <d v="2025-01-31T00:00:00"/>
    <n v="0"/>
  </r>
  <r>
    <s v="DEP-A0-4663"/>
    <x v="1"/>
    <n v="40"/>
    <x v="1"/>
    <s v="Camisa"/>
    <s v="Rojo"/>
    <s v="Zara"/>
    <s v="MER-A0-4663"/>
    <d v="2025-01-16T00:00:00"/>
    <x v="1"/>
    <n v="125.16"/>
    <n v="0.3"/>
    <n v="123.86499999999999"/>
    <x v="2"/>
    <s v="No"/>
    <d v="2025-01-16T00:00:00"/>
    <n v="0"/>
  </r>
  <r>
    <s v="DEP-A0-0797"/>
    <x v="0"/>
    <n v="65"/>
    <x v="1"/>
    <s v="Blusa"/>
    <s v="Azul"/>
    <s v="Levis"/>
    <s v="MER-A0-0797"/>
    <d v="2025-01-20T00:00:00"/>
    <x v="1"/>
    <n v="142.16999999999999"/>
    <n v="0.1"/>
    <n v="124.46"/>
    <x v="2"/>
    <s v="No"/>
    <d v="2025-01-20T00:00:00"/>
    <n v="0"/>
  </r>
  <r>
    <s v="DEP-A0-1777"/>
    <x v="0"/>
    <n v="55"/>
    <x v="1"/>
    <s v="Vestido"/>
    <s v="Blanco"/>
    <s v="Puma"/>
    <s v="MER-A0-1777"/>
    <d v="2025-01-28T00:00:00"/>
    <x v="1"/>
    <n v="147.72999999999999"/>
    <n v="0.3"/>
    <n v="124.875"/>
    <x v="2"/>
    <s v="No"/>
    <d v="2025-01-28T00:00:00"/>
    <n v="0"/>
  </r>
  <r>
    <s v="DEP-A0-3893"/>
    <x v="0"/>
    <n v="56"/>
    <x v="1"/>
    <s v="Chaqueta"/>
    <s v="Amarillo"/>
    <s v="Mango"/>
    <s v="MER-A0-3893"/>
    <d v="2025-01-04T00:00:00"/>
    <x v="1"/>
    <n v="151.99"/>
    <n v="0.2"/>
    <n v="125.01300000000001"/>
    <x v="2"/>
    <s v="No"/>
    <d v="2025-01-04T00:00:00"/>
    <n v="0"/>
  </r>
  <r>
    <s v="DEP-A0-1929"/>
    <x v="1"/>
    <n v="38"/>
    <x v="1"/>
    <s v="Camisa"/>
    <s v="Blanco"/>
    <s v="Puma"/>
    <s v="MER-A0-1929"/>
    <d v="2025-01-02T00:00:00"/>
    <x v="1"/>
    <n v="153.74"/>
    <n v="0.2"/>
    <n v="125.24"/>
    <x v="2"/>
    <s v="No"/>
    <d v="2025-01-02T00:00:00"/>
    <n v="0"/>
  </r>
  <r>
    <s v="DEP-A0-2485"/>
    <x v="1"/>
    <n v="65"/>
    <x v="1"/>
    <s v="Camisa"/>
    <s v="Gris"/>
    <s v="Mango"/>
    <s v="MER-A0-2485"/>
    <d v="2025-01-07T00:00:00"/>
    <x v="1"/>
    <n v="155.79"/>
    <n v="0.2"/>
    <n v="125.69200000000001"/>
    <x v="2"/>
    <s v="No"/>
    <d v="2025-01-07T00:00:00"/>
    <n v="0"/>
  </r>
  <r>
    <s v="DEP-A0-3710"/>
    <x v="0"/>
    <n v="49"/>
    <x v="1"/>
    <s v="Camisa"/>
    <s v="Rojo"/>
    <s v="Nike"/>
    <s v="MER-A0-3710"/>
    <d v="2025-01-06T00:00:00"/>
    <x v="1"/>
    <n v="170.92"/>
    <n v="0"/>
    <n v="126.01600000000001"/>
    <x v="2"/>
    <s v="No"/>
    <d v="2025-01-06T00:00:00"/>
    <n v="0"/>
  </r>
  <r>
    <s v="DEP-A0-0456"/>
    <x v="0"/>
    <n v="46"/>
    <x v="1"/>
    <s v="Vestido"/>
    <s v="Verde"/>
    <s v="Puma"/>
    <s v="MER-A0-0456"/>
    <d v="2025-01-28T00:00:00"/>
    <x v="1"/>
    <n v="171.55"/>
    <n v="0.3"/>
    <n v="126.16"/>
    <x v="2"/>
    <s v="No"/>
    <d v="2025-01-28T00:00:00"/>
    <n v="0"/>
  </r>
  <r>
    <s v="DEP-A0-1042"/>
    <x v="0"/>
    <n v="49"/>
    <x v="1"/>
    <s v="Blusa"/>
    <s v="Verde"/>
    <s v="Adidas"/>
    <s v="MER-A0-1042"/>
    <d v="2025-01-18T00:00:00"/>
    <x v="1"/>
    <n v="176.57"/>
    <n v="0.1"/>
    <n v="127.08800000000001"/>
    <x v="2"/>
    <s v="No"/>
    <d v="2025-01-18T00:00:00"/>
    <n v="0"/>
  </r>
  <r>
    <s v="DEP-A0-3342"/>
    <x v="0"/>
    <n v="51"/>
    <x v="1"/>
    <s v="Pantalón"/>
    <s v="Azul"/>
    <s v="Zara"/>
    <s v="MER-A0-3342"/>
    <d v="2025-01-10T00:00:00"/>
    <x v="1"/>
    <n v="183.63"/>
    <n v="0.1"/>
    <n v="127.16099999999999"/>
    <x v="2"/>
    <s v="No"/>
    <d v="2025-01-10T00:00:00"/>
    <n v="0"/>
  </r>
  <r>
    <s v="DEP-A0-4538"/>
    <x v="0"/>
    <n v="51"/>
    <x v="1"/>
    <s v="Pantalón"/>
    <s v="Blanco"/>
    <s v="Adidas"/>
    <s v="MER-A0-4538"/>
    <d v="2025-02-13T00:00:00"/>
    <x v="1"/>
    <n v="192.88"/>
    <n v="0.1"/>
    <n v="128.16800000000001"/>
    <x v="2"/>
    <s v="No"/>
    <d v="2025-01-15T00:00:00"/>
    <n v="0"/>
  </r>
  <r>
    <s v="DEP-A0-1238"/>
    <x v="0"/>
    <n v="62"/>
    <x v="1"/>
    <s v="Chaqueta"/>
    <s v="Verde"/>
    <s v="Nike"/>
    <s v="MER-A0-1238"/>
    <d v="2025-02-13T00:00:00"/>
    <x v="1"/>
    <n v="196.73"/>
    <n v="0.3"/>
    <n v="128.88900000000001"/>
    <x v="2"/>
    <s v="No"/>
    <d v="2025-01-12T00:00:00"/>
    <n v="0"/>
  </r>
  <r>
    <s v="DEP-A0-4967"/>
    <x v="0"/>
    <n v="53"/>
    <x v="1"/>
    <s v="Vestido"/>
    <s v="Verde"/>
    <s v="Zara"/>
    <s v="MER-A0-4967"/>
    <d v="2025-02-01T00:00:00"/>
    <x v="1"/>
    <n v="61.82"/>
    <n v="0"/>
    <n v="130.09"/>
    <x v="2"/>
    <s v="No"/>
    <d v="2025-02-01T00:00:00"/>
    <n v="0"/>
  </r>
  <r>
    <s v="DEP-A0-2395"/>
    <x v="0"/>
    <n v="58"/>
    <x v="1"/>
    <s v="Blusa"/>
    <s v="Negro"/>
    <s v="Adidas"/>
    <s v="MER-A0-2395"/>
    <d v="2025-02-01T00:00:00"/>
    <x v="1"/>
    <n v="96.72"/>
    <n v="0.2"/>
    <n v="130.10900000000001"/>
    <x v="2"/>
    <s v="No"/>
    <d v="2025-02-01T00:00:00"/>
    <n v="0"/>
  </r>
  <r>
    <s v="DEP-A0-2600"/>
    <x v="0"/>
    <n v="43"/>
    <x v="1"/>
    <s v="Vestido"/>
    <s v="Blanco"/>
    <s v="Adidas"/>
    <s v="MER-A0-2600"/>
    <d v="2025-02-03T00:00:00"/>
    <x v="1"/>
    <n v="17.61"/>
    <n v="0.1"/>
    <n v="130.25700000000001"/>
    <x v="2"/>
    <s v="No"/>
    <d v="2025-02-03T00:00:00"/>
    <n v="0"/>
  </r>
  <r>
    <s v="DEP-A0-4748"/>
    <x v="1"/>
    <n v="64"/>
    <x v="1"/>
    <s v="Chaqueta"/>
    <s v="Amarillo"/>
    <s v="Adidas"/>
    <s v="MER-A0-4748"/>
    <d v="2025-02-04T00:00:00"/>
    <x v="1"/>
    <n v="18.13"/>
    <n v="0.1"/>
    <n v="130.66899999999998"/>
    <x v="2"/>
    <s v="No"/>
    <d v="2025-02-04T00:00:00"/>
    <n v="0"/>
  </r>
  <r>
    <s v="DEP-A0-0562"/>
    <x v="0"/>
    <n v="61"/>
    <x v="1"/>
    <s v="Blusa"/>
    <s v="Azul"/>
    <s v="Levis"/>
    <s v="MER-A0-0562"/>
    <d v="2025-02-06T00:00:00"/>
    <x v="1"/>
    <n v="81.099999999999994"/>
    <n v="0.3"/>
    <n v="130.92000000000002"/>
    <x v="2"/>
    <s v="No"/>
    <d v="2025-02-06T00:00:00"/>
    <n v="0"/>
  </r>
  <r>
    <s v="DEP-A0-3421"/>
    <x v="1"/>
    <n v="51"/>
    <x v="1"/>
    <s v="Chaqueta"/>
    <s v="Blanco"/>
    <s v="Zara"/>
    <s v="MER-A0-3421"/>
    <d v="2025-02-07T00:00:00"/>
    <x v="1"/>
    <n v="48.35"/>
    <n v="0.1"/>
    <n v="131.30000000000001"/>
    <x v="2"/>
    <s v="No"/>
    <d v="2025-02-07T00:00:00"/>
    <n v="0"/>
  </r>
  <r>
    <s v="DEP-A0-2611"/>
    <x v="0"/>
    <n v="40"/>
    <x v="1"/>
    <s v="Falda"/>
    <s v="Amarillo"/>
    <s v="Nike"/>
    <s v="MER-A0-2611"/>
    <d v="2025-02-07T00:00:00"/>
    <x v="1"/>
    <n v="49.17"/>
    <n v="0.3"/>
    <n v="131.512"/>
    <x v="2"/>
    <s v="No"/>
    <d v="2025-02-07T00:00:00"/>
    <n v="0"/>
  </r>
  <r>
    <s v="DEP-A0-4155"/>
    <x v="0"/>
    <n v="64"/>
    <x v="1"/>
    <s v="Falda"/>
    <s v="Azul"/>
    <s v="Nike"/>
    <s v="MER-A0-4155"/>
    <d v="2025-02-08T00:00:00"/>
    <x v="1"/>
    <n v="115.7"/>
    <n v="0.3"/>
    <n v="131.93100000000001"/>
    <x v="2"/>
    <s v="No"/>
    <d v="2025-02-08T00:00:00"/>
    <n v="0"/>
  </r>
  <r>
    <s v="DEP-A0-3876"/>
    <x v="0"/>
    <n v="63"/>
    <x v="1"/>
    <s v="Blusa"/>
    <s v="Negro"/>
    <s v="Adidas"/>
    <s v="MER-A0-3876"/>
    <d v="2025-02-08T00:00:00"/>
    <x v="1"/>
    <n v="124.27"/>
    <n v="0.1"/>
    <n v="132.24600000000001"/>
    <x v="2"/>
    <s v="No"/>
    <d v="2025-02-08T00:00:00"/>
    <n v="0"/>
  </r>
  <r>
    <s v="DEP-A0-2597"/>
    <x v="0"/>
    <n v="52"/>
    <x v="1"/>
    <s v="Chaqueta"/>
    <s v="Verde"/>
    <s v="Puma"/>
    <s v="MER-A0-2597"/>
    <d v="2025-02-08T00:00:00"/>
    <x v="1"/>
    <n v="195.24"/>
    <n v="0"/>
    <n v="132.52500000000001"/>
    <x v="2"/>
    <s v="No"/>
    <d v="2025-02-08T00:00:00"/>
    <n v="0"/>
  </r>
  <r>
    <s v="DEP-A0-0843"/>
    <x v="0"/>
    <n v="58"/>
    <x v="1"/>
    <s v="Blusa"/>
    <s v="Gris"/>
    <s v="Levis"/>
    <s v="MER-A0-0843"/>
    <d v="2025-02-09T00:00:00"/>
    <x v="1"/>
    <n v="171.91"/>
    <n v="0.2"/>
    <n v="132.904"/>
    <x v="2"/>
    <s v="No"/>
    <d v="2025-02-09T00:00:00"/>
    <n v="0"/>
  </r>
  <r>
    <s v="DEP-A0-3991"/>
    <x v="0"/>
    <n v="64"/>
    <x v="1"/>
    <s v="Blusa"/>
    <s v="Negro"/>
    <s v="Puma"/>
    <s v="MER-A0-3991"/>
    <d v="2025-02-10T00:00:00"/>
    <x v="1"/>
    <n v="102.04"/>
    <n v="0.2"/>
    <n v="133.34399999999999"/>
    <x v="2"/>
    <s v="No"/>
    <d v="2025-02-10T00:00:00"/>
    <n v="0"/>
  </r>
  <r>
    <s v="DEP-A0-2003"/>
    <x v="0"/>
    <n v="59"/>
    <x v="1"/>
    <s v="Pantalón"/>
    <s v="Blanco"/>
    <s v="Nike"/>
    <s v="MER-A0-2003"/>
    <d v="2025-02-12T00:00:00"/>
    <x v="1"/>
    <n v="193.78"/>
    <n v="0.2"/>
    <n v="135.29599999999999"/>
    <x v="2"/>
    <s v="No"/>
    <d v="2025-02-12T00:00:00"/>
    <n v="0"/>
  </r>
  <r>
    <s v="DEP-A0-2560"/>
    <x v="0"/>
    <n v="61"/>
    <x v="1"/>
    <s v="Falda"/>
    <s v="Blanco"/>
    <s v="Zara"/>
    <s v="MER-A0-2560"/>
    <d v="2025-02-14T00:00:00"/>
    <x v="1"/>
    <n v="126.56"/>
    <n v="0.3"/>
    <n v="135.315"/>
    <x v="2"/>
    <s v="No"/>
    <d v="2025-02-14T00:00:00"/>
    <n v="0"/>
  </r>
  <r>
    <s v="DEP-A0-1231"/>
    <x v="0"/>
    <n v="60"/>
    <x v="1"/>
    <s v="Zapatos"/>
    <s v="Verde"/>
    <s v="Zara"/>
    <s v="MER-A0-1231"/>
    <d v="2025-02-14T00:00:00"/>
    <x v="1"/>
    <n v="192.16"/>
    <n v="0.3"/>
    <n v="135.76499999999999"/>
    <x v="2"/>
    <s v="No"/>
    <d v="2025-02-14T00:00:00"/>
    <n v="0"/>
  </r>
  <r>
    <s v="DEP-A0-4377"/>
    <x v="0"/>
    <n v="65"/>
    <x v="1"/>
    <s v="Camisa"/>
    <s v="Blanco"/>
    <s v="Mango"/>
    <s v="MER-A0-4377"/>
    <d v="2025-02-15T00:00:00"/>
    <x v="1"/>
    <n v="179.39"/>
    <n v="0"/>
    <n v="135.88200000000001"/>
    <x v="2"/>
    <s v="No"/>
    <d v="2025-02-15T00:00:00"/>
    <n v="0"/>
  </r>
  <r>
    <s v="DEP-A0-4147"/>
    <x v="0"/>
    <n v="54"/>
    <x v="1"/>
    <s v="Chaqueta"/>
    <s v="Rojo"/>
    <s v="Tommy"/>
    <s v="MER-A0-4147"/>
    <d v="2025-02-17T00:00:00"/>
    <x v="1"/>
    <n v="29.48"/>
    <n v="0.1"/>
    <n v="136.24"/>
    <x v="2"/>
    <s v="No"/>
    <d v="2025-02-17T00:00:00"/>
    <n v="0"/>
  </r>
  <r>
    <s v="DEP-A0-4757"/>
    <x v="0"/>
    <n v="51"/>
    <x v="1"/>
    <s v="Falda"/>
    <s v="Negro"/>
    <s v="Mango"/>
    <s v="MER-A0-4757"/>
    <d v="2025-02-18T00:00:00"/>
    <x v="1"/>
    <n v="19.170000000000002"/>
    <n v="0.3"/>
    <n v="136.83199999999999"/>
    <x v="2"/>
    <s v="No"/>
    <d v="2025-02-18T00:00:00"/>
    <n v="0"/>
  </r>
  <r>
    <s v="DEP-A0-3742"/>
    <x v="0"/>
    <n v="63"/>
    <x v="1"/>
    <s v="Blusa"/>
    <s v="Negro"/>
    <s v="Tommy"/>
    <s v="MER-A0-3742"/>
    <d v="2025-02-18T00:00:00"/>
    <x v="1"/>
    <n v="128.43"/>
    <n v="0.1"/>
    <n v="138.25800000000001"/>
    <x v="2"/>
    <s v="No"/>
    <d v="2025-02-18T00:00:00"/>
    <n v="0"/>
  </r>
  <r>
    <s v="DEP-A0-4527"/>
    <x v="0"/>
    <n v="61"/>
    <x v="1"/>
    <s v="Zapatos"/>
    <s v="Blanco"/>
    <s v="Tommy"/>
    <s v="MER-A0-4527"/>
    <d v="2025-02-19T00:00:00"/>
    <x v="1"/>
    <n v="29.15"/>
    <n v="0"/>
    <n v="139.05000000000001"/>
    <x v="2"/>
    <s v="No"/>
    <d v="2025-02-19T00:00:00"/>
    <n v="0"/>
  </r>
  <r>
    <s v="DEP-A0-2954"/>
    <x v="1"/>
    <n v="46"/>
    <x v="1"/>
    <s v="Chaqueta"/>
    <s v="Gris"/>
    <s v="Zara"/>
    <s v="MER-A0-2954"/>
    <d v="2025-02-19T00:00:00"/>
    <x v="1"/>
    <n v="102.58"/>
    <n v="0"/>
    <n v="139.488"/>
    <x v="2"/>
    <s v="No"/>
    <d v="2025-02-19T00:00:00"/>
    <n v="0"/>
  </r>
  <r>
    <s v="DEP-A0-4971"/>
    <x v="0"/>
    <n v="62"/>
    <x v="1"/>
    <s v="Falda"/>
    <s v="Amarillo"/>
    <s v="Nike"/>
    <s v="MER-A0-4971"/>
    <d v="2025-02-20T00:00:00"/>
    <x v="1"/>
    <n v="67.77"/>
    <n v="0"/>
    <n v="139.536"/>
    <x v="2"/>
    <s v="No"/>
    <d v="2025-02-20T00:00:00"/>
    <n v="0"/>
  </r>
  <r>
    <s v="DEP-A0-0224"/>
    <x v="0"/>
    <n v="40"/>
    <x v="1"/>
    <s v="Pantalón"/>
    <s v="Blanco"/>
    <s v="Levis"/>
    <s v="MER-A0-0224"/>
    <d v="2025-02-21T00:00:00"/>
    <x v="1"/>
    <n v="30.82"/>
    <n v="0.3"/>
    <n v="139.59"/>
    <x v="2"/>
    <s v="No"/>
    <d v="2025-02-21T00:00:00"/>
    <n v="0"/>
  </r>
  <r>
    <s v="DEP-A0-1436"/>
    <x v="0"/>
    <n v="44"/>
    <x v="1"/>
    <s v="Pantalón"/>
    <s v="Rojo"/>
    <s v="Puma"/>
    <s v="MER-A0-1436"/>
    <d v="2025-02-21T00:00:00"/>
    <x v="1"/>
    <n v="49.06"/>
    <n v="0.2"/>
    <n v="139.78399999999999"/>
    <x v="2"/>
    <s v="No"/>
    <d v="2025-02-21T00:00:00"/>
    <n v="0"/>
  </r>
  <r>
    <s v="DEP-A0-0654"/>
    <x v="1"/>
    <n v="45"/>
    <x v="1"/>
    <s v="Pantalón"/>
    <s v="Azul"/>
    <s v="Puma"/>
    <s v="MER-A0-0654"/>
    <d v="2025-02-24T00:00:00"/>
    <x v="1"/>
    <n v="87.89"/>
    <n v="0.3"/>
    <n v="139.96800000000002"/>
    <x v="2"/>
    <s v="No"/>
    <d v="2025-02-24T00:00:00"/>
    <n v="0"/>
  </r>
  <r>
    <s v="DEP-A0-2236"/>
    <x v="0"/>
    <n v="60"/>
    <x v="1"/>
    <s v="Chaqueta"/>
    <s v="Blanco"/>
    <s v="Levis"/>
    <s v="MER-A0-2236"/>
    <d v="2025-02-24T00:00:00"/>
    <x v="1"/>
    <n v="87.91"/>
    <n v="0"/>
    <n v="140.37"/>
    <x v="2"/>
    <s v="No"/>
    <d v="2025-02-24T00:00:00"/>
    <n v="0"/>
  </r>
  <r>
    <s v="DEP-A0-0706"/>
    <x v="0"/>
    <n v="63"/>
    <x v="1"/>
    <s v="Pantalón"/>
    <s v="Amarillo"/>
    <s v="Adidas"/>
    <s v="MER-A0-0706"/>
    <d v="2025-02-25T00:00:00"/>
    <x v="1"/>
    <n v="160.43"/>
    <n v="0"/>
    <n v="143.47200000000001"/>
    <x v="2"/>
    <s v="No"/>
    <d v="2025-02-25T00:00:00"/>
    <n v="0"/>
  </r>
  <r>
    <s v="DEP-A0-1996"/>
    <x v="0"/>
    <n v="56"/>
    <x v="1"/>
    <s v="Blusa"/>
    <s v="Blanco"/>
    <s v="Nike"/>
    <s v="MER-A0-1996"/>
    <d v="2025-02-26T00:00:00"/>
    <x v="1"/>
    <n v="132.55000000000001"/>
    <n v="0"/>
    <n v="143.595"/>
    <x v="2"/>
    <s v="No"/>
    <d v="2025-02-26T00:00:00"/>
    <n v="0"/>
  </r>
  <r>
    <s v="DEP-A0-0698"/>
    <x v="0"/>
    <n v="57"/>
    <x v="1"/>
    <s v="Vestido"/>
    <s v="Verde"/>
    <s v="Zara"/>
    <s v="MER-A0-0698"/>
    <d v="2025-02-28T00:00:00"/>
    <x v="1"/>
    <n v="84.86"/>
    <n v="0.1"/>
    <n v="143.79"/>
    <x v="2"/>
    <s v="No"/>
    <d v="2025-02-28T00:00:00"/>
    <n v="0"/>
  </r>
  <r>
    <s v="DEP-A0-3053"/>
    <x v="0"/>
    <n v="63"/>
    <x v="1"/>
    <s v="Zapatos"/>
    <s v="Negro"/>
    <s v="Tommy"/>
    <s v="MER-A0-3053"/>
    <d v="2025-03-01T00:00:00"/>
    <x v="1"/>
    <n v="11.07"/>
    <n v="0.2"/>
    <n v="144.38399999999999"/>
    <x v="2"/>
    <s v="No"/>
    <d v="2025-03-01T00:00:00"/>
    <n v="0"/>
  </r>
  <r>
    <s v="DEP-A0-4115"/>
    <x v="0"/>
    <n v="36"/>
    <x v="1"/>
    <s v="Blusa"/>
    <s v="Gris"/>
    <s v="Levis"/>
    <s v="MER-A0-4115"/>
    <d v="2025-03-03T00:00:00"/>
    <x v="1"/>
    <n v="13.27"/>
    <n v="0.1"/>
    <n v="144.80000000000001"/>
    <x v="2"/>
    <s v="No"/>
    <d v="2025-03-03T00:00:00"/>
    <n v="0"/>
  </r>
  <r>
    <s v="DEP-A0-1127"/>
    <x v="0"/>
    <n v="58"/>
    <x v="1"/>
    <s v="Blusa"/>
    <s v="Verde"/>
    <s v="Zara"/>
    <s v="MER-A0-1127"/>
    <d v="2025-03-10T00:00:00"/>
    <x v="1"/>
    <n v="20.85"/>
    <n v="0"/>
    <n v="146.10599999999999"/>
    <x v="2"/>
    <s v="No"/>
    <d v="2025-03-10T00:00:00"/>
    <n v="0"/>
  </r>
  <r>
    <s v="DEP-A0-1070"/>
    <x v="0"/>
    <n v="59"/>
    <x v="1"/>
    <s v="Blusa"/>
    <s v="Verde"/>
    <s v="Puma"/>
    <s v="MER-A0-1070"/>
    <d v="2025-03-02T00:00:00"/>
    <x v="1"/>
    <n v="21.03"/>
    <n v="0.2"/>
    <n v="146.15199999999999"/>
    <x v="2"/>
    <s v="No"/>
    <d v="2025-03-02T00:00:00"/>
    <n v="0"/>
  </r>
  <r>
    <s v="DEP-A0-4308"/>
    <x v="0"/>
    <n v="42"/>
    <x v="1"/>
    <s v="Blusa"/>
    <s v="Verde"/>
    <s v="Zara"/>
    <s v="MER-A0-4308"/>
    <d v="2025-03-01T00:00:00"/>
    <x v="1"/>
    <n v="31.36"/>
    <n v="0.3"/>
    <n v="146.358"/>
    <x v="2"/>
    <s v="No"/>
    <d v="2025-03-01T00:00:00"/>
    <n v="0"/>
  </r>
  <r>
    <s v="DEP-A0-0388"/>
    <x v="0"/>
    <n v="42"/>
    <x v="1"/>
    <s v="Blusa"/>
    <s v="Negro"/>
    <s v="Puma"/>
    <s v="MER-A0-0388"/>
    <d v="2025-03-04T00:00:00"/>
    <x v="1"/>
    <n v="37.770000000000003"/>
    <n v="0.1"/>
    <n v="147.18599999999998"/>
    <x v="2"/>
    <s v="No"/>
    <d v="2025-03-04T00:00:00"/>
    <n v="0"/>
  </r>
  <r>
    <s v="DEP-A0-3701"/>
    <x v="0"/>
    <n v="50"/>
    <x v="1"/>
    <s v="Chaqueta"/>
    <s v="Blanco"/>
    <s v="Puma"/>
    <s v="MER-A0-3701"/>
    <d v="2025-03-03T00:00:00"/>
    <x v="1"/>
    <n v="38.35"/>
    <n v="0"/>
    <n v="147.744"/>
    <x v="2"/>
    <s v="No"/>
    <d v="2025-03-03T00:00:00"/>
    <n v="0"/>
  </r>
  <r>
    <s v="DEP-A0-1292"/>
    <x v="0"/>
    <n v="51"/>
    <x v="1"/>
    <s v="Falda"/>
    <s v="Rojo"/>
    <s v="Puma"/>
    <s v="MER-A0-1292"/>
    <d v="2025-03-05T00:00:00"/>
    <x v="1"/>
    <n v="51.74"/>
    <n v="0.3"/>
    <n v="148.30199999999999"/>
    <x v="2"/>
    <s v="No"/>
    <d v="2025-03-05T00:00:00"/>
    <n v="0"/>
  </r>
  <r>
    <s v="DEP-A0-4261"/>
    <x v="0"/>
    <n v="61"/>
    <x v="1"/>
    <s v="Falda"/>
    <s v="Gris"/>
    <s v="Mango"/>
    <s v="MER-A0-4261"/>
    <d v="2025-03-01T00:00:00"/>
    <x v="1"/>
    <n v="54.73"/>
    <n v="0.2"/>
    <n v="149.01"/>
    <x v="2"/>
    <s v="No"/>
    <d v="2025-03-01T00:00:00"/>
    <n v="0"/>
  </r>
  <r>
    <s v="DEP-A0-3218"/>
    <x v="0"/>
    <n v="62"/>
    <x v="1"/>
    <s v="Camisa"/>
    <s v="Amarillo"/>
    <s v="Mango"/>
    <s v="MER-A0-3218"/>
    <d v="2025-03-27T00:00:00"/>
    <x v="1"/>
    <n v="57.22"/>
    <n v="0"/>
    <n v="149.66400000000002"/>
    <x v="2"/>
    <s v="No"/>
    <d v="2025-03-27T00:00:00"/>
    <n v="0"/>
  </r>
  <r>
    <s v="DEP-A0-0972"/>
    <x v="0"/>
    <n v="56"/>
    <x v="1"/>
    <s v="Blusa"/>
    <s v="Rojo"/>
    <s v="Mango"/>
    <s v="MER-A0-0972"/>
    <d v="2025-03-04T00:00:00"/>
    <x v="1"/>
    <n v="61.05"/>
    <n v="0"/>
    <n v="150.80000000000001"/>
    <x v="2"/>
    <s v="No"/>
    <d v="2025-03-04T00:00:00"/>
    <n v="0"/>
  </r>
  <r>
    <s v="DEP-A0-3787"/>
    <x v="0"/>
    <n v="48"/>
    <x v="1"/>
    <s v="Camisa"/>
    <s v="Gris"/>
    <s v="Tommy"/>
    <s v="MER-A0-3787"/>
    <d v="2025-03-17T00:00:00"/>
    <x v="1"/>
    <n v="63.61"/>
    <n v="0.3"/>
    <n v="151.19999999999999"/>
    <x v="2"/>
    <s v="No"/>
    <d v="2025-03-17T00:00:00"/>
    <n v="0"/>
  </r>
  <r>
    <s v="DEP-A0-3733"/>
    <x v="0"/>
    <n v="62"/>
    <x v="1"/>
    <s v="Vestido"/>
    <s v="Amarillo"/>
    <s v="Puma"/>
    <s v="MER-A0-3733"/>
    <d v="2025-03-23T00:00:00"/>
    <x v="1"/>
    <n v="91.26"/>
    <n v="0.3"/>
    <n v="153.00899999999999"/>
    <x v="2"/>
    <s v="No"/>
    <d v="2025-03-23T00:00:00"/>
    <n v="0"/>
  </r>
  <r>
    <s v="DEP-A0-4918"/>
    <x v="0"/>
    <n v="53"/>
    <x v="1"/>
    <s v="Vestido"/>
    <s v="Amarillo"/>
    <s v="Adidas"/>
    <s v="MER-A0-4918"/>
    <d v="2025-03-10T00:00:00"/>
    <x v="1"/>
    <n v="99.17"/>
    <n v="0.3"/>
    <n v="153.49600000000001"/>
    <x v="2"/>
    <s v="No"/>
    <d v="2025-03-10T00:00:00"/>
    <n v="0"/>
  </r>
  <r>
    <s v="DEP-A0-0759"/>
    <x v="0"/>
    <n v="47"/>
    <x v="1"/>
    <s v="Chaqueta"/>
    <s v="Blanco"/>
    <s v="Puma"/>
    <s v="MER-A0-0759"/>
    <d v="2025-03-02T00:00:00"/>
    <x v="1"/>
    <n v="100.39"/>
    <n v="0.1"/>
    <n v="153.768"/>
    <x v="2"/>
    <s v="No"/>
    <d v="2025-03-02T00:00:00"/>
    <n v="0"/>
  </r>
  <r>
    <s v="DEP-A0-3569"/>
    <x v="0"/>
    <n v="61"/>
    <x v="1"/>
    <s v="Blusa"/>
    <s v="Gris"/>
    <s v="Mango"/>
    <s v="MER-A0-3569"/>
    <d v="2025-03-28T00:00:00"/>
    <x v="1"/>
    <n v="100.6"/>
    <n v="0.3"/>
    <n v="154.13"/>
    <x v="2"/>
    <s v="No"/>
    <d v="2025-03-28T00:00:00"/>
    <n v="0"/>
  </r>
  <r>
    <s v="DEP-A0-4488"/>
    <x v="0"/>
    <n v="57"/>
    <x v="1"/>
    <s v="Zapatos"/>
    <s v="Azul"/>
    <s v="Puma"/>
    <s v="MER-A0-4488"/>
    <d v="2025-03-02T00:00:00"/>
    <x v="1"/>
    <n v="107.67"/>
    <n v="0.3"/>
    <n v="154.512"/>
    <x v="2"/>
    <s v="No"/>
    <d v="2025-03-02T00:00:00"/>
    <n v="0"/>
  </r>
  <r>
    <s v="DEP-A0-3236"/>
    <x v="0"/>
    <n v="52"/>
    <x v="1"/>
    <s v="Camisa"/>
    <s v="Blanco"/>
    <s v="Zara"/>
    <s v="MER-A0-3236"/>
    <d v="2025-03-01T00:00:00"/>
    <x v="1"/>
    <n v="112.04"/>
    <n v="0"/>
    <n v="155.196"/>
    <x v="2"/>
    <s v="No"/>
    <d v="2025-03-01T00:00:00"/>
    <n v="0"/>
  </r>
  <r>
    <s v="DEP-A0-3782"/>
    <x v="0"/>
    <n v="37"/>
    <x v="1"/>
    <s v="Blusa"/>
    <s v="Gris"/>
    <s v="Adidas"/>
    <s v="MER-A0-3782"/>
    <d v="2025-03-15T00:00:00"/>
    <x v="1"/>
    <n v="148.86000000000001"/>
    <n v="0.1"/>
    <n v="157.36000000000001"/>
    <x v="2"/>
    <s v="No"/>
    <d v="2025-03-15T00:00:00"/>
    <n v="0"/>
  </r>
  <r>
    <s v="DEP-A0-2855"/>
    <x v="0"/>
    <n v="49"/>
    <x v="1"/>
    <s v="Camisa"/>
    <s v="Amarillo"/>
    <s v="Tommy"/>
    <s v="MER-A0-2855"/>
    <d v="2025-03-19T00:00:00"/>
    <x v="1"/>
    <n v="155.71"/>
    <n v="0.3"/>
    <n v="157.66"/>
    <x v="2"/>
    <s v="No"/>
    <d v="2025-03-19T00:00:00"/>
    <n v="0"/>
  </r>
  <r>
    <s v="DEP-A0-1660"/>
    <x v="0"/>
    <n v="59"/>
    <x v="1"/>
    <s v="Camisa"/>
    <s v="Amarillo"/>
    <s v="Zara"/>
    <s v="MER-A0-1660"/>
    <d v="2025-03-07T00:00:00"/>
    <x v="1"/>
    <n v="173.34"/>
    <n v="0"/>
    <n v="158.44999999999999"/>
    <x v="2"/>
    <s v="No"/>
    <d v="2025-03-07T00:00:00"/>
    <n v="0"/>
  </r>
  <r>
    <s v="DEP-A0-2795"/>
    <x v="0"/>
    <n v="42"/>
    <x v="1"/>
    <s v="Zapatos"/>
    <s v="Rojo"/>
    <s v="Nike"/>
    <s v="MER-A0-2795"/>
    <d v="2025-03-22T00:00:00"/>
    <x v="1"/>
    <n v="176.27"/>
    <n v="0.3"/>
    <n v="159.66899999999998"/>
    <x v="2"/>
    <s v="No"/>
    <d v="2025-03-22T00:00:00"/>
    <n v="0"/>
  </r>
  <r>
    <s v="DEP-A0-1794"/>
    <x v="1"/>
    <n v="57"/>
    <x v="1"/>
    <s v="Zapatos"/>
    <s v="Azul"/>
    <s v="Levis"/>
    <s v="MER-A0-1794"/>
    <d v="2025-03-01T00:00:00"/>
    <x v="1"/>
    <n v="191.47"/>
    <n v="0.2"/>
    <n v="160.38"/>
    <x v="2"/>
    <s v="No"/>
    <d v="2025-03-01T00:00:00"/>
    <n v="0"/>
  </r>
  <r>
    <s v="DEP-A0-1203"/>
    <x v="1"/>
    <n v="43"/>
    <x v="1"/>
    <s v="Pantalón"/>
    <s v="Rojo"/>
    <s v="Adidas"/>
    <s v="MER-A0-1203"/>
    <d v="2025-03-07T00:00:00"/>
    <x v="1"/>
    <n v="198.74"/>
    <n v="0.3"/>
    <n v="161.95499999999998"/>
    <x v="2"/>
    <s v="No"/>
    <d v="2025-03-07T00:00:00"/>
    <n v="0"/>
  </r>
  <r>
    <s v="DEP-A0-2396"/>
    <x v="0"/>
    <n v="36"/>
    <x v="1"/>
    <s v="Chaqueta"/>
    <s v="Amarillo"/>
    <s v="Mango"/>
    <s v="MER-A0-2396"/>
    <d v="2025-04-17T00:00:00"/>
    <x v="1"/>
    <n v="15.64"/>
    <n v="0"/>
    <n v="164.74"/>
    <x v="2"/>
    <s v="No"/>
    <d v="2025-04-17T00:00:00"/>
    <n v="0"/>
  </r>
  <r>
    <s v="DEP-A0-0755"/>
    <x v="0"/>
    <n v="42"/>
    <x v="1"/>
    <s v="Chaqueta"/>
    <s v="Azul"/>
    <s v="Adidas"/>
    <s v="MER-A0-0755"/>
    <d v="2025-04-22T00:00:00"/>
    <x v="1"/>
    <n v="27.19"/>
    <n v="0.1"/>
    <n v="165.29399999999998"/>
    <x v="2"/>
    <s v="No"/>
    <d v="2025-04-22T00:00:00"/>
    <n v="0"/>
  </r>
  <r>
    <s v="DEP-A0-2253"/>
    <x v="1"/>
    <n v="43"/>
    <x v="1"/>
    <s v="Camisa"/>
    <s v="Negro"/>
    <s v="Mango"/>
    <s v="MER-A0-2253"/>
    <d v="2025-04-21T00:00:00"/>
    <x v="1"/>
    <n v="34.979999999999997"/>
    <n v="0.3"/>
    <n v="165.36600000000001"/>
    <x v="2"/>
    <s v="No"/>
    <d v="2025-04-21T00:00:00"/>
    <n v="0"/>
  </r>
  <r>
    <s v="DEP-A0-3654"/>
    <x v="0"/>
    <n v="40"/>
    <x v="1"/>
    <s v="Falda"/>
    <s v="Rojo"/>
    <s v="Adidas"/>
    <s v="MER-A0-3654"/>
    <d v="2025-04-13T00:00:00"/>
    <x v="1"/>
    <n v="47"/>
    <n v="0"/>
    <n v="167.42699999999999"/>
    <x v="2"/>
    <s v="No"/>
    <d v="2025-04-13T00:00:00"/>
    <n v="0"/>
  </r>
  <r>
    <s v="DEP-A0-2528"/>
    <x v="0"/>
    <n v="63"/>
    <x v="1"/>
    <s v="Zapatos"/>
    <s v="Gris"/>
    <s v="Nike"/>
    <s v="MER-A0-2528"/>
    <d v="2025-04-05T00:00:00"/>
    <x v="1"/>
    <n v="49.72"/>
    <n v="0.3"/>
    <n v="167.65"/>
    <x v="2"/>
    <s v="No"/>
    <d v="2025-04-05T00:00:00"/>
    <n v="0"/>
  </r>
  <r>
    <s v="DEP-A0-1214"/>
    <x v="0"/>
    <n v="43"/>
    <x v="1"/>
    <s v="Blusa"/>
    <s v="Gris"/>
    <s v="Zara"/>
    <s v="MER-A0-1214"/>
    <d v="2025-04-09T00:00:00"/>
    <x v="1"/>
    <n v="52.16"/>
    <n v="0.2"/>
    <n v="169.21"/>
    <x v="2"/>
    <s v="No"/>
    <d v="2025-04-09T00:00:00"/>
    <n v="0"/>
  </r>
  <r>
    <s v="DEP-A0-0833"/>
    <x v="0"/>
    <n v="59"/>
    <x v="1"/>
    <s v="Blusa"/>
    <s v="Verde"/>
    <s v="Tommy"/>
    <s v="MER-A0-0833"/>
    <d v="2025-04-08T00:00:00"/>
    <x v="1"/>
    <n v="63.15"/>
    <n v="0.3"/>
    <n v="169.54"/>
    <x v="2"/>
    <s v="No"/>
    <d v="2025-04-08T00:00:00"/>
    <n v="0"/>
  </r>
  <r>
    <s v="DEP-A0-3076"/>
    <x v="0"/>
    <n v="55"/>
    <x v="1"/>
    <s v="Pantalón"/>
    <s v="Blanco"/>
    <s v="Puma"/>
    <s v="MER-A0-3076"/>
    <d v="2025-04-20T00:00:00"/>
    <x v="1"/>
    <n v="68.459999999999994"/>
    <n v="0.3"/>
    <n v="170.00099999999998"/>
    <x v="2"/>
    <s v="No"/>
    <d v="2025-04-20T00:00:00"/>
    <n v="0"/>
  </r>
  <r>
    <s v="DEP-A0-1701"/>
    <x v="0"/>
    <n v="42"/>
    <x v="1"/>
    <s v="Blusa"/>
    <s v="Azul"/>
    <s v="Nike"/>
    <s v="MER-A0-1701"/>
    <d v="2025-04-30T00:00:00"/>
    <x v="1"/>
    <n v="69.099999999999994"/>
    <n v="0.1"/>
    <n v="170.1"/>
    <x v="2"/>
    <s v="No"/>
    <d v="2025-04-30T00:00:00"/>
    <n v="0"/>
  </r>
  <r>
    <s v="DEP-A0-2918"/>
    <x v="1"/>
    <n v="60"/>
    <x v="1"/>
    <s v="Zapatos"/>
    <s v="Verde"/>
    <s v="Adidas"/>
    <s v="MER-A0-2918"/>
    <d v="2025-04-05T00:00:00"/>
    <x v="1"/>
    <n v="71.319999999999993"/>
    <n v="0.3"/>
    <n v="170.28900000000002"/>
    <x v="2"/>
    <s v="No"/>
    <d v="2025-04-05T00:00:00"/>
    <n v="0"/>
  </r>
  <r>
    <s v="DEP-A0-4197"/>
    <x v="0"/>
    <n v="59"/>
    <x v="1"/>
    <s v="Falda"/>
    <s v="Blanco"/>
    <s v="Mango"/>
    <s v="MER-A0-4197"/>
    <d v="2025-04-12T00:00:00"/>
    <x v="1"/>
    <n v="75.27"/>
    <n v="0.1"/>
    <n v="170.38"/>
    <x v="2"/>
    <s v="No"/>
    <d v="2025-04-12T00:00:00"/>
    <n v="0"/>
  </r>
  <r>
    <s v="DEP-A0-4725"/>
    <x v="0"/>
    <n v="63"/>
    <x v="1"/>
    <s v="Zapatos"/>
    <s v="Amarillo"/>
    <s v="Zara"/>
    <s v="MER-A0-4725"/>
    <d v="2025-04-02T00:00:00"/>
    <x v="1"/>
    <n v="79.7"/>
    <n v="0.1"/>
    <n v="173.26"/>
    <x v="2"/>
    <s v="No"/>
    <d v="2025-04-02T00:00:00"/>
    <n v="0"/>
  </r>
  <r>
    <s v="DEP-A0-4277"/>
    <x v="0"/>
    <n v="51"/>
    <x v="1"/>
    <s v="Zapatos"/>
    <s v="Verde"/>
    <s v="Adidas"/>
    <s v="MER-A0-4277"/>
    <d v="2025-04-22T00:00:00"/>
    <x v="1"/>
    <n v="89.25"/>
    <n v="0.3"/>
    <n v="173.29500000000002"/>
    <x v="2"/>
    <s v="No"/>
    <d v="2025-04-22T00:00:00"/>
    <n v="0"/>
  </r>
  <r>
    <s v="DEP-A0-4514"/>
    <x v="1"/>
    <n v="43"/>
    <x v="1"/>
    <s v="Chaqueta"/>
    <s v="Azul"/>
    <s v="Mango"/>
    <s v="MER-A0-4514"/>
    <d v="2025-04-05T00:00:00"/>
    <x v="1"/>
    <n v="93.97"/>
    <n v="0.2"/>
    <n v="173.72"/>
    <x v="2"/>
    <s v="No"/>
    <d v="2025-04-05T00:00:00"/>
    <n v="0"/>
  </r>
  <r>
    <s v="DEP-A0-1861"/>
    <x v="0"/>
    <n v="42"/>
    <x v="1"/>
    <s v="Vestido"/>
    <s v="Blanco"/>
    <s v="Nike"/>
    <s v="MER-A0-1861"/>
    <d v="2025-04-01T00:00:00"/>
    <x v="1"/>
    <n v="97.95"/>
    <n v="0.3"/>
    <n v="176.97"/>
    <x v="2"/>
    <s v="No"/>
    <d v="2025-04-01T00:00:00"/>
    <n v="0"/>
  </r>
  <r>
    <s v="DEP-A0-0921"/>
    <x v="1"/>
    <n v="51"/>
    <x v="1"/>
    <s v="Pantalón"/>
    <s v="Rojo"/>
    <s v="Levis"/>
    <s v="MER-A0-0921"/>
    <d v="2025-04-11T00:00:00"/>
    <x v="1"/>
    <n v="98.69"/>
    <n v="0"/>
    <n v="177.06"/>
    <x v="2"/>
    <s v="No"/>
    <d v="2025-04-11T00:00:00"/>
    <n v="0"/>
  </r>
  <r>
    <s v="DEP-A0-4234"/>
    <x v="0"/>
    <n v="54"/>
    <x v="1"/>
    <s v="Blusa"/>
    <s v="Verde"/>
    <s v="Puma"/>
    <s v="MER-A0-4234"/>
    <d v="2025-04-16T00:00:00"/>
    <x v="1"/>
    <n v="105.77"/>
    <n v="0"/>
    <n v="178.37"/>
    <x v="2"/>
    <s v="No"/>
    <d v="2025-04-16T00:00:00"/>
    <n v="0"/>
  </r>
  <r>
    <s v="DEP-A0-4649"/>
    <x v="0"/>
    <n v="57"/>
    <x v="1"/>
    <s v="Blusa"/>
    <s v="Rojo"/>
    <s v="Levis"/>
    <s v="MER-A0-4649"/>
    <d v="2025-04-08T00:00:00"/>
    <x v="1"/>
    <n v="117.06"/>
    <n v="0.3"/>
    <n v="178.55099999999999"/>
    <x v="2"/>
    <s v="No"/>
    <d v="2025-04-08T00:00:00"/>
    <n v="0"/>
  </r>
  <r>
    <s v="DEP-A0-0532"/>
    <x v="0"/>
    <n v="48"/>
    <x v="1"/>
    <s v="Pantalón"/>
    <s v="Azul"/>
    <s v="Tommy"/>
    <s v="MER-A0-0532"/>
    <d v="2025-04-02T00:00:00"/>
    <x v="1"/>
    <n v="130.11000000000001"/>
    <n v="0"/>
    <n v="178.76"/>
    <x v="2"/>
    <s v="No"/>
    <d v="2025-04-02T00:00:00"/>
    <n v="0"/>
  </r>
  <r>
    <s v="DEP-A0-0485"/>
    <x v="0"/>
    <n v="40"/>
    <x v="1"/>
    <s v="Falda"/>
    <s v="Gris"/>
    <s v="Levis"/>
    <s v="MER-A0-0485"/>
    <d v="2025-04-17T00:00:00"/>
    <x v="1"/>
    <n v="131.06"/>
    <n v="0"/>
    <n v="178.83"/>
    <x v="2"/>
    <s v="No"/>
    <d v="2025-04-17T00:00:00"/>
    <n v="0"/>
  </r>
  <r>
    <s v="DEP-A0-3135"/>
    <x v="0"/>
    <n v="61"/>
    <x v="1"/>
    <s v="Blusa"/>
    <s v="Negro"/>
    <s v="Puma"/>
    <s v="MER-A0-3135"/>
    <d v="2025-04-06T00:00:00"/>
    <x v="1"/>
    <n v="131.71"/>
    <n v="0.1"/>
    <n v="179.1"/>
    <x v="2"/>
    <s v="No"/>
    <d v="2025-04-06T00:00:00"/>
    <n v="0"/>
  </r>
  <r>
    <s v="DEP-A0-1955"/>
    <x v="0"/>
    <n v="51"/>
    <x v="1"/>
    <s v="Falda"/>
    <s v="Gris"/>
    <s v="Nike"/>
    <s v="MER-A0-1955"/>
    <d v="2025-04-20T00:00:00"/>
    <x v="1"/>
    <n v="142.22"/>
    <n v="0"/>
    <n v="179.17200000000003"/>
    <x v="2"/>
    <s v="No"/>
    <d v="2025-04-20T00:00:00"/>
    <n v="0"/>
  </r>
  <r>
    <s v="DEP-A0-4536"/>
    <x v="0"/>
    <n v="49"/>
    <x v="1"/>
    <s v="Falda"/>
    <s v="Rojo"/>
    <s v="Puma"/>
    <s v="MER-A0-4536"/>
    <d v="2025-04-23T00:00:00"/>
    <x v="1"/>
    <n v="144.93"/>
    <n v="0"/>
    <n v="179.38"/>
    <x v="2"/>
    <s v="No"/>
    <d v="2025-04-23T00:00:00"/>
    <n v="0"/>
  </r>
  <r>
    <s v="DEP-A0-0950"/>
    <x v="0"/>
    <n v="53"/>
    <x v="1"/>
    <s v="Falda"/>
    <s v="Azul"/>
    <s v="Levis"/>
    <s v="MER-A0-0950"/>
    <d v="2025-04-02T00:00:00"/>
    <x v="1"/>
    <n v="157.78"/>
    <n v="0.2"/>
    <n v="179.99"/>
    <x v="2"/>
    <s v="No"/>
    <d v="2025-04-02T00:00:00"/>
    <n v="0"/>
  </r>
  <r>
    <s v="DEP-A0-0910"/>
    <x v="0"/>
    <n v="37"/>
    <x v="1"/>
    <s v="Falda"/>
    <s v="Amarillo"/>
    <s v="Zara"/>
    <s v="MER-A0-0910"/>
    <d v="2025-04-06T00:00:00"/>
    <x v="1"/>
    <n v="160.22999999999999"/>
    <n v="0.3"/>
    <n v="180.18"/>
    <x v="2"/>
    <s v="No"/>
    <d v="2025-04-06T00:00:00"/>
    <n v="0"/>
  </r>
  <r>
    <s v="DEP-A0-2108"/>
    <x v="0"/>
    <n v="64"/>
    <x v="1"/>
    <s v="Chaqueta"/>
    <s v="Amarillo"/>
    <s v="Puma"/>
    <s v="MER-A0-2108"/>
    <d v="2025-04-15T00:00:00"/>
    <x v="1"/>
    <n v="170.33"/>
    <n v="0.2"/>
    <n v="180.78"/>
    <x v="2"/>
    <s v="No"/>
    <d v="2025-04-15T00:00:00"/>
    <n v="0"/>
  </r>
  <r>
    <s v="DEP-A0-4629"/>
    <x v="1"/>
    <n v="44"/>
    <x v="1"/>
    <s v="Chaqueta"/>
    <s v="Rojo"/>
    <s v="Adidas"/>
    <s v="MER-A0-4629"/>
    <d v="2025-04-21T00:00:00"/>
    <x v="1"/>
    <n v="174.91"/>
    <n v="0.1"/>
    <n v="183.89"/>
    <x v="2"/>
    <s v="No"/>
    <d v="2025-04-21T00:00:00"/>
    <n v="0"/>
  </r>
  <r>
    <s v="DEP-A0-1875"/>
    <x v="0"/>
    <n v="46"/>
    <x v="1"/>
    <s v="Pantalón"/>
    <s v="Azul"/>
    <s v="Zara"/>
    <s v="MER-A0-1875"/>
    <d v="2025-04-06T00:00:00"/>
    <x v="1"/>
    <n v="177.53"/>
    <n v="0.1"/>
    <n v="185.78"/>
    <x v="2"/>
    <s v="No"/>
    <d v="2025-04-06T00:00:00"/>
    <n v="0"/>
  </r>
  <r>
    <s v="DEP-A0-2606"/>
    <x v="0"/>
    <n v="62"/>
    <x v="1"/>
    <s v="Chaqueta"/>
    <s v="Rojo"/>
    <s v="Adidas"/>
    <s v="MER-A0-2606"/>
    <d v="2025-04-02T00:00:00"/>
    <x v="1"/>
    <n v="181.17"/>
    <n v="0.2"/>
    <n v="190.24"/>
    <x v="2"/>
    <s v="No"/>
    <d v="2025-04-02T00:00:00"/>
    <n v="0"/>
  </r>
  <r>
    <s v="DEP-A0-2772"/>
    <x v="0"/>
    <n v="52"/>
    <x v="1"/>
    <s v="Blusa"/>
    <s v="Gris"/>
    <s v="Mango"/>
    <s v="MER-A0-2772"/>
    <d v="2025-04-16T00:00:00"/>
    <x v="1"/>
    <n v="187.44"/>
    <n v="0"/>
    <n v="194.16"/>
    <x v="2"/>
    <s v="No"/>
    <d v="2025-04-16T00:00:00"/>
    <n v="0"/>
  </r>
  <r>
    <s v="DEP-A0-2409"/>
    <x v="0"/>
    <n v="58"/>
    <x v="1"/>
    <s v="Blusa"/>
    <s v="Verde"/>
    <s v="Tommy"/>
    <s v="MER-A0-2409"/>
    <d v="2025-04-12T00:00:00"/>
    <x v="1"/>
    <n v="188.89"/>
    <n v="0"/>
    <n v="195.16"/>
    <x v="2"/>
    <s v="No"/>
    <d v="2025-04-12T00:00:00"/>
    <n v="0"/>
  </r>
  <r>
    <s v="DEP-A0-2525"/>
    <x v="0"/>
    <n v="41"/>
    <x v="1"/>
    <s v="Zapatos"/>
    <s v="Gris"/>
    <s v="Adidas"/>
    <s v="MER-A0-2525"/>
    <d v="2025-04-27T00:00:00"/>
    <x v="1"/>
    <n v="191.72"/>
    <n v="0.3"/>
    <n v="195.45"/>
    <x v="2"/>
    <s v="No"/>
    <d v="2025-04-27T00:00:00"/>
    <n v="0"/>
  </r>
  <r>
    <s v="DEP-A0-2577"/>
    <x v="0"/>
    <n v="47"/>
    <x v="1"/>
    <s v="Blusa"/>
    <s v="Gris"/>
    <s v="Mango"/>
    <s v="MER-A0-2577"/>
    <d v="2025-05-30T00:00:00"/>
    <x v="1"/>
    <n v="10.47"/>
    <n v="0.1"/>
    <n v="197.09"/>
    <x v="2"/>
    <s v="No"/>
    <d v="2025-05-30T00:00:00"/>
    <n v="0"/>
  </r>
  <r>
    <s v="DEP-A0-0727"/>
    <x v="0"/>
    <n v="39"/>
    <x v="1"/>
    <s v="Pantalón"/>
    <s v="Verde"/>
    <s v="Puma"/>
    <s v="MER-A0-0727"/>
    <d v="2025-05-28T00:00:00"/>
    <x v="1"/>
    <n v="12.13"/>
    <n v="0.3"/>
    <n v="199.29"/>
    <x v="2"/>
    <s v="No"/>
    <d v="2025-05-28T00:00:00"/>
    <n v="0"/>
  </r>
  <r>
    <s v="DEP-A0-1735"/>
    <x v="1"/>
    <n v="61"/>
    <x v="1"/>
    <s v="Camisa"/>
    <s v="Gris"/>
    <s v="Tommy"/>
    <s v="MER-A0-1735"/>
    <d v="2025-05-22T00:00:00"/>
    <x v="1"/>
    <n v="16.86"/>
    <n v="0.3"/>
    <n v="35.020000000000003"/>
    <x v="2"/>
    <s v="No"/>
    <d v="2025-05-22T00:00:00"/>
    <n v="0"/>
  </r>
  <r>
    <s v="DEP-A0-2067"/>
    <x v="0"/>
    <n v="41"/>
    <x v="1"/>
    <s v="Vestido"/>
    <s v="Rojo"/>
    <s v="Nike"/>
    <s v="MER-A0-2067"/>
    <d v="2025-05-21T00:00:00"/>
    <x v="1"/>
    <n v="19.59"/>
    <n v="0.2"/>
    <n v="56.44"/>
    <x v="2"/>
    <s v="No"/>
    <d v="2025-05-21T00:00:00"/>
    <n v="0"/>
  </r>
  <r>
    <s v="DEP-A0-2309"/>
    <x v="0"/>
    <n v="61"/>
    <x v="1"/>
    <s v="Chaqueta"/>
    <s v="Gris"/>
    <s v="Mango"/>
    <s v="MER-A0-2309"/>
    <d v="2025-05-15T00:00:00"/>
    <x v="1"/>
    <n v="21.27"/>
    <n v="0.2"/>
    <n v="48.44"/>
    <x v="2"/>
    <s v="No"/>
    <d v="2025-05-15T00:00:00"/>
    <n v="0"/>
  </r>
  <r>
    <s v="DEP-A0-4476"/>
    <x v="0"/>
    <n v="64"/>
    <x v="1"/>
    <s v="Pantalón"/>
    <s v="Negro"/>
    <s v="Puma"/>
    <s v="MER-A0-4476"/>
    <d v="2025-05-09T00:00:00"/>
    <x v="1"/>
    <n v="23.66"/>
    <n v="0.2"/>
    <n v="61.02600000000001"/>
    <x v="2"/>
    <s v="No"/>
    <d v="2025-05-09T00:00:00"/>
    <n v="0"/>
  </r>
  <r>
    <s v="DEP-A0-0947"/>
    <x v="0"/>
    <n v="48"/>
    <x v="1"/>
    <s v="Vestido"/>
    <s v="Negro"/>
    <s v="Tommy"/>
    <s v="MER-A0-0947"/>
    <d v="2025-05-29T00:00:00"/>
    <x v="1"/>
    <n v="27.9"/>
    <n v="0"/>
    <n v="73.215999999999994"/>
    <x v="2"/>
    <s v="No"/>
    <d v="2025-05-29T00:00:00"/>
    <n v="0"/>
  </r>
  <r>
    <s v="DEP-A0-1222"/>
    <x v="0"/>
    <n v="59"/>
    <x v="1"/>
    <s v="Blusa"/>
    <s v="Gris"/>
    <s v="Zara"/>
    <s v="MER-A0-1222"/>
    <d v="2025-05-04T00:00:00"/>
    <x v="1"/>
    <n v="33.44"/>
    <n v="0.1"/>
    <n v="65.176999999999992"/>
    <x v="2"/>
    <s v="No"/>
    <d v="2025-05-04T00:00:00"/>
    <n v="0"/>
  </r>
  <r>
    <s v="DEP-A0-4520"/>
    <x v="0"/>
    <n v="55"/>
    <x v="1"/>
    <s v="Blusa"/>
    <s v="Verde"/>
    <s v="Nike"/>
    <s v="MER-A0-4520"/>
    <d v="2025-05-15T00:00:00"/>
    <x v="1"/>
    <n v="47.05"/>
    <n v="0.3"/>
    <n v="161.32499999999999"/>
    <x v="2"/>
    <s v="No"/>
    <d v="2025-05-15T00:00:00"/>
    <n v="0"/>
  </r>
  <r>
    <s v="DEP-A0-1743"/>
    <x v="1"/>
    <n v="37"/>
    <x v="1"/>
    <s v="Pantalón"/>
    <s v="Rojo"/>
    <s v="Adidas"/>
    <s v="MER-A0-1743"/>
    <d v="2025-05-22T00:00:00"/>
    <x v="1"/>
    <n v="54.42"/>
    <n v="0"/>
    <n v="179.49"/>
    <x v="2"/>
    <s v="No"/>
    <d v="2025-05-22T00:00:00"/>
    <n v="0"/>
  </r>
  <r>
    <s v="DEP-A0-0120"/>
    <x v="1"/>
    <n v="55"/>
    <x v="1"/>
    <s v="Camisa"/>
    <s v="Amarillo"/>
    <s v="Tommy"/>
    <s v="MER-A0-0120"/>
    <d v="2025-05-06T00:00:00"/>
    <x v="1"/>
    <n v="60.92"/>
    <n v="0.1"/>
    <n v="163.61099999999999"/>
    <x v="2"/>
    <s v="No"/>
    <d v="2025-05-06T00:00:00"/>
    <n v="0"/>
  </r>
  <r>
    <s v="DEP-A0-4176"/>
    <x v="0"/>
    <n v="63"/>
    <x v="1"/>
    <s v="Falda"/>
    <s v="Blanco"/>
    <s v="Puma"/>
    <s v="MER-A0-4176"/>
    <d v="2025-05-12T00:00:00"/>
    <x v="1"/>
    <n v="64.260000000000005"/>
    <n v="0.1"/>
    <n v="46.444999999999993"/>
    <x v="2"/>
    <s v="No"/>
    <d v="2025-05-12T00:00:00"/>
    <n v="0"/>
  </r>
  <r>
    <s v="DEP-A0-1673"/>
    <x v="0"/>
    <n v="48"/>
    <x v="1"/>
    <s v="Zapatos"/>
    <s v="Amarillo"/>
    <s v="Mango"/>
    <s v="MER-A0-1673"/>
    <d v="2025-05-03T00:00:00"/>
    <x v="1"/>
    <n v="69.72"/>
    <n v="0.1"/>
    <n v="56.455000000000005"/>
    <x v="2"/>
    <s v="No"/>
    <d v="2025-05-03T00:00:00"/>
    <n v="0"/>
  </r>
  <r>
    <s v="DEP-A0-1712"/>
    <x v="0"/>
    <n v="54"/>
    <x v="1"/>
    <s v="Vestido"/>
    <s v="Azul"/>
    <s v="Adidas"/>
    <s v="MER-A0-1712"/>
    <d v="2025-05-29T00:00:00"/>
    <x v="1"/>
    <n v="82.5"/>
    <n v="0.3"/>
    <n v="45.521999999999998"/>
    <x v="2"/>
    <s v="No"/>
    <d v="2025-05-29T00:00:00"/>
    <n v="0"/>
  </r>
  <r>
    <s v="DEP-A0-0651"/>
    <x v="1"/>
    <n v="56"/>
    <x v="1"/>
    <s v="Pantalón"/>
    <s v="Rojo"/>
    <s v="Nike"/>
    <s v="MER-A0-0651"/>
    <d v="2025-05-21T00:00:00"/>
    <x v="1"/>
    <n v="83.29"/>
    <n v="0.2"/>
    <n v="105.68599999999999"/>
    <x v="2"/>
    <s v="No"/>
    <d v="2025-05-21T00:00:00"/>
    <n v="0"/>
  </r>
  <r>
    <s v="DEP-A0-0454"/>
    <x v="0"/>
    <n v="54"/>
    <x v="1"/>
    <s v="Falda"/>
    <s v="Gris"/>
    <s v="Levis"/>
    <s v="MER-A0-0454"/>
    <d v="2025-05-28T00:00:00"/>
    <x v="1"/>
    <n v="85.91"/>
    <n v="0.1"/>
    <n v="166.58100000000002"/>
    <x v="2"/>
    <s v="No"/>
    <d v="2025-05-28T00:00:00"/>
    <n v="0"/>
  </r>
  <r>
    <s v="DEP-A0-2346"/>
    <x v="1"/>
    <n v="37"/>
    <x v="1"/>
    <s v="Pantalón"/>
    <s v="Gris"/>
    <s v="Zara"/>
    <s v="MER-A0-2346"/>
    <d v="2025-05-31T00:00:00"/>
    <x v="1"/>
    <n v="86.19"/>
    <n v="0.1"/>
    <n v="106.4"/>
    <x v="2"/>
    <s v="No"/>
    <d v="2025-05-31T00:00:00"/>
    <n v="0"/>
  </r>
  <r>
    <s v="DEP-A0-3522"/>
    <x v="0"/>
    <n v="56"/>
    <x v="1"/>
    <s v="Zapatos"/>
    <s v="Amarillo"/>
    <s v="Mango"/>
    <s v="MER-A0-3522"/>
    <d v="2025-05-18T00:00:00"/>
    <x v="1"/>
    <n v="86.74"/>
    <n v="0.3"/>
    <n v="126.08800000000001"/>
    <x v="2"/>
    <s v="No"/>
    <d v="2025-05-18T00:00:00"/>
    <n v="0"/>
  </r>
  <r>
    <s v="DEP-A0-4901"/>
    <x v="0"/>
    <n v="39"/>
    <x v="1"/>
    <s v="Vestido"/>
    <s v="Azul"/>
    <s v="Levis"/>
    <s v="MER-A0-4901"/>
    <d v="2025-05-03T00:00:00"/>
    <x v="1"/>
    <n v="87.93"/>
    <n v="0"/>
    <n v="170.76"/>
    <x v="2"/>
    <s v="No"/>
    <d v="2025-05-03T00:00:00"/>
    <n v="0"/>
  </r>
  <r>
    <s v="DEP-A0-4641"/>
    <x v="0"/>
    <n v="39"/>
    <x v="1"/>
    <s v="Vestido"/>
    <s v="Rojo"/>
    <s v="Tommy"/>
    <s v="MER-A0-4641"/>
    <d v="2025-05-31T00:00:00"/>
    <x v="1"/>
    <n v="91.71"/>
    <n v="0.1"/>
    <n v="186.32"/>
    <x v="2"/>
    <s v="No"/>
    <d v="2025-05-31T00:00:00"/>
    <n v="0"/>
  </r>
  <r>
    <s v="DEP-A0-0310"/>
    <x v="0"/>
    <n v="51"/>
    <x v="1"/>
    <s v="Vestido"/>
    <s v="Gris"/>
    <s v="Tommy"/>
    <s v="MER-A0-0310"/>
    <d v="2025-05-06T00:00:00"/>
    <x v="1"/>
    <n v="96.87"/>
    <n v="0"/>
    <n v="36.777999999999999"/>
    <x v="2"/>
    <s v="No"/>
    <d v="2025-05-06T00:00:00"/>
    <n v="0"/>
  </r>
  <r>
    <s v="DEP-A0-2477"/>
    <x v="1"/>
    <n v="63"/>
    <x v="1"/>
    <s v="Pantalón"/>
    <s v="Gris"/>
    <s v="Nike"/>
    <s v="MER-A0-2477"/>
    <d v="2025-05-31T00:00:00"/>
    <x v="1"/>
    <n v="98.83"/>
    <n v="0.3"/>
    <n v="38.094000000000001"/>
    <x v="2"/>
    <s v="No"/>
    <d v="2025-05-31T00:00:00"/>
    <n v="0"/>
  </r>
  <r>
    <s v="DEP-A0-3272"/>
    <x v="0"/>
    <n v="41"/>
    <x v="1"/>
    <s v="Falda"/>
    <s v="Negro"/>
    <s v="Adidas"/>
    <s v="MER-A0-3272"/>
    <d v="2025-05-05T00:00:00"/>
    <x v="1"/>
    <n v="106.51"/>
    <n v="0.1"/>
    <n v="45.760000000000005"/>
    <x v="2"/>
    <s v="No"/>
    <d v="2025-05-05T00:00:00"/>
    <n v="0"/>
  </r>
  <r>
    <s v="DEP-A0-1075"/>
    <x v="0"/>
    <n v="40"/>
    <x v="1"/>
    <s v="Vestido"/>
    <s v="Gris"/>
    <s v="Mango"/>
    <s v="MER-A0-1075"/>
    <d v="2025-05-18T00:00:00"/>
    <x v="1"/>
    <n v="113.42"/>
    <n v="0.1"/>
    <n v="43.463000000000008"/>
    <x v="2"/>
    <s v="No"/>
    <d v="2025-05-18T00:00:00"/>
    <n v="0"/>
  </r>
  <r>
    <s v="DEP-A0-0044"/>
    <x v="0"/>
    <n v="47"/>
    <x v="1"/>
    <s v="Pantalón"/>
    <s v="Rojo"/>
    <s v="Puma"/>
    <s v="MER-A0-0044"/>
    <d v="2025-05-26T00:00:00"/>
    <x v="1"/>
    <n v="119.19"/>
    <n v="0"/>
    <n v="65.8"/>
    <x v="2"/>
    <s v="No"/>
    <d v="2025-05-26T00:00:00"/>
    <n v="0"/>
  </r>
  <r>
    <s v="DEP-A0-3413"/>
    <x v="0"/>
    <n v="36"/>
    <x v="1"/>
    <s v="Blusa"/>
    <s v="Amarillo"/>
    <s v="Zara"/>
    <s v="MER-A0-3413"/>
    <d v="2025-05-07T00:00:00"/>
    <x v="1"/>
    <n v="126.62"/>
    <n v="0.2"/>
    <n v="97.74"/>
    <x v="2"/>
    <s v="No"/>
    <d v="2025-05-07T00:00:00"/>
    <n v="0"/>
  </r>
  <r>
    <s v="DEP-A0-2950"/>
    <x v="1"/>
    <n v="48"/>
    <x v="1"/>
    <s v="Zapatos"/>
    <s v="Gris"/>
    <s v="Nike"/>
    <s v="MER-A0-2950"/>
    <d v="2025-05-11T00:00:00"/>
    <x v="1"/>
    <n v="133.88999999999999"/>
    <n v="0.3"/>
    <n v="102.43799999999999"/>
    <x v="2"/>
    <s v="No"/>
    <d v="2025-05-11T00:00:00"/>
    <n v="0"/>
  </r>
  <r>
    <s v="DEP-A0-1535"/>
    <x v="0"/>
    <n v="56"/>
    <x v="1"/>
    <s v="Vestido"/>
    <s v="Negro"/>
    <s v="Adidas"/>
    <s v="MER-A0-1535"/>
    <d v="2025-05-19T00:00:00"/>
    <x v="1"/>
    <n v="139.77000000000001"/>
    <n v="0.2"/>
    <n v="134.464"/>
    <x v="2"/>
    <s v="No"/>
    <d v="2025-05-19T00:00:00"/>
    <n v="0"/>
  </r>
  <r>
    <s v="DEP-A0-1313"/>
    <x v="0"/>
    <n v="47"/>
    <x v="1"/>
    <s v="Zapatos"/>
    <s v="Rojo"/>
    <s v="Levis"/>
    <s v="MER-A0-1313"/>
    <d v="2025-05-16T00:00:00"/>
    <x v="1"/>
    <n v="148.18"/>
    <n v="0.1"/>
    <n v="163.04399999999998"/>
    <x v="2"/>
    <s v="No"/>
    <d v="2025-05-16T00:00:00"/>
    <n v="0"/>
  </r>
  <r>
    <s v="DEP-A0-2141"/>
    <x v="0"/>
    <n v="64"/>
    <x v="1"/>
    <s v="Pantalón"/>
    <s v="Blanco"/>
    <s v="Zara"/>
    <s v="MER-A0-2141"/>
    <d v="2025-05-15T00:00:00"/>
    <x v="1"/>
    <n v="159.1"/>
    <n v="0.1"/>
    <n v="164.53799999999998"/>
    <x v="2"/>
    <s v="No"/>
    <d v="2025-05-15T00:00:00"/>
    <n v="0"/>
  </r>
  <r>
    <s v="DEP-A0-3024"/>
    <x v="0"/>
    <n v="62"/>
    <x v="1"/>
    <s v="Pantalón"/>
    <s v="Verde"/>
    <s v="Tommy"/>
    <s v="MER-A0-3024"/>
    <d v="2025-05-13T00:00:00"/>
    <x v="1"/>
    <n v="160.28"/>
    <n v="0.1"/>
    <n v="131.50200000000001"/>
    <x v="2"/>
    <s v="No"/>
    <d v="2025-05-13T00:00:00"/>
    <n v="0"/>
  </r>
  <r>
    <s v="DEP-A0-4969"/>
    <x v="1"/>
    <n v="52"/>
    <x v="1"/>
    <s v="Chaqueta"/>
    <s v="Negro"/>
    <s v="Adidas"/>
    <s v="MER-A0-4969"/>
    <d v="2025-05-22T00:00:00"/>
    <x v="1"/>
    <n v="179.09"/>
    <n v="0.1"/>
    <n v="18.228000000000002"/>
    <x v="2"/>
    <s v="No"/>
    <d v="2025-05-22T00:00:00"/>
    <n v="0"/>
  </r>
  <r>
    <s v="DEP-A0-1084"/>
    <x v="0"/>
    <n v="65"/>
    <x v="1"/>
    <s v="Pantalón"/>
    <s v="Amarillo"/>
    <s v="Mango"/>
    <s v="MER-A0-1084"/>
    <d v="2025-05-07T00:00:00"/>
    <x v="1"/>
    <n v="190.27"/>
    <n v="0.2"/>
    <n v="63.387000000000008"/>
    <x v="2"/>
    <s v="No"/>
    <d v="2025-05-07T00:00:00"/>
    <n v="0"/>
  </r>
  <r>
    <s v="DEP-A0-2900"/>
    <x v="1"/>
    <n v="64"/>
    <x v="1"/>
    <s v="Chaqueta"/>
    <s v="Blanco"/>
    <s v="Tommy"/>
    <s v="MER-A0-2900"/>
    <d v="2025-05-28T00:00:00"/>
    <x v="1"/>
    <n v="193.65"/>
    <n v="0.1"/>
    <n v="61.191999999999993"/>
    <x v="2"/>
    <s v="No"/>
    <d v="2025-05-28T00:00:00"/>
    <n v="0"/>
  </r>
  <r>
    <s v="DEP-A0-0829"/>
    <x v="0"/>
    <n v="39"/>
    <x v="1"/>
    <s v="Falda"/>
    <s v="Negro"/>
    <s v="Zara"/>
    <s v="MER-A0-0829"/>
    <d v="2025-05-03T00:00:00"/>
    <x v="1"/>
    <n v="195.31"/>
    <n v="0"/>
    <n v="59.5"/>
    <x v="2"/>
    <s v="No"/>
    <d v="2025-05-03T00:00:00"/>
    <n v="0"/>
  </r>
  <r>
    <s v="DEP-A0-3381"/>
    <x v="0"/>
    <n v="50"/>
    <x v="1"/>
    <s v="Falda"/>
    <s v="Blanco"/>
    <s v="Zara"/>
    <s v="MER-A0-3381"/>
    <d v="2025-06-16T00:00:00"/>
    <x v="1"/>
    <n v="28.75"/>
    <n v="0"/>
    <n v="67.403000000000006"/>
    <x v="2"/>
    <s v="No"/>
    <d v="2025-06-16T00:00:00"/>
    <n v="0"/>
  </r>
  <r>
    <s v="DEP-A0-2537"/>
    <x v="0"/>
    <n v="52"/>
    <x v="1"/>
    <s v="Falda"/>
    <s v="Blanco"/>
    <s v="Zara"/>
    <s v="MER-A0-2537"/>
    <d v="2025-06-22T00:00:00"/>
    <x v="1"/>
    <n v="30.7"/>
    <n v="0.3"/>
    <n v="82.544000000000011"/>
    <x v="2"/>
    <s v="No"/>
    <d v="2025-06-22T00:00:00"/>
    <n v="0"/>
  </r>
  <r>
    <s v="DEP-A0-2479"/>
    <x v="0"/>
    <n v="36"/>
    <x v="1"/>
    <s v="Falda"/>
    <s v="Verde"/>
    <s v="Mango"/>
    <s v="MER-A0-2479"/>
    <d v="2025-06-17T00:00:00"/>
    <x v="1"/>
    <n v="35.08"/>
    <n v="0.1"/>
    <n v="111.11399999999999"/>
    <x v="2"/>
    <s v="No"/>
    <d v="2025-06-17T00:00:00"/>
    <n v="0"/>
  </r>
  <r>
    <s v="DEP-A0-3749"/>
    <x v="1"/>
    <n v="55"/>
    <x v="1"/>
    <s v="Pantalón"/>
    <s v="Azul"/>
    <s v="Adidas"/>
    <s v="MER-A0-3749"/>
    <d v="2025-06-23T00:00:00"/>
    <x v="1"/>
    <n v="45.85"/>
    <n v="0.1"/>
    <n v="127.95299999999999"/>
    <x v="2"/>
    <s v="No"/>
    <d v="2025-06-23T00:00:00"/>
    <n v="0"/>
  </r>
  <r>
    <s v="DEP-A0-4800"/>
    <x v="1"/>
    <n v="57"/>
    <x v="1"/>
    <s v="Chaqueta"/>
    <s v="Blanco"/>
    <s v="Levis"/>
    <s v="MER-A0-4800"/>
    <d v="2025-06-14T00:00:00"/>
    <x v="1"/>
    <n v="53.78"/>
    <n v="0.2"/>
    <n v="103.411"/>
    <x v="2"/>
    <s v="No"/>
    <d v="2025-06-14T00:00:00"/>
    <n v="0"/>
  </r>
  <r>
    <s v="DEP-A0-2119"/>
    <x v="1"/>
    <n v="57"/>
    <x v="1"/>
    <s v="Camisa"/>
    <s v="Gris"/>
    <s v="Mango"/>
    <s v="MER-A0-2119"/>
    <d v="2025-06-20T00:00:00"/>
    <x v="1"/>
    <n v="54.92"/>
    <n v="0"/>
    <n v="121.59200000000001"/>
    <x v="2"/>
    <s v="No"/>
    <d v="2025-06-20T00:00:00"/>
    <n v="0"/>
  </r>
  <r>
    <s v="DEP-A0-0431"/>
    <x v="0"/>
    <n v="42"/>
    <x v="1"/>
    <s v="Chaqueta"/>
    <s v="Gris"/>
    <s v="Zara"/>
    <s v="MER-A0-0431"/>
    <d v="2025-06-28T00:00:00"/>
    <x v="1"/>
    <n v="84.45"/>
    <n v="0.2"/>
    <n v="170.92"/>
    <x v="2"/>
    <s v="No"/>
    <d v="2025-06-28T00:00:00"/>
    <n v="0"/>
  </r>
  <r>
    <s v="DEP-A0-1405"/>
    <x v="0"/>
    <n v="46"/>
    <x v="1"/>
    <s v="Blusa"/>
    <s v="Negro"/>
    <s v="Levis"/>
    <s v="MER-A0-1405"/>
    <d v="2025-06-11T00:00:00"/>
    <x v="1"/>
    <n v="108.74"/>
    <n v="0.2"/>
    <n v="158.91299999999998"/>
    <x v="2"/>
    <s v="No"/>
    <d v="2025-06-11T00:00:00"/>
    <n v="0"/>
  </r>
  <r>
    <s v="DEP-A0-4560"/>
    <x v="1"/>
    <n v="45"/>
    <x v="1"/>
    <s v="Zapatos"/>
    <s v="Amarillo"/>
    <s v="Zara"/>
    <s v="MER-A0-4560"/>
    <d v="2025-06-06T00:00:00"/>
    <x v="1"/>
    <n v="113.1"/>
    <n v="0.3"/>
    <n v="165.267"/>
    <x v="2"/>
    <s v="No"/>
    <d v="2025-06-06T00:00:00"/>
    <n v="0"/>
  </r>
  <r>
    <s v="DEP-A0-0263"/>
    <x v="0"/>
    <n v="37"/>
    <x v="1"/>
    <s v="Blusa"/>
    <s v="Rojo"/>
    <s v="Levis"/>
    <s v="MER-A0-0263"/>
    <d v="2025-06-03T00:00:00"/>
    <x v="1"/>
    <n v="123.92"/>
    <n v="0.3"/>
    <n v="173.59199999999998"/>
    <x v="2"/>
    <s v="No"/>
    <d v="2025-06-03T00:00:00"/>
    <n v="0"/>
  </r>
  <r>
    <s v="DEP-A0-3561"/>
    <x v="0"/>
    <n v="56"/>
    <x v="1"/>
    <s v="Falda"/>
    <s v="Blanco"/>
    <s v="Levis"/>
    <s v="MER-A0-3561"/>
    <d v="2025-06-18T00:00:00"/>
    <x v="1"/>
    <n v="137.5"/>
    <n v="0.2"/>
    <n v="137.71100000000001"/>
    <x v="2"/>
    <s v="No"/>
    <d v="2025-06-18T00:00:00"/>
    <n v="0"/>
  </r>
  <r>
    <s v="DEP-A0-2143"/>
    <x v="0"/>
    <n v="50"/>
    <x v="1"/>
    <s v="Vestido"/>
    <s v="Gris"/>
    <s v="Tommy"/>
    <s v="MER-A0-2143"/>
    <d v="2025-06-28T00:00:00"/>
    <x v="1"/>
    <n v="141.38"/>
    <n v="0.2"/>
    <n v="61.82"/>
    <x v="2"/>
    <s v="No"/>
    <d v="2025-06-28T00:00:00"/>
    <n v="0"/>
  </r>
  <r>
    <s v="DEP-A0-1495"/>
    <x v="0"/>
    <n v="60"/>
    <x v="1"/>
    <s v="Blusa"/>
    <s v="Rojo"/>
    <s v="Tommy"/>
    <s v="MER-A0-1495"/>
    <d v="2025-06-02T00:00:00"/>
    <x v="1"/>
    <n v="148.1"/>
    <n v="0.1"/>
    <n v="15.849"/>
    <x v="2"/>
    <s v="No"/>
    <d v="2025-06-02T00:00:00"/>
    <n v="0"/>
  </r>
  <r>
    <s v="DEP-A0-4733"/>
    <x v="0"/>
    <n v="61"/>
    <x v="1"/>
    <s v="Blusa"/>
    <s v="Negro"/>
    <s v="Nike"/>
    <s v="MER-A0-4733"/>
    <d v="2025-06-04T00:00:00"/>
    <x v="1"/>
    <n v="164.8"/>
    <n v="0.1"/>
    <n v="43.515000000000001"/>
    <x v="2"/>
    <s v="No"/>
    <d v="2025-06-04T00:00:00"/>
    <n v="0"/>
  </r>
  <r>
    <s v="DEP-A0-0992"/>
    <x v="0"/>
    <n v="39"/>
    <x v="1"/>
    <s v="Camisa"/>
    <s v="Verde"/>
    <s v="Adidas"/>
    <s v="MER-A0-0992"/>
    <d v="2025-06-28T00:00:00"/>
    <x v="1"/>
    <n v="166.46"/>
    <n v="0.2"/>
    <n v="80.990000000000009"/>
    <x v="2"/>
    <s v="No"/>
    <d v="2025-06-28T00:00:00"/>
    <n v="0"/>
  </r>
  <r>
    <s v="DEP-A0-2769"/>
    <x v="0"/>
    <n v="45"/>
    <x v="1"/>
    <s v="Falda"/>
    <s v="Blanco"/>
    <s v="Mango"/>
    <s v="MER-A0-2769"/>
    <d v="2025-06-20T00:00:00"/>
    <x v="1"/>
    <n v="171.17"/>
    <n v="0.2"/>
    <n v="111.84299999999999"/>
    <x v="2"/>
    <s v="No"/>
    <d v="2025-06-20T00:00:00"/>
    <n v="0"/>
  </r>
  <r>
    <s v="DEP-A0-1731"/>
    <x v="1"/>
    <n v="65"/>
    <x v="1"/>
    <s v="Camisa"/>
    <s v="Amarillo"/>
    <s v="Zara"/>
    <s v="MER-A0-1731"/>
    <d v="2025-06-27T00:00:00"/>
    <x v="1"/>
    <n v="172.43"/>
    <n v="0.2"/>
    <n v="137.52799999999999"/>
    <x v="2"/>
    <s v="No"/>
    <d v="2025-06-27T00:00:00"/>
    <n v="0"/>
  </r>
  <r>
    <s v="DEP-A0-0733"/>
    <x v="0"/>
    <n v="47"/>
    <x v="1"/>
    <s v="Falda"/>
    <s v="Blanco"/>
    <s v="Levis"/>
    <s v="MER-A0-0733"/>
    <d v="2025-06-19T00:00:00"/>
    <x v="1"/>
    <n v="172.52"/>
    <n v="0"/>
    <n v="81.632000000000005"/>
    <x v="2"/>
    <s v="No"/>
    <d v="2025-06-19T00:00:00"/>
    <n v="0"/>
  </r>
  <r>
    <s v="DEP-A0-4207"/>
    <x v="1"/>
    <n v="41"/>
    <x v="1"/>
    <s v="Chaqueta"/>
    <s v="Verde"/>
    <s v="Adidas"/>
    <s v="MER-A0-4207"/>
    <d v="2025-06-19T00:00:00"/>
    <x v="1"/>
    <n v="172.79"/>
    <n v="0.3"/>
    <n v="155.024"/>
    <x v="2"/>
    <s v="No"/>
    <d v="2025-06-19T00:00:00"/>
    <n v="0"/>
  </r>
  <r>
    <s v="DEP-A0-4572"/>
    <x v="0"/>
    <n v="65"/>
    <x v="1"/>
    <s v="Zapatos"/>
    <s v="Gris"/>
    <s v="Adidas"/>
    <s v="MER-A0-4572"/>
    <d v="2025-06-17T00:00:00"/>
    <x v="1"/>
    <n v="174.89"/>
    <n v="0.2"/>
    <n v="88.592000000000013"/>
    <x v="2"/>
    <s v="No"/>
    <d v="2025-06-17T00:00:00"/>
    <n v="0"/>
  </r>
  <r>
    <s v="DEP-A0-3964"/>
    <x v="0"/>
    <n v="64"/>
    <x v="1"/>
    <s v="Falda"/>
    <s v="Negro"/>
    <s v="Nike"/>
    <s v="MER-A0-3964"/>
    <d v="2025-06-08T00:00:00"/>
    <x v="1"/>
    <n v="175.71"/>
    <n v="0.3"/>
    <n v="134.512"/>
    <x v="2"/>
    <s v="No"/>
    <d v="2025-06-08T00:00:00"/>
    <n v="0"/>
  </r>
  <r>
    <s v="DEP-A0-0496"/>
    <x v="1"/>
    <n v="63"/>
    <x v="1"/>
    <s v="Pantalón"/>
    <s v="Blanco"/>
    <s v="Puma"/>
    <s v="MER-A0-0496"/>
    <d v="2025-06-13T00:00:00"/>
    <x v="1"/>
    <n v="177.11"/>
    <n v="0.3"/>
    <n v="179.39"/>
    <x v="2"/>
    <s v="No"/>
    <d v="2025-06-13T00:00:00"/>
    <n v="0"/>
  </r>
  <r>
    <s v="DEP-A0-3723"/>
    <x v="0"/>
    <n v="38"/>
    <x v="1"/>
    <s v="Chaqueta"/>
    <s v="Rojo"/>
    <s v="Tommy"/>
    <s v="MER-A0-3723"/>
    <d v="2025-06-23T00:00:00"/>
    <x v="1"/>
    <n v="190.94"/>
    <n v="0"/>
    <n v="26.532"/>
    <x v="2"/>
    <s v="No"/>
    <d v="2025-06-23T00:00:00"/>
    <n v="0"/>
  </r>
  <r>
    <s v="DEP-A0-4361"/>
    <x v="1"/>
    <n v="57"/>
    <x v="1"/>
    <s v="Zapatos"/>
    <s v="Gris"/>
    <s v="Zara"/>
    <s v="MER-A0-4361"/>
    <d v="2025-06-10T00:00:00"/>
    <x v="1"/>
    <n v="191.08"/>
    <n v="0"/>
    <n v="13.419"/>
    <x v="2"/>
    <s v="No"/>
    <d v="2025-06-10T00:00:00"/>
    <n v="0"/>
  </r>
  <r>
    <s v="DEP-A0-1389"/>
    <x v="0"/>
    <n v="65"/>
    <x v="1"/>
    <s v="Pantalón"/>
    <s v="Negro"/>
    <s v="Levis"/>
    <s v="MER-A0-1389"/>
    <d v="2025-07-01T00:00:00"/>
    <x v="1"/>
    <n v="24.24"/>
    <n v="0.2"/>
    <n v="29.15"/>
    <x v="2"/>
    <s v="No"/>
    <d v="2025-07-01T00:00:00"/>
    <n v="0"/>
  </r>
  <r>
    <s v="DEP-A0-1831"/>
    <x v="0"/>
    <n v="36"/>
    <x v="1"/>
    <s v="Vestido"/>
    <s v="Blanco"/>
    <s v="Levis"/>
    <s v="MER-A0-1831"/>
    <d v="2025-07-04T00:00:00"/>
    <x v="1"/>
    <n v="26.38"/>
    <n v="0"/>
    <n v="102.58"/>
    <x v="2"/>
    <s v="No"/>
    <d v="2025-07-04T00:00:00"/>
    <n v="0"/>
  </r>
  <r>
    <s v="DEP-A0-3460"/>
    <x v="1"/>
    <n v="63"/>
    <x v="1"/>
    <s v="Zapatos"/>
    <s v="Amarillo"/>
    <s v="Levis"/>
    <s v="MER-A0-3460"/>
    <d v="2025-07-03T00:00:00"/>
    <x v="1"/>
    <n v="32.04"/>
    <n v="0.2"/>
    <n v="21.573999999999998"/>
    <x v="2"/>
    <s v="No"/>
    <d v="2025-07-03T00:00:00"/>
    <n v="0"/>
  </r>
  <r>
    <s v="DEP-A0-2655"/>
    <x v="1"/>
    <n v="61"/>
    <x v="1"/>
    <s v="Pantalón"/>
    <s v="Gris"/>
    <s v="Levis"/>
    <s v="MER-A0-2655"/>
    <d v="2025-07-15T00:00:00"/>
    <x v="1"/>
    <n v="36.25"/>
    <n v="0.2"/>
    <n v="39.248000000000005"/>
    <x v="2"/>
    <s v="No"/>
    <d v="2025-07-15T00:00:00"/>
    <n v="0"/>
  </r>
  <r>
    <s v="DEP-A0-2030"/>
    <x v="0"/>
    <n v="57"/>
    <x v="1"/>
    <s v="Pantalón"/>
    <s v="Rojo"/>
    <s v="Adidas"/>
    <s v="MER-A0-2030"/>
    <d v="2025-07-19T00:00:00"/>
    <x v="1"/>
    <n v="98.11"/>
    <n v="0.1"/>
    <n v="61.522999999999996"/>
    <x v="2"/>
    <s v="No"/>
    <d v="2025-07-19T00:00:00"/>
    <n v="0"/>
  </r>
  <r>
    <s v="DEP-A0-4325"/>
    <x v="0"/>
    <n v="60"/>
    <x v="1"/>
    <s v="Blusa"/>
    <s v="Rojo"/>
    <s v="Adidas"/>
    <s v="MER-A0-4325"/>
    <d v="2025-07-15T00:00:00"/>
    <x v="1"/>
    <n v="102.24"/>
    <n v="0.1"/>
    <n v="87.91"/>
    <x v="2"/>
    <s v="No"/>
    <d v="2025-07-15T00:00:00"/>
    <n v="0"/>
  </r>
  <r>
    <s v="DEP-A0-2987"/>
    <x v="1"/>
    <n v="57"/>
    <x v="1"/>
    <s v="Camisa"/>
    <s v="Azul"/>
    <s v="Tommy"/>
    <s v="MER-A0-2987"/>
    <d v="2025-07-15T00:00:00"/>
    <x v="1"/>
    <n v="105.87"/>
    <n v="0"/>
    <n v="160.43"/>
    <x v="2"/>
    <s v="No"/>
    <d v="2025-07-15T00:00:00"/>
    <n v="0"/>
  </r>
  <r>
    <s v="DEP-A0-1029"/>
    <x v="0"/>
    <n v="44"/>
    <x v="1"/>
    <s v="Vestido"/>
    <s v="Verde"/>
    <s v="Zara"/>
    <s v="MER-A0-1029"/>
    <d v="2025-07-20T00:00:00"/>
    <x v="1"/>
    <n v="140.31"/>
    <n v="0"/>
    <n v="76.373999999999995"/>
    <x v="2"/>
    <s v="No"/>
    <d v="2025-07-20T00:00:00"/>
    <n v="0"/>
  </r>
  <r>
    <s v="DEP-A0-2330"/>
    <x v="0"/>
    <n v="57"/>
    <x v="1"/>
    <s v="Falda"/>
    <s v="Amarillo"/>
    <s v="Mango"/>
    <s v="MER-A0-2330"/>
    <d v="2025-07-10T00:00:00"/>
    <x v="1"/>
    <n v="163.5"/>
    <n v="0"/>
    <n v="11.943"/>
    <x v="2"/>
    <s v="No"/>
    <d v="2025-07-10T00:00:00"/>
    <n v="0"/>
  </r>
  <r>
    <s v="DEP-A0-3874"/>
    <x v="0"/>
    <n v="58"/>
    <x v="1"/>
    <s v="Vestido"/>
    <s v="Blanco"/>
    <s v="Mango"/>
    <s v="MER-A0-3874"/>
    <d v="2025-07-10T00:00:00"/>
    <x v="1"/>
    <n v="185.74"/>
    <n v="0.2"/>
    <n v="20.85"/>
    <x v="2"/>
    <s v="No"/>
    <d v="2025-07-10T00:00:00"/>
    <n v="0"/>
  </r>
  <r>
    <s v="DEP-A0-2794"/>
    <x v="0"/>
    <n v="65"/>
    <x v="1"/>
    <s v="Camisa"/>
    <s v="Rojo"/>
    <s v="Tommy"/>
    <s v="MER-A0-2794"/>
    <d v="2025-07-12T00:00:00"/>
    <x v="1"/>
    <n v="188.27"/>
    <n v="0"/>
    <n v="16.824000000000002"/>
    <x v="2"/>
    <s v="No"/>
    <d v="2025-07-12T00:00:00"/>
    <n v="0"/>
  </r>
  <r>
    <s v="DEP-A0-3847"/>
    <x v="1"/>
    <n v="57"/>
    <x v="1"/>
    <s v="Pantalón"/>
    <s v="Rojo"/>
    <s v="Nike"/>
    <s v="MER-A0-3847"/>
    <d v="2025-07-28T00:00:00"/>
    <x v="1"/>
    <n v="193.16"/>
    <n v="0"/>
    <n v="33.993000000000002"/>
    <x v="2"/>
    <s v="No"/>
    <d v="2025-07-28T00:00:00"/>
    <n v="0"/>
  </r>
  <r>
    <s v="DEP-A0-2814"/>
    <x v="0"/>
    <n v="56"/>
    <x v="1"/>
    <s v="Pantalón"/>
    <s v="Negro"/>
    <s v="Levis"/>
    <s v="MER-A0-2814"/>
    <d v="2025-08-03T00:00:00"/>
    <x v="1"/>
    <n v="29.95"/>
    <n v="0.2"/>
    <n v="38.35"/>
    <x v="2"/>
    <s v="No"/>
    <d v="2025-08-03T00:00:00"/>
    <n v="0"/>
  </r>
  <r>
    <s v="DEP-A0-4542"/>
    <x v="1"/>
    <n v="47"/>
    <x v="1"/>
    <s v="Camisa"/>
    <s v="Amarillo"/>
    <s v="Tommy"/>
    <s v="MER-A0-4542"/>
    <d v="2025-08-01T00:00:00"/>
    <x v="1"/>
    <n v="30.21"/>
    <n v="0.1"/>
    <n v="36.218000000000004"/>
    <x v="2"/>
    <s v="No"/>
    <d v="2025-08-01T00:00:00"/>
    <n v="0"/>
  </r>
  <r>
    <s v="DEP-A0-0419"/>
    <x v="0"/>
    <n v="60"/>
    <x v="1"/>
    <s v="Falda"/>
    <s v="Rojo"/>
    <s v="Adidas"/>
    <s v="MER-A0-0419"/>
    <d v="2025-08-12T00:00:00"/>
    <x v="1"/>
    <n v="33.04"/>
    <n v="0.2"/>
    <n v="43.783999999999999"/>
    <x v="2"/>
    <s v="No"/>
    <d v="2025-08-12T00:00:00"/>
    <n v="0"/>
  </r>
  <r>
    <s v="DEP-A0-2045"/>
    <x v="0"/>
    <n v="63"/>
    <x v="1"/>
    <s v="Blusa"/>
    <s v="Verde"/>
    <s v="Levis"/>
    <s v="MER-A0-2045"/>
    <d v="2025-08-16T00:00:00"/>
    <x v="1"/>
    <n v="53.57"/>
    <n v="0.3"/>
    <n v="61.05"/>
    <x v="2"/>
    <s v="No"/>
    <d v="2025-08-16T00:00:00"/>
    <n v="0"/>
  </r>
  <r>
    <s v="DEP-A0-2869"/>
    <x v="0"/>
    <n v="45"/>
    <x v="1"/>
    <s v="Camisa"/>
    <s v="Verde"/>
    <s v="Adidas"/>
    <s v="MER-A0-2869"/>
    <d v="2025-08-05T00:00:00"/>
    <x v="1"/>
    <n v="64.66"/>
    <n v="0.3"/>
    <n v="44.527000000000001"/>
    <x v="2"/>
    <s v="No"/>
    <d v="2025-08-05T00:00:00"/>
    <n v="0"/>
  </r>
  <r>
    <s v="DEP-A0-0811"/>
    <x v="1"/>
    <n v="37"/>
    <x v="1"/>
    <s v="Chaqueta"/>
    <s v="Negro"/>
    <s v="Puma"/>
    <s v="MER-A0-0811"/>
    <d v="2025-08-03T00:00:00"/>
    <x v="1"/>
    <n v="84.28"/>
    <n v="0.2"/>
    <n v="69.419000000000011"/>
    <x v="2"/>
    <s v="No"/>
    <d v="2025-08-03T00:00:00"/>
    <n v="0"/>
  </r>
  <r>
    <s v="DEP-A0-3291"/>
    <x v="0"/>
    <n v="44"/>
    <x v="1"/>
    <s v="Chaqueta"/>
    <s v="Azul"/>
    <s v="Levis"/>
    <s v="MER-A0-3291"/>
    <d v="2025-08-03T00:00:00"/>
    <x v="1"/>
    <n v="120.94"/>
    <n v="0.1"/>
    <n v="75.369"/>
    <x v="2"/>
    <s v="No"/>
    <d v="2025-08-03T00:00:00"/>
    <n v="0"/>
  </r>
  <r>
    <s v="DEP-A0-3458"/>
    <x v="0"/>
    <n v="44"/>
    <x v="1"/>
    <s v="Camisa"/>
    <s v="Verde"/>
    <s v="Zara"/>
    <s v="MER-A0-3458"/>
    <d v="2025-01-21T00:00:00"/>
    <x v="1"/>
    <n v="13.46"/>
    <n v="0"/>
    <n v="112.04"/>
    <x v="2"/>
    <s v="Sí"/>
    <d v="2025-01-21T00:00:00"/>
    <n v="0"/>
  </r>
  <r>
    <s v="DEP-A0-2830"/>
    <x v="0"/>
    <n v="60"/>
    <x v="1"/>
    <s v="Vestido"/>
    <s v="Blanco"/>
    <s v="Puma"/>
    <s v="MER-A0-2830"/>
    <d v="2025-02-13T00:00:00"/>
    <x v="1"/>
    <n v="16.29"/>
    <n v="0.3"/>
    <n v="133.97400000000002"/>
    <x v="2"/>
    <s v="Sí"/>
    <d v="2025-01-23T00:00:00"/>
    <n v="0"/>
  </r>
  <r>
    <s v="DEP-A0-4535"/>
    <x v="0"/>
    <n v="65"/>
    <x v="1"/>
    <s v="Zapatos"/>
    <s v="Amarillo"/>
    <s v="Zara"/>
    <s v="MER-A0-4535"/>
    <d v="2025-02-13T00:00:00"/>
    <x v="1"/>
    <n v="18.2"/>
    <n v="0.2"/>
    <n v="108.99700000000001"/>
    <x v="2"/>
    <s v="Sí"/>
    <d v="2025-01-07T00:00:00"/>
    <n v="0"/>
  </r>
  <r>
    <s v="DEP-A0-1487"/>
    <x v="0"/>
    <n v="46"/>
    <x v="1"/>
    <s v="Vestido"/>
    <s v="Gris"/>
    <s v="Levis"/>
    <s v="MER-A0-1487"/>
    <d v="2025-02-13T00:00:00"/>
    <x v="1"/>
    <n v="18.29"/>
    <n v="0.2"/>
    <n v="173.34"/>
    <x v="2"/>
    <s v="Sí"/>
    <d v="2025-01-04T00:00:00"/>
    <n v="0"/>
  </r>
  <r>
    <s v="DEP-A0-2164"/>
    <x v="0"/>
    <n v="52"/>
    <x v="1"/>
    <s v="Falda"/>
    <s v="Blanco"/>
    <s v="Puma"/>
    <s v="MER-A0-2164"/>
    <d v="2025-02-13T00:00:00"/>
    <x v="1"/>
    <n v="22.56"/>
    <n v="0.2"/>
    <n v="153.17599999999999"/>
    <x v="2"/>
    <s v="Sí"/>
    <d v="2025-01-16T00:00:00"/>
    <n v="0"/>
  </r>
  <r>
    <s v="DEP-A0-2818"/>
    <x v="0"/>
    <n v="53"/>
    <x v="1"/>
    <s v="Vestido"/>
    <s v="Azul"/>
    <s v="Nike"/>
    <s v="MER-A0-2818"/>
    <d v="2025-02-13T00:00:00"/>
    <x v="1"/>
    <n v="24.39"/>
    <n v="0.3"/>
    <n v="139.11799999999999"/>
    <x v="2"/>
    <s v="Sí"/>
    <d v="2025-01-29T00:00:00"/>
    <n v="0"/>
  </r>
  <r>
    <s v="DEP-A0-3923"/>
    <x v="0"/>
    <n v="48"/>
    <x v="1"/>
    <s v="Blusa"/>
    <s v="Azul"/>
    <s v="Mango"/>
    <s v="MER-A0-3923"/>
    <d v="2025-01-09T00:00:00"/>
    <x v="1"/>
    <n v="39.74"/>
    <n v="0.3"/>
    <n v="34.804000000000002"/>
    <x v="2"/>
    <s v="Sí"/>
    <d v="2025-01-09T00:00:00"/>
    <n v="0"/>
  </r>
  <r>
    <s v="DEP-A0-2872"/>
    <x v="0"/>
    <n v="61"/>
    <x v="1"/>
    <s v="Blusa"/>
    <s v="Gris"/>
    <s v="Tommy"/>
    <s v="MER-A0-2872"/>
    <d v="2025-01-08T00:00:00"/>
    <x v="1"/>
    <n v="46.26"/>
    <n v="0.1"/>
    <n v="41.727999999999994"/>
    <x v="2"/>
    <s v="Sí"/>
    <d v="2025-01-08T00:00:00"/>
    <n v="0"/>
  </r>
  <r>
    <s v="DEP-A0-0268"/>
    <x v="1"/>
    <n v="50"/>
    <x v="1"/>
    <s v="Chaqueta"/>
    <s v="Rojo"/>
    <s v="Zara"/>
    <s v="MER-A0-0268"/>
    <d v="2025-01-09T00:00:00"/>
    <x v="1"/>
    <n v="50.62"/>
    <n v="0.2"/>
    <n v="44.204999999999998"/>
    <x v="2"/>
    <s v="Sí"/>
    <d v="2025-01-09T00:00:00"/>
    <n v="0"/>
  </r>
  <r>
    <s v="DEP-A0-1498"/>
    <x v="1"/>
    <n v="39"/>
    <x v="1"/>
    <s v="Camisa"/>
    <s v="Negro"/>
    <s v="Nike"/>
    <s v="MER-A0-1498"/>
    <d v="2025-01-25T00:00:00"/>
    <x v="1"/>
    <n v="50.9"/>
    <n v="0.1"/>
    <n v="47.921999999999997"/>
    <x v="2"/>
    <s v="Sí"/>
    <d v="2025-01-25T00:00:00"/>
    <n v="0"/>
  </r>
  <r>
    <s v="DEP-A0-2361"/>
    <x v="0"/>
    <n v="51"/>
    <x v="1"/>
    <s v="Falda"/>
    <s v="Amarillo"/>
    <s v="Levis"/>
    <s v="MER-A0-2361"/>
    <d v="2025-02-13T00:00:00"/>
    <x v="1"/>
    <n v="57.4"/>
    <n v="0.1"/>
    <n v="62.19"/>
    <x v="2"/>
    <s v="Sí"/>
    <d v="2025-01-13T00:00:00"/>
    <n v="0"/>
  </r>
  <r>
    <s v="DEP-A0-4893"/>
    <x v="0"/>
    <n v="58"/>
    <x v="1"/>
    <s v="Camisa"/>
    <s v="Verde"/>
    <s v="Zara"/>
    <s v="MER-A0-4893"/>
    <d v="2025-01-28T00:00:00"/>
    <x v="1"/>
    <n v="71.92"/>
    <n v="0.2"/>
    <n v="75.176000000000002"/>
    <x v="2"/>
    <s v="Sí"/>
    <d v="2025-01-28T00:00:00"/>
    <n v="0"/>
  </r>
  <r>
    <s v="DEP-A0-2630"/>
    <x v="1"/>
    <n v="44"/>
    <x v="1"/>
    <s v="Pantalón"/>
    <s v="Amarillo"/>
    <s v="Levis"/>
    <s v="MER-A0-2630"/>
    <d v="2025-01-01T00:00:00"/>
    <x v="1"/>
    <n v="74.97"/>
    <n v="0.3"/>
    <n v="68.564999999999998"/>
    <x v="2"/>
    <s v="Sí"/>
    <d v="2025-01-01T00:00:00"/>
    <n v="0"/>
  </r>
  <r>
    <s v="DEP-A0-1384"/>
    <x v="1"/>
    <n v="64"/>
    <x v="1"/>
    <s v="Chaqueta"/>
    <s v="Negro"/>
    <s v="Puma"/>
    <s v="MER-A0-1384"/>
    <d v="2025-01-27T00:00:00"/>
    <x v="1"/>
    <n v="75.27"/>
    <n v="0"/>
    <n v="98.69"/>
    <x v="2"/>
    <s v="Sí"/>
    <d v="2025-01-27T00:00:00"/>
    <n v="0"/>
  </r>
  <r>
    <s v="DEP-A0-0375"/>
    <x v="0"/>
    <n v="50"/>
    <x v="1"/>
    <s v="Blusa"/>
    <s v="Verde"/>
    <s v="Mango"/>
    <s v="MER-A0-0375"/>
    <d v="2025-02-13T00:00:00"/>
    <x v="1"/>
    <n v="78.89"/>
    <n v="0.2"/>
    <n v="105.77"/>
    <x v="2"/>
    <s v="Sí"/>
    <d v="2025-01-13T00:00:00"/>
    <n v="0"/>
  </r>
  <r>
    <s v="DEP-A0-4813"/>
    <x v="0"/>
    <n v="56"/>
    <x v="1"/>
    <s v="Chaqueta"/>
    <s v="Gris"/>
    <s v="Mango"/>
    <s v="MER-A0-4813"/>
    <d v="2025-02-13T00:00:00"/>
    <x v="1"/>
    <n v="79.95"/>
    <n v="0.1"/>
    <n v="81.942000000000007"/>
    <x v="2"/>
    <s v="Sí"/>
    <d v="2025-01-09T00:00:00"/>
    <n v="0"/>
  </r>
  <r>
    <s v="DEP-A0-1344"/>
    <x v="0"/>
    <n v="38"/>
    <x v="1"/>
    <s v="Zapatos"/>
    <s v="Blanco"/>
    <s v="Nike"/>
    <s v="MER-A0-1344"/>
    <d v="2025-01-10T00:00:00"/>
    <x v="1"/>
    <n v="97.94"/>
    <n v="0.3"/>
    <n v="118.539"/>
    <x v="2"/>
    <s v="Sí"/>
    <d v="2025-01-10T00:00:00"/>
    <n v="0"/>
  </r>
  <r>
    <s v="DEP-A0-0868"/>
    <x v="0"/>
    <n v="55"/>
    <x v="1"/>
    <s v="Vestido"/>
    <s v="Rojo"/>
    <s v="Nike"/>
    <s v="MER-A0-0868"/>
    <d v="2025-01-03T00:00:00"/>
    <x v="1"/>
    <n v="99.14"/>
    <n v="0.2"/>
    <n v="142.22"/>
    <x v="2"/>
    <s v="Sí"/>
    <d v="2025-01-03T00:00:00"/>
    <n v="0"/>
  </r>
  <r>
    <s v="DEP-A0-2850"/>
    <x v="0"/>
    <n v="42"/>
    <x v="1"/>
    <s v="Blusa"/>
    <s v="Rojo"/>
    <s v="Mango"/>
    <s v="MER-A0-2850"/>
    <d v="2025-01-15T00:00:00"/>
    <x v="1"/>
    <n v="124.38"/>
    <n v="0.3"/>
    <n v="112.161"/>
    <x v="2"/>
    <s v="Sí"/>
    <d v="2025-01-15T00:00:00"/>
    <n v="0"/>
  </r>
  <r>
    <s v="DEP-A0-2424"/>
    <x v="1"/>
    <n v="49"/>
    <x v="1"/>
    <s v="Zapatos"/>
    <s v="Blanco"/>
    <s v="Adidas"/>
    <s v="MER-A0-2424"/>
    <d v="2025-01-09T00:00:00"/>
    <x v="1"/>
    <n v="125.2"/>
    <n v="0"/>
    <n v="136.26400000000001"/>
    <x v="2"/>
    <s v="Sí"/>
    <d v="2025-01-09T00:00:00"/>
    <n v="0"/>
  </r>
  <r>
    <s v="DEP-A0-0107"/>
    <x v="0"/>
    <n v="58"/>
    <x v="1"/>
    <s v="Falda"/>
    <s v="Gris"/>
    <s v="Levis"/>
    <s v="MER-A0-0107"/>
    <d v="2025-01-24T00:00:00"/>
    <x v="1"/>
    <n v="132.85"/>
    <n v="0.2"/>
    <n v="159.77699999999999"/>
    <x v="2"/>
    <s v="Sí"/>
    <d v="2025-01-24T00:00:00"/>
    <n v="0"/>
  </r>
  <r>
    <s v="DEP-A0-2280"/>
    <x v="0"/>
    <n v="46"/>
    <x v="1"/>
    <s v="Falda"/>
    <s v="Amarillo"/>
    <s v="Levis"/>
    <s v="MER-A0-2280"/>
    <d v="2025-02-05T00:00:00"/>
    <x v="1"/>
    <n v="23.43"/>
    <n v="0.1"/>
    <n v="144.93599999999998"/>
    <x v="2"/>
    <s v="Sí"/>
    <d v="2025-02-05T00:00:00"/>
    <n v="0"/>
  </r>
  <r>
    <s v="DEP-A0-4157"/>
    <x v="0"/>
    <n v="51"/>
    <x v="1"/>
    <s v="Vestido"/>
    <s v="Blanco"/>
    <s v="Zara"/>
    <s v="MER-A0-4157"/>
    <d v="2025-02-05T00:00:00"/>
    <x v="1"/>
    <n v="67.58"/>
    <n v="0.3"/>
    <n v="187.44"/>
    <x v="2"/>
    <s v="Sí"/>
    <d v="2025-02-05T00:00:00"/>
    <n v="0"/>
  </r>
  <r>
    <s v="DEP-A0-1520"/>
    <x v="1"/>
    <n v="64"/>
    <x v="1"/>
    <s v="Zapatos"/>
    <s v="Verde"/>
    <s v="Zara"/>
    <s v="MER-A0-1520"/>
    <d v="2025-02-05T00:00:00"/>
    <x v="1"/>
    <n v="80.53"/>
    <n v="0.3"/>
    <n v="188.89"/>
    <x v="2"/>
    <s v="Sí"/>
    <d v="2025-02-05T00:00:00"/>
    <n v="0"/>
  </r>
  <r>
    <s v="DEP-A0-2638"/>
    <x v="0"/>
    <n v="55"/>
    <x v="1"/>
    <s v="Falda"/>
    <s v="Verde"/>
    <s v="Tommy"/>
    <s v="MER-A0-2638"/>
    <d v="2025-02-05T00:00:00"/>
    <x v="1"/>
    <n v="88.95"/>
    <n v="0.2"/>
    <n v="134.20400000000001"/>
    <x v="2"/>
    <s v="Sí"/>
    <d v="2025-02-05T00:00:00"/>
    <n v="0"/>
  </r>
  <r>
    <s v="DEP-A0-3263"/>
    <x v="0"/>
    <n v="49"/>
    <x v="1"/>
    <s v="Blusa"/>
    <s v="Blanco"/>
    <s v="Tommy"/>
    <s v="MER-A0-3263"/>
    <d v="2025-02-05T00:00:00"/>
    <x v="1"/>
    <n v="91.2"/>
    <n v="0.2"/>
    <n v="9.423"/>
    <x v="2"/>
    <s v="Sí"/>
    <d v="2025-02-05T00:00:00"/>
    <n v="0"/>
  </r>
  <r>
    <s v="DEP-A0-4027"/>
    <x v="1"/>
    <n v="49"/>
    <x v="1"/>
    <s v="Zapatos"/>
    <s v="Verde"/>
    <s v="Nike"/>
    <s v="MER-A0-4027"/>
    <d v="2025-02-13T00:00:00"/>
    <x v="1"/>
    <n v="11.25"/>
    <n v="0.1"/>
    <n v="8.4909999999999997"/>
    <x v="2"/>
    <s v="Sí"/>
    <d v="2025-04-07T00:00:00"/>
    <n v="3"/>
  </r>
  <r>
    <s v="DEP-A0-4638"/>
    <x v="0"/>
    <n v="48"/>
    <x v="1"/>
    <s v="Zapatos"/>
    <s v="Negro"/>
    <s v="Nike"/>
    <s v="MER-A0-4638"/>
    <d v="2025-01-03T00:00:00"/>
    <x v="1"/>
    <n v="27.81"/>
    <n v="0.3"/>
    <n v="27.9"/>
    <x v="2"/>
    <s v="Sí"/>
    <d v="2025-04-03T00:00:00"/>
    <n v="3"/>
  </r>
  <r>
    <s v="DEP-A0-2993"/>
    <x v="0"/>
    <n v="39"/>
    <x v="1"/>
    <s v="Falda"/>
    <s v="Gris"/>
    <s v="Puma"/>
    <s v="MER-A0-2993"/>
    <d v="2025-02-13T00:00:00"/>
    <x v="1"/>
    <n v="32.75"/>
    <n v="0.1"/>
    <n v="32.935000000000002"/>
    <x v="2"/>
    <s v="Sí"/>
    <d v="2025-04-16T00:00:00"/>
    <n v="3"/>
  </r>
  <r>
    <s v="DEP-A0-3269"/>
    <x v="1"/>
    <n v="60"/>
    <x v="1"/>
    <s v="Camisa"/>
    <s v="Azul"/>
    <s v="Zara"/>
    <s v="MER-A0-3269"/>
    <d v="2025-01-14T00:00:00"/>
    <x v="1"/>
    <n v="36.57"/>
    <n v="0.2"/>
    <n v="54.42"/>
    <x v="2"/>
    <s v="Sí"/>
    <d v="2025-07-13T00:00:00"/>
    <n v="6"/>
  </r>
  <r>
    <s v="DEP-A0-3434"/>
    <x v="1"/>
    <n v="51"/>
    <x v="1"/>
    <s v="Pantalón"/>
    <s v="Blanco"/>
    <s v="Zara"/>
    <s v="MER-A0-3434"/>
    <d v="2025-01-01T00:00:00"/>
    <x v="1"/>
    <n v="74.27"/>
    <n v="0"/>
    <n v="57.75"/>
    <x v="2"/>
    <s v="Sí"/>
    <d v="2025-09-28T00:00:00"/>
    <n v="9"/>
  </r>
  <r>
    <s v="DEP-A0-1412"/>
    <x v="1"/>
    <n v="36"/>
    <x v="1"/>
    <s v="Zapatos"/>
    <s v="Gris"/>
    <s v="Puma"/>
    <s v="MER-A0-1412"/>
    <d v="2025-01-26T00:00:00"/>
    <x v="1"/>
    <n v="77.709999999999994"/>
    <n v="0.2"/>
    <n v="66.632000000000005"/>
    <x v="2"/>
    <s v="Sí"/>
    <d v="2025-10-23T00:00:00"/>
    <n v="9"/>
  </r>
  <r>
    <s v="DEP-A0-0670"/>
    <x v="0"/>
    <n v="47"/>
    <x v="1"/>
    <s v="Camisa"/>
    <s v="Gris"/>
    <s v="Zara"/>
    <s v="MER-A0-0670"/>
    <d v="2025-01-10T00:00:00"/>
    <x v="1"/>
    <n v="98.33"/>
    <n v="0.3"/>
    <n v="60.717999999999996"/>
    <x v="2"/>
    <s v="Sí"/>
    <d v="2025-07-09T00:00:00"/>
    <n v="6"/>
  </r>
  <r>
    <s v="DEP-A0-4212"/>
    <x v="0"/>
    <n v="41"/>
    <x v="1"/>
    <s v="Vestido"/>
    <s v="Verde"/>
    <s v="Levis"/>
    <s v="MER-A0-4212"/>
    <d v="2025-01-03T00:00:00"/>
    <x v="1"/>
    <n v="98.74"/>
    <n v="0.2"/>
    <n v="87.93"/>
    <x v="2"/>
    <s v="Sí"/>
    <d v="2025-09-30T00:00:00"/>
    <n v="9"/>
  </r>
  <r>
    <s v="DEP-A0-0205"/>
    <x v="0"/>
    <n v="39"/>
    <x v="1"/>
    <s v="Vestido"/>
    <s v="Negro"/>
    <s v="Nike"/>
    <s v="MER-A0-0205"/>
    <d v="2025-01-15T00:00:00"/>
    <x v="1"/>
    <n v="99.64"/>
    <n v="0.1"/>
    <n v="82.538999999999987"/>
    <x v="2"/>
    <s v="Sí"/>
    <d v="2025-07-14T00:00:00"/>
    <n v="6"/>
  </r>
  <r>
    <s v="DEP-A0-1388"/>
    <x v="1"/>
    <n v="54"/>
    <x v="1"/>
    <s v="Camisa"/>
    <s v="Verde"/>
    <s v="Tommy"/>
    <s v="MER-A0-1388"/>
    <d v="2025-01-01T00:00:00"/>
    <x v="1"/>
    <n v="124.46"/>
    <n v="0.2"/>
    <n v="95.859000000000009"/>
    <x v="2"/>
    <s v="Sí"/>
    <d v="2025-04-01T00:00:00"/>
    <n v="3"/>
  </r>
  <r>
    <s v="DEP-A0-1542"/>
    <x v="0"/>
    <n v="40"/>
    <x v="1"/>
    <s v="Falda"/>
    <s v="Verde"/>
    <s v="Tommy"/>
    <s v="MER-A0-1542"/>
    <d v="2025-01-22T00:00:00"/>
    <x v="1"/>
    <n v="130.78"/>
    <n v="0.2"/>
    <n v="101.29600000000001"/>
    <x v="2"/>
    <s v="Sí"/>
    <d v="2026-01-17T00:00:00"/>
    <n v="12"/>
  </r>
  <r>
    <s v="DEP-A0-4291"/>
    <x v="1"/>
    <n v="39"/>
    <x v="1"/>
    <s v="Chaqueta"/>
    <s v="Gris"/>
    <s v="Tommy"/>
    <s v="MER-A0-4291"/>
    <d v="2025-01-28T00:00:00"/>
    <x v="1"/>
    <n v="134.74"/>
    <n v="0.2"/>
    <n v="111.816"/>
    <x v="2"/>
    <s v="Sí"/>
    <d v="2025-04-28T00:00:00"/>
    <n v="3"/>
  </r>
  <r>
    <s v="DEP-A0-2677"/>
    <x v="0"/>
    <n v="53"/>
    <x v="1"/>
    <s v="Falda"/>
    <s v="Gris"/>
    <s v="Levis"/>
    <s v="MER-A0-2677"/>
    <d v="2025-01-08T00:00:00"/>
    <x v="1"/>
    <n v="163.5"/>
    <n v="0"/>
    <n v="144.25200000000001"/>
    <x v="2"/>
    <s v="Sí"/>
    <d v="2026-01-03T00:00:00"/>
    <n v="12"/>
  </r>
  <r>
    <s v="DEP-A0-4144"/>
    <x v="0"/>
    <n v="49"/>
    <x v="1"/>
    <s v="Camisa"/>
    <s v="Negro"/>
    <s v="Levis"/>
    <s v="MER-A0-4144"/>
    <d v="2025-01-19T00:00:00"/>
    <x v="1"/>
    <n v="178.18"/>
    <n v="0.2"/>
    <n v="174.285"/>
    <x v="2"/>
    <s v="Sí"/>
    <d v="2025-04-19T00:00:00"/>
    <n v="3"/>
  </r>
  <r>
    <s v="DEP-A0-4424"/>
    <x v="0"/>
    <n v="58"/>
    <x v="1"/>
    <s v="Vestido"/>
    <s v="Gris"/>
    <s v="Mango"/>
    <s v="MER-A0-4424"/>
    <d v="2025-01-05T00:00:00"/>
    <x v="1"/>
    <n v="178.72"/>
    <n v="0"/>
    <n v="195.31"/>
    <x v="2"/>
    <s v="Sí"/>
    <d v="2025-12-31T00:00:00"/>
    <n v="12"/>
  </r>
  <r>
    <s v="DEP-A0-1348"/>
    <x v="0"/>
    <n v="49"/>
    <x v="1"/>
    <s v="Chaqueta"/>
    <s v="Azul"/>
    <s v="Zara"/>
    <s v="MER-A0-1348"/>
    <d v="2025-01-16T00:00:00"/>
    <x v="1"/>
    <n v="183.02"/>
    <n v="0"/>
    <n v="28.75"/>
    <x v="2"/>
    <s v="Sí"/>
    <d v="2026-01-11T00:00:00"/>
    <n v="12"/>
  </r>
  <r>
    <s v="DEP-A0-1480"/>
    <x v="0"/>
    <n v="46"/>
    <x v="1"/>
    <s v="Chaqueta"/>
    <s v="Amarillo"/>
    <s v="Nike"/>
    <s v="MER-A0-1480"/>
    <d v="2025-02-13T00:00:00"/>
    <x v="1"/>
    <n v="185.71"/>
    <n v="0.3"/>
    <n v="31.571999999999999"/>
    <x v="2"/>
    <s v="Sí"/>
    <d v="2025-04-06T00:00:00"/>
    <n v="3"/>
  </r>
  <r>
    <s v="DEP-A0-0257"/>
    <x v="0"/>
    <n v="64"/>
    <x v="1"/>
    <s v="Falda"/>
    <s v="Amarillo"/>
    <s v="Nike"/>
    <s v="MER-A0-0257"/>
    <d v="2025-02-13T00:00:00"/>
    <x v="1"/>
    <n v="196.63"/>
    <n v="0"/>
    <n v="41.265000000000001"/>
    <x v="2"/>
    <s v="Sí"/>
    <d v="2026-01-08T00:00:00"/>
    <n v="12"/>
  </r>
  <r>
    <s v="DEP-A0-2275"/>
    <x v="0"/>
    <n v="53"/>
    <x v="1"/>
    <s v="Camisa"/>
    <s v="Azul"/>
    <s v="Zara"/>
    <s v="MER-A0-2275"/>
    <d v="2025-01-02T00:00:00"/>
    <x v="1"/>
    <n v="199.59"/>
    <n v="0.1"/>
    <n v="43.024000000000001"/>
    <x v="2"/>
    <s v="Sí"/>
    <d v="2025-12-28T00:00:00"/>
    <n v="12"/>
  </r>
  <r>
    <s v="DEP-A0-1975"/>
    <x v="1"/>
    <n v="44"/>
    <x v="1"/>
    <s v="Zapatos"/>
    <s v="Negro"/>
    <s v="Puma"/>
    <s v="MER-A0-1975"/>
    <d v="2025-02-01T00:00:00"/>
    <x v="1"/>
    <n v="67.58"/>
    <n v="0.2"/>
    <n v="54.92"/>
    <x v="2"/>
    <s v="Sí"/>
    <d v="2025-10-29T00:00:00"/>
    <n v="9"/>
  </r>
  <r>
    <s v="DEP-A0-1332"/>
    <x v="0"/>
    <n v="61"/>
    <x v="1"/>
    <s v="Blusa"/>
    <s v="Verde"/>
    <s v="Mango"/>
    <s v="MER-A0-1332"/>
    <d v="2025-02-01T00:00:00"/>
    <x v="1"/>
    <n v="199.3"/>
    <n v="0"/>
    <n v="86.99199999999999"/>
    <x v="2"/>
    <s v="Sí"/>
    <d v="2025-05-02T00:00:00"/>
    <n v="3"/>
  </r>
  <r>
    <s v="DEP-A0-4587"/>
    <x v="0"/>
    <n v="39"/>
    <x v="1"/>
    <s v="Chaqueta"/>
    <s v="Blanco"/>
    <s v="Levis"/>
    <s v="MER-A0-4587"/>
    <d v="2025-02-02T00:00:00"/>
    <x v="1"/>
    <n v="37.74"/>
    <n v="0.1"/>
    <n v="79.169999999999987"/>
    <x v="2"/>
    <s v="Sí"/>
    <d v="2025-08-01T00:00:00"/>
    <n v="6"/>
  </r>
  <r>
    <s v="DEP-A0-4509"/>
    <x v="1"/>
    <n v="46"/>
    <x v="1"/>
    <s v="Camisa"/>
    <s v="Negro"/>
    <s v="Zara"/>
    <s v="MER-A0-4509"/>
    <d v="2025-02-02T00:00:00"/>
    <x v="1"/>
    <n v="64.61"/>
    <n v="0.1"/>
    <n v="86.744"/>
    <x v="2"/>
    <s v="Sí"/>
    <d v="2025-10-30T00:00:00"/>
    <n v="9"/>
  </r>
  <r>
    <s v="DEP-A0-2012"/>
    <x v="0"/>
    <n v="49"/>
    <x v="1"/>
    <s v="Zapatos"/>
    <s v="Rojo"/>
    <s v="Mango"/>
    <s v="MER-A0-2012"/>
    <d v="2025-02-02T00:00:00"/>
    <x v="1"/>
    <n v="123.59"/>
    <n v="0.1"/>
    <n v="110"/>
    <x v="2"/>
    <s v="Sí"/>
    <d v="2025-10-30T00:00:00"/>
    <n v="9"/>
  </r>
  <r>
    <s v="DEP-A0-0872"/>
    <x v="1"/>
    <n v="37"/>
    <x v="1"/>
    <s v="Camisa"/>
    <s v="Azul"/>
    <s v="Levis"/>
    <s v="MER-A0-0872"/>
    <d v="2025-02-02T00:00:00"/>
    <x v="1"/>
    <n v="125.17"/>
    <n v="0.3"/>
    <n v="113.104"/>
    <x v="2"/>
    <s v="Sí"/>
    <d v="2025-10-30T00:00:00"/>
    <n v="9"/>
  </r>
  <r>
    <s v="DEP-A0-3214"/>
    <x v="1"/>
    <n v="44"/>
    <x v="1"/>
    <s v="Zapatos"/>
    <s v="Blanco"/>
    <s v="Zara"/>
    <s v="MER-A0-3214"/>
    <d v="2025-02-03T00:00:00"/>
    <x v="1"/>
    <n v="133.72"/>
    <n v="0.1"/>
    <n v="133.29"/>
    <x v="2"/>
    <s v="Sí"/>
    <d v="2025-05-04T00:00:00"/>
    <n v="3"/>
  </r>
  <r>
    <s v="DEP-A0-1463"/>
    <x v="1"/>
    <n v="39"/>
    <x v="1"/>
    <s v="Zapatos"/>
    <s v="Rojo"/>
    <s v="Nike"/>
    <s v="MER-A0-1463"/>
    <d v="2025-02-05T00:00:00"/>
    <x v="1"/>
    <n v="75.08"/>
    <n v="0.3"/>
    <n v="148.32000000000002"/>
    <x v="2"/>
    <s v="Sí"/>
    <d v="2025-05-06T00:00:00"/>
    <n v="3"/>
  </r>
  <r>
    <s v="DEP-A0-3287"/>
    <x v="0"/>
    <n v="50"/>
    <x v="1"/>
    <s v="Blusa"/>
    <s v="Amarillo"/>
    <s v="Adidas"/>
    <s v="MER-A0-3287"/>
    <d v="2025-02-08T00:00:00"/>
    <x v="1"/>
    <n v="55"/>
    <n v="0.3"/>
    <n v="133.16800000000001"/>
    <x v="2"/>
    <s v="Sí"/>
    <d v="2025-11-05T00:00:00"/>
    <n v="9"/>
  </r>
  <r>
    <s v="DEP-A0-4496"/>
    <x v="1"/>
    <n v="44"/>
    <x v="1"/>
    <s v="Camisa"/>
    <s v="Gris"/>
    <s v="Puma"/>
    <s v="MER-A0-4496"/>
    <d v="2025-02-09T00:00:00"/>
    <x v="1"/>
    <n v="99.42"/>
    <n v="0.1"/>
    <n v="137.94400000000002"/>
    <x v="2"/>
    <s v="Sí"/>
    <d v="2025-08-08T00:00:00"/>
    <n v="6"/>
  </r>
  <r>
    <s v="DEP-A0-0636"/>
    <x v="0"/>
    <n v="63"/>
    <x v="1"/>
    <s v="Zapatos"/>
    <s v="Verde"/>
    <s v="Puma"/>
    <s v="MER-A0-0636"/>
    <d v="2025-02-09T00:00:00"/>
    <x v="1"/>
    <n v="148.47999999999999"/>
    <n v="0.1"/>
    <n v="172.52"/>
    <x v="2"/>
    <s v="Sí"/>
    <d v="2025-08-08T00:00:00"/>
    <n v="6"/>
  </r>
  <r>
    <s v="DEP-A0-2739"/>
    <x v="0"/>
    <n v="55"/>
    <x v="1"/>
    <s v="Camisa"/>
    <s v="Negro"/>
    <s v="Nike"/>
    <s v="MER-A0-2739"/>
    <d v="2025-02-10T00:00:00"/>
    <x v="1"/>
    <n v="67.150000000000006"/>
    <n v="0.1"/>
    <n v="120.953"/>
    <x v="2"/>
    <s v="Sí"/>
    <d v="2025-11-07T00:00:00"/>
    <n v="9"/>
  </r>
  <r>
    <s v="DEP-A0-2314"/>
    <x v="1"/>
    <n v="55"/>
    <x v="1"/>
    <s v="Pantalón"/>
    <s v="Rojo"/>
    <s v="Adidas"/>
    <s v="MER-A0-2314"/>
    <d v="2025-02-10T00:00:00"/>
    <x v="1"/>
    <n v="99.15"/>
    <n v="0.3"/>
    <n v="139.91199999999998"/>
    <x v="2"/>
    <s v="Sí"/>
    <d v="2026-02-05T00:00:00"/>
    <n v="12"/>
  </r>
  <r>
    <s v="DEP-A0-4674"/>
    <x v="0"/>
    <n v="38"/>
    <x v="1"/>
    <s v="Falda"/>
    <s v="Negro"/>
    <s v="Nike"/>
    <s v="MER-A0-4674"/>
    <d v="2025-02-11T00:00:00"/>
    <x v="1"/>
    <n v="105.72"/>
    <n v="0.1"/>
    <n v="122.99700000000001"/>
    <x v="2"/>
    <s v="Sí"/>
    <d v="2025-05-12T00:00:00"/>
    <n v="3"/>
  </r>
  <r>
    <s v="DEP-A0-0994"/>
    <x v="0"/>
    <n v="37"/>
    <x v="1"/>
    <s v="Pantalón"/>
    <s v="Azul"/>
    <s v="Adidas"/>
    <s v="MER-A0-0994"/>
    <d v="2025-02-12T00:00:00"/>
    <x v="1"/>
    <n v="57.65"/>
    <n v="0"/>
    <n v="123.977"/>
    <x v="2"/>
    <s v="Sí"/>
    <d v="2025-11-09T00:00:00"/>
    <n v="9"/>
  </r>
  <r>
    <s v="DEP-A0-0442"/>
    <x v="0"/>
    <n v="54"/>
    <x v="1"/>
    <s v="Zapatos"/>
    <s v="Gris"/>
    <s v="Adidas"/>
    <s v="MER-A0-0442"/>
    <d v="2025-02-14T00:00:00"/>
    <x v="1"/>
    <n v="193.35"/>
    <n v="0"/>
    <n v="29"/>
    <x v="2"/>
    <s v="Sí"/>
    <d v="2025-05-15T00:00:00"/>
    <n v="3"/>
  </r>
  <r>
    <s v="DEP-A0-4818"/>
    <x v="0"/>
    <n v="45"/>
    <x v="1"/>
    <s v="Vestido"/>
    <s v="Blanco"/>
    <s v="Nike"/>
    <s v="MER-A0-4818"/>
    <d v="2025-02-15T00:00:00"/>
    <x v="1"/>
    <n v="38.049999999999997"/>
    <n v="0.2"/>
    <n v="88.299000000000007"/>
    <x v="2"/>
    <s v="Sí"/>
    <d v="2025-05-16T00:00:00"/>
    <n v="3"/>
  </r>
  <r>
    <s v="DEP-A0-1559"/>
    <x v="1"/>
    <n v="55"/>
    <x v="1"/>
    <s v="Camisa"/>
    <s v="Negro"/>
    <s v="Zara"/>
    <s v="MER-A0-1559"/>
    <d v="2025-02-15T00:00:00"/>
    <x v="1"/>
    <n v="165.8"/>
    <n v="0.1"/>
    <n v="92.015999999999991"/>
    <x v="2"/>
    <s v="Sí"/>
    <d v="2025-08-14T00:00:00"/>
    <n v="6"/>
  </r>
  <r>
    <s v="DEP-A0-4897"/>
    <x v="1"/>
    <n v="47"/>
    <x v="1"/>
    <s v="Chaqueta"/>
    <s v="Amarillo"/>
    <s v="Levis"/>
    <s v="MER-A0-4897"/>
    <d v="2025-02-17T00:00:00"/>
    <x v="1"/>
    <n v="174.94"/>
    <n v="0.3"/>
    <n v="105.87"/>
    <x v="2"/>
    <s v="Sí"/>
    <d v="2025-08-16T00:00:00"/>
    <n v="6"/>
  </r>
  <r>
    <s v="DEP-A0-0631"/>
    <x v="0"/>
    <n v="64"/>
    <x v="1"/>
    <s v="Falda"/>
    <s v="Gris"/>
    <s v="Mango"/>
    <s v="MER-A0-0631"/>
    <d v="2025-02-18T00:00:00"/>
    <x v="1"/>
    <n v="86.69"/>
    <n v="0"/>
    <n v="140.31"/>
    <x v="2"/>
    <s v="Sí"/>
    <d v="2025-08-17T00:00:00"/>
    <n v="6"/>
  </r>
  <r>
    <s v="DEP-A0-2041"/>
    <x v="1"/>
    <n v="36"/>
    <x v="1"/>
    <s v="Zapatos"/>
    <s v="Azul"/>
    <s v="Tommy"/>
    <s v="MER-A0-2041"/>
    <d v="2025-02-18T00:00:00"/>
    <x v="1"/>
    <n v="181.47"/>
    <n v="0.1"/>
    <n v="148.59200000000001"/>
    <x v="2"/>
    <s v="Sí"/>
    <d v="2025-11-15T00:00:00"/>
    <n v="9"/>
  </r>
  <r>
    <s v="DEP-A0-3929"/>
    <x v="0"/>
    <n v="57"/>
    <x v="1"/>
    <s v="Blusa"/>
    <s v="Azul"/>
    <s v="Tommy"/>
    <s v="MER-A0-3929"/>
    <d v="2025-02-19T00:00:00"/>
    <x v="1"/>
    <n v="110.38"/>
    <n v="0.1"/>
    <n v="188.27"/>
    <x v="2"/>
    <s v="Sí"/>
    <d v="2025-11-16T00:00:00"/>
    <n v="9"/>
  </r>
  <r>
    <s v="DEP-A0-4909"/>
    <x v="0"/>
    <n v="40"/>
    <x v="1"/>
    <s v="Zapatos"/>
    <s v="Blanco"/>
    <s v="Tommy"/>
    <s v="MER-A0-4909"/>
    <d v="2025-02-20T00:00:00"/>
    <x v="1"/>
    <n v="45.3"/>
    <n v="0.2"/>
    <n v="193.16"/>
    <x v="2"/>
    <s v="Sí"/>
    <d v="2025-11-17T00:00:00"/>
    <n v="9"/>
  </r>
  <r>
    <s v="DEP-A0-2866"/>
    <x v="1"/>
    <n v="65"/>
    <x v="1"/>
    <s v="Chaqueta"/>
    <s v="Negro"/>
    <s v="Levis"/>
    <s v="MER-A0-2866"/>
    <d v="2025-02-21T00:00:00"/>
    <x v="1"/>
    <n v="35.07"/>
    <n v="0.3"/>
    <n v="27.189"/>
    <x v="2"/>
    <s v="Sí"/>
    <d v="2026-02-16T00:00:00"/>
    <n v="12"/>
  </r>
  <r>
    <s v="DEP-A0-0171"/>
    <x v="0"/>
    <n v="50"/>
    <x v="1"/>
    <s v="Blusa"/>
    <s v="Negro"/>
    <s v="Adidas"/>
    <s v="MER-A0-0171"/>
    <d v="2025-02-21T00:00:00"/>
    <x v="1"/>
    <n v="132.63"/>
    <n v="0.2"/>
    <n v="37.499000000000002"/>
    <x v="2"/>
    <s v="Sí"/>
    <d v="2026-02-16T00:00:00"/>
    <n v="12"/>
  </r>
  <r>
    <s v="DEP-A0-4417"/>
    <x v="1"/>
    <n v="41"/>
    <x v="1"/>
    <s v="Pantalón"/>
    <s v="Blanco"/>
    <s v="Nike"/>
    <s v="MER-A0-4417"/>
    <d v="2025-02-23T00:00:00"/>
    <x v="1"/>
    <n v="56.16"/>
    <n v="0.3"/>
    <n v="45.262"/>
    <x v="2"/>
    <s v="Sí"/>
    <d v="2025-11-20T00:00:00"/>
    <n v="9"/>
  </r>
  <r>
    <s v="DEP-A0-0159"/>
    <x v="0"/>
    <n v="51"/>
    <x v="1"/>
    <s v="Falda"/>
    <s v="Amarillo"/>
    <s v="Puma"/>
    <s v="MER-A0-0159"/>
    <d v="2025-02-23T00:00:00"/>
    <x v="1"/>
    <n v="69.34"/>
    <n v="0.2"/>
    <n v="67.424000000000007"/>
    <x v="2"/>
    <s v="Sí"/>
    <d v="2025-11-20T00:00:00"/>
    <n v="9"/>
  </r>
  <r>
    <s v="DEP-A0-2889"/>
    <x v="0"/>
    <n v="36"/>
    <x v="1"/>
    <s v="Zapatos"/>
    <s v="Blanco"/>
    <s v="Adidas"/>
    <s v="MER-A0-2889"/>
    <d v="2025-02-24T00:00:00"/>
    <x v="1"/>
    <n v="76.849999999999994"/>
    <n v="0.1"/>
    <n v="108.846"/>
    <x v="2"/>
    <s v="Sí"/>
    <d v="2025-08-23T00:00:00"/>
    <n v="6"/>
  </r>
  <r>
    <s v="DEP-A0-4863"/>
    <x v="0"/>
    <n v="45"/>
    <x v="1"/>
    <s v="Blusa"/>
    <s v="Blanco"/>
    <s v="Zara"/>
    <s v="MER-A0-4863"/>
    <d v="2025-02-25T00:00:00"/>
    <x v="1"/>
    <n v="119.99"/>
    <n v="0"/>
    <n v="13.46"/>
    <x v="2"/>
    <s v="Sí"/>
    <d v="2026-02-20T00:00:00"/>
    <n v="12"/>
  </r>
  <r>
    <s v="DEP-A0-2053"/>
    <x v="1"/>
    <n v="58"/>
    <x v="1"/>
    <s v="Chaqueta"/>
    <s v="Azul"/>
    <s v="Puma"/>
    <s v="MER-A0-2053"/>
    <d v="2025-02-27T00:00:00"/>
    <x v="1"/>
    <n v="171.24"/>
    <n v="0.3"/>
    <n v="11.402999999999999"/>
    <x v="2"/>
    <s v="Sí"/>
    <d v="2025-05-28T00:00:00"/>
    <n v="3"/>
  </r>
  <r>
    <s v="DEP-A0-2542"/>
    <x v="0"/>
    <n v="51"/>
    <x v="1"/>
    <s v="Falda"/>
    <s v="Amarillo"/>
    <s v="Zara"/>
    <s v="MER-A0-2542"/>
    <d v="2025-02-28T00:00:00"/>
    <x v="1"/>
    <n v="25.91"/>
    <n v="0.1"/>
    <n v="14.559999999999999"/>
    <x v="2"/>
    <s v="Sí"/>
    <d v="2025-08-27T00:00:00"/>
    <n v="6"/>
  </r>
  <r>
    <s v="DEP-A0-4210"/>
    <x v="0"/>
    <n v="45"/>
    <x v="1"/>
    <s v="Blusa"/>
    <s v="Amarillo"/>
    <s v="Adidas"/>
    <s v="MER-A0-4210"/>
    <d v="2025-02-28T00:00:00"/>
    <x v="1"/>
    <n v="170.94"/>
    <n v="0.1"/>
    <n v="14.632"/>
    <x v="2"/>
    <s v="Sí"/>
    <d v="2026-02-23T00:00:00"/>
    <n v="12"/>
  </r>
  <r>
    <s v="DEP-A0-1672"/>
    <x v="0"/>
    <n v="44"/>
    <x v="1"/>
    <s v="Blusa"/>
    <s v="Azul"/>
    <s v="Tommy"/>
    <s v="MER-A0-1672"/>
    <d v="2025-03-16T00:00:00"/>
    <x v="1"/>
    <n v="19.07"/>
    <n v="0.2"/>
    <n v="18.047999999999998"/>
    <x v="2"/>
    <s v="Sí"/>
    <d v="2025-12-11T00:00:00"/>
    <n v="9"/>
  </r>
  <r>
    <s v="DEP-A0-1772"/>
    <x v="0"/>
    <n v="64"/>
    <x v="1"/>
    <s v="Blusa"/>
    <s v="Azul"/>
    <s v="Nike"/>
    <s v="MER-A0-1772"/>
    <d v="2025-03-13T00:00:00"/>
    <x v="1"/>
    <n v="23.66"/>
    <n v="0.2"/>
    <n v="17.073"/>
    <x v="2"/>
    <s v="Sí"/>
    <d v="2025-09-09T00:00:00"/>
    <n v="6"/>
  </r>
  <r>
    <s v="DEP-A0-1583"/>
    <x v="1"/>
    <n v="51"/>
    <x v="1"/>
    <s v="Pantalón"/>
    <s v="Azul"/>
    <s v="Mango"/>
    <s v="MER-A0-1583"/>
    <d v="2025-03-14T00:00:00"/>
    <x v="1"/>
    <n v="33.72"/>
    <n v="0.2"/>
    <n v="27.818000000000001"/>
    <x v="2"/>
    <s v="Sí"/>
    <d v="2025-12-09T00:00:00"/>
    <n v="9"/>
  </r>
  <r>
    <s v="DEP-A0-2817"/>
    <x v="0"/>
    <n v="55"/>
    <x v="1"/>
    <s v="Pantalón"/>
    <s v="Azul"/>
    <s v="Tommy"/>
    <s v="MER-A0-2817"/>
    <d v="2025-03-18T00:00:00"/>
    <x v="1"/>
    <n v="33.93"/>
    <n v="0.2"/>
    <n v="41.634"/>
    <x v="2"/>
    <s v="Sí"/>
    <d v="2025-09-14T00:00:00"/>
    <n v="6"/>
  </r>
  <r>
    <s v="DEP-A0-3276"/>
    <x v="0"/>
    <n v="49"/>
    <x v="1"/>
    <s v="Pantalón"/>
    <s v="Amarillo"/>
    <s v="Levis"/>
    <s v="MER-A0-3276"/>
    <d v="2025-03-28T00:00:00"/>
    <x v="1"/>
    <n v="35.74"/>
    <n v="0.3"/>
    <n v="40.495999999999995"/>
    <x v="2"/>
    <s v="Sí"/>
    <d v="2025-06-26T00:00:00"/>
    <n v="3"/>
  </r>
  <r>
    <s v="DEP-A0-4430"/>
    <x v="1"/>
    <n v="43"/>
    <x v="1"/>
    <s v="Camisa"/>
    <s v="Azul"/>
    <s v="Puma"/>
    <s v="MER-A0-4430"/>
    <d v="2025-03-04T00:00:00"/>
    <x v="1"/>
    <n v="39.79"/>
    <n v="0.1"/>
    <n v="51.66"/>
    <x v="2"/>
    <s v="Sí"/>
    <d v="2025-11-29T00:00:00"/>
    <n v="9"/>
  </r>
  <r>
    <s v="DEP-A0-1744"/>
    <x v="1"/>
    <n v="47"/>
    <x v="1"/>
    <s v="Pantalón"/>
    <s v="Verde"/>
    <s v="Puma"/>
    <s v="MER-A0-1744"/>
    <d v="2025-03-09T00:00:00"/>
    <x v="1"/>
    <n v="48.94"/>
    <n v="0"/>
    <n v="57.536000000000001"/>
    <x v="2"/>
    <s v="Sí"/>
    <d v="2025-06-07T00:00:00"/>
    <n v="3"/>
  </r>
  <r>
    <s v="DEP-A0-4766"/>
    <x v="0"/>
    <n v="45"/>
    <x v="1"/>
    <s v="Falda"/>
    <s v="Verde"/>
    <s v="Puma"/>
    <s v="MER-A0-4766"/>
    <d v="2025-03-26T00:00:00"/>
    <x v="1"/>
    <n v="50"/>
    <n v="0.1"/>
    <n v="52.478999999999999"/>
    <x v="2"/>
    <s v="Sí"/>
    <d v="2025-06-24T00:00:00"/>
    <n v="3"/>
  </r>
  <r>
    <s v="DEP-A0-0440"/>
    <x v="1"/>
    <n v="48"/>
    <x v="1"/>
    <s v="Pantalón"/>
    <s v="Negro"/>
    <s v="Adidas"/>
    <s v="MER-A0-0440"/>
    <d v="2025-03-07T00:00:00"/>
    <x v="1"/>
    <n v="56.21"/>
    <n v="0.1"/>
    <n v="63.112000000000002"/>
    <x v="2"/>
    <s v="Sí"/>
    <d v="2026-03-02T00:00:00"/>
    <n v="12"/>
  </r>
  <r>
    <s v="DEP-A0-0541"/>
    <x v="0"/>
    <n v="48"/>
    <x v="1"/>
    <s v="Chaqueta"/>
    <s v="Negro"/>
    <s v="Puma"/>
    <s v="MER-A0-0541"/>
    <d v="2025-03-30T00:00:00"/>
    <x v="1"/>
    <n v="63.67"/>
    <n v="0.2"/>
    <n v="71.954999999999998"/>
    <x v="2"/>
    <s v="Sí"/>
    <d v="2025-09-26T00:00:00"/>
    <n v="6"/>
  </r>
  <r>
    <s v="DEP-A0-1529"/>
    <x v="0"/>
    <n v="58"/>
    <x v="1"/>
    <s v="Chaqueta"/>
    <s v="Azul"/>
    <s v="Mango"/>
    <s v="MER-A0-1529"/>
    <d v="2025-03-06T00:00:00"/>
    <x v="1"/>
    <n v="76.03"/>
    <n v="0.2"/>
    <n v="125.2"/>
    <x v="2"/>
    <s v="Sí"/>
    <d v="2025-09-02T00:00:00"/>
    <n v="6"/>
  </r>
  <r>
    <s v="DEP-A0-3333"/>
    <x v="0"/>
    <n v="55"/>
    <x v="1"/>
    <s v="Camisa"/>
    <s v="Gris"/>
    <s v="Mango"/>
    <s v="MER-A0-3333"/>
    <d v="2025-03-08T00:00:00"/>
    <x v="1"/>
    <n v="80.7"/>
    <n v="0.1"/>
    <n v="106.28"/>
    <x v="2"/>
    <s v="Sí"/>
    <d v="2025-12-03T00:00:00"/>
    <n v="9"/>
  </r>
  <r>
    <s v="DEP-A0-4445"/>
    <x v="0"/>
    <n v="45"/>
    <x v="1"/>
    <s v="Pantalón"/>
    <s v="Negro"/>
    <s v="Mango"/>
    <s v="MER-A0-4445"/>
    <d v="2025-03-17T00:00:00"/>
    <x v="1"/>
    <n v="80.91"/>
    <n v="0.1"/>
    <n v="21.087"/>
    <x v="2"/>
    <s v="Sí"/>
    <d v="2025-09-13T00:00:00"/>
    <n v="6"/>
  </r>
  <r>
    <s v="DEP-A0-0172"/>
    <x v="0"/>
    <n v="44"/>
    <x v="1"/>
    <s v="Pantalón"/>
    <s v="Verde"/>
    <s v="Levis"/>
    <s v="MER-A0-0172"/>
    <d v="2025-03-04T00:00:00"/>
    <x v="1"/>
    <n v="82.93"/>
    <n v="0.1"/>
    <n v="56.371000000000002"/>
    <x v="2"/>
    <s v="Sí"/>
    <d v="2025-08-31T00:00:00"/>
    <n v="6"/>
  </r>
  <r>
    <s v="DEP-A0-0945"/>
    <x v="1"/>
    <n v="64"/>
    <x v="1"/>
    <s v="Pantalón"/>
    <s v="Verde"/>
    <s v="Mango"/>
    <s v="MER-A0-0945"/>
    <d v="2025-03-02T00:00:00"/>
    <x v="1"/>
    <n v="97.22"/>
    <n v="0"/>
    <n v="72.960000000000008"/>
    <x v="2"/>
    <s v="Sí"/>
    <d v="2026-02-25T00:00:00"/>
    <n v="12"/>
  </r>
  <r>
    <s v="DEP-A0-4765"/>
    <x v="1"/>
    <n v="56"/>
    <x v="1"/>
    <s v="Chaqueta"/>
    <s v="Azul"/>
    <s v="Nike"/>
    <s v="MER-A0-4765"/>
    <d v="2025-03-26T00:00:00"/>
    <x v="1"/>
    <n v="97.37"/>
    <n v="0.3"/>
    <n v="10.125"/>
    <x v="2"/>
    <s v="Sí"/>
    <d v="2025-09-22T00:00:00"/>
    <n v="6"/>
  </r>
  <r>
    <s v="DEP-A0-2295"/>
    <x v="0"/>
    <n v="48"/>
    <x v="1"/>
    <s v="Falda"/>
    <s v="Rojo"/>
    <s v="Tommy"/>
    <s v="MER-A0-2295"/>
    <d v="2025-03-26T00:00:00"/>
    <x v="1"/>
    <n v="113.98"/>
    <n v="0"/>
    <n v="29.475000000000001"/>
    <x v="2"/>
    <s v="Sí"/>
    <d v="2025-09-22T00:00:00"/>
    <n v="6"/>
  </r>
  <r>
    <s v="DEP-A0-1252"/>
    <x v="1"/>
    <n v="65"/>
    <x v="1"/>
    <s v="Pantalón"/>
    <s v="Blanco"/>
    <s v="Nike"/>
    <s v="MER-A0-1252"/>
    <d v="2025-03-20T00:00:00"/>
    <x v="1"/>
    <n v="117.9"/>
    <n v="0.3"/>
    <n v="74.27"/>
    <x v="2"/>
    <s v="Sí"/>
    <d v="2026-03-15T00:00:00"/>
    <n v="12"/>
  </r>
  <r>
    <s v="DEP-A0-4312"/>
    <x v="0"/>
    <n v="45"/>
    <x v="1"/>
    <s v="Blusa"/>
    <s v="Amarillo"/>
    <s v="Puma"/>
    <s v="MER-A0-4312"/>
    <d v="2025-03-16T00:00:00"/>
    <x v="1"/>
    <n v="138.47"/>
    <n v="0.3"/>
    <n v="78.99199999999999"/>
    <x v="2"/>
    <s v="Sí"/>
    <d v="2025-06-14T00:00:00"/>
    <n v="3"/>
  </r>
  <r>
    <s v="DEP-A0-4923"/>
    <x v="0"/>
    <n v="36"/>
    <x v="1"/>
    <s v="Chaqueta"/>
    <s v="Negro"/>
    <s v="Nike"/>
    <s v="MER-A0-4923"/>
    <d v="2025-03-22T00:00:00"/>
    <x v="1"/>
    <n v="140.77000000000001"/>
    <n v="0.1"/>
    <n v="89.676000000000002"/>
    <x v="2"/>
    <s v="Sí"/>
    <d v="2025-09-18T00:00:00"/>
    <n v="6"/>
  </r>
  <r>
    <s v="DEP-A0-1587"/>
    <x v="0"/>
    <n v="52"/>
    <x v="1"/>
    <s v="Blusa"/>
    <s v="Amarillo"/>
    <s v="Zara"/>
    <s v="MER-A0-1587"/>
    <d v="2025-03-11T00:00:00"/>
    <x v="1"/>
    <n v="142.4"/>
    <n v="0"/>
    <n v="99.567999999999998"/>
    <x v="2"/>
    <s v="Sí"/>
    <d v="2025-06-09T00:00:00"/>
    <n v="3"/>
  </r>
  <r>
    <s v="DEP-A0-2705"/>
    <x v="1"/>
    <n v="60"/>
    <x v="1"/>
    <s v="Chaqueta"/>
    <s v="Rojo"/>
    <s v="Levis"/>
    <s v="MER-A0-2705"/>
    <d v="2025-03-17T00:00:00"/>
    <x v="1"/>
    <n v="142.47"/>
    <n v="0.1"/>
    <n v="104.624"/>
    <x v="2"/>
    <s v="Sí"/>
    <d v="2025-09-13T00:00:00"/>
    <n v="6"/>
  </r>
  <r>
    <s v="DEP-A0-2836"/>
    <x v="0"/>
    <n v="56"/>
    <x v="1"/>
    <s v="Chaqueta"/>
    <s v="Gris"/>
    <s v="Zara"/>
    <s v="MER-A0-2836"/>
    <d v="2025-03-19T00:00:00"/>
    <x v="1"/>
    <n v="168.83"/>
    <n v="0.2"/>
    <n v="183.02"/>
    <x v="2"/>
    <s v="Sí"/>
    <d v="2026-03-14T00:00:00"/>
    <n v="12"/>
  </r>
  <r>
    <s v="DEP-A0-2243"/>
    <x v="0"/>
    <n v="58"/>
    <x v="1"/>
    <s v="Camisa"/>
    <s v="Verde"/>
    <s v="Mango"/>
    <s v="MER-A0-2243"/>
    <d v="2025-03-05T00:00:00"/>
    <x v="1"/>
    <n v="170.25"/>
    <n v="0"/>
    <n v="129.99700000000001"/>
    <x v="2"/>
    <s v="Sí"/>
    <d v="2025-09-01T00:00:00"/>
    <n v="6"/>
  </r>
  <r>
    <s v="DEP-A0-1613"/>
    <x v="1"/>
    <n v="47"/>
    <x v="1"/>
    <s v="Zapatos"/>
    <s v="Amarillo"/>
    <s v="Levis"/>
    <s v="MER-A0-1613"/>
    <d v="2025-03-19T00:00:00"/>
    <x v="1"/>
    <n v="173.4"/>
    <n v="0"/>
    <n v="179.631"/>
    <x v="2"/>
    <s v="Sí"/>
    <d v="2025-12-14T00:00:00"/>
    <n v="9"/>
  </r>
  <r>
    <s v="DEP-A0-3477"/>
    <x v="1"/>
    <n v="53"/>
    <x v="1"/>
    <s v="Camisa"/>
    <s v="Rojo"/>
    <s v="Puma"/>
    <s v="MER-A0-3477"/>
    <d v="2025-03-25T00:00:00"/>
    <x v="1"/>
    <n v="182.63"/>
    <n v="0"/>
    <n v="199.3"/>
    <x v="2"/>
    <s v="Sí"/>
    <d v="2025-12-20T00:00:00"/>
    <n v="9"/>
  </r>
  <r>
    <s v="DEP-A0-4020"/>
    <x v="0"/>
    <n v="38"/>
    <x v="1"/>
    <s v="Pantalón"/>
    <s v="Amarillo"/>
    <s v="Nike"/>
    <s v="MER-A0-4020"/>
    <d v="2025-03-26T00:00:00"/>
    <x v="1"/>
    <n v="190.42"/>
    <n v="0.1"/>
    <n v="33.966000000000001"/>
    <x v="2"/>
    <s v="Sí"/>
    <d v="2025-12-21T00:00:00"/>
    <n v="9"/>
  </r>
  <r>
    <s v="DEP-A0-3123"/>
    <x v="0"/>
    <n v="57"/>
    <x v="1"/>
    <s v="Chaqueta"/>
    <s v="Gris"/>
    <s v="Zara"/>
    <s v="MER-A0-3123"/>
    <d v="2025-03-09T00:00:00"/>
    <x v="1"/>
    <n v="190.95"/>
    <n v="0.1"/>
    <n v="58.149000000000001"/>
    <x v="2"/>
    <s v="Sí"/>
    <d v="2025-12-04T00:00:00"/>
    <n v="9"/>
  </r>
  <r>
    <s v="DEP-A0-4750"/>
    <x v="0"/>
    <n v="37"/>
    <x v="1"/>
    <s v="Vestido"/>
    <s v="Azul"/>
    <s v="Tommy"/>
    <s v="MER-A0-4750"/>
    <d v="2025-03-05T00:00:00"/>
    <x v="1"/>
    <n v="193.62"/>
    <n v="0.3"/>
    <n v="111.23099999999999"/>
    <x v="2"/>
    <s v="Sí"/>
    <d v="2026-02-28T00:00:00"/>
    <n v="12"/>
  </r>
  <r>
    <s v="DEP-A0-0737"/>
    <x v="0"/>
    <n v="42"/>
    <x v="1"/>
    <s v="Falda"/>
    <s v="Negro"/>
    <s v="Tommy"/>
    <s v="MER-A0-0737"/>
    <d v="2025-03-30T00:00:00"/>
    <x v="1"/>
    <n v="194.31"/>
    <n v="0"/>
    <n v="87.619"/>
    <x v="2"/>
    <s v="Sí"/>
    <d v="2025-06-28T00:00:00"/>
    <n v="3"/>
  </r>
  <r>
    <s v="DEP-A0-2469"/>
    <x v="0"/>
    <n v="37"/>
    <x v="1"/>
    <s v="Blusa"/>
    <s v="Negro"/>
    <s v="Nike"/>
    <s v="MER-A0-2469"/>
    <d v="2025-04-12T00:00:00"/>
    <x v="1"/>
    <n v="25.04"/>
    <n v="0.1"/>
    <n v="52.555999999999997"/>
    <x v="2"/>
    <s v="Sí"/>
    <d v="2025-07-11T00:00:00"/>
    <n v="3"/>
  </r>
  <r>
    <s v="DEP-A0-0391"/>
    <x v="1"/>
    <n v="53"/>
    <x v="1"/>
    <s v="Zapatos"/>
    <s v="Negro"/>
    <s v="Puma"/>
    <s v="MER-A0-0391"/>
    <d v="2025-04-23T00:00:00"/>
    <x v="1"/>
    <n v="31.2"/>
    <n v="0.1"/>
    <n v="38.5"/>
    <x v="2"/>
    <s v="Sí"/>
    <d v="2025-07-22T00:00:00"/>
    <n v="3"/>
  </r>
  <r>
    <s v="DEP-A0-1159"/>
    <x v="1"/>
    <n v="38"/>
    <x v="1"/>
    <s v="Pantalón"/>
    <s v="Gris"/>
    <s v="Puma"/>
    <s v="MER-A0-1159"/>
    <d v="2025-04-26T00:00:00"/>
    <x v="1"/>
    <n v="32.83"/>
    <n v="0"/>
    <n v="133.63200000000001"/>
    <x v="2"/>
    <s v="Sí"/>
    <d v="2025-10-23T00:00:00"/>
    <n v="6"/>
  </r>
  <r>
    <s v="DEP-A0-1795"/>
    <x v="0"/>
    <n v="44"/>
    <x v="1"/>
    <s v="Vestido"/>
    <s v="Rojo"/>
    <s v="Adidas"/>
    <s v="MER-A0-1795"/>
    <d v="2025-04-05T00:00:00"/>
    <x v="1"/>
    <n v="37.35"/>
    <n v="0.1"/>
    <n v="69.405000000000001"/>
    <x v="2"/>
    <s v="Sí"/>
    <d v="2025-12-31T00:00:00"/>
    <n v="9"/>
  </r>
  <r>
    <s v="DEP-A0-2083"/>
    <x v="1"/>
    <n v="47"/>
    <x v="1"/>
    <s v="Zapatos"/>
    <s v="Blanco"/>
    <s v="Tommy"/>
    <s v="MER-A0-2083"/>
    <d v="2025-04-18T00:00:00"/>
    <x v="1"/>
    <n v="71.41"/>
    <n v="0.2"/>
    <n v="193.35"/>
    <x v="2"/>
    <s v="Sí"/>
    <d v="2025-07-17T00:00:00"/>
    <n v="3"/>
  </r>
  <r>
    <s v="DEP-A0-0979"/>
    <x v="0"/>
    <n v="45"/>
    <x v="1"/>
    <s v="Chaqueta"/>
    <s v="Blanco"/>
    <s v="Tommy"/>
    <s v="MER-A0-0979"/>
    <d v="2025-04-03T00:00:00"/>
    <x v="1"/>
    <n v="73"/>
    <n v="0.3"/>
    <n v="149.22"/>
    <x v="2"/>
    <s v="Sí"/>
    <d v="2025-09-30T00:00:00"/>
    <n v="6"/>
  </r>
  <r>
    <s v="DEP-A0-3138"/>
    <x v="0"/>
    <n v="42"/>
    <x v="1"/>
    <s v="Blusa"/>
    <s v="Amarillo"/>
    <s v="Adidas"/>
    <s v="MER-A0-3138"/>
    <d v="2025-04-08T00:00:00"/>
    <x v="1"/>
    <n v="77.239999999999995"/>
    <n v="0"/>
    <n v="86.69"/>
    <x v="2"/>
    <s v="Sí"/>
    <d v="2026-01-03T00:00:00"/>
    <n v="9"/>
  </r>
  <r>
    <s v="DEP-A0-4202"/>
    <x v="0"/>
    <n v="54"/>
    <x v="1"/>
    <s v="Zapatos"/>
    <s v="Blanco"/>
    <s v="Puma"/>
    <s v="MER-A0-4202"/>
    <d v="2025-04-14T00:00:00"/>
    <x v="1"/>
    <n v="83.05"/>
    <n v="0.1"/>
    <n v="163.32300000000001"/>
    <x v="2"/>
    <s v="Sí"/>
    <d v="2025-10-11T00:00:00"/>
    <n v="6"/>
  </r>
  <r>
    <s v="DEP-A0-3009"/>
    <x v="1"/>
    <n v="37"/>
    <x v="1"/>
    <s v="Zapatos"/>
    <s v="Azul"/>
    <s v="Puma"/>
    <s v="MER-A0-3009"/>
    <d v="2025-04-06T00:00:00"/>
    <x v="1"/>
    <n v="89.01"/>
    <n v="0.2"/>
    <n v="99.341999999999999"/>
    <x v="2"/>
    <s v="Sí"/>
    <d v="2026-01-01T00:00:00"/>
    <n v="9"/>
  </r>
  <r>
    <s v="DEP-A0-1568"/>
    <x v="1"/>
    <n v="51"/>
    <x v="1"/>
    <s v="Chaqueta"/>
    <s v="Gris"/>
    <s v="Mango"/>
    <s v="MER-A0-1568"/>
    <d v="2025-04-30T00:00:00"/>
    <x v="1"/>
    <n v="89.93"/>
    <n v="0.2"/>
    <n v="36.239999999999995"/>
    <x v="2"/>
    <s v="Sí"/>
    <d v="2026-04-25T00:00:00"/>
    <n v="12"/>
  </r>
  <r>
    <s v="DEP-A0-2875"/>
    <x v="0"/>
    <n v="52"/>
    <x v="1"/>
    <s v="Chaqueta"/>
    <s v="Gris"/>
    <s v="Tommy"/>
    <s v="MER-A0-2875"/>
    <d v="2025-04-01T00:00:00"/>
    <x v="1"/>
    <n v="90.19"/>
    <n v="0.1"/>
    <n v="24.548999999999999"/>
    <x v="2"/>
    <s v="Sí"/>
    <d v="2025-06-30T00:00:00"/>
    <n v="3"/>
  </r>
  <r>
    <s v="DEP-A0-4221"/>
    <x v="0"/>
    <n v="62"/>
    <x v="1"/>
    <s v="Vestido"/>
    <s v="Blanco"/>
    <s v="Tommy"/>
    <s v="MER-A0-4221"/>
    <d v="2025-04-10T00:00:00"/>
    <x v="1"/>
    <n v="108.42"/>
    <n v="0.1"/>
    <n v="106.104"/>
    <x v="2"/>
    <s v="Sí"/>
    <d v="2025-07-09T00:00:00"/>
    <n v="3"/>
  </r>
  <r>
    <s v="DEP-A0-4807"/>
    <x v="0"/>
    <n v="56"/>
    <x v="1"/>
    <s v="Vestido"/>
    <s v="Gris"/>
    <s v="Zara"/>
    <s v="MER-A0-4807"/>
    <d v="2025-04-11T00:00:00"/>
    <x v="1"/>
    <n v="118.9"/>
    <n v="0"/>
    <n v="39.311999999999998"/>
    <x v="2"/>
    <s v="Sí"/>
    <d v="2026-01-06T00:00:00"/>
    <n v="9"/>
  </r>
  <r>
    <s v="DEP-A0-3095"/>
    <x v="0"/>
    <n v="63"/>
    <x v="1"/>
    <s v="Falda"/>
    <s v="Verde"/>
    <s v="Nike"/>
    <s v="MER-A0-3095"/>
    <d v="2025-04-08T00:00:00"/>
    <x v="1"/>
    <n v="121.11"/>
    <n v="0.1"/>
    <n v="55.472000000000001"/>
    <x v="2"/>
    <s v="Sí"/>
    <d v="2025-07-07T00:00:00"/>
    <n v="3"/>
  </r>
  <r>
    <s v="DEP-A0-2658"/>
    <x v="1"/>
    <n v="36"/>
    <x v="1"/>
    <s v="Pantalón"/>
    <s v="Blanco"/>
    <s v="Puma"/>
    <s v="MER-A0-2658"/>
    <d v="2025-04-21T00:00:00"/>
    <x v="1"/>
    <n v="127.43"/>
    <n v="0.2"/>
    <n v="69.164999999999992"/>
    <x v="2"/>
    <s v="Sí"/>
    <d v="2026-04-16T00:00:00"/>
    <n v="12"/>
  </r>
  <r>
    <s v="DEP-A0-3512"/>
    <x v="1"/>
    <n v="64"/>
    <x v="1"/>
    <s v="Zapatos"/>
    <s v="Negro"/>
    <s v="Zara"/>
    <s v="MER-A0-3512"/>
    <d v="2025-04-09T00:00:00"/>
    <x v="1"/>
    <n v="132.03"/>
    <n v="0.3"/>
    <n v="119.99"/>
    <x v="2"/>
    <s v="Sí"/>
    <d v="2025-07-08T00:00:00"/>
    <n v="3"/>
  </r>
  <r>
    <s v="DEP-A0-1624"/>
    <x v="0"/>
    <n v="41"/>
    <x v="1"/>
    <s v="Zapatos"/>
    <s v="Rojo"/>
    <s v="Zara"/>
    <s v="MER-A0-1624"/>
    <d v="2025-04-25T00:00:00"/>
    <x v="1"/>
    <n v="138.80000000000001"/>
    <n v="0.1"/>
    <n v="23.318999999999999"/>
    <x v="2"/>
    <s v="Sí"/>
    <d v="2025-10-22T00:00:00"/>
    <n v="6"/>
  </r>
  <r>
    <s v="DEP-A0-1276"/>
    <x v="1"/>
    <n v="54"/>
    <x v="1"/>
    <s v="Chaqueta"/>
    <s v="Amarillo"/>
    <s v="Nike"/>
    <s v="MER-A0-1276"/>
    <d v="2025-04-13T00:00:00"/>
    <x v="1"/>
    <n v="148.69999999999999"/>
    <n v="0.2"/>
    <n v="153.846"/>
    <x v="2"/>
    <s v="Sí"/>
    <d v="2026-01-08T00:00:00"/>
    <n v="9"/>
  </r>
  <r>
    <s v="DEP-A0-3451"/>
    <x v="0"/>
    <n v="39"/>
    <x v="1"/>
    <s v="Camisa"/>
    <s v="Rojo"/>
    <s v="Puma"/>
    <s v="MER-A0-3451"/>
    <d v="2025-04-04T00:00:00"/>
    <x v="1"/>
    <n v="149.46"/>
    <n v="0.1"/>
    <n v="15.256"/>
    <x v="2"/>
    <s v="Sí"/>
    <d v="2026-03-30T00:00:00"/>
    <n v="12"/>
  </r>
  <r>
    <s v="DEP-A0-2944"/>
    <x v="0"/>
    <n v="51"/>
    <x v="1"/>
    <s v="Chaqueta"/>
    <s v="Azul"/>
    <s v="Puma"/>
    <s v="MER-A0-2944"/>
    <d v="2025-04-11T00:00:00"/>
    <x v="1"/>
    <n v="151.88"/>
    <n v="0"/>
    <n v="18.928000000000001"/>
    <x v="2"/>
    <s v="Sí"/>
    <d v="2025-10-08T00:00:00"/>
    <n v="6"/>
  </r>
  <r>
    <s v="DEP-A0-0183"/>
    <x v="0"/>
    <n v="47"/>
    <x v="1"/>
    <s v="Blusa"/>
    <s v="Gris"/>
    <s v="Zara"/>
    <s v="MER-A0-0183"/>
    <d v="2025-04-26T00:00:00"/>
    <x v="1"/>
    <n v="165.57"/>
    <n v="0.1"/>
    <n v="26.975999999999999"/>
    <x v="2"/>
    <s v="Sí"/>
    <d v="2026-01-21T00:00:00"/>
    <n v="9"/>
  </r>
  <r>
    <s v="DEP-A0-3683"/>
    <x v="0"/>
    <n v="59"/>
    <x v="1"/>
    <s v="Chaqueta"/>
    <s v="Azul"/>
    <s v="Adidas"/>
    <s v="MER-A0-3683"/>
    <d v="2025-04-03T00:00:00"/>
    <x v="1"/>
    <n v="176.46"/>
    <n v="0"/>
    <n v="25.018000000000001"/>
    <x v="2"/>
    <s v="Sí"/>
    <d v="2026-03-29T00:00:00"/>
    <n v="12"/>
  </r>
  <r>
    <s v="DEP-A0-2625"/>
    <x v="0"/>
    <n v="53"/>
    <x v="1"/>
    <s v="Falda"/>
    <s v="Negro"/>
    <s v="Zara"/>
    <s v="MER-A0-2625"/>
    <d v="2025-04-14T00:00:00"/>
    <x v="1"/>
    <n v="183.08"/>
    <n v="0.1"/>
    <n v="35.811"/>
    <x v="2"/>
    <s v="Sí"/>
    <d v="2025-07-13T00:00:00"/>
    <n v="3"/>
  </r>
  <r>
    <s v="DEP-A0-2040"/>
    <x v="0"/>
    <n v="46"/>
    <x v="1"/>
    <s v="Camisa"/>
    <s v="Amarillo"/>
    <s v="Nike"/>
    <s v="MER-A0-2040"/>
    <d v="2025-04-02T00:00:00"/>
    <x v="1"/>
    <n v="183.9"/>
    <n v="0.3"/>
    <n v="48.94"/>
    <x v="2"/>
    <s v="Sí"/>
    <d v="2026-03-28T00:00:00"/>
    <n v="12"/>
  </r>
  <r>
    <s v="DEP-A0-1003"/>
    <x v="0"/>
    <n v="58"/>
    <x v="1"/>
    <s v="Falda"/>
    <s v="Rojo"/>
    <s v="Zara"/>
    <s v="MER-A0-1003"/>
    <d v="2025-04-28T00:00:00"/>
    <x v="1"/>
    <n v="185.51"/>
    <n v="0.2"/>
    <n v="45"/>
    <x v="2"/>
    <s v="Sí"/>
    <d v="2025-07-27T00:00:00"/>
    <n v="3"/>
  </r>
  <r>
    <s v="DEP-A0-1253"/>
    <x v="0"/>
    <n v="55"/>
    <x v="1"/>
    <s v="Falda"/>
    <s v="Rojo"/>
    <s v="Zara"/>
    <s v="MER-A0-1253"/>
    <d v="2025-04-28T00:00:00"/>
    <x v="1"/>
    <n v="197.78"/>
    <n v="0.3"/>
    <n v="72.63"/>
    <x v="2"/>
    <s v="Sí"/>
    <d v="2025-07-27T00:00:00"/>
    <n v="3"/>
  </r>
  <r>
    <s v="DEP-A0-1229"/>
    <x v="1"/>
    <n v="50"/>
    <x v="1"/>
    <s v="Chaqueta"/>
    <s v="Verde"/>
    <s v="Zara"/>
    <s v="MER-A0-1229"/>
    <d v="2025-05-26T00:00:00"/>
    <x v="1"/>
    <n v="27.04"/>
    <n v="0.3"/>
    <n v="97.22"/>
    <x v="2"/>
    <s v="Sí"/>
    <d v="2025-08-24T00:00:00"/>
    <n v="3"/>
  </r>
  <r>
    <s v="DEP-A0-0675"/>
    <x v="1"/>
    <n v="42"/>
    <x v="1"/>
    <s v="Chaqueta"/>
    <s v="Azul"/>
    <s v="Zara"/>
    <s v="MER-A0-0675"/>
    <d v="2025-05-13T00:00:00"/>
    <x v="1"/>
    <n v="28.34"/>
    <n v="0.3"/>
    <n v="113.98"/>
    <x v="2"/>
    <s v="Sí"/>
    <d v="2026-02-07T00:00:00"/>
    <n v="9"/>
  </r>
  <r>
    <s v="DEP-A0-4880"/>
    <x v="0"/>
    <n v="58"/>
    <x v="1"/>
    <s v="Pantalón"/>
    <s v="Negro"/>
    <s v="Mango"/>
    <s v="MER-A0-4880"/>
    <d v="2025-05-25T00:00:00"/>
    <x v="1"/>
    <n v="33.03"/>
    <n v="0.2"/>
    <n v="96.929000000000002"/>
    <x v="2"/>
    <s v="Sí"/>
    <d v="2025-11-21T00:00:00"/>
    <n v="6"/>
  </r>
  <r>
    <s v="DEP-A0-3527"/>
    <x v="0"/>
    <n v="53"/>
    <x v="1"/>
    <s v="Falda"/>
    <s v="Blanco"/>
    <s v="Zara"/>
    <s v="MER-A0-3527"/>
    <d v="2025-05-13T00:00:00"/>
    <x v="1"/>
    <n v="41.02"/>
    <n v="0.2"/>
    <n v="142.4"/>
    <x v="2"/>
    <s v="Sí"/>
    <d v="2025-08-11T00:00:00"/>
    <n v="3"/>
  </r>
  <r>
    <s v="DEP-A0-1836"/>
    <x v="0"/>
    <n v="65"/>
    <x v="1"/>
    <s v="Pantalón"/>
    <s v="Rojo"/>
    <s v="Zara"/>
    <s v="MER-A0-1836"/>
    <d v="2025-05-13T00:00:00"/>
    <x v="1"/>
    <n v="42.81"/>
    <n v="0.1"/>
    <n v="128.22300000000001"/>
    <x v="2"/>
    <s v="Sí"/>
    <d v="2026-02-07T00:00:00"/>
    <n v="9"/>
  </r>
  <r>
    <s v="DEP-A0-4554"/>
    <x v="0"/>
    <n v="45"/>
    <x v="1"/>
    <s v="Chaqueta"/>
    <s v="Amarillo"/>
    <s v="Tommy"/>
    <s v="MER-A0-4554"/>
    <d v="2025-05-06T00:00:00"/>
    <x v="1"/>
    <n v="46.67"/>
    <n v="0.2"/>
    <n v="135.06400000000002"/>
    <x v="2"/>
    <s v="Sí"/>
    <d v="2026-05-01T00:00:00"/>
    <n v="12"/>
  </r>
  <r>
    <s v="DEP-A0-0775"/>
    <x v="0"/>
    <n v="49"/>
    <x v="1"/>
    <s v="Falda"/>
    <s v="Negro"/>
    <s v="Tommy"/>
    <s v="MER-A0-0775"/>
    <d v="2025-05-20T00:00:00"/>
    <x v="1"/>
    <n v="78.53"/>
    <n v="0.2"/>
    <n v="173.4"/>
    <x v="2"/>
    <s v="Sí"/>
    <d v="2026-05-15T00:00:00"/>
    <n v="12"/>
  </r>
  <r>
    <s v="DEP-A0-3387"/>
    <x v="1"/>
    <n v="50"/>
    <x v="1"/>
    <s v="Zapatos"/>
    <s v="Gris"/>
    <s v="Mango"/>
    <s v="MER-A0-3387"/>
    <d v="2025-05-16T00:00:00"/>
    <x v="1"/>
    <n v="85.47"/>
    <n v="0.2"/>
    <n v="171.37799999999999"/>
    <x v="2"/>
    <s v="Sí"/>
    <d v="2026-02-10T00:00:00"/>
    <n v="9"/>
  </r>
  <r>
    <s v="DEP-A0-1552"/>
    <x v="0"/>
    <n v="49"/>
    <x v="1"/>
    <s v="Falda"/>
    <s v="Azul"/>
    <s v="Mango"/>
    <s v="MER-A0-1552"/>
    <d v="2025-05-01T00:00:00"/>
    <x v="1"/>
    <n v="88.73"/>
    <n v="0"/>
    <n v="171.85499999999999"/>
    <x v="2"/>
    <s v="Sí"/>
    <d v="2025-10-28T00:00:00"/>
    <n v="6"/>
  </r>
  <r>
    <s v="DEP-A0-0271"/>
    <x v="1"/>
    <n v="37"/>
    <x v="1"/>
    <s v="Chaqueta"/>
    <s v="Amarillo"/>
    <s v="Levis"/>
    <s v="MER-A0-0271"/>
    <d v="2025-05-29T00:00:00"/>
    <x v="1"/>
    <n v="89.86"/>
    <n v="0.3"/>
    <n v="135.53399999999999"/>
    <x v="2"/>
    <s v="Sí"/>
    <d v="2026-02-23T00:00:00"/>
    <n v="9"/>
  </r>
  <r>
    <s v="DEP-A0-4916"/>
    <x v="0"/>
    <n v="56"/>
    <x v="1"/>
    <s v="Falda"/>
    <s v="Negro"/>
    <s v="Tommy"/>
    <s v="MER-A0-4916"/>
    <d v="2025-05-16T00:00:00"/>
    <x v="1"/>
    <n v="94.4"/>
    <n v="0.3"/>
    <n v="194.31"/>
    <x v="2"/>
    <s v="Sí"/>
    <d v="2026-02-10T00:00:00"/>
    <n v="9"/>
  </r>
  <r>
    <s v="DEP-A0-0417"/>
    <x v="1"/>
    <n v="53"/>
    <x v="1"/>
    <s v="Camisa"/>
    <s v="Verde"/>
    <s v="Mango"/>
    <s v="MER-A0-0417"/>
    <d v="2025-05-21T00:00:00"/>
    <x v="1"/>
    <n v="96.44"/>
    <n v="0.1"/>
    <n v="22.535999999999998"/>
    <x v="2"/>
    <s v="Sí"/>
    <d v="2026-05-16T00:00:00"/>
    <n v="12"/>
  </r>
  <r>
    <s v="DEP-A0-0487"/>
    <x v="0"/>
    <n v="53"/>
    <x v="1"/>
    <s v="Camisa"/>
    <s v="Blanco"/>
    <s v="Tommy"/>
    <s v="MER-A0-0487"/>
    <d v="2025-05-07T00:00:00"/>
    <x v="1"/>
    <n v="98.65"/>
    <n v="0"/>
    <n v="28.08"/>
    <x v="2"/>
    <s v="Sí"/>
    <d v="2026-02-01T00:00:00"/>
    <n v="9"/>
  </r>
  <r>
    <s v="DEP-A0-4274"/>
    <x v="0"/>
    <n v="51"/>
    <x v="1"/>
    <s v="Falda"/>
    <s v="Negro"/>
    <s v="Puma"/>
    <s v="MER-A0-4274"/>
    <d v="2025-05-31T00:00:00"/>
    <x v="1"/>
    <n v="109"/>
    <n v="0.2"/>
    <n v="57.128"/>
    <x v="2"/>
    <s v="Sí"/>
    <d v="2025-08-29T00:00:00"/>
    <n v="3"/>
  </r>
  <r>
    <s v="DEP-A0-3990"/>
    <x v="0"/>
    <n v="65"/>
    <x v="1"/>
    <s v="Pantalón"/>
    <s v="Amarillo"/>
    <s v="Levis"/>
    <s v="MER-A0-3990"/>
    <d v="2025-05-20T00:00:00"/>
    <x v="1"/>
    <n v="112.82"/>
    <n v="0"/>
    <n v="51.1"/>
    <x v="2"/>
    <s v="Sí"/>
    <d v="2025-11-16T00:00:00"/>
    <n v="6"/>
  </r>
  <r>
    <s v="DEP-A0-0939"/>
    <x v="0"/>
    <n v="53"/>
    <x v="1"/>
    <s v="Vestido"/>
    <s v="Rojo"/>
    <s v="Mango"/>
    <s v="MER-A0-0939"/>
    <d v="2025-05-06T00:00:00"/>
    <x v="1"/>
    <n v="146.44"/>
    <n v="0.1"/>
    <n v="71.207999999999998"/>
    <x v="2"/>
    <s v="Sí"/>
    <d v="2026-01-31T00:00:00"/>
    <n v="9"/>
  </r>
  <r>
    <s v="DEP-A0-1141"/>
    <x v="0"/>
    <n v="57"/>
    <x v="1"/>
    <s v="Blusa"/>
    <s v="Negro"/>
    <s v="Nike"/>
    <s v="MER-A0-1141"/>
    <d v="2025-05-31T00:00:00"/>
    <x v="1"/>
    <n v="148.35"/>
    <n v="0.3"/>
    <n v="71.944000000000003"/>
    <x v="2"/>
    <s v="Sí"/>
    <d v="2026-02-25T00:00:00"/>
    <n v="9"/>
  </r>
  <r>
    <s v="DEP-A0-4043"/>
    <x v="0"/>
    <n v="61"/>
    <x v="1"/>
    <s v="Vestido"/>
    <s v="Azul"/>
    <s v="Tommy"/>
    <s v="MER-A0-4043"/>
    <d v="2025-05-09T00:00:00"/>
    <x v="1"/>
    <n v="148.71"/>
    <n v="0.1"/>
    <n v="81.170999999999992"/>
    <x v="2"/>
    <s v="Sí"/>
    <d v="2026-02-03T00:00:00"/>
    <n v="9"/>
  </r>
  <r>
    <s v="DEP-A0-0704"/>
    <x v="0"/>
    <n v="65"/>
    <x v="1"/>
    <s v="Pantalón"/>
    <s v="Amarillo"/>
    <s v="Zara"/>
    <s v="MER-A0-0704"/>
    <d v="2025-05-31T00:00:00"/>
    <x v="1"/>
    <n v="157.77000000000001"/>
    <n v="0.2"/>
    <n v="97.578000000000003"/>
    <x v="2"/>
    <s v="Sí"/>
    <d v="2025-08-29T00:00:00"/>
    <n v="3"/>
  </r>
  <r>
    <s v="DEP-A0-4293"/>
    <x v="0"/>
    <n v="59"/>
    <x v="1"/>
    <s v="Blusa"/>
    <s v="Azul"/>
    <s v="Adidas"/>
    <s v="MER-A0-4293"/>
    <d v="2025-05-16T00:00:00"/>
    <x v="1"/>
    <n v="158.24"/>
    <n v="0"/>
    <n v="118.9"/>
    <x v="2"/>
    <s v="Sí"/>
    <d v="2026-05-11T00:00:00"/>
    <n v="12"/>
  </r>
  <r>
    <s v="DEP-A0-2055"/>
    <x v="0"/>
    <n v="37"/>
    <x v="1"/>
    <s v="Camisa"/>
    <s v="Azul"/>
    <s v="Tommy"/>
    <s v="MER-A0-2055"/>
    <d v="2025-05-19T00:00:00"/>
    <x v="1"/>
    <n v="179.02"/>
    <n v="0.3"/>
    <n v="101.944"/>
    <x v="2"/>
    <s v="Sí"/>
    <d v="2026-02-13T00:00:00"/>
    <n v="9"/>
  </r>
  <r>
    <s v="DEP-A0-2893"/>
    <x v="1"/>
    <n v="44"/>
    <x v="1"/>
    <s v="Pantalón"/>
    <s v="Blanco"/>
    <s v="Tommy"/>
    <s v="MER-A0-2893"/>
    <d v="2025-05-13T00:00:00"/>
    <x v="1"/>
    <n v="184.46"/>
    <n v="0.3"/>
    <n v="118.96"/>
    <x v="2"/>
    <s v="Sí"/>
    <d v="2025-11-09T00:00:00"/>
    <n v="6"/>
  </r>
  <r>
    <s v="DEP-A0-1000"/>
    <x v="0"/>
    <n v="62"/>
    <x v="1"/>
    <s v="Falda"/>
    <s v="Blanco"/>
    <s v="Adidas"/>
    <s v="MER-A0-1000"/>
    <d v="2025-05-11T00:00:00"/>
    <x v="1"/>
    <n v="190.65"/>
    <n v="0.1"/>
    <n v="134.51400000000001"/>
    <x v="2"/>
    <s v="Sí"/>
    <d v="2025-11-07T00:00:00"/>
    <n v="6"/>
  </r>
  <r>
    <s v="DEP-A0-0781"/>
    <x v="0"/>
    <n v="59"/>
    <x v="1"/>
    <s v="Pantalón"/>
    <s v="Blanco"/>
    <s v="Puma"/>
    <s v="MER-A0-0781"/>
    <d v="2025-05-25T00:00:00"/>
    <x v="1"/>
    <n v="193.59"/>
    <n v="0"/>
    <n v="149.01300000000001"/>
    <x v="2"/>
    <s v="Sí"/>
    <d v="2025-11-21T00:00:00"/>
    <n v="6"/>
  </r>
  <r>
    <s v="DEP-A0-4848"/>
    <x v="0"/>
    <n v="58"/>
    <x v="1"/>
    <s v="Pantalón"/>
    <s v="Negro"/>
    <s v="Levis"/>
    <s v="MER-A0-4848"/>
    <d v="2025-05-17T00:00:00"/>
    <x v="1"/>
    <n v="196.43"/>
    <n v="0.3"/>
    <n v="176.46"/>
    <x v="2"/>
    <s v="Sí"/>
    <d v="2026-02-11T00:00:00"/>
    <n v="9"/>
  </r>
  <r>
    <s v="DEP-A0-3956"/>
    <x v="0"/>
    <n v="56"/>
    <x v="1"/>
    <s v="Blusa"/>
    <s v="Verde"/>
    <s v="Puma"/>
    <s v="MER-A0-3956"/>
    <d v="2025-06-08T00:00:00"/>
    <x v="1"/>
    <n v="15.26"/>
    <n v="0.1"/>
    <n v="164.77200000000002"/>
    <x v="2"/>
    <s v="Sí"/>
    <d v="2025-12-05T00:00:00"/>
    <n v="6"/>
  </r>
  <r>
    <s v="DEP-A0-1250"/>
    <x v="1"/>
    <n v="62"/>
    <x v="1"/>
    <s v="Chaqueta"/>
    <s v="Negro"/>
    <s v="Adidas"/>
    <s v="MER-A0-1250"/>
    <d v="2025-06-17T00:00:00"/>
    <x v="1"/>
    <n v="18.91"/>
    <n v="0.2"/>
    <n v="128.73000000000002"/>
    <x v="2"/>
    <s v="Sí"/>
    <d v="2025-09-15T00:00:00"/>
    <n v="3"/>
  </r>
  <r>
    <s v="DEP-A0-2262"/>
    <x v="0"/>
    <n v="50"/>
    <x v="1"/>
    <s v="Pantalón"/>
    <s v="Rojo"/>
    <s v="Tommy"/>
    <s v="MER-A0-2262"/>
    <d v="2025-06-05T00:00:00"/>
    <x v="1"/>
    <n v="31.15"/>
    <n v="0.1"/>
    <n v="138.446"/>
    <x v="2"/>
    <s v="Sí"/>
    <d v="2026-03-02T00:00:00"/>
    <n v="9"/>
  </r>
  <r>
    <s v="DEP-A0-4208"/>
    <x v="0"/>
    <n v="37"/>
    <x v="1"/>
    <s v="Camisa"/>
    <s v="Negro"/>
    <s v="Tommy"/>
    <s v="MER-A0-4208"/>
    <d v="2025-06-13T00:00:00"/>
    <x v="1"/>
    <n v="34.06"/>
    <n v="0.3"/>
    <n v="18.927999999999997"/>
    <x v="2"/>
    <s v="Sí"/>
    <d v="2026-03-10T00:00:00"/>
    <n v="9"/>
  </r>
  <r>
    <s v="DEP-A0-2623"/>
    <x v="0"/>
    <n v="53"/>
    <x v="1"/>
    <s v="Vestido"/>
    <s v="Rojo"/>
    <s v="Adidas"/>
    <s v="MER-A0-2623"/>
    <d v="2025-06-01T00:00:00"/>
    <x v="1"/>
    <n v="36.549999999999997"/>
    <n v="0"/>
    <n v="19.838000000000001"/>
    <x v="2"/>
    <s v="Sí"/>
    <d v="2025-08-30T00:00:00"/>
    <n v="3"/>
  </r>
  <r>
    <s v="DEP-A0-2816"/>
    <x v="0"/>
    <n v="52"/>
    <x v="1"/>
    <s v="Blusa"/>
    <s v="Gris"/>
    <s v="Levis"/>
    <s v="MER-A0-2816"/>
    <d v="2025-06-26T00:00:00"/>
    <x v="1"/>
    <n v="48.39"/>
    <n v="0"/>
    <n v="32.816000000000003"/>
    <x v="2"/>
    <s v="Sí"/>
    <d v="2026-06-21T00:00:00"/>
    <n v="12"/>
  </r>
  <r>
    <s v="DEP-A0-2826"/>
    <x v="0"/>
    <n v="45"/>
    <x v="1"/>
    <s v="Falda"/>
    <s v="Blanco"/>
    <s v="Tommy"/>
    <s v="MER-A0-2826"/>
    <d v="2025-06-01T00:00:00"/>
    <x v="1"/>
    <n v="51.64"/>
    <n v="0.2"/>
    <n v="38.529000000000003"/>
    <x v="2"/>
    <s v="Sí"/>
    <d v="2026-02-26T00:00:00"/>
    <n v="9"/>
  </r>
  <r>
    <s v="DEP-A0-1179"/>
    <x v="0"/>
    <n v="42"/>
    <x v="1"/>
    <s v="Vestido"/>
    <s v="Rojo"/>
    <s v="Levis"/>
    <s v="MER-A0-1179"/>
    <d v="2025-06-04T00:00:00"/>
    <x v="1"/>
    <n v="65.67"/>
    <n v="0.2"/>
    <n v="62.823999999999998"/>
    <x v="2"/>
    <s v="Sí"/>
    <d v="2025-12-01T00:00:00"/>
    <n v="6"/>
  </r>
  <r>
    <s v="DEP-A0-0831"/>
    <x v="0"/>
    <n v="36"/>
    <x v="1"/>
    <s v="Blusa"/>
    <s v="Amarillo"/>
    <s v="Tommy"/>
    <s v="MER-A0-0831"/>
    <d v="2025-06-21T00:00:00"/>
    <x v="1"/>
    <n v="69.56"/>
    <n v="0.1"/>
    <n v="88.73"/>
    <x v="2"/>
    <s v="Sí"/>
    <d v="2025-12-18T00:00:00"/>
    <n v="6"/>
  </r>
  <r>
    <s v="DEP-A0-2210"/>
    <x v="0"/>
    <n v="38"/>
    <x v="1"/>
    <s v="Chaqueta"/>
    <s v="Rojo"/>
    <s v="Zara"/>
    <s v="MER-A0-2210"/>
    <d v="2025-06-11T00:00:00"/>
    <x v="1"/>
    <n v="70.040000000000006"/>
    <n v="0.2"/>
    <n v="62.902000000000001"/>
    <x v="2"/>
    <s v="Sí"/>
    <d v="2025-12-08T00:00:00"/>
    <n v="6"/>
  </r>
  <r>
    <s v="DEP-A0-0590"/>
    <x v="0"/>
    <n v="55"/>
    <x v="1"/>
    <s v="Zapatos"/>
    <s v="Gris"/>
    <s v="Mango"/>
    <s v="MER-A0-0590"/>
    <d v="2025-06-13T00:00:00"/>
    <x v="1"/>
    <n v="78.61"/>
    <n v="0"/>
    <n v="66.080000000000013"/>
    <x v="2"/>
    <s v="Sí"/>
    <d v="2025-09-11T00:00:00"/>
    <n v="3"/>
  </r>
  <r>
    <s v="DEP-A0-3800"/>
    <x v="0"/>
    <n v="44"/>
    <x v="1"/>
    <s v="Blusa"/>
    <s v="Negro"/>
    <s v="Mango"/>
    <s v="MER-A0-3800"/>
    <d v="2025-06-04T00:00:00"/>
    <x v="1"/>
    <n v="78.88"/>
    <n v="0.2"/>
    <n v="86.795999999999992"/>
    <x v="2"/>
    <s v="Sí"/>
    <d v="2026-05-30T00:00:00"/>
    <n v="12"/>
  </r>
  <r>
    <s v="DEP-A0-0937"/>
    <x v="0"/>
    <n v="59"/>
    <x v="1"/>
    <s v="Zapatos"/>
    <s v="Negro"/>
    <s v="Nike"/>
    <s v="MER-A0-0937"/>
    <d v="2025-06-16T00:00:00"/>
    <x v="1"/>
    <n v="88.66"/>
    <n v="0"/>
    <n v="87.2"/>
    <x v="2"/>
    <s v="Sí"/>
    <d v="2025-09-14T00:00:00"/>
    <n v="3"/>
  </r>
  <r>
    <s v="DEP-A0-2870"/>
    <x v="0"/>
    <n v="45"/>
    <x v="1"/>
    <s v="Camisa"/>
    <s v="Negro"/>
    <s v="Zara"/>
    <s v="MER-A0-2870"/>
    <d v="2025-06-25T00:00:00"/>
    <x v="1"/>
    <n v="113.91"/>
    <n v="0.2"/>
    <n v="103.845"/>
    <x v="2"/>
    <s v="Sí"/>
    <d v="2026-06-20T00:00:00"/>
    <n v="12"/>
  </r>
  <r>
    <s v="DEP-A0-1041"/>
    <x v="0"/>
    <n v="42"/>
    <x v="1"/>
    <s v="Falda"/>
    <s v="Amarillo"/>
    <s v="Adidas"/>
    <s v="MER-A0-1041"/>
    <d v="2025-06-26T00:00:00"/>
    <x v="1"/>
    <n v="121.53"/>
    <n v="0.3"/>
    <n v="126.21600000000001"/>
    <x v="2"/>
    <s v="Sí"/>
    <d v="2026-03-23T00:00:00"/>
    <n v="9"/>
  </r>
  <r>
    <s v="DEP-A0-1762"/>
    <x v="0"/>
    <n v="36"/>
    <x v="1"/>
    <s v="Falda"/>
    <s v="Gris"/>
    <s v="Nike"/>
    <s v="MER-A0-1762"/>
    <d v="2025-06-11T00:00:00"/>
    <x v="1"/>
    <n v="124.09"/>
    <n v="0.3"/>
    <n v="158.24"/>
    <x v="2"/>
    <s v="Sí"/>
    <d v="2025-12-08T00:00:00"/>
    <n v="6"/>
  </r>
  <r>
    <s v="DEP-A0-2910"/>
    <x v="0"/>
    <n v="49"/>
    <x v="1"/>
    <s v="Falda"/>
    <s v="Azul"/>
    <s v="Mango"/>
    <s v="MER-A0-2910"/>
    <d v="2025-06-28T00:00:00"/>
    <x v="1"/>
    <n v="140.59"/>
    <n v="0.2"/>
    <n v="125.31400000000001"/>
    <x v="2"/>
    <s v="Sí"/>
    <d v="2025-12-25T00:00:00"/>
    <n v="6"/>
  </r>
  <r>
    <s v="DEP-A0-0095"/>
    <x v="0"/>
    <n v="62"/>
    <x v="1"/>
    <s v="Falda"/>
    <s v="Verde"/>
    <s v="Adidas"/>
    <s v="MER-A0-0095"/>
    <d v="2025-06-30T00:00:00"/>
    <x v="1"/>
    <n v="145.96"/>
    <n v="0.3"/>
    <n v="129.12200000000001"/>
    <x v="2"/>
    <s v="Sí"/>
    <d v="2026-06-25T00:00:00"/>
    <n v="12"/>
  </r>
  <r>
    <s v="DEP-A0-3084"/>
    <x v="1"/>
    <n v="62"/>
    <x v="1"/>
    <s v="Chaqueta"/>
    <s v="Blanco"/>
    <s v="Nike"/>
    <s v="MER-A0-3084"/>
    <d v="2025-06-11T00:00:00"/>
    <x v="1"/>
    <n v="146.4"/>
    <n v="0.2"/>
    <n v="171.58500000000001"/>
    <x v="2"/>
    <s v="Sí"/>
    <d v="2025-12-08T00:00:00"/>
    <n v="6"/>
  </r>
  <r>
    <s v="DEP-A0-1783"/>
    <x v="0"/>
    <n v="50"/>
    <x v="1"/>
    <s v="Vestido"/>
    <s v="Negro"/>
    <s v="Tommy"/>
    <s v="MER-A0-1783"/>
    <d v="2025-06-16T00:00:00"/>
    <x v="1"/>
    <n v="151.16999999999999"/>
    <n v="0"/>
    <n v="193.59"/>
    <x v="2"/>
    <s v="Sí"/>
    <d v="2025-09-14T00:00:00"/>
    <n v="3"/>
  </r>
  <r>
    <s v="DEP-A0-0899"/>
    <x v="0"/>
    <n v="39"/>
    <x v="1"/>
    <s v="Blusa"/>
    <s v="Verde"/>
    <s v="Nike"/>
    <s v="MER-A0-0899"/>
    <d v="2025-06-15T00:00:00"/>
    <x v="1"/>
    <n v="152.28"/>
    <n v="0.1"/>
    <n v="137.501"/>
    <x v="2"/>
    <s v="Sí"/>
    <d v="2025-09-13T00:00:00"/>
    <n v="3"/>
  </r>
  <r>
    <s v="DEP-A0-0378"/>
    <x v="0"/>
    <n v="38"/>
    <x v="1"/>
    <s v="Vestido"/>
    <s v="Blanco"/>
    <s v="Levis"/>
    <s v="MER-A0-0378"/>
    <d v="2025-06-12T00:00:00"/>
    <x v="1"/>
    <n v="154.41999999999999"/>
    <n v="0"/>
    <n v="13.734"/>
    <x v="2"/>
    <s v="Sí"/>
    <d v="2025-12-09T00:00:00"/>
    <n v="6"/>
  </r>
  <r>
    <s v="DEP-A0-4948"/>
    <x v="0"/>
    <n v="56"/>
    <x v="1"/>
    <s v="Camisa"/>
    <s v="Blanco"/>
    <s v="Adidas"/>
    <s v="MER-A0-4948"/>
    <d v="2025-06-09T00:00:00"/>
    <x v="1"/>
    <n v="157.09"/>
    <n v="0.1"/>
    <n v="15.128"/>
    <x v="2"/>
    <s v="Sí"/>
    <d v="2025-09-07T00:00:00"/>
    <n v="3"/>
  </r>
  <r>
    <s v="DEP-A0-1030"/>
    <x v="1"/>
    <n v="54"/>
    <x v="1"/>
    <s v="Chaqueta"/>
    <s v="Blanco"/>
    <s v="Tommy"/>
    <s v="MER-A0-1030"/>
    <d v="2025-06-04T00:00:00"/>
    <x v="1"/>
    <n v="159.13"/>
    <n v="0.3"/>
    <n v="28.034999999999997"/>
    <x v="2"/>
    <s v="Sí"/>
    <d v="2025-09-02T00:00:00"/>
    <n v="3"/>
  </r>
  <r>
    <s v="DEP-A0-3781"/>
    <x v="0"/>
    <n v="46"/>
    <x v="1"/>
    <s v="Falda"/>
    <s v="Azul"/>
    <s v="Adidas"/>
    <s v="MER-A0-3781"/>
    <d v="2025-06-26T00:00:00"/>
    <x v="1"/>
    <n v="165.34"/>
    <n v="0.3"/>
    <n v="36.549999999999997"/>
    <x v="2"/>
    <s v="Sí"/>
    <d v="2026-03-23T00:00:00"/>
    <n v="9"/>
  </r>
  <r>
    <s v="DEP-A0-2613"/>
    <x v="0"/>
    <n v="54"/>
    <x v="1"/>
    <s v="Camisa"/>
    <s v="Blanco"/>
    <s v="Adidas"/>
    <s v="MER-A0-2613"/>
    <d v="2025-06-10T00:00:00"/>
    <x v="1"/>
    <n v="168.51"/>
    <n v="0"/>
    <n v="41.311999999999998"/>
    <x v="2"/>
    <s v="Sí"/>
    <d v="2026-03-07T00:00:00"/>
    <n v="9"/>
  </r>
  <r>
    <s v="DEP-A0-3924"/>
    <x v="0"/>
    <n v="47"/>
    <x v="1"/>
    <s v="Falda"/>
    <s v="Amarillo"/>
    <s v="Mango"/>
    <s v="MER-A0-3924"/>
    <d v="2025-06-27T00:00:00"/>
    <x v="1"/>
    <n v="187.34"/>
    <n v="0.1"/>
    <n v="56.032000000000004"/>
    <x v="2"/>
    <s v="Sí"/>
    <d v="2025-12-24T00:00:00"/>
    <n v="6"/>
  </r>
  <r>
    <s v="DEP-A0-3330"/>
    <x v="0"/>
    <n v="57"/>
    <x v="1"/>
    <s v="Blusa"/>
    <s v="Blanco"/>
    <s v="Tommy"/>
    <s v="MER-A0-3330"/>
    <d v="2025-07-21T00:00:00"/>
    <x v="1"/>
    <n v="18.89"/>
    <n v="0"/>
    <n v="88.66"/>
    <x v="2"/>
    <s v="Sí"/>
    <d v="2025-10-19T00:00:00"/>
    <n v="3"/>
  </r>
  <r>
    <s v="DEP-A0-1290"/>
    <x v="0"/>
    <n v="40"/>
    <x v="1"/>
    <s v="Pantalón"/>
    <s v="Rojo"/>
    <s v="Levis"/>
    <s v="MER-A0-1290"/>
    <d v="2025-07-30T00:00:00"/>
    <x v="1"/>
    <n v="33.97"/>
    <n v="0.3"/>
    <n v="91.128"/>
    <x v="2"/>
    <s v="Sí"/>
    <d v="2026-04-26T00:00:00"/>
    <n v="9"/>
  </r>
  <r>
    <s v="DEP-A0-1581"/>
    <x v="1"/>
    <n v="43"/>
    <x v="1"/>
    <s v="Chaqueta"/>
    <s v="Azul"/>
    <s v="Nike"/>
    <s v="MER-A0-1581"/>
    <d v="2025-07-12T00:00:00"/>
    <x v="1"/>
    <n v="36.909999999999997"/>
    <n v="0.3"/>
    <n v="85.070999999999998"/>
    <x v="2"/>
    <s v="Sí"/>
    <d v="2026-07-07T00:00:00"/>
    <n v="12"/>
  </r>
  <r>
    <s v="DEP-A0-0455"/>
    <x v="0"/>
    <n v="37"/>
    <x v="1"/>
    <s v="Zapatos"/>
    <s v="Gris"/>
    <s v="Puma"/>
    <s v="MER-A0-0455"/>
    <d v="2025-07-03T00:00:00"/>
    <x v="1"/>
    <n v="41.93"/>
    <n v="0.2"/>
    <n v="112.47200000000001"/>
    <x v="2"/>
    <s v="Sí"/>
    <d v="2025-10-01T00:00:00"/>
    <n v="3"/>
  </r>
  <r>
    <s v="DEP-A0-0373"/>
    <x v="0"/>
    <n v="41"/>
    <x v="1"/>
    <s v="Blusa"/>
    <s v="Amarillo"/>
    <s v="Puma"/>
    <s v="MER-A0-0373"/>
    <d v="2025-07-17T00:00:00"/>
    <x v="1"/>
    <n v="112.77"/>
    <n v="0.3"/>
    <n v="141.381"/>
    <x v="2"/>
    <s v="Sí"/>
    <d v="2026-04-13T00:00:00"/>
    <n v="9"/>
  </r>
  <r>
    <s v="DEP-A0-1830"/>
    <x v="1"/>
    <n v="48"/>
    <x v="1"/>
    <s v="Chaqueta"/>
    <s v="Blanco"/>
    <s v="Mango"/>
    <s v="MER-A0-1830"/>
    <d v="2025-07-26T00:00:00"/>
    <x v="1"/>
    <n v="112.8"/>
    <n v="0.3"/>
    <n v="111.39099999999999"/>
    <x v="2"/>
    <s v="Sí"/>
    <d v="2025-10-24T00:00:00"/>
    <n v="3"/>
  </r>
  <r>
    <s v="DEP-A0-1199"/>
    <x v="0"/>
    <n v="37"/>
    <x v="1"/>
    <s v="Blusa"/>
    <s v="Rojo"/>
    <s v="Levis"/>
    <s v="MER-A0-1199"/>
    <d v="2025-07-30T00:00:00"/>
    <x v="1"/>
    <n v="157.72"/>
    <n v="0.3"/>
    <n v="18.89"/>
    <x v="2"/>
    <s v="Sí"/>
    <d v="2026-01-26T00:00:00"/>
    <n v="6"/>
  </r>
  <r>
    <s v="DEP-A0-1146"/>
    <x v="0"/>
    <n v="42"/>
    <x v="1"/>
    <s v="Blusa"/>
    <s v="Gris"/>
    <s v="Mango"/>
    <s v="MER-A0-1146"/>
    <d v="2025-07-11T00:00:00"/>
    <x v="1"/>
    <n v="159.38"/>
    <n v="0.1"/>
    <n v="23.779"/>
    <x v="2"/>
    <s v="Sí"/>
    <d v="2026-07-06T00:00:00"/>
    <n v="12"/>
  </r>
  <r>
    <s v="DEP-A0-4456"/>
    <x v="1"/>
    <n v="50"/>
    <x v="1"/>
    <s v="Chaqueta"/>
    <s v="Rojo"/>
    <s v="Zara"/>
    <s v="MER-A0-4456"/>
    <d v="2025-07-31T00:00:00"/>
    <x v="1"/>
    <n v="163.96"/>
    <n v="0.1"/>
    <n v="25.836999999999996"/>
    <x v="2"/>
    <s v="Sí"/>
    <d v="2026-01-27T00:00:00"/>
    <n v="6"/>
  </r>
  <r>
    <s v="DEP-A0-2132"/>
    <x v="0"/>
    <n v="56"/>
    <x v="1"/>
    <s v="Vestido"/>
    <s v="Negro"/>
    <s v="Levis"/>
    <s v="MER-A0-2132"/>
    <d v="2025-07-10T00:00:00"/>
    <x v="1"/>
    <n v="164.73"/>
    <n v="0.1"/>
    <n v="78.938999999999993"/>
    <x v="2"/>
    <s v="Sí"/>
    <d v="2026-01-06T00:00:00"/>
    <n v="6"/>
  </r>
  <r>
    <s v="DEP-A0-2961"/>
    <x v="0"/>
    <n v="65"/>
    <x v="1"/>
    <s v="Camisa"/>
    <s v="Blanco"/>
    <s v="Zara"/>
    <s v="MER-A0-2961"/>
    <d v="2025-07-17T00:00:00"/>
    <x v="1"/>
    <n v="168.41"/>
    <n v="0.3"/>
    <n v="110.404"/>
    <x v="2"/>
    <s v="Sí"/>
    <d v="2026-04-13T00:00:00"/>
    <n v="9"/>
  </r>
  <r>
    <s v="DEP-A0-4067"/>
    <x v="1"/>
    <n v="43"/>
    <x v="1"/>
    <s v="Chaqueta"/>
    <s v="Blanco"/>
    <s v="Nike"/>
    <s v="MER-A0-4067"/>
    <d v="2025-07-13T00:00:00"/>
    <x v="1"/>
    <n v="168.64"/>
    <n v="0"/>
    <n v="143.44200000000001"/>
    <x v="2"/>
    <s v="Sí"/>
    <d v="2026-01-09T00:00:00"/>
    <n v="6"/>
  </r>
  <r>
    <s v="DEP-A0-3335"/>
    <x v="0"/>
    <n v="56"/>
    <x v="1"/>
    <s v="Pantalón"/>
    <s v="Gris"/>
    <s v="Adidas"/>
    <s v="MER-A0-3335"/>
    <d v="2025-08-02T00:00:00"/>
    <x v="1"/>
    <n v="28.8"/>
    <n v="0.3"/>
    <n v="117.887"/>
    <x v="2"/>
    <s v="Sí"/>
    <d v="2026-07-28T00:00:00"/>
    <n v="12"/>
  </r>
  <r>
    <s v="DEP-A0-1750"/>
    <x v="0"/>
    <n v="37"/>
    <x v="1"/>
    <s v="Falda"/>
    <s v="Azul"/>
    <s v="Mango"/>
    <s v="MER-A0-1750"/>
    <d v="2025-08-10T00:00:00"/>
    <x v="1"/>
    <n v="34.119999999999997"/>
    <n v="0.3"/>
    <n v="168.64"/>
    <x v="2"/>
    <s v="Sí"/>
    <d v="2026-02-06T00:00:00"/>
    <n v="6"/>
  </r>
  <r>
    <s v="DEP-A0-1048"/>
    <x v="0"/>
    <n v="60"/>
    <x v="1"/>
    <s v="Vestido"/>
    <s v="Verde"/>
    <s v="Mango"/>
    <s v="MER-A0-1048"/>
    <d v="2025-08-13T00:00:00"/>
    <x v="1"/>
    <n v="75.91"/>
    <n v="0"/>
    <n v="20.16"/>
    <x v="2"/>
    <s v="Sí"/>
    <d v="2026-08-08T00:00:00"/>
    <n v="12"/>
  </r>
  <r>
    <s v="DEP-A0-2698"/>
    <x v="0"/>
    <n v="39"/>
    <x v="1"/>
    <s v="Camisa"/>
    <s v="Azul"/>
    <s v="Tommy"/>
    <s v="MER-A0-2698"/>
    <d v="2025-08-02T00:00:00"/>
    <x v="1"/>
    <n v="85.33"/>
    <n v="0.3"/>
    <n v="23.884"/>
    <x v="2"/>
    <s v="Sí"/>
    <d v="2026-04-29T00:00:00"/>
    <n v="9"/>
  </r>
  <r>
    <s v="DEP-A0-2685"/>
    <x v="0"/>
    <n v="63"/>
    <x v="1"/>
    <s v="Blusa"/>
    <s v="Rojo"/>
    <s v="Levis"/>
    <s v="MER-A0-2685"/>
    <d v="2025-08-16T00:00:00"/>
    <x v="1"/>
    <n v="167.99"/>
    <n v="0.1"/>
    <n v="59.730999999999995"/>
    <x v="2"/>
    <s v="Sí"/>
    <d v="2026-02-12T00:00:00"/>
    <n v="6"/>
  </r>
  <r>
    <s v="DEP-A0-1965"/>
    <x v="0"/>
    <n v="43"/>
    <x v="1"/>
    <s v="Chaqueta"/>
    <s v="Azul"/>
    <s v="Mango"/>
    <s v="MER-A0-1965"/>
    <d v="2025-08-13T00:00:00"/>
    <x v="1"/>
    <n v="169.68"/>
    <n v="0"/>
    <n v="151.191"/>
    <x v="2"/>
    <s v="Sí"/>
    <d v="2026-02-09T00:00:00"/>
    <n v="6"/>
  </r>
  <r>
    <s v="DEP-A0-0446"/>
    <x v="0"/>
    <n v="39"/>
    <x v="1"/>
    <s v="Falda"/>
    <s v="Blanco"/>
    <s v="Zara"/>
    <s v="MER-A0-0446"/>
    <d v="2025-08-09T00:00:00"/>
    <x v="1"/>
    <n v="187.9"/>
    <n v="0.2"/>
    <n v="150.32"/>
    <x v="2"/>
    <s v="Sí"/>
    <d v="2026-08-04T00:00:00"/>
    <n v="12"/>
  </r>
  <r>
    <s v="DEP-A0-0032"/>
    <x v="0"/>
    <n v="45"/>
    <x v="1"/>
    <s v="Camisa"/>
    <s v="Gris"/>
    <s v="Levis"/>
    <s v="MER-A0-0032"/>
    <d v="2025-08-10T00:00:00"/>
    <x v="1"/>
    <n v="188.21"/>
    <n v="0"/>
    <n v="188.21"/>
    <x v="2"/>
    <s v="Sí"/>
    <d v="2026-02-06T00:00:00"/>
    <n v="6"/>
  </r>
  <r>
    <s v="DEP-A0-3093"/>
    <x v="0"/>
    <n v="65"/>
    <x v="1"/>
    <s v="Falda"/>
    <s v="Gris"/>
    <s v="Levis"/>
    <s v="MER-A0-3093"/>
    <d v="2025-08-04T00:00:00"/>
    <x v="1"/>
    <n v="199.48"/>
    <n v="0.3"/>
    <n v="139.636"/>
    <x v="2"/>
    <s v="Sí"/>
    <d v="2026-05-01T00:00:0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06AD5-6D22-4DD1-8627-28ADC3BE0BFB}" name="TablaDinámica2" cacheId="6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Clientes">
  <location ref="A36:B39" firstHeaderRow="1" firstDataRow="1" firstDataCol="1"/>
  <pivotFields count="17">
    <pivotField showAll="0"/>
    <pivotField showAll="0"/>
    <pivotField dataField="1" showAll="0"/>
    <pivotField name="Edades" axis="axisRow" showAll="0" sortType="ascending">
      <items count="6">
        <item m="1" x="3"/>
        <item x="0"/>
        <item m="1" x="4"/>
        <item x="1"/>
        <item m="1" x="2"/>
        <item t="default"/>
      </items>
    </pivotField>
    <pivotField showAll="0"/>
    <pivotField showAll="0"/>
    <pivotField showAll="0"/>
    <pivotField showAll="0"/>
    <pivotField numFmtId="14" showAll="0"/>
    <pivotField numFmtId="1" showAll="0"/>
    <pivotField numFmtId="44" showAll="0"/>
    <pivotField numFmtId="9" showAll="0"/>
    <pivotField numFmtId="44" showAll="0"/>
    <pivotField showAll="0"/>
    <pivotField showAll="0"/>
    <pivotField numFmtId="14"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dataFields count="1">
    <dataField name="Edades." fld="2" subtotal="count" baseField="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16243-B2BE-4D7E-852F-696B903FAD90}" name="TablaDinámica1" cacheId="6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Género" colHeaderCaption="">
  <location ref="A3:D7" firstHeaderRow="1" firstDataRow="2" firstDataCol="1"/>
  <pivotFields count="17">
    <pivotField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/>
    <pivotField axis="axisCol" numFmtId="1" showAll="0">
      <items count="3">
        <item x="0"/>
        <item x="1"/>
        <item t="default"/>
      </items>
    </pivotField>
    <pivotField numFmtId="44" showAll="0"/>
    <pivotField numFmtId="9" showAll="0"/>
    <pivotField numFmtId="44" showAll="0"/>
    <pivotField showAll="0"/>
    <pivotField showAll="0"/>
    <pivotField numFmtId="14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uenta de COMPRA" fld="4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3C054-8262-4FFE-8F3C-336403B0E3E4}" name="TablaDinámica3" cacheId="6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Tipo de pago">
  <location ref="A19:B2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44" showAll="0"/>
    <pivotField numFmtId="9" showAll="0"/>
    <pivotField dataField="1" numFmtId="44"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TOTAL A PAGAR" fld="12" subtotal="average" baseField="13" baseItem="1" numFmtId="2"/>
  </dataFields>
  <formats count="2">
    <format dxfId="6">
      <pivotArea collapsedLevelsAreSubtotals="1" fieldPosition="0">
        <references count="1">
          <reference field="13" count="1">
            <x v="1"/>
          </reference>
        </references>
      </pivotArea>
    </format>
    <format dxfId="7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84F80-896C-4081-B216-7179A5A6396F}" name="Tabla1" displayName="Tabla1" ref="A1:Q5001" totalsRowShown="0" headerRowDxfId="36" tableBorderDxfId="35">
  <autoFilter ref="A1:Q5001" xr:uid="{55384F80-896C-4081-B216-7179A5A6396F}"/>
  <sortState xmlns:xlrd2="http://schemas.microsoft.com/office/spreadsheetml/2017/richdata2" ref="A2:Q5001">
    <sortCondition ref="D1:D5001"/>
  </sortState>
  <tableColumns count="17">
    <tableColumn id="1" xr3:uid="{194A9CE8-4EFF-40A3-BC16-289F66257039}" name="ID CLIENTE" dataDxfId="34"/>
    <tableColumn id="2" xr3:uid="{826AE084-2E5B-4802-BF5E-5156874032F4}" name="GENERO" dataDxfId="33"/>
    <tableColumn id="3" xr3:uid="{DC26C679-4D4F-4606-A599-1BFF0B87A986}" name="EDAD" dataDxfId="20"/>
    <tableColumn id="17" xr3:uid="{C54F368D-047D-4F55-B952-03C52D0627DB}" name="CATEGORIA_EDAD" dataDxfId="18">
      <calculatedColumnFormula>IF(Tabla1[[#This Row],[EDAD]]&lt;=35,"Adultos jóvenes 18 - 35 años",IF(C2&gt;=36,"Adultos mayores 36 años en adelante"))</calculatedColumnFormula>
    </tableColumn>
    <tableColumn id="4" xr3:uid="{032D518F-0D8F-4802-988A-4012C18EF2B6}" name="COMPRA" dataDxfId="19"/>
    <tableColumn id="5" xr3:uid="{688296EF-49FE-4426-9159-8C160994CFD3}" name="COLOR" dataDxfId="32"/>
    <tableColumn id="6" xr3:uid="{F82EEDE8-BDB0-485E-85BB-E4D990FEC801}" name="MARCA" dataDxfId="31"/>
    <tableColumn id="7" xr3:uid="{718ABA93-77AB-4966-B5ED-FB8C4CF2EFA9}" name="CODIGO DE ROPA" dataDxfId="30"/>
    <tableColumn id="8" xr3:uid="{4BD2CC30-383F-4B9E-8EE8-4D85790E7B2D}" name="FECHA DE COMPRA" dataDxfId="29"/>
    <tableColumn id="9" xr3:uid="{2842DC60-85AB-4339-A81F-2AC695DAB4B9}" name="AÑO DE COMPRA" dataDxfId="28">
      <calculatedColumnFormula>YEAR(Tabla1[[#This Row],[FECHA DE COMPRA]])</calculatedColumnFormula>
    </tableColumn>
    <tableColumn id="10" xr3:uid="{418344B6-0AAC-4E60-8CB5-4C99439E6BA0}" name="PRECIO" dataDxfId="27" dataCellStyle="Moneda"/>
    <tableColumn id="11" xr3:uid="{62DC9FE3-4B01-4123-A542-85C85A45DD87}" name="DESCUENTO" dataDxfId="26" dataCellStyle="Porcentaje"/>
    <tableColumn id="12" xr3:uid="{DDEB4B2B-C33A-4853-ACC4-B58A147E7987}" name="TOTAL A PAGAR" dataDxfId="25" dataCellStyle="Moneda">
      <calculatedColumnFormula>Tienda!$K2-Tienda!$K2*Tienda!$L2</calculatedColumnFormula>
    </tableColumn>
    <tableColumn id="13" xr3:uid="{D0FE58C9-535F-40AA-BD6A-916D0F2602E5}" name="TIPO DE PAGO" dataDxfId="24"/>
    <tableColumn id="14" xr3:uid="{A802E676-B96A-42DD-B9DC-608411BF4240}" name="DIFERIDO" dataDxfId="23"/>
    <tableColumn id="15" xr3:uid="{1A3317BF-A1C6-4BF6-B17A-954B6162E7DF}" name="FECHA DE CORTE" dataDxfId="22"/>
    <tableColumn id="16" xr3:uid="{66C05990-9346-4141-A1D1-8978813D9B1C}" name="MESES DIFERIDO" dataDxfId="2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81BA-9F73-4799-BD46-C2DB5B170046}">
  <dimension ref="A3:D39"/>
  <sheetViews>
    <sheetView tabSelected="1" zoomScale="142" zoomScaleNormal="142" workbookViewId="0">
      <selection activeCell="B43" sqref="B43"/>
    </sheetView>
  </sheetViews>
  <sheetFormatPr baseColWidth="10" defaultRowHeight="15" x14ac:dyDescent="0.25"/>
  <cols>
    <col min="1" max="1" width="32.7109375" customWidth="1"/>
    <col min="2" max="2" width="27.28515625" bestFit="1" customWidth="1"/>
    <col min="3" max="3" width="5.42578125" bestFit="1" customWidth="1"/>
    <col min="4" max="4" width="12.5703125" hidden="1" customWidth="1"/>
    <col min="5" max="49" width="3" bestFit="1" customWidth="1"/>
    <col min="50" max="50" width="12.5703125" bestFit="1" customWidth="1"/>
    <col min="51" max="5000" width="22.42578125" bestFit="1" customWidth="1"/>
    <col min="5001" max="5001" width="12.5703125" bestFit="1" customWidth="1"/>
  </cols>
  <sheetData>
    <row r="3" spans="1:4" x14ac:dyDescent="0.25">
      <c r="A3" s="32" t="s">
        <v>10056</v>
      </c>
      <c r="B3" s="32" t="s">
        <v>10058</v>
      </c>
    </row>
    <row r="4" spans="1:4" x14ac:dyDescent="0.25">
      <c r="A4" s="32" t="s">
        <v>10044</v>
      </c>
      <c r="B4" s="35">
        <v>2024</v>
      </c>
      <c r="C4" s="35">
        <v>2025</v>
      </c>
      <c r="D4" s="35" t="s">
        <v>10055</v>
      </c>
    </row>
    <row r="5" spans="1:4" x14ac:dyDescent="0.25">
      <c r="A5" s="33" t="s">
        <v>5016</v>
      </c>
      <c r="B5" s="34">
        <v>859</v>
      </c>
      <c r="C5" s="34">
        <v>511</v>
      </c>
      <c r="D5" s="34">
        <v>1370</v>
      </c>
    </row>
    <row r="6" spans="1:4" x14ac:dyDescent="0.25">
      <c r="A6" s="33" t="s">
        <v>5015</v>
      </c>
      <c r="B6" s="34">
        <v>2243</v>
      </c>
      <c r="C6" s="34">
        <v>1387</v>
      </c>
      <c r="D6" s="34">
        <v>3630</v>
      </c>
    </row>
    <row r="7" spans="1:4" x14ac:dyDescent="0.25">
      <c r="A7" s="33" t="s">
        <v>10055</v>
      </c>
      <c r="B7" s="34">
        <v>3102</v>
      </c>
      <c r="C7" s="34">
        <v>1898</v>
      </c>
      <c r="D7" s="34">
        <v>5000</v>
      </c>
    </row>
    <row r="19" spans="1:2" x14ac:dyDescent="0.25">
      <c r="A19" s="32" t="s">
        <v>10053</v>
      </c>
      <c r="B19" t="s">
        <v>10057</v>
      </c>
    </row>
    <row r="20" spans="1:2" x14ac:dyDescent="0.25">
      <c r="A20" s="33" t="s">
        <v>10039</v>
      </c>
      <c r="B20" s="1">
        <v>94.120793916349825</v>
      </c>
    </row>
    <row r="21" spans="1:2" x14ac:dyDescent="0.25">
      <c r="A21" s="33" t="s">
        <v>10040</v>
      </c>
      <c r="B21" s="1">
        <v>82.938656418554544</v>
      </c>
    </row>
    <row r="22" spans="1:2" x14ac:dyDescent="0.25">
      <c r="A22" s="33" t="s">
        <v>10038</v>
      </c>
      <c r="B22" s="1">
        <v>94.799385581649304</v>
      </c>
    </row>
    <row r="23" spans="1:2" x14ac:dyDescent="0.25">
      <c r="A23" s="33" t="s">
        <v>10055</v>
      </c>
      <c r="B23" s="1">
        <v>90.222957600000043</v>
      </c>
    </row>
    <row r="36" spans="1:2" x14ac:dyDescent="0.25">
      <c r="A36" s="32" t="s">
        <v>10045</v>
      </c>
      <c r="B36" t="s">
        <v>10061</v>
      </c>
    </row>
    <row r="37" spans="1:2" x14ac:dyDescent="0.25">
      <c r="A37" s="33" t="s">
        <v>10060</v>
      </c>
      <c r="B37" s="34">
        <v>1856</v>
      </c>
    </row>
    <row r="38" spans="1:2" x14ac:dyDescent="0.25">
      <c r="A38" s="33" t="s">
        <v>10059</v>
      </c>
      <c r="B38" s="34">
        <v>3144</v>
      </c>
    </row>
    <row r="39" spans="1:2" x14ac:dyDescent="0.25">
      <c r="A39" s="33" t="s">
        <v>10055</v>
      </c>
      <c r="B39" s="34">
        <v>5000</v>
      </c>
    </row>
  </sheetData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Q5001"/>
  <sheetViews>
    <sheetView topLeftCell="A13" workbookViewId="0">
      <selection activeCell="D3" sqref="D3"/>
    </sheetView>
  </sheetViews>
  <sheetFormatPr baseColWidth="10" defaultColWidth="8.85546875" defaultRowHeight="15" x14ac:dyDescent="0.25"/>
  <cols>
    <col min="1" max="1" width="14.5703125" bestFit="1" customWidth="1"/>
    <col min="2" max="2" width="12.7109375" bestFit="1" customWidth="1"/>
    <col min="3" max="3" width="10.5703125" customWidth="1"/>
    <col min="4" max="4" width="26.42578125" customWidth="1"/>
    <col min="5" max="5" width="13.140625" customWidth="1"/>
    <col min="6" max="6" width="11.28515625" bestFit="1" customWidth="1"/>
    <col min="7" max="7" width="9.85546875" customWidth="1"/>
    <col min="8" max="8" width="18.5703125" customWidth="1"/>
    <col min="9" max="9" width="21.7109375" bestFit="1" customWidth="1"/>
    <col min="10" max="10" width="18.42578125" customWidth="1"/>
    <col min="11" max="11" width="17.7109375" style="9" customWidth="1"/>
    <col min="12" max="12" width="13.85546875" style="1" customWidth="1"/>
    <col min="13" max="13" width="18" style="9" customWidth="1"/>
    <col min="14" max="14" width="16.28515625" bestFit="1" customWidth="1"/>
    <col min="15" max="15" width="11.42578125" customWidth="1"/>
    <col min="16" max="17" width="17.7109375" customWidth="1"/>
  </cols>
  <sheetData>
    <row r="1" spans="1:17" x14ac:dyDescent="0.25">
      <c r="A1" s="27" t="s">
        <v>0</v>
      </c>
      <c r="B1" s="27" t="s">
        <v>1</v>
      </c>
      <c r="C1" s="27" t="s">
        <v>2</v>
      </c>
      <c r="D1" s="27" t="s">
        <v>10054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10043</v>
      </c>
      <c r="K1" s="28" t="s">
        <v>8</v>
      </c>
      <c r="L1" s="29" t="s">
        <v>9</v>
      </c>
      <c r="M1" s="28" t="s">
        <v>10</v>
      </c>
      <c r="N1" s="27" t="s">
        <v>11</v>
      </c>
      <c r="O1" s="27" t="s">
        <v>12</v>
      </c>
      <c r="P1" s="27" t="s">
        <v>13</v>
      </c>
      <c r="Q1" s="30" t="s">
        <v>14</v>
      </c>
    </row>
    <row r="2" spans="1:17" x14ac:dyDescent="0.25">
      <c r="A2" s="10" t="s">
        <v>37</v>
      </c>
      <c r="B2" s="11" t="s">
        <v>5015</v>
      </c>
      <c r="C2" s="11">
        <v>28</v>
      </c>
      <c r="D2" s="45" t="str">
        <f>IF(Tabla1[[#This Row],[EDAD]]&lt;=35,"Adultos jóvenes 18 - 35 años",IF(C2&gt;=36,"Adultos mayores 36 años en adelante"))</f>
        <v>Adultos jóvenes 18 - 35 años</v>
      </c>
      <c r="E2" s="11" t="s">
        <v>5019</v>
      </c>
      <c r="F2" s="11" t="s">
        <v>5024</v>
      </c>
      <c r="G2" s="11" t="s">
        <v>5036</v>
      </c>
      <c r="H2" s="11" t="s">
        <v>5060</v>
      </c>
      <c r="I2" s="12">
        <v>45312</v>
      </c>
      <c r="J2" s="13">
        <f>YEAR(Tabla1[[#This Row],[FECHA DE COMPRA]])</f>
        <v>2024</v>
      </c>
      <c r="K2" s="14">
        <v>11.39</v>
      </c>
      <c r="L2" s="15">
        <v>0.3</v>
      </c>
      <c r="M2" s="14">
        <f>Tienda!$K3-Tienda!$K3*Tienda!$L3</f>
        <v>21.368000000000002</v>
      </c>
      <c r="N2" s="11" t="s">
        <v>10039</v>
      </c>
      <c r="O2" s="11" t="s">
        <v>10041</v>
      </c>
      <c r="P2" s="12">
        <v>45312</v>
      </c>
      <c r="Q2" s="16">
        <v>0</v>
      </c>
    </row>
    <row r="3" spans="1:17" x14ac:dyDescent="0.25">
      <c r="A3" s="2" t="s">
        <v>1750</v>
      </c>
      <c r="B3" s="3" t="s">
        <v>5015</v>
      </c>
      <c r="C3" s="3">
        <v>24</v>
      </c>
      <c r="D3" s="46" t="str">
        <f>IF(Tabla1[[#This Row],[EDAD]]&lt;=35,"Adultos jóvenes 18 - 35 años",IF(C3&gt;=36,"Adultos mayores 36 años en adelante"))</f>
        <v>Adultos jóvenes 18 - 35 años</v>
      </c>
      <c r="E3" s="3" t="s">
        <v>5018</v>
      </c>
      <c r="F3" s="3" t="s">
        <v>5030</v>
      </c>
      <c r="G3" s="3" t="s">
        <v>5035</v>
      </c>
      <c r="H3" s="3" t="s">
        <v>6773</v>
      </c>
      <c r="I3" s="17">
        <v>45312</v>
      </c>
      <c r="J3" s="18">
        <f>YEAR(Tabla1[[#This Row],[FECHA DE COMPRA]])</f>
        <v>2024</v>
      </c>
      <c r="K3" s="19">
        <v>26.71</v>
      </c>
      <c r="L3" s="20">
        <v>0.2</v>
      </c>
      <c r="M3" s="19">
        <f>Tienda!$K4-Tienda!$K4*Tienda!$L4</f>
        <v>49.994</v>
      </c>
      <c r="N3" s="3" t="s">
        <v>10039</v>
      </c>
      <c r="O3" s="3" t="s">
        <v>10041</v>
      </c>
      <c r="P3" s="17">
        <v>45312</v>
      </c>
      <c r="Q3" s="4">
        <v>0</v>
      </c>
    </row>
    <row r="4" spans="1:17" x14ac:dyDescent="0.25">
      <c r="A4" s="2" t="s">
        <v>3540</v>
      </c>
      <c r="B4" s="3" t="s">
        <v>5016</v>
      </c>
      <c r="C4" s="3">
        <v>31</v>
      </c>
      <c r="D4" s="46" t="str">
        <f>IF(Tabla1[[#This Row],[EDAD]]&lt;=35,"Adultos jóvenes 18 - 35 años",IF(C4&gt;=36,"Adultos mayores 36 años en adelante"))</f>
        <v>Adultos jóvenes 18 - 35 años</v>
      </c>
      <c r="E4" s="3" t="s">
        <v>5021</v>
      </c>
      <c r="F4" s="3" t="s">
        <v>5025</v>
      </c>
      <c r="G4" s="3" t="s">
        <v>5034</v>
      </c>
      <c r="H4" s="3" t="s">
        <v>8563</v>
      </c>
      <c r="I4" s="17">
        <v>45313</v>
      </c>
      <c r="J4" s="18">
        <f>YEAR(Tabla1[[#This Row],[FECHA DE COMPRA]])</f>
        <v>2024</v>
      </c>
      <c r="K4" s="19">
        <v>71.42</v>
      </c>
      <c r="L4" s="20">
        <v>0.3</v>
      </c>
      <c r="M4" s="19">
        <f>Tienda!$K5-Tienda!$K5*Tienda!$L5</f>
        <v>48.111000000000004</v>
      </c>
      <c r="N4" s="3" t="s">
        <v>10039</v>
      </c>
      <c r="O4" s="3" t="s">
        <v>10041</v>
      </c>
      <c r="P4" s="17">
        <v>45313</v>
      </c>
      <c r="Q4" s="4">
        <v>0</v>
      </c>
    </row>
    <row r="5" spans="1:17" x14ac:dyDescent="0.25">
      <c r="A5" s="2" t="s">
        <v>4056</v>
      </c>
      <c r="B5" s="3" t="s">
        <v>5015</v>
      </c>
      <c r="C5" s="3">
        <v>30</v>
      </c>
      <c r="D5" s="46" t="str">
        <f>IF(Tabla1[[#This Row],[EDAD]]&lt;=35,"Adultos jóvenes 18 - 35 años",IF(C5&gt;=36,"Adultos mayores 36 años en adelante"))</f>
        <v>Adultos jóvenes 18 - 35 años</v>
      </c>
      <c r="E5" s="3" t="s">
        <v>5020</v>
      </c>
      <c r="F5" s="3" t="s">
        <v>5025</v>
      </c>
      <c r="G5" s="3" t="s">
        <v>5034</v>
      </c>
      <c r="H5" s="3" t="s">
        <v>9079</v>
      </c>
      <c r="I5" s="17">
        <v>45314</v>
      </c>
      <c r="J5" s="18">
        <f>YEAR(Tabla1[[#This Row],[FECHA DE COMPRA]])</f>
        <v>2024</v>
      </c>
      <c r="K5" s="19">
        <v>68.73</v>
      </c>
      <c r="L5" s="20">
        <v>0.3</v>
      </c>
      <c r="M5" s="19">
        <f>Tienda!$K7-Tienda!$K7*Tienda!$L7</f>
        <v>18.16</v>
      </c>
      <c r="N5" s="3" t="s">
        <v>10039</v>
      </c>
      <c r="O5" s="3" t="s">
        <v>10041</v>
      </c>
      <c r="P5" s="17">
        <v>45314</v>
      </c>
      <c r="Q5" s="4">
        <v>0</v>
      </c>
    </row>
    <row r="6" spans="1:17" x14ac:dyDescent="0.25">
      <c r="A6" s="2" t="s">
        <v>533</v>
      </c>
      <c r="B6" s="3" t="s">
        <v>5015</v>
      </c>
      <c r="C6" s="3">
        <v>22</v>
      </c>
      <c r="D6" s="46" t="str">
        <f>IF(Tabla1[[#This Row],[EDAD]]&lt;=35,"Adultos jóvenes 18 - 35 años",IF(C6&gt;=36,"Adultos mayores 36 años en adelante"))</f>
        <v>Adultos jóvenes 18 - 35 años</v>
      </c>
      <c r="E6" s="3" t="s">
        <v>5018</v>
      </c>
      <c r="F6" s="3" t="s">
        <v>5030</v>
      </c>
      <c r="G6" s="3" t="s">
        <v>5037</v>
      </c>
      <c r="H6" s="3" t="s">
        <v>5556</v>
      </c>
      <c r="I6" s="17">
        <v>45318</v>
      </c>
      <c r="J6" s="18">
        <f>YEAR(Tabla1[[#This Row],[FECHA DE COMPRA]])</f>
        <v>2024</v>
      </c>
      <c r="K6" s="19">
        <v>10.65</v>
      </c>
      <c r="L6" s="20">
        <v>0</v>
      </c>
      <c r="M6" s="19">
        <f>Tienda!$K12-Tienda!$K12*Tienda!$L12</f>
        <v>19.75</v>
      </c>
      <c r="N6" s="3" t="s">
        <v>10039</v>
      </c>
      <c r="O6" s="3" t="s">
        <v>10041</v>
      </c>
      <c r="P6" s="17">
        <v>45318</v>
      </c>
      <c r="Q6" s="4">
        <v>0</v>
      </c>
    </row>
    <row r="7" spans="1:17" x14ac:dyDescent="0.25">
      <c r="A7" s="2" t="s">
        <v>4197</v>
      </c>
      <c r="B7" s="3" t="s">
        <v>5016</v>
      </c>
      <c r="C7" s="3">
        <v>29</v>
      </c>
      <c r="D7" s="46" t="str">
        <f>IF(Tabla1[[#This Row],[EDAD]]&lt;=35,"Adultos jóvenes 18 - 35 años",IF(C7&gt;=36,"Adultos mayores 36 años en adelante"))</f>
        <v>Adultos jóvenes 18 - 35 años</v>
      </c>
      <c r="E7" s="3" t="s">
        <v>5017</v>
      </c>
      <c r="F7" s="3" t="s">
        <v>5026</v>
      </c>
      <c r="G7" s="3" t="s">
        <v>5034</v>
      </c>
      <c r="H7" s="3" t="s">
        <v>9220</v>
      </c>
      <c r="I7" s="17">
        <v>45319</v>
      </c>
      <c r="J7" s="18">
        <f>YEAR(Tabla1[[#This Row],[FECHA DE COMPRA]])</f>
        <v>2024</v>
      </c>
      <c r="K7" s="19">
        <v>22.7</v>
      </c>
      <c r="L7" s="20">
        <v>0.2</v>
      </c>
      <c r="M7" s="19">
        <f>Tienda!$K16-Tienda!$K16*Tienda!$L16</f>
        <v>128.023</v>
      </c>
      <c r="N7" s="3" t="s">
        <v>10039</v>
      </c>
      <c r="O7" s="3" t="s">
        <v>10041</v>
      </c>
      <c r="P7" s="17">
        <v>45319</v>
      </c>
      <c r="Q7" s="4">
        <v>0</v>
      </c>
    </row>
    <row r="8" spans="1:17" x14ac:dyDescent="0.25">
      <c r="A8" s="2" t="s">
        <v>4140</v>
      </c>
      <c r="B8" s="3" t="s">
        <v>5015</v>
      </c>
      <c r="C8" s="3">
        <v>22</v>
      </c>
      <c r="D8" s="46" t="str">
        <f>IF(Tabla1[[#This Row],[EDAD]]&lt;=35,"Adultos jóvenes 18 - 35 años",IF(C8&gt;=36,"Adultos mayores 36 años en adelante"))</f>
        <v>Adultos jóvenes 18 - 35 años</v>
      </c>
      <c r="E8" s="3" t="s">
        <v>5023</v>
      </c>
      <c r="F8" s="3" t="s">
        <v>5030</v>
      </c>
      <c r="G8" s="3" t="s">
        <v>5037</v>
      </c>
      <c r="H8" s="3" t="s">
        <v>9163</v>
      </c>
      <c r="I8" s="17">
        <v>45320</v>
      </c>
      <c r="J8" s="18">
        <f>YEAR(Tabla1[[#This Row],[FECHA DE COMPRA]])</f>
        <v>2024</v>
      </c>
      <c r="K8" s="19">
        <v>110</v>
      </c>
      <c r="L8" s="20">
        <v>0.1</v>
      </c>
      <c r="M8" s="19">
        <f>Tienda!$K17-Tienda!$K17*Tienda!$L17</f>
        <v>133.38399999999999</v>
      </c>
      <c r="N8" s="3" t="s">
        <v>10039</v>
      </c>
      <c r="O8" s="3" t="s">
        <v>10041</v>
      </c>
      <c r="P8" s="17">
        <v>45320</v>
      </c>
      <c r="Q8" s="4">
        <v>0</v>
      </c>
    </row>
    <row r="9" spans="1:17" x14ac:dyDescent="0.25">
      <c r="A9" s="2" t="s">
        <v>98</v>
      </c>
      <c r="B9" s="3" t="s">
        <v>5015</v>
      </c>
      <c r="C9" s="3">
        <v>24</v>
      </c>
      <c r="D9" s="46" t="str">
        <f>IF(Tabla1[[#This Row],[EDAD]]&lt;=35,"Adultos jóvenes 18 - 35 años",IF(C9&gt;=36,"Adultos mayores 36 años en adelante"))</f>
        <v>Adultos jóvenes 18 - 35 años</v>
      </c>
      <c r="E9" s="3" t="s">
        <v>5022</v>
      </c>
      <c r="F9" s="3" t="s">
        <v>5030</v>
      </c>
      <c r="G9" s="3" t="s">
        <v>5037</v>
      </c>
      <c r="H9" s="3" t="s">
        <v>5121</v>
      </c>
      <c r="I9" s="17">
        <v>45320</v>
      </c>
      <c r="J9" s="18">
        <f>YEAR(Tabla1[[#This Row],[FECHA DE COMPRA]])</f>
        <v>2024</v>
      </c>
      <c r="K9" s="19">
        <v>125.71</v>
      </c>
      <c r="L9" s="20">
        <v>0.1</v>
      </c>
      <c r="M9" s="19">
        <f>Tienda!$K18-Tienda!$K18*Tienda!$L18</f>
        <v>28.96</v>
      </c>
      <c r="N9" s="3" t="s">
        <v>10039</v>
      </c>
      <c r="O9" s="3" t="s">
        <v>10041</v>
      </c>
      <c r="P9" s="17">
        <v>45320</v>
      </c>
      <c r="Q9" s="4">
        <v>0</v>
      </c>
    </row>
    <row r="10" spans="1:17" x14ac:dyDescent="0.25">
      <c r="A10" s="2" t="s">
        <v>1815</v>
      </c>
      <c r="B10" s="3" t="s">
        <v>5015</v>
      </c>
      <c r="C10" s="3">
        <v>20</v>
      </c>
      <c r="D10" s="46" t="str">
        <f>IF(Tabla1[[#This Row],[EDAD]]&lt;=35,"Adultos jóvenes 18 - 35 años",IF(C10&gt;=36,"Adultos mayores 36 años en adelante"))</f>
        <v>Adultos jóvenes 18 - 35 años</v>
      </c>
      <c r="E10" s="3" t="s">
        <v>5023</v>
      </c>
      <c r="F10" s="3" t="s">
        <v>5029</v>
      </c>
      <c r="G10" s="3" t="s">
        <v>5032</v>
      </c>
      <c r="H10" s="3" t="s">
        <v>6838</v>
      </c>
      <c r="I10" s="17">
        <v>45320</v>
      </c>
      <c r="J10" s="18">
        <f>YEAR(Tabla1[[#This Row],[FECHA DE COMPRA]])</f>
        <v>2024</v>
      </c>
      <c r="K10" s="19">
        <v>144.35</v>
      </c>
      <c r="L10" s="20">
        <v>0.2</v>
      </c>
      <c r="M10" s="19">
        <f>Tienda!$K19-Tienda!$K19*Tienda!$L19</f>
        <v>24.231999999999999</v>
      </c>
      <c r="N10" s="3" t="s">
        <v>10039</v>
      </c>
      <c r="O10" s="3" t="s">
        <v>10041</v>
      </c>
      <c r="P10" s="17">
        <v>45320</v>
      </c>
      <c r="Q10" s="4">
        <v>0</v>
      </c>
    </row>
    <row r="11" spans="1:17" x14ac:dyDescent="0.25">
      <c r="A11" s="2" t="s">
        <v>3461</v>
      </c>
      <c r="B11" s="3" t="s">
        <v>5015</v>
      </c>
      <c r="C11" s="3">
        <v>32</v>
      </c>
      <c r="D11" s="46" t="str">
        <f>IF(Tabla1[[#This Row],[EDAD]]&lt;=35,"Adultos jóvenes 18 - 35 años",IF(C11&gt;=36,"Adultos mayores 36 años en adelante"))</f>
        <v>Adultos jóvenes 18 - 35 años</v>
      </c>
      <c r="E11" s="3" t="s">
        <v>5021</v>
      </c>
      <c r="F11" s="3" t="s">
        <v>5028</v>
      </c>
      <c r="G11" s="3" t="s">
        <v>5033</v>
      </c>
      <c r="H11" s="3" t="s">
        <v>8484</v>
      </c>
      <c r="I11" s="17">
        <v>45322</v>
      </c>
      <c r="J11" s="18">
        <f>YEAR(Tabla1[[#This Row],[FECHA DE COMPRA]])</f>
        <v>2024</v>
      </c>
      <c r="K11" s="19">
        <v>86.15</v>
      </c>
      <c r="L11" s="20">
        <v>0.1</v>
      </c>
      <c r="M11" s="19">
        <f>Tienda!$K20-Tienda!$K20*Tienda!$L20</f>
        <v>84.52000000000001</v>
      </c>
      <c r="N11" s="3" t="s">
        <v>10039</v>
      </c>
      <c r="O11" s="3" t="s">
        <v>10041</v>
      </c>
      <c r="P11" s="17">
        <v>45322</v>
      </c>
      <c r="Q11" s="4">
        <v>0</v>
      </c>
    </row>
    <row r="12" spans="1:17" x14ac:dyDescent="0.25">
      <c r="A12" s="2" t="s">
        <v>4454</v>
      </c>
      <c r="B12" s="3" t="s">
        <v>5015</v>
      </c>
      <c r="C12" s="3">
        <v>18</v>
      </c>
      <c r="D12" s="46" t="str">
        <f>IF(Tabla1[[#This Row],[EDAD]]&lt;=35,"Adultos jóvenes 18 - 35 años",IF(C12&gt;=36,"Adultos mayores 36 años en adelante"))</f>
        <v>Adultos jóvenes 18 - 35 años</v>
      </c>
      <c r="E12" s="3" t="s">
        <v>5017</v>
      </c>
      <c r="F12" s="3" t="s">
        <v>5026</v>
      </c>
      <c r="G12" s="3" t="s">
        <v>5033</v>
      </c>
      <c r="H12" s="3" t="s">
        <v>9477</v>
      </c>
      <c r="I12" s="17">
        <v>45325</v>
      </c>
      <c r="J12" s="18">
        <f>YEAR(Tabla1[[#This Row],[FECHA DE COMPRA]])</f>
        <v>2024</v>
      </c>
      <c r="K12" s="19">
        <v>19.75</v>
      </c>
      <c r="L12" s="20">
        <v>0</v>
      </c>
      <c r="M12" s="19">
        <f>Tienda!$K22-Tienda!$K22*Tienda!$L22</f>
        <v>87.146999999999991</v>
      </c>
      <c r="N12" s="3" t="s">
        <v>10039</v>
      </c>
      <c r="O12" s="3" t="s">
        <v>10041</v>
      </c>
      <c r="P12" s="17">
        <v>45325</v>
      </c>
      <c r="Q12" s="4">
        <v>0</v>
      </c>
    </row>
    <row r="13" spans="1:17" x14ac:dyDescent="0.25">
      <c r="A13" s="2" t="s">
        <v>167</v>
      </c>
      <c r="B13" s="3" t="s">
        <v>5015</v>
      </c>
      <c r="C13" s="3">
        <v>34</v>
      </c>
      <c r="D13" s="46" t="str">
        <f>IF(Tabla1[[#This Row],[EDAD]]&lt;=35,"Adultos jóvenes 18 - 35 años",IF(C13&gt;=36,"Adultos mayores 36 años en adelante"))</f>
        <v>Adultos jóvenes 18 - 35 años</v>
      </c>
      <c r="E13" s="3" t="s">
        <v>5020</v>
      </c>
      <c r="F13" s="3" t="s">
        <v>5028</v>
      </c>
      <c r="G13" s="3" t="s">
        <v>5037</v>
      </c>
      <c r="H13" s="3" t="s">
        <v>5190</v>
      </c>
      <c r="I13" s="17">
        <v>45325</v>
      </c>
      <c r="J13" s="18">
        <f>YEAR(Tabla1[[#This Row],[FECHA DE COMPRA]])</f>
        <v>2024</v>
      </c>
      <c r="K13" s="19">
        <v>62.52</v>
      </c>
      <c r="L13" s="20">
        <v>0.2</v>
      </c>
      <c r="M13" s="19">
        <f>Tienda!$K24-Tienda!$K24*Tienda!$L24</f>
        <v>37.869999999999997</v>
      </c>
      <c r="N13" s="3" t="s">
        <v>10039</v>
      </c>
      <c r="O13" s="3" t="s">
        <v>10041</v>
      </c>
      <c r="P13" s="17">
        <v>45325</v>
      </c>
      <c r="Q13" s="4">
        <v>0</v>
      </c>
    </row>
    <row r="14" spans="1:17" x14ac:dyDescent="0.25">
      <c r="A14" s="2" t="s">
        <v>4834</v>
      </c>
      <c r="B14" s="3" t="s">
        <v>5016</v>
      </c>
      <c r="C14" s="3">
        <v>18</v>
      </c>
      <c r="D14" s="46" t="str">
        <f>IF(Tabla1[[#This Row],[EDAD]]&lt;=35,"Adultos jóvenes 18 - 35 años",IF(C14&gt;=36,"Adultos mayores 36 años en adelante"))</f>
        <v>Adultos jóvenes 18 - 35 años</v>
      </c>
      <c r="E14" s="3" t="s">
        <v>5017</v>
      </c>
      <c r="F14" s="3" t="s">
        <v>5024</v>
      </c>
      <c r="G14" s="3" t="s">
        <v>5035</v>
      </c>
      <c r="H14" s="3" t="s">
        <v>9857</v>
      </c>
      <c r="I14" s="17">
        <v>45325</v>
      </c>
      <c r="J14" s="18">
        <f>YEAR(Tabla1[[#This Row],[FECHA DE COMPRA]])</f>
        <v>2024</v>
      </c>
      <c r="K14" s="19">
        <v>167.79</v>
      </c>
      <c r="L14" s="20">
        <v>0.2</v>
      </c>
      <c r="M14" s="19">
        <f>Tienda!$K25-Tienda!$K25*Tienda!$L25</f>
        <v>144.47</v>
      </c>
      <c r="N14" s="3" t="s">
        <v>10039</v>
      </c>
      <c r="O14" s="3" t="s">
        <v>10041</v>
      </c>
      <c r="P14" s="17">
        <v>45325</v>
      </c>
      <c r="Q14" s="4">
        <v>0</v>
      </c>
    </row>
    <row r="15" spans="1:17" x14ac:dyDescent="0.25">
      <c r="A15" s="2" t="s">
        <v>1561</v>
      </c>
      <c r="B15" s="3" t="s">
        <v>5016</v>
      </c>
      <c r="C15" s="3">
        <v>21</v>
      </c>
      <c r="D15" s="46" t="str">
        <f>IF(Tabla1[[#This Row],[EDAD]]&lt;=35,"Adultos jóvenes 18 - 35 años",IF(C15&gt;=36,"Adultos mayores 36 años en adelante"))</f>
        <v>Adultos jóvenes 18 - 35 años</v>
      </c>
      <c r="E15" s="3" t="s">
        <v>5023</v>
      </c>
      <c r="F15" s="3" t="s">
        <v>5024</v>
      </c>
      <c r="G15" s="3" t="s">
        <v>5031</v>
      </c>
      <c r="H15" s="3" t="s">
        <v>6584</v>
      </c>
      <c r="I15" s="17">
        <v>45330</v>
      </c>
      <c r="J15" s="18">
        <f>YEAR(Tabla1[[#This Row],[FECHA DE COMPRA]])</f>
        <v>2024</v>
      </c>
      <c r="K15" s="19">
        <v>97.71</v>
      </c>
      <c r="L15" s="20">
        <v>0.1</v>
      </c>
      <c r="M15" s="19">
        <f>Tienda!$K30-Tienda!$K30*Tienda!$L30</f>
        <v>32.585000000000001</v>
      </c>
      <c r="N15" s="3" t="s">
        <v>10039</v>
      </c>
      <c r="O15" s="3" t="s">
        <v>10041</v>
      </c>
      <c r="P15" s="17">
        <v>45330</v>
      </c>
      <c r="Q15" s="4">
        <v>0</v>
      </c>
    </row>
    <row r="16" spans="1:17" x14ac:dyDescent="0.25">
      <c r="A16" s="2" t="s">
        <v>2756</v>
      </c>
      <c r="B16" s="3" t="s">
        <v>5015</v>
      </c>
      <c r="C16" s="3">
        <v>35</v>
      </c>
      <c r="D16" s="46" t="str">
        <f>IF(Tabla1[[#This Row],[EDAD]]&lt;=35,"Adultos jóvenes 18 - 35 años",IF(C16&gt;=36,"Adultos mayores 36 años en adelante"))</f>
        <v>Adultos jóvenes 18 - 35 años</v>
      </c>
      <c r="E16" s="3" t="s">
        <v>5019</v>
      </c>
      <c r="F16" s="3" t="s">
        <v>5024</v>
      </c>
      <c r="G16" s="3" t="s">
        <v>5037</v>
      </c>
      <c r="H16" s="3" t="s">
        <v>7779</v>
      </c>
      <c r="I16" s="17">
        <v>45330</v>
      </c>
      <c r="J16" s="18">
        <f>YEAR(Tabla1[[#This Row],[FECHA DE COMPRA]])</f>
        <v>2024</v>
      </c>
      <c r="K16" s="19">
        <v>182.89</v>
      </c>
      <c r="L16" s="20">
        <v>0.3</v>
      </c>
      <c r="M16" s="19">
        <f>Tienda!$K32-Tienda!$K32*Tienda!$L32</f>
        <v>15.984</v>
      </c>
      <c r="N16" s="3" t="s">
        <v>10039</v>
      </c>
      <c r="O16" s="3" t="s">
        <v>10041</v>
      </c>
      <c r="P16" s="17">
        <v>45330</v>
      </c>
      <c r="Q16" s="4">
        <v>0</v>
      </c>
    </row>
    <row r="17" spans="1:17" x14ac:dyDescent="0.25">
      <c r="A17" s="2" t="s">
        <v>2638</v>
      </c>
      <c r="B17" s="3" t="s">
        <v>5015</v>
      </c>
      <c r="C17" s="3">
        <v>25</v>
      </c>
      <c r="D17" s="46" t="str">
        <f>IF(Tabla1[[#This Row],[EDAD]]&lt;=35,"Adultos jóvenes 18 - 35 años",IF(C17&gt;=36,"Adultos mayores 36 años en adelante"))</f>
        <v>Adultos jóvenes 18 - 35 años</v>
      </c>
      <c r="E17" s="3" t="s">
        <v>5020</v>
      </c>
      <c r="F17" s="3" t="s">
        <v>5024</v>
      </c>
      <c r="G17" s="3" t="s">
        <v>5035</v>
      </c>
      <c r="H17" s="3" t="s">
        <v>7661</v>
      </c>
      <c r="I17" s="17">
        <v>45336</v>
      </c>
      <c r="J17" s="18">
        <f>YEAR(Tabla1[[#This Row],[FECHA DE COMPRA]])</f>
        <v>2024</v>
      </c>
      <c r="K17" s="19">
        <v>166.73</v>
      </c>
      <c r="L17" s="20">
        <v>0.2</v>
      </c>
      <c r="M17" s="19">
        <f>Tienda!$K38-Tienda!$K38*Tienda!$L38</f>
        <v>146.82</v>
      </c>
      <c r="N17" s="3" t="s">
        <v>10039</v>
      </c>
      <c r="O17" s="3" t="s">
        <v>10041</v>
      </c>
      <c r="P17" s="17">
        <v>45336</v>
      </c>
      <c r="Q17" s="4">
        <v>0</v>
      </c>
    </row>
    <row r="18" spans="1:17" x14ac:dyDescent="0.25">
      <c r="A18" s="2" t="s">
        <v>980</v>
      </c>
      <c r="B18" s="3" t="s">
        <v>5015</v>
      </c>
      <c r="C18" s="3">
        <v>24</v>
      </c>
      <c r="D18" s="46" t="str">
        <f>IF(Tabla1[[#This Row],[EDAD]]&lt;=35,"Adultos jóvenes 18 - 35 años",IF(C18&gt;=36,"Adultos mayores 36 años en adelante"))</f>
        <v>Adultos jóvenes 18 - 35 años</v>
      </c>
      <c r="E18" s="3" t="s">
        <v>5022</v>
      </c>
      <c r="F18" s="3" t="s">
        <v>5028</v>
      </c>
      <c r="G18" s="3" t="s">
        <v>5035</v>
      </c>
      <c r="H18" s="3" t="s">
        <v>6003</v>
      </c>
      <c r="I18" s="17">
        <v>45337</v>
      </c>
      <c r="J18" s="18">
        <f>YEAR(Tabla1[[#This Row],[FECHA DE COMPRA]])</f>
        <v>2024</v>
      </c>
      <c r="K18" s="19">
        <v>36.200000000000003</v>
      </c>
      <c r="L18" s="20">
        <v>0.2</v>
      </c>
      <c r="M18" s="19">
        <f>Tienda!$K40-Tienda!$K40*Tienda!$L40</f>
        <v>173.44800000000001</v>
      </c>
      <c r="N18" s="3" t="s">
        <v>10039</v>
      </c>
      <c r="O18" s="3" t="s">
        <v>10041</v>
      </c>
      <c r="P18" s="17">
        <v>45337</v>
      </c>
      <c r="Q18" s="4">
        <v>0</v>
      </c>
    </row>
    <row r="19" spans="1:17" x14ac:dyDescent="0.25">
      <c r="A19" s="2" t="s">
        <v>2475</v>
      </c>
      <c r="B19" s="3" t="s">
        <v>5015</v>
      </c>
      <c r="C19" s="3">
        <v>18</v>
      </c>
      <c r="D19" s="46" t="str">
        <f>IF(Tabla1[[#This Row],[EDAD]]&lt;=35,"Adultos jóvenes 18 - 35 años",IF(C19&gt;=36,"Adultos mayores 36 años en adelante"))</f>
        <v>Adultos jóvenes 18 - 35 años</v>
      </c>
      <c r="E19" s="3" t="s">
        <v>5023</v>
      </c>
      <c r="F19" s="3" t="s">
        <v>5027</v>
      </c>
      <c r="G19" s="3" t="s">
        <v>5036</v>
      </c>
      <c r="H19" s="3" t="s">
        <v>7498</v>
      </c>
      <c r="I19" s="17">
        <v>45342</v>
      </c>
      <c r="J19" s="18">
        <f>YEAR(Tabla1[[#This Row],[FECHA DE COMPRA]])</f>
        <v>2024</v>
      </c>
      <c r="K19" s="19">
        <v>30.29</v>
      </c>
      <c r="L19" s="20">
        <v>0.2</v>
      </c>
      <c r="M19" s="19">
        <f>Tienda!$K46-Tienda!$K46*Tienda!$L46</f>
        <v>60.011000000000003</v>
      </c>
      <c r="N19" s="3" t="s">
        <v>10039</v>
      </c>
      <c r="O19" s="3" t="s">
        <v>10041</v>
      </c>
      <c r="P19" s="17">
        <v>45342</v>
      </c>
      <c r="Q19" s="4">
        <v>0</v>
      </c>
    </row>
    <row r="20" spans="1:17" x14ac:dyDescent="0.25">
      <c r="A20" s="2" t="s">
        <v>3483</v>
      </c>
      <c r="B20" s="3" t="s">
        <v>5015</v>
      </c>
      <c r="C20" s="3">
        <v>20</v>
      </c>
      <c r="D20" s="46" t="str">
        <f>IF(Tabla1[[#This Row],[EDAD]]&lt;=35,"Adultos jóvenes 18 - 35 años",IF(C20&gt;=36,"Adultos mayores 36 años en adelante"))</f>
        <v>Adultos jóvenes 18 - 35 años</v>
      </c>
      <c r="E20" s="3" t="s">
        <v>5020</v>
      </c>
      <c r="F20" s="3" t="s">
        <v>5030</v>
      </c>
      <c r="G20" s="3" t="s">
        <v>5032</v>
      </c>
      <c r="H20" s="3" t="s">
        <v>8506</v>
      </c>
      <c r="I20" s="17">
        <v>45342</v>
      </c>
      <c r="J20" s="18">
        <f>YEAR(Tabla1[[#This Row],[FECHA DE COMPRA]])</f>
        <v>2024</v>
      </c>
      <c r="K20" s="19">
        <v>105.65</v>
      </c>
      <c r="L20" s="20">
        <v>0.2</v>
      </c>
      <c r="M20" s="19">
        <f>Tienda!$K48-Tienda!$K48*Tienda!$L48</f>
        <v>157.72999999999999</v>
      </c>
      <c r="N20" s="3" t="s">
        <v>10039</v>
      </c>
      <c r="O20" s="3" t="s">
        <v>10041</v>
      </c>
      <c r="P20" s="17">
        <v>45342</v>
      </c>
      <c r="Q20" s="4">
        <v>0</v>
      </c>
    </row>
    <row r="21" spans="1:17" x14ac:dyDescent="0.25">
      <c r="A21" s="2" t="s">
        <v>3507</v>
      </c>
      <c r="B21" s="3" t="s">
        <v>5015</v>
      </c>
      <c r="C21" s="3">
        <v>26</v>
      </c>
      <c r="D21" s="46" t="str">
        <f>IF(Tabla1[[#This Row],[EDAD]]&lt;=35,"Adultos jóvenes 18 - 35 años",IF(C21&gt;=36,"Adultos mayores 36 años en adelante"))</f>
        <v>Adultos jóvenes 18 - 35 años</v>
      </c>
      <c r="E21" s="3" t="s">
        <v>5018</v>
      </c>
      <c r="F21" s="3" t="s">
        <v>5026</v>
      </c>
      <c r="G21" s="3" t="s">
        <v>5033</v>
      </c>
      <c r="H21" s="3" t="s">
        <v>8530</v>
      </c>
      <c r="I21" s="17">
        <v>45344</v>
      </c>
      <c r="J21" s="18">
        <f>YEAR(Tabla1[[#This Row],[FECHA DE COMPRA]])</f>
        <v>2024</v>
      </c>
      <c r="K21" s="19">
        <v>74.150000000000006</v>
      </c>
      <c r="L21" s="20">
        <v>0</v>
      </c>
      <c r="M21" s="19">
        <f>Tienda!$K52-Tienda!$K52*Tienda!$L52</f>
        <v>45.68</v>
      </c>
      <c r="N21" s="3" t="s">
        <v>10039</v>
      </c>
      <c r="O21" s="3" t="s">
        <v>10041</v>
      </c>
      <c r="P21" s="17">
        <v>45344</v>
      </c>
      <c r="Q21" s="4">
        <v>0</v>
      </c>
    </row>
    <row r="22" spans="1:17" x14ac:dyDescent="0.25">
      <c r="A22" s="2" t="s">
        <v>943</v>
      </c>
      <c r="B22" s="3" t="s">
        <v>5015</v>
      </c>
      <c r="C22" s="3">
        <v>22</v>
      </c>
      <c r="D22" s="46" t="str">
        <f>IF(Tabla1[[#This Row],[EDAD]]&lt;=35,"Adultos jóvenes 18 - 35 años",IF(C22&gt;=36,"Adultos mayores 36 años en adelante"))</f>
        <v>Adultos jóvenes 18 - 35 años</v>
      </c>
      <c r="E22" s="3" t="s">
        <v>5019</v>
      </c>
      <c r="F22" s="3" t="s">
        <v>5027</v>
      </c>
      <c r="G22" s="3" t="s">
        <v>5037</v>
      </c>
      <c r="H22" s="3" t="s">
        <v>5966</v>
      </c>
      <c r="I22" s="17">
        <v>45344</v>
      </c>
      <c r="J22" s="18">
        <f>YEAR(Tabla1[[#This Row],[FECHA DE COMPRA]])</f>
        <v>2024</v>
      </c>
      <c r="K22" s="19">
        <v>96.83</v>
      </c>
      <c r="L22" s="20">
        <v>0.1</v>
      </c>
      <c r="M22" s="19">
        <f>Tienda!$K53-Tienda!$K53*Tienda!$L53</f>
        <v>105.4</v>
      </c>
      <c r="N22" s="3" t="s">
        <v>10039</v>
      </c>
      <c r="O22" s="3" t="s">
        <v>10041</v>
      </c>
      <c r="P22" s="17">
        <v>45344</v>
      </c>
      <c r="Q22" s="4">
        <v>0</v>
      </c>
    </row>
    <row r="23" spans="1:17" x14ac:dyDescent="0.25">
      <c r="A23" s="2" t="s">
        <v>3529</v>
      </c>
      <c r="B23" s="3" t="s">
        <v>5015</v>
      </c>
      <c r="C23" s="3">
        <v>24</v>
      </c>
      <c r="D23" s="46" t="str">
        <f>IF(Tabla1[[#This Row],[EDAD]]&lt;=35,"Adultos jóvenes 18 - 35 años",IF(C23&gt;=36,"Adultos mayores 36 años en adelante"))</f>
        <v>Adultos jóvenes 18 - 35 años</v>
      </c>
      <c r="E23" s="3" t="s">
        <v>5023</v>
      </c>
      <c r="F23" s="3" t="s">
        <v>5027</v>
      </c>
      <c r="G23" s="3" t="s">
        <v>5031</v>
      </c>
      <c r="H23" s="3" t="s">
        <v>8552</v>
      </c>
      <c r="I23" s="17">
        <v>45344</v>
      </c>
      <c r="J23" s="18">
        <f>YEAR(Tabla1[[#This Row],[FECHA DE COMPRA]])</f>
        <v>2024</v>
      </c>
      <c r="K23" s="19">
        <v>190.13</v>
      </c>
      <c r="L23" s="20">
        <v>0.1</v>
      </c>
      <c r="M23" s="19">
        <f>Tienda!$K55-Tienda!$K55*Tienda!$L55</f>
        <v>89.018999999999991</v>
      </c>
      <c r="N23" s="3" t="s">
        <v>10039</v>
      </c>
      <c r="O23" s="3" t="s">
        <v>10041</v>
      </c>
      <c r="P23" s="17">
        <v>45344</v>
      </c>
      <c r="Q23" s="4">
        <v>0</v>
      </c>
    </row>
    <row r="24" spans="1:17" x14ac:dyDescent="0.25">
      <c r="A24" s="2" t="s">
        <v>3712</v>
      </c>
      <c r="B24" s="3" t="s">
        <v>5015</v>
      </c>
      <c r="C24" s="3">
        <v>24</v>
      </c>
      <c r="D24" s="46" t="str">
        <f>IF(Tabla1[[#This Row],[EDAD]]&lt;=35,"Adultos jóvenes 18 - 35 años",IF(C24&gt;=36,"Adultos mayores 36 años en adelante"))</f>
        <v>Adultos jóvenes 18 - 35 años</v>
      </c>
      <c r="E24" s="3" t="s">
        <v>5018</v>
      </c>
      <c r="F24" s="3" t="s">
        <v>5024</v>
      </c>
      <c r="G24" s="3" t="s">
        <v>5035</v>
      </c>
      <c r="H24" s="3" t="s">
        <v>8735</v>
      </c>
      <c r="I24" s="17">
        <v>45349</v>
      </c>
      <c r="J24" s="18">
        <f>YEAR(Tabla1[[#This Row],[FECHA DE COMPRA]])</f>
        <v>2024</v>
      </c>
      <c r="K24" s="19">
        <v>37.869999999999997</v>
      </c>
      <c r="L24" s="20">
        <v>0</v>
      </c>
      <c r="M24" s="19">
        <f>Tienda!$K61-Tienda!$K61*Tienda!$L61</f>
        <v>34.51</v>
      </c>
      <c r="N24" s="3" t="s">
        <v>10039</v>
      </c>
      <c r="O24" s="3" t="s">
        <v>10041</v>
      </c>
      <c r="P24" s="17">
        <v>45349</v>
      </c>
      <c r="Q24" s="4">
        <v>0</v>
      </c>
    </row>
    <row r="25" spans="1:17" x14ac:dyDescent="0.25">
      <c r="A25" s="2" t="s">
        <v>2470</v>
      </c>
      <c r="B25" s="3" t="s">
        <v>5015</v>
      </c>
      <c r="C25" s="3">
        <v>33</v>
      </c>
      <c r="D25" s="46" t="str">
        <f>IF(Tabla1[[#This Row],[EDAD]]&lt;=35,"Adultos jóvenes 18 - 35 años",IF(C25&gt;=36,"Adultos mayores 36 años en adelante"))</f>
        <v>Adultos jóvenes 18 - 35 años</v>
      </c>
      <c r="E25" s="3" t="s">
        <v>5018</v>
      </c>
      <c r="F25" s="3" t="s">
        <v>5027</v>
      </c>
      <c r="G25" s="3" t="s">
        <v>5034</v>
      </c>
      <c r="H25" s="3" t="s">
        <v>7493</v>
      </c>
      <c r="I25" s="17">
        <v>45335</v>
      </c>
      <c r="J25" s="18">
        <f>YEAR(Tabla1[[#This Row],[FECHA DE COMPRA]])</f>
        <v>2024</v>
      </c>
      <c r="K25" s="19">
        <v>144.47</v>
      </c>
      <c r="L25" s="20">
        <v>0</v>
      </c>
      <c r="M25" s="19">
        <f>Tienda!$K64-Tienda!$K64*Tienda!$L64</f>
        <v>138.45599999999999</v>
      </c>
      <c r="N25" s="3" t="s">
        <v>10039</v>
      </c>
      <c r="O25" s="3" t="s">
        <v>10041</v>
      </c>
      <c r="P25" s="17">
        <v>45371</v>
      </c>
      <c r="Q25" s="4">
        <v>0</v>
      </c>
    </row>
    <row r="26" spans="1:17" x14ac:dyDescent="0.25">
      <c r="A26" s="2" t="s">
        <v>3464</v>
      </c>
      <c r="B26" s="3" t="s">
        <v>5015</v>
      </c>
      <c r="C26" s="3">
        <v>34</v>
      </c>
      <c r="D26" s="46" t="str">
        <f>IF(Tabla1[[#This Row],[EDAD]]&lt;=35,"Adultos jóvenes 18 - 35 años",IF(C26&gt;=36,"Adultos mayores 36 años en adelante"))</f>
        <v>Adultos jóvenes 18 - 35 años</v>
      </c>
      <c r="E26" s="3" t="s">
        <v>5019</v>
      </c>
      <c r="F26" s="3" t="s">
        <v>5027</v>
      </c>
      <c r="G26" s="3" t="s">
        <v>5037</v>
      </c>
      <c r="H26" s="3" t="s">
        <v>8487</v>
      </c>
      <c r="I26" s="17">
        <v>45335</v>
      </c>
      <c r="J26" s="18">
        <f>YEAR(Tabla1[[#This Row],[FECHA DE COMPRA]])</f>
        <v>2024</v>
      </c>
      <c r="K26" s="19">
        <v>106.54</v>
      </c>
      <c r="L26" s="20">
        <v>0.1</v>
      </c>
      <c r="M26" s="19">
        <f>Tienda!$K65-Tienda!$K65*Tienda!$L65</f>
        <v>7.056</v>
      </c>
      <c r="N26" s="3" t="s">
        <v>10039</v>
      </c>
      <c r="O26" s="3" t="s">
        <v>10041</v>
      </c>
      <c r="P26" s="17">
        <v>45373</v>
      </c>
      <c r="Q26" s="4">
        <v>0</v>
      </c>
    </row>
    <row r="27" spans="1:17" x14ac:dyDescent="0.25">
      <c r="A27" s="2" t="s">
        <v>455</v>
      </c>
      <c r="B27" s="3" t="s">
        <v>5015</v>
      </c>
      <c r="C27" s="3">
        <v>22</v>
      </c>
      <c r="D27" s="46" t="str">
        <f>IF(Tabla1[[#This Row],[EDAD]]&lt;=35,"Adultos jóvenes 18 - 35 años",IF(C27&gt;=36,"Adultos mayores 36 años en adelante"))</f>
        <v>Adultos jóvenes 18 - 35 años</v>
      </c>
      <c r="E27" s="3" t="s">
        <v>5021</v>
      </c>
      <c r="F27" s="3" t="s">
        <v>5025</v>
      </c>
      <c r="G27" s="3" t="s">
        <v>5032</v>
      </c>
      <c r="H27" s="3" t="s">
        <v>5478</v>
      </c>
      <c r="I27" s="17">
        <v>45335</v>
      </c>
      <c r="J27" s="18">
        <f>YEAR(Tabla1[[#This Row],[FECHA DE COMPRA]])</f>
        <v>2024</v>
      </c>
      <c r="K27" s="19">
        <v>128.9</v>
      </c>
      <c r="L27" s="20">
        <v>0.3</v>
      </c>
      <c r="M27" s="19">
        <f>Tienda!$K66-Tienda!$K66*Tienda!$L66</f>
        <v>56.105000000000004</v>
      </c>
      <c r="N27" s="3" t="s">
        <v>10039</v>
      </c>
      <c r="O27" s="3" t="s">
        <v>10041</v>
      </c>
      <c r="P27" s="17">
        <v>45373</v>
      </c>
      <c r="Q27" s="4">
        <v>0</v>
      </c>
    </row>
    <row r="28" spans="1:17" x14ac:dyDescent="0.25">
      <c r="A28" s="2" t="s">
        <v>93</v>
      </c>
      <c r="B28" s="3" t="s">
        <v>5015</v>
      </c>
      <c r="C28" s="3">
        <v>21</v>
      </c>
      <c r="D28" s="46" t="str">
        <f>IF(Tabla1[[#This Row],[EDAD]]&lt;=35,"Adultos jóvenes 18 - 35 años",IF(C28&gt;=36,"Adultos mayores 36 años en adelante"))</f>
        <v>Adultos jóvenes 18 - 35 años</v>
      </c>
      <c r="E28" s="3" t="s">
        <v>5018</v>
      </c>
      <c r="F28" s="3" t="s">
        <v>5024</v>
      </c>
      <c r="G28" s="3" t="s">
        <v>5031</v>
      </c>
      <c r="H28" s="3" t="s">
        <v>5116</v>
      </c>
      <c r="I28" s="17">
        <v>45335</v>
      </c>
      <c r="J28" s="18">
        <f>YEAR(Tabla1[[#This Row],[FECHA DE COMPRA]])</f>
        <v>2024</v>
      </c>
      <c r="K28" s="19">
        <v>177.21</v>
      </c>
      <c r="L28" s="20">
        <v>0</v>
      </c>
      <c r="M28" s="19">
        <f>Tienda!$K67-Tienda!$K67*Tienda!$L67</f>
        <v>165.46</v>
      </c>
      <c r="N28" s="3" t="s">
        <v>10039</v>
      </c>
      <c r="O28" s="3" t="s">
        <v>10041</v>
      </c>
      <c r="P28" s="17">
        <v>45375</v>
      </c>
      <c r="Q28" s="4">
        <v>0</v>
      </c>
    </row>
    <row r="29" spans="1:17" x14ac:dyDescent="0.25">
      <c r="A29" s="2" t="s">
        <v>1082</v>
      </c>
      <c r="B29" s="3" t="s">
        <v>5016</v>
      </c>
      <c r="C29" s="3">
        <v>30</v>
      </c>
      <c r="D29" s="46" t="str">
        <f>IF(Tabla1[[#This Row],[EDAD]]&lt;=35,"Adultos jóvenes 18 - 35 años",IF(C29&gt;=36,"Adultos mayores 36 años en adelante"))</f>
        <v>Adultos jóvenes 18 - 35 años</v>
      </c>
      <c r="E29" s="3" t="s">
        <v>5017</v>
      </c>
      <c r="F29" s="3" t="s">
        <v>5030</v>
      </c>
      <c r="G29" s="3" t="s">
        <v>5034</v>
      </c>
      <c r="H29" s="3" t="s">
        <v>6105</v>
      </c>
      <c r="I29" s="17">
        <v>45352</v>
      </c>
      <c r="J29" s="18">
        <f>YEAR(Tabla1[[#This Row],[FECHA DE COMPRA]])</f>
        <v>2024</v>
      </c>
      <c r="K29" s="19">
        <v>91.63</v>
      </c>
      <c r="L29" s="20">
        <v>0.1</v>
      </c>
      <c r="M29" s="19">
        <f>Tienda!$K70-Tienda!$K70*Tienda!$L70</f>
        <v>86.4</v>
      </c>
      <c r="N29" s="3" t="s">
        <v>10039</v>
      </c>
      <c r="O29" s="3" t="s">
        <v>10041</v>
      </c>
      <c r="P29" s="17">
        <v>45352</v>
      </c>
      <c r="Q29" s="4">
        <v>0</v>
      </c>
    </row>
    <row r="30" spans="1:17" x14ac:dyDescent="0.25">
      <c r="A30" s="2" t="s">
        <v>126</v>
      </c>
      <c r="B30" s="3" t="s">
        <v>5016</v>
      </c>
      <c r="C30" s="3">
        <v>22</v>
      </c>
      <c r="D30" s="46" t="str">
        <f>IF(Tabla1[[#This Row],[EDAD]]&lt;=35,"Adultos jóvenes 18 - 35 años",IF(C30&gt;=36,"Adultos mayores 36 años en adelante"))</f>
        <v>Adultos jóvenes 18 - 35 años</v>
      </c>
      <c r="E30" s="3" t="s">
        <v>5023</v>
      </c>
      <c r="F30" s="3" t="s">
        <v>5030</v>
      </c>
      <c r="G30" s="3" t="s">
        <v>5031</v>
      </c>
      <c r="H30" s="3" t="s">
        <v>5149</v>
      </c>
      <c r="I30" s="17">
        <v>45354</v>
      </c>
      <c r="J30" s="18">
        <f>YEAR(Tabla1[[#This Row],[FECHA DE COMPRA]])</f>
        <v>2024</v>
      </c>
      <c r="K30" s="19">
        <v>46.55</v>
      </c>
      <c r="L30" s="20">
        <v>0.3</v>
      </c>
      <c r="M30" s="19">
        <f>Tienda!$K72-Tienda!$K72*Tienda!$L72</f>
        <v>82.295999999999992</v>
      </c>
      <c r="N30" s="3" t="s">
        <v>10039</v>
      </c>
      <c r="O30" s="3" t="s">
        <v>10041</v>
      </c>
      <c r="P30" s="17">
        <v>45354</v>
      </c>
      <c r="Q30" s="4">
        <v>0</v>
      </c>
    </row>
    <row r="31" spans="1:17" x14ac:dyDescent="0.25">
      <c r="A31" s="2" t="s">
        <v>2111</v>
      </c>
      <c r="B31" s="3" t="s">
        <v>5015</v>
      </c>
      <c r="C31" s="3">
        <v>29</v>
      </c>
      <c r="D31" s="46" t="str">
        <f>IF(Tabla1[[#This Row],[EDAD]]&lt;=35,"Adultos jóvenes 18 - 35 años",IF(C31&gt;=36,"Adultos mayores 36 años en adelante"))</f>
        <v>Adultos jóvenes 18 - 35 años</v>
      </c>
      <c r="E31" s="3" t="s">
        <v>5022</v>
      </c>
      <c r="F31" s="3" t="s">
        <v>5028</v>
      </c>
      <c r="G31" s="3" t="s">
        <v>5034</v>
      </c>
      <c r="H31" s="3" t="s">
        <v>7134</v>
      </c>
      <c r="I31" s="17">
        <v>45354</v>
      </c>
      <c r="J31" s="18">
        <f>YEAR(Tabla1[[#This Row],[FECHA DE COMPRA]])</f>
        <v>2024</v>
      </c>
      <c r="K31" s="19">
        <v>66.63</v>
      </c>
      <c r="L31" s="20">
        <v>0.2</v>
      </c>
      <c r="M31" s="19">
        <f>Tienda!$K73-Tienda!$K73*Tienda!$L73</f>
        <v>88.634000000000015</v>
      </c>
      <c r="N31" s="3" t="s">
        <v>10039</v>
      </c>
      <c r="O31" s="3" t="s">
        <v>10041</v>
      </c>
      <c r="P31" s="17">
        <v>45354</v>
      </c>
      <c r="Q31" s="4">
        <v>0</v>
      </c>
    </row>
    <row r="32" spans="1:17" x14ac:dyDescent="0.25">
      <c r="A32" s="2" t="s">
        <v>1790</v>
      </c>
      <c r="B32" s="3" t="s">
        <v>5015</v>
      </c>
      <c r="C32" s="3">
        <v>26</v>
      </c>
      <c r="D32" s="46" t="str">
        <f>IF(Tabla1[[#This Row],[EDAD]]&lt;=35,"Adultos jóvenes 18 - 35 años",IF(C32&gt;=36,"Adultos mayores 36 años en adelante"))</f>
        <v>Adultos jóvenes 18 - 35 años</v>
      </c>
      <c r="E32" s="3" t="s">
        <v>5017</v>
      </c>
      <c r="F32" s="3" t="s">
        <v>5026</v>
      </c>
      <c r="G32" s="3" t="s">
        <v>5033</v>
      </c>
      <c r="H32" s="3" t="s">
        <v>6813</v>
      </c>
      <c r="I32" s="17">
        <v>45356</v>
      </c>
      <c r="J32" s="18">
        <f>YEAR(Tabla1[[#This Row],[FECHA DE COMPRA]])</f>
        <v>2024</v>
      </c>
      <c r="K32" s="19">
        <v>19.98</v>
      </c>
      <c r="L32" s="20">
        <v>0.2</v>
      </c>
      <c r="M32" s="19">
        <f>Tienda!$K76-Tienda!$K76*Tienda!$L76</f>
        <v>31.297000000000001</v>
      </c>
      <c r="N32" s="3" t="s">
        <v>10039</v>
      </c>
      <c r="O32" s="3" t="s">
        <v>10041</v>
      </c>
      <c r="P32" s="17">
        <v>45356</v>
      </c>
      <c r="Q32" s="4">
        <v>0</v>
      </c>
    </row>
    <row r="33" spans="1:17" x14ac:dyDescent="0.25">
      <c r="A33" s="2" t="s">
        <v>3166</v>
      </c>
      <c r="B33" s="3" t="s">
        <v>5016</v>
      </c>
      <c r="C33" s="3">
        <v>29</v>
      </c>
      <c r="D33" s="46" t="str">
        <f>IF(Tabla1[[#This Row],[EDAD]]&lt;=35,"Adultos jóvenes 18 - 35 años",IF(C33&gt;=36,"Adultos mayores 36 años en adelante"))</f>
        <v>Adultos jóvenes 18 - 35 años</v>
      </c>
      <c r="E33" s="3" t="s">
        <v>5017</v>
      </c>
      <c r="F33" s="3" t="s">
        <v>5028</v>
      </c>
      <c r="G33" s="3" t="s">
        <v>5033</v>
      </c>
      <c r="H33" s="3" t="s">
        <v>8189</v>
      </c>
      <c r="I33" s="17">
        <v>45356</v>
      </c>
      <c r="J33" s="18">
        <f>YEAR(Tabla1[[#This Row],[FECHA DE COMPRA]])</f>
        <v>2024</v>
      </c>
      <c r="K33" s="19">
        <v>140.78</v>
      </c>
      <c r="L33" s="20">
        <v>0.3</v>
      </c>
      <c r="M33" s="19">
        <f>Tienda!$K78-Tienda!$K78*Tienda!$L78</f>
        <v>47.7</v>
      </c>
      <c r="N33" s="3" t="s">
        <v>10039</v>
      </c>
      <c r="O33" s="3" t="s">
        <v>10041</v>
      </c>
      <c r="P33" s="17">
        <v>45356</v>
      </c>
      <c r="Q33" s="4">
        <v>0</v>
      </c>
    </row>
    <row r="34" spans="1:17" x14ac:dyDescent="0.25">
      <c r="A34" s="2" t="s">
        <v>4408</v>
      </c>
      <c r="B34" s="3" t="s">
        <v>5015</v>
      </c>
      <c r="C34" s="3">
        <v>25</v>
      </c>
      <c r="D34" s="46" t="str">
        <f>IF(Tabla1[[#This Row],[EDAD]]&lt;=35,"Adultos jóvenes 18 - 35 años",IF(C34&gt;=36,"Adultos mayores 36 años en adelante"))</f>
        <v>Adultos jóvenes 18 - 35 años</v>
      </c>
      <c r="E34" s="3" t="s">
        <v>5018</v>
      </c>
      <c r="F34" s="3" t="s">
        <v>5025</v>
      </c>
      <c r="G34" s="3" t="s">
        <v>5035</v>
      </c>
      <c r="H34" s="3" t="s">
        <v>9431</v>
      </c>
      <c r="I34" s="17">
        <v>45361</v>
      </c>
      <c r="J34" s="18">
        <f>YEAR(Tabla1[[#This Row],[FECHA DE COMPRA]])</f>
        <v>2024</v>
      </c>
      <c r="K34" s="19">
        <v>111.82</v>
      </c>
      <c r="L34" s="20">
        <v>0.2</v>
      </c>
      <c r="M34" s="19">
        <f>Tienda!$K84-Tienda!$K84*Tienda!$L84</f>
        <v>180.76</v>
      </c>
      <c r="N34" s="3" t="s">
        <v>10039</v>
      </c>
      <c r="O34" s="3" t="s">
        <v>10041</v>
      </c>
      <c r="P34" s="17">
        <v>45361</v>
      </c>
      <c r="Q34" s="4">
        <v>0</v>
      </c>
    </row>
    <row r="35" spans="1:17" x14ac:dyDescent="0.25">
      <c r="A35" s="2" t="s">
        <v>1331</v>
      </c>
      <c r="B35" s="3" t="s">
        <v>5015</v>
      </c>
      <c r="C35" s="3">
        <v>18</v>
      </c>
      <c r="D35" s="46" t="str">
        <f>IF(Tabla1[[#This Row],[EDAD]]&lt;=35,"Adultos jóvenes 18 - 35 años",IF(C35&gt;=36,"Adultos mayores 36 años en adelante"))</f>
        <v>Adultos jóvenes 18 - 35 años</v>
      </c>
      <c r="E35" s="3" t="s">
        <v>5022</v>
      </c>
      <c r="F35" s="3" t="s">
        <v>5026</v>
      </c>
      <c r="G35" s="3" t="s">
        <v>5035</v>
      </c>
      <c r="H35" s="3" t="s">
        <v>6354</v>
      </c>
      <c r="I35" s="17">
        <v>45361</v>
      </c>
      <c r="J35" s="18">
        <f>YEAR(Tabla1[[#This Row],[FECHA DE COMPRA]])</f>
        <v>2024</v>
      </c>
      <c r="K35" s="19">
        <v>153.58000000000001</v>
      </c>
      <c r="L35" s="20">
        <v>0.2</v>
      </c>
      <c r="M35" s="19">
        <f>Tienda!$K85-Tienda!$K85*Tienda!$L85</f>
        <v>94.635000000000005</v>
      </c>
      <c r="N35" s="3" t="s">
        <v>10039</v>
      </c>
      <c r="O35" s="3" t="s">
        <v>10041</v>
      </c>
      <c r="P35" s="17">
        <v>45361</v>
      </c>
      <c r="Q35" s="4">
        <v>0</v>
      </c>
    </row>
    <row r="36" spans="1:17" x14ac:dyDescent="0.25">
      <c r="A36" s="2" t="s">
        <v>799</v>
      </c>
      <c r="B36" s="3" t="s">
        <v>5015</v>
      </c>
      <c r="C36" s="3">
        <v>29</v>
      </c>
      <c r="D36" s="46" t="str">
        <f>IF(Tabla1[[#This Row],[EDAD]]&lt;=35,"Adultos jóvenes 18 - 35 años",IF(C36&gt;=36,"Adultos mayores 36 años en adelante"))</f>
        <v>Adultos jóvenes 18 - 35 años</v>
      </c>
      <c r="E36" s="3" t="s">
        <v>5018</v>
      </c>
      <c r="F36" s="3" t="s">
        <v>5030</v>
      </c>
      <c r="G36" s="3" t="s">
        <v>5035</v>
      </c>
      <c r="H36" s="3" t="s">
        <v>5822</v>
      </c>
      <c r="I36" s="17">
        <v>45362</v>
      </c>
      <c r="J36" s="18">
        <f>YEAR(Tabla1[[#This Row],[FECHA DE COMPRA]])</f>
        <v>2024</v>
      </c>
      <c r="K36" s="19">
        <v>38.58</v>
      </c>
      <c r="L36" s="20">
        <v>0.1</v>
      </c>
      <c r="M36" s="19">
        <f>Tienda!$K86-Tienda!$K86*Tienda!$L86</f>
        <v>135.24</v>
      </c>
      <c r="N36" s="3" t="s">
        <v>10039</v>
      </c>
      <c r="O36" s="3" t="s">
        <v>10041</v>
      </c>
      <c r="P36" s="17">
        <v>45362</v>
      </c>
      <c r="Q36" s="4">
        <v>0</v>
      </c>
    </row>
    <row r="37" spans="1:17" x14ac:dyDescent="0.25">
      <c r="A37" s="2" t="s">
        <v>3489</v>
      </c>
      <c r="B37" s="3" t="s">
        <v>5015</v>
      </c>
      <c r="C37" s="3">
        <v>21</v>
      </c>
      <c r="D37" s="46" t="str">
        <f>IF(Tabla1[[#This Row],[EDAD]]&lt;=35,"Adultos jóvenes 18 - 35 años",IF(C37&gt;=36,"Adultos mayores 36 años en adelante"))</f>
        <v>Adultos jóvenes 18 - 35 años</v>
      </c>
      <c r="E37" s="3" t="s">
        <v>5023</v>
      </c>
      <c r="F37" s="3" t="s">
        <v>5026</v>
      </c>
      <c r="G37" s="3" t="s">
        <v>5035</v>
      </c>
      <c r="H37" s="3" t="s">
        <v>8512</v>
      </c>
      <c r="I37" s="17">
        <v>45364</v>
      </c>
      <c r="J37" s="18">
        <f>YEAR(Tabla1[[#This Row],[FECHA DE COMPRA]])</f>
        <v>2024</v>
      </c>
      <c r="K37" s="19">
        <v>134.19999999999999</v>
      </c>
      <c r="L37" s="20">
        <v>0.3</v>
      </c>
      <c r="M37" s="19">
        <f>Tienda!$K87-Tienda!$K87*Tienda!$L87</f>
        <v>66.28</v>
      </c>
      <c r="N37" s="3" t="s">
        <v>10039</v>
      </c>
      <c r="O37" s="3" t="s">
        <v>10041</v>
      </c>
      <c r="P37" s="17">
        <v>45364</v>
      </c>
      <c r="Q37" s="4">
        <v>0</v>
      </c>
    </row>
    <row r="38" spans="1:17" x14ac:dyDescent="0.25">
      <c r="A38" s="2" t="s">
        <v>4457</v>
      </c>
      <c r="B38" s="3" t="s">
        <v>5016</v>
      </c>
      <c r="C38" s="3">
        <v>20</v>
      </c>
      <c r="D38" s="46" t="str">
        <f>IF(Tabla1[[#This Row],[EDAD]]&lt;=35,"Adultos jóvenes 18 - 35 años",IF(C38&gt;=36,"Adultos mayores 36 años en adelante"))</f>
        <v>Adultos jóvenes 18 - 35 años</v>
      </c>
      <c r="E38" s="3" t="s">
        <v>5017</v>
      </c>
      <c r="F38" s="3" t="s">
        <v>5028</v>
      </c>
      <c r="G38" s="3" t="s">
        <v>5035</v>
      </c>
      <c r="H38" s="3" t="s">
        <v>9480</v>
      </c>
      <c r="I38" s="17">
        <v>45365</v>
      </c>
      <c r="J38" s="18">
        <f>YEAR(Tabla1[[#This Row],[FECHA DE COMPRA]])</f>
        <v>2024</v>
      </c>
      <c r="K38" s="19">
        <v>146.82</v>
      </c>
      <c r="L38" s="20">
        <v>0</v>
      </c>
      <c r="M38" s="19">
        <f>Tienda!$K93-Tienda!$K93*Tienda!$L93</f>
        <v>78.960000000000008</v>
      </c>
      <c r="N38" s="3" t="s">
        <v>10039</v>
      </c>
      <c r="O38" s="3" t="s">
        <v>10041</v>
      </c>
      <c r="P38" s="17">
        <v>45365</v>
      </c>
      <c r="Q38" s="4">
        <v>0</v>
      </c>
    </row>
    <row r="39" spans="1:17" x14ac:dyDescent="0.25">
      <c r="A39" s="2" t="s">
        <v>246</v>
      </c>
      <c r="B39" s="3" t="s">
        <v>5016</v>
      </c>
      <c r="C39" s="3">
        <v>19</v>
      </c>
      <c r="D39" s="46" t="str">
        <f>IF(Tabla1[[#This Row],[EDAD]]&lt;=35,"Adultos jóvenes 18 - 35 años",IF(C39&gt;=36,"Adultos mayores 36 años en adelante"))</f>
        <v>Adultos jóvenes 18 - 35 años</v>
      </c>
      <c r="E39" s="3" t="s">
        <v>5017</v>
      </c>
      <c r="F39" s="3" t="s">
        <v>5029</v>
      </c>
      <c r="G39" s="3" t="s">
        <v>5035</v>
      </c>
      <c r="H39" s="3" t="s">
        <v>5269</v>
      </c>
      <c r="I39" s="17">
        <v>45365</v>
      </c>
      <c r="J39" s="18">
        <f>YEAR(Tabla1[[#This Row],[FECHA DE COMPRA]])</f>
        <v>2024</v>
      </c>
      <c r="K39" s="19">
        <v>198.04</v>
      </c>
      <c r="L39" s="20">
        <v>0.1</v>
      </c>
      <c r="M39" s="19">
        <f>Tienda!$K94-Tienda!$K94*Tienda!$L94</f>
        <v>119.511</v>
      </c>
      <c r="N39" s="3" t="s">
        <v>10039</v>
      </c>
      <c r="O39" s="3" t="s">
        <v>10041</v>
      </c>
      <c r="P39" s="17">
        <v>45365</v>
      </c>
      <c r="Q39" s="4">
        <v>0</v>
      </c>
    </row>
    <row r="40" spans="1:17" x14ac:dyDescent="0.25">
      <c r="A40" s="2" t="s">
        <v>3187</v>
      </c>
      <c r="B40" s="3" t="s">
        <v>5015</v>
      </c>
      <c r="C40" s="3">
        <v>35</v>
      </c>
      <c r="D40" s="46" t="str">
        <f>IF(Tabla1[[#This Row],[EDAD]]&lt;=35,"Adultos jóvenes 18 - 35 años",IF(C40&gt;=36,"Adultos mayores 36 años en adelante"))</f>
        <v>Adultos jóvenes 18 - 35 años</v>
      </c>
      <c r="E40" s="3" t="s">
        <v>5018</v>
      </c>
      <c r="F40" s="3" t="s">
        <v>5026</v>
      </c>
      <c r="G40" s="3" t="s">
        <v>5031</v>
      </c>
      <c r="H40" s="3" t="s">
        <v>8210</v>
      </c>
      <c r="I40" s="17">
        <v>45375</v>
      </c>
      <c r="J40" s="18">
        <f>YEAR(Tabla1[[#This Row],[FECHA DE COMPRA]])</f>
        <v>2024</v>
      </c>
      <c r="K40" s="19">
        <v>192.72</v>
      </c>
      <c r="L40" s="20">
        <v>0.1</v>
      </c>
      <c r="M40" s="19">
        <f>Tienda!$K96-Tienda!$K96*Tienda!$L96</f>
        <v>84.941999999999993</v>
      </c>
      <c r="N40" s="3" t="s">
        <v>10039</v>
      </c>
      <c r="O40" s="3" t="s">
        <v>10041</v>
      </c>
      <c r="P40" s="17">
        <v>45375</v>
      </c>
      <c r="Q40" s="4">
        <v>0</v>
      </c>
    </row>
    <row r="41" spans="1:17" x14ac:dyDescent="0.25">
      <c r="A41" s="2" t="s">
        <v>969</v>
      </c>
      <c r="B41" s="3" t="s">
        <v>5016</v>
      </c>
      <c r="C41" s="3">
        <v>34</v>
      </c>
      <c r="D41" s="46" t="str">
        <f>IF(Tabla1[[#This Row],[EDAD]]&lt;=35,"Adultos jóvenes 18 - 35 años",IF(C41&gt;=36,"Adultos mayores 36 años en adelante"))</f>
        <v>Adultos jóvenes 18 - 35 años</v>
      </c>
      <c r="E41" s="3" t="s">
        <v>5021</v>
      </c>
      <c r="F41" s="3" t="s">
        <v>5028</v>
      </c>
      <c r="G41" s="3" t="s">
        <v>5034</v>
      </c>
      <c r="H41" s="3" t="s">
        <v>5992</v>
      </c>
      <c r="I41" s="17">
        <v>45376</v>
      </c>
      <c r="J41" s="18">
        <f>YEAR(Tabla1[[#This Row],[FECHA DE COMPRA]])</f>
        <v>2024</v>
      </c>
      <c r="K41" s="19">
        <v>20.52</v>
      </c>
      <c r="L41" s="20">
        <v>0.1</v>
      </c>
      <c r="M41" s="19">
        <f>Tienda!$K97-Tienda!$K97*Tienda!$L97</f>
        <v>102.84</v>
      </c>
      <c r="N41" s="3" t="s">
        <v>10039</v>
      </c>
      <c r="O41" s="3" t="s">
        <v>10041</v>
      </c>
      <c r="P41" s="17">
        <v>45376</v>
      </c>
      <c r="Q41" s="4">
        <v>0</v>
      </c>
    </row>
    <row r="42" spans="1:17" x14ac:dyDescent="0.25">
      <c r="A42" s="2" t="s">
        <v>2598</v>
      </c>
      <c r="B42" s="3" t="s">
        <v>5015</v>
      </c>
      <c r="C42" s="3">
        <v>20</v>
      </c>
      <c r="D42" s="46" t="str">
        <f>IF(Tabla1[[#This Row],[EDAD]]&lt;=35,"Adultos jóvenes 18 - 35 años",IF(C42&gt;=36,"Adultos mayores 36 años en adelante"))</f>
        <v>Adultos jóvenes 18 - 35 años</v>
      </c>
      <c r="E42" s="3" t="s">
        <v>5022</v>
      </c>
      <c r="F42" s="3" t="s">
        <v>5025</v>
      </c>
      <c r="G42" s="3" t="s">
        <v>5037</v>
      </c>
      <c r="H42" s="3" t="s">
        <v>7621</v>
      </c>
      <c r="I42" s="17">
        <v>45376</v>
      </c>
      <c r="J42" s="18">
        <f>YEAR(Tabla1[[#This Row],[FECHA DE COMPRA]])</f>
        <v>2024</v>
      </c>
      <c r="K42" s="19">
        <v>170.4</v>
      </c>
      <c r="L42" s="20">
        <v>0.2</v>
      </c>
      <c r="M42" s="19">
        <f>Tienda!$K98-Tienda!$K98*Tienda!$L98</f>
        <v>26.304000000000002</v>
      </c>
      <c r="N42" s="3" t="s">
        <v>10039</v>
      </c>
      <c r="O42" s="3" t="s">
        <v>10041</v>
      </c>
      <c r="P42" s="17">
        <v>45376</v>
      </c>
      <c r="Q42" s="4">
        <v>0</v>
      </c>
    </row>
    <row r="43" spans="1:17" x14ac:dyDescent="0.25">
      <c r="A43" s="2" t="s">
        <v>1107</v>
      </c>
      <c r="B43" s="3" t="s">
        <v>5015</v>
      </c>
      <c r="C43" s="3">
        <v>31</v>
      </c>
      <c r="D43" s="46" t="str">
        <f>IF(Tabla1[[#This Row],[EDAD]]&lt;=35,"Adultos jóvenes 18 - 35 años",IF(C43&gt;=36,"Adultos mayores 36 años en adelante"))</f>
        <v>Adultos jóvenes 18 - 35 años</v>
      </c>
      <c r="E43" s="3" t="s">
        <v>5020</v>
      </c>
      <c r="F43" s="3" t="s">
        <v>5026</v>
      </c>
      <c r="G43" s="3" t="s">
        <v>5036</v>
      </c>
      <c r="H43" s="3" t="s">
        <v>6130</v>
      </c>
      <c r="I43" s="17">
        <v>45382</v>
      </c>
      <c r="J43" s="18">
        <f>YEAR(Tabla1[[#This Row],[FECHA DE COMPRA]])</f>
        <v>2024</v>
      </c>
      <c r="K43" s="19">
        <v>128.41</v>
      </c>
      <c r="L43" s="20">
        <v>0.3</v>
      </c>
      <c r="M43" s="19">
        <f>Tienda!$K105-Tienda!$K105*Tienda!$L105</f>
        <v>47.998999999999995</v>
      </c>
      <c r="N43" s="3" t="s">
        <v>10039</v>
      </c>
      <c r="O43" s="3" t="s">
        <v>10041</v>
      </c>
      <c r="P43" s="17">
        <v>45382</v>
      </c>
      <c r="Q43" s="4">
        <v>0</v>
      </c>
    </row>
    <row r="44" spans="1:17" x14ac:dyDescent="0.25">
      <c r="A44" s="2" t="s">
        <v>1840</v>
      </c>
      <c r="B44" s="3" t="s">
        <v>5015</v>
      </c>
      <c r="C44" s="3">
        <v>33</v>
      </c>
      <c r="D44" s="46" t="str">
        <f>IF(Tabla1[[#This Row],[EDAD]]&lt;=35,"Adultos jóvenes 18 - 35 años",IF(C44&gt;=36,"Adultos mayores 36 años en adelante"))</f>
        <v>Adultos jóvenes 18 - 35 años</v>
      </c>
      <c r="E44" s="3" t="s">
        <v>5018</v>
      </c>
      <c r="F44" s="3" t="s">
        <v>5024</v>
      </c>
      <c r="G44" s="3" t="s">
        <v>5036</v>
      </c>
      <c r="H44" s="3" t="s">
        <v>6863</v>
      </c>
      <c r="I44" s="17">
        <v>45382</v>
      </c>
      <c r="J44" s="18">
        <f>YEAR(Tabla1[[#This Row],[FECHA DE COMPRA]])</f>
        <v>2024</v>
      </c>
      <c r="K44" s="19">
        <v>187.7</v>
      </c>
      <c r="L44" s="20">
        <v>0.2</v>
      </c>
      <c r="M44" s="19">
        <f>Tienda!$K108-Tienda!$K108*Tienda!$L108</f>
        <v>120.06</v>
      </c>
      <c r="N44" s="3" t="s">
        <v>10039</v>
      </c>
      <c r="O44" s="3" t="s">
        <v>10041</v>
      </c>
      <c r="P44" s="17">
        <v>45382</v>
      </c>
      <c r="Q44" s="4">
        <v>0</v>
      </c>
    </row>
    <row r="45" spans="1:17" x14ac:dyDescent="0.25">
      <c r="A45" s="2" t="s">
        <v>4790</v>
      </c>
      <c r="B45" s="3" t="s">
        <v>5015</v>
      </c>
      <c r="C45" s="3">
        <v>27</v>
      </c>
      <c r="D45" s="46" t="str">
        <f>IF(Tabla1[[#This Row],[EDAD]]&lt;=35,"Adultos jóvenes 18 - 35 años",IF(C45&gt;=36,"Adultos mayores 36 años en adelante"))</f>
        <v>Adultos jóvenes 18 - 35 años</v>
      </c>
      <c r="E45" s="3" t="s">
        <v>5023</v>
      </c>
      <c r="F45" s="3" t="s">
        <v>5024</v>
      </c>
      <c r="G45" s="3" t="s">
        <v>5035</v>
      </c>
      <c r="H45" s="3" t="s">
        <v>9813</v>
      </c>
      <c r="I45" s="17">
        <v>45383</v>
      </c>
      <c r="J45" s="18">
        <f>YEAR(Tabla1[[#This Row],[FECHA DE COMPRA]])</f>
        <v>2024</v>
      </c>
      <c r="K45" s="19">
        <v>72.7</v>
      </c>
      <c r="L45" s="20">
        <v>0</v>
      </c>
      <c r="M45" s="19">
        <f>Tienda!$K109-Tienda!$K109*Tienda!$L109</f>
        <v>92.84</v>
      </c>
      <c r="N45" s="3" t="s">
        <v>10039</v>
      </c>
      <c r="O45" s="3" t="s">
        <v>10041</v>
      </c>
      <c r="P45" s="17">
        <v>45383</v>
      </c>
      <c r="Q45" s="4">
        <v>0</v>
      </c>
    </row>
    <row r="46" spans="1:17" x14ac:dyDescent="0.25">
      <c r="A46" s="2" t="s">
        <v>2025</v>
      </c>
      <c r="B46" s="3" t="s">
        <v>5016</v>
      </c>
      <c r="C46" s="3">
        <v>33</v>
      </c>
      <c r="D46" s="46" t="str">
        <f>IF(Tabla1[[#This Row],[EDAD]]&lt;=35,"Adultos jóvenes 18 - 35 años",IF(C46&gt;=36,"Adultos mayores 36 años en adelante"))</f>
        <v>Adultos jóvenes 18 - 35 años</v>
      </c>
      <c r="E46" s="3" t="s">
        <v>5023</v>
      </c>
      <c r="F46" s="3" t="s">
        <v>5030</v>
      </c>
      <c r="G46" s="3" t="s">
        <v>5031</v>
      </c>
      <c r="H46" s="3" t="s">
        <v>7048</v>
      </c>
      <c r="I46" s="17">
        <v>45384</v>
      </c>
      <c r="J46" s="18">
        <f>YEAR(Tabla1[[#This Row],[FECHA DE COMPRA]])</f>
        <v>2024</v>
      </c>
      <c r="K46" s="19">
        <v>85.73</v>
      </c>
      <c r="L46" s="20">
        <v>0.3</v>
      </c>
      <c r="M46" s="19">
        <f>Tienda!$K113-Tienda!$K113*Tienda!$L113</f>
        <v>157.37</v>
      </c>
      <c r="N46" s="3" t="s">
        <v>10039</v>
      </c>
      <c r="O46" s="3" t="s">
        <v>10041</v>
      </c>
      <c r="P46" s="17">
        <v>45384</v>
      </c>
      <c r="Q46" s="4">
        <v>0</v>
      </c>
    </row>
    <row r="47" spans="1:17" x14ac:dyDescent="0.25">
      <c r="A47" s="2" t="s">
        <v>2331</v>
      </c>
      <c r="B47" s="3" t="s">
        <v>5015</v>
      </c>
      <c r="C47" s="3">
        <v>21</v>
      </c>
      <c r="D47" s="46" t="str">
        <f>IF(Tabla1[[#This Row],[EDAD]]&lt;=35,"Adultos jóvenes 18 - 35 años",IF(C47&gt;=36,"Adultos mayores 36 años en adelante"))</f>
        <v>Adultos jóvenes 18 - 35 años</v>
      </c>
      <c r="E47" s="3" t="s">
        <v>5018</v>
      </c>
      <c r="F47" s="3" t="s">
        <v>5024</v>
      </c>
      <c r="G47" s="3" t="s">
        <v>5036</v>
      </c>
      <c r="H47" s="3" t="s">
        <v>7354</v>
      </c>
      <c r="I47" s="17">
        <v>45385</v>
      </c>
      <c r="J47" s="18">
        <f>YEAR(Tabla1[[#This Row],[FECHA DE COMPRA]])</f>
        <v>2024</v>
      </c>
      <c r="K47" s="19">
        <v>108.43</v>
      </c>
      <c r="L47" s="20">
        <v>0.1</v>
      </c>
      <c r="M47" s="19">
        <f>Tienda!$K117-Tienda!$K117*Tienda!$L117</f>
        <v>138.59300000000002</v>
      </c>
      <c r="N47" s="3" t="s">
        <v>10039</v>
      </c>
      <c r="O47" s="3" t="s">
        <v>10041</v>
      </c>
      <c r="P47" s="17">
        <v>45385</v>
      </c>
      <c r="Q47" s="4">
        <v>0</v>
      </c>
    </row>
    <row r="48" spans="1:17" x14ac:dyDescent="0.25">
      <c r="A48" s="2" t="s">
        <v>3000</v>
      </c>
      <c r="B48" s="3" t="s">
        <v>5015</v>
      </c>
      <c r="C48" s="3">
        <v>18</v>
      </c>
      <c r="D48" s="46" t="str">
        <f>IF(Tabla1[[#This Row],[EDAD]]&lt;=35,"Adultos jóvenes 18 - 35 años",IF(C48&gt;=36,"Adultos mayores 36 años en adelante"))</f>
        <v>Adultos jóvenes 18 - 35 años</v>
      </c>
      <c r="E48" s="3" t="s">
        <v>5022</v>
      </c>
      <c r="F48" s="3" t="s">
        <v>5027</v>
      </c>
      <c r="G48" s="3" t="s">
        <v>5033</v>
      </c>
      <c r="H48" s="3" t="s">
        <v>8023</v>
      </c>
      <c r="I48" s="17">
        <v>45388</v>
      </c>
      <c r="J48" s="18">
        <f>YEAR(Tabla1[[#This Row],[FECHA DE COMPRA]])</f>
        <v>2024</v>
      </c>
      <c r="K48" s="19">
        <v>157.72999999999999</v>
      </c>
      <c r="L48" s="20">
        <v>0</v>
      </c>
      <c r="M48" s="19">
        <f>Tienda!$K122-Tienda!$K122*Tienda!$L122</f>
        <v>111.51</v>
      </c>
      <c r="N48" s="3" t="s">
        <v>10039</v>
      </c>
      <c r="O48" s="3" t="s">
        <v>10041</v>
      </c>
      <c r="P48" s="17">
        <v>45388</v>
      </c>
      <c r="Q48" s="4">
        <v>0</v>
      </c>
    </row>
    <row r="49" spans="1:17" x14ac:dyDescent="0.25">
      <c r="A49" s="2" t="s">
        <v>4752</v>
      </c>
      <c r="B49" s="3" t="s">
        <v>5016</v>
      </c>
      <c r="C49" s="3">
        <v>29</v>
      </c>
      <c r="D49" s="46" t="str">
        <f>IF(Tabla1[[#This Row],[EDAD]]&lt;=35,"Adultos jóvenes 18 - 35 años",IF(C49&gt;=36,"Adultos mayores 36 años en adelante"))</f>
        <v>Adultos jóvenes 18 - 35 años</v>
      </c>
      <c r="E49" s="3" t="s">
        <v>5017</v>
      </c>
      <c r="F49" s="3" t="s">
        <v>5030</v>
      </c>
      <c r="G49" s="3" t="s">
        <v>5032</v>
      </c>
      <c r="H49" s="3" t="s">
        <v>9775</v>
      </c>
      <c r="I49" s="17">
        <v>45390</v>
      </c>
      <c r="J49" s="18">
        <f>YEAR(Tabla1[[#This Row],[FECHA DE COMPRA]])</f>
        <v>2024</v>
      </c>
      <c r="K49" s="19">
        <v>51.76</v>
      </c>
      <c r="L49" s="20">
        <v>0.2</v>
      </c>
      <c r="M49" s="19">
        <f>Tienda!$K124-Tienda!$K124*Tienda!$L124</f>
        <v>135.49</v>
      </c>
      <c r="N49" s="3" t="s">
        <v>10039</v>
      </c>
      <c r="O49" s="3" t="s">
        <v>10041</v>
      </c>
      <c r="P49" s="17">
        <v>45390</v>
      </c>
      <c r="Q49" s="4">
        <v>0</v>
      </c>
    </row>
    <row r="50" spans="1:17" x14ac:dyDescent="0.25">
      <c r="A50" s="2" t="s">
        <v>4995</v>
      </c>
      <c r="B50" s="3" t="s">
        <v>5015</v>
      </c>
      <c r="C50" s="3">
        <v>31</v>
      </c>
      <c r="D50" s="46" t="str">
        <f>IF(Tabla1[[#This Row],[EDAD]]&lt;=35,"Adultos jóvenes 18 - 35 años",IF(C50&gt;=36,"Adultos mayores 36 años en adelante"))</f>
        <v>Adultos jóvenes 18 - 35 años</v>
      </c>
      <c r="E50" s="3" t="s">
        <v>5019</v>
      </c>
      <c r="F50" s="3" t="s">
        <v>5029</v>
      </c>
      <c r="G50" s="3" t="s">
        <v>5033</v>
      </c>
      <c r="H50" s="3" t="s">
        <v>10018</v>
      </c>
      <c r="I50" s="17">
        <v>45391</v>
      </c>
      <c r="J50" s="18">
        <f>YEAR(Tabla1[[#This Row],[FECHA DE COMPRA]])</f>
        <v>2024</v>
      </c>
      <c r="K50" s="19">
        <v>23.35</v>
      </c>
      <c r="L50" s="20">
        <v>0.3</v>
      </c>
      <c r="M50" s="19">
        <f>Tienda!$K128-Tienda!$K128*Tienda!$L128</f>
        <v>102.65</v>
      </c>
      <c r="N50" s="3" t="s">
        <v>10039</v>
      </c>
      <c r="O50" s="3" t="s">
        <v>10041</v>
      </c>
      <c r="P50" s="17">
        <v>45391</v>
      </c>
      <c r="Q50" s="4">
        <v>0</v>
      </c>
    </row>
    <row r="51" spans="1:17" x14ac:dyDescent="0.25">
      <c r="A51" s="2" t="s">
        <v>4828</v>
      </c>
      <c r="B51" s="3" t="s">
        <v>5015</v>
      </c>
      <c r="C51" s="3">
        <v>31</v>
      </c>
      <c r="D51" s="46" t="str">
        <f>IF(Tabla1[[#This Row],[EDAD]]&lt;=35,"Adultos jóvenes 18 - 35 años",IF(C51&gt;=36,"Adultos mayores 36 años en adelante"))</f>
        <v>Adultos jóvenes 18 - 35 años</v>
      </c>
      <c r="E51" s="3" t="s">
        <v>5019</v>
      </c>
      <c r="F51" s="3" t="s">
        <v>5024</v>
      </c>
      <c r="G51" s="3" t="s">
        <v>5037</v>
      </c>
      <c r="H51" s="3" t="s">
        <v>9851</v>
      </c>
      <c r="I51" s="17">
        <v>45398</v>
      </c>
      <c r="J51" s="18">
        <f>YEAR(Tabla1[[#This Row],[FECHA DE COMPRA]])</f>
        <v>2024</v>
      </c>
      <c r="K51" s="19">
        <v>103.3</v>
      </c>
      <c r="L51" s="20">
        <v>0.3</v>
      </c>
      <c r="M51" s="19">
        <f>Tienda!$K129-Tienda!$K129*Tienda!$L129</f>
        <v>115.99700000000001</v>
      </c>
      <c r="N51" s="3" t="s">
        <v>10039</v>
      </c>
      <c r="O51" s="3" t="s">
        <v>10041</v>
      </c>
      <c r="P51" s="17">
        <v>45398</v>
      </c>
      <c r="Q51" s="4">
        <v>0</v>
      </c>
    </row>
    <row r="52" spans="1:17" x14ac:dyDescent="0.25">
      <c r="A52" s="2" t="s">
        <v>1027</v>
      </c>
      <c r="B52" s="3" t="s">
        <v>5015</v>
      </c>
      <c r="C52" s="3">
        <v>28</v>
      </c>
      <c r="D52" s="46" t="str">
        <f>IF(Tabla1[[#This Row],[EDAD]]&lt;=35,"Adultos jóvenes 18 - 35 años",IF(C52&gt;=36,"Adultos mayores 36 años en adelante"))</f>
        <v>Adultos jóvenes 18 - 35 años</v>
      </c>
      <c r="E52" s="3" t="s">
        <v>5023</v>
      </c>
      <c r="F52" s="3" t="s">
        <v>5030</v>
      </c>
      <c r="G52" s="3" t="s">
        <v>5036</v>
      </c>
      <c r="H52" s="3" t="s">
        <v>6050</v>
      </c>
      <c r="I52" s="17">
        <v>45399</v>
      </c>
      <c r="J52" s="18">
        <f>YEAR(Tabla1[[#This Row],[FECHA DE COMPRA]])</f>
        <v>2024</v>
      </c>
      <c r="K52" s="19">
        <v>57.1</v>
      </c>
      <c r="L52" s="20">
        <v>0.2</v>
      </c>
      <c r="M52" s="19">
        <f>Tienda!$K130-Tienda!$K130*Tienda!$L130</f>
        <v>174.42</v>
      </c>
      <c r="N52" s="3" t="s">
        <v>10039</v>
      </c>
      <c r="O52" s="3" t="s">
        <v>10041</v>
      </c>
      <c r="P52" s="17">
        <v>45399</v>
      </c>
      <c r="Q52" s="4">
        <v>0</v>
      </c>
    </row>
    <row r="53" spans="1:17" x14ac:dyDescent="0.25">
      <c r="A53" s="2" t="s">
        <v>4967</v>
      </c>
      <c r="B53" s="3" t="s">
        <v>5015</v>
      </c>
      <c r="C53" s="3">
        <v>30</v>
      </c>
      <c r="D53" s="46" t="str">
        <f>IF(Tabla1[[#This Row],[EDAD]]&lt;=35,"Adultos jóvenes 18 - 35 años",IF(C53&gt;=36,"Adultos mayores 36 años en adelante"))</f>
        <v>Adultos jóvenes 18 - 35 años</v>
      </c>
      <c r="E53" s="3" t="s">
        <v>5023</v>
      </c>
      <c r="F53" s="3" t="s">
        <v>5029</v>
      </c>
      <c r="G53" s="3" t="s">
        <v>5034</v>
      </c>
      <c r="H53" s="3" t="s">
        <v>9990</v>
      </c>
      <c r="I53" s="17">
        <v>45399</v>
      </c>
      <c r="J53" s="18">
        <f>YEAR(Tabla1[[#This Row],[FECHA DE COMPRA]])</f>
        <v>2024</v>
      </c>
      <c r="K53" s="19">
        <v>105.4</v>
      </c>
      <c r="L53" s="20">
        <v>0</v>
      </c>
      <c r="M53" s="19">
        <f>Tienda!$K132-Tienda!$K132*Tienda!$L132</f>
        <v>79.394000000000005</v>
      </c>
      <c r="N53" s="3" t="s">
        <v>10039</v>
      </c>
      <c r="O53" s="3" t="s">
        <v>10041</v>
      </c>
      <c r="P53" s="17">
        <v>45399</v>
      </c>
      <c r="Q53" s="4">
        <v>0</v>
      </c>
    </row>
    <row r="54" spans="1:17" x14ac:dyDescent="0.25">
      <c r="A54" s="2" t="s">
        <v>4506</v>
      </c>
      <c r="B54" s="3" t="s">
        <v>5016</v>
      </c>
      <c r="C54" s="3">
        <v>29</v>
      </c>
      <c r="D54" s="46" t="str">
        <f>IF(Tabla1[[#This Row],[EDAD]]&lt;=35,"Adultos jóvenes 18 - 35 años",IF(C54&gt;=36,"Adultos mayores 36 años en adelante"))</f>
        <v>Adultos jóvenes 18 - 35 años</v>
      </c>
      <c r="E54" s="3" t="s">
        <v>5021</v>
      </c>
      <c r="F54" s="3" t="s">
        <v>5030</v>
      </c>
      <c r="G54" s="3" t="s">
        <v>5033</v>
      </c>
      <c r="H54" s="3" t="s">
        <v>9529</v>
      </c>
      <c r="I54" s="17">
        <v>45399</v>
      </c>
      <c r="J54" s="18">
        <f>YEAR(Tabla1[[#This Row],[FECHA DE COMPRA]])</f>
        <v>2024</v>
      </c>
      <c r="K54" s="19">
        <v>198.26</v>
      </c>
      <c r="L54" s="20">
        <v>0.3</v>
      </c>
      <c r="M54" s="19">
        <f>Tienda!$K134-Tienda!$K134*Tienda!$L134</f>
        <v>11.735999999999999</v>
      </c>
      <c r="N54" s="3" t="s">
        <v>10039</v>
      </c>
      <c r="O54" s="3" t="s">
        <v>10041</v>
      </c>
      <c r="P54" s="17">
        <v>45399</v>
      </c>
      <c r="Q54" s="4">
        <v>0</v>
      </c>
    </row>
    <row r="55" spans="1:17" x14ac:dyDescent="0.25">
      <c r="A55" s="2" t="s">
        <v>4159</v>
      </c>
      <c r="B55" s="3" t="s">
        <v>5016</v>
      </c>
      <c r="C55" s="3">
        <v>18</v>
      </c>
      <c r="D55" s="46" t="str">
        <f>IF(Tabla1[[#This Row],[EDAD]]&lt;=35,"Adultos jóvenes 18 - 35 años",IF(C55&gt;=36,"Adultos mayores 36 años en adelante"))</f>
        <v>Adultos jóvenes 18 - 35 años</v>
      </c>
      <c r="E55" s="3" t="s">
        <v>5017</v>
      </c>
      <c r="F55" s="3" t="s">
        <v>5029</v>
      </c>
      <c r="G55" s="3" t="s">
        <v>5036</v>
      </c>
      <c r="H55" s="3" t="s">
        <v>9182</v>
      </c>
      <c r="I55" s="17">
        <v>45401</v>
      </c>
      <c r="J55" s="18">
        <f>YEAR(Tabla1[[#This Row],[FECHA DE COMPRA]])</f>
        <v>2024</v>
      </c>
      <c r="K55" s="19">
        <v>98.91</v>
      </c>
      <c r="L55" s="20">
        <v>0.1</v>
      </c>
      <c r="M55" s="19">
        <f>Tienda!$K139-Tienda!$K139*Tienda!$L139</f>
        <v>138.726</v>
      </c>
      <c r="N55" s="3" t="s">
        <v>10039</v>
      </c>
      <c r="O55" s="3" t="s">
        <v>10041</v>
      </c>
      <c r="P55" s="17">
        <v>45401</v>
      </c>
      <c r="Q55" s="4">
        <v>0</v>
      </c>
    </row>
    <row r="56" spans="1:17" x14ac:dyDescent="0.25">
      <c r="A56" s="2" t="s">
        <v>4184</v>
      </c>
      <c r="B56" s="3" t="s">
        <v>5015</v>
      </c>
      <c r="C56" s="3">
        <v>23</v>
      </c>
      <c r="D56" s="46" t="str">
        <f>IF(Tabla1[[#This Row],[EDAD]]&lt;=35,"Adultos jóvenes 18 - 35 años",IF(C56&gt;=36,"Adultos mayores 36 años en adelante"))</f>
        <v>Adultos jóvenes 18 - 35 años</v>
      </c>
      <c r="E56" s="3" t="s">
        <v>5023</v>
      </c>
      <c r="F56" s="3" t="s">
        <v>5024</v>
      </c>
      <c r="G56" s="3" t="s">
        <v>5031</v>
      </c>
      <c r="H56" s="3" t="s">
        <v>9207</v>
      </c>
      <c r="I56" s="17">
        <v>45401</v>
      </c>
      <c r="J56" s="18">
        <f>YEAR(Tabla1[[#This Row],[FECHA DE COMPRA]])</f>
        <v>2024</v>
      </c>
      <c r="K56" s="19">
        <v>100.41</v>
      </c>
      <c r="L56" s="20">
        <v>0.1</v>
      </c>
      <c r="M56" s="19">
        <f>Tienda!$K140-Tienda!$K140*Tienda!$L140</f>
        <v>43.256</v>
      </c>
      <c r="N56" s="3" t="s">
        <v>10039</v>
      </c>
      <c r="O56" s="3" t="s">
        <v>10041</v>
      </c>
      <c r="P56" s="17">
        <v>45401</v>
      </c>
      <c r="Q56" s="4">
        <v>0</v>
      </c>
    </row>
    <row r="57" spans="1:17" x14ac:dyDescent="0.25">
      <c r="A57" s="2" t="s">
        <v>1521</v>
      </c>
      <c r="B57" s="3" t="s">
        <v>5016</v>
      </c>
      <c r="C57" s="3">
        <v>19</v>
      </c>
      <c r="D57" s="46" t="str">
        <f>IF(Tabla1[[#This Row],[EDAD]]&lt;=35,"Adultos jóvenes 18 - 35 años",IF(C57&gt;=36,"Adultos mayores 36 años en adelante"))</f>
        <v>Adultos jóvenes 18 - 35 años</v>
      </c>
      <c r="E57" s="3" t="s">
        <v>5017</v>
      </c>
      <c r="F57" s="3" t="s">
        <v>5027</v>
      </c>
      <c r="G57" s="3" t="s">
        <v>5036</v>
      </c>
      <c r="H57" s="3" t="s">
        <v>6544</v>
      </c>
      <c r="I57" s="17">
        <v>45406</v>
      </c>
      <c r="J57" s="18">
        <f>YEAR(Tabla1[[#This Row],[FECHA DE COMPRA]])</f>
        <v>2024</v>
      </c>
      <c r="K57" s="19">
        <v>121.04</v>
      </c>
      <c r="L57" s="20">
        <v>0</v>
      </c>
      <c r="M57" s="19">
        <f>Tienda!$K142-Tienda!$K142*Tienda!$L142</f>
        <v>153.96299999999999</v>
      </c>
      <c r="N57" s="3" t="s">
        <v>10039</v>
      </c>
      <c r="O57" s="3" t="s">
        <v>10041</v>
      </c>
      <c r="P57" s="17">
        <v>45406</v>
      </c>
      <c r="Q57" s="4">
        <v>0</v>
      </c>
    </row>
    <row r="58" spans="1:17" x14ac:dyDescent="0.25">
      <c r="A58" s="2" t="s">
        <v>4892</v>
      </c>
      <c r="B58" s="3" t="s">
        <v>5015</v>
      </c>
      <c r="C58" s="3">
        <v>21</v>
      </c>
      <c r="D58" s="46" t="str">
        <f>IF(Tabla1[[#This Row],[EDAD]]&lt;=35,"Adultos jóvenes 18 - 35 años",IF(C58&gt;=36,"Adultos mayores 36 años en adelante"))</f>
        <v>Adultos jóvenes 18 - 35 años</v>
      </c>
      <c r="E58" s="3" t="s">
        <v>5020</v>
      </c>
      <c r="F58" s="3" t="s">
        <v>5027</v>
      </c>
      <c r="G58" s="3" t="s">
        <v>5031</v>
      </c>
      <c r="H58" s="3" t="s">
        <v>9915</v>
      </c>
      <c r="I58" s="17">
        <v>45406</v>
      </c>
      <c r="J58" s="18">
        <f>YEAR(Tabla1[[#This Row],[FECHA DE COMPRA]])</f>
        <v>2024</v>
      </c>
      <c r="K58" s="19">
        <v>124.36</v>
      </c>
      <c r="L58" s="20">
        <v>0.3</v>
      </c>
      <c r="M58" s="19">
        <f>Tienda!$K143-Tienda!$K143*Tienda!$L143</f>
        <v>147.43</v>
      </c>
      <c r="N58" s="3" t="s">
        <v>10039</v>
      </c>
      <c r="O58" s="3" t="s">
        <v>10041</v>
      </c>
      <c r="P58" s="17">
        <v>45406</v>
      </c>
      <c r="Q58" s="4">
        <v>0</v>
      </c>
    </row>
    <row r="59" spans="1:17" x14ac:dyDescent="0.25">
      <c r="A59" s="2" t="s">
        <v>2863</v>
      </c>
      <c r="B59" s="3" t="s">
        <v>5016</v>
      </c>
      <c r="C59" s="3">
        <v>24</v>
      </c>
      <c r="D59" s="46" t="str">
        <f>IF(Tabla1[[#This Row],[EDAD]]&lt;=35,"Adultos jóvenes 18 - 35 años",IF(C59&gt;=36,"Adultos mayores 36 años en adelante"))</f>
        <v>Adultos jóvenes 18 - 35 años</v>
      </c>
      <c r="E59" s="3" t="s">
        <v>5019</v>
      </c>
      <c r="F59" s="3" t="s">
        <v>5027</v>
      </c>
      <c r="G59" s="3" t="s">
        <v>5032</v>
      </c>
      <c r="H59" s="3" t="s">
        <v>7886</v>
      </c>
      <c r="I59" s="17">
        <v>45406</v>
      </c>
      <c r="J59" s="18">
        <f>YEAR(Tabla1[[#This Row],[FECHA DE COMPRA]])</f>
        <v>2024</v>
      </c>
      <c r="K59" s="19">
        <v>143.26</v>
      </c>
      <c r="L59" s="20">
        <v>0.2</v>
      </c>
      <c r="M59" s="19">
        <f>Tienda!$K144-Tienda!$K144*Tienda!$L144</f>
        <v>76.912000000000006</v>
      </c>
      <c r="N59" s="3" t="s">
        <v>10039</v>
      </c>
      <c r="O59" s="3" t="s">
        <v>10041</v>
      </c>
      <c r="P59" s="17">
        <v>45406</v>
      </c>
      <c r="Q59" s="4">
        <v>0</v>
      </c>
    </row>
    <row r="60" spans="1:17" x14ac:dyDescent="0.25">
      <c r="A60" s="2" t="s">
        <v>3108</v>
      </c>
      <c r="B60" s="3" t="s">
        <v>5015</v>
      </c>
      <c r="C60" s="3">
        <v>24</v>
      </c>
      <c r="D60" s="46" t="str">
        <f>IF(Tabla1[[#This Row],[EDAD]]&lt;=35,"Adultos jóvenes 18 - 35 años",IF(C60&gt;=36,"Adultos mayores 36 años en adelante"))</f>
        <v>Adultos jóvenes 18 - 35 años</v>
      </c>
      <c r="E60" s="3" t="s">
        <v>5020</v>
      </c>
      <c r="F60" s="3" t="s">
        <v>5028</v>
      </c>
      <c r="G60" s="3" t="s">
        <v>5032</v>
      </c>
      <c r="H60" s="3" t="s">
        <v>8131</v>
      </c>
      <c r="I60" s="17">
        <v>45407</v>
      </c>
      <c r="J60" s="18">
        <f>YEAR(Tabla1[[#This Row],[FECHA DE COMPRA]])</f>
        <v>2024</v>
      </c>
      <c r="K60" s="19">
        <v>77.95</v>
      </c>
      <c r="L60" s="20">
        <v>0.1</v>
      </c>
      <c r="M60" s="19">
        <f>Tienda!$K146-Tienda!$K146*Tienda!$L146</f>
        <v>62.915999999999997</v>
      </c>
      <c r="N60" s="3" t="s">
        <v>10039</v>
      </c>
      <c r="O60" s="3" t="s">
        <v>10041</v>
      </c>
      <c r="P60" s="17">
        <v>45407</v>
      </c>
      <c r="Q60" s="4">
        <v>0</v>
      </c>
    </row>
    <row r="61" spans="1:17" x14ac:dyDescent="0.25">
      <c r="A61" s="2" t="s">
        <v>1846</v>
      </c>
      <c r="B61" s="3" t="s">
        <v>5015</v>
      </c>
      <c r="C61" s="3">
        <v>23</v>
      </c>
      <c r="D61" s="46" t="str">
        <f>IF(Tabla1[[#This Row],[EDAD]]&lt;=35,"Adultos jóvenes 18 - 35 años",IF(C61&gt;=36,"Adultos mayores 36 años en adelante"))</f>
        <v>Adultos jóvenes 18 - 35 años</v>
      </c>
      <c r="E61" s="3" t="s">
        <v>5020</v>
      </c>
      <c r="F61" s="3" t="s">
        <v>5025</v>
      </c>
      <c r="G61" s="3" t="s">
        <v>5035</v>
      </c>
      <c r="H61" s="3" t="s">
        <v>6869</v>
      </c>
      <c r="I61" s="17">
        <v>45414</v>
      </c>
      <c r="J61" s="18">
        <f>YEAR(Tabla1[[#This Row],[FECHA DE COMPRA]])</f>
        <v>2024</v>
      </c>
      <c r="K61" s="19">
        <v>49.3</v>
      </c>
      <c r="L61" s="20">
        <v>0.3</v>
      </c>
      <c r="M61" s="19">
        <f>Tienda!$K155-Tienda!$K155*Tienda!$L155</f>
        <v>137.71800000000002</v>
      </c>
      <c r="N61" s="3" t="s">
        <v>10039</v>
      </c>
      <c r="O61" s="3" t="s">
        <v>10041</v>
      </c>
      <c r="P61" s="17">
        <v>45414</v>
      </c>
      <c r="Q61" s="4">
        <v>0</v>
      </c>
    </row>
    <row r="62" spans="1:17" x14ac:dyDescent="0.25">
      <c r="A62" s="2" t="s">
        <v>1789</v>
      </c>
      <c r="B62" s="3" t="s">
        <v>5015</v>
      </c>
      <c r="C62" s="3">
        <v>22</v>
      </c>
      <c r="D62" s="46" t="str">
        <f>IF(Tabla1[[#This Row],[EDAD]]&lt;=35,"Adultos jóvenes 18 - 35 años",IF(C62&gt;=36,"Adultos mayores 36 años en adelante"))</f>
        <v>Adultos jóvenes 18 - 35 años</v>
      </c>
      <c r="E62" s="3" t="s">
        <v>5020</v>
      </c>
      <c r="F62" s="3" t="s">
        <v>5029</v>
      </c>
      <c r="G62" s="3" t="s">
        <v>5031</v>
      </c>
      <c r="H62" s="3" t="s">
        <v>6812</v>
      </c>
      <c r="I62" s="17">
        <v>45414</v>
      </c>
      <c r="J62" s="18">
        <f>YEAR(Tabla1[[#This Row],[FECHA DE COMPRA]])</f>
        <v>2024</v>
      </c>
      <c r="K62" s="19">
        <v>137.65</v>
      </c>
      <c r="L62" s="20">
        <v>0.2</v>
      </c>
      <c r="M62" s="19">
        <f>Tienda!$K159-Tienda!$K159*Tienda!$L159</f>
        <v>17.647000000000002</v>
      </c>
      <c r="N62" s="3" t="s">
        <v>10039</v>
      </c>
      <c r="O62" s="3" t="s">
        <v>10041</v>
      </c>
      <c r="P62" s="17">
        <v>45414</v>
      </c>
      <c r="Q62" s="4">
        <v>0</v>
      </c>
    </row>
    <row r="63" spans="1:17" x14ac:dyDescent="0.25">
      <c r="A63" s="2" t="s">
        <v>3480</v>
      </c>
      <c r="B63" s="3" t="s">
        <v>5015</v>
      </c>
      <c r="C63" s="3">
        <v>32</v>
      </c>
      <c r="D63" s="46" t="str">
        <f>IF(Tabla1[[#This Row],[EDAD]]&lt;=35,"Adultos jóvenes 18 - 35 años",IF(C63&gt;=36,"Adultos mayores 36 años en adelante"))</f>
        <v>Adultos jóvenes 18 - 35 años</v>
      </c>
      <c r="E63" s="3" t="s">
        <v>5022</v>
      </c>
      <c r="F63" s="3" t="s">
        <v>5030</v>
      </c>
      <c r="G63" s="3" t="s">
        <v>5037</v>
      </c>
      <c r="H63" s="3" t="s">
        <v>8503</v>
      </c>
      <c r="I63" s="17">
        <v>45414</v>
      </c>
      <c r="J63" s="18">
        <f>YEAR(Tabla1[[#This Row],[FECHA DE COMPRA]])</f>
        <v>2024</v>
      </c>
      <c r="K63" s="19">
        <v>171.75</v>
      </c>
      <c r="L63" s="20">
        <v>0.3</v>
      </c>
      <c r="M63" s="19">
        <f>Tienda!$K160-Tienda!$K160*Tienda!$L160</f>
        <v>101.71000000000001</v>
      </c>
      <c r="N63" s="3" t="s">
        <v>10039</v>
      </c>
      <c r="O63" s="3" t="s">
        <v>10041</v>
      </c>
      <c r="P63" s="17">
        <v>45414</v>
      </c>
      <c r="Q63" s="4">
        <v>0</v>
      </c>
    </row>
    <row r="64" spans="1:17" x14ac:dyDescent="0.25">
      <c r="A64" s="2" t="s">
        <v>1451</v>
      </c>
      <c r="B64" s="3" t="s">
        <v>5016</v>
      </c>
      <c r="C64" s="3">
        <v>30</v>
      </c>
      <c r="D64" s="46" t="str">
        <f>IF(Tabla1[[#This Row],[EDAD]]&lt;=35,"Adultos jóvenes 18 - 35 años",IF(C64&gt;=36,"Adultos mayores 36 años en adelante"))</f>
        <v>Adultos jóvenes 18 - 35 años</v>
      </c>
      <c r="E64" s="3" t="s">
        <v>5023</v>
      </c>
      <c r="F64" s="3" t="s">
        <v>5026</v>
      </c>
      <c r="G64" s="3" t="s">
        <v>5032</v>
      </c>
      <c r="H64" s="3" t="s">
        <v>6474</v>
      </c>
      <c r="I64" s="17">
        <v>45416</v>
      </c>
      <c r="J64" s="18">
        <f>YEAR(Tabla1[[#This Row],[FECHA DE COMPRA]])</f>
        <v>2024</v>
      </c>
      <c r="K64" s="19">
        <v>173.07</v>
      </c>
      <c r="L64" s="20">
        <v>0.2</v>
      </c>
      <c r="M64" s="19">
        <f>Tienda!$K167-Tienda!$K167*Tienda!$L167</f>
        <v>144.19</v>
      </c>
      <c r="N64" s="3" t="s">
        <v>10039</v>
      </c>
      <c r="O64" s="3" t="s">
        <v>10041</v>
      </c>
      <c r="P64" s="17">
        <v>45416</v>
      </c>
      <c r="Q64" s="4">
        <v>0</v>
      </c>
    </row>
    <row r="65" spans="1:17" x14ac:dyDescent="0.25">
      <c r="A65" s="2" t="s">
        <v>3582</v>
      </c>
      <c r="B65" s="3" t="s">
        <v>5015</v>
      </c>
      <c r="C65" s="3">
        <v>28</v>
      </c>
      <c r="D65" s="46" t="str">
        <f>IF(Tabla1[[#This Row],[EDAD]]&lt;=35,"Adultos jóvenes 18 - 35 años",IF(C65&gt;=36,"Adultos mayores 36 años en adelante"))</f>
        <v>Adultos jóvenes 18 - 35 años</v>
      </c>
      <c r="E65" s="3" t="s">
        <v>5017</v>
      </c>
      <c r="F65" s="3" t="s">
        <v>5028</v>
      </c>
      <c r="G65" s="3" t="s">
        <v>5034</v>
      </c>
      <c r="H65" s="3" t="s">
        <v>8605</v>
      </c>
      <c r="I65" s="17">
        <v>45417</v>
      </c>
      <c r="J65" s="18">
        <f>YEAR(Tabla1[[#This Row],[FECHA DE COMPRA]])</f>
        <v>2024</v>
      </c>
      <c r="K65" s="19">
        <v>10.08</v>
      </c>
      <c r="L65" s="20">
        <v>0.3</v>
      </c>
      <c r="M65" s="19">
        <f>Tienda!$K169-Tienda!$K169*Tienda!$L169</f>
        <v>10.374000000000001</v>
      </c>
      <c r="N65" s="3" t="s">
        <v>10039</v>
      </c>
      <c r="O65" s="3" t="s">
        <v>10041</v>
      </c>
      <c r="P65" s="17">
        <v>45417</v>
      </c>
      <c r="Q65" s="4">
        <v>0</v>
      </c>
    </row>
    <row r="66" spans="1:17" x14ac:dyDescent="0.25">
      <c r="A66" s="2" t="s">
        <v>1557</v>
      </c>
      <c r="B66" s="3" t="s">
        <v>5015</v>
      </c>
      <c r="C66" s="3">
        <v>31</v>
      </c>
      <c r="D66" s="46" t="str">
        <f>IF(Tabla1[[#This Row],[EDAD]]&lt;=35,"Adultos jóvenes 18 - 35 años",IF(C66&gt;=36,"Adultos mayores 36 años en adelante"))</f>
        <v>Adultos jóvenes 18 - 35 años</v>
      </c>
      <c r="E66" s="3" t="s">
        <v>5018</v>
      </c>
      <c r="F66" s="3" t="s">
        <v>5029</v>
      </c>
      <c r="G66" s="3" t="s">
        <v>5036</v>
      </c>
      <c r="H66" s="3" t="s">
        <v>6580</v>
      </c>
      <c r="I66" s="17">
        <v>45418</v>
      </c>
      <c r="J66" s="18">
        <f>YEAR(Tabla1[[#This Row],[FECHA DE COMPRA]])</f>
        <v>2024</v>
      </c>
      <c r="K66" s="19">
        <v>80.150000000000006</v>
      </c>
      <c r="L66" s="20">
        <v>0.3</v>
      </c>
      <c r="M66" s="19">
        <f>Tienda!$K173-Tienda!$K173*Tienda!$L173</f>
        <v>79.289999999999992</v>
      </c>
      <c r="N66" s="3" t="s">
        <v>10039</v>
      </c>
      <c r="O66" s="3" t="s">
        <v>10041</v>
      </c>
      <c r="P66" s="17">
        <v>45418</v>
      </c>
      <c r="Q66" s="4">
        <v>0</v>
      </c>
    </row>
    <row r="67" spans="1:17" x14ac:dyDescent="0.25">
      <c r="A67" s="2" t="s">
        <v>1696</v>
      </c>
      <c r="B67" s="3" t="s">
        <v>5015</v>
      </c>
      <c r="C67" s="3">
        <v>35</v>
      </c>
      <c r="D67" s="46" t="str">
        <f>IF(Tabla1[[#This Row],[EDAD]]&lt;=35,"Adultos jóvenes 18 - 35 años",IF(C67&gt;=36,"Adultos mayores 36 años en adelante"))</f>
        <v>Adultos jóvenes 18 - 35 años</v>
      </c>
      <c r="E67" s="3" t="s">
        <v>5023</v>
      </c>
      <c r="F67" s="3" t="s">
        <v>5024</v>
      </c>
      <c r="G67" s="3" t="s">
        <v>5037</v>
      </c>
      <c r="H67" s="3" t="s">
        <v>6719</v>
      </c>
      <c r="I67" s="17">
        <v>45418</v>
      </c>
      <c r="J67" s="18">
        <f>YEAR(Tabla1[[#This Row],[FECHA DE COMPRA]])</f>
        <v>2024</v>
      </c>
      <c r="K67" s="19">
        <v>165.46</v>
      </c>
      <c r="L67" s="20">
        <v>0</v>
      </c>
      <c r="M67" s="19">
        <f>Tienda!$K176-Tienda!$K176*Tienda!$L176</f>
        <v>21.128</v>
      </c>
      <c r="N67" s="3" t="s">
        <v>10039</v>
      </c>
      <c r="O67" s="3" t="s">
        <v>10041</v>
      </c>
      <c r="P67" s="17">
        <v>45418</v>
      </c>
      <c r="Q67" s="4">
        <v>0</v>
      </c>
    </row>
    <row r="68" spans="1:17" x14ac:dyDescent="0.25">
      <c r="A68" s="2" t="s">
        <v>4029</v>
      </c>
      <c r="B68" s="3" t="s">
        <v>5015</v>
      </c>
      <c r="C68" s="3">
        <v>31</v>
      </c>
      <c r="D68" s="46" t="str">
        <f>IF(Tabla1[[#This Row],[EDAD]]&lt;=35,"Adultos jóvenes 18 - 35 años",IF(C68&gt;=36,"Adultos mayores 36 años en adelante"))</f>
        <v>Adultos jóvenes 18 - 35 años</v>
      </c>
      <c r="E68" s="3" t="s">
        <v>5022</v>
      </c>
      <c r="F68" s="3" t="s">
        <v>5027</v>
      </c>
      <c r="G68" s="3" t="s">
        <v>5032</v>
      </c>
      <c r="H68" s="3" t="s">
        <v>9052</v>
      </c>
      <c r="I68" s="17">
        <v>45418</v>
      </c>
      <c r="J68" s="18">
        <f>YEAR(Tabla1[[#This Row],[FECHA DE COMPRA]])</f>
        <v>2024</v>
      </c>
      <c r="K68" s="19">
        <v>166.17</v>
      </c>
      <c r="L68" s="20">
        <v>0</v>
      </c>
      <c r="M68" s="19">
        <f>Tienda!$K177-Tienda!$K177*Tienda!$L177</f>
        <v>119.03</v>
      </c>
      <c r="N68" s="3" t="s">
        <v>10039</v>
      </c>
      <c r="O68" s="3" t="s">
        <v>10041</v>
      </c>
      <c r="P68" s="17">
        <v>45418</v>
      </c>
      <c r="Q68" s="4">
        <v>0</v>
      </c>
    </row>
    <row r="69" spans="1:17" x14ac:dyDescent="0.25">
      <c r="A69" s="2" t="s">
        <v>33</v>
      </c>
      <c r="B69" s="3" t="s">
        <v>5016</v>
      </c>
      <c r="C69" s="3">
        <v>23</v>
      </c>
      <c r="D69" s="46" t="str">
        <f>IF(Tabla1[[#This Row],[EDAD]]&lt;=35,"Adultos jóvenes 18 - 35 años",IF(C69&gt;=36,"Adultos mayores 36 años en adelante"))</f>
        <v>Adultos jóvenes 18 - 35 años</v>
      </c>
      <c r="E69" s="3" t="s">
        <v>5021</v>
      </c>
      <c r="F69" s="3" t="s">
        <v>5030</v>
      </c>
      <c r="G69" s="3" t="s">
        <v>5031</v>
      </c>
      <c r="H69" s="3" t="s">
        <v>5056</v>
      </c>
      <c r="I69" s="17">
        <v>45419</v>
      </c>
      <c r="J69" s="18">
        <f>YEAR(Tabla1[[#This Row],[FECHA DE COMPRA]])</f>
        <v>2024</v>
      </c>
      <c r="K69" s="19">
        <v>60.89</v>
      </c>
      <c r="L69" s="20">
        <v>0.1</v>
      </c>
      <c r="M69" s="19">
        <f>Tienda!$K179-Tienda!$K179*Tienda!$L179</f>
        <v>18.430999999999997</v>
      </c>
      <c r="N69" s="3" t="s">
        <v>10039</v>
      </c>
      <c r="O69" s="3" t="s">
        <v>10041</v>
      </c>
      <c r="P69" s="17">
        <v>45419</v>
      </c>
      <c r="Q69" s="4">
        <v>0</v>
      </c>
    </row>
    <row r="70" spans="1:17" x14ac:dyDescent="0.25">
      <c r="A70" s="2" t="s">
        <v>2596</v>
      </c>
      <c r="B70" s="3" t="s">
        <v>5015</v>
      </c>
      <c r="C70" s="3">
        <v>32</v>
      </c>
      <c r="D70" s="46" t="str">
        <f>IF(Tabla1[[#This Row],[EDAD]]&lt;=35,"Adultos jóvenes 18 - 35 años",IF(C70&gt;=36,"Adultos mayores 36 años en adelante"))</f>
        <v>Adultos jóvenes 18 - 35 años</v>
      </c>
      <c r="E70" s="3" t="s">
        <v>5020</v>
      </c>
      <c r="F70" s="3" t="s">
        <v>5025</v>
      </c>
      <c r="G70" s="3" t="s">
        <v>5033</v>
      </c>
      <c r="H70" s="3" t="s">
        <v>7619</v>
      </c>
      <c r="I70" s="17">
        <v>45419</v>
      </c>
      <c r="J70" s="18">
        <f>YEAR(Tabla1[[#This Row],[FECHA DE COMPRA]])</f>
        <v>2024</v>
      </c>
      <c r="K70" s="19">
        <v>96</v>
      </c>
      <c r="L70" s="20">
        <v>0.1</v>
      </c>
      <c r="M70" s="19">
        <f>Tienda!$K180-Tienda!$K180*Tienda!$L180</f>
        <v>192.15</v>
      </c>
      <c r="N70" s="3" t="s">
        <v>10039</v>
      </c>
      <c r="O70" s="3" t="s">
        <v>10041</v>
      </c>
      <c r="P70" s="17">
        <v>45419</v>
      </c>
      <c r="Q70" s="4">
        <v>0</v>
      </c>
    </row>
    <row r="71" spans="1:17" x14ac:dyDescent="0.25">
      <c r="A71" s="2" t="s">
        <v>2311</v>
      </c>
      <c r="B71" s="3" t="s">
        <v>5015</v>
      </c>
      <c r="C71" s="3">
        <v>33</v>
      </c>
      <c r="D71" s="46" t="str">
        <f>IF(Tabla1[[#This Row],[EDAD]]&lt;=35,"Adultos jóvenes 18 - 35 años",IF(C71&gt;=36,"Adultos mayores 36 años en adelante"))</f>
        <v>Adultos jóvenes 18 - 35 años</v>
      </c>
      <c r="E71" s="3" t="s">
        <v>5018</v>
      </c>
      <c r="F71" s="3" t="s">
        <v>5030</v>
      </c>
      <c r="G71" s="3" t="s">
        <v>5036</v>
      </c>
      <c r="H71" s="3" t="s">
        <v>7334</v>
      </c>
      <c r="I71" s="17">
        <v>45420</v>
      </c>
      <c r="J71" s="18">
        <f>YEAR(Tabla1[[#This Row],[FECHA DE COMPRA]])</f>
        <v>2024</v>
      </c>
      <c r="K71" s="19">
        <v>13.7</v>
      </c>
      <c r="L71" s="20">
        <v>0.2</v>
      </c>
      <c r="M71" s="19">
        <f>Tienda!$K182-Tienda!$K182*Tienda!$L182</f>
        <v>38.159999999999997</v>
      </c>
      <c r="N71" s="3" t="s">
        <v>10039</v>
      </c>
      <c r="O71" s="3" t="s">
        <v>10041</v>
      </c>
      <c r="P71" s="17">
        <v>45420</v>
      </c>
      <c r="Q71" s="4">
        <v>0</v>
      </c>
    </row>
    <row r="72" spans="1:17" x14ac:dyDescent="0.25">
      <c r="A72" s="2" t="s">
        <v>1070</v>
      </c>
      <c r="B72" s="3" t="s">
        <v>5015</v>
      </c>
      <c r="C72" s="3">
        <v>32</v>
      </c>
      <c r="D72" s="46" t="str">
        <f>IF(Tabla1[[#This Row],[EDAD]]&lt;=35,"Adultos jóvenes 18 - 35 años",IF(C72&gt;=36,"Adultos mayores 36 años en adelante"))</f>
        <v>Adultos jóvenes 18 - 35 años</v>
      </c>
      <c r="E72" s="3" t="s">
        <v>5020</v>
      </c>
      <c r="F72" s="3" t="s">
        <v>5030</v>
      </c>
      <c r="G72" s="3" t="s">
        <v>5033</v>
      </c>
      <c r="H72" s="3" t="s">
        <v>6093</v>
      </c>
      <c r="I72" s="17">
        <v>45420</v>
      </c>
      <c r="J72" s="18">
        <f>YEAR(Tabla1[[#This Row],[FECHA DE COMPRA]])</f>
        <v>2024</v>
      </c>
      <c r="K72" s="19">
        <v>91.44</v>
      </c>
      <c r="L72" s="20">
        <v>0.1</v>
      </c>
      <c r="M72" s="19">
        <f>Tienda!$K183-Tienda!$K183*Tienda!$L183</f>
        <v>54.391999999999996</v>
      </c>
      <c r="N72" s="3" t="s">
        <v>10039</v>
      </c>
      <c r="O72" s="3" t="s">
        <v>10041</v>
      </c>
      <c r="P72" s="17">
        <v>45420</v>
      </c>
      <c r="Q72" s="4">
        <v>0</v>
      </c>
    </row>
    <row r="73" spans="1:17" x14ac:dyDescent="0.25">
      <c r="A73" s="2" t="s">
        <v>4256</v>
      </c>
      <c r="B73" s="3" t="s">
        <v>5015</v>
      </c>
      <c r="C73" s="3">
        <v>33</v>
      </c>
      <c r="D73" s="46" t="str">
        <f>IF(Tabla1[[#This Row],[EDAD]]&lt;=35,"Adultos jóvenes 18 - 35 años",IF(C73&gt;=36,"Adultos mayores 36 años en adelante"))</f>
        <v>Adultos jóvenes 18 - 35 años</v>
      </c>
      <c r="E73" s="3" t="s">
        <v>5022</v>
      </c>
      <c r="F73" s="3" t="s">
        <v>5027</v>
      </c>
      <c r="G73" s="3" t="s">
        <v>5033</v>
      </c>
      <c r="H73" s="3" t="s">
        <v>9279</v>
      </c>
      <c r="I73" s="17">
        <v>45425</v>
      </c>
      <c r="J73" s="18">
        <f>YEAR(Tabla1[[#This Row],[FECHA DE COMPRA]])</f>
        <v>2024</v>
      </c>
      <c r="K73" s="19">
        <v>126.62</v>
      </c>
      <c r="L73" s="20">
        <v>0.3</v>
      </c>
      <c r="M73" s="19">
        <f>Tienda!$K199-Tienda!$K199*Tienda!$L199</f>
        <v>40.466999999999999</v>
      </c>
      <c r="N73" s="3" t="s">
        <v>10039</v>
      </c>
      <c r="O73" s="3" t="s">
        <v>10041</v>
      </c>
      <c r="P73" s="17">
        <v>45425</v>
      </c>
      <c r="Q73" s="4">
        <v>0</v>
      </c>
    </row>
    <row r="74" spans="1:17" x14ac:dyDescent="0.25">
      <c r="A74" s="2" t="s">
        <v>4810</v>
      </c>
      <c r="B74" s="3" t="s">
        <v>5016</v>
      </c>
      <c r="C74" s="3">
        <v>32</v>
      </c>
      <c r="D74" s="46" t="str">
        <f>IF(Tabla1[[#This Row],[EDAD]]&lt;=35,"Adultos jóvenes 18 - 35 años",IF(C74&gt;=36,"Adultos mayores 36 años en adelante"))</f>
        <v>Adultos jóvenes 18 - 35 años</v>
      </c>
      <c r="E74" s="3" t="s">
        <v>5019</v>
      </c>
      <c r="F74" s="3" t="s">
        <v>5030</v>
      </c>
      <c r="G74" s="3" t="s">
        <v>5034</v>
      </c>
      <c r="H74" s="3" t="s">
        <v>9833</v>
      </c>
      <c r="I74" s="17">
        <v>45425</v>
      </c>
      <c r="J74" s="18">
        <f>YEAR(Tabla1[[#This Row],[FECHA DE COMPRA]])</f>
        <v>2024</v>
      </c>
      <c r="K74" s="19">
        <v>126.75</v>
      </c>
      <c r="L74" s="20">
        <v>0</v>
      </c>
      <c r="M74" s="19">
        <f>Tienda!$K200-Tienda!$K200*Tienda!$L200</f>
        <v>11.872</v>
      </c>
      <c r="N74" s="3" t="s">
        <v>10039</v>
      </c>
      <c r="O74" s="3" t="s">
        <v>10041</v>
      </c>
      <c r="P74" s="17">
        <v>45425</v>
      </c>
      <c r="Q74" s="4">
        <v>0</v>
      </c>
    </row>
    <row r="75" spans="1:17" x14ac:dyDescent="0.25">
      <c r="A75" s="2" t="s">
        <v>4692</v>
      </c>
      <c r="B75" s="3" t="s">
        <v>5015</v>
      </c>
      <c r="C75" s="3">
        <v>33</v>
      </c>
      <c r="D75" s="46" t="str">
        <f>IF(Tabla1[[#This Row],[EDAD]]&lt;=35,"Adultos jóvenes 18 - 35 años",IF(C75&gt;=36,"Adultos mayores 36 años en adelante"))</f>
        <v>Adultos jóvenes 18 - 35 años</v>
      </c>
      <c r="E75" s="3" t="s">
        <v>5020</v>
      </c>
      <c r="F75" s="3" t="s">
        <v>5024</v>
      </c>
      <c r="G75" s="3" t="s">
        <v>5032</v>
      </c>
      <c r="H75" s="3" t="s">
        <v>9715</v>
      </c>
      <c r="I75" s="17">
        <v>45425</v>
      </c>
      <c r="J75" s="18">
        <f>YEAR(Tabla1[[#This Row],[FECHA DE COMPRA]])</f>
        <v>2024</v>
      </c>
      <c r="K75" s="19">
        <v>131.27000000000001</v>
      </c>
      <c r="L75" s="20">
        <v>0.2</v>
      </c>
      <c r="M75" s="19">
        <f>Tienda!$K201-Tienda!$K201*Tienda!$L201</f>
        <v>113.40799999999999</v>
      </c>
      <c r="N75" s="3" t="s">
        <v>10039</v>
      </c>
      <c r="O75" s="3" t="s">
        <v>10041</v>
      </c>
      <c r="P75" s="17">
        <v>45425</v>
      </c>
      <c r="Q75" s="4">
        <v>0</v>
      </c>
    </row>
    <row r="76" spans="1:17" x14ac:dyDescent="0.25">
      <c r="A76" s="2" t="s">
        <v>214</v>
      </c>
      <c r="B76" s="3" t="s">
        <v>5015</v>
      </c>
      <c r="C76" s="3">
        <v>25</v>
      </c>
      <c r="D76" s="46" t="str">
        <f>IF(Tabla1[[#This Row],[EDAD]]&lt;=35,"Adultos jóvenes 18 - 35 años",IF(C76&gt;=36,"Adultos mayores 36 años en adelante"))</f>
        <v>Adultos jóvenes 18 - 35 años</v>
      </c>
      <c r="E76" s="3" t="s">
        <v>5018</v>
      </c>
      <c r="F76" s="3" t="s">
        <v>5024</v>
      </c>
      <c r="G76" s="3" t="s">
        <v>5035</v>
      </c>
      <c r="H76" s="3" t="s">
        <v>5237</v>
      </c>
      <c r="I76" s="17">
        <v>45427</v>
      </c>
      <c r="J76" s="18">
        <f>YEAR(Tabla1[[#This Row],[FECHA DE COMPRA]])</f>
        <v>2024</v>
      </c>
      <c r="K76" s="19">
        <v>44.71</v>
      </c>
      <c r="L76" s="20">
        <v>0.3</v>
      </c>
      <c r="M76" s="19">
        <f>Tienda!$K206-Tienda!$K206*Tienda!$L206</f>
        <v>108.46400000000001</v>
      </c>
      <c r="N76" s="3" t="s">
        <v>10039</v>
      </c>
      <c r="O76" s="3" t="s">
        <v>10041</v>
      </c>
      <c r="P76" s="17">
        <v>45427</v>
      </c>
      <c r="Q76" s="4">
        <v>0</v>
      </c>
    </row>
    <row r="77" spans="1:17" x14ac:dyDescent="0.25">
      <c r="A77" s="2" t="s">
        <v>381</v>
      </c>
      <c r="B77" s="3" t="s">
        <v>5015</v>
      </c>
      <c r="C77" s="3">
        <v>22</v>
      </c>
      <c r="D77" s="46" t="str">
        <f>IF(Tabla1[[#This Row],[EDAD]]&lt;=35,"Adultos jóvenes 18 - 35 años",IF(C77&gt;=36,"Adultos mayores 36 años en adelante"))</f>
        <v>Adultos jóvenes 18 - 35 años</v>
      </c>
      <c r="E77" s="3" t="s">
        <v>5022</v>
      </c>
      <c r="F77" s="3" t="s">
        <v>5030</v>
      </c>
      <c r="G77" s="3" t="s">
        <v>5035</v>
      </c>
      <c r="H77" s="3" t="s">
        <v>5404</v>
      </c>
      <c r="I77" s="17">
        <v>45427</v>
      </c>
      <c r="J77" s="18">
        <f>YEAR(Tabla1[[#This Row],[FECHA DE COMPRA]])</f>
        <v>2024</v>
      </c>
      <c r="K77" s="19">
        <v>73.349999999999994</v>
      </c>
      <c r="L77" s="20">
        <v>0.3</v>
      </c>
      <c r="M77" s="19">
        <f>Tienda!$K207-Tienda!$K207*Tienda!$L207</f>
        <v>145.755</v>
      </c>
      <c r="N77" s="3" t="s">
        <v>10039</v>
      </c>
      <c r="O77" s="3" t="s">
        <v>10041</v>
      </c>
      <c r="P77" s="17">
        <v>45427</v>
      </c>
      <c r="Q77" s="4">
        <v>0</v>
      </c>
    </row>
    <row r="78" spans="1:17" x14ac:dyDescent="0.25">
      <c r="A78" s="2" t="s">
        <v>1741</v>
      </c>
      <c r="B78" s="3" t="s">
        <v>5015</v>
      </c>
      <c r="C78" s="3">
        <v>20</v>
      </c>
      <c r="D78" s="46" t="str">
        <f>IF(Tabla1[[#This Row],[EDAD]]&lt;=35,"Adultos jóvenes 18 - 35 años",IF(C78&gt;=36,"Adultos mayores 36 años en adelante"))</f>
        <v>Adultos jóvenes 18 - 35 años</v>
      </c>
      <c r="E78" s="3" t="s">
        <v>5019</v>
      </c>
      <c r="F78" s="3" t="s">
        <v>5028</v>
      </c>
      <c r="G78" s="3" t="s">
        <v>5036</v>
      </c>
      <c r="H78" s="3" t="s">
        <v>6764</v>
      </c>
      <c r="I78" s="17">
        <v>45429</v>
      </c>
      <c r="J78" s="18">
        <f>YEAR(Tabla1[[#This Row],[FECHA DE COMPRA]])</f>
        <v>2024</v>
      </c>
      <c r="K78" s="19">
        <v>53</v>
      </c>
      <c r="L78" s="20">
        <v>0.1</v>
      </c>
      <c r="M78" s="19">
        <f>Tienda!$K214-Tienda!$K214*Tienda!$L214</f>
        <v>111.59099999999999</v>
      </c>
      <c r="N78" s="3" t="s">
        <v>10039</v>
      </c>
      <c r="O78" s="3" t="s">
        <v>10041</v>
      </c>
      <c r="P78" s="17">
        <v>45429</v>
      </c>
      <c r="Q78" s="4">
        <v>0</v>
      </c>
    </row>
    <row r="79" spans="1:17" x14ac:dyDescent="0.25">
      <c r="A79" s="2" t="s">
        <v>679</v>
      </c>
      <c r="B79" s="3" t="s">
        <v>5015</v>
      </c>
      <c r="C79" s="3">
        <v>31</v>
      </c>
      <c r="D79" s="46" t="str">
        <f>IF(Tabla1[[#This Row],[EDAD]]&lt;=35,"Adultos jóvenes 18 - 35 años",IF(C79&gt;=36,"Adultos mayores 36 años en adelante"))</f>
        <v>Adultos jóvenes 18 - 35 años</v>
      </c>
      <c r="E79" s="3" t="s">
        <v>5018</v>
      </c>
      <c r="F79" s="3" t="s">
        <v>5028</v>
      </c>
      <c r="G79" s="3" t="s">
        <v>5031</v>
      </c>
      <c r="H79" s="3" t="s">
        <v>5702</v>
      </c>
      <c r="I79" s="17">
        <v>45429</v>
      </c>
      <c r="J79" s="18">
        <f>YEAR(Tabla1[[#This Row],[FECHA DE COMPRA]])</f>
        <v>2024</v>
      </c>
      <c r="K79" s="19">
        <v>79.959999999999994</v>
      </c>
      <c r="L79" s="20">
        <v>0.3</v>
      </c>
      <c r="M79" s="19">
        <f>Tienda!$K216-Tienda!$K216*Tienda!$L216</f>
        <v>80.650000000000006</v>
      </c>
      <c r="N79" s="3" t="s">
        <v>10039</v>
      </c>
      <c r="O79" s="3" t="s">
        <v>10041</v>
      </c>
      <c r="P79" s="17">
        <v>45429</v>
      </c>
      <c r="Q79" s="4">
        <v>0</v>
      </c>
    </row>
    <row r="80" spans="1:17" x14ac:dyDescent="0.25">
      <c r="A80" s="2" t="s">
        <v>823</v>
      </c>
      <c r="B80" s="3" t="s">
        <v>5015</v>
      </c>
      <c r="C80" s="3">
        <v>30</v>
      </c>
      <c r="D80" s="46" t="str">
        <f>IF(Tabla1[[#This Row],[EDAD]]&lt;=35,"Adultos jóvenes 18 - 35 años",IF(C80&gt;=36,"Adultos mayores 36 años en adelante"))</f>
        <v>Adultos jóvenes 18 - 35 años</v>
      </c>
      <c r="E80" s="3" t="s">
        <v>5021</v>
      </c>
      <c r="F80" s="3" t="s">
        <v>5029</v>
      </c>
      <c r="G80" s="3" t="s">
        <v>5032</v>
      </c>
      <c r="H80" s="3" t="s">
        <v>5846</v>
      </c>
      <c r="I80" s="17">
        <v>45429</v>
      </c>
      <c r="J80" s="18">
        <f>YEAR(Tabla1[[#This Row],[FECHA DE COMPRA]])</f>
        <v>2024</v>
      </c>
      <c r="K80" s="19">
        <v>88.87</v>
      </c>
      <c r="L80" s="20">
        <v>0</v>
      </c>
      <c r="M80" s="19">
        <f>Tienda!$K217-Tienda!$K217*Tienda!$L217</f>
        <v>80.320000000000007</v>
      </c>
      <c r="N80" s="3" t="s">
        <v>10039</v>
      </c>
      <c r="O80" s="3" t="s">
        <v>10041</v>
      </c>
      <c r="P80" s="17">
        <v>45429</v>
      </c>
      <c r="Q80" s="4">
        <v>0</v>
      </c>
    </row>
    <row r="81" spans="1:17" x14ac:dyDescent="0.25">
      <c r="A81" s="2" t="s">
        <v>721</v>
      </c>
      <c r="B81" s="3" t="s">
        <v>5016</v>
      </c>
      <c r="C81" s="3">
        <v>28</v>
      </c>
      <c r="D81" s="46" t="str">
        <f>IF(Tabla1[[#This Row],[EDAD]]&lt;=35,"Adultos jóvenes 18 - 35 años",IF(C81&gt;=36,"Adultos mayores 36 años en adelante"))</f>
        <v>Adultos jóvenes 18 - 35 años</v>
      </c>
      <c r="E81" s="3" t="s">
        <v>5023</v>
      </c>
      <c r="F81" s="3" t="s">
        <v>5030</v>
      </c>
      <c r="G81" s="3" t="s">
        <v>5035</v>
      </c>
      <c r="H81" s="3" t="s">
        <v>5744</v>
      </c>
      <c r="I81" s="17">
        <v>45429</v>
      </c>
      <c r="J81" s="18">
        <f>YEAR(Tabla1[[#This Row],[FECHA DE COMPRA]])</f>
        <v>2024</v>
      </c>
      <c r="K81" s="19">
        <v>114.1</v>
      </c>
      <c r="L81" s="20">
        <v>0.2</v>
      </c>
      <c r="M81" s="19">
        <f>Tienda!$K218-Tienda!$K218*Tienda!$L218</f>
        <v>43.05</v>
      </c>
      <c r="N81" s="3" t="s">
        <v>10039</v>
      </c>
      <c r="O81" s="3" t="s">
        <v>10041</v>
      </c>
      <c r="P81" s="17">
        <v>45429</v>
      </c>
      <c r="Q81" s="4">
        <v>0</v>
      </c>
    </row>
    <row r="82" spans="1:17" x14ac:dyDescent="0.25">
      <c r="A82" s="2" t="s">
        <v>2281</v>
      </c>
      <c r="B82" s="3" t="s">
        <v>5015</v>
      </c>
      <c r="C82" s="3">
        <v>28</v>
      </c>
      <c r="D82" s="46" t="str">
        <f>IF(Tabla1[[#This Row],[EDAD]]&lt;=35,"Adultos jóvenes 18 - 35 años",IF(C82&gt;=36,"Adultos mayores 36 años en adelante"))</f>
        <v>Adultos jóvenes 18 - 35 años</v>
      </c>
      <c r="E82" s="3" t="s">
        <v>5022</v>
      </c>
      <c r="F82" s="3" t="s">
        <v>5030</v>
      </c>
      <c r="G82" s="3" t="s">
        <v>5035</v>
      </c>
      <c r="H82" s="3" t="s">
        <v>7304</v>
      </c>
      <c r="I82" s="17">
        <v>45430</v>
      </c>
      <c r="J82" s="18">
        <f>YEAR(Tabla1[[#This Row],[FECHA DE COMPRA]])</f>
        <v>2024</v>
      </c>
      <c r="K82" s="19">
        <v>150.36000000000001</v>
      </c>
      <c r="L82" s="20">
        <v>0.2</v>
      </c>
      <c r="M82" s="19">
        <f>Tienda!$K221-Tienda!$K221*Tienda!$L221</f>
        <v>128.69999999999999</v>
      </c>
      <c r="N82" s="3" t="s">
        <v>10039</v>
      </c>
      <c r="O82" s="3" t="s">
        <v>10041</v>
      </c>
      <c r="P82" s="17">
        <v>45430</v>
      </c>
      <c r="Q82" s="4">
        <v>0</v>
      </c>
    </row>
    <row r="83" spans="1:17" x14ac:dyDescent="0.25">
      <c r="A83" s="2" t="s">
        <v>4759</v>
      </c>
      <c r="B83" s="3" t="s">
        <v>5015</v>
      </c>
      <c r="C83" s="3">
        <v>24</v>
      </c>
      <c r="D83" s="46" t="str">
        <f>IF(Tabla1[[#This Row],[EDAD]]&lt;=35,"Adultos jóvenes 18 - 35 años",IF(C83&gt;=36,"Adultos mayores 36 años en adelante"))</f>
        <v>Adultos jóvenes 18 - 35 años</v>
      </c>
      <c r="E83" s="3" t="s">
        <v>5018</v>
      </c>
      <c r="F83" s="3" t="s">
        <v>5028</v>
      </c>
      <c r="G83" s="3" t="s">
        <v>5031</v>
      </c>
      <c r="H83" s="3" t="s">
        <v>9782</v>
      </c>
      <c r="I83" s="17">
        <v>45432</v>
      </c>
      <c r="J83" s="18">
        <f>YEAR(Tabla1[[#This Row],[FECHA DE COMPRA]])</f>
        <v>2024</v>
      </c>
      <c r="K83" s="19">
        <v>77.540000000000006</v>
      </c>
      <c r="L83" s="20">
        <v>0.2</v>
      </c>
      <c r="M83" s="19">
        <f>Tienda!$K223-Tienda!$K223*Tienda!$L223</f>
        <v>61.319999999999993</v>
      </c>
      <c r="N83" s="3" t="s">
        <v>10039</v>
      </c>
      <c r="O83" s="3" t="s">
        <v>10041</v>
      </c>
      <c r="P83" s="17">
        <v>45432</v>
      </c>
      <c r="Q83" s="4">
        <v>0</v>
      </c>
    </row>
    <row r="84" spans="1:17" x14ac:dyDescent="0.25">
      <c r="A84" s="2" t="s">
        <v>4462</v>
      </c>
      <c r="B84" s="3" t="s">
        <v>5015</v>
      </c>
      <c r="C84" s="3">
        <v>29</v>
      </c>
      <c r="D84" s="46" t="str">
        <f>IF(Tabla1[[#This Row],[EDAD]]&lt;=35,"Adultos jóvenes 18 - 35 años",IF(C84&gt;=36,"Adultos mayores 36 años en adelante"))</f>
        <v>Adultos jóvenes 18 - 35 años</v>
      </c>
      <c r="E84" s="3" t="s">
        <v>5019</v>
      </c>
      <c r="F84" s="3" t="s">
        <v>5029</v>
      </c>
      <c r="G84" s="3" t="s">
        <v>5036</v>
      </c>
      <c r="H84" s="3" t="s">
        <v>9485</v>
      </c>
      <c r="I84" s="17">
        <v>45433</v>
      </c>
      <c r="J84" s="18">
        <f>YEAR(Tabla1[[#This Row],[FECHA DE COMPRA]])</f>
        <v>2024</v>
      </c>
      <c r="K84" s="19">
        <v>180.76</v>
      </c>
      <c r="L84" s="20">
        <v>0</v>
      </c>
      <c r="M84" s="19">
        <f>Tienda!$K225-Tienda!$K225*Tienda!$L225</f>
        <v>82.772999999999996</v>
      </c>
      <c r="N84" s="3" t="s">
        <v>10039</v>
      </c>
      <c r="O84" s="3" t="s">
        <v>10041</v>
      </c>
      <c r="P84" s="17">
        <v>45433</v>
      </c>
      <c r="Q84" s="4">
        <v>0</v>
      </c>
    </row>
    <row r="85" spans="1:17" x14ac:dyDescent="0.25">
      <c r="A85" s="2" t="s">
        <v>2254</v>
      </c>
      <c r="B85" s="3" t="s">
        <v>5015</v>
      </c>
      <c r="C85" s="3">
        <v>20</v>
      </c>
      <c r="D85" s="46" t="str">
        <f>IF(Tabla1[[#This Row],[EDAD]]&lt;=35,"Adultos jóvenes 18 - 35 años",IF(C85&gt;=36,"Adultos mayores 36 años en adelante"))</f>
        <v>Adultos jóvenes 18 - 35 años</v>
      </c>
      <c r="E85" s="3" t="s">
        <v>5018</v>
      </c>
      <c r="F85" s="3" t="s">
        <v>5025</v>
      </c>
      <c r="G85" s="3" t="s">
        <v>5032</v>
      </c>
      <c r="H85" s="3" t="s">
        <v>7277</v>
      </c>
      <c r="I85" s="17">
        <v>45434</v>
      </c>
      <c r="J85" s="18">
        <f>YEAR(Tabla1[[#This Row],[FECHA DE COMPRA]])</f>
        <v>2024</v>
      </c>
      <c r="K85" s="19">
        <v>105.15</v>
      </c>
      <c r="L85" s="20">
        <v>0.1</v>
      </c>
      <c r="M85" s="19">
        <f>Tienda!$K226-Tienda!$K226*Tienda!$L226</f>
        <v>52.946999999999996</v>
      </c>
      <c r="N85" s="3" t="s">
        <v>10039</v>
      </c>
      <c r="O85" s="3" t="s">
        <v>10041</v>
      </c>
      <c r="P85" s="17">
        <v>45434</v>
      </c>
      <c r="Q85" s="4">
        <v>0</v>
      </c>
    </row>
    <row r="86" spans="1:17" x14ac:dyDescent="0.25">
      <c r="A86" s="2" t="s">
        <v>3085</v>
      </c>
      <c r="B86" s="3" t="s">
        <v>5015</v>
      </c>
      <c r="C86" s="3">
        <v>27</v>
      </c>
      <c r="D86" s="46" t="str">
        <f>IF(Tabla1[[#This Row],[EDAD]]&lt;=35,"Adultos jóvenes 18 - 35 años",IF(C86&gt;=36,"Adultos mayores 36 años en adelante"))</f>
        <v>Adultos jóvenes 18 - 35 años</v>
      </c>
      <c r="E86" s="3" t="s">
        <v>5020</v>
      </c>
      <c r="F86" s="3" t="s">
        <v>5026</v>
      </c>
      <c r="G86" s="3" t="s">
        <v>5035</v>
      </c>
      <c r="H86" s="3" t="s">
        <v>8108</v>
      </c>
      <c r="I86" s="17">
        <v>45437</v>
      </c>
      <c r="J86" s="18">
        <f>YEAR(Tabla1[[#This Row],[FECHA DE COMPRA]])</f>
        <v>2024</v>
      </c>
      <c r="K86" s="19">
        <v>169.05</v>
      </c>
      <c r="L86" s="20">
        <v>0.2</v>
      </c>
      <c r="M86" s="19">
        <f>Tienda!$K233-Tienda!$K233*Tienda!$L233</f>
        <v>49.488</v>
      </c>
      <c r="N86" s="3" t="s">
        <v>10039</v>
      </c>
      <c r="O86" s="3" t="s">
        <v>10041</v>
      </c>
      <c r="P86" s="17">
        <v>45437</v>
      </c>
      <c r="Q86" s="4">
        <v>0</v>
      </c>
    </row>
    <row r="87" spans="1:17" x14ac:dyDescent="0.25">
      <c r="A87" s="2" t="s">
        <v>835</v>
      </c>
      <c r="B87" s="3" t="s">
        <v>5015</v>
      </c>
      <c r="C87" s="3">
        <v>22</v>
      </c>
      <c r="D87" s="46" t="str">
        <f>IF(Tabla1[[#This Row],[EDAD]]&lt;=35,"Adultos jóvenes 18 - 35 años",IF(C87&gt;=36,"Adultos mayores 36 años en adelante"))</f>
        <v>Adultos jóvenes 18 - 35 años</v>
      </c>
      <c r="E87" s="3" t="s">
        <v>5021</v>
      </c>
      <c r="F87" s="3" t="s">
        <v>5030</v>
      </c>
      <c r="G87" s="3" t="s">
        <v>5031</v>
      </c>
      <c r="H87" s="3" t="s">
        <v>5858</v>
      </c>
      <c r="I87" s="17">
        <v>45439</v>
      </c>
      <c r="J87" s="18">
        <f>YEAR(Tabla1[[#This Row],[FECHA DE COMPRA]])</f>
        <v>2024</v>
      </c>
      <c r="K87" s="19">
        <v>66.28</v>
      </c>
      <c r="L87" s="20">
        <v>0</v>
      </c>
      <c r="M87" s="19">
        <f>Tienda!$K234-Tienda!$K234*Tienda!$L234</f>
        <v>9.5760000000000005</v>
      </c>
      <c r="N87" s="3" t="s">
        <v>10039</v>
      </c>
      <c r="O87" s="3" t="s">
        <v>10041</v>
      </c>
      <c r="P87" s="17">
        <v>45439</v>
      </c>
      <c r="Q87" s="4">
        <v>0</v>
      </c>
    </row>
    <row r="88" spans="1:17" x14ac:dyDescent="0.25">
      <c r="A88" s="2" t="s">
        <v>1891</v>
      </c>
      <c r="B88" s="3" t="s">
        <v>5016</v>
      </c>
      <c r="C88" s="3">
        <v>20</v>
      </c>
      <c r="D88" s="46" t="str">
        <f>IF(Tabla1[[#This Row],[EDAD]]&lt;=35,"Adultos jóvenes 18 - 35 años",IF(C88&gt;=36,"Adultos mayores 36 años en adelante"))</f>
        <v>Adultos jóvenes 18 - 35 años</v>
      </c>
      <c r="E88" s="3" t="s">
        <v>5017</v>
      </c>
      <c r="F88" s="3" t="s">
        <v>5030</v>
      </c>
      <c r="G88" s="3" t="s">
        <v>5033</v>
      </c>
      <c r="H88" s="3" t="s">
        <v>6914</v>
      </c>
      <c r="I88" s="17">
        <v>45440</v>
      </c>
      <c r="J88" s="18">
        <f>YEAR(Tabla1[[#This Row],[FECHA DE COMPRA]])</f>
        <v>2024</v>
      </c>
      <c r="K88" s="19">
        <v>84.27</v>
      </c>
      <c r="L88" s="20">
        <v>0.2</v>
      </c>
      <c r="M88" s="19">
        <f>Tienda!$K237-Tienda!$K237*Tienda!$L237</f>
        <v>170.685</v>
      </c>
      <c r="N88" s="3" t="s">
        <v>10039</v>
      </c>
      <c r="O88" s="3" t="s">
        <v>10041</v>
      </c>
      <c r="P88" s="17">
        <v>45440</v>
      </c>
      <c r="Q88" s="4">
        <v>0</v>
      </c>
    </row>
    <row r="89" spans="1:17" x14ac:dyDescent="0.25">
      <c r="A89" s="2" t="s">
        <v>2931</v>
      </c>
      <c r="B89" s="3" t="s">
        <v>5015</v>
      </c>
      <c r="C89" s="3">
        <v>20</v>
      </c>
      <c r="D89" s="46" t="str">
        <f>IF(Tabla1[[#This Row],[EDAD]]&lt;=35,"Adultos jóvenes 18 - 35 años",IF(C89&gt;=36,"Adultos mayores 36 años en adelante"))</f>
        <v>Adultos jóvenes 18 - 35 años</v>
      </c>
      <c r="E89" s="3" t="s">
        <v>5017</v>
      </c>
      <c r="F89" s="3" t="s">
        <v>5030</v>
      </c>
      <c r="G89" s="3" t="s">
        <v>5035</v>
      </c>
      <c r="H89" s="3" t="s">
        <v>7954</v>
      </c>
      <c r="I89" s="17">
        <v>45440</v>
      </c>
      <c r="J89" s="18">
        <f>YEAR(Tabla1[[#This Row],[FECHA DE COMPRA]])</f>
        <v>2024</v>
      </c>
      <c r="K89" s="19">
        <v>149.44</v>
      </c>
      <c r="L89" s="20">
        <v>0</v>
      </c>
      <c r="M89" s="19">
        <f>Tienda!$K239-Tienda!$K239*Tienda!$L239</f>
        <v>82.087999999999994</v>
      </c>
      <c r="N89" s="3" t="s">
        <v>10039</v>
      </c>
      <c r="O89" s="3" t="s">
        <v>10041</v>
      </c>
      <c r="P89" s="17">
        <v>45440</v>
      </c>
      <c r="Q89" s="4">
        <v>0</v>
      </c>
    </row>
    <row r="90" spans="1:17" x14ac:dyDescent="0.25">
      <c r="A90" s="2" t="s">
        <v>3571</v>
      </c>
      <c r="B90" s="3" t="s">
        <v>5015</v>
      </c>
      <c r="C90" s="3">
        <v>25</v>
      </c>
      <c r="D90" s="46" t="str">
        <f>IF(Tabla1[[#This Row],[EDAD]]&lt;=35,"Adultos jóvenes 18 - 35 años",IF(C90&gt;=36,"Adultos mayores 36 años en adelante"))</f>
        <v>Adultos jóvenes 18 - 35 años</v>
      </c>
      <c r="E90" s="3" t="s">
        <v>5018</v>
      </c>
      <c r="F90" s="3" t="s">
        <v>5028</v>
      </c>
      <c r="G90" s="3" t="s">
        <v>5035</v>
      </c>
      <c r="H90" s="3" t="s">
        <v>8594</v>
      </c>
      <c r="I90" s="17">
        <v>45440</v>
      </c>
      <c r="J90" s="18">
        <f>YEAR(Tabla1[[#This Row],[FECHA DE COMPRA]])</f>
        <v>2024</v>
      </c>
      <c r="K90" s="19">
        <v>163.72999999999999</v>
      </c>
      <c r="L90" s="20">
        <v>0.2</v>
      </c>
      <c r="M90" s="19">
        <f>Tienda!$K240-Tienda!$K240*Tienda!$L240</f>
        <v>139.49100000000001</v>
      </c>
      <c r="N90" s="3" t="s">
        <v>10039</v>
      </c>
      <c r="O90" s="3" t="s">
        <v>10041</v>
      </c>
      <c r="P90" s="17">
        <v>45440</v>
      </c>
      <c r="Q90" s="4">
        <v>0</v>
      </c>
    </row>
    <row r="91" spans="1:17" x14ac:dyDescent="0.25">
      <c r="A91" s="2" t="s">
        <v>1054</v>
      </c>
      <c r="B91" s="3" t="s">
        <v>5015</v>
      </c>
      <c r="C91" s="3">
        <v>29</v>
      </c>
      <c r="D91" s="46" t="str">
        <f>IF(Tabla1[[#This Row],[EDAD]]&lt;=35,"Adultos jóvenes 18 - 35 años",IF(C91&gt;=36,"Adultos mayores 36 años en adelante"))</f>
        <v>Adultos jóvenes 18 - 35 años</v>
      </c>
      <c r="E91" s="3" t="s">
        <v>5017</v>
      </c>
      <c r="F91" s="3" t="s">
        <v>5024</v>
      </c>
      <c r="G91" s="3" t="s">
        <v>5032</v>
      </c>
      <c r="H91" s="3" t="s">
        <v>6077</v>
      </c>
      <c r="I91" s="17">
        <v>45441</v>
      </c>
      <c r="J91" s="18">
        <f>YEAR(Tabla1[[#This Row],[FECHA DE COMPRA]])</f>
        <v>2024</v>
      </c>
      <c r="K91" s="19">
        <v>120.91</v>
      </c>
      <c r="L91" s="20">
        <v>0.3</v>
      </c>
      <c r="M91" s="19">
        <f>Tienda!$K244-Tienda!$K244*Tienda!$L244</f>
        <v>113.59</v>
      </c>
      <c r="N91" s="3" t="s">
        <v>10039</v>
      </c>
      <c r="O91" s="3" t="s">
        <v>10041</v>
      </c>
      <c r="P91" s="17">
        <v>45441</v>
      </c>
      <c r="Q91" s="4">
        <v>0</v>
      </c>
    </row>
    <row r="92" spans="1:17" x14ac:dyDescent="0.25">
      <c r="A92" s="2" t="s">
        <v>3316</v>
      </c>
      <c r="B92" s="3" t="s">
        <v>5015</v>
      </c>
      <c r="C92" s="3">
        <v>34</v>
      </c>
      <c r="D92" s="46" t="str">
        <f>IF(Tabla1[[#This Row],[EDAD]]&lt;=35,"Adultos jóvenes 18 - 35 años",IF(C92&gt;=36,"Adultos mayores 36 años en adelante"))</f>
        <v>Adultos jóvenes 18 - 35 años</v>
      </c>
      <c r="E92" s="3" t="s">
        <v>5020</v>
      </c>
      <c r="F92" s="3" t="s">
        <v>5024</v>
      </c>
      <c r="G92" s="3" t="s">
        <v>5032</v>
      </c>
      <c r="H92" s="3" t="s">
        <v>8339</v>
      </c>
      <c r="I92" s="17">
        <v>45442</v>
      </c>
      <c r="J92" s="18">
        <f>YEAR(Tabla1[[#This Row],[FECHA DE COMPRA]])</f>
        <v>2024</v>
      </c>
      <c r="K92" s="19">
        <v>108.21</v>
      </c>
      <c r="L92" s="20">
        <v>0.2</v>
      </c>
      <c r="M92" s="19">
        <f>Tienda!$K246-Tienda!$K246*Tienda!$L246</f>
        <v>80.736000000000004</v>
      </c>
      <c r="N92" s="3" t="s">
        <v>10039</v>
      </c>
      <c r="O92" s="3" t="s">
        <v>10041</v>
      </c>
      <c r="P92" s="17">
        <v>45442</v>
      </c>
      <c r="Q92" s="4">
        <v>0</v>
      </c>
    </row>
    <row r="93" spans="1:17" x14ac:dyDescent="0.25">
      <c r="A93" s="2" t="s">
        <v>4229</v>
      </c>
      <c r="B93" s="3" t="s">
        <v>5016</v>
      </c>
      <c r="C93" s="3">
        <v>20</v>
      </c>
      <c r="D93" s="46" t="str">
        <f>IF(Tabla1[[#This Row],[EDAD]]&lt;=35,"Adultos jóvenes 18 - 35 años",IF(C93&gt;=36,"Adultos mayores 36 años en adelante"))</f>
        <v>Adultos jóvenes 18 - 35 años</v>
      </c>
      <c r="E93" s="3" t="s">
        <v>5019</v>
      </c>
      <c r="F93" s="3" t="s">
        <v>5026</v>
      </c>
      <c r="G93" s="3" t="s">
        <v>5034</v>
      </c>
      <c r="H93" s="3" t="s">
        <v>9252</v>
      </c>
      <c r="I93" s="17">
        <v>45442</v>
      </c>
      <c r="J93" s="18">
        <f>YEAR(Tabla1[[#This Row],[FECHA DE COMPRA]])</f>
        <v>2024</v>
      </c>
      <c r="K93" s="19">
        <v>112.8</v>
      </c>
      <c r="L93" s="20">
        <v>0.3</v>
      </c>
      <c r="M93" s="19">
        <f>Tienda!$K247-Tienda!$K247*Tienda!$L247</f>
        <v>68.908000000000001</v>
      </c>
      <c r="N93" s="3" t="s">
        <v>10039</v>
      </c>
      <c r="O93" s="3" t="s">
        <v>10041</v>
      </c>
      <c r="P93" s="17">
        <v>45442</v>
      </c>
      <c r="Q93" s="4">
        <v>0</v>
      </c>
    </row>
    <row r="94" spans="1:17" x14ac:dyDescent="0.25">
      <c r="A94" s="2" t="s">
        <v>1114</v>
      </c>
      <c r="B94" s="3" t="s">
        <v>5016</v>
      </c>
      <c r="C94" s="3">
        <v>26</v>
      </c>
      <c r="D94" s="46" t="str">
        <f>IF(Tabla1[[#This Row],[EDAD]]&lt;=35,"Adultos jóvenes 18 - 35 años",IF(C94&gt;=36,"Adultos mayores 36 años en adelante"))</f>
        <v>Adultos jóvenes 18 - 35 años</v>
      </c>
      <c r="E94" s="3" t="s">
        <v>5023</v>
      </c>
      <c r="F94" s="3" t="s">
        <v>5030</v>
      </c>
      <c r="G94" s="3" t="s">
        <v>5037</v>
      </c>
      <c r="H94" s="3" t="s">
        <v>6137</v>
      </c>
      <c r="I94" s="17">
        <v>45442</v>
      </c>
      <c r="J94" s="18">
        <f>YEAR(Tabla1[[#This Row],[FECHA DE COMPRA]])</f>
        <v>2024</v>
      </c>
      <c r="K94" s="19">
        <v>170.73</v>
      </c>
      <c r="L94" s="20">
        <v>0.3</v>
      </c>
      <c r="M94" s="19">
        <f>Tienda!$K248-Tienda!$K248*Tienda!$L248</f>
        <v>111</v>
      </c>
      <c r="N94" s="3" t="s">
        <v>10039</v>
      </c>
      <c r="O94" s="3" t="s">
        <v>10041</v>
      </c>
      <c r="P94" s="17">
        <v>45442</v>
      </c>
      <c r="Q94" s="4">
        <v>0</v>
      </c>
    </row>
    <row r="95" spans="1:17" x14ac:dyDescent="0.25">
      <c r="A95" s="2" t="s">
        <v>4944</v>
      </c>
      <c r="B95" s="3" t="s">
        <v>5015</v>
      </c>
      <c r="C95" s="3">
        <v>22</v>
      </c>
      <c r="D95" s="46" t="str">
        <f>IF(Tabla1[[#This Row],[EDAD]]&lt;=35,"Adultos jóvenes 18 - 35 años",IF(C95&gt;=36,"Adultos mayores 36 años en adelante"))</f>
        <v>Adultos jóvenes 18 - 35 años</v>
      </c>
      <c r="E95" s="3" t="s">
        <v>5022</v>
      </c>
      <c r="F95" s="3" t="s">
        <v>5026</v>
      </c>
      <c r="G95" s="3" t="s">
        <v>5032</v>
      </c>
      <c r="H95" s="3" t="s">
        <v>9967</v>
      </c>
      <c r="I95" s="17">
        <v>45444</v>
      </c>
      <c r="J95" s="18">
        <f>YEAR(Tabla1[[#This Row],[FECHA DE COMPRA]])</f>
        <v>2024</v>
      </c>
      <c r="K95" s="19">
        <v>70.45</v>
      </c>
      <c r="L95" s="20">
        <v>0.2</v>
      </c>
      <c r="M95" s="19">
        <f>Tienda!$K252-Tienda!$K252*Tienda!$L252</f>
        <v>134.65600000000001</v>
      </c>
      <c r="N95" s="3" t="s">
        <v>10039</v>
      </c>
      <c r="O95" s="3" t="s">
        <v>10041</v>
      </c>
      <c r="P95" s="17">
        <v>45444</v>
      </c>
      <c r="Q95" s="4">
        <v>0</v>
      </c>
    </row>
    <row r="96" spans="1:17" x14ac:dyDescent="0.25">
      <c r="A96" s="2" t="s">
        <v>1635</v>
      </c>
      <c r="B96" s="3" t="s">
        <v>5015</v>
      </c>
      <c r="C96" s="3">
        <v>27</v>
      </c>
      <c r="D96" s="46" t="str">
        <f>IF(Tabla1[[#This Row],[EDAD]]&lt;=35,"Adultos jóvenes 18 - 35 años",IF(C96&gt;=36,"Adultos mayores 36 años en adelante"))</f>
        <v>Adultos jóvenes 18 - 35 años</v>
      </c>
      <c r="E96" s="3" t="s">
        <v>5022</v>
      </c>
      <c r="F96" s="3" t="s">
        <v>5030</v>
      </c>
      <c r="G96" s="3" t="s">
        <v>5033</v>
      </c>
      <c r="H96" s="3" t="s">
        <v>6658</v>
      </c>
      <c r="I96" s="17">
        <v>45444</v>
      </c>
      <c r="J96" s="18">
        <f>YEAR(Tabla1[[#This Row],[FECHA DE COMPRA]])</f>
        <v>2024</v>
      </c>
      <c r="K96" s="19">
        <v>94.38</v>
      </c>
      <c r="L96" s="20">
        <v>0.1</v>
      </c>
      <c r="M96" s="19">
        <f>Tienda!$K253-Tienda!$K253*Tienda!$L253</f>
        <v>179.87</v>
      </c>
      <c r="N96" s="3" t="s">
        <v>10039</v>
      </c>
      <c r="O96" s="3" t="s">
        <v>10041</v>
      </c>
      <c r="P96" s="17">
        <v>45444</v>
      </c>
      <c r="Q96" s="4">
        <v>0</v>
      </c>
    </row>
    <row r="97" spans="1:17" x14ac:dyDescent="0.25">
      <c r="A97" s="2" t="s">
        <v>1321</v>
      </c>
      <c r="B97" s="3" t="s">
        <v>5015</v>
      </c>
      <c r="C97" s="3">
        <v>23</v>
      </c>
      <c r="D97" s="46" t="str">
        <f>IF(Tabla1[[#This Row],[EDAD]]&lt;=35,"Adultos jóvenes 18 - 35 años",IF(C97&gt;=36,"Adultos mayores 36 años en adelante"))</f>
        <v>Adultos jóvenes 18 - 35 años</v>
      </c>
      <c r="E97" s="3" t="s">
        <v>5017</v>
      </c>
      <c r="F97" s="3" t="s">
        <v>5024</v>
      </c>
      <c r="G97" s="3" t="s">
        <v>5034</v>
      </c>
      <c r="H97" s="3" t="s">
        <v>6344</v>
      </c>
      <c r="I97" s="17">
        <v>45634</v>
      </c>
      <c r="J97" s="18">
        <f>YEAR(Tabla1[[#This Row],[FECHA DE COMPRA]])</f>
        <v>2024</v>
      </c>
      <c r="K97" s="19">
        <v>128.55000000000001</v>
      </c>
      <c r="L97" s="20">
        <v>0.2</v>
      </c>
      <c r="M97" s="19">
        <f>Tienda!$K254-Tienda!$K254*Tienda!$L254</f>
        <v>147.82</v>
      </c>
      <c r="N97" s="3" t="s">
        <v>10039</v>
      </c>
      <c r="O97" s="3" t="s">
        <v>10041</v>
      </c>
      <c r="P97" s="17">
        <v>45444</v>
      </c>
      <c r="Q97" s="4">
        <v>0</v>
      </c>
    </row>
    <row r="98" spans="1:17" x14ac:dyDescent="0.25">
      <c r="A98" s="2" t="s">
        <v>3579</v>
      </c>
      <c r="B98" s="3" t="s">
        <v>5015</v>
      </c>
      <c r="C98" s="3">
        <v>27</v>
      </c>
      <c r="D98" s="46" t="str">
        <f>IF(Tabla1[[#This Row],[EDAD]]&lt;=35,"Adultos jóvenes 18 - 35 años",IF(C98&gt;=36,"Adultos mayores 36 años en adelante"))</f>
        <v>Adultos jóvenes 18 - 35 años</v>
      </c>
      <c r="E98" s="3" t="s">
        <v>5022</v>
      </c>
      <c r="F98" s="3" t="s">
        <v>5030</v>
      </c>
      <c r="G98" s="3" t="s">
        <v>5031</v>
      </c>
      <c r="H98" s="3" t="s">
        <v>8602</v>
      </c>
      <c r="I98" s="17">
        <v>45635</v>
      </c>
      <c r="J98" s="18">
        <f>YEAR(Tabla1[[#This Row],[FECHA DE COMPRA]])</f>
        <v>2024</v>
      </c>
      <c r="K98" s="19">
        <v>32.880000000000003</v>
      </c>
      <c r="L98" s="20">
        <v>0.2</v>
      </c>
      <c r="M98" s="19">
        <f>Tienda!$K260-Tienda!$K260*Tienda!$L260</f>
        <v>29.475000000000001</v>
      </c>
      <c r="N98" s="3" t="s">
        <v>10039</v>
      </c>
      <c r="O98" s="3" t="s">
        <v>10041</v>
      </c>
      <c r="P98" s="17">
        <v>45446</v>
      </c>
      <c r="Q98" s="4">
        <v>0</v>
      </c>
    </row>
    <row r="99" spans="1:17" x14ac:dyDescent="0.25">
      <c r="A99" s="2" t="s">
        <v>1537</v>
      </c>
      <c r="B99" s="3" t="s">
        <v>5015</v>
      </c>
      <c r="C99" s="3">
        <v>27</v>
      </c>
      <c r="D99" s="46" t="str">
        <f>IF(Tabla1[[#This Row],[EDAD]]&lt;=35,"Adultos jóvenes 18 - 35 años",IF(C99&gt;=36,"Adultos mayores 36 años en adelante"))</f>
        <v>Adultos jóvenes 18 - 35 años</v>
      </c>
      <c r="E99" s="3" t="s">
        <v>5020</v>
      </c>
      <c r="F99" s="3" t="s">
        <v>5028</v>
      </c>
      <c r="G99" s="3" t="s">
        <v>5033</v>
      </c>
      <c r="H99" s="3" t="s">
        <v>6560</v>
      </c>
      <c r="I99" s="17">
        <v>45636</v>
      </c>
      <c r="J99" s="18">
        <f>YEAR(Tabla1[[#This Row],[FECHA DE COMPRA]])</f>
        <v>2024</v>
      </c>
      <c r="K99" s="19">
        <v>191.43</v>
      </c>
      <c r="L99" s="20">
        <v>0.1</v>
      </c>
      <c r="M99" s="19">
        <f>Tienda!$K263-Tienda!$K263*Tienda!$L263</f>
        <v>71.055999999999997</v>
      </c>
      <c r="N99" s="3" t="s">
        <v>10039</v>
      </c>
      <c r="O99" s="3" t="s">
        <v>10041</v>
      </c>
      <c r="P99" s="17">
        <v>45446</v>
      </c>
      <c r="Q99" s="4">
        <v>0</v>
      </c>
    </row>
    <row r="100" spans="1:17" x14ac:dyDescent="0.25">
      <c r="A100" s="2" t="s">
        <v>4120</v>
      </c>
      <c r="B100" s="3" t="s">
        <v>5015</v>
      </c>
      <c r="C100" s="3">
        <v>29</v>
      </c>
      <c r="D100" s="46" t="str">
        <f>IF(Tabla1[[#This Row],[EDAD]]&lt;=35,"Adultos jóvenes 18 - 35 años",IF(C100&gt;=36,"Adultos mayores 36 años en adelante"))</f>
        <v>Adultos jóvenes 18 - 35 años</v>
      </c>
      <c r="E100" s="3" t="s">
        <v>5019</v>
      </c>
      <c r="F100" s="3" t="s">
        <v>5025</v>
      </c>
      <c r="G100" s="3" t="s">
        <v>5037</v>
      </c>
      <c r="H100" s="3" t="s">
        <v>9143</v>
      </c>
      <c r="I100" s="17">
        <v>45636</v>
      </c>
      <c r="J100" s="18">
        <f>YEAR(Tabla1[[#This Row],[FECHA DE COMPRA]])</f>
        <v>2024</v>
      </c>
      <c r="K100" s="19">
        <v>60.48</v>
      </c>
      <c r="L100" s="20">
        <v>0.3</v>
      </c>
      <c r="M100" s="19">
        <f>Tienda!$K265-Tienda!$K265*Tienda!$L265</f>
        <v>98.307999999999993</v>
      </c>
      <c r="N100" s="3" t="s">
        <v>10039</v>
      </c>
      <c r="O100" s="3" t="s">
        <v>10041</v>
      </c>
      <c r="P100" s="17">
        <v>45447</v>
      </c>
      <c r="Q100" s="4">
        <v>0</v>
      </c>
    </row>
    <row r="101" spans="1:17" x14ac:dyDescent="0.25">
      <c r="A101" s="2" t="s">
        <v>2457</v>
      </c>
      <c r="B101" s="3" t="s">
        <v>5015</v>
      </c>
      <c r="C101" s="3">
        <v>20</v>
      </c>
      <c r="D101" s="46" t="str">
        <f>IF(Tabla1[[#This Row],[EDAD]]&lt;=35,"Adultos jóvenes 18 - 35 años",IF(C101&gt;=36,"Adultos mayores 36 años en adelante"))</f>
        <v>Adultos jóvenes 18 - 35 años</v>
      </c>
      <c r="E101" s="3" t="s">
        <v>5017</v>
      </c>
      <c r="F101" s="3" t="s">
        <v>5026</v>
      </c>
      <c r="G101" s="3" t="s">
        <v>5037</v>
      </c>
      <c r="H101" s="3" t="s">
        <v>7480</v>
      </c>
      <c r="I101" s="17">
        <v>45636</v>
      </c>
      <c r="J101" s="18">
        <f>YEAR(Tabla1[[#This Row],[FECHA DE COMPRA]])</f>
        <v>2024</v>
      </c>
      <c r="K101" s="19">
        <v>75.930000000000007</v>
      </c>
      <c r="L101" s="20">
        <v>0.1</v>
      </c>
      <c r="M101" s="19">
        <f>Tienda!$K266-Tienda!$K266*Tienda!$L266</f>
        <v>90.300000000000011</v>
      </c>
      <c r="N101" s="3" t="s">
        <v>10039</v>
      </c>
      <c r="O101" s="3" t="s">
        <v>10041</v>
      </c>
      <c r="P101" s="17">
        <v>45447</v>
      </c>
      <c r="Q101" s="4">
        <v>0</v>
      </c>
    </row>
    <row r="102" spans="1:17" x14ac:dyDescent="0.25">
      <c r="A102" s="2" t="s">
        <v>5006</v>
      </c>
      <c r="B102" s="3" t="s">
        <v>5016</v>
      </c>
      <c r="C102" s="3">
        <v>29</v>
      </c>
      <c r="D102" s="46" t="str">
        <f>IF(Tabla1[[#This Row],[EDAD]]&lt;=35,"Adultos jóvenes 18 - 35 años",IF(C102&gt;=36,"Adultos mayores 36 años en adelante"))</f>
        <v>Adultos jóvenes 18 - 35 años</v>
      </c>
      <c r="E102" s="3" t="s">
        <v>5021</v>
      </c>
      <c r="F102" s="3" t="s">
        <v>5025</v>
      </c>
      <c r="G102" s="3" t="s">
        <v>5032</v>
      </c>
      <c r="H102" s="3" t="s">
        <v>10029</v>
      </c>
      <c r="I102" s="17">
        <v>45448</v>
      </c>
      <c r="J102" s="18">
        <f>YEAR(Tabla1[[#This Row],[FECHA DE COMPRA]])</f>
        <v>2024</v>
      </c>
      <c r="K102" s="19">
        <v>114.08</v>
      </c>
      <c r="L102" s="20">
        <v>0.2</v>
      </c>
      <c r="M102" s="19">
        <f>Tienda!$K270-Tienda!$K270*Tienda!$L270</f>
        <v>75.495000000000005</v>
      </c>
      <c r="N102" s="3" t="s">
        <v>10039</v>
      </c>
      <c r="O102" s="3" t="s">
        <v>10041</v>
      </c>
      <c r="P102" s="17">
        <v>45448</v>
      </c>
      <c r="Q102" s="4">
        <v>0</v>
      </c>
    </row>
    <row r="103" spans="1:17" x14ac:dyDescent="0.25">
      <c r="A103" s="2" t="s">
        <v>670</v>
      </c>
      <c r="B103" s="3" t="s">
        <v>5016</v>
      </c>
      <c r="C103" s="3">
        <v>31</v>
      </c>
      <c r="D103" s="46" t="str">
        <f>IF(Tabla1[[#This Row],[EDAD]]&lt;=35,"Adultos jóvenes 18 - 35 años",IF(C103&gt;=36,"Adultos mayores 36 años en adelante"))</f>
        <v>Adultos jóvenes 18 - 35 años</v>
      </c>
      <c r="E103" s="3" t="s">
        <v>5023</v>
      </c>
      <c r="F103" s="3" t="s">
        <v>5024</v>
      </c>
      <c r="G103" s="3" t="s">
        <v>5031</v>
      </c>
      <c r="H103" s="3" t="s">
        <v>5693</v>
      </c>
      <c r="I103" s="17">
        <v>45635</v>
      </c>
      <c r="J103" s="18">
        <f>YEAR(Tabla1[[#This Row],[FECHA DE COMPRA]])</f>
        <v>2024</v>
      </c>
      <c r="K103" s="19">
        <v>93.26</v>
      </c>
      <c r="L103" s="20">
        <v>0.1</v>
      </c>
      <c r="M103" s="19">
        <f>Tienda!$K276-Tienda!$K276*Tienda!$L276</f>
        <v>161.577</v>
      </c>
      <c r="N103" s="3" t="s">
        <v>10039</v>
      </c>
      <c r="O103" s="3" t="s">
        <v>10041</v>
      </c>
      <c r="P103" s="17">
        <v>45450</v>
      </c>
      <c r="Q103" s="4">
        <v>0</v>
      </c>
    </row>
    <row r="104" spans="1:17" x14ac:dyDescent="0.25">
      <c r="A104" s="2" t="s">
        <v>3964</v>
      </c>
      <c r="B104" s="3" t="s">
        <v>5015</v>
      </c>
      <c r="C104" s="3">
        <v>22</v>
      </c>
      <c r="D104" s="46" t="str">
        <f>IF(Tabla1[[#This Row],[EDAD]]&lt;=35,"Adultos jóvenes 18 - 35 años",IF(C104&gt;=36,"Adultos mayores 36 años en adelante"))</f>
        <v>Adultos jóvenes 18 - 35 años</v>
      </c>
      <c r="E104" s="3" t="s">
        <v>5020</v>
      </c>
      <c r="F104" s="3" t="s">
        <v>5024</v>
      </c>
      <c r="G104" s="3" t="s">
        <v>5034</v>
      </c>
      <c r="H104" s="3" t="s">
        <v>8987</v>
      </c>
      <c r="I104" s="17">
        <v>45636</v>
      </c>
      <c r="J104" s="18">
        <f>YEAR(Tabla1[[#This Row],[FECHA DE COMPRA]])</f>
        <v>2024</v>
      </c>
      <c r="K104" s="19">
        <v>158.12</v>
      </c>
      <c r="L104" s="20">
        <v>0</v>
      </c>
      <c r="M104" s="19">
        <f>Tienda!$K280-Tienda!$K280*Tienda!$L280</f>
        <v>54.485999999999997</v>
      </c>
      <c r="N104" s="3" t="s">
        <v>10039</v>
      </c>
      <c r="O104" s="3" t="s">
        <v>10041</v>
      </c>
      <c r="P104" s="17">
        <v>45452</v>
      </c>
      <c r="Q104" s="4">
        <v>0</v>
      </c>
    </row>
    <row r="105" spans="1:17" x14ac:dyDescent="0.25">
      <c r="A105" s="2" t="s">
        <v>3826</v>
      </c>
      <c r="B105" s="3" t="s">
        <v>5015</v>
      </c>
      <c r="C105" s="3">
        <v>33</v>
      </c>
      <c r="D105" s="46" t="str">
        <f>IF(Tabla1[[#This Row],[EDAD]]&lt;=35,"Adultos jóvenes 18 - 35 años",IF(C105&gt;=36,"Adultos mayores 36 años en adelante"))</f>
        <v>Adultos jóvenes 18 - 35 años</v>
      </c>
      <c r="E105" s="3" t="s">
        <v>5020</v>
      </c>
      <c r="F105" s="3" t="s">
        <v>5025</v>
      </c>
      <c r="G105" s="3" t="s">
        <v>5033</v>
      </c>
      <c r="H105" s="3" t="s">
        <v>8849</v>
      </c>
      <c r="I105" s="17">
        <v>45636</v>
      </c>
      <c r="J105" s="18">
        <f>YEAR(Tabla1[[#This Row],[FECHA DE COMPRA]])</f>
        <v>2024</v>
      </c>
      <c r="K105" s="19">
        <v>68.569999999999993</v>
      </c>
      <c r="L105" s="20">
        <v>0.3</v>
      </c>
      <c r="M105" s="19">
        <f>Tienda!$K281-Tienda!$K281*Tienda!$L281</f>
        <v>53.815999999999995</v>
      </c>
      <c r="N105" s="3" t="s">
        <v>10039</v>
      </c>
      <c r="O105" s="3" t="s">
        <v>10041</v>
      </c>
      <c r="P105" s="17">
        <v>45453</v>
      </c>
      <c r="Q105" s="4">
        <v>0</v>
      </c>
    </row>
    <row r="106" spans="1:17" x14ac:dyDescent="0.25">
      <c r="A106" s="2" t="s">
        <v>2203</v>
      </c>
      <c r="B106" s="3" t="s">
        <v>5015</v>
      </c>
      <c r="C106" s="3">
        <v>22</v>
      </c>
      <c r="D106" s="46" t="str">
        <f>IF(Tabla1[[#This Row],[EDAD]]&lt;=35,"Adultos jóvenes 18 - 35 años",IF(C106&gt;=36,"Adultos mayores 36 años en adelante"))</f>
        <v>Adultos jóvenes 18 - 35 años</v>
      </c>
      <c r="E106" s="3" t="s">
        <v>5023</v>
      </c>
      <c r="F106" s="3" t="s">
        <v>5029</v>
      </c>
      <c r="G106" s="3" t="s">
        <v>5037</v>
      </c>
      <c r="H106" s="3" t="s">
        <v>7226</v>
      </c>
      <c r="I106" s="17">
        <v>45636</v>
      </c>
      <c r="J106" s="18">
        <f>YEAR(Tabla1[[#This Row],[FECHA DE COMPRA]])</f>
        <v>2024</v>
      </c>
      <c r="K106" s="19">
        <v>83.31</v>
      </c>
      <c r="L106" s="20">
        <v>0.3</v>
      </c>
      <c r="M106" s="19">
        <f>Tienda!$K282-Tienda!$K282*Tienda!$L282</f>
        <v>90.320999999999998</v>
      </c>
      <c r="N106" s="3" t="s">
        <v>10039</v>
      </c>
      <c r="O106" s="3" t="s">
        <v>10041</v>
      </c>
      <c r="P106" s="17">
        <v>45453</v>
      </c>
      <c r="Q106" s="4">
        <v>0</v>
      </c>
    </row>
    <row r="107" spans="1:17" x14ac:dyDescent="0.25">
      <c r="A107" s="2" t="s">
        <v>2217</v>
      </c>
      <c r="B107" s="3" t="s">
        <v>5015</v>
      </c>
      <c r="C107" s="3">
        <v>25</v>
      </c>
      <c r="D107" s="46" t="str">
        <f>IF(Tabla1[[#This Row],[EDAD]]&lt;=35,"Adultos jóvenes 18 - 35 años",IF(C107&gt;=36,"Adultos mayores 36 años en adelante"))</f>
        <v>Adultos jóvenes 18 - 35 años</v>
      </c>
      <c r="E107" s="3" t="s">
        <v>5023</v>
      </c>
      <c r="F107" s="3" t="s">
        <v>5024</v>
      </c>
      <c r="G107" s="3" t="s">
        <v>5031</v>
      </c>
      <c r="H107" s="3" t="s">
        <v>7240</v>
      </c>
      <c r="I107" s="17">
        <v>45454</v>
      </c>
      <c r="J107" s="18">
        <f>YEAR(Tabla1[[#This Row],[FECHA DE COMPRA]])</f>
        <v>2024</v>
      </c>
      <c r="K107" s="19">
        <v>109.16</v>
      </c>
      <c r="L107" s="20">
        <v>0</v>
      </c>
      <c r="M107" s="19">
        <f>Tienda!$K285-Tienda!$K285*Tienda!$L285</f>
        <v>27.375999999999998</v>
      </c>
      <c r="N107" s="3" t="s">
        <v>10039</v>
      </c>
      <c r="O107" s="3" t="s">
        <v>10041</v>
      </c>
      <c r="P107" s="17">
        <v>45454</v>
      </c>
      <c r="Q107" s="4">
        <v>0</v>
      </c>
    </row>
    <row r="108" spans="1:17" x14ac:dyDescent="0.25">
      <c r="A108" s="2" t="s">
        <v>3206</v>
      </c>
      <c r="B108" s="3" t="s">
        <v>5015</v>
      </c>
      <c r="C108" s="3">
        <v>32</v>
      </c>
      <c r="D108" s="46" t="str">
        <f>IF(Tabla1[[#This Row],[EDAD]]&lt;=35,"Adultos jóvenes 18 - 35 años",IF(C108&gt;=36,"Adultos mayores 36 años en adelante"))</f>
        <v>Adultos jóvenes 18 - 35 años</v>
      </c>
      <c r="E108" s="3" t="s">
        <v>5018</v>
      </c>
      <c r="F108" s="3" t="s">
        <v>5025</v>
      </c>
      <c r="G108" s="3" t="s">
        <v>5036</v>
      </c>
      <c r="H108" s="3" t="s">
        <v>8229</v>
      </c>
      <c r="I108" s="17">
        <v>45636</v>
      </c>
      <c r="J108" s="18">
        <f>YEAR(Tabla1[[#This Row],[FECHA DE COMPRA]])</f>
        <v>2024</v>
      </c>
      <c r="K108" s="19">
        <v>120.06</v>
      </c>
      <c r="L108" s="20">
        <v>0</v>
      </c>
      <c r="M108" s="19">
        <f>Tienda!$K293-Tienda!$K293*Tienda!$L293</f>
        <v>85.97399999999999</v>
      </c>
      <c r="N108" s="3" t="s">
        <v>10039</v>
      </c>
      <c r="O108" s="3" t="s">
        <v>10041</v>
      </c>
      <c r="P108" s="17">
        <v>45458</v>
      </c>
      <c r="Q108" s="4">
        <v>0</v>
      </c>
    </row>
    <row r="109" spans="1:17" x14ac:dyDescent="0.25">
      <c r="A109" s="2" t="s">
        <v>2186</v>
      </c>
      <c r="B109" s="3" t="s">
        <v>5016</v>
      </c>
      <c r="C109" s="3">
        <v>24</v>
      </c>
      <c r="D109" s="46" t="str">
        <f>IF(Tabla1[[#This Row],[EDAD]]&lt;=35,"Adultos jóvenes 18 - 35 años",IF(C109&gt;=36,"Adultos mayores 36 años en adelante"))</f>
        <v>Adultos jóvenes 18 - 35 años</v>
      </c>
      <c r="E109" s="3" t="s">
        <v>5017</v>
      </c>
      <c r="F109" s="3" t="s">
        <v>5026</v>
      </c>
      <c r="G109" s="3" t="s">
        <v>5032</v>
      </c>
      <c r="H109" s="3" t="s">
        <v>7209</v>
      </c>
      <c r="I109" s="17">
        <v>45460</v>
      </c>
      <c r="J109" s="18">
        <f>YEAR(Tabla1[[#This Row],[FECHA DE COMPRA]])</f>
        <v>2024</v>
      </c>
      <c r="K109" s="19">
        <v>116.05</v>
      </c>
      <c r="L109" s="20">
        <v>0.2</v>
      </c>
      <c r="M109" s="19">
        <f>Tienda!$K297-Tienda!$K297*Tienda!$L297</f>
        <v>115.31099999999999</v>
      </c>
      <c r="N109" s="3" t="s">
        <v>10039</v>
      </c>
      <c r="O109" s="3" t="s">
        <v>10041</v>
      </c>
      <c r="P109" s="17">
        <v>45460</v>
      </c>
      <c r="Q109" s="4">
        <v>0</v>
      </c>
    </row>
    <row r="110" spans="1:17" x14ac:dyDescent="0.25">
      <c r="A110" s="2" t="s">
        <v>4848</v>
      </c>
      <c r="B110" s="3" t="s">
        <v>5016</v>
      </c>
      <c r="C110" s="3">
        <v>19</v>
      </c>
      <c r="D110" s="46" t="str">
        <f>IF(Tabla1[[#This Row],[EDAD]]&lt;=35,"Adultos jóvenes 18 - 35 años",IF(C110&gt;=36,"Adultos mayores 36 años en adelante"))</f>
        <v>Adultos jóvenes 18 - 35 años</v>
      </c>
      <c r="E110" s="3" t="s">
        <v>5017</v>
      </c>
      <c r="F110" s="3" t="s">
        <v>5029</v>
      </c>
      <c r="G110" s="3" t="s">
        <v>5036</v>
      </c>
      <c r="H110" s="3" t="s">
        <v>9871</v>
      </c>
      <c r="I110" s="17">
        <v>45461</v>
      </c>
      <c r="J110" s="18">
        <f>YEAR(Tabla1[[#This Row],[FECHA DE COMPRA]])</f>
        <v>2024</v>
      </c>
      <c r="K110" s="19">
        <v>131.75</v>
      </c>
      <c r="L110" s="20">
        <v>0</v>
      </c>
      <c r="M110" s="19">
        <f>Tienda!$K298-Tienda!$K298*Tienda!$L298</f>
        <v>130.38</v>
      </c>
      <c r="N110" s="3" t="s">
        <v>10039</v>
      </c>
      <c r="O110" s="3" t="s">
        <v>10041</v>
      </c>
      <c r="P110" s="17">
        <v>45461</v>
      </c>
      <c r="Q110" s="4">
        <v>0</v>
      </c>
    </row>
    <row r="111" spans="1:17" x14ac:dyDescent="0.25">
      <c r="A111" s="2" t="s">
        <v>2213</v>
      </c>
      <c r="B111" s="3" t="s">
        <v>5015</v>
      </c>
      <c r="C111" s="3">
        <v>20</v>
      </c>
      <c r="D111" s="46" t="str">
        <f>IF(Tabla1[[#This Row],[EDAD]]&lt;=35,"Adultos jóvenes 18 - 35 años",IF(C111&gt;=36,"Adultos mayores 36 años en adelante"))</f>
        <v>Adultos jóvenes 18 - 35 años</v>
      </c>
      <c r="E111" s="3" t="s">
        <v>5022</v>
      </c>
      <c r="F111" s="3" t="s">
        <v>5029</v>
      </c>
      <c r="G111" s="3" t="s">
        <v>5033</v>
      </c>
      <c r="H111" s="3" t="s">
        <v>7236</v>
      </c>
      <c r="I111" s="17">
        <v>45464</v>
      </c>
      <c r="J111" s="18">
        <f>YEAR(Tabla1[[#This Row],[FECHA DE COMPRA]])</f>
        <v>2024</v>
      </c>
      <c r="K111" s="19">
        <v>59.5</v>
      </c>
      <c r="L111" s="20">
        <v>0.3</v>
      </c>
      <c r="M111" s="19">
        <f>Tienda!$K303-Tienda!$K303*Tienda!$L303</f>
        <v>188.27</v>
      </c>
      <c r="N111" s="3" t="s">
        <v>10039</v>
      </c>
      <c r="O111" s="3" t="s">
        <v>10041</v>
      </c>
      <c r="P111" s="17">
        <v>45464</v>
      </c>
      <c r="Q111" s="4">
        <v>0</v>
      </c>
    </row>
    <row r="112" spans="1:17" x14ac:dyDescent="0.25">
      <c r="A112" s="2" t="s">
        <v>1999</v>
      </c>
      <c r="B112" s="3" t="s">
        <v>5015</v>
      </c>
      <c r="C112" s="3">
        <v>30</v>
      </c>
      <c r="D112" s="46" t="str">
        <f>IF(Tabla1[[#This Row],[EDAD]]&lt;=35,"Adultos jóvenes 18 - 35 años",IF(C112&gt;=36,"Adultos mayores 36 años en adelante"))</f>
        <v>Adultos jóvenes 18 - 35 años</v>
      </c>
      <c r="E112" s="3" t="s">
        <v>5022</v>
      </c>
      <c r="F112" s="3" t="s">
        <v>5028</v>
      </c>
      <c r="G112" s="3" t="s">
        <v>5033</v>
      </c>
      <c r="H112" s="3" t="s">
        <v>7022</v>
      </c>
      <c r="I112" s="17">
        <v>45464</v>
      </c>
      <c r="J112" s="18">
        <f>YEAR(Tabla1[[#This Row],[FECHA DE COMPRA]])</f>
        <v>2024</v>
      </c>
      <c r="K112" s="19">
        <v>190.42</v>
      </c>
      <c r="L112" s="20">
        <v>0.3</v>
      </c>
      <c r="M112" s="19">
        <f>Tienda!$K306-Tienda!$K306*Tienda!$L306</f>
        <v>22.533000000000001</v>
      </c>
      <c r="N112" s="3" t="s">
        <v>10039</v>
      </c>
      <c r="O112" s="3" t="s">
        <v>10041</v>
      </c>
      <c r="P112" s="17">
        <v>45464</v>
      </c>
      <c r="Q112" s="4">
        <v>0</v>
      </c>
    </row>
    <row r="113" spans="1:17" x14ac:dyDescent="0.25">
      <c r="A113" s="2" t="s">
        <v>1206</v>
      </c>
      <c r="B113" s="3" t="s">
        <v>5015</v>
      </c>
      <c r="C113" s="3">
        <v>31</v>
      </c>
      <c r="D113" s="46" t="str">
        <f>IF(Tabla1[[#This Row],[EDAD]]&lt;=35,"Adultos jóvenes 18 - 35 años",IF(C113&gt;=36,"Adultos mayores 36 años en adelante"))</f>
        <v>Adultos jóvenes 18 - 35 años</v>
      </c>
      <c r="E113" s="3" t="s">
        <v>5020</v>
      </c>
      <c r="F113" s="3" t="s">
        <v>5029</v>
      </c>
      <c r="G113" s="3" t="s">
        <v>5037</v>
      </c>
      <c r="H113" s="3" t="s">
        <v>6229</v>
      </c>
      <c r="I113" s="17">
        <v>45467</v>
      </c>
      <c r="J113" s="18">
        <f>YEAR(Tabla1[[#This Row],[FECHA DE COMPRA]])</f>
        <v>2024</v>
      </c>
      <c r="K113" s="19">
        <v>157.37</v>
      </c>
      <c r="L113" s="20">
        <v>0</v>
      </c>
      <c r="M113" s="19">
        <f>Tienda!$K310-Tienda!$K310*Tienda!$L310</f>
        <v>128.745</v>
      </c>
      <c r="N113" s="3" t="s">
        <v>10039</v>
      </c>
      <c r="O113" s="3" t="s">
        <v>10041</v>
      </c>
      <c r="P113" s="17">
        <v>45467</v>
      </c>
      <c r="Q113" s="4">
        <v>0</v>
      </c>
    </row>
    <row r="114" spans="1:17" x14ac:dyDescent="0.25">
      <c r="A114" s="2" t="s">
        <v>182</v>
      </c>
      <c r="B114" s="3" t="s">
        <v>5015</v>
      </c>
      <c r="C114" s="3">
        <v>30</v>
      </c>
      <c r="D114" s="46" t="str">
        <f>IF(Tabla1[[#This Row],[EDAD]]&lt;=35,"Adultos jóvenes 18 - 35 años",IF(C114&gt;=36,"Adultos mayores 36 años en adelante"))</f>
        <v>Adultos jóvenes 18 - 35 años</v>
      </c>
      <c r="E114" s="3" t="s">
        <v>5020</v>
      </c>
      <c r="F114" s="3" t="s">
        <v>5025</v>
      </c>
      <c r="G114" s="3" t="s">
        <v>5036</v>
      </c>
      <c r="H114" s="3" t="s">
        <v>5205</v>
      </c>
      <c r="I114" s="17">
        <v>45469</v>
      </c>
      <c r="J114" s="18">
        <f>YEAR(Tabla1[[#This Row],[FECHA DE COMPRA]])</f>
        <v>2024</v>
      </c>
      <c r="K114" s="19">
        <v>20.260000000000002</v>
      </c>
      <c r="L114" s="20">
        <v>0.2</v>
      </c>
      <c r="M114" s="19">
        <f>Tienda!$K311-Tienda!$K311*Tienda!$L311</f>
        <v>135.464</v>
      </c>
      <c r="N114" s="3" t="s">
        <v>10039</v>
      </c>
      <c r="O114" s="3" t="s">
        <v>10041</v>
      </c>
      <c r="P114" s="17">
        <v>45469</v>
      </c>
      <c r="Q114" s="4">
        <v>0</v>
      </c>
    </row>
    <row r="115" spans="1:17" x14ac:dyDescent="0.25">
      <c r="A115" s="2" t="s">
        <v>2649</v>
      </c>
      <c r="B115" s="3" t="s">
        <v>5015</v>
      </c>
      <c r="C115" s="3">
        <v>21</v>
      </c>
      <c r="D115" s="46" t="str">
        <f>IF(Tabla1[[#This Row],[EDAD]]&lt;=35,"Adultos jóvenes 18 - 35 años",IF(C115&gt;=36,"Adultos mayores 36 años en adelante"))</f>
        <v>Adultos jóvenes 18 - 35 años</v>
      </c>
      <c r="E115" s="3" t="s">
        <v>5021</v>
      </c>
      <c r="F115" s="3" t="s">
        <v>5025</v>
      </c>
      <c r="G115" s="3" t="s">
        <v>5032</v>
      </c>
      <c r="H115" s="3" t="s">
        <v>7672</v>
      </c>
      <c r="I115" s="17">
        <v>45469</v>
      </c>
      <c r="J115" s="18">
        <f>YEAR(Tabla1[[#This Row],[FECHA DE COMPRA]])</f>
        <v>2024</v>
      </c>
      <c r="K115" s="19">
        <v>145.9</v>
      </c>
      <c r="L115" s="20">
        <v>0.3</v>
      </c>
      <c r="M115" s="19">
        <f>Tienda!$K312-Tienda!$K312*Tienda!$L312</f>
        <v>154.31400000000002</v>
      </c>
      <c r="N115" s="3" t="s">
        <v>10039</v>
      </c>
      <c r="O115" s="3" t="s">
        <v>10041</v>
      </c>
      <c r="P115" s="17">
        <v>45469</v>
      </c>
      <c r="Q115" s="4">
        <v>0</v>
      </c>
    </row>
    <row r="116" spans="1:17" x14ac:dyDescent="0.25">
      <c r="A116" s="2" t="s">
        <v>4979</v>
      </c>
      <c r="B116" s="3" t="s">
        <v>5015</v>
      </c>
      <c r="C116" s="3">
        <v>35</v>
      </c>
      <c r="D116" s="46" t="str">
        <f>IF(Tabla1[[#This Row],[EDAD]]&lt;=35,"Adultos jóvenes 18 - 35 años",IF(C116&gt;=36,"Adultos mayores 36 años en adelante"))</f>
        <v>Adultos jóvenes 18 - 35 años</v>
      </c>
      <c r="E116" s="3" t="s">
        <v>5022</v>
      </c>
      <c r="F116" s="3" t="s">
        <v>5027</v>
      </c>
      <c r="G116" s="3" t="s">
        <v>5037</v>
      </c>
      <c r="H116" s="3" t="s">
        <v>10002</v>
      </c>
      <c r="I116" s="17">
        <v>45470</v>
      </c>
      <c r="J116" s="18">
        <f>YEAR(Tabla1[[#This Row],[FECHA DE COMPRA]])</f>
        <v>2024</v>
      </c>
      <c r="K116" s="19">
        <v>100.36</v>
      </c>
      <c r="L116" s="20">
        <v>0.2</v>
      </c>
      <c r="M116" s="19">
        <f>Tienda!$K313-Tienda!$K313*Tienda!$L313</f>
        <v>150.84800000000001</v>
      </c>
      <c r="N116" s="3" t="s">
        <v>10039</v>
      </c>
      <c r="O116" s="3" t="s">
        <v>10041</v>
      </c>
      <c r="P116" s="17">
        <v>45470</v>
      </c>
      <c r="Q116" s="4">
        <v>0</v>
      </c>
    </row>
    <row r="117" spans="1:17" x14ac:dyDescent="0.25">
      <c r="A117" s="2" t="s">
        <v>2388</v>
      </c>
      <c r="B117" s="3" t="s">
        <v>5016</v>
      </c>
      <c r="C117" s="3">
        <v>20</v>
      </c>
      <c r="D117" s="46" t="str">
        <f>IF(Tabla1[[#This Row],[EDAD]]&lt;=35,"Adultos jóvenes 18 - 35 años",IF(C117&gt;=36,"Adultos mayores 36 años en adelante"))</f>
        <v>Adultos jóvenes 18 - 35 años</v>
      </c>
      <c r="E117" s="3" t="s">
        <v>5019</v>
      </c>
      <c r="F117" s="3" t="s">
        <v>5025</v>
      </c>
      <c r="G117" s="3" t="s">
        <v>5034</v>
      </c>
      <c r="H117" s="3" t="s">
        <v>7411</v>
      </c>
      <c r="I117" s="17">
        <v>45471</v>
      </c>
      <c r="J117" s="18">
        <f>YEAR(Tabla1[[#This Row],[FECHA DE COMPRA]])</f>
        <v>2024</v>
      </c>
      <c r="K117" s="19">
        <v>197.99</v>
      </c>
      <c r="L117" s="20">
        <v>0.3</v>
      </c>
      <c r="M117" s="19">
        <f>Tienda!$K314-Tienda!$K314*Tienda!$L314</f>
        <v>96.74</v>
      </c>
      <c r="N117" s="3" t="s">
        <v>10039</v>
      </c>
      <c r="O117" s="3" t="s">
        <v>10041</v>
      </c>
      <c r="P117" s="17">
        <v>45471</v>
      </c>
      <c r="Q117" s="4">
        <v>0</v>
      </c>
    </row>
    <row r="118" spans="1:17" x14ac:dyDescent="0.25">
      <c r="A118" s="2" t="s">
        <v>3881</v>
      </c>
      <c r="B118" s="3" t="s">
        <v>5015</v>
      </c>
      <c r="C118" s="3">
        <v>32</v>
      </c>
      <c r="D118" s="46" t="str">
        <f>IF(Tabla1[[#This Row],[EDAD]]&lt;=35,"Adultos jóvenes 18 - 35 años",IF(C118&gt;=36,"Adultos mayores 36 años en adelante"))</f>
        <v>Adultos jóvenes 18 - 35 años</v>
      </c>
      <c r="E118" s="3" t="s">
        <v>5017</v>
      </c>
      <c r="F118" s="3" t="s">
        <v>5025</v>
      </c>
      <c r="G118" s="3" t="s">
        <v>5032</v>
      </c>
      <c r="H118" s="3" t="s">
        <v>8904</v>
      </c>
      <c r="I118" s="17">
        <v>45473</v>
      </c>
      <c r="J118" s="18">
        <f>YEAR(Tabla1[[#This Row],[FECHA DE COMPRA]])</f>
        <v>2024</v>
      </c>
      <c r="K118" s="19">
        <v>48.85</v>
      </c>
      <c r="L118" s="20">
        <v>0.3</v>
      </c>
      <c r="M118" s="19">
        <f>Tienda!$K315-Tienda!$K315*Tienda!$L315</f>
        <v>12.02</v>
      </c>
      <c r="N118" s="3" t="s">
        <v>10039</v>
      </c>
      <c r="O118" s="3" t="s">
        <v>10041</v>
      </c>
      <c r="P118" s="17">
        <v>45473</v>
      </c>
      <c r="Q118" s="4">
        <v>0</v>
      </c>
    </row>
    <row r="119" spans="1:17" x14ac:dyDescent="0.25">
      <c r="A119" s="2" t="s">
        <v>3601</v>
      </c>
      <c r="B119" s="3" t="s">
        <v>5015</v>
      </c>
      <c r="C119" s="3">
        <v>24</v>
      </c>
      <c r="D119" s="46" t="str">
        <f>IF(Tabla1[[#This Row],[EDAD]]&lt;=35,"Adultos jóvenes 18 - 35 años",IF(C119&gt;=36,"Adultos mayores 36 años en adelante"))</f>
        <v>Adultos jóvenes 18 - 35 años</v>
      </c>
      <c r="E119" s="3" t="s">
        <v>5019</v>
      </c>
      <c r="F119" s="3" t="s">
        <v>5029</v>
      </c>
      <c r="G119" s="3" t="s">
        <v>5031</v>
      </c>
      <c r="H119" s="3" t="s">
        <v>8624</v>
      </c>
      <c r="I119" s="17">
        <v>45473</v>
      </c>
      <c r="J119" s="18">
        <f>YEAR(Tabla1[[#This Row],[FECHA DE COMPRA]])</f>
        <v>2024</v>
      </c>
      <c r="K119" s="19">
        <v>189.23</v>
      </c>
      <c r="L119" s="20">
        <v>0.3</v>
      </c>
      <c r="M119" s="19">
        <f>Tienda!$K319-Tienda!$K319*Tienda!$L319</f>
        <v>56.09</v>
      </c>
      <c r="N119" s="3" t="s">
        <v>10039</v>
      </c>
      <c r="O119" s="3" t="s">
        <v>10041</v>
      </c>
      <c r="P119" s="17">
        <v>45473</v>
      </c>
      <c r="Q119" s="4">
        <v>0</v>
      </c>
    </row>
    <row r="120" spans="1:17" x14ac:dyDescent="0.25">
      <c r="A120" s="2" t="s">
        <v>947</v>
      </c>
      <c r="B120" s="3" t="s">
        <v>5016</v>
      </c>
      <c r="C120" s="3">
        <v>22</v>
      </c>
      <c r="D120" s="46" t="str">
        <f>IF(Tabla1[[#This Row],[EDAD]]&lt;=35,"Adultos jóvenes 18 - 35 años",IF(C120&gt;=36,"Adultos mayores 36 años en adelante"))</f>
        <v>Adultos jóvenes 18 - 35 años</v>
      </c>
      <c r="E120" s="3" t="s">
        <v>5021</v>
      </c>
      <c r="F120" s="3" t="s">
        <v>5030</v>
      </c>
      <c r="G120" s="3" t="s">
        <v>5037</v>
      </c>
      <c r="H120" s="3" t="s">
        <v>5970</v>
      </c>
      <c r="I120" s="17">
        <v>45474</v>
      </c>
      <c r="J120" s="18">
        <f>YEAR(Tabla1[[#This Row],[FECHA DE COMPRA]])</f>
        <v>2024</v>
      </c>
      <c r="K120" s="19">
        <v>51.5</v>
      </c>
      <c r="L120" s="20">
        <v>0.1</v>
      </c>
      <c r="M120" s="19">
        <f>Tienda!$K320-Tienda!$K320*Tienda!$L320</f>
        <v>99.72</v>
      </c>
      <c r="N120" s="3" t="s">
        <v>10039</v>
      </c>
      <c r="O120" s="3" t="s">
        <v>10041</v>
      </c>
      <c r="P120" s="17">
        <v>45474</v>
      </c>
      <c r="Q120" s="4">
        <v>0</v>
      </c>
    </row>
    <row r="121" spans="1:17" x14ac:dyDescent="0.25">
      <c r="A121" s="2" t="s">
        <v>4154</v>
      </c>
      <c r="B121" s="3" t="s">
        <v>5015</v>
      </c>
      <c r="C121" s="3">
        <v>33</v>
      </c>
      <c r="D121" s="46" t="str">
        <f>IF(Tabla1[[#This Row],[EDAD]]&lt;=35,"Adultos jóvenes 18 - 35 años",IF(C121&gt;=36,"Adultos mayores 36 años en adelante"))</f>
        <v>Adultos jóvenes 18 - 35 años</v>
      </c>
      <c r="E121" s="3" t="s">
        <v>5022</v>
      </c>
      <c r="F121" s="3" t="s">
        <v>5024</v>
      </c>
      <c r="G121" s="3" t="s">
        <v>5032</v>
      </c>
      <c r="H121" s="3" t="s">
        <v>9177</v>
      </c>
      <c r="I121" s="17">
        <v>45474</v>
      </c>
      <c r="J121" s="18">
        <f>YEAR(Tabla1[[#This Row],[FECHA DE COMPRA]])</f>
        <v>2024</v>
      </c>
      <c r="K121" s="19">
        <v>60.78</v>
      </c>
      <c r="L121" s="20">
        <v>0</v>
      </c>
      <c r="M121" s="19">
        <f>Tienda!$K321-Tienda!$K321*Tienda!$L321</f>
        <v>125.92799999999998</v>
      </c>
      <c r="N121" s="3" t="s">
        <v>10039</v>
      </c>
      <c r="O121" s="3" t="s">
        <v>10041</v>
      </c>
      <c r="P121" s="17">
        <v>45474</v>
      </c>
      <c r="Q121" s="4">
        <v>0</v>
      </c>
    </row>
    <row r="122" spans="1:17" x14ac:dyDescent="0.25">
      <c r="A122" s="2" t="s">
        <v>4674</v>
      </c>
      <c r="B122" s="3" t="s">
        <v>5016</v>
      </c>
      <c r="C122" s="3">
        <v>26</v>
      </c>
      <c r="D122" s="46" t="str">
        <f>IF(Tabla1[[#This Row],[EDAD]]&lt;=35,"Adultos jóvenes 18 - 35 años",IF(C122&gt;=36,"Adultos mayores 36 años en adelante"))</f>
        <v>Adultos jóvenes 18 - 35 años</v>
      </c>
      <c r="E122" s="3" t="s">
        <v>5019</v>
      </c>
      <c r="F122" s="3" t="s">
        <v>5030</v>
      </c>
      <c r="G122" s="3" t="s">
        <v>5035</v>
      </c>
      <c r="H122" s="3" t="s">
        <v>9697</v>
      </c>
      <c r="I122" s="17">
        <v>45475</v>
      </c>
      <c r="J122" s="18">
        <f>YEAR(Tabla1[[#This Row],[FECHA DE COMPRA]])</f>
        <v>2024</v>
      </c>
      <c r="K122" s="19">
        <v>111.51</v>
      </c>
      <c r="L122" s="20">
        <v>0</v>
      </c>
      <c r="M122" s="19">
        <f>Tienda!$K323-Tienda!$K323*Tienda!$L323</f>
        <v>47.033000000000001</v>
      </c>
      <c r="N122" s="3" t="s">
        <v>10039</v>
      </c>
      <c r="O122" s="3" t="s">
        <v>10041</v>
      </c>
      <c r="P122" s="17">
        <v>45475</v>
      </c>
      <c r="Q122" s="4">
        <v>0</v>
      </c>
    </row>
    <row r="123" spans="1:17" x14ac:dyDescent="0.25">
      <c r="A123" s="2" t="s">
        <v>3011</v>
      </c>
      <c r="B123" s="3" t="s">
        <v>5015</v>
      </c>
      <c r="C123" s="3">
        <v>24</v>
      </c>
      <c r="D123" s="46" t="str">
        <f>IF(Tabla1[[#This Row],[EDAD]]&lt;=35,"Adultos jóvenes 18 - 35 años",IF(C123&gt;=36,"Adultos mayores 36 años en adelante"))</f>
        <v>Adultos jóvenes 18 - 35 años</v>
      </c>
      <c r="E123" s="3" t="s">
        <v>5019</v>
      </c>
      <c r="F123" s="3" t="s">
        <v>5027</v>
      </c>
      <c r="G123" s="3" t="s">
        <v>5031</v>
      </c>
      <c r="H123" s="3" t="s">
        <v>8034</v>
      </c>
      <c r="I123" s="17">
        <v>45476</v>
      </c>
      <c r="J123" s="18">
        <f>YEAR(Tabla1[[#This Row],[FECHA DE COMPRA]])</f>
        <v>2024</v>
      </c>
      <c r="K123" s="19">
        <v>49.17</v>
      </c>
      <c r="L123" s="20">
        <v>0.2</v>
      </c>
      <c r="M123" s="19">
        <f>Tienda!$K327-Tienda!$K327*Tienda!$L327</f>
        <v>126.56700000000001</v>
      </c>
      <c r="N123" s="3" t="s">
        <v>10039</v>
      </c>
      <c r="O123" s="3" t="s">
        <v>10041</v>
      </c>
      <c r="P123" s="17">
        <v>45476</v>
      </c>
      <c r="Q123" s="4">
        <v>0</v>
      </c>
    </row>
    <row r="124" spans="1:17" x14ac:dyDescent="0.25">
      <c r="A124" s="2" t="s">
        <v>1976</v>
      </c>
      <c r="B124" s="3" t="s">
        <v>5015</v>
      </c>
      <c r="C124" s="3">
        <v>31</v>
      </c>
      <c r="D124" s="46" t="str">
        <f>IF(Tabla1[[#This Row],[EDAD]]&lt;=35,"Adultos jóvenes 18 - 35 años",IF(C124&gt;=36,"Adultos mayores 36 años en adelante"))</f>
        <v>Adultos jóvenes 18 - 35 años</v>
      </c>
      <c r="E124" s="3" t="s">
        <v>5021</v>
      </c>
      <c r="F124" s="3" t="s">
        <v>5026</v>
      </c>
      <c r="G124" s="3" t="s">
        <v>5035</v>
      </c>
      <c r="H124" s="3" t="s">
        <v>6999</v>
      </c>
      <c r="I124" s="17">
        <v>45478</v>
      </c>
      <c r="J124" s="18">
        <f>YEAR(Tabla1[[#This Row],[FECHA DE COMPRA]])</f>
        <v>2024</v>
      </c>
      <c r="K124" s="19">
        <v>135.49</v>
      </c>
      <c r="L124" s="20">
        <v>0</v>
      </c>
      <c r="M124" s="19">
        <f>Tienda!$K329-Tienda!$K329*Tienda!$L329</f>
        <v>116.64</v>
      </c>
      <c r="N124" s="3" t="s">
        <v>10039</v>
      </c>
      <c r="O124" s="3" t="s">
        <v>10041</v>
      </c>
      <c r="P124" s="17">
        <v>45478</v>
      </c>
      <c r="Q124" s="4">
        <v>0</v>
      </c>
    </row>
    <row r="125" spans="1:17" x14ac:dyDescent="0.25">
      <c r="A125" s="2" t="s">
        <v>2521</v>
      </c>
      <c r="B125" s="3" t="s">
        <v>5016</v>
      </c>
      <c r="C125" s="3">
        <v>33</v>
      </c>
      <c r="D125" s="46" t="str">
        <f>IF(Tabla1[[#This Row],[EDAD]]&lt;=35,"Adultos jóvenes 18 - 35 años",IF(C125&gt;=36,"Adultos mayores 36 años en adelante"))</f>
        <v>Adultos jóvenes 18 - 35 años</v>
      </c>
      <c r="E125" s="3" t="s">
        <v>5017</v>
      </c>
      <c r="F125" s="3" t="s">
        <v>5024</v>
      </c>
      <c r="G125" s="3" t="s">
        <v>5031</v>
      </c>
      <c r="H125" s="3" t="s">
        <v>7544</v>
      </c>
      <c r="I125" s="17">
        <v>45478</v>
      </c>
      <c r="J125" s="18">
        <f>YEAR(Tabla1[[#This Row],[FECHA DE COMPRA]])</f>
        <v>2024</v>
      </c>
      <c r="K125" s="19">
        <v>154.47999999999999</v>
      </c>
      <c r="L125" s="20">
        <v>0.3</v>
      </c>
      <c r="M125" s="19">
        <f>Tienda!$K330-Tienda!$K330*Tienda!$L330</f>
        <v>130.167</v>
      </c>
      <c r="N125" s="3" t="s">
        <v>10039</v>
      </c>
      <c r="O125" s="3" t="s">
        <v>10041</v>
      </c>
      <c r="P125" s="17">
        <v>45478</v>
      </c>
      <c r="Q125" s="4">
        <v>0</v>
      </c>
    </row>
    <row r="126" spans="1:17" x14ac:dyDescent="0.25">
      <c r="A126" s="2" t="s">
        <v>1276</v>
      </c>
      <c r="B126" s="3" t="s">
        <v>5015</v>
      </c>
      <c r="C126" s="3">
        <v>26</v>
      </c>
      <c r="D126" s="46" t="str">
        <f>IF(Tabla1[[#This Row],[EDAD]]&lt;=35,"Adultos jóvenes 18 - 35 años",IF(C126&gt;=36,"Adultos mayores 36 años en adelante"))</f>
        <v>Adultos jóvenes 18 - 35 años</v>
      </c>
      <c r="E126" s="3" t="s">
        <v>5018</v>
      </c>
      <c r="F126" s="3" t="s">
        <v>5024</v>
      </c>
      <c r="G126" s="3" t="s">
        <v>5036</v>
      </c>
      <c r="H126" s="3" t="s">
        <v>6299</v>
      </c>
      <c r="I126" s="17">
        <v>45479</v>
      </c>
      <c r="J126" s="18">
        <f>YEAR(Tabla1[[#This Row],[FECHA DE COMPRA]])</f>
        <v>2024</v>
      </c>
      <c r="K126" s="19">
        <v>170.66</v>
      </c>
      <c r="L126" s="20">
        <v>0.1</v>
      </c>
      <c r="M126" s="19">
        <f>Tienda!$K331-Tienda!$K331*Tienda!$L331</f>
        <v>92.762999999999991</v>
      </c>
      <c r="N126" s="3" t="s">
        <v>10039</v>
      </c>
      <c r="O126" s="3" t="s">
        <v>10041</v>
      </c>
      <c r="P126" s="17">
        <v>45479</v>
      </c>
      <c r="Q126" s="4">
        <v>0</v>
      </c>
    </row>
    <row r="127" spans="1:17" x14ac:dyDescent="0.25">
      <c r="A127" s="2" t="s">
        <v>4580</v>
      </c>
      <c r="B127" s="3" t="s">
        <v>5015</v>
      </c>
      <c r="C127" s="3">
        <v>23</v>
      </c>
      <c r="D127" s="46" t="str">
        <f>IF(Tabla1[[#This Row],[EDAD]]&lt;=35,"Adultos jóvenes 18 - 35 años",IF(C127&gt;=36,"Adultos mayores 36 años en adelante"))</f>
        <v>Adultos jóvenes 18 - 35 años</v>
      </c>
      <c r="E127" s="3" t="s">
        <v>5023</v>
      </c>
      <c r="F127" s="3" t="s">
        <v>5026</v>
      </c>
      <c r="G127" s="3" t="s">
        <v>5036</v>
      </c>
      <c r="H127" s="3" t="s">
        <v>9603</v>
      </c>
      <c r="I127" s="17">
        <v>45480</v>
      </c>
      <c r="J127" s="18">
        <f>YEAR(Tabla1[[#This Row],[FECHA DE COMPRA]])</f>
        <v>2024</v>
      </c>
      <c r="K127" s="19">
        <v>147.93</v>
      </c>
      <c r="L127" s="20">
        <v>0</v>
      </c>
      <c r="M127" s="19">
        <f>Tienda!$K334-Tienda!$K334*Tienda!$L334</f>
        <v>103.31100000000001</v>
      </c>
      <c r="N127" s="3" t="s">
        <v>10039</v>
      </c>
      <c r="O127" s="3" t="s">
        <v>10041</v>
      </c>
      <c r="P127" s="17">
        <v>45480</v>
      </c>
      <c r="Q127" s="4">
        <v>0</v>
      </c>
    </row>
    <row r="128" spans="1:17" x14ac:dyDescent="0.25">
      <c r="A128" s="2" t="s">
        <v>4594</v>
      </c>
      <c r="B128" s="3" t="s">
        <v>5016</v>
      </c>
      <c r="C128" s="3">
        <v>34</v>
      </c>
      <c r="D128" s="46" t="str">
        <f>IF(Tabla1[[#This Row],[EDAD]]&lt;=35,"Adultos jóvenes 18 - 35 años",IF(C128&gt;=36,"Adultos mayores 36 años en adelante"))</f>
        <v>Adultos jóvenes 18 - 35 años</v>
      </c>
      <c r="E128" s="3" t="s">
        <v>5017</v>
      </c>
      <c r="F128" s="3" t="s">
        <v>5029</v>
      </c>
      <c r="G128" s="3" t="s">
        <v>5033</v>
      </c>
      <c r="H128" s="3" t="s">
        <v>9617</v>
      </c>
      <c r="I128" s="17">
        <v>45483</v>
      </c>
      <c r="J128" s="18">
        <f>YEAR(Tabla1[[#This Row],[FECHA DE COMPRA]])</f>
        <v>2024</v>
      </c>
      <c r="K128" s="19">
        <v>102.65</v>
      </c>
      <c r="L128" s="20">
        <v>0</v>
      </c>
      <c r="M128" s="19">
        <f>Tienda!$K337-Tienda!$K337*Tienda!$L337</f>
        <v>143.07300000000001</v>
      </c>
      <c r="N128" s="3" t="s">
        <v>10039</v>
      </c>
      <c r="O128" s="3" t="s">
        <v>10041</v>
      </c>
      <c r="P128" s="17">
        <v>45483</v>
      </c>
      <c r="Q128" s="4">
        <v>0</v>
      </c>
    </row>
    <row r="129" spans="1:17" x14ac:dyDescent="0.25">
      <c r="A129" s="2" t="s">
        <v>2901</v>
      </c>
      <c r="B129" s="3" t="s">
        <v>5015</v>
      </c>
      <c r="C129" s="3">
        <v>31</v>
      </c>
      <c r="D129" s="46" t="str">
        <f>IF(Tabla1[[#This Row],[EDAD]]&lt;=35,"Adultos jóvenes 18 - 35 años",IF(C129&gt;=36,"Adultos mayores 36 años en adelante"))</f>
        <v>Adultos jóvenes 18 - 35 años</v>
      </c>
      <c r="E129" s="3" t="s">
        <v>5018</v>
      </c>
      <c r="F129" s="3" t="s">
        <v>5030</v>
      </c>
      <c r="G129" s="3" t="s">
        <v>5037</v>
      </c>
      <c r="H129" s="3" t="s">
        <v>7924</v>
      </c>
      <c r="I129" s="17">
        <v>45483</v>
      </c>
      <c r="J129" s="18">
        <f>YEAR(Tabla1[[#This Row],[FECHA DE COMPRA]])</f>
        <v>2024</v>
      </c>
      <c r="K129" s="19">
        <v>165.71</v>
      </c>
      <c r="L129" s="20">
        <v>0.3</v>
      </c>
      <c r="M129" s="19">
        <f>Tienda!$K338-Tienda!$K338*Tienda!$L338</f>
        <v>149.4</v>
      </c>
      <c r="N129" s="3" t="s">
        <v>10039</v>
      </c>
      <c r="O129" s="3" t="s">
        <v>10041</v>
      </c>
      <c r="P129" s="17">
        <v>45483</v>
      </c>
      <c r="Q129" s="4">
        <v>0</v>
      </c>
    </row>
    <row r="130" spans="1:17" x14ac:dyDescent="0.25">
      <c r="A130" s="2" t="s">
        <v>3793</v>
      </c>
      <c r="B130" s="3" t="s">
        <v>5015</v>
      </c>
      <c r="C130" s="3">
        <v>23</v>
      </c>
      <c r="D130" s="46" t="str">
        <f>IF(Tabla1[[#This Row],[EDAD]]&lt;=35,"Adultos jóvenes 18 - 35 años",IF(C130&gt;=36,"Adultos mayores 36 años en adelante"))</f>
        <v>Adultos jóvenes 18 - 35 años</v>
      </c>
      <c r="E130" s="3" t="s">
        <v>5021</v>
      </c>
      <c r="F130" s="3" t="s">
        <v>5027</v>
      </c>
      <c r="G130" s="3" t="s">
        <v>5036</v>
      </c>
      <c r="H130" s="3" t="s">
        <v>8816</v>
      </c>
      <c r="I130" s="17">
        <v>45483</v>
      </c>
      <c r="J130" s="18">
        <f>YEAR(Tabla1[[#This Row],[FECHA DE COMPRA]])</f>
        <v>2024</v>
      </c>
      <c r="K130" s="19">
        <v>174.42</v>
      </c>
      <c r="L130" s="20">
        <v>0</v>
      </c>
      <c r="M130" s="19">
        <f>Tienda!$K339-Tienda!$K339*Tienda!$L339</f>
        <v>137.17599999999999</v>
      </c>
      <c r="N130" s="3" t="s">
        <v>10039</v>
      </c>
      <c r="O130" s="3" t="s">
        <v>10041</v>
      </c>
      <c r="P130" s="17">
        <v>45483</v>
      </c>
      <c r="Q130" s="4">
        <v>0</v>
      </c>
    </row>
    <row r="131" spans="1:17" x14ac:dyDescent="0.25">
      <c r="A131" s="2" t="s">
        <v>514</v>
      </c>
      <c r="B131" s="3" t="s">
        <v>5016</v>
      </c>
      <c r="C131" s="3">
        <v>23</v>
      </c>
      <c r="D131" s="46" t="str">
        <f>IF(Tabla1[[#This Row],[EDAD]]&lt;=35,"Adultos jóvenes 18 - 35 años",IF(C131&gt;=36,"Adultos mayores 36 años en adelante"))</f>
        <v>Adultos jóvenes 18 - 35 años</v>
      </c>
      <c r="E131" s="3" t="s">
        <v>5017</v>
      </c>
      <c r="F131" s="3" t="s">
        <v>5030</v>
      </c>
      <c r="G131" s="3" t="s">
        <v>5037</v>
      </c>
      <c r="H131" s="3" t="s">
        <v>5537</v>
      </c>
      <c r="I131" s="17">
        <v>45485</v>
      </c>
      <c r="J131" s="18">
        <f>YEAR(Tabla1[[#This Row],[FECHA DE COMPRA]])</f>
        <v>2024</v>
      </c>
      <c r="K131" s="19">
        <v>87.68</v>
      </c>
      <c r="L131" s="20">
        <v>0.1</v>
      </c>
      <c r="M131" s="19">
        <f>Tienda!$K340-Tienda!$K340*Tienda!$L340</f>
        <v>122.066</v>
      </c>
      <c r="N131" s="3" t="s">
        <v>10039</v>
      </c>
      <c r="O131" s="3" t="s">
        <v>10041</v>
      </c>
      <c r="P131" s="17">
        <v>45485</v>
      </c>
      <c r="Q131" s="4">
        <v>0</v>
      </c>
    </row>
    <row r="132" spans="1:17" x14ac:dyDescent="0.25">
      <c r="A132" s="2" t="s">
        <v>1869</v>
      </c>
      <c r="B132" s="3" t="s">
        <v>5015</v>
      </c>
      <c r="C132" s="3">
        <v>18</v>
      </c>
      <c r="D132" s="46" t="str">
        <f>IF(Tabla1[[#This Row],[EDAD]]&lt;=35,"Adultos jóvenes 18 - 35 años",IF(C132&gt;=36,"Adultos mayores 36 años en adelante"))</f>
        <v>Adultos jóvenes 18 - 35 años</v>
      </c>
      <c r="E132" s="3" t="s">
        <v>5020</v>
      </c>
      <c r="F132" s="3" t="s">
        <v>5027</v>
      </c>
      <c r="G132" s="3" t="s">
        <v>5033</v>
      </c>
      <c r="H132" s="3" t="s">
        <v>6892</v>
      </c>
      <c r="I132" s="17">
        <v>45485</v>
      </c>
      <c r="J132" s="18">
        <f>YEAR(Tabla1[[#This Row],[FECHA DE COMPRA]])</f>
        <v>2024</v>
      </c>
      <c r="K132" s="19">
        <v>113.42</v>
      </c>
      <c r="L132" s="20">
        <v>0.3</v>
      </c>
      <c r="M132" s="19">
        <f>Tienda!$K341-Tienda!$K341*Tienda!$L341</f>
        <v>160.155</v>
      </c>
      <c r="N132" s="3" t="s">
        <v>10039</v>
      </c>
      <c r="O132" s="3" t="s">
        <v>10041</v>
      </c>
      <c r="P132" s="17">
        <v>45485</v>
      </c>
      <c r="Q132" s="4">
        <v>0</v>
      </c>
    </row>
    <row r="133" spans="1:17" x14ac:dyDescent="0.25">
      <c r="A133" s="2" t="s">
        <v>1929</v>
      </c>
      <c r="B133" s="3" t="s">
        <v>5016</v>
      </c>
      <c r="C133" s="3">
        <v>24</v>
      </c>
      <c r="D133" s="46" t="str">
        <f>IF(Tabla1[[#This Row],[EDAD]]&lt;=35,"Adultos jóvenes 18 - 35 años",IF(C133&gt;=36,"Adultos mayores 36 años en adelante"))</f>
        <v>Adultos jóvenes 18 - 35 años</v>
      </c>
      <c r="E133" s="3" t="s">
        <v>5019</v>
      </c>
      <c r="F133" s="3" t="s">
        <v>5024</v>
      </c>
      <c r="G133" s="3" t="s">
        <v>5035</v>
      </c>
      <c r="H133" s="3" t="s">
        <v>6952</v>
      </c>
      <c r="I133" s="17">
        <v>45485</v>
      </c>
      <c r="J133" s="18">
        <f>YEAR(Tabla1[[#This Row],[FECHA DE COMPRA]])</f>
        <v>2024</v>
      </c>
      <c r="K133" s="19">
        <v>186.59</v>
      </c>
      <c r="L133" s="20">
        <v>0.2</v>
      </c>
      <c r="M133" s="19">
        <f>Tienda!$K343-Tienda!$K343*Tienda!$L343</f>
        <v>124.54400000000001</v>
      </c>
      <c r="N133" s="3" t="s">
        <v>10039</v>
      </c>
      <c r="O133" s="3" t="s">
        <v>10041</v>
      </c>
      <c r="P133" s="17">
        <v>45485</v>
      </c>
      <c r="Q133" s="4">
        <v>0</v>
      </c>
    </row>
    <row r="134" spans="1:17" x14ac:dyDescent="0.25">
      <c r="A134" s="2" t="s">
        <v>844</v>
      </c>
      <c r="B134" s="3" t="s">
        <v>5015</v>
      </c>
      <c r="C134" s="3">
        <v>20</v>
      </c>
      <c r="D134" s="46" t="str">
        <f>IF(Tabla1[[#This Row],[EDAD]]&lt;=35,"Adultos jóvenes 18 - 35 años",IF(C134&gt;=36,"Adultos mayores 36 años en adelante"))</f>
        <v>Adultos jóvenes 18 - 35 años</v>
      </c>
      <c r="E134" s="3" t="s">
        <v>5022</v>
      </c>
      <c r="F134" s="3" t="s">
        <v>5027</v>
      </c>
      <c r="G134" s="3" t="s">
        <v>5035</v>
      </c>
      <c r="H134" s="3" t="s">
        <v>5867</v>
      </c>
      <c r="I134" s="17">
        <v>45490</v>
      </c>
      <c r="J134" s="18">
        <f>YEAR(Tabla1[[#This Row],[FECHA DE COMPRA]])</f>
        <v>2024</v>
      </c>
      <c r="K134" s="19">
        <v>13.04</v>
      </c>
      <c r="L134" s="20">
        <v>0.1</v>
      </c>
      <c r="M134" s="19">
        <f>Tienda!$K348-Tienda!$K348*Tienda!$L348</f>
        <v>91.322999999999993</v>
      </c>
      <c r="N134" s="3" t="s">
        <v>10039</v>
      </c>
      <c r="O134" s="3" t="s">
        <v>10041</v>
      </c>
      <c r="P134" s="17">
        <v>45490</v>
      </c>
      <c r="Q134" s="4">
        <v>0</v>
      </c>
    </row>
    <row r="135" spans="1:17" x14ac:dyDescent="0.25">
      <c r="A135" s="2" t="s">
        <v>545</v>
      </c>
      <c r="B135" s="3" t="s">
        <v>5015</v>
      </c>
      <c r="C135" s="3">
        <v>22</v>
      </c>
      <c r="D135" s="46" t="str">
        <f>IF(Tabla1[[#This Row],[EDAD]]&lt;=35,"Adultos jóvenes 18 - 35 años",IF(C135&gt;=36,"Adultos mayores 36 años en adelante"))</f>
        <v>Adultos jóvenes 18 - 35 años</v>
      </c>
      <c r="E135" s="3" t="s">
        <v>5018</v>
      </c>
      <c r="F135" s="3" t="s">
        <v>5027</v>
      </c>
      <c r="G135" s="3" t="s">
        <v>5034</v>
      </c>
      <c r="H135" s="3" t="s">
        <v>5568</v>
      </c>
      <c r="I135" s="17">
        <v>45490</v>
      </c>
      <c r="J135" s="18">
        <f>YEAR(Tabla1[[#This Row],[FECHA DE COMPRA]])</f>
        <v>2024</v>
      </c>
      <c r="K135" s="19">
        <v>13.36</v>
      </c>
      <c r="L135" s="20">
        <v>0.1</v>
      </c>
      <c r="M135" s="19">
        <f>Tienda!$K349-Tienda!$K349*Tienda!$L349</f>
        <v>10.969000000000001</v>
      </c>
      <c r="N135" s="3" t="s">
        <v>10039</v>
      </c>
      <c r="O135" s="3" t="s">
        <v>10041</v>
      </c>
      <c r="P135" s="17">
        <v>45490</v>
      </c>
      <c r="Q135" s="4">
        <v>0</v>
      </c>
    </row>
    <row r="136" spans="1:17" x14ac:dyDescent="0.25">
      <c r="A136" s="2" t="s">
        <v>3920</v>
      </c>
      <c r="B136" s="3" t="s">
        <v>5016</v>
      </c>
      <c r="C136" s="3">
        <v>27</v>
      </c>
      <c r="D136" s="46" t="str">
        <f>IF(Tabla1[[#This Row],[EDAD]]&lt;=35,"Adultos jóvenes 18 - 35 años",IF(C136&gt;=36,"Adultos mayores 36 años en adelante"))</f>
        <v>Adultos jóvenes 18 - 35 años</v>
      </c>
      <c r="E136" s="3" t="s">
        <v>5017</v>
      </c>
      <c r="F136" s="3" t="s">
        <v>5025</v>
      </c>
      <c r="G136" s="3" t="s">
        <v>5034</v>
      </c>
      <c r="H136" s="3" t="s">
        <v>8943</v>
      </c>
      <c r="I136" s="17">
        <v>45491</v>
      </c>
      <c r="J136" s="18">
        <f>YEAR(Tabla1[[#This Row],[FECHA DE COMPRA]])</f>
        <v>2024</v>
      </c>
      <c r="K136" s="19">
        <v>190.96</v>
      </c>
      <c r="L136" s="20">
        <v>0.2</v>
      </c>
      <c r="M136" s="19">
        <f>Tienda!$K351-Tienda!$K351*Tienda!$L351</f>
        <v>99.014999999999986</v>
      </c>
      <c r="N136" s="3" t="s">
        <v>10039</v>
      </c>
      <c r="O136" s="3" t="s">
        <v>10041</v>
      </c>
      <c r="P136" s="17">
        <v>45491</v>
      </c>
      <c r="Q136" s="4">
        <v>0</v>
      </c>
    </row>
    <row r="137" spans="1:17" x14ac:dyDescent="0.25">
      <c r="A137" s="2" t="s">
        <v>1577</v>
      </c>
      <c r="B137" s="3" t="s">
        <v>5015</v>
      </c>
      <c r="C137" s="3">
        <v>18</v>
      </c>
      <c r="D137" s="46" t="str">
        <f>IF(Tabla1[[#This Row],[EDAD]]&lt;=35,"Adultos jóvenes 18 - 35 años",IF(C137&gt;=36,"Adultos mayores 36 años en adelante"))</f>
        <v>Adultos jóvenes 18 - 35 años</v>
      </c>
      <c r="E137" s="3" t="s">
        <v>5022</v>
      </c>
      <c r="F137" s="3" t="s">
        <v>5028</v>
      </c>
      <c r="G137" s="3" t="s">
        <v>5036</v>
      </c>
      <c r="H137" s="3" t="s">
        <v>6600</v>
      </c>
      <c r="I137" s="17">
        <v>45492</v>
      </c>
      <c r="J137" s="18">
        <f>YEAR(Tabla1[[#This Row],[FECHA DE COMPRA]])</f>
        <v>2024</v>
      </c>
      <c r="K137" s="19">
        <v>56.28</v>
      </c>
      <c r="L137" s="20">
        <v>0.3</v>
      </c>
      <c r="M137" s="19">
        <f>Tienda!$K352-Tienda!$K352*Tienda!$L352</f>
        <v>111.21</v>
      </c>
      <c r="N137" s="3" t="s">
        <v>10039</v>
      </c>
      <c r="O137" s="3" t="s">
        <v>10041</v>
      </c>
      <c r="P137" s="17">
        <v>45492</v>
      </c>
      <c r="Q137" s="4">
        <v>0</v>
      </c>
    </row>
    <row r="138" spans="1:17" x14ac:dyDescent="0.25">
      <c r="A138" s="2" t="s">
        <v>2995</v>
      </c>
      <c r="B138" s="3" t="s">
        <v>5016</v>
      </c>
      <c r="C138" s="3">
        <v>25</v>
      </c>
      <c r="D138" s="46" t="str">
        <f>IF(Tabla1[[#This Row],[EDAD]]&lt;=35,"Adultos jóvenes 18 - 35 años",IF(C138&gt;=36,"Adultos mayores 36 años en adelante"))</f>
        <v>Adultos jóvenes 18 - 35 años</v>
      </c>
      <c r="E138" s="3" t="s">
        <v>5023</v>
      </c>
      <c r="F138" s="3" t="s">
        <v>5026</v>
      </c>
      <c r="G138" s="3" t="s">
        <v>5036</v>
      </c>
      <c r="H138" s="3" t="s">
        <v>8018</v>
      </c>
      <c r="I138" s="17">
        <v>45492</v>
      </c>
      <c r="J138" s="18">
        <f>YEAR(Tabla1[[#This Row],[FECHA DE COMPRA]])</f>
        <v>2024</v>
      </c>
      <c r="K138" s="19">
        <v>136.68</v>
      </c>
      <c r="L138" s="20">
        <v>0.2</v>
      </c>
      <c r="M138" s="19">
        <f>Tienda!$K354-Tienda!$K354*Tienda!$L354</f>
        <v>65.66</v>
      </c>
      <c r="N138" s="3" t="s">
        <v>10039</v>
      </c>
      <c r="O138" s="3" t="s">
        <v>10041</v>
      </c>
      <c r="P138" s="17">
        <v>45492</v>
      </c>
      <c r="Q138" s="4">
        <v>0</v>
      </c>
    </row>
    <row r="139" spans="1:17" x14ac:dyDescent="0.25">
      <c r="A139" s="2" t="s">
        <v>411</v>
      </c>
      <c r="B139" s="3" t="s">
        <v>5015</v>
      </c>
      <c r="C139" s="3">
        <v>29</v>
      </c>
      <c r="D139" s="46" t="str">
        <f>IF(Tabla1[[#This Row],[EDAD]]&lt;=35,"Adultos jóvenes 18 - 35 años",IF(C139&gt;=36,"Adultos mayores 36 años en adelante"))</f>
        <v>Adultos jóvenes 18 - 35 años</v>
      </c>
      <c r="E139" s="3" t="s">
        <v>5022</v>
      </c>
      <c r="F139" s="3" t="s">
        <v>5028</v>
      </c>
      <c r="G139" s="3" t="s">
        <v>5036</v>
      </c>
      <c r="H139" s="3" t="s">
        <v>5434</v>
      </c>
      <c r="I139" s="17">
        <v>45493</v>
      </c>
      <c r="J139" s="18">
        <f>YEAR(Tabla1[[#This Row],[FECHA DE COMPRA]])</f>
        <v>2024</v>
      </c>
      <c r="K139" s="19">
        <v>154.13999999999999</v>
      </c>
      <c r="L139" s="20">
        <v>0.1</v>
      </c>
      <c r="M139" s="19">
        <f>Tienda!$K356-Tienda!$K356*Tienda!$L356</f>
        <v>84.105000000000004</v>
      </c>
      <c r="N139" s="3" t="s">
        <v>10039</v>
      </c>
      <c r="O139" s="3" t="s">
        <v>10041</v>
      </c>
      <c r="P139" s="17">
        <v>45493</v>
      </c>
      <c r="Q139" s="4">
        <v>0</v>
      </c>
    </row>
    <row r="140" spans="1:17" x14ac:dyDescent="0.25">
      <c r="A140" s="2" t="s">
        <v>3264</v>
      </c>
      <c r="B140" s="3" t="s">
        <v>5015</v>
      </c>
      <c r="C140" s="3">
        <v>21</v>
      </c>
      <c r="D140" s="46" t="str">
        <f>IF(Tabla1[[#This Row],[EDAD]]&lt;=35,"Adultos jóvenes 18 - 35 años",IF(C140&gt;=36,"Adultos mayores 36 años en adelante"))</f>
        <v>Adultos jóvenes 18 - 35 años</v>
      </c>
      <c r="E140" s="3" t="s">
        <v>5019</v>
      </c>
      <c r="F140" s="3" t="s">
        <v>5029</v>
      </c>
      <c r="G140" s="3" t="s">
        <v>5037</v>
      </c>
      <c r="H140" s="3" t="s">
        <v>8287</v>
      </c>
      <c r="I140" s="17">
        <v>45494</v>
      </c>
      <c r="J140" s="18">
        <f>YEAR(Tabla1[[#This Row],[FECHA DE COMPRA]])</f>
        <v>2024</v>
      </c>
      <c r="K140" s="19">
        <v>54.07</v>
      </c>
      <c r="L140" s="20">
        <v>0.2</v>
      </c>
      <c r="M140" s="19">
        <f>Tienda!$K358-Tienda!$K358*Tienda!$L358</f>
        <v>146.22999999999999</v>
      </c>
      <c r="N140" s="3" t="s">
        <v>10039</v>
      </c>
      <c r="O140" s="3" t="s">
        <v>10041</v>
      </c>
      <c r="P140" s="17">
        <v>45494</v>
      </c>
      <c r="Q140" s="4">
        <v>0</v>
      </c>
    </row>
    <row r="141" spans="1:17" x14ac:dyDescent="0.25">
      <c r="A141" s="2" t="s">
        <v>5003</v>
      </c>
      <c r="B141" s="3" t="s">
        <v>5016</v>
      </c>
      <c r="C141" s="3">
        <v>34</v>
      </c>
      <c r="D141" s="46" t="str">
        <f>IF(Tabla1[[#This Row],[EDAD]]&lt;=35,"Adultos jóvenes 18 - 35 años",IF(C141&gt;=36,"Adultos mayores 36 años en adelante"))</f>
        <v>Adultos jóvenes 18 - 35 años</v>
      </c>
      <c r="E141" s="3" t="s">
        <v>5021</v>
      </c>
      <c r="F141" s="3" t="s">
        <v>5025</v>
      </c>
      <c r="G141" s="3" t="s">
        <v>5037</v>
      </c>
      <c r="H141" s="3" t="s">
        <v>10026</v>
      </c>
      <c r="I141" s="17">
        <v>45499</v>
      </c>
      <c r="J141" s="18">
        <f>YEAR(Tabla1[[#This Row],[FECHA DE COMPRA]])</f>
        <v>2024</v>
      </c>
      <c r="K141" s="19">
        <v>133.99</v>
      </c>
      <c r="L141" s="20">
        <v>0.2</v>
      </c>
      <c r="M141" s="19">
        <f>Tienda!$K367-Tienda!$K367*Tienda!$L367</f>
        <v>76.736000000000004</v>
      </c>
      <c r="N141" s="3" t="s">
        <v>10039</v>
      </c>
      <c r="O141" s="3" t="s">
        <v>10041</v>
      </c>
      <c r="P141" s="17">
        <v>45499</v>
      </c>
      <c r="Q141" s="4">
        <v>0</v>
      </c>
    </row>
    <row r="142" spans="1:17" x14ac:dyDescent="0.25">
      <c r="A142" s="2" t="s">
        <v>2978</v>
      </c>
      <c r="B142" s="3" t="s">
        <v>5015</v>
      </c>
      <c r="C142" s="3">
        <v>35</v>
      </c>
      <c r="D142" s="46" t="str">
        <f>IF(Tabla1[[#This Row],[EDAD]]&lt;=35,"Adultos jóvenes 18 - 35 años",IF(C142&gt;=36,"Adultos mayores 36 años en adelante"))</f>
        <v>Adultos jóvenes 18 - 35 años</v>
      </c>
      <c r="E142" s="3" t="s">
        <v>5017</v>
      </c>
      <c r="F142" s="3" t="s">
        <v>5030</v>
      </c>
      <c r="G142" s="3" t="s">
        <v>5034</v>
      </c>
      <c r="H142" s="3" t="s">
        <v>8001</v>
      </c>
      <c r="I142" s="17">
        <v>45499</v>
      </c>
      <c r="J142" s="18">
        <f>YEAR(Tabla1[[#This Row],[FECHA DE COMPRA]])</f>
        <v>2024</v>
      </c>
      <c r="K142" s="19">
        <v>171.07</v>
      </c>
      <c r="L142" s="20">
        <v>0.1</v>
      </c>
      <c r="M142" s="19">
        <f>Tienda!$K368-Tienda!$K368*Tienda!$L368</f>
        <v>87.984000000000009</v>
      </c>
      <c r="N142" s="3" t="s">
        <v>10039</v>
      </c>
      <c r="O142" s="3" t="s">
        <v>10041</v>
      </c>
      <c r="P142" s="17">
        <v>45499</v>
      </c>
      <c r="Q142" s="4">
        <v>0</v>
      </c>
    </row>
    <row r="143" spans="1:17" x14ac:dyDescent="0.25">
      <c r="A143" s="2" t="s">
        <v>2253</v>
      </c>
      <c r="B143" s="3" t="s">
        <v>5015</v>
      </c>
      <c r="C143" s="3">
        <v>24</v>
      </c>
      <c r="D143" s="46" t="str">
        <f>IF(Tabla1[[#This Row],[EDAD]]&lt;=35,"Adultos jóvenes 18 - 35 años",IF(C143&gt;=36,"Adultos mayores 36 años en adelante"))</f>
        <v>Adultos jóvenes 18 - 35 años</v>
      </c>
      <c r="E143" s="3" t="s">
        <v>5022</v>
      </c>
      <c r="F143" s="3" t="s">
        <v>5028</v>
      </c>
      <c r="G143" s="3" t="s">
        <v>5031</v>
      </c>
      <c r="H143" s="3" t="s">
        <v>7276</v>
      </c>
      <c r="I143" s="17">
        <v>45502</v>
      </c>
      <c r="J143" s="18">
        <f>YEAR(Tabla1[[#This Row],[FECHA DE COMPRA]])</f>
        <v>2024</v>
      </c>
      <c r="K143" s="19">
        <v>147.43</v>
      </c>
      <c r="L143" s="20">
        <v>0</v>
      </c>
      <c r="M143" s="19">
        <f>Tienda!$K370-Tienda!$K370*Tienda!$L370</f>
        <v>71.211000000000013</v>
      </c>
      <c r="N143" s="3" t="s">
        <v>10039</v>
      </c>
      <c r="O143" s="3" t="s">
        <v>10041</v>
      </c>
      <c r="P143" s="17">
        <v>45502</v>
      </c>
      <c r="Q143" s="4">
        <v>0</v>
      </c>
    </row>
    <row r="144" spans="1:17" x14ac:dyDescent="0.25">
      <c r="A144" s="2" t="s">
        <v>1204</v>
      </c>
      <c r="B144" s="3" t="s">
        <v>5015</v>
      </c>
      <c r="C144" s="3">
        <v>33</v>
      </c>
      <c r="D144" s="46" t="str">
        <f>IF(Tabla1[[#This Row],[EDAD]]&lt;=35,"Adultos jóvenes 18 - 35 años",IF(C144&gt;=36,"Adultos mayores 36 años en adelante"))</f>
        <v>Adultos jóvenes 18 - 35 años</v>
      </c>
      <c r="E144" s="3" t="s">
        <v>5019</v>
      </c>
      <c r="F144" s="3" t="s">
        <v>5026</v>
      </c>
      <c r="G144" s="3" t="s">
        <v>5034</v>
      </c>
      <c r="H144" s="3" t="s">
        <v>6227</v>
      </c>
      <c r="I144" s="17">
        <v>45503</v>
      </c>
      <c r="J144" s="18">
        <f>YEAR(Tabla1[[#This Row],[FECHA DE COMPRA]])</f>
        <v>2024</v>
      </c>
      <c r="K144" s="19">
        <v>96.14</v>
      </c>
      <c r="L144" s="20">
        <v>0.2</v>
      </c>
      <c r="M144" s="19">
        <f>Tienda!$K372-Tienda!$K372*Tienda!$L372</f>
        <v>102.63</v>
      </c>
      <c r="N144" s="3" t="s">
        <v>10039</v>
      </c>
      <c r="O144" s="3" t="s">
        <v>10041</v>
      </c>
      <c r="P144" s="17">
        <v>45503</v>
      </c>
      <c r="Q144" s="4">
        <v>0</v>
      </c>
    </row>
    <row r="145" spans="1:17" x14ac:dyDescent="0.25">
      <c r="A145" s="2" t="s">
        <v>1955</v>
      </c>
      <c r="B145" s="3" t="s">
        <v>5015</v>
      </c>
      <c r="C145" s="3">
        <v>20</v>
      </c>
      <c r="D145" s="46" t="str">
        <f>IF(Tabla1[[#This Row],[EDAD]]&lt;=35,"Adultos jóvenes 18 - 35 años",IF(C145&gt;=36,"Adultos mayores 36 años en adelante"))</f>
        <v>Adultos jóvenes 18 - 35 años</v>
      </c>
      <c r="E145" s="3" t="s">
        <v>5021</v>
      </c>
      <c r="F145" s="3" t="s">
        <v>5026</v>
      </c>
      <c r="G145" s="3" t="s">
        <v>5036</v>
      </c>
      <c r="H145" s="3" t="s">
        <v>6978</v>
      </c>
      <c r="I145" s="17">
        <v>45504</v>
      </c>
      <c r="J145" s="18">
        <f>YEAR(Tabla1[[#This Row],[FECHA DE COMPRA]])</f>
        <v>2024</v>
      </c>
      <c r="K145" s="19">
        <v>46.54</v>
      </c>
      <c r="L145" s="20">
        <v>0</v>
      </c>
      <c r="M145" s="19">
        <f>Tienda!$K375-Tienda!$K375*Tienda!$L375</f>
        <v>122.31099999999999</v>
      </c>
      <c r="N145" s="3" t="s">
        <v>10039</v>
      </c>
      <c r="O145" s="3" t="s">
        <v>10041</v>
      </c>
      <c r="P145" s="17">
        <v>45504</v>
      </c>
      <c r="Q145" s="4">
        <v>0</v>
      </c>
    </row>
    <row r="146" spans="1:17" x14ac:dyDescent="0.25">
      <c r="A146" s="2" t="s">
        <v>1619</v>
      </c>
      <c r="B146" s="3" t="s">
        <v>5015</v>
      </c>
      <c r="C146" s="3">
        <v>21</v>
      </c>
      <c r="D146" s="46" t="str">
        <f>IF(Tabla1[[#This Row],[EDAD]]&lt;=35,"Adultos jóvenes 18 - 35 años",IF(C146&gt;=36,"Adultos mayores 36 años en adelante"))</f>
        <v>Adultos jóvenes 18 - 35 años</v>
      </c>
      <c r="E146" s="3" t="s">
        <v>5022</v>
      </c>
      <c r="F146" s="3" t="s">
        <v>5024</v>
      </c>
      <c r="G146" s="3" t="s">
        <v>5033</v>
      </c>
      <c r="H146" s="3" t="s">
        <v>6642</v>
      </c>
      <c r="I146" s="17">
        <v>45505</v>
      </c>
      <c r="J146" s="18">
        <f>YEAR(Tabla1[[#This Row],[FECHA DE COMPRA]])</f>
        <v>2024</v>
      </c>
      <c r="K146" s="19">
        <v>89.88</v>
      </c>
      <c r="L146" s="20">
        <v>0.3</v>
      </c>
      <c r="M146" s="19">
        <f>Tienda!$K380-Tienda!$K380*Tienda!$L380</f>
        <v>27.96</v>
      </c>
      <c r="N146" s="3" t="s">
        <v>10039</v>
      </c>
      <c r="O146" s="3" t="s">
        <v>10041</v>
      </c>
      <c r="P146" s="17">
        <v>45505</v>
      </c>
      <c r="Q146" s="4">
        <v>0</v>
      </c>
    </row>
    <row r="147" spans="1:17" x14ac:dyDescent="0.25">
      <c r="A147" s="2" t="s">
        <v>1094</v>
      </c>
      <c r="B147" s="3" t="s">
        <v>5015</v>
      </c>
      <c r="C147" s="3">
        <v>28</v>
      </c>
      <c r="D147" s="46" t="str">
        <f>IF(Tabla1[[#This Row],[EDAD]]&lt;=35,"Adultos jóvenes 18 - 35 años",IF(C147&gt;=36,"Adultos mayores 36 años en adelante"))</f>
        <v>Adultos jóvenes 18 - 35 años</v>
      </c>
      <c r="E147" s="3" t="s">
        <v>5018</v>
      </c>
      <c r="F147" s="3" t="s">
        <v>5027</v>
      </c>
      <c r="G147" s="3" t="s">
        <v>5033</v>
      </c>
      <c r="H147" s="3" t="s">
        <v>6117</v>
      </c>
      <c r="I147" s="17">
        <v>45506</v>
      </c>
      <c r="J147" s="18">
        <f>YEAR(Tabla1[[#This Row],[FECHA DE COMPRA]])</f>
        <v>2024</v>
      </c>
      <c r="K147" s="19">
        <v>58.91</v>
      </c>
      <c r="L147" s="20">
        <v>0.1</v>
      </c>
      <c r="M147" s="19">
        <f>Tienda!$K382-Tienda!$K382*Tienda!$L382</f>
        <v>62.379000000000005</v>
      </c>
      <c r="N147" s="3" t="s">
        <v>10039</v>
      </c>
      <c r="O147" s="3" t="s">
        <v>10041</v>
      </c>
      <c r="P147" s="17">
        <v>45506</v>
      </c>
      <c r="Q147" s="4">
        <v>0</v>
      </c>
    </row>
    <row r="148" spans="1:17" x14ac:dyDescent="0.25">
      <c r="A148" s="2" t="s">
        <v>4714</v>
      </c>
      <c r="B148" s="3" t="s">
        <v>5016</v>
      </c>
      <c r="C148" s="3">
        <v>31</v>
      </c>
      <c r="D148" s="46" t="str">
        <f>IF(Tabla1[[#This Row],[EDAD]]&lt;=35,"Adultos jóvenes 18 - 35 años",IF(C148&gt;=36,"Adultos mayores 36 años en adelante"))</f>
        <v>Adultos jóvenes 18 - 35 años</v>
      </c>
      <c r="E148" s="3" t="s">
        <v>5023</v>
      </c>
      <c r="F148" s="3" t="s">
        <v>5026</v>
      </c>
      <c r="G148" s="3" t="s">
        <v>5033</v>
      </c>
      <c r="H148" s="3" t="s">
        <v>9737</v>
      </c>
      <c r="I148" s="17">
        <v>45507</v>
      </c>
      <c r="J148" s="18">
        <f>YEAR(Tabla1[[#This Row],[FECHA DE COMPRA]])</f>
        <v>2024</v>
      </c>
      <c r="K148" s="19">
        <v>60.18</v>
      </c>
      <c r="L148" s="20">
        <v>0</v>
      </c>
      <c r="M148" s="19">
        <f>Tienda!$K385-Tienda!$K385*Tienda!$L385</f>
        <v>90.801000000000002</v>
      </c>
      <c r="N148" s="3" t="s">
        <v>10039</v>
      </c>
      <c r="O148" s="3" t="s">
        <v>10041</v>
      </c>
      <c r="P148" s="17">
        <v>45507</v>
      </c>
      <c r="Q148" s="4">
        <v>0</v>
      </c>
    </row>
    <row r="149" spans="1:17" x14ac:dyDescent="0.25">
      <c r="A149" s="2" t="s">
        <v>1804</v>
      </c>
      <c r="B149" s="3" t="s">
        <v>5015</v>
      </c>
      <c r="C149" s="3">
        <v>27</v>
      </c>
      <c r="D149" s="46" t="str">
        <f>IF(Tabla1[[#This Row],[EDAD]]&lt;=35,"Adultos jóvenes 18 - 35 años",IF(C149&gt;=36,"Adultos mayores 36 años en adelante"))</f>
        <v>Adultos jóvenes 18 - 35 años</v>
      </c>
      <c r="E149" s="3" t="s">
        <v>5020</v>
      </c>
      <c r="F149" s="3" t="s">
        <v>5026</v>
      </c>
      <c r="G149" s="3" t="s">
        <v>5033</v>
      </c>
      <c r="H149" s="3" t="s">
        <v>6827</v>
      </c>
      <c r="I149" s="17">
        <v>45508</v>
      </c>
      <c r="J149" s="18">
        <f>YEAR(Tabla1[[#This Row],[FECHA DE COMPRA]])</f>
        <v>2024</v>
      </c>
      <c r="K149" s="19">
        <v>72.599999999999994</v>
      </c>
      <c r="L149" s="20">
        <v>0.3</v>
      </c>
      <c r="M149" s="19">
        <f>Tienda!$K388-Tienda!$K388*Tienda!$L388</f>
        <v>112.36499999999999</v>
      </c>
      <c r="N149" s="3" t="s">
        <v>10039</v>
      </c>
      <c r="O149" s="3" t="s">
        <v>10041</v>
      </c>
      <c r="P149" s="17">
        <v>45508</v>
      </c>
      <c r="Q149" s="4">
        <v>0</v>
      </c>
    </row>
    <row r="150" spans="1:17" x14ac:dyDescent="0.25">
      <c r="A150" s="2" t="s">
        <v>465</v>
      </c>
      <c r="B150" s="3" t="s">
        <v>5015</v>
      </c>
      <c r="C150" s="3">
        <v>21</v>
      </c>
      <c r="D150" s="46" t="str">
        <f>IF(Tabla1[[#This Row],[EDAD]]&lt;=35,"Adultos jóvenes 18 - 35 años",IF(C150&gt;=36,"Adultos mayores 36 años en adelante"))</f>
        <v>Adultos jóvenes 18 - 35 años</v>
      </c>
      <c r="E150" s="3" t="s">
        <v>5022</v>
      </c>
      <c r="F150" s="3" t="s">
        <v>5028</v>
      </c>
      <c r="G150" s="3" t="s">
        <v>5031</v>
      </c>
      <c r="H150" s="3" t="s">
        <v>5488</v>
      </c>
      <c r="I150" s="17">
        <v>45508</v>
      </c>
      <c r="J150" s="18">
        <f>YEAR(Tabla1[[#This Row],[FECHA DE COMPRA]])</f>
        <v>2024</v>
      </c>
      <c r="K150" s="19">
        <v>183.37</v>
      </c>
      <c r="L150" s="20">
        <v>0</v>
      </c>
      <c r="M150" s="19">
        <f>Tienda!$K389-Tienda!$K389*Tienda!$L389</f>
        <v>112.509</v>
      </c>
      <c r="N150" s="3" t="s">
        <v>10039</v>
      </c>
      <c r="O150" s="3" t="s">
        <v>10041</v>
      </c>
      <c r="P150" s="17">
        <v>45508</v>
      </c>
      <c r="Q150" s="4">
        <v>0</v>
      </c>
    </row>
    <row r="151" spans="1:17" x14ac:dyDescent="0.25">
      <c r="A151" s="2" t="s">
        <v>2394</v>
      </c>
      <c r="B151" s="3" t="s">
        <v>5015</v>
      </c>
      <c r="C151" s="3">
        <v>24</v>
      </c>
      <c r="D151" s="46" t="str">
        <f>IF(Tabla1[[#This Row],[EDAD]]&lt;=35,"Adultos jóvenes 18 - 35 años",IF(C151&gt;=36,"Adultos mayores 36 años en adelante"))</f>
        <v>Adultos jóvenes 18 - 35 años</v>
      </c>
      <c r="E151" s="3" t="s">
        <v>5020</v>
      </c>
      <c r="F151" s="3" t="s">
        <v>5027</v>
      </c>
      <c r="G151" s="3" t="s">
        <v>5031</v>
      </c>
      <c r="H151" s="3" t="s">
        <v>7417</v>
      </c>
      <c r="I151" s="17">
        <v>45509</v>
      </c>
      <c r="J151" s="18">
        <f>YEAR(Tabla1[[#This Row],[FECHA DE COMPRA]])</f>
        <v>2024</v>
      </c>
      <c r="K151" s="19">
        <v>141.47</v>
      </c>
      <c r="L151" s="20">
        <v>0.3</v>
      </c>
      <c r="M151" s="19">
        <f>Tienda!$K391-Tienda!$K391*Tienda!$L391</f>
        <v>122.11199999999999</v>
      </c>
      <c r="N151" s="3" t="s">
        <v>10039</v>
      </c>
      <c r="O151" s="3" t="s">
        <v>10041</v>
      </c>
      <c r="P151" s="17">
        <v>45509</v>
      </c>
      <c r="Q151" s="4">
        <v>0</v>
      </c>
    </row>
    <row r="152" spans="1:17" x14ac:dyDescent="0.25">
      <c r="A152" s="2" t="s">
        <v>3329</v>
      </c>
      <c r="B152" s="3" t="s">
        <v>5015</v>
      </c>
      <c r="C152" s="3">
        <v>21</v>
      </c>
      <c r="D152" s="46" t="str">
        <f>IF(Tabla1[[#This Row],[EDAD]]&lt;=35,"Adultos jóvenes 18 - 35 años",IF(C152&gt;=36,"Adultos mayores 36 años en adelante"))</f>
        <v>Adultos jóvenes 18 - 35 años</v>
      </c>
      <c r="E152" s="3" t="s">
        <v>5017</v>
      </c>
      <c r="F152" s="3" t="s">
        <v>5029</v>
      </c>
      <c r="G152" s="3" t="s">
        <v>5033</v>
      </c>
      <c r="H152" s="3" t="s">
        <v>8352</v>
      </c>
      <c r="I152" s="17">
        <v>45510</v>
      </c>
      <c r="J152" s="18">
        <f>YEAR(Tabla1[[#This Row],[FECHA DE COMPRA]])</f>
        <v>2024</v>
      </c>
      <c r="K152" s="19">
        <v>21.49</v>
      </c>
      <c r="L152" s="20">
        <v>0.1</v>
      </c>
      <c r="M152" s="19">
        <f>Tienda!$K393-Tienda!$K393*Tienda!$L393</f>
        <v>109.94200000000001</v>
      </c>
      <c r="N152" s="3" t="s">
        <v>10039</v>
      </c>
      <c r="O152" s="3" t="s">
        <v>10041</v>
      </c>
      <c r="P152" s="17">
        <v>45510</v>
      </c>
      <c r="Q152" s="4">
        <v>0</v>
      </c>
    </row>
    <row r="153" spans="1:17" x14ac:dyDescent="0.25">
      <c r="A153" s="2" t="s">
        <v>2724</v>
      </c>
      <c r="B153" s="3" t="s">
        <v>5015</v>
      </c>
      <c r="C153" s="3">
        <v>26</v>
      </c>
      <c r="D153" s="46" t="str">
        <f>IF(Tabla1[[#This Row],[EDAD]]&lt;=35,"Adultos jóvenes 18 - 35 años",IF(C153&gt;=36,"Adultos mayores 36 años en adelante"))</f>
        <v>Adultos jóvenes 18 - 35 años</v>
      </c>
      <c r="E153" s="3" t="s">
        <v>5020</v>
      </c>
      <c r="F153" s="3" t="s">
        <v>5028</v>
      </c>
      <c r="G153" s="3" t="s">
        <v>5036</v>
      </c>
      <c r="H153" s="3" t="s">
        <v>7747</v>
      </c>
      <c r="I153" s="17">
        <v>45511</v>
      </c>
      <c r="J153" s="18">
        <f>YEAR(Tabla1[[#This Row],[FECHA DE COMPRA]])</f>
        <v>2024</v>
      </c>
      <c r="K153" s="19">
        <v>169.51</v>
      </c>
      <c r="L153" s="20">
        <v>0</v>
      </c>
      <c r="M153" s="19">
        <f>Tienda!$K400-Tienda!$K400*Tienda!$L400</f>
        <v>13.581</v>
      </c>
      <c r="N153" s="3" t="s">
        <v>10039</v>
      </c>
      <c r="O153" s="3" t="s">
        <v>10041</v>
      </c>
      <c r="P153" s="17">
        <v>45511</v>
      </c>
      <c r="Q153" s="4">
        <v>0</v>
      </c>
    </row>
    <row r="154" spans="1:17" x14ac:dyDescent="0.25">
      <c r="A154" s="2" t="s">
        <v>2182</v>
      </c>
      <c r="B154" s="3" t="s">
        <v>5015</v>
      </c>
      <c r="C154" s="3">
        <v>20</v>
      </c>
      <c r="D154" s="46" t="str">
        <f>IF(Tabla1[[#This Row],[EDAD]]&lt;=35,"Adultos jóvenes 18 - 35 años",IF(C154&gt;=36,"Adultos mayores 36 años en adelante"))</f>
        <v>Adultos jóvenes 18 - 35 años</v>
      </c>
      <c r="E154" s="3" t="s">
        <v>5023</v>
      </c>
      <c r="F154" s="3" t="s">
        <v>5029</v>
      </c>
      <c r="G154" s="3" t="s">
        <v>5035</v>
      </c>
      <c r="H154" s="3" t="s">
        <v>7205</v>
      </c>
      <c r="I154" s="17">
        <v>45513</v>
      </c>
      <c r="J154" s="18">
        <f>YEAR(Tabla1[[#This Row],[FECHA DE COMPRA]])</f>
        <v>2024</v>
      </c>
      <c r="K154" s="19">
        <v>83.45</v>
      </c>
      <c r="L154" s="20">
        <v>0.2</v>
      </c>
      <c r="M154" s="19">
        <f>Tienda!$K402-Tienda!$K402*Tienda!$L402</f>
        <v>15.615000000000002</v>
      </c>
      <c r="N154" s="3" t="s">
        <v>10039</v>
      </c>
      <c r="O154" s="3" t="s">
        <v>10041</v>
      </c>
      <c r="P154" s="17">
        <v>45513</v>
      </c>
      <c r="Q154" s="4">
        <v>0</v>
      </c>
    </row>
    <row r="155" spans="1:17" x14ac:dyDescent="0.25">
      <c r="A155" s="2" t="s">
        <v>2479</v>
      </c>
      <c r="B155" s="3" t="s">
        <v>5016</v>
      </c>
      <c r="C155" s="3">
        <v>18</v>
      </c>
      <c r="D155" s="46" t="str">
        <f>IF(Tabla1[[#This Row],[EDAD]]&lt;=35,"Adultos jóvenes 18 - 35 años",IF(C155&gt;=36,"Adultos mayores 36 años en adelante"))</f>
        <v>Adultos jóvenes 18 - 35 años</v>
      </c>
      <c r="E155" s="3" t="s">
        <v>5021</v>
      </c>
      <c r="F155" s="3" t="s">
        <v>5025</v>
      </c>
      <c r="G155" s="3" t="s">
        <v>5036</v>
      </c>
      <c r="H155" s="3" t="s">
        <v>7502</v>
      </c>
      <c r="I155" s="17">
        <v>45513</v>
      </c>
      <c r="J155" s="18">
        <f>YEAR(Tabla1[[#This Row],[FECHA DE COMPRA]])</f>
        <v>2024</v>
      </c>
      <c r="K155" s="19">
        <v>196.74</v>
      </c>
      <c r="L155" s="20">
        <v>0.3</v>
      </c>
      <c r="M155" s="19">
        <f>Tienda!$K405-Tienda!$K405*Tienda!$L405</f>
        <v>37.28</v>
      </c>
      <c r="N155" s="3" t="s">
        <v>10039</v>
      </c>
      <c r="O155" s="3" t="s">
        <v>10041</v>
      </c>
      <c r="P155" s="17">
        <v>45513</v>
      </c>
      <c r="Q155" s="4">
        <v>0</v>
      </c>
    </row>
    <row r="156" spans="1:17" x14ac:dyDescent="0.25">
      <c r="A156" s="2" t="s">
        <v>2100</v>
      </c>
      <c r="B156" s="3" t="s">
        <v>5016</v>
      </c>
      <c r="C156" s="3">
        <v>20</v>
      </c>
      <c r="D156" s="46" t="str">
        <f>IF(Tabla1[[#This Row],[EDAD]]&lt;=35,"Adultos jóvenes 18 - 35 años",IF(C156&gt;=36,"Adultos mayores 36 años en adelante"))</f>
        <v>Adultos jóvenes 18 - 35 años</v>
      </c>
      <c r="E156" s="3" t="s">
        <v>5017</v>
      </c>
      <c r="F156" s="3" t="s">
        <v>5027</v>
      </c>
      <c r="G156" s="3" t="s">
        <v>5036</v>
      </c>
      <c r="H156" s="3" t="s">
        <v>7123</v>
      </c>
      <c r="I156" s="17">
        <v>45515</v>
      </c>
      <c r="J156" s="18">
        <f>YEAR(Tabla1[[#This Row],[FECHA DE COMPRA]])</f>
        <v>2024</v>
      </c>
      <c r="K156" s="19">
        <v>98.67</v>
      </c>
      <c r="L156" s="20">
        <v>0.3</v>
      </c>
      <c r="M156" s="19">
        <f>Tienda!$K407-Tienda!$K407*Tienda!$L407</f>
        <v>46.896000000000001</v>
      </c>
      <c r="N156" s="3" t="s">
        <v>10039</v>
      </c>
      <c r="O156" s="3" t="s">
        <v>10041</v>
      </c>
      <c r="P156" s="17">
        <v>45515</v>
      </c>
      <c r="Q156" s="4">
        <v>0</v>
      </c>
    </row>
    <row r="157" spans="1:17" x14ac:dyDescent="0.25">
      <c r="A157" s="2" t="s">
        <v>85</v>
      </c>
      <c r="B157" s="3" t="s">
        <v>5015</v>
      </c>
      <c r="C157" s="3">
        <v>22</v>
      </c>
      <c r="D157" s="46" t="str">
        <f>IF(Tabla1[[#This Row],[EDAD]]&lt;=35,"Adultos jóvenes 18 - 35 años",IF(C157&gt;=36,"Adultos mayores 36 años en adelante"))</f>
        <v>Adultos jóvenes 18 - 35 años</v>
      </c>
      <c r="E157" s="3" t="s">
        <v>5022</v>
      </c>
      <c r="F157" s="3" t="s">
        <v>5028</v>
      </c>
      <c r="G157" s="3" t="s">
        <v>5033</v>
      </c>
      <c r="H157" s="3" t="s">
        <v>5108</v>
      </c>
      <c r="I157" s="17">
        <v>45516</v>
      </c>
      <c r="J157" s="18">
        <f>YEAR(Tabla1[[#This Row],[FECHA DE COMPRA]])</f>
        <v>2024</v>
      </c>
      <c r="K157" s="19">
        <v>34.35</v>
      </c>
      <c r="L157" s="20">
        <v>0.2</v>
      </c>
      <c r="M157" s="19">
        <f>Tienda!$K408-Tienda!$K408*Tienda!$L408</f>
        <v>57.951000000000001</v>
      </c>
      <c r="N157" s="3" t="s">
        <v>10039</v>
      </c>
      <c r="O157" s="3" t="s">
        <v>10041</v>
      </c>
      <c r="P157" s="17">
        <v>45516</v>
      </c>
      <c r="Q157" s="4">
        <v>0</v>
      </c>
    </row>
    <row r="158" spans="1:17" x14ac:dyDescent="0.25">
      <c r="A158" s="2" t="s">
        <v>2700</v>
      </c>
      <c r="B158" s="3" t="s">
        <v>5015</v>
      </c>
      <c r="C158" s="3">
        <v>32</v>
      </c>
      <c r="D158" s="46" t="str">
        <f>IF(Tabla1[[#This Row],[EDAD]]&lt;=35,"Adultos jóvenes 18 - 35 años",IF(C158&gt;=36,"Adultos mayores 36 años en adelante"))</f>
        <v>Adultos jóvenes 18 - 35 años</v>
      </c>
      <c r="E158" s="3" t="s">
        <v>5022</v>
      </c>
      <c r="F158" s="3" t="s">
        <v>5026</v>
      </c>
      <c r="G158" s="3" t="s">
        <v>5037</v>
      </c>
      <c r="H158" s="3" t="s">
        <v>7723</v>
      </c>
      <c r="I158" s="17">
        <v>45517</v>
      </c>
      <c r="J158" s="18">
        <f>YEAR(Tabla1[[#This Row],[FECHA DE COMPRA]])</f>
        <v>2024</v>
      </c>
      <c r="K158" s="19">
        <v>101.66</v>
      </c>
      <c r="L158" s="20">
        <v>0.2</v>
      </c>
      <c r="M158" s="19">
        <f>Tienda!$K411-Tienda!$K411*Tienda!$L411</f>
        <v>63.811999999999998</v>
      </c>
      <c r="N158" s="3" t="s">
        <v>10039</v>
      </c>
      <c r="O158" s="3" t="s">
        <v>10041</v>
      </c>
      <c r="P158" s="17">
        <v>45517</v>
      </c>
      <c r="Q158" s="4">
        <v>0</v>
      </c>
    </row>
    <row r="159" spans="1:17" x14ac:dyDescent="0.25">
      <c r="A159" s="2" t="s">
        <v>3214</v>
      </c>
      <c r="B159" s="3" t="s">
        <v>5015</v>
      </c>
      <c r="C159" s="3">
        <v>26</v>
      </c>
      <c r="D159" s="46" t="str">
        <f>IF(Tabla1[[#This Row],[EDAD]]&lt;=35,"Adultos jóvenes 18 - 35 años",IF(C159&gt;=36,"Adultos mayores 36 años en adelante"))</f>
        <v>Adultos jóvenes 18 - 35 años</v>
      </c>
      <c r="E159" s="3" t="s">
        <v>5017</v>
      </c>
      <c r="F159" s="3" t="s">
        <v>5028</v>
      </c>
      <c r="G159" s="3" t="s">
        <v>5033</v>
      </c>
      <c r="H159" s="3" t="s">
        <v>8237</v>
      </c>
      <c r="I159" s="17">
        <v>45518</v>
      </c>
      <c r="J159" s="18">
        <f>YEAR(Tabla1[[#This Row],[FECHA DE COMPRA]])</f>
        <v>2024</v>
      </c>
      <c r="K159" s="19">
        <v>25.21</v>
      </c>
      <c r="L159" s="20">
        <v>0.3</v>
      </c>
      <c r="M159" s="19">
        <f>Tienda!$K414-Tienda!$K414*Tienda!$L414</f>
        <v>127.18</v>
      </c>
      <c r="N159" s="3" t="s">
        <v>10039</v>
      </c>
      <c r="O159" s="3" t="s">
        <v>10041</v>
      </c>
      <c r="P159" s="17">
        <v>45518</v>
      </c>
      <c r="Q159" s="4">
        <v>0</v>
      </c>
    </row>
    <row r="160" spans="1:17" x14ac:dyDescent="0.25">
      <c r="A160" s="2" t="s">
        <v>231</v>
      </c>
      <c r="B160" s="3" t="s">
        <v>5015</v>
      </c>
      <c r="C160" s="3">
        <v>22</v>
      </c>
      <c r="D160" s="46" t="str">
        <f>IF(Tabla1[[#This Row],[EDAD]]&lt;=35,"Adultos jóvenes 18 - 35 años",IF(C160&gt;=36,"Adultos mayores 36 años en adelante"))</f>
        <v>Adultos jóvenes 18 - 35 años</v>
      </c>
      <c r="E160" s="3" t="s">
        <v>5019</v>
      </c>
      <c r="F160" s="3" t="s">
        <v>5029</v>
      </c>
      <c r="G160" s="3" t="s">
        <v>5036</v>
      </c>
      <c r="H160" s="3" t="s">
        <v>5254</v>
      </c>
      <c r="I160" s="17">
        <v>45518</v>
      </c>
      <c r="J160" s="18">
        <f>YEAR(Tabla1[[#This Row],[FECHA DE COMPRA]])</f>
        <v>2024</v>
      </c>
      <c r="K160" s="19">
        <v>145.30000000000001</v>
      </c>
      <c r="L160" s="20">
        <v>0.3</v>
      </c>
      <c r="M160" s="19">
        <f>Tienda!$K418-Tienda!$K418*Tienda!$L418</f>
        <v>104.59399999999999</v>
      </c>
      <c r="N160" s="3" t="s">
        <v>10039</v>
      </c>
      <c r="O160" s="3" t="s">
        <v>10041</v>
      </c>
      <c r="P160" s="17">
        <v>45518</v>
      </c>
      <c r="Q160" s="4">
        <v>0</v>
      </c>
    </row>
    <row r="161" spans="1:17" x14ac:dyDescent="0.25">
      <c r="A161" s="2" t="s">
        <v>4849</v>
      </c>
      <c r="B161" s="3" t="s">
        <v>5016</v>
      </c>
      <c r="C161" s="3">
        <v>33</v>
      </c>
      <c r="D161" s="46" t="str">
        <f>IF(Tabla1[[#This Row],[EDAD]]&lt;=35,"Adultos jóvenes 18 - 35 años",IF(C161&gt;=36,"Adultos mayores 36 años en adelante"))</f>
        <v>Adultos jóvenes 18 - 35 años</v>
      </c>
      <c r="E161" s="3" t="s">
        <v>5023</v>
      </c>
      <c r="F161" s="3" t="s">
        <v>5024</v>
      </c>
      <c r="G161" s="3" t="s">
        <v>5031</v>
      </c>
      <c r="H161" s="3" t="s">
        <v>9872</v>
      </c>
      <c r="I161" s="17">
        <v>45519</v>
      </c>
      <c r="J161" s="18">
        <f>YEAR(Tabla1[[#This Row],[FECHA DE COMPRA]])</f>
        <v>2024</v>
      </c>
      <c r="K161" s="19">
        <v>115.2</v>
      </c>
      <c r="L161" s="20">
        <v>0</v>
      </c>
      <c r="M161" s="19">
        <f>Tienda!$K420-Tienda!$K420*Tienda!$L420</f>
        <v>105.49700000000001</v>
      </c>
      <c r="N161" s="3" t="s">
        <v>10039</v>
      </c>
      <c r="O161" s="3" t="s">
        <v>10041</v>
      </c>
      <c r="P161" s="17">
        <v>45519</v>
      </c>
      <c r="Q161" s="4">
        <v>0</v>
      </c>
    </row>
    <row r="162" spans="1:17" x14ac:dyDescent="0.25">
      <c r="A162" s="2" t="s">
        <v>3199</v>
      </c>
      <c r="B162" s="3" t="s">
        <v>5015</v>
      </c>
      <c r="C162" s="3">
        <v>31</v>
      </c>
      <c r="D162" s="46" t="str">
        <f>IF(Tabla1[[#This Row],[EDAD]]&lt;=35,"Adultos jóvenes 18 - 35 años",IF(C162&gt;=36,"Adultos mayores 36 años en adelante"))</f>
        <v>Adultos jóvenes 18 - 35 años</v>
      </c>
      <c r="E162" s="3" t="s">
        <v>5018</v>
      </c>
      <c r="F162" s="3" t="s">
        <v>5030</v>
      </c>
      <c r="G162" s="3" t="s">
        <v>5036</v>
      </c>
      <c r="H162" s="3" t="s">
        <v>8222</v>
      </c>
      <c r="I162" s="17">
        <v>45521</v>
      </c>
      <c r="J162" s="18">
        <f>YEAR(Tabla1[[#This Row],[FECHA DE COMPRA]])</f>
        <v>2024</v>
      </c>
      <c r="K162" s="19">
        <v>128.76</v>
      </c>
      <c r="L162" s="20">
        <v>0.1</v>
      </c>
      <c r="M162" s="19">
        <f>Tienda!$K430-Tienda!$K430*Tienda!$L430</f>
        <v>15.896000000000001</v>
      </c>
      <c r="N162" s="3" t="s">
        <v>10039</v>
      </c>
      <c r="O162" s="3" t="s">
        <v>10041</v>
      </c>
      <c r="P162" s="17">
        <v>45521</v>
      </c>
      <c r="Q162" s="4">
        <v>0</v>
      </c>
    </row>
    <row r="163" spans="1:17" x14ac:dyDescent="0.25">
      <c r="A163" s="2" t="s">
        <v>4521</v>
      </c>
      <c r="B163" s="3" t="s">
        <v>5015</v>
      </c>
      <c r="C163" s="3">
        <v>22</v>
      </c>
      <c r="D163" s="46" t="str">
        <f>IF(Tabla1[[#This Row],[EDAD]]&lt;=35,"Adultos jóvenes 18 - 35 años",IF(C163&gt;=36,"Adultos mayores 36 años en adelante"))</f>
        <v>Adultos jóvenes 18 - 35 años</v>
      </c>
      <c r="E163" s="3" t="s">
        <v>5018</v>
      </c>
      <c r="F163" s="3" t="s">
        <v>5025</v>
      </c>
      <c r="G163" s="3" t="s">
        <v>5031</v>
      </c>
      <c r="H163" s="3" t="s">
        <v>9544</v>
      </c>
      <c r="I163" s="17">
        <v>45523</v>
      </c>
      <c r="J163" s="18">
        <f>YEAR(Tabla1[[#This Row],[FECHA DE COMPRA]])</f>
        <v>2024</v>
      </c>
      <c r="K163" s="19">
        <v>187.99</v>
      </c>
      <c r="L163" s="20">
        <v>0.2</v>
      </c>
      <c r="M163" s="19">
        <f>Tienda!$K437-Tienda!$K437*Tienda!$L437</f>
        <v>64.152000000000001</v>
      </c>
      <c r="N163" s="3" t="s">
        <v>10039</v>
      </c>
      <c r="O163" s="3" t="s">
        <v>10041</v>
      </c>
      <c r="P163" s="17">
        <v>45523</v>
      </c>
      <c r="Q163" s="4">
        <v>0</v>
      </c>
    </row>
    <row r="164" spans="1:17" x14ac:dyDescent="0.25">
      <c r="A164" s="2" t="s">
        <v>3134</v>
      </c>
      <c r="B164" s="3" t="s">
        <v>5016</v>
      </c>
      <c r="C164" s="3">
        <v>35</v>
      </c>
      <c r="D164" s="46" t="str">
        <f>IF(Tabla1[[#This Row],[EDAD]]&lt;=35,"Adultos jóvenes 18 - 35 años",IF(C164&gt;=36,"Adultos mayores 36 años en adelante"))</f>
        <v>Adultos jóvenes 18 - 35 años</v>
      </c>
      <c r="E164" s="3" t="s">
        <v>5021</v>
      </c>
      <c r="F164" s="3" t="s">
        <v>5026</v>
      </c>
      <c r="G164" s="3" t="s">
        <v>5033</v>
      </c>
      <c r="H164" s="3" t="s">
        <v>8157</v>
      </c>
      <c r="I164" s="17">
        <v>45524</v>
      </c>
      <c r="J164" s="18">
        <f>YEAR(Tabla1[[#This Row],[FECHA DE COMPRA]])</f>
        <v>2024</v>
      </c>
      <c r="K164" s="19">
        <v>16.670000000000002</v>
      </c>
      <c r="L164" s="20">
        <v>0</v>
      </c>
      <c r="M164" s="19">
        <f>Tienda!$K438-Tienda!$K438*Tienda!$L438</f>
        <v>66.256</v>
      </c>
      <c r="N164" s="3" t="s">
        <v>10039</v>
      </c>
      <c r="O164" s="3" t="s">
        <v>10041</v>
      </c>
      <c r="P164" s="17">
        <v>45524</v>
      </c>
      <c r="Q164" s="4">
        <v>0</v>
      </c>
    </row>
    <row r="165" spans="1:17" x14ac:dyDescent="0.25">
      <c r="A165" s="2" t="s">
        <v>2260</v>
      </c>
      <c r="B165" s="3" t="s">
        <v>5015</v>
      </c>
      <c r="C165" s="3">
        <v>34</v>
      </c>
      <c r="D165" s="46" t="str">
        <f>IF(Tabla1[[#This Row],[EDAD]]&lt;=35,"Adultos jóvenes 18 - 35 años",IF(C165&gt;=36,"Adultos mayores 36 años en adelante"))</f>
        <v>Adultos jóvenes 18 - 35 años</v>
      </c>
      <c r="E165" s="3" t="s">
        <v>5022</v>
      </c>
      <c r="F165" s="3" t="s">
        <v>5030</v>
      </c>
      <c r="G165" s="3" t="s">
        <v>5037</v>
      </c>
      <c r="H165" s="3" t="s">
        <v>7283</v>
      </c>
      <c r="I165" s="17">
        <v>45524</v>
      </c>
      <c r="J165" s="18">
        <f>YEAR(Tabla1[[#This Row],[FECHA DE COMPRA]])</f>
        <v>2024</v>
      </c>
      <c r="K165" s="19">
        <v>18.87</v>
      </c>
      <c r="L165" s="20">
        <v>0</v>
      </c>
      <c r="M165" s="19">
        <f>Tienda!$K439-Tienda!$K439*Tienda!$L439</f>
        <v>81.062999999999988</v>
      </c>
      <c r="N165" s="3" t="s">
        <v>10039</v>
      </c>
      <c r="O165" s="3" t="s">
        <v>10041</v>
      </c>
      <c r="P165" s="17">
        <v>45524</v>
      </c>
      <c r="Q165" s="4">
        <v>0</v>
      </c>
    </row>
    <row r="166" spans="1:17" x14ac:dyDescent="0.25">
      <c r="A166" s="2" t="s">
        <v>1568</v>
      </c>
      <c r="B166" s="3" t="s">
        <v>5016</v>
      </c>
      <c r="C166" s="3">
        <v>30</v>
      </c>
      <c r="D166" s="46" t="str">
        <f>IF(Tabla1[[#This Row],[EDAD]]&lt;=35,"Adultos jóvenes 18 - 35 años",IF(C166&gt;=36,"Adultos mayores 36 años en adelante"))</f>
        <v>Adultos jóvenes 18 - 35 años</v>
      </c>
      <c r="E166" s="3" t="s">
        <v>5023</v>
      </c>
      <c r="F166" s="3" t="s">
        <v>5030</v>
      </c>
      <c r="G166" s="3" t="s">
        <v>5034</v>
      </c>
      <c r="H166" s="3" t="s">
        <v>6591</v>
      </c>
      <c r="I166" s="17">
        <v>45524</v>
      </c>
      <c r="J166" s="18">
        <f>YEAR(Tabla1[[#This Row],[FECHA DE COMPRA]])</f>
        <v>2024</v>
      </c>
      <c r="K166" s="19">
        <v>19.47</v>
      </c>
      <c r="L166" s="20">
        <v>0.2</v>
      </c>
      <c r="M166" s="19">
        <f>Tienda!$K440-Tienda!$K440*Tienda!$L440</f>
        <v>84.698999999999998</v>
      </c>
      <c r="N166" s="3" t="s">
        <v>10039</v>
      </c>
      <c r="O166" s="3" t="s">
        <v>10041</v>
      </c>
      <c r="P166" s="17">
        <v>45524</v>
      </c>
      <c r="Q166" s="4">
        <v>0</v>
      </c>
    </row>
    <row r="167" spans="1:17" x14ac:dyDescent="0.25">
      <c r="A167" s="2" t="s">
        <v>3221</v>
      </c>
      <c r="B167" s="3" t="s">
        <v>5015</v>
      </c>
      <c r="C167" s="3">
        <v>26</v>
      </c>
      <c r="D167" s="46" t="str">
        <f>IF(Tabla1[[#This Row],[EDAD]]&lt;=35,"Adultos jóvenes 18 - 35 años",IF(C167&gt;=36,"Adultos mayores 36 años en adelante"))</f>
        <v>Adultos jóvenes 18 - 35 años</v>
      </c>
      <c r="E167" s="3" t="s">
        <v>5023</v>
      </c>
      <c r="F167" s="3" t="s">
        <v>5029</v>
      </c>
      <c r="G167" s="3" t="s">
        <v>5037</v>
      </c>
      <c r="H167" s="3" t="s">
        <v>8244</v>
      </c>
      <c r="I167" s="17">
        <v>45524</v>
      </c>
      <c r="J167" s="18">
        <f>YEAR(Tabla1[[#This Row],[FECHA DE COMPRA]])</f>
        <v>2024</v>
      </c>
      <c r="K167" s="19">
        <v>144.19</v>
      </c>
      <c r="L167" s="20">
        <v>0</v>
      </c>
      <c r="M167" s="19">
        <f>Tienda!$K441-Tienda!$K441*Tienda!$L441</f>
        <v>96.74</v>
      </c>
      <c r="N167" s="3" t="s">
        <v>10039</v>
      </c>
      <c r="O167" s="3" t="s">
        <v>10041</v>
      </c>
      <c r="P167" s="17">
        <v>45524</v>
      </c>
      <c r="Q167" s="4">
        <v>0</v>
      </c>
    </row>
    <row r="168" spans="1:17" x14ac:dyDescent="0.25">
      <c r="A168" s="2" t="s">
        <v>3539</v>
      </c>
      <c r="B168" s="3" t="s">
        <v>5016</v>
      </c>
      <c r="C168" s="3">
        <v>35</v>
      </c>
      <c r="D168" s="46" t="str">
        <f>IF(Tabla1[[#This Row],[EDAD]]&lt;=35,"Adultos jóvenes 18 - 35 años",IF(C168&gt;=36,"Adultos mayores 36 años en adelante"))</f>
        <v>Adultos jóvenes 18 - 35 años</v>
      </c>
      <c r="E168" s="3" t="s">
        <v>5019</v>
      </c>
      <c r="F168" s="3" t="s">
        <v>5024</v>
      </c>
      <c r="G168" s="3" t="s">
        <v>5032</v>
      </c>
      <c r="H168" s="3" t="s">
        <v>8562</v>
      </c>
      <c r="I168" s="17">
        <v>45525</v>
      </c>
      <c r="J168" s="18">
        <f>YEAR(Tabla1[[#This Row],[FECHA DE COMPRA]])</f>
        <v>2024</v>
      </c>
      <c r="K168" s="19">
        <v>101.31</v>
      </c>
      <c r="L168" s="20">
        <v>0.1</v>
      </c>
      <c r="M168" s="19">
        <f>Tienda!$K447-Tienda!$K447*Tienda!$L447</f>
        <v>100.881</v>
      </c>
      <c r="N168" s="3" t="s">
        <v>10039</v>
      </c>
      <c r="O168" s="3" t="s">
        <v>10041</v>
      </c>
      <c r="P168" s="17">
        <v>45525</v>
      </c>
      <c r="Q168" s="4">
        <v>0</v>
      </c>
    </row>
    <row r="169" spans="1:17" x14ac:dyDescent="0.25">
      <c r="A169" s="2" t="s">
        <v>507</v>
      </c>
      <c r="B169" s="3" t="s">
        <v>5015</v>
      </c>
      <c r="C169" s="3">
        <v>28</v>
      </c>
      <c r="D169" s="46" t="str">
        <f>IF(Tabla1[[#This Row],[EDAD]]&lt;=35,"Adultos jóvenes 18 - 35 años",IF(C169&gt;=36,"Adultos mayores 36 años en adelante"))</f>
        <v>Adultos jóvenes 18 - 35 años</v>
      </c>
      <c r="E169" s="3" t="s">
        <v>5018</v>
      </c>
      <c r="F169" s="3" t="s">
        <v>5029</v>
      </c>
      <c r="G169" s="3" t="s">
        <v>5031</v>
      </c>
      <c r="H169" s="3" t="s">
        <v>5530</v>
      </c>
      <c r="I169" s="17">
        <v>45529</v>
      </c>
      <c r="J169" s="18">
        <f>YEAR(Tabla1[[#This Row],[FECHA DE COMPRA]])</f>
        <v>2024</v>
      </c>
      <c r="K169" s="19">
        <v>14.82</v>
      </c>
      <c r="L169" s="20">
        <v>0.3</v>
      </c>
      <c r="M169" s="19">
        <f>Tienda!$K456-Tienda!$K456*Tienda!$L456</f>
        <v>129.35300000000001</v>
      </c>
      <c r="N169" s="3" t="s">
        <v>10039</v>
      </c>
      <c r="O169" s="3" t="s">
        <v>10041</v>
      </c>
      <c r="P169" s="17">
        <v>45529</v>
      </c>
      <c r="Q169" s="4">
        <v>0</v>
      </c>
    </row>
    <row r="170" spans="1:17" x14ac:dyDescent="0.25">
      <c r="A170" s="2" t="s">
        <v>195</v>
      </c>
      <c r="B170" s="3" t="s">
        <v>5016</v>
      </c>
      <c r="C170" s="3">
        <v>28</v>
      </c>
      <c r="D170" s="46" t="str">
        <f>IF(Tabla1[[#This Row],[EDAD]]&lt;=35,"Adultos jóvenes 18 - 35 años",IF(C170&gt;=36,"Adultos mayores 36 años en adelante"))</f>
        <v>Adultos jóvenes 18 - 35 años</v>
      </c>
      <c r="E170" s="3" t="s">
        <v>5017</v>
      </c>
      <c r="F170" s="3" t="s">
        <v>5027</v>
      </c>
      <c r="G170" s="3" t="s">
        <v>5034</v>
      </c>
      <c r="H170" s="3" t="s">
        <v>5218</v>
      </c>
      <c r="I170" s="17">
        <v>45529</v>
      </c>
      <c r="J170" s="18">
        <f>YEAR(Tabla1[[#This Row],[FECHA DE COMPRA]])</f>
        <v>2024</v>
      </c>
      <c r="K170" s="19">
        <v>68.56</v>
      </c>
      <c r="L170" s="20">
        <v>0.1</v>
      </c>
      <c r="M170" s="19">
        <f>Tienda!$K458-Tienda!$K458*Tienda!$L458</f>
        <v>130.739</v>
      </c>
      <c r="N170" s="3" t="s">
        <v>10039</v>
      </c>
      <c r="O170" s="3" t="s">
        <v>10041</v>
      </c>
      <c r="P170" s="17">
        <v>45529</v>
      </c>
      <c r="Q170" s="4">
        <v>0</v>
      </c>
    </row>
    <row r="171" spans="1:17" x14ac:dyDescent="0.25">
      <c r="A171" s="2" t="s">
        <v>2221</v>
      </c>
      <c r="B171" s="3" t="s">
        <v>5016</v>
      </c>
      <c r="C171" s="3">
        <v>29</v>
      </c>
      <c r="D171" s="46" t="str">
        <f>IF(Tabla1[[#This Row],[EDAD]]&lt;=35,"Adultos jóvenes 18 - 35 años",IF(C171&gt;=36,"Adultos mayores 36 años en adelante"))</f>
        <v>Adultos jóvenes 18 - 35 años</v>
      </c>
      <c r="E171" s="3" t="s">
        <v>5017</v>
      </c>
      <c r="F171" s="3" t="s">
        <v>5029</v>
      </c>
      <c r="G171" s="3" t="s">
        <v>5035</v>
      </c>
      <c r="H171" s="3" t="s">
        <v>7244</v>
      </c>
      <c r="I171" s="17">
        <v>45529</v>
      </c>
      <c r="J171" s="18">
        <f>YEAR(Tabla1[[#This Row],[FECHA DE COMPRA]])</f>
        <v>2024</v>
      </c>
      <c r="K171" s="19">
        <v>137.66999999999999</v>
      </c>
      <c r="L171" s="20">
        <v>0.3</v>
      </c>
      <c r="M171" s="19">
        <f>Tienda!$K459-Tienda!$K459*Tienda!$L459</f>
        <v>133.94499999999999</v>
      </c>
      <c r="N171" s="3" t="s">
        <v>10039</v>
      </c>
      <c r="O171" s="3" t="s">
        <v>10041</v>
      </c>
      <c r="P171" s="17">
        <v>45529</v>
      </c>
      <c r="Q171" s="4">
        <v>0</v>
      </c>
    </row>
    <row r="172" spans="1:17" x14ac:dyDescent="0.25">
      <c r="A172" s="2" t="s">
        <v>2565</v>
      </c>
      <c r="B172" s="3" t="s">
        <v>5015</v>
      </c>
      <c r="C172" s="3">
        <v>18</v>
      </c>
      <c r="D172" s="46" t="str">
        <f>IF(Tabla1[[#This Row],[EDAD]]&lt;=35,"Adultos jóvenes 18 - 35 años",IF(C172&gt;=36,"Adultos mayores 36 años en adelante"))</f>
        <v>Adultos jóvenes 18 - 35 años</v>
      </c>
      <c r="E172" s="3" t="s">
        <v>5020</v>
      </c>
      <c r="F172" s="3" t="s">
        <v>5027</v>
      </c>
      <c r="G172" s="3" t="s">
        <v>5033</v>
      </c>
      <c r="H172" s="3" t="s">
        <v>7588</v>
      </c>
      <c r="I172" s="17">
        <v>45529</v>
      </c>
      <c r="J172" s="18">
        <f>YEAR(Tabla1[[#This Row],[FECHA DE COMPRA]])</f>
        <v>2024</v>
      </c>
      <c r="K172" s="19">
        <v>151.93</v>
      </c>
      <c r="L172" s="20">
        <v>0</v>
      </c>
      <c r="M172" s="19">
        <f>Tienda!$K460-Tienda!$K460*Tienda!$L460</f>
        <v>154.376</v>
      </c>
      <c r="N172" s="3" t="s">
        <v>10039</v>
      </c>
      <c r="O172" s="3" t="s">
        <v>10041</v>
      </c>
      <c r="P172" s="17">
        <v>45529</v>
      </c>
      <c r="Q172" s="4">
        <v>0</v>
      </c>
    </row>
    <row r="173" spans="1:17" x14ac:dyDescent="0.25">
      <c r="A173" s="2" t="s">
        <v>2987</v>
      </c>
      <c r="B173" s="3" t="s">
        <v>5015</v>
      </c>
      <c r="C173" s="3">
        <v>21</v>
      </c>
      <c r="D173" s="46" t="str">
        <f>IF(Tabla1[[#This Row],[EDAD]]&lt;=35,"Adultos jóvenes 18 - 35 años",IF(C173&gt;=36,"Adultos mayores 36 años en adelante"))</f>
        <v>Adultos jóvenes 18 - 35 años</v>
      </c>
      <c r="E173" s="3" t="s">
        <v>5020</v>
      </c>
      <c r="F173" s="3" t="s">
        <v>5026</v>
      </c>
      <c r="G173" s="3" t="s">
        <v>5037</v>
      </c>
      <c r="H173" s="3" t="s">
        <v>8010</v>
      </c>
      <c r="I173" s="17">
        <v>45530</v>
      </c>
      <c r="J173" s="18">
        <f>YEAR(Tabla1[[#This Row],[FECHA DE COMPRA]])</f>
        <v>2024</v>
      </c>
      <c r="K173" s="19">
        <v>88.1</v>
      </c>
      <c r="L173" s="20">
        <v>0.1</v>
      </c>
      <c r="M173" s="19">
        <f>Tienda!$K461-Tienda!$K461*Tienda!$L461</f>
        <v>197.65</v>
      </c>
      <c r="N173" s="3" t="s">
        <v>10039</v>
      </c>
      <c r="O173" s="3" t="s">
        <v>10041</v>
      </c>
      <c r="P173" s="17">
        <v>45530</v>
      </c>
      <c r="Q173" s="4">
        <v>0</v>
      </c>
    </row>
    <row r="174" spans="1:17" x14ac:dyDescent="0.25">
      <c r="A174" s="2" t="s">
        <v>3845</v>
      </c>
      <c r="B174" s="3" t="s">
        <v>5015</v>
      </c>
      <c r="C174" s="3">
        <v>28</v>
      </c>
      <c r="D174" s="46" t="str">
        <f>IF(Tabla1[[#This Row],[EDAD]]&lt;=35,"Adultos jóvenes 18 - 35 años",IF(C174&gt;=36,"Adultos mayores 36 años en adelante"))</f>
        <v>Adultos jóvenes 18 - 35 años</v>
      </c>
      <c r="E174" s="3" t="s">
        <v>5019</v>
      </c>
      <c r="F174" s="3" t="s">
        <v>5026</v>
      </c>
      <c r="G174" s="3" t="s">
        <v>5031</v>
      </c>
      <c r="H174" s="3" t="s">
        <v>8868</v>
      </c>
      <c r="I174" s="17">
        <v>45531</v>
      </c>
      <c r="J174" s="18">
        <f>YEAR(Tabla1[[#This Row],[FECHA DE COMPRA]])</f>
        <v>2024</v>
      </c>
      <c r="K174" s="19">
        <v>140.53</v>
      </c>
      <c r="L174" s="20">
        <v>0.3</v>
      </c>
      <c r="M174" s="19">
        <f>Tienda!$K464-Tienda!$K464*Tienda!$L464</f>
        <v>12.291999999999998</v>
      </c>
      <c r="N174" s="3" t="s">
        <v>10039</v>
      </c>
      <c r="O174" s="3" t="s">
        <v>10041</v>
      </c>
      <c r="P174" s="17">
        <v>45531</v>
      </c>
      <c r="Q174" s="4">
        <v>0</v>
      </c>
    </row>
    <row r="175" spans="1:17" x14ac:dyDescent="0.25">
      <c r="A175" s="2" t="s">
        <v>3391</v>
      </c>
      <c r="B175" s="3" t="s">
        <v>5015</v>
      </c>
      <c r="C175" s="3">
        <v>33</v>
      </c>
      <c r="D175" s="46" t="str">
        <f>IF(Tabla1[[#This Row],[EDAD]]&lt;=35,"Adultos jóvenes 18 - 35 años",IF(C175&gt;=36,"Adultos mayores 36 años en adelante"))</f>
        <v>Adultos jóvenes 18 - 35 años</v>
      </c>
      <c r="E175" s="3" t="s">
        <v>5020</v>
      </c>
      <c r="F175" s="3" t="s">
        <v>5025</v>
      </c>
      <c r="G175" s="3" t="s">
        <v>5035</v>
      </c>
      <c r="H175" s="3" t="s">
        <v>8414</v>
      </c>
      <c r="I175" s="17">
        <v>45531</v>
      </c>
      <c r="J175" s="18">
        <f>YEAR(Tabla1[[#This Row],[FECHA DE COMPRA]])</f>
        <v>2024</v>
      </c>
      <c r="K175" s="19">
        <v>156.38999999999999</v>
      </c>
      <c r="L175" s="20">
        <v>0</v>
      </c>
      <c r="M175" s="19">
        <f>Tienda!$K466-Tienda!$K466*Tienda!$L466</f>
        <v>41.54</v>
      </c>
      <c r="N175" s="3" t="s">
        <v>10039</v>
      </c>
      <c r="O175" s="3" t="s">
        <v>10041</v>
      </c>
      <c r="P175" s="17">
        <v>45531</v>
      </c>
      <c r="Q175" s="4">
        <v>0</v>
      </c>
    </row>
    <row r="176" spans="1:17" x14ac:dyDescent="0.25">
      <c r="A176" s="2" t="s">
        <v>3531</v>
      </c>
      <c r="B176" s="3" t="s">
        <v>5015</v>
      </c>
      <c r="C176" s="3">
        <v>34</v>
      </c>
      <c r="D176" s="46" t="str">
        <f>IF(Tabla1[[#This Row],[EDAD]]&lt;=35,"Adultos jóvenes 18 - 35 años",IF(C176&gt;=36,"Adultos mayores 36 años en adelante"))</f>
        <v>Adultos jóvenes 18 - 35 años</v>
      </c>
      <c r="E176" s="3" t="s">
        <v>5018</v>
      </c>
      <c r="F176" s="3" t="s">
        <v>5027</v>
      </c>
      <c r="G176" s="3" t="s">
        <v>5037</v>
      </c>
      <c r="H176" s="3" t="s">
        <v>8554</v>
      </c>
      <c r="I176" s="17">
        <v>45532</v>
      </c>
      <c r="J176" s="18">
        <f>YEAR(Tabla1[[#This Row],[FECHA DE COMPRA]])</f>
        <v>2024</v>
      </c>
      <c r="K176" s="19">
        <v>26.41</v>
      </c>
      <c r="L176" s="20">
        <v>0.2</v>
      </c>
      <c r="M176" s="19">
        <f>Tienda!$K467-Tienda!$K467*Tienda!$L467</f>
        <v>39.635999999999996</v>
      </c>
      <c r="N176" s="3" t="s">
        <v>10039</v>
      </c>
      <c r="O176" s="3" t="s">
        <v>10041</v>
      </c>
      <c r="P176" s="17">
        <v>45532</v>
      </c>
      <c r="Q176" s="4">
        <v>0</v>
      </c>
    </row>
    <row r="177" spans="1:17" x14ac:dyDescent="0.25">
      <c r="A177" s="2" t="s">
        <v>2195</v>
      </c>
      <c r="B177" s="3" t="s">
        <v>5015</v>
      </c>
      <c r="C177" s="3">
        <v>24</v>
      </c>
      <c r="D177" s="46" t="str">
        <f>IF(Tabla1[[#This Row],[EDAD]]&lt;=35,"Adultos jóvenes 18 - 35 años",IF(C177&gt;=36,"Adultos mayores 36 años en adelante"))</f>
        <v>Adultos jóvenes 18 - 35 años</v>
      </c>
      <c r="E177" s="3" t="s">
        <v>5017</v>
      </c>
      <c r="F177" s="3" t="s">
        <v>5026</v>
      </c>
      <c r="G177" s="3" t="s">
        <v>5031</v>
      </c>
      <c r="H177" s="3" t="s">
        <v>7218</v>
      </c>
      <c r="I177" s="17">
        <v>45532</v>
      </c>
      <c r="J177" s="18">
        <f>YEAR(Tabla1[[#This Row],[FECHA DE COMPRA]])</f>
        <v>2024</v>
      </c>
      <c r="K177" s="19">
        <v>119.03</v>
      </c>
      <c r="L177" s="20">
        <v>0</v>
      </c>
      <c r="M177" s="19">
        <f>Tienda!$K469-Tienda!$K469*Tienda!$L469</f>
        <v>82.332000000000008</v>
      </c>
      <c r="N177" s="3" t="s">
        <v>10039</v>
      </c>
      <c r="O177" s="3" t="s">
        <v>10041</v>
      </c>
      <c r="P177" s="17">
        <v>45532</v>
      </c>
      <c r="Q177" s="4">
        <v>0</v>
      </c>
    </row>
    <row r="178" spans="1:17" x14ac:dyDescent="0.25">
      <c r="A178" s="2" t="s">
        <v>1958</v>
      </c>
      <c r="B178" s="3" t="s">
        <v>5016</v>
      </c>
      <c r="C178" s="3">
        <v>31</v>
      </c>
      <c r="D178" s="46" t="str">
        <f>IF(Tabla1[[#This Row],[EDAD]]&lt;=35,"Adultos jóvenes 18 - 35 años",IF(C178&gt;=36,"Adultos mayores 36 años en adelante"))</f>
        <v>Adultos jóvenes 18 - 35 años</v>
      </c>
      <c r="E178" s="3" t="s">
        <v>5021</v>
      </c>
      <c r="F178" s="3" t="s">
        <v>5028</v>
      </c>
      <c r="G178" s="3" t="s">
        <v>5033</v>
      </c>
      <c r="H178" s="3" t="s">
        <v>6981</v>
      </c>
      <c r="I178" s="17">
        <v>45534</v>
      </c>
      <c r="J178" s="18">
        <f>YEAR(Tabla1[[#This Row],[FECHA DE COMPRA]])</f>
        <v>2024</v>
      </c>
      <c r="K178" s="19">
        <v>146.86000000000001</v>
      </c>
      <c r="L178" s="20">
        <v>0.3</v>
      </c>
      <c r="M178" s="19">
        <f>Tienda!$K472-Tienda!$K472*Tienda!$L472</f>
        <v>116.80199999999999</v>
      </c>
      <c r="N178" s="3" t="s">
        <v>10039</v>
      </c>
      <c r="O178" s="3" t="s">
        <v>10041</v>
      </c>
      <c r="P178" s="17">
        <v>45534</v>
      </c>
      <c r="Q178" s="4">
        <v>0</v>
      </c>
    </row>
    <row r="179" spans="1:17" x14ac:dyDescent="0.25">
      <c r="A179" s="2" t="s">
        <v>1867</v>
      </c>
      <c r="B179" s="3" t="s">
        <v>5015</v>
      </c>
      <c r="C179" s="3">
        <v>32</v>
      </c>
      <c r="D179" s="46" t="str">
        <f>IF(Tabla1[[#This Row],[EDAD]]&lt;=35,"Adultos jóvenes 18 - 35 años",IF(C179&gt;=36,"Adultos mayores 36 años en adelante"))</f>
        <v>Adultos jóvenes 18 - 35 años</v>
      </c>
      <c r="E179" s="3" t="s">
        <v>5022</v>
      </c>
      <c r="F179" s="3" t="s">
        <v>5026</v>
      </c>
      <c r="G179" s="3" t="s">
        <v>5033</v>
      </c>
      <c r="H179" s="3" t="s">
        <v>6890</v>
      </c>
      <c r="I179" s="17">
        <v>45535</v>
      </c>
      <c r="J179" s="18">
        <f>YEAR(Tabla1[[#This Row],[FECHA DE COMPRA]])</f>
        <v>2024</v>
      </c>
      <c r="K179" s="19">
        <v>26.33</v>
      </c>
      <c r="L179" s="20">
        <v>0.3</v>
      </c>
      <c r="M179" s="19">
        <f>Tienda!$K473-Tienda!$K473*Tienda!$L473</f>
        <v>126.94500000000001</v>
      </c>
      <c r="N179" s="3" t="s">
        <v>10039</v>
      </c>
      <c r="O179" s="3" t="s">
        <v>10041</v>
      </c>
      <c r="P179" s="17">
        <v>45535</v>
      </c>
      <c r="Q179" s="4">
        <v>0</v>
      </c>
    </row>
    <row r="180" spans="1:17" x14ac:dyDescent="0.25">
      <c r="A180" s="2" t="s">
        <v>1945</v>
      </c>
      <c r="B180" s="3" t="s">
        <v>5015</v>
      </c>
      <c r="C180" s="3">
        <v>29</v>
      </c>
      <c r="D180" s="46" t="str">
        <f>IF(Tabla1[[#This Row],[EDAD]]&lt;=35,"Adultos jóvenes 18 - 35 años",IF(C180&gt;=36,"Adultos mayores 36 años en adelante"))</f>
        <v>Adultos jóvenes 18 - 35 años</v>
      </c>
      <c r="E180" s="3" t="s">
        <v>5022</v>
      </c>
      <c r="F180" s="3" t="s">
        <v>5025</v>
      </c>
      <c r="G180" s="3" t="s">
        <v>5032</v>
      </c>
      <c r="H180" s="3" t="s">
        <v>6968</v>
      </c>
      <c r="I180" s="17">
        <v>45535</v>
      </c>
      <c r="J180" s="18">
        <f>YEAR(Tabla1[[#This Row],[FECHA DE COMPRA]])</f>
        <v>2024</v>
      </c>
      <c r="K180" s="19">
        <v>192.15</v>
      </c>
      <c r="L180" s="20">
        <v>0</v>
      </c>
      <c r="M180" s="19">
        <f>Tienda!$K475-Tienda!$K475*Tienda!$L475</f>
        <v>136.24799999999999</v>
      </c>
      <c r="N180" s="3" t="s">
        <v>10039</v>
      </c>
      <c r="O180" s="3" t="s">
        <v>10041</v>
      </c>
      <c r="P180" s="17">
        <v>45535</v>
      </c>
      <c r="Q180" s="4">
        <v>0</v>
      </c>
    </row>
    <row r="181" spans="1:17" x14ac:dyDescent="0.25">
      <c r="A181" s="2" t="s">
        <v>3718</v>
      </c>
      <c r="B181" s="3" t="s">
        <v>5015</v>
      </c>
      <c r="C181" s="3">
        <v>34</v>
      </c>
      <c r="D181" s="46" t="str">
        <f>IF(Tabla1[[#This Row],[EDAD]]&lt;=35,"Adultos jóvenes 18 - 35 años",IF(C181&gt;=36,"Adultos mayores 36 años en adelante"))</f>
        <v>Adultos jóvenes 18 - 35 años</v>
      </c>
      <c r="E181" s="3" t="s">
        <v>5023</v>
      </c>
      <c r="F181" s="3" t="s">
        <v>5028</v>
      </c>
      <c r="G181" s="3" t="s">
        <v>5036</v>
      </c>
      <c r="H181" s="3" t="s">
        <v>8741</v>
      </c>
      <c r="I181" s="17">
        <v>45536</v>
      </c>
      <c r="J181" s="18">
        <f>YEAR(Tabla1[[#This Row],[FECHA DE COMPRA]])</f>
        <v>2024</v>
      </c>
      <c r="K181" s="19">
        <v>141.87</v>
      </c>
      <c r="L181" s="20">
        <v>0.2</v>
      </c>
      <c r="M181" s="19">
        <f>Tienda!$K477-Tienda!$K477*Tienda!$L477</f>
        <v>184.33</v>
      </c>
      <c r="N181" s="3" t="s">
        <v>10039</v>
      </c>
      <c r="O181" s="3" t="s">
        <v>10041</v>
      </c>
      <c r="P181" s="17">
        <v>45536</v>
      </c>
      <c r="Q181" s="4">
        <v>0</v>
      </c>
    </row>
    <row r="182" spans="1:17" x14ac:dyDescent="0.25">
      <c r="A182" s="2" t="s">
        <v>506</v>
      </c>
      <c r="B182" s="3" t="s">
        <v>5015</v>
      </c>
      <c r="C182" s="3">
        <v>19</v>
      </c>
      <c r="D182" s="46" t="str">
        <f>IF(Tabla1[[#This Row],[EDAD]]&lt;=35,"Adultos jóvenes 18 - 35 años",IF(C182&gt;=36,"Adultos mayores 36 años en adelante"))</f>
        <v>Adultos jóvenes 18 - 35 años</v>
      </c>
      <c r="E182" s="3" t="s">
        <v>5018</v>
      </c>
      <c r="F182" s="3" t="s">
        <v>5028</v>
      </c>
      <c r="G182" s="3" t="s">
        <v>5032</v>
      </c>
      <c r="H182" s="3" t="s">
        <v>5529</v>
      </c>
      <c r="I182" s="17">
        <v>45537</v>
      </c>
      <c r="J182" s="18">
        <f>YEAR(Tabla1[[#This Row],[FECHA DE COMPRA]])</f>
        <v>2024</v>
      </c>
      <c r="K182" s="19">
        <v>38.159999999999997</v>
      </c>
      <c r="L182" s="20">
        <v>0</v>
      </c>
      <c r="M182" s="19">
        <f>Tienda!$K479-Tienda!$K479*Tienda!$L479</f>
        <v>159.00799999999998</v>
      </c>
      <c r="N182" s="3" t="s">
        <v>10039</v>
      </c>
      <c r="O182" s="3" t="s">
        <v>10041</v>
      </c>
      <c r="P182" s="17">
        <v>45537</v>
      </c>
      <c r="Q182" s="4">
        <v>0</v>
      </c>
    </row>
    <row r="183" spans="1:17" x14ac:dyDescent="0.25">
      <c r="A183" s="2" t="s">
        <v>1336</v>
      </c>
      <c r="B183" s="3" t="s">
        <v>5015</v>
      </c>
      <c r="C183" s="3">
        <v>31</v>
      </c>
      <c r="D183" s="46" t="str">
        <f>IF(Tabla1[[#This Row],[EDAD]]&lt;=35,"Adultos jóvenes 18 - 35 años",IF(C183&gt;=36,"Adultos mayores 36 años en adelante"))</f>
        <v>Adultos jóvenes 18 - 35 años</v>
      </c>
      <c r="E183" s="3" t="s">
        <v>5019</v>
      </c>
      <c r="F183" s="3" t="s">
        <v>5030</v>
      </c>
      <c r="G183" s="3" t="s">
        <v>5037</v>
      </c>
      <c r="H183" s="3" t="s">
        <v>6359</v>
      </c>
      <c r="I183" s="17">
        <v>45537</v>
      </c>
      <c r="J183" s="18">
        <f>YEAR(Tabla1[[#This Row],[FECHA DE COMPRA]])</f>
        <v>2024</v>
      </c>
      <c r="K183" s="19">
        <v>67.989999999999995</v>
      </c>
      <c r="L183" s="20">
        <v>0.2</v>
      </c>
      <c r="M183" s="19">
        <f>Tienda!$K481-Tienda!$K481*Tienda!$L481</f>
        <v>8.3040000000000003</v>
      </c>
      <c r="N183" s="3" t="s">
        <v>10039</v>
      </c>
      <c r="O183" s="3" t="s">
        <v>10041</v>
      </c>
      <c r="P183" s="17">
        <v>45537</v>
      </c>
      <c r="Q183" s="4">
        <v>0</v>
      </c>
    </row>
    <row r="184" spans="1:17" x14ac:dyDescent="0.25">
      <c r="A184" s="2" t="s">
        <v>1923</v>
      </c>
      <c r="B184" s="3" t="s">
        <v>5015</v>
      </c>
      <c r="C184" s="3">
        <v>27</v>
      </c>
      <c r="D184" s="46" t="str">
        <f>IF(Tabla1[[#This Row],[EDAD]]&lt;=35,"Adultos jóvenes 18 - 35 años",IF(C184&gt;=36,"Adultos mayores 36 años en adelante"))</f>
        <v>Adultos jóvenes 18 - 35 años</v>
      </c>
      <c r="E184" s="3" t="s">
        <v>5018</v>
      </c>
      <c r="F184" s="3" t="s">
        <v>5029</v>
      </c>
      <c r="G184" s="3" t="s">
        <v>5037</v>
      </c>
      <c r="H184" s="3" t="s">
        <v>6946</v>
      </c>
      <c r="I184" s="17">
        <v>45537</v>
      </c>
      <c r="J184" s="18">
        <f>YEAR(Tabla1[[#This Row],[FECHA DE COMPRA]])</f>
        <v>2024</v>
      </c>
      <c r="K184" s="19">
        <v>114.48</v>
      </c>
      <c r="L184" s="20">
        <v>0</v>
      </c>
      <c r="M184" s="19">
        <f>Tienda!$K482-Tienda!$K482*Tienda!$L482</f>
        <v>10.179</v>
      </c>
      <c r="N184" s="3" t="s">
        <v>10039</v>
      </c>
      <c r="O184" s="3" t="s">
        <v>10041</v>
      </c>
      <c r="P184" s="17">
        <v>45537</v>
      </c>
      <c r="Q184" s="4">
        <v>0</v>
      </c>
    </row>
    <row r="185" spans="1:17" x14ac:dyDescent="0.25">
      <c r="A185" s="2" t="s">
        <v>3312</v>
      </c>
      <c r="B185" s="3" t="s">
        <v>5015</v>
      </c>
      <c r="C185" s="3">
        <v>23</v>
      </c>
      <c r="D185" s="46" t="str">
        <f>IF(Tabla1[[#This Row],[EDAD]]&lt;=35,"Adultos jóvenes 18 - 35 años",IF(C185&gt;=36,"Adultos mayores 36 años en adelante"))</f>
        <v>Adultos jóvenes 18 - 35 años</v>
      </c>
      <c r="E185" s="3" t="s">
        <v>5021</v>
      </c>
      <c r="F185" s="3" t="s">
        <v>5025</v>
      </c>
      <c r="G185" s="3" t="s">
        <v>5034</v>
      </c>
      <c r="H185" s="3" t="s">
        <v>8335</v>
      </c>
      <c r="I185" s="17">
        <v>45537</v>
      </c>
      <c r="J185" s="18">
        <f>YEAR(Tabla1[[#This Row],[FECHA DE COMPRA]])</f>
        <v>2024</v>
      </c>
      <c r="K185" s="19">
        <v>152.86000000000001</v>
      </c>
      <c r="L185" s="20">
        <v>0.3</v>
      </c>
      <c r="M185" s="19">
        <f>Tienda!$K484-Tienda!$K484*Tienda!$L484</f>
        <v>10.87</v>
      </c>
      <c r="N185" s="3" t="s">
        <v>10039</v>
      </c>
      <c r="O185" s="3" t="s">
        <v>10041</v>
      </c>
      <c r="P185" s="17">
        <v>45537</v>
      </c>
      <c r="Q185" s="4">
        <v>0</v>
      </c>
    </row>
    <row r="186" spans="1:17" x14ac:dyDescent="0.25">
      <c r="A186" s="2" t="s">
        <v>574</v>
      </c>
      <c r="B186" s="3" t="s">
        <v>5016</v>
      </c>
      <c r="C186" s="3">
        <v>21</v>
      </c>
      <c r="D186" s="46" t="str">
        <f>IF(Tabla1[[#This Row],[EDAD]]&lt;=35,"Adultos jóvenes 18 - 35 años",IF(C186&gt;=36,"Adultos mayores 36 años en adelante"))</f>
        <v>Adultos jóvenes 18 - 35 años</v>
      </c>
      <c r="E186" s="3" t="s">
        <v>5017</v>
      </c>
      <c r="F186" s="3" t="s">
        <v>5028</v>
      </c>
      <c r="G186" s="3" t="s">
        <v>5031</v>
      </c>
      <c r="H186" s="3" t="s">
        <v>5597</v>
      </c>
      <c r="I186" s="17">
        <v>45539</v>
      </c>
      <c r="J186" s="18">
        <f>YEAR(Tabla1[[#This Row],[FECHA DE COMPRA]])</f>
        <v>2024</v>
      </c>
      <c r="K186" s="19">
        <v>131.08000000000001</v>
      </c>
      <c r="L186" s="20">
        <v>0.1</v>
      </c>
      <c r="M186" s="19">
        <f>Tienda!$K489-Tienda!$K489*Tienda!$L489</f>
        <v>15</v>
      </c>
      <c r="N186" s="3" t="s">
        <v>10039</v>
      </c>
      <c r="O186" s="3" t="s">
        <v>10041</v>
      </c>
      <c r="P186" s="17">
        <v>45539</v>
      </c>
      <c r="Q186" s="4">
        <v>0</v>
      </c>
    </row>
    <row r="187" spans="1:17" x14ac:dyDescent="0.25">
      <c r="A187" s="2" t="s">
        <v>2419</v>
      </c>
      <c r="B187" s="3" t="s">
        <v>5015</v>
      </c>
      <c r="C187" s="3">
        <v>20</v>
      </c>
      <c r="D187" s="46" t="str">
        <f>IF(Tabla1[[#This Row],[EDAD]]&lt;=35,"Adultos jóvenes 18 - 35 años",IF(C187&gt;=36,"Adultos mayores 36 años en adelante"))</f>
        <v>Adultos jóvenes 18 - 35 años</v>
      </c>
      <c r="E187" s="3" t="s">
        <v>5017</v>
      </c>
      <c r="F187" s="3" t="s">
        <v>5030</v>
      </c>
      <c r="G187" s="3" t="s">
        <v>5035</v>
      </c>
      <c r="H187" s="3" t="s">
        <v>7442</v>
      </c>
      <c r="I187" s="17">
        <v>45541</v>
      </c>
      <c r="J187" s="18">
        <f>YEAR(Tabla1[[#This Row],[FECHA DE COMPRA]])</f>
        <v>2024</v>
      </c>
      <c r="K187" s="19">
        <v>75.42</v>
      </c>
      <c r="L187" s="20">
        <v>0.1</v>
      </c>
      <c r="M187" s="19">
        <f>Tienda!$K494-Tienda!$K494*Tienda!$L494</f>
        <v>18.559999999999999</v>
      </c>
      <c r="N187" s="3" t="s">
        <v>10039</v>
      </c>
      <c r="O187" s="3" t="s">
        <v>10041</v>
      </c>
      <c r="P187" s="17">
        <v>45541</v>
      </c>
      <c r="Q187" s="4">
        <v>0</v>
      </c>
    </row>
    <row r="188" spans="1:17" x14ac:dyDescent="0.25">
      <c r="A188" s="2" t="s">
        <v>3547</v>
      </c>
      <c r="B188" s="3" t="s">
        <v>5015</v>
      </c>
      <c r="C188" s="3">
        <v>20</v>
      </c>
      <c r="D188" s="46" t="str">
        <f>IF(Tabla1[[#This Row],[EDAD]]&lt;=35,"Adultos jóvenes 18 - 35 años",IF(C188&gt;=36,"Adultos mayores 36 años en adelante"))</f>
        <v>Adultos jóvenes 18 - 35 años</v>
      </c>
      <c r="E188" s="3" t="s">
        <v>5017</v>
      </c>
      <c r="F188" s="3" t="s">
        <v>5026</v>
      </c>
      <c r="G188" s="3" t="s">
        <v>5035</v>
      </c>
      <c r="H188" s="3" t="s">
        <v>8570</v>
      </c>
      <c r="I188" s="17">
        <v>45541</v>
      </c>
      <c r="J188" s="18">
        <f>YEAR(Tabla1[[#This Row],[FECHA DE COMPRA]])</f>
        <v>2024</v>
      </c>
      <c r="K188" s="19">
        <v>169.8</v>
      </c>
      <c r="L188" s="20">
        <v>0</v>
      </c>
      <c r="M188" s="19">
        <f>Tienda!$K496-Tienda!$K496*Tienda!$L496</f>
        <v>20.37</v>
      </c>
      <c r="N188" s="3" t="s">
        <v>10039</v>
      </c>
      <c r="O188" s="3" t="s">
        <v>10041</v>
      </c>
      <c r="P188" s="17">
        <v>45541</v>
      </c>
      <c r="Q188" s="4">
        <v>0</v>
      </c>
    </row>
    <row r="189" spans="1:17" x14ac:dyDescent="0.25">
      <c r="A189" s="2" t="s">
        <v>619</v>
      </c>
      <c r="B189" s="3" t="s">
        <v>5015</v>
      </c>
      <c r="C189" s="3">
        <v>33</v>
      </c>
      <c r="D189" s="46" t="str">
        <f>IF(Tabla1[[#This Row],[EDAD]]&lt;=35,"Adultos jóvenes 18 - 35 años",IF(C189&gt;=36,"Adultos mayores 36 años en adelante"))</f>
        <v>Adultos jóvenes 18 - 35 años</v>
      </c>
      <c r="E189" s="3" t="s">
        <v>5019</v>
      </c>
      <c r="F189" s="3" t="s">
        <v>5028</v>
      </c>
      <c r="G189" s="3" t="s">
        <v>5032</v>
      </c>
      <c r="H189" s="3" t="s">
        <v>5642</v>
      </c>
      <c r="I189" s="17">
        <v>45543</v>
      </c>
      <c r="J189" s="18">
        <f>YEAR(Tabla1[[#This Row],[FECHA DE COMPRA]])</f>
        <v>2024</v>
      </c>
      <c r="K189" s="19">
        <v>156.38</v>
      </c>
      <c r="L189" s="20">
        <v>0.1</v>
      </c>
      <c r="M189" s="19">
        <f>Tienda!$K500-Tienda!$K500*Tienda!$L500</f>
        <v>27.007999999999999</v>
      </c>
      <c r="N189" s="3" t="s">
        <v>10039</v>
      </c>
      <c r="O189" s="3" t="s">
        <v>10041</v>
      </c>
      <c r="P189" s="17">
        <v>45543</v>
      </c>
      <c r="Q189" s="4">
        <v>0</v>
      </c>
    </row>
    <row r="190" spans="1:17" x14ac:dyDescent="0.25">
      <c r="A190" s="2" t="s">
        <v>4252</v>
      </c>
      <c r="B190" s="3" t="s">
        <v>5016</v>
      </c>
      <c r="C190" s="3">
        <v>26</v>
      </c>
      <c r="D190" s="46" t="str">
        <f>IF(Tabla1[[#This Row],[EDAD]]&lt;=35,"Adultos jóvenes 18 - 35 años",IF(C190&gt;=36,"Adultos mayores 36 años en adelante"))</f>
        <v>Adultos jóvenes 18 - 35 años</v>
      </c>
      <c r="E190" s="3" t="s">
        <v>5023</v>
      </c>
      <c r="F190" s="3" t="s">
        <v>5027</v>
      </c>
      <c r="G190" s="3" t="s">
        <v>5035</v>
      </c>
      <c r="H190" s="3" t="s">
        <v>9275</v>
      </c>
      <c r="I190" s="17">
        <v>45544</v>
      </c>
      <c r="J190" s="18">
        <f>YEAR(Tabla1[[#This Row],[FECHA DE COMPRA]])</f>
        <v>2024</v>
      </c>
      <c r="K190" s="19">
        <v>53.55</v>
      </c>
      <c r="L190" s="20">
        <v>0</v>
      </c>
      <c r="M190" s="19">
        <f>Tienda!$K502-Tienda!$K502*Tienda!$L502</f>
        <v>27.416000000000004</v>
      </c>
      <c r="N190" s="3" t="s">
        <v>10039</v>
      </c>
      <c r="O190" s="3" t="s">
        <v>10041</v>
      </c>
      <c r="P190" s="17">
        <v>45544</v>
      </c>
      <c r="Q190" s="4">
        <v>0</v>
      </c>
    </row>
    <row r="191" spans="1:17" x14ac:dyDescent="0.25">
      <c r="A191" s="2" t="s">
        <v>2450</v>
      </c>
      <c r="B191" s="3" t="s">
        <v>5016</v>
      </c>
      <c r="C191" s="3">
        <v>20</v>
      </c>
      <c r="D191" s="46" t="str">
        <f>IF(Tabla1[[#This Row],[EDAD]]&lt;=35,"Adultos jóvenes 18 - 35 años",IF(C191&gt;=36,"Adultos mayores 36 años en adelante"))</f>
        <v>Adultos jóvenes 18 - 35 años</v>
      </c>
      <c r="E191" s="3" t="s">
        <v>5019</v>
      </c>
      <c r="F191" s="3" t="s">
        <v>5030</v>
      </c>
      <c r="G191" s="3" t="s">
        <v>5032</v>
      </c>
      <c r="H191" s="3" t="s">
        <v>7473</v>
      </c>
      <c r="I191" s="17">
        <v>45544</v>
      </c>
      <c r="J191" s="18">
        <f>YEAR(Tabla1[[#This Row],[FECHA DE COMPRA]])</f>
        <v>2024</v>
      </c>
      <c r="K191" s="19">
        <v>158.62</v>
      </c>
      <c r="L191" s="20">
        <v>0.2</v>
      </c>
      <c r="M191" s="19">
        <f>Tienda!$K505-Tienda!$K505*Tienda!$L505</f>
        <v>27.992000000000001</v>
      </c>
      <c r="N191" s="3" t="s">
        <v>10039</v>
      </c>
      <c r="O191" s="3" t="s">
        <v>10041</v>
      </c>
      <c r="P191" s="17">
        <v>45544</v>
      </c>
      <c r="Q191" s="4">
        <v>0</v>
      </c>
    </row>
    <row r="192" spans="1:17" x14ac:dyDescent="0.25">
      <c r="A192" s="2" t="s">
        <v>4698</v>
      </c>
      <c r="B192" s="3" t="s">
        <v>5015</v>
      </c>
      <c r="C192" s="3">
        <v>18</v>
      </c>
      <c r="D192" s="46" t="str">
        <f>IF(Tabla1[[#This Row],[EDAD]]&lt;=35,"Adultos jóvenes 18 - 35 años",IF(C192&gt;=36,"Adultos mayores 36 años en adelante"))</f>
        <v>Adultos jóvenes 18 - 35 años</v>
      </c>
      <c r="E192" s="3" t="s">
        <v>5021</v>
      </c>
      <c r="F192" s="3" t="s">
        <v>5025</v>
      </c>
      <c r="G192" s="3" t="s">
        <v>5035</v>
      </c>
      <c r="H192" s="3" t="s">
        <v>9721</v>
      </c>
      <c r="I192" s="17">
        <v>45545</v>
      </c>
      <c r="J192" s="18">
        <f>YEAR(Tabla1[[#This Row],[FECHA DE COMPRA]])</f>
        <v>2024</v>
      </c>
      <c r="K192" s="19">
        <v>40.770000000000003</v>
      </c>
      <c r="L192" s="20">
        <v>0</v>
      </c>
      <c r="M192" s="19">
        <f>Tienda!$K506-Tienda!$K506*Tienda!$L506</f>
        <v>28.399000000000001</v>
      </c>
      <c r="N192" s="3" t="s">
        <v>10039</v>
      </c>
      <c r="O192" s="3" t="s">
        <v>10041</v>
      </c>
      <c r="P192" s="17">
        <v>45545</v>
      </c>
      <c r="Q192" s="4">
        <v>0</v>
      </c>
    </row>
    <row r="193" spans="1:17" x14ac:dyDescent="0.25">
      <c r="A193" s="2" t="s">
        <v>1559</v>
      </c>
      <c r="B193" s="3" t="s">
        <v>5015</v>
      </c>
      <c r="C193" s="3">
        <v>21</v>
      </c>
      <c r="D193" s="46" t="str">
        <f>IF(Tabla1[[#This Row],[EDAD]]&lt;=35,"Adultos jóvenes 18 - 35 años",IF(C193&gt;=36,"Adultos mayores 36 años en adelante"))</f>
        <v>Adultos jóvenes 18 - 35 años</v>
      </c>
      <c r="E193" s="3" t="s">
        <v>5018</v>
      </c>
      <c r="F193" s="3" t="s">
        <v>5029</v>
      </c>
      <c r="G193" s="3" t="s">
        <v>5032</v>
      </c>
      <c r="H193" s="3" t="s">
        <v>6582</v>
      </c>
      <c r="I193" s="17">
        <v>45545</v>
      </c>
      <c r="J193" s="18">
        <f>YEAR(Tabla1[[#This Row],[FECHA DE COMPRA]])</f>
        <v>2024</v>
      </c>
      <c r="K193" s="19">
        <v>161.54</v>
      </c>
      <c r="L193" s="20">
        <v>0.1</v>
      </c>
      <c r="M193" s="19">
        <f>Tienda!$K508-Tienda!$K508*Tienda!$L508</f>
        <v>30.495999999999999</v>
      </c>
      <c r="N193" s="3" t="s">
        <v>10039</v>
      </c>
      <c r="O193" s="3" t="s">
        <v>10041</v>
      </c>
      <c r="P193" s="17">
        <v>45545</v>
      </c>
      <c r="Q193" s="4">
        <v>0</v>
      </c>
    </row>
    <row r="194" spans="1:17" x14ac:dyDescent="0.25">
      <c r="A194" s="2" t="s">
        <v>3552</v>
      </c>
      <c r="B194" s="3" t="s">
        <v>5016</v>
      </c>
      <c r="C194" s="3">
        <v>29</v>
      </c>
      <c r="D194" s="46" t="str">
        <f>IF(Tabla1[[#This Row],[EDAD]]&lt;=35,"Adultos jóvenes 18 - 35 años",IF(C194&gt;=36,"Adultos mayores 36 años en adelante"))</f>
        <v>Adultos jóvenes 18 - 35 años</v>
      </c>
      <c r="E194" s="3" t="s">
        <v>5017</v>
      </c>
      <c r="F194" s="3" t="s">
        <v>5030</v>
      </c>
      <c r="G194" s="3" t="s">
        <v>5032</v>
      </c>
      <c r="H194" s="3" t="s">
        <v>8575</v>
      </c>
      <c r="I194" s="17">
        <v>45545</v>
      </c>
      <c r="J194" s="18">
        <f>YEAR(Tabla1[[#This Row],[FECHA DE COMPRA]])</f>
        <v>2024</v>
      </c>
      <c r="K194" s="19">
        <v>188.39</v>
      </c>
      <c r="L194" s="20">
        <v>0.3</v>
      </c>
      <c r="M194" s="19">
        <f>Tienda!$K509-Tienda!$K509*Tienda!$L509</f>
        <v>30.81</v>
      </c>
      <c r="N194" s="3" t="s">
        <v>10039</v>
      </c>
      <c r="O194" s="3" t="s">
        <v>10041</v>
      </c>
      <c r="P194" s="17">
        <v>45545</v>
      </c>
      <c r="Q194" s="4">
        <v>0</v>
      </c>
    </row>
    <row r="195" spans="1:17" x14ac:dyDescent="0.25">
      <c r="A195" s="2" t="s">
        <v>554</v>
      </c>
      <c r="B195" s="3" t="s">
        <v>5016</v>
      </c>
      <c r="C195" s="3">
        <v>20</v>
      </c>
      <c r="D195" s="46" t="str">
        <f>IF(Tabla1[[#This Row],[EDAD]]&lt;=35,"Adultos jóvenes 18 - 35 años",IF(C195&gt;=36,"Adultos mayores 36 años en adelante"))</f>
        <v>Adultos jóvenes 18 - 35 años</v>
      </c>
      <c r="E195" s="3" t="s">
        <v>5023</v>
      </c>
      <c r="F195" s="3" t="s">
        <v>5024</v>
      </c>
      <c r="G195" s="3" t="s">
        <v>5037</v>
      </c>
      <c r="H195" s="3" t="s">
        <v>5577</v>
      </c>
      <c r="I195" s="17">
        <v>45547</v>
      </c>
      <c r="J195" s="18">
        <f>YEAR(Tabla1[[#This Row],[FECHA DE COMPRA]])</f>
        <v>2024</v>
      </c>
      <c r="K195" s="19">
        <v>89.79</v>
      </c>
      <c r="L195" s="20">
        <v>0.3</v>
      </c>
      <c r="M195" s="19">
        <f>Tienda!$K513-Tienda!$K513*Tienda!$L513</f>
        <v>33.792000000000002</v>
      </c>
      <c r="N195" s="3" t="s">
        <v>10039</v>
      </c>
      <c r="O195" s="3" t="s">
        <v>10041</v>
      </c>
      <c r="P195" s="17">
        <v>45547</v>
      </c>
      <c r="Q195" s="4">
        <v>0</v>
      </c>
    </row>
    <row r="196" spans="1:17" x14ac:dyDescent="0.25">
      <c r="A196" s="2" t="s">
        <v>4820</v>
      </c>
      <c r="B196" s="3" t="s">
        <v>5015</v>
      </c>
      <c r="C196" s="3">
        <v>21</v>
      </c>
      <c r="D196" s="46" t="str">
        <f>IF(Tabla1[[#This Row],[EDAD]]&lt;=35,"Adultos jóvenes 18 - 35 años",IF(C196&gt;=36,"Adultos mayores 36 años en adelante"))</f>
        <v>Adultos jóvenes 18 - 35 años</v>
      </c>
      <c r="E196" s="3" t="s">
        <v>5020</v>
      </c>
      <c r="F196" s="3" t="s">
        <v>5029</v>
      </c>
      <c r="G196" s="3" t="s">
        <v>5035</v>
      </c>
      <c r="H196" s="3" t="s">
        <v>9843</v>
      </c>
      <c r="I196" s="17">
        <v>45547</v>
      </c>
      <c r="J196" s="18">
        <f>YEAR(Tabla1[[#This Row],[FECHA DE COMPRA]])</f>
        <v>2024</v>
      </c>
      <c r="K196" s="19">
        <v>155.31</v>
      </c>
      <c r="L196" s="20">
        <v>0</v>
      </c>
      <c r="M196" s="19">
        <f>Tienda!$K514-Tienda!$K514*Tienda!$L514</f>
        <v>34.152999999999999</v>
      </c>
      <c r="N196" s="3" t="s">
        <v>10039</v>
      </c>
      <c r="O196" s="3" t="s">
        <v>10041</v>
      </c>
      <c r="P196" s="17">
        <v>45547</v>
      </c>
      <c r="Q196" s="4">
        <v>0</v>
      </c>
    </row>
    <row r="197" spans="1:17" x14ac:dyDescent="0.25">
      <c r="A197" s="2" t="s">
        <v>2781</v>
      </c>
      <c r="B197" s="3" t="s">
        <v>5015</v>
      </c>
      <c r="C197" s="3">
        <v>22</v>
      </c>
      <c r="D197" s="46" t="str">
        <f>IF(Tabla1[[#This Row],[EDAD]]&lt;=35,"Adultos jóvenes 18 - 35 años",IF(C197&gt;=36,"Adultos mayores 36 años en adelante"))</f>
        <v>Adultos jóvenes 18 - 35 años</v>
      </c>
      <c r="E197" s="3" t="s">
        <v>5023</v>
      </c>
      <c r="F197" s="3" t="s">
        <v>5029</v>
      </c>
      <c r="G197" s="3" t="s">
        <v>5034</v>
      </c>
      <c r="H197" s="3" t="s">
        <v>7804</v>
      </c>
      <c r="I197" s="17">
        <v>45548</v>
      </c>
      <c r="J197" s="18">
        <f>YEAR(Tabla1[[#This Row],[FECHA DE COMPRA]])</f>
        <v>2024</v>
      </c>
      <c r="K197" s="19">
        <v>58.37</v>
      </c>
      <c r="L197" s="20">
        <v>0.1</v>
      </c>
      <c r="M197" s="19">
        <f>Tienda!$K516-Tienda!$K516*Tienda!$L516</f>
        <v>36.001000000000005</v>
      </c>
      <c r="N197" s="3" t="s">
        <v>10039</v>
      </c>
      <c r="O197" s="3" t="s">
        <v>10041</v>
      </c>
      <c r="P197" s="17">
        <v>45548</v>
      </c>
      <c r="Q197" s="4">
        <v>0</v>
      </c>
    </row>
    <row r="198" spans="1:17" x14ac:dyDescent="0.25">
      <c r="A198" s="2" t="s">
        <v>4970</v>
      </c>
      <c r="B198" s="3" t="s">
        <v>5015</v>
      </c>
      <c r="C198" s="3">
        <v>24</v>
      </c>
      <c r="D198" s="46" t="str">
        <f>IF(Tabla1[[#This Row],[EDAD]]&lt;=35,"Adultos jóvenes 18 - 35 años",IF(C198&gt;=36,"Adultos mayores 36 años en adelante"))</f>
        <v>Adultos jóvenes 18 - 35 años</v>
      </c>
      <c r="E198" s="3" t="s">
        <v>5020</v>
      </c>
      <c r="F198" s="3" t="s">
        <v>5027</v>
      </c>
      <c r="G198" s="3" t="s">
        <v>5032</v>
      </c>
      <c r="H198" s="3" t="s">
        <v>9993</v>
      </c>
      <c r="I198" s="17">
        <v>45549</v>
      </c>
      <c r="J198" s="18">
        <f>YEAR(Tabla1[[#This Row],[FECHA DE COMPRA]])</f>
        <v>2024</v>
      </c>
      <c r="K198" s="19">
        <v>167.48</v>
      </c>
      <c r="L198" s="20">
        <v>0.2</v>
      </c>
      <c r="M198" s="19">
        <f>Tienda!$K520-Tienda!$K520*Tienda!$L520</f>
        <v>36.686999999999998</v>
      </c>
      <c r="N198" s="3" t="s">
        <v>10039</v>
      </c>
      <c r="O198" s="3" t="s">
        <v>10041</v>
      </c>
      <c r="P198" s="17">
        <v>45549</v>
      </c>
      <c r="Q198" s="4">
        <v>0</v>
      </c>
    </row>
    <row r="199" spans="1:17" x14ac:dyDescent="0.25">
      <c r="A199" s="2" t="s">
        <v>270</v>
      </c>
      <c r="B199" s="3" t="s">
        <v>5015</v>
      </c>
      <c r="C199" s="3">
        <v>22</v>
      </c>
      <c r="D199" s="46" t="str">
        <f>IF(Tabla1[[#This Row],[EDAD]]&lt;=35,"Adultos jóvenes 18 - 35 años",IF(C199&gt;=36,"Adultos mayores 36 años en adelante"))</f>
        <v>Adultos jóvenes 18 - 35 años</v>
      </c>
      <c r="E199" s="3" t="s">
        <v>5021</v>
      </c>
      <c r="F199" s="3" t="s">
        <v>5027</v>
      </c>
      <c r="G199" s="3" t="s">
        <v>5031</v>
      </c>
      <c r="H199" s="3" t="s">
        <v>5293</v>
      </c>
      <c r="I199" s="17">
        <v>45552</v>
      </c>
      <c r="J199" s="18">
        <f>YEAR(Tabla1[[#This Row],[FECHA DE COMPRA]])</f>
        <v>2024</v>
      </c>
      <c r="K199" s="19">
        <v>57.81</v>
      </c>
      <c r="L199" s="20">
        <v>0.3</v>
      </c>
      <c r="M199" s="19">
        <f>Tienda!$K524-Tienda!$K524*Tienda!$L524</f>
        <v>40.248000000000005</v>
      </c>
      <c r="N199" s="3" t="s">
        <v>10039</v>
      </c>
      <c r="O199" s="3" t="s">
        <v>10041</v>
      </c>
      <c r="P199" s="17">
        <v>45552</v>
      </c>
      <c r="Q199" s="4">
        <v>0</v>
      </c>
    </row>
    <row r="200" spans="1:17" x14ac:dyDescent="0.25">
      <c r="A200" s="2" t="s">
        <v>871</v>
      </c>
      <c r="B200" s="3" t="s">
        <v>5015</v>
      </c>
      <c r="C200" s="3">
        <v>22</v>
      </c>
      <c r="D200" s="46" t="str">
        <f>IF(Tabla1[[#This Row],[EDAD]]&lt;=35,"Adultos jóvenes 18 - 35 años",IF(C200&gt;=36,"Adultos mayores 36 años en adelante"))</f>
        <v>Adultos jóvenes 18 - 35 años</v>
      </c>
      <c r="E200" s="3" t="s">
        <v>5023</v>
      </c>
      <c r="F200" s="3" t="s">
        <v>5029</v>
      </c>
      <c r="G200" s="3" t="s">
        <v>5031</v>
      </c>
      <c r="H200" s="3" t="s">
        <v>5894</v>
      </c>
      <c r="I200" s="17">
        <v>45554</v>
      </c>
      <c r="J200" s="18">
        <f>YEAR(Tabla1[[#This Row],[FECHA DE COMPRA]])</f>
        <v>2024</v>
      </c>
      <c r="K200" s="19">
        <v>14.84</v>
      </c>
      <c r="L200" s="20">
        <v>0.2</v>
      </c>
      <c r="M200" s="19">
        <f>Tienda!$K530-Tienda!$K530*Tienda!$L530</f>
        <v>43.281000000000006</v>
      </c>
      <c r="N200" s="3" t="s">
        <v>10039</v>
      </c>
      <c r="O200" s="3" t="s">
        <v>10041</v>
      </c>
      <c r="P200" s="17">
        <v>45554</v>
      </c>
      <c r="Q200" s="4">
        <v>0</v>
      </c>
    </row>
    <row r="201" spans="1:17" x14ac:dyDescent="0.25">
      <c r="A201" s="2" t="s">
        <v>594</v>
      </c>
      <c r="B201" s="3" t="s">
        <v>5015</v>
      </c>
      <c r="C201" s="3">
        <v>32</v>
      </c>
      <c r="D201" s="46" t="str">
        <f>IF(Tabla1[[#This Row],[EDAD]]&lt;=35,"Adultos jóvenes 18 - 35 años",IF(C201&gt;=36,"Adultos mayores 36 años en adelante"))</f>
        <v>Adultos jóvenes 18 - 35 años</v>
      </c>
      <c r="E201" s="3" t="s">
        <v>5020</v>
      </c>
      <c r="F201" s="3" t="s">
        <v>5029</v>
      </c>
      <c r="G201" s="3" t="s">
        <v>5036</v>
      </c>
      <c r="H201" s="3" t="s">
        <v>5617</v>
      </c>
      <c r="I201" s="17">
        <v>45554</v>
      </c>
      <c r="J201" s="18">
        <f>YEAR(Tabla1[[#This Row],[FECHA DE COMPRA]])</f>
        <v>2024</v>
      </c>
      <c r="K201" s="19">
        <v>141.76</v>
      </c>
      <c r="L201" s="20">
        <v>0.2</v>
      </c>
      <c r="M201" s="19">
        <f>Tienda!$K532-Tienda!$K532*Tienda!$L532</f>
        <v>44.62</v>
      </c>
      <c r="N201" s="3" t="s">
        <v>10039</v>
      </c>
      <c r="O201" s="3" t="s">
        <v>10041</v>
      </c>
      <c r="P201" s="17">
        <v>45554</v>
      </c>
      <c r="Q201" s="4">
        <v>0</v>
      </c>
    </row>
    <row r="202" spans="1:17" x14ac:dyDescent="0.25">
      <c r="A202" s="2" t="s">
        <v>3891</v>
      </c>
      <c r="B202" s="3" t="s">
        <v>5015</v>
      </c>
      <c r="C202" s="3">
        <v>18</v>
      </c>
      <c r="D202" s="46" t="str">
        <f>IF(Tabla1[[#This Row],[EDAD]]&lt;=35,"Adultos jóvenes 18 - 35 años",IF(C202&gt;=36,"Adultos mayores 36 años en adelante"))</f>
        <v>Adultos jóvenes 18 - 35 años</v>
      </c>
      <c r="E202" s="3" t="s">
        <v>5021</v>
      </c>
      <c r="F202" s="3" t="s">
        <v>5028</v>
      </c>
      <c r="G202" s="3" t="s">
        <v>5035</v>
      </c>
      <c r="H202" s="3" t="s">
        <v>8914</v>
      </c>
      <c r="I202" s="17">
        <v>45556</v>
      </c>
      <c r="J202" s="18">
        <f>YEAR(Tabla1[[#This Row],[FECHA DE COMPRA]])</f>
        <v>2024</v>
      </c>
      <c r="K202" s="19">
        <v>22.53</v>
      </c>
      <c r="L202" s="20">
        <v>0.2</v>
      </c>
      <c r="M202" s="19">
        <f>Tienda!$K533-Tienda!$K533*Tienda!$L533</f>
        <v>45.478999999999999</v>
      </c>
      <c r="N202" s="3" t="s">
        <v>10039</v>
      </c>
      <c r="O202" s="3" t="s">
        <v>10041</v>
      </c>
      <c r="P202" s="17">
        <v>45556</v>
      </c>
      <c r="Q202" s="4">
        <v>0</v>
      </c>
    </row>
    <row r="203" spans="1:17" x14ac:dyDescent="0.25">
      <c r="A203" s="2" t="s">
        <v>2585</v>
      </c>
      <c r="B203" s="3" t="s">
        <v>5015</v>
      </c>
      <c r="C203" s="3">
        <v>21</v>
      </c>
      <c r="D203" s="46" t="str">
        <f>IF(Tabla1[[#This Row],[EDAD]]&lt;=35,"Adultos jóvenes 18 - 35 años",IF(C203&gt;=36,"Adultos mayores 36 años en adelante"))</f>
        <v>Adultos jóvenes 18 - 35 años</v>
      </c>
      <c r="E203" s="3" t="s">
        <v>5023</v>
      </c>
      <c r="F203" s="3" t="s">
        <v>5024</v>
      </c>
      <c r="G203" s="3" t="s">
        <v>5036</v>
      </c>
      <c r="H203" s="3" t="s">
        <v>7608</v>
      </c>
      <c r="I203" s="17">
        <v>45556</v>
      </c>
      <c r="J203" s="18">
        <f>YEAR(Tabla1[[#This Row],[FECHA DE COMPRA]])</f>
        <v>2024</v>
      </c>
      <c r="K203" s="19">
        <v>27.19</v>
      </c>
      <c r="L203" s="20">
        <v>0.1</v>
      </c>
      <c r="M203" s="19">
        <f>Tienda!$K534-Tienda!$K534*Tienda!$L534</f>
        <v>45.619</v>
      </c>
      <c r="N203" s="3" t="s">
        <v>10039</v>
      </c>
      <c r="O203" s="3" t="s">
        <v>10041</v>
      </c>
      <c r="P203" s="17">
        <v>45556</v>
      </c>
      <c r="Q203" s="4">
        <v>0</v>
      </c>
    </row>
    <row r="204" spans="1:17" x14ac:dyDescent="0.25">
      <c r="A204" s="2" t="s">
        <v>3069</v>
      </c>
      <c r="B204" s="3" t="s">
        <v>5015</v>
      </c>
      <c r="C204" s="3">
        <v>25</v>
      </c>
      <c r="D204" s="46" t="str">
        <f>IF(Tabla1[[#This Row],[EDAD]]&lt;=35,"Adultos jóvenes 18 - 35 años",IF(C204&gt;=36,"Adultos mayores 36 años en adelante"))</f>
        <v>Adultos jóvenes 18 - 35 años</v>
      </c>
      <c r="E204" s="3" t="s">
        <v>5020</v>
      </c>
      <c r="F204" s="3" t="s">
        <v>5029</v>
      </c>
      <c r="G204" s="3" t="s">
        <v>5036</v>
      </c>
      <c r="H204" s="3" t="s">
        <v>8092</v>
      </c>
      <c r="I204" s="17">
        <v>45557</v>
      </c>
      <c r="J204" s="18">
        <f>YEAR(Tabla1[[#This Row],[FECHA DE COMPRA]])</f>
        <v>2024</v>
      </c>
      <c r="K204" s="19">
        <v>34.229999999999997</v>
      </c>
      <c r="L204" s="20">
        <v>0</v>
      </c>
      <c r="M204" s="19">
        <f>Tienda!$K535-Tienda!$K535*Tienda!$L535</f>
        <v>46.695999999999998</v>
      </c>
      <c r="N204" s="3" t="s">
        <v>10039</v>
      </c>
      <c r="O204" s="3" t="s">
        <v>10041</v>
      </c>
      <c r="P204" s="17">
        <v>45557</v>
      </c>
      <c r="Q204" s="4">
        <v>0</v>
      </c>
    </row>
    <row r="205" spans="1:17" x14ac:dyDescent="0.25">
      <c r="A205" s="2" t="s">
        <v>1025</v>
      </c>
      <c r="B205" s="3" t="s">
        <v>5015</v>
      </c>
      <c r="C205" s="3">
        <v>35</v>
      </c>
      <c r="D205" s="46" t="str">
        <f>IF(Tabla1[[#This Row],[EDAD]]&lt;=35,"Adultos jóvenes 18 - 35 años",IF(C205&gt;=36,"Adultos mayores 36 años en adelante"))</f>
        <v>Adultos jóvenes 18 - 35 años</v>
      </c>
      <c r="E205" s="3" t="s">
        <v>5019</v>
      </c>
      <c r="F205" s="3" t="s">
        <v>5030</v>
      </c>
      <c r="G205" s="3" t="s">
        <v>5037</v>
      </c>
      <c r="H205" s="3" t="s">
        <v>6048</v>
      </c>
      <c r="I205" s="17">
        <v>45557</v>
      </c>
      <c r="J205" s="18">
        <f>YEAR(Tabla1[[#This Row],[FECHA DE COMPRA]])</f>
        <v>2024</v>
      </c>
      <c r="K205" s="19">
        <v>128.11000000000001</v>
      </c>
      <c r="L205" s="20">
        <v>0</v>
      </c>
      <c r="M205" s="19">
        <f>Tienda!$K536-Tienda!$K536*Tienda!$L536</f>
        <v>46.865000000000002</v>
      </c>
      <c r="N205" s="3" t="s">
        <v>10039</v>
      </c>
      <c r="O205" s="3" t="s">
        <v>10041</v>
      </c>
      <c r="P205" s="17">
        <v>45557</v>
      </c>
      <c r="Q205" s="4">
        <v>0</v>
      </c>
    </row>
    <row r="206" spans="1:17" x14ac:dyDescent="0.25">
      <c r="A206" s="2" t="s">
        <v>1302</v>
      </c>
      <c r="B206" s="3" t="s">
        <v>5015</v>
      </c>
      <c r="C206" s="3">
        <v>25</v>
      </c>
      <c r="D206" s="46" t="str">
        <f>IF(Tabla1[[#This Row],[EDAD]]&lt;=35,"Adultos jóvenes 18 - 35 años",IF(C206&gt;=36,"Adultos mayores 36 años en adelante"))</f>
        <v>Adultos jóvenes 18 - 35 años</v>
      </c>
      <c r="E206" s="3" t="s">
        <v>5020</v>
      </c>
      <c r="F206" s="3" t="s">
        <v>5024</v>
      </c>
      <c r="G206" s="3" t="s">
        <v>5036</v>
      </c>
      <c r="H206" s="3" t="s">
        <v>6325</v>
      </c>
      <c r="I206" s="17">
        <v>45557</v>
      </c>
      <c r="J206" s="18">
        <f>YEAR(Tabla1[[#This Row],[FECHA DE COMPRA]])</f>
        <v>2024</v>
      </c>
      <c r="K206" s="19">
        <v>135.58000000000001</v>
      </c>
      <c r="L206" s="20">
        <v>0.2</v>
      </c>
      <c r="M206" s="19">
        <f>Tienda!$K537-Tienda!$K537*Tienda!$L537</f>
        <v>47.192</v>
      </c>
      <c r="N206" s="3" t="s">
        <v>10039</v>
      </c>
      <c r="O206" s="3" t="s">
        <v>10041</v>
      </c>
      <c r="P206" s="17">
        <v>45557</v>
      </c>
      <c r="Q206" s="4">
        <v>0</v>
      </c>
    </row>
    <row r="207" spans="1:17" x14ac:dyDescent="0.25">
      <c r="A207" s="2" t="s">
        <v>1903</v>
      </c>
      <c r="B207" s="3" t="s">
        <v>5015</v>
      </c>
      <c r="C207" s="3">
        <v>19</v>
      </c>
      <c r="D207" s="46" t="str">
        <f>IF(Tabla1[[#This Row],[EDAD]]&lt;=35,"Adultos jóvenes 18 - 35 años",IF(C207&gt;=36,"Adultos mayores 36 años en adelante"))</f>
        <v>Adultos jóvenes 18 - 35 años</v>
      </c>
      <c r="E207" s="3" t="s">
        <v>5022</v>
      </c>
      <c r="F207" s="3" t="s">
        <v>5030</v>
      </c>
      <c r="G207" s="3" t="s">
        <v>5033</v>
      </c>
      <c r="H207" s="3" t="s">
        <v>6926</v>
      </c>
      <c r="I207" s="17">
        <v>45557</v>
      </c>
      <c r="J207" s="18">
        <f>YEAR(Tabla1[[#This Row],[FECHA DE COMPRA]])</f>
        <v>2024</v>
      </c>
      <c r="K207" s="19">
        <v>161.94999999999999</v>
      </c>
      <c r="L207" s="20">
        <v>0.1</v>
      </c>
      <c r="M207" s="19">
        <f>Tienda!$K538-Tienda!$K538*Tienda!$L538</f>
        <v>48.158999999999999</v>
      </c>
      <c r="N207" s="3" t="s">
        <v>10039</v>
      </c>
      <c r="O207" s="3" t="s">
        <v>10041</v>
      </c>
      <c r="P207" s="17">
        <v>45557</v>
      </c>
      <c r="Q207" s="4">
        <v>0</v>
      </c>
    </row>
    <row r="208" spans="1:17" x14ac:dyDescent="0.25">
      <c r="A208" s="2" t="s">
        <v>2332</v>
      </c>
      <c r="B208" s="3" t="s">
        <v>5015</v>
      </c>
      <c r="C208" s="3">
        <v>23</v>
      </c>
      <c r="D208" s="46" t="str">
        <f>IF(Tabla1[[#This Row],[EDAD]]&lt;=35,"Adultos jóvenes 18 - 35 años",IF(C208&gt;=36,"Adultos mayores 36 años en adelante"))</f>
        <v>Adultos jóvenes 18 - 35 años</v>
      </c>
      <c r="E208" s="3" t="s">
        <v>5017</v>
      </c>
      <c r="F208" s="3" t="s">
        <v>5027</v>
      </c>
      <c r="G208" s="3" t="s">
        <v>5034</v>
      </c>
      <c r="H208" s="3" t="s">
        <v>7355</v>
      </c>
      <c r="I208" s="17">
        <v>45560</v>
      </c>
      <c r="J208" s="18">
        <f>YEAR(Tabla1[[#This Row],[FECHA DE COMPRA]])</f>
        <v>2024</v>
      </c>
      <c r="K208" s="19">
        <v>81.63</v>
      </c>
      <c r="L208" s="20">
        <v>0.1</v>
      </c>
      <c r="M208" s="19">
        <f>Tienda!$K540-Tienda!$K540*Tienda!$L540</f>
        <v>52.335000000000001</v>
      </c>
      <c r="N208" s="3" t="s">
        <v>10039</v>
      </c>
      <c r="O208" s="3" t="s">
        <v>10041</v>
      </c>
      <c r="P208" s="17">
        <v>45560</v>
      </c>
      <c r="Q208" s="4">
        <v>0</v>
      </c>
    </row>
    <row r="209" spans="1:17" x14ac:dyDescent="0.25">
      <c r="A209" s="2" t="s">
        <v>1760</v>
      </c>
      <c r="B209" s="3" t="s">
        <v>5015</v>
      </c>
      <c r="C209" s="3">
        <v>22</v>
      </c>
      <c r="D209" s="46" t="str">
        <f>IF(Tabla1[[#This Row],[EDAD]]&lt;=35,"Adultos jóvenes 18 - 35 años",IF(C209&gt;=36,"Adultos mayores 36 años en adelante"))</f>
        <v>Adultos jóvenes 18 - 35 años</v>
      </c>
      <c r="E209" s="3" t="s">
        <v>5022</v>
      </c>
      <c r="F209" s="3" t="s">
        <v>5030</v>
      </c>
      <c r="G209" s="3" t="s">
        <v>5034</v>
      </c>
      <c r="H209" s="3" t="s">
        <v>6783</v>
      </c>
      <c r="I209" s="17">
        <v>45560</v>
      </c>
      <c r="J209" s="18">
        <f>YEAR(Tabla1[[#This Row],[FECHA DE COMPRA]])</f>
        <v>2024</v>
      </c>
      <c r="K209" s="19">
        <v>134.22</v>
      </c>
      <c r="L209" s="20">
        <v>0.1</v>
      </c>
      <c r="M209" s="19">
        <f>Tienda!$K543-Tienda!$K543*Tienda!$L543</f>
        <v>56.28</v>
      </c>
      <c r="N209" s="3" t="s">
        <v>10039</v>
      </c>
      <c r="O209" s="3" t="s">
        <v>10041</v>
      </c>
      <c r="P209" s="17">
        <v>45560</v>
      </c>
      <c r="Q209" s="4">
        <v>0</v>
      </c>
    </row>
    <row r="210" spans="1:17" x14ac:dyDescent="0.25">
      <c r="A210" s="2" t="s">
        <v>3720</v>
      </c>
      <c r="B210" s="3" t="s">
        <v>5015</v>
      </c>
      <c r="C210" s="3">
        <v>29</v>
      </c>
      <c r="D210" s="46" t="str">
        <f>IF(Tabla1[[#This Row],[EDAD]]&lt;=35,"Adultos jóvenes 18 - 35 años",IF(C210&gt;=36,"Adultos mayores 36 años en adelante"))</f>
        <v>Adultos jóvenes 18 - 35 años</v>
      </c>
      <c r="E210" s="3" t="s">
        <v>5019</v>
      </c>
      <c r="F210" s="3" t="s">
        <v>5030</v>
      </c>
      <c r="G210" s="3" t="s">
        <v>5034</v>
      </c>
      <c r="H210" s="3" t="s">
        <v>8743</v>
      </c>
      <c r="I210" s="17">
        <v>45560</v>
      </c>
      <c r="J210" s="18">
        <f>YEAR(Tabla1[[#This Row],[FECHA DE COMPRA]])</f>
        <v>2024</v>
      </c>
      <c r="K210" s="19">
        <v>165.48</v>
      </c>
      <c r="L210" s="20">
        <v>0</v>
      </c>
      <c r="M210" s="19">
        <f>Tienda!$K544-Tienda!$K544*Tienda!$L544</f>
        <v>57.43</v>
      </c>
      <c r="N210" s="3" t="s">
        <v>10039</v>
      </c>
      <c r="O210" s="3" t="s">
        <v>10041</v>
      </c>
      <c r="P210" s="17">
        <v>45560</v>
      </c>
      <c r="Q210" s="4">
        <v>0</v>
      </c>
    </row>
    <row r="211" spans="1:17" x14ac:dyDescent="0.25">
      <c r="A211" s="2" t="s">
        <v>3061</v>
      </c>
      <c r="B211" s="3" t="s">
        <v>5015</v>
      </c>
      <c r="C211" s="3">
        <v>23</v>
      </c>
      <c r="D211" s="46" t="str">
        <f>IF(Tabla1[[#This Row],[EDAD]]&lt;=35,"Adultos jóvenes 18 - 35 años",IF(C211&gt;=36,"Adultos mayores 36 años en adelante"))</f>
        <v>Adultos jóvenes 18 - 35 años</v>
      </c>
      <c r="E211" s="3" t="s">
        <v>5023</v>
      </c>
      <c r="F211" s="3" t="s">
        <v>5024</v>
      </c>
      <c r="G211" s="3" t="s">
        <v>5037</v>
      </c>
      <c r="H211" s="3" t="s">
        <v>8084</v>
      </c>
      <c r="I211" s="17">
        <v>45560</v>
      </c>
      <c r="J211" s="18">
        <f>YEAR(Tabla1[[#This Row],[FECHA DE COMPRA]])</f>
        <v>2024</v>
      </c>
      <c r="K211" s="19">
        <v>182.41</v>
      </c>
      <c r="L211" s="20">
        <v>0.1</v>
      </c>
      <c r="M211" s="19">
        <f>Tienda!$K545-Tienda!$K545*Tienda!$L545</f>
        <v>59.129000000000005</v>
      </c>
      <c r="N211" s="3" t="s">
        <v>10039</v>
      </c>
      <c r="O211" s="3" t="s">
        <v>10041</v>
      </c>
      <c r="P211" s="17">
        <v>45560</v>
      </c>
      <c r="Q211" s="4">
        <v>0</v>
      </c>
    </row>
    <row r="212" spans="1:17" x14ac:dyDescent="0.25">
      <c r="A212" s="2" t="s">
        <v>1180</v>
      </c>
      <c r="B212" s="3" t="s">
        <v>5016</v>
      </c>
      <c r="C212" s="3">
        <v>19</v>
      </c>
      <c r="D212" s="46" t="str">
        <f>IF(Tabla1[[#This Row],[EDAD]]&lt;=35,"Adultos jóvenes 18 - 35 años",IF(C212&gt;=36,"Adultos mayores 36 años en adelante"))</f>
        <v>Adultos jóvenes 18 - 35 años</v>
      </c>
      <c r="E212" s="3" t="s">
        <v>5021</v>
      </c>
      <c r="F212" s="3" t="s">
        <v>5025</v>
      </c>
      <c r="G212" s="3" t="s">
        <v>5037</v>
      </c>
      <c r="H212" s="3" t="s">
        <v>6203</v>
      </c>
      <c r="I212" s="17">
        <v>45563</v>
      </c>
      <c r="J212" s="18">
        <f>YEAR(Tabla1[[#This Row],[FECHA DE COMPRA]])</f>
        <v>2024</v>
      </c>
      <c r="K212" s="19">
        <v>86.94</v>
      </c>
      <c r="L212" s="20">
        <v>0.1</v>
      </c>
      <c r="M212" s="19">
        <f>Tienda!$K548-Tienda!$K548*Tienda!$L548</f>
        <v>60.786000000000001</v>
      </c>
      <c r="N212" s="3" t="s">
        <v>10039</v>
      </c>
      <c r="O212" s="3" t="s">
        <v>10041</v>
      </c>
      <c r="P212" s="17">
        <v>45563</v>
      </c>
      <c r="Q212" s="4">
        <v>0</v>
      </c>
    </row>
    <row r="213" spans="1:17" x14ac:dyDescent="0.25">
      <c r="A213" s="2" t="s">
        <v>2613</v>
      </c>
      <c r="B213" s="3" t="s">
        <v>5015</v>
      </c>
      <c r="C213" s="3">
        <v>18</v>
      </c>
      <c r="D213" s="46" t="str">
        <f>IF(Tabla1[[#This Row],[EDAD]]&lt;=35,"Adultos jóvenes 18 - 35 años",IF(C213&gt;=36,"Adultos mayores 36 años en adelante"))</f>
        <v>Adultos jóvenes 18 - 35 años</v>
      </c>
      <c r="E213" s="3" t="s">
        <v>5022</v>
      </c>
      <c r="F213" s="3" t="s">
        <v>5027</v>
      </c>
      <c r="G213" s="3" t="s">
        <v>5033</v>
      </c>
      <c r="H213" s="3" t="s">
        <v>7636</v>
      </c>
      <c r="I213" s="17">
        <v>45564</v>
      </c>
      <c r="J213" s="18">
        <f>YEAR(Tabla1[[#This Row],[FECHA DE COMPRA]])</f>
        <v>2024</v>
      </c>
      <c r="K213" s="19">
        <v>102.4</v>
      </c>
      <c r="L213" s="20">
        <v>0.2</v>
      </c>
      <c r="M213" s="19">
        <f>Tienda!$K549-Tienda!$K549*Tienda!$L549</f>
        <v>62.000999999999998</v>
      </c>
      <c r="N213" s="3" t="s">
        <v>10039</v>
      </c>
      <c r="O213" s="3" t="s">
        <v>10041</v>
      </c>
      <c r="P213" s="17">
        <v>45564</v>
      </c>
      <c r="Q213" s="4">
        <v>0</v>
      </c>
    </row>
    <row r="214" spans="1:17" x14ac:dyDescent="0.25">
      <c r="A214" s="2" t="s">
        <v>1768</v>
      </c>
      <c r="B214" s="3" t="s">
        <v>5016</v>
      </c>
      <c r="C214" s="3">
        <v>31</v>
      </c>
      <c r="D214" s="46" t="str">
        <f>IF(Tabla1[[#This Row],[EDAD]]&lt;=35,"Adultos jóvenes 18 - 35 años",IF(C214&gt;=36,"Adultos mayores 36 años en adelante"))</f>
        <v>Adultos jóvenes 18 - 35 años</v>
      </c>
      <c r="E214" s="3" t="s">
        <v>5023</v>
      </c>
      <c r="F214" s="3" t="s">
        <v>5024</v>
      </c>
      <c r="G214" s="3" t="s">
        <v>5035</v>
      </c>
      <c r="H214" s="3" t="s">
        <v>6791</v>
      </c>
      <c r="I214" s="17">
        <v>45564</v>
      </c>
      <c r="J214" s="18">
        <f>YEAR(Tabla1[[#This Row],[FECHA DE COMPRA]])</f>
        <v>2024</v>
      </c>
      <c r="K214" s="19">
        <v>123.99</v>
      </c>
      <c r="L214" s="20">
        <v>0.1</v>
      </c>
      <c r="M214" s="19">
        <f>Tienda!$K550-Tienda!$K550*Tienda!$L550</f>
        <v>62.84</v>
      </c>
      <c r="N214" s="3" t="s">
        <v>10039</v>
      </c>
      <c r="O214" s="3" t="s">
        <v>10041</v>
      </c>
      <c r="P214" s="17">
        <v>45564</v>
      </c>
      <c r="Q214" s="4">
        <v>0</v>
      </c>
    </row>
    <row r="215" spans="1:17" x14ac:dyDescent="0.25">
      <c r="A215" s="2" t="s">
        <v>3020</v>
      </c>
      <c r="B215" s="3" t="s">
        <v>5016</v>
      </c>
      <c r="C215" s="3">
        <v>21</v>
      </c>
      <c r="D215" s="46" t="str">
        <f>IF(Tabla1[[#This Row],[EDAD]]&lt;=35,"Adultos jóvenes 18 - 35 años",IF(C215&gt;=36,"Adultos mayores 36 años en adelante"))</f>
        <v>Adultos jóvenes 18 - 35 años</v>
      </c>
      <c r="E215" s="3" t="s">
        <v>5017</v>
      </c>
      <c r="F215" s="3" t="s">
        <v>5029</v>
      </c>
      <c r="G215" s="3" t="s">
        <v>5036</v>
      </c>
      <c r="H215" s="3" t="s">
        <v>8043</v>
      </c>
      <c r="I215" s="17">
        <v>45565</v>
      </c>
      <c r="J215" s="18">
        <f>YEAR(Tabla1[[#This Row],[FECHA DE COMPRA]])</f>
        <v>2024</v>
      </c>
      <c r="K215" s="19">
        <v>93.38</v>
      </c>
      <c r="L215" s="20">
        <v>0.2</v>
      </c>
      <c r="M215" s="19">
        <f>Tienda!$K552-Tienda!$K552*Tienda!$L552</f>
        <v>63.184000000000005</v>
      </c>
      <c r="N215" s="3" t="s">
        <v>10039</v>
      </c>
      <c r="O215" s="3" t="s">
        <v>10041</v>
      </c>
      <c r="P215" s="17">
        <v>45565</v>
      </c>
      <c r="Q215" s="4">
        <v>0</v>
      </c>
    </row>
    <row r="216" spans="1:17" x14ac:dyDescent="0.25">
      <c r="A216" s="2" t="s">
        <v>1057</v>
      </c>
      <c r="B216" s="3" t="s">
        <v>5015</v>
      </c>
      <c r="C216" s="3">
        <v>35</v>
      </c>
      <c r="D216" s="46" t="str">
        <f>IF(Tabla1[[#This Row],[EDAD]]&lt;=35,"Adultos jóvenes 18 - 35 años",IF(C216&gt;=36,"Adultos mayores 36 años en adelante"))</f>
        <v>Adultos jóvenes 18 - 35 años</v>
      </c>
      <c r="E216" s="3" t="s">
        <v>5017</v>
      </c>
      <c r="F216" s="3" t="s">
        <v>5024</v>
      </c>
      <c r="G216" s="3" t="s">
        <v>5035</v>
      </c>
      <c r="H216" s="3" t="s">
        <v>6080</v>
      </c>
      <c r="I216" s="17">
        <v>45566</v>
      </c>
      <c r="J216" s="18">
        <f>YEAR(Tabla1[[#This Row],[FECHA DE COMPRA]])</f>
        <v>2024</v>
      </c>
      <c r="K216" s="19">
        <v>80.650000000000006</v>
      </c>
      <c r="L216" s="20">
        <v>0</v>
      </c>
      <c r="M216" s="19">
        <f>Tienda!$K554-Tienda!$K554*Tienda!$L554</f>
        <v>65.736000000000004</v>
      </c>
      <c r="N216" s="3" t="s">
        <v>10039</v>
      </c>
      <c r="O216" s="3" t="s">
        <v>10041</v>
      </c>
      <c r="P216" s="17">
        <v>45566</v>
      </c>
      <c r="Q216" s="4">
        <v>0</v>
      </c>
    </row>
    <row r="217" spans="1:17" x14ac:dyDescent="0.25">
      <c r="A217" s="2" t="s">
        <v>3019</v>
      </c>
      <c r="B217" s="3" t="s">
        <v>5015</v>
      </c>
      <c r="C217" s="3">
        <v>27</v>
      </c>
      <c r="D217" s="46" t="str">
        <f>IF(Tabla1[[#This Row],[EDAD]]&lt;=35,"Adultos jóvenes 18 - 35 años",IF(C217&gt;=36,"Adultos mayores 36 años en adelante"))</f>
        <v>Adultos jóvenes 18 - 35 años</v>
      </c>
      <c r="E217" s="3" t="s">
        <v>5018</v>
      </c>
      <c r="F217" s="3" t="s">
        <v>5025</v>
      </c>
      <c r="G217" s="3" t="s">
        <v>5036</v>
      </c>
      <c r="H217" s="3" t="s">
        <v>8042</v>
      </c>
      <c r="I217" s="17">
        <v>45568</v>
      </c>
      <c r="J217" s="18">
        <f>YEAR(Tabla1[[#This Row],[FECHA DE COMPRA]])</f>
        <v>2024</v>
      </c>
      <c r="K217" s="19">
        <v>100.4</v>
      </c>
      <c r="L217" s="20">
        <v>0.2</v>
      </c>
      <c r="M217" s="19">
        <f>Tienda!$K557-Tienda!$K557*Tienda!$L557</f>
        <v>67.384</v>
      </c>
      <c r="N217" s="3" t="s">
        <v>10039</v>
      </c>
      <c r="O217" s="3" t="s">
        <v>10041</v>
      </c>
      <c r="P217" s="17">
        <v>45568</v>
      </c>
      <c r="Q217" s="4">
        <v>0</v>
      </c>
    </row>
    <row r="218" spans="1:17" x14ac:dyDescent="0.25">
      <c r="A218" s="2" t="s">
        <v>3731</v>
      </c>
      <c r="B218" s="3" t="s">
        <v>5015</v>
      </c>
      <c r="C218" s="3">
        <v>34</v>
      </c>
      <c r="D218" s="46" t="str">
        <f>IF(Tabla1[[#This Row],[EDAD]]&lt;=35,"Adultos jóvenes 18 - 35 años",IF(C218&gt;=36,"Adultos mayores 36 años en adelante"))</f>
        <v>Adultos jóvenes 18 - 35 años</v>
      </c>
      <c r="E218" s="3" t="s">
        <v>5017</v>
      </c>
      <c r="F218" s="3" t="s">
        <v>5029</v>
      </c>
      <c r="G218" s="3" t="s">
        <v>5031</v>
      </c>
      <c r="H218" s="3" t="s">
        <v>8754</v>
      </c>
      <c r="I218" s="17">
        <v>45570</v>
      </c>
      <c r="J218" s="18">
        <f>YEAR(Tabla1[[#This Row],[FECHA DE COMPRA]])</f>
        <v>2024</v>
      </c>
      <c r="K218" s="19">
        <v>43.05</v>
      </c>
      <c r="L218" s="20">
        <v>0</v>
      </c>
      <c r="M218" s="19">
        <f>Tienda!$K563-Tienda!$K563*Tienda!$L563</f>
        <v>73.248000000000005</v>
      </c>
      <c r="N218" s="3" t="s">
        <v>10039</v>
      </c>
      <c r="O218" s="3" t="s">
        <v>10041</v>
      </c>
      <c r="P218" s="17">
        <v>45570</v>
      </c>
      <c r="Q218" s="4">
        <v>0</v>
      </c>
    </row>
    <row r="219" spans="1:17" x14ac:dyDescent="0.25">
      <c r="A219" s="2" t="s">
        <v>1611</v>
      </c>
      <c r="B219" s="3" t="s">
        <v>5015</v>
      </c>
      <c r="C219" s="3">
        <v>21</v>
      </c>
      <c r="D219" s="46" t="str">
        <f>IF(Tabla1[[#This Row],[EDAD]]&lt;=35,"Adultos jóvenes 18 - 35 años",IF(C219&gt;=36,"Adultos mayores 36 años en adelante"))</f>
        <v>Adultos jóvenes 18 - 35 años</v>
      </c>
      <c r="E219" s="3" t="s">
        <v>5020</v>
      </c>
      <c r="F219" s="3" t="s">
        <v>5029</v>
      </c>
      <c r="G219" s="3" t="s">
        <v>5037</v>
      </c>
      <c r="H219" s="3" t="s">
        <v>6634</v>
      </c>
      <c r="I219" s="17">
        <v>45571</v>
      </c>
      <c r="J219" s="18">
        <f>YEAR(Tabla1[[#This Row],[FECHA DE COMPRA]])</f>
        <v>2024</v>
      </c>
      <c r="K219" s="19">
        <v>119.39</v>
      </c>
      <c r="L219" s="20">
        <v>0</v>
      </c>
      <c r="M219" s="19">
        <f>Tienda!$K567-Tienda!$K567*Tienda!$L567</f>
        <v>77.209999999999994</v>
      </c>
      <c r="N219" s="3" t="s">
        <v>10039</v>
      </c>
      <c r="O219" s="3" t="s">
        <v>10041</v>
      </c>
      <c r="P219" s="17">
        <v>45571</v>
      </c>
      <c r="Q219" s="4">
        <v>0</v>
      </c>
    </row>
    <row r="220" spans="1:17" x14ac:dyDescent="0.25">
      <c r="A220" s="2" t="s">
        <v>4734</v>
      </c>
      <c r="B220" s="3" t="s">
        <v>5015</v>
      </c>
      <c r="C220" s="3">
        <v>31</v>
      </c>
      <c r="D220" s="46" t="str">
        <f>IF(Tabla1[[#This Row],[EDAD]]&lt;=35,"Adultos jóvenes 18 - 35 años",IF(C220&gt;=36,"Adultos mayores 36 años en adelante"))</f>
        <v>Adultos jóvenes 18 - 35 años</v>
      </c>
      <c r="E220" s="3" t="s">
        <v>5018</v>
      </c>
      <c r="F220" s="3" t="s">
        <v>5028</v>
      </c>
      <c r="G220" s="3" t="s">
        <v>5037</v>
      </c>
      <c r="H220" s="3" t="s">
        <v>9757</v>
      </c>
      <c r="I220" s="17">
        <v>45574</v>
      </c>
      <c r="J220" s="18">
        <f>YEAR(Tabla1[[#This Row],[FECHA DE COMPRA]])</f>
        <v>2024</v>
      </c>
      <c r="K220" s="19">
        <v>98.65</v>
      </c>
      <c r="L220" s="20">
        <v>0.2</v>
      </c>
      <c r="M220" s="19">
        <f>Tienda!$K576-Tienda!$K576*Tienda!$L576</f>
        <v>85.567999999999998</v>
      </c>
      <c r="N220" s="3" t="s">
        <v>10039</v>
      </c>
      <c r="O220" s="3" t="s">
        <v>10041</v>
      </c>
      <c r="P220" s="17">
        <v>45574</v>
      </c>
      <c r="Q220" s="4">
        <v>0</v>
      </c>
    </row>
    <row r="221" spans="1:17" x14ac:dyDescent="0.25">
      <c r="A221" s="2" t="s">
        <v>1381</v>
      </c>
      <c r="B221" s="3" t="s">
        <v>5015</v>
      </c>
      <c r="C221" s="3">
        <v>34</v>
      </c>
      <c r="D221" s="46" t="str">
        <f>IF(Tabla1[[#This Row],[EDAD]]&lt;=35,"Adultos jóvenes 18 - 35 años",IF(C221&gt;=36,"Adultos mayores 36 años en adelante"))</f>
        <v>Adultos jóvenes 18 - 35 años</v>
      </c>
      <c r="E221" s="3" t="s">
        <v>5023</v>
      </c>
      <c r="F221" s="3" t="s">
        <v>5028</v>
      </c>
      <c r="G221" s="3" t="s">
        <v>5034</v>
      </c>
      <c r="H221" s="3" t="s">
        <v>6404</v>
      </c>
      <c r="I221" s="17">
        <v>45574</v>
      </c>
      <c r="J221" s="18">
        <f>YEAR(Tabla1[[#This Row],[FECHA DE COMPRA]])</f>
        <v>2024</v>
      </c>
      <c r="K221" s="19">
        <v>128.69999999999999</v>
      </c>
      <c r="L221" s="20">
        <v>0</v>
      </c>
      <c r="M221" s="19">
        <f>Tienda!$K578-Tienda!$K578*Tienda!$L578</f>
        <v>87.198999999999998</v>
      </c>
      <c r="N221" s="3" t="s">
        <v>10039</v>
      </c>
      <c r="O221" s="3" t="s">
        <v>10041</v>
      </c>
      <c r="P221" s="17">
        <v>45574</v>
      </c>
      <c r="Q221" s="4">
        <v>0</v>
      </c>
    </row>
    <row r="222" spans="1:17" x14ac:dyDescent="0.25">
      <c r="A222" s="2" t="s">
        <v>540</v>
      </c>
      <c r="B222" s="3" t="s">
        <v>5015</v>
      </c>
      <c r="C222" s="3">
        <v>27</v>
      </c>
      <c r="D222" s="46" t="str">
        <f>IF(Tabla1[[#This Row],[EDAD]]&lt;=35,"Adultos jóvenes 18 - 35 años",IF(C222&gt;=36,"Adultos mayores 36 años en adelante"))</f>
        <v>Adultos jóvenes 18 - 35 años</v>
      </c>
      <c r="E222" s="3" t="s">
        <v>5017</v>
      </c>
      <c r="F222" s="3" t="s">
        <v>5027</v>
      </c>
      <c r="G222" s="3" t="s">
        <v>5036</v>
      </c>
      <c r="H222" s="3" t="s">
        <v>5563</v>
      </c>
      <c r="I222" s="17">
        <v>45575</v>
      </c>
      <c r="J222" s="18">
        <f>YEAR(Tabla1[[#This Row],[FECHA DE COMPRA]])</f>
        <v>2024</v>
      </c>
      <c r="K222" s="19">
        <v>49.76</v>
      </c>
      <c r="L222" s="20">
        <v>0.1</v>
      </c>
      <c r="M222" s="19">
        <f>Tienda!$K579-Tienda!$K579*Tienda!$L579</f>
        <v>87.567999999999998</v>
      </c>
      <c r="N222" s="3" t="s">
        <v>10039</v>
      </c>
      <c r="O222" s="3" t="s">
        <v>10041</v>
      </c>
      <c r="P222" s="17">
        <v>45575</v>
      </c>
      <c r="Q222" s="4">
        <v>0</v>
      </c>
    </row>
    <row r="223" spans="1:17" x14ac:dyDescent="0.25">
      <c r="A223" s="2" t="s">
        <v>3044</v>
      </c>
      <c r="B223" s="3" t="s">
        <v>5015</v>
      </c>
      <c r="C223" s="3">
        <v>20</v>
      </c>
      <c r="D223" s="46" t="str">
        <f>IF(Tabla1[[#This Row],[EDAD]]&lt;=35,"Adultos jóvenes 18 - 35 años",IF(C223&gt;=36,"Adultos mayores 36 años en adelante"))</f>
        <v>Adultos jóvenes 18 - 35 años</v>
      </c>
      <c r="E223" s="3" t="s">
        <v>5020</v>
      </c>
      <c r="F223" s="3" t="s">
        <v>5030</v>
      </c>
      <c r="G223" s="3" t="s">
        <v>5032</v>
      </c>
      <c r="H223" s="3" t="s">
        <v>8067</v>
      </c>
      <c r="I223" s="17">
        <v>45575</v>
      </c>
      <c r="J223" s="18">
        <f>YEAR(Tabla1[[#This Row],[FECHA DE COMPRA]])</f>
        <v>2024</v>
      </c>
      <c r="K223" s="19">
        <v>87.6</v>
      </c>
      <c r="L223" s="20">
        <v>0.3</v>
      </c>
      <c r="M223" s="19">
        <f>Tienda!$K580-Tienda!$K580*Tienda!$L580</f>
        <v>87.738</v>
      </c>
      <c r="N223" s="3" t="s">
        <v>10039</v>
      </c>
      <c r="O223" s="3" t="s">
        <v>10041</v>
      </c>
      <c r="P223" s="17">
        <v>45575</v>
      </c>
      <c r="Q223" s="4">
        <v>0</v>
      </c>
    </row>
    <row r="224" spans="1:17" x14ac:dyDescent="0.25">
      <c r="A224" s="2" t="s">
        <v>2173</v>
      </c>
      <c r="B224" s="3" t="s">
        <v>5015</v>
      </c>
      <c r="C224" s="3">
        <v>32</v>
      </c>
      <c r="D224" s="46" t="str">
        <f>IF(Tabla1[[#This Row],[EDAD]]&lt;=35,"Adultos jóvenes 18 - 35 años",IF(C224&gt;=36,"Adultos mayores 36 años en adelante"))</f>
        <v>Adultos jóvenes 18 - 35 años</v>
      </c>
      <c r="E224" s="3" t="s">
        <v>5018</v>
      </c>
      <c r="F224" s="3" t="s">
        <v>5027</v>
      </c>
      <c r="G224" s="3" t="s">
        <v>5037</v>
      </c>
      <c r="H224" s="3" t="s">
        <v>7196</v>
      </c>
      <c r="I224" s="17">
        <v>45576</v>
      </c>
      <c r="J224" s="18">
        <f>YEAR(Tabla1[[#This Row],[FECHA DE COMPRA]])</f>
        <v>2024</v>
      </c>
      <c r="K224" s="19">
        <v>192.02</v>
      </c>
      <c r="L224" s="20">
        <v>0.1</v>
      </c>
      <c r="M224" s="19">
        <f>Tienda!$K583-Tienda!$K583*Tienda!$L583</f>
        <v>88.838999999999999</v>
      </c>
      <c r="N224" s="3" t="s">
        <v>10039</v>
      </c>
      <c r="O224" s="3" t="s">
        <v>10041</v>
      </c>
      <c r="P224" s="17">
        <v>45576</v>
      </c>
      <c r="Q224" s="4">
        <v>0</v>
      </c>
    </row>
    <row r="225" spans="1:17" x14ac:dyDescent="0.25">
      <c r="A225" s="2" t="s">
        <v>4415</v>
      </c>
      <c r="B225" s="3" t="s">
        <v>5015</v>
      </c>
      <c r="C225" s="3">
        <v>24</v>
      </c>
      <c r="D225" s="46" t="str">
        <f>IF(Tabla1[[#This Row],[EDAD]]&lt;=35,"Adultos jóvenes 18 - 35 años",IF(C225&gt;=36,"Adultos mayores 36 años en adelante"))</f>
        <v>Adultos jóvenes 18 - 35 años</v>
      </c>
      <c r="E225" s="3" t="s">
        <v>5018</v>
      </c>
      <c r="F225" s="3" t="s">
        <v>5024</v>
      </c>
      <c r="G225" s="3" t="s">
        <v>5031</v>
      </c>
      <c r="H225" s="3" t="s">
        <v>9438</v>
      </c>
      <c r="I225" s="17">
        <v>45577</v>
      </c>
      <c r="J225" s="18">
        <f>YEAR(Tabla1[[#This Row],[FECHA DE COMPRA]])</f>
        <v>2024</v>
      </c>
      <c r="K225" s="19">
        <v>91.97</v>
      </c>
      <c r="L225" s="20">
        <v>0.1</v>
      </c>
      <c r="M225" s="19">
        <f>Tienda!$K586-Tienda!$K586*Tienda!$L586</f>
        <v>90.87299999999999</v>
      </c>
      <c r="N225" s="3" t="s">
        <v>10039</v>
      </c>
      <c r="O225" s="3" t="s">
        <v>10041</v>
      </c>
      <c r="P225" s="17">
        <v>45577</v>
      </c>
      <c r="Q225" s="4">
        <v>0</v>
      </c>
    </row>
    <row r="226" spans="1:17" x14ac:dyDescent="0.25">
      <c r="A226" s="2" t="s">
        <v>4809</v>
      </c>
      <c r="B226" s="3" t="s">
        <v>5016</v>
      </c>
      <c r="C226" s="3">
        <v>25</v>
      </c>
      <c r="D226" s="46" t="str">
        <f>IF(Tabla1[[#This Row],[EDAD]]&lt;=35,"Adultos jóvenes 18 - 35 años",IF(C226&gt;=36,"Adultos mayores 36 años en adelante"))</f>
        <v>Adultos jóvenes 18 - 35 años</v>
      </c>
      <c r="E226" s="3" t="s">
        <v>5017</v>
      </c>
      <c r="F226" s="3" t="s">
        <v>5024</v>
      </c>
      <c r="G226" s="3" t="s">
        <v>5031</v>
      </c>
      <c r="H226" s="3" t="s">
        <v>9832</v>
      </c>
      <c r="I226" s="17">
        <v>45579</v>
      </c>
      <c r="J226" s="18">
        <f>YEAR(Tabla1[[#This Row],[FECHA DE COMPRA]])</f>
        <v>2024</v>
      </c>
      <c r="K226" s="19">
        <v>58.83</v>
      </c>
      <c r="L226" s="20">
        <v>0.1</v>
      </c>
      <c r="M226" s="19">
        <f>Tienda!$K590-Tienda!$K590*Tienda!$L590</f>
        <v>92.743000000000009</v>
      </c>
      <c r="N226" s="3" t="s">
        <v>10039</v>
      </c>
      <c r="O226" s="3" t="s">
        <v>10041</v>
      </c>
      <c r="P226" s="17">
        <v>45579</v>
      </c>
      <c r="Q226" s="4">
        <v>0</v>
      </c>
    </row>
    <row r="227" spans="1:17" x14ac:dyDescent="0.25">
      <c r="A227" s="2" t="s">
        <v>4135</v>
      </c>
      <c r="B227" s="3" t="s">
        <v>5016</v>
      </c>
      <c r="C227" s="3">
        <v>31</v>
      </c>
      <c r="D227" s="46" t="str">
        <f>IF(Tabla1[[#This Row],[EDAD]]&lt;=35,"Adultos jóvenes 18 - 35 años",IF(C227&gt;=36,"Adultos mayores 36 años en adelante"))</f>
        <v>Adultos jóvenes 18 - 35 años</v>
      </c>
      <c r="E227" s="3" t="s">
        <v>5021</v>
      </c>
      <c r="F227" s="3" t="s">
        <v>5027</v>
      </c>
      <c r="G227" s="3" t="s">
        <v>5033</v>
      </c>
      <c r="H227" s="3" t="s">
        <v>9158</v>
      </c>
      <c r="I227" s="17">
        <v>45581</v>
      </c>
      <c r="J227" s="18">
        <f>YEAR(Tabla1[[#This Row],[FECHA DE COMPRA]])</f>
        <v>2024</v>
      </c>
      <c r="K227" s="19">
        <v>24.96</v>
      </c>
      <c r="L227" s="20">
        <v>0.3</v>
      </c>
      <c r="M227" s="19">
        <f>Tienda!$K591-Tienda!$K591*Tienda!$L591</f>
        <v>94.016999999999996</v>
      </c>
      <c r="N227" s="3" t="s">
        <v>10039</v>
      </c>
      <c r="O227" s="3" t="s">
        <v>10041</v>
      </c>
      <c r="P227" s="17">
        <v>45581</v>
      </c>
      <c r="Q227" s="4">
        <v>0</v>
      </c>
    </row>
    <row r="228" spans="1:17" x14ac:dyDescent="0.25">
      <c r="A228" s="2" t="s">
        <v>4658</v>
      </c>
      <c r="B228" s="3" t="s">
        <v>5016</v>
      </c>
      <c r="C228" s="3">
        <v>35</v>
      </c>
      <c r="D228" s="46" t="str">
        <f>IF(Tabla1[[#This Row],[EDAD]]&lt;=35,"Adultos jóvenes 18 - 35 años",IF(C228&gt;=36,"Adultos mayores 36 años en adelante"))</f>
        <v>Adultos jóvenes 18 - 35 años</v>
      </c>
      <c r="E228" s="3" t="s">
        <v>5021</v>
      </c>
      <c r="F228" s="3" t="s">
        <v>5028</v>
      </c>
      <c r="G228" s="3" t="s">
        <v>5035</v>
      </c>
      <c r="H228" s="3" t="s">
        <v>9681</v>
      </c>
      <c r="I228" s="17">
        <v>45581</v>
      </c>
      <c r="J228" s="18">
        <f>YEAR(Tabla1[[#This Row],[FECHA DE COMPRA]])</f>
        <v>2024</v>
      </c>
      <c r="K228" s="19">
        <v>140.43</v>
      </c>
      <c r="L228" s="20">
        <v>0</v>
      </c>
      <c r="M228" s="19">
        <f>Tienda!$K592-Tienda!$K592*Tienda!$L592</f>
        <v>95.25</v>
      </c>
      <c r="N228" s="3" t="s">
        <v>10039</v>
      </c>
      <c r="O228" s="3" t="s">
        <v>10041</v>
      </c>
      <c r="P228" s="17">
        <v>45581</v>
      </c>
      <c r="Q228" s="4">
        <v>0</v>
      </c>
    </row>
    <row r="229" spans="1:17" x14ac:dyDescent="0.25">
      <c r="A229" s="2" t="s">
        <v>136</v>
      </c>
      <c r="B229" s="3" t="s">
        <v>5015</v>
      </c>
      <c r="C229" s="3">
        <v>25</v>
      </c>
      <c r="D229" s="46" t="str">
        <f>IF(Tabla1[[#This Row],[EDAD]]&lt;=35,"Adultos jóvenes 18 - 35 años",IF(C229&gt;=36,"Adultos mayores 36 años en adelante"))</f>
        <v>Adultos jóvenes 18 - 35 años</v>
      </c>
      <c r="E229" s="3" t="s">
        <v>5019</v>
      </c>
      <c r="F229" s="3" t="s">
        <v>5029</v>
      </c>
      <c r="G229" s="3" t="s">
        <v>5032</v>
      </c>
      <c r="H229" s="3" t="s">
        <v>5159</v>
      </c>
      <c r="I229" s="17">
        <v>45582</v>
      </c>
      <c r="J229" s="18">
        <f>YEAR(Tabla1[[#This Row],[FECHA DE COMPRA]])</f>
        <v>2024</v>
      </c>
      <c r="K229" s="19">
        <v>159.68</v>
      </c>
      <c r="L229" s="20">
        <v>0.2</v>
      </c>
      <c r="M229" s="19">
        <f>Tienda!$K595-Tienda!$K595*Tienda!$L595</f>
        <v>98.88300000000001</v>
      </c>
      <c r="N229" s="3" t="s">
        <v>10039</v>
      </c>
      <c r="O229" s="3" t="s">
        <v>10041</v>
      </c>
      <c r="P229" s="17">
        <v>45582</v>
      </c>
      <c r="Q229" s="4">
        <v>0</v>
      </c>
    </row>
    <row r="230" spans="1:17" x14ac:dyDescent="0.25">
      <c r="A230" s="2" t="s">
        <v>3022</v>
      </c>
      <c r="B230" s="3" t="s">
        <v>5016</v>
      </c>
      <c r="C230" s="3">
        <v>21</v>
      </c>
      <c r="D230" s="46" t="str">
        <f>IF(Tabla1[[#This Row],[EDAD]]&lt;=35,"Adultos jóvenes 18 - 35 años",IF(C230&gt;=36,"Adultos mayores 36 años en adelante"))</f>
        <v>Adultos jóvenes 18 - 35 años</v>
      </c>
      <c r="E230" s="3" t="s">
        <v>5021</v>
      </c>
      <c r="F230" s="3" t="s">
        <v>5030</v>
      </c>
      <c r="G230" s="3" t="s">
        <v>5033</v>
      </c>
      <c r="H230" s="3" t="s">
        <v>8045</v>
      </c>
      <c r="I230" s="17">
        <v>45585</v>
      </c>
      <c r="J230" s="18">
        <f>YEAR(Tabla1[[#This Row],[FECHA DE COMPRA]])</f>
        <v>2024</v>
      </c>
      <c r="K230" s="19">
        <v>25.48</v>
      </c>
      <c r="L230" s="20">
        <v>0</v>
      </c>
      <c r="M230" s="19">
        <f>Tienda!$K602-Tienda!$K602*Tienda!$L602</f>
        <v>106.12</v>
      </c>
      <c r="N230" s="3" t="s">
        <v>10039</v>
      </c>
      <c r="O230" s="3" t="s">
        <v>10041</v>
      </c>
      <c r="P230" s="17">
        <v>45585</v>
      </c>
      <c r="Q230" s="4">
        <v>0</v>
      </c>
    </row>
    <row r="231" spans="1:17" x14ac:dyDescent="0.25">
      <c r="A231" s="2" t="s">
        <v>1882</v>
      </c>
      <c r="B231" s="3" t="s">
        <v>5015</v>
      </c>
      <c r="C231" s="3">
        <v>33</v>
      </c>
      <c r="D231" s="46" t="str">
        <f>IF(Tabla1[[#This Row],[EDAD]]&lt;=35,"Adultos jóvenes 18 - 35 años",IF(C231&gt;=36,"Adultos mayores 36 años en adelante"))</f>
        <v>Adultos jóvenes 18 - 35 años</v>
      </c>
      <c r="E231" s="3" t="s">
        <v>5019</v>
      </c>
      <c r="F231" s="3" t="s">
        <v>5026</v>
      </c>
      <c r="G231" s="3" t="s">
        <v>5034</v>
      </c>
      <c r="H231" s="3" t="s">
        <v>6905</v>
      </c>
      <c r="I231" s="17">
        <v>45586</v>
      </c>
      <c r="J231" s="18">
        <f>YEAR(Tabla1[[#This Row],[FECHA DE COMPRA]])</f>
        <v>2024</v>
      </c>
      <c r="K231" s="19">
        <v>28.65</v>
      </c>
      <c r="L231" s="20">
        <v>0.2</v>
      </c>
      <c r="M231" s="19">
        <f>Tienda!$K606-Tienda!$K606*Tienda!$L606</f>
        <v>108.369</v>
      </c>
      <c r="N231" s="3" t="s">
        <v>10039</v>
      </c>
      <c r="O231" s="3" t="s">
        <v>10041</v>
      </c>
      <c r="P231" s="17">
        <v>45586</v>
      </c>
      <c r="Q231" s="4">
        <v>0</v>
      </c>
    </row>
    <row r="232" spans="1:17" x14ac:dyDescent="0.25">
      <c r="A232" s="2" t="s">
        <v>1226</v>
      </c>
      <c r="B232" s="3" t="s">
        <v>5015</v>
      </c>
      <c r="C232" s="3">
        <v>33</v>
      </c>
      <c r="D232" s="46" t="str">
        <f>IF(Tabla1[[#This Row],[EDAD]]&lt;=35,"Adultos jóvenes 18 - 35 años",IF(C232&gt;=36,"Adultos mayores 36 años en adelante"))</f>
        <v>Adultos jóvenes 18 - 35 años</v>
      </c>
      <c r="E232" s="3" t="s">
        <v>5020</v>
      </c>
      <c r="F232" s="3" t="s">
        <v>5025</v>
      </c>
      <c r="G232" s="3" t="s">
        <v>5034</v>
      </c>
      <c r="H232" s="3" t="s">
        <v>6249</v>
      </c>
      <c r="I232" s="17">
        <v>45588</v>
      </c>
      <c r="J232" s="18">
        <f>YEAR(Tabla1[[#This Row],[FECHA DE COMPRA]])</f>
        <v>2024</v>
      </c>
      <c r="K232" s="19">
        <v>14.57</v>
      </c>
      <c r="L232" s="20">
        <v>0.1</v>
      </c>
      <c r="M232" s="19">
        <f>Tienda!$K610-Tienda!$K610*Tienda!$L610</f>
        <v>110.97</v>
      </c>
      <c r="N232" s="3" t="s">
        <v>10039</v>
      </c>
      <c r="O232" s="3" t="s">
        <v>10041</v>
      </c>
      <c r="P232" s="17">
        <v>45588</v>
      </c>
      <c r="Q232" s="4">
        <v>0</v>
      </c>
    </row>
    <row r="233" spans="1:17" x14ac:dyDescent="0.25">
      <c r="A233" s="2" t="s">
        <v>4200</v>
      </c>
      <c r="B233" s="3" t="s">
        <v>5016</v>
      </c>
      <c r="C233" s="3">
        <v>23</v>
      </c>
      <c r="D233" s="46" t="str">
        <f>IF(Tabla1[[#This Row],[EDAD]]&lt;=35,"Adultos jóvenes 18 - 35 años",IF(C233&gt;=36,"Adultos mayores 36 años en adelante"))</f>
        <v>Adultos jóvenes 18 - 35 años</v>
      </c>
      <c r="E233" s="3" t="s">
        <v>5019</v>
      </c>
      <c r="F233" s="3" t="s">
        <v>5029</v>
      </c>
      <c r="G233" s="3" t="s">
        <v>5037</v>
      </c>
      <c r="H233" s="3" t="s">
        <v>9223</v>
      </c>
      <c r="I233" s="17">
        <v>45590</v>
      </c>
      <c r="J233" s="18">
        <f>YEAR(Tabla1[[#This Row],[FECHA DE COMPRA]])</f>
        <v>2024</v>
      </c>
      <c r="K233" s="19">
        <v>61.86</v>
      </c>
      <c r="L233" s="20">
        <v>0.2</v>
      </c>
      <c r="M233" s="19">
        <f>Tienda!$K617-Tienda!$K617*Tienda!$L617</f>
        <v>116.16800000000001</v>
      </c>
      <c r="N233" s="3" t="s">
        <v>10039</v>
      </c>
      <c r="O233" s="3" t="s">
        <v>10041</v>
      </c>
      <c r="P233" s="17">
        <v>45590</v>
      </c>
      <c r="Q233" s="4">
        <v>0</v>
      </c>
    </row>
    <row r="234" spans="1:17" x14ac:dyDescent="0.25">
      <c r="A234" s="2" t="s">
        <v>2538</v>
      </c>
      <c r="B234" s="3" t="s">
        <v>5015</v>
      </c>
      <c r="C234" s="3">
        <v>19</v>
      </c>
      <c r="D234" s="46" t="str">
        <f>IF(Tabla1[[#This Row],[EDAD]]&lt;=35,"Adultos jóvenes 18 - 35 años",IF(C234&gt;=36,"Adultos mayores 36 años en adelante"))</f>
        <v>Adultos jóvenes 18 - 35 años</v>
      </c>
      <c r="E234" s="3" t="s">
        <v>5017</v>
      </c>
      <c r="F234" s="3" t="s">
        <v>5024</v>
      </c>
      <c r="G234" s="3" t="s">
        <v>5037</v>
      </c>
      <c r="H234" s="3" t="s">
        <v>7561</v>
      </c>
      <c r="I234" s="17">
        <v>45592</v>
      </c>
      <c r="J234" s="18">
        <f>YEAR(Tabla1[[#This Row],[FECHA DE COMPRA]])</f>
        <v>2024</v>
      </c>
      <c r="K234" s="19">
        <v>10.64</v>
      </c>
      <c r="L234" s="20">
        <v>0.1</v>
      </c>
      <c r="M234" s="19">
        <f>Tienda!$K622-Tienda!$K622*Tienda!$L622</f>
        <v>119.98</v>
      </c>
      <c r="N234" s="3" t="s">
        <v>10039</v>
      </c>
      <c r="O234" s="3" t="s">
        <v>10041</v>
      </c>
      <c r="P234" s="17">
        <v>45592</v>
      </c>
      <c r="Q234" s="4">
        <v>0</v>
      </c>
    </row>
    <row r="235" spans="1:17" x14ac:dyDescent="0.25">
      <c r="A235" s="2" t="s">
        <v>591</v>
      </c>
      <c r="B235" s="3" t="s">
        <v>5015</v>
      </c>
      <c r="C235" s="3">
        <v>22</v>
      </c>
      <c r="D235" s="46" t="str">
        <f>IF(Tabla1[[#This Row],[EDAD]]&lt;=35,"Adultos jóvenes 18 - 35 años",IF(C235&gt;=36,"Adultos mayores 36 años en adelante"))</f>
        <v>Adultos jóvenes 18 - 35 años</v>
      </c>
      <c r="E235" s="3" t="s">
        <v>5019</v>
      </c>
      <c r="F235" s="3" t="s">
        <v>5030</v>
      </c>
      <c r="G235" s="3" t="s">
        <v>5031</v>
      </c>
      <c r="H235" s="3" t="s">
        <v>5614</v>
      </c>
      <c r="I235" s="17">
        <v>45592</v>
      </c>
      <c r="J235" s="18">
        <f>YEAR(Tabla1[[#This Row],[FECHA DE COMPRA]])</f>
        <v>2024</v>
      </c>
      <c r="K235" s="19">
        <v>104.49</v>
      </c>
      <c r="L235" s="20">
        <v>0.3</v>
      </c>
      <c r="M235" s="19">
        <f>Tienda!$K623-Tienda!$K623*Tienda!$L623</f>
        <v>120.3</v>
      </c>
      <c r="N235" s="3" t="s">
        <v>10039</v>
      </c>
      <c r="O235" s="3" t="s">
        <v>10041</v>
      </c>
      <c r="P235" s="17">
        <v>45592</v>
      </c>
      <c r="Q235" s="4">
        <v>0</v>
      </c>
    </row>
    <row r="236" spans="1:17" x14ac:dyDescent="0.25">
      <c r="A236" s="2" t="s">
        <v>1211</v>
      </c>
      <c r="B236" s="3" t="s">
        <v>5015</v>
      </c>
      <c r="C236" s="3">
        <v>29</v>
      </c>
      <c r="D236" s="46" t="str">
        <f>IF(Tabla1[[#This Row],[EDAD]]&lt;=35,"Adultos jóvenes 18 - 35 años",IF(C236&gt;=36,"Adultos mayores 36 años en adelante"))</f>
        <v>Adultos jóvenes 18 - 35 años</v>
      </c>
      <c r="E236" s="3" t="s">
        <v>5022</v>
      </c>
      <c r="F236" s="3" t="s">
        <v>5024</v>
      </c>
      <c r="G236" s="3" t="s">
        <v>5035</v>
      </c>
      <c r="H236" s="3" t="s">
        <v>6234</v>
      </c>
      <c r="I236" s="17">
        <v>45593</v>
      </c>
      <c r="J236" s="18">
        <f>YEAR(Tabla1[[#This Row],[FECHA DE COMPRA]])</f>
        <v>2024</v>
      </c>
      <c r="K236" s="19">
        <v>35.9</v>
      </c>
      <c r="L236" s="20">
        <v>0.2</v>
      </c>
      <c r="M236" s="19">
        <f>Tienda!$K624-Tienda!$K624*Tienda!$L624</f>
        <v>121.85</v>
      </c>
      <c r="N236" s="3" t="s">
        <v>10039</v>
      </c>
      <c r="O236" s="3" t="s">
        <v>10041</v>
      </c>
      <c r="P236" s="17">
        <v>45593</v>
      </c>
      <c r="Q236" s="4">
        <v>0</v>
      </c>
    </row>
    <row r="237" spans="1:17" x14ac:dyDescent="0.25">
      <c r="A237" s="2" t="s">
        <v>4110</v>
      </c>
      <c r="B237" s="3" t="s">
        <v>5016</v>
      </c>
      <c r="C237" s="3">
        <v>31</v>
      </c>
      <c r="D237" s="46" t="str">
        <f>IF(Tabla1[[#This Row],[EDAD]]&lt;=35,"Adultos jóvenes 18 - 35 años",IF(C237&gt;=36,"Adultos mayores 36 años en adelante"))</f>
        <v>Adultos jóvenes 18 - 35 años</v>
      </c>
      <c r="E237" s="3" t="s">
        <v>5021</v>
      </c>
      <c r="F237" s="3" t="s">
        <v>5028</v>
      </c>
      <c r="G237" s="3" t="s">
        <v>5036</v>
      </c>
      <c r="H237" s="3" t="s">
        <v>9133</v>
      </c>
      <c r="I237" s="17">
        <v>45593</v>
      </c>
      <c r="J237" s="18">
        <f>YEAR(Tabla1[[#This Row],[FECHA DE COMPRA]])</f>
        <v>2024</v>
      </c>
      <c r="K237" s="19">
        <v>189.65</v>
      </c>
      <c r="L237" s="20">
        <v>0.1</v>
      </c>
      <c r="M237" s="19">
        <f>Tienda!$K625-Tienda!$K625*Tienda!$L625</f>
        <v>125.048</v>
      </c>
      <c r="N237" s="3" t="s">
        <v>10039</v>
      </c>
      <c r="O237" s="3" t="s">
        <v>10041</v>
      </c>
      <c r="P237" s="17">
        <v>45593</v>
      </c>
      <c r="Q237" s="4">
        <v>0</v>
      </c>
    </row>
    <row r="238" spans="1:17" x14ac:dyDescent="0.25">
      <c r="A238" s="2" t="s">
        <v>2855</v>
      </c>
      <c r="B238" s="3" t="s">
        <v>5015</v>
      </c>
      <c r="C238" s="3">
        <v>34</v>
      </c>
      <c r="D238" s="46" t="str">
        <f>IF(Tabla1[[#This Row],[EDAD]]&lt;=35,"Adultos jóvenes 18 - 35 años",IF(C238&gt;=36,"Adultos mayores 36 años en adelante"))</f>
        <v>Adultos jóvenes 18 - 35 años</v>
      </c>
      <c r="E238" s="3" t="s">
        <v>5018</v>
      </c>
      <c r="F238" s="3" t="s">
        <v>5024</v>
      </c>
      <c r="G238" s="3" t="s">
        <v>5035</v>
      </c>
      <c r="H238" s="3" t="s">
        <v>7878</v>
      </c>
      <c r="I238" s="17">
        <v>45624</v>
      </c>
      <c r="J238" s="18">
        <f>YEAR(Tabla1[[#This Row],[FECHA DE COMPRA]])</f>
        <v>2024</v>
      </c>
      <c r="K238" s="19">
        <v>39.56</v>
      </c>
      <c r="L238" s="20">
        <v>0.3</v>
      </c>
      <c r="M238" s="19">
        <f>Tienda!$K633-Tienda!$K633*Tienda!$L633</f>
        <v>129.72</v>
      </c>
      <c r="N238" s="3" t="s">
        <v>10039</v>
      </c>
      <c r="O238" s="3" t="s">
        <v>10041</v>
      </c>
      <c r="P238" s="17">
        <v>45475</v>
      </c>
      <c r="Q238" s="4">
        <v>0</v>
      </c>
    </row>
    <row r="239" spans="1:17" x14ac:dyDescent="0.25">
      <c r="A239" s="2" t="s">
        <v>2837</v>
      </c>
      <c r="B239" s="3" t="s">
        <v>5015</v>
      </c>
      <c r="C239" s="3">
        <v>22</v>
      </c>
      <c r="D239" s="46" t="str">
        <f>IF(Tabla1[[#This Row],[EDAD]]&lt;=35,"Adultos jóvenes 18 - 35 años",IF(C239&gt;=36,"Adultos mayores 36 años en adelante"))</f>
        <v>Adultos jóvenes 18 - 35 años</v>
      </c>
      <c r="E239" s="3" t="s">
        <v>5021</v>
      </c>
      <c r="F239" s="3" t="s">
        <v>5030</v>
      </c>
      <c r="G239" s="3" t="s">
        <v>5035</v>
      </c>
      <c r="H239" s="3" t="s">
        <v>7860</v>
      </c>
      <c r="I239" s="17">
        <v>45624</v>
      </c>
      <c r="J239" s="18">
        <f>YEAR(Tabla1[[#This Row],[FECHA DE COMPRA]])</f>
        <v>2024</v>
      </c>
      <c r="K239" s="19">
        <v>102.61</v>
      </c>
      <c r="L239" s="20">
        <v>0.2</v>
      </c>
      <c r="M239" s="19">
        <f>Tienda!$K638-Tienda!$K638*Tienda!$L638</f>
        <v>135.94400000000002</v>
      </c>
      <c r="N239" s="3" t="s">
        <v>10039</v>
      </c>
      <c r="O239" s="3" t="s">
        <v>10041</v>
      </c>
      <c r="P239" s="17">
        <v>45479</v>
      </c>
      <c r="Q239" s="4">
        <v>0</v>
      </c>
    </row>
    <row r="240" spans="1:17" x14ac:dyDescent="0.25">
      <c r="A240" s="2" t="s">
        <v>4726</v>
      </c>
      <c r="B240" s="3" t="s">
        <v>5016</v>
      </c>
      <c r="C240" s="3">
        <v>29</v>
      </c>
      <c r="D240" s="46" t="str">
        <f>IF(Tabla1[[#This Row],[EDAD]]&lt;=35,"Adultos jóvenes 18 - 35 años",IF(C240&gt;=36,"Adultos mayores 36 años en adelante"))</f>
        <v>Adultos jóvenes 18 - 35 años</v>
      </c>
      <c r="E240" s="3" t="s">
        <v>5023</v>
      </c>
      <c r="F240" s="3" t="s">
        <v>5028</v>
      </c>
      <c r="G240" s="3" t="s">
        <v>5031</v>
      </c>
      <c r="H240" s="3" t="s">
        <v>9749</v>
      </c>
      <c r="I240" s="17">
        <v>45624</v>
      </c>
      <c r="J240" s="18">
        <f>YEAR(Tabla1[[#This Row],[FECHA DE COMPRA]])</f>
        <v>2024</v>
      </c>
      <c r="K240" s="19">
        <v>154.99</v>
      </c>
      <c r="L240" s="20">
        <v>0.1</v>
      </c>
      <c r="M240" s="19">
        <f>Tienda!$K639-Tienda!$K639*Tienda!$L639</f>
        <v>136.125</v>
      </c>
      <c r="N240" s="3" t="s">
        <v>10039</v>
      </c>
      <c r="O240" s="3" t="s">
        <v>10041</v>
      </c>
      <c r="P240" s="17">
        <v>45481</v>
      </c>
      <c r="Q240" s="4">
        <v>0</v>
      </c>
    </row>
    <row r="241" spans="1:17" x14ac:dyDescent="0.25">
      <c r="A241" s="2" t="s">
        <v>3453</v>
      </c>
      <c r="B241" s="3" t="s">
        <v>5015</v>
      </c>
      <c r="C241" s="3">
        <v>19</v>
      </c>
      <c r="D241" s="46" t="str">
        <f>IF(Tabla1[[#This Row],[EDAD]]&lt;=35,"Adultos jóvenes 18 - 35 años",IF(C241&gt;=36,"Adultos mayores 36 años en adelante"))</f>
        <v>Adultos jóvenes 18 - 35 años</v>
      </c>
      <c r="E241" s="3" t="s">
        <v>5017</v>
      </c>
      <c r="F241" s="3" t="s">
        <v>5027</v>
      </c>
      <c r="G241" s="3" t="s">
        <v>5031</v>
      </c>
      <c r="H241" s="3" t="s">
        <v>8476</v>
      </c>
      <c r="I241" s="17">
        <v>45624</v>
      </c>
      <c r="J241" s="18">
        <f>YEAR(Tabla1[[#This Row],[FECHA DE COMPRA]])</f>
        <v>2024</v>
      </c>
      <c r="K241" s="19">
        <v>199.81</v>
      </c>
      <c r="L241" s="20">
        <v>0.1</v>
      </c>
      <c r="M241" s="19">
        <f>Tienda!$K643-Tienda!$K643*Tienda!$L643</f>
        <v>142.23599999999999</v>
      </c>
      <c r="N241" s="3" t="s">
        <v>10039</v>
      </c>
      <c r="O241" s="3" t="s">
        <v>10041</v>
      </c>
      <c r="P241" s="17">
        <v>45484</v>
      </c>
      <c r="Q241" s="4">
        <v>0</v>
      </c>
    </row>
    <row r="242" spans="1:17" x14ac:dyDescent="0.25">
      <c r="A242" s="2" t="s">
        <v>3850</v>
      </c>
      <c r="B242" s="3" t="s">
        <v>5015</v>
      </c>
      <c r="C242" s="3">
        <v>25</v>
      </c>
      <c r="D242" s="46" t="str">
        <f>IF(Tabla1[[#This Row],[EDAD]]&lt;=35,"Adultos jóvenes 18 - 35 años",IF(C242&gt;=36,"Adultos mayores 36 años en adelante"))</f>
        <v>Adultos jóvenes 18 - 35 años</v>
      </c>
      <c r="E242" s="3" t="s">
        <v>5020</v>
      </c>
      <c r="F242" s="3" t="s">
        <v>5025</v>
      </c>
      <c r="G242" s="3" t="s">
        <v>5031</v>
      </c>
      <c r="H242" s="3" t="s">
        <v>8873</v>
      </c>
      <c r="I242" s="17">
        <v>45624</v>
      </c>
      <c r="J242" s="18">
        <f>YEAR(Tabla1[[#This Row],[FECHA DE COMPRA]])</f>
        <v>2024</v>
      </c>
      <c r="K242" s="19">
        <v>142.22999999999999</v>
      </c>
      <c r="L242" s="20">
        <v>0.1</v>
      </c>
      <c r="M242" s="19">
        <f>Tienda!$K645-Tienda!$K645*Tienda!$L645</f>
        <v>142.95999999999998</v>
      </c>
      <c r="N242" s="3" t="s">
        <v>10039</v>
      </c>
      <c r="O242" s="3" t="s">
        <v>10041</v>
      </c>
      <c r="P242" s="17">
        <v>45486</v>
      </c>
      <c r="Q242" s="4">
        <v>0</v>
      </c>
    </row>
    <row r="243" spans="1:17" x14ac:dyDescent="0.25">
      <c r="A243" s="2" t="s">
        <v>1729</v>
      </c>
      <c r="B243" s="3" t="s">
        <v>5015</v>
      </c>
      <c r="C243" s="3">
        <v>18</v>
      </c>
      <c r="D243" s="46" t="str">
        <f>IF(Tabla1[[#This Row],[EDAD]]&lt;=35,"Adultos jóvenes 18 - 35 años",IF(C243&gt;=36,"Adultos mayores 36 años en adelante"))</f>
        <v>Adultos jóvenes 18 - 35 años</v>
      </c>
      <c r="E243" s="3" t="s">
        <v>5018</v>
      </c>
      <c r="F243" s="3" t="s">
        <v>5025</v>
      </c>
      <c r="G243" s="3" t="s">
        <v>5036</v>
      </c>
      <c r="H243" s="3" t="s">
        <v>6752</v>
      </c>
      <c r="I243" s="17">
        <v>45624</v>
      </c>
      <c r="J243" s="18">
        <f>YEAR(Tabla1[[#This Row],[FECHA DE COMPRA]])</f>
        <v>2024</v>
      </c>
      <c r="K243" s="19">
        <v>84.32</v>
      </c>
      <c r="L243" s="20">
        <v>0.1</v>
      </c>
      <c r="M243" s="19">
        <f>Tienda!$K652-Tienda!$K652*Tienda!$L652</f>
        <v>146.59200000000001</v>
      </c>
      <c r="N243" s="3" t="s">
        <v>10039</v>
      </c>
      <c r="O243" s="3" t="s">
        <v>10041</v>
      </c>
      <c r="P243" s="17">
        <v>45489</v>
      </c>
      <c r="Q243" s="4">
        <v>0</v>
      </c>
    </row>
    <row r="244" spans="1:17" x14ac:dyDescent="0.25">
      <c r="A244" s="2" t="s">
        <v>333</v>
      </c>
      <c r="B244" s="3" t="s">
        <v>5015</v>
      </c>
      <c r="C244" s="3">
        <v>28</v>
      </c>
      <c r="D244" s="46" t="str">
        <f>IF(Tabla1[[#This Row],[EDAD]]&lt;=35,"Adultos jóvenes 18 - 35 años",IF(C244&gt;=36,"Adultos mayores 36 años en adelante"))</f>
        <v>Adultos jóvenes 18 - 35 años</v>
      </c>
      <c r="E244" s="3" t="s">
        <v>5018</v>
      </c>
      <c r="F244" s="3" t="s">
        <v>5025</v>
      </c>
      <c r="G244" s="3" t="s">
        <v>5033</v>
      </c>
      <c r="H244" s="3" t="s">
        <v>5356</v>
      </c>
      <c r="I244" s="17">
        <v>45624</v>
      </c>
      <c r="J244" s="18">
        <f>YEAR(Tabla1[[#This Row],[FECHA DE COMPRA]])</f>
        <v>2024</v>
      </c>
      <c r="K244" s="19">
        <v>113.59</v>
      </c>
      <c r="L244" s="20">
        <v>0</v>
      </c>
      <c r="M244" s="19">
        <f>Tienda!$K653-Tienda!$K653*Tienda!$L653</f>
        <v>150.22799999999998</v>
      </c>
      <c r="N244" s="3" t="s">
        <v>10039</v>
      </c>
      <c r="O244" s="3" t="s">
        <v>10041</v>
      </c>
      <c r="P244" s="17">
        <v>45490</v>
      </c>
      <c r="Q244" s="4">
        <v>0</v>
      </c>
    </row>
    <row r="245" spans="1:17" x14ac:dyDescent="0.25">
      <c r="A245" s="2" t="s">
        <v>4507</v>
      </c>
      <c r="B245" s="3" t="s">
        <v>5015</v>
      </c>
      <c r="C245" s="3">
        <v>35</v>
      </c>
      <c r="D245" s="46" t="str">
        <f>IF(Tabla1[[#This Row],[EDAD]]&lt;=35,"Adultos jóvenes 18 - 35 años",IF(C245&gt;=36,"Adultos mayores 36 años en adelante"))</f>
        <v>Adultos jóvenes 18 - 35 años</v>
      </c>
      <c r="E245" s="3" t="s">
        <v>5018</v>
      </c>
      <c r="F245" s="3" t="s">
        <v>5024</v>
      </c>
      <c r="G245" s="3" t="s">
        <v>5035</v>
      </c>
      <c r="H245" s="3" t="s">
        <v>9530</v>
      </c>
      <c r="I245" s="17">
        <v>45624</v>
      </c>
      <c r="J245" s="18">
        <f>YEAR(Tabla1[[#This Row],[FECHA DE COMPRA]])</f>
        <v>2024</v>
      </c>
      <c r="K245" s="19">
        <v>71.55</v>
      </c>
      <c r="L245" s="20">
        <v>0.1</v>
      </c>
      <c r="M245" s="19">
        <f>Tienda!$K655-Tienda!$K655*Tienda!$L655</f>
        <v>152.65</v>
      </c>
      <c r="N245" s="3" t="s">
        <v>10039</v>
      </c>
      <c r="O245" s="3" t="s">
        <v>10041</v>
      </c>
      <c r="P245" s="17">
        <v>45491</v>
      </c>
      <c r="Q245" s="4">
        <v>0</v>
      </c>
    </row>
    <row r="246" spans="1:17" x14ac:dyDescent="0.25">
      <c r="A246" s="2" t="s">
        <v>194</v>
      </c>
      <c r="B246" s="3" t="s">
        <v>5015</v>
      </c>
      <c r="C246" s="3">
        <v>34</v>
      </c>
      <c r="D246" s="46" t="str">
        <f>IF(Tabla1[[#This Row],[EDAD]]&lt;=35,"Adultos jóvenes 18 - 35 años",IF(C246&gt;=36,"Adultos mayores 36 años en adelante"))</f>
        <v>Adultos jóvenes 18 - 35 años</v>
      </c>
      <c r="E246" s="3" t="s">
        <v>5020</v>
      </c>
      <c r="F246" s="3" t="s">
        <v>5026</v>
      </c>
      <c r="G246" s="3" t="s">
        <v>5035</v>
      </c>
      <c r="H246" s="3" t="s">
        <v>5217</v>
      </c>
      <c r="I246" s="17">
        <v>45624</v>
      </c>
      <c r="J246" s="18">
        <f>YEAR(Tabla1[[#This Row],[FECHA DE COMPRA]])</f>
        <v>2024</v>
      </c>
      <c r="K246" s="19">
        <v>100.92</v>
      </c>
      <c r="L246" s="20">
        <v>0.2</v>
      </c>
      <c r="M246" s="19">
        <f>Tienda!$K657-Tienda!$K657*Tienda!$L657</f>
        <v>156.99200000000002</v>
      </c>
      <c r="N246" s="3" t="s">
        <v>10039</v>
      </c>
      <c r="O246" s="3" t="s">
        <v>10041</v>
      </c>
      <c r="P246" s="17">
        <v>45493</v>
      </c>
      <c r="Q246" s="4">
        <v>0</v>
      </c>
    </row>
    <row r="247" spans="1:17" x14ac:dyDescent="0.25">
      <c r="A247" s="2" t="s">
        <v>1596</v>
      </c>
      <c r="B247" s="3" t="s">
        <v>5016</v>
      </c>
      <c r="C247" s="3">
        <v>25</v>
      </c>
      <c r="D247" s="46" t="str">
        <f>IF(Tabla1[[#This Row],[EDAD]]&lt;=35,"Adultos jóvenes 18 - 35 años",IF(C247&gt;=36,"Adultos mayores 36 años en adelante"))</f>
        <v>Adultos jóvenes 18 - 35 años</v>
      </c>
      <c r="E247" s="3" t="s">
        <v>5019</v>
      </c>
      <c r="F247" s="3" t="s">
        <v>5029</v>
      </c>
      <c r="G247" s="3" t="s">
        <v>5035</v>
      </c>
      <c r="H247" s="3" t="s">
        <v>6619</v>
      </c>
      <c r="I247" s="17">
        <v>45624</v>
      </c>
      <c r="J247" s="18">
        <f>YEAR(Tabla1[[#This Row],[FECHA DE COMPRA]])</f>
        <v>2024</v>
      </c>
      <c r="K247" s="19">
        <v>98.44</v>
      </c>
      <c r="L247" s="20">
        <v>0.3</v>
      </c>
      <c r="M247" s="19">
        <f>Tienda!$K659-Tienda!$K659*Tienda!$L659</f>
        <v>157.01</v>
      </c>
      <c r="N247" s="3" t="s">
        <v>10039</v>
      </c>
      <c r="O247" s="3" t="s">
        <v>10041</v>
      </c>
      <c r="P247" s="17">
        <v>45495</v>
      </c>
      <c r="Q247" s="4">
        <v>0</v>
      </c>
    </row>
    <row r="248" spans="1:17" x14ac:dyDescent="0.25">
      <c r="A248" s="2" t="s">
        <v>1139</v>
      </c>
      <c r="B248" s="3" t="s">
        <v>5016</v>
      </c>
      <c r="C248" s="3">
        <v>20</v>
      </c>
      <c r="D248" s="46" t="str">
        <f>IF(Tabla1[[#This Row],[EDAD]]&lt;=35,"Adultos jóvenes 18 - 35 años",IF(C248&gt;=36,"Adultos mayores 36 años en adelante"))</f>
        <v>Adultos jóvenes 18 - 35 años</v>
      </c>
      <c r="E248" s="3" t="s">
        <v>5021</v>
      </c>
      <c r="F248" s="3" t="s">
        <v>5027</v>
      </c>
      <c r="G248" s="3" t="s">
        <v>5034</v>
      </c>
      <c r="H248" s="3" t="s">
        <v>6162</v>
      </c>
      <c r="I248" s="17">
        <v>45624</v>
      </c>
      <c r="J248" s="18">
        <f>YEAR(Tabla1[[#This Row],[FECHA DE COMPRA]])</f>
        <v>2024</v>
      </c>
      <c r="K248" s="19">
        <v>111</v>
      </c>
      <c r="L248" s="20">
        <v>0</v>
      </c>
      <c r="M248" s="19">
        <f>Tienda!$K660-Tienda!$K660*Tienda!$L660</f>
        <v>157.93</v>
      </c>
      <c r="N248" s="3" t="s">
        <v>10039</v>
      </c>
      <c r="O248" s="3" t="s">
        <v>10041</v>
      </c>
      <c r="P248" s="17">
        <v>45495</v>
      </c>
      <c r="Q248" s="4">
        <v>0</v>
      </c>
    </row>
    <row r="249" spans="1:17" x14ac:dyDescent="0.25">
      <c r="A249" s="2" t="s">
        <v>4704</v>
      </c>
      <c r="B249" s="3" t="s">
        <v>5015</v>
      </c>
      <c r="C249" s="3">
        <v>22</v>
      </c>
      <c r="D249" s="46" t="str">
        <f>IF(Tabla1[[#This Row],[EDAD]]&lt;=35,"Adultos jóvenes 18 - 35 años",IF(C249&gt;=36,"Adultos mayores 36 años en adelante"))</f>
        <v>Adultos jóvenes 18 - 35 años</v>
      </c>
      <c r="E249" s="3" t="s">
        <v>5022</v>
      </c>
      <c r="F249" s="3" t="s">
        <v>5029</v>
      </c>
      <c r="G249" s="3" t="s">
        <v>5035</v>
      </c>
      <c r="H249" s="3" t="s">
        <v>9727</v>
      </c>
      <c r="I249" s="17">
        <v>45624</v>
      </c>
      <c r="J249" s="18">
        <f>YEAR(Tabla1[[#This Row],[FECHA DE COMPRA]])</f>
        <v>2024</v>
      </c>
      <c r="K249" s="19">
        <v>55.11</v>
      </c>
      <c r="L249" s="20">
        <v>0.1</v>
      </c>
      <c r="M249" s="19">
        <f>Tienda!$K661-Tienda!$K661*Tienda!$L661</f>
        <v>160.88399999999999</v>
      </c>
      <c r="N249" s="3" t="s">
        <v>10039</v>
      </c>
      <c r="O249" s="3" t="s">
        <v>10041</v>
      </c>
      <c r="P249" s="17">
        <v>45498</v>
      </c>
      <c r="Q249" s="4">
        <v>0</v>
      </c>
    </row>
    <row r="250" spans="1:17" x14ac:dyDescent="0.25">
      <c r="A250" s="2" t="s">
        <v>3739</v>
      </c>
      <c r="B250" s="3" t="s">
        <v>5016</v>
      </c>
      <c r="C250" s="3">
        <v>23</v>
      </c>
      <c r="D250" s="46" t="str">
        <f>IF(Tabla1[[#This Row],[EDAD]]&lt;=35,"Adultos jóvenes 18 - 35 años",IF(C250&gt;=36,"Adultos mayores 36 años en adelante"))</f>
        <v>Adultos jóvenes 18 - 35 años</v>
      </c>
      <c r="E250" s="3" t="s">
        <v>5019</v>
      </c>
      <c r="F250" s="3" t="s">
        <v>5024</v>
      </c>
      <c r="G250" s="3" t="s">
        <v>5031</v>
      </c>
      <c r="H250" s="3" t="s">
        <v>8762</v>
      </c>
      <c r="I250" s="17">
        <v>45624</v>
      </c>
      <c r="J250" s="18">
        <f>YEAR(Tabla1[[#This Row],[FECHA DE COMPRA]])</f>
        <v>2024</v>
      </c>
      <c r="K250" s="19">
        <v>105.64</v>
      </c>
      <c r="L250" s="20">
        <v>0.3</v>
      </c>
      <c r="M250" s="19">
        <f>Tienda!$K662-Tienda!$K662*Tienda!$L662</f>
        <v>161.38</v>
      </c>
      <c r="N250" s="3" t="s">
        <v>10039</v>
      </c>
      <c r="O250" s="3" t="s">
        <v>10041</v>
      </c>
      <c r="P250" s="17">
        <v>45498</v>
      </c>
      <c r="Q250" s="4">
        <v>0</v>
      </c>
    </row>
    <row r="251" spans="1:17" x14ac:dyDescent="0.25">
      <c r="A251" s="2" t="s">
        <v>1015</v>
      </c>
      <c r="B251" s="3" t="s">
        <v>5015</v>
      </c>
      <c r="C251" s="3">
        <v>21</v>
      </c>
      <c r="D251" s="46" t="str">
        <f>IF(Tabla1[[#This Row],[EDAD]]&lt;=35,"Adultos jóvenes 18 - 35 años",IF(C251&gt;=36,"Adultos mayores 36 años en adelante"))</f>
        <v>Adultos jóvenes 18 - 35 años</v>
      </c>
      <c r="E251" s="3" t="s">
        <v>5022</v>
      </c>
      <c r="F251" s="3" t="s">
        <v>5025</v>
      </c>
      <c r="G251" s="3" t="s">
        <v>5035</v>
      </c>
      <c r="H251" s="3" t="s">
        <v>6038</v>
      </c>
      <c r="I251" s="17">
        <v>45624</v>
      </c>
      <c r="J251" s="18">
        <f>YEAR(Tabla1[[#This Row],[FECHA DE COMPRA]])</f>
        <v>2024</v>
      </c>
      <c r="K251" s="19">
        <v>133.1</v>
      </c>
      <c r="L251" s="20">
        <v>0.3</v>
      </c>
      <c r="M251" s="19">
        <f>Tienda!$K663-Tienda!$K663*Tienda!$L663</f>
        <v>165.12299999999999</v>
      </c>
      <c r="N251" s="3" t="s">
        <v>10039</v>
      </c>
      <c r="O251" s="3" t="s">
        <v>10041</v>
      </c>
      <c r="P251" s="17">
        <v>45500</v>
      </c>
      <c r="Q251" s="4">
        <v>0</v>
      </c>
    </row>
    <row r="252" spans="1:17" x14ac:dyDescent="0.25">
      <c r="A252" s="2" t="s">
        <v>810</v>
      </c>
      <c r="B252" s="3" t="s">
        <v>5015</v>
      </c>
      <c r="C252" s="3">
        <v>26</v>
      </c>
      <c r="D252" s="46" t="str">
        <f>IF(Tabla1[[#This Row],[EDAD]]&lt;=35,"Adultos jóvenes 18 - 35 años",IF(C252&gt;=36,"Adultos mayores 36 años en adelante"))</f>
        <v>Adultos jóvenes 18 - 35 años</v>
      </c>
      <c r="E252" s="3" t="s">
        <v>5017</v>
      </c>
      <c r="F252" s="3" t="s">
        <v>5029</v>
      </c>
      <c r="G252" s="3" t="s">
        <v>5035</v>
      </c>
      <c r="H252" s="3" t="s">
        <v>5833</v>
      </c>
      <c r="I252" s="17">
        <v>45624</v>
      </c>
      <c r="J252" s="18">
        <f>YEAR(Tabla1[[#This Row],[FECHA DE COMPRA]])</f>
        <v>2024</v>
      </c>
      <c r="K252" s="19">
        <v>168.32</v>
      </c>
      <c r="L252" s="20">
        <v>0.2</v>
      </c>
      <c r="M252" s="19">
        <f>Tienda!$K665-Tienda!$K665*Tienda!$L665</f>
        <v>169.75800000000001</v>
      </c>
      <c r="N252" s="3" t="s">
        <v>10039</v>
      </c>
      <c r="O252" s="3" t="s">
        <v>10041</v>
      </c>
      <c r="P252" s="17">
        <v>45500</v>
      </c>
      <c r="Q252" s="4">
        <v>0</v>
      </c>
    </row>
    <row r="253" spans="1:17" x14ac:dyDescent="0.25">
      <c r="A253" s="2" t="s">
        <v>2191</v>
      </c>
      <c r="B253" s="3" t="s">
        <v>5015</v>
      </c>
      <c r="C253" s="3">
        <v>25</v>
      </c>
      <c r="D253" s="46" t="str">
        <f>IF(Tabla1[[#This Row],[EDAD]]&lt;=35,"Adultos jóvenes 18 - 35 años",IF(C253&gt;=36,"Adultos mayores 36 años en adelante"))</f>
        <v>Adultos jóvenes 18 - 35 años</v>
      </c>
      <c r="E253" s="3" t="s">
        <v>5022</v>
      </c>
      <c r="F253" s="3" t="s">
        <v>5025</v>
      </c>
      <c r="G253" s="3" t="s">
        <v>5033</v>
      </c>
      <c r="H253" s="3" t="s">
        <v>7214</v>
      </c>
      <c r="I253" s="17">
        <v>45624</v>
      </c>
      <c r="J253" s="18">
        <f>YEAR(Tabla1[[#This Row],[FECHA DE COMPRA]])</f>
        <v>2024</v>
      </c>
      <c r="K253" s="19">
        <v>179.87</v>
      </c>
      <c r="L253" s="20">
        <v>0</v>
      </c>
      <c r="M253" s="19">
        <f>Tienda!$K666-Tienda!$K666*Tienda!$L666</f>
        <v>170.18</v>
      </c>
      <c r="N253" s="3" t="s">
        <v>10039</v>
      </c>
      <c r="O253" s="3" t="s">
        <v>10041</v>
      </c>
      <c r="P253" s="17">
        <v>45500</v>
      </c>
      <c r="Q253" s="4">
        <v>0</v>
      </c>
    </row>
    <row r="254" spans="1:17" x14ac:dyDescent="0.25">
      <c r="A254" s="2" t="s">
        <v>1073</v>
      </c>
      <c r="B254" s="3" t="s">
        <v>5016</v>
      </c>
      <c r="C254" s="3">
        <v>28</v>
      </c>
      <c r="D254" s="46" t="str">
        <f>IF(Tabla1[[#This Row],[EDAD]]&lt;=35,"Adultos jóvenes 18 - 35 años",IF(C254&gt;=36,"Adultos mayores 36 años en adelante"))</f>
        <v>Adultos jóvenes 18 - 35 años</v>
      </c>
      <c r="E254" s="3" t="s">
        <v>5023</v>
      </c>
      <c r="F254" s="3" t="s">
        <v>5030</v>
      </c>
      <c r="G254" s="3" t="s">
        <v>5033</v>
      </c>
      <c r="H254" s="3" t="s">
        <v>6096</v>
      </c>
      <c r="I254" s="17">
        <v>45624</v>
      </c>
      <c r="J254" s="18">
        <f>YEAR(Tabla1[[#This Row],[FECHA DE COMPRA]])</f>
        <v>2024</v>
      </c>
      <c r="K254" s="19">
        <v>147.82</v>
      </c>
      <c r="L254" s="20">
        <v>0</v>
      </c>
      <c r="M254" s="19">
        <f>Tienda!$K667-Tienda!$K667*Tienda!$L667</f>
        <v>170.262</v>
      </c>
      <c r="N254" s="3" t="s">
        <v>10039</v>
      </c>
      <c r="O254" s="3" t="s">
        <v>10041</v>
      </c>
      <c r="P254" s="17">
        <v>45501</v>
      </c>
      <c r="Q254" s="4">
        <v>0</v>
      </c>
    </row>
    <row r="255" spans="1:17" x14ac:dyDescent="0.25">
      <c r="A255" s="2" t="s">
        <v>3621</v>
      </c>
      <c r="B255" s="3" t="s">
        <v>5015</v>
      </c>
      <c r="C255" s="3">
        <v>22</v>
      </c>
      <c r="D255" s="46" t="str">
        <f>IF(Tabla1[[#This Row],[EDAD]]&lt;=35,"Adultos jóvenes 18 - 35 años",IF(C255&gt;=36,"Adultos mayores 36 años en adelante"))</f>
        <v>Adultos jóvenes 18 - 35 años</v>
      </c>
      <c r="E255" s="3" t="s">
        <v>5020</v>
      </c>
      <c r="F255" s="3" t="s">
        <v>5025</v>
      </c>
      <c r="G255" s="3" t="s">
        <v>5031</v>
      </c>
      <c r="H255" s="3" t="s">
        <v>8644</v>
      </c>
      <c r="I255" s="17">
        <v>45618</v>
      </c>
      <c r="J255" s="18">
        <f>YEAR(Tabla1[[#This Row],[FECHA DE COMPRA]])</f>
        <v>2024</v>
      </c>
      <c r="K255" s="19">
        <v>128.77000000000001</v>
      </c>
      <c r="L255" s="20">
        <v>0.2</v>
      </c>
      <c r="M255" s="19">
        <f>Tienda!$K669-Tienda!$K669*Tienda!$L669</f>
        <v>173.00700000000001</v>
      </c>
      <c r="N255" s="3" t="s">
        <v>10039</v>
      </c>
      <c r="O255" s="3" t="s">
        <v>10041</v>
      </c>
      <c r="P255" s="17">
        <v>45465</v>
      </c>
      <c r="Q255" s="4">
        <v>0</v>
      </c>
    </row>
    <row r="256" spans="1:17" x14ac:dyDescent="0.25">
      <c r="A256" s="2" t="s">
        <v>4963</v>
      </c>
      <c r="B256" s="3" t="s">
        <v>5015</v>
      </c>
      <c r="C256" s="3">
        <v>27</v>
      </c>
      <c r="D256" s="46" t="str">
        <f>IF(Tabla1[[#This Row],[EDAD]]&lt;=35,"Adultos jóvenes 18 - 35 años",IF(C256&gt;=36,"Adultos mayores 36 años en adelante"))</f>
        <v>Adultos jóvenes 18 - 35 años</v>
      </c>
      <c r="E256" s="3" t="s">
        <v>5017</v>
      </c>
      <c r="F256" s="3" t="s">
        <v>5028</v>
      </c>
      <c r="G256" s="3" t="s">
        <v>5037</v>
      </c>
      <c r="H256" s="3" t="s">
        <v>9986</v>
      </c>
      <c r="I256" s="17">
        <v>45618</v>
      </c>
      <c r="J256" s="18">
        <f>YEAR(Tabla1[[#This Row],[FECHA DE COMPRA]])</f>
        <v>2024</v>
      </c>
      <c r="K256" s="19">
        <v>167.37</v>
      </c>
      <c r="L256" s="20">
        <v>0.3</v>
      </c>
      <c r="M256" s="19">
        <f>Tienda!$K670-Tienda!$K670*Tienda!$L670</f>
        <v>175.221</v>
      </c>
      <c r="N256" s="3" t="s">
        <v>10039</v>
      </c>
      <c r="O256" s="3" t="s">
        <v>10041</v>
      </c>
      <c r="P256" s="17">
        <v>45465</v>
      </c>
      <c r="Q256" s="4">
        <v>0</v>
      </c>
    </row>
    <row r="257" spans="1:17" x14ac:dyDescent="0.25">
      <c r="A257" s="2" t="s">
        <v>4548</v>
      </c>
      <c r="B257" s="3" t="s">
        <v>5015</v>
      </c>
      <c r="C257" s="3">
        <v>26</v>
      </c>
      <c r="D257" s="46" t="str">
        <f>IF(Tabla1[[#This Row],[EDAD]]&lt;=35,"Adultos jóvenes 18 - 35 años",IF(C257&gt;=36,"Adultos mayores 36 años en adelante"))</f>
        <v>Adultos jóvenes 18 - 35 años</v>
      </c>
      <c r="E257" s="3" t="s">
        <v>5017</v>
      </c>
      <c r="F257" s="3" t="s">
        <v>5030</v>
      </c>
      <c r="G257" s="3" t="s">
        <v>5037</v>
      </c>
      <c r="H257" s="3" t="s">
        <v>9571</v>
      </c>
      <c r="I257" s="17">
        <v>45618</v>
      </c>
      <c r="J257" s="18">
        <f>YEAR(Tabla1[[#This Row],[FECHA DE COMPRA]])</f>
        <v>2024</v>
      </c>
      <c r="K257" s="19">
        <v>25.86</v>
      </c>
      <c r="L257" s="20">
        <v>0.2</v>
      </c>
      <c r="M257" s="19">
        <f>Tienda!$K672-Tienda!$K672*Tienda!$L672</f>
        <v>188.49</v>
      </c>
      <c r="N257" s="3" t="s">
        <v>10039</v>
      </c>
      <c r="O257" s="3" t="s">
        <v>10041</v>
      </c>
      <c r="P257" s="17">
        <v>45466</v>
      </c>
      <c r="Q257" s="4">
        <v>0</v>
      </c>
    </row>
    <row r="258" spans="1:17" x14ac:dyDescent="0.25">
      <c r="A258" s="2" t="s">
        <v>581</v>
      </c>
      <c r="B258" s="3" t="s">
        <v>5015</v>
      </c>
      <c r="C258" s="3">
        <v>27</v>
      </c>
      <c r="D258" s="46" t="str">
        <f>IF(Tabla1[[#This Row],[EDAD]]&lt;=35,"Adultos jóvenes 18 - 35 años",IF(C258&gt;=36,"Adultos mayores 36 años en adelante"))</f>
        <v>Adultos jóvenes 18 - 35 años</v>
      </c>
      <c r="E258" s="3" t="s">
        <v>5018</v>
      </c>
      <c r="F258" s="3" t="s">
        <v>5027</v>
      </c>
      <c r="G258" s="3" t="s">
        <v>5032</v>
      </c>
      <c r="H258" s="3" t="s">
        <v>5604</v>
      </c>
      <c r="I258" s="17">
        <v>45618</v>
      </c>
      <c r="J258" s="18">
        <f>YEAR(Tabla1[[#This Row],[FECHA DE COMPRA]])</f>
        <v>2024</v>
      </c>
      <c r="K258" s="19">
        <v>125.48</v>
      </c>
      <c r="L258" s="20">
        <v>0</v>
      </c>
      <c r="M258" s="19">
        <f>Tienda!$K675-Tienda!$K675*Tienda!$L675</f>
        <v>194.29</v>
      </c>
      <c r="N258" s="3" t="s">
        <v>10039</v>
      </c>
      <c r="O258" s="3" t="s">
        <v>10041</v>
      </c>
      <c r="P258" s="17">
        <v>45468</v>
      </c>
      <c r="Q258" s="4">
        <v>0</v>
      </c>
    </row>
    <row r="259" spans="1:17" x14ac:dyDescent="0.25">
      <c r="A259" s="2" t="s">
        <v>2167</v>
      </c>
      <c r="B259" s="3" t="s">
        <v>5015</v>
      </c>
      <c r="C259" s="3">
        <v>21</v>
      </c>
      <c r="D259" s="46" t="str">
        <f>IF(Tabla1[[#This Row],[EDAD]]&lt;=35,"Adultos jóvenes 18 - 35 años",IF(C259&gt;=36,"Adultos mayores 36 años en adelante"))</f>
        <v>Adultos jóvenes 18 - 35 años</v>
      </c>
      <c r="E259" s="3" t="s">
        <v>5022</v>
      </c>
      <c r="F259" s="3" t="s">
        <v>5028</v>
      </c>
      <c r="G259" s="3" t="s">
        <v>5037</v>
      </c>
      <c r="H259" s="3" t="s">
        <v>7190</v>
      </c>
      <c r="I259" s="17">
        <v>45618</v>
      </c>
      <c r="J259" s="18">
        <f>YEAR(Tabla1[[#This Row],[FECHA DE COMPRA]])</f>
        <v>2024</v>
      </c>
      <c r="K259" s="19">
        <v>183.1</v>
      </c>
      <c r="L259" s="20">
        <v>0.3</v>
      </c>
      <c r="M259" s="19">
        <f>Tienda!$K676-Tienda!$K676*Tienda!$L676</f>
        <v>196.4</v>
      </c>
      <c r="N259" s="3" t="s">
        <v>10039</v>
      </c>
      <c r="O259" s="3" t="s">
        <v>10041</v>
      </c>
      <c r="P259" s="17">
        <v>45468</v>
      </c>
      <c r="Q259" s="4">
        <v>0</v>
      </c>
    </row>
    <row r="260" spans="1:17" x14ac:dyDescent="0.25">
      <c r="A260" s="2" t="s">
        <v>772</v>
      </c>
      <c r="B260" s="3" t="s">
        <v>5015</v>
      </c>
      <c r="C260" s="3">
        <v>33</v>
      </c>
      <c r="D260" s="46" t="str">
        <f>IF(Tabla1[[#This Row],[EDAD]]&lt;=35,"Adultos jóvenes 18 - 35 años",IF(C260&gt;=36,"Adultos mayores 36 años en adelante"))</f>
        <v>Adultos jóvenes 18 - 35 años</v>
      </c>
      <c r="E260" s="3" t="s">
        <v>5017</v>
      </c>
      <c r="F260" s="3" t="s">
        <v>5026</v>
      </c>
      <c r="G260" s="3" t="s">
        <v>5036</v>
      </c>
      <c r="H260" s="3" t="s">
        <v>5795</v>
      </c>
      <c r="I260" s="17">
        <v>45624</v>
      </c>
      <c r="J260" s="18">
        <f>YEAR(Tabla1[[#This Row],[FECHA DE COMPRA]])</f>
        <v>2024</v>
      </c>
      <c r="K260" s="19">
        <v>32.75</v>
      </c>
      <c r="L260" s="20">
        <v>0.1</v>
      </c>
      <c r="M260" s="19">
        <f>Tienda!$K681-Tienda!$K681*Tienda!$L681</f>
        <v>11.645999999999999</v>
      </c>
      <c r="N260" s="3" t="s">
        <v>10039</v>
      </c>
      <c r="O260" s="3" t="s">
        <v>10041</v>
      </c>
      <c r="P260" s="17">
        <v>45394</v>
      </c>
      <c r="Q260" s="4">
        <v>0</v>
      </c>
    </row>
    <row r="261" spans="1:17" x14ac:dyDescent="0.25">
      <c r="A261" s="2" t="s">
        <v>4675</v>
      </c>
      <c r="B261" s="3" t="s">
        <v>5015</v>
      </c>
      <c r="C261" s="3">
        <v>26</v>
      </c>
      <c r="D261" s="46" t="str">
        <f>IF(Tabla1[[#This Row],[EDAD]]&lt;=35,"Adultos jóvenes 18 - 35 años",IF(C261&gt;=36,"Adultos mayores 36 años en adelante"))</f>
        <v>Adultos jóvenes 18 - 35 años</v>
      </c>
      <c r="E261" s="3" t="s">
        <v>5019</v>
      </c>
      <c r="F261" s="3" t="s">
        <v>5024</v>
      </c>
      <c r="G261" s="3" t="s">
        <v>5031</v>
      </c>
      <c r="H261" s="3" t="s">
        <v>9698</v>
      </c>
      <c r="I261" s="17">
        <v>45624</v>
      </c>
      <c r="J261" s="18">
        <f>YEAR(Tabla1[[#This Row],[FECHA DE COMPRA]])</f>
        <v>2024</v>
      </c>
      <c r="K261" s="19">
        <v>151.59</v>
      </c>
      <c r="L261" s="20">
        <v>0.3</v>
      </c>
      <c r="M261" s="19">
        <f>Tienda!$K683-Tienda!$K683*Tienda!$L683</f>
        <v>13.734</v>
      </c>
      <c r="N261" s="3" t="s">
        <v>10039</v>
      </c>
      <c r="O261" s="3" t="s">
        <v>10041</v>
      </c>
      <c r="P261" s="17">
        <v>45400</v>
      </c>
      <c r="Q261" s="4">
        <v>0</v>
      </c>
    </row>
    <row r="262" spans="1:17" x14ac:dyDescent="0.25">
      <c r="A262" s="2" t="s">
        <v>4646</v>
      </c>
      <c r="B262" s="3" t="s">
        <v>5015</v>
      </c>
      <c r="C262" s="3">
        <v>34</v>
      </c>
      <c r="D262" s="46" t="str">
        <f>IF(Tabla1[[#This Row],[EDAD]]&lt;=35,"Adultos jóvenes 18 - 35 años",IF(C262&gt;=36,"Adultos mayores 36 años en adelante"))</f>
        <v>Adultos jóvenes 18 - 35 años</v>
      </c>
      <c r="E262" s="3" t="s">
        <v>5017</v>
      </c>
      <c r="F262" s="3" t="s">
        <v>5025</v>
      </c>
      <c r="G262" s="3" t="s">
        <v>5037</v>
      </c>
      <c r="H262" s="3" t="s">
        <v>9669</v>
      </c>
      <c r="I262" s="17">
        <v>45624</v>
      </c>
      <c r="J262" s="18">
        <f>YEAR(Tabla1[[#This Row],[FECHA DE COMPRA]])</f>
        <v>2024</v>
      </c>
      <c r="K262" s="19">
        <v>76.94</v>
      </c>
      <c r="L262" s="20">
        <v>0</v>
      </c>
      <c r="M262" s="19">
        <f>Tienda!$K687-Tienda!$K687*Tienda!$L687</f>
        <v>16.600000000000001</v>
      </c>
      <c r="N262" s="3" t="s">
        <v>10039</v>
      </c>
      <c r="O262" s="3" t="s">
        <v>10041</v>
      </c>
      <c r="P262" s="17">
        <v>45412</v>
      </c>
      <c r="Q262" s="4">
        <v>0</v>
      </c>
    </row>
    <row r="263" spans="1:17" x14ac:dyDescent="0.25">
      <c r="A263" s="2" t="s">
        <v>434</v>
      </c>
      <c r="B263" s="3" t="s">
        <v>5015</v>
      </c>
      <c r="C263" s="3">
        <v>21</v>
      </c>
      <c r="D263" s="46" t="str">
        <f>IF(Tabla1[[#This Row],[EDAD]]&lt;=35,"Adultos jóvenes 18 - 35 años",IF(C263&gt;=36,"Adultos mayores 36 años en adelante"))</f>
        <v>Adultos jóvenes 18 - 35 años</v>
      </c>
      <c r="E263" s="3" t="s">
        <v>5021</v>
      </c>
      <c r="F263" s="3" t="s">
        <v>5030</v>
      </c>
      <c r="G263" s="3" t="s">
        <v>5033</v>
      </c>
      <c r="H263" s="3" t="s">
        <v>5457</v>
      </c>
      <c r="I263" s="17">
        <v>45597</v>
      </c>
      <c r="J263" s="18">
        <f>YEAR(Tabla1[[#This Row],[FECHA DE COMPRA]])</f>
        <v>2024</v>
      </c>
      <c r="K263" s="19">
        <v>88.82</v>
      </c>
      <c r="L263" s="20">
        <v>0.2</v>
      </c>
      <c r="M263" s="19">
        <f>Tienda!$K689-Tienda!$K689*Tienda!$L689</f>
        <v>17.765999999999998</v>
      </c>
      <c r="N263" s="3" t="s">
        <v>10039</v>
      </c>
      <c r="O263" s="3" t="s">
        <v>10041</v>
      </c>
      <c r="P263" s="17">
        <v>45597</v>
      </c>
      <c r="Q263" s="4">
        <v>0</v>
      </c>
    </row>
    <row r="264" spans="1:17" x14ac:dyDescent="0.25">
      <c r="A264" s="2" t="s">
        <v>3313</v>
      </c>
      <c r="B264" s="3" t="s">
        <v>5016</v>
      </c>
      <c r="C264" s="3">
        <v>25</v>
      </c>
      <c r="D264" s="46" t="str">
        <f>IF(Tabla1[[#This Row],[EDAD]]&lt;=35,"Adultos jóvenes 18 - 35 años",IF(C264&gt;=36,"Adultos mayores 36 años en adelante"))</f>
        <v>Adultos jóvenes 18 - 35 años</v>
      </c>
      <c r="E264" s="3" t="s">
        <v>5023</v>
      </c>
      <c r="F264" s="3" t="s">
        <v>5025</v>
      </c>
      <c r="G264" s="3" t="s">
        <v>5037</v>
      </c>
      <c r="H264" s="3" t="s">
        <v>8336</v>
      </c>
      <c r="I264" s="17">
        <v>45600</v>
      </c>
      <c r="J264" s="18">
        <f>YEAR(Tabla1[[#This Row],[FECHA DE COMPRA]])</f>
        <v>2024</v>
      </c>
      <c r="K264" s="19">
        <v>43.71</v>
      </c>
      <c r="L264" s="20">
        <v>0.1</v>
      </c>
      <c r="M264" s="19">
        <f>Tienda!$K698-Tienda!$K698*Tienda!$L698</f>
        <v>27.285999999999998</v>
      </c>
      <c r="N264" s="3" t="s">
        <v>10039</v>
      </c>
      <c r="O264" s="3" t="s">
        <v>10041</v>
      </c>
      <c r="P264" s="17">
        <v>45600</v>
      </c>
      <c r="Q264" s="4">
        <v>0</v>
      </c>
    </row>
    <row r="265" spans="1:17" x14ac:dyDescent="0.25">
      <c r="A265" s="2" t="s">
        <v>3942</v>
      </c>
      <c r="B265" s="3" t="s">
        <v>5015</v>
      </c>
      <c r="C265" s="3">
        <v>18</v>
      </c>
      <c r="D265" s="46" t="str">
        <f>IF(Tabla1[[#This Row],[EDAD]]&lt;=35,"Adultos jóvenes 18 - 35 años",IF(C265&gt;=36,"Adultos mayores 36 años en adelante"))</f>
        <v>Adultos jóvenes 18 - 35 años</v>
      </c>
      <c r="E265" s="3" t="s">
        <v>5023</v>
      </c>
      <c r="F265" s="3" t="s">
        <v>5025</v>
      </c>
      <c r="G265" s="3" t="s">
        <v>5034</v>
      </c>
      <c r="H265" s="3" t="s">
        <v>8965</v>
      </c>
      <c r="I265" s="17">
        <v>45600</v>
      </c>
      <c r="J265" s="18">
        <f>YEAR(Tabla1[[#This Row],[FECHA DE COMPRA]])</f>
        <v>2024</v>
      </c>
      <c r="K265" s="19">
        <v>140.44</v>
      </c>
      <c r="L265" s="20">
        <v>0.3</v>
      </c>
      <c r="M265" s="19">
        <f>Tienda!$K701-Tienda!$K701*Tienda!$L701</f>
        <v>28.693000000000001</v>
      </c>
      <c r="N265" s="3" t="s">
        <v>10039</v>
      </c>
      <c r="O265" s="3" t="s">
        <v>10041</v>
      </c>
      <c r="P265" s="17">
        <v>45600</v>
      </c>
      <c r="Q265" s="4">
        <v>0</v>
      </c>
    </row>
    <row r="266" spans="1:17" x14ac:dyDescent="0.25">
      <c r="A266" s="2" t="s">
        <v>2376</v>
      </c>
      <c r="B266" s="3" t="s">
        <v>5015</v>
      </c>
      <c r="C266" s="3">
        <v>21</v>
      </c>
      <c r="D266" s="46" t="str">
        <f>IF(Tabla1[[#This Row],[EDAD]]&lt;=35,"Adultos jóvenes 18 - 35 años",IF(C266&gt;=36,"Adultos mayores 36 años en adelante"))</f>
        <v>Adultos jóvenes 18 - 35 años</v>
      </c>
      <c r="E266" s="3" t="s">
        <v>5018</v>
      </c>
      <c r="F266" s="3" t="s">
        <v>5029</v>
      </c>
      <c r="G266" s="3" t="s">
        <v>5035</v>
      </c>
      <c r="H266" s="3" t="s">
        <v>7399</v>
      </c>
      <c r="I266" s="17">
        <v>45602</v>
      </c>
      <c r="J266" s="18">
        <f>YEAR(Tabla1[[#This Row],[FECHA DE COMPRA]])</f>
        <v>2024</v>
      </c>
      <c r="K266" s="19">
        <v>129</v>
      </c>
      <c r="L266" s="20">
        <v>0.3</v>
      </c>
      <c r="M266" s="19">
        <f>Tienda!$K703-Tienda!$K703*Tienda!$L703</f>
        <v>30.569000000000003</v>
      </c>
      <c r="N266" s="3" t="s">
        <v>10039</v>
      </c>
      <c r="O266" s="3" t="s">
        <v>10041</v>
      </c>
      <c r="P266" s="17">
        <v>45602</v>
      </c>
      <c r="Q266" s="4">
        <v>0</v>
      </c>
    </row>
    <row r="267" spans="1:17" x14ac:dyDescent="0.25">
      <c r="A267" s="2" t="s">
        <v>1128</v>
      </c>
      <c r="B267" s="3" t="s">
        <v>5015</v>
      </c>
      <c r="C267" s="3">
        <v>26</v>
      </c>
      <c r="D267" s="46" t="str">
        <f>IF(Tabla1[[#This Row],[EDAD]]&lt;=35,"Adultos jóvenes 18 - 35 años",IF(C267&gt;=36,"Adultos mayores 36 años en adelante"))</f>
        <v>Adultos jóvenes 18 - 35 años</v>
      </c>
      <c r="E267" s="3" t="s">
        <v>5023</v>
      </c>
      <c r="F267" s="3" t="s">
        <v>5030</v>
      </c>
      <c r="G267" s="3" t="s">
        <v>5036</v>
      </c>
      <c r="H267" s="3" t="s">
        <v>6151</v>
      </c>
      <c r="I267" s="17">
        <v>45604</v>
      </c>
      <c r="J267" s="18">
        <f>YEAR(Tabla1[[#This Row],[FECHA DE COMPRA]])</f>
        <v>2024</v>
      </c>
      <c r="K267" s="19">
        <v>158.24</v>
      </c>
      <c r="L267" s="20">
        <v>0.1</v>
      </c>
      <c r="M267" s="19">
        <f>Tienda!$K709-Tienda!$K709*Tienda!$L709</f>
        <v>34.677999999999997</v>
      </c>
      <c r="N267" s="3" t="s">
        <v>10039</v>
      </c>
      <c r="O267" s="3" t="s">
        <v>10041</v>
      </c>
      <c r="P267" s="17">
        <v>45604</v>
      </c>
      <c r="Q267" s="4">
        <v>0</v>
      </c>
    </row>
    <row r="268" spans="1:17" x14ac:dyDescent="0.25">
      <c r="A268" s="2" t="s">
        <v>2739</v>
      </c>
      <c r="B268" s="3" t="s">
        <v>5015</v>
      </c>
      <c r="C268" s="3">
        <v>21</v>
      </c>
      <c r="D268" s="46" t="str">
        <f>IF(Tabla1[[#This Row],[EDAD]]&lt;=35,"Adultos jóvenes 18 - 35 años",IF(C268&gt;=36,"Adultos mayores 36 años en adelante"))</f>
        <v>Adultos jóvenes 18 - 35 años</v>
      </c>
      <c r="E268" s="3" t="s">
        <v>5023</v>
      </c>
      <c r="F268" s="3" t="s">
        <v>5030</v>
      </c>
      <c r="G268" s="3" t="s">
        <v>5033</v>
      </c>
      <c r="H268" s="3" t="s">
        <v>7762</v>
      </c>
      <c r="I268" s="17">
        <v>45606</v>
      </c>
      <c r="J268" s="18">
        <f>YEAR(Tabla1[[#This Row],[FECHA DE COMPRA]])</f>
        <v>2024</v>
      </c>
      <c r="K268" s="19">
        <v>24.99</v>
      </c>
      <c r="L268" s="20">
        <v>0.1</v>
      </c>
      <c r="M268" s="19">
        <f>Tienda!$K714-Tienda!$K714*Tienda!$L714</f>
        <v>40.248000000000005</v>
      </c>
      <c r="N268" s="3" t="s">
        <v>10039</v>
      </c>
      <c r="O268" s="3" t="s">
        <v>10041</v>
      </c>
      <c r="P268" s="17">
        <v>45606</v>
      </c>
      <c r="Q268" s="4">
        <v>0</v>
      </c>
    </row>
    <row r="269" spans="1:17" x14ac:dyDescent="0.25">
      <c r="A269" s="2" t="s">
        <v>4037</v>
      </c>
      <c r="B269" s="3" t="s">
        <v>5015</v>
      </c>
      <c r="C269" s="3">
        <v>27</v>
      </c>
      <c r="D269" s="46" t="str">
        <f>IF(Tabla1[[#This Row],[EDAD]]&lt;=35,"Adultos jóvenes 18 - 35 años",IF(C269&gt;=36,"Adultos mayores 36 años en adelante"))</f>
        <v>Adultos jóvenes 18 - 35 años</v>
      </c>
      <c r="E269" s="3" t="s">
        <v>5022</v>
      </c>
      <c r="F269" s="3" t="s">
        <v>5029</v>
      </c>
      <c r="G269" s="3" t="s">
        <v>5031</v>
      </c>
      <c r="H269" s="3" t="s">
        <v>9060</v>
      </c>
      <c r="I269" s="17">
        <v>45607</v>
      </c>
      <c r="J269" s="18">
        <f>YEAR(Tabla1[[#This Row],[FECHA DE COMPRA]])</f>
        <v>2024</v>
      </c>
      <c r="K269" s="19">
        <v>95.14</v>
      </c>
      <c r="L269" s="20">
        <v>0.2</v>
      </c>
      <c r="M269" s="19">
        <f>Tienda!$K717-Tienda!$K717*Tienda!$L717</f>
        <v>42.763000000000005</v>
      </c>
      <c r="N269" s="3" t="s">
        <v>10039</v>
      </c>
      <c r="O269" s="3" t="s">
        <v>10041</v>
      </c>
      <c r="P269" s="17">
        <v>45607</v>
      </c>
      <c r="Q269" s="4">
        <v>0</v>
      </c>
    </row>
    <row r="270" spans="1:17" x14ac:dyDescent="0.25">
      <c r="A270" s="2" t="s">
        <v>1736</v>
      </c>
      <c r="B270" s="3" t="s">
        <v>5015</v>
      </c>
      <c r="C270" s="3">
        <v>24</v>
      </c>
      <c r="D270" s="46" t="str">
        <f>IF(Tabla1[[#This Row],[EDAD]]&lt;=35,"Adultos jóvenes 18 - 35 años",IF(C270&gt;=36,"Adultos mayores 36 años en adelante"))</f>
        <v>Adultos jóvenes 18 - 35 años</v>
      </c>
      <c r="E270" s="3" t="s">
        <v>5018</v>
      </c>
      <c r="F270" s="3" t="s">
        <v>5028</v>
      </c>
      <c r="G270" s="3" t="s">
        <v>5036</v>
      </c>
      <c r="H270" s="3" t="s">
        <v>6759</v>
      </c>
      <c r="I270" s="17">
        <v>45608</v>
      </c>
      <c r="J270" s="18">
        <f>YEAR(Tabla1[[#This Row],[FECHA DE COMPRA]])</f>
        <v>2024</v>
      </c>
      <c r="K270" s="19">
        <v>107.85</v>
      </c>
      <c r="L270" s="20">
        <v>0.3</v>
      </c>
      <c r="M270" s="19">
        <f>Tienda!$K719-Tienda!$K719*Tienda!$L719</f>
        <v>43.442000000000007</v>
      </c>
      <c r="N270" s="3" t="s">
        <v>10039</v>
      </c>
      <c r="O270" s="3" t="s">
        <v>10041</v>
      </c>
      <c r="P270" s="17">
        <v>45608</v>
      </c>
      <c r="Q270" s="4">
        <v>0</v>
      </c>
    </row>
    <row r="271" spans="1:17" x14ac:dyDescent="0.25">
      <c r="A271" s="2" t="s">
        <v>1023</v>
      </c>
      <c r="B271" s="3" t="s">
        <v>5015</v>
      </c>
      <c r="C271" s="3">
        <v>22</v>
      </c>
      <c r="D271" s="46" t="str">
        <f>IF(Tabla1[[#This Row],[EDAD]]&lt;=35,"Adultos jóvenes 18 - 35 años",IF(C271&gt;=36,"Adultos mayores 36 años en adelante"))</f>
        <v>Adultos jóvenes 18 - 35 años</v>
      </c>
      <c r="E271" s="3" t="s">
        <v>5020</v>
      </c>
      <c r="F271" s="3" t="s">
        <v>5029</v>
      </c>
      <c r="G271" s="3" t="s">
        <v>5032</v>
      </c>
      <c r="H271" s="3" t="s">
        <v>6046</v>
      </c>
      <c r="I271" s="17">
        <v>45608</v>
      </c>
      <c r="J271" s="18">
        <f>YEAR(Tabla1[[#This Row],[FECHA DE COMPRA]])</f>
        <v>2024</v>
      </c>
      <c r="K271" s="19">
        <v>195.94</v>
      </c>
      <c r="L271" s="20">
        <v>0</v>
      </c>
      <c r="M271" s="19">
        <f>Tienda!$K721-Tienda!$K721*Tienda!$L721</f>
        <v>45.646999999999991</v>
      </c>
      <c r="N271" s="3" t="s">
        <v>10039</v>
      </c>
      <c r="O271" s="3" t="s">
        <v>10041</v>
      </c>
      <c r="P271" s="17">
        <v>45608</v>
      </c>
      <c r="Q271" s="4">
        <v>0</v>
      </c>
    </row>
    <row r="272" spans="1:17" x14ac:dyDescent="0.25">
      <c r="A272" s="2" t="s">
        <v>4742</v>
      </c>
      <c r="B272" s="3" t="s">
        <v>5015</v>
      </c>
      <c r="C272" s="3">
        <v>34</v>
      </c>
      <c r="D272" s="46" t="str">
        <f>IF(Tabla1[[#This Row],[EDAD]]&lt;=35,"Adultos jóvenes 18 - 35 años",IF(C272&gt;=36,"Adultos mayores 36 años en adelante"))</f>
        <v>Adultos jóvenes 18 - 35 años</v>
      </c>
      <c r="E272" s="3" t="s">
        <v>5018</v>
      </c>
      <c r="F272" s="3" t="s">
        <v>5024</v>
      </c>
      <c r="G272" s="3" t="s">
        <v>5036</v>
      </c>
      <c r="H272" s="3" t="s">
        <v>9765</v>
      </c>
      <c r="I272" s="17">
        <v>45609</v>
      </c>
      <c r="J272" s="18">
        <f>YEAR(Tabla1[[#This Row],[FECHA DE COMPRA]])</f>
        <v>2024</v>
      </c>
      <c r="K272" s="19">
        <v>124.51</v>
      </c>
      <c r="L272" s="20">
        <v>0.1</v>
      </c>
      <c r="M272" s="19">
        <f>Tienda!$K723-Tienda!$K723*Tienda!$L723</f>
        <v>46.95</v>
      </c>
      <c r="N272" s="3" t="s">
        <v>10039</v>
      </c>
      <c r="O272" s="3" t="s">
        <v>10041</v>
      </c>
      <c r="P272" s="17">
        <v>45609</v>
      </c>
      <c r="Q272" s="4">
        <v>0</v>
      </c>
    </row>
    <row r="273" spans="1:17" x14ac:dyDescent="0.25">
      <c r="A273" s="2" t="s">
        <v>1469</v>
      </c>
      <c r="B273" s="3" t="s">
        <v>5015</v>
      </c>
      <c r="C273" s="3">
        <v>30</v>
      </c>
      <c r="D273" s="46" t="str">
        <f>IF(Tabla1[[#This Row],[EDAD]]&lt;=35,"Adultos jóvenes 18 - 35 años",IF(C273&gt;=36,"Adultos mayores 36 años en adelante"))</f>
        <v>Adultos jóvenes 18 - 35 años</v>
      </c>
      <c r="E273" s="3" t="s">
        <v>5021</v>
      </c>
      <c r="F273" s="3" t="s">
        <v>5026</v>
      </c>
      <c r="G273" s="3" t="s">
        <v>5031</v>
      </c>
      <c r="H273" s="3" t="s">
        <v>6492</v>
      </c>
      <c r="I273" s="17">
        <v>45610</v>
      </c>
      <c r="J273" s="18">
        <f>YEAR(Tabla1[[#This Row],[FECHA DE COMPRA]])</f>
        <v>2024</v>
      </c>
      <c r="K273" s="19">
        <v>72.319999999999993</v>
      </c>
      <c r="L273" s="20">
        <v>0.1</v>
      </c>
      <c r="M273" s="19">
        <f>Tienda!$K725-Tienda!$K725*Tienda!$L725</f>
        <v>47.870999999999995</v>
      </c>
      <c r="N273" s="3" t="s">
        <v>10039</v>
      </c>
      <c r="O273" s="3" t="s">
        <v>10041</v>
      </c>
      <c r="P273" s="17">
        <v>45610</v>
      </c>
      <c r="Q273" s="4">
        <v>0</v>
      </c>
    </row>
    <row r="274" spans="1:17" x14ac:dyDescent="0.25">
      <c r="A274" s="2" t="s">
        <v>4463</v>
      </c>
      <c r="B274" s="3" t="s">
        <v>5015</v>
      </c>
      <c r="C274" s="3">
        <v>28</v>
      </c>
      <c r="D274" s="46" t="str">
        <f>IF(Tabla1[[#This Row],[EDAD]]&lt;=35,"Adultos jóvenes 18 - 35 años",IF(C274&gt;=36,"Adultos mayores 36 años en adelante"))</f>
        <v>Adultos jóvenes 18 - 35 años</v>
      </c>
      <c r="E274" s="3" t="s">
        <v>5017</v>
      </c>
      <c r="F274" s="3" t="s">
        <v>5027</v>
      </c>
      <c r="G274" s="3" t="s">
        <v>5037</v>
      </c>
      <c r="H274" s="3" t="s">
        <v>9486</v>
      </c>
      <c r="I274" s="17">
        <v>45610</v>
      </c>
      <c r="J274" s="18">
        <f>YEAR(Tabla1[[#This Row],[FECHA DE COMPRA]])</f>
        <v>2024</v>
      </c>
      <c r="K274" s="19">
        <v>96.95</v>
      </c>
      <c r="L274" s="20">
        <v>0.2</v>
      </c>
      <c r="M274" s="19">
        <f>Tienda!$K726-Tienda!$K726*Tienda!$L726</f>
        <v>49.378</v>
      </c>
      <c r="N274" s="3" t="s">
        <v>10039</v>
      </c>
      <c r="O274" s="3" t="s">
        <v>10041</v>
      </c>
      <c r="P274" s="17">
        <v>45610</v>
      </c>
      <c r="Q274" s="4">
        <v>0</v>
      </c>
    </row>
    <row r="275" spans="1:17" x14ac:dyDescent="0.25">
      <c r="A275" s="2" t="s">
        <v>432</v>
      </c>
      <c r="B275" s="3" t="s">
        <v>5015</v>
      </c>
      <c r="C275" s="3">
        <v>30</v>
      </c>
      <c r="D275" s="46" t="str">
        <f>IF(Tabla1[[#This Row],[EDAD]]&lt;=35,"Adultos jóvenes 18 - 35 años",IF(C275&gt;=36,"Adultos mayores 36 años en adelante"))</f>
        <v>Adultos jóvenes 18 - 35 años</v>
      </c>
      <c r="E275" s="3" t="s">
        <v>5018</v>
      </c>
      <c r="F275" s="3" t="s">
        <v>5027</v>
      </c>
      <c r="G275" s="3" t="s">
        <v>5036</v>
      </c>
      <c r="H275" s="3" t="s">
        <v>5455</v>
      </c>
      <c r="I275" s="17">
        <v>45613</v>
      </c>
      <c r="J275" s="18">
        <f>YEAR(Tabla1[[#This Row],[FECHA DE COMPRA]])</f>
        <v>2024</v>
      </c>
      <c r="K275" s="19">
        <v>189.82</v>
      </c>
      <c r="L275" s="20">
        <v>0.3</v>
      </c>
      <c r="M275" s="19">
        <f>Tienda!$K742-Tienda!$K742*Tienda!$L742</f>
        <v>59.444999999999993</v>
      </c>
      <c r="N275" s="3" t="s">
        <v>10039</v>
      </c>
      <c r="O275" s="3" t="s">
        <v>10041</v>
      </c>
      <c r="P275" s="17">
        <v>45613</v>
      </c>
      <c r="Q275" s="4">
        <v>0</v>
      </c>
    </row>
    <row r="276" spans="1:17" x14ac:dyDescent="0.25">
      <c r="A276" s="2" t="s">
        <v>2435</v>
      </c>
      <c r="B276" s="3" t="s">
        <v>5015</v>
      </c>
      <c r="C276" s="3">
        <v>33</v>
      </c>
      <c r="D276" s="46" t="str">
        <f>IF(Tabla1[[#This Row],[EDAD]]&lt;=35,"Adultos jóvenes 18 - 35 años",IF(C276&gt;=36,"Adultos mayores 36 años en adelante"))</f>
        <v>Adultos jóvenes 18 - 35 años</v>
      </c>
      <c r="E276" s="3" t="s">
        <v>5017</v>
      </c>
      <c r="F276" s="3" t="s">
        <v>5028</v>
      </c>
      <c r="G276" s="3" t="s">
        <v>5034</v>
      </c>
      <c r="H276" s="3" t="s">
        <v>7458</v>
      </c>
      <c r="I276" s="17">
        <v>45614</v>
      </c>
      <c r="J276" s="18">
        <f>YEAR(Tabla1[[#This Row],[FECHA DE COMPRA]])</f>
        <v>2024</v>
      </c>
      <c r="K276" s="19">
        <v>179.53</v>
      </c>
      <c r="L276" s="20">
        <v>0.1</v>
      </c>
      <c r="M276" s="19">
        <f>Tienda!$K745-Tienda!$K745*Tienda!$L745</f>
        <v>61.698</v>
      </c>
      <c r="N276" s="3" t="s">
        <v>10039</v>
      </c>
      <c r="O276" s="3" t="s">
        <v>10041</v>
      </c>
      <c r="P276" s="17">
        <v>45614</v>
      </c>
      <c r="Q276" s="4">
        <v>0</v>
      </c>
    </row>
    <row r="277" spans="1:17" x14ac:dyDescent="0.25">
      <c r="A277" s="2" t="s">
        <v>4142</v>
      </c>
      <c r="B277" s="3" t="s">
        <v>5015</v>
      </c>
      <c r="C277" s="3">
        <v>24</v>
      </c>
      <c r="D277" s="46" t="str">
        <f>IF(Tabla1[[#This Row],[EDAD]]&lt;=35,"Adultos jóvenes 18 - 35 años",IF(C277&gt;=36,"Adultos mayores 36 años en adelante"))</f>
        <v>Adultos jóvenes 18 - 35 años</v>
      </c>
      <c r="E277" s="3" t="s">
        <v>5022</v>
      </c>
      <c r="F277" s="3" t="s">
        <v>5028</v>
      </c>
      <c r="G277" s="3" t="s">
        <v>5036</v>
      </c>
      <c r="H277" s="3" t="s">
        <v>9165</v>
      </c>
      <c r="I277" s="17">
        <v>45616</v>
      </c>
      <c r="J277" s="18">
        <f>YEAR(Tabla1[[#This Row],[FECHA DE COMPRA]])</f>
        <v>2024</v>
      </c>
      <c r="K277" s="19">
        <v>88.97</v>
      </c>
      <c r="L277" s="20">
        <v>0</v>
      </c>
      <c r="M277" s="19">
        <f>Tienda!$K749-Tienda!$K749*Tienda!$L749</f>
        <v>63.888999999999996</v>
      </c>
      <c r="N277" s="3" t="s">
        <v>10039</v>
      </c>
      <c r="O277" s="3" t="s">
        <v>10041</v>
      </c>
      <c r="P277" s="17">
        <v>45616</v>
      </c>
      <c r="Q277" s="4">
        <v>0</v>
      </c>
    </row>
    <row r="278" spans="1:17" x14ac:dyDescent="0.25">
      <c r="A278" s="2" t="s">
        <v>968</v>
      </c>
      <c r="B278" s="3" t="s">
        <v>5015</v>
      </c>
      <c r="C278" s="3">
        <v>18</v>
      </c>
      <c r="D278" s="46" t="str">
        <f>IF(Tabla1[[#This Row],[EDAD]]&lt;=35,"Adultos jóvenes 18 - 35 años",IF(C278&gt;=36,"Adultos mayores 36 años en adelante"))</f>
        <v>Adultos jóvenes 18 - 35 años</v>
      </c>
      <c r="E278" s="3" t="s">
        <v>5018</v>
      </c>
      <c r="F278" s="3" t="s">
        <v>5025</v>
      </c>
      <c r="G278" s="3" t="s">
        <v>5034</v>
      </c>
      <c r="H278" s="3" t="s">
        <v>5991</v>
      </c>
      <c r="I278" s="17">
        <v>45616</v>
      </c>
      <c r="J278" s="18">
        <f>YEAR(Tabla1[[#This Row],[FECHA DE COMPRA]])</f>
        <v>2024</v>
      </c>
      <c r="K278" s="19">
        <v>107.87</v>
      </c>
      <c r="L278" s="20">
        <v>0.3</v>
      </c>
      <c r="M278" s="19">
        <f>Tienda!$K750-Tienda!$K750*Tienda!$L750</f>
        <v>65.611000000000004</v>
      </c>
      <c r="N278" s="3" t="s">
        <v>10039</v>
      </c>
      <c r="O278" s="3" t="s">
        <v>10041</v>
      </c>
      <c r="P278" s="17">
        <v>45616</v>
      </c>
      <c r="Q278" s="4">
        <v>0</v>
      </c>
    </row>
    <row r="279" spans="1:17" x14ac:dyDescent="0.25">
      <c r="A279" s="2" t="s">
        <v>548</v>
      </c>
      <c r="B279" s="3" t="s">
        <v>5016</v>
      </c>
      <c r="C279" s="3">
        <v>28</v>
      </c>
      <c r="D279" s="46" t="str">
        <f>IF(Tabla1[[#This Row],[EDAD]]&lt;=35,"Adultos jóvenes 18 - 35 años",IF(C279&gt;=36,"Adultos mayores 36 años en adelante"))</f>
        <v>Adultos jóvenes 18 - 35 años</v>
      </c>
      <c r="E279" s="3" t="s">
        <v>5017</v>
      </c>
      <c r="F279" s="3" t="s">
        <v>5024</v>
      </c>
      <c r="G279" s="3" t="s">
        <v>5037</v>
      </c>
      <c r="H279" s="3" t="s">
        <v>5571</v>
      </c>
      <c r="I279" s="17">
        <v>45616</v>
      </c>
      <c r="J279" s="18">
        <f>YEAR(Tabla1[[#This Row],[FECHA DE COMPRA]])</f>
        <v>2024</v>
      </c>
      <c r="K279" s="19">
        <v>108.43</v>
      </c>
      <c r="L279" s="20">
        <v>0.1</v>
      </c>
      <c r="M279" s="19">
        <f>Tienda!$K751-Tienda!$K751*Tienda!$L751</f>
        <v>66.807999999999993</v>
      </c>
      <c r="N279" s="3" t="s">
        <v>10039</v>
      </c>
      <c r="O279" s="3" t="s">
        <v>10041</v>
      </c>
      <c r="P279" s="17">
        <v>45616</v>
      </c>
      <c r="Q279" s="4">
        <v>0</v>
      </c>
    </row>
    <row r="280" spans="1:17" x14ac:dyDescent="0.25">
      <c r="A280" s="2" t="s">
        <v>713</v>
      </c>
      <c r="B280" s="3" t="s">
        <v>5015</v>
      </c>
      <c r="C280" s="3">
        <v>35</v>
      </c>
      <c r="D280" s="46" t="str">
        <f>IF(Tabla1[[#This Row],[EDAD]]&lt;=35,"Adultos jóvenes 18 - 35 años",IF(C280&gt;=36,"Adultos mayores 36 años en adelante"))</f>
        <v>Adultos jóvenes 18 - 35 años</v>
      </c>
      <c r="E280" s="3" t="s">
        <v>5020</v>
      </c>
      <c r="F280" s="3" t="s">
        <v>5024</v>
      </c>
      <c r="G280" s="3" t="s">
        <v>5031</v>
      </c>
      <c r="H280" s="3" t="s">
        <v>5736</v>
      </c>
      <c r="I280" s="17">
        <v>45619</v>
      </c>
      <c r="J280" s="18">
        <f>YEAR(Tabla1[[#This Row],[FECHA DE COMPRA]])</f>
        <v>2024</v>
      </c>
      <c r="K280" s="19">
        <v>60.54</v>
      </c>
      <c r="L280" s="20">
        <v>0.1</v>
      </c>
      <c r="M280" s="19">
        <f>Tienda!$K759-Tienda!$K759*Tienda!$L759</f>
        <v>74.695999999999998</v>
      </c>
      <c r="N280" s="3" t="s">
        <v>10039</v>
      </c>
      <c r="O280" s="3" t="s">
        <v>10041</v>
      </c>
      <c r="P280" s="17">
        <v>45619</v>
      </c>
      <c r="Q280" s="4">
        <v>0</v>
      </c>
    </row>
    <row r="281" spans="1:17" x14ac:dyDescent="0.25">
      <c r="A281" s="2" t="s">
        <v>4365</v>
      </c>
      <c r="B281" s="3" t="s">
        <v>5015</v>
      </c>
      <c r="C281" s="3">
        <v>29</v>
      </c>
      <c r="D281" s="46" t="str">
        <f>IF(Tabla1[[#This Row],[EDAD]]&lt;=35,"Adultos jóvenes 18 - 35 años",IF(C281&gt;=36,"Adultos mayores 36 años en adelante"))</f>
        <v>Adultos jóvenes 18 - 35 años</v>
      </c>
      <c r="E281" s="3" t="s">
        <v>5018</v>
      </c>
      <c r="F281" s="3" t="s">
        <v>5025</v>
      </c>
      <c r="G281" s="3" t="s">
        <v>5037</v>
      </c>
      <c r="H281" s="3" t="s">
        <v>9388</v>
      </c>
      <c r="I281" s="17">
        <v>45619</v>
      </c>
      <c r="J281" s="18">
        <f>YEAR(Tabla1[[#This Row],[FECHA DE COMPRA]])</f>
        <v>2024</v>
      </c>
      <c r="K281" s="19">
        <v>67.27</v>
      </c>
      <c r="L281" s="20">
        <v>0.2</v>
      </c>
      <c r="M281" s="19">
        <f>Tienda!$K760-Tienda!$K760*Tienda!$L760</f>
        <v>77.581000000000003</v>
      </c>
      <c r="N281" s="3" t="s">
        <v>10039</v>
      </c>
      <c r="O281" s="3" t="s">
        <v>10041</v>
      </c>
      <c r="P281" s="17">
        <v>45619</v>
      </c>
      <c r="Q281" s="4">
        <v>0</v>
      </c>
    </row>
    <row r="282" spans="1:17" x14ac:dyDescent="0.25">
      <c r="A282" s="2" t="s">
        <v>2599</v>
      </c>
      <c r="B282" s="3" t="s">
        <v>5015</v>
      </c>
      <c r="C282" s="3">
        <v>27</v>
      </c>
      <c r="D282" s="46" t="str">
        <f>IF(Tabla1[[#This Row],[EDAD]]&lt;=35,"Adultos jóvenes 18 - 35 años",IF(C282&gt;=36,"Adultos mayores 36 años en adelante"))</f>
        <v>Adultos jóvenes 18 - 35 años</v>
      </c>
      <c r="E282" s="3" t="s">
        <v>5020</v>
      </c>
      <c r="F282" s="3" t="s">
        <v>5028</v>
      </c>
      <c r="G282" s="3" t="s">
        <v>5035</v>
      </c>
      <c r="H282" s="3" t="s">
        <v>7622</v>
      </c>
      <c r="I282" s="17">
        <v>45619</v>
      </c>
      <c r="J282" s="18">
        <f>YEAR(Tabla1[[#This Row],[FECHA DE COMPRA]])</f>
        <v>2024</v>
      </c>
      <c r="K282" s="19">
        <v>129.03</v>
      </c>
      <c r="L282" s="20">
        <v>0.3</v>
      </c>
      <c r="M282" s="19">
        <f>Tienda!$K761-Tienda!$K761*Tienda!$L761</f>
        <v>78.343999999999994</v>
      </c>
      <c r="N282" s="3" t="s">
        <v>10039</v>
      </c>
      <c r="O282" s="3" t="s">
        <v>10041</v>
      </c>
      <c r="P282" s="17">
        <v>45619</v>
      </c>
      <c r="Q282" s="4">
        <v>0</v>
      </c>
    </row>
    <row r="283" spans="1:17" x14ac:dyDescent="0.25">
      <c r="A283" s="2" t="s">
        <v>4021</v>
      </c>
      <c r="B283" s="3" t="s">
        <v>5016</v>
      </c>
      <c r="C283" s="3">
        <v>29</v>
      </c>
      <c r="D283" s="46" t="str">
        <f>IF(Tabla1[[#This Row],[EDAD]]&lt;=35,"Adultos jóvenes 18 - 35 años",IF(C283&gt;=36,"Adultos mayores 36 años en adelante"))</f>
        <v>Adultos jóvenes 18 - 35 años</v>
      </c>
      <c r="E283" s="3" t="s">
        <v>5021</v>
      </c>
      <c r="F283" s="3" t="s">
        <v>5028</v>
      </c>
      <c r="G283" s="3" t="s">
        <v>5034</v>
      </c>
      <c r="H283" s="3" t="s">
        <v>9044</v>
      </c>
      <c r="I283" s="17">
        <v>45619</v>
      </c>
      <c r="J283" s="18">
        <f>YEAR(Tabla1[[#This Row],[FECHA DE COMPRA]])</f>
        <v>2024</v>
      </c>
      <c r="K283" s="19">
        <v>161.07</v>
      </c>
      <c r="L283" s="20">
        <v>0.1</v>
      </c>
      <c r="M283" s="19">
        <f>Tienda!$K762-Tienda!$K762*Tienda!$L762</f>
        <v>79.06</v>
      </c>
      <c r="N283" s="3" t="s">
        <v>10039</v>
      </c>
      <c r="O283" s="3" t="s">
        <v>10041</v>
      </c>
      <c r="P283" s="17">
        <v>45619</v>
      </c>
      <c r="Q283" s="4">
        <v>0</v>
      </c>
    </row>
    <row r="284" spans="1:17" x14ac:dyDescent="0.25">
      <c r="A284" s="2" t="s">
        <v>4666</v>
      </c>
      <c r="B284" s="3" t="s">
        <v>5015</v>
      </c>
      <c r="C284" s="3">
        <v>34</v>
      </c>
      <c r="D284" s="46" t="str">
        <f>IF(Tabla1[[#This Row],[EDAD]]&lt;=35,"Adultos jóvenes 18 - 35 años",IF(C284&gt;=36,"Adultos mayores 36 años en adelante"))</f>
        <v>Adultos jóvenes 18 - 35 años</v>
      </c>
      <c r="E284" s="3" t="s">
        <v>5022</v>
      </c>
      <c r="F284" s="3" t="s">
        <v>5029</v>
      </c>
      <c r="G284" s="3" t="s">
        <v>5037</v>
      </c>
      <c r="H284" s="3" t="s">
        <v>9689</v>
      </c>
      <c r="I284" s="17">
        <v>45620</v>
      </c>
      <c r="J284" s="18">
        <f>YEAR(Tabla1[[#This Row],[FECHA DE COMPRA]])</f>
        <v>2024</v>
      </c>
      <c r="K284" s="19">
        <v>137.13</v>
      </c>
      <c r="L284" s="20">
        <v>0.2</v>
      </c>
      <c r="M284" s="19">
        <f>Tienda!$K764-Tienda!$K764*Tienda!$L764</f>
        <v>80.33</v>
      </c>
      <c r="N284" s="3" t="s">
        <v>10039</v>
      </c>
      <c r="O284" s="3" t="s">
        <v>10041</v>
      </c>
      <c r="P284" s="17">
        <v>45620</v>
      </c>
      <c r="Q284" s="4">
        <v>0</v>
      </c>
    </row>
    <row r="285" spans="1:17" x14ac:dyDescent="0.25">
      <c r="A285" s="2" t="s">
        <v>3751</v>
      </c>
      <c r="B285" s="3" t="s">
        <v>5016</v>
      </c>
      <c r="C285" s="3">
        <v>24</v>
      </c>
      <c r="D285" s="46" t="str">
        <f>IF(Tabla1[[#This Row],[EDAD]]&lt;=35,"Adultos jóvenes 18 - 35 años",IF(C285&gt;=36,"Adultos mayores 36 años en adelante"))</f>
        <v>Adultos jóvenes 18 - 35 años</v>
      </c>
      <c r="E285" s="3" t="s">
        <v>5017</v>
      </c>
      <c r="F285" s="3" t="s">
        <v>5030</v>
      </c>
      <c r="G285" s="3" t="s">
        <v>5034</v>
      </c>
      <c r="H285" s="3" t="s">
        <v>8774</v>
      </c>
      <c r="I285" s="17">
        <v>45623</v>
      </c>
      <c r="J285" s="18">
        <f>YEAR(Tabla1[[#This Row],[FECHA DE COMPRA]])</f>
        <v>2024</v>
      </c>
      <c r="K285" s="19">
        <v>34.22</v>
      </c>
      <c r="L285" s="20">
        <v>0.2</v>
      </c>
      <c r="M285" s="19">
        <f>Tienda!$K770-Tienda!$K770*Tienda!$L770</f>
        <v>84.483000000000004</v>
      </c>
      <c r="N285" s="3" t="s">
        <v>10039</v>
      </c>
      <c r="O285" s="3" t="s">
        <v>10041</v>
      </c>
      <c r="P285" s="17">
        <v>45623</v>
      </c>
      <c r="Q285" s="4">
        <v>0</v>
      </c>
    </row>
    <row r="286" spans="1:17" x14ac:dyDescent="0.25">
      <c r="A286" s="2" t="s">
        <v>3194</v>
      </c>
      <c r="B286" s="3" t="s">
        <v>5016</v>
      </c>
      <c r="C286" s="3">
        <v>33</v>
      </c>
      <c r="D286" s="46" t="str">
        <f>IF(Tabla1[[#This Row],[EDAD]]&lt;=35,"Adultos jóvenes 18 - 35 años",IF(C286&gt;=36,"Adultos mayores 36 años en adelante"))</f>
        <v>Adultos jóvenes 18 - 35 años</v>
      </c>
      <c r="E286" s="3" t="s">
        <v>5023</v>
      </c>
      <c r="F286" s="3" t="s">
        <v>5024</v>
      </c>
      <c r="G286" s="3" t="s">
        <v>5036</v>
      </c>
      <c r="H286" s="3" t="s">
        <v>8217</v>
      </c>
      <c r="I286" s="17">
        <v>45625</v>
      </c>
      <c r="J286" s="18">
        <f>YEAR(Tabla1[[#This Row],[FECHA DE COMPRA]])</f>
        <v>2024</v>
      </c>
      <c r="K286" s="19">
        <v>184.63</v>
      </c>
      <c r="L286" s="20">
        <v>0</v>
      </c>
      <c r="M286" s="19">
        <f>Tienda!$K773-Tienda!$K773*Tienda!$L773</f>
        <v>90.28</v>
      </c>
      <c r="N286" s="3" t="s">
        <v>10039</v>
      </c>
      <c r="O286" s="3" t="s">
        <v>10041</v>
      </c>
      <c r="P286" s="17">
        <v>45625</v>
      </c>
      <c r="Q286" s="4">
        <v>0</v>
      </c>
    </row>
    <row r="287" spans="1:17" x14ac:dyDescent="0.25">
      <c r="A287" s="2" t="s">
        <v>2994</v>
      </c>
      <c r="B287" s="3" t="s">
        <v>5016</v>
      </c>
      <c r="C287" s="3">
        <v>32</v>
      </c>
      <c r="D287" s="46" t="str">
        <f>IF(Tabla1[[#This Row],[EDAD]]&lt;=35,"Adultos jóvenes 18 - 35 años",IF(C287&gt;=36,"Adultos mayores 36 años en adelante"))</f>
        <v>Adultos jóvenes 18 - 35 años</v>
      </c>
      <c r="E287" s="3" t="s">
        <v>5019</v>
      </c>
      <c r="F287" s="3" t="s">
        <v>5030</v>
      </c>
      <c r="G287" s="3" t="s">
        <v>5035</v>
      </c>
      <c r="H287" s="3" t="s">
        <v>8017</v>
      </c>
      <c r="I287" s="17">
        <v>45626</v>
      </c>
      <c r="J287" s="18">
        <f>YEAR(Tabla1[[#This Row],[FECHA DE COMPRA]])</f>
        <v>2024</v>
      </c>
      <c r="K287" s="19">
        <v>169.18</v>
      </c>
      <c r="L287" s="20">
        <v>0</v>
      </c>
      <c r="M287" s="19">
        <f>Tienda!$K775-Tienda!$K775*Tienda!$L775</f>
        <v>90.608000000000004</v>
      </c>
      <c r="N287" s="3" t="s">
        <v>10039</v>
      </c>
      <c r="O287" s="3" t="s">
        <v>10041</v>
      </c>
      <c r="P287" s="17">
        <v>45626</v>
      </c>
      <c r="Q287" s="4">
        <v>0</v>
      </c>
    </row>
    <row r="288" spans="1:17" x14ac:dyDescent="0.25">
      <c r="A288" s="2" t="s">
        <v>3933</v>
      </c>
      <c r="B288" s="3" t="s">
        <v>5015</v>
      </c>
      <c r="C288" s="3">
        <v>25</v>
      </c>
      <c r="D288" s="46" t="str">
        <f>IF(Tabla1[[#This Row],[EDAD]]&lt;=35,"Adultos jóvenes 18 - 35 años",IF(C288&gt;=36,"Adultos mayores 36 años en adelante"))</f>
        <v>Adultos jóvenes 18 - 35 años</v>
      </c>
      <c r="E288" s="3" t="s">
        <v>5020</v>
      </c>
      <c r="F288" s="3" t="s">
        <v>5028</v>
      </c>
      <c r="G288" s="3" t="s">
        <v>5037</v>
      </c>
      <c r="H288" s="3" t="s">
        <v>8956</v>
      </c>
      <c r="I288" s="17">
        <v>45626</v>
      </c>
      <c r="J288" s="18">
        <f>YEAR(Tabla1[[#This Row],[FECHA DE COMPRA]])</f>
        <v>2024</v>
      </c>
      <c r="K288" s="19">
        <v>178.39</v>
      </c>
      <c r="L288" s="20">
        <v>0.2</v>
      </c>
      <c r="M288" s="19">
        <f>Tienda!$K776-Tienda!$K776*Tienda!$L776</f>
        <v>91.03</v>
      </c>
      <c r="N288" s="3" t="s">
        <v>10039</v>
      </c>
      <c r="O288" s="3" t="s">
        <v>10041</v>
      </c>
      <c r="P288" s="17">
        <v>45626</v>
      </c>
      <c r="Q288" s="4">
        <v>0</v>
      </c>
    </row>
    <row r="289" spans="1:17" x14ac:dyDescent="0.25">
      <c r="A289" s="2" t="s">
        <v>2524</v>
      </c>
      <c r="B289" s="3" t="s">
        <v>5016</v>
      </c>
      <c r="C289" s="3">
        <v>23</v>
      </c>
      <c r="D289" s="46" t="str">
        <f>IF(Tabla1[[#This Row],[EDAD]]&lt;=35,"Adultos jóvenes 18 - 35 años",IF(C289&gt;=36,"Adultos mayores 36 años en adelante"))</f>
        <v>Adultos jóvenes 18 - 35 años</v>
      </c>
      <c r="E289" s="3" t="s">
        <v>5023</v>
      </c>
      <c r="F289" s="3" t="s">
        <v>5024</v>
      </c>
      <c r="G289" s="3" t="s">
        <v>5035</v>
      </c>
      <c r="H289" s="3" t="s">
        <v>7547</v>
      </c>
      <c r="I289" s="17">
        <v>45649</v>
      </c>
      <c r="J289" s="18">
        <f>YEAR(Tabla1[[#This Row],[FECHA DE COMPRA]])</f>
        <v>2024</v>
      </c>
      <c r="K289" s="19">
        <v>140.49</v>
      </c>
      <c r="L289" s="20">
        <v>0.1</v>
      </c>
      <c r="M289" s="19">
        <f>Tienda!$K778-Tienda!$K778*Tienda!$L778</f>
        <v>91.512</v>
      </c>
      <c r="N289" s="3" t="s">
        <v>10039</v>
      </c>
      <c r="O289" s="3" t="s">
        <v>10041</v>
      </c>
      <c r="P289" s="17">
        <v>45292</v>
      </c>
      <c r="Q289" s="4">
        <v>0</v>
      </c>
    </row>
    <row r="290" spans="1:17" x14ac:dyDescent="0.25">
      <c r="A290" s="2" t="s">
        <v>4382</v>
      </c>
      <c r="B290" s="3" t="s">
        <v>5016</v>
      </c>
      <c r="C290" s="3">
        <v>19</v>
      </c>
      <c r="D290" s="46" t="str">
        <f>IF(Tabla1[[#This Row],[EDAD]]&lt;=35,"Adultos jóvenes 18 - 35 años",IF(C290&gt;=36,"Adultos mayores 36 años en adelante"))</f>
        <v>Adultos jóvenes 18 - 35 años</v>
      </c>
      <c r="E290" s="3" t="s">
        <v>5017</v>
      </c>
      <c r="F290" s="3" t="s">
        <v>5025</v>
      </c>
      <c r="G290" s="3" t="s">
        <v>5036</v>
      </c>
      <c r="H290" s="3" t="s">
        <v>9405</v>
      </c>
      <c r="I290" s="17">
        <v>45649</v>
      </c>
      <c r="J290" s="18">
        <f>YEAR(Tabla1[[#This Row],[FECHA DE COMPRA]])</f>
        <v>2024</v>
      </c>
      <c r="K290" s="19">
        <v>192.74</v>
      </c>
      <c r="L290" s="20">
        <v>0.3</v>
      </c>
      <c r="M290" s="19">
        <f>Tienda!$K779-Tienda!$K779*Tienda!$L779</f>
        <v>91.777000000000015</v>
      </c>
      <c r="N290" s="3" t="s">
        <v>10039</v>
      </c>
      <c r="O290" s="3" t="s">
        <v>10041</v>
      </c>
      <c r="P290" s="17">
        <v>45292</v>
      </c>
      <c r="Q290" s="4">
        <v>0</v>
      </c>
    </row>
    <row r="291" spans="1:17" x14ac:dyDescent="0.25">
      <c r="A291" s="2" t="s">
        <v>140</v>
      </c>
      <c r="B291" s="3" t="s">
        <v>5015</v>
      </c>
      <c r="C291" s="3">
        <v>24</v>
      </c>
      <c r="D291" s="46" t="str">
        <f>IF(Tabla1[[#This Row],[EDAD]]&lt;=35,"Adultos jóvenes 18 - 35 años",IF(C291&gt;=36,"Adultos mayores 36 años en adelante"))</f>
        <v>Adultos jóvenes 18 - 35 años</v>
      </c>
      <c r="E291" s="3" t="s">
        <v>5023</v>
      </c>
      <c r="F291" s="3" t="s">
        <v>5030</v>
      </c>
      <c r="G291" s="3" t="s">
        <v>5033</v>
      </c>
      <c r="H291" s="3" t="s">
        <v>5163</v>
      </c>
      <c r="I291" s="17">
        <v>45649</v>
      </c>
      <c r="J291" s="18">
        <f>YEAR(Tabla1[[#This Row],[FECHA DE COMPRA]])</f>
        <v>2024</v>
      </c>
      <c r="K291" s="19">
        <v>23.69</v>
      </c>
      <c r="L291" s="20">
        <v>0.1</v>
      </c>
      <c r="M291" s="19">
        <f>Tienda!$K786-Tienda!$K786*Tienda!$L786</f>
        <v>98.39</v>
      </c>
      <c r="N291" s="3" t="s">
        <v>10039</v>
      </c>
      <c r="O291" s="3" t="s">
        <v>10041</v>
      </c>
      <c r="P291" s="17">
        <v>45296</v>
      </c>
      <c r="Q291" s="4">
        <v>0</v>
      </c>
    </row>
    <row r="292" spans="1:17" x14ac:dyDescent="0.25">
      <c r="A292" s="2" t="s">
        <v>202</v>
      </c>
      <c r="B292" s="3" t="s">
        <v>5015</v>
      </c>
      <c r="C292" s="3">
        <v>34</v>
      </c>
      <c r="D292" s="46" t="str">
        <f>IF(Tabla1[[#This Row],[EDAD]]&lt;=35,"Adultos jóvenes 18 - 35 años",IF(C292&gt;=36,"Adultos mayores 36 años en adelante"))</f>
        <v>Adultos jóvenes 18 - 35 años</v>
      </c>
      <c r="E292" s="3" t="s">
        <v>5018</v>
      </c>
      <c r="F292" s="3" t="s">
        <v>5027</v>
      </c>
      <c r="G292" s="3" t="s">
        <v>5032</v>
      </c>
      <c r="H292" s="3" t="s">
        <v>5225</v>
      </c>
      <c r="I292" s="17">
        <v>45649</v>
      </c>
      <c r="J292" s="18">
        <f>YEAR(Tabla1[[#This Row],[FECHA DE COMPRA]])</f>
        <v>2024</v>
      </c>
      <c r="K292" s="19">
        <v>121.05</v>
      </c>
      <c r="L292" s="20">
        <v>0.2</v>
      </c>
      <c r="M292" s="19">
        <f>Tienda!$K787-Tienda!$K787*Tienda!$L787</f>
        <v>98.532000000000011</v>
      </c>
      <c r="N292" s="3" t="s">
        <v>10039</v>
      </c>
      <c r="O292" s="3" t="s">
        <v>10041</v>
      </c>
      <c r="P292" s="17">
        <v>45296</v>
      </c>
      <c r="Q292" s="4">
        <v>0</v>
      </c>
    </row>
    <row r="293" spans="1:17" x14ac:dyDescent="0.25">
      <c r="A293" s="2" t="s">
        <v>1771</v>
      </c>
      <c r="B293" s="3" t="s">
        <v>5015</v>
      </c>
      <c r="C293" s="3">
        <v>20</v>
      </c>
      <c r="D293" s="46" t="str">
        <f>IF(Tabla1[[#This Row],[EDAD]]&lt;=35,"Adultos jóvenes 18 - 35 años",IF(C293&gt;=36,"Adultos mayores 36 años en adelante"))</f>
        <v>Adultos jóvenes 18 - 35 años</v>
      </c>
      <c r="E293" s="3" t="s">
        <v>5023</v>
      </c>
      <c r="F293" s="3" t="s">
        <v>5027</v>
      </c>
      <c r="G293" s="3" t="s">
        <v>5034</v>
      </c>
      <c r="H293" s="3" t="s">
        <v>6794</v>
      </c>
      <c r="I293" s="17">
        <v>45649</v>
      </c>
      <c r="J293" s="18">
        <f>YEAR(Tabla1[[#This Row],[FECHA DE COMPRA]])</f>
        <v>2024</v>
      </c>
      <c r="K293" s="19">
        <v>122.82</v>
      </c>
      <c r="L293" s="20">
        <v>0.3</v>
      </c>
      <c r="M293" s="19">
        <f>Tienda!$K791-Tienda!$K791*Tienda!$L791</f>
        <v>101.11499999999999</v>
      </c>
      <c r="N293" s="3" t="s">
        <v>10039</v>
      </c>
      <c r="O293" s="3" t="s">
        <v>10041</v>
      </c>
      <c r="P293" s="17">
        <v>45299</v>
      </c>
      <c r="Q293" s="4">
        <v>0</v>
      </c>
    </row>
    <row r="294" spans="1:17" x14ac:dyDescent="0.25">
      <c r="A294" s="2" t="s">
        <v>908</v>
      </c>
      <c r="B294" s="3" t="s">
        <v>5015</v>
      </c>
      <c r="C294" s="3">
        <v>22</v>
      </c>
      <c r="D294" s="46" t="str">
        <f>IF(Tabla1[[#This Row],[EDAD]]&lt;=35,"Adultos jóvenes 18 - 35 años",IF(C294&gt;=36,"Adultos mayores 36 años en adelante"))</f>
        <v>Adultos jóvenes 18 - 35 años</v>
      </c>
      <c r="E294" s="3" t="s">
        <v>5022</v>
      </c>
      <c r="F294" s="3" t="s">
        <v>5025</v>
      </c>
      <c r="G294" s="3" t="s">
        <v>5037</v>
      </c>
      <c r="H294" s="3" t="s">
        <v>5931</v>
      </c>
      <c r="I294" s="17">
        <v>45649</v>
      </c>
      <c r="J294" s="18">
        <f>YEAR(Tabla1[[#This Row],[FECHA DE COMPRA]])</f>
        <v>2024</v>
      </c>
      <c r="K294" s="19">
        <v>181.97</v>
      </c>
      <c r="L294" s="20">
        <v>0.3</v>
      </c>
      <c r="M294" s="19">
        <f>Tienda!$K792-Tienda!$K792*Tienda!$L792</f>
        <v>101.339</v>
      </c>
      <c r="N294" s="3" t="s">
        <v>10039</v>
      </c>
      <c r="O294" s="3" t="s">
        <v>10041</v>
      </c>
      <c r="P294" s="17">
        <v>45299</v>
      </c>
      <c r="Q294" s="4">
        <v>0</v>
      </c>
    </row>
    <row r="295" spans="1:17" x14ac:dyDescent="0.25">
      <c r="A295" s="2" t="s">
        <v>116</v>
      </c>
      <c r="B295" s="3" t="s">
        <v>5015</v>
      </c>
      <c r="C295" s="3">
        <v>27</v>
      </c>
      <c r="D295" s="46" t="str">
        <f>IF(Tabla1[[#This Row],[EDAD]]&lt;=35,"Adultos jóvenes 18 - 35 años",IF(C295&gt;=36,"Adultos mayores 36 años en adelante"))</f>
        <v>Adultos jóvenes 18 - 35 años</v>
      </c>
      <c r="E295" s="3" t="s">
        <v>5020</v>
      </c>
      <c r="F295" s="3" t="s">
        <v>5027</v>
      </c>
      <c r="G295" s="3" t="s">
        <v>5037</v>
      </c>
      <c r="H295" s="3" t="s">
        <v>5139</v>
      </c>
      <c r="I295" s="17">
        <v>45649</v>
      </c>
      <c r="J295" s="18">
        <f>YEAR(Tabla1[[#This Row],[FECHA DE COMPRA]])</f>
        <v>2024</v>
      </c>
      <c r="K295" s="19">
        <v>101.08</v>
      </c>
      <c r="L295" s="20">
        <v>0</v>
      </c>
      <c r="M295" s="19">
        <f>Tienda!$K800-Tienda!$K800*Tienda!$L800</f>
        <v>106.53599999999999</v>
      </c>
      <c r="N295" s="3" t="s">
        <v>10039</v>
      </c>
      <c r="O295" s="3" t="s">
        <v>10041</v>
      </c>
      <c r="P295" s="17">
        <v>45304</v>
      </c>
      <c r="Q295" s="4">
        <v>0</v>
      </c>
    </row>
    <row r="296" spans="1:17" x14ac:dyDescent="0.25">
      <c r="A296" s="2" t="s">
        <v>881</v>
      </c>
      <c r="B296" s="3" t="s">
        <v>5016</v>
      </c>
      <c r="C296" s="3">
        <v>22</v>
      </c>
      <c r="D296" s="46" t="str">
        <f>IF(Tabla1[[#This Row],[EDAD]]&lt;=35,"Adultos jóvenes 18 - 35 años",IF(C296&gt;=36,"Adultos mayores 36 años en adelante"))</f>
        <v>Adultos jóvenes 18 - 35 años</v>
      </c>
      <c r="E296" s="3" t="s">
        <v>5017</v>
      </c>
      <c r="F296" s="3" t="s">
        <v>5025</v>
      </c>
      <c r="G296" s="3" t="s">
        <v>5034</v>
      </c>
      <c r="H296" s="3" t="s">
        <v>5904</v>
      </c>
      <c r="I296" s="17">
        <v>45649</v>
      </c>
      <c r="J296" s="18">
        <f>YEAR(Tabla1[[#This Row],[FECHA DE COMPRA]])</f>
        <v>2024</v>
      </c>
      <c r="K296" s="19">
        <v>109.03</v>
      </c>
      <c r="L296" s="20">
        <v>0.1</v>
      </c>
      <c r="M296" s="19">
        <f>Tienda!$K801-Tienda!$K801*Tienda!$L801</f>
        <v>106.95</v>
      </c>
      <c r="N296" s="3" t="s">
        <v>10039</v>
      </c>
      <c r="O296" s="3" t="s">
        <v>10041</v>
      </c>
      <c r="P296" s="17">
        <v>45304</v>
      </c>
      <c r="Q296" s="4">
        <v>0</v>
      </c>
    </row>
    <row r="297" spans="1:17" x14ac:dyDescent="0.25">
      <c r="A297" s="2" t="s">
        <v>1665</v>
      </c>
      <c r="B297" s="3" t="s">
        <v>5015</v>
      </c>
      <c r="C297" s="3">
        <v>35</v>
      </c>
      <c r="D297" s="46" t="str">
        <f>IF(Tabla1[[#This Row],[EDAD]]&lt;=35,"Adultos jóvenes 18 - 35 años",IF(C297&gt;=36,"Adultos mayores 36 años en adelante"))</f>
        <v>Adultos jóvenes 18 - 35 años</v>
      </c>
      <c r="E297" s="3" t="s">
        <v>5018</v>
      </c>
      <c r="F297" s="3" t="s">
        <v>5028</v>
      </c>
      <c r="G297" s="3" t="s">
        <v>5034</v>
      </c>
      <c r="H297" s="3" t="s">
        <v>6688</v>
      </c>
      <c r="I297" s="17">
        <v>45649</v>
      </c>
      <c r="J297" s="18">
        <f>YEAR(Tabla1[[#This Row],[FECHA DE COMPRA]])</f>
        <v>2024</v>
      </c>
      <c r="K297" s="19">
        <v>164.73</v>
      </c>
      <c r="L297" s="20">
        <v>0.3</v>
      </c>
      <c r="M297" s="19">
        <f>Tienda!$K802-Tienda!$K802*Tienda!$L802</f>
        <v>106.99</v>
      </c>
      <c r="N297" s="3" t="s">
        <v>10039</v>
      </c>
      <c r="O297" s="3" t="s">
        <v>10041</v>
      </c>
      <c r="P297" s="17">
        <v>45304</v>
      </c>
      <c r="Q297" s="4">
        <v>0</v>
      </c>
    </row>
    <row r="298" spans="1:17" x14ac:dyDescent="0.25">
      <c r="A298" s="2" t="s">
        <v>4706</v>
      </c>
      <c r="B298" s="3" t="s">
        <v>5015</v>
      </c>
      <c r="C298" s="3">
        <v>19</v>
      </c>
      <c r="D298" s="46" t="str">
        <f>IF(Tabla1[[#This Row],[EDAD]]&lt;=35,"Adultos jóvenes 18 - 35 años",IF(C298&gt;=36,"Adultos mayores 36 años en adelante"))</f>
        <v>Adultos jóvenes 18 - 35 años</v>
      </c>
      <c r="E298" s="3" t="s">
        <v>5019</v>
      </c>
      <c r="F298" s="3" t="s">
        <v>5030</v>
      </c>
      <c r="G298" s="3" t="s">
        <v>5035</v>
      </c>
      <c r="H298" s="3" t="s">
        <v>9729</v>
      </c>
      <c r="I298" s="17">
        <v>45649</v>
      </c>
      <c r="J298" s="18">
        <f>YEAR(Tabla1[[#This Row],[FECHA DE COMPRA]])</f>
        <v>2024</v>
      </c>
      <c r="K298" s="19">
        <v>130.38</v>
      </c>
      <c r="L298" s="20">
        <v>0</v>
      </c>
      <c r="M298" s="19">
        <f>Tienda!$K809-Tienda!$K809*Tienda!$L809</f>
        <v>112.03</v>
      </c>
      <c r="N298" s="3" t="s">
        <v>10039</v>
      </c>
      <c r="O298" s="3" t="s">
        <v>10041</v>
      </c>
      <c r="P298" s="17">
        <v>45306</v>
      </c>
      <c r="Q298" s="4">
        <v>0</v>
      </c>
    </row>
    <row r="299" spans="1:17" x14ac:dyDescent="0.25">
      <c r="A299" s="2" t="s">
        <v>3620</v>
      </c>
      <c r="B299" s="3" t="s">
        <v>5015</v>
      </c>
      <c r="C299" s="3">
        <v>28</v>
      </c>
      <c r="D299" s="46" t="str">
        <f>IF(Tabla1[[#This Row],[EDAD]]&lt;=35,"Adultos jóvenes 18 - 35 años",IF(C299&gt;=36,"Adultos mayores 36 años en adelante"))</f>
        <v>Adultos jóvenes 18 - 35 años</v>
      </c>
      <c r="E299" s="3" t="s">
        <v>5022</v>
      </c>
      <c r="F299" s="3" t="s">
        <v>5030</v>
      </c>
      <c r="G299" s="3" t="s">
        <v>5035</v>
      </c>
      <c r="H299" s="3" t="s">
        <v>8643</v>
      </c>
      <c r="I299" s="17">
        <v>45628</v>
      </c>
      <c r="J299" s="18">
        <f>YEAR(Tabla1[[#This Row],[FECHA DE COMPRA]])</f>
        <v>2024</v>
      </c>
      <c r="K299" s="19">
        <v>78.53</v>
      </c>
      <c r="L299" s="20">
        <v>0.1</v>
      </c>
      <c r="M299" s="19">
        <f>Tienda!$K811-Tienda!$K811*Tienda!$L811</f>
        <v>113.992</v>
      </c>
      <c r="N299" s="3" t="s">
        <v>10039</v>
      </c>
      <c r="O299" s="3" t="s">
        <v>10041</v>
      </c>
      <c r="P299" s="17">
        <v>45628</v>
      </c>
      <c r="Q299" s="4">
        <v>0</v>
      </c>
    </row>
    <row r="300" spans="1:17" x14ac:dyDescent="0.25">
      <c r="A300" s="2" t="s">
        <v>407</v>
      </c>
      <c r="B300" s="3" t="s">
        <v>5015</v>
      </c>
      <c r="C300" s="3">
        <v>24</v>
      </c>
      <c r="D300" s="46" t="str">
        <f>IF(Tabla1[[#This Row],[EDAD]]&lt;=35,"Adultos jóvenes 18 - 35 años",IF(C300&gt;=36,"Adultos mayores 36 años en adelante"))</f>
        <v>Adultos jóvenes 18 - 35 años</v>
      </c>
      <c r="E300" s="3" t="s">
        <v>5021</v>
      </c>
      <c r="F300" s="3" t="s">
        <v>5029</v>
      </c>
      <c r="G300" s="3" t="s">
        <v>5031</v>
      </c>
      <c r="H300" s="3" t="s">
        <v>5430</v>
      </c>
      <c r="I300" s="17">
        <v>45632</v>
      </c>
      <c r="J300" s="18">
        <f>YEAR(Tabla1[[#This Row],[FECHA DE COMPRA]])</f>
        <v>2024</v>
      </c>
      <c r="K300" s="19">
        <v>159.78</v>
      </c>
      <c r="L300" s="20">
        <v>0</v>
      </c>
      <c r="M300" s="19">
        <f>Tienda!$K820-Tienda!$K820*Tienda!$L820</f>
        <v>122.11499999999999</v>
      </c>
      <c r="N300" s="3" t="s">
        <v>10039</v>
      </c>
      <c r="O300" s="3" t="s">
        <v>10041</v>
      </c>
      <c r="P300" s="17">
        <v>45632</v>
      </c>
      <c r="Q300" s="4">
        <v>0</v>
      </c>
    </row>
    <row r="301" spans="1:17" x14ac:dyDescent="0.25">
      <c r="A301" s="2" t="s">
        <v>3612</v>
      </c>
      <c r="B301" s="3" t="s">
        <v>5015</v>
      </c>
      <c r="C301" s="3">
        <v>25</v>
      </c>
      <c r="D301" s="46" t="str">
        <f>IF(Tabla1[[#This Row],[EDAD]]&lt;=35,"Adultos jóvenes 18 - 35 años",IF(C301&gt;=36,"Adultos mayores 36 años en adelante"))</f>
        <v>Adultos jóvenes 18 - 35 años</v>
      </c>
      <c r="E301" s="3" t="s">
        <v>5022</v>
      </c>
      <c r="F301" s="3" t="s">
        <v>5025</v>
      </c>
      <c r="G301" s="3" t="s">
        <v>5032</v>
      </c>
      <c r="H301" s="3" t="s">
        <v>8635</v>
      </c>
      <c r="I301" s="17">
        <v>45633</v>
      </c>
      <c r="J301" s="18">
        <f>YEAR(Tabla1[[#This Row],[FECHA DE COMPRA]])</f>
        <v>2024</v>
      </c>
      <c r="K301" s="19">
        <v>117.99</v>
      </c>
      <c r="L301" s="20">
        <v>0.2</v>
      </c>
      <c r="M301" s="19">
        <f>Tienda!$K822-Tienda!$K822*Tienda!$L822</f>
        <v>122.958</v>
      </c>
      <c r="N301" s="3" t="s">
        <v>10039</v>
      </c>
      <c r="O301" s="3" t="s">
        <v>10041</v>
      </c>
      <c r="P301" s="17">
        <v>45633</v>
      </c>
      <c r="Q301" s="4">
        <v>0</v>
      </c>
    </row>
    <row r="302" spans="1:17" x14ac:dyDescent="0.25">
      <c r="A302" s="2" t="s">
        <v>3980</v>
      </c>
      <c r="B302" s="3" t="s">
        <v>5015</v>
      </c>
      <c r="C302" s="3">
        <v>24</v>
      </c>
      <c r="D302" s="46" t="str">
        <f>IF(Tabla1[[#This Row],[EDAD]]&lt;=35,"Adultos jóvenes 18 - 35 años",IF(C302&gt;=36,"Adultos mayores 36 años en adelante"))</f>
        <v>Adultos jóvenes 18 - 35 años</v>
      </c>
      <c r="E302" s="3" t="s">
        <v>5020</v>
      </c>
      <c r="F302" s="3" t="s">
        <v>5028</v>
      </c>
      <c r="G302" s="3" t="s">
        <v>5037</v>
      </c>
      <c r="H302" s="3" t="s">
        <v>9003</v>
      </c>
      <c r="I302" s="17">
        <v>45634</v>
      </c>
      <c r="J302" s="18">
        <f>YEAR(Tabla1[[#This Row],[FECHA DE COMPRA]])</f>
        <v>2024</v>
      </c>
      <c r="K302" s="19">
        <v>166.26</v>
      </c>
      <c r="L302" s="20">
        <v>0.1</v>
      </c>
      <c r="M302" s="19">
        <f>Tienda!$K826-Tienda!$K826*Tienda!$L826</f>
        <v>125.577</v>
      </c>
      <c r="N302" s="3" t="s">
        <v>10039</v>
      </c>
      <c r="O302" s="3" t="s">
        <v>10041</v>
      </c>
      <c r="P302" s="17">
        <v>45634</v>
      </c>
      <c r="Q302" s="4">
        <v>0</v>
      </c>
    </row>
    <row r="303" spans="1:17" x14ac:dyDescent="0.25">
      <c r="A303" s="2" t="s">
        <v>1004</v>
      </c>
      <c r="B303" s="3" t="s">
        <v>5015</v>
      </c>
      <c r="C303" s="3">
        <v>26</v>
      </c>
      <c r="D303" s="46" t="str">
        <f>IF(Tabla1[[#This Row],[EDAD]]&lt;=35,"Adultos jóvenes 18 - 35 años",IF(C303&gt;=36,"Adultos mayores 36 años en adelante"))</f>
        <v>Adultos jóvenes 18 - 35 años</v>
      </c>
      <c r="E303" s="3" t="s">
        <v>5023</v>
      </c>
      <c r="F303" s="3" t="s">
        <v>5024</v>
      </c>
      <c r="G303" s="3" t="s">
        <v>5034</v>
      </c>
      <c r="H303" s="3" t="s">
        <v>6027</v>
      </c>
      <c r="I303" s="17">
        <v>45635</v>
      </c>
      <c r="J303" s="18">
        <f>YEAR(Tabla1[[#This Row],[FECHA DE COMPRA]])</f>
        <v>2024</v>
      </c>
      <c r="K303" s="19">
        <v>188.27</v>
      </c>
      <c r="L303" s="20">
        <v>0</v>
      </c>
      <c r="M303" s="19">
        <f>Tienda!$K829-Tienda!$K829*Tienda!$L829</f>
        <v>126.78400000000001</v>
      </c>
      <c r="N303" s="3" t="s">
        <v>10039</v>
      </c>
      <c r="O303" s="3" t="s">
        <v>10041</v>
      </c>
      <c r="P303" s="17">
        <v>45635</v>
      </c>
      <c r="Q303" s="4">
        <v>0</v>
      </c>
    </row>
    <row r="304" spans="1:17" x14ac:dyDescent="0.25">
      <c r="A304" s="2" t="s">
        <v>179</v>
      </c>
      <c r="B304" s="3" t="s">
        <v>5016</v>
      </c>
      <c r="C304" s="3">
        <v>31</v>
      </c>
      <c r="D304" s="46" t="str">
        <f>IF(Tabla1[[#This Row],[EDAD]]&lt;=35,"Adultos jóvenes 18 - 35 años",IF(C304&gt;=36,"Adultos mayores 36 años en adelante"))</f>
        <v>Adultos jóvenes 18 - 35 años</v>
      </c>
      <c r="E304" s="3" t="s">
        <v>5017</v>
      </c>
      <c r="F304" s="3" t="s">
        <v>5024</v>
      </c>
      <c r="G304" s="3" t="s">
        <v>5032</v>
      </c>
      <c r="H304" s="3" t="s">
        <v>5202</v>
      </c>
      <c r="I304" s="17">
        <v>45636</v>
      </c>
      <c r="J304" s="18">
        <f>YEAR(Tabla1[[#This Row],[FECHA DE COMPRA]])</f>
        <v>2024</v>
      </c>
      <c r="K304" s="19">
        <v>116.31</v>
      </c>
      <c r="L304" s="20">
        <v>0.1</v>
      </c>
      <c r="M304" s="19">
        <f>Tienda!$K831-Tienda!$K831*Tienda!$L831</f>
        <v>128.779</v>
      </c>
      <c r="N304" s="3" t="s">
        <v>10039</v>
      </c>
      <c r="O304" s="3" t="s">
        <v>10041</v>
      </c>
      <c r="P304" s="17">
        <v>45636</v>
      </c>
      <c r="Q304" s="4">
        <v>0</v>
      </c>
    </row>
    <row r="305" spans="1:17" x14ac:dyDescent="0.25">
      <c r="A305" s="2" t="s">
        <v>567</v>
      </c>
      <c r="B305" s="3" t="s">
        <v>5015</v>
      </c>
      <c r="C305" s="3">
        <v>30</v>
      </c>
      <c r="D305" s="46" t="str">
        <f>IF(Tabla1[[#This Row],[EDAD]]&lt;=35,"Adultos jóvenes 18 - 35 años",IF(C305&gt;=36,"Adultos mayores 36 años en adelante"))</f>
        <v>Adultos jóvenes 18 - 35 años</v>
      </c>
      <c r="E305" s="3" t="s">
        <v>5017</v>
      </c>
      <c r="F305" s="3" t="s">
        <v>5027</v>
      </c>
      <c r="G305" s="3" t="s">
        <v>5037</v>
      </c>
      <c r="H305" s="3" t="s">
        <v>5590</v>
      </c>
      <c r="I305" s="17">
        <v>45637</v>
      </c>
      <c r="J305" s="18">
        <f>YEAR(Tabla1[[#This Row],[FECHA DE COMPRA]])</f>
        <v>2024</v>
      </c>
      <c r="K305" s="19">
        <v>128.4</v>
      </c>
      <c r="L305" s="20">
        <v>0.1</v>
      </c>
      <c r="M305" s="19">
        <f>Tienda!$K833-Tienda!$K833*Tienda!$L833</f>
        <v>130.31899999999999</v>
      </c>
      <c r="N305" s="3" t="s">
        <v>10039</v>
      </c>
      <c r="O305" s="3" t="s">
        <v>10041</v>
      </c>
      <c r="P305" s="17">
        <v>45637</v>
      </c>
      <c r="Q305" s="4">
        <v>0</v>
      </c>
    </row>
    <row r="306" spans="1:17" x14ac:dyDescent="0.25">
      <c r="A306" s="2" t="s">
        <v>2573</v>
      </c>
      <c r="B306" s="3" t="s">
        <v>5015</v>
      </c>
      <c r="C306" s="3">
        <v>27</v>
      </c>
      <c r="D306" s="46" t="str">
        <f>IF(Tabla1[[#This Row],[EDAD]]&lt;=35,"Adultos jóvenes 18 - 35 años",IF(C306&gt;=36,"Adultos mayores 36 años en adelante"))</f>
        <v>Adultos jóvenes 18 - 35 años</v>
      </c>
      <c r="E306" s="3" t="s">
        <v>5017</v>
      </c>
      <c r="F306" s="3" t="s">
        <v>5030</v>
      </c>
      <c r="G306" s="3" t="s">
        <v>5035</v>
      </c>
      <c r="H306" s="3" t="s">
        <v>7596</v>
      </c>
      <c r="I306" s="17">
        <v>45639</v>
      </c>
      <c r="J306" s="18">
        <f>YEAR(Tabla1[[#This Row],[FECHA DE COMPRA]])</f>
        <v>2024</v>
      </c>
      <c r="K306" s="19">
        <v>32.19</v>
      </c>
      <c r="L306" s="20">
        <v>0.3</v>
      </c>
      <c r="M306" s="19">
        <f>Tienda!$K839-Tienda!$K839*Tienda!$L839</f>
        <v>135.73000000000002</v>
      </c>
      <c r="N306" s="3" t="s">
        <v>10039</v>
      </c>
      <c r="O306" s="3" t="s">
        <v>10041</v>
      </c>
      <c r="P306" s="17">
        <v>45639</v>
      </c>
      <c r="Q306" s="4">
        <v>0</v>
      </c>
    </row>
    <row r="307" spans="1:17" x14ac:dyDescent="0.25">
      <c r="A307" s="2" t="s">
        <v>4572</v>
      </c>
      <c r="B307" s="3" t="s">
        <v>5015</v>
      </c>
      <c r="C307" s="3">
        <v>35</v>
      </c>
      <c r="D307" s="46" t="str">
        <f>IF(Tabla1[[#This Row],[EDAD]]&lt;=35,"Adultos jóvenes 18 - 35 años",IF(C307&gt;=36,"Adultos mayores 36 años en adelante"))</f>
        <v>Adultos jóvenes 18 - 35 años</v>
      </c>
      <c r="E307" s="3" t="s">
        <v>5023</v>
      </c>
      <c r="F307" s="3" t="s">
        <v>5028</v>
      </c>
      <c r="G307" s="3" t="s">
        <v>5035</v>
      </c>
      <c r="H307" s="3" t="s">
        <v>9595</v>
      </c>
      <c r="I307" s="17">
        <v>45639</v>
      </c>
      <c r="J307" s="18">
        <f>YEAR(Tabla1[[#This Row],[FECHA DE COMPRA]])</f>
        <v>2024</v>
      </c>
      <c r="K307" s="19">
        <v>103.39</v>
      </c>
      <c r="L307" s="20">
        <v>0.1</v>
      </c>
      <c r="M307" s="19">
        <f>Tienda!$K840-Tienda!$K840*Tienda!$L840</f>
        <v>135.905</v>
      </c>
      <c r="N307" s="3" t="s">
        <v>10039</v>
      </c>
      <c r="O307" s="3" t="s">
        <v>10041</v>
      </c>
      <c r="P307" s="17">
        <v>45639</v>
      </c>
      <c r="Q307" s="4">
        <v>0</v>
      </c>
    </row>
    <row r="308" spans="1:17" x14ac:dyDescent="0.25">
      <c r="A308" s="2" t="s">
        <v>3324</v>
      </c>
      <c r="B308" s="3" t="s">
        <v>5015</v>
      </c>
      <c r="C308" s="3">
        <v>21</v>
      </c>
      <c r="D308" s="46" t="str">
        <f>IF(Tabla1[[#This Row],[EDAD]]&lt;=35,"Adultos jóvenes 18 - 35 años",IF(C308&gt;=36,"Adultos mayores 36 años en adelante"))</f>
        <v>Adultos jóvenes 18 - 35 años</v>
      </c>
      <c r="E308" s="3" t="s">
        <v>5018</v>
      </c>
      <c r="F308" s="3" t="s">
        <v>5026</v>
      </c>
      <c r="G308" s="3" t="s">
        <v>5037</v>
      </c>
      <c r="H308" s="3" t="s">
        <v>8347</v>
      </c>
      <c r="I308" s="17">
        <v>45640</v>
      </c>
      <c r="J308" s="18">
        <f>YEAR(Tabla1[[#This Row],[FECHA DE COMPRA]])</f>
        <v>2024</v>
      </c>
      <c r="K308" s="19">
        <v>27.3</v>
      </c>
      <c r="L308" s="20">
        <v>0</v>
      </c>
      <c r="M308" s="19">
        <f>Tienda!$K842-Tienda!$K842*Tienda!$L842</f>
        <v>136.99700000000001</v>
      </c>
      <c r="N308" s="3" t="s">
        <v>10039</v>
      </c>
      <c r="O308" s="3" t="s">
        <v>10041</v>
      </c>
      <c r="P308" s="17">
        <v>45640</v>
      </c>
      <c r="Q308" s="4">
        <v>0</v>
      </c>
    </row>
    <row r="309" spans="1:17" x14ac:dyDescent="0.25">
      <c r="A309" s="2" t="s">
        <v>3405</v>
      </c>
      <c r="B309" s="3" t="s">
        <v>5015</v>
      </c>
      <c r="C309" s="3">
        <v>18</v>
      </c>
      <c r="D309" s="46" t="str">
        <f>IF(Tabla1[[#This Row],[EDAD]]&lt;=35,"Adultos jóvenes 18 - 35 años",IF(C309&gt;=36,"Adultos mayores 36 años en adelante"))</f>
        <v>Adultos jóvenes 18 - 35 años</v>
      </c>
      <c r="E309" s="3" t="s">
        <v>5017</v>
      </c>
      <c r="F309" s="3" t="s">
        <v>5030</v>
      </c>
      <c r="G309" s="3" t="s">
        <v>5035</v>
      </c>
      <c r="H309" s="3" t="s">
        <v>8428</v>
      </c>
      <c r="I309" s="17">
        <v>45640</v>
      </c>
      <c r="J309" s="18">
        <f>YEAR(Tabla1[[#This Row],[FECHA DE COMPRA]])</f>
        <v>2024</v>
      </c>
      <c r="K309" s="19">
        <v>128.71</v>
      </c>
      <c r="L309" s="20">
        <v>0.2</v>
      </c>
      <c r="M309" s="19">
        <f>Tienda!$K844-Tienda!$K844*Tienda!$L844</f>
        <v>139.30000000000001</v>
      </c>
      <c r="N309" s="3" t="s">
        <v>10039</v>
      </c>
      <c r="O309" s="3" t="s">
        <v>10041</v>
      </c>
      <c r="P309" s="17">
        <v>45640</v>
      </c>
      <c r="Q309" s="4">
        <v>0</v>
      </c>
    </row>
    <row r="310" spans="1:17" x14ac:dyDescent="0.25">
      <c r="A310" s="2" t="s">
        <v>3447</v>
      </c>
      <c r="B310" s="3" t="s">
        <v>5016</v>
      </c>
      <c r="C310" s="3">
        <v>19</v>
      </c>
      <c r="D310" s="46" t="str">
        <f>IF(Tabla1[[#This Row],[EDAD]]&lt;=35,"Adultos jóvenes 18 - 35 años",IF(C310&gt;=36,"Adultos mayores 36 años en adelante"))</f>
        <v>Adultos jóvenes 18 - 35 años</v>
      </c>
      <c r="E310" s="3" t="s">
        <v>5017</v>
      </c>
      <c r="F310" s="3" t="s">
        <v>5030</v>
      </c>
      <c r="G310" s="3" t="s">
        <v>5034</v>
      </c>
      <c r="H310" s="3" t="s">
        <v>8470</v>
      </c>
      <c r="I310" s="17">
        <v>45640</v>
      </c>
      <c r="J310" s="18">
        <f>YEAR(Tabla1[[#This Row],[FECHA DE COMPRA]])</f>
        <v>2024</v>
      </c>
      <c r="K310" s="19">
        <v>143.05000000000001</v>
      </c>
      <c r="L310" s="20">
        <v>0.1</v>
      </c>
      <c r="M310" s="19">
        <f>Tienda!$K845-Tienda!$K845*Tienda!$L845</f>
        <v>139.804</v>
      </c>
      <c r="N310" s="3" t="s">
        <v>10039</v>
      </c>
      <c r="O310" s="3" t="s">
        <v>10041</v>
      </c>
      <c r="P310" s="17">
        <v>45640</v>
      </c>
      <c r="Q310" s="4">
        <v>0</v>
      </c>
    </row>
    <row r="311" spans="1:17" x14ac:dyDescent="0.25">
      <c r="A311" s="2" t="s">
        <v>3144</v>
      </c>
      <c r="B311" s="3" t="s">
        <v>5015</v>
      </c>
      <c r="C311" s="3">
        <v>21</v>
      </c>
      <c r="D311" s="46" t="str">
        <f>IF(Tabla1[[#This Row],[EDAD]]&lt;=35,"Adultos jóvenes 18 - 35 años",IF(C311&gt;=36,"Adultos mayores 36 años en adelante"))</f>
        <v>Adultos jóvenes 18 - 35 años</v>
      </c>
      <c r="E311" s="3" t="s">
        <v>5019</v>
      </c>
      <c r="F311" s="3" t="s">
        <v>5026</v>
      </c>
      <c r="G311" s="3" t="s">
        <v>5031</v>
      </c>
      <c r="H311" s="3" t="s">
        <v>8167</v>
      </c>
      <c r="I311" s="17">
        <v>45640</v>
      </c>
      <c r="J311" s="18">
        <f>YEAR(Tabla1[[#This Row],[FECHA DE COMPRA]])</f>
        <v>2024</v>
      </c>
      <c r="K311" s="19">
        <v>169.33</v>
      </c>
      <c r="L311" s="20">
        <v>0.2</v>
      </c>
      <c r="M311" s="19">
        <f>Tienda!$K846-Tienda!$K846*Tienda!$L846</f>
        <v>140.68</v>
      </c>
      <c r="N311" s="3" t="s">
        <v>10039</v>
      </c>
      <c r="O311" s="3" t="s">
        <v>10041</v>
      </c>
      <c r="P311" s="17">
        <v>45640</v>
      </c>
      <c r="Q311" s="4">
        <v>0</v>
      </c>
    </row>
    <row r="312" spans="1:17" x14ac:dyDescent="0.25">
      <c r="A312" s="2" t="s">
        <v>531</v>
      </c>
      <c r="B312" s="3" t="s">
        <v>5016</v>
      </c>
      <c r="C312" s="3">
        <v>32</v>
      </c>
      <c r="D312" s="46" t="str">
        <f>IF(Tabla1[[#This Row],[EDAD]]&lt;=35,"Adultos jóvenes 18 - 35 años",IF(C312&gt;=36,"Adultos mayores 36 años en adelante"))</f>
        <v>Adultos jóvenes 18 - 35 años</v>
      </c>
      <c r="E312" s="3" t="s">
        <v>5023</v>
      </c>
      <c r="F312" s="3" t="s">
        <v>5024</v>
      </c>
      <c r="G312" s="3" t="s">
        <v>5033</v>
      </c>
      <c r="H312" s="3" t="s">
        <v>5554</v>
      </c>
      <c r="I312" s="17">
        <v>45640</v>
      </c>
      <c r="J312" s="18">
        <f>YEAR(Tabla1[[#This Row],[FECHA DE COMPRA]])</f>
        <v>2024</v>
      </c>
      <c r="K312" s="19">
        <v>171.46</v>
      </c>
      <c r="L312" s="20">
        <v>0.1</v>
      </c>
      <c r="M312" s="19">
        <f>Tienda!$K847-Tienda!$K847*Tienda!$L847</f>
        <v>143.19</v>
      </c>
      <c r="N312" s="3" t="s">
        <v>10039</v>
      </c>
      <c r="O312" s="3" t="s">
        <v>10041</v>
      </c>
      <c r="P312" s="17">
        <v>45640</v>
      </c>
      <c r="Q312" s="4">
        <v>0</v>
      </c>
    </row>
    <row r="313" spans="1:17" x14ac:dyDescent="0.25">
      <c r="A313" s="2" t="s">
        <v>4080</v>
      </c>
      <c r="B313" s="3" t="s">
        <v>5015</v>
      </c>
      <c r="C313" s="3">
        <v>21</v>
      </c>
      <c r="D313" s="46" t="str">
        <f>IF(Tabla1[[#This Row],[EDAD]]&lt;=35,"Adultos jóvenes 18 - 35 años",IF(C313&gt;=36,"Adultos mayores 36 años en adelante"))</f>
        <v>Adultos jóvenes 18 - 35 años</v>
      </c>
      <c r="E313" s="3" t="s">
        <v>5017</v>
      </c>
      <c r="F313" s="3" t="s">
        <v>5026</v>
      </c>
      <c r="G313" s="3" t="s">
        <v>5035</v>
      </c>
      <c r="H313" s="3" t="s">
        <v>9103</v>
      </c>
      <c r="I313" s="17">
        <v>45640</v>
      </c>
      <c r="J313" s="18">
        <f>YEAR(Tabla1[[#This Row],[FECHA DE COMPRA]])</f>
        <v>2024</v>
      </c>
      <c r="K313" s="19">
        <v>188.56</v>
      </c>
      <c r="L313" s="20">
        <v>0.2</v>
      </c>
      <c r="M313" s="19">
        <f>Tienda!$K848-Tienda!$K848*Tienda!$L848</f>
        <v>143.37</v>
      </c>
      <c r="N313" s="3" t="s">
        <v>10039</v>
      </c>
      <c r="O313" s="3" t="s">
        <v>10041</v>
      </c>
      <c r="P313" s="17">
        <v>45640</v>
      </c>
      <c r="Q313" s="4">
        <v>0</v>
      </c>
    </row>
    <row r="314" spans="1:17" x14ac:dyDescent="0.25">
      <c r="A314" s="2" t="s">
        <v>2519</v>
      </c>
      <c r="B314" s="3" t="s">
        <v>5015</v>
      </c>
      <c r="C314" s="3">
        <v>34</v>
      </c>
      <c r="D314" s="46" t="str">
        <f>IF(Tabla1[[#This Row],[EDAD]]&lt;=35,"Adultos jóvenes 18 - 35 años",IF(C314&gt;=36,"Adultos mayores 36 años en adelante"))</f>
        <v>Adultos jóvenes 18 - 35 años</v>
      </c>
      <c r="E314" s="3" t="s">
        <v>5019</v>
      </c>
      <c r="F314" s="3" t="s">
        <v>5026</v>
      </c>
      <c r="G314" s="3" t="s">
        <v>5033</v>
      </c>
      <c r="H314" s="3" t="s">
        <v>7542</v>
      </c>
      <c r="I314" s="17">
        <v>45643</v>
      </c>
      <c r="J314" s="18">
        <f>YEAR(Tabla1[[#This Row],[FECHA DE COMPRA]])</f>
        <v>2024</v>
      </c>
      <c r="K314" s="19">
        <v>138.19999999999999</v>
      </c>
      <c r="L314" s="20">
        <v>0.3</v>
      </c>
      <c r="M314" s="19">
        <f>Tienda!$K852-Tienda!$K852*Tienda!$L852</f>
        <v>147.92400000000001</v>
      </c>
      <c r="N314" s="3" t="s">
        <v>10039</v>
      </c>
      <c r="O314" s="3" t="s">
        <v>10041</v>
      </c>
      <c r="P314" s="17">
        <v>45643</v>
      </c>
      <c r="Q314" s="4">
        <v>0</v>
      </c>
    </row>
    <row r="315" spans="1:17" x14ac:dyDescent="0.25">
      <c r="A315" s="2" t="s">
        <v>3417</v>
      </c>
      <c r="B315" s="3" t="s">
        <v>5015</v>
      </c>
      <c r="C315" s="3">
        <v>24</v>
      </c>
      <c r="D315" s="46" t="str">
        <f>IF(Tabla1[[#This Row],[EDAD]]&lt;=35,"Adultos jóvenes 18 - 35 años",IF(C315&gt;=36,"Adultos mayores 36 años en adelante"))</f>
        <v>Adultos jóvenes 18 - 35 años</v>
      </c>
      <c r="E315" s="3" t="s">
        <v>5017</v>
      </c>
      <c r="F315" s="3" t="s">
        <v>5026</v>
      </c>
      <c r="G315" s="3" t="s">
        <v>5032</v>
      </c>
      <c r="H315" s="3" t="s">
        <v>8440</v>
      </c>
      <c r="I315" s="17">
        <v>45644</v>
      </c>
      <c r="J315" s="18">
        <f>YEAR(Tabla1[[#This Row],[FECHA DE COMPRA]])</f>
        <v>2024</v>
      </c>
      <c r="K315" s="19">
        <v>12.02</v>
      </c>
      <c r="L315" s="20">
        <v>0</v>
      </c>
      <c r="M315" s="19">
        <f>Tienda!$K856-Tienda!$K856*Tienda!$L856</f>
        <v>152.85599999999999</v>
      </c>
      <c r="N315" s="3" t="s">
        <v>10039</v>
      </c>
      <c r="O315" s="3" t="s">
        <v>10041</v>
      </c>
      <c r="P315" s="17">
        <v>45644</v>
      </c>
      <c r="Q315" s="4">
        <v>0</v>
      </c>
    </row>
    <row r="316" spans="1:17" x14ac:dyDescent="0.25">
      <c r="A316" s="2" t="s">
        <v>2735</v>
      </c>
      <c r="B316" s="3" t="s">
        <v>5015</v>
      </c>
      <c r="C316" s="3">
        <v>31</v>
      </c>
      <c r="D316" s="46" t="str">
        <f>IF(Tabla1[[#This Row],[EDAD]]&lt;=35,"Adultos jóvenes 18 - 35 años",IF(C316&gt;=36,"Adultos mayores 36 años en adelante"))</f>
        <v>Adultos jóvenes 18 - 35 años</v>
      </c>
      <c r="E316" s="3" t="s">
        <v>5023</v>
      </c>
      <c r="F316" s="3" t="s">
        <v>5029</v>
      </c>
      <c r="G316" s="3" t="s">
        <v>5036</v>
      </c>
      <c r="H316" s="3" t="s">
        <v>7758</v>
      </c>
      <c r="I316" s="17">
        <v>45645</v>
      </c>
      <c r="J316" s="18">
        <f>YEAR(Tabla1[[#This Row],[FECHA DE COMPRA]])</f>
        <v>2024</v>
      </c>
      <c r="K316" s="19">
        <v>60.9</v>
      </c>
      <c r="L316" s="20">
        <v>0.1</v>
      </c>
      <c r="M316" s="19">
        <f>Tienda!$K861-Tienda!$K861*Tienda!$L861</f>
        <v>158.22900000000001</v>
      </c>
      <c r="N316" s="3" t="s">
        <v>10039</v>
      </c>
      <c r="O316" s="3" t="s">
        <v>10041</v>
      </c>
      <c r="P316" s="17">
        <v>45645</v>
      </c>
      <c r="Q316" s="4">
        <v>0</v>
      </c>
    </row>
    <row r="317" spans="1:17" x14ac:dyDescent="0.25">
      <c r="A317" s="2" t="s">
        <v>1661</v>
      </c>
      <c r="B317" s="3" t="s">
        <v>5015</v>
      </c>
      <c r="C317" s="3">
        <v>21</v>
      </c>
      <c r="D317" s="46" t="str">
        <f>IF(Tabla1[[#This Row],[EDAD]]&lt;=35,"Adultos jóvenes 18 - 35 años",IF(C317&gt;=36,"Adultos mayores 36 años en adelante"))</f>
        <v>Adultos jóvenes 18 - 35 años</v>
      </c>
      <c r="E317" s="3" t="s">
        <v>5019</v>
      </c>
      <c r="F317" s="3" t="s">
        <v>5030</v>
      </c>
      <c r="G317" s="3" t="s">
        <v>5036</v>
      </c>
      <c r="H317" s="3" t="s">
        <v>6684</v>
      </c>
      <c r="I317" s="17">
        <v>45645</v>
      </c>
      <c r="J317" s="18">
        <f>YEAR(Tabla1[[#This Row],[FECHA DE COMPRA]])</f>
        <v>2024</v>
      </c>
      <c r="K317" s="19">
        <v>173.63</v>
      </c>
      <c r="L317" s="20">
        <v>0.1</v>
      </c>
      <c r="M317" s="19">
        <f>Tienda!$K862-Tienda!$K862*Tienda!$L862</f>
        <v>162.21600000000001</v>
      </c>
      <c r="N317" s="3" t="s">
        <v>10039</v>
      </c>
      <c r="O317" s="3" t="s">
        <v>10041</v>
      </c>
      <c r="P317" s="17">
        <v>45645</v>
      </c>
      <c r="Q317" s="4">
        <v>0</v>
      </c>
    </row>
    <row r="318" spans="1:17" x14ac:dyDescent="0.25">
      <c r="A318" s="2" t="s">
        <v>4267</v>
      </c>
      <c r="B318" s="3" t="s">
        <v>5015</v>
      </c>
      <c r="C318" s="3">
        <v>22</v>
      </c>
      <c r="D318" s="46" t="str">
        <f>IF(Tabla1[[#This Row],[EDAD]]&lt;=35,"Adultos jóvenes 18 - 35 años",IF(C318&gt;=36,"Adultos mayores 36 años en adelante"))</f>
        <v>Adultos jóvenes 18 - 35 años</v>
      </c>
      <c r="E318" s="3" t="s">
        <v>5020</v>
      </c>
      <c r="F318" s="3" t="s">
        <v>5026</v>
      </c>
      <c r="G318" s="3" t="s">
        <v>5037</v>
      </c>
      <c r="H318" s="3" t="s">
        <v>9290</v>
      </c>
      <c r="I318" s="17">
        <v>45645</v>
      </c>
      <c r="J318" s="18">
        <f>YEAR(Tabla1[[#This Row],[FECHA DE COMPRA]])</f>
        <v>2024</v>
      </c>
      <c r="K318" s="19">
        <v>176.37</v>
      </c>
      <c r="L318" s="20">
        <v>0</v>
      </c>
      <c r="M318" s="19">
        <f>Tienda!$K863-Tienda!$K863*Tienda!$L863</f>
        <v>163.28700000000001</v>
      </c>
      <c r="N318" s="3" t="s">
        <v>10039</v>
      </c>
      <c r="O318" s="3" t="s">
        <v>10041</v>
      </c>
      <c r="P318" s="17">
        <v>45645</v>
      </c>
      <c r="Q318" s="4">
        <v>0</v>
      </c>
    </row>
    <row r="319" spans="1:17" x14ac:dyDescent="0.25">
      <c r="A319" s="2" t="s">
        <v>4421</v>
      </c>
      <c r="B319" s="3" t="s">
        <v>5015</v>
      </c>
      <c r="C319" s="3">
        <v>24</v>
      </c>
      <c r="D319" s="46" t="str">
        <f>IF(Tabla1[[#This Row],[EDAD]]&lt;=35,"Adultos jóvenes 18 - 35 años",IF(C319&gt;=36,"Adultos mayores 36 años en adelante"))</f>
        <v>Adultos jóvenes 18 - 35 años</v>
      </c>
      <c r="E319" s="3" t="s">
        <v>5017</v>
      </c>
      <c r="F319" s="3" t="s">
        <v>5025</v>
      </c>
      <c r="G319" s="3" t="s">
        <v>5033</v>
      </c>
      <c r="H319" s="3" t="s">
        <v>9444</v>
      </c>
      <c r="I319" s="17">
        <v>45646</v>
      </c>
      <c r="J319" s="18">
        <f>YEAR(Tabla1[[#This Row],[FECHA DE COMPRA]])</f>
        <v>2024</v>
      </c>
      <c r="K319" s="19">
        <v>56.09</v>
      </c>
      <c r="L319" s="20">
        <v>0</v>
      </c>
      <c r="M319" s="19">
        <f>Tienda!$K864-Tienda!$K864*Tienda!$L864</f>
        <v>165.15</v>
      </c>
      <c r="N319" s="3" t="s">
        <v>10039</v>
      </c>
      <c r="O319" s="3" t="s">
        <v>10041</v>
      </c>
      <c r="P319" s="17">
        <v>45646</v>
      </c>
      <c r="Q319" s="4">
        <v>0</v>
      </c>
    </row>
    <row r="320" spans="1:17" x14ac:dyDescent="0.25">
      <c r="A320" s="2" t="s">
        <v>3559</v>
      </c>
      <c r="B320" s="3" t="s">
        <v>5015</v>
      </c>
      <c r="C320" s="3">
        <v>29</v>
      </c>
      <c r="D320" s="46" t="str">
        <f>IF(Tabla1[[#This Row],[EDAD]]&lt;=35,"Adultos jóvenes 18 - 35 años",IF(C320&gt;=36,"Adultos mayores 36 años en adelante"))</f>
        <v>Adultos jóvenes 18 - 35 años</v>
      </c>
      <c r="E320" s="3" t="s">
        <v>5021</v>
      </c>
      <c r="F320" s="3" t="s">
        <v>5025</v>
      </c>
      <c r="G320" s="3" t="s">
        <v>5033</v>
      </c>
      <c r="H320" s="3" t="s">
        <v>8582</v>
      </c>
      <c r="I320" s="17">
        <v>45646</v>
      </c>
      <c r="J320" s="18">
        <f>YEAR(Tabla1[[#This Row],[FECHA DE COMPRA]])</f>
        <v>2024</v>
      </c>
      <c r="K320" s="19">
        <v>99.72</v>
      </c>
      <c r="L320" s="20">
        <v>0</v>
      </c>
      <c r="M320" s="19">
        <f>Tienda!$K866-Tienda!$K866*Tienda!$L866</f>
        <v>166.005</v>
      </c>
      <c r="N320" s="3" t="s">
        <v>10039</v>
      </c>
      <c r="O320" s="3" t="s">
        <v>10041</v>
      </c>
      <c r="P320" s="17">
        <v>45646</v>
      </c>
      <c r="Q320" s="4">
        <v>0</v>
      </c>
    </row>
    <row r="321" spans="1:17" x14ac:dyDescent="0.25">
      <c r="A321" s="2" t="s">
        <v>1131</v>
      </c>
      <c r="B321" s="3" t="s">
        <v>5015</v>
      </c>
      <c r="C321" s="3">
        <v>20</v>
      </c>
      <c r="D321" s="46" t="str">
        <f>IF(Tabla1[[#This Row],[EDAD]]&lt;=35,"Adultos jóvenes 18 - 35 años",IF(C321&gt;=36,"Adultos mayores 36 años en adelante"))</f>
        <v>Adultos jóvenes 18 - 35 años</v>
      </c>
      <c r="E321" s="3" t="s">
        <v>5020</v>
      </c>
      <c r="F321" s="3" t="s">
        <v>5024</v>
      </c>
      <c r="G321" s="3" t="s">
        <v>5034</v>
      </c>
      <c r="H321" s="3" t="s">
        <v>6154</v>
      </c>
      <c r="I321" s="17">
        <v>45647</v>
      </c>
      <c r="J321" s="18">
        <f>YEAR(Tabla1[[#This Row],[FECHA DE COMPRA]])</f>
        <v>2024</v>
      </c>
      <c r="K321" s="19">
        <v>139.91999999999999</v>
      </c>
      <c r="L321" s="20">
        <v>0.1</v>
      </c>
      <c r="M321" s="19">
        <f>Tienda!$K870-Tienda!$K870*Tienda!$L870</f>
        <v>177.14</v>
      </c>
      <c r="N321" s="3" t="s">
        <v>10039</v>
      </c>
      <c r="O321" s="3" t="s">
        <v>10041</v>
      </c>
      <c r="P321" s="17">
        <v>45647</v>
      </c>
      <c r="Q321" s="4">
        <v>0</v>
      </c>
    </row>
    <row r="322" spans="1:17" x14ac:dyDescent="0.25">
      <c r="A322" s="2" t="s">
        <v>1800</v>
      </c>
      <c r="B322" s="3" t="s">
        <v>5015</v>
      </c>
      <c r="C322" s="3">
        <v>35</v>
      </c>
      <c r="D322" s="46" t="str">
        <f>IF(Tabla1[[#This Row],[EDAD]]&lt;=35,"Adultos jóvenes 18 - 35 años",IF(C322&gt;=36,"Adultos mayores 36 años en adelante"))</f>
        <v>Adultos jóvenes 18 - 35 años</v>
      </c>
      <c r="E322" s="3" t="s">
        <v>5017</v>
      </c>
      <c r="F322" s="3" t="s">
        <v>5026</v>
      </c>
      <c r="G322" s="3" t="s">
        <v>5035</v>
      </c>
      <c r="H322" s="3" t="s">
        <v>6823</v>
      </c>
      <c r="I322" s="17">
        <v>45648</v>
      </c>
      <c r="J322" s="18">
        <f>YEAR(Tabla1[[#This Row],[FECHA DE COMPRA]])</f>
        <v>2024</v>
      </c>
      <c r="K322" s="19">
        <v>78.12</v>
      </c>
      <c r="L322" s="20">
        <v>0.2</v>
      </c>
      <c r="M322" s="19">
        <f>Tienda!$K871-Tienda!$K871*Tienda!$L871</f>
        <v>180.73</v>
      </c>
      <c r="N322" s="3" t="s">
        <v>10039</v>
      </c>
      <c r="O322" s="3" t="s">
        <v>10041</v>
      </c>
      <c r="P322" s="17">
        <v>45648</v>
      </c>
      <c r="Q322" s="4">
        <v>0</v>
      </c>
    </row>
    <row r="323" spans="1:17" x14ac:dyDescent="0.25">
      <c r="A323" s="2" t="s">
        <v>3732</v>
      </c>
      <c r="B323" s="3" t="s">
        <v>5015</v>
      </c>
      <c r="C323" s="3">
        <v>24</v>
      </c>
      <c r="D323" s="46" t="str">
        <f>IF(Tabla1[[#This Row],[EDAD]]&lt;=35,"Adultos jóvenes 18 - 35 años",IF(C323&gt;=36,"Adultos mayores 36 años en adelante"))</f>
        <v>Adultos jóvenes 18 - 35 años</v>
      </c>
      <c r="E323" s="3" t="s">
        <v>5022</v>
      </c>
      <c r="F323" s="3" t="s">
        <v>5027</v>
      </c>
      <c r="G323" s="3" t="s">
        <v>5035</v>
      </c>
      <c r="H323" s="3" t="s">
        <v>8755</v>
      </c>
      <c r="I323" s="17">
        <v>45650</v>
      </c>
      <c r="J323" s="18">
        <f>YEAR(Tabla1[[#This Row],[FECHA DE COMPRA]])</f>
        <v>2024</v>
      </c>
      <c r="K323" s="19">
        <v>67.19</v>
      </c>
      <c r="L323" s="20">
        <v>0.3</v>
      </c>
      <c r="M323" s="19">
        <f>Tienda!$K876-Tienda!$K876*Tienda!$L876</f>
        <v>191.21</v>
      </c>
      <c r="N323" s="3" t="s">
        <v>10039</v>
      </c>
      <c r="O323" s="3" t="s">
        <v>10041</v>
      </c>
      <c r="P323" s="17">
        <v>45650</v>
      </c>
      <c r="Q323" s="4">
        <v>0</v>
      </c>
    </row>
    <row r="324" spans="1:17" x14ac:dyDescent="0.25">
      <c r="A324" s="2" t="s">
        <v>3624</v>
      </c>
      <c r="B324" s="3" t="s">
        <v>5015</v>
      </c>
      <c r="C324" s="3">
        <v>32</v>
      </c>
      <c r="D324" s="46" t="str">
        <f>IF(Tabla1[[#This Row],[EDAD]]&lt;=35,"Adultos jóvenes 18 - 35 años",IF(C324&gt;=36,"Adultos mayores 36 años en adelante"))</f>
        <v>Adultos jóvenes 18 - 35 años</v>
      </c>
      <c r="E324" s="3" t="s">
        <v>5019</v>
      </c>
      <c r="F324" s="3" t="s">
        <v>5029</v>
      </c>
      <c r="G324" s="3" t="s">
        <v>5036</v>
      </c>
      <c r="H324" s="3" t="s">
        <v>8647</v>
      </c>
      <c r="I324" s="17">
        <v>45650</v>
      </c>
      <c r="J324" s="18">
        <f>YEAR(Tabla1[[#This Row],[FECHA DE COMPRA]])</f>
        <v>2024</v>
      </c>
      <c r="K324" s="19">
        <v>139.85</v>
      </c>
      <c r="L324" s="20">
        <v>0</v>
      </c>
      <c r="M324" s="19">
        <f>Tienda!$K879-Tienda!$K879*Tienda!$L879</f>
        <v>195.63</v>
      </c>
      <c r="N324" s="3" t="s">
        <v>10039</v>
      </c>
      <c r="O324" s="3" t="s">
        <v>10041</v>
      </c>
      <c r="P324" s="17">
        <v>45650</v>
      </c>
      <c r="Q324" s="4">
        <v>0</v>
      </c>
    </row>
    <row r="325" spans="1:17" x14ac:dyDescent="0.25">
      <c r="A325" s="2" t="s">
        <v>3862</v>
      </c>
      <c r="B325" s="3" t="s">
        <v>5015</v>
      </c>
      <c r="C325" s="3">
        <v>18</v>
      </c>
      <c r="D325" s="46" t="str">
        <f>IF(Tabla1[[#This Row],[EDAD]]&lt;=35,"Adultos jóvenes 18 - 35 años",IF(C325&gt;=36,"Adultos mayores 36 años en adelante"))</f>
        <v>Adultos jóvenes 18 - 35 años</v>
      </c>
      <c r="E325" s="3" t="s">
        <v>5017</v>
      </c>
      <c r="F325" s="3" t="s">
        <v>5024</v>
      </c>
      <c r="G325" s="3" t="s">
        <v>5035</v>
      </c>
      <c r="H325" s="3" t="s">
        <v>8885</v>
      </c>
      <c r="I325" s="17">
        <v>45651</v>
      </c>
      <c r="J325" s="18">
        <f>YEAR(Tabla1[[#This Row],[FECHA DE COMPRA]])</f>
        <v>2024</v>
      </c>
      <c r="K325" s="19">
        <v>40.98</v>
      </c>
      <c r="L325" s="20">
        <v>0.3</v>
      </c>
      <c r="M325" s="19">
        <f>Tienda!$K881-Tienda!$K881*Tienda!$L881</f>
        <v>197.59</v>
      </c>
      <c r="N325" s="3" t="s">
        <v>10039</v>
      </c>
      <c r="O325" s="3" t="s">
        <v>10041</v>
      </c>
      <c r="P325" s="17">
        <v>45651</v>
      </c>
      <c r="Q325" s="4">
        <v>0</v>
      </c>
    </row>
    <row r="326" spans="1:17" x14ac:dyDescent="0.25">
      <c r="A326" s="2" t="s">
        <v>4728</v>
      </c>
      <c r="B326" s="3" t="s">
        <v>5015</v>
      </c>
      <c r="C326" s="3">
        <v>27</v>
      </c>
      <c r="D326" s="46" t="str">
        <f>IF(Tabla1[[#This Row],[EDAD]]&lt;=35,"Adultos jóvenes 18 - 35 años",IF(C326&gt;=36,"Adultos mayores 36 años en adelante"))</f>
        <v>Adultos jóvenes 18 - 35 años</v>
      </c>
      <c r="E326" s="3" t="s">
        <v>5023</v>
      </c>
      <c r="F326" s="3" t="s">
        <v>5028</v>
      </c>
      <c r="G326" s="3" t="s">
        <v>5032</v>
      </c>
      <c r="H326" s="3" t="s">
        <v>9751</v>
      </c>
      <c r="I326" s="17">
        <v>45651</v>
      </c>
      <c r="J326" s="18">
        <f>YEAR(Tabla1[[#This Row],[FECHA DE COMPRA]])</f>
        <v>2024</v>
      </c>
      <c r="K326" s="19">
        <v>77.45</v>
      </c>
      <c r="L326" s="20">
        <v>0.2</v>
      </c>
      <c r="M326" s="19">
        <f>Tienda!$K882-Tienda!$K882*Tienda!$L882</f>
        <v>139.18100000000001</v>
      </c>
      <c r="N326" s="3" t="s">
        <v>10039</v>
      </c>
      <c r="O326" s="3" t="s">
        <v>10041</v>
      </c>
      <c r="P326" s="17">
        <v>45651</v>
      </c>
      <c r="Q326" s="4">
        <v>0</v>
      </c>
    </row>
    <row r="327" spans="1:17" x14ac:dyDescent="0.25">
      <c r="A327" s="2" t="s">
        <v>1636</v>
      </c>
      <c r="B327" s="3" t="s">
        <v>5015</v>
      </c>
      <c r="C327" s="3">
        <v>25</v>
      </c>
      <c r="D327" s="46" t="str">
        <f>IF(Tabla1[[#This Row],[EDAD]]&lt;=35,"Adultos jóvenes 18 - 35 años",IF(C327&gt;=36,"Adultos mayores 36 años en adelante"))</f>
        <v>Adultos jóvenes 18 - 35 años</v>
      </c>
      <c r="E327" s="3" t="s">
        <v>5018</v>
      </c>
      <c r="F327" s="3" t="s">
        <v>5030</v>
      </c>
      <c r="G327" s="3" t="s">
        <v>5031</v>
      </c>
      <c r="H327" s="3" t="s">
        <v>6659</v>
      </c>
      <c r="I327" s="17">
        <v>45651</v>
      </c>
      <c r="J327" s="18">
        <f>YEAR(Tabla1[[#This Row],[FECHA DE COMPRA]])</f>
        <v>2024</v>
      </c>
      <c r="K327" s="19">
        <v>180.81</v>
      </c>
      <c r="L327" s="20">
        <v>0.3</v>
      </c>
      <c r="M327" s="19">
        <f>Tienda!$K883-Tienda!$K883*Tienda!$L883</f>
        <v>91.693000000000012</v>
      </c>
      <c r="N327" s="3" t="s">
        <v>10039</v>
      </c>
      <c r="O327" s="3" t="s">
        <v>10041</v>
      </c>
      <c r="P327" s="17">
        <v>45651</v>
      </c>
      <c r="Q327" s="4">
        <v>0</v>
      </c>
    </row>
    <row r="328" spans="1:17" x14ac:dyDescent="0.25">
      <c r="A328" s="2" t="s">
        <v>3420</v>
      </c>
      <c r="B328" s="3" t="s">
        <v>5015</v>
      </c>
      <c r="C328" s="3">
        <v>22</v>
      </c>
      <c r="D328" s="46" t="str">
        <f>IF(Tabla1[[#This Row],[EDAD]]&lt;=35,"Adultos jóvenes 18 - 35 años",IF(C328&gt;=36,"Adultos mayores 36 años en adelante"))</f>
        <v>Adultos jóvenes 18 - 35 años</v>
      </c>
      <c r="E328" s="3" t="s">
        <v>5023</v>
      </c>
      <c r="F328" s="3" t="s">
        <v>5030</v>
      </c>
      <c r="G328" s="3" t="s">
        <v>5037</v>
      </c>
      <c r="H328" s="3" t="s">
        <v>8443</v>
      </c>
      <c r="I328" s="17">
        <v>45652</v>
      </c>
      <c r="J328" s="18">
        <f>YEAR(Tabla1[[#This Row],[FECHA DE COMPRA]])</f>
        <v>2024</v>
      </c>
      <c r="K328" s="19">
        <v>100.81</v>
      </c>
      <c r="L328" s="20">
        <v>0.2</v>
      </c>
      <c r="M328" s="19">
        <f>Tienda!$K887-Tienda!$K887*Tienda!$L887</f>
        <v>100.458</v>
      </c>
      <c r="N328" s="3" t="s">
        <v>10039</v>
      </c>
      <c r="O328" s="3" t="s">
        <v>10041</v>
      </c>
      <c r="P328" s="17">
        <v>45652</v>
      </c>
      <c r="Q328" s="4">
        <v>0</v>
      </c>
    </row>
    <row r="329" spans="1:17" x14ac:dyDescent="0.25">
      <c r="A329" s="2" t="s">
        <v>566</v>
      </c>
      <c r="B329" s="3" t="s">
        <v>5016</v>
      </c>
      <c r="C329" s="3">
        <v>20</v>
      </c>
      <c r="D329" s="46" t="str">
        <f>IF(Tabla1[[#This Row],[EDAD]]&lt;=35,"Adultos jóvenes 18 - 35 años",IF(C329&gt;=36,"Adultos mayores 36 años en adelante"))</f>
        <v>Adultos jóvenes 18 - 35 años</v>
      </c>
      <c r="E329" s="3" t="s">
        <v>5017</v>
      </c>
      <c r="F329" s="3" t="s">
        <v>5030</v>
      </c>
      <c r="G329" s="3" t="s">
        <v>5037</v>
      </c>
      <c r="H329" s="3" t="s">
        <v>5589</v>
      </c>
      <c r="I329" s="17">
        <v>45655</v>
      </c>
      <c r="J329" s="18">
        <f>YEAR(Tabla1[[#This Row],[FECHA DE COMPRA]])</f>
        <v>2024</v>
      </c>
      <c r="K329" s="19">
        <v>116.64</v>
      </c>
      <c r="L329" s="20">
        <v>0</v>
      </c>
      <c r="M329" s="19">
        <f>Tienda!$K895-Tienda!$K895*Tienda!$L895</f>
        <v>48.138999999999996</v>
      </c>
      <c r="N329" s="3" t="s">
        <v>10039</v>
      </c>
      <c r="O329" s="3" t="s">
        <v>10041</v>
      </c>
      <c r="P329" s="17">
        <v>45655</v>
      </c>
      <c r="Q329" s="4">
        <v>0</v>
      </c>
    </row>
    <row r="330" spans="1:17" x14ac:dyDescent="0.25">
      <c r="A330" s="2" t="s">
        <v>4293</v>
      </c>
      <c r="B330" s="3" t="s">
        <v>5016</v>
      </c>
      <c r="C330" s="3">
        <v>35</v>
      </c>
      <c r="D330" s="46" t="str">
        <f>IF(Tabla1[[#This Row],[EDAD]]&lt;=35,"Adultos jóvenes 18 - 35 años",IF(C330&gt;=36,"Adultos mayores 36 años en adelante"))</f>
        <v>Adultos jóvenes 18 - 35 años</v>
      </c>
      <c r="E330" s="3" t="s">
        <v>5019</v>
      </c>
      <c r="F330" s="3" t="s">
        <v>5025</v>
      </c>
      <c r="G330" s="3" t="s">
        <v>5035</v>
      </c>
      <c r="H330" s="3" t="s">
        <v>9316</v>
      </c>
      <c r="I330" s="17">
        <v>45655</v>
      </c>
      <c r="J330" s="18">
        <f>YEAR(Tabla1[[#This Row],[FECHA DE COMPRA]])</f>
        <v>2024</v>
      </c>
      <c r="K330" s="19">
        <v>144.63</v>
      </c>
      <c r="L330" s="20">
        <v>0.1</v>
      </c>
      <c r="M330" s="19">
        <f>Tienda!$K896-Tienda!$K896*Tienda!$L896</f>
        <v>70.98</v>
      </c>
      <c r="N330" s="3" t="s">
        <v>10039</v>
      </c>
      <c r="O330" s="3" t="s">
        <v>10041</v>
      </c>
      <c r="P330" s="17">
        <v>45655</v>
      </c>
      <c r="Q330" s="4">
        <v>0</v>
      </c>
    </row>
    <row r="331" spans="1:17" x14ac:dyDescent="0.25">
      <c r="A331" s="2" t="s">
        <v>2877</v>
      </c>
      <c r="B331" s="3" t="s">
        <v>5015</v>
      </c>
      <c r="C331" s="3">
        <v>20</v>
      </c>
      <c r="D331" s="46" t="str">
        <f>IF(Tabla1[[#This Row],[EDAD]]&lt;=35,"Adultos jóvenes 18 - 35 años",IF(C331&gt;=36,"Adultos mayores 36 años en adelante"))</f>
        <v>Adultos jóvenes 18 - 35 años</v>
      </c>
      <c r="E331" s="3" t="s">
        <v>5017</v>
      </c>
      <c r="F331" s="3" t="s">
        <v>5026</v>
      </c>
      <c r="G331" s="3" t="s">
        <v>5037</v>
      </c>
      <c r="H331" s="3" t="s">
        <v>7900</v>
      </c>
      <c r="I331" s="17">
        <v>45657</v>
      </c>
      <c r="J331" s="18">
        <f>YEAR(Tabla1[[#This Row],[FECHA DE COMPRA]])</f>
        <v>2024</v>
      </c>
      <c r="K331" s="19">
        <v>103.07</v>
      </c>
      <c r="L331" s="20">
        <v>0.1</v>
      </c>
      <c r="M331" s="19">
        <f>Tienda!$K901-Tienda!$K901*Tienda!$L901</f>
        <v>152.05599999999998</v>
      </c>
      <c r="N331" s="3" t="s">
        <v>10039</v>
      </c>
      <c r="O331" s="3" t="s">
        <v>10041</v>
      </c>
      <c r="P331" s="17">
        <v>45657</v>
      </c>
      <c r="Q331" s="4">
        <v>0</v>
      </c>
    </row>
    <row r="332" spans="1:17" x14ac:dyDescent="0.25">
      <c r="A332" s="2" t="s">
        <v>759</v>
      </c>
      <c r="B332" s="3" t="s">
        <v>5016</v>
      </c>
      <c r="C332" s="3">
        <v>20</v>
      </c>
      <c r="D332" s="46" t="str">
        <f>IF(Tabla1[[#This Row],[EDAD]]&lt;=35,"Adultos jóvenes 18 - 35 años",IF(C332&gt;=36,"Adultos mayores 36 años en adelante"))</f>
        <v>Adultos jóvenes 18 - 35 años</v>
      </c>
      <c r="E332" s="3" t="s">
        <v>5021</v>
      </c>
      <c r="F332" s="3" t="s">
        <v>5024</v>
      </c>
      <c r="G332" s="3" t="s">
        <v>5036</v>
      </c>
      <c r="H332" s="3" t="s">
        <v>5782</v>
      </c>
      <c r="I332" s="17">
        <v>45683</v>
      </c>
      <c r="J332" s="18">
        <f>YEAR(Tabla1[[#This Row],[FECHA DE COMPRA]])</f>
        <v>2025</v>
      </c>
      <c r="K332" s="19">
        <v>96.18</v>
      </c>
      <c r="L332" s="20">
        <v>0.3</v>
      </c>
      <c r="M332" s="19">
        <f>Tienda!$K3104-Tienda!$K3104*Tienda!$L3104</f>
        <v>45.99</v>
      </c>
      <c r="N332" s="3" t="s">
        <v>10039</v>
      </c>
      <c r="O332" s="3" t="s">
        <v>10041</v>
      </c>
      <c r="P332" s="17">
        <v>45683</v>
      </c>
      <c r="Q332" s="4">
        <v>0</v>
      </c>
    </row>
    <row r="333" spans="1:17" x14ac:dyDescent="0.25">
      <c r="A333" s="2" t="s">
        <v>3029</v>
      </c>
      <c r="B333" s="3" t="s">
        <v>5016</v>
      </c>
      <c r="C333" s="3">
        <v>31</v>
      </c>
      <c r="D333" s="46" t="str">
        <f>IF(Tabla1[[#This Row],[EDAD]]&lt;=35,"Adultos jóvenes 18 - 35 años",IF(C333&gt;=36,"Adultos mayores 36 años en adelante"))</f>
        <v>Adultos jóvenes 18 - 35 años</v>
      </c>
      <c r="E333" s="3" t="s">
        <v>5021</v>
      </c>
      <c r="F333" s="3" t="s">
        <v>5024</v>
      </c>
      <c r="G333" s="3" t="s">
        <v>5031</v>
      </c>
      <c r="H333" s="3" t="s">
        <v>8052</v>
      </c>
      <c r="I333" s="17">
        <v>45701</v>
      </c>
      <c r="J333" s="18">
        <f>YEAR(Tabla1[[#This Row],[FECHA DE COMPRA]])</f>
        <v>2025</v>
      </c>
      <c r="K333" s="19">
        <v>108.83</v>
      </c>
      <c r="L333" s="20">
        <v>0</v>
      </c>
      <c r="M333" s="19">
        <f>Tienda!$K3105-Tienda!$K3105*Tienda!$L3105</f>
        <v>46.298000000000002</v>
      </c>
      <c r="N333" s="3" t="s">
        <v>10039</v>
      </c>
      <c r="O333" s="3" t="s">
        <v>10041</v>
      </c>
      <c r="P333" s="17">
        <v>45683</v>
      </c>
      <c r="Q333" s="4">
        <v>0</v>
      </c>
    </row>
    <row r="334" spans="1:17" x14ac:dyDescent="0.25">
      <c r="A334" s="2" t="s">
        <v>1095</v>
      </c>
      <c r="B334" s="3" t="s">
        <v>5015</v>
      </c>
      <c r="C334" s="3">
        <v>21</v>
      </c>
      <c r="D334" s="46" t="str">
        <f>IF(Tabla1[[#This Row],[EDAD]]&lt;=35,"Adultos jóvenes 18 - 35 años",IF(C334&gt;=36,"Adultos mayores 36 años en adelante"))</f>
        <v>Adultos jóvenes 18 - 35 años</v>
      </c>
      <c r="E334" s="3" t="s">
        <v>5023</v>
      </c>
      <c r="F334" s="3" t="s">
        <v>5026</v>
      </c>
      <c r="G334" s="3" t="s">
        <v>5035</v>
      </c>
      <c r="H334" s="3" t="s">
        <v>6118</v>
      </c>
      <c r="I334" s="17">
        <v>45701</v>
      </c>
      <c r="J334" s="18">
        <f>YEAR(Tabla1[[#This Row],[FECHA DE COMPRA]])</f>
        <v>2025</v>
      </c>
      <c r="K334" s="19">
        <v>114.79</v>
      </c>
      <c r="L334" s="20">
        <v>0.1</v>
      </c>
      <c r="M334" s="19">
        <f>Tienda!$K3106-Tienda!$K3106*Tienda!$L3106</f>
        <v>47.44</v>
      </c>
      <c r="N334" s="3" t="s">
        <v>10039</v>
      </c>
      <c r="O334" s="3" t="s">
        <v>10041</v>
      </c>
      <c r="P334" s="17">
        <v>45667</v>
      </c>
      <c r="Q334" s="4">
        <v>0</v>
      </c>
    </row>
    <row r="335" spans="1:17" x14ac:dyDescent="0.25">
      <c r="A335" s="2" t="s">
        <v>401</v>
      </c>
      <c r="B335" s="3" t="s">
        <v>5016</v>
      </c>
      <c r="C335" s="3">
        <v>21</v>
      </c>
      <c r="D335" s="46" t="str">
        <f>IF(Tabla1[[#This Row],[EDAD]]&lt;=35,"Adultos jóvenes 18 - 35 años",IF(C335&gt;=36,"Adultos mayores 36 años en adelante"))</f>
        <v>Adultos jóvenes 18 - 35 años</v>
      </c>
      <c r="E335" s="3" t="s">
        <v>5023</v>
      </c>
      <c r="F335" s="3" t="s">
        <v>5029</v>
      </c>
      <c r="G335" s="3" t="s">
        <v>5033</v>
      </c>
      <c r="H335" s="3" t="s">
        <v>5424</v>
      </c>
      <c r="I335" s="17">
        <v>45669</v>
      </c>
      <c r="J335" s="18">
        <f>YEAR(Tabla1[[#This Row],[FECHA DE COMPRA]])</f>
        <v>2025</v>
      </c>
      <c r="K335" s="19">
        <v>140.88</v>
      </c>
      <c r="L335" s="20">
        <v>0.1</v>
      </c>
      <c r="M335" s="19">
        <f>Tienda!$K3111-Tienda!$K3111*Tienda!$L3111</f>
        <v>51.373000000000005</v>
      </c>
      <c r="N335" s="3" t="s">
        <v>10039</v>
      </c>
      <c r="O335" s="3" t="s">
        <v>10041</v>
      </c>
      <c r="P335" s="17">
        <v>45669</v>
      </c>
      <c r="Q335" s="4">
        <v>0</v>
      </c>
    </row>
    <row r="336" spans="1:17" x14ac:dyDescent="0.25">
      <c r="A336" s="2" t="s">
        <v>2860</v>
      </c>
      <c r="B336" s="3" t="s">
        <v>5015</v>
      </c>
      <c r="C336" s="3">
        <v>21</v>
      </c>
      <c r="D336" s="46" t="str">
        <f>IF(Tabla1[[#This Row],[EDAD]]&lt;=35,"Adultos jóvenes 18 - 35 años",IF(C336&gt;=36,"Adultos mayores 36 años en adelante"))</f>
        <v>Adultos jóvenes 18 - 35 años</v>
      </c>
      <c r="E336" s="3" t="s">
        <v>5022</v>
      </c>
      <c r="F336" s="3" t="s">
        <v>5025</v>
      </c>
      <c r="G336" s="3" t="s">
        <v>5031</v>
      </c>
      <c r="H336" s="3" t="s">
        <v>7883</v>
      </c>
      <c r="I336" s="17">
        <v>45659</v>
      </c>
      <c r="J336" s="18">
        <f>YEAR(Tabla1[[#This Row],[FECHA DE COMPRA]])</f>
        <v>2025</v>
      </c>
      <c r="K336" s="19">
        <v>156.82</v>
      </c>
      <c r="L336" s="20">
        <v>0.3</v>
      </c>
      <c r="M336" s="19">
        <f>Tienda!$K3113-Tienda!$K3113*Tienda!$L3113</f>
        <v>53.59</v>
      </c>
      <c r="N336" s="3" t="s">
        <v>10039</v>
      </c>
      <c r="O336" s="3" t="s">
        <v>10041</v>
      </c>
      <c r="P336" s="17">
        <v>45659</v>
      </c>
      <c r="Q336" s="4">
        <v>0</v>
      </c>
    </row>
    <row r="337" spans="1:17" x14ac:dyDescent="0.25">
      <c r="A337" s="2" t="s">
        <v>3080</v>
      </c>
      <c r="B337" s="3" t="s">
        <v>5015</v>
      </c>
      <c r="C337" s="3">
        <v>27</v>
      </c>
      <c r="D337" s="46" t="str">
        <f>IF(Tabla1[[#This Row],[EDAD]]&lt;=35,"Adultos jóvenes 18 - 35 años",IF(C337&gt;=36,"Adultos mayores 36 años en adelante"))</f>
        <v>Adultos jóvenes 18 - 35 años</v>
      </c>
      <c r="E337" s="3" t="s">
        <v>5018</v>
      </c>
      <c r="F337" s="3" t="s">
        <v>5029</v>
      </c>
      <c r="G337" s="3" t="s">
        <v>5037</v>
      </c>
      <c r="H337" s="3" t="s">
        <v>8103</v>
      </c>
      <c r="I337" s="17">
        <v>45683</v>
      </c>
      <c r="J337" s="18">
        <f>YEAR(Tabla1[[#This Row],[FECHA DE COMPRA]])</f>
        <v>2025</v>
      </c>
      <c r="K337" s="19">
        <v>158.97</v>
      </c>
      <c r="L337" s="20">
        <v>0.1</v>
      </c>
      <c r="M337" s="19">
        <f>Tienda!$K3115-Tienda!$K3115*Tienda!$L3115</f>
        <v>54.096000000000004</v>
      </c>
      <c r="N337" s="3" t="s">
        <v>10039</v>
      </c>
      <c r="O337" s="3" t="s">
        <v>10041</v>
      </c>
      <c r="P337" s="17">
        <v>45683</v>
      </c>
      <c r="Q337" s="4">
        <v>0</v>
      </c>
    </row>
    <row r="338" spans="1:17" x14ac:dyDescent="0.25">
      <c r="A338" s="2" t="s">
        <v>4818</v>
      </c>
      <c r="B338" s="3" t="s">
        <v>5015</v>
      </c>
      <c r="C338" s="3">
        <v>18</v>
      </c>
      <c r="D338" s="46" t="str">
        <f>IF(Tabla1[[#This Row],[EDAD]]&lt;=35,"Adultos jóvenes 18 - 35 años",IF(C338&gt;=36,"Adultos mayores 36 años en adelante"))</f>
        <v>Adultos jóvenes 18 - 35 años</v>
      </c>
      <c r="E338" s="3" t="s">
        <v>5020</v>
      </c>
      <c r="F338" s="3" t="s">
        <v>5027</v>
      </c>
      <c r="G338" s="3" t="s">
        <v>5033</v>
      </c>
      <c r="H338" s="3" t="s">
        <v>9841</v>
      </c>
      <c r="I338" s="17">
        <v>45664</v>
      </c>
      <c r="J338" s="18">
        <f>YEAR(Tabla1[[#This Row],[FECHA DE COMPRA]])</f>
        <v>2025</v>
      </c>
      <c r="K338" s="19">
        <v>166</v>
      </c>
      <c r="L338" s="20">
        <v>0.1</v>
      </c>
      <c r="M338" s="19">
        <f>Tienda!$K3116-Tienda!$K3116*Tienda!$L3116</f>
        <v>54.512999999999998</v>
      </c>
      <c r="N338" s="3" t="s">
        <v>10039</v>
      </c>
      <c r="O338" s="3" t="s">
        <v>10041</v>
      </c>
      <c r="P338" s="17">
        <v>45664</v>
      </c>
      <c r="Q338" s="4">
        <v>0</v>
      </c>
    </row>
    <row r="339" spans="1:17" x14ac:dyDescent="0.25">
      <c r="A339" s="2" t="s">
        <v>1663</v>
      </c>
      <c r="B339" s="3" t="s">
        <v>5015</v>
      </c>
      <c r="C339" s="3">
        <v>19</v>
      </c>
      <c r="D339" s="46" t="str">
        <f>IF(Tabla1[[#This Row],[EDAD]]&lt;=35,"Adultos jóvenes 18 - 35 años",IF(C339&gt;=36,"Adultos mayores 36 años en adelante"))</f>
        <v>Adultos jóvenes 18 - 35 años</v>
      </c>
      <c r="E339" s="3" t="s">
        <v>5022</v>
      </c>
      <c r="F339" s="3" t="s">
        <v>5028</v>
      </c>
      <c r="G339" s="3" t="s">
        <v>5034</v>
      </c>
      <c r="H339" s="3" t="s">
        <v>6686</v>
      </c>
      <c r="I339" s="17">
        <v>45668</v>
      </c>
      <c r="J339" s="18">
        <f>YEAR(Tabla1[[#This Row],[FECHA DE COMPRA]])</f>
        <v>2025</v>
      </c>
      <c r="K339" s="19">
        <v>171.47</v>
      </c>
      <c r="L339" s="20">
        <v>0.2</v>
      </c>
      <c r="M339" s="19">
        <f>Tienda!$K3118-Tienda!$K3118*Tienda!$L3118</f>
        <v>55.77600000000001</v>
      </c>
      <c r="N339" s="3" t="s">
        <v>10039</v>
      </c>
      <c r="O339" s="3" t="s">
        <v>10041</v>
      </c>
      <c r="P339" s="17">
        <v>45668</v>
      </c>
      <c r="Q339" s="4">
        <v>0</v>
      </c>
    </row>
    <row r="340" spans="1:17" x14ac:dyDescent="0.25">
      <c r="A340" s="2" t="s">
        <v>1539</v>
      </c>
      <c r="B340" s="3" t="s">
        <v>5016</v>
      </c>
      <c r="C340" s="3">
        <v>21</v>
      </c>
      <c r="D340" s="46" t="str">
        <f>IF(Tabla1[[#This Row],[EDAD]]&lt;=35,"Adultos jóvenes 18 - 35 años",IF(C340&gt;=36,"Adultos mayores 36 años en adelante"))</f>
        <v>Adultos jóvenes 18 - 35 años</v>
      </c>
      <c r="E340" s="3" t="s">
        <v>5017</v>
      </c>
      <c r="F340" s="3" t="s">
        <v>5029</v>
      </c>
      <c r="G340" s="3" t="s">
        <v>5035</v>
      </c>
      <c r="H340" s="3" t="s">
        <v>6562</v>
      </c>
      <c r="I340" s="17">
        <v>45682</v>
      </c>
      <c r="J340" s="18">
        <f>YEAR(Tabla1[[#This Row],[FECHA DE COMPRA]])</f>
        <v>2025</v>
      </c>
      <c r="K340" s="19">
        <v>174.38</v>
      </c>
      <c r="L340" s="20">
        <v>0.3</v>
      </c>
      <c r="M340" s="19">
        <f>Tienda!$K3119-Tienda!$K3119*Tienda!$L3119</f>
        <v>56.042000000000002</v>
      </c>
      <c r="N340" s="3" t="s">
        <v>10039</v>
      </c>
      <c r="O340" s="3" t="s">
        <v>10041</v>
      </c>
      <c r="P340" s="17">
        <v>45682</v>
      </c>
      <c r="Q340" s="4">
        <v>0</v>
      </c>
    </row>
    <row r="341" spans="1:17" x14ac:dyDescent="0.25">
      <c r="A341" s="2" t="s">
        <v>2554</v>
      </c>
      <c r="B341" s="3" t="s">
        <v>5015</v>
      </c>
      <c r="C341" s="3">
        <v>31</v>
      </c>
      <c r="D341" s="46" t="str">
        <f>IF(Tabla1[[#This Row],[EDAD]]&lt;=35,"Adultos jóvenes 18 - 35 años",IF(C341&gt;=36,"Adultos mayores 36 años en adelante"))</f>
        <v>Adultos jóvenes 18 - 35 años</v>
      </c>
      <c r="E341" s="3" t="s">
        <v>5023</v>
      </c>
      <c r="F341" s="3" t="s">
        <v>5026</v>
      </c>
      <c r="G341" s="3" t="s">
        <v>5035</v>
      </c>
      <c r="H341" s="3" t="s">
        <v>7577</v>
      </c>
      <c r="I341" s="17">
        <v>45686</v>
      </c>
      <c r="J341" s="18">
        <f>YEAR(Tabla1[[#This Row],[FECHA DE COMPRA]])</f>
        <v>2025</v>
      </c>
      <c r="K341" s="19">
        <v>177.95</v>
      </c>
      <c r="L341" s="20">
        <v>0.1</v>
      </c>
      <c r="M341" s="19">
        <f>Tienda!$K3122-Tienda!$K3122*Tienda!$L3122</f>
        <v>57.015999999999998</v>
      </c>
      <c r="N341" s="3" t="s">
        <v>10039</v>
      </c>
      <c r="O341" s="3" t="s">
        <v>10041</v>
      </c>
      <c r="P341" s="17">
        <v>45686</v>
      </c>
      <c r="Q341" s="4">
        <v>0</v>
      </c>
    </row>
    <row r="342" spans="1:17" x14ac:dyDescent="0.25">
      <c r="A342" s="2" t="s">
        <v>2509</v>
      </c>
      <c r="B342" s="3" t="s">
        <v>5015</v>
      </c>
      <c r="C342" s="3">
        <v>33</v>
      </c>
      <c r="D342" s="46" t="str">
        <f>IF(Tabla1[[#This Row],[EDAD]]&lt;=35,"Adultos jóvenes 18 - 35 años",IF(C342&gt;=36,"Adultos mayores 36 años en adelante"))</f>
        <v>Adultos jóvenes 18 - 35 años</v>
      </c>
      <c r="E342" s="3" t="s">
        <v>5020</v>
      </c>
      <c r="F342" s="3" t="s">
        <v>5024</v>
      </c>
      <c r="G342" s="3" t="s">
        <v>5035</v>
      </c>
      <c r="H342" s="3" t="s">
        <v>7532</v>
      </c>
      <c r="I342" s="17">
        <v>45701</v>
      </c>
      <c r="J342" s="18">
        <f>YEAR(Tabla1[[#This Row],[FECHA DE COMPRA]])</f>
        <v>2025</v>
      </c>
      <c r="K342" s="19">
        <v>188.94</v>
      </c>
      <c r="L342" s="20">
        <v>0.3</v>
      </c>
      <c r="M342" s="19">
        <f>Tienda!$K3123-Tienda!$K3123*Tienda!$L3123</f>
        <v>57.616</v>
      </c>
      <c r="N342" s="3" t="s">
        <v>10039</v>
      </c>
      <c r="O342" s="3" t="s">
        <v>10041</v>
      </c>
      <c r="P342" s="17">
        <v>45665</v>
      </c>
      <c r="Q342" s="4">
        <v>0</v>
      </c>
    </row>
    <row r="343" spans="1:17" x14ac:dyDescent="0.25">
      <c r="A343" s="2" t="s">
        <v>4529</v>
      </c>
      <c r="B343" s="3" t="s">
        <v>5015</v>
      </c>
      <c r="C343" s="3">
        <v>20</v>
      </c>
      <c r="D343" s="46" t="str">
        <f>IF(Tabla1[[#This Row],[EDAD]]&lt;=35,"Adultos jóvenes 18 - 35 años",IF(C343&gt;=36,"Adultos mayores 36 años en adelante"))</f>
        <v>Adultos jóvenes 18 - 35 años</v>
      </c>
      <c r="E343" s="3" t="s">
        <v>5022</v>
      </c>
      <c r="F343" s="3" t="s">
        <v>5025</v>
      </c>
      <c r="G343" s="3" t="s">
        <v>5034</v>
      </c>
      <c r="H343" s="3" t="s">
        <v>9552</v>
      </c>
      <c r="I343" s="17">
        <v>45691</v>
      </c>
      <c r="J343" s="18">
        <f>YEAR(Tabla1[[#This Row],[FECHA DE COMPRA]])</f>
        <v>2025</v>
      </c>
      <c r="K343" s="19">
        <v>155.68</v>
      </c>
      <c r="L343" s="20">
        <v>0.2</v>
      </c>
      <c r="M343" s="19">
        <f>Tienda!$K3125-Tienda!$K3125*Tienda!$L3125</f>
        <v>58.41</v>
      </c>
      <c r="N343" s="3" t="s">
        <v>10039</v>
      </c>
      <c r="O343" s="3" t="s">
        <v>10041</v>
      </c>
      <c r="P343" s="17">
        <v>45691</v>
      </c>
      <c r="Q343" s="4">
        <v>0</v>
      </c>
    </row>
    <row r="344" spans="1:17" x14ac:dyDescent="0.25">
      <c r="A344" s="2" t="s">
        <v>5004</v>
      </c>
      <c r="B344" s="3" t="s">
        <v>5016</v>
      </c>
      <c r="C344" s="3">
        <v>18</v>
      </c>
      <c r="D344" s="46" t="str">
        <f>IF(Tabla1[[#This Row],[EDAD]]&lt;=35,"Adultos jóvenes 18 - 35 años",IF(C344&gt;=36,"Adultos mayores 36 años en adelante"))</f>
        <v>Adultos jóvenes 18 - 35 años</v>
      </c>
      <c r="E344" s="3" t="s">
        <v>5021</v>
      </c>
      <c r="F344" s="3" t="s">
        <v>5027</v>
      </c>
      <c r="G344" s="3" t="s">
        <v>5033</v>
      </c>
      <c r="H344" s="3" t="s">
        <v>10027</v>
      </c>
      <c r="I344" s="17">
        <v>45691</v>
      </c>
      <c r="J344" s="18">
        <f>YEAR(Tabla1[[#This Row],[FECHA DE COMPRA]])</f>
        <v>2025</v>
      </c>
      <c r="K344" s="19">
        <v>158.75</v>
      </c>
      <c r="L344" s="20">
        <v>0.1</v>
      </c>
      <c r="M344" s="19">
        <f>Tienda!$K3126-Tienda!$K3126*Tienda!$L3126</f>
        <v>58.457000000000008</v>
      </c>
      <c r="N344" s="3" t="s">
        <v>10039</v>
      </c>
      <c r="O344" s="3" t="s">
        <v>10041</v>
      </c>
      <c r="P344" s="17">
        <v>45691</v>
      </c>
      <c r="Q344" s="4">
        <v>0</v>
      </c>
    </row>
    <row r="345" spans="1:17" x14ac:dyDescent="0.25">
      <c r="A345" s="2" t="s">
        <v>1397</v>
      </c>
      <c r="B345" s="3" t="s">
        <v>5016</v>
      </c>
      <c r="C345" s="3">
        <v>34</v>
      </c>
      <c r="D345" s="46" t="str">
        <f>IF(Tabla1[[#This Row],[EDAD]]&lt;=35,"Adultos jóvenes 18 - 35 años",IF(C345&gt;=36,"Adultos mayores 36 años en adelante"))</f>
        <v>Adultos jóvenes 18 - 35 años</v>
      </c>
      <c r="E345" s="3" t="s">
        <v>5019</v>
      </c>
      <c r="F345" s="3" t="s">
        <v>5024</v>
      </c>
      <c r="G345" s="3" t="s">
        <v>5033</v>
      </c>
      <c r="H345" s="3" t="s">
        <v>6420</v>
      </c>
      <c r="I345" s="17">
        <v>45692</v>
      </c>
      <c r="J345" s="18">
        <f>YEAR(Tabla1[[#This Row],[FECHA DE COMPRA]])</f>
        <v>2025</v>
      </c>
      <c r="K345" s="19">
        <v>138.63999999999999</v>
      </c>
      <c r="L345" s="20">
        <v>0.1</v>
      </c>
      <c r="M345" s="19">
        <f>Tienda!$K3131-Tienda!$K3131*Tienda!$L3131</f>
        <v>62.208000000000006</v>
      </c>
      <c r="N345" s="3" t="s">
        <v>10039</v>
      </c>
      <c r="O345" s="3" t="s">
        <v>10041</v>
      </c>
      <c r="P345" s="17">
        <v>45692</v>
      </c>
      <c r="Q345" s="4">
        <v>0</v>
      </c>
    </row>
    <row r="346" spans="1:17" x14ac:dyDescent="0.25">
      <c r="A346" s="2" t="s">
        <v>103</v>
      </c>
      <c r="B346" s="3" t="s">
        <v>5016</v>
      </c>
      <c r="C346" s="3">
        <v>34</v>
      </c>
      <c r="D346" s="46" t="str">
        <f>IF(Tabla1[[#This Row],[EDAD]]&lt;=35,"Adultos jóvenes 18 - 35 años",IF(C346&gt;=36,"Adultos mayores 36 años en adelante"))</f>
        <v>Adultos jóvenes 18 - 35 años</v>
      </c>
      <c r="E346" s="3" t="s">
        <v>5023</v>
      </c>
      <c r="F346" s="3" t="s">
        <v>5024</v>
      </c>
      <c r="G346" s="3" t="s">
        <v>5032</v>
      </c>
      <c r="H346" s="3" t="s">
        <v>5126</v>
      </c>
      <c r="I346" s="17">
        <v>45694</v>
      </c>
      <c r="J346" s="18">
        <f>YEAR(Tabla1[[#This Row],[FECHA DE COMPRA]])</f>
        <v>2025</v>
      </c>
      <c r="K346" s="19">
        <v>132.91999999999999</v>
      </c>
      <c r="L346" s="20">
        <v>0.1</v>
      </c>
      <c r="M346" s="19">
        <f>Tienda!$K3133-Tienda!$K3133*Tienda!$L3133</f>
        <v>62.352000000000004</v>
      </c>
      <c r="N346" s="3" t="s">
        <v>10039</v>
      </c>
      <c r="O346" s="3" t="s">
        <v>10041</v>
      </c>
      <c r="P346" s="17">
        <v>45694</v>
      </c>
      <c r="Q346" s="4">
        <v>0</v>
      </c>
    </row>
    <row r="347" spans="1:17" x14ac:dyDescent="0.25">
      <c r="A347" s="2" t="s">
        <v>2770</v>
      </c>
      <c r="B347" s="3" t="s">
        <v>5015</v>
      </c>
      <c r="C347" s="3">
        <v>22</v>
      </c>
      <c r="D347" s="46" t="str">
        <f>IF(Tabla1[[#This Row],[EDAD]]&lt;=35,"Adultos jóvenes 18 - 35 años",IF(C347&gt;=36,"Adultos mayores 36 años en adelante"))</f>
        <v>Adultos jóvenes 18 - 35 años</v>
      </c>
      <c r="E347" s="3" t="s">
        <v>5018</v>
      </c>
      <c r="F347" s="3" t="s">
        <v>5026</v>
      </c>
      <c r="G347" s="3" t="s">
        <v>5032</v>
      </c>
      <c r="H347" s="3" t="s">
        <v>7793</v>
      </c>
      <c r="I347" s="17">
        <v>45695</v>
      </c>
      <c r="J347" s="18">
        <f>YEAR(Tabla1[[#This Row],[FECHA DE COMPRA]])</f>
        <v>2025</v>
      </c>
      <c r="K347" s="19">
        <v>41.39</v>
      </c>
      <c r="L347" s="20">
        <v>0.1</v>
      </c>
      <c r="M347" s="19">
        <f>Tienda!$K3134-Tienda!$K3134*Tienda!$L3134</f>
        <v>62.95</v>
      </c>
      <c r="N347" s="3" t="s">
        <v>10039</v>
      </c>
      <c r="O347" s="3" t="s">
        <v>10041</v>
      </c>
      <c r="P347" s="17">
        <v>45695</v>
      </c>
      <c r="Q347" s="4">
        <v>0</v>
      </c>
    </row>
    <row r="348" spans="1:17" x14ac:dyDescent="0.25">
      <c r="A348" s="2" t="s">
        <v>4400</v>
      </c>
      <c r="B348" s="3" t="s">
        <v>5015</v>
      </c>
      <c r="C348" s="3">
        <v>21</v>
      </c>
      <c r="D348" s="46" t="str">
        <f>IF(Tabla1[[#This Row],[EDAD]]&lt;=35,"Adultos jóvenes 18 - 35 años",IF(C348&gt;=36,"Adultos mayores 36 años en adelante"))</f>
        <v>Adultos jóvenes 18 - 35 años</v>
      </c>
      <c r="E348" s="3" t="s">
        <v>5018</v>
      </c>
      <c r="F348" s="3" t="s">
        <v>5028</v>
      </c>
      <c r="G348" s="3" t="s">
        <v>5034</v>
      </c>
      <c r="H348" s="3" t="s">
        <v>9423</v>
      </c>
      <c r="I348" s="17">
        <v>45695</v>
      </c>
      <c r="J348" s="18">
        <f>YEAR(Tabla1[[#This Row],[FECHA DE COMPRA]])</f>
        <v>2025</v>
      </c>
      <c r="K348" s="19">
        <v>101.47</v>
      </c>
      <c r="L348" s="20">
        <v>0.1</v>
      </c>
      <c r="M348" s="19">
        <f>Tienda!$K3135-Tienda!$K3135*Tienda!$L3135</f>
        <v>63.208000000000006</v>
      </c>
      <c r="N348" s="3" t="s">
        <v>10039</v>
      </c>
      <c r="O348" s="3" t="s">
        <v>10041</v>
      </c>
      <c r="P348" s="17">
        <v>45695</v>
      </c>
      <c r="Q348" s="4">
        <v>0</v>
      </c>
    </row>
    <row r="349" spans="1:17" x14ac:dyDescent="0.25">
      <c r="A349" s="2" t="s">
        <v>4240</v>
      </c>
      <c r="B349" s="3" t="s">
        <v>5016</v>
      </c>
      <c r="C349" s="3">
        <v>25</v>
      </c>
      <c r="D349" s="46" t="str">
        <f>IF(Tabla1[[#This Row],[EDAD]]&lt;=35,"Adultos jóvenes 18 - 35 años",IF(C349&gt;=36,"Adultos mayores 36 años en adelante"))</f>
        <v>Adultos jóvenes 18 - 35 años</v>
      </c>
      <c r="E349" s="3" t="s">
        <v>5023</v>
      </c>
      <c r="F349" s="3" t="s">
        <v>5026</v>
      </c>
      <c r="G349" s="3" t="s">
        <v>5032</v>
      </c>
      <c r="H349" s="3" t="s">
        <v>9263</v>
      </c>
      <c r="I349" s="17">
        <v>45704</v>
      </c>
      <c r="J349" s="18">
        <f>YEAR(Tabla1[[#This Row],[FECHA DE COMPRA]])</f>
        <v>2025</v>
      </c>
      <c r="K349" s="19">
        <v>15.67</v>
      </c>
      <c r="L349" s="20">
        <v>0.3</v>
      </c>
      <c r="M349" s="19">
        <f>Tienda!$K3138-Tienda!$K3138*Tienda!$L3138</f>
        <v>64.53</v>
      </c>
      <c r="N349" s="3" t="s">
        <v>10039</v>
      </c>
      <c r="O349" s="3" t="s">
        <v>10041</v>
      </c>
      <c r="P349" s="17">
        <v>45704</v>
      </c>
      <c r="Q349" s="4">
        <v>0</v>
      </c>
    </row>
    <row r="350" spans="1:17" x14ac:dyDescent="0.25">
      <c r="A350" s="2" t="s">
        <v>1344</v>
      </c>
      <c r="B350" s="3" t="s">
        <v>5015</v>
      </c>
      <c r="C350" s="3">
        <v>21</v>
      </c>
      <c r="D350" s="46" t="str">
        <f>IF(Tabla1[[#This Row],[EDAD]]&lt;=35,"Adultos jóvenes 18 - 35 años",IF(C350&gt;=36,"Adultos mayores 36 años en adelante"))</f>
        <v>Adultos jóvenes 18 - 35 años</v>
      </c>
      <c r="E350" s="3" t="s">
        <v>5020</v>
      </c>
      <c r="F350" s="3" t="s">
        <v>5026</v>
      </c>
      <c r="G350" s="3" t="s">
        <v>5031</v>
      </c>
      <c r="H350" s="3" t="s">
        <v>6367</v>
      </c>
      <c r="I350" s="17">
        <v>45704</v>
      </c>
      <c r="J350" s="18">
        <f>YEAR(Tabla1[[#This Row],[FECHA DE COMPRA]])</f>
        <v>2025</v>
      </c>
      <c r="K350" s="19">
        <v>144.72</v>
      </c>
      <c r="L350" s="20">
        <v>0.1</v>
      </c>
      <c r="M350" s="19">
        <f>Tienda!$K3140-Tienda!$K3140*Tienda!$L3140</f>
        <v>66.344000000000008</v>
      </c>
      <c r="N350" s="3" t="s">
        <v>10039</v>
      </c>
      <c r="O350" s="3" t="s">
        <v>10041</v>
      </c>
      <c r="P350" s="17">
        <v>45704</v>
      </c>
      <c r="Q350" s="4">
        <v>0</v>
      </c>
    </row>
    <row r="351" spans="1:17" x14ac:dyDescent="0.25">
      <c r="A351" s="2" t="s">
        <v>656</v>
      </c>
      <c r="B351" s="3" t="s">
        <v>5015</v>
      </c>
      <c r="C351" s="3">
        <v>28</v>
      </c>
      <c r="D351" s="46" t="str">
        <f>IF(Tabla1[[#This Row],[EDAD]]&lt;=35,"Adultos jóvenes 18 - 35 años",IF(C351&gt;=36,"Adultos mayores 36 años en adelante"))</f>
        <v>Adultos jóvenes 18 - 35 años</v>
      </c>
      <c r="E351" s="3" t="s">
        <v>5022</v>
      </c>
      <c r="F351" s="3" t="s">
        <v>5026</v>
      </c>
      <c r="G351" s="3" t="s">
        <v>5031</v>
      </c>
      <c r="H351" s="3" t="s">
        <v>5679</v>
      </c>
      <c r="I351" s="17">
        <v>45705</v>
      </c>
      <c r="J351" s="18">
        <f>YEAR(Tabla1[[#This Row],[FECHA DE COMPRA]])</f>
        <v>2025</v>
      </c>
      <c r="K351" s="19">
        <v>141.44999999999999</v>
      </c>
      <c r="L351" s="20">
        <v>0.3</v>
      </c>
      <c r="M351" s="19">
        <f>Tienda!$K3144-Tienda!$K3144*Tienda!$L3144</f>
        <v>67.77</v>
      </c>
      <c r="N351" s="3" t="s">
        <v>10039</v>
      </c>
      <c r="O351" s="3" t="s">
        <v>10041</v>
      </c>
      <c r="P351" s="17">
        <v>45705</v>
      </c>
      <c r="Q351" s="4">
        <v>0</v>
      </c>
    </row>
    <row r="352" spans="1:17" x14ac:dyDescent="0.25">
      <c r="A352" s="2" t="s">
        <v>3578</v>
      </c>
      <c r="B352" s="3" t="s">
        <v>5015</v>
      </c>
      <c r="C352" s="3">
        <v>32</v>
      </c>
      <c r="D352" s="46" t="str">
        <f>IF(Tabla1[[#This Row],[EDAD]]&lt;=35,"Adultos jóvenes 18 - 35 años",IF(C352&gt;=36,"Adultos mayores 36 años en adelante"))</f>
        <v>Adultos jóvenes 18 - 35 años</v>
      </c>
      <c r="E352" s="3" t="s">
        <v>5021</v>
      </c>
      <c r="F352" s="3" t="s">
        <v>5025</v>
      </c>
      <c r="G352" s="3" t="s">
        <v>5037</v>
      </c>
      <c r="H352" s="3" t="s">
        <v>8601</v>
      </c>
      <c r="I352" s="17">
        <v>45706</v>
      </c>
      <c r="J352" s="18">
        <f>YEAR(Tabla1[[#This Row],[FECHA DE COMPRA]])</f>
        <v>2025</v>
      </c>
      <c r="K352" s="19">
        <v>111.21</v>
      </c>
      <c r="L352" s="20">
        <v>0</v>
      </c>
      <c r="M352" s="19">
        <f>Tienda!$K3146-Tienda!$K3146*Tienda!$L3146</f>
        <v>68.688000000000002</v>
      </c>
      <c r="N352" s="3" t="s">
        <v>10039</v>
      </c>
      <c r="O352" s="3" t="s">
        <v>10041</v>
      </c>
      <c r="P352" s="17">
        <v>45706</v>
      </c>
      <c r="Q352" s="4">
        <v>0</v>
      </c>
    </row>
    <row r="353" spans="1:17" x14ac:dyDescent="0.25">
      <c r="A353" s="2" t="s">
        <v>205</v>
      </c>
      <c r="B353" s="3" t="s">
        <v>5015</v>
      </c>
      <c r="C353" s="3">
        <v>19</v>
      </c>
      <c r="D353" s="46" t="str">
        <f>IF(Tabla1[[#This Row],[EDAD]]&lt;=35,"Adultos jóvenes 18 - 35 años",IF(C353&gt;=36,"Adultos mayores 36 años en adelante"))</f>
        <v>Adultos jóvenes 18 - 35 años</v>
      </c>
      <c r="E353" s="3" t="s">
        <v>5017</v>
      </c>
      <c r="F353" s="3" t="s">
        <v>5025</v>
      </c>
      <c r="G353" s="3" t="s">
        <v>5031</v>
      </c>
      <c r="H353" s="3" t="s">
        <v>5228</v>
      </c>
      <c r="I353" s="17">
        <v>45707</v>
      </c>
      <c r="J353" s="18">
        <f>YEAR(Tabla1[[#This Row],[FECHA DE COMPRA]])</f>
        <v>2025</v>
      </c>
      <c r="K353" s="19">
        <v>30.26</v>
      </c>
      <c r="L353" s="20">
        <v>0.2</v>
      </c>
      <c r="M353" s="19">
        <f>Tienda!$K3148-Tienda!$K3148*Tienda!$L3148</f>
        <v>69.736000000000004</v>
      </c>
      <c r="N353" s="3" t="s">
        <v>10039</v>
      </c>
      <c r="O353" s="3" t="s">
        <v>10041</v>
      </c>
      <c r="P353" s="17">
        <v>45707</v>
      </c>
      <c r="Q353" s="4">
        <v>0</v>
      </c>
    </row>
    <row r="354" spans="1:17" x14ac:dyDescent="0.25">
      <c r="A354" s="2" t="s">
        <v>2725</v>
      </c>
      <c r="B354" s="3" t="s">
        <v>5015</v>
      </c>
      <c r="C354" s="3">
        <v>20</v>
      </c>
      <c r="D354" s="46" t="str">
        <f>IF(Tabla1[[#This Row],[EDAD]]&lt;=35,"Adultos jóvenes 18 - 35 años",IF(C354&gt;=36,"Adultos mayores 36 años en adelante"))</f>
        <v>Adultos jóvenes 18 - 35 años</v>
      </c>
      <c r="E354" s="3" t="s">
        <v>5022</v>
      </c>
      <c r="F354" s="3" t="s">
        <v>5027</v>
      </c>
      <c r="G354" s="3" t="s">
        <v>5034</v>
      </c>
      <c r="H354" s="3" t="s">
        <v>7748</v>
      </c>
      <c r="I354" s="17">
        <v>45711</v>
      </c>
      <c r="J354" s="18">
        <f>YEAR(Tabla1[[#This Row],[FECHA DE COMPRA]])</f>
        <v>2025</v>
      </c>
      <c r="K354" s="19">
        <v>65.66</v>
      </c>
      <c r="L354" s="20">
        <v>0</v>
      </c>
      <c r="M354" s="19">
        <f>Tienda!$K3149-Tienda!$K3149*Tienda!$L3149</f>
        <v>70.028999999999996</v>
      </c>
      <c r="N354" s="3" t="s">
        <v>10039</v>
      </c>
      <c r="O354" s="3" t="s">
        <v>10041</v>
      </c>
      <c r="P354" s="17">
        <v>45711</v>
      </c>
      <c r="Q354" s="4">
        <v>0</v>
      </c>
    </row>
    <row r="355" spans="1:17" x14ac:dyDescent="0.25">
      <c r="A355" s="2" t="s">
        <v>3217</v>
      </c>
      <c r="B355" s="3" t="s">
        <v>5016</v>
      </c>
      <c r="C355" s="3">
        <v>30</v>
      </c>
      <c r="D355" s="46" t="str">
        <f>IF(Tabla1[[#This Row],[EDAD]]&lt;=35,"Adultos jóvenes 18 - 35 años",IF(C355&gt;=36,"Adultos mayores 36 años en adelante"))</f>
        <v>Adultos jóvenes 18 - 35 años</v>
      </c>
      <c r="E355" s="3" t="s">
        <v>5023</v>
      </c>
      <c r="F355" s="3" t="s">
        <v>5029</v>
      </c>
      <c r="G355" s="3" t="s">
        <v>5033</v>
      </c>
      <c r="H355" s="3" t="s">
        <v>8240</v>
      </c>
      <c r="I355" s="17">
        <v>45723</v>
      </c>
      <c r="J355" s="18">
        <f>YEAR(Tabla1[[#This Row],[FECHA DE COMPRA]])</f>
        <v>2025</v>
      </c>
      <c r="K355" s="19">
        <v>83.37</v>
      </c>
      <c r="L355" s="20">
        <v>0</v>
      </c>
      <c r="M355" s="19">
        <f>Tienda!$K3163-Tienda!$K3163*Tienda!$L3163</f>
        <v>76.257000000000005</v>
      </c>
      <c r="N355" s="3" t="s">
        <v>10039</v>
      </c>
      <c r="O355" s="3" t="s">
        <v>10041</v>
      </c>
      <c r="P355" s="17">
        <v>45723</v>
      </c>
      <c r="Q355" s="4">
        <v>0</v>
      </c>
    </row>
    <row r="356" spans="1:17" x14ac:dyDescent="0.25">
      <c r="A356" s="2" t="s">
        <v>2048</v>
      </c>
      <c r="B356" s="3" t="s">
        <v>5015</v>
      </c>
      <c r="C356" s="3">
        <v>25</v>
      </c>
      <c r="D356" s="46" t="str">
        <f>IF(Tabla1[[#This Row],[EDAD]]&lt;=35,"Adultos jóvenes 18 - 35 años",IF(C356&gt;=36,"Adultos mayores 36 años en adelante"))</f>
        <v>Adultos jóvenes 18 - 35 años</v>
      </c>
      <c r="E356" s="3" t="s">
        <v>5022</v>
      </c>
      <c r="F356" s="3" t="s">
        <v>5026</v>
      </c>
      <c r="G356" s="3" t="s">
        <v>5036</v>
      </c>
      <c r="H356" s="3" t="s">
        <v>7071</v>
      </c>
      <c r="I356" s="17">
        <v>45718</v>
      </c>
      <c r="J356" s="18">
        <f>YEAR(Tabla1[[#This Row],[FECHA DE COMPRA]])</f>
        <v>2025</v>
      </c>
      <c r="K356" s="19">
        <v>93.45</v>
      </c>
      <c r="L356" s="20">
        <v>0.1</v>
      </c>
      <c r="M356" s="19">
        <f>Tienda!$K3165-Tienda!$K3165*Tienda!$L3165</f>
        <v>77.37</v>
      </c>
      <c r="N356" s="3" t="s">
        <v>10039</v>
      </c>
      <c r="O356" s="3" t="s">
        <v>10041</v>
      </c>
      <c r="P356" s="17">
        <v>45718</v>
      </c>
      <c r="Q356" s="4">
        <v>0</v>
      </c>
    </row>
    <row r="357" spans="1:17" x14ac:dyDescent="0.25">
      <c r="A357" s="2" t="s">
        <v>1305</v>
      </c>
      <c r="B357" s="3" t="s">
        <v>5016</v>
      </c>
      <c r="C357" s="3">
        <v>28</v>
      </c>
      <c r="D357" s="46" t="str">
        <f>IF(Tabla1[[#This Row],[EDAD]]&lt;=35,"Adultos jóvenes 18 - 35 años",IF(C357&gt;=36,"Adultos mayores 36 años en adelante"))</f>
        <v>Adultos jóvenes 18 - 35 años</v>
      </c>
      <c r="E357" s="3" t="s">
        <v>5023</v>
      </c>
      <c r="F357" s="3" t="s">
        <v>5028</v>
      </c>
      <c r="G357" s="3" t="s">
        <v>5031</v>
      </c>
      <c r="H357" s="3" t="s">
        <v>6328</v>
      </c>
      <c r="I357" s="17">
        <v>45720</v>
      </c>
      <c r="J357" s="18">
        <f>YEAR(Tabla1[[#This Row],[FECHA DE COMPRA]])</f>
        <v>2025</v>
      </c>
      <c r="K357" s="19">
        <v>121.08</v>
      </c>
      <c r="L357" s="20">
        <v>0</v>
      </c>
      <c r="M357" s="19">
        <f>Tienda!$K3168-Tienda!$K3168*Tienda!$L3168</f>
        <v>78.228000000000009</v>
      </c>
      <c r="N357" s="3" t="s">
        <v>10039</v>
      </c>
      <c r="O357" s="3" t="s">
        <v>10041</v>
      </c>
      <c r="P357" s="17">
        <v>45720</v>
      </c>
      <c r="Q357" s="4">
        <v>0</v>
      </c>
    </row>
    <row r="358" spans="1:17" x14ac:dyDescent="0.25">
      <c r="A358" s="2" t="s">
        <v>3073</v>
      </c>
      <c r="B358" s="3" t="s">
        <v>5016</v>
      </c>
      <c r="C358" s="3">
        <v>20</v>
      </c>
      <c r="D358" s="46" t="str">
        <f>IF(Tabla1[[#This Row],[EDAD]]&lt;=35,"Adultos jóvenes 18 - 35 años",IF(C358&gt;=36,"Adultos mayores 36 años en adelante"))</f>
        <v>Adultos jóvenes 18 - 35 años</v>
      </c>
      <c r="E358" s="3" t="s">
        <v>5021</v>
      </c>
      <c r="F358" s="3" t="s">
        <v>5025</v>
      </c>
      <c r="G358" s="3" t="s">
        <v>5037</v>
      </c>
      <c r="H358" s="3" t="s">
        <v>8096</v>
      </c>
      <c r="I358" s="17">
        <v>45717</v>
      </c>
      <c r="J358" s="18">
        <f>YEAR(Tabla1[[#This Row],[FECHA DE COMPRA]])</f>
        <v>2025</v>
      </c>
      <c r="K358" s="19">
        <v>146.22999999999999</v>
      </c>
      <c r="L358" s="20">
        <v>0</v>
      </c>
      <c r="M358" s="19">
        <f>Tienda!$K3170-Tienda!$K3170*Tienda!$L3170</f>
        <v>78.393000000000001</v>
      </c>
      <c r="N358" s="3" t="s">
        <v>10039</v>
      </c>
      <c r="O358" s="3" t="s">
        <v>10041</v>
      </c>
      <c r="P358" s="17">
        <v>45717</v>
      </c>
      <c r="Q358" s="4">
        <v>0</v>
      </c>
    </row>
    <row r="359" spans="1:17" x14ac:dyDescent="0.25">
      <c r="A359" s="2" t="s">
        <v>2785</v>
      </c>
      <c r="B359" s="3" t="s">
        <v>5015</v>
      </c>
      <c r="C359" s="3">
        <v>18</v>
      </c>
      <c r="D359" s="46" t="str">
        <f>IF(Tabla1[[#This Row],[EDAD]]&lt;=35,"Adultos jóvenes 18 - 35 años",IF(C359&gt;=36,"Adultos mayores 36 años en adelante"))</f>
        <v>Adultos jóvenes 18 - 35 años</v>
      </c>
      <c r="E359" s="3" t="s">
        <v>5020</v>
      </c>
      <c r="F359" s="3" t="s">
        <v>5024</v>
      </c>
      <c r="G359" s="3" t="s">
        <v>5033</v>
      </c>
      <c r="H359" s="3" t="s">
        <v>7808</v>
      </c>
      <c r="I359" s="17">
        <v>45743</v>
      </c>
      <c r="J359" s="18">
        <f>YEAR(Tabla1[[#This Row],[FECHA DE COMPRA]])</f>
        <v>2025</v>
      </c>
      <c r="K359" s="19">
        <v>151.46</v>
      </c>
      <c r="L359" s="20">
        <v>0.2</v>
      </c>
      <c r="M359" s="19">
        <f>Tienda!$K3173-Tienda!$K3173*Tienda!$L3173</f>
        <v>79.533000000000001</v>
      </c>
      <c r="N359" s="3" t="s">
        <v>10039</v>
      </c>
      <c r="O359" s="3" t="s">
        <v>10041</v>
      </c>
      <c r="P359" s="17">
        <v>45743</v>
      </c>
      <c r="Q359" s="4">
        <v>0</v>
      </c>
    </row>
    <row r="360" spans="1:17" x14ac:dyDescent="0.25">
      <c r="A360" s="2" t="s">
        <v>2236</v>
      </c>
      <c r="B360" s="3" t="s">
        <v>5016</v>
      </c>
      <c r="C360" s="3">
        <v>24</v>
      </c>
      <c r="D360" s="46" t="str">
        <f>IF(Tabla1[[#This Row],[EDAD]]&lt;=35,"Adultos jóvenes 18 - 35 años",IF(C360&gt;=36,"Adultos mayores 36 años en adelante"))</f>
        <v>Adultos jóvenes 18 - 35 años</v>
      </c>
      <c r="E360" s="3" t="s">
        <v>5023</v>
      </c>
      <c r="F360" s="3" t="s">
        <v>5030</v>
      </c>
      <c r="G360" s="3" t="s">
        <v>5037</v>
      </c>
      <c r="H360" s="3" t="s">
        <v>7259</v>
      </c>
      <c r="I360" s="17">
        <v>45721</v>
      </c>
      <c r="J360" s="18">
        <f>YEAR(Tabla1[[#This Row],[FECHA DE COMPRA]])</f>
        <v>2025</v>
      </c>
      <c r="K360" s="19">
        <v>158.30000000000001</v>
      </c>
      <c r="L360" s="20">
        <v>0</v>
      </c>
      <c r="M360" s="19">
        <f>Tienda!$K3174-Tienda!$K3174*Tienda!$L3174</f>
        <v>79.540000000000006</v>
      </c>
      <c r="N360" s="3" t="s">
        <v>10039</v>
      </c>
      <c r="O360" s="3" t="s">
        <v>10041</v>
      </c>
      <c r="P360" s="17">
        <v>45721</v>
      </c>
      <c r="Q360" s="4">
        <v>0</v>
      </c>
    </row>
    <row r="361" spans="1:17" x14ac:dyDescent="0.25">
      <c r="A361" s="2" t="s">
        <v>4033</v>
      </c>
      <c r="B361" s="3" t="s">
        <v>5015</v>
      </c>
      <c r="C361" s="3">
        <v>30</v>
      </c>
      <c r="D361" s="46" t="str">
        <f>IF(Tabla1[[#This Row],[EDAD]]&lt;=35,"Adultos jóvenes 18 - 35 años",IF(C361&gt;=36,"Adultos mayores 36 años en adelante"))</f>
        <v>Adultos jóvenes 18 - 35 años</v>
      </c>
      <c r="E361" s="3" t="s">
        <v>5020</v>
      </c>
      <c r="F361" s="3" t="s">
        <v>5030</v>
      </c>
      <c r="G361" s="3" t="s">
        <v>5033</v>
      </c>
      <c r="H361" s="3" t="s">
        <v>9056</v>
      </c>
      <c r="I361" s="17">
        <v>45747</v>
      </c>
      <c r="J361" s="18">
        <f>YEAR(Tabla1[[#This Row],[FECHA DE COMPRA]])</f>
        <v>2025</v>
      </c>
      <c r="K361" s="19">
        <v>164.96</v>
      </c>
      <c r="L361" s="20">
        <v>0.2</v>
      </c>
      <c r="M361" s="19">
        <f>Tienda!$K3177-Tienda!$K3177*Tienda!$L3177</f>
        <v>81.378</v>
      </c>
      <c r="N361" s="3" t="s">
        <v>10039</v>
      </c>
      <c r="O361" s="3" t="s">
        <v>10041</v>
      </c>
      <c r="P361" s="17">
        <v>45747</v>
      </c>
      <c r="Q361" s="4">
        <v>0</v>
      </c>
    </row>
    <row r="362" spans="1:17" x14ac:dyDescent="0.25">
      <c r="A362" s="2" t="s">
        <v>4166</v>
      </c>
      <c r="B362" s="3" t="s">
        <v>5015</v>
      </c>
      <c r="C362" s="3">
        <v>24</v>
      </c>
      <c r="D362" s="46" t="str">
        <f>IF(Tabla1[[#This Row],[EDAD]]&lt;=35,"Adultos jóvenes 18 - 35 años",IF(C362&gt;=36,"Adultos mayores 36 años en adelante"))</f>
        <v>Adultos jóvenes 18 - 35 años</v>
      </c>
      <c r="E362" s="3" t="s">
        <v>5018</v>
      </c>
      <c r="F362" s="3" t="s">
        <v>5028</v>
      </c>
      <c r="G362" s="3" t="s">
        <v>5031</v>
      </c>
      <c r="H362" s="3" t="s">
        <v>9189</v>
      </c>
      <c r="I362" s="17">
        <v>45775</v>
      </c>
      <c r="J362" s="18">
        <f>YEAR(Tabla1[[#This Row],[FECHA DE COMPRA]])</f>
        <v>2025</v>
      </c>
      <c r="K362" s="19">
        <v>45.6</v>
      </c>
      <c r="L362" s="20">
        <v>0.3</v>
      </c>
      <c r="M362" s="19">
        <f>Tienda!$K3182-Tienda!$K3182*Tienda!$L3182</f>
        <v>84.43</v>
      </c>
      <c r="N362" s="3" t="s">
        <v>10039</v>
      </c>
      <c r="O362" s="3" t="s">
        <v>10041</v>
      </c>
      <c r="P362" s="17">
        <v>45775</v>
      </c>
      <c r="Q362" s="4">
        <v>0</v>
      </c>
    </row>
    <row r="363" spans="1:17" x14ac:dyDescent="0.25">
      <c r="A363" s="2" t="s">
        <v>1540</v>
      </c>
      <c r="B363" s="3" t="s">
        <v>5015</v>
      </c>
      <c r="C363" s="3">
        <v>29</v>
      </c>
      <c r="D363" s="46" t="str">
        <f>IF(Tabla1[[#This Row],[EDAD]]&lt;=35,"Adultos jóvenes 18 - 35 años",IF(C363&gt;=36,"Adultos mayores 36 años en adelante"))</f>
        <v>Adultos jóvenes 18 - 35 años</v>
      </c>
      <c r="E363" s="3" t="s">
        <v>5018</v>
      </c>
      <c r="F363" s="3" t="s">
        <v>5030</v>
      </c>
      <c r="G363" s="3" t="s">
        <v>5033</v>
      </c>
      <c r="H363" s="3" t="s">
        <v>6563</v>
      </c>
      <c r="I363" s="17">
        <v>45752</v>
      </c>
      <c r="J363" s="18">
        <f>YEAR(Tabla1[[#This Row],[FECHA DE COMPRA]])</f>
        <v>2025</v>
      </c>
      <c r="K363" s="19">
        <v>54.83</v>
      </c>
      <c r="L363" s="20">
        <v>0</v>
      </c>
      <c r="M363" s="19">
        <f>Tienda!$K3183-Tienda!$K3183*Tienda!$L3183</f>
        <v>85.048000000000002</v>
      </c>
      <c r="N363" s="3" t="s">
        <v>10039</v>
      </c>
      <c r="O363" s="3" t="s">
        <v>10041</v>
      </c>
      <c r="P363" s="17">
        <v>45752</v>
      </c>
      <c r="Q363" s="4">
        <v>0</v>
      </c>
    </row>
    <row r="364" spans="1:17" x14ac:dyDescent="0.25">
      <c r="A364" s="2" t="s">
        <v>2586</v>
      </c>
      <c r="B364" s="3" t="s">
        <v>5015</v>
      </c>
      <c r="C364" s="3">
        <v>19</v>
      </c>
      <c r="D364" s="46" t="str">
        <f>IF(Tabla1[[#This Row],[EDAD]]&lt;=35,"Adultos jóvenes 18 - 35 años",IF(C364&gt;=36,"Adultos mayores 36 años en adelante"))</f>
        <v>Adultos jóvenes 18 - 35 años</v>
      </c>
      <c r="E364" s="3" t="s">
        <v>5020</v>
      </c>
      <c r="F364" s="3" t="s">
        <v>5025</v>
      </c>
      <c r="G364" s="3" t="s">
        <v>5037</v>
      </c>
      <c r="H364" s="3" t="s">
        <v>7609</v>
      </c>
      <c r="I364" s="17">
        <v>45753</v>
      </c>
      <c r="J364" s="18">
        <f>YEAR(Tabla1[[#This Row],[FECHA DE COMPRA]])</f>
        <v>2025</v>
      </c>
      <c r="K364" s="19">
        <v>59.98</v>
      </c>
      <c r="L364" s="20">
        <v>0</v>
      </c>
      <c r="M364" s="19">
        <f>Tienda!$K3185-Tienda!$K3185*Tienda!$L3185</f>
        <v>85.385999999999996</v>
      </c>
      <c r="N364" s="3" t="s">
        <v>10039</v>
      </c>
      <c r="O364" s="3" t="s">
        <v>10041</v>
      </c>
      <c r="P364" s="17">
        <v>45753</v>
      </c>
      <c r="Q364" s="4">
        <v>0</v>
      </c>
    </row>
    <row r="365" spans="1:17" x14ac:dyDescent="0.25">
      <c r="A365" s="2" t="s">
        <v>2741</v>
      </c>
      <c r="B365" s="3" t="s">
        <v>5015</v>
      </c>
      <c r="C365" s="3">
        <v>20</v>
      </c>
      <c r="D365" s="46" t="str">
        <f>IF(Tabla1[[#This Row],[EDAD]]&lt;=35,"Adultos jóvenes 18 - 35 años",IF(C365&gt;=36,"Adultos mayores 36 años en adelante"))</f>
        <v>Adultos jóvenes 18 - 35 años</v>
      </c>
      <c r="E365" s="3" t="s">
        <v>5018</v>
      </c>
      <c r="F365" s="3" t="s">
        <v>5027</v>
      </c>
      <c r="G365" s="3" t="s">
        <v>5032</v>
      </c>
      <c r="H365" s="3" t="s">
        <v>7764</v>
      </c>
      <c r="I365" s="17">
        <v>45754</v>
      </c>
      <c r="J365" s="18">
        <f>YEAR(Tabla1[[#This Row],[FECHA DE COMPRA]])</f>
        <v>2025</v>
      </c>
      <c r="K365" s="19">
        <v>63.79</v>
      </c>
      <c r="L365" s="20">
        <v>0</v>
      </c>
      <c r="M365" s="19">
        <f>Tienda!$K3186-Tienda!$K3186*Tienda!$L3186</f>
        <v>85.435000000000002</v>
      </c>
      <c r="N365" s="3" t="s">
        <v>10039</v>
      </c>
      <c r="O365" s="3" t="s">
        <v>10041</v>
      </c>
      <c r="P365" s="17">
        <v>45754</v>
      </c>
      <c r="Q365" s="4">
        <v>0</v>
      </c>
    </row>
    <row r="366" spans="1:17" x14ac:dyDescent="0.25">
      <c r="A366" s="2" t="s">
        <v>55</v>
      </c>
      <c r="B366" s="3" t="s">
        <v>5015</v>
      </c>
      <c r="C366" s="3">
        <v>26</v>
      </c>
      <c r="D366" s="46" t="str">
        <f>IF(Tabla1[[#This Row],[EDAD]]&lt;=35,"Adultos jóvenes 18 - 35 años",IF(C366&gt;=36,"Adultos mayores 36 años en adelante"))</f>
        <v>Adultos jóvenes 18 - 35 años</v>
      </c>
      <c r="E366" s="3" t="s">
        <v>5017</v>
      </c>
      <c r="F366" s="3" t="s">
        <v>5030</v>
      </c>
      <c r="G366" s="3" t="s">
        <v>5032</v>
      </c>
      <c r="H366" s="3" t="s">
        <v>5078</v>
      </c>
      <c r="I366" s="17">
        <v>45776</v>
      </c>
      <c r="J366" s="18">
        <f>YEAR(Tabla1[[#This Row],[FECHA DE COMPRA]])</f>
        <v>2025</v>
      </c>
      <c r="K366" s="19">
        <v>66.13</v>
      </c>
      <c r="L366" s="20">
        <v>0.2</v>
      </c>
      <c r="M366" s="19">
        <f>Tienda!$K3188-Tienda!$K3188*Tienda!$L3188</f>
        <v>87.47</v>
      </c>
      <c r="N366" s="3" t="s">
        <v>10039</v>
      </c>
      <c r="O366" s="3" t="s">
        <v>10041</v>
      </c>
      <c r="P366" s="17">
        <v>45776</v>
      </c>
      <c r="Q366" s="4">
        <v>0</v>
      </c>
    </row>
    <row r="367" spans="1:17" x14ac:dyDescent="0.25">
      <c r="A367" s="2" t="s">
        <v>1854</v>
      </c>
      <c r="B367" s="3" t="s">
        <v>5015</v>
      </c>
      <c r="C367" s="3">
        <v>20</v>
      </c>
      <c r="D367" s="46" t="str">
        <f>IF(Tabla1[[#This Row],[EDAD]]&lt;=35,"Adultos jóvenes 18 - 35 años",IF(C367&gt;=36,"Adultos mayores 36 años en adelante"))</f>
        <v>Adultos jóvenes 18 - 35 años</v>
      </c>
      <c r="E367" s="3" t="s">
        <v>5020</v>
      </c>
      <c r="F367" s="3" t="s">
        <v>5026</v>
      </c>
      <c r="G367" s="3" t="s">
        <v>5031</v>
      </c>
      <c r="H367" s="3" t="s">
        <v>6877</v>
      </c>
      <c r="I367" s="17">
        <v>45756</v>
      </c>
      <c r="J367" s="18">
        <f>YEAR(Tabla1[[#This Row],[FECHA DE COMPRA]])</f>
        <v>2025</v>
      </c>
      <c r="K367" s="19">
        <v>95.92</v>
      </c>
      <c r="L367" s="20">
        <v>0.2</v>
      </c>
      <c r="M367" s="19">
        <f>Tienda!$K3195-Tienda!$K3195*Tienda!$L3195</f>
        <v>90.510000000000019</v>
      </c>
      <c r="N367" s="3" t="s">
        <v>10039</v>
      </c>
      <c r="O367" s="3" t="s">
        <v>10041</v>
      </c>
      <c r="P367" s="17">
        <v>45756</v>
      </c>
      <c r="Q367" s="4">
        <v>0</v>
      </c>
    </row>
    <row r="368" spans="1:17" x14ac:dyDescent="0.25">
      <c r="A368" s="2" t="s">
        <v>3544</v>
      </c>
      <c r="B368" s="3" t="s">
        <v>5015</v>
      </c>
      <c r="C368" s="3">
        <v>28</v>
      </c>
      <c r="D368" s="46" t="str">
        <f>IF(Tabla1[[#This Row],[EDAD]]&lt;=35,"Adultos jóvenes 18 - 35 años",IF(C368&gt;=36,"Adultos mayores 36 años en adelante"))</f>
        <v>Adultos jóvenes 18 - 35 años</v>
      </c>
      <c r="E368" s="3" t="s">
        <v>5020</v>
      </c>
      <c r="F368" s="3" t="s">
        <v>5030</v>
      </c>
      <c r="G368" s="3" t="s">
        <v>5034</v>
      </c>
      <c r="H368" s="3" t="s">
        <v>8567</v>
      </c>
      <c r="I368" s="17">
        <v>45770</v>
      </c>
      <c r="J368" s="18">
        <f>YEAR(Tabla1[[#This Row],[FECHA DE COMPRA]])</f>
        <v>2025</v>
      </c>
      <c r="K368" s="19">
        <v>97.76</v>
      </c>
      <c r="L368" s="20">
        <v>0.1</v>
      </c>
      <c r="M368" s="19">
        <f>Tienda!$K3196-Tienda!$K3196*Tienda!$L3196</f>
        <v>90.643000000000001</v>
      </c>
      <c r="N368" s="3" t="s">
        <v>10039</v>
      </c>
      <c r="O368" s="3" t="s">
        <v>10041</v>
      </c>
      <c r="P368" s="17">
        <v>45770</v>
      </c>
      <c r="Q368" s="4">
        <v>0</v>
      </c>
    </row>
    <row r="369" spans="1:17" x14ac:dyDescent="0.25">
      <c r="A369" s="2" t="s">
        <v>2775</v>
      </c>
      <c r="B369" s="3" t="s">
        <v>5015</v>
      </c>
      <c r="C369" s="3">
        <v>29</v>
      </c>
      <c r="D369" s="46" t="str">
        <f>IF(Tabla1[[#This Row],[EDAD]]&lt;=35,"Adultos jóvenes 18 - 35 años",IF(C369&gt;=36,"Adultos mayores 36 años en adelante"))</f>
        <v>Adultos jóvenes 18 - 35 años</v>
      </c>
      <c r="E369" s="3" t="s">
        <v>5022</v>
      </c>
      <c r="F369" s="3" t="s">
        <v>5025</v>
      </c>
      <c r="G369" s="3" t="s">
        <v>5033</v>
      </c>
      <c r="H369" s="3" t="s">
        <v>7798</v>
      </c>
      <c r="I369" s="17">
        <v>45752</v>
      </c>
      <c r="J369" s="18">
        <f>YEAR(Tabla1[[#This Row],[FECHA DE COMPRA]])</f>
        <v>2025</v>
      </c>
      <c r="K369" s="19">
        <v>98.18</v>
      </c>
      <c r="L369" s="20">
        <v>0.1</v>
      </c>
      <c r="M369" s="19">
        <f>Tienda!$K3197-Tienda!$K3197*Tienda!$L3197</f>
        <v>91.224000000000004</v>
      </c>
      <c r="N369" s="3" t="s">
        <v>10039</v>
      </c>
      <c r="O369" s="3" t="s">
        <v>10041</v>
      </c>
      <c r="P369" s="17">
        <v>45752</v>
      </c>
      <c r="Q369" s="4">
        <v>0</v>
      </c>
    </row>
    <row r="370" spans="1:17" x14ac:dyDescent="0.25">
      <c r="A370" s="2" t="s">
        <v>1202</v>
      </c>
      <c r="B370" s="3" t="s">
        <v>5015</v>
      </c>
      <c r="C370" s="3">
        <v>29</v>
      </c>
      <c r="D370" s="46" t="str">
        <f>IF(Tabla1[[#This Row],[EDAD]]&lt;=35,"Adultos jóvenes 18 - 35 años",IF(C370&gt;=36,"Adultos mayores 36 años en adelante"))</f>
        <v>Adultos jóvenes 18 - 35 años</v>
      </c>
      <c r="E370" s="3" t="s">
        <v>5018</v>
      </c>
      <c r="F370" s="3" t="s">
        <v>5024</v>
      </c>
      <c r="G370" s="3" t="s">
        <v>5036</v>
      </c>
      <c r="H370" s="3" t="s">
        <v>6225</v>
      </c>
      <c r="I370" s="17">
        <v>45757</v>
      </c>
      <c r="J370" s="18">
        <f>YEAR(Tabla1[[#This Row],[FECHA DE COMPRA]])</f>
        <v>2025</v>
      </c>
      <c r="K370" s="19">
        <v>101.73</v>
      </c>
      <c r="L370" s="20">
        <v>0.3</v>
      </c>
      <c r="M370" s="19">
        <f>Tienda!$K3198-Tienda!$K3198*Tienda!$L3198</f>
        <v>91.448000000000008</v>
      </c>
      <c r="N370" s="3" t="s">
        <v>10039</v>
      </c>
      <c r="O370" s="3" t="s">
        <v>10041</v>
      </c>
      <c r="P370" s="17">
        <v>45757</v>
      </c>
      <c r="Q370" s="4">
        <v>0</v>
      </c>
    </row>
    <row r="371" spans="1:17" x14ac:dyDescent="0.25">
      <c r="A371" s="2" t="s">
        <v>4846</v>
      </c>
      <c r="B371" s="3" t="s">
        <v>5016</v>
      </c>
      <c r="C371" s="3">
        <v>20</v>
      </c>
      <c r="D371" s="46" t="str">
        <f>IF(Tabla1[[#This Row],[EDAD]]&lt;=35,"Adultos jóvenes 18 - 35 años",IF(C371&gt;=36,"Adultos mayores 36 años en adelante"))</f>
        <v>Adultos jóvenes 18 - 35 años</v>
      </c>
      <c r="E371" s="3" t="s">
        <v>5017</v>
      </c>
      <c r="F371" s="3" t="s">
        <v>5028</v>
      </c>
      <c r="G371" s="3" t="s">
        <v>5034</v>
      </c>
      <c r="H371" s="3" t="s">
        <v>9869</v>
      </c>
      <c r="I371" s="17">
        <v>45765</v>
      </c>
      <c r="J371" s="18">
        <f>YEAR(Tabla1[[#This Row],[FECHA DE COMPRA]])</f>
        <v>2025</v>
      </c>
      <c r="K371" s="19">
        <v>102.46</v>
      </c>
      <c r="L371" s="20">
        <v>0</v>
      </c>
      <c r="M371" s="19">
        <f>Tienda!$K3199-Tienda!$K3199*Tienda!$L3199</f>
        <v>91.84</v>
      </c>
      <c r="N371" s="3" t="s">
        <v>10039</v>
      </c>
      <c r="O371" s="3" t="s">
        <v>10041</v>
      </c>
      <c r="P371" s="17">
        <v>45765</v>
      </c>
      <c r="Q371" s="4">
        <v>0</v>
      </c>
    </row>
    <row r="372" spans="1:17" x14ac:dyDescent="0.25">
      <c r="A372" s="2" t="s">
        <v>813</v>
      </c>
      <c r="B372" s="3" t="s">
        <v>5015</v>
      </c>
      <c r="C372" s="3">
        <v>23</v>
      </c>
      <c r="D372" s="46" t="str">
        <f>IF(Tabla1[[#This Row],[EDAD]]&lt;=35,"Adultos jóvenes 18 - 35 años",IF(C372&gt;=36,"Adultos mayores 36 años en adelante"))</f>
        <v>Adultos jóvenes 18 - 35 años</v>
      </c>
      <c r="E372" s="3" t="s">
        <v>5020</v>
      </c>
      <c r="F372" s="3" t="s">
        <v>5025</v>
      </c>
      <c r="G372" s="3" t="s">
        <v>5035</v>
      </c>
      <c r="H372" s="3" t="s">
        <v>5836</v>
      </c>
      <c r="I372" s="17">
        <v>45750</v>
      </c>
      <c r="J372" s="18">
        <f>YEAR(Tabla1[[#This Row],[FECHA DE COMPRA]])</f>
        <v>2025</v>
      </c>
      <c r="K372" s="19">
        <v>102.63</v>
      </c>
      <c r="L372" s="20">
        <v>0</v>
      </c>
      <c r="M372" s="19">
        <f>Tienda!$K3200-Tienda!$K3200*Tienda!$L3200</f>
        <v>93.111999999999995</v>
      </c>
      <c r="N372" s="3" t="s">
        <v>10039</v>
      </c>
      <c r="O372" s="3" t="s">
        <v>10041</v>
      </c>
      <c r="P372" s="17">
        <v>45750</v>
      </c>
      <c r="Q372" s="4">
        <v>0</v>
      </c>
    </row>
    <row r="373" spans="1:17" x14ac:dyDescent="0.25">
      <c r="A373" s="2" t="s">
        <v>2561</v>
      </c>
      <c r="B373" s="3" t="s">
        <v>5015</v>
      </c>
      <c r="C373" s="3">
        <v>32</v>
      </c>
      <c r="D373" s="46" t="str">
        <f>IF(Tabla1[[#This Row],[EDAD]]&lt;=35,"Adultos jóvenes 18 - 35 años",IF(C373&gt;=36,"Adultos mayores 36 años en adelante"))</f>
        <v>Adultos jóvenes 18 - 35 años</v>
      </c>
      <c r="E373" s="3" t="s">
        <v>5017</v>
      </c>
      <c r="F373" s="3" t="s">
        <v>5027</v>
      </c>
      <c r="G373" s="3" t="s">
        <v>5032</v>
      </c>
      <c r="H373" s="3" t="s">
        <v>7584</v>
      </c>
      <c r="I373" s="17">
        <v>45769</v>
      </c>
      <c r="J373" s="18">
        <f>YEAR(Tabla1[[#This Row],[FECHA DE COMPRA]])</f>
        <v>2025</v>
      </c>
      <c r="K373" s="19">
        <v>104.54</v>
      </c>
      <c r="L373" s="20">
        <v>0.3</v>
      </c>
      <c r="M373" s="19">
        <f>Tienda!$K3202-Tienda!$K3202*Tienda!$L3202</f>
        <v>93.52000000000001</v>
      </c>
      <c r="N373" s="3" t="s">
        <v>10039</v>
      </c>
      <c r="O373" s="3" t="s">
        <v>10041</v>
      </c>
      <c r="P373" s="17">
        <v>45769</v>
      </c>
      <c r="Q373" s="4">
        <v>0</v>
      </c>
    </row>
    <row r="374" spans="1:17" x14ac:dyDescent="0.25">
      <c r="A374" s="2" t="s">
        <v>3267</v>
      </c>
      <c r="B374" s="3" t="s">
        <v>5015</v>
      </c>
      <c r="C374" s="3">
        <v>21</v>
      </c>
      <c r="D374" s="46" t="str">
        <f>IF(Tabla1[[#This Row],[EDAD]]&lt;=35,"Adultos jóvenes 18 - 35 años",IF(C374&gt;=36,"Adultos mayores 36 años en adelante"))</f>
        <v>Adultos jóvenes 18 - 35 años</v>
      </c>
      <c r="E374" s="3" t="s">
        <v>5022</v>
      </c>
      <c r="F374" s="3" t="s">
        <v>5030</v>
      </c>
      <c r="G374" s="3" t="s">
        <v>5035</v>
      </c>
      <c r="H374" s="3" t="s">
        <v>8290</v>
      </c>
      <c r="I374" s="17">
        <v>45751</v>
      </c>
      <c r="J374" s="18">
        <f>YEAR(Tabla1[[#This Row],[FECHA DE COMPRA]])</f>
        <v>2025</v>
      </c>
      <c r="K374" s="19">
        <v>157.82</v>
      </c>
      <c r="L374" s="20">
        <v>0</v>
      </c>
      <c r="M374" s="19">
        <f>Tienda!$K3215-Tienda!$K3215*Tienda!$L3215</f>
        <v>100.12</v>
      </c>
      <c r="N374" s="3" t="s">
        <v>10039</v>
      </c>
      <c r="O374" s="3" t="s">
        <v>10041</v>
      </c>
      <c r="P374" s="17">
        <v>45751</v>
      </c>
      <c r="Q374" s="4">
        <v>0</v>
      </c>
    </row>
    <row r="375" spans="1:17" x14ac:dyDescent="0.25">
      <c r="A375" s="2" t="s">
        <v>3836</v>
      </c>
      <c r="B375" s="3" t="s">
        <v>5015</v>
      </c>
      <c r="C375" s="3">
        <v>31</v>
      </c>
      <c r="D375" s="46" t="str">
        <f>IF(Tabla1[[#This Row],[EDAD]]&lt;=35,"Adultos jóvenes 18 - 35 años",IF(C375&gt;=36,"Adultos mayores 36 años en adelante"))</f>
        <v>Adultos jóvenes 18 - 35 años</v>
      </c>
      <c r="E375" s="3" t="s">
        <v>5023</v>
      </c>
      <c r="F375" s="3" t="s">
        <v>5027</v>
      </c>
      <c r="G375" s="3" t="s">
        <v>5033</v>
      </c>
      <c r="H375" s="3" t="s">
        <v>8859</v>
      </c>
      <c r="I375" s="17">
        <v>45760</v>
      </c>
      <c r="J375" s="18">
        <f>YEAR(Tabla1[[#This Row],[FECHA DE COMPRA]])</f>
        <v>2025</v>
      </c>
      <c r="K375" s="19">
        <v>174.73</v>
      </c>
      <c r="L375" s="20">
        <v>0.3</v>
      </c>
      <c r="M375" s="19">
        <f>Tienda!$K3221-Tienda!$K3221*Tienda!$L3221</f>
        <v>102.474</v>
      </c>
      <c r="N375" s="3" t="s">
        <v>10039</v>
      </c>
      <c r="O375" s="3" t="s">
        <v>10041</v>
      </c>
      <c r="P375" s="17">
        <v>45760</v>
      </c>
      <c r="Q375" s="4">
        <v>0</v>
      </c>
    </row>
    <row r="376" spans="1:17" x14ac:dyDescent="0.25">
      <c r="A376" s="2" t="s">
        <v>4650</v>
      </c>
      <c r="B376" s="3" t="s">
        <v>5016</v>
      </c>
      <c r="C376" s="3">
        <v>34</v>
      </c>
      <c r="D376" s="46" t="str">
        <f>IF(Tabla1[[#This Row],[EDAD]]&lt;=35,"Adultos jóvenes 18 - 35 años",IF(C376&gt;=36,"Adultos mayores 36 años en adelante"))</f>
        <v>Adultos jóvenes 18 - 35 años</v>
      </c>
      <c r="E376" s="3" t="s">
        <v>5017</v>
      </c>
      <c r="F376" s="3" t="s">
        <v>5026</v>
      </c>
      <c r="G376" s="3" t="s">
        <v>5034</v>
      </c>
      <c r="H376" s="3" t="s">
        <v>9673</v>
      </c>
      <c r="I376" s="17">
        <v>45768</v>
      </c>
      <c r="J376" s="18">
        <f>YEAR(Tabla1[[#This Row],[FECHA DE COMPRA]])</f>
        <v>2025</v>
      </c>
      <c r="K376" s="19">
        <v>178.99</v>
      </c>
      <c r="L376" s="20">
        <v>0.1</v>
      </c>
      <c r="M376" s="19">
        <f>Tienda!$K3224-Tienda!$K3224*Tienda!$L3224</f>
        <v>103.887</v>
      </c>
      <c r="N376" s="3" t="s">
        <v>10039</v>
      </c>
      <c r="O376" s="3" t="s">
        <v>10041</v>
      </c>
      <c r="P376" s="17">
        <v>45768</v>
      </c>
      <c r="Q376" s="4">
        <v>0</v>
      </c>
    </row>
    <row r="377" spans="1:17" x14ac:dyDescent="0.25">
      <c r="A377" s="2" t="s">
        <v>4600</v>
      </c>
      <c r="B377" s="3" t="s">
        <v>5015</v>
      </c>
      <c r="C377" s="3">
        <v>26</v>
      </c>
      <c r="D377" s="46" t="str">
        <f>IF(Tabla1[[#This Row],[EDAD]]&lt;=35,"Adultos jóvenes 18 - 35 años",IF(C377&gt;=36,"Adultos mayores 36 años en adelante"))</f>
        <v>Adultos jóvenes 18 - 35 años</v>
      </c>
      <c r="E377" s="3" t="s">
        <v>5020</v>
      </c>
      <c r="F377" s="3" t="s">
        <v>5026</v>
      </c>
      <c r="G377" s="3" t="s">
        <v>5035</v>
      </c>
      <c r="H377" s="3" t="s">
        <v>9623</v>
      </c>
      <c r="I377" s="17">
        <v>45751</v>
      </c>
      <c r="J377" s="18">
        <f>YEAR(Tabla1[[#This Row],[FECHA DE COMPRA]])</f>
        <v>2025</v>
      </c>
      <c r="K377" s="19">
        <v>179.53</v>
      </c>
      <c r="L377" s="20">
        <v>0</v>
      </c>
      <c r="M377" s="19">
        <f>Tienda!$K3225-Tienda!$K3225*Tienda!$L3225</f>
        <v>104.07</v>
      </c>
      <c r="N377" s="3" t="s">
        <v>10039</v>
      </c>
      <c r="O377" s="3" t="s">
        <v>10041</v>
      </c>
      <c r="P377" s="17">
        <v>45751</v>
      </c>
      <c r="Q377" s="4">
        <v>0</v>
      </c>
    </row>
    <row r="378" spans="1:17" x14ac:dyDescent="0.25">
      <c r="A378" s="2" t="s">
        <v>2118</v>
      </c>
      <c r="B378" s="3" t="s">
        <v>5015</v>
      </c>
      <c r="C378" s="3">
        <v>31</v>
      </c>
      <c r="D378" s="46" t="str">
        <f>IF(Tabla1[[#This Row],[EDAD]]&lt;=35,"Adultos jóvenes 18 - 35 años",IF(C378&gt;=36,"Adultos mayores 36 años en adelante"))</f>
        <v>Adultos jóvenes 18 - 35 años</v>
      </c>
      <c r="E378" s="3" t="s">
        <v>5017</v>
      </c>
      <c r="F378" s="3" t="s">
        <v>5026</v>
      </c>
      <c r="G378" s="3" t="s">
        <v>5035</v>
      </c>
      <c r="H378" s="3" t="s">
        <v>7141</v>
      </c>
      <c r="I378" s="17">
        <v>45770</v>
      </c>
      <c r="J378" s="18">
        <f>YEAR(Tabla1[[#This Row],[FECHA DE COMPRA]])</f>
        <v>2025</v>
      </c>
      <c r="K378" s="19">
        <v>185.22</v>
      </c>
      <c r="L378" s="20">
        <v>0</v>
      </c>
      <c r="M378" s="19">
        <f>Tienda!$K3228-Tienda!$K3228*Tienda!$L3228</f>
        <v>106.48400000000001</v>
      </c>
      <c r="N378" s="3" t="s">
        <v>10039</v>
      </c>
      <c r="O378" s="3" t="s">
        <v>10041</v>
      </c>
      <c r="P378" s="17">
        <v>45770</v>
      </c>
      <c r="Q378" s="4">
        <v>0</v>
      </c>
    </row>
    <row r="379" spans="1:17" x14ac:dyDescent="0.25">
      <c r="A379" s="2" t="s">
        <v>3827</v>
      </c>
      <c r="B379" s="3" t="s">
        <v>5015</v>
      </c>
      <c r="C379" s="3">
        <v>31</v>
      </c>
      <c r="D379" s="46" t="str">
        <f>IF(Tabla1[[#This Row],[EDAD]]&lt;=35,"Adultos jóvenes 18 - 35 años",IF(C379&gt;=36,"Adultos mayores 36 años en adelante"))</f>
        <v>Adultos jóvenes 18 - 35 años</v>
      </c>
      <c r="E379" s="3" t="s">
        <v>5020</v>
      </c>
      <c r="F379" s="3" t="s">
        <v>5026</v>
      </c>
      <c r="G379" s="3" t="s">
        <v>5033</v>
      </c>
      <c r="H379" s="3" t="s">
        <v>8850</v>
      </c>
      <c r="I379" s="17">
        <v>45782</v>
      </c>
      <c r="J379" s="18">
        <f>YEAR(Tabla1[[#This Row],[FECHA DE COMPRA]])</f>
        <v>2025</v>
      </c>
      <c r="K379" s="19">
        <v>25.01</v>
      </c>
      <c r="L379" s="20">
        <v>0.3</v>
      </c>
      <c r="M379" s="19">
        <f>Tienda!$K3232-Tienda!$K3232*Tienda!$L3232</f>
        <v>109.61</v>
      </c>
      <c r="N379" s="3" t="s">
        <v>10039</v>
      </c>
      <c r="O379" s="3" t="s">
        <v>10041</v>
      </c>
      <c r="P379" s="17">
        <v>45782</v>
      </c>
      <c r="Q379" s="4">
        <v>0</v>
      </c>
    </row>
    <row r="380" spans="1:17" x14ac:dyDescent="0.25">
      <c r="A380" s="2" t="s">
        <v>2478</v>
      </c>
      <c r="B380" s="3" t="s">
        <v>5015</v>
      </c>
      <c r="C380" s="3">
        <v>25</v>
      </c>
      <c r="D380" s="46" t="str">
        <f>IF(Tabla1[[#This Row],[EDAD]]&lt;=35,"Adultos jóvenes 18 - 35 años",IF(C380&gt;=36,"Adultos mayores 36 años en adelante"))</f>
        <v>Adultos jóvenes 18 - 35 años</v>
      </c>
      <c r="E380" s="3" t="s">
        <v>5022</v>
      </c>
      <c r="F380" s="3" t="s">
        <v>5027</v>
      </c>
      <c r="G380" s="3" t="s">
        <v>5034</v>
      </c>
      <c r="H380" s="3" t="s">
        <v>7501</v>
      </c>
      <c r="I380" s="17">
        <v>45786</v>
      </c>
      <c r="J380" s="18">
        <f>YEAR(Tabla1[[#This Row],[FECHA DE COMPRA]])</f>
        <v>2025</v>
      </c>
      <c r="K380" s="19">
        <v>34.950000000000003</v>
      </c>
      <c r="L380" s="20">
        <v>0.2</v>
      </c>
      <c r="M380" s="19">
        <f>Tienda!$K3235-Tienda!$K3235*Tienda!$L3235</f>
        <v>115.28800000000001</v>
      </c>
      <c r="N380" s="3" t="s">
        <v>10039</v>
      </c>
      <c r="O380" s="3" t="s">
        <v>10041</v>
      </c>
      <c r="P380" s="17">
        <v>45786</v>
      </c>
      <c r="Q380" s="4">
        <v>0</v>
      </c>
    </row>
    <row r="381" spans="1:17" x14ac:dyDescent="0.25">
      <c r="A381" s="2" t="s">
        <v>4325</v>
      </c>
      <c r="B381" s="3" t="s">
        <v>5015</v>
      </c>
      <c r="C381" s="3">
        <v>20</v>
      </c>
      <c r="D381" s="46" t="str">
        <f>IF(Tabla1[[#This Row],[EDAD]]&lt;=35,"Adultos jóvenes 18 - 35 años",IF(C381&gt;=36,"Adultos mayores 36 años en adelante"))</f>
        <v>Adultos jóvenes 18 - 35 años</v>
      </c>
      <c r="E381" s="3" t="s">
        <v>5021</v>
      </c>
      <c r="F381" s="3" t="s">
        <v>5029</v>
      </c>
      <c r="G381" s="3" t="s">
        <v>5035</v>
      </c>
      <c r="H381" s="3" t="s">
        <v>9348</v>
      </c>
      <c r="I381" s="17">
        <v>45778</v>
      </c>
      <c r="J381" s="18">
        <f>YEAR(Tabla1[[#This Row],[FECHA DE COMPRA]])</f>
        <v>2025</v>
      </c>
      <c r="K381" s="19">
        <v>60.03</v>
      </c>
      <c r="L381" s="20">
        <v>0</v>
      </c>
      <c r="M381" s="19">
        <f>Tienda!$K3243-Tienda!$K3243*Tienda!$L3243</f>
        <v>119.988</v>
      </c>
      <c r="N381" s="3" t="s">
        <v>10039</v>
      </c>
      <c r="O381" s="3" t="s">
        <v>10041</v>
      </c>
      <c r="P381" s="17">
        <v>45778</v>
      </c>
      <c r="Q381" s="4">
        <v>0</v>
      </c>
    </row>
    <row r="382" spans="1:17" x14ac:dyDescent="0.25">
      <c r="A382" s="2" t="s">
        <v>3691</v>
      </c>
      <c r="B382" s="3" t="s">
        <v>5015</v>
      </c>
      <c r="C382" s="3">
        <v>29</v>
      </c>
      <c r="D382" s="46" t="str">
        <f>IF(Tabla1[[#This Row],[EDAD]]&lt;=35,"Adultos jóvenes 18 - 35 años",IF(C382&gt;=36,"Adultos mayores 36 años en adelante"))</f>
        <v>Adultos jóvenes 18 - 35 años</v>
      </c>
      <c r="E382" s="3" t="s">
        <v>5020</v>
      </c>
      <c r="F382" s="3" t="s">
        <v>5025</v>
      </c>
      <c r="G382" s="3" t="s">
        <v>5031</v>
      </c>
      <c r="H382" s="3" t="s">
        <v>8714</v>
      </c>
      <c r="I382" s="17">
        <v>45779</v>
      </c>
      <c r="J382" s="18">
        <f>YEAR(Tabla1[[#This Row],[FECHA DE COMPRA]])</f>
        <v>2025</v>
      </c>
      <c r="K382" s="19">
        <v>69.31</v>
      </c>
      <c r="L382" s="20">
        <v>0.1</v>
      </c>
      <c r="M382" s="19">
        <f>Tienda!$K3248-Tienda!$K3248*Tienda!$L3248</f>
        <v>124.96</v>
      </c>
      <c r="N382" s="3" t="s">
        <v>10039</v>
      </c>
      <c r="O382" s="3" t="s">
        <v>10041</v>
      </c>
      <c r="P382" s="17">
        <v>45779</v>
      </c>
      <c r="Q382" s="4">
        <v>0</v>
      </c>
    </row>
    <row r="383" spans="1:17" x14ac:dyDescent="0.25">
      <c r="A383" s="2" t="s">
        <v>3298</v>
      </c>
      <c r="B383" s="3" t="s">
        <v>5015</v>
      </c>
      <c r="C383" s="3">
        <v>29</v>
      </c>
      <c r="D383" s="46" t="str">
        <f>IF(Tabla1[[#This Row],[EDAD]]&lt;=35,"Adultos jóvenes 18 - 35 años",IF(C383&gt;=36,"Adultos mayores 36 años en adelante"))</f>
        <v>Adultos jóvenes 18 - 35 años</v>
      </c>
      <c r="E383" s="3" t="s">
        <v>5022</v>
      </c>
      <c r="F383" s="3" t="s">
        <v>5026</v>
      </c>
      <c r="G383" s="3" t="s">
        <v>5034</v>
      </c>
      <c r="H383" s="3" t="s">
        <v>8321</v>
      </c>
      <c r="I383" s="17">
        <v>45808</v>
      </c>
      <c r="J383" s="18">
        <f>YEAR(Tabla1[[#This Row],[FECHA DE COMPRA]])</f>
        <v>2025</v>
      </c>
      <c r="K383" s="19">
        <v>79.25</v>
      </c>
      <c r="L383" s="20">
        <v>0.2</v>
      </c>
      <c r="M383" s="19">
        <f>Tienda!$K3253-Tienda!$K3253*Tienda!$L3253</f>
        <v>127.61</v>
      </c>
      <c r="N383" s="3" t="s">
        <v>10039</v>
      </c>
      <c r="O383" s="3" t="s">
        <v>10041</v>
      </c>
      <c r="P383" s="17">
        <v>45808</v>
      </c>
      <c r="Q383" s="4">
        <v>0</v>
      </c>
    </row>
    <row r="384" spans="1:17" x14ac:dyDescent="0.25">
      <c r="A384" s="2" t="s">
        <v>3514</v>
      </c>
      <c r="B384" s="3" t="s">
        <v>5015</v>
      </c>
      <c r="C384" s="3">
        <v>26</v>
      </c>
      <c r="D384" s="46" t="str">
        <f>IF(Tabla1[[#This Row],[EDAD]]&lt;=35,"Adultos jóvenes 18 - 35 años",IF(C384&gt;=36,"Adultos mayores 36 años en adelante"))</f>
        <v>Adultos jóvenes 18 - 35 años</v>
      </c>
      <c r="E384" s="3" t="s">
        <v>5020</v>
      </c>
      <c r="F384" s="3" t="s">
        <v>5028</v>
      </c>
      <c r="G384" s="3" t="s">
        <v>5036</v>
      </c>
      <c r="H384" s="3" t="s">
        <v>8537</v>
      </c>
      <c r="I384" s="17">
        <v>45798</v>
      </c>
      <c r="J384" s="18">
        <f>YEAR(Tabla1[[#This Row],[FECHA DE COMPRA]])</f>
        <v>2025</v>
      </c>
      <c r="K384" s="19">
        <v>100.66</v>
      </c>
      <c r="L384" s="20">
        <v>0.1</v>
      </c>
      <c r="M384" s="19">
        <f>Tienda!$K3259-Tienda!$K3259*Tienda!$L3259</f>
        <v>131.38300000000001</v>
      </c>
      <c r="N384" s="3" t="s">
        <v>10039</v>
      </c>
      <c r="O384" s="3" t="s">
        <v>10041</v>
      </c>
      <c r="P384" s="17">
        <v>45798</v>
      </c>
      <c r="Q384" s="4">
        <v>0</v>
      </c>
    </row>
    <row r="385" spans="1:17" x14ac:dyDescent="0.25">
      <c r="A385" s="2" t="s">
        <v>423</v>
      </c>
      <c r="B385" s="3" t="s">
        <v>5015</v>
      </c>
      <c r="C385" s="3">
        <v>21</v>
      </c>
      <c r="D385" s="46" t="str">
        <f>IF(Tabla1[[#This Row],[EDAD]]&lt;=35,"Adultos jóvenes 18 - 35 años",IF(C385&gt;=36,"Adultos mayores 36 años en adelante"))</f>
        <v>Adultos jóvenes 18 - 35 años</v>
      </c>
      <c r="E385" s="3" t="s">
        <v>5021</v>
      </c>
      <c r="F385" s="3" t="s">
        <v>5029</v>
      </c>
      <c r="G385" s="3" t="s">
        <v>5036</v>
      </c>
      <c r="H385" s="3" t="s">
        <v>5446</v>
      </c>
      <c r="I385" s="17">
        <v>45787</v>
      </c>
      <c r="J385" s="18">
        <f>YEAR(Tabla1[[#This Row],[FECHA DE COMPRA]])</f>
        <v>2025</v>
      </c>
      <c r="K385" s="19">
        <v>100.89</v>
      </c>
      <c r="L385" s="20">
        <v>0.1</v>
      </c>
      <c r="M385" s="19">
        <f>Tienda!$K3261-Tienda!$K3261*Tienda!$L3261</f>
        <v>131.608</v>
      </c>
      <c r="N385" s="3" t="s">
        <v>10039</v>
      </c>
      <c r="O385" s="3" t="s">
        <v>10041</v>
      </c>
      <c r="P385" s="17">
        <v>45787</v>
      </c>
      <c r="Q385" s="4">
        <v>0</v>
      </c>
    </row>
    <row r="386" spans="1:17" x14ac:dyDescent="0.25">
      <c r="A386" s="2" t="s">
        <v>4624</v>
      </c>
      <c r="B386" s="3" t="s">
        <v>5015</v>
      </c>
      <c r="C386" s="3">
        <v>31</v>
      </c>
      <c r="D386" s="46" t="str">
        <f>IF(Tabla1[[#This Row],[EDAD]]&lt;=35,"Adultos jóvenes 18 - 35 años",IF(C386&gt;=36,"Adultos mayores 36 años en adelante"))</f>
        <v>Adultos jóvenes 18 - 35 años</v>
      </c>
      <c r="E386" s="3" t="s">
        <v>5018</v>
      </c>
      <c r="F386" s="3" t="s">
        <v>5024</v>
      </c>
      <c r="G386" s="3" t="s">
        <v>5032</v>
      </c>
      <c r="H386" s="3" t="s">
        <v>9647</v>
      </c>
      <c r="I386" s="17">
        <v>45800</v>
      </c>
      <c r="J386" s="18">
        <f>YEAR(Tabla1[[#This Row],[FECHA DE COMPRA]])</f>
        <v>2025</v>
      </c>
      <c r="K386" s="19">
        <v>107.59</v>
      </c>
      <c r="L386" s="20">
        <v>0.3</v>
      </c>
      <c r="M386" s="19">
        <f>Tienda!$K3264-Tienda!$K3264*Tienda!$L3264</f>
        <v>133.083</v>
      </c>
      <c r="N386" s="3" t="s">
        <v>10039</v>
      </c>
      <c r="O386" s="3" t="s">
        <v>10041</v>
      </c>
      <c r="P386" s="17">
        <v>45800</v>
      </c>
      <c r="Q386" s="4">
        <v>0</v>
      </c>
    </row>
    <row r="387" spans="1:17" x14ac:dyDescent="0.25">
      <c r="A387" s="2" t="s">
        <v>2405</v>
      </c>
      <c r="B387" s="3" t="s">
        <v>5015</v>
      </c>
      <c r="C387" s="3">
        <v>30</v>
      </c>
      <c r="D387" s="46" t="str">
        <f>IF(Tabla1[[#This Row],[EDAD]]&lt;=35,"Adultos jóvenes 18 - 35 años",IF(C387&gt;=36,"Adultos mayores 36 años en adelante"))</f>
        <v>Adultos jóvenes 18 - 35 años</v>
      </c>
      <c r="E387" s="3" t="s">
        <v>5021</v>
      </c>
      <c r="F387" s="3" t="s">
        <v>5027</v>
      </c>
      <c r="G387" s="3" t="s">
        <v>5037</v>
      </c>
      <c r="H387" s="3" t="s">
        <v>7428</v>
      </c>
      <c r="I387" s="17">
        <v>45781</v>
      </c>
      <c r="J387" s="18">
        <f>YEAR(Tabla1[[#This Row],[FECHA DE COMPRA]])</f>
        <v>2025</v>
      </c>
      <c r="K387" s="19">
        <v>114.92</v>
      </c>
      <c r="L387" s="20">
        <v>0.3</v>
      </c>
      <c r="M387" s="19">
        <f>Tienda!$K3267-Tienda!$K3267*Tienda!$L3267</f>
        <v>134.953</v>
      </c>
      <c r="N387" s="3" t="s">
        <v>10039</v>
      </c>
      <c r="O387" s="3" t="s">
        <v>10041</v>
      </c>
      <c r="P387" s="17">
        <v>45781</v>
      </c>
      <c r="Q387" s="4">
        <v>0</v>
      </c>
    </row>
    <row r="388" spans="1:17" x14ac:dyDescent="0.25">
      <c r="A388" s="2" t="s">
        <v>2834</v>
      </c>
      <c r="B388" s="3" t="s">
        <v>5015</v>
      </c>
      <c r="C388" s="3">
        <v>27</v>
      </c>
      <c r="D388" s="46" t="str">
        <f>IF(Tabla1[[#This Row],[EDAD]]&lt;=35,"Adultos jóvenes 18 - 35 años",IF(C388&gt;=36,"Adultos mayores 36 años en adelante"))</f>
        <v>Adultos jóvenes 18 - 35 años</v>
      </c>
      <c r="E388" s="3" t="s">
        <v>5020</v>
      </c>
      <c r="F388" s="3" t="s">
        <v>5030</v>
      </c>
      <c r="G388" s="3" t="s">
        <v>5036</v>
      </c>
      <c r="H388" s="3" t="s">
        <v>7857</v>
      </c>
      <c r="I388" s="17">
        <v>45799</v>
      </c>
      <c r="J388" s="18">
        <f>YEAR(Tabla1[[#This Row],[FECHA DE COMPRA]])</f>
        <v>2025</v>
      </c>
      <c r="K388" s="19">
        <v>124.85</v>
      </c>
      <c r="L388" s="20">
        <v>0.1</v>
      </c>
      <c r="M388" s="19">
        <f>Tienda!$K3268-Tienda!$K3268*Tienda!$L3268</f>
        <v>135.24</v>
      </c>
      <c r="N388" s="3" t="s">
        <v>10039</v>
      </c>
      <c r="O388" s="3" t="s">
        <v>10041</v>
      </c>
      <c r="P388" s="17">
        <v>45799</v>
      </c>
      <c r="Q388" s="4">
        <v>0</v>
      </c>
    </row>
    <row r="389" spans="1:17" x14ac:dyDescent="0.25">
      <c r="A389" s="2" t="s">
        <v>4863</v>
      </c>
      <c r="B389" s="3" t="s">
        <v>5015</v>
      </c>
      <c r="C389" s="3">
        <v>23</v>
      </c>
      <c r="D389" s="46" t="str">
        <f>IF(Tabla1[[#This Row],[EDAD]]&lt;=35,"Adultos jóvenes 18 - 35 años",IF(C389&gt;=36,"Adultos mayores 36 años en adelante"))</f>
        <v>Adultos jóvenes 18 - 35 años</v>
      </c>
      <c r="E389" s="3" t="s">
        <v>5023</v>
      </c>
      <c r="F389" s="3" t="s">
        <v>5029</v>
      </c>
      <c r="G389" s="3" t="s">
        <v>5037</v>
      </c>
      <c r="H389" s="3" t="s">
        <v>9886</v>
      </c>
      <c r="I389" s="17">
        <v>45808</v>
      </c>
      <c r="J389" s="18">
        <f>YEAR(Tabla1[[#This Row],[FECHA DE COMPRA]])</f>
        <v>2025</v>
      </c>
      <c r="K389" s="19">
        <v>125.01</v>
      </c>
      <c r="L389" s="20">
        <v>0.1</v>
      </c>
      <c r="M389" s="19">
        <f>Tienda!$K3269-Tienda!$K3269*Tienda!$L3269</f>
        <v>135.64600000000002</v>
      </c>
      <c r="N389" s="3" t="s">
        <v>10039</v>
      </c>
      <c r="O389" s="3" t="s">
        <v>10041</v>
      </c>
      <c r="P389" s="17">
        <v>45808</v>
      </c>
      <c r="Q389" s="4">
        <v>0</v>
      </c>
    </row>
    <row r="390" spans="1:17" x14ac:dyDescent="0.25">
      <c r="A390" s="2" t="s">
        <v>452</v>
      </c>
      <c r="B390" s="3" t="s">
        <v>5016</v>
      </c>
      <c r="C390" s="3">
        <v>27</v>
      </c>
      <c r="D390" s="46" t="str">
        <f>IF(Tabla1[[#This Row],[EDAD]]&lt;=35,"Adultos jóvenes 18 - 35 años",IF(C390&gt;=36,"Adultos mayores 36 años en adelante"))</f>
        <v>Adultos jóvenes 18 - 35 años</v>
      </c>
      <c r="E390" s="3" t="s">
        <v>5023</v>
      </c>
      <c r="F390" s="3" t="s">
        <v>5027</v>
      </c>
      <c r="G390" s="3" t="s">
        <v>5036</v>
      </c>
      <c r="H390" s="3" t="s">
        <v>5475</v>
      </c>
      <c r="I390" s="17">
        <v>45781</v>
      </c>
      <c r="J390" s="18">
        <f>YEAR(Tabla1[[#This Row],[FECHA DE COMPRA]])</f>
        <v>2025</v>
      </c>
      <c r="K390" s="19">
        <v>148.63</v>
      </c>
      <c r="L390" s="20">
        <v>0.2</v>
      </c>
      <c r="M390" s="19">
        <f>Tienda!$K3278-Tienda!$K3278*Tienda!$L3278</f>
        <v>139.363</v>
      </c>
      <c r="N390" s="3" t="s">
        <v>10039</v>
      </c>
      <c r="O390" s="3" t="s">
        <v>10041</v>
      </c>
      <c r="P390" s="17">
        <v>45781</v>
      </c>
      <c r="Q390" s="4">
        <v>0</v>
      </c>
    </row>
    <row r="391" spans="1:17" x14ac:dyDescent="0.25">
      <c r="A391" s="2" t="s">
        <v>316</v>
      </c>
      <c r="B391" s="3" t="s">
        <v>5015</v>
      </c>
      <c r="C391" s="3">
        <v>31</v>
      </c>
      <c r="D391" s="46" t="str">
        <f>IF(Tabla1[[#This Row],[EDAD]]&lt;=35,"Adultos jóvenes 18 - 35 años",IF(C391&gt;=36,"Adultos mayores 36 años en adelante"))</f>
        <v>Adultos jóvenes 18 - 35 años</v>
      </c>
      <c r="E391" s="3" t="s">
        <v>5023</v>
      </c>
      <c r="F391" s="3" t="s">
        <v>5030</v>
      </c>
      <c r="G391" s="3" t="s">
        <v>5033</v>
      </c>
      <c r="H391" s="3" t="s">
        <v>5339</v>
      </c>
      <c r="I391" s="17">
        <v>45786</v>
      </c>
      <c r="J391" s="18">
        <f>YEAR(Tabla1[[#This Row],[FECHA DE COMPRA]])</f>
        <v>2025</v>
      </c>
      <c r="K391" s="19">
        <v>152.63999999999999</v>
      </c>
      <c r="L391" s="20">
        <v>0.2</v>
      </c>
      <c r="M391" s="19">
        <f>Tienda!$K3279-Tienda!$K3279*Tienda!$L3279</f>
        <v>139.39099999999999</v>
      </c>
      <c r="N391" s="3" t="s">
        <v>10039</v>
      </c>
      <c r="O391" s="3" t="s">
        <v>10041</v>
      </c>
      <c r="P391" s="17">
        <v>45786</v>
      </c>
      <c r="Q391" s="4">
        <v>0</v>
      </c>
    </row>
    <row r="392" spans="1:17" x14ac:dyDescent="0.25">
      <c r="A392" s="2" t="s">
        <v>3245</v>
      </c>
      <c r="B392" s="3" t="s">
        <v>5015</v>
      </c>
      <c r="C392" s="3">
        <v>19</v>
      </c>
      <c r="D392" s="46" t="str">
        <f>IF(Tabla1[[#This Row],[EDAD]]&lt;=35,"Adultos jóvenes 18 - 35 años",IF(C392&gt;=36,"Adultos mayores 36 años en adelante"))</f>
        <v>Adultos jóvenes 18 - 35 años</v>
      </c>
      <c r="E392" s="3" t="s">
        <v>5017</v>
      </c>
      <c r="F392" s="3" t="s">
        <v>5025</v>
      </c>
      <c r="G392" s="3" t="s">
        <v>5032</v>
      </c>
      <c r="H392" s="3" t="s">
        <v>8268</v>
      </c>
      <c r="I392" s="17">
        <v>45780</v>
      </c>
      <c r="J392" s="18">
        <f>YEAR(Tabla1[[#This Row],[FECHA DE COMPRA]])</f>
        <v>2025</v>
      </c>
      <c r="K392" s="19">
        <v>153.19</v>
      </c>
      <c r="L392" s="20">
        <v>0.2</v>
      </c>
      <c r="M392" s="19">
        <f>Tienda!$K3282-Tienda!$K3282*Tienda!$L3282</f>
        <v>143.44</v>
      </c>
      <c r="N392" s="3" t="s">
        <v>10039</v>
      </c>
      <c r="O392" s="3" t="s">
        <v>10041</v>
      </c>
      <c r="P392" s="17">
        <v>45780</v>
      </c>
      <c r="Q392" s="4">
        <v>0</v>
      </c>
    </row>
    <row r="393" spans="1:17" x14ac:dyDescent="0.25">
      <c r="A393" s="2" t="s">
        <v>1457</v>
      </c>
      <c r="B393" s="3" t="s">
        <v>5015</v>
      </c>
      <c r="C393" s="3">
        <v>21</v>
      </c>
      <c r="D393" s="46" t="str">
        <f>IF(Tabla1[[#This Row],[EDAD]]&lt;=35,"Adultos jóvenes 18 - 35 años",IF(C393&gt;=36,"Adultos mayores 36 años en adelante"))</f>
        <v>Adultos jóvenes 18 - 35 años</v>
      </c>
      <c r="E393" s="3" t="s">
        <v>5022</v>
      </c>
      <c r="F393" s="3" t="s">
        <v>5027</v>
      </c>
      <c r="G393" s="3" t="s">
        <v>5037</v>
      </c>
      <c r="H393" s="3" t="s">
        <v>6480</v>
      </c>
      <c r="I393" s="17">
        <v>45797</v>
      </c>
      <c r="J393" s="18">
        <f>YEAR(Tabla1[[#This Row],[FECHA DE COMPRA]])</f>
        <v>2025</v>
      </c>
      <c r="K393" s="19">
        <v>157.06</v>
      </c>
      <c r="L393" s="20">
        <v>0.3</v>
      </c>
      <c r="M393" s="19">
        <f>Tienda!$K3286-Tienda!$K3286*Tienda!$L3286</f>
        <v>147.68</v>
      </c>
      <c r="N393" s="3" t="s">
        <v>10039</v>
      </c>
      <c r="O393" s="3" t="s">
        <v>10041</v>
      </c>
      <c r="P393" s="17">
        <v>45797</v>
      </c>
      <c r="Q393" s="4">
        <v>0</v>
      </c>
    </row>
    <row r="394" spans="1:17" x14ac:dyDescent="0.25">
      <c r="A394" s="2" t="s">
        <v>388</v>
      </c>
      <c r="B394" s="3" t="s">
        <v>5015</v>
      </c>
      <c r="C394" s="3">
        <v>26</v>
      </c>
      <c r="D394" s="46" t="str">
        <f>IF(Tabla1[[#This Row],[EDAD]]&lt;=35,"Adultos jóvenes 18 - 35 años",IF(C394&gt;=36,"Adultos mayores 36 años en adelante"))</f>
        <v>Adultos jóvenes 18 - 35 años</v>
      </c>
      <c r="E394" s="3" t="s">
        <v>5017</v>
      </c>
      <c r="F394" s="3" t="s">
        <v>5024</v>
      </c>
      <c r="G394" s="3" t="s">
        <v>5032</v>
      </c>
      <c r="H394" s="3" t="s">
        <v>5411</v>
      </c>
      <c r="I394" s="17">
        <v>45778</v>
      </c>
      <c r="J394" s="18">
        <f>YEAR(Tabla1[[#This Row],[FECHA DE COMPRA]])</f>
        <v>2025</v>
      </c>
      <c r="K394" s="19">
        <v>157.35</v>
      </c>
      <c r="L394" s="20">
        <v>0</v>
      </c>
      <c r="M394" s="19">
        <f>Tienda!$K3287-Tienda!$K3287*Tienda!$L3287</f>
        <v>147.71199999999999</v>
      </c>
      <c r="N394" s="3" t="s">
        <v>10039</v>
      </c>
      <c r="O394" s="3" t="s">
        <v>10041</v>
      </c>
      <c r="P394" s="17">
        <v>45778</v>
      </c>
      <c r="Q394" s="4">
        <v>0</v>
      </c>
    </row>
    <row r="395" spans="1:17" x14ac:dyDescent="0.25">
      <c r="A395" s="2" t="s">
        <v>4520</v>
      </c>
      <c r="B395" s="3" t="s">
        <v>5015</v>
      </c>
      <c r="C395" s="3">
        <v>32</v>
      </c>
      <c r="D395" s="46" t="str">
        <f>IF(Tabla1[[#This Row],[EDAD]]&lt;=35,"Adultos jóvenes 18 - 35 años",IF(C395&gt;=36,"Adultos mayores 36 años en adelante"))</f>
        <v>Adultos jóvenes 18 - 35 años</v>
      </c>
      <c r="E395" s="3" t="s">
        <v>5018</v>
      </c>
      <c r="F395" s="3" t="s">
        <v>5025</v>
      </c>
      <c r="G395" s="3" t="s">
        <v>5034</v>
      </c>
      <c r="H395" s="3" t="s">
        <v>9543</v>
      </c>
      <c r="I395" s="17">
        <v>45796</v>
      </c>
      <c r="J395" s="18">
        <f>YEAR(Tabla1[[#This Row],[FECHA DE COMPRA]])</f>
        <v>2025</v>
      </c>
      <c r="K395" s="19">
        <v>162.91</v>
      </c>
      <c r="L395" s="20">
        <v>0.2</v>
      </c>
      <c r="M395" s="19">
        <f>Tienda!$K3290-Tienda!$K3290*Tienda!$L3290</f>
        <v>151.416</v>
      </c>
      <c r="N395" s="3" t="s">
        <v>10039</v>
      </c>
      <c r="O395" s="3" t="s">
        <v>10041</v>
      </c>
      <c r="P395" s="17">
        <v>45796</v>
      </c>
      <c r="Q395" s="4">
        <v>0</v>
      </c>
    </row>
    <row r="396" spans="1:17" x14ac:dyDescent="0.25">
      <c r="A396" s="2" t="s">
        <v>3028</v>
      </c>
      <c r="B396" s="3" t="s">
        <v>5015</v>
      </c>
      <c r="C396" s="3">
        <v>26</v>
      </c>
      <c r="D396" s="46" t="str">
        <f>IF(Tabla1[[#This Row],[EDAD]]&lt;=35,"Adultos jóvenes 18 - 35 años",IF(C396&gt;=36,"Adultos mayores 36 años en adelante"))</f>
        <v>Adultos jóvenes 18 - 35 años</v>
      </c>
      <c r="E396" s="3" t="s">
        <v>5021</v>
      </c>
      <c r="F396" s="3" t="s">
        <v>5024</v>
      </c>
      <c r="G396" s="3" t="s">
        <v>5031</v>
      </c>
      <c r="H396" s="3" t="s">
        <v>8051</v>
      </c>
      <c r="I396" s="17">
        <v>45794</v>
      </c>
      <c r="J396" s="18">
        <f>YEAR(Tabla1[[#This Row],[FECHA DE COMPRA]])</f>
        <v>2025</v>
      </c>
      <c r="K396" s="19">
        <v>169.17</v>
      </c>
      <c r="L396" s="20">
        <v>0.1</v>
      </c>
      <c r="M396" s="19">
        <f>Tienda!$K3295-Tienda!$K3295*Tienda!$L3295</f>
        <v>154.57</v>
      </c>
      <c r="N396" s="3" t="s">
        <v>10039</v>
      </c>
      <c r="O396" s="3" t="s">
        <v>10041</v>
      </c>
      <c r="P396" s="17">
        <v>45794</v>
      </c>
      <c r="Q396" s="4">
        <v>0</v>
      </c>
    </row>
    <row r="397" spans="1:17" x14ac:dyDescent="0.25">
      <c r="A397" s="2" t="s">
        <v>2098</v>
      </c>
      <c r="B397" s="3" t="s">
        <v>5015</v>
      </c>
      <c r="C397" s="3">
        <v>18</v>
      </c>
      <c r="D397" s="46" t="str">
        <f>IF(Tabla1[[#This Row],[EDAD]]&lt;=35,"Adultos jóvenes 18 - 35 años",IF(C397&gt;=36,"Adultos mayores 36 años en adelante"))</f>
        <v>Adultos jóvenes 18 - 35 años</v>
      </c>
      <c r="E397" s="3" t="s">
        <v>5018</v>
      </c>
      <c r="F397" s="3" t="s">
        <v>5025</v>
      </c>
      <c r="G397" s="3" t="s">
        <v>5033</v>
      </c>
      <c r="H397" s="3" t="s">
        <v>7121</v>
      </c>
      <c r="I397" s="17">
        <v>45799</v>
      </c>
      <c r="J397" s="18">
        <f>YEAR(Tabla1[[#This Row],[FECHA DE COMPRA]])</f>
        <v>2025</v>
      </c>
      <c r="K397" s="19">
        <v>190.58</v>
      </c>
      <c r="L397" s="20">
        <v>0.3</v>
      </c>
      <c r="M397" s="19">
        <f>Tienda!$K3301-Tienda!$K3301*Tienda!$L3301</f>
        <v>159.804</v>
      </c>
      <c r="N397" s="3" t="s">
        <v>10039</v>
      </c>
      <c r="O397" s="3" t="s">
        <v>10041</v>
      </c>
      <c r="P397" s="17">
        <v>45799</v>
      </c>
      <c r="Q397" s="4">
        <v>0</v>
      </c>
    </row>
    <row r="398" spans="1:17" x14ac:dyDescent="0.25">
      <c r="A398" s="2" t="s">
        <v>1874</v>
      </c>
      <c r="B398" s="3" t="s">
        <v>5015</v>
      </c>
      <c r="C398" s="3">
        <v>35</v>
      </c>
      <c r="D398" s="46" t="str">
        <f>IF(Tabla1[[#This Row],[EDAD]]&lt;=35,"Adultos jóvenes 18 - 35 años",IF(C398&gt;=36,"Adultos mayores 36 años en adelante"))</f>
        <v>Adultos jóvenes 18 - 35 años</v>
      </c>
      <c r="E398" s="3" t="s">
        <v>5018</v>
      </c>
      <c r="F398" s="3" t="s">
        <v>5029</v>
      </c>
      <c r="G398" s="3" t="s">
        <v>5032</v>
      </c>
      <c r="H398" s="3" t="s">
        <v>6897</v>
      </c>
      <c r="I398" s="17">
        <v>45778</v>
      </c>
      <c r="J398" s="18">
        <f>YEAR(Tabla1[[#This Row],[FECHA DE COMPRA]])</f>
        <v>2025</v>
      </c>
      <c r="K398" s="19">
        <v>192.33</v>
      </c>
      <c r="L398" s="20">
        <v>0</v>
      </c>
      <c r="M398" s="19">
        <f>Tienda!$K3303-Tienda!$K3303*Tienda!$L3303</f>
        <v>162.29</v>
      </c>
      <c r="N398" s="3" t="s">
        <v>10039</v>
      </c>
      <c r="O398" s="3" t="s">
        <v>10041</v>
      </c>
      <c r="P398" s="17">
        <v>45778</v>
      </c>
      <c r="Q398" s="4">
        <v>0</v>
      </c>
    </row>
    <row r="399" spans="1:17" x14ac:dyDescent="0.25">
      <c r="A399" s="2" t="s">
        <v>697</v>
      </c>
      <c r="B399" s="3" t="s">
        <v>5015</v>
      </c>
      <c r="C399" s="3">
        <v>20</v>
      </c>
      <c r="D399" s="46" t="str">
        <f>IF(Tabla1[[#This Row],[EDAD]]&lt;=35,"Adultos jóvenes 18 - 35 años",IF(C399&gt;=36,"Adultos mayores 36 años en adelante"))</f>
        <v>Adultos jóvenes 18 - 35 años</v>
      </c>
      <c r="E399" s="3" t="s">
        <v>5019</v>
      </c>
      <c r="F399" s="3" t="s">
        <v>5026</v>
      </c>
      <c r="G399" s="3" t="s">
        <v>5037</v>
      </c>
      <c r="H399" s="3" t="s">
        <v>5720</v>
      </c>
      <c r="I399" s="17">
        <v>45823</v>
      </c>
      <c r="J399" s="18">
        <f>YEAR(Tabla1[[#This Row],[FECHA DE COMPRA]])</f>
        <v>2025</v>
      </c>
      <c r="K399" s="19">
        <v>11.56</v>
      </c>
      <c r="L399" s="20">
        <v>0.2</v>
      </c>
      <c r="M399" s="19">
        <f>Tienda!$K3306-Tienda!$K3306*Tienda!$L3306</f>
        <v>170.08</v>
      </c>
      <c r="N399" s="3" t="s">
        <v>10039</v>
      </c>
      <c r="O399" s="3" t="s">
        <v>10041</v>
      </c>
      <c r="P399" s="17">
        <v>45823</v>
      </c>
      <c r="Q399" s="4">
        <v>0</v>
      </c>
    </row>
    <row r="400" spans="1:17" x14ac:dyDescent="0.25">
      <c r="A400" s="2" t="s">
        <v>771</v>
      </c>
      <c r="B400" s="3" t="s">
        <v>5015</v>
      </c>
      <c r="C400" s="3">
        <v>34</v>
      </c>
      <c r="D400" s="46" t="str">
        <f>IF(Tabla1[[#This Row],[EDAD]]&lt;=35,"Adultos jóvenes 18 - 35 años",IF(C400&gt;=36,"Adultos mayores 36 años en adelante"))</f>
        <v>Adultos jóvenes 18 - 35 años</v>
      </c>
      <c r="E400" s="3" t="s">
        <v>5020</v>
      </c>
      <c r="F400" s="3" t="s">
        <v>5027</v>
      </c>
      <c r="G400" s="3" t="s">
        <v>5037</v>
      </c>
      <c r="H400" s="3" t="s">
        <v>5794</v>
      </c>
      <c r="I400" s="17">
        <v>45829</v>
      </c>
      <c r="J400" s="18">
        <f>YEAR(Tabla1[[#This Row],[FECHA DE COMPRA]])</f>
        <v>2025</v>
      </c>
      <c r="K400" s="19">
        <v>15.09</v>
      </c>
      <c r="L400" s="20">
        <v>0.1</v>
      </c>
      <c r="M400" s="19">
        <f>Tienda!$K3307-Tienda!$K3307*Tienda!$L3307</f>
        <v>170.81</v>
      </c>
      <c r="N400" s="3" t="s">
        <v>10039</v>
      </c>
      <c r="O400" s="3" t="s">
        <v>10041</v>
      </c>
      <c r="P400" s="17">
        <v>45829</v>
      </c>
      <c r="Q400" s="4">
        <v>0</v>
      </c>
    </row>
    <row r="401" spans="1:17" x14ac:dyDescent="0.25">
      <c r="A401" s="2" t="s">
        <v>4215</v>
      </c>
      <c r="B401" s="3" t="s">
        <v>5015</v>
      </c>
      <c r="C401" s="3">
        <v>28</v>
      </c>
      <c r="D401" s="46" t="str">
        <f>IF(Tabla1[[#This Row],[EDAD]]&lt;=35,"Adultos jóvenes 18 - 35 años",IF(C401&gt;=36,"Adultos mayores 36 años en adelante"))</f>
        <v>Adultos jóvenes 18 - 35 años</v>
      </c>
      <c r="E401" s="3" t="s">
        <v>5017</v>
      </c>
      <c r="F401" s="3" t="s">
        <v>5026</v>
      </c>
      <c r="G401" s="3" t="s">
        <v>5035</v>
      </c>
      <c r="H401" s="3" t="s">
        <v>9238</v>
      </c>
      <c r="I401" s="17">
        <v>45818</v>
      </c>
      <c r="J401" s="18">
        <f>YEAR(Tabla1[[#This Row],[FECHA DE COMPRA]])</f>
        <v>2025</v>
      </c>
      <c r="K401" s="19">
        <v>15.61</v>
      </c>
      <c r="L401" s="20">
        <v>0</v>
      </c>
      <c r="M401" s="19">
        <f>Tienda!$K3308-Tienda!$K3308*Tienda!$L3308</f>
        <v>171.77</v>
      </c>
      <c r="N401" s="3" t="s">
        <v>10039</v>
      </c>
      <c r="O401" s="3" t="s">
        <v>10041</v>
      </c>
      <c r="P401" s="17">
        <v>45818</v>
      </c>
      <c r="Q401" s="4">
        <v>0</v>
      </c>
    </row>
    <row r="402" spans="1:17" x14ac:dyDescent="0.25">
      <c r="A402" s="2" t="s">
        <v>1679</v>
      </c>
      <c r="B402" s="3" t="s">
        <v>5015</v>
      </c>
      <c r="C402" s="3">
        <v>31</v>
      </c>
      <c r="D402" s="46" t="str">
        <f>IF(Tabla1[[#This Row],[EDAD]]&lt;=35,"Adultos jóvenes 18 - 35 años",IF(C402&gt;=36,"Adultos mayores 36 años en adelante"))</f>
        <v>Adultos jóvenes 18 - 35 años</v>
      </c>
      <c r="E402" s="3" t="s">
        <v>5020</v>
      </c>
      <c r="F402" s="3" t="s">
        <v>5027</v>
      </c>
      <c r="G402" s="3" t="s">
        <v>5035</v>
      </c>
      <c r="H402" s="3" t="s">
        <v>6702</v>
      </c>
      <c r="I402" s="17">
        <v>45814</v>
      </c>
      <c r="J402" s="18">
        <f>YEAR(Tabla1[[#This Row],[FECHA DE COMPRA]])</f>
        <v>2025</v>
      </c>
      <c r="K402" s="19">
        <v>17.350000000000001</v>
      </c>
      <c r="L402" s="20">
        <v>0.1</v>
      </c>
      <c r="M402" s="19">
        <f>Tienda!$K3309-Tienda!$K3309*Tienda!$L3309</f>
        <v>172.41</v>
      </c>
      <c r="N402" s="3" t="s">
        <v>10039</v>
      </c>
      <c r="O402" s="3" t="s">
        <v>10041</v>
      </c>
      <c r="P402" s="17">
        <v>45814</v>
      </c>
      <c r="Q402" s="4">
        <v>0</v>
      </c>
    </row>
    <row r="403" spans="1:17" x14ac:dyDescent="0.25">
      <c r="A403" s="2" t="s">
        <v>4160</v>
      </c>
      <c r="B403" s="3" t="s">
        <v>5015</v>
      </c>
      <c r="C403" s="3">
        <v>26</v>
      </c>
      <c r="D403" s="46" t="str">
        <f>IF(Tabla1[[#This Row],[EDAD]]&lt;=35,"Adultos jóvenes 18 - 35 años",IF(C403&gt;=36,"Adultos mayores 36 años en adelante"))</f>
        <v>Adultos jóvenes 18 - 35 años</v>
      </c>
      <c r="E403" s="3" t="s">
        <v>5017</v>
      </c>
      <c r="F403" s="3" t="s">
        <v>5030</v>
      </c>
      <c r="G403" s="3" t="s">
        <v>5033</v>
      </c>
      <c r="H403" s="3" t="s">
        <v>9183</v>
      </c>
      <c r="I403" s="17">
        <v>45836</v>
      </c>
      <c r="J403" s="18">
        <f>YEAR(Tabla1[[#This Row],[FECHA DE COMPRA]])</f>
        <v>2025</v>
      </c>
      <c r="K403" s="19">
        <v>22.03</v>
      </c>
      <c r="L403" s="20">
        <v>0</v>
      </c>
      <c r="M403" s="19">
        <f>Tienda!$K3312-Tienda!$K3312*Tienda!$L3312</f>
        <v>175.095</v>
      </c>
      <c r="N403" s="3" t="s">
        <v>10039</v>
      </c>
      <c r="O403" s="3" t="s">
        <v>10041</v>
      </c>
      <c r="P403" s="17">
        <v>45836</v>
      </c>
      <c r="Q403" s="4">
        <v>0</v>
      </c>
    </row>
    <row r="404" spans="1:17" x14ac:dyDescent="0.25">
      <c r="A404" s="2" t="s">
        <v>4803</v>
      </c>
      <c r="B404" s="3" t="s">
        <v>5015</v>
      </c>
      <c r="C404" s="3">
        <v>35</v>
      </c>
      <c r="D404" s="46" t="str">
        <f>IF(Tabla1[[#This Row],[EDAD]]&lt;=35,"Adultos jóvenes 18 - 35 años",IF(C404&gt;=36,"Adultos mayores 36 años en adelante"))</f>
        <v>Adultos jóvenes 18 - 35 años</v>
      </c>
      <c r="E404" s="3" t="s">
        <v>5022</v>
      </c>
      <c r="F404" s="3" t="s">
        <v>5024</v>
      </c>
      <c r="G404" s="3" t="s">
        <v>5034</v>
      </c>
      <c r="H404" s="3" t="s">
        <v>9826</v>
      </c>
      <c r="I404" s="17">
        <v>45826</v>
      </c>
      <c r="J404" s="18">
        <f>YEAR(Tabla1[[#This Row],[FECHA DE COMPRA]])</f>
        <v>2025</v>
      </c>
      <c r="K404" s="19">
        <v>27.9</v>
      </c>
      <c r="L404" s="20">
        <v>0.1</v>
      </c>
      <c r="M404" s="19">
        <f>Tienda!$K3314-Tienda!$K3314*Tienda!$L3314</f>
        <v>177.14700000000002</v>
      </c>
      <c r="N404" s="3" t="s">
        <v>10039</v>
      </c>
      <c r="O404" s="3" t="s">
        <v>10041</v>
      </c>
      <c r="P404" s="17">
        <v>45826</v>
      </c>
      <c r="Q404" s="4">
        <v>0</v>
      </c>
    </row>
    <row r="405" spans="1:17" x14ac:dyDescent="0.25">
      <c r="A405" s="2" t="s">
        <v>2749</v>
      </c>
      <c r="B405" s="3" t="s">
        <v>5015</v>
      </c>
      <c r="C405" s="3">
        <v>31</v>
      </c>
      <c r="D405" s="46" t="str">
        <f>IF(Tabla1[[#This Row],[EDAD]]&lt;=35,"Adultos jóvenes 18 - 35 años",IF(C405&gt;=36,"Adultos mayores 36 años en adelante"))</f>
        <v>Adultos jóvenes 18 - 35 años</v>
      </c>
      <c r="E405" s="3" t="s">
        <v>5017</v>
      </c>
      <c r="F405" s="3" t="s">
        <v>5026</v>
      </c>
      <c r="G405" s="3" t="s">
        <v>5035</v>
      </c>
      <c r="H405" s="3" t="s">
        <v>7772</v>
      </c>
      <c r="I405" s="17">
        <v>45828</v>
      </c>
      <c r="J405" s="18">
        <f>YEAR(Tabla1[[#This Row],[FECHA DE COMPRA]])</f>
        <v>2025</v>
      </c>
      <c r="K405" s="19">
        <v>46.6</v>
      </c>
      <c r="L405" s="20">
        <v>0.2</v>
      </c>
      <c r="M405" s="19">
        <f>Tienda!$K3319-Tienda!$K3319*Tienda!$L3319</f>
        <v>180.88</v>
      </c>
      <c r="N405" s="3" t="s">
        <v>10039</v>
      </c>
      <c r="O405" s="3" t="s">
        <v>10041</v>
      </c>
      <c r="P405" s="17">
        <v>45828</v>
      </c>
      <c r="Q405" s="4">
        <v>0</v>
      </c>
    </row>
    <row r="406" spans="1:17" x14ac:dyDescent="0.25">
      <c r="A406" s="2" t="s">
        <v>4538</v>
      </c>
      <c r="B406" s="3" t="s">
        <v>5015</v>
      </c>
      <c r="C406" s="3">
        <v>27</v>
      </c>
      <c r="D406" s="46" t="str">
        <f>IF(Tabla1[[#This Row],[EDAD]]&lt;=35,"Adultos jóvenes 18 - 35 años",IF(C406&gt;=36,"Adultos mayores 36 años en adelante"))</f>
        <v>Adultos jóvenes 18 - 35 años</v>
      </c>
      <c r="E406" s="3" t="s">
        <v>5018</v>
      </c>
      <c r="F406" s="3" t="s">
        <v>5029</v>
      </c>
      <c r="G406" s="3" t="s">
        <v>5037</v>
      </c>
      <c r="H406" s="3" t="s">
        <v>9561</v>
      </c>
      <c r="I406" s="17">
        <v>45809</v>
      </c>
      <c r="J406" s="18">
        <f>YEAR(Tabla1[[#This Row],[FECHA DE COMPRA]])</f>
        <v>2025</v>
      </c>
      <c r="K406" s="19">
        <v>49.03</v>
      </c>
      <c r="L406" s="20">
        <v>0.3</v>
      </c>
      <c r="M406" s="19">
        <f>Tienda!$K3320-Tienda!$K3320*Tienda!$L3320</f>
        <v>185.38</v>
      </c>
      <c r="N406" s="3" t="s">
        <v>10039</v>
      </c>
      <c r="O406" s="3" t="s">
        <v>10041</v>
      </c>
      <c r="P406" s="17">
        <v>45809</v>
      </c>
      <c r="Q406" s="4">
        <v>0</v>
      </c>
    </row>
    <row r="407" spans="1:17" x14ac:dyDescent="0.25">
      <c r="A407" s="2" t="s">
        <v>569</v>
      </c>
      <c r="B407" s="3" t="s">
        <v>5015</v>
      </c>
      <c r="C407" s="3">
        <v>21</v>
      </c>
      <c r="D407" s="46" t="str">
        <f>IF(Tabla1[[#This Row],[EDAD]]&lt;=35,"Adultos jóvenes 18 - 35 años",IF(C407&gt;=36,"Adultos mayores 36 años en adelante"))</f>
        <v>Adultos jóvenes 18 - 35 años</v>
      </c>
      <c r="E407" s="3" t="s">
        <v>5018</v>
      </c>
      <c r="F407" s="3" t="s">
        <v>5028</v>
      </c>
      <c r="G407" s="3" t="s">
        <v>5032</v>
      </c>
      <c r="H407" s="3" t="s">
        <v>5592</v>
      </c>
      <c r="I407" s="17">
        <v>45832</v>
      </c>
      <c r="J407" s="18">
        <f>YEAR(Tabla1[[#This Row],[FECHA DE COMPRA]])</f>
        <v>2025</v>
      </c>
      <c r="K407" s="19">
        <v>58.62</v>
      </c>
      <c r="L407" s="20">
        <v>0.2</v>
      </c>
      <c r="M407" s="19">
        <f>Tienda!$K3324-Tienda!$K3324*Tienda!$L3324</f>
        <v>189.24</v>
      </c>
      <c r="N407" s="3" t="s">
        <v>10039</v>
      </c>
      <c r="O407" s="3" t="s">
        <v>10041</v>
      </c>
      <c r="P407" s="17">
        <v>45832</v>
      </c>
      <c r="Q407" s="4">
        <v>0</v>
      </c>
    </row>
    <row r="408" spans="1:17" x14ac:dyDescent="0.25">
      <c r="A408" s="2" t="s">
        <v>2274</v>
      </c>
      <c r="B408" s="3" t="s">
        <v>5015</v>
      </c>
      <c r="C408" s="3">
        <v>29</v>
      </c>
      <c r="D408" s="46" t="str">
        <f>IF(Tabla1[[#This Row],[EDAD]]&lt;=35,"Adultos jóvenes 18 - 35 años",IF(C408&gt;=36,"Adultos mayores 36 años en adelante"))</f>
        <v>Adultos jóvenes 18 - 35 años</v>
      </c>
      <c r="E408" s="3" t="s">
        <v>5018</v>
      </c>
      <c r="F408" s="3" t="s">
        <v>5028</v>
      </c>
      <c r="G408" s="3" t="s">
        <v>5035</v>
      </c>
      <c r="H408" s="3" t="s">
        <v>7297</v>
      </c>
      <c r="I408" s="17">
        <v>45809</v>
      </c>
      <c r="J408" s="18">
        <f>YEAR(Tabla1[[#This Row],[FECHA DE COMPRA]])</f>
        <v>2025</v>
      </c>
      <c r="K408" s="19">
        <v>64.39</v>
      </c>
      <c r="L408" s="20">
        <v>0.1</v>
      </c>
      <c r="M408" s="19">
        <f>Tienda!$K3325-Tienda!$K3325*Tienda!$L3325</f>
        <v>191.16</v>
      </c>
      <c r="N408" s="3" t="s">
        <v>10039</v>
      </c>
      <c r="O408" s="3" t="s">
        <v>10041</v>
      </c>
      <c r="P408" s="17">
        <v>45809</v>
      </c>
      <c r="Q408" s="4">
        <v>0</v>
      </c>
    </row>
    <row r="409" spans="1:17" x14ac:dyDescent="0.25">
      <c r="A409" s="2" t="s">
        <v>2631</v>
      </c>
      <c r="B409" s="3" t="s">
        <v>5016</v>
      </c>
      <c r="C409" s="3">
        <v>23</v>
      </c>
      <c r="D409" s="46" t="str">
        <f>IF(Tabla1[[#This Row],[EDAD]]&lt;=35,"Adultos jóvenes 18 - 35 años",IF(C409&gt;=36,"Adultos mayores 36 años en adelante"))</f>
        <v>Adultos jóvenes 18 - 35 años</v>
      </c>
      <c r="E409" s="3" t="s">
        <v>5023</v>
      </c>
      <c r="F409" s="3" t="s">
        <v>5030</v>
      </c>
      <c r="G409" s="3" t="s">
        <v>5031</v>
      </c>
      <c r="H409" s="3" t="s">
        <v>7654</v>
      </c>
      <c r="I409" s="17">
        <v>45823</v>
      </c>
      <c r="J409" s="18">
        <f>YEAR(Tabla1[[#This Row],[FECHA DE COMPRA]])</f>
        <v>2025</v>
      </c>
      <c r="K409" s="19">
        <v>69.09</v>
      </c>
      <c r="L409" s="20">
        <v>0.1</v>
      </c>
      <c r="M409" s="19">
        <f>Tienda!$K3328-Tienda!$K3328*Tienda!$L3328</f>
        <v>195.17</v>
      </c>
      <c r="N409" s="3" t="s">
        <v>10039</v>
      </c>
      <c r="O409" s="3" t="s">
        <v>10041</v>
      </c>
      <c r="P409" s="17">
        <v>45823</v>
      </c>
      <c r="Q409" s="4">
        <v>0</v>
      </c>
    </row>
    <row r="410" spans="1:17" x14ac:dyDescent="0.25">
      <c r="A410" s="2" t="s">
        <v>2240</v>
      </c>
      <c r="B410" s="3" t="s">
        <v>5015</v>
      </c>
      <c r="C410" s="3">
        <v>34</v>
      </c>
      <c r="D410" s="46" t="str">
        <f>IF(Tabla1[[#This Row],[EDAD]]&lt;=35,"Adultos jóvenes 18 - 35 años",IF(C410&gt;=36,"Adultos mayores 36 años en adelante"))</f>
        <v>Adultos jóvenes 18 - 35 años</v>
      </c>
      <c r="E410" s="3" t="s">
        <v>5020</v>
      </c>
      <c r="F410" s="3" t="s">
        <v>5025</v>
      </c>
      <c r="G410" s="3" t="s">
        <v>5034</v>
      </c>
      <c r="H410" s="3" t="s">
        <v>7263</v>
      </c>
      <c r="I410" s="17">
        <v>45811</v>
      </c>
      <c r="J410" s="18">
        <f>YEAR(Tabla1[[#This Row],[FECHA DE COMPRA]])</f>
        <v>2025</v>
      </c>
      <c r="K410" s="19">
        <v>87.47</v>
      </c>
      <c r="L410" s="20">
        <v>0.3</v>
      </c>
      <c r="M410" s="19">
        <f>Tienda!$K3335-Tienda!$K3335*Tienda!$L3335</f>
        <v>119.28</v>
      </c>
      <c r="N410" s="3" t="s">
        <v>10039</v>
      </c>
      <c r="O410" s="3" t="s">
        <v>10041</v>
      </c>
      <c r="P410" s="17">
        <v>45811</v>
      </c>
      <c r="Q410" s="4">
        <v>0</v>
      </c>
    </row>
    <row r="411" spans="1:17" x14ac:dyDescent="0.25">
      <c r="A411" s="2" t="s">
        <v>770</v>
      </c>
      <c r="B411" s="3" t="s">
        <v>5016</v>
      </c>
      <c r="C411" s="3">
        <v>28</v>
      </c>
      <c r="D411" s="46" t="str">
        <f>IF(Tabla1[[#This Row],[EDAD]]&lt;=35,"Adultos jóvenes 18 - 35 años",IF(C411&gt;=36,"Adultos mayores 36 años en adelante"))</f>
        <v>Adultos jóvenes 18 - 35 años</v>
      </c>
      <c r="E411" s="3" t="s">
        <v>5023</v>
      </c>
      <c r="F411" s="3" t="s">
        <v>5024</v>
      </c>
      <c r="G411" s="3" t="s">
        <v>5032</v>
      </c>
      <c r="H411" s="3" t="s">
        <v>5793</v>
      </c>
      <c r="I411" s="17">
        <v>45830</v>
      </c>
      <c r="J411" s="18">
        <f>YEAR(Tabla1[[#This Row],[FECHA DE COMPRA]])</f>
        <v>2025</v>
      </c>
      <c r="K411" s="19">
        <v>91.16</v>
      </c>
      <c r="L411" s="20">
        <v>0.3</v>
      </c>
      <c r="M411" s="19">
        <f>Tienda!$K3336-Tienda!$K3336*Tienda!$L3336</f>
        <v>168.696</v>
      </c>
      <c r="N411" s="3" t="s">
        <v>10039</v>
      </c>
      <c r="O411" s="3" t="s">
        <v>10041</v>
      </c>
      <c r="P411" s="17">
        <v>45830</v>
      </c>
      <c r="Q411" s="4">
        <v>0</v>
      </c>
    </row>
    <row r="412" spans="1:17" x14ac:dyDescent="0.25">
      <c r="A412" s="2" t="s">
        <v>3235</v>
      </c>
      <c r="B412" s="3" t="s">
        <v>5015</v>
      </c>
      <c r="C412" s="3">
        <v>32</v>
      </c>
      <c r="D412" s="46" t="str">
        <f>IF(Tabla1[[#This Row],[EDAD]]&lt;=35,"Adultos jóvenes 18 - 35 años",IF(C412&gt;=36,"Adultos mayores 36 años en adelante"))</f>
        <v>Adultos jóvenes 18 - 35 años</v>
      </c>
      <c r="E412" s="3" t="s">
        <v>5017</v>
      </c>
      <c r="F412" s="3" t="s">
        <v>5026</v>
      </c>
      <c r="G412" s="3" t="s">
        <v>5035</v>
      </c>
      <c r="H412" s="3" t="s">
        <v>8258</v>
      </c>
      <c r="I412" s="17">
        <v>45824</v>
      </c>
      <c r="J412" s="18">
        <f>YEAR(Tabla1[[#This Row],[FECHA DE COMPRA]])</f>
        <v>2025</v>
      </c>
      <c r="K412" s="19">
        <v>94.6</v>
      </c>
      <c r="L412" s="20">
        <v>0</v>
      </c>
      <c r="M412" s="19">
        <f>Tienda!$K3337-Tienda!$K3337*Tienda!$L3337</f>
        <v>136.96899999999999</v>
      </c>
      <c r="N412" s="3" t="s">
        <v>10039</v>
      </c>
      <c r="O412" s="3" t="s">
        <v>10041</v>
      </c>
      <c r="P412" s="17">
        <v>45824</v>
      </c>
      <c r="Q412" s="4">
        <v>0</v>
      </c>
    </row>
    <row r="413" spans="1:17" x14ac:dyDescent="0.25">
      <c r="A413" s="2" t="s">
        <v>618</v>
      </c>
      <c r="B413" s="3" t="s">
        <v>5016</v>
      </c>
      <c r="C413" s="3">
        <v>19</v>
      </c>
      <c r="D413" s="46" t="str">
        <f>IF(Tabla1[[#This Row],[EDAD]]&lt;=35,"Adultos jóvenes 18 - 35 años",IF(C413&gt;=36,"Adultos mayores 36 años en adelante"))</f>
        <v>Adultos jóvenes 18 - 35 años</v>
      </c>
      <c r="E413" s="3" t="s">
        <v>5019</v>
      </c>
      <c r="F413" s="3" t="s">
        <v>5029</v>
      </c>
      <c r="G413" s="3" t="s">
        <v>5035</v>
      </c>
      <c r="H413" s="3" t="s">
        <v>5641</v>
      </c>
      <c r="I413" s="17">
        <v>45837</v>
      </c>
      <c r="J413" s="18">
        <f>YEAR(Tabla1[[#This Row],[FECHA DE COMPRA]])</f>
        <v>2025</v>
      </c>
      <c r="K413" s="19">
        <v>123</v>
      </c>
      <c r="L413" s="20">
        <v>0.2</v>
      </c>
      <c r="M413" s="19">
        <f>Tienda!$K3342-Tienda!$K3342*Tienda!$L3342</f>
        <v>52.664000000000001</v>
      </c>
      <c r="N413" s="3" t="s">
        <v>10039</v>
      </c>
      <c r="O413" s="3" t="s">
        <v>10041</v>
      </c>
      <c r="P413" s="17">
        <v>45837</v>
      </c>
      <c r="Q413" s="4">
        <v>0</v>
      </c>
    </row>
    <row r="414" spans="1:17" x14ac:dyDescent="0.25">
      <c r="A414" s="2" t="s">
        <v>4769</v>
      </c>
      <c r="B414" s="3" t="s">
        <v>5016</v>
      </c>
      <c r="C414" s="3">
        <v>26</v>
      </c>
      <c r="D414" s="46" t="str">
        <f>IF(Tabla1[[#This Row],[EDAD]]&lt;=35,"Adultos jóvenes 18 - 35 años",IF(C414&gt;=36,"Adultos mayores 36 años en adelante"))</f>
        <v>Adultos jóvenes 18 - 35 años</v>
      </c>
      <c r="E414" s="3" t="s">
        <v>5023</v>
      </c>
      <c r="F414" s="3" t="s">
        <v>5030</v>
      </c>
      <c r="G414" s="3" t="s">
        <v>5032</v>
      </c>
      <c r="H414" s="3" t="s">
        <v>9792</v>
      </c>
      <c r="I414" s="17">
        <v>45819</v>
      </c>
      <c r="J414" s="18">
        <f>YEAR(Tabla1[[#This Row],[FECHA DE COMPRA]])</f>
        <v>2025</v>
      </c>
      <c r="K414" s="19">
        <v>127.18</v>
      </c>
      <c r="L414" s="20">
        <v>0</v>
      </c>
      <c r="M414" s="19">
        <f>Tienda!$K3343-Tienda!$K3343*Tienda!$L3343</f>
        <v>84.573999999999998</v>
      </c>
      <c r="N414" s="3" t="s">
        <v>10039</v>
      </c>
      <c r="O414" s="3" t="s">
        <v>10041</v>
      </c>
      <c r="P414" s="17">
        <v>45819</v>
      </c>
      <c r="Q414" s="4">
        <v>0</v>
      </c>
    </row>
    <row r="415" spans="1:17" x14ac:dyDescent="0.25">
      <c r="A415" s="2" t="s">
        <v>1884</v>
      </c>
      <c r="B415" s="3" t="s">
        <v>5015</v>
      </c>
      <c r="C415" s="3">
        <v>28</v>
      </c>
      <c r="D415" s="46" t="str">
        <f>IF(Tabla1[[#This Row],[EDAD]]&lt;=35,"Adultos jóvenes 18 - 35 años",IF(C415&gt;=36,"Adultos mayores 36 años en adelante"))</f>
        <v>Adultos jóvenes 18 - 35 años</v>
      </c>
      <c r="E415" s="3" t="s">
        <v>5023</v>
      </c>
      <c r="F415" s="3" t="s">
        <v>5027</v>
      </c>
      <c r="G415" s="3" t="s">
        <v>5036</v>
      </c>
      <c r="H415" s="3" t="s">
        <v>6907</v>
      </c>
      <c r="I415" s="17">
        <v>45822</v>
      </c>
      <c r="J415" s="18">
        <f>YEAR(Tabla1[[#This Row],[FECHA DE COMPRA]])</f>
        <v>2025</v>
      </c>
      <c r="K415" s="19">
        <v>127.99</v>
      </c>
      <c r="L415" s="20">
        <v>0.1</v>
      </c>
      <c r="M415" s="19">
        <f>Tienda!$K3344-Tienda!$K3344*Tienda!$L3344</f>
        <v>118.25099999999999</v>
      </c>
      <c r="N415" s="3" t="s">
        <v>10039</v>
      </c>
      <c r="O415" s="3" t="s">
        <v>10041</v>
      </c>
      <c r="P415" s="17">
        <v>45822</v>
      </c>
      <c r="Q415" s="4">
        <v>0</v>
      </c>
    </row>
    <row r="416" spans="1:17" x14ac:dyDescent="0.25">
      <c r="A416" s="2" t="s">
        <v>1835</v>
      </c>
      <c r="B416" s="3" t="s">
        <v>5015</v>
      </c>
      <c r="C416" s="3">
        <v>20</v>
      </c>
      <c r="D416" s="46" t="str">
        <f>IF(Tabla1[[#This Row],[EDAD]]&lt;=35,"Adultos jóvenes 18 - 35 años",IF(C416&gt;=36,"Adultos mayores 36 años en adelante"))</f>
        <v>Adultos jóvenes 18 - 35 años</v>
      </c>
      <c r="E416" s="3" t="s">
        <v>5018</v>
      </c>
      <c r="F416" s="3" t="s">
        <v>5024</v>
      </c>
      <c r="G416" s="3" t="s">
        <v>5032</v>
      </c>
      <c r="H416" s="3" t="s">
        <v>6858</v>
      </c>
      <c r="I416" s="17">
        <v>45814</v>
      </c>
      <c r="J416" s="18">
        <f>YEAR(Tabla1[[#This Row],[FECHA DE COMPRA]])</f>
        <v>2025</v>
      </c>
      <c r="K416" s="19">
        <v>137.47999999999999</v>
      </c>
      <c r="L416" s="20">
        <v>0.3</v>
      </c>
      <c r="M416" s="19">
        <f>Tienda!$K3349-Tienda!$K3349*Tienda!$L3349</f>
        <v>95.137</v>
      </c>
      <c r="N416" s="3" t="s">
        <v>10039</v>
      </c>
      <c r="O416" s="3" t="s">
        <v>10041</v>
      </c>
      <c r="P416" s="17">
        <v>45814</v>
      </c>
      <c r="Q416" s="4">
        <v>0</v>
      </c>
    </row>
    <row r="417" spans="1:17" x14ac:dyDescent="0.25">
      <c r="A417" s="2" t="s">
        <v>1020</v>
      </c>
      <c r="B417" s="3" t="s">
        <v>5015</v>
      </c>
      <c r="C417" s="3">
        <v>20</v>
      </c>
      <c r="D417" s="46" t="str">
        <f>IF(Tabla1[[#This Row],[EDAD]]&lt;=35,"Adultos jóvenes 18 - 35 años",IF(C417&gt;=36,"Adultos mayores 36 años en adelante"))</f>
        <v>Adultos jóvenes 18 - 35 años</v>
      </c>
      <c r="E417" s="3" t="s">
        <v>5018</v>
      </c>
      <c r="F417" s="3" t="s">
        <v>5024</v>
      </c>
      <c r="G417" s="3" t="s">
        <v>5037</v>
      </c>
      <c r="H417" s="3" t="s">
        <v>6043</v>
      </c>
      <c r="I417" s="17">
        <v>45838</v>
      </c>
      <c r="J417" s="18">
        <f>YEAR(Tabla1[[#This Row],[FECHA DE COMPRA]])</f>
        <v>2025</v>
      </c>
      <c r="K417" s="19">
        <v>141.77000000000001</v>
      </c>
      <c r="L417" s="20">
        <v>0.3</v>
      </c>
      <c r="M417" s="19">
        <f>Tienda!$K3351-Tienda!$K3351*Tienda!$L3351</f>
        <v>13.95</v>
      </c>
      <c r="N417" s="3" t="s">
        <v>10039</v>
      </c>
      <c r="O417" s="3" t="s">
        <v>10041</v>
      </c>
      <c r="P417" s="17">
        <v>45838</v>
      </c>
      <c r="Q417" s="4">
        <v>0</v>
      </c>
    </row>
    <row r="418" spans="1:17" x14ac:dyDescent="0.25">
      <c r="A418" s="2" t="s">
        <v>4268</v>
      </c>
      <c r="B418" s="3" t="s">
        <v>5015</v>
      </c>
      <c r="C418" s="3">
        <v>23</v>
      </c>
      <c r="D418" s="46" t="str">
        <f>IF(Tabla1[[#This Row],[EDAD]]&lt;=35,"Adultos jóvenes 18 - 35 años",IF(C418&gt;=36,"Adultos mayores 36 años en adelante"))</f>
        <v>Adultos jóvenes 18 - 35 años</v>
      </c>
      <c r="E418" s="3" t="s">
        <v>5020</v>
      </c>
      <c r="F418" s="3" t="s">
        <v>5030</v>
      </c>
      <c r="G418" s="3" t="s">
        <v>5036</v>
      </c>
      <c r="H418" s="3" t="s">
        <v>9291</v>
      </c>
      <c r="I418" s="17">
        <v>45833</v>
      </c>
      <c r="J418" s="18">
        <f>YEAR(Tabla1[[#This Row],[FECHA DE COMPRA]])</f>
        <v>2025</v>
      </c>
      <c r="K418" s="19">
        <v>149.41999999999999</v>
      </c>
      <c r="L418" s="20">
        <v>0.3</v>
      </c>
      <c r="M418" s="19">
        <f>Tienda!$K3355-Tienda!$K3355*Tienda!$L3355</f>
        <v>22.968</v>
      </c>
      <c r="N418" s="3" t="s">
        <v>10039</v>
      </c>
      <c r="O418" s="3" t="s">
        <v>10041</v>
      </c>
      <c r="P418" s="17">
        <v>45833</v>
      </c>
      <c r="Q418" s="4">
        <v>0</v>
      </c>
    </row>
    <row r="419" spans="1:17" x14ac:dyDescent="0.25">
      <c r="A419" s="2" t="s">
        <v>1467</v>
      </c>
      <c r="B419" s="3" t="s">
        <v>5015</v>
      </c>
      <c r="C419" s="3">
        <v>24</v>
      </c>
      <c r="D419" s="46" t="str">
        <f>IF(Tabla1[[#This Row],[EDAD]]&lt;=35,"Adultos jóvenes 18 - 35 años",IF(C419&gt;=36,"Adultos mayores 36 años en adelante"))</f>
        <v>Adultos jóvenes 18 - 35 años</v>
      </c>
      <c r="E419" s="3" t="s">
        <v>5017</v>
      </c>
      <c r="F419" s="3" t="s">
        <v>5024</v>
      </c>
      <c r="G419" s="3" t="s">
        <v>5034</v>
      </c>
      <c r="H419" s="3" t="s">
        <v>6490</v>
      </c>
      <c r="I419" s="17">
        <v>45831</v>
      </c>
      <c r="J419" s="18">
        <f>YEAR(Tabla1[[#This Row],[FECHA DE COMPRA]])</f>
        <v>2025</v>
      </c>
      <c r="K419" s="19">
        <v>150.58000000000001</v>
      </c>
      <c r="L419" s="20">
        <v>0</v>
      </c>
      <c r="M419" s="19">
        <f>Tienda!$K3356-Tienda!$K3356*Tienda!$L3356</f>
        <v>22.707999999999998</v>
      </c>
      <c r="N419" s="3" t="s">
        <v>10039</v>
      </c>
      <c r="O419" s="3" t="s">
        <v>10041</v>
      </c>
      <c r="P419" s="17">
        <v>45831</v>
      </c>
      <c r="Q419" s="4">
        <v>0</v>
      </c>
    </row>
    <row r="420" spans="1:17" x14ac:dyDescent="0.25">
      <c r="A420" s="2" t="s">
        <v>834</v>
      </c>
      <c r="B420" s="3" t="s">
        <v>5015</v>
      </c>
      <c r="C420" s="3">
        <v>31</v>
      </c>
      <c r="D420" s="46" t="str">
        <f>IF(Tabla1[[#This Row],[EDAD]]&lt;=35,"Adultos jóvenes 18 - 35 años",IF(C420&gt;=36,"Adultos mayores 36 años en adelante"))</f>
        <v>Adultos jóvenes 18 - 35 años</v>
      </c>
      <c r="E420" s="3" t="s">
        <v>5017</v>
      </c>
      <c r="F420" s="3" t="s">
        <v>5028</v>
      </c>
      <c r="G420" s="3" t="s">
        <v>5035</v>
      </c>
      <c r="H420" s="3" t="s">
        <v>5857</v>
      </c>
      <c r="I420" s="17">
        <v>45811</v>
      </c>
      <c r="J420" s="18">
        <f>YEAR(Tabla1[[#This Row],[FECHA DE COMPRA]])</f>
        <v>2025</v>
      </c>
      <c r="K420" s="19">
        <v>150.71</v>
      </c>
      <c r="L420" s="20">
        <v>0.3</v>
      </c>
      <c r="M420" s="19">
        <f>Tienda!$K3357-Tienda!$K3357*Tienda!$L3357</f>
        <v>36.15</v>
      </c>
      <c r="N420" s="3" t="s">
        <v>10039</v>
      </c>
      <c r="O420" s="3" t="s">
        <v>10041</v>
      </c>
      <c r="P420" s="17">
        <v>45811</v>
      </c>
      <c r="Q420" s="4">
        <v>0</v>
      </c>
    </row>
    <row r="421" spans="1:17" x14ac:dyDescent="0.25">
      <c r="A421" s="2" t="s">
        <v>1717</v>
      </c>
      <c r="B421" s="3" t="s">
        <v>5015</v>
      </c>
      <c r="C421" s="3">
        <v>19</v>
      </c>
      <c r="D421" s="46" t="str">
        <f>IF(Tabla1[[#This Row],[EDAD]]&lt;=35,"Adultos jóvenes 18 - 35 años",IF(C421&gt;=36,"Adultos mayores 36 años en adelante"))</f>
        <v>Adultos jóvenes 18 - 35 años</v>
      </c>
      <c r="E421" s="3" t="s">
        <v>5020</v>
      </c>
      <c r="F421" s="3" t="s">
        <v>5029</v>
      </c>
      <c r="G421" s="3" t="s">
        <v>5032</v>
      </c>
      <c r="H421" s="3" t="s">
        <v>6740</v>
      </c>
      <c r="I421" s="17">
        <v>45810</v>
      </c>
      <c r="J421" s="18">
        <f>YEAR(Tabla1[[#This Row],[FECHA DE COMPRA]])</f>
        <v>2025</v>
      </c>
      <c r="K421" s="19">
        <v>151.29</v>
      </c>
      <c r="L421" s="20">
        <v>0.3</v>
      </c>
      <c r="M421" s="19">
        <f>Tienda!$K3358-Tienda!$K3358*Tienda!$L3358</f>
        <v>65.94</v>
      </c>
      <c r="N421" s="3" t="s">
        <v>10039</v>
      </c>
      <c r="O421" s="3" t="s">
        <v>10041</v>
      </c>
      <c r="P421" s="17">
        <v>45810</v>
      </c>
      <c r="Q421" s="4">
        <v>0</v>
      </c>
    </row>
    <row r="422" spans="1:17" x14ac:dyDescent="0.25">
      <c r="A422" s="2" t="s">
        <v>442</v>
      </c>
      <c r="B422" s="3" t="s">
        <v>5015</v>
      </c>
      <c r="C422" s="3">
        <v>23</v>
      </c>
      <c r="D422" s="46" t="str">
        <f>IF(Tabla1[[#This Row],[EDAD]]&lt;=35,"Adultos jóvenes 18 - 35 años",IF(C422&gt;=36,"Adultos mayores 36 años en adelante"))</f>
        <v>Adultos jóvenes 18 - 35 años</v>
      </c>
      <c r="E422" s="3" t="s">
        <v>5020</v>
      </c>
      <c r="F422" s="3" t="s">
        <v>5025</v>
      </c>
      <c r="G422" s="3" t="s">
        <v>5031</v>
      </c>
      <c r="H422" s="3" t="s">
        <v>5465</v>
      </c>
      <c r="I422" s="17">
        <v>45835</v>
      </c>
      <c r="J422" s="18">
        <f>YEAR(Tabla1[[#This Row],[FECHA DE COMPRA]])</f>
        <v>2025</v>
      </c>
      <c r="K422" s="19">
        <v>160.37</v>
      </c>
      <c r="L422" s="20">
        <v>0.3</v>
      </c>
      <c r="M422" s="19">
        <f>Tienda!$K3360-Tienda!$K3360*Tienda!$L3360</f>
        <v>60.561000000000007</v>
      </c>
      <c r="N422" s="3" t="s">
        <v>10039</v>
      </c>
      <c r="O422" s="3" t="s">
        <v>10041</v>
      </c>
      <c r="P422" s="17">
        <v>45835</v>
      </c>
      <c r="Q422" s="4">
        <v>0</v>
      </c>
    </row>
    <row r="423" spans="1:17" x14ac:dyDescent="0.25">
      <c r="A423" s="2" t="s">
        <v>3184</v>
      </c>
      <c r="B423" s="3" t="s">
        <v>5015</v>
      </c>
      <c r="C423" s="3">
        <v>31</v>
      </c>
      <c r="D423" s="46" t="str">
        <f>IF(Tabla1[[#This Row],[EDAD]]&lt;=35,"Adultos jóvenes 18 - 35 años",IF(C423&gt;=36,"Adultos mayores 36 años en adelante"))</f>
        <v>Adultos jóvenes 18 - 35 años</v>
      </c>
      <c r="E423" s="3" t="s">
        <v>5018</v>
      </c>
      <c r="F423" s="3" t="s">
        <v>5024</v>
      </c>
      <c r="G423" s="3" t="s">
        <v>5034</v>
      </c>
      <c r="H423" s="3" t="s">
        <v>8207</v>
      </c>
      <c r="I423" s="17">
        <v>45818</v>
      </c>
      <c r="J423" s="18">
        <f>YEAR(Tabla1[[#This Row],[FECHA DE COMPRA]])</f>
        <v>2025</v>
      </c>
      <c r="K423" s="19">
        <v>173.85</v>
      </c>
      <c r="L423" s="20">
        <v>0.1</v>
      </c>
      <c r="M423" s="19">
        <f>Tienda!$K3364-Tienda!$K3364*Tienda!$L3364</f>
        <v>102.648</v>
      </c>
      <c r="N423" s="3" t="s">
        <v>10039</v>
      </c>
      <c r="O423" s="3" t="s">
        <v>10041</v>
      </c>
      <c r="P423" s="17">
        <v>45818</v>
      </c>
      <c r="Q423" s="4">
        <v>0</v>
      </c>
    </row>
    <row r="424" spans="1:17" x14ac:dyDescent="0.25">
      <c r="A424" s="2" t="s">
        <v>917</v>
      </c>
      <c r="B424" s="3" t="s">
        <v>5015</v>
      </c>
      <c r="C424" s="3">
        <v>20</v>
      </c>
      <c r="D424" s="46" t="str">
        <f>IF(Tabla1[[#This Row],[EDAD]]&lt;=35,"Adultos jóvenes 18 - 35 años",IF(C424&gt;=36,"Adultos mayores 36 años en adelante"))</f>
        <v>Adultos jóvenes 18 - 35 años</v>
      </c>
      <c r="E424" s="3" t="s">
        <v>5022</v>
      </c>
      <c r="F424" s="3" t="s">
        <v>5028</v>
      </c>
      <c r="G424" s="3" t="s">
        <v>5033</v>
      </c>
      <c r="H424" s="3" t="s">
        <v>5940</v>
      </c>
      <c r="I424" s="17">
        <v>45812</v>
      </c>
      <c r="J424" s="18">
        <f>YEAR(Tabla1[[#This Row],[FECHA DE COMPRA]])</f>
        <v>2025</v>
      </c>
      <c r="K424" s="19">
        <v>182.28</v>
      </c>
      <c r="L424" s="20">
        <v>0</v>
      </c>
      <c r="M424" s="19">
        <f>Tienda!$K3370-Tienda!$K3370*Tienda!$L3370</f>
        <v>130.833</v>
      </c>
      <c r="N424" s="3" t="s">
        <v>10039</v>
      </c>
      <c r="O424" s="3" t="s">
        <v>10041</v>
      </c>
      <c r="P424" s="17">
        <v>45812</v>
      </c>
      <c r="Q424" s="4">
        <v>0</v>
      </c>
    </row>
    <row r="425" spans="1:17" x14ac:dyDescent="0.25">
      <c r="A425" s="2" t="s">
        <v>2743</v>
      </c>
      <c r="B425" s="3" t="s">
        <v>5015</v>
      </c>
      <c r="C425" s="3">
        <v>35</v>
      </c>
      <c r="D425" s="46" t="str">
        <f>IF(Tabla1[[#This Row],[EDAD]]&lt;=35,"Adultos jóvenes 18 - 35 años",IF(C425&gt;=36,"Adultos mayores 36 años en adelante"))</f>
        <v>Adultos jóvenes 18 - 35 años</v>
      </c>
      <c r="E425" s="3" t="s">
        <v>5020</v>
      </c>
      <c r="F425" s="3" t="s">
        <v>5024</v>
      </c>
      <c r="G425" s="3" t="s">
        <v>5034</v>
      </c>
      <c r="H425" s="3" t="s">
        <v>7766</v>
      </c>
      <c r="I425" s="17">
        <v>45809</v>
      </c>
      <c r="J425" s="18">
        <f>YEAR(Tabla1[[#This Row],[FECHA DE COMPRA]])</f>
        <v>2025</v>
      </c>
      <c r="K425" s="19">
        <v>188.49</v>
      </c>
      <c r="L425" s="20">
        <v>0.3</v>
      </c>
      <c r="M425" s="19">
        <f>Tienda!$K3372-Tienda!$K3372*Tienda!$L3372</f>
        <v>7.3010000000000002</v>
      </c>
      <c r="N425" s="3" t="s">
        <v>10039</v>
      </c>
      <c r="O425" s="3" t="s">
        <v>10041</v>
      </c>
      <c r="P425" s="17">
        <v>45809</v>
      </c>
      <c r="Q425" s="4">
        <v>0</v>
      </c>
    </row>
    <row r="426" spans="1:17" x14ac:dyDescent="0.25">
      <c r="A426" s="2" t="s">
        <v>613</v>
      </c>
      <c r="B426" s="3" t="s">
        <v>5016</v>
      </c>
      <c r="C426" s="3">
        <v>31</v>
      </c>
      <c r="D426" s="46" t="str">
        <f>IF(Tabla1[[#This Row],[EDAD]]&lt;=35,"Adultos jóvenes 18 - 35 años",IF(C426&gt;=36,"Adultos mayores 36 años en adelante"))</f>
        <v>Adultos jóvenes 18 - 35 años</v>
      </c>
      <c r="E426" s="3" t="s">
        <v>5017</v>
      </c>
      <c r="F426" s="3" t="s">
        <v>5026</v>
      </c>
      <c r="G426" s="3" t="s">
        <v>5031</v>
      </c>
      <c r="H426" s="3" t="s">
        <v>5636</v>
      </c>
      <c r="I426" s="17">
        <v>45825</v>
      </c>
      <c r="J426" s="18">
        <f>YEAR(Tabla1[[#This Row],[FECHA DE COMPRA]])</f>
        <v>2025</v>
      </c>
      <c r="K426" s="19">
        <v>193.42</v>
      </c>
      <c r="L426" s="20">
        <v>0.2</v>
      </c>
      <c r="M426" s="19">
        <f>Tienda!$K3374-Tienda!$K3374*Tienda!$L3374</f>
        <v>18.5</v>
      </c>
      <c r="N426" s="3" t="s">
        <v>10039</v>
      </c>
      <c r="O426" s="3" t="s">
        <v>10041</v>
      </c>
      <c r="P426" s="17">
        <v>45825</v>
      </c>
      <c r="Q426" s="4">
        <v>0</v>
      </c>
    </row>
    <row r="427" spans="1:17" x14ac:dyDescent="0.25">
      <c r="A427" s="2" t="s">
        <v>5013</v>
      </c>
      <c r="B427" s="3" t="s">
        <v>5015</v>
      </c>
      <c r="C427" s="3">
        <v>23</v>
      </c>
      <c r="D427" s="46" t="str">
        <f>IF(Tabla1[[#This Row],[EDAD]]&lt;=35,"Adultos jóvenes 18 - 35 años",IF(C427&gt;=36,"Adultos mayores 36 años en adelante"))</f>
        <v>Adultos jóvenes 18 - 35 años</v>
      </c>
      <c r="E427" s="3" t="s">
        <v>5023</v>
      </c>
      <c r="F427" s="3" t="s">
        <v>5028</v>
      </c>
      <c r="G427" s="3" t="s">
        <v>5031</v>
      </c>
      <c r="H427" s="3" t="s">
        <v>10036</v>
      </c>
      <c r="I427" s="17">
        <v>45814</v>
      </c>
      <c r="J427" s="18">
        <f>YEAR(Tabla1[[#This Row],[FECHA DE COMPRA]])</f>
        <v>2025</v>
      </c>
      <c r="K427" s="19">
        <v>193.62</v>
      </c>
      <c r="L427" s="20">
        <v>0.2</v>
      </c>
      <c r="M427" s="19">
        <f>Tienda!$K3375-Tienda!$K3375*Tienda!$L3375</f>
        <v>67.808000000000007</v>
      </c>
      <c r="N427" s="3" t="s">
        <v>10039</v>
      </c>
      <c r="O427" s="3" t="s">
        <v>10041</v>
      </c>
      <c r="P427" s="17">
        <v>45814</v>
      </c>
      <c r="Q427" s="4">
        <v>0</v>
      </c>
    </row>
    <row r="428" spans="1:17" x14ac:dyDescent="0.25">
      <c r="A428" s="2" t="s">
        <v>869</v>
      </c>
      <c r="B428" s="3" t="s">
        <v>5015</v>
      </c>
      <c r="C428" s="3">
        <v>26</v>
      </c>
      <c r="D428" s="46" t="str">
        <f>IF(Tabla1[[#This Row],[EDAD]]&lt;=35,"Adultos jóvenes 18 - 35 años",IF(C428&gt;=36,"Adultos mayores 36 años en adelante"))</f>
        <v>Adultos jóvenes 18 - 35 años</v>
      </c>
      <c r="E428" s="3" t="s">
        <v>5021</v>
      </c>
      <c r="F428" s="3" t="s">
        <v>5024</v>
      </c>
      <c r="G428" s="3" t="s">
        <v>5036</v>
      </c>
      <c r="H428" s="3" t="s">
        <v>5892</v>
      </c>
      <c r="I428" s="17">
        <v>45847</v>
      </c>
      <c r="J428" s="18">
        <f>YEAR(Tabla1[[#This Row],[FECHA DE COMPRA]])</f>
        <v>2025</v>
      </c>
      <c r="K428" s="19">
        <v>14.27</v>
      </c>
      <c r="L428" s="20">
        <v>0.3</v>
      </c>
      <c r="M428" s="19">
        <f>Tienda!$K3380-Tienda!$K3380*Tienda!$L3380</f>
        <v>75.408000000000001</v>
      </c>
      <c r="N428" s="3" t="s">
        <v>10039</v>
      </c>
      <c r="O428" s="3" t="s">
        <v>10041</v>
      </c>
      <c r="P428" s="17">
        <v>45847</v>
      </c>
      <c r="Q428" s="4">
        <v>0</v>
      </c>
    </row>
    <row r="429" spans="1:17" x14ac:dyDescent="0.25">
      <c r="A429" s="2" t="s">
        <v>2158</v>
      </c>
      <c r="B429" s="3" t="s">
        <v>5016</v>
      </c>
      <c r="C429" s="3">
        <v>33</v>
      </c>
      <c r="D429" s="46" t="str">
        <f>IF(Tabla1[[#This Row],[EDAD]]&lt;=35,"Adultos jóvenes 18 - 35 años",IF(C429&gt;=36,"Adultos mayores 36 años en adelante"))</f>
        <v>Adultos jóvenes 18 - 35 años</v>
      </c>
      <c r="E429" s="3" t="s">
        <v>5019</v>
      </c>
      <c r="F429" s="3" t="s">
        <v>5030</v>
      </c>
      <c r="G429" s="3" t="s">
        <v>5036</v>
      </c>
      <c r="H429" s="3" t="s">
        <v>7181</v>
      </c>
      <c r="I429" s="17">
        <v>45853</v>
      </c>
      <c r="J429" s="18">
        <f>YEAR(Tabla1[[#This Row],[FECHA DE COMPRA]])</f>
        <v>2025</v>
      </c>
      <c r="K429" s="19">
        <v>15.25</v>
      </c>
      <c r="L429" s="20">
        <v>0.3</v>
      </c>
      <c r="M429" s="19">
        <f>Tienda!$K3381-Tienda!$K3381*Tienda!$L3381</f>
        <v>95.332999999999998</v>
      </c>
      <c r="N429" s="3" t="s">
        <v>10039</v>
      </c>
      <c r="O429" s="3" t="s">
        <v>10041</v>
      </c>
      <c r="P429" s="17">
        <v>45853</v>
      </c>
      <c r="Q429" s="4">
        <v>0</v>
      </c>
    </row>
    <row r="430" spans="1:17" x14ac:dyDescent="0.25">
      <c r="A430" s="2" t="s">
        <v>3639</v>
      </c>
      <c r="B430" s="3" t="s">
        <v>5016</v>
      </c>
      <c r="C430" s="3">
        <v>31</v>
      </c>
      <c r="D430" s="46" t="str">
        <f>IF(Tabla1[[#This Row],[EDAD]]&lt;=35,"Adultos jóvenes 18 - 35 años",IF(C430&gt;=36,"Adultos mayores 36 años en adelante"))</f>
        <v>Adultos jóvenes 18 - 35 años</v>
      </c>
      <c r="E430" s="3" t="s">
        <v>5021</v>
      </c>
      <c r="F430" s="3" t="s">
        <v>5027</v>
      </c>
      <c r="G430" s="3" t="s">
        <v>5034</v>
      </c>
      <c r="H430" s="3" t="s">
        <v>8662</v>
      </c>
      <c r="I430" s="17">
        <v>45860</v>
      </c>
      <c r="J430" s="18">
        <f>YEAR(Tabla1[[#This Row],[FECHA DE COMPRA]])</f>
        <v>2025</v>
      </c>
      <c r="K430" s="19">
        <v>19.87</v>
      </c>
      <c r="L430" s="20">
        <v>0.2</v>
      </c>
      <c r="M430" s="19">
        <f>Tienda!$K3382-Tienda!$K3382*Tienda!$L3382</f>
        <v>97.572999999999993</v>
      </c>
      <c r="N430" s="3" t="s">
        <v>10039</v>
      </c>
      <c r="O430" s="3" t="s">
        <v>10041</v>
      </c>
      <c r="P430" s="17">
        <v>45860</v>
      </c>
      <c r="Q430" s="4">
        <v>0</v>
      </c>
    </row>
    <row r="431" spans="1:17" x14ac:dyDescent="0.25">
      <c r="A431" s="2" t="s">
        <v>2813</v>
      </c>
      <c r="B431" s="3" t="s">
        <v>5016</v>
      </c>
      <c r="C431" s="3">
        <v>24</v>
      </c>
      <c r="D431" s="46" t="str">
        <f>IF(Tabla1[[#This Row],[EDAD]]&lt;=35,"Adultos jóvenes 18 - 35 años",IF(C431&gt;=36,"Adultos mayores 36 años en adelante"))</f>
        <v>Adultos jóvenes 18 - 35 años</v>
      </c>
      <c r="E431" s="3" t="s">
        <v>5021</v>
      </c>
      <c r="F431" s="3" t="s">
        <v>5028</v>
      </c>
      <c r="G431" s="3" t="s">
        <v>5034</v>
      </c>
      <c r="H431" s="3" t="s">
        <v>7836</v>
      </c>
      <c r="I431" s="17">
        <v>45841</v>
      </c>
      <c r="J431" s="18">
        <f>YEAR(Tabla1[[#This Row],[FECHA DE COMPRA]])</f>
        <v>2025</v>
      </c>
      <c r="K431" s="19">
        <v>25.15</v>
      </c>
      <c r="L431" s="20">
        <v>0</v>
      </c>
      <c r="M431" s="19">
        <f>Tienda!$K3387-Tienda!$K3387*Tienda!$L3387</f>
        <v>190.14</v>
      </c>
      <c r="N431" s="3" t="s">
        <v>10039</v>
      </c>
      <c r="O431" s="3" t="s">
        <v>10041</v>
      </c>
      <c r="P431" s="17">
        <v>45841</v>
      </c>
      <c r="Q431" s="4">
        <v>0</v>
      </c>
    </row>
    <row r="432" spans="1:17" x14ac:dyDescent="0.25">
      <c r="A432" s="2" t="s">
        <v>3707</v>
      </c>
      <c r="B432" s="3" t="s">
        <v>5015</v>
      </c>
      <c r="C432" s="3">
        <v>22</v>
      </c>
      <c r="D432" s="46" t="str">
        <f>IF(Tabla1[[#This Row],[EDAD]]&lt;=35,"Adultos jóvenes 18 - 35 años",IF(C432&gt;=36,"Adultos mayores 36 años en adelante"))</f>
        <v>Adultos jóvenes 18 - 35 años</v>
      </c>
      <c r="E432" s="3" t="s">
        <v>5018</v>
      </c>
      <c r="F432" s="3" t="s">
        <v>5027</v>
      </c>
      <c r="G432" s="3" t="s">
        <v>5031</v>
      </c>
      <c r="H432" s="3" t="s">
        <v>8730</v>
      </c>
      <c r="I432" s="17">
        <v>45864</v>
      </c>
      <c r="J432" s="18">
        <f>YEAR(Tabla1[[#This Row],[FECHA DE COMPRA]])</f>
        <v>2025</v>
      </c>
      <c r="K432" s="19">
        <v>31.72</v>
      </c>
      <c r="L432" s="20">
        <v>0.3</v>
      </c>
      <c r="M432" s="19">
        <f>Tienda!$K3391-Tienda!$K3391*Tienda!$L3391</f>
        <v>27.4</v>
      </c>
      <c r="N432" s="3" t="s">
        <v>10039</v>
      </c>
      <c r="O432" s="3" t="s">
        <v>10041</v>
      </c>
      <c r="P432" s="17">
        <v>45864</v>
      </c>
      <c r="Q432" s="4">
        <v>0</v>
      </c>
    </row>
    <row r="433" spans="1:17" x14ac:dyDescent="0.25">
      <c r="A433" s="2" t="s">
        <v>1115</v>
      </c>
      <c r="B433" s="3" t="s">
        <v>5016</v>
      </c>
      <c r="C433" s="3">
        <v>24</v>
      </c>
      <c r="D433" s="46" t="str">
        <f>IF(Tabla1[[#This Row],[EDAD]]&lt;=35,"Adultos jóvenes 18 - 35 años",IF(C433&gt;=36,"Adultos mayores 36 años en adelante"))</f>
        <v>Adultos jóvenes 18 - 35 años</v>
      </c>
      <c r="E433" s="3" t="s">
        <v>5021</v>
      </c>
      <c r="F433" s="3" t="s">
        <v>5027</v>
      </c>
      <c r="G433" s="3" t="s">
        <v>5035</v>
      </c>
      <c r="H433" s="3" t="s">
        <v>6138</v>
      </c>
      <c r="I433" s="17">
        <v>45855</v>
      </c>
      <c r="J433" s="18">
        <f>YEAR(Tabla1[[#This Row],[FECHA DE COMPRA]])</f>
        <v>2025</v>
      </c>
      <c r="K433" s="19">
        <v>35.99</v>
      </c>
      <c r="L433" s="20">
        <v>0</v>
      </c>
      <c r="M433" s="19">
        <f>Tienda!$K3394-Tienda!$K3394*Tienda!$L3394</f>
        <v>36.97</v>
      </c>
      <c r="N433" s="3" t="s">
        <v>10039</v>
      </c>
      <c r="O433" s="3" t="s">
        <v>10041</v>
      </c>
      <c r="P433" s="17">
        <v>45855</v>
      </c>
      <c r="Q433" s="4">
        <v>0</v>
      </c>
    </row>
    <row r="434" spans="1:17" x14ac:dyDescent="0.25">
      <c r="A434" s="2" t="s">
        <v>1263</v>
      </c>
      <c r="B434" s="3" t="s">
        <v>5016</v>
      </c>
      <c r="C434" s="3">
        <v>25</v>
      </c>
      <c r="D434" s="46" t="str">
        <f>IF(Tabla1[[#This Row],[EDAD]]&lt;=35,"Adultos jóvenes 18 - 35 años",IF(C434&gt;=36,"Adultos mayores 36 años en adelante"))</f>
        <v>Adultos jóvenes 18 - 35 años</v>
      </c>
      <c r="E434" s="3" t="s">
        <v>5019</v>
      </c>
      <c r="F434" s="3" t="s">
        <v>5028</v>
      </c>
      <c r="G434" s="3" t="s">
        <v>5032</v>
      </c>
      <c r="H434" s="3" t="s">
        <v>6286</v>
      </c>
      <c r="I434" s="17">
        <v>45850</v>
      </c>
      <c r="J434" s="18">
        <f>YEAR(Tabla1[[#This Row],[FECHA DE COMPRA]])</f>
        <v>2025</v>
      </c>
      <c r="K434" s="19">
        <v>54.05</v>
      </c>
      <c r="L434" s="20">
        <v>0.3</v>
      </c>
      <c r="M434" s="19">
        <f>Tienda!$K3399-Tienda!$K3399*Tienda!$L3399</f>
        <v>47.295999999999999</v>
      </c>
      <c r="N434" s="3" t="s">
        <v>10039</v>
      </c>
      <c r="O434" s="3" t="s">
        <v>10041</v>
      </c>
      <c r="P434" s="17">
        <v>45850</v>
      </c>
      <c r="Q434" s="4">
        <v>0</v>
      </c>
    </row>
    <row r="435" spans="1:17" x14ac:dyDescent="0.25">
      <c r="A435" s="2" t="s">
        <v>1229</v>
      </c>
      <c r="B435" s="3" t="s">
        <v>5015</v>
      </c>
      <c r="C435" s="3">
        <v>31</v>
      </c>
      <c r="D435" s="46" t="str">
        <f>IF(Tabla1[[#This Row],[EDAD]]&lt;=35,"Adultos jóvenes 18 - 35 años",IF(C435&gt;=36,"Adultos mayores 36 años en adelante"))</f>
        <v>Adultos jóvenes 18 - 35 años</v>
      </c>
      <c r="E435" s="3" t="s">
        <v>5020</v>
      </c>
      <c r="F435" s="3" t="s">
        <v>5029</v>
      </c>
      <c r="G435" s="3" t="s">
        <v>5031</v>
      </c>
      <c r="H435" s="3" t="s">
        <v>6252</v>
      </c>
      <c r="I435" s="17">
        <v>45860</v>
      </c>
      <c r="J435" s="18">
        <f>YEAR(Tabla1[[#This Row],[FECHA DE COMPRA]])</f>
        <v>2025</v>
      </c>
      <c r="K435" s="19">
        <v>63.24</v>
      </c>
      <c r="L435" s="20">
        <v>0</v>
      </c>
      <c r="M435" s="19">
        <f>Tienda!$K3403-Tienda!$K3403*Tienda!$L3403</f>
        <v>49.265999999999998</v>
      </c>
      <c r="N435" s="3" t="s">
        <v>10039</v>
      </c>
      <c r="O435" s="3" t="s">
        <v>10041</v>
      </c>
      <c r="P435" s="17">
        <v>45860</v>
      </c>
      <c r="Q435" s="4">
        <v>0</v>
      </c>
    </row>
    <row r="436" spans="1:17" x14ac:dyDescent="0.25">
      <c r="A436" s="2" t="s">
        <v>3437</v>
      </c>
      <c r="B436" s="3" t="s">
        <v>5015</v>
      </c>
      <c r="C436" s="3">
        <v>26</v>
      </c>
      <c r="D436" s="46" t="str">
        <f>IF(Tabla1[[#This Row],[EDAD]]&lt;=35,"Adultos jóvenes 18 - 35 años",IF(C436&gt;=36,"Adultos mayores 36 años en adelante"))</f>
        <v>Adultos jóvenes 18 - 35 años</v>
      </c>
      <c r="E436" s="3" t="s">
        <v>5019</v>
      </c>
      <c r="F436" s="3" t="s">
        <v>5027</v>
      </c>
      <c r="G436" s="3" t="s">
        <v>5031</v>
      </c>
      <c r="H436" s="3" t="s">
        <v>8460</v>
      </c>
      <c r="I436" s="17">
        <v>45852</v>
      </c>
      <c r="J436" s="18">
        <f>YEAR(Tabla1[[#This Row],[FECHA DE COMPRA]])</f>
        <v>2025</v>
      </c>
      <c r="K436" s="19">
        <v>79.099999999999994</v>
      </c>
      <c r="L436" s="20">
        <v>0.3</v>
      </c>
      <c r="M436" s="19">
        <f>Tienda!$K3412-Tienda!$K3412*Tienda!$L3412</f>
        <v>146.90699999999998</v>
      </c>
      <c r="N436" s="3" t="s">
        <v>10039</v>
      </c>
      <c r="O436" s="3" t="s">
        <v>10041</v>
      </c>
      <c r="P436" s="17">
        <v>45852</v>
      </c>
      <c r="Q436" s="4">
        <v>0</v>
      </c>
    </row>
    <row r="437" spans="1:17" x14ac:dyDescent="0.25">
      <c r="A437" s="2" t="s">
        <v>3355</v>
      </c>
      <c r="B437" s="3" t="s">
        <v>5015</v>
      </c>
      <c r="C437" s="3">
        <v>21</v>
      </c>
      <c r="D437" s="46" t="str">
        <f>IF(Tabla1[[#This Row],[EDAD]]&lt;=35,"Adultos jóvenes 18 - 35 años",IF(C437&gt;=36,"Adultos mayores 36 años en adelante"))</f>
        <v>Adultos jóvenes 18 - 35 años</v>
      </c>
      <c r="E437" s="3" t="s">
        <v>5019</v>
      </c>
      <c r="F437" s="3" t="s">
        <v>5024</v>
      </c>
      <c r="G437" s="3" t="s">
        <v>5031</v>
      </c>
      <c r="H437" s="3" t="s">
        <v>8378</v>
      </c>
      <c r="I437" s="17">
        <v>45869</v>
      </c>
      <c r="J437" s="18">
        <f>YEAR(Tabla1[[#This Row],[FECHA DE COMPRA]])</f>
        <v>2025</v>
      </c>
      <c r="K437" s="19">
        <v>80.19</v>
      </c>
      <c r="L437" s="20">
        <v>0.2</v>
      </c>
      <c r="M437" s="19">
        <f>Tienda!$K3413-Tienda!$K3413*Tienda!$L3413</f>
        <v>142.35999999999999</v>
      </c>
      <c r="N437" s="3" t="s">
        <v>10039</v>
      </c>
      <c r="O437" s="3" t="s">
        <v>10041</v>
      </c>
      <c r="P437" s="17">
        <v>45869</v>
      </c>
      <c r="Q437" s="4">
        <v>0</v>
      </c>
    </row>
    <row r="438" spans="1:17" x14ac:dyDescent="0.25">
      <c r="A438" s="2" t="s">
        <v>2661</v>
      </c>
      <c r="B438" s="3" t="s">
        <v>5016</v>
      </c>
      <c r="C438" s="3">
        <v>20</v>
      </c>
      <c r="D438" s="46" t="str">
        <f>IF(Tabla1[[#This Row],[EDAD]]&lt;=35,"Adultos jóvenes 18 - 35 años",IF(C438&gt;=36,"Adultos mayores 36 años en adelante"))</f>
        <v>Adultos jóvenes 18 - 35 años</v>
      </c>
      <c r="E438" s="3" t="s">
        <v>5019</v>
      </c>
      <c r="F438" s="3" t="s">
        <v>5025</v>
      </c>
      <c r="G438" s="3" t="s">
        <v>5031</v>
      </c>
      <c r="H438" s="3" t="s">
        <v>7684</v>
      </c>
      <c r="I438" s="17">
        <v>45847</v>
      </c>
      <c r="J438" s="18">
        <f>YEAR(Tabla1[[#This Row],[FECHA DE COMPRA]])</f>
        <v>2025</v>
      </c>
      <c r="K438" s="19">
        <v>82.82</v>
      </c>
      <c r="L438" s="20">
        <v>0.2</v>
      </c>
      <c r="M438" s="19">
        <f>Tienda!$K3416-Tienda!$K3416*Tienda!$L3416</f>
        <v>127.505</v>
      </c>
      <c r="N438" s="3" t="s">
        <v>10039</v>
      </c>
      <c r="O438" s="3" t="s">
        <v>10041</v>
      </c>
      <c r="P438" s="17">
        <v>45847</v>
      </c>
      <c r="Q438" s="4">
        <v>0</v>
      </c>
    </row>
    <row r="439" spans="1:17" x14ac:dyDescent="0.25">
      <c r="A439" s="2" t="s">
        <v>450</v>
      </c>
      <c r="B439" s="3" t="s">
        <v>5015</v>
      </c>
      <c r="C439" s="3">
        <v>32</v>
      </c>
      <c r="D439" s="46" t="str">
        <f>IF(Tabla1[[#This Row],[EDAD]]&lt;=35,"Adultos jóvenes 18 - 35 años",IF(C439&gt;=36,"Adultos mayores 36 años en adelante"))</f>
        <v>Adultos jóvenes 18 - 35 años</v>
      </c>
      <c r="E439" s="3" t="s">
        <v>5022</v>
      </c>
      <c r="F439" s="3" t="s">
        <v>5030</v>
      </c>
      <c r="G439" s="3" t="s">
        <v>5035</v>
      </c>
      <c r="H439" s="3" t="s">
        <v>5473</v>
      </c>
      <c r="I439" s="17">
        <v>45855</v>
      </c>
      <c r="J439" s="18">
        <f>YEAR(Tabla1[[#This Row],[FECHA DE COMPRA]])</f>
        <v>2025</v>
      </c>
      <c r="K439" s="19">
        <v>90.07</v>
      </c>
      <c r="L439" s="20">
        <v>0.1</v>
      </c>
      <c r="M439" s="19">
        <f>Tienda!$K3422-Tienda!$K3422*Tienda!$L3422</f>
        <v>72.496000000000009</v>
      </c>
      <c r="N439" s="3" t="s">
        <v>10039</v>
      </c>
      <c r="O439" s="3" t="s">
        <v>10041</v>
      </c>
      <c r="P439" s="17">
        <v>45855</v>
      </c>
      <c r="Q439" s="4">
        <v>0</v>
      </c>
    </row>
    <row r="440" spans="1:17" x14ac:dyDescent="0.25">
      <c r="A440" s="2" t="s">
        <v>2552</v>
      </c>
      <c r="B440" s="3" t="s">
        <v>5015</v>
      </c>
      <c r="C440" s="3">
        <v>34</v>
      </c>
      <c r="D440" s="46" t="str">
        <f>IF(Tabla1[[#This Row],[EDAD]]&lt;=35,"Adultos jóvenes 18 - 35 años",IF(C440&gt;=36,"Adultos mayores 36 años en adelante"))</f>
        <v>Adultos jóvenes 18 - 35 años</v>
      </c>
      <c r="E440" s="3" t="s">
        <v>5022</v>
      </c>
      <c r="F440" s="3" t="s">
        <v>5030</v>
      </c>
      <c r="G440" s="3" t="s">
        <v>5035</v>
      </c>
      <c r="H440" s="3" t="s">
        <v>7575</v>
      </c>
      <c r="I440" s="17">
        <v>45844</v>
      </c>
      <c r="J440" s="18">
        <f>YEAR(Tabla1[[#This Row],[FECHA DE COMPRA]])</f>
        <v>2025</v>
      </c>
      <c r="K440" s="19">
        <v>94.11</v>
      </c>
      <c r="L440" s="20">
        <v>0.1</v>
      </c>
      <c r="M440" s="19">
        <f>Tienda!$K3426-Tienda!$K3426*Tienda!$L3426</f>
        <v>154.31</v>
      </c>
      <c r="N440" s="3" t="s">
        <v>10039</v>
      </c>
      <c r="O440" s="3" t="s">
        <v>10041</v>
      </c>
      <c r="P440" s="17">
        <v>45844</v>
      </c>
      <c r="Q440" s="4">
        <v>0</v>
      </c>
    </row>
    <row r="441" spans="1:17" x14ac:dyDescent="0.25">
      <c r="A441" s="2" t="s">
        <v>2280</v>
      </c>
      <c r="B441" s="3" t="s">
        <v>5015</v>
      </c>
      <c r="C441" s="3">
        <v>31</v>
      </c>
      <c r="D441" s="46" t="str">
        <f>IF(Tabla1[[#This Row],[EDAD]]&lt;=35,"Adultos jóvenes 18 - 35 años",IF(C441&gt;=36,"Adultos mayores 36 años en adelante"))</f>
        <v>Adultos jóvenes 18 - 35 años</v>
      </c>
      <c r="E441" s="3" t="s">
        <v>5022</v>
      </c>
      <c r="F441" s="3" t="s">
        <v>5028</v>
      </c>
      <c r="G441" s="3" t="s">
        <v>5034</v>
      </c>
      <c r="H441" s="3" t="s">
        <v>7303</v>
      </c>
      <c r="I441" s="17">
        <v>45859</v>
      </c>
      <c r="J441" s="18">
        <f>YEAR(Tabla1[[#This Row],[FECHA DE COMPRA]])</f>
        <v>2025</v>
      </c>
      <c r="K441" s="19">
        <v>96.74</v>
      </c>
      <c r="L441" s="20">
        <v>0</v>
      </c>
      <c r="M441" s="19">
        <f>Tienda!$K3429-Tienda!$K3429*Tienda!$L3429</f>
        <v>141.512</v>
      </c>
      <c r="N441" s="3" t="s">
        <v>10039</v>
      </c>
      <c r="O441" s="3" t="s">
        <v>10041</v>
      </c>
      <c r="P441" s="17">
        <v>45859</v>
      </c>
      <c r="Q441" s="4">
        <v>0</v>
      </c>
    </row>
    <row r="442" spans="1:17" x14ac:dyDescent="0.25">
      <c r="A442" s="2" t="s">
        <v>1724</v>
      </c>
      <c r="B442" s="3" t="s">
        <v>5016</v>
      </c>
      <c r="C442" s="3">
        <v>28</v>
      </c>
      <c r="D442" s="46" t="str">
        <f>IF(Tabla1[[#This Row],[EDAD]]&lt;=35,"Adultos jóvenes 18 - 35 años",IF(C442&gt;=36,"Adultos mayores 36 años en adelante"))</f>
        <v>Adultos jóvenes 18 - 35 años</v>
      </c>
      <c r="E442" s="3" t="s">
        <v>5017</v>
      </c>
      <c r="F442" s="3" t="s">
        <v>5024</v>
      </c>
      <c r="G442" s="3" t="s">
        <v>5033</v>
      </c>
      <c r="H442" s="3" t="s">
        <v>6747</v>
      </c>
      <c r="I442" s="17">
        <v>45864</v>
      </c>
      <c r="J442" s="18">
        <f>YEAR(Tabla1[[#This Row],[FECHA DE COMPRA]])</f>
        <v>2025</v>
      </c>
      <c r="K442" s="19">
        <v>98.1</v>
      </c>
      <c r="L442" s="20">
        <v>0.1</v>
      </c>
      <c r="M442" s="19">
        <f>Tienda!$K3430-Tienda!$K3430*Tienda!$L3430</f>
        <v>9.6120000000000001</v>
      </c>
      <c r="N442" s="3" t="s">
        <v>10039</v>
      </c>
      <c r="O442" s="3" t="s">
        <v>10041</v>
      </c>
      <c r="P442" s="17">
        <v>45864</v>
      </c>
      <c r="Q442" s="4">
        <v>0</v>
      </c>
    </row>
    <row r="443" spans="1:17" x14ac:dyDescent="0.25">
      <c r="A443" s="2" t="s">
        <v>3748</v>
      </c>
      <c r="B443" s="3" t="s">
        <v>5015</v>
      </c>
      <c r="C443" s="3">
        <v>22</v>
      </c>
      <c r="D443" s="46" t="str">
        <f>IF(Tabla1[[#This Row],[EDAD]]&lt;=35,"Adultos jóvenes 18 - 35 años",IF(C443&gt;=36,"Adultos mayores 36 años en adelante"))</f>
        <v>Adultos jóvenes 18 - 35 años</v>
      </c>
      <c r="E443" s="3" t="s">
        <v>5021</v>
      </c>
      <c r="F443" s="3" t="s">
        <v>5028</v>
      </c>
      <c r="G443" s="3" t="s">
        <v>5031</v>
      </c>
      <c r="H443" s="3" t="s">
        <v>8771</v>
      </c>
      <c r="I443" s="17">
        <v>45866</v>
      </c>
      <c r="J443" s="18">
        <f>YEAR(Tabla1[[#This Row],[FECHA DE COMPRA]])</f>
        <v>2025</v>
      </c>
      <c r="K443" s="19">
        <v>100.29</v>
      </c>
      <c r="L443" s="20">
        <v>0.1</v>
      </c>
      <c r="M443" s="19">
        <f>Tienda!$K3431-Tienda!$K3431*Tienda!$L3431</f>
        <v>35.94</v>
      </c>
      <c r="N443" s="3" t="s">
        <v>10039</v>
      </c>
      <c r="O443" s="3" t="s">
        <v>10041</v>
      </c>
      <c r="P443" s="17">
        <v>45866</v>
      </c>
      <c r="Q443" s="4">
        <v>0</v>
      </c>
    </row>
    <row r="444" spans="1:17" x14ac:dyDescent="0.25">
      <c r="A444" s="2" t="s">
        <v>415</v>
      </c>
      <c r="B444" s="3" t="s">
        <v>5016</v>
      </c>
      <c r="C444" s="3">
        <v>23</v>
      </c>
      <c r="D444" s="46" t="str">
        <f>IF(Tabla1[[#This Row],[EDAD]]&lt;=35,"Adultos jóvenes 18 - 35 años",IF(C444&gt;=36,"Adultos mayores 36 años en adelante"))</f>
        <v>Adultos jóvenes 18 - 35 años</v>
      </c>
      <c r="E444" s="3" t="s">
        <v>5017</v>
      </c>
      <c r="F444" s="3" t="s">
        <v>5028</v>
      </c>
      <c r="G444" s="3" t="s">
        <v>5036</v>
      </c>
      <c r="H444" s="3" t="s">
        <v>5438</v>
      </c>
      <c r="I444" s="17">
        <v>45852</v>
      </c>
      <c r="J444" s="18">
        <f>YEAR(Tabla1[[#This Row],[FECHA DE COMPRA]])</f>
        <v>2025</v>
      </c>
      <c r="K444" s="19">
        <v>109.68</v>
      </c>
      <c r="L444" s="20">
        <v>0</v>
      </c>
      <c r="M444" s="19">
        <f>Tienda!$K3432-Tienda!$K3432*Tienda!$L3432</f>
        <v>130.72800000000001</v>
      </c>
      <c r="N444" s="3" t="s">
        <v>10039</v>
      </c>
      <c r="O444" s="3" t="s">
        <v>10041</v>
      </c>
      <c r="P444" s="17">
        <v>45852</v>
      </c>
      <c r="Q444" s="4">
        <v>0</v>
      </c>
    </row>
    <row r="445" spans="1:17" x14ac:dyDescent="0.25">
      <c r="A445" s="2" t="s">
        <v>3776</v>
      </c>
      <c r="B445" s="3" t="s">
        <v>5015</v>
      </c>
      <c r="C445" s="3">
        <v>19</v>
      </c>
      <c r="D445" s="46" t="str">
        <f>IF(Tabla1[[#This Row],[EDAD]]&lt;=35,"Adultos jóvenes 18 - 35 años",IF(C445&gt;=36,"Adultos mayores 36 años en adelante"))</f>
        <v>Adultos jóvenes 18 - 35 años</v>
      </c>
      <c r="E445" s="3" t="s">
        <v>5021</v>
      </c>
      <c r="F445" s="3" t="s">
        <v>5029</v>
      </c>
      <c r="G445" s="3" t="s">
        <v>5034</v>
      </c>
      <c r="H445" s="3" t="s">
        <v>8799</v>
      </c>
      <c r="I445" s="17">
        <v>45844</v>
      </c>
      <c r="J445" s="18">
        <f>YEAR(Tabla1[[#This Row],[FECHA DE COMPRA]])</f>
        <v>2025</v>
      </c>
      <c r="K445" s="19">
        <v>110.35</v>
      </c>
      <c r="L445" s="20">
        <v>0</v>
      </c>
      <c r="M445" s="19">
        <f>Tienda!$K3433-Tienda!$K3433*Tienda!$L3433</f>
        <v>83.808000000000007</v>
      </c>
      <c r="N445" s="3" t="s">
        <v>10039</v>
      </c>
      <c r="O445" s="3" t="s">
        <v>10041</v>
      </c>
      <c r="P445" s="17">
        <v>45844</v>
      </c>
      <c r="Q445" s="4">
        <v>0</v>
      </c>
    </row>
    <row r="446" spans="1:17" x14ac:dyDescent="0.25">
      <c r="A446" s="2" t="s">
        <v>3325</v>
      </c>
      <c r="B446" s="3" t="s">
        <v>5015</v>
      </c>
      <c r="C446" s="3">
        <v>26</v>
      </c>
      <c r="D446" s="46" t="str">
        <f>IF(Tabla1[[#This Row],[EDAD]]&lt;=35,"Adultos jóvenes 18 - 35 años",IF(C446&gt;=36,"Adultos mayores 36 años en adelante"))</f>
        <v>Adultos jóvenes 18 - 35 años</v>
      </c>
      <c r="E446" s="3" t="s">
        <v>5019</v>
      </c>
      <c r="F446" s="3" t="s">
        <v>5027</v>
      </c>
      <c r="G446" s="3" t="s">
        <v>5033</v>
      </c>
      <c r="H446" s="3" t="s">
        <v>8348</v>
      </c>
      <c r="I446" s="17">
        <v>45855</v>
      </c>
      <c r="J446" s="18">
        <f>YEAR(Tabla1[[#This Row],[FECHA DE COMPRA]])</f>
        <v>2025</v>
      </c>
      <c r="K446" s="19">
        <v>110.91</v>
      </c>
      <c r="L446" s="20">
        <v>0</v>
      </c>
      <c r="M446" s="19">
        <f>Tienda!$K3434-Tienda!$K3434*Tienda!$L3434</f>
        <v>30.707999999999998</v>
      </c>
      <c r="N446" s="3" t="s">
        <v>10039</v>
      </c>
      <c r="O446" s="3" t="s">
        <v>10041</v>
      </c>
      <c r="P446" s="17">
        <v>45855</v>
      </c>
      <c r="Q446" s="4">
        <v>0</v>
      </c>
    </row>
    <row r="447" spans="1:17" x14ac:dyDescent="0.25">
      <c r="A447" s="2" t="s">
        <v>1624</v>
      </c>
      <c r="B447" s="3" t="s">
        <v>5016</v>
      </c>
      <c r="C447" s="3">
        <v>34</v>
      </c>
      <c r="D447" s="46" t="str">
        <f>IF(Tabla1[[#This Row],[EDAD]]&lt;=35,"Adultos jóvenes 18 - 35 años",IF(C447&gt;=36,"Adultos mayores 36 años en adelante"))</f>
        <v>Adultos jóvenes 18 - 35 años</v>
      </c>
      <c r="E447" s="3" t="s">
        <v>5017</v>
      </c>
      <c r="F447" s="3" t="s">
        <v>5028</v>
      </c>
      <c r="G447" s="3" t="s">
        <v>5035</v>
      </c>
      <c r="H447" s="3" t="s">
        <v>6647</v>
      </c>
      <c r="I447" s="17">
        <v>45843</v>
      </c>
      <c r="J447" s="18">
        <f>YEAR(Tabla1[[#This Row],[FECHA DE COMPRA]])</f>
        <v>2025</v>
      </c>
      <c r="K447" s="19">
        <v>112.09</v>
      </c>
      <c r="L447" s="20">
        <v>0.1</v>
      </c>
      <c r="M447" s="19">
        <f>Tienda!$K3435-Tienda!$K3435*Tienda!$L3435</f>
        <v>40.480999999999995</v>
      </c>
      <c r="N447" s="3" t="s">
        <v>10039</v>
      </c>
      <c r="O447" s="3" t="s">
        <v>10041</v>
      </c>
      <c r="P447" s="17">
        <v>45843</v>
      </c>
      <c r="Q447" s="4">
        <v>0</v>
      </c>
    </row>
    <row r="448" spans="1:17" x14ac:dyDescent="0.25">
      <c r="A448" s="2" t="s">
        <v>1092</v>
      </c>
      <c r="B448" s="3" t="s">
        <v>5015</v>
      </c>
      <c r="C448" s="3">
        <v>21</v>
      </c>
      <c r="D448" s="46" t="str">
        <f>IF(Tabla1[[#This Row],[EDAD]]&lt;=35,"Adultos jóvenes 18 - 35 años",IF(C448&gt;=36,"Adultos mayores 36 años en adelante"))</f>
        <v>Adultos jóvenes 18 - 35 años</v>
      </c>
      <c r="E448" s="3" t="s">
        <v>5021</v>
      </c>
      <c r="F448" s="3" t="s">
        <v>5025</v>
      </c>
      <c r="G448" s="3" t="s">
        <v>5035</v>
      </c>
      <c r="H448" s="3" t="s">
        <v>6115</v>
      </c>
      <c r="I448" s="17">
        <v>45861</v>
      </c>
      <c r="J448" s="18">
        <f>YEAR(Tabla1[[#This Row],[FECHA DE COMPRA]])</f>
        <v>2025</v>
      </c>
      <c r="K448" s="19">
        <v>113.95</v>
      </c>
      <c r="L448" s="20">
        <v>0.1</v>
      </c>
      <c r="M448" s="19">
        <f>Tienda!$K3437-Tienda!$K3437*Tienda!$L3437</f>
        <v>39.472000000000001</v>
      </c>
      <c r="N448" s="3" t="s">
        <v>10039</v>
      </c>
      <c r="O448" s="3" t="s">
        <v>10041</v>
      </c>
      <c r="P448" s="17">
        <v>45861</v>
      </c>
      <c r="Q448" s="4">
        <v>0</v>
      </c>
    </row>
    <row r="449" spans="1:17" x14ac:dyDescent="0.25">
      <c r="A449" s="2" t="s">
        <v>4783</v>
      </c>
      <c r="B449" s="3" t="s">
        <v>5016</v>
      </c>
      <c r="C449" s="3">
        <v>23</v>
      </c>
      <c r="D449" s="46" t="str">
        <f>IF(Tabla1[[#This Row],[EDAD]]&lt;=35,"Adultos jóvenes 18 - 35 años",IF(C449&gt;=36,"Adultos mayores 36 años en adelante"))</f>
        <v>Adultos jóvenes 18 - 35 años</v>
      </c>
      <c r="E449" s="3" t="s">
        <v>5023</v>
      </c>
      <c r="F449" s="3" t="s">
        <v>5026</v>
      </c>
      <c r="G449" s="3" t="s">
        <v>5034</v>
      </c>
      <c r="H449" s="3" t="s">
        <v>9806</v>
      </c>
      <c r="I449" s="17">
        <v>45841</v>
      </c>
      <c r="J449" s="18">
        <f>YEAR(Tabla1[[#This Row],[FECHA DE COMPRA]])</f>
        <v>2025</v>
      </c>
      <c r="K449" s="19">
        <v>118.23</v>
      </c>
      <c r="L449" s="20">
        <v>0</v>
      </c>
      <c r="M449" s="19">
        <f>Tienda!$K3439-Tienda!$K3439*Tienda!$L3439</f>
        <v>10.476000000000001</v>
      </c>
      <c r="N449" s="3" t="s">
        <v>10039</v>
      </c>
      <c r="O449" s="3" t="s">
        <v>10041</v>
      </c>
      <c r="P449" s="17">
        <v>45841</v>
      </c>
      <c r="Q449" s="4">
        <v>0</v>
      </c>
    </row>
    <row r="450" spans="1:17" x14ac:dyDescent="0.25">
      <c r="A450" s="2" t="s">
        <v>4816</v>
      </c>
      <c r="B450" s="3" t="s">
        <v>5015</v>
      </c>
      <c r="C450" s="3">
        <v>28</v>
      </c>
      <c r="D450" s="46" t="str">
        <f>IF(Tabla1[[#This Row],[EDAD]]&lt;=35,"Adultos jóvenes 18 - 35 años",IF(C450&gt;=36,"Adultos mayores 36 años en adelante"))</f>
        <v>Adultos jóvenes 18 - 35 años</v>
      </c>
      <c r="E450" s="3" t="s">
        <v>5017</v>
      </c>
      <c r="F450" s="3" t="s">
        <v>5024</v>
      </c>
      <c r="G450" s="3" t="s">
        <v>5032</v>
      </c>
      <c r="H450" s="3" t="s">
        <v>9839</v>
      </c>
      <c r="I450" s="17">
        <v>45850</v>
      </c>
      <c r="J450" s="18">
        <f>YEAR(Tabla1[[#This Row],[FECHA DE COMPRA]])</f>
        <v>2025</v>
      </c>
      <c r="K450" s="19">
        <v>122.84</v>
      </c>
      <c r="L450" s="20">
        <v>0</v>
      </c>
      <c r="M450" s="19">
        <f>Tienda!$K3442-Tienda!$K3442*Tienda!$L3442</f>
        <v>23.960999999999999</v>
      </c>
      <c r="N450" s="3" t="s">
        <v>10039</v>
      </c>
      <c r="O450" s="3" t="s">
        <v>10041</v>
      </c>
      <c r="P450" s="17">
        <v>45850</v>
      </c>
      <c r="Q450" s="4">
        <v>0</v>
      </c>
    </row>
    <row r="451" spans="1:17" x14ac:dyDescent="0.25">
      <c r="A451" s="2" t="s">
        <v>2421</v>
      </c>
      <c r="B451" s="3" t="s">
        <v>5015</v>
      </c>
      <c r="C451" s="3">
        <v>34</v>
      </c>
      <c r="D451" s="46" t="str">
        <f>IF(Tabla1[[#This Row],[EDAD]]&lt;=35,"Adultos jóvenes 18 - 35 años",IF(C451&gt;=36,"Adultos mayores 36 años en adelante"))</f>
        <v>Adultos jóvenes 18 - 35 años</v>
      </c>
      <c r="E451" s="3" t="s">
        <v>5018</v>
      </c>
      <c r="F451" s="3" t="s">
        <v>5027</v>
      </c>
      <c r="G451" s="3" t="s">
        <v>5031</v>
      </c>
      <c r="H451" s="3" t="s">
        <v>7444</v>
      </c>
      <c r="I451" s="17">
        <v>45852</v>
      </c>
      <c r="J451" s="18">
        <f>YEAR(Tabla1[[#This Row],[FECHA DE COMPRA]])</f>
        <v>2025</v>
      </c>
      <c r="K451" s="19">
        <v>125.24</v>
      </c>
      <c r="L451" s="20">
        <v>0</v>
      </c>
      <c r="M451" s="19">
        <f>Tienda!$K3444-Tienda!$K3444*Tienda!$L3444</f>
        <v>46.025999999999996</v>
      </c>
      <c r="N451" s="3" t="s">
        <v>10039</v>
      </c>
      <c r="O451" s="3" t="s">
        <v>10041</v>
      </c>
      <c r="P451" s="17">
        <v>45852</v>
      </c>
      <c r="Q451" s="4">
        <v>0</v>
      </c>
    </row>
    <row r="452" spans="1:17" x14ac:dyDescent="0.25">
      <c r="A452" s="2" t="s">
        <v>3615</v>
      </c>
      <c r="B452" s="3" t="s">
        <v>5015</v>
      </c>
      <c r="C452" s="3">
        <v>21</v>
      </c>
      <c r="D452" s="46" t="str">
        <f>IF(Tabla1[[#This Row],[EDAD]]&lt;=35,"Adultos jóvenes 18 - 35 años",IF(C452&gt;=36,"Adultos mayores 36 años en adelante"))</f>
        <v>Adultos jóvenes 18 - 35 años</v>
      </c>
      <c r="E452" s="3" t="s">
        <v>5018</v>
      </c>
      <c r="F452" s="3" t="s">
        <v>5029</v>
      </c>
      <c r="G452" s="3" t="s">
        <v>5034</v>
      </c>
      <c r="H452" s="3" t="s">
        <v>8638</v>
      </c>
      <c r="I452" s="17">
        <v>45859</v>
      </c>
      <c r="J452" s="18">
        <f>YEAR(Tabla1[[#This Row],[FECHA DE COMPRA]])</f>
        <v>2025</v>
      </c>
      <c r="K452" s="19">
        <v>140.51</v>
      </c>
      <c r="L452" s="20">
        <v>0.1</v>
      </c>
      <c r="M452" s="19">
        <f>Tienda!$K3449-Tienda!$K3449*Tienda!$L3449</f>
        <v>61.461000000000006</v>
      </c>
      <c r="N452" s="3" t="s">
        <v>10039</v>
      </c>
      <c r="O452" s="3" t="s">
        <v>10041</v>
      </c>
      <c r="P452" s="17">
        <v>45859</v>
      </c>
      <c r="Q452" s="4">
        <v>0</v>
      </c>
    </row>
    <row r="453" spans="1:17" x14ac:dyDescent="0.25">
      <c r="A453" s="2" t="s">
        <v>322</v>
      </c>
      <c r="B453" s="3" t="s">
        <v>5015</v>
      </c>
      <c r="C453" s="3">
        <v>33</v>
      </c>
      <c r="D453" s="46" t="str">
        <f>IF(Tabla1[[#This Row],[EDAD]]&lt;=35,"Adultos jóvenes 18 - 35 años",IF(C453&gt;=36,"Adultos mayores 36 años en adelante"))</f>
        <v>Adultos jóvenes 18 - 35 años</v>
      </c>
      <c r="E453" s="3" t="s">
        <v>5022</v>
      </c>
      <c r="F453" s="3" t="s">
        <v>5025</v>
      </c>
      <c r="G453" s="3" t="s">
        <v>5036</v>
      </c>
      <c r="H453" s="3" t="s">
        <v>5345</v>
      </c>
      <c r="I453" s="17">
        <v>45861</v>
      </c>
      <c r="J453" s="18">
        <f>YEAR(Tabla1[[#This Row],[FECHA DE COMPRA]])</f>
        <v>2025</v>
      </c>
      <c r="K453" s="19">
        <v>151.28</v>
      </c>
      <c r="L453" s="20">
        <v>0.1</v>
      </c>
      <c r="M453" s="19">
        <f>Tienda!$K3451-Tienda!$K3451*Tienda!$L3451</f>
        <v>83.27</v>
      </c>
      <c r="N453" s="3" t="s">
        <v>10039</v>
      </c>
      <c r="O453" s="3" t="s">
        <v>10041</v>
      </c>
      <c r="P453" s="17">
        <v>45861</v>
      </c>
      <c r="Q453" s="4">
        <v>0</v>
      </c>
    </row>
    <row r="454" spans="1:17" x14ac:dyDescent="0.25">
      <c r="A454" s="2" t="s">
        <v>1412</v>
      </c>
      <c r="B454" s="3" t="s">
        <v>5015</v>
      </c>
      <c r="C454" s="3">
        <v>25</v>
      </c>
      <c r="D454" s="46" t="str">
        <f>IF(Tabla1[[#This Row],[EDAD]]&lt;=35,"Adultos jóvenes 18 - 35 años",IF(C454&gt;=36,"Adultos mayores 36 años en adelante"))</f>
        <v>Adultos jóvenes 18 - 35 años</v>
      </c>
      <c r="E454" s="3" t="s">
        <v>5022</v>
      </c>
      <c r="F454" s="3" t="s">
        <v>5030</v>
      </c>
      <c r="G454" s="3" t="s">
        <v>5034</v>
      </c>
      <c r="H454" s="3" t="s">
        <v>6435</v>
      </c>
      <c r="I454" s="17">
        <v>45858</v>
      </c>
      <c r="J454" s="18">
        <f>YEAR(Tabla1[[#This Row],[FECHA DE COMPRA]])</f>
        <v>2025</v>
      </c>
      <c r="K454" s="19">
        <v>155.18</v>
      </c>
      <c r="L454" s="20">
        <v>0</v>
      </c>
      <c r="M454" s="19">
        <f>Tienda!$K3452-Tienda!$K3452*Tienda!$L3452</f>
        <v>85.97</v>
      </c>
      <c r="N454" s="3" t="s">
        <v>10039</v>
      </c>
      <c r="O454" s="3" t="s">
        <v>10041</v>
      </c>
      <c r="P454" s="17">
        <v>45858</v>
      </c>
      <c r="Q454" s="4">
        <v>0</v>
      </c>
    </row>
    <row r="455" spans="1:17" x14ac:dyDescent="0.25">
      <c r="A455" s="2" t="s">
        <v>4746</v>
      </c>
      <c r="B455" s="3" t="s">
        <v>5016</v>
      </c>
      <c r="C455" s="3">
        <v>32</v>
      </c>
      <c r="D455" s="46" t="str">
        <f>IF(Tabla1[[#This Row],[EDAD]]&lt;=35,"Adultos jóvenes 18 - 35 años",IF(C455&gt;=36,"Adultos mayores 36 años en adelante"))</f>
        <v>Adultos jóvenes 18 - 35 años</v>
      </c>
      <c r="E455" s="3" t="s">
        <v>5017</v>
      </c>
      <c r="F455" s="3" t="s">
        <v>5024</v>
      </c>
      <c r="G455" s="3" t="s">
        <v>5031</v>
      </c>
      <c r="H455" s="3" t="s">
        <v>9769</v>
      </c>
      <c r="I455" s="17">
        <v>45845</v>
      </c>
      <c r="J455" s="18">
        <f>YEAR(Tabla1[[#This Row],[FECHA DE COMPRA]])</f>
        <v>2025</v>
      </c>
      <c r="K455" s="19">
        <v>172.3</v>
      </c>
      <c r="L455" s="20">
        <v>0.3</v>
      </c>
      <c r="M455" s="19">
        <f>Tienda!$K3461-Tienda!$K3461*Tienda!$L3461</f>
        <v>133.42500000000001</v>
      </c>
      <c r="N455" s="3" t="s">
        <v>10039</v>
      </c>
      <c r="O455" s="3" t="s">
        <v>10041</v>
      </c>
      <c r="P455" s="17">
        <v>45845</v>
      </c>
      <c r="Q455" s="4">
        <v>0</v>
      </c>
    </row>
    <row r="456" spans="1:17" x14ac:dyDescent="0.25">
      <c r="A456" s="2" t="s">
        <v>2110</v>
      </c>
      <c r="B456" s="3" t="s">
        <v>5015</v>
      </c>
      <c r="C456" s="3">
        <v>31</v>
      </c>
      <c r="D456" s="46" t="str">
        <f>IF(Tabla1[[#This Row],[EDAD]]&lt;=35,"Adultos jóvenes 18 - 35 años",IF(C456&gt;=36,"Adultos mayores 36 años en adelante"))</f>
        <v>Adultos jóvenes 18 - 35 años</v>
      </c>
      <c r="E456" s="3" t="s">
        <v>5020</v>
      </c>
      <c r="F456" s="3" t="s">
        <v>5026</v>
      </c>
      <c r="G456" s="3" t="s">
        <v>5034</v>
      </c>
      <c r="H456" s="3" t="s">
        <v>7133</v>
      </c>
      <c r="I456" s="17">
        <v>45856</v>
      </c>
      <c r="J456" s="18">
        <f>YEAR(Tabla1[[#This Row],[FECHA DE COMPRA]])</f>
        <v>2025</v>
      </c>
      <c r="K456" s="19">
        <v>184.79</v>
      </c>
      <c r="L456" s="20">
        <v>0.3</v>
      </c>
      <c r="M456" s="19">
        <f>Tienda!$K3464-Tienda!$K3464*Tienda!$L3464</f>
        <v>113.58199999999999</v>
      </c>
      <c r="N456" s="3" t="s">
        <v>10039</v>
      </c>
      <c r="O456" s="3" t="s">
        <v>10041</v>
      </c>
      <c r="P456" s="17">
        <v>45856</v>
      </c>
      <c r="Q456" s="4">
        <v>0</v>
      </c>
    </row>
    <row r="457" spans="1:17" x14ac:dyDescent="0.25">
      <c r="A457" s="2" t="s">
        <v>1313</v>
      </c>
      <c r="B457" s="3" t="s">
        <v>5015</v>
      </c>
      <c r="C457" s="3">
        <v>22</v>
      </c>
      <c r="D457" s="46" t="str">
        <f>IF(Tabla1[[#This Row],[EDAD]]&lt;=35,"Adultos jóvenes 18 - 35 años",IF(C457&gt;=36,"Adultos mayores 36 años en adelante"))</f>
        <v>Adultos jóvenes 18 - 35 años</v>
      </c>
      <c r="E457" s="3" t="s">
        <v>5017</v>
      </c>
      <c r="F457" s="3" t="s">
        <v>5026</v>
      </c>
      <c r="G457" s="3" t="s">
        <v>5036</v>
      </c>
      <c r="H457" s="3" t="s">
        <v>6336</v>
      </c>
      <c r="I457" s="17">
        <v>45858</v>
      </c>
      <c r="J457" s="18">
        <f>YEAR(Tabla1[[#This Row],[FECHA DE COMPRA]])</f>
        <v>2025</v>
      </c>
      <c r="K457" s="19">
        <v>185.11</v>
      </c>
      <c r="L457" s="20">
        <v>0.2</v>
      </c>
      <c r="M457" s="19">
        <f>Tienda!$K3465-Tienda!$K3465*Tienda!$L3465</f>
        <v>170.98</v>
      </c>
      <c r="N457" s="3" t="s">
        <v>10039</v>
      </c>
      <c r="O457" s="3" t="s">
        <v>10041</v>
      </c>
      <c r="P457" s="17">
        <v>45858</v>
      </c>
      <c r="Q457" s="4">
        <v>0</v>
      </c>
    </row>
    <row r="458" spans="1:17" x14ac:dyDescent="0.25">
      <c r="A458" s="2" t="s">
        <v>3051</v>
      </c>
      <c r="B458" s="3" t="s">
        <v>5016</v>
      </c>
      <c r="C458" s="3">
        <v>32</v>
      </c>
      <c r="D458" s="46" t="str">
        <f>IF(Tabla1[[#This Row],[EDAD]]&lt;=35,"Adultos jóvenes 18 - 35 años",IF(C458&gt;=36,"Adultos mayores 36 años en adelante"))</f>
        <v>Adultos jóvenes 18 - 35 años</v>
      </c>
      <c r="E458" s="3" t="s">
        <v>5021</v>
      </c>
      <c r="F458" s="3" t="s">
        <v>5025</v>
      </c>
      <c r="G458" s="3" t="s">
        <v>5034</v>
      </c>
      <c r="H458" s="3" t="s">
        <v>8074</v>
      </c>
      <c r="I458" s="17">
        <v>45861</v>
      </c>
      <c r="J458" s="18">
        <f>YEAR(Tabla1[[#This Row],[FECHA DE COMPRA]])</f>
        <v>2025</v>
      </c>
      <c r="K458" s="19">
        <v>186.77</v>
      </c>
      <c r="L458" s="20">
        <v>0.3</v>
      </c>
      <c r="M458" s="19">
        <f>Tienda!$K3466-Tienda!$K3466*Tienda!$L3466</f>
        <v>195.29</v>
      </c>
      <c r="N458" s="3" t="s">
        <v>10039</v>
      </c>
      <c r="O458" s="3" t="s">
        <v>10041</v>
      </c>
      <c r="P458" s="17">
        <v>45861</v>
      </c>
      <c r="Q458" s="4">
        <v>0</v>
      </c>
    </row>
    <row r="459" spans="1:17" x14ac:dyDescent="0.25">
      <c r="A459" s="2" t="s">
        <v>805</v>
      </c>
      <c r="B459" s="3" t="s">
        <v>5016</v>
      </c>
      <c r="C459" s="3">
        <v>27</v>
      </c>
      <c r="D459" s="46" t="str">
        <f>IF(Tabla1[[#This Row],[EDAD]]&lt;=35,"Adultos jóvenes 18 - 35 años",IF(C459&gt;=36,"Adultos mayores 36 años en adelante"))</f>
        <v>Adultos jóvenes 18 - 35 años</v>
      </c>
      <c r="E459" s="3" t="s">
        <v>5021</v>
      </c>
      <c r="F459" s="3" t="s">
        <v>5027</v>
      </c>
      <c r="G459" s="3" t="s">
        <v>5033</v>
      </c>
      <c r="H459" s="3" t="s">
        <v>5828</v>
      </c>
      <c r="I459" s="17">
        <v>45849</v>
      </c>
      <c r="J459" s="18">
        <f>YEAR(Tabla1[[#This Row],[FECHA DE COMPRA]])</f>
        <v>2025</v>
      </c>
      <c r="K459" s="19">
        <v>191.35</v>
      </c>
      <c r="L459" s="20">
        <v>0.3</v>
      </c>
      <c r="M459" s="19">
        <f>Tienda!$K3470-Tienda!$K3470*Tienda!$L3470</f>
        <v>27.335000000000001</v>
      </c>
      <c r="N459" s="3" t="s">
        <v>10039</v>
      </c>
      <c r="O459" s="3" t="s">
        <v>10041</v>
      </c>
      <c r="P459" s="17">
        <v>45849</v>
      </c>
      <c r="Q459" s="4">
        <v>0</v>
      </c>
    </row>
    <row r="460" spans="1:17" x14ac:dyDescent="0.25">
      <c r="A460" s="2" t="s">
        <v>1167</v>
      </c>
      <c r="B460" s="3" t="s">
        <v>5015</v>
      </c>
      <c r="C460" s="3">
        <v>24</v>
      </c>
      <c r="D460" s="46" t="str">
        <f>IF(Tabla1[[#This Row],[EDAD]]&lt;=35,"Adultos jóvenes 18 - 35 años",IF(C460&gt;=36,"Adultos mayores 36 años en adelante"))</f>
        <v>Adultos jóvenes 18 - 35 años</v>
      </c>
      <c r="E460" s="3" t="s">
        <v>5020</v>
      </c>
      <c r="F460" s="3" t="s">
        <v>5025</v>
      </c>
      <c r="G460" s="3" t="s">
        <v>5036</v>
      </c>
      <c r="H460" s="3" t="s">
        <v>6190</v>
      </c>
      <c r="I460" s="17">
        <v>45840</v>
      </c>
      <c r="J460" s="18">
        <f>YEAR(Tabla1[[#This Row],[FECHA DE COMPRA]])</f>
        <v>2025</v>
      </c>
      <c r="K460" s="19">
        <v>192.97</v>
      </c>
      <c r="L460" s="20">
        <v>0.2</v>
      </c>
      <c r="M460" s="19">
        <f>Tienda!$K3471-Tienda!$K3471*Tienda!$L3471</f>
        <v>30.597000000000001</v>
      </c>
      <c r="N460" s="3" t="s">
        <v>10039</v>
      </c>
      <c r="O460" s="3" t="s">
        <v>10041</v>
      </c>
      <c r="P460" s="17">
        <v>45840</v>
      </c>
      <c r="Q460" s="4">
        <v>0</v>
      </c>
    </row>
    <row r="461" spans="1:17" x14ac:dyDescent="0.25">
      <c r="A461" s="2" t="s">
        <v>5014</v>
      </c>
      <c r="B461" s="3" t="s">
        <v>5015</v>
      </c>
      <c r="C461" s="3">
        <v>31</v>
      </c>
      <c r="D461" s="46" t="str">
        <f>IF(Tabla1[[#This Row],[EDAD]]&lt;=35,"Adultos jóvenes 18 - 35 años",IF(C461&gt;=36,"Adultos mayores 36 años en adelante"))</f>
        <v>Adultos jóvenes 18 - 35 años</v>
      </c>
      <c r="E461" s="3" t="s">
        <v>5017</v>
      </c>
      <c r="F461" s="3" t="s">
        <v>5026</v>
      </c>
      <c r="G461" s="3" t="s">
        <v>5037</v>
      </c>
      <c r="H461" s="3" t="s">
        <v>10037</v>
      </c>
      <c r="I461" s="17">
        <v>45856</v>
      </c>
      <c r="J461" s="18">
        <f>YEAR(Tabla1[[#This Row],[FECHA DE COMPRA]])</f>
        <v>2025</v>
      </c>
      <c r="K461" s="19">
        <v>197.65</v>
      </c>
      <c r="L461" s="20">
        <v>0</v>
      </c>
      <c r="M461" s="19">
        <f>Tienda!$K3472-Tienda!$K3472*Tienda!$L3472</f>
        <v>56.718000000000004</v>
      </c>
      <c r="N461" s="3" t="s">
        <v>10039</v>
      </c>
      <c r="O461" s="3" t="s">
        <v>10041</v>
      </c>
      <c r="P461" s="17">
        <v>45856</v>
      </c>
      <c r="Q461" s="4">
        <v>0</v>
      </c>
    </row>
    <row r="462" spans="1:17" x14ac:dyDescent="0.25">
      <c r="A462" s="2" t="s">
        <v>2796</v>
      </c>
      <c r="B462" s="3" t="s">
        <v>5015</v>
      </c>
      <c r="C462" s="3">
        <v>19</v>
      </c>
      <c r="D462" s="46" t="str">
        <f>IF(Tabla1[[#This Row],[EDAD]]&lt;=35,"Adultos jóvenes 18 - 35 años",IF(C462&gt;=36,"Adultos mayores 36 años en adelante"))</f>
        <v>Adultos jóvenes 18 - 35 años</v>
      </c>
      <c r="E462" s="3" t="s">
        <v>5023</v>
      </c>
      <c r="F462" s="3" t="s">
        <v>5028</v>
      </c>
      <c r="G462" s="3" t="s">
        <v>5031</v>
      </c>
      <c r="H462" s="3" t="s">
        <v>7819</v>
      </c>
      <c r="I462" s="17">
        <v>45872</v>
      </c>
      <c r="J462" s="18">
        <f>YEAR(Tabla1[[#This Row],[FECHA DE COMPRA]])</f>
        <v>2025</v>
      </c>
      <c r="K462" s="19">
        <v>14.11</v>
      </c>
      <c r="L462" s="20">
        <v>0.1</v>
      </c>
      <c r="M462" s="19">
        <f>Tienda!$K3476-Tienda!$K3476*Tienda!$L3476</f>
        <v>84.662999999999997</v>
      </c>
      <c r="N462" s="3" t="s">
        <v>10039</v>
      </c>
      <c r="O462" s="3" t="s">
        <v>10041</v>
      </c>
      <c r="P462" s="17">
        <v>45872</v>
      </c>
      <c r="Q462" s="4">
        <v>0</v>
      </c>
    </row>
    <row r="463" spans="1:17" x14ac:dyDescent="0.25">
      <c r="A463" s="2" t="s">
        <v>337</v>
      </c>
      <c r="B463" s="3" t="s">
        <v>5016</v>
      </c>
      <c r="C463" s="3">
        <v>35</v>
      </c>
      <c r="D463" s="46" t="str">
        <f>IF(Tabla1[[#This Row],[EDAD]]&lt;=35,"Adultos jóvenes 18 - 35 años",IF(C463&gt;=36,"Adultos mayores 36 años en adelante"))</f>
        <v>Adultos jóvenes 18 - 35 años</v>
      </c>
      <c r="E463" s="3" t="s">
        <v>5017</v>
      </c>
      <c r="F463" s="3" t="s">
        <v>5030</v>
      </c>
      <c r="G463" s="3" t="s">
        <v>5034</v>
      </c>
      <c r="H463" s="3" t="s">
        <v>5360</v>
      </c>
      <c r="I463" s="17">
        <v>45881</v>
      </c>
      <c r="J463" s="18">
        <f>YEAR(Tabla1[[#This Row],[FECHA DE COMPRA]])</f>
        <v>2025</v>
      </c>
      <c r="K463" s="19">
        <v>17</v>
      </c>
      <c r="L463" s="20">
        <v>0</v>
      </c>
      <c r="M463" s="19">
        <f>Tienda!$K3479-Tienda!$K3479*Tienda!$L3479</f>
        <v>109.31</v>
      </c>
      <c r="N463" s="3" t="s">
        <v>10039</v>
      </c>
      <c r="O463" s="3" t="s">
        <v>10041</v>
      </c>
      <c r="P463" s="17">
        <v>45881</v>
      </c>
      <c r="Q463" s="4">
        <v>0</v>
      </c>
    </row>
    <row r="464" spans="1:17" x14ac:dyDescent="0.25">
      <c r="A464" s="2" t="s">
        <v>1142</v>
      </c>
      <c r="B464" s="3" t="s">
        <v>5016</v>
      </c>
      <c r="C464" s="3">
        <v>26</v>
      </c>
      <c r="D464" s="46" t="str">
        <f>IF(Tabla1[[#This Row],[EDAD]]&lt;=35,"Adultos jóvenes 18 - 35 años",IF(C464&gt;=36,"Adultos mayores 36 años en adelante"))</f>
        <v>Adultos jóvenes 18 - 35 años</v>
      </c>
      <c r="E464" s="3" t="s">
        <v>5019</v>
      </c>
      <c r="F464" s="3" t="s">
        <v>5029</v>
      </c>
      <c r="G464" s="3" t="s">
        <v>5033</v>
      </c>
      <c r="H464" s="3" t="s">
        <v>6165</v>
      </c>
      <c r="I464" s="17">
        <v>45876</v>
      </c>
      <c r="J464" s="18">
        <f>YEAR(Tabla1[[#This Row],[FECHA DE COMPRA]])</f>
        <v>2025</v>
      </c>
      <c r="K464" s="19">
        <v>17.559999999999999</v>
      </c>
      <c r="L464" s="20">
        <v>0.3</v>
      </c>
      <c r="M464" s="19">
        <f>Tienda!$K3481-Tienda!$K3481*Tienda!$L3481</f>
        <v>96.951999999999998</v>
      </c>
      <c r="N464" s="3" t="s">
        <v>10039</v>
      </c>
      <c r="O464" s="3" t="s">
        <v>10041</v>
      </c>
      <c r="P464" s="17">
        <v>45876</v>
      </c>
      <c r="Q464" s="4">
        <v>0</v>
      </c>
    </row>
    <row r="465" spans="1:17" x14ac:dyDescent="0.25">
      <c r="A465" s="2" t="s">
        <v>4157</v>
      </c>
      <c r="B465" s="3" t="s">
        <v>5016</v>
      </c>
      <c r="C465" s="3">
        <v>29</v>
      </c>
      <c r="D465" s="46" t="str">
        <f>IF(Tabla1[[#This Row],[EDAD]]&lt;=35,"Adultos jóvenes 18 - 35 años",IF(C465&gt;=36,"Adultos mayores 36 años en adelante"))</f>
        <v>Adultos jóvenes 18 - 35 años</v>
      </c>
      <c r="E465" s="3" t="s">
        <v>5017</v>
      </c>
      <c r="F465" s="3" t="s">
        <v>5024</v>
      </c>
      <c r="G465" s="3" t="s">
        <v>5032</v>
      </c>
      <c r="H465" s="3" t="s">
        <v>9180</v>
      </c>
      <c r="I465" s="17">
        <v>45885</v>
      </c>
      <c r="J465" s="18">
        <f>YEAR(Tabla1[[#This Row],[FECHA DE COMPRA]])</f>
        <v>2025</v>
      </c>
      <c r="K465" s="19">
        <v>40.909999999999997</v>
      </c>
      <c r="L465" s="20">
        <v>0</v>
      </c>
      <c r="M465" s="19">
        <f>Tienda!$K3484-Tienda!$K3484*Tienda!$L3484</f>
        <v>140.9</v>
      </c>
      <c r="N465" s="3" t="s">
        <v>10039</v>
      </c>
      <c r="O465" s="3" t="s">
        <v>10041</v>
      </c>
      <c r="P465" s="17">
        <v>45885</v>
      </c>
      <c r="Q465" s="4">
        <v>0</v>
      </c>
    </row>
    <row r="466" spans="1:17" x14ac:dyDescent="0.25">
      <c r="A466" s="2" t="s">
        <v>2789</v>
      </c>
      <c r="B466" s="3" t="s">
        <v>5016</v>
      </c>
      <c r="C466" s="3">
        <v>31</v>
      </c>
      <c r="D466" s="46" t="str">
        <f>IF(Tabla1[[#This Row],[EDAD]]&lt;=35,"Adultos jóvenes 18 - 35 años",IF(C466&gt;=36,"Adultos mayores 36 años en adelante"))</f>
        <v>Adultos jóvenes 18 - 35 años</v>
      </c>
      <c r="E466" s="3" t="s">
        <v>5023</v>
      </c>
      <c r="F466" s="3" t="s">
        <v>5026</v>
      </c>
      <c r="G466" s="3" t="s">
        <v>5034</v>
      </c>
      <c r="H466" s="3" t="s">
        <v>7812</v>
      </c>
      <c r="I466" s="17">
        <v>45872</v>
      </c>
      <c r="J466" s="18">
        <f>YEAR(Tabla1[[#This Row],[FECHA DE COMPRA]])</f>
        <v>2025</v>
      </c>
      <c r="K466" s="19">
        <v>41.54</v>
      </c>
      <c r="L466" s="20">
        <v>0</v>
      </c>
      <c r="M466" s="19">
        <f>Tienda!$K3485-Tienda!$K3485*Tienda!$L3485</f>
        <v>128.18700000000001</v>
      </c>
      <c r="N466" s="3" t="s">
        <v>10039</v>
      </c>
      <c r="O466" s="3" t="s">
        <v>10041</v>
      </c>
      <c r="P466" s="17">
        <v>45872</v>
      </c>
      <c r="Q466" s="4">
        <v>0</v>
      </c>
    </row>
    <row r="467" spans="1:17" x14ac:dyDescent="0.25">
      <c r="A467" s="2" t="s">
        <v>1833</v>
      </c>
      <c r="B467" s="3" t="s">
        <v>5015</v>
      </c>
      <c r="C467" s="3">
        <v>21</v>
      </c>
      <c r="D467" s="46" t="str">
        <f>IF(Tabla1[[#This Row],[EDAD]]&lt;=35,"Adultos jóvenes 18 - 35 años",IF(C467&gt;=36,"Adultos mayores 36 años en adelante"))</f>
        <v>Adultos jóvenes 18 - 35 años</v>
      </c>
      <c r="E467" s="3" t="s">
        <v>5022</v>
      </c>
      <c r="F467" s="3" t="s">
        <v>5024</v>
      </c>
      <c r="G467" s="3" t="s">
        <v>5034</v>
      </c>
      <c r="H467" s="3" t="s">
        <v>6856</v>
      </c>
      <c r="I467" s="17">
        <v>45879</v>
      </c>
      <c r="J467" s="18">
        <f>YEAR(Tabla1[[#This Row],[FECHA DE COMPRA]])</f>
        <v>2025</v>
      </c>
      <c r="K467" s="19">
        <v>44.04</v>
      </c>
      <c r="L467" s="20">
        <v>0.1</v>
      </c>
      <c r="M467" s="19">
        <f>Tienda!$K3488-Tienda!$K3488*Tienda!$L3488</f>
        <v>122.91999999999999</v>
      </c>
      <c r="N467" s="3" t="s">
        <v>10039</v>
      </c>
      <c r="O467" s="3" t="s">
        <v>10041</v>
      </c>
      <c r="P467" s="17">
        <v>45879</v>
      </c>
      <c r="Q467" s="4">
        <v>0</v>
      </c>
    </row>
    <row r="468" spans="1:17" x14ac:dyDescent="0.25">
      <c r="A468" s="2" t="s">
        <v>1396</v>
      </c>
      <c r="B468" s="3" t="s">
        <v>5016</v>
      </c>
      <c r="C468" s="3">
        <v>20</v>
      </c>
      <c r="D468" s="46" t="str">
        <f>IF(Tabla1[[#This Row],[EDAD]]&lt;=35,"Adultos jóvenes 18 - 35 años",IF(C468&gt;=36,"Adultos mayores 36 años en adelante"))</f>
        <v>Adultos jóvenes 18 - 35 años</v>
      </c>
      <c r="E468" s="3" t="s">
        <v>5021</v>
      </c>
      <c r="F468" s="3" t="s">
        <v>5026</v>
      </c>
      <c r="G468" s="3" t="s">
        <v>5034</v>
      </c>
      <c r="H468" s="3" t="s">
        <v>6419</v>
      </c>
      <c r="I468" s="17">
        <v>45875</v>
      </c>
      <c r="J468" s="18">
        <f>YEAR(Tabla1[[#This Row],[FECHA DE COMPRA]])</f>
        <v>2025</v>
      </c>
      <c r="K468" s="19">
        <v>77.260000000000005</v>
      </c>
      <c r="L468" s="20">
        <v>0.2</v>
      </c>
      <c r="M468" s="19">
        <f>Tienda!$K3494-Tienda!$K3494*Tienda!$L3494</f>
        <v>179.79300000000001</v>
      </c>
      <c r="N468" s="3" t="s">
        <v>10039</v>
      </c>
      <c r="O468" s="3" t="s">
        <v>10041</v>
      </c>
      <c r="P468" s="17">
        <v>45875</v>
      </c>
      <c r="Q468" s="4">
        <v>0</v>
      </c>
    </row>
    <row r="469" spans="1:17" x14ac:dyDescent="0.25">
      <c r="A469" s="2" t="s">
        <v>3950</v>
      </c>
      <c r="B469" s="3" t="s">
        <v>5015</v>
      </c>
      <c r="C469" s="3">
        <v>18</v>
      </c>
      <c r="D469" s="46" t="str">
        <f>IF(Tabla1[[#This Row],[EDAD]]&lt;=35,"Adultos jóvenes 18 - 35 años",IF(C469&gt;=36,"Adultos mayores 36 años en adelante"))</f>
        <v>Adultos jóvenes 18 - 35 años</v>
      </c>
      <c r="E469" s="3" t="s">
        <v>5022</v>
      </c>
      <c r="F469" s="3" t="s">
        <v>5028</v>
      </c>
      <c r="G469" s="3" t="s">
        <v>5031</v>
      </c>
      <c r="H469" s="3" t="s">
        <v>8973</v>
      </c>
      <c r="I469" s="17">
        <v>45873</v>
      </c>
      <c r="J469" s="18">
        <f>YEAR(Tabla1[[#This Row],[FECHA DE COMPRA]])</f>
        <v>2025</v>
      </c>
      <c r="K469" s="19">
        <v>91.48</v>
      </c>
      <c r="L469" s="20">
        <v>0.1</v>
      </c>
      <c r="M469" s="19">
        <f>Tienda!$K3496-Tienda!$K3496*Tienda!$L3496</f>
        <v>21.321000000000002</v>
      </c>
      <c r="N469" s="3" t="s">
        <v>10039</v>
      </c>
      <c r="O469" s="3" t="s">
        <v>10041</v>
      </c>
      <c r="P469" s="17">
        <v>45873</v>
      </c>
      <c r="Q469" s="4">
        <v>0</v>
      </c>
    </row>
    <row r="470" spans="1:17" x14ac:dyDescent="0.25">
      <c r="A470" s="2" t="s">
        <v>558</v>
      </c>
      <c r="B470" s="3" t="s">
        <v>5015</v>
      </c>
      <c r="C470" s="3">
        <v>23</v>
      </c>
      <c r="D470" s="46" t="str">
        <f>IF(Tabla1[[#This Row],[EDAD]]&lt;=35,"Adultos jóvenes 18 - 35 años",IF(C470&gt;=36,"Adultos mayores 36 años en adelante"))</f>
        <v>Adultos jóvenes 18 - 35 años</v>
      </c>
      <c r="E470" s="3" t="s">
        <v>5017</v>
      </c>
      <c r="F470" s="3" t="s">
        <v>5030</v>
      </c>
      <c r="G470" s="3" t="s">
        <v>5031</v>
      </c>
      <c r="H470" s="3" t="s">
        <v>5581</v>
      </c>
      <c r="I470" s="17">
        <v>45879</v>
      </c>
      <c r="J470" s="18">
        <f>YEAR(Tabla1[[#This Row],[FECHA DE COMPRA]])</f>
        <v>2025</v>
      </c>
      <c r="K470" s="19">
        <v>126.4</v>
      </c>
      <c r="L470" s="20">
        <v>0.2</v>
      </c>
      <c r="M470" s="19">
        <f>Tienda!$K3500-Tienda!$K3500*Tienda!$L3500</f>
        <v>25.06</v>
      </c>
      <c r="N470" s="3" t="s">
        <v>10039</v>
      </c>
      <c r="O470" s="3" t="s">
        <v>10041</v>
      </c>
      <c r="P470" s="17">
        <v>45879</v>
      </c>
      <c r="Q470" s="4">
        <v>0</v>
      </c>
    </row>
    <row r="471" spans="1:17" x14ac:dyDescent="0.25">
      <c r="A471" s="2" t="s">
        <v>184</v>
      </c>
      <c r="B471" s="3" t="s">
        <v>5016</v>
      </c>
      <c r="C471" s="3">
        <v>28</v>
      </c>
      <c r="D471" s="46" t="str">
        <f>IF(Tabla1[[#This Row],[EDAD]]&lt;=35,"Adultos jóvenes 18 - 35 años",IF(C471&gt;=36,"Adultos mayores 36 años en adelante"))</f>
        <v>Adultos jóvenes 18 - 35 años</v>
      </c>
      <c r="E471" s="3" t="s">
        <v>5021</v>
      </c>
      <c r="F471" s="3" t="s">
        <v>5030</v>
      </c>
      <c r="G471" s="3" t="s">
        <v>5033</v>
      </c>
      <c r="H471" s="3" t="s">
        <v>5207</v>
      </c>
      <c r="I471" s="17">
        <v>45873</v>
      </c>
      <c r="J471" s="18">
        <f>YEAR(Tabla1[[#This Row],[FECHA DE COMPRA]])</f>
        <v>2025</v>
      </c>
      <c r="K471" s="19">
        <v>126.91</v>
      </c>
      <c r="L471" s="20">
        <v>0</v>
      </c>
      <c r="M471" s="19">
        <f>Tienda!$K3501-Tienda!$K3501*Tienda!$L3501</f>
        <v>36.267000000000003</v>
      </c>
      <c r="N471" s="3" t="s">
        <v>10039</v>
      </c>
      <c r="O471" s="3" t="s">
        <v>10041</v>
      </c>
      <c r="P471" s="17">
        <v>45873</v>
      </c>
      <c r="Q471" s="4">
        <v>0</v>
      </c>
    </row>
    <row r="472" spans="1:17" x14ac:dyDescent="0.25">
      <c r="A472" s="2" t="s">
        <v>233</v>
      </c>
      <c r="B472" s="3" t="s">
        <v>5016</v>
      </c>
      <c r="C472" s="3">
        <v>18</v>
      </c>
      <c r="D472" s="46" t="str">
        <f>IF(Tabla1[[#This Row],[EDAD]]&lt;=35,"Adultos jóvenes 18 - 35 años",IF(C472&gt;=36,"Adultos mayores 36 años en adelante"))</f>
        <v>Adultos jóvenes 18 - 35 años</v>
      </c>
      <c r="E472" s="3" t="s">
        <v>5021</v>
      </c>
      <c r="F472" s="3" t="s">
        <v>5024</v>
      </c>
      <c r="G472" s="3" t="s">
        <v>5032</v>
      </c>
      <c r="H472" s="3" t="s">
        <v>5256</v>
      </c>
      <c r="I472" s="17">
        <v>45881</v>
      </c>
      <c r="J472" s="18">
        <f>YEAR(Tabla1[[#This Row],[FECHA DE COMPRA]])</f>
        <v>2025</v>
      </c>
      <c r="K472" s="19">
        <v>129.78</v>
      </c>
      <c r="L472" s="20">
        <v>0.1</v>
      </c>
      <c r="M472" s="19">
        <f>Tienda!$K3502-Tienda!$K3502*Tienda!$L3502</f>
        <v>48.914999999999999</v>
      </c>
      <c r="N472" s="3" t="s">
        <v>10039</v>
      </c>
      <c r="O472" s="3" t="s">
        <v>10041</v>
      </c>
      <c r="P472" s="17">
        <v>45881</v>
      </c>
      <c r="Q472" s="4">
        <v>0</v>
      </c>
    </row>
    <row r="473" spans="1:17" x14ac:dyDescent="0.25">
      <c r="A473" s="2" t="s">
        <v>1531</v>
      </c>
      <c r="B473" s="3" t="s">
        <v>5015</v>
      </c>
      <c r="C473" s="3">
        <v>33</v>
      </c>
      <c r="D473" s="46" t="str">
        <f>IF(Tabla1[[#This Row],[EDAD]]&lt;=35,"Adultos jóvenes 18 - 35 años",IF(C473&gt;=36,"Adultos mayores 36 años en adelante"))</f>
        <v>Adultos jóvenes 18 - 35 años</v>
      </c>
      <c r="E473" s="3" t="s">
        <v>5021</v>
      </c>
      <c r="F473" s="3" t="s">
        <v>5030</v>
      </c>
      <c r="G473" s="3" t="s">
        <v>5037</v>
      </c>
      <c r="H473" s="3" t="s">
        <v>6554</v>
      </c>
      <c r="I473" s="17">
        <v>45883</v>
      </c>
      <c r="J473" s="18">
        <f>YEAR(Tabla1[[#This Row],[FECHA DE COMPRA]])</f>
        <v>2025</v>
      </c>
      <c r="K473" s="19">
        <v>141.05000000000001</v>
      </c>
      <c r="L473" s="20">
        <v>0.1</v>
      </c>
      <c r="M473" s="19">
        <f>Tienda!$K3503-Tienda!$K3503*Tienda!$L3503</f>
        <v>57.13</v>
      </c>
      <c r="N473" s="3" t="s">
        <v>10039</v>
      </c>
      <c r="O473" s="3" t="s">
        <v>10041</v>
      </c>
      <c r="P473" s="17">
        <v>45883</v>
      </c>
      <c r="Q473" s="4">
        <v>0</v>
      </c>
    </row>
    <row r="474" spans="1:17" x14ac:dyDescent="0.25">
      <c r="A474" s="2" t="s">
        <v>2295</v>
      </c>
      <c r="B474" s="3" t="s">
        <v>5015</v>
      </c>
      <c r="C474" s="3">
        <v>32</v>
      </c>
      <c r="D474" s="46" t="str">
        <f>IF(Tabla1[[#This Row],[EDAD]]&lt;=35,"Adultos jóvenes 18 - 35 años",IF(C474&gt;=36,"Adultos mayores 36 años en adelante"))</f>
        <v>Adultos jóvenes 18 - 35 años</v>
      </c>
      <c r="E474" s="3" t="s">
        <v>5018</v>
      </c>
      <c r="F474" s="3" t="s">
        <v>5028</v>
      </c>
      <c r="G474" s="3" t="s">
        <v>5034</v>
      </c>
      <c r="H474" s="3" t="s">
        <v>7318</v>
      </c>
      <c r="I474" s="17">
        <v>45870</v>
      </c>
      <c r="J474" s="18">
        <f>YEAR(Tabla1[[#This Row],[FECHA DE COMPRA]])</f>
        <v>2025</v>
      </c>
      <c r="K474" s="19">
        <v>155.66</v>
      </c>
      <c r="L474" s="20">
        <v>0.1</v>
      </c>
      <c r="M474" s="19">
        <f>Tienda!$K3504-Tienda!$K3504*Tienda!$L3504</f>
        <v>61.18</v>
      </c>
      <c r="N474" s="3" t="s">
        <v>10039</v>
      </c>
      <c r="O474" s="3" t="s">
        <v>10041</v>
      </c>
      <c r="P474" s="17">
        <v>45870</v>
      </c>
      <c r="Q474" s="4">
        <v>0</v>
      </c>
    </row>
    <row r="475" spans="1:17" x14ac:dyDescent="0.25">
      <c r="A475" s="2" t="s">
        <v>544</v>
      </c>
      <c r="B475" s="3" t="s">
        <v>5015</v>
      </c>
      <c r="C475" s="3">
        <v>30</v>
      </c>
      <c r="D475" s="46" t="str">
        <f>IF(Tabla1[[#This Row],[EDAD]]&lt;=35,"Adultos jóvenes 18 - 35 años",IF(C475&gt;=36,"Adultos mayores 36 años en adelante"))</f>
        <v>Adultos jóvenes 18 - 35 años</v>
      </c>
      <c r="E475" s="3" t="s">
        <v>5022</v>
      </c>
      <c r="F475" s="3" t="s">
        <v>5030</v>
      </c>
      <c r="G475" s="3" t="s">
        <v>5037</v>
      </c>
      <c r="H475" s="3" t="s">
        <v>5567</v>
      </c>
      <c r="I475" s="17">
        <v>45878</v>
      </c>
      <c r="J475" s="18">
        <f>YEAR(Tabla1[[#This Row],[FECHA DE COMPRA]])</f>
        <v>2025</v>
      </c>
      <c r="K475" s="19">
        <v>170.31</v>
      </c>
      <c r="L475" s="20">
        <v>0.2</v>
      </c>
      <c r="M475" s="19">
        <f>Tienda!$K3508-Tienda!$K3508*Tienda!$L3508</f>
        <v>112.167</v>
      </c>
      <c r="N475" s="3" t="s">
        <v>10039</v>
      </c>
      <c r="O475" s="3" t="s">
        <v>10041</v>
      </c>
      <c r="P475" s="17">
        <v>45878</v>
      </c>
      <c r="Q475" s="4">
        <v>0</v>
      </c>
    </row>
    <row r="476" spans="1:17" x14ac:dyDescent="0.25">
      <c r="A476" s="2" t="s">
        <v>199</v>
      </c>
      <c r="B476" s="3" t="s">
        <v>5015</v>
      </c>
      <c r="C476" s="3">
        <v>21</v>
      </c>
      <c r="D476" s="46" t="str">
        <f>IF(Tabla1[[#This Row],[EDAD]]&lt;=35,"Adultos jóvenes 18 - 35 años",IF(C476&gt;=36,"Adultos mayores 36 años en adelante"))</f>
        <v>Adultos jóvenes 18 - 35 años</v>
      </c>
      <c r="E476" s="3" t="s">
        <v>5017</v>
      </c>
      <c r="F476" s="3" t="s">
        <v>5029</v>
      </c>
      <c r="G476" s="3" t="s">
        <v>5036</v>
      </c>
      <c r="H476" s="3" t="s">
        <v>5222</v>
      </c>
      <c r="I476" s="17">
        <v>45881</v>
      </c>
      <c r="J476" s="18">
        <f>YEAR(Tabla1[[#This Row],[FECHA DE COMPRA]])</f>
        <v>2025</v>
      </c>
      <c r="K476" s="19">
        <v>171.75</v>
      </c>
      <c r="L476" s="20">
        <v>0.1</v>
      </c>
      <c r="M476" s="19">
        <f>Tienda!$K3510-Tienda!$K3510*Tienda!$L3510</f>
        <v>112.04</v>
      </c>
      <c r="N476" s="3" t="s">
        <v>10039</v>
      </c>
      <c r="O476" s="3" t="s">
        <v>10041</v>
      </c>
      <c r="P476" s="17">
        <v>45881</v>
      </c>
      <c r="Q476" s="4">
        <v>0</v>
      </c>
    </row>
    <row r="477" spans="1:17" x14ac:dyDescent="0.25">
      <c r="A477" s="2" t="s">
        <v>2415</v>
      </c>
      <c r="B477" s="3" t="s">
        <v>5015</v>
      </c>
      <c r="C477" s="3">
        <v>29</v>
      </c>
      <c r="D477" s="46" t="str">
        <f>IF(Tabla1[[#This Row],[EDAD]]&lt;=35,"Adultos jóvenes 18 - 35 años",IF(C477&gt;=36,"Adultos mayores 36 años en adelante"))</f>
        <v>Adultos jóvenes 18 - 35 años</v>
      </c>
      <c r="E477" s="3" t="s">
        <v>5021</v>
      </c>
      <c r="F477" s="3" t="s">
        <v>5025</v>
      </c>
      <c r="G477" s="3" t="s">
        <v>5037</v>
      </c>
      <c r="H477" s="3" t="s">
        <v>7438</v>
      </c>
      <c r="I477" s="17">
        <v>45879</v>
      </c>
      <c r="J477" s="18">
        <f>YEAR(Tabla1[[#This Row],[FECHA DE COMPRA]])</f>
        <v>2025</v>
      </c>
      <c r="K477" s="19">
        <v>184.33</v>
      </c>
      <c r="L477" s="20">
        <v>0</v>
      </c>
      <c r="M477" s="19">
        <f>Tienda!$K3513-Tienda!$K3513*Tienda!$L3513</f>
        <v>147.15899999999999</v>
      </c>
      <c r="N477" s="3" t="s">
        <v>10039</v>
      </c>
      <c r="O477" s="3" t="s">
        <v>10041</v>
      </c>
      <c r="P477" s="17">
        <v>45879</v>
      </c>
      <c r="Q477" s="4">
        <v>0</v>
      </c>
    </row>
    <row r="478" spans="1:17" x14ac:dyDescent="0.25">
      <c r="A478" s="2" t="s">
        <v>481</v>
      </c>
      <c r="B478" s="3" t="s">
        <v>5016</v>
      </c>
      <c r="C478" s="3">
        <v>22</v>
      </c>
      <c r="D478" s="46" t="str">
        <f>IF(Tabla1[[#This Row],[EDAD]]&lt;=35,"Adultos jóvenes 18 - 35 años",IF(C478&gt;=36,"Adultos mayores 36 años en adelante"))</f>
        <v>Adultos jóvenes 18 - 35 años</v>
      </c>
      <c r="E478" s="3" t="s">
        <v>5019</v>
      </c>
      <c r="F478" s="3" t="s">
        <v>5025</v>
      </c>
      <c r="G478" s="3" t="s">
        <v>5037</v>
      </c>
      <c r="H478" s="3" t="s">
        <v>5504</v>
      </c>
      <c r="I478" s="17">
        <v>45882</v>
      </c>
      <c r="J478" s="18">
        <f>YEAR(Tabla1[[#This Row],[FECHA DE COMPRA]])</f>
        <v>2025</v>
      </c>
      <c r="K478" s="19">
        <v>190.35</v>
      </c>
      <c r="L478" s="20">
        <v>0.1</v>
      </c>
      <c r="M478" s="19">
        <f>Tienda!$K3515-Tienda!$K3515*Tienda!$L3515</f>
        <v>141.66400000000002</v>
      </c>
      <c r="N478" s="3" t="s">
        <v>10039</v>
      </c>
      <c r="O478" s="3" t="s">
        <v>10041</v>
      </c>
      <c r="P478" s="17">
        <v>45882</v>
      </c>
      <c r="Q478" s="4">
        <v>0</v>
      </c>
    </row>
    <row r="479" spans="1:17" x14ac:dyDescent="0.25">
      <c r="A479" s="2" t="s">
        <v>2495</v>
      </c>
      <c r="B479" s="3" t="s">
        <v>5015</v>
      </c>
      <c r="C479" s="3">
        <v>27</v>
      </c>
      <c r="D479" s="46" t="str">
        <f>IF(Tabla1[[#This Row],[EDAD]]&lt;=35,"Adultos jóvenes 18 - 35 años",IF(C479&gt;=36,"Adultos mayores 36 años en adelante"))</f>
        <v>Adultos jóvenes 18 - 35 años</v>
      </c>
      <c r="E479" s="3" t="s">
        <v>5022</v>
      </c>
      <c r="F479" s="3" t="s">
        <v>5025</v>
      </c>
      <c r="G479" s="3" t="s">
        <v>5035</v>
      </c>
      <c r="H479" s="3" t="s">
        <v>7518</v>
      </c>
      <c r="I479" s="17">
        <v>45870</v>
      </c>
      <c r="J479" s="18">
        <f>YEAR(Tabla1[[#This Row],[FECHA DE COMPRA]])</f>
        <v>2025</v>
      </c>
      <c r="K479" s="19">
        <v>198.76</v>
      </c>
      <c r="L479" s="20">
        <v>0.2</v>
      </c>
      <c r="M479" s="19">
        <f>Tienda!$K3517-Tienda!$K3517*Tienda!$L3517</f>
        <v>185.36</v>
      </c>
      <c r="N479" s="3" t="s">
        <v>10039</v>
      </c>
      <c r="O479" s="3" t="s">
        <v>10041</v>
      </c>
      <c r="P479" s="17">
        <v>45870</v>
      </c>
      <c r="Q479" s="4">
        <v>0</v>
      </c>
    </row>
    <row r="480" spans="1:17" x14ac:dyDescent="0.25">
      <c r="A480" s="2" t="s">
        <v>1253</v>
      </c>
      <c r="B480" s="3" t="s">
        <v>5015</v>
      </c>
      <c r="C480" s="3">
        <v>18</v>
      </c>
      <c r="D480" s="46" t="str">
        <f>IF(Tabla1[[#This Row],[EDAD]]&lt;=35,"Adultos jóvenes 18 - 35 años",IF(C480&gt;=36,"Adultos mayores 36 años en adelante"))</f>
        <v>Adultos jóvenes 18 - 35 años</v>
      </c>
      <c r="E480" s="3" t="s">
        <v>5023</v>
      </c>
      <c r="F480" s="3" t="s">
        <v>5027</v>
      </c>
      <c r="G480" s="3" t="s">
        <v>5032</v>
      </c>
      <c r="H480" s="3" t="s">
        <v>6276</v>
      </c>
      <c r="I480" s="17">
        <v>45649</v>
      </c>
      <c r="J480" s="18">
        <f>YEAR(Tabla1[[#This Row],[FECHA DE COMPRA]])</f>
        <v>2024</v>
      </c>
      <c r="K480" s="19">
        <v>10.050000000000001</v>
      </c>
      <c r="L480" s="20">
        <v>0.2</v>
      </c>
      <c r="M480" s="19">
        <f>Tienda!$K907-Tienda!$K907*Tienda!$L907</f>
        <v>84.81</v>
      </c>
      <c r="N480" s="3" t="s">
        <v>10040</v>
      </c>
      <c r="O480" s="3" t="s">
        <v>10041</v>
      </c>
      <c r="P480" s="17">
        <v>45300</v>
      </c>
      <c r="Q480" s="4">
        <v>0</v>
      </c>
    </row>
    <row r="481" spans="1:17" x14ac:dyDescent="0.25">
      <c r="A481" s="2" t="s">
        <v>744</v>
      </c>
      <c r="B481" s="3" t="s">
        <v>5015</v>
      </c>
      <c r="C481" s="3">
        <v>26</v>
      </c>
      <c r="D481" s="46" t="str">
        <f>IF(Tabla1[[#This Row],[EDAD]]&lt;=35,"Adultos jóvenes 18 - 35 años",IF(C481&gt;=36,"Adultos mayores 36 años en adelante"))</f>
        <v>Adultos jóvenes 18 - 35 años</v>
      </c>
      <c r="E481" s="3" t="s">
        <v>5022</v>
      </c>
      <c r="F481" s="3" t="s">
        <v>5027</v>
      </c>
      <c r="G481" s="3" t="s">
        <v>5033</v>
      </c>
      <c r="H481" s="3" t="s">
        <v>5767</v>
      </c>
      <c r="I481" s="17">
        <v>45635</v>
      </c>
      <c r="J481" s="18">
        <f>YEAR(Tabla1[[#This Row],[FECHA DE COMPRA]])</f>
        <v>2024</v>
      </c>
      <c r="K481" s="19">
        <v>10.38</v>
      </c>
      <c r="L481" s="20">
        <v>0.2</v>
      </c>
      <c r="M481" s="19">
        <f>Tienda!$K910-Tienda!$K910*Tienda!$L910</f>
        <v>65.834999999999994</v>
      </c>
      <c r="N481" s="3" t="s">
        <v>10040</v>
      </c>
      <c r="O481" s="3" t="s">
        <v>10041</v>
      </c>
      <c r="P481" s="17">
        <v>45457</v>
      </c>
      <c r="Q481" s="4">
        <v>0</v>
      </c>
    </row>
    <row r="482" spans="1:17" x14ac:dyDescent="0.25">
      <c r="A482" s="2" t="s">
        <v>1260</v>
      </c>
      <c r="B482" s="3" t="s">
        <v>5016</v>
      </c>
      <c r="C482" s="3">
        <v>20</v>
      </c>
      <c r="D482" s="46" t="str">
        <f>IF(Tabla1[[#This Row],[EDAD]]&lt;=35,"Adultos jóvenes 18 - 35 años",IF(C482&gt;=36,"Adultos mayores 36 años en adelante"))</f>
        <v>Adultos jóvenes 18 - 35 años</v>
      </c>
      <c r="E482" s="3" t="s">
        <v>5023</v>
      </c>
      <c r="F482" s="3" t="s">
        <v>5030</v>
      </c>
      <c r="G482" s="3" t="s">
        <v>5037</v>
      </c>
      <c r="H482" s="3" t="s">
        <v>6283</v>
      </c>
      <c r="I482" s="17">
        <v>45571</v>
      </c>
      <c r="J482" s="18">
        <f>YEAR(Tabla1[[#This Row],[FECHA DE COMPRA]])</f>
        <v>2024</v>
      </c>
      <c r="K482" s="19">
        <v>11.31</v>
      </c>
      <c r="L482" s="20">
        <v>0.1</v>
      </c>
      <c r="M482" s="19">
        <f>Tienda!$K925-Tienda!$K925*Tienda!$L925</f>
        <v>79.394000000000005</v>
      </c>
      <c r="N482" s="3" t="s">
        <v>10040</v>
      </c>
      <c r="O482" s="3" t="s">
        <v>10041</v>
      </c>
      <c r="P482" s="17">
        <v>45571</v>
      </c>
      <c r="Q482" s="4">
        <v>0</v>
      </c>
    </row>
    <row r="483" spans="1:17" x14ac:dyDescent="0.25">
      <c r="A483" s="2" t="s">
        <v>473</v>
      </c>
      <c r="B483" s="3" t="s">
        <v>5015</v>
      </c>
      <c r="C483" s="3">
        <v>29</v>
      </c>
      <c r="D483" s="46" t="str">
        <f>IF(Tabla1[[#This Row],[EDAD]]&lt;=35,"Adultos jóvenes 18 - 35 años",IF(C483&gt;=36,"Adultos mayores 36 años en adelante"))</f>
        <v>Adultos jóvenes 18 - 35 años</v>
      </c>
      <c r="E483" s="3" t="s">
        <v>5020</v>
      </c>
      <c r="F483" s="3" t="s">
        <v>5025</v>
      </c>
      <c r="G483" s="3" t="s">
        <v>5036</v>
      </c>
      <c r="H483" s="3" t="s">
        <v>5496</v>
      </c>
      <c r="I483" s="17">
        <v>45649</v>
      </c>
      <c r="J483" s="18">
        <f>YEAR(Tabla1[[#This Row],[FECHA DE COMPRA]])</f>
        <v>2024</v>
      </c>
      <c r="K483" s="19">
        <v>13.2</v>
      </c>
      <c r="L483" s="20">
        <v>0.2</v>
      </c>
      <c r="M483" s="19">
        <f>Tienda!$K927-Tienda!$K927*Tienda!$L927</f>
        <v>85.491</v>
      </c>
      <c r="N483" s="3" t="s">
        <v>10040</v>
      </c>
      <c r="O483" s="3" t="s">
        <v>10041</v>
      </c>
      <c r="P483" s="17">
        <v>45303</v>
      </c>
      <c r="Q483" s="4">
        <v>0</v>
      </c>
    </row>
    <row r="484" spans="1:17" x14ac:dyDescent="0.25">
      <c r="A484" s="2" t="s">
        <v>2399</v>
      </c>
      <c r="B484" s="3" t="s">
        <v>5016</v>
      </c>
      <c r="C484" s="3">
        <v>23</v>
      </c>
      <c r="D484" s="46" t="str">
        <f>IF(Tabla1[[#This Row],[EDAD]]&lt;=35,"Adultos jóvenes 18 - 35 años",IF(C484&gt;=36,"Adultos mayores 36 años en adelante"))</f>
        <v>Adultos jóvenes 18 - 35 años</v>
      </c>
      <c r="E484" s="3" t="s">
        <v>5021</v>
      </c>
      <c r="F484" s="3" t="s">
        <v>5028</v>
      </c>
      <c r="G484" s="3" t="s">
        <v>5031</v>
      </c>
      <c r="H484" s="3" t="s">
        <v>7422</v>
      </c>
      <c r="I484" s="17">
        <v>45388</v>
      </c>
      <c r="J484" s="18">
        <f>YEAR(Tabla1[[#This Row],[FECHA DE COMPRA]])</f>
        <v>2024</v>
      </c>
      <c r="K484" s="19">
        <v>10.87</v>
      </c>
      <c r="L484" s="20">
        <v>0</v>
      </c>
      <c r="M484" s="19">
        <f>Tienda!$K930-Tienda!$K930*Tienda!$L930</f>
        <v>113.645</v>
      </c>
      <c r="N484" s="3" t="s">
        <v>10040</v>
      </c>
      <c r="O484" s="3" t="s">
        <v>10041</v>
      </c>
      <c r="P484" s="17">
        <v>45388</v>
      </c>
      <c r="Q484" s="4">
        <v>0</v>
      </c>
    </row>
    <row r="485" spans="1:17" x14ac:dyDescent="0.25">
      <c r="A485" s="2" t="s">
        <v>4194</v>
      </c>
      <c r="B485" s="3" t="s">
        <v>5015</v>
      </c>
      <c r="C485" s="3">
        <v>19</v>
      </c>
      <c r="D485" s="46" t="str">
        <f>IF(Tabla1[[#This Row],[EDAD]]&lt;=35,"Adultos jóvenes 18 - 35 años",IF(C485&gt;=36,"Adultos mayores 36 años en adelante"))</f>
        <v>Adultos jóvenes 18 - 35 años</v>
      </c>
      <c r="E485" s="3" t="s">
        <v>5018</v>
      </c>
      <c r="F485" s="3" t="s">
        <v>5025</v>
      </c>
      <c r="G485" s="3" t="s">
        <v>5031</v>
      </c>
      <c r="H485" s="3" t="s">
        <v>9217</v>
      </c>
      <c r="I485" s="17">
        <v>45630</v>
      </c>
      <c r="J485" s="18">
        <f>YEAR(Tabla1[[#This Row],[FECHA DE COMPRA]])</f>
        <v>2024</v>
      </c>
      <c r="K485" s="19">
        <v>18.55</v>
      </c>
      <c r="L485" s="20">
        <v>0.3</v>
      </c>
      <c r="M485" s="19">
        <f>Tienda!$K956-Tienda!$K956*Tienda!$L956</f>
        <v>74.623999999999995</v>
      </c>
      <c r="N485" s="3" t="s">
        <v>10040</v>
      </c>
      <c r="O485" s="3" t="s">
        <v>10041</v>
      </c>
      <c r="P485" s="17">
        <v>45630</v>
      </c>
      <c r="Q485" s="4">
        <v>0</v>
      </c>
    </row>
    <row r="486" spans="1:17" x14ac:dyDescent="0.25">
      <c r="A486" s="2" t="s">
        <v>1090</v>
      </c>
      <c r="B486" s="3" t="s">
        <v>5016</v>
      </c>
      <c r="C486" s="3">
        <v>32</v>
      </c>
      <c r="D486" s="46" t="str">
        <f>IF(Tabla1[[#This Row],[EDAD]]&lt;=35,"Adultos jóvenes 18 - 35 años",IF(C486&gt;=36,"Adultos mayores 36 años en adelante"))</f>
        <v>Adultos jóvenes 18 - 35 años</v>
      </c>
      <c r="E486" s="3" t="s">
        <v>5019</v>
      </c>
      <c r="F486" s="3" t="s">
        <v>5028</v>
      </c>
      <c r="G486" s="3" t="s">
        <v>5036</v>
      </c>
      <c r="H486" s="3" t="s">
        <v>6113</v>
      </c>
      <c r="I486" s="17">
        <v>45360</v>
      </c>
      <c r="J486" s="18">
        <f>YEAR(Tabla1[[#This Row],[FECHA DE COMPRA]])</f>
        <v>2024</v>
      </c>
      <c r="K486" s="19">
        <v>16.87</v>
      </c>
      <c r="L486" s="20">
        <v>0.2</v>
      </c>
      <c r="M486" s="19">
        <f>Tienda!$K959-Tienda!$K959*Tienda!$L959</f>
        <v>100.55199999999999</v>
      </c>
      <c r="N486" s="3" t="s">
        <v>10040</v>
      </c>
      <c r="O486" s="3" t="s">
        <v>10041</v>
      </c>
      <c r="P486" s="17">
        <v>45360</v>
      </c>
      <c r="Q486" s="4">
        <v>0</v>
      </c>
    </row>
    <row r="487" spans="1:17" x14ac:dyDescent="0.25">
      <c r="A487" s="2" t="s">
        <v>1295</v>
      </c>
      <c r="B487" s="3" t="s">
        <v>5016</v>
      </c>
      <c r="C487" s="3">
        <v>29</v>
      </c>
      <c r="D487" s="46" t="str">
        <f>IF(Tabla1[[#This Row],[EDAD]]&lt;=35,"Adultos jóvenes 18 - 35 años",IF(C487&gt;=36,"Adultos mayores 36 años en adelante"))</f>
        <v>Adultos jóvenes 18 - 35 años</v>
      </c>
      <c r="E487" s="3" t="s">
        <v>5017</v>
      </c>
      <c r="F487" s="3" t="s">
        <v>5027</v>
      </c>
      <c r="G487" s="3" t="s">
        <v>5032</v>
      </c>
      <c r="H487" s="3" t="s">
        <v>6318</v>
      </c>
      <c r="I487" s="17">
        <v>45519</v>
      </c>
      <c r="J487" s="18">
        <f>YEAR(Tabla1[[#This Row],[FECHA DE COMPRA]])</f>
        <v>2024</v>
      </c>
      <c r="K487" s="19">
        <v>19.899999999999999</v>
      </c>
      <c r="L487" s="20">
        <v>0.3</v>
      </c>
      <c r="M487" s="19">
        <f>Tienda!$K965-Tienda!$K965*Tienda!$L965</f>
        <v>131.327</v>
      </c>
      <c r="N487" s="3" t="s">
        <v>10040</v>
      </c>
      <c r="O487" s="3" t="s">
        <v>10041</v>
      </c>
      <c r="P487" s="17">
        <v>45519</v>
      </c>
      <c r="Q487" s="4">
        <v>0</v>
      </c>
    </row>
    <row r="488" spans="1:17" x14ac:dyDescent="0.25">
      <c r="A488" s="2" t="s">
        <v>4884</v>
      </c>
      <c r="B488" s="3" t="s">
        <v>5016</v>
      </c>
      <c r="C488" s="3">
        <v>30</v>
      </c>
      <c r="D488" s="46" t="str">
        <f>IF(Tabla1[[#This Row],[EDAD]]&lt;=35,"Adultos jóvenes 18 - 35 años",IF(C488&gt;=36,"Adultos mayores 36 años en adelante"))</f>
        <v>Adultos jóvenes 18 - 35 años</v>
      </c>
      <c r="E488" s="3" t="s">
        <v>5017</v>
      </c>
      <c r="F488" s="3" t="s">
        <v>5024</v>
      </c>
      <c r="G488" s="3" t="s">
        <v>5035</v>
      </c>
      <c r="H488" s="3" t="s">
        <v>9907</v>
      </c>
      <c r="I488" s="17">
        <v>45316</v>
      </c>
      <c r="J488" s="18">
        <f>YEAR(Tabla1[[#This Row],[FECHA DE COMPRA]])</f>
        <v>2024</v>
      </c>
      <c r="K488" s="19">
        <v>14.36</v>
      </c>
      <c r="L488" s="20">
        <v>0</v>
      </c>
      <c r="M488" s="19">
        <f>Tienda!$K971-Tienda!$K971*Tienda!$L971</f>
        <v>77.688000000000002</v>
      </c>
      <c r="N488" s="3" t="s">
        <v>10040</v>
      </c>
      <c r="O488" s="3" t="s">
        <v>10041</v>
      </c>
      <c r="P488" s="17">
        <v>45316</v>
      </c>
      <c r="Q488" s="4">
        <v>0</v>
      </c>
    </row>
    <row r="489" spans="1:17" x14ac:dyDescent="0.25">
      <c r="A489" s="2" t="s">
        <v>3638</v>
      </c>
      <c r="B489" s="3" t="s">
        <v>5016</v>
      </c>
      <c r="C489" s="3">
        <v>18</v>
      </c>
      <c r="D489" s="46" t="str">
        <f>IF(Tabla1[[#This Row],[EDAD]]&lt;=35,"Adultos jóvenes 18 - 35 años",IF(C489&gt;=36,"Adultos mayores 36 años en adelante"))</f>
        <v>Adultos jóvenes 18 - 35 años</v>
      </c>
      <c r="E489" s="3" t="s">
        <v>5023</v>
      </c>
      <c r="F489" s="3" t="s">
        <v>5024</v>
      </c>
      <c r="G489" s="3" t="s">
        <v>5037</v>
      </c>
      <c r="H489" s="3" t="s">
        <v>8661</v>
      </c>
      <c r="I489" s="17">
        <v>45596</v>
      </c>
      <c r="J489" s="18">
        <f>YEAR(Tabla1[[#This Row],[FECHA DE COMPRA]])</f>
        <v>2024</v>
      </c>
      <c r="K489" s="19">
        <v>18.75</v>
      </c>
      <c r="L489" s="20">
        <v>0.2</v>
      </c>
      <c r="M489" s="19">
        <f>Tienda!$K976-Tienda!$K976*Tienda!$L976</f>
        <v>112.13999999999999</v>
      </c>
      <c r="N489" s="3" t="s">
        <v>10040</v>
      </c>
      <c r="O489" s="3" t="s">
        <v>10041</v>
      </c>
      <c r="P489" s="17">
        <v>45596</v>
      </c>
      <c r="Q489" s="4">
        <v>0</v>
      </c>
    </row>
    <row r="490" spans="1:17" x14ac:dyDescent="0.25">
      <c r="A490" s="2" t="s">
        <v>3783</v>
      </c>
      <c r="B490" s="3" t="s">
        <v>5016</v>
      </c>
      <c r="C490" s="3">
        <v>24</v>
      </c>
      <c r="D490" s="46" t="str">
        <f>IF(Tabla1[[#This Row],[EDAD]]&lt;=35,"Adultos jóvenes 18 - 35 años",IF(C490&gt;=36,"Adultos mayores 36 años en adelante"))</f>
        <v>Adultos jóvenes 18 - 35 años</v>
      </c>
      <c r="E490" s="3" t="s">
        <v>5019</v>
      </c>
      <c r="F490" s="3" t="s">
        <v>5025</v>
      </c>
      <c r="G490" s="3" t="s">
        <v>5034</v>
      </c>
      <c r="H490" s="3" t="s">
        <v>8806</v>
      </c>
      <c r="I490" s="17">
        <v>45528</v>
      </c>
      <c r="J490" s="18">
        <f>YEAR(Tabla1[[#This Row],[FECHA DE COMPRA]])</f>
        <v>2024</v>
      </c>
      <c r="K490" s="19">
        <v>21.6</v>
      </c>
      <c r="L490" s="20">
        <v>0.3</v>
      </c>
      <c r="M490" s="19">
        <f>Tienda!$K980-Tienda!$K980*Tienda!$L980</f>
        <v>146.36699999999999</v>
      </c>
      <c r="N490" s="3" t="s">
        <v>10040</v>
      </c>
      <c r="O490" s="3" t="s">
        <v>10041</v>
      </c>
      <c r="P490" s="17">
        <v>45528</v>
      </c>
      <c r="Q490" s="4">
        <v>0</v>
      </c>
    </row>
    <row r="491" spans="1:17" x14ac:dyDescent="0.25">
      <c r="A491" s="2" t="s">
        <v>269</v>
      </c>
      <c r="B491" s="3" t="s">
        <v>5015</v>
      </c>
      <c r="C491" s="3">
        <v>31</v>
      </c>
      <c r="D491" s="46" t="str">
        <f>IF(Tabla1[[#This Row],[EDAD]]&lt;=35,"Adultos jóvenes 18 - 35 años",IF(C491&gt;=36,"Adultos mayores 36 años en adelante"))</f>
        <v>Adultos jóvenes 18 - 35 años</v>
      </c>
      <c r="E491" s="3" t="s">
        <v>5018</v>
      </c>
      <c r="F491" s="3" t="s">
        <v>5027</v>
      </c>
      <c r="G491" s="3" t="s">
        <v>5035</v>
      </c>
      <c r="H491" s="3" t="s">
        <v>5292</v>
      </c>
      <c r="I491" s="17">
        <v>45535</v>
      </c>
      <c r="J491" s="18">
        <f>YEAR(Tabla1[[#This Row],[FECHA DE COMPRA]])</f>
        <v>2024</v>
      </c>
      <c r="K491" s="19">
        <v>19.36</v>
      </c>
      <c r="L491" s="20">
        <v>0.1</v>
      </c>
      <c r="M491" s="19">
        <f>Tienda!$K1009-Tienda!$K1009*Tienda!$L1009</f>
        <v>112.63500000000001</v>
      </c>
      <c r="N491" s="3" t="s">
        <v>10040</v>
      </c>
      <c r="O491" s="3" t="s">
        <v>10041</v>
      </c>
      <c r="P491" s="17">
        <v>45535</v>
      </c>
      <c r="Q491" s="4">
        <v>0</v>
      </c>
    </row>
    <row r="492" spans="1:17" x14ac:dyDescent="0.25">
      <c r="A492" s="2" t="s">
        <v>4710</v>
      </c>
      <c r="B492" s="3" t="s">
        <v>5016</v>
      </c>
      <c r="C492" s="3">
        <v>19</v>
      </c>
      <c r="D492" s="46" t="str">
        <f>IF(Tabla1[[#This Row],[EDAD]]&lt;=35,"Adultos jóvenes 18 - 35 años",IF(C492&gt;=36,"Adultos mayores 36 años en adelante"))</f>
        <v>Adultos jóvenes 18 - 35 años</v>
      </c>
      <c r="E492" s="3" t="s">
        <v>5021</v>
      </c>
      <c r="F492" s="3" t="s">
        <v>5028</v>
      </c>
      <c r="G492" s="3" t="s">
        <v>5034</v>
      </c>
      <c r="H492" s="3" t="s">
        <v>9733</v>
      </c>
      <c r="I492" s="17">
        <v>45585</v>
      </c>
      <c r="J492" s="18">
        <f>YEAR(Tabla1[[#This Row],[FECHA DE COMPRA]])</f>
        <v>2024</v>
      </c>
      <c r="K492" s="19">
        <v>21.8</v>
      </c>
      <c r="L492" s="20">
        <v>0.2</v>
      </c>
      <c r="M492" s="19">
        <f>Tienda!$K1011-Tienda!$K1011*Tienda!$L1011</f>
        <v>107.128</v>
      </c>
      <c r="N492" s="3" t="s">
        <v>10040</v>
      </c>
      <c r="O492" s="3" t="s">
        <v>10041</v>
      </c>
      <c r="P492" s="17">
        <v>45585</v>
      </c>
      <c r="Q492" s="4">
        <v>0</v>
      </c>
    </row>
    <row r="493" spans="1:17" x14ac:dyDescent="0.25">
      <c r="A493" s="2" t="s">
        <v>4902</v>
      </c>
      <c r="B493" s="3" t="s">
        <v>5016</v>
      </c>
      <c r="C493" s="3">
        <v>34</v>
      </c>
      <c r="D493" s="46" t="str">
        <f>IF(Tabla1[[#This Row],[EDAD]]&lt;=35,"Adultos jóvenes 18 - 35 años",IF(C493&gt;=36,"Adultos mayores 36 años en adelante"))</f>
        <v>Adultos jóvenes 18 - 35 años</v>
      </c>
      <c r="E493" s="3" t="s">
        <v>5019</v>
      </c>
      <c r="F493" s="3" t="s">
        <v>5024</v>
      </c>
      <c r="G493" s="3" t="s">
        <v>5034</v>
      </c>
      <c r="H493" s="3" t="s">
        <v>9925</v>
      </c>
      <c r="I493" s="17">
        <v>45649</v>
      </c>
      <c r="J493" s="18">
        <f>YEAR(Tabla1[[#This Row],[FECHA DE COMPRA]])</f>
        <v>2024</v>
      </c>
      <c r="K493" s="19">
        <v>22.4</v>
      </c>
      <c r="L493" s="20">
        <v>0.2</v>
      </c>
      <c r="M493" s="19">
        <f>Tienda!$K1013-Tienda!$K1013*Tienda!$L1013</f>
        <v>100.75800000000001</v>
      </c>
      <c r="N493" s="3" t="s">
        <v>10040</v>
      </c>
      <c r="O493" s="3" t="s">
        <v>10041</v>
      </c>
      <c r="P493" s="17">
        <v>45300</v>
      </c>
      <c r="Q493" s="4">
        <v>0</v>
      </c>
    </row>
    <row r="494" spans="1:17" x14ac:dyDescent="0.25">
      <c r="A494" s="2" t="s">
        <v>1575</v>
      </c>
      <c r="B494" s="3" t="s">
        <v>5015</v>
      </c>
      <c r="C494" s="3">
        <v>26</v>
      </c>
      <c r="D494" s="46" t="str">
        <f>IF(Tabla1[[#This Row],[EDAD]]&lt;=35,"Adultos jóvenes 18 - 35 años",IF(C494&gt;=36,"Adultos mayores 36 años en adelante"))</f>
        <v>Adultos jóvenes 18 - 35 años</v>
      </c>
      <c r="E494" s="3" t="s">
        <v>5017</v>
      </c>
      <c r="F494" s="3" t="s">
        <v>5026</v>
      </c>
      <c r="G494" s="3" t="s">
        <v>5033</v>
      </c>
      <c r="H494" s="3" t="s">
        <v>6598</v>
      </c>
      <c r="I494" s="17">
        <v>45335</v>
      </c>
      <c r="J494" s="18">
        <f>YEAR(Tabla1[[#This Row],[FECHA DE COMPRA]])</f>
        <v>2024</v>
      </c>
      <c r="K494" s="19">
        <v>18.559999999999999</v>
      </c>
      <c r="L494" s="20">
        <v>0</v>
      </c>
      <c r="M494" s="19">
        <f>Tienda!$K1019-Tienda!$K1019*Tienda!$L1019</f>
        <v>33.033000000000001</v>
      </c>
      <c r="N494" s="3" t="s">
        <v>10040</v>
      </c>
      <c r="O494" s="3" t="s">
        <v>10041</v>
      </c>
      <c r="P494" s="17">
        <v>45367</v>
      </c>
      <c r="Q494" s="4">
        <v>0</v>
      </c>
    </row>
    <row r="495" spans="1:17" x14ac:dyDescent="0.25">
      <c r="A495" s="2" t="s">
        <v>178</v>
      </c>
      <c r="B495" s="3" t="s">
        <v>5015</v>
      </c>
      <c r="C495" s="3">
        <v>27</v>
      </c>
      <c r="D495" s="46" t="str">
        <f>IF(Tabla1[[#This Row],[EDAD]]&lt;=35,"Adultos jóvenes 18 - 35 años",IF(C495&gt;=36,"Adultos mayores 36 años en adelante"))</f>
        <v>Adultos jóvenes 18 - 35 años</v>
      </c>
      <c r="E495" s="3" t="s">
        <v>5023</v>
      </c>
      <c r="F495" s="3" t="s">
        <v>5024</v>
      </c>
      <c r="G495" s="3" t="s">
        <v>5034</v>
      </c>
      <c r="H495" s="3" t="s">
        <v>5201</v>
      </c>
      <c r="I495" s="17">
        <v>45323</v>
      </c>
      <c r="J495" s="18">
        <f>YEAR(Tabla1[[#This Row],[FECHA DE COMPRA]])</f>
        <v>2024</v>
      </c>
      <c r="K495" s="19">
        <v>22.42</v>
      </c>
      <c r="L495" s="20">
        <v>0.1</v>
      </c>
      <c r="M495" s="19">
        <f>Tienda!$K1033-Tienda!$K1033*Tienda!$L1033</f>
        <v>15.274000000000001</v>
      </c>
      <c r="N495" s="3" t="s">
        <v>10040</v>
      </c>
      <c r="O495" s="3" t="s">
        <v>10041</v>
      </c>
      <c r="P495" s="17">
        <v>45323</v>
      </c>
      <c r="Q495" s="4">
        <v>0</v>
      </c>
    </row>
    <row r="496" spans="1:17" x14ac:dyDescent="0.25">
      <c r="A496" s="2" t="s">
        <v>3306</v>
      </c>
      <c r="B496" s="3" t="s">
        <v>5015</v>
      </c>
      <c r="C496" s="3">
        <v>24</v>
      </c>
      <c r="D496" s="46" t="str">
        <f>IF(Tabla1[[#This Row],[EDAD]]&lt;=35,"Adultos jóvenes 18 - 35 años",IF(C496&gt;=36,"Adultos mayores 36 años en adelante"))</f>
        <v>Adultos jóvenes 18 - 35 años</v>
      </c>
      <c r="E496" s="3" t="s">
        <v>5018</v>
      </c>
      <c r="F496" s="3" t="s">
        <v>5026</v>
      </c>
      <c r="G496" s="3" t="s">
        <v>5037</v>
      </c>
      <c r="H496" s="3" t="s">
        <v>8329</v>
      </c>
      <c r="I496" s="17">
        <v>45387</v>
      </c>
      <c r="J496" s="18">
        <f>YEAR(Tabla1[[#This Row],[FECHA DE COMPRA]])</f>
        <v>2024</v>
      </c>
      <c r="K496" s="19">
        <v>20.37</v>
      </c>
      <c r="L496" s="20">
        <v>0</v>
      </c>
      <c r="M496" s="19">
        <f>Tienda!$K1034-Tienda!$K1034*Tienda!$L1034</f>
        <v>24.273</v>
      </c>
      <c r="N496" s="3" t="s">
        <v>10040</v>
      </c>
      <c r="O496" s="3" t="s">
        <v>10041</v>
      </c>
      <c r="P496" s="17">
        <v>45387</v>
      </c>
      <c r="Q496" s="4">
        <v>0</v>
      </c>
    </row>
    <row r="497" spans="1:17" x14ac:dyDescent="0.25">
      <c r="A497" s="2" t="s">
        <v>1905</v>
      </c>
      <c r="B497" s="3" t="s">
        <v>5015</v>
      </c>
      <c r="C497" s="3">
        <v>28</v>
      </c>
      <c r="D497" s="46" t="str">
        <f>IF(Tabla1[[#This Row],[EDAD]]&lt;=35,"Adultos jóvenes 18 - 35 años",IF(C497&gt;=36,"Adultos mayores 36 años en adelante"))</f>
        <v>Adultos jóvenes 18 - 35 años</v>
      </c>
      <c r="E497" s="3" t="s">
        <v>5017</v>
      </c>
      <c r="F497" s="3" t="s">
        <v>5030</v>
      </c>
      <c r="G497" s="3" t="s">
        <v>5032</v>
      </c>
      <c r="H497" s="3" t="s">
        <v>6928</v>
      </c>
      <c r="I497" s="17">
        <v>45365</v>
      </c>
      <c r="J497" s="18">
        <f>YEAR(Tabla1[[#This Row],[FECHA DE COMPRA]])</f>
        <v>2024</v>
      </c>
      <c r="K497" s="19">
        <v>26.39</v>
      </c>
      <c r="L497" s="20">
        <v>0.2</v>
      </c>
      <c r="M497" s="19">
        <f>Tienda!$K1043-Tienda!$K1043*Tienda!$L1043</f>
        <v>59.213000000000008</v>
      </c>
      <c r="N497" s="3" t="s">
        <v>10040</v>
      </c>
      <c r="O497" s="3" t="s">
        <v>10041</v>
      </c>
      <c r="P497" s="17">
        <v>45365</v>
      </c>
      <c r="Q497" s="4">
        <v>0</v>
      </c>
    </row>
    <row r="498" spans="1:17" x14ac:dyDescent="0.25">
      <c r="A498" s="2" t="s">
        <v>1119</v>
      </c>
      <c r="B498" s="3" t="s">
        <v>5016</v>
      </c>
      <c r="C498" s="3">
        <v>21</v>
      </c>
      <c r="D498" s="46" t="str">
        <f>IF(Tabla1[[#This Row],[EDAD]]&lt;=35,"Adultos jóvenes 18 - 35 años",IF(C498&gt;=36,"Adultos mayores 36 años en adelante"))</f>
        <v>Adultos jóvenes 18 - 35 años</v>
      </c>
      <c r="E498" s="3" t="s">
        <v>5023</v>
      </c>
      <c r="F498" s="3" t="s">
        <v>5025</v>
      </c>
      <c r="G498" s="3" t="s">
        <v>5032</v>
      </c>
      <c r="H498" s="3" t="s">
        <v>6142</v>
      </c>
      <c r="I498" s="17">
        <v>45633</v>
      </c>
      <c r="J498" s="18">
        <f>YEAR(Tabla1[[#This Row],[FECHA DE COMPRA]])</f>
        <v>2024</v>
      </c>
      <c r="K498" s="19">
        <v>22.11</v>
      </c>
      <c r="L498" s="20">
        <v>0</v>
      </c>
      <c r="M498" s="19">
        <f>Tienda!$K1054-Tienda!$K1054*Tienda!$L1054</f>
        <v>92.51</v>
      </c>
      <c r="N498" s="3" t="s">
        <v>10040</v>
      </c>
      <c r="O498" s="3" t="s">
        <v>10041</v>
      </c>
      <c r="P498" s="17">
        <v>45633</v>
      </c>
      <c r="Q498" s="4">
        <v>0</v>
      </c>
    </row>
    <row r="499" spans="1:17" x14ac:dyDescent="0.25">
      <c r="A499" s="2" t="s">
        <v>3081</v>
      </c>
      <c r="B499" s="3" t="s">
        <v>5015</v>
      </c>
      <c r="C499" s="3">
        <v>32</v>
      </c>
      <c r="D499" s="46" t="str">
        <f>IF(Tabla1[[#This Row],[EDAD]]&lt;=35,"Adultos jóvenes 18 - 35 años",IF(C499&gt;=36,"Adultos mayores 36 años en adelante"))</f>
        <v>Adultos jóvenes 18 - 35 años</v>
      </c>
      <c r="E499" s="3" t="s">
        <v>5022</v>
      </c>
      <c r="F499" s="3" t="s">
        <v>5028</v>
      </c>
      <c r="G499" s="3" t="s">
        <v>5036</v>
      </c>
      <c r="H499" s="3" t="s">
        <v>8104</v>
      </c>
      <c r="I499" s="17">
        <v>45624</v>
      </c>
      <c r="J499" s="18">
        <f>YEAR(Tabla1[[#This Row],[FECHA DE COMPRA]])</f>
        <v>2024</v>
      </c>
      <c r="K499" s="19">
        <v>33.26</v>
      </c>
      <c r="L499" s="20">
        <v>0.2</v>
      </c>
      <c r="M499" s="19">
        <f>Tienda!$K1096-Tienda!$K1096*Tienda!$L1096</f>
        <v>88.96</v>
      </c>
      <c r="N499" s="3" t="s">
        <v>10040</v>
      </c>
      <c r="O499" s="3" t="s">
        <v>10041</v>
      </c>
      <c r="P499" s="17">
        <v>45479</v>
      </c>
      <c r="Q499" s="4">
        <v>0</v>
      </c>
    </row>
    <row r="500" spans="1:17" x14ac:dyDescent="0.25">
      <c r="A500" s="2" t="s">
        <v>347</v>
      </c>
      <c r="B500" s="3" t="s">
        <v>5016</v>
      </c>
      <c r="C500" s="3">
        <v>31</v>
      </c>
      <c r="D500" s="46" t="str">
        <f>IF(Tabla1[[#This Row],[EDAD]]&lt;=35,"Adultos jóvenes 18 - 35 años",IF(C500&gt;=36,"Adultos mayores 36 años en adelante"))</f>
        <v>Adultos jóvenes 18 - 35 años</v>
      </c>
      <c r="E500" s="3" t="s">
        <v>5021</v>
      </c>
      <c r="F500" s="3" t="s">
        <v>5027</v>
      </c>
      <c r="G500" s="3" t="s">
        <v>5031</v>
      </c>
      <c r="H500" s="3" t="s">
        <v>5370</v>
      </c>
      <c r="I500" s="17">
        <v>45310</v>
      </c>
      <c r="J500" s="18">
        <f>YEAR(Tabla1[[#This Row],[FECHA DE COMPRA]])</f>
        <v>2024</v>
      </c>
      <c r="K500" s="19">
        <v>33.76</v>
      </c>
      <c r="L500" s="20">
        <v>0.2</v>
      </c>
      <c r="M500" s="19">
        <f>Tienda!$K1099-Tienda!$K1099*Tienda!$L1099</f>
        <v>149.03100000000001</v>
      </c>
      <c r="N500" s="3" t="s">
        <v>10040</v>
      </c>
      <c r="O500" s="3" t="s">
        <v>10041</v>
      </c>
      <c r="P500" s="17">
        <v>45310</v>
      </c>
      <c r="Q500" s="4">
        <v>0</v>
      </c>
    </row>
    <row r="501" spans="1:17" x14ac:dyDescent="0.25">
      <c r="A501" s="2" t="s">
        <v>4117</v>
      </c>
      <c r="B501" s="3" t="s">
        <v>5015</v>
      </c>
      <c r="C501" s="3">
        <v>24</v>
      </c>
      <c r="D501" s="46" t="str">
        <f>IF(Tabla1[[#This Row],[EDAD]]&lt;=35,"Adultos jóvenes 18 - 35 años",IF(C501&gt;=36,"Adultos mayores 36 años en adelante"))</f>
        <v>Adultos jóvenes 18 - 35 años</v>
      </c>
      <c r="E501" s="3" t="s">
        <v>5021</v>
      </c>
      <c r="F501" s="3" t="s">
        <v>5030</v>
      </c>
      <c r="G501" s="3" t="s">
        <v>5031</v>
      </c>
      <c r="H501" s="3" t="s">
        <v>9140</v>
      </c>
      <c r="I501" s="17">
        <v>45442</v>
      </c>
      <c r="J501" s="18">
        <f>YEAR(Tabla1[[#This Row],[FECHA DE COMPRA]])</f>
        <v>2024</v>
      </c>
      <c r="K501" s="19">
        <v>38.979999999999997</v>
      </c>
      <c r="L501" s="20">
        <v>0.3</v>
      </c>
      <c r="M501" s="19">
        <f>Tienda!$K1103-Tienda!$K1103*Tienda!$L1103</f>
        <v>59.32</v>
      </c>
      <c r="N501" s="3" t="s">
        <v>10040</v>
      </c>
      <c r="O501" s="3" t="s">
        <v>10041</v>
      </c>
      <c r="P501" s="17">
        <v>45442</v>
      </c>
      <c r="Q501" s="4">
        <v>0</v>
      </c>
    </row>
    <row r="502" spans="1:17" x14ac:dyDescent="0.25">
      <c r="A502" s="2" t="s">
        <v>2125</v>
      </c>
      <c r="B502" s="3" t="s">
        <v>5015</v>
      </c>
      <c r="C502" s="3">
        <v>28</v>
      </c>
      <c r="D502" s="46" t="str">
        <f>IF(Tabla1[[#This Row],[EDAD]]&lt;=35,"Adultos jóvenes 18 - 35 años",IF(C502&gt;=36,"Adultos mayores 36 años en adelante"))</f>
        <v>Adultos jóvenes 18 - 35 años</v>
      </c>
      <c r="E502" s="3" t="s">
        <v>5018</v>
      </c>
      <c r="F502" s="3" t="s">
        <v>5029</v>
      </c>
      <c r="G502" s="3" t="s">
        <v>5031</v>
      </c>
      <c r="H502" s="3" t="s">
        <v>7148</v>
      </c>
      <c r="I502" s="17">
        <v>45593</v>
      </c>
      <c r="J502" s="18">
        <f>YEAR(Tabla1[[#This Row],[FECHA DE COMPRA]])</f>
        <v>2024</v>
      </c>
      <c r="K502" s="19">
        <v>34.270000000000003</v>
      </c>
      <c r="L502" s="20">
        <v>0.2</v>
      </c>
      <c r="M502" s="19">
        <f>Tienda!$K1106-Tienda!$K1106*Tienda!$L1106</f>
        <v>155.934</v>
      </c>
      <c r="N502" s="3" t="s">
        <v>10040</v>
      </c>
      <c r="O502" s="3" t="s">
        <v>10041</v>
      </c>
      <c r="P502" s="17">
        <v>45593</v>
      </c>
      <c r="Q502" s="4">
        <v>0</v>
      </c>
    </row>
    <row r="503" spans="1:17" x14ac:dyDescent="0.25">
      <c r="A503" s="2" t="s">
        <v>2961</v>
      </c>
      <c r="B503" s="3" t="s">
        <v>5016</v>
      </c>
      <c r="C503" s="3">
        <v>35</v>
      </c>
      <c r="D503" s="46" t="str">
        <f>IF(Tabla1[[#This Row],[EDAD]]&lt;=35,"Adultos jóvenes 18 - 35 años",IF(C503&gt;=36,"Adultos mayores 36 años en adelante"))</f>
        <v>Adultos jóvenes 18 - 35 años</v>
      </c>
      <c r="E503" s="3" t="s">
        <v>5019</v>
      </c>
      <c r="F503" s="3" t="s">
        <v>5030</v>
      </c>
      <c r="G503" s="3" t="s">
        <v>5036</v>
      </c>
      <c r="H503" s="3" t="s">
        <v>7984</v>
      </c>
      <c r="I503" s="17">
        <v>45557</v>
      </c>
      <c r="J503" s="18">
        <f>YEAR(Tabla1[[#This Row],[FECHA DE COMPRA]])</f>
        <v>2024</v>
      </c>
      <c r="K503" s="19">
        <v>27.42</v>
      </c>
      <c r="L503" s="20">
        <v>0</v>
      </c>
      <c r="M503" s="19">
        <f>Tienda!$K1107-Tienda!$K1107*Tienda!$L1107</f>
        <v>173.86</v>
      </c>
      <c r="N503" s="3" t="s">
        <v>10040</v>
      </c>
      <c r="O503" s="3" t="s">
        <v>10041</v>
      </c>
      <c r="P503" s="17">
        <v>45557</v>
      </c>
      <c r="Q503" s="4">
        <v>0</v>
      </c>
    </row>
    <row r="504" spans="1:17" x14ac:dyDescent="0.25">
      <c r="A504" s="2" t="s">
        <v>3792</v>
      </c>
      <c r="B504" s="3" t="s">
        <v>5015</v>
      </c>
      <c r="C504" s="3">
        <v>35</v>
      </c>
      <c r="D504" s="46" t="str">
        <f>IF(Tabla1[[#This Row],[EDAD]]&lt;=35,"Adultos jóvenes 18 - 35 años",IF(C504&gt;=36,"Adultos mayores 36 años en adelante"))</f>
        <v>Adultos jóvenes 18 - 35 años</v>
      </c>
      <c r="E504" s="3" t="s">
        <v>5022</v>
      </c>
      <c r="F504" s="3" t="s">
        <v>5028</v>
      </c>
      <c r="G504" s="3" t="s">
        <v>5037</v>
      </c>
      <c r="H504" s="3" t="s">
        <v>8815</v>
      </c>
      <c r="I504" s="17">
        <v>45539</v>
      </c>
      <c r="J504" s="18">
        <f>YEAR(Tabla1[[#This Row],[FECHA DE COMPRA]])</f>
        <v>2024</v>
      </c>
      <c r="K504" s="19">
        <v>39.94</v>
      </c>
      <c r="L504" s="20">
        <v>0.3</v>
      </c>
      <c r="M504" s="19">
        <f>Tienda!$K1111-Tienda!$K1111*Tienda!$L1111</f>
        <v>69.927999999999997</v>
      </c>
      <c r="N504" s="3" t="s">
        <v>10040</v>
      </c>
      <c r="O504" s="3" t="s">
        <v>10041</v>
      </c>
      <c r="P504" s="17">
        <v>45539</v>
      </c>
      <c r="Q504" s="4">
        <v>0</v>
      </c>
    </row>
    <row r="505" spans="1:17" x14ac:dyDescent="0.25">
      <c r="A505" s="2" t="s">
        <v>3434</v>
      </c>
      <c r="B505" s="3" t="s">
        <v>5016</v>
      </c>
      <c r="C505" s="3">
        <v>35</v>
      </c>
      <c r="D505" s="46" t="str">
        <f>IF(Tabla1[[#This Row],[EDAD]]&lt;=35,"Adultos jóvenes 18 - 35 años",IF(C505&gt;=36,"Adultos mayores 36 años en adelante"))</f>
        <v>Adultos jóvenes 18 - 35 años</v>
      </c>
      <c r="E505" s="3" t="s">
        <v>5023</v>
      </c>
      <c r="F505" s="3" t="s">
        <v>5024</v>
      </c>
      <c r="G505" s="3" t="s">
        <v>5032</v>
      </c>
      <c r="H505" s="3" t="s">
        <v>8457</v>
      </c>
      <c r="I505" s="17">
        <v>45629</v>
      </c>
      <c r="J505" s="18">
        <f>YEAR(Tabla1[[#This Row],[FECHA DE COMPRA]])</f>
        <v>2024</v>
      </c>
      <c r="K505" s="19">
        <v>34.99</v>
      </c>
      <c r="L505" s="20">
        <v>0.2</v>
      </c>
      <c r="M505" s="19">
        <f>Tienda!$K1112-Tienda!$K1112*Tienda!$L1112</f>
        <v>116.16800000000001</v>
      </c>
      <c r="N505" s="3" t="s">
        <v>10040</v>
      </c>
      <c r="O505" s="3" t="s">
        <v>10041</v>
      </c>
      <c r="P505" s="17">
        <v>45629</v>
      </c>
      <c r="Q505" s="4">
        <v>0</v>
      </c>
    </row>
    <row r="506" spans="1:17" x14ac:dyDescent="0.25">
      <c r="A506" s="2" t="s">
        <v>1192</v>
      </c>
      <c r="B506" s="3" t="s">
        <v>5016</v>
      </c>
      <c r="C506" s="3">
        <v>26</v>
      </c>
      <c r="D506" s="46" t="str">
        <f>IF(Tabla1[[#This Row],[EDAD]]&lt;=35,"Adultos jóvenes 18 - 35 años",IF(C506&gt;=36,"Adultos mayores 36 años en adelante"))</f>
        <v>Adultos jóvenes 18 - 35 años</v>
      </c>
      <c r="E506" s="3" t="s">
        <v>5019</v>
      </c>
      <c r="F506" s="3" t="s">
        <v>5030</v>
      </c>
      <c r="G506" s="3" t="s">
        <v>5035</v>
      </c>
      <c r="H506" s="3" t="s">
        <v>6215</v>
      </c>
      <c r="I506" s="17">
        <v>45604</v>
      </c>
      <c r="J506" s="18">
        <f>YEAR(Tabla1[[#This Row],[FECHA DE COMPRA]])</f>
        <v>2024</v>
      </c>
      <c r="K506" s="19">
        <v>40.57</v>
      </c>
      <c r="L506" s="20">
        <v>0.3</v>
      </c>
      <c r="M506" s="19">
        <f>Tienda!$K1116-Tienda!$K1116*Tienda!$L1116</f>
        <v>57.95</v>
      </c>
      <c r="N506" s="3" t="s">
        <v>10040</v>
      </c>
      <c r="O506" s="3" t="s">
        <v>10041</v>
      </c>
      <c r="P506" s="17">
        <v>45604</v>
      </c>
      <c r="Q506" s="4">
        <v>0</v>
      </c>
    </row>
    <row r="507" spans="1:17" x14ac:dyDescent="0.25">
      <c r="A507" s="2" t="s">
        <v>1003</v>
      </c>
      <c r="B507" s="3" t="s">
        <v>5015</v>
      </c>
      <c r="C507" s="3">
        <v>21</v>
      </c>
      <c r="D507" s="46" t="str">
        <f>IF(Tabla1[[#This Row],[EDAD]]&lt;=35,"Adultos jóvenes 18 - 35 años",IF(C507&gt;=36,"Adultos mayores 36 años en adelante"))</f>
        <v>Adultos jóvenes 18 - 35 años</v>
      </c>
      <c r="E507" s="3" t="s">
        <v>5018</v>
      </c>
      <c r="F507" s="3" t="s">
        <v>5027</v>
      </c>
      <c r="G507" s="3" t="s">
        <v>5035</v>
      </c>
      <c r="H507" s="3" t="s">
        <v>6026</v>
      </c>
      <c r="I507" s="17">
        <v>45649</v>
      </c>
      <c r="J507" s="18">
        <f>YEAR(Tabla1[[#This Row],[FECHA DE COMPRA]])</f>
        <v>2024</v>
      </c>
      <c r="K507" s="19">
        <v>32.590000000000003</v>
      </c>
      <c r="L507" s="20">
        <v>0.1</v>
      </c>
      <c r="M507" s="19">
        <f>Tienda!$K1129-Tienda!$K1129*Tienda!$L1129</f>
        <v>64.421999999999997</v>
      </c>
      <c r="N507" s="3" t="s">
        <v>10040</v>
      </c>
      <c r="O507" s="3" t="s">
        <v>10041</v>
      </c>
      <c r="P507" s="17">
        <v>45303</v>
      </c>
      <c r="Q507" s="4">
        <v>0</v>
      </c>
    </row>
    <row r="508" spans="1:17" x14ac:dyDescent="0.25">
      <c r="A508" s="2" t="s">
        <v>612</v>
      </c>
      <c r="B508" s="3" t="s">
        <v>5015</v>
      </c>
      <c r="C508" s="3">
        <v>23</v>
      </c>
      <c r="D508" s="46" t="str">
        <f>IF(Tabla1[[#This Row],[EDAD]]&lt;=35,"Adultos jóvenes 18 - 35 años",IF(C508&gt;=36,"Adultos mayores 36 años en adelante"))</f>
        <v>Adultos jóvenes 18 - 35 años</v>
      </c>
      <c r="E508" s="3" t="s">
        <v>5019</v>
      </c>
      <c r="F508" s="3" t="s">
        <v>5026</v>
      </c>
      <c r="G508" s="3" t="s">
        <v>5034</v>
      </c>
      <c r="H508" s="3" t="s">
        <v>5635</v>
      </c>
      <c r="I508" s="17">
        <v>45391</v>
      </c>
      <c r="J508" s="18">
        <f>YEAR(Tabla1[[#This Row],[FECHA DE COMPRA]])</f>
        <v>2024</v>
      </c>
      <c r="K508" s="19">
        <v>38.119999999999997</v>
      </c>
      <c r="L508" s="20">
        <v>0.2</v>
      </c>
      <c r="M508" s="19">
        <f>Tienda!$K1139-Tienda!$K1139*Tienda!$L1139</f>
        <v>148.03199999999998</v>
      </c>
      <c r="N508" s="3" t="s">
        <v>10040</v>
      </c>
      <c r="O508" s="3" t="s">
        <v>10041</v>
      </c>
      <c r="P508" s="17">
        <v>45391</v>
      </c>
      <c r="Q508" s="4">
        <v>0</v>
      </c>
    </row>
    <row r="509" spans="1:17" x14ac:dyDescent="0.25">
      <c r="A509" s="2" t="s">
        <v>4945</v>
      </c>
      <c r="B509" s="3" t="s">
        <v>5015</v>
      </c>
      <c r="C509" s="3">
        <v>33</v>
      </c>
      <c r="D509" s="46" t="str">
        <f>IF(Tabla1[[#This Row],[EDAD]]&lt;=35,"Adultos jóvenes 18 - 35 años",IF(C509&gt;=36,"Adultos mayores 36 años en adelante"))</f>
        <v>Adultos jóvenes 18 - 35 años</v>
      </c>
      <c r="E509" s="3" t="s">
        <v>5018</v>
      </c>
      <c r="F509" s="3" t="s">
        <v>5025</v>
      </c>
      <c r="G509" s="3" t="s">
        <v>5032</v>
      </c>
      <c r="H509" s="3" t="s">
        <v>9968</v>
      </c>
      <c r="I509" s="17">
        <v>45611</v>
      </c>
      <c r="J509" s="18">
        <f>YEAR(Tabla1[[#This Row],[FECHA DE COMPRA]])</f>
        <v>2024</v>
      </c>
      <c r="K509" s="19">
        <v>30.81</v>
      </c>
      <c r="L509" s="20">
        <v>0</v>
      </c>
      <c r="M509" s="19">
        <f>Tienda!$K1142-Tienda!$K1142*Tienda!$L1142</f>
        <v>22.670999999999999</v>
      </c>
      <c r="N509" s="3" t="s">
        <v>10040</v>
      </c>
      <c r="O509" s="3" t="s">
        <v>10041</v>
      </c>
      <c r="P509" s="17">
        <v>45611</v>
      </c>
      <c r="Q509" s="4">
        <v>0</v>
      </c>
    </row>
    <row r="510" spans="1:17" x14ac:dyDescent="0.25">
      <c r="A510" s="2" t="s">
        <v>3431</v>
      </c>
      <c r="B510" s="3" t="s">
        <v>5015</v>
      </c>
      <c r="C510" s="3">
        <v>33</v>
      </c>
      <c r="D510" s="46" t="str">
        <f>IF(Tabla1[[#This Row],[EDAD]]&lt;=35,"Adultos jóvenes 18 - 35 años",IF(C510&gt;=36,"Adultos mayores 36 años en adelante"))</f>
        <v>Adultos jóvenes 18 - 35 años</v>
      </c>
      <c r="E510" s="3" t="s">
        <v>5019</v>
      </c>
      <c r="F510" s="3" t="s">
        <v>5027</v>
      </c>
      <c r="G510" s="3" t="s">
        <v>5035</v>
      </c>
      <c r="H510" s="3" t="s">
        <v>8454</v>
      </c>
      <c r="I510" s="17">
        <v>45638</v>
      </c>
      <c r="J510" s="18">
        <f>YEAR(Tabla1[[#This Row],[FECHA DE COMPRA]])</f>
        <v>2024</v>
      </c>
      <c r="K510" s="19">
        <v>40.21</v>
      </c>
      <c r="L510" s="20">
        <v>0.2</v>
      </c>
      <c r="M510" s="19">
        <f>Tienda!$K1153-Tienda!$K1153*Tienda!$L1153</f>
        <v>146.6</v>
      </c>
      <c r="N510" s="3" t="s">
        <v>10040</v>
      </c>
      <c r="O510" s="3" t="s">
        <v>10041</v>
      </c>
      <c r="P510" s="17">
        <v>45638</v>
      </c>
      <c r="Q510" s="4">
        <v>0</v>
      </c>
    </row>
    <row r="511" spans="1:17" x14ac:dyDescent="0.25">
      <c r="A511" s="2" t="s">
        <v>4343</v>
      </c>
      <c r="B511" s="3" t="s">
        <v>5015</v>
      </c>
      <c r="C511" s="3">
        <v>29</v>
      </c>
      <c r="D511" s="46" t="str">
        <f>IF(Tabla1[[#This Row],[EDAD]]&lt;=35,"Adultos jóvenes 18 - 35 años",IF(C511&gt;=36,"Adultos mayores 36 años en adelante"))</f>
        <v>Adultos jóvenes 18 - 35 años</v>
      </c>
      <c r="E511" s="3" t="s">
        <v>5020</v>
      </c>
      <c r="F511" s="3" t="s">
        <v>5029</v>
      </c>
      <c r="G511" s="3" t="s">
        <v>5035</v>
      </c>
      <c r="H511" s="3" t="s">
        <v>9366</v>
      </c>
      <c r="I511" s="17">
        <v>45413</v>
      </c>
      <c r="J511" s="18">
        <f>YEAR(Tabla1[[#This Row],[FECHA DE COMPRA]])</f>
        <v>2024</v>
      </c>
      <c r="K511" s="19">
        <v>41.73</v>
      </c>
      <c r="L511" s="20">
        <v>0.2</v>
      </c>
      <c r="M511" s="19">
        <f>Tienda!$K1167-Tienda!$K1167*Tienda!$L1167</f>
        <v>148.99</v>
      </c>
      <c r="N511" s="3" t="s">
        <v>10040</v>
      </c>
      <c r="O511" s="3" t="s">
        <v>10041</v>
      </c>
      <c r="P511" s="17">
        <v>45413</v>
      </c>
      <c r="Q511" s="4">
        <v>0</v>
      </c>
    </row>
    <row r="512" spans="1:17" x14ac:dyDescent="0.25">
      <c r="A512" s="2" t="s">
        <v>3396</v>
      </c>
      <c r="B512" s="3" t="s">
        <v>5015</v>
      </c>
      <c r="C512" s="3">
        <v>31</v>
      </c>
      <c r="D512" s="46" t="str">
        <f>IF(Tabla1[[#This Row],[EDAD]]&lt;=35,"Adultos jóvenes 18 - 35 años",IF(C512&gt;=36,"Adultos mayores 36 años en adelante"))</f>
        <v>Adultos jóvenes 18 - 35 años</v>
      </c>
      <c r="E512" s="3" t="s">
        <v>5020</v>
      </c>
      <c r="F512" s="3" t="s">
        <v>5030</v>
      </c>
      <c r="G512" s="3" t="s">
        <v>5032</v>
      </c>
      <c r="H512" s="3" t="s">
        <v>8419</v>
      </c>
      <c r="I512" s="17">
        <v>45401</v>
      </c>
      <c r="J512" s="18">
        <f>YEAR(Tabla1[[#This Row],[FECHA DE COMPRA]])</f>
        <v>2024</v>
      </c>
      <c r="K512" s="19">
        <v>37.24</v>
      </c>
      <c r="L512" s="20">
        <v>0.1</v>
      </c>
      <c r="M512" s="19">
        <f>Tienda!$K1168-Tienda!$K1168*Tienda!$L1168</f>
        <v>179.667</v>
      </c>
      <c r="N512" s="3" t="s">
        <v>10040</v>
      </c>
      <c r="O512" s="3" t="s">
        <v>10041</v>
      </c>
      <c r="P512" s="17">
        <v>45401</v>
      </c>
      <c r="Q512" s="4">
        <v>0</v>
      </c>
    </row>
    <row r="513" spans="1:17" x14ac:dyDescent="0.25">
      <c r="A513" s="2" t="s">
        <v>2266</v>
      </c>
      <c r="B513" s="3" t="s">
        <v>5015</v>
      </c>
      <c r="C513" s="3">
        <v>35</v>
      </c>
      <c r="D513" s="46" t="str">
        <f>IF(Tabla1[[#This Row],[EDAD]]&lt;=35,"Adultos jóvenes 18 - 35 años",IF(C513&gt;=36,"Adultos mayores 36 años en adelante"))</f>
        <v>Adultos jóvenes 18 - 35 años</v>
      </c>
      <c r="E513" s="3" t="s">
        <v>5021</v>
      </c>
      <c r="F513" s="3" t="s">
        <v>5024</v>
      </c>
      <c r="G513" s="3" t="s">
        <v>5032</v>
      </c>
      <c r="H513" s="3" t="s">
        <v>7289</v>
      </c>
      <c r="I513" s="17">
        <v>45657</v>
      </c>
      <c r="J513" s="18">
        <f>YEAR(Tabla1[[#This Row],[FECHA DE COMPRA]])</f>
        <v>2024</v>
      </c>
      <c r="K513" s="19">
        <v>42.24</v>
      </c>
      <c r="L513" s="20">
        <v>0.2</v>
      </c>
      <c r="M513" s="19">
        <f>Tienda!$K1172-Tienda!$K1172*Tienda!$L1172</f>
        <v>140.68</v>
      </c>
      <c r="N513" s="3" t="s">
        <v>10040</v>
      </c>
      <c r="O513" s="3" t="s">
        <v>10041</v>
      </c>
      <c r="P513" s="17">
        <v>45657</v>
      </c>
      <c r="Q513" s="4">
        <v>0</v>
      </c>
    </row>
    <row r="514" spans="1:17" x14ac:dyDescent="0.25">
      <c r="A514" s="2" t="s">
        <v>4394</v>
      </c>
      <c r="B514" s="3" t="s">
        <v>5015</v>
      </c>
      <c r="C514" s="3">
        <v>28</v>
      </c>
      <c r="D514" s="46" t="str">
        <f>IF(Tabla1[[#This Row],[EDAD]]&lt;=35,"Adultos jóvenes 18 - 35 años",IF(C514&gt;=36,"Adultos mayores 36 años en adelante"))</f>
        <v>Adultos jóvenes 18 - 35 años</v>
      </c>
      <c r="E514" s="3" t="s">
        <v>5017</v>
      </c>
      <c r="F514" s="3" t="s">
        <v>5030</v>
      </c>
      <c r="G514" s="3" t="s">
        <v>5032</v>
      </c>
      <c r="H514" s="3" t="s">
        <v>9417</v>
      </c>
      <c r="I514" s="17">
        <v>45531</v>
      </c>
      <c r="J514" s="18">
        <f>YEAR(Tabla1[[#This Row],[FECHA DE COMPRA]])</f>
        <v>2024</v>
      </c>
      <c r="K514" s="19">
        <v>48.79</v>
      </c>
      <c r="L514" s="20">
        <v>0.3</v>
      </c>
      <c r="M514" s="19">
        <f>Tienda!$K1177-Tienda!$K1177*Tienda!$L1177</f>
        <v>23.175000000000001</v>
      </c>
      <c r="N514" s="3" t="s">
        <v>10040</v>
      </c>
      <c r="O514" s="3" t="s">
        <v>10041</v>
      </c>
      <c r="P514" s="17">
        <v>45531</v>
      </c>
      <c r="Q514" s="4">
        <v>0</v>
      </c>
    </row>
    <row r="515" spans="1:17" x14ac:dyDescent="0.25">
      <c r="A515" s="2" t="s">
        <v>2943</v>
      </c>
      <c r="B515" s="3" t="s">
        <v>5015</v>
      </c>
      <c r="C515" s="3">
        <v>29</v>
      </c>
      <c r="D515" s="46" t="str">
        <f>IF(Tabla1[[#This Row],[EDAD]]&lt;=35,"Adultos jóvenes 18 - 35 años",IF(C515&gt;=36,"Adultos mayores 36 años en adelante"))</f>
        <v>Adultos jóvenes 18 - 35 años</v>
      </c>
      <c r="E515" s="3" t="s">
        <v>5023</v>
      </c>
      <c r="F515" s="3" t="s">
        <v>5025</v>
      </c>
      <c r="G515" s="3" t="s">
        <v>5032</v>
      </c>
      <c r="H515" s="3" t="s">
        <v>7966</v>
      </c>
      <c r="I515" s="17">
        <v>45348</v>
      </c>
      <c r="J515" s="18">
        <f>YEAR(Tabla1[[#This Row],[FECHA DE COMPRA]])</f>
        <v>2024</v>
      </c>
      <c r="K515" s="19">
        <v>43.52</v>
      </c>
      <c r="L515" s="20">
        <v>0.2</v>
      </c>
      <c r="M515" s="19">
        <f>Tienda!$K1183-Tienda!$K1183*Tienda!$L1183</f>
        <v>139.38999999999999</v>
      </c>
      <c r="N515" s="3" t="s">
        <v>10040</v>
      </c>
      <c r="O515" s="3" t="s">
        <v>10041</v>
      </c>
      <c r="P515" s="17">
        <v>45348</v>
      </c>
      <c r="Q515" s="4">
        <v>0</v>
      </c>
    </row>
    <row r="516" spans="1:17" x14ac:dyDescent="0.25">
      <c r="A516" s="2" t="s">
        <v>4700</v>
      </c>
      <c r="B516" s="3" t="s">
        <v>5015</v>
      </c>
      <c r="C516" s="3">
        <v>29</v>
      </c>
      <c r="D516" s="46" t="str">
        <f>IF(Tabla1[[#This Row],[EDAD]]&lt;=35,"Adultos jóvenes 18 - 35 años",IF(C516&gt;=36,"Adultos mayores 36 años en adelante"))</f>
        <v>Adultos jóvenes 18 - 35 años</v>
      </c>
      <c r="E516" s="3" t="s">
        <v>5023</v>
      </c>
      <c r="F516" s="3" t="s">
        <v>5028</v>
      </c>
      <c r="G516" s="3" t="s">
        <v>5036</v>
      </c>
      <c r="H516" s="3" t="s">
        <v>9723</v>
      </c>
      <c r="I516" s="17">
        <v>45624</v>
      </c>
      <c r="J516" s="18">
        <f>YEAR(Tabla1[[#This Row],[FECHA DE COMPRA]])</f>
        <v>2024</v>
      </c>
      <c r="K516" s="19">
        <v>51.43</v>
      </c>
      <c r="L516" s="20">
        <v>0.3</v>
      </c>
      <c r="M516" s="19">
        <f>Tienda!$K1194-Tienda!$K1194*Tienda!$L1194</f>
        <v>175.91</v>
      </c>
      <c r="N516" s="3" t="s">
        <v>10040</v>
      </c>
      <c r="O516" s="3" t="s">
        <v>10041</v>
      </c>
      <c r="P516" s="17">
        <v>45410</v>
      </c>
      <c r="Q516" s="4">
        <v>0</v>
      </c>
    </row>
    <row r="517" spans="1:17" x14ac:dyDescent="0.25">
      <c r="A517" s="2" t="s">
        <v>4753</v>
      </c>
      <c r="B517" s="3" t="s">
        <v>5015</v>
      </c>
      <c r="C517" s="3">
        <v>34</v>
      </c>
      <c r="D517" s="46" t="str">
        <f>IF(Tabla1[[#This Row],[EDAD]]&lt;=35,"Adultos jóvenes 18 - 35 años",IF(C517&gt;=36,"Adultos mayores 36 años en adelante"))</f>
        <v>Adultos jóvenes 18 - 35 años</v>
      </c>
      <c r="E517" s="3" t="s">
        <v>5020</v>
      </c>
      <c r="F517" s="3" t="s">
        <v>5026</v>
      </c>
      <c r="G517" s="3" t="s">
        <v>5033</v>
      </c>
      <c r="H517" s="3" t="s">
        <v>9776</v>
      </c>
      <c r="I517" s="17">
        <v>45327</v>
      </c>
      <c r="J517" s="18">
        <f>YEAR(Tabla1[[#This Row],[FECHA DE COMPRA]])</f>
        <v>2024</v>
      </c>
      <c r="K517" s="19">
        <v>36.19</v>
      </c>
      <c r="L517" s="20">
        <v>0</v>
      </c>
      <c r="M517" s="19">
        <f>Tienda!$K1195-Tienda!$K1195*Tienda!$L1195</f>
        <v>152.24799999999999</v>
      </c>
      <c r="N517" s="3" t="s">
        <v>10040</v>
      </c>
      <c r="O517" s="3" t="s">
        <v>10041</v>
      </c>
      <c r="P517" s="17">
        <v>45327</v>
      </c>
      <c r="Q517" s="4">
        <v>0</v>
      </c>
    </row>
    <row r="518" spans="1:17" x14ac:dyDescent="0.25">
      <c r="A518" s="2" t="s">
        <v>4073</v>
      </c>
      <c r="B518" s="3" t="s">
        <v>5016</v>
      </c>
      <c r="C518" s="3">
        <v>34</v>
      </c>
      <c r="D518" s="46" t="str">
        <f>IF(Tabla1[[#This Row],[EDAD]]&lt;=35,"Adultos jóvenes 18 - 35 años",IF(C518&gt;=36,"Adultos mayores 36 años en adelante"))</f>
        <v>Adultos jóvenes 18 - 35 años</v>
      </c>
      <c r="E518" s="3" t="s">
        <v>5021</v>
      </c>
      <c r="F518" s="3" t="s">
        <v>5024</v>
      </c>
      <c r="G518" s="3" t="s">
        <v>5035</v>
      </c>
      <c r="H518" s="3" t="s">
        <v>9096</v>
      </c>
      <c r="I518" s="17">
        <v>45544</v>
      </c>
      <c r="J518" s="18">
        <f>YEAR(Tabla1[[#This Row],[FECHA DE COMPRA]])</f>
        <v>2024</v>
      </c>
      <c r="K518" s="19">
        <v>45.56</v>
      </c>
      <c r="L518" s="20">
        <v>0.2</v>
      </c>
      <c r="M518" s="19">
        <f>Tienda!$K1197-Tienda!$K1197*Tienda!$L1197</f>
        <v>44.387</v>
      </c>
      <c r="N518" s="3" t="s">
        <v>10040</v>
      </c>
      <c r="O518" s="3" t="s">
        <v>10041</v>
      </c>
      <c r="P518" s="17">
        <v>45544</v>
      </c>
      <c r="Q518" s="4">
        <v>0</v>
      </c>
    </row>
    <row r="519" spans="1:17" x14ac:dyDescent="0.25">
      <c r="A519" s="2" t="s">
        <v>1721</v>
      </c>
      <c r="B519" s="3" t="s">
        <v>5015</v>
      </c>
      <c r="C519" s="3">
        <v>31</v>
      </c>
      <c r="D519" s="46" t="str">
        <f>IF(Tabla1[[#This Row],[EDAD]]&lt;=35,"Adultos jóvenes 18 - 35 años",IF(C519&gt;=36,"Adultos mayores 36 años en adelante"))</f>
        <v>Adultos jóvenes 18 - 35 años</v>
      </c>
      <c r="E519" s="3" t="s">
        <v>5018</v>
      </c>
      <c r="F519" s="3" t="s">
        <v>5028</v>
      </c>
      <c r="G519" s="3" t="s">
        <v>5032</v>
      </c>
      <c r="H519" s="3" t="s">
        <v>6744</v>
      </c>
      <c r="I519" s="17">
        <v>45642</v>
      </c>
      <c r="J519" s="18">
        <f>YEAR(Tabla1[[#This Row],[FECHA DE COMPRA]])</f>
        <v>2024</v>
      </c>
      <c r="K519" s="19">
        <v>36.520000000000003</v>
      </c>
      <c r="L519" s="20">
        <v>0</v>
      </c>
      <c r="M519" s="19">
        <f>Tienda!$K1200-Tienda!$K1200*Tienda!$L1200</f>
        <v>87.984000000000009</v>
      </c>
      <c r="N519" s="3" t="s">
        <v>10040</v>
      </c>
      <c r="O519" s="3" t="s">
        <v>10041</v>
      </c>
      <c r="P519" s="17">
        <v>45642</v>
      </c>
      <c r="Q519" s="4">
        <v>0</v>
      </c>
    </row>
    <row r="520" spans="1:17" x14ac:dyDescent="0.25">
      <c r="A520" s="2" t="s">
        <v>310</v>
      </c>
      <c r="B520" s="3" t="s">
        <v>5015</v>
      </c>
      <c r="C520" s="3">
        <v>28</v>
      </c>
      <c r="D520" s="46" t="str">
        <f>IF(Tabla1[[#This Row],[EDAD]]&lt;=35,"Adultos jóvenes 18 - 35 años",IF(C520&gt;=36,"Adultos mayores 36 años en adelante"))</f>
        <v>Adultos jóvenes 18 - 35 años</v>
      </c>
      <c r="E520" s="3" t="s">
        <v>5021</v>
      </c>
      <c r="F520" s="3" t="s">
        <v>5024</v>
      </c>
      <c r="G520" s="3" t="s">
        <v>5036</v>
      </c>
      <c r="H520" s="3" t="s">
        <v>5333</v>
      </c>
      <c r="I520" s="17">
        <v>45641</v>
      </c>
      <c r="J520" s="18">
        <f>YEAR(Tabla1[[#This Row],[FECHA DE COMPRA]])</f>
        <v>2024</v>
      </c>
      <c r="K520" s="19">
        <v>52.41</v>
      </c>
      <c r="L520" s="20">
        <v>0.3</v>
      </c>
      <c r="M520" s="19">
        <f>Tienda!$K1201-Tienda!$K1201*Tienda!$L1201</f>
        <v>85.903999999999996</v>
      </c>
      <c r="N520" s="3" t="s">
        <v>10040</v>
      </c>
      <c r="O520" s="3" t="s">
        <v>10041</v>
      </c>
      <c r="P520" s="17">
        <v>45641</v>
      </c>
      <c r="Q520" s="4">
        <v>0</v>
      </c>
    </row>
    <row r="521" spans="1:17" x14ac:dyDescent="0.25">
      <c r="A521" s="2" t="s">
        <v>717</v>
      </c>
      <c r="B521" s="3" t="s">
        <v>5016</v>
      </c>
      <c r="C521" s="3">
        <v>20</v>
      </c>
      <c r="D521" s="46" t="str">
        <f>IF(Tabla1[[#This Row],[EDAD]]&lt;=35,"Adultos jóvenes 18 - 35 años",IF(C521&gt;=36,"Adultos mayores 36 años en adelante"))</f>
        <v>Adultos jóvenes 18 - 35 años</v>
      </c>
      <c r="E521" s="3" t="s">
        <v>5019</v>
      </c>
      <c r="F521" s="3" t="s">
        <v>5030</v>
      </c>
      <c r="G521" s="3" t="s">
        <v>5032</v>
      </c>
      <c r="H521" s="3" t="s">
        <v>5740</v>
      </c>
      <c r="I521" s="17">
        <v>45364</v>
      </c>
      <c r="J521" s="18">
        <f>YEAR(Tabla1[[#This Row],[FECHA DE COMPRA]])</f>
        <v>2024</v>
      </c>
      <c r="K521" s="19">
        <v>53.1</v>
      </c>
      <c r="L521" s="20">
        <v>0.3</v>
      </c>
      <c r="M521" s="19">
        <f>Tienda!$K1204-Tienda!$K1204*Tienda!$L1204</f>
        <v>7.1539999999999999</v>
      </c>
      <c r="N521" s="3" t="s">
        <v>10040</v>
      </c>
      <c r="O521" s="3" t="s">
        <v>10041</v>
      </c>
      <c r="P521" s="17">
        <v>45364</v>
      </c>
      <c r="Q521" s="4">
        <v>0</v>
      </c>
    </row>
    <row r="522" spans="1:17" x14ac:dyDescent="0.25">
      <c r="A522" s="2" t="s">
        <v>3246</v>
      </c>
      <c r="B522" s="3" t="s">
        <v>5015</v>
      </c>
      <c r="C522" s="3">
        <v>22</v>
      </c>
      <c r="D522" s="46" t="str">
        <f>IF(Tabla1[[#This Row],[EDAD]]&lt;=35,"Adultos jóvenes 18 - 35 años",IF(C522&gt;=36,"Adultos mayores 36 años en adelante"))</f>
        <v>Adultos jóvenes 18 - 35 años</v>
      </c>
      <c r="E522" s="3" t="s">
        <v>5020</v>
      </c>
      <c r="F522" s="3" t="s">
        <v>5024</v>
      </c>
      <c r="G522" s="3" t="s">
        <v>5035</v>
      </c>
      <c r="H522" s="3" t="s">
        <v>8269</v>
      </c>
      <c r="I522" s="17">
        <v>45590</v>
      </c>
      <c r="J522" s="18">
        <f>YEAR(Tabla1[[#This Row],[FECHA DE COMPRA]])</f>
        <v>2024</v>
      </c>
      <c r="K522" s="19">
        <v>55.02</v>
      </c>
      <c r="L522" s="20">
        <v>0.3</v>
      </c>
      <c r="M522" s="19">
        <f>Tienda!$K1212-Tienda!$K1212*Tienda!$L1212</f>
        <v>12.36</v>
      </c>
      <c r="N522" s="3" t="s">
        <v>10040</v>
      </c>
      <c r="O522" s="3" t="s">
        <v>10041</v>
      </c>
      <c r="P522" s="17">
        <v>45590</v>
      </c>
      <c r="Q522" s="4">
        <v>0</v>
      </c>
    </row>
    <row r="523" spans="1:17" x14ac:dyDescent="0.25">
      <c r="A523" s="2" t="s">
        <v>2940</v>
      </c>
      <c r="B523" s="3" t="s">
        <v>5015</v>
      </c>
      <c r="C523" s="3">
        <v>20</v>
      </c>
      <c r="D523" s="46" t="str">
        <f>IF(Tabla1[[#This Row],[EDAD]]&lt;=35,"Adultos jóvenes 18 - 35 años",IF(C523&gt;=36,"Adultos mayores 36 años en adelante"))</f>
        <v>Adultos jóvenes 18 - 35 años</v>
      </c>
      <c r="E523" s="3" t="s">
        <v>5020</v>
      </c>
      <c r="F523" s="3" t="s">
        <v>5026</v>
      </c>
      <c r="G523" s="3" t="s">
        <v>5032</v>
      </c>
      <c r="H523" s="3" t="s">
        <v>7963</v>
      </c>
      <c r="I523" s="17">
        <v>45592</v>
      </c>
      <c r="J523" s="18">
        <f>YEAR(Tabla1[[#This Row],[FECHA DE COMPRA]])</f>
        <v>2024</v>
      </c>
      <c r="K523" s="19">
        <v>48.54</v>
      </c>
      <c r="L523" s="20">
        <v>0.2</v>
      </c>
      <c r="M523" s="19">
        <f>Tienda!$K1214-Tienda!$K1214*Tienda!$L1214</f>
        <v>12.466999999999999</v>
      </c>
      <c r="N523" s="3" t="s">
        <v>10040</v>
      </c>
      <c r="O523" s="3" t="s">
        <v>10041</v>
      </c>
      <c r="P523" s="17">
        <v>45592</v>
      </c>
      <c r="Q523" s="4">
        <v>0</v>
      </c>
    </row>
    <row r="524" spans="1:17" x14ac:dyDescent="0.25">
      <c r="A524" s="2" t="s">
        <v>2705</v>
      </c>
      <c r="B524" s="3" t="s">
        <v>5015</v>
      </c>
      <c r="C524" s="3">
        <v>34</v>
      </c>
      <c r="D524" s="46" t="str">
        <f>IF(Tabla1[[#This Row],[EDAD]]&lt;=35,"Adultos jóvenes 18 - 35 años",IF(C524&gt;=36,"Adultos mayores 36 años en adelante"))</f>
        <v>Adultos jóvenes 18 - 35 años</v>
      </c>
      <c r="E524" s="3" t="s">
        <v>5017</v>
      </c>
      <c r="F524" s="3" t="s">
        <v>5024</v>
      </c>
      <c r="G524" s="3" t="s">
        <v>5033</v>
      </c>
      <c r="H524" s="3" t="s">
        <v>7728</v>
      </c>
      <c r="I524" s="17">
        <v>45617</v>
      </c>
      <c r="J524" s="18">
        <f>YEAR(Tabla1[[#This Row],[FECHA DE COMPRA]])</f>
        <v>2024</v>
      </c>
      <c r="K524" s="19">
        <v>50.31</v>
      </c>
      <c r="L524" s="20">
        <v>0.2</v>
      </c>
      <c r="M524" s="19">
        <f>Tienda!$K1221-Tienda!$K1221*Tienda!$L1221</f>
        <v>15.08</v>
      </c>
      <c r="N524" s="3" t="s">
        <v>10040</v>
      </c>
      <c r="O524" s="3" t="s">
        <v>10041</v>
      </c>
      <c r="P524" s="17">
        <v>45617</v>
      </c>
      <c r="Q524" s="4">
        <v>0</v>
      </c>
    </row>
    <row r="525" spans="1:17" x14ac:dyDescent="0.25">
      <c r="A525" s="2" t="s">
        <v>4059</v>
      </c>
      <c r="B525" s="3" t="s">
        <v>5016</v>
      </c>
      <c r="C525" s="3">
        <v>19</v>
      </c>
      <c r="D525" s="46" t="str">
        <f>IF(Tabla1[[#This Row],[EDAD]]&lt;=35,"Adultos jóvenes 18 - 35 años",IF(C525&gt;=36,"Adultos mayores 36 años en adelante"))</f>
        <v>Adultos jóvenes 18 - 35 años</v>
      </c>
      <c r="E525" s="3" t="s">
        <v>5021</v>
      </c>
      <c r="F525" s="3" t="s">
        <v>5030</v>
      </c>
      <c r="G525" s="3" t="s">
        <v>5037</v>
      </c>
      <c r="H525" s="3" t="s">
        <v>9082</v>
      </c>
      <c r="I525" s="17">
        <v>45433</v>
      </c>
      <c r="J525" s="18">
        <f>YEAR(Tabla1[[#This Row],[FECHA DE COMPRA]])</f>
        <v>2024</v>
      </c>
      <c r="K525" s="19">
        <v>40.31</v>
      </c>
      <c r="L525" s="20">
        <v>0</v>
      </c>
      <c r="M525" s="19">
        <f>Tienda!$K1222-Tienda!$K1222*Tienda!$L1222</f>
        <v>15.666</v>
      </c>
      <c r="N525" s="3" t="s">
        <v>10040</v>
      </c>
      <c r="O525" s="3" t="s">
        <v>10041</v>
      </c>
      <c r="P525" s="17">
        <v>45433</v>
      </c>
      <c r="Q525" s="4">
        <v>0</v>
      </c>
    </row>
    <row r="526" spans="1:17" x14ac:dyDescent="0.25">
      <c r="A526" s="2" t="s">
        <v>4304</v>
      </c>
      <c r="B526" s="3" t="s">
        <v>5015</v>
      </c>
      <c r="C526" s="3">
        <v>33</v>
      </c>
      <c r="D526" s="46" t="str">
        <f>IF(Tabla1[[#This Row],[EDAD]]&lt;=35,"Adultos jóvenes 18 - 35 años",IF(C526&gt;=36,"Adultos mayores 36 años en adelante"))</f>
        <v>Adultos jóvenes 18 - 35 años</v>
      </c>
      <c r="E526" s="3" t="s">
        <v>5018</v>
      </c>
      <c r="F526" s="3" t="s">
        <v>5026</v>
      </c>
      <c r="G526" s="3" t="s">
        <v>5033</v>
      </c>
      <c r="H526" s="3" t="s">
        <v>9327</v>
      </c>
      <c r="I526" s="17">
        <v>45640</v>
      </c>
      <c r="J526" s="18">
        <f>YEAR(Tabla1[[#This Row],[FECHA DE COMPRA]])</f>
        <v>2024</v>
      </c>
      <c r="K526" s="19">
        <v>52.17</v>
      </c>
      <c r="L526" s="20">
        <v>0.2</v>
      </c>
      <c r="M526" s="19">
        <f>Tienda!$K1224-Tienda!$K1224*Tienda!$L1224</f>
        <v>16.02</v>
      </c>
      <c r="N526" s="3" t="s">
        <v>10040</v>
      </c>
      <c r="O526" s="3" t="s">
        <v>10041</v>
      </c>
      <c r="P526" s="17">
        <v>45640</v>
      </c>
      <c r="Q526" s="4">
        <v>0</v>
      </c>
    </row>
    <row r="527" spans="1:17" x14ac:dyDescent="0.25">
      <c r="A527" s="2" t="s">
        <v>1671</v>
      </c>
      <c r="B527" s="3" t="s">
        <v>5015</v>
      </c>
      <c r="C527" s="3">
        <v>20</v>
      </c>
      <c r="D527" s="46" t="str">
        <f>IF(Tabla1[[#This Row],[EDAD]]&lt;=35,"Adultos jóvenes 18 - 35 años",IF(C527&gt;=36,"Adultos mayores 36 años en adelante"))</f>
        <v>Adultos jóvenes 18 - 35 años</v>
      </c>
      <c r="E527" s="3" t="s">
        <v>5020</v>
      </c>
      <c r="F527" s="3" t="s">
        <v>5026</v>
      </c>
      <c r="G527" s="3" t="s">
        <v>5035</v>
      </c>
      <c r="H527" s="3" t="s">
        <v>6694</v>
      </c>
      <c r="I527" s="17">
        <v>45448</v>
      </c>
      <c r="J527" s="18">
        <f>YEAR(Tabla1[[#This Row],[FECHA DE COMPRA]])</f>
        <v>2024</v>
      </c>
      <c r="K527" s="19">
        <v>42.05</v>
      </c>
      <c r="L527" s="20">
        <v>0</v>
      </c>
      <c r="M527" s="19">
        <f>Tienda!$K1227-Tienda!$K1227*Tienda!$L1227</f>
        <v>16.776</v>
      </c>
      <c r="N527" s="3" t="s">
        <v>10040</v>
      </c>
      <c r="O527" s="3" t="s">
        <v>10041</v>
      </c>
      <c r="P527" s="17">
        <v>45448</v>
      </c>
      <c r="Q527" s="4">
        <v>0</v>
      </c>
    </row>
    <row r="528" spans="1:17" x14ac:dyDescent="0.25">
      <c r="A528" s="2" t="s">
        <v>2258</v>
      </c>
      <c r="B528" s="3" t="s">
        <v>5015</v>
      </c>
      <c r="C528" s="3">
        <v>19</v>
      </c>
      <c r="D528" s="46" t="str">
        <f>IF(Tabla1[[#This Row],[EDAD]]&lt;=35,"Adultos jóvenes 18 - 35 años",IF(C528&gt;=36,"Adultos mayores 36 años en adelante"))</f>
        <v>Adultos jóvenes 18 - 35 años</v>
      </c>
      <c r="E528" s="3" t="s">
        <v>5020</v>
      </c>
      <c r="F528" s="3" t="s">
        <v>5025</v>
      </c>
      <c r="G528" s="3" t="s">
        <v>5034</v>
      </c>
      <c r="H528" s="3" t="s">
        <v>7281</v>
      </c>
      <c r="I528" s="17">
        <v>45624</v>
      </c>
      <c r="J528" s="18">
        <f>YEAR(Tabla1[[#This Row],[FECHA DE COMPRA]])</f>
        <v>2024</v>
      </c>
      <c r="K528" s="19">
        <v>60.65</v>
      </c>
      <c r="L528" s="20">
        <v>0.3</v>
      </c>
      <c r="M528" s="19">
        <f>Tienda!$K1229-Tienda!$K1229*Tienda!$L1229</f>
        <v>18.399999999999999</v>
      </c>
      <c r="N528" s="3" t="s">
        <v>10040</v>
      </c>
      <c r="O528" s="3" t="s">
        <v>10041</v>
      </c>
      <c r="P528" s="17">
        <v>45488</v>
      </c>
      <c r="Q528" s="4">
        <v>0</v>
      </c>
    </row>
    <row r="529" spans="1:17" x14ac:dyDescent="0.25">
      <c r="A529" s="2" t="s">
        <v>1172</v>
      </c>
      <c r="B529" s="3" t="s">
        <v>5015</v>
      </c>
      <c r="C529" s="3">
        <v>34</v>
      </c>
      <c r="D529" s="46" t="str">
        <f>IF(Tabla1[[#This Row],[EDAD]]&lt;=35,"Adultos jóvenes 18 - 35 años",IF(C529&gt;=36,"Adultos mayores 36 años en adelante"))</f>
        <v>Adultos jóvenes 18 - 35 años</v>
      </c>
      <c r="E529" s="3" t="s">
        <v>5019</v>
      </c>
      <c r="F529" s="3" t="s">
        <v>5028</v>
      </c>
      <c r="G529" s="3" t="s">
        <v>5033</v>
      </c>
      <c r="H529" s="3" t="s">
        <v>6195</v>
      </c>
      <c r="I529" s="17">
        <v>45602</v>
      </c>
      <c r="J529" s="18">
        <f>YEAR(Tabla1[[#This Row],[FECHA DE COMPRA]])</f>
        <v>2024</v>
      </c>
      <c r="K529" s="19">
        <v>47.71</v>
      </c>
      <c r="L529" s="20">
        <v>0.1</v>
      </c>
      <c r="M529" s="19">
        <f>Tienda!$K1233-Tienda!$K1233*Tienda!$L1233</f>
        <v>20.083000000000002</v>
      </c>
      <c r="N529" s="3" t="s">
        <v>10040</v>
      </c>
      <c r="O529" s="3" t="s">
        <v>10041</v>
      </c>
      <c r="P529" s="17">
        <v>45602</v>
      </c>
      <c r="Q529" s="4">
        <v>0</v>
      </c>
    </row>
    <row r="530" spans="1:17" x14ac:dyDescent="0.25">
      <c r="A530" s="2" t="s">
        <v>3951</v>
      </c>
      <c r="B530" s="3" t="s">
        <v>5015</v>
      </c>
      <c r="C530" s="3">
        <v>21</v>
      </c>
      <c r="D530" s="46" t="str">
        <f>IF(Tabla1[[#This Row],[EDAD]]&lt;=35,"Adultos jóvenes 18 - 35 años",IF(C530&gt;=36,"Adultos mayores 36 años en adelante"))</f>
        <v>Adultos jóvenes 18 - 35 años</v>
      </c>
      <c r="E530" s="3" t="s">
        <v>5023</v>
      </c>
      <c r="F530" s="3" t="s">
        <v>5030</v>
      </c>
      <c r="G530" s="3" t="s">
        <v>5035</v>
      </c>
      <c r="H530" s="3" t="s">
        <v>8974</v>
      </c>
      <c r="I530" s="17">
        <v>45624</v>
      </c>
      <c r="J530" s="18">
        <f>YEAR(Tabla1[[#This Row],[FECHA DE COMPRA]])</f>
        <v>2024</v>
      </c>
      <c r="K530" s="19">
        <v>48.09</v>
      </c>
      <c r="L530" s="20">
        <v>0.1</v>
      </c>
      <c r="M530" s="19">
        <f>Tienda!$K1234-Tienda!$K1234*Tienda!$L1234</f>
        <v>20.516999999999999</v>
      </c>
      <c r="N530" s="3" t="s">
        <v>10040</v>
      </c>
      <c r="O530" s="3" t="s">
        <v>10041</v>
      </c>
      <c r="P530" s="17">
        <v>45412</v>
      </c>
      <c r="Q530" s="4">
        <v>0</v>
      </c>
    </row>
    <row r="531" spans="1:17" x14ac:dyDescent="0.25">
      <c r="A531" s="2" t="s">
        <v>2738</v>
      </c>
      <c r="B531" s="3" t="s">
        <v>5016</v>
      </c>
      <c r="C531" s="3">
        <v>31</v>
      </c>
      <c r="D531" s="46" t="str">
        <f>IF(Tabla1[[#This Row],[EDAD]]&lt;=35,"Adultos jóvenes 18 - 35 años",IF(C531&gt;=36,"Adultos mayores 36 años en adelante"))</f>
        <v>Adultos jóvenes 18 - 35 años</v>
      </c>
      <c r="E531" s="3" t="s">
        <v>5017</v>
      </c>
      <c r="F531" s="3" t="s">
        <v>5024</v>
      </c>
      <c r="G531" s="3" t="s">
        <v>5037</v>
      </c>
      <c r="H531" s="3" t="s">
        <v>7761</v>
      </c>
      <c r="I531" s="17">
        <v>45624</v>
      </c>
      <c r="J531" s="18">
        <f>YEAR(Tabla1[[#This Row],[FECHA DE COMPRA]])</f>
        <v>2024</v>
      </c>
      <c r="K531" s="19">
        <v>62.61</v>
      </c>
      <c r="L531" s="20">
        <v>0.3</v>
      </c>
      <c r="M531" s="19">
        <f>Tienda!$K1239-Tienda!$K1239*Tienda!$L1239</f>
        <v>22.338000000000001</v>
      </c>
      <c r="N531" s="3" t="s">
        <v>10040</v>
      </c>
      <c r="O531" s="3" t="s">
        <v>10041</v>
      </c>
      <c r="P531" s="17">
        <v>45491</v>
      </c>
      <c r="Q531" s="4">
        <v>0</v>
      </c>
    </row>
    <row r="532" spans="1:17" x14ac:dyDescent="0.25">
      <c r="A532" s="2" t="s">
        <v>5008</v>
      </c>
      <c r="B532" s="3" t="s">
        <v>5015</v>
      </c>
      <c r="C532" s="3">
        <v>22</v>
      </c>
      <c r="D532" s="46" t="str">
        <f>IF(Tabla1[[#This Row],[EDAD]]&lt;=35,"Adultos jóvenes 18 - 35 años",IF(C532&gt;=36,"Adultos mayores 36 años en adelante"))</f>
        <v>Adultos jóvenes 18 - 35 años</v>
      </c>
      <c r="E532" s="3" t="s">
        <v>5018</v>
      </c>
      <c r="F532" s="3" t="s">
        <v>5030</v>
      </c>
      <c r="G532" s="3" t="s">
        <v>5033</v>
      </c>
      <c r="H532" s="3" t="s">
        <v>10031</v>
      </c>
      <c r="I532" s="17">
        <v>45364</v>
      </c>
      <c r="J532" s="18">
        <f>YEAR(Tabla1[[#This Row],[FECHA DE COMPRA]])</f>
        <v>2024</v>
      </c>
      <c r="K532" s="19">
        <v>44.62</v>
      </c>
      <c r="L532" s="20">
        <v>0</v>
      </c>
      <c r="M532" s="19">
        <f>Tienda!$K1244-Tienda!$K1244*Tienda!$L1244</f>
        <v>24.591999999999999</v>
      </c>
      <c r="N532" s="3" t="s">
        <v>10040</v>
      </c>
      <c r="O532" s="3" t="s">
        <v>10041</v>
      </c>
      <c r="P532" s="17">
        <v>45364</v>
      </c>
      <c r="Q532" s="4">
        <v>0</v>
      </c>
    </row>
    <row r="533" spans="1:17" x14ac:dyDescent="0.25">
      <c r="A533" s="2" t="s">
        <v>451</v>
      </c>
      <c r="B533" s="3" t="s">
        <v>5015</v>
      </c>
      <c r="C533" s="3">
        <v>34</v>
      </c>
      <c r="D533" s="46" t="str">
        <f>IF(Tabla1[[#This Row],[EDAD]]&lt;=35,"Adultos jóvenes 18 - 35 años",IF(C533&gt;=36,"Adultos mayores 36 años en adelante"))</f>
        <v>Adultos jóvenes 18 - 35 años</v>
      </c>
      <c r="E533" s="3" t="s">
        <v>5018</v>
      </c>
      <c r="F533" s="3" t="s">
        <v>5025</v>
      </c>
      <c r="G533" s="3" t="s">
        <v>5035</v>
      </c>
      <c r="H533" s="3" t="s">
        <v>5474</v>
      </c>
      <c r="I533" s="17">
        <v>45409</v>
      </c>
      <c r="J533" s="18">
        <f>YEAR(Tabla1[[#This Row],[FECHA DE COMPRA]])</f>
        <v>2024</v>
      </c>
      <c r="K533" s="19">
        <v>64.97</v>
      </c>
      <c r="L533" s="20">
        <v>0.3</v>
      </c>
      <c r="M533" s="19">
        <f>Tienda!$K1250-Tienda!$K1250*Tienda!$L1250</f>
        <v>27.152999999999999</v>
      </c>
      <c r="N533" s="3" t="s">
        <v>10040</v>
      </c>
      <c r="O533" s="3" t="s">
        <v>10041</v>
      </c>
      <c r="P533" s="17">
        <v>45409</v>
      </c>
      <c r="Q533" s="4">
        <v>0</v>
      </c>
    </row>
    <row r="534" spans="1:17" x14ac:dyDescent="0.25">
      <c r="A534" s="2" t="s">
        <v>1446</v>
      </c>
      <c r="B534" s="3" t="s">
        <v>5016</v>
      </c>
      <c r="C534" s="3">
        <v>19</v>
      </c>
      <c r="D534" s="46" t="str">
        <f>IF(Tabla1[[#This Row],[EDAD]]&lt;=35,"Adultos jóvenes 18 - 35 años",IF(C534&gt;=36,"Adultos mayores 36 años en adelante"))</f>
        <v>Adultos jóvenes 18 - 35 años</v>
      </c>
      <c r="E534" s="3" t="s">
        <v>5023</v>
      </c>
      <c r="F534" s="3" t="s">
        <v>5028</v>
      </c>
      <c r="G534" s="3" t="s">
        <v>5035</v>
      </c>
      <c r="H534" s="3" t="s">
        <v>6469</v>
      </c>
      <c r="I534" s="17">
        <v>45526</v>
      </c>
      <c r="J534" s="18">
        <f>YEAR(Tabla1[[#This Row],[FECHA DE COMPRA]])</f>
        <v>2024</v>
      </c>
      <c r="K534" s="19">
        <v>65.17</v>
      </c>
      <c r="L534" s="20">
        <v>0.3</v>
      </c>
      <c r="M534" s="19">
        <f>Tienda!$K1253-Tienda!$K1253*Tienda!$L1253</f>
        <v>28.38</v>
      </c>
      <c r="N534" s="3" t="s">
        <v>10040</v>
      </c>
      <c r="O534" s="3" t="s">
        <v>10041</v>
      </c>
      <c r="P534" s="17">
        <v>45526</v>
      </c>
      <c r="Q534" s="4">
        <v>0</v>
      </c>
    </row>
    <row r="535" spans="1:17" x14ac:dyDescent="0.25">
      <c r="A535" s="2" t="s">
        <v>4697</v>
      </c>
      <c r="B535" s="3" t="s">
        <v>5015</v>
      </c>
      <c r="C535" s="3">
        <v>19</v>
      </c>
      <c r="D535" s="46" t="str">
        <f>IF(Tabla1[[#This Row],[EDAD]]&lt;=35,"Adultos jóvenes 18 - 35 años",IF(C535&gt;=36,"Adultos mayores 36 años en adelante"))</f>
        <v>Adultos jóvenes 18 - 35 años</v>
      </c>
      <c r="E535" s="3" t="s">
        <v>5020</v>
      </c>
      <c r="F535" s="3" t="s">
        <v>5028</v>
      </c>
      <c r="G535" s="3" t="s">
        <v>5031</v>
      </c>
      <c r="H535" s="3" t="s">
        <v>9720</v>
      </c>
      <c r="I535" s="17">
        <v>45624</v>
      </c>
      <c r="J535" s="18">
        <f>YEAR(Tabla1[[#This Row],[FECHA DE COMPRA]])</f>
        <v>2024</v>
      </c>
      <c r="K535" s="19">
        <v>58.37</v>
      </c>
      <c r="L535" s="20">
        <v>0.2</v>
      </c>
      <c r="M535" s="19">
        <f>Tienda!$K1256-Tienda!$K1256*Tienda!$L1256</f>
        <v>28.970999999999997</v>
      </c>
      <c r="N535" s="3" t="s">
        <v>10040</v>
      </c>
      <c r="O535" s="3" t="s">
        <v>10041</v>
      </c>
      <c r="P535" s="17">
        <v>45479</v>
      </c>
      <c r="Q535" s="4">
        <v>0</v>
      </c>
    </row>
    <row r="536" spans="1:17" x14ac:dyDescent="0.25">
      <c r="A536" s="2" t="s">
        <v>3709</v>
      </c>
      <c r="B536" s="3" t="s">
        <v>5016</v>
      </c>
      <c r="C536" s="3">
        <v>26</v>
      </c>
      <c r="D536" s="46" t="str">
        <f>IF(Tabla1[[#This Row],[EDAD]]&lt;=35,"Adultos jóvenes 18 - 35 años",IF(C536&gt;=36,"Adultos mayores 36 años en adelante"))</f>
        <v>Adultos jóvenes 18 - 35 años</v>
      </c>
      <c r="E536" s="3" t="s">
        <v>5017</v>
      </c>
      <c r="F536" s="3" t="s">
        <v>5024</v>
      </c>
      <c r="G536" s="3" t="s">
        <v>5031</v>
      </c>
      <c r="H536" s="3" t="s">
        <v>8732</v>
      </c>
      <c r="I536" s="17">
        <v>45618</v>
      </c>
      <c r="J536" s="18">
        <f>YEAR(Tabla1[[#This Row],[FECHA DE COMPRA]])</f>
        <v>2024</v>
      </c>
      <c r="K536" s="19">
        <v>66.95</v>
      </c>
      <c r="L536" s="20">
        <v>0.3</v>
      </c>
      <c r="M536" s="19">
        <f>Tienda!$K1259-Tienda!$K1259*Tienda!$L1259</f>
        <v>29.6</v>
      </c>
      <c r="N536" s="3" t="s">
        <v>10040</v>
      </c>
      <c r="O536" s="3" t="s">
        <v>10041</v>
      </c>
      <c r="P536" s="17">
        <v>45465</v>
      </c>
      <c r="Q536" s="4">
        <v>0</v>
      </c>
    </row>
    <row r="537" spans="1:17" x14ac:dyDescent="0.25">
      <c r="A537" s="2" t="s">
        <v>1598</v>
      </c>
      <c r="B537" s="3" t="s">
        <v>5016</v>
      </c>
      <c r="C537" s="3">
        <v>19</v>
      </c>
      <c r="D537" s="46" t="str">
        <f>IF(Tabla1[[#This Row],[EDAD]]&lt;=35,"Adultos jóvenes 18 - 35 años",IF(C537&gt;=36,"Adultos mayores 36 años en adelante"))</f>
        <v>Adultos jóvenes 18 - 35 años</v>
      </c>
      <c r="E537" s="3" t="s">
        <v>5017</v>
      </c>
      <c r="F537" s="3" t="s">
        <v>5029</v>
      </c>
      <c r="G537" s="3" t="s">
        <v>5034</v>
      </c>
      <c r="H537" s="3" t="s">
        <v>6621</v>
      </c>
      <c r="I537" s="17">
        <v>45576</v>
      </c>
      <c r="J537" s="18">
        <f>YEAR(Tabla1[[#This Row],[FECHA DE COMPRA]])</f>
        <v>2024</v>
      </c>
      <c r="K537" s="19">
        <v>58.99</v>
      </c>
      <c r="L537" s="20">
        <v>0.2</v>
      </c>
      <c r="M537" s="19">
        <f>Tienda!$K1262-Tienda!$K1262*Tienda!$L1262</f>
        <v>30.68</v>
      </c>
      <c r="N537" s="3" t="s">
        <v>10040</v>
      </c>
      <c r="O537" s="3" t="s">
        <v>10041</v>
      </c>
      <c r="P537" s="17">
        <v>45576</v>
      </c>
      <c r="Q537" s="4">
        <v>0</v>
      </c>
    </row>
    <row r="538" spans="1:17" x14ac:dyDescent="0.25">
      <c r="A538" s="2" t="s">
        <v>4487</v>
      </c>
      <c r="B538" s="3" t="s">
        <v>5016</v>
      </c>
      <c r="C538" s="3">
        <v>29</v>
      </c>
      <c r="D538" s="46" t="str">
        <f>IF(Tabla1[[#This Row],[EDAD]]&lt;=35,"Adultos jóvenes 18 - 35 años",IF(C538&gt;=36,"Adultos mayores 36 años en adelante"))</f>
        <v>Adultos jóvenes 18 - 35 años</v>
      </c>
      <c r="E538" s="3" t="s">
        <v>5017</v>
      </c>
      <c r="F538" s="3" t="s">
        <v>5030</v>
      </c>
      <c r="G538" s="3" t="s">
        <v>5037</v>
      </c>
      <c r="H538" s="3" t="s">
        <v>9510</v>
      </c>
      <c r="I538" s="17">
        <v>45349</v>
      </c>
      <c r="J538" s="18">
        <f>YEAR(Tabla1[[#This Row],[FECHA DE COMPRA]])</f>
        <v>2024</v>
      </c>
      <c r="K538" s="19">
        <v>53.51</v>
      </c>
      <c r="L538" s="20">
        <v>0.1</v>
      </c>
      <c r="M538" s="19">
        <f>Tienda!$K1269-Tienda!$K1269*Tienda!$L1269</f>
        <v>33.792000000000002</v>
      </c>
      <c r="N538" s="3" t="s">
        <v>10040</v>
      </c>
      <c r="O538" s="3" t="s">
        <v>10041</v>
      </c>
      <c r="P538" s="17">
        <v>45349</v>
      </c>
      <c r="Q538" s="4">
        <v>0</v>
      </c>
    </row>
    <row r="539" spans="1:17" x14ac:dyDescent="0.25">
      <c r="A539" s="2" t="s">
        <v>2628</v>
      </c>
      <c r="B539" s="3" t="s">
        <v>5015</v>
      </c>
      <c r="C539" s="3">
        <v>22</v>
      </c>
      <c r="D539" s="46" t="str">
        <f>IF(Tabla1[[#This Row],[EDAD]]&lt;=35,"Adultos jóvenes 18 - 35 años",IF(C539&gt;=36,"Adultos mayores 36 años en adelante"))</f>
        <v>Adultos jóvenes 18 - 35 años</v>
      </c>
      <c r="E539" s="3" t="s">
        <v>5019</v>
      </c>
      <c r="F539" s="3" t="s">
        <v>5024</v>
      </c>
      <c r="G539" s="3" t="s">
        <v>5037</v>
      </c>
      <c r="H539" s="3" t="s">
        <v>7651</v>
      </c>
      <c r="I539" s="17">
        <v>45631</v>
      </c>
      <c r="J539" s="18">
        <f>YEAR(Tabla1[[#This Row],[FECHA DE COMPRA]])</f>
        <v>2024</v>
      </c>
      <c r="K539" s="19">
        <v>73.86</v>
      </c>
      <c r="L539" s="20">
        <v>0.3</v>
      </c>
      <c r="M539" s="19">
        <f>Tienda!$K1282-Tienda!$K1282*Tienda!$L1282</f>
        <v>46.616</v>
      </c>
      <c r="N539" s="3" t="s">
        <v>10040</v>
      </c>
      <c r="O539" s="3" t="s">
        <v>10041</v>
      </c>
      <c r="P539" s="17">
        <v>45631</v>
      </c>
      <c r="Q539" s="4">
        <v>0</v>
      </c>
    </row>
    <row r="540" spans="1:17" x14ac:dyDescent="0.25">
      <c r="A540" s="2" t="s">
        <v>2674</v>
      </c>
      <c r="B540" s="3" t="s">
        <v>5016</v>
      </c>
      <c r="C540" s="3">
        <v>20</v>
      </c>
      <c r="D540" s="46" t="str">
        <f>IF(Tabla1[[#This Row],[EDAD]]&lt;=35,"Adultos jóvenes 18 - 35 años",IF(C540&gt;=36,"Adultos mayores 36 años en adelante"))</f>
        <v>Adultos jóvenes 18 - 35 años</v>
      </c>
      <c r="E540" s="3" t="s">
        <v>5017</v>
      </c>
      <c r="F540" s="3" t="s">
        <v>5025</v>
      </c>
      <c r="G540" s="3" t="s">
        <v>5035</v>
      </c>
      <c r="H540" s="3" t="s">
        <v>7697</v>
      </c>
      <c r="I540" s="17">
        <v>45566</v>
      </c>
      <c r="J540" s="18">
        <f>YEAR(Tabla1[[#This Row],[FECHA DE COMPRA]])</f>
        <v>2024</v>
      </c>
      <c r="K540" s="19">
        <v>58.15</v>
      </c>
      <c r="L540" s="20">
        <v>0.1</v>
      </c>
      <c r="M540" s="19">
        <f>Tienda!$K1284-Tienda!$K1284*Tienda!$L1284</f>
        <v>46.997999999999998</v>
      </c>
      <c r="N540" s="3" t="s">
        <v>10040</v>
      </c>
      <c r="O540" s="3" t="s">
        <v>10041</v>
      </c>
      <c r="P540" s="17">
        <v>45566</v>
      </c>
      <c r="Q540" s="4">
        <v>0</v>
      </c>
    </row>
    <row r="541" spans="1:17" x14ac:dyDescent="0.25">
      <c r="A541" s="2" t="s">
        <v>1538</v>
      </c>
      <c r="B541" s="3" t="s">
        <v>5015</v>
      </c>
      <c r="C541" s="3">
        <v>20</v>
      </c>
      <c r="D541" s="46" t="str">
        <f>IF(Tabla1[[#This Row],[EDAD]]&lt;=35,"Adultos jóvenes 18 - 35 años",IF(C541&gt;=36,"Adultos mayores 36 años en adelante"))</f>
        <v>Adultos jóvenes 18 - 35 años</v>
      </c>
      <c r="E541" s="3" t="s">
        <v>5018</v>
      </c>
      <c r="F541" s="3" t="s">
        <v>5024</v>
      </c>
      <c r="G541" s="3" t="s">
        <v>5034</v>
      </c>
      <c r="H541" s="3" t="s">
        <v>6561</v>
      </c>
      <c r="I541" s="17">
        <v>45523</v>
      </c>
      <c r="J541" s="18">
        <f>YEAR(Tabla1[[#This Row],[FECHA DE COMPRA]])</f>
        <v>2024</v>
      </c>
      <c r="K541" s="19">
        <v>53.25</v>
      </c>
      <c r="L541" s="20">
        <v>0</v>
      </c>
      <c r="M541" s="19">
        <f>Tienda!$K1288-Tienda!$K1288*Tienda!$L1288</f>
        <v>53.56</v>
      </c>
      <c r="N541" s="3" t="s">
        <v>10040</v>
      </c>
      <c r="O541" s="3" t="s">
        <v>10041</v>
      </c>
      <c r="P541" s="17">
        <v>45523</v>
      </c>
      <c r="Q541" s="4">
        <v>0</v>
      </c>
    </row>
    <row r="542" spans="1:17" x14ac:dyDescent="0.25">
      <c r="A542" s="2" t="s">
        <v>2461</v>
      </c>
      <c r="B542" s="3" t="s">
        <v>5015</v>
      </c>
      <c r="C542" s="3">
        <v>30</v>
      </c>
      <c r="D542" s="46" t="str">
        <f>IF(Tabla1[[#This Row],[EDAD]]&lt;=35,"Adultos jóvenes 18 - 35 años",IF(C542&gt;=36,"Adultos mayores 36 años en adelante"))</f>
        <v>Adultos jóvenes 18 - 35 años</v>
      </c>
      <c r="E542" s="3" t="s">
        <v>5022</v>
      </c>
      <c r="F542" s="3" t="s">
        <v>5025</v>
      </c>
      <c r="G542" s="3" t="s">
        <v>5035</v>
      </c>
      <c r="H542" s="3" t="s">
        <v>7484</v>
      </c>
      <c r="I542" s="17">
        <v>45634</v>
      </c>
      <c r="J542" s="18">
        <f>YEAR(Tabla1[[#This Row],[FECHA DE COMPRA]])</f>
        <v>2024</v>
      </c>
      <c r="K542" s="19">
        <v>59.19</v>
      </c>
      <c r="L542" s="20">
        <v>0.1</v>
      </c>
      <c r="M542" s="19">
        <f>Tienda!$K1289-Tienda!$K1289*Tienda!$L1289</f>
        <v>53.6</v>
      </c>
      <c r="N542" s="3" t="s">
        <v>10040</v>
      </c>
      <c r="O542" s="3" t="s">
        <v>10041</v>
      </c>
      <c r="P542" s="17">
        <v>45445</v>
      </c>
      <c r="Q542" s="4">
        <v>0</v>
      </c>
    </row>
    <row r="543" spans="1:17" x14ac:dyDescent="0.25">
      <c r="A543" s="2" t="s">
        <v>3500</v>
      </c>
      <c r="B543" s="3" t="s">
        <v>5015</v>
      </c>
      <c r="C543" s="3">
        <v>30</v>
      </c>
      <c r="D543" s="46" t="str">
        <f>IF(Tabla1[[#This Row],[EDAD]]&lt;=35,"Adultos jóvenes 18 - 35 años",IF(C543&gt;=36,"Adultos mayores 36 años en adelante"))</f>
        <v>Adultos jóvenes 18 - 35 años</v>
      </c>
      <c r="E543" s="3" t="s">
        <v>5018</v>
      </c>
      <c r="F543" s="3" t="s">
        <v>5027</v>
      </c>
      <c r="G543" s="3" t="s">
        <v>5034</v>
      </c>
      <c r="H543" s="3" t="s">
        <v>8523</v>
      </c>
      <c r="I543" s="17">
        <v>45372</v>
      </c>
      <c r="J543" s="18">
        <f>YEAR(Tabla1[[#This Row],[FECHA DE COMPRA]])</f>
        <v>2024</v>
      </c>
      <c r="K543" s="19">
        <v>80.400000000000006</v>
      </c>
      <c r="L543" s="20">
        <v>0.3</v>
      </c>
      <c r="M543" s="19">
        <f>Tienda!$K1308-Tienda!$K1308*Tienda!$L1308</f>
        <v>76.575999999999993</v>
      </c>
      <c r="N543" s="3" t="s">
        <v>10040</v>
      </c>
      <c r="O543" s="3" t="s">
        <v>10041</v>
      </c>
      <c r="P543" s="17">
        <v>45372</v>
      </c>
      <c r="Q543" s="4">
        <v>0</v>
      </c>
    </row>
    <row r="544" spans="1:17" x14ac:dyDescent="0.25">
      <c r="A544" s="2" t="s">
        <v>910</v>
      </c>
      <c r="B544" s="3" t="s">
        <v>5016</v>
      </c>
      <c r="C544" s="3">
        <v>26</v>
      </c>
      <c r="D544" s="46" t="str">
        <f>IF(Tabla1[[#This Row],[EDAD]]&lt;=35,"Adultos jóvenes 18 - 35 años",IF(C544&gt;=36,"Adultos mayores 36 años en adelante"))</f>
        <v>Adultos jóvenes 18 - 35 años</v>
      </c>
      <c r="E544" s="3" t="s">
        <v>5019</v>
      </c>
      <c r="F544" s="3" t="s">
        <v>5028</v>
      </c>
      <c r="G544" s="3" t="s">
        <v>5036</v>
      </c>
      <c r="H544" s="3" t="s">
        <v>5933</v>
      </c>
      <c r="I544" s="17">
        <v>45561</v>
      </c>
      <c r="J544" s="18">
        <f>YEAR(Tabla1[[#This Row],[FECHA DE COMPRA]])</f>
        <v>2024</v>
      </c>
      <c r="K544" s="19">
        <v>57.43</v>
      </c>
      <c r="L544" s="20">
        <v>0</v>
      </c>
      <c r="M544" s="19">
        <f>Tienda!$K1313-Tienda!$K1313*Tienda!$L1313</f>
        <v>86.847999999999999</v>
      </c>
      <c r="N544" s="3" t="s">
        <v>10040</v>
      </c>
      <c r="O544" s="3" t="s">
        <v>10041</v>
      </c>
      <c r="P544" s="17">
        <v>45561</v>
      </c>
      <c r="Q544" s="4">
        <v>0</v>
      </c>
    </row>
    <row r="545" spans="1:17" x14ac:dyDescent="0.25">
      <c r="A545" s="2" t="s">
        <v>1463</v>
      </c>
      <c r="B545" s="3" t="s">
        <v>5015</v>
      </c>
      <c r="C545" s="3">
        <v>24</v>
      </c>
      <c r="D545" s="46" t="str">
        <f>IF(Tabla1[[#This Row],[EDAD]]&lt;=35,"Adultos jóvenes 18 - 35 años",IF(C545&gt;=36,"Adultos mayores 36 años en adelante"))</f>
        <v>Adultos jóvenes 18 - 35 años</v>
      </c>
      <c r="E545" s="3" t="s">
        <v>5020</v>
      </c>
      <c r="F545" s="3" t="s">
        <v>5029</v>
      </c>
      <c r="G545" s="3" t="s">
        <v>5035</v>
      </c>
      <c r="H545" s="3" t="s">
        <v>6486</v>
      </c>
      <c r="I545" s="17">
        <v>45545</v>
      </c>
      <c r="J545" s="18">
        <f>YEAR(Tabla1[[#This Row],[FECHA DE COMPRA]])</f>
        <v>2024</v>
      </c>
      <c r="K545" s="19">
        <v>84.47</v>
      </c>
      <c r="L545" s="20">
        <v>0.3</v>
      </c>
      <c r="M545" s="19">
        <f>Tienda!$K1320-Tienda!$K1320*Tienda!$L1320</f>
        <v>95.488</v>
      </c>
      <c r="N545" s="3" t="s">
        <v>10040</v>
      </c>
      <c r="O545" s="3" t="s">
        <v>10041</v>
      </c>
      <c r="P545" s="17">
        <v>45545</v>
      </c>
      <c r="Q545" s="4">
        <v>0</v>
      </c>
    </row>
    <row r="546" spans="1:17" x14ac:dyDescent="0.25">
      <c r="A546" s="2" t="s">
        <v>1156</v>
      </c>
      <c r="B546" s="3" t="s">
        <v>5015</v>
      </c>
      <c r="C546" s="3">
        <v>21</v>
      </c>
      <c r="D546" s="46" t="str">
        <f>IF(Tabla1[[#This Row],[EDAD]]&lt;=35,"Adultos jóvenes 18 - 35 años",IF(C546&gt;=36,"Adultos mayores 36 años en adelante"))</f>
        <v>Adultos jóvenes 18 - 35 años</v>
      </c>
      <c r="E546" s="3" t="s">
        <v>5018</v>
      </c>
      <c r="F546" s="3" t="s">
        <v>5028</v>
      </c>
      <c r="G546" s="3" t="s">
        <v>5036</v>
      </c>
      <c r="H546" s="3" t="s">
        <v>6179</v>
      </c>
      <c r="I546" s="17">
        <v>45340</v>
      </c>
      <c r="J546" s="18">
        <f>YEAR(Tabla1[[#This Row],[FECHA DE COMPRA]])</f>
        <v>2024</v>
      </c>
      <c r="K546" s="19">
        <v>86.09</v>
      </c>
      <c r="L546" s="20">
        <v>0.3</v>
      </c>
      <c r="M546" s="19">
        <f>Tienda!$K1326-Tienda!$K1326*Tienda!$L1326</f>
        <v>104.44</v>
      </c>
      <c r="N546" s="3" t="s">
        <v>10040</v>
      </c>
      <c r="O546" s="3" t="s">
        <v>10041</v>
      </c>
      <c r="P546" s="17">
        <v>45340</v>
      </c>
      <c r="Q546" s="4">
        <v>0</v>
      </c>
    </row>
    <row r="547" spans="1:17" x14ac:dyDescent="0.25">
      <c r="A547" s="2" t="s">
        <v>4760</v>
      </c>
      <c r="B547" s="3" t="s">
        <v>5015</v>
      </c>
      <c r="C547" s="3">
        <v>18</v>
      </c>
      <c r="D547" s="46" t="str">
        <f>IF(Tabla1[[#This Row],[EDAD]]&lt;=35,"Adultos jóvenes 18 - 35 años",IF(C547&gt;=36,"Adultos mayores 36 años en adelante"))</f>
        <v>Adultos jóvenes 18 - 35 años</v>
      </c>
      <c r="E547" s="3" t="s">
        <v>5020</v>
      </c>
      <c r="F547" s="3" t="s">
        <v>5025</v>
      </c>
      <c r="G547" s="3" t="s">
        <v>5037</v>
      </c>
      <c r="H547" s="3" t="s">
        <v>9783</v>
      </c>
      <c r="I547" s="17">
        <v>45461</v>
      </c>
      <c r="J547" s="18">
        <f>YEAR(Tabla1[[#This Row],[FECHA DE COMPRA]])</f>
        <v>2024</v>
      </c>
      <c r="K547" s="19">
        <v>75.819999999999993</v>
      </c>
      <c r="L547" s="20">
        <v>0.2</v>
      </c>
      <c r="M547" s="19">
        <f>Tienda!$K1327-Tienda!$K1327*Tienda!$L1327</f>
        <v>104.678</v>
      </c>
      <c r="N547" s="3" t="s">
        <v>10040</v>
      </c>
      <c r="O547" s="3" t="s">
        <v>10041</v>
      </c>
      <c r="P547" s="17">
        <v>45461</v>
      </c>
      <c r="Q547" s="4">
        <v>0</v>
      </c>
    </row>
    <row r="548" spans="1:17" x14ac:dyDescent="0.25">
      <c r="A548" s="2" t="s">
        <v>391</v>
      </c>
      <c r="B548" s="3" t="s">
        <v>5015</v>
      </c>
      <c r="C548" s="3">
        <v>23</v>
      </c>
      <c r="D548" s="46" t="str">
        <f>IF(Tabla1[[#This Row],[EDAD]]&lt;=35,"Adultos jóvenes 18 - 35 años",IF(C548&gt;=36,"Adultos mayores 36 años en adelante"))</f>
        <v>Adultos jóvenes 18 - 35 años</v>
      </c>
      <c r="E548" s="3" t="s">
        <v>5020</v>
      </c>
      <c r="F548" s="3" t="s">
        <v>5026</v>
      </c>
      <c r="G548" s="3" t="s">
        <v>5037</v>
      </c>
      <c r="H548" s="3" t="s">
        <v>5414</v>
      </c>
      <c r="I548" s="17">
        <v>45615</v>
      </c>
      <c r="J548" s="18">
        <f>YEAR(Tabla1[[#This Row],[FECHA DE COMPRA]])</f>
        <v>2024</v>
      </c>
      <c r="K548" s="19">
        <v>67.540000000000006</v>
      </c>
      <c r="L548" s="20">
        <v>0.1</v>
      </c>
      <c r="M548" s="19">
        <f>Tienda!$K1328-Tienda!$K1328*Tienda!$L1328</f>
        <v>106.792</v>
      </c>
      <c r="N548" s="3" t="s">
        <v>10040</v>
      </c>
      <c r="O548" s="3" t="s">
        <v>10041</v>
      </c>
      <c r="P548" s="17">
        <v>45615</v>
      </c>
      <c r="Q548" s="4">
        <v>0</v>
      </c>
    </row>
    <row r="549" spans="1:17" x14ac:dyDescent="0.25">
      <c r="A549" s="2" t="s">
        <v>526</v>
      </c>
      <c r="B549" s="3" t="s">
        <v>5015</v>
      </c>
      <c r="C549" s="3">
        <v>25</v>
      </c>
      <c r="D549" s="46" t="str">
        <f>IF(Tabla1[[#This Row],[EDAD]]&lt;=35,"Adultos jóvenes 18 - 35 años",IF(C549&gt;=36,"Adultos mayores 36 años en adelante"))</f>
        <v>Adultos jóvenes 18 - 35 años</v>
      </c>
      <c r="E549" s="3" t="s">
        <v>5021</v>
      </c>
      <c r="F549" s="3" t="s">
        <v>5024</v>
      </c>
      <c r="G549" s="3" t="s">
        <v>5034</v>
      </c>
      <c r="H549" s="3" t="s">
        <v>5549</v>
      </c>
      <c r="I549" s="17">
        <v>45323</v>
      </c>
      <c r="J549" s="18">
        <f>YEAR(Tabla1[[#This Row],[FECHA DE COMPRA]])</f>
        <v>2024</v>
      </c>
      <c r="K549" s="19">
        <v>68.89</v>
      </c>
      <c r="L549" s="20">
        <v>0.1</v>
      </c>
      <c r="M549" s="19">
        <f>Tienda!$K1334-Tienda!$K1334*Tienda!$L1334</f>
        <v>118.55999999999999</v>
      </c>
      <c r="N549" s="3" t="s">
        <v>10040</v>
      </c>
      <c r="O549" s="3" t="s">
        <v>10041</v>
      </c>
      <c r="P549" s="17">
        <v>45323</v>
      </c>
      <c r="Q549" s="4">
        <v>0</v>
      </c>
    </row>
    <row r="550" spans="1:17" x14ac:dyDescent="0.25">
      <c r="A550" s="2" t="s">
        <v>1839</v>
      </c>
      <c r="B550" s="3" t="s">
        <v>5015</v>
      </c>
      <c r="C550" s="3">
        <v>23</v>
      </c>
      <c r="D550" s="46" t="str">
        <f>IF(Tabla1[[#This Row],[EDAD]]&lt;=35,"Adultos jóvenes 18 - 35 años",IF(C550&gt;=36,"Adultos mayores 36 años en adelante"))</f>
        <v>Adultos jóvenes 18 - 35 años</v>
      </c>
      <c r="E550" s="3" t="s">
        <v>5018</v>
      </c>
      <c r="F550" s="3" t="s">
        <v>5024</v>
      </c>
      <c r="G550" s="3" t="s">
        <v>5032</v>
      </c>
      <c r="H550" s="3" t="s">
        <v>6862</v>
      </c>
      <c r="I550" s="17">
        <v>45526</v>
      </c>
      <c r="J550" s="18">
        <f>YEAR(Tabla1[[#This Row],[FECHA DE COMPRA]])</f>
        <v>2024</v>
      </c>
      <c r="K550" s="19">
        <v>62.84</v>
      </c>
      <c r="L550" s="20">
        <v>0</v>
      </c>
      <c r="M550" s="19">
        <f>Tienda!$K1339-Tienda!$K1339*Tienda!$L1339</f>
        <v>127.928</v>
      </c>
      <c r="N550" s="3" t="s">
        <v>10040</v>
      </c>
      <c r="O550" s="3" t="s">
        <v>10041</v>
      </c>
      <c r="P550" s="17">
        <v>45526</v>
      </c>
      <c r="Q550" s="4">
        <v>0</v>
      </c>
    </row>
    <row r="551" spans="1:17" x14ac:dyDescent="0.25">
      <c r="A551" s="2" t="s">
        <v>2917</v>
      </c>
      <c r="B551" s="3" t="s">
        <v>5015</v>
      </c>
      <c r="C551" s="3">
        <v>24</v>
      </c>
      <c r="D551" s="46" t="str">
        <f>IF(Tabla1[[#This Row],[EDAD]]&lt;=35,"Adultos jóvenes 18 - 35 años",IF(C551&gt;=36,"Adultos mayores 36 años en adelante"))</f>
        <v>Adultos jóvenes 18 - 35 años</v>
      </c>
      <c r="E551" s="3" t="s">
        <v>5022</v>
      </c>
      <c r="F551" s="3" t="s">
        <v>5030</v>
      </c>
      <c r="G551" s="3" t="s">
        <v>5037</v>
      </c>
      <c r="H551" s="3" t="s">
        <v>7940</v>
      </c>
      <c r="I551" s="17">
        <v>45657</v>
      </c>
      <c r="J551" s="18">
        <f>YEAR(Tabla1[[#This Row],[FECHA DE COMPRA]])</f>
        <v>2024</v>
      </c>
      <c r="K551" s="19">
        <v>69.83</v>
      </c>
      <c r="L551" s="20">
        <v>0.1</v>
      </c>
      <c r="M551" s="19">
        <f>Tienda!$K1340-Tienda!$K1340*Tienda!$L1340</f>
        <v>129.52100000000002</v>
      </c>
      <c r="N551" s="3" t="s">
        <v>10040</v>
      </c>
      <c r="O551" s="3" t="s">
        <v>10041</v>
      </c>
      <c r="P551" s="17">
        <v>45657</v>
      </c>
      <c r="Q551" s="4">
        <v>0</v>
      </c>
    </row>
    <row r="552" spans="1:17" x14ac:dyDescent="0.25">
      <c r="A552" s="2" t="s">
        <v>3086</v>
      </c>
      <c r="B552" s="3" t="s">
        <v>5015</v>
      </c>
      <c r="C552" s="3">
        <v>28</v>
      </c>
      <c r="D552" s="46" t="str">
        <f>IF(Tabla1[[#This Row],[EDAD]]&lt;=35,"Adultos jóvenes 18 - 35 años",IF(C552&gt;=36,"Adultos mayores 36 años en adelante"))</f>
        <v>Adultos jóvenes 18 - 35 años</v>
      </c>
      <c r="E552" s="3" t="s">
        <v>5022</v>
      </c>
      <c r="F552" s="3" t="s">
        <v>5024</v>
      </c>
      <c r="G552" s="3" t="s">
        <v>5034</v>
      </c>
      <c r="H552" s="3" t="s">
        <v>8109</v>
      </c>
      <c r="I552" s="17">
        <v>45647</v>
      </c>
      <c r="J552" s="18">
        <f>YEAR(Tabla1[[#This Row],[FECHA DE COMPRA]])</f>
        <v>2024</v>
      </c>
      <c r="K552" s="19">
        <v>78.98</v>
      </c>
      <c r="L552" s="20">
        <v>0.2</v>
      </c>
      <c r="M552" s="19">
        <f>Tienda!$K1345-Tienda!$K1345*Tienda!$L1345</f>
        <v>134.334</v>
      </c>
      <c r="N552" s="3" t="s">
        <v>10040</v>
      </c>
      <c r="O552" s="3" t="s">
        <v>10041</v>
      </c>
      <c r="P552" s="17">
        <v>45647</v>
      </c>
      <c r="Q552" s="4">
        <v>0</v>
      </c>
    </row>
    <row r="553" spans="1:17" x14ac:dyDescent="0.25">
      <c r="A553" s="2" t="s">
        <v>314</v>
      </c>
      <c r="B553" s="3" t="s">
        <v>5015</v>
      </c>
      <c r="C553" s="3">
        <v>32</v>
      </c>
      <c r="D553" s="46" t="str">
        <f>IF(Tabla1[[#This Row],[EDAD]]&lt;=35,"Adultos jóvenes 18 - 35 años",IF(C553&gt;=36,"Adultos mayores 36 años en adelante"))</f>
        <v>Adultos jóvenes 18 - 35 años</v>
      </c>
      <c r="E553" s="3" t="s">
        <v>5019</v>
      </c>
      <c r="F553" s="3" t="s">
        <v>5026</v>
      </c>
      <c r="G553" s="3" t="s">
        <v>5031</v>
      </c>
      <c r="H553" s="3" t="s">
        <v>5337</v>
      </c>
      <c r="I553" s="17">
        <v>45615</v>
      </c>
      <c r="J553" s="18">
        <f>YEAR(Tabla1[[#This Row],[FECHA DE COMPRA]])</f>
        <v>2024</v>
      </c>
      <c r="K553" s="19">
        <v>63.65</v>
      </c>
      <c r="L553" s="20">
        <v>0</v>
      </c>
      <c r="M553" s="19">
        <f>Tienda!$K1348-Tienda!$K1348*Tienda!$L1348</f>
        <v>137.87200000000001</v>
      </c>
      <c r="N553" s="3" t="s">
        <v>10040</v>
      </c>
      <c r="O553" s="3" t="s">
        <v>10041</v>
      </c>
      <c r="P553" s="17">
        <v>45615</v>
      </c>
      <c r="Q553" s="4">
        <v>0</v>
      </c>
    </row>
    <row r="554" spans="1:17" x14ac:dyDescent="0.25">
      <c r="A554" s="2" t="s">
        <v>4720</v>
      </c>
      <c r="B554" s="3" t="s">
        <v>5016</v>
      </c>
      <c r="C554" s="3">
        <v>19</v>
      </c>
      <c r="D554" s="46" t="str">
        <f>IF(Tabla1[[#This Row],[EDAD]]&lt;=35,"Adultos jóvenes 18 - 35 años",IF(C554&gt;=36,"Adultos mayores 36 años en adelante"))</f>
        <v>Adultos jóvenes 18 - 35 años</v>
      </c>
      <c r="E554" s="3" t="s">
        <v>5017</v>
      </c>
      <c r="F554" s="3" t="s">
        <v>5026</v>
      </c>
      <c r="G554" s="3" t="s">
        <v>5031</v>
      </c>
      <c r="H554" s="3" t="s">
        <v>9743</v>
      </c>
      <c r="I554" s="17">
        <v>45637</v>
      </c>
      <c r="J554" s="18">
        <f>YEAR(Tabla1[[#This Row],[FECHA DE COMPRA]])</f>
        <v>2024</v>
      </c>
      <c r="K554" s="19">
        <v>82.17</v>
      </c>
      <c r="L554" s="20">
        <v>0.2</v>
      </c>
      <c r="M554" s="19">
        <f>Tienda!$K1359-Tienda!$K1359*Tienda!$L1359</f>
        <v>153.29</v>
      </c>
      <c r="N554" s="3" t="s">
        <v>10040</v>
      </c>
      <c r="O554" s="3" t="s">
        <v>10041</v>
      </c>
      <c r="P554" s="17">
        <v>45637</v>
      </c>
      <c r="Q554" s="4">
        <v>0</v>
      </c>
    </row>
    <row r="555" spans="1:17" x14ac:dyDescent="0.25">
      <c r="A555" s="2" t="s">
        <v>4082</v>
      </c>
      <c r="B555" s="3" t="s">
        <v>5015</v>
      </c>
      <c r="C555" s="3">
        <v>25</v>
      </c>
      <c r="D555" s="46" t="str">
        <f>IF(Tabla1[[#This Row],[EDAD]]&lt;=35,"Adultos jóvenes 18 - 35 años",IF(C555&gt;=36,"Adultos mayores 36 años en adelante"))</f>
        <v>Adultos jóvenes 18 - 35 años</v>
      </c>
      <c r="E555" s="3" t="s">
        <v>5022</v>
      </c>
      <c r="F555" s="3" t="s">
        <v>5028</v>
      </c>
      <c r="G555" s="3" t="s">
        <v>5031</v>
      </c>
      <c r="H555" s="3" t="s">
        <v>9105</v>
      </c>
      <c r="I555" s="17">
        <v>45414</v>
      </c>
      <c r="J555" s="18">
        <f>YEAR(Tabla1[[#This Row],[FECHA DE COMPRA]])</f>
        <v>2024</v>
      </c>
      <c r="K555" s="19">
        <v>66.819999999999993</v>
      </c>
      <c r="L555" s="20">
        <v>0</v>
      </c>
      <c r="M555" s="19">
        <f>Tienda!$K1363-Tienda!$K1363*Tienda!$L1363</f>
        <v>159.09</v>
      </c>
      <c r="N555" s="3" t="s">
        <v>10040</v>
      </c>
      <c r="O555" s="3" t="s">
        <v>10041</v>
      </c>
      <c r="P555" s="17">
        <v>45414</v>
      </c>
      <c r="Q555" s="4">
        <v>0</v>
      </c>
    </row>
    <row r="556" spans="1:17" x14ac:dyDescent="0.25">
      <c r="A556" s="2" t="s">
        <v>2174</v>
      </c>
      <c r="B556" s="3" t="s">
        <v>5015</v>
      </c>
      <c r="C556" s="3">
        <v>34</v>
      </c>
      <c r="D556" s="46" t="str">
        <f>IF(Tabla1[[#This Row],[EDAD]]&lt;=35,"Adultos jóvenes 18 - 35 años",IF(C556&gt;=36,"Adultos mayores 36 años en adelante"))</f>
        <v>Adultos jóvenes 18 - 35 años</v>
      </c>
      <c r="E556" s="3" t="s">
        <v>5022</v>
      </c>
      <c r="F556" s="3" t="s">
        <v>5029</v>
      </c>
      <c r="G556" s="3" t="s">
        <v>5033</v>
      </c>
      <c r="H556" s="3" t="s">
        <v>7197</v>
      </c>
      <c r="I556" s="17">
        <v>45625</v>
      </c>
      <c r="J556" s="18">
        <f>YEAR(Tabla1[[#This Row],[FECHA DE COMPRA]])</f>
        <v>2024</v>
      </c>
      <c r="K556" s="19">
        <v>67.290000000000006</v>
      </c>
      <c r="L556" s="20">
        <v>0</v>
      </c>
      <c r="M556" s="19">
        <f>Tienda!$K1365-Tienda!$K1365*Tienda!$L1365</f>
        <v>160.52000000000001</v>
      </c>
      <c r="N556" s="3" t="s">
        <v>10040</v>
      </c>
      <c r="O556" s="3" t="s">
        <v>10041</v>
      </c>
      <c r="P556" s="17">
        <v>45625</v>
      </c>
      <c r="Q556" s="4">
        <v>0</v>
      </c>
    </row>
    <row r="557" spans="1:17" x14ac:dyDescent="0.25">
      <c r="A557" s="2" t="s">
        <v>4341</v>
      </c>
      <c r="B557" s="3" t="s">
        <v>5015</v>
      </c>
      <c r="C557" s="3">
        <v>32</v>
      </c>
      <c r="D557" s="46" t="str">
        <f>IF(Tabla1[[#This Row],[EDAD]]&lt;=35,"Adultos jóvenes 18 - 35 años",IF(C557&gt;=36,"Adultos mayores 36 años en adelante"))</f>
        <v>Adultos jóvenes 18 - 35 años</v>
      </c>
      <c r="E557" s="3" t="s">
        <v>5018</v>
      </c>
      <c r="F557" s="3" t="s">
        <v>5027</v>
      </c>
      <c r="G557" s="3" t="s">
        <v>5036</v>
      </c>
      <c r="H557" s="3" t="s">
        <v>9364</v>
      </c>
      <c r="I557" s="17">
        <v>45374</v>
      </c>
      <c r="J557" s="18">
        <f>YEAR(Tabla1[[#This Row],[FECHA DE COMPRA]])</f>
        <v>2024</v>
      </c>
      <c r="K557" s="19">
        <v>84.23</v>
      </c>
      <c r="L557" s="20">
        <v>0.2</v>
      </c>
      <c r="M557" s="19">
        <f>Tienda!$K1367-Tienda!$K1367*Tienda!$L1367</f>
        <v>166.3</v>
      </c>
      <c r="N557" s="3" t="s">
        <v>10040</v>
      </c>
      <c r="O557" s="3" t="s">
        <v>10041</v>
      </c>
      <c r="P557" s="17">
        <v>45374</v>
      </c>
      <c r="Q557" s="4">
        <v>0</v>
      </c>
    </row>
    <row r="558" spans="1:17" x14ac:dyDescent="0.25">
      <c r="A558" s="2" t="s">
        <v>2852</v>
      </c>
      <c r="B558" s="3" t="s">
        <v>5015</v>
      </c>
      <c r="C558" s="3">
        <v>27</v>
      </c>
      <c r="D558" s="46" t="str">
        <f>IF(Tabla1[[#This Row],[EDAD]]&lt;=35,"Adultos jóvenes 18 - 35 años",IF(C558&gt;=36,"Adultos mayores 36 años en adelante"))</f>
        <v>Adultos jóvenes 18 - 35 años</v>
      </c>
      <c r="E558" s="3" t="s">
        <v>5023</v>
      </c>
      <c r="F558" s="3" t="s">
        <v>5030</v>
      </c>
      <c r="G558" s="3" t="s">
        <v>5035</v>
      </c>
      <c r="H558" s="3" t="s">
        <v>7875</v>
      </c>
      <c r="I558" s="17">
        <v>45599</v>
      </c>
      <c r="J558" s="18">
        <f>YEAR(Tabla1[[#This Row],[FECHA DE COMPRA]])</f>
        <v>2024</v>
      </c>
      <c r="K558" s="19">
        <v>67.42</v>
      </c>
      <c r="L558" s="20">
        <v>0</v>
      </c>
      <c r="M558" s="19">
        <f>Tienda!$K1368-Tienda!$K1368*Tienda!$L1368</f>
        <v>167.24700000000001</v>
      </c>
      <c r="N558" s="3" t="s">
        <v>10040</v>
      </c>
      <c r="O558" s="3" t="s">
        <v>10041</v>
      </c>
      <c r="P558" s="17">
        <v>45599</v>
      </c>
      <c r="Q558" s="4">
        <v>0</v>
      </c>
    </row>
    <row r="559" spans="1:17" x14ac:dyDescent="0.25">
      <c r="A559" s="2" t="s">
        <v>4603</v>
      </c>
      <c r="B559" s="3" t="s">
        <v>5015</v>
      </c>
      <c r="C559" s="3">
        <v>20</v>
      </c>
      <c r="D559" s="46" t="str">
        <f>IF(Tabla1[[#This Row],[EDAD]]&lt;=35,"Adultos jóvenes 18 - 35 años",IF(C559&gt;=36,"Adultos mayores 36 años en adelante"))</f>
        <v>Adultos jóvenes 18 - 35 años</v>
      </c>
      <c r="E559" s="3" t="s">
        <v>5019</v>
      </c>
      <c r="F559" s="3" t="s">
        <v>5028</v>
      </c>
      <c r="G559" s="3" t="s">
        <v>5034</v>
      </c>
      <c r="H559" s="3" t="s">
        <v>9626</v>
      </c>
      <c r="I559" s="17">
        <v>45557</v>
      </c>
      <c r="J559" s="18">
        <f>YEAR(Tabla1[[#This Row],[FECHA DE COMPRA]])</f>
        <v>2024</v>
      </c>
      <c r="K559" s="19">
        <v>77.34</v>
      </c>
      <c r="L559" s="20">
        <v>0.1</v>
      </c>
      <c r="M559" s="19">
        <f>Tienda!$K1374-Tienda!$K1374*Tienda!$L1374</f>
        <v>36.134</v>
      </c>
      <c r="N559" s="3" t="s">
        <v>10040</v>
      </c>
      <c r="O559" s="3" t="s">
        <v>10041</v>
      </c>
      <c r="P559" s="17">
        <v>45557</v>
      </c>
      <c r="Q559" s="4">
        <v>0</v>
      </c>
    </row>
    <row r="560" spans="1:17" x14ac:dyDescent="0.25">
      <c r="A560" s="2" t="s">
        <v>1053</v>
      </c>
      <c r="B560" s="3" t="s">
        <v>5015</v>
      </c>
      <c r="C560" s="3">
        <v>33</v>
      </c>
      <c r="D560" s="46" t="str">
        <f>IF(Tabla1[[#This Row],[EDAD]]&lt;=35,"Adultos jóvenes 18 - 35 años",IF(C560&gt;=36,"Adultos mayores 36 años en adelante"))</f>
        <v>Adultos jóvenes 18 - 35 años</v>
      </c>
      <c r="E560" s="3" t="s">
        <v>5019</v>
      </c>
      <c r="F560" s="3" t="s">
        <v>5027</v>
      </c>
      <c r="G560" s="3" t="s">
        <v>5034</v>
      </c>
      <c r="H560" s="3" t="s">
        <v>6076</v>
      </c>
      <c r="I560" s="17">
        <v>45353</v>
      </c>
      <c r="J560" s="18">
        <f>YEAR(Tabla1[[#This Row],[FECHA DE COMPRA]])</f>
        <v>2024</v>
      </c>
      <c r="K560" s="19">
        <v>100.93</v>
      </c>
      <c r="L560" s="20">
        <v>0.3</v>
      </c>
      <c r="M560" s="19">
        <f>Tienda!$K1383-Tienda!$K1383*Tienda!$L1383</f>
        <v>39.207999999999998</v>
      </c>
      <c r="N560" s="3" t="s">
        <v>10040</v>
      </c>
      <c r="O560" s="3" t="s">
        <v>10041</v>
      </c>
      <c r="P560" s="17">
        <v>45353</v>
      </c>
      <c r="Q560" s="4">
        <v>0</v>
      </c>
    </row>
    <row r="561" spans="1:17" x14ac:dyDescent="0.25">
      <c r="A561" s="2" t="s">
        <v>488</v>
      </c>
      <c r="B561" s="3" t="s">
        <v>5015</v>
      </c>
      <c r="C561" s="3">
        <v>21</v>
      </c>
      <c r="D561" s="46" t="str">
        <f>IF(Tabla1[[#This Row],[EDAD]]&lt;=35,"Adultos jóvenes 18 - 35 años",IF(C561&gt;=36,"Adultos mayores 36 años en adelante"))</f>
        <v>Adultos jóvenes 18 - 35 años</v>
      </c>
      <c r="E561" s="3" t="s">
        <v>5017</v>
      </c>
      <c r="F561" s="3" t="s">
        <v>5030</v>
      </c>
      <c r="G561" s="3" t="s">
        <v>5032</v>
      </c>
      <c r="H561" s="3" t="s">
        <v>5511</v>
      </c>
      <c r="I561" s="17">
        <v>45636</v>
      </c>
      <c r="J561" s="18">
        <f>YEAR(Tabla1[[#This Row],[FECHA DE COMPRA]])</f>
        <v>2024</v>
      </c>
      <c r="K561" s="19">
        <v>88.78</v>
      </c>
      <c r="L561" s="20">
        <v>0.2</v>
      </c>
      <c r="M561" s="19">
        <f>Tienda!$K1386-Tienda!$K1386*Tienda!$L1386</f>
        <v>40.203000000000003</v>
      </c>
      <c r="N561" s="3" t="s">
        <v>10040</v>
      </c>
      <c r="O561" s="3" t="s">
        <v>10041</v>
      </c>
      <c r="P561" s="17">
        <v>45453</v>
      </c>
      <c r="Q561" s="4">
        <v>0</v>
      </c>
    </row>
    <row r="562" spans="1:17" x14ac:dyDescent="0.25">
      <c r="A562" s="2" t="s">
        <v>840</v>
      </c>
      <c r="B562" s="3" t="s">
        <v>5015</v>
      </c>
      <c r="C562" s="3">
        <v>19</v>
      </c>
      <c r="D562" s="46" t="str">
        <f>IF(Tabla1[[#This Row],[EDAD]]&lt;=35,"Adultos jóvenes 18 - 35 años",IF(C562&gt;=36,"Adultos mayores 36 años en adelante"))</f>
        <v>Adultos jóvenes 18 - 35 años</v>
      </c>
      <c r="E562" s="3" t="s">
        <v>5022</v>
      </c>
      <c r="F562" s="3" t="s">
        <v>5029</v>
      </c>
      <c r="G562" s="3" t="s">
        <v>5037</v>
      </c>
      <c r="H562" s="3" t="s">
        <v>5863</v>
      </c>
      <c r="I562" s="17">
        <v>45633</v>
      </c>
      <c r="J562" s="18">
        <f>YEAR(Tabla1[[#This Row],[FECHA DE COMPRA]])</f>
        <v>2024</v>
      </c>
      <c r="K562" s="19">
        <v>81.099999999999994</v>
      </c>
      <c r="L562" s="20">
        <v>0.1</v>
      </c>
      <c r="M562" s="19">
        <f>Tienda!$K1394-Tienda!$K1394*Tienda!$L1394</f>
        <v>45.67</v>
      </c>
      <c r="N562" s="3" t="s">
        <v>10040</v>
      </c>
      <c r="O562" s="3" t="s">
        <v>10041</v>
      </c>
      <c r="P562" s="17">
        <v>45633</v>
      </c>
      <c r="Q562" s="4">
        <v>0</v>
      </c>
    </row>
    <row r="563" spans="1:17" x14ac:dyDescent="0.25">
      <c r="A563" s="2" t="s">
        <v>3269</v>
      </c>
      <c r="B563" s="3" t="s">
        <v>5015</v>
      </c>
      <c r="C563" s="3">
        <v>26</v>
      </c>
      <c r="D563" s="46" t="str">
        <f>IF(Tabla1[[#This Row],[EDAD]]&lt;=35,"Adultos jóvenes 18 - 35 años",IF(C563&gt;=36,"Adultos mayores 36 años en adelante"))</f>
        <v>Adultos jóvenes 18 - 35 años</v>
      </c>
      <c r="E563" s="3" t="s">
        <v>5019</v>
      </c>
      <c r="F563" s="3" t="s">
        <v>5027</v>
      </c>
      <c r="G563" s="3" t="s">
        <v>5036</v>
      </c>
      <c r="H563" s="3" t="s">
        <v>8292</v>
      </c>
      <c r="I563" s="17">
        <v>45523</v>
      </c>
      <c r="J563" s="18">
        <f>YEAR(Tabla1[[#This Row],[FECHA DE COMPRA]])</f>
        <v>2024</v>
      </c>
      <c r="K563" s="19">
        <v>91.56</v>
      </c>
      <c r="L563" s="20">
        <v>0.2</v>
      </c>
      <c r="M563" s="19">
        <f>Tienda!$K1396-Tienda!$K1396*Tienda!$L1396</f>
        <v>46.459000000000003</v>
      </c>
      <c r="N563" s="3" t="s">
        <v>10040</v>
      </c>
      <c r="O563" s="3" t="s">
        <v>10041</v>
      </c>
      <c r="P563" s="17">
        <v>45523</v>
      </c>
      <c r="Q563" s="4">
        <v>0</v>
      </c>
    </row>
    <row r="564" spans="1:17" x14ac:dyDescent="0.25">
      <c r="A564" s="2" t="s">
        <v>2117</v>
      </c>
      <c r="B564" s="3" t="s">
        <v>5015</v>
      </c>
      <c r="C564" s="3">
        <v>19</v>
      </c>
      <c r="D564" s="46" t="str">
        <f>IF(Tabla1[[#This Row],[EDAD]]&lt;=35,"Adultos jóvenes 18 - 35 años",IF(C564&gt;=36,"Adultos mayores 36 años en adelante"))</f>
        <v>Adultos jóvenes 18 - 35 años</v>
      </c>
      <c r="E564" s="3" t="s">
        <v>5021</v>
      </c>
      <c r="F564" s="3" t="s">
        <v>5027</v>
      </c>
      <c r="G564" s="3" t="s">
        <v>5036</v>
      </c>
      <c r="H564" s="3" t="s">
        <v>7140</v>
      </c>
      <c r="I564" s="17">
        <v>45536</v>
      </c>
      <c r="J564" s="18">
        <f>YEAR(Tabla1[[#This Row],[FECHA DE COMPRA]])</f>
        <v>2024</v>
      </c>
      <c r="K564" s="19">
        <v>81.790000000000006</v>
      </c>
      <c r="L564" s="20">
        <v>0.1</v>
      </c>
      <c r="M564" s="19">
        <f>Tienda!$K1400-Tienda!$K1400*Tienda!$L1400</f>
        <v>47.98</v>
      </c>
      <c r="N564" s="3" t="s">
        <v>10040</v>
      </c>
      <c r="O564" s="3" t="s">
        <v>10041</v>
      </c>
      <c r="P564" s="17">
        <v>45536</v>
      </c>
      <c r="Q564" s="4">
        <v>0</v>
      </c>
    </row>
    <row r="565" spans="1:17" x14ac:dyDescent="0.25">
      <c r="A565" s="2" t="s">
        <v>2845</v>
      </c>
      <c r="B565" s="3" t="s">
        <v>5015</v>
      </c>
      <c r="C565" s="3">
        <v>27</v>
      </c>
      <c r="D565" s="46" t="str">
        <f>IF(Tabla1[[#This Row],[EDAD]]&lt;=35,"Adultos jóvenes 18 - 35 años",IF(C565&gt;=36,"Adultos mayores 36 años en adelante"))</f>
        <v>Adultos jóvenes 18 - 35 años</v>
      </c>
      <c r="E565" s="3" t="s">
        <v>5019</v>
      </c>
      <c r="F565" s="3" t="s">
        <v>5027</v>
      </c>
      <c r="G565" s="3" t="s">
        <v>5031</v>
      </c>
      <c r="H565" s="3" t="s">
        <v>7868</v>
      </c>
      <c r="I565" s="17">
        <v>45634</v>
      </c>
      <c r="J565" s="18">
        <f>YEAR(Tabla1[[#This Row],[FECHA DE COMPRA]])</f>
        <v>2024</v>
      </c>
      <c r="K565" s="19">
        <v>75.33</v>
      </c>
      <c r="L565" s="20">
        <v>0</v>
      </c>
      <c r="M565" s="19">
        <f>Tienda!$K1409-Tienda!$K1409*Tienda!$L1409</f>
        <v>50.09</v>
      </c>
      <c r="N565" s="3" t="s">
        <v>10040</v>
      </c>
      <c r="O565" s="3" t="s">
        <v>10041</v>
      </c>
      <c r="P565" s="17">
        <v>45456</v>
      </c>
      <c r="Q565" s="4">
        <v>0</v>
      </c>
    </row>
    <row r="566" spans="1:17" x14ac:dyDescent="0.25">
      <c r="A566" s="2" t="s">
        <v>4644</v>
      </c>
      <c r="B566" s="3" t="s">
        <v>5015</v>
      </c>
      <c r="C566" s="3">
        <v>29</v>
      </c>
      <c r="D566" s="46" t="str">
        <f>IF(Tabla1[[#This Row],[EDAD]]&lt;=35,"Adultos jóvenes 18 - 35 años",IF(C566&gt;=36,"Adultos mayores 36 años en adelante"))</f>
        <v>Adultos jóvenes 18 - 35 años</v>
      </c>
      <c r="E566" s="3" t="s">
        <v>5018</v>
      </c>
      <c r="F566" s="3" t="s">
        <v>5030</v>
      </c>
      <c r="G566" s="3" t="s">
        <v>5034</v>
      </c>
      <c r="H566" s="3" t="s">
        <v>9667</v>
      </c>
      <c r="I566" s="17">
        <v>45427</v>
      </c>
      <c r="J566" s="18">
        <f>YEAR(Tabla1[[#This Row],[FECHA DE COMPRA]])</f>
        <v>2024</v>
      </c>
      <c r="K566" s="19">
        <v>83.94</v>
      </c>
      <c r="L566" s="20">
        <v>0.1</v>
      </c>
      <c r="M566" s="19">
        <f>Tienda!$K1410-Tienda!$K1410*Tienda!$L1410</f>
        <v>51.064</v>
      </c>
      <c r="N566" s="3" t="s">
        <v>10040</v>
      </c>
      <c r="O566" s="3" t="s">
        <v>10041</v>
      </c>
      <c r="P566" s="17">
        <v>45427</v>
      </c>
      <c r="Q566" s="4">
        <v>0</v>
      </c>
    </row>
    <row r="567" spans="1:17" x14ac:dyDescent="0.25">
      <c r="A567" s="2" t="s">
        <v>4249</v>
      </c>
      <c r="B567" s="3" t="s">
        <v>5016</v>
      </c>
      <c r="C567" s="3">
        <v>18</v>
      </c>
      <c r="D567" s="46" t="str">
        <f>IF(Tabla1[[#This Row],[EDAD]]&lt;=35,"Adultos jóvenes 18 - 35 años",IF(C567&gt;=36,"Adultos mayores 36 años en adelante"))</f>
        <v>Adultos jóvenes 18 - 35 años</v>
      </c>
      <c r="E567" s="3" t="s">
        <v>5021</v>
      </c>
      <c r="F567" s="3" t="s">
        <v>5029</v>
      </c>
      <c r="G567" s="3" t="s">
        <v>5036</v>
      </c>
      <c r="H567" s="3" t="s">
        <v>9272</v>
      </c>
      <c r="I567" s="17">
        <v>45468</v>
      </c>
      <c r="J567" s="18">
        <f>YEAR(Tabla1[[#This Row],[FECHA DE COMPRA]])</f>
        <v>2024</v>
      </c>
      <c r="K567" s="19">
        <v>77.209999999999994</v>
      </c>
      <c r="L567" s="20">
        <v>0</v>
      </c>
      <c r="M567" s="19">
        <f>Tienda!$K1416-Tienda!$K1416*Tienda!$L1416</f>
        <v>54.423000000000002</v>
      </c>
      <c r="N567" s="3" t="s">
        <v>10040</v>
      </c>
      <c r="O567" s="3" t="s">
        <v>10041</v>
      </c>
      <c r="P567" s="17">
        <v>45468</v>
      </c>
      <c r="Q567" s="4">
        <v>0</v>
      </c>
    </row>
    <row r="568" spans="1:17" x14ac:dyDescent="0.25">
      <c r="A568" s="2" t="s">
        <v>4290</v>
      </c>
      <c r="B568" s="3" t="s">
        <v>5015</v>
      </c>
      <c r="C568" s="3">
        <v>28</v>
      </c>
      <c r="D568" s="46" t="str">
        <f>IF(Tabla1[[#This Row],[EDAD]]&lt;=35,"Adultos jóvenes 18 - 35 años",IF(C568&gt;=36,"Adultos mayores 36 años en adelante"))</f>
        <v>Adultos jóvenes 18 - 35 años</v>
      </c>
      <c r="E568" s="3" t="s">
        <v>5018</v>
      </c>
      <c r="F568" s="3" t="s">
        <v>5026</v>
      </c>
      <c r="G568" s="3" t="s">
        <v>5034</v>
      </c>
      <c r="H568" s="3" t="s">
        <v>9313</v>
      </c>
      <c r="I568" s="17">
        <v>45608</v>
      </c>
      <c r="J568" s="18">
        <f>YEAR(Tabla1[[#This Row],[FECHA DE COMPRA]])</f>
        <v>2024</v>
      </c>
      <c r="K568" s="19">
        <v>86.29</v>
      </c>
      <c r="L568" s="20">
        <v>0.1</v>
      </c>
      <c r="M568" s="19">
        <f>Tienda!$K1420-Tienda!$K1420*Tienda!$L1420</f>
        <v>56.402999999999999</v>
      </c>
      <c r="N568" s="3" t="s">
        <v>10040</v>
      </c>
      <c r="O568" s="3" t="s">
        <v>10041</v>
      </c>
      <c r="P568" s="17">
        <v>45608</v>
      </c>
      <c r="Q568" s="4">
        <v>0</v>
      </c>
    </row>
    <row r="569" spans="1:17" x14ac:dyDescent="0.25">
      <c r="A569" s="2" t="s">
        <v>3766</v>
      </c>
      <c r="B569" s="3" t="s">
        <v>5015</v>
      </c>
      <c r="C569" s="3">
        <v>28</v>
      </c>
      <c r="D569" s="46" t="str">
        <f>IF(Tabla1[[#This Row],[EDAD]]&lt;=35,"Adultos jóvenes 18 - 35 años",IF(C569&gt;=36,"Adultos mayores 36 años en adelante"))</f>
        <v>Adultos jóvenes 18 - 35 años</v>
      </c>
      <c r="E569" s="3" t="s">
        <v>5020</v>
      </c>
      <c r="F569" s="3" t="s">
        <v>5026</v>
      </c>
      <c r="G569" s="3" t="s">
        <v>5035</v>
      </c>
      <c r="H569" s="3" t="s">
        <v>8789</v>
      </c>
      <c r="I569" s="17">
        <v>45464</v>
      </c>
      <c r="J569" s="18">
        <f>YEAR(Tabla1[[#This Row],[FECHA DE COMPRA]])</f>
        <v>2024</v>
      </c>
      <c r="K569" s="19">
        <v>86.33</v>
      </c>
      <c r="L569" s="20">
        <v>0.1</v>
      </c>
      <c r="M569" s="19">
        <f>Tienda!$K1421-Tienda!$K1421*Tienda!$L1421</f>
        <v>57.048000000000002</v>
      </c>
      <c r="N569" s="3" t="s">
        <v>10040</v>
      </c>
      <c r="O569" s="3" t="s">
        <v>10041</v>
      </c>
      <c r="P569" s="17">
        <v>45464</v>
      </c>
      <c r="Q569" s="4">
        <v>0</v>
      </c>
    </row>
    <row r="570" spans="1:17" x14ac:dyDescent="0.25">
      <c r="A570" s="2" t="s">
        <v>4661</v>
      </c>
      <c r="B570" s="3" t="s">
        <v>5015</v>
      </c>
      <c r="C570" s="3">
        <v>23</v>
      </c>
      <c r="D570" s="46" t="str">
        <f>IF(Tabla1[[#This Row],[EDAD]]&lt;=35,"Adultos jóvenes 18 - 35 años",IF(C570&gt;=36,"Adultos mayores 36 años en adelante"))</f>
        <v>Adultos jóvenes 18 - 35 años</v>
      </c>
      <c r="E570" s="3" t="s">
        <v>5019</v>
      </c>
      <c r="F570" s="3" t="s">
        <v>5028</v>
      </c>
      <c r="G570" s="3" t="s">
        <v>5036</v>
      </c>
      <c r="H570" s="3" t="s">
        <v>9684</v>
      </c>
      <c r="I570" s="17">
        <v>45460</v>
      </c>
      <c r="J570" s="18">
        <f>YEAR(Tabla1[[#This Row],[FECHA DE COMPRA]])</f>
        <v>2024</v>
      </c>
      <c r="K570" s="19">
        <v>111.52</v>
      </c>
      <c r="L570" s="20">
        <v>0.3</v>
      </c>
      <c r="M570" s="19">
        <f>Tienda!$K1425-Tienda!$K1425*Tienda!$L1425</f>
        <v>58.29</v>
      </c>
      <c r="N570" s="3" t="s">
        <v>10040</v>
      </c>
      <c r="O570" s="3" t="s">
        <v>10041</v>
      </c>
      <c r="P570" s="17">
        <v>45460</v>
      </c>
      <c r="Q570" s="4">
        <v>0</v>
      </c>
    </row>
    <row r="571" spans="1:17" x14ac:dyDescent="0.25">
      <c r="A571" s="2" t="s">
        <v>4526</v>
      </c>
      <c r="B571" s="3" t="s">
        <v>5016</v>
      </c>
      <c r="C571" s="3">
        <v>34</v>
      </c>
      <c r="D571" s="46" t="str">
        <f>IF(Tabla1[[#This Row],[EDAD]]&lt;=35,"Adultos jóvenes 18 - 35 años",IF(C571&gt;=36,"Adultos mayores 36 años en adelante"))</f>
        <v>Adultos jóvenes 18 - 35 años</v>
      </c>
      <c r="E571" s="3" t="s">
        <v>5021</v>
      </c>
      <c r="F571" s="3" t="s">
        <v>5025</v>
      </c>
      <c r="G571" s="3" t="s">
        <v>5035</v>
      </c>
      <c r="H571" s="3" t="s">
        <v>9549</v>
      </c>
      <c r="I571" s="17">
        <v>45353</v>
      </c>
      <c r="J571" s="18">
        <f>YEAR(Tabla1[[#This Row],[FECHA DE COMPRA]])</f>
        <v>2024</v>
      </c>
      <c r="K571" s="19">
        <v>88</v>
      </c>
      <c r="L571" s="20">
        <v>0.1</v>
      </c>
      <c r="M571" s="19">
        <f>Tienda!$K1432-Tienda!$K1432*Tienda!$L1432</f>
        <v>61.963999999999999</v>
      </c>
      <c r="N571" s="3" t="s">
        <v>10040</v>
      </c>
      <c r="O571" s="3" t="s">
        <v>10041</v>
      </c>
      <c r="P571" s="17">
        <v>45353</v>
      </c>
      <c r="Q571" s="4">
        <v>0</v>
      </c>
    </row>
    <row r="572" spans="1:17" x14ac:dyDescent="0.25">
      <c r="A572" s="2" t="s">
        <v>2244</v>
      </c>
      <c r="B572" s="3" t="s">
        <v>5015</v>
      </c>
      <c r="C572" s="3">
        <v>33</v>
      </c>
      <c r="D572" s="46" t="str">
        <f>IF(Tabla1[[#This Row],[EDAD]]&lt;=35,"Adultos jóvenes 18 - 35 años",IF(C572&gt;=36,"Adultos mayores 36 años en adelante"))</f>
        <v>Adultos jóvenes 18 - 35 años</v>
      </c>
      <c r="E572" s="3" t="s">
        <v>5019</v>
      </c>
      <c r="F572" s="3" t="s">
        <v>5025</v>
      </c>
      <c r="G572" s="3" t="s">
        <v>5036</v>
      </c>
      <c r="H572" s="3" t="s">
        <v>7267</v>
      </c>
      <c r="I572" s="17">
        <v>45521</v>
      </c>
      <c r="J572" s="18">
        <f>YEAR(Tabla1[[#This Row],[FECHA DE COMPRA]])</f>
        <v>2024</v>
      </c>
      <c r="K572" s="19">
        <v>115.74</v>
      </c>
      <c r="L572" s="20">
        <v>0.3</v>
      </c>
      <c r="M572" s="19">
        <f>Tienda!$K1440-Tienda!$K1440*Tienda!$L1440</f>
        <v>68.599999999999994</v>
      </c>
      <c r="N572" s="3" t="s">
        <v>10040</v>
      </c>
      <c r="O572" s="3" t="s">
        <v>10041</v>
      </c>
      <c r="P572" s="17">
        <v>45521</v>
      </c>
      <c r="Q572" s="4">
        <v>0</v>
      </c>
    </row>
    <row r="573" spans="1:17" x14ac:dyDescent="0.25">
      <c r="A573" s="2" t="s">
        <v>160</v>
      </c>
      <c r="B573" s="3" t="s">
        <v>5016</v>
      </c>
      <c r="C573" s="3">
        <v>33</v>
      </c>
      <c r="D573" s="46" t="str">
        <f>IF(Tabla1[[#This Row],[EDAD]]&lt;=35,"Adultos jóvenes 18 - 35 años",IF(C573&gt;=36,"Adultos mayores 36 años en adelante"))</f>
        <v>Adultos jóvenes 18 - 35 años</v>
      </c>
      <c r="E573" s="3" t="s">
        <v>5023</v>
      </c>
      <c r="F573" s="3" t="s">
        <v>5026</v>
      </c>
      <c r="G573" s="3" t="s">
        <v>5031</v>
      </c>
      <c r="H573" s="3" t="s">
        <v>5183</v>
      </c>
      <c r="I573" s="17">
        <v>45578</v>
      </c>
      <c r="J573" s="18">
        <f>YEAR(Tabla1[[#This Row],[FECHA DE COMPRA]])</f>
        <v>2024</v>
      </c>
      <c r="K573" s="19">
        <v>90.11</v>
      </c>
      <c r="L573" s="20">
        <v>0.1</v>
      </c>
      <c r="M573" s="19">
        <f>Tienda!$K1442-Tienda!$K1442*Tienda!$L1442</f>
        <v>69.876000000000005</v>
      </c>
      <c r="N573" s="3" t="s">
        <v>10040</v>
      </c>
      <c r="O573" s="3" t="s">
        <v>10041</v>
      </c>
      <c r="P573" s="17">
        <v>45578</v>
      </c>
      <c r="Q573" s="4">
        <v>0</v>
      </c>
    </row>
    <row r="574" spans="1:17" x14ac:dyDescent="0.25">
      <c r="A574" s="2" t="s">
        <v>4497</v>
      </c>
      <c r="B574" s="3" t="s">
        <v>5015</v>
      </c>
      <c r="C574" s="3">
        <v>26</v>
      </c>
      <c r="D574" s="46" t="str">
        <f>IF(Tabla1[[#This Row],[EDAD]]&lt;=35,"Adultos jóvenes 18 - 35 años",IF(C574&gt;=36,"Adultos mayores 36 años en adelante"))</f>
        <v>Adultos jóvenes 18 - 35 años</v>
      </c>
      <c r="E574" s="3" t="s">
        <v>5021</v>
      </c>
      <c r="F574" s="3" t="s">
        <v>5028</v>
      </c>
      <c r="G574" s="3" t="s">
        <v>5031</v>
      </c>
      <c r="H574" s="3" t="s">
        <v>9520</v>
      </c>
      <c r="I574" s="17">
        <v>45475</v>
      </c>
      <c r="J574" s="18">
        <f>YEAR(Tabla1[[#This Row],[FECHA DE COMPRA]])</f>
        <v>2024</v>
      </c>
      <c r="K574" s="19">
        <v>91.43</v>
      </c>
      <c r="L574" s="20">
        <v>0.1</v>
      </c>
      <c r="M574" s="19">
        <f>Tienda!$K1448-Tienda!$K1448*Tienda!$L1448</f>
        <v>71.81</v>
      </c>
      <c r="N574" s="3" t="s">
        <v>10040</v>
      </c>
      <c r="O574" s="3" t="s">
        <v>10041</v>
      </c>
      <c r="P574" s="17">
        <v>45475</v>
      </c>
      <c r="Q574" s="4">
        <v>0</v>
      </c>
    </row>
    <row r="575" spans="1:17" x14ac:dyDescent="0.25">
      <c r="A575" s="2" t="s">
        <v>293</v>
      </c>
      <c r="B575" s="3" t="s">
        <v>5015</v>
      </c>
      <c r="C575" s="3">
        <v>33</v>
      </c>
      <c r="D575" s="46" t="str">
        <f>IF(Tabla1[[#This Row],[EDAD]]&lt;=35,"Adultos jóvenes 18 - 35 años",IF(C575&gt;=36,"Adultos mayores 36 años en adelante"))</f>
        <v>Adultos jóvenes 18 - 35 años</v>
      </c>
      <c r="E575" s="3" t="s">
        <v>5020</v>
      </c>
      <c r="F575" s="3" t="s">
        <v>5025</v>
      </c>
      <c r="G575" s="3" t="s">
        <v>5031</v>
      </c>
      <c r="H575" s="3" t="s">
        <v>5316</v>
      </c>
      <c r="I575" s="17">
        <v>45410</v>
      </c>
      <c r="J575" s="18">
        <f>YEAR(Tabla1[[#This Row],[FECHA DE COMPRA]])</f>
        <v>2024</v>
      </c>
      <c r="K575" s="19">
        <v>82.53</v>
      </c>
      <c r="L575" s="20">
        <v>0</v>
      </c>
      <c r="M575" s="19">
        <f>Tienda!$K1450-Tienda!$K1450*Tienda!$L1450</f>
        <v>72.430000000000007</v>
      </c>
      <c r="N575" s="3" t="s">
        <v>10040</v>
      </c>
      <c r="O575" s="3" t="s">
        <v>10041</v>
      </c>
      <c r="P575" s="17">
        <v>45410</v>
      </c>
      <c r="Q575" s="4">
        <v>0</v>
      </c>
    </row>
    <row r="576" spans="1:17" x14ac:dyDescent="0.25">
      <c r="A576" s="2" t="s">
        <v>281</v>
      </c>
      <c r="B576" s="3" t="s">
        <v>5015</v>
      </c>
      <c r="C576" s="3">
        <v>22</v>
      </c>
      <c r="D576" s="46" t="str">
        <f>IF(Tabla1[[#This Row],[EDAD]]&lt;=35,"Adultos jóvenes 18 - 35 años",IF(C576&gt;=36,"Adultos mayores 36 años en adelante"))</f>
        <v>Adultos jóvenes 18 - 35 años</v>
      </c>
      <c r="E576" s="3" t="s">
        <v>5023</v>
      </c>
      <c r="F576" s="3" t="s">
        <v>5028</v>
      </c>
      <c r="G576" s="3" t="s">
        <v>5031</v>
      </c>
      <c r="H576" s="3" t="s">
        <v>5304</v>
      </c>
      <c r="I576" s="17">
        <v>45624</v>
      </c>
      <c r="J576" s="18">
        <f>YEAR(Tabla1[[#This Row],[FECHA DE COMPRA]])</f>
        <v>2024</v>
      </c>
      <c r="K576" s="19">
        <v>122.24</v>
      </c>
      <c r="L576" s="20">
        <v>0.3</v>
      </c>
      <c r="M576" s="19">
        <f>Tienda!$K1462-Tienda!$K1462*Tienda!$L1462</f>
        <v>78.455999999999989</v>
      </c>
      <c r="N576" s="3" t="s">
        <v>10040</v>
      </c>
      <c r="O576" s="3" t="s">
        <v>10041</v>
      </c>
      <c r="P576" s="17">
        <v>45482</v>
      </c>
      <c r="Q576" s="4">
        <v>0</v>
      </c>
    </row>
    <row r="577" spans="1:17" x14ac:dyDescent="0.25">
      <c r="A577" s="2" t="s">
        <v>3205</v>
      </c>
      <c r="B577" s="3" t="s">
        <v>5016</v>
      </c>
      <c r="C577" s="3">
        <v>22</v>
      </c>
      <c r="D577" s="46" t="str">
        <f>IF(Tabla1[[#This Row],[EDAD]]&lt;=35,"Adultos jóvenes 18 - 35 años",IF(C577&gt;=36,"Adultos mayores 36 años en adelante"))</f>
        <v>Adultos jóvenes 18 - 35 años</v>
      </c>
      <c r="E577" s="3" t="s">
        <v>5019</v>
      </c>
      <c r="F577" s="3" t="s">
        <v>5025</v>
      </c>
      <c r="G577" s="3" t="s">
        <v>5033</v>
      </c>
      <c r="H577" s="3" t="s">
        <v>8228</v>
      </c>
      <c r="I577" s="17">
        <v>45307</v>
      </c>
      <c r="J577" s="18">
        <f>YEAR(Tabla1[[#This Row],[FECHA DE COMPRA]])</f>
        <v>2024</v>
      </c>
      <c r="K577" s="19">
        <v>87.14</v>
      </c>
      <c r="L577" s="20">
        <v>0</v>
      </c>
      <c r="M577" s="19">
        <f>Tienda!$K1473-Tienda!$K1473*Tienda!$L1473</f>
        <v>83.7</v>
      </c>
      <c r="N577" s="3" t="s">
        <v>10040</v>
      </c>
      <c r="O577" s="3" t="s">
        <v>10041</v>
      </c>
      <c r="P577" s="17">
        <v>45307</v>
      </c>
      <c r="Q577" s="4">
        <v>0</v>
      </c>
    </row>
    <row r="578" spans="1:17" x14ac:dyDescent="0.25">
      <c r="A578" s="2" t="s">
        <v>3193</v>
      </c>
      <c r="B578" s="3" t="s">
        <v>5015</v>
      </c>
      <c r="C578" s="3">
        <v>26</v>
      </c>
      <c r="D578" s="46" t="str">
        <f>IF(Tabla1[[#This Row],[EDAD]]&lt;=35,"Adultos jóvenes 18 - 35 años",IF(C578&gt;=36,"Adultos mayores 36 años en adelante"))</f>
        <v>Adultos jóvenes 18 - 35 años</v>
      </c>
      <c r="E578" s="3" t="s">
        <v>5021</v>
      </c>
      <c r="F578" s="3" t="s">
        <v>5030</v>
      </c>
      <c r="G578" s="3" t="s">
        <v>5032</v>
      </c>
      <c r="H578" s="3" t="s">
        <v>8216</v>
      </c>
      <c r="I578" s="17">
        <v>45537</v>
      </c>
      <c r="J578" s="18">
        <f>YEAR(Tabla1[[#This Row],[FECHA DE COMPRA]])</f>
        <v>2024</v>
      </c>
      <c r="K578" s="19">
        <v>124.57</v>
      </c>
      <c r="L578" s="20">
        <v>0.3</v>
      </c>
      <c r="M578" s="19">
        <f>Tienda!$K1474-Tienda!$K1474*Tienda!$L1474</f>
        <v>83.88</v>
      </c>
      <c r="N578" s="3" t="s">
        <v>10040</v>
      </c>
      <c r="O578" s="3" t="s">
        <v>10041</v>
      </c>
      <c r="P578" s="17">
        <v>45537</v>
      </c>
      <c r="Q578" s="4">
        <v>0</v>
      </c>
    </row>
    <row r="579" spans="1:17" x14ac:dyDescent="0.25">
      <c r="A579" s="2" t="s">
        <v>3192</v>
      </c>
      <c r="B579" s="3" t="s">
        <v>5015</v>
      </c>
      <c r="C579" s="3">
        <v>21</v>
      </c>
      <c r="D579" s="46" t="str">
        <f>IF(Tabla1[[#This Row],[EDAD]]&lt;=35,"Adultos jóvenes 18 - 35 años",IF(C579&gt;=36,"Adultos mayores 36 años en adelante"))</f>
        <v>Adultos jóvenes 18 - 35 años</v>
      </c>
      <c r="E579" s="3" t="s">
        <v>5019</v>
      </c>
      <c r="F579" s="3" t="s">
        <v>5024</v>
      </c>
      <c r="G579" s="3" t="s">
        <v>5037</v>
      </c>
      <c r="H579" s="3" t="s">
        <v>8215</v>
      </c>
      <c r="I579" s="17">
        <v>45428</v>
      </c>
      <c r="J579" s="18">
        <f>YEAR(Tabla1[[#This Row],[FECHA DE COMPRA]])</f>
        <v>2024</v>
      </c>
      <c r="K579" s="19">
        <v>109.46</v>
      </c>
      <c r="L579" s="20">
        <v>0.2</v>
      </c>
      <c r="M579" s="19">
        <f>Tienda!$K1475-Tienda!$K1475*Tienda!$L1475</f>
        <v>83.9</v>
      </c>
      <c r="N579" s="3" t="s">
        <v>10040</v>
      </c>
      <c r="O579" s="3" t="s">
        <v>10041</v>
      </c>
      <c r="P579" s="17">
        <v>45428</v>
      </c>
      <c r="Q579" s="4">
        <v>0</v>
      </c>
    </row>
    <row r="580" spans="1:17" x14ac:dyDescent="0.25">
      <c r="A580" s="2" t="s">
        <v>2303</v>
      </c>
      <c r="B580" s="3" t="s">
        <v>5015</v>
      </c>
      <c r="C580" s="3">
        <v>28</v>
      </c>
      <c r="D580" s="46" t="str">
        <f>IF(Tabla1[[#This Row],[EDAD]]&lt;=35,"Adultos jóvenes 18 - 35 años",IF(C580&gt;=36,"Adultos mayores 36 años en adelante"))</f>
        <v>Adultos jóvenes 18 - 35 años</v>
      </c>
      <c r="E580" s="3" t="s">
        <v>5021</v>
      </c>
      <c r="F580" s="3" t="s">
        <v>5030</v>
      </c>
      <c r="G580" s="3" t="s">
        <v>5033</v>
      </c>
      <c r="H580" s="3" t="s">
        <v>7326</v>
      </c>
      <c r="I580" s="17">
        <v>45379</v>
      </c>
      <c r="J580" s="18">
        <f>YEAR(Tabla1[[#This Row],[FECHA DE COMPRA]])</f>
        <v>2024</v>
      </c>
      <c r="K580" s="19">
        <v>125.34</v>
      </c>
      <c r="L580" s="20">
        <v>0.3</v>
      </c>
      <c r="M580" s="19">
        <f>Tienda!$K1477-Tienda!$K1477*Tienda!$L1477</f>
        <v>84.686000000000007</v>
      </c>
      <c r="N580" s="3" t="s">
        <v>10040</v>
      </c>
      <c r="O580" s="3" t="s">
        <v>10041</v>
      </c>
      <c r="P580" s="17">
        <v>45379</v>
      </c>
      <c r="Q580" s="4">
        <v>0</v>
      </c>
    </row>
    <row r="581" spans="1:17" x14ac:dyDescent="0.25">
      <c r="A581" s="2" t="s">
        <v>2790</v>
      </c>
      <c r="B581" s="3" t="s">
        <v>5016</v>
      </c>
      <c r="C581" s="3">
        <v>35</v>
      </c>
      <c r="D581" s="46" t="str">
        <f>IF(Tabla1[[#This Row],[EDAD]]&lt;=35,"Adultos jóvenes 18 - 35 años",IF(C581&gt;=36,"Adultos mayores 36 años en adelante"))</f>
        <v>Adultos jóvenes 18 - 35 años</v>
      </c>
      <c r="E581" s="3" t="s">
        <v>5019</v>
      </c>
      <c r="F581" s="3" t="s">
        <v>5024</v>
      </c>
      <c r="G581" s="3" t="s">
        <v>5032</v>
      </c>
      <c r="H581" s="3" t="s">
        <v>7813</v>
      </c>
      <c r="I581" s="17">
        <v>45643</v>
      </c>
      <c r="J581" s="18">
        <f>YEAR(Tabla1[[#This Row],[FECHA DE COMPRA]])</f>
        <v>2024</v>
      </c>
      <c r="K581" s="19">
        <v>97.97</v>
      </c>
      <c r="L581" s="20">
        <v>0.1</v>
      </c>
      <c r="M581" s="19">
        <f>Tienda!$K1479-Tienda!$K1479*Tienda!$L1479</f>
        <v>85.2</v>
      </c>
      <c r="N581" s="3" t="s">
        <v>10040</v>
      </c>
      <c r="O581" s="3" t="s">
        <v>10041</v>
      </c>
      <c r="P581" s="17">
        <v>45643</v>
      </c>
      <c r="Q581" s="4">
        <v>0</v>
      </c>
    </row>
    <row r="582" spans="1:17" x14ac:dyDescent="0.25">
      <c r="A582" s="2" t="s">
        <v>4419</v>
      </c>
      <c r="B582" s="3" t="s">
        <v>5015</v>
      </c>
      <c r="C582" s="3">
        <v>21</v>
      </c>
      <c r="D582" s="46" t="str">
        <f>IF(Tabla1[[#This Row],[EDAD]]&lt;=35,"Adultos jóvenes 18 - 35 años",IF(C582&gt;=36,"Adultos mayores 36 años en adelante"))</f>
        <v>Adultos jóvenes 18 - 35 años</v>
      </c>
      <c r="E582" s="3" t="s">
        <v>5017</v>
      </c>
      <c r="F582" s="3" t="s">
        <v>5028</v>
      </c>
      <c r="G582" s="3" t="s">
        <v>5034</v>
      </c>
      <c r="H582" s="3" t="s">
        <v>9442</v>
      </c>
      <c r="I582" s="17">
        <v>45580</v>
      </c>
      <c r="J582" s="18">
        <f>YEAR(Tabla1[[#This Row],[FECHA DE COMPRA]])</f>
        <v>2024</v>
      </c>
      <c r="K582" s="19">
        <v>88.75</v>
      </c>
      <c r="L582" s="20">
        <v>0</v>
      </c>
      <c r="M582" s="19">
        <f>Tienda!$K1483-Tienda!$K1483*Tienda!$L1483</f>
        <v>87.68</v>
      </c>
      <c r="N582" s="3" t="s">
        <v>10040</v>
      </c>
      <c r="O582" s="3" t="s">
        <v>10041</v>
      </c>
      <c r="P582" s="17">
        <v>45580</v>
      </c>
      <c r="Q582" s="4">
        <v>0</v>
      </c>
    </row>
    <row r="583" spans="1:17" x14ac:dyDescent="0.25">
      <c r="A583" s="2" t="s">
        <v>321</v>
      </c>
      <c r="B583" s="3" t="s">
        <v>5015</v>
      </c>
      <c r="C583" s="3">
        <v>22</v>
      </c>
      <c r="D583" s="46" t="str">
        <f>IF(Tabla1[[#This Row],[EDAD]]&lt;=35,"Adultos jóvenes 18 - 35 años",IF(C583&gt;=36,"Adultos mayores 36 años en adelante"))</f>
        <v>Adultos jóvenes 18 - 35 años</v>
      </c>
      <c r="E583" s="3" t="s">
        <v>5020</v>
      </c>
      <c r="F583" s="3" t="s">
        <v>5026</v>
      </c>
      <c r="G583" s="3" t="s">
        <v>5037</v>
      </c>
      <c r="H583" s="3" t="s">
        <v>5344</v>
      </c>
      <c r="I583" s="17">
        <v>45649</v>
      </c>
      <c r="J583" s="18">
        <f>YEAR(Tabla1[[#This Row],[FECHA DE COMPRA]])</f>
        <v>2024</v>
      </c>
      <c r="K583" s="19">
        <v>98.71</v>
      </c>
      <c r="L583" s="20">
        <v>0.1</v>
      </c>
      <c r="M583" s="19">
        <f>Tienda!$K1486-Tienda!$K1486*Tienda!$L1486</f>
        <v>90.08</v>
      </c>
      <c r="N583" s="3" t="s">
        <v>10040</v>
      </c>
      <c r="O583" s="3" t="s">
        <v>10041</v>
      </c>
      <c r="P583" s="17">
        <v>45294</v>
      </c>
      <c r="Q583" s="4">
        <v>0</v>
      </c>
    </row>
    <row r="584" spans="1:17" x14ac:dyDescent="0.25">
      <c r="A584" s="2" t="s">
        <v>606</v>
      </c>
      <c r="B584" s="3" t="s">
        <v>5015</v>
      </c>
      <c r="C584" s="3">
        <v>18</v>
      </c>
      <c r="D584" s="46" t="str">
        <f>IF(Tabla1[[#This Row],[EDAD]]&lt;=35,"Adultos jóvenes 18 - 35 años",IF(C584&gt;=36,"Adultos mayores 36 años en adelante"))</f>
        <v>Adultos jóvenes 18 - 35 años</v>
      </c>
      <c r="E584" s="3" t="s">
        <v>5018</v>
      </c>
      <c r="F584" s="3" t="s">
        <v>5030</v>
      </c>
      <c r="G584" s="3" t="s">
        <v>5033</v>
      </c>
      <c r="H584" s="3" t="s">
        <v>5629</v>
      </c>
      <c r="I584" s="17">
        <v>45381</v>
      </c>
      <c r="J584" s="18">
        <f>YEAR(Tabla1[[#This Row],[FECHA DE COMPRA]])</f>
        <v>2024</v>
      </c>
      <c r="K584" s="19">
        <v>99.64</v>
      </c>
      <c r="L584" s="20">
        <v>0.1</v>
      </c>
      <c r="M584" s="19">
        <f>Tienda!$K1487-Tienda!$K1487*Tienda!$L1487</f>
        <v>90.216000000000008</v>
      </c>
      <c r="N584" s="3" t="s">
        <v>10040</v>
      </c>
      <c r="O584" s="3" t="s">
        <v>10041</v>
      </c>
      <c r="P584" s="17">
        <v>45381</v>
      </c>
      <c r="Q584" s="4">
        <v>0</v>
      </c>
    </row>
    <row r="585" spans="1:17" x14ac:dyDescent="0.25">
      <c r="A585" s="2" t="s">
        <v>3009</v>
      </c>
      <c r="B585" s="3" t="s">
        <v>5015</v>
      </c>
      <c r="C585" s="3">
        <v>30</v>
      </c>
      <c r="D585" s="46" t="str">
        <f>IF(Tabla1[[#This Row],[EDAD]]&lt;=35,"Adultos jóvenes 18 - 35 años",IF(C585&gt;=36,"Adultos mayores 36 años en adelante"))</f>
        <v>Adultos jóvenes 18 - 35 años</v>
      </c>
      <c r="E585" s="3" t="s">
        <v>5023</v>
      </c>
      <c r="F585" s="3" t="s">
        <v>5029</v>
      </c>
      <c r="G585" s="3" t="s">
        <v>5034</v>
      </c>
      <c r="H585" s="3" t="s">
        <v>8032</v>
      </c>
      <c r="I585" s="17">
        <v>45365</v>
      </c>
      <c r="J585" s="18">
        <f>YEAR(Tabla1[[#This Row],[FECHA DE COMPRA]])</f>
        <v>2024</v>
      </c>
      <c r="K585" s="19">
        <v>112.98</v>
      </c>
      <c r="L585" s="20">
        <v>0.2</v>
      </c>
      <c r="M585" s="19">
        <f>Tienda!$K1489-Tienda!$K1489*Tienda!$L1489</f>
        <v>92.344000000000008</v>
      </c>
      <c r="N585" s="3" t="s">
        <v>10040</v>
      </c>
      <c r="O585" s="3" t="s">
        <v>10041</v>
      </c>
      <c r="P585" s="17">
        <v>45365</v>
      </c>
      <c r="Q585" s="4">
        <v>0</v>
      </c>
    </row>
    <row r="586" spans="1:17" x14ac:dyDescent="0.25">
      <c r="A586" s="2" t="s">
        <v>2616</v>
      </c>
      <c r="B586" s="3" t="s">
        <v>5016</v>
      </c>
      <c r="C586" s="3">
        <v>25</v>
      </c>
      <c r="D586" s="46" t="str">
        <f>IF(Tabla1[[#This Row],[EDAD]]&lt;=35,"Adultos jóvenes 18 - 35 años",IF(C586&gt;=36,"Adultos mayores 36 años en adelante"))</f>
        <v>Adultos jóvenes 18 - 35 años</v>
      </c>
      <c r="E586" s="3" t="s">
        <v>5023</v>
      </c>
      <c r="F586" s="3" t="s">
        <v>5027</v>
      </c>
      <c r="G586" s="3" t="s">
        <v>5033</v>
      </c>
      <c r="H586" s="3" t="s">
        <v>7639</v>
      </c>
      <c r="I586" s="17">
        <v>45619</v>
      </c>
      <c r="J586" s="18">
        <f>YEAR(Tabla1[[#This Row],[FECHA DE COMPRA]])</f>
        <v>2024</v>
      </c>
      <c r="K586" s="19">
        <v>100.97</v>
      </c>
      <c r="L586" s="20">
        <v>0.1</v>
      </c>
      <c r="M586" s="19">
        <f>Tienda!$K1492-Tienda!$K1492*Tienda!$L1492</f>
        <v>93.194999999999993</v>
      </c>
      <c r="N586" s="3" t="s">
        <v>10040</v>
      </c>
      <c r="O586" s="3" t="s">
        <v>10041</v>
      </c>
      <c r="P586" s="17">
        <v>45466</v>
      </c>
      <c r="Q586" s="4">
        <v>0</v>
      </c>
    </row>
    <row r="587" spans="1:17" x14ac:dyDescent="0.25">
      <c r="A587" s="2" t="s">
        <v>1294</v>
      </c>
      <c r="B587" s="3" t="s">
        <v>5015</v>
      </c>
      <c r="C587" s="3">
        <v>35</v>
      </c>
      <c r="D587" s="46" t="str">
        <f>IF(Tabla1[[#This Row],[EDAD]]&lt;=35,"Adultos jóvenes 18 - 35 años",IF(C587&gt;=36,"Adultos mayores 36 años en adelante"))</f>
        <v>Adultos jóvenes 18 - 35 años</v>
      </c>
      <c r="E587" s="3" t="s">
        <v>5020</v>
      </c>
      <c r="F587" s="3" t="s">
        <v>5026</v>
      </c>
      <c r="G587" s="3" t="s">
        <v>5036</v>
      </c>
      <c r="H587" s="3" t="s">
        <v>6317</v>
      </c>
      <c r="I587" s="17">
        <v>45514</v>
      </c>
      <c r="J587" s="18">
        <f>YEAR(Tabla1[[#This Row],[FECHA DE COMPRA]])</f>
        <v>2024</v>
      </c>
      <c r="K587" s="19">
        <v>114.48</v>
      </c>
      <c r="L587" s="20">
        <v>0.2</v>
      </c>
      <c r="M587" s="19">
        <f>Tienda!$K1495-Tienda!$K1495*Tienda!$L1495</f>
        <v>94.12</v>
      </c>
      <c r="N587" s="3" t="s">
        <v>10040</v>
      </c>
      <c r="O587" s="3" t="s">
        <v>10041</v>
      </c>
      <c r="P587" s="17">
        <v>45514</v>
      </c>
      <c r="Q587" s="4">
        <v>0</v>
      </c>
    </row>
    <row r="588" spans="1:17" x14ac:dyDescent="0.25">
      <c r="A588" s="2" t="s">
        <v>1524</v>
      </c>
      <c r="B588" s="3" t="s">
        <v>5016</v>
      </c>
      <c r="C588" s="3">
        <v>20</v>
      </c>
      <c r="D588" s="46" t="str">
        <f>IF(Tabla1[[#This Row],[EDAD]]&lt;=35,"Adultos jóvenes 18 - 35 años",IF(C588&gt;=36,"Adultos mayores 36 años en adelante"))</f>
        <v>Adultos jóvenes 18 - 35 años</v>
      </c>
      <c r="E588" s="3" t="s">
        <v>5021</v>
      </c>
      <c r="F588" s="3" t="s">
        <v>5024</v>
      </c>
      <c r="G588" s="3" t="s">
        <v>5035</v>
      </c>
      <c r="H588" s="3" t="s">
        <v>6547</v>
      </c>
      <c r="I588" s="17">
        <v>45592</v>
      </c>
      <c r="J588" s="18">
        <f>YEAR(Tabla1[[#This Row],[FECHA DE COMPRA]])</f>
        <v>2024</v>
      </c>
      <c r="K588" s="19">
        <v>131.5</v>
      </c>
      <c r="L588" s="20">
        <v>0.3</v>
      </c>
      <c r="M588" s="19">
        <f>Tienda!$K1497-Tienda!$K1497*Tienda!$L1497</f>
        <v>97.502999999999986</v>
      </c>
      <c r="N588" s="3" t="s">
        <v>10040</v>
      </c>
      <c r="O588" s="3" t="s">
        <v>10041</v>
      </c>
      <c r="P588" s="17">
        <v>45592</v>
      </c>
      <c r="Q588" s="4">
        <v>0</v>
      </c>
    </row>
    <row r="589" spans="1:17" x14ac:dyDescent="0.25">
      <c r="A589" s="2" t="s">
        <v>448</v>
      </c>
      <c r="B589" s="3" t="s">
        <v>5015</v>
      </c>
      <c r="C589" s="3">
        <v>32</v>
      </c>
      <c r="D589" s="46" t="str">
        <f>IF(Tabla1[[#This Row],[EDAD]]&lt;=35,"Adultos jóvenes 18 - 35 años",IF(C589&gt;=36,"Adultos mayores 36 años en adelante"))</f>
        <v>Adultos jóvenes 18 - 35 años</v>
      </c>
      <c r="E589" s="3" t="s">
        <v>5017</v>
      </c>
      <c r="F589" s="3" t="s">
        <v>5028</v>
      </c>
      <c r="G589" s="3" t="s">
        <v>5036</v>
      </c>
      <c r="H589" s="3" t="s">
        <v>5471</v>
      </c>
      <c r="I589" s="17">
        <v>45646</v>
      </c>
      <c r="J589" s="18">
        <f>YEAR(Tabla1[[#This Row],[FECHA DE COMPRA]])</f>
        <v>2024</v>
      </c>
      <c r="K589" s="19">
        <v>102.49</v>
      </c>
      <c r="L589" s="20">
        <v>0.1</v>
      </c>
      <c r="M589" s="19">
        <f>Tienda!$K1498-Tienda!$K1498*Tienda!$L1498</f>
        <v>97.766999999999996</v>
      </c>
      <c r="N589" s="3" t="s">
        <v>10040</v>
      </c>
      <c r="O589" s="3" t="s">
        <v>10041</v>
      </c>
      <c r="P589" s="17">
        <v>45646</v>
      </c>
      <c r="Q589" s="4">
        <v>0</v>
      </c>
    </row>
    <row r="590" spans="1:17" x14ac:dyDescent="0.25">
      <c r="A590" s="2" t="s">
        <v>3806</v>
      </c>
      <c r="B590" s="3" t="s">
        <v>5015</v>
      </c>
      <c r="C590" s="3">
        <v>28</v>
      </c>
      <c r="D590" s="46" t="str">
        <f>IF(Tabla1[[#This Row],[EDAD]]&lt;=35,"Adultos jóvenes 18 - 35 años",IF(C590&gt;=36,"Adultos mayores 36 años en adelante"))</f>
        <v>Adultos jóvenes 18 - 35 años</v>
      </c>
      <c r="E590" s="3" t="s">
        <v>5021</v>
      </c>
      <c r="F590" s="3" t="s">
        <v>5028</v>
      </c>
      <c r="G590" s="3" t="s">
        <v>5031</v>
      </c>
      <c r="H590" s="3" t="s">
        <v>8829</v>
      </c>
      <c r="I590" s="17">
        <v>45448</v>
      </c>
      <c r="J590" s="18">
        <f>YEAR(Tabla1[[#This Row],[FECHA DE COMPRA]])</f>
        <v>2024</v>
      </c>
      <c r="K590" s="19">
        <v>132.49</v>
      </c>
      <c r="L590" s="20">
        <v>0.3</v>
      </c>
      <c r="M590" s="19">
        <f>Tienda!$K1502-Tienda!$K1502*Tienda!$L1502</f>
        <v>101.896</v>
      </c>
      <c r="N590" s="3" t="s">
        <v>10040</v>
      </c>
      <c r="O590" s="3" t="s">
        <v>10041</v>
      </c>
      <c r="P590" s="17">
        <v>45448</v>
      </c>
      <c r="Q590" s="4">
        <v>0</v>
      </c>
    </row>
    <row r="591" spans="1:17" x14ac:dyDescent="0.25">
      <c r="A591" s="2" t="s">
        <v>3572</v>
      </c>
      <c r="B591" s="3" t="s">
        <v>5015</v>
      </c>
      <c r="C591" s="3">
        <v>30</v>
      </c>
      <c r="D591" s="46" t="str">
        <f>IF(Tabla1[[#This Row],[EDAD]]&lt;=35,"Adultos jóvenes 18 - 35 años",IF(C591&gt;=36,"Adultos mayores 36 años en adelante"))</f>
        <v>Adultos jóvenes 18 - 35 años</v>
      </c>
      <c r="E591" s="3" t="s">
        <v>5022</v>
      </c>
      <c r="F591" s="3" t="s">
        <v>5029</v>
      </c>
      <c r="G591" s="3" t="s">
        <v>5031</v>
      </c>
      <c r="H591" s="3" t="s">
        <v>8595</v>
      </c>
      <c r="I591" s="17">
        <v>45558</v>
      </c>
      <c r="J591" s="18">
        <f>YEAR(Tabla1[[#This Row],[FECHA DE COMPRA]])</f>
        <v>2024</v>
      </c>
      <c r="K591" s="19">
        <v>134.31</v>
      </c>
      <c r="L591" s="20">
        <v>0.3</v>
      </c>
      <c r="M591" s="19">
        <f>Tienda!$K1507-Tienda!$K1507*Tienda!$L1507</f>
        <v>102.51199999999999</v>
      </c>
      <c r="N591" s="3" t="s">
        <v>10040</v>
      </c>
      <c r="O591" s="3" t="s">
        <v>10041</v>
      </c>
      <c r="P591" s="17">
        <v>45558</v>
      </c>
      <c r="Q591" s="4">
        <v>0</v>
      </c>
    </row>
    <row r="592" spans="1:17" x14ac:dyDescent="0.25">
      <c r="A592" s="2" t="s">
        <v>2041</v>
      </c>
      <c r="B592" s="3" t="s">
        <v>5016</v>
      </c>
      <c r="C592" s="3">
        <v>19</v>
      </c>
      <c r="D592" s="46" t="str">
        <f>IF(Tabla1[[#This Row],[EDAD]]&lt;=35,"Adultos jóvenes 18 - 35 años",IF(C592&gt;=36,"Adultos mayores 36 años en adelante"))</f>
        <v>Adultos jóvenes 18 - 35 años</v>
      </c>
      <c r="E592" s="3" t="s">
        <v>5021</v>
      </c>
      <c r="F592" s="3" t="s">
        <v>5029</v>
      </c>
      <c r="G592" s="3" t="s">
        <v>5036</v>
      </c>
      <c r="H592" s="3" t="s">
        <v>7064</v>
      </c>
      <c r="I592" s="17">
        <v>45574</v>
      </c>
      <c r="J592" s="18">
        <f>YEAR(Tabla1[[#This Row],[FECHA DE COMPRA]])</f>
        <v>2024</v>
      </c>
      <c r="K592" s="19">
        <v>95.25</v>
      </c>
      <c r="L592" s="20">
        <v>0</v>
      </c>
      <c r="M592" s="19">
        <f>Tienda!$K1514-Tienda!$K1514*Tienda!$L1514</f>
        <v>107.11</v>
      </c>
      <c r="N592" s="3" t="s">
        <v>10040</v>
      </c>
      <c r="O592" s="3" t="s">
        <v>10041</v>
      </c>
      <c r="P592" s="17">
        <v>45574</v>
      </c>
      <c r="Q592" s="4">
        <v>0</v>
      </c>
    </row>
    <row r="593" spans="1:17" x14ac:dyDescent="0.25">
      <c r="A593" s="2" t="s">
        <v>2607</v>
      </c>
      <c r="B593" s="3" t="s">
        <v>5015</v>
      </c>
      <c r="C593" s="3">
        <v>20</v>
      </c>
      <c r="D593" s="46" t="str">
        <f>IF(Tabla1[[#This Row],[EDAD]]&lt;=35,"Adultos jóvenes 18 - 35 años",IF(C593&gt;=36,"Adultos mayores 36 años en adelante"))</f>
        <v>Adultos jóvenes 18 - 35 años</v>
      </c>
      <c r="E593" s="3" t="s">
        <v>5023</v>
      </c>
      <c r="F593" s="3" t="s">
        <v>5029</v>
      </c>
      <c r="G593" s="3" t="s">
        <v>5031</v>
      </c>
      <c r="H593" s="3" t="s">
        <v>7630</v>
      </c>
      <c r="I593" s="17">
        <v>45310</v>
      </c>
      <c r="J593" s="18">
        <f>YEAR(Tabla1[[#This Row],[FECHA DE COMPRA]])</f>
        <v>2024</v>
      </c>
      <c r="K593" s="19">
        <v>138.32</v>
      </c>
      <c r="L593" s="20">
        <v>0.3</v>
      </c>
      <c r="M593" s="19">
        <f>Tienda!$K1522-Tienda!$K1522*Tienda!$L1522</f>
        <v>111.852</v>
      </c>
      <c r="N593" s="3" t="s">
        <v>10040</v>
      </c>
      <c r="O593" s="3" t="s">
        <v>10041</v>
      </c>
      <c r="P593" s="17">
        <v>45310</v>
      </c>
      <c r="Q593" s="4">
        <v>0</v>
      </c>
    </row>
    <row r="594" spans="1:17" x14ac:dyDescent="0.25">
      <c r="A594" s="2" t="s">
        <v>800</v>
      </c>
      <c r="B594" s="3" t="s">
        <v>5015</v>
      </c>
      <c r="C594" s="3">
        <v>34</v>
      </c>
      <c r="D594" s="46" t="str">
        <f>IF(Tabla1[[#This Row],[EDAD]]&lt;=35,"Adultos jóvenes 18 - 35 años",IF(C594&gt;=36,"Adultos mayores 36 años en adelante"))</f>
        <v>Adultos jóvenes 18 - 35 años</v>
      </c>
      <c r="E594" s="3" t="s">
        <v>5022</v>
      </c>
      <c r="F594" s="3" t="s">
        <v>5030</v>
      </c>
      <c r="G594" s="3" t="s">
        <v>5035</v>
      </c>
      <c r="H594" s="3" t="s">
        <v>5823</v>
      </c>
      <c r="I594" s="17">
        <v>45649</v>
      </c>
      <c r="J594" s="18">
        <f>YEAR(Tabla1[[#This Row],[FECHA DE COMPRA]])</f>
        <v>2024</v>
      </c>
      <c r="K594" s="19">
        <v>140.72</v>
      </c>
      <c r="L594" s="20">
        <v>0.3</v>
      </c>
      <c r="M594" s="19">
        <f>Tienda!$K1529-Tienda!$K1529*Tienda!$L1529</f>
        <v>113.872</v>
      </c>
      <c r="N594" s="3" t="s">
        <v>10040</v>
      </c>
      <c r="O594" s="3" t="s">
        <v>10041</v>
      </c>
      <c r="P594" s="17">
        <v>45293</v>
      </c>
      <c r="Q594" s="4">
        <v>0</v>
      </c>
    </row>
    <row r="595" spans="1:17" x14ac:dyDescent="0.25">
      <c r="A595" s="2" t="s">
        <v>2134</v>
      </c>
      <c r="B595" s="3" t="s">
        <v>5016</v>
      </c>
      <c r="C595" s="3">
        <v>28</v>
      </c>
      <c r="D595" s="46" t="str">
        <f>IF(Tabla1[[#This Row],[EDAD]]&lt;=35,"Adultos jóvenes 18 - 35 años",IF(C595&gt;=36,"Adultos mayores 36 años en adelante"))</f>
        <v>Adultos jóvenes 18 - 35 años</v>
      </c>
      <c r="E595" s="3" t="s">
        <v>5021</v>
      </c>
      <c r="F595" s="3" t="s">
        <v>5030</v>
      </c>
      <c r="G595" s="3" t="s">
        <v>5032</v>
      </c>
      <c r="H595" s="3" t="s">
        <v>7157</v>
      </c>
      <c r="I595" s="17">
        <v>45624</v>
      </c>
      <c r="J595" s="18">
        <f>YEAR(Tabla1[[#This Row],[FECHA DE COMPRA]])</f>
        <v>2024</v>
      </c>
      <c r="K595" s="19">
        <v>109.87</v>
      </c>
      <c r="L595" s="20">
        <v>0.1</v>
      </c>
      <c r="M595" s="19">
        <f>Tienda!$K1530-Tienda!$K1530*Tienda!$L1530</f>
        <v>114.345</v>
      </c>
      <c r="N595" s="3" t="s">
        <v>10040</v>
      </c>
      <c r="O595" s="3" t="s">
        <v>10041</v>
      </c>
      <c r="P595" s="17">
        <v>45490</v>
      </c>
      <c r="Q595" s="4">
        <v>0</v>
      </c>
    </row>
    <row r="596" spans="1:17" x14ac:dyDescent="0.25">
      <c r="A596" s="2" t="s">
        <v>2835</v>
      </c>
      <c r="B596" s="3" t="s">
        <v>5015</v>
      </c>
      <c r="C596" s="3">
        <v>25</v>
      </c>
      <c r="D596" s="46" t="str">
        <f>IF(Tabla1[[#This Row],[EDAD]]&lt;=35,"Adultos jóvenes 18 - 35 años",IF(C596&gt;=36,"Adultos mayores 36 años en adelante"))</f>
        <v>Adultos jóvenes 18 - 35 años</v>
      </c>
      <c r="E596" s="3" t="s">
        <v>5017</v>
      </c>
      <c r="F596" s="3" t="s">
        <v>5029</v>
      </c>
      <c r="G596" s="3" t="s">
        <v>5032</v>
      </c>
      <c r="H596" s="3" t="s">
        <v>7858</v>
      </c>
      <c r="I596" s="17">
        <v>45559</v>
      </c>
      <c r="J596" s="18">
        <f>YEAR(Tabla1[[#This Row],[FECHA DE COMPRA]])</f>
        <v>2024</v>
      </c>
      <c r="K596" s="19">
        <v>99.05</v>
      </c>
      <c r="L596" s="20">
        <v>0</v>
      </c>
      <c r="M596" s="19">
        <f>Tienda!$K1531-Tienda!$K1531*Tienda!$L1531</f>
        <v>114.646</v>
      </c>
      <c r="N596" s="3" t="s">
        <v>10040</v>
      </c>
      <c r="O596" s="3" t="s">
        <v>10041</v>
      </c>
      <c r="P596" s="17">
        <v>45559</v>
      </c>
      <c r="Q596" s="4">
        <v>0</v>
      </c>
    </row>
    <row r="597" spans="1:17" x14ac:dyDescent="0.25">
      <c r="A597" s="2" t="s">
        <v>4789</v>
      </c>
      <c r="B597" s="3" t="s">
        <v>5015</v>
      </c>
      <c r="C597" s="3">
        <v>35</v>
      </c>
      <c r="D597" s="46" t="str">
        <f>IF(Tabla1[[#This Row],[EDAD]]&lt;=35,"Adultos jóvenes 18 - 35 años",IF(C597&gt;=36,"Adultos mayores 36 años en adelante"))</f>
        <v>Adultos jóvenes 18 - 35 años</v>
      </c>
      <c r="E597" s="3" t="s">
        <v>5018</v>
      </c>
      <c r="F597" s="3" t="s">
        <v>5029</v>
      </c>
      <c r="G597" s="3" t="s">
        <v>5033</v>
      </c>
      <c r="H597" s="3" t="s">
        <v>9812</v>
      </c>
      <c r="I597" s="17">
        <v>45653</v>
      </c>
      <c r="J597" s="18">
        <f>YEAR(Tabla1[[#This Row],[FECHA DE COMPRA]])</f>
        <v>2024</v>
      </c>
      <c r="K597" s="19">
        <v>143.02000000000001</v>
      </c>
      <c r="L597" s="20">
        <v>0.3</v>
      </c>
      <c r="M597" s="19">
        <f>Tienda!$K1536-Tienda!$K1536*Tienda!$L1536</f>
        <v>118.1</v>
      </c>
      <c r="N597" s="3" t="s">
        <v>10040</v>
      </c>
      <c r="O597" s="3" t="s">
        <v>10041</v>
      </c>
      <c r="P597" s="17">
        <v>45653</v>
      </c>
      <c r="Q597" s="4">
        <v>0</v>
      </c>
    </row>
    <row r="598" spans="1:17" x14ac:dyDescent="0.25">
      <c r="A598" s="2" t="s">
        <v>3190</v>
      </c>
      <c r="B598" s="3" t="s">
        <v>5015</v>
      </c>
      <c r="C598" s="3">
        <v>24</v>
      </c>
      <c r="D598" s="46" t="str">
        <f>IF(Tabla1[[#This Row],[EDAD]]&lt;=35,"Adultos jóvenes 18 - 35 años",IF(C598&gt;=36,"Adultos mayores 36 años en adelante"))</f>
        <v>Adultos jóvenes 18 - 35 años</v>
      </c>
      <c r="E598" s="3" t="s">
        <v>5022</v>
      </c>
      <c r="F598" s="3" t="s">
        <v>5027</v>
      </c>
      <c r="G598" s="3" t="s">
        <v>5033</v>
      </c>
      <c r="H598" s="3" t="s">
        <v>8213</v>
      </c>
      <c r="I598" s="17">
        <v>45500</v>
      </c>
      <c r="J598" s="18">
        <f>YEAR(Tabla1[[#This Row],[FECHA DE COMPRA]])</f>
        <v>2024</v>
      </c>
      <c r="K598" s="19">
        <v>101.32</v>
      </c>
      <c r="L598" s="20">
        <v>0</v>
      </c>
      <c r="M598" s="19">
        <f>Tienda!$K1543-Tienda!$K1543*Tienda!$L1543</f>
        <v>124.61</v>
      </c>
      <c r="N598" s="3" t="s">
        <v>10040</v>
      </c>
      <c r="O598" s="3" t="s">
        <v>10041</v>
      </c>
      <c r="P598" s="17">
        <v>45500</v>
      </c>
      <c r="Q598" s="4">
        <v>0</v>
      </c>
    </row>
    <row r="599" spans="1:17" x14ac:dyDescent="0.25">
      <c r="A599" s="2" t="s">
        <v>1144</v>
      </c>
      <c r="B599" s="3" t="s">
        <v>5015</v>
      </c>
      <c r="C599" s="3">
        <v>30</v>
      </c>
      <c r="D599" s="46" t="str">
        <f>IF(Tabla1[[#This Row],[EDAD]]&lt;=35,"Adultos jóvenes 18 - 35 años",IF(C599&gt;=36,"Adultos mayores 36 años en adelante"))</f>
        <v>Adultos jóvenes 18 - 35 años</v>
      </c>
      <c r="E599" s="3" t="s">
        <v>5019</v>
      </c>
      <c r="F599" s="3" t="s">
        <v>5026</v>
      </c>
      <c r="G599" s="3" t="s">
        <v>5035</v>
      </c>
      <c r="H599" s="3" t="s">
        <v>6167</v>
      </c>
      <c r="I599" s="17">
        <v>45577</v>
      </c>
      <c r="J599" s="18">
        <f>YEAR(Tabla1[[#This Row],[FECHA DE COMPRA]])</f>
        <v>2024</v>
      </c>
      <c r="K599" s="19">
        <v>101.72</v>
      </c>
      <c r="L599" s="20">
        <v>0</v>
      </c>
      <c r="M599" s="19">
        <f>Tienda!$K1547-Tienda!$K1547*Tienda!$L1547</f>
        <v>125.96</v>
      </c>
      <c r="N599" s="3" t="s">
        <v>10040</v>
      </c>
      <c r="O599" s="3" t="s">
        <v>10041</v>
      </c>
      <c r="P599" s="17">
        <v>45577</v>
      </c>
      <c r="Q599" s="4">
        <v>0</v>
      </c>
    </row>
    <row r="600" spans="1:17" x14ac:dyDescent="0.25">
      <c r="A600" s="2" t="s">
        <v>3555</v>
      </c>
      <c r="B600" s="3" t="s">
        <v>5015</v>
      </c>
      <c r="C600" s="3">
        <v>27</v>
      </c>
      <c r="D600" s="46" t="str">
        <f>IF(Tabla1[[#This Row],[EDAD]]&lt;=35,"Adultos jóvenes 18 - 35 años",IF(C600&gt;=36,"Adultos mayores 36 años en adelante"))</f>
        <v>Adultos jóvenes 18 - 35 años</v>
      </c>
      <c r="E600" s="3" t="s">
        <v>5019</v>
      </c>
      <c r="F600" s="3" t="s">
        <v>5030</v>
      </c>
      <c r="G600" s="3" t="s">
        <v>5034</v>
      </c>
      <c r="H600" s="3" t="s">
        <v>8578</v>
      </c>
      <c r="I600" s="17">
        <v>45319</v>
      </c>
      <c r="J600" s="18">
        <f>YEAR(Tabla1[[#This Row],[FECHA DE COMPRA]])</f>
        <v>2024</v>
      </c>
      <c r="K600" s="19">
        <v>103.64</v>
      </c>
      <c r="L600" s="20">
        <v>0</v>
      </c>
      <c r="M600" s="19">
        <f>Tienda!$K1555-Tienda!$K1555*Tienda!$L1555</f>
        <v>130.45599999999999</v>
      </c>
      <c r="N600" s="3" t="s">
        <v>10040</v>
      </c>
      <c r="O600" s="3" t="s">
        <v>10041</v>
      </c>
      <c r="P600" s="17">
        <v>45319</v>
      </c>
      <c r="Q600" s="4">
        <v>0</v>
      </c>
    </row>
    <row r="601" spans="1:17" x14ac:dyDescent="0.25">
      <c r="A601" s="2" t="s">
        <v>2062</v>
      </c>
      <c r="B601" s="3" t="s">
        <v>5015</v>
      </c>
      <c r="C601" s="3">
        <v>30</v>
      </c>
      <c r="D601" s="46" t="str">
        <f>IF(Tabla1[[#This Row],[EDAD]]&lt;=35,"Adultos jóvenes 18 - 35 años",IF(C601&gt;=36,"Adultos mayores 36 años en adelante"))</f>
        <v>Adultos jóvenes 18 - 35 años</v>
      </c>
      <c r="E601" s="3" t="s">
        <v>5018</v>
      </c>
      <c r="F601" s="3" t="s">
        <v>5027</v>
      </c>
      <c r="G601" s="3" t="s">
        <v>5035</v>
      </c>
      <c r="H601" s="3" t="s">
        <v>7085</v>
      </c>
      <c r="I601" s="17">
        <v>45504</v>
      </c>
      <c r="J601" s="18">
        <f>YEAR(Tabla1[[#This Row],[FECHA DE COMPRA]])</f>
        <v>2024</v>
      </c>
      <c r="K601" s="19">
        <v>104.15</v>
      </c>
      <c r="L601" s="20">
        <v>0</v>
      </c>
      <c r="M601" s="19">
        <f>Tienda!$K1556-Tienda!$K1556*Tienda!$L1556</f>
        <v>130.99200000000002</v>
      </c>
      <c r="N601" s="3" t="s">
        <v>10040</v>
      </c>
      <c r="O601" s="3" t="s">
        <v>10041</v>
      </c>
      <c r="P601" s="17">
        <v>45504</v>
      </c>
      <c r="Q601" s="4">
        <v>0</v>
      </c>
    </row>
    <row r="602" spans="1:17" x14ac:dyDescent="0.25">
      <c r="A602" s="2" t="s">
        <v>313</v>
      </c>
      <c r="B602" s="3" t="s">
        <v>5015</v>
      </c>
      <c r="C602" s="3">
        <v>34</v>
      </c>
      <c r="D602" s="46" t="str">
        <f>IF(Tabla1[[#This Row],[EDAD]]&lt;=35,"Adultos jóvenes 18 - 35 años",IF(C602&gt;=36,"Adultos mayores 36 años en adelante"))</f>
        <v>Adultos jóvenes 18 - 35 años</v>
      </c>
      <c r="E602" s="3" t="s">
        <v>5023</v>
      </c>
      <c r="F602" s="3" t="s">
        <v>5026</v>
      </c>
      <c r="G602" s="3" t="s">
        <v>5032</v>
      </c>
      <c r="H602" s="3" t="s">
        <v>5336</v>
      </c>
      <c r="I602" s="17">
        <v>45550</v>
      </c>
      <c r="J602" s="18">
        <f>YEAR(Tabla1[[#This Row],[FECHA DE COMPRA]])</f>
        <v>2024</v>
      </c>
      <c r="K602" s="19">
        <v>132.65</v>
      </c>
      <c r="L602" s="20">
        <v>0.2</v>
      </c>
      <c r="M602" s="19">
        <f>Tienda!$K1563-Tienda!$K1563*Tienda!$L1563</f>
        <v>133.85</v>
      </c>
      <c r="N602" s="3" t="s">
        <v>10040</v>
      </c>
      <c r="O602" s="3" t="s">
        <v>10041</v>
      </c>
      <c r="P602" s="17">
        <v>45550</v>
      </c>
      <c r="Q602" s="4">
        <v>0</v>
      </c>
    </row>
    <row r="603" spans="1:17" x14ac:dyDescent="0.25">
      <c r="A603" s="2" t="s">
        <v>3136</v>
      </c>
      <c r="B603" s="3" t="s">
        <v>5015</v>
      </c>
      <c r="C603" s="3">
        <v>35</v>
      </c>
      <c r="D603" s="46" t="str">
        <f>IF(Tabla1[[#This Row],[EDAD]]&lt;=35,"Adultos jóvenes 18 - 35 años",IF(C603&gt;=36,"Adultos mayores 36 años en adelante"))</f>
        <v>Adultos jóvenes 18 - 35 años</v>
      </c>
      <c r="E603" s="3" t="s">
        <v>5022</v>
      </c>
      <c r="F603" s="3" t="s">
        <v>5030</v>
      </c>
      <c r="G603" s="3" t="s">
        <v>5032</v>
      </c>
      <c r="H603" s="3" t="s">
        <v>8159</v>
      </c>
      <c r="I603" s="17">
        <v>45437</v>
      </c>
      <c r="J603" s="18">
        <f>YEAR(Tabla1[[#This Row],[FECHA DE COMPRA]])</f>
        <v>2024</v>
      </c>
      <c r="K603" s="19">
        <v>106.8</v>
      </c>
      <c r="L603" s="20">
        <v>0</v>
      </c>
      <c r="M603" s="19">
        <f>Tienda!$K1567-Tienda!$K1567*Tienda!$L1567</f>
        <v>137.65600000000001</v>
      </c>
      <c r="N603" s="3" t="s">
        <v>10040</v>
      </c>
      <c r="O603" s="3" t="s">
        <v>10041</v>
      </c>
      <c r="P603" s="17">
        <v>45437</v>
      </c>
      <c r="Q603" s="4">
        <v>0</v>
      </c>
    </row>
    <row r="604" spans="1:17" x14ac:dyDescent="0.25">
      <c r="A604" s="2" t="s">
        <v>1379</v>
      </c>
      <c r="B604" s="3" t="s">
        <v>5015</v>
      </c>
      <c r="C604" s="3">
        <v>18</v>
      </c>
      <c r="D604" s="46" t="str">
        <f>IF(Tabla1[[#This Row],[EDAD]]&lt;=35,"Adultos jóvenes 18 - 35 años",IF(C604&gt;=36,"Adultos mayores 36 años en adelante"))</f>
        <v>Adultos jóvenes 18 - 35 años</v>
      </c>
      <c r="E604" s="3" t="s">
        <v>5023</v>
      </c>
      <c r="F604" s="3" t="s">
        <v>5029</v>
      </c>
      <c r="G604" s="3" t="s">
        <v>5037</v>
      </c>
      <c r="H604" s="3" t="s">
        <v>6402</v>
      </c>
      <c r="I604" s="17">
        <v>45329</v>
      </c>
      <c r="J604" s="18">
        <f>YEAR(Tabla1[[#This Row],[FECHA DE COMPRA]])</f>
        <v>2024</v>
      </c>
      <c r="K604" s="19">
        <v>152.91</v>
      </c>
      <c r="L604" s="20">
        <v>0.3</v>
      </c>
      <c r="M604" s="19">
        <f>Tienda!$K1568-Tienda!$K1568*Tienda!$L1568</f>
        <v>138.31200000000001</v>
      </c>
      <c r="N604" s="3" t="s">
        <v>10040</v>
      </c>
      <c r="O604" s="3" t="s">
        <v>10041</v>
      </c>
      <c r="P604" s="17">
        <v>45329</v>
      </c>
      <c r="Q604" s="4">
        <v>0</v>
      </c>
    </row>
    <row r="605" spans="1:17" x14ac:dyDescent="0.25">
      <c r="A605" s="2" t="s">
        <v>687</v>
      </c>
      <c r="B605" s="3" t="s">
        <v>5015</v>
      </c>
      <c r="C605" s="3">
        <v>32</v>
      </c>
      <c r="D605" s="46" t="str">
        <f>IF(Tabla1[[#This Row],[EDAD]]&lt;=35,"Adultos jóvenes 18 - 35 años",IF(C605&gt;=36,"Adultos mayores 36 años en adelante"))</f>
        <v>Adultos jóvenes 18 - 35 años</v>
      </c>
      <c r="E605" s="3" t="s">
        <v>5017</v>
      </c>
      <c r="F605" s="3" t="s">
        <v>5024</v>
      </c>
      <c r="G605" s="3" t="s">
        <v>5036</v>
      </c>
      <c r="H605" s="3" t="s">
        <v>5710</v>
      </c>
      <c r="I605" s="17">
        <v>45308</v>
      </c>
      <c r="J605" s="18">
        <f>YEAR(Tabla1[[#This Row],[FECHA DE COMPRA]])</f>
        <v>2024</v>
      </c>
      <c r="K605" s="19">
        <v>154.66999999999999</v>
      </c>
      <c r="L605" s="20">
        <v>0.3</v>
      </c>
      <c r="M605" s="19">
        <f>Tienda!$K1574-Tienda!$K1574*Tienda!$L1574</f>
        <v>140.80499999999998</v>
      </c>
      <c r="N605" s="3" t="s">
        <v>10040</v>
      </c>
      <c r="O605" s="3" t="s">
        <v>10041</v>
      </c>
      <c r="P605" s="17">
        <v>45308</v>
      </c>
      <c r="Q605" s="4">
        <v>0</v>
      </c>
    </row>
    <row r="606" spans="1:17" x14ac:dyDescent="0.25">
      <c r="A606" s="2" t="s">
        <v>1227</v>
      </c>
      <c r="B606" s="3" t="s">
        <v>5015</v>
      </c>
      <c r="C606" s="3">
        <v>20</v>
      </c>
      <c r="D606" s="46" t="str">
        <f>IF(Tabla1[[#This Row],[EDAD]]&lt;=35,"Adultos jóvenes 18 - 35 años",IF(C606&gt;=36,"Adultos mayores 36 años en adelante"))</f>
        <v>Adultos jóvenes 18 - 35 años</v>
      </c>
      <c r="E606" s="3" t="s">
        <v>5023</v>
      </c>
      <c r="F606" s="3" t="s">
        <v>5027</v>
      </c>
      <c r="G606" s="3" t="s">
        <v>5034</v>
      </c>
      <c r="H606" s="3" t="s">
        <v>6250</v>
      </c>
      <c r="I606" s="17">
        <v>45336</v>
      </c>
      <c r="J606" s="18">
        <f>YEAR(Tabla1[[#This Row],[FECHA DE COMPRA]])</f>
        <v>2024</v>
      </c>
      <c r="K606" s="19">
        <v>120.41</v>
      </c>
      <c r="L606" s="20">
        <v>0.1</v>
      </c>
      <c r="M606" s="19">
        <f>Tienda!$K1575-Tienda!$K1575*Tienda!$L1575</f>
        <v>141.63999999999999</v>
      </c>
      <c r="N606" s="3" t="s">
        <v>10040</v>
      </c>
      <c r="O606" s="3" t="s">
        <v>10041</v>
      </c>
      <c r="P606" s="17">
        <v>45336</v>
      </c>
      <c r="Q606" s="4">
        <v>0</v>
      </c>
    </row>
    <row r="607" spans="1:17" x14ac:dyDescent="0.25">
      <c r="A607" s="2" t="s">
        <v>1895</v>
      </c>
      <c r="B607" s="3" t="s">
        <v>5015</v>
      </c>
      <c r="C607" s="3">
        <v>23</v>
      </c>
      <c r="D607" s="46" t="str">
        <f>IF(Tabla1[[#This Row],[EDAD]]&lt;=35,"Adultos jóvenes 18 - 35 años",IF(C607&gt;=36,"Adultos mayores 36 años en adelante"))</f>
        <v>Adultos jóvenes 18 - 35 años</v>
      </c>
      <c r="E607" s="3" t="s">
        <v>5022</v>
      </c>
      <c r="F607" s="3" t="s">
        <v>5026</v>
      </c>
      <c r="G607" s="3" t="s">
        <v>5031</v>
      </c>
      <c r="H607" s="3" t="s">
        <v>6918</v>
      </c>
      <c r="I607" s="17">
        <v>45530</v>
      </c>
      <c r="J607" s="18">
        <f>YEAR(Tabla1[[#This Row],[FECHA DE COMPRA]])</f>
        <v>2024</v>
      </c>
      <c r="K607" s="19">
        <v>108.55</v>
      </c>
      <c r="L607" s="20">
        <v>0</v>
      </c>
      <c r="M607" s="19">
        <f>Tienda!$K1577-Tienda!$K1577*Tienda!$L1577</f>
        <v>142.84800000000001</v>
      </c>
      <c r="N607" s="3" t="s">
        <v>10040</v>
      </c>
      <c r="O607" s="3" t="s">
        <v>10041</v>
      </c>
      <c r="P607" s="17">
        <v>45530</v>
      </c>
      <c r="Q607" s="4">
        <v>0</v>
      </c>
    </row>
    <row r="608" spans="1:17" x14ac:dyDescent="0.25">
      <c r="A608" s="2" t="s">
        <v>4206</v>
      </c>
      <c r="B608" s="3" t="s">
        <v>5015</v>
      </c>
      <c r="C608" s="3">
        <v>28</v>
      </c>
      <c r="D608" s="46" t="str">
        <f>IF(Tabla1[[#This Row],[EDAD]]&lt;=35,"Adultos jóvenes 18 - 35 años",IF(C608&gt;=36,"Adultos mayores 36 años en adelante"))</f>
        <v>Adultos jóvenes 18 - 35 años</v>
      </c>
      <c r="E608" s="3" t="s">
        <v>5021</v>
      </c>
      <c r="F608" s="3" t="s">
        <v>5028</v>
      </c>
      <c r="G608" s="3" t="s">
        <v>5032</v>
      </c>
      <c r="H608" s="3" t="s">
        <v>9229</v>
      </c>
      <c r="I608" s="17">
        <v>45467</v>
      </c>
      <c r="J608" s="18">
        <f>YEAR(Tabla1[[#This Row],[FECHA DE COMPRA]])</f>
        <v>2024</v>
      </c>
      <c r="K608" s="19">
        <v>110.38</v>
      </c>
      <c r="L608" s="20">
        <v>0</v>
      </c>
      <c r="M608" s="19">
        <f>Tienda!$K1587-Tienda!$K1587*Tienda!$L1587</f>
        <v>149.69999999999999</v>
      </c>
      <c r="N608" s="3" t="s">
        <v>10040</v>
      </c>
      <c r="O608" s="3" t="s">
        <v>10041</v>
      </c>
      <c r="P608" s="17">
        <v>45467</v>
      </c>
      <c r="Q608" s="4">
        <v>0</v>
      </c>
    </row>
    <row r="609" spans="1:17" x14ac:dyDescent="0.25">
      <c r="A609" s="2" t="s">
        <v>3148</v>
      </c>
      <c r="B609" s="3" t="s">
        <v>5016</v>
      </c>
      <c r="C609" s="3">
        <v>23</v>
      </c>
      <c r="D609" s="46" t="str">
        <f>IF(Tabla1[[#This Row],[EDAD]]&lt;=35,"Adultos jóvenes 18 - 35 años",IF(C609&gt;=36,"Adultos mayores 36 años en adelante"))</f>
        <v>Adultos jóvenes 18 - 35 años</v>
      </c>
      <c r="E609" s="3" t="s">
        <v>5017</v>
      </c>
      <c r="F609" s="3" t="s">
        <v>5029</v>
      </c>
      <c r="G609" s="3" t="s">
        <v>5033</v>
      </c>
      <c r="H609" s="3" t="s">
        <v>8171</v>
      </c>
      <c r="I609" s="17">
        <v>45410</v>
      </c>
      <c r="J609" s="18">
        <f>YEAR(Tabla1[[#This Row],[FECHA DE COMPRA]])</f>
        <v>2024</v>
      </c>
      <c r="K609" s="19">
        <v>158.52000000000001</v>
      </c>
      <c r="L609" s="20">
        <v>0.3</v>
      </c>
      <c r="M609" s="19">
        <f>Tienda!$K1590-Tienda!$K1590*Tienda!$L1590</f>
        <v>152.88800000000001</v>
      </c>
      <c r="N609" s="3" t="s">
        <v>10040</v>
      </c>
      <c r="O609" s="3" t="s">
        <v>10041</v>
      </c>
      <c r="P609" s="17">
        <v>45410</v>
      </c>
      <c r="Q609" s="4">
        <v>0</v>
      </c>
    </row>
    <row r="610" spans="1:17" x14ac:dyDescent="0.25">
      <c r="A610" s="2" t="s">
        <v>201</v>
      </c>
      <c r="B610" s="3" t="s">
        <v>5015</v>
      </c>
      <c r="C610" s="3">
        <v>33</v>
      </c>
      <c r="D610" s="46" t="str">
        <f>IF(Tabla1[[#This Row],[EDAD]]&lt;=35,"Adultos jóvenes 18 - 35 años",IF(C610&gt;=36,"Adultos mayores 36 años en adelante"))</f>
        <v>Adultos jóvenes 18 - 35 años</v>
      </c>
      <c r="E610" s="3" t="s">
        <v>5020</v>
      </c>
      <c r="F610" s="3" t="s">
        <v>5024</v>
      </c>
      <c r="G610" s="3" t="s">
        <v>5037</v>
      </c>
      <c r="H610" s="3" t="s">
        <v>5224</v>
      </c>
      <c r="I610" s="17">
        <v>45358</v>
      </c>
      <c r="J610" s="18">
        <f>YEAR(Tabla1[[#This Row],[FECHA DE COMPRA]])</f>
        <v>2024</v>
      </c>
      <c r="K610" s="19">
        <v>110.97</v>
      </c>
      <c r="L610" s="20">
        <v>0</v>
      </c>
      <c r="M610" s="19">
        <f>Tienda!$K1591-Tienda!$K1591*Tienda!$L1591</f>
        <v>154.36799999999999</v>
      </c>
      <c r="N610" s="3" t="s">
        <v>10040</v>
      </c>
      <c r="O610" s="3" t="s">
        <v>10041</v>
      </c>
      <c r="P610" s="17">
        <v>45358</v>
      </c>
      <c r="Q610" s="4">
        <v>0</v>
      </c>
    </row>
    <row r="611" spans="1:17" x14ac:dyDescent="0.25">
      <c r="A611" s="2" t="s">
        <v>1335</v>
      </c>
      <c r="B611" s="3" t="s">
        <v>5015</v>
      </c>
      <c r="C611" s="3">
        <v>33</v>
      </c>
      <c r="D611" s="46" t="str">
        <f>IF(Tabla1[[#This Row],[EDAD]]&lt;=35,"Adultos jóvenes 18 - 35 años",IF(C611&gt;=36,"Adultos mayores 36 años en adelante"))</f>
        <v>Adultos jóvenes 18 - 35 años</v>
      </c>
      <c r="E611" s="3" t="s">
        <v>5020</v>
      </c>
      <c r="F611" s="3" t="s">
        <v>5028</v>
      </c>
      <c r="G611" s="3" t="s">
        <v>5034</v>
      </c>
      <c r="H611" s="3" t="s">
        <v>6358</v>
      </c>
      <c r="I611" s="17">
        <v>45624</v>
      </c>
      <c r="J611" s="18">
        <f>YEAR(Tabla1[[#This Row],[FECHA DE COMPRA]])</f>
        <v>2024</v>
      </c>
      <c r="K611" s="19">
        <v>113.78</v>
      </c>
      <c r="L611" s="20">
        <v>0</v>
      </c>
      <c r="M611" s="19">
        <f>Tienda!$K1599-Tienda!$K1599*Tienda!$L1599</f>
        <v>159.904</v>
      </c>
      <c r="N611" s="3" t="s">
        <v>10040</v>
      </c>
      <c r="O611" s="3" t="s">
        <v>10041</v>
      </c>
      <c r="P611" s="17">
        <v>45400</v>
      </c>
      <c r="Q611" s="4">
        <v>0</v>
      </c>
    </row>
    <row r="612" spans="1:17" x14ac:dyDescent="0.25">
      <c r="A612" s="2" t="s">
        <v>883</v>
      </c>
      <c r="B612" s="3" t="s">
        <v>5016</v>
      </c>
      <c r="C612" s="3">
        <v>34</v>
      </c>
      <c r="D612" s="46" t="str">
        <f>IF(Tabla1[[#This Row],[EDAD]]&lt;=35,"Adultos jóvenes 18 - 35 años",IF(C612&gt;=36,"Adultos mayores 36 años en adelante"))</f>
        <v>Adultos jóvenes 18 - 35 años</v>
      </c>
      <c r="E612" s="3" t="s">
        <v>5019</v>
      </c>
      <c r="F612" s="3" t="s">
        <v>5027</v>
      </c>
      <c r="G612" s="3" t="s">
        <v>5031</v>
      </c>
      <c r="H612" s="3" t="s">
        <v>5906</v>
      </c>
      <c r="I612" s="17">
        <v>45654</v>
      </c>
      <c r="J612" s="18">
        <f>YEAR(Tabla1[[#This Row],[FECHA DE COMPRA]])</f>
        <v>2024</v>
      </c>
      <c r="K612" s="19">
        <v>142.27000000000001</v>
      </c>
      <c r="L612" s="20">
        <v>0.2</v>
      </c>
      <c r="M612" s="19">
        <f>Tienda!$K1600-Tienda!$K1600*Tienda!$L1600</f>
        <v>160.13999999999999</v>
      </c>
      <c r="N612" s="3" t="s">
        <v>10040</v>
      </c>
      <c r="O612" s="3" t="s">
        <v>10041</v>
      </c>
      <c r="P612" s="17">
        <v>45654</v>
      </c>
      <c r="Q612" s="4">
        <v>0</v>
      </c>
    </row>
    <row r="613" spans="1:17" x14ac:dyDescent="0.25">
      <c r="A613" s="2" t="s">
        <v>2037</v>
      </c>
      <c r="B613" s="3" t="s">
        <v>5015</v>
      </c>
      <c r="C613" s="3">
        <v>19</v>
      </c>
      <c r="D613" s="46" t="str">
        <f>IF(Tabla1[[#This Row],[EDAD]]&lt;=35,"Adultos jóvenes 18 - 35 años",IF(C613&gt;=36,"Adultos mayores 36 años en adelante"))</f>
        <v>Adultos jóvenes 18 - 35 años</v>
      </c>
      <c r="E613" s="3" t="s">
        <v>5019</v>
      </c>
      <c r="F613" s="3" t="s">
        <v>5029</v>
      </c>
      <c r="G613" s="3" t="s">
        <v>5034</v>
      </c>
      <c r="H613" s="3" t="s">
        <v>7060</v>
      </c>
      <c r="I613" s="17">
        <v>45320</v>
      </c>
      <c r="J613" s="18">
        <f>YEAR(Tabla1[[#This Row],[FECHA DE COMPRA]])</f>
        <v>2024</v>
      </c>
      <c r="K613" s="19">
        <v>164.84</v>
      </c>
      <c r="L613" s="20">
        <v>0.3</v>
      </c>
      <c r="M613" s="19">
        <f>Tienda!$K1608-Tienda!$K1608*Tienda!$L1608</f>
        <v>168.47</v>
      </c>
      <c r="N613" s="3" t="s">
        <v>10040</v>
      </c>
      <c r="O613" s="3" t="s">
        <v>10041</v>
      </c>
      <c r="P613" s="17">
        <v>45320</v>
      </c>
      <c r="Q613" s="4">
        <v>0</v>
      </c>
    </row>
    <row r="614" spans="1:17" x14ac:dyDescent="0.25">
      <c r="A614" s="2" t="s">
        <v>1593</v>
      </c>
      <c r="B614" s="3" t="s">
        <v>5015</v>
      </c>
      <c r="C614" s="3">
        <v>21</v>
      </c>
      <c r="D614" s="46" t="str">
        <f>IF(Tabla1[[#This Row],[EDAD]]&lt;=35,"Adultos jóvenes 18 - 35 años",IF(C614&gt;=36,"Adultos mayores 36 años en adelante"))</f>
        <v>Adultos jóvenes 18 - 35 años</v>
      </c>
      <c r="E614" s="3" t="s">
        <v>5023</v>
      </c>
      <c r="F614" s="3" t="s">
        <v>5025</v>
      </c>
      <c r="G614" s="3" t="s">
        <v>5036</v>
      </c>
      <c r="H614" s="3" t="s">
        <v>6616</v>
      </c>
      <c r="I614" s="17">
        <v>45517</v>
      </c>
      <c r="J614" s="18">
        <f>YEAR(Tabla1[[#This Row],[FECHA DE COMPRA]])</f>
        <v>2024</v>
      </c>
      <c r="K614" s="19">
        <v>165.34</v>
      </c>
      <c r="L614" s="20">
        <v>0.3</v>
      </c>
      <c r="M614" s="19">
        <f>Tienda!$K1611-Tienda!$K1611*Tienda!$L1611</f>
        <v>170.54</v>
      </c>
      <c r="N614" s="3" t="s">
        <v>10040</v>
      </c>
      <c r="O614" s="3" t="s">
        <v>10041</v>
      </c>
      <c r="P614" s="17">
        <v>45517</v>
      </c>
      <c r="Q614" s="4">
        <v>0</v>
      </c>
    </row>
    <row r="615" spans="1:17" x14ac:dyDescent="0.25">
      <c r="A615" s="2" t="s">
        <v>4950</v>
      </c>
      <c r="B615" s="3" t="s">
        <v>5016</v>
      </c>
      <c r="C615" s="3">
        <v>29</v>
      </c>
      <c r="D615" s="46" t="str">
        <f>IF(Tabla1[[#This Row],[EDAD]]&lt;=35,"Adultos jóvenes 18 - 35 años",IF(C615&gt;=36,"Adultos mayores 36 años en adelante"))</f>
        <v>Adultos jóvenes 18 - 35 años</v>
      </c>
      <c r="E615" s="3" t="s">
        <v>5017</v>
      </c>
      <c r="F615" s="3" t="s">
        <v>5030</v>
      </c>
      <c r="G615" s="3" t="s">
        <v>5036</v>
      </c>
      <c r="H615" s="3" t="s">
        <v>9973</v>
      </c>
      <c r="I615" s="17">
        <v>45624</v>
      </c>
      <c r="J615" s="18">
        <f>YEAR(Tabla1[[#This Row],[FECHA DE COMPRA]])</f>
        <v>2024</v>
      </c>
      <c r="K615" s="19">
        <v>165.72</v>
      </c>
      <c r="L615" s="20">
        <v>0.3</v>
      </c>
      <c r="M615" s="19">
        <f>Tienda!$K1612-Tienda!$K1612*Tienda!$L1612</f>
        <v>173.41</v>
      </c>
      <c r="N615" s="3" t="s">
        <v>10040</v>
      </c>
      <c r="O615" s="3" t="s">
        <v>10041</v>
      </c>
      <c r="P615" s="17">
        <v>45497</v>
      </c>
      <c r="Q615" s="4">
        <v>0</v>
      </c>
    </row>
    <row r="616" spans="1:17" x14ac:dyDescent="0.25">
      <c r="A616" s="2" t="s">
        <v>1649</v>
      </c>
      <c r="B616" s="3" t="s">
        <v>5015</v>
      </c>
      <c r="C616" s="3">
        <v>34</v>
      </c>
      <c r="D616" s="46" t="str">
        <f>IF(Tabla1[[#This Row],[EDAD]]&lt;=35,"Adultos jóvenes 18 - 35 años",IF(C616&gt;=36,"Adultos mayores 36 años en adelante"))</f>
        <v>Adultos jóvenes 18 - 35 años</v>
      </c>
      <c r="E616" s="3" t="s">
        <v>5020</v>
      </c>
      <c r="F616" s="3" t="s">
        <v>5026</v>
      </c>
      <c r="G616" s="3" t="s">
        <v>5031</v>
      </c>
      <c r="H616" s="3" t="s">
        <v>6672</v>
      </c>
      <c r="I616" s="17">
        <v>45555</v>
      </c>
      <c r="J616" s="18">
        <f>YEAR(Tabla1[[#This Row],[FECHA DE COMPRA]])</f>
        <v>2024</v>
      </c>
      <c r="K616" s="19">
        <v>128.94</v>
      </c>
      <c r="L616" s="20">
        <v>0.1</v>
      </c>
      <c r="M616" s="19">
        <f>Tienda!$K1613-Tienda!$K1613*Tienda!$L1613</f>
        <v>173.44800000000001</v>
      </c>
      <c r="N616" s="3" t="s">
        <v>10040</v>
      </c>
      <c r="O616" s="3" t="s">
        <v>10041</v>
      </c>
      <c r="P616" s="17">
        <v>45555</v>
      </c>
      <c r="Q616" s="4">
        <v>0</v>
      </c>
    </row>
    <row r="617" spans="1:17" x14ac:dyDescent="0.25">
      <c r="A617" s="2" t="s">
        <v>351</v>
      </c>
      <c r="B617" s="3" t="s">
        <v>5016</v>
      </c>
      <c r="C617" s="3">
        <v>23</v>
      </c>
      <c r="D617" s="46" t="str">
        <f>IF(Tabla1[[#This Row],[EDAD]]&lt;=35,"Adultos jóvenes 18 - 35 años",IF(C617&gt;=36,"Adultos mayores 36 años en adelante"))</f>
        <v>Adultos jóvenes 18 - 35 años</v>
      </c>
      <c r="E617" s="3" t="s">
        <v>5019</v>
      </c>
      <c r="F617" s="3" t="s">
        <v>5025</v>
      </c>
      <c r="G617" s="3" t="s">
        <v>5035</v>
      </c>
      <c r="H617" s="3" t="s">
        <v>5374</v>
      </c>
      <c r="I617" s="17">
        <v>45374</v>
      </c>
      <c r="J617" s="18">
        <f>YEAR(Tabla1[[#This Row],[FECHA DE COMPRA]])</f>
        <v>2024</v>
      </c>
      <c r="K617" s="19">
        <v>145.21</v>
      </c>
      <c r="L617" s="20">
        <v>0.2</v>
      </c>
      <c r="M617" s="19">
        <f>Tienda!$K1615-Tienda!$K1615*Tienda!$L1615</f>
        <v>176.62</v>
      </c>
      <c r="N617" s="3" t="s">
        <v>10040</v>
      </c>
      <c r="O617" s="3" t="s">
        <v>10041</v>
      </c>
      <c r="P617" s="17">
        <v>45374</v>
      </c>
      <c r="Q617" s="4">
        <v>0</v>
      </c>
    </row>
    <row r="618" spans="1:17" x14ac:dyDescent="0.25">
      <c r="A618" s="2" t="s">
        <v>1851</v>
      </c>
      <c r="B618" s="3" t="s">
        <v>5015</v>
      </c>
      <c r="C618" s="3">
        <v>21</v>
      </c>
      <c r="D618" s="46" t="str">
        <f>IF(Tabla1[[#This Row],[EDAD]]&lt;=35,"Adultos jóvenes 18 - 35 años",IF(C618&gt;=36,"Adultos mayores 36 años en adelante"))</f>
        <v>Adultos jóvenes 18 - 35 años</v>
      </c>
      <c r="E618" s="3" t="s">
        <v>5018</v>
      </c>
      <c r="F618" s="3" t="s">
        <v>5027</v>
      </c>
      <c r="G618" s="3" t="s">
        <v>5031</v>
      </c>
      <c r="H618" s="3" t="s">
        <v>6874</v>
      </c>
      <c r="I618" s="17">
        <v>45437</v>
      </c>
      <c r="J618" s="18">
        <f>YEAR(Tabla1[[#This Row],[FECHA DE COMPRA]])</f>
        <v>2024</v>
      </c>
      <c r="K618" s="19">
        <v>166.08</v>
      </c>
      <c r="L618" s="20">
        <v>0.3</v>
      </c>
      <c r="M618" s="19">
        <f>Tienda!$K1616-Tienda!$K1616*Tienda!$L1616</f>
        <v>177.96</v>
      </c>
      <c r="N618" s="3" t="s">
        <v>10040</v>
      </c>
      <c r="O618" s="3" t="s">
        <v>10041</v>
      </c>
      <c r="P618" s="17">
        <v>45437</v>
      </c>
      <c r="Q618" s="4">
        <v>0</v>
      </c>
    </row>
    <row r="619" spans="1:17" x14ac:dyDescent="0.25">
      <c r="A619" s="2" t="s">
        <v>4324</v>
      </c>
      <c r="B619" s="3" t="s">
        <v>5015</v>
      </c>
      <c r="C619" s="3">
        <v>32</v>
      </c>
      <c r="D619" s="46" t="str">
        <f>IF(Tabla1[[#This Row],[EDAD]]&lt;=35,"Adultos jóvenes 18 - 35 años",IF(C619&gt;=36,"Adultos mayores 36 años en adelante"))</f>
        <v>Adultos jóvenes 18 - 35 años</v>
      </c>
      <c r="E619" s="3" t="s">
        <v>5020</v>
      </c>
      <c r="F619" s="3" t="s">
        <v>5030</v>
      </c>
      <c r="G619" s="3" t="s">
        <v>5037</v>
      </c>
      <c r="H619" s="3" t="s">
        <v>9347</v>
      </c>
      <c r="I619" s="17">
        <v>45311</v>
      </c>
      <c r="J619" s="18">
        <f>YEAR(Tabla1[[#This Row],[FECHA DE COMPRA]])</f>
        <v>2024</v>
      </c>
      <c r="K619" s="19">
        <v>145.41999999999999</v>
      </c>
      <c r="L619" s="20">
        <v>0.2</v>
      </c>
      <c r="M619" s="19">
        <f>Tienda!$K1617-Tienda!$K1617*Tienda!$L1617</f>
        <v>181.04</v>
      </c>
      <c r="N619" s="3" t="s">
        <v>10040</v>
      </c>
      <c r="O619" s="3" t="s">
        <v>10041</v>
      </c>
      <c r="P619" s="17">
        <v>45311</v>
      </c>
      <c r="Q619" s="4">
        <v>0</v>
      </c>
    </row>
    <row r="620" spans="1:17" x14ac:dyDescent="0.25">
      <c r="A620" s="2" t="s">
        <v>4127</v>
      </c>
      <c r="B620" s="3" t="s">
        <v>5015</v>
      </c>
      <c r="C620" s="3">
        <v>29</v>
      </c>
      <c r="D620" s="46" t="str">
        <f>IF(Tabla1[[#This Row],[EDAD]]&lt;=35,"Adultos jóvenes 18 - 35 años",IF(C620&gt;=36,"Adultos mayores 36 años en adelante"))</f>
        <v>Adultos jóvenes 18 - 35 años</v>
      </c>
      <c r="E620" s="3" t="s">
        <v>5020</v>
      </c>
      <c r="F620" s="3" t="s">
        <v>5024</v>
      </c>
      <c r="G620" s="3" t="s">
        <v>5034</v>
      </c>
      <c r="H620" s="3" t="s">
        <v>9150</v>
      </c>
      <c r="I620" s="17">
        <v>45413</v>
      </c>
      <c r="J620" s="18">
        <f>YEAR(Tabla1[[#This Row],[FECHA DE COMPRA]])</f>
        <v>2024</v>
      </c>
      <c r="K620" s="19">
        <v>131</v>
      </c>
      <c r="L620" s="20">
        <v>0.1</v>
      </c>
      <c r="M620" s="19">
        <f>Tienda!$K1626-Tienda!$K1626*Tienda!$L1626</f>
        <v>41.28</v>
      </c>
      <c r="N620" s="3" t="s">
        <v>10040</v>
      </c>
      <c r="O620" s="3" t="s">
        <v>10041</v>
      </c>
      <c r="P620" s="17">
        <v>45413</v>
      </c>
      <c r="Q620" s="4">
        <v>0</v>
      </c>
    </row>
    <row r="621" spans="1:17" x14ac:dyDescent="0.25">
      <c r="A621" s="2" t="s">
        <v>2109</v>
      </c>
      <c r="B621" s="3" t="s">
        <v>5015</v>
      </c>
      <c r="C621" s="3">
        <v>35</v>
      </c>
      <c r="D621" s="46" t="str">
        <f>IF(Tabla1[[#This Row],[EDAD]]&lt;=35,"Adultos jóvenes 18 - 35 años",IF(C621&gt;=36,"Adultos mayores 36 años en adelante"))</f>
        <v>Adultos jóvenes 18 - 35 años</v>
      </c>
      <c r="E621" s="3" t="s">
        <v>5020</v>
      </c>
      <c r="F621" s="3" t="s">
        <v>5028</v>
      </c>
      <c r="G621" s="3" t="s">
        <v>5033</v>
      </c>
      <c r="H621" s="3" t="s">
        <v>7132</v>
      </c>
      <c r="I621" s="17">
        <v>45582</v>
      </c>
      <c r="J621" s="18">
        <f>YEAR(Tabla1[[#This Row],[FECHA DE COMPRA]])</f>
        <v>2024</v>
      </c>
      <c r="K621" s="19">
        <v>148.78</v>
      </c>
      <c r="L621" s="20">
        <v>0.2</v>
      </c>
      <c r="M621" s="19">
        <f>Tienda!$K1630-Tienda!$K1630*Tienda!$L1630</f>
        <v>47.067999999999998</v>
      </c>
      <c r="N621" s="3" t="s">
        <v>10040</v>
      </c>
      <c r="O621" s="3" t="s">
        <v>10041</v>
      </c>
      <c r="P621" s="17">
        <v>45582</v>
      </c>
      <c r="Q621" s="4">
        <v>0</v>
      </c>
    </row>
    <row r="622" spans="1:17" x14ac:dyDescent="0.25">
      <c r="A622" s="2" t="s">
        <v>4708</v>
      </c>
      <c r="B622" s="3" t="s">
        <v>5015</v>
      </c>
      <c r="C622" s="3">
        <v>27</v>
      </c>
      <c r="D622" s="46" t="str">
        <f>IF(Tabla1[[#This Row],[EDAD]]&lt;=35,"Adultos jóvenes 18 - 35 años",IF(C622&gt;=36,"Adultos mayores 36 años en adelante"))</f>
        <v>Adultos jóvenes 18 - 35 años</v>
      </c>
      <c r="E622" s="3" t="s">
        <v>5020</v>
      </c>
      <c r="F622" s="3" t="s">
        <v>5024</v>
      </c>
      <c r="G622" s="3" t="s">
        <v>5031</v>
      </c>
      <c r="H622" s="3" t="s">
        <v>9731</v>
      </c>
      <c r="I622" s="17">
        <v>45492</v>
      </c>
      <c r="J622" s="18">
        <f>YEAR(Tabla1[[#This Row],[FECHA DE COMPRA]])</f>
        <v>2024</v>
      </c>
      <c r="K622" s="19">
        <v>119.98</v>
      </c>
      <c r="L622" s="20">
        <v>0</v>
      </c>
      <c r="M622" s="19">
        <f>Tienda!$K1635-Tienda!$K1635*Tienda!$L1635</f>
        <v>127.036</v>
      </c>
      <c r="N622" s="3" t="s">
        <v>10040</v>
      </c>
      <c r="O622" s="3" t="s">
        <v>10041</v>
      </c>
      <c r="P622" s="17">
        <v>45492</v>
      </c>
      <c r="Q622" s="4">
        <v>0</v>
      </c>
    </row>
    <row r="623" spans="1:17" x14ac:dyDescent="0.25">
      <c r="A623" s="2" t="s">
        <v>1913</v>
      </c>
      <c r="B623" s="3" t="s">
        <v>5015</v>
      </c>
      <c r="C623" s="3">
        <v>21</v>
      </c>
      <c r="D623" s="46" t="str">
        <f>IF(Tabla1[[#This Row],[EDAD]]&lt;=35,"Adultos jóvenes 18 - 35 años",IF(C623&gt;=36,"Adultos mayores 36 años en adelante"))</f>
        <v>Adultos jóvenes 18 - 35 años</v>
      </c>
      <c r="E623" s="3" t="s">
        <v>5022</v>
      </c>
      <c r="F623" s="3" t="s">
        <v>5029</v>
      </c>
      <c r="G623" s="3" t="s">
        <v>5032</v>
      </c>
      <c r="H623" s="3" t="s">
        <v>6936</v>
      </c>
      <c r="I623" s="17">
        <v>45619</v>
      </c>
      <c r="J623" s="18">
        <f>YEAR(Tabla1[[#This Row],[FECHA DE COMPRA]])</f>
        <v>2024</v>
      </c>
      <c r="K623" s="19">
        <v>120.3</v>
      </c>
      <c r="L623" s="20">
        <v>0</v>
      </c>
      <c r="M623" s="19">
        <f>Tienda!$K1636-Tienda!$K1636*Tienda!$L1636</f>
        <v>183.81</v>
      </c>
      <c r="N623" s="3" t="s">
        <v>10040</v>
      </c>
      <c r="O623" s="3" t="s">
        <v>10041</v>
      </c>
      <c r="P623" s="17">
        <v>45619</v>
      </c>
      <c r="Q623" s="4">
        <v>0</v>
      </c>
    </row>
    <row r="624" spans="1:17" x14ac:dyDescent="0.25">
      <c r="A624" s="2" t="s">
        <v>2729</v>
      </c>
      <c r="B624" s="3" t="s">
        <v>5016</v>
      </c>
      <c r="C624" s="3">
        <v>31</v>
      </c>
      <c r="D624" s="46" t="str">
        <f>IF(Tabla1[[#This Row],[EDAD]]&lt;=35,"Adultos jóvenes 18 - 35 años",IF(C624&gt;=36,"Adultos mayores 36 años en adelante"))</f>
        <v>Adultos jóvenes 18 - 35 años</v>
      </c>
      <c r="E624" s="3" t="s">
        <v>5021</v>
      </c>
      <c r="F624" s="3" t="s">
        <v>5024</v>
      </c>
      <c r="G624" s="3" t="s">
        <v>5036</v>
      </c>
      <c r="H624" s="3" t="s">
        <v>7752</v>
      </c>
      <c r="I624" s="17">
        <v>45363</v>
      </c>
      <c r="J624" s="18">
        <f>YEAR(Tabla1[[#This Row],[FECHA DE COMPRA]])</f>
        <v>2024</v>
      </c>
      <c r="K624" s="19">
        <v>121.85</v>
      </c>
      <c r="L624" s="20">
        <v>0</v>
      </c>
      <c r="M624" s="19">
        <f>Tienda!$K1647-Tienda!$K1647*Tienda!$L1647</f>
        <v>63.55</v>
      </c>
      <c r="N624" s="3" t="s">
        <v>10040</v>
      </c>
      <c r="O624" s="3" t="s">
        <v>10041</v>
      </c>
      <c r="P624" s="17">
        <v>45363</v>
      </c>
      <c r="Q624" s="4">
        <v>0</v>
      </c>
    </row>
    <row r="625" spans="1:17" x14ac:dyDescent="0.25">
      <c r="A625" s="2" t="s">
        <v>3511</v>
      </c>
      <c r="B625" s="3" t="s">
        <v>5015</v>
      </c>
      <c r="C625" s="3">
        <v>21</v>
      </c>
      <c r="D625" s="46" t="str">
        <f>IF(Tabla1[[#This Row],[EDAD]]&lt;=35,"Adultos jóvenes 18 - 35 años",IF(C625&gt;=36,"Adultos mayores 36 años en adelante"))</f>
        <v>Adultos jóvenes 18 - 35 años</v>
      </c>
      <c r="E625" s="3" t="s">
        <v>5020</v>
      </c>
      <c r="F625" s="3" t="s">
        <v>5026</v>
      </c>
      <c r="G625" s="3" t="s">
        <v>5035</v>
      </c>
      <c r="H625" s="3" t="s">
        <v>8534</v>
      </c>
      <c r="I625" s="17">
        <v>45619</v>
      </c>
      <c r="J625" s="18">
        <f>YEAR(Tabla1[[#This Row],[FECHA DE COMPRA]])</f>
        <v>2024</v>
      </c>
      <c r="K625" s="19">
        <v>156.31</v>
      </c>
      <c r="L625" s="20">
        <v>0.2</v>
      </c>
      <c r="M625" s="19">
        <f>Tienda!$K1660-Tienda!$K1660*Tienda!$L1660</f>
        <v>46.161000000000001</v>
      </c>
      <c r="N625" s="3" t="s">
        <v>10040</v>
      </c>
      <c r="O625" s="3" t="s">
        <v>10041</v>
      </c>
      <c r="P625" s="17">
        <v>45619</v>
      </c>
      <c r="Q625" s="4">
        <v>0</v>
      </c>
    </row>
    <row r="626" spans="1:17" x14ac:dyDescent="0.25">
      <c r="A626" s="2" t="s">
        <v>2981</v>
      </c>
      <c r="B626" s="3" t="s">
        <v>5015</v>
      </c>
      <c r="C626" s="3">
        <v>34</v>
      </c>
      <c r="D626" s="46" t="str">
        <f>IF(Tabla1[[#This Row],[EDAD]]&lt;=35,"Adultos jóvenes 18 - 35 años",IF(C626&gt;=36,"Adultos mayores 36 años en adelante"))</f>
        <v>Adultos jóvenes 18 - 35 años</v>
      </c>
      <c r="E626" s="3" t="s">
        <v>5023</v>
      </c>
      <c r="F626" s="3" t="s">
        <v>5027</v>
      </c>
      <c r="G626" s="3" t="s">
        <v>5033</v>
      </c>
      <c r="H626" s="3" t="s">
        <v>8004</v>
      </c>
      <c r="I626" s="17">
        <v>45482</v>
      </c>
      <c r="J626" s="18">
        <f>YEAR(Tabla1[[#This Row],[FECHA DE COMPRA]])</f>
        <v>2024</v>
      </c>
      <c r="K626" s="19">
        <v>157.05000000000001</v>
      </c>
      <c r="L626" s="20">
        <v>0.2</v>
      </c>
      <c r="M626" s="19">
        <f>Tienda!$K1662-Tienda!$K1662*Tienda!$L1662</f>
        <v>60.584000000000003</v>
      </c>
      <c r="N626" s="3" t="s">
        <v>10040</v>
      </c>
      <c r="O626" s="3" t="s">
        <v>10041</v>
      </c>
      <c r="P626" s="17">
        <v>45482</v>
      </c>
      <c r="Q626" s="4">
        <v>0</v>
      </c>
    </row>
    <row r="627" spans="1:17" x14ac:dyDescent="0.25">
      <c r="A627" s="2" t="s">
        <v>889</v>
      </c>
      <c r="B627" s="3" t="s">
        <v>5015</v>
      </c>
      <c r="C627" s="3">
        <v>32</v>
      </c>
      <c r="D627" s="46" t="str">
        <f>IF(Tabla1[[#This Row],[EDAD]]&lt;=35,"Adultos jóvenes 18 - 35 años",IF(C627&gt;=36,"Adultos mayores 36 años en adelante"))</f>
        <v>Adultos jóvenes 18 - 35 años</v>
      </c>
      <c r="E627" s="3" t="s">
        <v>5021</v>
      </c>
      <c r="F627" s="3" t="s">
        <v>5028</v>
      </c>
      <c r="G627" s="3" t="s">
        <v>5037</v>
      </c>
      <c r="H627" s="3" t="s">
        <v>5912</v>
      </c>
      <c r="I627" s="17">
        <v>45448</v>
      </c>
      <c r="J627" s="18">
        <f>YEAR(Tabla1[[#This Row],[FECHA DE COMPRA]])</f>
        <v>2024</v>
      </c>
      <c r="K627" s="19">
        <v>139.76</v>
      </c>
      <c r="L627" s="20">
        <v>0.1</v>
      </c>
      <c r="M627" s="19">
        <f>Tienda!$K1663-Tienda!$K1663*Tienda!$L1663</f>
        <v>61.303999999999995</v>
      </c>
      <c r="N627" s="3" t="s">
        <v>10040</v>
      </c>
      <c r="O627" s="3" t="s">
        <v>10041</v>
      </c>
      <c r="P627" s="17">
        <v>45448</v>
      </c>
      <c r="Q627" s="4">
        <v>0</v>
      </c>
    </row>
    <row r="628" spans="1:17" x14ac:dyDescent="0.25">
      <c r="A628" s="2" t="s">
        <v>4854</v>
      </c>
      <c r="B628" s="3" t="s">
        <v>5016</v>
      </c>
      <c r="C628" s="3">
        <v>35</v>
      </c>
      <c r="D628" s="46" t="str">
        <f>IF(Tabla1[[#This Row],[EDAD]]&lt;=35,"Adultos jóvenes 18 - 35 años",IF(C628&gt;=36,"Adultos mayores 36 años en adelante"))</f>
        <v>Adultos jóvenes 18 - 35 años</v>
      </c>
      <c r="E628" s="3" t="s">
        <v>5019</v>
      </c>
      <c r="F628" s="3" t="s">
        <v>5027</v>
      </c>
      <c r="G628" s="3" t="s">
        <v>5034</v>
      </c>
      <c r="H628" s="3" t="s">
        <v>9877</v>
      </c>
      <c r="I628" s="17">
        <v>45649</v>
      </c>
      <c r="J628" s="18">
        <f>YEAR(Tabla1[[#This Row],[FECHA DE COMPRA]])</f>
        <v>2024</v>
      </c>
      <c r="K628" s="19">
        <v>128.02000000000001</v>
      </c>
      <c r="L628" s="20">
        <v>0</v>
      </c>
      <c r="M628" s="19">
        <f>Tienda!$K1670-Tienda!$K1670*Tienda!$L1670</f>
        <v>129.745</v>
      </c>
      <c r="N628" s="3" t="s">
        <v>10040</v>
      </c>
      <c r="O628" s="3" t="s">
        <v>10041</v>
      </c>
      <c r="P628" s="17">
        <v>45297</v>
      </c>
      <c r="Q628" s="4">
        <v>0</v>
      </c>
    </row>
    <row r="629" spans="1:17" x14ac:dyDescent="0.25">
      <c r="A629" s="2" t="s">
        <v>4053</v>
      </c>
      <c r="B629" s="3" t="s">
        <v>5016</v>
      </c>
      <c r="C629" s="3">
        <v>19</v>
      </c>
      <c r="D629" s="46" t="str">
        <f>IF(Tabla1[[#This Row],[EDAD]]&lt;=35,"Adultos jóvenes 18 - 35 años",IF(C629&gt;=36,"Adultos mayores 36 años en adelante"))</f>
        <v>Adultos jóvenes 18 - 35 años</v>
      </c>
      <c r="E629" s="3" t="s">
        <v>5021</v>
      </c>
      <c r="F629" s="3" t="s">
        <v>5024</v>
      </c>
      <c r="G629" s="3" t="s">
        <v>5031</v>
      </c>
      <c r="H629" s="3" t="s">
        <v>9076</v>
      </c>
      <c r="I629" s="17">
        <v>45547</v>
      </c>
      <c r="J629" s="18">
        <f>YEAR(Tabla1[[#This Row],[FECHA DE COMPRA]])</f>
        <v>2024</v>
      </c>
      <c r="K629" s="19">
        <v>142.29</v>
      </c>
      <c r="L629" s="20">
        <v>0.1</v>
      </c>
      <c r="M629" s="19">
        <f>Tienda!$K1671-Tienda!$K1671*Tienda!$L1671</f>
        <v>148.68</v>
      </c>
      <c r="N629" s="3" t="s">
        <v>10040</v>
      </c>
      <c r="O629" s="3" t="s">
        <v>10041</v>
      </c>
      <c r="P629" s="17">
        <v>45547</v>
      </c>
      <c r="Q629" s="4">
        <v>0</v>
      </c>
    </row>
    <row r="630" spans="1:17" x14ac:dyDescent="0.25">
      <c r="A630" s="2" t="s">
        <v>4486</v>
      </c>
      <c r="B630" s="3" t="s">
        <v>5016</v>
      </c>
      <c r="C630" s="3">
        <v>27</v>
      </c>
      <c r="D630" s="46" t="str">
        <f>IF(Tabla1[[#This Row],[EDAD]]&lt;=35,"Adultos jóvenes 18 - 35 años",IF(C630&gt;=36,"Adultos mayores 36 años en adelante"))</f>
        <v>Adultos jóvenes 18 - 35 años</v>
      </c>
      <c r="E630" s="3" t="s">
        <v>5019</v>
      </c>
      <c r="F630" s="3" t="s">
        <v>5029</v>
      </c>
      <c r="G630" s="3" t="s">
        <v>5037</v>
      </c>
      <c r="H630" s="3" t="s">
        <v>9509</v>
      </c>
      <c r="I630" s="17">
        <v>45369</v>
      </c>
      <c r="J630" s="18">
        <f>YEAR(Tabla1[[#This Row],[FECHA DE COMPRA]])</f>
        <v>2024</v>
      </c>
      <c r="K630" s="19">
        <v>183.85</v>
      </c>
      <c r="L630" s="20">
        <v>0.3</v>
      </c>
      <c r="M630" s="19">
        <f>Tienda!$K1676-Tienda!$K1676*Tienda!$L1676</f>
        <v>99.722000000000008</v>
      </c>
      <c r="N630" s="3" t="s">
        <v>10040</v>
      </c>
      <c r="O630" s="3" t="s">
        <v>10041</v>
      </c>
      <c r="P630" s="17">
        <v>45369</v>
      </c>
      <c r="Q630" s="4">
        <v>0</v>
      </c>
    </row>
    <row r="631" spans="1:17" x14ac:dyDescent="0.25">
      <c r="A631" s="2" t="s">
        <v>660</v>
      </c>
      <c r="B631" s="3" t="s">
        <v>5015</v>
      </c>
      <c r="C631" s="3">
        <v>20</v>
      </c>
      <c r="D631" s="46" t="str">
        <f>IF(Tabla1[[#This Row],[EDAD]]&lt;=35,"Adultos jóvenes 18 - 35 años",IF(C631&gt;=36,"Adultos mayores 36 años en adelante"))</f>
        <v>Adultos jóvenes 18 - 35 años</v>
      </c>
      <c r="E631" s="3" t="s">
        <v>5017</v>
      </c>
      <c r="F631" s="3" t="s">
        <v>5029</v>
      </c>
      <c r="G631" s="3" t="s">
        <v>5031</v>
      </c>
      <c r="H631" s="3" t="s">
        <v>5683</v>
      </c>
      <c r="I631" s="17">
        <v>45474</v>
      </c>
      <c r="J631" s="18">
        <f>YEAR(Tabla1[[#This Row],[FECHA DE COMPRA]])</f>
        <v>2024</v>
      </c>
      <c r="K631" s="19">
        <v>128.69999999999999</v>
      </c>
      <c r="L631" s="20">
        <v>0</v>
      </c>
      <c r="M631" s="19">
        <f>Tienda!$K1677-Tienda!$K1677*Tienda!$L1677</f>
        <v>132.88</v>
      </c>
      <c r="N631" s="3" t="s">
        <v>10040</v>
      </c>
      <c r="O631" s="3" t="s">
        <v>10041</v>
      </c>
      <c r="P631" s="17">
        <v>45474</v>
      </c>
      <c r="Q631" s="4">
        <v>0</v>
      </c>
    </row>
    <row r="632" spans="1:17" x14ac:dyDescent="0.25">
      <c r="A632" s="2" t="s">
        <v>3117</v>
      </c>
      <c r="B632" s="3" t="s">
        <v>5015</v>
      </c>
      <c r="C632" s="3">
        <v>18</v>
      </c>
      <c r="D632" s="46" t="str">
        <f>IF(Tabla1[[#This Row],[EDAD]]&lt;=35,"Adultos jóvenes 18 - 35 años",IF(C632&gt;=36,"Adultos mayores 36 años en adelante"))</f>
        <v>Adultos jóvenes 18 - 35 años</v>
      </c>
      <c r="E632" s="3" t="s">
        <v>5018</v>
      </c>
      <c r="F632" s="3" t="s">
        <v>5024</v>
      </c>
      <c r="G632" s="3" t="s">
        <v>5034</v>
      </c>
      <c r="H632" s="3" t="s">
        <v>8140</v>
      </c>
      <c r="I632" s="17">
        <v>45604</v>
      </c>
      <c r="J632" s="18">
        <f>YEAR(Tabla1[[#This Row],[FECHA DE COMPRA]])</f>
        <v>2024</v>
      </c>
      <c r="K632" s="19">
        <v>184.25</v>
      </c>
      <c r="L632" s="20">
        <v>0.3</v>
      </c>
      <c r="M632" s="19">
        <f>Tienda!$K1679-Tienda!$K1679*Tienda!$L1679</f>
        <v>18.459000000000003</v>
      </c>
      <c r="N632" s="3" t="s">
        <v>10040</v>
      </c>
      <c r="O632" s="3" t="s">
        <v>10041</v>
      </c>
      <c r="P632" s="17">
        <v>45604</v>
      </c>
      <c r="Q632" s="4">
        <v>0</v>
      </c>
    </row>
    <row r="633" spans="1:17" x14ac:dyDescent="0.25">
      <c r="A633" s="2" t="s">
        <v>417</v>
      </c>
      <c r="B633" s="3" t="s">
        <v>5016</v>
      </c>
      <c r="C633" s="3">
        <v>24</v>
      </c>
      <c r="D633" s="46" t="str">
        <f>IF(Tabla1[[#This Row],[EDAD]]&lt;=35,"Adultos jóvenes 18 - 35 años",IF(C633&gt;=36,"Adultos mayores 36 años en adelante"))</f>
        <v>Adultos jóvenes 18 - 35 años</v>
      </c>
      <c r="E633" s="3" t="s">
        <v>5017</v>
      </c>
      <c r="F633" s="3" t="s">
        <v>5027</v>
      </c>
      <c r="G633" s="3" t="s">
        <v>5032</v>
      </c>
      <c r="H633" s="3" t="s">
        <v>5440</v>
      </c>
      <c r="I633" s="17">
        <v>45337</v>
      </c>
      <c r="J633" s="18">
        <f>YEAR(Tabla1[[#This Row],[FECHA DE COMPRA]])</f>
        <v>2024</v>
      </c>
      <c r="K633" s="19">
        <v>162.15</v>
      </c>
      <c r="L633" s="20">
        <v>0.2</v>
      </c>
      <c r="M633" s="19">
        <f>Tienda!$K1682-Tienda!$K1682*Tienda!$L1682</f>
        <v>151.81200000000001</v>
      </c>
      <c r="N633" s="3" t="s">
        <v>10040</v>
      </c>
      <c r="O633" s="3" t="s">
        <v>10041</v>
      </c>
      <c r="P633" s="17">
        <v>45337</v>
      </c>
      <c r="Q633" s="4">
        <v>0</v>
      </c>
    </row>
    <row r="634" spans="1:17" x14ac:dyDescent="0.25">
      <c r="A634" s="2" t="s">
        <v>2278</v>
      </c>
      <c r="B634" s="3" t="s">
        <v>5016</v>
      </c>
      <c r="C634" s="3">
        <v>31</v>
      </c>
      <c r="D634" s="46" t="str">
        <f>IF(Tabla1[[#This Row],[EDAD]]&lt;=35,"Adultos jóvenes 18 - 35 años",IF(C634&gt;=36,"Adultos mayores 36 años en adelante"))</f>
        <v>Adultos jóvenes 18 - 35 años</v>
      </c>
      <c r="E634" s="3" t="s">
        <v>5017</v>
      </c>
      <c r="F634" s="3" t="s">
        <v>5027</v>
      </c>
      <c r="G634" s="3" t="s">
        <v>5032</v>
      </c>
      <c r="H634" s="3" t="s">
        <v>7301</v>
      </c>
      <c r="I634" s="17">
        <v>45482</v>
      </c>
      <c r="J634" s="18">
        <f>YEAR(Tabla1[[#This Row],[FECHA DE COMPRA]])</f>
        <v>2024</v>
      </c>
      <c r="K634" s="19">
        <v>162.56</v>
      </c>
      <c r="L634" s="20">
        <v>0.2</v>
      </c>
      <c r="M634" s="19">
        <f>Tienda!$K1685-Tienda!$K1685*Tienda!$L1685</f>
        <v>19.149999999999999</v>
      </c>
      <c r="N634" s="3" t="s">
        <v>10040</v>
      </c>
      <c r="O634" s="3" t="s">
        <v>10041</v>
      </c>
      <c r="P634" s="17">
        <v>45482</v>
      </c>
      <c r="Q634" s="4">
        <v>0</v>
      </c>
    </row>
    <row r="635" spans="1:17" x14ac:dyDescent="0.25">
      <c r="A635" s="2" t="s">
        <v>2821</v>
      </c>
      <c r="B635" s="3" t="s">
        <v>5015</v>
      </c>
      <c r="C635" s="3">
        <v>25</v>
      </c>
      <c r="D635" s="46" t="str">
        <f>IF(Tabla1[[#This Row],[EDAD]]&lt;=35,"Adultos jóvenes 18 - 35 años",IF(C635&gt;=36,"Adultos mayores 36 años en adelante"))</f>
        <v>Adultos jóvenes 18 - 35 años</v>
      </c>
      <c r="E635" s="3" t="s">
        <v>5020</v>
      </c>
      <c r="F635" s="3" t="s">
        <v>5029</v>
      </c>
      <c r="G635" s="3" t="s">
        <v>5032</v>
      </c>
      <c r="H635" s="3" t="s">
        <v>7844</v>
      </c>
      <c r="I635" s="17">
        <v>45341</v>
      </c>
      <c r="J635" s="18">
        <f>YEAR(Tabla1[[#This Row],[FECHA DE COMPRA]])</f>
        <v>2024</v>
      </c>
      <c r="K635" s="19">
        <v>188.43</v>
      </c>
      <c r="L635" s="20">
        <v>0.3</v>
      </c>
      <c r="M635" s="19">
        <f>Tienda!$K1690-Tienda!$K1690*Tienda!$L1690</f>
        <v>64.664000000000001</v>
      </c>
      <c r="N635" s="3" t="s">
        <v>10040</v>
      </c>
      <c r="O635" s="3" t="s">
        <v>10041</v>
      </c>
      <c r="P635" s="17">
        <v>45341</v>
      </c>
      <c r="Q635" s="4">
        <v>0</v>
      </c>
    </row>
    <row r="636" spans="1:17" x14ac:dyDescent="0.25">
      <c r="A636" s="2" t="s">
        <v>1670</v>
      </c>
      <c r="B636" s="3" t="s">
        <v>5016</v>
      </c>
      <c r="C636" s="3">
        <v>23</v>
      </c>
      <c r="D636" s="46" t="str">
        <f>IF(Tabla1[[#This Row],[EDAD]]&lt;=35,"Adultos jóvenes 18 - 35 años",IF(C636&gt;=36,"Adultos mayores 36 años en adelante"))</f>
        <v>Adultos jóvenes 18 - 35 años</v>
      </c>
      <c r="E636" s="3" t="s">
        <v>5023</v>
      </c>
      <c r="F636" s="3" t="s">
        <v>5026</v>
      </c>
      <c r="G636" s="3" t="s">
        <v>5032</v>
      </c>
      <c r="H636" s="3" t="s">
        <v>6693</v>
      </c>
      <c r="I636" s="17">
        <v>45638</v>
      </c>
      <c r="J636" s="18">
        <f>YEAR(Tabla1[[#This Row],[FECHA DE COMPRA]])</f>
        <v>2024</v>
      </c>
      <c r="K636" s="19">
        <v>146.69</v>
      </c>
      <c r="L636" s="20">
        <v>0.1</v>
      </c>
      <c r="M636" s="19">
        <f>Tienda!$K1691-Tienda!$K1691*Tienda!$L1691</f>
        <v>95.48</v>
      </c>
      <c r="N636" s="3" t="s">
        <v>10040</v>
      </c>
      <c r="O636" s="3" t="s">
        <v>10041</v>
      </c>
      <c r="P636" s="17">
        <v>45638</v>
      </c>
      <c r="Q636" s="4">
        <v>0</v>
      </c>
    </row>
    <row r="637" spans="1:17" x14ac:dyDescent="0.25">
      <c r="A637" s="2" t="s">
        <v>2339</v>
      </c>
      <c r="B637" s="3" t="s">
        <v>5016</v>
      </c>
      <c r="C637" s="3">
        <v>19</v>
      </c>
      <c r="D637" s="46" t="str">
        <f>IF(Tabla1[[#This Row],[EDAD]]&lt;=35,"Adultos jóvenes 18 - 35 años",IF(C637&gt;=36,"Adultos mayores 36 años en adelante"))</f>
        <v>Adultos jóvenes 18 - 35 años</v>
      </c>
      <c r="E637" s="3" t="s">
        <v>5021</v>
      </c>
      <c r="F637" s="3" t="s">
        <v>5025</v>
      </c>
      <c r="G637" s="3" t="s">
        <v>5035</v>
      </c>
      <c r="H637" s="3" t="s">
        <v>7362</v>
      </c>
      <c r="I637" s="17">
        <v>45328</v>
      </c>
      <c r="J637" s="18">
        <f>YEAR(Tabla1[[#This Row],[FECHA DE COMPRA]])</f>
        <v>2024</v>
      </c>
      <c r="K637" s="19">
        <v>135.66</v>
      </c>
      <c r="L637" s="20">
        <v>0</v>
      </c>
      <c r="M637" s="19">
        <f>Tienda!$K1706-Tienda!$K1706*Tienda!$L1706</f>
        <v>43.7</v>
      </c>
      <c r="N637" s="3" t="s">
        <v>10040</v>
      </c>
      <c r="O637" s="3" t="s">
        <v>10041</v>
      </c>
      <c r="P637" s="17">
        <v>45328</v>
      </c>
      <c r="Q637" s="4">
        <v>0</v>
      </c>
    </row>
    <row r="638" spans="1:17" x14ac:dyDescent="0.25">
      <c r="A638" s="2" t="s">
        <v>3454</v>
      </c>
      <c r="B638" s="3" t="s">
        <v>5016</v>
      </c>
      <c r="C638" s="3">
        <v>27</v>
      </c>
      <c r="D638" s="46" t="str">
        <f>IF(Tabla1[[#This Row],[EDAD]]&lt;=35,"Adultos jóvenes 18 - 35 años",IF(C638&gt;=36,"Adultos mayores 36 años en adelante"))</f>
        <v>Adultos jóvenes 18 - 35 años</v>
      </c>
      <c r="E638" s="3" t="s">
        <v>5023</v>
      </c>
      <c r="F638" s="3" t="s">
        <v>5025</v>
      </c>
      <c r="G638" s="3" t="s">
        <v>5036</v>
      </c>
      <c r="H638" s="3" t="s">
        <v>8477</v>
      </c>
      <c r="I638" s="17">
        <v>45387</v>
      </c>
      <c r="J638" s="18">
        <f>YEAR(Tabla1[[#This Row],[FECHA DE COMPRA]])</f>
        <v>2024</v>
      </c>
      <c r="K638" s="19">
        <v>169.93</v>
      </c>
      <c r="L638" s="20">
        <v>0.2</v>
      </c>
      <c r="M638" s="19">
        <f>Tienda!$K1709-Tienda!$K1709*Tienda!$L1709</f>
        <v>71.09899999999999</v>
      </c>
      <c r="N638" s="3" t="s">
        <v>10040</v>
      </c>
      <c r="O638" s="3" t="s">
        <v>10041</v>
      </c>
      <c r="P638" s="17">
        <v>45387</v>
      </c>
      <c r="Q638" s="4">
        <v>0</v>
      </c>
    </row>
    <row r="639" spans="1:17" x14ac:dyDescent="0.25">
      <c r="A639" s="2" t="s">
        <v>1919</v>
      </c>
      <c r="B639" s="3" t="s">
        <v>5015</v>
      </c>
      <c r="C639" s="3">
        <v>35</v>
      </c>
      <c r="D639" s="46" t="str">
        <f>IF(Tabla1[[#This Row],[EDAD]]&lt;=35,"Adultos jóvenes 18 - 35 años",IF(C639&gt;=36,"Adultos mayores 36 años en adelante"))</f>
        <v>Adultos jóvenes 18 - 35 años</v>
      </c>
      <c r="E639" s="3" t="s">
        <v>5020</v>
      </c>
      <c r="F639" s="3" t="s">
        <v>5027</v>
      </c>
      <c r="G639" s="3" t="s">
        <v>5033</v>
      </c>
      <c r="H639" s="3" t="s">
        <v>6942</v>
      </c>
      <c r="I639" s="17">
        <v>45649</v>
      </c>
      <c r="J639" s="18">
        <f>YEAR(Tabla1[[#This Row],[FECHA DE COMPRA]])</f>
        <v>2024</v>
      </c>
      <c r="K639" s="19">
        <v>151.25</v>
      </c>
      <c r="L639" s="20">
        <v>0.1</v>
      </c>
      <c r="M639" s="19">
        <f>Tienda!$K1710-Tienda!$K1710*Tienda!$L1710</f>
        <v>112.13</v>
      </c>
      <c r="N639" s="3" t="s">
        <v>10040</v>
      </c>
      <c r="O639" s="3" t="s">
        <v>10041</v>
      </c>
      <c r="P639" s="17">
        <v>45293</v>
      </c>
      <c r="Q639" s="4">
        <v>0</v>
      </c>
    </row>
    <row r="640" spans="1:17" x14ac:dyDescent="0.25">
      <c r="A640" s="2" t="s">
        <v>3224</v>
      </c>
      <c r="B640" s="3" t="s">
        <v>5015</v>
      </c>
      <c r="C640" s="3">
        <v>28</v>
      </c>
      <c r="D640" s="46" t="str">
        <f>IF(Tabla1[[#This Row],[EDAD]]&lt;=35,"Adultos jóvenes 18 - 35 años",IF(C640&gt;=36,"Adultos mayores 36 años en adelante"))</f>
        <v>Adultos jóvenes 18 - 35 años</v>
      </c>
      <c r="E640" s="3" t="s">
        <v>5022</v>
      </c>
      <c r="F640" s="3" t="s">
        <v>5027</v>
      </c>
      <c r="G640" s="3" t="s">
        <v>5036</v>
      </c>
      <c r="H640" s="3" t="s">
        <v>8247</v>
      </c>
      <c r="I640" s="17">
        <v>45519</v>
      </c>
      <c r="J640" s="18">
        <f>YEAR(Tabla1[[#This Row],[FECHA DE COMPRA]])</f>
        <v>2024</v>
      </c>
      <c r="K640" s="19">
        <v>153.84</v>
      </c>
      <c r="L640" s="20">
        <v>0.1</v>
      </c>
      <c r="M640" s="19">
        <f>Tienda!$K1725-Tienda!$K1725*Tienda!$L1725</f>
        <v>58.317000000000007</v>
      </c>
      <c r="N640" s="3" t="s">
        <v>10040</v>
      </c>
      <c r="O640" s="3" t="s">
        <v>10041</v>
      </c>
      <c r="P640" s="17">
        <v>45519</v>
      </c>
      <c r="Q640" s="4">
        <v>0</v>
      </c>
    </row>
    <row r="641" spans="1:17" x14ac:dyDescent="0.25">
      <c r="A641" s="2" t="s">
        <v>338</v>
      </c>
      <c r="B641" s="3" t="s">
        <v>5015</v>
      </c>
      <c r="C641" s="3">
        <v>35</v>
      </c>
      <c r="D641" s="46" t="str">
        <f>IF(Tabla1[[#This Row],[EDAD]]&lt;=35,"Adultos jóvenes 18 - 35 años",IF(C641&gt;=36,"Adultos mayores 36 años en adelante"))</f>
        <v>Adultos jóvenes 18 - 35 años</v>
      </c>
      <c r="E641" s="3" t="s">
        <v>5018</v>
      </c>
      <c r="F641" s="3" t="s">
        <v>5024</v>
      </c>
      <c r="G641" s="3" t="s">
        <v>5035</v>
      </c>
      <c r="H641" s="3" t="s">
        <v>5361</v>
      </c>
      <c r="I641" s="17">
        <v>45636</v>
      </c>
      <c r="J641" s="18">
        <f>YEAR(Tabla1[[#This Row],[FECHA DE COMPRA]])</f>
        <v>2024</v>
      </c>
      <c r="K641" s="19">
        <v>157.18</v>
      </c>
      <c r="L641" s="20">
        <v>0.1</v>
      </c>
      <c r="M641" s="19">
        <f>Tienda!$K1739-Tienda!$K1739*Tienda!$L1739</f>
        <v>110.4</v>
      </c>
      <c r="N641" s="3" t="s">
        <v>10040</v>
      </c>
      <c r="O641" s="3" t="s">
        <v>10041</v>
      </c>
      <c r="P641" s="17">
        <v>45446</v>
      </c>
      <c r="Q641" s="4">
        <v>0</v>
      </c>
    </row>
    <row r="642" spans="1:17" x14ac:dyDescent="0.25">
      <c r="A642" s="2" t="s">
        <v>3284</v>
      </c>
      <c r="B642" s="3" t="s">
        <v>5015</v>
      </c>
      <c r="C642" s="3">
        <v>33</v>
      </c>
      <c r="D642" s="46" t="str">
        <f>IF(Tabla1[[#This Row],[EDAD]]&lt;=35,"Adultos jóvenes 18 - 35 años",IF(C642&gt;=36,"Adultos mayores 36 años en adelante"))</f>
        <v>Adultos jóvenes 18 - 35 años</v>
      </c>
      <c r="E642" s="3" t="s">
        <v>5018</v>
      </c>
      <c r="F642" s="3" t="s">
        <v>5030</v>
      </c>
      <c r="G642" s="3" t="s">
        <v>5034</v>
      </c>
      <c r="H642" s="3" t="s">
        <v>8307</v>
      </c>
      <c r="I642" s="17">
        <v>45649</v>
      </c>
      <c r="J642" s="18">
        <f>YEAR(Tabla1[[#This Row],[FECHA DE COMPRA]])</f>
        <v>2024</v>
      </c>
      <c r="K642" s="19">
        <v>157.54</v>
      </c>
      <c r="L642" s="20">
        <v>0.1</v>
      </c>
      <c r="M642" s="19">
        <f>Tienda!$K1741-Tienda!$K1741*Tienda!$L1741</f>
        <v>20.46</v>
      </c>
      <c r="N642" s="3" t="s">
        <v>10040</v>
      </c>
      <c r="O642" s="3" t="s">
        <v>10041</v>
      </c>
      <c r="P642" s="17">
        <v>45301</v>
      </c>
      <c r="Q642" s="4">
        <v>0</v>
      </c>
    </row>
    <row r="643" spans="1:17" x14ac:dyDescent="0.25">
      <c r="A643" s="2" t="s">
        <v>589</v>
      </c>
      <c r="B643" s="3" t="s">
        <v>5015</v>
      </c>
      <c r="C643" s="3">
        <v>35</v>
      </c>
      <c r="D643" s="46" t="str">
        <f>IF(Tabla1[[#This Row],[EDAD]]&lt;=35,"Adultos jóvenes 18 - 35 años",IF(C643&gt;=36,"Adultos mayores 36 años en adelante"))</f>
        <v>Adultos jóvenes 18 - 35 años</v>
      </c>
      <c r="E643" s="3" t="s">
        <v>5018</v>
      </c>
      <c r="F643" s="3" t="s">
        <v>5025</v>
      </c>
      <c r="G643" s="3" t="s">
        <v>5036</v>
      </c>
      <c r="H643" s="3" t="s">
        <v>5612</v>
      </c>
      <c r="I643" s="17">
        <v>45309</v>
      </c>
      <c r="J643" s="18">
        <f>YEAR(Tabla1[[#This Row],[FECHA DE COMPRA]])</f>
        <v>2024</v>
      </c>
      <c r="K643" s="19">
        <v>158.04</v>
      </c>
      <c r="L643" s="20">
        <v>0.1</v>
      </c>
      <c r="M643" s="19">
        <f>Tienda!$K1742-Tienda!$K1742*Tienda!$L1742</f>
        <v>23.138999999999999</v>
      </c>
      <c r="N643" s="3" t="s">
        <v>10040</v>
      </c>
      <c r="O643" s="3" t="s">
        <v>10041</v>
      </c>
      <c r="P643" s="17">
        <v>45309</v>
      </c>
      <c r="Q643" s="4">
        <v>0</v>
      </c>
    </row>
    <row r="644" spans="1:17" x14ac:dyDescent="0.25">
      <c r="A644" s="2" t="s">
        <v>356</v>
      </c>
      <c r="B644" s="3" t="s">
        <v>5015</v>
      </c>
      <c r="C644" s="3">
        <v>23</v>
      </c>
      <c r="D644" s="46" t="str">
        <f>IF(Tabla1[[#This Row],[EDAD]]&lt;=35,"Adultos jóvenes 18 - 35 años",IF(C644&gt;=36,"Adultos mayores 36 años en adelante"))</f>
        <v>Adultos jóvenes 18 - 35 años</v>
      </c>
      <c r="E644" s="3" t="s">
        <v>5017</v>
      </c>
      <c r="F644" s="3" t="s">
        <v>5025</v>
      </c>
      <c r="G644" s="3" t="s">
        <v>5034</v>
      </c>
      <c r="H644" s="3" t="s">
        <v>5379</v>
      </c>
      <c r="I644" s="17">
        <v>45635</v>
      </c>
      <c r="J644" s="18">
        <f>YEAR(Tabla1[[#This Row],[FECHA DE COMPRA]])</f>
        <v>2024</v>
      </c>
      <c r="K644" s="19">
        <v>142.47999999999999</v>
      </c>
      <c r="L644" s="20">
        <v>0</v>
      </c>
      <c r="M644" s="19">
        <f>Tienda!$K1744-Tienda!$K1744*Tienda!$L1744</f>
        <v>25.821000000000002</v>
      </c>
      <c r="N644" s="3" t="s">
        <v>10040</v>
      </c>
      <c r="O644" s="3" t="s">
        <v>10041</v>
      </c>
      <c r="P644" s="17">
        <v>45457</v>
      </c>
      <c r="Q644" s="4">
        <v>0</v>
      </c>
    </row>
    <row r="645" spans="1:17" x14ac:dyDescent="0.25">
      <c r="A645" s="2" t="s">
        <v>2802</v>
      </c>
      <c r="B645" s="3" t="s">
        <v>5015</v>
      </c>
      <c r="C645" s="3">
        <v>35</v>
      </c>
      <c r="D645" s="46" t="str">
        <f>IF(Tabla1[[#This Row],[EDAD]]&lt;=35,"Adultos jóvenes 18 - 35 años",IF(C645&gt;=36,"Adultos mayores 36 años en adelante"))</f>
        <v>Adultos jóvenes 18 - 35 años</v>
      </c>
      <c r="E645" s="3" t="s">
        <v>5022</v>
      </c>
      <c r="F645" s="3" t="s">
        <v>5026</v>
      </c>
      <c r="G645" s="3" t="s">
        <v>5036</v>
      </c>
      <c r="H645" s="3" t="s">
        <v>7825</v>
      </c>
      <c r="I645" s="17">
        <v>45523</v>
      </c>
      <c r="J645" s="18">
        <f>YEAR(Tabla1[[#This Row],[FECHA DE COMPRA]])</f>
        <v>2024</v>
      </c>
      <c r="K645" s="19">
        <v>178.7</v>
      </c>
      <c r="L645" s="20">
        <v>0.2</v>
      </c>
      <c r="M645" s="19">
        <f>Tienda!$K1746-Tienda!$K1746*Tienda!$L1746</f>
        <v>51.875999999999998</v>
      </c>
      <c r="N645" s="3" t="s">
        <v>10040</v>
      </c>
      <c r="O645" s="3" t="s">
        <v>10041</v>
      </c>
      <c r="P645" s="17">
        <v>45523</v>
      </c>
      <c r="Q645" s="4">
        <v>0</v>
      </c>
    </row>
    <row r="646" spans="1:17" x14ac:dyDescent="0.25">
      <c r="A646" s="2" t="s">
        <v>4596</v>
      </c>
      <c r="B646" s="3" t="s">
        <v>5015</v>
      </c>
      <c r="C646" s="3">
        <v>20</v>
      </c>
      <c r="D646" s="46" t="str">
        <f>IF(Tabla1[[#This Row],[EDAD]]&lt;=35,"Adultos jóvenes 18 - 35 años",IF(C646&gt;=36,"Adultos mayores 36 años en adelante"))</f>
        <v>Adultos jóvenes 18 - 35 años</v>
      </c>
      <c r="E646" s="3" t="s">
        <v>5020</v>
      </c>
      <c r="F646" s="3" t="s">
        <v>5029</v>
      </c>
      <c r="G646" s="3" t="s">
        <v>5035</v>
      </c>
      <c r="H646" s="3" t="s">
        <v>9619</v>
      </c>
      <c r="I646" s="17">
        <v>45649</v>
      </c>
      <c r="J646" s="18">
        <f>YEAR(Tabla1[[#This Row],[FECHA DE COMPRA]])</f>
        <v>2024</v>
      </c>
      <c r="K646" s="19">
        <v>144.94999999999999</v>
      </c>
      <c r="L646" s="20">
        <v>0</v>
      </c>
      <c r="M646" s="19">
        <f>Tienda!$K1752-Tienda!$K1752*Tienda!$L1752</f>
        <v>95.480999999999995</v>
      </c>
      <c r="N646" s="3" t="s">
        <v>10040</v>
      </c>
      <c r="O646" s="3" t="s">
        <v>10041</v>
      </c>
      <c r="P646" s="17">
        <v>45304</v>
      </c>
      <c r="Q646" s="4">
        <v>0</v>
      </c>
    </row>
    <row r="647" spans="1:17" x14ac:dyDescent="0.25">
      <c r="A647" s="2" t="s">
        <v>3532</v>
      </c>
      <c r="B647" s="3" t="s">
        <v>5016</v>
      </c>
      <c r="C647" s="3">
        <v>24</v>
      </c>
      <c r="D647" s="46" t="str">
        <f>IF(Tabla1[[#This Row],[EDAD]]&lt;=35,"Adultos jóvenes 18 - 35 años",IF(C647&gt;=36,"Adultos mayores 36 años en adelante"))</f>
        <v>Adultos jóvenes 18 - 35 años</v>
      </c>
      <c r="E647" s="3" t="s">
        <v>5021</v>
      </c>
      <c r="F647" s="3" t="s">
        <v>5030</v>
      </c>
      <c r="G647" s="3" t="s">
        <v>5037</v>
      </c>
      <c r="H647" s="3" t="s">
        <v>8555</v>
      </c>
      <c r="I647" s="17">
        <v>45653</v>
      </c>
      <c r="J647" s="18">
        <f>YEAR(Tabla1[[#This Row],[FECHA DE COMPRA]])</f>
        <v>2024</v>
      </c>
      <c r="K647" s="19">
        <v>182.08</v>
      </c>
      <c r="L647" s="20">
        <v>0.2</v>
      </c>
      <c r="M647" s="19">
        <f>Tienda!$K1755-Tienda!$K1755*Tienda!$L1755</f>
        <v>17.010000000000002</v>
      </c>
      <c r="N647" s="3" t="s">
        <v>10040</v>
      </c>
      <c r="O647" s="3" t="s">
        <v>10041</v>
      </c>
      <c r="P647" s="17">
        <v>45653</v>
      </c>
      <c r="Q647" s="4">
        <v>0</v>
      </c>
    </row>
    <row r="648" spans="1:17" x14ac:dyDescent="0.25">
      <c r="A648" s="2" t="s">
        <v>3335</v>
      </c>
      <c r="B648" s="3" t="s">
        <v>5015</v>
      </c>
      <c r="C648" s="3">
        <v>22</v>
      </c>
      <c r="D648" s="46" t="str">
        <f>IF(Tabla1[[#This Row],[EDAD]]&lt;=35,"Adultos jóvenes 18 - 35 años",IF(C648&gt;=36,"Adultos mayores 36 años en adelante"))</f>
        <v>Adultos jóvenes 18 - 35 años</v>
      </c>
      <c r="E648" s="3" t="s">
        <v>5020</v>
      </c>
      <c r="F648" s="3" t="s">
        <v>5030</v>
      </c>
      <c r="G648" s="3" t="s">
        <v>5031</v>
      </c>
      <c r="H648" s="3" t="s">
        <v>8358</v>
      </c>
      <c r="I648" s="17">
        <v>45649</v>
      </c>
      <c r="J648" s="18">
        <f>YEAR(Tabla1[[#This Row],[FECHA DE COMPRA]])</f>
        <v>2024</v>
      </c>
      <c r="K648" s="19">
        <v>162.37</v>
      </c>
      <c r="L648" s="20">
        <v>0.1</v>
      </c>
      <c r="M648" s="19">
        <f>Tienda!$K1757-Tienda!$K1757*Tienda!$L1757</f>
        <v>20.546999999999997</v>
      </c>
      <c r="N648" s="3" t="s">
        <v>10040</v>
      </c>
      <c r="O648" s="3" t="s">
        <v>10041</v>
      </c>
      <c r="P648" s="17">
        <v>45298</v>
      </c>
      <c r="Q648" s="4">
        <v>0</v>
      </c>
    </row>
    <row r="649" spans="1:17" x14ac:dyDescent="0.25">
      <c r="A649" s="2" t="s">
        <v>4693</v>
      </c>
      <c r="B649" s="3" t="s">
        <v>5015</v>
      </c>
      <c r="C649" s="3">
        <v>20</v>
      </c>
      <c r="D649" s="46" t="str">
        <f>IF(Tabla1[[#This Row],[EDAD]]&lt;=35,"Adultos jóvenes 18 - 35 años",IF(C649&gt;=36,"Adultos mayores 36 años en adelante"))</f>
        <v>Adultos jóvenes 18 - 35 años</v>
      </c>
      <c r="E649" s="3" t="s">
        <v>5017</v>
      </c>
      <c r="F649" s="3" t="s">
        <v>5025</v>
      </c>
      <c r="G649" s="3" t="s">
        <v>5032</v>
      </c>
      <c r="H649" s="3" t="s">
        <v>9716</v>
      </c>
      <c r="I649" s="17">
        <v>45636</v>
      </c>
      <c r="J649" s="18">
        <f>YEAR(Tabla1[[#This Row],[FECHA DE COMPRA]])</f>
        <v>2024</v>
      </c>
      <c r="K649" s="19">
        <v>146.47</v>
      </c>
      <c r="L649" s="20">
        <v>0</v>
      </c>
      <c r="M649" s="19">
        <f>Tienda!$K1759-Tienda!$K1759*Tienda!$L1759</f>
        <v>24.431999999999999</v>
      </c>
      <c r="N649" s="3" t="s">
        <v>10040</v>
      </c>
      <c r="O649" s="3" t="s">
        <v>10041</v>
      </c>
      <c r="P649" s="17">
        <v>45458</v>
      </c>
      <c r="Q649" s="4">
        <v>0</v>
      </c>
    </row>
    <row r="650" spans="1:17" x14ac:dyDescent="0.25">
      <c r="A650" s="2" t="s">
        <v>2166</v>
      </c>
      <c r="B650" s="3" t="s">
        <v>5015</v>
      </c>
      <c r="C650" s="3">
        <v>29</v>
      </c>
      <c r="D650" s="46" t="str">
        <f>IF(Tabla1[[#This Row],[EDAD]]&lt;=35,"Adultos jóvenes 18 - 35 años",IF(C650&gt;=36,"Adultos mayores 36 años en adelante"))</f>
        <v>Adultos jóvenes 18 - 35 años</v>
      </c>
      <c r="E650" s="3" t="s">
        <v>5022</v>
      </c>
      <c r="F650" s="3" t="s">
        <v>5030</v>
      </c>
      <c r="G650" s="3" t="s">
        <v>5036</v>
      </c>
      <c r="H650" s="3" t="s">
        <v>7189</v>
      </c>
      <c r="I650" s="17">
        <v>45624</v>
      </c>
      <c r="J650" s="18">
        <f>YEAR(Tabla1[[#This Row],[FECHA DE COMPRA]])</f>
        <v>2024</v>
      </c>
      <c r="K650" s="19">
        <v>146.57</v>
      </c>
      <c r="L650" s="20">
        <v>0</v>
      </c>
      <c r="M650" s="19">
        <f>Tienda!$K1760-Tienda!$K1760*Tienda!$L1760</f>
        <v>31.143000000000001</v>
      </c>
      <c r="N650" s="3" t="s">
        <v>10040</v>
      </c>
      <c r="O650" s="3" t="s">
        <v>10041</v>
      </c>
      <c r="P650" s="17">
        <v>45495</v>
      </c>
      <c r="Q650" s="4">
        <v>0</v>
      </c>
    </row>
    <row r="651" spans="1:17" x14ac:dyDescent="0.25">
      <c r="A651" s="2" t="s">
        <v>325</v>
      </c>
      <c r="B651" s="3" t="s">
        <v>5015</v>
      </c>
      <c r="C651" s="3">
        <v>32</v>
      </c>
      <c r="D651" s="46" t="str">
        <f>IF(Tabla1[[#This Row],[EDAD]]&lt;=35,"Adultos jóvenes 18 - 35 años",IF(C651&gt;=36,"Adultos mayores 36 años en adelante"))</f>
        <v>Adultos jóvenes 18 - 35 años</v>
      </c>
      <c r="E651" s="3" t="s">
        <v>5022</v>
      </c>
      <c r="F651" s="3" t="s">
        <v>5027</v>
      </c>
      <c r="G651" s="3" t="s">
        <v>5033</v>
      </c>
      <c r="H651" s="3" t="s">
        <v>5348</v>
      </c>
      <c r="I651" s="17">
        <v>45645</v>
      </c>
      <c r="J651" s="18">
        <f>YEAR(Tabla1[[#This Row],[FECHA DE COMPRA]])</f>
        <v>2024</v>
      </c>
      <c r="K651" s="19">
        <v>146.58000000000001</v>
      </c>
      <c r="L651" s="20">
        <v>0</v>
      </c>
      <c r="M651" s="19">
        <f>Tienda!$K1761-Tienda!$K1761*Tienda!$L1761</f>
        <v>56.231999999999999</v>
      </c>
      <c r="N651" s="3" t="s">
        <v>10040</v>
      </c>
      <c r="O651" s="3" t="s">
        <v>10041</v>
      </c>
      <c r="P651" s="17">
        <v>45645</v>
      </c>
      <c r="Q651" s="4">
        <v>0</v>
      </c>
    </row>
    <row r="652" spans="1:17" x14ac:dyDescent="0.25">
      <c r="A652" s="2" t="s">
        <v>1293</v>
      </c>
      <c r="B652" s="3" t="s">
        <v>5015</v>
      </c>
      <c r="C652" s="3">
        <v>32</v>
      </c>
      <c r="D652" s="46" t="str">
        <f>IF(Tabla1[[#This Row],[EDAD]]&lt;=35,"Adultos jóvenes 18 - 35 años",IF(C652&gt;=36,"Adultos mayores 36 años en adelante"))</f>
        <v>Adultos jóvenes 18 - 35 años</v>
      </c>
      <c r="E652" s="3" t="s">
        <v>5017</v>
      </c>
      <c r="F652" s="3" t="s">
        <v>5028</v>
      </c>
      <c r="G652" s="3" t="s">
        <v>5036</v>
      </c>
      <c r="H652" s="3" t="s">
        <v>6316</v>
      </c>
      <c r="I652" s="17">
        <v>45340</v>
      </c>
      <c r="J652" s="18">
        <f>YEAR(Tabla1[[#This Row],[FECHA DE COMPRA]])</f>
        <v>2024</v>
      </c>
      <c r="K652" s="19">
        <v>183.24</v>
      </c>
      <c r="L652" s="20">
        <v>0.2</v>
      </c>
      <c r="M652" s="19">
        <f>Tienda!$K1762-Tienda!$K1762*Tienda!$L1762</f>
        <v>61.578000000000003</v>
      </c>
      <c r="N652" s="3" t="s">
        <v>10040</v>
      </c>
      <c r="O652" s="3" t="s">
        <v>10041</v>
      </c>
      <c r="P652" s="17">
        <v>45340</v>
      </c>
      <c r="Q652" s="4">
        <v>0</v>
      </c>
    </row>
    <row r="653" spans="1:17" x14ac:dyDescent="0.25">
      <c r="A653" s="2" t="s">
        <v>4664</v>
      </c>
      <c r="B653" s="3" t="s">
        <v>5015</v>
      </c>
      <c r="C653" s="3">
        <v>32</v>
      </c>
      <c r="D653" s="46" t="str">
        <f>IF(Tabla1[[#This Row],[EDAD]]&lt;=35,"Adultos jóvenes 18 - 35 años",IF(C653&gt;=36,"Adultos mayores 36 años en adelante"))</f>
        <v>Adultos jóvenes 18 - 35 años</v>
      </c>
      <c r="E653" s="3" t="s">
        <v>5022</v>
      </c>
      <c r="F653" s="3" t="s">
        <v>5026</v>
      </c>
      <c r="G653" s="3" t="s">
        <v>5033</v>
      </c>
      <c r="H653" s="3" t="s">
        <v>9687</v>
      </c>
      <c r="I653" s="17">
        <v>45654</v>
      </c>
      <c r="J653" s="18">
        <f>YEAR(Tabla1[[#This Row],[FECHA DE COMPRA]])</f>
        <v>2024</v>
      </c>
      <c r="K653" s="19">
        <v>166.92</v>
      </c>
      <c r="L653" s="20">
        <v>0.1</v>
      </c>
      <c r="M653" s="19">
        <f>Tienda!$K1776-Tienda!$K1776*Tienda!$L1776</f>
        <v>46.64</v>
      </c>
      <c r="N653" s="3" t="s">
        <v>10040</v>
      </c>
      <c r="O653" s="3" t="s">
        <v>10041</v>
      </c>
      <c r="P653" s="17">
        <v>45654</v>
      </c>
      <c r="Q653" s="4">
        <v>0</v>
      </c>
    </row>
    <row r="654" spans="1:17" x14ac:dyDescent="0.25">
      <c r="A654" s="2" t="s">
        <v>4079</v>
      </c>
      <c r="B654" s="3" t="s">
        <v>5015</v>
      </c>
      <c r="C654" s="3">
        <v>19</v>
      </c>
      <c r="D654" s="46" t="str">
        <f>IF(Tabla1[[#This Row],[EDAD]]&lt;=35,"Adultos jóvenes 18 - 35 años",IF(C654&gt;=36,"Adultos mayores 36 años en adelante"))</f>
        <v>Adultos jóvenes 18 - 35 años</v>
      </c>
      <c r="E654" s="3" t="s">
        <v>5022</v>
      </c>
      <c r="F654" s="3" t="s">
        <v>5028</v>
      </c>
      <c r="G654" s="3" t="s">
        <v>5037</v>
      </c>
      <c r="H654" s="3" t="s">
        <v>9102</v>
      </c>
      <c r="I654" s="17">
        <v>45433</v>
      </c>
      <c r="J654" s="18">
        <f>YEAR(Tabla1[[#This Row],[FECHA DE COMPRA]])</f>
        <v>2024</v>
      </c>
      <c r="K654" s="19">
        <v>151.72999999999999</v>
      </c>
      <c r="L654" s="20">
        <v>0</v>
      </c>
      <c r="M654" s="19">
        <f>Tienda!$K1782-Tienda!$K1782*Tienda!$L1782</f>
        <v>103.82</v>
      </c>
      <c r="N654" s="3" t="s">
        <v>10040</v>
      </c>
      <c r="O654" s="3" t="s">
        <v>10041</v>
      </c>
      <c r="P654" s="17">
        <v>45433</v>
      </c>
      <c r="Q654" s="4">
        <v>0</v>
      </c>
    </row>
    <row r="655" spans="1:17" x14ac:dyDescent="0.25">
      <c r="A655" s="2" t="s">
        <v>1244</v>
      </c>
      <c r="B655" s="3" t="s">
        <v>5015</v>
      </c>
      <c r="C655" s="3">
        <v>25</v>
      </c>
      <c r="D655" s="46" t="str">
        <f>IF(Tabla1[[#This Row],[EDAD]]&lt;=35,"Adultos jóvenes 18 - 35 años",IF(C655&gt;=36,"Adultos mayores 36 años en adelante"))</f>
        <v>Adultos jóvenes 18 - 35 años</v>
      </c>
      <c r="E655" s="3" t="s">
        <v>5023</v>
      </c>
      <c r="F655" s="3" t="s">
        <v>5027</v>
      </c>
      <c r="G655" s="3" t="s">
        <v>5037</v>
      </c>
      <c r="H655" s="3" t="s">
        <v>6267</v>
      </c>
      <c r="I655" s="17">
        <v>45537</v>
      </c>
      <c r="J655" s="18">
        <f>YEAR(Tabla1[[#This Row],[FECHA DE COMPRA]])</f>
        <v>2024</v>
      </c>
      <c r="K655" s="19">
        <v>152.65</v>
      </c>
      <c r="L655" s="20">
        <v>0</v>
      </c>
      <c r="M655" s="19">
        <f>Tienda!$K1787-Tienda!$K1787*Tienda!$L1787</f>
        <v>47.180000000000007</v>
      </c>
      <c r="N655" s="3" t="s">
        <v>10040</v>
      </c>
      <c r="O655" s="3" t="s">
        <v>10041</v>
      </c>
      <c r="P655" s="17">
        <v>45537</v>
      </c>
      <c r="Q655" s="4">
        <v>0</v>
      </c>
    </row>
    <row r="656" spans="1:17" x14ac:dyDescent="0.25">
      <c r="A656" s="2" t="s">
        <v>1393</v>
      </c>
      <c r="B656" s="3" t="s">
        <v>5015</v>
      </c>
      <c r="C656" s="3">
        <v>27</v>
      </c>
      <c r="D656" s="46" t="str">
        <f>IF(Tabla1[[#This Row],[EDAD]]&lt;=35,"Adultos jóvenes 18 - 35 años",IF(C656&gt;=36,"Adultos mayores 36 años en adelante"))</f>
        <v>Adultos jóvenes 18 - 35 años</v>
      </c>
      <c r="E656" s="3" t="s">
        <v>5021</v>
      </c>
      <c r="F656" s="3" t="s">
        <v>5027</v>
      </c>
      <c r="G656" s="3" t="s">
        <v>5034</v>
      </c>
      <c r="H656" s="3" t="s">
        <v>6416</v>
      </c>
      <c r="I656" s="17">
        <v>45595</v>
      </c>
      <c r="J656" s="18">
        <f>YEAR(Tabla1[[#This Row],[FECHA DE COMPRA]])</f>
        <v>2024</v>
      </c>
      <c r="K656" s="19">
        <v>170.67</v>
      </c>
      <c r="L656" s="20">
        <v>0.1</v>
      </c>
      <c r="M656" s="19">
        <f>Tienda!$K1790-Tienda!$K1790*Tienda!$L1790</f>
        <v>81.650000000000006</v>
      </c>
      <c r="N656" s="3" t="s">
        <v>10040</v>
      </c>
      <c r="O656" s="3" t="s">
        <v>10041</v>
      </c>
      <c r="P656" s="17">
        <v>45595</v>
      </c>
      <c r="Q656" s="4">
        <v>0</v>
      </c>
    </row>
    <row r="657" spans="1:17" x14ac:dyDescent="0.25">
      <c r="A657" s="2" t="s">
        <v>4946</v>
      </c>
      <c r="B657" s="3" t="s">
        <v>5015</v>
      </c>
      <c r="C657" s="3">
        <v>30</v>
      </c>
      <c r="D657" s="46" t="str">
        <f>IF(Tabla1[[#This Row],[EDAD]]&lt;=35,"Adultos jóvenes 18 - 35 años",IF(C657&gt;=36,"Adultos mayores 36 años en adelante"))</f>
        <v>Adultos jóvenes 18 - 35 años</v>
      </c>
      <c r="E657" s="3" t="s">
        <v>5022</v>
      </c>
      <c r="F657" s="3" t="s">
        <v>5026</v>
      </c>
      <c r="G657" s="3" t="s">
        <v>5034</v>
      </c>
      <c r="H657" s="3" t="s">
        <v>9969</v>
      </c>
      <c r="I657" s="17">
        <v>45434</v>
      </c>
      <c r="J657" s="18">
        <f>YEAR(Tabla1[[#This Row],[FECHA DE COMPRA]])</f>
        <v>2024</v>
      </c>
      <c r="K657" s="19">
        <v>196.24</v>
      </c>
      <c r="L657" s="20">
        <v>0.2</v>
      </c>
      <c r="M657" s="19">
        <f>Tienda!$K1802-Tienda!$K1802*Tienda!$L1802</f>
        <v>15.965999999999998</v>
      </c>
      <c r="N657" s="3" t="s">
        <v>10040</v>
      </c>
      <c r="O657" s="3" t="s">
        <v>10041</v>
      </c>
      <c r="P657" s="17">
        <v>45434</v>
      </c>
      <c r="Q657" s="4">
        <v>0</v>
      </c>
    </row>
    <row r="658" spans="1:17" x14ac:dyDescent="0.25">
      <c r="A658" s="2" t="s">
        <v>2285</v>
      </c>
      <c r="B658" s="3" t="s">
        <v>5015</v>
      </c>
      <c r="C658" s="3">
        <v>35</v>
      </c>
      <c r="D658" s="46" t="str">
        <f>IF(Tabla1[[#This Row],[EDAD]]&lt;=35,"Adultos jóvenes 18 - 35 años",IF(C658&gt;=36,"Adultos mayores 36 años en adelante"))</f>
        <v>Adultos jóvenes 18 - 35 años</v>
      </c>
      <c r="E658" s="3" t="s">
        <v>5021</v>
      </c>
      <c r="F658" s="3" t="s">
        <v>5025</v>
      </c>
      <c r="G658" s="3" t="s">
        <v>5032</v>
      </c>
      <c r="H658" s="3" t="s">
        <v>7308</v>
      </c>
      <c r="I658" s="17">
        <v>45388</v>
      </c>
      <c r="J658" s="18">
        <f>YEAR(Tabla1[[#This Row],[FECHA DE COMPRA]])</f>
        <v>2024</v>
      </c>
      <c r="K658" s="19">
        <v>174.44</v>
      </c>
      <c r="L658" s="20">
        <v>0.1</v>
      </c>
      <c r="M658" s="19">
        <f>Tienda!$K1803-Tienda!$K1803*Tienda!$L1803</f>
        <v>25.832000000000001</v>
      </c>
      <c r="N658" s="3" t="s">
        <v>10040</v>
      </c>
      <c r="O658" s="3" t="s">
        <v>10041</v>
      </c>
      <c r="P658" s="17">
        <v>45388</v>
      </c>
      <c r="Q658" s="4">
        <v>0</v>
      </c>
    </row>
    <row r="659" spans="1:17" x14ac:dyDescent="0.25">
      <c r="A659" s="2" t="s">
        <v>1109</v>
      </c>
      <c r="B659" s="3" t="s">
        <v>5016</v>
      </c>
      <c r="C659" s="3">
        <v>24</v>
      </c>
      <c r="D659" s="46" t="str">
        <f>IF(Tabla1[[#This Row],[EDAD]]&lt;=35,"Adultos jóvenes 18 - 35 años",IF(C659&gt;=36,"Adultos mayores 36 años en adelante"))</f>
        <v>Adultos jóvenes 18 - 35 años</v>
      </c>
      <c r="E659" s="3" t="s">
        <v>5019</v>
      </c>
      <c r="F659" s="3" t="s">
        <v>5026</v>
      </c>
      <c r="G659" s="3" t="s">
        <v>5034</v>
      </c>
      <c r="H659" s="3" t="s">
        <v>6132</v>
      </c>
      <c r="I659" s="17">
        <v>45560</v>
      </c>
      <c r="J659" s="18">
        <f>YEAR(Tabla1[[#This Row],[FECHA DE COMPRA]])</f>
        <v>2024</v>
      </c>
      <c r="K659" s="19">
        <v>157.01</v>
      </c>
      <c r="L659" s="20">
        <v>0</v>
      </c>
      <c r="M659" s="19">
        <f>Tienda!$K1804-Tienda!$K1804*Tienda!$L1804</f>
        <v>28.655999999999999</v>
      </c>
      <c r="N659" s="3" t="s">
        <v>10040</v>
      </c>
      <c r="O659" s="3" t="s">
        <v>10041</v>
      </c>
      <c r="P659" s="17">
        <v>45560</v>
      </c>
      <c r="Q659" s="4">
        <v>0</v>
      </c>
    </row>
    <row r="660" spans="1:17" x14ac:dyDescent="0.25">
      <c r="A660" s="2" t="s">
        <v>4994</v>
      </c>
      <c r="B660" s="3" t="s">
        <v>5015</v>
      </c>
      <c r="C660" s="3">
        <v>29</v>
      </c>
      <c r="D660" s="46" t="str">
        <f>IF(Tabla1[[#This Row],[EDAD]]&lt;=35,"Adultos jóvenes 18 - 35 años",IF(C660&gt;=36,"Adultos mayores 36 años en adelante"))</f>
        <v>Adultos jóvenes 18 - 35 años</v>
      </c>
      <c r="E660" s="3" t="s">
        <v>5020</v>
      </c>
      <c r="F660" s="3" t="s">
        <v>5026</v>
      </c>
      <c r="G660" s="3" t="s">
        <v>5037</v>
      </c>
      <c r="H660" s="3" t="s">
        <v>10017</v>
      </c>
      <c r="I660" s="17">
        <v>45624</v>
      </c>
      <c r="J660" s="18">
        <f>YEAR(Tabla1[[#This Row],[FECHA DE COMPRA]])</f>
        <v>2024</v>
      </c>
      <c r="K660" s="19">
        <v>157.93</v>
      </c>
      <c r="L660" s="20">
        <v>0</v>
      </c>
      <c r="M660" s="19">
        <f>Tienda!$K1808-Tienda!$K1808*Tienda!$L1808</f>
        <v>53.06</v>
      </c>
      <c r="N660" s="3" t="s">
        <v>10040</v>
      </c>
      <c r="O660" s="3" t="s">
        <v>10041</v>
      </c>
      <c r="P660" s="17">
        <v>45409</v>
      </c>
      <c r="Q660" s="4">
        <v>0</v>
      </c>
    </row>
    <row r="661" spans="1:17" x14ac:dyDescent="0.25">
      <c r="A661" s="2" t="s">
        <v>125</v>
      </c>
      <c r="B661" s="3" t="s">
        <v>5015</v>
      </c>
      <c r="C661" s="3">
        <v>30</v>
      </c>
      <c r="D661" s="46" t="str">
        <f>IF(Tabla1[[#This Row],[EDAD]]&lt;=35,"Adultos jóvenes 18 - 35 años",IF(C661&gt;=36,"Adultos mayores 36 años en adelante"))</f>
        <v>Adultos jóvenes 18 - 35 años</v>
      </c>
      <c r="E661" s="3" t="s">
        <v>5018</v>
      </c>
      <c r="F661" s="3" t="s">
        <v>5027</v>
      </c>
      <c r="G661" s="3" t="s">
        <v>5035</v>
      </c>
      <c r="H661" s="3" t="s">
        <v>5148</v>
      </c>
      <c r="I661" s="17">
        <v>45380</v>
      </c>
      <c r="J661" s="18">
        <f>YEAR(Tabla1[[#This Row],[FECHA DE COMPRA]])</f>
        <v>2024</v>
      </c>
      <c r="K661" s="19">
        <v>178.76</v>
      </c>
      <c r="L661" s="20">
        <v>0.1</v>
      </c>
      <c r="M661" s="19">
        <f>Tienda!$K1819-Tienda!$K1819*Tienda!$L1819</f>
        <v>68.680000000000007</v>
      </c>
      <c r="N661" s="3" t="s">
        <v>10040</v>
      </c>
      <c r="O661" s="3" t="s">
        <v>10041</v>
      </c>
      <c r="P661" s="17">
        <v>45380</v>
      </c>
      <c r="Q661" s="4">
        <v>0</v>
      </c>
    </row>
    <row r="662" spans="1:17" x14ac:dyDescent="0.25">
      <c r="A662" s="2" t="s">
        <v>897</v>
      </c>
      <c r="B662" s="3" t="s">
        <v>5016</v>
      </c>
      <c r="C662" s="3">
        <v>34</v>
      </c>
      <c r="D662" s="46" t="str">
        <f>IF(Tabla1[[#This Row],[EDAD]]&lt;=35,"Adultos jóvenes 18 - 35 años",IF(C662&gt;=36,"Adultos mayores 36 años en adelante"))</f>
        <v>Adultos jóvenes 18 - 35 años</v>
      </c>
      <c r="E662" s="3" t="s">
        <v>5023</v>
      </c>
      <c r="F662" s="3" t="s">
        <v>5024</v>
      </c>
      <c r="G662" s="3" t="s">
        <v>5034</v>
      </c>
      <c r="H662" s="3" t="s">
        <v>5920</v>
      </c>
      <c r="I662" s="17">
        <v>45310</v>
      </c>
      <c r="J662" s="18">
        <f>YEAR(Tabla1[[#This Row],[FECHA DE COMPRA]])</f>
        <v>2024</v>
      </c>
      <c r="K662" s="19">
        <v>161.38</v>
      </c>
      <c r="L662" s="20">
        <v>0</v>
      </c>
      <c r="M662" s="19">
        <f>Tienda!$K1820-Tienda!$K1820*Tienda!$L1820</f>
        <v>66.864000000000004</v>
      </c>
      <c r="N662" s="3" t="s">
        <v>10040</v>
      </c>
      <c r="O662" s="3" t="s">
        <v>10041</v>
      </c>
      <c r="P662" s="17">
        <v>45310</v>
      </c>
      <c r="Q662" s="4">
        <v>0</v>
      </c>
    </row>
    <row r="663" spans="1:17" x14ac:dyDescent="0.25">
      <c r="A663" s="2" t="s">
        <v>2207</v>
      </c>
      <c r="B663" s="3" t="s">
        <v>5016</v>
      </c>
      <c r="C663" s="3">
        <v>31</v>
      </c>
      <c r="D663" s="46" t="str">
        <f>IF(Tabla1[[#This Row],[EDAD]]&lt;=35,"Adultos jóvenes 18 - 35 años",IF(C663&gt;=36,"Adultos mayores 36 años en adelante"))</f>
        <v>Adultos jóvenes 18 - 35 años</v>
      </c>
      <c r="E663" s="3" t="s">
        <v>5021</v>
      </c>
      <c r="F663" s="3" t="s">
        <v>5030</v>
      </c>
      <c r="G663" s="3" t="s">
        <v>5037</v>
      </c>
      <c r="H663" s="3" t="s">
        <v>7230</v>
      </c>
      <c r="I663" s="17">
        <v>45438</v>
      </c>
      <c r="J663" s="18">
        <f>YEAR(Tabla1[[#This Row],[FECHA DE COMPRA]])</f>
        <v>2024</v>
      </c>
      <c r="K663" s="19">
        <v>183.47</v>
      </c>
      <c r="L663" s="20">
        <v>0.1</v>
      </c>
      <c r="M663" s="19">
        <f>Tienda!$K1826-Tienda!$K1826*Tienda!$L1826</f>
        <v>126.18199999999999</v>
      </c>
      <c r="N663" s="3" t="s">
        <v>10040</v>
      </c>
      <c r="O663" s="3" t="s">
        <v>10041</v>
      </c>
      <c r="P663" s="17">
        <v>45438</v>
      </c>
      <c r="Q663" s="4">
        <v>0</v>
      </c>
    </row>
    <row r="664" spans="1:17" x14ac:dyDescent="0.25">
      <c r="A664" s="2" t="s">
        <v>157</v>
      </c>
      <c r="B664" s="3" t="s">
        <v>5015</v>
      </c>
      <c r="C664" s="3">
        <v>21</v>
      </c>
      <c r="D664" s="46" t="str">
        <f>IF(Tabla1[[#This Row],[EDAD]]&lt;=35,"Adultos jóvenes 18 - 35 años",IF(C664&gt;=36,"Adultos mayores 36 años en adelante"))</f>
        <v>Adultos jóvenes 18 - 35 años</v>
      </c>
      <c r="E664" s="3" t="s">
        <v>5022</v>
      </c>
      <c r="F664" s="3" t="s">
        <v>5027</v>
      </c>
      <c r="G664" s="3" t="s">
        <v>5034</v>
      </c>
      <c r="H664" s="3" t="s">
        <v>5180</v>
      </c>
      <c r="I664" s="17">
        <v>45571</v>
      </c>
      <c r="J664" s="18">
        <f>YEAR(Tabla1[[#This Row],[FECHA DE COMPRA]])</f>
        <v>2024</v>
      </c>
      <c r="K664" s="19">
        <v>185.37</v>
      </c>
      <c r="L664" s="20">
        <v>0.1</v>
      </c>
      <c r="M664" s="19">
        <f>Tienda!$K1831-Tienda!$K1831*Tienda!$L1831</f>
        <v>54.57</v>
      </c>
      <c r="N664" s="3" t="s">
        <v>10040</v>
      </c>
      <c r="O664" s="3" t="s">
        <v>10041</v>
      </c>
      <c r="P664" s="17">
        <v>45571</v>
      </c>
      <c r="Q664" s="4">
        <v>0</v>
      </c>
    </row>
    <row r="665" spans="1:17" x14ac:dyDescent="0.25">
      <c r="A665" s="2" t="s">
        <v>2711</v>
      </c>
      <c r="B665" s="3" t="s">
        <v>5015</v>
      </c>
      <c r="C665" s="3">
        <v>23</v>
      </c>
      <c r="D665" s="46" t="str">
        <f>IF(Tabla1[[#This Row],[EDAD]]&lt;=35,"Adultos jóvenes 18 - 35 años",IF(C665&gt;=36,"Adultos mayores 36 años en adelante"))</f>
        <v>Adultos jóvenes 18 - 35 años</v>
      </c>
      <c r="E665" s="3" t="s">
        <v>5022</v>
      </c>
      <c r="F665" s="3" t="s">
        <v>5030</v>
      </c>
      <c r="G665" s="3" t="s">
        <v>5032</v>
      </c>
      <c r="H665" s="3" t="s">
        <v>7734</v>
      </c>
      <c r="I665" s="17">
        <v>45570</v>
      </c>
      <c r="J665" s="18">
        <f>YEAR(Tabla1[[#This Row],[FECHA DE COMPRA]])</f>
        <v>2024</v>
      </c>
      <c r="K665" s="19">
        <v>188.62</v>
      </c>
      <c r="L665" s="20">
        <v>0.1</v>
      </c>
      <c r="M665" s="19">
        <f>Tienda!$K1841-Tienda!$K1841*Tienda!$L1841</f>
        <v>151.816</v>
      </c>
      <c r="N665" s="3" t="s">
        <v>10040</v>
      </c>
      <c r="O665" s="3" t="s">
        <v>10041</v>
      </c>
      <c r="P665" s="17">
        <v>45570</v>
      </c>
      <c r="Q665" s="4">
        <v>0</v>
      </c>
    </row>
    <row r="666" spans="1:17" x14ac:dyDescent="0.25">
      <c r="A666" s="2" t="s">
        <v>2773</v>
      </c>
      <c r="B666" s="3" t="s">
        <v>5015</v>
      </c>
      <c r="C666" s="3">
        <v>18</v>
      </c>
      <c r="D666" s="46" t="str">
        <f>IF(Tabla1[[#This Row],[EDAD]]&lt;=35,"Adultos jóvenes 18 - 35 años",IF(C666&gt;=36,"Adultos mayores 36 años en adelante"))</f>
        <v>Adultos jóvenes 18 - 35 años</v>
      </c>
      <c r="E666" s="3" t="s">
        <v>5022</v>
      </c>
      <c r="F666" s="3" t="s">
        <v>5030</v>
      </c>
      <c r="G666" s="3" t="s">
        <v>5035</v>
      </c>
      <c r="H666" s="3" t="s">
        <v>7796</v>
      </c>
      <c r="I666" s="17">
        <v>45337</v>
      </c>
      <c r="J666" s="18">
        <f>YEAR(Tabla1[[#This Row],[FECHA DE COMPRA]])</f>
        <v>2024</v>
      </c>
      <c r="K666" s="19">
        <v>170.18</v>
      </c>
      <c r="L666" s="20">
        <v>0</v>
      </c>
      <c r="M666" s="19">
        <f>Tienda!$K1842-Tienda!$K1842*Tienda!$L1842</f>
        <v>173.02500000000001</v>
      </c>
      <c r="N666" s="3" t="s">
        <v>10040</v>
      </c>
      <c r="O666" s="3" t="s">
        <v>10041</v>
      </c>
      <c r="P666" s="17">
        <v>45337</v>
      </c>
      <c r="Q666" s="4">
        <v>0</v>
      </c>
    </row>
    <row r="667" spans="1:17" x14ac:dyDescent="0.25">
      <c r="A667" s="2" t="s">
        <v>4560</v>
      </c>
      <c r="B667" s="3" t="s">
        <v>5016</v>
      </c>
      <c r="C667" s="3">
        <v>27</v>
      </c>
      <c r="D667" s="46" t="str">
        <f>IF(Tabla1[[#This Row],[EDAD]]&lt;=35,"Adultos jóvenes 18 - 35 años",IF(C667&gt;=36,"Adultos mayores 36 años en adelante"))</f>
        <v>Adultos jóvenes 18 - 35 años</v>
      </c>
      <c r="E667" s="3" t="s">
        <v>5017</v>
      </c>
      <c r="F667" s="3" t="s">
        <v>5025</v>
      </c>
      <c r="G667" s="3" t="s">
        <v>5036</v>
      </c>
      <c r="H667" s="3" t="s">
        <v>9583</v>
      </c>
      <c r="I667" s="17">
        <v>45656</v>
      </c>
      <c r="J667" s="18">
        <f>YEAR(Tabla1[[#This Row],[FECHA DE COMPRA]])</f>
        <v>2024</v>
      </c>
      <c r="K667" s="19">
        <v>189.18</v>
      </c>
      <c r="L667" s="20">
        <v>0.1</v>
      </c>
      <c r="M667" s="19">
        <f>Tienda!$K1843-Tienda!$K1843*Tienda!$L1843</f>
        <v>39.39</v>
      </c>
      <c r="N667" s="3" t="s">
        <v>10040</v>
      </c>
      <c r="O667" s="3" t="s">
        <v>10041</v>
      </c>
      <c r="P667" s="17">
        <v>45656</v>
      </c>
      <c r="Q667" s="4">
        <v>0</v>
      </c>
    </row>
    <row r="668" spans="1:17" x14ac:dyDescent="0.25">
      <c r="A668" s="2" t="s">
        <v>153</v>
      </c>
      <c r="B668" s="3" t="s">
        <v>5015</v>
      </c>
      <c r="C668" s="3">
        <v>26</v>
      </c>
      <c r="D668" s="46" t="str">
        <f>IF(Tabla1[[#This Row],[EDAD]]&lt;=35,"Adultos jóvenes 18 - 35 años",IF(C668&gt;=36,"Adultos mayores 36 años en adelante"))</f>
        <v>Adultos jóvenes 18 - 35 años</v>
      </c>
      <c r="E668" s="3" t="s">
        <v>5017</v>
      </c>
      <c r="F668" s="3" t="s">
        <v>5030</v>
      </c>
      <c r="G668" s="3" t="s">
        <v>5032</v>
      </c>
      <c r="H668" s="3" t="s">
        <v>5176</v>
      </c>
      <c r="I668" s="17">
        <v>45649</v>
      </c>
      <c r="J668" s="18">
        <f>YEAR(Tabla1[[#This Row],[FECHA DE COMPRA]])</f>
        <v>2024</v>
      </c>
      <c r="K668" s="19">
        <v>191.09</v>
      </c>
      <c r="L668" s="20">
        <v>0.1</v>
      </c>
      <c r="M668" s="19">
        <f>Tienda!$K1847-Tienda!$K1847*Tienda!$L1847</f>
        <v>86.56</v>
      </c>
      <c r="N668" s="3" t="s">
        <v>10040</v>
      </c>
      <c r="O668" s="3" t="s">
        <v>10041</v>
      </c>
      <c r="P668" s="17">
        <v>45297</v>
      </c>
      <c r="Q668" s="4">
        <v>0</v>
      </c>
    </row>
    <row r="669" spans="1:17" x14ac:dyDescent="0.25">
      <c r="A669" s="2" t="s">
        <v>3625</v>
      </c>
      <c r="B669" s="3" t="s">
        <v>5015</v>
      </c>
      <c r="C669" s="3">
        <v>18</v>
      </c>
      <c r="D669" s="46" t="str">
        <f>IF(Tabla1[[#This Row],[EDAD]]&lt;=35,"Adultos jóvenes 18 - 35 años",IF(C669&gt;=36,"Adultos mayores 36 años en adelante"))</f>
        <v>Adultos jóvenes 18 - 35 años</v>
      </c>
      <c r="E669" s="3" t="s">
        <v>5023</v>
      </c>
      <c r="F669" s="3" t="s">
        <v>5024</v>
      </c>
      <c r="G669" s="3" t="s">
        <v>5037</v>
      </c>
      <c r="H669" s="3" t="s">
        <v>8648</v>
      </c>
      <c r="I669" s="17">
        <v>45571</v>
      </c>
      <c r="J669" s="18">
        <f>YEAR(Tabla1[[#This Row],[FECHA DE COMPRA]])</f>
        <v>2024</v>
      </c>
      <c r="K669" s="19">
        <v>192.23</v>
      </c>
      <c r="L669" s="20">
        <v>0.1</v>
      </c>
      <c r="M669" s="19">
        <f>Tienda!$K1848-Tienda!$K1848*Tienda!$L1848</f>
        <v>75.942999999999998</v>
      </c>
      <c r="N669" s="3" t="s">
        <v>10040</v>
      </c>
      <c r="O669" s="3" t="s">
        <v>10041</v>
      </c>
      <c r="P669" s="17">
        <v>45571</v>
      </c>
      <c r="Q669" s="4">
        <v>0</v>
      </c>
    </row>
    <row r="670" spans="1:17" x14ac:dyDescent="0.25">
      <c r="A670" s="2" t="s">
        <v>4741</v>
      </c>
      <c r="B670" s="3" t="s">
        <v>5015</v>
      </c>
      <c r="C670" s="3">
        <v>24</v>
      </c>
      <c r="D670" s="46" t="str">
        <f>IF(Tabla1[[#This Row],[EDAD]]&lt;=35,"Adultos jóvenes 18 - 35 años",IF(C670&gt;=36,"Adultos mayores 36 años en adelante"))</f>
        <v>Adultos jóvenes 18 - 35 años</v>
      </c>
      <c r="E670" s="3" t="s">
        <v>5020</v>
      </c>
      <c r="F670" s="3" t="s">
        <v>5025</v>
      </c>
      <c r="G670" s="3" t="s">
        <v>5031</v>
      </c>
      <c r="H670" s="3" t="s">
        <v>9764</v>
      </c>
      <c r="I670" s="17">
        <v>45323</v>
      </c>
      <c r="J670" s="18">
        <f>YEAR(Tabla1[[#This Row],[FECHA DE COMPRA]])</f>
        <v>2024</v>
      </c>
      <c r="K670" s="19">
        <v>194.69</v>
      </c>
      <c r="L670" s="20">
        <v>0.1</v>
      </c>
      <c r="M670" s="19">
        <f>Tienda!$K1852-Tienda!$K1852*Tienda!$L1852</f>
        <v>131.488</v>
      </c>
      <c r="N670" s="3" t="s">
        <v>10040</v>
      </c>
      <c r="O670" s="3" t="s">
        <v>10041</v>
      </c>
      <c r="P670" s="17">
        <v>45323</v>
      </c>
      <c r="Q670" s="4">
        <v>0</v>
      </c>
    </row>
    <row r="671" spans="1:17" x14ac:dyDescent="0.25">
      <c r="A671" s="2" t="s">
        <v>3810</v>
      </c>
      <c r="B671" s="3" t="s">
        <v>5016</v>
      </c>
      <c r="C671" s="3">
        <v>33</v>
      </c>
      <c r="D671" s="46" t="str">
        <f>IF(Tabla1[[#This Row],[EDAD]]&lt;=35,"Adultos jóvenes 18 - 35 años",IF(C671&gt;=36,"Adultos mayores 36 años en adelante"))</f>
        <v>Adultos jóvenes 18 - 35 años</v>
      </c>
      <c r="E671" s="3" t="s">
        <v>5023</v>
      </c>
      <c r="F671" s="3" t="s">
        <v>5024</v>
      </c>
      <c r="G671" s="3" t="s">
        <v>5034</v>
      </c>
      <c r="H671" s="3" t="s">
        <v>8833</v>
      </c>
      <c r="I671" s="17">
        <v>45541</v>
      </c>
      <c r="J671" s="18">
        <f>YEAR(Tabla1[[#This Row],[FECHA DE COMPRA]])</f>
        <v>2024</v>
      </c>
      <c r="K671" s="19">
        <v>196.1</v>
      </c>
      <c r="L671" s="20">
        <v>0.1</v>
      </c>
      <c r="M671" s="19">
        <f>Tienda!$K1854-Tienda!$K1854*Tienda!$L1854</f>
        <v>167.46299999999999</v>
      </c>
      <c r="N671" s="3" t="s">
        <v>10040</v>
      </c>
      <c r="O671" s="3" t="s">
        <v>10041</v>
      </c>
      <c r="P671" s="17">
        <v>45541</v>
      </c>
      <c r="Q671" s="4">
        <v>0</v>
      </c>
    </row>
    <row r="672" spans="1:17" x14ac:dyDescent="0.25">
      <c r="A672" s="2" t="s">
        <v>3233</v>
      </c>
      <c r="B672" s="3" t="s">
        <v>5015</v>
      </c>
      <c r="C672" s="3">
        <v>26</v>
      </c>
      <c r="D672" s="46" t="str">
        <f>IF(Tabla1[[#This Row],[EDAD]]&lt;=35,"Adultos jóvenes 18 - 35 años",IF(C672&gt;=36,"Adultos mayores 36 años en adelante"))</f>
        <v>Adultos jóvenes 18 - 35 años</v>
      </c>
      <c r="E672" s="3" t="s">
        <v>5020</v>
      </c>
      <c r="F672" s="3" t="s">
        <v>5029</v>
      </c>
      <c r="G672" s="3" t="s">
        <v>5036</v>
      </c>
      <c r="H672" s="3" t="s">
        <v>8256</v>
      </c>
      <c r="I672" s="17">
        <v>45636</v>
      </c>
      <c r="J672" s="18">
        <f>YEAR(Tabla1[[#This Row],[FECHA DE COMPRA]])</f>
        <v>2024</v>
      </c>
      <c r="K672" s="19">
        <v>188.49</v>
      </c>
      <c r="L672" s="20">
        <v>0</v>
      </c>
      <c r="M672" s="19">
        <f>Tienda!$K1872-Tienda!$K1872*Tienda!$L1872</f>
        <v>61.686000000000007</v>
      </c>
      <c r="N672" s="3" t="s">
        <v>10040</v>
      </c>
      <c r="O672" s="3" t="s">
        <v>10041</v>
      </c>
      <c r="P672" s="17">
        <v>45458</v>
      </c>
      <c r="Q672" s="4">
        <v>0</v>
      </c>
    </row>
    <row r="673" spans="1:17" x14ac:dyDescent="0.25">
      <c r="A673" s="2" t="s">
        <v>3669</v>
      </c>
      <c r="B673" s="3" t="s">
        <v>5015</v>
      </c>
      <c r="C673" s="3">
        <v>30</v>
      </c>
      <c r="D673" s="46" t="str">
        <f>IF(Tabla1[[#This Row],[EDAD]]&lt;=35,"Adultos jóvenes 18 - 35 años",IF(C673&gt;=36,"Adultos mayores 36 años en adelante"))</f>
        <v>Adultos jóvenes 18 - 35 años</v>
      </c>
      <c r="E673" s="3" t="s">
        <v>5023</v>
      </c>
      <c r="F673" s="3" t="s">
        <v>5024</v>
      </c>
      <c r="G673" s="3" t="s">
        <v>5031</v>
      </c>
      <c r="H673" s="3" t="s">
        <v>8692</v>
      </c>
      <c r="I673" s="17">
        <v>45492</v>
      </c>
      <c r="J673" s="18">
        <f>YEAR(Tabla1[[#This Row],[FECHA DE COMPRA]])</f>
        <v>2024</v>
      </c>
      <c r="K673" s="19">
        <v>189.13</v>
      </c>
      <c r="L673" s="20">
        <v>0</v>
      </c>
      <c r="M673" s="19">
        <f>Tienda!$K1875-Tienda!$K1875*Tienda!$L1875</f>
        <v>57.834000000000003</v>
      </c>
      <c r="N673" s="3" t="s">
        <v>10040</v>
      </c>
      <c r="O673" s="3" t="s">
        <v>10041</v>
      </c>
      <c r="P673" s="17">
        <v>45492</v>
      </c>
      <c r="Q673" s="4">
        <v>0</v>
      </c>
    </row>
    <row r="674" spans="1:17" x14ac:dyDescent="0.25">
      <c r="A674" s="2" t="s">
        <v>2057</v>
      </c>
      <c r="B674" s="3" t="s">
        <v>5015</v>
      </c>
      <c r="C674" s="3">
        <v>35</v>
      </c>
      <c r="D674" s="46" t="str">
        <f>IF(Tabla1[[#This Row],[EDAD]]&lt;=35,"Adultos jóvenes 18 - 35 años",IF(C674&gt;=36,"Adultos mayores 36 años en adelante"))</f>
        <v>Adultos jóvenes 18 - 35 años</v>
      </c>
      <c r="E674" s="3" t="s">
        <v>5020</v>
      </c>
      <c r="F674" s="3" t="s">
        <v>5030</v>
      </c>
      <c r="G674" s="3" t="s">
        <v>5035</v>
      </c>
      <c r="H674" s="3" t="s">
        <v>7080</v>
      </c>
      <c r="I674" s="17">
        <v>45348</v>
      </c>
      <c r="J674" s="18">
        <f>YEAR(Tabla1[[#This Row],[FECHA DE COMPRA]])</f>
        <v>2024</v>
      </c>
      <c r="K674" s="19">
        <v>193.84</v>
      </c>
      <c r="L674" s="20">
        <v>0</v>
      </c>
      <c r="M674" s="19">
        <f>Tienda!$K1878-Tienda!$K1878*Tienda!$L1878</f>
        <v>106.34399999999999</v>
      </c>
      <c r="N674" s="3" t="s">
        <v>10040</v>
      </c>
      <c r="O674" s="3" t="s">
        <v>10041</v>
      </c>
      <c r="P674" s="17">
        <v>45348</v>
      </c>
      <c r="Q674" s="4">
        <v>0</v>
      </c>
    </row>
    <row r="675" spans="1:17" x14ac:dyDescent="0.25">
      <c r="A675" s="2" t="s">
        <v>4756</v>
      </c>
      <c r="B675" s="3" t="s">
        <v>5015</v>
      </c>
      <c r="C675" s="3">
        <v>33</v>
      </c>
      <c r="D675" s="46" t="str">
        <f>IF(Tabla1[[#This Row],[EDAD]]&lt;=35,"Adultos jóvenes 18 - 35 años",IF(C675&gt;=36,"Adultos mayores 36 años en adelante"))</f>
        <v>Adultos jóvenes 18 - 35 años</v>
      </c>
      <c r="E675" s="3" t="s">
        <v>5022</v>
      </c>
      <c r="F675" s="3" t="s">
        <v>5024</v>
      </c>
      <c r="G675" s="3" t="s">
        <v>5033</v>
      </c>
      <c r="H675" s="3" t="s">
        <v>9779</v>
      </c>
      <c r="I675" s="17">
        <v>45382</v>
      </c>
      <c r="J675" s="18">
        <f>YEAR(Tabla1[[#This Row],[FECHA DE COMPRA]])</f>
        <v>2024</v>
      </c>
      <c r="K675" s="19">
        <v>194.29</v>
      </c>
      <c r="L675" s="20">
        <v>0</v>
      </c>
      <c r="M675" s="19">
        <f>Tienda!$K1880-Tienda!$K1880*Tienda!$L1880</f>
        <v>127.16099999999999</v>
      </c>
      <c r="N675" s="3" t="s">
        <v>10040</v>
      </c>
      <c r="O675" s="3" t="s">
        <v>10041</v>
      </c>
      <c r="P675" s="17">
        <v>45382</v>
      </c>
      <c r="Q675" s="4">
        <v>0</v>
      </c>
    </row>
    <row r="676" spans="1:17" x14ac:dyDescent="0.25">
      <c r="A676" s="2" t="s">
        <v>139</v>
      </c>
      <c r="B676" s="3" t="s">
        <v>5015</v>
      </c>
      <c r="C676" s="3">
        <v>30</v>
      </c>
      <c r="D676" s="46" t="str">
        <f>IF(Tabla1[[#This Row],[EDAD]]&lt;=35,"Adultos jóvenes 18 - 35 años",IF(C676&gt;=36,"Adultos mayores 36 años en adelante"))</f>
        <v>Adultos jóvenes 18 - 35 años</v>
      </c>
      <c r="E676" s="3" t="s">
        <v>5018</v>
      </c>
      <c r="F676" s="3" t="s">
        <v>5026</v>
      </c>
      <c r="G676" s="3" t="s">
        <v>5035</v>
      </c>
      <c r="H676" s="3" t="s">
        <v>5162</v>
      </c>
      <c r="I676" s="17">
        <v>45453</v>
      </c>
      <c r="J676" s="18">
        <f>YEAR(Tabla1[[#This Row],[FECHA DE COMPRA]])</f>
        <v>2024</v>
      </c>
      <c r="K676" s="19">
        <v>196.4</v>
      </c>
      <c r="L676" s="20">
        <v>0</v>
      </c>
      <c r="M676" s="19">
        <f>Tienda!$K1881-Tienda!$K1881*Tienda!$L1881</f>
        <v>10.017000000000001</v>
      </c>
      <c r="N676" s="3" t="s">
        <v>10040</v>
      </c>
      <c r="O676" s="3" t="s">
        <v>10041</v>
      </c>
      <c r="P676" s="17">
        <v>45453</v>
      </c>
      <c r="Q676" s="4">
        <v>0</v>
      </c>
    </row>
    <row r="677" spans="1:17" x14ac:dyDescent="0.25">
      <c r="A677" s="2" t="s">
        <v>593</v>
      </c>
      <c r="B677" s="3" t="s">
        <v>5015</v>
      </c>
      <c r="C677" s="3">
        <v>19</v>
      </c>
      <c r="D677" s="46" t="str">
        <f>IF(Tabla1[[#This Row],[EDAD]]&lt;=35,"Adultos jóvenes 18 - 35 años",IF(C677&gt;=36,"Adultos mayores 36 años en adelante"))</f>
        <v>Adultos jóvenes 18 - 35 años</v>
      </c>
      <c r="E677" s="3" t="s">
        <v>5021</v>
      </c>
      <c r="F677" s="3" t="s">
        <v>5025</v>
      </c>
      <c r="G677" s="3" t="s">
        <v>5036</v>
      </c>
      <c r="H677" s="3" t="s">
        <v>5616</v>
      </c>
      <c r="I677" s="17">
        <v>45371</v>
      </c>
      <c r="J677" s="18">
        <f>YEAR(Tabla1[[#This Row],[FECHA DE COMPRA]])</f>
        <v>2024</v>
      </c>
      <c r="K677" s="19">
        <v>197.85</v>
      </c>
      <c r="L677" s="20">
        <v>0</v>
      </c>
      <c r="M677" s="19">
        <f>Tienda!$K1884-Tienda!$K1884*Tienda!$L1884</f>
        <v>129.72999999999999</v>
      </c>
      <c r="N677" s="3" t="s">
        <v>10040</v>
      </c>
      <c r="O677" s="3" t="s">
        <v>10041</v>
      </c>
      <c r="P677" s="17">
        <v>45371</v>
      </c>
      <c r="Q677" s="4">
        <v>0</v>
      </c>
    </row>
    <row r="678" spans="1:17" x14ac:dyDescent="0.25">
      <c r="A678" s="2" t="s">
        <v>4961</v>
      </c>
      <c r="B678" s="3" t="s">
        <v>5015</v>
      </c>
      <c r="C678" s="3">
        <v>29</v>
      </c>
      <c r="D678" s="46" t="str">
        <f>IF(Tabla1[[#This Row],[EDAD]]&lt;=35,"Adultos jóvenes 18 - 35 años",IF(C678&gt;=36,"Adultos mayores 36 años en adelante"))</f>
        <v>Adultos jóvenes 18 - 35 años</v>
      </c>
      <c r="E678" s="3" t="s">
        <v>5022</v>
      </c>
      <c r="F678" s="3" t="s">
        <v>5030</v>
      </c>
      <c r="G678" s="3" t="s">
        <v>5032</v>
      </c>
      <c r="H678" s="3" t="s">
        <v>9984</v>
      </c>
      <c r="I678" s="17">
        <v>45344</v>
      </c>
      <c r="J678" s="18">
        <f>YEAR(Tabla1[[#This Row],[FECHA DE COMPRA]])</f>
        <v>2024</v>
      </c>
      <c r="K678" s="19">
        <v>11.76</v>
      </c>
      <c r="L678" s="20">
        <v>0.1</v>
      </c>
      <c r="M678" s="19">
        <f>Tienda!$K1892-Tienda!$K1892*Tienda!$L1892</f>
        <v>140.01300000000001</v>
      </c>
      <c r="N678" s="3" t="s">
        <v>10040</v>
      </c>
      <c r="O678" s="3" t="s">
        <v>10041</v>
      </c>
      <c r="P678" s="17">
        <v>45704</v>
      </c>
      <c r="Q678" s="4">
        <v>0</v>
      </c>
    </row>
    <row r="679" spans="1:17" x14ac:dyDescent="0.25">
      <c r="A679" s="2" t="s">
        <v>4337</v>
      </c>
      <c r="B679" s="3" t="s">
        <v>5015</v>
      </c>
      <c r="C679" s="3">
        <v>35</v>
      </c>
      <c r="D679" s="46" t="str">
        <f>IF(Tabla1[[#This Row],[EDAD]]&lt;=35,"Adultos jóvenes 18 - 35 años",IF(C679&gt;=36,"Adultos mayores 36 años en adelante"))</f>
        <v>Adultos jóvenes 18 - 35 años</v>
      </c>
      <c r="E679" s="3" t="s">
        <v>5022</v>
      </c>
      <c r="F679" s="3" t="s">
        <v>5027</v>
      </c>
      <c r="G679" s="3" t="s">
        <v>5034</v>
      </c>
      <c r="H679" s="3" t="s">
        <v>9360</v>
      </c>
      <c r="I679" s="17">
        <v>45550</v>
      </c>
      <c r="J679" s="18">
        <f>YEAR(Tabla1[[#This Row],[FECHA DE COMPRA]])</f>
        <v>2024</v>
      </c>
      <c r="K679" s="19">
        <v>13.24</v>
      </c>
      <c r="L679" s="20">
        <v>0.2</v>
      </c>
      <c r="M679" s="19">
        <f>Tienda!$K1893-Tienda!$K1893*Tienda!$L1893</f>
        <v>160.13999999999999</v>
      </c>
      <c r="N679" s="3" t="s">
        <v>10040</v>
      </c>
      <c r="O679" s="3" t="s">
        <v>10041</v>
      </c>
      <c r="P679" s="17">
        <v>45640</v>
      </c>
      <c r="Q679" s="4">
        <v>0</v>
      </c>
    </row>
    <row r="680" spans="1:17" x14ac:dyDescent="0.25">
      <c r="A680" s="2" t="s">
        <v>2223</v>
      </c>
      <c r="B680" s="3" t="s">
        <v>5015</v>
      </c>
      <c r="C680" s="3">
        <v>25</v>
      </c>
      <c r="D680" s="46" t="str">
        <f>IF(Tabla1[[#This Row],[EDAD]]&lt;=35,"Adultos jóvenes 18 - 35 años",IF(C680&gt;=36,"Adultos mayores 36 años en adelante"))</f>
        <v>Adultos jóvenes 18 - 35 años</v>
      </c>
      <c r="E680" s="3" t="s">
        <v>5022</v>
      </c>
      <c r="F680" s="3" t="s">
        <v>5030</v>
      </c>
      <c r="G680" s="3" t="s">
        <v>5031</v>
      </c>
      <c r="H680" s="3" t="s">
        <v>7246</v>
      </c>
      <c r="I680" s="17">
        <v>45502</v>
      </c>
      <c r="J680" s="18">
        <f>YEAR(Tabla1[[#This Row],[FECHA DE COMPRA]])</f>
        <v>2024</v>
      </c>
      <c r="K680" s="19">
        <v>14.5</v>
      </c>
      <c r="L680" s="20">
        <v>0.2</v>
      </c>
      <c r="M680" s="19">
        <f>Tienda!$K1895-Tienda!$K1895*Tienda!$L1895</f>
        <v>41.328000000000003</v>
      </c>
      <c r="N680" s="3" t="s">
        <v>10040</v>
      </c>
      <c r="O680" s="3" t="s">
        <v>10041</v>
      </c>
      <c r="P680" s="17">
        <v>45682</v>
      </c>
      <c r="Q680" s="4">
        <v>0</v>
      </c>
    </row>
    <row r="681" spans="1:17" x14ac:dyDescent="0.25">
      <c r="A681" s="2" t="s">
        <v>2465</v>
      </c>
      <c r="B681" s="3" t="s">
        <v>5015</v>
      </c>
      <c r="C681" s="3">
        <v>29</v>
      </c>
      <c r="D681" s="46" t="str">
        <f>IF(Tabla1[[#This Row],[EDAD]]&lt;=35,"Adultos jóvenes 18 - 35 años",IF(C681&gt;=36,"Adultos mayores 36 años en adelante"))</f>
        <v>Adultos jóvenes 18 - 35 años</v>
      </c>
      <c r="E681" s="3" t="s">
        <v>5017</v>
      </c>
      <c r="F681" s="3" t="s">
        <v>5030</v>
      </c>
      <c r="G681" s="3" t="s">
        <v>5033</v>
      </c>
      <c r="H681" s="3" t="s">
        <v>7488</v>
      </c>
      <c r="I681" s="17">
        <v>45639</v>
      </c>
      <c r="J681" s="18">
        <f>YEAR(Tabla1[[#This Row],[FECHA DE COMPRA]])</f>
        <v>2024</v>
      </c>
      <c r="K681" s="19">
        <v>12.94</v>
      </c>
      <c r="L681" s="20">
        <v>0.1</v>
      </c>
      <c r="M681" s="19">
        <f>Tienda!$K1897-Tienda!$K1897*Tienda!$L1897</f>
        <v>33.558</v>
      </c>
      <c r="N681" s="3" t="s">
        <v>10040</v>
      </c>
      <c r="O681" s="3" t="s">
        <v>10041</v>
      </c>
      <c r="P681" s="17">
        <v>45729</v>
      </c>
      <c r="Q681" s="4">
        <v>0</v>
      </c>
    </row>
    <row r="682" spans="1:17" x14ac:dyDescent="0.25">
      <c r="A682" s="2" t="s">
        <v>228</v>
      </c>
      <c r="B682" s="3" t="s">
        <v>5016</v>
      </c>
      <c r="C682" s="3">
        <v>34</v>
      </c>
      <c r="D682" s="46" t="str">
        <f>IF(Tabla1[[#This Row],[EDAD]]&lt;=35,"Adultos jóvenes 18 - 35 años",IF(C682&gt;=36,"Adultos mayores 36 años en adelante"))</f>
        <v>Adultos jóvenes 18 - 35 años</v>
      </c>
      <c r="E682" s="3" t="s">
        <v>5019</v>
      </c>
      <c r="F682" s="3" t="s">
        <v>5026</v>
      </c>
      <c r="G682" s="3" t="s">
        <v>5035</v>
      </c>
      <c r="H682" s="3" t="s">
        <v>5251</v>
      </c>
      <c r="I682" s="17">
        <v>45423</v>
      </c>
      <c r="J682" s="18">
        <f>YEAR(Tabla1[[#This Row],[FECHA DE COMPRA]])</f>
        <v>2024</v>
      </c>
      <c r="K682" s="19">
        <v>18.66</v>
      </c>
      <c r="L682" s="20">
        <v>0.3</v>
      </c>
      <c r="M682" s="19">
        <f>Tienda!$K1900-Tienda!$K1900*Tienda!$L1900</f>
        <v>98.342999999999989</v>
      </c>
      <c r="N682" s="3" t="s">
        <v>10040</v>
      </c>
      <c r="O682" s="3" t="s">
        <v>10041</v>
      </c>
      <c r="P682" s="17">
        <v>45603</v>
      </c>
      <c r="Q682" s="4">
        <v>0</v>
      </c>
    </row>
    <row r="683" spans="1:17" x14ac:dyDescent="0.25">
      <c r="A683" s="2" t="s">
        <v>3326</v>
      </c>
      <c r="B683" s="3" t="s">
        <v>5016</v>
      </c>
      <c r="C683" s="3">
        <v>30</v>
      </c>
      <c r="D683" s="46" t="str">
        <f>IF(Tabla1[[#This Row],[EDAD]]&lt;=35,"Adultos jóvenes 18 - 35 años",IF(C683&gt;=36,"Adultos mayores 36 años en adelante"))</f>
        <v>Adultos jóvenes 18 - 35 años</v>
      </c>
      <c r="E683" s="3" t="s">
        <v>5017</v>
      </c>
      <c r="F683" s="3" t="s">
        <v>5025</v>
      </c>
      <c r="G683" s="3" t="s">
        <v>5033</v>
      </c>
      <c r="H683" s="3" t="s">
        <v>8349</v>
      </c>
      <c r="I683" s="17">
        <v>45624</v>
      </c>
      <c r="J683" s="18">
        <f>YEAR(Tabla1[[#This Row],[FECHA DE COMPRA]])</f>
        <v>2024</v>
      </c>
      <c r="K683" s="19">
        <v>15.26</v>
      </c>
      <c r="L683" s="20">
        <v>0.1</v>
      </c>
      <c r="M683" s="19">
        <f>Tienda!$K1903-Tienda!$K1903*Tienda!$L1903</f>
        <v>92.889999999999986</v>
      </c>
      <c r="N683" s="3" t="s">
        <v>10040</v>
      </c>
      <c r="O683" s="3" t="s">
        <v>10041</v>
      </c>
      <c r="P683" s="17">
        <v>45859</v>
      </c>
      <c r="Q683" s="4">
        <v>0</v>
      </c>
    </row>
    <row r="684" spans="1:17" x14ac:dyDescent="0.25">
      <c r="A684" s="2" t="s">
        <v>3774</v>
      </c>
      <c r="B684" s="3" t="s">
        <v>5015</v>
      </c>
      <c r="C684" s="3">
        <v>26</v>
      </c>
      <c r="D684" s="46" t="str">
        <f>IF(Tabla1[[#This Row],[EDAD]]&lt;=35,"Adultos jóvenes 18 - 35 años",IF(C684&gt;=36,"Adultos mayores 36 años en adelante"))</f>
        <v>Adultos jóvenes 18 - 35 años</v>
      </c>
      <c r="E684" s="3" t="s">
        <v>5021</v>
      </c>
      <c r="F684" s="3" t="s">
        <v>5029</v>
      </c>
      <c r="G684" s="3" t="s">
        <v>5034</v>
      </c>
      <c r="H684" s="3" t="s">
        <v>8797</v>
      </c>
      <c r="I684" s="17">
        <v>45345</v>
      </c>
      <c r="J684" s="18">
        <f>YEAR(Tabla1[[#This Row],[FECHA DE COMPRA]])</f>
        <v>2024</v>
      </c>
      <c r="K684" s="19">
        <v>20.46</v>
      </c>
      <c r="L684" s="20">
        <v>0.3</v>
      </c>
      <c r="M684" s="19">
        <f>Tienda!$K1904-Tienda!$K1904*Tienda!$L1904</f>
        <v>116.50800000000001</v>
      </c>
      <c r="N684" s="3" t="s">
        <v>10040</v>
      </c>
      <c r="O684" s="3" t="s">
        <v>10041</v>
      </c>
      <c r="P684" s="17">
        <v>45525</v>
      </c>
      <c r="Q684" s="4">
        <v>0</v>
      </c>
    </row>
    <row r="685" spans="1:17" x14ac:dyDescent="0.25">
      <c r="A685" s="2" t="s">
        <v>1823</v>
      </c>
      <c r="B685" s="3" t="s">
        <v>5015</v>
      </c>
      <c r="C685" s="3">
        <v>20</v>
      </c>
      <c r="D685" s="46" t="str">
        <f>IF(Tabla1[[#This Row],[EDAD]]&lt;=35,"Adultos jóvenes 18 - 35 años",IF(C685&gt;=36,"Adultos mayores 36 años en adelante"))</f>
        <v>Adultos jóvenes 18 - 35 años</v>
      </c>
      <c r="E685" s="3" t="s">
        <v>5020</v>
      </c>
      <c r="F685" s="3" t="s">
        <v>5025</v>
      </c>
      <c r="G685" s="3" t="s">
        <v>5033</v>
      </c>
      <c r="H685" s="3" t="s">
        <v>6846</v>
      </c>
      <c r="I685" s="17">
        <v>45376</v>
      </c>
      <c r="J685" s="18">
        <f>YEAR(Tabla1[[#This Row],[FECHA DE COMPRA]])</f>
        <v>2024</v>
      </c>
      <c r="K685" s="19">
        <v>21.07</v>
      </c>
      <c r="L685" s="20">
        <v>0.3</v>
      </c>
      <c r="M685" s="19">
        <f>Tienda!$K1905-Tienda!$K1905*Tienda!$L1905</f>
        <v>22.088000000000001</v>
      </c>
      <c r="N685" s="3" t="s">
        <v>10040</v>
      </c>
      <c r="O685" s="3" t="s">
        <v>10041</v>
      </c>
      <c r="P685" s="17">
        <v>45736</v>
      </c>
      <c r="Q685" s="4">
        <v>0</v>
      </c>
    </row>
    <row r="686" spans="1:17" x14ac:dyDescent="0.25">
      <c r="A686" s="2" t="s">
        <v>1605</v>
      </c>
      <c r="B686" s="3" t="s">
        <v>5015</v>
      </c>
      <c r="C686" s="3">
        <v>23</v>
      </c>
      <c r="D686" s="46" t="str">
        <f>IF(Tabla1[[#This Row],[EDAD]]&lt;=35,"Adultos jóvenes 18 - 35 años",IF(C686&gt;=36,"Adultos mayores 36 años en adelante"))</f>
        <v>Adultos jóvenes 18 - 35 años</v>
      </c>
      <c r="E686" s="3" t="s">
        <v>5019</v>
      </c>
      <c r="F686" s="3" t="s">
        <v>5024</v>
      </c>
      <c r="G686" s="3" t="s">
        <v>5036</v>
      </c>
      <c r="H686" s="3" t="s">
        <v>6628</v>
      </c>
      <c r="I686" s="17">
        <v>45335</v>
      </c>
      <c r="J686" s="18">
        <f>YEAR(Tabla1[[#This Row],[FECHA DE COMPRA]])</f>
        <v>2024</v>
      </c>
      <c r="K686" s="19">
        <v>14.85</v>
      </c>
      <c r="L686" s="20">
        <v>0</v>
      </c>
      <c r="M686" s="19">
        <f>Tienda!$K1906-Tienda!$K1906*Tienda!$L1906</f>
        <v>45.492999999999995</v>
      </c>
      <c r="N686" s="3" t="s">
        <v>10040</v>
      </c>
      <c r="O686" s="3" t="s">
        <v>10041</v>
      </c>
      <c r="P686" s="17">
        <v>45728</v>
      </c>
      <c r="Q686" s="4">
        <v>0</v>
      </c>
    </row>
    <row r="687" spans="1:17" x14ac:dyDescent="0.25">
      <c r="A687" s="2" t="s">
        <v>1920</v>
      </c>
      <c r="B687" s="3" t="s">
        <v>5015</v>
      </c>
      <c r="C687" s="3">
        <v>19</v>
      </c>
      <c r="D687" s="46" t="str">
        <f>IF(Tabla1[[#This Row],[EDAD]]&lt;=35,"Adultos jóvenes 18 - 35 años",IF(C687&gt;=36,"Adultos mayores 36 años en adelante"))</f>
        <v>Adultos jóvenes 18 - 35 años</v>
      </c>
      <c r="E687" s="3" t="s">
        <v>5017</v>
      </c>
      <c r="F687" s="3" t="s">
        <v>5028</v>
      </c>
      <c r="G687" s="3" t="s">
        <v>5031</v>
      </c>
      <c r="H687" s="3" t="s">
        <v>6943</v>
      </c>
      <c r="I687" s="17">
        <v>45547</v>
      </c>
      <c r="J687" s="18">
        <f>YEAR(Tabla1[[#This Row],[FECHA DE COMPRA]])</f>
        <v>2024</v>
      </c>
      <c r="K687" s="19">
        <v>16.600000000000001</v>
      </c>
      <c r="L687" s="20">
        <v>0</v>
      </c>
      <c r="M687" s="19">
        <f>Tienda!$K1908-Tienda!$K1908*Tienda!$L1908</f>
        <v>185.95</v>
      </c>
      <c r="N687" s="3" t="s">
        <v>10040</v>
      </c>
      <c r="O687" s="3" t="s">
        <v>10041</v>
      </c>
      <c r="P687" s="17">
        <v>45727</v>
      </c>
      <c r="Q687" s="4">
        <v>0</v>
      </c>
    </row>
    <row r="688" spans="1:17" x14ac:dyDescent="0.25">
      <c r="A688" s="2" t="s">
        <v>1259</v>
      </c>
      <c r="B688" s="3" t="s">
        <v>5015</v>
      </c>
      <c r="C688" s="3">
        <v>28</v>
      </c>
      <c r="D688" s="46" t="str">
        <f>IF(Tabla1[[#This Row],[EDAD]]&lt;=35,"Adultos jóvenes 18 - 35 años",IF(C688&gt;=36,"Adultos mayores 36 años en adelante"))</f>
        <v>Adultos jóvenes 18 - 35 años</v>
      </c>
      <c r="E688" s="3" t="s">
        <v>5018</v>
      </c>
      <c r="F688" s="3" t="s">
        <v>5025</v>
      </c>
      <c r="G688" s="3" t="s">
        <v>5034</v>
      </c>
      <c r="H688" s="3" t="s">
        <v>6282</v>
      </c>
      <c r="I688" s="17">
        <v>45619</v>
      </c>
      <c r="J688" s="18">
        <f>YEAR(Tabla1[[#This Row],[FECHA DE COMPRA]])</f>
        <v>2024</v>
      </c>
      <c r="K688" s="19">
        <v>16.73</v>
      </c>
      <c r="L688" s="20">
        <v>0</v>
      </c>
      <c r="M688" s="19">
        <f>Tienda!$K1910-Tienda!$K1910*Tienda!$L1910</f>
        <v>48.460999999999999</v>
      </c>
      <c r="N688" s="3" t="s">
        <v>10040</v>
      </c>
      <c r="O688" s="3" t="s">
        <v>10041</v>
      </c>
      <c r="P688" s="17">
        <v>45889</v>
      </c>
      <c r="Q688" s="4">
        <v>0</v>
      </c>
    </row>
    <row r="689" spans="1:17" x14ac:dyDescent="0.25">
      <c r="A689" s="2" t="s">
        <v>2527</v>
      </c>
      <c r="B689" s="3" t="s">
        <v>5015</v>
      </c>
      <c r="C689" s="3">
        <v>30</v>
      </c>
      <c r="D689" s="46" t="str">
        <f>IF(Tabla1[[#This Row],[EDAD]]&lt;=35,"Adultos jóvenes 18 - 35 años",IF(C689&gt;=36,"Adultos mayores 36 años en adelante"))</f>
        <v>Adultos jóvenes 18 - 35 años</v>
      </c>
      <c r="E689" s="3" t="s">
        <v>5017</v>
      </c>
      <c r="F689" s="3" t="s">
        <v>5030</v>
      </c>
      <c r="G689" s="3" t="s">
        <v>5034</v>
      </c>
      <c r="H689" s="3" t="s">
        <v>7550</v>
      </c>
      <c r="I689" s="17">
        <v>45657</v>
      </c>
      <c r="J689" s="18">
        <f>YEAR(Tabla1[[#This Row],[FECHA DE COMPRA]])</f>
        <v>2024</v>
      </c>
      <c r="K689" s="19">
        <v>25.38</v>
      </c>
      <c r="L689" s="20">
        <v>0.3</v>
      </c>
      <c r="M689" s="19">
        <f>Tienda!$K1912-Tienda!$K1912*Tienda!$L1912</f>
        <v>128.46</v>
      </c>
      <c r="N689" s="3" t="s">
        <v>10040</v>
      </c>
      <c r="O689" s="3" t="s">
        <v>10041</v>
      </c>
      <c r="P689" s="17">
        <v>45837</v>
      </c>
      <c r="Q689" s="4">
        <v>0</v>
      </c>
    </row>
    <row r="690" spans="1:17" x14ac:dyDescent="0.25">
      <c r="A690" s="2" t="s">
        <v>1986</v>
      </c>
      <c r="B690" s="3" t="s">
        <v>5016</v>
      </c>
      <c r="C690" s="3">
        <v>32</v>
      </c>
      <c r="D690" s="46" t="str">
        <f>IF(Tabla1[[#This Row],[EDAD]]&lt;=35,"Adultos jóvenes 18 - 35 años",IF(C690&gt;=36,"Adultos mayores 36 años en adelante"))</f>
        <v>Adultos jóvenes 18 - 35 años</v>
      </c>
      <c r="E690" s="3" t="s">
        <v>5021</v>
      </c>
      <c r="F690" s="3" t="s">
        <v>5027</v>
      </c>
      <c r="G690" s="3" t="s">
        <v>5036</v>
      </c>
      <c r="H690" s="3" t="s">
        <v>7009</v>
      </c>
      <c r="I690" s="17">
        <v>45647</v>
      </c>
      <c r="J690" s="18">
        <f>YEAR(Tabla1[[#This Row],[FECHA DE COMPRA]])</f>
        <v>2024</v>
      </c>
      <c r="K690" s="19">
        <v>26.58</v>
      </c>
      <c r="L690" s="20">
        <v>0.3</v>
      </c>
      <c r="M690" s="19">
        <f>Tienda!$K1917-Tienda!$K1917*Tienda!$L1917</f>
        <v>76.989999999999995</v>
      </c>
      <c r="N690" s="3" t="s">
        <v>10040</v>
      </c>
      <c r="O690" s="3" t="s">
        <v>10041</v>
      </c>
      <c r="P690" s="17">
        <v>46007</v>
      </c>
      <c r="Q690" s="4">
        <v>0</v>
      </c>
    </row>
    <row r="691" spans="1:17" x14ac:dyDescent="0.25">
      <c r="A691" s="2" t="s">
        <v>4255</v>
      </c>
      <c r="B691" s="3" t="s">
        <v>5015</v>
      </c>
      <c r="C691" s="3">
        <v>29</v>
      </c>
      <c r="D691" s="46" t="str">
        <f>IF(Tabla1[[#This Row],[EDAD]]&lt;=35,"Adultos jóvenes 18 - 35 años",IF(C691&gt;=36,"Adultos mayores 36 años en adelante"))</f>
        <v>Adultos jóvenes 18 - 35 años</v>
      </c>
      <c r="E691" s="3" t="s">
        <v>5023</v>
      </c>
      <c r="F691" s="3" t="s">
        <v>5027</v>
      </c>
      <c r="G691" s="3" t="s">
        <v>5035</v>
      </c>
      <c r="H691" s="3" t="s">
        <v>9278</v>
      </c>
      <c r="I691" s="17">
        <v>45649</v>
      </c>
      <c r="J691" s="18">
        <f>YEAR(Tabla1[[#This Row],[FECHA DE COMPRA]])</f>
        <v>2024</v>
      </c>
      <c r="K691" s="19">
        <v>20.72</v>
      </c>
      <c r="L691" s="20">
        <v>0.1</v>
      </c>
      <c r="M691" s="19">
        <f>Tienda!$K1918-Tienda!$K1918*Tienda!$L1918</f>
        <v>68.326999999999998</v>
      </c>
      <c r="N691" s="3" t="s">
        <v>10040</v>
      </c>
      <c r="O691" s="3" t="s">
        <v>10041</v>
      </c>
      <c r="P691" s="17">
        <v>45395</v>
      </c>
      <c r="Q691" s="4">
        <v>0</v>
      </c>
    </row>
    <row r="692" spans="1:17" x14ac:dyDescent="0.25">
      <c r="A692" s="2" t="s">
        <v>2477</v>
      </c>
      <c r="B692" s="3" t="s">
        <v>5016</v>
      </c>
      <c r="C692" s="3">
        <v>29</v>
      </c>
      <c r="D692" s="46" t="str">
        <f>IF(Tabla1[[#This Row],[EDAD]]&lt;=35,"Adultos jóvenes 18 - 35 años",IF(C692&gt;=36,"Adultos mayores 36 años en adelante"))</f>
        <v>Adultos jóvenes 18 - 35 años</v>
      </c>
      <c r="E692" s="3" t="s">
        <v>5019</v>
      </c>
      <c r="F692" s="3" t="s">
        <v>5030</v>
      </c>
      <c r="G692" s="3" t="s">
        <v>5031</v>
      </c>
      <c r="H692" s="3" t="s">
        <v>7500</v>
      </c>
      <c r="I692" s="17">
        <v>45420</v>
      </c>
      <c r="J692" s="18">
        <f>YEAR(Tabla1[[#This Row],[FECHA DE COMPRA]])</f>
        <v>2024</v>
      </c>
      <c r="K692" s="19">
        <v>20.84</v>
      </c>
      <c r="L692" s="20">
        <v>0</v>
      </c>
      <c r="M692" s="19">
        <f>Tienda!$K1927-Tienda!$K1927*Tienda!$L1927</f>
        <v>138.83000000000001</v>
      </c>
      <c r="N692" s="3" t="s">
        <v>10040</v>
      </c>
      <c r="O692" s="3" t="s">
        <v>10041</v>
      </c>
      <c r="P692" s="17">
        <v>45690</v>
      </c>
      <c r="Q692" s="4">
        <v>0</v>
      </c>
    </row>
    <row r="693" spans="1:17" x14ac:dyDescent="0.25">
      <c r="A693" s="2" t="s">
        <v>1645</v>
      </c>
      <c r="B693" s="3" t="s">
        <v>5015</v>
      </c>
      <c r="C693" s="3">
        <v>19</v>
      </c>
      <c r="D693" s="46" t="str">
        <f>IF(Tabla1[[#This Row],[EDAD]]&lt;=35,"Adultos jóvenes 18 - 35 años",IF(C693&gt;=36,"Adultos mayores 36 años en adelante"))</f>
        <v>Adultos jóvenes 18 - 35 años</v>
      </c>
      <c r="E693" s="3" t="s">
        <v>5019</v>
      </c>
      <c r="F693" s="3" t="s">
        <v>5024</v>
      </c>
      <c r="G693" s="3" t="s">
        <v>5033</v>
      </c>
      <c r="H693" s="3" t="s">
        <v>6668</v>
      </c>
      <c r="I693" s="17">
        <v>45624</v>
      </c>
      <c r="J693" s="18">
        <f>YEAR(Tabla1[[#This Row],[FECHA DE COMPRA]])</f>
        <v>2024</v>
      </c>
      <c r="K693" s="19">
        <v>26.18</v>
      </c>
      <c r="L693" s="20">
        <v>0.1</v>
      </c>
      <c r="M693" s="19">
        <f>Tienda!$K1930-Tienda!$K1930*Tienda!$L1930</f>
        <v>136.59799999999998</v>
      </c>
      <c r="N693" s="3" t="s">
        <v>10040</v>
      </c>
      <c r="O693" s="3" t="s">
        <v>10041</v>
      </c>
      <c r="P693" s="17">
        <v>45659</v>
      </c>
      <c r="Q693" s="4">
        <v>0</v>
      </c>
    </row>
    <row r="694" spans="1:17" x14ac:dyDescent="0.25">
      <c r="A694" s="2" t="s">
        <v>4690</v>
      </c>
      <c r="B694" s="3" t="s">
        <v>5015</v>
      </c>
      <c r="C694" s="3">
        <v>21</v>
      </c>
      <c r="D694" s="46" t="str">
        <f>IF(Tabla1[[#This Row],[EDAD]]&lt;=35,"Adultos jóvenes 18 - 35 años",IF(C694&gt;=36,"Adultos mayores 36 años en adelante"))</f>
        <v>Adultos jóvenes 18 - 35 años</v>
      </c>
      <c r="E694" s="3" t="s">
        <v>5022</v>
      </c>
      <c r="F694" s="3" t="s">
        <v>5027</v>
      </c>
      <c r="G694" s="3" t="s">
        <v>5037</v>
      </c>
      <c r="H694" s="3" t="s">
        <v>9713</v>
      </c>
      <c r="I694" s="17">
        <v>45387</v>
      </c>
      <c r="J694" s="18">
        <f>YEAR(Tabla1[[#This Row],[FECHA DE COMPRA]])</f>
        <v>2024</v>
      </c>
      <c r="K694" s="19">
        <v>33.729999999999997</v>
      </c>
      <c r="L694" s="20">
        <v>0.3</v>
      </c>
      <c r="M694" s="19">
        <f>Tienda!$K1931-Tienda!$K1931*Tienda!$L1931</f>
        <v>56.150999999999996</v>
      </c>
      <c r="N694" s="3" t="s">
        <v>10040</v>
      </c>
      <c r="O694" s="3" t="s">
        <v>10041</v>
      </c>
      <c r="P694" s="17">
        <v>45657</v>
      </c>
      <c r="Q694" s="4">
        <v>0</v>
      </c>
    </row>
    <row r="695" spans="1:17" x14ac:dyDescent="0.25">
      <c r="A695" s="2" t="s">
        <v>3972</v>
      </c>
      <c r="B695" s="3" t="s">
        <v>5015</v>
      </c>
      <c r="C695" s="3">
        <v>33</v>
      </c>
      <c r="D695" s="46" t="str">
        <f>IF(Tabla1[[#This Row],[EDAD]]&lt;=35,"Adultos jóvenes 18 - 35 años",IF(C695&gt;=36,"Adultos mayores 36 años en adelante"))</f>
        <v>Adultos jóvenes 18 - 35 años</v>
      </c>
      <c r="E695" s="3" t="s">
        <v>5017</v>
      </c>
      <c r="F695" s="3" t="s">
        <v>5025</v>
      </c>
      <c r="G695" s="3" t="s">
        <v>5032</v>
      </c>
      <c r="H695" s="3" t="s">
        <v>8995</v>
      </c>
      <c r="I695" s="17">
        <v>45432</v>
      </c>
      <c r="J695" s="18">
        <f>YEAR(Tabla1[[#This Row],[FECHA DE COMPRA]])</f>
        <v>2024</v>
      </c>
      <c r="K695" s="19">
        <v>34.51</v>
      </c>
      <c r="L695" s="20">
        <v>0.3</v>
      </c>
      <c r="M695" s="19">
        <f>Tienda!$K1933-Tienda!$K1933*Tienda!$L1933</f>
        <v>107.658</v>
      </c>
      <c r="N695" s="3" t="s">
        <v>10040</v>
      </c>
      <c r="O695" s="3" t="s">
        <v>10041</v>
      </c>
      <c r="P695" s="17">
        <v>45612</v>
      </c>
      <c r="Q695" s="4">
        <v>0</v>
      </c>
    </row>
    <row r="696" spans="1:17" x14ac:dyDescent="0.25">
      <c r="A696" s="2" t="s">
        <v>4926</v>
      </c>
      <c r="B696" s="3" t="s">
        <v>5016</v>
      </c>
      <c r="C696" s="3">
        <v>34</v>
      </c>
      <c r="D696" s="46" t="str">
        <f>IF(Tabla1[[#This Row],[EDAD]]&lt;=35,"Adultos jóvenes 18 - 35 años",IF(C696&gt;=36,"Adultos mayores 36 años en adelante"))</f>
        <v>Adultos jóvenes 18 - 35 años</v>
      </c>
      <c r="E696" s="3" t="s">
        <v>5023</v>
      </c>
      <c r="F696" s="3" t="s">
        <v>5027</v>
      </c>
      <c r="G696" s="3" t="s">
        <v>5034</v>
      </c>
      <c r="H696" s="3" t="s">
        <v>9949</v>
      </c>
      <c r="I696" s="17">
        <v>45393</v>
      </c>
      <c r="J696" s="18">
        <f>YEAR(Tabla1[[#This Row],[FECHA DE COMPRA]])</f>
        <v>2024</v>
      </c>
      <c r="K696" s="19">
        <v>24.31</v>
      </c>
      <c r="L696" s="20">
        <v>0</v>
      </c>
      <c r="M696" s="19">
        <f>Tienda!$K1934-Tienda!$K1934*Tienda!$L1934</f>
        <v>154.827</v>
      </c>
      <c r="N696" s="3" t="s">
        <v>10040</v>
      </c>
      <c r="O696" s="3" t="s">
        <v>10041</v>
      </c>
      <c r="P696" s="17">
        <v>45663</v>
      </c>
      <c r="Q696" s="4">
        <v>0</v>
      </c>
    </row>
    <row r="697" spans="1:17" x14ac:dyDescent="0.25">
      <c r="A697" s="2" t="s">
        <v>3637</v>
      </c>
      <c r="B697" s="3" t="s">
        <v>5015</v>
      </c>
      <c r="C697" s="3">
        <v>21</v>
      </c>
      <c r="D697" s="46" t="str">
        <f>IF(Tabla1[[#This Row],[EDAD]]&lt;=35,"Adultos jóvenes 18 - 35 años",IF(C697&gt;=36,"Adultos mayores 36 años en adelante"))</f>
        <v>Adultos jóvenes 18 - 35 años</v>
      </c>
      <c r="E697" s="3" t="s">
        <v>5020</v>
      </c>
      <c r="F697" s="3" t="s">
        <v>5026</v>
      </c>
      <c r="G697" s="3" t="s">
        <v>5036</v>
      </c>
      <c r="H697" s="3" t="s">
        <v>8660</v>
      </c>
      <c r="I697" s="17">
        <v>45375</v>
      </c>
      <c r="J697" s="18">
        <f>YEAR(Tabla1[[#This Row],[FECHA DE COMPRA]])</f>
        <v>2024</v>
      </c>
      <c r="K697" s="19">
        <v>27.3</v>
      </c>
      <c r="L697" s="20">
        <v>0.1</v>
      </c>
      <c r="M697" s="19">
        <f>Tienda!$K1936-Tienda!$K1936*Tienda!$L1936</f>
        <v>74.936000000000007</v>
      </c>
      <c r="N697" s="3" t="s">
        <v>10040</v>
      </c>
      <c r="O697" s="3" t="s">
        <v>10041</v>
      </c>
      <c r="P697" s="17">
        <v>45645</v>
      </c>
      <c r="Q697" s="4">
        <v>0</v>
      </c>
    </row>
    <row r="698" spans="1:17" x14ac:dyDescent="0.25">
      <c r="A698" s="2" t="s">
        <v>2015</v>
      </c>
      <c r="B698" s="3" t="s">
        <v>5016</v>
      </c>
      <c r="C698" s="3">
        <v>31</v>
      </c>
      <c r="D698" s="46" t="str">
        <f>IF(Tabla1[[#This Row],[EDAD]]&lt;=35,"Adultos jóvenes 18 - 35 años",IF(C698&gt;=36,"Adultos mayores 36 años en adelante"))</f>
        <v>Adultos jóvenes 18 - 35 años</v>
      </c>
      <c r="E698" s="3" t="s">
        <v>5023</v>
      </c>
      <c r="F698" s="3" t="s">
        <v>5028</v>
      </c>
      <c r="G698" s="3" t="s">
        <v>5037</v>
      </c>
      <c r="H698" s="3" t="s">
        <v>7038</v>
      </c>
      <c r="I698" s="17">
        <v>45554</v>
      </c>
      <c r="J698" s="18">
        <f>YEAR(Tabla1[[#This Row],[FECHA DE COMPRA]])</f>
        <v>2024</v>
      </c>
      <c r="K698" s="19">
        <v>38.979999999999997</v>
      </c>
      <c r="L698" s="20">
        <v>0.3</v>
      </c>
      <c r="M698" s="19">
        <f>Tienda!$K1941-Tienda!$K1941*Tienda!$L1941</f>
        <v>72.890999999999991</v>
      </c>
      <c r="N698" s="3" t="s">
        <v>10040</v>
      </c>
      <c r="O698" s="3" t="s">
        <v>10041</v>
      </c>
      <c r="P698" s="17">
        <v>45734</v>
      </c>
      <c r="Q698" s="4">
        <v>0</v>
      </c>
    </row>
    <row r="699" spans="1:17" x14ac:dyDescent="0.25">
      <c r="A699" s="2" t="s">
        <v>1257</v>
      </c>
      <c r="B699" s="3" t="s">
        <v>5015</v>
      </c>
      <c r="C699" s="3">
        <v>26</v>
      </c>
      <c r="D699" s="46" t="str">
        <f>IF(Tabla1[[#This Row],[EDAD]]&lt;=35,"Adultos jóvenes 18 - 35 años",IF(C699&gt;=36,"Adultos mayores 36 años en adelante"))</f>
        <v>Adultos jóvenes 18 - 35 años</v>
      </c>
      <c r="E699" s="3" t="s">
        <v>5017</v>
      </c>
      <c r="F699" s="3" t="s">
        <v>5030</v>
      </c>
      <c r="G699" s="3" t="s">
        <v>5036</v>
      </c>
      <c r="H699" s="3" t="s">
        <v>6280</v>
      </c>
      <c r="I699" s="17">
        <v>45624</v>
      </c>
      <c r="J699" s="18">
        <f>YEAR(Tabla1[[#This Row],[FECHA DE COMPRA]])</f>
        <v>2024</v>
      </c>
      <c r="K699" s="19">
        <v>27.3</v>
      </c>
      <c r="L699" s="20">
        <v>0</v>
      </c>
      <c r="M699" s="19">
        <f>Tienda!$K1942-Tienda!$K1942*Tienda!$L1942</f>
        <v>75.236000000000004</v>
      </c>
      <c r="N699" s="3" t="s">
        <v>10040</v>
      </c>
      <c r="O699" s="3" t="s">
        <v>10041</v>
      </c>
      <c r="P699" s="17">
        <v>45851</v>
      </c>
      <c r="Q699" s="4">
        <v>0</v>
      </c>
    </row>
    <row r="700" spans="1:17" x14ac:dyDescent="0.25">
      <c r="A700" s="2" t="s">
        <v>3433</v>
      </c>
      <c r="B700" s="3" t="s">
        <v>5015</v>
      </c>
      <c r="C700" s="3">
        <v>30</v>
      </c>
      <c r="D700" s="46" t="str">
        <f>IF(Tabla1[[#This Row],[EDAD]]&lt;=35,"Adultos jóvenes 18 - 35 años",IF(C700&gt;=36,"Adultos mayores 36 años en adelante"))</f>
        <v>Adultos jóvenes 18 - 35 años</v>
      </c>
      <c r="E700" s="3" t="s">
        <v>5023</v>
      </c>
      <c r="F700" s="3" t="s">
        <v>5025</v>
      </c>
      <c r="G700" s="3" t="s">
        <v>5035</v>
      </c>
      <c r="H700" s="3" t="s">
        <v>8456</v>
      </c>
      <c r="I700" s="17">
        <v>45643</v>
      </c>
      <c r="J700" s="18">
        <f>YEAR(Tabla1[[#This Row],[FECHA DE COMPRA]])</f>
        <v>2024</v>
      </c>
      <c r="K700" s="19">
        <v>28.53</v>
      </c>
      <c r="L700" s="20">
        <v>0</v>
      </c>
      <c r="M700" s="19">
        <f>Tienda!$K1947-Tienda!$K1947*Tienda!$L1947</f>
        <v>108.024</v>
      </c>
      <c r="N700" s="3" t="s">
        <v>10040</v>
      </c>
      <c r="O700" s="3" t="s">
        <v>10041</v>
      </c>
      <c r="P700" s="17">
        <v>45733</v>
      </c>
      <c r="Q700" s="4">
        <v>0</v>
      </c>
    </row>
    <row r="701" spans="1:17" x14ac:dyDescent="0.25">
      <c r="A701" s="2" t="s">
        <v>458</v>
      </c>
      <c r="B701" s="3" t="s">
        <v>5016</v>
      </c>
      <c r="C701" s="3">
        <v>24</v>
      </c>
      <c r="D701" s="46" t="str">
        <f>IF(Tabla1[[#This Row],[EDAD]]&lt;=35,"Adultos jóvenes 18 - 35 años",IF(C701&gt;=36,"Adultos mayores 36 años en adelante"))</f>
        <v>Adultos jóvenes 18 - 35 años</v>
      </c>
      <c r="E701" s="3" t="s">
        <v>5023</v>
      </c>
      <c r="F701" s="3" t="s">
        <v>5029</v>
      </c>
      <c r="G701" s="3" t="s">
        <v>5035</v>
      </c>
      <c r="H701" s="3" t="s">
        <v>5481</v>
      </c>
      <c r="I701" s="17">
        <v>45464</v>
      </c>
      <c r="J701" s="18">
        <f>YEAR(Tabla1[[#This Row],[FECHA DE COMPRA]])</f>
        <v>2024</v>
      </c>
      <c r="K701" s="19">
        <v>40.99</v>
      </c>
      <c r="L701" s="20">
        <v>0.3</v>
      </c>
      <c r="M701" s="19">
        <f>Tienda!$K1948-Tienda!$K1948*Tienda!$L1948</f>
        <v>51.022999999999996</v>
      </c>
      <c r="N701" s="3" t="s">
        <v>10040</v>
      </c>
      <c r="O701" s="3" t="s">
        <v>10041</v>
      </c>
      <c r="P701" s="17">
        <v>45734</v>
      </c>
      <c r="Q701" s="4">
        <v>0</v>
      </c>
    </row>
    <row r="702" spans="1:17" x14ac:dyDescent="0.25">
      <c r="A702" s="2" t="s">
        <v>2288</v>
      </c>
      <c r="B702" s="3" t="s">
        <v>5016</v>
      </c>
      <c r="C702" s="3">
        <v>19</v>
      </c>
      <c r="D702" s="46" t="str">
        <f>IF(Tabla1[[#This Row],[EDAD]]&lt;=35,"Adultos jóvenes 18 - 35 años",IF(C702&gt;=36,"Adultos mayores 36 años en adelante"))</f>
        <v>Adultos jóvenes 18 - 35 años</v>
      </c>
      <c r="E702" s="3" t="s">
        <v>5021</v>
      </c>
      <c r="F702" s="3" t="s">
        <v>5028</v>
      </c>
      <c r="G702" s="3" t="s">
        <v>5033</v>
      </c>
      <c r="H702" s="3" t="s">
        <v>7311</v>
      </c>
      <c r="I702" s="17">
        <v>45384</v>
      </c>
      <c r="J702" s="18">
        <f>YEAR(Tabla1[[#This Row],[FECHA DE COMPRA]])</f>
        <v>2024</v>
      </c>
      <c r="K702" s="19">
        <v>42.72</v>
      </c>
      <c r="L702" s="20">
        <v>0.3</v>
      </c>
      <c r="M702" s="19">
        <f>Tienda!$K1951-Tienda!$K1951*Tienda!$L1951</f>
        <v>33.049999999999997</v>
      </c>
      <c r="N702" s="3" t="s">
        <v>10040</v>
      </c>
      <c r="O702" s="3" t="s">
        <v>10041</v>
      </c>
      <c r="P702" s="17">
        <v>45564</v>
      </c>
      <c r="Q702" s="4">
        <v>0</v>
      </c>
    </row>
    <row r="703" spans="1:17" x14ac:dyDescent="0.25">
      <c r="A703" s="2" t="s">
        <v>4685</v>
      </c>
      <c r="B703" s="3" t="s">
        <v>5015</v>
      </c>
      <c r="C703" s="3">
        <v>30</v>
      </c>
      <c r="D703" s="46" t="str">
        <f>IF(Tabla1[[#This Row],[EDAD]]&lt;=35,"Adultos jóvenes 18 - 35 años",IF(C703&gt;=36,"Adultos mayores 36 años en adelante"))</f>
        <v>Adultos jóvenes 18 - 35 años</v>
      </c>
      <c r="E703" s="3" t="s">
        <v>5018</v>
      </c>
      <c r="F703" s="3" t="s">
        <v>5027</v>
      </c>
      <c r="G703" s="3" t="s">
        <v>5034</v>
      </c>
      <c r="H703" s="3" t="s">
        <v>9708</v>
      </c>
      <c r="I703" s="17">
        <v>45649</v>
      </c>
      <c r="J703" s="18">
        <f>YEAR(Tabla1[[#This Row],[FECHA DE COMPRA]])</f>
        <v>2024</v>
      </c>
      <c r="K703" s="19">
        <v>43.67</v>
      </c>
      <c r="L703" s="20">
        <v>0.3</v>
      </c>
      <c r="M703" s="19">
        <f>Tienda!$K1953-Tienda!$K1953*Tienda!$L1953</f>
        <v>66.320000000000007</v>
      </c>
      <c r="N703" s="3" t="s">
        <v>10040</v>
      </c>
      <c r="O703" s="3" t="s">
        <v>10041</v>
      </c>
      <c r="P703" s="17">
        <v>45473</v>
      </c>
      <c r="Q703" s="4">
        <v>0</v>
      </c>
    </row>
    <row r="704" spans="1:17" x14ac:dyDescent="0.25">
      <c r="A704" s="2" t="s">
        <v>3031</v>
      </c>
      <c r="B704" s="3" t="s">
        <v>5015</v>
      </c>
      <c r="C704" s="3">
        <v>19</v>
      </c>
      <c r="D704" s="46" t="str">
        <f>IF(Tabla1[[#This Row],[EDAD]]&lt;=35,"Adultos jóvenes 18 - 35 años",IF(C704&gt;=36,"Adultos mayores 36 años en adelante"))</f>
        <v>Adultos jóvenes 18 - 35 años</v>
      </c>
      <c r="E704" s="3" t="s">
        <v>5018</v>
      </c>
      <c r="F704" s="3" t="s">
        <v>5027</v>
      </c>
      <c r="G704" s="3" t="s">
        <v>5034</v>
      </c>
      <c r="H704" s="3" t="s">
        <v>8054</v>
      </c>
      <c r="I704" s="17">
        <v>45413</v>
      </c>
      <c r="J704" s="18">
        <f>YEAR(Tabla1[[#This Row],[FECHA DE COMPRA]])</f>
        <v>2024</v>
      </c>
      <c r="K704" s="19">
        <v>44.59</v>
      </c>
      <c r="L704" s="20">
        <v>0.3</v>
      </c>
      <c r="M704" s="19">
        <f>Tienda!$K1955-Tienda!$K1955*Tienda!$L1955</f>
        <v>19.13</v>
      </c>
      <c r="N704" s="3" t="s">
        <v>10040</v>
      </c>
      <c r="O704" s="3" t="s">
        <v>10041</v>
      </c>
      <c r="P704" s="17">
        <v>45593</v>
      </c>
      <c r="Q704" s="4">
        <v>0</v>
      </c>
    </row>
    <row r="705" spans="1:17" x14ac:dyDescent="0.25">
      <c r="A705" s="2" t="s">
        <v>522</v>
      </c>
      <c r="B705" s="3" t="s">
        <v>5015</v>
      </c>
      <c r="C705" s="3">
        <v>33</v>
      </c>
      <c r="D705" s="46" t="str">
        <f>IF(Tabla1[[#This Row],[EDAD]]&lt;=35,"Adultos jóvenes 18 - 35 años",IF(C705&gt;=36,"Adultos mayores 36 años en adelante"))</f>
        <v>Adultos jóvenes 18 - 35 años</v>
      </c>
      <c r="E705" s="3" t="s">
        <v>5018</v>
      </c>
      <c r="F705" s="3" t="s">
        <v>5028</v>
      </c>
      <c r="G705" s="3" t="s">
        <v>5032</v>
      </c>
      <c r="H705" s="3" t="s">
        <v>5545</v>
      </c>
      <c r="I705" s="17">
        <v>45393</v>
      </c>
      <c r="J705" s="18">
        <f>YEAR(Tabla1[[#This Row],[FECHA DE COMPRA]])</f>
        <v>2024</v>
      </c>
      <c r="K705" s="19">
        <v>39.049999999999997</v>
      </c>
      <c r="L705" s="20">
        <v>0.2</v>
      </c>
      <c r="M705" s="19">
        <f>Tienda!$K1956-Tienda!$K1956*Tienda!$L1956</f>
        <v>64.352000000000004</v>
      </c>
      <c r="N705" s="3" t="s">
        <v>10040</v>
      </c>
      <c r="O705" s="3" t="s">
        <v>10041</v>
      </c>
      <c r="P705" s="17">
        <v>45663</v>
      </c>
      <c r="Q705" s="4">
        <v>0</v>
      </c>
    </row>
    <row r="706" spans="1:17" x14ac:dyDescent="0.25">
      <c r="A706" s="2" t="s">
        <v>4001</v>
      </c>
      <c r="B706" s="3" t="s">
        <v>5016</v>
      </c>
      <c r="C706" s="3">
        <v>29</v>
      </c>
      <c r="D706" s="46" t="str">
        <f>IF(Tabla1[[#This Row],[EDAD]]&lt;=35,"Adultos jóvenes 18 - 35 años",IF(C706&gt;=36,"Adultos mayores 36 años en adelante"))</f>
        <v>Adultos jóvenes 18 - 35 años</v>
      </c>
      <c r="E706" s="3" t="s">
        <v>5023</v>
      </c>
      <c r="F706" s="3" t="s">
        <v>5025</v>
      </c>
      <c r="G706" s="3" t="s">
        <v>5036</v>
      </c>
      <c r="H706" s="3" t="s">
        <v>9024</v>
      </c>
      <c r="I706" s="17">
        <v>45648</v>
      </c>
      <c r="J706" s="18">
        <f>YEAR(Tabla1[[#This Row],[FECHA DE COMPRA]])</f>
        <v>2024</v>
      </c>
      <c r="K706" s="19">
        <v>31.83</v>
      </c>
      <c r="L706" s="20">
        <v>0</v>
      </c>
      <c r="M706" s="19">
        <f>Tienda!$K1959-Tienda!$K1959*Tienda!$L1959</f>
        <v>158.93</v>
      </c>
      <c r="N706" s="3" t="s">
        <v>10040</v>
      </c>
      <c r="O706" s="3" t="s">
        <v>10041</v>
      </c>
      <c r="P706" s="17">
        <v>45738</v>
      </c>
      <c r="Q706" s="4">
        <v>0</v>
      </c>
    </row>
    <row r="707" spans="1:17" x14ac:dyDescent="0.25">
      <c r="A707" s="2" t="s">
        <v>142</v>
      </c>
      <c r="B707" s="3" t="s">
        <v>5015</v>
      </c>
      <c r="C707" s="3">
        <v>25</v>
      </c>
      <c r="D707" s="46" t="str">
        <f>IF(Tabla1[[#This Row],[EDAD]]&lt;=35,"Adultos jóvenes 18 - 35 años",IF(C707&gt;=36,"Adultos mayores 36 años en adelante"))</f>
        <v>Adultos jóvenes 18 - 35 años</v>
      </c>
      <c r="E707" s="3" t="s">
        <v>5021</v>
      </c>
      <c r="F707" s="3" t="s">
        <v>5025</v>
      </c>
      <c r="G707" s="3" t="s">
        <v>5031</v>
      </c>
      <c r="H707" s="3" t="s">
        <v>5165</v>
      </c>
      <c r="I707" s="17">
        <v>45643</v>
      </c>
      <c r="J707" s="18">
        <f>YEAR(Tabla1[[#This Row],[FECHA DE COMPRA]])</f>
        <v>2024</v>
      </c>
      <c r="K707" s="19">
        <v>48.03</v>
      </c>
      <c r="L707" s="20">
        <v>0.3</v>
      </c>
      <c r="M707" s="19">
        <f>Tienda!$K1963-Tienda!$K1963*Tienda!$L1963</f>
        <v>198.77</v>
      </c>
      <c r="N707" s="3" t="s">
        <v>10040</v>
      </c>
      <c r="O707" s="3" t="s">
        <v>10041</v>
      </c>
      <c r="P707" s="17">
        <v>46003</v>
      </c>
      <c r="Q707" s="4">
        <v>0</v>
      </c>
    </row>
    <row r="708" spans="1:17" x14ac:dyDescent="0.25">
      <c r="A708" s="2" t="s">
        <v>1951</v>
      </c>
      <c r="B708" s="3" t="s">
        <v>5015</v>
      </c>
      <c r="C708" s="3">
        <v>20</v>
      </c>
      <c r="D708" s="46" t="str">
        <f>IF(Tabla1[[#This Row],[EDAD]]&lt;=35,"Adultos jóvenes 18 - 35 años",IF(C708&gt;=36,"Adultos mayores 36 años en adelante"))</f>
        <v>Adultos jóvenes 18 - 35 años</v>
      </c>
      <c r="E708" s="3" t="s">
        <v>5022</v>
      </c>
      <c r="F708" s="3" t="s">
        <v>5024</v>
      </c>
      <c r="G708" s="3" t="s">
        <v>5031</v>
      </c>
      <c r="H708" s="3" t="s">
        <v>6974</v>
      </c>
      <c r="I708" s="17">
        <v>45623</v>
      </c>
      <c r="J708" s="18">
        <f>YEAR(Tabla1[[#This Row],[FECHA DE COMPRA]])</f>
        <v>2024</v>
      </c>
      <c r="K708" s="19">
        <v>42.97</v>
      </c>
      <c r="L708" s="20">
        <v>0.2</v>
      </c>
      <c r="M708" s="19">
        <f>Tienda!$K1965-Tienda!$K1965*Tienda!$L1965</f>
        <v>99.21</v>
      </c>
      <c r="N708" s="3" t="s">
        <v>10040</v>
      </c>
      <c r="O708" s="3" t="s">
        <v>10041</v>
      </c>
      <c r="P708" s="17">
        <v>45983</v>
      </c>
      <c r="Q708" s="4">
        <v>0</v>
      </c>
    </row>
    <row r="709" spans="1:17" x14ac:dyDescent="0.25">
      <c r="A709" s="2" t="s">
        <v>671</v>
      </c>
      <c r="B709" s="3" t="s">
        <v>5015</v>
      </c>
      <c r="C709" s="3">
        <v>20</v>
      </c>
      <c r="D709" s="46" t="str">
        <f>IF(Tabla1[[#This Row],[EDAD]]&lt;=35,"Adultos jóvenes 18 - 35 años",IF(C709&gt;=36,"Adultos mayores 36 años en adelante"))</f>
        <v>Adultos jóvenes 18 - 35 años</v>
      </c>
      <c r="E709" s="3" t="s">
        <v>5022</v>
      </c>
      <c r="F709" s="3" t="s">
        <v>5026</v>
      </c>
      <c r="G709" s="3" t="s">
        <v>5036</v>
      </c>
      <c r="H709" s="3" t="s">
        <v>5694</v>
      </c>
      <c r="I709" s="17">
        <v>45643</v>
      </c>
      <c r="J709" s="18">
        <f>YEAR(Tabla1[[#This Row],[FECHA DE COMPRA]])</f>
        <v>2024</v>
      </c>
      <c r="K709" s="19">
        <v>49.54</v>
      </c>
      <c r="L709" s="20">
        <v>0.3</v>
      </c>
      <c r="M709" s="19">
        <f>Tienda!$K1969-Tienda!$K1969*Tienda!$L1969</f>
        <v>84.08</v>
      </c>
      <c r="N709" s="3" t="s">
        <v>10040</v>
      </c>
      <c r="O709" s="3" t="s">
        <v>10041</v>
      </c>
      <c r="P709" s="17">
        <v>45823</v>
      </c>
      <c r="Q709" s="4">
        <v>0</v>
      </c>
    </row>
    <row r="710" spans="1:17" x14ac:dyDescent="0.25">
      <c r="A710" s="2" t="s">
        <v>633</v>
      </c>
      <c r="B710" s="3" t="s">
        <v>5015</v>
      </c>
      <c r="C710" s="3">
        <v>27</v>
      </c>
      <c r="D710" s="46" t="str">
        <f>IF(Tabla1[[#This Row],[EDAD]]&lt;=35,"Adultos jóvenes 18 - 35 años",IF(C710&gt;=36,"Adultos mayores 36 años en adelante"))</f>
        <v>Adultos jóvenes 18 - 35 años</v>
      </c>
      <c r="E710" s="3" t="s">
        <v>5017</v>
      </c>
      <c r="F710" s="3" t="s">
        <v>5026</v>
      </c>
      <c r="G710" s="3" t="s">
        <v>5035</v>
      </c>
      <c r="H710" s="3" t="s">
        <v>5656</v>
      </c>
      <c r="I710" s="17">
        <v>45536</v>
      </c>
      <c r="J710" s="18">
        <f>YEAR(Tabla1[[#This Row],[FECHA DE COMPRA]])</f>
        <v>2024</v>
      </c>
      <c r="K710" s="19">
        <v>39.04</v>
      </c>
      <c r="L710" s="20">
        <v>0.1</v>
      </c>
      <c r="M710" s="19">
        <f>Tienda!$K1970-Tienda!$K1970*Tienda!$L1970</f>
        <v>86.679999999999993</v>
      </c>
      <c r="N710" s="3" t="s">
        <v>10040</v>
      </c>
      <c r="O710" s="3" t="s">
        <v>10041</v>
      </c>
      <c r="P710" s="17">
        <v>45716</v>
      </c>
      <c r="Q710" s="4">
        <v>0</v>
      </c>
    </row>
    <row r="711" spans="1:17" x14ac:dyDescent="0.25">
      <c r="A711" s="2" t="s">
        <v>2373</v>
      </c>
      <c r="B711" s="3" t="s">
        <v>5016</v>
      </c>
      <c r="C711" s="3">
        <v>31</v>
      </c>
      <c r="D711" s="46" t="str">
        <f>IF(Tabla1[[#This Row],[EDAD]]&lt;=35,"Adultos jóvenes 18 - 35 años",IF(C711&gt;=36,"Adultos mayores 36 años en adelante"))</f>
        <v>Adultos jóvenes 18 - 35 años</v>
      </c>
      <c r="E711" s="3" t="s">
        <v>5017</v>
      </c>
      <c r="F711" s="3" t="s">
        <v>5028</v>
      </c>
      <c r="G711" s="3" t="s">
        <v>5036</v>
      </c>
      <c r="H711" s="3" t="s">
        <v>7396</v>
      </c>
      <c r="I711" s="17">
        <v>45635</v>
      </c>
      <c r="J711" s="18">
        <f>YEAR(Tabla1[[#This Row],[FECHA DE COMPRA]])</f>
        <v>2024</v>
      </c>
      <c r="K711" s="19">
        <v>41.43</v>
      </c>
      <c r="L711" s="20">
        <v>0.1</v>
      </c>
      <c r="M711" s="19">
        <f>Tienda!$K1987-Tienda!$K1987*Tienda!$L1987</f>
        <v>32.238</v>
      </c>
      <c r="N711" s="3" t="s">
        <v>10040</v>
      </c>
      <c r="O711" s="3" t="s">
        <v>10041</v>
      </c>
      <c r="P711" s="17">
        <v>45905</v>
      </c>
      <c r="Q711" s="4">
        <v>0</v>
      </c>
    </row>
    <row r="712" spans="1:17" x14ac:dyDescent="0.25">
      <c r="A712" s="2" t="s">
        <v>4974</v>
      </c>
      <c r="B712" s="3" t="s">
        <v>5016</v>
      </c>
      <c r="C712" s="3">
        <v>27</v>
      </c>
      <c r="D712" s="46" t="str">
        <f>IF(Tabla1[[#This Row],[EDAD]]&lt;=35,"Adultos jóvenes 18 - 35 años",IF(C712&gt;=36,"Adultos mayores 36 años en adelante"))</f>
        <v>Adultos jóvenes 18 - 35 años</v>
      </c>
      <c r="E712" s="3" t="s">
        <v>5017</v>
      </c>
      <c r="F712" s="3" t="s">
        <v>5030</v>
      </c>
      <c r="G712" s="3" t="s">
        <v>5033</v>
      </c>
      <c r="H712" s="3" t="s">
        <v>9997</v>
      </c>
      <c r="I712" s="17">
        <v>45448</v>
      </c>
      <c r="J712" s="18">
        <f>YEAR(Tabla1[[#This Row],[FECHA DE COMPRA]])</f>
        <v>2024</v>
      </c>
      <c r="K712" s="19">
        <v>41.75</v>
      </c>
      <c r="L712" s="20">
        <v>0.1</v>
      </c>
      <c r="M712" s="19">
        <f>Tienda!$K1992-Tienda!$K1992*Tienda!$L1992</f>
        <v>86.302999999999997</v>
      </c>
      <c r="N712" s="3" t="s">
        <v>10040</v>
      </c>
      <c r="O712" s="3" t="s">
        <v>10041</v>
      </c>
      <c r="P712" s="17">
        <v>45628</v>
      </c>
      <c r="Q712" s="4">
        <v>0</v>
      </c>
    </row>
    <row r="713" spans="1:17" x14ac:dyDescent="0.25">
      <c r="A713" s="2" t="s">
        <v>803</v>
      </c>
      <c r="B713" s="3" t="s">
        <v>5015</v>
      </c>
      <c r="C713" s="3">
        <v>30</v>
      </c>
      <c r="D713" s="46" t="str">
        <f>IF(Tabla1[[#This Row],[EDAD]]&lt;=35,"Adultos jóvenes 18 - 35 años",IF(C713&gt;=36,"Adultos mayores 36 años en adelante"))</f>
        <v>Adultos jóvenes 18 - 35 años</v>
      </c>
      <c r="E713" s="3" t="s">
        <v>5022</v>
      </c>
      <c r="F713" s="3" t="s">
        <v>5027</v>
      </c>
      <c r="G713" s="3" t="s">
        <v>5035</v>
      </c>
      <c r="H713" s="3" t="s">
        <v>5826</v>
      </c>
      <c r="I713" s="17">
        <v>45634</v>
      </c>
      <c r="J713" s="18">
        <f>YEAR(Tabla1[[#This Row],[FECHA DE COMPRA]])</f>
        <v>2024</v>
      </c>
      <c r="K713" s="19">
        <v>56.48</v>
      </c>
      <c r="L713" s="20">
        <v>0.3</v>
      </c>
      <c r="M713" s="19">
        <f>Tienda!$K2014-Tienda!$K2014*Tienda!$L2014</f>
        <v>46.99</v>
      </c>
      <c r="N713" s="3" t="s">
        <v>10040</v>
      </c>
      <c r="O713" s="3" t="s">
        <v>10041</v>
      </c>
      <c r="P713" s="17">
        <v>45814</v>
      </c>
      <c r="Q713" s="4">
        <v>0</v>
      </c>
    </row>
    <row r="714" spans="1:17" x14ac:dyDescent="0.25">
      <c r="A714" s="2" t="s">
        <v>3266</v>
      </c>
      <c r="B714" s="3" t="s">
        <v>5015</v>
      </c>
      <c r="C714" s="3">
        <v>32</v>
      </c>
      <c r="D714" s="46" t="str">
        <f>IF(Tabla1[[#This Row],[EDAD]]&lt;=35,"Adultos jóvenes 18 - 35 años",IF(C714&gt;=36,"Adultos mayores 36 años en adelante"))</f>
        <v>Adultos jóvenes 18 - 35 años</v>
      </c>
      <c r="E714" s="3" t="s">
        <v>5021</v>
      </c>
      <c r="F714" s="3" t="s">
        <v>5027</v>
      </c>
      <c r="G714" s="3" t="s">
        <v>5036</v>
      </c>
      <c r="H714" s="3" t="s">
        <v>8289</v>
      </c>
      <c r="I714" s="17">
        <v>45561</v>
      </c>
      <c r="J714" s="18">
        <f>YEAR(Tabla1[[#This Row],[FECHA DE COMPRA]])</f>
        <v>2024</v>
      </c>
      <c r="K714" s="19">
        <v>50.31</v>
      </c>
      <c r="L714" s="20">
        <v>0.2</v>
      </c>
      <c r="M714" s="19">
        <f>Tienda!$K2021-Tienda!$K2021*Tienda!$L2021</f>
        <v>149.994</v>
      </c>
      <c r="N714" s="3" t="s">
        <v>10040</v>
      </c>
      <c r="O714" s="3" t="s">
        <v>10041</v>
      </c>
      <c r="P714" s="17">
        <v>45921</v>
      </c>
      <c r="Q714" s="4">
        <v>0</v>
      </c>
    </row>
    <row r="715" spans="1:17" x14ac:dyDescent="0.25">
      <c r="A715" s="2" t="s">
        <v>3350</v>
      </c>
      <c r="B715" s="3" t="s">
        <v>5015</v>
      </c>
      <c r="C715" s="3">
        <v>26</v>
      </c>
      <c r="D715" s="46" t="str">
        <f>IF(Tabla1[[#This Row],[EDAD]]&lt;=35,"Adultos jóvenes 18 - 35 años",IF(C715&gt;=36,"Adultos mayores 36 años en adelante"))</f>
        <v>Adultos jóvenes 18 - 35 años</v>
      </c>
      <c r="E715" s="3" t="s">
        <v>5018</v>
      </c>
      <c r="F715" s="3" t="s">
        <v>5024</v>
      </c>
      <c r="G715" s="3" t="s">
        <v>5032</v>
      </c>
      <c r="H715" s="3" t="s">
        <v>8373</v>
      </c>
      <c r="I715" s="17">
        <v>45649</v>
      </c>
      <c r="J715" s="18">
        <f>YEAR(Tabla1[[#This Row],[FECHA DE COMPRA]])</f>
        <v>2024</v>
      </c>
      <c r="K715" s="19">
        <v>50.66</v>
      </c>
      <c r="L715" s="20">
        <v>0.2</v>
      </c>
      <c r="M715" s="19">
        <f>Tienda!$K2023-Tienda!$K2023*Tienda!$L2023</f>
        <v>150.52500000000001</v>
      </c>
      <c r="N715" s="3" t="s">
        <v>10040</v>
      </c>
      <c r="O715" s="3" t="s">
        <v>10041</v>
      </c>
      <c r="P715" s="17">
        <v>45476</v>
      </c>
      <c r="Q715" s="4">
        <v>0</v>
      </c>
    </row>
    <row r="716" spans="1:17" x14ac:dyDescent="0.25">
      <c r="A716" s="2" t="s">
        <v>4536</v>
      </c>
      <c r="B716" s="3" t="s">
        <v>5016</v>
      </c>
      <c r="C716" s="3">
        <v>31</v>
      </c>
      <c r="D716" s="46" t="str">
        <f>IF(Tabla1[[#This Row],[EDAD]]&lt;=35,"Adultos jóvenes 18 - 35 años",IF(C716&gt;=36,"Adultos mayores 36 años en adelante"))</f>
        <v>Adultos jóvenes 18 - 35 años</v>
      </c>
      <c r="E716" s="3" t="s">
        <v>5021</v>
      </c>
      <c r="F716" s="3" t="s">
        <v>5029</v>
      </c>
      <c r="G716" s="3" t="s">
        <v>5032</v>
      </c>
      <c r="H716" s="3" t="s">
        <v>9559</v>
      </c>
      <c r="I716" s="17">
        <v>45527</v>
      </c>
      <c r="J716" s="18">
        <f>YEAR(Tabla1[[#This Row],[FECHA DE COMPRA]])</f>
        <v>2024</v>
      </c>
      <c r="K716" s="19">
        <v>46.76</v>
      </c>
      <c r="L716" s="20">
        <v>0.1</v>
      </c>
      <c r="M716" s="19">
        <f>Tienda!$K2034-Tienda!$K2034*Tienda!$L2034</f>
        <v>151.53300000000002</v>
      </c>
      <c r="N716" s="3" t="s">
        <v>10040</v>
      </c>
      <c r="O716" s="3" t="s">
        <v>10042</v>
      </c>
      <c r="P716" s="17">
        <v>45617</v>
      </c>
      <c r="Q716" s="4">
        <v>3</v>
      </c>
    </row>
    <row r="717" spans="1:17" x14ac:dyDescent="0.25">
      <c r="A717" s="2" t="s">
        <v>4976</v>
      </c>
      <c r="B717" s="3" t="s">
        <v>5016</v>
      </c>
      <c r="C717" s="3">
        <v>19</v>
      </c>
      <c r="D717" s="46" t="str">
        <f>IF(Tabla1[[#This Row],[EDAD]]&lt;=35,"Adultos jóvenes 18 - 35 años",IF(C717&gt;=36,"Adultos mayores 36 años en adelante"))</f>
        <v>Adultos jóvenes 18 - 35 años</v>
      </c>
      <c r="E717" s="3" t="s">
        <v>5023</v>
      </c>
      <c r="F717" s="3" t="s">
        <v>5029</v>
      </c>
      <c r="G717" s="3" t="s">
        <v>5036</v>
      </c>
      <c r="H717" s="3" t="s">
        <v>9999</v>
      </c>
      <c r="I717" s="17">
        <v>45539</v>
      </c>
      <c r="J717" s="18">
        <f>YEAR(Tabla1[[#This Row],[FECHA DE COMPRA]])</f>
        <v>2024</v>
      </c>
      <c r="K717" s="19">
        <v>61.09</v>
      </c>
      <c r="L717" s="20">
        <v>0.3</v>
      </c>
      <c r="M717" s="19">
        <f>Tienda!$K2040-Tienda!$K2040*Tienda!$L2040</f>
        <v>39.933</v>
      </c>
      <c r="N717" s="3" t="s">
        <v>10040</v>
      </c>
      <c r="O717" s="3" t="s">
        <v>10042</v>
      </c>
      <c r="P717" s="17">
        <v>45629</v>
      </c>
      <c r="Q717" s="4">
        <v>3</v>
      </c>
    </row>
    <row r="718" spans="1:17" x14ac:dyDescent="0.25">
      <c r="A718" s="2" t="s">
        <v>1125</v>
      </c>
      <c r="B718" s="3" t="s">
        <v>5015</v>
      </c>
      <c r="C718" s="3">
        <v>23</v>
      </c>
      <c r="D718" s="46" t="str">
        <f>IF(Tabla1[[#This Row],[EDAD]]&lt;=35,"Adultos jóvenes 18 - 35 años",IF(C718&gt;=36,"Adultos mayores 36 años en adelante"))</f>
        <v>Adultos jóvenes 18 - 35 años</v>
      </c>
      <c r="E718" s="3" t="s">
        <v>5018</v>
      </c>
      <c r="F718" s="3" t="s">
        <v>5024</v>
      </c>
      <c r="G718" s="3" t="s">
        <v>5035</v>
      </c>
      <c r="H718" s="3" t="s">
        <v>6148</v>
      </c>
      <c r="I718" s="17">
        <v>45634</v>
      </c>
      <c r="J718" s="18">
        <f>YEAR(Tabla1[[#This Row],[FECHA DE COMPRA]])</f>
        <v>2024</v>
      </c>
      <c r="K718" s="19">
        <v>54</v>
      </c>
      <c r="L718" s="20">
        <v>0.2</v>
      </c>
      <c r="M718" s="19">
        <f>Tienda!$K2042-Tienda!$K2042*Tienda!$L2042</f>
        <v>144.136</v>
      </c>
      <c r="N718" s="3" t="s">
        <v>10040</v>
      </c>
      <c r="O718" s="3" t="s">
        <v>10042</v>
      </c>
      <c r="P718" s="17">
        <v>45816</v>
      </c>
      <c r="Q718" s="4">
        <v>3</v>
      </c>
    </row>
    <row r="719" spans="1:17" x14ac:dyDescent="0.25">
      <c r="A719" s="2" t="s">
        <v>354</v>
      </c>
      <c r="B719" s="3" t="s">
        <v>5015</v>
      </c>
      <c r="C719" s="3">
        <v>30</v>
      </c>
      <c r="D719" s="46" t="str">
        <f>IF(Tabla1[[#This Row],[EDAD]]&lt;=35,"Adultos jóvenes 18 - 35 años",IF(C719&gt;=36,"Adultos mayores 36 años en adelante"))</f>
        <v>Adultos jóvenes 18 - 35 años</v>
      </c>
      <c r="E719" s="3" t="s">
        <v>5021</v>
      </c>
      <c r="F719" s="3" t="s">
        <v>5025</v>
      </c>
      <c r="G719" s="3" t="s">
        <v>5031</v>
      </c>
      <c r="H719" s="3" t="s">
        <v>5377</v>
      </c>
      <c r="I719" s="17">
        <v>45587</v>
      </c>
      <c r="J719" s="18">
        <f>YEAR(Tabla1[[#This Row],[FECHA DE COMPRA]])</f>
        <v>2024</v>
      </c>
      <c r="K719" s="19">
        <v>62.06</v>
      </c>
      <c r="L719" s="20">
        <v>0.3</v>
      </c>
      <c r="M719" s="19">
        <f>Tienda!$K2043-Tienda!$K2043*Tienda!$L2043</f>
        <v>111.15299999999999</v>
      </c>
      <c r="N719" s="3" t="s">
        <v>10040</v>
      </c>
      <c r="O719" s="3" t="s">
        <v>10042</v>
      </c>
      <c r="P719" s="17">
        <v>45857</v>
      </c>
      <c r="Q719" s="4">
        <v>3</v>
      </c>
    </row>
    <row r="720" spans="1:17" x14ac:dyDescent="0.25">
      <c r="A720" s="2" t="s">
        <v>2298</v>
      </c>
      <c r="B720" s="3" t="s">
        <v>5015</v>
      </c>
      <c r="C720" s="3">
        <v>34</v>
      </c>
      <c r="D720" s="46" t="str">
        <f>IF(Tabla1[[#This Row],[EDAD]]&lt;=35,"Adultos jóvenes 18 - 35 años",IF(C720&gt;=36,"Adultos mayores 36 años en adelante"))</f>
        <v>Adultos jóvenes 18 - 35 años</v>
      </c>
      <c r="E720" s="3" t="s">
        <v>5022</v>
      </c>
      <c r="F720" s="3" t="s">
        <v>5029</v>
      </c>
      <c r="G720" s="3" t="s">
        <v>5033</v>
      </c>
      <c r="H720" s="3" t="s">
        <v>7321</v>
      </c>
      <c r="I720" s="17">
        <v>45407</v>
      </c>
      <c r="J720" s="18">
        <f>YEAR(Tabla1[[#This Row],[FECHA DE COMPRA]])</f>
        <v>2024</v>
      </c>
      <c r="K720" s="19">
        <v>45.02</v>
      </c>
      <c r="L720" s="20">
        <v>0</v>
      </c>
      <c r="M720" s="19">
        <f>Tienda!$K2057-Tienda!$K2057*Tienda!$L2057</f>
        <v>173.96</v>
      </c>
      <c r="N720" s="3" t="s">
        <v>10040</v>
      </c>
      <c r="O720" s="3" t="s">
        <v>10042</v>
      </c>
      <c r="P720" s="17">
        <v>45497</v>
      </c>
      <c r="Q720" s="4">
        <v>3</v>
      </c>
    </row>
    <row r="721" spans="1:17" x14ac:dyDescent="0.25">
      <c r="A721" s="2" t="s">
        <v>990</v>
      </c>
      <c r="B721" s="3" t="s">
        <v>5016</v>
      </c>
      <c r="C721" s="3">
        <v>19</v>
      </c>
      <c r="D721" s="46" t="str">
        <f>IF(Tabla1[[#This Row],[EDAD]]&lt;=35,"Adultos jóvenes 18 - 35 años",IF(C721&gt;=36,"Adultos mayores 36 años en adelante"))</f>
        <v>Adultos jóvenes 18 - 35 años</v>
      </c>
      <c r="E721" s="3" t="s">
        <v>5021</v>
      </c>
      <c r="F721" s="3" t="s">
        <v>5028</v>
      </c>
      <c r="G721" s="3" t="s">
        <v>5031</v>
      </c>
      <c r="H721" s="3" t="s">
        <v>6013</v>
      </c>
      <c r="I721" s="17">
        <v>45338</v>
      </c>
      <c r="J721" s="18">
        <f>YEAR(Tabla1[[#This Row],[FECHA DE COMPRA]])</f>
        <v>2024</v>
      </c>
      <c r="K721" s="19">
        <v>65.209999999999994</v>
      </c>
      <c r="L721" s="20">
        <v>0.3</v>
      </c>
      <c r="M721" s="19">
        <f>Tienda!$K2065-Tienda!$K2065*Tienda!$L2065</f>
        <v>110.28500000000001</v>
      </c>
      <c r="N721" s="3" t="s">
        <v>10040</v>
      </c>
      <c r="O721" s="3" t="s">
        <v>10042</v>
      </c>
      <c r="P721" s="17">
        <v>45608</v>
      </c>
      <c r="Q721" s="4">
        <v>3</v>
      </c>
    </row>
    <row r="722" spans="1:17" x14ac:dyDescent="0.25">
      <c r="A722" s="2" t="s">
        <v>353</v>
      </c>
      <c r="B722" s="3" t="s">
        <v>5016</v>
      </c>
      <c r="C722" s="3">
        <v>20</v>
      </c>
      <c r="D722" s="46" t="str">
        <f>IF(Tabla1[[#This Row],[EDAD]]&lt;=35,"Adultos jóvenes 18 - 35 años",IF(C722&gt;=36,"Adultos mayores 36 años en adelante"))</f>
        <v>Adultos jóvenes 18 - 35 años</v>
      </c>
      <c r="E722" s="3" t="s">
        <v>5021</v>
      </c>
      <c r="F722" s="3" t="s">
        <v>5028</v>
      </c>
      <c r="G722" s="3" t="s">
        <v>5034</v>
      </c>
      <c r="H722" s="3" t="s">
        <v>5376</v>
      </c>
      <c r="I722" s="17">
        <v>45390</v>
      </c>
      <c r="J722" s="18">
        <f>YEAR(Tabla1[[#This Row],[FECHA DE COMPRA]])</f>
        <v>2024</v>
      </c>
      <c r="K722" s="19">
        <v>46.64</v>
      </c>
      <c r="L722" s="20">
        <v>0</v>
      </c>
      <c r="M722" s="19">
        <f>Tienda!$K2073-Tienda!$K2073*Tienda!$L2073</f>
        <v>66.08</v>
      </c>
      <c r="N722" s="3" t="s">
        <v>10040</v>
      </c>
      <c r="O722" s="3" t="s">
        <v>10042</v>
      </c>
      <c r="P722" s="17">
        <v>45660</v>
      </c>
      <c r="Q722" s="4">
        <v>3</v>
      </c>
    </row>
    <row r="723" spans="1:17" x14ac:dyDescent="0.25">
      <c r="A723" s="2" t="s">
        <v>2949</v>
      </c>
      <c r="B723" s="3" t="s">
        <v>5015</v>
      </c>
      <c r="C723" s="3">
        <v>22</v>
      </c>
      <c r="D723" s="46" t="str">
        <f>IF(Tabla1[[#This Row],[EDAD]]&lt;=35,"Adultos jóvenes 18 - 35 años",IF(C723&gt;=36,"Adultos mayores 36 años en adelante"))</f>
        <v>Adultos jóvenes 18 - 35 años</v>
      </c>
      <c r="E723" s="3" t="s">
        <v>5023</v>
      </c>
      <c r="F723" s="3" t="s">
        <v>5024</v>
      </c>
      <c r="G723" s="3" t="s">
        <v>5037</v>
      </c>
      <c r="H723" s="3" t="s">
        <v>7972</v>
      </c>
      <c r="I723" s="17">
        <v>45322</v>
      </c>
      <c r="J723" s="18">
        <f>YEAR(Tabla1[[#This Row],[FECHA DE COMPRA]])</f>
        <v>2024</v>
      </c>
      <c r="K723" s="19">
        <v>46.95</v>
      </c>
      <c r="L723" s="20">
        <v>0</v>
      </c>
      <c r="M723" s="19">
        <f>Tienda!$K2076-Tienda!$K2076*Tienda!$L2076</f>
        <v>41.118000000000002</v>
      </c>
      <c r="N723" s="3" t="s">
        <v>10040</v>
      </c>
      <c r="O723" s="3" t="s">
        <v>10042</v>
      </c>
      <c r="P723" s="17">
        <v>45412</v>
      </c>
      <c r="Q723" s="4">
        <v>3</v>
      </c>
    </row>
    <row r="724" spans="1:17" x14ac:dyDescent="0.25">
      <c r="A724" s="2" t="s">
        <v>1883</v>
      </c>
      <c r="B724" s="3" t="s">
        <v>5015</v>
      </c>
      <c r="C724" s="3">
        <v>28</v>
      </c>
      <c r="D724" s="46" t="str">
        <f>IF(Tabla1[[#This Row],[EDAD]]&lt;=35,"Adultos jóvenes 18 - 35 años",IF(C724&gt;=36,"Adultos mayores 36 años en adelante"))</f>
        <v>Adultos jóvenes 18 - 35 años</v>
      </c>
      <c r="E724" s="3" t="s">
        <v>5019</v>
      </c>
      <c r="F724" s="3" t="s">
        <v>5030</v>
      </c>
      <c r="G724" s="3" t="s">
        <v>5034</v>
      </c>
      <c r="H724" s="3" t="s">
        <v>6906</v>
      </c>
      <c r="I724" s="17">
        <v>45530</v>
      </c>
      <c r="J724" s="18">
        <f>YEAR(Tabla1[[#This Row],[FECHA DE COMPRA]])</f>
        <v>2024</v>
      </c>
      <c r="K724" s="19">
        <v>58.91</v>
      </c>
      <c r="L724" s="20">
        <v>0.2</v>
      </c>
      <c r="M724" s="19">
        <f>Tienda!$K2078-Tienda!$K2078*Tienda!$L2078</f>
        <v>58.34</v>
      </c>
      <c r="N724" s="3" t="s">
        <v>10040</v>
      </c>
      <c r="O724" s="3" t="s">
        <v>10042</v>
      </c>
      <c r="P724" s="17">
        <v>45710</v>
      </c>
      <c r="Q724" s="4">
        <v>3</v>
      </c>
    </row>
    <row r="725" spans="1:17" x14ac:dyDescent="0.25">
      <c r="A725" s="2" t="s">
        <v>4776</v>
      </c>
      <c r="B725" s="3" t="s">
        <v>5015</v>
      </c>
      <c r="C725" s="3">
        <v>18</v>
      </c>
      <c r="D725" s="46" t="str">
        <f>IF(Tabla1[[#This Row],[EDAD]]&lt;=35,"Adultos jóvenes 18 - 35 años",IF(C725&gt;=36,"Adultos mayores 36 años en adelante"))</f>
        <v>Adultos jóvenes 18 - 35 años</v>
      </c>
      <c r="E725" s="3" t="s">
        <v>5018</v>
      </c>
      <c r="F725" s="3" t="s">
        <v>5029</v>
      </c>
      <c r="G725" s="3" t="s">
        <v>5032</v>
      </c>
      <c r="H725" s="3" t="s">
        <v>9799</v>
      </c>
      <c r="I725" s="17">
        <v>45440</v>
      </c>
      <c r="J725" s="18">
        <f>YEAR(Tabla1[[#This Row],[FECHA DE COMPRA]])</f>
        <v>2024</v>
      </c>
      <c r="K725" s="19">
        <v>53.19</v>
      </c>
      <c r="L725" s="20">
        <v>0.1</v>
      </c>
      <c r="M725" s="19">
        <f>Tienda!$K2084-Tienda!$K2084*Tienda!$L2084</f>
        <v>184</v>
      </c>
      <c r="N725" s="3" t="s">
        <v>10040</v>
      </c>
      <c r="O725" s="3" t="s">
        <v>10042</v>
      </c>
      <c r="P725" s="17">
        <v>45620</v>
      </c>
      <c r="Q725" s="4">
        <v>3</v>
      </c>
    </row>
    <row r="726" spans="1:17" x14ac:dyDescent="0.25">
      <c r="A726" s="2" t="s">
        <v>596</v>
      </c>
      <c r="B726" s="3" t="s">
        <v>5016</v>
      </c>
      <c r="C726" s="3">
        <v>26</v>
      </c>
      <c r="D726" s="46" t="str">
        <f>IF(Tabla1[[#This Row],[EDAD]]&lt;=35,"Adultos jóvenes 18 - 35 años",IF(C726&gt;=36,"Adultos mayores 36 años en adelante"))</f>
        <v>Adultos jóvenes 18 - 35 años</v>
      </c>
      <c r="E726" s="3" t="s">
        <v>5021</v>
      </c>
      <c r="F726" s="3" t="s">
        <v>5030</v>
      </c>
      <c r="G726" s="3" t="s">
        <v>5036</v>
      </c>
      <c r="H726" s="3" t="s">
        <v>5619</v>
      </c>
      <c r="I726" s="17">
        <v>45539</v>
      </c>
      <c r="J726" s="18">
        <f>YEAR(Tabla1[[#This Row],[FECHA DE COMPRA]])</f>
        <v>2024</v>
      </c>
      <c r="K726" s="19">
        <v>70.540000000000006</v>
      </c>
      <c r="L726" s="20">
        <v>0.3</v>
      </c>
      <c r="M726" s="19">
        <f>Tienda!$K2094-Tienda!$K2094*Tienda!$L2094</f>
        <v>117.26400000000001</v>
      </c>
      <c r="N726" s="3" t="s">
        <v>10040</v>
      </c>
      <c r="O726" s="3" t="s">
        <v>10042</v>
      </c>
      <c r="P726" s="17">
        <v>45899</v>
      </c>
      <c r="Q726" s="4">
        <v>3</v>
      </c>
    </row>
    <row r="727" spans="1:17" x14ac:dyDescent="0.25">
      <c r="A727" s="2" t="s">
        <v>4705</v>
      </c>
      <c r="B727" s="3" t="s">
        <v>5016</v>
      </c>
      <c r="C727" s="3">
        <v>19</v>
      </c>
      <c r="D727" s="46" t="str">
        <f>IF(Tabla1[[#This Row],[EDAD]]&lt;=35,"Adultos jóvenes 18 - 35 años",IF(C727&gt;=36,"Adultos mayores 36 años en adelante"))</f>
        <v>Adultos jóvenes 18 - 35 años</v>
      </c>
      <c r="E727" s="3" t="s">
        <v>5023</v>
      </c>
      <c r="F727" s="3" t="s">
        <v>5025</v>
      </c>
      <c r="G727" s="3" t="s">
        <v>5037</v>
      </c>
      <c r="H727" s="3" t="s">
        <v>9728</v>
      </c>
      <c r="I727" s="17">
        <v>45481</v>
      </c>
      <c r="J727" s="18">
        <f>YEAR(Tabla1[[#This Row],[FECHA DE COMPRA]])</f>
        <v>2024</v>
      </c>
      <c r="K727" s="19">
        <v>55.19</v>
      </c>
      <c r="L727" s="20">
        <v>0.1</v>
      </c>
      <c r="M727" s="19">
        <f>Tienda!$K2095-Tienda!$K2095*Tienda!$L2095</f>
        <v>74.616</v>
      </c>
      <c r="N727" s="3" t="s">
        <v>10040</v>
      </c>
      <c r="O727" s="3" t="s">
        <v>10042</v>
      </c>
      <c r="P727" s="17">
        <v>45661</v>
      </c>
      <c r="Q727" s="4">
        <v>3</v>
      </c>
    </row>
    <row r="728" spans="1:17" x14ac:dyDescent="0.25">
      <c r="A728" s="2" t="s">
        <v>1681</v>
      </c>
      <c r="B728" s="3" t="s">
        <v>5016</v>
      </c>
      <c r="C728" s="3">
        <v>18</v>
      </c>
      <c r="D728" s="46" t="str">
        <f>IF(Tabla1[[#This Row],[EDAD]]&lt;=35,"Adultos jóvenes 18 - 35 años",IF(C728&gt;=36,"Adultos mayores 36 años en adelante"))</f>
        <v>Adultos jóvenes 18 - 35 años</v>
      </c>
      <c r="E728" s="3" t="s">
        <v>5023</v>
      </c>
      <c r="F728" s="3" t="s">
        <v>5030</v>
      </c>
      <c r="G728" s="3" t="s">
        <v>5036</v>
      </c>
      <c r="H728" s="3" t="s">
        <v>6704</v>
      </c>
      <c r="I728" s="17">
        <v>45650</v>
      </c>
      <c r="J728" s="18">
        <f>YEAR(Tabla1[[#This Row],[FECHA DE COMPRA]])</f>
        <v>2024</v>
      </c>
      <c r="K728" s="19">
        <v>63.1</v>
      </c>
      <c r="L728" s="20">
        <v>0.2</v>
      </c>
      <c r="M728" s="19">
        <f>Tienda!$K2103-Tienda!$K2103*Tienda!$L2103</f>
        <v>76.384</v>
      </c>
      <c r="N728" s="3" t="s">
        <v>10040</v>
      </c>
      <c r="O728" s="3" t="s">
        <v>10042</v>
      </c>
      <c r="P728" s="17">
        <v>45740</v>
      </c>
      <c r="Q728" s="4">
        <v>3</v>
      </c>
    </row>
    <row r="729" spans="1:17" x14ac:dyDescent="0.25">
      <c r="A729" s="2" t="s">
        <v>3828</v>
      </c>
      <c r="B729" s="3" t="s">
        <v>5015</v>
      </c>
      <c r="C729" s="3">
        <v>33</v>
      </c>
      <c r="D729" s="46" t="str">
        <f>IF(Tabla1[[#This Row],[EDAD]]&lt;=35,"Adultos jóvenes 18 - 35 años",IF(C729&gt;=36,"Adultos mayores 36 años en adelante"))</f>
        <v>Adultos jóvenes 18 - 35 años</v>
      </c>
      <c r="E729" s="3" t="s">
        <v>5022</v>
      </c>
      <c r="F729" s="3" t="s">
        <v>5024</v>
      </c>
      <c r="G729" s="3" t="s">
        <v>5036</v>
      </c>
      <c r="H729" s="3" t="s">
        <v>8851</v>
      </c>
      <c r="I729" s="17">
        <v>45538</v>
      </c>
      <c r="J729" s="18">
        <f>YEAR(Tabla1[[#This Row],[FECHA DE COMPRA]])</f>
        <v>2024</v>
      </c>
      <c r="K729" s="19">
        <v>57</v>
      </c>
      <c r="L729" s="20">
        <v>0.1</v>
      </c>
      <c r="M729" s="19">
        <f>Tienda!$K2107-Tienda!$K2107*Tienda!$L2107</f>
        <v>162.86000000000001</v>
      </c>
      <c r="N729" s="3" t="s">
        <v>10040</v>
      </c>
      <c r="O729" s="3" t="s">
        <v>10042</v>
      </c>
      <c r="P729" s="17">
        <v>45628</v>
      </c>
      <c r="Q729" s="4">
        <v>3</v>
      </c>
    </row>
    <row r="730" spans="1:17" x14ac:dyDescent="0.25">
      <c r="A730" s="2" t="s">
        <v>2090</v>
      </c>
      <c r="B730" s="3" t="s">
        <v>5015</v>
      </c>
      <c r="C730" s="3">
        <v>29</v>
      </c>
      <c r="D730" s="46" t="str">
        <f>IF(Tabla1[[#This Row],[EDAD]]&lt;=35,"Adultos jóvenes 18 - 35 años",IF(C730&gt;=36,"Adultos mayores 36 años en adelante"))</f>
        <v>Adultos jóvenes 18 - 35 años</v>
      </c>
      <c r="E730" s="3" t="s">
        <v>5022</v>
      </c>
      <c r="F730" s="3" t="s">
        <v>5028</v>
      </c>
      <c r="G730" s="3" t="s">
        <v>5032</v>
      </c>
      <c r="H730" s="3" t="s">
        <v>7113</v>
      </c>
      <c r="I730" s="17">
        <v>45317</v>
      </c>
      <c r="J730" s="18">
        <f>YEAR(Tabla1[[#This Row],[FECHA DE COMPRA]])</f>
        <v>2024</v>
      </c>
      <c r="K730" s="19">
        <v>66.34</v>
      </c>
      <c r="L730" s="20">
        <v>0.2</v>
      </c>
      <c r="M730" s="19">
        <f>Tienda!$K2119-Tienda!$K2119*Tienda!$L2119</f>
        <v>18.672000000000001</v>
      </c>
      <c r="N730" s="3" t="s">
        <v>10040</v>
      </c>
      <c r="O730" s="3" t="s">
        <v>10042</v>
      </c>
      <c r="P730" s="17">
        <v>45497</v>
      </c>
      <c r="Q730" s="4">
        <v>3</v>
      </c>
    </row>
    <row r="731" spans="1:17" x14ac:dyDescent="0.25">
      <c r="A731" s="2" t="s">
        <v>4123</v>
      </c>
      <c r="B731" s="3" t="s">
        <v>5016</v>
      </c>
      <c r="C731" s="3">
        <v>18</v>
      </c>
      <c r="D731" s="46" t="str">
        <f>IF(Tabla1[[#This Row],[EDAD]]&lt;=35,"Adultos jóvenes 18 - 35 años",IF(C731&gt;=36,"Adultos mayores 36 años en adelante"))</f>
        <v>Adultos jóvenes 18 - 35 años</v>
      </c>
      <c r="E731" s="3" t="s">
        <v>5023</v>
      </c>
      <c r="F731" s="3" t="s">
        <v>5030</v>
      </c>
      <c r="G731" s="3" t="s">
        <v>5031</v>
      </c>
      <c r="H731" s="3" t="s">
        <v>9146</v>
      </c>
      <c r="I731" s="17">
        <v>45644</v>
      </c>
      <c r="J731" s="18">
        <f>YEAR(Tabla1[[#This Row],[FECHA DE COMPRA]])</f>
        <v>2024</v>
      </c>
      <c r="K731" s="19">
        <v>53.52</v>
      </c>
      <c r="L731" s="20">
        <v>0</v>
      </c>
      <c r="M731" s="19">
        <f>Tienda!$K2125-Tienda!$K2125*Tienda!$L2125</f>
        <v>25.207000000000001</v>
      </c>
      <c r="N731" s="3" t="s">
        <v>10040</v>
      </c>
      <c r="O731" s="3" t="s">
        <v>10042</v>
      </c>
      <c r="P731" s="17">
        <v>45824</v>
      </c>
      <c r="Q731" s="4">
        <v>3</v>
      </c>
    </row>
    <row r="732" spans="1:17" x14ac:dyDescent="0.25">
      <c r="A732" s="2" t="s">
        <v>3160</v>
      </c>
      <c r="B732" s="3" t="s">
        <v>5015</v>
      </c>
      <c r="C732" s="3">
        <v>33</v>
      </c>
      <c r="D732" s="46" t="str">
        <f>IF(Tabla1[[#This Row],[EDAD]]&lt;=35,"Adultos jóvenes 18 - 35 años",IF(C732&gt;=36,"Adultos mayores 36 años en adelante"))</f>
        <v>Adultos jóvenes 18 - 35 años</v>
      </c>
      <c r="E732" s="3" t="s">
        <v>5018</v>
      </c>
      <c r="F732" s="3" t="s">
        <v>5028</v>
      </c>
      <c r="G732" s="3" t="s">
        <v>5031</v>
      </c>
      <c r="H732" s="3" t="s">
        <v>8183</v>
      </c>
      <c r="I732" s="17">
        <v>45313</v>
      </c>
      <c r="J732" s="18">
        <f>YEAR(Tabla1[[#This Row],[FECHA DE COMPRA]])</f>
        <v>2024</v>
      </c>
      <c r="K732" s="19">
        <v>59.96</v>
      </c>
      <c r="L732" s="20">
        <v>0.1</v>
      </c>
      <c r="M732" s="19">
        <f>Tienda!$K2131-Tienda!$K2131*Tienda!$L2131</f>
        <v>130.37400000000002</v>
      </c>
      <c r="N732" s="3" t="s">
        <v>10040</v>
      </c>
      <c r="O732" s="3" t="s">
        <v>10042</v>
      </c>
      <c r="P732" s="17">
        <v>45673</v>
      </c>
      <c r="Q732" s="4">
        <v>3</v>
      </c>
    </row>
    <row r="733" spans="1:17" x14ac:dyDescent="0.25">
      <c r="A733" s="2" t="s">
        <v>414</v>
      </c>
      <c r="B733" s="3" t="s">
        <v>5015</v>
      </c>
      <c r="C733" s="3">
        <v>18</v>
      </c>
      <c r="D733" s="46" t="str">
        <f>IF(Tabla1[[#This Row],[EDAD]]&lt;=35,"Adultos jóvenes 18 - 35 años",IF(C733&gt;=36,"Adultos mayores 36 años en adelante"))</f>
        <v>Adultos jóvenes 18 - 35 años</v>
      </c>
      <c r="E733" s="3" t="s">
        <v>5023</v>
      </c>
      <c r="F733" s="3" t="s">
        <v>5029</v>
      </c>
      <c r="G733" s="3" t="s">
        <v>5037</v>
      </c>
      <c r="H733" s="3" t="s">
        <v>5437</v>
      </c>
      <c r="I733" s="17">
        <v>45323</v>
      </c>
      <c r="J733" s="18">
        <f>YEAR(Tabla1[[#This Row],[FECHA DE COMPRA]])</f>
        <v>2024</v>
      </c>
      <c r="K733" s="19">
        <v>77.12</v>
      </c>
      <c r="L733" s="20">
        <v>0.3</v>
      </c>
      <c r="M733" s="19">
        <f>Tienda!$K2132-Tienda!$K2132*Tienda!$L2132</f>
        <v>145.548</v>
      </c>
      <c r="N733" s="3" t="s">
        <v>10040</v>
      </c>
      <c r="O733" s="3" t="s">
        <v>10042</v>
      </c>
      <c r="P733" s="17">
        <v>45683</v>
      </c>
      <c r="Q733" s="4">
        <v>3</v>
      </c>
    </row>
    <row r="734" spans="1:17" x14ac:dyDescent="0.25">
      <c r="A734" s="2" t="s">
        <v>1732</v>
      </c>
      <c r="B734" s="3" t="s">
        <v>5015</v>
      </c>
      <c r="C734" s="3">
        <v>21</v>
      </c>
      <c r="D734" s="46" t="str">
        <f>IF(Tabla1[[#This Row],[EDAD]]&lt;=35,"Adultos jóvenes 18 - 35 años",IF(C734&gt;=36,"Adultos mayores 36 años en adelante"))</f>
        <v>Adultos jóvenes 18 - 35 años</v>
      </c>
      <c r="E734" s="3" t="s">
        <v>5021</v>
      </c>
      <c r="F734" s="3" t="s">
        <v>5027</v>
      </c>
      <c r="G734" s="3" t="s">
        <v>5032</v>
      </c>
      <c r="H734" s="3" t="s">
        <v>6755</v>
      </c>
      <c r="I734" s="17">
        <v>45567</v>
      </c>
      <c r="J734" s="18">
        <f>YEAR(Tabla1[[#This Row],[FECHA DE COMPRA]])</f>
        <v>2024</v>
      </c>
      <c r="K734" s="19">
        <v>60.14</v>
      </c>
      <c r="L734" s="20">
        <v>0.1</v>
      </c>
      <c r="M734" s="19">
        <f>Tienda!$K2134-Tienda!$K2134*Tienda!$L2134</f>
        <v>23.071999999999999</v>
      </c>
      <c r="N734" s="3" t="s">
        <v>10040</v>
      </c>
      <c r="O734" s="3" t="s">
        <v>10042</v>
      </c>
      <c r="P734" s="17">
        <v>45657</v>
      </c>
      <c r="Q734" s="4">
        <v>3</v>
      </c>
    </row>
    <row r="735" spans="1:17" x14ac:dyDescent="0.25">
      <c r="A735" s="2" t="s">
        <v>2372</v>
      </c>
      <c r="B735" s="3" t="s">
        <v>5015</v>
      </c>
      <c r="C735" s="3">
        <v>28</v>
      </c>
      <c r="D735" s="46" t="str">
        <f>IF(Tabla1[[#This Row],[EDAD]]&lt;=35,"Adultos jóvenes 18 - 35 años",IF(C735&gt;=36,"Adultos mayores 36 años en adelante"))</f>
        <v>Adultos jóvenes 18 - 35 años</v>
      </c>
      <c r="E735" s="3" t="s">
        <v>5018</v>
      </c>
      <c r="F735" s="3" t="s">
        <v>5025</v>
      </c>
      <c r="G735" s="3" t="s">
        <v>5032</v>
      </c>
      <c r="H735" s="3" t="s">
        <v>7395</v>
      </c>
      <c r="I735" s="17">
        <v>45576</v>
      </c>
      <c r="J735" s="18">
        <f>YEAR(Tabla1[[#This Row],[FECHA DE COMPRA]])</f>
        <v>2024</v>
      </c>
      <c r="K735" s="19">
        <v>68.44</v>
      </c>
      <c r="L735" s="20">
        <v>0.2</v>
      </c>
      <c r="M735" s="19">
        <f>Tienda!$K2138-Tienda!$K2138*Tienda!$L2138</f>
        <v>37.610999999999997</v>
      </c>
      <c r="N735" s="3" t="s">
        <v>10040</v>
      </c>
      <c r="O735" s="3" t="s">
        <v>10042</v>
      </c>
      <c r="P735" s="17">
        <v>45936</v>
      </c>
      <c r="Q735" s="4">
        <v>3</v>
      </c>
    </row>
    <row r="736" spans="1:17" x14ac:dyDescent="0.25">
      <c r="A736" s="2" t="s">
        <v>748</v>
      </c>
      <c r="B736" s="3" t="s">
        <v>5016</v>
      </c>
      <c r="C736" s="3">
        <v>33</v>
      </c>
      <c r="D736" s="46" t="str">
        <f>IF(Tabla1[[#This Row],[EDAD]]&lt;=35,"Adultos jóvenes 18 - 35 años",IF(C736&gt;=36,"Adultos mayores 36 años en adelante"))</f>
        <v>Adultos jóvenes 18 - 35 años</v>
      </c>
      <c r="E736" s="3" t="s">
        <v>5021</v>
      </c>
      <c r="F736" s="3" t="s">
        <v>5030</v>
      </c>
      <c r="G736" s="3" t="s">
        <v>5035</v>
      </c>
      <c r="H736" s="3" t="s">
        <v>5771</v>
      </c>
      <c r="I736" s="17">
        <v>45624</v>
      </c>
      <c r="J736" s="18">
        <f>YEAR(Tabla1[[#This Row],[FECHA DE COMPRA]])</f>
        <v>2024</v>
      </c>
      <c r="K736" s="19">
        <v>62.97</v>
      </c>
      <c r="L736" s="20">
        <v>0.1</v>
      </c>
      <c r="M736" s="19">
        <f>Tienda!$K2159-Tienda!$K2159*Tienda!$L2159</f>
        <v>68.522999999999996</v>
      </c>
      <c r="N736" s="3" t="s">
        <v>10040</v>
      </c>
      <c r="O736" s="3" t="s">
        <v>10042</v>
      </c>
      <c r="P736" s="17">
        <v>45657</v>
      </c>
      <c r="Q736" s="4">
        <v>3</v>
      </c>
    </row>
    <row r="737" spans="1:17" x14ac:dyDescent="0.25">
      <c r="A737" s="2" t="s">
        <v>3605</v>
      </c>
      <c r="B737" s="3" t="s">
        <v>5015</v>
      </c>
      <c r="C737" s="3">
        <v>21</v>
      </c>
      <c r="D737" s="46" t="str">
        <f>IF(Tabla1[[#This Row],[EDAD]]&lt;=35,"Adultos jóvenes 18 - 35 años",IF(C737&gt;=36,"Adultos mayores 36 años en adelante"))</f>
        <v>Adultos jóvenes 18 - 35 años</v>
      </c>
      <c r="E737" s="3" t="s">
        <v>5022</v>
      </c>
      <c r="F737" s="3" t="s">
        <v>5027</v>
      </c>
      <c r="G737" s="3" t="s">
        <v>5034</v>
      </c>
      <c r="H737" s="3" t="s">
        <v>8628</v>
      </c>
      <c r="I737" s="17">
        <v>45341</v>
      </c>
      <c r="J737" s="18">
        <f>YEAR(Tabla1[[#This Row],[FECHA DE COMPRA]])</f>
        <v>2024</v>
      </c>
      <c r="K737" s="19">
        <v>70.95</v>
      </c>
      <c r="L737" s="20">
        <v>0.2</v>
      </c>
      <c r="M737" s="19">
        <f>Tienda!$K2160-Tienda!$K2160*Tienda!$L2160</f>
        <v>67.62</v>
      </c>
      <c r="N737" s="3" t="s">
        <v>10040</v>
      </c>
      <c r="O737" s="3" t="s">
        <v>10042</v>
      </c>
      <c r="P737" s="17">
        <v>45521</v>
      </c>
      <c r="Q737" s="4">
        <v>3</v>
      </c>
    </row>
    <row r="738" spans="1:17" x14ac:dyDescent="0.25">
      <c r="A738" s="2" t="s">
        <v>2092</v>
      </c>
      <c r="B738" s="3" t="s">
        <v>5015</v>
      </c>
      <c r="C738" s="3">
        <v>19</v>
      </c>
      <c r="D738" s="46" t="str">
        <f>IF(Tabla1[[#This Row],[EDAD]]&lt;=35,"Adultos jóvenes 18 - 35 años",IF(C738&gt;=36,"Adultos mayores 36 años en adelante"))</f>
        <v>Adultos jóvenes 18 - 35 años</v>
      </c>
      <c r="E738" s="3" t="s">
        <v>5023</v>
      </c>
      <c r="F738" s="3" t="s">
        <v>5025</v>
      </c>
      <c r="G738" s="3" t="s">
        <v>5036</v>
      </c>
      <c r="H738" s="3" t="s">
        <v>7115</v>
      </c>
      <c r="I738" s="17">
        <v>45363</v>
      </c>
      <c r="J738" s="18">
        <f>YEAR(Tabla1[[#This Row],[FECHA DE COMPRA]])</f>
        <v>2024</v>
      </c>
      <c r="K738" s="19">
        <v>57.86</v>
      </c>
      <c r="L738" s="20">
        <v>0</v>
      </c>
      <c r="M738" s="19">
        <f>Tienda!$K2173-Tienda!$K2173*Tienda!$L2173</f>
        <v>174.06</v>
      </c>
      <c r="N738" s="3" t="s">
        <v>10040</v>
      </c>
      <c r="O738" s="3" t="s">
        <v>10042</v>
      </c>
      <c r="P738" s="17">
        <v>45453</v>
      </c>
      <c r="Q738" s="4">
        <v>3</v>
      </c>
    </row>
    <row r="739" spans="1:17" x14ac:dyDescent="0.25">
      <c r="A739" s="2" t="s">
        <v>2345</v>
      </c>
      <c r="B739" s="3" t="s">
        <v>5016</v>
      </c>
      <c r="C739" s="3">
        <v>30</v>
      </c>
      <c r="D739" s="46" t="str">
        <f>IF(Tabla1[[#This Row],[EDAD]]&lt;=35,"Adultos jóvenes 18 - 35 años",IF(C739&gt;=36,"Adultos mayores 36 años en adelante"))</f>
        <v>Adultos jóvenes 18 - 35 años</v>
      </c>
      <c r="E739" s="3" t="s">
        <v>5021</v>
      </c>
      <c r="F739" s="3" t="s">
        <v>5025</v>
      </c>
      <c r="G739" s="3" t="s">
        <v>5032</v>
      </c>
      <c r="H739" s="3" t="s">
        <v>7368</v>
      </c>
      <c r="I739" s="17">
        <v>45518</v>
      </c>
      <c r="J739" s="18">
        <f>YEAR(Tabla1[[#This Row],[FECHA DE COMPRA]])</f>
        <v>2024</v>
      </c>
      <c r="K739" s="19">
        <v>82.72</v>
      </c>
      <c r="L739" s="20">
        <v>0.3</v>
      </c>
      <c r="M739" s="19">
        <f>Tienda!$K2174-Tienda!$K2174*Tienda!$L2174</f>
        <v>75.930000000000007</v>
      </c>
      <c r="N739" s="3" t="s">
        <v>10040</v>
      </c>
      <c r="O739" s="3" t="s">
        <v>10042</v>
      </c>
      <c r="P739" s="17">
        <v>45788</v>
      </c>
      <c r="Q739" s="4">
        <v>3</v>
      </c>
    </row>
    <row r="740" spans="1:17" x14ac:dyDescent="0.25">
      <c r="A740" s="2" t="s">
        <v>3606</v>
      </c>
      <c r="B740" s="3" t="s">
        <v>5016</v>
      </c>
      <c r="C740" s="3">
        <v>28</v>
      </c>
      <c r="D740" s="46" t="str">
        <f>IF(Tabla1[[#This Row],[EDAD]]&lt;=35,"Adultos jóvenes 18 - 35 años",IF(C740&gt;=36,"Adultos mayores 36 años en adelante"))</f>
        <v>Adultos jóvenes 18 - 35 años</v>
      </c>
      <c r="E740" s="3" t="s">
        <v>5019</v>
      </c>
      <c r="F740" s="3" t="s">
        <v>5026</v>
      </c>
      <c r="G740" s="3" t="s">
        <v>5037</v>
      </c>
      <c r="H740" s="3" t="s">
        <v>8629</v>
      </c>
      <c r="I740" s="17">
        <v>45624</v>
      </c>
      <c r="J740" s="18">
        <f>YEAR(Tabla1[[#This Row],[FECHA DE COMPRA]])</f>
        <v>2024</v>
      </c>
      <c r="K740" s="19">
        <v>64.400000000000006</v>
      </c>
      <c r="L740" s="20">
        <v>0.1</v>
      </c>
      <c r="M740" s="19">
        <f>Tienda!$K2175-Tienda!$K2175*Tienda!$L2175</f>
        <v>56.713999999999999</v>
      </c>
      <c r="N740" s="3" t="s">
        <v>10040</v>
      </c>
      <c r="O740" s="3" t="s">
        <v>10042</v>
      </c>
      <c r="P740" s="17">
        <v>45835</v>
      </c>
      <c r="Q740" s="4">
        <v>3</v>
      </c>
    </row>
    <row r="741" spans="1:17" x14ac:dyDescent="0.25">
      <c r="A741" s="2" t="s">
        <v>1325</v>
      </c>
      <c r="B741" s="3" t="s">
        <v>5015</v>
      </c>
      <c r="C741" s="3">
        <v>34</v>
      </c>
      <c r="D741" s="46" t="str">
        <f>IF(Tabla1[[#This Row],[EDAD]]&lt;=35,"Adultos jóvenes 18 - 35 años",IF(C741&gt;=36,"Adultos mayores 36 años en adelante"))</f>
        <v>Adultos jóvenes 18 - 35 años</v>
      </c>
      <c r="E741" s="3" t="s">
        <v>5022</v>
      </c>
      <c r="F741" s="3" t="s">
        <v>5025</v>
      </c>
      <c r="G741" s="3" t="s">
        <v>5032</v>
      </c>
      <c r="H741" s="3" t="s">
        <v>6348</v>
      </c>
      <c r="I741" s="17">
        <v>45593</v>
      </c>
      <c r="J741" s="18">
        <f>YEAR(Tabla1[[#This Row],[FECHA DE COMPRA]])</f>
        <v>2024</v>
      </c>
      <c r="K741" s="19">
        <v>73.760000000000005</v>
      </c>
      <c r="L741" s="20">
        <v>0.2</v>
      </c>
      <c r="M741" s="19">
        <f>Tienda!$K2181-Tienda!$K2181*Tienda!$L2181</f>
        <v>117.29</v>
      </c>
      <c r="N741" s="3" t="s">
        <v>10040</v>
      </c>
      <c r="O741" s="3" t="s">
        <v>10042</v>
      </c>
      <c r="P741" s="17">
        <v>45773</v>
      </c>
      <c r="Q741" s="4">
        <v>3</v>
      </c>
    </row>
    <row r="742" spans="1:17" x14ac:dyDescent="0.25">
      <c r="A742" s="2" t="s">
        <v>710</v>
      </c>
      <c r="B742" s="3" t="s">
        <v>5015</v>
      </c>
      <c r="C742" s="3">
        <v>28</v>
      </c>
      <c r="D742" s="46" t="str">
        <f>IF(Tabla1[[#This Row],[EDAD]]&lt;=35,"Adultos jóvenes 18 - 35 años",IF(C742&gt;=36,"Adultos mayores 36 años en adelante"))</f>
        <v>Adultos jóvenes 18 - 35 años</v>
      </c>
      <c r="E742" s="3" t="s">
        <v>5019</v>
      </c>
      <c r="F742" s="3" t="s">
        <v>5027</v>
      </c>
      <c r="G742" s="3" t="s">
        <v>5031</v>
      </c>
      <c r="H742" s="3" t="s">
        <v>5733</v>
      </c>
      <c r="I742" s="17">
        <v>45636</v>
      </c>
      <c r="J742" s="18">
        <f>YEAR(Tabla1[[#This Row],[FECHA DE COMPRA]])</f>
        <v>2024</v>
      </c>
      <c r="K742" s="19">
        <v>66.05</v>
      </c>
      <c r="L742" s="20">
        <v>0.1</v>
      </c>
      <c r="M742" s="19">
        <f>Tienda!$K2188-Tienda!$K2188*Tienda!$L2188</f>
        <v>51.079000000000001</v>
      </c>
      <c r="N742" s="3" t="s">
        <v>10040</v>
      </c>
      <c r="O742" s="3" t="s">
        <v>10042</v>
      </c>
      <c r="P742" s="17">
        <v>45639</v>
      </c>
      <c r="Q742" s="4">
        <v>3</v>
      </c>
    </row>
    <row r="743" spans="1:17" x14ac:dyDescent="0.25">
      <c r="A743" s="2" t="s">
        <v>42</v>
      </c>
      <c r="B743" s="3" t="s">
        <v>5015</v>
      </c>
      <c r="C743" s="3">
        <v>29</v>
      </c>
      <c r="D743" s="46" t="str">
        <f>IF(Tabla1[[#This Row],[EDAD]]&lt;=35,"Adultos jóvenes 18 - 35 años",IF(C743&gt;=36,"Adultos mayores 36 años en adelante"))</f>
        <v>Adultos jóvenes 18 - 35 años</v>
      </c>
      <c r="E743" s="3" t="s">
        <v>5021</v>
      </c>
      <c r="F743" s="3" t="s">
        <v>5027</v>
      </c>
      <c r="G743" s="3" t="s">
        <v>5034</v>
      </c>
      <c r="H743" s="3" t="s">
        <v>5065</v>
      </c>
      <c r="I743" s="17">
        <v>45531</v>
      </c>
      <c r="J743" s="18">
        <f>YEAR(Tabla1[[#This Row],[FECHA DE COMPRA]])</f>
        <v>2024</v>
      </c>
      <c r="K743" s="19">
        <v>74.78</v>
      </c>
      <c r="L743" s="20">
        <v>0.2</v>
      </c>
      <c r="M743" s="19">
        <f>Tienda!$K2194-Tienda!$K2194*Tienda!$L2194</f>
        <v>113.121</v>
      </c>
      <c r="N743" s="3" t="s">
        <v>10040</v>
      </c>
      <c r="O743" s="3" t="s">
        <v>10042</v>
      </c>
      <c r="P743" s="17">
        <v>45891</v>
      </c>
      <c r="Q743" s="4">
        <v>3</v>
      </c>
    </row>
    <row r="744" spans="1:17" x14ac:dyDescent="0.25">
      <c r="A744" s="2" t="s">
        <v>1926</v>
      </c>
      <c r="B744" s="3" t="s">
        <v>5015</v>
      </c>
      <c r="C744" s="3">
        <v>25</v>
      </c>
      <c r="D744" s="46" t="str">
        <f>IF(Tabla1[[#This Row],[EDAD]]&lt;=35,"Adultos jóvenes 18 - 35 años",IF(C744&gt;=36,"Adultos mayores 36 años en adelante"))</f>
        <v>Adultos jóvenes 18 - 35 años</v>
      </c>
      <c r="E744" s="3" t="s">
        <v>5020</v>
      </c>
      <c r="F744" s="3" t="s">
        <v>5028</v>
      </c>
      <c r="G744" s="3" t="s">
        <v>5033</v>
      </c>
      <c r="H744" s="3" t="s">
        <v>6949</v>
      </c>
      <c r="I744" s="17">
        <v>45462</v>
      </c>
      <c r="J744" s="18">
        <f>YEAR(Tabla1[[#This Row],[FECHA DE COMPRA]])</f>
        <v>2024</v>
      </c>
      <c r="K744" s="19">
        <v>85.93</v>
      </c>
      <c r="L744" s="20">
        <v>0.3</v>
      </c>
      <c r="M744" s="19">
        <f>Tienda!$K2196-Tienda!$K2196*Tienda!$L2196</f>
        <v>43.951999999999998</v>
      </c>
      <c r="N744" s="3" t="s">
        <v>10040</v>
      </c>
      <c r="O744" s="3" t="s">
        <v>10042</v>
      </c>
      <c r="P744" s="17">
        <v>45732</v>
      </c>
      <c r="Q744" s="4">
        <v>3</v>
      </c>
    </row>
    <row r="745" spans="1:17" x14ac:dyDescent="0.25">
      <c r="A745" s="2" t="s">
        <v>3183</v>
      </c>
      <c r="B745" s="3" t="s">
        <v>5015</v>
      </c>
      <c r="C745" s="3">
        <v>33</v>
      </c>
      <c r="D745" s="46" t="str">
        <f>IF(Tabla1[[#This Row],[EDAD]]&lt;=35,"Adultos jóvenes 18 - 35 años",IF(C745&gt;=36,"Adultos mayores 36 años en adelante"))</f>
        <v>Adultos jóvenes 18 - 35 años</v>
      </c>
      <c r="E745" s="3" t="s">
        <v>5021</v>
      </c>
      <c r="F745" s="3" t="s">
        <v>5029</v>
      </c>
      <c r="G745" s="3" t="s">
        <v>5035</v>
      </c>
      <c r="H745" s="3" t="s">
        <v>8206</v>
      </c>
      <c r="I745" s="17">
        <v>45634</v>
      </c>
      <c r="J745" s="18">
        <f>YEAR(Tabla1[[#This Row],[FECHA DE COMPRA]])</f>
        <v>2024</v>
      </c>
      <c r="K745" s="19">
        <v>88.14</v>
      </c>
      <c r="L745" s="20">
        <v>0.3</v>
      </c>
      <c r="M745" s="19">
        <f>Tienda!$K2209-Tienda!$K2209*Tienda!$L2209</f>
        <v>34.72</v>
      </c>
      <c r="N745" s="3" t="s">
        <v>10040</v>
      </c>
      <c r="O745" s="3" t="s">
        <v>10042</v>
      </c>
      <c r="P745" s="17">
        <v>45805</v>
      </c>
      <c r="Q745" s="4">
        <v>3</v>
      </c>
    </row>
    <row r="746" spans="1:17" x14ac:dyDescent="0.25">
      <c r="A746" s="2" t="s">
        <v>2085</v>
      </c>
      <c r="B746" s="3" t="s">
        <v>5015</v>
      </c>
      <c r="C746" s="3">
        <v>22</v>
      </c>
      <c r="D746" s="46" t="str">
        <f>IF(Tabla1[[#This Row],[EDAD]]&lt;=35,"Adultos jóvenes 18 - 35 años",IF(C746&gt;=36,"Adultos mayores 36 años en adelante"))</f>
        <v>Adultos jóvenes 18 - 35 años</v>
      </c>
      <c r="E746" s="3" t="s">
        <v>5020</v>
      </c>
      <c r="F746" s="3" t="s">
        <v>5024</v>
      </c>
      <c r="G746" s="3" t="s">
        <v>5037</v>
      </c>
      <c r="H746" s="3" t="s">
        <v>7108</v>
      </c>
      <c r="I746" s="17">
        <v>45542</v>
      </c>
      <c r="J746" s="18">
        <f>YEAR(Tabla1[[#This Row],[FECHA DE COMPRA]])</f>
        <v>2024</v>
      </c>
      <c r="K746" s="19">
        <v>90.31</v>
      </c>
      <c r="L746" s="20">
        <v>0.3</v>
      </c>
      <c r="M746" s="19">
        <f>Tienda!$K2221-Tienda!$K2221*Tienda!$L2221</f>
        <v>183.26</v>
      </c>
      <c r="N746" s="3" t="s">
        <v>10040</v>
      </c>
      <c r="O746" s="3" t="s">
        <v>10042</v>
      </c>
      <c r="P746" s="17">
        <v>45902</v>
      </c>
      <c r="Q746" s="4">
        <v>3</v>
      </c>
    </row>
    <row r="747" spans="1:17" x14ac:dyDescent="0.25">
      <c r="A747" s="2" t="s">
        <v>2991</v>
      </c>
      <c r="B747" s="3" t="s">
        <v>5016</v>
      </c>
      <c r="C747" s="3">
        <v>31</v>
      </c>
      <c r="D747" s="46" t="str">
        <f>IF(Tabla1[[#This Row],[EDAD]]&lt;=35,"Adultos jóvenes 18 - 35 años",IF(C747&gt;=36,"Adultos mayores 36 años en adelante"))</f>
        <v>Adultos jóvenes 18 - 35 años</v>
      </c>
      <c r="E747" s="3" t="s">
        <v>5019</v>
      </c>
      <c r="F747" s="3" t="s">
        <v>5028</v>
      </c>
      <c r="G747" s="3" t="s">
        <v>5037</v>
      </c>
      <c r="H747" s="3" t="s">
        <v>8014</v>
      </c>
      <c r="I747" s="17">
        <v>45462</v>
      </c>
      <c r="J747" s="18">
        <f>YEAR(Tabla1[[#This Row],[FECHA DE COMPRA]])</f>
        <v>2024</v>
      </c>
      <c r="K747" s="19">
        <v>90.6</v>
      </c>
      <c r="L747" s="20">
        <v>0.3</v>
      </c>
      <c r="M747" s="19">
        <f>Tienda!$K2223-Tienda!$K2223*Tienda!$L2223</f>
        <v>60.064</v>
      </c>
      <c r="N747" s="3" t="s">
        <v>10040</v>
      </c>
      <c r="O747" s="3" t="s">
        <v>10042</v>
      </c>
      <c r="P747" s="17">
        <v>45552</v>
      </c>
      <c r="Q747" s="4">
        <v>3</v>
      </c>
    </row>
    <row r="748" spans="1:17" x14ac:dyDescent="0.25">
      <c r="A748" s="2" t="s">
        <v>3804</v>
      </c>
      <c r="B748" s="3" t="s">
        <v>5015</v>
      </c>
      <c r="C748" s="3">
        <v>20</v>
      </c>
      <c r="D748" s="46" t="str">
        <f>IF(Tabla1[[#This Row],[EDAD]]&lt;=35,"Adultos jóvenes 18 - 35 años",IF(C748&gt;=36,"Adultos mayores 36 años en adelante"))</f>
        <v>Adultos jóvenes 18 - 35 años</v>
      </c>
      <c r="E748" s="3" t="s">
        <v>5018</v>
      </c>
      <c r="F748" s="3" t="s">
        <v>5024</v>
      </c>
      <c r="G748" s="3" t="s">
        <v>5034</v>
      </c>
      <c r="H748" s="3" t="s">
        <v>8827</v>
      </c>
      <c r="I748" s="17">
        <v>45649</v>
      </c>
      <c r="J748" s="18">
        <f>YEAR(Tabla1[[#This Row],[FECHA DE COMPRA]])</f>
        <v>2024</v>
      </c>
      <c r="K748" s="19">
        <v>63.67</v>
      </c>
      <c r="L748" s="20">
        <v>0</v>
      </c>
      <c r="M748" s="19">
        <f>Tienda!$K2226-Tienda!$K2226*Tienda!$L2226</f>
        <v>11.423999999999999</v>
      </c>
      <c r="N748" s="3" t="s">
        <v>10040</v>
      </c>
      <c r="O748" s="3" t="s">
        <v>10042</v>
      </c>
      <c r="P748" s="17">
        <v>45390</v>
      </c>
      <c r="Q748" s="4">
        <v>3</v>
      </c>
    </row>
    <row r="749" spans="1:17" x14ac:dyDescent="0.25">
      <c r="A749" s="2" t="s">
        <v>931</v>
      </c>
      <c r="B749" s="3" t="s">
        <v>5015</v>
      </c>
      <c r="C749" s="3">
        <v>31</v>
      </c>
      <c r="D749" s="46" t="str">
        <f>IF(Tabla1[[#This Row],[EDAD]]&lt;=35,"Adultos jóvenes 18 - 35 años",IF(C749&gt;=36,"Adultos mayores 36 años en adelante"))</f>
        <v>Adultos jóvenes 18 - 35 años</v>
      </c>
      <c r="E749" s="3" t="s">
        <v>5019</v>
      </c>
      <c r="F749" s="3" t="s">
        <v>5027</v>
      </c>
      <c r="G749" s="3" t="s">
        <v>5031</v>
      </c>
      <c r="H749" s="3" t="s">
        <v>5954</v>
      </c>
      <c r="I749" s="17">
        <v>45636</v>
      </c>
      <c r="J749" s="18">
        <f>YEAR(Tabla1[[#This Row],[FECHA DE COMPRA]])</f>
        <v>2024</v>
      </c>
      <c r="K749" s="19">
        <v>91.27</v>
      </c>
      <c r="L749" s="20">
        <v>0.3</v>
      </c>
      <c r="M749" s="19">
        <f>Tienda!$K2228-Tienda!$K2228*Tienda!$L2228</f>
        <v>176.38200000000001</v>
      </c>
      <c r="N749" s="3" t="s">
        <v>10040</v>
      </c>
      <c r="O749" s="3" t="s">
        <v>10042</v>
      </c>
      <c r="P749" s="17">
        <v>45819</v>
      </c>
      <c r="Q749" s="4">
        <v>3</v>
      </c>
    </row>
    <row r="750" spans="1:17" x14ac:dyDescent="0.25">
      <c r="A750" s="2" t="s">
        <v>984</v>
      </c>
      <c r="B750" s="3" t="s">
        <v>5016</v>
      </c>
      <c r="C750" s="3">
        <v>26</v>
      </c>
      <c r="D750" s="46" t="str">
        <f>IF(Tabla1[[#This Row],[EDAD]]&lt;=35,"Adultos jóvenes 18 - 35 años",IF(C750&gt;=36,"Adultos mayores 36 años en adelante"))</f>
        <v>Adultos jóvenes 18 - 35 años</v>
      </c>
      <c r="E750" s="3" t="s">
        <v>5017</v>
      </c>
      <c r="F750" s="3" t="s">
        <v>5030</v>
      </c>
      <c r="G750" s="3" t="s">
        <v>5037</v>
      </c>
      <c r="H750" s="3" t="s">
        <v>6007</v>
      </c>
      <c r="I750" s="17">
        <v>45464</v>
      </c>
      <c r="J750" s="18">
        <f>YEAR(Tabla1[[#This Row],[FECHA DE COMPRA]])</f>
        <v>2024</v>
      </c>
      <c r="K750" s="19">
        <v>93.73</v>
      </c>
      <c r="L750" s="20">
        <v>0.3</v>
      </c>
      <c r="M750" s="19">
        <f>Tienda!$K2236-Tienda!$K2236*Tienda!$L2236</f>
        <v>61.165999999999997</v>
      </c>
      <c r="N750" s="3" t="s">
        <v>10040</v>
      </c>
      <c r="O750" s="3" t="s">
        <v>10042</v>
      </c>
      <c r="P750" s="17">
        <v>45734</v>
      </c>
      <c r="Q750" s="4">
        <v>3</v>
      </c>
    </row>
    <row r="751" spans="1:17" x14ac:dyDescent="0.25">
      <c r="A751" s="2" t="s">
        <v>2050</v>
      </c>
      <c r="B751" s="3" t="s">
        <v>5015</v>
      </c>
      <c r="C751" s="3">
        <v>18</v>
      </c>
      <c r="D751" s="46" t="str">
        <f>IF(Tabla1[[#This Row],[EDAD]]&lt;=35,"Adultos jóvenes 18 - 35 años",IF(C751&gt;=36,"Adultos mayores 36 años en adelante"))</f>
        <v>Adultos jóvenes 18 - 35 años</v>
      </c>
      <c r="E751" s="3" t="s">
        <v>5020</v>
      </c>
      <c r="F751" s="3" t="s">
        <v>5030</v>
      </c>
      <c r="G751" s="3" t="s">
        <v>5031</v>
      </c>
      <c r="H751" s="3" t="s">
        <v>7073</v>
      </c>
      <c r="I751" s="17">
        <v>45597</v>
      </c>
      <c r="J751" s="18">
        <f>YEAR(Tabla1[[#This Row],[FECHA DE COMPRA]])</f>
        <v>2024</v>
      </c>
      <c r="K751" s="19">
        <v>95.44</v>
      </c>
      <c r="L751" s="20">
        <v>0.3</v>
      </c>
      <c r="M751" s="19">
        <f>Tienda!$K2244-Tienda!$K2244*Tienda!$L2244</f>
        <v>59.87</v>
      </c>
      <c r="N751" s="3" t="s">
        <v>10040</v>
      </c>
      <c r="O751" s="3" t="s">
        <v>10042</v>
      </c>
      <c r="P751" s="17">
        <v>45777</v>
      </c>
      <c r="Q751" s="4">
        <v>3</v>
      </c>
    </row>
    <row r="752" spans="1:17" x14ac:dyDescent="0.25">
      <c r="A752" s="2" t="s">
        <v>1812</v>
      </c>
      <c r="B752" s="3" t="s">
        <v>5015</v>
      </c>
      <c r="C752" s="3">
        <v>33</v>
      </c>
      <c r="D752" s="46" t="str">
        <f>IF(Tabla1[[#This Row],[EDAD]]&lt;=35,"Adultos jóvenes 18 - 35 años",IF(C752&gt;=36,"Adultos mayores 36 años en adelante"))</f>
        <v>Adultos jóvenes 18 - 35 años</v>
      </c>
      <c r="E752" s="3" t="s">
        <v>5022</v>
      </c>
      <c r="F752" s="3" t="s">
        <v>5026</v>
      </c>
      <c r="G752" s="3" t="s">
        <v>5035</v>
      </c>
      <c r="H752" s="3" t="s">
        <v>6835</v>
      </c>
      <c r="I752" s="17">
        <v>45481</v>
      </c>
      <c r="J752" s="18">
        <f>YEAR(Tabla1[[#This Row],[FECHA DE COMPRA]])</f>
        <v>2024</v>
      </c>
      <c r="K752" s="19">
        <v>74.58</v>
      </c>
      <c r="L752" s="20">
        <v>0.1</v>
      </c>
      <c r="M752" s="19">
        <f>Tienda!$K2248-Tienda!$K2248*Tienda!$L2248</f>
        <v>49.55</v>
      </c>
      <c r="N752" s="3" t="s">
        <v>10040</v>
      </c>
      <c r="O752" s="3" t="s">
        <v>10042</v>
      </c>
      <c r="P752" s="17">
        <v>45841</v>
      </c>
      <c r="Q752" s="4">
        <v>3</v>
      </c>
    </row>
    <row r="753" spans="1:17" x14ac:dyDescent="0.25">
      <c r="A753" s="2" t="s">
        <v>3428</v>
      </c>
      <c r="B753" s="3" t="s">
        <v>5015</v>
      </c>
      <c r="C753" s="3">
        <v>31</v>
      </c>
      <c r="D753" s="46" t="str">
        <f>IF(Tabla1[[#This Row],[EDAD]]&lt;=35,"Adultos jóvenes 18 - 35 años",IF(C753&gt;=36,"Adultos mayores 36 años en adelante"))</f>
        <v>Adultos jóvenes 18 - 35 años</v>
      </c>
      <c r="E753" s="3" t="s">
        <v>5018</v>
      </c>
      <c r="F753" s="3" t="s">
        <v>5030</v>
      </c>
      <c r="G753" s="3" t="s">
        <v>5033</v>
      </c>
      <c r="H753" s="3" t="s">
        <v>8451</v>
      </c>
      <c r="I753" s="17">
        <v>45547</v>
      </c>
      <c r="J753" s="18">
        <f>YEAR(Tabla1[[#This Row],[FECHA DE COMPRA]])</f>
        <v>2024</v>
      </c>
      <c r="K753" s="19">
        <v>74.88</v>
      </c>
      <c r="L753" s="20">
        <v>0.1</v>
      </c>
      <c r="M753" s="19">
        <f>Tienda!$K2255-Tienda!$K2255*Tienda!$L2255</f>
        <v>22.393000000000001</v>
      </c>
      <c r="N753" s="3" t="s">
        <v>10040</v>
      </c>
      <c r="O753" s="3" t="s">
        <v>10042</v>
      </c>
      <c r="P753" s="17">
        <v>45907</v>
      </c>
      <c r="Q753" s="4">
        <v>3</v>
      </c>
    </row>
    <row r="754" spans="1:17" x14ac:dyDescent="0.25">
      <c r="A754" s="2" t="s">
        <v>1485</v>
      </c>
      <c r="B754" s="3" t="s">
        <v>5016</v>
      </c>
      <c r="C754" s="3">
        <v>24</v>
      </c>
      <c r="D754" s="46" t="str">
        <f>IF(Tabla1[[#This Row],[EDAD]]&lt;=35,"Adultos jóvenes 18 - 35 años",IF(C754&gt;=36,"Adultos mayores 36 años en adelante"))</f>
        <v>Adultos jóvenes 18 - 35 años</v>
      </c>
      <c r="E754" s="3" t="s">
        <v>5021</v>
      </c>
      <c r="F754" s="3" t="s">
        <v>5028</v>
      </c>
      <c r="G754" s="3" t="s">
        <v>5032</v>
      </c>
      <c r="H754" s="3" t="s">
        <v>6508</v>
      </c>
      <c r="I754" s="17">
        <v>45513</v>
      </c>
      <c r="J754" s="18">
        <f>YEAR(Tabla1[[#This Row],[FECHA DE COMPRA]])</f>
        <v>2024</v>
      </c>
      <c r="K754" s="19">
        <v>77.27</v>
      </c>
      <c r="L754" s="20">
        <v>0.1</v>
      </c>
      <c r="M754" s="19">
        <f>Tienda!$K2276-Tienda!$K2276*Tienda!$L2276</f>
        <v>11.599</v>
      </c>
      <c r="N754" s="3" t="s">
        <v>10040</v>
      </c>
      <c r="O754" s="3" t="s">
        <v>10042</v>
      </c>
      <c r="P754" s="17">
        <v>45603</v>
      </c>
      <c r="Q754" s="4">
        <v>3</v>
      </c>
    </row>
    <row r="755" spans="1:17" x14ac:dyDescent="0.25">
      <c r="A755" s="2" t="s">
        <v>2422</v>
      </c>
      <c r="B755" s="3" t="s">
        <v>5015</v>
      </c>
      <c r="C755" s="3">
        <v>27</v>
      </c>
      <c r="D755" s="46" t="str">
        <f>IF(Tabla1[[#This Row],[EDAD]]&lt;=35,"Adultos jóvenes 18 - 35 años",IF(C755&gt;=36,"Adultos mayores 36 años en adelante"))</f>
        <v>Adultos jóvenes 18 - 35 años</v>
      </c>
      <c r="E755" s="3" t="s">
        <v>5020</v>
      </c>
      <c r="F755" s="3" t="s">
        <v>5029</v>
      </c>
      <c r="G755" s="3" t="s">
        <v>5036</v>
      </c>
      <c r="H755" s="3" t="s">
        <v>7445</v>
      </c>
      <c r="I755" s="17">
        <v>45335</v>
      </c>
      <c r="J755" s="18">
        <f>YEAR(Tabla1[[#This Row],[FECHA DE COMPRA]])</f>
        <v>2024</v>
      </c>
      <c r="K755" s="19">
        <v>69.67</v>
      </c>
      <c r="L755" s="20">
        <v>0</v>
      </c>
      <c r="M755" s="19">
        <f>Tienda!$K2277-Tienda!$K2277*Tienda!$L2277</f>
        <v>41.265000000000001</v>
      </c>
      <c r="N755" s="3" t="s">
        <v>10040</v>
      </c>
      <c r="O755" s="3" t="s">
        <v>10042</v>
      </c>
      <c r="P755" s="17">
        <v>45695</v>
      </c>
      <c r="Q755" s="4">
        <v>3</v>
      </c>
    </row>
    <row r="756" spans="1:17" x14ac:dyDescent="0.25">
      <c r="A756" s="2" t="s">
        <v>3078</v>
      </c>
      <c r="B756" s="3" t="s">
        <v>5015</v>
      </c>
      <c r="C756" s="3">
        <v>34</v>
      </c>
      <c r="D756" s="46" t="str">
        <f>IF(Tabla1[[#This Row],[EDAD]]&lt;=35,"Adultos jóvenes 18 - 35 años",IF(C756&gt;=36,"Adultos mayores 36 años en adelante"))</f>
        <v>Adultos jóvenes 18 - 35 años</v>
      </c>
      <c r="E756" s="3" t="s">
        <v>5018</v>
      </c>
      <c r="F756" s="3" t="s">
        <v>5024</v>
      </c>
      <c r="G756" s="3" t="s">
        <v>5036</v>
      </c>
      <c r="H756" s="3" t="s">
        <v>8101</v>
      </c>
      <c r="I756" s="17">
        <v>45381</v>
      </c>
      <c r="J756" s="18">
        <f>YEAR(Tabla1[[#This Row],[FECHA DE COMPRA]])</f>
        <v>2024</v>
      </c>
      <c r="K756" s="19">
        <v>88.01</v>
      </c>
      <c r="L756" s="20">
        <v>0.2</v>
      </c>
      <c r="M756" s="19">
        <f>Tienda!$K2287-Tienda!$K2287*Tienda!$L2287</f>
        <v>45.263999999999996</v>
      </c>
      <c r="N756" s="3" t="s">
        <v>10040</v>
      </c>
      <c r="O756" s="3" t="s">
        <v>10042</v>
      </c>
      <c r="P756" s="17">
        <v>45741</v>
      </c>
      <c r="Q756" s="4">
        <v>12</v>
      </c>
    </row>
    <row r="757" spans="1:17" x14ac:dyDescent="0.25">
      <c r="A757" s="2" t="s">
        <v>707</v>
      </c>
      <c r="B757" s="3" t="s">
        <v>5016</v>
      </c>
      <c r="C757" s="3">
        <v>31</v>
      </c>
      <c r="D757" s="46" t="str">
        <f>IF(Tabla1[[#This Row],[EDAD]]&lt;=35,"Adultos jóvenes 18 - 35 años",IF(C757&gt;=36,"Adultos mayores 36 años en adelante"))</f>
        <v>Adultos jóvenes 18 - 35 años</v>
      </c>
      <c r="E757" s="3" t="s">
        <v>5019</v>
      </c>
      <c r="F757" s="3" t="s">
        <v>5028</v>
      </c>
      <c r="G757" s="3" t="s">
        <v>5034</v>
      </c>
      <c r="H757" s="3" t="s">
        <v>5730</v>
      </c>
      <c r="I757" s="17">
        <v>45518</v>
      </c>
      <c r="J757" s="18">
        <f>YEAR(Tabla1[[#This Row],[FECHA DE COMPRA]])</f>
        <v>2024</v>
      </c>
      <c r="K757" s="19">
        <v>103.6</v>
      </c>
      <c r="L757" s="20">
        <v>0.3</v>
      </c>
      <c r="M757" s="19">
        <f>Tienda!$K2315-Tienda!$K2315*Tienda!$L2315</f>
        <v>11.616</v>
      </c>
      <c r="N757" s="3" t="s">
        <v>10040</v>
      </c>
      <c r="O757" s="3" t="s">
        <v>10042</v>
      </c>
      <c r="P757" s="17">
        <v>45698</v>
      </c>
      <c r="Q757" s="4">
        <v>6</v>
      </c>
    </row>
    <row r="758" spans="1:17" x14ac:dyDescent="0.25">
      <c r="A758" s="2" t="s">
        <v>3323</v>
      </c>
      <c r="B758" s="3" t="s">
        <v>5015</v>
      </c>
      <c r="C758" s="3">
        <v>26</v>
      </c>
      <c r="D758" s="46" t="str">
        <f>IF(Tabla1[[#This Row],[EDAD]]&lt;=35,"Adultos jóvenes 18 - 35 años",IF(C758&gt;=36,"Adultos mayores 36 años en adelante"))</f>
        <v>Adultos jóvenes 18 - 35 años</v>
      </c>
      <c r="E758" s="3" t="s">
        <v>5023</v>
      </c>
      <c r="F758" s="3" t="s">
        <v>5024</v>
      </c>
      <c r="G758" s="3" t="s">
        <v>5034</v>
      </c>
      <c r="H758" s="3" t="s">
        <v>8346</v>
      </c>
      <c r="I758" s="17">
        <v>45565</v>
      </c>
      <c r="J758" s="18">
        <f>YEAR(Tabla1[[#This Row],[FECHA DE COMPRA]])</f>
        <v>2024</v>
      </c>
      <c r="K758" s="19">
        <v>104.3</v>
      </c>
      <c r="L758" s="20">
        <v>0.3</v>
      </c>
      <c r="M758" s="19">
        <f>Tienda!$K2323-Tienda!$K2323*Tienda!$L2323</f>
        <v>91.899000000000001</v>
      </c>
      <c r="N758" s="3" t="s">
        <v>10040</v>
      </c>
      <c r="O758" s="3" t="s">
        <v>10042</v>
      </c>
      <c r="P758" s="17">
        <v>45745</v>
      </c>
      <c r="Q758" s="4">
        <v>6</v>
      </c>
    </row>
    <row r="759" spans="1:17" x14ac:dyDescent="0.25">
      <c r="A759" s="2" t="s">
        <v>189</v>
      </c>
      <c r="B759" s="3" t="s">
        <v>5015</v>
      </c>
      <c r="C759" s="3">
        <v>25</v>
      </c>
      <c r="D759" s="46" t="str">
        <f>IF(Tabla1[[#This Row],[EDAD]]&lt;=35,"Adultos jóvenes 18 - 35 años",IF(C759&gt;=36,"Adultos mayores 36 años en adelante"))</f>
        <v>Adultos jóvenes 18 - 35 años</v>
      </c>
      <c r="E759" s="3" t="s">
        <v>5019</v>
      </c>
      <c r="F759" s="3" t="s">
        <v>5025</v>
      </c>
      <c r="G759" s="3" t="s">
        <v>5036</v>
      </c>
      <c r="H759" s="3" t="s">
        <v>5212</v>
      </c>
      <c r="I759" s="17">
        <v>45329</v>
      </c>
      <c r="J759" s="18">
        <f>YEAR(Tabla1[[#This Row],[FECHA DE COMPRA]])</f>
        <v>2024</v>
      </c>
      <c r="K759" s="19">
        <v>93.37</v>
      </c>
      <c r="L759" s="20">
        <v>0.2</v>
      </c>
      <c r="M759" s="19">
        <f>Tienda!$K2332-Tienda!$K2332*Tienda!$L2332</f>
        <v>69.28</v>
      </c>
      <c r="N759" s="3" t="s">
        <v>10040</v>
      </c>
      <c r="O759" s="3" t="s">
        <v>10042</v>
      </c>
      <c r="P759" s="17">
        <v>45689</v>
      </c>
      <c r="Q759" s="4">
        <v>12</v>
      </c>
    </row>
    <row r="760" spans="1:17" x14ac:dyDescent="0.25">
      <c r="A760" s="2" t="s">
        <v>304</v>
      </c>
      <c r="B760" s="3" t="s">
        <v>5016</v>
      </c>
      <c r="C760" s="3">
        <v>30</v>
      </c>
      <c r="D760" s="46" t="str">
        <f>IF(Tabla1[[#This Row],[EDAD]]&lt;=35,"Adultos jóvenes 18 - 35 años",IF(C760&gt;=36,"Adultos mayores 36 años en adelante"))</f>
        <v>Adultos jóvenes 18 - 35 años</v>
      </c>
      <c r="E760" s="3" t="s">
        <v>5019</v>
      </c>
      <c r="F760" s="3" t="s">
        <v>5028</v>
      </c>
      <c r="G760" s="3" t="s">
        <v>5034</v>
      </c>
      <c r="H760" s="3" t="s">
        <v>5327</v>
      </c>
      <c r="I760" s="17">
        <v>45354</v>
      </c>
      <c r="J760" s="18">
        <f>YEAR(Tabla1[[#This Row],[FECHA DE COMPRA]])</f>
        <v>2024</v>
      </c>
      <c r="K760" s="19">
        <v>110.83</v>
      </c>
      <c r="L760" s="20">
        <v>0.3</v>
      </c>
      <c r="M760" s="19">
        <f>Tienda!$K2353-Tienda!$K2353*Tienda!$L2353</f>
        <v>33.948</v>
      </c>
      <c r="N760" s="3" t="s">
        <v>10040</v>
      </c>
      <c r="O760" s="3" t="s">
        <v>10042</v>
      </c>
      <c r="P760" s="17">
        <v>45534</v>
      </c>
      <c r="Q760" s="4">
        <v>6</v>
      </c>
    </row>
    <row r="761" spans="1:17" x14ac:dyDescent="0.25">
      <c r="A761" s="2" t="s">
        <v>3750</v>
      </c>
      <c r="B761" s="3" t="s">
        <v>5016</v>
      </c>
      <c r="C761" s="3">
        <v>30</v>
      </c>
      <c r="D761" s="46" t="str">
        <f>IF(Tabla1[[#This Row],[EDAD]]&lt;=35,"Adultos jóvenes 18 - 35 años",IF(C761&gt;=36,"Adultos mayores 36 años en adelante"))</f>
        <v>Adultos jóvenes 18 - 35 años</v>
      </c>
      <c r="E761" s="3" t="s">
        <v>5017</v>
      </c>
      <c r="F761" s="3" t="s">
        <v>5027</v>
      </c>
      <c r="G761" s="3" t="s">
        <v>5037</v>
      </c>
      <c r="H761" s="3" t="s">
        <v>8773</v>
      </c>
      <c r="I761" s="17">
        <v>45524</v>
      </c>
      <c r="J761" s="18">
        <f>YEAR(Tabla1[[#This Row],[FECHA DE COMPRA]])</f>
        <v>2024</v>
      </c>
      <c r="K761" s="19">
        <v>111.92</v>
      </c>
      <c r="L761" s="20">
        <v>0.3</v>
      </c>
      <c r="M761" s="19">
        <f>Tienda!$K2365-Tienda!$K2365*Tienda!$L2365</f>
        <v>51.786000000000001</v>
      </c>
      <c r="N761" s="3" t="s">
        <v>10040</v>
      </c>
      <c r="O761" s="3" t="s">
        <v>10042</v>
      </c>
      <c r="P761" s="17">
        <v>45614</v>
      </c>
      <c r="Q761" s="4">
        <v>3</v>
      </c>
    </row>
    <row r="762" spans="1:17" x14ac:dyDescent="0.25">
      <c r="A762" s="2" t="s">
        <v>1140</v>
      </c>
      <c r="B762" s="3" t="s">
        <v>5016</v>
      </c>
      <c r="C762" s="3">
        <v>32</v>
      </c>
      <c r="D762" s="46" t="str">
        <f>IF(Tabla1[[#This Row],[EDAD]]&lt;=35,"Adultos jóvenes 18 - 35 años",IF(C762&gt;=36,"Adultos mayores 36 años en adelante"))</f>
        <v>Adultos jóvenes 18 - 35 años</v>
      </c>
      <c r="E762" s="3" t="s">
        <v>5021</v>
      </c>
      <c r="F762" s="3" t="s">
        <v>5030</v>
      </c>
      <c r="G762" s="3" t="s">
        <v>5033</v>
      </c>
      <c r="H762" s="3" t="s">
        <v>6163</v>
      </c>
      <c r="I762" s="17">
        <v>45635</v>
      </c>
      <c r="J762" s="18">
        <f>YEAR(Tabla1[[#This Row],[FECHA DE COMPRA]])</f>
        <v>2024</v>
      </c>
      <c r="K762" s="19">
        <v>79.06</v>
      </c>
      <c r="L762" s="20">
        <v>0</v>
      </c>
      <c r="M762" s="19">
        <f>Tienda!$K2371-Tienda!$K2371*Tienda!$L2371</f>
        <v>27.180999999999997</v>
      </c>
      <c r="N762" s="3" t="s">
        <v>10040</v>
      </c>
      <c r="O762" s="3" t="s">
        <v>10042</v>
      </c>
      <c r="P762" s="17">
        <v>45720</v>
      </c>
      <c r="Q762" s="4">
        <v>9</v>
      </c>
    </row>
    <row r="763" spans="1:17" x14ac:dyDescent="0.25">
      <c r="A763" s="2" t="s">
        <v>2031</v>
      </c>
      <c r="B763" s="3" t="s">
        <v>5015</v>
      </c>
      <c r="C763" s="3">
        <v>19</v>
      </c>
      <c r="D763" s="46" t="str">
        <f>IF(Tabla1[[#This Row],[EDAD]]&lt;=35,"Adultos jóvenes 18 - 35 años",IF(C763&gt;=36,"Adultos mayores 36 años en adelante"))</f>
        <v>Adultos jóvenes 18 - 35 años</v>
      </c>
      <c r="E763" s="3" t="s">
        <v>5023</v>
      </c>
      <c r="F763" s="3" t="s">
        <v>5027</v>
      </c>
      <c r="G763" s="3" t="s">
        <v>5033</v>
      </c>
      <c r="H763" s="3" t="s">
        <v>7054</v>
      </c>
      <c r="I763" s="17">
        <v>45552</v>
      </c>
      <c r="J763" s="18">
        <f>YEAR(Tabla1[[#This Row],[FECHA DE COMPRA]])</f>
        <v>2024</v>
      </c>
      <c r="K763" s="19">
        <v>113.35</v>
      </c>
      <c r="L763" s="20">
        <v>0.3</v>
      </c>
      <c r="M763" s="19">
        <f>Tienda!$K2375-Tienda!$K2375*Tienda!$L2375</f>
        <v>159.255</v>
      </c>
      <c r="N763" s="3" t="s">
        <v>10040</v>
      </c>
      <c r="O763" s="3" t="s">
        <v>10042</v>
      </c>
      <c r="P763" s="17">
        <v>45732</v>
      </c>
      <c r="Q763" s="4">
        <v>6</v>
      </c>
    </row>
    <row r="764" spans="1:17" x14ac:dyDescent="0.25">
      <c r="A764" s="2" t="s">
        <v>2723</v>
      </c>
      <c r="B764" s="3" t="s">
        <v>5015</v>
      </c>
      <c r="C764" s="3">
        <v>25</v>
      </c>
      <c r="D764" s="46" t="str">
        <f>IF(Tabla1[[#This Row],[EDAD]]&lt;=35,"Adultos jóvenes 18 - 35 años",IF(C764&gt;=36,"Adultos mayores 36 años en adelante"))</f>
        <v>Adultos jóvenes 18 - 35 años</v>
      </c>
      <c r="E764" s="3" t="s">
        <v>5019</v>
      </c>
      <c r="F764" s="3" t="s">
        <v>5027</v>
      </c>
      <c r="G764" s="3" t="s">
        <v>5036</v>
      </c>
      <c r="H764" s="3" t="s">
        <v>7746</v>
      </c>
      <c r="I764" s="17">
        <v>45353</v>
      </c>
      <c r="J764" s="18">
        <f>YEAR(Tabla1[[#This Row],[FECHA DE COMPRA]])</f>
        <v>2024</v>
      </c>
      <c r="K764" s="19">
        <v>80.33</v>
      </c>
      <c r="L764" s="20">
        <v>0</v>
      </c>
      <c r="M764" s="19">
        <f>Tienda!$K2389-Tienda!$K2389*Tienda!$L2389</f>
        <v>71.790000000000006</v>
      </c>
      <c r="N764" s="3" t="s">
        <v>10040</v>
      </c>
      <c r="O764" s="3" t="s">
        <v>10042</v>
      </c>
      <c r="P764" s="17">
        <v>45443</v>
      </c>
      <c r="Q764" s="4">
        <v>3</v>
      </c>
    </row>
    <row r="765" spans="1:17" x14ac:dyDescent="0.25">
      <c r="A765" s="2" t="s">
        <v>2004</v>
      </c>
      <c r="B765" s="3" t="s">
        <v>5015</v>
      </c>
      <c r="C765" s="3">
        <v>21</v>
      </c>
      <c r="D765" s="46" t="str">
        <f>IF(Tabla1[[#This Row],[EDAD]]&lt;=35,"Adultos jóvenes 18 - 35 años",IF(C765&gt;=36,"Adultos mayores 36 años en adelante"))</f>
        <v>Adultos jóvenes 18 - 35 años</v>
      </c>
      <c r="E765" s="3" t="s">
        <v>5018</v>
      </c>
      <c r="F765" s="3" t="s">
        <v>5024</v>
      </c>
      <c r="G765" s="3" t="s">
        <v>5035</v>
      </c>
      <c r="H765" s="3" t="s">
        <v>7027</v>
      </c>
      <c r="I765" s="17">
        <v>45583</v>
      </c>
      <c r="J765" s="18">
        <f>YEAR(Tabla1[[#This Row],[FECHA DE COMPRA]])</f>
        <v>2024</v>
      </c>
      <c r="K765" s="19">
        <v>116.17</v>
      </c>
      <c r="L765" s="20">
        <v>0.3</v>
      </c>
      <c r="M765" s="19">
        <f>Tienda!$K2395-Tienda!$K2395*Tienda!$L2395</f>
        <v>117.80099999999999</v>
      </c>
      <c r="N765" s="3" t="s">
        <v>10040</v>
      </c>
      <c r="O765" s="3" t="s">
        <v>10042</v>
      </c>
      <c r="P765" s="17">
        <v>45673</v>
      </c>
      <c r="Q765" s="4">
        <v>3</v>
      </c>
    </row>
    <row r="766" spans="1:17" x14ac:dyDescent="0.25">
      <c r="A766" s="2" t="s">
        <v>3662</v>
      </c>
      <c r="B766" s="3" t="s">
        <v>5015</v>
      </c>
      <c r="C766" s="3">
        <v>26</v>
      </c>
      <c r="D766" s="46" t="str">
        <f>IF(Tabla1[[#This Row],[EDAD]]&lt;=35,"Adultos jóvenes 18 - 35 años",IF(C766&gt;=36,"Adultos mayores 36 años en adelante"))</f>
        <v>Adultos jóvenes 18 - 35 años</v>
      </c>
      <c r="E766" s="3" t="s">
        <v>5021</v>
      </c>
      <c r="F766" s="3" t="s">
        <v>5027</v>
      </c>
      <c r="G766" s="3" t="s">
        <v>5034</v>
      </c>
      <c r="H766" s="3" t="s">
        <v>8685</v>
      </c>
      <c r="I766" s="17">
        <v>45455</v>
      </c>
      <c r="J766" s="18">
        <f>YEAR(Tabla1[[#This Row],[FECHA DE COMPRA]])</f>
        <v>2024</v>
      </c>
      <c r="K766" s="19">
        <v>116.48</v>
      </c>
      <c r="L766" s="20">
        <v>0.3</v>
      </c>
      <c r="M766" s="19">
        <f>Tienda!$K2398-Tienda!$K2398*Tienda!$L2398</f>
        <v>155.072</v>
      </c>
      <c r="N766" s="3" t="s">
        <v>10040</v>
      </c>
      <c r="O766" s="3" t="s">
        <v>10042</v>
      </c>
      <c r="P766" s="17">
        <v>45725</v>
      </c>
      <c r="Q766" s="4">
        <v>9</v>
      </c>
    </row>
    <row r="767" spans="1:17" x14ac:dyDescent="0.25">
      <c r="A767" s="2" t="s">
        <v>3586</v>
      </c>
      <c r="B767" s="3" t="s">
        <v>5015</v>
      </c>
      <c r="C767" s="3">
        <v>29</v>
      </c>
      <c r="D767" s="46" t="str">
        <f>IF(Tabla1[[#This Row],[EDAD]]&lt;=35,"Adultos jóvenes 18 - 35 años",IF(C767&gt;=36,"Adultos mayores 36 años en adelante"))</f>
        <v>Adultos jóvenes 18 - 35 años</v>
      </c>
      <c r="E767" s="3" t="s">
        <v>5018</v>
      </c>
      <c r="F767" s="3" t="s">
        <v>5030</v>
      </c>
      <c r="G767" s="3" t="s">
        <v>5031</v>
      </c>
      <c r="H767" s="3" t="s">
        <v>8609</v>
      </c>
      <c r="I767" s="17">
        <v>45631</v>
      </c>
      <c r="J767" s="18">
        <f>YEAR(Tabla1[[#This Row],[FECHA DE COMPRA]])</f>
        <v>2024</v>
      </c>
      <c r="K767" s="19">
        <v>81.61</v>
      </c>
      <c r="L767" s="20">
        <v>0</v>
      </c>
      <c r="M767" s="19">
        <f>Tienda!$K2399-Tienda!$K2399*Tienda!$L2399</f>
        <v>22.315999999999999</v>
      </c>
      <c r="N767" s="3" t="s">
        <v>10040</v>
      </c>
      <c r="O767" s="3" t="s">
        <v>10042</v>
      </c>
      <c r="P767" s="17">
        <v>45721</v>
      </c>
      <c r="Q767" s="4">
        <v>3</v>
      </c>
    </row>
    <row r="768" spans="1:17" x14ac:dyDescent="0.25">
      <c r="A768" s="2" t="s">
        <v>766</v>
      </c>
      <c r="B768" s="3" t="s">
        <v>5015</v>
      </c>
      <c r="C768" s="3">
        <v>20</v>
      </c>
      <c r="D768" s="46" t="str">
        <f>IF(Tabla1[[#This Row],[EDAD]]&lt;=35,"Adultos jóvenes 18 - 35 años",IF(C768&gt;=36,"Adultos mayores 36 años en adelante"))</f>
        <v>Adultos jóvenes 18 - 35 años</v>
      </c>
      <c r="E768" s="3" t="s">
        <v>5018</v>
      </c>
      <c r="F768" s="3" t="s">
        <v>5025</v>
      </c>
      <c r="G768" s="3" t="s">
        <v>5035</v>
      </c>
      <c r="H768" s="3" t="s">
        <v>5789</v>
      </c>
      <c r="I768" s="17">
        <v>45624</v>
      </c>
      <c r="J768" s="18">
        <f>YEAR(Tabla1[[#This Row],[FECHA DE COMPRA]])</f>
        <v>2024</v>
      </c>
      <c r="K768" s="19">
        <v>104.43</v>
      </c>
      <c r="L768" s="20">
        <v>0.2</v>
      </c>
      <c r="M768" s="19">
        <f>Tienda!$K2412-Tienda!$K2412*Tienda!$L2412</f>
        <v>62.517000000000003</v>
      </c>
      <c r="N768" s="3" t="s">
        <v>10040</v>
      </c>
      <c r="O768" s="3" t="s">
        <v>10042</v>
      </c>
      <c r="P768" s="17">
        <v>45751</v>
      </c>
      <c r="Q768" s="4">
        <v>9</v>
      </c>
    </row>
    <row r="769" spans="1:17" x14ac:dyDescent="0.25">
      <c r="A769" s="2" t="s">
        <v>1452</v>
      </c>
      <c r="B769" s="3" t="s">
        <v>5015</v>
      </c>
      <c r="C769" s="3">
        <v>21</v>
      </c>
      <c r="D769" s="46" t="str">
        <f>IF(Tabla1[[#This Row],[EDAD]]&lt;=35,"Adultos jóvenes 18 - 35 años",IF(C769&gt;=36,"Adultos mayores 36 años en adelante"))</f>
        <v>Adultos jóvenes 18 - 35 años</v>
      </c>
      <c r="E769" s="3" t="s">
        <v>5023</v>
      </c>
      <c r="F769" s="3" t="s">
        <v>5028</v>
      </c>
      <c r="G769" s="3" t="s">
        <v>5037</v>
      </c>
      <c r="H769" s="3" t="s">
        <v>6475</v>
      </c>
      <c r="I769" s="17">
        <v>45406</v>
      </c>
      <c r="J769" s="18">
        <f>YEAR(Tabla1[[#This Row],[FECHA DE COMPRA]])</f>
        <v>2024</v>
      </c>
      <c r="K769" s="19">
        <v>84.1</v>
      </c>
      <c r="L769" s="20">
        <v>0</v>
      </c>
      <c r="M769" s="19">
        <f>Tienda!$K2418-Tienda!$K2418*Tienda!$L2418</f>
        <v>114.45</v>
      </c>
      <c r="N769" s="3" t="s">
        <v>10040</v>
      </c>
      <c r="O769" s="3" t="s">
        <v>10042</v>
      </c>
      <c r="P769" s="17">
        <v>45676</v>
      </c>
      <c r="Q769" s="4">
        <v>9</v>
      </c>
    </row>
    <row r="770" spans="1:17" x14ac:dyDescent="0.25">
      <c r="A770" s="2" t="s">
        <v>386</v>
      </c>
      <c r="B770" s="3" t="s">
        <v>5015</v>
      </c>
      <c r="C770" s="3">
        <v>32</v>
      </c>
      <c r="D770" s="46" t="str">
        <f>IF(Tabla1[[#This Row],[EDAD]]&lt;=35,"Adultos jóvenes 18 - 35 años",IF(C770&gt;=36,"Adultos mayores 36 años en adelante"))</f>
        <v>Adultos jóvenes 18 - 35 años</v>
      </c>
      <c r="E770" s="3" t="s">
        <v>5020</v>
      </c>
      <c r="F770" s="3" t="s">
        <v>5024</v>
      </c>
      <c r="G770" s="3" t="s">
        <v>5036</v>
      </c>
      <c r="H770" s="3" t="s">
        <v>5409</v>
      </c>
      <c r="I770" s="17">
        <v>45597</v>
      </c>
      <c r="J770" s="18">
        <f>YEAR(Tabla1[[#This Row],[FECHA DE COMPRA]])</f>
        <v>2024</v>
      </c>
      <c r="K770" s="19">
        <v>93.87</v>
      </c>
      <c r="L770" s="20">
        <v>0.1</v>
      </c>
      <c r="M770" s="19">
        <f>Tienda!$K2421-Tienda!$K2421*Tienda!$L2421</f>
        <v>56.021000000000001</v>
      </c>
      <c r="N770" s="3" t="s">
        <v>10040</v>
      </c>
      <c r="O770" s="3" t="s">
        <v>10042</v>
      </c>
      <c r="P770" s="17">
        <v>45777</v>
      </c>
      <c r="Q770" s="4">
        <v>6</v>
      </c>
    </row>
    <row r="771" spans="1:17" x14ac:dyDescent="0.25">
      <c r="A771" s="2" t="s">
        <v>2297</v>
      </c>
      <c r="B771" s="3" t="s">
        <v>5015</v>
      </c>
      <c r="C771" s="3">
        <v>20</v>
      </c>
      <c r="D771" s="46" t="str">
        <f>IF(Tabla1[[#This Row],[EDAD]]&lt;=35,"Adultos jóvenes 18 - 35 años",IF(C771&gt;=36,"Adultos mayores 36 años en adelante"))</f>
        <v>Adultos jóvenes 18 - 35 años</v>
      </c>
      <c r="E771" s="3" t="s">
        <v>5023</v>
      </c>
      <c r="F771" s="3" t="s">
        <v>5029</v>
      </c>
      <c r="G771" s="3" t="s">
        <v>5036</v>
      </c>
      <c r="H771" s="3" t="s">
        <v>7320</v>
      </c>
      <c r="I771" s="17">
        <v>45578</v>
      </c>
      <c r="J771" s="18">
        <f>YEAR(Tabla1[[#This Row],[FECHA DE COMPRA]])</f>
        <v>2024</v>
      </c>
      <c r="K771" s="19">
        <v>98.3</v>
      </c>
      <c r="L771" s="20">
        <v>0.1</v>
      </c>
      <c r="M771" s="19">
        <f>Tienda!$K2450-Tienda!$K2450*Tienda!$L2450</f>
        <v>27.312000000000001</v>
      </c>
      <c r="N771" s="3" t="s">
        <v>10040</v>
      </c>
      <c r="O771" s="3" t="s">
        <v>10042</v>
      </c>
      <c r="P771" s="17">
        <v>45938</v>
      </c>
      <c r="Q771" s="4">
        <v>12</v>
      </c>
    </row>
    <row r="772" spans="1:17" x14ac:dyDescent="0.25">
      <c r="A772" s="2" t="s">
        <v>444</v>
      </c>
      <c r="B772" s="3" t="s">
        <v>5016</v>
      </c>
      <c r="C772" s="3">
        <v>20</v>
      </c>
      <c r="D772" s="46" t="str">
        <f>IF(Tabla1[[#This Row],[EDAD]]&lt;=35,"Adultos jóvenes 18 - 35 años",IF(C772&gt;=36,"Adultos mayores 36 años en adelante"))</f>
        <v>Adultos jóvenes 18 - 35 años</v>
      </c>
      <c r="E772" s="3" t="s">
        <v>5019</v>
      </c>
      <c r="F772" s="3" t="s">
        <v>5029</v>
      </c>
      <c r="G772" s="3" t="s">
        <v>5033</v>
      </c>
      <c r="H772" s="3" t="s">
        <v>5467</v>
      </c>
      <c r="I772" s="17">
        <v>45618</v>
      </c>
      <c r="J772" s="18">
        <f>YEAR(Tabla1[[#This Row],[FECHA DE COMPRA]])</f>
        <v>2024</v>
      </c>
      <c r="K772" s="19">
        <v>127.01</v>
      </c>
      <c r="L772" s="20">
        <v>0.3</v>
      </c>
      <c r="M772" s="19">
        <f>Tienda!$K2455-Tienda!$K2455*Tienda!$L2455</f>
        <v>122.224</v>
      </c>
      <c r="N772" s="3" t="s">
        <v>10040</v>
      </c>
      <c r="O772" s="3" t="s">
        <v>10042</v>
      </c>
      <c r="P772" s="17">
        <v>45738</v>
      </c>
      <c r="Q772" s="4">
        <v>9</v>
      </c>
    </row>
    <row r="773" spans="1:17" x14ac:dyDescent="0.25">
      <c r="A773" s="2" t="s">
        <v>4980</v>
      </c>
      <c r="B773" s="3" t="s">
        <v>5015</v>
      </c>
      <c r="C773" s="3">
        <v>23</v>
      </c>
      <c r="D773" s="46" t="str">
        <f>IF(Tabla1[[#This Row],[EDAD]]&lt;=35,"Adultos jóvenes 18 - 35 años",IF(C773&gt;=36,"Adultos mayores 36 años en adelante"))</f>
        <v>Adultos jóvenes 18 - 35 años</v>
      </c>
      <c r="E773" s="3" t="s">
        <v>5022</v>
      </c>
      <c r="F773" s="3" t="s">
        <v>5027</v>
      </c>
      <c r="G773" s="3" t="s">
        <v>5033</v>
      </c>
      <c r="H773" s="3" t="s">
        <v>10003</v>
      </c>
      <c r="I773" s="17">
        <v>45327</v>
      </c>
      <c r="J773" s="18">
        <f>YEAR(Tabla1[[#This Row],[FECHA DE COMPRA]])</f>
        <v>2024</v>
      </c>
      <c r="K773" s="19">
        <v>90.28</v>
      </c>
      <c r="L773" s="20">
        <v>0</v>
      </c>
      <c r="M773" s="19">
        <f>Tienda!$K2467-Tienda!$K2467*Tienda!$L2467</f>
        <v>85.427999999999997</v>
      </c>
      <c r="N773" s="3" t="s">
        <v>10040</v>
      </c>
      <c r="O773" s="3" t="s">
        <v>10042</v>
      </c>
      <c r="P773" s="17">
        <v>45507</v>
      </c>
      <c r="Q773" s="4">
        <v>6</v>
      </c>
    </row>
    <row r="774" spans="1:17" x14ac:dyDescent="0.25">
      <c r="A774" s="2" t="s">
        <v>725</v>
      </c>
      <c r="B774" s="3" t="s">
        <v>5015</v>
      </c>
      <c r="C774" s="3">
        <v>30</v>
      </c>
      <c r="D774" s="46" t="str">
        <f>IF(Tabla1[[#This Row],[EDAD]]&lt;=35,"Adultos jóvenes 18 - 35 años",IF(C774&gt;=36,"Adultos mayores 36 años en adelante"))</f>
        <v>Adultos jóvenes 18 - 35 años</v>
      </c>
      <c r="E774" s="3" t="s">
        <v>5023</v>
      </c>
      <c r="F774" s="3" t="s">
        <v>5027</v>
      </c>
      <c r="G774" s="3" t="s">
        <v>5032</v>
      </c>
      <c r="H774" s="3" t="s">
        <v>5748</v>
      </c>
      <c r="I774" s="17">
        <v>45649</v>
      </c>
      <c r="J774" s="18">
        <f>YEAR(Tabla1[[#This Row],[FECHA DE COMPRA]])</f>
        <v>2024</v>
      </c>
      <c r="K774" s="19">
        <v>129.31</v>
      </c>
      <c r="L774" s="20">
        <v>0.3</v>
      </c>
      <c r="M774" s="19">
        <f>Tienda!$K2469-Tienda!$K2469*Tienda!$L2469</f>
        <v>146.41</v>
      </c>
      <c r="N774" s="3" t="s">
        <v>10040</v>
      </c>
      <c r="O774" s="3" t="s">
        <v>10042</v>
      </c>
      <c r="P774" s="17">
        <v>45654</v>
      </c>
      <c r="Q774" s="4">
        <v>12</v>
      </c>
    </row>
    <row r="775" spans="1:17" x14ac:dyDescent="0.25">
      <c r="A775" s="2" t="s">
        <v>2032</v>
      </c>
      <c r="B775" s="3" t="s">
        <v>5015</v>
      </c>
      <c r="C775" s="3">
        <v>31</v>
      </c>
      <c r="D775" s="46" t="str">
        <f>IF(Tabla1[[#This Row],[EDAD]]&lt;=35,"Adultos jóvenes 18 - 35 años",IF(C775&gt;=36,"Adultos mayores 36 años en adelante"))</f>
        <v>Adultos jóvenes 18 - 35 años</v>
      </c>
      <c r="E775" s="3" t="s">
        <v>5018</v>
      </c>
      <c r="F775" s="3" t="s">
        <v>5028</v>
      </c>
      <c r="G775" s="3" t="s">
        <v>5034</v>
      </c>
      <c r="H775" s="3" t="s">
        <v>7055</v>
      </c>
      <c r="I775" s="17">
        <v>45632</v>
      </c>
      <c r="J775" s="18">
        <f>YEAR(Tabla1[[#This Row],[FECHA DE COMPRA]])</f>
        <v>2024</v>
      </c>
      <c r="K775" s="19">
        <v>129.44</v>
      </c>
      <c r="L775" s="20">
        <v>0.3</v>
      </c>
      <c r="M775" s="19">
        <f>Tienda!$K2471-Tienda!$K2471*Tienda!$L2471</f>
        <v>143.43299999999999</v>
      </c>
      <c r="N775" s="3" t="s">
        <v>10040</v>
      </c>
      <c r="O775" s="3" t="s">
        <v>10042</v>
      </c>
      <c r="P775" s="17">
        <v>45992</v>
      </c>
      <c r="Q775" s="4">
        <v>12</v>
      </c>
    </row>
    <row r="776" spans="1:17" x14ac:dyDescent="0.25">
      <c r="A776" s="2" t="s">
        <v>3450</v>
      </c>
      <c r="B776" s="3" t="s">
        <v>5016</v>
      </c>
      <c r="C776" s="3">
        <v>34</v>
      </c>
      <c r="D776" s="46" t="str">
        <f>IF(Tabla1[[#This Row],[EDAD]]&lt;=35,"Adultos jóvenes 18 - 35 años",IF(C776&gt;=36,"Adultos mayores 36 años en adelante"))</f>
        <v>Adultos jóvenes 18 - 35 años</v>
      </c>
      <c r="E776" s="3" t="s">
        <v>5019</v>
      </c>
      <c r="F776" s="3" t="s">
        <v>5030</v>
      </c>
      <c r="G776" s="3" t="s">
        <v>5034</v>
      </c>
      <c r="H776" s="3" t="s">
        <v>8473</v>
      </c>
      <c r="I776" s="17">
        <v>45502</v>
      </c>
      <c r="J776" s="18">
        <f>YEAR(Tabla1[[#This Row],[FECHA DE COMPRA]])</f>
        <v>2024</v>
      </c>
      <c r="K776" s="19">
        <v>91.03</v>
      </c>
      <c r="L776" s="20">
        <v>0</v>
      </c>
      <c r="M776" s="19">
        <f>Tienda!$K2474-Tienda!$K2474*Tienda!$L2474</f>
        <v>26.407999999999998</v>
      </c>
      <c r="N776" s="3" t="s">
        <v>10040</v>
      </c>
      <c r="O776" s="3" t="s">
        <v>10042</v>
      </c>
      <c r="P776" s="17">
        <v>45682</v>
      </c>
      <c r="Q776" s="4">
        <v>6</v>
      </c>
    </row>
    <row r="777" spans="1:17" x14ac:dyDescent="0.25">
      <c r="A777" s="2" t="s">
        <v>4295</v>
      </c>
      <c r="B777" s="3" t="s">
        <v>5015</v>
      </c>
      <c r="C777" s="3">
        <v>28</v>
      </c>
      <c r="D777" s="46" t="str">
        <f>IF(Tabla1[[#This Row],[EDAD]]&lt;=35,"Adultos jóvenes 18 - 35 años",IF(C777&gt;=36,"Adultos mayores 36 años en adelante"))</f>
        <v>Adultos jóvenes 18 - 35 años</v>
      </c>
      <c r="E777" s="3" t="s">
        <v>5023</v>
      </c>
      <c r="F777" s="3" t="s">
        <v>5026</v>
      </c>
      <c r="G777" s="3" t="s">
        <v>5034</v>
      </c>
      <c r="H777" s="3" t="s">
        <v>9318</v>
      </c>
      <c r="I777" s="17">
        <v>45640</v>
      </c>
      <c r="J777" s="18">
        <f>YEAR(Tabla1[[#This Row],[FECHA DE COMPRA]])</f>
        <v>2024</v>
      </c>
      <c r="K777" s="19">
        <v>114.11</v>
      </c>
      <c r="L777" s="20">
        <v>0.2</v>
      </c>
      <c r="M777" s="19">
        <f>Tienda!$K2478-Tienda!$K2478*Tienda!$L2478</f>
        <v>44.695</v>
      </c>
      <c r="N777" s="3" t="s">
        <v>10040</v>
      </c>
      <c r="O777" s="3" t="s">
        <v>10042</v>
      </c>
      <c r="P777" s="17">
        <v>45730</v>
      </c>
      <c r="Q777" s="4">
        <v>3</v>
      </c>
    </row>
    <row r="778" spans="1:17" x14ac:dyDescent="0.25">
      <c r="A778" s="2" t="s">
        <v>1287</v>
      </c>
      <c r="B778" s="3" t="s">
        <v>5015</v>
      </c>
      <c r="C778" s="3">
        <v>24</v>
      </c>
      <c r="D778" s="46" t="str">
        <f>IF(Tabla1[[#This Row],[EDAD]]&lt;=35,"Adultos jóvenes 18 - 35 años",IF(C778&gt;=36,"Adultos mayores 36 años en adelante"))</f>
        <v>Adultos jóvenes 18 - 35 años</v>
      </c>
      <c r="E778" s="3" t="s">
        <v>5018</v>
      </c>
      <c r="F778" s="3" t="s">
        <v>5025</v>
      </c>
      <c r="G778" s="3" t="s">
        <v>5035</v>
      </c>
      <c r="H778" s="3" t="s">
        <v>6310</v>
      </c>
      <c r="I778" s="17">
        <v>45341</v>
      </c>
      <c r="J778" s="18">
        <f>YEAR(Tabla1[[#This Row],[FECHA DE COMPRA]])</f>
        <v>2024</v>
      </c>
      <c r="K778" s="19">
        <v>101.68</v>
      </c>
      <c r="L778" s="20">
        <v>0.1</v>
      </c>
      <c r="M778" s="19">
        <f>Tienda!$K2480-Tienda!$K2480*Tienda!$L2480</f>
        <v>56.967999999999996</v>
      </c>
      <c r="N778" s="3" t="s">
        <v>10040</v>
      </c>
      <c r="O778" s="3" t="s">
        <v>10042</v>
      </c>
      <c r="P778" s="17">
        <v>45611</v>
      </c>
      <c r="Q778" s="4">
        <v>9</v>
      </c>
    </row>
    <row r="779" spans="1:17" x14ac:dyDescent="0.25">
      <c r="A779" s="2" t="s">
        <v>2078</v>
      </c>
      <c r="B779" s="3" t="s">
        <v>5015</v>
      </c>
      <c r="C779" s="3">
        <v>35</v>
      </c>
      <c r="D779" s="46" t="str">
        <f>IF(Tabla1[[#This Row],[EDAD]]&lt;=35,"Adultos jóvenes 18 - 35 años",IF(C779&gt;=36,"Adultos mayores 36 años en adelante"))</f>
        <v>Adultos jóvenes 18 - 35 años</v>
      </c>
      <c r="E779" s="3" t="s">
        <v>5023</v>
      </c>
      <c r="F779" s="3" t="s">
        <v>5027</v>
      </c>
      <c r="G779" s="3" t="s">
        <v>5036</v>
      </c>
      <c r="H779" s="3" t="s">
        <v>7101</v>
      </c>
      <c r="I779" s="17">
        <v>45556</v>
      </c>
      <c r="J779" s="18">
        <f>YEAR(Tabla1[[#This Row],[FECHA DE COMPRA]])</f>
        <v>2024</v>
      </c>
      <c r="K779" s="19">
        <v>131.11000000000001</v>
      </c>
      <c r="L779" s="20">
        <v>0.3</v>
      </c>
      <c r="M779" s="19">
        <f>Tienda!$K2483-Tienda!$K2483*Tienda!$L2483</f>
        <v>58.771999999999991</v>
      </c>
      <c r="N779" s="3" t="s">
        <v>10040</v>
      </c>
      <c r="O779" s="3" t="s">
        <v>10042</v>
      </c>
      <c r="P779" s="17">
        <v>45736</v>
      </c>
      <c r="Q779" s="4">
        <v>6</v>
      </c>
    </row>
    <row r="780" spans="1:17" x14ac:dyDescent="0.25">
      <c r="A780" s="2" t="s">
        <v>2983</v>
      </c>
      <c r="B780" s="3" t="s">
        <v>5016</v>
      </c>
      <c r="C780" s="3">
        <v>21</v>
      </c>
      <c r="D780" s="46" t="str">
        <f>IF(Tabla1[[#This Row],[EDAD]]&lt;=35,"Adultos jóvenes 18 - 35 años",IF(C780&gt;=36,"Adultos mayores 36 años en adelante"))</f>
        <v>Adultos jóvenes 18 - 35 años</v>
      </c>
      <c r="E780" s="3" t="s">
        <v>5023</v>
      </c>
      <c r="F780" s="3" t="s">
        <v>5030</v>
      </c>
      <c r="G780" s="3" t="s">
        <v>5033</v>
      </c>
      <c r="H780" s="3" t="s">
        <v>8006</v>
      </c>
      <c r="I780" s="17">
        <v>45636</v>
      </c>
      <c r="J780" s="18">
        <f>YEAR(Tabla1[[#This Row],[FECHA DE COMPRA]])</f>
        <v>2024</v>
      </c>
      <c r="K780" s="19">
        <v>131.22</v>
      </c>
      <c r="L780" s="20">
        <v>0.3</v>
      </c>
      <c r="M780" s="19">
        <f>Tienda!$K2485-Tienda!$K2485*Tienda!$L2485</f>
        <v>92.961000000000013</v>
      </c>
      <c r="N780" s="3" t="s">
        <v>10040</v>
      </c>
      <c r="O780" s="3" t="s">
        <v>10042</v>
      </c>
      <c r="P780" s="17">
        <v>45631</v>
      </c>
      <c r="Q780" s="4">
        <v>6</v>
      </c>
    </row>
    <row r="781" spans="1:17" x14ac:dyDescent="0.25">
      <c r="A781" s="2" t="s">
        <v>1453</v>
      </c>
      <c r="B781" s="3" t="s">
        <v>5015</v>
      </c>
      <c r="C781" s="3">
        <v>23</v>
      </c>
      <c r="D781" s="46" t="str">
        <f>IF(Tabla1[[#This Row],[EDAD]]&lt;=35,"Adultos jóvenes 18 - 35 años",IF(C781&gt;=36,"Adultos mayores 36 años en adelante"))</f>
        <v>Adultos jóvenes 18 - 35 años</v>
      </c>
      <c r="E781" s="3" t="s">
        <v>5018</v>
      </c>
      <c r="F781" s="3" t="s">
        <v>5027</v>
      </c>
      <c r="G781" s="3" t="s">
        <v>5032</v>
      </c>
      <c r="H781" s="3" t="s">
        <v>6476</v>
      </c>
      <c r="I781" s="17">
        <v>45613</v>
      </c>
      <c r="J781" s="18">
        <f>YEAR(Tabla1[[#This Row],[FECHA DE COMPRA]])</f>
        <v>2024</v>
      </c>
      <c r="K781" s="19">
        <v>134.34</v>
      </c>
      <c r="L781" s="20">
        <v>0.3</v>
      </c>
      <c r="M781" s="19">
        <f>Tienda!$K2500-Tienda!$K2500*Tienda!$L2500</f>
        <v>147.61799999999999</v>
      </c>
      <c r="N781" s="3" t="s">
        <v>10040</v>
      </c>
      <c r="O781" s="3" t="s">
        <v>10042</v>
      </c>
      <c r="P781" s="17">
        <v>45703</v>
      </c>
      <c r="Q781" s="4">
        <v>3</v>
      </c>
    </row>
    <row r="782" spans="1:17" x14ac:dyDescent="0.25">
      <c r="A782" s="2" t="s">
        <v>2192</v>
      </c>
      <c r="B782" s="3" t="s">
        <v>5015</v>
      </c>
      <c r="C782" s="3">
        <v>33</v>
      </c>
      <c r="D782" s="46" t="str">
        <f>IF(Tabla1[[#This Row],[EDAD]]&lt;=35,"Adultos jóvenes 18 - 35 años",IF(C782&gt;=36,"Adultos mayores 36 años en adelante"))</f>
        <v>Adultos jóvenes 18 - 35 años</v>
      </c>
      <c r="E782" s="3" t="s">
        <v>5021</v>
      </c>
      <c r="F782" s="3" t="s">
        <v>5025</v>
      </c>
      <c r="G782" s="3" t="s">
        <v>5036</v>
      </c>
      <c r="H782" s="3" t="s">
        <v>7215</v>
      </c>
      <c r="I782" s="17">
        <v>45563</v>
      </c>
      <c r="J782" s="18">
        <f>YEAR(Tabla1[[#This Row],[FECHA DE COMPRA]])</f>
        <v>2024</v>
      </c>
      <c r="K782" s="19">
        <v>94.22</v>
      </c>
      <c r="L782" s="20">
        <v>0</v>
      </c>
      <c r="M782" s="19">
        <f>Tienda!$K2503-Tienda!$K2503*Tienda!$L2503</f>
        <v>122.54900000000001</v>
      </c>
      <c r="N782" s="3" t="s">
        <v>10040</v>
      </c>
      <c r="O782" s="3" t="s">
        <v>10042</v>
      </c>
      <c r="P782" s="17">
        <v>45743</v>
      </c>
      <c r="Q782" s="4">
        <v>6</v>
      </c>
    </row>
    <row r="783" spans="1:17" x14ac:dyDescent="0.25">
      <c r="A783" s="2" t="s">
        <v>3557</v>
      </c>
      <c r="B783" s="3" t="s">
        <v>5015</v>
      </c>
      <c r="C783" s="3">
        <v>35</v>
      </c>
      <c r="D783" s="46" t="str">
        <f>IF(Tabla1[[#This Row],[EDAD]]&lt;=35,"Adultos jóvenes 18 - 35 años",IF(C783&gt;=36,"Adultos mayores 36 años en adelante"))</f>
        <v>Adultos jóvenes 18 - 35 años</v>
      </c>
      <c r="E783" s="3" t="s">
        <v>5022</v>
      </c>
      <c r="F783" s="3" t="s">
        <v>5027</v>
      </c>
      <c r="G783" s="3" t="s">
        <v>5033</v>
      </c>
      <c r="H783" s="3" t="s">
        <v>8580</v>
      </c>
      <c r="I783" s="17">
        <v>45434</v>
      </c>
      <c r="J783" s="18">
        <f>YEAR(Tabla1[[#This Row],[FECHA DE COMPRA]])</f>
        <v>2024</v>
      </c>
      <c r="K783" s="19">
        <v>119.2</v>
      </c>
      <c r="L783" s="20">
        <v>0.2</v>
      </c>
      <c r="M783" s="19">
        <f>Tienda!$K2512-Tienda!$K2512*Tienda!$L2512</f>
        <v>37.020000000000003</v>
      </c>
      <c r="N783" s="3" t="s">
        <v>10040</v>
      </c>
      <c r="O783" s="3" t="s">
        <v>10042</v>
      </c>
      <c r="P783" s="17">
        <v>45794</v>
      </c>
      <c r="Q783" s="4">
        <v>12</v>
      </c>
    </row>
    <row r="784" spans="1:17" x14ac:dyDescent="0.25">
      <c r="A784" s="2" t="s">
        <v>942</v>
      </c>
      <c r="B784" s="3" t="s">
        <v>5015</v>
      </c>
      <c r="C784" s="3">
        <v>23</v>
      </c>
      <c r="D784" s="46" t="str">
        <f>IF(Tabla1[[#This Row],[EDAD]]&lt;=35,"Adultos jóvenes 18 - 35 años",IF(C784&gt;=36,"Adultos mayores 36 años en adelante"))</f>
        <v>Adultos jóvenes 18 - 35 años</v>
      </c>
      <c r="E784" s="3" t="s">
        <v>5019</v>
      </c>
      <c r="F784" s="3" t="s">
        <v>5026</v>
      </c>
      <c r="G784" s="3" t="s">
        <v>5037</v>
      </c>
      <c r="H784" s="3" t="s">
        <v>5965</v>
      </c>
      <c r="I784" s="17">
        <v>45562</v>
      </c>
      <c r="J784" s="18">
        <f>YEAR(Tabla1[[#This Row],[FECHA DE COMPRA]])</f>
        <v>2024</v>
      </c>
      <c r="K784" s="19">
        <v>121.74</v>
      </c>
      <c r="L784" s="20">
        <v>0.2</v>
      </c>
      <c r="M784" s="19">
        <f>Tienda!$K2522-Tienda!$K2522*Tienda!$L2522</f>
        <v>62.315999999999995</v>
      </c>
      <c r="N784" s="3" t="s">
        <v>10040</v>
      </c>
      <c r="O784" s="3" t="s">
        <v>10042</v>
      </c>
      <c r="P784" s="17">
        <v>45652</v>
      </c>
      <c r="Q784" s="4">
        <v>3</v>
      </c>
    </row>
    <row r="785" spans="1:17" x14ac:dyDescent="0.25">
      <c r="A785" s="2" t="s">
        <v>1709</v>
      </c>
      <c r="B785" s="3" t="s">
        <v>5015</v>
      </c>
      <c r="C785" s="3">
        <v>21</v>
      </c>
      <c r="D785" s="46" t="str">
        <f>IF(Tabla1[[#This Row],[EDAD]]&lt;=35,"Adultos jóvenes 18 - 35 años",IF(C785&gt;=36,"Adultos mayores 36 años en adelante"))</f>
        <v>Adultos jóvenes 18 - 35 años</v>
      </c>
      <c r="E785" s="3" t="s">
        <v>5021</v>
      </c>
      <c r="F785" s="3" t="s">
        <v>5030</v>
      </c>
      <c r="G785" s="3" t="s">
        <v>5031</v>
      </c>
      <c r="H785" s="3" t="s">
        <v>6732</v>
      </c>
      <c r="I785" s="17">
        <v>45345</v>
      </c>
      <c r="J785" s="18">
        <f>YEAR(Tabla1[[#This Row],[FECHA DE COMPRA]])</f>
        <v>2024</v>
      </c>
      <c r="K785" s="19">
        <v>139.88999999999999</v>
      </c>
      <c r="L785" s="20">
        <v>0.3</v>
      </c>
      <c r="M785" s="19">
        <f>Tienda!$K2532-Tienda!$K2532*Tienda!$L2532</f>
        <v>100.68</v>
      </c>
      <c r="N785" s="3" t="s">
        <v>10040</v>
      </c>
      <c r="O785" s="3" t="s">
        <v>10042</v>
      </c>
      <c r="P785" s="17">
        <v>45435</v>
      </c>
      <c r="Q785" s="4">
        <v>3</v>
      </c>
    </row>
    <row r="786" spans="1:17" x14ac:dyDescent="0.25">
      <c r="A786" s="2" t="s">
        <v>3543</v>
      </c>
      <c r="B786" s="3" t="s">
        <v>5015</v>
      </c>
      <c r="C786" s="3">
        <v>21</v>
      </c>
      <c r="D786" s="46" t="str">
        <f>IF(Tabla1[[#This Row],[EDAD]]&lt;=35,"Adultos jóvenes 18 - 35 años",IF(C786&gt;=36,"Adultos mayores 36 años en adelante"))</f>
        <v>Adultos jóvenes 18 - 35 años</v>
      </c>
      <c r="E786" s="3" t="s">
        <v>5020</v>
      </c>
      <c r="F786" s="3" t="s">
        <v>5027</v>
      </c>
      <c r="G786" s="3" t="s">
        <v>5035</v>
      </c>
      <c r="H786" s="3" t="s">
        <v>8566</v>
      </c>
      <c r="I786" s="17">
        <v>45480</v>
      </c>
      <c r="J786" s="18">
        <f>YEAR(Tabla1[[#This Row],[FECHA DE COMPRA]])</f>
        <v>2024</v>
      </c>
      <c r="K786" s="19">
        <v>98.39</v>
      </c>
      <c r="L786" s="20">
        <v>0</v>
      </c>
      <c r="M786" s="19">
        <f>Tienda!$K2537-Tienda!$K2537*Tienda!$L2537</f>
        <v>114.48</v>
      </c>
      <c r="N786" s="3" t="s">
        <v>10040</v>
      </c>
      <c r="O786" s="3" t="s">
        <v>10042</v>
      </c>
      <c r="P786" s="17">
        <v>45750</v>
      </c>
      <c r="Q786" s="4">
        <v>9</v>
      </c>
    </row>
    <row r="787" spans="1:17" x14ac:dyDescent="0.25">
      <c r="A787" s="2" t="s">
        <v>65</v>
      </c>
      <c r="B787" s="3" t="s">
        <v>5016</v>
      </c>
      <c r="C787" s="3">
        <v>26</v>
      </c>
      <c r="D787" s="46" t="str">
        <f>IF(Tabla1[[#This Row],[EDAD]]&lt;=35,"Adultos jóvenes 18 - 35 años",IF(C787&gt;=36,"Adultos mayores 36 años en adelante"))</f>
        <v>Adultos jóvenes 18 - 35 años</v>
      </c>
      <c r="E787" s="3" t="s">
        <v>5023</v>
      </c>
      <c r="F787" s="3" t="s">
        <v>5030</v>
      </c>
      <c r="G787" s="3" t="s">
        <v>5033</v>
      </c>
      <c r="H787" s="3" t="s">
        <v>5088</v>
      </c>
      <c r="I787" s="17">
        <v>45635</v>
      </c>
      <c r="J787" s="18">
        <f>YEAR(Tabla1[[#This Row],[FECHA DE COMPRA]])</f>
        <v>2024</v>
      </c>
      <c r="K787" s="19">
        <v>109.48</v>
      </c>
      <c r="L787" s="20">
        <v>0.1</v>
      </c>
      <c r="M787" s="19">
        <f>Tienda!$K2539-Tienda!$K2539*Tienda!$L2539</f>
        <v>91.203000000000003</v>
      </c>
      <c r="N787" s="3" t="s">
        <v>10040</v>
      </c>
      <c r="O787" s="3" t="s">
        <v>10042</v>
      </c>
      <c r="P787" s="17">
        <v>45626</v>
      </c>
      <c r="Q787" s="4">
        <v>6</v>
      </c>
    </row>
    <row r="788" spans="1:17" x14ac:dyDescent="0.25">
      <c r="A788" s="2" t="s">
        <v>652</v>
      </c>
      <c r="B788" s="3" t="s">
        <v>5015</v>
      </c>
      <c r="C788" s="3">
        <v>26</v>
      </c>
      <c r="D788" s="46" t="str">
        <f>IF(Tabla1[[#This Row],[EDAD]]&lt;=35,"Adultos jóvenes 18 - 35 años",IF(C788&gt;=36,"Adultos mayores 36 años en adelante"))</f>
        <v>Adultos jóvenes 18 - 35 años</v>
      </c>
      <c r="E788" s="3" t="s">
        <v>5020</v>
      </c>
      <c r="F788" s="3" t="s">
        <v>5029</v>
      </c>
      <c r="G788" s="3" t="s">
        <v>5032</v>
      </c>
      <c r="H788" s="3" t="s">
        <v>5675</v>
      </c>
      <c r="I788" s="17">
        <v>45596</v>
      </c>
      <c r="J788" s="18">
        <f>YEAR(Tabla1[[#This Row],[FECHA DE COMPRA]])</f>
        <v>2024</v>
      </c>
      <c r="K788" s="19">
        <v>99.71</v>
      </c>
      <c r="L788" s="20">
        <v>0</v>
      </c>
      <c r="M788" s="19">
        <f>Tienda!$K2545-Tienda!$K2545*Tienda!$L2545</f>
        <v>122.36800000000001</v>
      </c>
      <c r="N788" s="3" t="s">
        <v>10040</v>
      </c>
      <c r="O788" s="3" t="s">
        <v>10042</v>
      </c>
      <c r="P788" s="17">
        <v>45956</v>
      </c>
      <c r="Q788" s="4">
        <v>12</v>
      </c>
    </row>
    <row r="789" spans="1:17" x14ac:dyDescent="0.25">
      <c r="A789" s="2" t="s">
        <v>1261</v>
      </c>
      <c r="B789" s="3" t="s">
        <v>5015</v>
      </c>
      <c r="C789" s="3">
        <v>25</v>
      </c>
      <c r="D789" s="46" t="str">
        <f>IF(Tabla1[[#This Row],[EDAD]]&lt;=35,"Adultos jóvenes 18 - 35 años",IF(C789&gt;=36,"Adultos mayores 36 años en adelante"))</f>
        <v>Adultos jóvenes 18 - 35 años</v>
      </c>
      <c r="E789" s="3" t="s">
        <v>5021</v>
      </c>
      <c r="F789" s="3" t="s">
        <v>5027</v>
      </c>
      <c r="G789" s="3" t="s">
        <v>5034</v>
      </c>
      <c r="H789" s="3" t="s">
        <v>6284</v>
      </c>
      <c r="I789" s="17">
        <v>45591</v>
      </c>
      <c r="J789" s="18">
        <f>YEAR(Tabla1[[#This Row],[FECHA DE COMPRA]])</f>
        <v>2024</v>
      </c>
      <c r="K789" s="19">
        <v>124.77</v>
      </c>
      <c r="L789" s="20">
        <v>0.2</v>
      </c>
      <c r="M789" s="19">
        <f>Tienda!$K2546-Tienda!$K2546*Tienda!$L2546</f>
        <v>122.376</v>
      </c>
      <c r="N789" s="3" t="s">
        <v>10040</v>
      </c>
      <c r="O789" s="3" t="s">
        <v>10042</v>
      </c>
      <c r="P789" s="17">
        <v>45951</v>
      </c>
      <c r="Q789" s="4">
        <v>12</v>
      </c>
    </row>
    <row r="790" spans="1:17" x14ac:dyDescent="0.25">
      <c r="A790" s="2" t="s">
        <v>3743</v>
      </c>
      <c r="B790" s="3" t="s">
        <v>5016</v>
      </c>
      <c r="C790" s="3">
        <v>22</v>
      </c>
      <c r="D790" s="46" t="str">
        <f>IF(Tabla1[[#This Row],[EDAD]]&lt;=35,"Adultos jóvenes 18 - 35 años",IF(C790&gt;=36,"Adultos mayores 36 años en adelante"))</f>
        <v>Adultos jóvenes 18 - 35 años</v>
      </c>
      <c r="E790" s="3" t="s">
        <v>5017</v>
      </c>
      <c r="F790" s="3" t="s">
        <v>5027</v>
      </c>
      <c r="G790" s="3" t="s">
        <v>5036</v>
      </c>
      <c r="H790" s="3" t="s">
        <v>8766</v>
      </c>
      <c r="I790" s="17">
        <v>45336</v>
      </c>
      <c r="J790" s="18">
        <f>YEAR(Tabla1[[#This Row],[FECHA DE COMPRA]])</f>
        <v>2024</v>
      </c>
      <c r="K790" s="19">
        <v>142.66999999999999</v>
      </c>
      <c r="L790" s="20">
        <v>0.3</v>
      </c>
      <c r="M790" s="19">
        <f>Tienda!$K2549-Tienda!$K2549*Tienda!$L2549</f>
        <v>108.23400000000001</v>
      </c>
      <c r="N790" s="3" t="s">
        <v>10040</v>
      </c>
      <c r="O790" s="3" t="s">
        <v>10042</v>
      </c>
      <c r="P790" s="17">
        <v>45606</v>
      </c>
      <c r="Q790" s="4">
        <v>9</v>
      </c>
    </row>
    <row r="791" spans="1:17" x14ac:dyDescent="0.25">
      <c r="A791" s="2" t="s">
        <v>1866</v>
      </c>
      <c r="B791" s="3" t="s">
        <v>5015</v>
      </c>
      <c r="C791" s="3">
        <v>19</v>
      </c>
      <c r="D791" s="46" t="str">
        <f>IF(Tabla1[[#This Row],[EDAD]]&lt;=35,"Adultos jóvenes 18 - 35 años",IF(C791&gt;=36,"Adultos mayores 36 años en adelante"))</f>
        <v>Adultos jóvenes 18 - 35 años</v>
      </c>
      <c r="E791" s="3" t="s">
        <v>5020</v>
      </c>
      <c r="F791" s="3" t="s">
        <v>5029</v>
      </c>
      <c r="G791" s="3" t="s">
        <v>5034</v>
      </c>
      <c r="H791" s="3" t="s">
        <v>6889</v>
      </c>
      <c r="I791" s="17">
        <v>45320</v>
      </c>
      <c r="J791" s="18">
        <f>YEAR(Tabla1[[#This Row],[FECHA DE COMPRA]])</f>
        <v>2024</v>
      </c>
      <c r="K791" s="19">
        <v>144.44999999999999</v>
      </c>
      <c r="L791" s="20">
        <v>0.3</v>
      </c>
      <c r="M791" s="19">
        <f>Tienda!$K2564-Tienda!$K2564*Tienda!$L2564</f>
        <v>17.72</v>
      </c>
      <c r="N791" s="3" t="s">
        <v>10040</v>
      </c>
      <c r="O791" s="3" t="s">
        <v>10042</v>
      </c>
      <c r="P791" s="17">
        <v>45590</v>
      </c>
      <c r="Q791" s="4">
        <v>9</v>
      </c>
    </row>
    <row r="792" spans="1:17" x14ac:dyDescent="0.25">
      <c r="A792" s="2" t="s">
        <v>2656</v>
      </c>
      <c r="B792" s="3" t="s">
        <v>5016</v>
      </c>
      <c r="C792" s="3">
        <v>23</v>
      </c>
      <c r="D792" s="46" t="str">
        <f>IF(Tabla1[[#This Row],[EDAD]]&lt;=35,"Adultos jóvenes 18 - 35 años",IF(C792&gt;=36,"Adultos mayores 36 años en adelante"))</f>
        <v>Adultos jóvenes 18 - 35 años</v>
      </c>
      <c r="E792" s="3" t="s">
        <v>5019</v>
      </c>
      <c r="F792" s="3" t="s">
        <v>5025</v>
      </c>
      <c r="G792" s="3" t="s">
        <v>5032</v>
      </c>
      <c r="H792" s="3" t="s">
        <v>7679</v>
      </c>
      <c r="I792" s="17">
        <v>45609</v>
      </c>
      <c r="J792" s="18">
        <f>YEAR(Tabla1[[#This Row],[FECHA DE COMPRA]])</f>
        <v>2024</v>
      </c>
      <c r="K792" s="19">
        <v>144.77000000000001</v>
      </c>
      <c r="L792" s="20">
        <v>0.3</v>
      </c>
      <c r="M792" s="19">
        <f>Tienda!$K2568-Tienda!$K2568*Tienda!$L2568</f>
        <v>21.055999999999997</v>
      </c>
      <c r="N792" s="3" t="s">
        <v>10040</v>
      </c>
      <c r="O792" s="3" t="s">
        <v>10042</v>
      </c>
      <c r="P792" s="17">
        <v>45789</v>
      </c>
      <c r="Q792" s="4">
        <v>6</v>
      </c>
    </row>
    <row r="793" spans="1:17" x14ac:dyDescent="0.25">
      <c r="A793" s="2" t="s">
        <v>4899</v>
      </c>
      <c r="B793" s="3" t="s">
        <v>5015</v>
      </c>
      <c r="C793" s="3">
        <v>23</v>
      </c>
      <c r="D793" s="46" t="str">
        <f>IF(Tabla1[[#This Row],[EDAD]]&lt;=35,"Adultos jóvenes 18 - 35 años",IF(C793&gt;=36,"Adultos mayores 36 años en adelante"))</f>
        <v>Adultos jóvenes 18 - 35 años</v>
      </c>
      <c r="E793" s="3" t="s">
        <v>5022</v>
      </c>
      <c r="F793" s="3" t="s">
        <v>5030</v>
      </c>
      <c r="G793" s="3" t="s">
        <v>5033</v>
      </c>
      <c r="H793" s="3" t="s">
        <v>9922</v>
      </c>
      <c r="I793" s="17">
        <v>45425</v>
      </c>
      <c r="J793" s="18">
        <f>YEAR(Tabla1[[#This Row],[FECHA DE COMPRA]])</f>
        <v>2024</v>
      </c>
      <c r="K793" s="19">
        <v>144.99</v>
      </c>
      <c r="L793" s="20">
        <v>0.3</v>
      </c>
      <c r="M793" s="19">
        <f>Tienda!$K2572-Tienda!$K2572*Tienda!$L2572</f>
        <v>53.64</v>
      </c>
      <c r="N793" s="3" t="s">
        <v>10040</v>
      </c>
      <c r="O793" s="3" t="s">
        <v>10042</v>
      </c>
      <c r="P793" s="17">
        <v>45515</v>
      </c>
      <c r="Q793" s="4">
        <v>3</v>
      </c>
    </row>
    <row r="794" spans="1:17" x14ac:dyDescent="0.25">
      <c r="A794" s="2" t="s">
        <v>4564</v>
      </c>
      <c r="B794" s="3" t="s">
        <v>5016</v>
      </c>
      <c r="C794" s="3">
        <v>29</v>
      </c>
      <c r="D794" s="46" t="str">
        <f>IF(Tabla1[[#This Row],[EDAD]]&lt;=35,"Adultos jóvenes 18 - 35 años",IF(C794&gt;=36,"Adultos mayores 36 años en adelante"))</f>
        <v>Adultos jóvenes 18 - 35 años</v>
      </c>
      <c r="E794" s="3" t="s">
        <v>5023</v>
      </c>
      <c r="F794" s="3" t="s">
        <v>5030</v>
      </c>
      <c r="G794" s="3" t="s">
        <v>5036</v>
      </c>
      <c r="H794" s="3" t="s">
        <v>9587</v>
      </c>
      <c r="I794" s="17">
        <v>45624</v>
      </c>
      <c r="J794" s="18">
        <f>YEAR(Tabla1[[#This Row],[FECHA DE COMPRA]])</f>
        <v>2024</v>
      </c>
      <c r="K794" s="19">
        <v>102.08</v>
      </c>
      <c r="L794" s="20">
        <v>0</v>
      </c>
      <c r="M794" s="19">
        <f>Tienda!$K2580-Tienda!$K2580*Tienda!$L2580</f>
        <v>75.528000000000006</v>
      </c>
      <c r="N794" s="3" t="s">
        <v>10040</v>
      </c>
      <c r="O794" s="3" t="s">
        <v>10042</v>
      </c>
      <c r="P794" s="17">
        <v>45569</v>
      </c>
      <c r="Q794" s="4">
        <v>3</v>
      </c>
    </row>
    <row r="795" spans="1:17" x14ac:dyDescent="0.25">
      <c r="A795" s="2" t="s">
        <v>4512</v>
      </c>
      <c r="B795" s="3" t="s">
        <v>5015</v>
      </c>
      <c r="C795" s="3">
        <v>22</v>
      </c>
      <c r="D795" s="46" t="str">
        <f>IF(Tabla1[[#This Row],[EDAD]]&lt;=35,"Adultos jóvenes 18 - 35 años",IF(C795&gt;=36,"Adultos mayores 36 años en adelante"))</f>
        <v>Adultos jóvenes 18 - 35 años</v>
      </c>
      <c r="E795" s="3" t="s">
        <v>5017</v>
      </c>
      <c r="F795" s="3" t="s">
        <v>5028</v>
      </c>
      <c r="G795" s="3" t="s">
        <v>5035</v>
      </c>
      <c r="H795" s="3" t="s">
        <v>9535</v>
      </c>
      <c r="I795" s="17">
        <v>45634</v>
      </c>
      <c r="J795" s="18">
        <f>YEAR(Tabla1[[#This Row],[FECHA DE COMPRA]])</f>
        <v>2024</v>
      </c>
      <c r="K795" s="19">
        <v>115.51</v>
      </c>
      <c r="L795" s="20">
        <v>0.1</v>
      </c>
      <c r="M795" s="19">
        <f>Tienda!$K2594-Tienda!$K2594*Tienda!$L2594</f>
        <v>142.19999999999999</v>
      </c>
      <c r="N795" s="3" t="s">
        <v>10040</v>
      </c>
      <c r="O795" s="3" t="s">
        <v>10042</v>
      </c>
      <c r="P795" s="17">
        <v>45714</v>
      </c>
      <c r="Q795" s="4">
        <v>9</v>
      </c>
    </row>
    <row r="796" spans="1:17" x14ac:dyDescent="0.25">
      <c r="A796" s="2" t="s">
        <v>3390</v>
      </c>
      <c r="B796" s="3" t="s">
        <v>5016</v>
      </c>
      <c r="C796" s="3">
        <v>21</v>
      </c>
      <c r="D796" s="46" t="str">
        <f>IF(Tabla1[[#This Row],[EDAD]]&lt;=35,"Adultos jóvenes 18 - 35 años",IF(C796&gt;=36,"Adultos mayores 36 años en adelante"))</f>
        <v>Adultos jóvenes 18 - 35 años</v>
      </c>
      <c r="E796" s="3" t="s">
        <v>5023</v>
      </c>
      <c r="F796" s="3" t="s">
        <v>5030</v>
      </c>
      <c r="G796" s="3" t="s">
        <v>5033</v>
      </c>
      <c r="H796" s="3" t="s">
        <v>8413</v>
      </c>
      <c r="I796" s="17">
        <v>45543</v>
      </c>
      <c r="J796" s="18">
        <f>YEAR(Tabla1[[#This Row],[FECHA DE COMPRA]])</f>
        <v>2024</v>
      </c>
      <c r="K796" s="19">
        <v>149.58000000000001</v>
      </c>
      <c r="L796" s="20">
        <v>0.3</v>
      </c>
      <c r="M796" s="19">
        <f>Tienda!$K2599-Tienda!$K2599*Tienda!$L2599</f>
        <v>123.71099999999998</v>
      </c>
      <c r="N796" s="3" t="s">
        <v>10040</v>
      </c>
      <c r="O796" s="3" t="s">
        <v>10042</v>
      </c>
      <c r="P796" s="17">
        <v>45633</v>
      </c>
      <c r="Q796" s="4">
        <v>3</v>
      </c>
    </row>
    <row r="797" spans="1:17" x14ac:dyDescent="0.25">
      <c r="A797" s="2" t="s">
        <v>18</v>
      </c>
      <c r="B797" s="3" t="s">
        <v>5015</v>
      </c>
      <c r="C797" s="3">
        <v>18</v>
      </c>
      <c r="D797" s="46" t="str">
        <f>IF(Tabla1[[#This Row],[EDAD]]&lt;=35,"Adultos jóvenes 18 - 35 años",IF(C797&gt;=36,"Adultos mayores 36 años en adelante"))</f>
        <v>Adultos jóvenes 18 - 35 años</v>
      </c>
      <c r="E797" s="3" t="s">
        <v>5020</v>
      </c>
      <c r="F797" s="3" t="s">
        <v>5026</v>
      </c>
      <c r="G797" s="3" t="s">
        <v>5034</v>
      </c>
      <c r="H797" s="3" t="s">
        <v>5041</v>
      </c>
      <c r="I797" s="17">
        <v>45550</v>
      </c>
      <c r="J797" s="18">
        <f>YEAR(Tabla1[[#This Row],[FECHA DE COMPRA]])</f>
        <v>2024</v>
      </c>
      <c r="K797" s="19">
        <v>116.6</v>
      </c>
      <c r="L797" s="20">
        <v>0.1</v>
      </c>
      <c r="M797" s="19">
        <f>Tienda!$K2600-Tienda!$K2600*Tienda!$L2600</f>
        <v>141.38399999999999</v>
      </c>
      <c r="N797" s="3" t="s">
        <v>10040</v>
      </c>
      <c r="O797" s="3" t="s">
        <v>10042</v>
      </c>
      <c r="P797" s="17">
        <v>45640</v>
      </c>
      <c r="Q797" s="4">
        <v>3</v>
      </c>
    </row>
    <row r="798" spans="1:17" x14ac:dyDescent="0.25">
      <c r="A798" s="2" t="s">
        <v>2082</v>
      </c>
      <c r="B798" s="3" t="s">
        <v>5015</v>
      </c>
      <c r="C798" s="3">
        <v>28</v>
      </c>
      <c r="D798" s="46" t="str">
        <f>IF(Tabla1[[#This Row],[EDAD]]&lt;=35,"Adultos jóvenes 18 - 35 años",IF(C798&gt;=36,"Adultos mayores 36 años en adelante"))</f>
        <v>Adultos jóvenes 18 - 35 años</v>
      </c>
      <c r="E798" s="3" t="s">
        <v>5023</v>
      </c>
      <c r="F798" s="3" t="s">
        <v>5028</v>
      </c>
      <c r="G798" s="3" t="s">
        <v>5033</v>
      </c>
      <c r="H798" s="3" t="s">
        <v>7105</v>
      </c>
      <c r="I798" s="17">
        <v>45636</v>
      </c>
      <c r="J798" s="18">
        <f>YEAR(Tabla1[[#This Row],[FECHA DE COMPRA]])</f>
        <v>2024</v>
      </c>
      <c r="K798" s="19">
        <v>117.68</v>
      </c>
      <c r="L798" s="20">
        <v>0.1</v>
      </c>
      <c r="M798" s="19">
        <f>Tienda!$K2607-Tienda!$K2607*Tienda!$L2607</f>
        <v>178.07400000000001</v>
      </c>
      <c r="N798" s="3" t="s">
        <v>10040</v>
      </c>
      <c r="O798" s="3" t="s">
        <v>10042</v>
      </c>
      <c r="P798" s="17">
        <v>45632</v>
      </c>
      <c r="Q798" s="4">
        <v>6</v>
      </c>
    </row>
    <row r="799" spans="1:17" x14ac:dyDescent="0.25">
      <c r="A799" s="2" t="s">
        <v>4721</v>
      </c>
      <c r="B799" s="3" t="s">
        <v>5016</v>
      </c>
      <c r="C799" s="3">
        <v>21</v>
      </c>
      <c r="D799" s="46" t="str">
        <f>IF(Tabla1[[#This Row],[EDAD]]&lt;=35,"Adultos jóvenes 18 - 35 años",IF(C799&gt;=36,"Adultos mayores 36 años en adelante"))</f>
        <v>Adultos jóvenes 18 - 35 años</v>
      </c>
      <c r="E799" s="3" t="s">
        <v>5017</v>
      </c>
      <c r="F799" s="3" t="s">
        <v>5026</v>
      </c>
      <c r="G799" s="3" t="s">
        <v>5036</v>
      </c>
      <c r="H799" s="3" t="s">
        <v>9744</v>
      </c>
      <c r="I799" s="17">
        <v>45354</v>
      </c>
      <c r="J799" s="18">
        <f>YEAR(Tabla1[[#This Row],[FECHA DE COMPRA]])</f>
        <v>2024</v>
      </c>
      <c r="K799" s="19">
        <v>106.52</v>
      </c>
      <c r="L799" s="20">
        <v>0</v>
      </c>
      <c r="M799" s="19">
        <f>Tienda!$K2611-Tienda!$K2611*Tienda!$L2611</f>
        <v>22.338000000000001</v>
      </c>
      <c r="N799" s="3" t="s">
        <v>10040</v>
      </c>
      <c r="O799" s="3" t="s">
        <v>10042</v>
      </c>
      <c r="P799" s="17">
        <v>45444</v>
      </c>
      <c r="Q799" s="4">
        <v>3</v>
      </c>
    </row>
    <row r="800" spans="1:17" x14ac:dyDescent="0.25">
      <c r="A800" s="2" t="s">
        <v>78</v>
      </c>
      <c r="B800" s="3" t="s">
        <v>5015</v>
      </c>
      <c r="C800" s="3">
        <v>34</v>
      </c>
      <c r="D800" s="46" t="str">
        <f>IF(Tabla1[[#This Row],[EDAD]]&lt;=35,"Adultos jóvenes 18 - 35 años",IF(C800&gt;=36,"Adultos mayores 36 años en adelante"))</f>
        <v>Adultos jóvenes 18 - 35 años</v>
      </c>
      <c r="E800" s="3" t="s">
        <v>5021</v>
      </c>
      <c r="F800" s="3" t="s">
        <v>5024</v>
      </c>
      <c r="G800" s="3" t="s">
        <v>5031</v>
      </c>
      <c r="H800" s="3" t="s">
        <v>5101</v>
      </c>
      <c r="I800" s="17">
        <v>45381</v>
      </c>
      <c r="J800" s="18">
        <f>YEAR(Tabla1[[#This Row],[FECHA DE COMPRA]])</f>
        <v>2024</v>
      </c>
      <c r="K800" s="19">
        <v>133.16999999999999</v>
      </c>
      <c r="L800" s="20">
        <v>0.2</v>
      </c>
      <c r="M800" s="19">
        <f>Tienda!$K2613-Tienda!$K2613*Tienda!$L2613</f>
        <v>18.640999999999998</v>
      </c>
      <c r="N800" s="3" t="s">
        <v>10040</v>
      </c>
      <c r="O800" s="3" t="s">
        <v>10042</v>
      </c>
      <c r="P800" s="17">
        <v>45561</v>
      </c>
      <c r="Q800" s="4">
        <v>6</v>
      </c>
    </row>
    <row r="801" spans="1:17" x14ac:dyDescent="0.25">
      <c r="A801" s="2" t="s">
        <v>89</v>
      </c>
      <c r="B801" s="3" t="s">
        <v>5015</v>
      </c>
      <c r="C801" s="3">
        <v>23</v>
      </c>
      <c r="D801" s="46" t="str">
        <f>IF(Tabla1[[#This Row],[EDAD]]&lt;=35,"Adultos jóvenes 18 - 35 años",IF(C801&gt;=36,"Adultos mayores 36 años en adelante"))</f>
        <v>Adultos jóvenes 18 - 35 años</v>
      </c>
      <c r="E801" s="3" t="s">
        <v>5018</v>
      </c>
      <c r="F801" s="3" t="s">
        <v>5028</v>
      </c>
      <c r="G801" s="3" t="s">
        <v>5032</v>
      </c>
      <c r="H801" s="3" t="s">
        <v>5112</v>
      </c>
      <c r="I801" s="17">
        <v>45618</v>
      </c>
      <c r="J801" s="18">
        <f>YEAR(Tabla1[[#This Row],[FECHA DE COMPRA]])</f>
        <v>2024</v>
      </c>
      <c r="K801" s="19">
        <v>106.95</v>
      </c>
      <c r="L801" s="20">
        <v>0</v>
      </c>
      <c r="M801" s="19">
        <f>Tienda!$K2615-Tienda!$K2615*Tienda!$L2615</f>
        <v>25.065000000000001</v>
      </c>
      <c r="N801" s="3" t="s">
        <v>10040</v>
      </c>
      <c r="O801" s="3" t="s">
        <v>10042</v>
      </c>
      <c r="P801" s="17">
        <v>45708</v>
      </c>
      <c r="Q801" s="4">
        <v>3</v>
      </c>
    </row>
    <row r="802" spans="1:17" x14ac:dyDescent="0.25">
      <c r="A802" s="2" t="s">
        <v>80</v>
      </c>
      <c r="B802" s="3" t="s">
        <v>5015</v>
      </c>
      <c r="C802" s="3">
        <v>20</v>
      </c>
      <c r="D802" s="46" t="str">
        <f>IF(Tabla1[[#This Row],[EDAD]]&lt;=35,"Adultos jóvenes 18 - 35 años",IF(C802&gt;=36,"Adultos mayores 36 años en adelante"))</f>
        <v>Adultos jóvenes 18 - 35 años</v>
      </c>
      <c r="E802" s="3" t="s">
        <v>5018</v>
      </c>
      <c r="F802" s="3" t="s">
        <v>5029</v>
      </c>
      <c r="G802" s="3" t="s">
        <v>5035</v>
      </c>
      <c r="H802" s="3" t="s">
        <v>5103</v>
      </c>
      <c r="I802" s="17">
        <v>45390</v>
      </c>
      <c r="J802" s="18">
        <f>YEAR(Tabla1[[#This Row],[FECHA DE COMPRA]])</f>
        <v>2024</v>
      </c>
      <c r="K802" s="19">
        <v>106.99</v>
      </c>
      <c r="L802" s="20">
        <v>0</v>
      </c>
      <c r="M802" s="19">
        <f>Tienda!$K2617-Tienda!$K2617*Tienda!$L2617</f>
        <v>34.56</v>
      </c>
      <c r="N802" s="3" t="s">
        <v>10040</v>
      </c>
      <c r="O802" s="3" t="s">
        <v>10042</v>
      </c>
      <c r="P802" s="17">
        <v>45480</v>
      </c>
      <c r="Q802" s="4">
        <v>3</v>
      </c>
    </row>
    <row r="803" spans="1:17" x14ac:dyDescent="0.25">
      <c r="A803" s="2" t="s">
        <v>419</v>
      </c>
      <c r="B803" s="3" t="s">
        <v>5015</v>
      </c>
      <c r="C803" s="3">
        <v>33</v>
      </c>
      <c r="D803" s="46" t="str">
        <f>IF(Tabla1[[#This Row],[EDAD]]&lt;=35,"Adultos jóvenes 18 - 35 años",IF(C803&gt;=36,"Adultos mayores 36 años en adelante"))</f>
        <v>Adultos jóvenes 18 - 35 años</v>
      </c>
      <c r="E803" s="3" t="s">
        <v>5022</v>
      </c>
      <c r="F803" s="3" t="s">
        <v>5024</v>
      </c>
      <c r="G803" s="3" t="s">
        <v>5032</v>
      </c>
      <c r="H803" s="3" t="s">
        <v>5442</v>
      </c>
      <c r="I803" s="17">
        <v>45626</v>
      </c>
      <c r="J803" s="18">
        <f>YEAR(Tabla1[[#This Row],[FECHA DE COMPRA]])</f>
        <v>2024</v>
      </c>
      <c r="K803" s="19">
        <v>107.53</v>
      </c>
      <c r="L803" s="20">
        <v>0</v>
      </c>
      <c r="M803" s="19">
        <f>Tienda!$K2622-Tienda!$K2622*Tienda!$L2622</f>
        <v>39.774000000000001</v>
      </c>
      <c r="N803" s="3" t="s">
        <v>10040</v>
      </c>
      <c r="O803" s="3" t="s">
        <v>10042</v>
      </c>
      <c r="P803" s="17">
        <v>45806</v>
      </c>
      <c r="Q803" s="4">
        <v>6</v>
      </c>
    </row>
    <row r="804" spans="1:17" x14ac:dyDescent="0.25">
      <c r="A804" s="2" t="s">
        <v>151</v>
      </c>
      <c r="B804" s="3" t="s">
        <v>5015</v>
      </c>
      <c r="C804" s="3">
        <v>19</v>
      </c>
      <c r="D804" s="46" t="str">
        <f>IF(Tabla1[[#This Row],[EDAD]]&lt;=35,"Adultos jóvenes 18 - 35 años",IF(C804&gt;=36,"Adultos mayores 36 años en adelante"))</f>
        <v>Adultos jóvenes 18 - 35 años</v>
      </c>
      <c r="E804" s="3" t="s">
        <v>5020</v>
      </c>
      <c r="F804" s="3" t="s">
        <v>5026</v>
      </c>
      <c r="G804" s="3" t="s">
        <v>5034</v>
      </c>
      <c r="H804" s="3" t="s">
        <v>5174</v>
      </c>
      <c r="I804" s="17">
        <v>45618</v>
      </c>
      <c r="J804" s="18">
        <f>YEAR(Tabla1[[#This Row],[FECHA DE COMPRA]])</f>
        <v>2024</v>
      </c>
      <c r="K804" s="19">
        <v>119.51</v>
      </c>
      <c r="L804" s="20">
        <v>0.1</v>
      </c>
      <c r="M804" s="19">
        <f>Tienda!$K2623-Tienda!$K2623*Tienda!$L2623</f>
        <v>40.158999999999999</v>
      </c>
      <c r="N804" s="3" t="s">
        <v>10040</v>
      </c>
      <c r="O804" s="3" t="s">
        <v>10042</v>
      </c>
      <c r="P804" s="17">
        <v>45733</v>
      </c>
      <c r="Q804" s="4">
        <v>9</v>
      </c>
    </row>
    <row r="805" spans="1:17" x14ac:dyDescent="0.25">
      <c r="A805" s="2" t="s">
        <v>4398</v>
      </c>
      <c r="B805" s="3" t="s">
        <v>5016</v>
      </c>
      <c r="C805" s="3">
        <v>19</v>
      </c>
      <c r="D805" s="46" t="str">
        <f>IF(Tabla1[[#This Row],[EDAD]]&lt;=35,"Adultos jóvenes 18 - 35 años",IF(C805&gt;=36,"Adultos mayores 36 años en adelante"))</f>
        <v>Adultos jóvenes 18 - 35 años</v>
      </c>
      <c r="E805" s="3" t="s">
        <v>5017</v>
      </c>
      <c r="F805" s="3" t="s">
        <v>5028</v>
      </c>
      <c r="G805" s="3" t="s">
        <v>5037</v>
      </c>
      <c r="H805" s="3" t="s">
        <v>9421</v>
      </c>
      <c r="I805" s="17">
        <v>45433</v>
      </c>
      <c r="J805" s="18">
        <f>YEAR(Tabla1[[#This Row],[FECHA DE COMPRA]])</f>
        <v>2024</v>
      </c>
      <c r="K805" s="19">
        <v>158.19</v>
      </c>
      <c r="L805" s="20">
        <v>0.3</v>
      </c>
      <c r="M805" s="19">
        <f>Tienda!$K2645-Tienda!$K2645*Tienda!$L2645</f>
        <v>79.722999999999999</v>
      </c>
      <c r="N805" s="3" t="s">
        <v>10040</v>
      </c>
      <c r="O805" s="3" t="s">
        <v>10042</v>
      </c>
      <c r="P805" s="17">
        <v>45793</v>
      </c>
      <c r="Q805" s="4">
        <v>12</v>
      </c>
    </row>
    <row r="806" spans="1:17" x14ac:dyDescent="0.25">
      <c r="A806" s="2" t="s">
        <v>4038</v>
      </c>
      <c r="B806" s="3" t="s">
        <v>5016</v>
      </c>
      <c r="C806" s="3">
        <v>35</v>
      </c>
      <c r="D806" s="46" t="str">
        <f>IF(Tabla1[[#This Row],[EDAD]]&lt;=35,"Adultos jóvenes 18 - 35 años",IF(C806&gt;=36,"Adultos mayores 36 años en adelante"))</f>
        <v>Adultos jóvenes 18 - 35 años</v>
      </c>
      <c r="E806" s="3" t="s">
        <v>5019</v>
      </c>
      <c r="F806" s="3" t="s">
        <v>5029</v>
      </c>
      <c r="G806" s="3" t="s">
        <v>5032</v>
      </c>
      <c r="H806" s="3" t="s">
        <v>9061</v>
      </c>
      <c r="I806" s="17">
        <v>45579</v>
      </c>
      <c r="J806" s="18">
        <f>YEAR(Tabla1[[#This Row],[FECHA DE COMPRA]])</f>
        <v>2024</v>
      </c>
      <c r="K806" s="19">
        <v>111.01</v>
      </c>
      <c r="L806" s="20">
        <v>0</v>
      </c>
      <c r="M806" s="19">
        <f>Tienda!$K2650-Tienda!$K2650*Tienda!$L2650</f>
        <v>100.872</v>
      </c>
      <c r="N806" s="3" t="s">
        <v>10040</v>
      </c>
      <c r="O806" s="3" t="s">
        <v>10042</v>
      </c>
      <c r="P806" s="17">
        <v>45849</v>
      </c>
      <c r="Q806" s="4">
        <v>9</v>
      </c>
    </row>
    <row r="807" spans="1:17" x14ac:dyDescent="0.25">
      <c r="A807" s="2" t="s">
        <v>2142</v>
      </c>
      <c r="B807" s="3" t="s">
        <v>5016</v>
      </c>
      <c r="C807" s="3">
        <v>24</v>
      </c>
      <c r="D807" s="46" t="str">
        <f>IF(Tabla1[[#This Row],[EDAD]]&lt;=35,"Adultos jóvenes 18 - 35 años",IF(C807&gt;=36,"Adultos mayores 36 años en adelante"))</f>
        <v>Adultos jóvenes 18 - 35 años</v>
      </c>
      <c r="E807" s="3" t="s">
        <v>5019</v>
      </c>
      <c r="F807" s="3" t="s">
        <v>5025</v>
      </c>
      <c r="G807" s="3" t="s">
        <v>5036</v>
      </c>
      <c r="H807" s="3" t="s">
        <v>7165</v>
      </c>
      <c r="I807" s="17">
        <v>45479</v>
      </c>
      <c r="J807" s="18">
        <f>YEAR(Tabla1[[#This Row],[FECHA DE COMPRA]])</f>
        <v>2024</v>
      </c>
      <c r="K807" s="19">
        <v>159.31</v>
      </c>
      <c r="L807" s="20">
        <v>0.3</v>
      </c>
      <c r="M807" s="19">
        <f>Tienda!$K2656-Tienda!$K2656*Tienda!$L2656</f>
        <v>140.01300000000001</v>
      </c>
      <c r="N807" s="3" t="s">
        <v>10040</v>
      </c>
      <c r="O807" s="3" t="s">
        <v>10042</v>
      </c>
      <c r="P807" s="17">
        <v>45659</v>
      </c>
      <c r="Q807" s="4">
        <v>6</v>
      </c>
    </row>
    <row r="808" spans="1:17" x14ac:dyDescent="0.25">
      <c r="A808" s="2" t="s">
        <v>4065</v>
      </c>
      <c r="B808" s="3" t="s">
        <v>5015</v>
      </c>
      <c r="C808" s="3">
        <v>30</v>
      </c>
      <c r="D808" s="46" t="str">
        <f>IF(Tabla1[[#This Row],[EDAD]]&lt;=35,"Adultos jóvenes 18 - 35 años",IF(C808&gt;=36,"Adultos mayores 36 años en adelante"))</f>
        <v>Adultos jóvenes 18 - 35 años</v>
      </c>
      <c r="E808" s="3" t="s">
        <v>5021</v>
      </c>
      <c r="F808" s="3" t="s">
        <v>5027</v>
      </c>
      <c r="G808" s="3" t="s">
        <v>5036</v>
      </c>
      <c r="H808" s="3" t="s">
        <v>9088</v>
      </c>
      <c r="I808" s="17">
        <v>45634</v>
      </c>
      <c r="J808" s="18">
        <f>YEAR(Tabla1[[#This Row],[FECHA DE COMPRA]])</f>
        <v>2024</v>
      </c>
      <c r="K808" s="19">
        <v>160.03</v>
      </c>
      <c r="L808" s="20">
        <v>0.3</v>
      </c>
      <c r="M808" s="19">
        <f>Tienda!$K2661-Tienda!$K2661*Tienda!$L2661</f>
        <v>135.17599999999999</v>
      </c>
      <c r="N808" s="3" t="s">
        <v>10040</v>
      </c>
      <c r="O808" s="3" t="s">
        <v>10042</v>
      </c>
      <c r="P808" s="17">
        <v>45724</v>
      </c>
      <c r="Q808" s="4">
        <v>3</v>
      </c>
    </row>
    <row r="809" spans="1:17" x14ac:dyDescent="0.25">
      <c r="A809" s="2" t="s">
        <v>2320</v>
      </c>
      <c r="B809" s="3" t="s">
        <v>5015</v>
      </c>
      <c r="C809" s="3">
        <v>33</v>
      </c>
      <c r="D809" s="46" t="str">
        <f>IF(Tabla1[[#This Row],[EDAD]]&lt;=35,"Adultos jóvenes 18 - 35 años",IF(C809&gt;=36,"Adultos mayores 36 años en adelante"))</f>
        <v>Adultos jóvenes 18 - 35 años</v>
      </c>
      <c r="E809" s="3" t="s">
        <v>5021</v>
      </c>
      <c r="F809" s="3" t="s">
        <v>5029</v>
      </c>
      <c r="G809" s="3" t="s">
        <v>5032</v>
      </c>
      <c r="H809" s="3" t="s">
        <v>7343</v>
      </c>
      <c r="I809" s="17">
        <v>45351</v>
      </c>
      <c r="J809" s="18">
        <f>YEAR(Tabla1[[#This Row],[FECHA DE COMPRA]])</f>
        <v>2024</v>
      </c>
      <c r="K809" s="19">
        <v>112.03</v>
      </c>
      <c r="L809" s="20">
        <v>0</v>
      </c>
      <c r="M809" s="19">
        <f>Tienda!$K2662-Tienda!$K2662*Tienda!$L2662</f>
        <v>118.43299999999999</v>
      </c>
      <c r="N809" s="3" t="s">
        <v>10040</v>
      </c>
      <c r="O809" s="3" t="s">
        <v>10042</v>
      </c>
      <c r="P809" s="17">
        <v>45441</v>
      </c>
      <c r="Q809" s="4">
        <v>3</v>
      </c>
    </row>
    <row r="810" spans="1:17" x14ac:dyDescent="0.25">
      <c r="A810" s="2" t="s">
        <v>3924</v>
      </c>
      <c r="B810" s="3" t="s">
        <v>5015</v>
      </c>
      <c r="C810" s="3">
        <v>20</v>
      </c>
      <c r="D810" s="46" t="str">
        <f>IF(Tabla1[[#This Row],[EDAD]]&lt;=35,"Adultos jóvenes 18 - 35 años",IF(C810&gt;=36,"Adultos mayores 36 años en adelante"))</f>
        <v>Adultos jóvenes 18 - 35 años</v>
      </c>
      <c r="E810" s="3" t="s">
        <v>5021</v>
      </c>
      <c r="F810" s="3" t="s">
        <v>5030</v>
      </c>
      <c r="G810" s="3" t="s">
        <v>5031</v>
      </c>
      <c r="H810" s="3" t="s">
        <v>8947</v>
      </c>
      <c r="I810" s="17">
        <v>45522</v>
      </c>
      <c r="J810" s="18">
        <f>YEAR(Tabla1[[#This Row],[FECHA DE COMPRA]])</f>
        <v>2024</v>
      </c>
      <c r="K810" s="19">
        <v>112.78</v>
      </c>
      <c r="L810" s="20">
        <v>0</v>
      </c>
      <c r="M810" s="19">
        <f>Tienda!$K2667-Tienda!$K2667*Tienda!$L2667</f>
        <v>151.696</v>
      </c>
      <c r="N810" s="3" t="s">
        <v>10040</v>
      </c>
      <c r="O810" s="3" t="s">
        <v>10042</v>
      </c>
      <c r="P810" s="17">
        <v>45702</v>
      </c>
      <c r="Q810" s="4">
        <v>6</v>
      </c>
    </row>
    <row r="811" spans="1:17" x14ac:dyDescent="0.25">
      <c r="A811" s="2" t="s">
        <v>2113</v>
      </c>
      <c r="B811" s="3" t="s">
        <v>5016</v>
      </c>
      <c r="C811" s="3">
        <v>19</v>
      </c>
      <c r="D811" s="46" t="str">
        <f>IF(Tabla1[[#This Row],[EDAD]]&lt;=35,"Adultos jóvenes 18 - 35 años",IF(C811&gt;=36,"Adultos mayores 36 años en adelante"))</f>
        <v>Adultos jóvenes 18 - 35 años</v>
      </c>
      <c r="E811" s="3" t="s">
        <v>5023</v>
      </c>
      <c r="F811" s="3" t="s">
        <v>5026</v>
      </c>
      <c r="G811" s="3" t="s">
        <v>5037</v>
      </c>
      <c r="H811" s="3" t="s">
        <v>7136</v>
      </c>
      <c r="I811" s="17">
        <v>45547</v>
      </c>
      <c r="J811" s="18">
        <f>YEAR(Tabla1[[#This Row],[FECHA DE COMPRA]])</f>
        <v>2024</v>
      </c>
      <c r="K811" s="19">
        <v>142.49</v>
      </c>
      <c r="L811" s="20">
        <v>0.2</v>
      </c>
      <c r="M811" s="19">
        <f>Tienda!$K2677-Tienda!$K2677*Tienda!$L2677</f>
        <v>34.504000000000005</v>
      </c>
      <c r="N811" s="3" t="s">
        <v>10040</v>
      </c>
      <c r="O811" s="3" t="s">
        <v>10042</v>
      </c>
      <c r="P811" s="17">
        <v>45817</v>
      </c>
      <c r="Q811" s="4">
        <v>9</v>
      </c>
    </row>
    <row r="812" spans="1:17" x14ac:dyDescent="0.25">
      <c r="A812" s="2" t="s">
        <v>3812</v>
      </c>
      <c r="B812" s="3" t="s">
        <v>5015</v>
      </c>
      <c r="C812" s="3">
        <v>18</v>
      </c>
      <c r="D812" s="46" t="str">
        <f>IF(Tabla1[[#This Row],[EDAD]]&lt;=35,"Adultos jóvenes 18 - 35 años",IF(C812&gt;=36,"Adultos mayores 36 años en adelante"))</f>
        <v>Adultos jóvenes 18 - 35 años</v>
      </c>
      <c r="E812" s="3" t="s">
        <v>5017</v>
      </c>
      <c r="F812" s="3" t="s">
        <v>5024</v>
      </c>
      <c r="G812" s="3" t="s">
        <v>5037</v>
      </c>
      <c r="H812" s="3" t="s">
        <v>8835</v>
      </c>
      <c r="I812" s="17">
        <v>45395</v>
      </c>
      <c r="J812" s="18">
        <f>YEAR(Tabla1[[#This Row],[FECHA DE COMPRA]])</f>
        <v>2024</v>
      </c>
      <c r="K812" s="19">
        <v>142.93</v>
      </c>
      <c r="L812" s="20">
        <v>0.2</v>
      </c>
      <c r="M812" s="19">
        <f>Tienda!$K2678-Tienda!$K2678*Tienda!$L2678</f>
        <v>45.86</v>
      </c>
      <c r="N812" s="3" t="s">
        <v>10040</v>
      </c>
      <c r="O812" s="3" t="s">
        <v>10042</v>
      </c>
      <c r="P812" s="17">
        <v>45665</v>
      </c>
      <c r="Q812" s="4">
        <v>9</v>
      </c>
    </row>
    <row r="813" spans="1:17" x14ac:dyDescent="0.25">
      <c r="A813" s="2" t="s">
        <v>3746</v>
      </c>
      <c r="B813" s="3" t="s">
        <v>5015</v>
      </c>
      <c r="C813" s="3">
        <v>22</v>
      </c>
      <c r="D813" s="46" t="str">
        <f>IF(Tabla1[[#This Row],[EDAD]]&lt;=35,"Adultos jóvenes 18 - 35 años",IF(C813&gt;=36,"Adultos mayores 36 años en adelante"))</f>
        <v>Adultos jóvenes 18 - 35 años</v>
      </c>
      <c r="E813" s="3" t="s">
        <v>5018</v>
      </c>
      <c r="F813" s="3" t="s">
        <v>5024</v>
      </c>
      <c r="G813" s="3" t="s">
        <v>5037</v>
      </c>
      <c r="H813" s="3" t="s">
        <v>8769</v>
      </c>
      <c r="I813" s="17">
        <v>45336</v>
      </c>
      <c r="J813" s="18">
        <f>YEAR(Tabla1[[#This Row],[FECHA DE COMPRA]])</f>
        <v>2024</v>
      </c>
      <c r="K813" s="19">
        <v>143.21</v>
      </c>
      <c r="L813" s="20">
        <v>0.2</v>
      </c>
      <c r="M813" s="19">
        <f>Tienda!$K2680-Tienda!$K2680*Tienda!$L2680</f>
        <v>33.572000000000003</v>
      </c>
      <c r="N813" s="3" t="s">
        <v>10040</v>
      </c>
      <c r="O813" s="3" t="s">
        <v>10042</v>
      </c>
      <c r="P813" s="17">
        <v>45606</v>
      </c>
      <c r="Q813" s="4">
        <v>9</v>
      </c>
    </row>
    <row r="814" spans="1:17" x14ac:dyDescent="0.25">
      <c r="A814" s="2" t="s">
        <v>4173</v>
      </c>
      <c r="B814" s="3" t="s">
        <v>5015</v>
      </c>
      <c r="C814" s="3">
        <v>19</v>
      </c>
      <c r="D814" s="46" t="str">
        <f>IF(Tabla1[[#This Row],[EDAD]]&lt;=35,"Adultos jóvenes 18 - 35 años",IF(C814&gt;=36,"Adultos mayores 36 años en adelante"))</f>
        <v>Adultos jóvenes 18 - 35 años</v>
      </c>
      <c r="E814" s="3" t="s">
        <v>5023</v>
      </c>
      <c r="F814" s="3" t="s">
        <v>5026</v>
      </c>
      <c r="G814" s="3" t="s">
        <v>5034</v>
      </c>
      <c r="H814" s="3" t="s">
        <v>9196</v>
      </c>
      <c r="I814" s="17">
        <v>45656</v>
      </c>
      <c r="J814" s="18">
        <f>YEAR(Tabla1[[#This Row],[FECHA DE COMPRA]])</f>
        <v>2024</v>
      </c>
      <c r="K814" s="19">
        <v>167.47</v>
      </c>
      <c r="L814" s="20">
        <v>0.3</v>
      </c>
      <c r="M814" s="19">
        <f>Tienda!$K2694-Tienda!$K2694*Tienda!$L2694</f>
        <v>154.40799999999999</v>
      </c>
      <c r="N814" s="3" t="s">
        <v>10040</v>
      </c>
      <c r="O814" s="3" t="s">
        <v>10042</v>
      </c>
      <c r="P814" s="17">
        <v>45836</v>
      </c>
      <c r="Q814" s="4">
        <v>6</v>
      </c>
    </row>
    <row r="815" spans="1:17" x14ac:dyDescent="0.25">
      <c r="A815" s="2" t="s">
        <v>762</v>
      </c>
      <c r="B815" s="3" t="s">
        <v>5016</v>
      </c>
      <c r="C815" s="3">
        <v>19</v>
      </c>
      <c r="D815" s="46" t="str">
        <f>IF(Tabla1[[#This Row],[EDAD]]&lt;=35,"Adultos jóvenes 18 - 35 años",IF(C815&gt;=36,"Adultos mayores 36 años en adelante"))</f>
        <v>Adultos jóvenes 18 - 35 años</v>
      </c>
      <c r="E815" s="3" t="s">
        <v>5023</v>
      </c>
      <c r="F815" s="3" t="s">
        <v>5028</v>
      </c>
      <c r="G815" s="3" t="s">
        <v>5033</v>
      </c>
      <c r="H815" s="3" t="s">
        <v>5785</v>
      </c>
      <c r="I815" s="17">
        <v>45580</v>
      </c>
      <c r="J815" s="18">
        <f>YEAR(Tabla1[[#This Row],[FECHA DE COMPRA]])</f>
        <v>2024</v>
      </c>
      <c r="K815" s="19">
        <v>171.18</v>
      </c>
      <c r="L815" s="20">
        <v>0.3</v>
      </c>
      <c r="M815" s="19">
        <f>Tienda!$K2713-Tienda!$K2713*Tienda!$L2713</f>
        <v>16.86</v>
      </c>
      <c r="N815" s="3" t="s">
        <v>10040</v>
      </c>
      <c r="O815" s="3" t="s">
        <v>10042</v>
      </c>
      <c r="P815" s="17">
        <v>45940</v>
      </c>
      <c r="Q815" s="4">
        <v>12</v>
      </c>
    </row>
    <row r="816" spans="1:17" x14ac:dyDescent="0.25">
      <c r="A816" s="2" t="s">
        <v>4672</v>
      </c>
      <c r="B816" s="3" t="s">
        <v>5015</v>
      </c>
      <c r="C816" s="3">
        <v>23</v>
      </c>
      <c r="D816" s="46" t="str">
        <f>IF(Tabla1[[#This Row],[EDAD]]&lt;=35,"Adultos jóvenes 18 - 35 años",IF(C816&gt;=36,"Adultos mayores 36 años en adelante"))</f>
        <v>Adultos jóvenes 18 - 35 años</v>
      </c>
      <c r="E816" s="3" t="s">
        <v>5022</v>
      </c>
      <c r="F816" s="3" t="s">
        <v>5025</v>
      </c>
      <c r="G816" s="3" t="s">
        <v>5033</v>
      </c>
      <c r="H816" s="3" t="s">
        <v>9695</v>
      </c>
      <c r="I816" s="17">
        <v>45649</v>
      </c>
      <c r="J816" s="18">
        <f>YEAR(Tabla1[[#This Row],[FECHA DE COMPRA]])</f>
        <v>2024</v>
      </c>
      <c r="K816" s="19">
        <v>119.99</v>
      </c>
      <c r="L816" s="20">
        <v>0</v>
      </c>
      <c r="M816" s="19">
        <f>Tienda!$K2717-Tienda!$K2717*Tienda!$L2717</f>
        <v>19.831</v>
      </c>
      <c r="N816" s="3" t="s">
        <v>10040</v>
      </c>
      <c r="O816" s="3" t="s">
        <v>10042</v>
      </c>
      <c r="P816" s="17">
        <v>45485</v>
      </c>
      <c r="Q816" s="4">
        <v>6</v>
      </c>
    </row>
    <row r="817" spans="1:17" x14ac:dyDescent="0.25">
      <c r="A817" s="2" t="s">
        <v>1554</v>
      </c>
      <c r="B817" s="3" t="s">
        <v>5015</v>
      </c>
      <c r="C817" s="3">
        <v>27</v>
      </c>
      <c r="D817" s="46" t="str">
        <f>IF(Tabla1[[#This Row],[EDAD]]&lt;=35,"Adultos jóvenes 18 - 35 años",IF(C817&gt;=36,"Adultos mayores 36 años en adelante"))</f>
        <v>Adultos jóvenes 18 - 35 años</v>
      </c>
      <c r="E817" s="3" t="s">
        <v>5020</v>
      </c>
      <c r="F817" s="3" t="s">
        <v>5026</v>
      </c>
      <c r="G817" s="3" t="s">
        <v>5035</v>
      </c>
      <c r="H817" s="3" t="s">
        <v>6577</v>
      </c>
      <c r="I817" s="17">
        <v>45595</v>
      </c>
      <c r="J817" s="18">
        <f>YEAR(Tabla1[[#This Row],[FECHA DE COMPRA]])</f>
        <v>2024</v>
      </c>
      <c r="K817" s="19">
        <v>134.44</v>
      </c>
      <c r="L817" s="20">
        <v>0.1</v>
      </c>
      <c r="M817" s="19">
        <f>Tienda!$K2725-Tienda!$K2725*Tienda!$L2725</f>
        <v>22.922999999999998</v>
      </c>
      <c r="N817" s="3" t="s">
        <v>10040</v>
      </c>
      <c r="O817" s="3" t="s">
        <v>10042</v>
      </c>
      <c r="P817" s="17">
        <v>45775</v>
      </c>
      <c r="Q817" s="4">
        <v>6</v>
      </c>
    </row>
    <row r="818" spans="1:17" x14ac:dyDescent="0.25">
      <c r="A818" s="2" t="s">
        <v>1319</v>
      </c>
      <c r="B818" s="3" t="s">
        <v>5016</v>
      </c>
      <c r="C818" s="3">
        <v>34</v>
      </c>
      <c r="D818" s="46" t="str">
        <f>IF(Tabla1[[#This Row],[EDAD]]&lt;=35,"Adultos jóvenes 18 - 35 años",IF(C818&gt;=36,"Adultos mayores 36 años en adelante"))</f>
        <v>Adultos jóvenes 18 - 35 años</v>
      </c>
      <c r="E818" s="3" t="s">
        <v>5017</v>
      </c>
      <c r="F818" s="3" t="s">
        <v>5029</v>
      </c>
      <c r="G818" s="3" t="s">
        <v>5035</v>
      </c>
      <c r="H818" s="3" t="s">
        <v>6342</v>
      </c>
      <c r="I818" s="17">
        <v>45478</v>
      </c>
      <c r="J818" s="18">
        <f>YEAR(Tabla1[[#This Row],[FECHA DE COMPRA]])</f>
        <v>2024</v>
      </c>
      <c r="K818" s="19">
        <v>151.61000000000001</v>
      </c>
      <c r="L818" s="20">
        <v>0.2</v>
      </c>
      <c r="M818" s="19">
        <f>Tienda!$K2728-Tienda!$K2728*Tienda!$L2728</f>
        <v>23.576000000000001</v>
      </c>
      <c r="N818" s="3" t="s">
        <v>10040</v>
      </c>
      <c r="O818" s="3" t="s">
        <v>10042</v>
      </c>
      <c r="P818" s="17">
        <v>45568</v>
      </c>
      <c r="Q818" s="4">
        <v>3</v>
      </c>
    </row>
    <row r="819" spans="1:17" x14ac:dyDescent="0.25">
      <c r="A819" s="2" t="s">
        <v>3805</v>
      </c>
      <c r="B819" s="3" t="s">
        <v>5016</v>
      </c>
      <c r="C819" s="3">
        <v>20</v>
      </c>
      <c r="D819" s="46" t="str">
        <f>IF(Tabla1[[#This Row],[EDAD]]&lt;=35,"Adultos jóvenes 18 - 35 años",IF(C819&gt;=36,"Adultos mayores 36 años en adelante"))</f>
        <v>Adultos jóvenes 18 - 35 años</v>
      </c>
      <c r="E819" s="3" t="s">
        <v>5017</v>
      </c>
      <c r="F819" s="3" t="s">
        <v>5027</v>
      </c>
      <c r="G819" s="3" t="s">
        <v>5036</v>
      </c>
      <c r="H819" s="3" t="s">
        <v>8828</v>
      </c>
      <c r="I819" s="17">
        <v>45460</v>
      </c>
      <c r="J819" s="18">
        <f>YEAR(Tabla1[[#This Row],[FECHA DE COMPRA]])</f>
        <v>2024</v>
      </c>
      <c r="K819" s="19">
        <v>121.45</v>
      </c>
      <c r="L819" s="20">
        <v>0</v>
      </c>
      <c r="M819" s="19">
        <f>Tienda!$K2729-Tienda!$K2729*Tienda!$L2729</f>
        <v>23.591999999999999</v>
      </c>
      <c r="N819" s="3" t="s">
        <v>10040</v>
      </c>
      <c r="O819" s="3" t="s">
        <v>10042</v>
      </c>
      <c r="P819" s="17">
        <v>45820</v>
      </c>
      <c r="Q819" s="4">
        <v>12</v>
      </c>
    </row>
    <row r="820" spans="1:17" x14ac:dyDescent="0.25">
      <c r="A820" s="2" t="s">
        <v>1896</v>
      </c>
      <c r="B820" s="3" t="s">
        <v>5015</v>
      </c>
      <c r="C820" s="3">
        <v>30</v>
      </c>
      <c r="D820" s="46" t="str">
        <f>IF(Tabla1[[#This Row],[EDAD]]&lt;=35,"Adultos jóvenes 18 - 35 años",IF(C820&gt;=36,"Adultos mayores 36 años en adelante"))</f>
        <v>Adultos jóvenes 18 - 35 años</v>
      </c>
      <c r="E820" s="3" t="s">
        <v>5022</v>
      </c>
      <c r="F820" s="3" t="s">
        <v>5025</v>
      </c>
      <c r="G820" s="3" t="s">
        <v>5032</v>
      </c>
      <c r="H820" s="3" t="s">
        <v>6919</v>
      </c>
      <c r="I820" s="17">
        <v>45542</v>
      </c>
      <c r="J820" s="18">
        <f>YEAR(Tabla1[[#This Row],[FECHA DE COMPRA]])</f>
        <v>2024</v>
      </c>
      <c r="K820" s="19">
        <v>174.45</v>
      </c>
      <c r="L820" s="20">
        <v>0.3</v>
      </c>
      <c r="M820" s="19">
        <f>Tienda!$K2731-Tienda!$K2731*Tienda!$L2731</f>
        <v>24.64</v>
      </c>
      <c r="N820" s="3" t="s">
        <v>10040</v>
      </c>
      <c r="O820" s="3" t="s">
        <v>10042</v>
      </c>
      <c r="P820" s="17">
        <v>45632</v>
      </c>
      <c r="Q820" s="4">
        <v>3</v>
      </c>
    </row>
    <row r="821" spans="1:17" x14ac:dyDescent="0.25">
      <c r="A821" s="2" t="s">
        <v>3018</v>
      </c>
      <c r="B821" s="3" t="s">
        <v>5015</v>
      </c>
      <c r="C821" s="3">
        <v>33</v>
      </c>
      <c r="D821" s="46" t="str">
        <f>IF(Tabla1[[#This Row],[EDAD]]&lt;=35,"Adultos jóvenes 18 - 35 años",IF(C821&gt;=36,"Adultos mayores 36 años en adelante"))</f>
        <v>Adultos jóvenes 18 - 35 años</v>
      </c>
      <c r="E821" s="3" t="s">
        <v>5019</v>
      </c>
      <c r="F821" s="3" t="s">
        <v>5027</v>
      </c>
      <c r="G821" s="3" t="s">
        <v>5031</v>
      </c>
      <c r="H821" s="3" t="s">
        <v>8041</v>
      </c>
      <c r="I821" s="17">
        <v>45624</v>
      </c>
      <c r="J821" s="18">
        <f>YEAR(Tabla1[[#This Row],[FECHA DE COMPRA]])</f>
        <v>2024</v>
      </c>
      <c r="K821" s="19">
        <v>175.42</v>
      </c>
      <c r="L821" s="20">
        <v>0.3</v>
      </c>
      <c r="M821" s="19">
        <f>Tienda!$K2733-Tienda!$K2733*Tienda!$L2733</f>
        <v>25.056000000000001</v>
      </c>
      <c r="N821" s="3" t="s">
        <v>10040</v>
      </c>
      <c r="O821" s="3" t="s">
        <v>10042</v>
      </c>
      <c r="P821" s="17">
        <v>45490</v>
      </c>
      <c r="Q821" s="4">
        <v>3</v>
      </c>
    </row>
    <row r="822" spans="1:17" x14ac:dyDescent="0.25">
      <c r="A822" s="2" t="s">
        <v>3558</v>
      </c>
      <c r="B822" s="3" t="s">
        <v>5016</v>
      </c>
      <c r="C822" s="3">
        <v>33</v>
      </c>
      <c r="D822" s="46" t="str">
        <f>IF(Tabla1[[#This Row],[EDAD]]&lt;=35,"Adultos jóvenes 18 - 35 años",IF(C822&gt;=36,"Adultos mayores 36 años en adelante"))</f>
        <v>Adultos jóvenes 18 - 35 años</v>
      </c>
      <c r="E822" s="3" t="s">
        <v>5017</v>
      </c>
      <c r="F822" s="3" t="s">
        <v>5028</v>
      </c>
      <c r="G822" s="3" t="s">
        <v>5034</v>
      </c>
      <c r="H822" s="3" t="s">
        <v>8581</v>
      </c>
      <c r="I822" s="17">
        <v>45327</v>
      </c>
      <c r="J822" s="18">
        <f>YEAR(Tabla1[[#This Row],[FECHA DE COMPRA]])</f>
        <v>2024</v>
      </c>
      <c r="K822" s="19">
        <v>136.62</v>
      </c>
      <c r="L822" s="20">
        <v>0.1</v>
      </c>
      <c r="M822" s="19">
        <f>Tienda!$K2736-Tienda!$K2736*Tienda!$L2736</f>
        <v>27.018000000000001</v>
      </c>
      <c r="N822" s="3" t="s">
        <v>10040</v>
      </c>
      <c r="O822" s="3" t="s">
        <v>10042</v>
      </c>
      <c r="P822" s="17">
        <v>45597</v>
      </c>
      <c r="Q822" s="4">
        <v>9</v>
      </c>
    </row>
    <row r="823" spans="1:17" x14ac:dyDescent="0.25">
      <c r="A823" s="2" t="s">
        <v>4449</v>
      </c>
      <c r="B823" s="3" t="s">
        <v>5015</v>
      </c>
      <c r="C823" s="3">
        <v>28</v>
      </c>
      <c r="D823" s="46" t="str">
        <f>IF(Tabla1[[#This Row],[EDAD]]&lt;=35,"Adultos jóvenes 18 - 35 años",IF(C823&gt;=36,"Adultos mayores 36 años en adelante"))</f>
        <v>Adultos jóvenes 18 - 35 años</v>
      </c>
      <c r="E823" s="3" t="s">
        <v>5017</v>
      </c>
      <c r="F823" s="3" t="s">
        <v>5026</v>
      </c>
      <c r="G823" s="3" t="s">
        <v>5036</v>
      </c>
      <c r="H823" s="3" t="s">
        <v>9472</v>
      </c>
      <c r="I823" s="17">
        <v>45537</v>
      </c>
      <c r="J823" s="18">
        <f>YEAR(Tabla1[[#This Row],[FECHA DE COMPRA]])</f>
        <v>2024</v>
      </c>
      <c r="K823" s="19">
        <v>177.04</v>
      </c>
      <c r="L823" s="20">
        <v>0.3</v>
      </c>
      <c r="M823" s="19">
        <f>Tienda!$K2743-Tienda!$K2743*Tienda!$L2743</f>
        <v>31.625999999999998</v>
      </c>
      <c r="N823" s="3" t="s">
        <v>10040</v>
      </c>
      <c r="O823" s="3" t="s">
        <v>10042</v>
      </c>
      <c r="P823" s="17">
        <v>45897</v>
      </c>
      <c r="Q823" s="4">
        <v>12</v>
      </c>
    </row>
    <row r="824" spans="1:17" x14ac:dyDescent="0.25">
      <c r="A824" s="2" t="s">
        <v>1050</v>
      </c>
      <c r="B824" s="3" t="s">
        <v>5015</v>
      </c>
      <c r="C824" s="3">
        <v>32</v>
      </c>
      <c r="D824" s="46" t="str">
        <f>IF(Tabla1[[#This Row],[EDAD]]&lt;=35,"Adultos jóvenes 18 - 35 años",IF(C824&gt;=36,"Adultos mayores 36 años en adelante"))</f>
        <v>Adultos jóvenes 18 - 35 años</v>
      </c>
      <c r="E824" s="3" t="s">
        <v>5019</v>
      </c>
      <c r="F824" s="3" t="s">
        <v>5027</v>
      </c>
      <c r="G824" s="3" t="s">
        <v>5035</v>
      </c>
      <c r="H824" s="3" t="s">
        <v>6073</v>
      </c>
      <c r="I824" s="17">
        <v>45436</v>
      </c>
      <c r="J824" s="18">
        <f>YEAR(Tabla1[[#This Row],[FECHA DE COMPRA]])</f>
        <v>2024</v>
      </c>
      <c r="K824" s="19">
        <v>155.85</v>
      </c>
      <c r="L824" s="20">
        <v>0.2</v>
      </c>
      <c r="M824" s="19">
        <f>Tienda!$K2747-Tienda!$K2747*Tienda!$L2747</f>
        <v>33.1</v>
      </c>
      <c r="N824" s="3" t="s">
        <v>10040</v>
      </c>
      <c r="O824" s="3" t="s">
        <v>10042</v>
      </c>
      <c r="P824" s="17">
        <v>45526</v>
      </c>
      <c r="Q824" s="4">
        <v>3</v>
      </c>
    </row>
    <row r="825" spans="1:17" x14ac:dyDescent="0.25">
      <c r="A825" s="2" t="s">
        <v>1604</v>
      </c>
      <c r="B825" s="3" t="s">
        <v>5015</v>
      </c>
      <c r="C825" s="3">
        <v>26</v>
      </c>
      <c r="D825" s="46" t="str">
        <f>IF(Tabla1[[#This Row],[EDAD]]&lt;=35,"Adultos jóvenes 18 - 35 años",IF(C825&gt;=36,"Adultos mayores 36 años en adelante"))</f>
        <v>Adultos jóvenes 18 - 35 años</v>
      </c>
      <c r="E825" s="3" t="s">
        <v>5022</v>
      </c>
      <c r="F825" s="3" t="s">
        <v>5029</v>
      </c>
      <c r="G825" s="3" t="s">
        <v>5033</v>
      </c>
      <c r="H825" s="3" t="s">
        <v>6627</v>
      </c>
      <c r="I825" s="17">
        <v>45339</v>
      </c>
      <c r="J825" s="18">
        <f>YEAR(Tabla1[[#This Row],[FECHA DE COMPRA]])</f>
        <v>2024</v>
      </c>
      <c r="K825" s="19">
        <v>156.9</v>
      </c>
      <c r="L825" s="20">
        <v>0.2</v>
      </c>
      <c r="M825" s="19">
        <f>Tienda!$K2753-Tienda!$K2753*Tienda!$L2753</f>
        <v>35.396999999999998</v>
      </c>
      <c r="N825" s="3" t="s">
        <v>10040</v>
      </c>
      <c r="O825" s="3" t="s">
        <v>10042</v>
      </c>
      <c r="P825" s="17">
        <v>45429</v>
      </c>
      <c r="Q825" s="4">
        <v>3</v>
      </c>
    </row>
    <row r="826" spans="1:17" x14ac:dyDescent="0.25">
      <c r="A826" s="2" t="s">
        <v>3711</v>
      </c>
      <c r="B826" s="3" t="s">
        <v>5015</v>
      </c>
      <c r="C826" s="3">
        <v>24</v>
      </c>
      <c r="D826" s="46" t="str">
        <f>IF(Tabla1[[#This Row],[EDAD]]&lt;=35,"Adultos jóvenes 18 - 35 años",IF(C826&gt;=36,"Adultos mayores 36 años en adelante"))</f>
        <v>Adultos jóvenes 18 - 35 años</v>
      </c>
      <c r="E826" s="3" t="s">
        <v>5020</v>
      </c>
      <c r="F826" s="3" t="s">
        <v>5028</v>
      </c>
      <c r="G826" s="3" t="s">
        <v>5032</v>
      </c>
      <c r="H826" s="3" t="s">
        <v>8734</v>
      </c>
      <c r="I826" s="17">
        <v>45653</v>
      </c>
      <c r="J826" s="18">
        <f>YEAR(Tabla1[[#This Row],[FECHA DE COMPRA]])</f>
        <v>2024</v>
      </c>
      <c r="K826" s="19">
        <v>139.53</v>
      </c>
      <c r="L826" s="20">
        <v>0.1</v>
      </c>
      <c r="M826" s="19">
        <f>Tienda!$K2755-Tienda!$K2755*Tienda!$L2755</f>
        <v>37.136000000000003</v>
      </c>
      <c r="N826" s="3" t="s">
        <v>10040</v>
      </c>
      <c r="O826" s="3" t="s">
        <v>10042</v>
      </c>
      <c r="P826" s="17">
        <v>46013</v>
      </c>
      <c r="Q826" s="4">
        <v>12</v>
      </c>
    </row>
    <row r="827" spans="1:17" x14ac:dyDescent="0.25">
      <c r="A827" s="2" t="s">
        <v>4516</v>
      </c>
      <c r="B827" s="3" t="s">
        <v>5016</v>
      </c>
      <c r="C827" s="3">
        <v>23</v>
      </c>
      <c r="D827" s="46" t="str">
        <f>IF(Tabla1[[#This Row],[EDAD]]&lt;=35,"Adultos jóvenes 18 - 35 años",IF(C827&gt;=36,"Adultos mayores 36 años en adelante"))</f>
        <v>Adultos jóvenes 18 - 35 años</v>
      </c>
      <c r="E827" s="3" t="s">
        <v>5019</v>
      </c>
      <c r="F827" s="3" t="s">
        <v>5030</v>
      </c>
      <c r="G827" s="3" t="s">
        <v>5037</v>
      </c>
      <c r="H827" s="3" t="s">
        <v>9539</v>
      </c>
      <c r="I827" s="17">
        <v>45353</v>
      </c>
      <c r="J827" s="18">
        <f>YEAR(Tabla1[[#This Row],[FECHA DE COMPRA]])</f>
        <v>2024</v>
      </c>
      <c r="K827" s="19">
        <v>140.56</v>
      </c>
      <c r="L827" s="20">
        <v>0.1</v>
      </c>
      <c r="M827" s="19">
        <f>Tienda!$K2767-Tienda!$K2767*Tienda!$L2767</f>
        <v>43.392000000000003</v>
      </c>
      <c r="N827" s="3" t="s">
        <v>10040</v>
      </c>
      <c r="O827" s="3" t="s">
        <v>10042</v>
      </c>
      <c r="P827" s="17">
        <v>45443</v>
      </c>
      <c r="Q827" s="4">
        <v>3</v>
      </c>
    </row>
    <row r="828" spans="1:17" x14ac:dyDescent="0.25">
      <c r="A828" s="2" t="s">
        <v>1432</v>
      </c>
      <c r="B828" s="3" t="s">
        <v>5016</v>
      </c>
      <c r="C828" s="3">
        <v>24</v>
      </c>
      <c r="D828" s="46" t="str">
        <f>IF(Tabla1[[#This Row],[EDAD]]&lt;=35,"Adultos jóvenes 18 - 35 años",IF(C828&gt;=36,"Adultos mayores 36 años en adelante"))</f>
        <v>Adultos jóvenes 18 - 35 años</v>
      </c>
      <c r="E828" s="3" t="s">
        <v>5021</v>
      </c>
      <c r="F828" s="3" t="s">
        <v>5025</v>
      </c>
      <c r="G828" s="3" t="s">
        <v>5033</v>
      </c>
      <c r="H828" s="3" t="s">
        <v>6455</v>
      </c>
      <c r="I828" s="17">
        <v>45656</v>
      </c>
      <c r="J828" s="18">
        <f>YEAR(Tabla1[[#This Row],[FECHA DE COMPRA]])</f>
        <v>2024</v>
      </c>
      <c r="K828" s="19">
        <v>180.87</v>
      </c>
      <c r="L828" s="20">
        <v>0.3</v>
      </c>
      <c r="M828" s="19">
        <f>Tienda!$K2769-Tienda!$K2769*Tienda!$L2769</f>
        <v>43.512</v>
      </c>
      <c r="N828" s="3" t="s">
        <v>10040</v>
      </c>
      <c r="O828" s="3" t="s">
        <v>10042</v>
      </c>
      <c r="P828" s="17">
        <v>45926</v>
      </c>
      <c r="Q828" s="4">
        <v>9</v>
      </c>
    </row>
    <row r="829" spans="1:17" x14ac:dyDescent="0.25">
      <c r="A829" s="2" t="s">
        <v>1887</v>
      </c>
      <c r="B829" s="3" t="s">
        <v>5015</v>
      </c>
      <c r="C829" s="3">
        <v>21</v>
      </c>
      <c r="D829" s="46" t="str">
        <f>IF(Tabla1[[#This Row],[EDAD]]&lt;=35,"Adultos jóvenes 18 - 35 años",IF(C829&gt;=36,"Adultos mayores 36 años en adelante"))</f>
        <v>Adultos jóvenes 18 - 35 años</v>
      </c>
      <c r="E829" s="3" t="s">
        <v>5020</v>
      </c>
      <c r="F829" s="3" t="s">
        <v>5025</v>
      </c>
      <c r="G829" s="3" t="s">
        <v>5037</v>
      </c>
      <c r="H829" s="3" t="s">
        <v>6910</v>
      </c>
      <c r="I829" s="17">
        <v>45313</v>
      </c>
      <c r="J829" s="18">
        <f>YEAR(Tabla1[[#This Row],[FECHA DE COMPRA]])</f>
        <v>2024</v>
      </c>
      <c r="K829" s="19">
        <v>181.12</v>
      </c>
      <c r="L829" s="20">
        <v>0.3</v>
      </c>
      <c r="M829" s="19">
        <f>Tienda!$K2770-Tienda!$K2770*Tienda!$L2770</f>
        <v>44.06</v>
      </c>
      <c r="N829" s="3" t="s">
        <v>10040</v>
      </c>
      <c r="O829" s="3" t="s">
        <v>10042</v>
      </c>
      <c r="P829" s="17">
        <v>45493</v>
      </c>
      <c r="Q829" s="4">
        <v>6</v>
      </c>
    </row>
    <row r="830" spans="1:17" x14ac:dyDescent="0.25">
      <c r="A830" s="2" t="s">
        <v>2374</v>
      </c>
      <c r="B830" s="3" t="s">
        <v>5015</v>
      </c>
      <c r="C830" s="3">
        <v>26</v>
      </c>
      <c r="D830" s="46" t="str">
        <f>IF(Tabla1[[#This Row],[EDAD]]&lt;=35,"Adultos jóvenes 18 - 35 años",IF(C830&gt;=36,"Adultos mayores 36 años en adelante"))</f>
        <v>Adultos jóvenes 18 - 35 años</v>
      </c>
      <c r="E830" s="3" t="s">
        <v>5020</v>
      </c>
      <c r="F830" s="3" t="s">
        <v>5027</v>
      </c>
      <c r="G830" s="3" t="s">
        <v>5033</v>
      </c>
      <c r="H830" s="3" t="s">
        <v>7397</v>
      </c>
      <c r="I830" s="17">
        <v>45430</v>
      </c>
      <c r="J830" s="18">
        <f>YEAR(Tabla1[[#This Row],[FECHA DE COMPRA]])</f>
        <v>2024</v>
      </c>
      <c r="K830" s="19">
        <v>160.59</v>
      </c>
      <c r="L830" s="20">
        <v>0.2</v>
      </c>
      <c r="M830" s="19">
        <f>Tienda!$K2782-Tienda!$K2782*Tienda!$L2782</f>
        <v>48.46</v>
      </c>
      <c r="N830" s="3" t="s">
        <v>10040</v>
      </c>
      <c r="O830" s="3" t="s">
        <v>10042</v>
      </c>
      <c r="P830" s="17">
        <v>45790</v>
      </c>
      <c r="Q830" s="4">
        <v>12</v>
      </c>
    </row>
    <row r="831" spans="1:17" x14ac:dyDescent="0.25">
      <c r="A831" s="2" t="s">
        <v>607</v>
      </c>
      <c r="B831" s="3" t="s">
        <v>5015</v>
      </c>
      <c r="C831" s="3">
        <v>27</v>
      </c>
      <c r="D831" s="46" t="str">
        <f>IF(Tabla1[[#This Row],[EDAD]]&lt;=35,"Adultos jóvenes 18 - 35 años",IF(C831&gt;=36,"Adultos mayores 36 años en adelante"))</f>
        <v>Adultos jóvenes 18 - 35 años</v>
      </c>
      <c r="E831" s="3" t="s">
        <v>5020</v>
      </c>
      <c r="F831" s="3" t="s">
        <v>5030</v>
      </c>
      <c r="G831" s="3" t="s">
        <v>5036</v>
      </c>
      <c r="H831" s="3" t="s">
        <v>5630</v>
      </c>
      <c r="I831" s="17">
        <v>45599</v>
      </c>
      <c r="J831" s="18">
        <f>YEAR(Tabla1[[#This Row],[FECHA DE COMPRA]])</f>
        <v>2024</v>
      </c>
      <c r="K831" s="19">
        <v>183.97</v>
      </c>
      <c r="L831" s="20">
        <v>0.3</v>
      </c>
      <c r="M831" s="19">
        <f>Tienda!$K2786-Tienda!$K2786*Tienda!$L2786</f>
        <v>51.308999999999997</v>
      </c>
      <c r="N831" s="3" t="s">
        <v>10040</v>
      </c>
      <c r="O831" s="3" t="s">
        <v>10042</v>
      </c>
      <c r="P831" s="17">
        <v>45869</v>
      </c>
      <c r="Q831" s="4">
        <v>9</v>
      </c>
    </row>
    <row r="832" spans="1:17" x14ac:dyDescent="0.25">
      <c r="A832" s="2" t="s">
        <v>2701</v>
      </c>
      <c r="B832" s="3" t="s">
        <v>5015</v>
      </c>
      <c r="C832" s="3">
        <v>35</v>
      </c>
      <c r="D832" s="46" t="str">
        <f>IF(Tabla1[[#This Row],[EDAD]]&lt;=35,"Adultos jóvenes 18 - 35 años",IF(C832&gt;=36,"Adultos mayores 36 años en adelante"))</f>
        <v>Adultos jóvenes 18 - 35 años</v>
      </c>
      <c r="E832" s="3" t="s">
        <v>5022</v>
      </c>
      <c r="F832" s="3" t="s">
        <v>5030</v>
      </c>
      <c r="G832" s="3" t="s">
        <v>5037</v>
      </c>
      <c r="H832" s="3" t="s">
        <v>7724</v>
      </c>
      <c r="I832" s="17">
        <v>45370</v>
      </c>
      <c r="J832" s="18">
        <f>YEAR(Tabla1[[#This Row],[FECHA DE COMPRA]])</f>
        <v>2024</v>
      </c>
      <c r="K832" s="19">
        <v>185.46</v>
      </c>
      <c r="L832" s="20">
        <v>0.3</v>
      </c>
      <c r="M832" s="19">
        <f>Tienda!$K2790-Tienda!$K2790*Tienda!$L2790</f>
        <v>53.584999999999994</v>
      </c>
      <c r="N832" s="3" t="s">
        <v>10040</v>
      </c>
      <c r="O832" s="3" t="s">
        <v>10042</v>
      </c>
      <c r="P832" s="17">
        <v>45640</v>
      </c>
      <c r="Q832" s="4">
        <v>9</v>
      </c>
    </row>
    <row r="833" spans="1:17" x14ac:dyDescent="0.25">
      <c r="A833" s="2" t="s">
        <v>824</v>
      </c>
      <c r="B833" s="3" t="s">
        <v>5016</v>
      </c>
      <c r="C833" s="3">
        <v>21</v>
      </c>
      <c r="D833" s="46" t="str">
        <f>IF(Tabla1[[#This Row],[EDAD]]&lt;=35,"Adultos jóvenes 18 - 35 años",IF(C833&gt;=36,"Adultos mayores 36 años en adelante"))</f>
        <v>Adultos jóvenes 18 - 35 años</v>
      </c>
      <c r="E833" s="3" t="s">
        <v>5017</v>
      </c>
      <c r="F833" s="3" t="s">
        <v>5030</v>
      </c>
      <c r="G833" s="3" t="s">
        <v>5032</v>
      </c>
      <c r="H833" s="3" t="s">
        <v>5847</v>
      </c>
      <c r="I833" s="17">
        <v>45519</v>
      </c>
      <c r="J833" s="18">
        <f>YEAR(Tabla1[[#This Row],[FECHA DE COMPRA]])</f>
        <v>2024</v>
      </c>
      <c r="K833" s="19">
        <v>186.17</v>
      </c>
      <c r="L833" s="20">
        <v>0.3</v>
      </c>
      <c r="M833" s="19">
        <f>Tienda!$K2795-Tienda!$K2795*Tienda!$L2795</f>
        <v>55.475000000000001</v>
      </c>
      <c r="N833" s="3" t="s">
        <v>10040</v>
      </c>
      <c r="O833" s="3" t="s">
        <v>10042</v>
      </c>
      <c r="P833" s="17">
        <v>45699</v>
      </c>
      <c r="Q833" s="4">
        <v>6</v>
      </c>
    </row>
    <row r="834" spans="1:17" x14ac:dyDescent="0.25">
      <c r="A834" s="2" t="s">
        <v>1692</v>
      </c>
      <c r="B834" s="3" t="s">
        <v>5015</v>
      </c>
      <c r="C834" s="3">
        <v>35</v>
      </c>
      <c r="D834" s="46" t="str">
        <f>IF(Tabla1[[#This Row],[EDAD]]&lt;=35,"Adultos jóvenes 18 - 35 años",IF(C834&gt;=36,"Adultos mayores 36 años en adelante"))</f>
        <v>Adultos jóvenes 18 - 35 años</v>
      </c>
      <c r="E834" s="3" t="s">
        <v>5020</v>
      </c>
      <c r="F834" s="3" t="s">
        <v>5027</v>
      </c>
      <c r="G834" s="3" t="s">
        <v>5032</v>
      </c>
      <c r="H834" s="3" t="s">
        <v>6715</v>
      </c>
      <c r="I834" s="17">
        <v>45509</v>
      </c>
      <c r="J834" s="18">
        <f>YEAR(Tabla1[[#This Row],[FECHA DE COMPRA]])</f>
        <v>2024</v>
      </c>
      <c r="K834" s="19">
        <v>130.88</v>
      </c>
      <c r="L834" s="20">
        <v>0</v>
      </c>
      <c r="M834" s="19">
        <f>Tienda!$K2798-Tienda!$K2798*Tienda!$L2798</f>
        <v>56.331000000000003</v>
      </c>
      <c r="N834" s="3" t="s">
        <v>10040</v>
      </c>
      <c r="O834" s="3" t="s">
        <v>10042</v>
      </c>
      <c r="P834" s="17">
        <v>45869</v>
      </c>
      <c r="Q834" s="4">
        <v>12</v>
      </c>
    </row>
    <row r="835" spans="1:17" x14ac:dyDescent="0.25">
      <c r="A835" s="2" t="s">
        <v>4148</v>
      </c>
      <c r="B835" s="3" t="s">
        <v>5015</v>
      </c>
      <c r="C835" s="3">
        <v>31</v>
      </c>
      <c r="D835" s="46" t="str">
        <f>IF(Tabla1[[#This Row],[EDAD]]&lt;=35,"Adultos jóvenes 18 - 35 años",IF(C835&gt;=36,"Adultos mayores 36 años en adelante"))</f>
        <v>Adultos jóvenes 18 - 35 años</v>
      </c>
      <c r="E835" s="3" t="s">
        <v>5023</v>
      </c>
      <c r="F835" s="3" t="s">
        <v>5029</v>
      </c>
      <c r="G835" s="3" t="s">
        <v>5037</v>
      </c>
      <c r="H835" s="3" t="s">
        <v>9171</v>
      </c>
      <c r="I835" s="17">
        <v>45432</v>
      </c>
      <c r="J835" s="18">
        <f>YEAR(Tabla1[[#This Row],[FECHA DE COMPRA]])</f>
        <v>2024</v>
      </c>
      <c r="K835" s="19">
        <v>147.53</v>
      </c>
      <c r="L835" s="20">
        <v>0.1</v>
      </c>
      <c r="M835" s="19">
        <f>Tienda!$K2816-Tienda!$K2816*Tienda!$L2816</f>
        <v>66.27600000000001</v>
      </c>
      <c r="N835" s="3" t="s">
        <v>10040</v>
      </c>
      <c r="O835" s="3" t="s">
        <v>10042</v>
      </c>
      <c r="P835" s="17">
        <v>45702</v>
      </c>
      <c r="Q835" s="4">
        <v>9</v>
      </c>
    </row>
    <row r="836" spans="1:17" x14ac:dyDescent="0.25">
      <c r="A836" s="2" t="s">
        <v>3873</v>
      </c>
      <c r="B836" s="3" t="s">
        <v>5016</v>
      </c>
      <c r="C836" s="3">
        <v>18</v>
      </c>
      <c r="D836" s="46" t="str">
        <f>IF(Tabla1[[#This Row],[EDAD]]&lt;=35,"Adultos jóvenes 18 - 35 años",IF(C836&gt;=36,"Adultos mayores 36 años en adelante"))</f>
        <v>Adultos jóvenes 18 - 35 años</v>
      </c>
      <c r="E836" s="3" t="s">
        <v>5021</v>
      </c>
      <c r="F836" s="3" t="s">
        <v>5030</v>
      </c>
      <c r="G836" s="3" t="s">
        <v>5035</v>
      </c>
      <c r="H836" s="3" t="s">
        <v>8896</v>
      </c>
      <c r="I836" s="17">
        <v>45405</v>
      </c>
      <c r="J836" s="18">
        <f>YEAR(Tabla1[[#This Row],[FECHA DE COMPRA]])</f>
        <v>2024</v>
      </c>
      <c r="K836" s="19">
        <v>192.17</v>
      </c>
      <c r="L836" s="20">
        <v>0.3</v>
      </c>
      <c r="M836" s="19">
        <f>Tienda!$K2828-Tienda!$K2828*Tienda!$L2828</f>
        <v>73.668000000000006</v>
      </c>
      <c r="N836" s="3" t="s">
        <v>10040</v>
      </c>
      <c r="O836" s="3" t="s">
        <v>10042</v>
      </c>
      <c r="P836" s="17">
        <v>45765</v>
      </c>
      <c r="Q836" s="4">
        <v>12</v>
      </c>
    </row>
    <row r="837" spans="1:17" x14ac:dyDescent="0.25">
      <c r="A837" s="2" t="s">
        <v>2102</v>
      </c>
      <c r="B837" s="3" t="s">
        <v>5015</v>
      </c>
      <c r="C837" s="3">
        <v>21</v>
      </c>
      <c r="D837" s="46" t="str">
        <f>IF(Tabla1[[#This Row],[EDAD]]&lt;=35,"Adultos jóvenes 18 - 35 años",IF(C837&gt;=36,"Adultos mayores 36 años en adelante"))</f>
        <v>Adultos jóvenes 18 - 35 años</v>
      </c>
      <c r="E837" s="3" t="s">
        <v>5020</v>
      </c>
      <c r="F837" s="3" t="s">
        <v>5029</v>
      </c>
      <c r="G837" s="3" t="s">
        <v>5035</v>
      </c>
      <c r="H837" s="3" t="s">
        <v>7125</v>
      </c>
      <c r="I837" s="17">
        <v>45648</v>
      </c>
      <c r="J837" s="18">
        <f>YEAR(Tabla1[[#This Row],[FECHA DE COMPRA]])</f>
        <v>2024</v>
      </c>
      <c r="K837" s="19">
        <v>168.9</v>
      </c>
      <c r="L837" s="20">
        <v>0.2</v>
      </c>
      <c r="M837" s="19">
        <f>Tienda!$K2833-Tienda!$K2833*Tienda!$L2833</f>
        <v>76.397999999999996</v>
      </c>
      <c r="N837" s="3" t="s">
        <v>10040</v>
      </c>
      <c r="O837" s="3" t="s">
        <v>10042</v>
      </c>
      <c r="P837" s="17">
        <v>45828</v>
      </c>
      <c r="Q837" s="4">
        <v>6</v>
      </c>
    </row>
    <row r="838" spans="1:17" x14ac:dyDescent="0.25">
      <c r="A838" s="2" t="s">
        <v>4007</v>
      </c>
      <c r="B838" s="3" t="s">
        <v>5015</v>
      </c>
      <c r="C838" s="3">
        <v>30</v>
      </c>
      <c r="D838" s="46" t="str">
        <f>IF(Tabla1[[#This Row],[EDAD]]&lt;=35,"Adultos jóvenes 18 - 35 años",IF(C838&gt;=36,"Adultos mayores 36 años en adelante"))</f>
        <v>Adultos jóvenes 18 - 35 años</v>
      </c>
      <c r="E838" s="3" t="s">
        <v>5022</v>
      </c>
      <c r="F838" s="3" t="s">
        <v>5027</v>
      </c>
      <c r="G838" s="3" t="s">
        <v>5034</v>
      </c>
      <c r="H838" s="3" t="s">
        <v>9030</v>
      </c>
      <c r="I838" s="17">
        <v>45639</v>
      </c>
      <c r="J838" s="18">
        <f>YEAR(Tabla1[[#This Row],[FECHA DE COMPRA]])</f>
        <v>2024</v>
      </c>
      <c r="K838" s="19">
        <v>169.33</v>
      </c>
      <c r="L838" s="20">
        <v>0.2</v>
      </c>
      <c r="M838" s="19">
        <f>Tienda!$K2838-Tienda!$K2838*Tienda!$L2838</f>
        <v>77.516999999999996</v>
      </c>
      <c r="N838" s="3" t="s">
        <v>10040</v>
      </c>
      <c r="O838" s="3" t="s">
        <v>10042</v>
      </c>
      <c r="P838" s="17">
        <v>45909</v>
      </c>
      <c r="Q838" s="4">
        <v>9</v>
      </c>
    </row>
    <row r="839" spans="1:17" x14ac:dyDescent="0.25">
      <c r="A839" s="2" t="s">
        <v>4993</v>
      </c>
      <c r="B839" s="3" t="s">
        <v>5015</v>
      </c>
      <c r="C839" s="3">
        <v>18</v>
      </c>
      <c r="D839" s="46" t="str">
        <f>IF(Tabla1[[#This Row],[EDAD]]&lt;=35,"Adultos jóvenes 18 - 35 años",IF(C839&gt;=36,"Adultos mayores 36 años en adelante"))</f>
        <v>Adultos jóvenes 18 - 35 años</v>
      </c>
      <c r="E839" s="3" t="s">
        <v>5021</v>
      </c>
      <c r="F839" s="3" t="s">
        <v>5027</v>
      </c>
      <c r="G839" s="3" t="s">
        <v>5031</v>
      </c>
      <c r="H839" s="3" t="s">
        <v>10016</v>
      </c>
      <c r="I839" s="17">
        <v>45599</v>
      </c>
      <c r="J839" s="18">
        <f>YEAR(Tabla1[[#This Row],[FECHA DE COMPRA]])</f>
        <v>2024</v>
      </c>
      <c r="K839" s="19">
        <v>193.9</v>
      </c>
      <c r="L839" s="20">
        <v>0.3</v>
      </c>
      <c r="M839" s="19">
        <f>Tienda!$K2840-Tienda!$K2840*Tienda!$L2840</f>
        <v>78.290000000000006</v>
      </c>
      <c r="N839" s="3" t="s">
        <v>10040</v>
      </c>
      <c r="O839" s="3" t="s">
        <v>10042</v>
      </c>
      <c r="P839" s="17">
        <v>45689</v>
      </c>
      <c r="Q839" s="4">
        <v>3</v>
      </c>
    </row>
    <row r="840" spans="1:17" x14ac:dyDescent="0.25">
      <c r="A840" s="2" t="s">
        <v>4627</v>
      </c>
      <c r="B840" s="3" t="s">
        <v>5015</v>
      </c>
      <c r="C840" s="3">
        <v>26</v>
      </c>
      <c r="D840" s="46" t="str">
        <f>IF(Tabla1[[#This Row],[EDAD]]&lt;=35,"Adultos jóvenes 18 - 35 años",IF(C840&gt;=36,"Adultos mayores 36 años en adelante"))</f>
        <v>Adultos jóvenes 18 - 35 años</v>
      </c>
      <c r="E840" s="3" t="s">
        <v>5020</v>
      </c>
      <c r="F840" s="3" t="s">
        <v>5028</v>
      </c>
      <c r="G840" s="3" t="s">
        <v>5031</v>
      </c>
      <c r="H840" s="3" t="s">
        <v>9650</v>
      </c>
      <c r="I840" s="17">
        <v>45416</v>
      </c>
      <c r="J840" s="18">
        <f>YEAR(Tabla1[[#This Row],[FECHA DE COMPRA]])</f>
        <v>2024</v>
      </c>
      <c r="K840" s="19">
        <v>194.15</v>
      </c>
      <c r="L840" s="20">
        <v>0.3</v>
      </c>
      <c r="M840" s="19">
        <f>Tienda!$K2843-Tienda!$K2843*Tienda!$L2843</f>
        <v>80.032000000000011</v>
      </c>
      <c r="N840" s="3" t="s">
        <v>10040</v>
      </c>
      <c r="O840" s="3" t="s">
        <v>10042</v>
      </c>
      <c r="P840" s="17">
        <v>45506</v>
      </c>
      <c r="Q840" s="4">
        <v>3</v>
      </c>
    </row>
    <row r="841" spans="1:17" x14ac:dyDescent="0.25">
      <c r="A841" s="2" t="s">
        <v>4817</v>
      </c>
      <c r="B841" s="3" t="s">
        <v>5016</v>
      </c>
      <c r="C841" s="3">
        <v>25</v>
      </c>
      <c r="D841" s="46" t="str">
        <f>IF(Tabla1[[#This Row],[EDAD]]&lt;=35,"Adultos jóvenes 18 - 35 años",IF(C841&gt;=36,"Adultos mayores 36 años en adelante"))</f>
        <v>Adultos jóvenes 18 - 35 años</v>
      </c>
      <c r="E841" s="3" t="s">
        <v>5017</v>
      </c>
      <c r="F841" s="3" t="s">
        <v>5030</v>
      </c>
      <c r="G841" s="3" t="s">
        <v>5032</v>
      </c>
      <c r="H841" s="3" t="s">
        <v>9840</v>
      </c>
      <c r="I841" s="17">
        <v>45571</v>
      </c>
      <c r="J841" s="18">
        <f>YEAR(Tabla1[[#This Row],[FECHA DE COMPRA]])</f>
        <v>2024</v>
      </c>
      <c r="K841" s="19">
        <v>171.12</v>
      </c>
      <c r="L841" s="20">
        <v>0.2</v>
      </c>
      <c r="M841" s="19">
        <f>Tienda!$K2849-Tienda!$K2849*Tienda!$L2849</f>
        <v>81.81</v>
      </c>
      <c r="N841" s="3" t="s">
        <v>10040</v>
      </c>
      <c r="O841" s="3" t="s">
        <v>10042</v>
      </c>
      <c r="P841" s="17">
        <v>45841</v>
      </c>
      <c r="Q841" s="4">
        <v>9</v>
      </c>
    </row>
    <row r="842" spans="1:17" x14ac:dyDescent="0.25">
      <c r="A842" s="2" t="s">
        <v>1830</v>
      </c>
      <c r="B842" s="3" t="s">
        <v>5016</v>
      </c>
      <c r="C842" s="3">
        <v>33</v>
      </c>
      <c r="D842" s="46" t="str">
        <f>IF(Tabla1[[#This Row],[EDAD]]&lt;=35,"Adultos jóvenes 18 - 35 años",IF(C842&gt;=36,"Adultos mayores 36 años en adelante"))</f>
        <v>Adultos jóvenes 18 - 35 años</v>
      </c>
      <c r="E842" s="3" t="s">
        <v>5021</v>
      </c>
      <c r="F842" s="3" t="s">
        <v>5025</v>
      </c>
      <c r="G842" s="3" t="s">
        <v>5036</v>
      </c>
      <c r="H842" s="3" t="s">
        <v>6853</v>
      </c>
      <c r="I842" s="17">
        <v>45397</v>
      </c>
      <c r="J842" s="18">
        <f>YEAR(Tabla1[[#This Row],[FECHA DE COMPRA]])</f>
        <v>2024</v>
      </c>
      <c r="K842" s="19">
        <v>195.71</v>
      </c>
      <c r="L842" s="20">
        <v>0.3</v>
      </c>
      <c r="M842" s="19">
        <f>Tienda!$K2850-Tienda!$K2850*Tienda!$L2850</f>
        <v>82.233000000000004</v>
      </c>
      <c r="N842" s="3" t="s">
        <v>10040</v>
      </c>
      <c r="O842" s="3" t="s">
        <v>10042</v>
      </c>
      <c r="P842" s="17">
        <v>45487</v>
      </c>
      <c r="Q842" s="4">
        <v>3</v>
      </c>
    </row>
    <row r="843" spans="1:17" x14ac:dyDescent="0.25">
      <c r="A843" s="2" t="s">
        <v>896</v>
      </c>
      <c r="B843" s="3" t="s">
        <v>5015</v>
      </c>
      <c r="C843" s="3">
        <v>28</v>
      </c>
      <c r="D843" s="46" t="str">
        <f>IF(Tabla1[[#This Row],[EDAD]]&lt;=35,"Adultos jóvenes 18 - 35 años",IF(C843&gt;=36,"Adultos mayores 36 años en adelante"))</f>
        <v>Adultos jóvenes 18 - 35 años</v>
      </c>
      <c r="E843" s="3" t="s">
        <v>5019</v>
      </c>
      <c r="F843" s="3" t="s">
        <v>5027</v>
      </c>
      <c r="G843" s="3" t="s">
        <v>5037</v>
      </c>
      <c r="H843" s="3" t="s">
        <v>5919</v>
      </c>
      <c r="I843" s="17">
        <v>45359</v>
      </c>
      <c r="J843" s="18">
        <f>YEAR(Tabla1[[#This Row],[FECHA DE COMPRA]])</f>
        <v>2024</v>
      </c>
      <c r="K843" s="19">
        <v>195.96</v>
      </c>
      <c r="L843" s="20">
        <v>0.3</v>
      </c>
      <c r="M843" s="19">
        <f>Tienda!$K2851-Tienda!$K2851*Tienda!$L2851</f>
        <v>82.58</v>
      </c>
      <c r="N843" s="3" t="s">
        <v>10040</v>
      </c>
      <c r="O843" s="3" t="s">
        <v>10042</v>
      </c>
      <c r="P843" s="17">
        <v>45629</v>
      </c>
      <c r="Q843" s="4">
        <v>9</v>
      </c>
    </row>
    <row r="844" spans="1:17" x14ac:dyDescent="0.25">
      <c r="A844" s="2" t="s">
        <v>757</v>
      </c>
      <c r="B844" s="3" t="s">
        <v>5015</v>
      </c>
      <c r="C844" s="3">
        <v>25</v>
      </c>
      <c r="D844" s="46" t="str">
        <f>IF(Tabla1[[#This Row],[EDAD]]&lt;=35,"Adultos jóvenes 18 - 35 años",IF(C844&gt;=36,"Adultos mayores 36 años en adelante"))</f>
        <v>Adultos jóvenes 18 - 35 años</v>
      </c>
      <c r="E844" s="3" t="s">
        <v>5019</v>
      </c>
      <c r="F844" s="3" t="s">
        <v>5029</v>
      </c>
      <c r="G844" s="3" t="s">
        <v>5035</v>
      </c>
      <c r="H844" s="3" t="s">
        <v>5780</v>
      </c>
      <c r="I844" s="17">
        <v>45646</v>
      </c>
      <c r="J844" s="18">
        <f>YEAR(Tabla1[[#This Row],[FECHA DE COMPRA]])</f>
        <v>2024</v>
      </c>
      <c r="K844" s="19">
        <v>199</v>
      </c>
      <c r="L844" s="20">
        <v>0.3</v>
      </c>
      <c r="M844" s="19">
        <f>Tienda!$K2867-Tienda!$K2867*Tienda!$L2867</f>
        <v>90.143999999999991</v>
      </c>
      <c r="N844" s="3" t="s">
        <v>10040</v>
      </c>
      <c r="O844" s="3" t="s">
        <v>10042</v>
      </c>
      <c r="P844" s="17">
        <v>45736</v>
      </c>
      <c r="Q844" s="4">
        <v>3</v>
      </c>
    </row>
    <row r="845" spans="1:17" x14ac:dyDescent="0.25">
      <c r="A845" s="2" t="s">
        <v>2136</v>
      </c>
      <c r="B845" s="3" t="s">
        <v>5016</v>
      </c>
      <c r="C845" s="3">
        <v>32</v>
      </c>
      <c r="D845" s="46" t="str">
        <f>IF(Tabla1[[#This Row],[EDAD]]&lt;=35,"Adultos jóvenes 18 - 35 años",IF(C845&gt;=36,"Adultos mayores 36 años en adelante"))</f>
        <v>Adultos jóvenes 18 - 35 años</v>
      </c>
      <c r="E845" s="3" t="s">
        <v>5017</v>
      </c>
      <c r="F845" s="3" t="s">
        <v>5029</v>
      </c>
      <c r="G845" s="3" t="s">
        <v>5035</v>
      </c>
      <c r="H845" s="3" t="s">
        <v>7159</v>
      </c>
      <c r="I845" s="17">
        <v>45610</v>
      </c>
      <c r="J845" s="18">
        <f>YEAR(Tabla1[[#This Row],[FECHA DE COMPRA]])</f>
        <v>2024</v>
      </c>
      <c r="K845" s="19">
        <v>199.72</v>
      </c>
      <c r="L845" s="20">
        <v>0.3</v>
      </c>
      <c r="M845" s="19">
        <f>Tienda!$K2877-Tienda!$K2877*Tienda!$L2877</f>
        <v>94.710000000000008</v>
      </c>
      <c r="N845" s="3" t="s">
        <v>10040</v>
      </c>
      <c r="O845" s="3" t="s">
        <v>10042</v>
      </c>
      <c r="P845" s="17">
        <v>45790</v>
      </c>
      <c r="Q845" s="4">
        <v>6</v>
      </c>
    </row>
    <row r="846" spans="1:17" x14ac:dyDescent="0.25">
      <c r="A846" s="2" t="s">
        <v>258</v>
      </c>
      <c r="B846" s="3" t="s">
        <v>5016</v>
      </c>
      <c r="C846" s="3">
        <v>32</v>
      </c>
      <c r="D846" s="46" t="str">
        <f>IF(Tabla1[[#This Row],[EDAD]]&lt;=35,"Adultos jóvenes 18 - 35 años",IF(C846&gt;=36,"Adultos mayores 36 años en adelante"))</f>
        <v>Adultos jóvenes 18 - 35 años</v>
      </c>
      <c r="E846" s="3" t="s">
        <v>5017</v>
      </c>
      <c r="F846" s="3" t="s">
        <v>5027</v>
      </c>
      <c r="G846" s="3" t="s">
        <v>5032</v>
      </c>
      <c r="H846" s="3" t="s">
        <v>5281</v>
      </c>
      <c r="I846" s="17">
        <v>45344</v>
      </c>
      <c r="J846" s="18">
        <f>YEAR(Tabla1[[#This Row],[FECHA DE COMPRA]])</f>
        <v>2024</v>
      </c>
      <c r="K846" s="19">
        <v>175.85</v>
      </c>
      <c r="L846" s="20">
        <v>0.2</v>
      </c>
      <c r="M846" s="19">
        <f>Tienda!$K2885-Tienda!$K2885*Tienda!$L2885</f>
        <v>99.336999999999989</v>
      </c>
      <c r="N846" s="3" t="s">
        <v>10040</v>
      </c>
      <c r="O846" s="3" t="s">
        <v>10042</v>
      </c>
      <c r="P846" s="17">
        <v>45704</v>
      </c>
      <c r="Q846" s="4">
        <v>12</v>
      </c>
    </row>
    <row r="847" spans="1:17" x14ac:dyDescent="0.25">
      <c r="A847" s="2" t="s">
        <v>2019</v>
      </c>
      <c r="B847" s="3" t="s">
        <v>5015</v>
      </c>
      <c r="C847" s="3">
        <v>29</v>
      </c>
      <c r="D847" s="46" t="str">
        <f>IF(Tabla1[[#This Row],[EDAD]]&lt;=35,"Adultos jóvenes 18 - 35 años",IF(C847&gt;=36,"Adultos mayores 36 años en adelante"))</f>
        <v>Adultos jóvenes 18 - 35 años</v>
      </c>
      <c r="E847" s="3" t="s">
        <v>5022</v>
      </c>
      <c r="F847" s="3" t="s">
        <v>5028</v>
      </c>
      <c r="G847" s="3" t="s">
        <v>5036</v>
      </c>
      <c r="H847" s="3" t="s">
        <v>7042</v>
      </c>
      <c r="I847" s="17">
        <v>45534</v>
      </c>
      <c r="J847" s="18">
        <f>YEAR(Tabla1[[#This Row],[FECHA DE COMPRA]])</f>
        <v>2024</v>
      </c>
      <c r="K847" s="19">
        <v>143.19</v>
      </c>
      <c r="L847" s="20">
        <v>0</v>
      </c>
      <c r="M847" s="19">
        <f>Tienda!$K2891-Tienda!$K2891*Tienda!$L2891</f>
        <v>102.65599999999999</v>
      </c>
      <c r="N847" s="3" t="s">
        <v>10040</v>
      </c>
      <c r="O847" s="3" t="s">
        <v>10042</v>
      </c>
      <c r="P847" s="17">
        <v>45714</v>
      </c>
      <c r="Q847" s="4">
        <v>6</v>
      </c>
    </row>
    <row r="848" spans="1:17" x14ac:dyDescent="0.25">
      <c r="A848" s="2" t="s">
        <v>3133</v>
      </c>
      <c r="B848" s="3" t="s">
        <v>5015</v>
      </c>
      <c r="C848" s="3">
        <v>35</v>
      </c>
      <c r="D848" s="46" t="str">
        <f>IF(Tabla1[[#This Row],[EDAD]]&lt;=35,"Adultos jóvenes 18 - 35 años",IF(C848&gt;=36,"Adultos mayores 36 años en adelante"))</f>
        <v>Adultos jóvenes 18 - 35 años</v>
      </c>
      <c r="E848" s="3" t="s">
        <v>5023</v>
      </c>
      <c r="F848" s="3" t="s">
        <v>5027</v>
      </c>
      <c r="G848" s="3" t="s">
        <v>5031</v>
      </c>
      <c r="H848" s="3" t="s">
        <v>8156</v>
      </c>
      <c r="I848" s="17">
        <v>45410</v>
      </c>
      <c r="J848" s="18">
        <f>YEAR(Tabla1[[#This Row],[FECHA DE COMPRA]])</f>
        <v>2024</v>
      </c>
      <c r="K848" s="19">
        <v>159.30000000000001</v>
      </c>
      <c r="L848" s="20">
        <v>0.1</v>
      </c>
      <c r="M848" s="19">
        <f>Tienda!$K2893-Tienda!$K2893*Tienda!$L2893</f>
        <v>102.935</v>
      </c>
      <c r="N848" s="3" t="s">
        <v>10040</v>
      </c>
      <c r="O848" s="3" t="s">
        <v>10042</v>
      </c>
      <c r="P848" s="17">
        <v>45590</v>
      </c>
      <c r="Q848" s="4">
        <v>6</v>
      </c>
    </row>
    <row r="849" spans="1:17" x14ac:dyDescent="0.25">
      <c r="A849" s="2" t="s">
        <v>3173</v>
      </c>
      <c r="B849" s="3" t="s">
        <v>5016</v>
      </c>
      <c r="C849" s="3">
        <v>20</v>
      </c>
      <c r="D849" s="46" t="str">
        <f>IF(Tabla1[[#This Row],[EDAD]]&lt;=35,"Adultos jóvenes 18 - 35 años",IF(C849&gt;=36,"Adultos mayores 36 años en adelante"))</f>
        <v>Adultos jóvenes 18 - 35 años</v>
      </c>
      <c r="E849" s="3" t="s">
        <v>5021</v>
      </c>
      <c r="F849" s="3" t="s">
        <v>5025</v>
      </c>
      <c r="G849" s="3" t="s">
        <v>5034</v>
      </c>
      <c r="H849" s="3" t="s">
        <v>8196</v>
      </c>
      <c r="I849" s="17">
        <v>45578</v>
      </c>
      <c r="J849" s="18">
        <f>YEAR(Tabla1[[#This Row],[FECHA DE COMPRA]])</f>
        <v>2024</v>
      </c>
      <c r="K849" s="19">
        <v>143.37</v>
      </c>
      <c r="L849" s="20">
        <v>0</v>
      </c>
      <c r="M849" s="19">
        <f>Tienda!$K2894-Tienda!$K2894*Tienda!$L2894</f>
        <v>103.08</v>
      </c>
      <c r="N849" s="3" t="s">
        <v>10040</v>
      </c>
      <c r="O849" s="3" t="s">
        <v>10042</v>
      </c>
      <c r="P849" s="17">
        <v>45848</v>
      </c>
      <c r="Q849" s="4">
        <v>9</v>
      </c>
    </row>
    <row r="850" spans="1:17" x14ac:dyDescent="0.25">
      <c r="A850" s="2" t="s">
        <v>1530</v>
      </c>
      <c r="B850" s="3" t="s">
        <v>5015</v>
      </c>
      <c r="C850" s="3">
        <v>33</v>
      </c>
      <c r="D850" s="46" t="str">
        <f>IF(Tabla1[[#This Row],[EDAD]]&lt;=35,"Adultos jóvenes 18 - 35 años",IF(C850&gt;=36,"Adultos mayores 36 años en adelante"))</f>
        <v>Adultos jóvenes 18 - 35 años</v>
      </c>
      <c r="E850" s="3" t="s">
        <v>5019</v>
      </c>
      <c r="F850" s="3" t="s">
        <v>5028</v>
      </c>
      <c r="G850" s="3" t="s">
        <v>5034</v>
      </c>
      <c r="H850" s="3" t="s">
        <v>6553</v>
      </c>
      <c r="I850" s="17">
        <v>45624</v>
      </c>
      <c r="J850" s="18">
        <f>YEAR(Tabla1[[#This Row],[FECHA DE COMPRA]])</f>
        <v>2024</v>
      </c>
      <c r="K850" s="19">
        <v>163.72999999999999</v>
      </c>
      <c r="L850" s="20">
        <v>0.1</v>
      </c>
      <c r="M850" s="19">
        <f>Tienda!$K2917-Tienda!$K2917*Tienda!$L2917</f>
        <v>117.05</v>
      </c>
      <c r="N850" s="3" t="s">
        <v>10040</v>
      </c>
      <c r="O850" s="3" t="s">
        <v>10042</v>
      </c>
      <c r="P850" s="17">
        <v>45564</v>
      </c>
      <c r="Q850" s="4">
        <v>3</v>
      </c>
    </row>
    <row r="851" spans="1:17" x14ac:dyDescent="0.25">
      <c r="A851" s="2" t="s">
        <v>3919</v>
      </c>
      <c r="B851" s="3" t="s">
        <v>5016</v>
      </c>
      <c r="C851" s="3">
        <v>20</v>
      </c>
      <c r="D851" s="46" t="str">
        <f>IF(Tabla1[[#This Row],[EDAD]]&lt;=35,"Adultos jóvenes 18 - 35 años",IF(C851&gt;=36,"Adultos mayores 36 años en adelante"))</f>
        <v>Adultos jóvenes 18 - 35 años</v>
      </c>
      <c r="E851" s="3" t="s">
        <v>5023</v>
      </c>
      <c r="F851" s="3" t="s">
        <v>5030</v>
      </c>
      <c r="G851" s="3" t="s">
        <v>5033</v>
      </c>
      <c r="H851" s="3" t="s">
        <v>8942</v>
      </c>
      <c r="I851" s="17">
        <v>45657</v>
      </c>
      <c r="J851" s="18">
        <f>YEAR(Tabla1[[#This Row],[FECHA DE COMPRA]])</f>
        <v>2024</v>
      </c>
      <c r="K851" s="19">
        <v>184.35</v>
      </c>
      <c r="L851" s="20">
        <v>0.2</v>
      </c>
      <c r="M851" s="19">
        <f>Tienda!$K2918-Tienda!$K2918*Tienda!$L2918</f>
        <v>117.12599999999999</v>
      </c>
      <c r="N851" s="3" t="s">
        <v>10040</v>
      </c>
      <c r="O851" s="3" t="s">
        <v>10042</v>
      </c>
      <c r="P851" s="17">
        <v>46017</v>
      </c>
      <c r="Q851" s="4">
        <v>12</v>
      </c>
    </row>
    <row r="852" spans="1:17" x14ac:dyDescent="0.25">
      <c r="A852" s="2" t="s">
        <v>3490</v>
      </c>
      <c r="B852" s="3" t="s">
        <v>5015</v>
      </c>
      <c r="C852" s="3">
        <v>27</v>
      </c>
      <c r="D852" s="46" t="str">
        <f>IF(Tabla1[[#This Row],[EDAD]]&lt;=35,"Adultos jóvenes 18 - 35 años",IF(C852&gt;=36,"Adultos mayores 36 años en adelante"))</f>
        <v>Adultos jóvenes 18 - 35 años</v>
      </c>
      <c r="E852" s="3" t="s">
        <v>5023</v>
      </c>
      <c r="F852" s="3" t="s">
        <v>5027</v>
      </c>
      <c r="G852" s="3" t="s">
        <v>5032</v>
      </c>
      <c r="H852" s="3" t="s">
        <v>8513</v>
      </c>
      <c r="I852" s="17">
        <v>45543</v>
      </c>
      <c r="J852" s="18">
        <f>YEAR(Tabla1[[#This Row],[FECHA DE COMPRA]])</f>
        <v>2024</v>
      </c>
      <c r="K852" s="19">
        <v>164.36</v>
      </c>
      <c r="L852" s="20">
        <v>0.1</v>
      </c>
      <c r="M852" s="19">
        <f>Tienda!$K2923-Tienda!$K2923*Tienda!$L2923</f>
        <v>119.11199999999999</v>
      </c>
      <c r="N852" s="3" t="s">
        <v>10040</v>
      </c>
      <c r="O852" s="3" t="s">
        <v>10042</v>
      </c>
      <c r="P852" s="17">
        <v>45813</v>
      </c>
      <c r="Q852" s="4">
        <v>9</v>
      </c>
    </row>
    <row r="853" spans="1:17" x14ac:dyDescent="0.25">
      <c r="A853" s="2" t="s">
        <v>1640</v>
      </c>
      <c r="B853" s="3" t="s">
        <v>5015</v>
      </c>
      <c r="C853" s="3">
        <v>22</v>
      </c>
      <c r="D853" s="46" t="str">
        <f>IF(Tabla1[[#This Row],[EDAD]]&lt;=35,"Adultos jóvenes 18 - 35 años",IF(C853&gt;=36,"Adultos mayores 36 años en adelante"))</f>
        <v>Adultos jóvenes 18 - 35 años</v>
      </c>
      <c r="E853" s="3" t="s">
        <v>5018</v>
      </c>
      <c r="F853" s="3" t="s">
        <v>5025</v>
      </c>
      <c r="G853" s="3" t="s">
        <v>5031</v>
      </c>
      <c r="H853" s="3" t="s">
        <v>6663</v>
      </c>
      <c r="I853" s="17">
        <v>45492</v>
      </c>
      <c r="J853" s="18">
        <f>YEAR(Tabla1[[#This Row],[FECHA DE COMPRA]])</f>
        <v>2024</v>
      </c>
      <c r="K853" s="19">
        <v>164.71</v>
      </c>
      <c r="L853" s="20">
        <v>0.1</v>
      </c>
      <c r="M853" s="19">
        <f>Tienda!$K2924-Tienda!$K2924*Tienda!$L2924</f>
        <v>119.602</v>
      </c>
      <c r="N853" s="3" t="s">
        <v>10040</v>
      </c>
      <c r="O853" s="3" t="s">
        <v>10042</v>
      </c>
      <c r="P853" s="17">
        <v>45852</v>
      </c>
      <c r="Q853" s="4">
        <v>12</v>
      </c>
    </row>
    <row r="854" spans="1:17" x14ac:dyDescent="0.25">
      <c r="A854" s="2" t="s">
        <v>4213</v>
      </c>
      <c r="B854" s="3" t="s">
        <v>5016</v>
      </c>
      <c r="C854" s="3">
        <v>18</v>
      </c>
      <c r="D854" s="46" t="str">
        <f>IF(Tabla1[[#This Row],[EDAD]]&lt;=35,"Adultos jóvenes 18 - 35 años",IF(C854&gt;=36,"Adultos mayores 36 años en adelante"))</f>
        <v>Adultos jóvenes 18 - 35 años</v>
      </c>
      <c r="E854" s="3" t="s">
        <v>5021</v>
      </c>
      <c r="F854" s="3" t="s">
        <v>5028</v>
      </c>
      <c r="G854" s="3" t="s">
        <v>5031</v>
      </c>
      <c r="H854" s="3" t="s">
        <v>9236</v>
      </c>
      <c r="I854" s="17">
        <v>45576</v>
      </c>
      <c r="J854" s="18">
        <f>YEAR(Tabla1[[#This Row],[FECHA DE COMPRA]])</f>
        <v>2024</v>
      </c>
      <c r="K854" s="19">
        <v>166.34</v>
      </c>
      <c r="L854" s="20">
        <v>0.1</v>
      </c>
      <c r="M854" s="19">
        <f>Tienda!$K2932-Tienda!$K2932*Tienda!$L2932</f>
        <v>121.85600000000001</v>
      </c>
      <c r="N854" s="3" t="s">
        <v>10040</v>
      </c>
      <c r="O854" s="3" t="s">
        <v>10042</v>
      </c>
      <c r="P854" s="17">
        <v>45936</v>
      </c>
      <c r="Q854" s="4">
        <v>12</v>
      </c>
    </row>
    <row r="855" spans="1:17" x14ac:dyDescent="0.25">
      <c r="A855" s="2" t="s">
        <v>2575</v>
      </c>
      <c r="B855" s="3" t="s">
        <v>5015</v>
      </c>
      <c r="C855" s="3">
        <v>32</v>
      </c>
      <c r="D855" s="46" t="str">
        <f>IF(Tabla1[[#This Row],[EDAD]]&lt;=35,"Adultos jóvenes 18 - 35 años",IF(C855&gt;=36,"Adultos mayores 36 años en adelante"))</f>
        <v>Adultos jóvenes 18 - 35 años</v>
      </c>
      <c r="E855" s="3" t="s">
        <v>5023</v>
      </c>
      <c r="F855" s="3" t="s">
        <v>5028</v>
      </c>
      <c r="G855" s="3" t="s">
        <v>5037</v>
      </c>
      <c r="H855" s="3" t="s">
        <v>7598</v>
      </c>
      <c r="I855" s="17">
        <v>45461</v>
      </c>
      <c r="J855" s="18">
        <f>YEAR(Tabla1[[#This Row],[FECHA DE COMPRA]])</f>
        <v>2024</v>
      </c>
      <c r="K855" s="19">
        <v>188.2</v>
      </c>
      <c r="L855" s="20">
        <v>0.2</v>
      </c>
      <c r="M855" s="19">
        <f>Tienda!$K2934-Tienda!$K2934*Tienda!$L2934</f>
        <v>122.08500000000001</v>
      </c>
      <c r="N855" s="3" t="s">
        <v>10040</v>
      </c>
      <c r="O855" s="3" t="s">
        <v>10042</v>
      </c>
      <c r="P855" s="17">
        <v>45551</v>
      </c>
      <c r="Q855" s="4">
        <v>3</v>
      </c>
    </row>
    <row r="856" spans="1:17" x14ac:dyDescent="0.25">
      <c r="A856" s="2" t="s">
        <v>1553</v>
      </c>
      <c r="B856" s="3" t="s">
        <v>5015</v>
      </c>
      <c r="C856" s="3">
        <v>28</v>
      </c>
      <c r="D856" s="46" t="str">
        <f>IF(Tabla1[[#This Row],[EDAD]]&lt;=35,"Adultos jóvenes 18 - 35 años",IF(C856&gt;=36,"Adultos mayores 36 años en adelante"))</f>
        <v>Adultos jóvenes 18 - 35 años</v>
      </c>
      <c r="E856" s="3" t="s">
        <v>5020</v>
      </c>
      <c r="F856" s="3" t="s">
        <v>5027</v>
      </c>
      <c r="G856" s="3" t="s">
        <v>5032</v>
      </c>
      <c r="H856" s="3" t="s">
        <v>6576</v>
      </c>
      <c r="I856" s="17">
        <v>45573</v>
      </c>
      <c r="J856" s="18">
        <f>YEAR(Tabla1[[#This Row],[FECHA DE COMPRA]])</f>
        <v>2024</v>
      </c>
      <c r="K856" s="19">
        <v>191.07</v>
      </c>
      <c r="L856" s="20">
        <v>0.2</v>
      </c>
      <c r="M856" s="19">
        <f>Tienda!$K2944-Tienda!$K2944*Tienda!$L2944</f>
        <v>128.637</v>
      </c>
      <c r="N856" s="3" t="s">
        <v>10040</v>
      </c>
      <c r="O856" s="3" t="s">
        <v>10042</v>
      </c>
      <c r="P856" s="17">
        <v>45843</v>
      </c>
      <c r="Q856" s="4">
        <v>9</v>
      </c>
    </row>
    <row r="857" spans="1:17" x14ac:dyDescent="0.25">
      <c r="A857" s="2" t="s">
        <v>2947</v>
      </c>
      <c r="B857" s="3" t="s">
        <v>5016</v>
      </c>
      <c r="C857" s="3">
        <v>22</v>
      </c>
      <c r="D857" s="46" t="str">
        <f>IF(Tabla1[[#This Row],[EDAD]]&lt;=35,"Adultos jóvenes 18 - 35 años",IF(C857&gt;=36,"Adultos mayores 36 años en adelante"))</f>
        <v>Adultos jóvenes 18 - 35 años</v>
      </c>
      <c r="E857" s="3" t="s">
        <v>5021</v>
      </c>
      <c r="F857" s="3" t="s">
        <v>5027</v>
      </c>
      <c r="G857" s="3" t="s">
        <v>5036</v>
      </c>
      <c r="H857" s="3" t="s">
        <v>7970</v>
      </c>
      <c r="I857" s="17">
        <v>45598</v>
      </c>
      <c r="J857" s="18">
        <f>YEAR(Tabla1[[#This Row],[FECHA DE COMPRA]])</f>
        <v>2024</v>
      </c>
      <c r="K857" s="19">
        <v>191.45</v>
      </c>
      <c r="L857" s="20">
        <v>0.2</v>
      </c>
      <c r="M857" s="19">
        <f>Tienda!$K2947-Tienda!$K2947*Tienda!$L2947</f>
        <v>130.93199999999999</v>
      </c>
      <c r="N857" s="3" t="s">
        <v>10040</v>
      </c>
      <c r="O857" s="3" t="s">
        <v>10042</v>
      </c>
      <c r="P857" s="17">
        <v>45868</v>
      </c>
      <c r="Q857" s="4">
        <v>9</v>
      </c>
    </row>
    <row r="858" spans="1:17" x14ac:dyDescent="0.25">
      <c r="A858" s="2" t="s">
        <v>3361</v>
      </c>
      <c r="B858" s="3" t="s">
        <v>5016</v>
      </c>
      <c r="C858" s="3">
        <v>28</v>
      </c>
      <c r="D858" s="46" t="str">
        <f>IF(Tabla1[[#This Row],[EDAD]]&lt;=35,"Adultos jóvenes 18 - 35 años",IF(C858&gt;=36,"Adultos mayores 36 años en adelante"))</f>
        <v>Adultos jóvenes 18 - 35 años</v>
      </c>
      <c r="E858" s="3" t="s">
        <v>5019</v>
      </c>
      <c r="F858" s="3" t="s">
        <v>5029</v>
      </c>
      <c r="G858" s="3" t="s">
        <v>5031</v>
      </c>
      <c r="H858" s="3" t="s">
        <v>8384</v>
      </c>
      <c r="I858" s="17">
        <v>45425</v>
      </c>
      <c r="J858" s="18">
        <f>YEAR(Tabla1[[#This Row],[FECHA DE COMPRA]])</f>
        <v>2024</v>
      </c>
      <c r="K858" s="19">
        <v>171.07</v>
      </c>
      <c r="L858" s="20">
        <v>0.1</v>
      </c>
      <c r="M858" s="19">
        <f>Tienda!$K2953-Tienda!$K2953*Tienda!$L2953</f>
        <v>135.74700000000001</v>
      </c>
      <c r="N858" s="3" t="s">
        <v>10040</v>
      </c>
      <c r="O858" s="3" t="s">
        <v>10042</v>
      </c>
      <c r="P858" s="17">
        <v>45515</v>
      </c>
      <c r="Q858" s="4">
        <v>3</v>
      </c>
    </row>
    <row r="859" spans="1:17" x14ac:dyDescent="0.25">
      <c r="A859" s="2" t="s">
        <v>3013</v>
      </c>
      <c r="B859" s="3" t="s">
        <v>5015</v>
      </c>
      <c r="C859" s="3">
        <v>21</v>
      </c>
      <c r="D859" s="46" t="str">
        <f>IF(Tabla1[[#This Row],[EDAD]]&lt;=35,"Adultos jóvenes 18 - 35 años",IF(C859&gt;=36,"Adultos mayores 36 años en adelante"))</f>
        <v>Adultos jóvenes 18 - 35 años</v>
      </c>
      <c r="E859" s="3" t="s">
        <v>5018</v>
      </c>
      <c r="F859" s="3" t="s">
        <v>5026</v>
      </c>
      <c r="G859" s="3" t="s">
        <v>5031</v>
      </c>
      <c r="H859" s="3" t="s">
        <v>8036</v>
      </c>
      <c r="I859" s="17">
        <v>45350</v>
      </c>
      <c r="J859" s="18">
        <f>YEAR(Tabla1[[#This Row],[FECHA DE COMPRA]])</f>
        <v>2024</v>
      </c>
      <c r="K859" s="19">
        <v>196.72</v>
      </c>
      <c r="L859" s="20">
        <v>0.2</v>
      </c>
      <c r="M859" s="19">
        <f>Tienda!$K2973-Tienda!$K2973*Tienda!$L2973</f>
        <v>145.37700000000001</v>
      </c>
      <c r="N859" s="3" t="s">
        <v>10040</v>
      </c>
      <c r="O859" s="3" t="s">
        <v>10042</v>
      </c>
      <c r="P859" s="17">
        <v>45440</v>
      </c>
      <c r="Q859" s="4">
        <v>3</v>
      </c>
    </row>
    <row r="860" spans="1:17" x14ac:dyDescent="0.25">
      <c r="A860" s="2" t="s">
        <v>3987</v>
      </c>
      <c r="B860" s="3" t="s">
        <v>5016</v>
      </c>
      <c r="C860" s="3">
        <v>22</v>
      </c>
      <c r="D860" s="46" t="str">
        <f>IF(Tabla1[[#This Row],[EDAD]]&lt;=35,"Adultos jóvenes 18 - 35 años",IF(C860&gt;=36,"Adultos mayores 36 años en adelante"))</f>
        <v>Adultos jóvenes 18 - 35 años</v>
      </c>
      <c r="E860" s="3" t="s">
        <v>5023</v>
      </c>
      <c r="F860" s="3" t="s">
        <v>5026</v>
      </c>
      <c r="G860" s="3" t="s">
        <v>5035</v>
      </c>
      <c r="H860" s="3" t="s">
        <v>9010</v>
      </c>
      <c r="I860" s="17">
        <v>45650</v>
      </c>
      <c r="J860" s="18">
        <f>YEAR(Tabla1[[#This Row],[FECHA DE COMPRA]])</f>
        <v>2024</v>
      </c>
      <c r="K860" s="19">
        <v>175.13</v>
      </c>
      <c r="L860" s="20">
        <v>0.1</v>
      </c>
      <c r="M860" s="19">
        <f>Tienda!$K2975-Tienda!$K2975*Tienda!$L2975</f>
        <v>147.83000000000001</v>
      </c>
      <c r="N860" s="3" t="s">
        <v>10040</v>
      </c>
      <c r="O860" s="3" t="s">
        <v>10042</v>
      </c>
      <c r="P860" s="17">
        <v>45740</v>
      </c>
      <c r="Q860" s="4">
        <v>3</v>
      </c>
    </row>
    <row r="861" spans="1:17" x14ac:dyDescent="0.25">
      <c r="A861" s="2" t="s">
        <v>340</v>
      </c>
      <c r="B861" s="3" t="s">
        <v>5016</v>
      </c>
      <c r="C861" s="3">
        <v>30</v>
      </c>
      <c r="D861" s="46" t="str">
        <f>IF(Tabla1[[#This Row],[EDAD]]&lt;=35,"Adultos jóvenes 18 - 35 años",IF(C861&gt;=36,"Adultos mayores 36 años en adelante"))</f>
        <v>Adultos jóvenes 18 - 35 años</v>
      </c>
      <c r="E861" s="3" t="s">
        <v>5019</v>
      </c>
      <c r="F861" s="3" t="s">
        <v>5026</v>
      </c>
      <c r="G861" s="3" t="s">
        <v>5037</v>
      </c>
      <c r="H861" s="3" t="s">
        <v>5363</v>
      </c>
      <c r="I861" s="17">
        <v>45597</v>
      </c>
      <c r="J861" s="18">
        <f>YEAR(Tabla1[[#This Row],[FECHA DE COMPRA]])</f>
        <v>2024</v>
      </c>
      <c r="K861" s="19">
        <v>175.81</v>
      </c>
      <c r="L861" s="20">
        <v>0.1</v>
      </c>
      <c r="M861" s="19">
        <f>Tienda!$K2978-Tienda!$K2978*Tienda!$L2978</f>
        <v>149.85</v>
      </c>
      <c r="N861" s="3" t="s">
        <v>10040</v>
      </c>
      <c r="O861" s="3" t="s">
        <v>10042</v>
      </c>
      <c r="P861" s="17">
        <v>45687</v>
      </c>
      <c r="Q861" s="4">
        <v>3</v>
      </c>
    </row>
    <row r="862" spans="1:17" x14ac:dyDescent="0.25">
      <c r="A862" s="2" t="s">
        <v>2577</v>
      </c>
      <c r="B862" s="3" t="s">
        <v>5015</v>
      </c>
      <c r="C862" s="3">
        <v>30</v>
      </c>
      <c r="D862" s="46" t="str">
        <f>IF(Tabla1[[#This Row],[EDAD]]&lt;=35,"Adultos jóvenes 18 - 35 años",IF(C862&gt;=36,"Adultos mayores 36 años en adelante"))</f>
        <v>Adultos jóvenes 18 - 35 años</v>
      </c>
      <c r="E862" s="3" t="s">
        <v>5019</v>
      </c>
      <c r="F862" s="3" t="s">
        <v>5027</v>
      </c>
      <c r="G862" s="3" t="s">
        <v>5037</v>
      </c>
      <c r="H862" s="3" t="s">
        <v>7600</v>
      </c>
      <c r="I862" s="17">
        <v>45625</v>
      </c>
      <c r="J862" s="18">
        <f>YEAR(Tabla1[[#This Row],[FECHA DE COMPRA]])</f>
        <v>2024</v>
      </c>
      <c r="K862" s="19">
        <v>180.24</v>
      </c>
      <c r="L862" s="20">
        <v>0.1</v>
      </c>
      <c r="M862" s="19">
        <f>Tienda!$K2993-Tienda!$K2993*Tienda!$L2993</f>
        <v>156.303</v>
      </c>
      <c r="N862" s="3" t="s">
        <v>10040</v>
      </c>
      <c r="O862" s="3" t="s">
        <v>10042</v>
      </c>
      <c r="P862" s="17">
        <v>45805</v>
      </c>
      <c r="Q862" s="4">
        <v>6</v>
      </c>
    </row>
    <row r="863" spans="1:17" x14ac:dyDescent="0.25">
      <c r="A863" s="2" t="s">
        <v>981</v>
      </c>
      <c r="B863" s="3" t="s">
        <v>5015</v>
      </c>
      <c r="C863" s="3">
        <v>23</v>
      </c>
      <c r="D863" s="46" t="str">
        <f>IF(Tabla1[[#This Row],[EDAD]]&lt;=35,"Adultos jóvenes 18 - 35 años",IF(C863&gt;=36,"Adultos mayores 36 años en adelante"))</f>
        <v>Adultos jóvenes 18 - 35 años</v>
      </c>
      <c r="E863" s="3" t="s">
        <v>5020</v>
      </c>
      <c r="F863" s="3" t="s">
        <v>5029</v>
      </c>
      <c r="G863" s="3" t="s">
        <v>5034</v>
      </c>
      <c r="H863" s="3" t="s">
        <v>6004</v>
      </c>
      <c r="I863" s="17">
        <v>45471</v>
      </c>
      <c r="J863" s="18">
        <f>YEAR(Tabla1[[#This Row],[FECHA DE COMPRA]])</f>
        <v>2024</v>
      </c>
      <c r="K863" s="19">
        <v>181.43</v>
      </c>
      <c r="L863" s="20">
        <v>0.1</v>
      </c>
      <c r="M863" s="19">
        <f>Tienda!$K2997-Tienda!$K2997*Tienda!$L2997</f>
        <v>157.75</v>
      </c>
      <c r="N863" s="3" t="s">
        <v>10040</v>
      </c>
      <c r="O863" s="3" t="s">
        <v>10042</v>
      </c>
      <c r="P863" s="17">
        <v>45831</v>
      </c>
      <c r="Q863" s="4">
        <v>12</v>
      </c>
    </row>
    <row r="864" spans="1:17" x14ac:dyDescent="0.25">
      <c r="A864" s="2" t="s">
        <v>2763</v>
      </c>
      <c r="B864" s="3" t="s">
        <v>5015</v>
      </c>
      <c r="C864" s="3">
        <v>33</v>
      </c>
      <c r="D864" s="46" t="str">
        <f>IF(Tabla1[[#This Row],[EDAD]]&lt;=35,"Adultos jóvenes 18 - 35 años",IF(C864&gt;=36,"Adultos mayores 36 años en adelante"))</f>
        <v>Adultos jóvenes 18 - 35 años</v>
      </c>
      <c r="E864" s="3" t="s">
        <v>5020</v>
      </c>
      <c r="F864" s="3" t="s">
        <v>5027</v>
      </c>
      <c r="G864" s="3" t="s">
        <v>5035</v>
      </c>
      <c r="H864" s="3" t="s">
        <v>7786</v>
      </c>
      <c r="I864" s="17">
        <v>45649</v>
      </c>
      <c r="J864" s="18">
        <f>YEAR(Tabla1[[#This Row],[FECHA DE COMPRA]])</f>
        <v>2024</v>
      </c>
      <c r="K864" s="19">
        <v>183.5</v>
      </c>
      <c r="L864" s="20">
        <v>0.1</v>
      </c>
      <c r="M864" s="19">
        <f>Tienda!$K3001-Tienda!$K3001*Tienda!$L3001</f>
        <v>160.083</v>
      </c>
      <c r="N864" s="3" t="s">
        <v>10040</v>
      </c>
      <c r="O864" s="3" t="s">
        <v>10042</v>
      </c>
      <c r="P864" s="17">
        <v>45656</v>
      </c>
      <c r="Q864" s="4">
        <v>12</v>
      </c>
    </row>
    <row r="865" spans="1:17" x14ac:dyDescent="0.25">
      <c r="A865" s="2" t="s">
        <v>638</v>
      </c>
      <c r="B865" s="3" t="s">
        <v>5015</v>
      </c>
      <c r="C865" s="3">
        <v>28</v>
      </c>
      <c r="D865" s="46" t="str">
        <f>IF(Tabla1[[#This Row],[EDAD]]&lt;=35,"Adultos jóvenes 18 - 35 años",IF(C865&gt;=36,"Adultos mayores 36 años en adelante"))</f>
        <v>Adultos jóvenes 18 - 35 años</v>
      </c>
      <c r="E865" s="3" t="s">
        <v>5020</v>
      </c>
      <c r="F865" s="3" t="s">
        <v>5024</v>
      </c>
      <c r="G865" s="3" t="s">
        <v>5036</v>
      </c>
      <c r="H865" s="3" t="s">
        <v>5661</v>
      </c>
      <c r="I865" s="17">
        <v>45624</v>
      </c>
      <c r="J865" s="18">
        <f>YEAR(Tabla1[[#This Row],[FECHA DE COMPRA]])</f>
        <v>2024</v>
      </c>
      <c r="K865" s="19">
        <v>184.34</v>
      </c>
      <c r="L865" s="20">
        <v>0.1</v>
      </c>
      <c r="M865" s="19">
        <f>Tienda!$K3006-Tienda!$K3006*Tienda!$L3006</f>
        <v>166.66</v>
      </c>
      <c r="N865" s="3" t="s">
        <v>10040</v>
      </c>
      <c r="O865" s="3" t="s">
        <v>10042</v>
      </c>
      <c r="P865" s="17">
        <v>45754</v>
      </c>
      <c r="Q865" s="4">
        <v>9</v>
      </c>
    </row>
    <row r="866" spans="1:17" x14ac:dyDescent="0.25">
      <c r="A866" s="2" t="s">
        <v>3641</v>
      </c>
      <c r="B866" s="3" t="s">
        <v>5016</v>
      </c>
      <c r="C866" s="3">
        <v>21</v>
      </c>
      <c r="D866" s="46" t="str">
        <f>IF(Tabla1[[#This Row],[EDAD]]&lt;=35,"Adultos jóvenes 18 - 35 años",IF(C866&gt;=36,"Adultos mayores 36 años en adelante"))</f>
        <v>Adultos jóvenes 18 - 35 años</v>
      </c>
      <c r="E866" s="3" t="s">
        <v>5023</v>
      </c>
      <c r="F866" s="3" t="s">
        <v>5027</v>
      </c>
      <c r="G866" s="3" t="s">
        <v>5032</v>
      </c>
      <c r="H866" s="3" t="s">
        <v>8664</v>
      </c>
      <c r="I866" s="17">
        <v>45623</v>
      </c>
      <c r="J866" s="18">
        <f>YEAR(Tabla1[[#This Row],[FECHA DE COMPRA]])</f>
        <v>2024</v>
      </c>
      <c r="K866" s="19">
        <v>184.45</v>
      </c>
      <c r="L866" s="20">
        <v>0.1</v>
      </c>
      <c r="M866" s="19">
        <f>Tienda!$K3007-Tienda!$K3007*Tienda!$L3007</f>
        <v>167.52599999999998</v>
      </c>
      <c r="N866" s="3" t="s">
        <v>10040</v>
      </c>
      <c r="O866" s="3" t="s">
        <v>10042</v>
      </c>
      <c r="P866" s="17">
        <v>45893</v>
      </c>
      <c r="Q866" s="4">
        <v>9</v>
      </c>
    </row>
    <row r="867" spans="1:17" x14ac:dyDescent="0.25">
      <c r="A867" s="2" t="s">
        <v>1870</v>
      </c>
      <c r="B867" s="3" t="s">
        <v>5015</v>
      </c>
      <c r="C867" s="3">
        <v>32</v>
      </c>
      <c r="D867" s="46" t="str">
        <f>IF(Tabla1[[#This Row],[EDAD]]&lt;=35,"Adultos jóvenes 18 - 35 años",IF(C867&gt;=36,"Adultos mayores 36 años en adelante"))</f>
        <v>Adultos jóvenes 18 - 35 años</v>
      </c>
      <c r="E867" s="3" t="s">
        <v>5018</v>
      </c>
      <c r="F867" s="3" t="s">
        <v>5025</v>
      </c>
      <c r="G867" s="3" t="s">
        <v>5034</v>
      </c>
      <c r="H867" s="3" t="s">
        <v>6893</v>
      </c>
      <c r="I867" s="17">
        <v>45624</v>
      </c>
      <c r="J867" s="18">
        <f>YEAR(Tabla1[[#This Row],[FECHA DE COMPRA]])</f>
        <v>2024</v>
      </c>
      <c r="K867" s="19">
        <v>166.78</v>
      </c>
      <c r="L867" s="20">
        <v>0</v>
      </c>
      <c r="M867" s="19">
        <f>Tienda!$K3010-Tienda!$K3010*Tienda!$L3010</f>
        <v>170.505</v>
      </c>
      <c r="N867" s="3" t="s">
        <v>10040</v>
      </c>
      <c r="O867" s="3" t="s">
        <v>10042</v>
      </c>
      <c r="P867" s="17">
        <v>45756</v>
      </c>
      <c r="Q867" s="4">
        <v>9</v>
      </c>
    </row>
    <row r="868" spans="1:17" x14ac:dyDescent="0.25">
      <c r="A868" s="2" t="s">
        <v>3773</v>
      </c>
      <c r="B868" s="3" t="s">
        <v>5016</v>
      </c>
      <c r="C868" s="3">
        <v>28</v>
      </c>
      <c r="D868" s="46" t="str">
        <f>IF(Tabla1[[#This Row],[EDAD]]&lt;=35,"Adultos jóvenes 18 - 35 años",IF(C868&gt;=36,"Adultos mayores 36 años en adelante"))</f>
        <v>Adultos jóvenes 18 - 35 años</v>
      </c>
      <c r="E868" s="3" t="s">
        <v>5019</v>
      </c>
      <c r="F868" s="3" t="s">
        <v>5024</v>
      </c>
      <c r="G868" s="3" t="s">
        <v>5033</v>
      </c>
      <c r="H868" s="3" t="s">
        <v>8796</v>
      </c>
      <c r="I868" s="17">
        <v>45454</v>
      </c>
      <c r="J868" s="18">
        <f>YEAR(Tabla1[[#This Row],[FECHA DE COMPRA]])</f>
        <v>2024</v>
      </c>
      <c r="K868" s="19">
        <v>188.06</v>
      </c>
      <c r="L868" s="20">
        <v>0.1</v>
      </c>
      <c r="M868" s="19">
        <f>Tienda!$K3016-Tienda!$K3016*Tienda!$L3016</f>
        <v>178.45</v>
      </c>
      <c r="N868" s="3" t="s">
        <v>10040</v>
      </c>
      <c r="O868" s="3" t="s">
        <v>10042</v>
      </c>
      <c r="P868" s="17">
        <v>45544</v>
      </c>
      <c r="Q868" s="4">
        <v>3</v>
      </c>
    </row>
    <row r="869" spans="1:17" x14ac:dyDescent="0.25">
      <c r="A869" s="2" t="s">
        <v>3758</v>
      </c>
      <c r="B869" s="3" t="s">
        <v>5016</v>
      </c>
      <c r="C869" s="3">
        <v>25</v>
      </c>
      <c r="D869" s="46" t="str">
        <f>IF(Tabla1[[#This Row],[EDAD]]&lt;=35,"Adultos jóvenes 18 - 35 años",IF(C869&gt;=36,"Adultos mayores 36 años en adelante"))</f>
        <v>Adultos jóvenes 18 - 35 años</v>
      </c>
      <c r="E869" s="3" t="s">
        <v>5021</v>
      </c>
      <c r="F869" s="3" t="s">
        <v>5030</v>
      </c>
      <c r="G869" s="3" t="s">
        <v>5032</v>
      </c>
      <c r="H869" s="3" t="s">
        <v>8781</v>
      </c>
      <c r="I869" s="17">
        <v>45489</v>
      </c>
      <c r="J869" s="18">
        <f>YEAR(Tabla1[[#This Row],[FECHA DE COMPRA]])</f>
        <v>2024</v>
      </c>
      <c r="K869" s="19">
        <v>191.73</v>
      </c>
      <c r="L869" s="20">
        <v>0.1</v>
      </c>
      <c r="M869" s="19">
        <f>Tienda!$K3029-Tienda!$K3029*Tienda!$L3029</f>
        <v>199.74</v>
      </c>
      <c r="N869" s="3" t="s">
        <v>10040</v>
      </c>
      <c r="O869" s="3" t="s">
        <v>10042</v>
      </c>
      <c r="P869" s="17">
        <v>45669</v>
      </c>
      <c r="Q869" s="4">
        <v>6</v>
      </c>
    </row>
    <row r="870" spans="1:17" x14ac:dyDescent="0.25">
      <c r="A870" s="2" t="s">
        <v>4416</v>
      </c>
      <c r="B870" s="3" t="s">
        <v>5015</v>
      </c>
      <c r="C870" s="3">
        <v>19</v>
      </c>
      <c r="D870" s="46" t="str">
        <f>IF(Tabla1[[#This Row],[EDAD]]&lt;=35,"Adultos jóvenes 18 - 35 años",IF(C870&gt;=36,"Adultos mayores 36 años en adelante"))</f>
        <v>Adultos jóvenes 18 - 35 años</v>
      </c>
      <c r="E870" s="3" t="s">
        <v>5022</v>
      </c>
      <c r="F870" s="3" t="s">
        <v>5028</v>
      </c>
      <c r="G870" s="3" t="s">
        <v>5035</v>
      </c>
      <c r="H870" s="3" t="s">
        <v>9439</v>
      </c>
      <c r="I870" s="17">
        <v>45523</v>
      </c>
      <c r="J870" s="18">
        <f>YEAR(Tabla1[[#This Row],[FECHA DE COMPRA]])</f>
        <v>2024</v>
      </c>
      <c r="K870" s="19">
        <v>177.14</v>
      </c>
      <c r="L870" s="20">
        <v>0</v>
      </c>
      <c r="M870" s="19">
        <f>Tienda!$K3043-Tienda!$K3043*Tienda!$L3043</f>
        <v>18.22</v>
      </c>
      <c r="N870" s="3" t="s">
        <v>10040</v>
      </c>
      <c r="O870" s="3" t="s">
        <v>10042</v>
      </c>
      <c r="P870" s="17">
        <v>45703</v>
      </c>
      <c r="Q870" s="4">
        <v>6</v>
      </c>
    </row>
    <row r="871" spans="1:17" x14ac:dyDescent="0.25">
      <c r="A871" s="2" t="s">
        <v>2498</v>
      </c>
      <c r="B871" s="3" t="s">
        <v>5016</v>
      </c>
      <c r="C871" s="3">
        <v>31</v>
      </c>
      <c r="D871" s="46" t="str">
        <f>IF(Tabla1[[#This Row],[EDAD]]&lt;=35,"Adultos jóvenes 18 - 35 años",IF(C871&gt;=36,"Adultos mayores 36 años en adelante"))</f>
        <v>Adultos jóvenes 18 - 35 años</v>
      </c>
      <c r="E871" s="3" t="s">
        <v>5023</v>
      </c>
      <c r="F871" s="3" t="s">
        <v>5028</v>
      </c>
      <c r="G871" s="3" t="s">
        <v>5031</v>
      </c>
      <c r="H871" s="3" t="s">
        <v>7521</v>
      </c>
      <c r="I871" s="17">
        <v>45478</v>
      </c>
      <c r="J871" s="18">
        <f>YEAR(Tabla1[[#This Row],[FECHA DE COMPRA]])</f>
        <v>2024</v>
      </c>
      <c r="K871" s="19">
        <v>180.73</v>
      </c>
      <c r="L871" s="20">
        <v>0</v>
      </c>
      <c r="M871" s="19">
        <f>Tienda!$K3059-Tienda!$K3059*Tienda!$L3059</f>
        <v>26.024000000000001</v>
      </c>
      <c r="N871" s="3" t="s">
        <v>10040</v>
      </c>
      <c r="O871" s="3" t="s">
        <v>10042</v>
      </c>
      <c r="P871" s="17">
        <v>45658</v>
      </c>
      <c r="Q871" s="4">
        <v>6</v>
      </c>
    </row>
    <row r="872" spans="1:17" x14ac:dyDescent="0.25">
      <c r="A872" s="2" t="s">
        <v>4554</v>
      </c>
      <c r="B872" s="3" t="s">
        <v>5015</v>
      </c>
      <c r="C872" s="3">
        <v>33</v>
      </c>
      <c r="D872" s="46" t="str">
        <f>IF(Tabla1[[#This Row],[EDAD]]&lt;=35,"Adultos jóvenes 18 - 35 años",IF(C872&gt;=36,"Adultos mayores 36 años en adelante"))</f>
        <v>Adultos jóvenes 18 - 35 años</v>
      </c>
      <c r="E872" s="3" t="s">
        <v>5022</v>
      </c>
      <c r="F872" s="3" t="s">
        <v>5028</v>
      </c>
      <c r="G872" s="3" t="s">
        <v>5035</v>
      </c>
      <c r="H872" s="3" t="s">
        <v>9577</v>
      </c>
      <c r="I872" s="17">
        <v>45649</v>
      </c>
      <c r="J872" s="18">
        <f>YEAR(Tabla1[[#This Row],[FECHA DE COMPRA]])</f>
        <v>2024</v>
      </c>
      <c r="K872" s="19">
        <v>182.73</v>
      </c>
      <c r="L872" s="20">
        <v>0</v>
      </c>
      <c r="M872" s="19">
        <f>Tienda!$K3064-Tienda!$K3064*Tienda!$L3064</f>
        <v>28.266000000000002</v>
      </c>
      <c r="N872" s="3" t="s">
        <v>10040</v>
      </c>
      <c r="O872" s="3" t="s">
        <v>10042</v>
      </c>
      <c r="P872" s="17">
        <v>45568</v>
      </c>
      <c r="Q872" s="4">
        <v>9</v>
      </c>
    </row>
    <row r="873" spans="1:17" x14ac:dyDescent="0.25">
      <c r="A873" s="2" t="s">
        <v>3485</v>
      </c>
      <c r="B873" s="3" t="s">
        <v>5016</v>
      </c>
      <c r="C873" s="3">
        <v>21</v>
      </c>
      <c r="D873" s="46" t="str">
        <f>IF(Tabla1[[#This Row],[EDAD]]&lt;=35,"Adultos jóvenes 18 - 35 años",IF(C873&gt;=36,"Adultos mayores 36 años en adelante"))</f>
        <v>Adultos jóvenes 18 - 35 años</v>
      </c>
      <c r="E873" s="3" t="s">
        <v>5019</v>
      </c>
      <c r="F873" s="3" t="s">
        <v>5029</v>
      </c>
      <c r="G873" s="3" t="s">
        <v>5037</v>
      </c>
      <c r="H873" s="3" t="s">
        <v>8508</v>
      </c>
      <c r="I873" s="17">
        <v>45351</v>
      </c>
      <c r="J873" s="18">
        <f>YEAR(Tabla1[[#This Row],[FECHA DE COMPRA]])</f>
        <v>2024</v>
      </c>
      <c r="K873" s="19">
        <v>186.01</v>
      </c>
      <c r="L873" s="20">
        <v>0</v>
      </c>
      <c r="M873" s="19">
        <f>Tienda!$K3069-Tienda!$K3069*Tienda!$L3069</f>
        <v>30.78</v>
      </c>
      <c r="N873" s="3" t="s">
        <v>10040</v>
      </c>
      <c r="O873" s="3" t="s">
        <v>10042</v>
      </c>
      <c r="P873" s="17">
        <v>45441</v>
      </c>
      <c r="Q873" s="4">
        <v>3</v>
      </c>
    </row>
    <row r="874" spans="1:17" x14ac:dyDescent="0.25">
      <c r="A874" s="2" t="s">
        <v>2629</v>
      </c>
      <c r="B874" s="3" t="s">
        <v>5015</v>
      </c>
      <c r="C874" s="3">
        <v>35</v>
      </c>
      <c r="D874" s="46" t="str">
        <f>IF(Tabla1[[#This Row],[EDAD]]&lt;=35,"Adultos jóvenes 18 - 35 años",IF(C874&gt;=36,"Adultos mayores 36 años en adelante"))</f>
        <v>Adultos jóvenes 18 - 35 años</v>
      </c>
      <c r="E874" s="3" t="s">
        <v>5018</v>
      </c>
      <c r="F874" s="3" t="s">
        <v>5025</v>
      </c>
      <c r="G874" s="3" t="s">
        <v>5035</v>
      </c>
      <c r="H874" s="3" t="s">
        <v>7652</v>
      </c>
      <c r="I874" s="17">
        <v>45442</v>
      </c>
      <c r="J874" s="18">
        <f>YEAR(Tabla1[[#This Row],[FECHA DE COMPRA]])</f>
        <v>2024</v>
      </c>
      <c r="K874" s="19">
        <v>186.84</v>
      </c>
      <c r="L874" s="20">
        <v>0</v>
      </c>
      <c r="M874" s="19">
        <f>Tienda!$K3070-Tienda!$K3070*Tienda!$L3070</f>
        <v>31.266000000000002</v>
      </c>
      <c r="N874" s="3" t="s">
        <v>10040</v>
      </c>
      <c r="O874" s="3" t="s">
        <v>10042</v>
      </c>
      <c r="P874" s="17">
        <v>45622</v>
      </c>
      <c r="Q874" s="4">
        <v>6</v>
      </c>
    </row>
    <row r="875" spans="1:17" x14ac:dyDescent="0.25">
      <c r="A875" s="2" t="s">
        <v>4424</v>
      </c>
      <c r="B875" s="3" t="s">
        <v>5015</v>
      </c>
      <c r="C875" s="3">
        <v>20</v>
      </c>
      <c r="D875" s="46" t="str">
        <f>IF(Tabla1[[#This Row],[EDAD]]&lt;=35,"Adultos jóvenes 18 - 35 años",IF(C875&gt;=36,"Adultos mayores 36 años en adelante"))</f>
        <v>Adultos jóvenes 18 - 35 años</v>
      </c>
      <c r="E875" s="3" t="s">
        <v>5018</v>
      </c>
      <c r="F875" s="3" t="s">
        <v>5025</v>
      </c>
      <c r="G875" s="3" t="s">
        <v>5034</v>
      </c>
      <c r="H875" s="3" t="s">
        <v>9447</v>
      </c>
      <c r="I875" s="17">
        <v>45471</v>
      </c>
      <c r="J875" s="18">
        <f>YEAR(Tabla1[[#This Row],[FECHA DE COMPRA]])</f>
        <v>2024</v>
      </c>
      <c r="K875" s="19">
        <v>189.95</v>
      </c>
      <c r="L875" s="20">
        <v>0</v>
      </c>
      <c r="M875" s="19">
        <f>Tienda!$K3075-Tienda!$K3075*Tienda!$L3075</f>
        <v>34.272000000000006</v>
      </c>
      <c r="N875" s="3" t="s">
        <v>10040</v>
      </c>
      <c r="O875" s="3" t="s">
        <v>10042</v>
      </c>
      <c r="P875" s="17">
        <v>45651</v>
      </c>
      <c r="Q875" s="4">
        <v>6</v>
      </c>
    </row>
    <row r="876" spans="1:17" x14ac:dyDescent="0.25">
      <c r="A876" s="2" t="s">
        <v>3990</v>
      </c>
      <c r="B876" s="3" t="s">
        <v>5015</v>
      </c>
      <c r="C876" s="3">
        <v>25</v>
      </c>
      <c r="D876" s="46" t="str">
        <f>IF(Tabla1[[#This Row],[EDAD]]&lt;=35,"Adultos jóvenes 18 - 35 años",IF(C876&gt;=36,"Adultos mayores 36 años en adelante"))</f>
        <v>Adultos jóvenes 18 - 35 años</v>
      </c>
      <c r="E876" s="3" t="s">
        <v>5021</v>
      </c>
      <c r="F876" s="3" t="s">
        <v>5029</v>
      </c>
      <c r="G876" s="3" t="s">
        <v>5036</v>
      </c>
      <c r="H876" s="3" t="s">
        <v>9013</v>
      </c>
      <c r="I876" s="17">
        <v>45583</v>
      </c>
      <c r="J876" s="18">
        <f>YEAR(Tabla1[[#This Row],[FECHA DE COMPRA]])</f>
        <v>2024</v>
      </c>
      <c r="K876" s="19">
        <v>191.21</v>
      </c>
      <c r="L876" s="20">
        <v>0</v>
      </c>
      <c r="M876" s="19">
        <f>Tienda!$K3079-Tienda!$K3079*Tienda!$L3079</f>
        <v>35.951999999999998</v>
      </c>
      <c r="N876" s="3" t="s">
        <v>10040</v>
      </c>
      <c r="O876" s="3" t="s">
        <v>10042</v>
      </c>
      <c r="P876" s="17">
        <v>45673</v>
      </c>
      <c r="Q876" s="4">
        <v>3</v>
      </c>
    </row>
    <row r="877" spans="1:17" x14ac:dyDescent="0.25">
      <c r="A877" s="2" t="s">
        <v>965</v>
      </c>
      <c r="B877" s="3" t="s">
        <v>5015</v>
      </c>
      <c r="C877" s="3">
        <v>25</v>
      </c>
      <c r="D877" s="46" t="str">
        <f>IF(Tabla1[[#This Row],[EDAD]]&lt;=35,"Adultos jóvenes 18 - 35 años",IF(C877&gt;=36,"Adultos mayores 36 años en adelante"))</f>
        <v>Adultos jóvenes 18 - 35 años</v>
      </c>
      <c r="E877" s="3" t="s">
        <v>5020</v>
      </c>
      <c r="F877" s="3" t="s">
        <v>5024</v>
      </c>
      <c r="G877" s="3" t="s">
        <v>5031</v>
      </c>
      <c r="H877" s="3" t="s">
        <v>5988</v>
      </c>
      <c r="I877" s="17">
        <v>45566</v>
      </c>
      <c r="J877" s="18">
        <f>YEAR(Tabla1[[#This Row],[FECHA DE COMPRA]])</f>
        <v>2024</v>
      </c>
      <c r="K877" s="19">
        <v>191.76</v>
      </c>
      <c r="L877" s="20">
        <v>0</v>
      </c>
      <c r="M877" s="19">
        <f>Tienda!$K3081-Tienda!$K3081*Tienda!$L3081</f>
        <v>36.704000000000001</v>
      </c>
      <c r="N877" s="3" t="s">
        <v>10040</v>
      </c>
      <c r="O877" s="3" t="s">
        <v>10042</v>
      </c>
      <c r="P877" s="17">
        <v>45746</v>
      </c>
      <c r="Q877" s="4">
        <v>6</v>
      </c>
    </row>
    <row r="878" spans="1:17" x14ac:dyDescent="0.25">
      <c r="A878" s="2" t="s">
        <v>331</v>
      </c>
      <c r="B878" s="3" t="s">
        <v>5015</v>
      </c>
      <c r="C878" s="3">
        <v>31</v>
      </c>
      <c r="D878" s="46" t="str">
        <f>IF(Tabla1[[#This Row],[EDAD]]&lt;=35,"Adultos jóvenes 18 - 35 años",IF(C878&gt;=36,"Adultos mayores 36 años en adelante"))</f>
        <v>Adultos jóvenes 18 - 35 años</v>
      </c>
      <c r="E878" s="3" t="s">
        <v>5023</v>
      </c>
      <c r="F878" s="3" t="s">
        <v>5029</v>
      </c>
      <c r="G878" s="3" t="s">
        <v>5037</v>
      </c>
      <c r="H878" s="3" t="s">
        <v>5354</v>
      </c>
      <c r="I878" s="17">
        <v>45636</v>
      </c>
      <c r="J878" s="18">
        <f>YEAR(Tabla1[[#This Row],[FECHA DE COMPRA]])</f>
        <v>2024</v>
      </c>
      <c r="K878" s="19">
        <v>194.12</v>
      </c>
      <c r="L878" s="20">
        <v>0</v>
      </c>
      <c r="M878" s="19">
        <f>Tienda!$K3085-Tienda!$K3085*Tienda!$L3085</f>
        <v>37.917000000000002</v>
      </c>
      <c r="N878" s="3" t="s">
        <v>10040</v>
      </c>
      <c r="O878" s="3" t="s">
        <v>10042</v>
      </c>
      <c r="P878" s="17">
        <v>45906</v>
      </c>
      <c r="Q878" s="4">
        <v>9</v>
      </c>
    </row>
    <row r="879" spans="1:17" x14ac:dyDescent="0.25">
      <c r="A879" s="2" t="s">
        <v>1684</v>
      </c>
      <c r="B879" s="3" t="s">
        <v>5015</v>
      </c>
      <c r="C879" s="3">
        <v>24</v>
      </c>
      <c r="D879" s="46" t="str">
        <f>IF(Tabla1[[#This Row],[EDAD]]&lt;=35,"Adultos jóvenes 18 - 35 años",IF(C879&gt;=36,"Adultos mayores 36 años en adelante"))</f>
        <v>Adultos jóvenes 18 - 35 años</v>
      </c>
      <c r="E879" s="3" t="s">
        <v>5018</v>
      </c>
      <c r="F879" s="3" t="s">
        <v>5024</v>
      </c>
      <c r="G879" s="3" t="s">
        <v>5034</v>
      </c>
      <c r="H879" s="3" t="s">
        <v>6707</v>
      </c>
      <c r="I879" s="17">
        <v>45605</v>
      </c>
      <c r="J879" s="18">
        <f>YEAR(Tabla1[[#This Row],[FECHA DE COMPRA]])</f>
        <v>2024</v>
      </c>
      <c r="K879" s="19">
        <v>195.63</v>
      </c>
      <c r="L879" s="20">
        <v>0</v>
      </c>
      <c r="M879" s="19">
        <f>Tienda!$K3092-Tienda!$K3092*Tienda!$L3092</f>
        <v>39.44</v>
      </c>
      <c r="N879" s="3" t="s">
        <v>10040</v>
      </c>
      <c r="O879" s="3" t="s">
        <v>10042</v>
      </c>
      <c r="P879" s="17">
        <v>45785</v>
      </c>
      <c r="Q879" s="4">
        <v>6</v>
      </c>
    </row>
    <row r="880" spans="1:17" x14ac:dyDescent="0.25">
      <c r="A880" s="2" t="s">
        <v>1503</v>
      </c>
      <c r="B880" s="3" t="s">
        <v>5015</v>
      </c>
      <c r="C880" s="3">
        <v>30</v>
      </c>
      <c r="D880" s="46" t="str">
        <f>IF(Tabla1[[#This Row],[EDAD]]&lt;=35,"Adultos jóvenes 18 - 35 años",IF(C880&gt;=36,"Adultos mayores 36 años en adelante"))</f>
        <v>Adultos jóvenes 18 - 35 años</v>
      </c>
      <c r="E880" s="3" t="s">
        <v>5022</v>
      </c>
      <c r="F880" s="3" t="s">
        <v>5027</v>
      </c>
      <c r="G880" s="3" t="s">
        <v>5036</v>
      </c>
      <c r="H880" s="3" t="s">
        <v>6526</v>
      </c>
      <c r="I880" s="17">
        <v>45315</v>
      </c>
      <c r="J880" s="18">
        <f>YEAR(Tabla1[[#This Row],[FECHA DE COMPRA]])</f>
        <v>2024</v>
      </c>
      <c r="K880" s="19">
        <v>197.21</v>
      </c>
      <c r="L880" s="20">
        <v>0</v>
      </c>
      <c r="M880" s="19">
        <f>Tienda!$K3099-Tienda!$K3099*Tienda!$L3099</f>
        <v>42.256</v>
      </c>
      <c r="N880" s="3" t="s">
        <v>10040</v>
      </c>
      <c r="O880" s="3" t="s">
        <v>10042</v>
      </c>
      <c r="P880" s="17">
        <v>45495</v>
      </c>
      <c r="Q880" s="4">
        <v>6</v>
      </c>
    </row>
    <row r="881" spans="1:17" x14ac:dyDescent="0.25">
      <c r="A881" s="2" t="s">
        <v>3728</v>
      </c>
      <c r="B881" s="3" t="s">
        <v>5016</v>
      </c>
      <c r="C881" s="3">
        <v>29</v>
      </c>
      <c r="D881" s="46" t="str">
        <f>IF(Tabla1[[#This Row],[EDAD]]&lt;=35,"Adultos jóvenes 18 - 35 años",IF(C881&gt;=36,"Adultos mayores 36 años en adelante"))</f>
        <v>Adultos jóvenes 18 - 35 años</v>
      </c>
      <c r="E881" s="3" t="s">
        <v>5017</v>
      </c>
      <c r="F881" s="3" t="s">
        <v>5028</v>
      </c>
      <c r="G881" s="3" t="s">
        <v>5031</v>
      </c>
      <c r="H881" s="3" t="s">
        <v>8751</v>
      </c>
      <c r="I881" s="17">
        <v>45437</v>
      </c>
      <c r="J881" s="18">
        <f>YEAR(Tabla1[[#This Row],[FECHA DE COMPRA]])</f>
        <v>2024</v>
      </c>
      <c r="K881" s="19">
        <v>197.59</v>
      </c>
      <c r="L881" s="20">
        <v>0</v>
      </c>
      <c r="M881" s="19">
        <f>Tienda!$K3100-Tienda!$K3100*Tienda!$L3100</f>
        <v>42.495999999999995</v>
      </c>
      <c r="N881" s="3" t="s">
        <v>10040</v>
      </c>
      <c r="O881" s="3" t="s">
        <v>10042</v>
      </c>
      <c r="P881" s="17">
        <v>45617</v>
      </c>
      <c r="Q881" s="4">
        <v>6</v>
      </c>
    </row>
    <row r="882" spans="1:17" x14ac:dyDescent="0.25">
      <c r="A882" s="2" t="s">
        <v>4471</v>
      </c>
      <c r="B882" s="3" t="s">
        <v>5016</v>
      </c>
      <c r="C882" s="3">
        <v>32</v>
      </c>
      <c r="D882" s="46" t="str">
        <f>IF(Tabla1[[#This Row],[EDAD]]&lt;=35,"Adultos jóvenes 18 - 35 años",IF(C882&gt;=36,"Adultos mayores 36 años en adelante"))</f>
        <v>Adultos jóvenes 18 - 35 años</v>
      </c>
      <c r="E882" s="3" t="s">
        <v>5017</v>
      </c>
      <c r="F882" s="3" t="s">
        <v>5026</v>
      </c>
      <c r="G882" s="3" t="s">
        <v>5033</v>
      </c>
      <c r="H882" s="3" t="s">
        <v>9494</v>
      </c>
      <c r="I882" s="17">
        <v>45661</v>
      </c>
      <c r="J882" s="18">
        <f>YEAR(Tabla1[[#This Row],[FECHA DE COMPRA]])</f>
        <v>2025</v>
      </c>
      <c r="K882" s="19">
        <v>198.83</v>
      </c>
      <c r="L882" s="20">
        <v>0.3</v>
      </c>
      <c r="M882" s="19">
        <f>Tienda!$K3521-Tienda!$K3521*Tienda!$L3521</f>
        <v>133.238</v>
      </c>
      <c r="N882" s="3" t="s">
        <v>10040</v>
      </c>
      <c r="O882" s="3" t="s">
        <v>10042</v>
      </c>
      <c r="P882" s="17">
        <v>45661</v>
      </c>
      <c r="Q882" s="4">
        <v>3</v>
      </c>
    </row>
    <row r="883" spans="1:17" x14ac:dyDescent="0.25">
      <c r="A883" s="2" t="s">
        <v>4379</v>
      </c>
      <c r="B883" s="3" t="s">
        <v>5016</v>
      </c>
      <c r="C883" s="3">
        <v>33</v>
      </c>
      <c r="D883" s="46" t="str">
        <f>IF(Tabla1[[#This Row],[EDAD]]&lt;=35,"Adultos jóvenes 18 - 35 años",IF(C883&gt;=36,"Adultos mayores 36 años en adelante"))</f>
        <v>Adultos jóvenes 18 - 35 años</v>
      </c>
      <c r="E883" s="3" t="s">
        <v>5021</v>
      </c>
      <c r="F883" s="3" t="s">
        <v>5027</v>
      </c>
      <c r="G883" s="3" t="s">
        <v>5036</v>
      </c>
      <c r="H883" s="3" t="s">
        <v>9402</v>
      </c>
      <c r="I883" s="17">
        <v>45689</v>
      </c>
      <c r="J883" s="18">
        <f>YEAR(Tabla1[[#This Row],[FECHA DE COMPRA]])</f>
        <v>2025</v>
      </c>
      <c r="K883" s="19">
        <v>130.99</v>
      </c>
      <c r="L883" s="20">
        <v>0.3</v>
      </c>
      <c r="M883" s="19">
        <f>Tienda!$K3522-Tienda!$K3522*Tienda!$L3522</f>
        <v>193.46</v>
      </c>
      <c r="N883" s="3" t="s">
        <v>10040</v>
      </c>
      <c r="O883" s="3" t="s">
        <v>10042</v>
      </c>
      <c r="P883" s="17">
        <v>45689</v>
      </c>
      <c r="Q883" s="4">
        <v>3</v>
      </c>
    </row>
    <row r="884" spans="1:17" x14ac:dyDescent="0.25">
      <c r="A884" s="2" t="s">
        <v>3966</v>
      </c>
      <c r="B884" s="3" t="s">
        <v>5016</v>
      </c>
      <c r="C884" s="3">
        <v>18</v>
      </c>
      <c r="D884" s="46" t="str">
        <f>IF(Tabla1[[#This Row],[EDAD]]&lt;=35,"Adultos jóvenes 18 - 35 años",IF(C884&gt;=36,"Adultos mayores 36 años en adelante"))</f>
        <v>Adultos jóvenes 18 - 35 años</v>
      </c>
      <c r="E884" s="3" t="s">
        <v>5023</v>
      </c>
      <c r="F884" s="3" t="s">
        <v>5029</v>
      </c>
      <c r="G884" s="3" t="s">
        <v>5031</v>
      </c>
      <c r="H884" s="3" t="s">
        <v>8989</v>
      </c>
      <c r="I884" s="17">
        <v>45690</v>
      </c>
      <c r="J884" s="18">
        <f>YEAR(Tabla1[[#This Row],[FECHA DE COMPRA]])</f>
        <v>2025</v>
      </c>
      <c r="K884" s="19">
        <v>12.73</v>
      </c>
      <c r="L884" s="20">
        <v>0.1</v>
      </c>
      <c r="M884" s="19">
        <f>Tienda!$K3524-Tienda!$K3524*Tienda!$L3524</f>
        <v>9.1890000000000001</v>
      </c>
      <c r="N884" s="3" t="s">
        <v>10040</v>
      </c>
      <c r="O884" s="3" t="s">
        <v>10042</v>
      </c>
      <c r="P884" s="17">
        <v>45690</v>
      </c>
      <c r="Q884" s="4">
        <v>3</v>
      </c>
    </row>
    <row r="885" spans="1:17" x14ac:dyDescent="0.25">
      <c r="A885" s="2" t="s">
        <v>948</v>
      </c>
      <c r="B885" s="3" t="s">
        <v>5015</v>
      </c>
      <c r="C885" s="3">
        <v>21</v>
      </c>
      <c r="D885" s="46" t="str">
        <f>IF(Tabla1[[#This Row],[EDAD]]&lt;=35,"Adultos jóvenes 18 - 35 años",IF(C885&gt;=36,"Adultos mayores 36 años en adelante"))</f>
        <v>Adultos jóvenes 18 - 35 años</v>
      </c>
      <c r="E885" s="3" t="s">
        <v>5020</v>
      </c>
      <c r="F885" s="3" t="s">
        <v>5028</v>
      </c>
      <c r="G885" s="3" t="s">
        <v>5032</v>
      </c>
      <c r="H885" s="3" t="s">
        <v>5971</v>
      </c>
      <c r="I885" s="17">
        <v>45690</v>
      </c>
      <c r="J885" s="18">
        <f>YEAR(Tabla1[[#This Row],[FECHA DE COMPRA]])</f>
        <v>2025</v>
      </c>
      <c r="K885" s="19">
        <v>59.68</v>
      </c>
      <c r="L885" s="20">
        <v>0</v>
      </c>
      <c r="M885" s="19">
        <f>Tienda!$K3525-Tienda!$K3525*Tienda!$L3525</f>
        <v>8.0500000000000007</v>
      </c>
      <c r="N885" s="3" t="s">
        <v>10040</v>
      </c>
      <c r="O885" s="3" t="s">
        <v>10042</v>
      </c>
      <c r="P885" s="17">
        <v>45690</v>
      </c>
      <c r="Q885" s="4">
        <v>3</v>
      </c>
    </row>
    <row r="886" spans="1:17" x14ac:dyDescent="0.25">
      <c r="A886" s="2" t="s">
        <v>162</v>
      </c>
      <c r="B886" s="3" t="s">
        <v>5015</v>
      </c>
      <c r="C886" s="3">
        <v>25</v>
      </c>
      <c r="D886" s="46" t="str">
        <f>IF(Tabla1[[#This Row],[EDAD]]&lt;=35,"Adultos jóvenes 18 - 35 años",IF(C886&gt;=36,"Adultos mayores 36 años en adelante"))</f>
        <v>Adultos jóvenes 18 - 35 años</v>
      </c>
      <c r="E886" s="3" t="s">
        <v>5020</v>
      </c>
      <c r="F886" s="3" t="s">
        <v>5027</v>
      </c>
      <c r="G886" s="3" t="s">
        <v>5033</v>
      </c>
      <c r="H886" s="3" t="s">
        <v>5185</v>
      </c>
      <c r="I886" s="17">
        <v>45697</v>
      </c>
      <c r="J886" s="18">
        <f>YEAR(Tabla1[[#This Row],[FECHA DE COMPRA]])</f>
        <v>2025</v>
      </c>
      <c r="K886" s="19">
        <v>81.209999999999994</v>
      </c>
      <c r="L886" s="20">
        <v>0</v>
      </c>
      <c r="M886" s="19">
        <f>Tienda!$K3528-Tienda!$K3528*Tienda!$L3528</f>
        <v>22.61</v>
      </c>
      <c r="N886" s="3" t="s">
        <v>10040</v>
      </c>
      <c r="O886" s="3" t="s">
        <v>10042</v>
      </c>
      <c r="P886" s="17">
        <v>45697</v>
      </c>
      <c r="Q886" s="4">
        <v>3</v>
      </c>
    </row>
    <row r="887" spans="1:17" x14ac:dyDescent="0.25">
      <c r="A887" s="2" t="s">
        <v>702</v>
      </c>
      <c r="B887" s="3" t="s">
        <v>5015</v>
      </c>
      <c r="C887" s="3">
        <v>21</v>
      </c>
      <c r="D887" s="46" t="str">
        <f>IF(Tabla1[[#This Row],[EDAD]]&lt;=35,"Adultos jóvenes 18 - 35 años",IF(C887&gt;=36,"Adultos mayores 36 años en adelante"))</f>
        <v>Adultos jóvenes 18 - 35 años</v>
      </c>
      <c r="E887" s="3" t="s">
        <v>5018</v>
      </c>
      <c r="F887" s="3" t="s">
        <v>5024</v>
      </c>
      <c r="G887" s="3" t="s">
        <v>5031</v>
      </c>
      <c r="H887" s="3" t="s">
        <v>5725</v>
      </c>
      <c r="I887" s="17">
        <v>45697</v>
      </c>
      <c r="J887" s="18">
        <f>YEAR(Tabla1[[#This Row],[FECHA DE COMPRA]])</f>
        <v>2025</v>
      </c>
      <c r="K887" s="19">
        <v>111.62</v>
      </c>
      <c r="L887" s="20">
        <v>0.1</v>
      </c>
      <c r="M887" s="19">
        <f>Tienda!$K3529-Tienda!$K3529*Tienda!$L3529</f>
        <v>24.61</v>
      </c>
      <c r="N887" s="3" t="s">
        <v>10040</v>
      </c>
      <c r="O887" s="3" t="s">
        <v>10042</v>
      </c>
      <c r="P887" s="17">
        <v>45697</v>
      </c>
      <c r="Q887" s="4">
        <v>6</v>
      </c>
    </row>
    <row r="888" spans="1:17" x14ac:dyDescent="0.25">
      <c r="A888" s="2" t="s">
        <v>1612</v>
      </c>
      <c r="B888" s="3" t="s">
        <v>5016</v>
      </c>
      <c r="C888" s="3">
        <v>34</v>
      </c>
      <c r="D888" s="46" t="str">
        <f>IF(Tabla1[[#This Row],[EDAD]]&lt;=35,"Adultos jóvenes 18 - 35 años",IF(C888&gt;=36,"Adultos mayores 36 años en adelante"))</f>
        <v>Adultos jóvenes 18 - 35 años</v>
      </c>
      <c r="E888" s="3" t="s">
        <v>5023</v>
      </c>
      <c r="F888" s="3" t="s">
        <v>5025</v>
      </c>
      <c r="G888" s="3" t="s">
        <v>5036</v>
      </c>
      <c r="H888" s="3" t="s">
        <v>6635</v>
      </c>
      <c r="I888" s="17">
        <v>45699</v>
      </c>
      <c r="J888" s="18">
        <f>YEAR(Tabla1[[#This Row],[FECHA DE COMPRA]])</f>
        <v>2025</v>
      </c>
      <c r="K888" s="19">
        <v>165.62</v>
      </c>
      <c r="L888" s="20">
        <v>0.1</v>
      </c>
      <c r="M888" s="19">
        <f>Tienda!$K3533-Tienda!$K3533*Tienda!$L3533</f>
        <v>46.835999999999999</v>
      </c>
      <c r="N888" s="3" t="s">
        <v>10040</v>
      </c>
      <c r="O888" s="3" t="s">
        <v>10042</v>
      </c>
      <c r="P888" s="17">
        <v>45699</v>
      </c>
      <c r="Q888" s="4">
        <v>6</v>
      </c>
    </row>
    <row r="889" spans="1:17" x14ac:dyDescent="0.25">
      <c r="A889" s="2" t="s">
        <v>892</v>
      </c>
      <c r="B889" s="3" t="s">
        <v>5015</v>
      </c>
      <c r="C889" s="3">
        <v>18</v>
      </c>
      <c r="D889" s="46" t="str">
        <f>IF(Tabla1[[#This Row],[EDAD]]&lt;=35,"Adultos jóvenes 18 - 35 años",IF(C889&gt;=36,"Adultos mayores 36 años en adelante"))</f>
        <v>Adultos jóvenes 18 - 35 años</v>
      </c>
      <c r="E889" s="3" t="s">
        <v>5022</v>
      </c>
      <c r="F889" s="3" t="s">
        <v>5029</v>
      </c>
      <c r="G889" s="3" t="s">
        <v>5033</v>
      </c>
      <c r="H889" s="3" t="s">
        <v>5915</v>
      </c>
      <c r="I889" s="17">
        <v>45700</v>
      </c>
      <c r="J889" s="18">
        <f>YEAR(Tabla1[[#This Row],[FECHA DE COMPRA]])</f>
        <v>2025</v>
      </c>
      <c r="K889" s="19">
        <v>78.89</v>
      </c>
      <c r="L889" s="20">
        <v>0.1</v>
      </c>
      <c r="M889" s="19">
        <f>Tienda!$K3534-Tienda!$K3534*Tienda!$L3534</f>
        <v>55.610999999999997</v>
      </c>
      <c r="N889" s="3" t="s">
        <v>10040</v>
      </c>
      <c r="O889" s="3" t="s">
        <v>10042</v>
      </c>
      <c r="P889" s="17">
        <v>45700</v>
      </c>
      <c r="Q889" s="4">
        <v>6</v>
      </c>
    </row>
    <row r="890" spans="1:17" x14ac:dyDescent="0.25">
      <c r="A890" s="2" t="s">
        <v>1942</v>
      </c>
      <c r="B890" s="3" t="s">
        <v>5016</v>
      </c>
      <c r="C890" s="3">
        <v>30</v>
      </c>
      <c r="D890" s="46" t="str">
        <f>IF(Tabla1[[#This Row],[EDAD]]&lt;=35,"Adultos jóvenes 18 - 35 años",IF(C890&gt;=36,"Adultos mayores 36 años en adelante"))</f>
        <v>Adultos jóvenes 18 - 35 años</v>
      </c>
      <c r="E890" s="3" t="s">
        <v>5019</v>
      </c>
      <c r="F890" s="3" t="s">
        <v>5026</v>
      </c>
      <c r="G890" s="3" t="s">
        <v>5034</v>
      </c>
      <c r="H890" s="3" t="s">
        <v>6965</v>
      </c>
      <c r="I890" s="17">
        <v>45700</v>
      </c>
      <c r="J890" s="18">
        <f>YEAR(Tabla1[[#This Row],[FECHA DE COMPRA]])</f>
        <v>2025</v>
      </c>
      <c r="K890" s="19">
        <v>180.02</v>
      </c>
      <c r="L890" s="20">
        <v>0.1</v>
      </c>
      <c r="M890" s="19">
        <f>Tienda!$K3536-Tienda!$K3536*Tienda!$L3536</f>
        <v>53.557000000000002</v>
      </c>
      <c r="N890" s="3" t="s">
        <v>10040</v>
      </c>
      <c r="O890" s="3" t="s">
        <v>10042</v>
      </c>
      <c r="P890" s="17">
        <v>45700</v>
      </c>
      <c r="Q890" s="4">
        <v>6</v>
      </c>
    </row>
    <row r="891" spans="1:17" x14ac:dyDescent="0.25">
      <c r="A891" s="2" t="s">
        <v>4331</v>
      </c>
      <c r="B891" s="3" t="s">
        <v>5015</v>
      </c>
      <c r="C891" s="3">
        <v>23</v>
      </c>
      <c r="D891" s="46" t="str">
        <f>IF(Tabla1[[#This Row],[EDAD]]&lt;=35,"Adultos jóvenes 18 - 35 años",IF(C891&gt;=36,"Adultos mayores 36 años en adelante"))</f>
        <v>Adultos jóvenes 18 - 35 años</v>
      </c>
      <c r="E891" s="3" t="s">
        <v>5019</v>
      </c>
      <c r="F891" s="3" t="s">
        <v>5028</v>
      </c>
      <c r="G891" s="3" t="s">
        <v>5033</v>
      </c>
      <c r="H891" s="3" t="s">
        <v>9354</v>
      </c>
      <c r="I891" s="17">
        <v>45700</v>
      </c>
      <c r="J891" s="18">
        <f>YEAR(Tabla1[[#This Row],[FECHA DE COMPRA]])</f>
        <v>2025</v>
      </c>
      <c r="K891" s="19">
        <v>195.79</v>
      </c>
      <c r="L891" s="20">
        <v>0.2</v>
      </c>
      <c r="M891" s="19">
        <f>Tienda!$K3537-Tienda!$K3537*Tienda!$L3537</f>
        <v>72.44</v>
      </c>
      <c r="N891" s="3" t="s">
        <v>10040</v>
      </c>
      <c r="O891" s="3" t="s">
        <v>10042</v>
      </c>
      <c r="P891" s="17">
        <v>45700</v>
      </c>
      <c r="Q891" s="4">
        <v>6</v>
      </c>
    </row>
    <row r="892" spans="1:17" x14ac:dyDescent="0.25">
      <c r="A892" s="2" t="s">
        <v>1320</v>
      </c>
      <c r="B892" s="3" t="s">
        <v>5016</v>
      </c>
      <c r="C892" s="3">
        <v>35</v>
      </c>
      <c r="D892" s="46" t="str">
        <f>IF(Tabla1[[#This Row],[EDAD]]&lt;=35,"Adultos jóvenes 18 - 35 años",IF(C892&gt;=36,"Adultos mayores 36 años en adelante"))</f>
        <v>Adultos jóvenes 18 - 35 años</v>
      </c>
      <c r="E892" s="3" t="s">
        <v>5019</v>
      </c>
      <c r="F892" s="3" t="s">
        <v>5028</v>
      </c>
      <c r="G892" s="3" t="s">
        <v>5033</v>
      </c>
      <c r="H892" s="3" t="s">
        <v>6343</v>
      </c>
      <c r="I892" s="17">
        <v>45729</v>
      </c>
      <c r="J892" s="18">
        <f>YEAR(Tabla1[[#This Row],[FECHA DE COMPRA]])</f>
        <v>2025</v>
      </c>
      <c r="K892" s="19">
        <v>18.97</v>
      </c>
      <c r="L892" s="20">
        <v>0</v>
      </c>
      <c r="M892" s="19">
        <f>Tienda!$K3550-Tienda!$K3550*Tienda!$L3550</f>
        <v>117.52000000000001</v>
      </c>
      <c r="N892" s="3" t="s">
        <v>10040</v>
      </c>
      <c r="O892" s="3" t="s">
        <v>10042</v>
      </c>
      <c r="P892" s="17">
        <v>45729</v>
      </c>
      <c r="Q892" s="4">
        <v>3</v>
      </c>
    </row>
    <row r="893" spans="1:17" x14ac:dyDescent="0.25">
      <c r="A893" s="2" t="s">
        <v>4466</v>
      </c>
      <c r="B893" s="3" t="s">
        <v>5015</v>
      </c>
      <c r="C893" s="3">
        <v>29</v>
      </c>
      <c r="D893" s="46" t="str">
        <f>IF(Tabla1[[#This Row],[EDAD]]&lt;=35,"Adultos jóvenes 18 - 35 años",IF(C893&gt;=36,"Adultos mayores 36 años en adelante"))</f>
        <v>Adultos jóvenes 18 - 35 años</v>
      </c>
      <c r="E893" s="3" t="s">
        <v>5022</v>
      </c>
      <c r="F893" s="3" t="s">
        <v>5025</v>
      </c>
      <c r="G893" s="3" t="s">
        <v>5036</v>
      </c>
      <c r="H893" s="3" t="s">
        <v>9489</v>
      </c>
      <c r="I893" s="17">
        <v>45722</v>
      </c>
      <c r="J893" s="18">
        <f>YEAR(Tabla1[[#This Row],[FECHA DE COMPRA]])</f>
        <v>2025</v>
      </c>
      <c r="K893" s="19">
        <v>28.99</v>
      </c>
      <c r="L893" s="20">
        <v>0</v>
      </c>
      <c r="M893" s="19">
        <f>Tienda!$K3555-Tienda!$K3555*Tienda!$L3555</f>
        <v>148.61699999999999</v>
      </c>
      <c r="N893" s="3" t="s">
        <v>10040</v>
      </c>
      <c r="O893" s="3" t="s">
        <v>10042</v>
      </c>
      <c r="P893" s="17">
        <v>45722</v>
      </c>
      <c r="Q893" s="4">
        <v>6</v>
      </c>
    </row>
    <row r="894" spans="1:17" x14ac:dyDescent="0.25">
      <c r="A894" s="2" t="s">
        <v>4196</v>
      </c>
      <c r="B894" s="3" t="s">
        <v>5015</v>
      </c>
      <c r="C894" s="3">
        <v>32</v>
      </c>
      <c r="D894" s="46" t="str">
        <f>IF(Tabla1[[#This Row],[EDAD]]&lt;=35,"Adultos jóvenes 18 - 35 años",IF(C894&gt;=36,"Adultos mayores 36 años en adelante"))</f>
        <v>Adultos jóvenes 18 - 35 años</v>
      </c>
      <c r="E894" s="3" t="s">
        <v>5018</v>
      </c>
      <c r="F894" s="3" t="s">
        <v>5029</v>
      </c>
      <c r="G894" s="3" t="s">
        <v>5032</v>
      </c>
      <c r="H894" s="3" t="s">
        <v>9219</v>
      </c>
      <c r="I894" s="17">
        <v>45721</v>
      </c>
      <c r="J894" s="18">
        <f>YEAR(Tabla1[[#This Row],[FECHA DE COMPRA]])</f>
        <v>2025</v>
      </c>
      <c r="K894" s="19">
        <v>63.82</v>
      </c>
      <c r="L894" s="20">
        <v>0</v>
      </c>
      <c r="M894" s="19">
        <f>Tienda!$K3558-Tienda!$K3558*Tienda!$L3558</f>
        <v>179.85</v>
      </c>
      <c r="N894" s="3" t="s">
        <v>10040</v>
      </c>
      <c r="O894" s="3" t="s">
        <v>10042</v>
      </c>
      <c r="P894" s="17">
        <v>45721</v>
      </c>
      <c r="Q894" s="4">
        <v>6</v>
      </c>
    </row>
    <row r="895" spans="1:17" x14ac:dyDescent="0.25">
      <c r="A895" s="2" t="s">
        <v>3702</v>
      </c>
      <c r="B895" s="3" t="s">
        <v>5015</v>
      </c>
      <c r="C895" s="3">
        <v>18</v>
      </c>
      <c r="D895" s="46" t="str">
        <f>IF(Tabla1[[#This Row],[EDAD]]&lt;=35,"Adultos jóvenes 18 - 35 años",IF(C895&gt;=36,"Adultos mayores 36 años en adelante"))</f>
        <v>Adultos jóvenes 18 - 35 años</v>
      </c>
      <c r="E895" s="3" t="s">
        <v>5020</v>
      </c>
      <c r="F895" s="3" t="s">
        <v>5026</v>
      </c>
      <c r="G895" s="3" t="s">
        <v>5031</v>
      </c>
      <c r="H895" s="3" t="s">
        <v>8725</v>
      </c>
      <c r="I895" s="17">
        <v>45743</v>
      </c>
      <c r="J895" s="18">
        <f>YEAR(Tabla1[[#This Row],[FECHA DE COMPRA]])</f>
        <v>2025</v>
      </c>
      <c r="K895" s="19">
        <v>68.77</v>
      </c>
      <c r="L895" s="20">
        <v>0.3</v>
      </c>
      <c r="M895" s="19">
        <f>Tienda!$K3562-Tienda!$K3562*Tienda!$L3562</f>
        <v>26.235999999999997</v>
      </c>
      <c r="N895" s="3" t="s">
        <v>10040</v>
      </c>
      <c r="O895" s="3" t="s">
        <v>10042</v>
      </c>
      <c r="P895" s="17">
        <v>45743</v>
      </c>
      <c r="Q895" s="4">
        <v>3</v>
      </c>
    </row>
    <row r="896" spans="1:17" x14ac:dyDescent="0.25">
      <c r="A896" s="2" t="s">
        <v>753</v>
      </c>
      <c r="B896" s="3" t="s">
        <v>5015</v>
      </c>
      <c r="C896" s="3">
        <v>32</v>
      </c>
      <c r="D896" s="46" t="str">
        <f>IF(Tabla1[[#This Row],[EDAD]]&lt;=35,"Adultos jóvenes 18 - 35 años",IF(C896&gt;=36,"Adultos mayores 36 años en adelante"))</f>
        <v>Adultos jóvenes 18 - 35 años</v>
      </c>
      <c r="E896" s="3" t="s">
        <v>5017</v>
      </c>
      <c r="F896" s="3" t="s">
        <v>5027</v>
      </c>
      <c r="G896" s="3" t="s">
        <v>5037</v>
      </c>
      <c r="H896" s="3" t="s">
        <v>5776</v>
      </c>
      <c r="I896" s="17">
        <v>45720</v>
      </c>
      <c r="J896" s="18">
        <f>YEAR(Tabla1[[#This Row],[FECHA DE COMPRA]])</f>
        <v>2025</v>
      </c>
      <c r="K896" s="19">
        <v>70.98</v>
      </c>
      <c r="L896" s="20">
        <v>0</v>
      </c>
      <c r="M896" s="19">
        <f>Tienda!$K3563-Tienda!$K3563*Tienda!$L3563</f>
        <v>33.688000000000002</v>
      </c>
      <c r="N896" s="3" t="s">
        <v>10040</v>
      </c>
      <c r="O896" s="3" t="s">
        <v>10042</v>
      </c>
      <c r="P896" s="17">
        <v>45720</v>
      </c>
      <c r="Q896" s="4">
        <v>3</v>
      </c>
    </row>
    <row r="897" spans="1:17" x14ac:dyDescent="0.25">
      <c r="A897" s="2" t="s">
        <v>3813</v>
      </c>
      <c r="B897" s="3" t="s">
        <v>5016</v>
      </c>
      <c r="C897" s="3">
        <v>22</v>
      </c>
      <c r="D897" s="46" t="str">
        <f>IF(Tabla1[[#This Row],[EDAD]]&lt;=35,"Adultos jóvenes 18 - 35 años",IF(C897&gt;=36,"Adultos mayores 36 años en adelante"))</f>
        <v>Adultos jóvenes 18 - 35 años</v>
      </c>
      <c r="E897" s="3" t="s">
        <v>5019</v>
      </c>
      <c r="F897" s="3" t="s">
        <v>5028</v>
      </c>
      <c r="G897" s="3" t="s">
        <v>5032</v>
      </c>
      <c r="H897" s="3" t="s">
        <v>8836</v>
      </c>
      <c r="I897" s="17">
        <v>45720</v>
      </c>
      <c r="J897" s="18">
        <f>YEAR(Tabla1[[#This Row],[FECHA DE COMPRA]])</f>
        <v>2025</v>
      </c>
      <c r="K897" s="19">
        <v>74.83</v>
      </c>
      <c r="L897" s="20">
        <v>0.3</v>
      </c>
      <c r="M897" s="19">
        <f>Tienda!$K3564-Tienda!$K3564*Tienda!$L3564</f>
        <v>42.39</v>
      </c>
      <c r="N897" s="3" t="s">
        <v>10040</v>
      </c>
      <c r="O897" s="3" t="s">
        <v>10042</v>
      </c>
      <c r="P897" s="17">
        <v>45720</v>
      </c>
      <c r="Q897" s="4">
        <v>3</v>
      </c>
    </row>
    <row r="898" spans="1:17" x14ac:dyDescent="0.25">
      <c r="A898" s="2" t="s">
        <v>1341</v>
      </c>
      <c r="B898" s="3" t="s">
        <v>5015</v>
      </c>
      <c r="C898" s="3">
        <v>24</v>
      </c>
      <c r="D898" s="46" t="str">
        <f>IF(Tabla1[[#This Row],[EDAD]]&lt;=35,"Adultos jóvenes 18 - 35 años",IF(C898&gt;=36,"Adultos mayores 36 años en adelante"))</f>
        <v>Adultos jóvenes 18 - 35 años</v>
      </c>
      <c r="E898" s="3" t="s">
        <v>5018</v>
      </c>
      <c r="F898" s="3" t="s">
        <v>5030</v>
      </c>
      <c r="G898" s="3" t="s">
        <v>5037</v>
      </c>
      <c r="H898" s="3" t="s">
        <v>6364</v>
      </c>
      <c r="I898" s="17">
        <v>45717</v>
      </c>
      <c r="J898" s="18">
        <f>YEAR(Tabla1[[#This Row],[FECHA DE COMPRA]])</f>
        <v>2025</v>
      </c>
      <c r="K898" s="19">
        <v>76.239999999999995</v>
      </c>
      <c r="L898" s="20">
        <v>0.3</v>
      </c>
      <c r="M898" s="19">
        <f>Tienda!$K3567-Tienda!$K3567*Tienda!$L3567</f>
        <v>65.638999999999996</v>
      </c>
      <c r="N898" s="3" t="s">
        <v>10040</v>
      </c>
      <c r="O898" s="3" t="s">
        <v>10042</v>
      </c>
      <c r="P898" s="17">
        <v>45717</v>
      </c>
      <c r="Q898" s="4">
        <v>3</v>
      </c>
    </row>
    <row r="899" spans="1:17" x14ac:dyDescent="0.25">
      <c r="A899" s="2" t="s">
        <v>749</v>
      </c>
      <c r="B899" s="3" t="s">
        <v>5016</v>
      </c>
      <c r="C899" s="3">
        <v>25</v>
      </c>
      <c r="D899" s="46" t="str">
        <f>IF(Tabla1[[#This Row],[EDAD]]&lt;=35,"Adultos jóvenes 18 - 35 años",IF(C899&gt;=36,"Adultos mayores 36 años en adelante"))</f>
        <v>Adultos jóvenes 18 - 35 años</v>
      </c>
      <c r="E899" s="3" t="s">
        <v>5023</v>
      </c>
      <c r="F899" s="3" t="s">
        <v>5028</v>
      </c>
      <c r="G899" s="3" t="s">
        <v>5031</v>
      </c>
      <c r="H899" s="3" t="s">
        <v>5772</v>
      </c>
      <c r="I899" s="17">
        <v>45722</v>
      </c>
      <c r="J899" s="18">
        <f>YEAR(Tabla1[[#This Row],[FECHA DE COMPRA]])</f>
        <v>2025</v>
      </c>
      <c r="K899" s="19">
        <v>130.77000000000001</v>
      </c>
      <c r="L899" s="20">
        <v>0.2</v>
      </c>
      <c r="M899" s="19">
        <f>Tienda!$K3570-Tienda!$K3570*Tienda!$L3570</f>
        <v>128.33000000000001</v>
      </c>
      <c r="N899" s="3" t="s">
        <v>10040</v>
      </c>
      <c r="O899" s="3" t="s">
        <v>10042</v>
      </c>
      <c r="P899" s="17">
        <v>45722</v>
      </c>
      <c r="Q899" s="4">
        <v>3</v>
      </c>
    </row>
    <row r="900" spans="1:17" x14ac:dyDescent="0.25">
      <c r="A900" s="2" t="s">
        <v>1378</v>
      </c>
      <c r="B900" s="3" t="s">
        <v>5015</v>
      </c>
      <c r="C900" s="3">
        <v>33</v>
      </c>
      <c r="D900" s="46" t="str">
        <f>IF(Tabla1[[#This Row],[EDAD]]&lt;=35,"Adultos jóvenes 18 - 35 años",IF(C900&gt;=36,"Adultos mayores 36 años en adelante"))</f>
        <v>Adultos jóvenes 18 - 35 años</v>
      </c>
      <c r="E900" s="3" t="s">
        <v>5017</v>
      </c>
      <c r="F900" s="3" t="s">
        <v>5028</v>
      </c>
      <c r="G900" s="3" t="s">
        <v>5032</v>
      </c>
      <c r="H900" s="3" t="s">
        <v>6401</v>
      </c>
      <c r="I900" s="17">
        <v>45722</v>
      </c>
      <c r="J900" s="18">
        <f>YEAR(Tabla1[[#This Row],[FECHA DE COMPRA]])</f>
        <v>2025</v>
      </c>
      <c r="K900" s="19">
        <v>144.24</v>
      </c>
      <c r="L900" s="20">
        <v>0.3</v>
      </c>
      <c r="M900" s="19">
        <f>Tienda!$K3575-Tienda!$K3575*Tienda!$L3575</f>
        <v>152.928</v>
      </c>
      <c r="N900" s="3" t="s">
        <v>10040</v>
      </c>
      <c r="O900" s="3" t="s">
        <v>10042</v>
      </c>
      <c r="P900" s="17">
        <v>45722</v>
      </c>
      <c r="Q900" s="4">
        <v>6</v>
      </c>
    </row>
    <row r="901" spans="1:17" x14ac:dyDescent="0.25">
      <c r="A901" s="2" t="s">
        <v>3556</v>
      </c>
      <c r="B901" s="3" t="s">
        <v>5016</v>
      </c>
      <c r="C901" s="3">
        <v>24</v>
      </c>
      <c r="D901" s="46" t="str">
        <f>IF(Tabla1[[#This Row],[EDAD]]&lt;=35,"Adultos jóvenes 18 - 35 años",IF(C901&gt;=36,"Adultos mayores 36 años en adelante"))</f>
        <v>Adultos jóvenes 18 - 35 años</v>
      </c>
      <c r="E901" s="3" t="s">
        <v>5021</v>
      </c>
      <c r="F901" s="3" t="s">
        <v>5028</v>
      </c>
      <c r="G901" s="3" t="s">
        <v>5037</v>
      </c>
      <c r="H901" s="3" t="s">
        <v>8579</v>
      </c>
      <c r="I901" s="17">
        <v>45736</v>
      </c>
      <c r="J901" s="18">
        <f>YEAR(Tabla1[[#This Row],[FECHA DE COMPRA]])</f>
        <v>2025</v>
      </c>
      <c r="K901" s="19">
        <v>190.07</v>
      </c>
      <c r="L901" s="20">
        <v>0.2</v>
      </c>
      <c r="M901" s="19">
        <f>Tienda!$K3578-Tienda!$K3578*Tienda!$L3578</f>
        <v>148.27199999999999</v>
      </c>
      <c r="N901" s="3" t="s">
        <v>10040</v>
      </c>
      <c r="O901" s="3" t="s">
        <v>10042</v>
      </c>
      <c r="P901" s="17">
        <v>45736</v>
      </c>
      <c r="Q901" s="4">
        <v>6</v>
      </c>
    </row>
    <row r="902" spans="1:17" x14ac:dyDescent="0.25">
      <c r="A902" s="2" t="s">
        <v>3969</v>
      </c>
      <c r="B902" s="3" t="s">
        <v>5016</v>
      </c>
      <c r="C902" s="3">
        <v>18</v>
      </c>
      <c r="D902" s="46" t="str">
        <f>IF(Tabla1[[#This Row],[EDAD]]&lt;=35,"Adultos jóvenes 18 - 35 años",IF(C902&gt;=36,"Adultos mayores 36 años en adelante"))</f>
        <v>Adultos jóvenes 18 - 35 años</v>
      </c>
      <c r="E902" s="3" t="s">
        <v>5023</v>
      </c>
      <c r="F902" s="3" t="s">
        <v>5026</v>
      </c>
      <c r="G902" s="3" t="s">
        <v>5034</v>
      </c>
      <c r="H902" s="3" t="s">
        <v>8992</v>
      </c>
      <c r="I902" s="17">
        <v>45728</v>
      </c>
      <c r="J902" s="18">
        <f>YEAR(Tabla1[[#This Row],[FECHA DE COMPRA]])</f>
        <v>2025</v>
      </c>
      <c r="K902" s="19">
        <v>192.72</v>
      </c>
      <c r="L902" s="20">
        <v>0.1</v>
      </c>
      <c r="M902" s="19">
        <f>Tienda!$K3579-Tienda!$K3579*Tienda!$L3579</f>
        <v>174.66299999999998</v>
      </c>
      <c r="N902" s="3" t="s">
        <v>10040</v>
      </c>
      <c r="O902" s="3" t="s">
        <v>10042</v>
      </c>
      <c r="P902" s="17">
        <v>45728</v>
      </c>
      <c r="Q902" s="4">
        <v>6</v>
      </c>
    </row>
    <row r="903" spans="1:17" x14ac:dyDescent="0.25">
      <c r="A903" s="2" t="s">
        <v>3317</v>
      </c>
      <c r="B903" s="3" t="s">
        <v>5016</v>
      </c>
      <c r="C903" s="3">
        <v>30</v>
      </c>
      <c r="D903" s="46" t="str">
        <f>IF(Tabla1[[#This Row],[EDAD]]&lt;=35,"Adultos jóvenes 18 - 35 años",IF(C903&gt;=36,"Adultos mayores 36 años en adelante"))</f>
        <v>Adultos jóvenes 18 - 35 años</v>
      </c>
      <c r="E903" s="3" t="s">
        <v>5019</v>
      </c>
      <c r="F903" s="3" t="s">
        <v>5028</v>
      </c>
      <c r="G903" s="3" t="s">
        <v>5034</v>
      </c>
      <c r="H903" s="3" t="s">
        <v>8340</v>
      </c>
      <c r="I903" s="17">
        <v>45745</v>
      </c>
      <c r="J903" s="18">
        <f>YEAR(Tabla1[[#This Row],[FECHA DE COMPRA]])</f>
        <v>2025</v>
      </c>
      <c r="K903" s="19">
        <v>193.53</v>
      </c>
      <c r="L903" s="20">
        <v>0</v>
      </c>
      <c r="M903" s="19">
        <f>Tienda!$K3580-Tienda!$K3580*Tienda!$L3580</f>
        <v>21.679000000000002</v>
      </c>
      <c r="N903" s="3" t="s">
        <v>10040</v>
      </c>
      <c r="O903" s="3" t="s">
        <v>10042</v>
      </c>
      <c r="P903" s="17">
        <v>45745</v>
      </c>
      <c r="Q903" s="4">
        <v>6</v>
      </c>
    </row>
    <row r="904" spans="1:17" x14ac:dyDescent="0.25">
      <c r="A904" s="2" t="s">
        <v>3414</v>
      </c>
      <c r="B904" s="3" t="s">
        <v>5016</v>
      </c>
      <c r="C904" s="3">
        <v>33</v>
      </c>
      <c r="D904" s="46" t="str">
        <f>IF(Tabla1[[#This Row],[EDAD]]&lt;=35,"Adultos jóvenes 18 - 35 años",IF(C904&gt;=36,"Adultos mayores 36 años en adelante"))</f>
        <v>Adultos jóvenes 18 - 35 años</v>
      </c>
      <c r="E904" s="3" t="s">
        <v>5019</v>
      </c>
      <c r="F904" s="3" t="s">
        <v>5027</v>
      </c>
      <c r="G904" s="3" t="s">
        <v>5035</v>
      </c>
      <c r="H904" s="3" t="s">
        <v>8437</v>
      </c>
      <c r="I904" s="17">
        <v>45741</v>
      </c>
      <c r="J904" s="18">
        <f>YEAR(Tabla1[[#This Row],[FECHA DE COMPRA]])</f>
        <v>2025</v>
      </c>
      <c r="K904" s="19">
        <v>196.52</v>
      </c>
      <c r="L904" s="20">
        <v>0</v>
      </c>
      <c r="M904" s="19">
        <f>Tienda!$K3582-Tienda!$K3582*Tienda!$L3582</f>
        <v>33.642000000000003</v>
      </c>
      <c r="N904" s="3" t="s">
        <v>10040</v>
      </c>
      <c r="O904" s="3" t="s">
        <v>10042</v>
      </c>
      <c r="P904" s="17">
        <v>45741</v>
      </c>
      <c r="Q904" s="4">
        <v>6</v>
      </c>
    </row>
    <row r="905" spans="1:17" x14ac:dyDescent="0.25">
      <c r="A905" s="2" t="s">
        <v>3831</v>
      </c>
      <c r="B905" s="3" t="s">
        <v>5015</v>
      </c>
      <c r="C905" s="3">
        <v>25</v>
      </c>
      <c r="D905" s="46" t="str">
        <f>IF(Tabla1[[#This Row],[EDAD]]&lt;=35,"Adultos jóvenes 18 - 35 años",IF(C905&gt;=36,"Adultos mayores 36 años en adelante"))</f>
        <v>Adultos jóvenes 18 - 35 años</v>
      </c>
      <c r="E905" s="3" t="s">
        <v>5018</v>
      </c>
      <c r="F905" s="3" t="s">
        <v>5025</v>
      </c>
      <c r="G905" s="3" t="s">
        <v>5034</v>
      </c>
      <c r="H905" s="3" t="s">
        <v>8854</v>
      </c>
      <c r="I905" s="17">
        <v>45760</v>
      </c>
      <c r="J905" s="18">
        <f>YEAR(Tabla1[[#This Row],[FECHA DE COMPRA]])</f>
        <v>2025</v>
      </c>
      <c r="K905" s="19">
        <v>24.7</v>
      </c>
      <c r="L905" s="20">
        <v>0.2</v>
      </c>
      <c r="M905" s="19">
        <f>Tienda!$K3586-Tienda!$K3586*Tienda!$L3586</f>
        <v>50.166000000000004</v>
      </c>
      <c r="N905" s="3" t="s">
        <v>10040</v>
      </c>
      <c r="O905" s="3" t="s">
        <v>10042</v>
      </c>
      <c r="P905" s="17">
        <v>45760</v>
      </c>
      <c r="Q905" s="4">
        <v>3</v>
      </c>
    </row>
    <row r="906" spans="1:17" x14ac:dyDescent="0.25">
      <c r="A906" s="2" t="s">
        <v>2056</v>
      </c>
      <c r="B906" s="3" t="s">
        <v>5016</v>
      </c>
      <c r="C906" s="3">
        <v>29</v>
      </c>
      <c r="D906" s="46" t="str">
        <f>IF(Tabla1[[#This Row],[EDAD]]&lt;=35,"Adultos jóvenes 18 - 35 años",IF(C906&gt;=36,"Adultos mayores 36 años en adelante"))</f>
        <v>Adultos jóvenes 18 - 35 años</v>
      </c>
      <c r="E906" s="3" t="s">
        <v>5021</v>
      </c>
      <c r="F906" s="3" t="s">
        <v>5026</v>
      </c>
      <c r="G906" s="3" t="s">
        <v>5034</v>
      </c>
      <c r="H906" s="3" t="s">
        <v>7079</v>
      </c>
      <c r="I906" s="17">
        <v>45775</v>
      </c>
      <c r="J906" s="18">
        <f>YEAR(Tabla1[[#This Row],[FECHA DE COMPRA]])</f>
        <v>2025</v>
      </c>
      <c r="K906" s="19">
        <v>25.74</v>
      </c>
      <c r="L906" s="20">
        <v>0</v>
      </c>
      <c r="M906" s="19">
        <f>Tienda!$K3587-Tienda!$K3587*Tienda!$L3587</f>
        <v>68.34</v>
      </c>
      <c r="N906" s="3" t="s">
        <v>10040</v>
      </c>
      <c r="O906" s="3" t="s">
        <v>10042</v>
      </c>
      <c r="P906" s="17">
        <v>45775</v>
      </c>
      <c r="Q906" s="4">
        <v>3</v>
      </c>
    </row>
    <row r="907" spans="1:17" x14ac:dyDescent="0.25">
      <c r="A907" s="2" t="s">
        <v>758</v>
      </c>
      <c r="B907" s="3" t="s">
        <v>5015</v>
      </c>
      <c r="C907" s="3">
        <v>24</v>
      </c>
      <c r="D907" s="46" t="str">
        <f>IF(Tabla1[[#This Row],[EDAD]]&lt;=35,"Adultos jóvenes 18 - 35 años",IF(C907&gt;=36,"Adultos mayores 36 años en adelante"))</f>
        <v>Adultos jóvenes 18 - 35 años</v>
      </c>
      <c r="E907" s="3" t="s">
        <v>5020</v>
      </c>
      <c r="F907" s="3" t="s">
        <v>5028</v>
      </c>
      <c r="G907" s="3" t="s">
        <v>5035</v>
      </c>
      <c r="H907" s="3" t="s">
        <v>5781</v>
      </c>
      <c r="I907" s="17">
        <v>45754</v>
      </c>
      <c r="J907" s="18">
        <f>YEAR(Tabla1[[#This Row],[FECHA DE COMPRA]])</f>
        <v>2025</v>
      </c>
      <c r="K907" s="19">
        <v>84.81</v>
      </c>
      <c r="L907" s="20">
        <v>0</v>
      </c>
      <c r="M907" s="19">
        <f>Tienda!$K3589-Tienda!$K3589*Tienda!$L3589</f>
        <v>101</v>
      </c>
      <c r="N907" s="3" t="s">
        <v>10040</v>
      </c>
      <c r="O907" s="3" t="s">
        <v>10042</v>
      </c>
      <c r="P907" s="17">
        <v>45754</v>
      </c>
      <c r="Q907" s="4">
        <v>3</v>
      </c>
    </row>
    <row r="908" spans="1:17" x14ac:dyDescent="0.25">
      <c r="A908" s="2" t="s">
        <v>191</v>
      </c>
      <c r="B908" s="3" t="s">
        <v>5016</v>
      </c>
      <c r="C908" s="3">
        <v>25</v>
      </c>
      <c r="D908" s="46" t="str">
        <f>IF(Tabla1[[#This Row],[EDAD]]&lt;=35,"Adultos jóvenes 18 - 35 años",IF(C908&gt;=36,"Adultos mayores 36 años en adelante"))</f>
        <v>Adultos jóvenes 18 - 35 años</v>
      </c>
      <c r="E908" s="3" t="s">
        <v>5023</v>
      </c>
      <c r="F908" s="3" t="s">
        <v>5029</v>
      </c>
      <c r="G908" s="3" t="s">
        <v>5035</v>
      </c>
      <c r="H908" s="3" t="s">
        <v>5214</v>
      </c>
      <c r="I908" s="17">
        <v>45748</v>
      </c>
      <c r="J908" s="18">
        <f>YEAR(Tabla1[[#This Row],[FECHA DE COMPRA]])</f>
        <v>2025</v>
      </c>
      <c r="K908" s="19">
        <v>93.14</v>
      </c>
      <c r="L908" s="20">
        <v>0.3</v>
      </c>
      <c r="M908" s="19">
        <f>Tienda!$K3594-Tienda!$K3594*Tienda!$L3594</f>
        <v>147.68800000000002</v>
      </c>
      <c r="N908" s="3" t="s">
        <v>10040</v>
      </c>
      <c r="O908" s="3" t="s">
        <v>10042</v>
      </c>
      <c r="P908" s="17">
        <v>45748</v>
      </c>
      <c r="Q908" s="4">
        <v>3</v>
      </c>
    </row>
    <row r="909" spans="1:17" x14ac:dyDescent="0.25">
      <c r="A909" s="2" t="s">
        <v>4093</v>
      </c>
      <c r="B909" s="3" t="s">
        <v>5015</v>
      </c>
      <c r="C909" s="3">
        <v>21</v>
      </c>
      <c r="D909" s="46" t="str">
        <f>IF(Tabla1[[#This Row],[EDAD]]&lt;=35,"Adultos jóvenes 18 - 35 años",IF(C909&gt;=36,"Adultos mayores 36 años en adelante"))</f>
        <v>Adultos jóvenes 18 - 35 años</v>
      </c>
      <c r="E909" s="3" t="s">
        <v>5023</v>
      </c>
      <c r="F909" s="3" t="s">
        <v>5026</v>
      </c>
      <c r="G909" s="3" t="s">
        <v>5033</v>
      </c>
      <c r="H909" s="3" t="s">
        <v>9116</v>
      </c>
      <c r="I909" s="17">
        <v>45769</v>
      </c>
      <c r="J909" s="18">
        <f>YEAR(Tabla1[[#This Row],[FECHA DE COMPRA]])</f>
        <v>2025</v>
      </c>
      <c r="K909" s="19">
        <v>93.27</v>
      </c>
      <c r="L909" s="20">
        <v>0.1</v>
      </c>
      <c r="M909" s="19">
        <f>Tienda!$K3595-Tienda!$K3595*Tienda!$L3595</f>
        <v>179.95499999999998</v>
      </c>
      <c r="N909" s="3" t="s">
        <v>10040</v>
      </c>
      <c r="O909" s="3" t="s">
        <v>10042</v>
      </c>
      <c r="P909" s="17">
        <v>45769</v>
      </c>
      <c r="Q909" s="4">
        <v>6</v>
      </c>
    </row>
    <row r="910" spans="1:17" x14ac:dyDescent="0.25">
      <c r="A910" s="2" t="s">
        <v>2043</v>
      </c>
      <c r="B910" s="3" t="s">
        <v>5015</v>
      </c>
      <c r="C910" s="3">
        <v>27</v>
      </c>
      <c r="D910" s="46" t="str">
        <f>IF(Tabla1[[#This Row],[EDAD]]&lt;=35,"Adultos jóvenes 18 - 35 años",IF(C910&gt;=36,"Adultos mayores 36 años en adelante"))</f>
        <v>Adultos jóvenes 18 - 35 años</v>
      </c>
      <c r="E910" s="3" t="s">
        <v>5020</v>
      </c>
      <c r="F910" s="3" t="s">
        <v>5027</v>
      </c>
      <c r="G910" s="3" t="s">
        <v>5037</v>
      </c>
      <c r="H910" s="3" t="s">
        <v>7066</v>
      </c>
      <c r="I910" s="17">
        <v>45749</v>
      </c>
      <c r="J910" s="18">
        <f>YEAR(Tabla1[[#This Row],[FECHA DE COMPRA]])</f>
        <v>2025</v>
      </c>
      <c r="K910" s="19">
        <v>94.05</v>
      </c>
      <c r="L910" s="20">
        <v>0.3</v>
      </c>
      <c r="M910" s="19">
        <f>Tienda!$K3596-Tienda!$K3596*Tienda!$L3596</f>
        <v>38.395000000000003</v>
      </c>
      <c r="N910" s="3" t="s">
        <v>10040</v>
      </c>
      <c r="O910" s="3" t="s">
        <v>10042</v>
      </c>
      <c r="P910" s="17">
        <v>45749</v>
      </c>
      <c r="Q910" s="4">
        <v>6</v>
      </c>
    </row>
    <row r="911" spans="1:17" x14ac:dyDescent="0.25">
      <c r="A911" s="2" t="s">
        <v>2815</v>
      </c>
      <c r="B911" s="3" t="s">
        <v>5016</v>
      </c>
      <c r="C911" s="3">
        <v>25</v>
      </c>
      <c r="D911" s="46" t="str">
        <f>IF(Tabla1[[#This Row],[EDAD]]&lt;=35,"Adultos jóvenes 18 - 35 años",IF(C911&gt;=36,"Adultos mayores 36 años en adelante"))</f>
        <v>Adultos jóvenes 18 - 35 años</v>
      </c>
      <c r="E911" s="3" t="s">
        <v>5023</v>
      </c>
      <c r="F911" s="3" t="s">
        <v>5027</v>
      </c>
      <c r="G911" s="3" t="s">
        <v>5036</v>
      </c>
      <c r="H911" s="3" t="s">
        <v>7838</v>
      </c>
      <c r="I911" s="17">
        <v>45750</v>
      </c>
      <c r="J911" s="18">
        <f>YEAR(Tabla1[[#This Row],[FECHA DE COMPRA]])</f>
        <v>2025</v>
      </c>
      <c r="K911" s="19">
        <v>145.74</v>
      </c>
      <c r="L911" s="20">
        <v>0</v>
      </c>
      <c r="M911" s="19">
        <f>Tienda!$K3602-Tienda!$K3602*Tienda!$L3602</f>
        <v>122.67500000000001</v>
      </c>
      <c r="N911" s="3" t="s">
        <v>10040</v>
      </c>
      <c r="O911" s="3" t="s">
        <v>10042</v>
      </c>
      <c r="P911" s="17">
        <v>45750</v>
      </c>
      <c r="Q911" s="4">
        <v>6</v>
      </c>
    </row>
    <row r="912" spans="1:17" x14ac:dyDescent="0.25">
      <c r="A912" s="2" t="s">
        <v>375</v>
      </c>
      <c r="B912" s="3" t="s">
        <v>5015</v>
      </c>
      <c r="C912" s="3">
        <v>27</v>
      </c>
      <c r="D912" s="46" t="str">
        <f>IF(Tabla1[[#This Row],[EDAD]]&lt;=35,"Adultos jóvenes 18 - 35 años",IF(C912&gt;=36,"Adultos mayores 36 años en adelante"))</f>
        <v>Adultos jóvenes 18 - 35 años</v>
      </c>
      <c r="E912" s="3" t="s">
        <v>5020</v>
      </c>
      <c r="F912" s="3" t="s">
        <v>5030</v>
      </c>
      <c r="G912" s="3" t="s">
        <v>5032</v>
      </c>
      <c r="H912" s="3" t="s">
        <v>5398</v>
      </c>
      <c r="I912" s="17">
        <v>45762</v>
      </c>
      <c r="J912" s="18">
        <f>YEAR(Tabla1[[#This Row],[FECHA DE COMPRA]])</f>
        <v>2025</v>
      </c>
      <c r="K912" s="19">
        <v>145.9</v>
      </c>
      <c r="L912" s="20">
        <v>0.3</v>
      </c>
      <c r="M912" s="19">
        <f>Tienda!$K3603-Tienda!$K3603*Tienda!$L3603</f>
        <v>157.887</v>
      </c>
      <c r="N912" s="3" t="s">
        <v>10040</v>
      </c>
      <c r="O912" s="3" t="s">
        <v>10042</v>
      </c>
      <c r="P912" s="17">
        <v>45762</v>
      </c>
      <c r="Q912" s="4">
        <v>6</v>
      </c>
    </row>
    <row r="913" spans="1:17" x14ac:dyDescent="0.25">
      <c r="A913" s="2" t="s">
        <v>474</v>
      </c>
      <c r="B913" s="3" t="s">
        <v>5015</v>
      </c>
      <c r="C913" s="3">
        <v>34</v>
      </c>
      <c r="D913" s="46" t="str">
        <f>IF(Tabla1[[#This Row],[EDAD]]&lt;=35,"Adultos jóvenes 18 - 35 años",IF(C913&gt;=36,"Adultos mayores 36 años en adelante"))</f>
        <v>Adultos jóvenes 18 - 35 años</v>
      </c>
      <c r="E913" s="3" t="s">
        <v>5017</v>
      </c>
      <c r="F913" s="3" t="s">
        <v>5030</v>
      </c>
      <c r="G913" s="3" t="s">
        <v>5032</v>
      </c>
      <c r="H913" s="3" t="s">
        <v>5497</v>
      </c>
      <c r="I913" s="17">
        <v>45775</v>
      </c>
      <c r="J913" s="18">
        <f>YEAR(Tabla1[[#This Row],[FECHA DE COMPRA]])</f>
        <v>2025</v>
      </c>
      <c r="K913" s="19">
        <v>146.22999999999999</v>
      </c>
      <c r="L913" s="20">
        <v>0.1</v>
      </c>
      <c r="M913" s="19">
        <f>Tienda!$K3604-Tienda!$K3604*Tienda!$L3604</f>
        <v>158.238</v>
      </c>
      <c r="N913" s="3" t="s">
        <v>10040</v>
      </c>
      <c r="O913" s="3" t="s">
        <v>10042</v>
      </c>
      <c r="P913" s="17">
        <v>45775</v>
      </c>
      <c r="Q913" s="4">
        <v>6</v>
      </c>
    </row>
    <row r="914" spans="1:17" x14ac:dyDescent="0.25">
      <c r="A914" s="2" t="s">
        <v>1029</v>
      </c>
      <c r="B914" s="3" t="s">
        <v>5015</v>
      </c>
      <c r="C914" s="3">
        <v>26</v>
      </c>
      <c r="D914" s="46" t="str">
        <f>IF(Tabla1[[#This Row],[EDAD]]&lt;=35,"Adultos jóvenes 18 - 35 años",IF(C914&gt;=36,"Adultos mayores 36 años en adelante"))</f>
        <v>Adultos jóvenes 18 - 35 años</v>
      </c>
      <c r="E914" s="3" t="s">
        <v>5022</v>
      </c>
      <c r="F914" s="3" t="s">
        <v>5030</v>
      </c>
      <c r="G914" s="3" t="s">
        <v>5031</v>
      </c>
      <c r="H914" s="3" t="s">
        <v>6052</v>
      </c>
      <c r="I914" s="17">
        <v>45760</v>
      </c>
      <c r="J914" s="18">
        <f>YEAR(Tabla1[[#This Row],[FECHA DE COMPRA]])</f>
        <v>2025</v>
      </c>
      <c r="K914" s="19">
        <v>148.22999999999999</v>
      </c>
      <c r="L914" s="20">
        <v>0.1</v>
      </c>
      <c r="M914" s="19">
        <f>Tienda!$K3606-Tienda!$K3606*Tienda!$L3606</f>
        <v>12.48</v>
      </c>
      <c r="N914" s="3" t="s">
        <v>10040</v>
      </c>
      <c r="O914" s="3" t="s">
        <v>10042</v>
      </c>
      <c r="P914" s="17">
        <v>45760</v>
      </c>
      <c r="Q914" s="4">
        <v>3</v>
      </c>
    </row>
    <row r="915" spans="1:17" x14ac:dyDescent="0.25">
      <c r="A915" s="2" t="s">
        <v>582</v>
      </c>
      <c r="B915" s="3" t="s">
        <v>5015</v>
      </c>
      <c r="C915" s="3">
        <v>31</v>
      </c>
      <c r="D915" s="46" t="str">
        <f>IF(Tabla1[[#This Row],[EDAD]]&lt;=35,"Adultos jóvenes 18 - 35 años",IF(C915&gt;=36,"Adultos mayores 36 años en adelante"))</f>
        <v>Adultos jóvenes 18 - 35 años</v>
      </c>
      <c r="E915" s="3" t="s">
        <v>5019</v>
      </c>
      <c r="F915" s="3" t="s">
        <v>5024</v>
      </c>
      <c r="G915" s="3" t="s">
        <v>5036</v>
      </c>
      <c r="H915" s="3" t="s">
        <v>5605</v>
      </c>
      <c r="I915" s="17">
        <v>45759</v>
      </c>
      <c r="J915" s="18">
        <f>YEAR(Tabla1[[#This Row],[FECHA DE COMPRA]])</f>
        <v>2025</v>
      </c>
      <c r="K915" s="19">
        <v>148.44</v>
      </c>
      <c r="L915" s="20">
        <v>0.1</v>
      </c>
      <c r="M915" s="19">
        <f>Tienda!$K3607-Tienda!$K3607*Tienda!$L3607</f>
        <v>145.04</v>
      </c>
      <c r="N915" s="3" t="s">
        <v>10040</v>
      </c>
      <c r="O915" s="3" t="s">
        <v>10042</v>
      </c>
      <c r="P915" s="17">
        <v>45759</v>
      </c>
      <c r="Q915" s="4">
        <v>3</v>
      </c>
    </row>
    <row r="916" spans="1:17" x14ac:dyDescent="0.25">
      <c r="A916" s="2" t="s">
        <v>1872</v>
      </c>
      <c r="B916" s="3" t="s">
        <v>5015</v>
      </c>
      <c r="C916" s="3">
        <v>35</v>
      </c>
      <c r="D916" s="46" t="str">
        <f>IF(Tabla1[[#This Row],[EDAD]]&lt;=35,"Adultos jóvenes 18 - 35 años",IF(C916&gt;=36,"Adultos mayores 36 años en adelante"))</f>
        <v>Adultos jóvenes 18 - 35 años</v>
      </c>
      <c r="E916" s="3" t="s">
        <v>5023</v>
      </c>
      <c r="F916" s="3" t="s">
        <v>5030</v>
      </c>
      <c r="G916" s="3" t="s">
        <v>5032</v>
      </c>
      <c r="H916" s="3" t="s">
        <v>6895</v>
      </c>
      <c r="I916" s="17">
        <v>45762</v>
      </c>
      <c r="J916" s="18">
        <f>YEAR(Tabla1[[#This Row],[FECHA DE COMPRA]])</f>
        <v>2025</v>
      </c>
      <c r="K916" s="19">
        <v>187.39</v>
      </c>
      <c r="L916" s="20">
        <v>0.1</v>
      </c>
      <c r="M916" s="19">
        <f>Tienda!$K3609-Tienda!$K3609*Tienda!$L3609</f>
        <v>30.134999999999998</v>
      </c>
      <c r="N916" s="3" t="s">
        <v>10040</v>
      </c>
      <c r="O916" s="3" t="s">
        <v>10042</v>
      </c>
      <c r="P916" s="17">
        <v>45762</v>
      </c>
      <c r="Q916" s="4">
        <v>3</v>
      </c>
    </row>
    <row r="917" spans="1:17" x14ac:dyDescent="0.25">
      <c r="A917" s="2" t="s">
        <v>4942</v>
      </c>
      <c r="B917" s="3" t="s">
        <v>5015</v>
      </c>
      <c r="C917" s="3">
        <v>22</v>
      </c>
      <c r="D917" s="46" t="str">
        <f>IF(Tabla1[[#This Row],[EDAD]]&lt;=35,"Adultos jóvenes 18 - 35 años",IF(C917&gt;=36,"Adultos mayores 36 años en adelante"))</f>
        <v>Adultos jóvenes 18 - 35 años</v>
      </c>
      <c r="E917" s="3" t="s">
        <v>5022</v>
      </c>
      <c r="F917" s="3" t="s">
        <v>5029</v>
      </c>
      <c r="G917" s="3" t="s">
        <v>5031</v>
      </c>
      <c r="H917" s="3" t="s">
        <v>9965</v>
      </c>
      <c r="I917" s="17">
        <v>45770</v>
      </c>
      <c r="J917" s="18">
        <f>YEAR(Tabla1[[#This Row],[FECHA DE COMPRA]])</f>
        <v>2025</v>
      </c>
      <c r="K917" s="19">
        <v>196.09</v>
      </c>
      <c r="L917" s="20">
        <v>0.2</v>
      </c>
      <c r="M917" s="19">
        <f>Tienda!$K3611-Tienda!$K3611*Tienda!$L3611</f>
        <v>56.527999999999999</v>
      </c>
      <c r="N917" s="3" t="s">
        <v>10040</v>
      </c>
      <c r="O917" s="3" t="s">
        <v>10042</v>
      </c>
      <c r="P917" s="17">
        <v>45770</v>
      </c>
      <c r="Q917" s="4">
        <v>3</v>
      </c>
    </row>
    <row r="918" spans="1:17" x14ac:dyDescent="0.25">
      <c r="A918" s="2" t="s">
        <v>1237</v>
      </c>
      <c r="B918" s="3" t="s">
        <v>5015</v>
      </c>
      <c r="C918" s="3">
        <v>28</v>
      </c>
      <c r="D918" s="46" t="str">
        <f>IF(Tabla1[[#This Row],[EDAD]]&lt;=35,"Adultos jóvenes 18 - 35 años",IF(C918&gt;=36,"Adultos mayores 36 años en adelante"))</f>
        <v>Adultos jóvenes 18 - 35 años</v>
      </c>
      <c r="E918" s="3" t="s">
        <v>5020</v>
      </c>
      <c r="F918" s="3" t="s">
        <v>5029</v>
      </c>
      <c r="G918" s="3" t="s">
        <v>5031</v>
      </c>
      <c r="H918" s="3" t="s">
        <v>6260</v>
      </c>
      <c r="I918" s="17">
        <v>45780</v>
      </c>
      <c r="J918" s="18">
        <f>YEAR(Tabla1[[#This Row],[FECHA DE COMPRA]])</f>
        <v>2025</v>
      </c>
      <c r="K918" s="19">
        <v>12.96</v>
      </c>
      <c r="L918" s="20">
        <v>0.1</v>
      </c>
      <c r="M918" s="19">
        <f>Tienda!$K3614-Tienda!$K3614*Tienda!$L3614</f>
        <v>139.42400000000001</v>
      </c>
      <c r="N918" s="3" t="s">
        <v>10040</v>
      </c>
      <c r="O918" s="3" t="s">
        <v>10042</v>
      </c>
      <c r="P918" s="17">
        <v>45780</v>
      </c>
      <c r="Q918" s="4">
        <v>3</v>
      </c>
    </row>
    <row r="919" spans="1:17" x14ac:dyDescent="0.25">
      <c r="A919" s="2" t="s">
        <v>1994</v>
      </c>
      <c r="B919" s="3" t="s">
        <v>5015</v>
      </c>
      <c r="C919" s="3">
        <v>31</v>
      </c>
      <c r="D919" s="46" t="str">
        <f>IF(Tabla1[[#This Row],[EDAD]]&lt;=35,"Adultos jóvenes 18 - 35 años",IF(C919&gt;=36,"Adultos mayores 36 años en adelante"))</f>
        <v>Adultos jóvenes 18 - 35 años</v>
      </c>
      <c r="E919" s="3" t="s">
        <v>5017</v>
      </c>
      <c r="F919" s="3" t="s">
        <v>5030</v>
      </c>
      <c r="G919" s="3" t="s">
        <v>5036</v>
      </c>
      <c r="H919" s="3" t="s">
        <v>7017</v>
      </c>
      <c r="I919" s="17">
        <v>45807</v>
      </c>
      <c r="J919" s="18">
        <f>YEAR(Tabla1[[#This Row],[FECHA DE COMPRA]])</f>
        <v>2025</v>
      </c>
      <c r="K919" s="19">
        <v>13.66</v>
      </c>
      <c r="L919" s="20">
        <v>0.3</v>
      </c>
      <c r="M919" s="19">
        <f>Tienda!$K3615-Tienda!$K3615*Tienda!$L3615</f>
        <v>162.17099999999999</v>
      </c>
      <c r="N919" s="3" t="s">
        <v>10040</v>
      </c>
      <c r="O919" s="3" t="s">
        <v>10042</v>
      </c>
      <c r="P919" s="17">
        <v>45807</v>
      </c>
      <c r="Q919" s="4">
        <v>3</v>
      </c>
    </row>
    <row r="920" spans="1:17" x14ac:dyDescent="0.25">
      <c r="A920" s="2" t="s">
        <v>3596</v>
      </c>
      <c r="B920" s="3" t="s">
        <v>5015</v>
      </c>
      <c r="C920" s="3">
        <v>34</v>
      </c>
      <c r="D920" s="46" t="str">
        <f>IF(Tabla1[[#This Row],[EDAD]]&lt;=35,"Adultos jóvenes 18 - 35 años",IF(C920&gt;=36,"Adultos mayores 36 años en adelante"))</f>
        <v>Adultos jóvenes 18 - 35 años</v>
      </c>
      <c r="E920" s="3" t="s">
        <v>5021</v>
      </c>
      <c r="F920" s="3" t="s">
        <v>5025</v>
      </c>
      <c r="G920" s="3" t="s">
        <v>5037</v>
      </c>
      <c r="H920" s="3" t="s">
        <v>8619</v>
      </c>
      <c r="I920" s="17">
        <v>45789</v>
      </c>
      <c r="J920" s="18">
        <f>YEAR(Tabla1[[#This Row],[FECHA DE COMPRA]])</f>
        <v>2025</v>
      </c>
      <c r="K920" s="19">
        <v>14.78</v>
      </c>
      <c r="L920" s="20">
        <v>0.3</v>
      </c>
      <c r="M920" s="19">
        <f>Tienda!$K3617-Tienda!$K3617*Tienda!$L3617</f>
        <v>175.37400000000002</v>
      </c>
      <c r="N920" s="3" t="s">
        <v>10040</v>
      </c>
      <c r="O920" s="3" t="s">
        <v>10042</v>
      </c>
      <c r="P920" s="17">
        <v>45789</v>
      </c>
      <c r="Q920" s="4">
        <v>6</v>
      </c>
    </row>
    <row r="921" spans="1:17" x14ac:dyDescent="0.25">
      <c r="A921" s="2" t="s">
        <v>4389</v>
      </c>
      <c r="B921" s="3" t="s">
        <v>5016</v>
      </c>
      <c r="C921" s="3">
        <v>29</v>
      </c>
      <c r="D921" s="46" t="str">
        <f>IF(Tabla1[[#This Row],[EDAD]]&lt;=35,"Adultos jóvenes 18 - 35 años",IF(C921&gt;=36,"Adultos mayores 36 años en adelante"))</f>
        <v>Adultos jóvenes 18 - 35 años</v>
      </c>
      <c r="E921" s="3" t="s">
        <v>5023</v>
      </c>
      <c r="F921" s="3" t="s">
        <v>5030</v>
      </c>
      <c r="G921" s="3" t="s">
        <v>5035</v>
      </c>
      <c r="H921" s="3" t="s">
        <v>9412</v>
      </c>
      <c r="I921" s="17">
        <v>45701</v>
      </c>
      <c r="J921" s="18">
        <f>YEAR(Tabla1[[#This Row],[FECHA DE COMPRA]])</f>
        <v>2025</v>
      </c>
      <c r="K921" s="19">
        <v>23.37</v>
      </c>
      <c r="L921" s="20">
        <v>0.3</v>
      </c>
      <c r="M921" s="19">
        <f>Tienda!$K3618-Tienda!$K3618*Tienda!$L3618</f>
        <v>70.28</v>
      </c>
      <c r="N921" s="3" t="s">
        <v>10040</v>
      </c>
      <c r="O921" s="3" t="s">
        <v>10042</v>
      </c>
      <c r="P921" s="17">
        <v>45681</v>
      </c>
      <c r="Q921" s="4">
        <v>6</v>
      </c>
    </row>
    <row r="922" spans="1:17" x14ac:dyDescent="0.25">
      <c r="A922" s="2" t="s">
        <v>3014</v>
      </c>
      <c r="B922" s="3" t="s">
        <v>5015</v>
      </c>
      <c r="C922" s="3">
        <v>21</v>
      </c>
      <c r="D922" s="46" t="str">
        <f>IF(Tabla1[[#This Row],[EDAD]]&lt;=35,"Adultos jóvenes 18 - 35 años",IF(C922&gt;=36,"Adultos mayores 36 años en adelante"))</f>
        <v>Adultos jóvenes 18 - 35 años</v>
      </c>
      <c r="E922" s="3" t="s">
        <v>5022</v>
      </c>
      <c r="F922" s="3" t="s">
        <v>5027</v>
      </c>
      <c r="G922" s="3" t="s">
        <v>5034</v>
      </c>
      <c r="H922" s="3" t="s">
        <v>8037</v>
      </c>
      <c r="I922" s="17">
        <v>45667</v>
      </c>
      <c r="J922" s="18">
        <f>YEAR(Tabla1[[#This Row],[FECHA DE COMPRA]])</f>
        <v>2025</v>
      </c>
      <c r="K922" s="19">
        <v>39.57</v>
      </c>
      <c r="L922" s="20">
        <v>0.1</v>
      </c>
      <c r="M922" s="19">
        <f>Tienda!$K3623-Tienda!$K3623*Tienda!$L3623</f>
        <v>97.972000000000008</v>
      </c>
      <c r="N922" s="3" t="s">
        <v>10040</v>
      </c>
      <c r="O922" s="3" t="s">
        <v>10042</v>
      </c>
      <c r="P922" s="17">
        <v>45667</v>
      </c>
      <c r="Q922" s="4">
        <v>6</v>
      </c>
    </row>
    <row r="923" spans="1:17" x14ac:dyDescent="0.25">
      <c r="A923" s="2" t="s">
        <v>598</v>
      </c>
      <c r="B923" s="3" t="s">
        <v>5015</v>
      </c>
      <c r="C923" s="3">
        <v>22</v>
      </c>
      <c r="D923" s="46" t="str">
        <f>IF(Tabla1[[#This Row],[EDAD]]&lt;=35,"Adultos jóvenes 18 - 35 años",IF(C923&gt;=36,"Adultos mayores 36 años en adelante"))</f>
        <v>Adultos jóvenes 18 - 35 años</v>
      </c>
      <c r="E923" s="3" t="s">
        <v>5020</v>
      </c>
      <c r="F923" s="3" t="s">
        <v>5028</v>
      </c>
      <c r="G923" s="3" t="s">
        <v>5035</v>
      </c>
      <c r="H923" s="3" t="s">
        <v>5621</v>
      </c>
      <c r="I923" s="17">
        <v>45701</v>
      </c>
      <c r="J923" s="18">
        <f>YEAR(Tabla1[[#This Row],[FECHA DE COMPRA]])</f>
        <v>2025</v>
      </c>
      <c r="K923" s="19">
        <v>57.71</v>
      </c>
      <c r="L923" s="20">
        <v>0.2</v>
      </c>
      <c r="M923" s="19">
        <f>Tienda!$K3628-Tienda!$K3628*Tienda!$L3628</f>
        <v>80.594999999999999</v>
      </c>
      <c r="N923" s="3" t="s">
        <v>10040</v>
      </c>
      <c r="O923" s="3" t="s">
        <v>10042</v>
      </c>
      <c r="P923" s="17">
        <v>45677</v>
      </c>
      <c r="Q923" s="4">
        <v>3</v>
      </c>
    </row>
    <row r="924" spans="1:17" x14ac:dyDescent="0.25">
      <c r="A924" s="2" t="s">
        <v>3517</v>
      </c>
      <c r="B924" s="3" t="s">
        <v>5015</v>
      </c>
      <c r="C924" s="3">
        <v>31</v>
      </c>
      <c r="D924" s="46" t="str">
        <f>IF(Tabla1[[#This Row],[EDAD]]&lt;=35,"Adultos jóvenes 18 - 35 años",IF(C924&gt;=36,"Adultos mayores 36 años en adelante"))</f>
        <v>Adultos jóvenes 18 - 35 años</v>
      </c>
      <c r="E924" s="3" t="s">
        <v>5019</v>
      </c>
      <c r="F924" s="3" t="s">
        <v>5030</v>
      </c>
      <c r="G924" s="3" t="s">
        <v>5032</v>
      </c>
      <c r="H924" s="3" t="s">
        <v>8540</v>
      </c>
      <c r="I924" s="17">
        <v>45701</v>
      </c>
      <c r="J924" s="18">
        <f>YEAR(Tabla1[[#This Row],[FECHA DE COMPRA]])</f>
        <v>2025</v>
      </c>
      <c r="K924" s="19">
        <v>112.16</v>
      </c>
      <c r="L924" s="20">
        <v>0.2</v>
      </c>
      <c r="M924" s="19">
        <f>Tienda!$K3635-Tienda!$K3635*Tienda!$L3635</f>
        <v>75.760000000000005</v>
      </c>
      <c r="N924" s="3" t="s">
        <v>10040</v>
      </c>
      <c r="O924" s="3" t="s">
        <v>10042</v>
      </c>
      <c r="P924" s="17">
        <v>45668</v>
      </c>
      <c r="Q924" s="4">
        <v>3</v>
      </c>
    </row>
    <row r="925" spans="1:17" x14ac:dyDescent="0.25">
      <c r="A925" s="2" t="s">
        <v>4505</v>
      </c>
      <c r="B925" s="3" t="s">
        <v>5016</v>
      </c>
      <c r="C925" s="3">
        <v>29</v>
      </c>
      <c r="D925" s="46" t="str">
        <f>IF(Tabla1[[#This Row],[EDAD]]&lt;=35,"Adultos jóvenes 18 - 35 años",IF(C925&gt;=36,"Adultos mayores 36 años en adelante"))</f>
        <v>Adultos jóvenes 18 - 35 años</v>
      </c>
      <c r="E925" s="3" t="s">
        <v>5019</v>
      </c>
      <c r="F925" s="3" t="s">
        <v>5028</v>
      </c>
      <c r="G925" s="3" t="s">
        <v>5032</v>
      </c>
      <c r="H925" s="3" t="s">
        <v>9528</v>
      </c>
      <c r="I925" s="17">
        <v>45701</v>
      </c>
      <c r="J925" s="18">
        <f>YEAR(Tabla1[[#This Row],[FECHA DE COMPRA]])</f>
        <v>2025</v>
      </c>
      <c r="K925" s="19">
        <v>113.42</v>
      </c>
      <c r="L925" s="20">
        <v>0.3</v>
      </c>
      <c r="M925" s="19">
        <f>Tienda!$K3636-Tienda!$K3636*Tienda!$L3636</f>
        <v>111.55</v>
      </c>
      <c r="N925" s="3" t="s">
        <v>10040</v>
      </c>
      <c r="O925" s="3" t="s">
        <v>10042</v>
      </c>
      <c r="P925" s="17">
        <v>45660</v>
      </c>
      <c r="Q925" s="4">
        <v>3</v>
      </c>
    </row>
    <row r="926" spans="1:17" x14ac:dyDescent="0.25">
      <c r="A926" s="2" t="s">
        <v>3865</v>
      </c>
      <c r="B926" s="3" t="s">
        <v>5015</v>
      </c>
      <c r="C926" s="3">
        <v>33</v>
      </c>
      <c r="D926" s="46" t="str">
        <f>IF(Tabla1[[#This Row],[EDAD]]&lt;=35,"Adultos jóvenes 18 - 35 años",IF(C926&gt;=36,"Adultos mayores 36 años en adelante"))</f>
        <v>Adultos jóvenes 18 - 35 años</v>
      </c>
      <c r="E926" s="3" t="s">
        <v>5023</v>
      </c>
      <c r="F926" s="3" t="s">
        <v>5025</v>
      </c>
      <c r="G926" s="3" t="s">
        <v>5037</v>
      </c>
      <c r="H926" s="3" t="s">
        <v>8888</v>
      </c>
      <c r="I926" s="17">
        <v>45678</v>
      </c>
      <c r="J926" s="18">
        <f>YEAR(Tabla1[[#This Row],[FECHA DE COMPRA]])</f>
        <v>2025</v>
      </c>
      <c r="K926" s="19">
        <v>115.53</v>
      </c>
      <c r="L926" s="20">
        <v>0</v>
      </c>
      <c r="M926" s="19">
        <f>Tienda!$K3637-Tienda!$K3637*Tienda!$L3637</f>
        <v>76.272000000000006</v>
      </c>
      <c r="N926" s="3" t="s">
        <v>10040</v>
      </c>
      <c r="O926" s="3" t="s">
        <v>10042</v>
      </c>
      <c r="P926" s="17">
        <v>45678</v>
      </c>
      <c r="Q926" s="4">
        <v>3</v>
      </c>
    </row>
    <row r="927" spans="1:17" x14ac:dyDescent="0.25">
      <c r="A927" s="2" t="s">
        <v>2576</v>
      </c>
      <c r="B927" s="3" t="s">
        <v>5015</v>
      </c>
      <c r="C927" s="3">
        <v>20</v>
      </c>
      <c r="D927" s="46" t="str">
        <f>IF(Tabla1[[#This Row],[EDAD]]&lt;=35,"Adultos jóvenes 18 - 35 años",IF(C927&gt;=36,"Adultos mayores 36 años en adelante"))</f>
        <v>Adultos jóvenes 18 - 35 años</v>
      </c>
      <c r="E927" s="3" t="s">
        <v>5023</v>
      </c>
      <c r="F927" s="3" t="s">
        <v>5029</v>
      </c>
      <c r="G927" s="3" t="s">
        <v>5034</v>
      </c>
      <c r="H927" s="3" t="s">
        <v>7599</v>
      </c>
      <c r="I927" s="17">
        <v>45658</v>
      </c>
      <c r="J927" s="18">
        <f>YEAR(Tabla1[[#This Row],[FECHA DE COMPRA]])</f>
        <v>2025</v>
      </c>
      <c r="K927" s="19">
        <v>122.13</v>
      </c>
      <c r="L927" s="20">
        <v>0.3</v>
      </c>
      <c r="M927" s="19">
        <f>Tienda!$K3640-Tienda!$K3640*Tienda!$L3640</f>
        <v>158.184</v>
      </c>
      <c r="N927" s="3" t="s">
        <v>10040</v>
      </c>
      <c r="O927" s="3" t="s">
        <v>10042</v>
      </c>
      <c r="P927" s="17">
        <v>45658</v>
      </c>
      <c r="Q927" s="4">
        <v>6</v>
      </c>
    </row>
    <row r="928" spans="1:17" x14ac:dyDescent="0.25">
      <c r="A928" s="2" t="s">
        <v>654</v>
      </c>
      <c r="B928" s="3" t="s">
        <v>5016</v>
      </c>
      <c r="C928" s="3">
        <v>20</v>
      </c>
      <c r="D928" s="46" t="str">
        <f>IF(Tabla1[[#This Row],[EDAD]]&lt;=35,"Adultos jóvenes 18 - 35 años",IF(C928&gt;=36,"Adultos mayores 36 años en adelante"))</f>
        <v>Adultos jóvenes 18 - 35 años</v>
      </c>
      <c r="E928" s="3" t="s">
        <v>5021</v>
      </c>
      <c r="F928" s="3" t="s">
        <v>5024</v>
      </c>
      <c r="G928" s="3" t="s">
        <v>5033</v>
      </c>
      <c r="H928" s="3" t="s">
        <v>5677</v>
      </c>
      <c r="I928" s="17">
        <v>45685</v>
      </c>
      <c r="J928" s="18">
        <f>YEAR(Tabla1[[#This Row],[FECHA DE COMPRA]])</f>
        <v>2025</v>
      </c>
      <c r="K928" s="19">
        <v>139.52000000000001</v>
      </c>
      <c r="L928" s="20">
        <v>0.3</v>
      </c>
      <c r="M928" s="19">
        <f>Tienda!$K3644-Tienda!$K3644*Tienda!$L3644</f>
        <v>83.37700000000001</v>
      </c>
      <c r="N928" s="3" t="s">
        <v>10040</v>
      </c>
      <c r="O928" s="3" t="s">
        <v>10042</v>
      </c>
      <c r="P928" s="17">
        <v>45685</v>
      </c>
      <c r="Q928" s="4">
        <v>6</v>
      </c>
    </row>
    <row r="929" spans="1:17" x14ac:dyDescent="0.25">
      <c r="A929" s="2" t="s">
        <v>1149</v>
      </c>
      <c r="B929" s="3" t="s">
        <v>5016</v>
      </c>
      <c r="C929" s="3">
        <v>31</v>
      </c>
      <c r="D929" s="46" t="str">
        <f>IF(Tabla1[[#This Row],[EDAD]]&lt;=35,"Adultos jóvenes 18 - 35 años",IF(C929&gt;=36,"Adultos mayores 36 años en adelante"))</f>
        <v>Adultos jóvenes 18 - 35 años</v>
      </c>
      <c r="E929" s="3" t="s">
        <v>5017</v>
      </c>
      <c r="F929" s="3" t="s">
        <v>5025</v>
      </c>
      <c r="G929" s="3" t="s">
        <v>5037</v>
      </c>
      <c r="H929" s="3" t="s">
        <v>6172</v>
      </c>
      <c r="I929" s="17">
        <v>45667</v>
      </c>
      <c r="J929" s="18">
        <f>YEAR(Tabla1[[#This Row],[FECHA DE COMPRA]])</f>
        <v>2025</v>
      </c>
      <c r="K929" s="19">
        <v>147.33000000000001</v>
      </c>
      <c r="L929" s="20">
        <v>0.1</v>
      </c>
      <c r="M929" s="19">
        <f>Tienda!$K3646-Tienda!$K3646*Tienda!$L3646</f>
        <v>173.898</v>
      </c>
      <c r="N929" s="3" t="s">
        <v>10040</v>
      </c>
      <c r="O929" s="3" t="s">
        <v>10042</v>
      </c>
      <c r="P929" s="17">
        <v>45667</v>
      </c>
      <c r="Q929" s="4">
        <v>6</v>
      </c>
    </row>
    <row r="930" spans="1:17" x14ac:dyDescent="0.25">
      <c r="A930" s="2" t="s">
        <v>714</v>
      </c>
      <c r="B930" s="3" t="s">
        <v>5015</v>
      </c>
      <c r="C930" s="3">
        <v>24</v>
      </c>
      <c r="D930" s="46" t="str">
        <f>IF(Tabla1[[#This Row],[EDAD]]&lt;=35,"Adultos jóvenes 18 - 35 años",IF(C930&gt;=36,"Adultos mayores 36 años en adelante"))</f>
        <v>Adultos jóvenes 18 - 35 años</v>
      </c>
      <c r="E930" s="3" t="s">
        <v>5018</v>
      </c>
      <c r="F930" s="3" t="s">
        <v>5028</v>
      </c>
      <c r="G930" s="3" t="s">
        <v>5032</v>
      </c>
      <c r="H930" s="3" t="s">
        <v>5737</v>
      </c>
      <c r="I930" s="17">
        <v>45664</v>
      </c>
      <c r="J930" s="18">
        <f>YEAR(Tabla1[[#This Row],[FECHA DE COMPRA]])</f>
        <v>2025</v>
      </c>
      <c r="K930" s="19">
        <v>162.35</v>
      </c>
      <c r="L930" s="20">
        <v>0.3</v>
      </c>
      <c r="M930" s="19">
        <f>Tienda!$K3648-Tienda!$K3648*Tienda!$L3648</f>
        <v>16.952000000000002</v>
      </c>
      <c r="N930" s="3" t="s">
        <v>10040</v>
      </c>
      <c r="O930" s="3" t="s">
        <v>10042</v>
      </c>
      <c r="P930" s="17">
        <v>45664</v>
      </c>
      <c r="Q930" s="4">
        <v>6</v>
      </c>
    </row>
    <row r="931" spans="1:17" x14ac:dyDescent="0.25">
      <c r="A931" s="2" t="s">
        <v>541</v>
      </c>
      <c r="B931" s="3" t="s">
        <v>5015</v>
      </c>
      <c r="C931" s="3">
        <v>35</v>
      </c>
      <c r="D931" s="46" t="str">
        <f>IF(Tabla1[[#This Row],[EDAD]]&lt;=35,"Adultos jóvenes 18 - 35 años",IF(C931&gt;=36,"Adultos mayores 36 años en adelante"))</f>
        <v>Adultos jóvenes 18 - 35 años</v>
      </c>
      <c r="E931" s="3" t="s">
        <v>5018</v>
      </c>
      <c r="F931" s="3" t="s">
        <v>5026</v>
      </c>
      <c r="G931" s="3" t="s">
        <v>5032</v>
      </c>
      <c r="H931" s="3" t="s">
        <v>5564</v>
      </c>
      <c r="I931" s="17">
        <v>45670</v>
      </c>
      <c r="J931" s="18">
        <f>YEAR(Tabla1[[#This Row],[FECHA DE COMPRA]])</f>
        <v>2025</v>
      </c>
      <c r="K931" s="19">
        <v>172.06</v>
      </c>
      <c r="L931" s="20">
        <v>0.1</v>
      </c>
      <c r="M931" s="19">
        <f>Tienda!$K3650-Tienda!$K3650*Tienda!$L3650</f>
        <v>91.466999999999999</v>
      </c>
      <c r="N931" s="3" t="s">
        <v>10040</v>
      </c>
      <c r="O931" s="3" t="s">
        <v>10042</v>
      </c>
      <c r="P931" s="17">
        <v>45670</v>
      </c>
      <c r="Q931" s="4">
        <v>3</v>
      </c>
    </row>
    <row r="932" spans="1:17" x14ac:dyDescent="0.25">
      <c r="A932" s="2" t="s">
        <v>4807</v>
      </c>
      <c r="B932" s="3" t="s">
        <v>5015</v>
      </c>
      <c r="C932" s="3">
        <v>27</v>
      </c>
      <c r="D932" s="46" t="str">
        <f>IF(Tabla1[[#This Row],[EDAD]]&lt;=35,"Adultos jóvenes 18 - 35 años",IF(C932&gt;=36,"Adultos mayores 36 años en adelante"))</f>
        <v>Adultos jóvenes 18 - 35 años</v>
      </c>
      <c r="E932" s="3" t="s">
        <v>5018</v>
      </c>
      <c r="F932" s="3" t="s">
        <v>5025</v>
      </c>
      <c r="G932" s="3" t="s">
        <v>5035</v>
      </c>
      <c r="H932" s="3" t="s">
        <v>9830</v>
      </c>
      <c r="I932" s="17">
        <v>45679</v>
      </c>
      <c r="J932" s="18">
        <f>YEAR(Tabla1[[#This Row],[FECHA DE COMPRA]])</f>
        <v>2025</v>
      </c>
      <c r="K932" s="19">
        <v>172.98</v>
      </c>
      <c r="L932" s="20">
        <v>0.2</v>
      </c>
      <c r="M932" s="19">
        <f>Tienda!$K3651-Tienda!$K3651*Tienda!$L3651</f>
        <v>84.207999999999998</v>
      </c>
      <c r="N932" s="3" t="s">
        <v>10040</v>
      </c>
      <c r="O932" s="3" t="s">
        <v>10042</v>
      </c>
      <c r="P932" s="17">
        <v>45679</v>
      </c>
      <c r="Q932" s="4">
        <v>3</v>
      </c>
    </row>
    <row r="933" spans="1:17" x14ac:dyDescent="0.25">
      <c r="A933" s="2" t="s">
        <v>2872</v>
      </c>
      <c r="B933" s="3" t="s">
        <v>5015</v>
      </c>
      <c r="C933" s="3">
        <v>27</v>
      </c>
      <c r="D933" s="46" t="str">
        <f>IF(Tabla1[[#This Row],[EDAD]]&lt;=35,"Adultos jóvenes 18 - 35 años",IF(C933&gt;=36,"Adultos mayores 36 años en adelante"))</f>
        <v>Adultos jóvenes 18 - 35 años</v>
      </c>
      <c r="E933" s="3" t="s">
        <v>5023</v>
      </c>
      <c r="F933" s="3" t="s">
        <v>5029</v>
      </c>
      <c r="G933" s="3" t="s">
        <v>5032</v>
      </c>
      <c r="H933" s="3" t="s">
        <v>7895</v>
      </c>
      <c r="I933" s="17">
        <v>45689</v>
      </c>
      <c r="J933" s="18">
        <f>YEAR(Tabla1[[#This Row],[FECHA DE COMPRA]])</f>
        <v>2025</v>
      </c>
      <c r="K933" s="19">
        <v>160.07</v>
      </c>
      <c r="L933" s="20">
        <v>0</v>
      </c>
      <c r="M933" s="19">
        <f>Tienda!$K3659-Tienda!$K3659*Tienda!$L3659</f>
        <v>128.04399999999998</v>
      </c>
      <c r="N933" s="3" t="s">
        <v>10040</v>
      </c>
      <c r="O933" s="3" t="s">
        <v>10042</v>
      </c>
      <c r="P933" s="17">
        <v>45689</v>
      </c>
      <c r="Q933" s="4">
        <v>3</v>
      </c>
    </row>
    <row r="934" spans="1:17" x14ac:dyDescent="0.25">
      <c r="A934" s="2" t="s">
        <v>2016</v>
      </c>
      <c r="B934" s="3" t="s">
        <v>5015</v>
      </c>
      <c r="C934" s="3">
        <v>22</v>
      </c>
      <c r="D934" s="46" t="str">
        <f>IF(Tabla1[[#This Row],[EDAD]]&lt;=35,"Adultos jóvenes 18 - 35 años",IF(C934&gt;=36,"Adultos mayores 36 años en adelante"))</f>
        <v>Adultos jóvenes 18 - 35 años</v>
      </c>
      <c r="E934" s="3" t="s">
        <v>5021</v>
      </c>
      <c r="F934" s="3" t="s">
        <v>5024</v>
      </c>
      <c r="G934" s="3" t="s">
        <v>5035</v>
      </c>
      <c r="H934" s="3" t="s">
        <v>7039</v>
      </c>
      <c r="I934" s="17">
        <v>45690</v>
      </c>
      <c r="J934" s="18">
        <f>YEAR(Tabla1[[#This Row],[FECHA DE COMPRA]])</f>
        <v>2025</v>
      </c>
      <c r="K934" s="19">
        <v>40.03</v>
      </c>
      <c r="L934" s="20">
        <v>0.1</v>
      </c>
      <c r="M934" s="19">
        <f>Tienda!$K3660-Tienda!$K3660*Tienda!$L3660</f>
        <v>135.625</v>
      </c>
      <c r="N934" s="3" t="s">
        <v>10040</v>
      </c>
      <c r="O934" s="3" t="s">
        <v>10042</v>
      </c>
      <c r="P934" s="17">
        <v>45690</v>
      </c>
      <c r="Q934" s="4">
        <v>3</v>
      </c>
    </row>
    <row r="935" spans="1:17" x14ac:dyDescent="0.25">
      <c r="A935" s="2" t="s">
        <v>4563</v>
      </c>
      <c r="B935" s="3" t="s">
        <v>5015</v>
      </c>
      <c r="C935" s="3">
        <v>28</v>
      </c>
      <c r="D935" s="46" t="str">
        <f>IF(Tabla1[[#This Row],[EDAD]]&lt;=35,"Adultos jóvenes 18 - 35 años",IF(C935&gt;=36,"Adultos mayores 36 años en adelante"))</f>
        <v>Adultos jóvenes 18 - 35 años</v>
      </c>
      <c r="E935" s="3" t="s">
        <v>5018</v>
      </c>
      <c r="F935" s="3" t="s">
        <v>5029</v>
      </c>
      <c r="G935" s="3" t="s">
        <v>5032</v>
      </c>
      <c r="H935" s="3" t="s">
        <v>9586</v>
      </c>
      <c r="I935" s="17">
        <v>45690</v>
      </c>
      <c r="J935" s="18">
        <f>YEAR(Tabla1[[#This Row],[FECHA DE COMPRA]])</f>
        <v>2025</v>
      </c>
      <c r="K935" s="19">
        <v>144.34</v>
      </c>
      <c r="L935" s="20">
        <v>0.2</v>
      </c>
      <c r="M935" s="19">
        <f>Tienda!$K3663-Tienda!$K3663*Tienda!$L3663</f>
        <v>159.208</v>
      </c>
      <c r="N935" s="3" t="s">
        <v>10040</v>
      </c>
      <c r="O935" s="3" t="s">
        <v>10042</v>
      </c>
      <c r="P935" s="17">
        <v>45690</v>
      </c>
      <c r="Q935" s="4">
        <v>6</v>
      </c>
    </row>
    <row r="936" spans="1:17" x14ac:dyDescent="0.25">
      <c r="A936" s="2" t="s">
        <v>573</v>
      </c>
      <c r="B936" s="3" t="s">
        <v>5016</v>
      </c>
      <c r="C936" s="3">
        <v>34</v>
      </c>
      <c r="D936" s="46" t="str">
        <f>IF(Tabla1[[#This Row],[EDAD]]&lt;=35,"Adultos jóvenes 18 - 35 años",IF(C936&gt;=36,"Adultos mayores 36 años en adelante"))</f>
        <v>Adultos jóvenes 18 - 35 años</v>
      </c>
      <c r="E936" s="3" t="s">
        <v>5023</v>
      </c>
      <c r="F936" s="3" t="s">
        <v>5030</v>
      </c>
      <c r="G936" s="3" t="s">
        <v>5037</v>
      </c>
      <c r="H936" s="3" t="s">
        <v>5596</v>
      </c>
      <c r="I936" s="17">
        <v>45691</v>
      </c>
      <c r="J936" s="18">
        <f>YEAR(Tabla1[[#This Row],[FECHA DE COMPRA]])</f>
        <v>2025</v>
      </c>
      <c r="K936" s="19">
        <v>59.19</v>
      </c>
      <c r="L936" s="20">
        <v>0.2</v>
      </c>
      <c r="M936" s="19">
        <f>Tienda!$K3664-Tienda!$K3664*Tienda!$L3664</f>
        <v>118.917</v>
      </c>
      <c r="N936" s="3" t="s">
        <v>10040</v>
      </c>
      <c r="O936" s="3" t="s">
        <v>10042</v>
      </c>
      <c r="P936" s="17">
        <v>45691</v>
      </c>
      <c r="Q936" s="4">
        <v>6</v>
      </c>
    </row>
    <row r="937" spans="1:17" x14ac:dyDescent="0.25">
      <c r="A937" s="2" t="s">
        <v>1658</v>
      </c>
      <c r="B937" s="3" t="s">
        <v>5016</v>
      </c>
      <c r="C937" s="3">
        <v>25</v>
      </c>
      <c r="D937" s="46" t="str">
        <f>IF(Tabla1[[#This Row],[EDAD]]&lt;=35,"Adultos jóvenes 18 - 35 años",IF(C937&gt;=36,"Adultos mayores 36 años en adelante"))</f>
        <v>Adultos jóvenes 18 - 35 años</v>
      </c>
      <c r="E937" s="3" t="s">
        <v>5023</v>
      </c>
      <c r="F937" s="3" t="s">
        <v>5029</v>
      </c>
      <c r="G937" s="3" t="s">
        <v>5034</v>
      </c>
      <c r="H937" s="3" t="s">
        <v>6681</v>
      </c>
      <c r="I937" s="17">
        <v>45692</v>
      </c>
      <c r="J937" s="18">
        <f>YEAR(Tabla1[[#This Row],[FECHA DE COMPRA]])</f>
        <v>2025</v>
      </c>
      <c r="K937" s="19">
        <v>12.91</v>
      </c>
      <c r="L937" s="20">
        <v>0.1</v>
      </c>
      <c r="M937" s="19">
        <f>Tienda!$K3667-Tienda!$K3667*Tienda!$L3667</f>
        <v>41.37</v>
      </c>
      <c r="N937" s="3" t="s">
        <v>10040</v>
      </c>
      <c r="O937" s="3" t="s">
        <v>10042</v>
      </c>
      <c r="P937" s="17">
        <v>45692</v>
      </c>
      <c r="Q937" s="4">
        <v>6</v>
      </c>
    </row>
    <row r="938" spans="1:17" x14ac:dyDescent="0.25">
      <c r="A938" s="2" t="s">
        <v>851</v>
      </c>
      <c r="B938" s="3" t="s">
        <v>5015</v>
      </c>
      <c r="C938" s="3">
        <v>19</v>
      </c>
      <c r="D938" s="46" t="str">
        <f>IF(Tabla1[[#This Row],[EDAD]]&lt;=35,"Adultos jóvenes 18 - 35 años",IF(C938&gt;=36,"Adultos mayores 36 años en adelante"))</f>
        <v>Adultos jóvenes 18 - 35 años</v>
      </c>
      <c r="E938" s="3" t="s">
        <v>5021</v>
      </c>
      <c r="F938" s="3" t="s">
        <v>5025</v>
      </c>
      <c r="G938" s="3" t="s">
        <v>5032</v>
      </c>
      <c r="H938" s="3" t="s">
        <v>5874</v>
      </c>
      <c r="I938" s="17">
        <v>45696</v>
      </c>
      <c r="J938" s="18">
        <f>YEAR(Tabla1[[#This Row],[FECHA DE COMPRA]])</f>
        <v>2025</v>
      </c>
      <c r="K938" s="19">
        <v>39.22</v>
      </c>
      <c r="L938" s="20">
        <v>0</v>
      </c>
      <c r="M938" s="19">
        <f>Tienda!$K3670-Tienda!$K3670*Tienda!$L3670</f>
        <v>104.68800000000002</v>
      </c>
      <c r="N938" s="3" t="s">
        <v>10040</v>
      </c>
      <c r="O938" s="3" t="s">
        <v>10042</v>
      </c>
      <c r="P938" s="17">
        <v>45696</v>
      </c>
      <c r="Q938" s="4">
        <v>3</v>
      </c>
    </row>
    <row r="939" spans="1:17" x14ac:dyDescent="0.25">
      <c r="A939" s="2" t="s">
        <v>2441</v>
      </c>
      <c r="B939" s="3" t="s">
        <v>5015</v>
      </c>
      <c r="C939" s="3">
        <v>34</v>
      </c>
      <c r="D939" s="46" t="str">
        <f>IF(Tabla1[[#This Row],[EDAD]]&lt;=35,"Adultos jóvenes 18 - 35 años",IF(C939&gt;=36,"Adultos mayores 36 años en adelante"))</f>
        <v>Adultos jóvenes 18 - 35 años</v>
      </c>
      <c r="E939" s="3" t="s">
        <v>5021</v>
      </c>
      <c r="F939" s="3" t="s">
        <v>5025</v>
      </c>
      <c r="G939" s="3" t="s">
        <v>5035</v>
      </c>
      <c r="H939" s="3" t="s">
        <v>7464</v>
      </c>
      <c r="I939" s="17">
        <v>45698</v>
      </c>
      <c r="J939" s="18">
        <f>YEAR(Tabla1[[#This Row],[FECHA DE COMPRA]])</f>
        <v>2025</v>
      </c>
      <c r="K939" s="19">
        <v>61.47</v>
      </c>
      <c r="L939" s="20">
        <v>0.3</v>
      </c>
      <c r="M939" s="19">
        <f>Tienda!$K3671-Tienda!$K3671*Tienda!$L3671</f>
        <v>132.38999999999999</v>
      </c>
      <c r="N939" s="3" t="s">
        <v>10040</v>
      </c>
      <c r="O939" s="3" t="s">
        <v>10042</v>
      </c>
      <c r="P939" s="17">
        <v>45698</v>
      </c>
      <c r="Q939" s="4">
        <v>3</v>
      </c>
    </row>
    <row r="940" spans="1:17" x14ac:dyDescent="0.25">
      <c r="A940" s="2" t="s">
        <v>4711</v>
      </c>
      <c r="B940" s="3" t="s">
        <v>5015</v>
      </c>
      <c r="C940" s="3">
        <v>24</v>
      </c>
      <c r="D940" s="46" t="str">
        <f>IF(Tabla1[[#This Row],[EDAD]]&lt;=35,"Adultos jóvenes 18 - 35 años",IF(C940&gt;=36,"Adultos mayores 36 años en adelante"))</f>
        <v>Adultos jóvenes 18 - 35 años</v>
      </c>
      <c r="E940" s="3" t="s">
        <v>5021</v>
      </c>
      <c r="F940" s="3" t="s">
        <v>5027</v>
      </c>
      <c r="G940" s="3" t="s">
        <v>5031</v>
      </c>
      <c r="H940" s="3" t="s">
        <v>9734</v>
      </c>
      <c r="I940" s="17">
        <v>45698</v>
      </c>
      <c r="J940" s="18">
        <f>YEAR(Tabla1[[#This Row],[FECHA DE COMPRA]])</f>
        <v>2025</v>
      </c>
      <c r="K940" s="19">
        <v>70.11</v>
      </c>
      <c r="L940" s="20">
        <v>0</v>
      </c>
      <c r="M940" s="19">
        <f>Tienda!$K3672-Tienda!$K3672*Tienda!$L3672</f>
        <v>154.76400000000001</v>
      </c>
      <c r="N940" s="3" t="s">
        <v>10040</v>
      </c>
      <c r="O940" s="3" t="s">
        <v>10042</v>
      </c>
      <c r="P940" s="17">
        <v>45698</v>
      </c>
      <c r="Q940" s="4">
        <v>3</v>
      </c>
    </row>
    <row r="941" spans="1:17" x14ac:dyDescent="0.25">
      <c r="A941" s="2" t="s">
        <v>4619</v>
      </c>
      <c r="B941" s="3" t="s">
        <v>5016</v>
      </c>
      <c r="C941" s="3">
        <v>32</v>
      </c>
      <c r="D941" s="46" t="str">
        <f>IF(Tabla1[[#This Row],[EDAD]]&lt;=35,"Adultos jóvenes 18 - 35 años",IF(C941&gt;=36,"Adultos mayores 36 años en adelante"))</f>
        <v>Adultos jóvenes 18 - 35 años</v>
      </c>
      <c r="E941" s="3" t="s">
        <v>5019</v>
      </c>
      <c r="F941" s="3" t="s">
        <v>5029</v>
      </c>
      <c r="G941" s="3" t="s">
        <v>5034</v>
      </c>
      <c r="H941" s="3" t="s">
        <v>9642</v>
      </c>
      <c r="I941" s="17">
        <v>45698</v>
      </c>
      <c r="J941" s="18">
        <f>YEAR(Tabla1[[#This Row],[FECHA DE COMPRA]])</f>
        <v>2025</v>
      </c>
      <c r="K941" s="19">
        <v>88.72</v>
      </c>
      <c r="L941" s="20">
        <v>0.1</v>
      </c>
      <c r="M941" s="19">
        <f>Tienda!$K3673-Tienda!$K3673*Tienda!$L3673</f>
        <v>159.435</v>
      </c>
      <c r="N941" s="3" t="s">
        <v>10040</v>
      </c>
      <c r="O941" s="3" t="s">
        <v>10042</v>
      </c>
      <c r="P941" s="17">
        <v>45698</v>
      </c>
      <c r="Q941" s="4">
        <v>3</v>
      </c>
    </row>
    <row r="942" spans="1:17" x14ac:dyDescent="0.25">
      <c r="A942" s="2" t="s">
        <v>225</v>
      </c>
      <c r="B942" s="3" t="s">
        <v>5015</v>
      </c>
      <c r="C942" s="3">
        <v>35</v>
      </c>
      <c r="D942" s="46" t="str">
        <f>IF(Tabla1[[#This Row],[EDAD]]&lt;=35,"Adultos jóvenes 18 - 35 años",IF(C942&gt;=36,"Adultos mayores 36 años en adelante"))</f>
        <v>Adultos jóvenes 18 - 35 años</v>
      </c>
      <c r="E942" s="3" t="s">
        <v>5022</v>
      </c>
      <c r="F942" s="3" t="s">
        <v>5028</v>
      </c>
      <c r="G942" s="3" t="s">
        <v>5032</v>
      </c>
      <c r="H942" s="3" t="s">
        <v>5248</v>
      </c>
      <c r="I942" s="17">
        <v>45698</v>
      </c>
      <c r="J942" s="18">
        <f>YEAR(Tabla1[[#This Row],[FECHA DE COMPRA]])</f>
        <v>2025</v>
      </c>
      <c r="K942" s="19">
        <v>106.52</v>
      </c>
      <c r="L942" s="20">
        <v>0.1</v>
      </c>
      <c r="M942" s="19">
        <f>Tienda!$K3674-Tienda!$K3674*Tienda!$L3674</f>
        <v>63.92</v>
      </c>
      <c r="N942" s="3" t="s">
        <v>10040</v>
      </c>
      <c r="O942" s="3" t="s">
        <v>10042</v>
      </c>
      <c r="P942" s="17">
        <v>45698</v>
      </c>
      <c r="Q942" s="4">
        <v>3</v>
      </c>
    </row>
    <row r="943" spans="1:17" x14ac:dyDescent="0.25">
      <c r="A943" s="2" t="s">
        <v>1759</v>
      </c>
      <c r="B943" s="3" t="s">
        <v>5015</v>
      </c>
      <c r="C943" s="3">
        <v>23</v>
      </c>
      <c r="D943" s="46" t="str">
        <f>IF(Tabla1[[#This Row],[EDAD]]&lt;=35,"Adultos jóvenes 18 - 35 años",IF(C943&gt;=36,"Adultos mayores 36 años en adelante"))</f>
        <v>Adultos jóvenes 18 - 35 años</v>
      </c>
      <c r="E943" s="3" t="s">
        <v>5023</v>
      </c>
      <c r="F943" s="3" t="s">
        <v>5024</v>
      </c>
      <c r="G943" s="3" t="s">
        <v>5031</v>
      </c>
      <c r="H943" s="3" t="s">
        <v>6782</v>
      </c>
      <c r="I943" s="17">
        <v>45698</v>
      </c>
      <c r="J943" s="18">
        <f>YEAR(Tabla1[[#This Row],[FECHA DE COMPRA]])</f>
        <v>2025</v>
      </c>
      <c r="K943" s="19">
        <v>164.38</v>
      </c>
      <c r="L943" s="20">
        <v>0.2</v>
      </c>
      <c r="M943" s="19">
        <f>Tienda!$K3676-Tienda!$K3676*Tienda!$L3676</f>
        <v>138.37</v>
      </c>
      <c r="N943" s="3" t="s">
        <v>10040</v>
      </c>
      <c r="O943" s="3" t="s">
        <v>10042</v>
      </c>
      <c r="P943" s="17">
        <v>45698</v>
      </c>
      <c r="Q943" s="4">
        <v>3</v>
      </c>
    </row>
    <row r="944" spans="1:17" x14ac:dyDescent="0.25">
      <c r="A944" s="2" t="s">
        <v>958</v>
      </c>
      <c r="B944" s="3" t="s">
        <v>5015</v>
      </c>
      <c r="C944" s="3">
        <v>33</v>
      </c>
      <c r="D944" s="46" t="str">
        <f>IF(Tabla1[[#This Row],[EDAD]]&lt;=35,"Adultos jóvenes 18 - 35 años",IF(C944&gt;=36,"Adultos mayores 36 años en adelante"))</f>
        <v>Adultos jóvenes 18 - 35 años</v>
      </c>
      <c r="E944" s="3" t="s">
        <v>5018</v>
      </c>
      <c r="F944" s="3" t="s">
        <v>5025</v>
      </c>
      <c r="G944" s="3" t="s">
        <v>5034</v>
      </c>
      <c r="H944" s="3" t="s">
        <v>5981</v>
      </c>
      <c r="I944" s="17">
        <v>45699</v>
      </c>
      <c r="J944" s="18">
        <f>YEAR(Tabla1[[#This Row],[FECHA DE COMPRA]])</f>
        <v>2025</v>
      </c>
      <c r="K944" s="19">
        <v>159.51</v>
      </c>
      <c r="L944" s="20">
        <v>0</v>
      </c>
      <c r="M944" s="19">
        <f>Tienda!$K3679-Tienda!$K3679*Tienda!$L3679</f>
        <v>30.186</v>
      </c>
      <c r="N944" s="3" t="s">
        <v>10040</v>
      </c>
      <c r="O944" s="3" t="s">
        <v>10042</v>
      </c>
      <c r="P944" s="17">
        <v>45699</v>
      </c>
      <c r="Q944" s="4">
        <v>3</v>
      </c>
    </row>
    <row r="945" spans="1:17" x14ac:dyDescent="0.25">
      <c r="A945" s="2" t="s">
        <v>1163</v>
      </c>
      <c r="B945" s="3" t="s">
        <v>5015</v>
      </c>
      <c r="C945" s="3">
        <v>30</v>
      </c>
      <c r="D945" s="46" t="str">
        <f>IF(Tabla1[[#This Row],[EDAD]]&lt;=35,"Adultos jóvenes 18 - 35 años",IF(C945&gt;=36,"Adultos mayores 36 años en adelante"))</f>
        <v>Adultos jóvenes 18 - 35 años</v>
      </c>
      <c r="E945" s="3" t="s">
        <v>5023</v>
      </c>
      <c r="F945" s="3" t="s">
        <v>5026</v>
      </c>
      <c r="G945" s="3" t="s">
        <v>5036</v>
      </c>
      <c r="H945" s="3" t="s">
        <v>6186</v>
      </c>
      <c r="I945" s="17">
        <v>45700</v>
      </c>
      <c r="J945" s="18">
        <f>YEAR(Tabla1[[#This Row],[FECHA DE COMPRA]])</f>
        <v>2025</v>
      </c>
      <c r="K945" s="19">
        <v>88.47</v>
      </c>
      <c r="L945" s="20">
        <v>0.2</v>
      </c>
      <c r="M945" s="19">
        <f>Tienda!$K3680-Tienda!$K3680*Tienda!$L3680</f>
        <v>88.944000000000003</v>
      </c>
      <c r="N945" s="3" t="s">
        <v>10040</v>
      </c>
      <c r="O945" s="3" t="s">
        <v>10042</v>
      </c>
      <c r="P945" s="17">
        <v>45700</v>
      </c>
      <c r="Q945" s="4">
        <v>6</v>
      </c>
    </row>
    <row r="946" spans="1:17" x14ac:dyDescent="0.25">
      <c r="A946" s="2" t="s">
        <v>1965</v>
      </c>
      <c r="B946" s="3" t="s">
        <v>5015</v>
      </c>
      <c r="C946" s="3">
        <v>32</v>
      </c>
      <c r="D946" s="46" t="str">
        <f>IF(Tabla1[[#This Row],[EDAD]]&lt;=35,"Adultos jóvenes 18 - 35 años",IF(C946&gt;=36,"Adultos mayores 36 años en adelante"))</f>
        <v>Adultos jóvenes 18 - 35 años</v>
      </c>
      <c r="E946" s="3" t="s">
        <v>5020</v>
      </c>
      <c r="F946" s="3" t="s">
        <v>5025</v>
      </c>
      <c r="G946" s="3" t="s">
        <v>5035</v>
      </c>
      <c r="H946" s="3" t="s">
        <v>6988</v>
      </c>
      <c r="I946" s="17">
        <v>45702</v>
      </c>
      <c r="J946" s="18">
        <f>YEAR(Tabla1[[#This Row],[FECHA DE COMPRA]])</f>
        <v>2025</v>
      </c>
      <c r="K946" s="19">
        <v>15.34</v>
      </c>
      <c r="L946" s="20">
        <v>0</v>
      </c>
      <c r="M946" s="19">
        <f>Tienda!$K3682-Tienda!$K3682*Tienda!$L3682</f>
        <v>181.62</v>
      </c>
      <c r="N946" s="3" t="s">
        <v>10040</v>
      </c>
      <c r="O946" s="3" t="s">
        <v>10042</v>
      </c>
      <c r="P946" s="17">
        <v>45702</v>
      </c>
      <c r="Q946" s="4">
        <v>6</v>
      </c>
    </row>
    <row r="947" spans="1:17" x14ac:dyDescent="0.25">
      <c r="A947" s="2" t="s">
        <v>946</v>
      </c>
      <c r="B947" s="3" t="s">
        <v>5016</v>
      </c>
      <c r="C947" s="3">
        <v>35</v>
      </c>
      <c r="D947" s="46" t="str">
        <f>IF(Tabla1[[#This Row],[EDAD]]&lt;=35,"Adultos jóvenes 18 - 35 años",IF(C947&gt;=36,"Adultos mayores 36 años en adelante"))</f>
        <v>Adultos jóvenes 18 - 35 años</v>
      </c>
      <c r="E947" s="3" t="s">
        <v>5017</v>
      </c>
      <c r="F947" s="3" t="s">
        <v>5028</v>
      </c>
      <c r="G947" s="3" t="s">
        <v>5035</v>
      </c>
      <c r="H947" s="3" t="s">
        <v>5969</v>
      </c>
      <c r="I947" s="17">
        <v>45706</v>
      </c>
      <c r="J947" s="18">
        <f>YEAR(Tabla1[[#This Row],[FECHA DE COMPRA]])</f>
        <v>2025</v>
      </c>
      <c r="K947" s="19">
        <v>19.73</v>
      </c>
      <c r="L947" s="20">
        <v>0.2</v>
      </c>
      <c r="M947" s="19">
        <f>Tienda!$K3687-Tienda!$K3687*Tienda!$L3687</f>
        <v>75.727999999999994</v>
      </c>
      <c r="N947" s="3" t="s">
        <v>10040</v>
      </c>
      <c r="O947" s="3" t="s">
        <v>10042</v>
      </c>
      <c r="P947" s="17">
        <v>45706</v>
      </c>
      <c r="Q947" s="4">
        <v>6</v>
      </c>
    </row>
    <row r="948" spans="1:17" x14ac:dyDescent="0.25">
      <c r="A948" s="2" t="s">
        <v>3670</v>
      </c>
      <c r="B948" s="3" t="s">
        <v>5016</v>
      </c>
      <c r="C948" s="3">
        <v>19</v>
      </c>
      <c r="D948" s="46" t="str">
        <f>IF(Tabla1[[#This Row],[EDAD]]&lt;=35,"Adultos jóvenes 18 - 35 años",IF(C948&gt;=36,"Adultos mayores 36 años en adelante"))</f>
        <v>Adultos jóvenes 18 - 35 años</v>
      </c>
      <c r="E948" s="3" t="s">
        <v>5023</v>
      </c>
      <c r="F948" s="3" t="s">
        <v>5030</v>
      </c>
      <c r="G948" s="3" t="s">
        <v>5031</v>
      </c>
      <c r="H948" s="3" t="s">
        <v>8693</v>
      </c>
      <c r="I948" s="17">
        <v>45707</v>
      </c>
      <c r="J948" s="18">
        <f>YEAR(Tabla1[[#This Row],[FECHA DE COMPRA]])</f>
        <v>2025</v>
      </c>
      <c r="K948" s="19">
        <v>120.33</v>
      </c>
      <c r="L948" s="20">
        <v>0</v>
      </c>
      <c r="M948" s="19">
        <f>Tienda!$K3689-Tienda!$K3689*Tienda!$L3689</f>
        <v>122.304</v>
      </c>
      <c r="N948" s="3" t="s">
        <v>10040</v>
      </c>
      <c r="O948" s="3" t="s">
        <v>10042</v>
      </c>
      <c r="P948" s="17">
        <v>45707</v>
      </c>
      <c r="Q948" s="4">
        <v>6</v>
      </c>
    </row>
    <row r="949" spans="1:17" x14ac:dyDescent="0.25">
      <c r="A949" s="2" t="s">
        <v>3368</v>
      </c>
      <c r="B949" s="3" t="s">
        <v>5015</v>
      </c>
      <c r="C949" s="3">
        <v>24</v>
      </c>
      <c r="D949" s="46" t="str">
        <f>IF(Tabla1[[#This Row],[EDAD]]&lt;=35,"Adultos jóvenes 18 - 35 años",IF(C949&gt;=36,"Adultos mayores 36 años en adelante"))</f>
        <v>Adultos jóvenes 18 - 35 años</v>
      </c>
      <c r="E949" s="3" t="s">
        <v>5019</v>
      </c>
      <c r="F949" s="3" t="s">
        <v>5029</v>
      </c>
      <c r="G949" s="3" t="s">
        <v>5035</v>
      </c>
      <c r="H949" s="3" t="s">
        <v>8391</v>
      </c>
      <c r="I949" s="17">
        <v>45708</v>
      </c>
      <c r="J949" s="18">
        <f>YEAR(Tabla1[[#This Row],[FECHA DE COMPRA]])</f>
        <v>2025</v>
      </c>
      <c r="K949" s="19">
        <v>22.07</v>
      </c>
      <c r="L949" s="20">
        <v>0.3</v>
      </c>
      <c r="M949" s="19">
        <f>Tienda!$K3690-Tienda!$K3690*Tienda!$L3690</f>
        <v>135.114</v>
      </c>
      <c r="N949" s="3" t="s">
        <v>10040</v>
      </c>
      <c r="O949" s="3" t="s">
        <v>10042</v>
      </c>
      <c r="P949" s="17">
        <v>45708</v>
      </c>
      <c r="Q949" s="4">
        <v>6</v>
      </c>
    </row>
    <row r="950" spans="1:17" x14ac:dyDescent="0.25">
      <c r="A950" s="2" t="s">
        <v>1101</v>
      </c>
      <c r="B950" s="3" t="s">
        <v>5015</v>
      </c>
      <c r="C950" s="3">
        <v>31</v>
      </c>
      <c r="D950" s="46" t="str">
        <f>IF(Tabla1[[#This Row],[EDAD]]&lt;=35,"Adultos jóvenes 18 - 35 años",IF(C950&gt;=36,"Adultos mayores 36 años en adelante"))</f>
        <v>Adultos jóvenes 18 - 35 años</v>
      </c>
      <c r="E950" s="3" t="s">
        <v>5018</v>
      </c>
      <c r="F950" s="3" t="s">
        <v>5025</v>
      </c>
      <c r="G950" s="3" t="s">
        <v>5031</v>
      </c>
      <c r="H950" s="3" t="s">
        <v>6124</v>
      </c>
      <c r="I950" s="17">
        <v>45711</v>
      </c>
      <c r="J950" s="18">
        <f>YEAR(Tabla1[[#This Row],[FECHA DE COMPRA]])</f>
        <v>2025</v>
      </c>
      <c r="K950" s="19">
        <v>140.24</v>
      </c>
      <c r="L950" s="20">
        <v>0.1</v>
      </c>
      <c r="M950" s="19">
        <f>Tienda!$K3691-Tienda!$K3691*Tienda!$L3691</f>
        <v>43.3</v>
      </c>
      <c r="N950" s="3" t="s">
        <v>10040</v>
      </c>
      <c r="O950" s="3" t="s">
        <v>10042</v>
      </c>
      <c r="P950" s="17">
        <v>45711</v>
      </c>
      <c r="Q950" s="4">
        <v>3</v>
      </c>
    </row>
    <row r="951" spans="1:17" x14ac:dyDescent="0.25">
      <c r="A951" s="2" t="s">
        <v>283</v>
      </c>
      <c r="B951" s="3" t="s">
        <v>5015</v>
      </c>
      <c r="C951" s="3">
        <v>33</v>
      </c>
      <c r="D951" s="46" t="str">
        <f>IF(Tabla1[[#This Row],[EDAD]]&lt;=35,"Adultos jóvenes 18 - 35 años",IF(C951&gt;=36,"Adultos mayores 36 años en adelante"))</f>
        <v>Adultos jóvenes 18 - 35 años</v>
      </c>
      <c r="E951" s="3" t="s">
        <v>5021</v>
      </c>
      <c r="F951" s="3" t="s">
        <v>5024</v>
      </c>
      <c r="G951" s="3" t="s">
        <v>5031</v>
      </c>
      <c r="H951" s="3" t="s">
        <v>5306</v>
      </c>
      <c r="I951" s="17">
        <v>45714</v>
      </c>
      <c r="J951" s="18">
        <f>YEAR(Tabla1[[#This Row],[FECHA DE COMPRA]])</f>
        <v>2025</v>
      </c>
      <c r="K951" s="19">
        <v>37.32</v>
      </c>
      <c r="L951" s="20">
        <v>0</v>
      </c>
      <c r="M951" s="19">
        <f>Tienda!$K3694-Tienda!$K3694*Tienda!$L3694</f>
        <v>164.02</v>
      </c>
      <c r="N951" s="3" t="s">
        <v>10040</v>
      </c>
      <c r="O951" s="3" t="s">
        <v>10042</v>
      </c>
      <c r="P951" s="17">
        <v>45714</v>
      </c>
      <c r="Q951" s="4">
        <v>3</v>
      </c>
    </row>
    <row r="952" spans="1:17" x14ac:dyDescent="0.25">
      <c r="A952" s="2" t="s">
        <v>1834</v>
      </c>
      <c r="B952" s="3" t="s">
        <v>5015</v>
      </c>
      <c r="C952" s="3">
        <v>34</v>
      </c>
      <c r="D952" s="46" t="str">
        <f>IF(Tabla1[[#This Row],[EDAD]]&lt;=35,"Adultos jóvenes 18 - 35 años",IF(C952&gt;=36,"Adultos mayores 36 años en adelante"))</f>
        <v>Adultos jóvenes 18 - 35 años</v>
      </c>
      <c r="E952" s="3" t="s">
        <v>5020</v>
      </c>
      <c r="F952" s="3" t="s">
        <v>5028</v>
      </c>
      <c r="G952" s="3" t="s">
        <v>5034</v>
      </c>
      <c r="H952" s="3" t="s">
        <v>6857</v>
      </c>
      <c r="I952" s="17">
        <v>45730</v>
      </c>
      <c r="J952" s="18">
        <f>YEAR(Tabla1[[#This Row],[FECHA DE COMPRA]])</f>
        <v>2025</v>
      </c>
      <c r="K952" s="19">
        <v>60.19</v>
      </c>
      <c r="L952" s="20">
        <v>0</v>
      </c>
      <c r="M952" s="19">
        <f>Tienda!$K3705-Tienda!$K3705*Tienda!$L3705</f>
        <v>33.354999999999997</v>
      </c>
      <c r="N952" s="3" t="s">
        <v>10040</v>
      </c>
      <c r="O952" s="3" t="s">
        <v>10042</v>
      </c>
      <c r="P952" s="17">
        <v>45730</v>
      </c>
      <c r="Q952" s="4">
        <v>6</v>
      </c>
    </row>
    <row r="953" spans="1:17" x14ac:dyDescent="0.25">
      <c r="A953" s="2" t="s">
        <v>2247</v>
      </c>
      <c r="B953" s="3" t="s">
        <v>5015</v>
      </c>
      <c r="C953" s="3">
        <v>30</v>
      </c>
      <c r="D953" s="46" t="str">
        <f>IF(Tabla1[[#This Row],[EDAD]]&lt;=35,"Adultos jóvenes 18 - 35 años",IF(C953&gt;=36,"Adultos mayores 36 años en adelante"))</f>
        <v>Adultos jóvenes 18 - 35 años</v>
      </c>
      <c r="E953" s="3" t="s">
        <v>5017</v>
      </c>
      <c r="F953" s="3" t="s">
        <v>5025</v>
      </c>
      <c r="G953" s="3" t="s">
        <v>5031</v>
      </c>
      <c r="H953" s="3" t="s">
        <v>7270</v>
      </c>
      <c r="I953" s="17">
        <v>45742</v>
      </c>
      <c r="J953" s="18">
        <f>YEAR(Tabla1[[#This Row],[FECHA DE COMPRA]])</f>
        <v>2025</v>
      </c>
      <c r="K953" s="19">
        <v>73.06</v>
      </c>
      <c r="L953" s="20">
        <v>0.2</v>
      </c>
      <c r="M953" s="19">
        <f>Tienda!$K3709-Tienda!$K3709*Tienda!$L3709</f>
        <v>132.125</v>
      </c>
      <c r="N953" s="3" t="s">
        <v>10040</v>
      </c>
      <c r="O953" s="3" t="s">
        <v>10042</v>
      </c>
      <c r="P953" s="17">
        <v>45742</v>
      </c>
      <c r="Q953" s="4">
        <v>6</v>
      </c>
    </row>
    <row r="954" spans="1:17" x14ac:dyDescent="0.25">
      <c r="A954" s="2" t="s">
        <v>3094</v>
      </c>
      <c r="B954" s="3" t="s">
        <v>5015</v>
      </c>
      <c r="C954" s="3">
        <v>20</v>
      </c>
      <c r="D954" s="46" t="str">
        <f>IF(Tabla1[[#This Row],[EDAD]]&lt;=35,"Adultos jóvenes 18 - 35 años",IF(C954&gt;=36,"Adultos mayores 36 años en adelante"))</f>
        <v>Adultos jóvenes 18 - 35 años</v>
      </c>
      <c r="E954" s="3" t="s">
        <v>5021</v>
      </c>
      <c r="F954" s="3" t="s">
        <v>5028</v>
      </c>
      <c r="G954" s="3" t="s">
        <v>5034</v>
      </c>
      <c r="H954" s="3" t="s">
        <v>8117</v>
      </c>
      <c r="I954" s="17">
        <v>45731</v>
      </c>
      <c r="J954" s="18">
        <f>YEAR(Tabla1[[#This Row],[FECHA DE COMPRA]])</f>
        <v>2025</v>
      </c>
      <c r="K954" s="19">
        <v>82.06</v>
      </c>
      <c r="L954" s="20">
        <v>0.3</v>
      </c>
      <c r="M954" s="19">
        <f>Tienda!$K3711-Tienda!$K3711*Tienda!$L3711</f>
        <v>82.837999999999994</v>
      </c>
      <c r="N954" s="3" t="s">
        <v>10040</v>
      </c>
      <c r="O954" s="3" t="s">
        <v>10042</v>
      </c>
      <c r="P954" s="17">
        <v>45731</v>
      </c>
      <c r="Q954" s="4">
        <v>6</v>
      </c>
    </row>
    <row r="955" spans="1:17" x14ac:dyDescent="0.25">
      <c r="A955" s="2" t="s">
        <v>2501</v>
      </c>
      <c r="B955" s="3" t="s">
        <v>5016</v>
      </c>
      <c r="C955" s="3">
        <v>24</v>
      </c>
      <c r="D955" s="46" t="str">
        <f>IF(Tabla1[[#This Row],[EDAD]]&lt;=35,"Adultos jóvenes 18 - 35 años",IF(C955&gt;=36,"Adultos mayores 36 años en adelante"))</f>
        <v>Adultos jóvenes 18 - 35 años</v>
      </c>
      <c r="E955" s="3" t="s">
        <v>5017</v>
      </c>
      <c r="F955" s="3" t="s">
        <v>5027</v>
      </c>
      <c r="G955" s="3" t="s">
        <v>5033</v>
      </c>
      <c r="H955" s="3" t="s">
        <v>7524</v>
      </c>
      <c r="I955" s="17">
        <v>45725</v>
      </c>
      <c r="J955" s="18">
        <f>YEAR(Tabla1[[#This Row],[FECHA DE COMPRA]])</f>
        <v>2025</v>
      </c>
      <c r="K955" s="19">
        <v>82.38</v>
      </c>
      <c r="L955" s="20">
        <v>0.2</v>
      </c>
      <c r="M955" s="19">
        <f>Tienda!$K3712-Tienda!$K3712*Tienda!$L3712</f>
        <v>162.78300000000002</v>
      </c>
      <c r="N955" s="3" t="s">
        <v>10040</v>
      </c>
      <c r="O955" s="3" t="s">
        <v>10042</v>
      </c>
      <c r="P955" s="17">
        <v>45725</v>
      </c>
      <c r="Q955" s="4">
        <v>6</v>
      </c>
    </row>
    <row r="956" spans="1:17" x14ac:dyDescent="0.25">
      <c r="A956" s="2" t="s">
        <v>4302</v>
      </c>
      <c r="B956" s="3" t="s">
        <v>5016</v>
      </c>
      <c r="C956" s="3">
        <v>35</v>
      </c>
      <c r="D956" s="46" t="str">
        <f>IF(Tabla1[[#This Row],[EDAD]]&lt;=35,"Adultos jóvenes 18 - 35 años",IF(C956&gt;=36,"Adultos mayores 36 años en adelante"))</f>
        <v>Adultos jóvenes 18 - 35 años</v>
      </c>
      <c r="E956" s="3" t="s">
        <v>5017</v>
      </c>
      <c r="F956" s="3" t="s">
        <v>5030</v>
      </c>
      <c r="G956" s="3" t="s">
        <v>5032</v>
      </c>
      <c r="H956" s="3" t="s">
        <v>9325</v>
      </c>
      <c r="I956" s="17">
        <v>45736</v>
      </c>
      <c r="J956" s="18">
        <f>YEAR(Tabla1[[#This Row],[FECHA DE COMPRA]])</f>
        <v>2025</v>
      </c>
      <c r="K956" s="19">
        <v>93.28</v>
      </c>
      <c r="L956" s="20">
        <v>0.2</v>
      </c>
      <c r="M956" s="19">
        <f>Tienda!$K3716-Tienda!$K3716*Tienda!$L3716</f>
        <v>138.16800000000001</v>
      </c>
      <c r="N956" s="3" t="s">
        <v>10040</v>
      </c>
      <c r="O956" s="3" t="s">
        <v>10042</v>
      </c>
      <c r="P956" s="17">
        <v>45736</v>
      </c>
      <c r="Q956" s="4">
        <v>3</v>
      </c>
    </row>
    <row r="957" spans="1:17" x14ac:dyDescent="0.25">
      <c r="A957" s="2" t="s">
        <v>3216</v>
      </c>
      <c r="B957" s="3" t="s">
        <v>5016</v>
      </c>
      <c r="C957" s="3">
        <v>31</v>
      </c>
      <c r="D957" s="46" t="str">
        <f>IF(Tabla1[[#This Row],[EDAD]]&lt;=35,"Adultos jóvenes 18 - 35 años",IF(C957&gt;=36,"Adultos mayores 36 años en adelante"))</f>
        <v>Adultos jóvenes 18 - 35 años</v>
      </c>
      <c r="E957" s="3" t="s">
        <v>5017</v>
      </c>
      <c r="F957" s="3" t="s">
        <v>5027</v>
      </c>
      <c r="G957" s="3" t="s">
        <v>5035</v>
      </c>
      <c r="H957" s="3" t="s">
        <v>8239</v>
      </c>
      <c r="I957" s="17">
        <v>45745</v>
      </c>
      <c r="J957" s="18">
        <f>YEAR(Tabla1[[#This Row],[FECHA DE COMPRA]])</f>
        <v>2025</v>
      </c>
      <c r="K957" s="19">
        <v>95.44</v>
      </c>
      <c r="L957" s="20">
        <v>0.3</v>
      </c>
      <c r="M957" s="19">
        <f>Tienda!$K3717-Tienda!$K3717*Tienda!$L3717</f>
        <v>14.49</v>
      </c>
      <c r="N957" s="3" t="s">
        <v>10040</v>
      </c>
      <c r="O957" s="3" t="s">
        <v>10042</v>
      </c>
      <c r="P957" s="17">
        <v>45745</v>
      </c>
      <c r="Q957" s="4">
        <v>3</v>
      </c>
    </row>
    <row r="958" spans="1:17" x14ac:dyDescent="0.25">
      <c r="A958" s="2" t="s">
        <v>4285</v>
      </c>
      <c r="B958" s="3" t="s">
        <v>5016</v>
      </c>
      <c r="C958" s="3">
        <v>25</v>
      </c>
      <c r="D958" s="46" t="str">
        <f>IF(Tabla1[[#This Row],[EDAD]]&lt;=35,"Adultos jóvenes 18 - 35 años",IF(C958&gt;=36,"Adultos mayores 36 años en adelante"))</f>
        <v>Adultos jóvenes 18 - 35 años</v>
      </c>
      <c r="E958" s="3" t="s">
        <v>5019</v>
      </c>
      <c r="F958" s="3" t="s">
        <v>5025</v>
      </c>
      <c r="G958" s="3" t="s">
        <v>5034</v>
      </c>
      <c r="H958" s="3" t="s">
        <v>9308</v>
      </c>
      <c r="I958" s="17">
        <v>45738</v>
      </c>
      <c r="J958" s="18">
        <f>YEAR(Tabla1[[#This Row],[FECHA DE COMPRA]])</f>
        <v>2025</v>
      </c>
      <c r="K958" s="19">
        <v>112.86</v>
      </c>
      <c r="L958" s="20">
        <v>0.2</v>
      </c>
      <c r="M958" s="19">
        <f>Tienda!$K3721-Tienda!$K3721*Tienda!$L3721</f>
        <v>84.51</v>
      </c>
      <c r="N958" s="3" t="s">
        <v>10040</v>
      </c>
      <c r="O958" s="3" t="s">
        <v>10042</v>
      </c>
      <c r="P958" s="17">
        <v>45738</v>
      </c>
      <c r="Q958" s="4">
        <v>3</v>
      </c>
    </row>
    <row r="959" spans="1:17" x14ac:dyDescent="0.25">
      <c r="A959" s="2" t="s">
        <v>3201</v>
      </c>
      <c r="B959" s="3" t="s">
        <v>5015</v>
      </c>
      <c r="C959" s="3">
        <v>26</v>
      </c>
      <c r="D959" s="46" t="str">
        <f>IF(Tabla1[[#This Row],[EDAD]]&lt;=35,"Adultos jóvenes 18 - 35 años",IF(C959&gt;=36,"Adultos mayores 36 años en adelante"))</f>
        <v>Adultos jóvenes 18 - 35 años</v>
      </c>
      <c r="E959" s="3" t="s">
        <v>5018</v>
      </c>
      <c r="F959" s="3" t="s">
        <v>5028</v>
      </c>
      <c r="G959" s="3" t="s">
        <v>5034</v>
      </c>
      <c r="H959" s="3" t="s">
        <v>8224</v>
      </c>
      <c r="I959" s="17">
        <v>45718</v>
      </c>
      <c r="J959" s="18">
        <f>YEAR(Tabla1[[#This Row],[FECHA DE COMPRA]])</f>
        <v>2025</v>
      </c>
      <c r="K959" s="19">
        <v>125.69</v>
      </c>
      <c r="L959" s="20">
        <v>0.2</v>
      </c>
      <c r="M959" s="19">
        <f>Tienda!$K3724-Tienda!$K3724*Tienda!$L3724</f>
        <v>14.575999999999999</v>
      </c>
      <c r="N959" s="3" t="s">
        <v>10040</v>
      </c>
      <c r="O959" s="3" t="s">
        <v>10042</v>
      </c>
      <c r="P959" s="17">
        <v>45718</v>
      </c>
      <c r="Q959" s="4">
        <v>6</v>
      </c>
    </row>
    <row r="960" spans="1:17" x14ac:dyDescent="0.25">
      <c r="A960" s="2" t="s">
        <v>1784</v>
      </c>
      <c r="B960" s="3" t="s">
        <v>5015</v>
      </c>
      <c r="C960" s="3">
        <v>25</v>
      </c>
      <c r="D960" s="46" t="str">
        <f>IF(Tabla1[[#This Row],[EDAD]]&lt;=35,"Adultos jóvenes 18 - 35 años",IF(C960&gt;=36,"Adultos mayores 36 años en adelante"))</f>
        <v>Adultos jóvenes 18 - 35 años</v>
      </c>
      <c r="E960" s="3" t="s">
        <v>5020</v>
      </c>
      <c r="F960" s="3" t="s">
        <v>5025</v>
      </c>
      <c r="G960" s="3" t="s">
        <v>5033</v>
      </c>
      <c r="H960" s="3" t="s">
        <v>6807</v>
      </c>
      <c r="I960" s="17">
        <v>45739</v>
      </c>
      <c r="J960" s="18">
        <f>YEAR(Tabla1[[#This Row],[FECHA DE COMPRA]])</f>
        <v>2025</v>
      </c>
      <c r="K960" s="19">
        <v>133.91999999999999</v>
      </c>
      <c r="L960" s="20">
        <v>0</v>
      </c>
      <c r="M960" s="19">
        <f>Tienda!$K3726-Tienda!$K3726*Tienda!$L3726</f>
        <v>39.222000000000001</v>
      </c>
      <c r="N960" s="3" t="s">
        <v>10040</v>
      </c>
      <c r="O960" s="3" t="s">
        <v>10042</v>
      </c>
      <c r="P960" s="17">
        <v>45739</v>
      </c>
      <c r="Q960" s="4">
        <v>6</v>
      </c>
    </row>
    <row r="961" spans="1:17" x14ac:dyDescent="0.25">
      <c r="A961" s="2" t="s">
        <v>1982</v>
      </c>
      <c r="B961" s="3" t="s">
        <v>5015</v>
      </c>
      <c r="C961" s="3">
        <v>27</v>
      </c>
      <c r="D961" s="46" t="str">
        <f>IF(Tabla1[[#This Row],[EDAD]]&lt;=35,"Adultos jóvenes 18 - 35 años",IF(C961&gt;=36,"Adultos mayores 36 años en adelante"))</f>
        <v>Adultos jóvenes 18 - 35 años</v>
      </c>
      <c r="E961" s="3" t="s">
        <v>5018</v>
      </c>
      <c r="F961" s="3" t="s">
        <v>5030</v>
      </c>
      <c r="G961" s="3" t="s">
        <v>5032</v>
      </c>
      <c r="H961" s="3" t="s">
        <v>7005</v>
      </c>
      <c r="I961" s="17">
        <v>45718</v>
      </c>
      <c r="J961" s="18">
        <f>YEAR(Tabla1[[#This Row],[FECHA DE COMPRA]])</f>
        <v>2025</v>
      </c>
      <c r="K961" s="19">
        <v>141.56</v>
      </c>
      <c r="L961" s="20">
        <v>0.1</v>
      </c>
      <c r="M961" s="19">
        <f>Tienda!$K3728-Tienda!$K3728*Tienda!$L3728</f>
        <v>110.745</v>
      </c>
      <c r="N961" s="3" t="s">
        <v>10040</v>
      </c>
      <c r="O961" s="3" t="s">
        <v>10042</v>
      </c>
      <c r="P961" s="17">
        <v>45718</v>
      </c>
      <c r="Q961" s="4">
        <v>6</v>
      </c>
    </row>
    <row r="962" spans="1:17" x14ac:dyDescent="0.25">
      <c r="A962" s="2" t="s">
        <v>1634</v>
      </c>
      <c r="B962" s="3" t="s">
        <v>5015</v>
      </c>
      <c r="C962" s="3">
        <v>34</v>
      </c>
      <c r="D962" s="46" t="str">
        <f>IF(Tabla1[[#This Row],[EDAD]]&lt;=35,"Adultos jóvenes 18 - 35 años",IF(C962&gt;=36,"Adultos mayores 36 años en adelante"))</f>
        <v>Adultos jóvenes 18 - 35 años</v>
      </c>
      <c r="E962" s="3" t="s">
        <v>5023</v>
      </c>
      <c r="F962" s="3" t="s">
        <v>5026</v>
      </c>
      <c r="G962" s="3" t="s">
        <v>5036</v>
      </c>
      <c r="H962" s="3" t="s">
        <v>6657</v>
      </c>
      <c r="I962" s="17">
        <v>45737</v>
      </c>
      <c r="J962" s="18">
        <f>YEAR(Tabla1[[#This Row],[FECHA DE COMPRA]])</f>
        <v>2025</v>
      </c>
      <c r="K962" s="19">
        <v>147.35</v>
      </c>
      <c r="L962" s="20">
        <v>0.1</v>
      </c>
      <c r="M962" s="19">
        <f>Tienda!$K3729-Tienda!$K3729*Tienda!$L3729</f>
        <v>100.352</v>
      </c>
      <c r="N962" s="3" t="s">
        <v>10040</v>
      </c>
      <c r="O962" s="3" t="s">
        <v>10042</v>
      </c>
      <c r="P962" s="17">
        <v>45737</v>
      </c>
      <c r="Q962" s="4">
        <v>6</v>
      </c>
    </row>
    <row r="963" spans="1:17" x14ac:dyDescent="0.25">
      <c r="A963" s="2" t="s">
        <v>3590</v>
      </c>
      <c r="B963" s="3" t="s">
        <v>5015</v>
      </c>
      <c r="C963" s="3">
        <v>34</v>
      </c>
      <c r="D963" s="46" t="str">
        <f>IF(Tabla1[[#This Row],[EDAD]]&lt;=35,"Adultos jóvenes 18 - 35 años",IF(C963&gt;=36,"Adultos mayores 36 años en adelante"))</f>
        <v>Adultos jóvenes 18 - 35 años</v>
      </c>
      <c r="E963" s="3" t="s">
        <v>5018</v>
      </c>
      <c r="F963" s="3" t="s">
        <v>5030</v>
      </c>
      <c r="G963" s="3" t="s">
        <v>5031</v>
      </c>
      <c r="H963" s="3" t="s">
        <v>8613</v>
      </c>
      <c r="I963" s="17">
        <v>45734</v>
      </c>
      <c r="J963" s="18">
        <f>YEAR(Tabla1[[#This Row],[FECHA DE COMPRA]])</f>
        <v>2025</v>
      </c>
      <c r="K963" s="19">
        <v>163.21</v>
      </c>
      <c r="L963" s="20">
        <v>0.1</v>
      </c>
      <c r="M963" s="19">
        <f>Tienda!$K3734-Tienda!$K3734*Tienda!$L3734</f>
        <v>24.752000000000002</v>
      </c>
      <c r="N963" s="3" t="s">
        <v>10040</v>
      </c>
      <c r="O963" s="3" t="s">
        <v>10042</v>
      </c>
      <c r="P963" s="17">
        <v>45734</v>
      </c>
      <c r="Q963" s="4">
        <v>6</v>
      </c>
    </row>
    <row r="964" spans="1:17" x14ac:dyDescent="0.25">
      <c r="A964" s="2" t="s">
        <v>4847</v>
      </c>
      <c r="B964" s="3" t="s">
        <v>5016</v>
      </c>
      <c r="C964" s="3">
        <v>32</v>
      </c>
      <c r="D964" s="46" t="str">
        <f>IF(Tabla1[[#This Row],[EDAD]]&lt;=35,"Adultos jóvenes 18 - 35 años",IF(C964&gt;=36,"Adultos mayores 36 años en adelante"))</f>
        <v>Adultos jóvenes 18 - 35 años</v>
      </c>
      <c r="E964" s="3" t="s">
        <v>5021</v>
      </c>
      <c r="F964" s="3" t="s">
        <v>5030</v>
      </c>
      <c r="G964" s="3" t="s">
        <v>5032</v>
      </c>
      <c r="H964" s="3" t="s">
        <v>9870</v>
      </c>
      <c r="I964" s="17">
        <v>45742</v>
      </c>
      <c r="J964" s="18">
        <f>YEAR(Tabla1[[#This Row],[FECHA DE COMPRA]])</f>
        <v>2025</v>
      </c>
      <c r="K964" s="19">
        <v>163.71</v>
      </c>
      <c r="L964" s="20">
        <v>0.1</v>
      </c>
      <c r="M964" s="19">
        <f>Tienda!$K3735-Tienda!$K3735*Tienda!$L3735</f>
        <v>51.48</v>
      </c>
      <c r="N964" s="3" t="s">
        <v>10040</v>
      </c>
      <c r="O964" s="3" t="s">
        <v>10042</v>
      </c>
      <c r="P964" s="17">
        <v>45742</v>
      </c>
      <c r="Q964" s="4">
        <v>3</v>
      </c>
    </row>
    <row r="965" spans="1:17" x14ac:dyDescent="0.25">
      <c r="A965" s="2" t="s">
        <v>4531</v>
      </c>
      <c r="B965" s="3" t="s">
        <v>5015</v>
      </c>
      <c r="C965" s="3">
        <v>28</v>
      </c>
      <c r="D965" s="46" t="str">
        <f>IF(Tabla1[[#This Row],[EDAD]]&lt;=35,"Adultos jóvenes 18 - 35 años",IF(C965&gt;=36,"Adultos mayores 36 años en adelante"))</f>
        <v>Adultos jóvenes 18 - 35 años</v>
      </c>
      <c r="E965" s="3" t="s">
        <v>5017</v>
      </c>
      <c r="F965" s="3" t="s">
        <v>5025</v>
      </c>
      <c r="G965" s="3" t="s">
        <v>5036</v>
      </c>
      <c r="H965" s="3" t="s">
        <v>9554</v>
      </c>
      <c r="I965" s="17">
        <v>45726</v>
      </c>
      <c r="J965" s="18">
        <f>YEAR(Tabla1[[#This Row],[FECHA DE COMPRA]])</f>
        <v>2025</v>
      </c>
      <c r="K965" s="19">
        <v>187.61</v>
      </c>
      <c r="L965" s="20">
        <v>0.3</v>
      </c>
      <c r="M965" s="19">
        <f>Tienda!$K3737-Tienda!$K3737*Tienda!$L3737</f>
        <v>75.42</v>
      </c>
      <c r="N965" s="3" t="s">
        <v>10040</v>
      </c>
      <c r="O965" s="3" t="s">
        <v>10042</v>
      </c>
      <c r="P965" s="17">
        <v>45726</v>
      </c>
      <c r="Q965" s="4">
        <v>3</v>
      </c>
    </row>
    <row r="966" spans="1:17" x14ac:dyDescent="0.25">
      <c r="A966" s="2" t="s">
        <v>4955</v>
      </c>
      <c r="B966" s="3" t="s">
        <v>5016</v>
      </c>
      <c r="C966" s="3">
        <v>30</v>
      </c>
      <c r="D966" s="46" t="str">
        <f>IF(Tabla1[[#This Row],[EDAD]]&lt;=35,"Adultos jóvenes 18 - 35 años",IF(C966&gt;=36,"Adultos mayores 36 años en adelante"))</f>
        <v>Adultos jóvenes 18 - 35 años</v>
      </c>
      <c r="E966" s="3" t="s">
        <v>5023</v>
      </c>
      <c r="F966" s="3" t="s">
        <v>5026</v>
      </c>
      <c r="G966" s="3" t="s">
        <v>5037</v>
      </c>
      <c r="H966" s="3" t="s">
        <v>9978</v>
      </c>
      <c r="I966" s="17">
        <v>45763</v>
      </c>
      <c r="J966" s="18">
        <f>YEAR(Tabla1[[#This Row],[FECHA DE COMPRA]])</f>
        <v>2025</v>
      </c>
      <c r="K966" s="19">
        <v>19.46</v>
      </c>
      <c r="L966" s="20">
        <v>0.1</v>
      </c>
      <c r="M966" s="19">
        <f>Tienda!$K3741-Tienda!$K3741*Tienda!$L3741</f>
        <v>83.832000000000008</v>
      </c>
      <c r="N966" s="3" t="s">
        <v>10040</v>
      </c>
      <c r="O966" s="3" t="s">
        <v>10042</v>
      </c>
      <c r="P966" s="17">
        <v>45763</v>
      </c>
      <c r="Q966" s="4">
        <v>3</v>
      </c>
    </row>
    <row r="967" spans="1:17" x14ac:dyDescent="0.25">
      <c r="A967" s="2" t="s">
        <v>4662</v>
      </c>
      <c r="B967" s="3" t="s">
        <v>5016</v>
      </c>
      <c r="C967" s="3">
        <v>23</v>
      </c>
      <c r="D967" s="46" t="str">
        <f>IF(Tabla1[[#This Row],[EDAD]]&lt;=35,"Adultos jóvenes 18 - 35 años",IF(C967&gt;=36,"Adultos mayores 36 años en adelante"))</f>
        <v>Adultos jóvenes 18 - 35 años</v>
      </c>
      <c r="E967" s="3" t="s">
        <v>5019</v>
      </c>
      <c r="F967" s="3" t="s">
        <v>5030</v>
      </c>
      <c r="G967" s="3" t="s">
        <v>5031</v>
      </c>
      <c r="H967" s="3" t="s">
        <v>9685</v>
      </c>
      <c r="I967" s="17">
        <v>45775</v>
      </c>
      <c r="J967" s="18">
        <f>YEAR(Tabla1[[#This Row],[FECHA DE COMPRA]])</f>
        <v>2025</v>
      </c>
      <c r="K967" s="19">
        <v>24.21</v>
      </c>
      <c r="L967" s="20">
        <v>0</v>
      </c>
      <c r="M967" s="19">
        <f>Tienda!$K3742-Tienda!$K3742*Tienda!$L3742</f>
        <v>169.70400000000001</v>
      </c>
      <c r="N967" s="3" t="s">
        <v>10040</v>
      </c>
      <c r="O967" s="3" t="s">
        <v>10042</v>
      </c>
      <c r="P967" s="17">
        <v>45775</v>
      </c>
      <c r="Q967" s="4">
        <v>3</v>
      </c>
    </row>
    <row r="968" spans="1:17" x14ac:dyDescent="0.25">
      <c r="A968" s="2" t="s">
        <v>2196</v>
      </c>
      <c r="B968" s="3" t="s">
        <v>5016</v>
      </c>
      <c r="C968" s="3">
        <v>31</v>
      </c>
      <c r="D968" s="46" t="str">
        <f>IF(Tabla1[[#This Row],[EDAD]]&lt;=35,"Adultos jóvenes 18 - 35 años",IF(C968&gt;=36,"Adultos mayores 36 años en adelante"))</f>
        <v>Adultos jóvenes 18 - 35 años</v>
      </c>
      <c r="E968" s="3" t="s">
        <v>5019</v>
      </c>
      <c r="F968" s="3" t="s">
        <v>5030</v>
      </c>
      <c r="G968" s="3" t="s">
        <v>5035</v>
      </c>
      <c r="H968" s="3" t="s">
        <v>7219</v>
      </c>
      <c r="I968" s="17">
        <v>45775</v>
      </c>
      <c r="J968" s="18">
        <f>YEAR(Tabla1[[#This Row],[FECHA DE COMPRA]])</f>
        <v>2025</v>
      </c>
      <c r="K968" s="19">
        <v>51.53</v>
      </c>
      <c r="L968" s="20">
        <v>0.3</v>
      </c>
      <c r="M968" s="19">
        <f>Tienda!$K3746-Tienda!$K3746*Tienda!$L3746</f>
        <v>20.180999999999997</v>
      </c>
      <c r="N968" s="3" t="s">
        <v>10040</v>
      </c>
      <c r="O968" s="3" t="s">
        <v>10042</v>
      </c>
      <c r="P968" s="17">
        <v>45775</v>
      </c>
      <c r="Q968" s="4">
        <v>6</v>
      </c>
    </row>
    <row r="969" spans="1:17" x14ac:dyDescent="0.25">
      <c r="A969" s="2" t="s">
        <v>3387</v>
      </c>
      <c r="B969" s="3" t="s">
        <v>5015</v>
      </c>
      <c r="C969" s="3">
        <v>29</v>
      </c>
      <c r="D969" s="46" t="str">
        <f>IF(Tabla1[[#This Row],[EDAD]]&lt;=35,"Adultos jóvenes 18 - 35 años",IF(C969&gt;=36,"Adultos mayores 36 años en adelante"))</f>
        <v>Adultos jóvenes 18 - 35 años</v>
      </c>
      <c r="E969" s="3" t="s">
        <v>5022</v>
      </c>
      <c r="F969" s="3" t="s">
        <v>5030</v>
      </c>
      <c r="G969" s="3" t="s">
        <v>5036</v>
      </c>
      <c r="H969" s="3" t="s">
        <v>8410</v>
      </c>
      <c r="I969" s="17">
        <v>45749</v>
      </c>
      <c r="J969" s="18">
        <f>YEAR(Tabla1[[#This Row],[FECHA DE COMPRA]])</f>
        <v>2025</v>
      </c>
      <c r="K969" s="19">
        <v>86.21</v>
      </c>
      <c r="L969" s="20">
        <v>0.1</v>
      </c>
      <c r="M969" s="19">
        <f>Tienda!$K3751-Tienda!$K3751*Tienda!$L3751</f>
        <v>87.72399999999999</v>
      </c>
      <c r="N969" s="3" t="s">
        <v>10040</v>
      </c>
      <c r="O969" s="3" t="s">
        <v>10042</v>
      </c>
      <c r="P969" s="17">
        <v>45749</v>
      </c>
      <c r="Q969" s="4">
        <v>6</v>
      </c>
    </row>
    <row r="970" spans="1:17" x14ac:dyDescent="0.25">
      <c r="A970" s="2" t="s">
        <v>4097</v>
      </c>
      <c r="B970" s="3" t="s">
        <v>5016</v>
      </c>
      <c r="C970" s="3">
        <v>19</v>
      </c>
      <c r="D970" s="46" t="str">
        <f>IF(Tabla1[[#This Row],[EDAD]]&lt;=35,"Adultos jóvenes 18 - 35 años",IF(C970&gt;=36,"Adultos mayores 36 años en adelante"))</f>
        <v>Adultos jóvenes 18 - 35 años</v>
      </c>
      <c r="E970" s="3" t="s">
        <v>5023</v>
      </c>
      <c r="F970" s="3" t="s">
        <v>5028</v>
      </c>
      <c r="G970" s="3" t="s">
        <v>5035</v>
      </c>
      <c r="H970" s="3" t="s">
        <v>9120</v>
      </c>
      <c r="I970" s="17">
        <v>45748</v>
      </c>
      <c r="J970" s="18">
        <f>YEAR(Tabla1[[#This Row],[FECHA DE COMPRA]])</f>
        <v>2025</v>
      </c>
      <c r="K970" s="19">
        <v>91.66</v>
      </c>
      <c r="L970" s="20">
        <v>0.1</v>
      </c>
      <c r="M970" s="19">
        <f>Tienda!$K3752-Tienda!$K3752*Tienda!$L3752</f>
        <v>92.491</v>
      </c>
      <c r="N970" s="3" t="s">
        <v>10040</v>
      </c>
      <c r="O970" s="3" t="s">
        <v>10042</v>
      </c>
      <c r="P970" s="17">
        <v>45748</v>
      </c>
      <c r="Q970" s="4">
        <v>6</v>
      </c>
    </row>
    <row r="971" spans="1:17" x14ac:dyDescent="0.25">
      <c r="A971" s="2" t="s">
        <v>2072</v>
      </c>
      <c r="B971" s="3" t="s">
        <v>5015</v>
      </c>
      <c r="C971" s="3">
        <v>30</v>
      </c>
      <c r="D971" s="46" t="str">
        <f>IF(Tabla1[[#This Row],[EDAD]]&lt;=35,"Adultos jóvenes 18 - 35 años",IF(C971&gt;=36,"Adultos mayores 36 años en adelante"))</f>
        <v>Adultos jóvenes 18 - 35 años</v>
      </c>
      <c r="E971" s="3" t="s">
        <v>5022</v>
      </c>
      <c r="F971" s="3" t="s">
        <v>5025</v>
      </c>
      <c r="G971" s="3" t="s">
        <v>5035</v>
      </c>
      <c r="H971" s="3" t="s">
        <v>7095</v>
      </c>
      <c r="I971" s="17">
        <v>45748</v>
      </c>
      <c r="J971" s="18">
        <f>YEAR(Tabla1[[#This Row],[FECHA DE COMPRA]])</f>
        <v>2025</v>
      </c>
      <c r="K971" s="19">
        <v>97.11</v>
      </c>
      <c r="L971" s="20">
        <v>0.2</v>
      </c>
      <c r="M971" s="19">
        <f>Tienda!$K3754-Tienda!$K3754*Tienda!$L3754</f>
        <v>195.46</v>
      </c>
      <c r="N971" s="3" t="s">
        <v>10040</v>
      </c>
      <c r="O971" s="3" t="s">
        <v>10042</v>
      </c>
      <c r="P971" s="17">
        <v>45748</v>
      </c>
      <c r="Q971" s="4">
        <v>6</v>
      </c>
    </row>
    <row r="972" spans="1:17" x14ac:dyDescent="0.25">
      <c r="A972" s="2" t="s">
        <v>1567</v>
      </c>
      <c r="B972" s="3" t="s">
        <v>5015</v>
      </c>
      <c r="C972" s="3">
        <v>22</v>
      </c>
      <c r="D972" s="46" t="str">
        <f>IF(Tabla1[[#This Row],[EDAD]]&lt;=35,"Adultos jóvenes 18 - 35 años",IF(C972&gt;=36,"Adultos mayores 36 años en adelante"))</f>
        <v>Adultos jóvenes 18 - 35 años</v>
      </c>
      <c r="E972" s="3" t="s">
        <v>5017</v>
      </c>
      <c r="F972" s="3" t="s">
        <v>5024</v>
      </c>
      <c r="G972" s="3" t="s">
        <v>5033</v>
      </c>
      <c r="H972" s="3" t="s">
        <v>6590</v>
      </c>
      <c r="I972" s="17">
        <v>45771</v>
      </c>
      <c r="J972" s="18">
        <f>YEAR(Tabla1[[#This Row],[FECHA DE COMPRA]])</f>
        <v>2025</v>
      </c>
      <c r="K972" s="19">
        <v>103.14</v>
      </c>
      <c r="L972" s="20">
        <v>0.3</v>
      </c>
      <c r="M972" s="19">
        <f>Tienda!$K3755-Tienda!$K3755*Tienda!$L3755</f>
        <v>48.504000000000005</v>
      </c>
      <c r="N972" s="3" t="s">
        <v>10040</v>
      </c>
      <c r="O972" s="3" t="s">
        <v>10042</v>
      </c>
      <c r="P972" s="17">
        <v>45771</v>
      </c>
      <c r="Q972" s="4">
        <v>6</v>
      </c>
    </row>
    <row r="973" spans="1:17" x14ac:dyDescent="0.25">
      <c r="A973" s="2" t="s">
        <v>3398</v>
      </c>
      <c r="B973" s="3" t="s">
        <v>5015</v>
      </c>
      <c r="C973" s="3">
        <v>28</v>
      </c>
      <c r="D973" s="46" t="str">
        <f>IF(Tabla1[[#This Row],[EDAD]]&lt;=35,"Adultos jóvenes 18 - 35 años",IF(C973&gt;=36,"Adultos mayores 36 años en adelante"))</f>
        <v>Adultos jóvenes 18 - 35 años</v>
      </c>
      <c r="E973" s="3" t="s">
        <v>5019</v>
      </c>
      <c r="F973" s="3" t="s">
        <v>5027</v>
      </c>
      <c r="G973" s="3" t="s">
        <v>5034</v>
      </c>
      <c r="H973" s="3" t="s">
        <v>8421</v>
      </c>
      <c r="I973" s="17">
        <v>45763</v>
      </c>
      <c r="J973" s="18">
        <f>YEAR(Tabla1[[#This Row],[FECHA DE COMPRA]])</f>
        <v>2025</v>
      </c>
      <c r="K973" s="19">
        <v>110.06</v>
      </c>
      <c r="L973" s="20">
        <v>0.2</v>
      </c>
      <c r="M973" s="19">
        <f>Tienda!$K3759-Tienda!$K3759*Tienda!$L3759</f>
        <v>95.472000000000008</v>
      </c>
      <c r="N973" s="3" t="s">
        <v>10040</v>
      </c>
      <c r="O973" s="3" t="s">
        <v>10042</v>
      </c>
      <c r="P973" s="17">
        <v>45763</v>
      </c>
      <c r="Q973" s="4">
        <v>3</v>
      </c>
    </row>
    <row r="974" spans="1:17" x14ac:dyDescent="0.25">
      <c r="A974" s="2" t="s">
        <v>1081</v>
      </c>
      <c r="B974" s="3" t="s">
        <v>5016</v>
      </c>
      <c r="C974" s="3">
        <v>35</v>
      </c>
      <c r="D974" s="46" t="str">
        <f>IF(Tabla1[[#This Row],[EDAD]]&lt;=35,"Adultos jóvenes 18 - 35 años",IF(C974&gt;=36,"Adultos mayores 36 años en adelante"))</f>
        <v>Adultos jóvenes 18 - 35 años</v>
      </c>
      <c r="E974" s="3" t="s">
        <v>5017</v>
      </c>
      <c r="F974" s="3" t="s">
        <v>5028</v>
      </c>
      <c r="G974" s="3" t="s">
        <v>5036</v>
      </c>
      <c r="H974" s="3" t="s">
        <v>6104</v>
      </c>
      <c r="I974" s="17">
        <v>45761</v>
      </c>
      <c r="J974" s="18">
        <f>YEAR(Tabla1[[#This Row],[FECHA DE COMPRA]])</f>
        <v>2025</v>
      </c>
      <c r="K974" s="19">
        <v>110.29</v>
      </c>
      <c r="L974" s="20">
        <v>0.3</v>
      </c>
      <c r="M974" s="19">
        <f>Tienda!$K3760-Tienda!$K3760*Tienda!$L3760</f>
        <v>85.274000000000001</v>
      </c>
      <c r="N974" s="3" t="s">
        <v>10040</v>
      </c>
      <c r="O974" s="3" t="s">
        <v>10042</v>
      </c>
      <c r="P974" s="17">
        <v>45761</v>
      </c>
      <c r="Q974" s="4">
        <v>3</v>
      </c>
    </row>
    <row r="975" spans="1:17" x14ac:dyDescent="0.25">
      <c r="A975" s="2" t="s">
        <v>1829</v>
      </c>
      <c r="B975" s="3" t="s">
        <v>5015</v>
      </c>
      <c r="C975" s="3">
        <v>31</v>
      </c>
      <c r="D975" s="46" t="str">
        <f>IF(Tabla1[[#This Row],[EDAD]]&lt;=35,"Adultos jóvenes 18 - 35 años",IF(C975&gt;=36,"Adultos mayores 36 años en adelante"))</f>
        <v>Adultos jóvenes 18 - 35 años</v>
      </c>
      <c r="E975" s="3" t="s">
        <v>5020</v>
      </c>
      <c r="F975" s="3" t="s">
        <v>5026</v>
      </c>
      <c r="G975" s="3" t="s">
        <v>5033</v>
      </c>
      <c r="H975" s="3" t="s">
        <v>6852</v>
      </c>
      <c r="I975" s="17">
        <v>45775</v>
      </c>
      <c r="J975" s="18">
        <f>YEAR(Tabla1[[#This Row],[FECHA DE COMPRA]])</f>
        <v>2025</v>
      </c>
      <c r="K975" s="19">
        <v>122.41</v>
      </c>
      <c r="L975" s="20">
        <v>0.3</v>
      </c>
      <c r="M975" s="19">
        <f>Tienda!$K3763-Tienda!$K3763*Tienda!$L3763</f>
        <v>136.619</v>
      </c>
      <c r="N975" s="3" t="s">
        <v>10040</v>
      </c>
      <c r="O975" s="3" t="s">
        <v>10042</v>
      </c>
      <c r="P975" s="17">
        <v>45775</v>
      </c>
      <c r="Q975" s="4">
        <v>3</v>
      </c>
    </row>
    <row r="976" spans="1:17" x14ac:dyDescent="0.25">
      <c r="A976" s="2" t="s">
        <v>1033</v>
      </c>
      <c r="B976" s="3" t="s">
        <v>5015</v>
      </c>
      <c r="C976" s="3">
        <v>32</v>
      </c>
      <c r="D976" s="46" t="str">
        <f>IF(Tabla1[[#This Row],[EDAD]]&lt;=35,"Adultos jóvenes 18 - 35 años",IF(C976&gt;=36,"Adultos mayores 36 años en adelante"))</f>
        <v>Adultos jóvenes 18 - 35 años</v>
      </c>
      <c r="E976" s="3" t="s">
        <v>5020</v>
      </c>
      <c r="F976" s="3" t="s">
        <v>5027</v>
      </c>
      <c r="G976" s="3" t="s">
        <v>5032</v>
      </c>
      <c r="H976" s="3" t="s">
        <v>6056</v>
      </c>
      <c r="I976" s="17">
        <v>45761</v>
      </c>
      <c r="J976" s="18">
        <f>YEAR(Tabla1[[#This Row],[FECHA DE COMPRA]])</f>
        <v>2025</v>
      </c>
      <c r="K976" s="19">
        <v>124.6</v>
      </c>
      <c r="L976" s="20">
        <v>0.1</v>
      </c>
      <c r="M976" s="19">
        <f>Tienda!$K3765-Tienda!$K3765*Tienda!$L3765</f>
        <v>62.448</v>
      </c>
      <c r="N976" s="3" t="s">
        <v>10040</v>
      </c>
      <c r="O976" s="3" t="s">
        <v>10042</v>
      </c>
      <c r="P976" s="17">
        <v>45761</v>
      </c>
      <c r="Q976" s="4">
        <v>3</v>
      </c>
    </row>
    <row r="977" spans="1:17" x14ac:dyDescent="0.25">
      <c r="A977" s="2" t="s">
        <v>3075</v>
      </c>
      <c r="B977" s="3" t="s">
        <v>5015</v>
      </c>
      <c r="C977" s="3">
        <v>21</v>
      </c>
      <c r="D977" s="46" t="str">
        <f>IF(Tabla1[[#This Row],[EDAD]]&lt;=35,"Adultos jóvenes 18 - 35 años",IF(C977&gt;=36,"Adultos mayores 36 años en adelante"))</f>
        <v>Adultos jóvenes 18 - 35 años</v>
      </c>
      <c r="E977" s="3" t="s">
        <v>5023</v>
      </c>
      <c r="F977" s="3" t="s">
        <v>5024</v>
      </c>
      <c r="G977" s="3" t="s">
        <v>5037</v>
      </c>
      <c r="H977" s="3" t="s">
        <v>8098</v>
      </c>
      <c r="I977" s="17">
        <v>45760</v>
      </c>
      <c r="J977" s="18">
        <f>YEAR(Tabla1[[#This Row],[FECHA DE COMPRA]])</f>
        <v>2025</v>
      </c>
      <c r="K977" s="19">
        <v>126.23</v>
      </c>
      <c r="L977" s="20">
        <v>0.1</v>
      </c>
      <c r="M977" s="19">
        <f>Tienda!$K3766-Tienda!$K3766*Tienda!$L3766</f>
        <v>72.072000000000003</v>
      </c>
      <c r="N977" s="3" t="s">
        <v>10040</v>
      </c>
      <c r="O977" s="3" t="s">
        <v>10042</v>
      </c>
      <c r="P977" s="17">
        <v>45760</v>
      </c>
      <c r="Q977" s="4">
        <v>3</v>
      </c>
    </row>
    <row r="978" spans="1:17" x14ac:dyDescent="0.25">
      <c r="A978" s="2" t="s">
        <v>2263</v>
      </c>
      <c r="B978" s="3" t="s">
        <v>5015</v>
      </c>
      <c r="C978" s="3">
        <v>33</v>
      </c>
      <c r="D978" s="46" t="str">
        <f>IF(Tabla1[[#This Row],[EDAD]]&lt;=35,"Adultos jóvenes 18 - 35 años",IF(C978&gt;=36,"Adultos mayores 36 años en adelante"))</f>
        <v>Adultos jóvenes 18 - 35 años</v>
      </c>
      <c r="E978" s="3" t="s">
        <v>5023</v>
      </c>
      <c r="F978" s="3" t="s">
        <v>5024</v>
      </c>
      <c r="G978" s="3" t="s">
        <v>5031</v>
      </c>
      <c r="H978" s="3" t="s">
        <v>7286</v>
      </c>
      <c r="I978" s="17">
        <v>45758</v>
      </c>
      <c r="J978" s="18">
        <f>YEAR(Tabla1[[#This Row],[FECHA DE COMPRA]])</f>
        <v>2025</v>
      </c>
      <c r="K978" s="19">
        <v>130.08000000000001</v>
      </c>
      <c r="L978" s="20">
        <v>0.2</v>
      </c>
      <c r="M978" s="19">
        <f>Tienda!$K3768-Tienda!$K3768*Tienda!$L3768</f>
        <v>196.16</v>
      </c>
      <c r="N978" s="3" t="s">
        <v>10040</v>
      </c>
      <c r="O978" s="3" t="s">
        <v>10042</v>
      </c>
      <c r="P978" s="17">
        <v>45758</v>
      </c>
      <c r="Q978" s="4">
        <v>6</v>
      </c>
    </row>
    <row r="979" spans="1:17" x14ac:dyDescent="0.25">
      <c r="A979" s="2" t="s">
        <v>96</v>
      </c>
      <c r="B979" s="3" t="s">
        <v>5016</v>
      </c>
      <c r="C979" s="3">
        <v>34</v>
      </c>
      <c r="D979" s="46" t="str">
        <f>IF(Tabla1[[#This Row],[EDAD]]&lt;=35,"Adultos jóvenes 18 - 35 años",IF(C979&gt;=36,"Adultos mayores 36 años en adelante"))</f>
        <v>Adultos jóvenes 18 - 35 años</v>
      </c>
      <c r="E979" s="3" t="s">
        <v>5023</v>
      </c>
      <c r="F979" s="3" t="s">
        <v>5027</v>
      </c>
      <c r="G979" s="3" t="s">
        <v>5033</v>
      </c>
      <c r="H979" s="3" t="s">
        <v>5119</v>
      </c>
      <c r="I979" s="17">
        <v>45767</v>
      </c>
      <c r="J979" s="18">
        <f>YEAR(Tabla1[[#This Row],[FECHA DE COMPRA]])</f>
        <v>2025</v>
      </c>
      <c r="K979" s="19">
        <v>151.87</v>
      </c>
      <c r="L979" s="20">
        <v>0.3</v>
      </c>
      <c r="M979" s="19">
        <f>Tienda!$K3771-Tienda!$K3771*Tienda!$L3771</f>
        <v>129.40199999999999</v>
      </c>
      <c r="N979" s="3" t="s">
        <v>10040</v>
      </c>
      <c r="O979" s="3" t="s">
        <v>10042</v>
      </c>
      <c r="P979" s="17">
        <v>45767</v>
      </c>
      <c r="Q979" s="4">
        <v>6</v>
      </c>
    </row>
    <row r="980" spans="1:17" x14ac:dyDescent="0.25">
      <c r="A980" s="2" t="s">
        <v>2226</v>
      </c>
      <c r="B980" s="3" t="s">
        <v>5015</v>
      </c>
      <c r="C980" s="3">
        <v>21</v>
      </c>
      <c r="D980" s="46" t="str">
        <f>IF(Tabla1[[#This Row],[EDAD]]&lt;=35,"Adultos jóvenes 18 - 35 años",IF(C980&gt;=36,"Adultos mayores 36 años en adelante"))</f>
        <v>Adultos jóvenes 18 - 35 años</v>
      </c>
      <c r="E980" s="3" t="s">
        <v>5019</v>
      </c>
      <c r="F980" s="3" t="s">
        <v>5030</v>
      </c>
      <c r="G980" s="3" t="s">
        <v>5032</v>
      </c>
      <c r="H980" s="3" t="s">
        <v>7249</v>
      </c>
      <c r="I980" s="17">
        <v>45756</v>
      </c>
      <c r="J980" s="18">
        <f>YEAR(Tabla1[[#This Row],[FECHA DE COMPRA]])</f>
        <v>2025</v>
      </c>
      <c r="K980" s="19">
        <v>162.63</v>
      </c>
      <c r="L980" s="20">
        <v>0.1</v>
      </c>
      <c r="M980" s="19">
        <f>Tienda!$K3773-Tienda!$K3773*Tienda!$L3773</f>
        <v>129.458</v>
      </c>
      <c r="N980" s="3" t="s">
        <v>10040</v>
      </c>
      <c r="O980" s="3" t="s">
        <v>10042</v>
      </c>
      <c r="P980" s="17">
        <v>45756</v>
      </c>
      <c r="Q980" s="4">
        <v>6</v>
      </c>
    </row>
    <row r="981" spans="1:17" x14ac:dyDescent="0.25">
      <c r="A981" s="2" t="s">
        <v>1796</v>
      </c>
      <c r="B981" s="3" t="s">
        <v>5015</v>
      </c>
      <c r="C981" s="3">
        <v>31</v>
      </c>
      <c r="D981" s="46" t="str">
        <f>IF(Tabla1[[#This Row],[EDAD]]&lt;=35,"Adultos jóvenes 18 - 35 años",IF(C981&gt;=36,"Adultos mayores 36 años en adelante"))</f>
        <v>Adultos jóvenes 18 - 35 años</v>
      </c>
      <c r="E981" s="3" t="s">
        <v>5022</v>
      </c>
      <c r="F981" s="3" t="s">
        <v>5026</v>
      </c>
      <c r="G981" s="3" t="s">
        <v>5037</v>
      </c>
      <c r="H981" s="3" t="s">
        <v>6819</v>
      </c>
      <c r="I981" s="17">
        <v>45758</v>
      </c>
      <c r="J981" s="18">
        <f>YEAR(Tabla1[[#This Row],[FECHA DE COMPRA]])</f>
        <v>2025</v>
      </c>
      <c r="K981" s="19">
        <v>172.31</v>
      </c>
      <c r="L981" s="20">
        <v>0.1</v>
      </c>
      <c r="M981" s="19">
        <f>Tienda!$K3775-Tienda!$K3775*Tienda!$L3775</f>
        <v>25.262999999999998</v>
      </c>
      <c r="N981" s="3" t="s">
        <v>10040</v>
      </c>
      <c r="O981" s="3" t="s">
        <v>10042</v>
      </c>
      <c r="P981" s="17">
        <v>45758</v>
      </c>
      <c r="Q981" s="4">
        <v>6</v>
      </c>
    </row>
    <row r="982" spans="1:17" x14ac:dyDescent="0.25">
      <c r="A982" s="2" t="s">
        <v>3045</v>
      </c>
      <c r="B982" s="3" t="s">
        <v>5015</v>
      </c>
      <c r="C982" s="3">
        <v>26</v>
      </c>
      <c r="D982" s="46" t="str">
        <f>IF(Tabla1[[#This Row],[EDAD]]&lt;=35,"Adultos jóvenes 18 - 35 años",IF(C982&gt;=36,"Adultos mayores 36 años en adelante"))</f>
        <v>Adultos jóvenes 18 - 35 años</v>
      </c>
      <c r="E982" s="3" t="s">
        <v>5021</v>
      </c>
      <c r="F982" s="3" t="s">
        <v>5028</v>
      </c>
      <c r="G982" s="3" t="s">
        <v>5034</v>
      </c>
      <c r="H982" s="3" t="s">
        <v>8068</v>
      </c>
      <c r="I982" s="17">
        <v>45775</v>
      </c>
      <c r="J982" s="18">
        <f>YEAR(Tabla1[[#This Row],[FECHA DE COMPRA]])</f>
        <v>2025</v>
      </c>
      <c r="K982" s="19">
        <v>178.75</v>
      </c>
      <c r="L982" s="20">
        <v>0.3</v>
      </c>
      <c r="M982" s="19">
        <f>Tienda!$K3777-Tienda!$K3777*Tienda!$L3777</f>
        <v>38.331000000000003</v>
      </c>
      <c r="N982" s="3" t="s">
        <v>10040</v>
      </c>
      <c r="O982" s="3" t="s">
        <v>10042</v>
      </c>
      <c r="P982" s="17">
        <v>45775</v>
      </c>
      <c r="Q982" s="4">
        <v>6</v>
      </c>
    </row>
    <row r="983" spans="1:17" x14ac:dyDescent="0.25">
      <c r="A983" s="2" t="s">
        <v>1061</v>
      </c>
      <c r="B983" s="3" t="s">
        <v>5016</v>
      </c>
      <c r="C983" s="3">
        <v>28</v>
      </c>
      <c r="D983" s="46" t="str">
        <f>IF(Tabla1[[#This Row],[EDAD]]&lt;=35,"Adultos jóvenes 18 - 35 años",IF(C983&gt;=36,"Adultos mayores 36 años en adelante"))</f>
        <v>Adultos jóvenes 18 - 35 años</v>
      </c>
      <c r="E983" s="3" t="s">
        <v>5023</v>
      </c>
      <c r="F983" s="3" t="s">
        <v>5027</v>
      </c>
      <c r="G983" s="3" t="s">
        <v>5035</v>
      </c>
      <c r="H983" s="3" t="s">
        <v>6084</v>
      </c>
      <c r="I983" s="17">
        <v>45757</v>
      </c>
      <c r="J983" s="18">
        <f>YEAR(Tabla1[[#This Row],[FECHA DE COMPRA]])</f>
        <v>2025</v>
      </c>
      <c r="K983" s="19">
        <v>180.61</v>
      </c>
      <c r="L983" s="20">
        <v>0.1</v>
      </c>
      <c r="M983" s="19">
        <f>Tienda!$K3778-Tienda!$K3778*Tienda!$L3778</f>
        <v>60.759</v>
      </c>
      <c r="N983" s="3" t="s">
        <v>10040</v>
      </c>
      <c r="O983" s="3" t="s">
        <v>10042</v>
      </c>
      <c r="P983" s="17">
        <v>45757</v>
      </c>
      <c r="Q983" s="4">
        <v>6</v>
      </c>
    </row>
    <row r="984" spans="1:17" x14ac:dyDescent="0.25">
      <c r="A984" s="2" t="s">
        <v>4638</v>
      </c>
      <c r="B984" s="3" t="s">
        <v>5015</v>
      </c>
      <c r="C984" s="3">
        <v>27</v>
      </c>
      <c r="D984" s="46" t="str">
        <f>IF(Tabla1[[#This Row],[EDAD]]&lt;=35,"Adultos jóvenes 18 - 35 años",IF(C984&gt;=36,"Adultos mayores 36 años en adelante"))</f>
        <v>Adultos jóvenes 18 - 35 años</v>
      </c>
      <c r="E984" s="3" t="s">
        <v>5020</v>
      </c>
      <c r="F984" s="3" t="s">
        <v>5029</v>
      </c>
      <c r="G984" s="3" t="s">
        <v>5033</v>
      </c>
      <c r="H984" s="3" t="s">
        <v>9661</v>
      </c>
      <c r="I984" s="17">
        <v>45777</v>
      </c>
      <c r="J984" s="18">
        <f>YEAR(Tabla1[[#This Row],[FECHA DE COMPRA]])</f>
        <v>2025</v>
      </c>
      <c r="K984" s="19">
        <v>196.39</v>
      </c>
      <c r="L984" s="20">
        <v>0.2</v>
      </c>
      <c r="M984" s="19">
        <f>Tienda!$K3784-Tienda!$K3784*Tienda!$L3784</f>
        <v>76.657000000000011</v>
      </c>
      <c r="N984" s="3" t="s">
        <v>10040</v>
      </c>
      <c r="O984" s="3" t="s">
        <v>10042</v>
      </c>
      <c r="P984" s="17">
        <v>45777</v>
      </c>
      <c r="Q984" s="4">
        <v>3</v>
      </c>
    </row>
    <row r="985" spans="1:17" x14ac:dyDescent="0.25">
      <c r="A985" s="2" t="s">
        <v>1130</v>
      </c>
      <c r="B985" s="3" t="s">
        <v>5015</v>
      </c>
      <c r="C985" s="3">
        <v>28</v>
      </c>
      <c r="D985" s="46" t="str">
        <f>IF(Tabla1[[#This Row],[EDAD]]&lt;=35,"Adultos jóvenes 18 - 35 años",IF(C985&gt;=36,"Adultos mayores 36 años en adelante"))</f>
        <v>Adultos jóvenes 18 - 35 años</v>
      </c>
      <c r="E985" s="3" t="s">
        <v>5020</v>
      </c>
      <c r="F985" s="3" t="s">
        <v>5027</v>
      </c>
      <c r="G985" s="3" t="s">
        <v>5036</v>
      </c>
      <c r="H985" s="3" t="s">
        <v>6153</v>
      </c>
      <c r="I985" s="17">
        <v>45766</v>
      </c>
      <c r="J985" s="18">
        <f>YEAR(Tabla1[[#This Row],[FECHA DE COMPRA]])</f>
        <v>2025</v>
      </c>
      <c r="K985" s="19">
        <v>198.96</v>
      </c>
      <c r="L985" s="20">
        <v>0.2</v>
      </c>
      <c r="M985" s="19">
        <f>Tienda!$K3785-Tienda!$K3785*Tienda!$L3785</f>
        <v>26.649000000000001</v>
      </c>
      <c r="N985" s="3" t="s">
        <v>10040</v>
      </c>
      <c r="O985" s="3" t="s">
        <v>10042</v>
      </c>
      <c r="P985" s="17">
        <v>45766</v>
      </c>
      <c r="Q985" s="4">
        <v>3</v>
      </c>
    </row>
    <row r="986" spans="1:17" x14ac:dyDescent="0.25">
      <c r="A986" s="2" t="s">
        <v>3968</v>
      </c>
      <c r="B986" s="3" t="s">
        <v>5015</v>
      </c>
      <c r="C986" s="3">
        <v>32</v>
      </c>
      <c r="D986" s="46" t="str">
        <f>IF(Tabla1[[#This Row],[EDAD]]&lt;=35,"Adultos jóvenes 18 - 35 años",IF(C986&gt;=36,"Adultos mayores 36 años en adelante"))</f>
        <v>Adultos jóvenes 18 - 35 años</v>
      </c>
      <c r="E986" s="3" t="s">
        <v>5023</v>
      </c>
      <c r="F986" s="3" t="s">
        <v>5030</v>
      </c>
      <c r="G986" s="3" t="s">
        <v>5034</v>
      </c>
      <c r="H986" s="3" t="s">
        <v>8991</v>
      </c>
      <c r="I986" s="17">
        <v>45794</v>
      </c>
      <c r="J986" s="18">
        <f>YEAR(Tabla1[[#This Row],[FECHA DE COMPRA]])</f>
        <v>2025</v>
      </c>
      <c r="K986" s="19">
        <v>19.98</v>
      </c>
      <c r="L986" s="20">
        <v>0</v>
      </c>
      <c r="M986" s="19">
        <f>Tienda!$K3787-Tienda!$K3787*Tienda!$L3787</f>
        <v>19.795999999999999</v>
      </c>
      <c r="N986" s="3" t="s">
        <v>10040</v>
      </c>
      <c r="O986" s="3" t="s">
        <v>10042</v>
      </c>
      <c r="P986" s="17">
        <v>45794</v>
      </c>
      <c r="Q986" s="4">
        <v>3</v>
      </c>
    </row>
    <row r="987" spans="1:17" x14ac:dyDescent="0.25">
      <c r="A987" s="2" t="s">
        <v>3659</v>
      </c>
      <c r="B987" s="3" t="s">
        <v>5015</v>
      </c>
      <c r="C987" s="3">
        <v>24</v>
      </c>
      <c r="D987" s="46" t="str">
        <f>IF(Tabla1[[#This Row],[EDAD]]&lt;=35,"Adultos jóvenes 18 - 35 años",IF(C987&gt;=36,"Adultos mayores 36 años en adelante"))</f>
        <v>Adultos jóvenes 18 - 35 años</v>
      </c>
      <c r="E987" s="3" t="s">
        <v>5022</v>
      </c>
      <c r="F987" s="3" t="s">
        <v>5025</v>
      </c>
      <c r="G987" s="3" t="s">
        <v>5035</v>
      </c>
      <c r="H987" s="3" t="s">
        <v>8682</v>
      </c>
      <c r="I987" s="17">
        <v>45796</v>
      </c>
      <c r="J987" s="18">
        <f>YEAR(Tabla1[[#This Row],[FECHA DE COMPRA]])</f>
        <v>2025</v>
      </c>
      <c r="K987" s="19">
        <v>75.7</v>
      </c>
      <c r="L987" s="20">
        <v>0</v>
      </c>
      <c r="M987" s="19">
        <f>Tienda!$K3800-Tienda!$K3800*Tienda!$L3800</f>
        <v>89.88</v>
      </c>
      <c r="N987" s="3" t="s">
        <v>10040</v>
      </c>
      <c r="O987" s="3" t="s">
        <v>10042</v>
      </c>
      <c r="P987" s="17">
        <v>45796</v>
      </c>
      <c r="Q987" s="4">
        <v>6</v>
      </c>
    </row>
    <row r="988" spans="1:17" x14ac:dyDescent="0.25">
      <c r="A988" s="2" t="s">
        <v>1703</v>
      </c>
      <c r="B988" s="3" t="s">
        <v>5015</v>
      </c>
      <c r="C988" s="3">
        <v>25</v>
      </c>
      <c r="D988" s="46" t="str">
        <f>IF(Tabla1[[#This Row],[EDAD]]&lt;=35,"Adultos jóvenes 18 - 35 años",IF(C988&gt;=36,"Adultos mayores 36 años en adelante"))</f>
        <v>Adultos jóvenes 18 - 35 años</v>
      </c>
      <c r="E988" s="3" t="s">
        <v>5020</v>
      </c>
      <c r="F988" s="3" t="s">
        <v>5025</v>
      </c>
      <c r="G988" s="3" t="s">
        <v>5035</v>
      </c>
      <c r="H988" s="3" t="s">
        <v>6726</v>
      </c>
      <c r="I988" s="17">
        <v>45781</v>
      </c>
      <c r="J988" s="18">
        <f>YEAR(Tabla1[[#This Row],[FECHA DE COMPRA]])</f>
        <v>2025</v>
      </c>
      <c r="K988" s="19">
        <v>87.69</v>
      </c>
      <c r="L988" s="20">
        <v>0.2</v>
      </c>
      <c r="M988" s="19">
        <f>Tienda!$K3801-Tienda!$K3801*Tienda!$L3801</f>
        <v>95.606000000000009</v>
      </c>
      <c r="N988" s="3" t="s">
        <v>10040</v>
      </c>
      <c r="O988" s="3" t="s">
        <v>10042</v>
      </c>
      <c r="P988" s="17">
        <v>45781</v>
      </c>
      <c r="Q988" s="4">
        <v>3</v>
      </c>
    </row>
    <row r="989" spans="1:17" x14ac:dyDescent="0.25">
      <c r="A989" s="2" t="s">
        <v>4561</v>
      </c>
      <c r="B989" s="3" t="s">
        <v>5015</v>
      </c>
      <c r="C989" s="3">
        <v>20</v>
      </c>
      <c r="D989" s="46" t="str">
        <f>IF(Tabla1[[#This Row],[EDAD]]&lt;=35,"Adultos jóvenes 18 - 35 años",IF(C989&gt;=36,"Adultos mayores 36 años en adelante"))</f>
        <v>Adultos jóvenes 18 - 35 años</v>
      </c>
      <c r="E989" s="3" t="s">
        <v>5023</v>
      </c>
      <c r="F989" s="3" t="s">
        <v>5027</v>
      </c>
      <c r="G989" s="3" t="s">
        <v>5037</v>
      </c>
      <c r="H989" s="3" t="s">
        <v>9584</v>
      </c>
      <c r="I989" s="17">
        <v>45799</v>
      </c>
      <c r="J989" s="18">
        <f>YEAR(Tabla1[[#This Row],[FECHA DE COMPRA]])</f>
        <v>2025</v>
      </c>
      <c r="K989" s="19">
        <v>98.16</v>
      </c>
      <c r="L989" s="20">
        <v>0.3</v>
      </c>
      <c r="M989" s="19">
        <f>Tienda!$K3802-Tienda!$K3802*Tienda!$L3802</f>
        <v>115.60799999999999</v>
      </c>
      <c r="N989" s="3" t="s">
        <v>10040</v>
      </c>
      <c r="O989" s="3" t="s">
        <v>10042</v>
      </c>
      <c r="P989" s="17">
        <v>45799</v>
      </c>
      <c r="Q989" s="4">
        <v>3</v>
      </c>
    </row>
    <row r="990" spans="1:17" x14ac:dyDescent="0.25">
      <c r="A990" s="2" t="s">
        <v>4345</v>
      </c>
      <c r="B990" s="3" t="s">
        <v>5015</v>
      </c>
      <c r="C990" s="3">
        <v>29</v>
      </c>
      <c r="D990" s="46" t="str">
        <f>IF(Tabla1[[#This Row],[EDAD]]&lt;=35,"Adultos jóvenes 18 - 35 años",IF(C990&gt;=36,"Adultos mayores 36 años en adelante"))</f>
        <v>Adultos jóvenes 18 - 35 años</v>
      </c>
      <c r="E990" s="3" t="s">
        <v>5020</v>
      </c>
      <c r="F990" s="3" t="s">
        <v>5029</v>
      </c>
      <c r="G990" s="3" t="s">
        <v>5035</v>
      </c>
      <c r="H990" s="3" t="s">
        <v>9368</v>
      </c>
      <c r="I990" s="17">
        <v>45805</v>
      </c>
      <c r="J990" s="18">
        <f>YEAR(Tabla1[[#This Row],[FECHA DE COMPRA]])</f>
        <v>2025</v>
      </c>
      <c r="K990" s="19">
        <v>102.48</v>
      </c>
      <c r="L990" s="20">
        <v>0.2</v>
      </c>
      <c r="M990" s="19">
        <f>Tienda!$K3803-Tienda!$K3803*Tienda!$L3803</f>
        <v>153.94</v>
      </c>
      <c r="N990" s="3" t="s">
        <v>10040</v>
      </c>
      <c r="O990" s="3" t="s">
        <v>10042</v>
      </c>
      <c r="P990" s="17">
        <v>45805</v>
      </c>
      <c r="Q990" s="4">
        <v>3</v>
      </c>
    </row>
    <row r="991" spans="1:17" x14ac:dyDescent="0.25">
      <c r="A991" s="2" t="s">
        <v>2684</v>
      </c>
      <c r="B991" s="3" t="s">
        <v>5015</v>
      </c>
      <c r="C991" s="3">
        <v>31</v>
      </c>
      <c r="D991" s="46" t="str">
        <f>IF(Tabla1[[#This Row],[EDAD]]&lt;=35,"Adultos jóvenes 18 - 35 años",IF(C991&gt;=36,"Adultos mayores 36 años en adelante"))</f>
        <v>Adultos jóvenes 18 - 35 años</v>
      </c>
      <c r="E991" s="3" t="s">
        <v>5023</v>
      </c>
      <c r="F991" s="3" t="s">
        <v>5028</v>
      </c>
      <c r="G991" s="3" t="s">
        <v>5036</v>
      </c>
      <c r="H991" s="3" t="s">
        <v>7707</v>
      </c>
      <c r="I991" s="17">
        <v>45789</v>
      </c>
      <c r="J991" s="18">
        <f>YEAR(Tabla1[[#This Row],[FECHA DE COMPRA]])</f>
        <v>2025</v>
      </c>
      <c r="K991" s="19">
        <v>122.82</v>
      </c>
      <c r="L991" s="20">
        <v>0.3</v>
      </c>
      <c r="M991" s="19">
        <f>Tienda!$K3805-Tienda!$K3805*Tienda!$L3805</f>
        <v>62.073</v>
      </c>
      <c r="N991" s="3" t="s">
        <v>10040</v>
      </c>
      <c r="O991" s="3" t="s">
        <v>10042</v>
      </c>
      <c r="P991" s="17">
        <v>45789</v>
      </c>
      <c r="Q991" s="4">
        <v>3</v>
      </c>
    </row>
    <row r="992" spans="1:17" x14ac:dyDescent="0.25">
      <c r="A992" s="2" t="s">
        <v>3295</v>
      </c>
      <c r="B992" s="3" t="s">
        <v>5016</v>
      </c>
      <c r="C992" s="3">
        <v>24</v>
      </c>
      <c r="D992" s="46" t="str">
        <f>IF(Tabla1[[#This Row],[EDAD]]&lt;=35,"Adultos jóvenes 18 - 35 años",IF(C992&gt;=36,"Adultos mayores 36 años en adelante"))</f>
        <v>Adultos jóvenes 18 - 35 años</v>
      </c>
      <c r="E992" s="3" t="s">
        <v>5021</v>
      </c>
      <c r="F992" s="3" t="s">
        <v>5029</v>
      </c>
      <c r="G992" s="3" t="s">
        <v>5037</v>
      </c>
      <c r="H992" s="3" t="s">
        <v>8318</v>
      </c>
      <c r="I992" s="17">
        <v>45790</v>
      </c>
      <c r="J992" s="18">
        <f>YEAR(Tabla1[[#This Row],[FECHA DE COMPRA]])</f>
        <v>2025</v>
      </c>
      <c r="K992" s="19">
        <v>129.93</v>
      </c>
      <c r="L992" s="20">
        <v>0</v>
      </c>
      <c r="M992" s="19">
        <f>Tienda!$K3807-Tienda!$K3807*Tienda!$L3807</f>
        <v>20.384</v>
      </c>
      <c r="N992" s="3" t="s">
        <v>10040</v>
      </c>
      <c r="O992" s="3" t="s">
        <v>10042</v>
      </c>
      <c r="P992" s="17">
        <v>45790</v>
      </c>
      <c r="Q992" s="4">
        <v>3</v>
      </c>
    </row>
    <row r="993" spans="1:17" x14ac:dyDescent="0.25">
      <c r="A993" s="2" t="s">
        <v>3513</v>
      </c>
      <c r="B993" s="3" t="s">
        <v>5016</v>
      </c>
      <c r="C993" s="3">
        <v>27</v>
      </c>
      <c r="D993" s="46" t="str">
        <f>IF(Tabla1[[#This Row],[EDAD]]&lt;=35,"Adultos jóvenes 18 - 35 años",IF(C993&gt;=36,"Adultos mayores 36 años en adelante"))</f>
        <v>Adultos jóvenes 18 - 35 años</v>
      </c>
      <c r="E993" s="3" t="s">
        <v>5021</v>
      </c>
      <c r="F993" s="3" t="s">
        <v>5030</v>
      </c>
      <c r="G993" s="3" t="s">
        <v>5033</v>
      </c>
      <c r="H993" s="3" t="s">
        <v>8536</v>
      </c>
      <c r="I993" s="17">
        <v>45793</v>
      </c>
      <c r="J993" s="18">
        <f>YEAR(Tabla1[[#This Row],[FECHA DE COMPRA]])</f>
        <v>2025</v>
      </c>
      <c r="K993" s="19">
        <v>138.63</v>
      </c>
      <c r="L993" s="20">
        <v>0</v>
      </c>
      <c r="M993" s="19">
        <f>Tienda!$K3809-Tienda!$K3809*Tienda!$L3809</f>
        <v>24.992999999999999</v>
      </c>
      <c r="N993" s="3" t="s">
        <v>10040</v>
      </c>
      <c r="O993" s="3" t="s">
        <v>10042</v>
      </c>
      <c r="P993" s="17">
        <v>45793</v>
      </c>
      <c r="Q993" s="4">
        <v>3</v>
      </c>
    </row>
    <row r="994" spans="1:17" x14ac:dyDescent="0.25">
      <c r="A994" s="2" t="s">
        <v>3899</v>
      </c>
      <c r="B994" s="3" t="s">
        <v>5015</v>
      </c>
      <c r="C994" s="3">
        <v>35</v>
      </c>
      <c r="D994" s="46" t="str">
        <f>IF(Tabla1[[#This Row],[EDAD]]&lt;=35,"Adultos jóvenes 18 - 35 años",IF(C994&gt;=36,"Adultos mayores 36 años en adelante"))</f>
        <v>Adultos jóvenes 18 - 35 años</v>
      </c>
      <c r="E994" s="3" t="s">
        <v>5020</v>
      </c>
      <c r="F994" s="3" t="s">
        <v>5029</v>
      </c>
      <c r="G994" s="3" t="s">
        <v>5031</v>
      </c>
      <c r="H994" s="3" t="s">
        <v>8922</v>
      </c>
      <c r="I994" s="17">
        <v>45805</v>
      </c>
      <c r="J994" s="18">
        <f>YEAR(Tabla1[[#This Row],[FECHA DE COMPRA]])</f>
        <v>2025</v>
      </c>
      <c r="K994" s="19">
        <v>143.91</v>
      </c>
      <c r="L994" s="20">
        <v>0.1</v>
      </c>
      <c r="M994" s="19">
        <f>Tienda!$K3811-Tienda!$K3811*Tienda!$L3811</f>
        <v>77.805000000000007</v>
      </c>
      <c r="N994" s="3" t="s">
        <v>10040</v>
      </c>
      <c r="O994" s="3" t="s">
        <v>10042</v>
      </c>
      <c r="P994" s="17">
        <v>45805</v>
      </c>
      <c r="Q994" s="4">
        <v>3</v>
      </c>
    </row>
    <row r="995" spans="1:17" x14ac:dyDescent="0.25">
      <c r="A995" s="2" t="s">
        <v>2190</v>
      </c>
      <c r="B995" s="3" t="s">
        <v>5015</v>
      </c>
      <c r="C995" s="3">
        <v>33</v>
      </c>
      <c r="D995" s="46" t="str">
        <f>IF(Tabla1[[#This Row],[EDAD]]&lt;=35,"Adultos jóvenes 18 - 35 años",IF(C995&gt;=36,"Adultos mayores 36 años en adelante"))</f>
        <v>Adultos jóvenes 18 - 35 años</v>
      </c>
      <c r="E995" s="3" t="s">
        <v>5019</v>
      </c>
      <c r="F995" s="3" t="s">
        <v>5026</v>
      </c>
      <c r="G995" s="3" t="s">
        <v>5033</v>
      </c>
      <c r="H995" s="3" t="s">
        <v>7213</v>
      </c>
      <c r="I995" s="17">
        <v>45796</v>
      </c>
      <c r="J995" s="18">
        <f>YEAR(Tabla1[[#This Row],[FECHA DE COMPRA]])</f>
        <v>2025</v>
      </c>
      <c r="K995" s="19">
        <v>144.53</v>
      </c>
      <c r="L995" s="20">
        <v>0</v>
      </c>
      <c r="M995" s="19">
        <f>Tienda!$K3812-Tienda!$K3812*Tienda!$L3812</f>
        <v>103.24799999999999</v>
      </c>
      <c r="N995" s="3" t="s">
        <v>10040</v>
      </c>
      <c r="O995" s="3" t="s">
        <v>10042</v>
      </c>
      <c r="P995" s="17">
        <v>45796</v>
      </c>
      <c r="Q995" s="4">
        <v>6</v>
      </c>
    </row>
    <row r="996" spans="1:17" x14ac:dyDescent="0.25">
      <c r="A996" s="2" t="s">
        <v>858</v>
      </c>
      <c r="B996" s="3" t="s">
        <v>5015</v>
      </c>
      <c r="C996" s="3">
        <v>23</v>
      </c>
      <c r="D996" s="46" t="str">
        <f>IF(Tabla1[[#This Row],[EDAD]]&lt;=35,"Adultos jóvenes 18 - 35 años",IF(C996&gt;=36,"Adultos mayores 36 años en adelante"))</f>
        <v>Adultos jóvenes 18 - 35 años</v>
      </c>
      <c r="E996" s="3" t="s">
        <v>5021</v>
      </c>
      <c r="F996" s="3" t="s">
        <v>5030</v>
      </c>
      <c r="G996" s="3" t="s">
        <v>5032</v>
      </c>
      <c r="H996" s="3" t="s">
        <v>5881</v>
      </c>
      <c r="I996" s="17">
        <v>45804</v>
      </c>
      <c r="J996" s="18">
        <f>YEAR(Tabla1[[#This Row],[FECHA DE COMPRA]])</f>
        <v>2025</v>
      </c>
      <c r="K996" s="19">
        <v>162.63999999999999</v>
      </c>
      <c r="L996" s="20">
        <v>0.2</v>
      </c>
      <c r="M996" s="19">
        <f>Tienda!$K3815-Tienda!$K3815*Tienda!$L3815</f>
        <v>65.808000000000007</v>
      </c>
      <c r="N996" s="3" t="s">
        <v>10040</v>
      </c>
      <c r="O996" s="3" t="s">
        <v>10042</v>
      </c>
      <c r="P996" s="17">
        <v>45804</v>
      </c>
      <c r="Q996" s="4">
        <v>6</v>
      </c>
    </row>
    <row r="997" spans="1:17" x14ac:dyDescent="0.25">
      <c r="A997" s="2" t="s">
        <v>259</v>
      </c>
      <c r="B997" s="3" t="s">
        <v>5015</v>
      </c>
      <c r="C997" s="3">
        <v>28</v>
      </c>
      <c r="D997" s="46" t="str">
        <f>IF(Tabla1[[#This Row],[EDAD]]&lt;=35,"Adultos jóvenes 18 - 35 años",IF(C997&gt;=36,"Adultos mayores 36 años en adelante"))</f>
        <v>Adultos jóvenes 18 - 35 años</v>
      </c>
      <c r="E997" s="3" t="s">
        <v>5022</v>
      </c>
      <c r="F997" s="3" t="s">
        <v>5030</v>
      </c>
      <c r="G997" s="3" t="s">
        <v>5032</v>
      </c>
      <c r="H997" s="3" t="s">
        <v>5282</v>
      </c>
      <c r="I997" s="17">
        <v>45806</v>
      </c>
      <c r="J997" s="18">
        <f>YEAR(Tabla1[[#This Row],[FECHA DE COMPRA]])</f>
        <v>2025</v>
      </c>
      <c r="K997" s="19">
        <v>162.80000000000001</v>
      </c>
      <c r="L997" s="20">
        <v>0.1</v>
      </c>
      <c r="M997" s="19">
        <f>Tienda!$K3816-Tienda!$K3816*Tienda!$L3816</f>
        <v>61.691000000000003</v>
      </c>
      <c r="N997" s="3" t="s">
        <v>10040</v>
      </c>
      <c r="O997" s="3" t="s">
        <v>10042</v>
      </c>
      <c r="P997" s="17">
        <v>45806</v>
      </c>
      <c r="Q997" s="4">
        <v>6</v>
      </c>
    </row>
    <row r="998" spans="1:17" x14ac:dyDescent="0.25">
      <c r="A998" s="2" t="s">
        <v>2316</v>
      </c>
      <c r="B998" s="3" t="s">
        <v>5016</v>
      </c>
      <c r="C998" s="3">
        <v>33</v>
      </c>
      <c r="D998" s="46" t="str">
        <f>IF(Tabla1[[#This Row],[EDAD]]&lt;=35,"Adultos jóvenes 18 - 35 años",IF(C998&gt;=36,"Adultos mayores 36 años en adelante"))</f>
        <v>Adultos jóvenes 18 - 35 años</v>
      </c>
      <c r="E998" s="3" t="s">
        <v>5017</v>
      </c>
      <c r="F998" s="3" t="s">
        <v>5030</v>
      </c>
      <c r="G998" s="3" t="s">
        <v>5037</v>
      </c>
      <c r="H998" s="3" t="s">
        <v>7339</v>
      </c>
      <c r="I998" s="17">
        <v>45791</v>
      </c>
      <c r="J998" s="18">
        <f>YEAR(Tabla1[[#This Row],[FECHA DE COMPRA]])</f>
        <v>2025</v>
      </c>
      <c r="K998" s="19">
        <v>184.99</v>
      </c>
      <c r="L998" s="20">
        <v>0.3</v>
      </c>
      <c r="M998" s="19">
        <f>Tienda!$K3821-Tienda!$K3821*Tienda!$L3821</f>
        <v>9.9760000000000009</v>
      </c>
      <c r="N998" s="3" t="s">
        <v>10040</v>
      </c>
      <c r="O998" s="3" t="s">
        <v>10042</v>
      </c>
      <c r="P998" s="17">
        <v>45791</v>
      </c>
      <c r="Q998" s="4">
        <v>3</v>
      </c>
    </row>
    <row r="999" spans="1:17" x14ac:dyDescent="0.25">
      <c r="A999" s="2" t="s">
        <v>2346</v>
      </c>
      <c r="B999" s="3" t="s">
        <v>5015</v>
      </c>
      <c r="C999" s="3">
        <v>24</v>
      </c>
      <c r="D999" s="46" t="str">
        <f>IF(Tabla1[[#This Row],[EDAD]]&lt;=35,"Adultos jóvenes 18 - 35 años",IF(C999&gt;=36,"Adultos mayores 36 años en adelante"))</f>
        <v>Adultos jóvenes 18 - 35 años</v>
      </c>
      <c r="E999" s="3" t="s">
        <v>5019</v>
      </c>
      <c r="F999" s="3" t="s">
        <v>5024</v>
      </c>
      <c r="G999" s="3" t="s">
        <v>5034</v>
      </c>
      <c r="H999" s="3" t="s">
        <v>7369</v>
      </c>
      <c r="I999" s="17">
        <v>45799</v>
      </c>
      <c r="J999" s="18">
        <f>YEAR(Tabla1[[#This Row],[FECHA DE COMPRA]])</f>
        <v>2025</v>
      </c>
      <c r="K999" s="19">
        <v>198.94</v>
      </c>
      <c r="L999" s="20">
        <v>0.2</v>
      </c>
      <c r="M999" s="19">
        <f>Tienda!$K3828-Tienda!$K3828*Tienda!$L3828</f>
        <v>8.2159999999999993</v>
      </c>
      <c r="N999" s="3" t="s">
        <v>10040</v>
      </c>
      <c r="O999" s="3" t="s">
        <v>10042</v>
      </c>
      <c r="P999" s="17">
        <v>45799</v>
      </c>
      <c r="Q999" s="4">
        <v>3</v>
      </c>
    </row>
    <row r="1000" spans="1:17" x14ac:dyDescent="0.25">
      <c r="A1000" s="2" t="s">
        <v>1024</v>
      </c>
      <c r="B1000" s="3" t="s">
        <v>5016</v>
      </c>
      <c r="C1000" s="3">
        <v>22</v>
      </c>
      <c r="D1000" s="46" t="str">
        <f>IF(Tabla1[[#This Row],[EDAD]]&lt;=35,"Adultos jóvenes 18 - 35 años",IF(C1000&gt;=36,"Adultos mayores 36 años en adelante"))</f>
        <v>Adultos jóvenes 18 - 35 años</v>
      </c>
      <c r="E1000" s="3" t="s">
        <v>5021</v>
      </c>
      <c r="F1000" s="3" t="s">
        <v>5028</v>
      </c>
      <c r="G1000" s="3" t="s">
        <v>5035</v>
      </c>
      <c r="H1000" s="3" t="s">
        <v>6047</v>
      </c>
      <c r="I1000" s="17">
        <v>45813</v>
      </c>
      <c r="J1000" s="18">
        <f>YEAR(Tabla1[[#This Row],[FECHA DE COMPRA]])</f>
        <v>2025</v>
      </c>
      <c r="K1000" s="19">
        <v>29.85</v>
      </c>
      <c r="L1000" s="20">
        <v>0.1</v>
      </c>
      <c r="M1000" s="19">
        <f>Tienda!$K3836-Tienda!$K3836*Tienda!$L3836</f>
        <v>10.577</v>
      </c>
      <c r="N1000" s="3" t="s">
        <v>10040</v>
      </c>
      <c r="O1000" s="3" t="s">
        <v>10042</v>
      </c>
      <c r="P1000" s="17">
        <v>45813</v>
      </c>
      <c r="Q1000" s="4">
        <v>6</v>
      </c>
    </row>
    <row r="1001" spans="1:17" x14ac:dyDescent="0.25">
      <c r="A1001" s="2" t="s">
        <v>3955</v>
      </c>
      <c r="B1001" s="3" t="s">
        <v>5015</v>
      </c>
      <c r="C1001" s="3">
        <v>21</v>
      </c>
      <c r="D1001" s="46" t="str">
        <f>IF(Tabla1[[#This Row],[EDAD]]&lt;=35,"Adultos jóvenes 18 - 35 años",IF(C1001&gt;=36,"Adultos mayores 36 años en adelante"))</f>
        <v>Adultos jóvenes 18 - 35 años</v>
      </c>
      <c r="E1001" s="3" t="s">
        <v>5022</v>
      </c>
      <c r="F1001" s="3" t="s">
        <v>5028</v>
      </c>
      <c r="G1001" s="3" t="s">
        <v>5031</v>
      </c>
      <c r="H1001" s="3" t="s">
        <v>8978</v>
      </c>
      <c r="I1001" s="17">
        <v>45822</v>
      </c>
      <c r="J1001" s="18">
        <f>YEAR(Tabla1[[#This Row],[FECHA DE COMPRA]])</f>
        <v>2025</v>
      </c>
      <c r="K1001" s="19">
        <v>40.39</v>
      </c>
      <c r="L1001" s="20">
        <v>0.3</v>
      </c>
      <c r="M1001" s="19">
        <f>Tienda!$K3838-Tienda!$K3838*Tienda!$L3838</f>
        <v>11.048</v>
      </c>
      <c r="N1001" s="3" t="s">
        <v>10040</v>
      </c>
      <c r="O1001" s="3" t="s">
        <v>10042</v>
      </c>
      <c r="P1001" s="17">
        <v>45822</v>
      </c>
      <c r="Q1001" s="4">
        <v>6</v>
      </c>
    </row>
    <row r="1002" spans="1:17" x14ac:dyDescent="0.25">
      <c r="A1002" s="2" t="s">
        <v>1220</v>
      </c>
      <c r="B1002" s="3" t="s">
        <v>5015</v>
      </c>
      <c r="C1002" s="3">
        <v>19</v>
      </c>
      <c r="D1002" s="46" t="str">
        <f>IF(Tabla1[[#This Row],[EDAD]]&lt;=35,"Adultos jóvenes 18 - 35 años",IF(C1002&gt;=36,"Adultos mayores 36 años en adelante"))</f>
        <v>Adultos jóvenes 18 - 35 años</v>
      </c>
      <c r="E1002" s="3" t="s">
        <v>5020</v>
      </c>
      <c r="F1002" s="3" t="s">
        <v>5028</v>
      </c>
      <c r="G1002" s="3" t="s">
        <v>5036</v>
      </c>
      <c r="H1002" s="3" t="s">
        <v>6243</v>
      </c>
      <c r="I1002" s="17">
        <v>45824</v>
      </c>
      <c r="J1002" s="18">
        <f>YEAR(Tabla1[[#This Row],[FECHA DE COMPRA]])</f>
        <v>2025</v>
      </c>
      <c r="K1002" s="19">
        <v>44.88</v>
      </c>
      <c r="L1002" s="20">
        <v>0.2</v>
      </c>
      <c r="M1002" s="19">
        <f>Tienda!$K3839-Tienda!$K3839*Tienda!$L3839</f>
        <v>11.123999999999999</v>
      </c>
      <c r="N1002" s="3" t="s">
        <v>10040</v>
      </c>
      <c r="O1002" s="3" t="s">
        <v>10042</v>
      </c>
      <c r="P1002" s="17">
        <v>45824</v>
      </c>
      <c r="Q1002" s="4">
        <v>6</v>
      </c>
    </row>
    <row r="1003" spans="1:17" x14ac:dyDescent="0.25">
      <c r="A1003" s="2" t="s">
        <v>2543</v>
      </c>
      <c r="B1003" s="3" t="s">
        <v>5015</v>
      </c>
      <c r="C1003" s="3">
        <v>28</v>
      </c>
      <c r="D1003" s="46" t="str">
        <f>IF(Tabla1[[#This Row],[EDAD]]&lt;=35,"Adultos jóvenes 18 - 35 años",IF(C1003&gt;=36,"Adultos mayores 36 años en adelante"))</f>
        <v>Adultos jóvenes 18 - 35 años</v>
      </c>
      <c r="E1003" s="3" t="s">
        <v>5017</v>
      </c>
      <c r="F1003" s="3" t="s">
        <v>5024</v>
      </c>
      <c r="G1003" s="3" t="s">
        <v>5032</v>
      </c>
      <c r="H1003" s="3" t="s">
        <v>7566</v>
      </c>
      <c r="I1003" s="17">
        <v>45838</v>
      </c>
      <c r="J1003" s="18">
        <f>YEAR(Tabla1[[#This Row],[FECHA DE COMPRA]])</f>
        <v>2025</v>
      </c>
      <c r="K1003" s="19">
        <v>51.69</v>
      </c>
      <c r="L1003" s="20">
        <v>0.2</v>
      </c>
      <c r="M1003" s="19">
        <f>Tienda!$K3842-Tienda!$K3842*Tienda!$L3842</f>
        <v>11.582999999999998</v>
      </c>
      <c r="N1003" s="3" t="s">
        <v>10040</v>
      </c>
      <c r="O1003" s="3" t="s">
        <v>10042</v>
      </c>
      <c r="P1003" s="17">
        <v>45838</v>
      </c>
      <c r="Q1003" s="4">
        <v>3</v>
      </c>
    </row>
    <row r="1004" spans="1:17" x14ac:dyDescent="0.25">
      <c r="A1004" s="2" t="s">
        <v>95</v>
      </c>
      <c r="B1004" s="3" t="s">
        <v>5016</v>
      </c>
      <c r="C1004" s="3">
        <v>21</v>
      </c>
      <c r="D1004" s="46" t="str">
        <f>IF(Tabla1[[#This Row],[EDAD]]&lt;=35,"Adultos jóvenes 18 - 35 años",IF(C1004&gt;=36,"Adultos mayores 36 años en adelante"))</f>
        <v>Adultos jóvenes 18 - 35 años</v>
      </c>
      <c r="E1004" s="3" t="s">
        <v>5019</v>
      </c>
      <c r="F1004" s="3" t="s">
        <v>5026</v>
      </c>
      <c r="G1004" s="3" t="s">
        <v>5034</v>
      </c>
      <c r="H1004" s="3" t="s">
        <v>5118</v>
      </c>
      <c r="I1004" s="17">
        <v>45817</v>
      </c>
      <c r="J1004" s="18">
        <f>YEAR(Tabla1[[#This Row],[FECHA DE COMPRA]])</f>
        <v>2025</v>
      </c>
      <c r="K1004" s="19">
        <v>61.3</v>
      </c>
      <c r="L1004" s="20">
        <v>0.3</v>
      </c>
      <c r="M1004" s="19">
        <f>Tienda!$K3844-Tienda!$K3844*Tienda!$L3844</f>
        <v>11.808</v>
      </c>
      <c r="N1004" s="3" t="s">
        <v>10040</v>
      </c>
      <c r="O1004" s="3" t="s">
        <v>10042</v>
      </c>
      <c r="P1004" s="17">
        <v>45817</v>
      </c>
      <c r="Q1004" s="4">
        <v>3</v>
      </c>
    </row>
    <row r="1005" spans="1:17" x14ac:dyDescent="0.25">
      <c r="A1005" s="2" t="s">
        <v>982</v>
      </c>
      <c r="B1005" s="3" t="s">
        <v>5015</v>
      </c>
      <c r="C1005" s="3">
        <v>22</v>
      </c>
      <c r="D1005" s="46" t="str">
        <f>IF(Tabla1[[#This Row],[EDAD]]&lt;=35,"Adultos jóvenes 18 - 35 años",IF(C1005&gt;=36,"Adultos mayores 36 años en adelante"))</f>
        <v>Adultos jóvenes 18 - 35 años</v>
      </c>
      <c r="E1005" s="3" t="s">
        <v>5022</v>
      </c>
      <c r="F1005" s="3" t="s">
        <v>5024</v>
      </c>
      <c r="G1005" s="3" t="s">
        <v>5034</v>
      </c>
      <c r="H1005" s="3" t="s">
        <v>6005</v>
      </c>
      <c r="I1005" s="17">
        <v>45813</v>
      </c>
      <c r="J1005" s="18">
        <f>YEAR(Tabla1[[#This Row],[FECHA DE COMPRA]])</f>
        <v>2025</v>
      </c>
      <c r="K1005" s="19">
        <v>68.849999999999994</v>
      </c>
      <c r="L1005" s="20">
        <v>0.3</v>
      </c>
      <c r="M1005" s="19">
        <f>Tienda!$K3847-Tienda!$K3847*Tienda!$L3847</f>
        <v>12.29</v>
      </c>
      <c r="N1005" s="3" t="s">
        <v>10040</v>
      </c>
      <c r="O1005" s="3" t="s">
        <v>10042</v>
      </c>
      <c r="P1005" s="17">
        <v>45813</v>
      </c>
      <c r="Q1005" s="4">
        <v>3</v>
      </c>
    </row>
    <row r="1006" spans="1:17" x14ac:dyDescent="0.25">
      <c r="A1006" s="2" t="s">
        <v>4076</v>
      </c>
      <c r="B1006" s="3" t="s">
        <v>5015</v>
      </c>
      <c r="C1006" s="3">
        <v>29</v>
      </c>
      <c r="D1006" s="46" t="str">
        <f>IF(Tabla1[[#This Row],[EDAD]]&lt;=35,"Adultos jóvenes 18 - 35 años",IF(C1006&gt;=36,"Adultos mayores 36 años en adelante"))</f>
        <v>Adultos jóvenes 18 - 35 años</v>
      </c>
      <c r="E1006" s="3" t="s">
        <v>5017</v>
      </c>
      <c r="F1006" s="3" t="s">
        <v>5025</v>
      </c>
      <c r="G1006" s="3" t="s">
        <v>5035</v>
      </c>
      <c r="H1006" s="3" t="s">
        <v>9099</v>
      </c>
      <c r="I1006" s="17">
        <v>45822</v>
      </c>
      <c r="J1006" s="18">
        <f>YEAR(Tabla1[[#This Row],[FECHA DE COMPRA]])</f>
        <v>2025</v>
      </c>
      <c r="K1006" s="19">
        <v>87.8</v>
      </c>
      <c r="L1006" s="20">
        <v>0</v>
      </c>
      <c r="M1006" s="19">
        <f>Tienda!$K3849-Tienda!$K3849*Tienda!$L3849</f>
        <v>12.544</v>
      </c>
      <c r="N1006" s="3" t="s">
        <v>10040</v>
      </c>
      <c r="O1006" s="3" t="s">
        <v>10042</v>
      </c>
      <c r="P1006" s="17">
        <v>45822</v>
      </c>
      <c r="Q1006" s="4">
        <v>3</v>
      </c>
    </row>
    <row r="1007" spans="1:17" x14ac:dyDescent="0.25">
      <c r="A1007" s="2" t="s">
        <v>3645</v>
      </c>
      <c r="B1007" s="3" t="s">
        <v>5015</v>
      </c>
      <c r="C1007" s="3">
        <v>25</v>
      </c>
      <c r="D1007" s="46" t="str">
        <f>IF(Tabla1[[#This Row],[EDAD]]&lt;=35,"Adultos jóvenes 18 - 35 años",IF(C1007&gt;=36,"Adultos mayores 36 años en adelante"))</f>
        <v>Adultos jóvenes 18 - 35 años</v>
      </c>
      <c r="E1007" s="3" t="s">
        <v>5017</v>
      </c>
      <c r="F1007" s="3" t="s">
        <v>5030</v>
      </c>
      <c r="G1007" s="3" t="s">
        <v>5033</v>
      </c>
      <c r="H1007" s="3" t="s">
        <v>8668</v>
      </c>
      <c r="I1007" s="17">
        <v>45813</v>
      </c>
      <c r="J1007" s="18">
        <f>YEAR(Tabla1[[#This Row],[FECHA DE COMPRA]])</f>
        <v>2025</v>
      </c>
      <c r="K1007" s="19">
        <v>106.02</v>
      </c>
      <c r="L1007" s="20">
        <v>0</v>
      </c>
      <c r="M1007" s="19">
        <f>Tienda!$K3856-Tienda!$K3856*Tienda!$L3856</f>
        <v>13.95</v>
      </c>
      <c r="N1007" s="3" t="s">
        <v>10040</v>
      </c>
      <c r="O1007" s="3" t="s">
        <v>10042</v>
      </c>
      <c r="P1007" s="17">
        <v>45813</v>
      </c>
      <c r="Q1007" s="4">
        <v>6</v>
      </c>
    </row>
    <row r="1008" spans="1:17" x14ac:dyDescent="0.25">
      <c r="A1008" s="2" t="s">
        <v>497</v>
      </c>
      <c r="B1008" s="3" t="s">
        <v>5015</v>
      </c>
      <c r="C1008" s="3">
        <v>21</v>
      </c>
      <c r="D1008" s="46" t="str">
        <f>IF(Tabla1[[#This Row],[EDAD]]&lt;=35,"Adultos jóvenes 18 - 35 años",IF(C1008&gt;=36,"Adultos mayores 36 años en adelante"))</f>
        <v>Adultos jóvenes 18 - 35 años</v>
      </c>
      <c r="E1008" s="3" t="s">
        <v>5017</v>
      </c>
      <c r="F1008" s="3" t="s">
        <v>5030</v>
      </c>
      <c r="G1008" s="3" t="s">
        <v>5035</v>
      </c>
      <c r="H1008" s="3" t="s">
        <v>5520</v>
      </c>
      <c r="I1008" s="17">
        <v>45816</v>
      </c>
      <c r="J1008" s="18">
        <f>YEAR(Tabla1[[#This Row],[FECHA DE COMPRA]])</f>
        <v>2025</v>
      </c>
      <c r="K1008" s="19">
        <v>118.37</v>
      </c>
      <c r="L1008" s="20">
        <v>0.3</v>
      </c>
      <c r="M1008" s="19">
        <f>Tienda!$K3860-Tienda!$K3860*Tienda!$L3860</f>
        <v>15.197000000000001</v>
      </c>
      <c r="N1008" s="3" t="s">
        <v>10040</v>
      </c>
      <c r="O1008" s="3" t="s">
        <v>10042</v>
      </c>
      <c r="P1008" s="17">
        <v>45816</v>
      </c>
      <c r="Q1008" s="4">
        <v>6</v>
      </c>
    </row>
    <row r="1009" spans="1:17" x14ac:dyDescent="0.25">
      <c r="A1009" s="2" t="s">
        <v>2636</v>
      </c>
      <c r="B1009" s="3" t="s">
        <v>5015</v>
      </c>
      <c r="C1009" s="3">
        <v>21</v>
      </c>
      <c r="D1009" s="46" t="str">
        <f>IF(Tabla1[[#This Row],[EDAD]]&lt;=35,"Adultos jóvenes 18 - 35 años",IF(C1009&gt;=36,"Adultos mayores 36 años en adelante"))</f>
        <v>Adultos jóvenes 18 - 35 años</v>
      </c>
      <c r="E1009" s="3" t="s">
        <v>5023</v>
      </c>
      <c r="F1009" s="3" t="s">
        <v>5024</v>
      </c>
      <c r="G1009" s="3" t="s">
        <v>5037</v>
      </c>
      <c r="H1009" s="3" t="s">
        <v>7659</v>
      </c>
      <c r="I1009" s="17">
        <v>45831</v>
      </c>
      <c r="J1009" s="18">
        <f>YEAR(Tabla1[[#This Row],[FECHA DE COMPRA]])</f>
        <v>2025</v>
      </c>
      <c r="K1009" s="19">
        <v>125.15</v>
      </c>
      <c r="L1009" s="20">
        <v>0.1</v>
      </c>
      <c r="M1009" s="19">
        <f>Tienda!$K3861-Tienda!$K3861*Tienda!$L3861</f>
        <v>15.4</v>
      </c>
      <c r="N1009" s="3" t="s">
        <v>10040</v>
      </c>
      <c r="O1009" s="3" t="s">
        <v>10042</v>
      </c>
      <c r="P1009" s="17">
        <v>45831</v>
      </c>
      <c r="Q1009" s="4">
        <v>6</v>
      </c>
    </row>
    <row r="1010" spans="1:17" x14ac:dyDescent="0.25">
      <c r="A1010" s="2" t="s">
        <v>4273</v>
      </c>
      <c r="B1010" s="3" t="s">
        <v>5015</v>
      </c>
      <c r="C1010" s="3">
        <v>30</v>
      </c>
      <c r="D1010" s="46" t="str">
        <f>IF(Tabla1[[#This Row],[EDAD]]&lt;=35,"Adultos jóvenes 18 - 35 años",IF(C1010&gt;=36,"Adultos mayores 36 años en adelante"))</f>
        <v>Adultos jóvenes 18 - 35 años</v>
      </c>
      <c r="E1010" s="3" t="s">
        <v>5020</v>
      </c>
      <c r="F1010" s="3" t="s">
        <v>5027</v>
      </c>
      <c r="G1010" s="3" t="s">
        <v>5033</v>
      </c>
      <c r="H1010" s="3" t="s">
        <v>9296</v>
      </c>
      <c r="I1010" s="17">
        <v>45822</v>
      </c>
      <c r="J1010" s="18">
        <f>YEAR(Tabla1[[#This Row],[FECHA DE COMPRA]])</f>
        <v>2025</v>
      </c>
      <c r="K1010" s="19">
        <v>133.51</v>
      </c>
      <c r="L1010" s="20">
        <v>0</v>
      </c>
      <c r="M1010" s="19">
        <f>Tienda!$K3863-Tienda!$K3863*Tienda!$L3863</f>
        <v>15.928000000000001</v>
      </c>
      <c r="N1010" s="3" t="s">
        <v>10040</v>
      </c>
      <c r="O1010" s="3" t="s">
        <v>10042</v>
      </c>
      <c r="P1010" s="17">
        <v>45822</v>
      </c>
      <c r="Q1010" s="4">
        <v>6</v>
      </c>
    </row>
    <row r="1011" spans="1:17" x14ac:dyDescent="0.25">
      <c r="A1011" s="2" t="s">
        <v>3410</v>
      </c>
      <c r="B1011" s="3" t="s">
        <v>5015</v>
      </c>
      <c r="C1011" s="3">
        <v>28</v>
      </c>
      <c r="D1011" s="46" t="str">
        <f>IF(Tabla1[[#This Row],[EDAD]]&lt;=35,"Adultos jóvenes 18 - 35 años",IF(C1011&gt;=36,"Adultos mayores 36 años en adelante"))</f>
        <v>Adultos jóvenes 18 - 35 años</v>
      </c>
      <c r="E1011" s="3" t="s">
        <v>5023</v>
      </c>
      <c r="F1011" s="3" t="s">
        <v>5025</v>
      </c>
      <c r="G1011" s="3" t="s">
        <v>5036</v>
      </c>
      <c r="H1011" s="3" t="s">
        <v>8433</v>
      </c>
      <c r="I1011" s="17">
        <v>45810</v>
      </c>
      <c r="J1011" s="18">
        <f>YEAR(Tabla1[[#This Row],[FECHA DE COMPRA]])</f>
        <v>2025</v>
      </c>
      <c r="K1011" s="19">
        <v>133.91</v>
      </c>
      <c r="L1011" s="20">
        <v>0.2</v>
      </c>
      <c r="M1011" s="19">
        <f>Tienda!$K3864-Tienda!$K3864*Tienda!$L3864</f>
        <v>16.072000000000003</v>
      </c>
      <c r="N1011" s="3" t="s">
        <v>10040</v>
      </c>
      <c r="O1011" s="3" t="s">
        <v>10042</v>
      </c>
      <c r="P1011" s="17">
        <v>45810</v>
      </c>
      <c r="Q1011" s="4">
        <v>3</v>
      </c>
    </row>
    <row r="1012" spans="1:17" x14ac:dyDescent="0.25">
      <c r="A1012" s="2" t="s">
        <v>1339</v>
      </c>
      <c r="B1012" s="3" t="s">
        <v>5016</v>
      </c>
      <c r="C1012" s="3">
        <v>33</v>
      </c>
      <c r="D1012" s="46" t="str">
        <f>IF(Tabla1[[#This Row],[EDAD]]&lt;=35,"Adultos jóvenes 18 - 35 años",IF(C1012&gt;=36,"Adultos mayores 36 años en adelante"))</f>
        <v>Adultos jóvenes 18 - 35 años</v>
      </c>
      <c r="E1012" s="3" t="s">
        <v>5017</v>
      </c>
      <c r="F1012" s="3" t="s">
        <v>5024</v>
      </c>
      <c r="G1012" s="3" t="s">
        <v>5035</v>
      </c>
      <c r="H1012" s="3" t="s">
        <v>6362</v>
      </c>
      <c r="I1012" s="17">
        <v>45817</v>
      </c>
      <c r="J1012" s="18">
        <f>YEAR(Tabla1[[#This Row],[FECHA DE COMPRA]])</f>
        <v>2025</v>
      </c>
      <c r="K1012" s="19">
        <v>138.28</v>
      </c>
      <c r="L1012" s="20">
        <v>0</v>
      </c>
      <c r="M1012" s="19">
        <f>Tienda!$K3867-Tienda!$K3867*Tienda!$L3867</f>
        <v>16.408000000000001</v>
      </c>
      <c r="N1012" s="3" t="s">
        <v>10040</v>
      </c>
      <c r="O1012" s="3" t="s">
        <v>10042</v>
      </c>
      <c r="P1012" s="17">
        <v>45817</v>
      </c>
      <c r="Q1012" s="4">
        <v>3</v>
      </c>
    </row>
    <row r="1013" spans="1:17" x14ac:dyDescent="0.25">
      <c r="A1013" s="2" t="s">
        <v>2341</v>
      </c>
      <c r="B1013" s="3" t="s">
        <v>5015</v>
      </c>
      <c r="C1013" s="3">
        <v>34</v>
      </c>
      <c r="D1013" s="46" t="str">
        <f>IF(Tabla1[[#This Row],[EDAD]]&lt;=35,"Adultos jóvenes 18 - 35 años",IF(C1013&gt;=36,"Adultos mayores 36 años en adelante"))</f>
        <v>Adultos jóvenes 18 - 35 años</v>
      </c>
      <c r="E1013" s="3" t="s">
        <v>5021</v>
      </c>
      <c r="F1013" s="3" t="s">
        <v>5029</v>
      </c>
      <c r="G1013" s="3" t="s">
        <v>5033</v>
      </c>
      <c r="H1013" s="3" t="s">
        <v>7364</v>
      </c>
      <c r="I1013" s="17">
        <v>45816</v>
      </c>
      <c r="J1013" s="18">
        <f>YEAR(Tabla1[[#This Row],[FECHA DE COMPRA]])</f>
        <v>2025</v>
      </c>
      <c r="K1013" s="19">
        <v>143.94</v>
      </c>
      <c r="L1013" s="20">
        <v>0.3</v>
      </c>
      <c r="M1013" s="19">
        <f>Tienda!$K3869-Tienda!$K3869*Tienda!$L3869</f>
        <v>16.632000000000001</v>
      </c>
      <c r="N1013" s="3" t="s">
        <v>10040</v>
      </c>
      <c r="O1013" s="3" t="s">
        <v>10042</v>
      </c>
      <c r="P1013" s="17">
        <v>45816</v>
      </c>
      <c r="Q1013" s="4">
        <v>3</v>
      </c>
    </row>
    <row r="1014" spans="1:17" x14ac:dyDescent="0.25">
      <c r="A1014" s="2" t="s">
        <v>2632</v>
      </c>
      <c r="B1014" s="3" t="s">
        <v>5015</v>
      </c>
      <c r="C1014" s="3">
        <v>33</v>
      </c>
      <c r="D1014" s="46" t="str">
        <f>IF(Tabla1[[#This Row],[EDAD]]&lt;=35,"Adultos jóvenes 18 - 35 años",IF(C1014&gt;=36,"Adultos mayores 36 años en adelante"))</f>
        <v>Adultos jóvenes 18 - 35 años</v>
      </c>
      <c r="E1014" s="3" t="s">
        <v>5019</v>
      </c>
      <c r="F1014" s="3" t="s">
        <v>5028</v>
      </c>
      <c r="G1014" s="3" t="s">
        <v>5034</v>
      </c>
      <c r="H1014" s="3" t="s">
        <v>7655</v>
      </c>
      <c r="I1014" s="17">
        <v>45820</v>
      </c>
      <c r="J1014" s="18">
        <f>YEAR(Tabla1[[#This Row],[FECHA DE COMPRA]])</f>
        <v>2025</v>
      </c>
      <c r="K1014" s="19">
        <v>144.66</v>
      </c>
      <c r="L1014" s="20">
        <v>0.1</v>
      </c>
      <c r="M1014" s="19">
        <f>Tienda!$K3870-Tienda!$K3870*Tienda!$L3870</f>
        <v>16.66</v>
      </c>
      <c r="N1014" s="3" t="s">
        <v>10040</v>
      </c>
      <c r="O1014" s="3" t="s">
        <v>10042</v>
      </c>
      <c r="P1014" s="17">
        <v>45820</v>
      </c>
      <c r="Q1014" s="4">
        <v>3</v>
      </c>
    </row>
    <row r="1015" spans="1:17" x14ac:dyDescent="0.25">
      <c r="A1015" s="2" t="s">
        <v>647</v>
      </c>
      <c r="B1015" s="3" t="s">
        <v>5015</v>
      </c>
      <c r="C1015" s="3">
        <v>29</v>
      </c>
      <c r="D1015" s="46" t="str">
        <f>IF(Tabla1[[#This Row],[EDAD]]&lt;=35,"Adultos jóvenes 18 - 35 años",IF(C1015&gt;=36,"Adultos mayores 36 años en adelante"))</f>
        <v>Adultos jóvenes 18 - 35 años</v>
      </c>
      <c r="E1015" s="3" t="s">
        <v>5022</v>
      </c>
      <c r="F1015" s="3" t="s">
        <v>5029</v>
      </c>
      <c r="G1015" s="3" t="s">
        <v>5033</v>
      </c>
      <c r="H1015" s="3" t="s">
        <v>5670</v>
      </c>
      <c r="I1015" s="17">
        <v>45832</v>
      </c>
      <c r="J1015" s="18">
        <f>YEAR(Tabla1[[#This Row],[FECHA DE COMPRA]])</f>
        <v>2025</v>
      </c>
      <c r="K1015" s="19">
        <v>152.16999999999999</v>
      </c>
      <c r="L1015" s="20">
        <v>0</v>
      </c>
      <c r="M1015" s="19">
        <f>Tienda!$K3873-Tienda!$K3873*Tienda!$L3873</f>
        <v>17.21</v>
      </c>
      <c r="N1015" s="3" t="s">
        <v>10040</v>
      </c>
      <c r="O1015" s="3" t="s">
        <v>10042</v>
      </c>
      <c r="P1015" s="17">
        <v>45832</v>
      </c>
      <c r="Q1015" s="4">
        <v>3</v>
      </c>
    </row>
    <row r="1016" spans="1:17" x14ac:dyDescent="0.25">
      <c r="A1016" s="2" t="s">
        <v>1746</v>
      </c>
      <c r="B1016" s="3" t="s">
        <v>5016</v>
      </c>
      <c r="C1016" s="3">
        <v>28</v>
      </c>
      <c r="D1016" s="46" t="str">
        <f>IF(Tabla1[[#This Row],[EDAD]]&lt;=35,"Adultos jóvenes 18 - 35 años",IF(C1016&gt;=36,"Adultos mayores 36 años en adelante"))</f>
        <v>Adultos jóvenes 18 - 35 años</v>
      </c>
      <c r="E1016" s="3" t="s">
        <v>5017</v>
      </c>
      <c r="F1016" s="3" t="s">
        <v>5027</v>
      </c>
      <c r="G1016" s="3" t="s">
        <v>5035</v>
      </c>
      <c r="H1016" s="3" t="s">
        <v>6769</v>
      </c>
      <c r="I1016" s="17">
        <v>45828</v>
      </c>
      <c r="J1016" s="18">
        <f>YEAR(Tabla1[[#This Row],[FECHA DE COMPRA]])</f>
        <v>2025</v>
      </c>
      <c r="K1016" s="19">
        <v>160.31</v>
      </c>
      <c r="L1016" s="20">
        <v>0.2</v>
      </c>
      <c r="M1016" s="19">
        <f>Tienda!$K3876-Tienda!$K3876*Tienda!$L3876</f>
        <v>17.682000000000002</v>
      </c>
      <c r="N1016" s="3" t="s">
        <v>10040</v>
      </c>
      <c r="O1016" s="3" t="s">
        <v>10042</v>
      </c>
      <c r="P1016" s="17">
        <v>45828</v>
      </c>
      <c r="Q1016" s="4">
        <v>6</v>
      </c>
    </row>
    <row r="1017" spans="1:17" x14ac:dyDescent="0.25">
      <c r="A1017" s="2" t="s">
        <v>4647</v>
      </c>
      <c r="B1017" s="3" t="s">
        <v>5016</v>
      </c>
      <c r="C1017" s="3">
        <v>22</v>
      </c>
      <c r="D1017" s="46" t="str">
        <f>IF(Tabla1[[#This Row],[EDAD]]&lt;=35,"Adultos jóvenes 18 - 35 años",IF(C1017&gt;=36,"Adultos mayores 36 años en adelante"))</f>
        <v>Adultos jóvenes 18 - 35 años</v>
      </c>
      <c r="E1017" s="3" t="s">
        <v>5021</v>
      </c>
      <c r="F1017" s="3" t="s">
        <v>5025</v>
      </c>
      <c r="G1017" s="3" t="s">
        <v>5035</v>
      </c>
      <c r="H1017" s="3" t="s">
        <v>9670</v>
      </c>
      <c r="I1017" s="17">
        <v>45829</v>
      </c>
      <c r="J1017" s="18">
        <f>YEAR(Tabla1[[#This Row],[FECHA DE COMPRA]])</f>
        <v>2025</v>
      </c>
      <c r="K1017" s="19">
        <v>191.37</v>
      </c>
      <c r="L1017" s="20">
        <v>0.2</v>
      </c>
      <c r="M1017" s="19">
        <f>Tienda!$K3883-Tienda!$K3883*Tienda!$L3883</f>
        <v>19.416</v>
      </c>
      <c r="N1017" s="3" t="s">
        <v>10040</v>
      </c>
      <c r="O1017" s="3" t="s">
        <v>10042</v>
      </c>
      <c r="P1017" s="17">
        <v>45829</v>
      </c>
      <c r="Q1017" s="4">
        <v>6</v>
      </c>
    </row>
    <row r="1018" spans="1:17" x14ac:dyDescent="0.25">
      <c r="A1018" s="2" t="s">
        <v>3469</v>
      </c>
      <c r="B1018" s="3" t="s">
        <v>5016</v>
      </c>
      <c r="C1018" s="3">
        <v>22</v>
      </c>
      <c r="D1018" s="46" t="str">
        <f>IF(Tabla1[[#This Row],[EDAD]]&lt;=35,"Adultos jóvenes 18 - 35 años",IF(C1018&gt;=36,"Adultos mayores 36 años en adelante"))</f>
        <v>Adultos jóvenes 18 - 35 años</v>
      </c>
      <c r="E1018" s="3" t="s">
        <v>5023</v>
      </c>
      <c r="F1018" s="3" t="s">
        <v>5028</v>
      </c>
      <c r="G1018" s="3" t="s">
        <v>5033</v>
      </c>
      <c r="H1018" s="3" t="s">
        <v>8492</v>
      </c>
      <c r="I1018" s="17">
        <v>45834</v>
      </c>
      <c r="J1018" s="18">
        <f>YEAR(Tabla1[[#This Row],[FECHA DE COMPRA]])</f>
        <v>2025</v>
      </c>
      <c r="K1018" s="19">
        <v>192.7</v>
      </c>
      <c r="L1018" s="20">
        <v>0.2</v>
      </c>
      <c r="M1018" s="19">
        <f>Tienda!$K3884-Tienda!$K3884*Tienda!$L3884</f>
        <v>19.5</v>
      </c>
      <c r="N1018" s="3" t="s">
        <v>10040</v>
      </c>
      <c r="O1018" s="3" t="s">
        <v>10042</v>
      </c>
      <c r="P1018" s="17">
        <v>45834</v>
      </c>
      <c r="Q1018" s="4">
        <v>6</v>
      </c>
    </row>
    <row r="1019" spans="1:17" x14ac:dyDescent="0.25">
      <c r="A1019" s="2" t="s">
        <v>2536</v>
      </c>
      <c r="B1019" s="3" t="s">
        <v>5015</v>
      </c>
      <c r="C1019" s="3">
        <v>21</v>
      </c>
      <c r="D1019" s="46" t="str">
        <f>IF(Tabla1[[#This Row],[EDAD]]&lt;=35,"Adultos jóvenes 18 - 35 años",IF(C1019&gt;=36,"Adultos mayores 36 años en adelante"))</f>
        <v>Adultos jóvenes 18 - 35 años</v>
      </c>
      <c r="E1019" s="3" t="s">
        <v>5020</v>
      </c>
      <c r="F1019" s="3" t="s">
        <v>5028</v>
      </c>
      <c r="G1019" s="3" t="s">
        <v>5032</v>
      </c>
      <c r="H1019" s="3" t="s">
        <v>7559</v>
      </c>
      <c r="I1019" s="17">
        <v>45840</v>
      </c>
      <c r="J1019" s="18">
        <f>YEAR(Tabla1[[#This Row],[FECHA DE COMPRA]])</f>
        <v>2025</v>
      </c>
      <c r="K1019" s="19">
        <v>47.19</v>
      </c>
      <c r="L1019" s="20">
        <v>0.3</v>
      </c>
      <c r="M1019" s="19">
        <f>Tienda!$K3890-Tienda!$K3890*Tienda!$L3890</f>
        <v>21.423999999999999</v>
      </c>
      <c r="N1019" s="3" t="s">
        <v>10040</v>
      </c>
      <c r="O1019" s="3" t="s">
        <v>10042</v>
      </c>
      <c r="P1019" s="17">
        <v>45840</v>
      </c>
      <c r="Q1019" s="4">
        <v>3</v>
      </c>
    </row>
    <row r="1020" spans="1:17" x14ac:dyDescent="0.25">
      <c r="A1020" s="2" t="s">
        <v>1456</v>
      </c>
      <c r="B1020" s="3" t="s">
        <v>5016</v>
      </c>
      <c r="C1020" s="3">
        <v>35</v>
      </c>
      <c r="D1020" s="46" t="str">
        <f>IF(Tabla1[[#This Row],[EDAD]]&lt;=35,"Adultos jóvenes 18 - 35 años",IF(C1020&gt;=36,"Adultos mayores 36 años en adelante"))</f>
        <v>Adultos jóvenes 18 - 35 años</v>
      </c>
      <c r="E1020" s="3" t="s">
        <v>5023</v>
      </c>
      <c r="F1020" s="3" t="s">
        <v>5029</v>
      </c>
      <c r="G1020" s="3" t="s">
        <v>5036</v>
      </c>
      <c r="H1020" s="3" t="s">
        <v>6479</v>
      </c>
      <c r="I1020" s="17">
        <v>45863</v>
      </c>
      <c r="J1020" s="18">
        <f>YEAR(Tabla1[[#This Row],[FECHA DE COMPRA]])</f>
        <v>2025</v>
      </c>
      <c r="K1020" s="19">
        <v>74.650000000000006</v>
      </c>
      <c r="L1020" s="20">
        <v>0.3</v>
      </c>
      <c r="M1020" s="19">
        <f>Tienda!$K3893-Tienda!$K3893*Tienda!$L3893</f>
        <v>22.064</v>
      </c>
      <c r="N1020" s="3" t="s">
        <v>10040</v>
      </c>
      <c r="O1020" s="3" t="s">
        <v>10042</v>
      </c>
      <c r="P1020" s="17">
        <v>45863</v>
      </c>
      <c r="Q1020" s="4">
        <v>3</v>
      </c>
    </row>
    <row r="1021" spans="1:17" x14ac:dyDescent="0.25">
      <c r="A1021" s="2" t="s">
        <v>4703</v>
      </c>
      <c r="B1021" s="3" t="s">
        <v>5015</v>
      </c>
      <c r="C1021" s="3">
        <v>35</v>
      </c>
      <c r="D1021" s="46" t="str">
        <f>IF(Tabla1[[#This Row],[EDAD]]&lt;=35,"Adultos jóvenes 18 - 35 años",IF(C1021&gt;=36,"Adultos mayores 36 años en adelante"))</f>
        <v>Adultos jóvenes 18 - 35 años</v>
      </c>
      <c r="E1021" s="3" t="s">
        <v>5023</v>
      </c>
      <c r="F1021" s="3" t="s">
        <v>5026</v>
      </c>
      <c r="G1021" s="3" t="s">
        <v>5031</v>
      </c>
      <c r="H1021" s="3" t="s">
        <v>9726</v>
      </c>
      <c r="I1021" s="17">
        <v>45865</v>
      </c>
      <c r="J1021" s="18">
        <f>YEAR(Tabla1[[#This Row],[FECHA DE COMPRA]])</f>
        <v>2025</v>
      </c>
      <c r="K1021" s="19">
        <v>82.39</v>
      </c>
      <c r="L1021" s="20">
        <v>0.1</v>
      </c>
      <c r="M1021" s="19">
        <f>Tienda!$K3894-Tienda!$K3894*Tienda!$L3894</f>
        <v>22.303999999999998</v>
      </c>
      <c r="N1021" s="3" t="s">
        <v>10040</v>
      </c>
      <c r="O1021" s="3" t="s">
        <v>10042</v>
      </c>
      <c r="P1021" s="17">
        <v>45865</v>
      </c>
      <c r="Q1021" s="4">
        <v>3</v>
      </c>
    </row>
    <row r="1022" spans="1:17" x14ac:dyDescent="0.25">
      <c r="A1022" s="2" t="s">
        <v>642</v>
      </c>
      <c r="B1022" s="3" t="s">
        <v>5016</v>
      </c>
      <c r="C1022" s="3">
        <v>26</v>
      </c>
      <c r="D1022" s="46" t="str">
        <f>IF(Tabla1[[#This Row],[EDAD]]&lt;=35,"Adultos jóvenes 18 - 35 años",IF(C1022&gt;=36,"Adultos mayores 36 años en adelante"))</f>
        <v>Adultos jóvenes 18 - 35 años</v>
      </c>
      <c r="E1022" s="3" t="s">
        <v>5023</v>
      </c>
      <c r="F1022" s="3" t="s">
        <v>5025</v>
      </c>
      <c r="G1022" s="3" t="s">
        <v>5035</v>
      </c>
      <c r="H1022" s="3" t="s">
        <v>5665</v>
      </c>
      <c r="I1022" s="17">
        <v>45855</v>
      </c>
      <c r="J1022" s="18">
        <f>YEAR(Tabla1[[#This Row],[FECHA DE COMPRA]])</f>
        <v>2025</v>
      </c>
      <c r="K1022" s="19">
        <v>101.84</v>
      </c>
      <c r="L1022" s="20">
        <v>0.1</v>
      </c>
      <c r="M1022" s="19">
        <f>Tienda!$K3896-Tienda!$K3896*Tienda!$L3896</f>
        <v>22.59</v>
      </c>
      <c r="N1022" s="3" t="s">
        <v>10040</v>
      </c>
      <c r="O1022" s="3" t="s">
        <v>10042</v>
      </c>
      <c r="P1022" s="17">
        <v>45855</v>
      </c>
      <c r="Q1022" s="4">
        <v>3</v>
      </c>
    </row>
    <row r="1023" spans="1:17" x14ac:dyDescent="0.25">
      <c r="A1023" s="2" t="s">
        <v>4745</v>
      </c>
      <c r="B1023" s="3" t="s">
        <v>5015</v>
      </c>
      <c r="C1023" s="3">
        <v>20</v>
      </c>
      <c r="D1023" s="46" t="str">
        <f>IF(Tabla1[[#This Row],[EDAD]]&lt;=35,"Adultos jóvenes 18 - 35 años",IF(C1023&gt;=36,"Adultos mayores 36 años en adelante"))</f>
        <v>Adultos jóvenes 18 - 35 años</v>
      </c>
      <c r="E1023" s="3" t="s">
        <v>5022</v>
      </c>
      <c r="F1023" s="3" t="s">
        <v>5029</v>
      </c>
      <c r="G1023" s="3" t="s">
        <v>5033</v>
      </c>
      <c r="H1023" s="3" t="s">
        <v>9768</v>
      </c>
      <c r="I1023" s="17">
        <v>45839</v>
      </c>
      <c r="J1023" s="18">
        <f>YEAR(Tabla1[[#This Row],[FECHA DE COMPRA]])</f>
        <v>2025</v>
      </c>
      <c r="K1023" s="19">
        <v>115.01</v>
      </c>
      <c r="L1023" s="20">
        <v>0</v>
      </c>
      <c r="M1023" s="19">
        <f>Tienda!$K3898-Tienda!$K3898*Tienda!$L3898</f>
        <v>22.756999999999998</v>
      </c>
      <c r="N1023" s="3" t="s">
        <v>10040</v>
      </c>
      <c r="O1023" s="3" t="s">
        <v>10042</v>
      </c>
      <c r="P1023" s="17">
        <v>45839</v>
      </c>
      <c r="Q1023" s="4">
        <v>6</v>
      </c>
    </row>
    <row r="1024" spans="1:17" x14ac:dyDescent="0.25">
      <c r="A1024" s="2" t="s">
        <v>390</v>
      </c>
      <c r="B1024" s="3" t="s">
        <v>5015</v>
      </c>
      <c r="C1024" s="3">
        <v>25</v>
      </c>
      <c r="D1024" s="46" t="str">
        <f>IF(Tabla1[[#This Row],[EDAD]]&lt;=35,"Adultos jóvenes 18 - 35 años",IF(C1024&gt;=36,"Adultos mayores 36 años en adelante"))</f>
        <v>Adultos jóvenes 18 - 35 años</v>
      </c>
      <c r="E1024" s="3" t="s">
        <v>5023</v>
      </c>
      <c r="F1024" s="3" t="s">
        <v>5025</v>
      </c>
      <c r="G1024" s="3" t="s">
        <v>5034</v>
      </c>
      <c r="H1024" s="3" t="s">
        <v>5413</v>
      </c>
      <c r="I1024" s="17">
        <v>45846</v>
      </c>
      <c r="J1024" s="18">
        <f>YEAR(Tabla1[[#This Row],[FECHA DE COMPRA]])</f>
        <v>2025</v>
      </c>
      <c r="K1024" s="19">
        <v>135.38</v>
      </c>
      <c r="L1024" s="20">
        <v>0.2</v>
      </c>
      <c r="M1024" s="19">
        <f>Tienda!$K3902-Tienda!$K3902*Tienda!$L3902</f>
        <v>23.634</v>
      </c>
      <c r="N1024" s="3" t="s">
        <v>10040</v>
      </c>
      <c r="O1024" s="3" t="s">
        <v>10042</v>
      </c>
      <c r="P1024" s="17">
        <v>45846</v>
      </c>
      <c r="Q1024" s="4">
        <v>6</v>
      </c>
    </row>
    <row r="1025" spans="1:17" x14ac:dyDescent="0.25">
      <c r="A1025" s="2" t="s">
        <v>4283</v>
      </c>
      <c r="B1025" s="3" t="s">
        <v>5015</v>
      </c>
      <c r="C1025" s="3">
        <v>27</v>
      </c>
      <c r="D1025" s="46" t="str">
        <f>IF(Tabla1[[#This Row],[EDAD]]&lt;=35,"Adultos jóvenes 18 - 35 años",IF(C1025&gt;=36,"Adultos mayores 36 años en adelante"))</f>
        <v>Adultos jóvenes 18 - 35 años</v>
      </c>
      <c r="E1025" s="3" t="s">
        <v>5017</v>
      </c>
      <c r="F1025" s="3" t="s">
        <v>5029</v>
      </c>
      <c r="G1025" s="3" t="s">
        <v>5033</v>
      </c>
      <c r="H1025" s="3" t="s">
        <v>9306</v>
      </c>
      <c r="I1025" s="17">
        <v>45864</v>
      </c>
      <c r="J1025" s="18">
        <f>YEAR(Tabla1[[#This Row],[FECHA DE COMPRA]])</f>
        <v>2025</v>
      </c>
      <c r="K1025" s="19">
        <v>136.41</v>
      </c>
      <c r="L1025" s="20">
        <v>0.3</v>
      </c>
      <c r="M1025" s="19">
        <f>Tienda!$K3903-Tienda!$K3903*Tienda!$L3903</f>
        <v>23.688000000000002</v>
      </c>
      <c r="N1025" s="3" t="s">
        <v>10040</v>
      </c>
      <c r="O1025" s="3" t="s">
        <v>10042</v>
      </c>
      <c r="P1025" s="17">
        <v>45864</v>
      </c>
      <c r="Q1025" s="4">
        <v>6</v>
      </c>
    </row>
    <row r="1026" spans="1:17" x14ac:dyDescent="0.25">
      <c r="A1026" s="2" t="s">
        <v>3741</v>
      </c>
      <c r="B1026" s="3" t="s">
        <v>5015</v>
      </c>
      <c r="C1026" s="3">
        <v>32</v>
      </c>
      <c r="D1026" s="46" t="str">
        <f>IF(Tabla1[[#This Row],[EDAD]]&lt;=35,"Adultos jóvenes 18 - 35 años",IF(C1026&gt;=36,"Adultos mayores 36 años en adelante"))</f>
        <v>Adultos jóvenes 18 - 35 años</v>
      </c>
      <c r="E1026" s="3" t="s">
        <v>5023</v>
      </c>
      <c r="F1026" s="3" t="s">
        <v>5029</v>
      </c>
      <c r="G1026" s="3" t="s">
        <v>5033</v>
      </c>
      <c r="H1026" s="3" t="s">
        <v>8764</v>
      </c>
      <c r="I1026" s="17">
        <v>45854</v>
      </c>
      <c r="J1026" s="18">
        <f>YEAR(Tabla1[[#This Row],[FECHA DE COMPRA]])</f>
        <v>2025</v>
      </c>
      <c r="K1026" s="19">
        <v>147.16</v>
      </c>
      <c r="L1026" s="20">
        <v>0.1</v>
      </c>
      <c r="M1026" s="19">
        <f>Tienda!$K3904-Tienda!$K3904*Tienda!$L3904</f>
        <v>23.898000000000003</v>
      </c>
      <c r="N1026" s="3" t="s">
        <v>10040</v>
      </c>
      <c r="O1026" s="3" t="s">
        <v>10042</v>
      </c>
      <c r="P1026" s="17">
        <v>45854</v>
      </c>
      <c r="Q1026" s="4">
        <v>6</v>
      </c>
    </row>
    <row r="1027" spans="1:17" x14ac:dyDescent="0.25">
      <c r="A1027" s="2" t="s">
        <v>326</v>
      </c>
      <c r="B1027" s="3" t="s">
        <v>5015</v>
      </c>
      <c r="C1027" s="3">
        <v>20</v>
      </c>
      <c r="D1027" s="46" t="str">
        <f>IF(Tabla1[[#This Row],[EDAD]]&lt;=35,"Adultos jóvenes 18 - 35 años",IF(C1027&gt;=36,"Adultos mayores 36 años en adelante"))</f>
        <v>Adultos jóvenes 18 - 35 años</v>
      </c>
      <c r="E1027" s="3" t="s">
        <v>5022</v>
      </c>
      <c r="F1027" s="3" t="s">
        <v>5026</v>
      </c>
      <c r="G1027" s="3" t="s">
        <v>5031</v>
      </c>
      <c r="H1027" s="3" t="s">
        <v>5349</v>
      </c>
      <c r="I1027" s="17">
        <v>45852</v>
      </c>
      <c r="J1027" s="18">
        <f>YEAR(Tabla1[[#This Row],[FECHA DE COMPRA]])</f>
        <v>2025</v>
      </c>
      <c r="K1027" s="19">
        <v>147.74</v>
      </c>
      <c r="L1027" s="20">
        <v>0.2</v>
      </c>
      <c r="M1027" s="19">
        <f>Tienda!$K3905-Tienda!$K3905*Tienda!$L3905</f>
        <v>24.128</v>
      </c>
      <c r="N1027" s="3" t="s">
        <v>10040</v>
      </c>
      <c r="O1027" s="3" t="s">
        <v>10042</v>
      </c>
      <c r="P1027" s="17">
        <v>45852</v>
      </c>
      <c r="Q1027" s="4">
        <v>6</v>
      </c>
    </row>
    <row r="1028" spans="1:17" x14ac:dyDescent="0.25">
      <c r="A1028" s="2" t="s">
        <v>2726</v>
      </c>
      <c r="B1028" s="3" t="s">
        <v>5016</v>
      </c>
      <c r="C1028" s="3">
        <v>25</v>
      </c>
      <c r="D1028" s="46" t="str">
        <f>IF(Tabla1[[#This Row],[EDAD]]&lt;=35,"Adultos jóvenes 18 - 35 años",IF(C1028&gt;=36,"Adultos mayores 36 años en adelante"))</f>
        <v>Adultos jóvenes 18 - 35 años</v>
      </c>
      <c r="E1028" s="3" t="s">
        <v>5019</v>
      </c>
      <c r="F1028" s="3" t="s">
        <v>5026</v>
      </c>
      <c r="G1028" s="3" t="s">
        <v>5035</v>
      </c>
      <c r="H1028" s="3" t="s">
        <v>7749</v>
      </c>
      <c r="I1028" s="17">
        <v>45848</v>
      </c>
      <c r="J1028" s="18">
        <f>YEAR(Tabla1[[#This Row],[FECHA DE COMPRA]])</f>
        <v>2025</v>
      </c>
      <c r="K1028" s="19">
        <v>157.55000000000001</v>
      </c>
      <c r="L1028" s="20">
        <v>0.2</v>
      </c>
      <c r="M1028" s="19">
        <f>Tienda!$K3906-Tienda!$K3906*Tienda!$L3906</f>
        <v>24.290999999999997</v>
      </c>
      <c r="N1028" s="3" t="s">
        <v>10040</v>
      </c>
      <c r="O1028" s="3" t="s">
        <v>10042</v>
      </c>
      <c r="P1028" s="17">
        <v>45848</v>
      </c>
      <c r="Q1028" s="4">
        <v>6</v>
      </c>
    </row>
    <row r="1029" spans="1:17" x14ac:dyDescent="0.25">
      <c r="A1029" s="2" t="s">
        <v>977</v>
      </c>
      <c r="B1029" s="3" t="s">
        <v>5016</v>
      </c>
      <c r="C1029" s="3">
        <v>21</v>
      </c>
      <c r="D1029" s="46" t="str">
        <f>IF(Tabla1[[#This Row],[EDAD]]&lt;=35,"Adultos jóvenes 18 - 35 años",IF(C1029&gt;=36,"Adultos mayores 36 años en adelante"))</f>
        <v>Adultos jóvenes 18 - 35 años</v>
      </c>
      <c r="E1029" s="3" t="s">
        <v>5023</v>
      </c>
      <c r="F1029" s="3" t="s">
        <v>5029</v>
      </c>
      <c r="G1029" s="3" t="s">
        <v>5033</v>
      </c>
      <c r="H1029" s="3" t="s">
        <v>6000</v>
      </c>
      <c r="I1029" s="17">
        <v>45869</v>
      </c>
      <c r="J1029" s="18">
        <f>YEAR(Tabla1[[#This Row],[FECHA DE COMPRA]])</f>
        <v>2025</v>
      </c>
      <c r="K1029" s="19">
        <v>159.86000000000001</v>
      </c>
      <c r="L1029" s="20">
        <v>0.2</v>
      </c>
      <c r="M1029" s="19">
        <f>Tienda!$K3908-Tienda!$K3908*Tienda!$L3908</f>
        <v>24.61</v>
      </c>
      <c r="N1029" s="3" t="s">
        <v>10040</v>
      </c>
      <c r="O1029" s="3" t="s">
        <v>10042</v>
      </c>
      <c r="P1029" s="17">
        <v>45869</v>
      </c>
      <c r="Q1029" s="4">
        <v>3</v>
      </c>
    </row>
    <row r="1030" spans="1:17" x14ac:dyDescent="0.25">
      <c r="A1030" s="2" t="s">
        <v>4681</v>
      </c>
      <c r="B1030" s="3" t="s">
        <v>5015</v>
      </c>
      <c r="C1030" s="3">
        <v>32</v>
      </c>
      <c r="D1030" s="46" t="str">
        <f>IF(Tabla1[[#This Row],[EDAD]]&lt;=35,"Adultos jóvenes 18 - 35 años",IF(C1030&gt;=36,"Adultos mayores 36 años en adelante"))</f>
        <v>Adultos jóvenes 18 - 35 años</v>
      </c>
      <c r="E1030" s="3" t="s">
        <v>5017</v>
      </c>
      <c r="F1030" s="3" t="s">
        <v>5028</v>
      </c>
      <c r="G1030" s="3" t="s">
        <v>5032</v>
      </c>
      <c r="H1030" s="3" t="s">
        <v>9704</v>
      </c>
      <c r="I1030" s="17">
        <v>45840</v>
      </c>
      <c r="J1030" s="18">
        <f>YEAR(Tabla1[[#This Row],[FECHA DE COMPRA]])</f>
        <v>2025</v>
      </c>
      <c r="K1030" s="19">
        <v>167.64</v>
      </c>
      <c r="L1030" s="20">
        <v>0.3</v>
      </c>
      <c r="M1030" s="19">
        <f>Tienda!$K3909-Tienda!$K3909*Tienda!$L3909</f>
        <v>24.88</v>
      </c>
      <c r="N1030" s="3" t="s">
        <v>10040</v>
      </c>
      <c r="O1030" s="3" t="s">
        <v>10042</v>
      </c>
      <c r="P1030" s="17">
        <v>45840</v>
      </c>
      <c r="Q1030" s="4">
        <v>3</v>
      </c>
    </row>
    <row r="1031" spans="1:17" x14ac:dyDescent="0.25">
      <c r="A1031" s="2" t="s">
        <v>2237</v>
      </c>
      <c r="B1031" s="3" t="s">
        <v>5015</v>
      </c>
      <c r="C1031" s="3">
        <v>32</v>
      </c>
      <c r="D1031" s="46" t="str">
        <f>IF(Tabla1[[#This Row],[EDAD]]&lt;=35,"Adultos jóvenes 18 - 35 años",IF(C1031&gt;=36,"Adultos mayores 36 años en adelante"))</f>
        <v>Adultos jóvenes 18 - 35 años</v>
      </c>
      <c r="E1031" s="3" t="s">
        <v>5022</v>
      </c>
      <c r="F1031" s="3" t="s">
        <v>5030</v>
      </c>
      <c r="G1031" s="3" t="s">
        <v>5034</v>
      </c>
      <c r="H1031" s="3" t="s">
        <v>7260</v>
      </c>
      <c r="I1031" s="17">
        <v>45858</v>
      </c>
      <c r="J1031" s="18">
        <f>YEAR(Tabla1[[#This Row],[FECHA DE COMPRA]])</f>
        <v>2025</v>
      </c>
      <c r="K1031" s="19">
        <v>174.8</v>
      </c>
      <c r="L1031" s="20">
        <v>0.3</v>
      </c>
      <c r="M1031" s="19">
        <f>Tienda!$K3914-Tienda!$K3914*Tienda!$L3914</f>
        <v>27.349</v>
      </c>
      <c r="N1031" s="3" t="s">
        <v>10040</v>
      </c>
      <c r="O1031" s="3" t="s">
        <v>10042</v>
      </c>
      <c r="P1031" s="17">
        <v>45858</v>
      </c>
      <c r="Q1031" s="4">
        <v>3</v>
      </c>
    </row>
    <row r="1032" spans="1:17" x14ac:dyDescent="0.25">
      <c r="A1032" s="2" t="s">
        <v>4713</v>
      </c>
      <c r="B1032" s="3" t="s">
        <v>5015</v>
      </c>
      <c r="C1032" s="3">
        <v>26</v>
      </c>
      <c r="D1032" s="46" t="str">
        <f>IF(Tabla1[[#This Row],[EDAD]]&lt;=35,"Adultos jóvenes 18 - 35 años",IF(C1032&gt;=36,"Adultos mayores 36 años en adelante"))</f>
        <v>Adultos jóvenes 18 - 35 años</v>
      </c>
      <c r="E1032" s="3" t="s">
        <v>5020</v>
      </c>
      <c r="F1032" s="3" t="s">
        <v>5028</v>
      </c>
      <c r="G1032" s="3" t="s">
        <v>5031</v>
      </c>
      <c r="H1032" s="3" t="s">
        <v>9736</v>
      </c>
      <c r="I1032" s="17">
        <v>45868</v>
      </c>
      <c r="J1032" s="18">
        <f>YEAR(Tabla1[[#This Row],[FECHA DE COMPRA]])</f>
        <v>2025</v>
      </c>
      <c r="K1032" s="19">
        <v>194.66</v>
      </c>
      <c r="L1032" s="20">
        <v>0.3</v>
      </c>
      <c r="M1032" s="19">
        <f>Tienda!$K3918-Tienda!$K3918*Tienda!$L3918</f>
        <v>27.992000000000001</v>
      </c>
      <c r="N1032" s="3" t="s">
        <v>10040</v>
      </c>
      <c r="O1032" s="3" t="s">
        <v>10042</v>
      </c>
      <c r="P1032" s="17">
        <v>45868</v>
      </c>
      <c r="Q1032" s="4">
        <v>3</v>
      </c>
    </row>
    <row r="1033" spans="1:17" x14ac:dyDescent="0.25">
      <c r="A1033" s="2" t="s">
        <v>2080</v>
      </c>
      <c r="B1033" s="3" t="s">
        <v>5016</v>
      </c>
      <c r="C1033" s="3">
        <v>20</v>
      </c>
      <c r="D1033" s="46" t="str">
        <f>IF(Tabla1[[#This Row],[EDAD]]&lt;=35,"Adultos jóvenes 18 - 35 años",IF(C1033&gt;=36,"Adultos mayores 36 años en adelante"))</f>
        <v>Adultos jóvenes 18 - 35 años</v>
      </c>
      <c r="E1033" s="3" t="s">
        <v>5017</v>
      </c>
      <c r="F1033" s="3" t="s">
        <v>5030</v>
      </c>
      <c r="G1033" s="3" t="s">
        <v>5037</v>
      </c>
      <c r="H1033" s="3" t="s">
        <v>7103</v>
      </c>
      <c r="I1033" s="17">
        <v>45870</v>
      </c>
      <c r="J1033" s="18">
        <f>YEAR(Tabla1[[#This Row],[FECHA DE COMPRA]])</f>
        <v>2025</v>
      </c>
      <c r="K1033" s="19">
        <v>21.82</v>
      </c>
      <c r="L1033" s="20">
        <v>0.3</v>
      </c>
      <c r="M1033" s="19">
        <f>Tienda!$K3919-Tienda!$K3919*Tienda!$L3919</f>
        <v>28.014000000000003</v>
      </c>
      <c r="N1033" s="3" t="s">
        <v>10040</v>
      </c>
      <c r="O1033" s="3" t="s">
        <v>10042</v>
      </c>
      <c r="P1033" s="17">
        <v>45870</v>
      </c>
      <c r="Q1033" s="4">
        <v>6</v>
      </c>
    </row>
    <row r="1034" spans="1:17" x14ac:dyDescent="0.25">
      <c r="A1034" s="2" t="s">
        <v>3208</v>
      </c>
      <c r="B1034" s="3" t="s">
        <v>5015</v>
      </c>
      <c r="C1034" s="3">
        <v>25</v>
      </c>
      <c r="D1034" s="46" t="str">
        <f>IF(Tabla1[[#This Row],[EDAD]]&lt;=35,"Adultos jóvenes 18 - 35 años",IF(C1034&gt;=36,"Adultos mayores 36 años en adelante"))</f>
        <v>Adultos jóvenes 18 - 35 años</v>
      </c>
      <c r="E1034" s="3" t="s">
        <v>5017</v>
      </c>
      <c r="F1034" s="3" t="s">
        <v>5025</v>
      </c>
      <c r="G1034" s="3" t="s">
        <v>5032</v>
      </c>
      <c r="H1034" s="3" t="s">
        <v>8231</v>
      </c>
      <c r="I1034" s="17">
        <v>45879</v>
      </c>
      <c r="J1034" s="18">
        <f>YEAR(Tabla1[[#This Row],[FECHA DE COMPRA]])</f>
        <v>2025</v>
      </c>
      <c r="K1034" s="19">
        <v>26.97</v>
      </c>
      <c r="L1034" s="20">
        <v>0.1</v>
      </c>
      <c r="M1034" s="19">
        <f>Tienda!$K3920-Tienda!$K3920*Tienda!$L3920</f>
        <v>28.427</v>
      </c>
      <c r="N1034" s="3" t="s">
        <v>10040</v>
      </c>
      <c r="O1034" s="3" t="s">
        <v>10042</v>
      </c>
      <c r="P1034" s="17">
        <v>45879</v>
      </c>
      <c r="Q1034" s="4">
        <v>6</v>
      </c>
    </row>
    <row r="1035" spans="1:17" x14ac:dyDescent="0.25">
      <c r="A1035" s="2" t="s">
        <v>164</v>
      </c>
      <c r="B1035" s="3" t="s">
        <v>5015</v>
      </c>
      <c r="C1035" s="3">
        <v>35</v>
      </c>
      <c r="D1035" s="46" t="str">
        <f>IF(Tabla1[[#This Row],[EDAD]]&lt;=35,"Adultos jóvenes 18 - 35 años",IF(C1035&gt;=36,"Adultos mayores 36 años en adelante"))</f>
        <v>Adultos jóvenes 18 - 35 años</v>
      </c>
      <c r="E1035" s="3" t="s">
        <v>5018</v>
      </c>
      <c r="F1035" s="3" t="s">
        <v>5030</v>
      </c>
      <c r="G1035" s="3" t="s">
        <v>5034</v>
      </c>
      <c r="H1035" s="3" t="s">
        <v>5187</v>
      </c>
      <c r="I1035" s="17">
        <v>45883</v>
      </c>
      <c r="J1035" s="18">
        <f>YEAR(Tabla1[[#This Row],[FECHA DE COMPRA]])</f>
        <v>2025</v>
      </c>
      <c r="K1035" s="19">
        <v>90.41</v>
      </c>
      <c r="L1035" s="20">
        <v>0</v>
      </c>
      <c r="M1035" s="19">
        <f>Tienda!$K3929-Tienda!$K3929*Tienda!$L3929</f>
        <v>30.959999999999997</v>
      </c>
      <c r="N1035" s="3" t="s">
        <v>10040</v>
      </c>
      <c r="O1035" s="3" t="s">
        <v>10042</v>
      </c>
      <c r="P1035" s="17">
        <v>45883</v>
      </c>
      <c r="Q1035" s="4">
        <v>6</v>
      </c>
    </row>
    <row r="1036" spans="1:17" x14ac:dyDescent="0.25">
      <c r="A1036" s="2" t="s">
        <v>4791</v>
      </c>
      <c r="B1036" s="3" t="s">
        <v>5015</v>
      </c>
      <c r="C1036" s="3">
        <v>25</v>
      </c>
      <c r="D1036" s="46" t="str">
        <f>IF(Tabla1[[#This Row],[EDAD]]&lt;=35,"Adultos jóvenes 18 - 35 años",IF(C1036&gt;=36,"Adultos mayores 36 años en adelante"))</f>
        <v>Adultos jóvenes 18 - 35 años</v>
      </c>
      <c r="E1036" s="3" t="s">
        <v>5017</v>
      </c>
      <c r="F1036" s="3" t="s">
        <v>5024</v>
      </c>
      <c r="G1036" s="3" t="s">
        <v>5033</v>
      </c>
      <c r="H1036" s="3" t="s">
        <v>9814</v>
      </c>
      <c r="I1036" s="17">
        <v>45879</v>
      </c>
      <c r="J1036" s="18">
        <f>YEAR(Tabla1[[#This Row],[FECHA DE COMPRA]])</f>
        <v>2025</v>
      </c>
      <c r="K1036" s="19">
        <v>102.97</v>
      </c>
      <c r="L1036" s="20">
        <v>0.2</v>
      </c>
      <c r="M1036" s="19">
        <f>Tienda!$K3931-Tienda!$K3931*Tienda!$L3931</f>
        <v>31.495999999999999</v>
      </c>
      <c r="N1036" s="3" t="s">
        <v>10040</v>
      </c>
      <c r="O1036" s="3" t="s">
        <v>10042</v>
      </c>
      <c r="P1036" s="17">
        <v>45879</v>
      </c>
      <c r="Q1036" s="4">
        <v>3</v>
      </c>
    </row>
    <row r="1037" spans="1:17" x14ac:dyDescent="0.25">
      <c r="A1037" s="2" t="s">
        <v>2848</v>
      </c>
      <c r="B1037" s="3" t="s">
        <v>5015</v>
      </c>
      <c r="C1037" s="3">
        <v>23</v>
      </c>
      <c r="D1037" s="46" t="str">
        <f>IF(Tabla1[[#This Row],[EDAD]]&lt;=35,"Adultos jóvenes 18 - 35 años",IF(C1037&gt;=36,"Adultos mayores 36 años en adelante"))</f>
        <v>Adultos jóvenes 18 - 35 años</v>
      </c>
      <c r="E1037" s="3" t="s">
        <v>5021</v>
      </c>
      <c r="F1037" s="3" t="s">
        <v>5026</v>
      </c>
      <c r="G1037" s="3" t="s">
        <v>5036</v>
      </c>
      <c r="H1037" s="3" t="s">
        <v>7871</v>
      </c>
      <c r="I1037" s="17">
        <v>45885</v>
      </c>
      <c r="J1037" s="18">
        <f>YEAR(Tabla1[[#This Row],[FECHA DE COMPRA]])</f>
        <v>2025</v>
      </c>
      <c r="K1037" s="19">
        <v>108.94</v>
      </c>
      <c r="L1037" s="20">
        <v>0.3</v>
      </c>
      <c r="M1037" s="19">
        <f>Tienda!$K3932-Tienda!$K3932*Tienda!$L3932</f>
        <v>31.76</v>
      </c>
      <c r="N1037" s="3" t="s">
        <v>10040</v>
      </c>
      <c r="O1037" s="3" t="s">
        <v>10042</v>
      </c>
      <c r="P1037" s="17">
        <v>45885</v>
      </c>
      <c r="Q1037" s="4">
        <v>3</v>
      </c>
    </row>
    <row r="1038" spans="1:17" x14ac:dyDescent="0.25">
      <c r="A1038" s="2" t="s">
        <v>4100</v>
      </c>
      <c r="B1038" s="3" t="s">
        <v>5016</v>
      </c>
      <c r="C1038" s="3">
        <v>33</v>
      </c>
      <c r="D1038" s="46" t="str">
        <f>IF(Tabla1[[#This Row],[EDAD]]&lt;=35,"Adultos jóvenes 18 - 35 años",IF(C1038&gt;=36,"Adultos mayores 36 años en adelante"))</f>
        <v>Adultos jóvenes 18 - 35 años</v>
      </c>
      <c r="E1038" s="3" t="s">
        <v>5023</v>
      </c>
      <c r="F1038" s="3" t="s">
        <v>5027</v>
      </c>
      <c r="G1038" s="3" t="s">
        <v>5034</v>
      </c>
      <c r="H1038" s="3" t="s">
        <v>9123</v>
      </c>
      <c r="I1038" s="17">
        <v>45882</v>
      </c>
      <c r="J1038" s="18">
        <f>YEAR(Tabla1[[#This Row],[FECHA DE COMPRA]])</f>
        <v>2025</v>
      </c>
      <c r="K1038" s="19">
        <v>124.51</v>
      </c>
      <c r="L1038" s="20">
        <v>0.3</v>
      </c>
      <c r="M1038" s="19">
        <f>Tienda!$K3933-Tienda!$K3933*Tienda!$L3933</f>
        <v>31.98</v>
      </c>
      <c r="N1038" s="3" t="s">
        <v>10040</v>
      </c>
      <c r="O1038" s="3" t="s">
        <v>10042</v>
      </c>
      <c r="P1038" s="17">
        <v>45882</v>
      </c>
      <c r="Q1038" s="4">
        <v>3</v>
      </c>
    </row>
    <row r="1039" spans="1:17" x14ac:dyDescent="0.25">
      <c r="A1039" s="2" t="s">
        <v>4618</v>
      </c>
      <c r="B1039" s="3" t="s">
        <v>5016</v>
      </c>
      <c r="C1039" s="3">
        <v>27</v>
      </c>
      <c r="D1039" s="46" t="str">
        <f>IF(Tabla1[[#This Row],[EDAD]]&lt;=35,"Adultos jóvenes 18 - 35 años",IF(C1039&gt;=36,"Adultos mayores 36 años en adelante"))</f>
        <v>Adultos jóvenes 18 - 35 años</v>
      </c>
      <c r="E1039" s="3" t="s">
        <v>5021</v>
      </c>
      <c r="F1039" s="3" t="s">
        <v>5027</v>
      </c>
      <c r="G1039" s="3" t="s">
        <v>5032</v>
      </c>
      <c r="H1039" s="3" t="s">
        <v>9641</v>
      </c>
      <c r="I1039" s="17">
        <v>45879</v>
      </c>
      <c r="J1039" s="18">
        <f>YEAR(Tabla1[[#This Row],[FECHA DE COMPRA]])</f>
        <v>2025</v>
      </c>
      <c r="K1039" s="19">
        <v>131.25</v>
      </c>
      <c r="L1039" s="20">
        <v>0.1</v>
      </c>
      <c r="M1039" s="19">
        <f>Tienda!$K3935-Tienda!$K3935*Tienda!$L3935</f>
        <v>32.515000000000001</v>
      </c>
      <c r="N1039" s="3" t="s">
        <v>10040</v>
      </c>
      <c r="O1039" s="3" t="s">
        <v>10042</v>
      </c>
      <c r="P1039" s="17">
        <v>45879</v>
      </c>
      <c r="Q1039" s="4">
        <v>3</v>
      </c>
    </row>
    <row r="1040" spans="1:17" x14ac:dyDescent="0.25">
      <c r="A1040" s="2" t="s">
        <v>183</v>
      </c>
      <c r="B1040" s="3" t="s">
        <v>5015</v>
      </c>
      <c r="C1040" s="3">
        <v>33</v>
      </c>
      <c r="D1040" s="46" t="str">
        <f>IF(Tabla1[[#This Row],[EDAD]]&lt;=35,"Adultos jóvenes 18 - 35 años",IF(C1040&gt;=36,"Adultos mayores 36 años en adelante"))</f>
        <v>Adultos jóvenes 18 - 35 años</v>
      </c>
      <c r="E1040" s="3" t="s">
        <v>5021</v>
      </c>
      <c r="F1040" s="3" t="s">
        <v>5025</v>
      </c>
      <c r="G1040" s="3" t="s">
        <v>5034</v>
      </c>
      <c r="H1040" s="3" t="s">
        <v>5206</v>
      </c>
      <c r="I1040" s="17">
        <v>45880</v>
      </c>
      <c r="J1040" s="18">
        <f>YEAR(Tabla1[[#This Row],[FECHA DE COMPRA]])</f>
        <v>2025</v>
      </c>
      <c r="K1040" s="19">
        <v>159</v>
      </c>
      <c r="L1040" s="20">
        <v>0.1</v>
      </c>
      <c r="M1040" s="19">
        <f>Tienda!$K3939-Tienda!$K3939*Tienda!$L3939</f>
        <v>33.124000000000002</v>
      </c>
      <c r="N1040" s="3" t="s">
        <v>10040</v>
      </c>
      <c r="O1040" s="3" t="s">
        <v>10042</v>
      </c>
      <c r="P1040" s="17">
        <v>45880</v>
      </c>
      <c r="Q1040" s="4">
        <v>3</v>
      </c>
    </row>
    <row r="1041" spans="1:17" x14ac:dyDescent="0.25">
      <c r="A1041" s="2" t="s">
        <v>1520</v>
      </c>
      <c r="B1041" s="3" t="s">
        <v>5015</v>
      </c>
      <c r="C1041" s="3">
        <v>32</v>
      </c>
      <c r="D1041" s="46" t="str">
        <f>IF(Tabla1[[#This Row],[EDAD]]&lt;=35,"Adultos jóvenes 18 - 35 años",IF(C1041&gt;=36,"Adultos mayores 36 años en adelante"))</f>
        <v>Adultos jóvenes 18 - 35 años</v>
      </c>
      <c r="E1041" s="3" t="s">
        <v>5020</v>
      </c>
      <c r="F1041" s="3" t="s">
        <v>5026</v>
      </c>
      <c r="G1041" s="3" t="s">
        <v>5033</v>
      </c>
      <c r="H1041" s="3" t="s">
        <v>6543</v>
      </c>
      <c r="I1041" s="17">
        <v>45873</v>
      </c>
      <c r="J1041" s="18">
        <f>YEAR(Tabla1[[#This Row],[FECHA DE COMPRA]])</f>
        <v>2025</v>
      </c>
      <c r="K1041" s="19">
        <v>173.36</v>
      </c>
      <c r="L1041" s="20">
        <v>0.2</v>
      </c>
      <c r="M1041" s="19">
        <f>Tienda!$K3940-Tienda!$K3940*Tienda!$L3940</f>
        <v>33.561</v>
      </c>
      <c r="N1041" s="3" t="s">
        <v>10040</v>
      </c>
      <c r="O1041" s="3" t="s">
        <v>10042</v>
      </c>
      <c r="P1041" s="17">
        <v>45873</v>
      </c>
      <c r="Q1041" s="4">
        <v>3</v>
      </c>
    </row>
    <row r="1042" spans="1:17" x14ac:dyDescent="0.25">
      <c r="A1042" s="2" t="s">
        <v>1045</v>
      </c>
      <c r="B1042" s="3" t="s">
        <v>5015</v>
      </c>
      <c r="C1042" s="3">
        <v>18</v>
      </c>
      <c r="D1042" s="46" t="str">
        <f>IF(Tabla1[[#This Row],[EDAD]]&lt;=35,"Adultos jóvenes 18 - 35 años",IF(C1042&gt;=36,"Adultos mayores 36 años en adelante"))</f>
        <v>Adultos jóvenes 18 - 35 años</v>
      </c>
      <c r="E1042" s="3" t="s">
        <v>5020</v>
      </c>
      <c r="F1042" s="3" t="s">
        <v>5024</v>
      </c>
      <c r="G1042" s="3" t="s">
        <v>5035</v>
      </c>
      <c r="H1042" s="3" t="s">
        <v>6068</v>
      </c>
      <c r="I1042" s="17">
        <v>45863</v>
      </c>
      <c r="J1042" s="18">
        <f>YEAR(Tabla1[[#This Row],[FECHA DE COMPRA]])</f>
        <v>2025</v>
      </c>
      <c r="K1042" s="19">
        <v>83.28</v>
      </c>
      <c r="L1042" s="20">
        <v>0.3</v>
      </c>
      <c r="M1042" s="19">
        <f>Tienda!$K3947-Tienda!$K3947*Tienda!$L3947</f>
        <v>35.384999999999998</v>
      </c>
      <c r="N1042" s="3" t="s">
        <v>10040</v>
      </c>
      <c r="O1042" s="3" t="s">
        <v>10042</v>
      </c>
      <c r="P1042" s="17">
        <v>45863</v>
      </c>
      <c r="Q1042" s="4">
        <v>6</v>
      </c>
    </row>
    <row r="1043" spans="1:17" x14ac:dyDescent="0.25">
      <c r="A1043" s="2" t="s">
        <v>2679</v>
      </c>
      <c r="B1043" s="3" t="s">
        <v>5015</v>
      </c>
      <c r="C1043" s="3">
        <v>32</v>
      </c>
      <c r="D1043" s="46" t="str">
        <f>IF(Tabla1[[#This Row],[EDAD]]&lt;=35,"Adultos jóvenes 18 - 35 años",IF(C1043&gt;=36,"Adultos mayores 36 años en adelante"))</f>
        <v>Adultos jóvenes 18 - 35 años</v>
      </c>
      <c r="E1043" s="3" t="s">
        <v>5018</v>
      </c>
      <c r="F1043" s="3" t="s">
        <v>5028</v>
      </c>
      <c r="G1043" s="3" t="s">
        <v>5032</v>
      </c>
      <c r="H1043" s="3" t="s">
        <v>7702</v>
      </c>
      <c r="I1043" s="17">
        <v>45842</v>
      </c>
      <c r="J1043" s="18">
        <f>YEAR(Tabla1[[#This Row],[FECHA DE COMPRA]])</f>
        <v>2025</v>
      </c>
      <c r="K1043" s="19">
        <v>84.59</v>
      </c>
      <c r="L1043" s="20">
        <v>0.3</v>
      </c>
      <c r="M1043" s="19">
        <f>Tienda!$K3948-Tienda!$K3948*Tienda!$L3948</f>
        <v>35.53</v>
      </c>
      <c r="N1043" s="3" t="s">
        <v>10040</v>
      </c>
      <c r="O1043" s="3" t="s">
        <v>10042</v>
      </c>
      <c r="P1043" s="17">
        <v>45842</v>
      </c>
      <c r="Q1043" s="4">
        <v>6</v>
      </c>
    </row>
    <row r="1044" spans="1:17" x14ac:dyDescent="0.25">
      <c r="A1044" s="2" t="s">
        <v>1560</v>
      </c>
      <c r="B1044" s="3" t="s">
        <v>5016</v>
      </c>
      <c r="C1044" s="3">
        <v>22</v>
      </c>
      <c r="D1044" s="46" t="str">
        <f>IF(Tabla1[[#This Row],[EDAD]]&lt;=35,"Adultos jóvenes 18 - 35 años",IF(C1044&gt;=36,"Adultos mayores 36 años en adelante"))</f>
        <v>Adultos jóvenes 18 - 35 años</v>
      </c>
      <c r="E1044" s="3" t="s">
        <v>5017</v>
      </c>
      <c r="F1044" s="3" t="s">
        <v>5027</v>
      </c>
      <c r="G1044" s="3" t="s">
        <v>5033</v>
      </c>
      <c r="H1044" s="3" t="s">
        <v>6583</v>
      </c>
      <c r="I1044" s="17">
        <v>45867</v>
      </c>
      <c r="J1044" s="18">
        <f>YEAR(Tabla1[[#This Row],[FECHA DE COMPRA]])</f>
        <v>2025</v>
      </c>
      <c r="K1044" s="19">
        <v>120.68</v>
      </c>
      <c r="L1044" s="20">
        <v>0.1</v>
      </c>
      <c r="M1044" s="19">
        <f>Tienda!$K3949-Tienda!$K3949*Tienda!$L3949</f>
        <v>36.458999999999996</v>
      </c>
      <c r="N1044" s="3" t="s">
        <v>10040</v>
      </c>
      <c r="O1044" s="3" t="s">
        <v>10042</v>
      </c>
      <c r="P1044" s="17">
        <v>45867</v>
      </c>
      <c r="Q1044" s="4">
        <v>6</v>
      </c>
    </row>
    <row r="1045" spans="1:17" x14ac:dyDescent="0.25">
      <c r="A1045" s="2" t="s">
        <v>3167</v>
      </c>
      <c r="B1045" s="3" t="s">
        <v>5015</v>
      </c>
      <c r="C1045" s="3">
        <v>30</v>
      </c>
      <c r="D1045" s="46" t="str">
        <f>IF(Tabla1[[#This Row],[EDAD]]&lt;=35,"Adultos jóvenes 18 - 35 años",IF(C1045&gt;=36,"Adultos mayores 36 años en adelante"))</f>
        <v>Adultos jóvenes 18 - 35 años</v>
      </c>
      <c r="E1045" s="3" t="s">
        <v>5017</v>
      </c>
      <c r="F1045" s="3" t="s">
        <v>5024</v>
      </c>
      <c r="G1045" s="3" t="s">
        <v>5035</v>
      </c>
      <c r="H1045" s="3" t="s">
        <v>8190</v>
      </c>
      <c r="I1045" s="17">
        <v>45849</v>
      </c>
      <c r="J1045" s="18">
        <f>YEAR(Tabla1[[#This Row],[FECHA DE COMPRA]])</f>
        <v>2025</v>
      </c>
      <c r="K1045" s="19">
        <v>146.36000000000001</v>
      </c>
      <c r="L1045" s="20">
        <v>0</v>
      </c>
      <c r="M1045" s="19">
        <f>Tienda!$K3950-Tienda!$K3950*Tienda!$L3950</f>
        <v>36.49</v>
      </c>
      <c r="N1045" s="3" t="s">
        <v>10040</v>
      </c>
      <c r="O1045" s="3" t="s">
        <v>10042</v>
      </c>
      <c r="P1045" s="17">
        <v>45849</v>
      </c>
      <c r="Q1045" s="4">
        <v>6</v>
      </c>
    </row>
    <row r="1046" spans="1:17" x14ac:dyDescent="0.25">
      <c r="A1046" s="2" t="s">
        <v>3362</v>
      </c>
      <c r="B1046" s="3" t="s">
        <v>5015</v>
      </c>
      <c r="C1046" s="3">
        <v>22</v>
      </c>
      <c r="D1046" s="46" t="str">
        <f>IF(Tabla1[[#This Row],[EDAD]]&lt;=35,"Adultos jóvenes 18 - 35 años",IF(C1046&gt;=36,"Adultos mayores 36 años en adelante"))</f>
        <v>Adultos jóvenes 18 - 35 años</v>
      </c>
      <c r="E1046" s="3" t="s">
        <v>5017</v>
      </c>
      <c r="F1046" s="3" t="s">
        <v>5028</v>
      </c>
      <c r="G1046" s="3" t="s">
        <v>5034</v>
      </c>
      <c r="H1046" s="3" t="s">
        <v>8385</v>
      </c>
      <c r="I1046" s="17">
        <v>45841</v>
      </c>
      <c r="J1046" s="18">
        <f>YEAR(Tabla1[[#This Row],[FECHA DE COMPRA]])</f>
        <v>2025</v>
      </c>
      <c r="K1046" s="19">
        <v>147.97</v>
      </c>
      <c r="L1046" s="20">
        <v>0</v>
      </c>
      <c r="M1046" s="19">
        <f>Tienda!$K3951-Tienda!$K3951*Tienda!$L3951</f>
        <v>36.83</v>
      </c>
      <c r="N1046" s="3" t="s">
        <v>10040</v>
      </c>
      <c r="O1046" s="3" t="s">
        <v>10042</v>
      </c>
      <c r="P1046" s="17">
        <v>45841</v>
      </c>
      <c r="Q1046" s="4">
        <v>6</v>
      </c>
    </row>
    <row r="1047" spans="1:17" x14ac:dyDescent="0.25">
      <c r="A1047" s="2" t="s">
        <v>4254</v>
      </c>
      <c r="B1047" s="3" t="s">
        <v>5016</v>
      </c>
      <c r="C1047" s="3">
        <v>25</v>
      </c>
      <c r="D1047" s="46" t="str">
        <f>IF(Tabla1[[#This Row],[EDAD]]&lt;=35,"Adultos jóvenes 18 - 35 años",IF(C1047&gt;=36,"Adultos mayores 36 años en adelante"))</f>
        <v>Adultos jóvenes 18 - 35 años</v>
      </c>
      <c r="E1047" s="3" t="s">
        <v>5019</v>
      </c>
      <c r="F1047" s="3" t="s">
        <v>5024</v>
      </c>
      <c r="G1047" s="3" t="s">
        <v>5031</v>
      </c>
      <c r="H1047" s="3" t="s">
        <v>9277</v>
      </c>
      <c r="I1047" s="17">
        <v>45852</v>
      </c>
      <c r="J1047" s="18">
        <f>YEAR(Tabla1[[#This Row],[FECHA DE COMPRA]])</f>
        <v>2025</v>
      </c>
      <c r="K1047" s="19">
        <v>183.85</v>
      </c>
      <c r="L1047" s="20">
        <v>0.2</v>
      </c>
      <c r="M1047" s="19">
        <f>Tienda!$K3958-Tienda!$K3958*Tienda!$L3958</f>
        <v>44.73</v>
      </c>
      <c r="N1047" s="3" t="s">
        <v>10040</v>
      </c>
      <c r="O1047" s="3" t="s">
        <v>10042</v>
      </c>
      <c r="P1047" s="17">
        <v>45852</v>
      </c>
      <c r="Q1047" s="4">
        <v>3</v>
      </c>
    </row>
    <row r="1048" spans="1:17" x14ac:dyDescent="0.25">
      <c r="A1048" s="2" t="s">
        <v>1083</v>
      </c>
      <c r="B1048" s="3" t="s">
        <v>5015</v>
      </c>
      <c r="C1048" s="3">
        <v>34</v>
      </c>
      <c r="D1048" s="46" t="str">
        <f>IF(Tabla1[[#This Row],[EDAD]]&lt;=35,"Adultos jóvenes 18 - 35 años",IF(C1048&gt;=36,"Adultos mayores 36 años en adelante"))</f>
        <v>Adultos jóvenes 18 - 35 años</v>
      </c>
      <c r="E1048" s="3" t="s">
        <v>5021</v>
      </c>
      <c r="F1048" s="3" t="s">
        <v>5026</v>
      </c>
      <c r="G1048" s="3" t="s">
        <v>5031</v>
      </c>
      <c r="H1048" s="3" t="s">
        <v>6106</v>
      </c>
      <c r="I1048" s="17">
        <v>45875</v>
      </c>
      <c r="J1048" s="18">
        <f>YEAR(Tabla1[[#This Row],[FECHA DE COMPRA]])</f>
        <v>2025</v>
      </c>
      <c r="K1048" s="19">
        <v>10.87</v>
      </c>
      <c r="L1048" s="20">
        <v>0</v>
      </c>
      <c r="M1048" s="19">
        <f>Tienda!$K3960-Tienda!$K3960*Tienda!$L3960</f>
        <v>45.32</v>
      </c>
      <c r="N1048" s="3" t="s">
        <v>10040</v>
      </c>
      <c r="O1048" s="3" t="s">
        <v>10042</v>
      </c>
      <c r="P1048" s="17">
        <v>45875</v>
      </c>
      <c r="Q1048" s="4">
        <v>3</v>
      </c>
    </row>
    <row r="1049" spans="1:17" x14ac:dyDescent="0.25">
      <c r="A1049" s="2" t="s">
        <v>1147</v>
      </c>
      <c r="B1049" s="3" t="s">
        <v>5015</v>
      </c>
      <c r="C1049" s="3">
        <v>20</v>
      </c>
      <c r="D1049" s="46" t="str">
        <f>IF(Tabla1[[#This Row],[EDAD]]&lt;=35,"Adultos jóvenes 18 - 35 años",IF(C1049&gt;=36,"Adultos mayores 36 años en adelante"))</f>
        <v>Adultos jóvenes 18 - 35 años</v>
      </c>
      <c r="E1049" s="3" t="s">
        <v>5022</v>
      </c>
      <c r="F1049" s="3" t="s">
        <v>5025</v>
      </c>
      <c r="G1049" s="3" t="s">
        <v>5037</v>
      </c>
      <c r="H1049" s="3" t="s">
        <v>6170</v>
      </c>
      <c r="I1049" s="17">
        <v>45870</v>
      </c>
      <c r="J1049" s="18">
        <f>YEAR(Tabla1[[#This Row],[FECHA DE COMPRA]])</f>
        <v>2025</v>
      </c>
      <c r="K1049" s="19">
        <v>123.03</v>
      </c>
      <c r="L1049" s="20">
        <v>0</v>
      </c>
      <c r="M1049" s="19">
        <f>Tienda!$K3962-Tienda!$K3962*Tienda!$L3962</f>
        <v>47.334000000000003</v>
      </c>
      <c r="N1049" s="3" t="s">
        <v>10040</v>
      </c>
      <c r="O1049" s="3" t="s">
        <v>10042</v>
      </c>
      <c r="P1049" s="17">
        <v>45870</v>
      </c>
      <c r="Q1049" s="4">
        <v>3</v>
      </c>
    </row>
    <row r="1050" spans="1:17" x14ac:dyDescent="0.25">
      <c r="A1050" s="2" t="s">
        <v>1565</v>
      </c>
      <c r="B1050" s="3" t="s">
        <v>5015</v>
      </c>
      <c r="C1050" s="3">
        <v>32</v>
      </c>
      <c r="D1050" s="46" t="str">
        <f>IF(Tabla1[[#This Row],[EDAD]]&lt;=35,"Adultos jóvenes 18 - 35 años",IF(C1050&gt;=36,"Adultos mayores 36 años en adelante"))</f>
        <v>Adultos jóvenes 18 - 35 años</v>
      </c>
      <c r="E1050" s="3" t="s">
        <v>5017</v>
      </c>
      <c r="F1050" s="3" t="s">
        <v>5024</v>
      </c>
      <c r="G1050" s="3" t="s">
        <v>5031</v>
      </c>
      <c r="H1050" s="3" t="s">
        <v>6588</v>
      </c>
      <c r="I1050" s="17">
        <v>45881</v>
      </c>
      <c r="J1050" s="18">
        <f>YEAR(Tabla1[[#This Row],[FECHA DE COMPRA]])</f>
        <v>2025</v>
      </c>
      <c r="K1050" s="19">
        <v>138.86000000000001</v>
      </c>
      <c r="L1050" s="20">
        <v>0.1</v>
      </c>
      <c r="M1050" s="19">
        <f>Tienda!$K3963-Tienda!$K3963*Tienda!$L3963</f>
        <v>47.466000000000001</v>
      </c>
      <c r="N1050" s="3" t="s">
        <v>10040</v>
      </c>
      <c r="O1050" s="3" t="s">
        <v>10042</v>
      </c>
      <c r="P1050" s="17">
        <v>45881</v>
      </c>
      <c r="Q1050" s="4">
        <v>6</v>
      </c>
    </row>
    <row r="1051" spans="1:17" x14ac:dyDescent="0.25">
      <c r="A1051" s="2" t="s">
        <v>479</v>
      </c>
      <c r="B1051" s="3" t="s">
        <v>5015</v>
      </c>
      <c r="C1051" s="3">
        <v>22</v>
      </c>
      <c r="D1051" s="46" t="str">
        <f>IF(Tabla1[[#This Row],[EDAD]]&lt;=35,"Adultos jóvenes 18 - 35 años",IF(C1051&gt;=36,"Adultos mayores 36 años en adelante"))</f>
        <v>Adultos jóvenes 18 - 35 años</v>
      </c>
      <c r="E1051" s="3" t="s">
        <v>5018</v>
      </c>
      <c r="F1051" s="3" t="s">
        <v>5027</v>
      </c>
      <c r="G1051" s="3" t="s">
        <v>5036</v>
      </c>
      <c r="H1051" s="3" t="s">
        <v>5502</v>
      </c>
      <c r="I1051" s="17">
        <v>45884</v>
      </c>
      <c r="J1051" s="18">
        <f>YEAR(Tabla1[[#This Row],[FECHA DE COMPRA]])</f>
        <v>2025</v>
      </c>
      <c r="K1051" s="19">
        <v>145.51</v>
      </c>
      <c r="L1051" s="20">
        <v>0.3</v>
      </c>
      <c r="M1051" s="19">
        <f>Tienda!$K3965-Tienda!$K3965*Tienda!$L3965</f>
        <v>51.12</v>
      </c>
      <c r="N1051" s="3" t="s">
        <v>10040</v>
      </c>
      <c r="O1051" s="3" t="s">
        <v>10042</v>
      </c>
      <c r="P1051" s="17">
        <v>45884</v>
      </c>
      <c r="Q1051" s="4">
        <v>6</v>
      </c>
    </row>
    <row r="1052" spans="1:17" x14ac:dyDescent="0.25">
      <c r="A1052" s="2" t="s">
        <v>15</v>
      </c>
      <c r="B1052" s="3" t="s">
        <v>5015</v>
      </c>
      <c r="C1052" s="3">
        <v>23</v>
      </c>
      <c r="D1052" s="46" t="str">
        <f>IF(Tabla1[[#This Row],[EDAD]]&lt;=35,"Adultos jóvenes 18 - 35 años",IF(C1052&gt;=36,"Adultos mayores 36 años en adelante"))</f>
        <v>Adultos jóvenes 18 - 35 años</v>
      </c>
      <c r="E1052" s="3" t="s">
        <v>5017</v>
      </c>
      <c r="F1052" s="3" t="s">
        <v>5024</v>
      </c>
      <c r="G1052" s="3" t="s">
        <v>5031</v>
      </c>
      <c r="H1052" s="3" t="s">
        <v>5038</v>
      </c>
      <c r="I1052" s="17">
        <v>45877</v>
      </c>
      <c r="J1052" s="18">
        <f>YEAR(Tabla1[[#This Row],[FECHA DE COMPRA]])</f>
        <v>2025</v>
      </c>
      <c r="K1052" s="19">
        <v>158.63</v>
      </c>
      <c r="L1052" s="20">
        <v>0.2</v>
      </c>
      <c r="M1052" s="19">
        <f>Tienda!$K3966-Tienda!$K3966*Tienda!$L3966</f>
        <v>51.205000000000005</v>
      </c>
      <c r="N1052" s="3" t="s">
        <v>10040</v>
      </c>
      <c r="O1052" s="3" t="s">
        <v>10042</v>
      </c>
      <c r="P1052" s="17">
        <v>45877</v>
      </c>
      <c r="Q1052" s="4">
        <v>6</v>
      </c>
    </row>
    <row r="1053" spans="1:17" x14ac:dyDescent="0.25">
      <c r="A1053" s="2" t="s">
        <v>1964</v>
      </c>
      <c r="B1053" s="3" t="s">
        <v>5015</v>
      </c>
      <c r="C1053" s="3">
        <v>32</v>
      </c>
      <c r="D1053" s="46" t="str">
        <f>IF(Tabla1[[#This Row],[EDAD]]&lt;=35,"Adultos jóvenes 18 - 35 años",IF(C1053&gt;=36,"Adultos mayores 36 años en adelante"))</f>
        <v>Adultos jóvenes 18 - 35 años</v>
      </c>
      <c r="E1053" s="3" t="s">
        <v>5019</v>
      </c>
      <c r="F1053" s="3" t="s">
        <v>5026</v>
      </c>
      <c r="G1053" s="3" t="s">
        <v>5034</v>
      </c>
      <c r="H1053" s="3" t="s">
        <v>6987</v>
      </c>
      <c r="I1053" s="17">
        <v>45701</v>
      </c>
      <c r="J1053" s="18">
        <f>YEAR(Tabla1[[#This Row],[FECHA DE COMPRA]])</f>
        <v>2025</v>
      </c>
      <c r="K1053" s="19">
        <v>64.12</v>
      </c>
      <c r="L1053" s="20">
        <v>0.1</v>
      </c>
      <c r="M1053" s="19">
        <f>Tienda!$K3969-Tienda!$K3969*Tienda!$L3969</f>
        <v>52.730999999999995</v>
      </c>
      <c r="N1053" s="3" t="s">
        <v>10040</v>
      </c>
      <c r="O1053" s="3" t="s">
        <v>10042</v>
      </c>
      <c r="P1053" s="17">
        <v>45772</v>
      </c>
      <c r="Q1053" s="4">
        <v>6</v>
      </c>
    </row>
    <row r="1054" spans="1:17" x14ac:dyDescent="0.25">
      <c r="A1054" s="2" t="s">
        <v>1907</v>
      </c>
      <c r="B1054" s="3" t="s">
        <v>5015</v>
      </c>
      <c r="C1054" s="3">
        <v>31</v>
      </c>
      <c r="D1054" s="46" t="str">
        <f>IF(Tabla1[[#This Row],[EDAD]]&lt;=35,"Adultos jóvenes 18 - 35 años",IF(C1054&gt;=36,"Adultos mayores 36 años en adelante"))</f>
        <v>Adultos jóvenes 18 - 35 años</v>
      </c>
      <c r="E1054" s="3" t="s">
        <v>5022</v>
      </c>
      <c r="F1054" s="3" t="s">
        <v>5028</v>
      </c>
      <c r="G1054" s="3" t="s">
        <v>5033</v>
      </c>
      <c r="H1054" s="3" t="s">
        <v>6930</v>
      </c>
      <c r="I1054" s="17">
        <v>45671</v>
      </c>
      <c r="J1054" s="18">
        <f>YEAR(Tabla1[[#This Row],[FECHA DE COMPRA]])</f>
        <v>2025</v>
      </c>
      <c r="K1054" s="19">
        <v>92.51</v>
      </c>
      <c r="L1054" s="20">
        <v>0</v>
      </c>
      <c r="M1054" s="19">
        <f>Tienda!$K3973-Tienda!$K3973*Tienda!$L3973</f>
        <v>55.17</v>
      </c>
      <c r="N1054" s="3" t="s">
        <v>10040</v>
      </c>
      <c r="O1054" s="3" t="s">
        <v>10042</v>
      </c>
      <c r="P1054" s="17">
        <v>45761</v>
      </c>
      <c r="Q1054" s="4">
        <v>3</v>
      </c>
    </row>
    <row r="1055" spans="1:17" x14ac:dyDescent="0.25">
      <c r="A1055" s="2" t="s">
        <v>1775</v>
      </c>
      <c r="B1055" s="3" t="s">
        <v>5015</v>
      </c>
      <c r="C1055" s="3">
        <v>34</v>
      </c>
      <c r="D1055" s="46" t="str">
        <f>IF(Tabla1[[#This Row],[EDAD]]&lt;=35,"Adultos jóvenes 18 - 35 años",IF(C1055&gt;=36,"Adultos mayores 36 años en adelante"))</f>
        <v>Adultos jóvenes 18 - 35 años</v>
      </c>
      <c r="E1055" s="3" t="s">
        <v>5017</v>
      </c>
      <c r="F1055" s="3" t="s">
        <v>5027</v>
      </c>
      <c r="G1055" s="3" t="s">
        <v>5037</v>
      </c>
      <c r="H1055" s="3" t="s">
        <v>6798</v>
      </c>
      <c r="I1055" s="17">
        <v>45683</v>
      </c>
      <c r="J1055" s="18">
        <f>YEAR(Tabla1[[#This Row],[FECHA DE COMPRA]])</f>
        <v>2025</v>
      </c>
      <c r="K1055" s="19">
        <v>125.65</v>
      </c>
      <c r="L1055" s="20">
        <v>0.3</v>
      </c>
      <c r="M1055" s="19">
        <f>Tienda!$K3974-Tienda!$K3974*Tienda!$L3974</f>
        <v>56.096999999999994</v>
      </c>
      <c r="N1055" s="3" t="s">
        <v>10040</v>
      </c>
      <c r="O1055" s="3" t="s">
        <v>10042</v>
      </c>
      <c r="P1055" s="17">
        <v>45773</v>
      </c>
      <c r="Q1055" s="4">
        <v>3</v>
      </c>
    </row>
    <row r="1056" spans="1:17" x14ac:dyDescent="0.25">
      <c r="A1056" s="2" t="s">
        <v>180</v>
      </c>
      <c r="B1056" s="3" t="s">
        <v>5015</v>
      </c>
      <c r="C1056" s="3">
        <v>33</v>
      </c>
      <c r="D1056" s="46" t="str">
        <f>IF(Tabla1[[#This Row],[EDAD]]&lt;=35,"Adultos jóvenes 18 - 35 años",IF(C1056&gt;=36,"Adultos mayores 36 años en adelante"))</f>
        <v>Adultos jóvenes 18 - 35 años</v>
      </c>
      <c r="E1056" s="3" t="s">
        <v>5023</v>
      </c>
      <c r="F1056" s="3" t="s">
        <v>5026</v>
      </c>
      <c r="G1056" s="3" t="s">
        <v>5035</v>
      </c>
      <c r="H1056" s="3" t="s">
        <v>5203</v>
      </c>
      <c r="I1056" s="17">
        <v>45680</v>
      </c>
      <c r="J1056" s="18">
        <f>YEAR(Tabla1[[#This Row],[FECHA DE COMPRA]])</f>
        <v>2025</v>
      </c>
      <c r="K1056" s="19">
        <v>133.72999999999999</v>
      </c>
      <c r="L1056" s="20">
        <v>0.2</v>
      </c>
      <c r="M1056" s="19">
        <f>Tienda!$K3975-Tienda!$K3975*Tienda!$L3975</f>
        <v>56.11</v>
      </c>
      <c r="N1056" s="3" t="s">
        <v>10040</v>
      </c>
      <c r="O1056" s="3" t="s">
        <v>10042</v>
      </c>
      <c r="P1056" s="17">
        <v>45770</v>
      </c>
      <c r="Q1056" s="4">
        <v>3</v>
      </c>
    </row>
    <row r="1057" spans="1:17" x14ac:dyDescent="0.25">
      <c r="A1057" s="2" t="s">
        <v>1651</v>
      </c>
      <c r="B1057" s="3" t="s">
        <v>5016</v>
      </c>
      <c r="C1057" s="3">
        <v>34</v>
      </c>
      <c r="D1057" s="46" t="str">
        <f>IF(Tabla1[[#This Row],[EDAD]]&lt;=35,"Adultos jóvenes 18 - 35 años",IF(C1057&gt;=36,"Adultos mayores 36 años en adelante"))</f>
        <v>Adultos jóvenes 18 - 35 años</v>
      </c>
      <c r="E1057" s="3" t="s">
        <v>5021</v>
      </c>
      <c r="F1057" s="3" t="s">
        <v>5028</v>
      </c>
      <c r="G1057" s="3" t="s">
        <v>5032</v>
      </c>
      <c r="H1057" s="3" t="s">
        <v>6674</v>
      </c>
      <c r="I1057" s="17">
        <v>45671</v>
      </c>
      <c r="J1057" s="18">
        <f>YEAR(Tabla1[[#This Row],[FECHA DE COMPRA]])</f>
        <v>2025</v>
      </c>
      <c r="K1057" s="19">
        <v>171.57</v>
      </c>
      <c r="L1057" s="20">
        <v>0.3</v>
      </c>
      <c r="M1057" s="19">
        <f>Tienda!$K3977-Tienda!$K3977*Tienda!$L3977</f>
        <v>56.83</v>
      </c>
      <c r="N1057" s="3" t="s">
        <v>10040</v>
      </c>
      <c r="O1057" s="3" t="s">
        <v>10042</v>
      </c>
      <c r="P1057" s="17">
        <v>45761</v>
      </c>
      <c r="Q1057" s="4">
        <v>3</v>
      </c>
    </row>
    <row r="1058" spans="1:17" x14ac:dyDescent="0.25">
      <c r="A1058" s="2" t="s">
        <v>1935</v>
      </c>
      <c r="B1058" s="3" t="s">
        <v>5015</v>
      </c>
      <c r="C1058" s="3">
        <v>32</v>
      </c>
      <c r="D1058" s="46" t="str">
        <f>IF(Tabla1[[#This Row],[EDAD]]&lt;=35,"Adultos jóvenes 18 - 35 años",IF(C1058&gt;=36,"Adultos mayores 36 años en adelante"))</f>
        <v>Adultos jóvenes 18 - 35 años</v>
      </c>
      <c r="E1058" s="3" t="s">
        <v>5020</v>
      </c>
      <c r="F1058" s="3" t="s">
        <v>5025</v>
      </c>
      <c r="G1058" s="3" t="s">
        <v>5031</v>
      </c>
      <c r="H1058" s="3" t="s">
        <v>6958</v>
      </c>
      <c r="I1058" s="17">
        <v>45669</v>
      </c>
      <c r="J1058" s="18">
        <f>YEAR(Tabla1[[#This Row],[FECHA DE COMPRA]])</f>
        <v>2025</v>
      </c>
      <c r="K1058" s="19">
        <v>199.23</v>
      </c>
      <c r="L1058" s="20">
        <v>0.2</v>
      </c>
      <c r="M1058" s="19">
        <f>Tienda!$K3982-Tienda!$K3982*Tienda!$L3982</f>
        <v>61.817000000000007</v>
      </c>
      <c r="N1058" s="3" t="s">
        <v>10040</v>
      </c>
      <c r="O1058" s="3" t="s">
        <v>10042</v>
      </c>
      <c r="P1058" s="17">
        <v>45759</v>
      </c>
      <c r="Q1058" s="4">
        <v>3</v>
      </c>
    </row>
    <row r="1059" spans="1:17" x14ac:dyDescent="0.25">
      <c r="A1059" s="2" t="s">
        <v>4957</v>
      </c>
      <c r="B1059" s="3" t="s">
        <v>5015</v>
      </c>
      <c r="C1059" s="3">
        <v>35</v>
      </c>
      <c r="D1059" s="46" t="str">
        <f>IF(Tabla1[[#This Row],[EDAD]]&lt;=35,"Adultos jóvenes 18 - 35 años",IF(C1059&gt;=36,"Adultos mayores 36 años en adelante"))</f>
        <v>Adultos jóvenes 18 - 35 años</v>
      </c>
      <c r="E1059" s="3" t="s">
        <v>5017</v>
      </c>
      <c r="F1059" s="3" t="s">
        <v>5027</v>
      </c>
      <c r="G1059" s="3" t="s">
        <v>5031</v>
      </c>
      <c r="H1059" s="3" t="s">
        <v>9980</v>
      </c>
      <c r="I1059" s="17">
        <v>45727</v>
      </c>
      <c r="J1059" s="18">
        <f>YEAR(Tabla1[[#This Row],[FECHA DE COMPRA]])</f>
        <v>2025</v>
      </c>
      <c r="K1059" s="19">
        <v>73.89</v>
      </c>
      <c r="L1059" s="20">
        <v>0.2</v>
      </c>
      <c r="M1059" s="19">
        <f>Tienda!$K3993-Tienda!$K3993*Tienda!$L3993</f>
        <v>67.346999999999994</v>
      </c>
      <c r="N1059" s="3" t="s">
        <v>10040</v>
      </c>
      <c r="O1059" s="3" t="s">
        <v>10042</v>
      </c>
      <c r="P1059" s="17">
        <v>45817</v>
      </c>
      <c r="Q1059" s="4">
        <v>3</v>
      </c>
    </row>
    <row r="1060" spans="1:17" x14ac:dyDescent="0.25">
      <c r="A1060" s="2" t="s">
        <v>2209</v>
      </c>
      <c r="B1060" s="3" t="s">
        <v>5015</v>
      </c>
      <c r="C1060" s="3">
        <v>23</v>
      </c>
      <c r="D1060" s="46" t="str">
        <f>IF(Tabla1[[#This Row],[EDAD]]&lt;=35,"Adultos jóvenes 18 - 35 años",IF(C1060&gt;=36,"Adultos mayores 36 años en adelante"))</f>
        <v>Adultos jóvenes 18 - 35 años</v>
      </c>
      <c r="E1060" s="3" t="s">
        <v>5020</v>
      </c>
      <c r="F1060" s="3" t="s">
        <v>5029</v>
      </c>
      <c r="G1060" s="3" t="s">
        <v>5033</v>
      </c>
      <c r="H1060" s="3" t="s">
        <v>7232</v>
      </c>
      <c r="I1060" s="17">
        <v>45746</v>
      </c>
      <c r="J1060" s="18">
        <f>YEAR(Tabla1[[#This Row],[FECHA DE COMPRA]])</f>
        <v>2025</v>
      </c>
      <c r="K1060" s="19">
        <v>112.02</v>
      </c>
      <c r="L1060" s="20">
        <v>0.1</v>
      </c>
      <c r="M1060" s="19">
        <f>Tienda!$K3995-Tienda!$K3995*Tienda!$L3995</f>
        <v>67.724999999999994</v>
      </c>
      <c r="N1060" s="3" t="s">
        <v>10040</v>
      </c>
      <c r="O1060" s="3" t="s">
        <v>10042</v>
      </c>
      <c r="P1060" s="17">
        <v>45836</v>
      </c>
      <c r="Q1060" s="4">
        <v>3</v>
      </c>
    </row>
    <row r="1061" spans="1:17" x14ac:dyDescent="0.25">
      <c r="A1061" s="2" t="s">
        <v>828</v>
      </c>
      <c r="B1061" s="3" t="s">
        <v>5015</v>
      </c>
      <c r="C1061" s="3">
        <v>18</v>
      </c>
      <c r="D1061" s="46" t="str">
        <f>IF(Tabla1[[#This Row],[EDAD]]&lt;=35,"Adultos jóvenes 18 - 35 años",IF(C1061&gt;=36,"Adultos mayores 36 años en adelante"))</f>
        <v>Adultos jóvenes 18 - 35 años</v>
      </c>
      <c r="E1061" s="3" t="s">
        <v>5018</v>
      </c>
      <c r="F1061" s="3" t="s">
        <v>5029</v>
      </c>
      <c r="G1061" s="3" t="s">
        <v>5031</v>
      </c>
      <c r="H1061" s="3" t="s">
        <v>5851</v>
      </c>
      <c r="I1061" s="17">
        <v>45733</v>
      </c>
      <c r="J1061" s="18">
        <f>YEAR(Tabla1[[#This Row],[FECHA DE COMPRA]])</f>
        <v>2025</v>
      </c>
      <c r="K1061" s="19">
        <v>131.25</v>
      </c>
      <c r="L1061" s="20">
        <v>0.3</v>
      </c>
      <c r="M1061" s="19">
        <f>Tienda!$K3998-Tienda!$K3998*Tienda!$L3998</f>
        <v>71.86</v>
      </c>
      <c r="N1061" s="3" t="s">
        <v>10040</v>
      </c>
      <c r="O1061" s="3" t="s">
        <v>10042</v>
      </c>
      <c r="P1061" s="17">
        <v>45823</v>
      </c>
      <c r="Q1061" s="4">
        <v>3</v>
      </c>
    </row>
    <row r="1062" spans="1:17" x14ac:dyDescent="0.25">
      <c r="A1062" s="2" t="s">
        <v>1583</v>
      </c>
      <c r="B1062" s="3" t="s">
        <v>5015</v>
      </c>
      <c r="C1062" s="3">
        <v>32</v>
      </c>
      <c r="D1062" s="46" t="str">
        <f>IF(Tabla1[[#This Row],[EDAD]]&lt;=35,"Adultos jóvenes 18 - 35 años",IF(C1062&gt;=36,"Adultos mayores 36 años en adelante"))</f>
        <v>Adultos jóvenes 18 - 35 años</v>
      </c>
      <c r="E1062" s="3" t="s">
        <v>5021</v>
      </c>
      <c r="F1062" s="3" t="s">
        <v>5025</v>
      </c>
      <c r="G1062" s="3" t="s">
        <v>5037</v>
      </c>
      <c r="H1062" s="3" t="s">
        <v>6606</v>
      </c>
      <c r="I1062" s="17">
        <v>45740</v>
      </c>
      <c r="J1062" s="18">
        <f>YEAR(Tabla1[[#This Row],[FECHA DE COMPRA]])</f>
        <v>2025</v>
      </c>
      <c r="K1062" s="19">
        <v>148.87</v>
      </c>
      <c r="L1062" s="20">
        <v>0</v>
      </c>
      <c r="M1062" s="19">
        <f>Tienda!$K3999-Tienda!$K3999*Tienda!$L3999</f>
        <v>72.638999999999996</v>
      </c>
      <c r="N1062" s="3" t="s">
        <v>10040</v>
      </c>
      <c r="O1062" s="3" t="s">
        <v>10042</v>
      </c>
      <c r="P1062" s="17">
        <v>45830</v>
      </c>
      <c r="Q1062" s="4">
        <v>3</v>
      </c>
    </row>
    <row r="1063" spans="1:17" x14ac:dyDescent="0.25">
      <c r="A1063" s="2" t="s">
        <v>571</v>
      </c>
      <c r="B1063" s="3" t="s">
        <v>5015</v>
      </c>
      <c r="C1063" s="3">
        <v>21</v>
      </c>
      <c r="D1063" s="46" t="str">
        <f>IF(Tabla1[[#This Row],[EDAD]]&lt;=35,"Adultos jóvenes 18 - 35 años",IF(C1063&gt;=36,"Adultos mayores 36 años en adelante"))</f>
        <v>Adultos jóvenes 18 - 35 años</v>
      </c>
      <c r="E1063" s="3" t="s">
        <v>5018</v>
      </c>
      <c r="F1063" s="3" t="s">
        <v>5024</v>
      </c>
      <c r="G1063" s="3" t="s">
        <v>5037</v>
      </c>
      <c r="H1063" s="3" t="s">
        <v>5594</v>
      </c>
      <c r="I1063" s="17">
        <v>45774</v>
      </c>
      <c r="J1063" s="18">
        <f>YEAR(Tabla1[[#This Row],[FECHA DE COMPRA]])</f>
        <v>2025</v>
      </c>
      <c r="K1063" s="19">
        <v>70.64</v>
      </c>
      <c r="L1063" s="20">
        <v>0.3</v>
      </c>
      <c r="M1063" s="19">
        <f>Tienda!$K4003-Tienda!$K4003*Tienda!$L4003</f>
        <v>73.263999999999996</v>
      </c>
      <c r="N1063" s="3" t="s">
        <v>10040</v>
      </c>
      <c r="O1063" s="3" t="s">
        <v>10042</v>
      </c>
      <c r="P1063" s="17">
        <v>45864</v>
      </c>
      <c r="Q1063" s="4">
        <v>3</v>
      </c>
    </row>
    <row r="1064" spans="1:17" x14ac:dyDescent="0.25">
      <c r="A1064" s="2" t="s">
        <v>4632</v>
      </c>
      <c r="B1064" s="3" t="s">
        <v>5015</v>
      </c>
      <c r="C1064" s="3">
        <v>27</v>
      </c>
      <c r="D1064" s="46" t="str">
        <f>IF(Tabla1[[#This Row],[EDAD]]&lt;=35,"Adultos jóvenes 18 - 35 años",IF(C1064&gt;=36,"Adultos mayores 36 años en adelante"))</f>
        <v>Adultos jóvenes 18 - 35 años</v>
      </c>
      <c r="E1064" s="3" t="s">
        <v>5017</v>
      </c>
      <c r="F1064" s="3" t="s">
        <v>5025</v>
      </c>
      <c r="G1064" s="3" t="s">
        <v>5032</v>
      </c>
      <c r="H1064" s="3" t="s">
        <v>9655</v>
      </c>
      <c r="I1064" s="17">
        <v>45755</v>
      </c>
      <c r="J1064" s="18">
        <f>YEAR(Tabla1[[#This Row],[FECHA DE COMPRA]])</f>
        <v>2025</v>
      </c>
      <c r="K1064" s="19">
        <v>92.75</v>
      </c>
      <c r="L1064" s="20">
        <v>0.2</v>
      </c>
      <c r="M1064" s="19">
        <f>Tienda!$K4005-Tienda!$K4005*Tienda!$L4005</f>
        <v>77.849999999999994</v>
      </c>
      <c r="N1064" s="3" t="s">
        <v>10040</v>
      </c>
      <c r="O1064" s="3" t="s">
        <v>10042</v>
      </c>
      <c r="P1064" s="17">
        <v>45845</v>
      </c>
      <c r="Q1064" s="4">
        <v>3</v>
      </c>
    </row>
    <row r="1065" spans="1:17" x14ac:dyDescent="0.25">
      <c r="A1065" s="2" t="s">
        <v>2480</v>
      </c>
      <c r="B1065" s="3" t="s">
        <v>5015</v>
      </c>
      <c r="C1065" s="3">
        <v>23</v>
      </c>
      <c r="D1065" s="46" t="str">
        <f>IF(Tabla1[[#This Row],[EDAD]]&lt;=35,"Adultos jóvenes 18 - 35 años",IF(C1065&gt;=36,"Adultos mayores 36 años en adelante"))</f>
        <v>Adultos jóvenes 18 - 35 años</v>
      </c>
      <c r="E1065" s="3" t="s">
        <v>5022</v>
      </c>
      <c r="F1065" s="3" t="s">
        <v>5028</v>
      </c>
      <c r="G1065" s="3" t="s">
        <v>5033</v>
      </c>
      <c r="H1065" s="3" t="s">
        <v>7503</v>
      </c>
      <c r="I1065" s="17">
        <v>45771</v>
      </c>
      <c r="J1065" s="18">
        <f>YEAR(Tabla1[[#This Row],[FECHA DE COMPRA]])</f>
        <v>2025</v>
      </c>
      <c r="K1065" s="19">
        <v>105.1</v>
      </c>
      <c r="L1065" s="20">
        <v>0.1</v>
      </c>
      <c r="M1065" s="19">
        <f>Tienda!$K4007-Tienda!$K4007*Tienda!$L4007</f>
        <v>78.063999999999993</v>
      </c>
      <c r="N1065" s="3" t="s">
        <v>10040</v>
      </c>
      <c r="O1065" s="3" t="s">
        <v>10042</v>
      </c>
      <c r="P1065" s="17">
        <v>45861</v>
      </c>
      <c r="Q1065" s="4">
        <v>3</v>
      </c>
    </row>
    <row r="1066" spans="1:17" x14ac:dyDescent="0.25">
      <c r="A1066" s="2" t="s">
        <v>4770</v>
      </c>
      <c r="B1066" s="3" t="s">
        <v>5015</v>
      </c>
      <c r="C1066" s="3">
        <v>20</v>
      </c>
      <c r="D1066" s="46" t="str">
        <f>IF(Tabla1[[#This Row],[EDAD]]&lt;=35,"Adultos jóvenes 18 - 35 años",IF(C1066&gt;=36,"Adultos mayores 36 años en adelante"))</f>
        <v>Adultos jóvenes 18 - 35 años</v>
      </c>
      <c r="E1066" s="3" t="s">
        <v>5022</v>
      </c>
      <c r="F1066" s="3" t="s">
        <v>5027</v>
      </c>
      <c r="G1066" s="3" t="s">
        <v>5037</v>
      </c>
      <c r="H1066" s="3" t="s">
        <v>9793</v>
      </c>
      <c r="I1066" s="17">
        <v>45763</v>
      </c>
      <c r="J1066" s="18">
        <f>YEAR(Tabla1[[#This Row],[FECHA DE COMPRA]])</f>
        <v>2025</v>
      </c>
      <c r="K1066" s="19">
        <v>114.11</v>
      </c>
      <c r="L1066" s="20">
        <v>0.2</v>
      </c>
      <c r="M1066" s="19">
        <f>Tienda!$K4009-Tienda!$K4009*Tienda!$L4009</f>
        <v>78.92</v>
      </c>
      <c r="N1066" s="3" t="s">
        <v>10040</v>
      </c>
      <c r="O1066" s="3" t="s">
        <v>10042</v>
      </c>
      <c r="P1066" s="17">
        <v>45853</v>
      </c>
      <c r="Q1066" s="4">
        <v>3</v>
      </c>
    </row>
    <row r="1067" spans="1:17" x14ac:dyDescent="0.25">
      <c r="A1067" s="2" t="s">
        <v>3851</v>
      </c>
      <c r="B1067" s="3" t="s">
        <v>5015</v>
      </c>
      <c r="C1067" s="3">
        <v>32</v>
      </c>
      <c r="D1067" s="46" t="str">
        <f>IF(Tabla1[[#This Row],[EDAD]]&lt;=35,"Adultos jóvenes 18 - 35 años",IF(C1067&gt;=36,"Adultos mayores 36 años en adelante"))</f>
        <v>Adultos jóvenes 18 - 35 años</v>
      </c>
      <c r="E1067" s="3" t="s">
        <v>5022</v>
      </c>
      <c r="F1067" s="3" t="s">
        <v>5030</v>
      </c>
      <c r="G1067" s="3" t="s">
        <v>5037</v>
      </c>
      <c r="H1067" s="3" t="s">
        <v>8874</v>
      </c>
      <c r="I1067" s="17">
        <v>45748</v>
      </c>
      <c r="J1067" s="18">
        <f>YEAR(Tabla1[[#This Row],[FECHA DE COMPRA]])</f>
        <v>2025</v>
      </c>
      <c r="K1067" s="19">
        <v>178.43</v>
      </c>
      <c r="L1067" s="20">
        <v>0.2</v>
      </c>
      <c r="M1067" s="19">
        <f>Tienda!$K4010-Tienda!$K4010*Tienda!$L4010</f>
        <v>79.667000000000002</v>
      </c>
      <c r="N1067" s="3" t="s">
        <v>10040</v>
      </c>
      <c r="O1067" s="3" t="s">
        <v>10042</v>
      </c>
      <c r="P1067" s="17">
        <v>45838</v>
      </c>
      <c r="Q1067" s="4">
        <v>3</v>
      </c>
    </row>
    <row r="1068" spans="1:17" x14ac:dyDescent="0.25">
      <c r="A1068" s="2" t="s">
        <v>659</v>
      </c>
      <c r="B1068" s="3" t="s">
        <v>5015</v>
      </c>
      <c r="C1068" s="3">
        <v>32</v>
      </c>
      <c r="D1068" s="46" t="str">
        <f>IF(Tabla1[[#This Row],[EDAD]]&lt;=35,"Adultos jóvenes 18 - 35 años",IF(C1068&gt;=36,"Adultos mayores 36 años en adelante"))</f>
        <v>Adultos jóvenes 18 - 35 años</v>
      </c>
      <c r="E1068" s="3" t="s">
        <v>5020</v>
      </c>
      <c r="F1068" s="3" t="s">
        <v>5025</v>
      </c>
      <c r="G1068" s="3" t="s">
        <v>5031</v>
      </c>
      <c r="H1068" s="3" t="s">
        <v>5682</v>
      </c>
      <c r="I1068" s="17">
        <v>45751</v>
      </c>
      <c r="J1068" s="18">
        <f>YEAR(Tabla1[[#This Row],[FECHA DE COMPRA]])</f>
        <v>2025</v>
      </c>
      <c r="K1068" s="19">
        <v>182.81</v>
      </c>
      <c r="L1068" s="20">
        <v>0.3</v>
      </c>
      <c r="M1068" s="19">
        <f>Tienda!$K4011-Tienda!$K4011*Tienda!$L4011</f>
        <v>80.56</v>
      </c>
      <c r="N1068" s="3" t="s">
        <v>10040</v>
      </c>
      <c r="O1068" s="3" t="s">
        <v>10042</v>
      </c>
      <c r="P1068" s="17">
        <v>45841</v>
      </c>
      <c r="Q1068" s="4">
        <v>3</v>
      </c>
    </row>
    <row r="1069" spans="1:17" x14ac:dyDescent="0.25">
      <c r="A1069" s="2" t="s">
        <v>1145</v>
      </c>
      <c r="B1069" s="3" t="s">
        <v>5015</v>
      </c>
      <c r="C1069" s="3">
        <v>26</v>
      </c>
      <c r="D1069" s="46" t="str">
        <f>IF(Tabla1[[#This Row],[EDAD]]&lt;=35,"Adultos jóvenes 18 - 35 años",IF(C1069&gt;=36,"Adultos mayores 36 años en adelante"))</f>
        <v>Adultos jóvenes 18 - 35 años</v>
      </c>
      <c r="E1069" s="3" t="s">
        <v>5020</v>
      </c>
      <c r="F1069" s="3" t="s">
        <v>5027</v>
      </c>
      <c r="G1069" s="3" t="s">
        <v>5036</v>
      </c>
      <c r="H1069" s="3" t="s">
        <v>6168</v>
      </c>
      <c r="I1069" s="17">
        <v>45754</v>
      </c>
      <c r="J1069" s="18">
        <f>YEAR(Tabla1[[#This Row],[FECHA DE COMPRA]])</f>
        <v>2025</v>
      </c>
      <c r="K1069" s="19">
        <v>184.82</v>
      </c>
      <c r="L1069" s="20">
        <v>0.3</v>
      </c>
      <c r="M1069" s="19">
        <f>Tienda!$K4012-Tienda!$K4012*Tienda!$L4012</f>
        <v>82.39</v>
      </c>
      <c r="N1069" s="3" t="s">
        <v>10040</v>
      </c>
      <c r="O1069" s="3" t="s">
        <v>10042</v>
      </c>
      <c r="P1069" s="17">
        <v>45844</v>
      </c>
      <c r="Q1069" s="4">
        <v>3</v>
      </c>
    </row>
    <row r="1070" spans="1:17" x14ac:dyDescent="0.25">
      <c r="A1070" s="2" t="s">
        <v>4773</v>
      </c>
      <c r="B1070" s="3" t="s">
        <v>5015</v>
      </c>
      <c r="C1070" s="3">
        <v>21</v>
      </c>
      <c r="D1070" s="46" t="str">
        <f>IF(Tabla1[[#This Row],[EDAD]]&lt;=35,"Adultos jóvenes 18 - 35 años",IF(C1070&gt;=36,"Adultos mayores 36 años en adelante"))</f>
        <v>Adultos jóvenes 18 - 35 años</v>
      </c>
      <c r="E1070" s="3" t="s">
        <v>5018</v>
      </c>
      <c r="F1070" s="3" t="s">
        <v>5027</v>
      </c>
      <c r="G1070" s="3" t="s">
        <v>5032</v>
      </c>
      <c r="H1070" s="3" t="s">
        <v>9796</v>
      </c>
      <c r="I1070" s="17">
        <v>45787</v>
      </c>
      <c r="J1070" s="18">
        <f>YEAR(Tabla1[[#This Row],[FECHA DE COMPRA]])</f>
        <v>2025</v>
      </c>
      <c r="K1070" s="19">
        <v>30.82</v>
      </c>
      <c r="L1070" s="20">
        <v>0.1</v>
      </c>
      <c r="M1070" s="19">
        <f>Tienda!$K4013-Tienda!$K4013*Tienda!$L4013</f>
        <v>84.186000000000007</v>
      </c>
      <c r="N1070" s="3" t="s">
        <v>10040</v>
      </c>
      <c r="O1070" s="3" t="s">
        <v>10042</v>
      </c>
      <c r="P1070" s="17">
        <v>45877</v>
      </c>
      <c r="Q1070" s="4">
        <v>3</v>
      </c>
    </row>
    <row r="1071" spans="1:17" x14ac:dyDescent="0.25">
      <c r="A1071" s="2" t="s">
        <v>3554</v>
      </c>
      <c r="B1071" s="3" t="s">
        <v>5015</v>
      </c>
      <c r="C1071" s="3">
        <v>20</v>
      </c>
      <c r="D1071" s="46" t="str">
        <f>IF(Tabla1[[#This Row],[EDAD]]&lt;=35,"Adultos jóvenes 18 - 35 años",IF(C1071&gt;=36,"Adultos mayores 36 años en adelante"))</f>
        <v>Adultos jóvenes 18 - 35 años</v>
      </c>
      <c r="E1071" s="3" t="s">
        <v>5018</v>
      </c>
      <c r="F1071" s="3" t="s">
        <v>5029</v>
      </c>
      <c r="G1071" s="3" t="s">
        <v>5034</v>
      </c>
      <c r="H1071" s="3" t="s">
        <v>8577</v>
      </c>
      <c r="I1071" s="17">
        <v>45788</v>
      </c>
      <c r="J1071" s="18">
        <f>YEAR(Tabla1[[#This Row],[FECHA DE COMPRA]])</f>
        <v>2025</v>
      </c>
      <c r="K1071" s="19">
        <v>37.299999999999997</v>
      </c>
      <c r="L1071" s="20">
        <v>0.3</v>
      </c>
      <c r="M1071" s="19">
        <f>Tienda!$K4014-Tienda!$K4014*Tienda!$L4014</f>
        <v>84.293999999999997</v>
      </c>
      <c r="N1071" s="3" t="s">
        <v>10040</v>
      </c>
      <c r="O1071" s="3" t="s">
        <v>10042</v>
      </c>
      <c r="P1071" s="17">
        <v>45878</v>
      </c>
      <c r="Q1071" s="4">
        <v>3</v>
      </c>
    </row>
    <row r="1072" spans="1:17" x14ac:dyDescent="0.25">
      <c r="A1072" s="2" t="s">
        <v>960</v>
      </c>
      <c r="B1072" s="3" t="s">
        <v>5015</v>
      </c>
      <c r="C1072" s="3">
        <v>25</v>
      </c>
      <c r="D1072" s="46" t="str">
        <f>IF(Tabla1[[#This Row],[EDAD]]&lt;=35,"Adultos jóvenes 18 - 35 años",IF(C1072&gt;=36,"Adultos mayores 36 años en adelante"))</f>
        <v>Adultos jóvenes 18 - 35 años</v>
      </c>
      <c r="E1072" s="3" t="s">
        <v>5022</v>
      </c>
      <c r="F1072" s="3" t="s">
        <v>5028</v>
      </c>
      <c r="G1072" s="3" t="s">
        <v>5036</v>
      </c>
      <c r="H1072" s="3" t="s">
        <v>5983</v>
      </c>
      <c r="I1072" s="17">
        <v>45808</v>
      </c>
      <c r="J1072" s="18">
        <f>YEAR(Tabla1[[#This Row],[FECHA DE COMPRA]])</f>
        <v>2025</v>
      </c>
      <c r="K1072" s="19">
        <v>52.28</v>
      </c>
      <c r="L1072" s="20">
        <v>0.2</v>
      </c>
      <c r="M1072" s="19">
        <f>Tienda!$K4015-Tienda!$K4015*Tienda!$L4015</f>
        <v>84.808000000000007</v>
      </c>
      <c r="N1072" s="3" t="s">
        <v>10040</v>
      </c>
      <c r="O1072" s="3" t="s">
        <v>10042</v>
      </c>
      <c r="P1072" s="17">
        <v>45898</v>
      </c>
      <c r="Q1072" s="4">
        <v>3</v>
      </c>
    </row>
    <row r="1073" spans="1:17" x14ac:dyDescent="0.25">
      <c r="A1073" s="2" t="s">
        <v>2678</v>
      </c>
      <c r="B1073" s="3" t="s">
        <v>5015</v>
      </c>
      <c r="C1073" s="3">
        <v>32</v>
      </c>
      <c r="D1073" s="46" t="str">
        <f>IF(Tabla1[[#This Row],[EDAD]]&lt;=35,"Adultos jóvenes 18 - 35 años",IF(C1073&gt;=36,"Adultos mayores 36 años en adelante"))</f>
        <v>Adultos jóvenes 18 - 35 años</v>
      </c>
      <c r="E1073" s="3" t="s">
        <v>5018</v>
      </c>
      <c r="F1073" s="3" t="s">
        <v>5024</v>
      </c>
      <c r="G1073" s="3" t="s">
        <v>5034</v>
      </c>
      <c r="H1073" s="3" t="s">
        <v>7701</v>
      </c>
      <c r="I1073" s="17">
        <v>45785</v>
      </c>
      <c r="J1073" s="18">
        <f>YEAR(Tabla1[[#This Row],[FECHA DE COMPRA]])</f>
        <v>2025</v>
      </c>
      <c r="K1073" s="19">
        <v>97.44</v>
      </c>
      <c r="L1073" s="20">
        <v>0.2</v>
      </c>
      <c r="M1073" s="19">
        <f>Tienda!$K4017-Tienda!$K4017*Tienda!$L4017</f>
        <v>85.980999999999995</v>
      </c>
      <c r="N1073" s="3" t="s">
        <v>10040</v>
      </c>
      <c r="O1073" s="3" t="s">
        <v>10042</v>
      </c>
      <c r="P1073" s="17">
        <v>45875</v>
      </c>
      <c r="Q1073" s="4">
        <v>3</v>
      </c>
    </row>
    <row r="1074" spans="1:17" x14ac:dyDescent="0.25">
      <c r="A1074" s="2" t="s">
        <v>4436</v>
      </c>
      <c r="B1074" s="3" t="s">
        <v>5015</v>
      </c>
      <c r="C1074" s="3">
        <v>32</v>
      </c>
      <c r="D1074" s="46" t="str">
        <f>IF(Tabla1[[#This Row],[EDAD]]&lt;=35,"Adultos jóvenes 18 - 35 años",IF(C1074&gt;=36,"Adultos mayores 36 años en adelante"))</f>
        <v>Adultos jóvenes 18 - 35 años</v>
      </c>
      <c r="E1074" s="3" t="s">
        <v>5023</v>
      </c>
      <c r="F1074" s="3" t="s">
        <v>5028</v>
      </c>
      <c r="G1074" s="3" t="s">
        <v>5034</v>
      </c>
      <c r="H1074" s="3" t="s">
        <v>9459</v>
      </c>
      <c r="I1074" s="17">
        <v>45782</v>
      </c>
      <c r="J1074" s="18">
        <f>YEAR(Tabla1[[#This Row],[FECHA DE COMPRA]])</f>
        <v>2025</v>
      </c>
      <c r="K1074" s="19">
        <v>104.15</v>
      </c>
      <c r="L1074" s="20">
        <v>0.3</v>
      </c>
      <c r="M1074" s="19">
        <f>Tienda!$K4018-Tienda!$K4018*Tienda!$L4018</f>
        <v>86.163000000000011</v>
      </c>
      <c r="N1074" s="3" t="s">
        <v>10040</v>
      </c>
      <c r="O1074" s="3" t="s">
        <v>10042</v>
      </c>
      <c r="P1074" s="17">
        <v>45872</v>
      </c>
      <c r="Q1074" s="4">
        <v>3</v>
      </c>
    </row>
    <row r="1075" spans="1:17" x14ac:dyDescent="0.25">
      <c r="A1075" s="2" t="s">
        <v>1478</v>
      </c>
      <c r="B1075" s="3" t="s">
        <v>5016</v>
      </c>
      <c r="C1075" s="3">
        <v>23</v>
      </c>
      <c r="D1075" s="46" t="str">
        <f>IF(Tabla1[[#This Row],[EDAD]]&lt;=35,"Adultos jóvenes 18 - 35 años",IF(C1075&gt;=36,"Adultos mayores 36 años en adelante"))</f>
        <v>Adultos jóvenes 18 - 35 años</v>
      </c>
      <c r="E1075" s="3" t="s">
        <v>5019</v>
      </c>
      <c r="F1075" s="3" t="s">
        <v>5024</v>
      </c>
      <c r="G1075" s="3" t="s">
        <v>5034</v>
      </c>
      <c r="H1075" s="3" t="s">
        <v>6501</v>
      </c>
      <c r="I1075" s="17">
        <v>45805</v>
      </c>
      <c r="J1075" s="18">
        <f>YEAR(Tabla1[[#This Row],[FECHA DE COMPRA]])</f>
        <v>2025</v>
      </c>
      <c r="K1075" s="19">
        <v>118.53</v>
      </c>
      <c r="L1075" s="20">
        <v>0.3</v>
      </c>
      <c r="M1075" s="19">
        <f>Tienda!$K4019-Tienda!$K4019*Tienda!$L4019</f>
        <v>86.787000000000006</v>
      </c>
      <c r="N1075" s="3" t="s">
        <v>10040</v>
      </c>
      <c r="O1075" s="3" t="s">
        <v>10042</v>
      </c>
      <c r="P1075" s="17">
        <v>45895</v>
      </c>
      <c r="Q1075" s="4">
        <v>3</v>
      </c>
    </row>
    <row r="1076" spans="1:17" x14ac:dyDescent="0.25">
      <c r="A1076" s="2" t="s">
        <v>1558</v>
      </c>
      <c r="B1076" s="3" t="s">
        <v>5015</v>
      </c>
      <c r="C1076" s="3">
        <v>21</v>
      </c>
      <c r="D1076" s="46" t="str">
        <f>IF(Tabla1[[#This Row],[EDAD]]&lt;=35,"Adultos jóvenes 18 - 35 años",IF(C1076&gt;=36,"Adultos mayores 36 años en adelante"))</f>
        <v>Adultos jóvenes 18 - 35 años</v>
      </c>
      <c r="E1076" s="3" t="s">
        <v>5021</v>
      </c>
      <c r="F1076" s="3" t="s">
        <v>5028</v>
      </c>
      <c r="G1076" s="3" t="s">
        <v>5034</v>
      </c>
      <c r="H1076" s="3" t="s">
        <v>6581</v>
      </c>
      <c r="I1076" s="17">
        <v>45797</v>
      </c>
      <c r="J1076" s="18">
        <f>YEAR(Tabla1[[#This Row],[FECHA DE COMPRA]])</f>
        <v>2025</v>
      </c>
      <c r="K1076" s="19">
        <v>182.71</v>
      </c>
      <c r="L1076" s="20">
        <v>0</v>
      </c>
      <c r="M1076" s="19">
        <f>Tienda!$K4022-Tienda!$K4022*Tienda!$L4022</f>
        <v>93.055999999999997</v>
      </c>
      <c r="N1076" s="3" t="s">
        <v>10040</v>
      </c>
      <c r="O1076" s="3" t="s">
        <v>10042</v>
      </c>
      <c r="P1076" s="17">
        <v>45887</v>
      </c>
      <c r="Q1076" s="4">
        <v>3</v>
      </c>
    </row>
    <row r="1077" spans="1:17" x14ac:dyDescent="0.25">
      <c r="A1077" s="2" t="s">
        <v>967</v>
      </c>
      <c r="B1077" s="3" t="s">
        <v>5015</v>
      </c>
      <c r="C1077" s="3">
        <v>22</v>
      </c>
      <c r="D1077" s="46" t="str">
        <f>IF(Tabla1[[#This Row],[EDAD]]&lt;=35,"Adultos jóvenes 18 - 35 años",IF(C1077&gt;=36,"Adultos mayores 36 años en adelante"))</f>
        <v>Adultos jóvenes 18 - 35 años</v>
      </c>
      <c r="E1077" s="3" t="s">
        <v>5018</v>
      </c>
      <c r="F1077" s="3" t="s">
        <v>5025</v>
      </c>
      <c r="G1077" s="3" t="s">
        <v>5035</v>
      </c>
      <c r="H1077" s="3" t="s">
        <v>5990</v>
      </c>
      <c r="I1077" s="17">
        <v>45829</v>
      </c>
      <c r="J1077" s="18">
        <f>YEAR(Tabla1[[#This Row],[FECHA DE COMPRA]])</f>
        <v>2025</v>
      </c>
      <c r="K1077" s="19">
        <v>17.649999999999999</v>
      </c>
      <c r="L1077" s="20">
        <v>0</v>
      </c>
      <c r="M1077" s="19">
        <f>Tienda!$K4024-Tienda!$K4024*Tienda!$L4024</f>
        <v>95.183999999999997</v>
      </c>
      <c r="N1077" s="3" t="s">
        <v>10040</v>
      </c>
      <c r="O1077" s="3" t="s">
        <v>10042</v>
      </c>
      <c r="P1077" s="17">
        <v>45919</v>
      </c>
      <c r="Q1077" s="4">
        <v>3</v>
      </c>
    </row>
    <row r="1078" spans="1:17" x14ac:dyDescent="0.25">
      <c r="A1078" s="2" t="s">
        <v>1841</v>
      </c>
      <c r="B1078" s="3" t="s">
        <v>5015</v>
      </c>
      <c r="C1078" s="3">
        <v>29</v>
      </c>
      <c r="D1078" s="46" t="str">
        <f>IF(Tabla1[[#This Row],[EDAD]]&lt;=35,"Adultos jóvenes 18 - 35 años",IF(C1078&gt;=36,"Adultos mayores 36 años en adelante"))</f>
        <v>Adultos jóvenes 18 - 35 años</v>
      </c>
      <c r="E1078" s="3" t="s">
        <v>5020</v>
      </c>
      <c r="F1078" s="3" t="s">
        <v>5029</v>
      </c>
      <c r="G1078" s="3" t="s">
        <v>5036</v>
      </c>
      <c r="H1078" s="3" t="s">
        <v>6864</v>
      </c>
      <c r="I1078" s="17">
        <v>45822</v>
      </c>
      <c r="J1078" s="18">
        <f>YEAR(Tabla1[[#This Row],[FECHA DE COMPRA]])</f>
        <v>2025</v>
      </c>
      <c r="K1078" s="19">
        <v>52.18</v>
      </c>
      <c r="L1078" s="20">
        <v>0</v>
      </c>
      <c r="M1078" s="19">
        <f>Tienda!$K4026-Tienda!$K4026*Tienda!$L4026</f>
        <v>95.623999999999995</v>
      </c>
      <c r="N1078" s="3" t="s">
        <v>10040</v>
      </c>
      <c r="O1078" s="3" t="s">
        <v>10042</v>
      </c>
      <c r="P1078" s="17">
        <v>45912</v>
      </c>
      <c r="Q1078" s="4">
        <v>3</v>
      </c>
    </row>
    <row r="1079" spans="1:17" x14ac:dyDescent="0.25">
      <c r="A1079" s="2" t="s">
        <v>3892</v>
      </c>
      <c r="B1079" s="3" t="s">
        <v>5015</v>
      </c>
      <c r="C1079" s="3">
        <v>24</v>
      </c>
      <c r="D1079" s="46" t="str">
        <f>IF(Tabla1[[#This Row],[EDAD]]&lt;=35,"Adultos jóvenes 18 - 35 años",IF(C1079&gt;=36,"Adultos mayores 36 años en adelante"))</f>
        <v>Adultos jóvenes 18 - 35 años</v>
      </c>
      <c r="E1079" s="3" t="s">
        <v>5020</v>
      </c>
      <c r="F1079" s="3" t="s">
        <v>5028</v>
      </c>
      <c r="G1079" s="3" t="s">
        <v>5034</v>
      </c>
      <c r="H1079" s="3" t="s">
        <v>8915</v>
      </c>
      <c r="I1079" s="17">
        <v>45819</v>
      </c>
      <c r="J1079" s="18">
        <f>YEAR(Tabla1[[#This Row],[FECHA DE COMPRA]])</f>
        <v>2025</v>
      </c>
      <c r="K1079" s="19">
        <v>69.11</v>
      </c>
      <c r="L1079" s="20">
        <v>0.2</v>
      </c>
      <c r="M1079" s="19">
        <f>Tienda!$K4028-Tienda!$K4028*Tienda!$L4028</f>
        <v>98.147000000000006</v>
      </c>
      <c r="N1079" s="3" t="s">
        <v>10040</v>
      </c>
      <c r="O1079" s="3" t="s">
        <v>10042</v>
      </c>
      <c r="P1079" s="17">
        <v>45909</v>
      </c>
      <c r="Q1079" s="4">
        <v>3</v>
      </c>
    </row>
    <row r="1080" spans="1:17" x14ac:dyDescent="0.25">
      <c r="A1080" s="2" t="s">
        <v>4298</v>
      </c>
      <c r="B1080" s="3" t="s">
        <v>5015</v>
      </c>
      <c r="C1080" s="3">
        <v>20</v>
      </c>
      <c r="D1080" s="46" t="str">
        <f>IF(Tabla1[[#This Row],[EDAD]]&lt;=35,"Adultos jóvenes 18 - 35 años",IF(C1080&gt;=36,"Adultos mayores 36 años en adelante"))</f>
        <v>Adultos jóvenes 18 - 35 años</v>
      </c>
      <c r="E1080" s="3" t="s">
        <v>5020</v>
      </c>
      <c r="F1080" s="3" t="s">
        <v>5024</v>
      </c>
      <c r="G1080" s="3" t="s">
        <v>5033</v>
      </c>
      <c r="H1080" s="3" t="s">
        <v>9321</v>
      </c>
      <c r="I1080" s="17">
        <v>45827</v>
      </c>
      <c r="J1080" s="18">
        <f>YEAR(Tabla1[[#This Row],[FECHA DE COMPRA]])</f>
        <v>2025</v>
      </c>
      <c r="K1080" s="19">
        <v>75.06</v>
      </c>
      <c r="L1080" s="20">
        <v>0.3</v>
      </c>
      <c r="M1080" s="19">
        <f>Tienda!$K4029-Tienda!$K4029*Tienda!$L4029</f>
        <v>99.462999999999994</v>
      </c>
      <c r="N1080" s="3" t="s">
        <v>10040</v>
      </c>
      <c r="O1080" s="3" t="s">
        <v>10042</v>
      </c>
      <c r="P1080" s="17">
        <v>45917</v>
      </c>
      <c r="Q1080" s="4">
        <v>3</v>
      </c>
    </row>
    <row r="1081" spans="1:17" x14ac:dyDescent="0.25">
      <c r="A1081" s="2" t="s">
        <v>3156</v>
      </c>
      <c r="B1081" s="3" t="s">
        <v>5015</v>
      </c>
      <c r="C1081" s="3">
        <v>19</v>
      </c>
      <c r="D1081" s="46" t="str">
        <f>IF(Tabla1[[#This Row],[EDAD]]&lt;=35,"Adultos jóvenes 18 - 35 años",IF(C1081&gt;=36,"Adultos mayores 36 años en adelante"))</f>
        <v>Adultos jóvenes 18 - 35 años</v>
      </c>
      <c r="E1081" s="3" t="s">
        <v>5019</v>
      </c>
      <c r="F1081" s="3" t="s">
        <v>5024</v>
      </c>
      <c r="G1081" s="3" t="s">
        <v>5033</v>
      </c>
      <c r="H1081" s="3" t="s">
        <v>8179</v>
      </c>
      <c r="I1081" s="17">
        <v>45843</v>
      </c>
      <c r="J1081" s="18">
        <f>YEAR(Tabla1[[#This Row],[FECHA DE COMPRA]])</f>
        <v>2025</v>
      </c>
      <c r="K1081" s="19">
        <v>55.23</v>
      </c>
      <c r="L1081" s="20">
        <v>0.3</v>
      </c>
      <c r="M1081" s="19">
        <f>Tienda!$K4037-Tienda!$K4037*Tienda!$L4037</f>
        <v>105.59200000000001</v>
      </c>
      <c r="N1081" s="3" t="s">
        <v>10040</v>
      </c>
      <c r="O1081" s="3" t="s">
        <v>10042</v>
      </c>
      <c r="P1081" s="17">
        <v>45933</v>
      </c>
      <c r="Q1081" s="4">
        <v>3</v>
      </c>
    </row>
    <row r="1082" spans="1:17" x14ac:dyDescent="0.25">
      <c r="A1082" s="2" t="s">
        <v>2279</v>
      </c>
      <c r="B1082" s="3" t="s">
        <v>5016</v>
      </c>
      <c r="C1082" s="3">
        <v>18</v>
      </c>
      <c r="D1082" s="46" t="str">
        <f>IF(Tabla1[[#This Row],[EDAD]]&lt;=35,"Adultos jóvenes 18 - 35 años",IF(C1082&gt;=36,"Adultos mayores 36 años en adelante"))</f>
        <v>Adultos jóvenes 18 - 35 años</v>
      </c>
      <c r="E1082" s="3" t="s">
        <v>5017</v>
      </c>
      <c r="F1082" s="3" t="s">
        <v>5027</v>
      </c>
      <c r="G1082" s="3" t="s">
        <v>5037</v>
      </c>
      <c r="H1082" s="3" t="s">
        <v>7302</v>
      </c>
      <c r="I1082" s="17">
        <v>45862</v>
      </c>
      <c r="J1082" s="18">
        <f>YEAR(Tabla1[[#This Row],[FECHA DE COMPRA]])</f>
        <v>2025</v>
      </c>
      <c r="K1082" s="19">
        <v>69.14</v>
      </c>
      <c r="L1082" s="20">
        <v>0.3</v>
      </c>
      <c r="M1082" s="19">
        <f>Tienda!$K4038-Tienda!$K4038*Tienda!$L4038</f>
        <v>106.39200000000001</v>
      </c>
      <c r="N1082" s="3" t="s">
        <v>10040</v>
      </c>
      <c r="O1082" s="3" t="s">
        <v>10042</v>
      </c>
      <c r="P1082" s="17">
        <v>45952</v>
      </c>
      <c r="Q1082" s="4">
        <v>3</v>
      </c>
    </row>
    <row r="1083" spans="1:17" x14ac:dyDescent="0.25">
      <c r="A1083" s="2" t="s">
        <v>1169</v>
      </c>
      <c r="B1083" s="3" t="s">
        <v>5016</v>
      </c>
      <c r="C1083" s="3">
        <v>21</v>
      </c>
      <c r="D1083" s="46" t="str">
        <f>IF(Tabla1[[#This Row],[EDAD]]&lt;=35,"Adultos jóvenes 18 - 35 años",IF(C1083&gt;=36,"Adultos mayores 36 años en adelante"))</f>
        <v>Adultos jóvenes 18 - 35 años</v>
      </c>
      <c r="E1083" s="3" t="s">
        <v>5017</v>
      </c>
      <c r="F1083" s="3" t="s">
        <v>5024</v>
      </c>
      <c r="G1083" s="3" t="s">
        <v>5036</v>
      </c>
      <c r="H1083" s="3" t="s">
        <v>6192</v>
      </c>
      <c r="I1083" s="17">
        <v>45843</v>
      </c>
      <c r="J1083" s="18">
        <f>YEAR(Tabla1[[#This Row],[FECHA DE COMPRA]])</f>
        <v>2025</v>
      </c>
      <c r="K1083" s="19">
        <v>88.88</v>
      </c>
      <c r="L1083" s="20">
        <v>0.2</v>
      </c>
      <c r="M1083" s="19">
        <f>Tienda!$K4039-Tienda!$K4039*Tienda!$L4039</f>
        <v>107.096</v>
      </c>
      <c r="N1083" s="3" t="s">
        <v>10040</v>
      </c>
      <c r="O1083" s="3" t="s">
        <v>10042</v>
      </c>
      <c r="P1083" s="17">
        <v>45933</v>
      </c>
      <c r="Q1083" s="4">
        <v>3</v>
      </c>
    </row>
    <row r="1084" spans="1:17" x14ac:dyDescent="0.25">
      <c r="A1084" s="2" t="s">
        <v>480</v>
      </c>
      <c r="B1084" s="3" t="s">
        <v>5015</v>
      </c>
      <c r="C1084" s="3">
        <v>30</v>
      </c>
      <c r="D1084" s="46" t="str">
        <f>IF(Tabla1[[#This Row],[EDAD]]&lt;=35,"Adultos jóvenes 18 - 35 años",IF(C1084&gt;=36,"Adultos mayores 36 años en adelante"))</f>
        <v>Adultos jóvenes 18 - 35 años</v>
      </c>
      <c r="E1084" s="3" t="s">
        <v>5020</v>
      </c>
      <c r="F1084" s="3" t="s">
        <v>5029</v>
      </c>
      <c r="G1084" s="3" t="s">
        <v>5031</v>
      </c>
      <c r="H1084" s="3" t="s">
        <v>5503</v>
      </c>
      <c r="I1084" s="17">
        <v>45852</v>
      </c>
      <c r="J1084" s="18">
        <f>YEAR(Tabla1[[#This Row],[FECHA DE COMPRA]])</f>
        <v>2025</v>
      </c>
      <c r="K1084" s="19">
        <v>104.45</v>
      </c>
      <c r="L1084" s="20">
        <v>0.1</v>
      </c>
      <c r="M1084" s="19">
        <f>Tienda!$K4041-Tienda!$K4041*Tienda!$L4041</f>
        <v>109.38600000000001</v>
      </c>
      <c r="N1084" s="3" t="s">
        <v>10040</v>
      </c>
      <c r="O1084" s="3" t="s">
        <v>10042</v>
      </c>
      <c r="P1084" s="17">
        <v>45942</v>
      </c>
      <c r="Q1084" s="4">
        <v>3</v>
      </c>
    </row>
    <row r="1085" spans="1:17" x14ac:dyDescent="0.25">
      <c r="A1085" s="2" t="s">
        <v>4047</v>
      </c>
      <c r="B1085" s="3" t="s">
        <v>5015</v>
      </c>
      <c r="C1085" s="3">
        <v>33</v>
      </c>
      <c r="D1085" s="46" t="str">
        <f>IF(Tabla1[[#This Row],[EDAD]]&lt;=35,"Adultos jóvenes 18 - 35 años",IF(C1085&gt;=36,"Adultos mayores 36 años en adelante"))</f>
        <v>Adultos jóvenes 18 - 35 años</v>
      </c>
      <c r="E1085" s="3" t="s">
        <v>5018</v>
      </c>
      <c r="F1085" s="3" t="s">
        <v>5025</v>
      </c>
      <c r="G1085" s="3" t="s">
        <v>5031</v>
      </c>
      <c r="H1085" s="3" t="s">
        <v>9070</v>
      </c>
      <c r="I1085" s="17">
        <v>45866</v>
      </c>
      <c r="J1085" s="18">
        <f>YEAR(Tabla1[[#This Row],[FECHA DE COMPRA]])</f>
        <v>2025</v>
      </c>
      <c r="K1085" s="19">
        <v>129.18</v>
      </c>
      <c r="L1085" s="20">
        <v>0.1</v>
      </c>
      <c r="M1085" s="19">
        <f>Tienda!$K4043-Tienda!$K4043*Tienda!$L4043</f>
        <v>109.50399999999999</v>
      </c>
      <c r="N1085" s="3" t="s">
        <v>10040</v>
      </c>
      <c r="O1085" s="3" t="s">
        <v>10042</v>
      </c>
      <c r="P1085" s="17">
        <v>45956</v>
      </c>
      <c r="Q1085" s="4">
        <v>3</v>
      </c>
    </row>
    <row r="1086" spans="1:17" x14ac:dyDescent="0.25">
      <c r="A1086" s="2" t="s">
        <v>1802</v>
      </c>
      <c r="B1086" s="3" t="s">
        <v>5015</v>
      </c>
      <c r="C1086" s="3">
        <v>18</v>
      </c>
      <c r="D1086" s="46" t="str">
        <f>IF(Tabla1[[#This Row],[EDAD]]&lt;=35,"Adultos jóvenes 18 - 35 años",IF(C1086&gt;=36,"Adultos mayores 36 años en adelante"))</f>
        <v>Adultos jóvenes 18 - 35 años</v>
      </c>
      <c r="E1086" s="3" t="s">
        <v>5021</v>
      </c>
      <c r="F1086" s="3" t="s">
        <v>5025</v>
      </c>
      <c r="G1086" s="3" t="s">
        <v>5032</v>
      </c>
      <c r="H1086" s="3" t="s">
        <v>6825</v>
      </c>
      <c r="I1086" s="17">
        <v>45847</v>
      </c>
      <c r="J1086" s="18">
        <f>YEAR(Tabla1[[#This Row],[FECHA DE COMPRA]])</f>
        <v>2025</v>
      </c>
      <c r="K1086" s="19">
        <v>164.79</v>
      </c>
      <c r="L1086" s="20">
        <v>0</v>
      </c>
      <c r="M1086" s="19">
        <f>Tienda!$K4046-Tienda!$K4046*Tienda!$L4046</f>
        <v>110.48800000000001</v>
      </c>
      <c r="N1086" s="3" t="s">
        <v>10040</v>
      </c>
      <c r="O1086" s="3" t="s">
        <v>10042</v>
      </c>
      <c r="P1086" s="17">
        <v>45937</v>
      </c>
      <c r="Q1086" s="4">
        <v>3</v>
      </c>
    </row>
    <row r="1087" spans="1:17" x14ac:dyDescent="0.25">
      <c r="A1087" s="2" t="s">
        <v>3311</v>
      </c>
      <c r="B1087" s="3" t="s">
        <v>5015</v>
      </c>
      <c r="C1087" s="3">
        <v>18</v>
      </c>
      <c r="D1087" s="46" t="str">
        <f>IF(Tabla1[[#This Row],[EDAD]]&lt;=35,"Adultos jóvenes 18 - 35 años",IF(C1087&gt;=36,"Adultos mayores 36 años en adelante"))</f>
        <v>Adultos jóvenes 18 - 35 años</v>
      </c>
      <c r="E1087" s="3" t="s">
        <v>5020</v>
      </c>
      <c r="F1087" s="3" t="s">
        <v>5024</v>
      </c>
      <c r="G1087" s="3" t="s">
        <v>5037</v>
      </c>
      <c r="H1087" s="3" t="s">
        <v>8334</v>
      </c>
      <c r="I1087" s="17">
        <v>45853</v>
      </c>
      <c r="J1087" s="18">
        <f>YEAR(Tabla1[[#This Row],[FECHA DE COMPRA]])</f>
        <v>2025</v>
      </c>
      <c r="K1087" s="19">
        <v>168.11</v>
      </c>
      <c r="L1087" s="20">
        <v>0</v>
      </c>
      <c r="M1087" s="19">
        <f>Tienda!$K4047-Tienda!$K4047*Tienda!$L4047</f>
        <v>111.60799999999999</v>
      </c>
      <c r="N1087" s="3" t="s">
        <v>10040</v>
      </c>
      <c r="O1087" s="3" t="s">
        <v>10042</v>
      </c>
      <c r="P1087" s="17">
        <v>45943</v>
      </c>
      <c r="Q1087" s="4">
        <v>3</v>
      </c>
    </row>
    <row r="1088" spans="1:17" x14ac:dyDescent="0.25">
      <c r="A1088" s="2" t="s">
        <v>3087</v>
      </c>
      <c r="B1088" s="3" t="s">
        <v>5015</v>
      </c>
      <c r="C1088" s="3">
        <v>29</v>
      </c>
      <c r="D1088" s="46" t="str">
        <f>IF(Tabla1[[#This Row],[EDAD]]&lt;=35,"Adultos jóvenes 18 - 35 años",IF(C1088&gt;=36,"Adultos mayores 36 años en adelante"))</f>
        <v>Adultos jóvenes 18 - 35 años</v>
      </c>
      <c r="E1088" s="3" t="s">
        <v>5023</v>
      </c>
      <c r="F1088" s="3" t="s">
        <v>5024</v>
      </c>
      <c r="G1088" s="3" t="s">
        <v>5037</v>
      </c>
      <c r="H1088" s="3" t="s">
        <v>8110</v>
      </c>
      <c r="I1088" s="17">
        <v>45849</v>
      </c>
      <c r="J1088" s="18">
        <f>YEAR(Tabla1[[#This Row],[FECHA DE COMPRA]])</f>
        <v>2025</v>
      </c>
      <c r="K1088" s="19">
        <v>192.86</v>
      </c>
      <c r="L1088" s="20">
        <v>0.2</v>
      </c>
      <c r="M1088" s="19">
        <f>Tienda!$K4050-Tienda!$K4050*Tienda!$L4050</f>
        <v>114.354</v>
      </c>
      <c r="N1088" s="3" t="s">
        <v>10040</v>
      </c>
      <c r="O1088" s="3" t="s">
        <v>10042</v>
      </c>
      <c r="P1088" s="17">
        <v>45939</v>
      </c>
      <c r="Q1088" s="4">
        <v>3</v>
      </c>
    </row>
    <row r="1089" spans="1:17" x14ac:dyDescent="0.25">
      <c r="A1089" s="2" t="s">
        <v>4207</v>
      </c>
      <c r="B1089" s="3" t="s">
        <v>5015</v>
      </c>
      <c r="C1089" s="3">
        <v>23</v>
      </c>
      <c r="D1089" s="46" t="str">
        <f>IF(Tabla1[[#This Row],[EDAD]]&lt;=35,"Adultos jóvenes 18 - 35 años",IF(C1089&gt;=36,"Adultos mayores 36 años en adelante"))</f>
        <v>Adultos jóvenes 18 - 35 años</v>
      </c>
      <c r="E1089" s="3" t="s">
        <v>5022</v>
      </c>
      <c r="F1089" s="3" t="s">
        <v>5028</v>
      </c>
      <c r="G1089" s="3" t="s">
        <v>5033</v>
      </c>
      <c r="H1089" s="3" t="s">
        <v>9230</v>
      </c>
      <c r="I1089" s="17">
        <v>45855</v>
      </c>
      <c r="J1089" s="18">
        <f>YEAR(Tabla1[[#This Row],[FECHA DE COMPRA]])</f>
        <v>2025</v>
      </c>
      <c r="K1089" s="19">
        <v>60.05</v>
      </c>
      <c r="L1089" s="20">
        <v>0.1</v>
      </c>
      <c r="M1089" s="19">
        <f>Tienda!$K4056-Tienda!$K4056*Tienda!$L4056</f>
        <v>122.55199999999999</v>
      </c>
      <c r="N1089" s="3" t="s">
        <v>10040</v>
      </c>
      <c r="O1089" s="3" t="s">
        <v>10042</v>
      </c>
      <c r="P1089" s="17">
        <v>45945</v>
      </c>
      <c r="Q1089" s="4">
        <v>3</v>
      </c>
    </row>
    <row r="1090" spans="1:17" x14ac:dyDescent="0.25">
      <c r="A1090" s="2" t="s">
        <v>3998</v>
      </c>
      <c r="B1090" s="3" t="s">
        <v>5016</v>
      </c>
      <c r="C1090" s="3">
        <v>35</v>
      </c>
      <c r="D1090" s="46" t="str">
        <f>IF(Tabla1[[#This Row],[EDAD]]&lt;=35,"Adultos jóvenes 18 - 35 años",IF(C1090&gt;=36,"Adultos mayores 36 años en adelante"))</f>
        <v>Adultos jóvenes 18 - 35 años</v>
      </c>
      <c r="E1090" s="3" t="s">
        <v>5021</v>
      </c>
      <c r="F1090" s="3" t="s">
        <v>5030</v>
      </c>
      <c r="G1090" s="3" t="s">
        <v>5035</v>
      </c>
      <c r="H1090" s="3" t="s">
        <v>9021</v>
      </c>
      <c r="I1090" s="17">
        <v>45857</v>
      </c>
      <c r="J1090" s="18">
        <f>YEAR(Tabla1[[#This Row],[FECHA DE COMPRA]])</f>
        <v>2025</v>
      </c>
      <c r="K1090" s="19">
        <v>116.82</v>
      </c>
      <c r="L1090" s="20">
        <v>0.1</v>
      </c>
      <c r="M1090" s="19">
        <f>Tienda!$K4057-Tienda!$K4057*Tienda!$L4057</f>
        <v>123.33599999999998</v>
      </c>
      <c r="N1090" s="3" t="s">
        <v>10040</v>
      </c>
      <c r="O1090" s="3" t="s">
        <v>10042</v>
      </c>
      <c r="P1090" s="17">
        <v>45947</v>
      </c>
      <c r="Q1090" s="4">
        <v>3</v>
      </c>
    </row>
    <row r="1091" spans="1:17" x14ac:dyDescent="0.25">
      <c r="A1091" s="2" t="s">
        <v>1449</v>
      </c>
      <c r="B1091" s="3" t="s">
        <v>5015</v>
      </c>
      <c r="C1091" s="3">
        <v>28</v>
      </c>
      <c r="D1091" s="46" t="str">
        <f>IF(Tabla1[[#This Row],[EDAD]]&lt;=35,"Adultos jóvenes 18 - 35 años",IF(C1091&gt;=36,"Adultos mayores 36 años en adelante"))</f>
        <v>Adultos jóvenes 18 - 35 años</v>
      </c>
      <c r="E1091" s="3" t="s">
        <v>5023</v>
      </c>
      <c r="F1091" s="3" t="s">
        <v>5027</v>
      </c>
      <c r="G1091" s="3" t="s">
        <v>5033</v>
      </c>
      <c r="H1091" s="3" t="s">
        <v>6472</v>
      </c>
      <c r="I1091" s="17">
        <v>45864</v>
      </c>
      <c r="J1091" s="18">
        <f>YEAR(Tabla1[[#This Row],[FECHA DE COMPRA]])</f>
        <v>2025</v>
      </c>
      <c r="K1091" s="19">
        <v>118.61</v>
      </c>
      <c r="L1091" s="20">
        <v>0.1</v>
      </c>
      <c r="M1091" s="19">
        <f>Tienda!$K4058-Tienda!$K4058*Tienda!$L4058</f>
        <v>125.024</v>
      </c>
      <c r="N1091" s="3" t="s">
        <v>10040</v>
      </c>
      <c r="O1091" s="3" t="s">
        <v>10042</v>
      </c>
      <c r="P1091" s="17">
        <v>45954</v>
      </c>
      <c r="Q1091" s="4">
        <v>3</v>
      </c>
    </row>
    <row r="1092" spans="1:17" x14ac:dyDescent="0.25">
      <c r="A1092" s="2" t="s">
        <v>274</v>
      </c>
      <c r="B1092" s="3" t="s">
        <v>5015</v>
      </c>
      <c r="C1092" s="3">
        <v>25</v>
      </c>
      <c r="D1092" s="46" t="str">
        <f>IF(Tabla1[[#This Row],[EDAD]]&lt;=35,"Adultos jóvenes 18 - 35 años",IF(C1092&gt;=36,"Adultos mayores 36 años en adelante"))</f>
        <v>Adultos jóvenes 18 - 35 años</v>
      </c>
      <c r="E1092" s="3" t="s">
        <v>5018</v>
      </c>
      <c r="F1092" s="3" t="s">
        <v>5030</v>
      </c>
      <c r="G1092" s="3" t="s">
        <v>5031</v>
      </c>
      <c r="H1092" s="3" t="s">
        <v>5297</v>
      </c>
      <c r="I1092" s="17">
        <v>45666</v>
      </c>
      <c r="J1092" s="18">
        <f>YEAR(Tabla1[[#This Row],[FECHA DE COMPRA]])</f>
        <v>2025</v>
      </c>
      <c r="K1092" s="19">
        <v>10.38</v>
      </c>
      <c r="L1092" s="20">
        <v>0.1</v>
      </c>
      <c r="M1092" s="19">
        <f>Tienda!$K4065-Tienda!$K4065*Tienda!$L4065</f>
        <v>132.25800000000001</v>
      </c>
      <c r="N1092" s="3" t="s">
        <v>10040</v>
      </c>
      <c r="O1092" s="3" t="s">
        <v>10042</v>
      </c>
      <c r="P1092" s="17">
        <v>45846</v>
      </c>
      <c r="Q1092" s="4">
        <v>6</v>
      </c>
    </row>
    <row r="1093" spans="1:17" x14ac:dyDescent="0.25">
      <c r="A1093" s="2" t="s">
        <v>3959</v>
      </c>
      <c r="B1093" s="3" t="s">
        <v>5015</v>
      </c>
      <c r="C1093" s="3">
        <v>30</v>
      </c>
      <c r="D1093" s="46" t="str">
        <f>IF(Tabla1[[#This Row],[EDAD]]&lt;=35,"Adultos jóvenes 18 - 35 años",IF(C1093&gt;=36,"Adultos mayores 36 años en adelante"))</f>
        <v>Adultos jóvenes 18 - 35 años</v>
      </c>
      <c r="E1093" s="3" t="s">
        <v>5020</v>
      </c>
      <c r="F1093" s="3" t="s">
        <v>5030</v>
      </c>
      <c r="G1093" s="3" t="s">
        <v>5037</v>
      </c>
      <c r="H1093" s="3" t="s">
        <v>8982</v>
      </c>
      <c r="I1093" s="17">
        <v>45672</v>
      </c>
      <c r="J1093" s="18">
        <f>YEAR(Tabla1[[#This Row],[FECHA DE COMPRA]])</f>
        <v>2025</v>
      </c>
      <c r="K1093" s="19">
        <v>30.96</v>
      </c>
      <c r="L1093" s="20">
        <v>0.2</v>
      </c>
      <c r="M1093" s="19">
        <f>Tienda!$K4066-Tienda!$K4066*Tienda!$L4066</f>
        <v>133.65600000000001</v>
      </c>
      <c r="N1093" s="3" t="s">
        <v>10040</v>
      </c>
      <c r="O1093" s="3" t="s">
        <v>10042</v>
      </c>
      <c r="P1093" s="17">
        <v>45852</v>
      </c>
      <c r="Q1093" s="4">
        <v>6</v>
      </c>
    </row>
    <row r="1094" spans="1:17" x14ac:dyDescent="0.25">
      <c r="A1094" s="2" t="s">
        <v>2549</v>
      </c>
      <c r="B1094" s="3" t="s">
        <v>5015</v>
      </c>
      <c r="C1094" s="3">
        <v>32</v>
      </c>
      <c r="D1094" s="46" t="str">
        <f>IF(Tabla1[[#This Row],[EDAD]]&lt;=35,"Adultos jóvenes 18 - 35 años",IF(C1094&gt;=36,"Adultos mayores 36 años en adelante"))</f>
        <v>Adultos jóvenes 18 - 35 años</v>
      </c>
      <c r="E1094" s="3" t="s">
        <v>5023</v>
      </c>
      <c r="F1094" s="3" t="s">
        <v>5025</v>
      </c>
      <c r="G1094" s="3" t="s">
        <v>5036</v>
      </c>
      <c r="H1094" s="3" t="s">
        <v>7572</v>
      </c>
      <c r="I1094" s="17">
        <v>45701</v>
      </c>
      <c r="J1094" s="18">
        <f>YEAR(Tabla1[[#This Row],[FECHA DE COMPRA]])</f>
        <v>2025</v>
      </c>
      <c r="K1094" s="19">
        <v>61.93</v>
      </c>
      <c r="L1094" s="20">
        <v>0.2</v>
      </c>
      <c r="M1094" s="19">
        <f>Tienda!$K4068-Tienda!$K4068*Tienda!$L4068</f>
        <v>134.964</v>
      </c>
      <c r="N1094" s="3" t="s">
        <v>10040</v>
      </c>
      <c r="O1094" s="3" t="s">
        <v>10042</v>
      </c>
      <c r="P1094" s="17">
        <v>45856</v>
      </c>
      <c r="Q1094" s="4">
        <v>6</v>
      </c>
    </row>
    <row r="1095" spans="1:17" x14ac:dyDescent="0.25">
      <c r="A1095" s="2" t="s">
        <v>4715</v>
      </c>
      <c r="B1095" s="3" t="s">
        <v>5016</v>
      </c>
      <c r="C1095" s="3">
        <v>27</v>
      </c>
      <c r="D1095" s="46" t="str">
        <f>IF(Tabla1[[#This Row],[EDAD]]&lt;=35,"Adultos jóvenes 18 - 35 años",IF(C1095&gt;=36,"Adultos mayores 36 años en adelante"))</f>
        <v>Adultos jóvenes 18 - 35 años</v>
      </c>
      <c r="E1095" s="3" t="s">
        <v>5019</v>
      </c>
      <c r="F1095" s="3" t="s">
        <v>5029</v>
      </c>
      <c r="G1095" s="3" t="s">
        <v>5032</v>
      </c>
      <c r="H1095" s="3" t="s">
        <v>9738</v>
      </c>
      <c r="I1095" s="17">
        <v>45676</v>
      </c>
      <c r="J1095" s="18">
        <f>YEAR(Tabla1[[#This Row],[FECHA DE COMPRA]])</f>
        <v>2025</v>
      </c>
      <c r="K1095" s="19">
        <v>193.62</v>
      </c>
      <c r="L1095" s="20">
        <v>0.3</v>
      </c>
      <c r="M1095" s="19">
        <f>Tienda!$K4075-Tienda!$K4075*Tienda!$L4075</f>
        <v>137.88</v>
      </c>
      <c r="N1095" s="3" t="s">
        <v>10040</v>
      </c>
      <c r="O1095" s="3" t="s">
        <v>10042</v>
      </c>
      <c r="P1095" s="17">
        <v>45856</v>
      </c>
      <c r="Q1095" s="4">
        <v>6</v>
      </c>
    </row>
    <row r="1096" spans="1:17" x14ac:dyDescent="0.25">
      <c r="A1096" s="2" t="s">
        <v>511</v>
      </c>
      <c r="B1096" s="3" t="s">
        <v>5015</v>
      </c>
      <c r="C1096" s="3">
        <v>18</v>
      </c>
      <c r="D1096" s="46" t="str">
        <f>IF(Tabla1[[#This Row],[EDAD]]&lt;=35,"Adultos jóvenes 18 - 35 años",IF(C1096&gt;=36,"Adultos mayores 36 años en adelante"))</f>
        <v>Adultos jóvenes 18 - 35 años</v>
      </c>
      <c r="E1096" s="3" t="s">
        <v>5018</v>
      </c>
      <c r="F1096" s="3" t="s">
        <v>5024</v>
      </c>
      <c r="G1096" s="3" t="s">
        <v>5035</v>
      </c>
      <c r="H1096" s="3" t="s">
        <v>5534</v>
      </c>
      <c r="I1096" s="17">
        <v>45697</v>
      </c>
      <c r="J1096" s="18">
        <f>YEAR(Tabla1[[#This Row],[FECHA DE COMPRA]])</f>
        <v>2025</v>
      </c>
      <c r="K1096" s="19">
        <v>88.96</v>
      </c>
      <c r="L1096" s="20">
        <v>0</v>
      </c>
      <c r="M1096" s="19">
        <f>Tienda!$K4080-Tienda!$K4080*Tienda!$L4080</f>
        <v>146.40799999999999</v>
      </c>
      <c r="N1096" s="3" t="s">
        <v>10040</v>
      </c>
      <c r="O1096" s="3" t="s">
        <v>10042</v>
      </c>
      <c r="P1096" s="17">
        <v>45877</v>
      </c>
      <c r="Q1096" s="4">
        <v>6</v>
      </c>
    </row>
    <row r="1097" spans="1:17" x14ac:dyDescent="0.25">
      <c r="A1097" s="2" t="s">
        <v>3992</v>
      </c>
      <c r="B1097" s="3" t="s">
        <v>5015</v>
      </c>
      <c r="C1097" s="3">
        <v>27</v>
      </c>
      <c r="D1097" s="46" t="str">
        <f>IF(Tabla1[[#This Row],[EDAD]]&lt;=35,"Adultos jóvenes 18 - 35 años",IF(C1097&gt;=36,"Adultos mayores 36 años en adelante"))</f>
        <v>Adultos jóvenes 18 - 35 años</v>
      </c>
      <c r="E1097" s="3" t="s">
        <v>5018</v>
      </c>
      <c r="F1097" s="3" t="s">
        <v>5025</v>
      </c>
      <c r="G1097" s="3" t="s">
        <v>5036</v>
      </c>
      <c r="H1097" s="3" t="s">
        <v>9015</v>
      </c>
      <c r="I1097" s="17">
        <v>45699</v>
      </c>
      <c r="J1097" s="18">
        <f>YEAR(Tabla1[[#This Row],[FECHA DE COMPRA]])</f>
        <v>2025</v>
      </c>
      <c r="K1097" s="19">
        <v>70.12</v>
      </c>
      <c r="L1097" s="20">
        <v>0.1</v>
      </c>
      <c r="M1097" s="19">
        <f>Tienda!$K4081-Tienda!$K4081*Tienda!$L4081</f>
        <v>146.87200000000001</v>
      </c>
      <c r="N1097" s="3" t="s">
        <v>10040</v>
      </c>
      <c r="O1097" s="3" t="s">
        <v>10042</v>
      </c>
      <c r="P1097" s="17">
        <v>45879</v>
      </c>
      <c r="Q1097" s="4">
        <v>6</v>
      </c>
    </row>
    <row r="1098" spans="1:17" x14ac:dyDescent="0.25">
      <c r="A1098" s="2" t="s">
        <v>3885</v>
      </c>
      <c r="B1098" s="3" t="s">
        <v>5015</v>
      </c>
      <c r="C1098" s="3">
        <v>25</v>
      </c>
      <c r="D1098" s="46" t="str">
        <f>IF(Tabla1[[#This Row],[EDAD]]&lt;=35,"Adultos jóvenes 18 - 35 años",IF(C1098&gt;=36,"Adultos mayores 36 años en adelante"))</f>
        <v>Adultos jóvenes 18 - 35 años</v>
      </c>
      <c r="E1098" s="3" t="s">
        <v>5020</v>
      </c>
      <c r="F1098" s="3" t="s">
        <v>5030</v>
      </c>
      <c r="G1098" s="3" t="s">
        <v>5034</v>
      </c>
      <c r="H1098" s="3" t="s">
        <v>8908</v>
      </c>
      <c r="I1098" s="17">
        <v>45703</v>
      </c>
      <c r="J1098" s="18">
        <f>YEAR(Tabla1[[#This Row],[FECHA DE COMPRA]])</f>
        <v>2025</v>
      </c>
      <c r="K1098" s="19">
        <v>99.1</v>
      </c>
      <c r="L1098" s="20">
        <v>0.3</v>
      </c>
      <c r="M1098" s="19">
        <f>Tienda!$K4084-Tienda!$K4084*Tienda!$L4084</f>
        <v>149.47999999999999</v>
      </c>
      <c r="N1098" s="3" t="s">
        <v>10040</v>
      </c>
      <c r="O1098" s="3" t="s">
        <v>10042</v>
      </c>
      <c r="P1098" s="17">
        <v>45883</v>
      </c>
      <c r="Q1098" s="4">
        <v>6</v>
      </c>
    </row>
    <row r="1099" spans="1:17" x14ac:dyDescent="0.25">
      <c r="A1099" s="2" t="s">
        <v>2448</v>
      </c>
      <c r="B1099" s="3" t="s">
        <v>5015</v>
      </c>
      <c r="C1099" s="3">
        <v>22</v>
      </c>
      <c r="D1099" s="46" t="str">
        <f>IF(Tabla1[[#This Row],[EDAD]]&lt;=35,"Adultos jóvenes 18 - 35 años",IF(C1099&gt;=36,"Adultos mayores 36 años en adelante"))</f>
        <v>Adultos jóvenes 18 - 35 años</v>
      </c>
      <c r="E1099" s="3" t="s">
        <v>5021</v>
      </c>
      <c r="F1099" s="3" t="s">
        <v>5025</v>
      </c>
      <c r="G1099" s="3" t="s">
        <v>5034</v>
      </c>
      <c r="H1099" s="3" t="s">
        <v>7471</v>
      </c>
      <c r="I1099" s="17">
        <v>45707</v>
      </c>
      <c r="J1099" s="18">
        <f>YEAR(Tabla1[[#This Row],[FECHA DE COMPRA]])</f>
        <v>2025</v>
      </c>
      <c r="K1099" s="19">
        <v>165.59</v>
      </c>
      <c r="L1099" s="20">
        <v>0.1</v>
      </c>
      <c r="M1099" s="19">
        <f>Tienda!$K4085-Tienda!$K4085*Tienda!$L4085</f>
        <v>149.88</v>
      </c>
      <c r="N1099" s="3" t="s">
        <v>10040</v>
      </c>
      <c r="O1099" s="3" t="s">
        <v>10042</v>
      </c>
      <c r="P1099" s="17">
        <v>45887</v>
      </c>
      <c r="Q1099" s="4">
        <v>6</v>
      </c>
    </row>
    <row r="1100" spans="1:17" x14ac:dyDescent="0.25">
      <c r="A1100" s="2" t="s">
        <v>1629</v>
      </c>
      <c r="B1100" s="3" t="s">
        <v>5015</v>
      </c>
      <c r="C1100" s="3">
        <v>19</v>
      </c>
      <c r="D1100" s="46" t="str">
        <f>IF(Tabla1[[#This Row],[EDAD]]&lt;=35,"Adultos jóvenes 18 - 35 años",IF(C1100&gt;=36,"Adultos mayores 36 años en adelante"))</f>
        <v>Adultos jóvenes 18 - 35 años</v>
      </c>
      <c r="E1100" s="3" t="s">
        <v>5018</v>
      </c>
      <c r="F1100" s="3" t="s">
        <v>5029</v>
      </c>
      <c r="G1100" s="3" t="s">
        <v>5032</v>
      </c>
      <c r="H1100" s="3" t="s">
        <v>6652</v>
      </c>
      <c r="I1100" s="17">
        <v>45715</v>
      </c>
      <c r="J1100" s="18">
        <f>YEAR(Tabla1[[#This Row],[FECHA DE COMPRA]])</f>
        <v>2025</v>
      </c>
      <c r="K1100" s="19">
        <v>186.9</v>
      </c>
      <c r="L1100" s="20">
        <v>0</v>
      </c>
      <c r="M1100" s="19">
        <f>Tienda!$K4086-Tienda!$K4086*Tienda!$L4086</f>
        <v>150.381</v>
      </c>
      <c r="N1100" s="3" t="s">
        <v>10040</v>
      </c>
      <c r="O1100" s="3" t="s">
        <v>10042</v>
      </c>
      <c r="P1100" s="17">
        <v>45895</v>
      </c>
      <c r="Q1100" s="4">
        <v>6</v>
      </c>
    </row>
    <row r="1101" spans="1:17" x14ac:dyDescent="0.25">
      <c r="A1101" s="2" t="s">
        <v>2215</v>
      </c>
      <c r="B1101" s="3" t="s">
        <v>5015</v>
      </c>
      <c r="C1101" s="3">
        <v>21</v>
      </c>
      <c r="D1101" s="46" t="str">
        <f>IF(Tabla1[[#This Row],[EDAD]]&lt;=35,"Adultos jóvenes 18 - 35 años",IF(C1101&gt;=36,"Adultos mayores 36 años en adelante"))</f>
        <v>Adultos jóvenes 18 - 35 años</v>
      </c>
      <c r="E1101" s="3" t="s">
        <v>5021</v>
      </c>
      <c r="F1101" s="3" t="s">
        <v>5026</v>
      </c>
      <c r="G1101" s="3" t="s">
        <v>5034</v>
      </c>
      <c r="H1101" s="3" t="s">
        <v>7238</v>
      </c>
      <c r="I1101" s="17">
        <v>45740</v>
      </c>
      <c r="J1101" s="18">
        <f>YEAR(Tabla1[[#This Row],[FECHA DE COMPRA]])</f>
        <v>2025</v>
      </c>
      <c r="K1101" s="19">
        <v>90.23</v>
      </c>
      <c r="L1101" s="20">
        <v>0.2</v>
      </c>
      <c r="M1101" s="19">
        <f>Tienda!$K4087-Tienda!$K4087*Tienda!$L4087</f>
        <v>150.47999999999999</v>
      </c>
      <c r="N1101" s="3" t="s">
        <v>10040</v>
      </c>
      <c r="O1101" s="3" t="s">
        <v>10042</v>
      </c>
      <c r="P1101" s="17">
        <v>45920</v>
      </c>
      <c r="Q1101" s="4">
        <v>6</v>
      </c>
    </row>
    <row r="1102" spans="1:17" x14ac:dyDescent="0.25">
      <c r="A1102" s="2" t="s">
        <v>866</v>
      </c>
      <c r="B1102" s="3" t="s">
        <v>5016</v>
      </c>
      <c r="C1102" s="3">
        <v>18</v>
      </c>
      <c r="D1102" s="46" t="str">
        <f>IF(Tabla1[[#This Row],[EDAD]]&lt;=35,"Adultos jóvenes 18 - 35 años",IF(C1102&gt;=36,"Adultos mayores 36 años en adelante"))</f>
        <v>Adultos jóvenes 18 - 35 años</v>
      </c>
      <c r="E1102" s="3" t="s">
        <v>5023</v>
      </c>
      <c r="F1102" s="3" t="s">
        <v>5024</v>
      </c>
      <c r="G1102" s="3" t="s">
        <v>5037</v>
      </c>
      <c r="H1102" s="3" t="s">
        <v>5889</v>
      </c>
      <c r="I1102" s="17">
        <v>45749</v>
      </c>
      <c r="J1102" s="18">
        <f>YEAR(Tabla1[[#This Row],[FECHA DE COMPRA]])</f>
        <v>2025</v>
      </c>
      <c r="K1102" s="19">
        <v>41.11</v>
      </c>
      <c r="L1102" s="20">
        <v>0</v>
      </c>
      <c r="M1102" s="19">
        <f>Tienda!$K4093-Tienda!$K4093*Tienda!$L4093</f>
        <v>167.22900000000001</v>
      </c>
      <c r="N1102" s="3" t="s">
        <v>10040</v>
      </c>
      <c r="O1102" s="3" t="s">
        <v>10042</v>
      </c>
      <c r="P1102" s="17">
        <v>45929</v>
      </c>
      <c r="Q1102" s="4">
        <v>6</v>
      </c>
    </row>
    <row r="1103" spans="1:17" x14ac:dyDescent="0.25">
      <c r="A1103" s="2" t="s">
        <v>4738</v>
      </c>
      <c r="B1103" s="3" t="s">
        <v>5015</v>
      </c>
      <c r="C1103" s="3">
        <v>31</v>
      </c>
      <c r="D1103" s="46" t="str">
        <f>IF(Tabla1[[#This Row],[EDAD]]&lt;=35,"Adultos jóvenes 18 - 35 años",IF(C1103&gt;=36,"Adultos mayores 36 años en adelante"))</f>
        <v>Adultos jóvenes 18 - 35 años</v>
      </c>
      <c r="E1103" s="3" t="s">
        <v>5022</v>
      </c>
      <c r="F1103" s="3" t="s">
        <v>5030</v>
      </c>
      <c r="G1103" s="3" t="s">
        <v>5036</v>
      </c>
      <c r="H1103" s="3" t="s">
        <v>9761</v>
      </c>
      <c r="I1103" s="17">
        <v>45776</v>
      </c>
      <c r="J1103" s="18">
        <f>YEAR(Tabla1[[#This Row],[FECHA DE COMPRA]])</f>
        <v>2025</v>
      </c>
      <c r="K1103" s="19">
        <v>59.32</v>
      </c>
      <c r="L1103" s="20">
        <v>0</v>
      </c>
      <c r="M1103" s="19">
        <f>Tienda!$K4095-Tienda!$K4095*Tienda!$L4095</f>
        <v>168.7</v>
      </c>
      <c r="N1103" s="3" t="s">
        <v>10040</v>
      </c>
      <c r="O1103" s="3" t="s">
        <v>10042</v>
      </c>
      <c r="P1103" s="17">
        <v>45956</v>
      </c>
      <c r="Q1103" s="4">
        <v>6</v>
      </c>
    </row>
    <row r="1104" spans="1:17" x14ac:dyDescent="0.25">
      <c r="A1104" s="2" t="s">
        <v>2165</v>
      </c>
      <c r="B1104" s="3" t="s">
        <v>5015</v>
      </c>
      <c r="C1104" s="3">
        <v>35</v>
      </c>
      <c r="D1104" s="46" t="str">
        <f>IF(Tabla1[[#This Row],[EDAD]]&lt;=35,"Adultos jóvenes 18 - 35 años",IF(C1104&gt;=36,"Adultos mayores 36 años en adelante"))</f>
        <v>Adultos jóvenes 18 - 35 años</v>
      </c>
      <c r="E1104" s="3" t="s">
        <v>5021</v>
      </c>
      <c r="F1104" s="3" t="s">
        <v>5024</v>
      </c>
      <c r="G1104" s="3" t="s">
        <v>5031</v>
      </c>
      <c r="H1104" s="3" t="s">
        <v>7188</v>
      </c>
      <c r="I1104" s="17">
        <v>45766</v>
      </c>
      <c r="J1104" s="18">
        <f>YEAR(Tabla1[[#This Row],[FECHA DE COMPRA]])</f>
        <v>2025</v>
      </c>
      <c r="K1104" s="19">
        <v>167.53</v>
      </c>
      <c r="L1104" s="20">
        <v>0.1</v>
      </c>
      <c r="M1104" s="19">
        <f>Tienda!$K4099-Tienda!$K4099*Tienda!$L4099</f>
        <v>176.47200000000001</v>
      </c>
      <c r="N1104" s="3" t="s">
        <v>10040</v>
      </c>
      <c r="O1104" s="3" t="s">
        <v>10042</v>
      </c>
      <c r="P1104" s="17">
        <v>45946</v>
      </c>
      <c r="Q1104" s="4">
        <v>6</v>
      </c>
    </row>
    <row r="1105" spans="1:17" x14ac:dyDescent="0.25">
      <c r="A1105" s="2" t="s">
        <v>2315</v>
      </c>
      <c r="B1105" s="3" t="s">
        <v>5016</v>
      </c>
      <c r="C1105" s="3">
        <v>26</v>
      </c>
      <c r="D1105" s="46" t="str">
        <f>IF(Tabla1[[#This Row],[EDAD]]&lt;=35,"Adultos jóvenes 18 - 35 años",IF(C1105&gt;=36,"Adultos mayores 36 años en adelante"))</f>
        <v>Adultos jóvenes 18 - 35 años</v>
      </c>
      <c r="E1105" s="3" t="s">
        <v>5017</v>
      </c>
      <c r="F1105" s="3" t="s">
        <v>5025</v>
      </c>
      <c r="G1105" s="3" t="s">
        <v>5034</v>
      </c>
      <c r="H1105" s="3" t="s">
        <v>7338</v>
      </c>
      <c r="I1105" s="17">
        <v>45749</v>
      </c>
      <c r="J1105" s="18">
        <f>YEAR(Tabla1[[#This Row],[FECHA DE COMPRA]])</f>
        <v>2025</v>
      </c>
      <c r="K1105" s="19">
        <v>167.57</v>
      </c>
      <c r="L1105" s="20">
        <v>0.1</v>
      </c>
      <c r="M1105" s="19">
        <f>Tienda!$K4100-Tienda!$K4100*Tienda!$L4100</f>
        <v>178.09199999999998</v>
      </c>
      <c r="N1105" s="3" t="s">
        <v>10040</v>
      </c>
      <c r="O1105" s="3" t="s">
        <v>10042</v>
      </c>
      <c r="P1105" s="17">
        <v>45929</v>
      </c>
      <c r="Q1105" s="4">
        <v>6</v>
      </c>
    </row>
    <row r="1106" spans="1:17" x14ac:dyDescent="0.25">
      <c r="A1106" s="2" t="s">
        <v>2233</v>
      </c>
      <c r="B1106" s="3" t="s">
        <v>5015</v>
      </c>
      <c r="C1106" s="3">
        <v>27</v>
      </c>
      <c r="D1106" s="46" t="str">
        <f>IF(Tabla1[[#This Row],[EDAD]]&lt;=35,"Adultos jóvenes 18 - 35 años",IF(C1106&gt;=36,"Adultos mayores 36 años en adelante"))</f>
        <v>Adultos jóvenes 18 - 35 años</v>
      </c>
      <c r="E1106" s="3" t="s">
        <v>5020</v>
      </c>
      <c r="F1106" s="3" t="s">
        <v>5030</v>
      </c>
      <c r="G1106" s="3" t="s">
        <v>5031</v>
      </c>
      <c r="H1106" s="3" t="s">
        <v>7256</v>
      </c>
      <c r="I1106" s="17">
        <v>45774</v>
      </c>
      <c r="J1106" s="18">
        <f>YEAR(Tabla1[[#This Row],[FECHA DE COMPRA]])</f>
        <v>2025</v>
      </c>
      <c r="K1106" s="19">
        <v>173.26</v>
      </c>
      <c r="L1106" s="20">
        <v>0.1</v>
      </c>
      <c r="M1106" s="19">
        <f>Tienda!$K4101-Tienda!$K4101*Tienda!$L4101</f>
        <v>180.25</v>
      </c>
      <c r="N1106" s="3" t="s">
        <v>10040</v>
      </c>
      <c r="O1106" s="3" t="s">
        <v>10042</v>
      </c>
      <c r="P1106" s="17">
        <v>45954</v>
      </c>
      <c r="Q1106" s="4">
        <v>6</v>
      </c>
    </row>
    <row r="1107" spans="1:17" x14ac:dyDescent="0.25">
      <c r="A1107" s="2" t="s">
        <v>1702</v>
      </c>
      <c r="B1107" s="3" t="s">
        <v>5015</v>
      </c>
      <c r="C1107" s="3">
        <v>25</v>
      </c>
      <c r="D1107" s="46" t="str">
        <f>IF(Tabla1[[#This Row],[EDAD]]&lt;=35,"Adultos jóvenes 18 - 35 años",IF(C1107&gt;=36,"Adultos mayores 36 años en adelante"))</f>
        <v>Adultos jóvenes 18 - 35 años</v>
      </c>
      <c r="E1107" s="3" t="s">
        <v>5018</v>
      </c>
      <c r="F1107" s="3" t="s">
        <v>5024</v>
      </c>
      <c r="G1107" s="3" t="s">
        <v>5034</v>
      </c>
      <c r="H1107" s="3" t="s">
        <v>6725</v>
      </c>
      <c r="I1107" s="17">
        <v>45751</v>
      </c>
      <c r="J1107" s="18">
        <f>YEAR(Tabla1[[#This Row],[FECHA DE COMPRA]])</f>
        <v>2025</v>
      </c>
      <c r="K1107" s="19">
        <v>173.86</v>
      </c>
      <c r="L1107" s="20">
        <v>0</v>
      </c>
      <c r="M1107" s="19">
        <f>Tienda!$K4102-Tienda!$K4102*Tienda!$L4102</f>
        <v>184.18</v>
      </c>
      <c r="N1107" s="3" t="s">
        <v>10040</v>
      </c>
      <c r="O1107" s="3" t="s">
        <v>10042</v>
      </c>
      <c r="P1107" s="17">
        <v>45931</v>
      </c>
      <c r="Q1107" s="4">
        <v>6</v>
      </c>
    </row>
    <row r="1108" spans="1:17" x14ac:dyDescent="0.25">
      <c r="A1108" s="2" t="s">
        <v>1508</v>
      </c>
      <c r="B1108" s="3" t="s">
        <v>5015</v>
      </c>
      <c r="C1108" s="3">
        <v>27</v>
      </c>
      <c r="D1108" s="46" t="str">
        <f>IF(Tabla1[[#This Row],[EDAD]]&lt;=35,"Adultos jóvenes 18 - 35 años",IF(C1108&gt;=36,"Adultos mayores 36 años en adelante"))</f>
        <v>Adultos jóvenes 18 - 35 años</v>
      </c>
      <c r="E1108" s="3" t="s">
        <v>5022</v>
      </c>
      <c r="F1108" s="3" t="s">
        <v>5025</v>
      </c>
      <c r="G1108" s="3" t="s">
        <v>5031</v>
      </c>
      <c r="H1108" s="3" t="s">
        <v>6531</v>
      </c>
      <c r="I1108" s="17">
        <v>45777</v>
      </c>
      <c r="J1108" s="18">
        <f>YEAR(Tabla1[[#This Row],[FECHA DE COMPRA]])</f>
        <v>2025</v>
      </c>
      <c r="K1108" s="19">
        <v>185.68</v>
      </c>
      <c r="L1108" s="20">
        <v>0.1</v>
      </c>
      <c r="M1108" s="19">
        <f>Tienda!$K4104-Tienda!$K4104*Tienda!$L4104</f>
        <v>186.23</v>
      </c>
      <c r="N1108" s="3" t="s">
        <v>10040</v>
      </c>
      <c r="O1108" s="3" t="s">
        <v>10042</v>
      </c>
      <c r="P1108" s="17">
        <v>45957</v>
      </c>
      <c r="Q1108" s="4">
        <v>6</v>
      </c>
    </row>
    <row r="1109" spans="1:17" x14ac:dyDescent="0.25">
      <c r="A1109" s="2" t="s">
        <v>890</v>
      </c>
      <c r="B1109" s="3" t="s">
        <v>5015</v>
      </c>
      <c r="C1109" s="3">
        <v>23</v>
      </c>
      <c r="D1109" s="46" t="str">
        <f>IF(Tabla1[[#This Row],[EDAD]]&lt;=35,"Adultos jóvenes 18 - 35 años",IF(C1109&gt;=36,"Adultos mayores 36 años en adelante"))</f>
        <v>Adultos jóvenes 18 - 35 años</v>
      </c>
      <c r="E1109" s="3" t="s">
        <v>5017</v>
      </c>
      <c r="F1109" s="3" t="s">
        <v>5029</v>
      </c>
      <c r="G1109" s="3" t="s">
        <v>5035</v>
      </c>
      <c r="H1109" s="3" t="s">
        <v>5913</v>
      </c>
      <c r="I1109" s="17">
        <v>45781</v>
      </c>
      <c r="J1109" s="18">
        <f>YEAR(Tabla1[[#This Row],[FECHA DE COMPRA]])</f>
        <v>2025</v>
      </c>
      <c r="K1109" s="19">
        <v>21.47</v>
      </c>
      <c r="L1109" s="20">
        <v>0.1</v>
      </c>
      <c r="M1109" s="19">
        <f>Tienda!$K4106-Tienda!$K4106*Tienda!$L4106</f>
        <v>198.58</v>
      </c>
      <c r="N1109" s="3" t="s">
        <v>10040</v>
      </c>
      <c r="O1109" s="3" t="s">
        <v>10042</v>
      </c>
      <c r="P1109" s="17">
        <v>45961</v>
      </c>
      <c r="Q1109" s="4">
        <v>6</v>
      </c>
    </row>
    <row r="1110" spans="1:17" x14ac:dyDescent="0.25">
      <c r="A1110" s="2" t="s">
        <v>113</v>
      </c>
      <c r="B1110" s="3" t="s">
        <v>5016</v>
      </c>
      <c r="C1110" s="3">
        <v>33</v>
      </c>
      <c r="D1110" s="46" t="str">
        <f>IF(Tabla1[[#This Row],[EDAD]]&lt;=35,"Adultos jóvenes 18 - 35 años",IF(C1110&gt;=36,"Adultos mayores 36 años en adelante"))</f>
        <v>Adultos jóvenes 18 - 35 años</v>
      </c>
      <c r="E1110" s="3" t="s">
        <v>5021</v>
      </c>
      <c r="F1110" s="3" t="s">
        <v>5026</v>
      </c>
      <c r="G1110" s="3" t="s">
        <v>5035</v>
      </c>
      <c r="H1110" s="3" t="s">
        <v>5136</v>
      </c>
      <c r="I1110" s="17">
        <v>45787</v>
      </c>
      <c r="J1110" s="18">
        <f>YEAR(Tabla1[[#This Row],[FECHA DE COMPRA]])</f>
        <v>2025</v>
      </c>
      <c r="K1110" s="19">
        <v>86.76</v>
      </c>
      <c r="L1110" s="20">
        <v>0</v>
      </c>
      <c r="M1110" s="19">
        <f>Tienda!$K4108-Tienda!$K4108*Tienda!$L4108</f>
        <v>199.62</v>
      </c>
      <c r="N1110" s="3" t="s">
        <v>10040</v>
      </c>
      <c r="O1110" s="3" t="s">
        <v>10042</v>
      </c>
      <c r="P1110" s="17">
        <v>45967</v>
      </c>
      <c r="Q1110" s="4">
        <v>6</v>
      </c>
    </row>
    <row r="1111" spans="1:17" x14ac:dyDescent="0.25">
      <c r="A1111" s="2" t="s">
        <v>2185</v>
      </c>
      <c r="B1111" s="3" t="s">
        <v>5015</v>
      </c>
      <c r="C1111" s="3">
        <v>35</v>
      </c>
      <c r="D1111" s="46" t="str">
        <f>IF(Tabla1[[#This Row],[EDAD]]&lt;=35,"Adultos jóvenes 18 - 35 años",IF(C1111&gt;=36,"Adultos mayores 36 años en adelante"))</f>
        <v>Adultos jóvenes 18 - 35 años</v>
      </c>
      <c r="E1111" s="3" t="s">
        <v>5022</v>
      </c>
      <c r="F1111" s="3" t="s">
        <v>5026</v>
      </c>
      <c r="G1111" s="3" t="s">
        <v>5032</v>
      </c>
      <c r="H1111" s="3" t="s">
        <v>7208</v>
      </c>
      <c r="I1111" s="17">
        <v>45801</v>
      </c>
      <c r="J1111" s="18">
        <f>YEAR(Tabla1[[#This Row],[FECHA DE COMPRA]])</f>
        <v>2025</v>
      </c>
      <c r="K1111" s="19">
        <v>87.41</v>
      </c>
      <c r="L1111" s="20">
        <v>0.2</v>
      </c>
      <c r="M1111" s="19">
        <f>Tienda!$K4109-Tienda!$K4109*Tienda!$L4109</f>
        <v>35.629999999999995</v>
      </c>
      <c r="N1111" s="3" t="s">
        <v>10040</v>
      </c>
      <c r="O1111" s="3" t="s">
        <v>10042</v>
      </c>
      <c r="P1111" s="17">
        <v>45981</v>
      </c>
      <c r="Q1111" s="4">
        <v>6</v>
      </c>
    </row>
    <row r="1112" spans="1:17" x14ac:dyDescent="0.25">
      <c r="A1112" s="2" t="s">
        <v>25</v>
      </c>
      <c r="B1112" s="3" t="s">
        <v>5015</v>
      </c>
      <c r="C1112" s="3">
        <v>25</v>
      </c>
      <c r="D1112" s="46" t="str">
        <f>IF(Tabla1[[#This Row],[EDAD]]&lt;=35,"Adultos jóvenes 18 - 35 años",IF(C1112&gt;=36,"Adultos mayores 36 años en adelante"))</f>
        <v>Adultos jóvenes 18 - 35 años</v>
      </c>
      <c r="E1112" s="3" t="s">
        <v>5023</v>
      </c>
      <c r="F1112" s="3" t="s">
        <v>5026</v>
      </c>
      <c r="G1112" s="3" t="s">
        <v>5036</v>
      </c>
      <c r="H1112" s="3" t="s">
        <v>5048</v>
      </c>
      <c r="I1112" s="17">
        <v>45781</v>
      </c>
      <c r="J1112" s="18">
        <f>YEAR(Tabla1[[#This Row],[FECHA DE COMPRA]])</f>
        <v>2025</v>
      </c>
      <c r="K1112" s="19">
        <v>145.21</v>
      </c>
      <c r="L1112" s="20">
        <v>0.2</v>
      </c>
      <c r="M1112" s="19">
        <f>Tienda!$K4112-Tienda!$K4112*Tienda!$L4112</f>
        <v>36.47</v>
      </c>
      <c r="N1112" s="3" t="s">
        <v>10040</v>
      </c>
      <c r="O1112" s="3" t="s">
        <v>10042</v>
      </c>
      <c r="P1112" s="17">
        <v>45961</v>
      </c>
      <c r="Q1112" s="4">
        <v>6</v>
      </c>
    </row>
    <row r="1113" spans="1:17" x14ac:dyDescent="0.25">
      <c r="A1113" s="2" t="s">
        <v>1085</v>
      </c>
      <c r="B1113" s="3" t="s">
        <v>5015</v>
      </c>
      <c r="C1113" s="3">
        <v>23</v>
      </c>
      <c r="D1113" s="46" t="str">
        <f>IF(Tabla1[[#This Row],[EDAD]]&lt;=35,"Adultos jóvenes 18 - 35 años",IF(C1113&gt;=36,"Adultos mayores 36 años en adelante"))</f>
        <v>Adultos jóvenes 18 - 35 años</v>
      </c>
      <c r="E1113" s="3" t="s">
        <v>5018</v>
      </c>
      <c r="F1113" s="3" t="s">
        <v>5028</v>
      </c>
      <c r="G1113" s="3" t="s">
        <v>5034</v>
      </c>
      <c r="H1113" s="3" t="s">
        <v>6108</v>
      </c>
      <c r="I1113" s="17">
        <v>45806</v>
      </c>
      <c r="J1113" s="18">
        <f>YEAR(Tabla1[[#This Row],[FECHA DE COMPRA]])</f>
        <v>2025</v>
      </c>
      <c r="K1113" s="19">
        <v>181.69</v>
      </c>
      <c r="L1113" s="20">
        <v>0.1</v>
      </c>
      <c r="M1113" s="19">
        <f>Tienda!$K4116-Tienda!$K4116*Tienda!$L4116</f>
        <v>37.206000000000003</v>
      </c>
      <c r="N1113" s="3" t="s">
        <v>10040</v>
      </c>
      <c r="O1113" s="3" t="s">
        <v>10042</v>
      </c>
      <c r="P1113" s="17">
        <v>45986</v>
      </c>
      <c r="Q1113" s="4">
        <v>6</v>
      </c>
    </row>
    <row r="1114" spans="1:17" x14ac:dyDescent="0.25">
      <c r="A1114" s="2" t="s">
        <v>4694</v>
      </c>
      <c r="B1114" s="3" t="s">
        <v>5015</v>
      </c>
      <c r="C1114" s="3">
        <v>18</v>
      </c>
      <c r="D1114" s="46" t="str">
        <f>IF(Tabla1[[#This Row],[EDAD]]&lt;=35,"Adultos jóvenes 18 - 35 años",IF(C1114&gt;=36,"Adultos mayores 36 años en adelante"))</f>
        <v>Adultos jóvenes 18 - 35 años</v>
      </c>
      <c r="E1114" s="3" t="s">
        <v>5019</v>
      </c>
      <c r="F1114" s="3" t="s">
        <v>5027</v>
      </c>
      <c r="G1114" s="3" t="s">
        <v>5034</v>
      </c>
      <c r="H1114" s="3" t="s">
        <v>9717</v>
      </c>
      <c r="I1114" s="17">
        <v>45832</v>
      </c>
      <c r="J1114" s="18">
        <f>YEAR(Tabla1[[#This Row],[FECHA DE COMPRA]])</f>
        <v>2025</v>
      </c>
      <c r="K1114" s="19">
        <v>35.799999999999997</v>
      </c>
      <c r="L1114" s="20">
        <v>0</v>
      </c>
      <c r="M1114" s="19">
        <f>Tienda!$K4120-Tienda!$K4120*Tienda!$L4120</f>
        <v>38.829000000000001</v>
      </c>
      <c r="N1114" s="3" t="s">
        <v>10040</v>
      </c>
      <c r="O1114" s="3" t="s">
        <v>10042</v>
      </c>
      <c r="P1114" s="17">
        <v>46012</v>
      </c>
      <c r="Q1114" s="4">
        <v>6</v>
      </c>
    </row>
    <row r="1115" spans="1:17" x14ac:dyDescent="0.25">
      <c r="A1115" s="2" t="s">
        <v>1215</v>
      </c>
      <c r="B1115" s="3" t="s">
        <v>5016</v>
      </c>
      <c r="C1115" s="3">
        <v>21</v>
      </c>
      <c r="D1115" s="46" t="str">
        <f>IF(Tabla1[[#This Row],[EDAD]]&lt;=35,"Adultos jóvenes 18 - 35 años",IF(C1115&gt;=36,"Adultos mayores 36 años en adelante"))</f>
        <v>Adultos jóvenes 18 - 35 años</v>
      </c>
      <c r="E1115" s="3" t="s">
        <v>5019</v>
      </c>
      <c r="F1115" s="3" t="s">
        <v>5025</v>
      </c>
      <c r="G1115" s="3" t="s">
        <v>5034</v>
      </c>
      <c r="H1115" s="3" t="s">
        <v>6238</v>
      </c>
      <c r="I1115" s="17">
        <v>45821</v>
      </c>
      <c r="J1115" s="18">
        <f>YEAR(Tabla1[[#This Row],[FECHA DE COMPRA]])</f>
        <v>2025</v>
      </c>
      <c r="K1115" s="19">
        <v>50.95</v>
      </c>
      <c r="L1115" s="20">
        <v>0.3</v>
      </c>
      <c r="M1115" s="19">
        <f>Tienda!$K4122-Tienda!$K4122*Tienda!$L4122</f>
        <v>39.159999999999997</v>
      </c>
      <c r="N1115" s="3" t="s">
        <v>10040</v>
      </c>
      <c r="O1115" s="3" t="s">
        <v>10042</v>
      </c>
      <c r="P1115" s="17">
        <v>46001</v>
      </c>
      <c r="Q1115" s="4">
        <v>6</v>
      </c>
    </row>
    <row r="1116" spans="1:17" x14ac:dyDescent="0.25">
      <c r="A1116" s="2" t="s">
        <v>703</v>
      </c>
      <c r="B1116" s="3" t="s">
        <v>5015</v>
      </c>
      <c r="C1116" s="3">
        <v>31</v>
      </c>
      <c r="D1116" s="46" t="str">
        <f>IF(Tabla1[[#This Row],[EDAD]]&lt;=35,"Adultos jóvenes 18 - 35 años",IF(C1116&gt;=36,"Adultos mayores 36 años en adelante"))</f>
        <v>Adultos jóvenes 18 - 35 años</v>
      </c>
      <c r="E1116" s="3" t="s">
        <v>5020</v>
      </c>
      <c r="F1116" s="3" t="s">
        <v>5029</v>
      </c>
      <c r="G1116" s="3" t="s">
        <v>5031</v>
      </c>
      <c r="H1116" s="3" t="s">
        <v>5726</v>
      </c>
      <c r="I1116" s="17">
        <v>45826</v>
      </c>
      <c r="J1116" s="18">
        <f>YEAR(Tabla1[[#This Row],[FECHA DE COMPRA]])</f>
        <v>2025</v>
      </c>
      <c r="K1116" s="19">
        <v>57.95</v>
      </c>
      <c r="L1116" s="20">
        <v>0</v>
      </c>
      <c r="M1116" s="19">
        <f>Tienda!$K4123-Tienda!$K4123*Tienda!$L4123</f>
        <v>39.664000000000001</v>
      </c>
      <c r="N1116" s="3" t="s">
        <v>10040</v>
      </c>
      <c r="O1116" s="3" t="s">
        <v>10042</v>
      </c>
      <c r="P1116" s="17">
        <v>46006</v>
      </c>
      <c r="Q1116" s="4">
        <v>6</v>
      </c>
    </row>
    <row r="1117" spans="1:17" x14ac:dyDescent="0.25">
      <c r="A1117" s="2" t="s">
        <v>2950</v>
      </c>
      <c r="B1117" s="3" t="s">
        <v>5016</v>
      </c>
      <c r="C1117" s="3">
        <v>20</v>
      </c>
      <c r="D1117" s="46" t="str">
        <f>IF(Tabla1[[#This Row],[EDAD]]&lt;=35,"Adultos jóvenes 18 - 35 años",IF(C1117&gt;=36,"Adultos mayores 36 años en adelante"))</f>
        <v>Adultos jóvenes 18 - 35 años</v>
      </c>
      <c r="E1117" s="3" t="s">
        <v>5017</v>
      </c>
      <c r="F1117" s="3" t="s">
        <v>5026</v>
      </c>
      <c r="G1117" s="3" t="s">
        <v>5031</v>
      </c>
      <c r="H1117" s="3" t="s">
        <v>7973</v>
      </c>
      <c r="I1117" s="17">
        <v>45848</v>
      </c>
      <c r="J1117" s="18">
        <f>YEAR(Tabla1[[#This Row],[FECHA DE COMPRA]])</f>
        <v>2025</v>
      </c>
      <c r="K1117" s="19">
        <v>11.84</v>
      </c>
      <c r="L1117" s="20">
        <v>0.1</v>
      </c>
      <c r="M1117" s="19">
        <f>Tienda!$K4128-Tienda!$K4128*Tienda!$L4128</f>
        <v>40.591999999999999</v>
      </c>
      <c r="N1117" s="3" t="s">
        <v>10040</v>
      </c>
      <c r="O1117" s="3" t="s">
        <v>10042</v>
      </c>
      <c r="P1117" s="17">
        <v>46028</v>
      </c>
      <c r="Q1117" s="4">
        <v>6</v>
      </c>
    </row>
    <row r="1118" spans="1:17" x14ac:dyDescent="0.25">
      <c r="A1118" s="2" t="s">
        <v>690</v>
      </c>
      <c r="B1118" s="3" t="s">
        <v>5015</v>
      </c>
      <c r="C1118" s="3">
        <v>29</v>
      </c>
      <c r="D1118" s="46" t="str">
        <f>IF(Tabla1[[#This Row],[EDAD]]&lt;=35,"Adultos jóvenes 18 - 35 años",IF(C1118&gt;=36,"Adultos mayores 36 años en adelante"))</f>
        <v>Adultos jóvenes 18 - 35 años</v>
      </c>
      <c r="E1118" s="3" t="s">
        <v>5018</v>
      </c>
      <c r="F1118" s="3" t="s">
        <v>5027</v>
      </c>
      <c r="G1118" s="3" t="s">
        <v>5032</v>
      </c>
      <c r="H1118" s="3" t="s">
        <v>5713</v>
      </c>
      <c r="I1118" s="17">
        <v>45844</v>
      </c>
      <c r="J1118" s="18">
        <f>YEAR(Tabla1[[#This Row],[FECHA DE COMPRA]])</f>
        <v>2025</v>
      </c>
      <c r="K1118" s="19">
        <v>55.18</v>
      </c>
      <c r="L1118" s="20">
        <v>0.3</v>
      </c>
      <c r="M1118" s="19">
        <f>Tienda!$K4130-Tienda!$K4130*Tienda!$L4130</f>
        <v>41.927999999999997</v>
      </c>
      <c r="N1118" s="3" t="s">
        <v>10040</v>
      </c>
      <c r="O1118" s="3" t="s">
        <v>10042</v>
      </c>
      <c r="P1118" s="17">
        <v>46024</v>
      </c>
      <c r="Q1118" s="4">
        <v>6</v>
      </c>
    </row>
    <row r="1119" spans="1:17" x14ac:dyDescent="0.25">
      <c r="A1119" s="2" t="s">
        <v>1993</v>
      </c>
      <c r="B1119" s="3" t="s">
        <v>5016</v>
      </c>
      <c r="C1119" s="3">
        <v>30</v>
      </c>
      <c r="D1119" s="46" t="str">
        <f>IF(Tabla1[[#This Row],[EDAD]]&lt;=35,"Adultos jóvenes 18 - 35 años",IF(C1119&gt;=36,"Adultos mayores 36 años en adelante"))</f>
        <v>Adultos jóvenes 18 - 35 años</v>
      </c>
      <c r="E1119" s="3" t="s">
        <v>5017</v>
      </c>
      <c r="F1119" s="3" t="s">
        <v>5025</v>
      </c>
      <c r="G1119" s="3" t="s">
        <v>5037</v>
      </c>
      <c r="H1119" s="3" t="s">
        <v>7016</v>
      </c>
      <c r="I1119" s="17">
        <v>45868</v>
      </c>
      <c r="J1119" s="18">
        <f>YEAR(Tabla1[[#This Row],[FECHA DE COMPRA]])</f>
        <v>2025</v>
      </c>
      <c r="K1119" s="19">
        <v>70.2</v>
      </c>
      <c r="L1119" s="20">
        <v>0</v>
      </c>
      <c r="M1119" s="19">
        <f>Tienda!$K4131-Tienda!$K4131*Tienda!$L4131</f>
        <v>42.28</v>
      </c>
      <c r="N1119" s="3" t="s">
        <v>10040</v>
      </c>
      <c r="O1119" s="3" t="s">
        <v>10042</v>
      </c>
      <c r="P1119" s="17">
        <v>46048</v>
      </c>
      <c r="Q1119" s="4">
        <v>6</v>
      </c>
    </row>
    <row r="1120" spans="1:17" x14ac:dyDescent="0.25">
      <c r="A1120" s="2" t="s">
        <v>1158</v>
      </c>
      <c r="B1120" s="3" t="s">
        <v>5016</v>
      </c>
      <c r="C1120" s="3">
        <v>31</v>
      </c>
      <c r="D1120" s="46" t="str">
        <f>IF(Tabla1[[#This Row],[EDAD]]&lt;=35,"Adultos jóvenes 18 - 35 años",IF(C1120&gt;=36,"Adultos mayores 36 años en adelante"))</f>
        <v>Adultos jóvenes 18 - 35 años</v>
      </c>
      <c r="E1120" s="3" t="s">
        <v>5023</v>
      </c>
      <c r="F1120" s="3" t="s">
        <v>5030</v>
      </c>
      <c r="G1120" s="3" t="s">
        <v>5033</v>
      </c>
      <c r="H1120" s="3" t="s">
        <v>6181</v>
      </c>
      <c r="I1120" s="17">
        <v>45867</v>
      </c>
      <c r="J1120" s="18">
        <f>YEAR(Tabla1[[#This Row],[FECHA DE COMPRA]])</f>
        <v>2025</v>
      </c>
      <c r="K1120" s="19">
        <v>129.68</v>
      </c>
      <c r="L1120" s="20">
        <v>0.2</v>
      </c>
      <c r="M1120" s="19">
        <f>Tienda!$K4135-Tienda!$K4135*Tienda!$L4135</f>
        <v>43.478999999999999</v>
      </c>
      <c r="N1120" s="3" t="s">
        <v>10040</v>
      </c>
      <c r="O1120" s="3" t="s">
        <v>10042</v>
      </c>
      <c r="P1120" s="17">
        <v>46047</v>
      </c>
      <c r="Q1120" s="4">
        <v>6</v>
      </c>
    </row>
    <row r="1121" spans="1:17" x14ac:dyDescent="0.25">
      <c r="A1121" s="2" t="s">
        <v>3032</v>
      </c>
      <c r="B1121" s="3" t="s">
        <v>5015</v>
      </c>
      <c r="C1121" s="3">
        <v>24</v>
      </c>
      <c r="D1121" s="46" t="str">
        <f>IF(Tabla1[[#This Row],[EDAD]]&lt;=35,"Adultos jóvenes 18 - 35 años",IF(C1121&gt;=36,"Adultos mayores 36 años en adelante"))</f>
        <v>Adultos jóvenes 18 - 35 años</v>
      </c>
      <c r="E1121" s="3" t="s">
        <v>5023</v>
      </c>
      <c r="F1121" s="3" t="s">
        <v>5027</v>
      </c>
      <c r="G1121" s="3" t="s">
        <v>5032</v>
      </c>
      <c r="H1121" s="3" t="s">
        <v>8055</v>
      </c>
      <c r="I1121" s="17">
        <v>45860</v>
      </c>
      <c r="J1121" s="18">
        <f>YEAR(Tabla1[[#This Row],[FECHA DE COMPRA]])</f>
        <v>2025</v>
      </c>
      <c r="K1121" s="19">
        <v>151.72999999999999</v>
      </c>
      <c r="L1121" s="20">
        <v>0</v>
      </c>
      <c r="M1121" s="19">
        <f>Tienda!$K4136-Tienda!$K4136*Tienda!$L4136</f>
        <v>43.861999999999995</v>
      </c>
      <c r="N1121" s="3" t="s">
        <v>10040</v>
      </c>
      <c r="O1121" s="3" t="s">
        <v>10042</v>
      </c>
      <c r="P1121" s="17">
        <v>46040</v>
      </c>
      <c r="Q1121" s="4">
        <v>6</v>
      </c>
    </row>
    <row r="1122" spans="1:17" x14ac:dyDescent="0.25">
      <c r="A1122" s="2" t="s">
        <v>1347</v>
      </c>
      <c r="B1122" s="3" t="s">
        <v>5015</v>
      </c>
      <c r="C1122" s="3">
        <v>18</v>
      </c>
      <c r="D1122" s="46" t="str">
        <f>IF(Tabla1[[#This Row],[EDAD]]&lt;=35,"Adultos jóvenes 18 - 35 años",IF(C1122&gt;=36,"Adultos mayores 36 años en adelante"))</f>
        <v>Adultos jóvenes 18 - 35 años</v>
      </c>
      <c r="E1122" s="3" t="s">
        <v>5023</v>
      </c>
      <c r="F1122" s="3" t="s">
        <v>5030</v>
      </c>
      <c r="G1122" s="3" t="s">
        <v>5034</v>
      </c>
      <c r="H1122" s="3" t="s">
        <v>6370</v>
      </c>
      <c r="I1122" s="17">
        <v>45850</v>
      </c>
      <c r="J1122" s="18">
        <f>YEAR(Tabla1[[#This Row],[FECHA DE COMPRA]])</f>
        <v>2025</v>
      </c>
      <c r="K1122" s="19">
        <v>170.34</v>
      </c>
      <c r="L1122" s="20">
        <v>0.1</v>
      </c>
      <c r="M1122" s="19">
        <f>Tienda!$K4137-Tienda!$K4137*Tienda!$L4137</f>
        <v>44.064</v>
      </c>
      <c r="N1122" s="3" t="s">
        <v>10040</v>
      </c>
      <c r="O1122" s="3" t="s">
        <v>10042</v>
      </c>
      <c r="P1122" s="17">
        <v>46030</v>
      </c>
      <c r="Q1122" s="4">
        <v>6</v>
      </c>
    </row>
    <row r="1123" spans="1:17" x14ac:dyDescent="0.25">
      <c r="A1123" s="2" t="s">
        <v>926</v>
      </c>
      <c r="B1123" s="3" t="s">
        <v>5016</v>
      </c>
      <c r="C1123" s="3">
        <v>21</v>
      </c>
      <c r="D1123" s="46" t="str">
        <f>IF(Tabla1[[#This Row],[EDAD]]&lt;=35,"Adultos jóvenes 18 - 35 años",IF(C1123&gt;=36,"Adultos mayores 36 años en adelante"))</f>
        <v>Adultos jóvenes 18 - 35 años</v>
      </c>
      <c r="E1123" s="3" t="s">
        <v>5019</v>
      </c>
      <c r="F1123" s="3" t="s">
        <v>5029</v>
      </c>
      <c r="G1123" s="3" t="s">
        <v>5032</v>
      </c>
      <c r="H1123" s="3" t="s">
        <v>5949</v>
      </c>
      <c r="I1123" s="17">
        <v>45850</v>
      </c>
      <c r="J1123" s="18">
        <f>YEAR(Tabla1[[#This Row],[FECHA DE COMPRA]])</f>
        <v>2025</v>
      </c>
      <c r="K1123" s="19">
        <v>173.05</v>
      </c>
      <c r="L1123" s="20">
        <v>0.3</v>
      </c>
      <c r="M1123" s="19">
        <f>Tienda!$K4138-Tienda!$K4138*Tienda!$L4138</f>
        <v>44.114000000000004</v>
      </c>
      <c r="N1123" s="3" t="s">
        <v>10040</v>
      </c>
      <c r="O1123" s="3" t="s">
        <v>10042</v>
      </c>
      <c r="P1123" s="17">
        <v>46030</v>
      </c>
      <c r="Q1123" s="4">
        <v>6</v>
      </c>
    </row>
    <row r="1124" spans="1:17" x14ac:dyDescent="0.25">
      <c r="A1124" s="2" t="s">
        <v>2198</v>
      </c>
      <c r="B1124" s="3" t="s">
        <v>5015</v>
      </c>
      <c r="C1124" s="3">
        <v>23</v>
      </c>
      <c r="D1124" s="46" t="str">
        <f>IF(Tabla1[[#This Row],[EDAD]]&lt;=35,"Adultos jóvenes 18 - 35 años",IF(C1124&gt;=36,"Adultos mayores 36 años en adelante"))</f>
        <v>Adultos jóvenes 18 - 35 años</v>
      </c>
      <c r="E1124" s="3" t="s">
        <v>5020</v>
      </c>
      <c r="F1124" s="3" t="s">
        <v>5030</v>
      </c>
      <c r="G1124" s="3" t="s">
        <v>5032</v>
      </c>
      <c r="H1124" s="3" t="s">
        <v>7221</v>
      </c>
      <c r="I1124" s="17">
        <v>45883</v>
      </c>
      <c r="J1124" s="18">
        <f>YEAR(Tabla1[[#This Row],[FECHA DE COMPRA]])</f>
        <v>2025</v>
      </c>
      <c r="K1124" s="19">
        <v>13.88</v>
      </c>
      <c r="L1124" s="20">
        <v>0.2</v>
      </c>
      <c r="M1124" s="19">
        <f>Tienda!$K4141-Tienda!$K4141*Tienda!$L4141</f>
        <v>44.416000000000004</v>
      </c>
      <c r="N1124" s="3" t="s">
        <v>10040</v>
      </c>
      <c r="O1124" s="3" t="s">
        <v>10042</v>
      </c>
      <c r="P1124" s="17">
        <v>46063</v>
      </c>
      <c r="Q1124" s="4">
        <v>6</v>
      </c>
    </row>
    <row r="1125" spans="1:17" x14ac:dyDescent="0.25">
      <c r="A1125" s="2" t="s">
        <v>4113</v>
      </c>
      <c r="B1125" s="3" t="s">
        <v>5015</v>
      </c>
      <c r="C1125" s="3">
        <v>23</v>
      </c>
      <c r="D1125" s="46" t="str">
        <f>IF(Tabla1[[#This Row],[EDAD]]&lt;=35,"Adultos jóvenes 18 - 35 años",IF(C1125&gt;=36,"Adultos mayores 36 años en adelante"))</f>
        <v>Adultos jóvenes 18 - 35 años</v>
      </c>
      <c r="E1125" s="3" t="s">
        <v>5022</v>
      </c>
      <c r="F1125" s="3" t="s">
        <v>5030</v>
      </c>
      <c r="G1125" s="3" t="s">
        <v>5036</v>
      </c>
      <c r="H1125" s="3" t="s">
        <v>9136</v>
      </c>
      <c r="I1125" s="17">
        <v>45877</v>
      </c>
      <c r="J1125" s="18">
        <f>YEAR(Tabla1[[#This Row],[FECHA DE COMPRA]])</f>
        <v>2025</v>
      </c>
      <c r="K1125" s="19">
        <v>72.790000000000006</v>
      </c>
      <c r="L1125" s="20">
        <v>0</v>
      </c>
      <c r="M1125" s="19">
        <f>Tienda!$K4142-Tienda!$K4142*Tienda!$L4142</f>
        <v>44.62</v>
      </c>
      <c r="N1125" s="3" t="s">
        <v>10040</v>
      </c>
      <c r="O1125" s="3" t="s">
        <v>10042</v>
      </c>
      <c r="P1125" s="17">
        <v>46057</v>
      </c>
      <c r="Q1125" s="4">
        <v>6</v>
      </c>
    </row>
    <row r="1126" spans="1:17" x14ac:dyDescent="0.25">
      <c r="A1126" s="2" t="s">
        <v>777</v>
      </c>
      <c r="B1126" s="3" t="s">
        <v>5015</v>
      </c>
      <c r="C1126" s="3">
        <v>28</v>
      </c>
      <c r="D1126" s="46" t="str">
        <f>IF(Tabla1[[#This Row],[EDAD]]&lt;=35,"Adultos jóvenes 18 - 35 años",IF(C1126&gt;=36,"Adultos mayores 36 años en adelante"))</f>
        <v>Adultos jóvenes 18 - 35 años</v>
      </c>
      <c r="E1126" s="3" t="s">
        <v>5021</v>
      </c>
      <c r="F1126" s="3" t="s">
        <v>5027</v>
      </c>
      <c r="G1126" s="3" t="s">
        <v>5037</v>
      </c>
      <c r="H1126" s="3" t="s">
        <v>5800</v>
      </c>
      <c r="I1126" s="17">
        <v>45873</v>
      </c>
      <c r="J1126" s="18">
        <f>YEAR(Tabla1[[#This Row],[FECHA DE COMPRA]])</f>
        <v>2025</v>
      </c>
      <c r="K1126" s="19">
        <v>148.79</v>
      </c>
      <c r="L1126" s="20">
        <v>0.1</v>
      </c>
      <c r="M1126" s="19">
        <f>Tienda!$K4144-Tienda!$K4144*Tienda!$L4144</f>
        <v>45.394999999999996</v>
      </c>
      <c r="N1126" s="3" t="s">
        <v>10040</v>
      </c>
      <c r="O1126" s="3" t="s">
        <v>10042</v>
      </c>
      <c r="P1126" s="17">
        <v>46053</v>
      </c>
      <c r="Q1126" s="4">
        <v>6</v>
      </c>
    </row>
    <row r="1127" spans="1:17" x14ac:dyDescent="0.25">
      <c r="A1127" s="2" t="s">
        <v>4891</v>
      </c>
      <c r="B1127" s="3" t="s">
        <v>5015</v>
      </c>
      <c r="C1127" s="3">
        <v>32</v>
      </c>
      <c r="D1127" s="46" t="str">
        <f>IF(Tabla1[[#This Row],[EDAD]]&lt;=35,"Adultos jóvenes 18 - 35 años",IF(C1127&gt;=36,"Adultos mayores 36 años en adelante"))</f>
        <v>Adultos jóvenes 18 - 35 años</v>
      </c>
      <c r="E1127" s="3" t="s">
        <v>5020</v>
      </c>
      <c r="F1127" s="3" t="s">
        <v>5025</v>
      </c>
      <c r="G1127" s="3" t="s">
        <v>5035</v>
      </c>
      <c r="H1127" s="3" t="s">
        <v>9914</v>
      </c>
      <c r="I1127" s="17">
        <v>45883</v>
      </c>
      <c r="J1127" s="18">
        <f>YEAR(Tabla1[[#This Row],[FECHA DE COMPRA]])</f>
        <v>2025</v>
      </c>
      <c r="K1127" s="19">
        <v>179.08</v>
      </c>
      <c r="L1127" s="20">
        <v>0.1</v>
      </c>
      <c r="M1127" s="19">
        <f>Tienda!$K4145-Tienda!$K4145*Tienda!$L4145</f>
        <v>45.507000000000005</v>
      </c>
      <c r="N1127" s="3" t="s">
        <v>10040</v>
      </c>
      <c r="O1127" s="3" t="s">
        <v>10042</v>
      </c>
      <c r="P1127" s="17">
        <v>46063</v>
      </c>
      <c r="Q1127" s="4">
        <v>6</v>
      </c>
    </row>
    <row r="1128" spans="1:17" x14ac:dyDescent="0.25">
      <c r="A1128" s="2" t="s">
        <v>2716</v>
      </c>
      <c r="B1128" s="3" t="s">
        <v>5015</v>
      </c>
      <c r="C1128" s="3">
        <v>22</v>
      </c>
      <c r="D1128" s="46" t="str">
        <f>IF(Tabla1[[#This Row],[EDAD]]&lt;=35,"Adultos jóvenes 18 - 35 años",IF(C1128&gt;=36,"Adultos mayores 36 años en adelante"))</f>
        <v>Adultos jóvenes 18 - 35 años</v>
      </c>
      <c r="E1128" s="3" t="s">
        <v>5020</v>
      </c>
      <c r="F1128" s="3" t="s">
        <v>5029</v>
      </c>
      <c r="G1128" s="3" t="s">
        <v>5031</v>
      </c>
      <c r="H1128" s="3" t="s">
        <v>7739</v>
      </c>
      <c r="I1128" s="17">
        <v>45843</v>
      </c>
      <c r="J1128" s="18">
        <f>YEAR(Tabla1[[#This Row],[FECHA DE COMPRA]])</f>
        <v>2025</v>
      </c>
      <c r="K1128" s="19">
        <v>64.66</v>
      </c>
      <c r="L1128" s="20">
        <v>0.3</v>
      </c>
      <c r="M1128" s="19">
        <f>Tienda!$K4147-Tienda!$K4147*Tienda!$L4147</f>
        <v>45.793999999999997</v>
      </c>
      <c r="N1128" s="3" t="s">
        <v>10040</v>
      </c>
      <c r="O1128" s="3" t="s">
        <v>10042</v>
      </c>
      <c r="P1128" s="17">
        <v>46023</v>
      </c>
      <c r="Q1128" s="4">
        <v>6</v>
      </c>
    </row>
    <row r="1129" spans="1:17" x14ac:dyDescent="0.25">
      <c r="A1129" s="2" t="s">
        <v>4699</v>
      </c>
      <c r="B1129" s="3" t="s">
        <v>5015</v>
      </c>
      <c r="C1129" s="3">
        <v>29</v>
      </c>
      <c r="D1129" s="46" t="str">
        <f>IF(Tabla1[[#This Row],[EDAD]]&lt;=35,"Adultos jóvenes 18 - 35 años",IF(C1129&gt;=36,"Adultos mayores 36 años en adelante"))</f>
        <v>Adultos jóvenes 18 - 35 años</v>
      </c>
      <c r="E1129" s="3" t="s">
        <v>5021</v>
      </c>
      <c r="F1129" s="3" t="s">
        <v>5027</v>
      </c>
      <c r="G1129" s="3" t="s">
        <v>5037</v>
      </c>
      <c r="H1129" s="3" t="s">
        <v>9722</v>
      </c>
      <c r="I1129" s="17">
        <v>45858</v>
      </c>
      <c r="J1129" s="18">
        <f>YEAR(Tabla1[[#This Row],[FECHA DE COMPRA]])</f>
        <v>2025</v>
      </c>
      <c r="K1129" s="19">
        <v>71.58</v>
      </c>
      <c r="L1129" s="20">
        <v>0.1</v>
      </c>
      <c r="M1129" s="19">
        <f>Tienda!$K4148-Tienda!$K4148*Tienda!$L4148</f>
        <v>46.22</v>
      </c>
      <c r="N1129" s="3" t="s">
        <v>10040</v>
      </c>
      <c r="O1129" s="3" t="s">
        <v>10042</v>
      </c>
      <c r="P1129" s="17">
        <v>46038</v>
      </c>
      <c r="Q1129" s="4">
        <v>6</v>
      </c>
    </row>
    <row r="1130" spans="1:17" x14ac:dyDescent="0.25">
      <c r="A1130" s="2" t="s">
        <v>614</v>
      </c>
      <c r="B1130" s="3" t="s">
        <v>5016</v>
      </c>
      <c r="C1130" s="3">
        <v>21</v>
      </c>
      <c r="D1130" s="46" t="str">
        <f>IF(Tabla1[[#This Row],[EDAD]]&lt;=35,"Adultos jóvenes 18 - 35 años",IF(C1130&gt;=36,"Adultos mayores 36 años en adelante"))</f>
        <v>Adultos jóvenes 18 - 35 años</v>
      </c>
      <c r="E1130" s="3" t="s">
        <v>5019</v>
      </c>
      <c r="F1130" s="3" t="s">
        <v>5026</v>
      </c>
      <c r="G1130" s="3" t="s">
        <v>5037</v>
      </c>
      <c r="H1130" s="3" t="s">
        <v>5637</v>
      </c>
      <c r="I1130" s="17">
        <v>45862</v>
      </c>
      <c r="J1130" s="18">
        <f>YEAR(Tabla1[[#This Row],[FECHA DE COMPRA]])</f>
        <v>2025</v>
      </c>
      <c r="K1130" s="19">
        <v>79.72</v>
      </c>
      <c r="L1130" s="20">
        <v>0.2</v>
      </c>
      <c r="M1130" s="19">
        <f>Tienda!$K4149-Tienda!$K4149*Tienda!$L4149</f>
        <v>46.664999999999999</v>
      </c>
      <c r="N1130" s="3" t="s">
        <v>10040</v>
      </c>
      <c r="O1130" s="3" t="s">
        <v>10042</v>
      </c>
      <c r="P1130" s="17">
        <v>46042</v>
      </c>
      <c r="Q1130" s="4">
        <v>6</v>
      </c>
    </row>
    <row r="1131" spans="1:17" x14ac:dyDescent="0.25">
      <c r="A1131" s="2" t="s">
        <v>4546</v>
      </c>
      <c r="B1131" s="3" t="s">
        <v>5015</v>
      </c>
      <c r="C1131" s="3">
        <v>22</v>
      </c>
      <c r="D1131" s="46" t="str">
        <f>IF(Tabla1[[#This Row],[EDAD]]&lt;=35,"Adultos jóvenes 18 - 35 años",IF(C1131&gt;=36,"Adultos mayores 36 años en adelante"))</f>
        <v>Adultos jóvenes 18 - 35 años</v>
      </c>
      <c r="E1131" s="3" t="s">
        <v>5021</v>
      </c>
      <c r="F1131" s="3" t="s">
        <v>5027</v>
      </c>
      <c r="G1131" s="3" t="s">
        <v>5034</v>
      </c>
      <c r="H1131" s="3" t="s">
        <v>9569</v>
      </c>
      <c r="I1131" s="17">
        <v>45848</v>
      </c>
      <c r="J1131" s="18">
        <f>YEAR(Tabla1[[#This Row],[FECHA DE COMPRA]])</f>
        <v>2025</v>
      </c>
      <c r="K1131" s="19">
        <v>116.37</v>
      </c>
      <c r="L1131" s="20">
        <v>0.3</v>
      </c>
      <c r="M1131" s="19">
        <f>Tienda!$K4150-Tienda!$K4150*Tienda!$L4150</f>
        <v>47.02</v>
      </c>
      <c r="N1131" s="3" t="s">
        <v>10040</v>
      </c>
      <c r="O1131" s="3" t="s">
        <v>10042</v>
      </c>
      <c r="P1131" s="17">
        <v>46028</v>
      </c>
      <c r="Q1131" s="4">
        <v>6</v>
      </c>
    </row>
    <row r="1132" spans="1:17" x14ac:dyDescent="0.25">
      <c r="A1132" s="2" t="s">
        <v>3879</v>
      </c>
      <c r="B1132" s="3" t="s">
        <v>5016</v>
      </c>
      <c r="C1132" s="3">
        <v>19</v>
      </c>
      <c r="D1132" s="46" t="str">
        <f>IF(Tabla1[[#This Row],[EDAD]]&lt;=35,"Adultos jóvenes 18 - 35 años",IF(C1132&gt;=36,"Adultos mayores 36 años en adelante"))</f>
        <v>Adultos jóvenes 18 - 35 años</v>
      </c>
      <c r="E1132" s="3" t="s">
        <v>5019</v>
      </c>
      <c r="F1132" s="3" t="s">
        <v>5027</v>
      </c>
      <c r="G1132" s="3" t="s">
        <v>5034</v>
      </c>
      <c r="H1132" s="3" t="s">
        <v>8902</v>
      </c>
      <c r="I1132" s="17">
        <v>45854</v>
      </c>
      <c r="J1132" s="18">
        <f>YEAR(Tabla1[[#This Row],[FECHA DE COMPRA]])</f>
        <v>2025</v>
      </c>
      <c r="K1132" s="19">
        <v>150.62</v>
      </c>
      <c r="L1132" s="20">
        <v>0.3</v>
      </c>
      <c r="M1132" s="19">
        <f>Tienda!$K4153-Tienda!$K4153*Tienda!$L4153</f>
        <v>50.13</v>
      </c>
      <c r="N1132" s="3" t="s">
        <v>10040</v>
      </c>
      <c r="O1132" s="3" t="s">
        <v>10042</v>
      </c>
      <c r="P1132" s="17">
        <v>46034</v>
      </c>
      <c r="Q1132" s="4">
        <v>6</v>
      </c>
    </row>
    <row r="1133" spans="1:17" x14ac:dyDescent="0.25">
      <c r="A1133" s="2" t="s">
        <v>867</v>
      </c>
      <c r="B1133" s="3" t="s">
        <v>5015</v>
      </c>
      <c r="C1133" s="3">
        <v>30</v>
      </c>
      <c r="D1133" s="46" t="str">
        <f>IF(Tabla1[[#This Row],[EDAD]]&lt;=35,"Adultos jóvenes 18 - 35 años",IF(C1133&gt;=36,"Adultos mayores 36 años en adelante"))</f>
        <v>Adultos jóvenes 18 - 35 años</v>
      </c>
      <c r="E1133" s="3" t="s">
        <v>5023</v>
      </c>
      <c r="F1133" s="3" t="s">
        <v>5025</v>
      </c>
      <c r="G1133" s="3" t="s">
        <v>5034</v>
      </c>
      <c r="H1133" s="3" t="s">
        <v>5890</v>
      </c>
      <c r="I1133" s="17">
        <v>45701</v>
      </c>
      <c r="J1133" s="18">
        <f>YEAR(Tabla1[[#This Row],[FECHA DE COMPRA]])</f>
        <v>2025</v>
      </c>
      <c r="K1133" s="19">
        <v>82.5</v>
      </c>
      <c r="L1133" s="20">
        <v>0</v>
      </c>
      <c r="M1133" s="19">
        <f>Tienda!$K4160-Tienda!$K4160*Tienda!$L4160</f>
        <v>51.884</v>
      </c>
      <c r="N1133" s="3" t="s">
        <v>10040</v>
      </c>
      <c r="O1133" s="3" t="s">
        <v>10042</v>
      </c>
      <c r="P1133" s="17">
        <v>45955</v>
      </c>
      <c r="Q1133" s="4">
        <v>9</v>
      </c>
    </row>
    <row r="1134" spans="1:17" x14ac:dyDescent="0.25">
      <c r="A1134" s="2" t="s">
        <v>1224</v>
      </c>
      <c r="B1134" s="3" t="s">
        <v>5015</v>
      </c>
      <c r="C1134" s="3">
        <v>33</v>
      </c>
      <c r="D1134" s="46" t="str">
        <f>IF(Tabla1[[#This Row],[EDAD]]&lt;=35,"Adultos jóvenes 18 - 35 años",IF(C1134&gt;=36,"Adultos mayores 36 años en adelante"))</f>
        <v>Adultos jóvenes 18 - 35 años</v>
      </c>
      <c r="E1134" s="3" t="s">
        <v>5022</v>
      </c>
      <c r="F1134" s="3" t="s">
        <v>5030</v>
      </c>
      <c r="G1134" s="3" t="s">
        <v>5033</v>
      </c>
      <c r="H1134" s="3" t="s">
        <v>6247</v>
      </c>
      <c r="I1134" s="17">
        <v>45701</v>
      </c>
      <c r="J1134" s="18">
        <f>YEAR(Tabla1[[#This Row],[FECHA DE COMPRA]])</f>
        <v>2025</v>
      </c>
      <c r="K1134" s="19">
        <v>87.07</v>
      </c>
      <c r="L1134" s="20">
        <v>0.3</v>
      </c>
      <c r="M1134" s="19">
        <f>Tienda!$K4161-Tienda!$K4161*Tienda!$L4161</f>
        <v>52.208999999999996</v>
      </c>
      <c r="N1134" s="3" t="s">
        <v>10040</v>
      </c>
      <c r="O1134" s="3" t="s">
        <v>10042</v>
      </c>
      <c r="P1134" s="17">
        <v>45956</v>
      </c>
      <c r="Q1134" s="4">
        <v>9</v>
      </c>
    </row>
    <row r="1135" spans="1:17" x14ac:dyDescent="0.25">
      <c r="A1135" s="2" t="s">
        <v>1656</v>
      </c>
      <c r="B1135" s="3" t="s">
        <v>5015</v>
      </c>
      <c r="C1135" s="3">
        <v>24</v>
      </c>
      <c r="D1135" s="46" t="str">
        <f>IF(Tabla1[[#This Row],[EDAD]]&lt;=35,"Adultos jóvenes 18 - 35 años",IF(C1135&gt;=36,"Adultos mayores 36 años en adelante"))</f>
        <v>Adultos jóvenes 18 - 35 años</v>
      </c>
      <c r="E1135" s="3" t="s">
        <v>5023</v>
      </c>
      <c r="F1135" s="3" t="s">
        <v>5026</v>
      </c>
      <c r="G1135" s="3" t="s">
        <v>5037</v>
      </c>
      <c r="H1135" s="3" t="s">
        <v>6679</v>
      </c>
      <c r="I1135" s="17">
        <v>45688</v>
      </c>
      <c r="J1135" s="18">
        <f>YEAR(Tabla1[[#This Row],[FECHA DE COMPRA]])</f>
        <v>2025</v>
      </c>
      <c r="K1135" s="19">
        <v>148.96</v>
      </c>
      <c r="L1135" s="20">
        <v>0</v>
      </c>
      <c r="M1135" s="19">
        <f>Tienda!$K4163-Tienda!$K4163*Tienda!$L4163</f>
        <v>52.48</v>
      </c>
      <c r="N1135" s="3" t="s">
        <v>10040</v>
      </c>
      <c r="O1135" s="3" t="s">
        <v>10042</v>
      </c>
      <c r="P1135" s="17">
        <v>45958</v>
      </c>
      <c r="Q1135" s="4">
        <v>9</v>
      </c>
    </row>
    <row r="1136" spans="1:17" x14ac:dyDescent="0.25">
      <c r="A1136" s="2" t="s">
        <v>2683</v>
      </c>
      <c r="B1136" s="3" t="s">
        <v>5016</v>
      </c>
      <c r="C1136" s="3">
        <v>23</v>
      </c>
      <c r="D1136" s="46" t="str">
        <f>IF(Tabla1[[#This Row],[EDAD]]&lt;=35,"Adultos jóvenes 18 - 35 años",IF(C1136&gt;=36,"Adultos mayores 36 años en adelante"))</f>
        <v>Adultos jóvenes 18 - 35 años</v>
      </c>
      <c r="E1136" s="3" t="s">
        <v>5021</v>
      </c>
      <c r="F1136" s="3" t="s">
        <v>5028</v>
      </c>
      <c r="G1136" s="3" t="s">
        <v>5036</v>
      </c>
      <c r="H1136" s="3" t="s">
        <v>7706</v>
      </c>
      <c r="I1136" s="17">
        <v>45670</v>
      </c>
      <c r="J1136" s="18">
        <f>YEAR(Tabla1[[#This Row],[FECHA DE COMPRA]])</f>
        <v>2025</v>
      </c>
      <c r="K1136" s="19">
        <v>167.3</v>
      </c>
      <c r="L1136" s="20">
        <v>0.2</v>
      </c>
      <c r="M1136" s="19">
        <f>Tienda!$K4164-Tienda!$K4164*Tienda!$L4164</f>
        <v>53.073999999999998</v>
      </c>
      <c r="N1136" s="3" t="s">
        <v>10040</v>
      </c>
      <c r="O1136" s="3" t="s">
        <v>10042</v>
      </c>
      <c r="P1136" s="17">
        <v>45940</v>
      </c>
      <c r="Q1136" s="4">
        <v>9</v>
      </c>
    </row>
    <row r="1137" spans="1:17" x14ac:dyDescent="0.25">
      <c r="A1137" s="2" t="s">
        <v>3900</v>
      </c>
      <c r="B1137" s="3" t="s">
        <v>5016</v>
      </c>
      <c r="C1137" s="3">
        <v>22</v>
      </c>
      <c r="D1137" s="46" t="str">
        <f>IF(Tabla1[[#This Row],[EDAD]]&lt;=35,"Adultos jóvenes 18 - 35 años",IF(C1137&gt;=36,"Adultos mayores 36 años en adelante"))</f>
        <v>Adultos jóvenes 18 - 35 años</v>
      </c>
      <c r="E1137" s="3" t="s">
        <v>5019</v>
      </c>
      <c r="F1137" s="3" t="s">
        <v>5030</v>
      </c>
      <c r="G1137" s="3" t="s">
        <v>5034</v>
      </c>
      <c r="H1137" s="3" t="s">
        <v>8923</v>
      </c>
      <c r="I1137" s="17">
        <v>45689</v>
      </c>
      <c r="J1137" s="18">
        <f>YEAR(Tabla1[[#This Row],[FECHA DE COMPRA]])</f>
        <v>2025</v>
      </c>
      <c r="K1137" s="19">
        <v>102.25</v>
      </c>
      <c r="L1137" s="20">
        <v>0.2</v>
      </c>
      <c r="M1137" s="19">
        <f>Tienda!$K4166-Tienda!$K4166*Tienda!$L4166</f>
        <v>53.396999999999998</v>
      </c>
      <c r="N1137" s="3" t="s">
        <v>10040</v>
      </c>
      <c r="O1137" s="3" t="s">
        <v>10042</v>
      </c>
      <c r="P1137" s="17">
        <v>45959</v>
      </c>
      <c r="Q1137" s="4">
        <v>9</v>
      </c>
    </row>
    <row r="1138" spans="1:17" x14ac:dyDescent="0.25">
      <c r="A1138" s="2" t="s">
        <v>1939</v>
      </c>
      <c r="B1138" s="3" t="s">
        <v>5015</v>
      </c>
      <c r="C1138" s="3">
        <v>34</v>
      </c>
      <c r="D1138" s="46" t="str">
        <f>IF(Tabla1[[#This Row],[EDAD]]&lt;=35,"Adultos jóvenes 18 - 35 años",IF(C1138&gt;=36,"Adultos mayores 36 años en adelante"))</f>
        <v>Adultos jóvenes 18 - 35 años</v>
      </c>
      <c r="E1138" s="3" t="s">
        <v>5021</v>
      </c>
      <c r="F1138" s="3" t="s">
        <v>5025</v>
      </c>
      <c r="G1138" s="3" t="s">
        <v>5037</v>
      </c>
      <c r="H1138" s="3" t="s">
        <v>6962</v>
      </c>
      <c r="I1138" s="17">
        <v>45690</v>
      </c>
      <c r="J1138" s="18">
        <f>YEAR(Tabla1[[#This Row],[FECHA DE COMPRA]])</f>
        <v>2025</v>
      </c>
      <c r="K1138" s="19">
        <v>136.66</v>
      </c>
      <c r="L1138" s="20">
        <v>0.2</v>
      </c>
      <c r="M1138" s="19">
        <f>Tienda!$K4167-Tienda!$K4167*Tienda!$L4167</f>
        <v>53.7</v>
      </c>
      <c r="N1138" s="3" t="s">
        <v>10040</v>
      </c>
      <c r="O1138" s="3" t="s">
        <v>10042</v>
      </c>
      <c r="P1138" s="17">
        <v>45960</v>
      </c>
      <c r="Q1138" s="4">
        <v>9</v>
      </c>
    </row>
    <row r="1139" spans="1:17" x14ac:dyDescent="0.25">
      <c r="A1139" s="2" t="s">
        <v>815</v>
      </c>
      <c r="B1139" s="3" t="s">
        <v>5015</v>
      </c>
      <c r="C1139" s="3">
        <v>30</v>
      </c>
      <c r="D1139" s="46" t="str">
        <f>IF(Tabla1[[#This Row],[EDAD]]&lt;=35,"Adultos jóvenes 18 - 35 años",IF(C1139&gt;=36,"Adultos mayores 36 años en adelante"))</f>
        <v>Adultos jóvenes 18 - 35 años</v>
      </c>
      <c r="E1139" s="3" t="s">
        <v>5019</v>
      </c>
      <c r="F1139" s="3" t="s">
        <v>5028</v>
      </c>
      <c r="G1139" s="3" t="s">
        <v>5037</v>
      </c>
      <c r="H1139" s="3" t="s">
        <v>5838</v>
      </c>
      <c r="I1139" s="17">
        <v>45693</v>
      </c>
      <c r="J1139" s="18">
        <f>YEAR(Tabla1[[#This Row],[FECHA DE COMPRA]])</f>
        <v>2025</v>
      </c>
      <c r="K1139" s="19">
        <v>185.04</v>
      </c>
      <c r="L1139" s="20">
        <v>0.2</v>
      </c>
      <c r="M1139" s="19">
        <f>Tienda!$K4168-Tienda!$K4168*Tienda!$L4168</f>
        <v>53.766000000000005</v>
      </c>
      <c r="N1139" s="3" t="s">
        <v>10040</v>
      </c>
      <c r="O1139" s="3" t="s">
        <v>10042</v>
      </c>
      <c r="P1139" s="17">
        <v>45963</v>
      </c>
      <c r="Q1139" s="4">
        <v>9</v>
      </c>
    </row>
    <row r="1140" spans="1:17" x14ac:dyDescent="0.25">
      <c r="A1140" s="2" t="s">
        <v>600</v>
      </c>
      <c r="B1140" s="3" t="s">
        <v>5016</v>
      </c>
      <c r="C1140" s="3">
        <v>27</v>
      </c>
      <c r="D1140" s="46" t="str">
        <f>IF(Tabla1[[#This Row],[EDAD]]&lt;=35,"Adultos jóvenes 18 - 35 años",IF(C1140&gt;=36,"Adultos mayores 36 años en adelante"))</f>
        <v>Adultos jóvenes 18 - 35 años</v>
      </c>
      <c r="E1140" s="3" t="s">
        <v>5017</v>
      </c>
      <c r="F1140" s="3" t="s">
        <v>5024</v>
      </c>
      <c r="G1140" s="3" t="s">
        <v>5031</v>
      </c>
      <c r="H1140" s="3" t="s">
        <v>5623</v>
      </c>
      <c r="I1140" s="17">
        <v>45694</v>
      </c>
      <c r="J1140" s="18">
        <f>YEAR(Tabla1[[#This Row],[FECHA DE COMPRA]])</f>
        <v>2025</v>
      </c>
      <c r="K1140" s="19">
        <v>87.84</v>
      </c>
      <c r="L1140" s="20">
        <v>0</v>
      </c>
      <c r="M1140" s="19">
        <f>Tienda!$K4169-Tienda!$K4169*Tienda!$L4169</f>
        <v>54.463999999999999</v>
      </c>
      <c r="N1140" s="3" t="s">
        <v>10040</v>
      </c>
      <c r="O1140" s="3" t="s">
        <v>10042</v>
      </c>
      <c r="P1140" s="17">
        <v>45964</v>
      </c>
      <c r="Q1140" s="4">
        <v>9</v>
      </c>
    </row>
    <row r="1141" spans="1:17" x14ac:dyDescent="0.25">
      <c r="A1141" s="2" t="s">
        <v>3722</v>
      </c>
      <c r="B1141" s="3" t="s">
        <v>5015</v>
      </c>
      <c r="C1141" s="3">
        <v>18</v>
      </c>
      <c r="D1141" s="46" t="str">
        <f>IF(Tabla1[[#This Row],[EDAD]]&lt;=35,"Adultos jóvenes 18 - 35 años",IF(C1141&gt;=36,"Adultos mayores 36 años en adelante"))</f>
        <v>Adultos jóvenes 18 - 35 años</v>
      </c>
      <c r="E1141" s="3" t="s">
        <v>5020</v>
      </c>
      <c r="F1141" s="3" t="s">
        <v>5028</v>
      </c>
      <c r="G1141" s="3" t="s">
        <v>5035</v>
      </c>
      <c r="H1141" s="3" t="s">
        <v>8745</v>
      </c>
      <c r="I1141" s="17">
        <v>45702</v>
      </c>
      <c r="J1141" s="18">
        <f>YEAR(Tabla1[[#This Row],[FECHA DE COMPRA]])</f>
        <v>2025</v>
      </c>
      <c r="K1141" s="19">
        <v>18.88</v>
      </c>
      <c r="L1141" s="20">
        <v>0</v>
      </c>
      <c r="M1141" s="19">
        <f>Tienda!$K4170-Tienda!$K4170*Tienda!$L4170</f>
        <v>54.88</v>
      </c>
      <c r="N1141" s="3" t="s">
        <v>10040</v>
      </c>
      <c r="O1141" s="3" t="s">
        <v>10042</v>
      </c>
      <c r="P1141" s="17">
        <v>45972</v>
      </c>
      <c r="Q1141" s="4">
        <v>9</v>
      </c>
    </row>
    <row r="1142" spans="1:17" x14ac:dyDescent="0.25">
      <c r="A1142" s="2" t="s">
        <v>3426</v>
      </c>
      <c r="B1142" s="3" t="s">
        <v>5016</v>
      </c>
      <c r="C1142" s="3">
        <v>19</v>
      </c>
      <c r="D1142" s="46" t="str">
        <f>IF(Tabla1[[#This Row],[EDAD]]&lt;=35,"Adultos jóvenes 18 - 35 años",IF(C1142&gt;=36,"Adultos mayores 36 años en adelante"))</f>
        <v>Adultos jóvenes 18 - 35 años</v>
      </c>
      <c r="E1142" s="3" t="s">
        <v>5019</v>
      </c>
      <c r="F1142" s="3" t="s">
        <v>5027</v>
      </c>
      <c r="G1142" s="3" t="s">
        <v>5034</v>
      </c>
      <c r="H1142" s="3" t="s">
        <v>8449</v>
      </c>
      <c r="I1142" s="17">
        <v>45741</v>
      </c>
      <c r="J1142" s="18">
        <f>YEAR(Tabla1[[#This Row],[FECHA DE COMPRA]])</f>
        <v>2025</v>
      </c>
      <c r="K1142" s="19">
        <v>25.19</v>
      </c>
      <c r="L1142" s="20">
        <v>0.1</v>
      </c>
      <c r="M1142" s="19">
        <f>Tienda!$K4173-Tienda!$K4173*Tienda!$L4173</f>
        <v>55.53</v>
      </c>
      <c r="N1142" s="3" t="s">
        <v>10040</v>
      </c>
      <c r="O1142" s="3" t="s">
        <v>10042</v>
      </c>
      <c r="P1142" s="17">
        <v>46011</v>
      </c>
      <c r="Q1142" s="4">
        <v>9</v>
      </c>
    </row>
    <row r="1143" spans="1:17" x14ac:dyDescent="0.25">
      <c r="A1143" s="2" t="s">
        <v>3036</v>
      </c>
      <c r="B1143" s="3" t="s">
        <v>5015</v>
      </c>
      <c r="C1143" s="3">
        <v>20</v>
      </c>
      <c r="D1143" s="46" t="str">
        <f>IF(Tabla1[[#This Row],[EDAD]]&lt;=35,"Adultos jóvenes 18 - 35 años",IF(C1143&gt;=36,"Adultos mayores 36 años en adelante"))</f>
        <v>Adultos jóvenes 18 - 35 años</v>
      </c>
      <c r="E1143" s="3" t="s">
        <v>5023</v>
      </c>
      <c r="F1143" s="3" t="s">
        <v>5028</v>
      </c>
      <c r="G1143" s="3" t="s">
        <v>5036</v>
      </c>
      <c r="H1143" s="3" t="s">
        <v>8059</v>
      </c>
      <c r="I1143" s="17">
        <v>45744</v>
      </c>
      <c r="J1143" s="18">
        <f>YEAR(Tabla1[[#This Row],[FECHA DE COMPRA]])</f>
        <v>2025</v>
      </c>
      <c r="K1143" s="19">
        <v>54.39</v>
      </c>
      <c r="L1143" s="20">
        <v>0.2</v>
      </c>
      <c r="M1143" s="19">
        <f>Tienda!$K4176-Tienda!$K4176*Tienda!$L4176</f>
        <v>55.77600000000001</v>
      </c>
      <c r="N1143" s="3" t="s">
        <v>10040</v>
      </c>
      <c r="O1143" s="3" t="s">
        <v>10042</v>
      </c>
      <c r="P1143" s="17">
        <v>46014</v>
      </c>
      <c r="Q1143" s="4">
        <v>9</v>
      </c>
    </row>
    <row r="1144" spans="1:17" x14ac:dyDescent="0.25">
      <c r="A1144" s="2" t="s">
        <v>3005</v>
      </c>
      <c r="B1144" s="3" t="s">
        <v>5015</v>
      </c>
      <c r="C1144" s="3">
        <v>32</v>
      </c>
      <c r="D1144" s="46" t="str">
        <f>IF(Tabla1[[#This Row],[EDAD]]&lt;=35,"Adultos jóvenes 18 - 35 años",IF(C1144&gt;=36,"Adultos mayores 36 años en adelante"))</f>
        <v>Adultos jóvenes 18 - 35 años</v>
      </c>
      <c r="E1144" s="3" t="s">
        <v>5018</v>
      </c>
      <c r="F1144" s="3" t="s">
        <v>5025</v>
      </c>
      <c r="G1144" s="3" t="s">
        <v>5035</v>
      </c>
      <c r="H1144" s="3" t="s">
        <v>8028</v>
      </c>
      <c r="I1144" s="17">
        <v>45745</v>
      </c>
      <c r="J1144" s="18">
        <f>YEAR(Tabla1[[#This Row],[FECHA DE COMPRA]])</f>
        <v>2025</v>
      </c>
      <c r="K1144" s="19">
        <v>89.85</v>
      </c>
      <c r="L1144" s="20">
        <v>0.3</v>
      </c>
      <c r="M1144" s="19">
        <f>Tienda!$K4178-Tienda!$K4178*Tienda!$L4178</f>
        <v>55.9</v>
      </c>
      <c r="N1144" s="3" t="s">
        <v>10040</v>
      </c>
      <c r="O1144" s="3" t="s">
        <v>10042</v>
      </c>
      <c r="P1144" s="17">
        <v>46015</v>
      </c>
      <c r="Q1144" s="4">
        <v>9</v>
      </c>
    </row>
    <row r="1145" spans="1:17" x14ac:dyDescent="0.25">
      <c r="A1145" s="2" t="s">
        <v>1481</v>
      </c>
      <c r="B1145" s="3" t="s">
        <v>5015</v>
      </c>
      <c r="C1145" s="3">
        <v>25</v>
      </c>
      <c r="D1145" s="46" t="str">
        <f>IF(Tabla1[[#This Row],[EDAD]]&lt;=35,"Adultos jóvenes 18 - 35 años",IF(C1145&gt;=36,"Adultos mayores 36 años en adelante"))</f>
        <v>Adultos jóvenes 18 - 35 años</v>
      </c>
      <c r="E1145" s="3" t="s">
        <v>5020</v>
      </c>
      <c r="F1145" s="3" t="s">
        <v>5024</v>
      </c>
      <c r="G1145" s="3" t="s">
        <v>5033</v>
      </c>
      <c r="H1145" s="3" t="s">
        <v>6504</v>
      </c>
      <c r="I1145" s="17">
        <v>45742</v>
      </c>
      <c r="J1145" s="18">
        <f>YEAR(Tabla1[[#This Row],[FECHA DE COMPRA]])</f>
        <v>2025</v>
      </c>
      <c r="K1145" s="19">
        <v>93.22</v>
      </c>
      <c r="L1145" s="20">
        <v>0.1</v>
      </c>
      <c r="M1145" s="19">
        <f>Tienda!$K4179-Tienda!$K4179*Tienda!$L4179</f>
        <v>56.146999999999991</v>
      </c>
      <c r="N1145" s="3" t="s">
        <v>10040</v>
      </c>
      <c r="O1145" s="3" t="s">
        <v>10042</v>
      </c>
      <c r="P1145" s="17">
        <v>46012</v>
      </c>
      <c r="Q1145" s="4">
        <v>9</v>
      </c>
    </row>
    <row r="1146" spans="1:17" x14ac:dyDescent="0.25">
      <c r="A1146" s="2" t="s">
        <v>2437</v>
      </c>
      <c r="B1146" s="3" t="s">
        <v>5015</v>
      </c>
      <c r="C1146" s="3">
        <v>32</v>
      </c>
      <c r="D1146" s="46" t="str">
        <f>IF(Tabla1[[#This Row],[EDAD]]&lt;=35,"Adultos jóvenes 18 - 35 años",IF(C1146&gt;=36,"Adultos mayores 36 años en adelante"))</f>
        <v>Adultos jóvenes 18 - 35 años</v>
      </c>
      <c r="E1146" s="3" t="s">
        <v>5020</v>
      </c>
      <c r="F1146" s="3" t="s">
        <v>5028</v>
      </c>
      <c r="G1146" s="3" t="s">
        <v>5035</v>
      </c>
      <c r="H1146" s="3" t="s">
        <v>7460</v>
      </c>
      <c r="I1146" s="17">
        <v>45734</v>
      </c>
      <c r="J1146" s="18">
        <f>YEAR(Tabla1[[#This Row],[FECHA DE COMPRA]])</f>
        <v>2025</v>
      </c>
      <c r="K1146" s="19">
        <v>104.33</v>
      </c>
      <c r="L1146" s="20">
        <v>0.3</v>
      </c>
      <c r="M1146" s="19">
        <f>Tienda!$K4180-Tienda!$K4180*Tienda!$L4180</f>
        <v>56.32</v>
      </c>
      <c r="N1146" s="3" t="s">
        <v>10040</v>
      </c>
      <c r="O1146" s="3" t="s">
        <v>10042</v>
      </c>
      <c r="P1146" s="17">
        <v>46004</v>
      </c>
      <c r="Q1146" s="4">
        <v>9</v>
      </c>
    </row>
    <row r="1147" spans="1:17" x14ac:dyDescent="0.25">
      <c r="A1147" s="2" t="s">
        <v>2397</v>
      </c>
      <c r="B1147" s="3" t="s">
        <v>5015</v>
      </c>
      <c r="C1147" s="3">
        <v>22</v>
      </c>
      <c r="D1147" s="46" t="str">
        <f>IF(Tabla1[[#This Row],[EDAD]]&lt;=35,"Adultos jóvenes 18 - 35 años",IF(C1147&gt;=36,"Adultos mayores 36 años en adelante"))</f>
        <v>Adultos jóvenes 18 - 35 años</v>
      </c>
      <c r="E1147" s="3" t="s">
        <v>5021</v>
      </c>
      <c r="F1147" s="3" t="s">
        <v>5028</v>
      </c>
      <c r="G1147" s="3" t="s">
        <v>5036</v>
      </c>
      <c r="H1147" s="3" t="s">
        <v>7420</v>
      </c>
      <c r="I1147" s="17">
        <v>45721</v>
      </c>
      <c r="J1147" s="18">
        <f>YEAR(Tabla1[[#This Row],[FECHA DE COMPRA]])</f>
        <v>2025</v>
      </c>
      <c r="K1147" s="19">
        <v>121.19</v>
      </c>
      <c r="L1147" s="20">
        <v>0.1</v>
      </c>
      <c r="M1147" s="19">
        <f>Tienda!$K4181-Tienda!$K4181*Tienda!$L4181</f>
        <v>56.936</v>
      </c>
      <c r="N1147" s="3" t="s">
        <v>10040</v>
      </c>
      <c r="O1147" s="3" t="s">
        <v>10042</v>
      </c>
      <c r="P1147" s="17">
        <v>45991</v>
      </c>
      <c r="Q1147" s="4">
        <v>9</v>
      </c>
    </row>
    <row r="1148" spans="1:17" x14ac:dyDescent="0.25">
      <c r="A1148" s="2" t="s">
        <v>206</v>
      </c>
      <c r="B1148" s="3" t="s">
        <v>5015</v>
      </c>
      <c r="C1148" s="3">
        <v>25</v>
      </c>
      <c r="D1148" s="46" t="str">
        <f>IF(Tabla1[[#This Row],[EDAD]]&lt;=35,"Adultos jóvenes 18 - 35 años",IF(C1148&gt;=36,"Adultos mayores 36 años en adelante"))</f>
        <v>Adultos jóvenes 18 - 35 años</v>
      </c>
      <c r="E1148" s="3" t="s">
        <v>5020</v>
      </c>
      <c r="F1148" s="3" t="s">
        <v>5030</v>
      </c>
      <c r="G1148" s="3" t="s">
        <v>5032</v>
      </c>
      <c r="H1148" s="3" t="s">
        <v>5229</v>
      </c>
      <c r="I1148" s="17">
        <v>45776</v>
      </c>
      <c r="J1148" s="18">
        <f>YEAR(Tabla1[[#This Row],[FECHA DE COMPRA]])</f>
        <v>2025</v>
      </c>
      <c r="K1148" s="19">
        <v>25.3</v>
      </c>
      <c r="L1148" s="20">
        <v>0.3</v>
      </c>
      <c r="M1148" s="19">
        <f>Tienda!$K4188-Tienda!$K4188*Tienda!$L4188</f>
        <v>59.112000000000009</v>
      </c>
      <c r="N1148" s="3" t="s">
        <v>10040</v>
      </c>
      <c r="O1148" s="3" t="s">
        <v>10042</v>
      </c>
      <c r="P1148" s="17">
        <v>46046</v>
      </c>
      <c r="Q1148" s="4">
        <v>9</v>
      </c>
    </row>
    <row r="1149" spans="1:17" x14ac:dyDescent="0.25">
      <c r="A1149" s="2" t="s">
        <v>4012</v>
      </c>
      <c r="B1149" s="3" t="s">
        <v>5016</v>
      </c>
      <c r="C1149" s="3">
        <v>25</v>
      </c>
      <c r="D1149" s="46" t="str">
        <f>IF(Tabla1[[#This Row],[EDAD]]&lt;=35,"Adultos jóvenes 18 - 35 años",IF(C1149&gt;=36,"Adultos mayores 36 años en adelante"))</f>
        <v>Adultos jóvenes 18 - 35 años</v>
      </c>
      <c r="E1149" s="3" t="s">
        <v>5021</v>
      </c>
      <c r="F1149" s="3" t="s">
        <v>5030</v>
      </c>
      <c r="G1149" s="3" t="s">
        <v>5035</v>
      </c>
      <c r="H1149" s="3" t="s">
        <v>9035</v>
      </c>
      <c r="I1149" s="17">
        <v>45764</v>
      </c>
      <c r="J1149" s="18">
        <f>YEAR(Tabla1[[#This Row],[FECHA DE COMPRA]])</f>
        <v>2025</v>
      </c>
      <c r="K1149" s="19">
        <v>33.31</v>
      </c>
      <c r="L1149" s="20">
        <v>0.3</v>
      </c>
      <c r="M1149" s="19">
        <f>Tienda!$K4190-Tienda!$K4190*Tienda!$L4190</f>
        <v>59.390999999999991</v>
      </c>
      <c r="N1149" s="3" t="s">
        <v>10040</v>
      </c>
      <c r="O1149" s="3" t="s">
        <v>10042</v>
      </c>
      <c r="P1149" s="17">
        <v>46034</v>
      </c>
      <c r="Q1149" s="4">
        <v>9</v>
      </c>
    </row>
    <row r="1150" spans="1:17" x14ac:dyDescent="0.25">
      <c r="A1150" s="2" t="s">
        <v>1594</v>
      </c>
      <c r="B1150" s="3" t="s">
        <v>5015</v>
      </c>
      <c r="C1150" s="3">
        <v>23</v>
      </c>
      <c r="D1150" s="46" t="str">
        <f>IF(Tabla1[[#This Row],[EDAD]]&lt;=35,"Adultos jóvenes 18 - 35 años",IF(C1150&gt;=36,"Adultos mayores 36 años en adelante"))</f>
        <v>Adultos jóvenes 18 - 35 años</v>
      </c>
      <c r="E1150" s="3" t="s">
        <v>5020</v>
      </c>
      <c r="F1150" s="3" t="s">
        <v>5025</v>
      </c>
      <c r="G1150" s="3" t="s">
        <v>5036</v>
      </c>
      <c r="H1150" s="3" t="s">
        <v>6617</v>
      </c>
      <c r="I1150" s="17">
        <v>45766</v>
      </c>
      <c r="J1150" s="18">
        <f>YEAR(Tabla1[[#This Row],[FECHA DE COMPRA]])</f>
        <v>2025</v>
      </c>
      <c r="K1150" s="19">
        <v>100.51</v>
      </c>
      <c r="L1150" s="20">
        <v>0.1</v>
      </c>
      <c r="M1150" s="19">
        <f>Tienda!$K4194-Tienda!$K4194*Tienda!$L4194</f>
        <v>59.786999999999999</v>
      </c>
      <c r="N1150" s="3" t="s">
        <v>10040</v>
      </c>
      <c r="O1150" s="3" t="s">
        <v>10042</v>
      </c>
      <c r="P1150" s="17">
        <v>46036</v>
      </c>
      <c r="Q1150" s="4">
        <v>9</v>
      </c>
    </row>
    <row r="1151" spans="1:17" x14ac:dyDescent="0.25">
      <c r="A1151" s="2" t="s">
        <v>4640</v>
      </c>
      <c r="B1151" s="3" t="s">
        <v>5015</v>
      </c>
      <c r="C1151" s="3">
        <v>18</v>
      </c>
      <c r="D1151" s="46" t="str">
        <f>IF(Tabla1[[#This Row],[EDAD]]&lt;=35,"Adultos jóvenes 18 - 35 años",IF(C1151&gt;=36,"Adultos mayores 36 años en adelante"))</f>
        <v>Adultos jóvenes 18 - 35 años</v>
      </c>
      <c r="E1151" s="3" t="s">
        <v>5018</v>
      </c>
      <c r="F1151" s="3" t="s">
        <v>5026</v>
      </c>
      <c r="G1151" s="3" t="s">
        <v>5032</v>
      </c>
      <c r="H1151" s="3" t="s">
        <v>9663</v>
      </c>
      <c r="I1151" s="17">
        <v>45760</v>
      </c>
      <c r="J1151" s="18">
        <f>YEAR(Tabla1[[#This Row],[FECHA DE COMPRA]])</f>
        <v>2025</v>
      </c>
      <c r="K1151" s="19">
        <v>106.65</v>
      </c>
      <c r="L1151" s="20">
        <v>0.2</v>
      </c>
      <c r="M1151" s="19">
        <f>Tienda!$K4196-Tienda!$K4196*Tienda!$L4196</f>
        <v>60.160000000000004</v>
      </c>
      <c r="N1151" s="3" t="s">
        <v>10040</v>
      </c>
      <c r="O1151" s="3" t="s">
        <v>10042</v>
      </c>
      <c r="P1151" s="17">
        <v>46030</v>
      </c>
      <c r="Q1151" s="4">
        <v>9</v>
      </c>
    </row>
    <row r="1152" spans="1:17" x14ac:dyDescent="0.25">
      <c r="A1152" s="2" t="s">
        <v>3179</v>
      </c>
      <c r="B1152" s="3" t="s">
        <v>5015</v>
      </c>
      <c r="C1152" s="3">
        <v>30</v>
      </c>
      <c r="D1152" s="46" t="str">
        <f>IF(Tabla1[[#This Row],[EDAD]]&lt;=35,"Adultos jóvenes 18 - 35 años",IF(C1152&gt;=36,"Adultos mayores 36 años en adelante"))</f>
        <v>Adultos jóvenes 18 - 35 años</v>
      </c>
      <c r="E1152" s="3" t="s">
        <v>5020</v>
      </c>
      <c r="F1152" s="3" t="s">
        <v>5024</v>
      </c>
      <c r="G1152" s="3" t="s">
        <v>5031</v>
      </c>
      <c r="H1152" s="3" t="s">
        <v>8202</v>
      </c>
      <c r="I1152" s="17">
        <v>45777</v>
      </c>
      <c r="J1152" s="18">
        <f>YEAR(Tabla1[[#This Row],[FECHA DE COMPRA]])</f>
        <v>2025</v>
      </c>
      <c r="K1152" s="19">
        <v>134.99</v>
      </c>
      <c r="L1152" s="20">
        <v>0.3</v>
      </c>
      <c r="M1152" s="19">
        <f>Tienda!$K4200-Tienda!$K4200*Tienda!$L4200</f>
        <v>61.461000000000006</v>
      </c>
      <c r="N1152" s="3" t="s">
        <v>10040</v>
      </c>
      <c r="O1152" s="3" t="s">
        <v>10042</v>
      </c>
      <c r="P1152" s="17">
        <v>46047</v>
      </c>
      <c r="Q1152" s="4">
        <v>9</v>
      </c>
    </row>
    <row r="1153" spans="1:17" x14ac:dyDescent="0.25">
      <c r="A1153" s="2" t="s">
        <v>4786</v>
      </c>
      <c r="B1153" s="3" t="s">
        <v>5015</v>
      </c>
      <c r="C1153" s="3">
        <v>34</v>
      </c>
      <c r="D1153" s="46" t="str">
        <f>IF(Tabla1[[#This Row],[EDAD]]&lt;=35,"Adultos jóvenes 18 - 35 años",IF(C1153&gt;=36,"Adultos mayores 36 años en adelante"))</f>
        <v>Adultos jóvenes 18 - 35 años</v>
      </c>
      <c r="E1153" s="3" t="s">
        <v>5023</v>
      </c>
      <c r="F1153" s="3" t="s">
        <v>5026</v>
      </c>
      <c r="G1153" s="3" t="s">
        <v>5031</v>
      </c>
      <c r="H1153" s="3" t="s">
        <v>9809</v>
      </c>
      <c r="I1153" s="17">
        <v>45774</v>
      </c>
      <c r="J1153" s="18">
        <f>YEAR(Tabla1[[#This Row],[FECHA DE COMPRA]])</f>
        <v>2025</v>
      </c>
      <c r="K1153" s="19">
        <v>146.6</v>
      </c>
      <c r="L1153" s="20">
        <v>0</v>
      </c>
      <c r="M1153" s="19">
        <f>Tienda!$K4201-Tienda!$K4201*Tienda!$L4201</f>
        <v>61.567999999999998</v>
      </c>
      <c r="N1153" s="3" t="s">
        <v>10040</v>
      </c>
      <c r="O1153" s="3" t="s">
        <v>10042</v>
      </c>
      <c r="P1153" s="17">
        <v>46044</v>
      </c>
      <c r="Q1153" s="4">
        <v>9</v>
      </c>
    </row>
    <row r="1154" spans="1:17" x14ac:dyDescent="0.25">
      <c r="A1154" s="2" t="s">
        <v>2084</v>
      </c>
      <c r="B1154" s="3" t="s">
        <v>5015</v>
      </c>
      <c r="C1154" s="3">
        <v>28</v>
      </c>
      <c r="D1154" s="46" t="str">
        <f>IF(Tabla1[[#This Row],[EDAD]]&lt;=35,"Adultos jóvenes 18 - 35 años",IF(C1154&gt;=36,"Adultos mayores 36 años en adelante"))</f>
        <v>Adultos jóvenes 18 - 35 años</v>
      </c>
      <c r="E1154" s="3" t="s">
        <v>5023</v>
      </c>
      <c r="F1154" s="3" t="s">
        <v>5024</v>
      </c>
      <c r="G1154" s="3" t="s">
        <v>5032</v>
      </c>
      <c r="H1154" s="3" t="s">
        <v>7107</v>
      </c>
      <c r="I1154" s="17">
        <v>45789</v>
      </c>
      <c r="J1154" s="18">
        <f>YEAR(Tabla1[[#This Row],[FECHA DE COMPRA]])</f>
        <v>2025</v>
      </c>
      <c r="K1154" s="19">
        <v>32.75</v>
      </c>
      <c r="L1154" s="20">
        <v>0.1</v>
      </c>
      <c r="M1154" s="19">
        <f>Tienda!$K4207-Tienda!$K4207*Tienda!$L4207</f>
        <v>63.756</v>
      </c>
      <c r="N1154" s="3" t="s">
        <v>10040</v>
      </c>
      <c r="O1154" s="3" t="s">
        <v>10042</v>
      </c>
      <c r="P1154" s="17">
        <v>46059</v>
      </c>
      <c r="Q1154" s="4">
        <v>9</v>
      </c>
    </row>
    <row r="1155" spans="1:17" x14ac:dyDescent="0.25">
      <c r="A1155" s="2" t="s">
        <v>559</v>
      </c>
      <c r="B1155" s="3" t="s">
        <v>5016</v>
      </c>
      <c r="C1155" s="3">
        <v>30</v>
      </c>
      <c r="D1155" s="46" t="str">
        <f>IF(Tabla1[[#This Row],[EDAD]]&lt;=35,"Adultos jóvenes 18 - 35 años",IF(C1155&gt;=36,"Adultos mayores 36 años en adelante"))</f>
        <v>Adultos jóvenes 18 - 35 años</v>
      </c>
      <c r="E1155" s="3" t="s">
        <v>5021</v>
      </c>
      <c r="F1155" s="3" t="s">
        <v>5028</v>
      </c>
      <c r="G1155" s="3" t="s">
        <v>5035</v>
      </c>
      <c r="H1155" s="3" t="s">
        <v>5582</v>
      </c>
      <c r="I1155" s="17">
        <v>45799</v>
      </c>
      <c r="J1155" s="18">
        <f>YEAR(Tabla1[[#This Row],[FECHA DE COMPRA]])</f>
        <v>2025</v>
      </c>
      <c r="K1155" s="19">
        <v>44.48</v>
      </c>
      <c r="L1155" s="20">
        <v>0.1</v>
      </c>
      <c r="M1155" s="19">
        <f>Tienda!$K4208-Tienda!$K4208*Tienda!$L4208</f>
        <v>64.217999999999989</v>
      </c>
      <c r="N1155" s="3" t="s">
        <v>10040</v>
      </c>
      <c r="O1155" s="3" t="s">
        <v>10042</v>
      </c>
      <c r="P1155" s="17">
        <v>46069</v>
      </c>
      <c r="Q1155" s="4">
        <v>9</v>
      </c>
    </row>
    <row r="1156" spans="1:17" x14ac:dyDescent="0.25">
      <c r="A1156" s="2" t="s">
        <v>2999</v>
      </c>
      <c r="B1156" s="3" t="s">
        <v>5015</v>
      </c>
      <c r="C1156" s="3">
        <v>33</v>
      </c>
      <c r="D1156" s="46" t="str">
        <f>IF(Tabla1[[#This Row],[EDAD]]&lt;=35,"Adultos jóvenes 18 - 35 años",IF(C1156&gt;=36,"Adultos mayores 36 años en adelante"))</f>
        <v>Adultos jóvenes 18 - 35 años</v>
      </c>
      <c r="E1156" s="3" t="s">
        <v>5020</v>
      </c>
      <c r="F1156" s="3" t="s">
        <v>5029</v>
      </c>
      <c r="G1156" s="3" t="s">
        <v>5037</v>
      </c>
      <c r="H1156" s="3" t="s">
        <v>8022</v>
      </c>
      <c r="I1156" s="17">
        <v>45807</v>
      </c>
      <c r="J1156" s="18">
        <f>YEAR(Tabla1[[#This Row],[FECHA DE COMPRA]])</f>
        <v>2025</v>
      </c>
      <c r="K1156" s="19">
        <v>48.11</v>
      </c>
      <c r="L1156" s="20">
        <v>0</v>
      </c>
      <c r="M1156" s="19">
        <f>Tienda!$K4209-Tienda!$K4209*Tienda!$L4209</f>
        <v>64.316000000000003</v>
      </c>
      <c r="N1156" s="3" t="s">
        <v>10040</v>
      </c>
      <c r="O1156" s="3" t="s">
        <v>10042</v>
      </c>
      <c r="P1156" s="17">
        <v>46077</v>
      </c>
      <c r="Q1156" s="4">
        <v>9</v>
      </c>
    </row>
    <row r="1157" spans="1:17" x14ac:dyDescent="0.25">
      <c r="A1157" s="2" t="s">
        <v>1382</v>
      </c>
      <c r="B1157" s="3" t="s">
        <v>5016</v>
      </c>
      <c r="C1157" s="3">
        <v>32</v>
      </c>
      <c r="D1157" s="46" t="str">
        <f>IF(Tabla1[[#This Row],[EDAD]]&lt;=35,"Adultos jóvenes 18 - 35 años",IF(C1157&gt;=36,"Adultos mayores 36 años en adelante"))</f>
        <v>Adultos jóvenes 18 - 35 años</v>
      </c>
      <c r="E1157" s="3" t="s">
        <v>5023</v>
      </c>
      <c r="F1157" s="3" t="s">
        <v>5025</v>
      </c>
      <c r="G1157" s="3" t="s">
        <v>5033</v>
      </c>
      <c r="H1157" s="3" t="s">
        <v>6405</v>
      </c>
      <c r="I1157" s="17">
        <v>45802</v>
      </c>
      <c r="J1157" s="18">
        <f>YEAR(Tabla1[[#This Row],[FECHA DE COMPRA]])</f>
        <v>2025</v>
      </c>
      <c r="K1157" s="19">
        <v>48.93</v>
      </c>
      <c r="L1157" s="20">
        <v>0.1</v>
      </c>
      <c r="M1157" s="19">
        <f>Tienda!$K4210-Tienda!$K4210*Tienda!$L4210</f>
        <v>64.953000000000003</v>
      </c>
      <c r="N1157" s="3" t="s">
        <v>10040</v>
      </c>
      <c r="O1157" s="3" t="s">
        <v>10042</v>
      </c>
      <c r="P1157" s="17">
        <v>46072</v>
      </c>
      <c r="Q1157" s="4">
        <v>9</v>
      </c>
    </row>
    <row r="1158" spans="1:17" x14ac:dyDescent="0.25">
      <c r="A1158" s="2" t="s">
        <v>4402</v>
      </c>
      <c r="B1158" s="3" t="s">
        <v>5016</v>
      </c>
      <c r="C1158" s="3">
        <v>31</v>
      </c>
      <c r="D1158" s="46" t="str">
        <f>IF(Tabla1[[#This Row],[EDAD]]&lt;=35,"Adultos jóvenes 18 - 35 años",IF(C1158&gt;=36,"Adultos mayores 36 años en adelante"))</f>
        <v>Adultos jóvenes 18 - 35 años</v>
      </c>
      <c r="E1158" s="3" t="s">
        <v>5019</v>
      </c>
      <c r="F1158" s="3" t="s">
        <v>5026</v>
      </c>
      <c r="G1158" s="3" t="s">
        <v>5032</v>
      </c>
      <c r="H1158" s="3" t="s">
        <v>9425</v>
      </c>
      <c r="I1158" s="17">
        <v>45794</v>
      </c>
      <c r="J1158" s="18">
        <f>YEAR(Tabla1[[#This Row],[FECHA DE COMPRA]])</f>
        <v>2025</v>
      </c>
      <c r="K1158" s="19">
        <v>93.61</v>
      </c>
      <c r="L1158" s="20">
        <v>0.2</v>
      </c>
      <c r="M1158" s="19">
        <f>Tienda!$K4212-Tienda!$K4212*Tienda!$L4212</f>
        <v>65.432000000000002</v>
      </c>
      <c r="N1158" s="3" t="s">
        <v>10040</v>
      </c>
      <c r="O1158" s="3" t="s">
        <v>10042</v>
      </c>
      <c r="P1158" s="17">
        <v>46064</v>
      </c>
      <c r="Q1158" s="4">
        <v>9</v>
      </c>
    </row>
    <row r="1159" spans="1:17" x14ac:dyDescent="0.25">
      <c r="A1159" s="2" t="s">
        <v>3365</v>
      </c>
      <c r="B1159" s="3" t="s">
        <v>5015</v>
      </c>
      <c r="C1159" s="3">
        <v>25</v>
      </c>
      <c r="D1159" s="46" t="str">
        <f>IF(Tabla1[[#This Row],[EDAD]]&lt;=35,"Adultos jóvenes 18 - 35 años",IF(C1159&gt;=36,"Adultos mayores 36 años en adelante"))</f>
        <v>Adultos jóvenes 18 - 35 años</v>
      </c>
      <c r="E1159" s="3" t="s">
        <v>5022</v>
      </c>
      <c r="F1159" s="3" t="s">
        <v>5029</v>
      </c>
      <c r="G1159" s="3" t="s">
        <v>5032</v>
      </c>
      <c r="H1159" s="3" t="s">
        <v>8388</v>
      </c>
      <c r="I1159" s="17">
        <v>45804</v>
      </c>
      <c r="J1159" s="18">
        <f>YEAR(Tabla1[[#This Row],[FECHA DE COMPRA]])</f>
        <v>2025</v>
      </c>
      <c r="K1159" s="19">
        <v>145.69</v>
      </c>
      <c r="L1159" s="20">
        <v>0.2</v>
      </c>
      <c r="M1159" s="19">
        <f>Tienda!$K4218-Tienda!$K4218*Tienda!$L4218</f>
        <v>66.99199999999999</v>
      </c>
      <c r="N1159" s="3" t="s">
        <v>10040</v>
      </c>
      <c r="O1159" s="3" t="s">
        <v>10042</v>
      </c>
      <c r="P1159" s="17">
        <v>46074</v>
      </c>
      <c r="Q1159" s="4">
        <v>9</v>
      </c>
    </row>
    <row r="1160" spans="1:17" x14ac:dyDescent="0.25">
      <c r="A1160" s="2" t="s">
        <v>3852</v>
      </c>
      <c r="B1160" s="3" t="s">
        <v>5016</v>
      </c>
      <c r="C1160" s="3">
        <v>21</v>
      </c>
      <c r="D1160" s="46" t="str">
        <f>IF(Tabla1[[#This Row],[EDAD]]&lt;=35,"Adultos jóvenes 18 - 35 años",IF(C1160&gt;=36,"Adultos mayores 36 años en adelante"))</f>
        <v>Adultos jóvenes 18 - 35 años</v>
      </c>
      <c r="E1160" s="3" t="s">
        <v>5019</v>
      </c>
      <c r="F1160" s="3" t="s">
        <v>5026</v>
      </c>
      <c r="G1160" s="3" t="s">
        <v>5031</v>
      </c>
      <c r="H1160" s="3" t="s">
        <v>8875</v>
      </c>
      <c r="I1160" s="17">
        <v>45823</v>
      </c>
      <c r="J1160" s="18">
        <f>YEAR(Tabla1[[#This Row],[FECHA DE COMPRA]])</f>
        <v>2025</v>
      </c>
      <c r="K1160" s="19">
        <v>49.53</v>
      </c>
      <c r="L1160" s="20">
        <v>0.2</v>
      </c>
      <c r="M1160" s="19">
        <f>Tienda!$K4221-Tienda!$K4221*Tienda!$L4221</f>
        <v>67.382000000000005</v>
      </c>
      <c r="N1160" s="3" t="s">
        <v>10040</v>
      </c>
      <c r="O1160" s="3" t="s">
        <v>10042</v>
      </c>
      <c r="P1160" s="17">
        <v>46093</v>
      </c>
      <c r="Q1160" s="4">
        <v>9</v>
      </c>
    </row>
    <row r="1161" spans="1:17" x14ac:dyDescent="0.25">
      <c r="A1161" s="2" t="s">
        <v>3991</v>
      </c>
      <c r="B1161" s="3" t="s">
        <v>5015</v>
      </c>
      <c r="C1161" s="3">
        <v>33</v>
      </c>
      <c r="D1161" s="46" t="str">
        <f>IF(Tabla1[[#This Row],[EDAD]]&lt;=35,"Adultos jóvenes 18 - 35 años",IF(C1161&gt;=36,"Adultos mayores 36 años en adelante"))</f>
        <v>Adultos jóvenes 18 - 35 años</v>
      </c>
      <c r="E1161" s="3" t="s">
        <v>5020</v>
      </c>
      <c r="F1161" s="3" t="s">
        <v>5026</v>
      </c>
      <c r="G1161" s="3" t="s">
        <v>5036</v>
      </c>
      <c r="H1161" s="3" t="s">
        <v>9014</v>
      </c>
      <c r="I1161" s="17">
        <v>45827</v>
      </c>
      <c r="J1161" s="18">
        <f>YEAR(Tabla1[[#This Row],[FECHA DE COMPRA]])</f>
        <v>2025</v>
      </c>
      <c r="K1161" s="19">
        <v>50.4</v>
      </c>
      <c r="L1161" s="20">
        <v>0.2</v>
      </c>
      <c r="M1161" s="19">
        <f>Tienda!$K4222-Tienda!$K4222*Tienda!$L4222</f>
        <v>67.400000000000006</v>
      </c>
      <c r="N1161" s="3" t="s">
        <v>10040</v>
      </c>
      <c r="O1161" s="3" t="s">
        <v>10042</v>
      </c>
      <c r="P1161" s="17">
        <v>46097</v>
      </c>
      <c r="Q1161" s="4">
        <v>9</v>
      </c>
    </row>
    <row r="1162" spans="1:17" x14ac:dyDescent="0.25">
      <c r="A1162" s="2" t="s">
        <v>1579</v>
      </c>
      <c r="B1162" s="3" t="s">
        <v>5015</v>
      </c>
      <c r="C1162" s="3">
        <v>26</v>
      </c>
      <c r="D1162" s="46" t="str">
        <f>IF(Tabla1[[#This Row],[EDAD]]&lt;=35,"Adultos jóvenes 18 - 35 años",IF(C1162&gt;=36,"Adultos mayores 36 años en adelante"))</f>
        <v>Adultos jóvenes 18 - 35 años</v>
      </c>
      <c r="E1162" s="3" t="s">
        <v>5017</v>
      </c>
      <c r="F1162" s="3" t="s">
        <v>5030</v>
      </c>
      <c r="G1162" s="3" t="s">
        <v>5034</v>
      </c>
      <c r="H1162" s="3" t="s">
        <v>6602</v>
      </c>
      <c r="I1162" s="17">
        <v>45838</v>
      </c>
      <c r="J1162" s="18">
        <f>YEAR(Tabla1[[#This Row],[FECHA DE COMPRA]])</f>
        <v>2025</v>
      </c>
      <c r="K1162" s="19">
        <v>77.36</v>
      </c>
      <c r="L1162" s="20">
        <v>0.2</v>
      </c>
      <c r="M1162" s="19">
        <f>Tienda!$K4226-Tienda!$K4226*Tienda!$L4226</f>
        <v>68.56</v>
      </c>
      <c r="N1162" s="3" t="s">
        <v>10040</v>
      </c>
      <c r="O1162" s="3" t="s">
        <v>10042</v>
      </c>
      <c r="P1162" s="17">
        <v>46108</v>
      </c>
      <c r="Q1162" s="4">
        <v>9</v>
      </c>
    </row>
    <row r="1163" spans="1:17" x14ac:dyDescent="0.25">
      <c r="A1163" s="2" t="s">
        <v>4096</v>
      </c>
      <c r="B1163" s="3" t="s">
        <v>5015</v>
      </c>
      <c r="C1163" s="3">
        <v>30</v>
      </c>
      <c r="D1163" s="46" t="str">
        <f>IF(Tabla1[[#This Row],[EDAD]]&lt;=35,"Adultos jóvenes 18 - 35 años",IF(C1163&gt;=36,"Adultos mayores 36 años en adelante"))</f>
        <v>Adultos jóvenes 18 - 35 años</v>
      </c>
      <c r="E1163" s="3" t="s">
        <v>5018</v>
      </c>
      <c r="F1163" s="3" t="s">
        <v>5030</v>
      </c>
      <c r="G1163" s="3" t="s">
        <v>5034</v>
      </c>
      <c r="H1163" s="3" t="s">
        <v>9119</v>
      </c>
      <c r="I1163" s="17">
        <v>45820</v>
      </c>
      <c r="J1163" s="18">
        <f>YEAR(Tabla1[[#This Row],[FECHA DE COMPRA]])</f>
        <v>2025</v>
      </c>
      <c r="K1163" s="19">
        <v>109.05</v>
      </c>
      <c r="L1163" s="20">
        <v>0.1</v>
      </c>
      <c r="M1163" s="19">
        <f>Tienda!$K4227-Tienda!$K4227*Tienda!$L4227</f>
        <v>68.849999999999994</v>
      </c>
      <c r="N1163" s="3" t="s">
        <v>10040</v>
      </c>
      <c r="O1163" s="3" t="s">
        <v>10042</v>
      </c>
      <c r="P1163" s="17">
        <v>46090</v>
      </c>
      <c r="Q1163" s="4">
        <v>9</v>
      </c>
    </row>
    <row r="1164" spans="1:17" x14ac:dyDescent="0.25">
      <c r="A1164" s="2" t="s">
        <v>2862</v>
      </c>
      <c r="B1164" s="3" t="s">
        <v>5015</v>
      </c>
      <c r="C1164" s="3">
        <v>23</v>
      </c>
      <c r="D1164" s="46" t="str">
        <f>IF(Tabla1[[#This Row],[EDAD]]&lt;=35,"Adultos jóvenes 18 - 35 años",IF(C1164&gt;=36,"Adultos mayores 36 años en adelante"))</f>
        <v>Adultos jóvenes 18 - 35 años</v>
      </c>
      <c r="E1164" s="3" t="s">
        <v>5020</v>
      </c>
      <c r="F1164" s="3" t="s">
        <v>5030</v>
      </c>
      <c r="G1164" s="3" t="s">
        <v>5031</v>
      </c>
      <c r="H1164" s="3" t="s">
        <v>7885</v>
      </c>
      <c r="I1164" s="17">
        <v>45846</v>
      </c>
      <c r="J1164" s="18">
        <f>YEAR(Tabla1[[#This Row],[FECHA DE COMPRA]])</f>
        <v>2025</v>
      </c>
      <c r="K1164" s="19">
        <v>36.229999999999997</v>
      </c>
      <c r="L1164" s="20">
        <v>0.3</v>
      </c>
      <c r="M1164" s="19">
        <f>Tienda!$K4234-Tienda!$K4234*Tienda!$L4234</f>
        <v>69.95</v>
      </c>
      <c r="N1164" s="3" t="s">
        <v>10040</v>
      </c>
      <c r="O1164" s="3" t="s">
        <v>10042</v>
      </c>
      <c r="P1164" s="17">
        <v>46116</v>
      </c>
      <c r="Q1164" s="4">
        <v>9</v>
      </c>
    </row>
    <row r="1165" spans="1:17" x14ac:dyDescent="0.25">
      <c r="A1165" s="2" t="s">
        <v>358</v>
      </c>
      <c r="B1165" s="3" t="s">
        <v>5015</v>
      </c>
      <c r="C1165" s="3">
        <v>27</v>
      </c>
      <c r="D1165" s="46" t="str">
        <f>IF(Tabla1[[#This Row],[EDAD]]&lt;=35,"Adultos jóvenes 18 - 35 años",IF(C1165&gt;=36,"Adultos mayores 36 años en adelante"))</f>
        <v>Adultos jóvenes 18 - 35 años</v>
      </c>
      <c r="E1165" s="3" t="s">
        <v>5023</v>
      </c>
      <c r="F1165" s="3" t="s">
        <v>5029</v>
      </c>
      <c r="G1165" s="3" t="s">
        <v>5036</v>
      </c>
      <c r="H1165" s="3" t="s">
        <v>5381</v>
      </c>
      <c r="I1165" s="17">
        <v>45847</v>
      </c>
      <c r="J1165" s="18">
        <f>YEAR(Tabla1[[#This Row],[FECHA DE COMPRA]])</f>
        <v>2025</v>
      </c>
      <c r="K1165" s="19">
        <v>45.02</v>
      </c>
      <c r="L1165" s="20">
        <v>0</v>
      </c>
      <c r="M1165" s="19">
        <f>Tienda!$K4235-Tienda!$K4235*Tienda!$L4235</f>
        <v>70.335999999999999</v>
      </c>
      <c r="N1165" s="3" t="s">
        <v>10040</v>
      </c>
      <c r="O1165" s="3" t="s">
        <v>10042</v>
      </c>
      <c r="P1165" s="17">
        <v>46117</v>
      </c>
      <c r="Q1165" s="4">
        <v>9</v>
      </c>
    </row>
    <row r="1166" spans="1:17" x14ac:dyDescent="0.25">
      <c r="A1166" s="2" t="s">
        <v>4609</v>
      </c>
      <c r="B1166" s="3" t="s">
        <v>5016</v>
      </c>
      <c r="C1166" s="3">
        <v>25</v>
      </c>
      <c r="D1166" s="46" t="str">
        <f>IF(Tabla1[[#This Row],[EDAD]]&lt;=35,"Adultos jóvenes 18 - 35 años",IF(C1166&gt;=36,"Adultos mayores 36 años en adelante"))</f>
        <v>Adultos jóvenes 18 - 35 años</v>
      </c>
      <c r="E1166" s="3" t="s">
        <v>5019</v>
      </c>
      <c r="F1166" s="3" t="s">
        <v>5028</v>
      </c>
      <c r="G1166" s="3" t="s">
        <v>5036</v>
      </c>
      <c r="H1166" s="3" t="s">
        <v>9632</v>
      </c>
      <c r="I1166" s="17">
        <v>45848</v>
      </c>
      <c r="J1166" s="18">
        <f>YEAR(Tabla1[[#This Row],[FECHA DE COMPRA]])</f>
        <v>2025</v>
      </c>
      <c r="K1166" s="19">
        <v>78.900000000000006</v>
      </c>
      <c r="L1166" s="20">
        <v>0.3</v>
      </c>
      <c r="M1166" s="19">
        <f>Tienda!$K4238-Tienda!$K4238*Tienda!$L4238</f>
        <v>70.903999999999996</v>
      </c>
      <c r="N1166" s="3" t="s">
        <v>10040</v>
      </c>
      <c r="O1166" s="3" t="s">
        <v>10042</v>
      </c>
      <c r="P1166" s="17">
        <v>46118</v>
      </c>
      <c r="Q1166" s="4">
        <v>9</v>
      </c>
    </row>
    <row r="1167" spans="1:17" x14ac:dyDescent="0.25">
      <c r="A1167" s="2" t="s">
        <v>532</v>
      </c>
      <c r="B1167" s="3" t="s">
        <v>5015</v>
      </c>
      <c r="C1167" s="3">
        <v>18</v>
      </c>
      <c r="D1167" s="46" t="str">
        <f>IF(Tabla1[[#This Row],[EDAD]]&lt;=35,"Adultos jóvenes 18 - 35 años",IF(C1167&gt;=36,"Adultos mayores 36 años en adelante"))</f>
        <v>Adultos jóvenes 18 - 35 años</v>
      </c>
      <c r="E1167" s="3" t="s">
        <v>5020</v>
      </c>
      <c r="F1167" s="3" t="s">
        <v>5027</v>
      </c>
      <c r="G1167" s="3" t="s">
        <v>5032</v>
      </c>
      <c r="H1167" s="3" t="s">
        <v>5555</v>
      </c>
      <c r="I1167" s="17">
        <v>45842</v>
      </c>
      <c r="J1167" s="18">
        <f>YEAR(Tabla1[[#This Row],[FECHA DE COMPRA]])</f>
        <v>2025</v>
      </c>
      <c r="K1167" s="19">
        <v>148.99</v>
      </c>
      <c r="L1167" s="20">
        <v>0</v>
      </c>
      <c r="M1167" s="19">
        <f>Tienda!$K4241-Tienda!$K4241*Tienda!$L4241</f>
        <v>71.47999999999999</v>
      </c>
      <c r="N1167" s="3" t="s">
        <v>10040</v>
      </c>
      <c r="O1167" s="3" t="s">
        <v>10042</v>
      </c>
      <c r="P1167" s="17">
        <v>46112</v>
      </c>
      <c r="Q1167" s="4">
        <v>9</v>
      </c>
    </row>
    <row r="1168" spans="1:17" x14ac:dyDescent="0.25">
      <c r="A1168" s="2" t="s">
        <v>75</v>
      </c>
      <c r="B1168" s="3" t="s">
        <v>5015</v>
      </c>
      <c r="C1168" s="3">
        <v>23</v>
      </c>
      <c r="D1168" s="46" t="str">
        <f>IF(Tabla1[[#This Row],[EDAD]]&lt;=35,"Adultos jóvenes 18 - 35 años",IF(C1168&gt;=36,"Adultos mayores 36 años en adelante"))</f>
        <v>Adultos jóvenes 18 - 35 años</v>
      </c>
      <c r="E1168" s="3" t="s">
        <v>5022</v>
      </c>
      <c r="F1168" s="3" t="s">
        <v>5024</v>
      </c>
      <c r="G1168" s="3" t="s">
        <v>5036</v>
      </c>
      <c r="H1168" s="3" t="s">
        <v>5098</v>
      </c>
      <c r="I1168" s="17">
        <v>45849</v>
      </c>
      <c r="J1168" s="18">
        <f>YEAR(Tabla1[[#This Row],[FECHA DE COMPRA]])</f>
        <v>2025</v>
      </c>
      <c r="K1168" s="19">
        <v>199.63</v>
      </c>
      <c r="L1168" s="20">
        <v>0.1</v>
      </c>
      <c r="M1168" s="19">
        <f>Tienda!$K4243-Tienda!$K4243*Tienda!$L4243</f>
        <v>71.623999999999995</v>
      </c>
      <c r="N1168" s="3" t="s">
        <v>10040</v>
      </c>
      <c r="O1168" s="3" t="s">
        <v>10042</v>
      </c>
      <c r="P1168" s="17">
        <v>46119</v>
      </c>
      <c r="Q1168" s="4">
        <v>9</v>
      </c>
    </row>
    <row r="1169" spans="1:17" x14ac:dyDescent="0.25">
      <c r="A1169" s="2" t="s">
        <v>4450</v>
      </c>
      <c r="B1169" s="3" t="s">
        <v>5015</v>
      </c>
      <c r="C1169" s="3">
        <v>25</v>
      </c>
      <c r="D1169" s="46" t="str">
        <f>IF(Tabla1[[#This Row],[EDAD]]&lt;=35,"Adultos jóvenes 18 - 35 años",IF(C1169&gt;=36,"Adultos mayores 36 años en adelante"))</f>
        <v>Adultos jóvenes 18 - 35 años</v>
      </c>
      <c r="E1169" s="3" t="s">
        <v>5017</v>
      </c>
      <c r="F1169" s="3" t="s">
        <v>5025</v>
      </c>
      <c r="G1169" s="3" t="s">
        <v>5031</v>
      </c>
      <c r="H1169" s="3" t="s">
        <v>9473</v>
      </c>
      <c r="I1169" s="17">
        <v>45878</v>
      </c>
      <c r="J1169" s="18">
        <f>YEAR(Tabla1[[#This Row],[FECHA DE COMPRA]])</f>
        <v>2025</v>
      </c>
      <c r="K1169" s="19">
        <v>93.45</v>
      </c>
      <c r="L1169" s="20">
        <v>0</v>
      </c>
      <c r="M1169" s="19">
        <f>Tienda!$K4244-Tienda!$K4244*Tienda!$L4244</f>
        <v>71.631</v>
      </c>
      <c r="N1169" s="3" t="s">
        <v>10040</v>
      </c>
      <c r="O1169" s="3" t="s">
        <v>10042</v>
      </c>
      <c r="P1169" s="17">
        <v>46148</v>
      </c>
      <c r="Q1169" s="4">
        <v>9</v>
      </c>
    </row>
    <row r="1170" spans="1:17" x14ac:dyDescent="0.25">
      <c r="A1170" s="2" t="s">
        <v>3348</v>
      </c>
      <c r="B1170" s="3" t="s">
        <v>5015</v>
      </c>
      <c r="C1170" s="3">
        <v>27</v>
      </c>
      <c r="D1170" s="46" t="str">
        <f>IF(Tabla1[[#This Row],[EDAD]]&lt;=35,"Adultos jóvenes 18 - 35 años",IF(C1170&gt;=36,"Adultos mayores 36 años en adelante"))</f>
        <v>Adultos jóvenes 18 - 35 años</v>
      </c>
      <c r="E1170" s="3" t="s">
        <v>5020</v>
      </c>
      <c r="F1170" s="3" t="s">
        <v>5028</v>
      </c>
      <c r="G1170" s="3" t="s">
        <v>5031</v>
      </c>
      <c r="H1170" s="3" t="s">
        <v>8371</v>
      </c>
      <c r="I1170" s="17">
        <v>45879</v>
      </c>
      <c r="J1170" s="18">
        <f>YEAR(Tabla1[[#This Row],[FECHA DE COMPRA]])</f>
        <v>2025</v>
      </c>
      <c r="K1170" s="19">
        <v>171.49</v>
      </c>
      <c r="L1170" s="20">
        <v>0.3</v>
      </c>
      <c r="M1170" s="19">
        <f>Tienda!$K4245-Tienda!$K4245*Tienda!$L4245</f>
        <v>72.260000000000005</v>
      </c>
      <c r="N1170" s="3" t="s">
        <v>10040</v>
      </c>
      <c r="O1170" s="3" t="s">
        <v>10042</v>
      </c>
      <c r="P1170" s="17">
        <v>46149</v>
      </c>
      <c r="Q1170" s="4">
        <v>9</v>
      </c>
    </row>
    <row r="1171" spans="1:17" x14ac:dyDescent="0.25">
      <c r="A1171" s="2" t="s">
        <v>4369</v>
      </c>
      <c r="B1171" s="3" t="s">
        <v>5015</v>
      </c>
      <c r="C1171" s="3">
        <v>28</v>
      </c>
      <c r="D1171" s="46" t="str">
        <f>IF(Tabla1[[#This Row],[EDAD]]&lt;=35,"Adultos jóvenes 18 - 35 años",IF(C1171&gt;=36,"Adultos mayores 36 años en adelante"))</f>
        <v>Adultos jóvenes 18 - 35 años</v>
      </c>
      <c r="E1171" s="3" t="s">
        <v>5021</v>
      </c>
      <c r="F1171" s="3" t="s">
        <v>5028</v>
      </c>
      <c r="G1171" s="3" t="s">
        <v>5034</v>
      </c>
      <c r="H1171" s="3" t="s">
        <v>9392</v>
      </c>
      <c r="I1171" s="17">
        <v>45856</v>
      </c>
      <c r="J1171" s="18">
        <f>YEAR(Tabla1[[#This Row],[FECHA DE COMPRA]])</f>
        <v>2025</v>
      </c>
      <c r="K1171" s="19">
        <v>117.18</v>
      </c>
      <c r="L1171" s="20">
        <v>0.1</v>
      </c>
      <c r="M1171" s="19">
        <f>Tienda!$K4247-Tienda!$K4247*Tienda!$L4247</f>
        <v>72.459999999999994</v>
      </c>
      <c r="N1171" s="3" t="s">
        <v>10040</v>
      </c>
      <c r="O1171" s="3" t="s">
        <v>10042</v>
      </c>
      <c r="P1171" s="17">
        <v>46126</v>
      </c>
      <c r="Q1171" s="4">
        <v>9</v>
      </c>
    </row>
    <row r="1172" spans="1:17" x14ac:dyDescent="0.25">
      <c r="A1172" s="2" t="s">
        <v>4468</v>
      </c>
      <c r="B1172" s="3" t="s">
        <v>5015</v>
      </c>
      <c r="C1172" s="3">
        <v>28</v>
      </c>
      <c r="D1172" s="46" t="str">
        <f>IF(Tabla1[[#This Row],[EDAD]]&lt;=35,"Adultos jóvenes 18 - 35 años",IF(C1172&gt;=36,"Adultos mayores 36 años en adelante"))</f>
        <v>Adultos jóvenes 18 - 35 años</v>
      </c>
      <c r="E1172" s="3" t="s">
        <v>5017</v>
      </c>
      <c r="F1172" s="3" t="s">
        <v>5025</v>
      </c>
      <c r="G1172" s="3" t="s">
        <v>5037</v>
      </c>
      <c r="H1172" s="3" t="s">
        <v>9491</v>
      </c>
      <c r="I1172" s="17">
        <v>45861</v>
      </c>
      <c r="J1172" s="18">
        <f>YEAR(Tabla1[[#This Row],[FECHA DE COMPRA]])</f>
        <v>2025</v>
      </c>
      <c r="K1172" s="19">
        <v>175.85</v>
      </c>
      <c r="L1172" s="20">
        <v>0.2</v>
      </c>
      <c r="M1172" s="19">
        <f>Tienda!$K4251-Tienda!$K4251*Tienda!$L4251</f>
        <v>72.927000000000007</v>
      </c>
      <c r="N1172" s="3" t="s">
        <v>10040</v>
      </c>
      <c r="O1172" s="3" t="s">
        <v>10042</v>
      </c>
      <c r="P1172" s="17">
        <v>46131</v>
      </c>
      <c r="Q1172" s="4">
        <v>9</v>
      </c>
    </row>
    <row r="1173" spans="1:17" x14ac:dyDescent="0.25">
      <c r="A1173" s="2" t="s">
        <v>4349</v>
      </c>
      <c r="B1173" s="3" t="s">
        <v>5015</v>
      </c>
      <c r="C1173" s="3">
        <v>32</v>
      </c>
      <c r="D1173" s="46" t="str">
        <f>IF(Tabla1[[#This Row],[EDAD]]&lt;=35,"Adultos jóvenes 18 - 35 años",IF(C1173&gt;=36,"Adultos mayores 36 años en adelante"))</f>
        <v>Adultos jóvenes 18 - 35 años</v>
      </c>
      <c r="E1173" s="3" t="s">
        <v>5017</v>
      </c>
      <c r="F1173" s="3" t="s">
        <v>5027</v>
      </c>
      <c r="G1173" s="3" t="s">
        <v>5031</v>
      </c>
      <c r="H1173" s="3" t="s">
        <v>9372</v>
      </c>
      <c r="I1173" s="17">
        <v>45701</v>
      </c>
      <c r="J1173" s="18">
        <f>YEAR(Tabla1[[#This Row],[FECHA DE COMPRA]])</f>
        <v>2025</v>
      </c>
      <c r="K1173" s="19">
        <v>79.760000000000005</v>
      </c>
      <c r="L1173" s="20">
        <v>0</v>
      </c>
      <c r="M1173" s="19">
        <f>Tienda!$K4258-Tienda!$K4258*Tienda!$L4258</f>
        <v>75.369</v>
      </c>
      <c r="N1173" s="3" t="s">
        <v>10040</v>
      </c>
      <c r="O1173" s="3" t="s">
        <v>10042</v>
      </c>
      <c r="P1173" s="17">
        <v>46041</v>
      </c>
      <c r="Q1173" s="4">
        <v>12</v>
      </c>
    </row>
    <row r="1174" spans="1:17" x14ac:dyDescent="0.25">
      <c r="A1174" s="2" t="s">
        <v>3359</v>
      </c>
      <c r="B1174" s="3" t="s">
        <v>5016</v>
      </c>
      <c r="C1174" s="3">
        <v>32</v>
      </c>
      <c r="D1174" s="46" t="str">
        <f>IF(Tabla1[[#This Row],[EDAD]]&lt;=35,"Adultos jóvenes 18 - 35 años",IF(C1174&gt;=36,"Adultos mayores 36 años en adelante"))</f>
        <v>Adultos jóvenes 18 - 35 años</v>
      </c>
      <c r="E1174" s="3" t="s">
        <v>5021</v>
      </c>
      <c r="F1174" s="3" t="s">
        <v>5027</v>
      </c>
      <c r="G1174" s="3" t="s">
        <v>5034</v>
      </c>
      <c r="H1174" s="3" t="s">
        <v>8382</v>
      </c>
      <c r="I1174" s="17">
        <v>45692</v>
      </c>
      <c r="J1174" s="18">
        <f>YEAR(Tabla1[[#This Row],[FECHA DE COMPRA]])</f>
        <v>2025</v>
      </c>
      <c r="K1174" s="19">
        <v>136.19999999999999</v>
      </c>
      <c r="L1174" s="20">
        <v>0</v>
      </c>
      <c r="M1174" s="19">
        <f>Tienda!$K4265-Tienda!$K4265*Tienda!$L4265</f>
        <v>77.191999999999993</v>
      </c>
      <c r="N1174" s="3" t="s">
        <v>10040</v>
      </c>
      <c r="O1174" s="3" t="s">
        <v>10042</v>
      </c>
      <c r="P1174" s="17">
        <v>46052</v>
      </c>
      <c r="Q1174" s="4">
        <v>12</v>
      </c>
    </row>
    <row r="1175" spans="1:17" x14ac:dyDescent="0.25">
      <c r="A1175" s="2" t="s">
        <v>4312</v>
      </c>
      <c r="B1175" s="3" t="s">
        <v>5016</v>
      </c>
      <c r="C1175" s="3">
        <v>24</v>
      </c>
      <c r="D1175" s="46" t="str">
        <f>IF(Tabla1[[#This Row],[EDAD]]&lt;=35,"Adultos jóvenes 18 - 35 años",IF(C1175&gt;=36,"Adultos mayores 36 años en adelante"))</f>
        <v>Adultos jóvenes 18 - 35 años</v>
      </c>
      <c r="E1175" s="3" t="s">
        <v>5023</v>
      </c>
      <c r="F1175" s="3" t="s">
        <v>5026</v>
      </c>
      <c r="G1175" s="3" t="s">
        <v>5036</v>
      </c>
      <c r="H1175" s="3" t="s">
        <v>9335</v>
      </c>
      <c r="I1175" s="17">
        <v>45709</v>
      </c>
      <c r="J1175" s="18">
        <f>YEAR(Tabla1[[#This Row],[FECHA DE COMPRA]])</f>
        <v>2025</v>
      </c>
      <c r="K1175" s="19">
        <v>111.17</v>
      </c>
      <c r="L1175" s="20">
        <v>0</v>
      </c>
      <c r="M1175" s="19">
        <f>Tienda!$K4267-Tienda!$K4267*Tienda!$L4267</f>
        <v>77.424000000000007</v>
      </c>
      <c r="N1175" s="3" t="s">
        <v>10040</v>
      </c>
      <c r="O1175" s="3" t="s">
        <v>10042</v>
      </c>
      <c r="P1175" s="17">
        <v>46069</v>
      </c>
      <c r="Q1175" s="4">
        <v>12</v>
      </c>
    </row>
    <row r="1176" spans="1:17" x14ac:dyDescent="0.25">
      <c r="A1176" s="2" t="s">
        <v>3574</v>
      </c>
      <c r="B1176" s="3" t="s">
        <v>5015</v>
      </c>
      <c r="C1176" s="3">
        <v>33</v>
      </c>
      <c r="D1176" s="46" t="str">
        <f>IF(Tabla1[[#This Row],[EDAD]]&lt;=35,"Adultos jóvenes 18 - 35 años",IF(C1176&gt;=36,"Adultos mayores 36 años en adelante"))</f>
        <v>Adultos jóvenes 18 - 35 años</v>
      </c>
      <c r="E1176" s="3" t="s">
        <v>5017</v>
      </c>
      <c r="F1176" s="3" t="s">
        <v>5030</v>
      </c>
      <c r="G1176" s="3" t="s">
        <v>5032</v>
      </c>
      <c r="H1176" s="3" t="s">
        <v>8597</v>
      </c>
      <c r="I1176" s="17">
        <v>45746</v>
      </c>
      <c r="J1176" s="18">
        <f>YEAR(Tabla1[[#This Row],[FECHA DE COMPRA]])</f>
        <v>2025</v>
      </c>
      <c r="K1176" s="19">
        <v>10.92</v>
      </c>
      <c r="L1176" s="20">
        <v>0.3</v>
      </c>
      <c r="M1176" s="19">
        <f>Tienda!$K4268-Tienda!$K4268*Tienda!$L4268</f>
        <v>77.760000000000005</v>
      </c>
      <c r="N1176" s="3" t="s">
        <v>10040</v>
      </c>
      <c r="O1176" s="3" t="s">
        <v>10042</v>
      </c>
      <c r="P1176" s="17">
        <v>46106</v>
      </c>
      <c r="Q1176" s="4">
        <v>12</v>
      </c>
    </row>
    <row r="1177" spans="1:17" x14ac:dyDescent="0.25">
      <c r="A1177" s="2" t="s">
        <v>1544</v>
      </c>
      <c r="B1177" s="3" t="s">
        <v>5015</v>
      </c>
      <c r="C1177" s="3">
        <v>20</v>
      </c>
      <c r="D1177" s="46" t="str">
        <f>IF(Tabla1[[#This Row],[EDAD]]&lt;=35,"Adultos jóvenes 18 - 35 años",IF(C1177&gt;=36,"Adultos mayores 36 años en adelante"))</f>
        <v>Adultos jóvenes 18 - 35 años</v>
      </c>
      <c r="E1177" s="3" t="s">
        <v>5020</v>
      </c>
      <c r="F1177" s="3" t="s">
        <v>5024</v>
      </c>
      <c r="G1177" s="3" t="s">
        <v>5031</v>
      </c>
      <c r="H1177" s="3" t="s">
        <v>6567</v>
      </c>
      <c r="I1177" s="17">
        <v>45736</v>
      </c>
      <c r="J1177" s="18">
        <f>YEAR(Tabla1[[#This Row],[FECHA DE COMPRA]])</f>
        <v>2025</v>
      </c>
      <c r="K1177" s="19">
        <v>25.75</v>
      </c>
      <c r="L1177" s="20">
        <v>0.1</v>
      </c>
      <c r="M1177" s="19">
        <f>Tienda!$K4270-Tienda!$K4270*Tienda!$L4270</f>
        <v>77.798000000000002</v>
      </c>
      <c r="N1177" s="3" t="s">
        <v>10040</v>
      </c>
      <c r="O1177" s="3" t="s">
        <v>10042</v>
      </c>
      <c r="P1177" s="17">
        <v>46096</v>
      </c>
      <c r="Q1177" s="4">
        <v>12</v>
      </c>
    </row>
    <row r="1178" spans="1:17" x14ac:dyDescent="0.25">
      <c r="A1178" s="2" t="s">
        <v>2879</v>
      </c>
      <c r="B1178" s="3" t="s">
        <v>5015</v>
      </c>
      <c r="C1178" s="3">
        <v>28</v>
      </c>
      <c r="D1178" s="46" t="str">
        <f>IF(Tabla1[[#This Row],[EDAD]]&lt;=35,"Adultos jóvenes 18 - 35 años",IF(C1178&gt;=36,"Adultos mayores 36 años en adelante"))</f>
        <v>Adultos jóvenes 18 - 35 años</v>
      </c>
      <c r="E1178" s="3" t="s">
        <v>5020</v>
      </c>
      <c r="F1178" s="3" t="s">
        <v>5028</v>
      </c>
      <c r="G1178" s="3" t="s">
        <v>5034</v>
      </c>
      <c r="H1178" s="3" t="s">
        <v>7902</v>
      </c>
      <c r="I1178" s="17">
        <v>45731</v>
      </c>
      <c r="J1178" s="18">
        <f>YEAR(Tabla1[[#This Row],[FECHA DE COMPRA]])</f>
        <v>2025</v>
      </c>
      <c r="K1178" s="19">
        <v>148.41999999999999</v>
      </c>
      <c r="L1178" s="20">
        <v>0.1</v>
      </c>
      <c r="M1178" s="19">
        <f>Tienda!$K4278-Tienda!$K4278*Tienda!$L4278</f>
        <v>79.960000000000008</v>
      </c>
      <c r="N1178" s="3" t="s">
        <v>10040</v>
      </c>
      <c r="O1178" s="3" t="s">
        <v>10042</v>
      </c>
      <c r="P1178" s="17">
        <v>46091</v>
      </c>
      <c r="Q1178" s="4">
        <v>12</v>
      </c>
    </row>
    <row r="1179" spans="1:17" x14ac:dyDescent="0.25">
      <c r="A1179" s="2" t="s">
        <v>2970</v>
      </c>
      <c r="B1179" s="3" t="s">
        <v>5015</v>
      </c>
      <c r="C1179" s="3">
        <v>18</v>
      </c>
      <c r="D1179" s="46" t="str">
        <f>IF(Tabla1[[#This Row],[EDAD]]&lt;=35,"Adultos jóvenes 18 - 35 años",IF(C1179&gt;=36,"Adultos mayores 36 años en adelante"))</f>
        <v>Adultos jóvenes 18 - 35 años</v>
      </c>
      <c r="E1179" s="3" t="s">
        <v>5018</v>
      </c>
      <c r="F1179" s="3" t="s">
        <v>5030</v>
      </c>
      <c r="G1179" s="3" t="s">
        <v>5032</v>
      </c>
      <c r="H1179" s="3" t="s">
        <v>7993</v>
      </c>
      <c r="I1179" s="17">
        <v>45741</v>
      </c>
      <c r="J1179" s="18">
        <f>YEAR(Tabla1[[#This Row],[FECHA DE COMPRA]])</f>
        <v>2025</v>
      </c>
      <c r="K1179" s="19">
        <v>159.41999999999999</v>
      </c>
      <c r="L1179" s="20">
        <v>0.3</v>
      </c>
      <c r="M1179" s="19">
        <f>Tienda!$K4280-Tienda!$K4280*Tienda!$L4280</f>
        <v>80.611999999999995</v>
      </c>
      <c r="N1179" s="3" t="s">
        <v>10040</v>
      </c>
      <c r="O1179" s="3" t="s">
        <v>10042</v>
      </c>
      <c r="P1179" s="17">
        <v>46101</v>
      </c>
      <c r="Q1179" s="4">
        <v>12</v>
      </c>
    </row>
    <row r="1180" spans="1:17" x14ac:dyDescent="0.25">
      <c r="A1180" s="2" t="s">
        <v>2091</v>
      </c>
      <c r="B1180" s="3" t="s">
        <v>5015</v>
      </c>
      <c r="C1180" s="3">
        <v>24</v>
      </c>
      <c r="D1180" s="46" t="str">
        <f>IF(Tabla1[[#This Row],[EDAD]]&lt;=35,"Adultos jóvenes 18 - 35 años",IF(C1180&gt;=36,"Adultos mayores 36 años en adelante"))</f>
        <v>Adultos jóvenes 18 - 35 años</v>
      </c>
      <c r="E1180" s="3" t="s">
        <v>5023</v>
      </c>
      <c r="F1180" s="3" t="s">
        <v>5026</v>
      </c>
      <c r="G1180" s="3" t="s">
        <v>5036</v>
      </c>
      <c r="H1180" s="3" t="s">
        <v>7114</v>
      </c>
      <c r="I1180" s="17">
        <v>45741</v>
      </c>
      <c r="J1180" s="18">
        <f>YEAR(Tabla1[[#This Row],[FECHA DE COMPRA]])</f>
        <v>2025</v>
      </c>
      <c r="K1180" s="19">
        <v>199.9</v>
      </c>
      <c r="L1180" s="20">
        <v>0</v>
      </c>
      <c r="M1180" s="19">
        <f>Tienda!$K4284-Tienda!$K4284*Tienda!$L4284</f>
        <v>82.369</v>
      </c>
      <c r="N1180" s="3" t="s">
        <v>10040</v>
      </c>
      <c r="O1180" s="3" t="s">
        <v>10042</v>
      </c>
      <c r="P1180" s="17">
        <v>46101</v>
      </c>
      <c r="Q1180" s="4">
        <v>12</v>
      </c>
    </row>
    <row r="1181" spans="1:17" x14ac:dyDescent="0.25">
      <c r="A1181" s="2" t="s">
        <v>1617</v>
      </c>
      <c r="B1181" s="3" t="s">
        <v>5015</v>
      </c>
      <c r="C1181" s="3">
        <v>32</v>
      </c>
      <c r="D1181" s="46" t="str">
        <f>IF(Tabla1[[#This Row],[EDAD]]&lt;=35,"Adultos jóvenes 18 - 35 años",IF(C1181&gt;=36,"Adultos mayores 36 años en adelante"))</f>
        <v>Adultos jóvenes 18 - 35 años</v>
      </c>
      <c r="E1181" s="3" t="s">
        <v>5018</v>
      </c>
      <c r="F1181" s="3" t="s">
        <v>5029</v>
      </c>
      <c r="G1181" s="3" t="s">
        <v>5036</v>
      </c>
      <c r="H1181" s="3" t="s">
        <v>6640</v>
      </c>
      <c r="I1181" s="17">
        <v>45772</v>
      </c>
      <c r="J1181" s="18">
        <f>YEAR(Tabla1[[#This Row],[FECHA DE COMPRA]])</f>
        <v>2025</v>
      </c>
      <c r="K1181" s="19">
        <v>91.82</v>
      </c>
      <c r="L1181" s="20">
        <v>0.2</v>
      </c>
      <c r="M1181" s="19">
        <f>Tienda!$K4288-Tienda!$K4288*Tienda!$L4288</f>
        <v>83.213999999999999</v>
      </c>
      <c r="N1181" s="3" t="s">
        <v>10040</v>
      </c>
      <c r="O1181" s="3" t="s">
        <v>10042</v>
      </c>
      <c r="P1181" s="17">
        <v>46132</v>
      </c>
      <c r="Q1181" s="4">
        <v>12</v>
      </c>
    </row>
    <row r="1182" spans="1:17" x14ac:dyDescent="0.25">
      <c r="A1182" s="2" t="s">
        <v>3471</v>
      </c>
      <c r="B1182" s="3" t="s">
        <v>5015</v>
      </c>
      <c r="C1182" s="3">
        <v>33</v>
      </c>
      <c r="D1182" s="46" t="str">
        <f>IF(Tabla1[[#This Row],[EDAD]]&lt;=35,"Adultos jóvenes 18 - 35 años",IF(C1182&gt;=36,"Adultos mayores 36 años en adelante"))</f>
        <v>Adultos jóvenes 18 - 35 años</v>
      </c>
      <c r="E1182" s="3" t="s">
        <v>5018</v>
      </c>
      <c r="F1182" s="3" t="s">
        <v>5024</v>
      </c>
      <c r="G1182" s="3" t="s">
        <v>5035</v>
      </c>
      <c r="H1182" s="3" t="s">
        <v>8494</v>
      </c>
      <c r="I1182" s="17">
        <v>45757</v>
      </c>
      <c r="J1182" s="18">
        <f>YEAR(Tabla1[[#This Row],[FECHA DE COMPRA]])</f>
        <v>2025</v>
      </c>
      <c r="K1182" s="19">
        <v>123.17</v>
      </c>
      <c r="L1182" s="20">
        <v>0.1</v>
      </c>
      <c r="M1182" s="19">
        <f>Tienda!$K4289-Tienda!$K4289*Tienda!$L4289</f>
        <v>83.5</v>
      </c>
      <c r="N1182" s="3" t="s">
        <v>10040</v>
      </c>
      <c r="O1182" s="3" t="s">
        <v>10042</v>
      </c>
      <c r="P1182" s="17">
        <v>46117</v>
      </c>
      <c r="Q1182" s="4">
        <v>12</v>
      </c>
    </row>
    <row r="1183" spans="1:17" x14ac:dyDescent="0.25">
      <c r="A1183" s="2" t="s">
        <v>1316</v>
      </c>
      <c r="B1183" s="3" t="s">
        <v>5015</v>
      </c>
      <c r="C1183" s="3">
        <v>20</v>
      </c>
      <c r="D1183" s="46" t="str">
        <f>IF(Tabla1[[#This Row],[EDAD]]&lt;=35,"Adultos jóvenes 18 - 35 años",IF(C1183&gt;=36,"Adultos mayores 36 años en adelante"))</f>
        <v>Adultos jóvenes 18 - 35 años</v>
      </c>
      <c r="E1183" s="3" t="s">
        <v>5017</v>
      </c>
      <c r="F1183" s="3" t="s">
        <v>5026</v>
      </c>
      <c r="G1183" s="3" t="s">
        <v>5031</v>
      </c>
      <c r="H1183" s="3" t="s">
        <v>6339</v>
      </c>
      <c r="I1183" s="17">
        <v>45754</v>
      </c>
      <c r="J1183" s="18">
        <f>YEAR(Tabla1[[#This Row],[FECHA DE COMPRA]])</f>
        <v>2025</v>
      </c>
      <c r="K1183" s="19">
        <v>139.38999999999999</v>
      </c>
      <c r="L1183" s="20">
        <v>0</v>
      </c>
      <c r="M1183" s="19">
        <f>Tienda!$K4291-Tienda!$K4291*Tienda!$L4291</f>
        <v>84.399000000000001</v>
      </c>
      <c r="N1183" s="3" t="s">
        <v>10040</v>
      </c>
      <c r="O1183" s="3" t="s">
        <v>10042</v>
      </c>
      <c r="P1183" s="17">
        <v>46114</v>
      </c>
      <c r="Q1183" s="4">
        <v>12</v>
      </c>
    </row>
    <row r="1184" spans="1:17" x14ac:dyDescent="0.25">
      <c r="A1184" s="2" t="s">
        <v>4598</v>
      </c>
      <c r="B1184" s="3" t="s">
        <v>5015</v>
      </c>
      <c r="C1184" s="3">
        <v>29</v>
      </c>
      <c r="D1184" s="46" t="str">
        <f>IF(Tabla1[[#This Row],[EDAD]]&lt;=35,"Adultos jóvenes 18 - 35 años",IF(C1184&gt;=36,"Adultos mayores 36 años en adelante"))</f>
        <v>Adultos jóvenes 18 - 35 años</v>
      </c>
      <c r="E1184" s="3" t="s">
        <v>5021</v>
      </c>
      <c r="F1184" s="3" t="s">
        <v>5026</v>
      </c>
      <c r="G1184" s="3" t="s">
        <v>5037</v>
      </c>
      <c r="H1184" s="3" t="s">
        <v>9621</v>
      </c>
      <c r="I1184" s="17">
        <v>45748</v>
      </c>
      <c r="J1184" s="18">
        <f>YEAR(Tabla1[[#This Row],[FECHA DE COMPRA]])</f>
        <v>2025</v>
      </c>
      <c r="K1184" s="19">
        <v>167.49</v>
      </c>
      <c r="L1184" s="20">
        <v>0</v>
      </c>
      <c r="M1184" s="19">
        <f>Tienda!$K4294-Tienda!$K4294*Tienda!$L4294</f>
        <v>84.734999999999999</v>
      </c>
      <c r="N1184" s="3" t="s">
        <v>10040</v>
      </c>
      <c r="O1184" s="3" t="s">
        <v>10042</v>
      </c>
      <c r="P1184" s="17">
        <v>46108</v>
      </c>
      <c r="Q1184" s="4">
        <v>12</v>
      </c>
    </row>
    <row r="1185" spans="1:17" x14ac:dyDescent="0.25">
      <c r="A1185" s="2" t="s">
        <v>2387</v>
      </c>
      <c r="B1185" s="3" t="s">
        <v>5015</v>
      </c>
      <c r="C1185" s="3">
        <v>18</v>
      </c>
      <c r="D1185" s="46" t="str">
        <f>IF(Tabla1[[#This Row],[EDAD]]&lt;=35,"Adultos jóvenes 18 - 35 años",IF(C1185&gt;=36,"Adultos mayores 36 años en adelante"))</f>
        <v>Adultos jóvenes 18 - 35 años</v>
      </c>
      <c r="E1185" s="3" t="s">
        <v>5022</v>
      </c>
      <c r="F1185" s="3" t="s">
        <v>5030</v>
      </c>
      <c r="G1185" s="3" t="s">
        <v>5033</v>
      </c>
      <c r="H1185" s="3" t="s">
        <v>7410</v>
      </c>
      <c r="I1185" s="17">
        <v>45771</v>
      </c>
      <c r="J1185" s="18">
        <f>YEAR(Tabla1[[#This Row],[FECHA DE COMPRA]])</f>
        <v>2025</v>
      </c>
      <c r="K1185" s="19">
        <v>184.4</v>
      </c>
      <c r="L1185" s="20">
        <v>0</v>
      </c>
      <c r="M1185" s="19">
        <f>Tienda!$K4295-Tienda!$K4295*Tienda!$L4295</f>
        <v>85.04</v>
      </c>
      <c r="N1185" s="3" t="s">
        <v>10040</v>
      </c>
      <c r="O1185" s="3" t="s">
        <v>10042</v>
      </c>
      <c r="P1185" s="17">
        <v>46131</v>
      </c>
      <c r="Q1185" s="4">
        <v>12</v>
      </c>
    </row>
    <row r="1186" spans="1:17" x14ac:dyDescent="0.25">
      <c r="A1186" s="2" t="s">
        <v>928</v>
      </c>
      <c r="B1186" s="3" t="s">
        <v>5015</v>
      </c>
      <c r="C1186" s="3">
        <v>24</v>
      </c>
      <c r="D1186" s="46" t="str">
        <f>IF(Tabla1[[#This Row],[EDAD]]&lt;=35,"Adultos jóvenes 18 - 35 años",IF(C1186&gt;=36,"Adultos mayores 36 años en adelante"))</f>
        <v>Adultos jóvenes 18 - 35 años</v>
      </c>
      <c r="E1186" s="3" t="s">
        <v>5019</v>
      </c>
      <c r="F1186" s="3" t="s">
        <v>5030</v>
      </c>
      <c r="G1186" s="3" t="s">
        <v>5031</v>
      </c>
      <c r="H1186" s="3" t="s">
        <v>5951</v>
      </c>
      <c r="I1186" s="17">
        <v>45794</v>
      </c>
      <c r="J1186" s="18">
        <f>YEAR(Tabla1[[#This Row],[FECHA DE COMPRA]])</f>
        <v>2025</v>
      </c>
      <c r="K1186" s="19">
        <v>78.510000000000005</v>
      </c>
      <c r="L1186" s="20">
        <v>0.3</v>
      </c>
      <c r="M1186" s="19">
        <f>Tienda!$K4298-Tienda!$K4298*Tienda!$L4298</f>
        <v>85.823999999999998</v>
      </c>
      <c r="N1186" s="3" t="s">
        <v>10040</v>
      </c>
      <c r="O1186" s="3" t="s">
        <v>10042</v>
      </c>
      <c r="P1186" s="17">
        <v>46154</v>
      </c>
      <c r="Q1186" s="4">
        <v>12</v>
      </c>
    </row>
    <row r="1187" spans="1:17" x14ac:dyDescent="0.25">
      <c r="A1187" s="2" t="s">
        <v>5009</v>
      </c>
      <c r="B1187" s="3" t="s">
        <v>5015</v>
      </c>
      <c r="C1187" s="3">
        <v>21</v>
      </c>
      <c r="D1187" s="46" t="str">
        <f>IF(Tabla1[[#This Row],[EDAD]]&lt;=35,"Adultos jóvenes 18 - 35 años",IF(C1187&gt;=36,"Adultos mayores 36 años en adelante"))</f>
        <v>Adultos jóvenes 18 - 35 años</v>
      </c>
      <c r="E1187" s="3" t="s">
        <v>5020</v>
      </c>
      <c r="F1187" s="3" t="s">
        <v>5029</v>
      </c>
      <c r="G1187" s="3" t="s">
        <v>5031</v>
      </c>
      <c r="H1187" s="3" t="s">
        <v>10032</v>
      </c>
      <c r="I1187" s="17">
        <v>45786</v>
      </c>
      <c r="J1187" s="18">
        <f>YEAR(Tabla1[[#This Row],[FECHA DE COMPRA]])</f>
        <v>2025</v>
      </c>
      <c r="K1187" s="19">
        <v>131.54</v>
      </c>
      <c r="L1187" s="20">
        <v>0</v>
      </c>
      <c r="M1187" s="19">
        <f>Tienda!$K4300-Tienda!$K4300*Tienda!$L4300</f>
        <v>86.95</v>
      </c>
      <c r="N1187" s="3" t="s">
        <v>10040</v>
      </c>
      <c r="O1187" s="3" t="s">
        <v>10042</v>
      </c>
      <c r="P1187" s="17">
        <v>46146</v>
      </c>
      <c r="Q1187" s="4">
        <v>12</v>
      </c>
    </row>
    <row r="1188" spans="1:17" x14ac:dyDescent="0.25">
      <c r="A1188" s="2" t="s">
        <v>1433</v>
      </c>
      <c r="B1188" s="3" t="s">
        <v>5015</v>
      </c>
      <c r="C1188" s="3">
        <v>23</v>
      </c>
      <c r="D1188" s="46" t="str">
        <f>IF(Tabla1[[#This Row],[EDAD]]&lt;=35,"Adultos jóvenes 18 - 35 años",IF(C1188&gt;=36,"Adultos mayores 36 años en adelante"))</f>
        <v>Adultos jóvenes 18 - 35 años</v>
      </c>
      <c r="E1188" s="3" t="s">
        <v>5022</v>
      </c>
      <c r="F1188" s="3" t="s">
        <v>5029</v>
      </c>
      <c r="G1188" s="3" t="s">
        <v>5037</v>
      </c>
      <c r="H1188" s="3" t="s">
        <v>6456</v>
      </c>
      <c r="I1188" s="17">
        <v>45804</v>
      </c>
      <c r="J1188" s="18">
        <f>YEAR(Tabla1[[#This Row],[FECHA DE COMPRA]])</f>
        <v>2025</v>
      </c>
      <c r="K1188" s="19">
        <v>146.44999999999999</v>
      </c>
      <c r="L1188" s="20">
        <v>0.3</v>
      </c>
      <c r="M1188" s="19">
        <f>Tienda!$K4301-Tienda!$K4301*Tienda!$L4301</f>
        <v>87.408000000000001</v>
      </c>
      <c r="N1188" s="3" t="s">
        <v>10040</v>
      </c>
      <c r="O1188" s="3" t="s">
        <v>10042</v>
      </c>
      <c r="P1188" s="17">
        <v>46164</v>
      </c>
      <c r="Q1188" s="4">
        <v>12</v>
      </c>
    </row>
    <row r="1189" spans="1:17" x14ac:dyDescent="0.25">
      <c r="A1189" s="2" t="s">
        <v>4023</v>
      </c>
      <c r="B1189" s="3" t="s">
        <v>5015</v>
      </c>
      <c r="C1189" s="3">
        <v>22</v>
      </c>
      <c r="D1189" s="46" t="str">
        <f>IF(Tabla1[[#This Row],[EDAD]]&lt;=35,"Adultos jóvenes 18 - 35 años",IF(C1189&gt;=36,"Adultos mayores 36 años en adelante"))</f>
        <v>Adultos jóvenes 18 - 35 años</v>
      </c>
      <c r="E1189" s="3" t="s">
        <v>5020</v>
      </c>
      <c r="F1189" s="3" t="s">
        <v>5025</v>
      </c>
      <c r="G1189" s="3" t="s">
        <v>5037</v>
      </c>
      <c r="H1189" s="3" t="s">
        <v>9046</v>
      </c>
      <c r="I1189" s="17">
        <v>45803</v>
      </c>
      <c r="J1189" s="18">
        <f>YEAR(Tabla1[[#This Row],[FECHA DE COMPRA]])</f>
        <v>2025</v>
      </c>
      <c r="K1189" s="19">
        <v>170.29</v>
      </c>
      <c r="L1189" s="20">
        <v>0</v>
      </c>
      <c r="M1189" s="19">
        <f>Tienda!$K4302-Tienda!$K4302*Tienda!$L4302</f>
        <v>88.27</v>
      </c>
      <c r="N1189" s="3" t="s">
        <v>10040</v>
      </c>
      <c r="O1189" s="3" t="s">
        <v>10042</v>
      </c>
      <c r="P1189" s="17">
        <v>46163</v>
      </c>
      <c r="Q1189" s="4">
        <v>12</v>
      </c>
    </row>
    <row r="1190" spans="1:17" x14ac:dyDescent="0.25">
      <c r="A1190" s="2" t="s">
        <v>3915</v>
      </c>
      <c r="B1190" s="3" t="s">
        <v>5015</v>
      </c>
      <c r="C1190" s="3">
        <v>28</v>
      </c>
      <c r="D1190" s="46" t="str">
        <f>IF(Tabla1[[#This Row],[EDAD]]&lt;=35,"Adultos jóvenes 18 - 35 años",IF(C1190&gt;=36,"Adultos mayores 36 años en adelante"))</f>
        <v>Adultos jóvenes 18 - 35 años</v>
      </c>
      <c r="E1190" s="3" t="s">
        <v>5021</v>
      </c>
      <c r="F1190" s="3" t="s">
        <v>5027</v>
      </c>
      <c r="G1190" s="3" t="s">
        <v>5034</v>
      </c>
      <c r="H1190" s="3" t="s">
        <v>8938</v>
      </c>
      <c r="I1190" s="17">
        <v>45828</v>
      </c>
      <c r="J1190" s="18">
        <f>YEAR(Tabla1[[#This Row],[FECHA DE COMPRA]])</f>
        <v>2025</v>
      </c>
      <c r="K1190" s="19">
        <v>17.32</v>
      </c>
      <c r="L1190" s="20">
        <v>0</v>
      </c>
      <c r="M1190" s="19">
        <f>Tienda!$K4303-Tienda!$K4303*Tienda!$L4303</f>
        <v>88.448000000000008</v>
      </c>
      <c r="N1190" s="3" t="s">
        <v>10040</v>
      </c>
      <c r="O1190" s="3" t="s">
        <v>10042</v>
      </c>
      <c r="P1190" s="17">
        <v>46188</v>
      </c>
      <c r="Q1190" s="4">
        <v>12</v>
      </c>
    </row>
    <row r="1191" spans="1:17" x14ac:dyDescent="0.25">
      <c r="A1191" s="2" t="s">
        <v>1133</v>
      </c>
      <c r="B1191" s="3" t="s">
        <v>5015</v>
      </c>
      <c r="C1191" s="3">
        <v>29</v>
      </c>
      <c r="D1191" s="46" t="str">
        <f>IF(Tabla1[[#This Row],[EDAD]]&lt;=35,"Adultos jóvenes 18 - 35 años",IF(C1191&gt;=36,"Adultos mayores 36 años en adelante"))</f>
        <v>Adultos jóvenes 18 - 35 años</v>
      </c>
      <c r="E1191" s="3" t="s">
        <v>5023</v>
      </c>
      <c r="F1191" s="3" t="s">
        <v>5024</v>
      </c>
      <c r="G1191" s="3" t="s">
        <v>5033</v>
      </c>
      <c r="H1191" s="3" t="s">
        <v>6156</v>
      </c>
      <c r="I1191" s="17">
        <v>45832</v>
      </c>
      <c r="J1191" s="18">
        <f>YEAR(Tabla1[[#This Row],[FECHA DE COMPRA]])</f>
        <v>2025</v>
      </c>
      <c r="K1191" s="19">
        <v>65.39</v>
      </c>
      <c r="L1191" s="20">
        <v>0</v>
      </c>
      <c r="M1191" s="19">
        <f>Tienda!$K4305-Tienda!$K4305*Tienda!$L4305</f>
        <v>88.83</v>
      </c>
      <c r="N1191" s="3" t="s">
        <v>10040</v>
      </c>
      <c r="O1191" s="3" t="s">
        <v>10042</v>
      </c>
      <c r="P1191" s="17">
        <v>46192</v>
      </c>
      <c r="Q1191" s="4">
        <v>12</v>
      </c>
    </row>
    <row r="1192" spans="1:17" x14ac:dyDescent="0.25">
      <c r="A1192" s="2" t="s">
        <v>1421</v>
      </c>
      <c r="B1192" s="3" t="s">
        <v>5016</v>
      </c>
      <c r="C1192" s="3">
        <v>26</v>
      </c>
      <c r="D1192" s="46" t="str">
        <f>IF(Tabla1[[#This Row],[EDAD]]&lt;=35,"Adultos jóvenes 18 - 35 años",IF(C1192&gt;=36,"Adultos mayores 36 años en adelante"))</f>
        <v>Adultos jóvenes 18 - 35 años</v>
      </c>
      <c r="E1192" s="3" t="s">
        <v>5021</v>
      </c>
      <c r="F1192" s="3" t="s">
        <v>5027</v>
      </c>
      <c r="G1192" s="3" t="s">
        <v>5035</v>
      </c>
      <c r="H1192" s="3" t="s">
        <v>6444</v>
      </c>
      <c r="I1192" s="17">
        <v>45837</v>
      </c>
      <c r="J1192" s="18">
        <f>YEAR(Tabla1[[#This Row],[FECHA DE COMPRA]])</f>
        <v>2025</v>
      </c>
      <c r="K1192" s="19">
        <v>110.94</v>
      </c>
      <c r="L1192" s="20">
        <v>0.3</v>
      </c>
      <c r="M1192" s="19">
        <f>Tienda!$K4306-Tienda!$K4306*Tienda!$L4306</f>
        <v>89.072999999999993</v>
      </c>
      <c r="N1192" s="3" t="s">
        <v>10040</v>
      </c>
      <c r="O1192" s="3" t="s">
        <v>10042</v>
      </c>
      <c r="P1192" s="17">
        <v>46197</v>
      </c>
      <c r="Q1192" s="4">
        <v>12</v>
      </c>
    </row>
    <row r="1193" spans="1:17" x14ac:dyDescent="0.25">
      <c r="A1193" s="2" t="s">
        <v>1471</v>
      </c>
      <c r="B1193" s="3" t="s">
        <v>5016</v>
      </c>
      <c r="C1193" s="3">
        <v>20</v>
      </c>
      <c r="D1193" s="46" t="str">
        <f>IF(Tabla1[[#This Row],[EDAD]]&lt;=35,"Adultos jóvenes 18 - 35 años",IF(C1193&gt;=36,"Adultos mayores 36 años en adelante"))</f>
        <v>Adultos jóvenes 18 - 35 años</v>
      </c>
      <c r="E1193" s="3" t="s">
        <v>5023</v>
      </c>
      <c r="F1193" s="3" t="s">
        <v>5027</v>
      </c>
      <c r="G1193" s="3" t="s">
        <v>5035</v>
      </c>
      <c r="H1193" s="3" t="s">
        <v>6494</v>
      </c>
      <c r="I1193" s="17">
        <v>45813</v>
      </c>
      <c r="J1193" s="18">
        <f>YEAR(Tabla1[[#This Row],[FECHA DE COMPRA]])</f>
        <v>2025</v>
      </c>
      <c r="K1193" s="19">
        <v>133.19999999999999</v>
      </c>
      <c r="L1193" s="20">
        <v>0.1</v>
      </c>
      <c r="M1193" s="19">
        <f>Tienda!$K4308-Tienda!$K4308*Tienda!$L4308</f>
        <v>89.56</v>
      </c>
      <c r="N1193" s="3" t="s">
        <v>10040</v>
      </c>
      <c r="O1193" s="3" t="s">
        <v>10042</v>
      </c>
      <c r="P1193" s="17">
        <v>46173</v>
      </c>
      <c r="Q1193" s="4">
        <v>12</v>
      </c>
    </row>
    <row r="1194" spans="1:17" x14ac:dyDescent="0.25">
      <c r="A1194" s="2" t="s">
        <v>2079</v>
      </c>
      <c r="B1194" s="3" t="s">
        <v>5015</v>
      </c>
      <c r="C1194" s="3">
        <v>29</v>
      </c>
      <c r="D1194" s="46" t="str">
        <f>IF(Tabla1[[#This Row],[EDAD]]&lt;=35,"Adultos jóvenes 18 - 35 años",IF(C1194&gt;=36,"Adultos mayores 36 años en adelante"))</f>
        <v>Adultos jóvenes 18 - 35 años</v>
      </c>
      <c r="E1194" s="3" t="s">
        <v>5022</v>
      </c>
      <c r="F1194" s="3" t="s">
        <v>5025</v>
      </c>
      <c r="G1194" s="3" t="s">
        <v>5036</v>
      </c>
      <c r="H1194" s="3" t="s">
        <v>7102</v>
      </c>
      <c r="I1194" s="17">
        <v>45818</v>
      </c>
      <c r="J1194" s="18">
        <f>YEAR(Tabla1[[#This Row],[FECHA DE COMPRA]])</f>
        <v>2025</v>
      </c>
      <c r="K1194" s="19">
        <v>175.91</v>
      </c>
      <c r="L1194" s="20">
        <v>0</v>
      </c>
      <c r="M1194" s="19">
        <f>Tienda!$K4309-Tienda!$K4309*Tienda!$L4309</f>
        <v>89.85</v>
      </c>
      <c r="N1194" s="3" t="s">
        <v>10040</v>
      </c>
      <c r="O1194" s="3" t="s">
        <v>10042</v>
      </c>
      <c r="P1194" s="17">
        <v>46178</v>
      </c>
      <c r="Q1194" s="4">
        <v>12</v>
      </c>
    </row>
    <row r="1195" spans="1:17" x14ac:dyDescent="0.25">
      <c r="A1195" s="2" t="s">
        <v>2104</v>
      </c>
      <c r="B1195" s="3" t="s">
        <v>5015</v>
      </c>
      <c r="C1195" s="3">
        <v>27</v>
      </c>
      <c r="D1195" s="46" t="str">
        <f>IF(Tabla1[[#This Row],[EDAD]]&lt;=35,"Adultos jóvenes 18 - 35 años",IF(C1195&gt;=36,"Adultos mayores 36 años en adelante"))</f>
        <v>Adultos jóvenes 18 - 35 años</v>
      </c>
      <c r="E1195" s="3" t="s">
        <v>5023</v>
      </c>
      <c r="F1195" s="3" t="s">
        <v>5024</v>
      </c>
      <c r="G1195" s="3" t="s">
        <v>5036</v>
      </c>
      <c r="H1195" s="3" t="s">
        <v>7127</v>
      </c>
      <c r="I1195" s="17">
        <v>45811</v>
      </c>
      <c r="J1195" s="18">
        <f>YEAR(Tabla1[[#This Row],[FECHA DE COMPRA]])</f>
        <v>2025</v>
      </c>
      <c r="K1195" s="19">
        <v>190.31</v>
      </c>
      <c r="L1195" s="20">
        <v>0.2</v>
      </c>
      <c r="M1195" s="19">
        <f>Tienda!$K4310-Tienda!$K4310*Tienda!$L4310</f>
        <v>90.048000000000002</v>
      </c>
      <c r="N1195" s="3" t="s">
        <v>10040</v>
      </c>
      <c r="O1195" s="3" t="s">
        <v>10042</v>
      </c>
      <c r="P1195" s="17">
        <v>46171</v>
      </c>
      <c r="Q1195" s="4">
        <v>12</v>
      </c>
    </row>
    <row r="1196" spans="1:17" x14ac:dyDescent="0.25">
      <c r="A1196" s="2" t="s">
        <v>623</v>
      </c>
      <c r="B1196" s="3" t="s">
        <v>5015</v>
      </c>
      <c r="C1196" s="3">
        <v>34</v>
      </c>
      <c r="D1196" s="46" t="str">
        <f>IF(Tabla1[[#This Row],[EDAD]]&lt;=35,"Adultos jóvenes 18 - 35 años",IF(C1196&gt;=36,"Adultos mayores 36 años en adelante"))</f>
        <v>Adultos jóvenes 18 - 35 años</v>
      </c>
      <c r="E1196" s="3" t="s">
        <v>5018</v>
      </c>
      <c r="F1196" s="3" t="s">
        <v>5024</v>
      </c>
      <c r="G1196" s="3" t="s">
        <v>5031</v>
      </c>
      <c r="H1196" s="3" t="s">
        <v>5646</v>
      </c>
      <c r="I1196" s="17">
        <v>45846</v>
      </c>
      <c r="J1196" s="18">
        <f>YEAR(Tabla1[[#This Row],[FECHA DE COMPRA]])</f>
        <v>2025</v>
      </c>
      <c r="K1196" s="19">
        <v>15.85</v>
      </c>
      <c r="L1196" s="20">
        <v>0.2</v>
      </c>
      <c r="M1196" s="19">
        <f>Tienda!$K4311-Tienda!$K4311*Tienda!$L4311</f>
        <v>90.06</v>
      </c>
      <c r="N1196" s="3" t="s">
        <v>10040</v>
      </c>
      <c r="O1196" s="3" t="s">
        <v>10042</v>
      </c>
      <c r="P1196" s="17">
        <v>46206</v>
      </c>
      <c r="Q1196" s="4">
        <v>12</v>
      </c>
    </row>
    <row r="1197" spans="1:17" x14ac:dyDescent="0.25">
      <c r="A1197" s="2" t="s">
        <v>2761</v>
      </c>
      <c r="B1197" s="3" t="s">
        <v>5015</v>
      </c>
      <c r="C1197" s="3">
        <v>35</v>
      </c>
      <c r="D1197" s="46" t="str">
        <f>IF(Tabla1[[#This Row],[EDAD]]&lt;=35,"Adultos jóvenes 18 - 35 años",IF(C1197&gt;=36,"Adultos mayores 36 años en adelante"))</f>
        <v>Adultos jóvenes 18 - 35 años</v>
      </c>
      <c r="E1197" s="3" t="s">
        <v>5022</v>
      </c>
      <c r="F1197" s="3" t="s">
        <v>5026</v>
      </c>
      <c r="G1197" s="3" t="s">
        <v>5037</v>
      </c>
      <c r="H1197" s="3" t="s">
        <v>7784</v>
      </c>
      <c r="I1197" s="17">
        <v>45856</v>
      </c>
      <c r="J1197" s="18">
        <f>YEAR(Tabla1[[#This Row],[FECHA DE COMPRA]])</f>
        <v>2025</v>
      </c>
      <c r="K1197" s="19">
        <v>63.41</v>
      </c>
      <c r="L1197" s="20">
        <v>0.3</v>
      </c>
      <c r="M1197" s="19">
        <f>Tienda!$K4314-Tienda!$K4314*Tienda!$L4314</f>
        <v>91.27</v>
      </c>
      <c r="N1197" s="3" t="s">
        <v>10040</v>
      </c>
      <c r="O1197" s="3" t="s">
        <v>10042</v>
      </c>
      <c r="P1197" s="17">
        <v>46216</v>
      </c>
      <c r="Q1197" s="4">
        <v>12</v>
      </c>
    </row>
    <row r="1198" spans="1:17" x14ac:dyDescent="0.25">
      <c r="A1198" s="2" t="s">
        <v>3261</v>
      </c>
      <c r="B1198" s="3" t="s">
        <v>5016</v>
      </c>
      <c r="C1198" s="3">
        <v>34</v>
      </c>
      <c r="D1198" s="46" t="str">
        <f>IF(Tabla1[[#This Row],[EDAD]]&lt;=35,"Adultos jóvenes 18 - 35 años",IF(C1198&gt;=36,"Adultos mayores 36 años en adelante"))</f>
        <v>Adultos jóvenes 18 - 35 años</v>
      </c>
      <c r="E1198" s="3" t="s">
        <v>5019</v>
      </c>
      <c r="F1198" s="3" t="s">
        <v>5025</v>
      </c>
      <c r="G1198" s="3" t="s">
        <v>5031</v>
      </c>
      <c r="H1198" s="3" t="s">
        <v>8284</v>
      </c>
      <c r="I1198" s="17">
        <v>45854</v>
      </c>
      <c r="J1198" s="18">
        <f>YEAR(Tabla1[[#This Row],[FECHA DE COMPRA]])</f>
        <v>2025</v>
      </c>
      <c r="K1198" s="19">
        <v>75.78</v>
      </c>
      <c r="L1198" s="20">
        <v>0.2</v>
      </c>
      <c r="M1198" s="19">
        <f>Tienda!$K4315-Tienda!$K4315*Tienda!$L4315</f>
        <v>91.66</v>
      </c>
      <c r="N1198" s="3" t="s">
        <v>10040</v>
      </c>
      <c r="O1198" s="3" t="s">
        <v>10042</v>
      </c>
      <c r="P1198" s="17">
        <v>46214</v>
      </c>
      <c r="Q1198" s="4">
        <v>12</v>
      </c>
    </row>
    <row r="1199" spans="1:17" x14ac:dyDescent="0.25">
      <c r="A1199" s="2" t="s">
        <v>2199</v>
      </c>
      <c r="B1199" s="3" t="s">
        <v>5015</v>
      </c>
      <c r="C1199" s="3">
        <v>23</v>
      </c>
      <c r="D1199" s="46" t="str">
        <f>IF(Tabla1[[#This Row],[EDAD]]&lt;=35,"Adultos jóvenes 18 - 35 años",IF(C1199&gt;=36,"Adultos mayores 36 años en adelante"))</f>
        <v>Adultos jóvenes 18 - 35 años</v>
      </c>
      <c r="E1199" s="3" t="s">
        <v>5021</v>
      </c>
      <c r="F1199" s="3" t="s">
        <v>5027</v>
      </c>
      <c r="G1199" s="3" t="s">
        <v>5032</v>
      </c>
      <c r="H1199" s="3" t="s">
        <v>7222</v>
      </c>
      <c r="I1199" s="17">
        <v>45854</v>
      </c>
      <c r="J1199" s="18">
        <f>YEAR(Tabla1[[#This Row],[FECHA DE COMPRA]])</f>
        <v>2025</v>
      </c>
      <c r="K1199" s="19">
        <v>120.27</v>
      </c>
      <c r="L1199" s="20">
        <v>0.3</v>
      </c>
      <c r="M1199" s="19">
        <f>Tienda!$K4318-Tienda!$K4318*Tienda!$L4318</f>
        <v>93.00200000000001</v>
      </c>
      <c r="N1199" s="3" t="s">
        <v>10040</v>
      </c>
      <c r="O1199" s="3" t="s">
        <v>10042</v>
      </c>
      <c r="P1199" s="17">
        <v>46214</v>
      </c>
      <c r="Q1199" s="4">
        <v>12</v>
      </c>
    </row>
    <row r="1200" spans="1:17" x14ac:dyDescent="0.25">
      <c r="A1200" s="2" t="s">
        <v>4045</v>
      </c>
      <c r="B1200" s="3" t="s">
        <v>5015</v>
      </c>
      <c r="C1200" s="3">
        <v>26</v>
      </c>
      <c r="D1200" s="46" t="str">
        <f>IF(Tabla1[[#This Row],[EDAD]]&lt;=35,"Adultos jóvenes 18 - 35 años",IF(C1200&gt;=36,"Adultos mayores 36 años en adelante"))</f>
        <v>Adultos jóvenes 18 - 35 años</v>
      </c>
      <c r="E1200" s="3" t="s">
        <v>5022</v>
      </c>
      <c r="F1200" s="3" t="s">
        <v>5027</v>
      </c>
      <c r="G1200" s="3" t="s">
        <v>5035</v>
      </c>
      <c r="H1200" s="3" t="s">
        <v>9068</v>
      </c>
      <c r="I1200" s="17">
        <v>45878</v>
      </c>
      <c r="J1200" s="18">
        <f>YEAR(Tabla1[[#This Row],[FECHA DE COMPRA]])</f>
        <v>2025</v>
      </c>
      <c r="K1200" s="19">
        <v>109.98</v>
      </c>
      <c r="L1200" s="20">
        <v>0.2</v>
      </c>
      <c r="M1200" s="19">
        <f>Tienda!$K4323-Tienda!$K4323*Tienda!$L4323</f>
        <v>94.49</v>
      </c>
      <c r="N1200" s="3" t="s">
        <v>10040</v>
      </c>
      <c r="O1200" s="3" t="s">
        <v>10042</v>
      </c>
      <c r="P1200" s="17">
        <v>46238</v>
      </c>
      <c r="Q1200" s="4">
        <v>12</v>
      </c>
    </row>
    <row r="1201" spans="1:17" x14ac:dyDescent="0.25">
      <c r="A1201" s="2" t="s">
        <v>4886</v>
      </c>
      <c r="B1201" s="3" t="s">
        <v>5016</v>
      </c>
      <c r="C1201" s="3">
        <v>30</v>
      </c>
      <c r="D1201" s="46" t="str">
        <f>IF(Tabla1[[#This Row],[EDAD]]&lt;=35,"Adultos jóvenes 18 - 35 años",IF(C1201&gt;=36,"Adultos mayores 36 años en adelante"))</f>
        <v>Adultos jóvenes 18 - 35 años</v>
      </c>
      <c r="E1201" s="3" t="s">
        <v>5017</v>
      </c>
      <c r="F1201" s="3" t="s">
        <v>5025</v>
      </c>
      <c r="G1201" s="3" t="s">
        <v>5036</v>
      </c>
      <c r="H1201" s="3" t="s">
        <v>9909</v>
      </c>
      <c r="I1201" s="17">
        <v>45850</v>
      </c>
      <c r="J1201" s="18">
        <f>YEAR(Tabla1[[#This Row],[FECHA DE COMPRA]])</f>
        <v>2025</v>
      </c>
      <c r="K1201" s="19">
        <v>122.72</v>
      </c>
      <c r="L1201" s="20">
        <v>0.3</v>
      </c>
      <c r="M1201" s="19">
        <f>Tienda!$K4326-Tienda!$K4326*Tienda!$L4326</f>
        <v>95.318999999999988</v>
      </c>
      <c r="N1201" s="3" t="s">
        <v>10040</v>
      </c>
      <c r="O1201" s="3" t="s">
        <v>10042</v>
      </c>
      <c r="P1201" s="17">
        <v>46210</v>
      </c>
      <c r="Q1201" s="4">
        <v>12</v>
      </c>
    </row>
    <row r="1202" spans="1:17" x14ac:dyDescent="0.25">
      <c r="A1202" s="2" t="s">
        <v>954</v>
      </c>
      <c r="B1202" s="3" t="s">
        <v>5015</v>
      </c>
      <c r="C1202" s="3">
        <v>29</v>
      </c>
      <c r="D1202" s="46" t="str">
        <f>IF(Tabla1[[#This Row],[EDAD]]&lt;=35,"Adultos jóvenes 18 - 35 años",IF(C1202&gt;=36,"Adultos mayores 36 años en adelante"))</f>
        <v>Adultos jóvenes 18 - 35 años</v>
      </c>
      <c r="E1202" s="3" t="s">
        <v>5017</v>
      </c>
      <c r="F1202" s="3" t="s">
        <v>5028</v>
      </c>
      <c r="G1202" s="3" t="s">
        <v>5035</v>
      </c>
      <c r="H1202" s="3" t="s">
        <v>5977</v>
      </c>
      <c r="I1202" s="17">
        <v>45860</v>
      </c>
      <c r="J1202" s="18">
        <f>YEAR(Tabla1[[#This Row],[FECHA DE COMPRA]])</f>
        <v>2025</v>
      </c>
      <c r="K1202" s="19">
        <v>142.21</v>
      </c>
      <c r="L1202" s="20">
        <v>0.2</v>
      </c>
      <c r="M1202" s="19">
        <f>Tienda!$K4327-Tienda!$K4327*Tienda!$L4327</f>
        <v>95.337000000000003</v>
      </c>
      <c r="N1202" s="3" t="s">
        <v>10040</v>
      </c>
      <c r="O1202" s="3" t="s">
        <v>10042</v>
      </c>
      <c r="P1202" s="17">
        <v>46220</v>
      </c>
      <c r="Q1202" s="4">
        <v>12</v>
      </c>
    </row>
    <row r="1203" spans="1:17" x14ac:dyDescent="0.25">
      <c r="A1203" s="2" t="s">
        <v>1504</v>
      </c>
      <c r="B1203" s="3" t="s">
        <v>5015</v>
      </c>
      <c r="C1203" s="3">
        <v>20</v>
      </c>
      <c r="D1203" s="46" t="str">
        <f>IF(Tabla1[[#This Row],[EDAD]]&lt;=35,"Adultos jóvenes 18 - 35 años",IF(C1203&gt;=36,"Adultos mayores 36 años en adelante"))</f>
        <v>Adultos jóvenes 18 - 35 años</v>
      </c>
      <c r="E1203" s="3" t="s">
        <v>5020</v>
      </c>
      <c r="F1203" s="3" t="s">
        <v>5024</v>
      </c>
      <c r="G1203" s="3" t="s">
        <v>5031</v>
      </c>
      <c r="H1203" s="3" t="s">
        <v>6527</v>
      </c>
      <c r="I1203" s="17">
        <v>45885</v>
      </c>
      <c r="J1203" s="18">
        <f>YEAR(Tabla1[[#This Row],[FECHA DE COMPRA]])</f>
        <v>2025</v>
      </c>
      <c r="K1203" s="19">
        <v>18.71</v>
      </c>
      <c r="L1203" s="20">
        <v>0.3</v>
      </c>
      <c r="M1203" s="19">
        <f>Tienda!$K4331-Tienda!$K4331*Tienda!$L4331</f>
        <v>96.152000000000015</v>
      </c>
      <c r="N1203" s="3" t="s">
        <v>10040</v>
      </c>
      <c r="O1203" s="3" t="s">
        <v>10042</v>
      </c>
      <c r="P1203" s="17">
        <v>46245</v>
      </c>
      <c r="Q1203" s="4">
        <v>12</v>
      </c>
    </row>
    <row r="1204" spans="1:17" x14ac:dyDescent="0.25">
      <c r="A1204" s="2" t="s">
        <v>1392</v>
      </c>
      <c r="B1204" s="3" t="s">
        <v>5015</v>
      </c>
      <c r="C1204" s="3">
        <v>22</v>
      </c>
      <c r="D1204" s="46" t="str">
        <f>IF(Tabla1[[#This Row],[EDAD]]&lt;=35,"Adultos jóvenes 18 - 35 años",IF(C1204&gt;=36,"Adultos mayores 36 años en adelante"))</f>
        <v>Adultos jóvenes 18 - 35 años</v>
      </c>
      <c r="E1204" s="3" t="s">
        <v>5020</v>
      </c>
      <c r="F1204" s="3" t="s">
        <v>5024</v>
      </c>
      <c r="G1204" s="3" t="s">
        <v>5033</v>
      </c>
      <c r="H1204" s="3" t="s">
        <v>6415</v>
      </c>
      <c r="I1204" s="17">
        <v>45335</v>
      </c>
      <c r="J1204" s="18">
        <f>YEAR(Tabla1[[#This Row],[FECHA DE COMPRA]])</f>
        <v>2024</v>
      </c>
      <c r="K1204" s="19">
        <v>10.220000000000001</v>
      </c>
      <c r="L1204" s="20">
        <v>0.3</v>
      </c>
      <c r="M1204" s="19">
        <f>Tienda!$K903-Tienda!$K903*Tienda!$L903</f>
        <v>193.53</v>
      </c>
      <c r="N1204" s="3" t="s">
        <v>10038</v>
      </c>
      <c r="O1204" s="3" t="s">
        <v>10041</v>
      </c>
      <c r="P1204" s="17">
        <v>45374</v>
      </c>
      <c r="Q1204" s="4">
        <v>0</v>
      </c>
    </row>
    <row r="1205" spans="1:17" x14ac:dyDescent="0.25">
      <c r="A1205" s="2" t="s">
        <v>553</v>
      </c>
      <c r="B1205" s="3" t="s">
        <v>5015</v>
      </c>
      <c r="C1205" s="3">
        <v>21</v>
      </c>
      <c r="D1205" s="46" t="str">
        <f>IF(Tabla1[[#This Row],[EDAD]]&lt;=35,"Adultos jóvenes 18 - 35 años",IF(C1205&gt;=36,"Adultos mayores 36 años en adelante"))</f>
        <v>Adultos jóvenes 18 - 35 años</v>
      </c>
      <c r="E1205" s="3" t="s">
        <v>5017</v>
      </c>
      <c r="F1205" s="3" t="s">
        <v>5027</v>
      </c>
      <c r="G1205" s="3" t="s">
        <v>5037</v>
      </c>
      <c r="H1205" s="3" t="s">
        <v>5576</v>
      </c>
      <c r="I1205" s="17">
        <v>45536</v>
      </c>
      <c r="J1205" s="18">
        <f>YEAR(Tabla1[[#This Row],[FECHA DE COMPRA]])</f>
        <v>2024</v>
      </c>
      <c r="K1205" s="19">
        <v>12.59</v>
      </c>
      <c r="L1205" s="20">
        <v>0.3</v>
      </c>
      <c r="M1205" s="19">
        <f>Tienda!$K914-Tienda!$K914*Tienda!$L914</f>
        <v>133.40699999999998</v>
      </c>
      <c r="N1205" s="3" t="s">
        <v>10038</v>
      </c>
      <c r="O1205" s="3" t="s">
        <v>10041</v>
      </c>
      <c r="P1205" s="17">
        <v>45536</v>
      </c>
      <c r="Q1205" s="4">
        <v>0</v>
      </c>
    </row>
    <row r="1206" spans="1:17" x14ac:dyDescent="0.25">
      <c r="A1206" s="2" t="s">
        <v>4234</v>
      </c>
      <c r="B1206" s="3" t="s">
        <v>5015</v>
      </c>
      <c r="C1206" s="3">
        <v>26</v>
      </c>
      <c r="D1206" s="46" t="str">
        <f>IF(Tabla1[[#This Row],[EDAD]]&lt;=35,"Adultos jóvenes 18 - 35 años",IF(C1206&gt;=36,"Adultos mayores 36 años en adelante"))</f>
        <v>Adultos jóvenes 18 - 35 años</v>
      </c>
      <c r="E1206" s="3" t="s">
        <v>5020</v>
      </c>
      <c r="F1206" s="3" t="s">
        <v>5029</v>
      </c>
      <c r="G1206" s="3" t="s">
        <v>5032</v>
      </c>
      <c r="H1206" s="3" t="s">
        <v>9257</v>
      </c>
      <c r="I1206" s="17">
        <v>45312</v>
      </c>
      <c r="J1206" s="18">
        <f>YEAR(Tabla1[[#This Row],[FECHA DE COMPRA]])</f>
        <v>2024</v>
      </c>
      <c r="K1206" s="19">
        <v>11.02</v>
      </c>
      <c r="L1206" s="20">
        <v>0.2</v>
      </c>
      <c r="M1206" s="19">
        <f>Tienda!$K915-Tienda!$K915*Tienda!$L915</f>
        <v>133.596</v>
      </c>
      <c r="N1206" s="3" t="s">
        <v>10038</v>
      </c>
      <c r="O1206" s="3" t="s">
        <v>10041</v>
      </c>
      <c r="P1206" s="17">
        <v>45312</v>
      </c>
      <c r="Q1206" s="4">
        <v>0</v>
      </c>
    </row>
    <row r="1207" spans="1:17" x14ac:dyDescent="0.25">
      <c r="A1207" s="2" t="s">
        <v>3674</v>
      </c>
      <c r="B1207" s="3" t="s">
        <v>5015</v>
      </c>
      <c r="C1207" s="3">
        <v>25</v>
      </c>
      <c r="D1207" s="46" t="str">
        <f>IF(Tabla1[[#This Row],[EDAD]]&lt;=35,"Adultos jóvenes 18 - 35 años",IF(C1207&gt;=36,"Adultos mayores 36 años en adelante"))</f>
        <v>Adultos jóvenes 18 - 35 años</v>
      </c>
      <c r="E1207" s="3" t="s">
        <v>5023</v>
      </c>
      <c r="F1207" s="3" t="s">
        <v>5028</v>
      </c>
      <c r="G1207" s="3" t="s">
        <v>5035</v>
      </c>
      <c r="H1207" s="3" t="s">
        <v>8697</v>
      </c>
      <c r="I1207" s="17">
        <v>45310</v>
      </c>
      <c r="J1207" s="18">
        <f>YEAR(Tabla1[[#This Row],[FECHA DE COMPRA]])</f>
        <v>2024</v>
      </c>
      <c r="K1207" s="19">
        <v>12.83</v>
      </c>
      <c r="L1207" s="20">
        <v>0.3</v>
      </c>
      <c r="M1207" s="19">
        <f>Tienda!$K916-Tienda!$K916*Tienda!$L916</f>
        <v>168.65099999999998</v>
      </c>
      <c r="N1207" s="3" t="s">
        <v>10038</v>
      </c>
      <c r="O1207" s="3" t="s">
        <v>10041</v>
      </c>
      <c r="P1207" s="17">
        <v>45310</v>
      </c>
      <c r="Q1207" s="4">
        <v>0</v>
      </c>
    </row>
    <row r="1208" spans="1:17" x14ac:dyDescent="0.25">
      <c r="A1208" s="2" t="s">
        <v>2871</v>
      </c>
      <c r="B1208" s="3" t="s">
        <v>5015</v>
      </c>
      <c r="C1208" s="3">
        <v>19</v>
      </c>
      <c r="D1208" s="46" t="str">
        <f>IF(Tabla1[[#This Row],[EDAD]]&lt;=35,"Adultos jóvenes 18 - 35 años",IF(C1208&gt;=36,"Adultos mayores 36 años en adelante"))</f>
        <v>Adultos jóvenes 18 - 35 años</v>
      </c>
      <c r="E1208" s="3" t="s">
        <v>5018</v>
      </c>
      <c r="F1208" s="3" t="s">
        <v>5027</v>
      </c>
      <c r="G1208" s="3" t="s">
        <v>5037</v>
      </c>
      <c r="H1208" s="3" t="s">
        <v>7894</v>
      </c>
      <c r="I1208" s="17">
        <v>45390</v>
      </c>
      <c r="J1208" s="18">
        <f>YEAR(Tabla1[[#This Row],[FECHA DE COMPRA]])</f>
        <v>2024</v>
      </c>
      <c r="K1208" s="19">
        <v>10.34</v>
      </c>
      <c r="L1208" s="20">
        <v>0.1</v>
      </c>
      <c r="M1208" s="19">
        <f>Tienda!$K921-Tienda!$K921*Tienda!$L921</f>
        <v>16.359000000000002</v>
      </c>
      <c r="N1208" s="3" t="s">
        <v>10038</v>
      </c>
      <c r="O1208" s="3" t="s">
        <v>10041</v>
      </c>
      <c r="P1208" s="17">
        <v>45390</v>
      </c>
      <c r="Q1208" s="4">
        <v>0</v>
      </c>
    </row>
    <row r="1209" spans="1:17" x14ac:dyDescent="0.25">
      <c r="A1209" s="2" t="s">
        <v>1849</v>
      </c>
      <c r="B1209" s="3" t="s">
        <v>5016</v>
      </c>
      <c r="C1209" s="3">
        <v>31</v>
      </c>
      <c r="D1209" s="46" t="str">
        <f>IF(Tabla1[[#This Row],[EDAD]]&lt;=35,"Adultos jóvenes 18 - 35 años",IF(C1209&gt;=36,"Adultos mayores 36 años en adelante"))</f>
        <v>Adultos jóvenes 18 - 35 años</v>
      </c>
      <c r="E1209" s="3" t="s">
        <v>5023</v>
      </c>
      <c r="F1209" s="3" t="s">
        <v>5029</v>
      </c>
      <c r="G1209" s="3" t="s">
        <v>5032</v>
      </c>
      <c r="H1209" s="3" t="s">
        <v>6872</v>
      </c>
      <c r="I1209" s="17">
        <v>45470</v>
      </c>
      <c r="J1209" s="18">
        <f>YEAR(Tabla1[[#This Row],[FECHA DE COMPRA]])</f>
        <v>2024</v>
      </c>
      <c r="K1209" s="19">
        <v>12.91</v>
      </c>
      <c r="L1209" s="20">
        <v>0.2</v>
      </c>
      <c r="M1209" s="19">
        <f>Tienda!$K926-Tienda!$K926*Tienda!$L926</f>
        <v>115.53</v>
      </c>
      <c r="N1209" s="3" t="s">
        <v>10038</v>
      </c>
      <c r="O1209" s="3" t="s">
        <v>10041</v>
      </c>
      <c r="P1209" s="17">
        <v>45740</v>
      </c>
      <c r="Q1209" s="4">
        <v>0</v>
      </c>
    </row>
    <row r="1210" spans="1:17" x14ac:dyDescent="0.25">
      <c r="A1210" s="2" t="s">
        <v>3823</v>
      </c>
      <c r="B1210" s="3" t="s">
        <v>5015</v>
      </c>
      <c r="C1210" s="3">
        <v>24</v>
      </c>
      <c r="D1210" s="46" t="str">
        <f>IF(Tabla1[[#This Row],[EDAD]]&lt;=35,"Adultos jóvenes 18 - 35 años",IF(C1210&gt;=36,"Adultos mayores 36 años en adelante"))</f>
        <v>Adultos jóvenes 18 - 35 años</v>
      </c>
      <c r="E1210" s="3" t="s">
        <v>5022</v>
      </c>
      <c r="F1210" s="3" t="s">
        <v>5030</v>
      </c>
      <c r="G1210" s="3" t="s">
        <v>5033</v>
      </c>
      <c r="H1210" s="3" t="s">
        <v>8846</v>
      </c>
      <c r="I1210" s="17">
        <v>45390</v>
      </c>
      <c r="J1210" s="18">
        <f>YEAR(Tabla1[[#This Row],[FECHA DE COMPRA]])</f>
        <v>2024</v>
      </c>
      <c r="K1210" s="19">
        <v>14</v>
      </c>
      <c r="L1210" s="20">
        <v>0.2</v>
      </c>
      <c r="M1210" s="19">
        <f>Tienda!$K936-Tienda!$K936*Tienda!$L936</f>
        <v>47.351999999999997</v>
      </c>
      <c r="N1210" s="3" t="s">
        <v>10038</v>
      </c>
      <c r="O1210" s="3" t="s">
        <v>10041</v>
      </c>
      <c r="P1210" s="17">
        <v>45480</v>
      </c>
      <c r="Q1210" s="4">
        <v>0</v>
      </c>
    </row>
    <row r="1211" spans="1:17" x14ac:dyDescent="0.25">
      <c r="A1211" s="2" t="s">
        <v>1603</v>
      </c>
      <c r="B1211" s="3" t="s">
        <v>5015</v>
      </c>
      <c r="C1211" s="3">
        <v>25</v>
      </c>
      <c r="D1211" s="46" t="str">
        <f>IF(Tabla1[[#This Row],[EDAD]]&lt;=35,"Adultos jóvenes 18 - 35 años",IF(C1211&gt;=36,"Adultos mayores 36 años en adelante"))</f>
        <v>Adultos jóvenes 18 - 35 años</v>
      </c>
      <c r="E1211" s="3" t="s">
        <v>5020</v>
      </c>
      <c r="F1211" s="3" t="s">
        <v>5030</v>
      </c>
      <c r="G1211" s="3" t="s">
        <v>5036</v>
      </c>
      <c r="H1211" s="3" t="s">
        <v>6626</v>
      </c>
      <c r="I1211" s="17">
        <v>45439</v>
      </c>
      <c r="J1211" s="18">
        <f>YEAR(Tabla1[[#This Row],[FECHA DE COMPRA]])</f>
        <v>2024</v>
      </c>
      <c r="K1211" s="19">
        <v>14.96</v>
      </c>
      <c r="L1211" s="20">
        <v>0.2</v>
      </c>
      <c r="M1211" s="19">
        <f>Tienda!$K945-Tienda!$K945*Tienda!$L945</f>
        <v>70.775999999999996</v>
      </c>
      <c r="N1211" s="3" t="s">
        <v>10038</v>
      </c>
      <c r="O1211" s="3" t="s">
        <v>10041</v>
      </c>
      <c r="P1211" s="17">
        <v>45439</v>
      </c>
      <c r="Q1211" s="4">
        <v>0</v>
      </c>
    </row>
    <row r="1212" spans="1:17" x14ac:dyDescent="0.25">
      <c r="A1212" s="2" t="s">
        <v>2930</v>
      </c>
      <c r="B1212" s="3" t="s">
        <v>5015</v>
      </c>
      <c r="C1212" s="3">
        <v>19</v>
      </c>
      <c r="D1212" s="46" t="str">
        <f>IF(Tabla1[[#This Row],[EDAD]]&lt;=35,"Adultos jóvenes 18 - 35 años",IF(C1212&gt;=36,"Adultos mayores 36 años en adelante"))</f>
        <v>Adultos jóvenes 18 - 35 años</v>
      </c>
      <c r="E1212" s="3" t="s">
        <v>5017</v>
      </c>
      <c r="F1212" s="3" t="s">
        <v>5026</v>
      </c>
      <c r="G1212" s="3" t="s">
        <v>5033</v>
      </c>
      <c r="H1212" s="3" t="s">
        <v>7953</v>
      </c>
      <c r="I1212" s="17">
        <v>45349</v>
      </c>
      <c r="J1212" s="18">
        <f>YEAR(Tabla1[[#This Row],[FECHA DE COMPRA]])</f>
        <v>2024</v>
      </c>
      <c r="K1212" s="19">
        <v>12.36</v>
      </c>
      <c r="L1212" s="20">
        <v>0</v>
      </c>
      <c r="M1212" s="19">
        <f>Tienda!$K949-Tienda!$K949*Tienda!$L949</f>
        <v>15.449000000000002</v>
      </c>
      <c r="N1212" s="3" t="s">
        <v>10038</v>
      </c>
      <c r="O1212" s="3" t="s">
        <v>10041</v>
      </c>
      <c r="P1212" s="17">
        <v>45529</v>
      </c>
      <c r="Q1212" s="4">
        <v>0</v>
      </c>
    </row>
    <row r="1213" spans="1:17" x14ac:dyDescent="0.25">
      <c r="A1213" s="2" t="s">
        <v>1817</v>
      </c>
      <c r="B1213" s="3" t="s">
        <v>5015</v>
      </c>
      <c r="C1213" s="3">
        <v>32</v>
      </c>
      <c r="D1213" s="46" t="str">
        <f>IF(Tabla1[[#This Row],[EDAD]]&lt;=35,"Adultos jóvenes 18 - 35 años",IF(C1213&gt;=36,"Adultos mayores 36 años en adelante"))</f>
        <v>Adultos jóvenes 18 - 35 años</v>
      </c>
      <c r="E1213" s="3" t="s">
        <v>5018</v>
      </c>
      <c r="F1213" s="3" t="s">
        <v>5029</v>
      </c>
      <c r="G1213" s="3" t="s">
        <v>5032</v>
      </c>
      <c r="H1213" s="3" t="s">
        <v>6840</v>
      </c>
      <c r="I1213" s="17">
        <v>45353</v>
      </c>
      <c r="J1213" s="18">
        <f>YEAR(Tabla1[[#This Row],[FECHA DE COMPRA]])</f>
        <v>2024</v>
      </c>
      <c r="K1213" s="19">
        <v>13.76</v>
      </c>
      <c r="L1213" s="20">
        <v>0.1</v>
      </c>
      <c r="M1213" s="19">
        <f>Tienda!$K950-Tienda!$K950*Tienda!$L950</f>
        <v>126.21600000000001</v>
      </c>
      <c r="N1213" s="3" t="s">
        <v>10038</v>
      </c>
      <c r="O1213" s="3" t="s">
        <v>10041</v>
      </c>
      <c r="P1213" s="17">
        <v>45353</v>
      </c>
      <c r="Q1213" s="4">
        <v>0</v>
      </c>
    </row>
    <row r="1214" spans="1:17" x14ac:dyDescent="0.25">
      <c r="A1214" s="2" t="s">
        <v>1071</v>
      </c>
      <c r="B1214" s="3" t="s">
        <v>5015</v>
      </c>
      <c r="C1214" s="3">
        <v>28</v>
      </c>
      <c r="D1214" s="46" t="str">
        <f>IF(Tabla1[[#This Row],[EDAD]]&lt;=35,"Adultos jóvenes 18 - 35 años",IF(C1214&gt;=36,"Adultos mayores 36 años en adelante"))</f>
        <v>Adultos jóvenes 18 - 35 años</v>
      </c>
      <c r="E1214" s="3" t="s">
        <v>5022</v>
      </c>
      <c r="F1214" s="3" t="s">
        <v>5026</v>
      </c>
      <c r="G1214" s="3" t="s">
        <v>5033</v>
      </c>
      <c r="H1214" s="3" t="s">
        <v>6094</v>
      </c>
      <c r="I1214" s="17">
        <v>45624</v>
      </c>
      <c r="J1214" s="18">
        <f>YEAR(Tabla1[[#This Row],[FECHA DE COMPRA]])</f>
        <v>2024</v>
      </c>
      <c r="K1214" s="19">
        <v>17.809999999999999</v>
      </c>
      <c r="L1214" s="20">
        <v>0.3</v>
      </c>
      <c r="M1214" s="19">
        <f>Tienda!$K952-Tienda!$K952*Tienda!$L952</f>
        <v>60.19</v>
      </c>
      <c r="N1214" s="3" t="s">
        <v>10038</v>
      </c>
      <c r="O1214" s="3" t="s">
        <v>10041</v>
      </c>
      <c r="P1214" s="17">
        <v>45757</v>
      </c>
      <c r="Q1214" s="4">
        <v>0</v>
      </c>
    </row>
    <row r="1215" spans="1:17" x14ac:dyDescent="0.25">
      <c r="A1215" s="2" t="s">
        <v>1479</v>
      </c>
      <c r="B1215" s="3" t="s">
        <v>5016</v>
      </c>
      <c r="C1215" s="3">
        <v>32</v>
      </c>
      <c r="D1215" s="46" t="str">
        <f>IF(Tabla1[[#This Row],[EDAD]]&lt;=35,"Adultos jóvenes 18 - 35 años",IF(C1215&gt;=36,"Adultos mayores 36 años en adelante"))</f>
        <v>Adultos jóvenes 18 - 35 años</v>
      </c>
      <c r="E1215" s="3" t="s">
        <v>5017</v>
      </c>
      <c r="F1215" s="3" t="s">
        <v>5029</v>
      </c>
      <c r="G1215" s="3" t="s">
        <v>5031</v>
      </c>
      <c r="H1215" s="3" t="s">
        <v>6502</v>
      </c>
      <c r="I1215" s="17">
        <v>45362</v>
      </c>
      <c r="J1215" s="18">
        <f>YEAR(Tabla1[[#This Row],[FECHA DE COMPRA]])</f>
        <v>2024</v>
      </c>
      <c r="K1215" s="19">
        <v>12.49</v>
      </c>
      <c r="L1215" s="20">
        <v>0</v>
      </c>
      <c r="M1215" s="19">
        <f>Tienda!$K953-Tienda!$K953*Tienda!$L953</f>
        <v>58.448</v>
      </c>
      <c r="N1215" s="3" t="s">
        <v>10038</v>
      </c>
      <c r="O1215" s="3" t="s">
        <v>10041</v>
      </c>
      <c r="P1215" s="17">
        <v>45362</v>
      </c>
      <c r="Q1215" s="4">
        <v>0</v>
      </c>
    </row>
    <row r="1216" spans="1:17" x14ac:dyDescent="0.25">
      <c r="A1216" s="2" t="s">
        <v>4094</v>
      </c>
      <c r="B1216" s="3" t="s">
        <v>5016</v>
      </c>
      <c r="C1216" s="3">
        <v>32</v>
      </c>
      <c r="D1216" s="46" t="str">
        <f>IF(Tabla1[[#This Row],[EDAD]]&lt;=35,"Adultos jóvenes 18 - 35 años",IF(C1216&gt;=36,"Adultos mayores 36 años en adelante"))</f>
        <v>Adultos jóvenes 18 - 35 años</v>
      </c>
      <c r="E1216" s="3" t="s">
        <v>5017</v>
      </c>
      <c r="F1216" s="3" t="s">
        <v>5026</v>
      </c>
      <c r="G1216" s="3" t="s">
        <v>5031</v>
      </c>
      <c r="H1216" s="3" t="s">
        <v>9117</v>
      </c>
      <c r="I1216" s="17">
        <v>45347</v>
      </c>
      <c r="J1216" s="18">
        <f>YEAR(Tabla1[[#This Row],[FECHA DE COMPRA]])</f>
        <v>2024</v>
      </c>
      <c r="K1216" s="19">
        <v>18.940000000000001</v>
      </c>
      <c r="L1216" s="20">
        <v>0.3</v>
      </c>
      <c r="M1216" s="19">
        <f>Tienda!$K958-Tienda!$K958*Tienda!$L958</f>
        <v>90.287999999999997</v>
      </c>
      <c r="N1216" s="3" t="s">
        <v>10038</v>
      </c>
      <c r="O1216" s="3" t="s">
        <v>10041</v>
      </c>
      <c r="P1216" s="17">
        <v>45347</v>
      </c>
      <c r="Q1216" s="4">
        <v>0</v>
      </c>
    </row>
    <row r="1217" spans="1:17" x14ac:dyDescent="0.25">
      <c r="A1217" s="2" t="s">
        <v>4347</v>
      </c>
      <c r="B1217" s="3" t="s">
        <v>5015</v>
      </c>
      <c r="C1217" s="3">
        <v>25</v>
      </c>
      <c r="D1217" s="46" t="str">
        <f>IF(Tabla1[[#This Row],[EDAD]]&lt;=35,"Adultos jóvenes 18 - 35 años",IF(C1217&gt;=36,"Adultos mayores 36 años en adelante"))</f>
        <v>Adultos jóvenes 18 - 35 años</v>
      </c>
      <c r="E1217" s="3" t="s">
        <v>5017</v>
      </c>
      <c r="F1217" s="3" t="s">
        <v>5026</v>
      </c>
      <c r="G1217" s="3" t="s">
        <v>5034</v>
      </c>
      <c r="H1217" s="3" t="s">
        <v>9370</v>
      </c>
      <c r="I1217" s="17">
        <v>45502</v>
      </c>
      <c r="J1217" s="18">
        <f>YEAR(Tabla1[[#This Row],[FECHA DE COMPRA]])</f>
        <v>2024</v>
      </c>
      <c r="K1217" s="19">
        <v>16.38</v>
      </c>
      <c r="L1217" s="20">
        <v>0.1</v>
      </c>
      <c r="M1217" s="19">
        <f>Tienda!$K973-Tienda!$K973*Tienda!$L973</f>
        <v>88.048000000000002</v>
      </c>
      <c r="N1217" s="3" t="s">
        <v>10038</v>
      </c>
      <c r="O1217" s="3" t="s">
        <v>10041</v>
      </c>
      <c r="P1217" s="17">
        <v>45502</v>
      </c>
      <c r="Q1217" s="4">
        <v>0</v>
      </c>
    </row>
    <row r="1218" spans="1:17" x14ac:dyDescent="0.25">
      <c r="A1218" s="2" t="s">
        <v>3566</v>
      </c>
      <c r="B1218" s="3" t="s">
        <v>5016</v>
      </c>
      <c r="C1218" s="3">
        <v>28</v>
      </c>
      <c r="D1218" s="46" t="str">
        <f>IF(Tabla1[[#This Row],[EDAD]]&lt;=35,"Adultos jóvenes 18 - 35 años",IF(C1218&gt;=36,"Adultos mayores 36 años en adelante"))</f>
        <v>Adultos jóvenes 18 - 35 años</v>
      </c>
      <c r="E1218" s="3" t="s">
        <v>5023</v>
      </c>
      <c r="F1218" s="3" t="s">
        <v>5024</v>
      </c>
      <c r="G1218" s="3" t="s">
        <v>5031</v>
      </c>
      <c r="H1218" s="3" t="s">
        <v>8589</v>
      </c>
      <c r="I1218" s="17">
        <v>45375</v>
      </c>
      <c r="J1218" s="18">
        <f>YEAR(Tabla1[[#This Row],[FECHA DE COMPRA]])</f>
        <v>2024</v>
      </c>
      <c r="K1218" s="19">
        <v>18.510000000000002</v>
      </c>
      <c r="L1218" s="20">
        <v>0.2</v>
      </c>
      <c r="M1218" s="19">
        <f>Tienda!$K974-Tienda!$K974*Tienda!$L974</f>
        <v>77.203000000000003</v>
      </c>
      <c r="N1218" s="3" t="s">
        <v>10038</v>
      </c>
      <c r="O1218" s="3" t="s">
        <v>10041</v>
      </c>
      <c r="P1218" s="17">
        <v>45375</v>
      </c>
      <c r="Q1218" s="4">
        <v>0</v>
      </c>
    </row>
    <row r="1219" spans="1:17" x14ac:dyDescent="0.25">
      <c r="A1219" s="2" t="s">
        <v>4355</v>
      </c>
      <c r="B1219" s="3" t="s">
        <v>5016</v>
      </c>
      <c r="C1219" s="3">
        <v>24</v>
      </c>
      <c r="D1219" s="46" t="str">
        <f>IF(Tabla1[[#This Row],[EDAD]]&lt;=35,"Adultos jóvenes 18 - 35 años",IF(C1219&gt;=36,"Adultos mayores 36 años en adelante"))</f>
        <v>Adultos jóvenes 18 - 35 años</v>
      </c>
      <c r="E1219" s="3" t="s">
        <v>5017</v>
      </c>
      <c r="F1219" s="3" t="s">
        <v>5027</v>
      </c>
      <c r="G1219" s="3" t="s">
        <v>5036</v>
      </c>
      <c r="H1219" s="3" t="s">
        <v>9378</v>
      </c>
      <c r="I1219" s="17">
        <v>45411</v>
      </c>
      <c r="J1219" s="18">
        <f>YEAR(Tabla1[[#This Row],[FECHA DE COMPRA]])</f>
        <v>2024</v>
      </c>
      <c r="K1219" s="19">
        <v>18.7</v>
      </c>
      <c r="L1219" s="20">
        <v>0.2</v>
      </c>
      <c r="M1219" s="19">
        <f>Tienda!$K975-Tienda!$K975*Tienda!$L975</f>
        <v>85.686999999999998</v>
      </c>
      <c r="N1219" s="3" t="s">
        <v>10038</v>
      </c>
      <c r="O1219" s="3" t="s">
        <v>10041</v>
      </c>
      <c r="P1219" s="17">
        <v>45411</v>
      </c>
      <c r="Q1219" s="4">
        <v>0</v>
      </c>
    </row>
    <row r="1220" spans="1:17" x14ac:dyDescent="0.25">
      <c r="A1220" s="2" t="s">
        <v>2484</v>
      </c>
      <c r="B1220" s="3" t="s">
        <v>5015</v>
      </c>
      <c r="C1220" s="3">
        <v>33</v>
      </c>
      <c r="D1220" s="46" t="str">
        <f>IF(Tabla1[[#This Row],[EDAD]]&lt;=35,"Adultos jóvenes 18 - 35 años",IF(C1220&gt;=36,"Adultos mayores 36 años en adelante"))</f>
        <v>Adultos jóvenes 18 - 35 años</v>
      </c>
      <c r="E1220" s="3" t="s">
        <v>5017</v>
      </c>
      <c r="F1220" s="3" t="s">
        <v>5026</v>
      </c>
      <c r="G1220" s="3" t="s">
        <v>5036</v>
      </c>
      <c r="H1220" s="3" t="s">
        <v>7507</v>
      </c>
      <c r="I1220" s="17">
        <v>45456</v>
      </c>
      <c r="J1220" s="18">
        <f>YEAR(Tabla1[[#This Row],[FECHA DE COMPRA]])</f>
        <v>2024</v>
      </c>
      <c r="K1220" s="19">
        <v>15.08</v>
      </c>
      <c r="L1220" s="20">
        <v>0</v>
      </c>
      <c r="M1220" s="19">
        <f>Tienda!$K977-Tienda!$K977*Tienda!$L977</f>
        <v>113.607</v>
      </c>
      <c r="N1220" s="3" t="s">
        <v>10038</v>
      </c>
      <c r="O1220" s="3" t="s">
        <v>10041</v>
      </c>
      <c r="P1220" s="17">
        <v>45456</v>
      </c>
      <c r="Q1220" s="4">
        <v>0</v>
      </c>
    </row>
    <row r="1221" spans="1:17" x14ac:dyDescent="0.25">
      <c r="A1221" s="2" t="s">
        <v>4680</v>
      </c>
      <c r="B1221" s="3" t="s">
        <v>5015</v>
      </c>
      <c r="C1221" s="3">
        <v>29</v>
      </c>
      <c r="D1221" s="46" t="str">
        <f>IF(Tabla1[[#This Row],[EDAD]]&lt;=35,"Adultos jóvenes 18 - 35 años",IF(C1221&gt;=36,"Adultos mayores 36 años en adelante"))</f>
        <v>Adultos jóvenes 18 - 35 años</v>
      </c>
      <c r="E1221" s="3" t="s">
        <v>5021</v>
      </c>
      <c r="F1221" s="3" t="s">
        <v>5026</v>
      </c>
      <c r="G1221" s="3" t="s">
        <v>5037</v>
      </c>
      <c r="H1221" s="3" t="s">
        <v>9703</v>
      </c>
      <c r="I1221" s="17">
        <v>45335</v>
      </c>
      <c r="J1221" s="18">
        <f>YEAR(Tabla1[[#This Row],[FECHA DE COMPRA]])</f>
        <v>2024</v>
      </c>
      <c r="K1221" s="19">
        <v>15.08</v>
      </c>
      <c r="L1221" s="20">
        <v>0</v>
      </c>
      <c r="M1221" s="19">
        <f>Tienda!$K978-Tienda!$K978*Tienda!$L978</f>
        <v>104.06400000000001</v>
      </c>
      <c r="N1221" s="3" t="s">
        <v>10038</v>
      </c>
      <c r="O1221" s="3" t="s">
        <v>10041</v>
      </c>
      <c r="P1221" s="17">
        <v>45368</v>
      </c>
      <c r="Q1221" s="4">
        <v>0</v>
      </c>
    </row>
    <row r="1222" spans="1:17" x14ac:dyDescent="0.25">
      <c r="A1222" s="2" t="s">
        <v>1810</v>
      </c>
      <c r="B1222" s="3" t="s">
        <v>5015</v>
      </c>
      <c r="C1222" s="3">
        <v>27</v>
      </c>
      <c r="D1222" s="46" t="str">
        <f>IF(Tabla1[[#This Row],[EDAD]]&lt;=35,"Adultos jóvenes 18 - 35 años",IF(C1222&gt;=36,"Adultos mayores 36 años en adelante"))</f>
        <v>Adultos jóvenes 18 - 35 años</v>
      </c>
      <c r="E1222" s="3" t="s">
        <v>5021</v>
      </c>
      <c r="F1222" s="3" t="s">
        <v>5026</v>
      </c>
      <c r="G1222" s="3" t="s">
        <v>5035</v>
      </c>
      <c r="H1222" s="3" t="s">
        <v>6833</v>
      </c>
      <c r="I1222" s="17">
        <v>45315</v>
      </c>
      <c r="J1222" s="18">
        <f>YEAR(Tabla1[[#This Row],[FECHA DE COMPRA]])</f>
        <v>2024</v>
      </c>
      <c r="K1222" s="19">
        <v>22.38</v>
      </c>
      <c r="L1222" s="20">
        <v>0.3</v>
      </c>
      <c r="M1222" s="19">
        <f>Tienda!$K983-Tienda!$K983*Tienda!$L983</f>
        <v>162.54900000000001</v>
      </c>
      <c r="N1222" s="3" t="s">
        <v>10038</v>
      </c>
      <c r="O1222" s="3" t="s">
        <v>10041</v>
      </c>
      <c r="P1222" s="17">
        <v>45315</v>
      </c>
      <c r="Q1222" s="4">
        <v>0</v>
      </c>
    </row>
    <row r="1223" spans="1:17" x14ac:dyDescent="0.25">
      <c r="A1223" s="2" t="s">
        <v>2471</v>
      </c>
      <c r="B1223" s="3" t="s">
        <v>5015</v>
      </c>
      <c r="C1223" s="3">
        <v>28</v>
      </c>
      <c r="D1223" s="46" t="str">
        <f>IF(Tabla1[[#This Row],[EDAD]]&lt;=35,"Adultos jóvenes 18 - 35 años",IF(C1223&gt;=36,"Adultos mayores 36 años en adelante"))</f>
        <v>Adultos jóvenes 18 - 35 años</v>
      </c>
      <c r="E1223" s="3" t="s">
        <v>5017</v>
      </c>
      <c r="F1223" s="3" t="s">
        <v>5030</v>
      </c>
      <c r="G1223" s="3" t="s">
        <v>5032</v>
      </c>
      <c r="H1223" s="3" t="s">
        <v>7494</v>
      </c>
      <c r="I1223" s="17">
        <v>45406</v>
      </c>
      <c r="J1223" s="18">
        <f>YEAR(Tabla1[[#This Row],[FECHA DE COMPRA]])</f>
        <v>2024</v>
      </c>
      <c r="K1223" s="19">
        <v>22.49</v>
      </c>
      <c r="L1223" s="20">
        <v>0.3</v>
      </c>
      <c r="M1223" s="19">
        <f>Tienda!$K985-Tienda!$K985*Tienda!$L985</f>
        <v>159.16800000000001</v>
      </c>
      <c r="N1223" s="3" t="s">
        <v>10038</v>
      </c>
      <c r="O1223" s="3" t="s">
        <v>10041</v>
      </c>
      <c r="P1223" s="17">
        <v>45406</v>
      </c>
      <c r="Q1223" s="4">
        <v>0</v>
      </c>
    </row>
    <row r="1224" spans="1:17" x14ac:dyDescent="0.25">
      <c r="A1224" s="2" t="s">
        <v>1120</v>
      </c>
      <c r="B1224" s="3" t="s">
        <v>5015</v>
      </c>
      <c r="C1224" s="3">
        <v>30</v>
      </c>
      <c r="D1224" s="46" t="str">
        <f>IF(Tabla1[[#This Row],[EDAD]]&lt;=35,"Adultos jóvenes 18 - 35 años",IF(C1224&gt;=36,"Adultos mayores 36 años en adelante"))</f>
        <v>Adultos jóvenes 18 - 35 años</v>
      </c>
      <c r="E1224" s="3" t="s">
        <v>5023</v>
      </c>
      <c r="F1224" s="3" t="s">
        <v>5029</v>
      </c>
      <c r="G1224" s="3" t="s">
        <v>5033</v>
      </c>
      <c r="H1224" s="3" t="s">
        <v>6143</v>
      </c>
      <c r="I1224" s="17">
        <v>45600</v>
      </c>
      <c r="J1224" s="18">
        <f>YEAR(Tabla1[[#This Row],[FECHA DE COMPRA]])</f>
        <v>2024</v>
      </c>
      <c r="K1224" s="19">
        <v>17.8</v>
      </c>
      <c r="L1224" s="20">
        <v>0.1</v>
      </c>
      <c r="M1224" s="19">
        <f>Tienda!$K988-Tienda!$K988*Tienda!$L988</f>
        <v>70.152000000000001</v>
      </c>
      <c r="N1224" s="3" t="s">
        <v>10038</v>
      </c>
      <c r="O1224" s="3" t="s">
        <v>10041</v>
      </c>
      <c r="P1224" s="17">
        <v>45600</v>
      </c>
      <c r="Q1224" s="4">
        <v>0</v>
      </c>
    </row>
    <row r="1225" spans="1:17" x14ac:dyDescent="0.25">
      <c r="A1225" s="2" t="s">
        <v>3053</v>
      </c>
      <c r="B1225" s="3" t="s">
        <v>5015</v>
      </c>
      <c r="C1225" s="3">
        <v>29</v>
      </c>
      <c r="D1225" s="46" t="str">
        <f>IF(Tabla1[[#This Row],[EDAD]]&lt;=35,"Adultos jóvenes 18 - 35 años",IF(C1225&gt;=36,"Adultos mayores 36 años en adelante"))</f>
        <v>Adultos jóvenes 18 - 35 años</v>
      </c>
      <c r="E1225" s="3" t="s">
        <v>5017</v>
      </c>
      <c r="F1225" s="3" t="s">
        <v>5029</v>
      </c>
      <c r="G1225" s="3" t="s">
        <v>5035</v>
      </c>
      <c r="H1225" s="3" t="s">
        <v>8076</v>
      </c>
      <c r="I1225" s="17">
        <v>45328</v>
      </c>
      <c r="J1225" s="18">
        <f>YEAR(Tabla1[[#This Row],[FECHA DE COMPRA]])</f>
        <v>2024</v>
      </c>
      <c r="K1225" s="19">
        <v>17.91</v>
      </c>
      <c r="L1225" s="20">
        <v>0.1</v>
      </c>
      <c r="M1225" s="19">
        <f>Tienda!$K990-Tienda!$K990*Tienda!$L990</f>
        <v>81.984000000000009</v>
      </c>
      <c r="N1225" s="3" t="s">
        <v>10038</v>
      </c>
      <c r="O1225" s="3" t="s">
        <v>10041</v>
      </c>
      <c r="P1225" s="17">
        <v>45328</v>
      </c>
      <c r="Q1225" s="4">
        <v>0</v>
      </c>
    </row>
    <row r="1226" spans="1:17" x14ac:dyDescent="0.25">
      <c r="A1226" s="2" t="s">
        <v>615</v>
      </c>
      <c r="B1226" s="3" t="s">
        <v>5015</v>
      </c>
      <c r="C1226" s="3">
        <v>30</v>
      </c>
      <c r="D1226" s="46" t="str">
        <f>IF(Tabla1[[#This Row],[EDAD]]&lt;=35,"Adultos jóvenes 18 - 35 años",IF(C1226&gt;=36,"Adultos mayores 36 años en adelante"))</f>
        <v>Adultos jóvenes 18 - 35 años</v>
      </c>
      <c r="E1226" s="3" t="s">
        <v>5018</v>
      </c>
      <c r="F1226" s="3" t="s">
        <v>5024</v>
      </c>
      <c r="G1226" s="3" t="s">
        <v>5035</v>
      </c>
      <c r="H1226" s="3" t="s">
        <v>5638</v>
      </c>
      <c r="I1226" s="17">
        <v>45649</v>
      </c>
      <c r="J1226" s="18">
        <f>YEAR(Tabla1[[#This Row],[FECHA DE COMPRA]])</f>
        <v>2024</v>
      </c>
      <c r="K1226" s="19">
        <v>23.37</v>
      </c>
      <c r="L1226" s="20">
        <v>0.3</v>
      </c>
      <c r="M1226" s="19">
        <f>Tienda!$K993-Tienda!$K993*Tienda!$L993</f>
        <v>138.63</v>
      </c>
      <c r="N1226" s="3" t="s">
        <v>10038</v>
      </c>
      <c r="O1226" s="3" t="s">
        <v>10041</v>
      </c>
      <c r="P1226" s="17">
        <v>45482</v>
      </c>
      <c r="Q1226" s="4">
        <v>0</v>
      </c>
    </row>
    <row r="1227" spans="1:17" x14ac:dyDescent="0.25">
      <c r="A1227" s="2" t="s">
        <v>3276</v>
      </c>
      <c r="B1227" s="3" t="s">
        <v>5016</v>
      </c>
      <c r="C1227" s="3">
        <v>21</v>
      </c>
      <c r="D1227" s="46" t="str">
        <f>IF(Tabla1[[#This Row],[EDAD]]&lt;=35,"Adultos jóvenes 18 - 35 años",IF(C1227&gt;=36,"Adultos mayores 36 años en adelante"))</f>
        <v>Adultos jóvenes 18 - 35 años</v>
      </c>
      <c r="E1227" s="3" t="s">
        <v>5023</v>
      </c>
      <c r="F1227" s="3" t="s">
        <v>5029</v>
      </c>
      <c r="G1227" s="3" t="s">
        <v>5033</v>
      </c>
      <c r="H1227" s="3" t="s">
        <v>8299</v>
      </c>
      <c r="I1227" s="17">
        <v>45578</v>
      </c>
      <c r="J1227" s="18">
        <f>YEAR(Tabla1[[#This Row],[FECHA DE COMPRA]])</f>
        <v>2024</v>
      </c>
      <c r="K1227" s="19">
        <v>18.64</v>
      </c>
      <c r="L1227" s="20">
        <v>0.1</v>
      </c>
      <c r="M1227" s="19">
        <f>Tienda!$K1001-Tienda!$K1001*Tienda!$L1001</f>
        <v>28.273000000000003</v>
      </c>
      <c r="N1227" s="3" t="s">
        <v>10038</v>
      </c>
      <c r="O1227" s="3" t="s">
        <v>10041</v>
      </c>
      <c r="P1227" s="17">
        <v>45578</v>
      </c>
      <c r="Q1227" s="4">
        <v>0</v>
      </c>
    </row>
    <row r="1228" spans="1:17" x14ac:dyDescent="0.25">
      <c r="A1228" s="2" t="s">
        <v>336</v>
      </c>
      <c r="B1228" s="3" t="s">
        <v>5016</v>
      </c>
      <c r="C1228" s="3">
        <v>34</v>
      </c>
      <c r="D1228" s="46" t="str">
        <f>IF(Tabla1[[#This Row],[EDAD]]&lt;=35,"Adultos jóvenes 18 - 35 años",IF(C1228&gt;=36,"Adultos mayores 36 años en adelante"))</f>
        <v>Adultos jóvenes 18 - 35 años</v>
      </c>
      <c r="E1228" s="3" t="s">
        <v>5017</v>
      </c>
      <c r="F1228" s="3" t="s">
        <v>5029</v>
      </c>
      <c r="G1228" s="3" t="s">
        <v>5034</v>
      </c>
      <c r="H1228" s="3" t="s">
        <v>5359</v>
      </c>
      <c r="I1228" s="17">
        <v>45330</v>
      </c>
      <c r="J1228" s="18">
        <f>YEAR(Tabla1[[#This Row],[FECHA DE COMPRA]])</f>
        <v>2024</v>
      </c>
      <c r="K1228" s="19">
        <v>24.31</v>
      </c>
      <c r="L1228" s="20">
        <v>0.3</v>
      </c>
      <c r="M1228" s="19">
        <f>Tienda!$K1003-Tienda!$K1003*Tienda!$L1003</f>
        <v>41.351999999999997</v>
      </c>
      <c r="N1228" s="3" t="s">
        <v>10038</v>
      </c>
      <c r="O1228" s="3" t="s">
        <v>10041</v>
      </c>
      <c r="P1228" s="17">
        <v>45330</v>
      </c>
      <c r="Q1228" s="4">
        <v>0</v>
      </c>
    </row>
    <row r="1229" spans="1:17" x14ac:dyDescent="0.25">
      <c r="A1229" s="2" t="s">
        <v>1417</v>
      </c>
      <c r="B1229" s="3" t="s">
        <v>5015</v>
      </c>
      <c r="C1229" s="3">
        <v>26</v>
      </c>
      <c r="D1229" s="46" t="str">
        <f>IF(Tabla1[[#This Row],[EDAD]]&lt;=35,"Adultos jóvenes 18 - 35 años",IF(C1229&gt;=36,"Adultos mayores 36 años en adelante"))</f>
        <v>Adultos jóvenes 18 - 35 años</v>
      </c>
      <c r="E1229" s="3" t="s">
        <v>5021</v>
      </c>
      <c r="F1229" s="3" t="s">
        <v>5024</v>
      </c>
      <c r="G1229" s="3" t="s">
        <v>5032</v>
      </c>
      <c r="H1229" s="3" t="s">
        <v>6440</v>
      </c>
      <c r="I1229" s="17">
        <v>45649</v>
      </c>
      <c r="J1229" s="18">
        <f>YEAR(Tabla1[[#This Row],[FECHA DE COMPRA]])</f>
        <v>2024</v>
      </c>
      <c r="K1229" s="19">
        <v>18.399999999999999</v>
      </c>
      <c r="L1229" s="20">
        <v>0</v>
      </c>
      <c r="M1229" s="19">
        <f>Tienda!$K1016-Tienda!$K1016*Tienda!$L1016</f>
        <v>128.24799999999999</v>
      </c>
      <c r="N1229" s="3" t="s">
        <v>10038</v>
      </c>
      <c r="O1229" s="3" t="s">
        <v>10041</v>
      </c>
      <c r="P1229" s="17">
        <v>45293</v>
      </c>
      <c r="Q1229" s="4">
        <v>0</v>
      </c>
    </row>
    <row r="1230" spans="1:17" x14ac:dyDescent="0.25">
      <c r="A1230" s="2" t="s">
        <v>2648</v>
      </c>
      <c r="B1230" s="3" t="s">
        <v>5016</v>
      </c>
      <c r="C1230" s="3">
        <v>19</v>
      </c>
      <c r="D1230" s="46" t="str">
        <f>IF(Tabla1[[#This Row],[EDAD]]&lt;=35,"Adultos jóvenes 18 - 35 años",IF(C1230&gt;=36,"Adultos mayores 36 años en adelante"))</f>
        <v>Adultos jóvenes 18 - 35 años</v>
      </c>
      <c r="E1230" s="3" t="s">
        <v>5021</v>
      </c>
      <c r="F1230" s="3" t="s">
        <v>5029</v>
      </c>
      <c r="G1230" s="3" t="s">
        <v>5031</v>
      </c>
      <c r="H1230" s="3" t="s">
        <v>7671</v>
      </c>
      <c r="I1230" s="17">
        <v>45364</v>
      </c>
      <c r="J1230" s="18">
        <f>YEAR(Tabla1[[#This Row],[FECHA DE COMPRA]])</f>
        <v>2024</v>
      </c>
      <c r="K1230" s="19">
        <v>23.58</v>
      </c>
      <c r="L1230" s="20">
        <v>0.2</v>
      </c>
      <c r="M1230" s="19">
        <f>Tienda!$K1020-Tienda!$K1020*Tienda!$L1020</f>
        <v>52.25500000000001</v>
      </c>
      <c r="N1230" s="3" t="s">
        <v>10038</v>
      </c>
      <c r="O1230" s="3" t="s">
        <v>10041</v>
      </c>
      <c r="P1230" s="17">
        <v>45364</v>
      </c>
      <c r="Q1230" s="4">
        <v>0</v>
      </c>
    </row>
    <row r="1231" spans="1:17" x14ac:dyDescent="0.25">
      <c r="A1231" s="2" t="s">
        <v>118</v>
      </c>
      <c r="B1231" s="3" t="s">
        <v>5015</v>
      </c>
      <c r="C1231" s="3">
        <v>23</v>
      </c>
      <c r="D1231" s="46" t="str">
        <f>IF(Tabla1[[#This Row],[EDAD]]&lt;=35,"Adultos jóvenes 18 - 35 años",IF(C1231&gt;=36,"Adultos mayores 36 años en adelante"))</f>
        <v>Adultos jóvenes 18 - 35 años</v>
      </c>
      <c r="E1231" s="3" t="s">
        <v>5020</v>
      </c>
      <c r="F1231" s="3" t="s">
        <v>5030</v>
      </c>
      <c r="G1231" s="3" t="s">
        <v>5032</v>
      </c>
      <c r="H1231" s="3" t="s">
        <v>5141</v>
      </c>
      <c r="I1231" s="17">
        <v>45502</v>
      </c>
      <c r="J1231" s="18">
        <f>YEAR(Tabla1[[#This Row],[FECHA DE COMPRA]])</f>
        <v>2024</v>
      </c>
      <c r="K1231" s="19">
        <v>26.95</v>
      </c>
      <c r="L1231" s="20">
        <v>0.3</v>
      </c>
      <c r="M1231" s="19">
        <f>Tienda!$K1021-Tienda!$K1021*Tienda!$L1021</f>
        <v>74.150999999999996</v>
      </c>
      <c r="N1231" s="3" t="s">
        <v>10038</v>
      </c>
      <c r="O1231" s="3" t="s">
        <v>10041</v>
      </c>
      <c r="P1231" s="17">
        <v>45592</v>
      </c>
      <c r="Q1231" s="4">
        <v>0</v>
      </c>
    </row>
    <row r="1232" spans="1:17" x14ac:dyDescent="0.25">
      <c r="A1232" s="2" t="s">
        <v>3700</v>
      </c>
      <c r="B1232" s="3" t="s">
        <v>5015</v>
      </c>
      <c r="C1232" s="3">
        <v>19</v>
      </c>
      <c r="D1232" s="46" t="str">
        <f>IF(Tabla1[[#This Row],[EDAD]]&lt;=35,"Adultos jóvenes 18 - 35 años",IF(C1232&gt;=36,"Adultos mayores 36 años en adelante"))</f>
        <v>Adultos jóvenes 18 - 35 años</v>
      </c>
      <c r="E1232" s="3" t="s">
        <v>5020</v>
      </c>
      <c r="F1232" s="3" t="s">
        <v>5029</v>
      </c>
      <c r="G1232" s="3" t="s">
        <v>5032</v>
      </c>
      <c r="H1232" s="3" t="s">
        <v>8723</v>
      </c>
      <c r="I1232" s="17">
        <v>45515</v>
      </c>
      <c r="J1232" s="18">
        <f>YEAR(Tabla1[[#This Row],[FECHA DE COMPRA]])</f>
        <v>2024</v>
      </c>
      <c r="K1232" s="19">
        <v>22.26</v>
      </c>
      <c r="L1232" s="20">
        <v>0.1</v>
      </c>
      <c r="M1232" s="19">
        <f>Tienda!$K1031-Tienda!$K1031*Tienda!$L1031</f>
        <v>122.36000000000001</v>
      </c>
      <c r="N1232" s="3" t="s">
        <v>10038</v>
      </c>
      <c r="O1232" s="3" t="s">
        <v>10041</v>
      </c>
      <c r="P1232" s="17">
        <v>45515</v>
      </c>
      <c r="Q1232" s="4">
        <v>0</v>
      </c>
    </row>
    <row r="1233" spans="1:17" x14ac:dyDescent="0.25">
      <c r="A1233" s="2" t="s">
        <v>3169</v>
      </c>
      <c r="B1233" s="3" t="s">
        <v>5016</v>
      </c>
      <c r="C1233" s="3">
        <v>29</v>
      </c>
      <c r="D1233" s="46" t="str">
        <f>IF(Tabla1[[#This Row],[EDAD]]&lt;=35,"Adultos jóvenes 18 - 35 años",IF(C1233&gt;=36,"Adultos mayores 36 años en adelante"))</f>
        <v>Adultos jóvenes 18 - 35 años</v>
      </c>
      <c r="E1233" s="3" t="s">
        <v>5019</v>
      </c>
      <c r="F1233" s="3" t="s">
        <v>5026</v>
      </c>
      <c r="G1233" s="3" t="s">
        <v>5037</v>
      </c>
      <c r="H1233" s="3" t="s">
        <v>8192</v>
      </c>
      <c r="I1233" s="17">
        <v>45494</v>
      </c>
      <c r="J1233" s="18">
        <f>YEAR(Tabla1[[#This Row],[FECHA DE COMPRA]])</f>
        <v>2024</v>
      </c>
      <c r="K1233" s="19">
        <v>28.69</v>
      </c>
      <c r="L1233" s="20">
        <v>0.3</v>
      </c>
      <c r="M1233" s="19">
        <f>Tienda!$K1032-Tienda!$K1032*Tienda!$L1032</f>
        <v>136.262</v>
      </c>
      <c r="N1233" s="3" t="s">
        <v>10038</v>
      </c>
      <c r="O1233" s="3" t="s">
        <v>10041</v>
      </c>
      <c r="P1233" s="17">
        <v>45584</v>
      </c>
      <c r="Q1233" s="4">
        <v>0</v>
      </c>
    </row>
    <row r="1234" spans="1:17" x14ac:dyDescent="0.25">
      <c r="A1234" s="2" t="s">
        <v>3318</v>
      </c>
      <c r="B1234" s="3" t="s">
        <v>5015</v>
      </c>
      <c r="C1234" s="3">
        <v>27</v>
      </c>
      <c r="D1234" s="46" t="str">
        <f>IF(Tabla1[[#This Row],[EDAD]]&lt;=35,"Adultos jóvenes 18 - 35 años",IF(C1234&gt;=36,"Adultos mayores 36 años en adelante"))</f>
        <v>Adultos jóvenes 18 - 35 años</v>
      </c>
      <c r="E1234" s="3" t="s">
        <v>5018</v>
      </c>
      <c r="F1234" s="3" t="s">
        <v>5027</v>
      </c>
      <c r="G1234" s="3" t="s">
        <v>5035</v>
      </c>
      <c r="H1234" s="3" t="s">
        <v>8341</v>
      </c>
      <c r="I1234" s="17">
        <v>45549</v>
      </c>
      <c r="J1234" s="18">
        <f>YEAR(Tabla1[[#This Row],[FECHA DE COMPRA]])</f>
        <v>2024</v>
      </c>
      <c r="K1234" s="19">
        <v>29.31</v>
      </c>
      <c r="L1234" s="20">
        <v>0.3</v>
      </c>
      <c r="M1234" s="19">
        <f>Tienda!$K1037-Tienda!$K1037*Tienda!$L1037</f>
        <v>76.25800000000001</v>
      </c>
      <c r="N1234" s="3" t="s">
        <v>10038</v>
      </c>
      <c r="O1234" s="3" t="s">
        <v>10041</v>
      </c>
      <c r="P1234" s="17">
        <v>45549</v>
      </c>
      <c r="Q1234" s="4">
        <v>0</v>
      </c>
    </row>
    <row r="1235" spans="1:17" x14ac:dyDescent="0.25">
      <c r="A1235" s="2" t="s">
        <v>3794</v>
      </c>
      <c r="B1235" s="3" t="s">
        <v>5015</v>
      </c>
      <c r="C1235" s="3">
        <v>35</v>
      </c>
      <c r="D1235" s="46" t="str">
        <f>IF(Tabla1[[#This Row],[EDAD]]&lt;=35,"Adultos jóvenes 18 - 35 años",IF(C1235&gt;=36,"Adultos mayores 36 años en adelante"))</f>
        <v>Adultos jóvenes 18 - 35 años</v>
      </c>
      <c r="E1235" s="3" t="s">
        <v>5018</v>
      </c>
      <c r="F1235" s="3" t="s">
        <v>5027</v>
      </c>
      <c r="G1235" s="3" t="s">
        <v>5036</v>
      </c>
      <c r="H1235" s="3" t="s">
        <v>8817</v>
      </c>
      <c r="I1235" s="17">
        <v>45397</v>
      </c>
      <c r="J1235" s="18">
        <f>YEAR(Tabla1[[#This Row],[FECHA DE COMPRA]])</f>
        <v>2024</v>
      </c>
      <c r="K1235" s="19">
        <v>25.73</v>
      </c>
      <c r="L1235" s="20">
        <v>0.2</v>
      </c>
      <c r="M1235" s="19">
        <f>Tienda!$K1038-Tienda!$K1038*Tienda!$L1038</f>
        <v>87.157000000000011</v>
      </c>
      <c r="N1235" s="3" t="s">
        <v>10038</v>
      </c>
      <c r="O1235" s="3" t="s">
        <v>10041</v>
      </c>
      <c r="P1235" s="17">
        <v>45397</v>
      </c>
      <c r="Q1235" s="4">
        <v>0</v>
      </c>
    </row>
    <row r="1236" spans="1:17" x14ac:dyDescent="0.25">
      <c r="A1236" s="2" t="s">
        <v>2108</v>
      </c>
      <c r="B1236" s="3" t="s">
        <v>5015</v>
      </c>
      <c r="C1236" s="3">
        <v>19</v>
      </c>
      <c r="D1236" s="46" t="str">
        <f>IF(Tabla1[[#This Row],[EDAD]]&lt;=35,"Adultos jóvenes 18 - 35 años",IF(C1236&gt;=36,"Adultos mayores 36 años en adelante"))</f>
        <v>Adultos jóvenes 18 - 35 años</v>
      </c>
      <c r="E1236" s="3" t="s">
        <v>5021</v>
      </c>
      <c r="F1236" s="3" t="s">
        <v>5029</v>
      </c>
      <c r="G1236" s="3" t="s">
        <v>5035</v>
      </c>
      <c r="H1236" s="3" t="s">
        <v>7131</v>
      </c>
      <c r="I1236" s="17">
        <v>45370</v>
      </c>
      <c r="J1236" s="18">
        <f>YEAR(Tabla1[[#This Row],[FECHA DE COMPRA]])</f>
        <v>2024</v>
      </c>
      <c r="K1236" s="19">
        <v>26.79</v>
      </c>
      <c r="L1236" s="20">
        <v>0.2</v>
      </c>
      <c r="M1236" s="19">
        <f>Tienda!$K1045-Tienda!$K1045*Tienda!$L1045</f>
        <v>146.36000000000001</v>
      </c>
      <c r="N1236" s="3" t="s">
        <v>10038</v>
      </c>
      <c r="O1236" s="3" t="s">
        <v>10041</v>
      </c>
      <c r="P1236" s="17">
        <v>45370</v>
      </c>
      <c r="Q1236" s="4">
        <v>0</v>
      </c>
    </row>
    <row r="1237" spans="1:17" x14ac:dyDescent="0.25">
      <c r="A1237" s="2" t="s">
        <v>2759</v>
      </c>
      <c r="B1237" s="3" t="s">
        <v>5015</v>
      </c>
      <c r="C1237" s="3">
        <v>22</v>
      </c>
      <c r="D1237" s="46" t="str">
        <f>IF(Tabla1[[#This Row],[EDAD]]&lt;=35,"Adultos jóvenes 18 - 35 años",IF(C1237&gt;=36,"Adultos mayores 36 años en adelante"))</f>
        <v>Adultos jóvenes 18 - 35 años</v>
      </c>
      <c r="E1237" s="3" t="s">
        <v>5018</v>
      </c>
      <c r="F1237" s="3" t="s">
        <v>5026</v>
      </c>
      <c r="G1237" s="3" t="s">
        <v>5032</v>
      </c>
      <c r="H1237" s="3" t="s">
        <v>7782</v>
      </c>
      <c r="I1237" s="17">
        <v>45624</v>
      </c>
      <c r="J1237" s="18">
        <f>YEAR(Tabla1[[#This Row],[FECHA DE COMPRA]])</f>
        <v>2024</v>
      </c>
      <c r="K1237" s="19">
        <v>30.73</v>
      </c>
      <c r="L1237" s="20">
        <v>0.3</v>
      </c>
      <c r="M1237" s="19">
        <f>Tienda!$K1048-Tienda!$K1048*Tienda!$L1048</f>
        <v>10.87</v>
      </c>
      <c r="N1237" s="3" t="s">
        <v>10038</v>
      </c>
      <c r="O1237" s="3" t="s">
        <v>10041</v>
      </c>
      <c r="P1237" s="17">
        <v>45501</v>
      </c>
      <c r="Q1237" s="4">
        <v>0</v>
      </c>
    </row>
    <row r="1238" spans="1:17" x14ac:dyDescent="0.25">
      <c r="A1238" s="2" t="s">
        <v>4933</v>
      </c>
      <c r="B1238" s="3" t="s">
        <v>5015</v>
      </c>
      <c r="C1238" s="3">
        <v>18</v>
      </c>
      <c r="D1238" s="46" t="str">
        <f>IF(Tabla1[[#This Row],[EDAD]]&lt;=35,"Adultos jóvenes 18 - 35 años",IF(C1238&gt;=36,"Adultos mayores 36 años en adelante"))</f>
        <v>Adultos jóvenes 18 - 35 años</v>
      </c>
      <c r="E1238" s="3" t="s">
        <v>5018</v>
      </c>
      <c r="F1238" s="3" t="s">
        <v>5024</v>
      </c>
      <c r="G1238" s="3" t="s">
        <v>5033</v>
      </c>
      <c r="H1238" s="3" t="s">
        <v>9956</v>
      </c>
      <c r="I1238" s="17">
        <v>45600</v>
      </c>
      <c r="J1238" s="18">
        <f>YEAR(Tabla1[[#This Row],[FECHA DE COMPRA]])</f>
        <v>2024</v>
      </c>
      <c r="K1238" s="19">
        <v>31.5</v>
      </c>
      <c r="L1238" s="20">
        <v>0.3</v>
      </c>
      <c r="M1238" s="19">
        <f>Tienda!$K1052-Tienda!$K1052*Tienda!$L1052</f>
        <v>126.904</v>
      </c>
      <c r="N1238" s="3" t="s">
        <v>10038</v>
      </c>
      <c r="O1238" s="3" t="s">
        <v>10041</v>
      </c>
      <c r="P1238" s="17">
        <v>45960</v>
      </c>
      <c r="Q1238" s="4">
        <v>0</v>
      </c>
    </row>
    <row r="1239" spans="1:17" x14ac:dyDescent="0.25">
      <c r="A1239" s="2" t="s">
        <v>879</v>
      </c>
      <c r="B1239" s="3" t="s">
        <v>5016</v>
      </c>
      <c r="C1239" s="3">
        <v>26</v>
      </c>
      <c r="D1239" s="46" t="str">
        <f>IF(Tabla1[[#This Row],[EDAD]]&lt;=35,"Adultos jóvenes 18 - 35 años",IF(C1239&gt;=36,"Adultos mayores 36 años en adelante"))</f>
        <v>Adultos jóvenes 18 - 35 años</v>
      </c>
      <c r="E1239" s="3" t="s">
        <v>5019</v>
      </c>
      <c r="F1239" s="3" t="s">
        <v>5025</v>
      </c>
      <c r="G1239" s="3" t="s">
        <v>5031</v>
      </c>
      <c r="H1239" s="3" t="s">
        <v>5902</v>
      </c>
      <c r="I1239" s="17">
        <v>45574</v>
      </c>
      <c r="J1239" s="18">
        <f>YEAR(Tabla1[[#This Row],[FECHA DE COMPRA]])</f>
        <v>2024</v>
      </c>
      <c r="K1239" s="19">
        <v>24.82</v>
      </c>
      <c r="L1239" s="20">
        <v>0.1</v>
      </c>
      <c r="M1239" s="19">
        <f>Tienda!$K1056-Tienda!$K1056*Tienda!$L1056</f>
        <v>106.98399999999999</v>
      </c>
      <c r="N1239" s="3" t="s">
        <v>10038</v>
      </c>
      <c r="O1239" s="3" t="s">
        <v>10041</v>
      </c>
      <c r="P1239" s="17">
        <v>45934</v>
      </c>
      <c r="Q1239" s="4">
        <v>0</v>
      </c>
    </row>
    <row r="1240" spans="1:17" x14ac:dyDescent="0.25">
      <c r="A1240" s="2" t="s">
        <v>367</v>
      </c>
      <c r="B1240" s="3" t="s">
        <v>5015</v>
      </c>
      <c r="C1240" s="3">
        <v>23</v>
      </c>
      <c r="D1240" s="46" t="str">
        <f>IF(Tabla1[[#This Row],[EDAD]]&lt;=35,"Adultos jóvenes 18 - 35 años",IF(C1240&gt;=36,"Adultos mayores 36 años en adelante"))</f>
        <v>Adultos jóvenes 18 - 35 años</v>
      </c>
      <c r="E1240" s="3" t="s">
        <v>5019</v>
      </c>
      <c r="F1240" s="3" t="s">
        <v>5027</v>
      </c>
      <c r="G1240" s="3" t="s">
        <v>5034</v>
      </c>
      <c r="H1240" s="3" t="s">
        <v>5390</v>
      </c>
      <c r="I1240" s="17">
        <v>45566</v>
      </c>
      <c r="J1240" s="18">
        <f>YEAR(Tabla1[[#This Row],[FECHA DE COMPRA]])</f>
        <v>2024</v>
      </c>
      <c r="K1240" s="19">
        <v>26.32</v>
      </c>
      <c r="L1240" s="20">
        <v>0.1</v>
      </c>
      <c r="M1240" s="19">
        <f>Tienda!$K1071-Tienda!$K1071*Tienda!$L1071</f>
        <v>26.11</v>
      </c>
      <c r="N1240" s="3" t="s">
        <v>10038</v>
      </c>
      <c r="O1240" s="3" t="s">
        <v>10041</v>
      </c>
      <c r="P1240" s="17">
        <v>45746</v>
      </c>
      <c r="Q1240" s="4">
        <v>0</v>
      </c>
    </row>
    <row r="1241" spans="1:17" x14ac:dyDescent="0.25">
      <c r="A1241" s="2" t="s">
        <v>1367</v>
      </c>
      <c r="B1241" s="3" t="s">
        <v>5015</v>
      </c>
      <c r="C1241" s="3">
        <v>22</v>
      </c>
      <c r="D1241" s="46" t="str">
        <f>IF(Tabla1[[#This Row],[EDAD]]&lt;=35,"Adultos jóvenes 18 - 35 años",IF(C1241&gt;=36,"Adultos mayores 36 años en adelante"))</f>
        <v>Adultos jóvenes 18 - 35 años</v>
      </c>
      <c r="E1241" s="3" t="s">
        <v>5017</v>
      </c>
      <c r="F1241" s="3" t="s">
        <v>5030</v>
      </c>
      <c r="G1241" s="3" t="s">
        <v>5035</v>
      </c>
      <c r="H1241" s="3" t="s">
        <v>6390</v>
      </c>
      <c r="I1241" s="17">
        <v>45316</v>
      </c>
      <c r="J1241" s="18">
        <f>YEAR(Tabla1[[#This Row],[FECHA DE COMPRA]])</f>
        <v>2024</v>
      </c>
      <c r="K1241" s="19">
        <v>29.95</v>
      </c>
      <c r="L1241" s="20">
        <v>0.2</v>
      </c>
      <c r="M1241" s="19">
        <f>Tienda!$K1075-Tienda!$K1075*Tienda!$L1075</f>
        <v>82.971000000000004</v>
      </c>
      <c r="N1241" s="3" t="s">
        <v>10038</v>
      </c>
      <c r="O1241" s="3" t="s">
        <v>10041</v>
      </c>
      <c r="P1241" s="17">
        <v>45586</v>
      </c>
      <c r="Q1241" s="4">
        <v>0</v>
      </c>
    </row>
    <row r="1242" spans="1:17" x14ac:dyDescent="0.25">
      <c r="A1242" s="2" t="s">
        <v>4684</v>
      </c>
      <c r="B1242" s="3" t="s">
        <v>5015</v>
      </c>
      <c r="C1242" s="3">
        <v>35</v>
      </c>
      <c r="D1242" s="46" t="str">
        <f>IF(Tabla1[[#This Row],[EDAD]]&lt;=35,"Adultos jóvenes 18 - 35 años",IF(C1242&gt;=36,"Adultos mayores 36 años en adelante"))</f>
        <v>Adultos jóvenes 18 - 35 años</v>
      </c>
      <c r="E1242" s="3" t="s">
        <v>5023</v>
      </c>
      <c r="F1242" s="3" t="s">
        <v>5024</v>
      </c>
      <c r="G1242" s="3" t="s">
        <v>5032</v>
      </c>
      <c r="H1242" s="3" t="s">
        <v>9707</v>
      </c>
      <c r="I1242" s="17">
        <v>45404</v>
      </c>
      <c r="J1242" s="18">
        <f>YEAR(Tabla1[[#This Row],[FECHA DE COMPRA]])</f>
        <v>2024</v>
      </c>
      <c r="K1242" s="19">
        <v>30.1</v>
      </c>
      <c r="L1242" s="20">
        <v>0.2</v>
      </c>
      <c r="M1242" s="19">
        <f>Tienda!$K1076-Tienda!$K1076*Tienda!$L1076</f>
        <v>182.71</v>
      </c>
      <c r="N1242" s="3" t="s">
        <v>10038</v>
      </c>
      <c r="O1242" s="3" t="s">
        <v>10041</v>
      </c>
      <c r="P1242" s="17">
        <v>45404</v>
      </c>
      <c r="Q1242" s="4">
        <v>0</v>
      </c>
    </row>
    <row r="1243" spans="1:17" x14ac:dyDescent="0.25">
      <c r="A1243" s="2" t="s">
        <v>222</v>
      </c>
      <c r="B1243" s="3" t="s">
        <v>5015</v>
      </c>
      <c r="C1243" s="3">
        <v>35</v>
      </c>
      <c r="D1243" s="46" t="str">
        <f>IF(Tabla1[[#This Row],[EDAD]]&lt;=35,"Adultos jóvenes 18 - 35 años",IF(C1243&gt;=36,"Adultos mayores 36 años en adelante"))</f>
        <v>Adultos jóvenes 18 - 35 años</v>
      </c>
      <c r="E1243" s="3" t="s">
        <v>5023</v>
      </c>
      <c r="F1243" s="3" t="s">
        <v>5025</v>
      </c>
      <c r="G1243" s="3" t="s">
        <v>5032</v>
      </c>
      <c r="H1243" s="3" t="s">
        <v>5245</v>
      </c>
      <c r="I1243" s="17">
        <v>45649</v>
      </c>
      <c r="J1243" s="18">
        <f>YEAR(Tabla1[[#This Row],[FECHA DE COMPRA]])</f>
        <v>2024</v>
      </c>
      <c r="K1243" s="19">
        <v>27.11</v>
      </c>
      <c r="L1243" s="20">
        <v>0.1</v>
      </c>
      <c r="M1243" s="19">
        <f>Tienda!$K1079-Tienda!$K1079*Tienda!$L1079</f>
        <v>55.287999999999997</v>
      </c>
      <c r="N1243" s="3" t="s">
        <v>10038</v>
      </c>
      <c r="O1243" s="3" t="s">
        <v>10041</v>
      </c>
      <c r="P1243" s="17">
        <v>45659</v>
      </c>
      <c r="Q1243" s="4">
        <v>0</v>
      </c>
    </row>
    <row r="1244" spans="1:17" x14ac:dyDescent="0.25">
      <c r="A1244" s="2" t="s">
        <v>2302</v>
      </c>
      <c r="B1244" s="3" t="s">
        <v>5015</v>
      </c>
      <c r="C1244" s="3">
        <v>22</v>
      </c>
      <c r="D1244" s="46" t="str">
        <f>IF(Tabla1[[#This Row],[EDAD]]&lt;=35,"Adultos jóvenes 18 - 35 años",IF(C1244&gt;=36,"Adultos mayores 36 años en adelante"))</f>
        <v>Adultos jóvenes 18 - 35 años</v>
      </c>
      <c r="E1244" s="3" t="s">
        <v>5022</v>
      </c>
      <c r="F1244" s="3" t="s">
        <v>5027</v>
      </c>
      <c r="G1244" s="3" t="s">
        <v>5036</v>
      </c>
      <c r="H1244" s="3" t="s">
        <v>7325</v>
      </c>
      <c r="I1244" s="17">
        <v>45385</v>
      </c>
      <c r="J1244" s="18">
        <f>YEAR(Tabla1[[#This Row],[FECHA DE COMPRA]])</f>
        <v>2024</v>
      </c>
      <c r="K1244" s="19">
        <v>30.74</v>
      </c>
      <c r="L1244" s="20">
        <v>0.2</v>
      </c>
      <c r="M1244" s="19">
        <f>Tienda!$K1081-Tienda!$K1081*Tienda!$L1081</f>
        <v>38.661000000000001</v>
      </c>
      <c r="N1244" s="3" t="s">
        <v>10038</v>
      </c>
      <c r="O1244" s="3" t="s">
        <v>10041</v>
      </c>
      <c r="P1244" s="17">
        <v>45475</v>
      </c>
      <c r="Q1244" s="4">
        <v>0</v>
      </c>
    </row>
    <row r="1245" spans="1:17" x14ac:dyDescent="0.25">
      <c r="A1245" s="2" t="s">
        <v>3334</v>
      </c>
      <c r="B1245" s="3" t="s">
        <v>5015</v>
      </c>
      <c r="C1245" s="3">
        <v>31</v>
      </c>
      <c r="D1245" s="46" t="str">
        <f>IF(Tabla1[[#This Row],[EDAD]]&lt;=35,"Adultos jóvenes 18 - 35 años",IF(C1245&gt;=36,"Adultos mayores 36 años en adelante"))</f>
        <v>Adultos jóvenes 18 - 35 años</v>
      </c>
      <c r="E1245" s="3" t="s">
        <v>5017</v>
      </c>
      <c r="F1245" s="3" t="s">
        <v>5029</v>
      </c>
      <c r="G1245" s="3" t="s">
        <v>5037</v>
      </c>
      <c r="H1245" s="3" t="s">
        <v>8357</v>
      </c>
      <c r="I1245" s="17">
        <v>45387</v>
      </c>
      <c r="J1245" s="18">
        <f>YEAR(Tabla1[[#This Row],[FECHA DE COMPRA]])</f>
        <v>2024</v>
      </c>
      <c r="K1245" s="19">
        <v>35.67</v>
      </c>
      <c r="L1245" s="20">
        <v>0.3</v>
      </c>
      <c r="M1245" s="19">
        <f>Tienda!$K1086-Tienda!$K1086*Tienda!$L1086</f>
        <v>164.79</v>
      </c>
      <c r="N1245" s="3" t="s">
        <v>10038</v>
      </c>
      <c r="O1245" s="3" t="s">
        <v>10041</v>
      </c>
      <c r="P1245" s="17">
        <v>45387</v>
      </c>
      <c r="Q1245" s="4">
        <v>0</v>
      </c>
    </row>
    <row r="1246" spans="1:17" x14ac:dyDescent="0.25">
      <c r="A1246" s="2" t="s">
        <v>4024</v>
      </c>
      <c r="B1246" s="3" t="s">
        <v>5016</v>
      </c>
      <c r="C1246" s="3">
        <v>24</v>
      </c>
      <c r="D1246" s="46" t="str">
        <f>IF(Tabla1[[#This Row],[EDAD]]&lt;=35,"Adultos jóvenes 18 - 35 años",IF(C1246&gt;=36,"Adultos mayores 36 años en adelante"))</f>
        <v>Adultos jóvenes 18 - 35 años</v>
      </c>
      <c r="E1246" s="3" t="s">
        <v>5023</v>
      </c>
      <c r="F1246" s="3" t="s">
        <v>5029</v>
      </c>
      <c r="G1246" s="3" t="s">
        <v>5033</v>
      </c>
      <c r="H1246" s="3" t="s">
        <v>9047</v>
      </c>
      <c r="I1246" s="17">
        <v>45316</v>
      </c>
      <c r="J1246" s="18">
        <f>YEAR(Tabla1[[#This Row],[FECHA DE COMPRA]])</f>
        <v>2024</v>
      </c>
      <c r="K1246" s="19">
        <v>31.35</v>
      </c>
      <c r="L1246" s="20">
        <v>0.2</v>
      </c>
      <c r="M1246" s="19">
        <f>Tienda!$K1088-Tienda!$K1088*Tienda!$L1088</f>
        <v>154.28800000000001</v>
      </c>
      <c r="N1246" s="3" t="s">
        <v>10038</v>
      </c>
      <c r="O1246" s="3" t="s">
        <v>10041</v>
      </c>
      <c r="P1246" s="17">
        <v>45316</v>
      </c>
      <c r="Q1246" s="4">
        <v>0</v>
      </c>
    </row>
    <row r="1247" spans="1:17" x14ac:dyDescent="0.25">
      <c r="A1247" s="2" t="s">
        <v>2106</v>
      </c>
      <c r="B1247" s="3" t="s">
        <v>5015</v>
      </c>
      <c r="C1247" s="3">
        <v>32</v>
      </c>
      <c r="D1247" s="46" t="str">
        <f>IF(Tabla1[[#This Row],[EDAD]]&lt;=35,"Adultos jóvenes 18 - 35 años",IF(C1247&gt;=36,"Adultos mayores 36 años en adelante"))</f>
        <v>Adultos jóvenes 18 - 35 años</v>
      </c>
      <c r="E1247" s="3" t="s">
        <v>5019</v>
      </c>
      <c r="F1247" s="3" t="s">
        <v>5027</v>
      </c>
      <c r="G1247" s="3" t="s">
        <v>5031</v>
      </c>
      <c r="H1247" s="3" t="s">
        <v>7129</v>
      </c>
      <c r="I1247" s="17">
        <v>45564</v>
      </c>
      <c r="J1247" s="18">
        <f>YEAR(Tabla1[[#This Row],[FECHA DE COMPRA]])</f>
        <v>2024</v>
      </c>
      <c r="K1247" s="19">
        <v>25.25</v>
      </c>
      <c r="L1247" s="20">
        <v>0</v>
      </c>
      <c r="M1247" s="19">
        <f>Tienda!$K1089-Tienda!$K1089*Tienda!$L1089</f>
        <v>54.044999999999995</v>
      </c>
      <c r="N1247" s="3" t="s">
        <v>10038</v>
      </c>
      <c r="O1247" s="3" t="s">
        <v>10041</v>
      </c>
      <c r="P1247" s="17">
        <v>45924</v>
      </c>
      <c r="Q1247" s="4">
        <v>0</v>
      </c>
    </row>
    <row r="1248" spans="1:17" x14ac:dyDescent="0.25">
      <c r="A1248" s="2" t="s">
        <v>2887</v>
      </c>
      <c r="B1248" s="3" t="s">
        <v>5016</v>
      </c>
      <c r="C1248" s="3">
        <v>18</v>
      </c>
      <c r="D1248" s="46" t="str">
        <f>IF(Tabla1[[#This Row],[EDAD]]&lt;=35,"Adultos jóvenes 18 - 35 años",IF(C1248&gt;=36,"Adultos mayores 36 años en adelante"))</f>
        <v>Adultos jóvenes 18 - 35 años</v>
      </c>
      <c r="E1248" s="3" t="s">
        <v>5019</v>
      </c>
      <c r="F1248" s="3" t="s">
        <v>5027</v>
      </c>
      <c r="G1248" s="3" t="s">
        <v>5032</v>
      </c>
      <c r="H1248" s="3" t="s">
        <v>7910</v>
      </c>
      <c r="I1248" s="17">
        <v>45308</v>
      </c>
      <c r="J1248" s="18">
        <f>YEAR(Tabla1[[#This Row],[FECHA DE COMPRA]])</f>
        <v>2024</v>
      </c>
      <c r="K1248" s="19">
        <v>26.25</v>
      </c>
      <c r="L1248" s="20">
        <v>0</v>
      </c>
      <c r="M1248" s="19">
        <f>Tienda!$K1095-Tienda!$K1095*Tienda!$L1095</f>
        <v>135.53399999999999</v>
      </c>
      <c r="N1248" s="3" t="s">
        <v>10038</v>
      </c>
      <c r="O1248" s="3" t="s">
        <v>10041</v>
      </c>
      <c r="P1248" s="17">
        <v>45308</v>
      </c>
      <c r="Q1248" s="4">
        <v>0</v>
      </c>
    </row>
    <row r="1249" spans="1:17" x14ac:dyDescent="0.25">
      <c r="A1249" s="2" t="s">
        <v>117</v>
      </c>
      <c r="B1249" s="3" t="s">
        <v>5015</v>
      </c>
      <c r="C1249" s="3">
        <v>33</v>
      </c>
      <c r="D1249" s="46" t="str">
        <f>IF(Tabla1[[#This Row],[EDAD]]&lt;=35,"Adultos jóvenes 18 - 35 años",IF(C1249&gt;=36,"Adultos mayores 36 años en adelante"))</f>
        <v>Adultos jóvenes 18 - 35 años</v>
      </c>
      <c r="E1249" s="3" t="s">
        <v>5020</v>
      </c>
      <c r="F1249" s="3" t="s">
        <v>5029</v>
      </c>
      <c r="G1249" s="3" t="s">
        <v>5037</v>
      </c>
      <c r="H1249" s="3" t="s">
        <v>5140</v>
      </c>
      <c r="I1249" s="17">
        <v>45310</v>
      </c>
      <c r="J1249" s="18">
        <f>YEAR(Tabla1[[#This Row],[FECHA DE COMPRA]])</f>
        <v>2024</v>
      </c>
      <c r="K1249" s="19">
        <v>29.76</v>
      </c>
      <c r="L1249" s="20">
        <v>0.1</v>
      </c>
      <c r="M1249" s="19">
        <f>Tienda!$K1097-Tienda!$K1097*Tienda!$L1097</f>
        <v>63.108000000000004</v>
      </c>
      <c r="N1249" s="3" t="s">
        <v>10038</v>
      </c>
      <c r="O1249" s="3" t="s">
        <v>10041</v>
      </c>
      <c r="P1249" s="17">
        <v>45580</v>
      </c>
      <c r="Q1249" s="4">
        <v>0</v>
      </c>
    </row>
    <row r="1250" spans="1:17" x14ac:dyDescent="0.25">
      <c r="A1250" s="2" t="s">
        <v>4464</v>
      </c>
      <c r="B1250" s="3" t="s">
        <v>5016</v>
      </c>
      <c r="C1250" s="3">
        <v>25</v>
      </c>
      <c r="D1250" s="46" t="str">
        <f>IF(Tabla1[[#This Row],[EDAD]]&lt;=35,"Adultos jóvenes 18 - 35 años",IF(C1250&gt;=36,"Adultos mayores 36 años en adelante"))</f>
        <v>Adultos jóvenes 18 - 35 años</v>
      </c>
      <c r="E1250" s="3" t="s">
        <v>5023</v>
      </c>
      <c r="F1250" s="3" t="s">
        <v>5026</v>
      </c>
      <c r="G1250" s="3" t="s">
        <v>5033</v>
      </c>
      <c r="H1250" s="3" t="s">
        <v>9487</v>
      </c>
      <c r="I1250" s="17">
        <v>45649</v>
      </c>
      <c r="J1250" s="18">
        <f>YEAR(Tabla1[[#This Row],[FECHA DE COMPRA]])</f>
        <v>2024</v>
      </c>
      <c r="K1250" s="19">
        <v>38.79</v>
      </c>
      <c r="L1250" s="20">
        <v>0.3</v>
      </c>
      <c r="M1250" s="19">
        <f>Tienda!$K1101-Tienda!$K1101*Tienda!$L1101</f>
        <v>72.183999999999997</v>
      </c>
      <c r="N1250" s="3" t="s">
        <v>10038</v>
      </c>
      <c r="O1250" s="3" t="s">
        <v>10041</v>
      </c>
      <c r="P1250" s="17">
        <v>45563</v>
      </c>
      <c r="Q1250" s="4">
        <v>0</v>
      </c>
    </row>
    <row r="1251" spans="1:17" x14ac:dyDescent="0.25">
      <c r="A1251" s="2" t="s">
        <v>1051</v>
      </c>
      <c r="B1251" s="3" t="s">
        <v>5015</v>
      </c>
      <c r="C1251" s="3">
        <v>23</v>
      </c>
      <c r="D1251" s="46" t="str">
        <f>IF(Tabla1[[#This Row],[EDAD]]&lt;=35,"Adultos jóvenes 18 - 35 años",IF(C1251&gt;=36,"Adultos mayores 36 años en adelante"))</f>
        <v>Adultos jóvenes 18 - 35 años</v>
      </c>
      <c r="E1251" s="3" t="s">
        <v>5019</v>
      </c>
      <c r="F1251" s="3" t="s">
        <v>5026</v>
      </c>
      <c r="G1251" s="3" t="s">
        <v>5036</v>
      </c>
      <c r="H1251" s="3" t="s">
        <v>6074</v>
      </c>
      <c r="I1251" s="17">
        <v>45371</v>
      </c>
      <c r="J1251" s="18">
        <f>YEAR(Tabla1[[#This Row],[FECHA DE COMPRA]])</f>
        <v>2024</v>
      </c>
      <c r="K1251" s="19">
        <v>30.24</v>
      </c>
      <c r="L1251" s="20">
        <v>0.1</v>
      </c>
      <c r="M1251" s="19">
        <f>Tienda!$K1102-Tienda!$K1102*Tienda!$L1102</f>
        <v>41.11</v>
      </c>
      <c r="N1251" s="3" t="s">
        <v>10038</v>
      </c>
      <c r="O1251" s="3" t="s">
        <v>10041</v>
      </c>
      <c r="P1251" s="17">
        <v>45461</v>
      </c>
      <c r="Q1251" s="4">
        <v>0</v>
      </c>
    </row>
    <row r="1252" spans="1:17" x14ac:dyDescent="0.25">
      <c r="A1252" s="2" t="s">
        <v>4772</v>
      </c>
      <c r="B1252" s="3" t="s">
        <v>5016</v>
      </c>
      <c r="C1252" s="3">
        <v>35</v>
      </c>
      <c r="D1252" s="46" t="str">
        <f>IF(Tabla1[[#This Row],[EDAD]]&lt;=35,"Adultos jóvenes 18 - 35 años",IF(C1252&gt;=36,"Adultos mayores 36 años en adelante"))</f>
        <v>Adultos jóvenes 18 - 35 años</v>
      </c>
      <c r="E1252" s="3" t="s">
        <v>5023</v>
      </c>
      <c r="F1252" s="3" t="s">
        <v>5025</v>
      </c>
      <c r="G1252" s="3" t="s">
        <v>5037</v>
      </c>
      <c r="H1252" s="3" t="s">
        <v>9795</v>
      </c>
      <c r="I1252" s="17">
        <v>45581</v>
      </c>
      <c r="J1252" s="18">
        <f>YEAR(Tabla1[[#This Row],[FECHA DE COMPRA]])</f>
        <v>2024</v>
      </c>
      <c r="K1252" s="19">
        <v>27.79</v>
      </c>
      <c r="L1252" s="20">
        <v>0</v>
      </c>
      <c r="M1252" s="19">
        <f>Tienda!$K1110-Tienda!$K1110*Tienda!$L1110</f>
        <v>86.76</v>
      </c>
      <c r="N1252" s="3" t="s">
        <v>10038</v>
      </c>
      <c r="O1252" s="3" t="s">
        <v>10041</v>
      </c>
      <c r="P1252" s="17">
        <v>45671</v>
      </c>
      <c r="Q1252" s="4">
        <v>0</v>
      </c>
    </row>
    <row r="1253" spans="1:17" x14ac:dyDescent="0.25">
      <c r="A1253" s="2" t="s">
        <v>1511</v>
      </c>
      <c r="B1253" s="3" t="s">
        <v>5016</v>
      </c>
      <c r="C1253" s="3">
        <v>22</v>
      </c>
      <c r="D1253" s="46" t="str">
        <f>IF(Tabla1[[#This Row],[EDAD]]&lt;=35,"Adultos jóvenes 18 - 35 años",IF(C1253&gt;=36,"Adultos mayores 36 años en adelante"))</f>
        <v>Adultos jóvenes 18 - 35 años</v>
      </c>
      <c r="E1253" s="3" t="s">
        <v>5019</v>
      </c>
      <c r="F1253" s="3" t="s">
        <v>5028</v>
      </c>
      <c r="G1253" s="3" t="s">
        <v>5033</v>
      </c>
      <c r="H1253" s="3" t="s">
        <v>6534</v>
      </c>
      <c r="I1253" s="17">
        <v>45411</v>
      </c>
      <c r="J1253" s="18">
        <f>YEAR(Tabla1[[#This Row],[FECHA DE COMPRA]])</f>
        <v>2024</v>
      </c>
      <c r="K1253" s="19">
        <v>28.38</v>
      </c>
      <c r="L1253" s="20">
        <v>0</v>
      </c>
      <c r="M1253" s="19">
        <f>Tienda!$K1115-Tienda!$K1115*Tienda!$L1115</f>
        <v>35.665000000000006</v>
      </c>
      <c r="N1253" s="3" t="s">
        <v>10038</v>
      </c>
      <c r="O1253" s="3" t="s">
        <v>10041</v>
      </c>
      <c r="P1253" s="17">
        <v>45411</v>
      </c>
      <c r="Q1253" s="4">
        <v>0</v>
      </c>
    </row>
    <row r="1254" spans="1:17" x14ac:dyDescent="0.25">
      <c r="A1254" s="2" t="s">
        <v>887</v>
      </c>
      <c r="B1254" s="3" t="s">
        <v>5015</v>
      </c>
      <c r="C1254" s="3">
        <v>22</v>
      </c>
      <c r="D1254" s="46" t="str">
        <f>IF(Tabla1[[#This Row],[EDAD]]&lt;=35,"Adultos jóvenes 18 - 35 años",IF(C1254&gt;=36,"Adultos mayores 36 años en adelante"))</f>
        <v>Adultos jóvenes 18 - 35 años</v>
      </c>
      <c r="E1254" s="3" t="s">
        <v>5023</v>
      </c>
      <c r="F1254" s="3" t="s">
        <v>5030</v>
      </c>
      <c r="G1254" s="3" t="s">
        <v>5031</v>
      </c>
      <c r="H1254" s="3" t="s">
        <v>5910</v>
      </c>
      <c r="I1254" s="17">
        <v>45364</v>
      </c>
      <c r="J1254" s="18">
        <f>YEAR(Tabla1[[#This Row],[FECHA DE COMPRA]])</f>
        <v>2024</v>
      </c>
      <c r="K1254" s="19">
        <v>28.58</v>
      </c>
      <c r="L1254" s="20">
        <v>0</v>
      </c>
      <c r="M1254" s="19">
        <f>Tienda!$K1120-Tienda!$K1120*Tienda!$L1120</f>
        <v>103.744</v>
      </c>
      <c r="N1254" s="3" t="s">
        <v>10038</v>
      </c>
      <c r="O1254" s="3" t="s">
        <v>10041</v>
      </c>
      <c r="P1254" s="17">
        <v>45364</v>
      </c>
      <c r="Q1254" s="4">
        <v>0</v>
      </c>
    </row>
    <row r="1255" spans="1:17" x14ac:dyDescent="0.25">
      <c r="A1255" s="2" t="s">
        <v>2445</v>
      </c>
      <c r="B1255" s="3" t="s">
        <v>5016</v>
      </c>
      <c r="C1255" s="3">
        <v>28</v>
      </c>
      <c r="D1255" s="46" t="str">
        <f>IF(Tabla1[[#This Row],[EDAD]]&lt;=35,"Adultos jóvenes 18 - 35 años",IF(C1255&gt;=36,"Adultos mayores 36 años en adelante"))</f>
        <v>Adultos jóvenes 18 - 35 años</v>
      </c>
      <c r="E1255" s="3" t="s">
        <v>5019</v>
      </c>
      <c r="F1255" s="3" t="s">
        <v>5025</v>
      </c>
      <c r="G1255" s="3" t="s">
        <v>5031</v>
      </c>
      <c r="H1255" s="3" t="s">
        <v>7468</v>
      </c>
      <c r="I1255" s="17">
        <v>45649</v>
      </c>
      <c r="J1255" s="18">
        <f>YEAR(Tabla1[[#This Row],[FECHA DE COMPRA]])</f>
        <v>2024</v>
      </c>
      <c r="K1255" s="19">
        <v>40.94</v>
      </c>
      <c r="L1255" s="20">
        <v>0.3</v>
      </c>
      <c r="M1255" s="19">
        <f>Tienda!$K1123-Tienda!$K1123*Tienda!$L1123</f>
        <v>121.13500000000002</v>
      </c>
      <c r="N1255" s="3" t="s">
        <v>10038</v>
      </c>
      <c r="O1255" s="3" t="s">
        <v>10041</v>
      </c>
      <c r="P1255" s="17">
        <v>45382</v>
      </c>
      <c r="Q1255" s="4">
        <v>0</v>
      </c>
    </row>
    <row r="1256" spans="1:17" x14ac:dyDescent="0.25">
      <c r="A1256" s="2" t="s">
        <v>1623</v>
      </c>
      <c r="B1256" s="3" t="s">
        <v>5016</v>
      </c>
      <c r="C1256" s="3">
        <v>34</v>
      </c>
      <c r="D1256" s="46" t="str">
        <f>IF(Tabla1[[#This Row],[EDAD]]&lt;=35,"Adultos jóvenes 18 - 35 años",IF(C1256&gt;=36,"Adultos mayores 36 años en adelante"))</f>
        <v>Adultos jóvenes 18 - 35 años</v>
      </c>
      <c r="E1256" s="3" t="s">
        <v>5021</v>
      </c>
      <c r="F1256" s="3" t="s">
        <v>5029</v>
      </c>
      <c r="G1256" s="3" t="s">
        <v>5033</v>
      </c>
      <c r="H1256" s="3" t="s">
        <v>6646</v>
      </c>
      <c r="I1256" s="17">
        <v>45439</v>
      </c>
      <c r="J1256" s="18">
        <f>YEAR(Tabla1[[#This Row],[FECHA DE COMPRA]])</f>
        <v>2024</v>
      </c>
      <c r="K1256" s="19">
        <v>32.19</v>
      </c>
      <c r="L1256" s="20">
        <v>0.1</v>
      </c>
      <c r="M1256" s="19">
        <f>Tienda!$K1127-Tienda!$K1127*Tienda!$L1127</f>
        <v>161.17200000000003</v>
      </c>
      <c r="N1256" s="3" t="s">
        <v>10038</v>
      </c>
      <c r="O1256" s="3" t="s">
        <v>10041</v>
      </c>
      <c r="P1256" s="17">
        <v>45799</v>
      </c>
      <c r="Q1256" s="4">
        <v>0</v>
      </c>
    </row>
    <row r="1257" spans="1:17" x14ac:dyDescent="0.25">
      <c r="A1257" s="2" t="s">
        <v>2774</v>
      </c>
      <c r="B1257" s="3" t="s">
        <v>5015</v>
      </c>
      <c r="C1257" s="3">
        <v>30</v>
      </c>
      <c r="D1257" s="46" t="str">
        <f>IF(Tabla1[[#This Row],[EDAD]]&lt;=35,"Adultos jóvenes 18 - 35 años",IF(C1257&gt;=36,"Adultos mayores 36 años en adelante"))</f>
        <v>Adultos jóvenes 18 - 35 años</v>
      </c>
      <c r="E1257" s="3" t="s">
        <v>5019</v>
      </c>
      <c r="F1257" s="3" t="s">
        <v>5025</v>
      </c>
      <c r="G1257" s="3" t="s">
        <v>5036</v>
      </c>
      <c r="H1257" s="3" t="s">
        <v>7797</v>
      </c>
      <c r="I1257" s="17">
        <v>45309</v>
      </c>
      <c r="J1257" s="18">
        <f>YEAR(Tabla1[[#This Row],[FECHA DE COMPRA]])</f>
        <v>2024</v>
      </c>
      <c r="K1257" s="19">
        <v>29.05</v>
      </c>
      <c r="L1257" s="20">
        <v>0</v>
      </c>
      <c r="M1257" s="19">
        <f>Tienda!$K1128-Tienda!$K1128*Tienda!$L1128</f>
        <v>45.262</v>
      </c>
      <c r="N1257" s="3" t="s">
        <v>10038</v>
      </c>
      <c r="O1257" s="3" t="s">
        <v>10041</v>
      </c>
      <c r="P1257" s="17">
        <v>45309</v>
      </c>
      <c r="Q1257" s="4">
        <v>0</v>
      </c>
    </row>
    <row r="1258" spans="1:17" x14ac:dyDescent="0.25">
      <c r="A1258" s="2" t="s">
        <v>427</v>
      </c>
      <c r="B1258" s="3" t="s">
        <v>5015</v>
      </c>
      <c r="C1258" s="3">
        <v>33</v>
      </c>
      <c r="D1258" s="46" t="str">
        <f>IF(Tabla1[[#This Row],[EDAD]]&lt;=35,"Adultos jóvenes 18 - 35 años",IF(C1258&gt;=36,"Adultos mayores 36 años en adelante"))</f>
        <v>Adultos jóvenes 18 - 35 años</v>
      </c>
      <c r="E1258" s="3" t="s">
        <v>5021</v>
      </c>
      <c r="F1258" s="3" t="s">
        <v>5024</v>
      </c>
      <c r="G1258" s="3" t="s">
        <v>5033</v>
      </c>
      <c r="H1258" s="3" t="s">
        <v>5450</v>
      </c>
      <c r="I1258" s="17">
        <v>45610</v>
      </c>
      <c r="J1258" s="18">
        <f>YEAR(Tabla1[[#This Row],[FECHA DE COMPRA]])</f>
        <v>2024</v>
      </c>
      <c r="K1258" s="19">
        <v>36.950000000000003</v>
      </c>
      <c r="L1258" s="20">
        <v>0.2</v>
      </c>
      <c r="M1258" s="19">
        <f>Tienda!$K1130-Tienda!$K1130*Tienda!$L1130</f>
        <v>63.775999999999996</v>
      </c>
      <c r="N1258" s="3" t="s">
        <v>10038</v>
      </c>
      <c r="O1258" s="3" t="s">
        <v>10041</v>
      </c>
      <c r="P1258" s="17">
        <v>45700</v>
      </c>
      <c r="Q1258" s="4">
        <v>0</v>
      </c>
    </row>
    <row r="1259" spans="1:17" x14ac:dyDescent="0.25">
      <c r="A1259" s="2" t="s">
        <v>2709</v>
      </c>
      <c r="B1259" s="3" t="s">
        <v>5016</v>
      </c>
      <c r="C1259" s="3">
        <v>22</v>
      </c>
      <c r="D1259" s="46" t="str">
        <f>IF(Tabla1[[#This Row],[EDAD]]&lt;=35,"Adultos jóvenes 18 - 35 años",IF(C1259&gt;=36,"Adultos mayores 36 años en adelante"))</f>
        <v>Adultos jóvenes 18 - 35 años</v>
      </c>
      <c r="E1259" s="3" t="s">
        <v>5019</v>
      </c>
      <c r="F1259" s="3" t="s">
        <v>5025</v>
      </c>
      <c r="G1259" s="3" t="s">
        <v>5032</v>
      </c>
      <c r="H1259" s="3" t="s">
        <v>7732</v>
      </c>
      <c r="I1259" s="17">
        <v>45624</v>
      </c>
      <c r="J1259" s="18">
        <f>YEAR(Tabla1[[#This Row],[FECHA DE COMPRA]])</f>
        <v>2024</v>
      </c>
      <c r="K1259" s="19">
        <v>37</v>
      </c>
      <c r="L1259" s="20">
        <v>0.2</v>
      </c>
      <c r="M1259" s="19">
        <f>Tienda!$K1132-Tienda!$K1132*Tienda!$L1132</f>
        <v>105.434</v>
      </c>
      <c r="N1259" s="3" t="s">
        <v>10038</v>
      </c>
      <c r="O1259" s="3" t="s">
        <v>10041</v>
      </c>
      <c r="P1259" s="17">
        <v>45412</v>
      </c>
      <c r="Q1259" s="4">
        <v>0</v>
      </c>
    </row>
    <row r="1260" spans="1:17" x14ac:dyDescent="0.25">
      <c r="A1260" s="2" t="s">
        <v>4011</v>
      </c>
      <c r="B1260" s="3" t="s">
        <v>5015</v>
      </c>
      <c r="C1260" s="3">
        <v>33</v>
      </c>
      <c r="D1260" s="46" t="str">
        <f>IF(Tabla1[[#This Row],[EDAD]]&lt;=35,"Adultos jóvenes 18 - 35 años",IF(C1260&gt;=36,"Adultos mayores 36 años en adelante"))</f>
        <v>Adultos jóvenes 18 - 35 años</v>
      </c>
      <c r="E1260" s="3" t="s">
        <v>5018</v>
      </c>
      <c r="F1260" s="3" t="s">
        <v>5030</v>
      </c>
      <c r="G1260" s="3" t="s">
        <v>5034</v>
      </c>
      <c r="H1260" s="3" t="s">
        <v>9034</v>
      </c>
      <c r="I1260" s="17">
        <v>45341</v>
      </c>
      <c r="J1260" s="18">
        <f>YEAR(Tabla1[[#This Row],[FECHA DE COMPRA]])</f>
        <v>2024</v>
      </c>
      <c r="K1260" s="19">
        <v>42.47</v>
      </c>
      <c r="L1260" s="20">
        <v>0.3</v>
      </c>
      <c r="M1260" s="19">
        <f>Tienda!$K1133-Tienda!$K1133*Tienda!$L1133</f>
        <v>82.5</v>
      </c>
      <c r="N1260" s="3" t="s">
        <v>10038</v>
      </c>
      <c r="O1260" s="3" t="s">
        <v>10041</v>
      </c>
      <c r="P1260" s="17">
        <v>45341</v>
      </c>
      <c r="Q1260" s="4">
        <v>0</v>
      </c>
    </row>
    <row r="1261" spans="1:17" x14ac:dyDescent="0.25">
      <c r="A1261" s="2" t="s">
        <v>950</v>
      </c>
      <c r="B1261" s="3" t="s">
        <v>5015</v>
      </c>
      <c r="C1261" s="3">
        <v>30</v>
      </c>
      <c r="D1261" s="46" t="str">
        <f>IF(Tabla1[[#This Row],[EDAD]]&lt;=35,"Adultos jóvenes 18 - 35 años",IF(C1261&gt;=36,"Adultos mayores 36 años en adelante"))</f>
        <v>Adultos jóvenes 18 - 35 años</v>
      </c>
      <c r="E1261" s="3" t="s">
        <v>5020</v>
      </c>
      <c r="F1261" s="3" t="s">
        <v>5030</v>
      </c>
      <c r="G1261" s="3" t="s">
        <v>5031</v>
      </c>
      <c r="H1261" s="3" t="s">
        <v>5973</v>
      </c>
      <c r="I1261" s="17">
        <v>45533</v>
      </c>
      <c r="J1261" s="18">
        <f>YEAR(Tabla1[[#This Row],[FECHA DE COMPRA]])</f>
        <v>2024</v>
      </c>
      <c r="K1261" s="19">
        <v>43.15</v>
      </c>
      <c r="L1261" s="20">
        <v>0.3</v>
      </c>
      <c r="M1261" s="19">
        <f>Tienda!$K1134-Tienda!$K1134*Tienda!$L1134</f>
        <v>60.948999999999998</v>
      </c>
      <c r="N1261" s="3" t="s">
        <v>10038</v>
      </c>
      <c r="O1261" s="3" t="s">
        <v>10041</v>
      </c>
      <c r="P1261" s="17">
        <v>45623</v>
      </c>
      <c r="Q1261" s="4">
        <v>0</v>
      </c>
    </row>
    <row r="1262" spans="1:17" x14ac:dyDescent="0.25">
      <c r="A1262" s="2" t="s">
        <v>2101</v>
      </c>
      <c r="B1262" s="3" t="s">
        <v>5016</v>
      </c>
      <c r="C1262" s="3">
        <v>35</v>
      </c>
      <c r="D1262" s="46" t="str">
        <f>IF(Tabla1[[#This Row],[EDAD]]&lt;=35,"Adultos jóvenes 18 - 35 años",IF(C1262&gt;=36,"Adultos mayores 36 años en adelante"))</f>
        <v>Adultos jóvenes 18 - 35 años</v>
      </c>
      <c r="E1262" s="3" t="s">
        <v>5017</v>
      </c>
      <c r="F1262" s="3" t="s">
        <v>5029</v>
      </c>
      <c r="G1262" s="3" t="s">
        <v>5036</v>
      </c>
      <c r="H1262" s="3" t="s">
        <v>7124</v>
      </c>
      <c r="I1262" s="17">
        <v>45335</v>
      </c>
      <c r="J1262" s="18">
        <f>YEAR(Tabla1[[#This Row],[FECHA DE COMPRA]])</f>
        <v>2024</v>
      </c>
      <c r="K1262" s="19">
        <v>38.35</v>
      </c>
      <c r="L1262" s="20">
        <v>0.2</v>
      </c>
      <c r="M1262" s="19">
        <f>Tienda!$K1141-Tienda!$K1141*Tienda!$L1141</f>
        <v>18.88</v>
      </c>
      <c r="N1262" s="3" t="s">
        <v>10038</v>
      </c>
      <c r="O1262" s="3" t="s">
        <v>10041</v>
      </c>
      <c r="P1262" s="17">
        <v>45335</v>
      </c>
      <c r="Q1262" s="4">
        <v>0</v>
      </c>
    </row>
    <row r="1263" spans="1:17" x14ac:dyDescent="0.25">
      <c r="A1263" s="2" t="s">
        <v>517</v>
      </c>
      <c r="B1263" s="3" t="s">
        <v>5015</v>
      </c>
      <c r="C1263" s="3">
        <v>27</v>
      </c>
      <c r="D1263" s="46" t="str">
        <f>IF(Tabla1[[#This Row],[EDAD]]&lt;=35,"Adultos jóvenes 18 - 35 años",IF(C1263&gt;=36,"Adultos mayores 36 años en adelante"))</f>
        <v>Adultos jóvenes 18 - 35 años</v>
      </c>
      <c r="E1263" s="3" t="s">
        <v>5022</v>
      </c>
      <c r="F1263" s="3" t="s">
        <v>5027</v>
      </c>
      <c r="G1263" s="3" t="s">
        <v>5037</v>
      </c>
      <c r="H1263" s="3" t="s">
        <v>5540</v>
      </c>
      <c r="I1263" s="17">
        <v>45315</v>
      </c>
      <c r="J1263" s="18">
        <f>YEAR(Tabla1[[#This Row],[FECHA DE COMPRA]])</f>
        <v>2024</v>
      </c>
      <c r="K1263" s="19">
        <v>34.61</v>
      </c>
      <c r="L1263" s="20">
        <v>0.1</v>
      </c>
      <c r="M1263" s="19">
        <f>Tienda!$K1146-Tienda!$K1146*Tienda!$L1146</f>
        <v>73.031000000000006</v>
      </c>
      <c r="N1263" s="3" t="s">
        <v>10038</v>
      </c>
      <c r="O1263" s="3" t="s">
        <v>10041</v>
      </c>
      <c r="P1263" s="17">
        <v>45315</v>
      </c>
      <c r="Q1263" s="4">
        <v>0</v>
      </c>
    </row>
    <row r="1264" spans="1:17" x14ac:dyDescent="0.25">
      <c r="A1264" s="2" t="s">
        <v>3940</v>
      </c>
      <c r="B1264" s="3" t="s">
        <v>5015</v>
      </c>
      <c r="C1264" s="3">
        <v>28</v>
      </c>
      <c r="D1264" s="46" t="str">
        <f>IF(Tabla1[[#This Row],[EDAD]]&lt;=35,"Adultos jóvenes 18 - 35 años",IF(C1264&gt;=36,"Adultos mayores 36 años en adelante"))</f>
        <v>Adultos jóvenes 18 - 35 años</v>
      </c>
      <c r="E1264" s="3" t="s">
        <v>5021</v>
      </c>
      <c r="F1264" s="3" t="s">
        <v>5030</v>
      </c>
      <c r="G1264" s="3" t="s">
        <v>5032</v>
      </c>
      <c r="H1264" s="3" t="s">
        <v>8963</v>
      </c>
      <c r="I1264" s="17">
        <v>45319</v>
      </c>
      <c r="J1264" s="18">
        <f>YEAR(Tabla1[[#This Row],[FECHA DE COMPRA]])</f>
        <v>2024</v>
      </c>
      <c r="K1264" s="19">
        <v>34.79</v>
      </c>
      <c r="L1264" s="20">
        <v>0.1</v>
      </c>
      <c r="M1264" s="19">
        <f>Tienda!$K1147-Tienda!$K1147*Tienda!$L1147</f>
        <v>109.071</v>
      </c>
      <c r="N1264" s="3" t="s">
        <v>10038</v>
      </c>
      <c r="O1264" s="3" t="s">
        <v>10041</v>
      </c>
      <c r="P1264" s="17">
        <v>45409</v>
      </c>
      <c r="Q1264" s="4">
        <v>0</v>
      </c>
    </row>
    <row r="1265" spans="1:17" x14ac:dyDescent="0.25">
      <c r="A1265" s="2" t="s">
        <v>1138</v>
      </c>
      <c r="B1265" s="3" t="s">
        <v>5015</v>
      </c>
      <c r="C1265" s="3">
        <v>25</v>
      </c>
      <c r="D1265" s="46" t="str">
        <f>IF(Tabla1[[#This Row],[EDAD]]&lt;=35,"Adultos jóvenes 18 - 35 años",IF(C1265&gt;=36,"Adultos mayores 36 años en adelante"))</f>
        <v>Adultos jóvenes 18 - 35 años</v>
      </c>
      <c r="E1265" s="3" t="s">
        <v>5022</v>
      </c>
      <c r="F1265" s="3" t="s">
        <v>5030</v>
      </c>
      <c r="G1265" s="3" t="s">
        <v>5032</v>
      </c>
      <c r="H1265" s="3" t="s">
        <v>6161</v>
      </c>
      <c r="I1265" s="17">
        <v>45480</v>
      </c>
      <c r="J1265" s="18">
        <f>YEAR(Tabla1[[#This Row],[FECHA DE COMPRA]])</f>
        <v>2024</v>
      </c>
      <c r="K1265" s="19">
        <v>32.840000000000003</v>
      </c>
      <c r="L1265" s="20">
        <v>0</v>
      </c>
      <c r="M1265" s="19">
        <f>Tienda!$K1159-Tienda!$K1159*Tienda!$L1159</f>
        <v>116.55199999999999</v>
      </c>
      <c r="N1265" s="3" t="s">
        <v>10038</v>
      </c>
      <c r="O1265" s="3" t="s">
        <v>10041</v>
      </c>
      <c r="P1265" s="17">
        <v>45480</v>
      </c>
      <c r="Q1265" s="4">
        <v>0</v>
      </c>
    </row>
    <row r="1266" spans="1:17" x14ac:dyDescent="0.25">
      <c r="A1266" s="2" t="s">
        <v>4678</v>
      </c>
      <c r="B1266" s="3" t="s">
        <v>5015</v>
      </c>
      <c r="C1266" s="3">
        <v>21</v>
      </c>
      <c r="D1266" s="46" t="str">
        <f>IF(Tabla1[[#This Row],[EDAD]]&lt;=35,"Adultos jóvenes 18 - 35 años",IF(C1266&gt;=36,"Adultos mayores 36 años en adelante"))</f>
        <v>Adultos jóvenes 18 - 35 años</v>
      </c>
      <c r="E1266" s="3" t="s">
        <v>5018</v>
      </c>
      <c r="F1266" s="3" t="s">
        <v>5028</v>
      </c>
      <c r="G1266" s="3" t="s">
        <v>5033</v>
      </c>
      <c r="H1266" s="3" t="s">
        <v>9701</v>
      </c>
      <c r="I1266" s="17">
        <v>45607</v>
      </c>
      <c r="J1266" s="18">
        <f>YEAR(Tabla1[[#This Row],[FECHA DE COMPRA]])</f>
        <v>2024</v>
      </c>
      <c r="K1266" s="19">
        <v>47.05</v>
      </c>
      <c r="L1266" s="20">
        <v>0.3</v>
      </c>
      <c r="M1266" s="19">
        <f>Tienda!$K1161-Tienda!$K1161*Tienda!$L1161</f>
        <v>40.32</v>
      </c>
      <c r="N1266" s="3" t="s">
        <v>10038</v>
      </c>
      <c r="O1266" s="3" t="s">
        <v>10041</v>
      </c>
      <c r="P1266" s="17">
        <v>45877</v>
      </c>
      <c r="Q1266" s="4">
        <v>0</v>
      </c>
    </row>
    <row r="1267" spans="1:17" x14ac:dyDescent="0.25">
      <c r="A1267" s="2" t="s">
        <v>4299</v>
      </c>
      <c r="B1267" s="3" t="s">
        <v>5016</v>
      </c>
      <c r="C1267" s="3">
        <v>21</v>
      </c>
      <c r="D1267" s="46" t="str">
        <f>IF(Tabla1[[#This Row],[EDAD]]&lt;=35,"Adultos jóvenes 18 - 35 años",IF(C1267&gt;=36,"Adultos mayores 36 años en adelante"))</f>
        <v>Adultos jóvenes 18 - 35 años</v>
      </c>
      <c r="E1267" s="3" t="s">
        <v>5017</v>
      </c>
      <c r="F1267" s="3" t="s">
        <v>5025</v>
      </c>
      <c r="G1267" s="3" t="s">
        <v>5035</v>
      </c>
      <c r="H1267" s="3" t="s">
        <v>9322</v>
      </c>
      <c r="I1267" s="17">
        <v>45374</v>
      </c>
      <c r="J1267" s="18">
        <f>YEAR(Tabla1[[#This Row],[FECHA DE COMPRA]])</f>
        <v>2024</v>
      </c>
      <c r="K1267" s="19">
        <v>41.44</v>
      </c>
      <c r="L1267" s="20">
        <v>0.2</v>
      </c>
      <c r="M1267" s="19">
        <f>Tienda!$K1166-Tienda!$K1166*Tienda!$L1166</f>
        <v>55.230000000000004</v>
      </c>
      <c r="N1267" s="3" t="s">
        <v>10038</v>
      </c>
      <c r="O1267" s="3" t="s">
        <v>10041</v>
      </c>
      <c r="P1267" s="17">
        <v>45374</v>
      </c>
      <c r="Q1267" s="4">
        <v>0</v>
      </c>
    </row>
    <row r="1268" spans="1:17" x14ac:dyDescent="0.25">
      <c r="A1268" s="2" t="s">
        <v>1871</v>
      </c>
      <c r="B1268" s="3" t="s">
        <v>5015</v>
      </c>
      <c r="C1268" s="3">
        <v>21</v>
      </c>
      <c r="D1268" s="46" t="str">
        <f>IF(Tabla1[[#This Row],[EDAD]]&lt;=35,"Adultos jóvenes 18 - 35 años",IF(C1268&gt;=36,"Adultos mayores 36 años en adelante"))</f>
        <v>Adultos jóvenes 18 - 35 años</v>
      </c>
      <c r="E1268" s="3" t="s">
        <v>5022</v>
      </c>
      <c r="F1268" s="3" t="s">
        <v>5024</v>
      </c>
      <c r="G1268" s="3" t="s">
        <v>5032</v>
      </c>
      <c r="H1268" s="3" t="s">
        <v>6894</v>
      </c>
      <c r="I1268" s="17">
        <v>45538</v>
      </c>
      <c r="J1268" s="18">
        <f>YEAR(Tabla1[[#This Row],[FECHA DE COMPRA]])</f>
        <v>2024</v>
      </c>
      <c r="K1268" s="19">
        <v>37.43</v>
      </c>
      <c r="L1268" s="20">
        <v>0.1</v>
      </c>
      <c r="M1268" s="19">
        <f>Tienda!$K1170-Tienda!$K1170*Tienda!$L1170</f>
        <v>120.04300000000001</v>
      </c>
      <c r="N1268" s="3" t="s">
        <v>10038</v>
      </c>
      <c r="O1268" s="3" t="s">
        <v>10041</v>
      </c>
      <c r="P1268" s="17">
        <v>45808</v>
      </c>
      <c r="Q1268" s="4">
        <v>0</v>
      </c>
    </row>
    <row r="1269" spans="1:17" x14ac:dyDescent="0.25">
      <c r="A1269" s="2" t="s">
        <v>683</v>
      </c>
      <c r="B1269" s="3" t="s">
        <v>5015</v>
      </c>
      <c r="C1269" s="3">
        <v>21</v>
      </c>
      <c r="D1269" s="46" t="str">
        <f>IF(Tabla1[[#This Row],[EDAD]]&lt;=35,"Adultos jóvenes 18 - 35 años",IF(C1269&gt;=36,"Adultos mayores 36 años en adelante"))</f>
        <v>Adultos jóvenes 18 - 35 años</v>
      </c>
      <c r="E1269" s="3" t="s">
        <v>5018</v>
      </c>
      <c r="F1269" s="3" t="s">
        <v>5027</v>
      </c>
      <c r="G1269" s="3" t="s">
        <v>5035</v>
      </c>
      <c r="H1269" s="3" t="s">
        <v>5706</v>
      </c>
      <c r="I1269" s="17">
        <v>45398</v>
      </c>
      <c r="J1269" s="18">
        <f>YEAR(Tabla1[[#This Row],[FECHA DE COMPRA]])</f>
        <v>2024</v>
      </c>
      <c r="K1269" s="19">
        <v>42.24</v>
      </c>
      <c r="L1269" s="20">
        <v>0.2</v>
      </c>
      <c r="M1269" s="19">
        <f>Tienda!$K1173-Tienda!$K1173*Tienda!$L1173</f>
        <v>79.760000000000005</v>
      </c>
      <c r="N1269" s="3" t="s">
        <v>10038</v>
      </c>
      <c r="O1269" s="3" t="s">
        <v>10041</v>
      </c>
      <c r="P1269" s="17">
        <v>45398</v>
      </c>
      <c r="Q1269" s="4">
        <v>0</v>
      </c>
    </row>
    <row r="1270" spans="1:17" x14ac:dyDescent="0.25">
      <c r="A1270" s="2" t="s">
        <v>2878</v>
      </c>
      <c r="B1270" s="3" t="s">
        <v>5015</v>
      </c>
      <c r="C1270" s="3">
        <v>26</v>
      </c>
      <c r="D1270" s="46" t="str">
        <f>IF(Tabla1[[#This Row],[EDAD]]&lt;=35,"Adultos jóvenes 18 - 35 años",IF(C1270&gt;=36,"Adultos mayores 36 años en adelante"))</f>
        <v>Adultos jóvenes 18 - 35 años</v>
      </c>
      <c r="E1270" s="3" t="s">
        <v>5019</v>
      </c>
      <c r="F1270" s="3" t="s">
        <v>5024</v>
      </c>
      <c r="G1270" s="3" t="s">
        <v>5035</v>
      </c>
      <c r="H1270" s="3" t="s">
        <v>7901</v>
      </c>
      <c r="I1270" s="17">
        <v>45438</v>
      </c>
      <c r="J1270" s="18">
        <f>YEAR(Tabla1[[#This Row],[FECHA DE COMPRA]])</f>
        <v>2024</v>
      </c>
      <c r="K1270" s="19">
        <v>48.52</v>
      </c>
      <c r="L1270" s="20">
        <v>0.3</v>
      </c>
      <c r="M1270" s="19">
        <f>Tienda!$K1176-Tienda!$K1176*Tienda!$L1176</f>
        <v>7.6440000000000001</v>
      </c>
      <c r="N1270" s="3" t="s">
        <v>10038</v>
      </c>
      <c r="O1270" s="3" t="s">
        <v>10041</v>
      </c>
      <c r="P1270" s="17">
        <v>45618</v>
      </c>
      <c r="Q1270" s="4">
        <v>0</v>
      </c>
    </row>
    <row r="1271" spans="1:17" x14ac:dyDescent="0.25">
      <c r="A1271" s="2" t="s">
        <v>435</v>
      </c>
      <c r="B1271" s="3" t="s">
        <v>5015</v>
      </c>
      <c r="C1271" s="3">
        <v>31</v>
      </c>
      <c r="D1271" s="46" t="str">
        <f>IF(Tabla1[[#This Row],[EDAD]]&lt;=35,"Adultos jóvenes 18 - 35 años",IF(C1271&gt;=36,"Adultos mayores 36 años en adelante"))</f>
        <v>Adultos jóvenes 18 - 35 años</v>
      </c>
      <c r="E1271" s="3" t="s">
        <v>5018</v>
      </c>
      <c r="F1271" s="3" t="s">
        <v>5030</v>
      </c>
      <c r="G1271" s="3" t="s">
        <v>5033</v>
      </c>
      <c r="H1271" s="3" t="s">
        <v>5458</v>
      </c>
      <c r="I1271" s="17">
        <v>45649</v>
      </c>
      <c r="J1271" s="18">
        <f>YEAR(Tabla1[[#This Row],[FECHA DE COMPRA]])</f>
        <v>2024</v>
      </c>
      <c r="K1271" s="19">
        <v>42.77</v>
      </c>
      <c r="L1271" s="20">
        <v>0.2</v>
      </c>
      <c r="M1271" s="19">
        <f>Tienda!$K1178-Tienda!$K1178*Tienda!$L1178</f>
        <v>133.57799999999997</v>
      </c>
      <c r="N1271" s="3" t="s">
        <v>10038</v>
      </c>
      <c r="O1271" s="3" t="s">
        <v>10041</v>
      </c>
      <c r="P1271" s="17">
        <v>45294</v>
      </c>
      <c r="Q1271" s="4">
        <v>0</v>
      </c>
    </row>
    <row r="1272" spans="1:17" x14ac:dyDescent="0.25">
      <c r="A1272" s="2" t="s">
        <v>4611</v>
      </c>
      <c r="B1272" s="3" t="s">
        <v>5015</v>
      </c>
      <c r="C1272" s="3">
        <v>23</v>
      </c>
      <c r="D1272" s="46" t="str">
        <f>IF(Tabla1[[#This Row],[EDAD]]&lt;=35,"Adultos jóvenes 18 - 35 años",IF(C1272&gt;=36,"Adultos mayores 36 años en adelante"))</f>
        <v>Adultos jóvenes 18 - 35 años</v>
      </c>
      <c r="E1272" s="3" t="s">
        <v>5023</v>
      </c>
      <c r="F1272" s="3" t="s">
        <v>5030</v>
      </c>
      <c r="G1272" s="3" t="s">
        <v>5033</v>
      </c>
      <c r="H1272" s="3" t="s">
        <v>9634</v>
      </c>
      <c r="I1272" s="17">
        <v>45594</v>
      </c>
      <c r="J1272" s="18">
        <f>YEAR(Tabla1[[#This Row],[FECHA DE COMPRA]])</f>
        <v>2024</v>
      </c>
      <c r="K1272" s="19">
        <v>38.11</v>
      </c>
      <c r="L1272" s="20">
        <v>0.1</v>
      </c>
      <c r="M1272" s="19">
        <f>Tienda!$K1181-Tienda!$K1181*Tienda!$L1181</f>
        <v>73.455999999999989</v>
      </c>
      <c r="N1272" s="3" t="s">
        <v>10038</v>
      </c>
      <c r="O1272" s="3" t="s">
        <v>10041</v>
      </c>
      <c r="P1272" s="17">
        <v>45864</v>
      </c>
      <c r="Q1272" s="4">
        <v>0</v>
      </c>
    </row>
    <row r="1273" spans="1:17" x14ac:dyDescent="0.25">
      <c r="A1273" s="2" t="s">
        <v>2605</v>
      </c>
      <c r="B1273" s="3" t="s">
        <v>5015</v>
      </c>
      <c r="C1273" s="3">
        <v>31</v>
      </c>
      <c r="D1273" s="46" t="str">
        <f>IF(Tabla1[[#This Row],[EDAD]]&lt;=35,"Adultos jóvenes 18 - 35 años",IF(C1273&gt;=36,"Adultos mayores 36 años en adelante"))</f>
        <v>Adultos jóvenes 18 - 35 años</v>
      </c>
      <c r="E1273" s="3" t="s">
        <v>5022</v>
      </c>
      <c r="F1273" s="3" t="s">
        <v>5024</v>
      </c>
      <c r="G1273" s="3" t="s">
        <v>5032</v>
      </c>
      <c r="H1273" s="3" t="s">
        <v>7628</v>
      </c>
      <c r="I1273" s="17">
        <v>45377</v>
      </c>
      <c r="J1273" s="18">
        <f>YEAR(Tabla1[[#This Row],[FECHA DE COMPRA]])</f>
        <v>2024</v>
      </c>
      <c r="K1273" s="19">
        <v>49.53</v>
      </c>
      <c r="L1273" s="20">
        <v>0.3</v>
      </c>
      <c r="M1273" s="19">
        <f>Tienda!$K1182-Tienda!$K1182*Tienda!$L1182</f>
        <v>110.85300000000001</v>
      </c>
      <c r="N1273" s="3" t="s">
        <v>10038</v>
      </c>
      <c r="O1273" s="3" t="s">
        <v>10041</v>
      </c>
      <c r="P1273" s="17">
        <v>45467</v>
      </c>
      <c r="Q1273" s="4">
        <v>0</v>
      </c>
    </row>
    <row r="1274" spans="1:17" x14ac:dyDescent="0.25">
      <c r="A1274" s="2" t="s">
        <v>779</v>
      </c>
      <c r="B1274" s="3" t="s">
        <v>5016</v>
      </c>
      <c r="C1274" s="3">
        <v>26</v>
      </c>
      <c r="D1274" s="46" t="str">
        <f>IF(Tabla1[[#This Row],[EDAD]]&lt;=35,"Adultos jóvenes 18 - 35 años",IF(C1274&gt;=36,"Adultos mayores 36 años en adelante"))</f>
        <v>Adultos jóvenes 18 - 35 años</v>
      </c>
      <c r="E1274" s="3" t="s">
        <v>5019</v>
      </c>
      <c r="F1274" s="3" t="s">
        <v>5030</v>
      </c>
      <c r="G1274" s="3" t="s">
        <v>5036</v>
      </c>
      <c r="H1274" s="3" t="s">
        <v>5802</v>
      </c>
      <c r="I1274" s="17">
        <v>45360</v>
      </c>
      <c r="J1274" s="18">
        <f>YEAR(Tabla1[[#This Row],[FECHA DE COMPRA]])</f>
        <v>2024</v>
      </c>
      <c r="K1274" s="19">
        <v>35.03</v>
      </c>
      <c r="L1274" s="20">
        <v>0</v>
      </c>
      <c r="M1274" s="19">
        <f>Tienda!$K1187-Tienda!$K1187*Tienda!$L1187</f>
        <v>131.54</v>
      </c>
      <c r="N1274" s="3" t="s">
        <v>10038</v>
      </c>
      <c r="O1274" s="3" t="s">
        <v>10041</v>
      </c>
      <c r="P1274" s="17">
        <v>45450</v>
      </c>
      <c r="Q1274" s="4">
        <v>0</v>
      </c>
    </row>
    <row r="1275" spans="1:17" x14ac:dyDescent="0.25">
      <c r="A1275" s="2" t="s">
        <v>494</v>
      </c>
      <c r="B1275" s="3" t="s">
        <v>5015</v>
      </c>
      <c r="C1275" s="3">
        <v>30</v>
      </c>
      <c r="D1275" s="46" t="str">
        <f>IF(Tabla1[[#This Row],[EDAD]]&lt;=35,"Adultos jóvenes 18 - 35 años",IF(C1275&gt;=36,"Adultos mayores 36 años en adelante"))</f>
        <v>Adultos jóvenes 18 - 35 años</v>
      </c>
      <c r="E1275" s="3" t="s">
        <v>5022</v>
      </c>
      <c r="F1275" s="3" t="s">
        <v>5029</v>
      </c>
      <c r="G1275" s="3" t="s">
        <v>5037</v>
      </c>
      <c r="H1275" s="3" t="s">
        <v>5517</v>
      </c>
      <c r="I1275" s="17">
        <v>45421</v>
      </c>
      <c r="J1275" s="18">
        <f>YEAR(Tabla1[[#This Row],[FECHA DE COMPRA]])</f>
        <v>2024</v>
      </c>
      <c r="K1275" s="19">
        <v>35.36</v>
      </c>
      <c r="L1275" s="20">
        <v>0</v>
      </c>
      <c r="M1275" s="19">
        <f>Tienda!$K1189-Tienda!$K1189*Tienda!$L1189</f>
        <v>170.29</v>
      </c>
      <c r="N1275" s="3" t="s">
        <v>10038</v>
      </c>
      <c r="O1275" s="3" t="s">
        <v>10041</v>
      </c>
      <c r="P1275" s="17">
        <v>45421</v>
      </c>
      <c r="Q1275" s="4">
        <v>0</v>
      </c>
    </row>
    <row r="1276" spans="1:17" x14ac:dyDescent="0.25">
      <c r="A1276" s="2" t="s">
        <v>4727</v>
      </c>
      <c r="B1276" s="3" t="s">
        <v>5015</v>
      </c>
      <c r="C1276" s="3">
        <v>18</v>
      </c>
      <c r="D1276" s="46" t="str">
        <f>IF(Tabla1[[#This Row],[EDAD]]&lt;=35,"Adultos jóvenes 18 - 35 años",IF(C1276&gt;=36,"Adultos mayores 36 años en adelante"))</f>
        <v>Adultos jóvenes 18 - 35 años</v>
      </c>
      <c r="E1276" s="3" t="s">
        <v>5023</v>
      </c>
      <c r="F1276" s="3" t="s">
        <v>5030</v>
      </c>
      <c r="G1276" s="3" t="s">
        <v>5034</v>
      </c>
      <c r="H1276" s="3" t="s">
        <v>9750</v>
      </c>
      <c r="I1276" s="17">
        <v>45624</v>
      </c>
      <c r="J1276" s="18">
        <f>YEAR(Tabla1[[#This Row],[FECHA DE COMPRA]])</f>
        <v>2024</v>
      </c>
      <c r="K1276" s="19">
        <v>43.16</v>
      </c>
      <c r="L1276" s="20">
        <v>0.1</v>
      </c>
      <c r="M1276" s="19">
        <f>Tienda!$K1215-Tienda!$K1215*Tienda!$L1215</f>
        <v>12.49</v>
      </c>
      <c r="N1276" s="3" t="s">
        <v>10038</v>
      </c>
      <c r="O1276" s="3" t="s">
        <v>10041</v>
      </c>
      <c r="P1276" s="17">
        <v>45412</v>
      </c>
      <c r="Q1276" s="4">
        <v>0</v>
      </c>
    </row>
    <row r="1277" spans="1:17" x14ac:dyDescent="0.25">
      <c r="A1277" s="2" t="s">
        <v>3973</v>
      </c>
      <c r="B1277" s="3" t="s">
        <v>5015</v>
      </c>
      <c r="C1277" s="3">
        <v>20</v>
      </c>
      <c r="D1277" s="46" t="str">
        <f>IF(Tabla1[[#This Row],[EDAD]]&lt;=35,"Adultos jóvenes 18 - 35 años",IF(C1277&gt;=36,"Adultos mayores 36 años en adelante"))</f>
        <v>Adultos jóvenes 18 - 35 años</v>
      </c>
      <c r="E1277" s="3" t="s">
        <v>5020</v>
      </c>
      <c r="F1277" s="3" t="s">
        <v>5029</v>
      </c>
      <c r="G1277" s="3" t="s">
        <v>5031</v>
      </c>
      <c r="H1277" s="3" t="s">
        <v>8996</v>
      </c>
      <c r="I1277" s="17">
        <v>45433</v>
      </c>
      <c r="J1277" s="18">
        <f>YEAR(Tabla1[[#This Row],[FECHA DE COMPRA]])</f>
        <v>2024</v>
      </c>
      <c r="K1277" s="19">
        <v>55.99</v>
      </c>
      <c r="L1277" s="20">
        <v>0.3</v>
      </c>
      <c r="M1277" s="19">
        <f>Tienda!$K1216-Tienda!$K1216*Tienda!$L1216</f>
        <v>13.258000000000001</v>
      </c>
      <c r="N1277" s="3" t="s">
        <v>10038</v>
      </c>
      <c r="O1277" s="3" t="s">
        <v>10041</v>
      </c>
      <c r="P1277" s="17">
        <v>45433</v>
      </c>
      <c r="Q1277" s="4">
        <v>0</v>
      </c>
    </row>
    <row r="1278" spans="1:17" x14ac:dyDescent="0.25">
      <c r="A1278" s="2" t="s">
        <v>3289</v>
      </c>
      <c r="B1278" s="3" t="s">
        <v>5015</v>
      </c>
      <c r="C1278" s="3">
        <v>20</v>
      </c>
      <c r="D1278" s="46" t="str">
        <f>IF(Tabla1[[#This Row],[EDAD]]&lt;=35,"Adultos jóvenes 18 - 35 años",IF(C1278&gt;=36,"Adultos mayores 36 años en adelante"))</f>
        <v>Adultos jóvenes 18 - 35 años</v>
      </c>
      <c r="E1278" s="3" t="s">
        <v>5017</v>
      </c>
      <c r="F1278" s="3" t="s">
        <v>5030</v>
      </c>
      <c r="G1278" s="3" t="s">
        <v>5037</v>
      </c>
      <c r="H1278" s="3" t="s">
        <v>8312</v>
      </c>
      <c r="I1278" s="17">
        <v>45529</v>
      </c>
      <c r="J1278" s="18">
        <f>YEAR(Tabla1[[#This Row],[FECHA DE COMPRA]])</f>
        <v>2024</v>
      </c>
      <c r="K1278" s="19">
        <v>56.17</v>
      </c>
      <c r="L1278" s="20">
        <v>0.3</v>
      </c>
      <c r="M1278" s="19">
        <f>Tienda!$K1217-Tienda!$K1217*Tienda!$L1217</f>
        <v>14.741999999999999</v>
      </c>
      <c r="N1278" s="3" t="s">
        <v>10038</v>
      </c>
      <c r="O1278" s="3" t="s">
        <v>10041</v>
      </c>
      <c r="P1278" s="17">
        <v>45529</v>
      </c>
      <c r="Q1278" s="4">
        <v>0</v>
      </c>
    </row>
    <row r="1279" spans="1:17" x14ac:dyDescent="0.25">
      <c r="A1279" s="2" t="s">
        <v>2570</v>
      </c>
      <c r="B1279" s="3" t="s">
        <v>5015</v>
      </c>
      <c r="C1279" s="3">
        <v>18</v>
      </c>
      <c r="D1279" s="46" t="str">
        <f>IF(Tabla1[[#This Row],[EDAD]]&lt;=35,"Adultos jóvenes 18 - 35 años",IF(C1279&gt;=36,"Adultos mayores 36 años en adelante"))</f>
        <v>Adultos jóvenes 18 - 35 años</v>
      </c>
      <c r="E1279" s="3" t="s">
        <v>5020</v>
      </c>
      <c r="F1279" s="3" t="s">
        <v>5029</v>
      </c>
      <c r="G1279" s="3" t="s">
        <v>5032</v>
      </c>
      <c r="H1279" s="3" t="s">
        <v>7593</v>
      </c>
      <c r="I1279" s="17">
        <v>45563</v>
      </c>
      <c r="J1279" s="18">
        <f>YEAR(Tabla1[[#This Row],[FECHA DE COMPRA]])</f>
        <v>2024</v>
      </c>
      <c r="K1279" s="19">
        <v>60.74</v>
      </c>
      <c r="L1279" s="20">
        <v>0.3</v>
      </c>
      <c r="M1279" s="19">
        <f>Tienda!$K1230-Tienda!$K1230*Tienda!$L1230</f>
        <v>18.863999999999997</v>
      </c>
      <c r="N1279" s="3" t="s">
        <v>10038</v>
      </c>
      <c r="O1279" s="3" t="s">
        <v>10041</v>
      </c>
      <c r="P1279" s="17">
        <v>45563</v>
      </c>
      <c r="Q1279" s="4">
        <v>0</v>
      </c>
    </row>
    <row r="1280" spans="1:17" x14ac:dyDescent="0.25">
      <c r="A1280" s="2" t="s">
        <v>3589</v>
      </c>
      <c r="B1280" s="3" t="s">
        <v>5015</v>
      </c>
      <c r="C1280" s="3">
        <v>23</v>
      </c>
      <c r="D1280" s="46" t="str">
        <f>IF(Tabla1[[#This Row],[EDAD]]&lt;=35,"Adultos jóvenes 18 - 35 años",IF(C1280&gt;=36,"Adultos mayores 36 años en adelante"))</f>
        <v>Adultos jóvenes 18 - 35 años</v>
      </c>
      <c r="E1280" s="3" t="s">
        <v>5020</v>
      </c>
      <c r="F1280" s="3" t="s">
        <v>5030</v>
      </c>
      <c r="G1280" s="3" t="s">
        <v>5036</v>
      </c>
      <c r="H1280" s="3" t="s">
        <v>8612</v>
      </c>
      <c r="I1280" s="17">
        <v>45636</v>
      </c>
      <c r="J1280" s="18">
        <f>YEAR(Tabla1[[#This Row],[FECHA DE COMPRA]])</f>
        <v>2024</v>
      </c>
      <c r="K1280" s="19">
        <v>61.99</v>
      </c>
      <c r="L1280" s="20">
        <v>0.3</v>
      </c>
      <c r="M1280" s="19">
        <f>Tienda!$K1236-Tienda!$K1236*Tienda!$L1236</f>
        <v>21.431999999999999</v>
      </c>
      <c r="N1280" s="3" t="s">
        <v>10038</v>
      </c>
      <c r="O1280" s="3" t="s">
        <v>10041</v>
      </c>
      <c r="P1280" s="17">
        <v>45636</v>
      </c>
      <c r="Q1280" s="4">
        <v>0</v>
      </c>
    </row>
    <row r="1281" spans="1:17" x14ac:dyDescent="0.25">
      <c r="A1281" s="2" t="s">
        <v>2208</v>
      </c>
      <c r="B1281" s="3" t="s">
        <v>5016</v>
      </c>
      <c r="C1281" s="3">
        <v>32</v>
      </c>
      <c r="D1281" s="46" t="str">
        <f>IF(Tabla1[[#This Row],[EDAD]]&lt;=35,"Adultos jóvenes 18 - 35 años",IF(C1281&gt;=36,"Adultos mayores 36 años en adelante"))</f>
        <v>Adultos jóvenes 18 - 35 años</v>
      </c>
      <c r="E1281" s="3" t="s">
        <v>5021</v>
      </c>
      <c r="F1281" s="3" t="s">
        <v>5030</v>
      </c>
      <c r="G1281" s="3" t="s">
        <v>5036</v>
      </c>
      <c r="H1281" s="3" t="s">
        <v>7231</v>
      </c>
      <c r="I1281" s="17">
        <v>45647</v>
      </c>
      <c r="J1281" s="18">
        <f>YEAR(Tabla1[[#This Row],[FECHA DE COMPRA]])</f>
        <v>2024</v>
      </c>
      <c r="K1281" s="19">
        <v>44.96</v>
      </c>
      <c r="L1281" s="20">
        <v>0</v>
      </c>
      <c r="M1281" s="19">
        <f>Tienda!$K1246-Tienda!$K1246*Tienda!$L1246</f>
        <v>25.080000000000002</v>
      </c>
      <c r="N1281" s="3" t="s">
        <v>10038</v>
      </c>
      <c r="O1281" s="3" t="s">
        <v>10041</v>
      </c>
      <c r="P1281" s="17">
        <v>45647</v>
      </c>
      <c r="Q1281" s="4">
        <v>0</v>
      </c>
    </row>
    <row r="1282" spans="1:17" x14ac:dyDescent="0.25">
      <c r="A1282" s="2" t="s">
        <v>409</v>
      </c>
      <c r="B1282" s="3" t="s">
        <v>5015</v>
      </c>
      <c r="C1282" s="3">
        <v>30</v>
      </c>
      <c r="D1282" s="46" t="str">
        <f>IF(Tabla1[[#This Row],[EDAD]]&lt;=35,"Adultos jóvenes 18 - 35 años",IF(C1282&gt;=36,"Adultos mayores 36 años en adelante"))</f>
        <v>Adultos jóvenes 18 - 35 años</v>
      </c>
      <c r="E1282" s="3" t="s">
        <v>5018</v>
      </c>
      <c r="F1282" s="3" t="s">
        <v>5025</v>
      </c>
      <c r="G1282" s="3" t="s">
        <v>5031</v>
      </c>
      <c r="H1282" s="3" t="s">
        <v>5432</v>
      </c>
      <c r="I1282" s="17">
        <v>45327</v>
      </c>
      <c r="J1282" s="18">
        <f>YEAR(Tabla1[[#This Row],[FECHA DE COMPRA]])</f>
        <v>2024</v>
      </c>
      <c r="K1282" s="19">
        <v>58.27</v>
      </c>
      <c r="L1282" s="20">
        <v>0.2</v>
      </c>
      <c r="M1282" s="19">
        <f>Tienda!$K1255-Tienda!$K1255*Tienda!$L1255</f>
        <v>28.658000000000001</v>
      </c>
      <c r="N1282" s="3" t="s">
        <v>10038</v>
      </c>
      <c r="O1282" s="3" t="s">
        <v>10041</v>
      </c>
      <c r="P1282" s="17">
        <v>45327</v>
      </c>
      <c r="Q1282" s="4">
        <v>0</v>
      </c>
    </row>
    <row r="1283" spans="1:17" x14ac:dyDescent="0.25">
      <c r="A1283" s="2" t="s">
        <v>2569</v>
      </c>
      <c r="B1283" s="3" t="s">
        <v>5016</v>
      </c>
      <c r="C1283" s="3">
        <v>33</v>
      </c>
      <c r="D1283" s="46" t="str">
        <f>IF(Tabla1[[#This Row],[EDAD]]&lt;=35,"Adultos jóvenes 18 - 35 años",IF(C1283&gt;=36,"Adultos mayores 36 años en adelante"))</f>
        <v>Adultos jóvenes 18 - 35 años</v>
      </c>
      <c r="E1283" s="3" t="s">
        <v>5021</v>
      </c>
      <c r="F1283" s="3" t="s">
        <v>5027</v>
      </c>
      <c r="G1283" s="3" t="s">
        <v>5034</v>
      </c>
      <c r="H1283" s="3" t="s">
        <v>7592</v>
      </c>
      <c r="I1283" s="17">
        <v>45329</v>
      </c>
      <c r="J1283" s="18">
        <f>YEAR(Tabla1[[#This Row],[FECHA DE COMPRA]])</f>
        <v>2024</v>
      </c>
      <c r="K1283" s="19">
        <v>58.44</v>
      </c>
      <c r="L1283" s="20">
        <v>0.2</v>
      </c>
      <c r="M1283" s="19">
        <f>Tienda!$K1257-Tienda!$K1257*Tienda!$L1257</f>
        <v>29.05</v>
      </c>
      <c r="N1283" s="3" t="s">
        <v>10038</v>
      </c>
      <c r="O1283" s="3" t="s">
        <v>10041</v>
      </c>
      <c r="P1283" s="17">
        <v>45329</v>
      </c>
      <c r="Q1283" s="4">
        <v>0</v>
      </c>
    </row>
    <row r="1284" spans="1:17" x14ac:dyDescent="0.25">
      <c r="A1284" s="2" t="s">
        <v>2612</v>
      </c>
      <c r="B1284" s="3" t="s">
        <v>5015</v>
      </c>
      <c r="C1284" s="3">
        <v>26</v>
      </c>
      <c r="D1284" s="46" t="str">
        <f>IF(Tabla1[[#This Row],[EDAD]]&lt;=35,"Adultos jóvenes 18 - 35 años",IF(C1284&gt;=36,"Adultos mayores 36 años en adelante"))</f>
        <v>Adultos jóvenes 18 - 35 años</v>
      </c>
      <c r="E1284" s="3" t="s">
        <v>5018</v>
      </c>
      <c r="F1284" s="3" t="s">
        <v>5028</v>
      </c>
      <c r="G1284" s="3" t="s">
        <v>5036</v>
      </c>
      <c r="H1284" s="3" t="s">
        <v>7635</v>
      </c>
      <c r="I1284" s="17">
        <v>45422</v>
      </c>
      <c r="J1284" s="18">
        <f>YEAR(Tabla1[[#This Row],[FECHA DE COMPRA]])</f>
        <v>2024</v>
      </c>
      <c r="K1284" s="19">
        <v>52.22</v>
      </c>
      <c r="L1284" s="20">
        <v>0.1</v>
      </c>
      <c r="M1284" s="19">
        <f>Tienda!$K1260-Tienda!$K1260*Tienda!$L1260</f>
        <v>29.728999999999999</v>
      </c>
      <c r="N1284" s="3" t="s">
        <v>10038</v>
      </c>
      <c r="O1284" s="3" t="s">
        <v>10041</v>
      </c>
      <c r="P1284" s="17">
        <v>45422</v>
      </c>
      <c r="Q1284" s="4">
        <v>0</v>
      </c>
    </row>
    <row r="1285" spans="1:17" x14ac:dyDescent="0.25">
      <c r="A1285" s="2" t="s">
        <v>1564</v>
      </c>
      <c r="B1285" s="3" t="s">
        <v>5015</v>
      </c>
      <c r="C1285" s="3">
        <v>34</v>
      </c>
      <c r="D1285" s="46" t="str">
        <f>IF(Tabla1[[#This Row],[EDAD]]&lt;=35,"Adultos jóvenes 18 - 35 años",IF(C1285&gt;=36,"Adultos mayores 36 años en adelante"))</f>
        <v>Adultos jóvenes 18 - 35 años</v>
      </c>
      <c r="E1285" s="3" t="s">
        <v>5022</v>
      </c>
      <c r="F1285" s="3" t="s">
        <v>5025</v>
      </c>
      <c r="G1285" s="3" t="s">
        <v>5031</v>
      </c>
      <c r="H1285" s="3" t="s">
        <v>6587</v>
      </c>
      <c r="I1285" s="17">
        <v>45624</v>
      </c>
      <c r="J1285" s="18">
        <f>YEAR(Tabla1[[#This Row],[FECHA DE COMPRA]])</f>
        <v>2024</v>
      </c>
      <c r="K1285" s="19">
        <v>68.08</v>
      </c>
      <c r="L1285" s="20">
        <v>0.3</v>
      </c>
      <c r="M1285" s="19">
        <f>Tienda!$K1268-Tienda!$K1268*Tienda!$L1268</f>
        <v>33.686999999999998</v>
      </c>
      <c r="N1285" s="3" t="s">
        <v>10038</v>
      </c>
      <c r="O1285" s="3" t="s">
        <v>10041</v>
      </c>
      <c r="P1285" s="17">
        <v>45624</v>
      </c>
      <c r="Q1285" s="4">
        <v>0</v>
      </c>
    </row>
    <row r="1286" spans="1:17" x14ac:dyDescent="0.25">
      <c r="A1286" s="2" t="s">
        <v>172</v>
      </c>
      <c r="B1286" s="3" t="s">
        <v>5015</v>
      </c>
      <c r="C1286" s="3">
        <v>29</v>
      </c>
      <c r="D1286" s="46" t="str">
        <f>IF(Tabla1[[#This Row],[EDAD]]&lt;=35,"Adultos jóvenes 18 - 35 años",IF(C1286&gt;=36,"Adultos mayores 36 años en adelante"))</f>
        <v>Adultos jóvenes 18 - 35 años</v>
      </c>
      <c r="E1286" s="3" t="s">
        <v>5020</v>
      </c>
      <c r="F1286" s="3" t="s">
        <v>5025</v>
      </c>
      <c r="G1286" s="3" t="s">
        <v>5034</v>
      </c>
      <c r="H1286" s="3" t="s">
        <v>5195</v>
      </c>
      <c r="I1286" s="17">
        <v>45615</v>
      </c>
      <c r="J1286" s="18">
        <f>YEAR(Tabla1[[#This Row],[FECHA DE COMPRA]])</f>
        <v>2024</v>
      </c>
      <c r="K1286" s="19">
        <v>50.13</v>
      </c>
      <c r="L1286" s="20">
        <v>0</v>
      </c>
      <c r="M1286" s="19">
        <f>Tienda!$K1273-Tienda!$K1273*Tienda!$L1273</f>
        <v>34.670999999999999</v>
      </c>
      <c r="N1286" s="3" t="s">
        <v>10038</v>
      </c>
      <c r="O1286" s="3" t="s">
        <v>10041</v>
      </c>
      <c r="P1286" s="17">
        <v>45615</v>
      </c>
      <c r="Q1286" s="4">
        <v>0</v>
      </c>
    </row>
    <row r="1287" spans="1:17" x14ac:dyDescent="0.25">
      <c r="A1287" s="2" t="s">
        <v>4136</v>
      </c>
      <c r="B1287" s="3" t="s">
        <v>5015</v>
      </c>
      <c r="C1287" s="3">
        <v>25</v>
      </c>
      <c r="D1287" s="46" t="str">
        <f>IF(Tabla1[[#This Row],[EDAD]]&lt;=35,"Adultos jóvenes 18 - 35 años",IF(C1287&gt;=36,"Adultos mayores 36 años en adelante"))</f>
        <v>Adultos jóvenes 18 - 35 años</v>
      </c>
      <c r="E1287" s="3" t="s">
        <v>5017</v>
      </c>
      <c r="F1287" s="3" t="s">
        <v>5030</v>
      </c>
      <c r="G1287" s="3" t="s">
        <v>5037</v>
      </c>
      <c r="H1287" s="3" t="s">
        <v>9159</v>
      </c>
      <c r="I1287" s="17">
        <v>45480</v>
      </c>
      <c r="J1287" s="18">
        <f>YEAR(Tabla1[[#This Row],[FECHA DE COMPRA]])</f>
        <v>2024</v>
      </c>
      <c r="K1287" s="19">
        <v>71.78</v>
      </c>
      <c r="L1287" s="20">
        <v>0.3</v>
      </c>
      <c r="M1287" s="19">
        <f>Tienda!$K1274-Tienda!$K1274*Tienda!$L1274</f>
        <v>35.03</v>
      </c>
      <c r="N1287" s="3" t="s">
        <v>10038</v>
      </c>
      <c r="O1287" s="3" t="s">
        <v>10041</v>
      </c>
      <c r="P1287" s="17">
        <v>45480</v>
      </c>
      <c r="Q1287" s="4">
        <v>0</v>
      </c>
    </row>
    <row r="1288" spans="1:17" x14ac:dyDescent="0.25">
      <c r="A1288" s="2" t="s">
        <v>1767</v>
      </c>
      <c r="B1288" s="3" t="s">
        <v>5015</v>
      </c>
      <c r="C1288" s="3">
        <v>28</v>
      </c>
      <c r="D1288" s="46" t="str">
        <f>IF(Tabla1[[#This Row],[EDAD]]&lt;=35,"Adultos jóvenes 18 - 35 años",IF(C1288&gt;=36,"Adultos mayores 36 años en adelante"))</f>
        <v>Adultos jóvenes 18 - 35 años</v>
      </c>
      <c r="E1288" s="3" t="s">
        <v>5020</v>
      </c>
      <c r="F1288" s="3" t="s">
        <v>5030</v>
      </c>
      <c r="G1288" s="3" t="s">
        <v>5031</v>
      </c>
      <c r="H1288" s="3" t="s">
        <v>6790</v>
      </c>
      <c r="I1288" s="17">
        <v>45430</v>
      </c>
      <c r="J1288" s="18">
        <f>YEAR(Tabla1[[#This Row],[FECHA DE COMPRA]])</f>
        <v>2024</v>
      </c>
      <c r="K1288" s="19">
        <v>53.56</v>
      </c>
      <c r="L1288" s="20">
        <v>0</v>
      </c>
      <c r="M1288" s="19">
        <f>Tienda!$K1290-Tienda!$K1290*Tienda!$L1290</f>
        <v>55.911999999999999</v>
      </c>
      <c r="N1288" s="3" t="s">
        <v>10038</v>
      </c>
      <c r="O1288" s="3" t="s">
        <v>10041</v>
      </c>
      <c r="P1288" s="17">
        <v>45430</v>
      </c>
      <c r="Q1288" s="4">
        <v>0</v>
      </c>
    </row>
    <row r="1289" spans="1:17" x14ac:dyDescent="0.25">
      <c r="A1289" s="2" t="s">
        <v>2116</v>
      </c>
      <c r="B1289" s="3" t="s">
        <v>5015</v>
      </c>
      <c r="C1289" s="3">
        <v>27</v>
      </c>
      <c r="D1289" s="46" t="str">
        <f>IF(Tabla1[[#This Row],[EDAD]]&lt;=35,"Adultos jóvenes 18 - 35 años",IF(C1289&gt;=36,"Adultos mayores 36 años en adelante"))</f>
        <v>Adultos jóvenes 18 - 35 años</v>
      </c>
      <c r="E1289" s="3" t="s">
        <v>5019</v>
      </c>
      <c r="F1289" s="3" t="s">
        <v>5026</v>
      </c>
      <c r="G1289" s="3" t="s">
        <v>5032</v>
      </c>
      <c r="H1289" s="3" t="s">
        <v>7139</v>
      </c>
      <c r="I1289" s="17">
        <v>45424</v>
      </c>
      <c r="J1289" s="18">
        <f>YEAR(Tabla1[[#This Row],[FECHA DE COMPRA]])</f>
        <v>2024</v>
      </c>
      <c r="K1289" s="19">
        <v>53.6</v>
      </c>
      <c r="L1289" s="20">
        <v>0</v>
      </c>
      <c r="M1289" s="19">
        <f>Tienda!$K1292-Tienda!$K1292*Tienda!$L1292</f>
        <v>57.9</v>
      </c>
      <c r="N1289" s="3" t="s">
        <v>10038</v>
      </c>
      <c r="O1289" s="3" t="s">
        <v>10041</v>
      </c>
      <c r="P1289" s="17">
        <v>45424</v>
      </c>
      <c r="Q1289" s="4">
        <v>0</v>
      </c>
    </row>
    <row r="1290" spans="1:17" x14ac:dyDescent="0.25">
      <c r="A1290" s="2" t="s">
        <v>2395</v>
      </c>
      <c r="B1290" s="3" t="s">
        <v>5015</v>
      </c>
      <c r="C1290" s="3">
        <v>35</v>
      </c>
      <c r="D1290" s="46" t="str">
        <f>IF(Tabla1[[#This Row],[EDAD]]&lt;=35,"Adultos jóvenes 18 - 35 años",IF(C1290&gt;=36,"Adultos mayores 36 años en adelante"))</f>
        <v>Adultos jóvenes 18 - 35 años</v>
      </c>
      <c r="E1290" s="3" t="s">
        <v>5018</v>
      </c>
      <c r="F1290" s="3" t="s">
        <v>5025</v>
      </c>
      <c r="G1290" s="3" t="s">
        <v>5037</v>
      </c>
      <c r="H1290" s="3" t="s">
        <v>7418</v>
      </c>
      <c r="I1290" s="17">
        <v>45654</v>
      </c>
      <c r="J1290" s="18">
        <f>YEAR(Tabla1[[#This Row],[FECHA DE COMPRA]])</f>
        <v>2024</v>
      </c>
      <c r="K1290" s="19">
        <v>69.89</v>
      </c>
      <c r="L1290" s="20">
        <v>0.2</v>
      </c>
      <c r="M1290" s="19">
        <f>Tienda!$K1304-Tienda!$K1304*Tienda!$L1304</f>
        <v>71.391999999999996</v>
      </c>
      <c r="N1290" s="3" t="s">
        <v>10038</v>
      </c>
      <c r="O1290" s="3" t="s">
        <v>10041</v>
      </c>
      <c r="P1290" s="17">
        <v>45654</v>
      </c>
      <c r="Q1290" s="4">
        <v>0</v>
      </c>
    </row>
    <row r="1291" spans="1:17" x14ac:dyDescent="0.25">
      <c r="A1291" s="2" t="s">
        <v>4016</v>
      </c>
      <c r="B1291" s="3" t="s">
        <v>5015</v>
      </c>
      <c r="C1291" s="3">
        <v>33</v>
      </c>
      <c r="D1291" s="46" t="str">
        <f>IF(Tabla1[[#This Row],[EDAD]]&lt;=35,"Adultos jóvenes 18 - 35 años",IF(C1291&gt;=36,"Adultos mayores 36 años en adelante"))</f>
        <v>Adultos jóvenes 18 - 35 años</v>
      </c>
      <c r="E1291" s="3" t="s">
        <v>5018</v>
      </c>
      <c r="F1291" s="3" t="s">
        <v>5029</v>
      </c>
      <c r="G1291" s="3" t="s">
        <v>5035</v>
      </c>
      <c r="H1291" s="3" t="s">
        <v>9039</v>
      </c>
      <c r="I1291" s="17">
        <v>45649</v>
      </c>
      <c r="J1291" s="18">
        <f>YEAR(Tabla1[[#This Row],[FECHA DE COMPRA]])</f>
        <v>2024</v>
      </c>
      <c r="K1291" s="19">
        <v>80.34</v>
      </c>
      <c r="L1291" s="20">
        <v>0.3</v>
      </c>
      <c r="M1291" s="19">
        <f>Tienda!$K1307-Tienda!$K1307*Tienda!$L1307</f>
        <v>74.808999999999997</v>
      </c>
      <c r="N1291" s="3" t="s">
        <v>10038</v>
      </c>
      <c r="O1291" s="3" t="s">
        <v>10041</v>
      </c>
      <c r="P1291" s="17">
        <v>45300</v>
      </c>
      <c r="Q1291" s="4">
        <v>0</v>
      </c>
    </row>
    <row r="1292" spans="1:17" x14ac:dyDescent="0.25">
      <c r="A1292" s="2" t="s">
        <v>2138</v>
      </c>
      <c r="B1292" s="3" t="s">
        <v>5015</v>
      </c>
      <c r="C1292" s="3">
        <v>24</v>
      </c>
      <c r="D1292" s="46" t="str">
        <f>IF(Tabla1[[#This Row],[EDAD]]&lt;=35,"Adultos jóvenes 18 - 35 años",IF(C1292&gt;=36,"Adultos mayores 36 años en adelante"))</f>
        <v>Adultos jóvenes 18 - 35 años</v>
      </c>
      <c r="E1292" s="3" t="s">
        <v>5022</v>
      </c>
      <c r="F1292" s="3" t="s">
        <v>5027</v>
      </c>
      <c r="G1292" s="3" t="s">
        <v>5034</v>
      </c>
      <c r="H1292" s="3" t="s">
        <v>7161</v>
      </c>
      <c r="I1292" s="17">
        <v>45612</v>
      </c>
      <c r="J1292" s="18">
        <f>YEAR(Tabla1[[#This Row],[FECHA DE COMPRA]])</f>
        <v>2024</v>
      </c>
      <c r="K1292" s="19">
        <v>57.9</v>
      </c>
      <c r="L1292" s="20">
        <v>0</v>
      </c>
      <c r="M1292" s="19">
        <f>Tienda!$K1315-Tienda!$K1315*Tienda!$L1315</f>
        <v>88.227000000000004</v>
      </c>
      <c r="N1292" s="3" t="s">
        <v>10038</v>
      </c>
      <c r="O1292" s="3" t="s">
        <v>10041</v>
      </c>
      <c r="P1292" s="17">
        <v>45612</v>
      </c>
      <c r="Q1292" s="4">
        <v>0</v>
      </c>
    </row>
    <row r="1293" spans="1:17" x14ac:dyDescent="0.25">
      <c r="A1293" s="2" t="s">
        <v>2960</v>
      </c>
      <c r="B1293" s="3" t="s">
        <v>5015</v>
      </c>
      <c r="C1293" s="3">
        <v>32</v>
      </c>
      <c r="D1293" s="46" t="str">
        <f>IF(Tabla1[[#This Row],[EDAD]]&lt;=35,"Adultos jóvenes 18 - 35 años",IF(C1293&gt;=36,"Adultos mayores 36 años en adelante"))</f>
        <v>Adultos jóvenes 18 - 35 años</v>
      </c>
      <c r="E1293" s="3" t="s">
        <v>5021</v>
      </c>
      <c r="F1293" s="3" t="s">
        <v>5028</v>
      </c>
      <c r="G1293" s="3" t="s">
        <v>5037</v>
      </c>
      <c r="H1293" s="3" t="s">
        <v>7983</v>
      </c>
      <c r="I1293" s="17">
        <v>45507</v>
      </c>
      <c r="J1293" s="18">
        <f>YEAR(Tabla1[[#This Row],[FECHA DE COMPRA]])</f>
        <v>2024</v>
      </c>
      <c r="K1293" s="19">
        <v>84.77</v>
      </c>
      <c r="L1293" s="20">
        <v>0.3</v>
      </c>
      <c r="M1293" s="19">
        <f>Tienda!$K1321-Tienda!$K1321*Tienda!$L1321</f>
        <v>95.81</v>
      </c>
      <c r="N1293" s="3" t="s">
        <v>10038</v>
      </c>
      <c r="O1293" s="3" t="s">
        <v>10041</v>
      </c>
      <c r="P1293" s="17">
        <v>45507</v>
      </c>
      <c r="Q1293" s="4">
        <v>0</v>
      </c>
    </row>
    <row r="1294" spans="1:17" x14ac:dyDescent="0.25">
      <c r="A1294" s="2" t="s">
        <v>3446</v>
      </c>
      <c r="B1294" s="3" t="s">
        <v>5016</v>
      </c>
      <c r="C1294" s="3">
        <v>23</v>
      </c>
      <c r="D1294" s="46" t="str">
        <f>IF(Tabla1[[#This Row],[EDAD]]&lt;=35,"Adultos jóvenes 18 - 35 años",IF(C1294&gt;=36,"Adultos mayores 36 años en adelante"))</f>
        <v>Adultos jóvenes 18 - 35 años</v>
      </c>
      <c r="E1294" s="3" t="s">
        <v>5023</v>
      </c>
      <c r="F1294" s="3" t="s">
        <v>5029</v>
      </c>
      <c r="G1294" s="3" t="s">
        <v>5037</v>
      </c>
      <c r="H1294" s="3" t="s">
        <v>8469</v>
      </c>
      <c r="I1294" s="17">
        <v>45438</v>
      </c>
      <c r="J1294" s="18">
        <f>YEAR(Tabla1[[#This Row],[FECHA DE COMPRA]])</f>
        <v>2024</v>
      </c>
      <c r="K1294" s="19">
        <v>74.87</v>
      </c>
      <c r="L1294" s="20">
        <v>0.2</v>
      </c>
      <c r="M1294" s="19">
        <f>Tienda!$K1324-Tienda!$K1324*Tienda!$L1324</f>
        <v>100.55199999999999</v>
      </c>
      <c r="N1294" s="3" t="s">
        <v>10038</v>
      </c>
      <c r="O1294" s="3" t="s">
        <v>10041</v>
      </c>
      <c r="P1294" s="17">
        <v>45438</v>
      </c>
      <c r="Q1294" s="4">
        <v>0</v>
      </c>
    </row>
    <row r="1295" spans="1:17" x14ac:dyDescent="0.25">
      <c r="A1295" s="2" t="s">
        <v>4090</v>
      </c>
      <c r="B1295" s="3" t="s">
        <v>5016</v>
      </c>
      <c r="C1295" s="3">
        <v>30</v>
      </c>
      <c r="D1295" s="46" t="str">
        <f>IF(Tabla1[[#This Row],[EDAD]]&lt;=35,"Adultos jóvenes 18 - 35 años",IF(C1295&gt;=36,"Adultos mayores 36 años en adelante"))</f>
        <v>Adultos jóvenes 18 - 35 años</v>
      </c>
      <c r="E1295" s="3" t="s">
        <v>5023</v>
      </c>
      <c r="F1295" s="3" t="s">
        <v>5028</v>
      </c>
      <c r="G1295" s="3" t="s">
        <v>5034</v>
      </c>
      <c r="H1295" s="3" t="s">
        <v>9113</v>
      </c>
      <c r="I1295" s="17">
        <v>45356</v>
      </c>
      <c r="J1295" s="18">
        <f>YEAR(Tabla1[[#This Row],[FECHA DE COMPRA]])</f>
        <v>2024</v>
      </c>
      <c r="K1295" s="19">
        <v>68.42</v>
      </c>
      <c r="L1295" s="20">
        <v>0.1</v>
      </c>
      <c r="M1295" s="19">
        <f>Tienda!$K1329-Tienda!$K1329*Tienda!$L1329</f>
        <v>107.47799999999999</v>
      </c>
      <c r="N1295" s="3" t="s">
        <v>10038</v>
      </c>
      <c r="O1295" s="3" t="s">
        <v>10041</v>
      </c>
      <c r="P1295" s="17">
        <v>45356</v>
      </c>
      <c r="Q1295" s="4">
        <v>0</v>
      </c>
    </row>
    <row r="1296" spans="1:17" x14ac:dyDescent="0.25">
      <c r="A1296" s="2" t="s">
        <v>1464</v>
      </c>
      <c r="B1296" s="3" t="s">
        <v>5015</v>
      </c>
      <c r="C1296" s="3">
        <v>18</v>
      </c>
      <c r="D1296" s="46" t="str">
        <f>IF(Tabla1[[#This Row],[EDAD]]&lt;=35,"Adultos jóvenes 18 - 35 años",IF(C1296&gt;=36,"Adultos mayores 36 años en adelante"))</f>
        <v>Adultos jóvenes 18 - 35 años</v>
      </c>
      <c r="E1296" s="3" t="s">
        <v>5020</v>
      </c>
      <c r="F1296" s="3" t="s">
        <v>5025</v>
      </c>
      <c r="G1296" s="3" t="s">
        <v>5031</v>
      </c>
      <c r="H1296" s="3" t="s">
        <v>6487</v>
      </c>
      <c r="I1296" s="17">
        <v>45542</v>
      </c>
      <c r="J1296" s="18">
        <f>YEAR(Tabla1[[#This Row],[FECHA DE COMPRA]])</f>
        <v>2024</v>
      </c>
      <c r="K1296" s="19">
        <v>62.31</v>
      </c>
      <c r="L1296" s="20">
        <v>0</v>
      </c>
      <c r="M1296" s="19">
        <f>Tienda!$K1336-Tienda!$K1336*Tienda!$L1336</f>
        <v>123.43</v>
      </c>
      <c r="N1296" s="3" t="s">
        <v>10038</v>
      </c>
      <c r="O1296" s="3" t="s">
        <v>10041</v>
      </c>
      <c r="P1296" s="17">
        <v>45542</v>
      </c>
      <c r="Q1296" s="4">
        <v>0</v>
      </c>
    </row>
    <row r="1297" spans="1:17" x14ac:dyDescent="0.25">
      <c r="A1297" s="2" t="s">
        <v>2602</v>
      </c>
      <c r="B1297" s="3" t="s">
        <v>5015</v>
      </c>
      <c r="C1297" s="3">
        <v>33</v>
      </c>
      <c r="D1297" s="46" t="str">
        <f>IF(Tabla1[[#This Row],[EDAD]]&lt;=35,"Adultos jóvenes 18 - 35 años",IF(C1297&gt;=36,"Adultos mayores 36 años en adelante"))</f>
        <v>Adultos jóvenes 18 - 35 años</v>
      </c>
      <c r="E1297" s="3" t="s">
        <v>5019</v>
      </c>
      <c r="F1297" s="3" t="s">
        <v>5027</v>
      </c>
      <c r="G1297" s="3" t="s">
        <v>5032</v>
      </c>
      <c r="H1297" s="3" t="s">
        <v>7625</v>
      </c>
      <c r="I1297" s="17">
        <v>45604</v>
      </c>
      <c r="J1297" s="18">
        <f>YEAR(Tabla1[[#This Row],[FECHA DE COMPRA]])</f>
        <v>2024</v>
      </c>
      <c r="K1297" s="19">
        <v>62.89</v>
      </c>
      <c r="L1297" s="20">
        <v>0</v>
      </c>
      <c r="M1297" s="19">
        <f>Tienda!$K1341-Tienda!$K1341*Tienda!$L1341</f>
        <v>129.54400000000001</v>
      </c>
      <c r="N1297" s="3" t="s">
        <v>10038</v>
      </c>
      <c r="O1297" s="3" t="s">
        <v>10041</v>
      </c>
      <c r="P1297" s="17">
        <v>45604</v>
      </c>
      <c r="Q1297" s="4">
        <v>0</v>
      </c>
    </row>
    <row r="1298" spans="1:17" x14ac:dyDescent="0.25">
      <c r="A1298" s="2" t="s">
        <v>1035</v>
      </c>
      <c r="B1298" s="3" t="s">
        <v>5015</v>
      </c>
      <c r="C1298" s="3">
        <v>28</v>
      </c>
      <c r="D1298" s="46" t="str">
        <f>IF(Tabla1[[#This Row],[EDAD]]&lt;=35,"Adultos jóvenes 18 - 35 años",IF(C1298&gt;=36,"Adultos mayores 36 años en adelante"))</f>
        <v>Adultos jóvenes 18 - 35 años</v>
      </c>
      <c r="E1298" s="3" t="s">
        <v>5022</v>
      </c>
      <c r="F1298" s="3" t="s">
        <v>5025</v>
      </c>
      <c r="G1298" s="3" t="s">
        <v>5036</v>
      </c>
      <c r="H1298" s="3" t="s">
        <v>6058</v>
      </c>
      <c r="I1298" s="17">
        <v>45618</v>
      </c>
      <c r="J1298" s="18">
        <f>YEAR(Tabla1[[#This Row],[FECHA DE COMPRA]])</f>
        <v>2024</v>
      </c>
      <c r="K1298" s="19">
        <v>70.03</v>
      </c>
      <c r="L1298" s="20">
        <v>0.1</v>
      </c>
      <c r="M1298" s="19">
        <f>Tienda!$K1343-Tienda!$K1343*Tienda!$L1343</f>
        <v>132.21</v>
      </c>
      <c r="N1298" s="3" t="s">
        <v>10038</v>
      </c>
      <c r="O1298" s="3" t="s">
        <v>10041</v>
      </c>
      <c r="P1298" s="17">
        <v>45471</v>
      </c>
      <c r="Q1298" s="4">
        <v>0</v>
      </c>
    </row>
    <row r="1299" spans="1:17" x14ac:dyDescent="0.25">
      <c r="A1299" s="2" t="s">
        <v>3374</v>
      </c>
      <c r="B1299" s="3" t="s">
        <v>5015</v>
      </c>
      <c r="C1299" s="3">
        <v>18</v>
      </c>
      <c r="D1299" s="46" t="str">
        <f>IF(Tabla1[[#This Row],[EDAD]]&lt;=35,"Adultos jóvenes 18 - 35 años",IF(C1299&gt;=36,"Adultos mayores 36 años en adelante"))</f>
        <v>Adultos jóvenes 18 - 35 años</v>
      </c>
      <c r="E1299" s="3" t="s">
        <v>5020</v>
      </c>
      <c r="F1299" s="3" t="s">
        <v>5030</v>
      </c>
      <c r="G1299" s="3" t="s">
        <v>5031</v>
      </c>
      <c r="H1299" s="3" t="s">
        <v>8397</v>
      </c>
      <c r="I1299" s="17">
        <v>45353</v>
      </c>
      <c r="J1299" s="18">
        <f>YEAR(Tabla1[[#This Row],[FECHA DE COMPRA]])</f>
        <v>2024</v>
      </c>
      <c r="K1299" s="19">
        <v>84.41</v>
      </c>
      <c r="L1299" s="20">
        <v>0.2</v>
      </c>
      <c r="M1299" s="19">
        <f>Tienda!$K1370-Tienda!$K1370*Tienda!$L1370</f>
        <v>175.095</v>
      </c>
      <c r="N1299" s="3" t="s">
        <v>10038</v>
      </c>
      <c r="O1299" s="3" t="s">
        <v>10041</v>
      </c>
      <c r="P1299" s="17">
        <v>45353</v>
      </c>
      <c r="Q1299" s="4">
        <v>0</v>
      </c>
    </row>
    <row r="1300" spans="1:17" x14ac:dyDescent="0.25">
      <c r="A1300" s="2" t="s">
        <v>1669</v>
      </c>
      <c r="B1300" s="3" t="s">
        <v>5016</v>
      </c>
      <c r="C1300" s="3">
        <v>29</v>
      </c>
      <c r="D1300" s="46" t="str">
        <f>IF(Tabla1[[#This Row],[EDAD]]&lt;=35,"Adultos jóvenes 18 - 35 años",IF(C1300&gt;=36,"Adultos mayores 36 años en adelante"))</f>
        <v>Adultos jóvenes 18 - 35 años</v>
      </c>
      <c r="E1300" s="3" t="s">
        <v>5021</v>
      </c>
      <c r="F1300" s="3" t="s">
        <v>5026</v>
      </c>
      <c r="G1300" s="3" t="s">
        <v>5033</v>
      </c>
      <c r="H1300" s="3" t="s">
        <v>6692</v>
      </c>
      <c r="I1300" s="17">
        <v>45334</v>
      </c>
      <c r="J1300" s="18">
        <f>YEAR(Tabla1[[#This Row],[FECHA DE COMPRA]])</f>
        <v>2024</v>
      </c>
      <c r="K1300" s="19">
        <v>96.75</v>
      </c>
      <c r="L1300" s="20">
        <v>0.3</v>
      </c>
      <c r="M1300" s="19">
        <f>Tienda!$K1371-Tienda!$K1371*Tienda!$L1371</f>
        <v>177.02999999999997</v>
      </c>
      <c r="N1300" s="3" t="s">
        <v>10038</v>
      </c>
      <c r="O1300" s="3" t="s">
        <v>10041</v>
      </c>
      <c r="P1300" s="17">
        <v>45334</v>
      </c>
      <c r="Q1300" s="4">
        <v>0</v>
      </c>
    </row>
    <row r="1301" spans="1:17" x14ac:dyDescent="0.25">
      <c r="A1301" s="2" t="s">
        <v>884</v>
      </c>
      <c r="B1301" s="3" t="s">
        <v>5015</v>
      </c>
      <c r="C1301" s="3">
        <v>27</v>
      </c>
      <c r="D1301" s="46" t="str">
        <f>IF(Tabla1[[#This Row],[EDAD]]&lt;=35,"Adultos jóvenes 18 - 35 años",IF(C1301&gt;=36,"Adultos mayores 36 años en adelante"))</f>
        <v>Adultos jóvenes 18 - 35 años</v>
      </c>
      <c r="E1301" s="3" t="s">
        <v>5020</v>
      </c>
      <c r="F1301" s="3" t="s">
        <v>5026</v>
      </c>
      <c r="G1301" s="3" t="s">
        <v>5034</v>
      </c>
      <c r="H1301" s="3" t="s">
        <v>5907</v>
      </c>
      <c r="I1301" s="17">
        <v>45629</v>
      </c>
      <c r="J1301" s="18">
        <f>YEAR(Tabla1[[#This Row],[FECHA DE COMPRA]])</f>
        <v>2024</v>
      </c>
      <c r="K1301" s="19">
        <v>99.94</v>
      </c>
      <c r="L1301" s="20">
        <v>0.3</v>
      </c>
      <c r="M1301" s="19">
        <f>Tienda!$K1379-Tienda!$K1379*Tienda!$L1379</f>
        <v>37.513000000000005</v>
      </c>
      <c r="N1301" s="3" t="s">
        <v>10038</v>
      </c>
      <c r="O1301" s="3" t="s">
        <v>10041</v>
      </c>
      <c r="P1301" s="17">
        <v>45629</v>
      </c>
      <c r="Q1301" s="4">
        <v>0</v>
      </c>
    </row>
    <row r="1302" spans="1:17" x14ac:dyDescent="0.25">
      <c r="A1302" s="2" t="s">
        <v>2792</v>
      </c>
      <c r="B1302" s="3" t="s">
        <v>5016</v>
      </c>
      <c r="C1302" s="3">
        <v>29</v>
      </c>
      <c r="D1302" s="46" t="str">
        <f>IF(Tabla1[[#This Row],[EDAD]]&lt;=35,"Adultos jóvenes 18 - 35 años",IF(C1302&gt;=36,"Adultos mayores 36 años en adelante"))</f>
        <v>Adultos jóvenes 18 - 35 años</v>
      </c>
      <c r="E1302" s="3" t="s">
        <v>5023</v>
      </c>
      <c r="F1302" s="3" t="s">
        <v>5026</v>
      </c>
      <c r="G1302" s="3" t="s">
        <v>5034</v>
      </c>
      <c r="H1302" s="3" t="s">
        <v>7815</v>
      </c>
      <c r="I1302" s="17">
        <v>45604</v>
      </c>
      <c r="J1302" s="18">
        <f>YEAR(Tabla1[[#This Row],[FECHA DE COMPRA]])</f>
        <v>2024</v>
      </c>
      <c r="K1302" s="19">
        <v>100.51</v>
      </c>
      <c r="L1302" s="20">
        <v>0.3</v>
      </c>
      <c r="M1302" s="19">
        <f>Tienda!$K1380-Tienda!$K1380*Tienda!$L1380</f>
        <v>37.872</v>
      </c>
      <c r="N1302" s="3" t="s">
        <v>10038</v>
      </c>
      <c r="O1302" s="3" t="s">
        <v>10041</v>
      </c>
      <c r="P1302" s="17">
        <v>45604</v>
      </c>
      <c r="Q1302" s="4">
        <v>0</v>
      </c>
    </row>
    <row r="1303" spans="1:17" x14ac:dyDescent="0.25">
      <c r="A1303" s="2" t="s">
        <v>3509</v>
      </c>
      <c r="B1303" s="3" t="s">
        <v>5015</v>
      </c>
      <c r="C1303" s="3">
        <v>21</v>
      </c>
      <c r="D1303" s="46" t="str">
        <f>IF(Tabla1[[#This Row],[EDAD]]&lt;=35,"Adultos jóvenes 18 - 35 años",IF(C1303&gt;=36,"Adultos mayores 36 años en adelante"))</f>
        <v>Adultos jóvenes 18 - 35 años</v>
      </c>
      <c r="E1303" s="3" t="s">
        <v>5023</v>
      </c>
      <c r="F1303" s="3" t="s">
        <v>5029</v>
      </c>
      <c r="G1303" s="3" t="s">
        <v>5036</v>
      </c>
      <c r="H1303" s="3" t="s">
        <v>8532</v>
      </c>
      <c r="I1303" s="17">
        <v>45624</v>
      </c>
      <c r="J1303" s="18">
        <f>YEAR(Tabla1[[#This Row],[FECHA DE COMPRA]])</f>
        <v>2024</v>
      </c>
      <c r="K1303" s="19">
        <v>101.28</v>
      </c>
      <c r="L1303" s="20">
        <v>0.3</v>
      </c>
      <c r="M1303" s="19">
        <f>Tienda!$K1385-Tienda!$K1385*Tienda!$L1385</f>
        <v>39.492000000000004</v>
      </c>
      <c r="N1303" s="3" t="s">
        <v>10038</v>
      </c>
      <c r="O1303" s="3" t="s">
        <v>10041</v>
      </c>
      <c r="P1303" s="17">
        <v>45501</v>
      </c>
      <c r="Q1303" s="4">
        <v>0</v>
      </c>
    </row>
    <row r="1304" spans="1:17" x14ac:dyDescent="0.25">
      <c r="A1304" s="2" t="s">
        <v>3103</v>
      </c>
      <c r="B1304" s="3" t="s">
        <v>5016</v>
      </c>
      <c r="C1304" s="3">
        <v>25</v>
      </c>
      <c r="D1304" s="46" t="str">
        <f>IF(Tabla1[[#This Row],[EDAD]]&lt;=35,"Adultos jóvenes 18 - 35 años",IF(C1304&gt;=36,"Adultos mayores 36 años en adelante"))</f>
        <v>Adultos jóvenes 18 - 35 años</v>
      </c>
      <c r="E1304" s="3" t="s">
        <v>5023</v>
      </c>
      <c r="F1304" s="3" t="s">
        <v>5025</v>
      </c>
      <c r="G1304" s="3" t="s">
        <v>5033</v>
      </c>
      <c r="H1304" s="3" t="s">
        <v>8126</v>
      </c>
      <c r="I1304" s="17">
        <v>45649</v>
      </c>
      <c r="J1304" s="18">
        <f>YEAR(Tabla1[[#This Row],[FECHA DE COMPRA]])</f>
        <v>2024</v>
      </c>
      <c r="K1304" s="19">
        <v>89.24</v>
      </c>
      <c r="L1304" s="20">
        <v>0.2</v>
      </c>
      <c r="M1304" s="19">
        <f>Tienda!$K1388-Tienda!$K1388*Tienda!$L1388</f>
        <v>41.760000000000005</v>
      </c>
      <c r="N1304" s="3" t="s">
        <v>10038</v>
      </c>
      <c r="O1304" s="3" t="s">
        <v>10041</v>
      </c>
      <c r="P1304" s="17">
        <v>45303</v>
      </c>
      <c r="Q1304" s="4">
        <v>0</v>
      </c>
    </row>
    <row r="1305" spans="1:17" x14ac:dyDescent="0.25">
      <c r="A1305" s="2" t="s">
        <v>822</v>
      </c>
      <c r="B1305" s="3" t="s">
        <v>5016</v>
      </c>
      <c r="C1305" s="3">
        <v>32</v>
      </c>
      <c r="D1305" s="46" t="str">
        <f>IF(Tabla1[[#This Row],[EDAD]]&lt;=35,"Adultos jóvenes 18 - 35 años",IF(C1305&gt;=36,"Adultos mayores 36 años en adelante"))</f>
        <v>Adultos jóvenes 18 - 35 años</v>
      </c>
      <c r="E1305" s="3" t="s">
        <v>5017</v>
      </c>
      <c r="F1305" s="3" t="s">
        <v>5026</v>
      </c>
      <c r="G1305" s="3" t="s">
        <v>5033</v>
      </c>
      <c r="H1305" s="3" t="s">
        <v>5845</v>
      </c>
      <c r="I1305" s="17">
        <v>45649</v>
      </c>
      <c r="J1305" s="18">
        <f>YEAR(Tabla1[[#This Row],[FECHA DE COMPRA]])</f>
        <v>2024</v>
      </c>
      <c r="K1305" s="19">
        <v>82.75</v>
      </c>
      <c r="L1305" s="20">
        <v>0.1</v>
      </c>
      <c r="M1305" s="19">
        <f>Tienda!$K1403-Tienda!$K1403*Tienda!$L1403</f>
        <v>48.804000000000002</v>
      </c>
      <c r="N1305" s="3" t="s">
        <v>10038</v>
      </c>
      <c r="O1305" s="3" t="s">
        <v>10041</v>
      </c>
      <c r="P1305" s="17">
        <v>45302</v>
      </c>
      <c r="Q1305" s="4">
        <v>0</v>
      </c>
    </row>
    <row r="1306" spans="1:17" x14ac:dyDescent="0.25">
      <c r="A1306" s="2" t="s">
        <v>1065</v>
      </c>
      <c r="B1306" s="3" t="s">
        <v>5016</v>
      </c>
      <c r="C1306" s="3">
        <v>21</v>
      </c>
      <c r="D1306" s="46" t="str">
        <f>IF(Tabla1[[#This Row],[EDAD]]&lt;=35,"Adultos jóvenes 18 - 35 años",IF(C1306&gt;=36,"Adultos mayores 36 años en adelante"))</f>
        <v>Adultos jóvenes 18 - 35 años</v>
      </c>
      <c r="E1306" s="3" t="s">
        <v>5017</v>
      </c>
      <c r="F1306" s="3" t="s">
        <v>5024</v>
      </c>
      <c r="G1306" s="3" t="s">
        <v>5033</v>
      </c>
      <c r="H1306" s="3" t="s">
        <v>6088</v>
      </c>
      <c r="I1306" s="17">
        <v>45598</v>
      </c>
      <c r="J1306" s="18">
        <f>YEAR(Tabla1[[#This Row],[FECHA DE COMPRA]])</f>
        <v>2024</v>
      </c>
      <c r="K1306" s="19">
        <v>82.93</v>
      </c>
      <c r="L1306" s="20">
        <v>0.1</v>
      </c>
      <c r="M1306" s="19">
        <f>Tienda!$K1405-Tienda!$K1405*Tienda!$L1405</f>
        <v>49.048000000000002</v>
      </c>
      <c r="N1306" s="3" t="s">
        <v>10038</v>
      </c>
      <c r="O1306" s="3" t="s">
        <v>10041</v>
      </c>
      <c r="P1306" s="17">
        <v>45598</v>
      </c>
      <c r="Q1306" s="4">
        <v>0</v>
      </c>
    </row>
    <row r="1307" spans="1:17" x14ac:dyDescent="0.25">
      <c r="A1307" s="2" t="s">
        <v>1415</v>
      </c>
      <c r="B1307" s="3" t="s">
        <v>5015</v>
      </c>
      <c r="C1307" s="3">
        <v>27</v>
      </c>
      <c r="D1307" s="46" t="str">
        <f>IF(Tabla1[[#This Row],[EDAD]]&lt;=35,"Adultos jóvenes 18 - 35 años",IF(C1307&gt;=36,"Adultos mayores 36 años en adelante"))</f>
        <v>Adultos jóvenes 18 - 35 años</v>
      </c>
      <c r="E1307" s="3" t="s">
        <v>5021</v>
      </c>
      <c r="F1307" s="3" t="s">
        <v>5025</v>
      </c>
      <c r="G1307" s="3" t="s">
        <v>5035</v>
      </c>
      <c r="H1307" s="3" t="s">
        <v>6438</v>
      </c>
      <c r="I1307" s="17">
        <v>45622</v>
      </c>
      <c r="J1307" s="18">
        <f>YEAR(Tabla1[[#This Row],[FECHA DE COMPRA]])</f>
        <v>2024</v>
      </c>
      <c r="K1307" s="19">
        <v>106.87</v>
      </c>
      <c r="L1307" s="20">
        <v>0.3</v>
      </c>
      <c r="M1307" s="19">
        <f>Tienda!$K1406-Tienda!$K1406*Tienda!$L1406</f>
        <v>49.158000000000001</v>
      </c>
      <c r="N1307" s="3" t="s">
        <v>10038</v>
      </c>
      <c r="O1307" s="3" t="s">
        <v>10041</v>
      </c>
      <c r="P1307" s="17">
        <v>45622</v>
      </c>
      <c r="Q1307" s="4">
        <v>0</v>
      </c>
    </row>
    <row r="1308" spans="1:17" x14ac:dyDescent="0.25">
      <c r="A1308" s="2" t="s">
        <v>519</v>
      </c>
      <c r="B1308" s="3" t="s">
        <v>5015</v>
      </c>
      <c r="C1308" s="3">
        <v>21</v>
      </c>
      <c r="D1308" s="46" t="str">
        <f>IF(Tabla1[[#This Row],[EDAD]]&lt;=35,"Adultos jóvenes 18 - 35 años",IF(C1308&gt;=36,"Adultos mayores 36 años en adelante"))</f>
        <v>Adultos jóvenes 18 - 35 años</v>
      </c>
      <c r="E1308" s="3" t="s">
        <v>5022</v>
      </c>
      <c r="F1308" s="3" t="s">
        <v>5026</v>
      </c>
      <c r="G1308" s="3" t="s">
        <v>5034</v>
      </c>
      <c r="H1308" s="3" t="s">
        <v>5542</v>
      </c>
      <c r="I1308" s="17">
        <v>45328</v>
      </c>
      <c r="J1308" s="18">
        <f>YEAR(Tabla1[[#This Row],[FECHA DE COMPRA]])</f>
        <v>2024</v>
      </c>
      <c r="K1308" s="19">
        <v>95.72</v>
      </c>
      <c r="L1308" s="20">
        <v>0.2</v>
      </c>
      <c r="M1308" s="19">
        <f>Tienda!$K1414-Tienda!$K1414*Tienda!$L1414</f>
        <v>53.319000000000003</v>
      </c>
      <c r="N1308" s="3" t="s">
        <v>10038</v>
      </c>
      <c r="O1308" s="3" t="s">
        <v>10041</v>
      </c>
      <c r="P1308" s="17">
        <v>45328</v>
      </c>
      <c r="Q1308" s="4">
        <v>0</v>
      </c>
    </row>
    <row r="1309" spans="1:17" x14ac:dyDescent="0.25">
      <c r="A1309" s="2" t="s">
        <v>4795</v>
      </c>
      <c r="B1309" s="3" t="s">
        <v>5016</v>
      </c>
      <c r="C1309" s="3">
        <v>23</v>
      </c>
      <c r="D1309" s="46" t="str">
        <f>IF(Tabla1[[#This Row],[EDAD]]&lt;=35,"Adultos jóvenes 18 - 35 años",IF(C1309&gt;=36,"Adultos mayores 36 años en adelante"))</f>
        <v>Adultos jóvenes 18 - 35 años</v>
      </c>
      <c r="E1309" s="3" t="s">
        <v>5019</v>
      </c>
      <c r="F1309" s="3" t="s">
        <v>5029</v>
      </c>
      <c r="G1309" s="3" t="s">
        <v>5033</v>
      </c>
      <c r="H1309" s="3" t="s">
        <v>9818</v>
      </c>
      <c r="I1309" s="17">
        <v>45593</v>
      </c>
      <c r="J1309" s="18">
        <f>YEAR(Tabla1[[#This Row],[FECHA DE COMPRA]])</f>
        <v>2024</v>
      </c>
      <c r="K1309" s="19">
        <v>87.71</v>
      </c>
      <c r="L1309" s="20">
        <v>0.1</v>
      </c>
      <c r="M1309" s="19">
        <f>Tienda!$K1430-Tienda!$K1430*Tienda!$L1430</f>
        <v>61.255999999999993</v>
      </c>
      <c r="N1309" s="3" t="s">
        <v>10038</v>
      </c>
      <c r="O1309" s="3" t="s">
        <v>10041</v>
      </c>
      <c r="P1309" s="17">
        <v>45593</v>
      </c>
      <c r="Q1309" s="4">
        <v>0</v>
      </c>
    </row>
    <row r="1310" spans="1:17" x14ac:dyDescent="0.25">
      <c r="A1310" s="2" t="s">
        <v>3611</v>
      </c>
      <c r="B1310" s="3" t="s">
        <v>5015</v>
      </c>
      <c r="C1310" s="3">
        <v>33</v>
      </c>
      <c r="D1310" s="46" t="str">
        <f>IF(Tabla1[[#This Row],[EDAD]]&lt;=35,"Adultos jóvenes 18 - 35 años",IF(C1310&gt;=36,"Adultos mayores 36 años en adelante"))</f>
        <v>Adultos jóvenes 18 - 35 años</v>
      </c>
      <c r="E1310" s="3" t="s">
        <v>5020</v>
      </c>
      <c r="F1310" s="3" t="s">
        <v>5025</v>
      </c>
      <c r="G1310" s="3" t="s">
        <v>5033</v>
      </c>
      <c r="H1310" s="3" t="s">
        <v>8634</v>
      </c>
      <c r="I1310" s="17">
        <v>45624</v>
      </c>
      <c r="J1310" s="18">
        <f>YEAR(Tabla1[[#This Row],[FECHA DE COMPRA]])</f>
        <v>2024</v>
      </c>
      <c r="K1310" s="19">
        <v>117.3</v>
      </c>
      <c r="L1310" s="20">
        <v>0.3</v>
      </c>
      <c r="M1310" s="19">
        <f>Tienda!$K1445-Tienda!$K1445*Tienda!$L1445</f>
        <v>70.664000000000001</v>
      </c>
      <c r="N1310" s="3" t="s">
        <v>10038</v>
      </c>
      <c r="O1310" s="3" t="s">
        <v>10041</v>
      </c>
      <c r="P1310" s="17">
        <v>45488</v>
      </c>
      <c r="Q1310" s="4">
        <v>0</v>
      </c>
    </row>
    <row r="1311" spans="1:17" x14ac:dyDescent="0.25">
      <c r="A1311" s="2" t="s">
        <v>1123</v>
      </c>
      <c r="B1311" s="3" t="s">
        <v>5015</v>
      </c>
      <c r="C1311" s="3">
        <v>32</v>
      </c>
      <c r="D1311" s="46" t="str">
        <f>IF(Tabla1[[#This Row],[EDAD]]&lt;=35,"Adultos jóvenes 18 - 35 años",IF(C1311&gt;=36,"Adultos mayores 36 años en adelante"))</f>
        <v>Adultos jóvenes 18 - 35 años</v>
      </c>
      <c r="E1311" s="3" t="s">
        <v>5018</v>
      </c>
      <c r="F1311" s="3" t="s">
        <v>5029</v>
      </c>
      <c r="G1311" s="3" t="s">
        <v>5032</v>
      </c>
      <c r="H1311" s="3" t="s">
        <v>6146</v>
      </c>
      <c r="I1311" s="17">
        <v>45351</v>
      </c>
      <c r="J1311" s="18">
        <f>YEAR(Tabla1[[#This Row],[FECHA DE COMPRA]])</f>
        <v>2024</v>
      </c>
      <c r="K1311" s="19">
        <v>117.54</v>
      </c>
      <c r="L1311" s="20">
        <v>0.3</v>
      </c>
      <c r="M1311" s="19">
        <f>Tienda!$K1447-Tienda!$K1447*Tienda!$L1447</f>
        <v>71.135999999999996</v>
      </c>
      <c r="N1311" s="3" t="s">
        <v>10038</v>
      </c>
      <c r="O1311" s="3" t="s">
        <v>10041</v>
      </c>
      <c r="P1311" s="17">
        <v>45351</v>
      </c>
      <c r="Q1311" s="4">
        <v>0</v>
      </c>
    </row>
    <row r="1312" spans="1:17" x14ac:dyDescent="0.25">
      <c r="A1312" s="2" t="s">
        <v>2005</v>
      </c>
      <c r="B1312" s="3" t="s">
        <v>5016</v>
      </c>
      <c r="C1312" s="3">
        <v>21</v>
      </c>
      <c r="D1312" s="46" t="str">
        <f>IF(Tabla1[[#This Row],[EDAD]]&lt;=35,"Adultos jóvenes 18 - 35 años",IF(C1312&gt;=36,"Adultos mayores 36 años en adelante"))</f>
        <v>Adultos jóvenes 18 - 35 años</v>
      </c>
      <c r="E1312" s="3" t="s">
        <v>5021</v>
      </c>
      <c r="F1312" s="3" t="s">
        <v>5028</v>
      </c>
      <c r="G1312" s="3" t="s">
        <v>5032</v>
      </c>
      <c r="H1312" s="3" t="s">
        <v>7028</v>
      </c>
      <c r="I1312" s="17">
        <v>45624</v>
      </c>
      <c r="J1312" s="18">
        <f>YEAR(Tabla1[[#This Row],[FECHA DE COMPRA]])</f>
        <v>2024</v>
      </c>
      <c r="K1312" s="19">
        <v>120.49</v>
      </c>
      <c r="L1312" s="20">
        <v>0.3</v>
      </c>
      <c r="M1312" s="19">
        <f>Tienda!$K1455-Tienda!$K1455*Tienda!$L1455</f>
        <v>73.682000000000002</v>
      </c>
      <c r="N1312" s="3" t="s">
        <v>10038</v>
      </c>
      <c r="O1312" s="3" t="s">
        <v>10041</v>
      </c>
      <c r="P1312" s="17">
        <v>45491</v>
      </c>
      <c r="Q1312" s="4">
        <v>0</v>
      </c>
    </row>
    <row r="1313" spans="1:17" x14ac:dyDescent="0.25">
      <c r="A1313" s="2" t="s">
        <v>2671</v>
      </c>
      <c r="B1313" s="3" t="s">
        <v>5015</v>
      </c>
      <c r="C1313" s="3">
        <v>35</v>
      </c>
      <c r="D1313" s="46" t="str">
        <f>IF(Tabla1[[#This Row],[EDAD]]&lt;=35,"Adultos jóvenes 18 - 35 años",IF(C1313&gt;=36,"Adultos mayores 36 años en adelante"))</f>
        <v>Adultos jóvenes 18 - 35 años</v>
      </c>
      <c r="E1313" s="3" t="s">
        <v>5019</v>
      </c>
      <c r="F1313" s="3" t="s">
        <v>5028</v>
      </c>
      <c r="G1313" s="3" t="s">
        <v>5037</v>
      </c>
      <c r="H1313" s="3" t="s">
        <v>7694</v>
      </c>
      <c r="I1313" s="17">
        <v>45385</v>
      </c>
      <c r="J1313" s="18">
        <f>YEAR(Tabla1[[#This Row],[FECHA DE COMPRA]])</f>
        <v>2024</v>
      </c>
      <c r="K1313" s="19">
        <v>108.56</v>
      </c>
      <c r="L1313" s="20">
        <v>0.2</v>
      </c>
      <c r="M1313" s="19">
        <f>Tienda!$K1472-Tienda!$K1472*Tienda!$L1472</f>
        <v>82.944000000000003</v>
      </c>
      <c r="N1313" s="3" t="s">
        <v>10038</v>
      </c>
      <c r="O1313" s="3" t="s">
        <v>10041</v>
      </c>
      <c r="P1313" s="17">
        <v>45385</v>
      </c>
      <c r="Q1313" s="4">
        <v>0</v>
      </c>
    </row>
    <row r="1314" spans="1:17" x14ac:dyDescent="0.25">
      <c r="A1314" s="2" t="s">
        <v>1704</v>
      </c>
      <c r="B1314" s="3" t="s">
        <v>5016</v>
      </c>
      <c r="C1314" s="3">
        <v>33</v>
      </c>
      <c r="D1314" s="46" t="str">
        <f>IF(Tabla1[[#This Row],[EDAD]]&lt;=35,"Adultos jóvenes 18 - 35 años",IF(C1314&gt;=36,"Adultos mayores 36 años en adelante"))</f>
        <v>Adultos jóvenes 18 - 35 años</v>
      </c>
      <c r="E1314" s="3" t="s">
        <v>5019</v>
      </c>
      <c r="F1314" s="3" t="s">
        <v>5029</v>
      </c>
      <c r="G1314" s="3" t="s">
        <v>5033</v>
      </c>
      <c r="H1314" s="3" t="s">
        <v>6727</v>
      </c>
      <c r="I1314" s="17">
        <v>45583</v>
      </c>
      <c r="J1314" s="18">
        <f>YEAR(Tabla1[[#This Row],[FECHA DE COMPRA]])</f>
        <v>2024</v>
      </c>
      <c r="K1314" s="19">
        <v>97.38</v>
      </c>
      <c r="L1314" s="20">
        <v>0.1</v>
      </c>
      <c r="M1314" s="19">
        <f>Tienda!$K1476-Tienda!$K1476*Tienda!$L1476</f>
        <v>84.013999999999996</v>
      </c>
      <c r="N1314" s="3" t="s">
        <v>10038</v>
      </c>
      <c r="O1314" s="3" t="s">
        <v>10041</v>
      </c>
      <c r="P1314" s="17">
        <v>45583</v>
      </c>
      <c r="Q1314" s="4">
        <v>0</v>
      </c>
    </row>
    <row r="1315" spans="1:17" x14ac:dyDescent="0.25">
      <c r="A1315" s="2" t="s">
        <v>996</v>
      </c>
      <c r="B1315" s="3" t="s">
        <v>5016</v>
      </c>
      <c r="C1315" s="3">
        <v>33</v>
      </c>
      <c r="D1315" s="46" t="str">
        <f>IF(Tabla1[[#This Row],[EDAD]]&lt;=35,"Adultos jóvenes 18 - 35 años",IF(C1315&gt;=36,"Adultos mayores 36 años en adelante"))</f>
        <v>Adultos jóvenes 18 - 35 años</v>
      </c>
      <c r="E1315" s="3" t="s">
        <v>5017</v>
      </c>
      <c r="F1315" s="3" t="s">
        <v>5030</v>
      </c>
      <c r="G1315" s="3" t="s">
        <v>5034</v>
      </c>
      <c r="H1315" s="3" t="s">
        <v>6019</v>
      </c>
      <c r="I1315" s="17">
        <v>45430</v>
      </c>
      <c r="J1315" s="18">
        <f>YEAR(Tabla1[[#This Row],[FECHA DE COMPRA]])</f>
        <v>2024</v>
      </c>
      <c r="K1315" s="19">
        <v>98.03</v>
      </c>
      <c r="L1315" s="20">
        <v>0.1</v>
      </c>
      <c r="M1315" s="19">
        <f>Tienda!$K1481-Tienda!$K1481*Tienda!$L1481</f>
        <v>86.426999999999992</v>
      </c>
      <c r="N1315" s="3" t="s">
        <v>10038</v>
      </c>
      <c r="O1315" s="3" t="s">
        <v>10041</v>
      </c>
      <c r="P1315" s="17">
        <v>45430</v>
      </c>
      <c r="Q1315" s="4">
        <v>0</v>
      </c>
    </row>
    <row r="1316" spans="1:17" x14ac:dyDescent="0.25">
      <c r="A1316" s="2" t="s">
        <v>3705</v>
      </c>
      <c r="B1316" s="3" t="s">
        <v>5016</v>
      </c>
      <c r="C1316" s="3">
        <v>23</v>
      </c>
      <c r="D1316" s="46" t="str">
        <f>IF(Tabla1[[#This Row],[EDAD]]&lt;=35,"Adultos jóvenes 18 - 35 años",IF(C1316&gt;=36,"Adultos mayores 36 años en adelante"))</f>
        <v>Adultos jóvenes 18 - 35 años</v>
      </c>
      <c r="E1316" s="3" t="s">
        <v>5021</v>
      </c>
      <c r="F1316" s="3" t="s">
        <v>5029</v>
      </c>
      <c r="G1316" s="3" t="s">
        <v>5033</v>
      </c>
      <c r="H1316" s="3" t="s">
        <v>8728</v>
      </c>
      <c r="I1316" s="17">
        <v>45435</v>
      </c>
      <c r="J1316" s="18">
        <f>YEAR(Tabla1[[#This Row],[FECHA DE COMPRA]])</f>
        <v>2024</v>
      </c>
      <c r="K1316" s="19">
        <v>94.45</v>
      </c>
      <c r="L1316" s="20">
        <v>0</v>
      </c>
      <c r="M1316" s="19">
        <f>Tienda!$K1508-Tienda!$K1508*Tienda!$L1508</f>
        <v>103.27500000000001</v>
      </c>
      <c r="N1316" s="3" t="s">
        <v>10038</v>
      </c>
      <c r="O1316" s="3" t="s">
        <v>10041</v>
      </c>
      <c r="P1316" s="17">
        <v>45435</v>
      </c>
      <c r="Q1316" s="4">
        <v>0</v>
      </c>
    </row>
    <row r="1317" spans="1:17" x14ac:dyDescent="0.25">
      <c r="A1317" s="2" t="s">
        <v>3614</v>
      </c>
      <c r="B1317" s="3" t="s">
        <v>5015</v>
      </c>
      <c r="C1317" s="3">
        <v>20</v>
      </c>
      <c r="D1317" s="46" t="str">
        <f>IF(Tabla1[[#This Row],[EDAD]]&lt;=35,"Adultos jóvenes 18 - 35 años",IF(C1317&gt;=36,"Adultos mayores 36 años en adelante"))</f>
        <v>Adultos jóvenes 18 - 35 años</v>
      </c>
      <c r="E1317" s="3" t="s">
        <v>5021</v>
      </c>
      <c r="F1317" s="3" t="s">
        <v>5024</v>
      </c>
      <c r="G1317" s="3" t="s">
        <v>5035</v>
      </c>
      <c r="H1317" s="3" t="s">
        <v>8637</v>
      </c>
      <c r="I1317" s="17">
        <v>45401</v>
      </c>
      <c r="J1317" s="18">
        <f>YEAR(Tabla1[[#This Row],[FECHA DE COMPRA]])</f>
        <v>2024</v>
      </c>
      <c r="K1317" s="19">
        <v>105.21</v>
      </c>
      <c r="L1317" s="20">
        <v>0.1</v>
      </c>
      <c r="M1317" s="19">
        <f>Tienda!$K1509-Tienda!$K1509*Tienda!$L1509</f>
        <v>103.97</v>
      </c>
      <c r="N1317" s="3" t="s">
        <v>10038</v>
      </c>
      <c r="O1317" s="3" t="s">
        <v>10041</v>
      </c>
      <c r="P1317" s="17">
        <v>45401</v>
      </c>
      <c r="Q1317" s="4">
        <v>0</v>
      </c>
    </row>
    <row r="1318" spans="1:17" x14ac:dyDescent="0.25">
      <c r="A1318" s="2" t="s">
        <v>4778</v>
      </c>
      <c r="B1318" s="3" t="s">
        <v>5016</v>
      </c>
      <c r="C1318" s="3">
        <v>20</v>
      </c>
      <c r="D1318" s="46" t="str">
        <f>IF(Tabla1[[#This Row],[EDAD]]&lt;=35,"Adultos jóvenes 18 - 35 años",IF(C1318&gt;=36,"Adultos mayores 36 años en adelante"))</f>
        <v>Adultos jóvenes 18 - 35 años</v>
      </c>
      <c r="E1318" s="3" t="s">
        <v>5017</v>
      </c>
      <c r="F1318" s="3" t="s">
        <v>5030</v>
      </c>
      <c r="G1318" s="3" t="s">
        <v>5032</v>
      </c>
      <c r="H1318" s="3" t="s">
        <v>9801</v>
      </c>
      <c r="I1318" s="17">
        <v>45334</v>
      </c>
      <c r="J1318" s="18">
        <f>YEAR(Tabla1[[#This Row],[FECHA DE COMPRA]])</f>
        <v>2024</v>
      </c>
      <c r="K1318" s="19">
        <v>118.75</v>
      </c>
      <c r="L1318" s="20">
        <v>0.2</v>
      </c>
      <c r="M1318" s="19">
        <f>Tienda!$K1511-Tienda!$K1511*Tienda!$L1511</f>
        <v>105.872</v>
      </c>
      <c r="N1318" s="3" t="s">
        <v>10038</v>
      </c>
      <c r="O1318" s="3" t="s">
        <v>10041</v>
      </c>
      <c r="P1318" s="17">
        <v>45334</v>
      </c>
      <c r="Q1318" s="4">
        <v>0</v>
      </c>
    </row>
    <row r="1319" spans="1:17" x14ac:dyDescent="0.25">
      <c r="A1319" s="2" t="s">
        <v>4593</v>
      </c>
      <c r="B1319" s="3" t="s">
        <v>5015</v>
      </c>
      <c r="C1319" s="3">
        <v>21</v>
      </c>
      <c r="D1319" s="46" t="str">
        <f>IF(Tabla1[[#This Row],[EDAD]]&lt;=35,"Adultos jóvenes 18 - 35 años",IF(C1319&gt;=36,"Adultos mayores 36 años en adelante"))</f>
        <v>Adultos jóvenes 18 - 35 años</v>
      </c>
      <c r="E1319" s="3" t="s">
        <v>5018</v>
      </c>
      <c r="F1319" s="3" t="s">
        <v>5026</v>
      </c>
      <c r="G1319" s="3" t="s">
        <v>5036</v>
      </c>
      <c r="H1319" s="3" t="s">
        <v>9616</v>
      </c>
      <c r="I1319" s="17">
        <v>45590</v>
      </c>
      <c r="J1319" s="18">
        <f>YEAR(Tabla1[[#This Row],[FECHA DE COMPRA]])</f>
        <v>2024</v>
      </c>
      <c r="K1319" s="19">
        <v>105.92</v>
      </c>
      <c r="L1319" s="20">
        <v>0.1</v>
      </c>
      <c r="M1319" s="19">
        <f>Tienda!$K1515-Tienda!$K1515*Tienda!$L1515</f>
        <v>107.14</v>
      </c>
      <c r="N1319" s="3" t="s">
        <v>10038</v>
      </c>
      <c r="O1319" s="3" t="s">
        <v>10041</v>
      </c>
      <c r="P1319" s="17">
        <v>45590</v>
      </c>
      <c r="Q1319" s="4">
        <v>0</v>
      </c>
    </row>
    <row r="1320" spans="1:17" x14ac:dyDescent="0.25">
      <c r="A1320" s="2" t="s">
        <v>841</v>
      </c>
      <c r="B1320" s="3" t="s">
        <v>5015</v>
      </c>
      <c r="C1320" s="3">
        <v>24</v>
      </c>
      <c r="D1320" s="46" t="str">
        <f>IF(Tabla1[[#This Row],[EDAD]]&lt;=35,"Adultos jóvenes 18 - 35 años",IF(C1320&gt;=36,"Adultos mayores 36 años en adelante"))</f>
        <v>Adultos jóvenes 18 - 35 años</v>
      </c>
      <c r="E1320" s="3" t="s">
        <v>5017</v>
      </c>
      <c r="F1320" s="3" t="s">
        <v>5030</v>
      </c>
      <c r="G1320" s="3" t="s">
        <v>5036</v>
      </c>
      <c r="H1320" s="3" t="s">
        <v>5864</v>
      </c>
      <c r="I1320" s="17">
        <v>45651</v>
      </c>
      <c r="J1320" s="18">
        <f>YEAR(Tabla1[[#This Row],[FECHA DE COMPRA]])</f>
        <v>2024</v>
      </c>
      <c r="K1320" s="19">
        <v>119.36</v>
      </c>
      <c r="L1320" s="20">
        <v>0.2</v>
      </c>
      <c r="M1320" s="19">
        <f>Tienda!$K1516-Tienda!$K1516*Tienda!$L1516</f>
        <v>107.78400000000001</v>
      </c>
      <c r="N1320" s="3" t="s">
        <v>10038</v>
      </c>
      <c r="O1320" s="3" t="s">
        <v>10041</v>
      </c>
      <c r="P1320" s="17">
        <v>45651</v>
      </c>
      <c r="Q1320" s="4">
        <v>0</v>
      </c>
    </row>
    <row r="1321" spans="1:17" x14ac:dyDescent="0.25">
      <c r="A1321" s="2" t="s">
        <v>4428</v>
      </c>
      <c r="B1321" s="3" t="s">
        <v>5016</v>
      </c>
      <c r="C1321" s="3">
        <v>35</v>
      </c>
      <c r="D1321" s="46" t="str">
        <f>IF(Tabla1[[#This Row],[EDAD]]&lt;=35,"Adultos jóvenes 18 - 35 años",IF(C1321&gt;=36,"Adultos mayores 36 años en adelante"))</f>
        <v>Adultos jóvenes 18 - 35 años</v>
      </c>
      <c r="E1321" s="3" t="s">
        <v>5019</v>
      </c>
      <c r="F1321" s="3" t="s">
        <v>5025</v>
      </c>
      <c r="G1321" s="3" t="s">
        <v>5033</v>
      </c>
      <c r="H1321" s="3" t="s">
        <v>9451</v>
      </c>
      <c r="I1321" s="17">
        <v>45637</v>
      </c>
      <c r="J1321" s="18">
        <f>YEAR(Tabla1[[#This Row],[FECHA DE COMPRA]])</f>
        <v>2024</v>
      </c>
      <c r="K1321" s="19">
        <v>95.81</v>
      </c>
      <c r="L1321" s="20">
        <v>0</v>
      </c>
      <c r="M1321" s="19">
        <f>Tienda!$K1519-Tienda!$K1519*Tienda!$L1519</f>
        <v>108.88</v>
      </c>
      <c r="N1321" s="3" t="s">
        <v>10038</v>
      </c>
      <c r="O1321" s="3" t="s">
        <v>10041</v>
      </c>
      <c r="P1321" s="17">
        <v>45637</v>
      </c>
      <c r="Q1321" s="4">
        <v>0</v>
      </c>
    </row>
    <row r="1322" spans="1:17" x14ac:dyDescent="0.25">
      <c r="A1322" s="2" t="s">
        <v>2105</v>
      </c>
      <c r="B1322" s="3" t="s">
        <v>5016</v>
      </c>
      <c r="C1322" s="3">
        <v>25</v>
      </c>
      <c r="D1322" s="46" t="str">
        <f>IF(Tabla1[[#This Row],[EDAD]]&lt;=35,"Adultos jóvenes 18 - 35 años",IF(C1322&gt;=36,"Adultos mayores 36 años en adelante"))</f>
        <v>Adultos jóvenes 18 - 35 años</v>
      </c>
      <c r="E1322" s="3" t="s">
        <v>5017</v>
      </c>
      <c r="F1322" s="3" t="s">
        <v>5030</v>
      </c>
      <c r="G1322" s="3" t="s">
        <v>5033</v>
      </c>
      <c r="H1322" s="3" t="s">
        <v>7128</v>
      </c>
      <c r="I1322" s="17">
        <v>45331</v>
      </c>
      <c r="J1322" s="18">
        <f>YEAR(Tabla1[[#This Row],[FECHA DE COMPRA]])</f>
        <v>2024</v>
      </c>
      <c r="K1322" s="19">
        <v>121.22</v>
      </c>
      <c r="L1322" s="20">
        <v>0.2</v>
      </c>
      <c r="M1322" s="19">
        <f>Tienda!$K1524-Tienda!$K1524*Tienda!$L1524</f>
        <v>112.25700000000001</v>
      </c>
      <c r="N1322" s="3" t="s">
        <v>10038</v>
      </c>
      <c r="O1322" s="3" t="s">
        <v>10041</v>
      </c>
      <c r="P1322" s="17">
        <v>45331</v>
      </c>
      <c r="Q1322" s="4">
        <v>0</v>
      </c>
    </row>
    <row r="1323" spans="1:17" x14ac:dyDescent="0.25">
      <c r="A1323" s="2" t="s">
        <v>1404</v>
      </c>
      <c r="B1323" s="3" t="s">
        <v>5015</v>
      </c>
      <c r="C1323" s="3">
        <v>27</v>
      </c>
      <c r="D1323" s="46" t="str">
        <f>IF(Tabla1[[#This Row],[EDAD]]&lt;=35,"Adultos jóvenes 18 - 35 años",IF(C1323&gt;=36,"Adultos mayores 36 años en adelante"))</f>
        <v>Adultos jóvenes 18 - 35 años</v>
      </c>
      <c r="E1323" s="3" t="s">
        <v>5020</v>
      </c>
      <c r="F1323" s="3" t="s">
        <v>5026</v>
      </c>
      <c r="G1323" s="3" t="s">
        <v>5037</v>
      </c>
      <c r="H1323" s="3" t="s">
        <v>6427</v>
      </c>
      <c r="I1323" s="17">
        <v>45647</v>
      </c>
      <c r="J1323" s="18">
        <f>YEAR(Tabla1[[#This Row],[FECHA DE COMPRA]])</f>
        <v>2024</v>
      </c>
      <c r="K1323" s="19">
        <v>124.76</v>
      </c>
      <c r="L1323" s="20">
        <v>0.2</v>
      </c>
      <c r="M1323" s="19">
        <f>Tienda!$K1535-Tienda!$K1535*Tienda!$L1535</f>
        <v>118.06200000000001</v>
      </c>
      <c r="N1323" s="3" t="s">
        <v>10038</v>
      </c>
      <c r="O1323" s="3" t="s">
        <v>10041</v>
      </c>
      <c r="P1323" s="17">
        <v>45647</v>
      </c>
      <c r="Q1323" s="4">
        <v>0</v>
      </c>
    </row>
    <row r="1324" spans="1:17" x14ac:dyDescent="0.25">
      <c r="A1324" s="2" t="s">
        <v>2825</v>
      </c>
      <c r="B1324" s="3" t="s">
        <v>5015</v>
      </c>
      <c r="C1324" s="3">
        <v>28</v>
      </c>
      <c r="D1324" s="46" t="str">
        <f>IF(Tabla1[[#This Row],[EDAD]]&lt;=35,"Adultos jóvenes 18 - 35 años",IF(C1324&gt;=36,"Adultos mayores 36 años en adelante"))</f>
        <v>Adultos jóvenes 18 - 35 años</v>
      </c>
      <c r="E1324" s="3" t="s">
        <v>5020</v>
      </c>
      <c r="F1324" s="3" t="s">
        <v>5030</v>
      </c>
      <c r="G1324" s="3" t="s">
        <v>5035</v>
      </c>
      <c r="H1324" s="3" t="s">
        <v>7848</v>
      </c>
      <c r="I1324" s="17">
        <v>45335</v>
      </c>
      <c r="J1324" s="18">
        <f>YEAR(Tabla1[[#This Row],[FECHA DE COMPRA]])</f>
        <v>2024</v>
      </c>
      <c r="K1324" s="19">
        <v>125.69</v>
      </c>
      <c r="L1324" s="20">
        <v>0.2</v>
      </c>
      <c r="M1324" s="19">
        <f>Tienda!$K1540-Tienda!$K1540*Tienda!$L1540</f>
        <v>123.246</v>
      </c>
      <c r="N1324" s="3" t="s">
        <v>10038</v>
      </c>
      <c r="O1324" s="3" t="s">
        <v>10041</v>
      </c>
      <c r="P1324" s="17">
        <v>45375</v>
      </c>
      <c r="Q1324" s="4">
        <v>0</v>
      </c>
    </row>
    <row r="1325" spans="1:17" x14ac:dyDescent="0.25">
      <c r="A1325" s="2" t="s">
        <v>349</v>
      </c>
      <c r="B1325" s="3" t="s">
        <v>5015</v>
      </c>
      <c r="C1325" s="3">
        <v>26</v>
      </c>
      <c r="D1325" s="46" t="str">
        <f>IF(Tabla1[[#This Row],[EDAD]]&lt;=35,"Adultos jóvenes 18 - 35 años",IF(C1325&gt;=36,"Adultos mayores 36 años en adelante"))</f>
        <v>Adultos jóvenes 18 - 35 años</v>
      </c>
      <c r="E1325" s="3" t="s">
        <v>5022</v>
      </c>
      <c r="F1325" s="3" t="s">
        <v>5025</v>
      </c>
      <c r="G1325" s="3" t="s">
        <v>5034</v>
      </c>
      <c r="H1325" s="3" t="s">
        <v>5372</v>
      </c>
      <c r="I1325" s="17">
        <v>45557</v>
      </c>
      <c r="J1325" s="18">
        <f>YEAR(Tabla1[[#This Row],[FECHA DE COMPRA]])</f>
        <v>2024</v>
      </c>
      <c r="K1325" s="19">
        <v>145.22999999999999</v>
      </c>
      <c r="L1325" s="20">
        <v>0.3</v>
      </c>
      <c r="M1325" s="19">
        <f>Tienda!$K1546-Tienda!$K1546*Tienda!$L1546</f>
        <v>125.867</v>
      </c>
      <c r="N1325" s="3" t="s">
        <v>10038</v>
      </c>
      <c r="O1325" s="3" t="s">
        <v>10041</v>
      </c>
      <c r="P1325" s="17">
        <v>45557</v>
      </c>
      <c r="Q1325" s="4">
        <v>0</v>
      </c>
    </row>
    <row r="1326" spans="1:17" x14ac:dyDescent="0.25">
      <c r="A1326" s="2" t="s">
        <v>3503</v>
      </c>
      <c r="B1326" s="3" t="s">
        <v>5015</v>
      </c>
      <c r="C1326" s="3">
        <v>21</v>
      </c>
      <c r="D1326" s="46" t="str">
        <f>IF(Tabla1[[#This Row],[EDAD]]&lt;=35,"Adultos jóvenes 18 - 35 años",IF(C1326&gt;=36,"Adultos mayores 36 años en adelante"))</f>
        <v>Adultos jóvenes 18 - 35 años</v>
      </c>
      <c r="E1326" s="3" t="s">
        <v>5018</v>
      </c>
      <c r="F1326" s="3" t="s">
        <v>5028</v>
      </c>
      <c r="G1326" s="3" t="s">
        <v>5035</v>
      </c>
      <c r="H1326" s="3" t="s">
        <v>8526</v>
      </c>
      <c r="I1326" s="17">
        <v>45560</v>
      </c>
      <c r="J1326" s="18">
        <f>YEAR(Tabla1[[#This Row],[FECHA DE COMPRA]])</f>
        <v>2024</v>
      </c>
      <c r="K1326" s="19">
        <v>104.44</v>
      </c>
      <c r="L1326" s="20">
        <v>0</v>
      </c>
      <c r="M1326" s="19">
        <f>Tienda!$K1557-Tienda!$K1557*Tienda!$L1557</f>
        <v>131.18</v>
      </c>
      <c r="N1326" s="3" t="s">
        <v>10038</v>
      </c>
      <c r="O1326" s="3" t="s">
        <v>10041</v>
      </c>
      <c r="P1326" s="17">
        <v>45560</v>
      </c>
      <c r="Q1326" s="4">
        <v>0</v>
      </c>
    </row>
    <row r="1327" spans="1:17" x14ac:dyDescent="0.25">
      <c r="A1327" s="2" t="s">
        <v>2456</v>
      </c>
      <c r="B1327" s="3" t="s">
        <v>5015</v>
      </c>
      <c r="C1327" s="3">
        <v>32</v>
      </c>
      <c r="D1327" s="46" t="str">
        <f>IF(Tabla1[[#This Row],[EDAD]]&lt;=35,"Adultos jóvenes 18 - 35 años",IF(C1327&gt;=36,"Adultos mayores 36 años en adelante"))</f>
        <v>Adultos jóvenes 18 - 35 años</v>
      </c>
      <c r="E1327" s="3" t="s">
        <v>5018</v>
      </c>
      <c r="F1327" s="3" t="s">
        <v>5028</v>
      </c>
      <c r="G1327" s="3" t="s">
        <v>5032</v>
      </c>
      <c r="H1327" s="3" t="s">
        <v>7479</v>
      </c>
      <c r="I1327" s="17">
        <v>45556</v>
      </c>
      <c r="J1327" s="18">
        <f>YEAR(Tabla1[[#This Row],[FECHA DE COMPRA]])</f>
        <v>2024</v>
      </c>
      <c r="K1327" s="19">
        <v>149.54</v>
      </c>
      <c r="L1327" s="20">
        <v>0.3</v>
      </c>
      <c r="M1327" s="19">
        <f>Tienda!$K1559-Tienda!$K1559*Tienda!$L1559</f>
        <v>132.72</v>
      </c>
      <c r="N1327" s="3" t="s">
        <v>10038</v>
      </c>
      <c r="O1327" s="3" t="s">
        <v>10041</v>
      </c>
      <c r="P1327" s="17">
        <v>45556</v>
      </c>
      <c r="Q1327" s="4">
        <v>0</v>
      </c>
    </row>
    <row r="1328" spans="1:17" x14ac:dyDescent="0.25">
      <c r="A1328" s="2" t="s">
        <v>4925</v>
      </c>
      <c r="B1328" s="3" t="s">
        <v>5015</v>
      </c>
      <c r="C1328" s="3">
        <v>28</v>
      </c>
      <c r="D1328" s="46" t="str">
        <f>IF(Tabla1[[#This Row],[EDAD]]&lt;=35,"Adultos jóvenes 18 - 35 años",IF(C1328&gt;=36,"Adultos mayores 36 años en adelante"))</f>
        <v>Adultos jóvenes 18 - 35 años</v>
      </c>
      <c r="E1328" s="3" t="s">
        <v>5023</v>
      </c>
      <c r="F1328" s="3" t="s">
        <v>5026</v>
      </c>
      <c r="G1328" s="3" t="s">
        <v>5033</v>
      </c>
      <c r="H1328" s="3" t="s">
        <v>9948</v>
      </c>
      <c r="I1328" s="17">
        <v>45429</v>
      </c>
      <c r="J1328" s="18">
        <f>YEAR(Tabla1[[#This Row],[FECHA DE COMPRA]])</f>
        <v>2024</v>
      </c>
      <c r="K1328" s="19">
        <v>152.56</v>
      </c>
      <c r="L1328" s="20">
        <v>0.3</v>
      </c>
      <c r="M1328" s="19">
        <f>Tienda!$K1566-Tienda!$K1566*Tienda!$L1566</f>
        <v>136.29599999999999</v>
      </c>
      <c r="N1328" s="3" t="s">
        <v>10038</v>
      </c>
      <c r="O1328" s="3" t="s">
        <v>10041</v>
      </c>
      <c r="P1328" s="17">
        <v>45429</v>
      </c>
      <c r="Q1328" s="4">
        <v>0</v>
      </c>
    </row>
    <row r="1329" spans="1:17" x14ac:dyDescent="0.25">
      <c r="A1329" s="2" t="s">
        <v>213</v>
      </c>
      <c r="B1329" s="3" t="s">
        <v>5016</v>
      </c>
      <c r="C1329" s="3">
        <v>32</v>
      </c>
      <c r="D1329" s="46" t="str">
        <f>IF(Tabla1[[#This Row],[EDAD]]&lt;=35,"Adultos jóvenes 18 - 35 años",IF(C1329&gt;=36,"Adultos mayores 36 años en adelante"))</f>
        <v>Adultos jóvenes 18 - 35 años</v>
      </c>
      <c r="E1329" s="3" t="s">
        <v>5019</v>
      </c>
      <c r="F1329" s="3" t="s">
        <v>5027</v>
      </c>
      <c r="G1329" s="3" t="s">
        <v>5034</v>
      </c>
      <c r="H1329" s="3" t="s">
        <v>5236</v>
      </c>
      <c r="I1329" s="17">
        <v>45356</v>
      </c>
      <c r="J1329" s="18">
        <f>YEAR(Tabla1[[#This Row],[FECHA DE COMPRA]])</f>
        <v>2024</v>
      </c>
      <c r="K1329" s="19">
        <v>153.54</v>
      </c>
      <c r="L1329" s="20">
        <v>0.3</v>
      </c>
      <c r="M1329" s="19">
        <f>Tienda!$K1571-Tienda!$K1571*Tienda!$L1571</f>
        <v>139.779</v>
      </c>
      <c r="N1329" s="3" t="s">
        <v>10038</v>
      </c>
      <c r="O1329" s="3" t="s">
        <v>10041</v>
      </c>
      <c r="P1329" s="17">
        <v>45356</v>
      </c>
      <c r="Q1329" s="4">
        <v>0</v>
      </c>
    </row>
    <row r="1330" spans="1:17" x14ac:dyDescent="0.25">
      <c r="A1330" s="2" t="s">
        <v>1630</v>
      </c>
      <c r="B1330" s="3" t="s">
        <v>5015</v>
      </c>
      <c r="C1330" s="3">
        <v>27</v>
      </c>
      <c r="D1330" s="46" t="str">
        <f>IF(Tabla1[[#This Row],[EDAD]]&lt;=35,"Adultos jóvenes 18 - 35 años",IF(C1330&gt;=36,"Adultos mayores 36 años en adelante"))</f>
        <v>Adultos jóvenes 18 - 35 años</v>
      </c>
      <c r="E1330" s="3" t="s">
        <v>5018</v>
      </c>
      <c r="F1330" s="3" t="s">
        <v>5024</v>
      </c>
      <c r="G1330" s="3" t="s">
        <v>5037</v>
      </c>
      <c r="H1330" s="3" t="s">
        <v>6653</v>
      </c>
      <c r="I1330" s="17">
        <v>45636</v>
      </c>
      <c r="J1330" s="18">
        <f>YEAR(Tabla1[[#This Row],[FECHA DE COMPRA]])</f>
        <v>2024</v>
      </c>
      <c r="K1330" s="19">
        <v>121.65</v>
      </c>
      <c r="L1330" s="20">
        <v>0.1</v>
      </c>
      <c r="M1330" s="19">
        <f>Tienda!$K1580-Tienda!$K1580*Tienda!$L1580</f>
        <v>144.09</v>
      </c>
      <c r="N1330" s="3" t="s">
        <v>10038</v>
      </c>
      <c r="O1330" s="3" t="s">
        <v>10041</v>
      </c>
      <c r="P1330" s="17">
        <v>45459</v>
      </c>
      <c r="Q1330" s="4">
        <v>0</v>
      </c>
    </row>
    <row r="1331" spans="1:17" x14ac:dyDescent="0.25">
      <c r="A1331" s="2" t="s">
        <v>991</v>
      </c>
      <c r="B1331" s="3" t="s">
        <v>5015</v>
      </c>
      <c r="C1331" s="3">
        <v>21</v>
      </c>
      <c r="D1331" s="46" t="str">
        <f>IF(Tabla1[[#This Row],[EDAD]]&lt;=35,"Adultos jóvenes 18 - 35 años",IF(C1331&gt;=36,"Adultos mayores 36 años en adelante"))</f>
        <v>Adultos jóvenes 18 - 35 años</v>
      </c>
      <c r="E1331" s="3" t="s">
        <v>5020</v>
      </c>
      <c r="F1331" s="3" t="s">
        <v>5026</v>
      </c>
      <c r="G1331" s="3" t="s">
        <v>5031</v>
      </c>
      <c r="H1331" s="3" t="s">
        <v>6014</v>
      </c>
      <c r="I1331" s="17">
        <v>45624</v>
      </c>
      <c r="J1331" s="18">
        <f>YEAR(Tabla1[[#This Row],[FECHA DE COMPRA]])</f>
        <v>2024</v>
      </c>
      <c r="K1331" s="19">
        <v>114.88</v>
      </c>
      <c r="L1331" s="20">
        <v>0</v>
      </c>
      <c r="M1331" s="19">
        <f>Tienda!$K1605-Tienda!$K1605*Tienda!$L1605</f>
        <v>165.51900000000001</v>
      </c>
      <c r="N1331" s="3" t="s">
        <v>10038</v>
      </c>
      <c r="O1331" s="3" t="s">
        <v>10041</v>
      </c>
      <c r="P1331" s="17">
        <v>45477</v>
      </c>
      <c r="Q1331" s="4">
        <v>0</v>
      </c>
    </row>
    <row r="1332" spans="1:17" x14ac:dyDescent="0.25">
      <c r="A1332" s="2" t="s">
        <v>4370</v>
      </c>
      <c r="B1332" s="3" t="s">
        <v>5015</v>
      </c>
      <c r="C1332" s="3">
        <v>20</v>
      </c>
      <c r="D1332" s="46" t="str">
        <f>IF(Tabla1[[#This Row],[EDAD]]&lt;=35,"Adultos jóvenes 18 - 35 años",IF(C1332&gt;=36,"Adultos mayores 36 años en adelante"))</f>
        <v>Adultos jóvenes 18 - 35 años</v>
      </c>
      <c r="E1332" s="3" t="s">
        <v>5020</v>
      </c>
      <c r="F1332" s="3" t="s">
        <v>5025</v>
      </c>
      <c r="G1332" s="3" t="s">
        <v>5034</v>
      </c>
      <c r="H1332" s="3" t="s">
        <v>9393</v>
      </c>
      <c r="I1332" s="17">
        <v>45649</v>
      </c>
      <c r="J1332" s="18">
        <f>YEAR(Tabla1[[#This Row],[FECHA DE COMPRA]])</f>
        <v>2024</v>
      </c>
      <c r="K1332" s="19">
        <v>114.98</v>
      </c>
      <c r="L1332" s="20">
        <v>0</v>
      </c>
      <c r="M1332" s="19">
        <f>Tienda!$K1606-Tienda!$K1606*Tienda!$L1606</f>
        <v>166.3</v>
      </c>
      <c r="N1332" s="3" t="s">
        <v>10038</v>
      </c>
      <c r="O1332" s="3" t="s">
        <v>10041</v>
      </c>
      <c r="P1332" s="17">
        <v>45304</v>
      </c>
      <c r="Q1332" s="4">
        <v>0</v>
      </c>
    </row>
    <row r="1333" spans="1:17" x14ac:dyDescent="0.25">
      <c r="A1333" s="2" t="s">
        <v>4395</v>
      </c>
      <c r="B1333" s="3" t="s">
        <v>5016</v>
      </c>
      <c r="C1333" s="3">
        <v>30</v>
      </c>
      <c r="D1333" s="46" t="str">
        <f>IF(Tabla1[[#This Row],[EDAD]]&lt;=35,"Adultos jóvenes 18 - 35 años",IF(C1333&gt;=36,"Adultos mayores 36 años en adelante"))</f>
        <v>Adultos jóvenes 18 - 35 años</v>
      </c>
      <c r="E1333" s="3" t="s">
        <v>5019</v>
      </c>
      <c r="F1333" s="3" t="s">
        <v>5030</v>
      </c>
      <c r="G1333" s="3" t="s">
        <v>5032</v>
      </c>
      <c r="H1333" s="3" t="s">
        <v>9418</v>
      </c>
      <c r="I1333" s="17">
        <v>45633</v>
      </c>
      <c r="J1333" s="18">
        <f>YEAR(Tabla1[[#This Row],[FECHA DE COMPRA]])</f>
        <v>2024</v>
      </c>
      <c r="K1333" s="19">
        <v>117.48</v>
      </c>
      <c r="L1333" s="20">
        <v>0</v>
      </c>
      <c r="M1333" s="19">
        <f>Tienda!$K1625-Tienda!$K1625*Tienda!$L1625</f>
        <v>196.89</v>
      </c>
      <c r="N1333" s="3" t="s">
        <v>10038</v>
      </c>
      <c r="O1333" s="3" t="s">
        <v>10041</v>
      </c>
      <c r="P1333" s="17">
        <v>45633</v>
      </c>
      <c r="Q1333" s="4">
        <v>0</v>
      </c>
    </row>
    <row r="1334" spans="1:17" x14ac:dyDescent="0.25">
      <c r="A1334" s="2" t="s">
        <v>587</v>
      </c>
      <c r="B1334" s="3" t="s">
        <v>5015</v>
      </c>
      <c r="C1334" s="3">
        <v>26</v>
      </c>
      <c r="D1334" s="46" t="str">
        <f>IF(Tabla1[[#This Row],[EDAD]]&lt;=35,"Adultos jóvenes 18 - 35 años",IF(C1334&gt;=36,"Adultos mayores 36 años en adelante"))</f>
        <v>Adultos jóvenes 18 - 35 años</v>
      </c>
      <c r="E1334" s="3" t="s">
        <v>5022</v>
      </c>
      <c r="F1334" s="3" t="s">
        <v>5030</v>
      </c>
      <c r="G1334" s="3" t="s">
        <v>5037</v>
      </c>
      <c r="H1334" s="3" t="s">
        <v>5610</v>
      </c>
      <c r="I1334" s="17">
        <v>45588</v>
      </c>
      <c r="J1334" s="18">
        <f>YEAR(Tabla1[[#This Row],[FECHA DE COMPRA]])</f>
        <v>2024</v>
      </c>
      <c r="K1334" s="19">
        <v>148.19999999999999</v>
      </c>
      <c r="L1334" s="20">
        <v>0.2</v>
      </c>
      <c r="M1334" s="19">
        <f>Tienda!$K1628-Tienda!$K1628*Tienda!$L1628</f>
        <v>66.33</v>
      </c>
      <c r="N1334" s="3" t="s">
        <v>10038</v>
      </c>
      <c r="O1334" s="3" t="s">
        <v>10041</v>
      </c>
      <c r="P1334" s="17">
        <v>45588</v>
      </c>
      <c r="Q1334" s="4">
        <v>0</v>
      </c>
    </row>
    <row r="1335" spans="1:17" x14ac:dyDescent="0.25">
      <c r="A1335" s="2" t="s">
        <v>999</v>
      </c>
      <c r="B1335" s="3" t="s">
        <v>5015</v>
      </c>
      <c r="C1335" s="3">
        <v>21</v>
      </c>
      <c r="D1335" s="46" t="str">
        <f>IF(Tabla1[[#This Row],[EDAD]]&lt;=35,"Adultos jóvenes 18 - 35 años",IF(C1335&gt;=36,"Adultos mayores 36 años en adelante"))</f>
        <v>Adultos jóvenes 18 - 35 años</v>
      </c>
      <c r="E1335" s="3" t="s">
        <v>5018</v>
      </c>
      <c r="F1335" s="3" t="s">
        <v>5030</v>
      </c>
      <c r="G1335" s="3" t="s">
        <v>5032</v>
      </c>
      <c r="H1335" s="3" t="s">
        <v>6022</v>
      </c>
      <c r="I1335" s="17">
        <v>45595</v>
      </c>
      <c r="J1335" s="18">
        <f>YEAR(Tabla1[[#This Row],[FECHA DE COMPRA]])</f>
        <v>2024</v>
      </c>
      <c r="K1335" s="19">
        <v>121.32</v>
      </c>
      <c r="L1335" s="20">
        <v>0</v>
      </c>
      <c r="M1335" s="19">
        <f>Tienda!$K1641-Tienda!$K1641*Tienda!$L1641</f>
        <v>119.791</v>
      </c>
      <c r="N1335" s="3" t="s">
        <v>10038</v>
      </c>
      <c r="O1335" s="3" t="s">
        <v>10041</v>
      </c>
      <c r="P1335" s="17">
        <v>45595</v>
      </c>
      <c r="Q1335" s="4">
        <v>0</v>
      </c>
    </row>
    <row r="1336" spans="1:17" x14ac:dyDescent="0.25">
      <c r="A1336" s="2" t="s">
        <v>1234</v>
      </c>
      <c r="B1336" s="3" t="s">
        <v>5015</v>
      </c>
      <c r="C1336" s="3">
        <v>32</v>
      </c>
      <c r="D1336" s="46" t="str">
        <f>IF(Tabla1[[#This Row],[EDAD]]&lt;=35,"Adultos jóvenes 18 - 35 años",IF(C1336&gt;=36,"Adultos mayores 36 años en adelante"))</f>
        <v>Adultos jóvenes 18 - 35 años</v>
      </c>
      <c r="E1336" s="3" t="s">
        <v>5020</v>
      </c>
      <c r="F1336" s="3" t="s">
        <v>5029</v>
      </c>
      <c r="G1336" s="3" t="s">
        <v>5033</v>
      </c>
      <c r="H1336" s="3" t="s">
        <v>6257</v>
      </c>
      <c r="I1336" s="17">
        <v>45422</v>
      </c>
      <c r="J1336" s="18">
        <f>YEAR(Tabla1[[#This Row],[FECHA DE COMPRA]])</f>
        <v>2024</v>
      </c>
      <c r="K1336" s="19">
        <v>123.43</v>
      </c>
      <c r="L1336" s="20">
        <v>0</v>
      </c>
      <c r="M1336" s="19">
        <f>Tienda!$K1655-Tienda!$K1655*Tienda!$L1655</f>
        <v>17.73</v>
      </c>
      <c r="N1336" s="3" t="s">
        <v>10038</v>
      </c>
      <c r="O1336" s="3" t="s">
        <v>10041</v>
      </c>
      <c r="P1336" s="17">
        <v>45422</v>
      </c>
      <c r="Q1336" s="4">
        <v>0</v>
      </c>
    </row>
    <row r="1337" spans="1:17" x14ac:dyDescent="0.25">
      <c r="A1337" s="2" t="s">
        <v>4825</v>
      </c>
      <c r="B1337" s="3" t="s">
        <v>5016</v>
      </c>
      <c r="C1337" s="3">
        <v>18</v>
      </c>
      <c r="D1337" s="46" t="str">
        <f>IF(Tabla1[[#This Row],[EDAD]]&lt;=35,"Adultos jóvenes 18 - 35 años",IF(C1337&gt;=36,"Adultos mayores 36 años en adelante"))</f>
        <v>Adultos jóvenes 18 - 35 años</v>
      </c>
      <c r="E1337" s="3" t="s">
        <v>5021</v>
      </c>
      <c r="F1337" s="3" t="s">
        <v>5028</v>
      </c>
      <c r="G1337" s="3" t="s">
        <v>5032</v>
      </c>
      <c r="H1337" s="3" t="s">
        <v>9848</v>
      </c>
      <c r="I1337" s="17">
        <v>45436</v>
      </c>
      <c r="J1337" s="18">
        <f>YEAR(Tabla1[[#This Row],[FECHA DE COMPRA]])</f>
        <v>2024</v>
      </c>
      <c r="K1337" s="19">
        <v>158.47</v>
      </c>
      <c r="L1337" s="20">
        <v>0.2</v>
      </c>
      <c r="M1337" s="19">
        <f>Tienda!$K1664-Tienda!$K1664*Tienda!$L1664</f>
        <v>73.917000000000002</v>
      </c>
      <c r="N1337" s="3" t="s">
        <v>10038</v>
      </c>
      <c r="O1337" s="3" t="s">
        <v>10041</v>
      </c>
      <c r="P1337" s="17">
        <v>45436</v>
      </c>
      <c r="Q1337" s="4">
        <v>0</v>
      </c>
    </row>
    <row r="1338" spans="1:17" x14ac:dyDescent="0.25">
      <c r="A1338" s="2" t="s">
        <v>2162</v>
      </c>
      <c r="B1338" s="3" t="s">
        <v>5016</v>
      </c>
      <c r="C1338" s="3">
        <v>29</v>
      </c>
      <c r="D1338" s="46" t="str">
        <f>IF(Tabla1[[#This Row],[EDAD]]&lt;=35,"Adultos jóvenes 18 - 35 años",IF(C1338&gt;=36,"Adultos mayores 36 años en adelante"))</f>
        <v>Adultos jóvenes 18 - 35 años</v>
      </c>
      <c r="E1338" s="3" t="s">
        <v>5019</v>
      </c>
      <c r="F1338" s="3" t="s">
        <v>5027</v>
      </c>
      <c r="G1338" s="3" t="s">
        <v>5031</v>
      </c>
      <c r="H1338" s="3" t="s">
        <v>7185</v>
      </c>
      <c r="I1338" s="17">
        <v>45430</v>
      </c>
      <c r="J1338" s="18">
        <f>YEAR(Tabla1[[#This Row],[FECHA DE COMPRA]])</f>
        <v>2024</v>
      </c>
      <c r="K1338" s="19">
        <v>141.22999999999999</v>
      </c>
      <c r="L1338" s="20">
        <v>0.1</v>
      </c>
      <c r="M1338" s="19">
        <f>Tienda!$K1667-Tienda!$K1667*Tienda!$L1667</f>
        <v>108.395</v>
      </c>
      <c r="N1338" s="3" t="s">
        <v>10038</v>
      </c>
      <c r="O1338" s="3" t="s">
        <v>10041</v>
      </c>
      <c r="P1338" s="17">
        <v>45430</v>
      </c>
      <c r="Q1338" s="4">
        <v>0</v>
      </c>
    </row>
    <row r="1339" spans="1:17" x14ac:dyDescent="0.25">
      <c r="A1339" s="2" t="s">
        <v>4996</v>
      </c>
      <c r="B1339" s="3" t="s">
        <v>5015</v>
      </c>
      <c r="C1339" s="3">
        <v>34</v>
      </c>
      <c r="D1339" s="46" t="str">
        <f>IF(Tabla1[[#This Row],[EDAD]]&lt;=35,"Adultos jóvenes 18 - 35 años",IF(C1339&gt;=36,"Adultos mayores 36 años en adelante"))</f>
        <v>Adultos jóvenes 18 - 35 años</v>
      </c>
      <c r="E1339" s="3" t="s">
        <v>5018</v>
      </c>
      <c r="F1339" s="3" t="s">
        <v>5026</v>
      </c>
      <c r="G1339" s="3" t="s">
        <v>5036</v>
      </c>
      <c r="H1339" s="3" t="s">
        <v>10019</v>
      </c>
      <c r="I1339" s="17">
        <v>45645</v>
      </c>
      <c r="J1339" s="18">
        <f>YEAR(Tabla1[[#This Row],[FECHA DE COMPRA]])</f>
        <v>2024</v>
      </c>
      <c r="K1339" s="19">
        <v>159.91</v>
      </c>
      <c r="L1339" s="20">
        <v>0.2</v>
      </c>
      <c r="M1339" s="19">
        <f>Tienda!$K1669-Tienda!$K1669*Tienda!$L1669</f>
        <v>157.446</v>
      </c>
      <c r="N1339" s="3" t="s">
        <v>10038</v>
      </c>
      <c r="O1339" s="3" t="s">
        <v>10041</v>
      </c>
      <c r="P1339" s="17">
        <v>45645</v>
      </c>
      <c r="Q1339" s="4">
        <v>0</v>
      </c>
    </row>
    <row r="1340" spans="1:17" x14ac:dyDescent="0.25">
      <c r="A1340" s="2" t="s">
        <v>2218</v>
      </c>
      <c r="B1340" s="3" t="s">
        <v>5016</v>
      </c>
      <c r="C1340" s="3">
        <v>20</v>
      </c>
      <c r="D1340" s="46" t="str">
        <f>IF(Tabla1[[#This Row],[EDAD]]&lt;=35,"Adultos jóvenes 18 - 35 años",IF(C1340&gt;=36,"Adultos mayores 36 años en adelante"))</f>
        <v>Adultos jóvenes 18 - 35 años</v>
      </c>
      <c r="E1340" s="3" t="s">
        <v>5021</v>
      </c>
      <c r="F1340" s="3" t="s">
        <v>5028</v>
      </c>
      <c r="G1340" s="3" t="s">
        <v>5035</v>
      </c>
      <c r="H1340" s="3" t="s">
        <v>7241</v>
      </c>
      <c r="I1340" s="17">
        <v>45624</v>
      </c>
      <c r="J1340" s="18">
        <f>YEAR(Tabla1[[#This Row],[FECHA DE COMPRA]])</f>
        <v>2024</v>
      </c>
      <c r="K1340" s="19">
        <v>185.03</v>
      </c>
      <c r="L1340" s="20">
        <v>0.3</v>
      </c>
      <c r="M1340" s="19">
        <f>Tienda!$K1680-Tienda!$K1680*Tienda!$L1680</f>
        <v>23.228999999999999</v>
      </c>
      <c r="N1340" s="3" t="s">
        <v>10038</v>
      </c>
      <c r="O1340" s="3" t="s">
        <v>10041</v>
      </c>
      <c r="P1340" s="17">
        <v>45481</v>
      </c>
      <c r="Q1340" s="4">
        <v>0</v>
      </c>
    </row>
    <row r="1341" spans="1:17" x14ac:dyDescent="0.25">
      <c r="A1341" s="2" t="s">
        <v>3321</v>
      </c>
      <c r="B1341" s="3" t="s">
        <v>5015</v>
      </c>
      <c r="C1341" s="3">
        <v>35</v>
      </c>
      <c r="D1341" s="46" t="str">
        <f>IF(Tabla1[[#This Row],[EDAD]]&lt;=35,"Adultos jóvenes 18 - 35 años",IF(C1341&gt;=36,"Adultos mayores 36 años en adelante"))</f>
        <v>Adultos jóvenes 18 - 35 años</v>
      </c>
      <c r="E1341" s="3" t="s">
        <v>5019</v>
      </c>
      <c r="F1341" s="3" t="s">
        <v>5027</v>
      </c>
      <c r="G1341" s="3" t="s">
        <v>5031</v>
      </c>
      <c r="H1341" s="3" t="s">
        <v>8344</v>
      </c>
      <c r="I1341" s="17">
        <v>45629</v>
      </c>
      <c r="J1341" s="18">
        <f>YEAR(Tabla1[[#This Row],[FECHA DE COMPRA]])</f>
        <v>2024</v>
      </c>
      <c r="K1341" s="19">
        <v>161.93</v>
      </c>
      <c r="L1341" s="20">
        <v>0.2</v>
      </c>
      <c r="M1341" s="19">
        <f>Tienda!$K1681-Tienda!$K1681*Tienda!$L1681</f>
        <v>75.06</v>
      </c>
      <c r="N1341" s="3" t="s">
        <v>10038</v>
      </c>
      <c r="O1341" s="3" t="s">
        <v>10041</v>
      </c>
      <c r="P1341" s="17">
        <v>45629</v>
      </c>
      <c r="Q1341" s="4">
        <v>0</v>
      </c>
    </row>
    <row r="1342" spans="1:17" x14ac:dyDescent="0.25">
      <c r="A1342" s="2" t="s">
        <v>530</v>
      </c>
      <c r="B1342" s="3" t="s">
        <v>5016</v>
      </c>
      <c r="C1342" s="3">
        <v>27</v>
      </c>
      <c r="D1342" s="46" t="str">
        <f>IF(Tabla1[[#This Row],[EDAD]]&lt;=35,"Adultos jóvenes 18 - 35 años",IF(C1342&gt;=36,"Adultos mayores 36 años en adelante"))</f>
        <v>Adultos jóvenes 18 - 35 años</v>
      </c>
      <c r="E1342" s="3" t="s">
        <v>5017</v>
      </c>
      <c r="F1342" s="3" t="s">
        <v>5028</v>
      </c>
      <c r="G1342" s="3" t="s">
        <v>5037</v>
      </c>
      <c r="H1342" s="3" t="s">
        <v>5553</v>
      </c>
      <c r="I1342" s="17">
        <v>45610</v>
      </c>
      <c r="J1342" s="18">
        <f>YEAR(Tabla1[[#This Row],[FECHA DE COMPRA]])</f>
        <v>2024</v>
      </c>
      <c r="K1342" s="19">
        <v>162.57</v>
      </c>
      <c r="L1342" s="20">
        <v>0.2</v>
      </c>
      <c r="M1342" s="19">
        <f>Tienda!$K1686-Tienda!$K1686*Tienda!$L1686</f>
        <v>34.956000000000003</v>
      </c>
      <c r="N1342" s="3" t="s">
        <v>10038</v>
      </c>
      <c r="O1342" s="3" t="s">
        <v>10041</v>
      </c>
      <c r="P1342" s="17">
        <v>45610</v>
      </c>
      <c r="Q1342" s="4">
        <v>0</v>
      </c>
    </row>
    <row r="1343" spans="1:17" x14ac:dyDescent="0.25">
      <c r="A1343" s="2" t="s">
        <v>4645</v>
      </c>
      <c r="B1343" s="3" t="s">
        <v>5015</v>
      </c>
      <c r="C1343" s="3">
        <v>26</v>
      </c>
      <c r="D1343" s="46" t="str">
        <f>IF(Tabla1[[#This Row],[EDAD]]&lt;=35,"Adultos jóvenes 18 - 35 años",IF(C1343&gt;=36,"Adultos mayores 36 años en adelante"))</f>
        <v>Adultos jóvenes 18 - 35 años</v>
      </c>
      <c r="E1343" s="3" t="s">
        <v>5019</v>
      </c>
      <c r="F1343" s="3" t="s">
        <v>5028</v>
      </c>
      <c r="G1343" s="3" t="s">
        <v>5035</v>
      </c>
      <c r="H1343" s="3" t="s">
        <v>9668</v>
      </c>
      <c r="I1343" s="17">
        <v>45649</v>
      </c>
      <c r="J1343" s="18">
        <f>YEAR(Tabla1[[#This Row],[FECHA DE COMPRA]])</f>
        <v>2024</v>
      </c>
      <c r="K1343" s="19">
        <v>146.9</v>
      </c>
      <c r="L1343" s="20">
        <v>0.1</v>
      </c>
      <c r="M1343" s="19">
        <f>Tienda!$K1693-Tienda!$K1693*Tienda!$L1693</f>
        <v>102.00800000000001</v>
      </c>
      <c r="N1343" s="3" t="s">
        <v>10038</v>
      </c>
      <c r="O1343" s="3" t="s">
        <v>10041</v>
      </c>
      <c r="P1343" s="17">
        <v>45293</v>
      </c>
      <c r="Q1343" s="4">
        <v>0</v>
      </c>
    </row>
    <row r="1344" spans="1:17" x14ac:dyDescent="0.25">
      <c r="A1344" s="2" t="s">
        <v>2333</v>
      </c>
      <c r="B1344" s="3" t="s">
        <v>5015</v>
      </c>
      <c r="C1344" s="3">
        <v>25</v>
      </c>
      <c r="D1344" s="46" t="str">
        <f>IF(Tabla1[[#This Row],[EDAD]]&lt;=35,"Adultos jóvenes 18 - 35 años",IF(C1344&gt;=36,"Adultos mayores 36 años en adelante"))</f>
        <v>Adultos jóvenes 18 - 35 años</v>
      </c>
      <c r="E1344" s="3" t="s">
        <v>5018</v>
      </c>
      <c r="F1344" s="3" t="s">
        <v>5030</v>
      </c>
      <c r="G1344" s="3" t="s">
        <v>5036</v>
      </c>
      <c r="H1344" s="3" t="s">
        <v>7356</v>
      </c>
      <c r="I1344" s="17">
        <v>45653</v>
      </c>
      <c r="J1344" s="18">
        <f>YEAR(Tabla1[[#This Row],[FECHA DE COMPRA]])</f>
        <v>2024</v>
      </c>
      <c r="K1344" s="19">
        <v>165.73</v>
      </c>
      <c r="L1344" s="20">
        <v>0.2</v>
      </c>
      <c r="M1344" s="19">
        <f>Tienda!$K1696-Tienda!$K1696*Tienda!$L1696</f>
        <v>145.49</v>
      </c>
      <c r="N1344" s="3" t="s">
        <v>10038</v>
      </c>
      <c r="O1344" s="3" t="s">
        <v>10041</v>
      </c>
      <c r="P1344" s="17">
        <v>45653</v>
      </c>
      <c r="Q1344" s="4">
        <v>0</v>
      </c>
    </row>
    <row r="1345" spans="1:17" x14ac:dyDescent="0.25">
      <c r="A1345" s="2" t="s">
        <v>275</v>
      </c>
      <c r="B1345" s="3" t="s">
        <v>5015</v>
      </c>
      <c r="C1345" s="3">
        <v>20</v>
      </c>
      <c r="D1345" s="46" t="str">
        <f>IF(Tabla1[[#This Row],[EDAD]]&lt;=35,"Adultos jóvenes 18 - 35 años",IF(C1345&gt;=36,"Adultos mayores 36 años en adelante"))</f>
        <v>Adultos jóvenes 18 - 35 años</v>
      </c>
      <c r="E1345" s="3" t="s">
        <v>5023</v>
      </c>
      <c r="F1345" s="3" t="s">
        <v>5030</v>
      </c>
      <c r="G1345" s="3" t="s">
        <v>5036</v>
      </c>
      <c r="H1345" s="3" t="s">
        <v>5298</v>
      </c>
      <c r="I1345" s="17">
        <v>45624</v>
      </c>
      <c r="J1345" s="18">
        <f>YEAR(Tabla1[[#This Row],[FECHA DE COMPRA]])</f>
        <v>2024</v>
      </c>
      <c r="K1345" s="19">
        <v>149.26</v>
      </c>
      <c r="L1345" s="20">
        <v>0.1</v>
      </c>
      <c r="M1345" s="19">
        <f>Tienda!$K1701-Tienda!$K1701*Tienda!$L1701</f>
        <v>150.85599999999999</v>
      </c>
      <c r="N1345" s="3" t="s">
        <v>10038</v>
      </c>
      <c r="O1345" s="3" t="s">
        <v>10041</v>
      </c>
      <c r="P1345" s="17">
        <v>45479</v>
      </c>
      <c r="Q1345" s="4">
        <v>0</v>
      </c>
    </row>
    <row r="1346" spans="1:17" x14ac:dyDescent="0.25">
      <c r="A1346" s="2" t="s">
        <v>2560</v>
      </c>
      <c r="B1346" s="3" t="s">
        <v>5015</v>
      </c>
      <c r="C1346" s="3">
        <v>30</v>
      </c>
      <c r="D1346" s="46" t="str">
        <f>IF(Tabla1[[#This Row],[EDAD]]&lt;=35,"Adultos jóvenes 18 - 35 años",IF(C1346&gt;=36,"Adultos mayores 36 años en adelante"))</f>
        <v>Adultos jóvenes 18 - 35 años</v>
      </c>
      <c r="E1346" s="3" t="s">
        <v>5020</v>
      </c>
      <c r="F1346" s="3" t="s">
        <v>5028</v>
      </c>
      <c r="G1346" s="3" t="s">
        <v>5036</v>
      </c>
      <c r="H1346" s="3" t="s">
        <v>7583</v>
      </c>
      <c r="I1346" s="17">
        <v>45435</v>
      </c>
      <c r="J1346" s="18">
        <f>YEAR(Tabla1[[#This Row],[FECHA DE COMPRA]])</f>
        <v>2024</v>
      </c>
      <c r="K1346" s="19">
        <v>134.6</v>
      </c>
      <c r="L1346" s="20">
        <v>0</v>
      </c>
      <c r="M1346" s="19">
        <f>Tienda!$K1702-Tienda!$K1702*Tienda!$L1702</f>
        <v>198.71</v>
      </c>
      <c r="N1346" s="3" t="s">
        <v>10038</v>
      </c>
      <c r="O1346" s="3" t="s">
        <v>10041</v>
      </c>
      <c r="P1346" s="17">
        <v>45435</v>
      </c>
      <c r="Q1346" s="4">
        <v>0</v>
      </c>
    </row>
    <row r="1347" spans="1:17" x14ac:dyDescent="0.25">
      <c r="A1347" s="2" t="s">
        <v>2910</v>
      </c>
      <c r="B1347" s="3" t="s">
        <v>5015</v>
      </c>
      <c r="C1347" s="3">
        <v>22</v>
      </c>
      <c r="D1347" s="46" t="str">
        <f>IF(Tabla1[[#This Row],[EDAD]]&lt;=35,"Adultos jóvenes 18 - 35 años",IF(C1347&gt;=36,"Adultos mayores 36 años en adelante"))</f>
        <v>Adultos jóvenes 18 - 35 años</v>
      </c>
      <c r="E1347" s="3" t="s">
        <v>5023</v>
      </c>
      <c r="F1347" s="3" t="s">
        <v>5027</v>
      </c>
      <c r="G1347" s="3" t="s">
        <v>5037</v>
      </c>
      <c r="H1347" s="3" t="s">
        <v>7933</v>
      </c>
      <c r="I1347" s="17">
        <v>45335</v>
      </c>
      <c r="J1347" s="18">
        <f>YEAR(Tabla1[[#This Row],[FECHA DE COMPRA]])</f>
        <v>2024</v>
      </c>
      <c r="K1347" s="19">
        <v>169.27</v>
      </c>
      <c r="L1347" s="20">
        <v>0.2</v>
      </c>
      <c r="M1347" s="19">
        <f>Tienda!$K1705-Tienda!$K1705*Tienda!$L1705</f>
        <v>16.218</v>
      </c>
      <c r="N1347" s="3" t="s">
        <v>10038</v>
      </c>
      <c r="O1347" s="3" t="s">
        <v>10041</v>
      </c>
      <c r="P1347" s="17">
        <v>45373</v>
      </c>
      <c r="Q1347" s="4">
        <v>0</v>
      </c>
    </row>
    <row r="1348" spans="1:17" x14ac:dyDescent="0.25">
      <c r="A1348" s="2" t="s">
        <v>586</v>
      </c>
      <c r="B1348" s="3" t="s">
        <v>5015</v>
      </c>
      <c r="C1348" s="3">
        <v>28</v>
      </c>
      <c r="D1348" s="46" t="str">
        <f>IF(Tabla1[[#This Row],[EDAD]]&lt;=35,"Adultos jóvenes 18 - 35 años",IF(C1348&gt;=36,"Adultos mayores 36 años en adelante"))</f>
        <v>Adultos jóvenes 18 - 35 años</v>
      </c>
      <c r="E1348" s="3" t="s">
        <v>5020</v>
      </c>
      <c r="F1348" s="3" t="s">
        <v>5026</v>
      </c>
      <c r="G1348" s="3" t="s">
        <v>5035</v>
      </c>
      <c r="H1348" s="3" t="s">
        <v>5609</v>
      </c>
      <c r="I1348" s="17">
        <v>45649</v>
      </c>
      <c r="J1348" s="18">
        <f>YEAR(Tabla1[[#This Row],[FECHA DE COMPRA]])</f>
        <v>2024</v>
      </c>
      <c r="K1348" s="19">
        <v>172.34</v>
      </c>
      <c r="L1348" s="20">
        <v>0.2</v>
      </c>
      <c r="M1348" s="19">
        <f>Tienda!$K1722-Tienda!$K1722*Tienda!$L1722</f>
        <v>27.375999999999998</v>
      </c>
      <c r="N1348" s="3" t="s">
        <v>10038</v>
      </c>
      <c r="O1348" s="3" t="s">
        <v>10041</v>
      </c>
      <c r="P1348" s="17">
        <v>45306</v>
      </c>
      <c r="Q1348" s="4">
        <v>0</v>
      </c>
    </row>
    <row r="1349" spans="1:17" x14ac:dyDescent="0.25">
      <c r="A1349" s="2" t="s">
        <v>2911</v>
      </c>
      <c r="B1349" s="3" t="s">
        <v>5015</v>
      </c>
      <c r="C1349" s="3">
        <v>24</v>
      </c>
      <c r="D1349" s="46" t="str">
        <f>IF(Tabla1[[#This Row],[EDAD]]&lt;=35,"Adultos jóvenes 18 - 35 años",IF(C1349&gt;=36,"Adultos mayores 36 años en adelante"))</f>
        <v>Adultos jóvenes 18 - 35 años</v>
      </c>
      <c r="E1349" s="3" t="s">
        <v>5020</v>
      </c>
      <c r="F1349" s="3" t="s">
        <v>5029</v>
      </c>
      <c r="G1349" s="3" t="s">
        <v>5033</v>
      </c>
      <c r="H1349" s="3" t="s">
        <v>7934</v>
      </c>
      <c r="I1349" s="17">
        <v>45609</v>
      </c>
      <c r="J1349" s="18">
        <f>YEAR(Tabla1[[#This Row],[FECHA DE COMPRA]])</f>
        <v>2024</v>
      </c>
      <c r="K1349" s="19">
        <v>156.47999999999999</v>
      </c>
      <c r="L1349" s="20">
        <v>0.1</v>
      </c>
      <c r="M1349" s="19">
        <f>Tienda!$K1733-Tienda!$K1733*Tienda!$L1733</f>
        <v>21.312000000000001</v>
      </c>
      <c r="N1349" s="3" t="s">
        <v>10038</v>
      </c>
      <c r="O1349" s="3" t="s">
        <v>10041</v>
      </c>
      <c r="P1349" s="17">
        <v>45609</v>
      </c>
      <c r="Q1349" s="4">
        <v>0</v>
      </c>
    </row>
    <row r="1350" spans="1:17" x14ac:dyDescent="0.25">
      <c r="A1350" s="2" t="s">
        <v>1578</v>
      </c>
      <c r="B1350" s="3" t="s">
        <v>5015</v>
      </c>
      <c r="C1350" s="3">
        <v>31</v>
      </c>
      <c r="D1350" s="46" t="str">
        <f>IF(Tabla1[[#This Row],[EDAD]]&lt;=35,"Adultos jóvenes 18 - 35 años",IF(C1350&gt;=36,"Adultos mayores 36 años en adelante"))</f>
        <v>Adultos jóvenes 18 - 35 años</v>
      </c>
      <c r="E1350" s="3" t="s">
        <v>5019</v>
      </c>
      <c r="F1350" s="3" t="s">
        <v>5028</v>
      </c>
      <c r="G1350" s="3" t="s">
        <v>5034</v>
      </c>
      <c r="H1350" s="3" t="s">
        <v>6601</v>
      </c>
      <c r="I1350" s="17">
        <v>45557</v>
      </c>
      <c r="J1350" s="18">
        <f>YEAR(Tabla1[[#This Row],[FECHA DE COMPRA]])</f>
        <v>2024</v>
      </c>
      <c r="K1350" s="19">
        <v>176.56</v>
      </c>
      <c r="L1350" s="20">
        <v>0.2</v>
      </c>
      <c r="M1350" s="19">
        <f>Tienda!$K1734-Tienda!$K1734*Tienda!$L1734</f>
        <v>110.648</v>
      </c>
      <c r="N1350" s="3" t="s">
        <v>10038</v>
      </c>
      <c r="O1350" s="3" t="s">
        <v>10041</v>
      </c>
      <c r="P1350" s="17">
        <v>45557</v>
      </c>
      <c r="Q1350" s="4">
        <v>0</v>
      </c>
    </row>
    <row r="1351" spans="1:17" x14ac:dyDescent="0.25">
      <c r="A1351" s="2" t="s">
        <v>3963</v>
      </c>
      <c r="B1351" s="3" t="s">
        <v>5015</v>
      </c>
      <c r="C1351" s="3">
        <v>18</v>
      </c>
      <c r="D1351" s="46" t="str">
        <f>IF(Tabla1[[#This Row],[EDAD]]&lt;=35,"Adultos jóvenes 18 - 35 años",IF(C1351&gt;=36,"Adultos mayores 36 años en adelante"))</f>
        <v>Adultos jóvenes 18 - 35 años</v>
      </c>
      <c r="E1351" s="3" t="s">
        <v>5018</v>
      </c>
      <c r="F1351" s="3" t="s">
        <v>5030</v>
      </c>
      <c r="G1351" s="3" t="s">
        <v>5034</v>
      </c>
      <c r="H1351" s="3" t="s">
        <v>8986</v>
      </c>
      <c r="I1351" s="17">
        <v>45542</v>
      </c>
      <c r="J1351" s="18">
        <f>YEAR(Tabla1[[#This Row],[FECHA DE COMPRA]])</f>
        <v>2024</v>
      </c>
      <c r="K1351" s="19">
        <v>176.58</v>
      </c>
      <c r="L1351" s="20">
        <v>0.2</v>
      </c>
      <c r="M1351" s="19">
        <f>Tienda!$K1735-Tienda!$K1735*Tienda!$L1735</f>
        <v>130.184</v>
      </c>
      <c r="N1351" s="3" t="s">
        <v>10038</v>
      </c>
      <c r="O1351" s="3" t="s">
        <v>10041</v>
      </c>
      <c r="P1351" s="17">
        <v>45542</v>
      </c>
      <c r="Q1351" s="4">
        <v>0</v>
      </c>
    </row>
    <row r="1352" spans="1:17" x14ac:dyDescent="0.25">
      <c r="A1352" s="2" t="s">
        <v>2464</v>
      </c>
      <c r="B1352" s="3" t="s">
        <v>5015</v>
      </c>
      <c r="C1352" s="3">
        <v>29</v>
      </c>
      <c r="D1352" s="46" t="str">
        <f>IF(Tabla1[[#This Row],[EDAD]]&lt;=35,"Adultos jóvenes 18 - 35 años",IF(C1352&gt;=36,"Adultos mayores 36 años en adelante"))</f>
        <v>Adultos jóvenes 18 - 35 años</v>
      </c>
      <c r="E1352" s="3" t="s">
        <v>5022</v>
      </c>
      <c r="F1352" s="3" t="s">
        <v>5027</v>
      </c>
      <c r="G1352" s="3" t="s">
        <v>5033</v>
      </c>
      <c r="H1352" s="3" t="s">
        <v>7487</v>
      </c>
      <c r="I1352" s="17">
        <v>45510</v>
      </c>
      <c r="J1352" s="18">
        <f>YEAR(Tabla1[[#This Row],[FECHA DE COMPRA]])</f>
        <v>2024</v>
      </c>
      <c r="K1352" s="19">
        <v>178.13</v>
      </c>
      <c r="L1352" s="20">
        <v>0.2</v>
      </c>
      <c r="M1352" s="19">
        <f>Tienda!$K1745-Tienda!$K1745*Tienda!$L1745</f>
        <v>33.119999999999997</v>
      </c>
      <c r="N1352" s="3" t="s">
        <v>10038</v>
      </c>
      <c r="O1352" s="3" t="s">
        <v>10041</v>
      </c>
      <c r="P1352" s="17">
        <v>45510</v>
      </c>
      <c r="Q1352" s="4">
        <v>0</v>
      </c>
    </row>
    <row r="1353" spans="1:17" x14ac:dyDescent="0.25">
      <c r="A1353" s="2" t="s">
        <v>4048</v>
      </c>
      <c r="B1353" s="3" t="s">
        <v>5016</v>
      </c>
      <c r="C1353" s="3">
        <v>22</v>
      </c>
      <c r="D1353" s="46" t="str">
        <f>IF(Tabla1[[#This Row],[EDAD]]&lt;=35,"Adultos jóvenes 18 - 35 años",IF(C1353&gt;=36,"Adultos mayores 36 años en adelante"))</f>
        <v>Adultos jóvenes 18 - 35 años</v>
      </c>
      <c r="E1353" s="3" t="s">
        <v>5017</v>
      </c>
      <c r="F1353" s="3" t="s">
        <v>5029</v>
      </c>
      <c r="G1353" s="3" t="s">
        <v>5036</v>
      </c>
      <c r="H1353" s="3" t="s">
        <v>9071</v>
      </c>
      <c r="I1353" s="17">
        <v>45467</v>
      </c>
      <c r="J1353" s="18">
        <f>YEAR(Tabla1[[#This Row],[FECHA DE COMPRA]])</f>
        <v>2024</v>
      </c>
      <c r="K1353" s="19">
        <v>144.51</v>
      </c>
      <c r="L1353" s="20">
        <v>0</v>
      </c>
      <c r="M1353" s="19">
        <f>Tienda!$K1750-Tienda!$K1750*Tienda!$L1750</f>
        <v>97.17</v>
      </c>
      <c r="N1353" s="3" t="s">
        <v>10038</v>
      </c>
      <c r="O1353" s="3" t="s">
        <v>10041</v>
      </c>
      <c r="P1353" s="17">
        <v>45467</v>
      </c>
      <c r="Q1353" s="4">
        <v>0</v>
      </c>
    </row>
    <row r="1354" spans="1:17" x14ac:dyDescent="0.25">
      <c r="A1354" s="2" t="s">
        <v>731</v>
      </c>
      <c r="B1354" s="3" t="s">
        <v>5015</v>
      </c>
      <c r="C1354" s="3">
        <v>32</v>
      </c>
      <c r="D1354" s="46" t="str">
        <f>IF(Tabla1[[#This Row],[EDAD]]&lt;=35,"Adultos jóvenes 18 - 35 años",IF(C1354&gt;=36,"Adultos mayores 36 años en adelante"))</f>
        <v>Adultos jóvenes 18 - 35 años</v>
      </c>
      <c r="E1354" s="3" t="s">
        <v>5018</v>
      </c>
      <c r="F1354" s="3" t="s">
        <v>5026</v>
      </c>
      <c r="G1354" s="3" t="s">
        <v>5037</v>
      </c>
      <c r="H1354" s="3" t="s">
        <v>5754</v>
      </c>
      <c r="I1354" s="17">
        <v>45463</v>
      </c>
      <c r="J1354" s="18">
        <f>YEAR(Tabla1[[#This Row],[FECHA DE COMPRA]])</f>
        <v>2024</v>
      </c>
      <c r="K1354" s="19">
        <v>181.02</v>
      </c>
      <c r="L1354" s="20">
        <v>0.2</v>
      </c>
      <c r="M1354" s="19">
        <f>Tienda!$K1751-Tienda!$K1751*Tienda!$L1751</f>
        <v>87.650999999999996</v>
      </c>
      <c r="N1354" s="3" t="s">
        <v>10038</v>
      </c>
      <c r="O1354" s="3" t="s">
        <v>10041</v>
      </c>
      <c r="P1354" s="17">
        <v>45463</v>
      </c>
      <c r="Q1354" s="4">
        <v>0</v>
      </c>
    </row>
    <row r="1355" spans="1:17" x14ac:dyDescent="0.25">
      <c r="A1355" s="2" t="s">
        <v>2875</v>
      </c>
      <c r="B1355" s="3" t="s">
        <v>5016</v>
      </c>
      <c r="C1355" s="3">
        <v>31</v>
      </c>
      <c r="D1355" s="46" t="str">
        <f>IF(Tabla1[[#This Row],[EDAD]]&lt;=35,"Adultos jóvenes 18 - 35 años",IF(C1355&gt;=36,"Adultos mayores 36 años en adelante"))</f>
        <v>Adultos jóvenes 18 - 35 años</v>
      </c>
      <c r="E1355" s="3" t="s">
        <v>5019</v>
      </c>
      <c r="F1355" s="3" t="s">
        <v>5024</v>
      </c>
      <c r="G1355" s="3" t="s">
        <v>5035</v>
      </c>
      <c r="H1355" s="3" t="s">
        <v>7898</v>
      </c>
      <c r="I1355" s="17">
        <v>45592</v>
      </c>
      <c r="J1355" s="18">
        <f>YEAR(Tabla1[[#This Row],[FECHA DE COMPRA]])</f>
        <v>2024</v>
      </c>
      <c r="K1355" s="19">
        <v>183.99</v>
      </c>
      <c r="L1355" s="20">
        <v>0.2</v>
      </c>
      <c r="M1355" s="19">
        <f>Tienda!$K1764-Tienda!$K1764*Tienda!$L1764</f>
        <v>83.21</v>
      </c>
      <c r="N1355" s="3" t="s">
        <v>10038</v>
      </c>
      <c r="O1355" s="3" t="s">
        <v>10041</v>
      </c>
      <c r="P1355" s="17">
        <v>45592</v>
      </c>
      <c r="Q1355" s="4">
        <v>0</v>
      </c>
    </row>
    <row r="1356" spans="1:17" x14ac:dyDescent="0.25">
      <c r="A1356" s="2" t="s">
        <v>4588</v>
      </c>
      <c r="B1356" s="3" t="s">
        <v>5015</v>
      </c>
      <c r="C1356" s="3">
        <v>35</v>
      </c>
      <c r="D1356" s="46" t="str">
        <f>IF(Tabla1[[#This Row],[EDAD]]&lt;=35,"Adultos jóvenes 18 - 35 años",IF(C1356&gt;=36,"Adultos mayores 36 años en adelante"))</f>
        <v>Adultos jóvenes 18 - 35 años</v>
      </c>
      <c r="E1356" s="3" t="s">
        <v>5020</v>
      </c>
      <c r="F1356" s="3" t="s">
        <v>5026</v>
      </c>
      <c r="G1356" s="3" t="s">
        <v>5031</v>
      </c>
      <c r="H1356" s="3" t="s">
        <v>9611</v>
      </c>
      <c r="I1356" s="17">
        <v>45327</v>
      </c>
      <c r="J1356" s="18">
        <f>YEAR(Tabla1[[#This Row],[FECHA DE COMPRA]])</f>
        <v>2024</v>
      </c>
      <c r="K1356" s="19">
        <v>185.54</v>
      </c>
      <c r="L1356" s="20">
        <v>0.2</v>
      </c>
      <c r="M1356" s="19">
        <f>Tienda!$K1767-Tienda!$K1767*Tienda!$L1767</f>
        <v>89.81</v>
      </c>
      <c r="N1356" s="3" t="s">
        <v>10038</v>
      </c>
      <c r="O1356" s="3" t="s">
        <v>10041</v>
      </c>
      <c r="P1356" s="17">
        <v>45327</v>
      </c>
      <c r="Q1356" s="4">
        <v>0</v>
      </c>
    </row>
    <row r="1357" spans="1:17" x14ac:dyDescent="0.25">
      <c r="A1357" s="2" t="s">
        <v>724</v>
      </c>
      <c r="B1357" s="3" t="s">
        <v>5015</v>
      </c>
      <c r="C1357" s="3">
        <v>28</v>
      </c>
      <c r="D1357" s="46" t="str">
        <f>IF(Tabla1[[#This Row],[EDAD]]&lt;=35,"Adultos jóvenes 18 - 35 años",IF(C1357&gt;=36,"Adultos mayores 36 años en adelante"))</f>
        <v>Adultos jóvenes 18 - 35 años</v>
      </c>
      <c r="E1357" s="3" t="s">
        <v>5022</v>
      </c>
      <c r="F1357" s="3" t="s">
        <v>5027</v>
      </c>
      <c r="G1357" s="3" t="s">
        <v>5033</v>
      </c>
      <c r="H1357" s="3" t="s">
        <v>5747</v>
      </c>
      <c r="I1357" s="17">
        <v>45639</v>
      </c>
      <c r="J1357" s="18">
        <f>YEAR(Tabla1[[#This Row],[FECHA DE COMPRA]])</f>
        <v>2024</v>
      </c>
      <c r="K1357" s="19">
        <v>185.79</v>
      </c>
      <c r="L1357" s="20">
        <v>0.2</v>
      </c>
      <c r="M1357" s="19">
        <f>Tienda!$K1771-Tienda!$K1771*Tienda!$L1771</f>
        <v>140.77000000000001</v>
      </c>
      <c r="N1357" s="3" t="s">
        <v>10038</v>
      </c>
      <c r="O1357" s="3" t="s">
        <v>10041</v>
      </c>
      <c r="P1357" s="17">
        <v>45639</v>
      </c>
      <c r="Q1357" s="4">
        <v>0</v>
      </c>
    </row>
    <row r="1358" spans="1:17" x14ac:dyDescent="0.25">
      <c r="A1358" s="2" t="s">
        <v>4709</v>
      </c>
      <c r="B1358" s="3" t="s">
        <v>5016</v>
      </c>
      <c r="C1358" s="3">
        <v>24</v>
      </c>
      <c r="D1358" s="46" t="str">
        <f>IF(Tabla1[[#This Row],[EDAD]]&lt;=35,"Adultos jóvenes 18 - 35 años",IF(C1358&gt;=36,"Adultos mayores 36 años en adelante"))</f>
        <v>Adultos jóvenes 18 - 35 años</v>
      </c>
      <c r="E1358" s="3" t="s">
        <v>5021</v>
      </c>
      <c r="F1358" s="3" t="s">
        <v>5028</v>
      </c>
      <c r="G1358" s="3" t="s">
        <v>5037</v>
      </c>
      <c r="H1358" s="3" t="s">
        <v>9732</v>
      </c>
      <c r="I1358" s="17">
        <v>45351</v>
      </c>
      <c r="J1358" s="18">
        <f>YEAR(Tabla1[[#This Row],[FECHA DE COMPRA]])</f>
        <v>2024</v>
      </c>
      <c r="K1358" s="19">
        <v>149.77000000000001</v>
      </c>
      <c r="L1358" s="20">
        <v>0</v>
      </c>
      <c r="M1358" s="19">
        <f>Tienda!$K1773-Tienda!$K1773*Tienda!$L1773</f>
        <v>159.12899999999999</v>
      </c>
      <c r="N1358" s="3" t="s">
        <v>10038</v>
      </c>
      <c r="O1358" s="3" t="s">
        <v>10041</v>
      </c>
      <c r="P1358" s="17">
        <v>45351</v>
      </c>
      <c r="Q1358" s="4">
        <v>0</v>
      </c>
    </row>
    <row r="1359" spans="1:17" x14ac:dyDescent="0.25">
      <c r="A1359" s="2" t="s">
        <v>3065</v>
      </c>
      <c r="B1359" s="3" t="s">
        <v>5015</v>
      </c>
      <c r="C1359" s="3">
        <v>24</v>
      </c>
      <c r="D1359" s="46" t="str">
        <f>IF(Tabla1[[#This Row],[EDAD]]&lt;=35,"Adultos jóvenes 18 - 35 años",IF(C1359&gt;=36,"Adultos mayores 36 años en adelante"))</f>
        <v>Adultos jóvenes 18 - 35 años</v>
      </c>
      <c r="E1359" s="3" t="s">
        <v>5017</v>
      </c>
      <c r="F1359" s="3" t="s">
        <v>5027</v>
      </c>
      <c r="G1359" s="3" t="s">
        <v>5037</v>
      </c>
      <c r="H1359" s="3" t="s">
        <v>8088</v>
      </c>
      <c r="I1359" s="17">
        <v>45624</v>
      </c>
      <c r="J1359" s="18">
        <f>YEAR(Tabla1[[#This Row],[FECHA DE COMPRA]])</f>
        <v>2024</v>
      </c>
      <c r="K1359" s="19">
        <v>153.29</v>
      </c>
      <c r="L1359" s="20">
        <v>0</v>
      </c>
      <c r="M1359" s="19">
        <f>Tienda!$K1789-Tienda!$K1789*Tienda!$L1789</f>
        <v>66.78</v>
      </c>
      <c r="N1359" s="3" t="s">
        <v>10038</v>
      </c>
      <c r="O1359" s="3" t="s">
        <v>10041</v>
      </c>
      <c r="P1359" s="17">
        <v>45477</v>
      </c>
      <c r="Q1359" s="4">
        <v>0</v>
      </c>
    </row>
    <row r="1360" spans="1:17" x14ac:dyDescent="0.25">
      <c r="A1360" s="2" t="s">
        <v>4788</v>
      </c>
      <c r="B1360" s="3" t="s">
        <v>5015</v>
      </c>
      <c r="C1360" s="3">
        <v>20</v>
      </c>
      <c r="D1360" s="46" t="str">
        <f>IF(Tabla1[[#This Row],[EDAD]]&lt;=35,"Adultos jóvenes 18 - 35 años",IF(C1360&gt;=36,"Adultos mayores 36 años en adelante"))</f>
        <v>Adultos jóvenes 18 - 35 años</v>
      </c>
      <c r="E1360" s="3" t="s">
        <v>5019</v>
      </c>
      <c r="F1360" s="3" t="s">
        <v>5027</v>
      </c>
      <c r="G1360" s="3" t="s">
        <v>5035</v>
      </c>
      <c r="H1360" s="3" t="s">
        <v>9811</v>
      </c>
      <c r="I1360" s="17">
        <v>45424</v>
      </c>
      <c r="J1360" s="18">
        <f>YEAR(Tabla1[[#This Row],[FECHA DE COMPRA]])</f>
        <v>2024</v>
      </c>
      <c r="K1360" s="19">
        <v>155.63</v>
      </c>
      <c r="L1360" s="20">
        <v>0</v>
      </c>
      <c r="M1360" s="19">
        <f>Tienda!$K1797-Tienda!$K1797*Tienda!$L1797</f>
        <v>125.45599999999999</v>
      </c>
      <c r="N1360" s="3" t="s">
        <v>10038</v>
      </c>
      <c r="O1360" s="3" t="s">
        <v>10041</v>
      </c>
      <c r="P1360" s="17">
        <v>45424</v>
      </c>
      <c r="Q1360" s="4">
        <v>0</v>
      </c>
    </row>
    <row r="1361" spans="1:17" x14ac:dyDescent="0.25">
      <c r="A1361" s="2" t="s">
        <v>4806</v>
      </c>
      <c r="B1361" s="3" t="s">
        <v>5016</v>
      </c>
      <c r="C1361" s="3">
        <v>29</v>
      </c>
      <c r="D1361" s="46" t="str">
        <f>IF(Tabla1[[#This Row],[EDAD]]&lt;=35,"Adultos jóvenes 18 - 35 años",IF(C1361&gt;=36,"Adultos mayores 36 años en adelante"))</f>
        <v>Adultos jóvenes 18 - 35 años</v>
      </c>
      <c r="E1361" s="3" t="s">
        <v>5021</v>
      </c>
      <c r="F1361" s="3" t="s">
        <v>5028</v>
      </c>
      <c r="G1361" s="3" t="s">
        <v>5035</v>
      </c>
      <c r="H1361" s="3" t="s">
        <v>9829</v>
      </c>
      <c r="I1361" s="17">
        <v>45618</v>
      </c>
      <c r="J1361" s="18">
        <f>YEAR(Tabla1[[#This Row],[FECHA DE COMPRA]])</f>
        <v>2024</v>
      </c>
      <c r="K1361" s="19">
        <v>197.8</v>
      </c>
      <c r="L1361" s="20">
        <v>0.2</v>
      </c>
      <c r="M1361" s="19">
        <f>Tienda!$K1810-Tienda!$K1810*Tienda!$L1810</f>
        <v>153.315</v>
      </c>
      <c r="N1361" s="3" t="s">
        <v>10038</v>
      </c>
      <c r="O1361" s="3" t="s">
        <v>10041</v>
      </c>
      <c r="P1361" s="17">
        <v>45468</v>
      </c>
      <c r="Q1361" s="4">
        <v>0</v>
      </c>
    </row>
    <row r="1362" spans="1:17" x14ac:dyDescent="0.25">
      <c r="A1362" s="2" t="s">
        <v>3477</v>
      </c>
      <c r="B1362" s="3" t="s">
        <v>5015</v>
      </c>
      <c r="C1362" s="3">
        <v>23</v>
      </c>
      <c r="D1362" s="46" t="str">
        <f>IF(Tabla1[[#This Row],[EDAD]]&lt;=35,"Adultos jóvenes 18 - 35 años",IF(C1362&gt;=36,"Adultos mayores 36 años en adelante"))</f>
        <v>Adultos jóvenes 18 - 35 años</v>
      </c>
      <c r="E1362" s="3" t="s">
        <v>5021</v>
      </c>
      <c r="F1362" s="3" t="s">
        <v>5029</v>
      </c>
      <c r="G1362" s="3" t="s">
        <v>5034</v>
      </c>
      <c r="H1362" s="3" t="s">
        <v>8500</v>
      </c>
      <c r="I1362" s="17">
        <v>45624</v>
      </c>
      <c r="J1362" s="18">
        <f>YEAR(Tabla1[[#This Row],[FECHA DE COMPRA]])</f>
        <v>2024</v>
      </c>
      <c r="K1362" s="19">
        <v>158.30000000000001</v>
      </c>
      <c r="L1362" s="20">
        <v>0</v>
      </c>
      <c r="M1362" s="19">
        <f>Tienda!$K1811-Tienda!$K1811*Tienda!$L1811</f>
        <v>149.80799999999999</v>
      </c>
      <c r="N1362" s="3" t="s">
        <v>10038</v>
      </c>
      <c r="O1362" s="3" t="s">
        <v>10041</v>
      </c>
      <c r="P1362" s="17">
        <v>45481</v>
      </c>
      <c r="Q1362" s="4">
        <v>0</v>
      </c>
    </row>
    <row r="1363" spans="1:17" x14ac:dyDescent="0.25">
      <c r="A1363" s="2" t="s">
        <v>1532</v>
      </c>
      <c r="B1363" s="3" t="s">
        <v>5015</v>
      </c>
      <c r="C1363" s="3">
        <v>20</v>
      </c>
      <c r="D1363" s="46" t="str">
        <f>IF(Tabla1[[#This Row],[EDAD]]&lt;=35,"Adultos jóvenes 18 - 35 años",IF(C1363&gt;=36,"Adultos mayores 36 años en adelante"))</f>
        <v>Adultos jóvenes 18 - 35 años</v>
      </c>
      <c r="E1363" s="3" t="s">
        <v>5022</v>
      </c>
      <c r="F1363" s="3" t="s">
        <v>5030</v>
      </c>
      <c r="G1363" s="3" t="s">
        <v>5033</v>
      </c>
      <c r="H1363" s="3" t="s">
        <v>6555</v>
      </c>
      <c r="I1363" s="17">
        <v>45618</v>
      </c>
      <c r="J1363" s="18">
        <f>YEAR(Tabla1[[#This Row],[FECHA DE COMPRA]])</f>
        <v>2024</v>
      </c>
      <c r="K1363" s="19">
        <v>159.09</v>
      </c>
      <c r="L1363" s="20">
        <v>0</v>
      </c>
      <c r="M1363" s="19">
        <f>Tienda!$K1813-Tienda!$K1813*Tienda!$L1813</f>
        <v>192.55</v>
      </c>
      <c r="N1363" s="3" t="s">
        <v>10038</v>
      </c>
      <c r="O1363" s="3" t="s">
        <v>10041</v>
      </c>
      <c r="P1363" s="17">
        <v>45470</v>
      </c>
      <c r="Q1363" s="4">
        <v>0</v>
      </c>
    </row>
    <row r="1364" spans="1:17" x14ac:dyDescent="0.25">
      <c r="A1364" s="2" t="s">
        <v>780</v>
      </c>
      <c r="B1364" s="3" t="s">
        <v>5016</v>
      </c>
      <c r="C1364" s="3">
        <v>29</v>
      </c>
      <c r="D1364" s="46" t="str">
        <f>IF(Tabla1[[#This Row],[EDAD]]&lt;=35,"Adultos jóvenes 18 - 35 años",IF(C1364&gt;=36,"Adultos mayores 36 años en adelante"))</f>
        <v>Adultos jóvenes 18 - 35 años</v>
      </c>
      <c r="E1364" s="3" t="s">
        <v>5019</v>
      </c>
      <c r="F1364" s="3" t="s">
        <v>5029</v>
      </c>
      <c r="G1364" s="3" t="s">
        <v>5037</v>
      </c>
      <c r="H1364" s="3" t="s">
        <v>5803</v>
      </c>
      <c r="I1364" s="17">
        <v>45476</v>
      </c>
      <c r="J1364" s="18">
        <f>YEAR(Tabla1[[#This Row],[FECHA DE COMPRA]])</f>
        <v>2024</v>
      </c>
      <c r="K1364" s="19">
        <v>177.45</v>
      </c>
      <c r="L1364" s="20">
        <v>0.1</v>
      </c>
      <c r="M1364" s="19">
        <f>Tienda!$K1816-Tienda!$K1816*Tienda!$L1816</f>
        <v>22.6</v>
      </c>
      <c r="N1364" s="3" t="s">
        <v>10038</v>
      </c>
      <c r="O1364" s="3" t="s">
        <v>10041</v>
      </c>
      <c r="P1364" s="17">
        <v>45476</v>
      </c>
      <c r="Q1364" s="4">
        <v>0</v>
      </c>
    </row>
    <row r="1365" spans="1:17" x14ac:dyDescent="0.25">
      <c r="A1365" s="2" t="s">
        <v>4565</v>
      </c>
      <c r="B1365" s="3" t="s">
        <v>5015</v>
      </c>
      <c r="C1365" s="3">
        <v>21</v>
      </c>
      <c r="D1365" s="46" t="str">
        <f>IF(Tabla1[[#This Row],[EDAD]]&lt;=35,"Adultos jóvenes 18 - 35 años",IF(C1365&gt;=36,"Adultos mayores 36 años en adelante"))</f>
        <v>Adultos jóvenes 18 - 35 años</v>
      </c>
      <c r="E1365" s="3" t="s">
        <v>5023</v>
      </c>
      <c r="F1365" s="3" t="s">
        <v>5024</v>
      </c>
      <c r="G1365" s="3" t="s">
        <v>5034</v>
      </c>
      <c r="H1365" s="3" t="s">
        <v>9588</v>
      </c>
      <c r="I1365" s="17">
        <v>45333</v>
      </c>
      <c r="J1365" s="18">
        <f>YEAR(Tabla1[[#This Row],[FECHA DE COMPRA]])</f>
        <v>2024</v>
      </c>
      <c r="K1365" s="19">
        <v>160.52000000000001</v>
      </c>
      <c r="L1365" s="20">
        <v>0</v>
      </c>
      <c r="M1365" s="19">
        <f>Tienda!$K1818-Tienda!$K1818*Tienda!$L1818</f>
        <v>29.24</v>
      </c>
      <c r="N1365" s="3" t="s">
        <v>10038</v>
      </c>
      <c r="O1365" s="3" t="s">
        <v>10041</v>
      </c>
      <c r="P1365" s="17">
        <v>45333</v>
      </c>
      <c r="Q1365" s="4">
        <v>0</v>
      </c>
    </row>
    <row r="1366" spans="1:17" x14ac:dyDescent="0.25">
      <c r="A1366" s="2" t="s">
        <v>1493</v>
      </c>
      <c r="B1366" s="3" t="s">
        <v>5016</v>
      </c>
      <c r="C1366" s="3">
        <v>32</v>
      </c>
      <c r="D1366" s="46" t="str">
        <f>IF(Tabla1[[#This Row],[EDAD]]&lt;=35,"Adultos jóvenes 18 - 35 años",IF(C1366&gt;=36,"Adultos mayores 36 años en adelante"))</f>
        <v>Adultos jóvenes 18 - 35 años</v>
      </c>
      <c r="E1366" s="3" t="s">
        <v>5021</v>
      </c>
      <c r="F1366" s="3" t="s">
        <v>5027</v>
      </c>
      <c r="G1366" s="3" t="s">
        <v>5033</v>
      </c>
      <c r="H1366" s="3" t="s">
        <v>6516</v>
      </c>
      <c r="I1366" s="17">
        <v>45473</v>
      </c>
      <c r="J1366" s="18">
        <f>YEAR(Tabla1[[#This Row],[FECHA DE COMPRA]])</f>
        <v>2024</v>
      </c>
      <c r="K1366" s="19">
        <v>162.63999999999999</v>
      </c>
      <c r="L1366" s="20">
        <v>0</v>
      </c>
      <c r="M1366" s="19">
        <f>Tienda!$K1821-Tienda!$K1821*Tienda!$L1821</f>
        <v>82.032000000000011</v>
      </c>
      <c r="N1366" s="3" t="s">
        <v>10038</v>
      </c>
      <c r="O1366" s="3" t="s">
        <v>10041</v>
      </c>
      <c r="P1366" s="17">
        <v>45473</v>
      </c>
      <c r="Q1366" s="4">
        <v>0</v>
      </c>
    </row>
    <row r="1367" spans="1:17" x14ac:dyDescent="0.25">
      <c r="A1367" s="2" t="s">
        <v>2282</v>
      </c>
      <c r="B1367" s="3" t="s">
        <v>5016</v>
      </c>
      <c r="C1367" s="3">
        <v>31</v>
      </c>
      <c r="D1367" s="46" t="str">
        <f>IF(Tabla1[[#This Row],[EDAD]]&lt;=35,"Adultos jóvenes 18 - 35 años",IF(C1367&gt;=36,"Adultos mayores 36 años en adelante"))</f>
        <v>Adultos jóvenes 18 - 35 años</v>
      </c>
      <c r="E1367" s="3" t="s">
        <v>5021</v>
      </c>
      <c r="F1367" s="3" t="s">
        <v>5024</v>
      </c>
      <c r="G1367" s="3" t="s">
        <v>5031</v>
      </c>
      <c r="H1367" s="3" t="s">
        <v>7305</v>
      </c>
      <c r="I1367" s="17">
        <v>45641</v>
      </c>
      <c r="J1367" s="18">
        <f>YEAR(Tabla1[[#This Row],[FECHA DE COMPRA]])</f>
        <v>2024</v>
      </c>
      <c r="K1367" s="19">
        <v>166.3</v>
      </c>
      <c r="L1367" s="20">
        <v>0</v>
      </c>
      <c r="M1367" s="19">
        <f>Tienda!$K1828-Tienda!$K1828*Tienda!$L1828</f>
        <v>134.56099999999998</v>
      </c>
      <c r="N1367" s="3" t="s">
        <v>10038</v>
      </c>
      <c r="O1367" s="3" t="s">
        <v>10041</v>
      </c>
      <c r="P1367" s="17">
        <v>45641</v>
      </c>
      <c r="Q1367" s="4">
        <v>0</v>
      </c>
    </row>
    <row r="1368" spans="1:17" x14ac:dyDescent="0.25">
      <c r="A1368" s="2" t="s">
        <v>3432</v>
      </c>
      <c r="B1368" s="3" t="s">
        <v>5016</v>
      </c>
      <c r="C1368" s="3">
        <v>24</v>
      </c>
      <c r="D1368" s="46" t="str">
        <f>IF(Tabla1[[#This Row],[EDAD]]&lt;=35,"Adultos jóvenes 18 - 35 años",IF(C1368&gt;=36,"Adultos mayores 36 años en adelante"))</f>
        <v>Adultos jóvenes 18 - 35 años</v>
      </c>
      <c r="E1368" s="3" t="s">
        <v>5023</v>
      </c>
      <c r="F1368" s="3" t="s">
        <v>5030</v>
      </c>
      <c r="G1368" s="3" t="s">
        <v>5031</v>
      </c>
      <c r="H1368" s="3" t="s">
        <v>8455</v>
      </c>
      <c r="I1368" s="17">
        <v>45649</v>
      </c>
      <c r="J1368" s="18">
        <f>YEAR(Tabla1[[#This Row],[FECHA DE COMPRA]])</f>
        <v>2024</v>
      </c>
      <c r="K1368" s="19">
        <v>185.83</v>
      </c>
      <c r="L1368" s="20">
        <v>0.1</v>
      </c>
      <c r="M1368" s="19">
        <f>Tienda!$K1833-Tienda!$K1833*Tienda!$L1833</f>
        <v>86.48</v>
      </c>
      <c r="N1368" s="3" t="s">
        <v>10038</v>
      </c>
      <c r="O1368" s="3" t="s">
        <v>10041</v>
      </c>
      <c r="P1368" s="17">
        <v>45649</v>
      </c>
      <c r="Q1368" s="4">
        <v>0</v>
      </c>
    </row>
    <row r="1369" spans="1:17" x14ac:dyDescent="0.25">
      <c r="A1369" s="2" t="s">
        <v>2587</v>
      </c>
      <c r="B1369" s="3" t="s">
        <v>5015</v>
      </c>
      <c r="C1369" s="3">
        <v>34</v>
      </c>
      <c r="D1369" s="46" t="str">
        <f>IF(Tabla1[[#This Row],[EDAD]]&lt;=35,"Adultos jóvenes 18 - 35 años",IF(C1369&gt;=36,"Adultos mayores 36 años en adelante"))</f>
        <v>Adultos jóvenes 18 - 35 años</v>
      </c>
      <c r="E1369" s="3" t="s">
        <v>5020</v>
      </c>
      <c r="F1369" s="3" t="s">
        <v>5024</v>
      </c>
      <c r="G1369" s="3" t="s">
        <v>5037</v>
      </c>
      <c r="H1369" s="3" t="s">
        <v>7610</v>
      </c>
      <c r="I1369" s="17">
        <v>45649</v>
      </c>
      <c r="J1369" s="18">
        <f>YEAR(Tabla1[[#This Row],[FECHA DE COMPRA]])</f>
        <v>2024</v>
      </c>
      <c r="K1369" s="19">
        <v>187.4</v>
      </c>
      <c r="L1369" s="20">
        <v>0.1</v>
      </c>
      <c r="M1369" s="19">
        <f>Tienda!$K1835-Tienda!$K1835*Tienda!$L1835</f>
        <v>76.467999999999989</v>
      </c>
      <c r="N1369" s="3" t="s">
        <v>10038</v>
      </c>
      <c r="O1369" s="3" t="s">
        <v>10041</v>
      </c>
      <c r="P1369" s="17">
        <v>45293</v>
      </c>
      <c r="Q1369" s="4">
        <v>0</v>
      </c>
    </row>
    <row r="1370" spans="1:17" x14ac:dyDescent="0.25">
      <c r="A1370" s="2" t="s">
        <v>3222</v>
      </c>
      <c r="B1370" s="3" t="s">
        <v>5016</v>
      </c>
      <c r="C1370" s="3">
        <v>34</v>
      </c>
      <c r="D1370" s="46" t="str">
        <f>IF(Tabla1[[#This Row],[EDAD]]&lt;=35,"Adultos jóvenes 18 - 35 años",IF(C1370&gt;=36,"Adultos mayores 36 años en adelante"))</f>
        <v>Adultos jóvenes 18 - 35 años</v>
      </c>
      <c r="E1370" s="3" t="s">
        <v>5019</v>
      </c>
      <c r="F1370" s="3" t="s">
        <v>5028</v>
      </c>
      <c r="G1370" s="3" t="s">
        <v>5035</v>
      </c>
      <c r="H1370" s="3" t="s">
        <v>8245</v>
      </c>
      <c r="I1370" s="17">
        <v>45582</v>
      </c>
      <c r="J1370" s="18">
        <f>YEAR(Tabla1[[#This Row],[FECHA DE COMPRA]])</f>
        <v>2024</v>
      </c>
      <c r="K1370" s="19">
        <v>194.55</v>
      </c>
      <c r="L1370" s="20">
        <v>0.1</v>
      </c>
      <c r="M1370" s="19">
        <f>Tienda!$K1851-Tienda!$K1851*Tienda!$L1851</f>
        <v>127.206</v>
      </c>
      <c r="N1370" s="3" t="s">
        <v>10038</v>
      </c>
      <c r="O1370" s="3" t="s">
        <v>10041</v>
      </c>
      <c r="P1370" s="17">
        <v>45582</v>
      </c>
      <c r="Q1370" s="4">
        <v>0</v>
      </c>
    </row>
    <row r="1371" spans="1:17" x14ac:dyDescent="0.25">
      <c r="A1371" s="2" t="s">
        <v>3389</v>
      </c>
      <c r="B1371" s="3" t="s">
        <v>5015</v>
      </c>
      <c r="C1371" s="3">
        <v>22</v>
      </c>
      <c r="D1371" s="46" t="str">
        <f>IF(Tabla1[[#This Row],[EDAD]]&lt;=35,"Adultos jóvenes 18 - 35 años",IF(C1371&gt;=36,"Adultos mayores 36 años en adelante"))</f>
        <v>Adultos jóvenes 18 - 35 años</v>
      </c>
      <c r="E1371" s="3" t="s">
        <v>5022</v>
      </c>
      <c r="F1371" s="3" t="s">
        <v>5028</v>
      </c>
      <c r="G1371" s="3" t="s">
        <v>5036</v>
      </c>
      <c r="H1371" s="3" t="s">
        <v>8412</v>
      </c>
      <c r="I1371" s="17">
        <v>45582</v>
      </c>
      <c r="J1371" s="18">
        <f>YEAR(Tabla1[[#This Row],[FECHA DE COMPRA]])</f>
        <v>2024</v>
      </c>
      <c r="K1371" s="19">
        <v>196.7</v>
      </c>
      <c r="L1371" s="20">
        <v>0.1</v>
      </c>
      <c r="M1371" s="19">
        <f>Tienda!$K1855-Tienda!$K1855*Tienda!$L1855</f>
        <v>169.452</v>
      </c>
      <c r="N1371" s="3" t="s">
        <v>10038</v>
      </c>
      <c r="O1371" s="3" t="s">
        <v>10041</v>
      </c>
      <c r="P1371" s="17">
        <v>45582</v>
      </c>
      <c r="Q1371" s="4">
        <v>0</v>
      </c>
    </row>
    <row r="1372" spans="1:17" x14ac:dyDescent="0.25">
      <c r="A1372" s="2" t="s">
        <v>3056</v>
      </c>
      <c r="B1372" s="3" t="s">
        <v>5015</v>
      </c>
      <c r="C1372" s="3">
        <v>22</v>
      </c>
      <c r="D1372" s="46" t="str">
        <f>IF(Tabla1[[#This Row],[EDAD]]&lt;=35,"Adultos jóvenes 18 - 35 años",IF(C1372&gt;=36,"Adultos mayores 36 años en adelante"))</f>
        <v>Adultos jóvenes 18 - 35 años</v>
      </c>
      <c r="E1372" s="3" t="s">
        <v>5018</v>
      </c>
      <c r="F1372" s="3" t="s">
        <v>5024</v>
      </c>
      <c r="G1372" s="3" t="s">
        <v>5033</v>
      </c>
      <c r="H1372" s="3" t="s">
        <v>8079</v>
      </c>
      <c r="I1372" s="17">
        <v>45627</v>
      </c>
      <c r="J1372" s="18">
        <f>YEAR(Tabla1[[#This Row],[FECHA DE COMPRA]])</f>
        <v>2024</v>
      </c>
      <c r="K1372" s="19">
        <v>197.59</v>
      </c>
      <c r="L1372" s="20">
        <v>0</v>
      </c>
      <c r="M1372" s="19">
        <f>Tienda!$K1882-Tienda!$K1882*Tienda!$L1882</f>
        <v>52.388000000000005</v>
      </c>
      <c r="N1372" s="3" t="s">
        <v>10038</v>
      </c>
      <c r="O1372" s="3" t="s">
        <v>10041</v>
      </c>
      <c r="P1372" s="17">
        <v>45627</v>
      </c>
      <c r="Q1372" s="4">
        <v>0</v>
      </c>
    </row>
    <row r="1373" spans="1:17" x14ac:dyDescent="0.25">
      <c r="A1373" s="2" t="s">
        <v>3376</v>
      </c>
      <c r="B1373" s="3" t="s">
        <v>5016</v>
      </c>
      <c r="C1373" s="3">
        <v>18</v>
      </c>
      <c r="D1373" s="46" t="str">
        <f>IF(Tabla1[[#This Row],[EDAD]]&lt;=35,"Adultos jóvenes 18 - 35 años",IF(C1373&gt;=36,"Adultos mayores 36 años en adelante"))</f>
        <v>Adultos jóvenes 18 - 35 años</v>
      </c>
      <c r="E1373" s="3" t="s">
        <v>5017</v>
      </c>
      <c r="F1373" s="3" t="s">
        <v>5029</v>
      </c>
      <c r="G1373" s="3" t="s">
        <v>5032</v>
      </c>
      <c r="H1373" s="3" t="s">
        <v>8399</v>
      </c>
      <c r="I1373" s="17">
        <v>45437</v>
      </c>
      <c r="J1373" s="18">
        <f>YEAR(Tabla1[[#This Row],[FECHA DE COMPRA]])</f>
        <v>2024</v>
      </c>
      <c r="K1373" s="19">
        <v>51.3</v>
      </c>
      <c r="L1373" s="20">
        <v>0.3</v>
      </c>
      <c r="M1373" s="19">
        <f>Tienda!$K1973-Tienda!$K1973*Tienda!$L1973</f>
        <v>11.64</v>
      </c>
      <c r="N1373" s="3" t="s">
        <v>10038</v>
      </c>
      <c r="O1373" s="3" t="s">
        <v>10041</v>
      </c>
      <c r="P1373" s="17">
        <v>45797</v>
      </c>
      <c r="Q1373" s="4">
        <v>0</v>
      </c>
    </row>
    <row r="1374" spans="1:17" x14ac:dyDescent="0.25">
      <c r="A1374" s="2" t="s">
        <v>348</v>
      </c>
      <c r="B1374" s="3" t="s">
        <v>5015</v>
      </c>
      <c r="C1374" s="3">
        <v>31</v>
      </c>
      <c r="D1374" s="46" t="str">
        <f>IF(Tabla1[[#This Row],[EDAD]]&lt;=35,"Adultos jóvenes 18 - 35 años",IF(C1374&gt;=36,"Adultos mayores 36 años en adelante"))</f>
        <v>Adultos jóvenes 18 - 35 años</v>
      </c>
      <c r="E1374" s="3" t="s">
        <v>5023</v>
      </c>
      <c r="F1374" s="3" t="s">
        <v>5029</v>
      </c>
      <c r="G1374" s="3" t="s">
        <v>5035</v>
      </c>
      <c r="H1374" s="3" t="s">
        <v>5371</v>
      </c>
      <c r="I1374" s="17">
        <v>45593</v>
      </c>
      <c r="J1374" s="18">
        <f>YEAR(Tabla1[[#This Row],[FECHA DE COMPRA]])</f>
        <v>2024</v>
      </c>
      <c r="K1374" s="19">
        <v>51.62</v>
      </c>
      <c r="L1374" s="20">
        <v>0.3</v>
      </c>
      <c r="M1374" s="19">
        <f>Tienda!$K1976-Tienda!$K1976*Tienda!$L1976</f>
        <v>141.49600000000001</v>
      </c>
      <c r="N1374" s="3" t="s">
        <v>10038</v>
      </c>
      <c r="O1374" s="3" t="s">
        <v>10041</v>
      </c>
      <c r="P1374" s="17">
        <v>45863</v>
      </c>
      <c r="Q1374" s="4">
        <v>0</v>
      </c>
    </row>
    <row r="1375" spans="1:17" x14ac:dyDescent="0.25">
      <c r="A1375" s="2" t="s">
        <v>3660</v>
      </c>
      <c r="B1375" s="3" t="s">
        <v>5015</v>
      </c>
      <c r="C1375" s="3">
        <v>33</v>
      </c>
      <c r="D1375" s="46" t="str">
        <f>IF(Tabla1[[#This Row],[EDAD]]&lt;=35,"Adultos jóvenes 18 - 35 años",IF(C1375&gt;=36,"Adultos mayores 36 años en adelante"))</f>
        <v>Adultos jóvenes 18 - 35 años</v>
      </c>
      <c r="E1375" s="3" t="s">
        <v>5020</v>
      </c>
      <c r="F1375" s="3" t="s">
        <v>5026</v>
      </c>
      <c r="G1375" s="3" t="s">
        <v>5031</v>
      </c>
      <c r="H1375" s="3" t="s">
        <v>8683</v>
      </c>
      <c r="I1375" s="17">
        <v>45601</v>
      </c>
      <c r="J1375" s="18">
        <f>YEAR(Tabla1[[#This Row],[FECHA DE COMPRA]])</f>
        <v>2024</v>
      </c>
      <c r="K1375" s="19">
        <v>53.22</v>
      </c>
      <c r="L1375" s="20">
        <v>0.3</v>
      </c>
      <c r="M1375" s="19">
        <f>Tienda!$K1986-Tienda!$K1986*Tienda!$L1986</f>
        <v>9.7279999999999998</v>
      </c>
      <c r="N1375" s="3" t="s">
        <v>10038</v>
      </c>
      <c r="O1375" s="3" t="s">
        <v>10041</v>
      </c>
      <c r="P1375" s="17">
        <v>45871</v>
      </c>
      <c r="Q1375" s="4">
        <v>0</v>
      </c>
    </row>
    <row r="1376" spans="1:17" x14ac:dyDescent="0.25">
      <c r="A1376" s="2" t="s">
        <v>1685</v>
      </c>
      <c r="B1376" s="3" t="s">
        <v>5015</v>
      </c>
      <c r="C1376" s="3">
        <v>26</v>
      </c>
      <c r="D1376" s="46" t="str">
        <f>IF(Tabla1[[#This Row],[EDAD]]&lt;=35,"Adultos jóvenes 18 - 35 años",IF(C1376&gt;=36,"Adultos mayores 36 años en adelante"))</f>
        <v>Adultos jóvenes 18 - 35 años</v>
      </c>
      <c r="E1376" s="3" t="s">
        <v>5018</v>
      </c>
      <c r="F1376" s="3" t="s">
        <v>5029</v>
      </c>
      <c r="G1376" s="3" t="s">
        <v>5032</v>
      </c>
      <c r="H1376" s="3" t="s">
        <v>6708</v>
      </c>
      <c r="I1376" s="17">
        <v>45325</v>
      </c>
      <c r="J1376" s="18">
        <f>YEAR(Tabla1[[#This Row],[FECHA DE COMPRA]])</f>
        <v>2024</v>
      </c>
      <c r="K1376" s="19">
        <v>37.4</v>
      </c>
      <c r="L1376" s="20">
        <v>0</v>
      </c>
      <c r="M1376" s="19">
        <f>Tienda!$K1988-Tienda!$K1988*Tienda!$L1988</f>
        <v>81.768000000000001</v>
      </c>
      <c r="N1376" s="3" t="s">
        <v>10038</v>
      </c>
      <c r="O1376" s="3" t="s">
        <v>10041</v>
      </c>
      <c r="P1376" s="17">
        <v>45325</v>
      </c>
      <c r="Q1376" s="4">
        <v>0</v>
      </c>
    </row>
    <row r="1377" spans="1:17" x14ac:dyDescent="0.25">
      <c r="A1377" s="2" t="s">
        <v>339</v>
      </c>
      <c r="B1377" s="3" t="s">
        <v>5015</v>
      </c>
      <c r="C1377" s="3">
        <v>25</v>
      </c>
      <c r="D1377" s="46" t="str">
        <f>IF(Tabla1[[#This Row],[EDAD]]&lt;=35,"Adultos jóvenes 18 - 35 años",IF(C1377&gt;=36,"Adultos mayores 36 años en adelante"))</f>
        <v>Adultos jóvenes 18 - 35 años</v>
      </c>
      <c r="E1377" s="3" t="s">
        <v>5019</v>
      </c>
      <c r="F1377" s="3" t="s">
        <v>5026</v>
      </c>
      <c r="G1377" s="3" t="s">
        <v>5037</v>
      </c>
      <c r="H1377" s="3" t="s">
        <v>5362</v>
      </c>
      <c r="I1377" s="17">
        <v>45402</v>
      </c>
      <c r="J1377" s="18">
        <f>YEAR(Tabla1[[#This Row],[FECHA DE COMPRA]])</f>
        <v>2024</v>
      </c>
      <c r="K1377" s="19">
        <v>37.4</v>
      </c>
      <c r="L1377" s="20">
        <v>0</v>
      </c>
      <c r="M1377" s="19">
        <f>Tienda!$K1989-Tienda!$K1989*Tienda!$L1989</f>
        <v>97.02</v>
      </c>
      <c r="N1377" s="3" t="s">
        <v>10038</v>
      </c>
      <c r="O1377" s="3" t="s">
        <v>10041</v>
      </c>
      <c r="P1377" s="17">
        <v>45402</v>
      </c>
      <c r="Q1377" s="4">
        <v>0</v>
      </c>
    </row>
    <row r="1378" spans="1:17" x14ac:dyDescent="0.25">
      <c r="A1378" s="2" t="s">
        <v>4220</v>
      </c>
      <c r="B1378" s="3" t="s">
        <v>5016</v>
      </c>
      <c r="C1378" s="3">
        <v>21</v>
      </c>
      <c r="D1378" s="46" t="str">
        <f>IF(Tabla1[[#This Row],[EDAD]]&lt;=35,"Adultos jóvenes 18 - 35 años",IF(C1378&gt;=36,"Adultos mayores 36 años en adelante"))</f>
        <v>Adultos jóvenes 18 - 35 años</v>
      </c>
      <c r="E1378" s="3" t="s">
        <v>5023</v>
      </c>
      <c r="F1378" s="3" t="s">
        <v>5028</v>
      </c>
      <c r="G1378" s="3" t="s">
        <v>5031</v>
      </c>
      <c r="H1378" s="3" t="s">
        <v>9243</v>
      </c>
      <c r="I1378" s="17">
        <v>45351</v>
      </c>
      <c r="J1378" s="18">
        <f>YEAR(Tabla1[[#This Row],[FECHA DE COMPRA]])</f>
        <v>2024</v>
      </c>
      <c r="K1378" s="19">
        <v>46.87</v>
      </c>
      <c r="L1378" s="20">
        <v>0.2</v>
      </c>
      <c r="M1378" s="19">
        <f>Tienda!$K1990-Tienda!$K1990*Tienda!$L1990</f>
        <v>127.36</v>
      </c>
      <c r="N1378" s="3" t="s">
        <v>10038</v>
      </c>
      <c r="O1378" s="3" t="s">
        <v>10041</v>
      </c>
      <c r="P1378" s="17">
        <v>45351</v>
      </c>
      <c r="Q1378" s="4">
        <v>0</v>
      </c>
    </row>
    <row r="1379" spans="1:17" x14ac:dyDescent="0.25">
      <c r="A1379" s="2" t="s">
        <v>2547</v>
      </c>
      <c r="B1379" s="3" t="s">
        <v>5015</v>
      </c>
      <c r="C1379" s="3">
        <v>24</v>
      </c>
      <c r="D1379" s="46" t="str">
        <f>IF(Tabla1[[#This Row],[EDAD]]&lt;=35,"Adultos jóvenes 18 - 35 años",IF(C1379&gt;=36,"Adultos mayores 36 años en adelante"))</f>
        <v>Adultos jóvenes 18 - 35 años</v>
      </c>
      <c r="E1379" s="3" t="s">
        <v>5022</v>
      </c>
      <c r="F1379" s="3" t="s">
        <v>5029</v>
      </c>
      <c r="G1379" s="3" t="s">
        <v>5037</v>
      </c>
      <c r="H1379" s="3" t="s">
        <v>7570</v>
      </c>
      <c r="I1379" s="17">
        <v>45393</v>
      </c>
      <c r="J1379" s="18">
        <f>YEAR(Tabla1[[#This Row],[FECHA DE COMPRA]])</f>
        <v>2024</v>
      </c>
      <c r="K1379" s="19">
        <v>53.59</v>
      </c>
      <c r="L1379" s="20">
        <v>0.3</v>
      </c>
      <c r="M1379" s="19">
        <f>Tienda!$K1991-Tienda!$K1991*Tienda!$L1991</f>
        <v>34.49</v>
      </c>
      <c r="N1379" s="3" t="s">
        <v>10038</v>
      </c>
      <c r="O1379" s="3" t="s">
        <v>10041</v>
      </c>
      <c r="P1379" s="17">
        <v>45393</v>
      </c>
      <c r="Q1379" s="4">
        <v>0</v>
      </c>
    </row>
    <row r="1380" spans="1:17" x14ac:dyDescent="0.25">
      <c r="A1380" s="2" t="s">
        <v>4250</v>
      </c>
      <c r="B1380" s="3" t="s">
        <v>5015</v>
      </c>
      <c r="C1380" s="3">
        <v>26</v>
      </c>
      <c r="D1380" s="46" t="str">
        <f>IF(Tabla1[[#This Row],[EDAD]]&lt;=35,"Adultos jóvenes 18 - 35 años",IF(C1380&gt;=36,"Adultos mayores 36 años en adelante"))</f>
        <v>Adultos jóvenes 18 - 35 años</v>
      </c>
      <c r="E1380" s="3" t="s">
        <v>5020</v>
      </c>
      <c r="F1380" s="3" t="s">
        <v>5025</v>
      </c>
      <c r="G1380" s="3" t="s">
        <v>5036</v>
      </c>
      <c r="H1380" s="3" t="s">
        <v>9273</v>
      </c>
      <c r="I1380" s="17">
        <v>45647</v>
      </c>
      <c r="J1380" s="18">
        <f>YEAR(Tabla1[[#This Row],[FECHA DE COMPRA]])</f>
        <v>2024</v>
      </c>
      <c r="K1380" s="19">
        <v>47.34</v>
      </c>
      <c r="L1380" s="20">
        <v>0.2</v>
      </c>
      <c r="M1380" s="19">
        <f>Tienda!$K1996-Tienda!$K1996*Tienda!$L1996</f>
        <v>45.216000000000001</v>
      </c>
      <c r="N1380" s="3" t="s">
        <v>10038</v>
      </c>
      <c r="O1380" s="3" t="s">
        <v>10041</v>
      </c>
      <c r="P1380" s="17">
        <v>45737</v>
      </c>
      <c r="Q1380" s="4">
        <v>0</v>
      </c>
    </row>
    <row r="1381" spans="1:17" x14ac:dyDescent="0.25">
      <c r="A1381" s="2" t="s">
        <v>245</v>
      </c>
      <c r="B1381" s="3" t="s">
        <v>5015</v>
      </c>
      <c r="C1381" s="3">
        <v>24</v>
      </c>
      <c r="D1381" s="46" t="str">
        <f>IF(Tabla1[[#This Row],[EDAD]]&lt;=35,"Adultos jóvenes 18 - 35 años",IF(C1381&gt;=36,"Adultos mayores 36 años en adelante"))</f>
        <v>Adultos jóvenes 18 - 35 años</v>
      </c>
      <c r="E1381" s="3" t="s">
        <v>5018</v>
      </c>
      <c r="F1381" s="3" t="s">
        <v>5027</v>
      </c>
      <c r="G1381" s="3" t="s">
        <v>5035</v>
      </c>
      <c r="H1381" s="3" t="s">
        <v>5268</v>
      </c>
      <c r="I1381" s="17">
        <v>45627</v>
      </c>
      <c r="J1381" s="18">
        <f>YEAR(Tabla1[[#This Row],[FECHA DE COMPRA]])</f>
        <v>2024</v>
      </c>
      <c r="K1381" s="19">
        <v>54.84</v>
      </c>
      <c r="L1381" s="20">
        <v>0.3</v>
      </c>
      <c r="M1381" s="19">
        <f>Tienda!$K2001-Tienda!$K2001*Tienda!$L2001</f>
        <v>88.951999999999998</v>
      </c>
      <c r="N1381" s="3" t="s">
        <v>10038</v>
      </c>
      <c r="O1381" s="3" t="s">
        <v>10041</v>
      </c>
      <c r="P1381" s="17">
        <v>45807</v>
      </c>
      <c r="Q1381" s="4">
        <v>0</v>
      </c>
    </row>
    <row r="1382" spans="1:17" x14ac:dyDescent="0.25">
      <c r="A1382" s="2" t="s">
        <v>3003</v>
      </c>
      <c r="B1382" s="3" t="s">
        <v>5015</v>
      </c>
      <c r="C1382" s="3">
        <v>34</v>
      </c>
      <c r="D1382" s="46" t="str">
        <f>IF(Tabla1[[#This Row],[EDAD]]&lt;=35,"Adultos jóvenes 18 - 35 años",IF(C1382&gt;=36,"Adultos mayores 36 años en adelante"))</f>
        <v>Adultos jóvenes 18 - 35 años</v>
      </c>
      <c r="E1382" s="3" t="s">
        <v>5022</v>
      </c>
      <c r="F1382" s="3" t="s">
        <v>5030</v>
      </c>
      <c r="G1382" s="3" t="s">
        <v>5037</v>
      </c>
      <c r="H1382" s="3" t="s">
        <v>8026</v>
      </c>
      <c r="I1382" s="17">
        <v>45336</v>
      </c>
      <c r="J1382" s="18">
        <f>YEAR(Tabla1[[#This Row],[FECHA DE COMPRA]])</f>
        <v>2024</v>
      </c>
      <c r="K1382" s="19">
        <v>55.1</v>
      </c>
      <c r="L1382" s="20">
        <v>0.3</v>
      </c>
      <c r="M1382" s="19">
        <f>Tienda!$K2003-Tienda!$K2003*Tienda!$L2003</f>
        <v>85.103999999999999</v>
      </c>
      <c r="N1382" s="3" t="s">
        <v>10038</v>
      </c>
      <c r="O1382" s="3" t="s">
        <v>10041</v>
      </c>
      <c r="P1382" s="17">
        <v>45516</v>
      </c>
      <c r="Q1382" s="4">
        <v>0</v>
      </c>
    </row>
    <row r="1383" spans="1:17" x14ac:dyDescent="0.25">
      <c r="A1383" s="2" t="s">
        <v>4642</v>
      </c>
      <c r="B1383" s="3" t="s">
        <v>5015</v>
      </c>
      <c r="C1383" s="3">
        <v>35</v>
      </c>
      <c r="D1383" s="46" t="str">
        <f>IF(Tabla1[[#This Row],[EDAD]]&lt;=35,"Adultos jóvenes 18 - 35 años",IF(C1383&gt;=36,"Adultos mayores 36 años en adelante"))</f>
        <v>Adultos jóvenes 18 - 35 años</v>
      </c>
      <c r="E1383" s="3" t="s">
        <v>5018</v>
      </c>
      <c r="F1383" s="3" t="s">
        <v>5028</v>
      </c>
      <c r="G1383" s="3" t="s">
        <v>5036</v>
      </c>
      <c r="H1383" s="3" t="s">
        <v>9665</v>
      </c>
      <c r="I1383" s="17">
        <v>45351</v>
      </c>
      <c r="J1383" s="18">
        <f>YEAR(Tabla1[[#This Row],[FECHA DE COMPRA]])</f>
        <v>2024</v>
      </c>
      <c r="K1383" s="19">
        <v>49.01</v>
      </c>
      <c r="L1383" s="20">
        <v>0.2</v>
      </c>
      <c r="M1383" s="19">
        <f>Tienda!$K2009-Tienda!$K2009*Tienda!$L2009</f>
        <v>17.822000000000003</v>
      </c>
      <c r="N1383" s="3" t="s">
        <v>10038</v>
      </c>
      <c r="O1383" s="3" t="s">
        <v>10041</v>
      </c>
      <c r="P1383" s="17">
        <v>45531</v>
      </c>
      <c r="Q1383" s="4">
        <v>0</v>
      </c>
    </row>
    <row r="1384" spans="1:17" x14ac:dyDescent="0.25">
      <c r="A1384" s="2" t="s">
        <v>3830</v>
      </c>
      <c r="B1384" s="3" t="s">
        <v>5015</v>
      </c>
      <c r="C1384" s="3">
        <v>35</v>
      </c>
      <c r="D1384" s="46" t="str">
        <f>IF(Tabla1[[#This Row],[EDAD]]&lt;=35,"Adultos jóvenes 18 - 35 años",IF(C1384&gt;=36,"Adultos mayores 36 años en adelante"))</f>
        <v>Adultos jóvenes 18 - 35 años</v>
      </c>
      <c r="E1384" s="3" t="s">
        <v>5022</v>
      </c>
      <c r="F1384" s="3" t="s">
        <v>5027</v>
      </c>
      <c r="G1384" s="3" t="s">
        <v>5032</v>
      </c>
      <c r="H1384" s="3" t="s">
        <v>8853</v>
      </c>
      <c r="I1384" s="17">
        <v>45322</v>
      </c>
      <c r="J1384" s="18">
        <f>YEAR(Tabla1[[#This Row],[FECHA DE COMPRA]])</f>
        <v>2024</v>
      </c>
      <c r="K1384" s="19">
        <v>56.08</v>
      </c>
      <c r="L1384" s="20">
        <v>0.3</v>
      </c>
      <c r="M1384" s="19">
        <f>Tienda!$K2010-Tienda!$K2010*Tienda!$L2010</f>
        <v>82.99199999999999</v>
      </c>
      <c r="N1384" s="3" t="s">
        <v>10038</v>
      </c>
      <c r="O1384" s="3" t="s">
        <v>10041</v>
      </c>
      <c r="P1384" s="17">
        <v>45502</v>
      </c>
      <c r="Q1384" s="4">
        <v>0</v>
      </c>
    </row>
    <row r="1385" spans="1:17" x14ac:dyDescent="0.25">
      <c r="A1385" s="2" t="s">
        <v>906</v>
      </c>
      <c r="B1385" s="3" t="s">
        <v>5015</v>
      </c>
      <c r="C1385" s="3">
        <v>34</v>
      </c>
      <c r="D1385" s="46" t="str">
        <f>IF(Tabla1[[#This Row],[EDAD]]&lt;=35,"Adultos jóvenes 18 - 35 años",IF(C1385&gt;=36,"Adultos mayores 36 años en adelante"))</f>
        <v>Adultos jóvenes 18 - 35 años</v>
      </c>
      <c r="E1385" s="3" t="s">
        <v>5023</v>
      </c>
      <c r="F1385" s="3" t="s">
        <v>5028</v>
      </c>
      <c r="G1385" s="3" t="s">
        <v>5037</v>
      </c>
      <c r="H1385" s="3" t="s">
        <v>5929</v>
      </c>
      <c r="I1385" s="17">
        <v>45644</v>
      </c>
      <c r="J1385" s="18">
        <f>YEAR(Tabla1[[#This Row],[FECHA DE COMPRA]])</f>
        <v>2024</v>
      </c>
      <c r="K1385" s="19">
        <v>43.88</v>
      </c>
      <c r="L1385" s="20">
        <v>0.1</v>
      </c>
      <c r="M1385" s="19">
        <f>Tienda!$K2013-Tienda!$K2013*Tienda!$L2013</f>
        <v>151.63</v>
      </c>
      <c r="N1385" s="3" t="s">
        <v>10038</v>
      </c>
      <c r="O1385" s="3" t="s">
        <v>10041</v>
      </c>
      <c r="P1385" s="17">
        <v>45824</v>
      </c>
      <c r="Q1385" s="4">
        <v>0</v>
      </c>
    </row>
    <row r="1386" spans="1:17" x14ac:dyDescent="0.25">
      <c r="A1386" s="2" t="s">
        <v>1648</v>
      </c>
      <c r="B1386" s="3" t="s">
        <v>5015</v>
      </c>
      <c r="C1386" s="3">
        <v>20</v>
      </c>
      <c r="D1386" s="46" t="str">
        <f>IF(Tabla1[[#This Row],[EDAD]]&lt;=35,"Adultos jóvenes 18 - 35 años",IF(C1386&gt;=36,"Adultos mayores 36 años en adelante"))</f>
        <v>Adultos jóvenes 18 - 35 años</v>
      </c>
      <c r="E1386" s="3" t="s">
        <v>5020</v>
      </c>
      <c r="F1386" s="3" t="s">
        <v>5027</v>
      </c>
      <c r="G1386" s="3" t="s">
        <v>5036</v>
      </c>
      <c r="H1386" s="3" t="s">
        <v>6671</v>
      </c>
      <c r="I1386" s="17">
        <v>45328</v>
      </c>
      <c r="J1386" s="18">
        <f>YEAR(Tabla1[[#This Row],[FECHA DE COMPRA]])</f>
        <v>2024</v>
      </c>
      <c r="K1386" s="19">
        <v>44.67</v>
      </c>
      <c r="L1386" s="20">
        <v>0.1</v>
      </c>
      <c r="M1386" s="19">
        <f>Tienda!$K2020-Tienda!$K2020*Tienda!$L2020</f>
        <v>81.578000000000003</v>
      </c>
      <c r="N1386" s="3" t="s">
        <v>10038</v>
      </c>
      <c r="O1386" s="3" t="s">
        <v>10041</v>
      </c>
      <c r="P1386" s="17">
        <v>45328</v>
      </c>
      <c r="Q1386" s="4">
        <v>0</v>
      </c>
    </row>
    <row r="1387" spans="1:17" x14ac:dyDescent="0.25">
      <c r="A1387" s="2" t="s">
        <v>1277</v>
      </c>
      <c r="B1387" s="3" t="s">
        <v>5016</v>
      </c>
      <c r="C1387" s="3">
        <v>31</v>
      </c>
      <c r="D1387" s="46" t="str">
        <f>IF(Tabla1[[#This Row],[EDAD]]&lt;=35,"Adultos jóvenes 18 - 35 años",IF(C1387&gt;=36,"Adultos mayores 36 años en adelante"))</f>
        <v>Adultos jóvenes 18 - 35 años</v>
      </c>
      <c r="E1387" s="3" t="s">
        <v>5019</v>
      </c>
      <c r="F1387" s="3" t="s">
        <v>5029</v>
      </c>
      <c r="G1387" s="3" t="s">
        <v>5036</v>
      </c>
      <c r="H1387" s="3" t="s">
        <v>6300</v>
      </c>
      <c r="I1387" s="17">
        <v>45414</v>
      </c>
      <c r="J1387" s="18">
        <f>YEAR(Tabla1[[#This Row],[FECHA DE COMPRA]])</f>
        <v>2024</v>
      </c>
      <c r="K1387" s="19">
        <v>51.41</v>
      </c>
      <c r="L1387" s="20">
        <v>0.2</v>
      </c>
      <c r="M1387" s="19">
        <f>Tienda!$K2029-Tienda!$K2029*Tienda!$L2029</f>
        <v>108.06400000000001</v>
      </c>
      <c r="N1387" s="3" t="s">
        <v>10038</v>
      </c>
      <c r="O1387" s="3" t="s">
        <v>10042</v>
      </c>
      <c r="P1387" s="17">
        <v>45414</v>
      </c>
      <c r="Q1387" s="4">
        <v>3</v>
      </c>
    </row>
    <row r="1388" spans="1:17" x14ac:dyDescent="0.25">
      <c r="A1388" s="2" t="s">
        <v>1093</v>
      </c>
      <c r="B1388" s="3" t="s">
        <v>5015</v>
      </c>
      <c r="C1388" s="3">
        <v>22</v>
      </c>
      <c r="D1388" s="46" t="str">
        <f>IF(Tabla1[[#This Row],[EDAD]]&lt;=35,"Adultos jóvenes 18 - 35 años",IF(C1388&gt;=36,"Adultos mayores 36 años en adelante"))</f>
        <v>Adultos jóvenes 18 - 35 años</v>
      </c>
      <c r="E1388" s="3" t="s">
        <v>5021</v>
      </c>
      <c r="F1388" s="3" t="s">
        <v>5030</v>
      </c>
      <c r="G1388" s="3" t="s">
        <v>5032</v>
      </c>
      <c r="H1388" s="3" t="s">
        <v>6116</v>
      </c>
      <c r="I1388" s="17">
        <v>45651</v>
      </c>
      <c r="J1388" s="18">
        <f>YEAR(Tabla1[[#This Row],[FECHA DE COMPRA]])</f>
        <v>2024</v>
      </c>
      <c r="K1388" s="19">
        <v>52.2</v>
      </c>
      <c r="L1388" s="20">
        <v>0.2</v>
      </c>
      <c r="M1388" s="19">
        <f>Tienda!$K2031-Tienda!$K2031*Tienda!$L2031</f>
        <v>74.688000000000002</v>
      </c>
      <c r="N1388" s="3" t="s">
        <v>10038</v>
      </c>
      <c r="O1388" s="3" t="s">
        <v>10042</v>
      </c>
      <c r="P1388" s="17">
        <v>45921</v>
      </c>
      <c r="Q1388" s="4">
        <v>3</v>
      </c>
    </row>
    <row r="1389" spans="1:17" x14ac:dyDescent="0.25">
      <c r="A1389" s="2" t="s">
        <v>2744</v>
      </c>
      <c r="B1389" s="3" t="s">
        <v>5016</v>
      </c>
      <c r="C1389" s="3">
        <v>22</v>
      </c>
      <c r="D1389" s="46" t="str">
        <f>IF(Tabla1[[#This Row],[EDAD]]&lt;=35,"Adultos jóvenes 18 - 35 años",IF(C1389&gt;=36,"Adultos mayores 36 años en adelante"))</f>
        <v>Adultos jóvenes 18 - 35 años</v>
      </c>
      <c r="E1389" s="3" t="s">
        <v>5023</v>
      </c>
      <c r="F1389" s="3" t="s">
        <v>5029</v>
      </c>
      <c r="G1389" s="3" t="s">
        <v>5032</v>
      </c>
      <c r="H1389" s="3" t="s">
        <v>7767</v>
      </c>
      <c r="I1389" s="17">
        <v>45410</v>
      </c>
      <c r="J1389" s="18">
        <f>YEAR(Tabla1[[#This Row],[FECHA DE COMPRA]])</f>
        <v>2024</v>
      </c>
      <c r="K1389" s="19">
        <v>53.07</v>
      </c>
      <c r="L1389" s="20">
        <v>0.2</v>
      </c>
      <c r="M1389" s="19">
        <f>Tienda!$K2038-Tienda!$K2038*Tienda!$L2038</f>
        <v>121.48800000000001</v>
      </c>
      <c r="N1389" s="3" t="s">
        <v>10038</v>
      </c>
      <c r="O1389" s="3" t="s">
        <v>10042</v>
      </c>
      <c r="P1389" s="17">
        <v>45410</v>
      </c>
      <c r="Q1389" s="4">
        <v>3</v>
      </c>
    </row>
    <row r="1390" spans="1:17" x14ac:dyDescent="0.25">
      <c r="A1390" s="2" t="s">
        <v>127</v>
      </c>
      <c r="B1390" s="3" t="s">
        <v>5016</v>
      </c>
      <c r="C1390" s="3">
        <v>26</v>
      </c>
      <c r="D1390" s="46" t="str">
        <f>IF(Tabla1[[#This Row],[EDAD]]&lt;=35,"Adultos jóvenes 18 - 35 años",IF(C1390&gt;=36,"Adultos mayores 36 años en adelante"))</f>
        <v>Adultos jóvenes 18 - 35 años</v>
      </c>
      <c r="E1390" s="3" t="s">
        <v>5021</v>
      </c>
      <c r="F1390" s="3" t="s">
        <v>5030</v>
      </c>
      <c r="G1390" s="3" t="s">
        <v>5035</v>
      </c>
      <c r="H1390" s="3" t="s">
        <v>5150</v>
      </c>
      <c r="I1390" s="17">
        <v>45343</v>
      </c>
      <c r="J1390" s="18">
        <f>YEAR(Tabla1[[#This Row],[FECHA DE COMPRA]])</f>
        <v>2024</v>
      </c>
      <c r="K1390" s="19">
        <v>48.38</v>
      </c>
      <c r="L1390" s="20">
        <v>0.1</v>
      </c>
      <c r="M1390" s="19">
        <f>Tienda!$K2046-Tienda!$K2046*Tienda!$L2046</f>
        <v>102.137</v>
      </c>
      <c r="N1390" s="3" t="s">
        <v>10038</v>
      </c>
      <c r="O1390" s="3" t="s">
        <v>10042</v>
      </c>
      <c r="P1390" s="17">
        <v>45613</v>
      </c>
      <c r="Q1390" s="4">
        <v>3</v>
      </c>
    </row>
    <row r="1391" spans="1:17" x14ac:dyDescent="0.25">
      <c r="A1391" s="2" t="s">
        <v>952</v>
      </c>
      <c r="B1391" s="3" t="s">
        <v>5015</v>
      </c>
      <c r="C1391" s="3">
        <v>20</v>
      </c>
      <c r="D1391" s="46" t="str">
        <f>IF(Tabla1[[#This Row],[EDAD]]&lt;=35,"Adultos jóvenes 18 - 35 años",IF(C1391&gt;=36,"Adultos mayores 36 años en adelante"))</f>
        <v>Adultos jóvenes 18 - 35 años</v>
      </c>
      <c r="E1391" s="3" t="s">
        <v>5020</v>
      </c>
      <c r="F1391" s="3" t="s">
        <v>5029</v>
      </c>
      <c r="G1391" s="3" t="s">
        <v>5036</v>
      </c>
      <c r="H1391" s="3" t="s">
        <v>5975</v>
      </c>
      <c r="I1391" s="17">
        <v>45371</v>
      </c>
      <c r="J1391" s="18">
        <f>YEAR(Tabla1[[#This Row],[FECHA DE COMPRA]])</f>
        <v>2024</v>
      </c>
      <c r="K1391" s="19">
        <v>44.46</v>
      </c>
      <c r="L1391" s="20">
        <v>0</v>
      </c>
      <c r="M1391" s="19">
        <f>Tienda!$K2054-Tienda!$K2054*Tienda!$L2054</f>
        <v>53.731999999999999</v>
      </c>
      <c r="N1391" s="3" t="s">
        <v>10038</v>
      </c>
      <c r="O1391" s="3" t="s">
        <v>10042</v>
      </c>
      <c r="P1391" s="17">
        <v>45551</v>
      </c>
      <c r="Q1391" s="4">
        <v>3</v>
      </c>
    </row>
    <row r="1392" spans="1:17" x14ac:dyDescent="0.25">
      <c r="A1392" s="2" t="s">
        <v>2896</v>
      </c>
      <c r="B1392" s="3" t="s">
        <v>5015</v>
      </c>
      <c r="C1392" s="3">
        <v>32</v>
      </c>
      <c r="D1392" s="46" t="str">
        <f>IF(Tabla1[[#This Row],[EDAD]]&lt;=35,"Adultos jóvenes 18 - 35 años",IF(C1392&gt;=36,"Adultos mayores 36 años en adelante"))</f>
        <v>Adultos jóvenes 18 - 35 años</v>
      </c>
      <c r="E1392" s="3" t="s">
        <v>5023</v>
      </c>
      <c r="F1392" s="3" t="s">
        <v>5024</v>
      </c>
      <c r="G1392" s="3" t="s">
        <v>5035</v>
      </c>
      <c r="H1392" s="3" t="s">
        <v>7919</v>
      </c>
      <c r="I1392" s="17">
        <v>45416</v>
      </c>
      <c r="J1392" s="18">
        <f>YEAR(Tabla1[[#This Row],[FECHA DE COMPRA]])</f>
        <v>2024</v>
      </c>
      <c r="K1392" s="19">
        <v>49.41</v>
      </c>
      <c r="L1392" s="20">
        <v>0.1</v>
      </c>
      <c r="M1392" s="19">
        <f>Tienda!$K2055-Tienda!$K2055*Tienda!$L2055</f>
        <v>46.504000000000005</v>
      </c>
      <c r="N1392" s="3" t="s">
        <v>10038</v>
      </c>
      <c r="O1392" s="3" t="s">
        <v>10042</v>
      </c>
      <c r="P1392" s="17">
        <v>45416</v>
      </c>
      <c r="Q1392" s="4">
        <v>3</v>
      </c>
    </row>
    <row r="1393" spans="1:17" x14ac:dyDescent="0.25">
      <c r="A1393" s="2" t="s">
        <v>1548</v>
      </c>
      <c r="B1393" s="3" t="s">
        <v>5015</v>
      </c>
      <c r="C1393" s="3">
        <v>28</v>
      </c>
      <c r="D1393" s="46" t="str">
        <f>IF(Tabla1[[#This Row],[EDAD]]&lt;=35,"Adultos jóvenes 18 - 35 años",IF(C1393&gt;=36,"Adultos mayores 36 años en adelante"))</f>
        <v>Adultos jóvenes 18 - 35 años</v>
      </c>
      <c r="E1393" s="3" t="s">
        <v>5018</v>
      </c>
      <c r="F1393" s="3" t="s">
        <v>5030</v>
      </c>
      <c r="G1393" s="3" t="s">
        <v>5037</v>
      </c>
      <c r="H1393" s="3" t="s">
        <v>6571</v>
      </c>
      <c r="I1393" s="17">
        <v>45635</v>
      </c>
      <c r="J1393" s="18">
        <f>YEAR(Tabla1[[#This Row],[FECHA DE COMPRA]])</f>
        <v>2024</v>
      </c>
      <c r="K1393" s="19">
        <v>50.71</v>
      </c>
      <c r="L1393" s="20">
        <v>0.1</v>
      </c>
      <c r="M1393" s="19">
        <f>Tienda!$K2064-Tienda!$K2064*Tienda!$L2064</f>
        <v>106.968</v>
      </c>
      <c r="N1393" s="3" t="s">
        <v>10038</v>
      </c>
      <c r="O1393" s="3" t="s">
        <v>10042</v>
      </c>
      <c r="P1393" s="17">
        <v>45446</v>
      </c>
      <c r="Q1393" s="4">
        <v>3</v>
      </c>
    </row>
    <row r="1394" spans="1:17" x14ac:dyDescent="0.25">
      <c r="A1394" s="2" t="s">
        <v>3476</v>
      </c>
      <c r="B1394" s="3" t="s">
        <v>5015</v>
      </c>
      <c r="C1394" s="3">
        <v>32</v>
      </c>
      <c r="D1394" s="46" t="str">
        <f>IF(Tabla1[[#This Row],[EDAD]]&lt;=35,"Adultos jóvenes 18 - 35 años",IF(C1394&gt;=36,"Adultos mayores 36 años en adelante"))</f>
        <v>Adultos jóvenes 18 - 35 años</v>
      </c>
      <c r="E1394" s="3" t="s">
        <v>5021</v>
      </c>
      <c r="F1394" s="3" t="s">
        <v>5028</v>
      </c>
      <c r="G1394" s="3" t="s">
        <v>5035</v>
      </c>
      <c r="H1394" s="3" t="s">
        <v>8499</v>
      </c>
      <c r="I1394" s="17">
        <v>45649</v>
      </c>
      <c r="J1394" s="18">
        <f>YEAR(Tabla1[[#This Row],[FECHA DE COMPRA]])</f>
        <v>2024</v>
      </c>
      <c r="K1394" s="19">
        <v>45.67</v>
      </c>
      <c r="L1394" s="20">
        <v>0</v>
      </c>
      <c r="M1394" s="19">
        <f>Tienda!$K2066-Tienda!$K2066*Tienda!$L2066</f>
        <v>182.19</v>
      </c>
      <c r="N1394" s="3" t="s">
        <v>10038</v>
      </c>
      <c r="O1394" s="3" t="s">
        <v>10042</v>
      </c>
      <c r="P1394" s="17">
        <v>45656</v>
      </c>
      <c r="Q1394" s="4">
        <v>3</v>
      </c>
    </row>
    <row r="1395" spans="1:17" x14ac:dyDescent="0.25">
      <c r="A1395" s="2" t="s">
        <v>584</v>
      </c>
      <c r="B1395" s="3" t="s">
        <v>5015</v>
      </c>
      <c r="C1395" s="3">
        <v>31</v>
      </c>
      <c r="D1395" s="46" t="str">
        <f>IF(Tabla1[[#This Row],[EDAD]]&lt;=35,"Adultos jóvenes 18 - 35 años",IF(C1395&gt;=36,"Adultos mayores 36 años en adelante"))</f>
        <v>Adultos jóvenes 18 - 35 años</v>
      </c>
      <c r="E1395" s="3" t="s">
        <v>5018</v>
      </c>
      <c r="F1395" s="3" t="s">
        <v>5030</v>
      </c>
      <c r="G1395" s="3" t="s">
        <v>5037</v>
      </c>
      <c r="H1395" s="3" t="s">
        <v>5607</v>
      </c>
      <c r="I1395" s="17">
        <v>45414</v>
      </c>
      <c r="J1395" s="18">
        <f>YEAR(Tabla1[[#This Row],[FECHA DE COMPRA]])</f>
        <v>2024</v>
      </c>
      <c r="K1395" s="19">
        <v>65.27</v>
      </c>
      <c r="L1395" s="20">
        <v>0.3</v>
      </c>
      <c r="M1395" s="19">
        <f>Tienda!$K2067-Tienda!$K2067*Tienda!$L2067</f>
        <v>165.76</v>
      </c>
      <c r="N1395" s="3" t="s">
        <v>10038</v>
      </c>
      <c r="O1395" s="3" t="s">
        <v>10042</v>
      </c>
      <c r="P1395" s="17">
        <v>45774</v>
      </c>
      <c r="Q1395" s="4">
        <v>3</v>
      </c>
    </row>
    <row r="1396" spans="1:17" x14ac:dyDescent="0.25">
      <c r="A1396" s="2" t="s">
        <v>2248</v>
      </c>
      <c r="B1396" s="3" t="s">
        <v>5015</v>
      </c>
      <c r="C1396" s="3">
        <v>21</v>
      </c>
      <c r="D1396" s="46" t="str">
        <f>IF(Tabla1[[#This Row],[EDAD]]&lt;=35,"Adultos jóvenes 18 - 35 años",IF(C1396&gt;=36,"Adultos mayores 36 años en adelante"))</f>
        <v>Adultos jóvenes 18 - 35 años</v>
      </c>
      <c r="E1396" s="3" t="s">
        <v>5020</v>
      </c>
      <c r="F1396" s="3" t="s">
        <v>5026</v>
      </c>
      <c r="G1396" s="3" t="s">
        <v>5035</v>
      </c>
      <c r="H1396" s="3" t="s">
        <v>7271</v>
      </c>
      <c r="I1396" s="17">
        <v>45415</v>
      </c>
      <c r="J1396" s="18">
        <f>YEAR(Tabla1[[#This Row],[FECHA DE COMPRA]])</f>
        <v>2024</v>
      </c>
      <c r="K1396" s="19">
        <v>66.37</v>
      </c>
      <c r="L1396" s="20">
        <v>0.3</v>
      </c>
      <c r="M1396" s="19">
        <f>Tienda!$K2072-Tienda!$K2072*Tienda!$L2072</f>
        <v>60.07</v>
      </c>
      <c r="N1396" s="3" t="s">
        <v>10038</v>
      </c>
      <c r="O1396" s="3" t="s">
        <v>10042</v>
      </c>
      <c r="P1396" s="17">
        <v>45505</v>
      </c>
      <c r="Q1396" s="4">
        <v>3</v>
      </c>
    </row>
    <row r="1397" spans="1:17" x14ac:dyDescent="0.25">
      <c r="A1397" s="2" t="s">
        <v>1916</v>
      </c>
      <c r="B1397" s="3" t="s">
        <v>5016</v>
      </c>
      <c r="C1397" s="3">
        <v>24</v>
      </c>
      <c r="D1397" s="46" t="str">
        <f>IF(Tabla1[[#This Row],[EDAD]]&lt;=35,"Adultos jóvenes 18 - 35 años",IF(C1397&gt;=36,"Adultos mayores 36 años en adelante"))</f>
        <v>Adultos jóvenes 18 - 35 años</v>
      </c>
      <c r="E1397" s="3" t="s">
        <v>5023</v>
      </c>
      <c r="F1397" s="3" t="s">
        <v>5027</v>
      </c>
      <c r="G1397" s="3" t="s">
        <v>5032</v>
      </c>
      <c r="H1397" s="3" t="s">
        <v>6939</v>
      </c>
      <c r="I1397" s="17">
        <v>45407</v>
      </c>
      <c r="J1397" s="18">
        <f>YEAR(Tabla1[[#This Row],[FECHA DE COMPRA]])</f>
        <v>2024</v>
      </c>
      <c r="K1397" s="19">
        <v>46.77</v>
      </c>
      <c r="L1397" s="20">
        <v>0</v>
      </c>
      <c r="M1397" s="19">
        <f>Tienda!$K2075-Tienda!$K2075*Tienda!$L2075</f>
        <v>155.52000000000001</v>
      </c>
      <c r="N1397" s="3" t="s">
        <v>10038</v>
      </c>
      <c r="O1397" s="3" t="s">
        <v>10042</v>
      </c>
      <c r="P1397" s="17">
        <v>45407</v>
      </c>
      <c r="Q1397" s="4">
        <v>3</v>
      </c>
    </row>
    <row r="1398" spans="1:17" x14ac:dyDescent="0.25">
      <c r="A1398" s="2" t="s">
        <v>4214</v>
      </c>
      <c r="B1398" s="3" t="s">
        <v>5016</v>
      </c>
      <c r="C1398" s="3">
        <v>34</v>
      </c>
      <c r="D1398" s="46" t="str">
        <f>IF(Tabla1[[#This Row],[EDAD]]&lt;=35,"Adultos jóvenes 18 - 35 años",IF(C1398&gt;=36,"Adultos mayores 36 años en adelante"))</f>
        <v>Adultos jóvenes 18 - 35 años</v>
      </c>
      <c r="E1398" s="3" t="s">
        <v>5019</v>
      </c>
      <c r="F1398" s="3" t="s">
        <v>5024</v>
      </c>
      <c r="G1398" s="3" t="s">
        <v>5033</v>
      </c>
      <c r="H1398" s="3" t="s">
        <v>9237</v>
      </c>
      <c r="I1398" s="17">
        <v>45589</v>
      </c>
      <c r="J1398" s="18">
        <f>YEAR(Tabla1[[#This Row],[FECHA DE COMPRA]])</f>
        <v>2024</v>
      </c>
      <c r="K1398" s="19">
        <v>59.05</v>
      </c>
      <c r="L1398" s="20">
        <v>0.2</v>
      </c>
      <c r="M1398" s="19">
        <f>Tienda!$K2079-Tienda!$K2079*Tienda!$L2079</f>
        <v>48.076000000000008</v>
      </c>
      <c r="N1398" s="3" t="s">
        <v>10038</v>
      </c>
      <c r="O1398" s="3" t="s">
        <v>10042</v>
      </c>
      <c r="P1398" s="17">
        <v>45859</v>
      </c>
      <c r="Q1398" s="4">
        <v>3</v>
      </c>
    </row>
    <row r="1399" spans="1:17" x14ac:dyDescent="0.25">
      <c r="A1399" s="2" t="s">
        <v>3651</v>
      </c>
      <c r="B1399" s="3" t="s">
        <v>5015</v>
      </c>
      <c r="C1399" s="3">
        <v>21</v>
      </c>
      <c r="D1399" s="46" t="str">
        <f>IF(Tabla1[[#This Row],[EDAD]]&lt;=35,"Adultos jóvenes 18 - 35 años",IF(C1399&gt;=36,"Adultos mayores 36 años en adelante"))</f>
        <v>Adultos jóvenes 18 - 35 años</v>
      </c>
      <c r="E1399" s="3" t="s">
        <v>5022</v>
      </c>
      <c r="F1399" s="3" t="s">
        <v>5028</v>
      </c>
      <c r="G1399" s="3" t="s">
        <v>5036</v>
      </c>
      <c r="H1399" s="3" t="s">
        <v>8674</v>
      </c>
      <c r="I1399" s="17">
        <v>45522</v>
      </c>
      <c r="J1399" s="18">
        <f>YEAR(Tabla1[[#This Row],[FECHA DE COMPRA]])</f>
        <v>2024</v>
      </c>
      <c r="K1399" s="19">
        <v>52.92</v>
      </c>
      <c r="L1399" s="20">
        <v>0.1</v>
      </c>
      <c r="M1399" s="19">
        <f>Tienda!$K2082-Tienda!$K2082*Tienda!$L2082</f>
        <v>40.143999999999998</v>
      </c>
      <c r="N1399" s="3" t="s">
        <v>10038</v>
      </c>
      <c r="O1399" s="3" t="s">
        <v>10042</v>
      </c>
      <c r="P1399" s="17">
        <v>45522</v>
      </c>
      <c r="Q1399" s="4">
        <v>3</v>
      </c>
    </row>
    <row r="1400" spans="1:17" x14ac:dyDescent="0.25">
      <c r="A1400" s="2" t="s">
        <v>3734</v>
      </c>
      <c r="B1400" s="3" t="s">
        <v>5016</v>
      </c>
      <c r="C1400" s="3">
        <v>33</v>
      </c>
      <c r="D1400" s="46" t="str">
        <f>IF(Tabla1[[#This Row],[EDAD]]&lt;=35,"Adultos jóvenes 18 - 35 años",IF(C1400&gt;=36,"Adultos mayores 36 años en adelante"))</f>
        <v>Adultos jóvenes 18 - 35 años</v>
      </c>
      <c r="E1400" s="3" t="s">
        <v>5023</v>
      </c>
      <c r="F1400" s="3" t="s">
        <v>5030</v>
      </c>
      <c r="G1400" s="3" t="s">
        <v>5036</v>
      </c>
      <c r="H1400" s="3" t="s">
        <v>8757</v>
      </c>
      <c r="I1400" s="17">
        <v>45391</v>
      </c>
      <c r="J1400" s="18">
        <f>YEAR(Tabla1[[#This Row],[FECHA DE COMPRA]])</f>
        <v>2024</v>
      </c>
      <c r="K1400" s="19">
        <v>47.98</v>
      </c>
      <c r="L1400" s="20">
        <v>0</v>
      </c>
      <c r="M1400" s="19">
        <f>Tienda!$K2085-Tienda!$K2085*Tienda!$L2085</f>
        <v>62.825000000000003</v>
      </c>
      <c r="N1400" s="3" t="s">
        <v>10038</v>
      </c>
      <c r="O1400" s="3" t="s">
        <v>10042</v>
      </c>
      <c r="P1400" s="17">
        <v>45751</v>
      </c>
      <c r="Q1400" s="4">
        <v>3</v>
      </c>
    </row>
    <row r="1401" spans="1:17" x14ac:dyDescent="0.25">
      <c r="A1401" s="2" t="s">
        <v>1932</v>
      </c>
      <c r="B1401" s="3" t="s">
        <v>5015</v>
      </c>
      <c r="C1401" s="3">
        <v>23</v>
      </c>
      <c r="D1401" s="46" t="str">
        <f>IF(Tabla1[[#This Row],[EDAD]]&lt;=35,"Adultos jóvenes 18 - 35 años",IF(C1401&gt;=36,"Adultos mayores 36 años en adelante"))</f>
        <v>Adultos jóvenes 18 - 35 años</v>
      </c>
      <c r="E1401" s="3" t="s">
        <v>5021</v>
      </c>
      <c r="F1401" s="3" t="s">
        <v>5029</v>
      </c>
      <c r="G1401" s="3" t="s">
        <v>5035</v>
      </c>
      <c r="H1401" s="3" t="s">
        <v>6955</v>
      </c>
      <c r="I1401" s="17">
        <v>45571</v>
      </c>
      <c r="J1401" s="18">
        <f>YEAR(Tabla1[[#This Row],[FECHA DE COMPRA]])</f>
        <v>2024</v>
      </c>
      <c r="K1401" s="19">
        <v>68.77</v>
      </c>
      <c r="L1401" s="20">
        <v>0.3</v>
      </c>
      <c r="M1401" s="19">
        <f>Tienda!$K2086-Tienda!$K2086*Tienda!$L2086</f>
        <v>95.228999999999999</v>
      </c>
      <c r="N1401" s="3" t="s">
        <v>10038</v>
      </c>
      <c r="O1401" s="3" t="s">
        <v>10042</v>
      </c>
      <c r="P1401" s="17">
        <v>45931</v>
      </c>
      <c r="Q1401" s="4">
        <v>3</v>
      </c>
    </row>
    <row r="1402" spans="1:17" x14ac:dyDescent="0.25">
      <c r="A1402" s="2" t="s">
        <v>2942</v>
      </c>
      <c r="B1402" s="3" t="s">
        <v>5015</v>
      </c>
      <c r="C1402" s="3">
        <v>22</v>
      </c>
      <c r="D1402" s="46" t="str">
        <f>IF(Tabla1[[#This Row],[EDAD]]&lt;=35,"Adultos jóvenes 18 - 35 años",IF(C1402&gt;=36,"Adultos mayores 36 años en adelante"))</f>
        <v>Adultos jóvenes 18 - 35 años</v>
      </c>
      <c r="E1402" s="3" t="s">
        <v>5022</v>
      </c>
      <c r="F1402" s="3" t="s">
        <v>5030</v>
      </c>
      <c r="G1402" s="3" t="s">
        <v>5031</v>
      </c>
      <c r="H1402" s="3" t="s">
        <v>7965</v>
      </c>
      <c r="I1402" s="17">
        <v>45537</v>
      </c>
      <c r="J1402" s="18">
        <f>YEAR(Tabla1[[#This Row],[FECHA DE COMPRA]])</f>
        <v>2024</v>
      </c>
      <c r="K1402" s="19">
        <v>60.4</v>
      </c>
      <c r="L1402" s="20">
        <v>0.2</v>
      </c>
      <c r="M1402" s="19">
        <f>Tienda!$K2087-Tienda!$K2087*Tienda!$L2087</f>
        <v>29.7</v>
      </c>
      <c r="N1402" s="3" t="s">
        <v>10038</v>
      </c>
      <c r="O1402" s="3" t="s">
        <v>10042</v>
      </c>
      <c r="P1402" s="17">
        <v>45897</v>
      </c>
      <c r="Q1402" s="4">
        <v>3</v>
      </c>
    </row>
    <row r="1403" spans="1:17" x14ac:dyDescent="0.25">
      <c r="A1403" s="2" t="s">
        <v>3115</v>
      </c>
      <c r="B1403" s="3" t="s">
        <v>5015</v>
      </c>
      <c r="C1403" s="3">
        <v>22</v>
      </c>
      <c r="D1403" s="46" t="str">
        <f>IF(Tabla1[[#This Row],[EDAD]]&lt;=35,"Adultos jóvenes 18 - 35 años",IF(C1403&gt;=36,"Adultos mayores 36 años en adelante"))</f>
        <v>Adultos jóvenes 18 - 35 años</v>
      </c>
      <c r="E1403" s="3" t="s">
        <v>5022</v>
      </c>
      <c r="F1403" s="3" t="s">
        <v>5028</v>
      </c>
      <c r="G1403" s="3" t="s">
        <v>5034</v>
      </c>
      <c r="H1403" s="3" t="s">
        <v>8138</v>
      </c>
      <c r="I1403" s="17">
        <v>45455</v>
      </c>
      <c r="J1403" s="18">
        <f>YEAR(Tabla1[[#This Row],[FECHA DE COMPRA]])</f>
        <v>2024</v>
      </c>
      <c r="K1403" s="19">
        <v>69.72</v>
      </c>
      <c r="L1403" s="20">
        <v>0.3</v>
      </c>
      <c r="M1403" s="19">
        <f>Tienda!$K2088-Tienda!$K2088*Tienda!$L2088</f>
        <v>56.9</v>
      </c>
      <c r="N1403" s="3" t="s">
        <v>10038</v>
      </c>
      <c r="O1403" s="3" t="s">
        <v>10042</v>
      </c>
      <c r="P1403" s="17">
        <v>45725</v>
      </c>
      <c r="Q1403" s="4">
        <v>3</v>
      </c>
    </row>
    <row r="1404" spans="1:17" x14ac:dyDescent="0.25">
      <c r="A1404" s="2" t="s">
        <v>3291</v>
      </c>
      <c r="B1404" s="3" t="s">
        <v>5015</v>
      </c>
      <c r="C1404" s="3">
        <v>27</v>
      </c>
      <c r="D1404" s="46" t="str">
        <f>IF(Tabla1[[#This Row],[EDAD]]&lt;=35,"Adultos jóvenes 18 - 35 años",IF(C1404&gt;=36,"Adultos mayores 36 años en adelante"))</f>
        <v>Adultos jóvenes 18 - 35 años</v>
      </c>
      <c r="E1404" s="3" t="s">
        <v>5017</v>
      </c>
      <c r="F1404" s="3" t="s">
        <v>5025</v>
      </c>
      <c r="G1404" s="3" t="s">
        <v>5034</v>
      </c>
      <c r="H1404" s="3" t="s">
        <v>8314</v>
      </c>
      <c r="I1404" s="17">
        <v>45521</v>
      </c>
      <c r="J1404" s="18">
        <f>YEAR(Tabla1[[#This Row],[FECHA DE COMPRA]])</f>
        <v>2024</v>
      </c>
      <c r="K1404" s="19">
        <v>61.29</v>
      </c>
      <c r="L1404" s="20">
        <v>0.2</v>
      </c>
      <c r="M1404" s="19">
        <f>Tienda!$K2090-Tienda!$K2090*Tienda!$L2090</f>
        <v>139.50899999999999</v>
      </c>
      <c r="N1404" s="3" t="s">
        <v>10038</v>
      </c>
      <c r="O1404" s="3" t="s">
        <v>10042</v>
      </c>
      <c r="P1404" s="17">
        <v>45701</v>
      </c>
      <c r="Q1404" s="4">
        <v>3</v>
      </c>
    </row>
    <row r="1405" spans="1:17" x14ac:dyDescent="0.25">
      <c r="A1405" s="2" t="s">
        <v>551</v>
      </c>
      <c r="B1405" s="3" t="s">
        <v>5015</v>
      </c>
      <c r="C1405" s="3">
        <v>18</v>
      </c>
      <c r="D1405" s="46" t="str">
        <f>IF(Tabla1[[#This Row],[EDAD]]&lt;=35,"Adultos jóvenes 18 - 35 años",IF(C1405&gt;=36,"Adultos mayores 36 años en adelante"))</f>
        <v>Adultos jóvenes 18 - 35 años</v>
      </c>
      <c r="E1405" s="3" t="s">
        <v>5017</v>
      </c>
      <c r="F1405" s="3" t="s">
        <v>5026</v>
      </c>
      <c r="G1405" s="3" t="s">
        <v>5036</v>
      </c>
      <c r="H1405" s="3" t="s">
        <v>5574</v>
      </c>
      <c r="I1405" s="17">
        <v>45370</v>
      </c>
      <c r="J1405" s="18">
        <f>YEAR(Tabla1[[#This Row],[FECHA DE COMPRA]])</f>
        <v>2024</v>
      </c>
      <c r="K1405" s="19">
        <v>61.31</v>
      </c>
      <c r="L1405" s="20">
        <v>0.2</v>
      </c>
      <c r="M1405" s="19">
        <f>Tienda!$K2091-Tienda!$K2091*Tienda!$L2091</f>
        <v>130.904</v>
      </c>
      <c r="N1405" s="3" t="s">
        <v>10038</v>
      </c>
      <c r="O1405" s="3" t="s">
        <v>10042</v>
      </c>
      <c r="P1405" s="17">
        <v>45460</v>
      </c>
      <c r="Q1405" s="4">
        <v>3</v>
      </c>
    </row>
    <row r="1406" spans="1:17" x14ac:dyDescent="0.25">
      <c r="A1406" s="2" t="s">
        <v>518</v>
      </c>
      <c r="B1406" s="3" t="s">
        <v>5015</v>
      </c>
      <c r="C1406" s="3">
        <v>27</v>
      </c>
      <c r="D1406" s="46" t="str">
        <f>IF(Tabla1[[#This Row],[EDAD]]&lt;=35,"Adultos jóvenes 18 - 35 años",IF(C1406&gt;=36,"Adultos mayores 36 años en adelante"))</f>
        <v>Adultos jóvenes 18 - 35 años</v>
      </c>
      <c r="E1406" s="3" t="s">
        <v>5021</v>
      </c>
      <c r="F1406" s="3" t="s">
        <v>5024</v>
      </c>
      <c r="G1406" s="3" t="s">
        <v>5033</v>
      </c>
      <c r="H1406" s="3" t="s">
        <v>5541</v>
      </c>
      <c r="I1406" s="17">
        <v>45538</v>
      </c>
      <c r="J1406" s="18">
        <f>YEAR(Tabla1[[#This Row],[FECHA DE COMPRA]])</f>
        <v>2024</v>
      </c>
      <c r="K1406" s="19">
        <v>54.62</v>
      </c>
      <c r="L1406" s="20">
        <v>0.1</v>
      </c>
      <c r="M1406" s="19">
        <f>Tienda!$K2092-Tienda!$K2092*Tienda!$L2092</f>
        <v>58.05</v>
      </c>
      <c r="N1406" s="3" t="s">
        <v>10038</v>
      </c>
      <c r="O1406" s="3" t="s">
        <v>10042</v>
      </c>
      <c r="P1406" s="17">
        <v>45718</v>
      </c>
      <c r="Q1406" s="4">
        <v>3</v>
      </c>
    </row>
    <row r="1407" spans="1:17" x14ac:dyDescent="0.25">
      <c r="A1407" s="2" t="s">
        <v>3012</v>
      </c>
      <c r="B1407" s="3" t="s">
        <v>5015</v>
      </c>
      <c r="C1407" s="3">
        <v>32</v>
      </c>
      <c r="D1407" s="46" t="str">
        <f>IF(Tabla1[[#This Row],[EDAD]]&lt;=35,"Adultos jóvenes 18 - 35 años",IF(C1407&gt;=36,"Adultos mayores 36 años en adelante"))</f>
        <v>Adultos jóvenes 18 - 35 años</v>
      </c>
      <c r="E1407" s="3" t="s">
        <v>5022</v>
      </c>
      <c r="F1407" s="3" t="s">
        <v>5030</v>
      </c>
      <c r="G1407" s="3" t="s">
        <v>5036</v>
      </c>
      <c r="H1407" s="3" t="s">
        <v>8035</v>
      </c>
      <c r="I1407" s="17">
        <v>45371</v>
      </c>
      <c r="J1407" s="18">
        <f>YEAR(Tabla1[[#This Row],[FECHA DE COMPRA]])</f>
        <v>2024</v>
      </c>
      <c r="K1407" s="19">
        <v>71.16</v>
      </c>
      <c r="L1407" s="20">
        <v>0.3</v>
      </c>
      <c r="M1407" s="19">
        <f>Tienda!$K2096-Tienda!$K2096*Tienda!$L2096</f>
        <v>103.401</v>
      </c>
      <c r="N1407" s="3" t="s">
        <v>10038</v>
      </c>
      <c r="O1407" s="3" t="s">
        <v>10042</v>
      </c>
      <c r="P1407" s="17">
        <v>45641</v>
      </c>
      <c r="Q1407" s="4">
        <v>3</v>
      </c>
    </row>
    <row r="1408" spans="1:17" x14ac:dyDescent="0.25">
      <c r="A1408" s="2" t="s">
        <v>169</v>
      </c>
      <c r="B1408" s="3" t="s">
        <v>5015</v>
      </c>
      <c r="C1408" s="3">
        <v>20</v>
      </c>
      <c r="D1408" s="46" t="str">
        <f>IF(Tabla1[[#This Row],[EDAD]]&lt;=35,"Adultos jóvenes 18 - 35 años",IF(C1408&gt;=36,"Adultos mayores 36 años en adelante"))</f>
        <v>Adultos jóvenes 18 - 35 años</v>
      </c>
      <c r="E1408" s="3" t="s">
        <v>5020</v>
      </c>
      <c r="F1408" s="3" t="s">
        <v>5029</v>
      </c>
      <c r="G1408" s="3" t="s">
        <v>5031</v>
      </c>
      <c r="H1408" s="3" t="s">
        <v>5192</v>
      </c>
      <c r="I1408" s="17">
        <v>45369</v>
      </c>
      <c r="J1408" s="18">
        <f>YEAR(Tabla1[[#This Row],[FECHA DE COMPRA]])</f>
        <v>2024</v>
      </c>
      <c r="K1408" s="19">
        <v>71.25</v>
      </c>
      <c r="L1408" s="20">
        <v>0.3</v>
      </c>
      <c r="M1408" s="19">
        <f>Tienda!$K2097-Tienda!$K2097*Tienda!$L2097</f>
        <v>184.02</v>
      </c>
      <c r="N1408" s="3" t="s">
        <v>10038</v>
      </c>
      <c r="O1408" s="3" t="s">
        <v>10042</v>
      </c>
      <c r="P1408" s="17">
        <v>45369</v>
      </c>
      <c r="Q1408" s="4">
        <v>3</v>
      </c>
    </row>
    <row r="1409" spans="1:17" x14ac:dyDescent="0.25">
      <c r="A1409" s="2" t="s">
        <v>955</v>
      </c>
      <c r="B1409" s="3" t="s">
        <v>5015</v>
      </c>
      <c r="C1409" s="3">
        <v>19</v>
      </c>
      <c r="D1409" s="46" t="str">
        <f>IF(Tabla1[[#This Row],[EDAD]]&lt;=35,"Adultos jóvenes 18 - 35 años",IF(C1409&gt;=36,"Adultos mayores 36 años en adelante"))</f>
        <v>Adultos jóvenes 18 - 35 años</v>
      </c>
      <c r="E1409" s="3" t="s">
        <v>5018</v>
      </c>
      <c r="F1409" s="3" t="s">
        <v>5026</v>
      </c>
      <c r="G1409" s="3" t="s">
        <v>5031</v>
      </c>
      <c r="H1409" s="3" t="s">
        <v>5978</v>
      </c>
      <c r="I1409" s="17">
        <v>45623</v>
      </c>
      <c r="J1409" s="18">
        <f>YEAR(Tabla1[[#This Row],[FECHA DE COMPRA]])</f>
        <v>2024</v>
      </c>
      <c r="K1409" s="19">
        <v>50.09</v>
      </c>
      <c r="L1409" s="20">
        <v>0</v>
      </c>
      <c r="M1409" s="19">
        <f>Tienda!$K2098-Tienda!$K2098*Tienda!$L2098</f>
        <v>129.304</v>
      </c>
      <c r="N1409" s="3" t="s">
        <v>10038</v>
      </c>
      <c r="O1409" s="3" t="s">
        <v>10042</v>
      </c>
      <c r="P1409" s="17">
        <v>45803</v>
      </c>
      <c r="Q1409" s="4">
        <v>3</v>
      </c>
    </row>
    <row r="1410" spans="1:17" x14ac:dyDescent="0.25">
      <c r="A1410" s="2" t="s">
        <v>1909</v>
      </c>
      <c r="B1410" s="3" t="s">
        <v>5015</v>
      </c>
      <c r="C1410" s="3">
        <v>25</v>
      </c>
      <c r="D1410" s="46" t="str">
        <f>IF(Tabla1[[#This Row],[EDAD]]&lt;=35,"Adultos jóvenes 18 - 35 años",IF(C1410&gt;=36,"Adultos mayores 36 años en adelante"))</f>
        <v>Adultos jóvenes 18 - 35 años</v>
      </c>
      <c r="E1410" s="3" t="s">
        <v>5020</v>
      </c>
      <c r="F1410" s="3" t="s">
        <v>5029</v>
      </c>
      <c r="G1410" s="3" t="s">
        <v>5033</v>
      </c>
      <c r="H1410" s="3" t="s">
        <v>6932</v>
      </c>
      <c r="I1410" s="17">
        <v>45313</v>
      </c>
      <c r="J1410" s="18">
        <f>YEAR(Tabla1[[#This Row],[FECHA DE COMPRA]])</f>
        <v>2024</v>
      </c>
      <c r="K1410" s="19">
        <v>63.83</v>
      </c>
      <c r="L1410" s="20">
        <v>0.2</v>
      </c>
      <c r="M1410" s="19">
        <f>Tienda!$K2105-Tienda!$K2105*Tienda!$L2105</f>
        <v>28.672000000000004</v>
      </c>
      <c r="N1410" s="3" t="s">
        <v>10038</v>
      </c>
      <c r="O1410" s="3" t="s">
        <v>10042</v>
      </c>
      <c r="P1410" s="17">
        <v>45313</v>
      </c>
      <c r="Q1410" s="4">
        <v>3</v>
      </c>
    </row>
    <row r="1411" spans="1:17" x14ac:dyDescent="0.25">
      <c r="A1411" s="2" t="s">
        <v>3934</v>
      </c>
      <c r="B1411" s="3" t="s">
        <v>5015</v>
      </c>
      <c r="C1411" s="3">
        <v>18</v>
      </c>
      <c r="D1411" s="46" t="str">
        <f>IF(Tabla1[[#This Row],[EDAD]]&lt;=35,"Adultos jóvenes 18 - 35 años",IF(C1411&gt;=36,"Adultos mayores 36 años en adelante"))</f>
        <v>Adultos jóvenes 18 - 35 años</v>
      </c>
      <c r="E1411" s="3" t="s">
        <v>5022</v>
      </c>
      <c r="F1411" s="3" t="s">
        <v>5027</v>
      </c>
      <c r="G1411" s="3" t="s">
        <v>5031</v>
      </c>
      <c r="H1411" s="3" t="s">
        <v>8957</v>
      </c>
      <c r="I1411" s="17">
        <v>45618</v>
      </c>
      <c r="J1411" s="18">
        <f>YEAR(Tabla1[[#This Row],[FECHA DE COMPRA]])</f>
        <v>2024</v>
      </c>
      <c r="K1411" s="19">
        <v>65.239999999999995</v>
      </c>
      <c r="L1411" s="20">
        <v>0.2</v>
      </c>
      <c r="M1411" s="19">
        <f>Tienda!$K2113-Tienda!$K2113*Tienda!$L2113</f>
        <v>101.56</v>
      </c>
      <c r="N1411" s="3" t="s">
        <v>10038</v>
      </c>
      <c r="O1411" s="3" t="s">
        <v>10042</v>
      </c>
      <c r="P1411" s="17">
        <v>45733</v>
      </c>
      <c r="Q1411" s="4">
        <v>3</v>
      </c>
    </row>
    <row r="1412" spans="1:17" x14ac:dyDescent="0.25">
      <c r="A1412" s="2" t="s">
        <v>1535</v>
      </c>
      <c r="B1412" s="3" t="s">
        <v>5016</v>
      </c>
      <c r="C1412" s="3">
        <v>22</v>
      </c>
      <c r="D1412" s="46" t="str">
        <f>IF(Tabla1[[#This Row],[EDAD]]&lt;=35,"Adultos jóvenes 18 - 35 años",IF(C1412&gt;=36,"Adultos mayores 36 años en adelante"))</f>
        <v>Adultos jóvenes 18 - 35 años</v>
      </c>
      <c r="E1412" s="3" t="s">
        <v>5019</v>
      </c>
      <c r="F1412" s="3" t="s">
        <v>5029</v>
      </c>
      <c r="G1412" s="3" t="s">
        <v>5031</v>
      </c>
      <c r="H1412" s="3" t="s">
        <v>6558</v>
      </c>
      <c r="I1412" s="17">
        <v>45309</v>
      </c>
      <c r="J1412" s="18">
        <f>YEAR(Tabla1[[#This Row],[FECHA DE COMPRA]])</f>
        <v>2024</v>
      </c>
      <c r="K1412" s="19">
        <v>75.81</v>
      </c>
      <c r="L1412" s="20">
        <v>0.3</v>
      </c>
      <c r="M1412" s="19">
        <f>Tienda!$K2118-Tienda!$K2118*Tienda!$L2118</f>
        <v>13.728</v>
      </c>
      <c r="N1412" s="3" t="s">
        <v>10038</v>
      </c>
      <c r="O1412" s="3" t="s">
        <v>10042</v>
      </c>
      <c r="P1412" s="17">
        <v>45309</v>
      </c>
      <c r="Q1412" s="4">
        <v>3</v>
      </c>
    </row>
    <row r="1413" spans="1:17" x14ac:dyDescent="0.25">
      <c r="A1413" s="2" t="s">
        <v>4280</v>
      </c>
      <c r="B1413" s="3" t="s">
        <v>5015</v>
      </c>
      <c r="C1413" s="3">
        <v>32</v>
      </c>
      <c r="D1413" s="46" t="str">
        <f>IF(Tabla1[[#This Row],[EDAD]]&lt;=35,"Adultos jóvenes 18 - 35 años",IF(C1413&gt;=36,"Adultos mayores 36 años en adelante"))</f>
        <v>Adultos jóvenes 18 - 35 años</v>
      </c>
      <c r="E1413" s="3" t="s">
        <v>5020</v>
      </c>
      <c r="F1413" s="3" t="s">
        <v>5024</v>
      </c>
      <c r="G1413" s="3" t="s">
        <v>5034</v>
      </c>
      <c r="H1413" s="3" t="s">
        <v>9303</v>
      </c>
      <c r="I1413" s="17">
        <v>45508</v>
      </c>
      <c r="J1413" s="18">
        <f>YEAR(Tabla1[[#This Row],[FECHA DE COMPRA]])</f>
        <v>2024</v>
      </c>
      <c r="K1413" s="19">
        <v>66.44</v>
      </c>
      <c r="L1413" s="20">
        <v>0.2</v>
      </c>
      <c r="M1413" s="19">
        <f>Tienda!$K2121-Tienda!$K2121*Tienda!$L2121</f>
        <v>53.465999999999994</v>
      </c>
      <c r="N1413" s="3" t="s">
        <v>10038</v>
      </c>
      <c r="O1413" s="3" t="s">
        <v>10042</v>
      </c>
      <c r="P1413" s="17">
        <v>45598</v>
      </c>
      <c r="Q1413" s="4">
        <v>3</v>
      </c>
    </row>
    <row r="1414" spans="1:17" x14ac:dyDescent="0.25">
      <c r="A1414" s="2" t="s">
        <v>3440</v>
      </c>
      <c r="B1414" s="3" t="s">
        <v>5016</v>
      </c>
      <c r="C1414" s="3">
        <v>22</v>
      </c>
      <c r="D1414" s="46" t="str">
        <f>IF(Tabla1[[#This Row],[EDAD]]&lt;=35,"Adultos jóvenes 18 - 35 años",IF(C1414&gt;=36,"Adultos mayores 36 años en adelante"))</f>
        <v>Adultos jóvenes 18 - 35 años</v>
      </c>
      <c r="E1414" s="3" t="s">
        <v>5019</v>
      </c>
      <c r="F1414" s="3" t="s">
        <v>5024</v>
      </c>
      <c r="G1414" s="3" t="s">
        <v>5032</v>
      </c>
      <c r="H1414" s="3" t="s">
        <v>8463</v>
      </c>
      <c r="I1414" s="17">
        <v>45455</v>
      </c>
      <c r="J1414" s="18">
        <f>YEAR(Tabla1[[#This Row],[FECHA DE COMPRA]])</f>
        <v>2024</v>
      </c>
      <c r="K1414" s="19">
        <v>76.17</v>
      </c>
      <c r="L1414" s="20">
        <v>0.3</v>
      </c>
      <c r="M1414" s="19">
        <f>Tienda!$K2122-Tienda!$K2122*Tienda!$L2122</f>
        <v>70.744</v>
      </c>
      <c r="N1414" s="3" t="s">
        <v>10038</v>
      </c>
      <c r="O1414" s="3" t="s">
        <v>10042</v>
      </c>
      <c r="P1414" s="17">
        <v>45635</v>
      </c>
      <c r="Q1414" s="4">
        <v>3</v>
      </c>
    </row>
    <row r="1415" spans="1:17" x14ac:dyDescent="0.25">
      <c r="A1415" s="2" t="s">
        <v>1195</v>
      </c>
      <c r="B1415" s="3" t="s">
        <v>5015</v>
      </c>
      <c r="C1415" s="3">
        <v>34</v>
      </c>
      <c r="D1415" s="46" t="str">
        <f>IF(Tabla1[[#This Row],[EDAD]]&lt;=35,"Adultos jóvenes 18 - 35 años",IF(C1415&gt;=36,"Adultos mayores 36 años en adelante"))</f>
        <v>Adultos jóvenes 18 - 35 años</v>
      </c>
      <c r="E1415" s="3" t="s">
        <v>5020</v>
      </c>
      <c r="F1415" s="3" t="s">
        <v>5029</v>
      </c>
      <c r="G1415" s="3" t="s">
        <v>5037</v>
      </c>
      <c r="H1415" s="3" t="s">
        <v>6218</v>
      </c>
      <c r="I1415" s="17">
        <v>45353</v>
      </c>
      <c r="J1415" s="18">
        <f>YEAR(Tabla1[[#This Row],[FECHA DE COMPRA]])</f>
        <v>2024</v>
      </c>
      <c r="K1415" s="19">
        <v>76.69</v>
      </c>
      <c r="L1415" s="20">
        <v>0.3</v>
      </c>
      <c r="M1415" s="19">
        <f>Tienda!$K2127-Tienda!$K2127*Tienda!$L2127</f>
        <v>40.527000000000001</v>
      </c>
      <c r="N1415" s="3" t="s">
        <v>10038</v>
      </c>
      <c r="O1415" s="3" t="s">
        <v>10042</v>
      </c>
      <c r="P1415" s="17">
        <v>45713</v>
      </c>
      <c r="Q1415" s="4">
        <v>3</v>
      </c>
    </row>
    <row r="1416" spans="1:17" x14ac:dyDescent="0.25">
      <c r="A1416" s="2" t="s">
        <v>2703</v>
      </c>
      <c r="B1416" s="3" t="s">
        <v>5015</v>
      </c>
      <c r="C1416" s="3">
        <v>24</v>
      </c>
      <c r="D1416" s="46" t="str">
        <f>IF(Tabla1[[#This Row],[EDAD]]&lt;=35,"Adultos jóvenes 18 - 35 años",IF(C1416&gt;=36,"Adultos mayores 36 años en adelante"))</f>
        <v>Adultos jóvenes 18 - 35 años</v>
      </c>
      <c r="E1416" s="3" t="s">
        <v>5021</v>
      </c>
      <c r="F1416" s="3" t="s">
        <v>5026</v>
      </c>
      <c r="G1416" s="3" t="s">
        <v>5035</v>
      </c>
      <c r="H1416" s="3" t="s">
        <v>7726</v>
      </c>
      <c r="I1416" s="17">
        <v>45519</v>
      </c>
      <c r="J1416" s="18">
        <f>YEAR(Tabla1[[#This Row],[FECHA DE COMPRA]])</f>
        <v>2024</v>
      </c>
      <c r="K1416" s="19">
        <v>60.47</v>
      </c>
      <c r="L1416" s="20">
        <v>0.1</v>
      </c>
      <c r="M1416" s="19">
        <f>Tienda!$K2135-Tienda!$K2135*Tienda!$L2135</f>
        <v>39.78</v>
      </c>
      <c r="N1416" s="3" t="s">
        <v>10038</v>
      </c>
      <c r="O1416" s="3" t="s">
        <v>10042</v>
      </c>
      <c r="P1416" s="17">
        <v>45519</v>
      </c>
      <c r="Q1416" s="4">
        <v>3</v>
      </c>
    </row>
    <row r="1417" spans="1:17" x14ac:dyDescent="0.25">
      <c r="A1417" s="2" t="s">
        <v>4484</v>
      </c>
      <c r="B1417" s="3" t="s">
        <v>5015</v>
      </c>
      <c r="C1417" s="3">
        <v>18</v>
      </c>
      <c r="D1417" s="46" t="str">
        <f>IF(Tabla1[[#This Row],[EDAD]]&lt;=35,"Adultos jóvenes 18 - 35 años",IF(C1417&gt;=36,"Adultos mayores 36 años en adelante"))</f>
        <v>Adultos jóvenes 18 - 35 años</v>
      </c>
      <c r="E1417" s="3" t="s">
        <v>5018</v>
      </c>
      <c r="F1417" s="3" t="s">
        <v>5025</v>
      </c>
      <c r="G1417" s="3" t="s">
        <v>5031</v>
      </c>
      <c r="H1417" s="3" t="s">
        <v>9507</v>
      </c>
      <c r="I1417" s="17">
        <v>45323</v>
      </c>
      <c r="J1417" s="18">
        <f>YEAR(Tabla1[[#This Row],[FECHA DE COMPRA]])</f>
        <v>2024</v>
      </c>
      <c r="K1417" s="19">
        <v>61.02</v>
      </c>
      <c r="L1417" s="20">
        <v>0.1</v>
      </c>
      <c r="M1417" s="19">
        <f>Tienda!$K2140-Tienda!$K2140*Tienda!$L2140</f>
        <v>39.799999999999997</v>
      </c>
      <c r="N1417" s="3" t="s">
        <v>10038</v>
      </c>
      <c r="O1417" s="3" t="s">
        <v>10042</v>
      </c>
      <c r="P1417" s="17">
        <v>45323</v>
      </c>
      <c r="Q1417" s="4">
        <v>3</v>
      </c>
    </row>
    <row r="1418" spans="1:17" x14ac:dyDescent="0.25">
      <c r="A1418" s="2" t="s">
        <v>500</v>
      </c>
      <c r="B1418" s="3" t="s">
        <v>5015</v>
      </c>
      <c r="C1418" s="3">
        <v>24</v>
      </c>
      <c r="D1418" s="46" t="str">
        <f>IF(Tabla1[[#This Row],[EDAD]]&lt;=35,"Adultos jóvenes 18 - 35 años",IF(C1418&gt;=36,"Adultos mayores 36 años en adelante"))</f>
        <v>Adultos jóvenes 18 - 35 años</v>
      </c>
      <c r="E1418" s="3" t="s">
        <v>5018</v>
      </c>
      <c r="F1418" s="3" t="s">
        <v>5028</v>
      </c>
      <c r="G1418" s="3" t="s">
        <v>5032</v>
      </c>
      <c r="H1418" s="3" t="s">
        <v>5523</v>
      </c>
      <c r="I1418" s="17">
        <v>45359</v>
      </c>
      <c r="J1418" s="18">
        <f>YEAR(Tabla1[[#This Row],[FECHA DE COMPRA]])</f>
        <v>2024</v>
      </c>
      <c r="K1418" s="19">
        <v>69.17</v>
      </c>
      <c r="L1418" s="20">
        <v>0.2</v>
      </c>
      <c r="M1418" s="19">
        <f>Tienda!$K2143-Tienda!$K2143*Tienda!$L2143</f>
        <v>44.271000000000001</v>
      </c>
      <c r="N1418" s="3" t="s">
        <v>10038</v>
      </c>
      <c r="O1418" s="3" t="s">
        <v>10042</v>
      </c>
      <c r="P1418" s="17">
        <v>45359</v>
      </c>
      <c r="Q1418" s="4">
        <v>3</v>
      </c>
    </row>
    <row r="1419" spans="1:17" x14ac:dyDescent="0.25">
      <c r="A1419" s="2" t="s">
        <v>319</v>
      </c>
      <c r="B1419" s="3" t="s">
        <v>5015</v>
      </c>
      <c r="C1419" s="3">
        <v>21</v>
      </c>
      <c r="D1419" s="46" t="str">
        <f>IF(Tabla1[[#This Row],[EDAD]]&lt;=35,"Adultos jóvenes 18 - 35 años",IF(C1419&gt;=36,"Adultos mayores 36 años en adelante"))</f>
        <v>Adultos jóvenes 18 - 35 años</v>
      </c>
      <c r="E1419" s="3" t="s">
        <v>5021</v>
      </c>
      <c r="F1419" s="3" t="s">
        <v>5025</v>
      </c>
      <c r="G1419" s="3" t="s">
        <v>5033</v>
      </c>
      <c r="H1419" s="3" t="s">
        <v>5342</v>
      </c>
      <c r="I1419" s="17">
        <v>45335</v>
      </c>
      <c r="J1419" s="18">
        <f>YEAR(Tabla1[[#This Row],[FECHA DE COMPRA]])</f>
        <v>2024</v>
      </c>
      <c r="K1419" s="19">
        <v>79.599999999999994</v>
      </c>
      <c r="L1419" s="20">
        <v>0.3</v>
      </c>
      <c r="M1419" s="19">
        <f>Tienda!$K2147-Tienda!$K2147*Tienda!$L2147</f>
        <v>35.649000000000001</v>
      </c>
      <c r="N1419" s="3" t="s">
        <v>10038</v>
      </c>
      <c r="O1419" s="3" t="s">
        <v>10042</v>
      </c>
      <c r="P1419" s="17">
        <v>45637</v>
      </c>
      <c r="Q1419" s="4">
        <v>3</v>
      </c>
    </row>
    <row r="1420" spans="1:17" x14ac:dyDescent="0.25">
      <c r="A1420" s="2" t="s">
        <v>923</v>
      </c>
      <c r="B1420" s="3" t="s">
        <v>5015</v>
      </c>
      <c r="C1420" s="3">
        <v>26</v>
      </c>
      <c r="D1420" s="46" t="str">
        <f>IF(Tabla1[[#This Row],[EDAD]]&lt;=35,"Adultos jóvenes 18 - 35 años",IF(C1420&gt;=36,"Adultos mayores 36 años en adelante"))</f>
        <v>Adultos jóvenes 18 - 35 años</v>
      </c>
      <c r="E1420" s="3" t="s">
        <v>5019</v>
      </c>
      <c r="F1420" s="3" t="s">
        <v>5029</v>
      </c>
      <c r="G1420" s="3" t="s">
        <v>5032</v>
      </c>
      <c r="H1420" s="3" t="s">
        <v>5946</v>
      </c>
      <c r="I1420" s="17">
        <v>45562</v>
      </c>
      <c r="J1420" s="18">
        <f>YEAR(Tabla1[[#This Row],[FECHA DE COMPRA]])</f>
        <v>2024</v>
      </c>
      <c r="K1420" s="19">
        <v>62.67</v>
      </c>
      <c r="L1420" s="20">
        <v>0.1</v>
      </c>
      <c r="M1420" s="19">
        <f>Tienda!$K2157-Tienda!$K2157*Tienda!$L2157</f>
        <v>117.29900000000001</v>
      </c>
      <c r="N1420" s="3" t="s">
        <v>10038</v>
      </c>
      <c r="O1420" s="3" t="s">
        <v>10042</v>
      </c>
      <c r="P1420" s="17">
        <v>45652</v>
      </c>
      <c r="Q1420" s="4">
        <v>3</v>
      </c>
    </row>
    <row r="1421" spans="1:17" x14ac:dyDescent="0.25">
      <c r="A1421" s="2" t="s">
        <v>4829</v>
      </c>
      <c r="B1421" s="3" t="s">
        <v>5015</v>
      </c>
      <c r="C1421" s="3">
        <v>32</v>
      </c>
      <c r="D1421" s="46" t="str">
        <f>IF(Tabla1[[#This Row],[EDAD]]&lt;=35,"Adultos jóvenes 18 - 35 años",IF(C1421&gt;=36,"Adultos mayores 36 años en adelante"))</f>
        <v>Adultos jóvenes 18 - 35 años</v>
      </c>
      <c r="E1421" s="3" t="s">
        <v>5018</v>
      </c>
      <c r="F1421" s="3" t="s">
        <v>5024</v>
      </c>
      <c r="G1421" s="3" t="s">
        <v>5034</v>
      </c>
      <c r="H1421" s="3" t="s">
        <v>9852</v>
      </c>
      <c r="I1421" s="17">
        <v>45402</v>
      </c>
      <c r="J1421" s="18">
        <f>YEAR(Tabla1[[#This Row],[FECHA DE COMPRA]])</f>
        <v>2024</v>
      </c>
      <c r="K1421" s="19">
        <v>71.31</v>
      </c>
      <c r="L1421" s="20">
        <v>0.2</v>
      </c>
      <c r="M1421" s="19">
        <f>Tienda!$K2164-Tienda!$K2164*Tienda!$L2164</f>
        <v>104.44000000000001</v>
      </c>
      <c r="N1421" s="3" t="s">
        <v>10038</v>
      </c>
      <c r="O1421" s="3" t="s">
        <v>10042</v>
      </c>
      <c r="P1421" s="17">
        <v>45402</v>
      </c>
      <c r="Q1421" s="4">
        <v>3</v>
      </c>
    </row>
    <row r="1422" spans="1:17" x14ac:dyDescent="0.25">
      <c r="A1422" s="2" t="s">
        <v>4483</v>
      </c>
      <c r="B1422" s="3" t="s">
        <v>5015</v>
      </c>
      <c r="C1422" s="3">
        <v>23</v>
      </c>
      <c r="D1422" s="46" t="str">
        <f>IF(Tabla1[[#This Row],[EDAD]]&lt;=35,"Adultos jóvenes 18 - 35 años",IF(C1422&gt;=36,"Adultos mayores 36 años en adelante"))</f>
        <v>Adultos jóvenes 18 - 35 años</v>
      </c>
      <c r="E1422" s="3" t="s">
        <v>5021</v>
      </c>
      <c r="F1422" s="3" t="s">
        <v>5026</v>
      </c>
      <c r="G1422" s="3" t="s">
        <v>5033</v>
      </c>
      <c r="H1422" s="3" t="s">
        <v>9506</v>
      </c>
      <c r="I1422" s="17">
        <v>45520</v>
      </c>
      <c r="J1422" s="18">
        <f>YEAR(Tabla1[[#This Row],[FECHA DE COMPRA]])</f>
        <v>2024</v>
      </c>
      <c r="K1422" s="19">
        <v>81.849999999999994</v>
      </c>
      <c r="L1422" s="20">
        <v>0.3</v>
      </c>
      <c r="M1422" s="19">
        <f>Tienda!$K2165-Tienda!$K2165*Tienda!$L2165</f>
        <v>104.056</v>
      </c>
      <c r="N1422" s="3" t="s">
        <v>10038</v>
      </c>
      <c r="O1422" s="3" t="s">
        <v>10042</v>
      </c>
      <c r="P1422" s="17">
        <v>45520</v>
      </c>
      <c r="Q1422" s="4">
        <v>3</v>
      </c>
    </row>
    <row r="1423" spans="1:17" x14ac:dyDescent="0.25">
      <c r="A1423" s="2" t="s">
        <v>4027</v>
      </c>
      <c r="B1423" s="3" t="s">
        <v>5015</v>
      </c>
      <c r="C1423" s="3">
        <v>24</v>
      </c>
      <c r="D1423" s="46" t="str">
        <f>IF(Tabla1[[#This Row],[EDAD]]&lt;=35,"Adultos jóvenes 18 - 35 años",IF(C1423&gt;=36,"Adultos mayores 36 años en adelante"))</f>
        <v>Adultos jóvenes 18 - 35 años</v>
      </c>
      <c r="E1423" s="3" t="s">
        <v>5022</v>
      </c>
      <c r="F1423" s="3" t="s">
        <v>5028</v>
      </c>
      <c r="G1423" s="3" t="s">
        <v>5035</v>
      </c>
      <c r="H1423" s="3" t="s">
        <v>9050</v>
      </c>
      <c r="I1423" s="17">
        <v>45636</v>
      </c>
      <c r="J1423" s="18">
        <f>YEAR(Tabla1[[#This Row],[FECHA DE COMPRA]])</f>
        <v>2024</v>
      </c>
      <c r="K1423" s="19">
        <v>71.760000000000005</v>
      </c>
      <c r="L1423" s="20">
        <v>0.2</v>
      </c>
      <c r="M1423" s="19">
        <f>Tienda!$K2166-Tienda!$K2166*Tienda!$L2166</f>
        <v>108.40900000000001</v>
      </c>
      <c r="N1423" s="3" t="s">
        <v>10038</v>
      </c>
      <c r="O1423" s="3" t="s">
        <v>10042</v>
      </c>
      <c r="P1423" s="17">
        <v>45807</v>
      </c>
      <c r="Q1423" s="4">
        <v>3</v>
      </c>
    </row>
    <row r="1424" spans="1:17" x14ac:dyDescent="0.25">
      <c r="A1424" s="2" t="s">
        <v>4982</v>
      </c>
      <c r="B1424" s="3" t="s">
        <v>5016</v>
      </c>
      <c r="C1424" s="3">
        <v>23</v>
      </c>
      <c r="D1424" s="46" t="str">
        <f>IF(Tabla1[[#This Row],[EDAD]]&lt;=35,"Adultos jóvenes 18 - 35 años",IF(C1424&gt;=36,"Adultos mayores 36 años en adelante"))</f>
        <v>Adultos jóvenes 18 - 35 años</v>
      </c>
      <c r="E1424" s="3" t="s">
        <v>5019</v>
      </c>
      <c r="F1424" s="3" t="s">
        <v>5024</v>
      </c>
      <c r="G1424" s="3" t="s">
        <v>5032</v>
      </c>
      <c r="H1424" s="3" t="s">
        <v>10005</v>
      </c>
      <c r="I1424" s="17">
        <v>45398</v>
      </c>
      <c r="J1424" s="18">
        <f>YEAR(Tabla1[[#This Row],[FECHA DE COMPRA]])</f>
        <v>2024</v>
      </c>
      <c r="K1424" s="19">
        <v>57.57</v>
      </c>
      <c r="L1424" s="20">
        <v>0</v>
      </c>
      <c r="M1424" s="19">
        <f>Tienda!$K2169-Tienda!$K2169*Tienda!$L2169</f>
        <v>129.38399999999999</v>
      </c>
      <c r="N1424" s="3" t="s">
        <v>10038</v>
      </c>
      <c r="O1424" s="3" t="s">
        <v>10042</v>
      </c>
      <c r="P1424" s="17">
        <v>45398</v>
      </c>
      <c r="Q1424" s="4">
        <v>3</v>
      </c>
    </row>
    <row r="1425" spans="1:17" x14ac:dyDescent="0.25">
      <c r="A1425" s="2" t="s">
        <v>3643</v>
      </c>
      <c r="B1425" s="3" t="s">
        <v>5015</v>
      </c>
      <c r="C1425" s="3">
        <v>21</v>
      </c>
      <c r="D1425" s="46" t="str">
        <f>IF(Tabla1[[#This Row],[EDAD]]&lt;=35,"Adultos jóvenes 18 - 35 años",IF(C1425&gt;=36,"Adultos mayores 36 años en adelante"))</f>
        <v>Adultos jóvenes 18 - 35 años</v>
      </c>
      <c r="E1425" s="3" t="s">
        <v>5019</v>
      </c>
      <c r="F1425" s="3" t="s">
        <v>5028</v>
      </c>
      <c r="G1425" s="3" t="s">
        <v>5031</v>
      </c>
      <c r="H1425" s="3" t="s">
        <v>8666</v>
      </c>
      <c r="I1425" s="17">
        <v>45484</v>
      </c>
      <c r="J1425" s="18">
        <f>YEAR(Tabla1[[#This Row],[FECHA DE COMPRA]])</f>
        <v>2024</v>
      </c>
      <c r="K1425" s="19">
        <v>58.29</v>
      </c>
      <c r="L1425" s="20">
        <v>0</v>
      </c>
      <c r="M1425" s="19">
        <f>Tienda!$K2176-Tienda!$K2176*Tienda!$L2176</f>
        <v>20.012999999999998</v>
      </c>
      <c r="N1425" s="3" t="s">
        <v>10038</v>
      </c>
      <c r="O1425" s="3" t="s">
        <v>10042</v>
      </c>
      <c r="P1425" s="17">
        <v>45664</v>
      </c>
      <c r="Q1425" s="4">
        <v>3</v>
      </c>
    </row>
    <row r="1426" spans="1:17" x14ac:dyDescent="0.25">
      <c r="A1426" s="2" t="s">
        <v>4177</v>
      </c>
      <c r="B1426" s="3" t="s">
        <v>5015</v>
      </c>
      <c r="C1426" s="3">
        <v>35</v>
      </c>
      <c r="D1426" s="46" t="str">
        <f>IF(Tabla1[[#This Row],[EDAD]]&lt;=35,"Adultos jóvenes 18 - 35 años",IF(C1426&gt;=36,"Adultos mayores 36 años en adelante"))</f>
        <v>Adultos jóvenes 18 - 35 años</v>
      </c>
      <c r="E1426" s="3" t="s">
        <v>5022</v>
      </c>
      <c r="F1426" s="3" t="s">
        <v>5026</v>
      </c>
      <c r="G1426" s="3" t="s">
        <v>5033</v>
      </c>
      <c r="H1426" s="3" t="s">
        <v>9200</v>
      </c>
      <c r="I1426" s="17">
        <v>45541</v>
      </c>
      <c r="J1426" s="18">
        <f>YEAR(Tabla1[[#This Row],[FECHA DE COMPRA]])</f>
        <v>2024</v>
      </c>
      <c r="K1426" s="19">
        <v>58.93</v>
      </c>
      <c r="L1426" s="20">
        <v>0</v>
      </c>
      <c r="M1426" s="19">
        <f>Tienda!$K2180-Tienda!$K2180*Tienda!$L2180</f>
        <v>132.517</v>
      </c>
      <c r="N1426" s="3" t="s">
        <v>10038</v>
      </c>
      <c r="O1426" s="3" t="s">
        <v>10042</v>
      </c>
      <c r="P1426" s="17">
        <v>45541</v>
      </c>
      <c r="Q1426" s="4">
        <v>3</v>
      </c>
    </row>
    <row r="1427" spans="1:17" x14ac:dyDescent="0.25">
      <c r="A1427" s="2" t="s">
        <v>3822</v>
      </c>
      <c r="B1427" s="3" t="s">
        <v>5015</v>
      </c>
      <c r="C1427" s="3">
        <v>34</v>
      </c>
      <c r="D1427" s="46" t="str">
        <f>IF(Tabla1[[#This Row],[EDAD]]&lt;=35,"Adultos jóvenes 18 - 35 años",IF(C1427&gt;=36,"Adultos mayores 36 años en adelante"))</f>
        <v>Adultos jóvenes 18 - 35 años</v>
      </c>
      <c r="E1427" s="3" t="s">
        <v>5020</v>
      </c>
      <c r="F1427" s="3" t="s">
        <v>5026</v>
      </c>
      <c r="G1427" s="3" t="s">
        <v>5035</v>
      </c>
      <c r="H1427" s="3" t="s">
        <v>8845</v>
      </c>
      <c r="I1427" s="17">
        <v>45362</v>
      </c>
      <c r="J1427" s="18">
        <f>YEAR(Tabla1[[#This Row],[FECHA DE COMPRA]])</f>
        <v>2024</v>
      </c>
      <c r="K1427" s="19">
        <v>73.84</v>
      </c>
      <c r="L1427" s="20">
        <v>0.2</v>
      </c>
      <c r="M1427" s="19">
        <f>Tienda!$K2183-Tienda!$K2183*Tienda!$L2183</f>
        <v>99.384</v>
      </c>
      <c r="N1427" s="3" t="s">
        <v>10038</v>
      </c>
      <c r="O1427" s="3" t="s">
        <v>10042</v>
      </c>
      <c r="P1427" s="17">
        <v>45362</v>
      </c>
      <c r="Q1427" s="4">
        <v>3</v>
      </c>
    </row>
    <row r="1428" spans="1:17" x14ac:dyDescent="0.25">
      <c r="A1428" s="2" t="s">
        <v>4442</v>
      </c>
      <c r="B1428" s="3" t="s">
        <v>5015</v>
      </c>
      <c r="C1428" s="3">
        <v>27</v>
      </c>
      <c r="D1428" s="46" t="str">
        <f>IF(Tabla1[[#This Row],[EDAD]]&lt;=35,"Adultos jóvenes 18 - 35 años",IF(C1428&gt;=36,"Adultos mayores 36 años en adelante"))</f>
        <v>Adultos jóvenes 18 - 35 años</v>
      </c>
      <c r="E1428" s="3" t="s">
        <v>5019</v>
      </c>
      <c r="F1428" s="3" t="s">
        <v>5029</v>
      </c>
      <c r="G1428" s="3" t="s">
        <v>5034</v>
      </c>
      <c r="H1428" s="3" t="s">
        <v>9465</v>
      </c>
      <c r="I1428" s="17">
        <v>45377</v>
      </c>
      <c r="J1428" s="18">
        <f>YEAR(Tabla1[[#This Row],[FECHA DE COMPRA]])</f>
        <v>2024</v>
      </c>
      <c r="K1428" s="19">
        <v>84.95</v>
      </c>
      <c r="L1428" s="20">
        <v>0.3</v>
      </c>
      <c r="M1428" s="19">
        <f>Tienda!$K2189-Tienda!$K2189*Tienda!$L2189</f>
        <v>77.45</v>
      </c>
      <c r="N1428" s="3" t="s">
        <v>10038</v>
      </c>
      <c r="O1428" s="3" t="s">
        <v>10042</v>
      </c>
      <c r="P1428" s="17">
        <v>45557</v>
      </c>
      <c r="Q1428" s="4">
        <v>3</v>
      </c>
    </row>
    <row r="1429" spans="1:17" x14ac:dyDescent="0.25">
      <c r="A1429" s="2" t="s">
        <v>2406</v>
      </c>
      <c r="B1429" s="3" t="s">
        <v>5015</v>
      </c>
      <c r="C1429" s="3">
        <v>26</v>
      </c>
      <c r="D1429" s="46" t="str">
        <f>IF(Tabla1[[#This Row],[EDAD]]&lt;=35,"Adultos jóvenes 18 - 35 años",IF(C1429&gt;=36,"Adultos mayores 36 años en adelante"))</f>
        <v>Adultos jóvenes 18 - 35 años</v>
      </c>
      <c r="E1429" s="3" t="s">
        <v>5017</v>
      </c>
      <c r="F1429" s="3" t="s">
        <v>5024</v>
      </c>
      <c r="G1429" s="3" t="s">
        <v>5031</v>
      </c>
      <c r="H1429" s="3" t="s">
        <v>7429</v>
      </c>
      <c r="I1429" s="17">
        <v>45627</v>
      </c>
      <c r="J1429" s="18">
        <f>YEAR(Tabla1[[#This Row],[FECHA DE COMPRA]])</f>
        <v>2024</v>
      </c>
      <c r="K1429" s="19">
        <v>60.63</v>
      </c>
      <c r="L1429" s="20">
        <v>0</v>
      </c>
      <c r="M1429" s="19">
        <f>Tienda!$K2199-Tienda!$K2199*Tienda!$L2199</f>
        <v>105.38399999999999</v>
      </c>
      <c r="N1429" s="3" t="s">
        <v>10038</v>
      </c>
      <c r="O1429" s="3" t="s">
        <v>10042</v>
      </c>
      <c r="P1429" s="17">
        <v>45717</v>
      </c>
      <c r="Q1429" s="4">
        <v>3</v>
      </c>
    </row>
    <row r="1430" spans="1:17" x14ac:dyDescent="0.25">
      <c r="A1430" s="2" t="s">
        <v>3789</v>
      </c>
      <c r="B1430" s="3" t="s">
        <v>5016</v>
      </c>
      <c r="C1430" s="3">
        <v>31</v>
      </c>
      <c r="D1430" s="46" t="str">
        <f>IF(Tabla1[[#This Row],[EDAD]]&lt;=35,"Adultos jóvenes 18 - 35 años",IF(C1430&gt;=36,"Adultos mayores 36 años en adelante"))</f>
        <v>Adultos jóvenes 18 - 35 años</v>
      </c>
      <c r="E1430" s="3" t="s">
        <v>5017</v>
      </c>
      <c r="F1430" s="3" t="s">
        <v>5025</v>
      </c>
      <c r="G1430" s="3" t="s">
        <v>5035</v>
      </c>
      <c r="H1430" s="3" t="s">
        <v>8812</v>
      </c>
      <c r="I1430" s="17">
        <v>45522</v>
      </c>
      <c r="J1430" s="18">
        <f>YEAR(Tabla1[[#This Row],[FECHA DE COMPRA]])</f>
        <v>2024</v>
      </c>
      <c r="K1430" s="19">
        <v>76.569999999999993</v>
      </c>
      <c r="L1430" s="20">
        <v>0.2</v>
      </c>
      <c r="M1430" s="19">
        <f>Tienda!$K2203-Tienda!$K2203*Tienda!$L2203</f>
        <v>54.287999999999997</v>
      </c>
      <c r="N1430" s="3" t="s">
        <v>10038</v>
      </c>
      <c r="O1430" s="3" t="s">
        <v>10042</v>
      </c>
      <c r="P1430" s="17">
        <v>45522</v>
      </c>
      <c r="Q1430" s="4">
        <v>3</v>
      </c>
    </row>
    <row r="1431" spans="1:17" x14ac:dyDescent="0.25">
      <c r="A1431" s="2" t="s">
        <v>4078</v>
      </c>
      <c r="B1431" s="3" t="s">
        <v>5015</v>
      </c>
      <c r="C1431" s="3">
        <v>18</v>
      </c>
      <c r="D1431" s="46" t="str">
        <f>IF(Tabla1[[#This Row],[EDAD]]&lt;=35,"Adultos jóvenes 18 - 35 años",IF(C1431&gt;=36,"Adultos mayores 36 años en adelante"))</f>
        <v>Adultos jóvenes 18 - 35 años</v>
      </c>
      <c r="E1431" s="3" t="s">
        <v>5020</v>
      </c>
      <c r="F1431" s="3" t="s">
        <v>5028</v>
      </c>
      <c r="G1431" s="3" t="s">
        <v>5035</v>
      </c>
      <c r="H1431" s="3" t="s">
        <v>9101</v>
      </c>
      <c r="I1431" s="17">
        <v>45413</v>
      </c>
      <c r="J1431" s="18">
        <f>YEAR(Tabla1[[#This Row],[FECHA DE COMPRA]])</f>
        <v>2024</v>
      </c>
      <c r="K1431" s="19">
        <v>61.73</v>
      </c>
      <c r="L1431" s="20">
        <v>0</v>
      </c>
      <c r="M1431" s="19">
        <f>Tienda!$K2211-Tienda!$K2211*Tienda!$L2211</f>
        <v>147.62</v>
      </c>
      <c r="N1431" s="3" t="s">
        <v>10038</v>
      </c>
      <c r="O1431" s="3" t="s">
        <v>10042</v>
      </c>
      <c r="P1431" s="17">
        <v>45773</v>
      </c>
      <c r="Q1431" s="4">
        <v>3</v>
      </c>
    </row>
    <row r="1432" spans="1:17" x14ac:dyDescent="0.25">
      <c r="A1432" s="2" t="s">
        <v>3404</v>
      </c>
      <c r="B1432" s="3" t="s">
        <v>5015</v>
      </c>
      <c r="C1432" s="3">
        <v>31</v>
      </c>
      <c r="D1432" s="46" t="str">
        <f>IF(Tabla1[[#This Row],[EDAD]]&lt;=35,"Adultos jóvenes 18 - 35 años",IF(C1432&gt;=36,"Adultos mayores 36 años en adelante"))</f>
        <v>Adultos jóvenes 18 - 35 años</v>
      </c>
      <c r="E1432" s="3" t="s">
        <v>5019</v>
      </c>
      <c r="F1432" s="3" t="s">
        <v>5025</v>
      </c>
      <c r="G1432" s="3" t="s">
        <v>5037</v>
      </c>
      <c r="H1432" s="3" t="s">
        <v>8427</v>
      </c>
      <c r="I1432" s="17">
        <v>45385</v>
      </c>
      <c r="J1432" s="18">
        <f>YEAR(Tabla1[[#This Row],[FECHA DE COMPRA]])</f>
        <v>2024</v>
      </c>
      <c r="K1432" s="19">
        <v>88.52</v>
      </c>
      <c r="L1432" s="20">
        <v>0.3</v>
      </c>
      <c r="M1432" s="19">
        <f>Tienda!$K2212-Tienda!$K2212*Tienda!$L2212</f>
        <v>21.4</v>
      </c>
      <c r="N1432" s="3" t="s">
        <v>10038</v>
      </c>
      <c r="O1432" s="3" t="s">
        <v>10042</v>
      </c>
      <c r="P1432" s="17">
        <v>45745</v>
      </c>
      <c r="Q1432" s="4">
        <v>3</v>
      </c>
    </row>
    <row r="1433" spans="1:17" x14ac:dyDescent="0.25">
      <c r="A1433" s="2" t="s">
        <v>4336</v>
      </c>
      <c r="B1433" s="3" t="s">
        <v>5015</v>
      </c>
      <c r="C1433" s="3">
        <v>21</v>
      </c>
      <c r="D1433" s="46" t="str">
        <f>IF(Tabla1[[#This Row],[EDAD]]&lt;=35,"Adultos jóvenes 18 - 35 años",IF(C1433&gt;=36,"Adultos mayores 36 años en adelante"))</f>
        <v>Adultos jóvenes 18 - 35 años</v>
      </c>
      <c r="E1433" s="3" t="s">
        <v>5017</v>
      </c>
      <c r="F1433" s="3" t="s">
        <v>5025</v>
      </c>
      <c r="G1433" s="3" t="s">
        <v>5034</v>
      </c>
      <c r="H1433" s="3" t="s">
        <v>9359</v>
      </c>
      <c r="I1433" s="17">
        <v>45341</v>
      </c>
      <c r="J1433" s="18">
        <f>YEAR(Tabla1[[#This Row],[FECHA DE COMPRA]])</f>
        <v>2024</v>
      </c>
      <c r="K1433" s="19">
        <v>62.27</v>
      </c>
      <c r="L1433" s="20">
        <v>0</v>
      </c>
      <c r="M1433" s="19">
        <f>Tienda!$K2215-Tienda!$K2215*Tienda!$L2215</f>
        <v>135.52799999999999</v>
      </c>
      <c r="N1433" s="3" t="s">
        <v>10038</v>
      </c>
      <c r="O1433" s="3" t="s">
        <v>10042</v>
      </c>
      <c r="P1433" s="17">
        <v>45521</v>
      </c>
      <c r="Q1433" s="4">
        <v>3</v>
      </c>
    </row>
    <row r="1434" spans="1:17" x14ac:dyDescent="0.25">
      <c r="A1434" s="2" t="s">
        <v>4070</v>
      </c>
      <c r="B1434" s="3" t="s">
        <v>5015</v>
      </c>
      <c r="C1434" s="3">
        <v>26</v>
      </c>
      <c r="D1434" s="46" t="str">
        <f>IF(Tabla1[[#This Row],[EDAD]]&lt;=35,"Adultos jóvenes 18 - 35 años",IF(C1434&gt;=36,"Adultos mayores 36 años en adelante"))</f>
        <v>Adultos jóvenes 18 - 35 años</v>
      </c>
      <c r="E1434" s="3" t="s">
        <v>5021</v>
      </c>
      <c r="F1434" s="3" t="s">
        <v>5026</v>
      </c>
      <c r="G1434" s="3" t="s">
        <v>5033</v>
      </c>
      <c r="H1434" s="3" t="s">
        <v>9093</v>
      </c>
      <c r="I1434" s="17">
        <v>45347</v>
      </c>
      <c r="J1434" s="18">
        <f>YEAR(Tabla1[[#This Row],[FECHA DE COMPRA]])</f>
        <v>2024</v>
      </c>
      <c r="K1434" s="19">
        <v>91.96</v>
      </c>
      <c r="L1434" s="20">
        <v>0.3</v>
      </c>
      <c r="M1434" s="19">
        <f>Tienda!$K2231-Tienda!$K2231*Tienda!$L2231</f>
        <v>153.06400000000002</v>
      </c>
      <c r="N1434" s="3" t="s">
        <v>10038</v>
      </c>
      <c r="O1434" s="3" t="s">
        <v>10042</v>
      </c>
      <c r="P1434" s="17">
        <v>45347</v>
      </c>
      <c r="Q1434" s="4">
        <v>3</v>
      </c>
    </row>
    <row r="1435" spans="1:17" x14ac:dyDescent="0.25">
      <c r="A1435" s="2" t="s">
        <v>1265</v>
      </c>
      <c r="B1435" s="3" t="s">
        <v>5015</v>
      </c>
      <c r="C1435" s="3">
        <v>21</v>
      </c>
      <c r="D1435" s="46" t="str">
        <f>IF(Tabla1[[#This Row],[EDAD]]&lt;=35,"Adultos jóvenes 18 - 35 años",IF(C1435&gt;=36,"Adultos mayores 36 años en adelante"))</f>
        <v>Adultos jóvenes 18 - 35 años</v>
      </c>
      <c r="E1435" s="3" t="s">
        <v>5022</v>
      </c>
      <c r="F1435" s="3" t="s">
        <v>5025</v>
      </c>
      <c r="G1435" s="3" t="s">
        <v>5035</v>
      </c>
      <c r="H1435" s="3" t="s">
        <v>6288</v>
      </c>
      <c r="I1435" s="17">
        <v>45624</v>
      </c>
      <c r="J1435" s="18">
        <f>YEAR(Tabla1[[#This Row],[FECHA DE COMPRA]])</f>
        <v>2024</v>
      </c>
      <c r="K1435" s="19">
        <v>65.87</v>
      </c>
      <c r="L1435" s="20">
        <v>0</v>
      </c>
      <c r="M1435" s="19">
        <f>Tienda!$K2238-Tienda!$K2238*Tienda!$L2238</f>
        <v>119.35</v>
      </c>
      <c r="N1435" s="3" t="s">
        <v>10038</v>
      </c>
      <c r="O1435" s="3" t="s">
        <v>10042</v>
      </c>
      <c r="P1435" s="17">
        <v>45749</v>
      </c>
      <c r="Q1435" s="4">
        <v>3</v>
      </c>
    </row>
    <row r="1436" spans="1:17" x14ac:dyDescent="0.25">
      <c r="A1436" s="2" t="s">
        <v>2402</v>
      </c>
      <c r="B1436" s="3" t="s">
        <v>5015</v>
      </c>
      <c r="C1436" s="3">
        <v>26</v>
      </c>
      <c r="D1436" s="46" t="str">
        <f>IF(Tabla1[[#This Row],[EDAD]]&lt;=35,"Adultos jóvenes 18 - 35 años",IF(C1436&gt;=36,"Adultos mayores 36 años en adelante"))</f>
        <v>Adultos jóvenes 18 - 35 años</v>
      </c>
      <c r="E1436" s="3" t="s">
        <v>5022</v>
      </c>
      <c r="F1436" s="3" t="s">
        <v>5025</v>
      </c>
      <c r="G1436" s="3" t="s">
        <v>5031</v>
      </c>
      <c r="H1436" s="3" t="s">
        <v>7425</v>
      </c>
      <c r="I1436" s="17">
        <v>45381</v>
      </c>
      <c r="J1436" s="18">
        <f>YEAR(Tabla1[[#This Row],[FECHA DE COMPRA]])</f>
        <v>2024</v>
      </c>
      <c r="K1436" s="19">
        <v>67.36</v>
      </c>
      <c r="L1436" s="20">
        <v>0</v>
      </c>
      <c r="M1436" s="19">
        <f>Tienda!$K2252-Tienda!$K2252*Tienda!$L2252</f>
        <v>189.15</v>
      </c>
      <c r="N1436" s="3" t="s">
        <v>10038</v>
      </c>
      <c r="O1436" s="3" t="s">
        <v>10042</v>
      </c>
      <c r="P1436" s="17">
        <v>45381</v>
      </c>
      <c r="Q1436" s="4">
        <v>3</v>
      </c>
    </row>
    <row r="1437" spans="1:17" x14ac:dyDescent="0.25">
      <c r="A1437" s="2" t="s">
        <v>3989</v>
      </c>
      <c r="B1437" s="3" t="s">
        <v>5016</v>
      </c>
      <c r="C1437" s="3">
        <v>21</v>
      </c>
      <c r="D1437" s="46" t="str">
        <f>IF(Tabla1[[#This Row],[EDAD]]&lt;=35,"Adultos jóvenes 18 - 35 años",IF(C1437&gt;=36,"Adultos mayores 36 años en adelante"))</f>
        <v>Adultos jóvenes 18 - 35 años</v>
      </c>
      <c r="E1437" s="3" t="s">
        <v>5017</v>
      </c>
      <c r="F1437" s="3" t="s">
        <v>5025</v>
      </c>
      <c r="G1437" s="3" t="s">
        <v>5033</v>
      </c>
      <c r="H1437" s="3" t="s">
        <v>9012</v>
      </c>
      <c r="I1437" s="17">
        <v>45619</v>
      </c>
      <c r="J1437" s="18">
        <f>YEAR(Tabla1[[#This Row],[FECHA DE COMPRA]])</f>
        <v>2024</v>
      </c>
      <c r="K1437" s="19">
        <v>96.53</v>
      </c>
      <c r="L1437" s="20">
        <v>0.3</v>
      </c>
      <c r="M1437" s="19">
        <f>Tienda!$K2257-Tienda!$K2257*Tienda!$L2257</f>
        <v>78.896000000000001</v>
      </c>
      <c r="N1437" s="3" t="s">
        <v>10038</v>
      </c>
      <c r="O1437" s="3" t="s">
        <v>10042</v>
      </c>
      <c r="P1437" s="17">
        <v>45741</v>
      </c>
      <c r="Q1437" s="4">
        <v>3</v>
      </c>
    </row>
    <row r="1438" spans="1:17" x14ac:dyDescent="0.25">
      <c r="A1438" s="2" t="s">
        <v>3580</v>
      </c>
      <c r="B1438" s="3" t="s">
        <v>5016</v>
      </c>
      <c r="C1438" s="3">
        <v>21</v>
      </c>
      <c r="D1438" s="46" t="str">
        <f>IF(Tabla1[[#This Row],[EDAD]]&lt;=35,"Adultos jóvenes 18 - 35 años",IF(C1438&gt;=36,"Adultos mayores 36 años en adelante"))</f>
        <v>Adultos jóvenes 18 - 35 años</v>
      </c>
      <c r="E1438" s="3" t="s">
        <v>5021</v>
      </c>
      <c r="F1438" s="3" t="s">
        <v>5025</v>
      </c>
      <c r="G1438" s="3" t="s">
        <v>5036</v>
      </c>
      <c r="H1438" s="3" t="s">
        <v>8603</v>
      </c>
      <c r="I1438" s="17">
        <v>45552</v>
      </c>
      <c r="J1438" s="18">
        <f>YEAR(Tabla1[[#This Row],[FECHA DE COMPRA]])</f>
        <v>2024</v>
      </c>
      <c r="K1438" s="19">
        <v>68.36</v>
      </c>
      <c r="L1438" s="20">
        <v>0</v>
      </c>
      <c r="M1438" s="19">
        <f>Tienda!$K2261-Tienda!$K2261*Tienda!$L2261</f>
        <v>184.33</v>
      </c>
      <c r="N1438" s="3" t="s">
        <v>10038</v>
      </c>
      <c r="O1438" s="3" t="s">
        <v>10042</v>
      </c>
      <c r="P1438" s="17">
        <v>45822</v>
      </c>
      <c r="Q1438" s="4">
        <v>3</v>
      </c>
    </row>
    <row r="1439" spans="1:17" x14ac:dyDescent="0.25">
      <c r="A1439" s="2" t="s">
        <v>422</v>
      </c>
      <c r="B1439" s="3" t="s">
        <v>5015</v>
      </c>
      <c r="C1439" s="3">
        <v>32</v>
      </c>
      <c r="D1439" s="46" t="str">
        <f>IF(Tabla1[[#This Row],[EDAD]]&lt;=35,"Adultos jóvenes 18 - 35 años",IF(C1439&gt;=36,"Adultos mayores 36 años en adelante"))</f>
        <v>Adultos jóvenes 18 - 35 años</v>
      </c>
      <c r="E1439" s="3" t="s">
        <v>5023</v>
      </c>
      <c r="F1439" s="3" t="s">
        <v>5027</v>
      </c>
      <c r="G1439" s="3" t="s">
        <v>5034</v>
      </c>
      <c r="H1439" s="3" t="s">
        <v>5445</v>
      </c>
      <c r="I1439" s="17">
        <v>45345</v>
      </c>
      <c r="J1439" s="18">
        <f>YEAR(Tabla1[[#This Row],[FECHA DE COMPRA]])</f>
        <v>2024</v>
      </c>
      <c r="K1439" s="19">
        <v>76.150000000000006</v>
      </c>
      <c r="L1439" s="20">
        <v>0.1</v>
      </c>
      <c r="M1439" s="19">
        <f>Tienda!$K2264-Tienda!$K2264*Tienda!$L2264</f>
        <v>113.04</v>
      </c>
      <c r="N1439" s="3" t="s">
        <v>10038</v>
      </c>
      <c r="O1439" s="3" t="s">
        <v>10042</v>
      </c>
      <c r="P1439" s="17">
        <v>45345</v>
      </c>
      <c r="Q1439" s="4">
        <v>3</v>
      </c>
    </row>
    <row r="1440" spans="1:17" x14ac:dyDescent="0.25">
      <c r="A1440" s="2" t="s">
        <v>1608</v>
      </c>
      <c r="B1440" s="3" t="s">
        <v>5015</v>
      </c>
      <c r="C1440" s="3">
        <v>33</v>
      </c>
      <c r="D1440" s="46" t="str">
        <f>IF(Tabla1[[#This Row],[EDAD]]&lt;=35,"Adultos jóvenes 18 - 35 años",IF(C1440&gt;=36,"Adultos mayores 36 años en adelante"))</f>
        <v>Adultos jóvenes 18 - 35 años</v>
      </c>
      <c r="E1440" s="3" t="s">
        <v>5021</v>
      </c>
      <c r="F1440" s="3" t="s">
        <v>5024</v>
      </c>
      <c r="G1440" s="3" t="s">
        <v>5033</v>
      </c>
      <c r="H1440" s="3" t="s">
        <v>6631</v>
      </c>
      <c r="I1440" s="17">
        <v>45310</v>
      </c>
      <c r="J1440" s="18">
        <f>YEAR(Tabla1[[#This Row],[FECHA DE COMPRA]])</f>
        <v>2024</v>
      </c>
      <c r="K1440" s="19">
        <v>85.75</v>
      </c>
      <c r="L1440" s="20">
        <v>0.2</v>
      </c>
      <c r="M1440" s="19">
        <f>Tienda!$K2266-Tienda!$K2266*Tienda!$L2266</f>
        <v>128.352</v>
      </c>
      <c r="N1440" s="3" t="s">
        <v>10038</v>
      </c>
      <c r="O1440" s="3" t="s">
        <v>10042</v>
      </c>
      <c r="P1440" s="17">
        <v>45310</v>
      </c>
      <c r="Q1440" s="4">
        <v>3</v>
      </c>
    </row>
    <row r="1441" spans="1:17" x14ac:dyDescent="0.25">
      <c r="A1441" s="2" t="s">
        <v>216</v>
      </c>
      <c r="B1441" s="3" t="s">
        <v>5015</v>
      </c>
      <c r="C1441" s="3">
        <v>32</v>
      </c>
      <c r="D1441" s="46" t="str">
        <f>IF(Tabla1[[#This Row],[EDAD]]&lt;=35,"Adultos jóvenes 18 - 35 años",IF(C1441&gt;=36,"Adultos mayores 36 años en adelante"))</f>
        <v>Adultos jóvenes 18 - 35 años</v>
      </c>
      <c r="E1441" s="3" t="s">
        <v>5017</v>
      </c>
      <c r="F1441" s="3" t="s">
        <v>5027</v>
      </c>
      <c r="G1441" s="3" t="s">
        <v>5035</v>
      </c>
      <c r="H1441" s="3" t="s">
        <v>5239</v>
      </c>
      <c r="I1441" s="17">
        <v>45387</v>
      </c>
      <c r="J1441" s="18">
        <f>YEAR(Tabla1[[#This Row],[FECHA DE COMPRA]])</f>
        <v>2024</v>
      </c>
      <c r="K1441" s="19">
        <v>86.09</v>
      </c>
      <c r="L1441" s="20">
        <v>0.2</v>
      </c>
      <c r="M1441" s="19">
        <f>Tienda!$K2270-Tienda!$K2270*Tienda!$L2270</f>
        <v>147.54599999999999</v>
      </c>
      <c r="N1441" s="3" t="s">
        <v>10038</v>
      </c>
      <c r="O1441" s="3" t="s">
        <v>10042</v>
      </c>
      <c r="P1441" s="17">
        <v>45657</v>
      </c>
      <c r="Q1441" s="4">
        <v>3</v>
      </c>
    </row>
    <row r="1442" spans="1:17" x14ac:dyDescent="0.25">
      <c r="A1442" s="2" t="s">
        <v>1348</v>
      </c>
      <c r="B1442" s="3" t="s">
        <v>5015</v>
      </c>
      <c r="C1442" s="3">
        <v>21</v>
      </c>
      <c r="D1442" s="46" t="str">
        <f>IF(Tabla1[[#This Row],[EDAD]]&lt;=35,"Adultos jóvenes 18 - 35 años",IF(C1442&gt;=36,"Adultos mayores 36 años en adelante"))</f>
        <v>Adultos jóvenes 18 - 35 años</v>
      </c>
      <c r="E1442" s="3" t="s">
        <v>5020</v>
      </c>
      <c r="F1442" s="3" t="s">
        <v>5027</v>
      </c>
      <c r="G1442" s="3" t="s">
        <v>5037</v>
      </c>
      <c r="H1442" s="3" t="s">
        <v>6371</v>
      </c>
      <c r="I1442" s="17">
        <v>45308</v>
      </c>
      <c r="J1442" s="18">
        <f>YEAR(Tabla1[[#This Row],[FECHA DE COMPRA]])</f>
        <v>2024</v>
      </c>
      <c r="K1442" s="19">
        <v>77.64</v>
      </c>
      <c r="L1442" s="20">
        <v>0.1</v>
      </c>
      <c r="M1442" s="19">
        <f>Tienda!$K2279-Tienda!$K2279*Tienda!$L2279</f>
        <v>121.49100000000001</v>
      </c>
      <c r="N1442" s="3" t="s">
        <v>10038</v>
      </c>
      <c r="O1442" s="3" t="s">
        <v>10042</v>
      </c>
      <c r="P1442" s="17">
        <v>45308</v>
      </c>
      <c r="Q1442" s="4">
        <v>3</v>
      </c>
    </row>
    <row r="1443" spans="1:17" x14ac:dyDescent="0.25">
      <c r="A1443" s="2" t="s">
        <v>994</v>
      </c>
      <c r="B1443" s="3" t="s">
        <v>5016</v>
      </c>
      <c r="C1443" s="3">
        <v>18</v>
      </c>
      <c r="D1443" s="46" t="str">
        <f>IF(Tabla1[[#This Row],[EDAD]]&lt;=35,"Adultos jóvenes 18 - 35 años",IF(C1443&gt;=36,"Adultos mayores 36 años en adelante"))</f>
        <v>Adultos jóvenes 18 - 35 años</v>
      </c>
      <c r="E1443" s="3" t="s">
        <v>5023</v>
      </c>
      <c r="F1443" s="3" t="s">
        <v>5029</v>
      </c>
      <c r="G1443" s="3" t="s">
        <v>5035</v>
      </c>
      <c r="H1443" s="3" t="s">
        <v>6017</v>
      </c>
      <c r="I1443" s="17">
        <v>45568</v>
      </c>
      <c r="J1443" s="18">
        <f>YEAR(Tabla1[[#This Row],[FECHA DE COMPRA]])</f>
        <v>2024</v>
      </c>
      <c r="K1443" s="19">
        <v>78.02</v>
      </c>
      <c r="L1443" s="20">
        <v>0.1</v>
      </c>
      <c r="M1443" s="19">
        <f>Tienda!$K2284-Tienda!$K2284*Tienda!$L2284</f>
        <v>189.58</v>
      </c>
      <c r="N1443" s="3" t="s">
        <v>10038</v>
      </c>
      <c r="O1443" s="3" t="s">
        <v>10042</v>
      </c>
      <c r="P1443" s="17">
        <v>45838</v>
      </c>
      <c r="Q1443" s="4">
        <v>4</v>
      </c>
    </row>
    <row r="1444" spans="1:17" x14ac:dyDescent="0.25">
      <c r="A1444" s="2" t="s">
        <v>1159</v>
      </c>
      <c r="B1444" s="3" t="s">
        <v>5015</v>
      </c>
      <c r="C1444" s="3">
        <v>21</v>
      </c>
      <c r="D1444" s="46" t="str">
        <f>IF(Tabla1[[#This Row],[EDAD]]&lt;=35,"Adultos jóvenes 18 - 35 años",IF(C1444&gt;=36,"Adultos mayores 36 años en adelante"))</f>
        <v>Adultos jóvenes 18 - 35 años</v>
      </c>
      <c r="E1444" s="3" t="s">
        <v>5019</v>
      </c>
      <c r="F1444" s="3" t="s">
        <v>5024</v>
      </c>
      <c r="G1444" s="3" t="s">
        <v>5034</v>
      </c>
      <c r="H1444" s="3" t="s">
        <v>6182</v>
      </c>
      <c r="I1444" s="17">
        <v>45635</v>
      </c>
      <c r="J1444" s="18">
        <f>YEAR(Tabla1[[#This Row],[FECHA DE COMPRA]])</f>
        <v>2024</v>
      </c>
      <c r="K1444" s="19">
        <v>78.36</v>
      </c>
      <c r="L1444" s="20">
        <v>0.1</v>
      </c>
      <c r="M1444" s="19">
        <f>Tienda!$K2288-Tienda!$K2288*Tienda!$L2288</f>
        <v>44.387</v>
      </c>
      <c r="N1444" s="3" t="s">
        <v>10038</v>
      </c>
      <c r="O1444" s="3" t="s">
        <v>10042</v>
      </c>
      <c r="P1444" s="17">
        <v>45630</v>
      </c>
      <c r="Q1444" s="4">
        <v>6</v>
      </c>
    </row>
    <row r="1445" spans="1:17" x14ac:dyDescent="0.25">
      <c r="A1445" s="2" t="s">
        <v>4155</v>
      </c>
      <c r="B1445" s="3" t="s">
        <v>5015</v>
      </c>
      <c r="C1445" s="3">
        <v>21</v>
      </c>
      <c r="D1445" s="46" t="str">
        <f>IF(Tabla1[[#This Row],[EDAD]]&lt;=35,"Adultos jóvenes 18 - 35 años",IF(C1445&gt;=36,"Adultos mayores 36 años en adelante"))</f>
        <v>Adultos jóvenes 18 - 35 años</v>
      </c>
      <c r="E1445" s="3" t="s">
        <v>5022</v>
      </c>
      <c r="F1445" s="3" t="s">
        <v>5026</v>
      </c>
      <c r="G1445" s="3" t="s">
        <v>5037</v>
      </c>
      <c r="H1445" s="3" t="s">
        <v>9178</v>
      </c>
      <c r="I1445" s="17">
        <v>45532</v>
      </c>
      <c r="J1445" s="18">
        <f>YEAR(Tabla1[[#This Row],[FECHA DE COMPRA]])</f>
        <v>2024</v>
      </c>
      <c r="K1445" s="19">
        <v>88.33</v>
      </c>
      <c r="L1445" s="20">
        <v>0.2</v>
      </c>
      <c r="M1445" s="19">
        <f>Tienda!$K2290-Tienda!$K2290*Tienda!$L2290</f>
        <v>127.62</v>
      </c>
      <c r="N1445" s="3" t="s">
        <v>10038</v>
      </c>
      <c r="O1445" s="3" t="s">
        <v>10042</v>
      </c>
      <c r="P1445" s="17">
        <v>45622</v>
      </c>
      <c r="Q1445" s="4">
        <v>3</v>
      </c>
    </row>
    <row r="1446" spans="1:17" x14ac:dyDescent="0.25">
      <c r="A1446" s="2" t="s">
        <v>4269</v>
      </c>
      <c r="B1446" s="3" t="s">
        <v>5015</v>
      </c>
      <c r="C1446" s="3">
        <v>22</v>
      </c>
      <c r="D1446" s="46" t="str">
        <f>IF(Tabla1[[#This Row],[EDAD]]&lt;=35,"Adultos jóvenes 18 - 35 años",IF(C1446&gt;=36,"Adultos mayores 36 años en adelante"))</f>
        <v>Adultos jóvenes 18 - 35 años</v>
      </c>
      <c r="E1446" s="3" t="s">
        <v>5022</v>
      </c>
      <c r="F1446" s="3" t="s">
        <v>5028</v>
      </c>
      <c r="G1446" s="3" t="s">
        <v>5035</v>
      </c>
      <c r="H1446" s="3" t="s">
        <v>9292</v>
      </c>
      <c r="I1446" s="17">
        <v>45387</v>
      </c>
      <c r="J1446" s="18">
        <f>YEAR(Tabla1[[#This Row],[FECHA DE COMPRA]])</f>
        <v>2024</v>
      </c>
      <c r="K1446" s="19">
        <v>88.86</v>
      </c>
      <c r="L1446" s="20">
        <v>0.2</v>
      </c>
      <c r="M1446" s="19">
        <f>Tienda!$K2296-Tienda!$K2296*Tienda!$L2296</f>
        <v>45.170999999999999</v>
      </c>
      <c r="N1446" s="3" t="s">
        <v>10038</v>
      </c>
      <c r="O1446" s="3" t="s">
        <v>10042</v>
      </c>
      <c r="P1446" s="17">
        <v>45567</v>
      </c>
      <c r="Q1446" s="4">
        <v>6</v>
      </c>
    </row>
    <row r="1447" spans="1:17" x14ac:dyDescent="0.25">
      <c r="A1447" s="2" t="s">
        <v>1117</v>
      </c>
      <c r="B1447" s="3" t="s">
        <v>5015</v>
      </c>
      <c r="C1447" s="3">
        <v>33</v>
      </c>
      <c r="D1447" s="46" t="str">
        <f>IF(Tabla1[[#This Row],[EDAD]]&lt;=35,"Adultos jóvenes 18 - 35 años",IF(C1447&gt;=36,"Adultos mayores 36 años en adelante"))</f>
        <v>Adultos jóvenes 18 - 35 años</v>
      </c>
      <c r="E1447" s="3" t="s">
        <v>5017</v>
      </c>
      <c r="F1447" s="3" t="s">
        <v>5024</v>
      </c>
      <c r="G1447" s="3" t="s">
        <v>5032</v>
      </c>
      <c r="H1447" s="3" t="s">
        <v>6140</v>
      </c>
      <c r="I1447" s="17">
        <v>45545</v>
      </c>
      <c r="J1447" s="18">
        <f>YEAR(Tabla1[[#This Row],[FECHA DE COMPRA]])</f>
        <v>2024</v>
      </c>
      <c r="K1447" s="19">
        <v>88.92</v>
      </c>
      <c r="L1447" s="20">
        <v>0.2</v>
      </c>
      <c r="M1447" s="19">
        <f>Tienda!$K2297-Tienda!$K2297*Tienda!$L2297</f>
        <v>128.44999999999999</v>
      </c>
      <c r="N1447" s="3" t="s">
        <v>10038</v>
      </c>
      <c r="O1447" s="3" t="s">
        <v>10042</v>
      </c>
      <c r="P1447" s="17">
        <v>45545</v>
      </c>
      <c r="Q1447" s="4">
        <v>9</v>
      </c>
    </row>
    <row r="1448" spans="1:17" x14ac:dyDescent="0.25">
      <c r="A1448" s="2" t="s">
        <v>2654</v>
      </c>
      <c r="B1448" s="3" t="s">
        <v>5016</v>
      </c>
      <c r="C1448" s="3">
        <v>28</v>
      </c>
      <c r="D1448" s="46" t="str">
        <f>IF(Tabla1[[#This Row],[EDAD]]&lt;=35,"Adultos jóvenes 18 - 35 años",IF(C1448&gt;=36,"Adultos mayores 36 años en adelante"))</f>
        <v>Adultos jóvenes 18 - 35 años</v>
      </c>
      <c r="E1448" s="3" t="s">
        <v>5023</v>
      </c>
      <c r="F1448" s="3" t="s">
        <v>5024</v>
      </c>
      <c r="G1448" s="3" t="s">
        <v>5034</v>
      </c>
      <c r="H1448" s="3" t="s">
        <v>7677</v>
      </c>
      <c r="I1448" s="17">
        <v>45524</v>
      </c>
      <c r="J1448" s="18">
        <f>YEAR(Tabla1[[#This Row],[FECHA DE COMPRA]])</f>
        <v>2024</v>
      </c>
      <c r="K1448" s="19">
        <v>71.81</v>
      </c>
      <c r="L1448" s="20">
        <v>0</v>
      </c>
      <c r="M1448" s="19">
        <f>Tienda!$K2305-Tienda!$K2305*Tienda!$L2305</f>
        <v>69.12</v>
      </c>
      <c r="N1448" s="3" t="s">
        <v>10038</v>
      </c>
      <c r="O1448" s="3" t="s">
        <v>10042</v>
      </c>
      <c r="P1448" s="17">
        <v>45524</v>
      </c>
      <c r="Q1448" s="4">
        <v>6</v>
      </c>
    </row>
    <row r="1449" spans="1:17" x14ac:dyDescent="0.25">
      <c r="A1449" s="2" t="s">
        <v>4087</v>
      </c>
      <c r="B1449" s="3" t="s">
        <v>5015</v>
      </c>
      <c r="C1449" s="3">
        <v>25</v>
      </c>
      <c r="D1449" s="46" t="str">
        <f>IF(Tabla1[[#This Row],[EDAD]]&lt;=35,"Adultos jóvenes 18 - 35 años",IF(C1449&gt;=36,"Adultos mayores 36 años en adelante"))</f>
        <v>Adultos jóvenes 18 - 35 años</v>
      </c>
      <c r="E1449" s="3" t="s">
        <v>5023</v>
      </c>
      <c r="F1449" s="3" t="s">
        <v>5025</v>
      </c>
      <c r="G1449" s="3" t="s">
        <v>5035</v>
      </c>
      <c r="H1449" s="3" t="s">
        <v>9110</v>
      </c>
      <c r="I1449" s="17">
        <v>45649</v>
      </c>
      <c r="J1449" s="18">
        <f>YEAR(Tabla1[[#This Row],[FECHA DE COMPRA]])</f>
        <v>2024</v>
      </c>
      <c r="K1449" s="19">
        <v>80.37</v>
      </c>
      <c r="L1449" s="20">
        <v>0.1</v>
      </c>
      <c r="M1449" s="19">
        <f>Tienda!$K2311-Tienda!$K2311*Tienda!$L2311</f>
        <v>23.75</v>
      </c>
      <c r="N1449" s="3" t="s">
        <v>10038</v>
      </c>
      <c r="O1449" s="3" t="s">
        <v>10042</v>
      </c>
      <c r="P1449" s="17">
        <v>45574</v>
      </c>
      <c r="Q1449" s="4">
        <v>9</v>
      </c>
    </row>
    <row r="1450" spans="1:17" x14ac:dyDescent="0.25">
      <c r="A1450" s="2" t="s">
        <v>3727</v>
      </c>
      <c r="B1450" s="3" t="s">
        <v>5015</v>
      </c>
      <c r="C1450" s="3">
        <v>33</v>
      </c>
      <c r="D1450" s="46" t="str">
        <f>IF(Tabla1[[#This Row],[EDAD]]&lt;=35,"Adultos jóvenes 18 - 35 años",IF(C1450&gt;=36,"Adultos mayores 36 años en adelante"))</f>
        <v>Adultos jóvenes 18 - 35 años</v>
      </c>
      <c r="E1450" s="3" t="s">
        <v>5020</v>
      </c>
      <c r="F1450" s="3" t="s">
        <v>5028</v>
      </c>
      <c r="G1450" s="3" t="s">
        <v>5036</v>
      </c>
      <c r="H1450" s="3" t="s">
        <v>8750</v>
      </c>
      <c r="I1450" s="17">
        <v>45386</v>
      </c>
      <c r="J1450" s="18">
        <f>YEAR(Tabla1[[#This Row],[FECHA DE COMPRA]])</f>
        <v>2024</v>
      </c>
      <c r="K1450" s="19">
        <v>72.430000000000007</v>
      </c>
      <c r="L1450" s="20">
        <v>0</v>
      </c>
      <c r="M1450" s="19">
        <f>Tienda!$K2312-Tienda!$K2312*Tienda!$L2312</f>
        <v>69.44</v>
      </c>
      <c r="N1450" s="3" t="s">
        <v>10038</v>
      </c>
      <c r="O1450" s="3" t="s">
        <v>10042</v>
      </c>
      <c r="P1450" s="17">
        <v>45386</v>
      </c>
      <c r="Q1450" s="4">
        <v>12</v>
      </c>
    </row>
    <row r="1451" spans="1:17" x14ac:dyDescent="0.25">
      <c r="A1451" s="2" t="s">
        <v>2610</v>
      </c>
      <c r="B1451" s="3" t="s">
        <v>5015</v>
      </c>
      <c r="C1451" s="3">
        <v>27</v>
      </c>
      <c r="D1451" s="46" t="str">
        <f>IF(Tabla1[[#This Row],[EDAD]]&lt;=35,"Adultos jóvenes 18 - 35 años",IF(C1451&gt;=36,"Adultos mayores 36 años en adelante"))</f>
        <v>Adultos jóvenes 18 - 35 años</v>
      </c>
      <c r="E1451" s="3" t="s">
        <v>5018</v>
      </c>
      <c r="F1451" s="3" t="s">
        <v>5025</v>
      </c>
      <c r="G1451" s="3" t="s">
        <v>5033</v>
      </c>
      <c r="H1451" s="3" t="s">
        <v>7633</v>
      </c>
      <c r="I1451" s="17">
        <v>45333</v>
      </c>
      <c r="J1451" s="18">
        <f>YEAR(Tabla1[[#This Row],[FECHA DE COMPRA]])</f>
        <v>2024</v>
      </c>
      <c r="K1451" s="19">
        <v>90.77</v>
      </c>
      <c r="L1451" s="20">
        <v>0.2</v>
      </c>
      <c r="M1451" s="19">
        <f>Tienda!$K2317-Tienda!$K2317*Tienda!$L2317</f>
        <v>64.512</v>
      </c>
      <c r="N1451" s="3" t="s">
        <v>10038</v>
      </c>
      <c r="O1451" s="3" t="s">
        <v>10042</v>
      </c>
      <c r="P1451" s="17">
        <v>45333</v>
      </c>
      <c r="Q1451" s="4">
        <v>12</v>
      </c>
    </row>
    <row r="1452" spans="1:17" x14ac:dyDescent="0.25">
      <c r="A1452" s="2" t="s">
        <v>743</v>
      </c>
      <c r="B1452" s="3" t="s">
        <v>5015</v>
      </c>
      <c r="C1452" s="3">
        <v>22</v>
      </c>
      <c r="D1452" s="46" t="str">
        <f>IF(Tabla1[[#This Row],[EDAD]]&lt;=35,"Adultos jóvenes 18 - 35 años",IF(C1452&gt;=36,"Adultos mayores 36 años en adelante"))</f>
        <v>Adultos jóvenes 18 - 35 años</v>
      </c>
      <c r="E1452" s="3" t="s">
        <v>5018</v>
      </c>
      <c r="F1452" s="3" t="s">
        <v>5024</v>
      </c>
      <c r="G1452" s="3" t="s">
        <v>5035</v>
      </c>
      <c r="H1452" s="3" t="s">
        <v>5766</v>
      </c>
      <c r="I1452" s="17">
        <v>45499</v>
      </c>
      <c r="J1452" s="18">
        <f>YEAR(Tabla1[[#This Row],[FECHA DE COMPRA]])</f>
        <v>2024</v>
      </c>
      <c r="K1452" s="19">
        <v>91.07</v>
      </c>
      <c r="L1452" s="20">
        <v>0.2</v>
      </c>
      <c r="M1452" s="19">
        <f>Tienda!$K2321-Tienda!$K2321*Tienda!$L2321</f>
        <v>23.506</v>
      </c>
      <c r="N1452" s="3" t="s">
        <v>10038</v>
      </c>
      <c r="O1452" s="3" t="s">
        <v>10042</v>
      </c>
      <c r="P1452" s="17">
        <v>45589</v>
      </c>
      <c r="Q1452" s="4">
        <v>3</v>
      </c>
    </row>
    <row r="1453" spans="1:17" x14ac:dyDescent="0.25">
      <c r="A1453" s="2" t="s">
        <v>1622</v>
      </c>
      <c r="B1453" s="3" t="s">
        <v>5015</v>
      </c>
      <c r="C1453" s="3">
        <v>32</v>
      </c>
      <c r="D1453" s="46" t="str">
        <f>IF(Tabla1[[#This Row],[EDAD]]&lt;=35,"Adultos jóvenes 18 - 35 años",IF(C1453&gt;=36,"Adultos mayores 36 años en adelante"))</f>
        <v>Adultos jóvenes 18 - 35 años</v>
      </c>
      <c r="E1453" s="3" t="s">
        <v>5020</v>
      </c>
      <c r="F1453" s="3" t="s">
        <v>5029</v>
      </c>
      <c r="G1453" s="3" t="s">
        <v>5034</v>
      </c>
      <c r="H1453" s="3" t="s">
        <v>6645</v>
      </c>
      <c r="I1453" s="17">
        <v>45324</v>
      </c>
      <c r="J1453" s="18">
        <f>YEAR(Tabla1[[#This Row],[FECHA DE COMPRA]])</f>
        <v>2024</v>
      </c>
      <c r="K1453" s="19">
        <v>104.55</v>
      </c>
      <c r="L1453" s="20">
        <v>0.3</v>
      </c>
      <c r="M1453" s="19">
        <f>Tienda!$K2324-Tienda!$K2324*Tienda!$L2324</f>
        <v>77.238</v>
      </c>
      <c r="N1453" s="3" t="s">
        <v>10038</v>
      </c>
      <c r="O1453" s="3" t="s">
        <v>10042</v>
      </c>
      <c r="P1453" s="17">
        <v>45324</v>
      </c>
      <c r="Q1453" s="4">
        <v>9</v>
      </c>
    </row>
    <row r="1454" spans="1:17" x14ac:dyDescent="0.25">
      <c r="A1454" s="2" t="s">
        <v>3975</v>
      </c>
      <c r="B1454" s="3" t="s">
        <v>5015</v>
      </c>
      <c r="C1454" s="3">
        <v>32</v>
      </c>
      <c r="D1454" s="46" t="str">
        <f>IF(Tabla1[[#This Row],[EDAD]]&lt;=35,"Adultos jóvenes 18 - 35 años",IF(C1454&gt;=36,"Adultos mayores 36 años en adelante"))</f>
        <v>Adultos jóvenes 18 - 35 años</v>
      </c>
      <c r="E1454" s="3" t="s">
        <v>5020</v>
      </c>
      <c r="F1454" s="3" t="s">
        <v>5028</v>
      </c>
      <c r="G1454" s="3" t="s">
        <v>5035</v>
      </c>
      <c r="H1454" s="3" t="s">
        <v>8998</v>
      </c>
      <c r="I1454" s="17">
        <v>45487</v>
      </c>
      <c r="J1454" s="18">
        <f>YEAR(Tabla1[[#This Row],[FECHA DE COMPRA]])</f>
        <v>2024</v>
      </c>
      <c r="K1454" s="19">
        <v>92.1</v>
      </c>
      <c r="L1454" s="20">
        <v>0.2</v>
      </c>
      <c r="M1454" s="19">
        <f>Tienda!$K2326-Tienda!$K2326*Tienda!$L2326</f>
        <v>127.017</v>
      </c>
      <c r="N1454" s="3" t="s">
        <v>10038</v>
      </c>
      <c r="O1454" s="3" t="s">
        <v>10042</v>
      </c>
      <c r="P1454" s="17">
        <v>45487</v>
      </c>
      <c r="Q1454" s="4">
        <v>9</v>
      </c>
    </row>
    <row r="1455" spans="1:17" x14ac:dyDescent="0.25">
      <c r="A1455" s="2" t="s">
        <v>2525</v>
      </c>
      <c r="B1455" s="3" t="s">
        <v>5015</v>
      </c>
      <c r="C1455" s="3">
        <v>22</v>
      </c>
      <c r="D1455" s="46" t="str">
        <f>IF(Tabla1[[#This Row],[EDAD]]&lt;=35,"Adultos jóvenes 18 - 35 años",IF(C1455&gt;=36,"Adultos mayores 36 años en adelante"))</f>
        <v>Adultos jóvenes 18 - 35 años</v>
      </c>
      <c r="E1455" s="3" t="s">
        <v>5020</v>
      </c>
      <c r="F1455" s="3" t="s">
        <v>5026</v>
      </c>
      <c r="G1455" s="3" t="s">
        <v>5037</v>
      </c>
      <c r="H1455" s="3" t="s">
        <v>7548</v>
      </c>
      <c r="I1455" s="17">
        <v>45349</v>
      </c>
      <c r="J1455" s="18">
        <f>YEAR(Tabla1[[#This Row],[FECHA DE COMPRA]])</f>
        <v>2024</v>
      </c>
      <c r="K1455" s="19">
        <v>105.26</v>
      </c>
      <c r="L1455" s="20">
        <v>0.3</v>
      </c>
      <c r="M1455" s="19">
        <f>Tienda!$K2327-Tienda!$K2327*Tienda!$L2327</f>
        <v>57.113</v>
      </c>
      <c r="N1455" s="3" t="s">
        <v>10038</v>
      </c>
      <c r="O1455" s="3" t="s">
        <v>10042</v>
      </c>
      <c r="P1455" s="17">
        <v>45529</v>
      </c>
      <c r="Q1455" s="4">
        <v>6</v>
      </c>
    </row>
    <row r="1456" spans="1:17" x14ac:dyDescent="0.25">
      <c r="A1456" s="2" t="s">
        <v>3585</v>
      </c>
      <c r="B1456" s="3" t="s">
        <v>5016</v>
      </c>
      <c r="C1456" s="3">
        <v>23</v>
      </c>
      <c r="D1456" s="46" t="str">
        <f>IF(Tabla1[[#This Row],[EDAD]]&lt;=35,"Adultos jóvenes 18 - 35 años",IF(C1456&gt;=36,"Adultos mayores 36 años en adelante"))</f>
        <v>Adultos jóvenes 18 - 35 años</v>
      </c>
      <c r="E1456" s="3" t="s">
        <v>5023</v>
      </c>
      <c r="F1456" s="3" t="s">
        <v>5026</v>
      </c>
      <c r="G1456" s="3" t="s">
        <v>5037</v>
      </c>
      <c r="H1456" s="3" t="s">
        <v>8608</v>
      </c>
      <c r="I1456" s="17">
        <v>45315</v>
      </c>
      <c r="J1456" s="18">
        <f>YEAR(Tabla1[[#This Row],[FECHA DE COMPRA]])</f>
        <v>2024</v>
      </c>
      <c r="K1456" s="19">
        <v>94.33</v>
      </c>
      <c r="L1456" s="20">
        <v>0.2</v>
      </c>
      <c r="M1456" s="19">
        <f>Tienda!$K2338-Tienda!$K2338*Tienda!$L2338</f>
        <v>34.643000000000001</v>
      </c>
      <c r="N1456" s="3" t="s">
        <v>10038</v>
      </c>
      <c r="O1456" s="3" t="s">
        <v>10042</v>
      </c>
      <c r="P1456" s="17">
        <v>45315</v>
      </c>
      <c r="Q1456" s="4">
        <v>9</v>
      </c>
    </row>
    <row r="1457" spans="1:17" x14ac:dyDescent="0.25">
      <c r="A1457" s="2" t="s">
        <v>357</v>
      </c>
      <c r="B1457" s="3" t="s">
        <v>5015</v>
      </c>
      <c r="C1457" s="3">
        <v>23</v>
      </c>
      <c r="D1457" s="46" t="str">
        <f>IF(Tabla1[[#This Row],[EDAD]]&lt;=35,"Adultos jóvenes 18 - 35 años",IF(C1457&gt;=36,"Adultos mayores 36 años en adelante"))</f>
        <v>Adultos jóvenes 18 - 35 años</v>
      </c>
      <c r="E1457" s="3" t="s">
        <v>5022</v>
      </c>
      <c r="F1457" s="3" t="s">
        <v>5024</v>
      </c>
      <c r="G1457" s="3" t="s">
        <v>5037</v>
      </c>
      <c r="H1457" s="3" t="s">
        <v>5380</v>
      </c>
      <c r="I1457" s="17">
        <v>45344</v>
      </c>
      <c r="J1457" s="18">
        <f>YEAR(Tabla1[[#This Row],[FECHA DE COMPRA]])</f>
        <v>2024</v>
      </c>
      <c r="K1457" s="19">
        <v>95.1</v>
      </c>
      <c r="L1457" s="20">
        <v>0.2</v>
      </c>
      <c r="M1457" s="19">
        <f>Tienda!$K2341-Tienda!$K2341*Tienda!$L2341</f>
        <v>25.018000000000001</v>
      </c>
      <c r="N1457" s="3" t="s">
        <v>10038</v>
      </c>
      <c r="O1457" s="3" t="s">
        <v>10042</v>
      </c>
      <c r="P1457" s="17">
        <v>45524</v>
      </c>
      <c r="Q1457" s="4">
        <v>6</v>
      </c>
    </row>
    <row r="1458" spans="1:17" x14ac:dyDescent="0.25">
      <c r="A1458" s="2" t="s">
        <v>2164</v>
      </c>
      <c r="B1458" s="3" t="s">
        <v>5015</v>
      </c>
      <c r="C1458" s="3">
        <v>28</v>
      </c>
      <c r="D1458" s="46" t="str">
        <f>IF(Tabla1[[#This Row],[EDAD]]&lt;=35,"Adultos jóvenes 18 - 35 años",IF(C1458&gt;=36,"Adultos mayores 36 años en adelante"))</f>
        <v>Adultos jóvenes 18 - 35 años</v>
      </c>
      <c r="E1458" s="3" t="s">
        <v>5020</v>
      </c>
      <c r="F1458" s="3" t="s">
        <v>5026</v>
      </c>
      <c r="G1458" s="3" t="s">
        <v>5034</v>
      </c>
      <c r="H1458" s="3" t="s">
        <v>7187</v>
      </c>
      <c r="I1458" s="17">
        <v>45574</v>
      </c>
      <c r="J1458" s="18">
        <f>YEAR(Tabla1[[#This Row],[FECHA DE COMPRA]])</f>
        <v>2024</v>
      </c>
      <c r="K1458" s="19">
        <v>85.24</v>
      </c>
      <c r="L1458" s="20">
        <v>0.1</v>
      </c>
      <c r="M1458" s="19">
        <f>Tienda!$K2345-Tienda!$K2345*Tienda!$L2345</f>
        <v>83.13</v>
      </c>
      <c r="N1458" s="3" t="s">
        <v>10038</v>
      </c>
      <c r="O1458" s="3" t="s">
        <v>10042</v>
      </c>
      <c r="P1458" s="17">
        <v>45934</v>
      </c>
      <c r="Q1458" s="4">
        <v>12</v>
      </c>
    </row>
    <row r="1459" spans="1:17" x14ac:dyDescent="0.25">
      <c r="A1459" s="2" t="s">
        <v>3015</v>
      </c>
      <c r="B1459" s="3" t="s">
        <v>5016</v>
      </c>
      <c r="C1459" s="3">
        <v>30</v>
      </c>
      <c r="D1459" s="46" t="str">
        <f>IF(Tabla1[[#This Row],[EDAD]]&lt;=35,"Adultos jóvenes 18 - 35 años",IF(C1459&gt;=36,"Adultos mayores 36 años en adelante"))</f>
        <v>Adultos jóvenes 18 - 35 años</v>
      </c>
      <c r="E1459" s="3" t="s">
        <v>5021</v>
      </c>
      <c r="F1459" s="3" t="s">
        <v>5025</v>
      </c>
      <c r="G1459" s="3" t="s">
        <v>5031</v>
      </c>
      <c r="H1459" s="3" t="s">
        <v>8038</v>
      </c>
      <c r="I1459" s="17">
        <v>45341</v>
      </c>
      <c r="J1459" s="18">
        <f>YEAR(Tabla1[[#This Row],[FECHA DE COMPRA]])</f>
        <v>2024</v>
      </c>
      <c r="K1459" s="19">
        <v>85.62</v>
      </c>
      <c r="L1459" s="20">
        <v>0.1</v>
      </c>
      <c r="M1459" s="19">
        <f>Tienda!$K2347-Tienda!$K2347*Tienda!$L2347</f>
        <v>59.730999999999995</v>
      </c>
      <c r="N1459" s="3" t="s">
        <v>10038</v>
      </c>
      <c r="O1459" s="3" t="s">
        <v>10042</v>
      </c>
      <c r="P1459" s="17">
        <v>45341</v>
      </c>
      <c r="Q1459" s="4">
        <v>3</v>
      </c>
    </row>
    <row r="1460" spans="1:17" x14ac:dyDescent="0.25">
      <c r="A1460" s="2" t="s">
        <v>3121</v>
      </c>
      <c r="B1460" s="3" t="s">
        <v>5016</v>
      </c>
      <c r="C1460" s="3">
        <v>28</v>
      </c>
      <c r="D1460" s="46" t="str">
        <f>IF(Tabla1[[#This Row],[EDAD]]&lt;=35,"Adultos jóvenes 18 - 35 años",IF(C1460&gt;=36,"Adultos mayores 36 años en adelante"))</f>
        <v>Adultos jóvenes 18 - 35 años</v>
      </c>
      <c r="E1460" s="3" t="s">
        <v>5019</v>
      </c>
      <c r="F1460" s="3" t="s">
        <v>5030</v>
      </c>
      <c r="G1460" s="3" t="s">
        <v>5031</v>
      </c>
      <c r="H1460" s="3" t="s">
        <v>8144</v>
      </c>
      <c r="I1460" s="17">
        <v>45603</v>
      </c>
      <c r="J1460" s="18">
        <f>YEAR(Tabla1[[#This Row],[FECHA DE COMPRA]])</f>
        <v>2024</v>
      </c>
      <c r="K1460" s="19">
        <v>110.92</v>
      </c>
      <c r="L1460" s="20">
        <v>0.3</v>
      </c>
      <c r="M1460" s="19">
        <f>Tienda!$K2354-Tienda!$K2354*Tienda!$L2354</f>
        <v>83.538000000000011</v>
      </c>
      <c r="N1460" s="3" t="s">
        <v>10038</v>
      </c>
      <c r="O1460" s="3" t="s">
        <v>10042</v>
      </c>
      <c r="P1460" s="17">
        <v>45963</v>
      </c>
      <c r="Q1460" s="4">
        <v>12</v>
      </c>
    </row>
    <row r="1461" spans="1:17" x14ac:dyDescent="0.25">
      <c r="A1461" s="2" t="s">
        <v>1075</v>
      </c>
      <c r="B1461" s="3" t="s">
        <v>5015</v>
      </c>
      <c r="C1461" s="3">
        <v>33</v>
      </c>
      <c r="D1461" s="46" t="str">
        <f>IF(Tabla1[[#This Row],[EDAD]]&lt;=35,"Adultos jóvenes 18 - 35 años",IF(C1461&gt;=36,"Adultos mayores 36 años en adelante"))</f>
        <v>Adultos jóvenes 18 - 35 años</v>
      </c>
      <c r="E1461" s="3" t="s">
        <v>5021</v>
      </c>
      <c r="F1461" s="3" t="s">
        <v>5026</v>
      </c>
      <c r="G1461" s="3" t="s">
        <v>5033</v>
      </c>
      <c r="H1461" s="3" t="s">
        <v>6098</v>
      </c>
      <c r="I1461" s="17">
        <v>45607</v>
      </c>
      <c r="J1461" s="18">
        <f>YEAR(Tabla1[[#This Row],[FECHA DE COMPRA]])</f>
        <v>2024</v>
      </c>
      <c r="K1461" s="19">
        <v>111.73</v>
      </c>
      <c r="L1461" s="20">
        <v>0.3</v>
      </c>
      <c r="M1461" s="19">
        <f>Tienda!$K2362-Tienda!$K2362*Tienda!$L2362</f>
        <v>64.99199999999999</v>
      </c>
      <c r="N1461" s="3" t="s">
        <v>10038</v>
      </c>
      <c r="O1461" s="3" t="s">
        <v>10042</v>
      </c>
      <c r="P1461" s="17">
        <v>45697</v>
      </c>
      <c r="Q1461" s="4">
        <v>3</v>
      </c>
    </row>
    <row r="1462" spans="1:17" x14ac:dyDescent="0.25">
      <c r="A1462" s="2" t="s">
        <v>1944</v>
      </c>
      <c r="B1462" s="3" t="s">
        <v>5015</v>
      </c>
      <c r="C1462" s="3">
        <v>22</v>
      </c>
      <c r="D1462" s="46" t="str">
        <f>IF(Tabla1[[#This Row],[EDAD]]&lt;=35,"Adultos jóvenes 18 - 35 años",IF(C1462&gt;=36,"Adultos mayores 36 años en adelante"))</f>
        <v>Adultos jóvenes 18 - 35 años</v>
      </c>
      <c r="E1462" s="3" t="s">
        <v>5022</v>
      </c>
      <c r="F1462" s="3" t="s">
        <v>5027</v>
      </c>
      <c r="G1462" s="3" t="s">
        <v>5035</v>
      </c>
      <c r="H1462" s="3" t="s">
        <v>6967</v>
      </c>
      <c r="I1462" s="17">
        <v>45323</v>
      </c>
      <c r="J1462" s="18">
        <f>YEAR(Tabla1[[#This Row],[FECHA DE COMPRA]])</f>
        <v>2024</v>
      </c>
      <c r="K1462" s="19">
        <v>98.07</v>
      </c>
      <c r="L1462" s="20">
        <v>0.2</v>
      </c>
      <c r="M1462" s="19">
        <f>Tienda!$K2367-Tienda!$K2367*Tienda!$L2367</f>
        <v>29.384999999999998</v>
      </c>
      <c r="N1462" s="3" t="s">
        <v>10038</v>
      </c>
      <c r="O1462" s="3" t="s">
        <v>10042</v>
      </c>
      <c r="P1462" s="17">
        <v>45323</v>
      </c>
      <c r="Q1462" s="4">
        <v>6</v>
      </c>
    </row>
    <row r="1463" spans="1:17" x14ac:dyDescent="0.25">
      <c r="A1463" s="2" t="s">
        <v>3484</v>
      </c>
      <c r="B1463" s="3" t="s">
        <v>5016</v>
      </c>
      <c r="C1463" s="3">
        <v>20</v>
      </c>
      <c r="D1463" s="46" t="str">
        <f>IF(Tabla1[[#This Row],[EDAD]]&lt;=35,"Adultos jóvenes 18 - 35 años",IF(C1463&gt;=36,"Adultos mayores 36 años en adelante"))</f>
        <v>Adultos jóvenes 18 - 35 años</v>
      </c>
      <c r="E1463" s="3" t="s">
        <v>5019</v>
      </c>
      <c r="F1463" s="3" t="s">
        <v>5026</v>
      </c>
      <c r="G1463" s="3" t="s">
        <v>5035</v>
      </c>
      <c r="H1463" s="3" t="s">
        <v>8507</v>
      </c>
      <c r="I1463" s="17">
        <v>45576</v>
      </c>
      <c r="J1463" s="18">
        <f>YEAR(Tabla1[[#This Row],[FECHA DE COMPRA]])</f>
        <v>2024</v>
      </c>
      <c r="K1463" s="19">
        <v>113.16</v>
      </c>
      <c r="L1463" s="20">
        <v>0.3</v>
      </c>
      <c r="M1463" s="19">
        <f>Tienda!$K2373-Tienda!$K2373*Tienda!$L2373</f>
        <v>88.234999999999999</v>
      </c>
      <c r="N1463" s="3" t="s">
        <v>10038</v>
      </c>
      <c r="O1463" s="3" t="s">
        <v>10042</v>
      </c>
      <c r="P1463" s="17">
        <v>45576</v>
      </c>
      <c r="Q1463" s="4">
        <v>3</v>
      </c>
    </row>
    <row r="1464" spans="1:17" x14ac:dyDescent="0.25">
      <c r="A1464" s="2" t="s">
        <v>1822</v>
      </c>
      <c r="B1464" s="3" t="s">
        <v>5015</v>
      </c>
      <c r="C1464" s="3">
        <v>23</v>
      </c>
      <c r="D1464" s="46" t="str">
        <f>IF(Tabla1[[#This Row],[EDAD]]&lt;=35,"Adultos jóvenes 18 - 35 años",IF(C1464&gt;=36,"Adultos mayores 36 años en adelante"))</f>
        <v>Adultos jóvenes 18 - 35 años</v>
      </c>
      <c r="E1464" s="3" t="s">
        <v>5019</v>
      </c>
      <c r="F1464" s="3" t="s">
        <v>5024</v>
      </c>
      <c r="G1464" s="3" t="s">
        <v>5033</v>
      </c>
      <c r="H1464" s="3" t="s">
        <v>6845</v>
      </c>
      <c r="I1464" s="17">
        <v>45336</v>
      </c>
      <c r="J1464" s="18">
        <f>YEAR(Tabla1[[#This Row],[FECHA DE COMPRA]])</f>
        <v>2024</v>
      </c>
      <c r="K1464" s="19">
        <v>79.27</v>
      </c>
      <c r="L1464" s="20">
        <v>0</v>
      </c>
      <c r="M1464" s="19">
        <f>Tienda!$K2374-Tienda!$K2374*Tienda!$L2374</f>
        <v>136.232</v>
      </c>
      <c r="N1464" s="3" t="s">
        <v>10038</v>
      </c>
      <c r="O1464" s="3" t="s">
        <v>10042</v>
      </c>
      <c r="P1464" s="17">
        <v>45336</v>
      </c>
      <c r="Q1464" s="4">
        <v>12</v>
      </c>
    </row>
    <row r="1465" spans="1:17" x14ac:dyDescent="0.25">
      <c r="A1465" s="2" t="s">
        <v>3195</v>
      </c>
      <c r="B1465" s="3" t="s">
        <v>5015</v>
      </c>
      <c r="C1465" s="3">
        <v>25</v>
      </c>
      <c r="D1465" s="46" t="str">
        <f>IF(Tabla1[[#This Row],[EDAD]]&lt;=35,"Adultos jóvenes 18 - 35 años",IF(C1465&gt;=36,"Adultos mayores 36 años en adelante"))</f>
        <v>Adultos jóvenes 18 - 35 años</v>
      </c>
      <c r="E1465" s="3" t="s">
        <v>5020</v>
      </c>
      <c r="F1465" s="3" t="s">
        <v>5025</v>
      </c>
      <c r="G1465" s="3" t="s">
        <v>5034</v>
      </c>
      <c r="H1465" s="3" t="s">
        <v>8218</v>
      </c>
      <c r="I1465" s="17">
        <v>45417</v>
      </c>
      <c r="J1465" s="18">
        <f>YEAR(Tabla1[[#This Row],[FECHA DE COMPRA]])</f>
        <v>2024</v>
      </c>
      <c r="K1465" s="19">
        <v>99.26</v>
      </c>
      <c r="L1465" s="20">
        <v>0.2</v>
      </c>
      <c r="M1465" s="19">
        <f>Tienda!$K2378-Tienda!$K2378*Tienda!$L2378</f>
        <v>113.19</v>
      </c>
      <c r="N1465" s="3" t="s">
        <v>10038</v>
      </c>
      <c r="O1465" s="3" t="s">
        <v>10042</v>
      </c>
      <c r="P1465" s="17">
        <v>45777</v>
      </c>
      <c r="Q1465" s="4">
        <v>12</v>
      </c>
    </row>
    <row r="1466" spans="1:17" x14ac:dyDescent="0.25">
      <c r="A1466" s="2" t="s">
        <v>525</v>
      </c>
      <c r="B1466" s="3" t="s">
        <v>5015</v>
      </c>
      <c r="C1466" s="3">
        <v>27</v>
      </c>
      <c r="D1466" s="46" t="str">
        <f>IF(Tabla1[[#This Row],[EDAD]]&lt;=35,"Adultos jóvenes 18 - 35 años",IF(C1466&gt;=36,"Adultos mayores 36 años en adelante"))</f>
        <v>Adultos jóvenes 18 - 35 años</v>
      </c>
      <c r="E1466" s="3" t="s">
        <v>5018</v>
      </c>
      <c r="F1466" s="3" t="s">
        <v>5029</v>
      </c>
      <c r="G1466" s="3" t="s">
        <v>5033</v>
      </c>
      <c r="H1466" s="3" t="s">
        <v>5548</v>
      </c>
      <c r="I1466" s="17">
        <v>45310</v>
      </c>
      <c r="J1466" s="18">
        <f>YEAR(Tabla1[[#This Row],[FECHA DE COMPRA]])</f>
        <v>2024</v>
      </c>
      <c r="K1466" s="19">
        <v>99.46</v>
      </c>
      <c r="L1466" s="20">
        <v>0.2</v>
      </c>
      <c r="M1466" s="19">
        <f>Tienda!$K2381-Tienda!$K2381*Tienda!$L2381</f>
        <v>100.107</v>
      </c>
      <c r="N1466" s="3" t="s">
        <v>10038</v>
      </c>
      <c r="O1466" s="3" t="s">
        <v>10042</v>
      </c>
      <c r="P1466" s="17">
        <v>45310</v>
      </c>
      <c r="Q1466" s="4">
        <v>6</v>
      </c>
    </row>
    <row r="1467" spans="1:17" x14ac:dyDescent="0.25">
      <c r="A1467" s="2" t="s">
        <v>4429</v>
      </c>
      <c r="B1467" s="3" t="s">
        <v>5016</v>
      </c>
      <c r="C1467" s="3">
        <v>28</v>
      </c>
      <c r="D1467" s="46" t="str">
        <f>IF(Tabla1[[#This Row],[EDAD]]&lt;=35,"Adultos jóvenes 18 - 35 años",IF(C1467&gt;=36,"Adultos mayores 36 años en adelante"))</f>
        <v>Adultos jóvenes 18 - 35 años</v>
      </c>
      <c r="E1467" s="3" t="s">
        <v>5019</v>
      </c>
      <c r="F1467" s="3" t="s">
        <v>5027</v>
      </c>
      <c r="G1467" s="3" t="s">
        <v>5033</v>
      </c>
      <c r="H1467" s="3" t="s">
        <v>9452</v>
      </c>
      <c r="I1467" s="17">
        <v>45490</v>
      </c>
      <c r="J1467" s="18">
        <f>YEAR(Tabla1[[#This Row],[FECHA DE COMPRA]])</f>
        <v>2024</v>
      </c>
      <c r="K1467" s="19">
        <v>79.900000000000006</v>
      </c>
      <c r="L1467" s="20">
        <v>0</v>
      </c>
      <c r="M1467" s="19">
        <f>Tienda!$K2383-Tienda!$K2383*Tienda!$L2383</f>
        <v>74.457000000000008</v>
      </c>
      <c r="N1467" s="3" t="s">
        <v>10038</v>
      </c>
      <c r="O1467" s="3" t="s">
        <v>10042</v>
      </c>
      <c r="P1467" s="17">
        <v>45760</v>
      </c>
      <c r="Q1467" s="4">
        <v>9</v>
      </c>
    </row>
    <row r="1468" spans="1:17" x14ac:dyDescent="0.25">
      <c r="A1468" s="2" t="s">
        <v>2319</v>
      </c>
      <c r="B1468" s="3" t="s">
        <v>5015</v>
      </c>
      <c r="C1468" s="3">
        <v>33</v>
      </c>
      <c r="D1468" s="46" t="str">
        <f>IF(Tabla1[[#This Row],[EDAD]]&lt;=35,"Adultos jóvenes 18 - 35 años",IF(C1468&gt;=36,"Adultos mayores 36 años en adelante"))</f>
        <v>Adultos jóvenes 18 - 35 años</v>
      </c>
      <c r="E1468" s="3" t="s">
        <v>5018</v>
      </c>
      <c r="F1468" s="3" t="s">
        <v>5027</v>
      </c>
      <c r="G1468" s="3" t="s">
        <v>5032</v>
      </c>
      <c r="H1468" s="3" t="s">
        <v>7342</v>
      </c>
      <c r="I1468" s="17">
        <v>45426</v>
      </c>
      <c r="J1468" s="18">
        <f>YEAR(Tabla1[[#This Row],[FECHA DE COMPRA]])</f>
        <v>2024</v>
      </c>
      <c r="K1468" s="19">
        <v>80.2</v>
      </c>
      <c r="L1468" s="20">
        <v>0</v>
      </c>
      <c r="M1468" s="19">
        <f>Tienda!$K2388-Tienda!$K2388*Tienda!$L2388</f>
        <v>45.567</v>
      </c>
      <c r="N1468" s="3" t="s">
        <v>10038</v>
      </c>
      <c r="O1468" s="3" t="s">
        <v>10042</v>
      </c>
      <c r="P1468" s="17">
        <v>45606</v>
      </c>
      <c r="Q1468" s="4">
        <v>6</v>
      </c>
    </row>
    <row r="1469" spans="1:17" x14ac:dyDescent="0.25">
      <c r="A1469" s="2" t="s">
        <v>3832</v>
      </c>
      <c r="B1469" s="3" t="s">
        <v>5016</v>
      </c>
      <c r="C1469" s="3">
        <v>31</v>
      </c>
      <c r="D1469" s="46" t="str">
        <f>IF(Tabla1[[#This Row],[EDAD]]&lt;=35,"Adultos jóvenes 18 - 35 años",IF(C1469&gt;=36,"Adultos mayores 36 años en adelante"))</f>
        <v>Adultos jóvenes 18 - 35 años</v>
      </c>
      <c r="E1469" s="3" t="s">
        <v>5023</v>
      </c>
      <c r="F1469" s="3" t="s">
        <v>5024</v>
      </c>
      <c r="G1469" s="3" t="s">
        <v>5035</v>
      </c>
      <c r="H1469" s="3" t="s">
        <v>8855</v>
      </c>
      <c r="I1469" s="17">
        <v>45561</v>
      </c>
      <c r="J1469" s="18">
        <f>YEAR(Tabla1[[#This Row],[FECHA DE COMPRA]])</f>
        <v>2024</v>
      </c>
      <c r="K1469" s="19">
        <v>101.36</v>
      </c>
      <c r="L1469" s="20">
        <v>0.2</v>
      </c>
      <c r="M1469" s="19">
        <f>Tienda!$K2392-Tienda!$K2392*Tienda!$L2392</f>
        <v>122.06</v>
      </c>
      <c r="N1469" s="3" t="s">
        <v>10038</v>
      </c>
      <c r="O1469" s="3" t="s">
        <v>10042</v>
      </c>
      <c r="P1469" s="17">
        <v>45741</v>
      </c>
      <c r="Q1469" s="4">
        <v>6</v>
      </c>
    </row>
    <row r="1470" spans="1:17" x14ac:dyDescent="0.25">
      <c r="A1470" s="2" t="s">
        <v>1716</v>
      </c>
      <c r="B1470" s="3" t="s">
        <v>5015</v>
      </c>
      <c r="C1470" s="3">
        <v>32</v>
      </c>
      <c r="D1470" s="46" t="str">
        <f>IF(Tabla1[[#This Row],[EDAD]]&lt;=35,"Adultos jóvenes 18 - 35 años",IF(C1470&gt;=36,"Adultos mayores 36 años en adelante"))</f>
        <v>Adultos jóvenes 18 - 35 años</v>
      </c>
      <c r="E1470" s="3" t="s">
        <v>5022</v>
      </c>
      <c r="F1470" s="3" t="s">
        <v>5025</v>
      </c>
      <c r="G1470" s="3" t="s">
        <v>5036</v>
      </c>
      <c r="H1470" s="3" t="s">
        <v>6739</v>
      </c>
      <c r="I1470" s="17">
        <v>45649</v>
      </c>
      <c r="J1470" s="18">
        <f>YEAR(Tabla1[[#This Row],[FECHA DE COMPRA]])</f>
        <v>2024</v>
      </c>
      <c r="K1470" s="19">
        <v>90.18</v>
      </c>
      <c r="L1470" s="20">
        <v>0.1</v>
      </c>
      <c r="M1470" s="19">
        <f>Tienda!$K2393-Tienda!$K2393*Tienda!$L2393</f>
        <v>118.88999999999999</v>
      </c>
      <c r="N1470" s="3" t="s">
        <v>10038</v>
      </c>
      <c r="O1470" s="3" t="s">
        <v>10042</v>
      </c>
      <c r="P1470" s="17">
        <v>45481</v>
      </c>
      <c r="Q1470" s="4">
        <v>6</v>
      </c>
    </row>
    <row r="1471" spans="1:17" x14ac:dyDescent="0.25">
      <c r="A1471" s="2" t="s">
        <v>1490</v>
      </c>
      <c r="B1471" s="3" t="s">
        <v>5016</v>
      </c>
      <c r="C1471" s="3">
        <v>32</v>
      </c>
      <c r="D1471" s="46" t="str">
        <f>IF(Tabla1[[#This Row],[EDAD]]&lt;=35,"Adultos jóvenes 18 - 35 años",IF(C1471&gt;=36,"Adultos mayores 36 años en adelante"))</f>
        <v>Adultos jóvenes 18 - 35 años</v>
      </c>
      <c r="E1471" s="3" t="s">
        <v>5023</v>
      </c>
      <c r="F1471" s="3" t="s">
        <v>5029</v>
      </c>
      <c r="G1471" s="3" t="s">
        <v>5036</v>
      </c>
      <c r="H1471" s="3" t="s">
        <v>6513</v>
      </c>
      <c r="I1471" s="17">
        <v>45455</v>
      </c>
      <c r="J1471" s="18">
        <f>YEAR(Tabla1[[#This Row],[FECHA DE COMPRA]])</f>
        <v>2024</v>
      </c>
      <c r="K1471" s="19">
        <v>102.1</v>
      </c>
      <c r="L1471" s="20">
        <v>0.2</v>
      </c>
      <c r="M1471" s="19">
        <f>Tienda!$K2400-Tienda!$K2400*Tienda!$L2400</f>
        <v>34.56</v>
      </c>
      <c r="N1471" s="3" t="s">
        <v>10038</v>
      </c>
      <c r="O1471" s="3" t="s">
        <v>10042</v>
      </c>
      <c r="P1471" s="17">
        <v>45545</v>
      </c>
      <c r="Q1471" s="4">
        <v>3</v>
      </c>
    </row>
    <row r="1472" spans="1:17" x14ac:dyDescent="0.25">
      <c r="A1472" s="2" t="s">
        <v>1102</v>
      </c>
      <c r="B1472" s="3" t="s">
        <v>5016</v>
      </c>
      <c r="C1472" s="3">
        <v>23</v>
      </c>
      <c r="D1472" s="46" t="str">
        <f>IF(Tabla1[[#This Row],[EDAD]]&lt;=35,"Adultos jóvenes 18 - 35 años",IF(C1472&gt;=36,"Adultos mayores 36 años en adelante"))</f>
        <v>Adultos jóvenes 18 - 35 años</v>
      </c>
      <c r="E1472" s="3" t="s">
        <v>5017</v>
      </c>
      <c r="F1472" s="3" t="s">
        <v>5028</v>
      </c>
      <c r="G1472" s="3" t="s">
        <v>5037</v>
      </c>
      <c r="H1472" s="3" t="s">
        <v>6125</v>
      </c>
      <c r="I1472" s="17">
        <v>45315</v>
      </c>
      <c r="J1472" s="18">
        <f>YEAR(Tabla1[[#This Row],[FECHA DE COMPRA]])</f>
        <v>2024</v>
      </c>
      <c r="K1472" s="19">
        <v>103.68</v>
      </c>
      <c r="L1472" s="20">
        <v>0.2</v>
      </c>
      <c r="M1472" s="19">
        <f>Tienda!$K2406-Tienda!$K2406*Tienda!$L2406</f>
        <v>41.31</v>
      </c>
      <c r="N1472" s="3" t="s">
        <v>10038</v>
      </c>
      <c r="O1472" s="3" t="s">
        <v>10042</v>
      </c>
      <c r="P1472" s="17">
        <v>45315</v>
      </c>
      <c r="Q1472" s="4">
        <v>9</v>
      </c>
    </row>
    <row r="1473" spans="1:17" x14ac:dyDescent="0.25">
      <c r="A1473" s="2" t="s">
        <v>2184</v>
      </c>
      <c r="B1473" s="3" t="s">
        <v>5015</v>
      </c>
      <c r="C1473" s="3">
        <v>28</v>
      </c>
      <c r="D1473" s="46" t="str">
        <f>IF(Tabla1[[#This Row],[EDAD]]&lt;=35,"Adultos jóvenes 18 - 35 años",IF(C1473&gt;=36,"Adultos mayores 36 años en adelante"))</f>
        <v>Adultos jóvenes 18 - 35 años</v>
      </c>
      <c r="E1473" s="3" t="s">
        <v>5021</v>
      </c>
      <c r="F1473" s="3" t="s">
        <v>5025</v>
      </c>
      <c r="G1473" s="3" t="s">
        <v>5037</v>
      </c>
      <c r="H1473" s="3" t="s">
        <v>7207</v>
      </c>
      <c r="I1473" s="17">
        <v>45343</v>
      </c>
      <c r="J1473" s="18">
        <f>YEAR(Tabla1[[#This Row],[FECHA DE COMPRA]])</f>
        <v>2024</v>
      </c>
      <c r="K1473" s="19">
        <v>83.7</v>
      </c>
      <c r="L1473" s="20">
        <v>0</v>
      </c>
      <c r="M1473" s="19">
        <f>Tienda!$K2414-Tienda!$K2414*Tienda!$L2414</f>
        <v>197.26</v>
      </c>
      <c r="N1473" s="3" t="s">
        <v>10038</v>
      </c>
      <c r="O1473" s="3" t="s">
        <v>10042</v>
      </c>
      <c r="P1473" s="17">
        <v>45343</v>
      </c>
      <c r="Q1473" s="4">
        <v>6</v>
      </c>
    </row>
    <row r="1474" spans="1:17" x14ac:dyDescent="0.25">
      <c r="A1474" s="2" t="s">
        <v>2453</v>
      </c>
      <c r="B1474" s="3" t="s">
        <v>5015</v>
      </c>
      <c r="C1474" s="3">
        <v>25</v>
      </c>
      <c r="D1474" s="46" t="str">
        <f>IF(Tabla1[[#This Row],[EDAD]]&lt;=35,"Adultos jóvenes 18 - 35 años",IF(C1474&gt;=36,"Adultos mayores 36 años en adelante"))</f>
        <v>Adultos jóvenes 18 - 35 años</v>
      </c>
      <c r="E1474" s="3" t="s">
        <v>5022</v>
      </c>
      <c r="F1474" s="3" t="s">
        <v>5024</v>
      </c>
      <c r="G1474" s="3" t="s">
        <v>5037</v>
      </c>
      <c r="H1474" s="3" t="s">
        <v>7476</v>
      </c>
      <c r="I1474" s="17">
        <v>45624</v>
      </c>
      <c r="J1474" s="18">
        <f>YEAR(Tabla1[[#This Row],[FECHA DE COMPRA]])</f>
        <v>2024</v>
      </c>
      <c r="K1474" s="19">
        <v>83.88</v>
      </c>
      <c r="L1474" s="20">
        <v>0</v>
      </c>
      <c r="M1474" s="19">
        <f>Tienda!$K2415-Tienda!$K2415*Tienda!$L2415</f>
        <v>35.200000000000003</v>
      </c>
      <c r="N1474" s="3" t="s">
        <v>10038</v>
      </c>
      <c r="O1474" s="3" t="s">
        <v>10042</v>
      </c>
      <c r="P1474" s="17">
        <v>45589</v>
      </c>
      <c r="Q1474" s="4">
        <v>6</v>
      </c>
    </row>
    <row r="1475" spans="1:17" x14ac:dyDescent="0.25">
      <c r="A1475" s="2" t="s">
        <v>4719</v>
      </c>
      <c r="B1475" s="3" t="s">
        <v>5015</v>
      </c>
      <c r="C1475" s="3">
        <v>31</v>
      </c>
      <c r="D1475" s="46" t="str">
        <f>IF(Tabla1[[#This Row],[EDAD]]&lt;=35,"Adultos jóvenes 18 - 35 años",IF(C1475&gt;=36,"Adultos mayores 36 años en adelante"))</f>
        <v>Adultos jóvenes 18 - 35 años</v>
      </c>
      <c r="E1475" s="3" t="s">
        <v>5018</v>
      </c>
      <c r="F1475" s="3" t="s">
        <v>5027</v>
      </c>
      <c r="G1475" s="3" t="s">
        <v>5037</v>
      </c>
      <c r="H1475" s="3" t="s">
        <v>9742</v>
      </c>
      <c r="I1475" s="17">
        <v>45624</v>
      </c>
      <c r="J1475" s="18">
        <f>YEAR(Tabla1[[#This Row],[FECHA DE COMPRA]])</f>
        <v>2024</v>
      </c>
      <c r="K1475" s="19">
        <v>83.9</v>
      </c>
      <c r="L1475" s="20">
        <v>0</v>
      </c>
      <c r="M1475" s="19">
        <f>Tienda!$K2416-Tienda!$K2416*Tienda!$L2416</f>
        <v>44.905000000000001</v>
      </c>
      <c r="N1475" s="3" t="s">
        <v>10038</v>
      </c>
      <c r="O1475" s="3" t="s">
        <v>10042</v>
      </c>
      <c r="P1475" s="17">
        <v>45678</v>
      </c>
      <c r="Q1475" s="4">
        <v>6</v>
      </c>
    </row>
    <row r="1476" spans="1:17" x14ac:dyDescent="0.25">
      <c r="A1476" s="2" t="s">
        <v>3397</v>
      </c>
      <c r="B1476" s="3" t="s">
        <v>5015</v>
      </c>
      <c r="C1476" s="3">
        <v>31</v>
      </c>
      <c r="D1476" s="46" t="str">
        <f>IF(Tabla1[[#This Row],[EDAD]]&lt;=35,"Adultos jóvenes 18 - 35 años",IF(C1476&gt;=36,"Adultos mayores 36 años en adelante"))</f>
        <v>Adultos jóvenes 18 - 35 años</v>
      </c>
      <c r="E1476" s="3" t="s">
        <v>5022</v>
      </c>
      <c r="F1476" s="3" t="s">
        <v>5027</v>
      </c>
      <c r="G1476" s="3" t="s">
        <v>5031</v>
      </c>
      <c r="H1476" s="3" t="s">
        <v>8420</v>
      </c>
      <c r="I1476" s="17">
        <v>45517</v>
      </c>
      <c r="J1476" s="18">
        <f>YEAR(Tabla1[[#This Row],[FECHA DE COMPRA]])</f>
        <v>2024</v>
      </c>
      <c r="K1476" s="19">
        <v>120.02</v>
      </c>
      <c r="L1476" s="20">
        <v>0.3</v>
      </c>
      <c r="M1476" s="19">
        <f>Tienda!$K2417-Tienda!$K2417*Tienda!$L2417</f>
        <v>106.358</v>
      </c>
      <c r="N1476" s="3" t="s">
        <v>10038</v>
      </c>
      <c r="O1476" s="3" t="s">
        <v>10042</v>
      </c>
      <c r="P1476" s="17">
        <v>45607</v>
      </c>
      <c r="Q1476" s="4">
        <v>3</v>
      </c>
    </row>
    <row r="1477" spans="1:17" x14ac:dyDescent="0.25">
      <c r="A1477" s="2" t="s">
        <v>2124</v>
      </c>
      <c r="B1477" s="3" t="s">
        <v>5016</v>
      </c>
      <c r="C1477" s="3">
        <v>23</v>
      </c>
      <c r="D1477" s="46" t="str">
        <f>IF(Tabla1[[#This Row],[EDAD]]&lt;=35,"Adultos jóvenes 18 - 35 años",IF(C1477&gt;=36,"Adultos mayores 36 años en adelante"))</f>
        <v>Adultos jóvenes 18 - 35 años</v>
      </c>
      <c r="E1477" s="3" t="s">
        <v>5021</v>
      </c>
      <c r="F1477" s="3" t="s">
        <v>5030</v>
      </c>
      <c r="G1477" s="3" t="s">
        <v>5033</v>
      </c>
      <c r="H1477" s="3" t="s">
        <v>7147</v>
      </c>
      <c r="I1477" s="17">
        <v>45359</v>
      </c>
      <c r="J1477" s="18">
        <f>YEAR(Tabla1[[#This Row],[FECHA DE COMPRA]])</f>
        <v>2024</v>
      </c>
      <c r="K1477" s="19">
        <v>120.98</v>
      </c>
      <c r="L1477" s="20">
        <v>0.3</v>
      </c>
      <c r="M1477" s="19">
        <f>Tienda!$K2422-Tienda!$K2422*Tienda!$L2422</f>
        <v>109.36</v>
      </c>
      <c r="N1477" s="3" t="s">
        <v>10038</v>
      </c>
      <c r="O1477" s="3" t="s">
        <v>10042</v>
      </c>
      <c r="P1477" s="17">
        <v>45359</v>
      </c>
      <c r="Q1477" s="4">
        <v>9</v>
      </c>
    </row>
    <row r="1478" spans="1:17" x14ac:dyDescent="0.25">
      <c r="A1478" s="2" t="s">
        <v>3106</v>
      </c>
      <c r="B1478" s="3" t="s">
        <v>5015</v>
      </c>
      <c r="C1478" s="3">
        <v>19</v>
      </c>
      <c r="D1478" s="46" t="str">
        <f>IF(Tabla1[[#This Row],[EDAD]]&lt;=35,"Adultos jóvenes 18 - 35 años",IF(C1478&gt;=36,"Adultos mayores 36 años en adelante"))</f>
        <v>Adultos jóvenes 18 - 35 años</v>
      </c>
      <c r="E1478" s="3" t="s">
        <v>5020</v>
      </c>
      <c r="F1478" s="3" t="s">
        <v>5029</v>
      </c>
      <c r="G1478" s="3" t="s">
        <v>5031</v>
      </c>
      <c r="H1478" s="3" t="s">
        <v>8129</v>
      </c>
      <c r="I1478" s="17">
        <v>45505</v>
      </c>
      <c r="J1478" s="18">
        <f>YEAR(Tabla1[[#This Row],[FECHA DE COMPRA]])</f>
        <v>2024</v>
      </c>
      <c r="K1478" s="19">
        <v>106.36</v>
      </c>
      <c r="L1478" s="20">
        <v>0.2</v>
      </c>
      <c r="M1478" s="19">
        <f>Tienda!$K2428-Tienda!$K2428*Tienda!$L2428</f>
        <v>109.179</v>
      </c>
      <c r="N1478" s="3" t="s">
        <v>10038</v>
      </c>
      <c r="O1478" s="3" t="s">
        <v>10042</v>
      </c>
      <c r="P1478" s="17">
        <v>45685</v>
      </c>
      <c r="Q1478" s="4">
        <v>6</v>
      </c>
    </row>
    <row r="1479" spans="1:17" x14ac:dyDescent="0.25">
      <c r="A1479" s="2" t="s">
        <v>1366</v>
      </c>
      <c r="B1479" s="3" t="s">
        <v>5015</v>
      </c>
      <c r="C1479" s="3">
        <v>24</v>
      </c>
      <c r="D1479" s="46" t="str">
        <f>IF(Tabla1[[#This Row],[EDAD]]&lt;=35,"Adultos jóvenes 18 - 35 años",IF(C1479&gt;=36,"Adultos mayores 36 años en adelante"))</f>
        <v>Adultos jóvenes 18 - 35 años</v>
      </c>
      <c r="E1479" s="3" t="s">
        <v>5017</v>
      </c>
      <c r="F1479" s="3" t="s">
        <v>5027</v>
      </c>
      <c r="G1479" s="3" t="s">
        <v>5031</v>
      </c>
      <c r="H1479" s="3" t="s">
        <v>6389</v>
      </c>
      <c r="I1479" s="17">
        <v>45321</v>
      </c>
      <c r="J1479" s="18">
        <f>YEAR(Tabla1[[#This Row],[FECHA DE COMPRA]])</f>
        <v>2024</v>
      </c>
      <c r="K1479" s="19">
        <v>106.5</v>
      </c>
      <c r="L1479" s="20">
        <v>0.2</v>
      </c>
      <c r="M1479" s="19">
        <f>Tienda!$K2430-Tienda!$K2430*Tienda!$L2430</f>
        <v>119.88</v>
      </c>
      <c r="N1479" s="3" t="s">
        <v>10038</v>
      </c>
      <c r="O1479" s="3" t="s">
        <v>10042</v>
      </c>
      <c r="P1479" s="17">
        <v>45501</v>
      </c>
      <c r="Q1479" s="4">
        <v>6</v>
      </c>
    </row>
    <row r="1480" spans="1:17" x14ac:dyDescent="0.25">
      <c r="A1480" s="2" t="s">
        <v>1904</v>
      </c>
      <c r="B1480" s="3" t="s">
        <v>5015</v>
      </c>
      <c r="C1480" s="3">
        <v>29</v>
      </c>
      <c r="D1480" s="46" t="str">
        <f>IF(Tabla1[[#This Row],[EDAD]]&lt;=35,"Adultos jóvenes 18 - 35 años",IF(C1480&gt;=36,"Adultos mayores 36 años en adelante"))</f>
        <v>Adultos jóvenes 18 - 35 años</v>
      </c>
      <c r="E1480" s="3" t="s">
        <v>5022</v>
      </c>
      <c r="F1480" s="3" t="s">
        <v>5030</v>
      </c>
      <c r="G1480" s="3" t="s">
        <v>5035</v>
      </c>
      <c r="H1480" s="3" t="s">
        <v>6927</v>
      </c>
      <c r="I1480" s="17">
        <v>45408</v>
      </c>
      <c r="J1480" s="18">
        <f>YEAR(Tabla1[[#This Row],[FECHA DE COMPRA]])</f>
        <v>2024</v>
      </c>
      <c r="K1480" s="19">
        <v>86.09</v>
      </c>
      <c r="L1480" s="20">
        <v>0</v>
      </c>
      <c r="M1480" s="19">
        <f>Tienda!$K2437-Tienda!$K2437*Tienda!$L2437</f>
        <v>122.59100000000001</v>
      </c>
      <c r="N1480" s="3" t="s">
        <v>10038</v>
      </c>
      <c r="O1480" s="3" t="s">
        <v>10042</v>
      </c>
      <c r="P1480" s="17">
        <v>45408</v>
      </c>
      <c r="Q1480" s="4">
        <v>3</v>
      </c>
    </row>
    <row r="1481" spans="1:17" x14ac:dyDescent="0.25">
      <c r="A1481" s="2" t="s">
        <v>4782</v>
      </c>
      <c r="B1481" s="3" t="s">
        <v>5015</v>
      </c>
      <c r="C1481" s="3">
        <v>31</v>
      </c>
      <c r="D1481" s="46" t="str">
        <f>IF(Tabla1[[#This Row],[EDAD]]&lt;=35,"Adultos jóvenes 18 - 35 años",IF(C1481&gt;=36,"Adultos mayores 36 años en adelante"))</f>
        <v>Adultos jóvenes 18 - 35 años</v>
      </c>
      <c r="E1481" s="3" t="s">
        <v>5017</v>
      </c>
      <c r="F1481" s="3" t="s">
        <v>5024</v>
      </c>
      <c r="G1481" s="3" t="s">
        <v>5031</v>
      </c>
      <c r="H1481" s="3" t="s">
        <v>9805</v>
      </c>
      <c r="I1481" s="17">
        <v>45579</v>
      </c>
      <c r="J1481" s="18">
        <f>YEAR(Tabla1[[#This Row],[FECHA DE COMPRA]])</f>
        <v>2024</v>
      </c>
      <c r="K1481" s="19">
        <v>96.03</v>
      </c>
      <c r="L1481" s="20">
        <v>0.1</v>
      </c>
      <c r="M1481" s="19">
        <f>Tienda!$K2439-Tienda!$K2439*Tienda!$L2439</f>
        <v>10.26</v>
      </c>
      <c r="N1481" s="3" t="s">
        <v>10038</v>
      </c>
      <c r="O1481" s="3" t="s">
        <v>10042</v>
      </c>
      <c r="P1481" s="17">
        <v>45579</v>
      </c>
      <c r="Q1481" s="4">
        <v>9</v>
      </c>
    </row>
    <row r="1482" spans="1:17" x14ac:dyDescent="0.25">
      <c r="A1482" s="2" t="s">
        <v>543</v>
      </c>
      <c r="B1482" s="3" t="s">
        <v>5015</v>
      </c>
      <c r="C1482" s="3">
        <v>26</v>
      </c>
      <c r="D1482" s="46" t="str">
        <f>IF(Tabla1[[#This Row],[EDAD]]&lt;=35,"Adultos jóvenes 18 - 35 años",IF(C1482&gt;=36,"Adultos mayores 36 años en adelante"))</f>
        <v>Adultos jóvenes 18 - 35 años</v>
      </c>
      <c r="E1482" s="3" t="s">
        <v>5019</v>
      </c>
      <c r="F1482" s="3" t="s">
        <v>5028</v>
      </c>
      <c r="G1482" s="3" t="s">
        <v>5037</v>
      </c>
      <c r="H1482" s="3" t="s">
        <v>5566</v>
      </c>
      <c r="I1482" s="17">
        <v>45388</v>
      </c>
      <c r="J1482" s="18">
        <f>YEAR(Tabla1[[#This Row],[FECHA DE COMPRA]])</f>
        <v>2024</v>
      </c>
      <c r="K1482" s="19">
        <v>87.16</v>
      </c>
      <c r="L1482" s="20">
        <v>0</v>
      </c>
      <c r="M1482" s="19">
        <f>Tienda!$K2441-Tienda!$K2441*Tienda!$L2441</f>
        <v>40.96</v>
      </c>
      <c r="N1482" s="3" t="s">
        <v>10038</v>
      </c>
      <c r="O1482" s="3" t="s">
        <v>10042</v>
      </c>
      <c r="P1482" s="17">
        <v>45658</v>
      </c>
      <c r="Q1482" s="4">
        <v>9</v>
      </c>
    </row>
    <row r="1483" spans="1:17" x14ac:dyDescent="0.25">
      <c r="A1483" s="2" t="s">
        <v>4323</v>
      </c>
      <c r="B1483" s="3" t="s">
        <v>5015</v>
      </c>
      <c r="C1483" s="3">
        <v>31</v>
      </c>
      <c r="D1483" s="46" t="str">
        <f>IF(Tabla1[[#This Row],[EDAD]]&lt;=35,"Adultos jóvenes 18 - 35 años",IF(C1483&gt;=36,"Adultos mayores 36 años en adelante"))</f>
        <v>Adultos jóvenes 18 - 35 años</v>
      </c>
      <c r="E1483" s="3" t="s">
        <v>5022</v>
      </c>
      <c r="F1483" s="3" t="s">
        <v>5028</v>
      </c>
      <c r="G1483" s="3" t="s">
        <v>5037</v>
      </c>
      <c r="H1483" s="3" t="s">
        <v>9346</v>
      </c>
      <c r="I1483" s="17">
        <v>45619</v>
      </c>
      <c r="J1483" s="18">
        <f>YEAR(Tabla1[[#This Row],[FECHA DE COMPRA]])</f>
        <v>2024</v>
      </c>
      <c r="K1483" s="19">
        <v>87.68</v>
      </c>
      <c r="L1483" s="20">
        <v>0</v>
      </c>
      <c r="M1483" s="19">
        <f>Tienda!$K2444-Tienda!$K2444*Tienda!$L2444</f>
        <v>132.512</v>
      </c>
      <c r="N1483" s="3" t="s">
        <v>10038</v>
      </c>
      <c r="O1483" s="3" t="s">
        <v>10042</v>
      </c>
      <c r="P1483" s="17">
        <v>45799</v>
      </c>
      <c r="Q1483" s="4">
        <v>6</v>
      </c>
    </row>
    <row r="1484" spans="1:17" x14ac:dyDescent="0.25">
      <c r="A1484" s="2" t="s">
        <v>1488</v>
      </c>
      <c r="B1484" s="3" t="s">
        <v>5015</v>
      </c>
      <c r="C1484" s="3">
        <v>22</v>
      </c>
      <c r="D1484" s="46" t="str">
        <f>IF(Tabla1[[#This Row],[EDAD]]&lt;=35,"Adultos jóvenes 18 - 35 años",IF(C1484&gt;=36,"Adultos mayores 36 años en adelante"))</f>
        <v>Adultos jóvenes 18 - 35 años</v>
      </c>
      <c r="E1484" s="3" t="s">
        <v>5020</v>
      </c>
      <c r="F1484" s="3" t="s">
        <v>5027</v>
      </c>
      <c r="G1484" s="3" t="s">
        <v>5032</v>
      </c>
      <c r="H1484" s="3" t="s">
        <v>6511</v>
      </c>
      <c r="I1484" s="17">
        <v>45349</v>
      </c>
      <c r="J1484" s="18">
        <f>YEAR(Tabla1[[#This Row],[FECHA DE COMPRA]])</f>
        <v>2024</v>
      </c>
      <c r="K1484" s="19">
        <v>87.7</v>
      </c>
      <c r="L1484" s="20">
        <v>0</v>
      </c>
      <c r="M1484" s="19">
        <f>Tienda!$K2445-Tienda!$K2445*Tienda!$L2445</f>
        <v>62.29</v>
      </c>
      <c r="N1484" s="3" t="s">
        <v>10038</v>
      </c>
      <c r="O1484" s="3" t="s">
        <v>10042</v>
      </c>
      <c r="P1484" s="17">
        <v>45349</v>
      </c>
      <c r="Q1484" s="4">
        <v>3</v>
      </c>
    </row>
    <row r="1485" spans="1:17" x14ac:dyDescent="0.25">
      <c r="A1485" s="2" t="s">
        <v>1282</v>
      </c>
      <c r="B1485" s="3" t="s">
        <v>5015</v>
      </c>
      <c r="C1485" s="3">
        <v>22</v>
      </c>
      <c r="D1485" s="46" t="str">
        <f>IF(Tabla1[[#This Row],[EDAD]]&lt;=35,"Adultos jóvenes 18 - 35 años",IF(C1485&gt;=36,"Adultos mayores 36 años en adelante"))</f>
        <v>Adultos jóvenes 18 - 35 años</v>
      </c>
      <c r="E1485" s="3" t="s">
        <v>5017</v>
      </c>
      <c r="F1485" s="3" t="s">
        <v>5026</v>
      </c>
      <c r="G1485" s="3" t="s">
        <v>5033</v>
      </c>
      <c r="H1485" s="3" t="s">
        <v>6305</v>
      </c>
      <c r="I1485" s="17">
        <v>45544</v>
      </c>
      <c r="J1485" s="18">
        <f>YEAR(Tabla1[[#This Row],[FECHA DE COMPRA]])</f>
        <v>2024</v>
      </c>
      <c r="K1485" s="19">
        <v>112.39</v>
      </c>
      <c r="L1485" s="20">
        <v>0.2</v>
      </c>
      <c r="M1485" s="19">
        <f>Tienda!$K2460-Tienda!$K2460*Tienda!$L2460</f>
        <v>30.175999999999998</v>
      </c>
      <c r="N1485" s="3" t="s">
        <v>10038</v>
      </c>
      <c r="O1485" s="3" t="s">
        <v>10042</v>
      </c>
      <c r="P1485" s="17">
        <v>45544</v>
      </c>
      <c r="Q1485" s="4">
        <v>12</v>
      </c>
    </row>
    <row r="1486" spans="1:17" x14ac:dyDescent="0.25">
      <c r="A1486" s="2" t="s">
        <v>1363</v>
      </c>
      <c r="B1486" s="3" t="s">
        <v>5015</v>
      </c>
      <c r="C1486" s="3">
        <v>22</v>
      </c>
      <c r="D1486" s="46" t="str">
        <f>IF(Tabla1[[#This Row],[EDAD]]&lt;=35,"Adultos jóvenes 18 - 35 años",IF(C1486&gt;=36,"Adultos mayores 36 años en adelante"))</f>
        <v>Adultos jóvenes 18 - 35 años</v>
      </c>
      <c r="E1486" s="3" t="s">
        <v>5020</v>
      </c>
      <c r="F1486" s="3" t="s">
        <v>5029</v>
      </c>
      <c r="G1486" s="3" t="s">
        <v>5034</v>
      </c>
      <c r="H1486" s="3" t="s">
        <v>6386</v>
      </c>
      <c r="I1486" s="17">
        <v>45518</v>
      </c>
      <c r="J1486" s="18">
        <f>YEAR(Tabla1[[#This Row],[FECHA DE COMPRA]])</f>
        <v>2024</v>
      </c>
      <c r="K1486" s="19">
        <v>112.6</v>
      </c>
      <c r="L1486" s="20">
        <v>0.2</v>
      </c>
      <c r="M1486" s="19">
        <f>Tienda!$K2465-Tienda!$K2465*Tienda!$L2465</f>
        <v>78.164999999999992</v>
      </c>
      <c r="N1486" s="3" t="s">
        <v>10038</v>
      </c>
      <c r="O1486" s="3" t="s">
        <v>10042</v>
      </c>
      <c r="P1486" s="17">
        <v>45518</v>
      </c>
      <c r="Q1486" s="4">
        <v>9</v>
      </c>
    </row>
    <row r="1487" spans="1:17" x14ac:dyDescent="0.25">
      <c r="A1487" s="2" t="s">
        <v>254</v>
      </c>
      <c r="B1487" s="3" t="s">
        <v>5015</v>
      </c>
      <c r="C1487" s="3">
        <v>22</v>
      </c>
      <c r="D1487" s="46" t="str">
        <f>IF(Tabla1[[#This Row],[EDAD]]&lt;=35,"Adultos jóvenes 18 - 35 años",IF(C1487&gt;=36,"Adultos mayores 36 años en adelante"))</f>
        <v>Adultos jóvenes 18 - 35 años</v>
      </c>
      <c r="E1487" s="3" t="s">
        <v>5022</v>
      </c>
      <c r="F1487" s="3" t="s">
        <v>5028</v>
      </c>
      <c r="G1487" s="3" t="s">
        <v>5031</v>
      </c>
      <c r="H1487" s="3" t="s">
        <v>5277</v>
      </c>
      <c r="I1487" s="17">
        <v>45467</v>
      </c>
      <c r="J1487" s="18">
        <f>YEAR(Tabla1[[#This Row],[FECHA DE COMPRA]])</f>
        <v>2024</v>
      </c>
      <c r="K1487" s="19">
        <v>128.88</v>
      </c>
      <c r="L1487" s="20">
        <v>0.3</v>
      </c>
      <c r="M1487" s="19">
        <f>Tienda!$K2466-Tienda!$K2466*Tienda!$L2466</f>
        <v>94.25</v>
      </c>
      <c r="N1487" s="3" t="s">
        <v>10038</v>
      </c>
      <c r="O1487" s="3" t="s">
        <v>10042</v>
      </c>
      <c r="P1487" s="17">
        <v>45827</v>
      </c>
      <c r="Q1487" s="4">
        <v>12</v>
      </c>
    </row>
    <row r="1488" spans="1:17" x14ac:dyDescent="0.25">
      <c r="A1488" s="2" t="s">
        <v>3765</v>
      </c>
      <c r="B1488" s="3" t="s">
        <v>5015</v>
      </c>
      <c r="C1488" s="3">
        <v>24</v>
      </c>
      <c r="D1488" s="46" t="str">
        <f>IF(Tabla1[[#This Row],[EDAD]]&lt;=35,"Adultos jóvenes 18 - 35 años",IF(C1488&gt;=36,"Adultos mayores 36 años en adelante"))</f>
        <v>Adultos jóvenes 18 - 35 años</v>
      </c>
      <c r="E1488" s="3" t="s">
        <v>5021</v>
      </c>
      <c r="F1488" s="3" t="s">
        <v>5025</v>
      </c>
      <c r="G1488" s="3" t="s">
        <v>5034</v>
      </c>
      <c r="H1488" s="3" t="s">
        <v>8788</v>
      </c>
      <c r="I1488" s="17">
        <v>45379</v>
      </c>
      <c r="J1488" s="18">
        <f>YEAR(Tabla1[[#This Row],[FECHA DE COMPRA]])</f>
        <v>2024</v>
      </c>
      <c r="K1488" s="19">
        <v>101.21</v>
      </c>
      <c r="L1488" s="20">
        <v>0.1</v>
      </c>
      <c r="M1488" s="19">
        <f>Tienda!$K2475-Tienda!$K2475*Tienda!$L2475</f>
        <v>33.024000000000001</v>
      </c>
      <c r="N1488" s="3" t="s">
        <v>10038</v>
      </c>
      <c r="O1488" s="3" t="s">
        <v>10042</v>
      </c>
      <c r="P1488" s="17">
        <v>45379</v>
      </c>
      <c r="Q1488" s="4">
        <v>12</v>
      </c>
    </row>
    <row r="1489" spans="1:17" x14ac:dyDescent="0.25">
      <c r="A1489" s="2" t="s">
        <v>4368</v>
      </c>
      <c r="B1489" s="3" t="s">
        <v>5016</v>
      </c>
      <c r="C1489" s="3">
        <v>30</v>
      </c>
      <c r="D1489" s="46" t="str">
        <f>IF(Tabla1[[#This Row],[EDAD]]&lt;=35,"Adultos jóvenes 18 - 35 años",IF(C1489&gt;=36,"Adultos mayores 36 años en adelante"))</f>
        <v>Adultos jóvenes 18 - 35 años</v>
      </c>
      <c r="E1489" s="3" t="s">
        <v>5023</v>
      </c>
      <c r="F1489" s="3" t="s">
        <v>5025</v>
      </c>
      <c r="G1489" s="3" t="s">
        <v>5033</v>
      </c>
      <c r="H1489" s="3" t="s">
        <v>9391</v>
      </c>
      <c r="I1489" s="17">
        <v>45549</v>
      </c>
      <c r="J1489" s="18">
        <f>YEAR(Tabla1[[#This Row],[FECHA DE COMPRA]])</f>
        <v>2024</v>
      </c>
      <c r="K1489" s="19">
        <v>115.43</v>
      </c>
      <c r="L1489" s="20">
        <v>0.2</v>
      </c>
      <c r="M1489" s="19">
        <f>Tienda!$K2487-Tienda!$K2487*Tienda!$L2487</f>
        <v>86.927999999999997</v>
      </c>
      <c r="N1489" s="3" t="s">
        <v>10038</v>
      </c>
      <c r="O1489" s="3" t="s">
        <v>10042</v>
      </c>
      <c r="P1489" s="17">
        <v>45549</v>
      </c>
      <c r="Q1489" s="4">
        <v>9</v>
      </c>
    </row>
    <row r="1490" spans="1:17" x14ac:dyDescent="0.25">
      <c r="A1490" s="2" t="s">
        <v>3508</v>
      </c>
      <c r="B1490" s="3" t="s">
        <v>5015</v>
      </c>
      <c r="C1490" s="3">
        <v>29</v>
      </c>
      <c r="D1490" s="46" t="str">
        <f>IF(Tabla1[[#This Row],[EDAD]]&lt;=35,"Adultos jóvenes 18 - 35 años",IF(C1490&gt;=36,"Adultos mayores 36 años en adelante"))</f>
        <v>Adultos jóvenes 18 - 35 años</v>
      </c>
      <c r="E1490" s="3" t="s">
        <v>5018</v>
      </c>
      <c r="F1490" s="3" t="s">
        <v>5030</v>
      </c>
      <c r="G1490" s="3" t="s">
        <v>5034</v>
      </c>
      <c r="H1490" s="3" t="s">
        <v>8531</v>
      </c>
      <c r="I1490" s="17">
        <v>45502</v>
      </c>
      <c r="J1490" s="18">
        <f>YEAR(Tabla1[[#This Row],[FECHA DE COMPRA]])</f>
        <v>2024</v>
      </c>
      <c r="K1490" s="19">
        <v>102.77</v>
      </c>
      <c r="L1490" s="20">
        <v>0.1</v>
      </c>
      <c r="M1490" s="19">
        <f>Tienda!$K2488-Tienda!$K2488*Tienda!$L2488</f>
        <v>77.042000000000002</v>
      </c>
      <c r="N1490" s="3" t="s">
        <v>10038</v>
      </c>
      <c r="O1490" s="3" t="s">
        <v>10042</v>
      </c>
      <c r="P1490" s="17">
        <v>45502</v>
      </c>
      <c r="Q1490" s="4">
        <v>9</v>
      </c>
    </row>
    <row r="1491" spans="1:17" x14ac:dyDescent="0.25">
      <c r="A1491" s="2" t="s">
        <v>2317</v>
      </c>
      <c r="B1491" s="3" t="s">
        <v>5015</v>
      </c>
      <c r="C1491" s="3">
        <v>25</v>
      </c>
      <c r="D1491" s="46" t="str">
        <f>IF(Tabla1[[#This Row],[EDAD]]&lt;=35,"Adultos jóvenes 18 - 35 años",IF(C1491&gt;=36,"Adultos mayores 36 años en adelante"))</f>
        <v>Adultos jóvenes 18 - 35 años</v>
      </c>
      <c r="E1491" s="3" t="s">
        <v>5022</v>
      </c>
      <c r="F1491" s="3" t="s">
        <v>5025</v>
      </c>
      <c r="G1491" s="3" t="s">
        <v>5037</v>
      </c>
      <c r="H1491" s="3" t="s">
        <v>7340</v>
      </c>
      <c r="I1491" s="17">
        <v>45617</v>
      </c>
      <c r="J1491" s="18">
        <f>YEAR(Tabla1[[#This Row],[FECHA DE COMPRA]])</f>
        <v>2024</v>
      </c>
      <c r="K1491" s="19">
        <v>116.36</v>
      </c>
      <c r="L1491" s="20">
        <v>0.2</v>
      </c>
      <c r="M1491" s="19">
        <f>Tienda!$K2490-Tienda!$K2490*Tienda!$L2490</f>
        <v>120.51</v>
      </c>
      <c r="N1491" s="3" t="s">
        <v>10038</v>
      </c>
      <c r="O1491" s="3" t="s">
        <v>10042</v>
      </c>
      <c r="P1491" s="17">
        <v>45797</v>
      </c>
      <c r="Q1491" s="4">
        <v>6</v>
      </c>
    </row>
    <row r="1492" spans="1:17" x14ac:dyDescent="0.25">
      <c r="A1492" s="2" t="s">
        <v>2382</v>
      </c>
      <c r="B1492" s="3" t="s">
        <v>5015</v>
      </c>
      <c r="C1492" s="3">
        <v>20</v>
      </c>
      <c r="D1492" s="46" t="str">
        <f>IF(Tabla1[[#This Row],[EDAD]]&lt;=35,"Adultos jóvenes 18 - 35 años",IF(C1492&gt;=36,"Adultos mayores 36 años en adelante"))</f>
        <v>Adultos jóvenes 18 - 35 años</v>
      </c>
      <c r="E1492" s="3" t="s">
        <v>5020</v>
      </c>
      <c r="F1492" s="3" t="s">
        <v>5030</v>
      </c>
      <c r="G1492" s="3" t="s">
        <v>5035</v>
      </c>
      <c r="H1492" s="3" t="s">
        <v>7405</v>
      </c>
      <c r="I1492" s="17">
        <v>45397</v>
      </c>
      <c r="J1492" s="18">
        <f>YEAR(Tabla1[[#This Row],[FECHA DE COMPRA]])</f>
        <v>2024</v>
      </c>
      <c r="K1492" s="19">
        <v>103.55</v>
      </c>
      <c r="L1492" s="20">
        <v>0.1</v>
      </c>
      <c r="M1492" s="19">
        <f>Tienda!$K2493-Tienda!$K2493*Tienda!$L2493</f>
        <v>111.681</v>
      </c>
      <c r="N1492" s="3" t="s">
        <v>10038</v>
      </c>
      <c r="O1492" s="3" t="s">
        <v>10042</v>
      </c>
      <c r="P1492" s="17">
        <v>45397</v>
      </c>
      <c r="Q1492" s="4">
        <v>12</v>
      </c>
    </row>
    <row r="1493" spans="1:17" x14ac:dyDescent="0.25">
      <c r="A1493" s="2" t="s">
        <v>1660</v>
      </c>
      <c r="B1493" s="3" t="s">
        <v>5016</v>
      </c>
      <c r="C1493" s="3">
        <v>34</v>
      </c>
      <c r="D1493" s="46" t="str">
        <f>IF(Tabla1[[#This Row],[EDAD]]&lt;=35,"Adultos jóvenes 18 - 35 años",IF(C1493&gt;=36,"Adultos mayores 36 años en adelante"))</f>
        <v>Adultos jóvenes 18 - 35 años</v>
      </c>
      <c r="E1493" s="3" t="s">
        <v>5017</v>
      </c>
      <c r="F1493" s="3" t="s">
        <v>5024</v>
      </c>
      <c r="G1493" s="3" t="s">
        <v>5037</v>
      </c>
      <c r="H1493" s="3" t="s">
        <v>6683</v>
      </c>
      <c r="I1493" s="17">
        <v>45324</v>
      </c>
      <c r="J1493" s="18">
        <f>YEAR(Tabla1[[#This Row],[FECHA DE COMPRA]])</f>
        <v>2024</v>
      </c>
      <c r="K1493" s="19">
        <v>93.72</v>
      </c>
      <c r="L1493" s="20">
        <v>0</v>
      </c>
      <c r="M1493" s="19">
        <f>Tienda!$K2496-Tienda!$K2496*Tienda!$L2496</f>
        <v>137.92500000000001</v>
      </c>
      <c r="N1493" s="3" t="s">
        <v>10038</v>
      </c>
      <c r="O1493" s="3" t="s">
        <v>10042</v>
      </c>
      <c r="P1493" s="17">
        <v>45594</v>
      </c>
      <c r="Q1493" s="4">
        <v>9</v>
      </c>
    </row>
    <row r="1494" spans="1:17" x14ac:dyDescent="0.25">
      <c r="A1494" s="2" t="s">
        <v>3470</v>
      </c>
      <c r="B1494" s="3" t="s">
        <v>5015</v>
      </c>
      <c r="C1494" s="3">
        <v>27</v>
      </c>
      <c r="D1494" s="46" t="str">
        <f>IF(Tabla1[[#This Row],[EDAD]]&lt;=35,"Adultos jóvenes 18 - 35 años",IF(C1494&gt;=36,"Adultos mayores 36 años en adelante"))</f>
        <v>Adultos jóvenes 18 - 35 años</v>
      </c>
      <c r="E1494" s="3" t="s">
        <v>5017</v>
      </c>
      <c r="F1494" s="3" t="s">
        <v>5029</v>
      </c>
      <c r="G1494" s="3" t="s">
        <v>5035</v>
      </c>
      <c r="H1494" s="3" t="s">
        <v>8493</v>
      </c>
      <c r="I1494" s="17">
        <v>45346</v>
      </c>
      <c r="J1494" s="18">
        <f>YEAR(Tabla1[[#This Row],[FECHA DE COMPRA]])</f>
        <v>2024</v>
      </c>
      <c r="K1494" s="19">
        <v>117.4</v>
      </c>
      <c r="L1494" s="20">
        <v>0.2</v>
      </c>
      <c r="M1494" s="19">
        <f>Tienda!$K2499-Tienda!$K2499*Tienda!$L2499</f>
        <v>162.88</v>
      </c>
      <c r="N1494" s="3" t="s">
        <v>10038</v>
      </c>
      <c r="O1494" s="3" t="s">
        <v>10042</v>
      </c>
      <c r="P1494" s="17">
        <v>45616</v>
      </c>
      <c r="Q1494" s="4">
        <v>9</v>
      </c>
    </row>
    <row r="1495" spans="1:17" x14ac:dyDescent="0.25">
      <c r="A1495" s="2" t="s">
        <v>2313</v>
      </c>
      <c r="B1495" s="3" t="s">
        <v>5015</v>
      </c>
      <c r="C1495" s="3">
        <v>18</v>
      </c>
      <c r="D1495" s="46" t="str">
        <f>IF(Tabla1[[#This Row],[EDAD]]&lt;=35,"Adultos jóvenes 18 - 35 años",IF(C1495&gt;=36,"Adultos mayores 36 años en adelante"))</f>
        <v>Adultos jóvenes 18 - 35 años</v>
      </c>
      <c r="E1495" s="3" t="s">
        <v>5020</v>
      </c>
      <c r="F1495" s="3" t="s">
        <v>5026</v>
      </c>
      <c r="G1495" s="3" t="s">
        <v>5031</v>
      </c>
      <c r="H1495" s="3" t="s">
        <v>7336</v>
      </c>
      <c r="I1495" s="17">
        <v>45553</v>
      </c>
      <c r="J1495" s="18">
        <f>YEAR(Tabla1[[#This Row],[FECHA DE COMPRA]])</f>
        <v>2024</v>
      </c>
      <c r="K1495" s="19">
        <v>117.65</v>
      </c>
      <c r="L1495" s="20">
        <v>0.2</v>
      </c>
      <c r="M1495" s="19">
        <f>Tienda!$K2501-Tienda!$K2501*Tienda!$L2501</f>
        <v>131.52799999999999</v>
      </c>
      <c r="N1495" s="3" t="s">
        <v>10038</v>
      </c>
      <c r="O1495" s="3" t="s">
        <v>10042</v>
      </c>
      <c r="P1495" s="17">
        <v>45553</v>
      </c>
      <c r="Q1495" s="4">
        <v>12</v>
      </c>
    </row>
    <row r="1496" spans="1:17" x14ac:dyDescent="0.25">
      <c r="A1496" s="2" t="s">
        <v>4866</v>
      </c>
      <c r="B1496" s="3" t="s">
        <v>5015</v>
      </c>
      <c r="C1496" s="3">
        <v>19</v>
      </c>
      <c r="D1496" s="46" t="str">
        <f>IF(Tabla1[[#This Row],[EDAD]]&lt;=35,"Adultos jóvenes 18 - 35 años",IF(C1496&gt;=36,"Adultos mayores 36 años en adelante"))</f>
        <v>Adultos jóvenes 18 - 35 años</v>
      </c>
      <c r="E1496" s="3" t="s">
        <v>5019</v>
      </c>
      <c r="F1496" s="3" t="s">
        <v>5027</v>
      </c>
      <c r="G1496" s="3" t="s">
        <v>5032</v>
      </c>
      <c r="H1496" s="3" t="s">
        <v>9889</v>
      </c>
      <c r="I1496" s="17">
        <v>45387</v>
      </c>
      <c r="J1496" s="18">
        <f>YEAR(Tabla1[[#This Row],[FECHA DE COMPRA]])</f>
        <v>2024</v>
      </c>
      <c r="K1496" s="19">
        <v>120.16</v>
      </c>
      <c r="L1496" s="20">
        <v>0.2</v>
      </c>
      <c r="M1496" s="19">
        <f>Tienda!$K2517-Tienda!$K2517*Tienda!$L2517</f>
        <v>52.91</v>
      </c>
      <c r="N1496" s="3" t="s">
        <v>10038</v>
      </c>
      <c r="O1496" s="3" t="s">
        <v>10042</v>
      </c>
      <c r="P1496" s="17">
        <v>45387</v>
      </c>
      <c r="Q1496" s="4">
        <v>6</v>
      </c>
    </row>
    <row r="1497" spans="1:17" x14ac:dyDescent="0.25">
      <c r="A1497" s="2" t="s">
        <v>3403</v>
      </c>
      <c r="B1497" s="3" t="s">
        <v>5015</v>
      </c>
      <c r="C1497" s="3">
        <v>21</v>
      </c>
      <c r="D1497" s="46" t="str">
        <f>IF(Tabla1[[#This Row],[EDAD]]&lt;=35,"Adultos jóvenes 18 - 35 años",IF(C1497&gt;=36,"Adultos mayores 36 años en adelante"))</f>
        <v>Adultos jóvenes 18 - 35 años</v>
      </c>
      <c r="E1497" s="3" t="s">
        <v>5020</v>
      </c>
      <c r="F1497" s="3" t="s">
        <v>5025</v>
      </c>
      <c r="G1497" s="3" t="s">
        <v>5034</v>
      </c>
      <c r="H1497" s="3" t="s">
        <v>8426</v>
      </c>
      <c r="I1497" s="17">
        <v>45454</v>
      </c>
      <c r="J1497" s="18">
        <f>YEAR(Tabla1[[#This Row],[FECHA DE COMPRA]])</f>
        <v>2024</v>
      </c>
      <c r="K1497" s="19">
        <v>139.29</v>
      </c>
      <c r="L1497" s="20">
        <v>0.3</v>
      </c>
      <c r="M1497" s="19">
        <f>Tienda!$K2526-Tienda!$K2526*Tienda!$L2526</f>
        <v>54.165999999999997</v>
      </c>
      <c r="N1497" s="3" t="s">
        <v>10038</v>
      </c>
      <c r="O1497" s="3" t="s">
        <v>10042</v>
      </c>
      <c r="P1497" s="17">
        <v>45724</v>
      </c>
      <c r="Q1497" s="4">
        <v>9</v>
      </c>
    </row>
    <row r="1498" spans="1:17" x14ac:dyDescent="0.25">
      <c r="A1498" s="2" t="s">
        <v>1517</v>
      </c>
      <c r="B1498" s="3" t="s">
        <v>5015</v>
      </c>
      <c r="C1498" s="3">
        <v>19</v>
      </c>
      <c r="D1498" s="46" t="str">
        <f>IF(Tabla1[[#This Row],[EDAD]]&lt;=35,"Adultos jóvenes 18 - 35 años",IF(C1498&gt;=36,"Adultos mayores 36 años en adelante"))</f>
        <v>Adultos jóvenes 18 - 35 años</v>
      </c>
      <c r="E1498" s="3" t="s">
        <v>5023</v>
      </c>
      <c r="F1498" s="3" t="s">
        <v>5024</v>
      </c>
      <c r="G1498" s="3" t="s">
        <v>5033</v>
      </c>
      <c r="H1498" s="3" t="s">
        <v>6540</v>
      </c>
      <c r="I1498" s="17">
        <v>45363</v>
      </c>
      <c r="J1498" s="18">
        <f>YEAR(Tabla1[[#This Row],[FECHA DE COMPRA]])</f>
        <v>2024</v>
      </c>
      <c r="K1498" s="19">
        <v>108.63</v>
      </c>
      <c r="L1498" s="20">
        <v>0.1</v>
      </c>
      <c r="M1498" s="19">
        <f>Tienda!$K2529-Tienda!$K2529*Tienda!$L2529</f>
        <v>73.768000000000001</v>
      </c>
      <c r="N1498" s="3" t="s">
        <v>10038</v>
      </c>
      <c r="O1498" s="3" t="s">
        <v>10042</v>
      </c>
      <c r="P1498" s="17">
        <v>45363</v>
      </c>
      <c r="Q1498" s="4">
        <v>9</v>
      </c>
    </row>
    <row r="1499" spans="1:17" x14ac:dyDescent="0.25">
      <c r="A1499" s="2" t="s">
        <v>4634</v>
      </c>
      <c r="B1499" s="3" t="s">
        <v>5015</v>
      </c>
      <c r="C1499" s="3">
        <v>32</v>
      </c>
      <c r="D1499" s="46" t="str">
        <f>IF(Tabla1[[#This Row],[EDAD]]&lt;=35,"Adultos jóvenes 18 - 35 años",IF(C1499&gt;=36,"Adultos mayores 36 años en adelante"))</f>
        <v>Adultos jóvenes 18 - 35 años</v>
      </c>
      <c r="E1499" s="3" t="s">
        <v>5020</v>
      </c>
      <c r="F1499" s="3" t="s">
        <v>5030</v>
      </c>
      <c r="G1499" s="3" t="s">
        <v>5035</v>
      </c>
      <c r="H1499" s="3" t="s">
        <v>9657</v>
      </c>
      <c r="I1499" s="17">
        <v>45395</v>
      </c>
      <c r="J1499" s="18">
        <f>YEAR(Tabla1[[#This Row],[FECHA DE COMPRA]])</f>
        <v>2024</v>
      </c>
      <c r="K1499" s="19">
        <v>142.88999999999999</v>
      </c>
      <c r="L1499" s="20">
        <v>0.3</v>
      </c>
      <c r="M1499" s="19">
        <f>Tienda!$K2551-Tienda!$K2551*Tienda!$L2551</f>
        <v>159.12</v>
      </c>
      <c r="N1499" s="3" t="s">
        <v>10038</v>
      </c>
      <c r="O1499" s="3" t="s">
        <v>10042</v>
      </c>
      <c r="P1499" s="17">
        <v>45395</v>
      </c>
      <c r="Q1499" s="4">
        <v>9</v>
      </c>
    </row>
    <row r="1500" spans="1:17" x14ac:dyDescent="0.25">
      <c r="A1500" s="2" t="s">
        <v>1355</v>
      </c>
      <c r="B1500" s="3" t="s">
        <v>5016</v>
      </c>
      <c r="C1500" s="3">
        <v>29</v>
      </c>
      <c r="D1500" s="46" t="str">
        <f>IF(Tabla1[[#This Row],[EDAD]]&lt;=35,"Adultos jóvenes 18 - 35 años",IF(C1500&gt;=36,"Adultos mayores 36 años en adelante"))</f>
        <v>Adultos jóvenes 18 - 35 años</v>
      </c>
      <c r="E1500" s="3" t="s">
        <v>5023</v>
      </c>
      <c r="F1500" s="3" t="s">
        <v>5026</v>
      </c>
      <c r="G1500" s="3" t="s">
        <v>5035</v>
      </c>
      <c r="H1500" s="3" t="s">
        <v>6378</v>
      </c>
      <c r="I1500" s="17">
        <v>45616</v>
      </c>
      <c r="J1500" s="18">
        <f>YEAR(Tabla1[[#This Row],[FECHA DE COMPRA]])</f>
        <v>2024</v>
      </c>
      <c r="K1500" s="19">
        <v>101.3</v>
      </c>
      <c r="L1500" s="20">
        <v>0</v>
      </c>
      <c r="M1500" s="19">
        <f>Tienda!$K2567-Tienda!$K2567*Tienda!$L2567</f>
        <v>25.794</v>
      </c>
      <c r="N1500" s="3" t="s">
        <v>10038</v>
      </c>
      <c r="O1500" s="3" t="s">
        <v>10042</v>
      </c>
      <c r="P1500" s="17">
        <v>45796</v>
      </c>
      <c r="Q1500" s="4">
        <v>6</v>
      </c>
    </row>
    <row r="1501" spans="1:17" x14ac:dyDescent="0.25">
      <c r="A1501" s="2" t="s">
        <v>3147</v>
      </c>
      <c r="B1501" s="3" t="s">
        <v>5015</v>
      </c>
      <c r="C1501" s="3">
        <v>23</v>
      </c>
      <c r="D1501" s="46" t="str">
        <f>IF(Tabla1[[#This Row],[EDAD]]&lt;=35,"Adultos jóvenes 18 - 35 años",IF(C1501&gt;=36,"Adultos mayores 36 años en adelante"))</f>
        <v>Adultos jóvenes 18 - 35 años</v>
      </c>
      <c r="E1501" s="3" t="s">
        <v>5020</v>
      </c>
      <c r="F1501" s="3" t="s">
        <v>5029</v>
      </c>
      <c r="G1501" s="3" t="s">
        <v>5037</v>
      </c>
      <c r="H1501" s="3" t="s">
        <v>8170</v>
      </c>
      <c r="I1501" s="17">
        <v>45544</v>
      </c>
      <c r="J1501" s="18">
        <f>YEAR(Tabla1[[#This Row],[FECHA DE COMPRA]])</f>
        <v>2024</v>
      </c>
      <c r="K1501" s="19">
        <v>145.5</v>
      </c>
      <c r="L1501" s="20">
        <v>0.3</v>
      </c>
      <c r="M1501" s="19">
        <f>Tienda!$K2576-Tienda!$K2576*Tienda!$L2576</f>
        <v>60.024000000000001</v>
      </c>
      <c r="N1501" s="3" t="s">
        <v>10038</v>
      </c>
      <c r="O1501" s="3" t="s">
        <v>10042</v>
      </c>
      <c r="P1501" s="17">
        <v>45544</v>
      </c>
      <c r="Q1501" s="4">
        <v>3</v>
      </c>
    </row>
    <row r="1502" spans="1:17" x14ac:dyDescent="0.25">
      <c r="A1502" s="2" t="s">
        <v>4108</v>
      </c>
      <c r="B1502" s="3" t="s">
        <v>5015</v>
      </c>
      <c r="C1502" s="3">
        <v>23</v>
      </c>
      <c r="D1502" s="46" t="str">
        <f>IF(Tabla1[[#This Row],[EDAD]]&lt;=35,"Adultos jóvenes 18 - 35 años",IF(C1502&gt;=36,"Adultos mayores 36 años en adelante"))</f>
        <v>Adultos jóvenes 18 - 35 años</v>
      </c>
      <c r="E1502" s="3" t="s">
        <v>5019</v>
      </c>
      <c r="F1502" s="3" t="s">
        <v>5024</v>
      </c>
      <c r="G1502" s="3" t="s">
        <v>5034</v>
      </c>
      <c r="H1502" s="3" t="s">
        <v>9131</v>
      </c>
      <c r="I1502" s="17">
        <v>45635</v>
      </c>
      <c r="J1502" s="18">
        <f>YEAR(Tabla1[[#This Row],[FECHA DE COMPRA]])</f>
        <v>2024</v>
      </c>
      <c r="K1502" s="19">
        <v>127.37</v>
      </c>
      <c r="L1502" s="20">
        <v>0.2</v>
      </c>
      <c r="M1502" s="19">
        <f>Tienda!$K2577-Tienda!$K2577*Tienda!$L2577</f>
        <v>77.36</v>
      </c>
      <c r="N1502" s="3" t="s">
        <v>10038</v>
      </c>
      <c r="O1502" s="3" t="s">
        <v>10042</v>
      </c>
      <c r="P1502" s="17">
        <v>45810</v>
      </c>
      <c r="Q1502" s="4">
        <v>12</v>
      </c>
    </row>
    <row r="1503" spans="1:17" x14ac:dyDescent="0.25">
      <c r="A1503" s="2" t="s">
        <v>3581</v>
      </c>
      <c r="B1503" s="3" t="s">
        <v>5015</v>
      </c>
      <c r="C1503" s="3">
        <v>19</v>
      </c>
      <c r="D1503" s="46" t="str">
        <f>IF(Tabla1[[#This Row],[EDAD]]&lt;=35,"Adultos jóvenes 18 - 35 años",IF(C1503&gt;=36,"Adultos mayores 36 años en adelante"))</f>
        <v>Adultos jóvenes 18 - 35 años</v>
      </c>
      <c r="E1503" s="3" t="s">
        <v>5019</v>
      </c>
      <c r="F1503" s="3" t="s">
        <v>5025</v>
      </c>
      <c r="G1503" s="3" t="s">
        <v>5033</v>
      </c>
      <c r="H1503" s="3" t="s">
        <v>8604</v>
      </c>
      <c r="I1503" s="17">
        <v>45443</v>
      </c>
      <c r="J1503" s="18">
        <f>YEAR(Tabla1[[#This Row],[FECHA DE COMPRA]])</f>
        <v>2024</v>
      </c>
      <c r="K1503" s="19">
        <v>101.96</v>
      </c>
      <c r="L1503" s="20">
        <v>0</v>
      </c>
      <c r="M1503" s="19">
        <f>Tienda!$K2578-Tienda!$K2578*Tienda!$L2578</f>
        <v>66.679999999999993</v>
      </c>
      <c r="N1503" s="3" t="s">
        <v>10038</v>
      </c>
      <c r="O1503" s="3" t="s">
        <v>10042</v>
      </c>
      <c r="P1503" s="17">
        <v>45443</v>
      </c>
      <c r="Q1503" s="4">
        <v>6</v>
      </c>
    </row>
    <row r="1504" spans="1:17" x14ac:dyDescent="0.25">
      <c r="A1504" s="2" t="s">
        <v>1170</v>
      </c>
      <c r="B1504" s="3" t="s">
        <v>5016</v>
      </c>
      <c r="C1504" s="3">
        <v>23</v>
      </c>
      <c r="D1504" s="46" t="str">
        <f>IF(Tabla1[[#This Row],[EDAD]]&lt;=35,"Adultos jóvenes 18 - 35 años",IF(C1504&gt;=36,"Adultos mayores 36 años en adelante"))</f>
        <v>Adultos jóvenes 18 - 35 años</v>
      </c>
      <c r="E1504" s="3" t="s">
        <v>5021</v>
      </c>
      <c r="F1504" s="3" t="s">
        <v>5026</v>
      </c>
      <c r="G1504" s="3" t="s">
        <v>5033</v>
      </c>
      <c r="H1504" s="3" t="s">
        <v>6193</v>
      </c>
      <c r="I1504" s="17">
        <v>45618</v>
      </c>
      <c r="J1504" s="18">
        <f>YEAR(Tabla1[[#This Row],[FECHA DE COMPRA]])</f>
        <v>2024</v>
      </c>
      <c r="K1504" s="19">
        <v>127.48</v>
      </c>
      <c r="L1504" s="20">
        <v>0.2</v>
      </c>
      <c r="M1504" s="19">
        <f>Tienda!$K2579-Tienda!$K2579*Tienda!$L2579</f>
        <v>75.302999999999997</v>
      </c>
      <c r="N1504" s="3" t="s">
        <v>10038</v>
      </c>
      <c r="O1504" s="3" t="s">
        <v>10042</v>
      </c>
      <c r="P1504" s="17">
        <v>45888</v>
      </c>
      <c r="Q1504" s="4">
        <v>9</v>
      </c>
    </row>
    <row r="1505" spans="1:17" x14ac:dyDescent="0.25">
      <c r="A1505" s="2" t="s">
        <v>676</v>
      </c>
      <c r="B1505" s="3" t="s">
        <v>5016</v>
      </c>
      <c r="C1505" s="3">
        <v>33</v>
      </c>
      <c r="D1505" s="46" t="str">
        <f>IF(Tabla1[[#This Row],[EDAD]]&lt;=35,"Adultos jóvenes 18 - 35 años",IF(C1505&gt;=36,"Adultos mayores 36 años en adelante"))</f>
        <v>Adultos jóvenes 18 - 35 años</v>
      </c>
      <c r="E1505" s="3" t="s">
        <v>5019</v>
      </c>
      <c r="F1505" s="3" t="s">
        <v>5027</v>
      </c>
      <c r="G1505" s="3" t="s">
        <v>5035</v>
      </c>
      <c r="H1505" s="3" t="s">
        <v>5699</v>
      </c>
      <c r="I1505" s="17">
        <v>45435</v>
      </c>
      <c r="J1505" s="18">
        <f>YEAR(Tabla1[[#This Row],[FECHA DE COMPRA]])</f>
        <v>2024</v>
      </c>
      <c r="K1505" s="19">
        <v>127.91</v>
      </c>
      <c r="L1505" s="20">
        <v>0.2</v>
      </c>
      <c r="M1505" s="19">
        <f>Tienda!$K2582-Tienda!$K2582*Tienda!$L2582</f>
        <v>66.787000000000006</v>
      </c>
      <c r="N1505" s="3" t="s">
        <v>10038</v>
      </c>
      <c r="O1505" s="3" t="s">
        <v>10042</v>
      </c>
      <c r="P1505" s="17">
        <v>45795</v>
      </c>
      <c r="Q1505" s="4">
        <v>12</v>
      </c>
    </row>
    <row r="1506" spans="1:17" x14ac:dyDescent="0.25">
      <c r="A1506" s="2" t="s">
        <v>2865</v>
      </c>
      <c r="B1506" s="3" t="s">
        <v>5015</v>
      </c>
      <c r="C1506" s="3">
        <v>27</v>
      </c>
      <c r="D1506" s="46" t="str">
        <f>IF(Tabla1[[#This Row],[EDAD]]&lt;=35,"Adultos jóvenes 18 - 35 años",IF(C1506&gt;=36,"Adultos mayores 36 años en adelante"))</f>
        <v>Adultos jóvenes 18 - 35 años</v>
      </c>
      <c r="E1506" s="3" t="s">
        <v>5021</v>
      </c>
      <c r="F1506" s="3" t="s">
        <v>5028</v>
      </c>
      <c r="G1506" s="3" t="s">
        <v>5034</v>
      </c>
      <c r="H1506" s="3" t="s">
        <v>7888</v>
      </c>
      <c r="I1506" s="17">
        <v>45332</v>
      </c>
      <c r="J1506" s="18">
        <f>YEAR(Tabla1[[#This Row],[FECHA DE COMPRA]])</f>
        <v>2024</v>
      </c>
      <c r="K1506" s="19">
        <v>146.43</v>
      </c>
      <c r="L1506" s="20">
        <v>0.3</v>
      </c>
      <c r="M1506" s="19">
        <f>Tienda!$K2584-Tienda!$K2584*Tienda!$L2584</f>
        <v>105.91200000000001</v>
      </c>
      <c r="N1506" s="3" t="s">
        <v>10038</v>
      </c>
      <c r="O1506" s="3" t="s">
        <v>10042</v>
      </c>
      <c r="P1506" s="17">
        <v>45692</v>
      </c>
      <c r="Q1506" s="4">
        <v>12</v>
      </c>
    </row>
    <row r="1507" spans="1:17" x14ac:dyDescent="0.25">
      <c r="A1507" s="2" t="s">
        <v>764</v>
      </c>
      <c r="B1507" s="3" t="s">
        <v>5015</v>
      </c>
      <c r="C1507" s="3">
        <v>30</v>
      </c>
      <c r="D1507" s="46" t="str">
        <f>IF(Tabla1[[#This Row],[EDAD]]&lt;=35,"Adultos jóvenes 18 - 35 años",IF(C1507&gt;=36,"Adultos mayores 36 años en adelante"))</f>
        <v>Adultos jóvenes 18 - 35 años</v>
      </c>
      <c r="E1507" s="3" t="s">
        <v>5020</v>
      </c>
      <c r="F1507" s="3" t="s">
        <v>5028</v>
      </c>
      <c r="G1507" s="3" t="s">
        <v>5036</v>
      </c>
      <c r="H1507" s="3" t="s">
        <v>5787</v>
      </c>
      <c r="I1507" s="17">
        <v>45537</v>
      </c>
      <c r="J1507" s="18">
        <f>YEAR(Tabla1[[#This Row],[FECHA DE COMPRA]])</f>
        <v>2024</v>
      </c>
      <c r="K1507" s="19">
        <v>128.13999999999999</v>
      </c>
      <c r="L1507" s="20">
        <v>0.2</v>
      </c>
      <c r="M1507" s="19">
        <f>Tienda!$K2585-Tienda!$K2585*Tienda!$L2585</f>
        <v>97.16</v>
      </c>
      <c r="N1507" s="3" t="s">
        <v>10038</v>
      </c>
      <c r="O1507" s="3" t="s">
        <v>10042</v>
      </c>
      <c r="P1507" s="17">
        <v>45807</v>
      </c>
      <c r="Q1507" s="4">
        <v>9</v>
      </c>
    </row>
    <row r="1508" spans="1:17" x14ac:dyDescent="0.25">
      <c r="A1508" s="2" t="s">
        <v>4929</v>
      </c>
      <c r="B1508" s="3" t="s">
        <v>5015</v>
      </c>
      <c r="C1508" s="3">
        <v>30</v>
      </c>
      <c r="D1508" s="46" t="str">
        <f>IF(Tabla1[[#This Row],[EDAD]]&lt;=35,"Adultos jóvenes 18 - 35 años",IF(C1508&gt;=36,"Adultos mayores 36 años en adelante"))</f>
        <v>Adultos jóvenes 18 - 35 años</v>
      </c>
      <c r="E1508" s="3" t="s">
        <v>5017</v>
      </c>
      <c r="F1508" s="3" t="s">
        <v>5026</v>
      </c>
      <c r="G1508" s="3" t="s">
        <v>5031</v>
      </c>
      <c r="H1508" s="3" t="s">
        <v>9952</v>
      </c>
      <c r="I1508" s="17">
        <v>45485</v>
      </c>
      <c r="J1508" s="18">
        <f>YEAR(Tabla1[[#This Row],[FECHA DE COMPRA]])</f>
        <v>2024</v>
      </c>
      <c r="K1508" s="19">
        <v>114.75</v>
      </c>
      <c r="L1508" s="20">
        <v>0.1</v>
      </c>
      <c r="M1508" s="19">
        <f>Tienda!$K2590-Tienda!$K2590*Tienda!$L2590</f>
        <v>140.30000000000001</v>
      </c>
      <c r="N1508" s="3" t="s">
        <v>10038</v>
      </c>
      <c r="O1508" s="3" t="s">
        <v>10042</v>
      </c>
      <c r="P1508" s="17">
        <v>45845</v>
      </c>
      <c r="Q1508" s="4">
        <v>12</v>
      </c>
    </row>
    <row r="1509" spans="1:17" x14ac:dyDescent="0.25">
      <c r="A1509" s="2" t="s">
        <v>2544</v>
      </c>
      <c r="B1509" s="3" t="s">
        <v>5015</v>
      </c>
      <c r="C1509" s="3">
        <v>28</v>
      </c>
      <c r="D1509" s="46" t="str">
        <f>IF(Tabla1[[#This Row],[EDAD]]&lt;=35,"Adultos jóvenes 18 - 35 años",IF(C1509&gt;=36,"Adultos mayores 36 años en adelante"))</f>
        <v>Adultos jóvenes 18 - 35 años</v>
      </c>
      <c r="E1509" s="3" t="s">
        <v>5023</v>
      </c>
      <c r="F1509" s="3" t="s">
        <v>5028</v>
      </c>
      <c r="G1509" s="3" t="s">
        <v>5036</v>
      </c>
      <c r="H1509" s="3" t="s">
        <v>7567</v>
      </c>
      <c r="I1509" s="17">
        <v>45374</v>
      </c>
      <c r="J1509" s="18">
        <f>YEAR(Tabla1[[#This Row],[FECHA DE COMPRA]])</f>
        <v>2024</v>
      </c>
      <c r="K1509" s="19">
        <v>103.97</v>
      </c>
      <c r="L1509" s="20">
        <v>0</v>
      </c>
      <c r="M1509" s="19">
        <f>Tienda!$K2595-Tienda!$K2595*Tienda!$L2595</f>
        <v>112.53900000000002</v>
      </c>
      <c r="N1509" s="3" t="s">
        <v>10038</v>
      </c>
      <c r="O1509" s="3" t="s">
        <v>10042</v>
      </c>
      <c r="P1509" s="17">
        <v>45374</v>
      </c>
      <c r="Q1509" s="4">
        <v>3</v>
      </c>
    </row>
    <row r="1510" spans="1:17" x14ac:dyDescent="0.25">
      <c r="A1510" s="2" t="s">
        <v>3006</v>
      </c>
      <c r="B1510" s="3" t="s">
        <v>5015</v>
      </c>
      <c r="C1510" s="3">
        <v>18</v>
      </c>
      <c r="D1510" s="46" t="str">
        <f>IF(Tabla1[[#This Row],[EDAD]]&lt;=35,"Adultos jóvenes 18 - 35 años",IF(C1510&gt;=36,"Adultos mayores 36 años en adelante"))</f>
        <v>Adultos jóvenes 18 - 35 años</v>
      </c>
      <c r="E1510" s="3" t="s">
        <v>5018</v>
      </c>
      <c r="F1510" s="3" t="s">
        <v>5025</v>
      </c>
      <c r="G1510" s="3" t="s">
        <v>5037</v>
      </c>
      <c r="H1510" s="3" t="s">
        <v>8029</v>
      </c>
      <c r="I1510" s="17">
        <v>45419</v>
      </c>
      <c r="J1510" s="18">
        <f>YEAR(Tabla1[[#This Row],[FECHA DE COMPRA]])</f>
        <v>2024</v>
      </c>
      <c r="K1510" s="19">
        <v>150.28</v>
      </c>
      <c r="L1510" s="20">
        <v>0.3</v>
      </c>
      <c r="M1510" s="19">
        <f>Tienda!$K2601-Tienda!$K2601*Tienda!$L2601</f>
        <v>142.77600000000001</v>
      </c>
      <c r="N1510" s="3" t="s">
        <v>10038</v>
      </c>
      <c r="O1510" s="3" t="s">
        <v>10042</v>
      </c>
      <c r="P1510" s="17">
        <v>45419</v>
      </c>
      <c r="Q1510" s="4">
        <v>9</v>
      </c>
    </row>
    <row r="1511" spans="1:17" x14ac:dyDescent="0.25">
      <c r="A1511" s="2" t="s">
        <v>1199</v>
      </c>
      <c r="B1511" s="3" t="s">
        <v>5016</v>
      </c>
      <c r="C1511" s="3">
        <v>27</v>
      </c>
      <c r="D1511" s="46" t="str">
        <f>IF(Tabla1[[#This Row],[EDAD]]&lt;=35,"Adultos jóvenes 18 - 35 años",IF(C1511&gt;=36,"Adultos mayores 36 años en adelante"))</f>
        <v>Adultos jóvenes 18 - 35 años</v>
      </c>
      <c r="E1511" s="3" t="s">
        <v>5023</v>
      </c>
      <c r="F1511" s="3" t="s">
        <v>5030</v>
      </c>
      <c r="G1511" s="3" t="s">
        <v>5034</v>
      </c>
      <c r="H1511" s="3" t="s">
        <v>6222</v>
      </c>
      <c r="I1511" s="17">
        <v>45408</v>
      </c>
      <c r="J1511" s="18">
        <f>YEAR(Tabla1[[#This Row],[FECHA DE COMPRA]])</f>
        <v>2024</v>
      </c>
      <c r="K1511" s="19">
        <v>132.34</v>
      </c>
      <c r="L1511" s="20">
        <v>0.2</v>
      </c>
      <c r="M1511" s="19">
        <f>Tienda!$K2606-Tienda!$K2606*Tienda!$L2606</f>
        <v>177.55199999999999</v>
      </c>
      <c r="N1511" s="3" t="s">
        <v>10038</v>
      </c>
      <c r="O1511" s="3" t="s">
        <v>10042</v>
      </c>
      <c r="P1511" s="17">
        <v>45408</v>
      </c>
      <c r="Q1511" s="4">
        <v>9</v>
      </c>
    </row>
    <row r="1512" spans="1:17" x14ac:dyDescent="0.25">
      <c r="A1512" s="2" t="s">
        <v>4183</v>
      </c>
      <c r="B1512" s="3" t="s">
        <v>5015</v>
      </c>
      <c r="C1512" s="3">
        <v>33</v>
      </c>
      <c r="D1512" s="46" t="str">
        <f>IF(Tabla1[[#This Row],[EDAD]]&lt;=35,"Adultos jóvenes 18 - 35 años",IF(C1512&gt;=36,"Adultos mayores 36 años en adelante"))</f>
        <v>Adultos jóvenes 18 - 35 años</v>
      </c>
      <c r="E1512" s="3" t="s">
        <v>5023</v>
      </c>
      <c r="F1512" s="3" t="s">
        <v>5026</v>
      </c>
      <c r="G1512" s="3" t="s">
        <v>5031</v>
      </c>
      <c r="H1512" s="3" t="s">
        <v>9206</v>
      </c>
      <c r="I1512" s="17">
        <v>45499</v>
      </c>
      <c r="J1512" s="18">
        <f>YEAR(Tabla1[[#This Row],[FECHA DE COMPRA]])</f>
        <v>2024</v>
      </c>
      <c r="K1512" s="19">
        <v>132.88</v>
      </c>
      <c r="L1512" s="20">
        <v>0.2</v>
      </c>
      <c r="M1512" s="19">
        <f>Tienda!$K2608-Tienda!$K2608*Tienda!$L2608</f>
        <v>14</v>
      </c>
      <c r="N1512" s="3" t="s">
        <v>10038</v>
      </c>
      <c r="O1512" s="3" t="s">
        <v>10042</v>
      </c>
      <c r="P1512" s="17">
        <v>45499</v>
      </c>
      <c r="Q1512" s="4">
        <v>12</v>
      </c>
    </row>
    <row r="1513" spans="1:17" x14ac:dyDescent="0.25">
      <c r="A1513" s="2" t="s">
        <v>673</v>
      </c>
      <c r="B1513" s="3" t="s">
        <v>5015</v>
      </c>
      <c r="C1513" s="3">
        <v>31</v>
      </c>
      <c r="D1513" s="46" t="str">
        <f>IF(Tabla1[[#This Row],[EDAD]]&lt;=35,"Adultos jóvenes 18 - 35 años",IF(C1513&gt;=36,"Adultos mayores 36 años en adelante"))</f>
        <v>Adultos jóvenes 18 - 35 años</v>
      </c>
      <c r="E1513" s="3" t="s">
        <v>5022</v>
      </c>
      <c r="F1513" s="3" t="s">
        <v>5028</v>
      </c>
      <c r="G1513" s="3" t="s">
        <v>5034</v>
      </c>
      <c r="H1513" s="3" t="s">
        <v>5696</v>
      </c>
      <c r="I1513" s="17">
        <v>45529</v>
      </c>
      <c r="J1513" s="18">
        <f>YEAR(Tabla1[[#This Row],[FECHA DE COMPRA]])</f>
        <v>2024</v>
      </c>
      <c r="K1513" s="19">
        <v>151.96</v>
      </c>
      <c r="L1513" s="20">
        <v>0.3</v>
      </c>
      <c r="M1513" s="19">
        <f>Tienda!$K2609-Tienda!$K2609*Tienda!$L2609</f>
        <v>14.251999999999999</v>
      </c>
      <c r="N1513" s="3" t="s">
        <v>10038</v>
      </c>
      <c r="O1513" s="3" t="s">
        <v>10042</v>
      </c>
      <c r="P1513" s="17">
        <v>45799</v>
      </c>
      <c r="Q1513" s="4">
        <v>9</v>
      </c>
    </row>
    <row r="1514" spans="1:17" x14ac:dyDescent="0.25">
      <c r="A1514" s="2" t="s">
        <v>3043</v>
      </c>
      <c r="B1514" s="3" t="s">
        <v>5015</v>
      </c>
      <c r="C1514" s="3">
        <v>21</v>
      </c>
      <c r="D1514" s="46" t="str">
        <f>IF(Tabla1[[#This Row],[EDAD]]&lt;=35,"Adultos jóvenes 18 - 35 años",IF(C1514&gt;=36,"Adultos mayores 36 años en adelante"))</f>
        <v>Adultos jóvenes 18 - 35 años</v>
      </c>
      <c r="E1514" s="3" t="s">
        <v>5020</v>
      </c>
      <c r="F1514" s="3" t="s">
        <v>5027</v>
      </c>
      <c r="G1514" s="3" t="s">
        <v>5031</v>
      </c>
      <c r="H1514" s="3" t="s">
        <v>8066</v>
      </c>
      <c r="I1514" s="17">
        <v>45592</v>
      </c>
      <c r="J1514" s="18">
        <f>YEAR(Tabla1[[#This Row],[FECHA DE COMPRA]])</f>
        <v>2024</v>
      </c>
      <c r="K1514" s="19">
        <v>107.11</v>
      </c>
      <c r="L1514" s="20">
        <v>0</v>
      </c>
      <c r="M1514" s="19">
        <f>Tienda!$K2618-Tienda!$K2618*Tienda!$L2618</f>
        <v>33.678000000000004</v>
      </c>
      <c r="N1514" s="3" t="s">
        <v>10038</v>
      </c>
      <c r="O1514" s="3" t="s">
        <v>10042</v>
      </c>
      <c r="P1514" s="17">
        <v>45772</v>
      </c>
      <c r="Q1514" s="4">
        <v>6</v>
      </c>
    </row>
    <row r="1515" spans="1:17" x14ac:dyDescent="0.25">
      <c r="A1515" s="2" t="s">
        <v>4406</v>
      </c>
      <c r="B1515" s="3" t="s">
        <v>5015</v>
      </c>
      <c r="C1515" s="3">
        <v>28</v>
      </c>
      <c r="D1515" s="46" t="str">
        <f>IF(Tabla1[[#This Row],[EDAD]]&lt;=35,"Adultos jóvenes 18 - 35 años",IF(C1515&gt;=36,"Adultos mayores 36 años en adelante"))</f>
        <v>Adultos jóvenes 18 - 35 años</v>
      </c>
      <c r="E1515" s="3" t="s">
        <v>5019</v>
      </c>
      <c r="F1515" s="3" t="s">
        <v>5025</v>
      </c>
      <c r="G1515" s="3" t="s">
        <v>5036</v>
      </c>
      <c r="H1515" s="3" t="s">
        <v>9429</v>
      </c>
      <c r="I1515" s="17">
        <v>45398</v>
      </c>
      <c r="J1515" s="18">
        <f>YEAR(Tabla1[[#This Row],[FECHA DE COMPRA]])</f>
        <v>2024</v>
      </c>
      <c r="K1515" s="19">
        <v>107.14</v>
      </c>
      <c r="L1515" s="20">
        <v>0</v>
      </c>
      <c r="M1515" s="19">
        <f>Tienda!$K2619-Tienda!$K2619*Tienda!$L2619</f>
        <v>34.200000000000003</v>
      </c>
      <c r="N1515" s="3" t="s">
        <v>10038</v>
      </c>
      <c r="O1515" s="3" t="s">
        <v>10042</v>
      </c>
      <c r="P1515" s="17">
        <v>45488</v>
      </c>
      <c r="Q1515" s="4">
        <v>3</v>
      </c>
    </row>
    <row r="1516" spans="1:17" x14ac:dyDescent="0.25">
      <c r="A1516" s="2" t="s">
        <v>1912</v>
      </c>
      <c r="B1516" s="3" t="s">
        <v>5016</v>
      </c>
      <c r="C1516" s="3">
        <v>19</v>
      </c>
      <c r="D1516" s="46" t="str">
        <f>IF(Tabla1[[#This Row],[EDAD]]&lt;=35,"Adultos jóvenes 18 - 35 años",IF(C1516&gt;=36,"Adultos mayores 36 años en adelante"))</f>
        <v>Adultos jóvenes 18 - 35 años</v>
      </c>
      <c r="E1516" s="3" t="s">
        <v>5019</v>
      </c>
      <c r="F1516" s="3" t="s">
        <v>5028</v>
      </c>
      <c r="G1516" s="3" t="s">
        <v>5033</v>
      </c>
      <c r="H1516" s="3" t="s">
        <v>6935</v>
      </c>
      <c r="I1516" s="17">
        <v>45324</v>
      </c>
      <c r="J1516" s="18">
        <f>YEAR(Tabla1[[#This Row],[FECHA DE COMPRA]])</f>
        <v>2024</v>
      </c>
      <c r="K1516" s="19">
        <v>119.76</v>
      </c>
      <c r="L1516" s="20">
        <v>0.1</v>
      </c>
      <c r="M1516" s="19">
        <f>Tienda!$K2625-Tienda!$K2625*Tienda!$L2625</f>
        <v>60.912000000000006</v>
      </c>
      <c r="N1516" s="3" t="s">
        <v>10038</v>
      </c>
      <c r="O1516" s="3" t="s">
        <v>10042</v>
      </c>
      <c r="P1516" s="17">
        <v>45324</v>
      </c>
      <c r="Q1516" s="4">
        <v>9</v>
      </c>
    </row>
    <row r="1517" spans="1:17" x14ac:dyDescent="0.25">
      <c r="A1517" s="2" t="s">
        <v>806</v>
      </c>
      <c r="B1517" s="3" t="s">
        <v>5016</v>
      </c>
      <c r="C1517" s="3">
        <v>31</v>
      </c>
      <c r="D1517" s="46" t="str">
        <f>IF(Tabla1[[#This Row],[EDAD]]&lt;=35,"Adultos jóvenes 18 - 35 años",IF(C1517&gt;=36,"Adultos mayores 36 años en adelante"))</f>
        <v>Adultos jóvenes 18 - 35 años</v>
      </c>
      <c r="E1517" s="3" t="s">
        <v>5021</v>
      </c>
      <c r="F1517" s="3" t="s">
        <v>5026</v>
      </c>
      <c r="G1517" s="3" t="s">
        <v>5031</v>
      </c>
      <c r="H1517" s="3" t="s">
        <v>5829</v>
      </c>
      <c r="I1517" s="17">
        <v>45516</v>
      </c>
      <c r="J1517" s="18">
        <f>YEAR(Tabla1[[#This Row],[FECHA DE COMPRA]])</f>
        <v>2024</v>
      </c>
      <c r="K1517" s="19">
        <v>154.03</v>
      </c>
      <c r="L1517" s="20">
        <v>0.3</v>
      </c>
      <c r="M1517" s="19">
        <f>Tienda!$K2626-Tienda!$K2626*Tienda!$L2626</f>
        <v>47.543999999999997</v>
      </c>
      <c r="N1517" s="3" t="s">
        <v>10038</v>
      </c>
      <c r="O1517" s="3" t="s">
        <v>10042</v>
      </c>
      <c r="P1517" s="17">
        <v>45696</v>
      </c>
      <c r="Q1517" s="4">
        <v>6</v>
      </c>
    </row>
    <row r="1518" spans="1:17" x14ac:dyDescent="0.25">
      <c r="A1518" s="2" t="s">
        <v>227</v>
      </c>
      <c r="B1518" s="3" t="s">
        <v>5015</v>
      </c>
      <c r="C1518" s="3">
        <v>30</v>
      </c>
      <c r="D1518" s="46" t="str">
        <f>IF(Tabla1[[#This Row],[EDAD]]&lt;=35,"Adultos jóvenes 18 - 35 años",IF(C1518&gt;=36,"Adultos mayores 36 años en adelante"))</f>
        <v>Adultos jóvenes 18 - 35 años</v>
      </c>
      <c r="E1518" s="3" t="s">
        <v>5020</v>
      </c>
      <c r="F1518" s="3" t="s">
        <v>5029</v>
      </c>
      <c r="G1518" s="3" t="s">
        <v>5031</v>
      </c>
      <c r="H1518" s="3" t="s">
        <v>5250</v>
      </c>
      <c r="I1518" s="17">
        <v>45384</v>
      </c>
      <c r="J1518" s="18">
        <f>YEAR(Tabla1[[#This Row],[FECHA DE COMPRA]])</f>
        <v>2024</v>
      </c>
      <c r="K1518" s="19">
        <v>107.92</v>
      </c>
      <c r="L1518" s="20">
        <v>0</v>
      </c>
      <c r="M1518" s="19">
        <f>Tienda!$K2627-Tienda!$K2627*Tienda!$L2627</f>
        <v>61.739999999999995</v>
      </c>
      <c r="N1518" s="3" t="s">
        <v>10038</v>
      </c>
      <c r="O1518" s="3" t="s">
        <v>10042</v>
      </c>
      <c r="P1518" s="17">
        <v>45474</v>
      </c>
      <c r="Q1518" s="4">
        <v>3</v>
      </c>
    </row>
    <row r="1519" spans="1:17" x14ac:dyDescent="0.25">
      <c r="A1519" s="2" t="s">
        <v>4535</v>
      </c>
      <c r="B1519" s="3" t="s">
        <v>5015</v>
      </c>
      <c r="C1519" s="3">
        <v>25</v>
      </c>
      <c r="D1519" s="46" t="str">
        <f>IF(Tabla1[[#This Row],[EDAD]]&lt;=35,"Adultos jóvenes 18 - 35 años",IF(C1519&gt;=36,"Adultos mayores 36 años en adelante"))</f>
        <v>Adultos jóvenes 18 - 35 años</v>
      </c>
      <c r="E1519" s="3" t="s">
        <v>5019</v>
      </c>
      <c r="F1519" s="3" t="s">
        <v>5027</v>
      </c>
      <c r="G1519" s="3" t="s">
        <v>5032</v>
      </c>
      <c r="H1519" s="3" t="s">
        <v>9558</v>
      </c>
      <c r="I1519" s="17">
        <v>45624</v>
      </c>
      <c r="J1519" s="18">
        <f>YEAR(Tabla1[[#This Row],[FECHA DE COMPRA]])</f>
        <v>2024</v>
      </c>
      <c r="K1519" s="19">
        <v>108.88</v>
      </c>
      <c r="L1519" s="20">
        <v>0</v>
      </c>
      <c r="M1519" s="19">
        <f>Tienda!$K2634-Tienda!$K2634*Tienda!$L2634</f>
        <v>65.84</v>
      </c>
      <c r="N1519" s="3" t="s">
        <v>10038</v>
      </c>
      <c r="O1519" s="3" t="s">
        <v>10042</v>
      </c>
      <c r="P1519" s="17">
        <v>45771</v>
      </c>
      <c r="Q1519" s="4">
        <v>9</v>
      </c>
    </row>
    <row r="1520" spans="1:17" x14ac:dyDescent="0.25">
      <c r="A1520" s="2" t="s">
        <v>1150</v>
      </c>
      <c r="B1520" s="3" t="s">
        <v>5016</v>
      </c>
      <c r="C1520" s="3">
        <v>30</v>
      </c>
      <c r="D1520" s="46" t="str">
        <f>IF(Tabla1[[#This Row],[EDAD]]&lt;=35,"Adultos jóvenes 18 - 35 años",IF(C1520&gt;=36,"Adultos mayores 36 años en adelante"))</f>
        <v>Adultos jóvenes 18 - 35 años</v>
      </c>
      <c r="E1520" s="3" t="s">
        <v>5023</v>
      </c>
      <c r="F1520" s="3" t="s">
        <v>5029</v>
      </c>
      <c r="G1520" s="3" t="s">
        <v>5037</v>
      </c>
      <c r="H1520" s="3" t="s">
        <v>6173</v>
      </c>
      <c r="I1520" s="17">
        <v>45321</v>
      </c>
      <c r="J1520" s="18">
        <f>YEAR(Tabla1[[#This Row],[FECHA DE COMPRA]])</f>
        <v>2024</v>
      </c>
      <c r="K1520" s="19">
        <v>122.63</v>
      </c>
      <c r="L1520" s="20">
        <v>0.1</v>
      </c>
      <c r="M1520" s="19">
        <f>Tienda!$K2642-Tienda!$K2642*Tienda!$L2642</f>
        <v>93.97</v>
      </c>
      <c r="N1520" s="3" t="s">
        <v>10038</v>
      </c>
      <c r="O1520" s="3" t="s">
        <v>10042</v>
      </c>
      <c r="P1520" s="17">
        <v>45321</v>
      </c>
      <c r="Q1520" s="4">
        <v>9</v>
      </c>
    </row>
    <row r="1521" spans="1:17" x14ac:dyDescent="0.25">
      <c r="A1521" s="2" t="s">
        <v>3314</v>
      </c>
      <c r="B1521" s="3" t="s">
        <v>5015</v>
      </c>
      <c r="C1521" s="3">
        <v>33</v>
      </c>
      <c r="D1521" s="46" t="str">
        <f>IF(Tabla1[[#This Row],[EDAD]]&lt;=35,"Adultos jóvenes 18 - 35 años",IF(C1521&gt;=36,"Adultos mayores 36 años en adelante"))</f>
        <v>Adultos jóvenes 18 - 35 años</v>
      </c>
      <c r="E1521" s="3" t="s">
        <v>5018</v>
      </c>
      <c r="F1521" s="3" t="s">
        <v>5025</v>
      </c>
      <c r="G1521" s="3" t="s">
        <v>5036</v>
      </c>
      <c r="H1521" s="3" t="s">
        <v>8337</v>
      </c>
      <c r="I1521" s="17">
        <v>45353</v>
      </c>
      <c r="J1521" s="18">
        <f>YEAR(Tabla1[[#This Row],[FECHA DE COMPRA]])</f>
        <v>2024</v>
      </c>
      <c r="K1521" s="19">
        <v>123.42</v>
      </c>
      <c r="L1521" s="20">
        <v>0.1</v>
      </c>
      <c r="M1521" s="19">
        <f>Tienda!$K2651-Tienda!$K2651*Tienda!$L2651</f>
        <v>117.61200000000001</v>
      </c>
      <c r="N1521" s="3" t="s">
        <v>10038</v>
      </c>
      <c r="O1521" s="3" t="s">
        <v>10042</v>
      </c>
      <c r="P1521" s="17">
        <v>45713</v>
      </c>
      <c r="Q1521" s="4">
        <v>12</v>
      </c>
    </row>
    <row r="1522" spans="1:17" x14ac:dyDescent="0.25">
      <c r="A1522" s="2" t="s">
        <v>3123</v>
      </c>
      <c r="B1522" s="3" t="s">
        <v>5016</v>
      </c>
      <c r="C1522" s="3">
        <v>21</v>
      </c>
      <c r="D1522" s="46" t="str">
        <f>IF(Tabla1[[#This Row],[EDAD]]&lt;=35,"Adultos jóvenes 18 - 35 años",IF(C1522&gt;=36,"Adultos mayores 36 años en adelante"))</f>
        <v>Adultos jóvenes 18 - 35 años</v>
      </c>
      <c r="E1522" s="3" t="s">
        <v>5017</v>
      </c>
      <c r="F1522" s="3" t="s">
        <v>5030</v>
      </c>
      <c r="G1522" s="3" t="s">
        <v>5031</v>
      </c>
      <c r="H1522" s="3" t="s">
        <v>8146</v>
      </c>
      <c r="I1522" s="17">
        <v>45309</v>
      </c>
      <c r="J1522" s="18">
        <f>YEAR(Tabla1[[#This Row],[FECHA DE COMPRA]])</f>
        <v>2024</v>
      </c>
      <c r="K1522" s="19">
        <v>124.28</v>
      </c>
      <c r="L1522" s="20">
        <v>0.1</v>
      </c>
      <c r="M1522" s="19">
        <f>Tienda!$K2658-Tienda!$K2658*Tienda!$L2658</f>
        <v>143.10899999999998</v>
      </c>
      <c r="N1522" s="3" t="s">
        <v>10038</v>
      </c>
      <c r="O1522" s="3" t="s">
        <v>10042</v>
      </c>
      <c r="P1522" s="17">
        <v>45309</v>
      </c>
      <c r="Q1522" s="4">
        <v>12</v>
      </c>
    </row>
    <row r="1523" spans="1:17" x14ac:dyDescent="0.25">
      <c r="A1523" s="2" t="s">
        <v>3807</v>
      </c>
      <c r="B1523" s="3" t="s">
        <v>5015</v>
      </c>
      <c r="C1523" s="3">
        <v>19</v>
      </c>
      <c r="D1523" s="46" t="str">
        <f>IF(Tabla1[[#This Row],[EDAD]]&lt;=35,"Adultos jóvenes 18 - 35 años",IF(C1523&gt;=36,"Adultos mayores 36 años en adelante"))</f>
        <v>Adultos jóvenes 18 - 35 años</v>
      </c>
      <c r="E1523" s="3" t="s">
        <v>5017</v>
      </c>
      <c r="F1523" s="3" t="s">
        <v>5025</v>
      </c>
      <c r="G1523" s="3" t="s">
        <v>5031</v>
      </c>
      <c r="H1523" s="3" t="s">
        <v>8830</v>
      </c>
      <c r="I1523" s="17">
        <v>45308</v>
      </c>
      <c r="J1523" s="18">
        <f>YEAR(Tabla1[[#This Row],[FECHA DE COMPRA]])</f>
        <v>2024</v>
      </c>
      <c r="K1523" s="19">
        <v>124.4</v>
      </c>
      <c r="L1523" s="20">
        <v>0.1</v>
      </c>
      <c r="M1523" s="19">
        <f>Tienda!$K2660-Tienda!$K2660*Tienda!$L2660</f>
        <v>147.12299999999999</v>
      </c>
      <c r="N1523" s="3" t="s">
        <v>10038</v>
      </c>
      <c r="O1523" s="3" t="s">
        <v>10042</v>
      </c>
      <c r="P1523" s="17">
        <v>45308</v>
      </c>
      <c r="Q1523" s="4">
        <v>3</v>
      </c>
    </row>
    <row r="1524" spans="1:17" x14ac:dyDescent="0.25">
      <c r="A1524" s="2" t="s">
        <v>920</v>
      </c>
      <c r="B1524" s="3" t="s">
        <v>5015</v>
      </c>
      <c r="C1524" s="3">
        <v>35</v>
      </c>
      <c r="D1524" s="46" t="str">
        <f>IF(Tabla1[[#This Row],[EDAD]]&lt;=35,"Adultos jóvenes 18 - 35 años",IF(C1524&gt;=36,"Adultos mayores 36 años en adelante"))</f>
        <v>Adultos jóvenes 18 - 35 años</v>
      </c>
      <c r="E1524" s="3" t="s">
        <v>5020</v>
      </c>
      <c r="F1524" s="3" t="s">
        <v>5027</v>
      </c>
      <c r="G1524" s="3" t="s">
        <v>5035</v>
      </c>
      <c r="H1524" s="3" t="s">
        <v>5943</v>
      </c>
      <c r="I1524" s="17">
        <v>45335</v>
      </c>
      <c r="J1524" s="18">
        <f>YEAR(Tabla1[[#This Row],[FECHA DE COMPRA]])</f>
        <v>2024</v>
      </c>
      <c r="K1524" s="19">
        <v>124.73</v>
      </c>
      <c r="L1524" s="20">
        <v>0.1</v>
      </c>
      <c r="M1524" s="19">
        <f>Tienda!$K2664-Tienda!$K2664*Tienda!$L2664</f>
        <v>141.864</v>
      </c>
      <c r="N1524" s="3" t="s">
        <v>10038</v>
      </c>
      <c r="O1524" s="3" t="s">
        <v>10042</v>
      </c>
      <c r="P1524" s="17">
        <v>45335</v>
      </c>
      <c r="Q1524" s="4">
        <v>9</v>
      </c>
    </row>
    <row r="1525" spans="1:17" x14ac:dyDescent="0.25">
      <c r="A1525" s="2" t="s">
        <v>3399</v>
      </c>
      <c r="B1525" s="3" t="s">
        <v>5016</v>
      </c>
      <c r="C1525" s="3">
        <v>20</v>
      </c>
      <c r="D1525" s="46" t="str">
        <f>IF(Tabla1[[#This Row],[EDAD]]&lt;=35,"Adultos jóvenes 18 - 35 años",IF(C1525&gt;=36,"Adultos mayores 36 años en adelante"))</f>
        <v>Adultos jóvenes 18 - 35 años</v>
      </c>
      <c r="E1525" s="3" t="s">
        <v>5019</v>
      </c>
      <c r="F1525" s="3" t="s">
        <v>5024</v>
      </c>
      <c r="G1525" s="3" t="s">
        <v>5037</v>
      </c>
      <c r="H1525" s="3" t="s">
        <v>8422</v>
      </c>
      <c r="I1525" s="17">
        <v>45327</v>
      </c>
      <c r="J1525" s="18">
        <f>YEAR(Tabla1[[#This Row],[FECHA DE COMPRA]])</f>
        <v>2024</v>
      </c>
      <c r="K1525" s="19">
        <v>161.65</v>
      </c>
      <c r="L1525" s="20">
        <v>0.3</v>
      </c>
      <c r="M1525" s="19">
        <f>Tienda!$K2669-Tienda!$K2669*Tienda!$L2669</f>
        <v>7.7</v>
      </c>
      <c r="N1525" s="3" t="s">
        <v>10038</v>
      </c>
      <c r="O1525" s="3" t="s">
        <v>10042</v>
      </c>
      <c r="P1525" s="17">
        <v>45327</v>
      </c>
      <c r="Q1525" s="4">
        <v>3</v>
      </c>
    </row>
    <row r="1526" spans="1:17" x14ac:dyDescent="0.25">
      <c r="A1526" s="2" t="s">
        <v>3128</v>
      </c>
      <c r="B1526" s="3" t="s">
        <v>5015</v>
      </c>
      <c r="C1526" s="3">
        <v>29</v>
      </c>
      <c r="D1526" s="46" t="str">
        <f>IF(Tabla1[[#This Row],[EDAD]]&lt;=35,"Adultos jóvenes 18 - 35 años",IF(C1526&gt;=36,"Adultos mayores 36 años en adelante"))</f>
        <v>Adultos jóvenes 18 - 35 años</v>
      </c>
      <c r="E1526" s="3" t="s">
        <v>5021</v>
      </c>
      <c r="F1526" s="3" t="s">
        <v>5028</v>
      </c>
      <c r="G1526" s="3" t="s">
        <v>5035</v>
      </c>
      <c r="H1526" s="3" t="s">
        <v>8151</v>
      </c>
      <c r="I1526" s="17">
        <v>45347</v>
      </c>
      <c r="J1526" s="18">
        <f>YEAR(Tabla1[[#This Row],[FECHA DE COMPRA]])</f>
        <v>2024</v>
      </c>
      <c r="K1526" s="19">
        <v>161.88</v>
      </c>
      <c r="L1526" s="20">
        <v>0.3</v>
      </c>
      <c r="M1526" s="19">
        <f>Tienda!$K2671-Tienda!$K2671*Tienda!$L2671</f>
        <v>14.59</v>
      </c>
      <c r="N1526" s="3" t="s">
        <v>10038</v>
      </c>
      <c r="O1526" s="3" t="s">
        <v>10042</v>
      </c>
      <c r="P1526" s="17">
        <v>45347</v>
      </c>
      <c r="Q1526" s="4">
        <v>9</v>
      </c>
    </row>
    <row r="1527" spans="1:17" x14ac:dyDescent="0.25">
      <c r="A1527" s="2" t="s">
        <v>4417</v>
      </c>
      <c r="B1527" s="3" t="s">
        <v>5016</v>
      </c>
      <c r="C1527" s="3">
        <v>19</v>
      </c>
      <c r="D1527" s="46" t="str">
        <f>IF(Tabla1[[#This Row],[EDAD]]&lt;=35,"Adultos jóvenes 18 - 35 años",IF(C1527&gt;=36,"Adultos mayores 36 años en adelante"))</f>
        <v>Adultos jóvenes 18 - 35 años</v>
      </c>
      <c r="E1527" s="3" t="s">
        <v>5019</v>
      </c>
      <c r="F1527" s="3" t="s">
        <v>5026</v>
      </c>
      <c r="G1527" s="3" t="s">
        <v>5034</v>
      </c>
      <c r="H1527" s="3" t="s">
        <v>9440</v>
      </c>
      <c r="I1527" s="17">
        <v>45626</v>
      </c>
      <c r="J1527" s="18">
        <f>YEAR(Tabla1[[#This Row],[FECHA DE COMPRA]])</f>
        <v>2024</v>
      </c>
      <c r="K1527" s="19">
        <v>113.34</v>
      </c>
      <c r="L1527" s="20">
        <v>0</v>
      </c>
      <c r="M1527" s="19">
        <f>Tienda!$K2672-Tienda!$K2672*Tienda!$L2672</f>
        <v>14.292000000000002</v>
      </c>
      <c r="N1527" s="3" t="s">
        <v>10038</v>
      </c>
      <c r="O1527" s="3" t="s">
        <v>10042</v>
      </c>
      <c r="P1527" s="17">
        <v>45806</v>
      </c>
      <c r="Q1527" s="4">
        <v>6</v>
      </c>
    </row>
    <row r="1528" spans="1:17" x14ac:dyDescent="0.25">
      <c r="A1528" s="2" t="s">
        <v>4218</v>
      </c>
      <c r="B1528" s="3" t="s">
        <v>5015</v>
      </c>
      <c r="C1528" s="3">
        <v>35</v>
      </c>
      <c r="D1528" s="46" t="str">
        <f>IF(Tabla1[[#This Row],[EDAD]]&lt;=35,"Adultos jóvenes 18 - 35 años",IF(C1528&gt;=36,"Adultos mayores 36 años en adelante"))</f>
        <v>Adultos jóvenes 18 - 35 años</v>
      </c>
      <c r="E1528" s="3" t="s">
        <v>5018</v>
      </c>
      <c r="F1528" s="3" t="s">
        <v>5026</v>
      </c>
      <c r="G1528" s="3" t="s">
        <v>5035</v>
      </c>
      <c r="H1528" s="3" t="s">
        <v>9241</v>
      </c>
      <c r="I1528" s="17">
        <v>45570</v>
      </c>
      <c r="J1528" s="18">
        <f>YEAR(Tabla1[[#This Row],[FECHA DE COMPRA]])</f>
        <v>2024</v>
      </c>
      <c r="K1528" s="19">
        <v>141.91999999999999</v>
      </c>
      <c r="L1528" s="20">
        <v>0.2</v>
      </c>
      <c r="M1528" s="19">
        <f>Tienda!$K2674-Tienda!$K2674*Tienda!$L2674</f>
        <v>17.224</v>
      </c>
      <c r="N1528" s="3" t="s">
        <v>10038</v>
      </c>
      <c r="O1528" s="3" t="s">
        <v>10042</v>
      </c>
      <c r="P1528" s="17">
        <v>45570</v>
      </c>
      <c r="Q1528" s="4">
        <v>9</v>
      </c>
    </row>
    <row r="1529" spans="1:17" x14ac:dyDescent="0.25">
      <c r="A1529" s="2" t="s">
        <v>3445</v>
      </c>
      <c r="B1529" s="3" t="s">
        <v>5015</v>
      </c>
      <c r="C1529" s="3">
        <v>21</v>
      </c>
      <c r="D1529" s="46" t="str">
        <f>IF(Tabla1[[#This Row],[EDAD]]&lt;=35,"Adultos jóvenes 18 - 35 años",IF(C1529&gt;=36,"Adultos mayores 36 años en adelante"))</f>
        <v>Adultos jóvenes 18 - 35 años</v>
      </c>
      <c r="E1529" s="3" t="s">
        <v>5020</v>
      </c>
      <c r="F1529" s="3" t="s">
        <v>5027</v>
      </c>
      <c r="G1529" s="3" t="s">
        <v>5035</v>
      </c>
      <c r="H1529" s="3" t="s">
        <v>8468</v>
      </c>
      <c r="I1529" s="17">
        <v>45647</v>
      </c>
      <c r="J1529" s="18">
        <f>YEAR(Tabla1[[#This Row],[FECHA DE COMPRA]])</f>
        <v>2024</v>
      </c>
      <c r="K1529" s="19">
        <v>142.34</v>
      </c>
      <c r="L1529" s="20">
        <v>0.2</v>
      </c>
      <c r="M1529" s="19">
        <f>Tienda!$K2676-Tienda!$K2676*Tienda!$L2676</f>
        <v>34.224000000000004</v>
      </c>
      <c r="N1529" s="3" t="s">
        <v>10038</v>
      </c>
      <c r="O1529" s="3" t="s">
        <v>10042</v>
      </c>
      <c r="P1529" s="17">
        <v>45737</v>
      </c>
      <c r="Q1529" s="4">
        <v>3</v>
      </c>
    </row>
    <row r="1530" spans="1:17" x14ac:dyDescent="0.25">
      <c r="A1530" s="2" t="s">
        <v>4025</v>
      </c>
      <c r="B1530" s="3" t="s">
        <v>5015</v>
      </c>
      <c r="C1530" s="3">
        <v>22</v>
      </c>
      <c r="D1530" s="46" t="str">
        <f>IF(Tabla1[[#This Row],[EDAD]]&lt;=35,"Adultos jóvenes 18 - 35 años",IF(C1530&gt;=36,"Adultos mayores 36 años en adelante"))</f>
        <v>Adultos jóvenes 18 - 35 años</v>
      </c>
      <c r="E1530" s="3" t="s">
        <v>5018</v>
      </c>
      <c r="F1530" s="3" t="s">
        <v>5029</v>
      </c>
      <c r="G1530" s="3" t="s">
        <v>5031</v>
      </c>
      <c r="H1530" s="3" t="s">
        <v>9048</v>
      </c>
      <c r="I1530" s="17">
        <v>45624</v>
      </c>
      <c r="J1530" s="18">
        <f>YEAR(Tabla1[[#This Row],[FECHA DE COMPRA]])</f>
        <v>2024</v>
      </c>
      <c r="K1530" s="19">
        <v>163.35</v>
      </c>
      <c r="L1530" s="20">
        <v>0.3</v>
      </c>
      <c r="M1530" s="19">
        <f>Tienda!$K2679-Tienda!$K2679*Tienda!$L2679</f>
        <v>32.983999999999995</v>
      </c>
      <c r="N1530" s="3" t="s">
        <v>10038</v>
      </c>
      <c r="O1530" s="3" t="s">
        <v>10042</v>
      </c>
      <c r="P1530" s="17">
        <v>45564</v>
      </c>
      <c r="Q1530" s="4">
        <v>3</v>
      </c>
    </row>
    <row r="1531" spans="1:17" x14ac:dyDescent="0.25">
      <c r="A1531" s="2" t="s">
        <v>2143</v>
      </c>
      <c r="B1531" s="3" t="s">
        <v>5016</v>
      </c>
      <c r="C1531" s="3">
        <v>26</v>
      </c>
      <c r="D1531" s="46" t="str">
        <f>IF(Tabla1[[#This Row],[EDAD]]&lt;=35,"Adultos jóvenes 18 - 35 años",IF(C1531&gt;=36,"Adultos mayores 36 años en adelante"))</f>
        <v>Adultos jóvenes 18 - 35 años</v>
      </c>
      <c r="E1531" s="3" t="s">
        <v>5023</v>
      </c>
      <c r="F1531" s="3" t="s">
        <v>5025</v>
      </c>
      <c r="G1531" s="3" t="s">
        <v>5035</v>
      </c>
      <c r="H1531" s="3" t="s">
        <v>7166</v>
      </c>
      <c r="I1531" s="17">
        <v>45547</v>
      </c>
      <c r="J1531" s="18">
        <f>YEAR(Tabla1[[#This Row],[FECHA DE COMPRA]])</f>
        <v>2024</v>
      </c>
      <c r="K1531" s="19">
        <v>163.78</v>
      </c>
      <c r="L1531" s="20">
        <v>0.3</v>
      </c>
      <c r="M1531" s="19">
        <f>Tienda!$K2681-Tienda!$K2681*Tienda!$L2681</f>
        <v>50.231999999999999</v>
      </c>
      <c r="N1531" s="3" t="s">
        <v>10038</v>
      </c>
      <c r="O1531" s="3" t="s">
        <v>10042</v>
      </c>
      <c r="P1531" s="17">
        <v>45547</v>
      </c>
      <c r="Q1531" s="4">
        <v>9</v>
      </c>
    </row>
    <row r="1532" spans="1:17" x14ac:dyDescent="0.25">
      <c r="A1532" s="2" t="s">
        <v>763</v>
      </c>
      <c r="B1532" s="3" t="s">
        <v>5015</v>
      </c>
      <c r="C1532" s="3">
        <v>31</v>
      </c>
      <c r="D1532" s="46" t="str">
        <f>IF(Tabla1[[#This Row],[EDAD]]&lt;=35,"Adultos jóvenes 18 - 35 años",IF(C1532&gt;=36,"Adultos mayores 36 años en adelante"))</f>
        <v>Adultos jóvenes 18 - 35 años</v>
      </c>
      <c r="E1532" s="3" t="s">
        <v>5017</v>
      </c>
      <c r="F1532" s="3" t="s">
        <v>5024</v>
      </c>
      <c r="G1532" s="3" t="s">
        <v>5032</v>
      </c>
      <c r="H1532" s="3" t="s">
        <v>5786</v>
      </c>
      <c r="I1532" s="17">
        <v>45597</v>
      </c>
      <c r="J1532" s="18">
        <f>YEAR(Tabla1[[#This Row],[FECHA DE COMPRA]])</f>
        <v>2024</v>
      </c>
      <c r="K1532" s="19">
        <v>117.49</v>
      </c>
      <c r="L1532" s="20">
        <v>0</v>
      </c>
      <c r="M1532" s="19">
        <f>Tienda!$K2700-Tienda!$K2700*Tienda!$L2700</f>
        <v>11.193000000000001</v>
      </c>
      <c r="N1532" s="3" t="s">
        <v>10038</v>
      </c>
      <c r="O1532" s="3" t="s">
        <v>10042</v>
      </c>
      <c r="P1532" s="17">
        <v>45867</v>
      </c>
      <c r="Q1532" s="4">
        <v>9</v>
      </c>
    </row>
    <row r="1533" spans="1:17" x14ac:dyDescent="0.25">
      <c r="A1533" s="2" t="s">
        <v>4867</v>
      </c>
      <c r="B1533" s="3" t="s">
        <v>5015</v>
      </c>
      <c r="C1533" s="3">
        <v>32</v>
      </c>
      <c r="D1533" s="46" t="str">
        <f>IF(Tabla1[[#This Row],[EDAD]]&lt;=35,"Adultos jóvenes 18 - 35 años",IF(C1533&gt;=36,"Adultos mayores 36 años en adelante"))</f>
        <v>Adultos jóvenes 18 - 35 años</v>
      </c>
      <c r="E1533" s="3" t="s">
        <v>5020</v>
      </c>
      <c r="F1533" s="3" t="s">
        <v>5025</v>
      </c>
      <c r="G1533" s="3" t="s">
        <v>5035</v>
      </c>
      <c r="H1533" s="3" t="s">
        <v>9890</v>
      </c>
      <c r="I1533" s="17">
        <v>45415</v>
      </c>
      <c r="J1533" s="18">
        <f>YEAR(Tabla1[[#This Row],[FECHA DE COMPRA]])</f>
        <v>2024</v>
      </c>
      <c r="K1533" s="19">
        <v>131.02000000000001</v>
      </c>
      <c r="L1533" s="20">
        <v>0.1</v>
      </c>
      <c r="M1533" s="19">
        <f>Tienda!$K2701-Tienda!$K2701*Tienda!$L2701</f>
        <v>11.213999999999999</v>
      </c>
      <c r="N1533" s="3" t="s">
        <v>10038</v>
      </c>
      <c r="O1533" s="3" t="s">
        <v>10042</v>
      </c>
      <c r="P1533" s="17">
        <v>45595</v>
      </c>
      <c r="Q1533" s="4">
        <v>6</v>
      </c>
    </row>
    <row r="1534" spans="1:17" x14ac:dyDescent="0.25">
      <c r="A1534" s="2" t="s">
        <v>2365</v>
      </c>
      <c r="B1534" s="3" t="s">
        <v>5015</v>
      </c>
      <c r="C1534" s="3">
        <v>28</v>
      </c>
      <c r="D1534" s="46" t="str">
        <f>IF(Tabla1[[#This Row],[EDAD]]&lt;=35,"Adultos jóvenes 18 - 35 años",IF(C1534&gt;=36,"Adultos mayores 36 años en adelante"))</f>
        <v>Adultos jóvenes 18 - 35 años</v>
      </c>
      <c r="E1534" s="3" t="s">
        <v>5020</v>
      </c>
      <c r="F1534" s="3" t="s">
        <v>5024</v>
      </c>
      <c r="G1534" s="3" t="s">
        <v>5032</v>
      </c>
      <c r="H1534" s="3" t="s">
        <v>7388</v>
      </c>
      <c r="I1534" s="17">
        <v>45425</v>
      </c>
      <c r="J1534" s="18">
        <f>YEAR(Tabla1[[#This Row],[FECHA DE COMPRA]])</f>
        <v>2024</v>
      </c>
      <c r="K1534" s="19">
        <v>117.98</v>
      </c>
      <c r="L1534" s="20">
        <v>0</v>
      </c>
      <c r="M1534" s="19">
        <f>Tienda!$K2702-Tienda!$K2702*Tienda!$L2702</f>
        <v>11.577999999999999</v>
      </c>
      <c r="N1534" s="3" t="s">
        <v>10038</v>
      </c>
      <c r="O1534" s="3" t="s">
        <v>10042</v>
      </c>
      <c r="P1534" s="17">
        <v>45515</v>
      </c>
      <c r="Q1534" s="4">
        <v>3</v>
      </c>
    </row>
    <row r="1535" spans="1:17" x14ac:dyDescent="0.25">
      <c r="A1535" s="2" t="s">
        <v>3631</v>
      </c>
      <c r="B1535" s="3" t="s">
        <v>5015</v>
      </c>
      <c r="C1535" s="3">
        <v>21</v>
      </c>
      <c r="D1535" s="46" t="str">
        <f>IF(Tabla1[[#This Row],[EDAD]]&lt;=35,"Adultos jóvenes 18 - 35 años",IF(C1535&gt;=36,"Adultos mayores 36 años en adelante"))</f>
        <v>Adultos jóvenes 18 - 35 años</v>
      </c>
      <c r="E1535" s="3" t="s">
        <v>5023</v>
      </c>
      <c r="F1535" s="3" t="s">
        <v>5028</v>
      </c>
      <c r="G1535" s="3" t="s">
        <v>5033</v>
      </c>
      <c r="H1535" s="3" t="s">
        <v>8654</v>
      </c>
      <c r="I1535" s="17">
        <v>45326</v>
      </c>
      <c r="J1535" s="18">
        <f>YEAR(Tabla1[[#This Row],[FECHA DE COMPRA]])</f>
        <v>2024</v>
      </c>
      <c r="K1535" s="19">
        <v>131.18</v>
      </c>
      <c r="L1535" s="20">
        <v>0.1</v>
      </c>
      <c r="M1535" s="19">
        <f>Tienda!$K2703-Tienda!$K2703*Tienda!$L2703</f>
        <v>11.943999999999999</v>
      </c>
      <c r="N1535" s="3" t="s">
        <v>10038</v>
      </c>
      <c r="O1535" s="3" t="s">
        <v>10042</v>
      </c>
      <c r="P1535" s="17">
        <v>45326</v>
      </c>
      <c r="Q1535" s="4">
        <v>9</v>
      </c>
    </row>
    <row r="1536" spans="1:17" x14ac:dyDescent="0.25">
      <c r="A1536" s="2" t="s">
        <v>3652</v>
      </c>
      <c r="B1536" s="3" t="s">
        <v>5015</v>
      </c>
      <c r="C1536" s="3">
        <v>26</v>
      </c>
      <c r="D1536" s="46" t="str">
        <f>IF(Tabla1[[#This Row],[EDAD]]&lt;=35,"Adultos jóvenes 18 - 35 años",IF(C1536&gt;=36,"Adultos mayores 36 años en adelante"))</f>
        <v>Adultos jóvenes 18 - 35 años</v>
      </c>
      <c r="E1536" s="3" t="s">
        <v>5019</v>
      </c>
      <c r="F1536" s="3" t="s">
        <v>5030</v>
      </c>
      <c r="G1536" s="3" t="s">
        <v>5034</v>
      </c>
      <c r="H1536" s="3" t="s">
        <v>8675</v>
      </c>
      <c r="I1536" s="17">
        <v>45652</v>
      </c>
      <c r="J1536" s="18">
        <f>YEAR(Tabla1[[#This Row],[FECHA DE COMPRA]])</f>
        <v>2024</v>
      </c>
      <c r="K1536" s="19">
        <v>118.1</v>
      </c>
      <c r="L1536" s="20">
        <v>0</v>
      </c>
      <c r="M1536" s="19">
        <f>Tienda!$K2704-Tienda!$K2704*Tienda!$L2704</f>
        <v>11.97</v>
      </c>
      <c r="N1536" s="3" t="s">
        <v>10038</v>
      </c>
      <c r="O1536" s="3" t="s">
        <v>10042</v>
      </c>
      <c r="P1536" s="17">
        <v>45922</v>
      </c>
      <c r="Q1536" s="4">
        <v>9</v>
      </c>
    </row>
    <row r="1537" spans="1:17" x14ac:dyDescent="0.25">
      <c r="A1537" s="2" t="s">
        <v>2590</v>
      </c>
      <c r="B1537" s="3" t="s">
        <v>5015</v>
      </c>
      <c r="C1537" s="3">
        <v>24</v>
      </c>
      <c r="D1537" s="46" t="str">
        <f>IF(Tabla1[[#This Row],[EDAD]]&lt;=35,"Adultos jóvenes 18 - 35 años",IF(C1537&gt;=36,"Adultos mayores 36 años en adelante"))</f>
        <v>Adultos jóvenes 18 - 35 años</v>
      </c>
      <c r="E1537" s="3" t="s">
        <v>5020</v>
      </c>
      <c r="F1537" s="3" t="s">
        <v>5026</v>
      </c>
      <c r="G1537" s="3" t="s">
        <v>5035</v>
      </c>
      <c r="H1537" s="3" t="s">
        <v>7613</v>
      </c>
      <c r="I1537" s="17">
        <v>45447</v>
      </c>
      <c r="J1537" s="18">
        <f>YEAR(Tabla1[[#This Row],[FECHA DE COMPRA]])</f>
        <v>2024</v>
      </c>
      <c r="K1537" s="19">
        <v>149.79</v>
      </c>
      <c r="L1537" s="20">
        <v>0.2</v>
      </c>
      <c r="M1537" s="19">
        <f>Tienda!$K2714-Tienda!$K2714*Tienda!$L2714</f>
        <v>17.064</v>
      </c>
      <c r="N1537" s="3" t="s">
        <v>10038</v>
      </c>
      <c r="O1537" s="3" t="s">
        <v>10042</v>
      </c>
      <c r="P1537" s="17">
        <v>45627</v>
      </c>
      <c r="Q1537" s="4">
        <v>6</v>
      </c>
    </row>
    <row r="1538" spans="1:17" x14ac:dyDescent="0.25">
      <c r="A1538" s="2" t="s">
        <v>1143</v>
      </c>
      <c r="B1538" s="3" t="s">
        <v>5015</v>
      </c>
      <c r="C1538" s="3">
        <v>19</v>
      </c>
      <c r="D1538" s="46" t="str">
        <f>IF(Tabla1[[#This Row],[EDAD]]&lt;=35,"Adultos jóvenes 18 - 35 años",IF(C1538&gt;=36,"Adultos mayores 36 años en adelante"))</f>
        <v>Adultos jóvenes 18 - 35 años</v>
      </c>
      <c r="E1538" s="3" t="s">
        <v>5018</v>
      </c>
      <c r="F1538" s="3" t="s">
        <v>5030</v>
      </c>
      <c r="G1538" s="3" t="s">
        <v>5032</v>
      </c>
      <c r="H1538" s="3" t="s">
        <v>6166</v>
      </c>
      <c r="I1538" s="17">
        <v>45550</v>
      </c>
      <c r="J1538" s="18">
        <f>YEAR(Tabla1[[#This Row],[FECHA DE COMPRA]])</f>
        <v>2024</v>
      </c>
      <c r="K1538" s="19">
        <v>150.27000000000001</v>
      </c>
      <c r="L1538" s="20">
        <v>0.2</v>
      </c>
      <c r="M1538" s="19">
        <f>Tienda!$K2719-Tienda!$K2719*Tienda!$L2719</f>
        <v>20.808</v>
      </c>
      <c r="N1538" s="3" t="s">
        <v>10038</v>
      </c>
      <c r="O1538" s="3" t="s">
        <v>10042</v>
      </c>
      <c r="P1538" s="17">
        <v>45820</v>
      </c>
      <c r="Q1538" s="4">
        <v>9</v>
      </c>
    </row>
    <row r="1539" spans="1:17" x14ac:dyDescent="0.25">
      <c r="A1539" s="2" t="s">
        <v>132</v>
      </c>
      <c r="B1539" s="3" t="s">
        <v>5016</v>
      </c>
      <c r="C1539" s="3">
        <v>19</v>
      </c>
      <c r="D1539" s="46" t="str">
        <f>IF(Tabla1[[#This Row],[EDAD]]&lt;=35,"Adultos jóvenes 18 - 35 años",IF(C1539&gt;=36,"Adultos mayores 36 años en adelante"))</f>
        <v>Adultos jóvenes 18 - 35 años</v>
      </c>
      <c r="E1539" s="3" t="s">
        <v>5019</v>
      </c>
      <c r="F1539" s="3" t="s">
        <v>5028</v>
      </c>
      <c r="G1539" s="3" t="s">
        <v>5032</v>
      </c>
      <c r="H1539" s="3" t="s">
        <v>5155</v>
      </c>
      <c r="I1539" s="17">
        <v>45388</v>
      </c>
      <c r="J1539" s="18">
        <f>YEAR(Tabla1[[#This Row],[FECHA DE COMPRA]])</f>
        <v>2024</v>
      </c>
      <c r="K1539" s="19">
        <v>121.86</v>
      </c>
      <c r="L1539" s="20">
        <v>0</v>
      </c>
      <c r="M1539" s="19">
        <f>Tienda!$K2730-Tienda!$K2730*Tienda!$L2730</f>
        <v>23.849</v>
      </c>
      <c r="N1539" s="3" t="s">
        <v>10038</v>
      </c>
      <c r="O1539" s="3" t="s">
        <v>10042</v>
      </c>
      <c r="P1539" s="17">
        <v>45388</v>
      </c>
      <c r="Q1539" s="4">
        <v>3</v>
      </c>
    </row>
    <row r="1540" spans="1:17" x14ac:dyDescent="0.25">
      <c r="A1540" s="2" t="s">
        <v>3770</v>
      </c>
      <c r="B1540" s="3" t="s">
        <v>5015</v>
      </c>
      <c r="C1540" s="3">
        <v>32</v>
      </c>
      <c r="D1540" s="46" t="str">
        <f>IF(Tabla1[[#This Row],[EDAD]]&lt;=35,"Adultos jóvenes 18 - 35 años",IF(C1540&gt;=36,"Adultos mayores 36 años en adelante"))</f>
        <v>Adultos jóvenes 18 - 35 años</v>
      </c>
      <c r="E1540" s="3" t="s">
        <v>5021</v>
      </c>
      <c r="F1540" s="3" t="s">
        <v>5028</v>
      </c>
      <c r="G1540" s="3" t="s">
        <v>5036</v>
      </c>
      <c r="H1540" s="3" t="s">
        <v>8793</v>
      </c>
      <c r="I1540" s="17">
        <v>45414</v>
      </c>
      <c r="J1540" s="18">
        <f>YEAR(Tabla1[[#This Row],[FECHA DE COMPRA]])</f>
        <v>2024</v>
      </c>
      <c r="K1540" s="19">
        <v>136.94</v>
      </c>
      <c r="L1540" s="20">
        <v>0.1</v>
      </c>
      <c r="M1540" s="19">
        <f>Tienda!$K2738-Tienda!$K2738*Tienda!$L2738</f>
        <v>28.811999999999998</v>
      </c>
      <c r="N1540" s="3" t="s">
        <v>10038</v>
      </c>
      <c r="O1540" s="3" t="s">
        <v>10042</v>
      </c>
      <c r="P1540" s="17">
        <v>45774</v>
      </c>
      <c r="Q1540" s="4">
        <v>12</v>
      </c>
    </row>
    <row r="1541" spans="1:17" x14ac:dyDescent="0.25">
      <c r="A1541" s="2" t="s">
        <v>2642</v>
      </c>
      <c r="B1541" s="3" t="s">
        <v>5015</v>
      </c>
      <c r="C1541" s="3">
        <v>25</v>
      </c>
      <c r="D1541" s="46" t="str">
        <f>IF(Tabla1[[#This Row],[EDAD]]&lt;=35,"Adultos jóvenes 18 - 35 años",IF(C1541&gt;=36,"Adultos mayores 36 años en adelante"))</f>
        <v>Adultos jóvenes 18 - 35 años</v>
      </c>
      <c r="E1541" s="3" t="s">
        <v>5020</v>
      </c>
      <c r="F1541" s="3" t="s">
        <v>5027</v>
      </c>
      <c r="G1541" s="3" t="s">
        <v>5034</v>
      </c>
      <c r="H1541" s="3" t="s">
        <v>7665</v>
      </c>
      <c r="I1541" s="17">
        <v>45518</v>
      </c>
      <c r="J1541" s="18">
        <f>YEAR(Tabla1[[#This Row],[FECHA DE COMPRA]])</f>
        <v>2024</v>
      </c>
      <c r="K1541" s="19">
        <v>176.12</v>
      </c>
      <c r="L1541" s="20">
        <v>0.3</v>
      </c>
      <c r="M1541" s="19">
        <f>Tienda!$K2739-Tienda!$K2739*Tienda!$L2739</f>
        <v>28.94</v>
      </c>
      <c r="N1541" s="3" t="s">
        <v>10038</v>
      </c>
      <c r="O1541" s="3" t="s">
        <v>10042</v>
      </c>
      <c r="P1541" s="17">
        <v>45608</v>
      </c>
      <c r="Q1541" s="4">
        <v>3</v>
      </c>
    </row>
    <row r="1542" spans="1:17" x14ac:dyDescent="0.25">
      <c r="A1542" s="2" t="s">
        <v>1019</v>
      </c>
      <c r="B1542" s="3" t="s">
        <v>5015</v>
      </c>
      <c r="C1542" s="3">
        <v>30</v>
      </c>
      <c r="D1542" s="46" t="str">
        <f>IF(Tabla1[[#This Row],[EDAD]]&lt;=35,"Adultos jóvenes 18 - 35 años",IF(C1542&gt;=36,"Adultos mayores 36 años en adelante"))</f>
        <v>Adultos jóvenes 18 - 35 años</v>
      </c>
      <c r="E1542" s="3" t="s">
        <v>5023</v>
      </c>
      <c r="F1542" s="3" t="s">
        <v>5027</v>
      </c>
      <c r="G1542" s="3" t="s">
        <v>5031</v>
      </c>
      <c r="H1542" s="3" t="s">
        <v>6042</v>
      </c>
      <c r="I1542" s="17">
        <v>45327</v>
      </c>
      <c r="J1542" s="18">
        <f>YEAR(Tabla1[[#This Row],[FECHA DE COMPRA]])</f>
        <v>2024</v>
      </c>
      <c r="K1542" s="19">
        <v>137.46</v>
      </c>
      <c r="L1542" s="20">
        <v>0.1</v>
      </c>
      <c r="M1542" s="19">
        <f>Tienda!$K2741-Tienda!$K2741*Tienda!$L2741</f>
        <v>30.344000000000001</v>
      </c>
      <c r="N1542" s="3" t="s">
        <v>10038</v>
      </c>
      <c r="O1542" s="3" t="s">
        <v>10042</v>
      </c>
      <c r="P1542" s="17">
        <v>45327</v>
      </c>
      <c r="Q1542" s="4">
        <v>12</v>
      </c>
    </row>
    <row r="1543" spans="1:17" x14ac:dyDescent="0.25">
      <c r="A1543" s="2" t="s">
        <v>368</v>
      </c>
      <c r="B1543" s="3" t="s">
        <v>5015</v>
      </c>
      <c r="C1543" s="3">
        <v>19</v>
      </c>
      <c r="D1543" s="46" t="str">
        <f>IF(Tabla1[[#This Row],[EDAD]]&lt;=35,"Adultos jóvenes 18 - 35 años",IF(C1543&gt;=36,"Adultos mayores 36 años en adelante"))</f>
        <v>Adultos jóvenes 18 - 35 años</v>
      </c>
      <c r="E1543" s="3" t="s">
        <v>5017</v>
      </c>
      <c r="F1543" s="3" t="s">
        <v>5030</v>
      </c>
      <c r="G1543" s="3" t="s">
        <v>5032</v>
      </c>
      <c r="H1543" s="3" t="s">
        <v>5391</v>
      </c>
      <c r="I1543" s="17">
        <v>45329</v>
      </c>
      <c r="J1543" s="18">
        <f>YEAR(Tabla1[[#This Row],[FECHA DE COMPRA]])</f>
        <v>2024</v>
      </c>
      <c r="K1543" s="19">
        <v>124.61</v>
      </c>
      <c r="L1543" s="20">
        <v>0</v>
      </c>
      <c r="M1543" s="19">
        <f>Tienda!$K2746-Tienda!$K2746*Tienda!$L2746</f>
        <v>32.6</v>
      </c>
      <c r="N1543" s="3" t="s">
        <v>10038</v>
      </c>
      <c r="O1543" s="3" t="s">
        <v>10042</v>
      </c>
      <c r="P1543" s="17">
        <v>45689</v>
      </c>
      <c r="Q1543" s="4">
        <v>12</v>
      </c>
    </row>
    <row r="1544" spans="1:17" x14ac:dyDescent="0.25">
      <c r="A1544" s="2" t="s">
        <v>2227</v>
      </c>
      <c r="B1544" s="3" t="s">
        <v>5015</v>
      </c>
      <c r="C1544" s="3">
        <v>35</v>
      </c>
      <c r="D1544" s="46" t="str">
        <f>IF(Tabla1[[#This Row],[EDAD]]&lt;=35,"Adultos jóvenes 18 - 35 años",IF(C1544&gt;=36,"Adultos mayores 36 años en adelante"))</f>
        <v>Adultos jóvenes 18 - 35 años</v>
      </c>
      <c r="E1544" s="3" t="s">
        <v>5019</v>
      </c>
      <c r="F1544" s="3" t="s">
        <v>5024</v>
      </c>
      <c r="G1544" s="3" t="s">
        <v>5034</v>
      </c>
      <c r="H1544" s="3" t="s">
        <v>7250</v>
      </c>
      <c r="I1544" s="17">
        <v>45537</v>
      </c>
      <c r="J1544" s="18">
        <f>YEAR(Tabla1[[#This Row],[FECHA DE COMPRA]])</f>
        <v>2024</v>
      </c>
      <c r="K1544" s="19">
        <v>178.74</v>
      </c>
      <c r="L1544" s="20">
        <v>0.3</v>
      </c>
      <c r="M1544" s="19">
        <f>Tienda!$K2751-Tienda!$K2751*Tienda!$L2751</f>
        <v>34.97</v>
      </c>
      <c r="N1544" s="3" t="s">
        <v>10038</v>
      </c>
      <c r="O1544" s="3" t="s">
        <v>10042</v>
      </c>
      <c r="P1544" s="17">
        <v>45807</v>
      </c>
      <c r="Q1544" s="4">
        <v>9</v>
      </c>
    </row>
    <row r="1545" spans="1:17" x14ac:dyDescent="0.25">
      <c r="A1545" s="2" t="s">
        <v>933</v>
      </c>
      <c r="B1545" s="3" t="s">
        <v>5015</v>
      </c>
      <c r="C1545" s="3">
        <v>21</v>
      </c>
      <c r="D1545" s="46" t="str">
        <f>IF(Tabla1[[#This Row],[EDAD]]&lt;=35,"Adultos jóvenes 18 - 35 años",IF(C1545&gt;=36,"Adultos mayores 36 años en adelante"))</f>
        <v>Adultos jóvenes 18 - 35 años</v>
      </c>
      <c r="E1545" s="3" t="s">
        <v>5020</v>
      </c>
      <c r="F1545" s="3" t="s">
        <v>5026</v>
      </c>
      <c r="G1545" s="3" t="s">
        <v>5035</v>
      </c>
      <c r="H1545" s="3" t="s">
        <v>5956</v>
      </c>
      <c r="I1545" s="17">
        <v>45649</v>
      </c>
      <c r="J1545" s="18">
        <f>YEAR(Tabla1[[#This Row],[FECHA DE COMPRA]])</f>
        <v>2024</v>
      </c>
      <c r="K1545" s="19">
        <v>139.81</v>
      </c>
      <c r="L1545" s="20">
        <v>0.1</v>
      </c>
      <c r="M1545" s="19">
        <f>Tienda!$K2758-Tienda!$K2758*Tienda!$L2758</f>
        <v>37.475999999999999</v>
      </c>
      <c r="N1545" s="3" t="s">
        <v>10038</v>
      </c>
      <c r="O1545" s="3" t="s">
        <v>10042</v>
      </c>
      <c r="P1545" s="17">
        <v>45475</v>
      </c>
      <c r="Q1545" s="4">
        <v>6</v>
      </c>
    </row>
    <row r="1546" spans="1:17" x14ac:dyDescent="0.25">
      <c r="A1546" s="2" t="s">
        <v>3002</v>
      </c>
      <c r="B1546" s="3" t="s">
        <v>5015</v>
      </c>
      <c r="C1546" s="3">
        <v>28</v>
      </c>
      <c r="D1546" s="46" t="str">
        <f>IF(Tabla1[[#This Row],[EDAD]]&lt;=35,"Adultos jóvenes 18 - 35 años",IF(C1546&gt;=36,"Adultos mayores 36 años en adelante"))</f>
        <v>Adultos jóvenes 18 - 35 años</v>
      </c>
      <c r="E1546" s="3" t="s">
        <v>5023</v>
      </c>
      <c r="F1546" s="3" t="s">
        <v>5028</v>
      </c>
      <c r="G1546" s="3" t="s">
        <v>5032</v>
      </c>
      <c r="H1546" s="3" t="s">
        <v>8025</v>
      </c>
      <c r="I1546" s="17">
        <v>45610</v>
      </c>
      <c r="J1546" s="18">
        <f>YEAR(Tabla1[[#This Row],[FECHA DE COMPRA]])</f>
        <v>2024</v>
      </c>
      <c r="K1546" s="19">
        <v>179.81</v>
      </c>
      <c r="L1546" s="20">
        <v>0.3</v>
      </c>
      <c r="M1546" s="19">
        <f>Tienda!$K2759-Tienda!$K2759*Tienda!$L2759</f>
        <v>38.369999999999997</v>
      </c>
      <c r="N1546" s="3" t="s">
        <v>10038</v>
      </c>
      <c r="O1546" s="3" t="s">
        <v>10042</v>
      </c>
      <c r="P1546" s="17">
        <v>45790</v>
      </c>
      <c r="Q1546" s="4">
        <v>6</v>
      </c>
    </row>
    <row r="1547" spans="1:17" x14ac:dyDescent="0.25">
      <c r="A1547" s="2" t="s">
        <v>1048</v>
      </c>
      <c r="B1547" s="3" t="s">
        <v>5015</v>
      </c>
      <c r="C1547" s="3">
        <v>29</v>
      </c>
      <c r="D1547" s="46" t="str">
        <f>IF(Tabla1[[#This Row],[EDAD]]&lt;=35,"Adultos jóvenes 18 - 35 años",IF(C1547&gt;=36,"Adultos mayores 36 años en adelante"))</f>
        <v>Adultos jóvenes 18 - 35 años</v>
      </c>
      <c r="E1547" s="3" t="s">
        <v>5023</v>
      </c>
      <c r="F1547" s="3" t="s">
        <v>5025</v>
      </c>
      <c r="G1547" s="3" t="s">
        <v>5036</v>
      </c>
      <c r="H1547" s="3" t="s">
        <v>6071</v>
      </c>
      <c r="I1547" s="17">
        <v>45404</v>
      </c>
      <c r="J1547" s="18">
        <f>YEAR(Tabla1[[#This Row],[FECHA DE COMPRA]])</f>
        <v>2024</v>
      </c>
      <c r="K1547" s="19">
        <v>125.96</v>
      </c>
      <c r="L1547" s="20">
        <v>0</v>
      </c>
      <c r="M1547" s="19">
        <f>Tienda!$K2761-Tienda!$K2761*Tienda!$L2761</f>
        <v>39.734999999999999</v>
      </c>
      <c r="N1547" s="3" t="s">
        <v>10038</v>
      </c>
      <c r="O1547" s="3" t="s">
        <v>10042</v>
      </c>
      <c r="P1547" s="17">
        <v>45404</v>
      </c>
      <c r="Q1547" s="4">
        <v>9</v>
      </c>
    </row>
    <row r="1548" spans="1:17" x14ac:dyDescent="0.25">
      <c r="A1548" s="2" t="s">
        <v>1121</v>
      </c>
      <c r="B1548" s="3" t="s">
        <v>5015</v>
      </c>
      <c r="C1548" s="3">
        <v>35</v>
      </c>
      <c r="D1548" s="46" t="str">
        <f>IF(Tabla1[[#This Row],[EDAD]]&lt;=35,"Adultos jóvenes 18 - 35 años",IF(C1548&gt;=36,"Adultos mayores 36 años en adelante"))</f>
        <v>Adultos jóvenes 18 - 35 años</v>
      </c>
      <c r="E1548" s="3" t="s">
        <v>5017</v>
      </c>
      <c r="F1548" s="3" t="s">
        <v>5024</v>
      </c>
      <c r="G1548" s="3" t="s">
        <v>5036</v>
      </c>
      <c r="H1548" s="3" t="s">
        <v>6144</v>
      </c>
      <c r="I1548" s="17">
        <v>45548</v>
      </c>
      <c r="J1548" s="18">
        <f>YEAR(Tabla1[[#This Row],[FECHA DE COMPRA]])</f>
        <v>2024</v>
      </c>
      <c r="K1548" s="19">
        <v>140.59</v>
      </c>
      <c r="L1548" s="20">
        <v>0.1</v>
      </c>
      <c r="M1548" s="19">
        <f>Tienda!$K2768-Tienda!$K2768*Tienda!$L2768</f>
        <v>43.4</v>
      </c>
      <c r="N1548" s="3" t="s">
        <v>10038</v>
      </c>
      <c r="O1548" s="3" t="s">
        <v>10042</v>
      </c>
      <c r="P1548" s="17">
        <v>45638</v>
      </c>
      <c r="Q1548" s="4">
        <v>3</v>
      </c>
    </row>
    <row r="1549" spans="1:17" x14ac:dyDescent="0.25">
      <c r="A1549" s="2" t="s">
        <v>3768</v>
      </c>
      <c r="B1549" s="3" t="s">
        <v>5016</v>
      </c>
      <c r="C1549" s="3">
        <v>21</v>
      </c>
      <c r="D1549" s="46" t="str">
        <f>IF(Tabla1[[#This Row],[EDAD]]&lt;=35,"Adultos jóvenes 18 - 35 años",IF(C1549&gt;=36,"Adultos mayores 36 años en adelante"))</f>
        <v>Adultos jóvenes 18 - 35 años</v>
      </c>
      <c r="E1549" s="3" t="s">
        <v>5019</v>
      </c>
      <c r="F1549" s="3" t="s">
        <v>5027</v>
      </c>
      <c r="G1549" s="3" t="s">
        <v>5035</v>
      </c>
      <c r="H1549" s="3" t="s">
        <v>8791</v>
      </c>
      <c r="I1549" s="17">
        <v>45366</v>
      </c>
      <c r="J1549" s="18">
        <f>YEAR(Tabla1[[#This Row],[FECHA DE COMPRA]])</f>
        <v>2024</v>
      </c>
      <c r="K1549" s="19">
        <v>182.11</v>
      </c>
      <c r="L1549" s="20">
        <v>0.3</v>
      </c>
      <c r="M1549" s="19">
        <f>Tienda!$K2775-Tienda!$K2775*Tienda!$L2775</f>
        <v>45.49</v>
      </c>
      <c r="N1549" s="3" t="s">
        <v>10038</v>
      </c>
      <c r="O1549" s="3" t="s">
        <v>10042</v>
      </c>
      <c r="P1549" s="17">
        <v>45726</v>
      </c>
      <c r="Q1549" s="4">
        <v>12</v>
      </c>
    </row>
    <row r="1550" spans="1:17" x14ac:dyDescent="0.25">
      <c r="A1550" s="2" t="s">
        <v>154</v>
      </c>
      <c r="B1550" s="3" t="s">
        <v>5015</v>
      </c>
      <c r="C1550" s="3">
        <v>18</v>
      </c>
      <c r="D1550" s="46" t="str">
        <f>IF(Tabla1[[#This Row],[EDAD]]&lt;=35,"Adultos jóvenes 18 - 35 años",IF(C1550&gt;=36,"Adultos mayores 36 años en adelante"))</f>
        <v>Adultos jóvenes 18 - 35 años</v>
      </c>
      <c r="E1550" s="3" t="s">
        <v>5018</v>
      </c>
      <c r="F1550" s="3" t="s">
        <v>5029</v>
      </c>
      <c r="G1550" s="3" t="s">
        <v>5036</v>
      </c>
      <c r="H1550" s="3" t="s">
        <v>5177</v>
      </c>
      <c r="I1550" s="17">
        <v>45574</v>
      </c>
      <c r="J1550" s="18">
        <f>YEAR(Tabla1[[#This Row],[FECHA DE COMPRA]])</f>
        <v>2024</v>
      </c>
      <c r="K1550" s="19">
        <v>159.59</v>
      </c>
      <c r="L1550" s="20">
        <v>0.2</v>
      </c>
      <c r="M1550" s="19">
        <f>Tienda!$K2777-Tienda!$K2777*Tienda!$L2777</f>
        <v>45.936</v>
      </c>
      <c r="N1550" s="3" t="s">
        <v>10038</v>
      </c>
      <c r="O1550" s="3" t="s">
        <v>10042</v>
      </c>
      <c r="P1550" s="17">
        <v>45754</v>
      </c>
      <c r="Q1550" s="4">
        <v>6</v>
      </c>
    </row>
    <row r="1551" spans="1:17" x14ac:dyDescent="0.25">
      <c r="A1551" s="2" t="s">
        <v>3854</v>
      </c>
      <c r="B1551" s="3" t="s">
        <v>5015</v>
      </c>
      <c r="C1551" s="3">
        <v>34</v>
      </c>
      <c r="D1551" s="46" t="str">
        <f>IF(Tabla1[[#This Row],[EDAD]]&lt;=35,"Adultos jóvenes 18 - 35 años",IF(C1551&gt;=36,"Adultos mayores 36 años en adelante"))</f>
        <v>Adultos jóvenes 18 - 35 años</v>
      </c>
      <c r="E1551" s="3" t="s">
        <v>5017</v>
      </c>
      <c r="F1551" s="3" t="s">
        <v>5029</v>
      </c>
      <c r="G1551" s="3" t="s">
        <v>5031</v>
      </c>
      <c r="H1551" s="3" t="s">
        <v>8877</v>
      </c>
      <c r="I1551" s="17">
        <v>45370</v>
      </c>
      <c r="J1551" s="18">
        <f>YEAR(Tabla1[[#This Row],[FECHA DE COMPRA]])</f>
        <v>2024</v>
      </c>
      <c r="K1551" s="19">
        <v>128.56</v>
      </c>
      <c r="L1551" s="20">
        <v>0</v>
      </c>
      <c r="M1551" s="19">
        <f>Tienda!$K2783-Tienda!$K2783*Tienda!$L2783</f>
        <v>49.36</v>
      </c>
      <c r="N1551" s="3" t="s">
        <v>10038</v>
      </c>
      <c r="O1551" s="3" t="s">
        <v>10042</v>
      </c>
      <c r="P1551" s="17">
        <v>45550</v>
      </c>
      <c r="Q1551" s="4">
        <v>6</v>
      </c>
    </row>
    <row r="1552" spans="1:17" x14ac:dyDescent="0.25">
      <c r="A1552" s="2" t="s">
        <v>2473</v>
      </c>
      <c r="B1552" s="3" t="s">
        <v>5015</v>
      </c>
      <c r="C1552" s="3">
        <v>29</v>
      </c>
      <c r="D1552" s="46" t="str">
        <f>IF(Tabla1[[#This Row],[EDAD]]&lt;=35,"Adultos jóvenes 18 - 35 años",IF(C1552&gt;=36,"Adultos mayores 36 años en adelante"))</f>
        <v>Adultos jóvenes 18 - 35 años</v>
      </c>
      <c r="E1552" s="3" t="s">
        <v>5023</v>
      </c>
      <c r="F1552" s="3" t="s">
        <v>5028</v>
      </c>
      <c r="G1552" s="3" t="s">
        <v>5036</v>
      </c>
      <c r="H1552" s="3" t="s">
        <v>7496</v>
      </c>
      <c r="I1552" s="17">
        <v>45624</v>
      </c>
      <c r="J1552" s="18">
        <f>YEAR(Tabla1[[#This Row],[FECHA DE COMPRA]])</f>
        <v>2024</v>
      </c>
      <c r="K1552" s="19">
        <v>160.82</v>
      </c>
      <c r="L1552" s="20">
        <v>0.2</v>
      </c>
      <c r="M1552" s="19">
        <f>Tienda!$K2785-Tienda!$K2785*Tienda!$L2785</f>
        <v>50.94</v>
      </c>
      <c r="N1552" s="3" t="s">
        <v>10038</v>
      </c>
      <c r="O1552" s="3" t="s">
        <v>10042</v>
      </c>
      <c r="P1552" s="17">
        <v>45768</v>
      </c>
      <c r="Q1552" s="4">
        <v>9</v>
      </c>
    </row>
    <row r="1553" spans="1:17" x14ac:dyDescent="0.25">
      <c r="A1553" s="2" t="s">
        <v>1105</v>
      </c>
      <c r="B1553" s="3" t="s">
        <v>5015</v>
      </c>
      <c r="C1553" s="3">
        <v>30</v>
      </c>
      <c r="D1553" s="46" t="str">
        <f>IF(Tabla1[[#This Row],[EDAD]]&lt;=35,"Adultos jóvenes 18 - 35 años",IF(C1553&gt;=36,"Adultos mayores 36 años en adelante"))</f>
        <v>Adultos jóvenes 18 - 35 años</v>
      </c>
      <c r="E1553" s="3" t="s">
        <v>5022</v>
      </c>
      <c r="F1553" s="3" t="s">
        <v>5030</v>
      </c>
      <c r="G1553" s="3" t="s">
        <v>5034</v>
      </c>
      <c r="H1553" s="3" t="s">
        <v>6128</v>
      </c>
      <c r="I1553" s="17">
        <v>45325</v>
      </c>
      <c r="J1553" s="18">
        <f>YEAR(Tabla1[[#This Row],[FECHA DE COMPRA]])</f>
        <v>2024</v>
      </c>
      <c r="K1553" s="19">
        <v>184.79</v>
      </c>
      <c r="L1553" s="20">
        <v>0.3</v>
      </c>
      <c r="M1553" s="19">
        <f>Tienda!$K2788-Tienda!$K2788*Tienda!$L2788</f>
        <v>52.614000000000004</v>
      </c>
      <c r="N1553" s="3" t="s">
        <v>10038</v>
      </c>
      <c r="O1553" s="3" t="s">
        <v>10042</v>
      </c>
      <c r="P1553" s="17">
        <v>45595</v>
      </c>
      <c r="Q1553" s="4">
        <v>9</v>
      </c>
    </row>
    <row r="1554" spans="1:17" x14ac:dyDescent="0.25">
      <c r="A1554" s="2" t="s">
        <v>3336</v>
      </c>
      <c r="B1554" s="3" t="s">
        <v>5016</v>
      </c>
      <c r="C1554" s="3">
        <v>24</v>
      </c>
      <c r="D1554" s="46" t="str">
        <f>IF(Tabla1[[#This Row],[EDAD]]&lt;=35,"Adultos jóvenes 18 - 35 años",IF(C1554&gt;=36,"Adultos mayores 36 años en adelante"))</f>
        <v>Adultos jóvenes 18 - 35 años</v>
      </c>
      <c r="E1554" s="3" t="s">
        <v>5017</v>
      </c>
      <c r="F1554" s="3" t="s">
        <v>5024</v>
      </c>
      <c r="G1554" s="3" t="s">
        <v>5034</v>
      </c>
      <c r="H1554" s="3" t="s">
        <v>8359</v>
      </c>
      <c r="I1554" s="17">
        <v>45315</v>
      </c>
      <c r="J1554" s="18">
        <f>YEAR(Tabla1[[#This Row],[FECHA DE COMPRA]])</f>
        <v>2024</v>
      </c>
      <c r="K1554" s="19">
        <v>130.30000000000001</v>
      </c>
      <c r="L1554" s="20">
        <v>0</v>
      </c>
      <c r="M1554" s="19">
        <f>Tienda!$K2794-Tienda!$K2794*Tienda!$L2794</f>
        <v>55.335999999999999</v>
      </c>
      <c r="N1554" s="3" t="s">
        <v>10038</v>
      </c>
      <c r="O1554" s="3" t="s">
        <v>10042</v>
      </c>
      <c r="P1554" s="17">
        <v>45495</v>
      </c>
      <c r="Q1554" s="4">
        <v>6</v>
      </c>
    </row>
    <row r="1555" spans="1:17" x14ac:dyDescent="0.25">
      <c r="A1555" s="2" t="s">
        <v>4765</v>
      </c>
      <c r="B1555" s="3" t="s">
        <v>5015</v>
      </c>
      <c r="C1555" s="3">
        <v>31</v>
      </c>
      <c r="D1555" s="46" t="str">
        <f>IF(Tabla1[[#This Row],[EDAD]]&lt;=35,"Adultos jóvenes 18 - 35 años",IF(C1555&gt;=36,"Adultos mayores 36 años en adelante"))</f>
        <v>Adultos jóvenes 18 - 35 años</v>
      </c>
      <c r="E1555" s="3" t="s">
        <v>5019</v>
      </c>
      <c r="F1555" s="3" t="s">
        <v>5030</v>
      </c>
      <c r="G1555" s="3" t="s">
        <v>5033</v>
      </c>
      <c r="H1555" s="3" t="s">
        <v>9788</v>
      </c>
      <c r="I1555" s="17">
        <v>45618</v>
      </c>
      <c r="J1555" s="18">
        <f>YEAR(Tabla1[[#This Row],[FECHA DE COMPRA]])</f>
        <v>2024</v>
      </c>
      <c r="K1555" s="19">
        <v>163.07</v>
      </c>
      <c r="L1555" s="20">
        <v>0.2</v>
      </c>
      <c r="M1555" s="19">
        <f>Tienda!$K2796-Tienda!$K2796*Tienda!$L2796</f>
        <v>55.527999999999999</v>
      </c>
      <c r="N1555" s="3" t="s">
        <v>10038</v>
      </c>
      <c r="O1555" s="3" t="s">
        <v>10042</v>
      </c>
      <c r="P1555" s="17">
        <v>45978</v>
      </c>
      <c r="Q1555" s="4">
        <v>12</v>
      </c>
    </row>
    <row r="1556" spans="1:17" x14ac:dyDescent="0.25">
      <c r="A1556" s="2" t="s">
        <v>1281</v>
      </c>
      <c r="B1556" s="3" t="s">
        <v>5015</v>
      </c>
      <c r="C1556" s="3">
        <v>23</v>
      </c>
      <c r="D1556" s="46" t="str">
        <f>IF(Tabla1[[#This Row],[EDAD]]&lt;=35,"Adultos jóvenes 18 - 35 años",IF(C1556&gt;=36,"Adultos mayores 36 años en adelante"))</f>
        <v>Adultos jóvenes 18 - 35 años</v>
      </c>
      <c r="E1556" s="3" t="s">
        <v>5017</v>
      </c>
      <c r="F1556" s="3" t="s">
        <v>5025</v>
      </c>
      <c r="G1556" s="3" t="s">
        <v>5034</v>
      </c>
      <c r="H1556" s="3" t="s">
        <v>6304</v>
      </c>
      <c r="I1556" s="17">
        <v>45503</v>
      </c>
      <c r="J1556" s="18">
        <f>YEAR(Tabla1[[#This Row],[FECHA DE COMPRA]])</f>
        <v>2024</v>
      </c>
      <c r="K1556" s="19">
        <v>163.74</v>
      </c>
      <c r="L1556" s="20">
        <v>0.2</v>
      </c>
      <c r="M1556" s="19">
        <f>Tienda!$K2801-Tienda!$K2801*Tienda!$L2801</f>
        <v>59.031000000000006</v>
      </c>
      <c r="N1556" s="3" t="s">
        <v>10038</v>
      </c>
      <c r="O1556" s="3" t="s">
        <v>10042</v>
      </c>
      <c r="P1556" s="17">
        <v>45593</v>
      </c>
      <c r="Q1556" s="4">
        <v>3</v>
      </c>
    </row>
    <row r="1557" spans="1:17" x14ac:dyDescent="0.25">
      <c r="A1557" s="2" t="s">
        <v>3781</v>
      </c>
      <c r="B1557" s="3" t="s">
        <v>5015</v>
      </c>
      <c r="C1557" s="3">
        <v>31</v>
      </c>
      <c r="D1557" s="46" t="str">
        <f>IF(Tabla1[[#This Row],[EDAD]]&lt;=35,"Adultos jóvenes 18 - 35 años",IF(C1557&gt;=36,"Adultos mayores 36 años en adelante"))</f>
        <v>Adultos jóvenes 18 - 35 años</v>
      </c>
      <c r="E1557" s="3" t="s">
        <v>5020</v>
      </c>
      <c r="F1557" s="3" t="s">
        <v>5025</v>
      </c>
      <c r="G1557" s="3" t="s">
        <v>5034</v>
      </c>
      <c r="H1557" s="3" t="s">
        <v>8804</v>
      </c>
      <c r="I1557" s="17">
        <v>45398</v>
      </c>
      <c r="J1557" s="18">
        <f>YEAR(Tabla1[[#This Row],[FECHA DE COMPRA]])</f>
        <v>2024</v>
      </c>
      <c r="K1557" s="19">
        <v>187.4</v>
      </c>
      <c r="L1557" s="20">
        <v>0.3</v>
      </c>
      <c r="M1557" s="19">
        <f>Tienda!$K2803-Tienda!$K2803*Tienda!$L2803</f>
        <v>60.191999999999993</v>
      </c>
      <c r="N1557" s="3" t="s">
        <v>10038</v>
      </c>
      <c r="O1557" s="3" t="s">
        <v>10042</v>
      </c>
      <c r="P1557" s="17">
        <v>45758</v>
      </c>
      <c r="Q1557" s="4">
        <v>12</v>
      </c>
    </row>
    <row r="1558" spans="1:17" x14ac:dyDescent="0.25">
      <c r="A1558" s="2" t="s">
        <v>4940</v>
      </c>
      <c r="B1558" s="3" t="s">
        <v>5015</v>
      </c>
      <c r="C1558" s="3">
        <v>31</v>
      </c>
      <c r="D1558" s="46" t="str">
        <f>IF(Tabla1[[#This Row],[EDAD]]&lt;=35,"Adultos jóvenes 18 - 35 años",IF(C1558&gt;=36,"Adultos mayores 36 años en adelante"))</f>
        <v>Adultos jóvenes 18 - 35 años</v>
      </c>
      <c r="E1558" s="3" t="s">
        <v>5018</v>
      </c>
      <c r="F1558" s="3" t="s">
        <v>5028</v>
      </c>
      <c r="G1558" s="3" t="s">
        <v>5031</v>
      </c>
      <c r="H1558" s="3" t="s">
        <v>9963</v>
      </c>
      <c r="I1558" s="17">
        <v>45330</v>
      </c>
      <c r="J1558" s="18">
        <f>YEAR(Tabla1[[#This Row],[FECHA DE COMPRA]])</f>
        <v>2024</v>
      </c>
      <c r="K1558" s="19">
        <v>164.29</v>
      </c>
      <c r="L1558" s="20">
        <v>0.2</v>
      </c>
      <c r="M1558" s="19">
        <f>Tienda!$K2807-Tienda!$K2807*Tienda!$L2807</f>
        <v>62.352000000000004</v>
      </c>
      <c r="N1558" s="3" t="s">
        <v>10038</v>
      </c>
      <c r="O1558" s="3" t="s">
        <v>10042</v>
      </c>
      <c r="P1558" s="17">
        <v>45690</v>
      </c>
      <c r="Q1558" s="4">
        <v>12</v>
      </c>
    </row>
    <row r="1559" spans="1:17" x14ac:dyDescent="0.25">
      <c r="A1559" s="2" t="s">
        <v>2704</v>
      </c>
      <c r="B1559" s="3" t="s">
        <v>5015</v>
      </c>
      <c r="C1559" s="3">
        <v>22</v>
      </c>
      <c r="D1559" s="46" t="str">
        <f>IF(Tabla1[[#This Row],[EDAD]]&lt;=35,"Adultos jóvenes 18 - 35 años",IF(C1559&gt;=36,"Adultos mayores 36 años en adelante"))</f>
        <v>Adultos jóvenes 18 - 35 años</v>
      </c>
      <c r="E1559" s="3" t="s">
        <v>5022</v>
      </c>
      <c r="F1559" s="3" t="s">
        <v>5026</v>
      </c>
      <c r="G1559" s="3" t="s">
        <v>5034</v>
      </c>
      <c r="H1559" s="3" t="s">
        <v>7727</v>
      </c>
      <c r="I1559" s="17">
        <v>45519</v>
      </c>
      <c r="J1559" s="18">
        <f>YEAR(Tabla1[[#This Row],[FECHA DE COMPRA]])</f>
        <v>2024</v>
      </c>
      <c r="K1559" s="19">
        <v>165.9</v>
      </c>
      <c r="L1559" s="20">
        <v>0.2</v>
      </c>
      <c r="M1559" s="19">
        <f>Tienda!$K2815-Tienda!$K2815*Tienda!$L2815</f>
        <v>65.600999999999999</v>
      </c>
      <c r="N1559" s="3" t="s">
        <v>10038</v>
      </c>
      <c r="O1559" s="3" t="s">
        <v>10042</v>
      </c>
      <c r="P1559" s="17">
        <v>45789</v>
      </c>
      <c r="Q1559" s="4">
        <v>9</v>
      </c>
    </row>
    <row r="1560" spans="1:17" x14ac:dyDescent="0.25">
      <c r="A1560" s="2" t="s">
        <v>4405</v>
      </c>
      <c r="B1560" s="3" t="s">
        <v>5015</v>
      </c>
      <c r="C1560" s="3">
        <v>28</v>
      </c>
      <c r="D1560" s="46" t="str">
        <f>IF(Tabla1[[#This Row],[EDAD]]&lt;=35,"Adultos jóvenes 18 - 35 años",IF(C1560&gt;=36,"Adultos mayores 36 años en adelante"))</f>
        <v>Adultos jóvenes 18 - 35 años</v>
      </c>
      <c r="E1560" s="3" t="s">
        <v>5018</v>
      </c>
      <c r="F1560" s="3" t="s">
        <v>5028</v>
      </c>
      <c r="G1560" s="3" t="s">
        <v>5037</v>
      </c>
      <c r="H1560" s="3" t="s">
        <v>9428</v>
      </c>
      <c r="I1560" s="17">
        <v>45502</v>
      </c>
      <c r="J1560" s="18">
        <f>YEAR(Tabla1[[#This Row],[FECHA DE COMPRA]])</f>
        <v>2024</v>
      </c>
      <c r="K1560" s="19">
        <v>190.21</v>
      </c>
      <c r="L1560" s="20">
        <v>0.3</v>
      </c>
      <c r="M1560" s="19">
        <f>Tienda!$K2819-Tienda!$K2819*Tienda!$L2819</f>
        <v>69.81</v>
      </c>
      <c r="N1560" s="3" t="s">
        <v>10038</v>
      </c>
      <c r="O1560" s="3" t="s">
        <v>10042</v>
      </c>
      <c r="P1560" s="17">
        <v>45682</v>
      </c>
      <c r="Q1560" s="4">
        <v>6</v>
      </c>
    </row>
    <row r="1561" spans="1:17" x14ac:dyDescent="0.25">
      <c r="A1561" s="2" t="s">
        <v>3210</v>
      </c>
      <c r="B1561" s="3" t="s">
        <v>5015</v>
      </c>
      <c r="C1561" s="3">
        <v>32</v>
      </c>
      <c r="D1561" s="46" t="str">
        <f>IF(Tabla1[[#This Row],[EDAD]]&lt;=35,"Adultos jóvenes 18 - 35 años",IF(C1561&gt;=36,"Adultos mayores 36 años en adelante"))</f>
        <v>Adultos jóvenes 18 - 35 años</v>
      </c>
      <c r="E1561" s="3" t="s">
        <v>5017</v>
      </c>
      <c r="F1561" s="3" t="s">
        <v>5024</v>
      </c>
      <c r="G1561" s="3" t="s">
        <v>5033</v>
      </c>
      <c r="H1561" s="3" t="s">
        <v>8233</v>
      </c>
      <c r="I1561" s="17">
        <v>45618</v>
      </c>
      <c r="J1561" s="18">
        <f>YEAR(Tabla1[[#This Row],[FECHA DE COMPRA]])</f>
        <v>2024</v>
      </c>
      <c r="K1561" s="19">
        <v>166.74</v>
      </c>
      <c r="L1561" s="20">
        <v>0.2</v>
      </c>
      <c r="M1561" s="19">
        <f>Tienda!$K2821-Tienda!$K2821*Tienda!$L2821</f>
        <v>69.847999999999999</v>
      </c>
      <c r="N1561" s="3" t="s">
        <v>10038</v>
      </c>
      <c r="O1561" s="3" t="s">
        <v>10042</v>
      </c>
      <c r="P1561" s="17">
        <v>45555</v>
      </c>
      <c r="Q1561" s="4">
        <v>3</v>
      </c>
    </row>
    <row r="1562" spans="1:17" x14ac:dyDescent="0.25">
      <c r="A1562" s="2" t="s">
        <v>203</v>
      </c>
      <c r="B1562" s="3" t="s">
        <v>5016</v>
      </c>
      <c r="C1562" s="3">
        <v>25</v>
      </c>
      <c r="D1562" s="46" t="str">
        <f>IF(Tabla1[[#This Row],[EDAD]]&lt;=35,"Adultos jóvenes 18 - 35 años",IF(C1562&gt;=36,"Adultos mayores 36 años en adelante"))</f>
        <v>Adultos jóvenes 18 - 35 años</v>
      </c>
      <c r="E1562" s="3" t="s">
        <v>5019</v>
      </c>
      <c r="F1562" s="3" t="s">
        <v>5029</v>
      </c>
      <c r="G1562" s="3" t="s">
        <v>5032</v>
      </c>
      <c r="H1562" s="3" t="s">
        <v>5226</v>
      </c>
      <c r="I1562" s="17">
        <v>45503</v>
      </c>
      <c r="J1562" s="18">
        <f>YEAR(Tabla1[[#This Row],[FECHA DE COMPRA]])</f>
        <v>2024</v>
      </c>
      <c r="K1562" s="19">
        <v>167.19</v>
      </c>
      <c r="L1562" s="20">
        <v>0.2</v>
      </c>
      <c r="M1562" s="19">
        <f>Tienda!$K2822-Tienda!$K2822*Tienda!$L2822</f>
        <v>70.581000000000003</v>
      </c>
      <c r="N1562" s="3" t="s">
        <v>10038</v>
      </c>
      <c r="O1562" s="3" t="s">
        <v>10042</v>
      </c>
      <c r="P1562" s="17">
        <v>45503</v>
      </c>
      <c r="Q1562" s="4">
        <v>6</v>
      </c>
    </row>
    <row r="1563" spans="1:17" x14ac:dyDescent="0.25">
      <c r="A1563" s="2" t="s">
        <v>932</v>
      </c>
      <c r="B1563" s="3" t="s">
        <v>5015</v>
      </c>
      <c r="C1563" s="3">
        <v>24</v>
      </c>
      <c r="D1563" s="46" t="str">
        <f>IF(Tabla1[[#This Row],[EDAD]]&lt;=35,"Adultos jóvenes 18 - 35 años",IF(C1563&gt;=36,"Adultos mayores 36 años en adelante"))</f>
        <v>Adultos jóvenes 18 - 35 años</v>
      </c>
      <c r="E1563" s="3" t="s">
        <v>5020</v>
      </c>
      <c r="F1563" s="3" t="s">
        <v>5026</v>
      </c>
      <c r="G1563" s="3" t="s">
        <v>5037</v>
      </c>
      <c r="H1563" s="3" t="s">
        <v>5955</v>
      </c>
      <c r="I1563" s="17">
        <v>45370</v>
      </c>
      <c r="J1563" s="18">
        <f>YEAR(Tabla1[[#This Row],[FECHA DE COMPRA]])</f>
        <v>2024</v>
      </c>
      <c r="K1563" s="19">
        <v>133.85</v>
      </c>
      <c r="L1563" s="20">
        <v>0</v>
      </c>
      <c r="M1563" s="19">
        <f>Tienda!$K2823-Tienda!$K2823*Tienda!$L2823</f>
        <v>70.64</v>
      </c>
      <c r="N1563" s="3" t="s">
        <v>10038</v>
      </c>
      <c r="O1563" s="3" t="s">
        <v>10042</v>
      </c>
      <c r="P1563" s="17">
        <v>45550</v>
      </c>
      <c r="Q1563" s="4">
        <v>6</v>
      </c>
    </row>
    <row r="1564" spans="1:17" x14ac:dyDescent="0.25">
      <c r="A1564" s="2" t="s">
        <v>120</v>
      </c>
      <c r="B1564" s="3" t="s">
        <v>5015</v>
      </c>
      <c r="C1564" s="3">
        <v>23</v>
      </c>
      <c r="D1564" s="46" t="str">
        <f>IF(Tabla1[[#This Row],[EDAD]]&lt;=35,"Adultos jóvenes 18 - 35 años",IF(C1564&gt;=36,"Adultos mayores 36 años en adelante"))</f>
        <v>Adultos jóvenes 18 - 35 años</v>
      </c>
      <c r="E1564" s="3" t="s">
        <v>5020</v>
      </c>
      <c r="F1564" s="3" t="s">
        <v>5024</v>
      </c>
      <c r="G1564" s="3" t="s">
        <v>5032</v>
      </c>
      <c r="H1564" s="3" t="s">
        <v>5143</v>
      </c>
      <c r="I1564" s="17">
        <v>45485</v>
      </c>
      <c r="J1564" s="18">
        <f>YEAR(Tabla1[[#This Row],[FECHA DE COMPRA]])</f>
        <v>2024</v>
      </c>
      <c r="K1564" s="19">
        <v>192.25</v>
      </c>
      <c r="L1564" s="20">
        <v>0.3</v>
      </c>
      <c r="M1564" s="19">
        <f>Tienda!$K2829-Tienda!$K2829*Tienda!$L2829</f>
        <v>74.465999999999994</v>
      </c>
      <c r="N1564" s="3" t="s">
        <v>10038</v>
      </c>
      <c r="O1564" s="3" t="s">
        <v>10042</v>
      </c>
      <c r="P1564" s="17">
        <v>45485</v>
      </c>
      <c r="Q1564" s="4">
        <v>9</v>
      </c>
    </row>
    <row r="1565" spans="1:17" x14ac:dyDescent="0.25">
      <c r="A1565" s="2" t="s">
        <v>1370</v>
      </c>
      <c r="B1565" s="3" t="s">
        <v>5016</v>
      </c>
      <c r="C1565" s="3">
        <v>18</v>
      </c>
      <c r="D1565" s="46" t="str">
        <f>IF(Tabla1[[#This Row],[EDAD]]&lt;=35,"Adultos jóvenes 18 - 35 años",IF(C1565&gt;=36,"Adultos mayores 36 años en adelante"))</f>
        <v>Adultos jóvenes 18 - 35 años</v>
      </c>
      <c r="E1565" s="3" t="s">
        <v>5019</v>
      </c>
      <c r="F1565" s="3" t="s">
        <v>5024</v>
      </c>
      <c r="G1565" s="3" t="s">
        <v>5031</v>
      </c>
      <c r="H1565" s="3" t="s">
        <v>6393</v>
      </c>
      <c r="I1565" s="17">
        <v>45354</v>
      </c>
      <c r="J1565" s="18">
        <f>YEAR(Tabla1[[#This Row],[FECHA DE COMPRA]])</f>
        <v>2024</v>
      </c>
      <c r="K1565" s="19">
        <v>170.05</v>
      </c>
      <c r="L1565" s="20">
        <v>0.2</v>
      </c>
      <c r="M1565" s="19">
        <f>Tienda!$K2845-Tienda!$K2845*Tienda!$L2845</f>
        <v>80.430000000000007</v>
      </c>
      <c r="N1565" s="3" t="s">
        <v>10038</v>
      </c>
      <c r="O1565" s="3" t="s">
        <v>10042</v>
      </c>
      <c r="P1565" s="17">
        <v>45444</v>
      </c>
      <c r="Q1565" s="4">
        <v>3</v>
      </c>
    </row>
    <row r="1566" spans="1:17" x14ac:dyDescent="0.25">
      <c r="A1566" s="2" t="s">
        <v>4676</v>
      </c>
      <c r="B1566" s="3" t="s">
        <v>5016</v>
      </c>
      <c r="C1566" s="3">
        <v>32</v>
      </c>
      <c r="D1566" s="46" t="str">
        <f>IF(Tabla1[[#This Row],[EDAD]]&lt;=35,"Adultos jóvenes 18 - 35 años",IF(C1566&gt;=36,"Adultos mayores 36 años en adelante"))</f>
        <v>Adultos jóvenes 18 - 35 años</v>
      </c>
      <c r="E1566" s="3" t="s">
        <v>5017</v>
      </c>
      <c r="F1566" s="3" t="s">
        <v>5030</v>
      </c>
      <c r="G1566" s="3" t="s">
        <v>5032</v>
      </c>
      <c r="H1566" s="3" t="s">
        <v>9699</v>
      </c>
      <c r="I1566" s="17">
        <v>45364</v>
      </c>
      <c r="J1566" s="18">
        <f>YEAR(Tabla1[[#This Row],[FECHA DE COMPRA]])</f>
        <v>2024</v>
      </c>
      <c r="K1566" s="19">
        <v>151.44</v>
      </c>
      <c r="L1566" s="20">
        <v>0.1</v>
      </c>
      <c r="M1566" s="19">
        <f>Tienda!$K2847-Tienda!$K2847*Tienda!$L2847</f>
        <v>81.06</v>
      </c>
      <c r="N1566" s="3" t="s">
        <v>10038</v>
      </c>
      <c r="O1566" s="3" t="s">
        <v>10042</v>
      </c>
      <c r="P1566" s="17">
        <v>45454</v>
      </c>
      <c r="Q1566" s="4">
        <v>3</v>
      </c>
    </row>
    <row r="1567" spans="1:17" x14ac:dyDescent="0.25">
      <c r="A1567" s="2" t="s">
        <v>568</v>
      </c>
      <c r="B1567" s="3" t="s">
        <v>5015</v>
      </c>
      <c r="C1567" s="3">
        <v>18</v>
      </c>
      <c r="D1567" s="46" t="str">
        <f>IF(Tabla1[[#This Row],[EDAD]]&lt;=35,"Adultos jóvenes 18 - 35 años",IF(C1567&gt;=36,"Adultos mayores 36 años en adelante"))</f>
        <v>Adultos jóvenes 18 - 35 años</v>
      </c>
      <c r="E1567" s="3" t="s">
        <v>5020</v>
      </c>
      <c r="F1567" s="3" t="s">
        <v>5027</v>
      </c>
      <c r="G1567" s="3" t="s">
        <v>5034</v>
      </c>
      <c r="H1567" s="3" t="s">
        <v>5591</v>
      </c>
      <c r="I1567" s="17">
        <v>45395</v>
      </c>
      <c r="J1567" s="18">
        <f>YEAR(Tabla1[[#This Row],[FECHA DE COMPRA]])</f>
        <v>2024</v>
      </c>
      <c r="K1567" s="19">
        <v>172.07</v>
      </c>
      <c r="L1567" s="20">
        <v>0.2</v>
      </c>
      <c r="M1567" s="19">
        <f>Tienda!$K2855-Tienda!$K2855*Tienda!$L2855</f>
        <v>85.38300000000001</v>
      </c>
      <c r="N1567" s="3" t="s">
        <v>10038</v>
      </c>
      <c r="O1567" s="3" t="s">
        <v>10042</v>
      </c>
      <c r="P1567" s="17">
        <v>45395</v>
      </c>
      <c r="Q1567" s="4">
        <v>9</v>
      </c>
    </row>
    <row r="1568" spans="1:17" x14ac:dyDescent="0.25">
      <c r="A1568" s="2" t="s">
        <v>3400</v>
      </c>
      <c r="B1568" s="3" t="s">
        <v>5016</v>
      </c>
      <c r="C1568" s="3">
        <v>24</v>
      </c>
      <c r="D1568" s="46" t="str">
        <f>IF(Tabla1[[#This Row],[EDAD]]&lt;=35,"Adultos jóvenes 18 - 35 años",IF(C1568&gt;=36,"Adultos mayores 36 años en adelante"))</f>
        <v>Adultos jóvenes 18 - 35 años</v>
      </c>
      <c r="E1568" s="3" t="s">
        <v>5017</v>
      </c>
      <c r="F1568" s="3" t="s">
        <v>5028</v>
      </c>
      <c r="G1568" s="3" t="s">
        <v>5032</v>
      </c>
      <c r="H1568" s="3" t="s">
        <v>8423</v>
      </c>
      <c r="I1568" s="17">
        <v>45637</v>
      </c>
      <c r="J1568" s="18">
        <f>YEAR(Tabla1[[#This Row],[FECHA DE COMPRA]])</f>
        <v>2024</v>
      </c>
      <c r="K1568" s="19">
        <v>153.68</v>
      </c>
      <c r="L1568" s="20">
        <v>0.1</v>
      </c>
      <c r="M1568" s="19">
        <f>Tienda!$K2859-Tienda!$K2859*Tienda!$L2859</f>
        <v>85.77</v>
      </c>
      <c r="N1568" s="3" t="s">
        <v>10038</v>
      </c>
      <c r="O1568" s="3" t="s">
        <v>10042</v>
      </c>
      <c r="P1568" s="17">
        <v>45907</v>
      </c>
      <c r="Q1568" s="4">
        <v>9</v>
      </c>
    </row>
    <row r="1569" spans="1:17" x14ac:dyDescent="0.25">
      <c r="A1569" s="2" t="s">
        <v>3510</v>
      </c>
      <c r="B1569" s="3" t="s">
        <v>5015</v>
      </c>
      <c r="C1569" s="3">
        <v>30</v>
      </c>
      <c r="D1569" s="46" t="str">
        <f>IF(Tabla1[[#This Row],[EDAD]]&lt;=35,"Adultos jóvenes 18 - 35 años",IF(C1569&gt;=36,"Adultos mayores 36 años en adelante"))</f>
        <v>Adultos jóvenes 18 - 35 años</v>
      </c>
      <c r="E1569" s="3" t="s">
        <v>5018</v>
      </c>
      <c r="F1569" s="3" t="s">
        <v>5028</v>
      </c>
      <c r="G1569" s="3" t="s">
        <v>5034</v>
      </c>
      <c r="H1569" s="3" t="s">
        <v>8533</v>
      </c>
      <c r="I1569" s="17">
        <v>45322</v>
      </c>
      <c r="J1569" s="18">
        <f>YEAR(Tabla1[[#This Row],[FECHA DE COMPRA]])</f>
        <v>2024</v>
      </c>
      <c r="K1569" s="19">
        <v>154.06</v>
      </c>
      <c r="L1569" s="20">
        <v>0.1</v>
      </c>
      <c r="M1569" s="19">
        <f>Tienda!$K2862-Tienda!$K2862*Tienda!$L2862</f>
        <v>87.9</v>
      </c>
      <c r="N1569" s="3" t="s">
        <v>10038</v>
      </c>
      <c r="O1569" s="3" t="s">
        <v>10042</v>
      </c>
      <c r="P1569" s="17">
        <v>45322</v>
      </c>
      <c r="Q1569" s="4">
        <v>9</v>
      </c>
    </row>
    <row r="1570" spans="1:17" x14ac:dyDescent="0.25">
      <c r="A1570" s="2" t="s">
        <v>2088</v>
      </c>
      <c r="B1570" s="3" t="s">
        <v>5016</v>
      </c>
      <c r="C1570" s="3">
        <v>24</v>
      </c>
      <c r="D1570" s="46" t="str">
        <f>IF(Tabla1[[#This Row],[EDAD]]&lt;=35,"Adultos jóvenes 18 - 35 años",IF(C1570&gt;=36,"Adultos mayores 36 años en adelante"))</f>
        <v>Adultos jóvenes 18 - 35 años</v>
      </c>
      <c r="E1570" s="3" t="s">
        <v>5017</v>
      </c>
      <c r="F1570" s="3" t="s">
        <v>5030</v>
      </c>
      <c r="G1570" s="3" t="s">
        <v>5033</v>
      </c>
      <c r="H1570" s="3" t="s">
        <v>7111</v>
      </c>
      <c r="I1570" s="17">
        <v>45528</v>
      </c>
      <c r="J1570" s="18">
        <f>YEAR(Tabla1[[#This Row],[FECHA DE COMPRA]])</f>
        <v>2024</v>
      </c>
      <c r="K1570" s="19">
        <v>155.06</v>
      </c>
      <c r="L1570" s="20">
        <v>0.1</v>
      </c>
      <c r="M1570" s="19">
        <f>Tienda!$K2872-Tienda!$K2872*Tienda!$L2872</f>
        <v>92.52</v>
      </c>
      <c r="N1570" s="3" t="s">
        <v>10038</v>
      </c>
      <c r="O1570" s="3" t="s">
        <v>10042</v>
      </c>
      <c r="P1570" s="17">
        <v>45888</v>
      </c>
      <c r="Q1570" s="4">
        <v>12</v>
      </c>
    </row>
    <row r="1571" spans="1:17" x14ac:dyDescent="0.25">
      <c r="A1571" s="2" t="s">
        <v>155</v>
      </c>
      <c r="B1571" s="3" t="s">
        <v>5015</v>
      </c>
      <c r="C1571" s="3">
        <v>24</v>
      </c>
      <c r="D1571" s="46" t="str">
        <f>IF(Tabla1[[#This Row],[EDAD]]&lt;=35,"Adultos jóvenes 18 - 35 años",IF(C1571&gt;=36,"Adultos mayores 36 años en adelante"))</f>
        <v>Adultos jóvenes 18 - 35 años</v>
      </c>
      <c r="E1571" s="3" t="s">
        <v>5020</v>
      </c>
      <c r="F1571" s="3" t="s">
        <v>5028</v>
      </c>
      <c r="G1571" s="3" t="s">
        <v>5032</v>
      </c>
      <c r="H1571" s="3" t="s">
        <v>5178</v>
      </c>
      <c r="I1571" s="17">
        <v>45622</v>
      </c>
      <c r="J1571" s="18">
        <f>YEAR(Tabla1[[#This Row],[FECHA DE COMPRA]])</f>
        <v>2024</v>
      </c>
      <c r="K1571" s="19">
        <v>155.31</v>
      </c>
      <c r="L1571" s="20">
        <v>0.1</v>
      </c>
      <c r="M1571" s="19">
        <f>Tienda!$K2874-Tienda!$K2874*Tienda!$L2874</f>
        <v>92.72</v>
      </c>
      <c r="N1571" s="3" t="s">
        <v>10038</v>
      </c>
      <c r="O1571" s="3" t="s">
        <v>10042</v>
      </c>
      <c r="P1571" s="17">
        <v>45802</v>
      </c>
      <c r="Q1571" s="4">
        <v>6</v>
      </c>
    </row>
    <row r="1572" spans="1:17" x14ac:dyDescent="0.25">
      <c r="A1572" s="2" t="s">
        <v>2272</v>
      </c>
      <c r="B1572" s="3" t="s">
        <v>5016</v>
      </c>
      <c r="C1572" s="3">
        <v>33</v>
      </c>
      <c r="D1572" s="46" t="str">
        <f>IF(Tabla1[[#This Row],[EDAD]]&lt;=35,"Adultos jóvenes 18 - 35 años",IF(C1572&gt;=36,"Adultos mayores 36 años en adelante"))</f>
        <v>Adultos jóvenes 18 - 35 años</v>
      </c>
      <c r="E1572" s="3" t="s">
        <v>5017</v>
      </c>
      <c r="F1572" s="3" t="s">
        <v>5025</v>
      </c>
      <c r="G1572" s="3" t="s">
        <v>5034</v>
      </c>
      <c r="H1572" s="3" t="s">
        <v>7295</v>
      </c>
      <c r="I1572" s="17">
        <v>45414</v>
      </c>
      <c r="J1572" s="18">
        <f>YEAR(Tabla1[[#This Row],[FECHA DE COMPRA]])</f>
        <v>2024</v>
      </c>
      <c r="K1572" s="19">
        <v>174.81</v>
      </c>
      <c r="L1572" s="20">
        <v>0.2</v>
      </c>
      <c r="M1572" s="19">
        <f>Tienda!$K2878-Tienda!$K2878*Tienda!$L2878</f>
        <v>95.697000000000003</v>
      </c>
      <c r="N1572" s="3" t="s">
        <v>10038</v>
      </c>
      <c r="O1572" s="3" t="s">
        <v>10042</v>
      </c>
      <c r="P1572" s="17">
        <v>45594</v>
      </c>
      <c r="Q1572" s="4">
        <v>6</v>
      </c>
    </row>
    <row r="1573" spans="1:17" x14ac:dyDescent="0.25">
      <c r="A1573" s="2" t="s">
        <v>2650</v>
      </c>
      <c r="B1573" s="3" t="s">
        <v>5016</v>
      </c>
      <c r="C1573" s="3">
        <v>23</v>
      </c>
      <c r="D1573" s="46" t="str">
        <f>IF(Tabla1[[#This Row],[EDAD]]&lt;=35,"Adultos jóvenes 18 - 35 años",IF(C1573&gt;=36,"Adultos mayores 36 años en adelante"))</f>
        <v>Adultos jóvenes 18 - 35 años</v>
      </c>
      <c r="E1573" s="3" t="s">
        <v>5019</v>
      </c>
      <c r="F1573" s="3" t="s">
        <v>5024</v>
      </c>
      <c r="G1573" s="3" t="s">
        <v>5031</v>
      </c>
      <c r="H1573" s="3" t="s">
        <v>7673</v>
      </c>
      <c r="I1573" s="17">
        <v>45386</v>
      </c>
      <c r="J1573" s="18">
        <f>YEAR(Tabla1[[#This Row],[FECHA DE COMPRA]])</f>
        <v>2024</v>
      </c>
      <c r="K1573" s="19">
        <v>140.47</v>
      </c>
      <c r="L1573" s="20">
        <v>0</v>
      </c>
      <c r="M1573" s="19">
        <f>Tienda!$K2884-Tienda!$K2884*Tienda!$L2884</f>
        <v>99.17</v>
      </c>
      <c r="N1573" s="3" t="s">
        <v>10038</v>
      </c>
      <c r="O1573" s="3" t="s">
        <v>10042</v>
      </c>
      <c r="P1573" s="17">
        <v>45386</v>
      </c>
      <c r="Q1573" s="4">
        <v>12</v>
      </c>
    </row>
    <row r="1574" spans="1:17" x14ac:dyDescent="0.25">
      <c r="A1574" s="2" t="s">
        <v>363</v>
      </c>
      <c r="B1574" s="3" t="s">
        <v>5016</v>
      </c>
      <c r="C1574" s="3">
        <v>33</v>
      </c>
      <c r="D1574" s="46" t="str">
        <f>IF(Tabla1[[#This Row],[EDAD]]&lt;=35,"Adultos jóvenes 18 - 35 años",IF(C1574&gt;=36,"Adultos mayores 36 años en adelante"))</f>
        <v>Adultos jóvenes 18 - 35 años</v>
      </c>
      <c r="E1574" s="3" t="s">
        <v>5017</v>
      </c>
      <c r="F1574" s="3" t="s">
        <v>5027</v>
      </c>
      <c r="G1574" s="3" t="s">
        <v>5034</v>
      </c>
      <c r="H1574" s="3" t="s">
        <v>5386</v>
      </c>
      <c r="I1574" s="17">
        <v>45404</v>
      </c>
      <c r="J1574" s="18">
        <f>YEAR(Tabla1[[#This Row],[FECHA DE COMPRA]])</f>
        <v>2024</v>
      </c>
      <c r="K1574" s="19">
        <v>156.44999999999999</v>
      </c>
      <c r="L1574" s="20">
        <v>0.1</v>
      </c>
      <c r="M1574" s="19">
        <f>Tienda!$K2886-Tienda!$K2886*Tienda!$L2886</f>
        <v>100.28</v>
      </c>
      <c r="N1574" s="3" t="s">
        <v>10038</v>
      </c>
      <c r="O1574" s="3" t="s">
        <v>10042</v>
      </c>
      <c r="P1574" s="17">
        <v>45404</v>
      </c>
      <c r="Q1574" s="4">
        <v>12</v>
      </c>
    </row>
    <row r="1575" spans="1:17" x14ac:dyDescent="0.25">
      <c r="A1575" s="2" t="s">
        <v>3088</v>
      </c>
      <c r="B1575" s="3" t="s">
        <v>5015</v>
      </c>
      <c r="C1575" s="3">
        <v>24</v>
      </c>
      <c r="D1575" s="46" t="str">
        <f>IF(Tabla1[[#This Row],[EDAD]]&lt;=35,"Adultos jóvenes 18 - 35 años",IF(C1575&gt;=36,"Adultos mayores 36 años en adelante"))</f>
        <v>Adultos jóvenes 18 - 35 años</v>
      </c>
      <c r="E1575" s="3" t="s">
        <v>5020</v>
      </c>
      <c r="F1575" s="3" t="s">
        <v>5026</v>
      </c>
      <c r="G1575" s="3" t="s">
        <v>5036</v>
      </c>
      <c r="H1575" s="3" t="s">
        <v>8111</v>
      </c>
      <c r="I1575" s="17">
        <v>45533</v>
      </c>
      <c r="J1575" s="18">
        <f>YEAR(Tabla1[[#This Row],[FECHA DE COMPRA]])</f>
        <v>2024</v>
      </c>
      <c r="K1575" s="19">
        <v>141.63999999999999</v>
      </c>
      <c r="L1575" s="20">
        <v>0</v>
      </c>
      <c r="M1575" s="19">
        <f>Tienda!$K2887-Tienda!$K2887*Tienda!$L2887</f>
        <v>100.44</v>
      </c>
      <c r="N1575" s="3" t="s">
        <v>10038</v>
      </c>
      <c r="O1575" s="3" t="s">
        <v>10042</v>
      </c>
      <c r="P1575" s="17">
        <v>45623</v>
      </c>
      <c r="Q1575" s="4">
        <v>3</v>
      </c>
    </row>
    <row r="1576" spans="1:17" x14ac:dyDescent="0.25">
      <c r="A1576" s="2" t="s">
        <v>1689</v>
      </c>
      <c r="B1576" s="3" t="s">
        <v>5015</v>
      </c>
      <c r="C1576" s="3">
        <v>19</v>
      </c>
      <c r="D1576" s="46" t="str">
        <f>IF(Tabla1[[#This Row],[EDAD]]&lt;=35,"Adultos jóvenes 18 - 35 años",IF(C1576&gt;=36,"Adultos mayores 36 años en adelante"))</f>
        <v>Adultos jóvenes 18 - 35 años</v>
      </c>
      <c r="E1576" s="3" t="s">
        <v>5020</v>
      </c>
      <c r="F1576" s="3" t="s">
        <v>5029</v>
      </c>
      <c r="G1576" s="3" t="s">
        <v>5037</v>
      </c>
      <c r="H1576" s="3" t="s">
        <v>6712</v>
      </c>
      <c r="I1576" s="17">
        <v>45315</v>
      </c>
      <c r="J1576" s="18">
        <f>YEAR(Tabla1[[#This Row],[FECHA DE COMPRA]])</f>
        <v>2024</v>
      </c>
      <c r="K1576" s="19">
        <v>177.31</v>
      </c>
      <c r="L1576" s="20">
        <v>0.2</v>
      </c>
      <c r="M1576" s="19">
        <f>Tienda!$K2888-Tienda!$K2888*Tienda!$L2888</f>
        <v>100.755</v>
      </c>
      <c r="N1576" s="3" t="s">
        <v>10038</v>
      </c>
      <c r="O1576" s="3" t="s">
        <v>10042</v>
      </c>
      <c r="P1576" s="17">
        <v>45495</v>
      </c>
      <c r="Q1576" s="4">
        <v>6</v>
      </c>
    </row>
    <row r="1577" spans="1:17" x14ac:dyDescent="0.25">
      <c r="A1577" s="2" t="s">
        <v>1847</v>
      </c>
      <c r="B1577" s="3" t="s">
        <v>5015</v>
      </c>
      <c r="C1577" s="3">
        <v>26</v>
      </c>
      <c r="D1577" s="46" t="str">
        <f>IF(Tabla1[[#This Row],[EDAD]]&lt;=35,"Adultos jóvenes 18 - 35 años",IF(C1577&gt;=36,"Adultos mayores 36 años en adelante"))</f>
        <v>Adultos jóvenes 18 - 35 años</v>
      </c>
      <c r="E1577" s="3" t="s">
        <v>5022</v>
      </c>
      <c r="F1577" s="3" t="s">
        <v>5030</v>
      </c>
      <c r="G1577" s="3" t="s">
        <v>5031</v>
      </c>
      <c r="H1577" s="3" t="s">
        <v>6870</v>
      </c>
      <c r="I1577" s="17">
        <v>45392</v>
      </c>
      <c r="J1577" s="18">
        <f>YEAR(Tabla1[[#This Row],[FECHA DE COMPRA]])</f>
        <v>2024</v>
      </c>
      <c r="K1577" s="19">
        <v>178.56</v>
      </c>
      <c r="L1577" s="20">
        <v>0.2</v>
      </c>
      <c r="M1577" s="19">
        <f>Tienda!$K2890-Tienda!$K2890*Tienda!$L2890</f>
        <v>102.63400000000001</v>
      </c>
      <c r="N1577" s="3" t="s">
        <v>10038</v>
      </c>
      <c r="O1577" s="3" t="s">
        <v>10042</v>
      </c>
      <c r="P1577" s="17">
        <v>45392</v>
      </c>
      <c r="Q1577" s="4">
        <v>9</v>
      </c>
    </row>
    <row r="1578" spans="1:17" x14ac:dyDescent="0.25">
      <c r="A1578" s="2" t="s">
        <v>3004</v>
      </c>
      <c r="B1578" s="3" t="s">
        <v>5015</v>
      </c>
      <c r="C1578" s="3">
        <v>33</v>
      </c>
      <c r="D1578" s="46" t="str">
        <f>IF(Tabla1[[#This Row],[EDAD]]&lt;=35,"Adultos jóvenes 18 - 35 años",IF(C1578&gt;=36,"Adultos mayores 36 años en adelante"))</f>
        <v>Adultos jóvenes 18 - 35 años</v>
      </c>
      <c r="E1578" s="3" t="s">
        <v>5017</v>
      </c>
      <c r="F1578" s="3" t="s">
        <v>5026</v>
      </c>
      <c r="G1578" s="3" t="s">
        <v>5035</v>
      </c>
      <c r="H1578" s="3" t="s">
        <v>8027</v>
      </c>
      <c r="I1578" s="17">
        <v>45429</v>
      </c>
      <c r="J1578" s="18">
        <f>YEAR(Tabla1[[#This Row],[FECHA DE COMPRA]])</f>
        <v>2024</v>
      </c>
      <c r="K1578" s="19">
        <v>159.25</v>
      </c>
      <c r="L1578" s="20">
        <v>0.1</v>
      </c>
      <c r="M1578" s="19">
        <f>Tienda!$K2892-Tienda!$K2892*Tienda!$L2892</f>
        <v>102.86499999999999</v>
      </c>
      <c r="N1578" s="3" t="s">
        <v>10038</v>
      </c>
      <c r="O1578" s="3" t="s">
        <v>10042</v>
      </c>
      <c r="P1578" s="17">
        <v>45519</v>
      </c>
      <c r="Q1578" s="4">
        <v>3</v>
      </c>
    </row>
    <row r="1579" spans="1:17" x14ac:dyDescent="0.25">
      <c r="A1579" s="2" t="s">
        <v>2145</v>
      </c>
      <c r="B1579" s="3" t="s">
        <v>5015</v>
      </c>
      <c r="C1579" s="3">
        <v>25</v>
      </c>
      <c r="D1579" s="46" t="str">
        <f>IF(Tabla1[[#This Row],[EDAD]]&lt;=35,"Adultos jóvenes 18 - 35 años",IF(C1579&gt;=36,"Adultos mayores 36 años en adelante"))</f>
        <v>Adultos jóvenes 18 - 35 años</v>
      </c>
      <c r="E1579" s="3" t="s">
        <v>5020</v>
      </c>
      <c r="F1579" s="3" t="s">
        <v>5025</v>
      </c>
      <c r="G1579" s="3" t="s">
        <v>5032</v>
      </c>
      <c r="H1579" s="3" t="s">
        <v>7168</v>
      </c>
      <c r="I1579" s="17">
        <v>45308</v>
      </c>
      <c r="J1579" s="18">
        <f>YEAR(Tabla1[[#This Row],[FECHA DE COMPRA]])</f>
        <v>2024</v>
      </c>
      <c r="K1579" s="19">
        <v>144.01</v>
      </c>
      <c r="L1579" s="20">
        <v>0</v>
      </c>
      <c r="M1579" s="19">
        <f>Tienda!$K2899-Tienda!$K2899*Tienda!$L2899</f>
        <v>108.39</v>
      </c>
      <c r="N1579" s="3" t="s">
        <v>10038</v>
      </c>
      <c r="O1579" s="3" t="s">
        <v>10042</v>
      </c>
      <c r="P1579" s="17">
        <v>45308</v>
      </c>
      <c r="Q1579" s="4">
        <v>6</v>
      </c>
    </row>
    <row r="1580" spans="1:17" x14ac:dyDescent="0.25">
      <c r="A1580" s="2" t="s">
        <v>4397</v>
      </c>
      <c r="B1580" s="3" t="s">
        <v>5015</v>
      </c>
      <c r="C1580" s="3">
        <v>18</v>
      </c>
      <c r="D1580" s="46" t="str">
        <f>IF(Tabla1[[#This Row],[EDAD]]&lt;=35,"Adultos jóvenes 18 - 35 años",IF(C1580&gt;=36,"Adultos mayores 36 años en adelante"))</f>
        <v>Adultos jóvenes 18 - 35 años</v>
      </c>
      <c r="E1580" s="3" t="s">
        <v>5018</v>
      </c>
      <c r="F1580" s="3" t="s">
        <v>5024</v>
      </c>
      <c r="G1580" s="3" t="s">
        <v>5034</v>
      </c>
      <c r="H1580" s="3" t="s">
        <v>9420</v>
      </c>
      <c r="I1580" s="17">
        <v>45369</v>
      </c>
      <c r="J1580" s="18">
        <f>YEAR(Tabla1[[#This Row],[FECHA DE COMPRA]])</f>
        <v>2024</v>
      </c>
      <c r="K1580" s="19">
        <v>144.09</v>
      </c>
      <c r="L1580" s="20">
        <v>0</v>
      </c>
      <c r="M1580" s="19">
        <f>Tienda!$K2900-Tienda!$K2900*Tienda!$L2900</f>
        <v>108.63199999999999</v>
      </c>
      <c r="N1580" s="3" t="s">
        <v>10038</v>
      </c>
      <c r="O1580" s="3" t="s">
        <v>10042</v>
      </c>
      <c r="P1580" s="17">
        <v>45369</v>
      </c>
      <c r="Q1580" s="4">
        <v>6</v>
      </c>
    </row>
    <row r="1581" spans="1:17" x14ac:dyDescent="0.25">
      <c r="A1581" s="2" t="s">
        <v>1672</v>
      </c>
      <c r="B1581" s="3" t="s">
        <v>5015</v>
      </c>
      <c r="C1581" s="3">
        <v>21</v>
      </c>
      <c r="D1581" s="46" t="str">
        <f>IF(Tabla1[[#This Row],[EDAD]]&lt;=35,"Adultos jóvenes 18 - 35 años",IF(C1581&gt;=36,"Adultos mayores 36 años en adelante"))</f>
        <v>Adultos jóvenes 18 - 35 años</v>
      </c>
      <c r="E1581" s="3" t="s">
        <v>5022</v>
      </c>
      <c r="F1581" s="3" t="s">
        <v>5030</v>
      </c>
      <c r="G1581" s="3" t="s">
        <v>5036</v>
      </c>
      <c r="H1581" s="3" t="s">
        <v>6695</v>
      </c>
      <c r="I1581" s="17">
        <v>45406</v>
      </c>
      <c r="J1581" s="18">
        <f>YEAR(Tabla1[[#This Row],[FECHA DE COMPRA]])</f>
        <v>2024</v>
      </c>
      <c r="K1581" s="19">
        <v>160.75</v>
      </c>
      <c r="L1581" s="20">
        <v>0.1</v>
      </c>
      <c r="M1581" s="19">
        <f>Tienda!$K2902-Tienda!$K2902*Tienda!$L2902</f>
        <v>110.334</v>
      </c>
      <c r="N1581" s="3" t="s">
        <v>10038</v>
      </c>
      <c r="O1581" s="3" t="s">
        <v>10042</v>
      </c>
      <c r="P1581" s="17">
        <v>45406</v>
      </c>
      <c r="Q1581" s="4">
        <v>3</v>
      </c>
    </row>
    <row r="1582" spans="1:17" x14ac:dyDescent="0.25">
      <c r="A1582" s="2" t="s">
        <v>829</v>
      </c>
      <c r="B1582" s="3" t="s">
        <v>5016</v>
      </c>
      <c r="C1582" s="3">
        <v>31</v>
      </c>
      <c r="D1582" s="46" t="str">
        <f>IF(Tabla1[[#This Row],[EDAD]]&lt;=35,"Adultos jóvenes 18 - 35 años",IF(C1582&gt;=36,"Adultos mayores 36 años en adelante"))</f>
        <v>Adultos jóvenes 18 - 35 años</v>
      </c>
      <c r="E1582" s="3" t="s">
        <v>5021</v>
      </c>
      <c r="F1582" s="3" t="s">
        <v>5027</v>
      </c>
      <c r="G1582" s="3" t="s">
        <v>5033</v>
      </c>
      <c r="H1582" s="3" t="s">
        <v>5852</v>
      </c>
      <c r="I1582" s="17">
        <v>45364</v>
      </c>
      <c r="J1582" s="18">
        <f>YEAR(Tabla1[[#This Row],[FECHA DE COMPRA]])</f>
        <v>2024</v>
      </c>
      <c r="K1582" s="19">
        <v>182.01</v>
      </c>
      <c r="L1582" s="20">
        <v>0.2</v>
      </c>
      <c r="M1582" s="19">
        <f>Tienda!$K2905-Tienda!$K2905*Tienda!$L2905</f>
        <v>111.91</v>
      </c>
      <c r="N1582" s="3" t="s">
        <v>10038</v>
      </c>
      <c r="O1582" s="3" t="s">
        <v>10042</v>
      </c>
      <c r="P1582" s="17">
        <v>45724</v>
      </c>
      <c r="Q1582" s="4">
        <v>12</v>
      </c>
    </row>
    <row r="1583" spans="1:17" x14ac:dyDescent="0.25">
      <c r="A1583" s="2" t="s">
        <v>2720</v>
      </c>
      <c r="B1583" s="3" t="s">
        <v>5015</v>
      </c>
      <c r="C1583" s="3">
        <v>29</v>
      </c>
      <c r="D1583" s="46" t="str">
        <f>IF(Tabla1[[#This Row],[EDAD]]&lt;=35,"Adultos jóvenes 18 - 35 años",IF(C1583&gt;=36,"Adultos mayores 36 años en adelante"))</f>
        <v>Adultos jóvenes 18 - 35 años</v>
      </c>
      <c r="E1583" s="3" t="s">
        <v>5018</v>
      </c>
      <c r="F1583" s="3" t="s">
        <v>5029</v>
      </c>
      <c r="G1583" s="3" t="s">
        <v>5035</v>
      </c>
      <c r="H1583" s="3" t="s">
        <v>7743</v>
      </c>
      <c r="I1583" s="17">
        <v>45350</v>
      </c>
      <c r="J1583" s="18">
        <f>YEAR(Tabla1[[#This Row],[FECHA DE COMPRA]])</f>
        <v>2024</v>
      </c>
      <c r="K1583" s="19">
        <v>162.38999999999999</v>
      </c>
      <c r="L1583" s="20">
        <v>0.1</v>
      </c>
      <c r="M1583" s="19">
        <f>Tienda!$K2909-Tienda!$K2909*Tienda!$L2909</f>
        <v>113.87</v>
      </c>
      <c r="N1583" s="3" t="s">
        <v>10038</v>
      </c>
      <c r="O1583" s="3" t="s">
        <v>10042</v>
      </c>
      <c r="P1583" s="17">
        <v>45710</v>
      </c>
      <c r="Q1583" s="4">
        <v>12</v>
      </c>
    </row>
    <row r="1584" spans="1:17" x14ac:dyDescent="0.25">
      <c r="A1584" s="2" t="s">
        <v>2351</v>
      </c>
      <c r="B1584" s="3" t="s">
        <v>5015</v>
      </c>
      <c r="C1584" s="3">
        <v>35</v>
      </c>
      <c r="D1584" s="46" t="str">
        <f>IF(Tabla1[[#This Row],[EDAD]]&lt;=35,"Adultos jóvenes 18 - 35 años",IF(C1584&gt;=36,"Adultos mayores 36 años en adelante"))</f>
        <v>Adultos jóvenes 18 - 35 años</v>
      </c>
      <c r="E1584" s="3" t="s">
        <v>5021</v>
      </c>
      <c r="F1584" s="3" t="s">
        <v>5024</v>
      </c>
      <c r="G1584" s="3" t="s">
        <v>5031</v>
      </c>
      <c r="H1584" s="3" t="s">
        <v>7374</v>
      </c>
      <c r="I1584" s="17">
        <v>45408</v>
      </c>
      <c r="J1584" s="18">
        <f>YEAR(Tabla1[[#This Row],[FECHA DE COMPRA]])</f>
        <v>2024</v>
      </c>
      <c r="K1584" s="19">
        <v>183.58</v>
      </c>
      <c r="L1584" s="20">
        <v>0.2</v>
      </c>
      <c r="M1584" s="19">
        <f>Tienda!$K2913-Tienda!$K2913*Tienda!$L2913</f>
        <v>115.5</v>
      </c>
      <c r="N1584" s="3" t="s">
        <v>10038</v>
      </c>
      <c r="O1584" s="3" t="s">
        <v>10042</v>
      </c>
      <c r="P1584" s="17">
        <v>45408</v>
      </c>
      <c r="Q1584" s="4">
        <v>6</v>
      </c>
    </row>
    <row r="1585" spans="1:17" x14ac:dyDescent="0.25">
      <c r="A1585" s="2" t="s">
        <v>4179</v>
      </c>
      <c r="B1585" s="3" t="s">
        <v>5015</v>
      </c>
      <c r="C1585" s="3">
        <v>30</v>
      </c>
      <c r="D1585" s="46" t="str">
        <f>IF(Tabla1[[#This Row],[EDAD]]&lt;=35,"Adultos jóvenes 18 - 35 años",IF(C1585&gt;=36,"Adultos mayores 36 años en adelante"))</f>
        <v>Adultos jóvenes 18 - 35 años</v>
      </c>
      <c r="E1585" s="3" t="s">
        <v>5019</v>
      </c>
      <c r="F1585" s="3" t="s">
        <v>5030</v>
      </c>
      <c r="G1585" s="3" t="s">
        <v>5032</v>
      </c>
      <c r="H1585" s="3" t="s">
        <v>9202</v>
      </c>
      <c r="I1585" s="17">
        <v>45386</v>
      </c>
      <c r="J1585" s="18">
        <f>YEAR(Tabla1[[#This Row],[FECHA DE COMPRA]])</f>
        <v>2024</v>
      </c>
      <c r="K1585" s="19">
        <v>183.84</v>
      </c>
      <c r="L1585" s="20">
        <v>0.2</v>
      </c>
      <c r="M1585" s="19">
        <f>Tienda!$K2914-Tienda!$K2914*Tienda!$L2914</f>
        <v>116.074</v>
      </c>
      <c r="N1585" s="3" t="s">
        <v>10038</v>
      </c>
      <c r="O1585" s="3" t="s">
        <v>10042</v>
      </c>
      <c r="P1585" s="17">
        <v>45386</v>
      </c>
      <c r="Q1585" s="4">
        <v>12</v>
      </c>
    </row>
    <row r="1586" spans="1:17" x14ac:dyDescent="0.25">
      <c r="A1586" s="2" t="s">
        <v>3145</v>
      </c>
      <c r="B1586" s="3" t="s">
        <v>5016</v>
      </c>
      <c r="C1586" s="3">
        <v>29</v>
      </c>
      <c r="D1586" s="46" t="str">
        <f>IF(Tabla1[[#This Row],[EDAD]]&lt;=35,"Adultos jóvenes 18 - 35 años",IF(C1586&gt;=36,"Adultos mayores 36 años en adelante"))</f>
        <v>Adultos jóvenes 18 - 35 años</v>
      </c>
      <c r="E1586" s="3" t="s">
        <v>5023</v>
      </c>
      <c r="F1586" s="3" t="s">
        <v>5029</v>
      </c>
      <c r="G1586" s="3" t="s">
        <v>5037</v>
      </c>
      <c r="H1586" s="3" t="s">
        <v>8168</v>
      </c>
      <c r="I1586" s="17">
        <v>45424</v>
      </c>
      <c r="J1586" s="18">
        <f>YEAR(Tabla1[[#This Row],[FECHA DE COMPRA]])</f>
        <v>2024</v>
      </c>
      <c r="K1586" s="19">
        <v>165.92</v>
      </c>
      <c r="L1586" s="20">
        <v>0.1</v>
      </c>
      <c r="M1586" s="19">
        <f>Tienda!$K2928-Tienda!$K2928*Tienda!$L2928</f>
        <v>121.39399999999999</v>
      </c>
      <c r="N1586" s="3" t="s">
        <v>10038</v>
      </c>
      <c r="O1586" s="3" t="s">
        <v>10042</v>
      </c>
      <c r="P1586" s="17">
        <v>45694</v>
      </c>
      <c r="Q1586" s="4">
        <v>9</v>
      </c>
    </row>
    <row r="1587" spans="1:17" x14ac:dyDescent="0.25">
      <c r="A1587" s="2" t="s">
        <v>4456</v>
      </c>
      <c r="B1587" s="3" t="s">
        <v>5016</v>
      </c>
      <c r="C1587" s="3">
        <v>34</v>
      </c>
      <c r="D1587" s="46" t="str">
        <f>IF(Tabla1[[#This Row],[EDAD]]&lt;=35,"Adultos jóvenes 18 - 35 años",IF(C1587&gt;=36,"Adultos mayores 36 años en adelante"))</f>
        <v>Adultos jóvenes 18 - 35 años</v>
      </c>
      <c r="E1587" s="3" t="s">
        <v>5021</v>
      </c>
      <c r="F1587" s="3" t="s">
        <v>5024</v>
      </c>
      <c r="G1587" s="3" t="s">
        <v>5034</v>
      </c>
      <c r="H1587" s="3" t="s">
        <v>9479</v>
      </c>
      <c r="I1587" s="17">
        <v>45649</v>
      </c>
      <c r="J1587" s="18">
        <f>YEAR(Tabla1[[#This Row],[FECHA DE COMPRA]])</f>
        <v>2024</v>
      </c>
      <c r="K1587" s="19">
        <v>149.69999999999999</v>
      </c>
      <c r="L1587" s="20">
        <v>0</v>
      </c>
      <c r="M1587" s="19">
        <f>Tienda!$K2931-Tienda!$K2931*Tienda!$L2931</f>
        <v>121.46</v>
      </c>
      <c r="N1587" s="3" t="s">
        <v>10038</v>
      </c>
      <c r="O1587" s="3" t="s">
        <v>10042</v>
      </c>
      <c r="P1587" s="17">
        <v>45388</v>
      </c>
      <c r="Q1587" s="4">
        <v>3</v>
      </c>
    </row>
    <row r="1588" spans="1:17" x14ac:dyDescent="0.25">
      <c r="A1588" s="2" t="s">
        <v>854</v>
      </c>
      <c r="B1588" s="3" t="s">
        <v>5016</v>
      </c>
      <c r="C1588" s="3">
        <v>24</v>
      </c>
      <c r="D1588" s="46" t="str">
        <f>IF(Tabla1[[#This Row],[EDAD]]&lt;=35,"Adultos jóvenes 18 - 35 años",IF(C1588&gt;=36,"Adultos mayores 36 años en adelante"))</f>
        <v>Adultos jóvenes 18 - 35 años</v>
      </c>
      <c r="E1588" s="3" t="s">
        <v>5019</v>
      </c>
      <c r="F1588" s="3" t="s">
        <v>5028</v>
      </c>
      <c r="G1588" s="3" t="s">
        <v>5032</v>
      </c>
      <c r="H1588" s="3" t="s">
        <v>5877</v>
      </c>
      <c r="I1588" s="17">
        <v>45550</v>
      </c>
      <c r="J1588" s="18">
        <f>YEAR(Tabla1[[#This Row],[FECHA DE COMPRA]])</f>
        <v>2024</v>
      </c>
      <c r="K1588" s="19">
        <v>168.47</v>
      </c>
      <c r="L1588" s="20">
        <v>0.1</v>
      </c>
      <c r="M1588" s="19">
        <f>Tienda!$K2940-Tienda!$K2940*Tienda!$L2940</f>
        <v>125.072</v>
      </c>
      <c r="N1588" s="3" t="s">
        <v>10038</v>
      </c>
      <c r="O1588" s="3" t="s">
        <v>10042</v>
      </c>
      <c r="P1588" s="17">
        <v>45820</v>
      </c>
      <c r="Q1588" s="4">
        <v>9</v>
      </c>
    </row>
    <row r="1589" spans="1:17" x14ac:dyDescent="0.25">
      <c r="A1589" s="2" t="s">
        <v>3097</v>
      </c>
      <c r="B1589" s="3" t="s">
        <v>5015</v>
      </c>
      <c r="C1589" s="3">
        <v>35</v>
      </c>
      <c r="D1589" s="46" t="str">
        <f>IF(Tabla1[[#This Row],[EDAD]]&lt;=35,"Adultos jóvenes 18 - 35 años",IF(C1589&gt;=36,"Adultos mayores 36 años en adelante"))</f>
        <v>Adultos jóvenes 18 - 35 años</v>
      </c>
      <c r="E1589" s="3" t="s">
        <v>5023</v>
      </c>
      <c r="F1589" s="3" t="s">
        <v>5025</v>
      </c>
      <c r="G1589" s="3" t="s">
        <v>5035</v>
      </c>
      <c r="H1589" s="3" t="s">
        <v>8120</v>
      </c>
      <c r="I1589" s="17">
        <v>45332</v>
      </c>
      <c r="J1589" s="18">
        <f>YEAR(Tabla1[[#This Row],[FECHA DE COMPRA]])</f>
        <v>2024</v>
      </c>
      <c r="K1589" s="19">
        <v>151.81</v>
      </c>
      <c r="L1589" s="20">
        <v>0</v>
      </c>
      <c r="M1589" s="19">
        <f>Tienda!$K2941-Tienda!$K2941*Tienda!$L2941</f>
        <v>128.21199999999999</v>
      </c>
      <c r="N1589" s="3" t="s">
        <v>10038</v>
      </c>
      <c r="O1589" s="3" t="s">
        <v>10042</v>
      </c>
      <c r="P1589" s="17">
        <v>45692</v>
      </c>
      <c r="Q1589" s="4">
        <v>12</v>
      </c>
    </row>
    <row r="1590" spans="1:17" x14ac:dyDescent="0.25">
      <c r="A1590" s="2" t="s">
        <v>3939</v>
      </c>
      <c r="B1590" s="3" t="s">
        <v>5015</v>
      </c>
      <c r="C1590" s="3">
        <v>23</v>
      </c>
      <c r="D1590" s="46" t="str">
        <f>IF(Tabla1[[#This Row],[EDAD]]&lt;=35,"Adultos jóvenes 18 - 35 años",IF(C1590&gt;=36,"Adultos mayores 36 años en adelante"))</f>
        <v>Adultos jóvenes 18 - 35 años</v>
      </c>
      <c r="E1590" s="3" t="s">
        <v>5023</v>
      </c>
      <c r="F1590" s="3" t="s">
        <v>5026</v>
      </c>
      <c r="G1590" s="3" t="s">
        <v>5035</v>
      </c>
      <c r="H1590" s="3" t="s">
        <v>8962</v>
      </c>
      <c r="I1590" s="17">
        <v>45618</v>
      </c>
      <c r="J1590" s="18">
        <f>YEAR(Tabla1[[#This Row],[FECHA DE COMPRA]])</f>
        <v>2024</v>
      </c>
      <c r="K1590" s="19">
        <v>191.11</v>
      </c>
      <c r="L1590" s="20">
        <v>0.2</v>
      </c>
      <c r="M1590" s="19">
        <f>Tienda!$K2945-Tienda!$K2945*Tienda!$L2945</f>
        <v>128.80799999999999</v>
      </c>
      <c r="N1590" s="3" t="s">
        <v>10038</v>
      </c>
      <c r="O1590" s="3" t="s">
        <v>10042</v>
      </c>
      <c r="P1590" s="17">
        <v>45558</v>
      </c>
      <c r="Q1590" s="4">
        <v>3</v>
      </c>
    </row>
    <row r="1591" spans="1:17" x14ac:dyDescent="0.25">
      <c r="A1591" s="2" t="s">
        <v>1499</v>
      </c>
      <c r="B1591" s="3" t="s">
        <v>5015</v>
      </c>
      <c r="C1591" s="3">
        <v>27</v>
      </c>
      <c r="D1591" s="46" t="str">
        <f>IF(Tabla1[[#This Row],[EDAD]]&lt;=35,"Adultos jóvenes 18 - 35 años",IF(C1591&gt;=36,"Adultos mayores 36 años en adelante"))</f>
        <v>Adultos jóvenes 18 - 35 años</v>
      </c>
      <c r="E1591" s="3" t="s">
        <v>5017</v>
      </c>
      <c r="F1591" s="3" t="s">
        <v>5027</v>
      </c>
      <c r="G1591" s="3" t="s">
        <v>5031</v>
      </c>
      <c r="H1591" s="3" t="s">
        <v>6522</v>
      </c>
      <c r="I1591" s="17">
        <v>45396</v>
      </c>
      <c r="J1591" s="18">
        <f>YEAR(Tabla1[[#This Row],[FECHA DE COMPRA]])</f>
        <v>2024</v>
      </c>
      <c r="K1591" s="19">
        <v>171.52</v>
      </c>
      <c r="L1591" s="20">
        <v>0.1</v>
      </c>
      <c r="M1591" s="19">
        <f>Tienda!$K2956-Tienda!$K2956*Tienda!$L2956</f>
        <v>136.73699999999999</v>
      </c>
      <c r="N1591" s="3" t="s">
        <v>10038</v>
      </c>
      <c r="O1591" s="3" t="s">
        <v>10042</v>
      </c>
      <c r="P1591" s="17">
        <v>45756</v>
      </c>
      <c r="Q1591" s="4">
        <v>12</v>
      </c>
    </row>
    <row r="1592" spans="1:17" x14ac:dyDescent="0.25">
      <c r="A1592" s="2" t="s">
        <v>4903</v>
      </c>
      <c r="B1592" s="3" t="s">
        <v>5015</v>
      </c>
      <c r="C1592" s="3">
        <v>21</v>
      </c>
      <c r="D1592" s="46" t="str">
        <f>IF(Tabla1[[#This Row],[EDAD]]&lt;=35,"Adultos jóvenes 18 - 35 años",IF(C1592&gt;=36,"Adultos mayores 36 años en adelante"))</f>
        <v>Adultos jóvenes 18 - 35 años</v>
      </c>
      <c r="E1592" s="3" t="s">
        <v>5017</v>
      </c>
      <c r="F1592" s="3" t="s">
        <v>5024</v>
      </c>
      <c r="G1592" s="3" t="s">
        <v>5037</v>
      </c>
      <c r="H1592" s="3" t="s">
        <v>9926</v>
      </c>
      <c r="I1592" s="17">
        <v>45413</v>
      </c>
      <c r="J1592" s="18">
        <f>YEAR(Tabla1[[#This Row],[FECHA DE COMPRA]])</f>
        <v>2024</v>
      </c>
      <c r="K1592" s="19">
        <v>172.6</v>
      </c>
      <c r="L1592" s="20">
        <v>0.1</v>
      </c>
      <c r="M1592" s="19">
        <f>Tienda!$K2963-Tienda!$K2963*Tienda!$L2963</f>
        <v>140.00399999999999</v>
      </c>
      <c r="N1592" s="3" t="s">
        <v>10038</v>
      </c>
      <c r="O1592" s="3" t="s">
        <v>10042</v>
      </c>
      <c r="P1592" s="17">
        <v>45773</v>
      </c>
      <c r="Q1592" s="4">
        <v>12</v>
      </c>
    </row>
    <row r="1593" spans="1:17" x14ac:dyDescent="0.25">
      <c r="A1593" s="2" t="s">
        <v>2334</v>
      </c>
      <c r="B1593" s="3" t="s">
        <v>5016</v>
      </c>
      <c r="C1593" s="3">
        <v>34</v>
      </c>
      <c r="D1593" s="46" t="str">
        <f>IF(Tabla1[[#This Row],[EDAD]]&lt;=35,"Adultos jóvenes 18 - 35 años",IF(C1593&gt;=36,"Adultos mayores 36 años en adelante"))</f>
        <v>Adultos jóvenes 18 - 35 años</v>
      </c>
      <c r="E1593" s="3" t="s">
        <v>5017</v>
      </c>
      <c r="F1593" s="3" t="s">
        <v>5029</v>
      </c>
      <c r="G1593" s="3" t="s">
        <v>5031</v>
      </c>
      <c r="H1593" s="3" t="s">
        <v>7357</v>
      </c>
      <c r="I1593" s="17">
        <v>45611</v>
      </c>
      <c r="J1593" s="18">
        <f>YEAR(Tabla1[[#This Row],[FECHA DE COMPRA]])</f>
        <v>2024</v>
      </c>
      <c r="K1593" s="19">
        <v>194.18</v>
      </c>
      <c r="L1593" s="20">
        <v>0.2</v>
      </c>
      <c r="M1593" s="19">
        <f>Tienda!$K2964-Tienda!$K2964*Tienda!$L2964</f>
        <v>140.27000000000001</v>
      </c>
      <c r="N1593" s="3" t="s">
        <v>10038</v>
      </c>
      <c r="O1593" s="3" t="s">
        <v>10042</v>
      </c>
      <c r="P1593" s="17">
        <v>45701</v>
      </c>
      <c r="Q1593" s="4">
        <v>3</v>
      </c>
    </row>
    <row r="1594" spans="1:17" x14ac:dyDescent="0.25">
      <c r="A1594" s="2" t="s">
        <v>1657</v>
      </c>
      <c r="B1594" s="3" t="s">
        <v>5016</v>
      </c>
      <c r="C1594" s="3">
        <v>30</v>
      </c>
      <c r="D1594" s="46" t="str">
        <f>IF(Tabla1[[#This Row],[EDAD]]&lt;=35,"Adultos jóvenes 18 - 35 años",IF(C1594&gt;=36,"Adultos mayores 36 años en adelante"))</f>
        <v>Adultos jóvenes 18 - 35 años</v>
      </c>
      <c r="E1594" s="3" t="s">
        <v>5019</v>
      </c>
      <c r="F1594" s="3" t="s">
        <v>5029</v>
      </c>
      <c r="G1594" s="3" t="s">
        <v>5037</v>
      </c>
      <c r="H1594" s="3" t="s">
        <v>6680</v>
      </c>
      <c r="I1594" s="17">
        <v>45454</v>
      </c>
      <c r="J1594" s="18">
        <f>YEAR(Tabla1[[#This Row],[FECHA DE COMPRA]])</f>
        <v>2024</v>
      </c>
      <c r="K1594" s="19">
        <v>155.43</v>
      </c>
      <c r="L1594" s="20">
        <v>0</v>
      </c>
      <c r="M1594" s="19">
        <f>Tienda!$K2965-Tienda!$K2965*Tienda!$L2965</f>
        <v>141.29599999999999</v>
      </c>
      <c r="N1594" s="3" t="s">
        <v>10038</v>
      </c>
      <c r="O1594" s="3" t="s">
        <v>10042</v>
      </c>
      <c r="P1594" s="17">
        <v>45544</v>
      </c>
      <c r="Q1594" s="4">
        <v>3</v>
      </c>
    </row>
    <row r="1595" spans="1:17" x14ac:dyDescent="0.25">
      <c r="A1595" s="2" t="s">
        <v>60</v>
      </c>
      <c r="B1595" s="3" t="s">
        <v>5016</v>
      </c>
      <c r="C1595" s="3">
        <v>34</v>
      </c>
      <c r="D1595" s="46" t="str">
        <f>IF(Tabla1[[#This Row],[EDAD]]&lt;=35,"Adultos jóvenes 18 - 35 años",IF(C1595&gt;=36,"Adultos mayores 36 años en adelante"))</f>
        <v>Adultos jóvenes 18 - 35 años</v>
      </c>
      <c r="E1595" s="3" t="s">
        <v>5021</v>
      </c>
      <c r="F1595" s="3" t="s">
        <v>5024</v>
      </c>
      <c r="G1595" s="3" t="s">
        <v>5032</v>
      </c>
      <c r="H1595" s="3" t="s">
        <v>5083</v>
      </c>
      <c r="I1595" s="17">
        <v>45571</v>
      </c>
      <c r="J1595" s="18">
        <f>YEAR(Tabla1[[#This Row],[FECHA DE COMPRA]])</f>
        <v>2024</v>
      </c>
      <c r="K1595" s="19">
        <v>195.29</v>
      </c>
      <c r="L1595" s="20">
        <v>0.2</v>
      </c>
      <c r="M1595" s="19">
        <f>Tienda!$K2966-Tienda!$K2966*Tienda!$L2966</f>
        <v>141.33599999999998</v>
      </c>
      <c r="N1595" s="3" t="s">
        <v>10038</v>
      </c>
      <c r="O1595" s="3" t="s">
        <v>10042</v>
      </c>
      <c r="P1595" s="17">
        <v>45931</v>
      </c>
      <c r="Q1595" s="4">
        <v>12</v>
      </c>
    </row>
    <row r="1596" spans="1:17" x14ac:dyDescent="0.25">
      <c r="A1596" s="2" t="s">
        <v>957</v>
      </c>
      <c r="B1596" s="3" t="s">
        <v>5015</v>
      </c>
      <c r="C1596" s="3">
        <v>19</v>
      </c>
      <c r="D1596" s="46" t="str">
        <f>IF(Tabla1[[#This Row],[EDAD]]&lt;=35,"Adultos jóvenes 18 - 35 años",IF(C1596&gt;=36,"Adultos mayores 36 años en adelante"))</f>
        <v>Adultos jóvenes 18 - 35 años</v>
      </c>
      <c r="E1596" s="3" t="s">
        <v>5019</v>
      </c>
      <c r="F1596" s="3" t="s">
        <v>5030</v>
      </c>
      <c r="G1596" s="3" t="s">
        <v>5036</v>
      </c>
      <c r="H1596" s="3" t="s">
        <v>5980</v>
      </c>
      <c r="I1596" s="17">
        <v>45358</v>
      </c>
      <c r="J1596" s="18">
        <f>YEAR(Tabla1[[#This Row],[FECHA DE COMPRA]])</f>
        <v>2024</v>
      </c>
      <c r="K1596" s="19">
        <v>174.23</v>
      </c>
      <c r="L1596" s="20">
        <v>0.1</v>
      </c>
      <c r="M1596" s="19">
        <f>Tienda!$K2968-Tienda!$K2968*Tienda!$L2968</f>
        <v>142.26300000000001</v>
      </c>
      <c r="N1596" s="3" t="s">
        <v>10038</v>
      </c>
      <c r="O1596" s="3" t="s">
        <v>10042</v>
      </c>
      <c r="P1596" s="17">
        <v>45358</v>
      </c>
      <c r="Q1596" s="4">
        <v>9</v>
      </c>
    </row>
    <row r="1597" spans="1:17" x14ac:dyDescent="0.25">
      <c r="A1597" s="2" t="s">
        <v>2971</v>
      </c>
      <c r="B1597" s="3" t="s">
        <v>5015</v>
      </c>
      <c r="C1597" s="3">
        <v>27</v>
      </c>
      <c r="D1597" s="46" t="str">
        <f>IF(Tabla1[[#This Row],[EDAD]]&lt;=35,"Adultos jóvenes 18 - 35 años",IF(C1597&gt;=36,"Adultos mayores 36 años en adelante"))</f>
        <v>Adultos jóvenes 18 - 35 años</v>
      </c>
      <c r="E1597" s="3" t="s">
        <v>5023</v>
      </c>
      <c r="F1597" s="3" t="s">
        <v>5028</v>
      </c>
      <c r="G1597" s="3" t="s">
        <v>5034</v>
      </c>
      <c r="H1597" s="3" t="s">
        <v>7994</v>
      </c>
      <c r="I1597" s="17">
        <v>45657</v>
      </c>
      <c r="J1597" s="18">
        <f>YEAR(Tabla1[[#This Row],[FECHA DE COMPRA]])</f>
        <v>2024</v>
      </c>
      <c r="K1597" s="19">
        <v>158.34</v>
      </c>
      <c r="L1597" s="20">
        <v>0</v>
      </c>
      <c r="M1597" s="19">
        <f>Tienda!$K2979-Tienda!$K2979*Tienda!$L2979</f>
        <v>150.608</v>
      </c>
      <c r="N1597" s="3" t="s">
        <v>10038</v>
      </c>
      <c r="O1597" s="3" t="s">
        <v>10042</v>
      </c>
      <c r="P1597" s="17">
        <v>45837</v>
      </c>
      <c r="Q1597" s="4">
        <v>6</v>
      </c>
    </row>
    <row r="1598" spans="1:17" x14ac:dyDescent="0.25">
      <c r="A1598" s="2" t="s">
        <v>440</v>
      </c>
      <c r="B1598" s="3" t="s">
        <v>5015</v>
      </c>
      <c r="C1598" s="3">
        <v>33</v>
      </c>
      <c r="D1598" s="46" t="str">
        <f>IF(Tabla1[[#This Row],[EDAD]]&lt;=35,"Adultos jóvenes 18 - 35 años",IF(C1598&gt;=36,"Adultos mayores 36 años en adelante"))</f>
        <v>Adultos jóvenes 18 - 35 años</v>
      </c>
      <c r="E1598" s="3" t="s">
        <v>5019</v>
      </c>
      <c r="F1598" s="3" t="s">
        <v>5024</v>
      </c>
      <c r="G1598" s="3" t="s">
        <v>5033</v>
      </c>
      <c r="H1598" s="3" t="s">
        <v>5463</v>
      </c>
      <c r="I1598" s="17">
        <v>45636</v>
      </c>
      <c r="J1598" s="18">
        <f>YEAR(Tabla1[[#This Row],[FECHA DE COMPRA]])</f>
        <v>2024</v>
      </c>
      <c r="K1598" s="19">
        <v>177.32</v>
      </c>
      <c r="L1598" s="20">
        <v>0.1</v>
      </c>
      <c r="M1598" s="19">
        <f>Tienda!$K2982-Tienda!$K2982*Tienda!$L2982</f>
        <v>152.23500000000001</v>
      </c>
      <c r="N1598" s="3" t="s">
        <v>10038</v>
      </c>
      <c r="O1598" s="3" t="s">
        <v>10042</v>
      </c>
      <c r="P1598" s="17">
        <v>45816</v>
      </c>
      <c r="Q1598" s="4">
        <v>6</v>
      </c>
    </row>
    <row r="1599" spans="1:17" x14ac:dyDescent="0.25">
      <c r="A1599" s="2" t="s">
        <v>2126</v>
      </c>
      <c r="B1599" s="3" t="s">
        <v>5015</v>
      </c>
      <c r="C1599" s="3">
        <v>34</v>
      </c>
      <c r="D1599" s="46" t="str">
        <f>IF(Tabla1[[#This Row],[EDAD]]&lt;=35,"Adultos jóvenes 18 - 35 años",IF(C1599&gt;=36,"Adultos mayores 36 años en adelante"))</f>
        <v>Adultos jóvenes 18 - 35 años</v>
      </c>
      <c r="E1599" s="3" t="s">
        <v>5020</v>
      </c>
      <c r="F1599" s="3" t="s">
        <v>5026</v>
      </c>
      <c r="G1599" s="3" t="s">
        <v>5035</v>
      </c>
      <c r="H1599" s="3" t="s">
        <v>7149</v>
      </c>
      <c r="I1599" s="17">
        <v>45366</v>
      </c>
      <c r="J1599" s="18">
        <f>YEAR(Tabla1[[#This Row],[FECHA DE COMPRA]])</f>
        <v>2024</v>
      </c>
      <c r="K1599" s="19">
        <v>199.88</v>
      </c>
      <c r="L1599" s="20">
        <v>0.2</v>
      </c>
      <c r="M1599" s="19">
        <f>Tienda!$K2986-Tienda!$K2986*Tienda!$L2986</f>
        <v>153.744</v>
      </c>
      <c r="N1599" s="3" t="s">
        <v>10038</v>
      </c>
      <c r="O1599" s="3" t="s">
        <v>10042</v>
      </c>
      <c r="P1599" s="17">
        <v>45366</v>
      </c>
      <c r="Q1599" s="4">
        <v>12</v>
      </c>
    </row>
    <row r="1600" spans="1:17" x14ac:dyDescent="0.25">
      <c r="A1600" s="2" t="s">
        <v>2396</v>
      </c>
      <c r="B1600" s="3" t="s">
        <v>5015</v>
      </c>
      <c r="C1600" s="3">
        <v>23</v>
      </c>
      <c r="D1600" s="46" t="str">
        <f>IF(Tabla1[[#This Row],[EDAD]]&lt;=35,"Adultos jóvenes 18 - 35 años",IF(C1600&gt;=36,"Adultos mayores 36 años en adelante"))</f>
        <v>Adultos jóvenes 18 - 35 años</v>
      </c>
      <c r="E1600" s="3" t="s">
        <v>5019</v>
      </c>
      <c r="F1600" s="3" t="s">
        <v>5030</v>
      </c>
      <c r="G1600" s="3" t="s">
        <v>5036</v>
      </c>
      <c r="H1600" s="3" t="s">
        <v>7419</v>
      </c>
      <c r="I1600" s="17">
        <v>45521</v>
      </c>
      <c r="J1600" s="18">
        <f>YEAR(Tabla1[[#This Row],[FECHA DE COMPRA]])</f>
        <v>2024</v>
      </c>
      <c r="K1600" s="19">
        <v>160.13999999999999</v>
      </c>
      <c r="L1600" s="20">
        <v>0</v>
      </c>
      <c r="M1600" s="19">
        <f>Tienda!$K2987-Tienda!$K2987*Tienda!$L2987</f>
        <v>154.25</v>
      </c>
      <c r="N1600" s="3" t="s">
        <v>10038</v>
      </c>
      <c r="O1600" s="3" t="s">
        <v>10042</v>
      </c>
      <c r="P1600" s="17">
        <v>45521</v>
      </c>
      <c r="Q1600" s="4">
        <v>9</v>
      </c>
    </row>
    <row r="1601" spans="1:17" x14ac:dyDescent="0.25">
      <c r="A1601" s="2" t="s">
        <v>4583</v>
      </c>
      <c r="B1601" s="3" t="s">
        <v>5015</v>
      </c>
      <c r="C1601" s="3">
        <v>26</v>
      </c>
      <c r="D1601" s="46" t="str">
        <f>IF(Tabla1[[#This Row],[EDAD]]&lt;=35,"Adultos jóvenes 18 - 35 años",IF(C1601&gt;=36,"Adultos mayores 36 años en adelante"))</f>
        <v>Adultos jóvenes 18 - 35 años</v>
      </c>
      <c r="E1601" s="3" t="s">
        <v>5022</v>
      </c>
      <c r="F1601" s="3" t="s">
        <v>5030</v>
      </c>
      <c r="G1601" s="3" t="s">
        <v>5037</v>
      </c>
      <c r="H1601" s="3" t="s">
        <v>9606</v>
      </c>
      <c r="I1601" s="17">
        <v>45455</v>
      </c>
      <c r="J1601" s="18">
        <f>YEAR(Tabla1[[#This Row],[FECHA DE COMPRA]])</f>
        <v>2024</v>
      </c>
      <c r="K1601" s="19">
        <v>178.29</v>
      </c>
      <c r="L1601" s="20">
        <v>0.1</v>
      </c>
      <c r="M1601" s="19">
        <f>Tienda!$K2989-Tienda!$K2989*Tienda!$L2989</f>
        <v>155</v>
      </c>
      <c r="N1601" s="3" t="s">
        <v>10038</v>
      </c>
      <c r="O1601" s="3" t="s">
        <v>10042</v>
      </c>
      <c r="P1601" s="17">
        <v>45455</v>
      </c>
      <c r="Q1601" s="4">
        <v>6</v>
      </c>
    </row>
    <row r="1602" spans="1:17" x14ac:dyDescent="0.25">
      <c r="A1602" s="2" t="s">
        <v>2687</v>
      </c>
      <c r="B1602" s="3" t="s">
        <v>5015</v>
      </c>
      <c r="C1602" s="3">
        <v>23</v>
      </c>
      <c r="D1602" s="46" t="str">
        <f>IF(Tabla1[[#This Row],[EDAD]]&lt;=35,"Adultos jóvenes 18 - 35 años",IF(C1602&gt;=36,"Adultos mayores 36 años en adelante"))</f>
        <v>Adultos jóvenes 18 - 35 años</v>
      </c>
      <c r="E1602" s="3" t="s">
        <v>5020</v>
      </c>
      <c r="F1602" s="3" t="s">
        <v>5027</v>
      </c>
      <c r="G1602" s="3" t="s">
        <v>5034</v>
      </c>
      <c r="H1602" s="3" t="s">
        <v>7710</v>
      </c>
      <c r="I1602" s="17">
        <v>45624</v>
      </c>
      <c r="J1602" s="18">
        <f>YEAR(Tabla1[[#This Row],[FECHA DE COMPRA]])</f>
        <v>2024</v>
      </c>
      <c r="K1602" s="19">
        <v>179.4</v>
      </c>
      <c r="L1602" s="20">
        <v>0.1</v>
      </c>
      <c r="M1602" s="19">
        <f>Tienda!$K2990-Tienda!$K2990*Tienda!$L2990</f>
        <v>155.565</v>
      </c>
      <c r="N1602" s="3" t="s">
        <v>10038</v>
      </c>
      <c r="O1602" s="3" t="s">
        <v>10042</v>
      </c>
      <c r="P1602" s="17">
        <v>45573</v>
      </c>
      <c r="Q1602" s="4">
        <v>6</v>
      </c>
    </row>
    <row r="1603" spans="1:17" x14ac:dyDescent="0.25">
      <c r="A1603" s="2" t="s">
        <v>2433</v>
      </c>
      <c r="B1603" s="3" t="s">
        <v>5015</v>
      </c>
      <c r="C1603" s="3">
        <v>29</v>
      </c>
      <c r="D1603" s="46" t="str">
        <f>IF(Tabla1[[#This Row],[EDAD]]&lt;=35,"Adultos jóvenes 18 - 35 años",IF(C1603&gt;=36,"Adultos mayores 36 años en adelante"))</f>
        <v>Adultos jóvenes 18 - 35 años</v>
      </c>
      <c r="E1603" s="3" t="s">
        <v>5018</v>
      </c>
      <c r="F1603" s="3" t="s">
        <v>5025</v>
      </c>
      <c r="G1603" s="3" t="s">
        <v>5036</v>
      </c>
      <c r="H1603" s="3" t="s">
        <v>7456</v>
      </c>
      <c r="I1603" s="17">
        <v>45629</v>
      </c>
      <c r="J1603" s="18">
        <f>YEAR(Tabla1[[#This Row],[FECHA DE COMPRA]])</f>
        <v>2024</v>
      </c>
      <c r="K1603" s="19">
        <v>162.56</v>
      </c>
      <c r="L1603" s="20">
        <v>0</v>
      </c>
      <c r="M1603" s="19">
        <f>Tienda!$K2995-Tienda!$K2995*Tienda!$L2995</f>
        <v>157.12</v>
      </c>
      <c r="N1603" s="3" t="s">
        <v>10038</v>
      </c>
      <c r="O1603" s="3" t="s">
        <v>10042</v>
      </c>
      <c r="P1603" s="17">
        <v>45989</v>
      </c>
      <c r="Q1603" s="4">
        <v>12</v>
      </c>
    </row>
    <row r="1604" spans="1:17" x14ac:dyDescent="0.25">
      <c r="A1604" s="2" t="s">
        <v>3914</v>
      </c>
      <c r="B1604" s="3" t="s">
        <v>5016</v>
      </c>
      <c r="C1604" s="3">
        <v>27</v>
      </c>
      <c r="D1604" s="46" t="str">
        <f>IF(Tabla1[[#This Row],[EDAD]]&lt;=35,"Adultos jóvenes 18 - 35 años",IF(C1604&gt;=36,"Adultos mayores 36 años en adelante"))</f>
        <v>Adultos jóvenes 18 - 35 años</v>
      </c>
      <c r="E1604" s="3" t="s">
        <v>5017</v>
      </c>
      <c r="F1604" s="3" t="s">
        <v>5028</v>
      </c>
      <c r="G1604" s="3" t="s">
        <v>5037</v>
      </c>
      <c r="H1604" s="3" t="s">
        <v>8937</v>
      </c>
      <c r="I1604" s="17">
        <v>45653</v>
      </c>
      <c r="J1604" s="18">
        <f>YEAR(Tabla1[[#This Row],[FECHA DE COMPRA]])</f>
        <v>2024</v>
      </c>
      <c r="K1604" s="19">
        <v>182.8</v>
      </c>
      <c r="L1604" s="20">
        <v>0.1</v>
      </c>
      <c r="M1604" s="19">
        <f>Tienda!$K2998-Tienda!$K2998*Tienda!$L2998</f>
        <v>158.238</v>
      </c>
      <c r="N1604" s="3" t="s">
        <v>10038</v>
      </c>
      <c r="O1604" s="3" t="s">
        <v>10042</v>
      </c>
      <c r="P1604" s="17">
        <v>45833</v>
      </c>
      <c r="Q1604" s="4">
        <v>6</v>
      </c>
    </row>
    <row r="1605" spans="1:17" x14ac:dyDescent="0.25">
      <c r="A1605" s="2" t="s">
        <v>2962</v>
      </c>
      <c r="B1605" s="3" t="s">
        <v>5015</v>
      </c>
      <c r="C1605" s="3">
        <v>27</v>
      </c>
      <c r="D1605" s="46" t="str">
        <f>IF(Tabla1[[#This Row],[EDAD]]&lt;=35,"Adultos jóvenes 18 - 35 años",IF(C1605&gt;=36,"Adultos mayores 36 años en adelante"))</f>
        <v>Adultos jóvenes 18 - 35 años</v>
      </c>
      <c r="E1605" s="3" t="s">
        <v>5017</v>
      </c>
      <c r="F1605" s="3" t="s">
        <v>5025</v>
      </c>
      <c r="G1605" s="3" t="s">
        <v>5033</v>
      </c>
      <c r="H1605" s="3" t="s">
        <v>7985</v>
      </c>
      <c r="I1605" s="17">
        <v>45524</v>
      </c>
      <c r="J1605" s="18">
        <f>YEAR(Tabla1[[#This Row],[FECHA DE COMPRA]])</f>
        <v>2024</v>
      </c>
      <c r="K1605" s="19">
        <v>183.91</v>
      </c>
      <c r="L1605" s="20">
        <v>0.1</v>
      </c>
      <c r="M1605" s="19">
        <f>Tienda!$K3004-Tienda!$K3004*Tienda!$L3004</f>
        <v>165.79</v>
      </c>
      <c r="N1605" s="3" t="s">
        <v>10038</v>
      </c>
      <c r="O1605" s="3" t="s">
        <v>10042</v>
      </c>
      <c r="P1605" s="17">
        <v>45524</v>
      </c>
      <c r="Q1605" s="4">
        <v>3</v>
      </c>
    </row>
    <row r="1606" spans="1:17" x14ac:dyDescent="0.25">
      <c r="A1606" s="2" t="s">
        <v>719</v>
      </c>
      <c r="B1606" s="3" t="s">
        <v>5016</v>
      </c>
      <c r="C1606" s="3">
        <v>35</v>
      </c>
      <c r="D1606" s="46" t="str">
        <f>IF(Tabla1[[#This Row],[EDAD]]&lt;=35,"Adultos jóvenes 18 - 35 años",IF(C1606&gt;=36,"Adultos mayores 36 años en adelante"))</f>
        <v>Adultos jóvenes 18 - 35 años</v>
      </c>
      <c r="E1606" s="3" t="s">
        <v>5019</v>
      </c>
      <c r="F1606" s="3" t="s">
        <v>5029</v>
      </c>
      <c r="G1606" s="3" t="s">
        <v>5032</v>
      </c>
      <c r="H1606" s="3" t="s">
        <v>5742</v>
      </c>
      <c r="I1606" s="17">
        <v>45635</v>
      </c>
      <c r="J1606" s="18">
        <f>YEAR(Tabla1[[#This Row],[FECHA DE COMPRA]])</f>
        <v>2024</v>
      </c>
      <c r="K1606" s="19">
        <v>166.3</v>
      </c>
      <c r="L1606" s="20">
        <v>0</v>
      </c>
      <c r="M1606" s="19">
        <f>Tienda!$K3008-Tienda!$K3008*Tienda!$L3008</f>
        <v>169.33500000000001</v>
      </c>
      <c r="N1606" s="3" t="s">
        <v>10038</v>
      </c>
      <c r="O1606" s="3" t="s">
        <v>10042</v>
      </c>
      <c r="P1606" s="17">
        <v>45810</v>
      </c>
      <c r="Q1606" s="4">
        <v>12</v>
      </c>
    </row>
    <row r="1607" spans="1:17" x14ac:dyDescent="0.25">
      <c r="A1607" s="2" t="s">
        <v>4835</v>
      </c>
      <c r="B1607" s="3" t="s">
        <v>5016</v>
      </c>
      <c r="C1607" s="3">
        <v>26</v>
      </c>
      <c r="D1607" s="46" t="str">
        <f>IF(Tabla1[[#This Row],[EDAD]]&lt;=35,"Adultos jóvenes 18 - 35 años",IF(C1607&gt;=36,"Adultos mayores 36 años en adelante"))</f>
        <v>Adultos jóvenes 18 - 35 años</v>
      </c>
      <c r="E1607" s="3" t="s">
        <v>5021</v>
      </c>
      <c r="F1607" s="3" t="s">
        <v>5027</v>
      </c>
      <c r="G1607" s="3" t="s">
        <v>5037</v>
      </c>
      <c r="H1607" s="3" t="s">
        <v>9858</v>
      </c>
      <c r="I1607" s="17">
        <v>45556</v>
      </c>
      <c r="J1607" s="18">
        <f>YEAR(Tabla1[[#This Row],[FECHA DE COMPRA]])</f>
        <v>2024</v>
      </c>
      <c r="K1607" s="19">
        <v>166.33</v>
      </c>
      <c r="L1607" s="20">
        <v>0</v>
      </c>
      <c r="M1607" s="19">
        <f>Tienda!$K3009-Tienda!$K3009*Tienda!$L3009</f>
        <v>169.64</v>
      </c>
      <c r="N1607" s="3" t="s">
        <v>10038</v>
      </c>
      <c r="O1607" s="3" t="s">
        <v>10042</v>
      </c>
      <c r="P1607" s="17">
        <v>45646</v>
      </c>
      <c r="Q1607" s="4">
        <v>3</v>
      </c>
    </row>
    <row r="1608" spans="1:17" x14ac:dyDescent="0.25">
      <c r="A1608" s="2" t="s">
        <v>2255</v>
      </c>
      <c r="B1608" s="3" t="s">
        <v>5016</v>
      </c>
      <c r="C1608" s="3">
        <v>24</v>
      </c>
      <c r="D1608" s="46" t="str">
        <f>IF(Tabla1[[#This Row],[EDAD]]&lt;=35,"Adultos jóvenes 18 - 35 años",IF(C1608&gt;=36,"Adultos mayores 36 años en adelante"))</f>
        <v>Adultos jóvenes 18 - 35 años</v>
      </c>
      <c r="E1608" s="3" t="s">
        <v>5019</v>
      </c>
      <c r="F1608" s="3" t="s">
        <v>5029</v>
      </c>
      <c r="G1608" s="3" t="s">
        <v>5033</v>
      </c>
      <c r="H1608" s="3" t="s">
        <v>7278</v>
      </c>
      <c r="I1608" s="17">
        <v>45424</v>
      </c>
      <c r="J1608" s="18">
        <f>YEAR(Tabla1[[#This Row],[FECHA DE COMPRA]])</f>
        <v>2024</v>
      </c>
      <c r="K1608" s="19">
        <v>168.47</v>
      </c>
      <c r="L1608" s="20">
        <v>0</v>
      </c>
      <c r="M1608" s="19">
        <f>Tienda!$K3013-Tienda!$K3013*Tienda!$L3013</f>
        <v>177.768</v>
      </c>
      <c r="N1608" s="3" t="s">
        <v>10038</v>
      </c>
      <c r="O1608" s="3" t="s">
        <v>10042</v>
      </c>
      <c r="P1608" s="17">
        <v>45784</v>
      </c>
      <c r="Q1608" s="4">
        <v>12</v>
      </c>
    </row>
    <row r="1609" spans="1:17" x14ac:dyDescent="0.25">
      <c r="A1609" s="2" t="s">
        <v>535</v>
      </c>
      <c r="B1609" s="3" t="s">
        <v>5015</v>
      </c>
      <c r="C1609" s="3">
        <v>21</v>
      </c>
      <c r="D1609" s="46" t="str">
        <f>IF(Tabla1[[#This Row],[EDAD]]&lt;=35,"Adultos jóvenes 18 - 35 años",IF(C1609&gt;=36,"Adultos mayores 36 años en adelante"))</f>
        <v>Adultos jóvenes 18 - 35 años</v>
      </c>
      <c r="E1609" s="3" t="s">
        <v>5020</v>
      </c>
      <c r="F1609" s="3" t="s">
        <v>5027</v>
      </c>
      <c r="G1609" s="3" t="s">
        <v>5037</v>
      </c>
      <c r="H1609" s="3" t="s">
        <v>5558</v>
      </c>
      <c r="I1609" s="17">
        <v>45576</v>
      </c>
      <c r="J1609" s="18">
        <f>YEAR(Tabla1[[#This Row],[FECHA DE COMPRA]])</f>
        <v>2024</v>
      </c>
      <c r="K1609" s="19">
        <v>187.64</v>
      </c>
      <c r="L1609" s="20">
        <v>0.1</v>
      </c>
      <c r="M1609" s="19">
        <f>Tienda!$K3014-Tienda!$K3014*Tienda!$L3014</f>
        <v>178.02</v>
      </c>
      <c r="N1609" s="3" t="s">
        <v>10038</v>
      </c>
      <c r="O1609" s="3" t="s">
        <v>10042</v>
      </c>
      <c r="P1609" s="17">
        <v>45576</v>
      </c>
      <c r="Q1609" s="4">
        <v>9</v>
      </c>
    </row>
    <row r="1610" spans="1:17" x14ac:dyDescent="0.25">
      <c r="A1610" s="2" t="s">
        <v>3945</v>
      </c>
      <c r="B1610" s="3" t="s">
        <v>5015</v>
      </c>
      <c r="C1610" s="3">
        <v>21</v>
      </c>
      <c r="D1610" s="46" t="str">
        <f>IF(Tabla1[[#This Row],[EDAD]]&lt;=35,"Adultos jóvenes 18 - 35 años",IF(C1610&gt;=36,"Adultos mayores 36 años en adelante"))</f>
        <v>Adultos jóvenes 18 - 35 años</v>
      </c>
      <c r="E1610" s="3" t="s">
        <v>5022</v>
      </c>
      <c r="F1610" s="3" t="s">
        <v>5029</v>
      </c>
      <c r="G1610" s="3" t="s">
        <v>5032</v>
      </c>
      <c r="H1610" s="3" t="s">
        <v>8968</v>
      </c>
      <c r="I1610" s="17">
        <v>45632</v>
      </c>
      <c r="J1610" s="18">
        <f>YEAR(Tabla1[[#This Row],[FECHA DE COMPRA]])</f>
        <v>2024</v>
      </c>
      <c r="K1610" s="19">
        <v>189.43</v>
      </c>
      <c r="L1610" s="20">
        <v>0.1</v>
      </c>
      <c r="M1610" s="19">
        <f>Tienda!$K3024-Tienda!$K3024*Tienda!$L3024</f>
        <v>188.6</v>
      </c>
      <c r="N1610" s="3" t="s">
        <v>10038</v>
      </c>
      <c r="O1610" s="3" t="s">
        <v>10042</v>
      </c>
      <c r="P1610" s="17">
        <v>45992</v>
      </c>
      <c r="Q1610" s="4">
        <v>12</v>
      </c>
    </row>
    <row r="1611" spans="1:17" x14ac:dyDescent="0.25">
      <c r="A1611" s="2" t="s">
        <v>2442</v>
      </c>
      <c r="B1611" s="3" t="s">
        <v>5015</v>
      </c>
      <c r="C1611" s="3">
        <v>34</v>
      </c>
      <c r="D1611" s="46" t="str">
        <f>IF(Tabla1[[#This Row],[EDAD]]&lt;=35,"Adultos jóvenes 18 - 35 años",IF(C1611&gt;=36,"Adultos mayores 36 años en adelante"))</f>
        <v>Adultos jóvenes 18 - 35 años</v>
      </c>
      <c r="E1611" s="3" t="s">
        <v>5022</v>
      </c>
      <c r="F1611" s="3" t="s">
        <v>5026</v>
      </c>
      <c r="G1611" s="3" t="s">
        <v>5032</v>
      </c>
      <c r="H1611" s="3" t="s">
        <v>7465</v>
      </c>
      <c r="I1611" s="17">
        <v>45309</v>
      </c>
      <c r="J1611" s="18">
        <f>YEAR(Tabla1[[#This Row],[FECHA DE COMPRA]])</f>
        <v>2024</v>
      </c>
      <c r="K1611" s="19">
        <v>170.54</v>
      </c>
      <c r="L1611" s="20">
        <v>0</v>
      </c>
      <c r="M1611" s="19">
        <f>Tienda!$K3025-Tienda!$K3025*Tienda!$L3025</f>
        <v>189.09</v>
      </c>
      <c r="N1611" s="3" t="s">
        <v>10038</v>
      </c>
      <c r="O1611" s="3" t="s">
        <v>10042</v>
      </c>
      <c r="P1611" s="17">
        <v>45309</v>
      </c>
      <c r="Q1611" s="4">
        <v>6</v>
      </c>
    </row>
    <row r="1612" spans="1:17" x14ac:dyDescent="0.25">
      <c r="A1612" s="2" t="s">
        <v>2779</v>
      </c>
      <c r="B1612" s="3" t="s">
        <v>5016</v>
      </c>
      <c r="C1612" s="3">
        <v>27</v>
      </c>
      <c r="D1612" s="46" t="str">
        <f>IF(Tabla1[[#This Row],[EDAD]]&lt;=35,"Adultos jóvenes 18 - 35 años",IF(C1612&gt;=36,"Adultos mayores 36 años en adelante"))</f>
        <v>Adultos jóvenes 18 - 35 años</v>
      </c>
      <c r="E1612" s="3" t="s">
        <v>5019</v>
      </c>
      <c r="F1612" s="3" t="s">
        <v>5030</v>
      </c>
      <c r="G1612" s="3" t="s">
        <v>5036</v>
      </c>
      <c r="H1612" s="3" t="s">
        <v>7802</v>
      </c>
      <c r="I1612" s="17">
        <v>45519</v>
      </c>
      <c r="J1612" s="18">
        <f>YEAR(Tabla1[[#This Row],[FECHA DE COMPRA]])</f>
        <v>2024</v>
      </c>
      <c r="K1612" s="19">
        <v>173.41</v>
      </c>
      <c r="L1612" s="20">
        <v>0</v>
      </c>
      <c r="M1612" s="19">
        <f>Tienda!$K3032-Tienda!$K3032*Tienda!$L3032</f>
        <v>10.142999999999999</v>
      </c>
      <c r="N1612" s="3" t="s">
        <v>10038</v>
      </c>
      <c r="O1612" s="3" t="s">
        <v>10042</v>
      </c>
      <c r="P1612" s="17">
        <v>45519</v>
      </c>
      <c r="Q1612" s="4">
        <v>12</v>
      </c>
    </row>
    <row r="1613" spans="1:17" x14ac:dyDescent="0.25">
      <c r="A1613" s="2" t="s">
        <v>3459</v>
      </c>
      <c r="B1613" s="3" t="s">
        <v>5015</v>
      </c>
      <c r="C1613" s="3">
        <v>25</v>
      </c>
      <c r="D1613" s="46" t="str">
        <f>IF(Tabla1[[#This Row],[EDAD]]&lt;=35,"Adultos jóvenes 18 - 35 años",IF(C1613&gt;=36,"Adultos mayores 36 años en adelante"))</f>
        <v>Adultos jóvenes 18 - 35 años</v>
      </c>
      <c r="E1613" s="3" t="s">
        <v>5022</v>
      </c>
      <c r="F1613" s="3" t="s">
        <v>5027</v>
      </c>
      <c r="G1613" s="3" t="s">
        <v>5036</v>
      </c>
      <c r="H1613" s="3" t="s">
        <v>8482</v>
      </c>
      <c r="I1613" s="17">
        <v>45553</v>
      </c>
      <c r="J1613" s="18">
        <f>YEAR(Tabla1[[#This Row],[FECHA DE COMPRA]])</f>
        <v>2024</v>
      </c>
      <c r="K1613" s="19">
        <v>192.72</v>
      </c>
      <c r="L1613" s="20">
        <v>0.1</v>
      </c>
      <c r="M1613" s="19">
        <f>Tienda!$K3033-Tienda!$K3033*Tienda!$L3033</f>
        <v>10.661000000000001</v>
      </c>
      <c r="N1613" s="3" t="s">
        <v>10038</v>
      </c>
      <c r="O1613" s="3" t="s">
        <v>10042</v>
      </c>
      <c r="P1613" s="17">
        <v>45823</v>
      </c>
      <c r="Q1613" s="4">
        <v>9</v>
      </c>
    </row>
    <row r="1614" spans="1:17" x14ac:dyDescent="0.25">
      <c r="A1614" s="2" t="s">
        <v>1863</v>
      </c>
      <c r="B1614" s="3" t="s">
        <v>5015</v>
      </c>
      <c r="C1614" s="3">
        <v>21</v>
      </c>
      <c r="D1614" s="46" t="str">
        <f>IF(Tabla1[[#This Row],[EDAD]]&lt;=35,"Adultos jóvenes 18 - 35 años",IF(C1614&gt;=36,"Adultos mayores 36 años en adelante"))</f>
        <v>Adultos jóvenes 18 - 35 años</v>
      </c>
      <c r="E1614" s="3" t="s">
        <v>5022</v>
      </c>
      <c r="F1614" s="3" t="s">
        <v>5025</v>
      </c>
      <c r="G1614" s="3" t="s">
        <v>5034</v>
      </c>
      <c r="H1614" s="3" t="s">
        <v>6886</v>
      </c>
      <c r="I1614" s="17">
        <v>45569</v>
      </c>
      <c r="J1614" s="18">
        <f>YEAR(Tabla1[[#This Row],[FECHA DE COMPRA]])</f>
        <v>2024</v>
      </c>
      <c r="K1614" s="19">
        <v>174.42</v>
      </c>
      <c r="L1614" s="20">
        <v>0</v>
      </c>
      <c r="M1614" s="19">
        <f>Tienda!$K3037-Tienda!$K3037*Tienda!$L3037</f>
        <v>13.408000000000001</v>
      </c>
      <c r="N1614" s="3" t="s">
        <v>10038</v>
      </c>
      <c r="O1614" s="3" t="s">
        <v>10042</v>
      </c>
      <c r="P1614" s="17">
        <v>45569</v>
      </c>
      <c r="Q1614" s="4">
        <v>6</v>
      </c>
    </row>
    <row r="1615" spans="1:17" x14ac:dyDescent="0.25">
      <c r="A1615" s="2" t="s">
        <v>2028</v>
      </c>
      <c r="B1615" s="3" t="s">
        <v>5015</v>
      </c>
      <c r="C1615" s="3">
        <v>31</v>
      </c>
      <c r="D1615" s="46" t="str">
        <f>IF(Tabla1[[#This Row],[EDAD]]&lt;=35,"Adultos jóvenes 18 - 35 años",IF(C1615&gt;=36,"Adultos mayores 36 años en adelante"))</f>
        <v>Adultos jóvenes 18 - 35 años</v>
      </c>
      <c r="E1615" s="3" t="s">
        <v>5022</v>
      </c>
      <c r="F1615" s="3" t="s">
        <v>5025</v>
      </c>
      <c r="G1615" s="3" t="s">
        <v>5036</v>
      </c>
      <c r="H1615" s="3" t="s">
        <v>7051</v>
      </c>
      <c r="I1615" s="17">
        <v>45323</v>
      </c>
      <c r="J1615" s="18">
        <f>YEAR(Tabla1[[#This Row],[FECHA DE COMPRA]])</f>
        <v>2024</v>
      </c>
      <c r="K1615" s="19">
        <v>176.62</v>
      </c>
      <c r="L1615" s="20">
        <v>0</v>
      </c>
      <c r="M1615" s="19">
        <f>Tienda!$K3039-Tienda!$K3039*Tienda!$L3039</f>
        <v>14.91</v>
      </c>
      <c r="N1615" s="3" t="s">
        <v>10038</v>
      </c>
      <c r="O1615" s="3" t="s">
        <v>10042</v>
      </c>
      <c r="P1615" s="17">
        <v>45323</v>
      </c>
      <c r="Q1615" s="4">
        <v>12</v>
      </c>
    </row>
    <row r="1616" spans="1:17" x14ac:dyDescent="0.25">
      <c r="A1616" s="2" t="s">
        <v>2046</v>
      </c>
      <c r="B1616" s="3" t="s">
        <v>5015</v>
      </c>
      <c r="C1616" s="3">
        <v>19</v>
      </c>
      <c r="D1616" s="46" t="str">
        <f>IF(Tabla1[[#This Row],[EDAD]]&lt;=35,"Adultos jóvenes 18 - 35 años",IF(C1616&gt;=36,"Adultos mayores 36 años en adelante"))</f>
        <v>Adultos jóvenes 18 - 35 años</v>
      </c>
      <c r="E1616" s="3" t="s">
        <v>5018</v>
      </c>
      <c r="F1616" s="3" t="s">
        <v>5024</v>
      </c>
      <c r="G1616" s="3" t="s">
        <v>5037</v>
      </c>
      <c r="H1616" s="3" t="s">
        <v>7069</v>
      </c>
      <c r="I1616" s="17">
        <v>45538</v>
      </c>
      <c r="J1616" s="18">
        <f>YEAR(Tabla1[[#This Row],[FECHA DE COMPRA]])</f>
        <v>2024</v>
      </c>
      <c r="K1616" s="19">
        <v>177.96</v>
      </c>
      <c r="L1616" s="20">
        <v>0</v>
      </c>
      <c r="M1616" s="19">
        <f>Tienda!$K3045-Tienda!$K3045*Tienda!$L3045</f>
        <v>18.399999999999999</v>
      </c>
      <c r="N1616" s="3" t="s">
        <v>10038</v>
      </c>
      <c r="O1616" s="3" t="s">
        <v>10042</v>
      </c>
      <c r="P1616" s="17">
        <v>45898</v>
      </c>
      <c r="Q1616" s="4">
        <v>12</v>
      </c>
    </row>
    <row r="1617" spans="1:17" x14ac:dyDescent="0.25">
      <c r="A1617" s="2" t="s">
        <v>4124</v>
      </c>
      <c r="B1617" s="3" t="s">
        <v>5015</v>
      </c>
      <c r="C1617" s="3">
        <v>29</v>
      </c>
      <c r="D1617" s="46" t="str">
        <f>IF(Tabla1[[#This Row],[EDAD]]&lt;=35,"Adultos jóvenes 18 - 35 años",IF(C1617&gt;=36,"Adultos mayores 36 años en adelante"))</f>
        <v>Adultos jóvenes 18 - 35 años</v>
      </c>
      <c r="E1617" s="3" t="s">
        <v>5019</v>
      </c>
      <c r="F1617" s="3" t="s">
        <v>5030</v>
      </c>
      <c r="G1617" s="3" t="s">
        <v>5034</v>
      </c>
      <c r="H1617" s="3" t="s">
        <v>9147</v>
      </c>
      <c r="I1617" s="17">
        <v>45353</v>
      </c>
      <c r="J1617" s="18">
        <f>YEAR(Tabla1[[#This Row],[FECHA DE COMPRA]])</f>
        <v>2024</v>
      </c>
      <c r="K1617" s="19">
        <v>181.04</v>
      </c>
      <c r="L1617" s="20">
        <v>0</v>
      </c>
      <c r="M1617" s="19">
        <f>Tienda!$K3063-Tienda!$K3063*Tienda!$L3063</f>
        <v>27.468</v>
      </c>
      <c r="N1617" s="3" t="s">
        <v>10038</v>
      </c>
      <c r="O1617" s="3" t="s">
        <v>10042</v>
      </c>
      <c r="P1617" s="17">
        <v>45623</v>
      </c>
      <c r="Q1617" s="4">
        <v>9</v>
      </c>
    </row>
    <row r="1618" spans="1:17" x14ac:dyDescent="0.25">
      <c r="A1618" s="2" t="s">
        <v>3178</v>
      </c>
      <c r="B1618" s="3" t="s">
        <v>5016</v>
      </c>
      <c r="C1618" s="3">
        <v>22</v>
      </c>
      <c r="D1618" s="46" t="str">
        <f>IF(Tabla1[[#This Row],[EDAD]]&lt;=35,"Adultos jóvenes 18 - 35 años",IF(C1618&gt;=36,"Adultos mayores 36 años en adelante"))</f>
        <v>Adultos jóvenes 18 - 35 años</v>
      </c>
      <c r="E1618" s="3" t="s">
        <v>5021</v>
      </c>
      <c r="F1618" s="3" t="s">
        <v>5029</v>
      </c>
      <c r="G1618" s="3" t="s">
        <v>5034</v>
      </c>
      <c r="H1618" s="3" t="s">
        <v>8201</v>
      </c>
      <c r="I1618" s="17">
        <v>45454</v>
      </c>
      <c r="J1618" s="18">
        <f>YEAR(Tabla1[[#This Row],[FECHA DE COMPRA]])</f>
        <v>2024</v>
      </c>
      <c r="K1618" s="19">
        <v>187.3</v>
      </c>
      <c r="L1618" s="20">
        <v>0</v>
      </c>
      <c r="M1618" s="19">
        <f>Tienda!$K3071-Tienda!$K3071*Tienda!$L3071</f>
        <v>31.31</v>
      </c>
      <c r="N1618" s="3" t="s">
        <v>10038</v>
      </c>
      <c r="O1618" s="3" t="s">
        <v>10042</v>
      </c>
      <c r="P1618" s="17">
        <v>45814</v>
      </c>
      <c r="Q1618" s="4">
        <v>12</v>
      </c>
    </row>
    <row r="1619" spans="1:17" x14ac:dyDescent="0.25">
      <c r="A1619" s="2" t="s">
        <v>3381</v>
      </c>
      <c r="B1619" s="3" t="s">
        <v>5015</v>
      </c>
      <c r="C1619" s="3">
        <v>31</v>
      </c>
      <c r="D1619" s="46" t="str">
        <f>IF(Tabla1[[#This Row],[EDAD]]&lt;=35,"Adultos jóvenes 18 - 35 años",IF(C1619&gt;=36,"Adultos mayores 36 años en adelante"))</f>
        <v>Adultos jóvenes 18 - 35 años</v>
      </c>
      <c r="E1619" s="3" t="s">
        <v>5022</v>
      </c>
      <c r="F1619" s="3" t="s">
        <v>5030</v>
      </c>
      <c r="G1619" s="3" t="s">
        <v>5032</v>
      </c>
      <c r="H1619" s="3" t="s">
        <v>8404</v>
      </c>
      <c r="I1619" s="17">
        <v>45642</v>
      </c>
      <c r="J1619" s="18">
        <f>YEAR(Tabla1[[#This Row],[FECHA DE COMPRA]])</f>
        <v>2024</v>
      </c>
      <c r="K1619" s="19">
        <v>191.14</v>
      </c>
      <c r="L1619" s="20">
        <v>0</v>
      </c>
      <c r="M1619" s="19">
        <f>Tienda!$K3077-Tienda!$K3077*Tienda!$L3077</f>
        <v>34.520000000000003</v>
      </c>
      <c r="N1619" s="3" t="s">
        <v>10038</v>
      </c>
      <c r="O1619" s="3" t="s">
        <v>10042</v>
      </c>
      <c r="P1619" s="17">
        <v>45822</v>
      </c>
      <c r="Q1619" s="4">
        <v>6</v>
      </c>
    </row>
    <row r="1620" spans="1:17" x14ac:dyDescent="0.25">
      <c r="A1620" s="2" t="s">
        <v>1966</v>
      </c>
      <c r="B1620" s="3" t="s">
        <v>5015</v>
      </c>
      <c r="C1620" s="3">
        <v>31</v>
      </c>
      <c r="D1620" s="46" t="str">
        <f>IF(Tabla1[[#This Row],[EDAD]]&lt;=35,"Adultos jóvenes 18 - 35 años",IF(C1620&gt;=36,"Adultos mayores 36 años en adelante"))</f>
        <v>Adultos jóvenes 18 - 35 años</v>
      </c>
      <c r="E1620" s="3" t="s">
        <v>5019</v>
      </c>
      <c r="F1620" s="3" t="s">
        <v>5025</v>
      </c>
      <c r="G1620" s="3" t="s">
        <v>5037</v>
      </c>
      <c r="H1620" s="3" t="s">
        <v>6989</v>
      </c>
      <c r="I1620" s="17">
        <v>45427</v>
      </c>
      <c r="J1620" s="18">
        <f>YEAR(Tabla1[[#This Row],[FECHA DE COMPRA]])</f>
        <v>2024</v>
      </c>
      <c r="K1620" s="19">
        <v>191.55</v>
      </c>
      <c r="L1620" s="20">
        <v>0</v>
      </c>
      <c r="M1620" s="19">
        <f>Tienda!$K3080-Tienda!$K3080*Tienda!$L3080</f>
        <v>36.269999999999996</v>
      </c>
      <c r="N1620" s="3" t="s">
        <v>10038</v>
      </c>
      <c r="O1620" s="3" t="s">
        <v>10042</v>
      </c>
      <c r="P1620" s="17">
        <v>45517</v>
      </c>
      <c r="Q1620" s="4">
        <v>3</v>
      </c>
    </row>
    <row r="1621" spans="1:17" x14ac:dyDescent="0.25">
      <c r="A1621" s="2" t="s">
        <v>876</v>
      </c>
      <c r="B1621" s="3" t="s">
        <v>5015</v>
      </c>
      <c r="C1621" s="3">
        <v>35</v>
      </c>
      <c r="D1621" s="46" t="str">
        <f>IF(Tabla1[[#This Row],[EDAD]]&lt;=35,"Adultos jóvenes 18 - 35 años",IF(C1621&gt;=36,"Adultos mayores 36 años en adelante"))</f>
        <v>Adultos jóvenes 18 - 35 años</v>
      </c>
      <c r="E1621" s="3" t="s">
        <v>5021</v>
      </c>
      <c r="F1621" s="3" t="s">
        <v>5024</v>
      </c>
      <c r="G1621" s="3" t="s">
        <v>5037</v>
      </c>
      <c r="H1621" s="3" t="s">
        <v>5899</v>
      </c>
      <c r="I1621" s="17">
        <v>45366</v>
      </c>
      <c r="J1621" s="18">
        <f>YEAR(Tabla1[[#This Row],[FECHA DE COMPRA]])</f>
        <v>2024</v>
      </c>
      <c r="K1621" s="19">
        <v>192.17</v>
      </c>
      <c r="L1621" s="20">
        <v>0</v>
      </c>
      <c r="M1621" s="19">
        <f>Tienda!$K3083-Tienda!$K3083*Tienda!$L3083</f>
        <v>37.155999999999999</v>
      </c>
      <c r="N1621" s="3" t="s">
        <v>10038</v>
      </c>
      <c r="O1621" s="3" t="s">
        <v>10042</v>
      </c>
      <c r="P1621" s="17">
        <v>45546</v>
      </c>
      <c r="Q1621" s="4">
        <v>6</v>
      </c>
    </row>
    <row r="1622" spans="1:17" x14ac:dyDescent="0.25">
      <c r="A1622" s="2" t="s">
        <v>1408</v>
      </c>
      <c r="B1622" s="3" t="s">
        <v>5015</v>
      </c>
      <c r="C1622" s="3">
        <v>21</v>
      </c>
      <c r="D1622" s="46" t="str">
        <f>IF(Tabla1[[#This Row],[EDAD]]&lt;=35,"Adultos jóvenes 18 - 35 años",IF(C1622&gt;=36,"Adultos mayores 36 años en adelante"))</f>
        <v>Adultos jóvenes 18 - 35 años</v>
      </c>
      <c r="E1622" s="3" t="s">
        <v>5019</v>
      </c>
      <c r="F1622" s="3" t="s">
        <v>5027</v>
      </c>
      <c r="G1622" s="3" t="s">
        <v>5034</v>
      </c>
      <c r="H1622" s="3" t="s">
        <v>6431</v>
      </c>
      <c r="I1622" s="17">
        <v>45397</v>
      </c>
      <c r="J1622" s="18">
        <f>YEAR(Tabla1[[#This Row],[FECHA DE COMPRA]])</f>
        <v>2024</v>
      </c>
      <c r="K1622" s="19">
        <v>192.28</v>
      </c>
      <c r="L1622" s="20">
        <v>0</v>
      </c>
      <c r="M1622" s="19">
        <f>Tienda!$K3084-Tienda!$K3084*Tienda!$L3084</f>
        <v>37.85</v>
      </c>
      <c r="N1622" s="3" t="s">
        <v>10038</v>
      </c>
      <c r="O1622" s="3" t="s">
        <v>10042</v>
      </c>
      <c r="P1622" s="17">
        <v>45397</v>
      </c>
      <c r="Q1622" s="4">
        <v>12</v>
      </c>
    </row>
    <row r="1623" spans="1:17" x14ac:dyDescent="0.25">
      <c r="A1623" s="2" t="s">
        <v>2291</v>
      </c>
      <c r="B1623" s="3" t="s">
        <v>5016</v>
      </c>
      <c r="C1623" s="3">
        <v>23</v>
      </c>
      <c r="D1623" s="46" t="str">
        <f>IF(Tabla1[[#This Row],[EDAD]]&lt;=35,"Adultos jóvenes 18 - 35 años",IF(C1623&gt;=36,"Adultos mayores 36 años en adelante"))</f>
        <v>Adultos jóvenes 18 - 35 años</v>
      </c>
      <c r="E1623" s="3" t="s">
        <v>5021</v>
      </c>
      <c r="F1623" s="3" t="s">
        <v>5025</v>
      </c>
      <c r="G1623" s="3" t="s">
        <v>5031</v>
      </c>
      <c r="H1623" s="3" t="s">
        <v>7314</v>
      </c>
      <c r="I1623" s="17">
        <v>45634</v>
      </c>
      <c r="J1623" s="18">
        <f>YEAR(Tabla1[[#This Row],[FECHA DE COMPRA]])</f>
        <v>2024</v>
      </c>
      <c r="K1623" s="19">
        <v>196.73</v>
      </c>
      <c r="L1623" s="20">
        <v>0</v>
      </c>
      <c r="M1623" s="19">
        <f>Tienda!$K3095-Tienda!$K3095*Tienda!$L3095</f>
        <v>41.02</v>
      </c>
      <c r="N1623" s="3" t="s">
        <v>10038</v>
      </c>
      <c r="O1623" s="3" t="s">
        <v>10042</v>
      </c>
      <c r="P1623" s="17">
        <v>45629</v>
      </c>
      <c r="Q1623" s="4">
        <v>6</v>
      </c>
    </row>
    <row r="1624" spans="1:17" x14ac:dyDescent="0.25">
      <c r="A1624" s="2" t="s">
        <v>649</v>
      </c>
      <c r="B1624" s="3" t="s">
        <v>5016</v>
      </c>
      <c r="C1624" s="3">
        <v>27</v>
      </c>
      <c r="D1624" s="46" t="str">
        <f>IF(Tabla1[[#This Row],[EDAD]]&lt;=35,"Adultos jóvenes 18 - 35 años",IF(C1624&gt;=36,"Adultos mayores 36 años en adelante"))</f>
        <v>Adultos jóvenes 18 - 35 años</v>
      </c>
      <c r="E1624" s="3" t="s">
        <v>5019</v>
      </c>
      <c r="F1624" s="3" t="s">
        <v>5028</v>
      </c>
      <c r="G1624" s="3" t="s">
        <v>5036</v>
      </c>
      <c r="H1624" s="3" t="s">
        <v>5672</v>
      </c>
      <c r="I1624" s="17">
        <v>45507</v>
      </c>
      <c r="J1624" s="18">
        <f>YEAR(Tabla1[[#This Row],[FECHA DE COMPRA]])</f>
        <v>2024</v>
      </c>
      <c r="K1624" s="19">
        <v>196.75</v>
      </c>
      <c r="L1624" s="20">
        <v>0</v>
      </c>
      <c r="M1624" s="19">
        <f>Tienda!$K3096-Tienda!$K3096*Tienda!$L3096</f>
        <v>41.048000000000002</v>
      </c>
      <c r="N1624" s="3" t="s">
        <v>10038</v>
      </c>
      <c r="O1624" s="3" t="s">
        <v>10042</v>
      </c>
      <c r="P1624" s="17">
        <v>45597</v>
      </c>
      <c r="Q1624" s="4">
        <v>3</v>
      </c>
    </row>
    <row r="1625" spans="1:17" x14ac:dyDescent="0.25">
      <c r="A1625" s="2" t="s">
        <v>2938</v>
      </c>
      <c r="B1625" s="3" t="s">
        <v>5016</v>
      </c>
      <c r="C1625" s="3">
        <v>26</v>
      </c>
      <c r="D1625" s="46" t="str">
        <f>IF(Tabla1[[#This Row],[EDAD]]&lt;=35,"Adultos jóvenes 18 - 35 años",IF(C1625&gt;=36,"Adultos mayores 36 años en adelante"))</f>
        <v>Adultos jóvenes 18 - 35 años</v>
      </c>
      <c r="E1625" s="3" t="s">
        <v>5019</v>
      </c>
      <c r="F1625" s="3" t="s">
        <v>5029</v>
      </c>
      <c r="G1625" s="3" t="s">
        <v>5033</v>
      </c>
      <c r="H1625" s="3" t="s">
        <v>7961</v>
      </c>
      <c r="I1625" s="17">
        <v>45322</v>
      </c>
      <c r="J1625" s="18">
        <f>YEAR(Tabla1[[#This Row],[FECHA DE COMPRA]])</f>
        <v>2024</v>
      </c>
      <c r="K1625" s="19">
        <v>196.89</v>
      </c>
      <c r="L1625" s="20">
        <v>0</v>
      </c>
      <c r="M1625" s="19">
        <f>Tienda!$K3097-Tienda!$K3097*Tienda!$L3097</f>
        <v>41.629000000000005</v>
      </c>
      <c r="N1625" s="3" t="s">
        <v>10038</v>
      </c>
      <c r="O1625" s="3" t="s">
        <v>10042</v>
      </c>
      <c r="P1625" s="17">
        <v>45322</v>
      </c>
      <c r="Q1625" s="4">
        <v>9</v>
      </c>
    </row>
    <row r="1626" spans="1:17" x14ac:dyDescent="0.25">
      <c r="A1626" s="2" t="s">
        <v>2615</v>
      </c>
      <c r="B1626" s="3" t="s">
        <v>5016</v>
      </c>
      <c r="C1626" s="3">
        <v>19</v>
      </c>
      <c r="D1626" s="46" t="str">
        <f>IF(Tabla1[[#This Row],[EDAD]]&lt;=35,"Adultos jóvenes 18 - 35 años",IF(C1626&gt;=36,"Adultos mayores 36 años en adelante"))</f>
        <v>Adultos jóvenes 18 - 35 años</v>
      </c>
      <c r="E1626" s="3" t="s">
        <v>5023</v>
      </c>
      <c r="F1626" s="3" t="s">
        <v>5028</v>
      </c>
      <c r="G1626" s="3" t="s">
        <v>5033</v>
      </c>
      <c r="H1626" s="3" t="s">
        <v>7638</v>
      </c>
      <c r="I1626" s="17">
        <v>45662</v>
      </c>
      <c r="J1626" s="18">
        <f>YEAR(Tabla1[[#This Row],[FECHA DE COMPRA]])</f>
        <v>2025</v>
      </c>
      <c r="K1626" s="19">
        <v>51.6</v>
      </c>
      <c r="L1626" s="20">
        <v>0.2</v>
      </c>
      <c r="M1626" s="19">
        <f>Tienda!$K4337-Tienda!$K4337*Tienda!$L4337</f>
        <v>97.855999999999995</v>
      </c>
      <c r="N1626" s="3" t="s">
        <v>10038</v>
      </c>
      <c r="O1626" s="3" t="s">
        <v>10041</v>
      </c>
      <c r="P1626" s="17">
        <v>45662</v>
      </c>
      <c r="Q1626" s="4">
        <v>0</v>
      </c>
    </row>
    <row r="1627" spans="1:17" x14ac:dyDescent="0.25">
      <c r="A1627" s="2" t="s">
        <v>410</v>
      </c>
      <c r="B1627" s="3" t="s">
        <v>5015</v>
      </c>
      <c r="C1627" s="3">
        <v>27</v>
      </c>
      <c r="D1627" s="46" t="str">
        <f>IF(Tabla1[[#This Row],[EDAD]]&lt;=35,"Adultos jóvenes 18 - 35 años",IF(C1627&gt;=36,"Adultos mayores 36 años en adelante"))</f>
        <v>Adultos jóvenes 18 - 35 años</v>
      </c>
      <c r="E1627" s="3" t="s">
        <v>5022</v>
      </c>
      <c r="F1627" s="3" t="s">
        <v>5027</v>
      </c>
      <c r="G1627" s="3" t="s">
        <v>5034</v>
      </c>
      <c r="H1627" s="3" t="s">
        <v>5433</v>
      </c>
      <c r="I1627" s="17">
        <v>45685</v>
      </c>
      <c r="J1627" s="18">
        <f>YEAR(Tabla1[[#This Row],[FECHA DE COMPRA]])</f>
        <v>2025</v>
      </c>
      <c r="K1627" s="19">
        <v>52.09</v>
      </c>
      <c r="L1627" s="20">
        <v>0.1</v>
      </c>
      <c r="M1627" s="19">
        <f>Tienda!$K4338-Tienda!$K4338*Tienda!$L4338</f>
        <v>97.888000000000005</v>
      </c>
      <c r="N1627" s="3" t="s">
        <v>10038</v>
      </c>
      <c r="O1627" s="3" t="s">
        <v>10041</v>
      </c>
      <c r="P1627" s="17">
        <v>45685</v>
      </c>
      <c r="Q1627" s="4">
        <v>0</v>
      </c>
    </row>
    <row r="1628" spans="1:17" x14ac:dyDescent="0.25">
      <c r="A1628" s="2" t="s">
        <v>1409</v>
      </c>
      <c r="B1628" s="3" t="s">
        <v>5015</v>
      </c>
      <c r="C1628" s="3">
        <v>28</v>
      </c>
      <c r="D1628" s="46" t="str">
        <f>IF(Tabla1[[#This Row],[EDAD]]&lt;=35,"Adultos jóvenes 18 - 35 años",IF(C1628&gt;=36,"Adultos mayores 36 años en adelante"))</f>
        <v>Adultos jóvenes 18 - 35 años</v>
      </c>
      <c r="E1628" s="3" t="s">
        <v>5022</v>
      </c>
      <c r="F1628" s="3" t="s">
        <v>5030</v>
      </c>
      <c r="G1628" s="3" t="s">
        <v>5034</v>
      </c>
      <c r="H1628" s="3" t="s">
        <v>6432</v>
      </c>
      <c r="I1628" s="17">
        <v>45701</v>
      </c>
      <c r="J1628" s="18">
        <f>YEAR(Tabla1[[#This Row],[FECHA DE COMPRA]])</f>
        <v>2025</v>
      </c>
      <c r="K1628" s="19">
        <v>66.33</v>
      </c>
      <c r="L1628" s="20">
        <v>0</v>
      </c>
      <c r="M1628" s="19">
        <f>Tienda!$K4340-Tienda!$K4340*Tienda!$L4340</f>
        <v>98.238</v>
      </c>
      <c r="N1628" s="3" t="s">
        <v>10038</v>
      </c>
      <c r="O1628" s="3" t="s">
        <v>10041</v>
      </c>
      <c r="P1628" s="17">
        <v>45675</v>
      </c>
      <c r="Q1628" s="4">
        <v>0</v>
      </c>
    </row>
    <row r="1629" spans="1:17" x14ac:dyDescent="0.25">
      <c r="A1629" s="2" t="s">
        <v>2290</v>
      </c>
      <c r="B1629" s="3" t="s">
        <v>5016</v>
      </c>
      <c r="C1629" s="3">
        <v>25</v>
      </c>
      <c r="D1629" s="46" t="str">
        <f>IF(Tabla1[[#This Row],[EDAD]]&lt;=35,"Adultos jóvenes 18 - 35 años",IF(C1629&gt;=36,"Adultos mayores 36 años en adelante"))</f>
        <v>Adultos jóvenes 18 - 35 años</v>
      </c>
      <c r="E1629" s="3" t="s">
        <v>5017</v>
      </c>
      <c r="F1629" s="3" t="s">
        <v>5025</v>
      </c>
      <c r="G1629" s="3" t="s">
        <v>5034</v>
      </c>
      <c r="H1629" s="3" t="s">
        <v>7313</v>
      </c>
      <c r="I1629" s="17">
        <v>45701</v>
      </c>
      <c r="J1629" s="18">
        <f>YEAR(Tabla1[[#This Row],[FECHA DE COMPRA]])</f>
        <v>2025</v>
      </c>
      <c r="K1629" s="19">
        <v>66.38</v>
      </c>
      <c r="L1629" s="20">
        <v>0.1</v>
      </c>
      <c r="M1629" s="19">
        <f>Tienda!$K4341-Tienda!$K4341*Tienda!$L4341</f>
        <v>98.38</v>
      </c>
      <c r="N1629" s="3" t="s">
        <v>10038</v>
      </c>
      <c r="O1629" s="3" t="s">
        <v>10041</v>
      </c>
      <c r="P1629" s="17">
        <v>45671</v>
      </c>
      <c r="Q1629" s="4">
        <v>0</v>
      </c>
    </row>
    <row r="1630" spans="1:17" x14ac:dyDescent="0.25">
      <c r="A1630" s="2" t="s">
        <v>3798</v>
      </c>
      <c r="B1630" s="3" t="s">
        <v>5015</v>
      </c>
      <c r="C1630" s="3">
        <v>30</v>
      </c>
      <c r="D1630" s="46" t="str">
        <f>IF(Tabla1[[#This Row],[EDAD]]&lt;=35,"Adultos jóvenes 18 - 35 años",IF(C1630&gt;=36,"Adultos mayores 36 años en adelante"))</f>
        <v>Adultos jóvenes 18 - 35 años</v>
      </c>
      <c r="E1630" s="3" t="s">
        <v>5020</v>
      </c>
      <c r="F1630" s="3" t="s">
        <v>5025</v>
      </c>
      <c r="G1630" s="3" t="s">
        <v>5035</v>
      </c>
      <c r="H1630" s="3" t="s">
        <v>8821</v>
      </c>
      <c r="I1630" s="17">
        <v>45701</v>
      </c>
      <c r="J1630" s="18">
        <f>YEAR(Tabla1[[#This Row],[FECHA DE COMPRA]])</f>
        <v>2025</v>
      </c>
      <c r="K1630" s="19">
        <v>67.239999999999995</v>
      </c>
      <c r="L1630" s="20">
        <v>0.3</v>
      </c>
      <c r="M1630" s="19">
        <f>Tienda!$K4342-Tienda!$K4342*Tienda!$L4342</f>
        <v>98.4</v>
      </c>
      <c r="N1630" s="3" t="s">
        <v>10038</v>
      </c>
      <c r="O1630" s="3" t="s">
        <v>10041</v>
      </c>
      <c r="P1630" s="17">
        <v>45679</v>
      </c>
      <c r="Q1630" s="4">
        <v>0</v>
      </c>
    </row>
    <row r="1631" spans="1:17" x14ac:dyDescent="0.25">
      <c r="A1631" s="2" t="s">
        <v>1930</v>
      </c>
      <c r="B1631" s="3" t="s">
        <v>5015</v>
      </c>
      <c r="C1631" s="3">
        <v>31</v>
      </c>
      <c r="D1631" s="46" t="str">
        <f>IF(Tabla1[[#This Row],[EDAD]]&lt;=35,"Adultos jóvenes 18 - 35 años",IF(C1631&gt;=36,"Adultos mayores 36 años en adelante"))</f>
        <v>Adultos jóvenes 18 - 35 años</v>
      </c>
      <c r="E1631" s="3" t="s">
        <v>5022</v>
      </c>
      <c r="F1631" s="3" t="s">
        <v>5024</v>
      </c>
      <c r="G1631" s="3" t="s">
        <v>5033</v>
      </c>
      <c r="H1631" s="3" t="s">
        <v>6953</v>
      </c>
      <c r="I1631" s="17">
        <v>45701</v>
      </c>
      <c r="J1631" s="18">
        <f>YEAR(Tabla1[[#This Row],[FECHA DE COMPRA]])</f>
        <v>2025</v>
      </c>
      <c r="K1631" s="19">
        <v>82.92</v>
      </c>
      <c r="L1631" s="20">
        <v>0</v>
      </c>
      <c r="M1631" s="19">
        <f>Tienda!$K4344-Tienda!$K4344*Tienda!$L4344</f>
        <v>98.960000000000008</v>
      </c>
      <c r="N1631" s="3" t="s">
        <v>10038</v>
      </c>
      <c r="O1631" s="3" t="s">
        <v>10041</v>
      </c>
      <c r="P1631" s="17">
        <v>45666</v>
      </c>
      <c r="Q1631" s="4">
        <v>0</v>
      </c>
    </row>
    <row r="1632" spans="1:17" x14ac:dyDescent="0.25">
      <c r="A1632" s="2" t="s">
        <v>49</v>
      </c>
      <c r="B1632" s="3" t="s">
        <v>5015</v>
      </c>
      <c r="C1632" s="3">
        <v>33</v>
      </c>
      <c r="D1632" s="46" t="str">
        <f>IF(Tabla1[[#This Row],[EDAD]]&lt;=35,"Adultos jóvenes 18 - 35 años",IF(C1632&gt;=36,"Adultos mayores 36 años en adelante"))</f>
        <v>Adultos jóvenes 18 - 35 años</v>
      </c>
      <c r="E1632" s="3" t="s">
        <v>5018</v>
      </c>
      <c r="F1632" s="3" t="s">
        <v>5028</v>
      </c>
      <c r="G1632" s="3" t="s">
        <v>5035</v>
      </c>
      <c r="H1632" s="3" t="s">
        <v>5072</v>
      </c>
      <c r="I1632" s="17">
        <v>45701</v>
      </c>
      <c r="J1632" s="18">
        <f>YEAR(Tabla1[[#This Row],[FECHA DE COMPRA]])</f>
        <v>2025</v>
      </c>
      <c r="K1632" s="19">
        <v>88.24</v>
      </c>
      <c r="L1632" s="20">
        <v>0.1</v>
      </c>
      <c r="M1632" s="19">
        <f>Tienda!$K4346-Tienda!$K4346*Tienda!$L4346</f>
        <v>99.83</v>
      </c>
      <c r="N1632" s="3" t="s">
        <v>10038</v>
      </c>
      <c r="O1632" s="3" t="s">
        <v>10041</v>
      </c>
      <c r="P1632" s="17">
        <v>45660</v>
      </c>
      <c r="Q1632" s="4">
        <v>0</v>
      </c>
    </row>
    <row r="1633" spans="1:17" x14ac:dyDescent="0.25">
      <c r="A1633" s="2" t="s">
        <v>3927</v>
      </c>
      <c r="B1633" s="3" t="s">
        <v>5015</v>
      </c>
      <c r="C1633" s="3">
        <v>19</v>
      </c>
      <c r="D1633" s="46" t="str">
        <f>IF(Tabla1[[#This Row],[EDAD]]&lt;=35,"Adultos jóvenes 18 - 35 años",IF(C1633&gt;=36,"Adultos mayores 36 años en adelante"))</f>
        <v>Adultos jóvenes 18 - 35 años</v>
      </c>
      <c r="E1633" s="3" t="s">
        <v>5021</v>
      </c>
      <c r="F1633" s="3" t="s">
        <v>5025</v>
      </c>
      <c r="G1633" s="3" t="s">
        <v>5036</v>
      </c>
      <c r="H1633" s="3" t="s">
        <v>8950</v>
      </c>
      <c r="I1633" s="17">
        <v>45683</v>
      </c>
      <c r="J1633" s="18">
        <f>YEAR(Tabla1[[#This Row],[FECHA DE COMPRA]])</f>
        <v>2025</v>
      </c>
      <c r="K1633" s="19">
        <v>89.22</v>
      </c>
      <c r="L1633" s="20">
        <v>0.2</v>
      </c>
      <c r="M1633" s="19">
        <f>Tienda!$K4347-Tienda!$K4347*Tienda!$L4347</f>
        <v>99.98</v>
      </c>
      <c r="N1633" s="3" t="s">
        <v>10038</v>
      </c>
      <c r="O1633" s="3" t="s">
        <v>10041</v>
      </c>
      <c r="P1633" s="17">
        <v>45683</v>
      </c>
      <c r="Q1633" s="4">
        <v>0</v>
      </c>
    </row>
    <row r="1634" spans="1:17" x14ac:dyDescent="0.25">
      <c r="A1634" s="2" t="s">
        <v>3603</v>
      </c>
      <c r="B1634" s="3" t="s">
        <v>5015</v>
      </c>
      <c r="C1634" s="3">
        <v>33</v>
      </c>
      <c r="D1634" s="46" t="str">
        <f>IF(Tabla1[[#This Row],[EDAD]]&lt;=35,"Adultos jóvenes 18 - 35 años",IF(C1634&gt;=36,"Adultos mayores 36 años en adelante"))</f>
        <v>Adultos jóvenes 18 - 35 años</v>
      </c>
      <c r="E1634" s="3" t="s">
        <v>5020</v>
      </c>
      <c r="F1634" s="3" t="s">
        <v>5027</v>
      </c>
      <c r="G1634" s="3" t="s">
        <v>5031</v>
      </c>
      <c r="H1634" s="3" t="s">
        <v>8626</v>
      </c>
      <c r="I1634" s="17">
        <v>45687</v>
      </c>
      <c r="J1634" s="18">
        <f>YEAR(Tabla1[[#This Row],[FECHA DE COMPRA]])</f>
        <v>2025</v>
      </c>
      <c r="K1634" s="19">
        <v>92.52</v>
      </c>
      <c r="L1634" s="20">
        <v>0</v>
      </c>
      <c r="M1634" s="19">
        <f>Tienda!$K4349-Tienda!$K4349*Tienda!$L4349</f>
        <v>100.16</v>
      </c>
      <c r="N1634" s="3" t="s">
        <v>10038</v>
      </c>
      <c r="O1634" s="3" t="s">
        <v>10041</v>
      </c>
      <c r="P1634" s="17">
        <v>45687</v>
      </c>
      <c r="Q1634" s="4">
        <v>0</v>
      </c>
    </row>
    <row r="1635" spans="1:17" x14ac:dyDescent="0.25">
      <c r="A1635" s="2" t="s">
        <v>3516</v>
      </c>
      <c r="B1635" s="3" t="s">
        <v>5015</v>
      </c>
      <c r="C1635" s="3">
        <v>23</v>
      </c>
      <c r="D1635" s="46" t="str">
        <f>IF(Tabla1[[#This Row],[EDAD]]&lt;=35,"Adultos jóvenes 18 - 35 años",IF(C1635&gt;=36,"Adultos mayores 36 años en adelante"))</f>
        <v>Adultos jóvenes 18 - 35 años</v>
      </c>
      <c r="E1635" s="3" t="s">
        <v>5019</v>
      </c>
      <c r="F1635" s="3" t="s">
        <v>5025</v>
      </c>
      <c r="G1635" s="3" t="s">
        <v>5037</v>
      </c>
      <c r="H1635" s="3" t="s">
        <v>8539</v>
      </c>
      <c r="I1635" s="17">
        <v>45685</v>
      </c>
      <c r="J1635" s="18">
        <f>YEAR(Tabla1[[#This Row],[FECHA DE COMPRA]])</f>
        <v>2025</v>
      </c>
      <c r="K1635" s="19">
        <v>181.48</v>
      </c>
      <c r="L1635" s="20">
        <v>0.3</v>
      </c>
      <c r="M1635" s="19">
        <f>Tienda!$K4354-Tienda!$K4354*Tienda!$L4354</f>
        <v>100.70200000000001</v>
      </c>
      <c r="N1635" s="3" t="s">
        <v>10038</v>
      </c>
      <c r="O1635" s="3" t="s">
        <v>10041</v>
      </c>
      <c r="P1635" s="17">
        <v>45685</v>
      </c>
      <c r="Q1635" s="4">
        <v>0</v>
      </c>
    </row>
    <row r="1636" spans="1:17" x14ac:dyDescent="0.25">
      <c r="A1636" s="2" t="s">
        <v>1719</v>
      </c>
      <c r="B1636" s="3" t="s">
        <v>5016</v>
      </c>
      <c r="C1636" s="3">
        <v>26</v>
      </c>
      <c r="D1636" s="46" t="str">
        <f>IF(Tabla1[[#This Row],[EDAD]]&lt;=35,"Adultos jóvenes 18 - 35 años",IF(C1636&gt;=36,"Adultos mayores 36 años en adelante"))</f>
        <v>Adultos jóvenes 18 - 35 años</v>
      </c>
      <c r="E1636" s="3" t="s">
        <v>5017</v>
      </c>
      <c r="F1636" s="3" t="s">
        <v>5030</v>
      </c>
      <c r="G1636" s="3" t="s">
        <v>5033</v>
      </c>
      <c r="H1636" s="3" t="s">
        <v>6742</v>
      </c>
      <c r="I1636" s="17">
        <v>45685</v>
      </c>
      <c r="J1636" s="18">
        <f>YEAR(Tabla1[[#This Row],[FECHA DE COMPRA]])</f>
        <v>2025</v>
      </c>
      <c r="K1636" s="19">
        <v>183.81</v>
      </c>
      <c r="L1636" s="20">
        <v>0</v>
      </c>
      <c r="M1636" s="19">
        <f>Tienda!$K4356-Tienda!$K4356*Tienda!$L4356</f>
        <v>101.27200000000001</v>
      </c>
      <c r="N1636" s="3" t="s">
        <v>10038</v>
      </c>
      <c r="O1636" s="3" t="s">
        <v>10041</v>
      </c>
      <c r="P1636" s="17">
        <v>45685</v>
      </c>
      <c r="Q1636" s="4">
        <v>0</v>
      </c>
    </row>
    <row r="1637" spans="1:17" x14ac:dyDescent="0.25">
      <c r="A1637" s="2" t="s">
        <v>4361</v>
      </c>
      <c r="B1637" s="3" t="s">
        <v>5015</v>
      </c>
      <c r="C1637" s="3">
        <v>21</v>
      </c>
      <c r="D1637" s="46" t="str">
        <f>IF(Tabla1[[#This Row],[EDAD]]&lt;=35,"Adultos jóvenes 18 - 35 años",IF(C1637&gt;=36,"Adultos mayores 36 años en adelante"))</f>
        <v>Adultos jóvenes 18 - 35 años</v>
      </c>
      <c r="E1637" s="3" t="s">
        <v>5022</v>
      </c>
      <c r="F1637" s="3" t="s">
        <v>5024</v>
      </c>
      <c r="G1637" s="3" t="s">
        <v>5031</v>
      </c>
      <c r="H1637" s="3" t="s">
        <v>9384</v>
      </c>
      <c r="I1637" s="17">
        <v>45669</v>
      </c>
      <c r="J1637" s="18">
        <f>YEAR(Tabla1[[#This Row],[FECHA DE COMPRA]])</f>
        <v>2025</v>
      </c>
      <c r="K1637" s="19">
        <v>187.2</v>
      </c>
      <c r="L1637" s="20">
        <v>0.2</v>
      </c>
      <c r="M1637" s="19">
        <f>Tienda!$K4358-Tienda!$K4358*Tienda!$L4358</f>
        <v>101.40200000000002</v>
      </c>
      <c r="N1637" s="3" t="s">
        <v>10038</v>
      </c>
      <c r="O1637" s="3" t="s">
        <v>10041</v>
      </c>
      <c r="P1637" s="17">
        <v>45669</v>
      </c>
      <c r="Q1637" s="4">
        <v>0</v>
      </c>
    </row>
    <row r="1638" spans="1:17" x14ac:dyDescent="0.25">
      <c r="A1638" s="2" t="s">
        <v>3981</v>
      </c>
      <c r="B1638" s="3" t="s">
        <v>5015</v>
      </c>
      <c r="C1638" s="3">
        <v>28</v>
      </c>
      <c r="D1638" s="46" t="str">
        <f>IF(Tabla1[[#This Row],[EDAD]]&lt;=35,"Adultos jóvenes 18 - 35 años",IF(C1638&gt;=36,"Adultos mayores 36 años en adelante"))</f>
        <v>Adultos jóvenes 18 - 35 años</v>
      </c>
      <c r="E1638" s="3" t="s">
        <v>5020</v>
      </c>
      <c r="F1638" s="3" t="s">
        <v>5028</v>
      </c>
      <c r="G1638" s="3" t="s">
        <v>5031</v>
      </c>
      <c r="H1638" s="3" t="s">
        <v>9004</v>
      </c>
      <c r="I1638" s="17">
        <v>45701</v>
      </c>
      <c r="J1638" s="18">
        <f>YEAR(Tabla1[[#This Row],[FECHA DE COMPRA]])</f>
        <v>2025</v>
      </c>
      <c r="K1638" s="19">
        <v>151.26</v>
      </c>
      <c r="L1638" s="20">
        <v>0</v>
      </c>
      <c r="M1638" s="19">
        <f>Tienda!$K4361-Tienda!$K4361*Tienda!$L4361</f>
        <v>102.208</v>
      </c>
      <c r="N1638" s="3" t="s">
        <v>10038</v>
      </c>
      <c r="O1638" s="3" t="s">
        <v>10041</v>
      </c>
      <c r="P1638" s="17">
        <v>45701</v>
      </c>
      <c r="Q1638" s="4">
        <v>0</v>
      </c>
    </row>
    <row r="1639" spans="1:17" x14ac:dyDescent="0.25">
      <c r="A1639" s="2" t="s">
        <v>1405</v>
      </c>
      <c r="B1639" s="3" t="s">
        <v>5015</v>
      </c>
      <c r="C1639" s="3">
        <v>35</v>
      </c>
      <c r="D1639" s="46" t="str">
        <f>IF(Tabla1[[#This Row],[EDAD]]&lt;=35,"Adultos jóvenes 18 - 35 años",IF(C1639&gt;=36,"Adultos mayores 36 años en adelante"))</f>
        <v>Adultos jóvenes 18 - 35 años</v>
      </c>
      <c r="E1639" s="3" t="s">
        <v>5019</v>
      </c>
      <c r="F1639" s="3" t="s">
        <v>5024</v>
      </c>
      <c r="G1639" s="3" t="s">
        <v>5037</v>
      </c>
      <c r="H1639" s="3" t="s">
        <v>6428</v>
      </c>
      <c r="I1639" s="17">
        <v>45703</v>
      </c>
      <c r="J1639" s="18">
        <f>YEAR(Tabla1[[#This Row],[FECHA DE COMPRA]])</f>
        <v>2025</v>
      </c>
      <c r="K1639" s="19">
        <v>37.5</v>
      </c>
      <c r="L1639" s="20">
        <v>0.3</v>
      </c>
      <c r="M1639" s="19">
        <f>Tienda!$K4366-Tienda!$K4366*Tienda!$L4366</f>
        <v>104.4</v>
      </c>
      <c r="N1639" s="3" t="s">
        <v>10038</v>
      </c>
      <c r="O1639" s="3" t="s">
        <v>10041</v>
      </c>
      <c r="P1639" s="17">
        <v>45703</v>
      </c>
      <c r="Q1639" s="4">
        <v>0</v>
      </c>
    </row>
    <row r="1640" spans="1:17" x14ac:dyDescent="0.25">
      <c r="A1640" s="2" t="s">
        <v>855</v>
      </c>
      <c r="B1640" s="3" t="s">
        <v>5015</v>
      </c>
      <c r="C1640" s="3">
        <v>30</v>
      </c>
      <c r="D1640" s="46" t="str">
        <f>IF(Tabla1[[#This Row],[EDAD]]&lt;=35,"Adultos jóvenes 18 - 35 años",IF(C1640&gt;=36,"Adultos mayores 36 años en adelante"))</f>
        <v>Adultos jóvenes 18 - 35 años</v>
      </c>
      <c r="E1640" s="3" t="s">
        <v>5020</v>
      </c>
      <c r="F1640" s="3" t="s">
        <v>5026</v>
      </c>
      <c r="G1640" s="3" t="s">
        <v>5037</v>
      </c>
      <c r="H1640" s="3" t="s">
        <v>5878</v>
      </c>
      <c r="I1640" s="17">
        <v>45711</v>
      </c>
      <c r="J1640" s="18">
        <f>YEAR(Tabla1[[#This Row],[FECHA DE COMPRA]])</f>
        <v>2025</v>
      </c>
      <c r="K1640" s="19">
        <v>149.19</v>
      </c>
      <c r="L1640" s="20">
        <v>0</v>
      </c>
      <c r="M1640" s="19">
        <f>Tienda!$K4368-Tienda!$K4368*Tienda!$L4368</f>
        <v>105.82</v>
      </c>
      <c r="N1640" s="3" t="s">
        <v>10038</v>
      </c>
      <c r="O1640" s="3" t="s">
        <v>10041</v>
      </c>
      <c r="P1640" s="17">
        <v>45711</v>
      </c>
      <c r="Q1640" s="4">
        <v>0</v>
      </c>
    </row>
    <row r="1641" spans="1:17" x14ac:dyDescent="0.25">
      <c r="A1641" s="2" t="s">
        <v>919</v>
      </c>
      <c r="B1641" s="3" t="s">
        <v>5015</v>
      </c>
      <c r="C1641" s="3">
        <v>21</v>
      </c>
      <c r="D1641" s="46" t="str">
        <f>IF(Tabla1[[#This Row],[EDAD]]&lt;=35,"Adultos jóvenes 18 - 35 años",IF(C1641&gt;=36,"Adultos mayores 36 años en adelante"))</f>
        <v>Adultos jóvenes 18 - 35 años</v>
      </c>
      <c r="E1641" s="3" t="s">
        <v>5021</v>
      </c>
      <c r="F1641" s="3" t="s">
        <v>5029</v>
      </c>
      <c r="G1641" s="3" t="s">
        <v>5032</v>
      </c>
      <c r="H1641" s="3" t="s">
        <v>5942</v>
      </c>
      <c r="I1641" s="17">
        <v>45711</v>
      </c>
      <c r="J1641" s="18">
        <f>YEAR(Tabla1[[#This Row],[FECHA DE COMPRA]])</f>
        <v>2025</v>
      </c>
      <c r="K1641" s="19">
        <v>171.13</v>
      </c>
      <c r="L1641" s="20">
        <v>0.3</v>
      </c>
      <c r="M1641" s="19">
        <f>Tienda!$K4370-Tienda!$K4370*Tienda!$L4370</f>
        <v>106.524</v>
      </c>
      <c r="N1641" s="3" t="s">
        <v>10038</v>
      </c>
      <c r="O1641" s="3" t="s">
        <v>10041</v>
      </c>
      <c r="P1641" s="17">
        <v>45711</v>
      </c>
      <c r="Q1641" s="4">
        <v>0</v>
      </c>
    </row>
    <row r="1642" spans="1:17" x14ac:dyDescent="0.25">
      <c r="A1642" s="2" t="s">
        <v>4785</v>
      </c>
      <c r="B1642" s="3" t="s">
        <v>5016</v>
      </c>
      <c r="C1642" s="3">
        <v>27</v>
      </c>
      <c r="D1642" s="46" t="str">
        <f>IF(Tabla1[[#This Row],[EDAD]]&lt;=35,"Adultos jóvenes 18 - 35 años",IF(C1642&gt;=36,"Adultos mayores 36 años en adelante"))</f>
        <v>Adultos jóvenes 18 - 35 años</v>
      </c>
      <c r="E1642" s="3" t="s">
        <v>5019</v>
      </c>
      <c r="F1642" s="3" t="s">
        <v>5025</v>
      </c>
      <c r="G1642" s="3" t="s">
        <v>5032</v>
      </c>
      <c r="H1642" s="3" t="s">
        <v>9808</v>
      </c>
      <c r="I1642" s="17">
        <v>45711</v>
      </c>
      <c r="J1642" s="18">
        <f>YEAR(Tabla1[[#This Row],[FECHA DE COMPRA]])</f>
        <v>2025</v>
      </c>
      <c r="K1642" s="19">
        <v>195.41</v>
      </c>
      <c r="L1642" s="20">
        <v>0.3</v>
      </c>
      <c r="M1642" s="19">
        <f>Tienda!$K4371-Tienda!$K4371*Tienda!$L4371</f>
        <v>106.86199999999999</v>
      </c>
      <c r="N1642" s="3" t="s">
        <v>10038</v>
      </c>
      <c r="O1642" s="3" t="s">
        <v>10041</v>
      </c>
      <c r="P1642" s="17">
        <v>45711</v>
      </c>
      <c r="Q1642" s="4">
        <v>0</v>
      </c>
    </row>
    <row r="1643" spans="1:17" x14ac:dyDescent="0.25">
      <c r="A1643" s="2" t="s">
        <v>2885</v>
      </c>
      <c r="B1643" s="3" t="s">
        <v>5015</v>
      </c>
      <c r="C1643" s="3">
        <v>35</v>
      </c>
      <c r="D1643" s="46" t="str">
        <f>IF(Tabla1[[#This Row],[EDAD]]&lt;=35,"Adultos jóvenes 18 - 35 años",IF(C1643&gt;=36,"Adultos mayores 36 años en adelante"))</f>
        <v>Adultos jóvenes 18 - 35 años</v>
      </c>
      <c r="E1643" s="3" t="s">
        <v>5020</v>
      </c>
      <c r="F1643" s="3" t="s">
        <v>5030</v>
      </c>
      <c r="G1643" s="3" t="s">
        <v>5031</v>
      </c>
      <c r="H1643" s="3" t="s">
        <v>7908</v>
      </c>
      <c r="I1643" s="17">
        <v>45713</v>
      </c>
      <c r="J1643" s="18">
        <f>YEAR(Tabla1[[#This Row],[FECHA DE COMPRA]])</f>
        <v>2025</v>
      </c>
      <c r="K1643" s="19">
        <v>38.49</v>
      </c>
      <c r="L1643" s="20">
        <v>0.2</v>
      </c>
      <c r="M1643" s="19">
        <f>Tienda!$K4374-Tienda!$K4374*Tienda!$L4374</f>
        <v>107.50399999999999</v>
      </c>
      <c r="N1643" s="3" t="s">
        <v>10038</v>
      </c>
      <c r="O1643" s="3" t="s">
        <v>10041</v>
      </c>
      <c r="P1643" s="17">
        <v>45713</v>
      </c>
      <c r="Q1643" s="4">
        <v>0</v>
      </c>
    </row>
    <row r="1644" spans="1:17" x14ac:dyDescent="0.25">
      <c r="A1644" s="2" t="s">
        <v>1174</v>
      </c>
      <c r="B1644" s="3" t="s">
        <v>5015</v>
      </c>
      <c r="C1644" s="3">
        <v>34</v>
      </c>
      <c r="D1644" s="46" t="str">
        <f>IF(Tabla1[[#This Row],[EDAD]]&lt;=35,"Adultos jóvenes 18 - 35 años",IF(C1644&gt;=36,"Adultos mayores 36 años en adelante"))</f>
        <v>Adultos jóvenes 18 - 35 años</v>
      </c>
      <c r="E1644" s="3" t="s">
        <v>5020</v>
      </c>
      <c r="F1644" s="3" t="s">
        <v>5028</v>
      </c>
      <c r="G1644" s="3" t="s">
        <v>5036</v>
      </c>
      <c r="H1644" s="3" t="s">
        <v>6197</v>
      </c>
      <c r="I1644" s="17">
        <v>45743</v>
      </c>
      <c r="J1644" s="18">
        <f>YEAR(Tabla1[[#This Row],[FECHA DE COMPRA]])</f>
        <v>2025</v>
      </c>
      <c r="K1644" s="19">
        <v>48.94</v>
      </c>
      <c r="L1644" s="20">
        <v>0.3</v>
      </c>
      <c r="M1644" s="19">
        <f>Tienda!$K4375-Tienda!$K4375*Tienda!$L4375</f>
        <v>107.68800000000002</v>
      </c>
      <c r="N1644" s="3" t="s">
        <v>10038</v>
      </c>
      <c r="O1644" s="3" t="s">
        <v>10041</v>
      </c>
      <c r="P1644" s="17">
        <v>45743</v>
      </c>
      <c r="Q1644" s="4">
        <v>0</v>
      </c>
    </row>
    <row r="1645" spans="1:17" x14ac:dyDescent="0.25">
      <c r="A1645" s="2" t="s">
        <v>2619</v>
      </c>
      <c r="B1645" s="3" t="s">
        <v>5015</v>
      </c>
      <c r="C1645" s="3">
        <v>26</v>
      </c>
      <c r="D1645" s="46" t="str">
        <f>IF(Tabla1[[#This Row],[EDAD]]&lt;=35,"Adultos jóvenes 18 - 35 años",IF(C1645&gt;=36,"Adultos mayores 36 años en adelante"))</f>
        <v>Adultos jóvenes 18 - 35 años</v>
      </c>
      <c r="E1645" s="3" t="s">
        <v>5019</v>
      </c>
      <c r="F1645" s="3" t="s">
        <v>5025</v>
      </c>
      <c r="G1645" s="3" t="s">
        <v>5036</v>
      </c>
      <c r="H1645" s="3" t="s">
        <v>7642</v>
      </c>
      <c r="I1645" s="17">
        <v>45720</v>
      </c>
      <c r="J1645" s="18">
        <f>YEAR(Tabla1[[#This Row],[FECHA DE COMPRA]])</f>
        <v>2025</v>
      </c>
      <c r="K1645" s="19">
        <v>50.17</v>
      </c>
      <c r="L1645" s="20">
        <v>0.2</v>
      </c>
      <c r="M1645" s="19">
        <f>Tienda!$K4376-Tienda!$K4376*Tienda!$L4376</f>
        <v>108.024</v>
      </c>
      <c r="N1645" s="3" t="s">
        <v>10038</v>
      </c>
      <c r="O1645" s="3" t="s">
        <v>10041</v>
      </c>
      <c r="P1645" s="17">
        <v>45720</v>
      </c>
      <c r="Q1645" s="4">
        <v>0</v>
      </c>
    </row>
    <row r="1646" spans="1:17" x14ac:dyDescent="0.25">
      <c r="A1646" s="2" t="s">
        <v>3877</v>
      </c>
      <c r="B1646" s="3" t="s">
        <v>5015</v>
      </c>
      <c r="C1646" s="3">
        <v>32</v>
      </c>
      <c r="D1646" s="46" t="str">
        <f>IF(Tabla1[[#This Row],[EDAD]]&lt;=35,"Adultos jóvenes 18 - 35 años",IF(C1646&gt;=36,"Adultos mayores 36 años en adelante"))</f>
        <v>Adultos jóvenes 18 - 35 años</v>
      </c>
      <c r="E1646" s="3" t="s">
        <v>5020</v>
      </c>
      <c r="F1646" s="3" t="s">
        <v>5025</v>
      </c>
      <c r="G1646" s="3" t="s">
        <v>5037</v>
      </c>
      <c r="H1646" s="3" t="s">
        <v>8900</v>
      </c>
      <c r="I1646" s="17">
        <v>45725</v>
      </c>
      <c r="J1646" s="18">
        <f>YEAR(Tabla1[[#This Row],[FECHA DE COMPRA]])</f>
        <v>2025</v>
      </c>
      <c r="K1646" s="19">
        <v>57.67</v>
      </c>
      <c r="L1646" s="20">
        <v>0.3</v>
      </c>
      <c r="M1646" s="19">
        <f>Tienda!$K4381-Tienda!$K4381*Tienda!$L4381</f>
        <v>109.85</v>
      </c>
      <c r="N1646" s="3" t="s">
        <v>10038</v>
      </c>
      <c r="O1646" s="3" t="s">
        <v>10041</v>
      </c>
      <c r="P1646" s="17">
        <v>45725</v>
      </c>
      <c r="Q1646" s="4">
        <v>0</v>
      </c>
    </row>
    <row r="1647" spans="1:17" x14ac:dyDescent="0.25">
      <c r="A1647" s="2" t="s">
        <v>2812</v>
      </c>
      <c r="B1647" s="3" t="s">
        <v>5016</v>
      </c>
      <c r="C1647" s="3">
        <v>29</v>
      </c>
      <c r="D1647" s="46" t="str">
        <f>IF(Tabla1[[#This Row],[EDAD]]&lt;=35,"Adultos jóvenes 18 - 35 años",IF(C1647&gt;=36,"Adultos mayores 36 años en adelante"))</f>
        <v>Adultos jóvenes 18 - 35 años</v>
      </c>
      <c r="E1647" s="3" t="s">
        <v>5017</v>
      </c>
      <c r="F1647" s="3" t="s">
        <v>5026</v>
      </c>
      <c r="G1647" s="3" t="s">
        <v>5035</v>
      </c>
      <c r="H1647" s="3" t="s">
        <v>7835</v>
      </c>
      <c r="I1647" s="17">
        <v>45740</v>
      </c>
      <c r="J1647" s="18">
        <f>YEAR(Tabla1[[#This Row],[FECHA DE COMPRA]])</f>
        <v>2025</v>
      </c>
      <c r="K1647" s="19">
        <v>63.55</v>
      </c>
      <c r="L1647" s="20">
        <v>0</v>
      </c>
      <c r="M1647" s="19">
        <f>Tienda!$K4384-Tienda!$K4384*Tienda!$L4384</f>
        <v>110.27200000000001</v>
      </c>
      <c r="N1647" s="3" t="s">
        <v>10038</v>
      </c>
      <c r="O1647" s="3" t="s">
        <v>10041</v>
      </c>
      <c r="P1647" s="17">
        <v>45740</v>
      </c>
      <c r="Q1647" s="4">
        <v>0</v>
      </c>
    </row>
    <row r="1648" spans="1:17" x14ac:dyDescent="0.25">
      <c r="A1648" s="2" t="s">
        <v>1232</v>
      </c>
      <c r="B1648" s="3" t="s">
        <v>5016</v>
      </c>
      <c r="C1648" s="3">
        <v>22</v>
      </c>
      <c r="D1648" s="46" t="str">
        <f>IF(Tabla1[[#This Row],[EDAD]]&lt;=35,"Adultos jóvenes 18 - 35 años",IF(C1648&gt;=36,"Adultos mayores 36 años en adelante"))</f>
        <v>Adultos jóvenes 18 - 35 años</v>
      </c>
      <c r="E1648" s="3" t="s">
        <v>5019</v>
      </c>
      <c r="F1648" s="3" t="s">
        <v>5030</v>
      </c>
      <c r="G1648" s="3" t="s">
        <v>5032</v>
      </c>
      <c r="H1648" s="3" t="s">
        <v>6255</v>
      </c>
      <c r="I1648" s="17">
        <v>45725</v>
      </c>
      <c r="J1648" s="18">
        <f>YEAR(Tabla1[[#This Row],[FECHA DE COMPRA]])</f>
        <v>2025</v>
      </c>
      <c r="K1648" s="19">
        <v>78.14</v>
      </c>
      <c r="L1648" s="20">
        <v>0.3</v>
      </c>
      <c r="M1648" s="19">
        <f>Tienda!$K4385-Tienda!$K4385*Tienda!$L4385</f>
        <v>110.51100000000001</v>
      </c>
      <c r="N1648" s="3" t="s">
        <v>10038</v>
      </c>
      <c r="O1648" s="3" t="s">
        <v>10041</v>
      </c>
      <c r="P1648" s="17">
        <v>45725</v>
      </c>
      <c r="Q1648" s="4">
        <v>0</v>
      </c>
    </row>
    <row r="1649" spans="1:17" x14ac:dyDescent="0.25">
      <c r="A1649" s="2" t="s">
        <v>1983</v>
      </c>
      <c r="B1649" s="3" t="s">
        <v>5015</v>
      </c>
      <c r="C1649" s="3">
        <v>25</v>
      </c>
      <c r="D1649" s="46" t="str">
        <f>IF(Tabla1[[#This Row],[EDAD]]&lt;=35,"Adultos jóvenes 18 - 35 años",IF(C1649&gt;=36,"Adultos mayores 36 años en adelante"))</f>
        <v>Adultos jóvenes 18 - 35 años</v>
      </c>
      <c r="E1649" s="3" t="s">
        <v>5020</v>
      </c>
      <c r="F1649" s="3" t="s">
        <v>5026</v>
      </c>
      <c r="G1649" s="3" t="s">
        <v>5033</v>
      </c>
      <c r="H1649" s="3" t="s">
        <v>7006</v>
      </c>
      <c r="I1649" s="17">
        <v>45723</v>
      </c>
      <c r="J1649" s="18">
        <f>YEAR(Tabla1[[#This Row],[FECHA DE COMPRA]])</f>
        <v>2025</v>
      </c>
      <c r="K1649" s="19">
        <v>98.2</v>
      </c>
      <c r="L1649" s="20">
        <v>0.2</v>
      </c>
      <c r="M1649" s="19">
        <f>Tienda!$K4387-Tienda!$K4387*Tienda!$L4387</f>
        <v>110.78900000000002</v>
      </c>
      <c r="N1649" s="3" t="s">
        <v>10038</v>
      </c>
      <c r="O1649" s="3" t="s">
        <v>10041</v>
      </c>
      <c r="P1649" s="17">
        <v>45723</v>
      </c>
      <c r="Q1649" s="4">
        <v>0</v>
      </c>
    </row>
    <row r="1650" spans="1:17" x14ac:dyDescent="0.25">
      <c r="A1650" s="2" t="s">
        <v>3999</v>
      </c>
      <c r="B1650" s="3" t="s">
        <v>5015</v>
      </c>
      <c r="C1650" s="3">
        <v>32</v>
      </c>
      <c r="D1650" s="46" t="str">
        <f>IF(Tabla1[[#This Row],[EDAD]]&lt;=35,"Adultos jóvenes 18 - 35 años",IF(C1650&gt;=36,"Adultos mayores 36 años en adelante"))</f>
        <v>Adultos jóvenes 18 - 35 años</v>
      </c>
      <c r="E1650" s="3" t="s">
        <v>5018</v>
      </c>
      <c r="F1650" s="3" t="s">
        <v>5028</v>
      </c>
      <c r="G1650" s="3" t="s">
        <v>5034</v>
      </c>
      <c r="H1650" s="3" t="s">
        <v>9022</v>
      </c>
      <c r="I1650" s="17">
        <v>45725</v>
      </c>
      <c r="J1650" s="18">
        <f>YEAR(Tabla1[[#This Row],[FECHA DE COMPRA]])</f>
        <v>2025</v>
      </c>
      <c r="K1650" s="19">
        <v>106.29</v>
      </c>
      <c r="L1650" s="20">
        <v>0.3</v>
      </c>
      <c r="M1650" s="19">
        <f>Tienda!$K4388-Tienda!$K4388*Tienda!$L4388</f>
        <v>110.85300000000001</v>
      </c>
      <c r="N1650" s="3" t="s">
        <v>10038</v>
      </c>
      <c r="O1650" s="3" t="s">
        <v>10041</v>
      </c>
      <c r="P1650" s="17">
        <v>45725</v>
      </c>
      <c r="Q1650" s="4">
        <v>0</v>
      </c>
    </row>
    <row r="1651" spans="1:17" x14ac:dyDescent="0.25">
      <c r="A1651" s="2" t="s">
        <v>100</v>
      </c>
      <c r="B1651" s="3" t="s">
        <v>5016</v>
      </c>
      <c r="C1651" s="3">
        <v>23</v>
      </c>
      <c r="D1651" s="46" t="str">
        <f>IF(Tabla1[[#This Row],[EDAD]]&lt;=35,"Adultos jóvenes 18 - 35 años",IF(C1651&gt;=36,"Adultos mayores 36 años en adelante"))</f>
        <v>Adultos jóvenes 18 - 35 años</v>
      </c>
      <c r="E1651" s="3" t="s">
        <v>5019</v>
      </c>
      <c r="F1651" s="3" t="s">
        <v>5025</v>
      </c>
      <c r="G1651" s="3" t="s">
        <v>5031</v>
      </c>
      <c r="H1651" s="3" t="s">
        <v>5123</v>
      </c>
      <c r="I1651" s="17">
        <v>45733</v>
      </c>
      <c r="J1651" s="18">
        <f>YEAR(Tabla1[[#This Row],[FECHA DE COMPRA]])</f>
        <v>2025</v>
      </c>
      <c r="K1651" s="19">
        <v>117.13</v>
      </c>
      <c r="L1651" s="20">
        <v>0.2</v>
      </c>
      <c r="M1651" s="19">
        <f>Tienda!$K4391-Tienda!$K4391*Tienda!$L4391</f>
        <v>111.08</v>
      </c>
      <c r="N1651" s="3" t="s">
        <v>10038</v>
      </c>
      <c r="O1651" s="3" t="s">
        <v>10041</v>
      </c>
      <c r="P1651" s="17">
        <v>45733</v>
      </c>
      <c r="Q1651" s="4">
        <v>0</v>
      </c>
    </row>
    <row r="1652" spans="1:17" x14ac:dyDescent="0.25">
      <c r="A1652" s="2" t="s">
        <v>2243</v>
      </c>
      <c r="B1652" s="3" t="s">
        <v>5016</v>
      </c>
      <c r="C1652" s="3">
        <v>23</v>
      </c>
      <c r="D1652" s="46" t="str">
        <f>IF(Tabla1[[#This Row],[EDAD]]&lt;=35,"Adultos jóvenes 18 - 35 años",IF(C1652&gt;=36,"Adultos mayores 36 años en adelante"))</f>
        <v>Adultos jóvenes 18 - 35 años</v>
      </c>
      <c r="E1652" s="3" t="s">
        <v>5019</v>
      </c>
      <c r="F1652" s="3" t="s">
        <v>5025</v>
      </c>
      <c r="G1652" s="3" t="s">
        <v>5036</v>
      </c>
      <c r="H1652" s="3" t="s">
        <v>7266</v>
      </c>
      <c r="I1652" s="17">
        <v>45728</v>
      </c>
      <c r="J1652" s="18">
        <f>YEAR(Tabla1[[#This Row],[FECHA DE COMPRA]])</f>
        <v>2025</v>
      </c>
      <c r="K1652" s="19">
        <v>118.82</v>
      </c>
      <c r="L1652" s="20">
        <v>0.1</v>
      </c>
      <c r="M1652" s="19">
        <f>Tienda!$K4392-Tienda!$K4392*Tienda!$L4392</f>
        <v>111.11199999999999</v>
      </c>
      <c r="N1652" s="3" t="s">
        <v>10038</v>
      </c>
      <c r="O1652" s="3" t="s">
        <v>10041</v>
      </c>
      <c r="P1652" s="17">
        <v>45728</v>
      </c>
      <c r="Q1652" s="4">
        <v>0</v>
      </c>
    </row>
    <row r="1653" spans="1:17" x14ac:dyDescent="0.25">
      <c r="A1653" s="2" t="s">
        <v>732</v>
      </c>
      <c r="B1653" s="3" t="s">
        <v>5015</v>
      </c>
      <c r="C1653" s="3">
        <v>21</v>
      </c>
      <c r="D1653" s="46" t="str">
        <f>IF(Tabla1[[#This Row],[EDAD]]&lt;=35,"Adultos jóvenes 18 - 35 años",IF(C1653&gt;=36,"Adultos mayores 36 años en adelante"))</f>
        <v>Adultos jóvenes 18 - 35 años</v>
      </c>
      <c r="E1653" s="3" t="s">
        <v>5022</v>
      </c>
      <c r="F1653" s="3" t="s">
        <v>5027</v>
      </c>
      <c r="G1653" s="3" t="s">
        <v>5032</v>
      </c>
      <c r="H1653" s="3" t="s">
        <v>5755</v>
      </c>
      <c r="I1653" s="17">
        <v>45731</v>
      </c>
      <c r="J1653" s="18">
        <f>YEAR(Tabla1[[#This Row],[FECHA DE COMPRA]])</f>
        <v>2025</v>
      </c>
      <c r="K1653" s="19">
        <v>186.3</v>
      </c>
      <c r="L1653" s="20">
        <v>0</v>
      </c>
      <c r="M1653" s="19">
        <f>Tienda!$K4399-Tienda!$K4399*Tienda!$L4399</f>
        <v>112.68899999999999</v>
      </c>
      <c r="N1653" s="3" t="s">
        <v>10038</v>
      </c>
      <c r="O1653" s="3" t="s">
        <v>10041</v>
      </c>
      <c r="P1653" s="17">
        <v>45731</v>
      </c>
      <c r="Q1653" s="4">
        <v>0</v>
      </c>
    </row>
    <row r="1654" spans="1:17" x14ac:dyDescent="0.25">
      <c r="A1654" s="2" t="s">
        <v>2083</v>
      </c>
      <c r="B1654" s="3" t="s">
        <v>5015</v>
      </c>
      <c r="C1654" s="3">
        <v>24</v>
      </c>
      <c r="D1654" s="46" t="str">
        <f>IF(Tabla1[[#This Row],[EDAD]]&lt;=35,"Adultos jóvenes 18 - 35 años",IF(C1654&gt;=36,"Adultos mayores 36 años en adelante"))</f>
        <v>Adultos jóvenes 18 - 35 años</v>
      </c>
      <c r="E1654" s="3" t="s">
        <v>5018</v>
      </c>
      <c r="F1654" s="3" t="s">
        <v>5025</v>
      </c>
      <c r="G1654" s="3" t="s">
        <v>5033</v>
      </c>
      <c r="H1654" s="3" t="s">
        <v>7106</v>
      </c>
      <c r="I1654" s="17">
        <v>45662</v>
      </c>
      <c r="J1654" s="18">
        <f>YEAR(Tabla1[[#This Row],[FECHA DE COMPRA]])</f>
        <v>2025</v>
      </c>
      <c r="K1654" s="19">
        <v>12.73</v>
      </c>
      <c r="L1654" s="20">
        <v>0.3</v>
      </c>
      <c r="M1654" s="19">
        <f>Tienda!$K4404-Tienda!$K4404*Tienda!$L4404</f>
        <v>115.23</v>
      </c>
      <c r="N1654" s="3" t="s">
        <v>10038</v>
      </c>
      <c r="O1654" s="3" t="s">
        <v>10041</v>
      </c>
      <c r="P1654" s="17">
        <v>45662</v>
      </c>
      <c r="Q1654" s="4">
        <v>0</v>
      </c>
    </row>
    <row r="1655" spans="1:17" x14ac:dyDescent="0.25">
      <c r="A1655" s="2" t="s">
        <v>2829</v>
      </c>
      <c r="B1655" s="3" t="s">
        <v>5016</v>
      </c>
      <c r="C1655" s="3">
        <v>25</v>
      </c>
      <c r="D1655" s="46" t="str">
        <f>IF(Tabla1[[#This Row],[EDAD]]&lt;=35,"Adultos jóvenes 18 - 35 años",IF(C1655&gt;=36,"Adultos mayores 36 años en adelante"))</f>
        <v>Adultos jóvenes 18 - 35 años</v>
      </c>
      <c r="E1655" s="3" t="s">
        <v>5017</v>
      </c>
      <c r="F1655" s="3" t="s">
        <v>5026</v>
      </c>
      <c r="G1655" s="3" t="s">
        <v>5033</v>
      </c>
      <c r="H1655" s="3" t="s">
        <v>7852</v>
      </c>
      <c r="I1655" s="17">
        <v>45701</v>
      </c>
      <c r="J1655" s="18">
        <f>YEAR(Tabla1[[#This Row],[FECHA DE COMPRA]])</f>
        <v>2025</v>
      </c>
      <c r="K1655" s="19">
        <v>17.73</v>
      </c>
      <c r="L1655" s="20">
        <v>0</v>
      </c>
      <c r="M1655" s="19">
        <f>Tienda!$K4405-Tienda!$K4405*Tienda!$L4405</f>
        <v>115.563</v>
      </c>
      <c r="N1655" s="3" t="s">
        <v>10038</v>
      </c>
      <c r="O1655" s="3" t="s">
        <v>10041</v>
      </c>
      <c r="P1655" s="17">
        <v>45681</v>
      </c>
      <c r="Q1655" s="4">
        <v>0</v>
      </c>
    </row>
    <row r="1656" spans="1:17" x14ac:dyDescent="0.25">
      <c r="A1656" s="2" t="s">
        <v>2838</v>
      </c>
      <c r="B1656" s="3" t="s">
        <v>5016</v>
      </c>
      <c r="C1656" s="3">
        <v>21</v>
      </c>
      <c r="D1656" s="46" t="str">
        <f>IF(Tabla1[[#This Row],[EDAD]]&lt;=35,"Adultos jóvenes 18 - 35 años",IF(C1656&gt;=36,"Adultos mayores 36 años en adelante"))</f>
        <v>Adultos jóvenes 18 - 35 años</v>
      </c>
      <c r="E1656" s="3" t="s">
        <v>5021</v>
      </c>
      <c r="F1656" s="3" t="s">
        <v>5029</v>
      </c>
      <c r="G1656" s="3" t="s">
        <v>5035</v>
      </c>
      <c r="H1656" s="3" t="s">
        <v>7861</v>
      </c>
      <c r="I1656" s="17">
        <v>45663</v>
      </c>
      <c r="J1656" s="18">
        <f>YEAR(Tabla1[[#This Row],[FECHA DE COMPRA]])</f>
        <v>2025</v>
      </c>
      <c r="K1656" s="19">
        <v>24.66</v>
      </c>
      <c r="L1656" s="20">
        <v>0.3</v>
      </c>
      <c r="M1656" s="19">
        <f>Tienda!$K4406-Tienda!$K4406*Tienda!$L4406</f>
        <v>116.38799999999999</v>
      </c>
      <c r="N1656" s="3" t="s">
        <v>10038</v>
      </c>
      <c r="O1656" s="3" t="s">
        <v>10041</v>
      </c>
      <c r="P1656" s="17">
        <v>45663</v>
      </c>
      <c r="Q1656" s="4">
        <v>0</v>
      </c>
    </row>
    <row r="1657" spans="1:17" x14ac:dyDescent="0.25">
      <c r="A1657" s="2" t="s">
        <v>2414</v>
      </c>
      <c r="B1657" s="3" t="s">
        <v>5015</v>
      </c>
      <c r="C1657" s="3">
        <v>26</v>
      </c>
      <c r="D1657" s="46" t="str">
        <f>IF(Tabla1[[#This Row],[EDAD]]&lt;=35,"Adultos jóvenes 18 - 35 años",IF(C1657&gt;=36,"Adultos mayores 36 años en adelante"))</f>
        <v>Adultos jóvenes 18 - 35 años</v>
      </c>
      <c r="E1657" s="3" t="s">
        <v>5020</v>
      </c>
      <c r="F1657" s="3" t="s">
        <v>5029</v>
      </c>
      <c r="G1657" s="3" t="s">
        <v>5033</v>
      </c>
      <c r="H1657" s="3" t="s">
        <v>7437</v>
      </c>
      <c r="I1657" s="17">
        <v>45667</v>
      </c>
      <c r="J1657" s="18">
        <f>YEAR(Tabla1[[#This Row],[FECHA DE COMPRA]])</f>
        <v>2025</v>
      </c>
      <c r="K1657" s="19">
        <v>28.46</v>
      </c>
      <c r="L1657" s="20">
        <v>0</v>
      </c>
      <c r="M1657" s="19">
        <f>Tienda!$K4408-Tienda!$K4408*Tienda!$L4408</f>
        <v>116.752</v>
      </c>
      <c r="N1657" s="3" t="s">
        <v>10038</v>
      </c>
      <c r="O1657" s="3" t="s">
        <v>10041</v>
      </c>
      <c r="P1657" s="17">
        <v>45667</v>
      </c>
      <c r="Q1657" s="4">
        <v>0</v>
      </c>
    </row>
    <row r="1658" spans="1:17" x14ac:dyDescent="0.25">
      <c r="A1658" s="2" t="s">
        <v>305</v>
      </c>
      <c r="B1658" s="3" t="s">
        <v>5015</v>
      </c>
      <c r="C1658" s="3">
        <v>23</v>
      </c>
      <c r="D1658" s="46" t="str">
        <f>IF(Tabla1[[#This Row],[EDAD]]&lt;=35,"Adultos jóvenes 18 - 35 años",IF(C1658&gt;=36,"Adultos mayores 36 años en adelante"))</f>
        <v>Adultos jóvenes 18 - 35 años</v>
      </c>
      <c r="E1658" s="3" t="s">
        <v>5018</v>
      </c>
      <c r="F1658" s="3" t="s">
        <v>5029</v>
      </c>
      <c r="G1658" s="3" t="s">
        <v>5032</v>
      </c>
      <c r="H1658" s="3" t="s">
        <v>5328</v>
      </c>
      <c r="I1658" s="17">
        <v>45659</v>
      </c>
      <c r="J1658" s="18">
        <f>YEAR(Tabla1[[#This Row],[FECHA DE COMPRA]])</f>
        <v>2025</v>
      </c>
      <c r="K1658" s="19">
        <v>29.63</v>
      </c>
      <c r="L1658" s="20">
        <v>0.2</v>
      </c>
      <c r="M1658" s="19">
        <f>Tienda!$K4409-Tienda!$K4409*Tienda!$L4409</f>
        <v>117.152</v>
      </c>
      <c r="N1658" s="3" t="s">
        <v>10038</v>
      </c>
      <c r="O1658" s="3" t="s">
        <v>10041</v>
      </c>
      <c r="P1658" s="17">
        <v>45659</v>
      </c>
      <c r="Q1658" s="4">
        <v>0</v>
      </c>
    </row>
    <row r="1659" spans="1:17" x14ac:dyDescent="0.25">
      <c r="A1659" s="2" t="s">
        <v>3693</v>
      </c>
      <c r="B1659" s="3" t="s">
        <v>5015</v>
      </c>
      <c r="C1659" s="3">
        <v>28</v>
      </c>
      <c r="D1659" s="46" t="str">
        <f>IF(Tabla1[[#This Row],[EDAD]]&lt;=35,"Adultos jóvenes 18 - 35 años",IF(C1659&gt;=36,"Adultos mayores 36 años en adelante"))</f>
        <v>Adultos jóvenes 18 - 35 años</v>
      </c>
      <c r="E1659" s="3" t="s">
        <v>5020</v>
      </c>
      <c r="F1659" s="3" t="s">
        <v>5028</v>
      </c>
      <c r="G1659" s="3" t="s">
        <v>5036</v>
      </c>
      <c r="H1659" s="3" t="s">
        <v>8716</v>
      </c>
      <c r="I1659" s="17">
        <v>45673</v>
      </c>
      <c r="J1659" s="18">
        <f>YEAR(Tabla1[[#This Row],[FECHA DE COMPRA]])</f>
        <v>2025</v>
      </c>
      <c r="K1659" s="19">
        <v>44.55</v>
      </c>
      <c r="L1659" s="20">
        <v>0.3</v>
      </c>
      <c r="M1659" s="19">
        <f>Tienda!$K4410-Tienda!$K4410*Tienda!$L4410</f>
        <v>117.27000000000001</v>
      </c>
      <c r="N1659" s="3" t="s">
        <v>10038</v>
      </c>
      <c r="O1659" s="3" t="s">
        <v>10041</v>
      </c>
      <c r="P1659" s="17">
        <v>45673</v>
      </c>
      <c r="Q1659" s="4">
        <v>0</v>
      </c>
    </row>
    <row r="1660" spans="1:17" x14ac:dyDescent="0.25">
      <c r="A1660" s="2" t="s">
        <v>4578</v>
      </c>
      <c r="B1660" s="3" t="s">
        <v>5015</v>
      </c>
      <c r="C1660" s="3">
        <v>32</v>
      </c>
      <c r="D1660" s="46" t="str">
        <f>IF(Tabla1[[#This Row],[EDAD]]&lt;=35,"Adultos jóvenes 18 - 35 años",IF(C1660&gt;=36,"Adultos mayores 36 años en adelante"))</f>
        <v>Adultos jóvenes 18 - 35 años</v>
      </c>
      <c r="E1660" s="3" t="s">
        <v>5023</v>
      </c>
      <c r="F1660" s="3" t="s">
        <v>5029</v>
      </c>
      <c r="G1660" s="3" t="s">
        <v>5033</v>
      </c>
      <c r="H1660" s="3" t="s">
        <v>9601</v>
      </c>
      <c r="I1660" s="17">
        <v>45684</v>
      </c>
      <c r="J1660" s="18">
        <f>YEAR(Tabla1[[#This Row],[FECHA DE COMPRA]])</f>
        <v>2025</v>
      </c>
      <c r="K1660" s="19">
        <v>51.29</v>
      </c>
      <c r="L1660" s="20">
        <v>0.1</v>
      </c>
      <c r="M1660" s="19">
        <f>Tienda!$K4411-Tienda!$K4411*Tienda!$L4411</f>
        <v>117.28500000000001</v>
      </c>
      <c r="N1660" s="3" t="s">
        <v>10038</v>
      </c>
      <c r="O1660" s="3" t="s">
        <v>10041</v>
      </c>
      <c r="P1660" s="17">
        <v>45684</v>
      </c>
      <c r="Q1660" s="4">
        <v>0</v>
      </c>
    </row>
    <row r="1661" spans="1:17" x14ac:dyDescent="0.25">
      <c r="A1661" s="2" t="s">
        <v>1196</v>
      </c>
      <c r="B1661" s="3" t="s">
        <v>5015</v>
      </c>
      <c r="C1661" s="3">
        <v>32</v>
      </c>
      <c r="D1661" s="46" t="str">
        <f>IF(Tabla1[[#This Row],[EDAD]]&lt;=35,"Adultos jóvenes 18 - 35 años",IF(C1661&gt;=36,"Adultos mayores 36 años en adelante"))</f>
        <v>Adultos jóvenes 18 - 35 años</v>
      </c>
      <c r="E1661" s="3" t="s">
        <v>5023</v>
      </c>
      <c r="F1661" s="3" t="s">
        <v>5026</v>
      </c>
      <c r="G1661" s="3" t="s">
        <v>5033</v>
      </c>
      <c r="H1661" s="3" t="s">
        <v>6219</v>
      </c>
      <c r="I1661" s="17">
        <v>45685</v>
      </c>
      <c r="J1661" s="18">
        <f>YEAR(Tabla1[[#This Row],[FECHA DE COMPRA]])</f>
        <v>2025</v>
      </c>
      <c r="K1661" s="19">
        <v>51.82</v>
      </c>
      <c r="L1661" s="20">
        <v>0.1</v>
      </c>
      <c r="M1661" s="19">
        <f>Tienda!$K4412-Tienda!$K4412*Tienda!$L4412</f>
        <v>117.31</v>
      </c>
      <c r="N1661" s="3" t="s">
        <v>10038</v>
      </c>
      <c r="O1661" s="3" t="s">
        <v>10041</v>
      </c>
      <c r="P1661" s="17">
        <v>45685</v>
      </c>
      <c r="Q1661" s="4">
        <v>0</v>
      </c>
    </row>
    <row r="1662" spans="1:17" x14ac:dyDescent="0.25">
      <c r="A1662" s="2" t="s">
        <v>1714</v>
      </c>
      <c r="B1662" s="3" t="s">
        <v>5015</v>
      </c>
      <c r="C1662" s="3">
        <v>29</v>
      </c>
      <c r="D1662" s="46" t="str">
        <f>IF(Tabla1[[#This Row],[EDAD]]&lt;=35,"Adultos jóvenes 18 - 35 años",IF(C1662&gt;=36,"Adultos mayores 36 años en adelante"))</f>
        <v>Adultos jóvenes 18 - 35 años</v>
      </c>
      <c r="E1662" s="3" t="s">
        <v>5021</v>
      </c>
      <c r="F1662" s="3" t="s">
        <v>5030</v>
      </c>
      <c r="G1662" s="3" t="s">
        <v>5036</v>
      </c>
      <c r="H1662" s="3" t="s">
        <v>6737</v>
      </c>
      <c r="I1662" s="17">
        <v>45682</v>
      </c>
      <c r="J1662" s="18">
        <f>YEAR(Tabla1[[#This Row],[FECHA DE COMPRA]])</f>
        <v>2025</v>
      </c>
      <c r="K1662" s="19">
        <v>75.73</v>
      </c>
      <c r="L1662" s="20">
        <v>0.2</v>
      </c>
      <c r="M1662" s="19">
        <f>Tienda!$K4417-Tienda!$K4417*Tienda!$L4417</f>
        <v>119.33599999999998</v>
      </c>
      <c r="N1662" s="3" t="s">
        <v>10038</v>
      </c>
      <c r="O1662" s="3" t="s">
        <v>10041</v>
      </c>
      <c r="P1662" s="17">
        <v>45682</v>
      </c>
      <c r="Q1662" s="4">
        <v>0</v>
      </c>
    </row>
    <row r="1663" spans="1:17" x14ac:dyDescent="0.25">
      <c r="A1663" s="2" t="s">
        <v>3957</v>
      </c>
      <c r="B1663" s="3" t="s">
        <v>5015</v>
      </c>
      <c r="C1663" s="3">
        <v>28</v>
      </c>
      <c r="D1663" s="46" t="str">
        <f>IF(Tabla1[[#This Row],[EDAD]]&lt;=35,"Adultos jóvenes 18 - 35 años",IF(C1663&gt;=36,"Adultos mayores 36 años en adelante"))</f>
        <v>Adultos jóvenes 18 - 35 años</v>
      </c>
      <c r="E1663" s="3" t="s">
        <v>5017</v>
      </c>
      <c r="F1663" s="3" t="s">
        <v>5024</v>
      </c>
      <c r="G1663" s="3" t="s">
        <v>5031</v>
      </c>
      <c r="H1663" s="3" t="s">
        <v>8980</v>
      </c>
      <c r="I1663" s="17">
        <v>45675</v>
      </c>
      <c r="J1663" s="18">
        <f>YEAR(Tabla1[[#This Row],[FECHA DE COMPRA]])</f>
        <v>2025</v>
      </c>
      <c r="K1663" s="19">
        <v>76.63</v>
      </c>
      <c r="L1663" s="20">
        <v>0.2</v>
      </c>
      <c r="M1663" s="19">
        <f>Tienda!$K4419-Tienda!$K4419*Tienda!$L4419</f>
        <v>119.96</v>
      </c>
      <c r="N1663" s="3" t="s">
        <v>10038</v>
      </c>
      <c r="O1663" s="3" t="s">
        <v>10041</v>
      </c>
      <c r="P1663" s="17">
        <v>45675</v>
      </c>
      <c r="Q1663" s="4">
        <v>0</v>
      </c>
    </row>
    <row r="1664" spans="1:17" x14ac:dyDescent="0.25">
      <c r="A1664" s="2" t="s">
        <v>3340</v>
      </c>
      <c r="B1664" s="3" t="s">
        <v>5015</v>
      </c>
      <c r="C1664" s="3">
        <v>33</v>
      </c>
      <c r="D1664" s="46" t="str">
        <f>IF(Tabla1[[#This Row],[EDAD]]&lt;=35,"Adultos jóvenes 18 - 35 años",IF(C1664&gt;=36,"Adultos mayores 36 años en adelante"))</f>
        <v>Adultos jóvenes 18 - 35 años</v>
      </c>
      <c r="E1664" s="3" t="s">
        <v>5020</v>
      </c>
      <c r="F1664" s="3" t="s">
        <v>5030</v>
      </c>
      <c r="G1664" s="3" t="s">
        <v>5033</v>
      </c>
      <c r="H1664" s="3" t="s">
        <v>8363</v>
      </c>
      <c r="I1664" s="17">
        <v>45701</v>
      </c>
      <c r="J1664" s="18">
        <f>YEAR(Tabla1[[#This Row],[FECHA DE COMPRA]])</f>
        <v>2025</v>
      </c>
      <c r="K1664" s="19">
        <v>82.13</v>
      </c>
      <c r="L1664" s="20">
        <v>0.1</v>
      </c>
      <c r="M1664" s="19">
        <f>Tienda!$K4420-Tienda!$K4420*Tienda!$L4420</f>
        <v>120.06899999999999</v>
      </c>
      <c r="N1664" s="3" t="s">
        <v>10038</v>
      </c>
      <c r="O1664" s="3" t="s">
        <v>10041</v>
      </c>
      <c r="P1664" s="17">
        <v>45660</v>
      </c>
      <c r="Q1664" s="4">
        <v>0</v>
      </c>
    </row>
    <row r="1665" spans="1:17" x14ac:dyDescent="0.25">
      <c r="A1665" s="2" t="s">
        <v>2731</v>
      </c>
      <c r="B1665" s="3" t="s">
        <v>5016</v>
      </c>
      <c r="C1665" s="3">
        <v>28</v>
      </c>
      <c r="D1665" s="46" t="str">
        <f>IF(Tabla1[[#This Row],[EDAD]]&lt;=35,"Adultos jóvenes 18 - 35 años",IF(C1665&gt;=36,"Adultos mayores 36 años en adelante"))</f>
        <v>Adultos jóvenes 18 - 35 años</v>
      </c>
      <c r="E1665" s="3" t="s">
        <v>5019</v>
      </c>
      <c r="F1665" s="3" t="s">
        <v>5029</v>
      </c>
      <c r="G1665" s="3" t="s">
        <v>5036</v>
      </c>
      <c r="H1665" s="3" t="s">
        <v>7754</v>
      </c>
      <c r="I1665" s="17">
        <v>45676</v>
      </c>
      <c r="J1665" s="18">
        <f>YEAR(Tabla1[[#This Row],[FECHA DE COMPRA]])</f>
        <v>2025</v>
      </c>
      <c r="K1665" s="19">
        <v>119.3</v>
      </c>
      <c r="L1665" s="20">
        <v>0</v>
      </c>
      <c r="M1665" s="19">
        <f>Tienda!$K4427-Tienda!$K4427*Tienda!$L4427</f>
        <v>122.80499999999999</v>
      </c>
      <c r="N1665" s="3" t="s">
        <v>10038</v>
      </c>
      <c r="O1665" s="3" t="s">
        <v>10041</v>
      </c>
      <c r="P1665" s="17">
        <v>45676</v>
      </c>
      <c r="Q1665" s="4">
        <v>0</v>
      </c>
    </row>
    <row r="1666" spans="1:17" x14ac:dyDescent="0.25">
      <c r="A1666" s="2" t="s">
        <v>2826</v>
      </c>
      <c r="B1666" s="3" t="s">
        <v>5015</v>
      </c>
      <c r="C1666" s="3">
        <v>25</v>
      </c>
      <c r="D1666" s="46" t="str">
        <f>IF(Tabla1[[#This Row],[EDAD]]&lt;=35,"Adultos jóvenes 18 - 35 años",IF(C1666&gt;=36,"Adultos mayores 36 años en adelante"))</f>
        <v>Adultos jóvenes 18 - 35 años</v>
      </c>
      <c r="E1666" s="3" t="s">
        <v>5020</v>
      </c>
      <c r="F1666" s="3" t="s">
        <v>5029</v>
      </c>
      <c r="G1666" s="3" t="s">
        <v>5037</v>
      </c>
      <c r="H1666" s="3" t="s">
        <v>7849</v>
      </c>
      <c r="I1666" s="17">
        <v>45686</v>
      </c>
      <c r="J1666" s="18">
        <f>YEAR(Tabla1[[#This Row],[FECHA DE COMPRA]])</f>
        <v>2025</v>
      </c>
      <c r="K1666" s="19">
        <v>124.05</v>
      </c>
      <c r="L1666" s="20">
        <v>0.1</v>
      </c>
      <c r="M1666" s="19">
        <f>Tienda!$K4429-Tienda!$K4429*Tienda!$L4429</f>
        <v>123.417</v>
      </c>
      <c r="N1666" s="3" t="s">
        <v>10038</v>
      </c>
      <c r="O1666" s="3" t="s">
        <v>10041</v>
      </c>
      <c r="P1666" s="17">
        <v>45686</v>
      </c>
      <c r="Q1666" s="4">
        <v>0</v>
      </c>
    </row>
    <row r="1667" spans="1:17" x14ac:dyDescent="0.25">
      <c r="A1667" s="2" t="s">
        <v>416</v>
      </c>
      <c r="B1667" s="3" t="s">
        <v>5015</v>
      </c>
      <c r="C1667" s="3">
        <v>25</v>
      </c>
      <c r="D1667" s="46" t="str">
        <f>IF(Tabla1[[#This Row],[EDAD]]&lt;=35,"Adultos jóvenes 18 - 35 años",IF(C1667&gt;=36,"Adultos mayores 36 años en adelante"))</f>
        <v>Adultos jóvenes 18 - 35 años</v>
      </c>
      <c r="E1667" s="3" t="s">
        <v>5023</v>
      </c>
      <c r="F1667" s="3" t="s">
        <v>5024</v>
      </c>
      <c r="G1667" s="3" t="s">
        <v>5031</v>
      </c>
      <c r="H1667" s="3" t="s">
        <v>5439</v>
      </c>
      <c r="I1667" s="17">
        <v>45688</v>
      </c>
      <c r="J1667" s="18">
        <f>YEAR(Tabla1[[#This Row],[FECHA DE COMPRA]])</f>
        <v>2025</v>
      </c>
      <c r="K1667" s="19">
        <v>154.85</v>
      </c>
      <c r="L1667" s="20">
        <v>0.3</v>
      </c>
      <c r="M1667" s="19">
        <f>Tienda!$K4435-Tienda!$K4435*Tienda!$L4435</f>
        <v>125.559</v>
      </c>
      <c r="N1667" s="3" t="s">
        <v>10038</v>
      </c>
      <c r="O1667" s="3" t="s">
        <v>10041</v>
      </c>
      <c r="P1667" s="17">
        <v>45688</v>
      </c>
      <c r="Q1667" s="4">
        <v>0</v>
      </c>
    </row>
    <row r="1668" spans="1:17" x14ac:dyDescent="0.25">
      <c r="A1668" s="2" t="s">
        <v>2977</v>
      </c>
      <c r="B1668" s="3" t="s">
        <v>5016</v>
      </c>
      <c r="C1668" s="3">
        <v>32</v>
      </c>
      <c r="D1668" s="46" t="str">
        <f>IF(Tabla1[[#This Row],[EDAD]]&lt;=35,"Adultos jóvenes 18 - 35 años",IF(C1668&gt;=36,"Adultos mayores 36 años en adelante"))</f>
        <v>Adultos jóvenes 18 - 35 años</v>
      </c>
      <c r="E1668" s="3" t="s">
        <v>5023</v>
      </c>
      <c r="F1668" s="3" t="s">
        <v>5028</v>
      </c>
      <c r="G1668" s="3" t="s">
        <v>5035</v>
      </c>
      <c r="H1668" s="3" t="s">
        <v>8000</v>
      </c>
      <c r="I1668" s="17">
        <v>45684</v>
      </c>
      <c r="J1668" s="18">
        <f>YEAR(Tabla1[[#This Row],[FECHA DE COMPRA]])</f>
        <v>2025</v>
      </c>
      <c r="K1668" s="19">
        <v>158.44999999999999</v>
      </c>
      <c r="L1668" s="20">
        <v>0.3</v>
      </c>
      <c r="M1668" s="19">
        <f>Tienda!$K4437-Tienda!$K4437*Tienda!$L4437</f>
        <v>125.968</v>
      </c>
      <c r="N1668" s="3" t="s">
        <v>10038</v>
      </c>
      <c r="O1668" s="3" t="s">
        <v>10041</v>
      </c>
      <c r="P1668" s="17">
        <v>45684</v>
      </c>
      <c r="Q1668" s="4">
        <v>0</v>
      </c>
    </row>
    <row r="1669" spans="1:17" x14ac:dyDescent="0.25">
      <c r="A1669" s="2" t="s">
        <v>3064</v>
      </c>
      <c r="B1669" s="3" t="s">
        <v>5015</v>
      </c>
      <c r="C1669" s="3">
        <v>19</v>
      </c>
      <c r="D1669" s="46" t="str">
        <f>IF(Tabla1[[#This Row],[EDAD]]&lt;=35,"Adultos jóvenes 18 - 35 años",IF(C1669&gt;=36,"Adultos mayores 36 años en adelante"))</f>
        <v>Adultos jóvenes 18 - 35 años</v>
      </c>
      <c r="E1669" s="3" t="s">
        <v>5022</v>
      </c>
      <c r="F1669" s="3" t="s">
        <v>5024</v>
      </c>
      <c r="G1669" s="3" t="s">
        <v>5037</v>
      </c>
      <c r="H1669" s="3" t="s">
        <v>8087</v>
      </c>
      <c r="I1669" s="17">
        <v>45676</v>
      </c>
      <c r="J1669" s="18">
        <f>YEAR(Tabla1[[#This Row],[FECHA DE COMPRA]])</f>
        <v>2025</v>
      </c>
      <c r="K1669" s="19">
        <v>174.94</v>
      </c>
      <c r="L1669" s="20">
        <v>0.1</v>
      </c>
      <c r="M1669" s="19">
        <f>Tienda!$K4440-Tienda!$K4440*Tienda!$L4440</f>
        <v>126.252</v>
      </c>
      <c r="N1669" s="3" t="s">
        <v>10038</v>
      </c>
      <c r="O1669" s="3" t="s">
        <v>10041</v>
      </c>
      <c r="P1669" s="17">
        <v>45676</v>
      </c>
      <c r="Q1669" s="4">
        <v>0</v>
      </c>
    </row>
    <row r="1670" spans="1:17" x14ac:dyDescent="0.25">
      <c r="A1670" s="2" t="s">
        <v>2200</v>
      </c>
      <c r="B1670" s="3" t="s">
        <v>5015</v>
      </c>
      <c r="C1670" s="3">
        <v>25</v>
      </c>
      <c r="D1670" s="46" t="str">
        <f>IF(Tabla1[[#This Row],[EDAD]]&lt;=35,"Adultos jóvenes 18 - 35 años",IF(C1670&gt;=36,"Adultos mayores 36 años en adelante"))</f>
        <v>Adultos jóvenes 18 - 35 años</v>
      </c>
      <c r="E1670" s="3" t="s">
        <v>5020</v>
      </c>
      <c r="F1670" s="3" t="s">
        <v>5029</v>
      </c>
      <c r="G1670" s="3" t="s">
        <v>5036</v>
      </c>
      <c r="H1670" s="3" t="s">
        <v>7223</v>
      </c>
      <c r="I1670" s="17">
        <v>45665</v>
      </c>
      <c r="J1670" s="18">
        <f>YEAR(Tabla1[[#This Row],[FECHA DE COMPRA]])</f>
        <v>2025</v>
      </c>
      <c r="K1670" s="19">
        <v>185.35</v>
      </c>
      <c r="L1670" s="20">
        <v>0.3</v>
      </c>
      <c r="M1670" s="19">
        <f>Tienda!$K4443-Tienda!$K4443*Tienda!$L4443</f>
        <v>127.33699999999999</v>
      </c>
      <c r="N1670" s="3" t="s">
        <v>10038</v>
      </c>
      <c r="O1670" s="3" t="s">
        <v>10041</v>
      </c>
      <c r="P1670" s="17">
        <v>45665</v>
      </c>
      <c r="Q1670" s="4">
        <v>0</v>
      </c>
    </row>
    <row r="1671" spans="1:17" x14ac:dyDescent="0.25">
      <c r="A1671" s="2" t="s">
        <v>746</v>
      </c>
      <c r="B1671" s="3" t="s">
        <v>5015</v>
      </c>
      <c r="C1671" s="3">
        <v>34</v>
      </c>
      <c r="D1671" s="46" t="str">
        <f>IF(Tabla1[[#This Row],[EDAD]]&lt;=35,"Adultos jóvenes 18 - 35 años",IF(C1671&gt;=36,"Adultos mayores 36 años en adelante"))</f>
        <v>Adultos jóvenes 18 - 35 años</v>
      </c>
      <c r="E1671" s="3" t="s">
        <v>5017</v>
      </c>
      <c r="F1671" s="3" t="s">
        <v>5030</v>
      </c>
      <c r="G1671" s="3" t="s">
        <v>5037</v>
      </c>
      <c r="H1671" s="3" t="s">
        <v>5769</v>
      </c>
      <c r="I1671" s="17">
        <v>45701</v>
      </c>
      <c r="J1671" s="18">
        <f>YEAR(Tabla1[[#This Row],[FECHA DE COMPRA]])</f>
        <v>2025</v>
      </c>
      <c r="K1671" s="19">
        <v>185.85</v>
      </c>
      <c r="L1671" s="20">
        <v>0.2</v>
      </c>
      <c r="M1671" s="19">
        <f>Tienda!$K4444-Tienda!$K4444*Tienda!$L4444</f>
        <v>127.89</v>
      </c>
      <c r="N1671" s="3" t="s">
        <v>10038</v>
      </c>
      <c r="O1671" s="3" t="s">
        <v>10041</v>
      </c>
      <c r="P1671" s="17">
        <v>45682</v>
      </c>
      <c r="Q1671" s="4">
        <v>0</v>
      </c>
    </row>
    <row r="1672" spans="1:17" x14ac:dyDescent="0.25">
      <c r="A1672" s="2" t="s">
        <v>394</v>
      </c>
      <c r="B1672" s="3" t="s">
        <v>5015</v>
      </c>
      <c r="C1672" s="3">
        <v>35</v>
      </c>
      <c r="D1672" s="46" t="str">
        <f>IF(Tabla1[[#This Row],[EDAD]]&lt;=35,"Adultos jóvenes 18 - 35 años",IF(C1672&gt;=36,"Adultos mayores 36 años en adelante"))</f>
        <v>Adultos jóvenes 18 - 35 años</v>
      </c>
      <c r="E1672" s="3" t="s">
        <v>5018</v>
      </c>
      <c r="F1672" s="3" t="s">
        <v>5024</v>
      </c>
      <c r="G1672" s="3" t="s">
        <v>5034</v>
      </c>
      <c r="H1672" s="3" t="s">
        <v>5417</v>
      </c>
      <c r="I1672" s="17">
        <v>45694</v>
      </c>
      <c r="J1672" s="18">
        <f>YEAR(Tabla1[[#This Row],[FECHA DE COMPRA]])</f>
        <v>2025</v>
      </c>
      <c r="K1672" s="19">
        <v>165.57</v>
      </c>
      <c r="L1672" s="20">
        <v>0</v>
      </c>
      <c r="M1672" s="19">
        <f>Tienda!$K4452-Tienda!$K4452*Tienda!$L4452</f>
        <v>131.04900000000001</v>
      </c>
      <c r="N1672" s="3" t="s">
        <v>10038</v>
      </c>
      <c r="O1672" s="3" t="s">
        <v>10041</v>
      </c>
      <c r="P1672" s="17">
        <v>45694</v>
      </c>
      <c r="Q1672" s="4">
        <v>0</v>
      </c>
    </row>
    <row r="1673" spans="1:17" x14ac:dyDescent="0.25">
      <c r="A1673" s="2" t="s">
        <v>3496</v>
      </c>
      <c r="B1673" s="3" t="s">
        <v>5015</v>
      </c>
      <c r="C1673" s="3">
        <v>30</v>
      </c>
      <c r="D1673" s="46" t="str">
        <f>IF(Tabla1[[#This Row],[EDAD]]&lt;=35,"Adultos jóvenes 18 - 35 años",IF(C1673&gt;=36,"Adultos mayores 36 años en adelante"))</f>
        <v>Adultos jóvenes 18 - 35 años</v>
      </c>
      <c r="E1673" s="3" t="s">
        <v>5021</v>
      </c>
      <c r="F1673" s="3" t="s">
        <v>5028</v>
      </c>
      <c r="G1673" s="3" t="s">
        <v>5033</v>
      </c>
      <c r="H1673" s="3" t="s">
        <v>8519</v>
      </c>
      <c r="I1673" s="17">
        <v>45699</v>
      </c>
      <c r="J1673" s="18">
        <f>YEAR(Tabla1[[#This Row],[FECHA DE COMPRA]])</f>
        <v>2025</v>
      </c>
      <c r="K1673" s="19">
        <v>55.77</v>
      </c>
      <c r="L1673" s="20">
        <v>0.1</v>
      </c>
      <c r="M1673" s="19">
        <f>Tienda!$K4460-Tienda!$K4460*Tienda!$L4460</f>
        <v>134.078</v>
      </c>
      <c r="N1673" s="3" t="s">
        <v>10038</v>
      </c>
      <c r="O1673" s="3" t="s">
        <v>10041</v>
      </c>
      <c r="P1673" s="17">
        <v>45699</v>
      </c>
      <c r="Q1673" s="4">
        <v>0</v>
      </c>
    </row>
    <row r="1674" spans="1:17" x14ac:dyDescent="0.25">
      <c r="A1674" s="2" t="s">
        <v>509</v>
      </c>
      <c r="B1674" s="3" t="s">
        <v>5015</v>
      </c>
      <c r="C1674" s="3">
        <v>35</v>
      </c>
      <c r="D1674" s="46" t="str">
        <f>IF(Tabla1[[#This Row],[EDAD]]&lt;=35,"Adultos jóvenes 18 - 35 años",IF(C1674&gt;=36,"Adultos mayores 36 años en adelante"))</f>
        <v>Adultos jóvenes 18 - 35 años</v>
      </c>
      <c r="E1674" s="3" t="s">
        <v>5018</v>
      </c>
      <c r="F1674" s="3" t="s">
        <v>5030</v>
      </c>
      <c r="G1674" s="3" t="s">
        <v>5032</v>
      </c>
      <c r="H1674" s="3" t="s">
        <v>5532</v>
      </c>
      <c r="I1674" s="17">
        <v>45699</v>
      </c>
      <c r="J1674" s="18">
        <f>YEAR(Tabla1[[#This Row],[FECHA DE COMPRA]])</f>
        <v>2025</v>
      </c>
      <c r="K1674" s="19">
        <v>182.3</v>
      </c>
      <c r="L1674" s="20">
        <v>0.2</v>
      </c>
      <c r="M1674" s="19">
        <f>Tienda!$K4461-Tienda!$K4461*Tienda!$L4461</f>
        <v>134.24</v>
      </c>
      <c r="N1674" s="3" t="s">
        <v>10038</v>
      </c>
      <c r="O1674" s="3" t="s">
        <v>10041</v>
      </c>
      <c r="P1674" s="17">
        <v>45699</v>
      </c>
      <c r="Q1674" s="4">
        <v>0</v>
      </c>
    </row>
    <row r="1675" spans="1:17" x14ac:dyDescent="0.25">
      <c r="A1675" s="2" t="s">
        <v>1642</v>
      </c>
      <c r="B1675" s="3" t="s">
        <v>5016</v>
      </c>
      <c r="C1675" s="3">
        <v>19</v>
      </c>
      <c r="D1675" s="46" t="str">
        <f>IF(Tabla1[[#This Row],[EDAD]]&lt;=35,"Adultos jóvenes 18 - 35 años",IF(C1675&gt;=36,"Adultos mayores 36 años en adelante"))</f>
        <v>Adultos jóvenes 18 - 35 años</v>
      </c>
      <c r="E1675" s="3" t="s">
        <v>5017</v>
      </c>
      <c r="F1675" s="3" t="s">
        <v>5029</v>
      </c>
      <c r="G1675" s="3" t="s">
        <v>5032</v>
      </c>
      <c r="H1675" s="3" t="s">
        <v>6665</v>
      </c>
      <c r="I1675" s="17">
        <v>45700</v>
      </c>
      <c r="J1675" s="18">
        <f>YEAR(Tabla1[[#This Row],[FECHA DE COMPRA]])</f>
        <v>2025</v>
      </c>
      <c r="K1675" s="19">
        <v>61.86</v>
      </c>
      <c r="L1675" s="20">
        <v>0.1</v>
      </c>
      <c r="M1675" s="19">
        <f>Tienda!$K4462-Tienda!$K4462*Tienda!$L4462</f>
        <v>134.34399999999999</v>
      </c>
      <c r="N1675" s="3" t="s">
        <v>10038</v>
      </c>
      <c r="O1675" s="3" t="s">
        <v>10041</v>
      </c>
      <c r="P1675" s="17">
        <v>45700</v>
      </c>
      <c r="Q1675" s="4">
        <v>0</v>
      </c>
    </row>
    <row r="1676" spans="1:17" x14ac:dyDescent="0.25">
      <c r="A1676" s="2" t="s">
        <v>1468</v>
      </c>
      <c r="B1676" s="3" t="s">
        <v>5016</v>
      </c>
      <c r="C1676" s="3">
        <v>33</v>
      </c>
      <c r="D1676" s="46" t="str">
        <f>IF(Tabla1[[#This Row],[EDAD]]&lt;=35,"Adultos jóvenes 18 - 35 años",IF(C1676&gt;=36,"Adultos mayores 36 años en adelante"))</f>
        <v>Adultos jóvenes 18 - 35 años</v>
      </c>
      <c r="E1676" s="3" t="s">
        <v>5021</v>
      </c>
      <c r="F1676" s="3" t="s">
        <v>5024</v>
      </c>
      <c r="G1676" s="3" t="s">
        <v>5036</v>
      </c>
      <c r="H1676" s="3" t="s">
        <v>6491</v>
      </c>
      <c r="I1676" s="17">
        <v>45700</v>
      </c>
      <c r="J1676" s="18">
        <f>YEAR(Tabla1[[#This Row],[FECHA DE COMPRA]])</f>
        <v>2025</v>
      </c>
      <c r="K1676" s="19">
        <v>142.46</v>
      </c>
      <c r="L1676" s="20">
        <v>0.3</v>
      </c>
      <c r="M1676" s="19">
        <f>Tienda!$K4463-Tienda!$K4463*Tienda!$L4463</f>
        <v>134.84100000000001</v>
      </c>
      <c r="N1676" s="3" t="s">
        <v>10038</v>
      </c>
      <c r="O1676" s="3" t="s">
        <v>10041</v>
      </c>
      <c r="P1676" s="17">
        <v>45700</v>
      </c>
      <c r="Q1676" s="4">
        <v>0</v>
      </c>
    </row>
    <row r="1677" spans="1:17" x14ac:dyDescent="0.25">
      <c r="A1677" s="2" t="s">
        <v>1386</v>
      </c>
      <c r="B1677" s="3" t="s">
        <v>5015</v>
      </c>
      <c r="C1677" s="3">
        <v>19</v>
      </c>
      <c r="D1677" s="46" t="str">
        <f>IF(Tabla1[[#This Row],[EDAD]]&lt;=35,"Adultos jóvenes 18 - 35 años",IF(C1677&gt;=36,"Adultos mayores 36 años en adelante"))</f>
        <v>Adultos jóvenes 18 - 35 años</v>
      </c>
      <c r="E1677" s="3" t="s">
        <v>5023</v>
      </c>
      <c r="F1677" s="3" t="s">
        <v>5030</v>
      </c>
      <c r="G1677" s="3" t="s">
        <v>5036</v>
      </c>
      <c r="H1677" s="3" t="s">
        <v>6409</v>
      </c>
      <c r="I1677" s="17">
        <v>45702</v>
      </c>
      <c r="J1677" s="18">
        <f>YEAR(Tabla1[[#This Row],[FECHA DE COMPRA]])</f>
        <v>2025</v>
      </c>
      <c r="K1677" s="19">
        <v>166.1</v>
      </c>
      <c r="L1677" s="20">
        <v>0.2</v>
      </c>
      <c r="M1677" s="19">
        <f>Tienda!$K4466-Tienda!$K4466*Tienda!$L4466</f>
        <v>135.45599999999999</v>
      </c>
      <c r="N1677" s="3" t="s">
        <v>10038</v>
      </c>
      <c r="O1677" s="3" t="s">
        <v>10041</v>
      </c>
      <c r="P1677" s="17">
        <v>45702</v>
      </c>
      <c r="Q1677" s="4">
        <v>0</v>
      </c>
    </row>
    <row r="1678" spans="1:17" x14ac:dyDescent="0.25">
      <c r="A1678" s="2" t="s">
        <v>796</v>
      </c>
      <c r="B1678" s="3" t="s">
        <v>5016</v>
      </c>
      <c r="C1678" s="3">
        <v>26</v>
      </c>
      <c r="D1678" s="46" t="str">
        <f>IF(Tabla1[[#This Row],[EDAD]]&lt;=35,"Adultos jóvenes 18 - 35 años",IF(C1678&gt;=36,"Adultos mayores 36 años en adelante"))</f>
        <v>Adultos jóvenes 18 - 35 años</v>
      </c>
      <c r="E1678" s="3" t="s">
        <v>5021</v>
      </c>
      <c r="F1678" s="3" t="s">
        <v>5029</v>
      </c>
      <c r="G1678" s="3" t="s">
        <v>5034</v>
      </c>
      <c r="H1678" s="3" t="s">
        <v>5819</v>
      </c>
      <c r="I1678" s="17">
        <v>45704</v>
      </c>
      <c r="J1678" s="18">
        <f>YEAR(Tabla1[[#This Row],[FECHA DE COMPRA]])</f>
        <v>2025</v>
      </c>
      <c r="K1678" s="19">
        <v>138.33000000000001</v>
      </c>
      <c r="L1678" s="20">
        <v>0</v>
      </c>
      <c r="M1678" s="19">
        <f>Tienda!$K4469-Tienda!$K4469*Tienda!$L4469</f>
        <v>135.93</v>
      </c>
      <c r="N1678" s="3" t="s">
        <v>10038</v>
      </c>
      <c r="O1678" s="3" t="s">
        <v>10041</v>
      </c>
      <c r="P1678" s="17">
        <v>45704</v>
      </c>
      <c r="Q1678" s="4">
        <v>0</v>
      </c>
    </row>
    <row r="1679" spans="1:17" x14ac:dyDescent="0.25">
      <c r="A1679" s="2" t="s">
        <v>3635</v>
      </c>
      <c r="B1679" s="3" t="s">
        <v>5015</v>
      </c>
      <c r="C1679" s="3">
        <v>29</v>
      </c>
      <c r="D1679" s="46" t="str">
        <f>IF(Tabla1[[#This Row],[EDAD]]&lt;=35,"Adultos jóvenes 18 - 35 años",IF(C1679&gt;=36,"Adultos mayores 36 años en adelante"))</f>
        <v>Adultos jóvenes 18 - 35 años</v>
      </c>
      <c r="E1679" s="3" t="s">
        <v>5020</v>
      </c>
      <c r="F1679" s="3" t="s">
        <v>5029</v>
      </c>
      <c r="G1679" s="3" t="s">
        <v>5034</v>
      </c>
      <c r="H1679" s="3" t="s">
        <v>8658</v>
      </c>
      <c r="I1679" s="17">
        <v>45707</v>
      </c>
      <c r="J1679" s="18">
        <f>YEAR(Tabla1[[#This Row],[FECHA DE COMPRA]])</f>
        <v>2025</v>
      </c>
      <c r="K1679" s="19">
        <v>20.51</v>
      </c>
      <c r="L1679" s="20">
        <v>0.1</v>
      </c>
      <c r="M1679" s="19">
        <f>Tienda!$K4473-Tienda!$K4473*Tienda!$L4473</f>
        <v>138.523</v>
      </c>
      <c r="N1679" s="3" t="s">
        <v>10038</v>
      </c>
      <c r="O1679" s="3" t="s">
        <v>10041</v>
      </c>
      <c r="P1679" s="17">
        <v>45707</v>
      </c>
      <c r="Q1679" s="4">
        <v>0</v>
      </c>
    </row>
    <row r="1680" spans="1:17" x14ac:dyDescent="0.25">
      <c r="A1680" s="2" t="s">
        <v>493</v>
      </c>
      <c r="B1680" s="3" t="s">
        <v>5016</v>
      </c>
      <c r="C1680" s="3">
        <v>19</v>
      </c>
      <c r="D1680" s="46" t="str">
        <f>IF(Tabla1[[#This Row],[EDAD]]&lt;=35,"Adultos jóvenes 18 - 35 años",IF(C1680&gt;=36,"Adultos mayores 36 años en adelante"))</f>
        <v>Adultos jóvenes 18 - 35 años</v>
      </c>
      <c r="E1680" s="3" t="s">
        <v>5021</v>
      </c>
      <c r="F1680" s="3" t="s">
        <v>5026</v>
      </c>
      <c r="G1680" s="3" t="s">
        <v>5031</v>
      </c>
      <c r="H1680" s="3" t="s">
        <v>5516</v>
      </c>
      <c r="I1680" s="17">
        <v>45707</v>
      </c>
      <c r="J1680" s="18">
        <f>YEAR(Tabla1[[#This Row],[FECHA DE COMPRA]])</f>
        <v>2025</v>
      </c>
      <c r="K1680" s="19">
        <v>25.81</v>
      </c>
      <c r="L1680" s="20">
        <v>0.1</v>
      </c>
      <c r="M1680" s="19">
        <f>Tienda!$K4474-Tienda!$K4474*Tienda!$L4474</f>
        <v>138.976</v>
      </c>
      <c r="N1680" s="3" t="s">
        <v>10038</v>
      </c>
      <c r="O1680" s="3" t="s">
        <v>10041</v>
      </c>
      <c r="P1680" s="17">
        <v>45707</v>
      </c>
      <c r="Q1680" s="4">
        <v>0</v>
      </c>
    </row>
    <row r="1681" spans="1:17" x14ac:dyDescent="0.25">
      <c r="A1681" s="2" t="s">
        <v>3351</v>
      </c>
      <c r="B1681" s="3" t="s">
        <v>5015</v>
      </c>
      <c r="C1681" s="3">
        <v>23</v>
      </c>
      <c r="D1681" s="46" t="str">
        <f>IF(Tabla1[[#This Row],[EDAD]]&lt;=35,"Adultos jóvenes 18 - 35 años",IF(C1681&gt;=36,"Adultos mayores 36 años en adelante"))</f>
        <v>Adultos jóvenes 18 - 35 años</v>
      </c>
      <c r="E1681" s="3" t="s">
        <v>5022</v>
      </c>
      <c r="F1681" s="3" t="s">
        <v>5028</v>
      </c>
      <c r="G1681" s="3" t="s">
        <v>5035</v>
      </c>
      <c r="H1681" s="3" t="s">
        <v>8374</v>
      </c>
      <c r="I1681" s="17">
        <v>45709</v>
      </c>
      <c r="J1681" s="18">
        <f>YEAR(Tabla1[[#This Row],[FECHA DE COMPRA]])</f>
        <v>2025</v>
      </c>
      <c r="K1681" s="19">
        <v>75.06</v>
      </c>
      <c r="L1681" s="20">
        <v>0</v>
      </c>
      <c r="M1681" s="19">
        <f>Tienda!$K4480-Tienda!$K4480*Tienda!$L4480</f>
        <v>139.79700000000003</v>
      </c>
      <c r="N1681" s="3" t="s">
        <v>10038</v>
      </c>
      <c r="O1681" s="3" t="s">
        <v>10041</v>
      </c>
      <c r="P1681" s="17">
        <v>45709</v>
      </c>
      <c r="Q1681" s="4">
        <v>0</v>
      </c>
    </row>
    <row r="1682" spans="1:17" x14ac:dyDescent="0.25">
      <c r="A1682" s="2" t="s">
        <v>4768</v>
      </c>
      <c r="B1682" s="3" t="s">
        <v>5016</v>
      </c>
      <c r="C1682" s="3">
        <v>19</v>
      </c>
      <c r="D1682" s="46" t="str">
        <f>IF(Tabla1[[#This Row],[EDAD]]&lt;=35,"Adultos jóvenes 18 - 35 años",IF(C1682&gt;=36,"Adultos mayores 36 años en adelante"))</f>
        <v>Adultos jóvenes 18 - 35 años</v>
      </c>
      <c r="E1682" s="3" t="s">
        <v>5017</v>
      </c>
      <c r="F1682" s="3" t="s">
        <v>5027</v>
      </c>
      <c r="G1682" s="3" t="s">
        <v>5034</v>
      </c>
      <c r="H1682" s="3" t="s">
        <v>9791</v>
      </c>
      <c r="I1682" s="17">
        <v>45709</v>
      </c>
      <c r="J1682" s="18">
        <f>YEAR(Tabla1[[#This Row],[FECHA DE COMPRA]])</f>
        <v>2025</v>
      </c>
      <c r="K1682" s="19">
        <v>168.68</v>
      </c>
      <c r="L1682" s="20">
        <v>0.1</v>
      </c>
      <c r="M1682" s="19">
        <f>Tienda!$K4481-Tienda!$K4481*Tienda!$L4481</f>
        <v>139.88800000000001</v>
      </c>
      <c r="N1682" s="3" t="s">
        <v>10038</v>
      </c>
      <c r="O1682" s="3" t="s">
        <v>10041</v>
      </c>
      <c r="P1682" s="17">
        <v>45709</v>
      </c>
      <c r="Q1682" s="4">
        <v>0</v>
      </c>
    </row>
    <row r="1683" spans="1:17" x14ac:dyDescent="0.25">
      <c r="A1683" s="2" t="s">
        <v>4518</v>
      </c>
      <c r="B1683" s="3" t="s">
        <v>5015</v>
      </c>
      <c r="C1683" s="3">
        <v>31</v>
      </c>
      <c r="D1683" s="46" t="str">
        <f>IF(Tabla1[[#This Row],[EDAD]]&lt;=35,"Adultos jóvenes 18 - 35 años",IF(C1683&gt;=36,"Adultos mayores 36 años en adelante"))</f>
        <v>Adultos jóvenes 18 - 35 años</v>
      </c>
      <c r="E1683" s="3" t="s">
        <v>5020</v>
      </c>
      <c r="F1683" s="3" t="s">
        <v>5024</v>
      </c>
      <c r="G1683" s="3" t="s">
        <v>5034</v>
      </c>
      <c r="H1683" s="3" t="s">
        <v>9541</v>
      </c>
      <c r="I1683" s="17">
        <v>45713</v>
      </c>
      <c r="J1683" s="18">
        <f>YEAR(Tabla1[[#This Row],[FECHA DE COMPRA]])</f>
        <v>2025</v>
      </c>
      <c r="K1683" s="19">
        <v>114.5</v>
      </c>
      <c r="L1683" s="20">
        <v>0</v>
      </c>
      <c r="M1683" s="19">
        <f>Tienda!$K4484-Tienda!$K4484*Tienda!$L4484</f>
        <v>142.38999999999999</v>
      </c>
      <c r="N1683" s="3" t="s">
        <v>10038</v>
      </c>
      <c r="O1683" s="3" t="s">
        <v>10041</v>
      </c>
      <c r="P1683" s="17">
        <v>45713</v>
      </c>
      <c r="Q1683" s="4">
        <v>0</v>
      </c>
    </row>
    <row r="1684" spans="1:17" x14ac:dyDescent="0.25">
      <c r="A1684" s="2" t="s">
        <v>4340</v>
      </c>
      <c r="B1684" s="3" t="s">
        <v>5016</v>
      </c>
      <c r="C1684" s="3">
        <v>31</v>
      </c>
      <c r="D1684" s="46" t="str">
        <f>IF(Tabla1[[#This Row],[EDAD]]&lt;=35,"Adultos jóvenes 18 - 35 años",IF(C1684&gt;=36,"Adultos mayores 36 años en adelante"))</f>
        <v>Adultos jóvenes 18 - 35 años</v>
      </c>
      <c r="E1684" s="3" t="s">
        <v>5021</v>
      </c>
      <c r="F1684" s="3" t="s">
        <v>5030</v>
      </c>
      <c r="G1684" s="3" t="s">
        <v>5035</v>
      </c>
      <c r="H1684" s="3" t="s">
        <v>9363</v>
      </c>
      <c r="I1684" s="17">
        <v>45739</v>
      </c>
      <c r="J1684" s="18">
        <f>YEAR(Tabla1[[#This Row],[FECHA DE COMPRA]])</f>
        <v>2025</v>
      </c>
      <c r="K1684" s="19">
        <v>17.05</v>
      </c>
      <c r="L1684" s="20">
        <v>0</v>
      </c>
      <c r="M1684" s="19">
        <f>Tienda!$K4490-Tienda!$K4490*Tienda!$L4490</f>
        <v>145.15199999999999</v>
      </c>
      <c r="N1684" s="3" t="s">
        <v>10038</v>
      </c>
      <c r="O1684" s="3" t="s">
        <v>10041</v>
      </c>
      <c r="P1684" s="17">
        <v>45739</v>
      </c>
      <c r="Q1684" s="4">
        <v>0</v>
      </c>
    </row>
    <row r="1685" spans="1:17" x14ac:dyDescent="0.25">
      <c r="A1685" s="2" t="s">
        <v>4977</v>
      </c>
      <c r="B1685" s="3" t="s">
        <v>5015</v>
      </c>
      <c r="C1685" s="3">
        <v>30</v>
      </c>
      <c r="D1685" s="46" t="str">
        <f>IF(Tabla1[[#This Row],[EDAD]]&lt;=35,"Adultos jóvenes 18 - 35 años",IF(C1685&gt;=36,"Adultos mayores 36 años en adelante"))</f>
        <v>Adultos jóvenes 18 - 35 años</v>
      </c>
      <c r="E1685" s="3" t="s">
        <v>5018</v>
      </c>
      <c r="F1685" s="3" t="s">
        <v>5026</v>
      </c>
      <c r="G1685" s="3" t="s">
        <v>5034</v>
      </c>
      <c r="H1685" s="3" t="s">
        <v>10000</v>
      </c>
      <c r="I1685" s="17">
        <v>45730</v>
      </c>
      <c r="J1685" s="18">
        <f>YEAR(Tabla1[[#This Row],[FECHA DE COMPRA]])</f>
        <v>2025</v>
      </c>
      <c r="K1685" s="19">
        <v>19.149999999999999</v>
      </c>
      <c r="L1685" s="20">
        <v>0</v>
      </c>
      <c r="M1685" s="19">
        <f>Tienda!$K4491-Tienda!$K4491*Tienda!$L4491</f>
        <v>145.85</v>
      </c>
      <c r="N1685" s="3" t="s">
        <v>10038</v>
      </c>
      <c r="O1685" s="3" t="s">
        <v>10041</v>
      </c>
      <c r="P1685" s="17">
        <v>45730</v>
      </c>
      <c r="Q1685" s="4">
        <v>0</v>
      </c>
    </row>
    <row r="1686" spans="1:17" x14ac:dyDescent="0.25">
      <c r="A1686" s="2" t="s">
        <v>3202</v>
      </c>
      <c r="B1686" s="3" t="s">
        <v>5016</v>
      </c>
      <c r="C1686" s="3">
        <v>29</v>
      </c>
      <c r="D1686" s="46" t="str">
        <f>IF(Tabla1[[#This Row],[EDAD]]&lt;=35,"Adultos jóvenes 18 - 35 años",IF(C1686&gt;=36,"Adultos mayores 36 años en adelante"))</f>
        <v>Adultos jóvenes 18 - 35 años</v>
      </c>
      <c r="E1686" s="3" t="s">
        <v>5021</v>
      </c>
      <c r="F1686" s="3" t="s">
        <v>5029</v>
      </c>
      <c r="G1686" s="3" t="s">
        <v>5031</v>
      </c>
      <c r="H1686" s="3" t="s">
        <v>8225</v>
      </c>
      <c r="I1686" s="17">
        <v>45746</v>
      </c>
      <c r="J1686" s="18">
        <f>YEAR(Tabla1[[#This Row],[FECHA DE COMPRA]])</f>
        <v>2025</v>
      </c>
      <c r="K1686" s="19">
        <v>38.840000000000003</v>
      </c>
      <c r="L1686" s="20">
        <v>0.1</v>
      </c>
      <c r="M1686" s="19">
        <f>Tienda!$K4497-Tienda!$K4497*Tienda!$L4497</f>
        <v>147.77600000000001</v>
      </c>
      <c r="N1686" s="3" t="s">
        <v>10038</v>
      </c>
      <c r="O1686" s="3" t="s">
        <v>10041</v>
      </c>
      <c r="P1686" s="17">
        <v>45746</v>
      </c>
      <c r="Q1686" s="4">
        <v>0</v>
      </c>
    </row>
    <row r="1687" spans="1:17" x14ac:dyDescent="0.25">
      <c r="A1687" s="2" t="s">
        <v>4822</v>
      </c>
      <c r="B1687" s="3" t="s">
        <v>5016</v>
      </c>
      <c r="C1687" s="3">
        <v>35</v>
      </c>
      <c r="D1687" s="46" t="str">
        <f>IF(Tabla1[[#This Row],[EDAD]]&lt;=35,"Adultos jóvenes 18 - 35 años",IF(C1687&gt;=36,"Adultos mayores 36 años en adelante"))</f>
        <v>Adultos jóvenes 18 - 35 años</v>
      </c>
      <c r="E1687" s="3" t="s">
        <v>5017</v>
      </c>
      <c r="F1687" s="3" t="s">
        <v>5028</v>
      </c>
      <c r="G1687" s="3" t="s">
        <v>5035</v>
      </c>
      <c r="H1687" s="3" t="s">
        <v>9845</v>
      </c>
      <c r="I1687" s="17">
        <v>45718</v>
      </c>
      <c r="J1687" s="18">
        <f>YEAR(Tabla1[[#This Row],[FECHA DE COMPRA]])</f>
        <v>2025</v>
      </c>
      <c r="K1687" s="19">
        <v>52.99</v>
      </c>
      <c r="L1687" s="20">
        <v>0.3</v>
      </c>
      <c r="M1687" s="19">
        <f>Tienda!$K4499-Tienda!$K4499*Tienda!$L4499</f>
        <v>148.40099999999998</v>
      </c>
      <c r="N1687" s="3" t="s">
        <v>10038</v>
      </c>
      <c r="O1687" s="3" t="s">
        <v>10041</v>
      </c>
      <c r="P1687" s="17">
        <v>45718</v>
      </c>
      <c r="Q1687" s="4">
        <v>0</v>
      </c>
    </row>
    <row r="1688" spans="1:17" x14ac:dyDescent="0.25">
      <c r="A1688" s="2" t="s">
        <v>3092</v>
      </c>
      <c r="B1688" s="3" t="s">
        <v>5015</v>
      </c>
      <c r="C1688" s="3">
        <v>20</v>
      </c>
      <c r="D1688" s="46" t="str">
        <f>IF(Tabla1[[#This Row],[EDAD]]&lt;=35,"Adultos jóvenes 18 - 35 años",IF(C1688&gt;=36,"Adultos mayores 36 años en adelante"))</f>
        <v>Adultos jóvenes 18 - 35 años</v>
      </c>
      <c r="E1688" s="3" t="s">
        <v>5018</v>
      </c>
      <c r="F1688" s="3" t="s">
        <v>5027</v>
      </c>
      <c r="G1688" s="3" t="s">
        <v>5031</v>
      </c>
      <c r="H1688" s="3" t="s">
        <v>8115</v>
      </c>
      <c r="I1688" s="17">
        <v>45741</v>
      </c>
      <c r="J1688" s="18">
        <f>YEAR(Tabla1[[#This Row],[FECHA DE COMPRA]])</f>
        <v>2025</v>
      </c>
      <c r="K1688" s="19">
        <v>55.14</v>
      </c>
      <c r="L1688" s="20">
        <v>0.3</v>
      </c>
      <c r="M1688" s="19">
        <f>Tienda!$K4501-Tienda!$K4501*Tienda!$L4501</f>
        <v>149.4</v>
      </c>
      <c r="N1688" s="3" t="s">
        <v>10038</v>
      </c>
      <c r="O1688" s="3" t="s">
        <v>10041</v>
      </c>
      <c r="P1688" s="17">
        <v>45741</v>
      </c>
      <c r="Q1688" s="4">
        <v>0</v>
      </c>
    </row>
    <row r="1689" spans="1:17" x14ac:dyDescent="0.25">
      <c r="A1689" s="2" t="s">
        <v>4028</v>
      </c>
      <c r="B1689" s="3" t="s">
        <v>5016</v>
      </c>
      <c r="C1689" s="3">
        <v>34</v>
      </c>
      <c r="D1689" s="46" t="str">
        <f>IF(Tabla1[[#This Row],[EDAD]]&lt;=35,"Adultos jóvenes 18 - 35 años",IF(C1689&gt;=36,"Adultos mayores 36 años en adelante"))</f>
        <v>Adultos jóvenes 18 - 35 años</v>
      </c>
      <c r="E1689" s="3" t="s">
        <v>5019</v>
      </c>
      <c r="F1689" s="3" t="s">
        <v>5029</v>
      </c>
      <c r="G1689" s="3" t="s">
        <v>5031</v>
      </c>
      <c r="H1689" s="3" t="s">
        <v>9051</v>
      </c>
      <c r="I1689" s="17">
        <v>45747</v>
      </c>
      <c r="J1689" s="18">
        <f>YEAR(Tabla1[[#This Row],[FECHA DE COMPRA]])</f>
        <v>2025</v>
      </c>
      <c r="K1689" s="19">
        <v>70.84</v>
      </c>
      <c r="L1689" s="20">
        <v>0.2</v>
      </c>
      <c r="M1689" s="19">
        <f>Tienda!$K4505-Tienda!$K4505*Tienda!$L4505</f>
        <v>152.43199999999999</v>
      </c>
      <c r="N1689" s="3" t="s">
        <v>10038</v>
      </c>
      <c r="O1689" s="3" t="s">
        <v>10041</v>
      </c>
      <c r="P1689" s="17">
        <v>45747</v>
      </c>
      <c r="Q1689" s="4">
        <v>0</v>
      </c>
    </row>
    <row r="1690" spans="1:17" x14ac:dyDescent="0.25">
      <c r="A1690" s="2" t="s">
        <v>2927</v>
      </c>
      <c r="B1690" s="3" t="s">
        <v>5015</v>
      </c>
      <c r="C1690" s="3">
        <v>33</v>
      </c>
      <c r="D1690" s="46" t="str">
        <f>IF(Tabla1[[#This Row],[EDAD]]&lt;=35,"Adultos jóvenes 18 - 35 años",IF(C1690&gt;=36,"Adultos mayores 36 años en adelante"))</f>
        <v>Adultos jóvenes 18 - 35 años</v>
      </c>
      <c r="E1690" s="3" t="s">
        <v>5018</v>
      </c>
      <c r="F1690" s="3" t="s">
        <v>5030</v>
      </c>
      <c r="G1690" s="3" t="s">
        <v>5031</v>
      </c>
      <c r="H1690" s="3" t="s">
        <v>7950</v>
      </c>
      <c r="I1690" s="17">
        <v>45747</v>
      </c>
      <c r="J1690" s="18">
        <f>YEAR(Tabla1[[#This Row],[FECHA DE COMPRA]])</f>
        <v>2025</v>
      </c>
      <c r="K1690" s="19">
        <v>80.83</v>
      </c>
      <c r="L1690" s="20">
        <v>0.2</v>
      </c>
      <c r="M1690" s="19">
        <f>Tienda!$K4506-Tienda!$K4506*Tienda!$L4506</f>
        <v>152.75700000000001</v>
      </c>
      <c r="N1690" s="3" t="s">
        <v>10038</v>
      </c>
      <c r="O1690" s="3" t="s">
        <v>10041</v>
      </c>
      <c r="P1690" s="17">
        <v>45747</v>
      </c>
      <c r="Q1690" s="4">
        <v>0</v>
      </c>
    </row>
    <row r="1691" spans="1:17" x14ac:dyDescent="0.25">
      <c r="A1691" s="2" t="s">
        <v>1981</v>
      </c>
      <c r="B1691" s="3" t="s">
        <v>5015</v>
      </c>
      <c r="C1691" s="3">
        <v>28</v>
      </c>
      <c r="D1691" s="46" t="str">
        <f>IF(Tabla1[[#This Row],[EDAD]]&lt;=35,"Adultos jóvenes 18 - 35 años",IF(C1691&gt;=36,"Adultos mayores 36 años en adelante"))</f>
        <v>Adultos jóvenes 18 - 35 años</v>
      </c>
      <c r="E1691" s="3" t="s">
        <v>5022</v>
      </c>
      <c r="F1691" s="3" t="s">
        <v>5028</v>
      </c>
      <c r="G1691" s="3" t="s">
        <v>5031</v>
      </c>
      <c r="H1691" s="3" t="s">
        <v>7004</v>
      </c>
      <c r="I1691" s="17">
        <v>45731</v>
      </c>
      <c r="J1691" s="18">
        <f>YEAR(Tabla1[[#This Row],[FECHA DE COMPRA]])</f>
        <v>2025</v>
      </c>
      <c r="K1691" s="19">
        <v>95.48</v>
      </c>
      <c r="L1691" s="20">
        <v>0</v>
      </c>
      <c r="M1691" s="19">
        <f>Tienda!$K4508-Tienda!$K4508*Tienda!$L4508</f>
        <v>153.328</v>
      </c>
      <c r="N1691" s="3" t="s">
        <v>10038</v>
      </c>
      <c r="O1691" s="3" t="s">
        <v>10041</v>
      </c>
      <c r="P1691" s="17">
        <v>45731</v>
      </c>
      <c r="Q1691" s="4">
        <v>0</v>
      </c>
    </row>
    <row r="1692" spans="1:17" x14ac:dyDescent="0.25">
      <c r="A1692" s="2" t="s">
        <v>4668</v>
      </c>
      <c r="B1692" s="3" t="s">
        <v>5015</v>
      </c>
      <c r="C1692" s="3">
        <v>29</v>
      </c>
      <c r="D1692" s="46" t="str">
        <f>IF(Tabla1[[#This Row],[EDAD]]&lt;=35,"Adultos jóvenes 18 - 35 años",IF(C1692&gt;=36,"Adultos mayores 36 años en adelante"))</f>
        <v>Adultos jóvenes 18 - 35 años</v>
      </c>
      <c r="E1692" s="3" t="s">
        <v>5017</v>
      </c>
      <c r="F1692" s="3" t="s">
        <v>5028</v>
      </c>
      <c r="G1692" s="3" t="s">
        <v>5035</v>
      </c>
      <c r="H1692" s="3" t="s">
        <v>9691</v>
      </c>
      <c r="I1692" s="17">
        <v>45724</v>
      </c>
      <c r="J1692" s="18">
        <f>YEAR(Tabla1[[#This Row],[FECHA DE COMPRA]])</f>
        <v>2025</v>
      </c>
      <c r="K1692" s="19">
        <v>111.76</v>
      </c>
      <c r="L1692" s="20">
        <v>0.1</v>
      </c>
      <c r="M1692" s="19">
        <f>Tienda!$K4513-Tienda!$K4513*Tienda!$L4513</f>
        <v>154.62</v>
      </c>
      <c r="N1692" s="3" t="s">
        <v>10038</v>
      </c>
      <c r="O1692" s="3" t="s">
        <v>10041</v>
      </c>
      <c r="P1692" s="17">
        <v>45724</v>
      </c>
      <c r="Q1692" s="4">
        <v>0</v>
      </c>
    </row>
    <row r="1693" spans="1:17" x14ac:dyDescent="0.25">
      <c r="A1693" s="2" t="s">
        <v>2449</v>
      </c>
      <c r="B1693" s="3" t="s">
        <v>5015</v>
      </c>
      <c r="C1693" s="3">
        <v>34</v>
      </c>
      <c r="D1693" s="46" t="str">
        <f>IF(Tabla1[[#This Row],[EDAD]]&lt;=35,"Adultos jóvenes 18 - 35 años",IF(C1693&gt;=36,"Adultos mayores 36 años en adelante"))</f>
        <v>Adultos jóvenes 18 - 35 años</v>
      </c>
      <c r="E1693" s="3" t="s">
        <v>5019</v>
      </c>
      <c r="F1693" s="3" t="s">
        <v>5025</v>
      </c>
      <c r="G1693" s="3" t="s">
        <v>5035</v>
      </c>
      <c r="H1693" s="3" t="s">
        <v>7472</v>
      </c>
      <c r="I1693" s="17">
        <v>45727</v>
      </c>
      <c r="J1693" s="18">
        <f>YEAR(Tabla1[[#This Row],[FECHA DE COMPRA]])</f>
        <v>2025</v>
      </c>
      <c r="K1693" s="19">
        <v>127.51</v>
      </c>
      <c r="L1693" s="20">
        <v>0.2</v>
      </c>
      <c r="M1693" s="19">
        <f>Tienda!$K4515-Tienda!$K4515*Tienda!$L4515</f>
        <v>156.27599999999998</v>
      </c>
      <c r="N1693" s="3" t="s">
        <v>10038</v>
      </c>
      <c r="O1693" s="3" t="s">
        <v>10041</v>
      </c>
      <c r="P1693" s="17">
        <v>45727</v>
      </c>
      <c r="Q1693" s="4">
        <v>0</v>
      </c>
    </row>
    <row r="1694" spans="1:17" x14ac:dyDescent="0.25">
      <c r="A1694" s="2" t="s">
        <v>1898</v>
      </c>
      <c r="B1694" s="3" t="s">
        <v>5016</v>
      </c>
      <c r="C1694" s="3">
        <v>28</v>
      </c>
      <c r="D1694" s="46" t="str">
        <f>IF(Tabla1[[#This Row],[EDAD]]&lt;=35,"Adultos jóvenes 18 - 35 años",IF(C1694&gt;=36,"Adultos mayores 36 años en adelante"))</f>
        <v>Adultos jóvenes 18 - 35 años</v>
      </c>
      <c r="E1694" s="3" t="s">
        <v>5019</v>
      </c>
      <c r="F1694" s="3" t="s">
        <v>5026</v>
      </c>
      <c r="G1694" s="3" t="s">
        <v>5034</v>
      </c>
      <c r="H1694" s="3" t="s">
        <v>6921</v>
      </c>
      <c r="I1694" s="17">
        <v>45733</v>
      </c>
      <c r="J1694" s="18">
        <f>YEAR(Tabla1[[#This Row],[FECHA DE COMPRA]])</f>
        <v>2025</v>
      </c>
      <c r="K1694" s="19">
        <v>133.13</v>
      </c>
      <c r="L1694" s="20">
        <v>0.2</v>
      </c>
      <c r="M1694" s="19">
        <f>Tienda!$K4516-Tienda!$K4516*Tienda!$L4516</f>
        <v>157.005</v>
      </c>
      <c r="N1694" s="3" t="s">
        <v>10038</v>
      </c>
      <c r="O1694" s="3" t="s">
        <v>10041</v>
      </c>
      <c r="P1694" s="17">
        <v>45733</v>
      </c>
      <c r="Q1694" s="4">
        <v>0</v>
      </c>
    </row>
    <row r="1695" spans="1:17" x14ac:dyDescent="0.25">
      <c r="A1695" s="2" t="s">
        <v>2820</v>
      </c>
      <c r="B1695" s="3" t="s">
        <v>5015</v>
      </c>
      <c r="C1695" s="3">
        <v>30</v>
      </c>
      <c r="D1695" s="46" t="str">
        <f>IF(Tabla1[[#This Row],[EDAD]]&lt;=35,"Adultos jóvenes 18 - 35 años",IF(C1695&gt;=36,"Adultos mayores 36 años en adelante"))</f>
        <v>Adultos jóvenes 18 - 35 años</v>
      </c>
      <c r="E1695" s="3" t="s">
        <v>5023</v>
      </c>
      <c r="F1695" s="3" t="s">
        <v>5026</v>
      </c>
      <c r="G1695" s="3" t="s">
        <v>5031</v>
      </c>
      <c r="H1695" s="3" t="s">
        <v>7843</v>
      </c>
      <c r="I1695" s="17">
        <v>45734</v>
      </c>
      <c r="J1695" s="18">
        <f>YEAR(Tabla1[[#This Row],[FECHA DE COMPRA]])</f>
        <v>2025</v>
      </c>
      <c r="K1695" s="19">
        <v>140.02000000000001</v>
      </c>
      <c r="L1695" s="20">
        <v>0</v>
      </c>
      <c r="M1695" s="19">
        <f>Tienda!$K4517-Tienda!$K4517*Tienda!$L4517</f>
        <v>157.21</v>
      </c>
      <c r="N1695" s="3" t="s">
        <v>10038</v>
      </c>
      <c r="O1695" s="3" t="s">
        <v>10041</v>
      </c>
      <c r="P1695" s="17">
        <v>45734</v>
      </c>
      <c r="Q1695" s="4">
        <v>0</v>
      </c>
    </row>
    <row r="1696" spans="1:17" x14ac:dyDescent="0.25">
      <c r="A1696" s="2" t="s">
        <v>3608</v>
      </c>
      <c r="B1696" s="3" t="s">
        <v>5016</v>
      </c>
      <c r="C1696" s="3">
        <v>35</v>
      </c>
      <c r="D1696" s="46" t="str">
        <f>IF(Tabla1[[#This Row],[EDAD]]&lt;=35,"Adultos jóvenes 18 - 35 años",IF(C1696&gt;=36,"Adultos mayores 36 años en adelante"))</f>
        <v>Adultos jóvenes 18 - 35 años</v>
      </c>
      <c r="E1696" s="3" t="s">
        <v>5019</v>
      </c>
      <c r="F1696" s="3" t="s">
        <v>5026</v>
      </c>
      <c r="G1696" s="3" t="s">
        <v>5034</v>
      </c>
      <c r="H1696" s="3" t="s">
        <v>8631</v>
      </c>
      <c r="I1696" s="17">
        <v>45720</v>
      </c>
      <c r="J1696" s="18">
        <f>YEAR(Tabla1[[#This Row],[FECHA DE COMPRA]])</f>
        <v>2025</v>
      </c>
      <c r="K1696" s="19">
        <v>145.49</v>
      </c>
      <c r="L1696" s="20">
        <v>0</v>
      </c>
      <c r="M1696" s="19">
        <f>Tienda!$K4518-Tienda!$K4518*Tienda!$L4518</f>
        <v>157.232</v>
      </c>
      <c r="N1696" s="3" t="s">
        <v>10038</v>
      </c>
      <c r="O1696" s="3" t="s">
        <v>10041</v>
      </c>
      <c r="P1696" s="17">
        <v>45720</v>
      </c>
      <c r="Q1696" s="4">
        <v>0</v>
      </c>
    </row>
    <row r="1697" spans="1:17" x14ac:dyDescent="0.25">
      <c r="A1697" s="2" t="s">
        <v>4511</v>
      </c>
      <c r="B1697" s="3" t="s">
        <v>5016</v>
      </c>
      <c r="C1697" s="3">
        <v>29</v>
      </c>
      <c r="D1697" s="46" t="str">
        <f>IF(Tabla1[[#This Row],[EDAD]]&lt;=35,"Adultos jóvenes 18 - 35 años",IF(C1697&gt;=36,"Adultos mayores 36 años en adelante"))</f>
        <v>Adultos jóvenes 18 - 35 años</v>
      </c>
      <c r="E1697" s="3" t="s">
        <v>5021</v>
      </c>
      <c r="F1697" s="3" t="s">
        <v>5028</v>
      </c>
      <c r="G1697" s="3" t="s">
        <v>5037</v>
      </c>
      <c r="H1697" s="3" t="s">
        <v>9534</v>
      </c>
      <c r="I1697" s="17">
        <v>45732</v>
      </c>
      <c r="J1697" s="18">
        <f>YEAR(Tabla1[[#This Row],[FECHA DE COMPRA]])</f>
        <v>2025</v>
      </c>
      <c r="K1697" s="19">
        <v>176.14</v>
      </c>
      <c r="L1697" s="20">
        <v>0.3</v>
      </c>
      <c r="M1697" s="19">
        <f>Tienda!$K4522-Tienda!$K4522*Tienda!$L4522</f>
        <v>159.40799999999999</v>
      </c>
      <c r="N1697" s="3" t="s">
        <v>10038</v>
      </c>
      <c r="O1697" s="3" t="s">
        <v>10041</v>
      </c>
      <c r="P1697" s="17">
        <v>45732</v>
      </c>
      <c r="Q1697" s="4">
        <v>0</v>
      </c>
    </row>
    <row r="1698" spans="1:17" x14ac:dyDescent="0.25">
      <c r="A1698" s="2" t="s">
        <v>2757</v>
      </c>
      <c r="B1698" s="3" t="s">
        <v>5015</v>
      </c>
      <c r="C1698" s="3">
        <v>21</v>
      </c>
      <c r="D1698" s="46" t="str">
        <f>IF(Tabla1[[#This Row],[EDAD]]&lt;=35,"Adultos jóvenes 18 - 35 años",IF(C1698&gt;=36,"Adultos mayores 36 años en adelante"))</f>
        <v>Adultos jóvenes 18 - 35 años</v>
      </c>
      <c r="E1698" s="3" t="s">
        <v>5018</v>
      </c>
      <c r="F1698" s="3" t="s">
        <v>5029</v>
      </c>
      <c r="G1698" s="3" t="s">
        <v>5031</v>
      </c>
      <c r="H1698" s="3" t="s">
        <v>7780</v>
      </c>
      <c r="I1698" s="17">
        <v>45749</v>
      </c>
      <c r="J1698" s="18">
        <f>YEAR(Tabla1[[#This Row],[FECHA DE COMPRA]])</f>
        <v>2025</v>
      </c>
      <c r="K1698" s="19">
        <v>10.050000000000001</v>
      </c>
      <c r="L1698" s="20">
        <v>0.2</v>
      </c>
      <c r="M1698" s="19">
        <f>Tienda!$K4526-Tienda!$K4526*Tienda!$L4526</f>
        <v>163.22</v>
      </c>
      <c r="N1698" s="3" t="s">
        <v>10038</v>
      </c>
      <c r="O1698" s="3" t="s">
        <v>10041</v>
      </c>
      <c r="P1698" s="17">
        <v>45749</v>
      </c>
      <c r="Q1698" s="4">
        <v>0</v>
      </c>
    </row>
    <row r="1699" spans="1:17" x14ac:dyDescent="0.25">
      <c r="A1699" s="2" t="s">
        <v>1187</v>
      </c>
      <c r="B1699" s="3" t="s">
        <v>5015</v>
      </c>
      <c r="C1699" s="3">
        <v>24</v>
      </c>
      <c r="D1699" s="46" t="str">
        <f>IF(Tabla1[[#This Row],[EDAD]]&lt;=35,"Adultos jóvenes 18 - 35 años",IF(C1699&gt;=36,"Adultos mayores 36 años en adelante"))</f>
        <v>Adultos jóvenes 18 - 35 años</v>
      </c>
      <c r="E1699" s="3" t="s">
        <v>5018</v>
      </c>
      <c r="F1699" s="3" t="s">
        <v>5024</v>
      </c>
      <c r="G1699" s="3" t="s">
        <v>5031</v>
      </c>
      <c r="H1699" s="3" t="s">
        <v>6210</v>
      </c>
      <c r="I1699" s="17">
        <v>45763</v>
      </c>
      <c r="J1699" s="18">
        <f>YEAR(Tabla1[[#This Row],[FECHA DE COMPRA]])</f>
        <v>2025</v>
      </c>
      <c r="K1699" s="19">
        <v>38.25</v>
      </c>
      <c r="L1699" s="20">
        <v>0.2</v>
      </c>
      <c r="M1699" s="19">
        <f>Tienda!$K4530-Tienda!$K4530*Tienda!$L4530</f>
        <v>165.83</v>
      </c>
      <c r="N1699" s="3" t="s">
        <v>10038</v>
      </c>
      <c r="O1699" s="3" t="s">
        <v>10041</v>
      </c>
      <c r="P1699" s="17">
        <v>45763</v>
      </c>
      <c r="Q1699" s="4">
        <v>0</v>
      </c>
    </row>
    <row r="1700" spans="1:17" x14ac:dyDescent="0.25">
      <c r="A1700" s="2" t="s">
        <v>1482</v>
      </c>
      <c r="B1700" s="3" t="s">
        <v>5015</v>
      </c>
      <c r="C1700" s="3">
        <v>30</v>
      </c>
      <c r="D1700" s="46" t="str">
        <f>IF(Tabla1[[#This Row],[EDAD]]&lt;=35,"Adultos jóvenes 18 - 35 años",IF(C1700&gt;=36,"Adultos mayores 36 años en adelante"))</f>
        <v>Adultos jóvenes 18 - 35 años</v>
      </c>
      <c r="E1700" s="3" t="s">
        <v>5018</v>
      </c>
      <c r="F1700" s="3" t="s">
        <v>5030</v>
      </c>
      <c r="G1700" s="3" t="s">
        <v>5034</v>
      </c>
      <c r="H1700" s="3" t="s">
        <v>6505</v>
      </c>
      <c r="I1700" s="17">
        <v>45758</v>
      </c>
      <c r="J1700" s="18">
        <f>YEAR(Tabla1[[#This Row],[FECHA DE COMPRA]])</f>
        <v>2025</v>
      </c>
      <c r="K1700" s="19">
        <v>99.21</v>
      </c>
      <c r="L1700" s="20">
        <v>0.3</v>
      </c>
      <c r="M1700" s="19">
        <f>Tienda!$K4544-Tienda!$K4544*Tienda!$L4544</f>
        <v>178.209</v>
      </c>
      <c r="N1700" s="3" t="s">
        <v>10038</v>
      </c>
      <c r="O1700" s="3" t="s">
        <v>10041</v>
      </c>
      <c r="P1700" s="17">
        <v>45758</v>
      </c>
      <c r="Q1700" s="4">
        <v>0</v>
      </c>
    </row>
    <row r="1701" spans="1:17" x14ac:dyDescent="0.25">
      <c r="A1701" s="2" t="s">
        <v>1667</v>
      </c>
      <c r="B1701" s="3" t="s">
        <v>5016</v>
      </c>
      <c r="C1701" s="3">
        <v>35</v>
      </c>
      <c r="D1701" s="46" t="str">
        <f>IF(Tabla1[[#This Row],[EDAD]]&lt;=35,"Adultos jóvenes 18 - 35 años",IF(C1701&gt;=36,"Adultos mayores 36 años en adelante"))</f>
        <v>Adultos jóvenes 18 - 35 años</v>
      </c>
      <c r="E1701" s="3" t="s">
        <v>5023</v>
      </c>
      <c r="F1701" s="3" t="s">
        <v>5024</v>
      </c>
      <c r="G1701" s="3" t="s">
        <v>5031</v>
      </c>
      <c r="H1701" s="3" t="s">
        <v>6690</v>
      </c>
      <c r="I1701" s="17">
        <v>45764</v>
      </c>
      <c r="J1701" s="18">
        <f>YEAR(Tabla1[[#This Row],[FECHA DE COMPRA]])</f>
        <v>2025</v>
      </c>
      <c r="K1701" s="19">
        <v>188.57</v>
      </c>
      <c r="L1701" s="20">
        <v>0.2</v>
      </c>
      <c r="M1701" s="19">
        <f>Tienda!$K4559-Tienda!$K4559*Tienda!$L4559</f>
        <v>194.78</v>
      </c>
      <c r="N1701" s="3" t="s">
        <v>10038</v>
      </c>
      <c r="O1701" s="3" t="s">
        <v>10041</v>
      </c>
      <c r="P1701" s="17">
        <v>45764</v>
      </c>
      <c r="Q1701" s="4">
        <v>0</v>
      </c>
    </row>
    <row r="1702" spans="1:17" x14ac:dyDescent="0.25">
      <c r="A1702" s="2" t="s">
        <v>2001</v>
      </c>
      <c r="B1702" s="3" t="s">
        <v>5016</v>
      </c>
      <c r="C1702" s="3">
        <v>20</v>
      </c>
      <c r="D1702" s="46" t="str">
        <f>IF(Tabla1[[#This Row],[EDAD]]&lt;=35,"Adultos jóvenes 18 - 35 años",IF(C1702&gt;=36,"Adultos mayores 36 años en adelante"))</f>
        <v>Adultos jóvenes 18 - 35 años</v>
      </c>
      <c r="E1702" s="3" t="s">
        <v>5019</v>
      </c>
      <c r="F1702" s="3" t="s">
        <v>5026</v>
      </c>
      <c r="G1702" s="3" t="s">
        <v>5037</v>
      </c>
      <c r="H1702" s="3" t="s">
        <v>7024</v>
      </c>
      <c r="I1702" s="17">
        <v>45760</v>
      </c>
      <c r="J1702" s="18">
        <f>YEAR(Tabla1[[#This Row],[FECHA DE COMPRA]])</f>
        <v>2025</v>
      </c>
      <c r="K1702" s="19">
        <v>198.71</v>
      </c>
      <c r="L1702" s="20">
        <v>0</v>
      </c>
      <c r="M1702" s="19">
        <f>Tienda!$K4562-Tienda!$K4562*Tienda!$L4562</f>
        <v>195.77</v>
      </c>
      <c r="N1702" s="3" t="s">
        <v>10038</v>
      </c>
      <c r="O1702" s="3" t="s">
        <v>10041</v>
      </c>
      <c r="P1702" s="17">
        <v>45760</v>
      </c>
      <c r="Q1702" s="4">
        <v>0</v>
      </c>
    </row>
    <row r="1703" spans="1:17" x14ac:dyDescent="0.25">
      <c r="A1703" s="2" t="s">
        <v>2512</v>
      </c>
      <c r="B1703" s="3" t="s">
        <v>5015</v>
      </c>
      <c r="C1703" s="3">
        <v>28</v>
      </c>
      <c r="D1703" s="46" t="str">
        <f>IF(Tabla1[[#This Row],[EDAD]]&lt;=35,"Adultos jóvenes 18 - 35 años",IF(C1703&gt;=36,"Adultos mayores 36 años en adelante"))</f>
        <v>Adultos jóvenes 18 - 35 años</v>
      </c>
      <c r="E1703" s="3" t="s">
        <v>5019</v>
      </c>
      <c r="F1703" s="3" t="s">
        <v>5025</v>
      </c>
      <c r="G1703" s="3" t="s">
        <v>5036</v>
      </c>
      <c r="H1703" s="3" t="s">
        <v>7535</v>
      </c>
      <c r="I1703" s="17">
        <v>45797</v>
      </c>
      <c r="J1703" s="18">
        <f>YEAR(Tabla1[[#This Row],[FECHA DE COMPRA]])</f>
        <v>2025</v>
      </c>
      <c r="K1703" s="19">
        <v>11.18</v>
      </c>
      <c r="L1703" s="20">
        <v>0.1</v>
      </c>
      <c r="M1703" s="19">
        <f>Tienda!$K4564-Tienda!$K4564*Tienda!$L4564</f>
        <v>198.54</v>
      </c>
      <c r="N1703" s="3" t="s">
        <v>10038</v>
      </c>
      <c r="O1703" s="3" t="s">
        <v>10041</v>
      </c>
      <c r="P1703" s="17">
        <v>45797</v>
      </c>
      <c r="Q1703" s="4">
        <v>0</v>
      </c>
    </row>
    <row r="1704" spans="1:17" x14ac:dyDescent="0.25">
      <c r="A1704" s="2" t="s">
        <v>1262</v>
      </c>
      <c r="B1704" s="3" t="s">
        <v>5015</v>
      </c>
      <c r="C1704" s="3">
        <v>32</v>
      </c>
      <c r="D1704" s="46" t="str">
        <f>IF(Tabla1[[#This Row],[EDAD]]&lt;=35,"Adultos jóvenes 18 - 35 años",IF(C1704&gt;=36,"Adultos mayores 36 años en adelante"))</f>
        <v>Adultos jóvenes 18 - 35 años</v>
      </c>
      <c r="E1704" s="3" t="s">
        <v>5022</v>
      </c>
      <c r="F1704" s="3" t="s">
        <v>5030</v>
      </c>
      <c r="G1704" s="3" t="s">
        <v>5035</v>
      </c>
      <c r="H1704" s="3" t="s">
        <v>6285</v>
      </c>
      <c r="I1704" s="17">
        <v>45796</v>
      </c>
      <c r="J1704" s="18">
        <f>YEAR(Tabla1[[#This Row],[FECHA DE COMPRA]])</f>
        <v>2025</v>
      </c>
      <c r="K1704" s="19">
        <v>14.78</v>
      </c>
      <c r="L1704" s="20">
        <v>0.2</v>
      </c>
      <c r="M1704" s="19">
        <f>Tienda!$K4566-Tienda!$K4566*Tienda!$L4566</f>
        <v>199.32</v>
      </c>
      <c r="N1704" s="3" t="s">
        <v>10038</v>
      </c>
      <c r="O1704" s="3" t="s">
        <v>10041</v>
      </c>
      <c r="P1704" s="17">
        <v>45796</v>
      </c>
      <c r="Q1704" s="4">
        <v>0</v>
      </c>
    </row>
    <row r="1705" spans="1:17" x14ac:dyDescent="0.25">
      <c r="A1705" s="2" t="s">
        <v>68</v>
      </c>
      <c r="B1705" s="3" t="s">
        <v>5015</v>
      </c>
      <c r="C1705" s="3">
        <v>28</v>
      </c>
      <c r="D1705" s="46" t="str">
        <f>IF(Tabla1[[#This Row],[EDAD]]&lt;=35,"Adultos jóvenes 18 - 35 años",IF(C1705&gt;=36,"Adultos mayores 36 años en adelante"))</f>
        <v>Adultos jóvenes 18 - 35 años</v>
      </c>
      <c r="E1705" s="3" t="s">
        <v>5023</v>
      </c>
      <c r="F1705" s="3" t="s">
        <v>5028</v>
      </c>
      <c r="G1705" s="3" t="s">
        <v>5034</v>
      </c>
      <c r="H1705" s="3" t="s">
        <v>5091</v>
      </c>
      <c r="I1705" s="17">
        <v>45781</v>
      </c>
      <c r="J1705" s="18">
        <f>YEAR(Tabla1[[#This Row],[FECHA DE COMPRA]])</f>
        <v>2025</v>
      </c>
      <c r="K1705" s="19">
        <v>18.02</v>
      </c>
      <c r="L1705" s="20">
        <v>0.1</v>
      </c>
      <c r="M1705" s="19">
        <f>Tienda!$K4568-Tienda!$K4568*Tienda!$L4568</f>
        <v>32.130000000000003</v>
      </c>
      <c r="N1705" s="3" t="s">
        <v>10038</v>
      </c>
      <c r="O1705" s="3" t="s">
        <v>10041</v>
      </c>
      <c r="P1705" s="17">
        <v>45781</v>
      </c>
      <c r="Q1705" s="4">
        <v>0</v>
      </c>
    </row>
    <row r="1706" spans="1:17" x14ac:dyDescent="0.25">
      <c r="A1706" s="2" t="s">
        <v>2241</v>
      </c>
      <c r="B1706" s="3" t="s">
        <v>5015</v>
      </c>
      <c r="C1706" s="3">
        <v>28</v>
      </c>
      <c r="D1706" s="46" t="str">
        <f>IF(Tabla1[[#This Row],[EDAD]]&lt;=35,"Adultos jóvenes 18 - 35 años",IF(C1706&gt;=36,"Adultos mayores 36 años en adelante"))</f>
        <v>Adultos jóvenes 18 - 35 años</v>
      </c>
      <c r="E1706" s="3" t="s">
        <v>5020</v>
      </c>
      <c r="F1706" s="3" t="s">
        <v>5027</v>
      </c>
      <c r="G1706" s="3" t="s">
        <v>5035</v>
      </c>
      <c r="H1706" s="3" t="s">
        <v>7264</v>
      </c>
      <c r="I1706" s="17">
        <v>45795</v>
      </c>
      <c r="J1706" s="18">
        <f>YEAR(Tabla1[[#This Row],[FECHA DE COMPRA]])</f>
        <v>2025</v>
      </c>
      <c r="K1706" s="19">
        <v>43.7</v>
      </c>
      <c r="L1706" s="20">
        <v>0</v>
      </c>
      <c r="M1706" s="19">
        <f>Tienda!$K4574-Tienda!$K4574*Tienda!$L4574</f>
        <v>142.63200000000001</v>
      </c>
      <c r="N1706" s="3" t="s">
        <v>10038</v>
      </c>
      <c r="O1706" s="3" t="s">
        <v>10041</v>
      </c>
      <c r="P1706" s="17">
        <v>45795</v>
      </c>
      <c r="Q1706" s="4">
        <v>0</v>
      </c>
    </row>
    <row r="1707" spans="1:17" x14ac:dyDescent="0.25">
      <c r="A1707" s="2" t="s">
        <v>997</v>
      </c>
      <c r="B1707" s="3" t="s">
        <v>5016</v>
      </c>
      <c r="C1707" s="3">
        <v>25</v>
      </c>
      <c r="D1707" s="46" t="str">
        <f>IF(Tabla1[[#This Row],[EDAD]]&lt;=35,"Adultos jóvenes 18 - 35 años",IF(C1707&gt;=36,"Adultos mayores 36 años en adelante"))</f>
        <v>Adultos jóvenes 18 - 35 años</v>
      </c>
      <c r="E1707" s="3" t="s">
        <v>5021</v>
      </c>
      <c r="F1707" s="3" t="s">
        <v>5028</v>
      </c>
      <c r="G1707" s="3" t="s">
        <v>5034</v>
      </c>
      <c r="H1707" s="3" t="s">
        <v>6020</v>
      </c>
      <c r="I1707" s="17">
        <v>45792</v>
      </c>
      <c r="J1707" s="18">
        <f>YEAR(Tabla1[[#This Row],[FECHA DE COMPRA]])</f>
        <v>2025</v>
      </c>
      <c r="K1707" s="19">
        <v>64.040000000000006</v>
      </c>
      <c r="L1707" s="20">
        <v>0.1</v>
      </c>
      <c r="M1707" s="19">
        <f>Tienda!$K4578-Tienda!$K4578*Tienda!$L4578</f>
        <v>167.10299999999998</v>
      </c>
      <c r="N1707" s="3" t="s">
        <v>10038</v>
      </c>
      <c r="O1707" s="3" t="s">
        <v>10041</v>
      </c>
      <c r="P1707" s="17">
        <v>45792</v>
      </c>
      <c r="Q1707" s="4">
        <v>0</v>
      </c>
    </row>
    <row r="1708" spans="1:17" x14ac:dyDescent="0.25">
      <c r="A1708" s="2" t="s">
        <v>1613</v>
      </c>
      <c r="B1708" s="3" t="s">
        <v>5015</v>
      </c>
      <c r="C1708" s="3">
        <v>32</v>
      </c>
      <c r="D1708" s="46" t="str">
        <f>IF(Tabla1[[#This Row],[EDAD]]&lt;=35,"Adultos jóvenes 18 - 35 años",IF(C1708&gt;=36,"Adultos mayores 36 años en adelante"))</f>
        <v>Adultos jóvenes 18 - 35 años</v>
      </c>
      <c r="E1708" s="3" t="s">
        <v>5017</v>
      </c>
      <c r="F1708" s="3" t="s">
        <v>5028</v>
      </c>
      <c r="G1708" s="3" t="s">
        <v>5031</v>
      </c>
      <c r="H1708" s="3" t="s">
        <v>6636</v>
      </c>
      <c r="I1708" s="17">
        <v>45807</v>
      </c>
      <c r="J1708" s="18">
        <f>YEAR(Tabla1[[#This Row],[FECHA DE COMPRA]])</f>
        <v>2025</v>
      </c>
      <c r="K1708" s="19">
        <v>71.38</v>
      </c>
      <c r="L1708" s="20">
        <v>0</v>
      </c>
      <c r="M1708" s="19">
        <f>Tienda!$K4581-Tienda!$K4581*Tienda!$L4581</f>
        <v>124.13800000000001</v>
      </c>
      <c r="N1708" s="3" t="s">
        <v>10038</v>
      </c>
      <c r="O1708" s="3" t="s">
        <v>10041</v>
      </c>
      <c r="P1708" s="17">
        <v>45807</v>
      </c>
      <c r="Q1708" s="4">
        <v>0</v>
      </c>
    </row>
    <row r="1709" spans="1:17" x14ac:dyDescent="0.25">
      <c r="A1709" s="2" t="s">
        <v>1205</v>
      </c>
      <c r="B1709" s="3" t="s">
        <v>5015</v>
      </c>
      <c r="C1709" s="3">
        <v>21</v>
      </c>
      <c r="D1709" s="46" t="str">
        <f>IF(Tabla1[[#This Row],[EDAD]]&lt;=35,"Adultos jóvenes 18 - 35 años",IF(C1709&gt;=36,"Adultos mayores 36 años en adelante"))</f>
        <v>Adultos jóvenes 18 - 35 años</v>
      </c>
      <c r="E1709" s="3" t="s">
        <v>5020</v>
      </c>
      <c r="F1709" s="3" t="s">
        <v>5027</v>
      </c>
      <c r="G1709" s="3" t="s">
        <v>5034</v>
      </c>
      <c r="H1709" s="3" t="s">
        <v>6228</v>
      </c>
      <c r="I1709" s="17">
        <v>45792</v>
      </c>
      <c r="J1709" s="18">
        <f>YEAR(Tabla1[[#This Row],[FECHA DE COMPRA]])</f>
        <v>2025</v>
      </c>
      <c r="K1709" s="19">
        <v>101.57</v>
      </c>
      <c r="L1709" s="20">
        <v>0.3</v>
      </c>
      <c r="M1709" s="19">
        <f>Tienda!$K4591-Tienda!$K4591*Tienda!$L4591</f>
        <v>39.242000000000004</v>
      </c>
      <c r="N1709" s="3" t="s">
        <v>10038</v>
      </c>
      <c r="O1709" s="3" t="s">
        <v>10041</v>
      </c>
      <c r="P1709" s="17">
        <v>45792</v>
      </c>
      <c r="Q1709" s="4">
        <v>0</v>
      </c>
    </row>
    <row r="1710" spans="1:17" x14ac:dyDescent="0.25">
      <c r="A1710" s="2" t="s">
        <v>1855</v>
      </c>
      <c r="B1710" s="3" t="s">
        <v>5015</v>
      </c>
      <c r="C1710" s="3">
        <v>20</v>
      </c>
      <c r="D1710" s="46" t="str">
        <f>IF(Tabla1[[#This Row],[EDAD]]&lt;=35,"Adultos jóvenes 18 - 35 años",IF(C1710&gt;=36,"Adultos mayores 36 años en adelante"))</f>
        <v>Adultos jóvenes 18 - 35 años</v>
      </c>
      <c r="E1710" s="3" t="s">
        <v>5022</v>
      </c>
      <c r="F1710" s="3" t="s">
        <v>5027</v>
      </c>
      <c r="G1710" s="3" t="s">
        <v>5034</v>
      </c>
      <c r="H1710" s="3" t="s">
        <v>6878</v>
      </c>
      <c r="I1710" s="17">
        <v>45797</v>
      </c>
      <c r="J1710" s="18">
        <f>YEAR(Tabla1[[#This Row],[FECHA DE COMPRA]])</f>
        <v>2025</v>
      </c>
      <c r="K1710" s="19">
        <v>112.13</v>
      </c>
      <c r="L1710" s="20">
        <v>0</v>
      </c>
      <c r="M1710" s="19">
        <f>Tienda!$K4593-Tienda!$K4593*Tienda!$L4593</f>
        <v>40.733000000000004</v>
      </c>
      <c r="N1710" s="3" t="s">
        <v>10038</v>
      </c>
      <c r="O1710" s="3" t="s">
        <v>10041</v>
      </c>
      <c r="P1710" s="17">
        <v>45797</v>
      </c>
      <c r="Q1710" s="4">
        <v>0</v>
      </c>
    </row>
    <row r="1711" spans="1:17" x14ac:dyDescent="0.25">
      <c r="A1711" s="2" t="s">
        <v>3304</v>
      </c>
      <c r="B1711" s="3" t="s">
        <v>5015</v>
      </c>
      <c r="C1711" s="3">
        <v>21</v>
      </c>
      <c r="D1711" s="46" t="str">
        <f>IF(Tabla1[[#This Row],[EDAD]]&lt;=35,"Adultos jóvenes 18 - 35 años",IF(C1711&gt;=36,"Adultos mayores 36 años en adelante"))</f>
        <v>Adultos jóvenes 18 - 35 años</v>
      </c>
      <c r="E1711" s="3" t="s">
        <v>5022</v>
      </c>
      <c r="F1711" s="3" t="s">
        <v>5025</v>
      </c>
      <c r="G1711" s="3" t="s">
        <v>5037</v>
      </c>
      <c r="H1711" s="3" t="s">
        <v>8327</v>
      </c>
      <c r="I1711" s="17">
        <v>45789</v>
      </c>
      <c r="J1711" s="18">
        <f>YEAR(Tabla1[[#This Row],[FECHA DE COMPRA]])</f>
        <v>2025</v>
      </c>
      <c r="K1711" s="19">
        <v>134.72999999999999</v>
      </c>
      <c r="L1711" s="20">
        <v>0.3</v>
      </c>
      <c r="M1711" s="19">
        <f>Tienda!$K4598-Tienda!$K4598*Tienda!$L4598</f>
        <v>107.81100000000001</v>
      </c>
      <c r="N1711" s="3" t="s">
        <v>10038</v>
      </c>
      <c r="O1711" s="3" t="s">
        <v>10041</v>
      </c>
      <c r="P1711" s="17">
        <v>45789</v>
      </c>
      <c r="Q1711" s="4">
        <v>0</v>
      </c>
    </row>
    <row r="1712" spans="1:17" x14ac:dyDescent="0.25">
      <c r="A1712" s="2" t="s">
        <v>2049</v>
      </c>
      <c r="B1712" s="3" t="s">
        <v>5015</v>
      </c>
      <c r="C1712" s="3">
        <v>31</v>
      </c>
      <c r="D1712" s="46" t="str">
        <f>IF(Tabla1[[#This Row],[EDAD]]&lt;=35,"Adultos jóvenes 18 - 35 años",IF(C1712&gt;=36,"Adultos mayores 36 años en adelante"))</f>
        <v>Adultos jóvenes 18 - 35 años</v>
      </c>
      <c r="E1712" s="3" t="s">
        <v>5021</v>
      </c>
      <c r="F1712" s="3" t="s">
        <v>5028</v>
      </c>
      <c r="G1712" s="3" t="s">
        <v>5034</v>
      </c>
      <c r="H1712" s="3" t="s">
        <v>7072</v>
      </c>
      <c r="I1712" s="17">
        <v>45795</v>
      </c>
      <c r="J1712" s="18">
        <f>YEAR(Tabla1[[#This Row],[FECHA DE COMPRA]])</f>
        <v>2025</v>
      </c>
      <c r="K1712" s="19">
        <v>138.37</v>
      </c>
      <c r="L1712" s="20">
        <v>0.1</v>
      </c>
      <c r="M1712" s="19">
        <f>Tienda!$K4599-Tienda!$K4599*Tienda!$L4599</f>
        <v>96.455999999999989</v>
      </c>
      <c r="N1712" s="3" t="s">
        <v>10038</v>
      </c>
      <c r="O1712" s="3" t="s">
        <v>10041</v>
      </c>
      <c r="P1712" s="17">
        <v>45795</v>
      </c>
      <c r="Q1712" s="4">
        <v>0</v>
      </c>
    </row>
    <row r="1713" spans="1:17" x14ac:dyDescent="0.25">
      <c r="A1713" s="2" t="s">
        <v>1079</v>
      </c>
      <c r="B1713" s="3" t="s">
        <v>5015</v>
      </c>
      <c r="C1713" s="3">
        <v>28</v>
      </c>
      <c r="D1713" s="46" t="str">
        <f>IF(Tabla1[[#This Row],[EDAD]]&lt;=35,"Adultos jóvenes 18 - 35 años",IF(C1713&gt;=36,"Adultos mayores 36 años en adelante"))</f>
        <v>Adultos jóvenes 18 - 35 años</v>
      </c>
      <c r="E1713" s="3" t="s">
        <v>5020</v>
      </c>
      <c r="F1713" s="3" t="s">
        <v>5028</v>
      </c>
      <c r="G1713" s="3" t="s">
        <v>5033</v>
      </c>
      <c r="H1713" s="3" t="s">
        <v>6102</v>
      </c>
      <c r="I1713" s="17">
        <v>45807</v>
      </c>
      <c r="J1713" s="18">
        <f>YEAR(Tabla1[[#This Row],[FECHA DE COMPRA]])</f>
        <v>2025</v>
      </c>
      <c r="K1713" s="19">
        <v>144.58000000000001</v>
      </c>
      <c r="L1713" s="20">
        <v>0.2</v>
      </c>
      <c r="M1713" s="19">
        <f>Tienda!$K4601-Tienda!$K4601*Tienda!$L4601</f>
        <v>141.904</v>
      </c>
      <c r="N1713" s="3" t="s">
        <v>10038</v>
      </c>
      <c r="O1713" s="3" t="s">
        <v>10041</v>
      </c>
      <c r="P1713" s="17">
        <v>45807</v>
      </c>
      <c r="Q1713" s="4">
        <v>0</v>
      </c>
    </row>
    <row r="1714" spans="1:17" x14ac:dyDescent="0.25">
      <c r="A1714" s="2" t="s">
        <v>1018</v>
      </c>
      <c r="B1714" s="3" t="s">
        <v>5016</v>
      </c>
      <c r="C1714" s="3">
        <v>35</v>
      </c>
      <c r="D1714" s="46" t="str">
        <f>IF(Tabla1[[#This Row],[EDAD]]&lt;=35,"Adultos jóvenes 18 - 35 años",IF(C1714&gt;=36,"Adultos mayores 36 años en adelante"))</f>
        <v>Adultos jóvenes 18 - 35 años</v>
      </c>
      <c r="E1714" s="3" t="s">
        <v>5023</v>
      </c>
      <c r="F1714" s="3" t="s">
        <v>5026</v>
      </c>
      <c r="G1714" s="3" t="s">
        <v>5036</v>
      </c>
      <c r="H1714" s="3" t="s">
        <v>6041</v>
      </c>
      <c r="I1714" s="17">
        <v>45780</v>
      </c>
      <c r="J1714" s="18">
        <f>YEAR(Tabla1[[#This Row],[FECHA DE COMPRA]])</f>
        <v>2025</v>
      </c>
      <c r="K1714" s="19">
        <v>160.72</v>
      </c>
      <c r="L1714" s="20">
        <v>0.1</v>
      </c>
      <c r="M1714" s="19">
        <f>Tienda!$K4605-Tienda!$K4605*Tienda!$L4605</f>
        <v>188.62</v>
      </c>
      <c r="N1714" s="3" t="s">
        <v>10038</v>
      </c>
      <c r="O1714" s="3" t="s">
        <v>10041</v>
      </c>
      <c r="P1714" s="17">
        <v>45780</v>
      </c>
      <c r="Q1714" s="4">
        <v>0</v>
      </c>
    </row>
    <row r="1715" spans="1:17" x14ac:dyDescent="0.25">
      <c r="A1715" s="2" t="s">
        <v>4939</v>
      </c>
      <c r="B1715" s="3" t="s">
        <v>5016</v>
      </c>
      <c r="C1715" s="3">
        <v>27</v>
      </c>
      <c r="D1715" s="46" t="str">
        <f>IF(Tabla1[[#This Row],[EDAD]]&lt;=35,"Adultos jóvenes 18 - 35 años",IF(C1715&gt;=36,"Adultos mayores 36 años en adelante"))</f>
        <v>Adultos jóvenes 18 - 35 años</v>
      </c>
      <c r="E1715" s="3" t="s">
        <v>5023</v>
      </c>
      <c r="F1715" s="3" t="s">
        <v>5030</v>
      </c>
      <c r="G1715" s="3" t="s">
        <v>5031</v>
      </c>
      <c r="H1715" s="3" t="s">
        <v>9962</v>
      </c>
      <c r="I1715" s="17">
        <v>45791</v>
      </c>
      <c r="J1715" s="18">
        <f>YEAR(Tabla1[[#This Row],[FECHA DE COMPRA]])</f>
        <v>2025</v>
      </c>
      <c r="K1715" s="19">
        <v>164.44</v>
      </c>
      <c r="L1715" s="20">
        <v>0.3</v>
      </c>
      <c r="M1715" s="19">
        <f>Tienda!$K4606-Tienda!$K4606*Tienda!$L4606</f>
        <v>132.34899999999999</v>
      </c>
      <c r="N1715" s="3" t="s">
        <v>10038</v>
      </c>
      <c r="O1715" s="3" t="s">
        <v>10041</v>
      </c>
      <c r="P1715" s="17">
        <v>45791</v>
      </c>
      <c r="Q1715" s="4">
        <v>0</v>
      </c>
    </row>
    <row r="1716" spans="1:17" x14ac:dyDescent="0.25">
      <c r="A1716" s="2" t="s">
        <v>891</v>
      </c>
      <c r="B1716" s="3" t="s">
        <v>5015</v>
      </c>
      <c r="C1716" s="3">
        <v>19</v>
      </c>
      <c r="D1716" s="46" t="str">
        <f>IF(Tabla1[[#This Row],[EDAD]]&lt;=35,"Adultos jóvenes 18 - 35 años",IF(C1716&gt;=36,"Adultos mayores 36 años en adelante"))</f>
        <v>Adultos jóvenes 18 - 35 años</v>
      </c>
      <c r="E1716" s="3" t="s">
        <v>5021</v>
      </c>
      <c r="F1716" s="3" t="s">
        <v>5028</v>
      </c>
      <c r="G1716" s="3" t="s">
        <v>5034</v>
      </c>
      <c r="H1716" s="3" t="s">
        <v>5914</v>
      </c>
      <c r="I1716" s="17">
        <v>45785</v>
      </c>
      <c r="J1716" s="18">
        <f>YEAR(Tabla1[[#This Row],[FECHA DE COMPRA]])</f>
        <v>2025</v>
      </c>
      <c r="K1716" s="19">
        <v>171.12</v>
      </c>
      <c r="L1716" s="20">
        <v>0.2</v>
      </c>
      <c r="M1716" s="19">
        <f>Tienda!$K4607-Tienda!$K4607*Tienda!$L4607</f>
        <v>11.43</v>
      </c>
      <c r="N1716" s="3" t="s">
        <v>10038</v>
      </c>
      <c r="O1716" s="3" t="s">
        <v>10041</v>
      </c>
      <c r="P1716" s="17">
        <v>45785</v>
      </c>
      <c r="Q1716" s="4">
        <v>0</v>
      </c>
    </row>
    <row r="1717" spans="1:17" x14ac:dyDescent="0.25">
      <c r="A1717" s="2" t="s">
        <v>4447</v>
      </c>
      <c r="B1717" s="3" t="s">
        <v>5016</v>
      </c>
      <c r="C1717" s="3">
        <v>21</v>
      </c>
      <c r="D1717" s="46" t="str">
        <f>IF(Tabla1[[#This Row],[EDAD]]&lt;=35,"Adultos jóvenes 18 - 35 años",IF(C1717&gt;=36,"Adultos mayores 36 años en adelante"))</f>
        <v>Adultos jóvenes 18 - 35 años</v>
      </c>
      <c r="E1717" s="3" t="s">
        <v>5021</v>
      </c>
      <c r="F1717" s="3" t="s">
        <v>5025</v>
      </c>
      <c r="G1717" s="3" t="s">
        <v>5033</v>
      </c>
      <c r="H1717" s="3" t="s">
        <v>9470</v>
      </c>
      <c r="I1717" s="17">
        <v>45790</v>
      </c>
      <c r="J1717" s="18">
        <f>YEAR(Tabla1[[#This Row],[FECHA DE COMPRA]])</f>
        <v>2025</v>
      </c>
      <c r="K1717" s="19">
        <v>182.92</v>
      </c>
      <c r="L1717" s="20">
        <v>0.1</v>
      </c>
      <c r="M1717" s="19">
        <f>Tienda!$K4609-Tienda!$K4609*Tienda!$L4609</f>
        <v>47.138000000000005</v>
      </c>
      <c r="N1717" s="3" t="s">
        <v>10038</v>
      </c>
      <c r="O1717" s="3" t="s">
        <v>10041</v>
      </c>
      <c r="P1717" s="17">
        <v>45790</v>
      </c>
      <c r="Q1717" s="4">
        <v>0</v>
      </c>
    </row>
    <row r="1718" spans="1:17" x14ac:dyDescent="0.25">
      <c r="A1718" s="2" t="s">
        <v>2013</v>
      </c>
      <c r="B1718" s="3" t="s">
        <v>5015</v>
      </c>
      <c r="C1718" s="3">
        <v>23</v>
      </c>
      <c r="D1718" s="46" t="str">
        <f>IF(Tabla1[[#This Row],[EDAD]]&lt;=35,"Adultos jóvenes 18 - 35 años",IF(C1718&gt;=36,"Adultos mayores 36 años en adelante"))</f>
        <v>Adultos jóvenes 18 - 35 años</v>
      </c>
      <c r="E1718" s="3" t="s">
        <v>5020</v>
      </c>
      <c r="F1718" s="3" t="s">
        <v>5026</v>
      </c>
      <c r="G1718" s="3" t="s">
        <v>5033</v>
      </c>
      <c r="H1718" s="3" t="s">
        <v>7036</v>
      </c>
      <c r="I1718" s="17">
        <v>45793</v>
      </c>
      <c r="J1718" s="18">
        <f>YEAR(Tabla1[[#This Row],[FECHA DE COMPRA]])</f>
        <v>2025</v>
      </c>
      <c r="K1718" s="19">
        <v>183.56</v>
      </c>
      <c r="L1718" s="20">
        <v>0</v>
      </c>
      <c r="M1718" s="19">
        <f>Tienda!$K4610-Tienda!$K4610*Tienda!$L4610</f>
        <v>67.87</v>
      </c>
      <c r="N1718" s="3" t="s">
        <v>10038</v>
      </c>
      <c r="O1718" s="3" t="s">
        <v>10041</v>
      </c>
      <c r="P1718" s="17">
        <v>45793</v>
      </c>
      <c r="Q1718" s="4">
        <v>0</v>
      </c>
    </row>
    <row r="1719" spans="1:17" x14ac:dyDescent="0.25">
      <c r="A1719" s="2" t="s">
        <v>4530</v>
      </c>
      <c r="B1719" s="3" t="s">
        <v>5015</v>
      </c>
      <c r="C1719" s="3">
        <v>22</v>
      </c>
      <c r="D1719" s="46" t="str">
        <f>IF(Tabla1[[#This Row],[EDAD]]&lt;=35,"Adultos jóvenes 18 - 35 años",IF(C1719&gt;=36,"Adultos mayores 36 años en adelante"))</f>
        <v>Adultos jóvenes 18 - 35 años</v>
      </c>
      <c r="E1719" s="3" t="s">
        <v>5018</v>
      </c>
      <c r="F1719" s="3" t="s">
        <v>5026</v>
      </c>
      <c r="G1719" s="3" t="s">
        <v>5034</v>
      </c>
      <c r="H1719" s="3" t="s">
        <v>9553</v>
      </c>
      <c r="I1719" s="17">
        <v>45782</v>
      </c>
      <c r="J1719" s="18">
        <f>YEAR(Tabla1[[#This Row],[FECHA DE COMPRA]])</f>
        <v>2025</v>
      </c>
      <c r="K1719" s="19">
        <v>188.75</v>
      </c>
      <c r="L1719" s="20">
        <v>0.1</v>
      </c>
      <c r="M1719" s="19">
        <f>Tienda!$K4611-Tienda!$K4611*Tienda!$L4611</f>
        <v>68.84</v>
      </c>
      <c r="N1719" s="3" t="s">
        <v>10038</v>
      </c>
      <c r="O1719" s="3" t="s">
        <v>10041</v>
      </c>
      <c r="P1719" s="17">
        <v>45782</v>
      </c>
      <c r="Q1719" s="4">
        <v>0</v>
      </c>
    </row>
    <row r="1720" spans="1:17" x14ac:dyDescent="0.25">
      <c r="A1720" s="2" t="s">
        <v>223</v>
      </c>
      <c r="B1720" s="3" t="s">
        <v>5015</v>
      </c>
      <c r="C1720" s="3">
        <v>22</v>
      </c>
      <c r="D1720" s="46" t="str">
        <f>IF(Tabla1[[#This Row],[EDAD]]&lt;=35,"Adultos jóvenes 18 - 35 años",IF(C1720&gt;=36,"Adultos mayores 36 años en adelante"))</f>
        <v>Adultos jóvenes 18 - 35 años</v>
      </c>
      <c r="E1720" s="3" t="s">
        <v>5017</v>
      </c>
      <c r="F1720" s="3" t="s">
        <v>5030</v>
      </c>
      <c r="G1720" s="3" t="s">
        <v>5035</v>
      </c>
      <c r="H1720" s="3" t="s">
        <v>5246</v>
      </c>
      <c r="I1720" s="17">
        <v>45834</v>
      </c>
      <c r="J1720" s="18">
        <f>YEAR(Tabla1[[#This Row],[FECHA DE COMPRA]])</f>
        <v>2025</v>
      </c>
      <c r="K1720" s="19">
        <v>19.39</v>
      </c>
      <c r="L1720" s="20">
        <v>0.3</v>
      </c>
      <c r="M1720" s="19">
        <f>Tienda!$K4615-Tienda!$K4615*Tienda!$L4615</f>
        <v>85.74</v>
      </c>
      <c r="N1720" s="3" t="s">
        <v>10038</v>
      </c>
      <c r="O1720" s="3" t="s">
        <v>10041</v>
      </c>
      <c r="P1720" s="17">
        <v>45834</v>
      </c>
      <c r="Q1720" s="4">
        <v>0</v>
      </c>
    </row>
    <row r="1721" spans="1:17" x14ac:dyDescent="0.25">
      <c r="A1721" s="2" t="s">
        <v>4629</v>
      </c>
      <c r="B1721" s="3" t="s">
        <v>5016</v>
      </c>
      <c r="C1721" s="3">
        <v>23</v>
      </c>
      <c r="D1721" s="46" t="str">
        <f>IF(Tabla1[[#This Row],[EDAD]]&lt;=35,"Adultos jóvenes 18 - 35 años",IF(C1721&gt;=36,"Adultos mayores 36 años en adelante"))</f>
        <v>Adultos jóvenes 18 - 35 años</v>
      </c>
      <c r="E1721" s="3" t="s">
        <v>5017</v>
      </c>
      <c r="F1721" s="3" t="s">
        <v>5028</v>
      </c>
      <c r="G1721" s="3" t="s">
        <v>5036</v>
      </c>
      <c r="H1721" s="3" t="s">
        <v>9652</v>
      </c>
      <c r="I1721" s="17">
        <v>45822</v>
      </c>
      <c r="J1721" s="18">
        <f>YEAR(Tabla1[[#This Row],[FECHA DE COMPRA]])</f>
        <v>2025</v>
      </c>
      <c r="K1721" s="19">
        <v>29.99</v>
      </c>
      <c r="L1721" s="20">
        <v>0.3</v>
      </c>
      <c r="M1721" s="19">
        <f>Tienda!$K4617-Tienda!$K4617*Tienda!$L4617</f>
        <v>82.503999999999991</v>
      </c>
      <c r="N1721" s="3" t="s">
        <v>10038</v>
      </c>
      <c r="O1721" s="3" t="s">
        <v>10041</v>
      </c>
      <c r="P1721" s="17">
        <v>45822</v>
      </c>
      <c r="Q1721" s="4">
        <v>0</v>
      </c>
    </row>
    <row r="1722" spans="1:17" x14ac:dyDescent="0.25">
      <c r="A1722" s="2" t="s">
        <v>3834</v>
      </c>
      <c r="B1722" s="3" t="s">
        <v>5016</v>
      </c>
      <c r="C1722" s="3">
        <v>25</v>
      </c>
      <c r="D1722" s="46" t="str">
        <f>IF(Tabla1[[#This Row],[EDAD]]&lt;=35,"Adultos jóvenes 18 - 35 años",IF(C1722&gt;=36,"Adultos mayores 36 años en adelante"))</f>
        <v>Adultos jóvenes 18 - 35 años</v>
      </c>
      <c r="E1722" s="3" t="s">
        <v>5017</v>
      </c>
      <c r="F1722" s="3" t="s">
        <v>5029</v>
      </c>
      <c r="G1722" s="3" t="s">
        <v>5032</v>
      </c>
      <c r="H1722" s="3" t="s">
        <v>8857</v>
      </c>
      <c r="I1722" s="17">
        <v>45823</v>
      </c>
      <c r="J1722" s="18">
        <f>YEAR(Tabla1[[#This Row],[FECHA DE COMPRA]])</f>
        <v>2025</v>
      </c>
      <c r="K1722" s="19">
        <v>34.22</v>
      </c>
      <c r="L1722" s="20">
        <v>0.2</v>
      </c>
      <c r="M1722" s="19">
        <f>Tienda!$K4619-Tienda!$K4619*Tienda!$L4619</f>
        <v>77.707000000000008</v>
      </c>
      <c r="N1722" s="3" t="s">
        <v>10038</v>
      </c>
      <c r="O1722" s="3" t="s">
        <v>10041</v>
      </c>
      <c r="P1722" s="17">
        <v>45823</v>
      </c>
      <c r="Q1722" s="4">
        <v>0</v>
      </c>
    </row>
    <row r="1723" spans="1:17" x14ac:dyDescent="0.25">
      <c r="A1723" s="2" t="s">
        <v>524</v>
      </c>
      <c r="B1723" s="3" t="s">
        <v>5015</v>
      </c>
      <c r="C1723" s="3">
        <v>28</v>
      </c>
      <c r="D1723" s="46" t="str">
        <f>IF(Tabla1[[#This Row],[EDAD]]&lt;=35,"Adultos jóvenes 18 - 35 años",IF(C1723&gt;=36,"Adultos mayores 36 años en adelante"))</f>
        <v>Adultos jóvenes 18 - 35 años</v>
      </c>
      <c r="E1723" s="3" t="s">
        <v>5019</v>
      </c>
      <c r="F1723" s="3" t="s">
        <v>5025</v>
      </c>
      <c r="G1723" s="3" t="s">
        <v>5033</v>
      </c>
      <c r="H1723" s="3" t="s">
        <v>5547</v>
      </c>
      <c r="I1723" s="17">
        <v>45834</v>
      </c>
      <c r="J1723" s="18">
        <f>YEAR(Tabla1[[#This Row],[FECHA DE COMPRA]])</f>
        <v>2025</v>
      </c>
      <c r="K1723" s="19">
        <v>39.729999999999997</v>
      </c>
      <c r="L1723" s="20">
        <v>0.3</v>
      </c>
      <c r="M1723" s="19">
        <f>Tienda!$K4621-Tienda!$K4621*Tienda!$L4621</f>
        <v>87.611999999999995</v>
      </c>
      <c r="N1723" s="3" t="s">
        <v>10038</v>
      </c>
      <c r="O1723" s="3" t="s">
        <v>10041</v>
      </c>
      <c r="P1723" s="17">
        <v>45834</v>
      </c>
      <c r="Q1723" s="4">
        <v>0</v>
      </c>
    </row>
    <row r="1724" spans="1:17" x14ac:dyDescent="0.25">
      <c r="A1724" s="2" t="s">
        <v>2420</v>
      </c>
      <c r="B1724" s="3" t="s">
        <v>5016</v>
      </c>
      <c r="C1724" s="3">
        <v>24</v>
      </c>
      <c r="D1724" s="46" t="str">
        <f>IF(Tabla1[[#This Row],[EDAD]]&lt;=35,"Adultos jóvenes 18 - 35 años",IF(C1724&gt;=36,"Adultos mayores 36 años en adelante"))</f>
        <v>Adultos jóvenes 18 - 35 años</v>
      </c>
      <c r="E1724" s="3" t="s">
        <v>5023</v>
      </c>
      <c r="F1724" s="3" t="s">
        <v>5025</v>
      </c>
      <c r="G1724" s="3" t="s">
        <v>5034</v>
      </c>
      <c r="H1724" s="3" t="s">
        <v>7443</v>
      </c>
      <c r="I1724" s="17">
        <v>45836</v>
      </c>
      <c r="J1724" s="18">
        <f>YEAR(Tabla1[[#This Row],[FECHA DE COMPRA]])</f>
        <v>2025</v>
      </c>
      <c r="K1724" s="19">
        <v>55.85</v>
      </c>
      <c r="L1724" s="20">
        <v>0</v>
      </c>
      <c r="M1724" s="19">
        <f>Tienda!$K4625-Tienda!$K4625*Tienda!$L4625</f>
        <v>122.992</v>
      </c>
      <c r="N1724" s="3" t="s">
        <v>10038</v>
      </c>
      <c r="O1724" s="3" t="s">
        <v>10041</v>
      </c>
      <c r="P1724" s="17">
        <v>45836</v>
      </c>
      <c r="Q1724" s="4">
        <v>0</v>
      </c>
    </row>
    <row r="1725" spans="1:17" x14ac:dyDescent="0.25">
      <c r="A1725" s="2" t="s">
        <v>1103</v>
      </c>
      <c r="B1725" s="3" t="s">
        <v>5015</v>
      </c>
      <c r="C1725" s="3">
        <v>28</v>
      </c>
      <c r="D1725" s="46" t="str">
        <f>IF(Tabla1[[#This Row],[EDAD]]&lt;=35,"Adultos jóvenes 18 - 35 años",IF(C1725&gt;=36,"Adultos mayores 36 años en adelante"))</f>
        <v>Adultos jóvenes 18 - 35 años</v>
      </c>
      <c r="E1725" s="3" t="s">
        <v>5022</v>
      </c>
      <c r="F1725" s="3" t="s">
        <v>5026</v>
      </c>
      <c r="G1725" s="3" t="s">
        <v>5034</v>
      </c>
      <c r="H1725" s="3" t="s">
        <v>6126</v>
      </c>
      <c r="I1725" s="17">
        <v>45827</v>
      </c>
      <c r="J1725" s="18">
        <f>YEAR(Tabla1[[#This Row],[FECHA DE COMPRA]])</f>
        <v>2025</v>
      </c>
      <c r="K1725" s="19">
        <v>83.31</v>
      </c>
      <c r="L1725" s="20">
        <v>0.3</v>
      </c>
      <c r="M1725" s="19">
        <f>Tienda!$K4626-Tienda!$K4626*Tienda!$L4626</f>
        <v>124.63199999999999</v>
      </c>
      <c r="N1725" s="3" t="s">
        <v>10038</v>
      </c>
      <c r="O1725" s="3" t="s">
        <v>10041</v>
      </c>
      <c r="P1725" s="17">
        <v>45827</v>
      </c>
      <c r="Q1725" s="4">
        <v>0</v>
      </c>
    </row>
    <row r="1726" spans="1:17" x14ac:dyDescent="0.25">
      <c r="A1726" s="2" t="s">
        <v>4162</v>
      </c>
      <c r="B1726" s="3" t="s">
        <v>5016</v>
      </c>
      <c r="C1726" s="3">
        <v>35</v>
      </c>
      <c r="D1726" s="46" t="str">
        <f>IF(Tabla1[[#This Row],[EDAD]]&lt;=35,"Adultos jóvenes 18 - 35 años",IF(C1726&gt;=36,"Adultos mayores 36 años en adelante"))</f>
        <v>Adultos jóvenes 18 - 35 años</v>
      </c>
      <c r="E1726" s="3" t="s">
        <v>5017</v>
      </c>
      <c r="F1726" s="3" t="s">
        <v>5024</v>
      </c>
      <c r="G1726" s="3" t="s">
        <v>5037</v>
      </c>
      <c r="H1726" s="3" t="s">
        <v>9185</v>
      </c>
      <c r="I1726" s="17">
        <v>45817</v>
      </c>
      <c r="J1726" s="18">
        <f>YEAR(Tabla1[[#This Row],[FECHA DE COMPRA]])</f>
        <v>2025</v>
      </c>
      <c r="K1726" s="19">
        <v>100.88</v>
      </c>
      <c r="L1726" s="20">
        <v>0.3</v>
      </c>
      <c r="M1726" s="19">
        <f>Tienda!$K4628-Tienda!$K4628*Tienda!$L4628</f>
        <v>120.08500000000001</v>
      </c>
      <c r="N1726" s="3" t="s">
        <v>10038</v>
      </c>
      <c r="O1726" s="3" t="s">
        <v>10041</v>
      </c>
      <c r="P1726" s="17">
        <v>45817</v>
      </c>
      <c r="Q1726" s="4">
        <v>0</v>
      </c>
    </row>
    <row r="1727" spans="1:17" x14ac:dyDescent="0.25">
      <c r="A1727" s="2" t="s">
        <v>4987</v>
      </c>
      <c r="B1727" s="3" t="s">
        <v>5016</v>
      </c>
      <c r="C1727" s="3">
        <v>24</v>
      </c>
      <c r="D1727" s="46" t="str">
        <f>IF(Tabla1[[#This Row],[EDAD]]&lt;=35,"Adultos jóvenes 18 - 35 años",IF(C1727&gt;=36,"Adultos mayores 36 años en adelante"))</f>
        <v>Adultos jóvenes 18 - 35 años</v>
      </c>
      <c r="E1727" s="3" t="s">
        <v>5017</v>
      </c>
      <c r="F1727" s="3" t="s">
        <v>5029</v>
      </c>
      <c r="G1727" s="3" t="s">
        <v>5032</v>
      </c>
      <c r="H1727" s="3" t="s">
        <v>10010</v>
      </c>
      <c r="I1727" s="17">
        <v>45810</v>
      </c>
      <c r="J1727" s="18">
        <f>YEAR(Tabla1[[#This Row],[FECHA DE COMPRA]])</f>
        <v>2025</v>
      </c>
      <c r="K1727" s="19">
        <v>143.96</v>
      </c>
      <c r="L1727" s="20">
        <v>0</v>
      </c>
      <c r="M1727" s="19">
        <f>Tienda!$K4634-Tienda!$K4634*Tienda!$L4634</f>
        <v>77.376000000000005</v>
      </c>
      <c r="N1727" s="3" t="s">
        <v>10038</v>
      </c>
      <c r="O1727" s="3" t="s">
        <v>10041</v>
      </c>
      <c r="P1727" s="17">
        <v>45810</v>
      </c>
      <c r="Q1727" s="4">
        <v>0</v>
      </c>
    </row>
    <row r="1728" spans="1:17" x14ac:dyDescent="0.25">
      <c r="A1728" s="2" t="s">
        <v>899</v>
      </c>
      <c r="B1728" s="3" t="s">
        <v>5015</v>
      </c>
      <c r="C1728" s="3">
        <v>33</v>
      </c>
      <c r="D1728" s="46" t="str">
        <f>IF(Tabla1[[#This Row],[EDAD]]&lt;=35,"Adultos jóvenes 18 - 35 años",IF(C1728&gt;=36,"Adultos mayores 36 años en adelante"))</f>
        <v>Adultos jóvenes 18 - 35 años</v>
      </c>
      <c r="E1728" s="3" t="s">
        <v>5018</v>
      </c>
      <c r="F1728" s="3" t="s">
        <v>5028</v>
      </c>
      <c r="G1728" s="3" t="s">
        <v>5032</v>
      </c>
      <c r="H1728" s="3" t="s">
        <v>5922</v>
      </c>
      <c r="I1728" s="17">
        <v>45823</v>
      </c>
      <c r="J1728" s="18">
        <f>YEAR(Tabla1[[#This Row],[FECHA DE COMPRA]])</f>
        <v>2025</v>
      </c>
      <c r="K1728" s="19">
        <v>151.6</v>
      </c>
      <c r="L1728" s="20">
        <v>0.2</v>
      </c>
      <c r="M1728" s="19">
        <f>Tienda!$K4636-Tienda!$K4636*Tienda!$L4636</f>
        <v>16.317</v>
      </c>
      <c r="N1728" s="3" t="s">
        <v>10038</v>
      </c>
      <c r="O1728" s="3" t="s">
        <v>10041</v>
      </c>
      <c r="P1728" s="17">
        <v>45823</v>
      </c>
      <c r="Q1728" s="4">
        <v>0</v>
      </c>
    </row>
    <row r="1729" spans="1:17" x14ac:dyDescent="0.25">
      <c r="A1729" s="2" t="s">
        <v>2418</v>
      </c>
      <c r="B1729" s="3" t="s">
        <v>5015</v>
      </c>
      <c r="C1729" s="3">
        <v>21</v>
      </c>
      <c r="D1729" s="46" t="str">
        <f>IF(Tabla1[[#This Row],[EDAD]]&lt;=35,"Adultos jóvenes 18 - 35 años",IF(C1729&gt;=36,"Adultos mayores 36 años en adelante"))</f>
        <v>Adultos jóvenes 18 - 35 años</v>
      </c>
      <c r="E1729" s="3" t="s">
        <v>5019</v>
      </c>
      <c r="F1729" s="3" t="s">
        <v>5025</v>
      </c>
      <c r="G1729" s="3" t="s">
        <v>5036</v>
      </c>
      <c r="H1729" s="3" t="s">
        <v>7441</v>
      </c>
      <c r="I1729" s="17">
        <v>45817</v>
      </c>
      <c r="J1729" s="18">
        <f>YEAR(Tabla1[[#This Row],[FECHA DE COMPRA]])</f>
        <v>2025</v>
      </c>
      <c r="K1729" s="19">
        <v>159.49</v>
      </c>
      <c r="L1729" s="20">
        <v>0.1</v>
      </c>
      <c r="M1729" s="19">
        <f>Tienda!$K4637-Tienda!$K4637*Tienda!$L4637</f>
        <v>56.769999999999996</v>
      </c>
      <c r="N1729" s="3" t="s">
        <v>10038</v>
      </c>
      <c r="O1729" s="3" t="s">
        <v>10041</v>
      </c>
      <c r="P1729" s="17">
        <v>45817</v>
      </c>
      <c r="Q1729" s="4">
        <v>0</v>
      </c>
    </row>
    <row r="1730" spans="1:17" x14ac:dyDescent="0.25">
      <c r="A1730" s="2" t="s">
        <v>22</v>
      </c>
      <c r="B1730" s="3" t="s">
        <v>5015</v>
      </c>
      <c r="C1730" s="3">
        <v>23</v>
      </c>
      <c r="D1730" s="46" t="str">
        <f>IF(Tabla1[[#This Row],[EDAD]]&lt;=35,"Adultos jóvenes 18 - 35 años",IF(C1730&gt;=36,"Adultos mayores 36 años en adelante"))</f>
        <v>Adultos jóvenes 18 - 35 años</v>
      </c>
      <c r="E1730" s="3" t="s">
        <v>5021</v>
      </c>
      <c r="F1730" s="3" t="s">
        <v>5024</v>
      </c>
      <c r="G1730" s="3" t="s">
        <v>5033</v>
      </c>
      <c r="H1730" s="3" t="s">
        <v>5045</v>
      </c>
      <c r="I1730" s="17">
        <v>45822</v>
      </c>
      <c r="J1730" s="18">
        <f>YEAR(Tabla1[[#This Row],[FECHA DE COMPRA]])</f>
        <v>2025</v>
      </c>
      <c r="K1730" s="19">
        <v>165.73</v>
      </c>
      <c r="L1730" s="20">
        <v>0</v>
      </c>
      <c r="M1730" s="19">
        <f>Tienda!$K4639-Tienda!$K4639*Tienda!$L4639</f>
        <v>34.419000000000004</v>
      </c>
      <c r="N1730" s="3" t="s">
        <v>10038</v>
      </c>
      <c r="O1730" s="3" t="s">
        <v>10041</v>
      </c>
      <c r="P1730" s="17">
        <v>45822</v>
      </c>
      <c r="Q1730" s="4">
        <v>0</v>
      </c>
    </row>
    <row r="1731" spans="1:17" x14ac:dyDescent="0.25">
      <c r="A1731" s="2" t="s">
        <v>3597</v>
      </c>
      <c r="B1731" s="3" t="s">
        <v>5016</v>
      </c>
      <c r="C1731" s="3">
        <v>27</v>
      </c>
      <c r="D1731" s="46" t="str">
        <f>IF(Tabla1[[#This Row],[EDAD]]&lt;=35,"Adultos jóvenes 18 - 35 años",IF(C1731&gt;=36,"Adultos mayores 36 años en adelante"))</f>
        <v>Adultos jóvenes 18 - 35 años</v>
      </c>
      <c r="E1731" s="3" t="s">
        <v>5023</v>
      </c>
      <c r="F1731" s="3" t="s">
        <v>5029</v>
      </c>
      <c r="G1731" s="3" t="s">
        <v>5035</v>
      </c>
      <c r="H1731" s="3" t="s">
        <v>8620</v>
      </c>
      <c r="I1731" s="17">
        <v>45820</v>
      </c>
      <c r="J1731" s="18">
        <f>YEAR(Tabla1[[#This Row],[FECHA DE COMPRA]])</f>
        <v>2025</v>
      </c>
      <c r="K1731" s="19">
        <v>172.31</v>
      </c>
      <c r="L1731" s="20">
        <v>0.1</v>
      </c>
      <c r="M1731" s="19">
        <f>Tienda!$K4642-Tienda!$K4642*Tienda!$L4642</f>
        <v>195.24</v>
      </c>
      <c r="N1731" s="3" t="s">
        <v>10038</v>
      </c>
      <c r="O1731" s="3" t="s">
        <v>10041</v>
      </c>
      <c r="P1731" s="17">
        <v>45820</v>
      </c>
      <c r="Q1731" s="4">
        <v>0</v>
      </c>
    </row>
    <row r="1732" spans="1:17" x14ac:dyDescent="0.25">
      <c r="A1732" s="2" t="s">
        <v>3595</v>
      </c>
      <c r="B1732" s="3" t="s">
        <v>5015</v>
      </c>
      <c r="C1732" s="3">
        <v>31</v>
      </c>
      <c r="D1732" s="46" t="str">
        <f>IF(Tabla1[[#This Row],[EDAD]]&lt;=35,"Adultos jóvenes 18 - 35 años",IF(C1732&gt;=36,"Adultos mayores 36 años en adelante"))</f>
        <v>Adultos jóvenes 18 - 35 años</v>
      </c>
      <c r="E1732" s="3" t="s">
        <v>5022</v>
      </c>
      <c r="F1732" s="3" t="s">
        <v>5028</v>
      </c>
      <c r="G1732" s="3" t="s">
        <v>5033</v>
      </c>
      <c r="H1732" s="3" t="s">
        <v>8618</v>
      </c>
      <c r="I1732" s="17">
        <v>45855</v>
      </c>
      <c r="J1732" s="18">
        <f>YEAR(Tabla1[[#This Row],[FECHA DE COMPRA]])</f>
        <v>2025</v>
      </c>
      <c r="K1732" s="19">
        <v>20.190000000000001</v>
      </c>
      <c r="L1732" s="20">
        <v>0</v>
      </c>
      <c r="M1732" s="19">
        <f>Tienda!$K4651-Tienda!$K4651*Tienda!$L4651</f>
        <v>115.587</v>
      </c>
      <c r="N1732" s="3" t="s">
        <v>10038</v>
      </c>
      <c r="O1732" s="3" t="s">
        <v>10041</v>
      </c>
      <c r="P1732" s="17">
        <v>45855</v>
      </c>
      <c r="Q1732" s="4">
        <v>0</v>
      </c>
    </row>
    <row r="1733" spans="1:17" x14ac:dyDescent="0.25">
      <c r="A1733" s="2" t="s">
        <v>3903</v>
      </c>
      <c r="B1733" s="3" t="s">
        <v>5015</v>
      </c>
      <c r="C1733" s="3">
        <v>35</v>
      </c>
      <c r="D1733" s="46" t="str">
        <f>IF(Tabla1[[#This Row],[EDAD]]&lt;=35,"Adultos jóvenes 18 - 35 años",IF(C1733&gt;=36,"Adultos mayores 36 años en adelante"))</f>
        <v>Adultos jóvenes 18 - 35 años</v>
      </c>
      <c r="E1733" s="3" t="s">
        <v>5020</v>
      </c>
      <c r="F1733" s="3" t="s">
        <v>5028</v>
      </c>
      <c r="G1733" s="3" t="s">
        <v>5034</v>
      </c>
      <c r="H1733" s="3" t="s">
        <v>8926</v>
      </c>
      <c r="I1733" s="17">
        <v>45850</v>
      </c>
      <c r="J1733" s="18">
        <f>YEAR(Tabla1[[#This Row],[FECHA DE COMPRA]])</f>
        <v>2025</v>
      </c>
      <c r="K1733" s="19">
        <v>26.64</v>
      </c>
      <c r="L1733" s="20">
        <v>0.2</v>
      </c>
      <c r="M1733" s="19">
        <f>Tienda!$K4654-Tienda!$K4654*Tienda!$L4654</f>
        <v>67.77</v>
      </c>
      <c r="N1733" s="3" t="s">
        <v>10038</v>
      </c>
      <c r="O1733" s="3" t="s">
        <v>10041</v>
      </c>
      <c r="P1733" s="17">
        <v>45850</v>
      </c>
      <c r="Q1733" s="4">
        <v>0</v>
      </c>
    </row>
    <row r="1734" spans="1:17" x14ac:dyDescent="0.25">
      <c r="A1734" s="2" t="s">
        <v>4310</v>
      </c>
      <c r="B1734" s="3" t="s">
        <v>5015</v>
      </c>
      <c r="C1734" s="3">
        <v>34</v>
      </c>
      <c r="D1734" s="46" t="str">
        <f>IF(Tabla1[[#This Row],[EDAD]]&lt;=35,"Adultos jóvenes 18 - 35 años",IF(C1734&gt;=36,"Adultos mayores 36 años en adelante"))</f>
        <v>Adultos jóvenes 18 - 35 años</v>
      </c>
      <c r="E1734" s="3" t="s">
        <v>5020</v>
      </c>
      <c r="F1734" s="3" t="s">
        <v>5027</v>
      </c>
      <c r="G1734" s="3" t="s">
        <v>5037</v>
      </c>
      <c r="H1734" s="3" t="s">
        <v>9333</v>
      </c>
      <c r="I1734" s="17">
        <v>45857</v>
      </c>
      <c r="J1734" s="18">
        <f>YEAR(Tabla1[[#This Row],[FECHA DE COMPRA]])</f>
        <v>2025</v>
      </c>
      <c r="K1734" s="19">
        <v>138.31</v>
      </c>
      <c r="L1734" s="20">
        <v>0.2</v>
      </c>
      <c r="M1734" s="19">
        <f>Tienda!$K4660-Tienda!$K4660*Tienda!$L4660</f>
        <v>132.55000000000001</v>
      </c>
      <c r="N1734" s="3" t="s">
        <v>10038</v>
      </c>
      <c r="O1734" s="3" t="s">
        <v>10041</v>
      </c>
      <c r="P1734" s="17">
        <v>45857</v>
      </c>
      <c r="Q1734" s="4">
        <v>0</v>
      </c>
    </row>
    <row r="1735" spans="1:17" x14ac:dyDescent="0.25">
      <c r="A1735" s="2" t="s">
        <v>1292</v>
      </c>
      <c r="B1735" s="3" t="s">
        <v>5015</v>
      </c>
      <c r="C1735" s="3">
        <v>34</v>
      </c>
      <c r="D1735" s="46" t="str">
        <f>IF(Tabla1[[#This Row],[EDAD]]&lt;=35,"Adultos jóvenes 18 - 35 años",IF(C1735&gt;=36,"Adultos mayores 36 años en adelante"))</f>
        <v>Adultos jóvenes 18 - 35 años</v>
      </c>
      <c r="E1735" s="3" t="s">
        <v>5021</v>
      </c>
      <c r="F1735" s="3" t="s">
        <v>5029</v>
      </c>
      <c r="G1735" s="3" t="s">
        <v>5034</v>
      </c>
      <c r="H1735" s="3" t="s">
        <v>6315</v>
      </c>
      <c r="I1735" s="17">
        <v>45855</v>
      </c>
      <c r="J1735" s="18">
        <f>YEAR(Tabla1[[#This Row],[FECHA DE COMPRA]])</f>
        <v>2025</v>
      </c>
      <c r="K1735" s="19">
        <v>162.72999999999999</v>
      </c>
      <c r="L1735" s="20">
        <v>0.2</v>
      </c>
      <c r="M1735" s="19">
        <f>Tienda!$K4662-Tienda!$K4662*Tienda!$L4662</f>
        <v>8.8559999999999999</v>
      </c>
      <c r="N1735" s="3" t="s">
        <v>10038</v>
      </c>
      <c r="O1735" s="3" t="s">
        <v>10041</v>
      </c>
      <c r="P1735" s="17">
        <v>45855</v>
      </c>
      <c r="Q1735" s="4">
        <v>0</v>
      </c>
    </row>
    <row r="1736" spans="1:17" x14ac:dyDescent="0.25">
      <c r="A1736" s="2" t="s">
        <v>3632</v>
      </c>
      <c r="B1736" s="3" t="s">
        <v>5015</v>
      </c>
      <c r="C1736" s="3">
        <v>32</v>
      </c>
      <c r="D1736" s="46" t="str">
        <f>IF(Tabla1[[#This Row],[EDAD]]&lt;=35,"Adultos jóvenes 18 - 35 años",IF(C1736&gt;=36,"Adultos mayores 36 años en adelante"))</f>
        <v>Adultos jóvenes 18 - 35 años</v>
      </c>
      <c r="E1736" s="3" t="s">
        <v>5019</v>
      </c>
      <c r="F1736" s="3" t="s">
        <v>5029</v>
      </c>
      <c r="G1736" s="3" t="s">
        <v>5032</v>
      </c>
      <c r="H1736" s="3" t="s">
        <v>8655</v>
      </c>
      <c r="I1736" s="17">
        <v>45842</v>
      </c>
      <c r="J1736" s="18">
        <f>YEAR(Tabla1[[#This Row],[FECHA DE COMPRA]])</f>
        <v>2025</v>
      </c>
      <c r="K1736" s="19">
        <v>189.17</v>
      </c>
      <c r="L1736" s="20">
        <v>0</v>
      </c>
      <c r="M1736" s="19">
        <f>Tienda!$K4666-Tienda!$K4666*Tienda!$L4666</f>
        <v>21.951999999999998</v>
      </c>
      <c r="N1736" s="3" t="s">
        <v>10038</v>
      </c>
      <c r="O1736" s="3" t="s">
        <v>10041</v>
      </c>
      <c r="P1736" s="17">
        <v>45842</v>
      </c>
      <c r="Q1736" s="4">
        <v>0</v>
      </c>
    </row>
    <row r="1737" spans="1:17" x14ac:dyDescent="0.25">
      <c r="A1737" s="2" t="s">
        <v>3633</v>
      </c>
      <c r="B1737" s="3" t="s">
        <v>5016</v>
      </c>
      <c r="C1737" s="3">
        <v>22</v>
      </c>
      <c r="D1737" s="46" t="str">
        <f>IF(Tabla1[[#This Row],[EDAD]]&lt;=35,"Adultos jóvenes 18 - 35 años",IF(C1737&gt;=36,"Adultos mayores 36 años en adelante"))</f>
        <v>Adultos jóvenes 18 - 35 años</v>
      </c>
      <c r="E1737" s="3" t="s">
        <v>5017</v>
      </c>
      <c r="F1737" s="3" t="s">
        <v>5030</v>
      </c>
      <c r="G1737" s="3" t="s">
        <v>5033</v>
      </c>
      <c r="H1737" s="3" t="s">
        <v>8656</v>
      </c>
      <c r="I1737" s="17">
        <v>45885</v>
      </c>
      <c r="J1737" s="18">
        <f>YEAR(Tabla1[[#This Row],[FECHA DE COMPRA]])</f>
        <v>2025</v>
      </c>
      <c r="K1737" s="19">
        <v>42.6</v>
      </c>
      <c r="L1737" s="20">
        <v>0</v>
      </c>
      <c r="M1737" s="19">
        <f>Tienda!$K4671-Tienda!$K4671*Tienda!$L4671</f>
        <v>57.22</v>
      </c>
      <c r="N1737" s="3" t="s">
        <v>10038</v>
      </c>
      <c r="O1737" s="3" t="s">
        <v>10041</v>
      </c>
      <c r="P1737" s="17">
        <v>45885</v>
      </c>
      <c r="Q1737" s="4">
        <v>0</v>
      </c>
    </row>
    <row r="1738" spans="1:17" x14ac:dyDescent="0.25">
      <c r="A1738" s="2" t="s">
        <v>2460</v>
      </c>
      <c r="B1738" s="3" t="s">
        <v>5015</v>
      </c>
      <c r="C1738" s="3">
        <v>35</v>
      </c>
      <c r="D1738" s="46" t="str">
        <f>IF(Tabla1[[#This Row],[EDAD]]&lt;=35,"Adultos jóvenes 18 - 35 años",IF(C1738&gt;=36,"Adultos mayores 36 años en adelante"))</f>
        <v>Adultos jóvenes 18 - 35 años</v>
      </c>
      <c r="E1738" s="3" t="s">
        <v>5022</v>
      </c>
      <c r="F1738" s="3" t="s">
        <v>5025</v>
      </c>
      <c r="G1738" s="3" t="s">
        <v>5036</v>
      </c>
      <c r="H1738" s="3" t="s">
        <v>7483</v>
      </c>
      <c r="I1738" s="17">
        <v>45877</v>
      </c>
      <c r="J1738" s="18">
        <f>YEAR(Tabla1[[#This Row],[FECHA DE COMPRA]])</f>
        <v>2025</v>
      </c>
      <c r="K1738" s="19">
        <v>80.180000000000007</v>
      </c>
      <c r="L1738" s="20">
        <v>0.2</v>
      </c>
      <c r="M1738" s="19">
        <f>Tienda!$K4674-Tienda!$K4674*Tienda!$L4674</f>
        <v>63.882000000000005</v>
      </c>
      <c r="N1738" s="3" t="s">
        <v>10038</v>
      </c>
      <c r="O1738" s="3" t="s">
        <v>10041</v>
      </c>
      <c r="P1738" s="17">
        <v>45877</v>
      </c>
      <c r="Q1738" s="4">
        <v>0</v>
      </c>
    </row>
    <row r="1739" spans="1:17" x14ac:dyDescent="0.25">
      <c r="A1739" s="2" t="s">
        <v>4114</v>
      </c>
      <c r="B1739" s="3" t="s">
        <v>5015</v>
      </c>
      <c r="C1739" s="3">
        <v>30</v>
      </c>
      <c r="D1739" s="46" t="str">
        <f>IF(Tabla1[[#This Row],[EDAD]]&lt;=35,"Adultos jóvenes 18 - 35 años",IF(C1739&gt;=36,"Adultos mayores 36 años en adelante"))</f>
        <v>Adultos jóvenes 18 - 35 años</v>
      </c>
      <c r="E1739" s="3" t="s">
        <v>5023</v>
      </c>
      <c r="F1739" s="3" t="s">
        <v>5025</v>
      </c>
      <c r="G1739" s="3" t="s">
        <v>5036</v>
      </c>
      <c r="H1739" s="3" t="s">
        <v>9137</v>
      </c>
      <c r="I1739" s="17">
        <v>45884</v>
      </c>
      <c r="J1739" s="18">
        <f>YEAR(Tabla1[[#This Row],[FECHA DE COMPRA]])</f>
        <v>2025</v>
      </c>
      <c r="K1739" s="19">
        <v>110.4</v>
      </c>
      <c r="L1739" s="20">
        <v>0</v>
      </c>
      <c r="M1739" s="19">
        <f>Tienda!$K4676-Tienda!$K4676*Tienda!$L4676</f>
        <v>90.350999999999999</v>
      </c>
      <c r="N1739" s="3" t="s">
        <v>10038</v>
      </c>
      <c r="O1739" s="3" t="s">
        <v>10041</v>
      </c>
      <c r="P1739" s="17">
        <v>45884</v>
      </c>
      <c r="Q1739" s="4">
        <v>0</v>
      </c>
    </row>
    <row r="1740" spans="1:17" x14ac:dyDescent="0.25">
      <c r="A1740" s="2" t="s">
        <v>4909</v>
      </c>
      <c r="B1740" s="3" t="s">
        <v>5015</v>
      </c>
      <c r="C1740" s="3">
        <v>19</v>
      </c>
      <c r="D1740" s="46" t="str">
        <f>IF(Tabla1[[#This Row],[EDAD]]&lt;=35,"Adultos jóvenes 18 - 35 años",IF(C1740&gt;=36,"Adultos mayores 36 años en adelante"))</f>
        <v>Adultos jóvenes 18 - 35 años</v>
      </c>
      <c r="E1740" s="3" t="s">
        <v>5017</v>
      </c>
      <c r="F1740" s="3" t="s">
        <v>5029</v>
      </c>
      <c r="G1740" s="3" t="s">
        <v>5037</v>
      </c>
      <c r="H1740" s="3" t="s">
        <v>9932</v>
      </c>
      <c r="I1740" s="17">
        <v>45883</v>
      </c>
      <c r="J1740" s="18">
        <f>YEAR(Tabla1[[#This Row],[FECHA DE COMPRA]])</f>
        <v>2025</v>
      </c>
      <c r="K1740" s="19">
        <v>119.23</v>
      </c>
      <c r="L1740" s="20">
        <v>0.2</v>
      </c>
      <c r="M1740" s="19">
        <f>Tienda!$K4677-Tienda!$K4677*Tienda!$L4677</f>
        <v>70.42</v>
      </c>
      <c r="N1740" s="3" t="s">
        <v>10038</v>
      </c>
      <c r="O1740" s="3" t="s">
        <v>10041</v>
      </c>
      <c r="P1740" s="17">
        <v>45883</v>
      </c>
      <c r="Q1740" s="4">
        <v>0</v>
      </c>
    </row>
    <row r="1741" spans="1:17" x14ac:dyDescent="0.25">
      <c r="A1741" s="2" t="s">
        <v>3855</v>
      </c>
      <c r="B1741" s="3" t="s">
        <v>5015</v>
      </c>
      <c r="C1741" s="3">
        <v>20</v>
      </c>
      <c r="D1741" s="46" t="str">
        <f>IF(Tabla1[[#This Row],[EDAD]]&lt;=35,"Adultos jóvenes 18 - 35 años",IF(C1741&gt;=36,"Adultos mayores 36 años en adelante"))</f>
        <v>Adultos jóvenes 18 - 35 años</v>
      </c>
      <c r="E1741" s="3" t="s">
        <v>5017</v>
      </c>
      <c r="F1741" s="3" t="s">
        <v>5025</v>
      </c>
      <c r="G1741" s="3" t="s">
        <v>5035</v>
      </c>
      <c r="H1741" s="3" t="s">
        <v>8878</v>
      </c>
      <c r="I1741" s="17">
        <v>45701</v>
      </c>
      <c r="J1741" s="18">
        <f>YEAR(Tabla1[[#This Row],[FECHA DE COMPRA]])</f>
        <v>2025</v>
      </c>
      <c r="K1741" s="19">
        <v>20.46</v>
      </c>
      <c r="L1741" s="20">
        <v>0</v>
      </c>
      <c r="M1741" s="19">
        <f>Tienda!$K4683-Tienda!$K4683*Tienda!$L4683</f>
        <v>123.38900000000001</v>
      </c>
      <c r="N1741" s="3" t="s">
        <v>10038</v>
      </c>
      <c r="O1741" s="3" t="s">
        <v>10042</v>
      </c>
      <c r="P1741" s="17">
        <v>45683</v>
      </c>
      <c r="Q1741" s="4">
        <v>0</v>
      </c>
    </row>
    <row r="1742" spans="1:17" x14ac:dyDescent="0.25">
      <c r="A1742" s="2" t="s">
        <v>3055</v>
      </c>
      <c r="B1742" s="3" t="s">
        <v>5016</v>
      </c>
      <c r="C1742" s="3">
        <v>23</v>
      </c>
      <c r="D1742" s="46" t="str">
        <f>IF(Tabla1[[#This Row],[EDAD]]&lt;=35,"Adultos jóvenes 18 - 35 años",IF(C1742&gt;=36,"Adultos mayores 36 años en adelante"))</f>
        <v>Adultos jóvenes 18 - 35 años</v>
      </c>
      <c r="E1742" s="3" t="s">
        <v>5019</v>
      </c>
      <c r="F1742" s="3" t="s">
        <v>5029</v>
      </c>
      <c r="G1742" s="3" t="s">
        <v>5034</v>
      </c>
      <c r="H1742" s="3" t="s">
        <v>8078</v>
      </c>
      <c r="I1742" s="17">
        <v>45662</v>
      </c>
      <c r="J1742" s="18">
        <f>YEAR(Tabla1[[#This Row],[FECHA DE COMPRA]])</f>
        <v>2025</v>
      </c>
      <c r="K1742" s="19">
        <v>25.71</v>
      </c>
      <c r="L1742" s="20">
        <v>0.1</v>
      </c>
      <c r="M1742" s="19">
        <f>Tienda!$K4686-Tienda!$K4686*Tienda!$L4686</f>
        <v>15.64</v>
      </c>
      <c r="N1742" s="3" t="s">
        <v>10038</v>
      </c>
      <c r="O1742" s="3" t="s">
        <v>10042</v>
      </c>
      <c r="P1742" s="17">
        <v>45662</v>
      </c>
      <c r="Q1742" s="4">
        <v>0</v>
      </c>
    </row>
    <row r="1743" spans="1:17" x14ac:dyDescent="0.25">
      <c r="A1743" s="2" t="s">
        <v>4356</v>
      </c>
      <c r="B1743" s="3" t="s">
        <v>5015</v>
      </c>
      <c r="C1743" s="3">
        <v>30</v>
      </c>
      <c r="D1743" s="46" t="str">
        <f>IF(Tabla1[[#This Row],[EDAD]]&lt;=35,"Adultos jóvenes 18 - 35 años",IF(C1743&gt;=36,"Adultos mayores 36 años en adelante"))</f>
        <v>Adultos jóvenes 18 - 35 años</v>
      </c>
      <c r="E1743" s="3" t="s">
        <v>5018</v>
      </c>
      <c r="F1743" s="3" t="s">
        <v>5024</v>
      </c>
      <c r="G1743" s="3" t="s">
        <v>5036</v>
      </c>
      <c r="H1743" s="3" t="s">
        <v>9379</v>
      </c>
      <c r="I1743" s="17">
        <v>45681</v>
      </c>
      <c r="J1743" s="18">
        <f>YEAR(Tabla1[[#This Row],[FECHA DE COMPRA]])</f>
        <v>2025</v>
      </c>
      <c r="K1743" s="19">
        <v>25.74</v>
      </c>
      <c r="L1743" s="20">
        <v>0.1</v>
      </c>
      <c r="M1743" s="19">
        <f>Tienda!$K4687-Tienda!$K4687*Tienda!$L4687</f>
        <v>24.471</v>
      </c>
      <c r="N1743" s="3" t="s">
        <v>10038</v>
      </c>
      <c r="O1743" s="3" t="s">
        <v>10042</v>
      </c>
      <c r="P1743" s="17">
        <v>45681</v>
      </c>
      <c r="Q1743" s="4">
        <v>0</v>
      </c>
    </row>
    <row r="1744" spans="1:17" x14ac:dyDescent="0.25">
      <c r="A1744" s="2" t="s">
        <v>4972</v>
      </c>
      <c r="B1744" s="3" t="s">
        <v>5016</v>
      </c>
      <c r="C1744" s="3">
        <v>23</v>
      </c>
      <c r="D1744" s="46" t="str">
        <f>IF(Tabla1[[#This Row],[EDAD]]&lt;=35,"Adultos jóvenes 18 - 35 años",IF(C1744&gt;=36,"Adultos mayores 36 años en adelante"))</f>
        <v>Adultos jóvenes 18 - 35 años</v>
      </c>
      <c r="E1744" s="3" t="s">
        <v>5021</v>
      </c>
      <c r="F1744" s="3" t="s">
        <v>5029</v>
      </c>
      <c r="G1744" s="3" t="s">
        <v>5031</v>
      </c>
      <c r="H1744" s="3" t="s">
        <v>9995</v>
      </c>
      <c r="I1744" s="17">
        <v>45666</v>
      </c>
      <c r="J1744" s="18">
        <f>YEAR(Tabla1[[#This Row],[FECHA DE COMPRA]])</f>
        <v>2025</v>
      </c>
      <c r="K1744" s="19">
        <v>28.69</v>
      </c>
      <c r="L1744" s="20">
        <v>0.1</v>
      </c>
      <c r="M1744" s="19">
        <f>Tienda!$K4688-Tienda!$K4688*Tienda!$L4688</f>
        <v>24.485999999999997</v>
      </c>
      <c r="N1744" s="3" t="s">
        <v>10038</v>
      </c>
      <c r="O1744" s="3" t="s">
        <v>10042</v>
      </c>
      <c r="P1744" s="17">
        <v>45666</v>
      </c>
      <c r="Q1744" s="4">
        <v>0</v>
      </c>
    </row>
    <row r="1745" spans="1:17" x14ac:dyDescent="0.25">
      <c r="A1745" s="2" t="s">
        <v>4418</v>
      </c>
      <c r="B1745" s="3" t="s">
        <v>5015</v>
      </c>
      <c r="C1745" s="3">
        <v>35</v>
      </c>
      <c r="D1745" s="46" t="str">
        <f>IF(Tabla1[[#This Row],[EDAD]]&lt;=35,"Adultos jóvenes 18 - 35 años",IF(C1745&gt;=36,"Adultos mayores 36 años en adelante"))</f>
        <v>Adultos jóvenes 18 - 35 años</v>
      </c>
      <c r="E1745" s="3" t="s">
        <v>5020</v>
      </c>
      <c r="F1745" s="3" t="s">
        <v>5026</v>
      </c>
      <c r="G1745" s="3" t="s">
        <v>5035</v>
      </c>
      <c r="H1745" s="3" t="s">
        <v>9441</v>
      </c>
      <c r="I1745" s="17">
        <v>45660</v>
      </c>
      <c r="J1745" s="18">
        <f>YEAR(Tabla1[[#This Row],[FECHA DE COMPRA]])</f>
        <v>2025</v>
      </c>
      <c r="K1745" s="19">
        <v>36.799999999999997</v>
      </c>
      <c r="L1745" s="20">
        <v>0.1</v>
      </c>
      <c r="M1745" s="19">
        <f>Tienda!$K4689-Tienda!$K4689*Tienda!$L4689</f>
        <v>47</v>
      </c>
      <c r="N1745" s="3" t="s">
        <v>10038</v>
      </c>
      <c r="O1745" s="3" t="s">
        <v>10042</v>
      </c>
      <c r="P1745" s="17">
        <v>45660</v>
      </c>
      <c r="Q1745" s="4">
        <v>0</v>
      </c>
    </row>
    <row r="1746" spans="1:17" x14ac:dyDescent="0.25">
      <c r="A1746" s="2" t="s">
        <v>4086</v>
      </c>
      <c r="B1746" s="3" t="s">
        <v>5015</v>
      </c>
      <c r="C1746" s="3">
        <v>34</v>
      </c>
      <c r="D1746" s="46" t="str">
        <f>IF(Tabla1[[#This Row],[EDAD]]&lt;=35,"Adultos jóvenes 18 - 35 años",IF(C1746&gt;=36,"Adultos mayores 36 años en adelante"))</f>
        <v>Adultos jóvenes 18 - 35 años</v>
      </c>
      <c r="E1746" s="3" t="s">
        <v>5017</v>
      </c>
      <c r="F1746" s="3" t="s">
        <v>5024</v>
      </c>
      <c r="G1746" s="3" t="s">
        <v>5032</v>
      </c>
      <c r="H1746" s="3" t="s">
        <v>9109</v>
      </c>
      <c r="I1746" s="17">
        <v>45701</v>
      </c>
      <c r="J1746" s="18">
        <f>YEAR(Tabla1[[#This Row],[FECHA DE COMPRA]])</f>
        <v>2025</v>
      </c>
      <c r="K1746" s="19">
        <v>57.64</v>
      </c>
      <c r="L1746" s="20">
        <v>0.1</v>
      </c>
      <c r="M1746" s="19">
        <f>Tienda!$K4695-Tienda!$K4695*Tienda!$L4695</f>
        <v>49.923999999999992</v>
      </c>
      <c r="N1746" s="3" t="s">
        <v>10038</v>
      </c>
      <c r="O1746" s="3" t="s">
        <v>10042</v>
      </c>
      <c r="P1746" s="17">
        <v>45675</v>
      </c>
      <c r="Q1746" s="4">
        <v>0</v>
      </c>
    </row>
    <row r="1747" spans="1:17" x14ac:dyDescent="0.25">
      <c r="A1747" s="2" t="s">
        <v>4701</v>
      </c>
      <c r="B1747" s="3" t="s">
        <v>5015</v>
      </c>
      <c r="C1747" s="3">
        <v>34</v>
      </c>
      <c r="D1747" s="46" t="str">
        <f>IF(Tabla1[[#This Row],[EDAD]]&lt;=35,"Adultos jóvenes 18 - 35 años",IF(C1747&gt;=36,"Adultos mayores 36 años en adelante"))</f>
        <v>Adultos jóvenes 18 - 35 años</v>
      </c>
      <c r="E1747" s="3" t="s">
        <v>5020</v>
      </c>
      <c r="F1747" s="3" t="s">
        <v>5030</v>
      </c>
      <c r="G1747" s="3" t="s">
        <v>5031</v>
      </c>
      <c r="H1747" s="3" t="s">
        <v>9724</v>
      </c>
      <c r="I1747" s="17">
        <v>45701</v>
      </c>
      <c r="J1747" s="18">
        <f>YEAR(Tabla1[[#This Row],[FECHA DE COMPRA]])</f>
        <v>2025</v>
      </c>
      <c r="K1747" s="19">
        <v>58.68</v>
      </c>
      <c r="L1747" s="20">
        <v>0.3</v>
      </c>
      <c r="M1747" s="19">
        <f>Tienda!$K4696-Tienda!$K4696*Tienda!$L4696</f>
        <v>67.742999999999995</v>
      </c>
      <c r="N1747" s="3" t="s">
        <v>10038</v>
      </c>
      <c r="O1747" s="3" t="s">
        <v>10042</v>
      </c>
      <c r="P1747" s="17">
        <v>45688</v>
      </c>
      <c r="Q1747" s="4">
        <v>0</v>
      </c>
    </row>
    <row r="1748" spans="1:17" x14ac:dyDescent="0.25">
      <c r="A1748" s="2" t="s">
        <v>128</v>
      </c>
      <c r="B1748" s="3" t="s">
        <v>5015</v>
      </c>
      <c r="C1748" s="3">
        <v>21</v>
      </c>
      <c r="D1748" s="46" t="str">
        <f>IF(Tabla1[[#This Row],[EDAD]]&lt;=35,"Adultos jóvenes 18 - 35 años",IF(C1748&gt;=36,"Adultos mayores 36 años en adelante"))</f>
        <v>Adultos jóvenes 18 - 35 años</v>
      </c>
      <c r="E1748" s="3" t="s">
        <v>5022</v>
      </c>
      <c r="F1748" s="3" t="s">
        <v>5030</v>
      </c>
      <c r="G1748" s="3" t="s">
        <v>5035</v>
      </c>
      <c r="H1748" s="3" t="s">
        <v>5151</v>
      </c>
      <c r="I1748" s="17">
        <v>45701</v>
      </c>
      <c r="J1748" s="18">
        <f>YEAR(Tabla1[[#This Row],[FECHA DE COMPRA]])</f>
        <v>2025</v>
      </c>
      <c r="K1748" s="19">
        <v>59.68</v>
      </c>
      <c r="L1748" s="20">
        <v>0</v>
      </c>
      <c r="M1748" s="19">
        <f>Tienda!$K4697-Tienda!$K4697*Tienda!$L4697</f>
        <v>71.73</v>
      </c>
      <c r="N1748" s="3" t="s">
        <v>10038</v>
      </c>
      <c r="O1748" s="3" t="s">
        <v>10042</v>
      </c>
      <c r="P1748" s="17">
        <v>45663</v>
      </c>
      <c r="Q1748" s="4">
        <v>0</v>
      </c>
    </row>
    <row r="1749" spans="1:17" x14ac:dyDescent="0.25">
      <c r="A1749" s="2" t="s">
        <v>711</v>
      </c>
      <c r="B1749" s="3" t="s">
        <v>5016</v>
      </c>
      <c r="C1749" s="3">
        <v>22</v>
      </c>
      <c r="D1749" s="46" t="str">
        <f>IF(Tabla1[[#This Row],[EDAD]]&lt;=35,"Adultos jóvenes 18 - 35 años",IF(C1749&gt;=36,"Adultos mayores 36 años en adelante"))</f>
        <v>Adultos jóvenes 18 - 35 años</v>
      </c>
      <c r="E1749" s="3" t="s">
        <v>5019</v>
      </c>
      <c r="F1749" s="3" t="s">
        <v>5029</v>
      </c>
      <c r="G1749" s="3" t="s">
        <v>5031</v>
      </c>
      <c r="H1749" s="3" t="s">
        <v>5734</v>
      </c>
      <c r="I1749" s="17">
        <v>45701</v>
      </c>
      <c r="J1749" s="18">
        <f>YEAR(Tabla1[[#This Row],[FECHA DE COMPRA]])</f>
        <v>2025</v>
      </c>
      <c r="K1749" s="19">
        <v>63.28</v>
      </c>
      <c r="L1749" s="20">
        <v>0</v>
      </c>
      <c r="M1749" s="19">
        <f>Tienda!$K4698-Tienda!$K4698*Tienda!$L4698</f>
        <v>62.475000000000001</v>
      </c>
      <c r="N1749" s="3" t="s">
        <v>10038</v>
      </c>
      <c r="O1749" s="3" t="s">
        <v>10042</v>
      </c>
      <c r="P1749" s="17">
        <v>45681</v>
      </c>
      <c r="Q1749" s="4">
        <v>0</v>
      </c>
    </row>
    <row r="1750" spans="1:17" x14ac:dyDescent="0.25">
      <c r="A1750" s="2" t="s">
        <v>3095</v>
      </c>
      <c r="B1750" s="3" t="s">
        <v>5015</v>
      </c>
      <c r="C1750" s="3">
        <v>30</v>
      </c>
      <c r="D1750" s="46" t="str">
        <f>IF(Tabla1[[#This Row],[EDAD]]&lt;=35,"Adultos jóvenes 18 - 35 años",IF(C1750&gt;=36,"Adultos mayores 36 años en adelante"))</f>
        <v>Adultos jóvenes 18 - 35 años</v>
      </c>
      <c r="E1750" s="3" t="s">
        <v>5019</v>
      </c>
      <c r="F1750" s="3" t="s">
        <v>5025</v>
      </c>
      <c r="G1750" s="3" t="s">
        <v>5036</v>
      </c>
      <c r="H1750" s="3" t="s">
        <v>8118</v>
      </c>
      <c r="I1750" s="17">
        <v>45658</v>
      </c>
      <c r="J1750" s="18">
        <f>YEAR(Tabla1[[#This Row],[FECHA DE COMPRA]])</f>
        <v>2025</v>
      </c>
      <c r="K1750" s="19">
        <v>97.17</v>
      </c>
      <c r="L1750" s="20">
        <v>0</v>
      </c>
      <c r="M1750" s="19">
        <f>Tienda!$K4704-Tienda!$K4704*Tienda!$L4704</f>
        <v>130.11000000000001</v>
      </c>
      <c r="N1750" s="3" t="s">
        <v>10038</v>
      </c>
      <c r="O1750" s="3" t="s">
        <v>10042</v>
      </c>
      <c r="P1750" s="17">
        <v>45658</v>
      </c>
      <c r="Q1750" s="4">
        <v>0</v>
      </c>
    </row>
    <row r="1751" spans="1:17" x14ac:dyDescent="0.25">
      <c r="A1751" s="2" t="s">
        <v>1798</v>
      </c>
      <c r="B1751" s="3" t="s">
        <v>5015</v>
      </c>
      <c r="C1751" s="3">
        <v>35</v>
      </c>
      <c r="D1751" s="46" t="str">
        <f>IF(Tabla1[[#This Row],[EDAD]]&lt;=35,"Adultos jóvenes 18 - 35 años",IF(C1751&gt;=36,"Adultos mayores 36 años en adelante"))</f>
        <v>Adultos jóvenes 18 - 35 años</v>
      </c>
      <c r="E1751" s="3" t="s">
        <v>5022</v>
      </c>
      <c r="F1751" s="3" t="s">
        <v>5028</v>
      </c>
      <c r="G1751" s="3" t="s">
        <v>5037</v>
      </c>
      <c r="H1751" s="3" t="s">
        <v>6821</v>
      </c>
      <c r="I1751" s="17">
        <v>45676</v>
      </c>
      <c r="J1751" s="18">
        <f>YEAR(Tabla1[[#This Row],[FECHA DE COMPRA]])</f>
        <v>2025</v>
      </c>
      <c r="K1751" s="19">
        <v>97.39</v>
      </c>
      <c r="L1751" s="20">
        <v>0.1</v>
      </c>
      <c r="M1751" s="19">
        <f>Tienda!$K4705-Tienda!$K4705*Tienda!$L4705</f>
        <v>131.06</v>
      </c>
      <c r="N1751" s="3" t="s">
        <v>10038</v>
      </c>
      <c r="O1751" s="3" t="s">
        <v>10042</v>
      </c>
      <c r="P1751" s="17">
        <v>45676</v>
      </c>
      <c r="Q1751" s="4">
        <v>0</v>
      </c>
    </row>
    <row r="1752" spans="1:17" x14ac:dyDescent="0.25">
      <c r="A1752" s="2" t="s">
        <v>4473</v>
      </c>
      <c r="B1752" s="3" t="s">
        <v>5015</v>
      </c>
      <c r="C1752" s="3">
        <v>33</v>
      </c>
      <c r="D1752" s="46" t="str">
        <f>IF(Tabla1[[#This Row],[EDAD]]&lt;=35,"Adultos jóvenes 18 - 35 años",IF(C1752&gt;=36,"Adultos mayores 36 años en adelante"))</f>
        <v>Adultos jóvenes 18 - 35 años</v>
      </c>
      <c r="E1752" s="3" t="s">
        <v>5020</v>
      </c>
      <c r="F1752" s="3" t="s">
        <v>5026</v>
      </c>
      <c r="G1752" s="3" t="s">
        <v>5033</v>
      </c>
      <c r="H1752" s="3" t="s">
        <v>9496</v>
      </c>
      <c r="I1752" s="17">
        <v>45701</v>
      </c>
      <c r="J1752" s="18">
        <f>YEAR(Tabla1[[#This Row],[FECHA DE COMPRA]])</f>
        <v>2025</v>
      </c>
      <c r="K1752" s="19">
        <v>106.09</v>
      </c>
      <c r="L1752" s="20">
        <v>0.1</v>
      </c>
      <c r="M1752" s="19">
        <f>Tienda!$K4708-Tienda!$K4708*Tienda!$L4708</f>
        <v>144.93</v>
      </c>
      <c r="N1752" s="3" t="s">
        <v>10038</v>
      </c>
      <c r="O1752" s="3" t="s">
        <v>10042</v>
      </c>
      <c r="P1752" s="17">
        <v>45671</v>
      </c>
      <c r="Q1752" s="4">
        <v>0</v>
      </c>
    </row>
    <row r="1753" spans="1:17" x14ac:dyDescent="0.25">
      <c r="A1753" s="2" t="s">
        <v>3274</v>
      </c>
      <c r="B1753" s="3" t="s">
        <v>5016</v>
      </c>
      <c r="C1753" s="3">
        <v>22</v>
      </c>
      <c r="D1753" s="46" t="str">
        <f>IF(Tabla1[[#This Row],[EDAD]]&lt;=35,"Adultos jóvenes 18 - 35 años",IF(C1753&gt;=36,"Adultos mayores 36 años en adelante"))</f>
        <v>Adultos jóvenes 18 - 35 años</v>
      </c>
      <c r="E1753" s="3" t="s">
        <v>5021</v>
      </c>
      <c r="F1753" s="3" t="s">
        <v>5030</v>
      </c>
      <c r="G1753" s="3" t="s">
        <v>5033</v>
      </c>
      <c r="H1753" s="3" t="s">
        <v>8297</v>
      </c>
      <c r="I1753" s="17">
        <v>45681</v>
      </c>
      <c r="J1753" s="18">
        <f>YEAR(Tabla1[[#This Row],[FECHA DE COMPRA]])</f>
        <v>2025</v>
      </c>
      <c r="K1753" s="19">
        <v>121.36</v>
      </c>
      <c r="L1753" s="20">
        <v>0.2</v>
      </c>
      <c r="M1753" s="19">
        <f>Tienda!$K4709-Tienda!$K4709*Tienda!$L4709</f>
        <v>126.224</v>
      </c>
      <c r="N1753" s="3" t="s">
        <v>10038</v>
      </c>
      <c r="O1753" s="3" t="s">
        <v>10042</v>
      </c>
      <c r="P1753" s="17">
        <v>45681</v>
      </c>
      <c r="Q1753" s="4">
        <v>0</v>
      </c>
    </row>
    <row r="1754" spans="1:17" x14ac:dyDescent="0.25">
      <c r="A1754" s="2" t="s">
        <v>3953</v>
      </c>
      <c r="B1754" s="3" t="s">
        <v>5015</v>
      </c>
      <c r="C1754" s="3">
        <v>33</v>
      </c>
      <c r="D1754" s="46" t="str">
        <f>IF(Tabla1[[#This Row],[EDAD]]&lt;=35,"Adultos jóvenes 18 - 35 años",IF(C1754&gt;=36,"Adultos mayores 36 años en adelante"))</f>
        <v>Adultos jóvenes 18 - 35 años</v>
      </c>
      <c r="E1754" s="3" t="s">
        <v>5020</v>
      </c>
      <c r="F1754" s="3" t="s">
        <v>5025</v>
      </c>
      <c r="G1754" s="3" t="s">
        <v>5033</v>
      </c>
      <c r="H1754" s="3" t="s">
        <v>8976</v>
      </c>
      <c r="I1754" s="17">
        <v>45676</v>
      </c>
      <c r="J1754" s="18">
        <f>YEAR(Tabla1[[#This Row],[FECHA DE COMPRA]])</f>
        <v>2025</v>
      </c>
      <c r="K1754" s="19">
        <v>129.96</v>
      </c>
      <c r="L1754" s="20">
        <v>0.3</v>
      </c>
      <c r="M1754" s="19">
        <f>Tienda!$K4712-Tienda!$K4712*Tienda!$L4712</f>
        <v>157.41899999999998</v>
      </c>
      <c r="N1754" s="3" t="s">
        <v>10038</v>
      </c>
      <c r="O1754" s="3" t="s">
        <v>10042</v>
      </c>
      <c r="P1754" s="17">
        <v>45676</v>
      </c>
      <c r="Q1754" s="4">
        <v>0</v>
      </c>
    </row>
    <row r="1755" spans="1:17" x14ac:dyDescent="0.25">
      <c r="A1755" s="2" t="s">
        <v>639</v>
      </c>
      <c r="B1755" s="3" t="s">
        <v>5015</v>
      </c>
      <c r="C1755" s="3">
        <v>22</v>
      </c>
      <c r="D1755" s="46" t="str">
        <f>IF(Tabla1[[#This Row],[EDAD]]&lt;=35,"Adultos jóvenes 18 - 35 años",IF(C1755&gt;=36,"Adultos mayores 36 años en adelante"))</f>
        <v>Adultos jóvenes 18 - 35 años</v>
      </c>
      <c r="E1755" s="3" t="s">
        <v>5017</v>
      </c>
      <c r="F1755" s="3" t="s">
        <v>5024</v>
      </c>
      <c r="G1755" s="3" t="s">
        <v>5031</v>
      </c>
      <c r="H1755" s="3" t="s">
        <v>5662</v>
      </c>
      <c r="I1755" s="17">
        <v>45701</v>
      </c>
      <c r="J1755" s="18">
        <f>YEAR(Tabla1[[#This Row],[FECHA DE COMPRA]])</f>
        <v>2025</v>
      </c>
      <c r="K1755" s="19">
        <v>17.010000000000002</v>
      </c>
      <c r="L1755" s="20">
        <v>0</v>
      </c>
      <c r="M1755" s="19">
        <f>Tienda!$K4720-Tienda!$K4720*Tienda!$L4720</f>
        <v>11.802</v>
      </c>
      <c r="N1755" s="3" t="s">
        <v>10038</v>
      </c>
      <c r="O1755" s="3" t="s">
        <v>10042</v>
      </c>
      <c r="P1755" s="17">
        <v>45863</v>
      </c>
      <c r="Q1755" s="4">
        <v>6</v>
      </c>
    </row>
    <row r="1756" spans="1:17" x14ac:dyDescent="0.25">
      <c r="A1756" s="2" t="s">
        <v>2212</v>
      </c>
      <c r="B1756" s="3" t="s">
        <v>5015</v>
      </c>
      <c r="C1756" s="3">
        <v>35</v>
      </c>
      <c r="D1756" s="46" t="str">
        <f>IF(Tabla1[[#This Row],[EDAD]]&lt;=35,"Adultos jóvenes 18 - 35 años",IF(C1756&gt;=36,"Adultos mayores 36 años en adelante"))</f>
        <v>Adultos jóvenes 18 - 35 años</v>
      </c>
      <c r="E1756" s="3" t="s">
        <v>5018</v>
      </c>
      <c r="F1756" s="3" t="s">
        <v>5028</v>
      </c>
      <c r="G1756" s="3" t="s">
        <v>5034</v>
      </c>
      <c r="H1756" s="3" t="s">
        <v>7235</v>
      </c>
      <c r="I1756" s="17">
        <v>45701</v>
      </c>
      <c r="J1756" s="18">
        <f>YEAR(Tabla1[[#This Row],[FECHA DE COMPRA]])</f>
        <v>2025</v>
      </c>
      <c r="K1756" s="19">
        <v>17.97</v>
      </c>
      <c r="L1756" s="20">
        <v>0.3</v>
      </c>
      <c r="M1756" s="19">
        <f>Tienda!$K4721-Tienda!$K4721*Tienda!$L4721</f>
        <v>15.672000000000001</v>
      </c>
      <c r="N1756" s="3" t="s">
        <v>10038</v>
      </c>
      <c r="O1756" s="3" t="s">
        <v>10042</v>
      </c>
      <c r="P1756" s="17">
        <v>45934</v>
      </c>
      <c r="Q1756" s="4">
        <v>9</v>
      </c>
    </row>
    <row r="1757" spans="1:17" x14ac:dyDescent="0.25">
      <c r="A1757" s="2" t="s">
        <v>1423</v>
      </c>
      <c r="B1757" s="3" t="s">
        <v>5015</v>
      </c>
      <c r="C1757" s="3">
        <v>26</v>
      </c>
      <c r="D1757" s="46" t="str">
        <f>IF(Tabla1[[#This Row],[EDAD]]&lt;=35,"Adultos jóvenes 18 - 35 años",IF(C1757&gt;=36,"Adultos mayores 36 años en adelante"))</f>
        <v>Adultos jóvenes 18 - 35 años</v>
      </c>
      <c r="E1757" s="3" t="s">
        <v>5021</v>
      </c>
      <c r="F1757" s="3" t="s">
        <v>5029</v>
      </c>
      <c r="G1757" s="3" t="s">
        <v>5032</v>
      </c>
      <c r="H1757" s="3" t="s">
        <v>6446</v>
      </c>
      <c r="I1757" s="17">
        <v>45701</v>
      </c>
      <c r="J1757" s="18">
        <f>YEAR(Tabla1[[#This Row],[FECHA DE COMPRA]])</f>
        <v>2025</v>
      </c>
      <c r="K1757" s="19">
        <v>22.83</v>
      </c>
      <c r="L1757" s="20">
        <v>0.1</v>
      </c>
      <c r="M1757" s="19">
        <f>Tienda!$K4722-Tienda!$K4722*Tienda!$L4722</f>
        <v>17.015999999999998</v>
      </c>
      <c r="N1757" s="3" t="s">
        <v>10038</v>
      </c>
      <c r="O1757" s="3" t="s">
        <v>10042</v>
      </c>
      <c r="P1757" s="17">
        <v>45750</v>
      </c>
      <c r="Q1757" s="4">
        <v>3</v>
      </c>
    </row>
    <row r="1758" spans="1:17" x14ac:dyDescent="0.25">
      <c r="A1758" s="2" t="s">
        <v>909</v>
      </c>
      <c r="B1758" s="3" t="s">
        <v>5015</v>
      </c>
      <c r="C1758" s="3">
        <v>30</v>
      </c>
      <c r="D1758" s="46" t="str">
        <f>IF(Tabla1[[#This Row],[EDAD]]&lt;=35,"Adultos jóvenes 18 - 35 años",IF(C1758&gt;=36,"Adultos mayores 36 años en adelante"))</f>
        <v>Adultos jóvenes 18 - 35 años</v>
      </c>
      <c r="E1758" s="3" t="s">
        <v>5022</v>
      </c>
      <c r="F1758" s="3" t="s">
        <v>5026</v>
      </c>
      <c r="G1758" s="3" t="s">
        <v>5037</v>
      </c>
      <c r="H1758" s="3" t="s">
        <v>5932</v>
      </c>
      <c r="I1758" s="17">
        <v>45701</v>
      </c>
      <c r="J1758" s="18">
        <f>YEAR(Tabla1[[#This Row],[FECHA DE COMPRA]])</f>
        <v>2025</v>
      </c>
      <c r="K1758" s="19">
        <v>24.32</v>
      </c>
      <c r="L1758" s="20">
        <v>0.2</v>
      </c>
      <c r="M1758" s="19">
        <f>Tienda!$K4723-Tienda!$K4723*Tienda!$L4723</f>
        <v>18.928000000000001</v>
      </c>
      <c r="N1758" s="3" t="s">
        <v>10038</v>
      </c>
      <c r="O1758" s="3" t="s">
        <v>10042</v>
      </c>
      <c r="P1758" s="17">
        <v>45760</v>
      </c>
      <c r="Q1758" s="4">
        <v>3</v>
      </c>
    </row>
    <row r="1759" spans="1:17" x14ac:dyDescent="0.25">
      <c r="A1759" s="2" t="s">
        <v>3457</v>
      </c>
      <c r="B1759" s="3" t="s">
        <v>5015</v>
      </c>
      <c r="C1759" s="3">
        <v>23</v>
      </c>
      <c r="D1759" s="46" t="str">
        <f>IF(Tabla1[[#This Row],[EDAD]]&lt;=35,"Adultos jóvenes 18 - 35 años",IF(C1759&gt;=36,"Adultos mayores 36 años en adelante"))</f>
        <v>Adultos jóvenes 18 - 35 años</v>
      </c>
      <c r="E1759" s="3" t="s">
        <v>5023</v>
      </c>
      <c r="F1759" s="3" t="s">
        <v>5025</v>
      </c>
      <c r="G1759" s="3" t="s">
        <v>5036</v>
      </c>
      <c r="H1759" s="3" t="s">
        <v>8480</v>
      </c>
      <c r="I1759" s="17">
        <v>45672</v>
      </c>
      <c r="J1759" s="18">
        <f>YEAR(Tabla1[[#This Row],[FECHA DE COMPRA]])</f>
        <v>2025</v>
      </c>
      <c r="K1759" s="19">
        <v>30.54</v>
      </c>
      <c r="L1759" s="20">
        <v>0.2</v>
      </c>
      <c r="M1759" s="19">
        <f>Tienda!$K4725-Tienda!$K4725*Tienda!$L4725</f>
        <v>30.095999999999997</v>
      </c>
      <c r="N1759" s="3" t="s">
        <v>10038</v>
      </c>
      <c r="O1759" s="3" t="s">
        <v>10042</v>
      </c>
      <c r="P1759" s="17">
        <v>45852</v>
      </c>
      <c r="Q1759" s="4">
        <v>6</v>
      </c>
    </row>
    <row r="1760" spans="1:17" x14ac:dyDescent="0.25">
      <c r="A1760" s="2" t="s">
        <v>905</v>
      </c>
      <c r="B1760" s="3" t="s">
        <v>5015</v>
      </c>
      <c r="C1760" s="3">
        <v>19</v>
      </c>
      <c r="D1760" s="46" t="str">
        <f>IF(Tabla1[[#This Row],[EDAD]]&lt;=35,"Adultos jóvenes 18 - 35 años",IF(C1760&gt;=36,"Adultos mayores 36 años en adelante"))</f>
        <v>Adultos jóvenes 18 - 35 años</v>
      </c>
      <c r="E1760" s="3" t="s">
        <v>5020</v>
      </c>
      <c r="F1760" s="3" t="s">
        <v>5030</v>
      </c>
      <c r="G1760" s="3" t="s">
        <v>5032</v>
      </c>
      <c r="H1760" s="3" t="s">
        <v>5928</v>
      </c>
      <c r="I1760" s="17">
        <v>45672</v>
      </c>
      <c r="J1760" s="18">
        <f>YEAR(Tabla1[[#This Row],[FECHA DE COMPRA]])</f>
        <v>2025</v>
      </c>
      <c r="K1760" s="19">
        <v>44.49</v>
      </c>
      <c r="L1760" s="20">
        <v>0.3</v>
      </c>
      <c r="M1760" s="19">
        <f>Tienda!$K4728-Tienda!$K4728*Tienda!$L4728</f>
        <v>54.828000000000003</v>
      </c>
      <c r="N1760" s="3" t="s">
        <v>10038</v>
      </c>
      <c r="O1760" s="3" t="s">
        <v>10042</v>
      </c>
      <c r="P1760" s="17">
        <v>45852</v>
      </c>
      <c r="Q1760" s="4">
        <v>6</v>
      </c>
    </row>
    <row r="1761" spans="1:17" x14ac:dyDescent="0.25">
      <c r="A1761" s="2" t="s">
        <v>4371</v>
      </c>
      <c r="B1761" s="3" t="s">
        <v>5015</v>
      </c>
      <c r="C1761" s="3">
        <v>28</v>
      </c>
      <c r="D1761" s="46" t="str">
        <f>IF(Tabla1[[#This Row],[EDAD]]&lt;=35,"Adultos jóvenes 18 - 35 años",IF(C1761&gt;=36,"Adultos mayores 36 años en adelante"))</f>
        <v>Adultos jóvenes 18 - 35 años</v>
      </c>
      <c r="E1761" s="3" t="s">
        <v>5020</v>
      </c>
      <c r="F1761" s="3" t="s">
        <v>5029</v>
      </c>
      <c r="G1761" s="3" t="s">
        <v>5037</v>
      </c>
      <c r="H1761" s="3" t="s">
        <v>9394</v>
      </c>
      <c r="I1761" s="17">
        <v>45701</v>
      </c>
      <c r="J1761" s="18">
        <f>YEAR(Tabla1[[#This Row],[FECHA DE COMPRA]])</f>
        <v>2025</v>
      </c>
      <c r="K1761" s="19">
        <v>62.48</v>
      </c>
      <c r="L1761" s="20">
        <v>0.1</v>
      </c>
      <c r="M1761" s="19">
        <f>Tienda!$K4729-Tienda!$K4729*Tienda!$L4729</f>
        <v>57.834000000000003</v>
      </c>
      <c r="N1761" s="3" t="s">
        <v>10038</v>
      </c>
      <c r="O1761" s="3" t="s">
        <v>10042</v>
      </c>
      <c r="P1761" s="17">
        <v>46024</v>
      </c>
      <c r="Q1761" s="4">
        <v>12</v>
      </c>
    </row>
    <row r="1762" spans="1:17" x14ac:dyDescent="0.25">
      <c r="A1762" s="2" t="s">
        <v>2782</v>
      </c>
      <c r="B1762" s="3" t="s">
        <v>5015</v>
      </c>
      <c r="C1762" s="3">
        <v>34</v>
      </c>
      <c r="D1762" s="46" t="str">
        <f>IF(Tabla1[[#This Row],[EDAD]]&lt;=35,"Adultos jóvenes 18 - 35 años",IF(C1762&gt;=36,"Adultos mayores 36 años en adelante"))</f>
        <v>Adultos jóvenes 18 - 35 años</v>
      </c>
      <c r="E1762" s="3" t="s">
        <v>5018</v>
      </c>
      <c r="F1762" s="3" t="s">
        <v>5028</v>
      </c>
      <c r="G1762" s="3" t="s">
        <v>5037</v>
      </c>
      <c r="H1762" s="3" t="s">
        <v>7805</v>
      </c>
      <c r="I1762" s="17">
        <v>45701</v>
      </c>
      <c r="J1762" s="18">
        <f>YEAR(Tabla1[[#This Row],[FECHA DE COMPRA]])</f>
        <v>2025</v>
      </c>
      <c r="K1762" s="19">
        <v>68.42</v>
      </c>
      <c r="L1762" s="20">
        <v>0.1</v>
      </c>
      <c r="M1762" s="19">
        <f>Tienda!$K4730-Tienda!$K4730*Tienda!$L4730</f>
        <v>62.747999999999998</v>
      </c>
      <c r="N1762" s="3" t="s">
        <v>10038</v>
      </c>
      <c r="O1762" s="3" t="s">
        <v>10042</v>
      </c>
      <c r="P1762" s="17">
        <v>45774</v>
      </c>
      <c r="Q1762" s="4">
        <v>3</v>
      </c>
    </row>
    <row r="1763" spans="1:17" x14ac:dyDescent="0.25">
      <c r="A1763" s="2" t="s">
        <v>1122</v>
      </c>
      <c r="B1763" s="3" t="s">
        <v>5015</v>
      </c>
      <c r="C1763" s="3">
        <v>35</v>
      </c>
      <c r="D1763" s="46" t="str">
        <f>IF(Tabla1[[#This Row],[EDAD]]&lt;=35,"Adultos jóvenes 18 - 35 años",IF(C1763&gt;=36,"Adultos mayores 36 años en adelante"))</f>
        <v>Adultos jóvenes 18 - 35 años</v>
      </c>
      <c r="E1763" s="3" t="s">
        <v>5023</v>
      </c>
      <c r="F1763" s="3" t="s">
        <v>5029</v>
      </c>
      <c r="G1763" s="3" t="s">
        <v>5034</v>
      </c>
      <c r="H1763" s="3" t="s">
        <v>6145</v>
      </c>
      <c r="I1763" s="17">
        <v>45685</v>
      </c>
      <c r="J1763" s="18">
        <f>YEAR(Tabla1[[#This Row],[FECHA DE COMPRA]])</f>
        <v>2025</v>
      </c>
      <c r="K1763" s="19">
        <v>77.77</v>
      </c>
      <c r="L1763" s="20">
        <v>0.1</v>
      </c>
      <c r="M1763" s="19">
        <f>Tienda!$K4733-Tienda!$K4733*Tienda!$L4733</f>
        <v>77.319000000000003</v>
      </c>
      <c r="N1763" s="3" t="s">
        <v>10038</v>
      </c>
      <c r="O1763" s="3" t="s">
        <v>10042</v>
      </c>
      <c r="P1763" s="17">
        <v>45865</v>
      </c>
      <c r="Q1763" s="4">
        <v>6</v>
      </c>
    </row>
    <row r="1764" spans="1:17" x14ac:dyDescent="0.25">
      <c r="A1764" s="2" t="s">
        <v>1940</v>
      </c>
      <c r="B1764" s="3" t="s">
        <v>5016</v>
      </c>
      <c r="C1764" s="3">
        <v>35</v>
      </c>
      <c r="D1764" s="46" t="str">
        <f>IF(Tabla1[[#This Row],[EDAD]]&lt;=35,"Adultos jóvenes 18 - 35 años",IF(C1764&gt;=36,"Adultos mayores 36 años en adelante"))</f>
        <v>Adultos jóvenes 18 - 35 años</v>
      </c>
      <c r="E1764" s="3" t="s">
        <v>5023</v>
      </c>
      <c r="F1764" s="3" t="s">
        <v>5028</v>
      </c>
      <c r="G1764" s="3" t="s">
        <v>5033</v>
      </c>
      <c r="H1764" s="3" t="s">
        <v>6963</v>
      </c>
      <c r="I1764" s="17">
        <v>45701</v>
      </c>
      <c r="J1764" s="18">
        <f>YEAR(Tabla1[[#This Row],[FECHA DE COMPRA]])</f>
        <v>2025</v>
      </c>
      <c r="K1764" s="19">
        <v>83.21</v>
      </c>
      <c r="L1764" s="20">
        <v>0</v>
      </c>
      <c r="M1764" s="19">
        <f>Tienda!$K4734-Tienda!$K4734*Tienda!$L4734</f>
        <v>77.570999999999998</v>
      </c>
      <c r="N1764" s="3" t="s">
        <v>10038</v>
      </c>
      <c r="O1764" s="3" t="s">
        <v>10042</v>
      </c>
      <c r="P1764" s="17">
        <v>45928</v>
      </c>
      <c r="Q1764" s="4">
        <v>9</v>
      </c>
    </row>
    <row r="1765" spans="1:17" x14ac:dyDescent="0.25">
      <c r="A1765" s="2" t="s">
        <v>3853</v>
      </c>
      <c r="B1765" s="3" t="s">
        <v>5015</v>
      </c>
      <c r="C1765" s="3">
        <v>35</v>
      </c>
      <c r="D1765" s="46" t="str">
        <f>IF(Tabla1[[#This Row],[EDAD]]&lt;=35,"Adultos jóvenes 18 - 35 años",IF(C1765&gt;=36,"Adultos mayores 36 años en adelante"))</f>
        <v>Adultos jóvenes 18 - 35 años</v>
      </c>
      <c r="E1765" s="3" t="s">
        <v>5023</v>
      </c>
      <c r="F1765" s="3" t="s">
        <v>5025</v>
      </c>
      <c r="G1765" s="3" t="s">
        <v>5033</v>
      </c>
      <c r="H1765" s="3" t="s">
        <v>8876</v>
      </c>
      <c r="I1765" s="17">
        <v>45701</v>
      </c>
      <c r="J1765" s="18">
        <f>YEAR(Tabla1[[#This Row],[FECHA DE COMPRA]])</f>
        <v>2025</v>
      </c>
      <c r="K1765" s="19">
        <v>101.05</v>
      </c>
      <c r="L1765" s="20">
        <v>0.3</v>
      </c>
      <c r="M1765" s="19">
        <f>Tienda!$K4738-Tienda!$K4738*Tienda!$L4738</f>
        <v>96.87</v>
      </c>
      <c r="N1765" s="3" t="s">
        <v>10038</v>
      </c>
      <c r="O1765" s="3" t="s">
        <v>10042</v>
      </c>
      <c r="P1765" s="17">
        <v>46035</v>
      </c>
      <c r="Q1765" s="4">
        <v>12</v>
      </c>
    </row>
    <row r="1766" spans="1:17" x14ac:dyDescent="0.25">
      <c r="A1766" s="2" t="s">
        <v>4897</v>
      </c>
      <c r="B1766" s="3" t="s">
        <v>5016</v>
      </c>
      <c r="C1766" s="3">
        <v>28</v>
      </c>
      <c r="D1766" s="46" t="str">
        <f>IF(Tabla1[[#This Row],[EDAD]]&lt;=35,"Adultos jóvenes 18 - 35 años",IF(C1766&gt;=36,"Adultos mayores 36 años en adelante"))</f>
        <v>Adultos jóvenes 18 - 35 años</v>
      </c>
      <c r="E1766" s="3" t="s">
        <v>5023</v>
      </c>
      <c r="F1766" s="3" t="s">
        <v>5030</v>
      </c>
      <c r="G1766" s="3" t="s">
        <v>5032</v>
      </c>
      <c r="H1766" s="3" t="s">
        <v>9920</v>
      </c>
      <c r="I1766" s="17">
        <v>45701</v>
      </c>
      <c r="J1766" s="18">
        <f>YEAR(Tabla1[[#This Row],[FECHA DE COMPRA]])</f>
        <v>2025</v>
      </c>
      <c r="K1766" s="19">
        <v>103.98</v>
      </c>
      <c r="L1766" s="20">
        <v>0</v>
      </c>
      <c r="M1766" s="19">
        <f>Tienda!$K4739-Tienda!$K4739*Tienda!$L4739</f>
        <v>69.180999999999997</v>
      </c>
      <c r="N1766" s="3" t="s">
        <v>10038</v>
      </c>
      <c r="O1766" s="3" t="s">
        <v>10042</v>
      </c>
      <c r="P1766" s="17">
        <v>45929</v>
      </c>
      <c r="Q1766" s="4">
        <v>9</v>
      </c>
    </row>
    <row r="1767" spans="1:17" x14ac:dyDescent="0.25">
      <c r="A1767" s="2" t="s">
        <v>4392</v>
      </c>
      <c r="B1767" s="3" t="s">
        <v>5015</v>
      </c>
      <c r="C1767" s="3">
        <v>18</v>
      </c>
      <c r="D1767" s="46" t="str">
        <f>IF(Tabla1[[#This Row],[EDAD]]&lt;=35,"Adultos jóvenes 18 - 35 años",IF(C1767&gt;=36,"Adultos mayores 36 años en adelante"))</f>
        <v>Adultos jóvenes 18 - 35 años</v>
      </c>
      <c r="E1767" s="3" t="s">
        <v>5018</v>
      </c>
      <c r="F1767" s="3" t="s">
        <v>5026</v>
      </c>
      <c r="G1767" s="3" t="s">
        <v>5037</v>
      </c>
      <c r="H1767" s="3" t="s">
        <v>9415</v>
      </c>
      <c r="I1767" s="17">
        <v>45667</v>
      </c>
      <c r="J1767" s="18">
        <f>YEAR(Tabla1[[#This Row],[FECHA DE COMPRA]])</f>
        <v>2025</v>
      </c>
      <c r="K1767" s="19">
        <v>128.30000000000001</v>
      </c>
      <c r="L1767" s="20">
        <v>0.3</v>
      </c>
      <c r="M1767" s="19">
        <f>Tienda!$K4741-Tienda!$K4741*Tienda!$L4741</f>
        <v>102.078</v>
      </c>
      <c r="N1767" s="3" t="s">
        <v>10038</v>
      </c>
      <c r="O1767" s="3" t="s">
        <v>10042</v>
      </c>
      <c r="P1767" s="17">
        <v>45847</v>
      </c>
      <c r="Q1767" s="4">
        <v>6</v>
      </c>
    </row>
    <row r="1768" spans="1:17" x14ac:dyDescent="0.25">
      <c r="A1768" s="2" t="s">
        <v>168</v>
      </c>
      <c r="B1768" s="3" t="s">
        <v>5015</v>
      </c>
      <c r="C1768" s="3">
        <v>32</v>
      </c>
      <c r="D1768" s="46" t="str">
        <f>IF(Tabla1[[#This Row],[EDAD]]&lt;=35,"Adultos jóvenes 18 - 35 años",IF(C1768&gt;=36,"Adultos mayores 36 años en adelante"))</f>
        <v>Adultos jóvenes 18 - 35 años</v>
      </c>
      <c r="E1768" s="3" t="s">
        <v>5022</v>
      </c>
      <c r="F1768" s="3" t="s">
        <v>5026</v>
      </c>
      <c r="G1768" s="3" t="s">
        <v>5034</v>
      </c>
      <c r="H1768" s="3" t="s">
        <v>5191</v>
      </c>
      <c r="I1768" s="17">
        <v>45688</v>
      </c>
      <c r="J1768" s="18">
        <f>YEAR(Tabla1[[#This Row],[FECHA DE COMPRA]])</f>
        <v>2025</v>
      </c>
      <c r="K1768" s="19">
        <v>129.71</v>
      </c>
      <c r="L1768" s="20">
        <v>0.1</v>
      </c>
      <c r="M1768" s="19">
        <f>Tienda!$K4742-Tienda!$K4742*Tienda!$L4742</f>
        <v>119.19</v>
      </c>
      <c r="N1768" s="3" t="s">
        <v>10038</v>
      </c>
      <c r="O1768" s="3" t="s">
        <v>10042</v>
      </c>
      <c r="P1768" s="17">
        <v>45868</v>
      </c>
      <c r="Q1768" s="4">
        <v>6</v>
      </c>
    </row>
    <row r="1769" spans="1:17" x14ac:dyDescent="0.25">
      <c r="A1769" s="2" t="s">
        <v>4327</v>
      </c>
      <c r="B1769" s="3" t="s">
        <v>5015</v>
      </c>
      <c r="C1769" s="3">
        <v>31</v>
      </c>
      <c r="D1769" s="46" t="str">
        <f>IF(Tabla1[[#This Row],[EDAD]]&lt;=35,"Adultos jóvenes 18 - 35 años",IF(C1769&gt;=36,"Adultos mayores 36 años en adelante"))</f>
        <v>Adultos jóvenes 18 - 35 años</v>
      </c>
      <c r="E1769" s="3" t="s">
        <v>5023</v>
      </c>
      <c r="F1769" s="3" t="s">
        <v>5029</v>
      </c>
      <c r="G1769" s="3" t="s">
        <v>5035</v>
      </c>
      <c r="H1769" s="3" t="s">
        <v>9350</v>
      </c>
      <c r="I1769" s="17">
        <v>45682</v>
      </c>
      <c r="J1769" s="18">
        <f>YEAR(Tabla1[[#This Row],[FECHA DE COMPRA]])</f>
        <v>2025</v>
      </c>
      <c r="K1769" s="19">
        <v>134.47</v>
      </c>
      <c r="L1769" s="20">
        <v>0.3</v>
      </c>
      <c r="M1769" s="19">
        <f>Tienda!$K4744-Tienda!$K4744*Tienda!$L4744</f>
        <v>93.722999999999985</v>
      </c>
      <c r="N1769" s="3" t="s">
        <v>10038</v>
      </c>
      <c r="O1769" s="3" t="s">
        <v>10042</v>
      </c>
      <c r="P1769" s="17">
        <v>46042</v>
      </c>
      <c r="Q1769" s="4">
        <v>12</v>
      </c>
    </row>
    <row r="1770" spans="1:17" x14ac:dyDescent="0.25">
      <c r="A1770" s="2" t="s">
        <v>3017</v>
      </c>
      <c r="B1770" s="3" t="s">
        <v>5015</v>
      </c>
      <c r="C1770" s="3">
        <v>25</v>
      </c>
      <c r="D1770" s="46" t="str">
        <f>IF(Tabla1[[#This Row],[EDAD]]&lt;=35,"Adultos jóvenes 18 - 35 años",IF(C1770&gt;=36,"Adultos mayores 36 años en adelante"))</f>
        <v>Adultos jóvenes 18 - 35 años</v>
      </c>
      <c r="E1770" s="3" t="s">
        <v>5023</v>
      </c>
      <c r="F1770" s="3" t="s">
        <v>5024</v>
      </c>
      <c r="G1770" s="3" t="s">
        <v>5036</v>
      </c>
      <c r="H1770" s="3" t="s">
        <v>8040</v>
      </c>
      <c r="I1770" s="17">
        <v>45684</v>
      </c>
      <c r="J1770" s="18">
        <f>YEAR(Tabla1[[#This Row],[FECHA DE COMPRA]])</f>
        <v>2025</v>
      </c>
      <c r="K1770" s="19">
        <v>139.83000000000001</v>
      </c>
      <c r="L1770" s="20">
        <v>0.3</v>
      </c>
      <c r="M1770" s="19">
        <f>Tienda!$K4746-Tienda!$K4746*Tienda!$L4746</f>
        <v>133.36199999999999</v>
      </c>
      <c r="N1770" s="3" t="s">
        <v>10038</v>
      </c>
      <c r="O1770" s="3" t="s">
        <v>10042</v>
      </c>
      <c r="P1770" s="17">
        <v>45954</v>
      </c>
      <c r="Q1770" s="4">
        <v>9</v>
      </c>
    </row>
    <row r="1771" spans="1:17" x14ac:dyDescent="0.25">
      <c r="A1771" s="2" t="s">
        <v>2194</v>
      </c>
      <c r="B1771" s="3" t="s">
        <v>5016</v>
      </c>
      <c r="C1771" s="3">
        <v>32</v>
      </c>
      <c r="D1771" s="46" t="str">
        <f>IF(Tabla1[[#This Row],[EDAD]]&lt;=35,"Adultos jóvenes 18 - 35 años",IF(C1771&gt;=36,"Adultos mayores 36 años en adelante"))</f>
        <v>Adultos jóvenes 18 - 35 años</v>
      </c>
      <c r="E1771" s="3" t="s">
        <v>5019</v>
      </c>
      <c r="F1771" s="3" t="s">
        <v>5030</v>
      </c>
      <c r="G1771" s="3" t="s">
        <v>5037</v>
      </c>
      <c r="H1771" s="3" t="s">
        <v>7217</v>
      </c>
      <c r="I1771" s="17">
        <v>45663</v>
      </c>
      <c r="J1771" s="18">
        <f>YEAR(Tabla1[[#This Row],[FECHA DE COMPRA]])</f>
        <v>2025</v>
      </c>
      <c r="K1771" s="19">
        <v>140.77000000000001</v>
      </c>
      <c r="L1771" s="20">
        <v>0</v>
      </c>
      <c r="M1771" s="19">
        <f>Tienda!$K4747-Tienda!$K4747*Tienda!$L4747</f>
        <v>143.19</v>
      </c>
      <c r="N1771" s="3" t="s">
        <v>10038</v>
      </c>
      <c r="O1771" s="3" t="s">
        <v>10042</v>
      </c>
      <c r="P1771" s="17">
        <v>46023</v>
      </c>
      <c r="Q1771" s="4">
        <v>12</v>
      </c>
    </row>
    <row r="1772" spans="1:17" x14ac:dyDescent="0.25">
      <c r="A1772" s="2" t="s">
        <v>4287</v>
      </c>
      <c r="B1772" s="3" t="s">
        <v>5015</v>
      </c>
      <c r="C1772" s="3">
        <v>33</v>
      </c>
      <c r="D1772" s="46" t="str">
        <f>IF(Tabla1[[#This Row],[EDAD]]&lt;=35,"Adultos jóvenes 18 - 35 años",IF(C1772&gt;=36,"Adultos mayores 36 años en adelante"))</f>
        <v>Adultos jóvenes 18 - 35 años</v>
      </c>
      <c r="E1772" s="3" t="s">
        <v>5022</v>
      </c>
      <c r="F1772" s="3" t="s">
        <v>5030</v>
      </c>
      <c r="G1772" s="3" t="s">
        <v>5036</v>
      </c>
      <c r="H1772" s="3" t="s">
        <v>9310</v>
      </c>
      <c r="I1772" s="17">
        <v>45663</v>
      </c>
      <c r="J1772" s="18">
        <f>YEAR(Tabla1[[#This Row],[FECHA DE COMPRA]])</f>
        <v>2025</v>
      </c>
      <c r="K1772" s="19">
        <v>169.19</v>
      </c>
      <c r="L1772" s="20">
        <v>0.1</v>
      </c>
      <c r="M1772" s="19">
        <f>Tienda!$K4749-Tienda!$K4749*Tienda!$L4749</f>
        <v>161.18100000000001</v>
      </c>
      <c r="N1772" s="3" t="s">
        <v>10038</v>
      </c>
      <c r="O1772" s="3" t="s">
        <v>10042</v>
      </c>
      <c r="P1772" s="17">
        <v>45933</v>
      </c>
      <c r="Q1772" s="4">
        <v>9</v>
      </c>
    </row>
    <row r="1773" spans="1:17" x14ac:dyDescent="0.25">
      <c r="A1773" s="2" t="s">
        <v>171</v>
      </c>
      <c r="B1773" s="3" t="s">
        <v>5015</v>
      </c>
      <c r="C1773" s="3">
        <v>27</v>
      </c>
      <c r="D1773" s="46" t="str">
        <f>IF(Tabla1[[#This Row],[EDAD]]&lt;=35,"Adultos jóvenes 18 - 35 años",IF(C1773&gt;=36,"Adultos mayores 36 años en adelante"))</f>
        <v>Adultos jóvenes 18 - 35 años</v>
      </c>
      <c r="E1773" s="3" t="s">
        <v>5019</v>
      </c>
      <c r="F1773" s="3" t="s">
        <v>5029</v>
      </c>
      <c r="G1773" s="3" t="s">
        <v>5035</v>
      </c>
      <c r="H1773" s="3" t="s">
        <v>5194</v>
      </c>
      <c r="I1773" s="17">
        <v>45665</v>
      </c>
      <c r="J1773" s="18">
        <f>YEAR(Tabla1[[#This Row],[FECHA DE COMPRA]])</f>
        <v>2025</v>
      </c>
      <c r="K1773" s="19">
        <v>176.81</v>
      </c>
      <c r="L1773" s="20">
        <v>0.1</v>
      </c>
      <c r="M1773" s="19">
        <f>Tienda!$K4750-Tienda!$K4750*Tienda!$L4750</f>
        <v>152.21600000000001</v>
      </c>
      <c r="N1773" s="3" t="s">
        <v>10038</v>
      </c>
      <c r="O1773" s="3" t="s">
        <v>10042</v>
      </c>
      <c r="P1773" s="17">
        <v>45755</v>
      </c>
      <c r="Q1773" s="4">
        <v>3</v>
      </c>
    </row>
    <row r="1774" spans="1:17" x14ac:dyDescent="0.25">
      <c r="A1774" s="2" t="s">
        <v>3971</v>
      </c>
      <c r="B1774" s="3" t="s">
        <v>5016</v>
      </c>
      <c r="C1774" s="3">
        <v>18</v>
      </c>
      <c r="D1774" s="46" t="str">
        <f>IF(Tabla1[[#This Row],[EDAD]]&lt;=35,"Adultos jóvenes 18 - 35 años",IF(C1774&gt;=36,"Adultos mayores 36 años en adelante"))</f>
        <v>Adultos jóvenes 18 - 35 años</v>
      </c>
      <c r="E1774" s="3" t="s">
        <v>5017</v>
      </c>
      <c r="F1774" s="3" t="s">
        <v>5028</v>
      </c>
      <c r="G1774" s="3" t="s">
        <v>5037</v>
      </c>
      <c r="H1774" s="3" t="s">
        <v>8994</v>
      </c>
      <c r="I1774" s="17">
        <v>45680</v>
      </c>
      <c r="J1774" s="18">
        <f>YEAR(Tabla1[[#This Row],[FECHA DE COMPRA]])</f>
        <v>2025</v>
      </c>
      <c r="K1774" s="19">
        <v>183.26</v>
      </c>
      <c r="L1774" s="20">
        <v>0</v>
      </c>
      <c r="M1774" s="19">
        <f>Tienda!$K4754-Tienda!$K4754*Tienda!$L4754</f>
        <v>21.490000000000002</v>
      </c>
      <c r="N1774" s="3" t="s">
        <v>10038</v>
      </c>
      <c r="O1774" s="3" t="s">
        <v>10042</v>
      </c>
      <c r="P1774" s="17">
        <v>45950</v>
      </c>
      <c r="Q1774" s="4">
        <v>9</v>
      </c>
    </row>
    <row r="1775" spans="1:17" x14ac:dyDescent="0.25">
      <c r="A1775" s="2" t="s">
        <v>2060</v>
      </c>
      <c r="B1775" s="3" t="s">
        <v>5015</v>
      </c>
      <c r="C1775" s="3">
        <v>20</v>
      </c>
      <c r="D1775" s="46" t="str">
        <f>IF(Tabla1[[#This Row],[EDAD]]&lt;=35,"Adultos jóvenes 18 - 35 años",IF(C1775&gt;=36,"Adultos mayores 36 años en adelante"))</f>
        <v>Adultos jóvenes 18 - 35 años</v>
      </c>
      <c r="E1775" s="3" t="s">
        <v>5022</v>
      </c>
      <c r="F1775" s="3" t="s">
        <v>5025</v>
      </c>
      <c r="G1775" s="3" t="s">
        <v>5035</v>
      </c>
      <c r="H1775" s="3" t="s">
        <v>7083</v>
      </c>
      <c r="I1775" s="17">
        <v>45689</v>
      </c>
      <c r="J1775" s="18">
        <f>YEAR(Tabla1[[#This Row],[FECHA DE COMPRA]])</f>
        <v>2025</v>
      </c>
      <c r="K1775" s="19">
        <v>118.13</v>
      </c>
      <c r="L1775" s="20">
        <v>0.3</v>
      </c>
      <c r="M1775" s="19">
        <f>Tienda!$K4759-Tienda!$K4759*Tienda!$L4759</f>
        <v>67.56</v>
      </c>
      <c r="N1775" s="3" t="s">
        <v>10038</v>
      </c>
      <c r="O1775" s="3" t="s">
        <v>10042</v>
      </c>
      <c r="P1775" s="17">
        <v>46049</v>
      </c>
      <c r="Q1775" s="4">
        <v>12</v>
      </c>
    </row>
    <row r="1776" spans="1:17" x14ac:dyDescent="0.25">
      <c r="A1776" s="2" t="s">
        <v>346</v>
      </c>
      <c r="B1776" s="3" t="s">
        <v>5016</v>
      </c>
      <c r="C1776" s="3">
        <v>31</v>
      </c>
      <c r="D1776" s="46" t="str">
        <f>IF(Tabla1[[#This Row],[EDAD]]&lt;=35,"Adultos jóvenes 18 - 35 años",IF(C1776&gt;=36,"Adultos mayores 36 años en adelante"))</f>
        <v>Adultos jóvenes 18 - 35 años</v>
      </c>
      <c r="E1776" s="3" t="s">
        <v>5021</v>
      </c>
      <c r="F1776" s="3" t="s">
        <v>5028</v>
      </c>
      <c r="G1776" s="3" t="s">
        <v>5032</v>
      </c>
      <c r="H1776" s="3" t="s">
        <v>5369</v>
      </c>
      <c r="I1776" s="17">
        <v>45696</v>
      </c>
      <c r="J1776" s="18">
        <f>YEAR(Tabla1[[#This Row],[FECHA DE COMPRA]])</f>
        <v>2025</v>
      </c>
      <c r="K1776" s="19">
        <v>58.3</v>
      </c>
      <c r="L1776" s="20">
        <v>0.2</v>
      </c>
      <c r="M1776" s="19">
        <f>Tienda!$K4768-Tienda!$K4768*Tienda!$L4768</f>
        <v>136.93599999999998</v>
      </c>
      <c r="N1776" s="3" t="s">
        <v>10038</v>
      </c>
      <c r="O1776" s="3" t="s">
        <v>10042</v>
      </c>
      <c r="P1776" s="17">
        <v>46056</v>
      </c>
      <c r="Q1776" s="4">
        <v>12</v>
      </c>
    </row>
    <row r="1777" spans="1:17" x14ac:dyDescent="0.25">
      <c r="A1777" s="2" t="s">
        <v>4042</v>
      </c>
      <c r="B1777" s="3" t="s">
        <v>5015</v>
      </c>
      <c r="C1777" s="3">
        <v>31</v>
      </c>
      <c r="D1777" s="46" t="str">
        <f>IF(Tabla1[[#This Row],[EDAD]]&lt;=35,"Adultos jóvenes 18 - 35 años",IF(C1777&gt;=36,"Adultos mayores 36 años en adelante"))</f>
        <v>Adultos jóvenes 18 - 35 años</v>
      </c>
      <c r="E1777" s="3" t="s">
        <v>5023</v>
      </c>
      <c r="F1777" s="3" t="s">
        <v>5026</v>
      </c>
      <c r="G1777" s="3" t="s">
        <v>5031</v>
      </c>
      <c r="H1777" s="3" t="s">
        <v>9065</v>
      </c>
      <c r="I1777" s="17">
        <v>45700</v>
      </c>
      <c r="J1777" s="18">
        <f>YEAR(Tabla1[[#This Row],[FECHA DE COMPRA]])</f>
        <v>2025</v>
      </c>
      <c r="K1777" s="19">
        <v>96.8</v>
      </c>
      <c r="L1777" s="20">
        <v>0.1</v>
      </c>
      <c r="M1777" s="19">
        <f>Tienda!$K4775-Tienda!$K4775*Tienda!$L4775</f>
        <v>190.94</v>
      </c>
      <c r="N1777" s="3" t="s">
        <v>10038</v>
      </c>
      <c r="O1777" s="3" t="s">
        <v>10042</v>
      </c>
      <c r="P1777" s="17">
        <v>45880</v>
      </c>
      <c r="Q1777" s="4">
        <v>6</v>
      </c>
    </row>
    <row r="1778" spans="1:17" x14ac:dyDescent="0.25">
      <c r="A1778" s="2" t="s">
        <v>4141</v>
      </c>
      <c r="B1778" s="3" t="s">
        <v>5015</v>
      </c>
      <c r="C1778" s="3">
        <v>32</v>
      </c>
      <c r="D1778" s="46" t="str">
        <f>IF(Tabla1[[#This Row],[EDAD]]&lt;=35,"Adultos jóvenes 18 - 35 años",IF(C1778&gt;=36,"Adultos mayores 36 años en adelante"))</f>
        <v>Adultos jóvenes 18 - 35 años</v>
      </c>
      <c r="E1778" s="3" t="s">
        <v>5022</v>
      </c>
      <c r="F1778" s="3" t="s">
        <v>5028</v>
      </c>
      <c r="G1778" s="3" t="s">
        <v>5035</v>
      </c>
      <c r="H1778" s="3" t="s">
        <v>9164</v>
      </c>
      <c r="I1778" s="17">
        <v>45700</v>
      </c>
      <c r="J1778" s="18">
        <f>YEAR(Tabla1[[#This Row],[FECHA DE COMPRA]])</f>
        <v>2025</v>
      </c>
      <c r="K1778" s="19">
        <v>196.58</v>
      </c>
      <c r="L1778" s="20">
        <v>0.3</v>
      </c>
      <c r="M1778" s="19">
        <f>Tienda!$K4776-Tienda!$K4776*Tienda!$L4776</f>
        <v>191.08</v>
      </c>
      <c r="N1778" s="3" t="s">
        <v>10038</v>
      </c>
      <c r="O1778" s="3" t="s">
        <v>10042</v>
      </c>
      <c r="P1778" s="17">
        <v>45970</v>
      </c>
      <c r="Q1778" s="4">
        <v>9</v>
      </c>
    </row>
    <row r="1779" spans="1:17" x14ac:dyDescent="0.25">
      <c r="A1779" s="2" t="s">
        <v>4035</v>
      </c>
      <c r="B1779" s="3" t="s">
        <v>5016</v>
      </c>
      <c r="C1779" s="3">
        <v>24</v>
      </c>
      <c r="D1779" s="46" t="str">
        <f>IF(Tabla1[[#This Row],[EDAD]]&lt;=35,"Adultos jóvenes 18 - 35 años",IF(C1779&gt;=36,"Adultos mayores 36 años en adelante"))</f>
        <v>Adultos jóvenes 18 - 35 años</v>
      </c>
      <c r="E1779" s="3" t="s">
        <v>5021</v>
      </c>
      <c r="F1779" s="3" t="s">
        <v>5024</v>
      </c>
      <c r="G1779" s="3" t="s">
        <v>5032</v>
      </c>
      <c r="H1779" s="3" t="s">
        <v>9058</v>
      </c>
      <c r="I1779" s="17">
        <v>45702</v>
      </c>
      <c r="J1779" s="18">
        <f>YEAR(Tabla1[[#This Row],[FECHA DE COMPRA]])</f>
        <v>2025</v>
      </c>
      <c r="K1779" s="19">
        <v>63.1</v>
      </c>
      <c r="L1779" s="20">
        <v>0.2</v>
      </c>
      <c r="M1779" s="19">
        <f>Tienda!$K4777-Tienda!$K4777*Tienda!$L4777</f>
        <v>19.391999999999999</v>
      </c>
      <c r="N1779" s="3" t="s">
        <v>10038</v>
      </c>
      <c r="O1779" s="3" t="s">
        <v>10042</v>
      </c>
      <c r="P1779" s="17">
        <v>45882</v>
      </c>
      <c r="Q1779" s="4">
        <v>6</v>
      </c>
    </row>
    <row r="1780" spans="1:17" x14ac:dyDescent="0.25">
      <c r="A1780" s="2" t="s">
        <v>3677</v>
      </c>
      <c r="B1780" s="3" t="s">
        <v>5016</v>
      </c>
      <c r="C1780" s="3">
        <v>30</v>
      </c>
      <c r="D1780" s="46" t="str">
        <f>IF(Tabla1[[#This Row],[EDAD]]&lt;=35,"Adultos jóvenes 18 - 35 años",IF(C1780&gt;=36,"Adultos mayores 36 años en adelante"))</f>
        <v>Adultos jóvenes 18 - 35 años</v>
      </c>
      <c r="E1780" s="3" t="s">
        <v>5017</v>
      </c>
      <c r="F1780" s="3" t="s">
        <v>5025</v>
      </c>
      <c r="G1780" s="3" t="s">
        <v>5032</v>
      </c>
      <c r="H1780" s="3" t="s">
        <v>8700</v>
      </c>
      <c r="I1780" s="17">
        <v>45702</v>
      </c>
      <c r="J1780" s="18">
        <f>YEAR(Tabla1[[#This Row],[FECHA DE COMPRA]])</f>
        <v>2025</v>
      </c>
      <c r="K1780" s="19">
        <v>97.04</v>
      </c>
      <c r="L1780" s="20">
        <v>0.2</v>
      </c>
      <c r="M1780" s="19">
        <f>Tienda!$K4778-Tienda!$K4778*Tienda!$L4778</f>
        <v>26.38</v>
      </c>
      <c r="N1780" s="3" t="s">
        <v>10038</v>
      </c>
      <c r="O1780" s="3" t="s">
        <v>10042</v>
      </c>
      <c r="P1780" s="17">
        <v>46062</v>
      </c>
      <c r="Q1780" s="4">
        <v>12</v>
      </c>
    </row>
    <row r="1781" spans="1:17" x14ac:dyDescent="0.25">
      <c r="A1781" s="2" t="s">
        <v>3545</v>
      </c>
      <c r="B1781" s="3" t="s">
        <v>5015</v>
      </c>
      <c r="C1781" s="3">
        <v>30</v>
      </c>
      <c r="D1781" s="46" t="str">
        <f>IF(Tabla1[[#This Row],[EDAD]]&lt;=35,"Adultos jóvenes 18 - 35 años",IF(C1781&gt;=36,"Adultos mayores 36 años en adelante"))</f>
        <v>Adultos jóvenes 18 - 35 años</v>
      </c>
      <c r="E1781" s="3" t="s">
        <v>5023</v>
      </c>
      <c r="F1781" s="3" t="s">
        <v>5027</v>
      </c>
      <c r="G1781" s="3" t="s">
        <v>5035</v>
      </c>
      <c r="H1781" s="3" t="s">
        <v>8568</v>
      </c>
      <c r="I1781" s="17">
        <v>45702</v>
      </c>
      <c r="J1781" s="18">
        <f>YEAR(Tabla1[[#This Row],[FECHA DE COMPRA]])</f>
        <v>2025</v>
      </c>
      <c r="K1781" s="19">
        <v>97.71</v>
      </c>
      <c r="L1781" s="20">
        <v>0.3</v>
      </c>
      <c r="M1781" s="19">
        <f>Tienda!$K4779-Tienda!$K4779*Tienda!$L4779</f>
        <v>25.631999999999998</v>
      </c>
      <c r="N1781" s="3" t="s">
        <v>10038</v>
      </c>
      <c r="O1781" s="3" t="s">
        <v>10042</v>
      </c>
      <c r="P1781" s="17">
        <v>45972</v>
      </c>
      <c r="Q1781" s="4">
        <v>9</v>
      </c>
    </row>
    <row r="1782" spans="1:17" x14ac:dyDescent="0.25">
      <c r="A1782" s="2" t="s">
        <v>260</v>
      </c>
      <c r="B1782" s="3" t="s">
        <v>5015</v>
      </c>
      <c r="C1782" s="3">
        <v>20</v>
      </c>
      <c r="D1782" s="46" t="str">
        <f>IF(Tabla1[[#This Row],[EDAD]]&lt;=35,"Adultos jóvenes 18 - 35 años",IF(C1782&gt;=36,"Adultos mayores 36 años en adelante"))</f>
        <v>Adultos jóvenes 18 - 35 años</v>
      </c>
      <c r="E1782" s="3" t="s">
        <v>5022</v>
      </c>
      <c r="F1782" s="3" t="s">
        <v>5030</v>
      </c>
      <c r="G1782" s="3" t="s">
        <v>5031</v>
      </c>
      <c r="H1782" s="3" t="s">
        <v>5283</v>
      </c>
      <c r="I1782" s="17">
        <v>45706</v>
      </c>
      <c r="J1782" s="18">
        <f>YEAR(Tabla1[[#This Row],[FECHA DE COMPRA]])</f>
        <v>2025</v>
      </c>
      <c r="K1782" s="19">
        <v>103.82</v>
      </c>
      <c r="L1782" s="20">
        <v>0</v>
      </c>
      <c r="M1782" s="19">
        <f>Tienda!$K4785-Tienda!$K4785*Tienda!$L4785</f>
        <v>163.5</v>
      </c>
      <c r="N1782" s="3" t="s">
        <v>10038</v>
      </c>
      <c r="O1782" s="3" t="s">
        <v>10042</v>
      </c>
      <c r="P1782" s="17">
        <v>46066</v>
      </c>
      <c r="Q1782" s="4">
        <v>12</v>
      </c>
    </row>
    <row r="1783" spans="1:17" x14ac:dyDescent="0.25">
      <c r="A1783" s="2" t="s">
        <v>790</v>
      </c>
      <c r="B1783" s="3" t="s">
        <v>5015</v>
      </c>
      <c r="C1783" s="3">
        <v>35</v>
      </c>
      <c r="D1783" s="46" t="str">
        <f>IF(Tabla1[[#This Row],[EDAD]]&lt;=35,"Adultos jóvenes 18 - 35 años",IF(C1783&gt;=36,"Adultos mayores 36 años en adelante"))</f>
        <v>Adultos jóvenes 18 - 35 años</v>
      </c>
      <c r="E1783" s="3" t="s">
        <v>5018</v>
      </c>
      <c r="F1783" s="3" t="s">
        <v>5025</v>
      </c>
      <c r="G1783" s="3" t="s">
        <v>5037</v>
      </c>
      <c r="H1783" s="3" t="s">
        <v>5813</v>
      </c>
      <c r="I1783" s="17">
        <v>45708</v>
      </c>
      <c r="J1783" s="18">
        <f>YEAR(Tabla1[[#This Row],[FECHA DE COMPRA]])</f>
        <v>2025</v>
      </c>
      <c r="K1783" s="19">
        <v>122.33</v>
      </c>
      <c r="L1783" s="20">
        <v>0.2</v>
      </c>
      <c r="M1783" s="19">
        <f>Tienda!$K4789-Tienda!$K4789*Tienda!$L4789</f>
        <v>23.96</v>
      </c>
      <c r="N1783" s="3" t="s">
        <v>10038</v>
      </c>
      <c r="O1783" s="3" t="s">
        <v>10042</v>
      </c>
      <c r="P1783" s="17">
        <v>46068</v>
      </c>
      <c r="Q1783" s="4">
        <v>12</v>
      </c>
    </row>
    <row r="1784" spans="1:17" x14ac:dyDescent="0.25">
      <c r="A1784" s="2" t="s">
        <v>3096</v>
      </c>
      <c r="B1784" s="3" t="s">
        <v>5015</v>
      </c>
      <c r="C1784" s="3">
        <v>35</v>
      </c>
      <c r="D1784" s="46" t="str">
        <f>IF(Tabla1[[#This Row],[EDAD]]&lt;=35,"Adultos jóvenes 18 - 35 años",IF(C1784&gt;=36,"Adultos mayores 36 años en adelante"))</f>
        <v>Adultos jóvenes 18 - 35 años</v>
      </c>
      <c r="E1784" s="3" t="s">
        <v>5023</v>
      </c>
      <c r="F1784" s="3" t="s">
        <v>5027</v>
      </c>
      <c r="G1784" s="3" t="s">
        <v>5036</v>
      </c>
      <c r="H1784" s="3" t="s">
        <v>8119</v>
      </c>
      <c r="I1784" s="17">
        <v>45709</v>
      </c>
      <c r="J1784" s="18">
        <f>YEAR(Tabla1[[#This Row],[FECHA DE COMPRA]])</f>
        <v>2025</v>
      </c>
      <c r="K1784" s="19">
        <v>113.54</v>
      </c>
      <c r="L1784" s="20">
        <v>0</v>
      </c>
      <c r="M1784" s="19">
        <f>Tienda!$K4791-Tienda!$K4791*Tienda!$L4791</f>
        <v>26.431999999999999</v>
      </c>
      <c r="N1784" s="3" t="s">
        <v>10038</v>
      </c>
      <c r="O1784" s="3" t="s">
        <v>10042</v>
      </c>
      <c r="P1784" s="17">
        <v>45979</v>
      </c>
      <c r="Q1784" s="4">
        <v>9</v>
      </c>
    </row>
    <row r="1785" spans="1:17" x14ac:dyDescent="0.25">
      <c r="A1785" s="2" t="s">
        <v>4049</v>
      </c>
      <c r="B1785" s="3" t="s">
        <v>5016</v>
      </c>
      <c r="C1785" s="3">
        <v>24</v>
      </c>
      <c r="D1785" s="46" t="str">
        <f>IF(Tabla1[[#This Row],[EDAD]]&lt;=35,"Adultos jóvenes 18 - 35 años",IF(C1785&gt;=36,"Adultos mayores 36 años en adelante"))</f>
        <v>Adultos jóvenes 18 - 35 años</v>
      </c>
      <c r="E1785" s="3" t="s">
        <v>5017</v>
      </c>
      <c r="F1785" s="3" t="s">
        <v>5029</v>
      </c>
      <c r="G1785" s="3" t="s">
        <v>5035</v>
      </c>
      <c r="H1785" s="3" t="s">
        <v>9072</v>
      </c>
      <c r="I1785" s="17">
        <v>45722</v>
      </c>
      <c r="J1785" s="18">
        <f>YEAR(Tabla1[[#This Row],[FECHA DE COMPRA]])</f>
        <v>2025</v>
      </c>
      <c r="K1785" s="19">
        <v>39.549999999999997</v>
      </c>
      <c r="L1785" s="20">
        <v>0.3</v>
      </c>
      <c r="M1785" s="19">
        <f>Tienda!$K4805-Tienda!$K4805*Tienda!$L4805</f>
        <v>45.81</v>
      </c>
      <c r="N1785" s="3" t="s">
        <v>10038</v>
      </c>
      <c r="O1785" s="3" t="s">
        <v>10042</v>
      </c>
      <c r="P1785" s="17">
        <v>45902</v>
      </c>
      <c r="Q1785" s="4">
        <v>6</v>
      </c>
    </row>
    <row r="1786" spans="1:17" x14ac:dyDescent="0.25">
      <c r="A1786" s="2" t="s">
        <v>2633</v>
      </c>
      <c r="B1786" s="3" t="s">
        <v>5015</v>
      </c>
      <c r="C1786" s="3">
        <v>21</v>
      </c>
      <c r="D1786" s="46" t="str">
        <f>IF(Tabla1[[#This Row],[EDAD]]&lt;=35,"Adultos jóvenes 18 - 35 años",IF(C1786&gt;=36,"Adultos mayores 36 años en adelante"))</f>
        <v>Adultos jóvenes 18 - 35 años</v>
      </c>
      <c r="E1786" s="3" t="s">
        <v>5022</v>
      </c>
      <c r="F1786" s="3" t="s">
        <v>5028</v>
      </c>
      <c r="G1786" s="3" t="s">
        <v>5036</v>
      </c>
      <c r="H1786" s="3" t="s">
        <v>7656</v>
      </c>
      <c r="I1786" s="17">
        <v>45738</v>
      </c>
      <c r="J1786" s="18">
        <f>YEAR(Tabla1[[#This Row],[FECHA DE COMPRA]])</f>
        <v>2025</v>
      </c>
      <c r="K1786" s="19">
        <v>51.7</v>
      </c>
      <c r="L1786" s="20">
        <v>0.3</v>
      </c>
      <c r="M1786" s="19">
        <f>Tienda!$K4809-Tienda!$K4809*Tienda!$L4809</f>
        <v>75.27</v>
      </c>
      <c r="N1786" s="3" t="s">
        <v>10038</v>
      </c>
      <c r="O1786" s="3" t="s">
        <v>10042</v>
      </c>
      <c r="P1786" s="17">
        <v>46098</v>
      </c>
      <c r="Q1786" s="4">
        <v>12</v>
      </c>
    </row>
    <row r="1787" spans="1:17" x14ac:dyDescent="0.25">
      <c r="A1787" s="2" t="s">
        <v>2572</v>
      </c>
      <c r="B1787" s="3" t="s">
        <v>5016</v>
      </c>
      <c r="C1787" s="3">
        <v>28</v>
      </c>
      <c r="D1787" s="46" t="str">
        <f>IF(Tabla1[[#This Row],[EDAD]]&lt;=35,"Adultos jóvenes 18 - 35 años",IF(C1787&gt;=36,"Adultos mayores 36 años en adelante"))</f>
        <v>Adultos jóvenes 18 - 35 años</v>
      </c>
      <c r="E1787" s="3" t="s">
        <v>5017</v>
      </c>
      <c r="F1787" s="3" t="s">
        <v>5026</v>
      </c>
      <c r="G1787" s="3" t="s">
        <v>5034</v>
      </c>
      <c r="H1787" s="3" t="s">
        <v>7595</v>
      </c>
      <c r="I1787" s="17">
        <v>45735</v>
      </c>
      <c r="J1787" s="18">
        <f>YEAR(Tabla1[[#This Row],[FECHA DE COMPRA]])</f>
        <v>2025</v>
      </c>
      <c r="K1787" s="19">
        <v>67.400000000000006</v>
      </c>
      <c r="L1787" s="20">
        <v>0.3</v>
      </c>
      <c r="M1787" s="19">
        <f>Tienda!$K4812-Tienda!$K4812*Tienda!$L4812</f>
        <v>68.557999999999993</v>
      </c>
      <c r="N1787" s="3" t="s">
        <v>10038</v>
      </c>
      <c r="O1787" s="3" t="s">
        <v>10042</v>
      </c>
      <c r="P1787" s="17">
        <v>46095</v>
      </c>
      <c r="Q1787" s="4">
        <v>12</v>
      </c>
    </row>
    <row r="1788" spans="1:17" x14ac:dyDescent="0.25">
      <c r="A1788" s="2" t="s">
        <v>709</v>
      </c>
      <c r="B1788" s="3" t="s">
        <v>5015</v>
      </c>
      <c r="C1788" s="3">
        <v>29</v>
      </c>
      <c r="D1788" s="46" t="str">
        <f>IF(Tabla1[[#This Row],[EDAD]]&lt;=35,"Adultos jóvenes 18 - 35 años",IF(C1788&gt;=36,"Adultos mayores 36 años en adelante"))</f>
        <v>Adultos jóvenes 18 - 35 años</v>
      </c>
      <c r="E1788" s="3" t="s">
        <v>5019</v>
      </c>
      <c r="F1788" s="3" t="s">
        <v>5029</v>
      </c>
      <c r="G1788" s="3" t="s">
        <v>5034</v>
      </c>
      <c r="H1788" s="3" t="s">
        <v>5732</v>
      </c>
      <c r="I1788" s="17">
        <v>45728</v>
      </c>
      <c r="J1788" s="18">
        <f>YEAR(Tabla1[[#This Row],[FECHA DE COMPRA]])</f>
        <v>2025</v>
      </c>
      <c r="K1788" s="19">
        <v>68.569999999999993</v>
      </c>
      <c r="L1788" s="20">
        <v>0</v>
      </c>
      <c r="M1788" s="19">
        <f>Tienda!$K4813-Tienda!$K4813*Tienda!$L4813</f>
        <v>79.311999999999998</v>
      </c>
      <c r="N1788" s="3" t="s">
        <v>10038</v>
      </c>
      <c r="O1788" s="3" t="s">
        <v>10042</v>
      </c>
      <c r="P1788" s="17">
        <v>45818</v>
      </c>
      <c r="Q1788" s="4">
        <v>3</v>
      </c>
    </row>
    <row r="1789" spans="1:17" x14ac:dyDescent="0.25">
      <c r="A1789" s="2" t="s">
        <v>3738</v>
      </c>
      <c r="B1789" s="3" t="s">
        <v>5015</v>
      </c>
      <c r="C1789" s="3">
        <v>20</v>
      </c>
      <c r="D1789" s="46" t="str">
        <f>IF(Tabla1[[#This Row],[EDAD]]&lt;=35,"Adultos jóvenes 18 - 35 años",IF(C1789&gt;=36,"Adultos mayores 36 años en adelante"))</f>
        <v>Adultos jóvenes 18 - 35 años</v>
      </c>
      <c r="E1789" s="3" t="s">
        <v>5019</v>
      </c>
      <c r="F1789" s="3" t="s">
        <v>5026</v>
      </c>
      <c r="G1789" s="3" t="s">
        <v>5032</v>
      </c>
      <c r="H1789" s="3" t="s">
        <v>8761</v>
      </c>
      <c r="I1789" s="17">
        <v>45729</v>
      </c>
      <c r="J1789" s="18">
        <f>YEAR(Tabla1[[#This Row],[FECHA DE COMPRA]])</f>
        <v>2025</v>
      </c>
      <c r="K1789" s="19">
        <v>74.2</v>
      </c>
      <c r="L1789" s="20">
        <v>0.1</v>
      </c>
      <c r="M1789" s="19">
        <f>Tienda!$K4814-Tienda!$K4814*Tienda!$L4814</f>
        <v>87.066000000000003</v>
      </c>
      <c r="N1789" s="3" t="s">
        <v>10038</v>
      </c>
      <c r="O1789" s="3" t="s">
        <v>10042</v>
      </c>
      <c r="P1789" s="17">
        <v>45819</v>
      </c>
      <c r="Q1789" s="4">
        <v>3</v>
      </c>
    </row>
    <row r="1790" spans="1:17" x14ac:dyDescent="0.25">
      <c r="A1790" s="2" t="s">
        <v>272</v>
      </c>
      <c r="B1790" s="3" t="s">
        <v>5015</v>
      </c>
      <c r="C1790" s="3">
        <v>34</v>
      </c>
      <c r="D1790" s="46" t="str">
        <f>IF(Tabla1[[#This Row],[EDAD]]&lt;=35,"Adultos jóvenes 18 - 35 años",IF(C1790&gt;=36,"Adultos mayores 36 años en adelante"))</f>
        <v>Adultos jóvenes 18 - 35 años</v>
      </c>
      <c r="E1790" s="3" t="s">
        <v>5018</v>
      </c>
      <c r="F1790" s="3" t="s">
        <v>5026</v>
      </c>
      <c r="G1790" s="3" t="s">
        <v>5037</v>
      </c>
      <c r="H1790" s="3" t="s">
        <v>5295</v>
      </c>
      <c r="I1790" s="17">
        <v>45723</v>
      </c>
      <c r="J1790" s="18">
        <f>YEAR(Tabla1[[#This Row],[FECHA DE COMPRA]])</f>
        <v>2025</v>
      </c>
      <c r="K1790" s="19">
        <v>81.650000000000006</v>
      </c>
      <c r="L1790" s="20">
        <v>0</v>
      </c>
      <c r="M1790" s="19">
        <f>Tienda!$K4818-Tienda!$K4818*Tienda!$L4818</f>
        <v>47.305999999999997</v>
      </c>
      <c r="N1790" s="3" t="s">
        <v>10038</v>
      </c>
      <c r="O1790" s="3" t="s">
        <v>10042</v>
      </c>
      <c r="P1790" s="17">
        <v>45993</v>
      </c>
      <c r="Q1790" s="4">
        <v>9</v>
      </c>
    </row>
    <row r="1791" spans="1:17" x14ac:dyDescent="0.25">
      <c r="A1791" s="2" t="s">
        <v>484</v>
      </c>
      <c r="B1791" s="3" t="s">
        <v>5015</v>
      </c>
      <c r="C1791" s="3">
        <v>27</v>
      </c>
      <c r="D1791" s="46" t="str">
        <f>IF(Tabla1[[#This Row],[EDAD]]&lt;=35,"Adultos jóvenes 18 - 35 años",IF(C1791&gt;=36,"Adultos mayores 36 años en adelante"))</f>
        <v>Adultos jóvenes 18 - 35 años</v>
      </c>
      <c r="E1791" s="3" t="s">
        <v>5017</v>
      </c>
      <c r="F1791" s="3" t="s">
        <v>5030</v>
      </c>
      <c r="G1791" s="3" t="s">
        <v>5031</v>
      </c>
      <c r="H1791" s="3" t="s">
        <v>5507</v>
      </c>
      <c r="I1791" s="17">
        <v>45730</v>
      </c>
      <c r="J1791" s="18">
        <f>YEAR(Tabla1[[#This Row],[FECHA DE COMPRA]])</f>
        <v>2025</v>
      </c>
      <c r="K1791" s="19">
        <v>96.47</v>
      </c>
      <c r="L1791" s="20">
        <v>0.3</v>
      </c>
      <c r="M1791" s="19">
        <f>Tienda!$K4820-Tienda!$K4820*Tienda!$L4820</f>
        <v>71.16</v>
      </c>
      <c r="N1791" s="3" t="s">
        <v>10038</v>
      </c>
      <c r="O1791" s="3" t="s">
        <v>10042</v>
      </c>
      <c r="P1791" s="17">
        <v>45820</v>
      </c>
      <c r="Q1791" s="4">
        <v>3</v>
      </c>
    </row>
    <row r="1792" spans="1:17" x14ac:dyDescent="0.25">
      <c r="A1792" s="2" t="s">
        <v>166</v>
      </c>
      <c r="B1792" s="3" t="s">
        <v>5015</v>
      </c>
      <c r="C1792" s="3">
        <v>22</v>
      </c>
      <c r="D1792" s="46" t="str">
        <f>IF(Tabla1[[#This Row],[EDAD]]&lt;=35,"Adultos jóvenes 18 - 35 años",IF(C1792&gt;=36,"Adultos mayores 36 años en adelante"))</f>
        <v>Adultos jóvenes 18 - 35 años</v>
      </c>
      <c r="E1792" s="3" t="s">
        <v>5020</v>
      </c>
      <c r="F1792" s="3" t="s">
        <v>5025</v>
      </c>
      <c r="G1792" s="3" t="s">
        <v>5032</v>
      </c>
      <c r="H1792" s="3" t="s">
        <v>5189</v>
      </c>
      <c r="I1792" s="17">
        <v>45724</v>
      </c>
      <c r="J1792" s="18">
        <f>YEAR(Tabla1[[#This Row],[FECHA DE COMPRA]])</f>
        <v>2025</v>
      </c>
      <c r="K1792" s="19">
        <v>113.35</v>
      </c>
      <c r="L1792" s="20">
        <v>0</v>
      </c>
      <c r="M1792" s="19">
        <f>Tienda!$K4823-Tienda!$K4823*Tienda!$L4823</f>
        <v>19.466999999999999</v>
      </c>
      <c r="N1792" s="3" t="s">
        <v>10038</v>
      </c>
      <c r="O1792" s="3" t="s">
        <v>10042</v>
      </c>
      <c r="P1792" s="17">
        <v>45904</v>
      </c>
      <c r="Q1792" s="4">
        <v>6</v>
      </c>
    </row>
    <row r="1793" spans="1:17" x14ac:dyDescent="0.25">
      <c r="A1793" s="2" t="s">
        <v>1954</v>
      </c>
      <c r="B1793" s="3" t="s">
        <v>5015</v>
      </c>
      <c r="C1793" s="3">
        <v>34</v>
      </c>
      <c r="D1793" s="46" t="str">
        <f>IF(Tabla1[[#This Row],[EDAD]]&lt;=35,"Adultos jóvenes 18 - 35 años",IF(C1793&gt;=36,"Adultos mayores 36 años en adelante"))</f>
        <v>Adultos jóvenes 18 - 35 años</v>
      </c>
      <c r="E1793" s="3" t="s">
        <v>5018</v>
      </c>
      <c r="F1793" s="3" t="s">
        <v>5028</v>
      </c>
      <c r="G1793" s="3" t="s">
        <v>5036</v>
      </c>
      <c r="H1793" s="3" t="s">
        <v>6977</v>
      </c>
      <c r="I1793" s="17">
        <v>45720</v>
      </c>
      <c r="J1793" s="18">
        <f>YEAR(Tabla1[[#This Row],[FECHA DE COMPRA]])</f>
        <v>2025</v>
      </c>
      <c r="K1793" s="19">
        <v>114.42</v>
      </c>
      <c r="L1793" s="20">
        <v>0.2</v>
      </c>
      <c r="M1793" s="19">
        <f>Tienda!$K4825-Tienda!$K4825*Tienda!$L4825</f>
        <v>29.256</v>
      </c>
      <c r="N1793" s="3" t="s">
        <v>10038</v>
      </c>
      <c r="O1793" s="3" t="s">
        <v>10042</v>
      </c>
      <c r="P1793" s="17">
        <v>45810</v>
      </c>
      <c r="Q1793" s="4">
        <v>3</v>
      </c>
    </row>
    <row r="1794" spans="1:17" x14ac:dyDescent="0.25">
      <c r="A1794" s="2" t="s">
        <v>1435</v>
      </c>
      <c r="B1794" s="3" t="s">
        <v>5015</v>
      </c>
      <c r="C1794" s="3">
        <v>25</v>
      </c>
      <c r="D1794" s="46" t="str">
        <f>IF(Tabla1[[#This Row],[EDAD]]&lt;=35,"Adultos jóvenes 18 - 35 años",IF(C1794&gt;=36,"Adultos mayores 36 años en adelante"))</f>
        <v>Adultos jóvenes 18 - 35 años</v>
      </c>
      <c r="E1794" s="3" t="s">
        <v>5023</v>
      </c>
      <c r="F1794" s="3" t="s">
        <v>5028</v>
      </c>
      <c r="G1794" s="3" t="s">
        <v>5035</v>
      </c>
      <c r="H1794" s="3" t="s">
        <v>6458</v>
      </c>
      <c r="I1794" s="17">
        <v>45721</v>
      </c>
      <c r="J1794" s="18">
        <f>YEAR(Tabla1[[#This Row],[FECHA DE COMPRA]])</f>
        <v>2025</v>
      </c>
      <c r="K1794" s="19">
        <v>127.39</v>
      </c>
      <c r="L1794" s="20">
        <v>0.2</v>
      </c>
      <c r="M1794" s="19">
        <f>Tienda!$K4827-Tienda!$K4827*Tienda!$L4827</f>
        <v>62.167999999999992</v>
      </c>
      <c r="N1794" s="3" t="s">
        <v>10038</v>
      </c>
      <c r="O1794" s="3" t="s">
        <v>10042</v>
      </c>
      <c r="P1794" s="17">
        <v>46081</v>
      </c>
      <c r="Q1794" s="4">
        <v>12</v>
      </c>
    </row>
    <row r="1795" spans="1:17" x14ac:dyDescent="0.25">
      <c r="A1795" s="2" t="s">
        <v>2139</v>
      </c>
      <c r="B1795" s="3" t="s">
        <v>5015</v>
      </c>
      <c r="C1795" s="3">
        <v>22</v>
      </c>
      <c r="D1795" s="46" t="str">
        <f>IF(Tabla1[[#This Row],[EDAD]]&lt;=35,"Adultos jóvenes 18 - 35 años",IF(C1795&gt;=36,"Adultos mayores 36 años en adelante"))</f>
        <v>Adultos jóvenes 18 - 35 años</v>
      </c>
      <c r="E1795" s="3" t="s">
        <v>5020</v>
      </c>
      <c r="F1795" s="3" t="s">
        <v>5026</v>
      </c>
      <c r="G1795" s="3" t="s">
        <v>5035</v>
      </c>
      <c r="H1795" s="3" t="s">
        <v>7162</v>
      </c>
      <c r="I1795" s="17">
        <v>45747</v>
      </c>
      <c r="J1795" s="18">
        <f>YEAR(Tabla1[[#This Row],[FECHA DE COMPRA]])</f>
        <v>2025</v>
      </c>
      <c r="K1795" s="19">
        <v>135.9</v>
      </c>
      <c r="L1795" s="20">
        <v>0.2</v>
      </c>
      <c r="M1795" s="19">
        <f>Tienda!$K4828-Tienda!$K4828*Tienda!$L4828</f>
        <v>68.831000000000003</v>
      </c>
      <c r="N1795" s="3" t="s">
        <v>10038</v>
      </c>
      <c r="O1795" s="3" t="s">
        <v>10042</v>
      </c>
      <c r="P1795" s="17">
        <v>45837</v>
      </c>
      <c r="Q1795" s="4">
        <v>3</v>
      </c>
    </row>
    <row r="1796" spans="1:17" x14ac:dyDescent="0.25">
      <c r="A1796" s="2" t="s">
        <v>79</v>
      </c>
      <c r="B1796" s="3" t="s">
        <v>5015</v>
      </c>
      <c r="C1796" s="3">
        <v>26</v>
      </c>
      <c r="D1796" s="46" t="str">
        <f>IF(Tabla1[[#This Row],[EDAD]]&lt;=35,"Adultos jóvenes 18 - 35 años",IF(C1796&gt;=36,"Adultos mayores 36 años en adelante"))</f>
        <v>Adultos jóvenes 18 - 35 años</v>
      </c>
      <c r="E1796" s="3" t="s">
        <v>5019</v>
      </c>
      <c r="F1796" s="3" t="s">
        <v>5029</v>
      </c>
      <c r="G1796" s="3" t="s">
        <v>5034</v>
      </c>
      <c r="H1796" s="3" t="s">
        <v>5102</v>
      </c>
      <c r="I1796" s="17">
        <v>45739</v>
      </c>
      <c r="J1796" s="18">
        <f>YEAR(Tabla1[[#This Row],[FECHA DE COMPRA]])</f>
        <v>2025</v>
      </c>
      <c r="K1796" s="19">
        <v>156.41999999999999</v>
      </c>
      <c r="L1796" s="20">
        <v>0.2</v>
      </c>
      <c r="M1796" s="19">
        <f>Tienda!$K4833-Tienda!$K4833*Tienda!$L4833</f>
        <v>107.792</v>
      </c>
      <c r="N1796" s="3" t="s">
        <v>10038</v>
      </c>
      <c r="O1796" s="3" t="s">
        <v>10042</v>
      </c>
      <c r="P1796" s="17">
        <v>46099</v>
      </c>
      <c r="Q1796" s="4">
        <v>12</v>
      </c>
    </row>
    <row r="1797" spans="1:17" x14ac:dyDescent="0.25">
      <c r="A1797" s="2" t="s">
        <v>1545</v>
      </c>
      <c r="B1797" s="3" t="s">
        <v>5015</v>
      </c>
      <c r="C1797" s="3">
        <v>33</v>
      </c>
      <c r="D1797" s="46" t="str">
        <f>IF(Tabla1[[#This Row],[EDAD]]&lt;=35,"Adultos jóvenes 18 - 35 años",IF(C1797&gt;=36,"Adultos mayores 36 años en adelante"))</f>
        <v>Adultos jóvenes 18 - 35 años</v>
      </c>
      <c r="E1797" s="3" t="s">
        <v>5021</v>
      </c>
      <c r="F1797" s="3" t="s">
        <v>5027</v>
      </c>
      <c r="G1797" s="3" t="s">
        <v>5034</v>
      </c>
      <c r="H1797" s="3" t="s">
        <v>6568</v>
      </c>
      <c r="I1797" s="17">
        <v>45739</v>
      </c>
      <c r="J1797" s="18">
        <f>YEAR(Tabla1[[#This Row],[FECHA DE COMPRA]])</f>
        <v>2025</v>
      </c>
      <c r="K1797" s="19">
        <v>156.82</v>
      </c>
      <c r="L1797" s="20">
        <v>0.2</v>
      </c>
      <c r="M1797" s="19">
        <f>Tienda!$K4834-Tienda!$K4834*Tienda!$L4834</f>
        <v>163.5</v>
      </c>
      <c r="N1797" s="3" t="s">
        <v>10038</v>
      </c>
      <c r="O1797" s="3" t="s">
        <v>10042</v>
      </c>
      <c r="P1797" s="17">
        <v>45829</v>
      </c>
      <c r="Q1797" s="4">
        <v>3</v>
      </c>
    </row>
    <row r="1798" spans="1:17" x14ac:dyDescent="0.25">
      <c r="A1798" s="2" t="s">
        <v>1952</v>
      </c>
      <c r="B1798" s="3" t="s">
        <v>5015</v>
      </c>
      <c r="C1798" s="3">
        <v>30</v>
      </c>
      <c r="D1798" s="46" t="str">
        <f>IF(Tabla1[[#This Row],[EDAD]]&lt;=35,"Adultos jóvenes 18 - 35 años",IF(C1798&gt;=36,"Adultos mayores 36 años en adelante"))</f>
        <v>Adultos jóvenes 18 - 35 años</v>
      </c>
      <c r="E1798" s="3" t="s">
        <v>5020</v>
      </c>
      <c r="F1798" s="3" t="s">
        <v>5028</v>
      </c>
      <c r="G1798" s="3" t="s">
        <v>5031</v>
      </c>
      <c r="H1798" s="3" t="s">
        <v>6975</v>
      </c>
      <c r="I1798" s="17">
        <v>45729</v>
      </c>
      <c r="J1798" s="18">
        <f>YEAR(Tabla1[[#This Row],[FECHA DE COMPRA]])</f>
        <v>2025</v>
      </c>
      <c r="K1798" s="19">
        <v>160.5</v>
      </c>
      <c r="L1798" s="20">
        <v>0</v>
      </c>
      <c r="M1798" s="19">
        <f>Tienda!$K4835-Tienda!$K4835*Tienda!$L4835</f>
        <v>142.54400000000001</v>
      </c>
      <c r="N1798" s="3" t="s">
        <v>10038</v>
      </c>
      <c r="O1798" s="3" t="s">
        <v>10042</v>
      </c>
      <c r="P1798" s="17">
        <v>46089</v>
      </c>
      <c r="Q1798" s="4">
        <v>12</v>
      </c>
    </row>
    <row r="1799" spans="1:17" x14ac:dyDescent="0.25">
      <c r="A1799" s="2" t="s">
        <v>2273</v>
      </c>
      <c r="B1799" s="3" t="s">
        <v>5015</v>
      </c>
      <c r="C1799" s="3">
        <v>21</v>
      </c>
      <c r="D1799" s="46" t="str">
        <f>IF(Tabla1[[#This Row],[EDAD]]&lt;=35,"Adultos jóvenes 18 - 35 años",IF(C1799&gt;=36,"Adultos mayores 36 años en adelante"))</f>
        <v>Adultos jóvenes 18 - 35 años</v>
      </c>
      <c r="E1799" s="3" t="s">
        <v>5022</v>
      </c>
      <c r="F1799" s="3" t="s">
        <v>5025</v>
      </c>
      <c r="G1799" s="3" t="s">
        <v>5031</v>
      </c>
      <c r="H1799" s="3" t="s">
        <v>7296</v>
      </c>
      <c r="I1799" s="17">
        <v>45734</v>
      </c>
      <c r="J1799" s="18">
        <f>YEAR(Tabla1[[#This Row],[FECHA DE COMPRA]])</f>
        <v>2025</v>
      </c>
      <c r="K1799" s="19">
        <v>162.04</v>
      </c>
      <c r="L1799" s="20">
        <v>0.3</v>
      </c>
      <c r="M1799" s="19">
        <f>Tienda!$K4836-Tienda!$K4836*Tienda!$L4836</f>
        <v>178.72</v>
      </c>
      <c r="N1799" s="3" t="s">
        <v>10038</v>
      </c>
      <c r="O1799" s="3" t="s">
        <v>10042</v>
      </c>
      <c r="P1799" s="17">
        <v>46004</v>
      </c>
      <c r="Q1799" s="4">
        <v>9</v>
      </c>
    </row>
    <row r="1800" spans="1:17" x14ac:dyDescent="0.25">
      <c r="A1800" s="2" t="s">
        <v>2335</v>
      </c>
      <c r="B1800" s="3" t="s">
        <v>5016</v>
      </c>
      <c r="C1800" s="3">
        <v>31</v>
      </c>
      <c r="D1800" s="46" t="str">
        <f>IF(Tabla1[[#This Row],[EDAD]]&lt;=35,"Adultos jóvenes 18 - 35 años",IF(C1800&gt;=36,"Adultos mayores 36 años en adelante"))</f>
        <v>Adultos jóvenes 18 - 35 años</v>
      </c>
      <c r="E1800" s="3" t="s">
        <v>5023</v>
      </c>
      <c r="F1800" s="3" t="s">
        <v>5030</v>
      </c>
      <c r="G1800" s="3" t="s">
        <v>5032</v>
      </c>
      <c r="H1800" s="3" t="s">
        <v>7358</v>
      </c>
      <c r="I1800" s="17">
        <v>45719</v>
      </c>
      <c r="J1800" s="18">
        <f>YEAR(Tabla1[[#This Row],[FECHA DE COMPRA]])</f>
        <v>2025</v>
      </c>
      <c r="K1800" s="19">
        <v>171.57</v>
      </c>
      <c r="L1800" s="20">
        <v>0</v>
      </c>
      <c r="M1800" s="19">
        <f>Tienda!$K4839-Tienda!$K4839*Tienda!$L4839</f>
        <v>196.63</v>
      </c>
      <c r="N1800" s="3" t="s">
        <v>10038</v>
      </c>
      <c r="O1800" s="3" t="s">
        <v>10042</v>
      </c>
      <c r="P1800" s="17">
        <v>45809</v>
      </c>
      <c r="Q1800" s="4">
        <v>3</v>
      </c>
    </row>
    <row r="1801" spans="1:17" x14ac:dyDescent="0.25">
      <c r="A1801" s="2" t="s">
        <v>3820</v>
      </c>
      <c r="B1801" s="3" t="s">
        <v>5015</v>
      </c>
      <c r="C1801" s="3">
        <v>22</v>
      </c>
      <c r="D1801" s="46" t="str">
        <f>IF(Tabla1[[#This Row],[EDAD]]&lt;=35,"Adultos jóvenes 18 - 35 años",IF(C1801&gt;=36,"Adultos mayores 36 años en adelante"))</f>
        <v>Adultos jóvenes 18 - 35 años</v>
      </c>
      <c r="E1801" s="3" t="s">
        <v>5022</v>
      </c>
      <c r="F1801" s="3" t="s">
        <v>5028</v>
      </c>
      <c r="G1801" s="3" t="s">
        <v>5033</v>
      </c>
      <c r="H1801" s="3" t="s">
        <v>8843</v>
      </c>
      <c r="I1801" s="17">
        <v>45733</v>
      </c>
      <c r="J1801" s="18">
        <f>YEAR(Tabla1[[#This Row],[FECHA DE COMPRA]])</f>
        <v>2025</v>
      </c>
      <c r="K1801" s="19">
        <v>175.26</v>
      </c>
      <c r="L1801" s="20">
        <v>0.3</v>
      </c>
      <c r="M1801" s="19">
        <f>Tienda!$K4841-Tienda!$K4841*Tienda!$L4841</f>
        <v>54.064</v>
      </c>
      <c r="N1801" s="3" t="s">
        <v>10038</v>
      </c>
      <c r="O1801" s="3" t="s">
        <v>10042</v>
      </c>
      <c r="P1801" s="17">
        <v>46093</v>
      </c>
      <c r="Q1801" s="4">
        <v>12</v>
      </c>
    </row>
    <row r="1802" spans="1:17" x14ac:dyDescent="0.25">
      <c r="A1802" s="2" t="s">
        <v>1529</v>
      </c>
      <c r="B1802" s="3" t="s">
        <v>5016</v>
      </c>
      <c r="C1802" s="3">
        <v>28</v>
      </c>
      <c r="D1802" s="46" t="str">
        <f>IF(Tabla1[[#This Row],[EDAD]]&lt;=35,"Adultos jóvenes 18 - 35 años",IF(C1802&gt;=36,"Adultos mayores 36 años en adelante"))</f>
        <v>Adultos jóvenes 18 - 35 años</v>
      </c>
      <c r="E1802" s="3" t="s">
        <v>5023</v>
      </c>
      <c r="F1802" s="3" t="s">
        <v>5030</v>
      </c>
      <c r="G1802" s="3" t="s">
        <v>5036</v>
      </c>
      <c r="H1802" s="3" t="s">
        <v>6552</v>
      </c>
      <c r="I1802" s="17">
        <v>45769</v>
      </c>
      <c r="J1802" s="18">
        <f>YEAR(Tabla1[[#This Row],[FECHA DE COMPRA]])</f>
        <v>2025</v>
      </c>
      <c r="K1802" s="19">
        <v>17.739999999999998</v>
      </c>
      <c r="L1802" s="20">
        <v>0.1</v>
      </c>
      <c r="M1802" s="19">
        <f>Tienda!$K4847-Tienda!$K4847*Tienda!$L4847</f>
        <v>120.348</v>
      </c>
      <c r="N1802" s="3" t="s">
        <v>10038</v>
      </c>
      <c r="O1802" s="3" t="s">
        <v>10042</v>
      </c>
      <c r="P1802" s="17">
        <v>45949</v>
      </c>
      <c r="Q1802" s="4">
        <v>6</v>
      </c>
    </row>
    <row r="1803" spans="1:17" x14ac:dyDescent="0.25">
      <c r="A1803" s="2" t="s">
        <v>208</v>
      </c>
      <c r="B1803" s="3" t="s">
        <v>5015</v>
      </c>
      <c r="C1803" s="3">
        <v>35</v>
      </c>
      <c r="D1803" s="46" t="str">
        <f>IF(Tabla1[[#This Row],[EDAD]]&lt;=35,"Adultos jóvenes 18 - 35 años",IF(C1803&gt;=36,"Adultos mayores 36 años en adelante"))</f>
        <v>Adultos jóvenes 18 - 35 años</v>
      </c>
      <c r="E1803" s="3" t="s">
        <v>5020</v>
      </c>
      <c r="F1803" s="3" t="s">
        <v>5024</v>
      </c>
      <c r="G1803" s="3" t="s">
        <v>5037</v>
      </c>
      <c r="H1803" s="3" t="s">
        <v>5231</v>
      </c>
      <c r="I1803" s="17">
        <v>45765</v>
      </c>
      <c r="J1803" s="18">
        <f>YEAR(Tabla1[[#This Row],[FECHA DE COMPRA]])</f>
        <v>2025</v>
      </c>
      <c r="K1803" s="19">
        <v>32.29</v>
      </c>
      <c r="L1803" s="20">
        <v>0.2</v>
      </c>
      <c r="M1803" s="19">
        <f>Tienda!$K4850-Tienda!$K4850*Tienda!$L4850</f>
        <v>89.478000000000009</v>
      </c>
      <c r="N1803" s="3" t="s">
        <v>10038</v>
      </c>
      <c r="O1803" s="3" t="s">
        <v>10042</v>
      </c>
      <c r="P1803" s="17">
        <v>46125</v>
      </c>
      <c r="Q1803" s="4">
        <v>12</v>
      </c>
    </row>
    <row r="1804" spans="1:17" x14ac:dyDescent="0.25">
      <c r="A1804" s="2" t="s">
        <v>3378</v>
      </c>
      <c r="B1804" s="3" t="s">
        <v>5015</v>
      </c>
      <c r="C1804" s="3">
        <v>24</v>
      </c>
      <c r="D1804" s="46" t="str">
        <f>IF(Tabla1[[#This Row],[EDAD]]&lt;=35,"Adultos jóvenes 18 - 35 años",IF(C1804&gt;=36,"Adultos mayores 36 años en adelante"))</f>
        <v>Adultos jóvenes 18 - 35 años</v>
      </c>
      <c r="E1804" s="3" t="s">
        <v>5019</v>
      </c>
      <c r="F1804" s="3" t="s">
        <v>5027</v>
      </c>
      <c r="G1804" s="3" t="s">
        <v>5031</v>
      </c>
      <c r="H1804" s="3" t="s">
        <v>8401</v>
      </c>
      <c r="I1804" s="17">
        <v>45748</v>
      </c>
      <c r="J1804" s="18">
        <f>YEAR(Tabla1[[#This Row],[FECHA DE COMPRA]])</f>
        <v>2025</v>
      </c>
      <c r="K1804" s="19">
        <v>35.82</v>
      </c>
      <c r="L1804" s="20">
        <v>0.2</v>
      </c>
      <c r="M1804" s="19">
        <f>Tienda!$K4852-Tienda!$K4852*Tienda!$L4852</f>
        <v>60.435000000000002</v>
      </c>
      <c r="N1804" s="3" t="s">
        <v>10038</v>
      </c>
      <c r="O1804" s="3" t="s">
        <v>10042</v>
      </c>
      <c r="P1804" s="17">
        <v>45928</v>
      </c>
      <c r="Q1804" s="4">
        <v>6</v>
      </c>
    </row>
    <row r="1805" spans="1:17" x14ac:dyDescent="0.25">
      <c r="A1805" s="2" t="s">
        <v>3799</v>
      </c>
      <c r="B1805" s="3" t="s">
        <v>5016</v>
      </c>
      <c r="C1805" s="3">
        <v>33</v>
      </c>
      <c r="D1805" s="46" t="str">
        <f>IF(Tabla1[[#This Row],[EDAD]]&lt;=35,"Adultos jóvenes 18 - 35 años",IF(C1805&gt;=36,"Adultos mayores 36 años en adelante"))</f>
        <v>Adultos jóvenes 18 - 35 años</v>
      </c>
      <c r="E1805" s="3" t="s">
        <v>5021</v>
      </c>
      <c r="F1805" s="3" t="s">
        <v>5030</v>
      </c>
      <c r="G1805" s="3" t="s">
        <v>5036</v>
      </c>
      <c r="H1805" s="3" t="s">
        <v>8822</v>
      </c>
      <c r="I1805" s="17">
        <v>45754</v>
      </c>
      <c r="J1805" s="18">
        <f>YEAR(Tabla1[[#This Row],[FECHA DE COMPRA]])</f>
        <v>2025</v>
      </c>
      <c r="K1805" s="19">
        <v>58.37</v>
      </c>
      <c r="L1805" s="20">
        <v>0.1</v>
      </c>
      <c r="M1805" s="19">
        <f>Tienda!$K4854-Tienda!$K4854*Tienda!$L4854</f>
        <v>95.147999999999996</v>
      </c>
      <c r="N1805" s="3" t="s">
        <v>10038</v>
      </c>
      <c r="O1805" s="3" t="s">
        <v>10042</v>
      </c>
      <c r="P1805" s="17">
        <v>45844</v>
      </c>
      <c r="Q1805" s="4">
        <v>3</v>
      </c>
    </row>
    <row r="1806" spans="1:17" x14ac:dyDescent="0.25">
      <c r="A1806" s="2" t="s">
        <v>3379</v>
      </c>
      <c r="B1806" s="3" t="s">
        <v>5015</v>
      </c>
      <c r="C1806" s="3">
        <v>33</v>
      </c>
      <c r="D1806" s="46" t="str">
        <f>IF(Tabla1[[#This Row],[EDAD]]&lt;=35,"Adultos jóvenes 18 - 35 años",IF(C1806&gt;=36,"Adultos mayores 36 años en adelante"))</f>
        <v>Adultos jóvenes 18 - 35 años</v>
      </c>
      <c r="E1806" s="3" t="s">
        <v>5022</v>
      </c>
      <c r="F1806" s="3" t="s">
        <v>5024</v>
      </c>
      <c r="G1806" s="3" t="s">
        <v>5035</v>
      </c>
      <c r="H1806" s="3" t="s">
        <v>8402</v>
      </c>
      <c r="I1806" s="17">
        <v>45763</v>
      </c>
      <c r="J1806" s="18">
        <f>YEAR(Tabla1[[#This Row],[FECHA DE COMPRA]])</f>
        <v>2025</v>
      </c>
      <c r="K1806" s="19">
        <v>70.400000000000006</v>
      </c>
      <c r="L1806" s="20">
        <v>0.3</v>
      </c>
      <c r="M1806" s="19">
        <f>Tienda!$K4855-Tienda!$K4855*Tienda!$L4855</f>
        <v>57.65</v>
      </c>
      <c r="N1806" s="3" t="s">
        <v>10038</v>
      </c>
      <c r="O1806" s="3" t="s">
        <v>10042</v>
      </c>
      <c r="P1806" s="17">
        <v>46033</v>
      </c>
      <c r="Q1806" s="4">
        <v>9</v>
      </c>
    </row>
    <row r="1807" spans="1:17" x14ac:dyDescent="0.25">
      <c r="A1807" s="2" t="s">
        <v>1697</v>
      </c>
      <c r="B1807" s="3" t="s">
        <v>5015</v>
      </c>
      <c r="C1807" s="3">
        <v>30</v>
      </c>
      <c r="D1807" s="46" t="str">
        <f>IF(Tabla1[[#This Row],[EDAD]]&lt;=35,"Adultos jóvenes 18 - 35 años",IF(C1807&gt;=36,"Adultos mayores 36 años en adelante"))</f>
        <v>Adultos jóvenes 18 - 35 años</v>
      </c>
      <c r="E1807" s="3" t="s">
        <v>5022</v>
      </c>
      <c r="F1807" s="3" t="s">
        <v>5025</v>
      </c>
      <c r="G1807" s="3" t="s">
        <v>5035</v>
      </c>
      <c r="H1807" s="3" t="s">
        <v>6720</v>
      </c>
      <c r="I1807" s="17">
        <v>45770</v>
      </c>
      <c r="J1807" s="18">
        <f>YEAR(Tabla1[[#This Row],[FECHA DE COMPRA]])</f>
        <v>2025</v>
      </c>
      <c r="K1807" s="19">
        <v>72.209999999999994</v>
      </c>
      <c r="L1807" s="20">
        <v>0.3</v>
      </c>
      <c r="M1807" s="19">
        <f>Tienda!$K4857-Tienda!$K4857*Tienda!$L4857</f>
        <v>30.439999999999998</v>
      </c>
      <c r="N1807" s="3" t="s">
        <v>10038</v>
      </c>
      <c r="O1807" s="3" t="s">
        <v>10042</v>
      </c>
      <c r="P1807" s="17">
        <v>45950</v>
      </c>
      <c r="Q1807" s="4">
        <v>6</v>
      </c>
    </row>
    <row r="1808" spans="1:17" x14ac:dyDescent="0.25">
      <c r="A1808" s="2" t="s">
        <v>2681</v>
      </c>
      <c r="B1808" s="3" t="s">
        <v>5015</v>
      </c>
      <c r="C1808" s="3">
        <v>27</v>
      </c>
      <c r="D1808" s="46" t="str">
        <f>IF(Tabla1[[#This Row],[EDAD]]&lt;=35,"Adultos jóvenes 18 - 35 años",IF(C1808&gt;=36,"Adultos mayores 36 años en adelante"))</f>
        <v>Adultos jóvenes 18 - 35 años</v>
      </c>
      <c r="E1808" s="3" t="s">
        <v>5020</v>
      </c>
      <c r="F1808" s="3" t="s">
        <v>5028</v>
      </c>
      <c r="G1808" s="3" t="s">
        <v>5034</v>
      </c>
      <c r="H1808" s="3" t="s">
        <v>7704</v>
      </c>
      <c r="I1808" s="17">
        <v>45754</v>
      </c>
      <c r="J1808" s="18">
        <f>YEAR(Tabla1[[#This Row],[FECHA DE COMPRA]])</f>
        <v>2025</v>
      </c>
      <c r="K1808" s="19">
        <v>75.8</v>
      </c>
      <c r="L1808" s="20">
        <v>0.3</v>
      </c>
      <c r="M1808" s="19">
        <f>Tienda!$K4859-Tienda!$K4859*Tienda!$L4859</f>
        <v>122.458</v>
      </c>
      <c r="N1808" s="3" t="s">
        <v>10038</v>
      </c>
      <c r="O1808" s="3" t="s">
        <v>10042</v>
      </c>
      <c r="P1808" s="17">
        <v>46024</v>
      </c>
      <c r="Q1808" s="4">
        <v>9</v>
      </c>
    </row>
    <row r="1809" spans="1:17" x14ac:dyDescent="0.25">
      <c r="A1809" s="2" t="s">
        <v>2898</v>
      </c>
      <c r="B1809" s="3" t="s">
        <v>5015</v>
      </c>
      <c r="C1809" s="3">
        <v>28</v>
      </c>
      <c r="D1809" s="46" t="str">
        <f>IF(Tabla1[[#This Row],[EDAD]]&lt;=35,"Adultos jóvenes 18 - 35 años",IF(C1809&gt;=36,"Adultos mayores 36 años en adelante"))</f>
        <v>Adultos jóvenes 18 - 35 años</v>
      </c>
      <c r="E1809" s="3" t="s">
        <v>5023</v>
      </c>
      <c r="F1809" s="3" t="s">
        <v>5026</v>
      </c>
      <c r="G1809" s="3" t="s">
        <v>5036</v>
      </c>
      <c r="H1809" s="3" t="s">
        <v>7921</v>
      </c>
      <c r="I1809" s="17">
        <v>45761</v>
      </c>
      <c r="J1809" s="18">
        <f>YEAR(Tabla1[[#This Row],[FECHA DE COMPRA]])</f>
        <v>2025</v>
      </c>
      <c r="K1809" s="19">
        <v>133.19</v>
      </c>
      <c r="L1809" s="20">
        <v>0.1</v>
      </c>
      <c r="M1809" s="19">
        <f>Tienda!$K4870-Tienda!$K4870*Tienda!$L4870</f>
        <v>119.86800000000001</v>
      </c>
      <c r="N1809" s="3" t="s">
        <v>10038</v>
      </c>
      <c r="O1809" s="3" t="s">
        <v>10042</v>
      </c>
      <c r="P1809" s="17">
        <v>46031</v>
      </c>
      <c r="Q1809" s="4">
        <v>9</v>
      </c>
    </row>
    <row r="1810" spans="1:17" x14ac:dyDescent="0.25">
      <c r="A1810" s="2" t="s">
        <v>1618</v>
      </c>
      <c r="B1810" s="3" t="s">
        <v>5016</v>
      </c>
      <c r="C1810" s="3">
        <v>26</v>
      </c>
      <c r="D1810" s="46" t="str">
        <f>IF(Tabla1[[#This Row],[EDAD]]&lt;=35,"Adultos jóvenes 18 - 35 años",IF(C1810&gt;=36,"Adultos mayores 36 años en adelante"))</f>
        <v>Adultos jóvenes 18 - 35 años</v>
      </c>
      <c r="E1810" s="3" t="s">
        <v>5023</v>
      </c>
      <c r="F1810" s="3" t="s">
        <v>5027</v>
      </c>
      <c r="G1810" s="3" t="s">
        <v>5034</v>
      </c>
      <c r="H1810" s="3" t="s">
        <v>6641</v>
      </c>
      <c r="I1810" s="17">
        <v>45750</v>
      </c>
      <c r="J1810" s="18">
        <f>YEAR(Tabla1[[#This Row],[FECHA DE COMPRA]])</f>
        <v>2025</v>
      </c>
      <c r="K1810" s="19">
        <v>170.35</v>
      </c>
      <c r="L1810" s="20">
        <v>0.1</v>
      </c>
      <c r="M1810" s="19">
        <f>Tienda!$K4876-Tienda!$K4876*Tienda!$L4876</f>
        <v>27.143999999999998</v>
      </c>
      <c r="N1810" s="3" t="s">
        <v>10038</v>
      </c>
      <c r="O1810" s="3" t="s">
        <v>10042</v>
      </c>
      <c r="P1810" s="17">
        <v>45930</v>
      </c>
      <c r="Q1810" s="4">
        <v>6</v>
      </c>
    </row>
    <row r="1811" spans="1:17" x14ac:dyDescent="0.25">
      <c r="A1811" s="2" t="s">
        <v>1977</v>
      </c>
      <c r="B1811" s="3" t="s">
        <v>5016</v>
      </c>
      <c r="C1811" s="3">
        <v>30</v>
      </c>
      <c r="D1811" s="46" t="str">
        <f>IF(Tabla1[[#This Row],[EDAD]]&lt;=35,"Adultos jóvenes 18 - 35 años",IF(C1811&gt;=36,"Adultos mayores 36 años en adelante"))</f>
        <v>Adultos jóvenes 18 - 35 años</v>
      </c>
      <c r="E1811" s="3" t="s">
        <v>5023</v>
      </c>
      <c r="F1811" s="3" t="s">
        <v>5024</v>
      </c>
      <c r="G1811" s="3" t="s">
        <v>5034</v>
      </c>
      <c r="H1811" s="3" t="s">
        <v>7000</v>
      </c>
      <c r="I1811" s="17">
        <v>45763</v>
      </c>
      <c r="J1811" s="18">
        <f>YEAR(Tabla1[[#This Row],[FECHA DE COMPRA]])</f>
        <v>2025</v>
      </c>
      <c r="K1811" s="19">
        <v>187.26</v>
      </c>
      <c r="L1811" s="20">
        <v>0.2</v>
      </c>
      <c r="M1811" s="19">
        <f>Tienda!$K4881-Tienda!$K4881*Tienda!$L4881</f>
        <v>50.588999999999999</v>
      </c>
      <c r="N1811" s="3" t="s">
        <v>10038</v>
      </c>
      <c r="O1811" s="3" t="s">
        <v>10042</v>
      </c>
      <c r="P1811" s="17">
        <v>45943</v>
      </c>
      <c r="Q1811" s="4">
        <v>6</v>
      </c>
    </row>
    <row r="1812" spans="1:17" x14ac:dyDescent="0.25">
      <c r="A1812" s="2" t="s">
        <v>2550</v>
      </c>
      <c r="B1812" s="3" t="s">
        <v>5016</v>
      </c>
      <c r="C1812" s="3">
        <v>35</v>
      </c>
      <c r="D1812" s="46" t="str">
        <f>IF(Tabla1[[#This Row],[EDAD]]&lt;=35,"Adultos jóvenes 18 - 35 años",IF(C1812&gt;=36,"Adultos mayores 36 años en adelante"))</f>
        <v>Adultos jóvenes 18 - 35 años</v>
      </c>
      <c r="E1812" s="3" t="s">
        <v>5023</v>
      </c>
      <c r="F1812" s="3" t="s">
        <v>5026</v>
      </c>
      <c r="G1812" s="3" t="s">
        <v>5032</v>
      </c>
      <c r="H1812" s="3" t="s">
        <v>7573</v>
      </c>
      <c r="I1812" s="17">
        <v>45775</v>
      </c>
      <c r="J1812" s="18">
        <f>YEAR(Tabla1[[#This Row],[FECHA DE COMPRA]])</f>
        <v>2025</v>
      </c>
      <c r="K1812" s="19">
        <v>191.09</v>
      </c>
      <c r="L1812" s="20">
        <v>0.1</v>
      </c>
      <c r="M1812" s="19">
        <f>Tienda!$K4882-Tienda!$K4882*Tienda!$L4882</f>
        <v>50.936</v>
      </c>
      <c r="N1812" s="3" t="s">
        <v>10038</v>
      </c>
      <c r="O1812" s="3" t="s">
        <v>10042</v>
      </c>
      <c r="P1812" s="17">
        <v>45955</v>
      </c>
      <c r="Q1812" s="4">
        <v>6</v>
      </c>
    </row>
    <row r="1813" spans="1:17" x14ac:dyDescent="0.25">
      <c r="A1813" s="2" t="s">
        <v>2238</v>
      </c>
      <c r="B1813" s="3" t="s">
        <v>5016</v>
      </c>
      <c r="C1813" s="3">
        <v>34</v>
      </c>
      <c r="D1813" s="46" t="str">
        <f>IF(Tabla1[[#This Row],[EDAD]]&lt;=35,"Adultos jóvenes 18 - 35 años",IF(C1813&gt;=36,"Adultos mayores 36 años en adelante"))</f>
        <v>Adultos jóvenes 18 - 35 años</v>
      </c>
      <c r="E1813" s="3" t="s">
        <v>5023</v>
      </c>
      <c r="F1813" s="3" t="s">
        <v>5029</v>
      </c>
      <c r="G1813" s="3" t="s">
        <v>5032</v>
      </c>
      <c r="H1813" s="3" t="s">
        <v>7261</v>
      </c>
      <c r="I1813" s="17">
        <v>45754</v>
      </c>
      <c r="J1813" s="18">
        <f>YEAR(Tabla1[[#This Row],[FECHA DE COMPRA]])</f>
        <v>2025</v>
      </c>
      <c r="K1813" s="19">
        <v>192.55</v>
      </c>
      <c r="L1813" s="20">
        <v>0</v>
      </c>
      <c r="M1813" s="19">
        <f>Tienda!$K4883-Tienda!$K4883*Tienda!$L4883</f>
        <v>60.823999999999998</v>
      </c>
      <c r="N1813" s="3" t="s">
        <v>10038</v>
      </c>
      <c r="O1813" s="3" t="s">
        <v>10042</v>
      </c>
      <c r="P1813" s="17">
        <v>45844</v>
      </c>
      <c r="Q1813" s="4">
        <v>3</v>
      </c>
    </row>
    <row r="1814" spans="1:17" x14ac:dyDescent="0.25">
      <c r="A1814" s="2" t="s">
        <v>1178</v>
      </c>
      <c r="B1814" s="3" t="s">
        <v>5016</v>
      </c>
      <c r="C1814" s="3">
        <v>28</v>
      </c>
      <c r="D1814" s="46" t="str">
        <f>IF(Tabla1[[#This Row],[EDAD]]&lt;=35,"Adultos jóvenes 18 - 35 años",IF(C1814&gt;=36,"Adultos mayores 36 años en adelante"))</f>
        <v>Adultos jóvenes 18 - 35 años</v>
      </c>
      <c r="E1814" s="3" t="s">
        <v>5017</v>
      </c>
      <c r="F1814" s="3" t="s">
        <v>5027</v>
      </c>
      <c r="G1814" s="3" t="s">
        <v>5033</v>
      </c>
      <c r="H1814" s="3" t="s">
        <v>6201</v>
      </c>
      <c r="I1814" s="17">
        <v>45792</v>
      </c>
      <c r="J1814" s="18">
        <f>YEAR(Tabla1[[#This Row],[FECHA DE COMPRA]])</f>
        <v>2025</v>
      </c>
      <c r="K1814" s="19">
        <v>15.9</v>
      </c>
      <c r="L1814" s="20">
        <v>0.3</v>
      </c>
      <c r="M1814" s="19">
        <f>Tienda!$K4885-Tienda!$K4885*Tienda!$L4885</f>
        <v>72.819000000000003</v>
      </c>
      <c r="N1814" s="3" t="s">
        <v>10038</v>
      </c>
      <c r="O1814" s="3" t="s">
        <v>10042</v>
      </c>
      <c r="P1814" s="17">
        <v>46062</v>
      </c>
      <c r="Q1814" s="4">
        <v>9</v>
      </c>
    </row>
    <row r="1815" spans="1:17" x14ac:dyDescent="0.25">
      <c r="A1815" s="2" t="s">
        <v>2622</v>
      </c>
      <c r="B1815" s="3" t="s">
        <v>5015</v>
      </c>
      <c r="C1815" s="3">
        <v>23</v>
      </c>
      <c r="D1815" s="46" t="str">
        <f>IF(Tabla1[[#This Row],[EDAD]]&lt;=35,"Adultos jóvenes 18 - 35 años",IF(C1815&gt;=36,"Adultos mayores 36 años en adelante"))</f>
        <v>Adultos jóvenes 18 - 35 años</v>
      </c>
      <c r="E1815" s="3" t="s">
        <v>5018</v>
      </c>
      <c r="F1815" s="3" t="s">
        <v>5029</v>
      </c>
      <c r="G1815" s="3" t="s">
        <v>5032</v>
      </c>
      <c r="H1815" s="3" t="s">
        <v>7645</v>
      </c>
      <c r="I1815" s="17">
        <v>45781</v>
      </c>
      <c r="J1815" s="18">
        <f>YEAR(Tabla1[[#This Row],[FECHA DE COMPRA]])</f>
        <v>2025</v>
      </c>
      <c r="K1815" s="19">
        <v>22.2</v>
      </c>
      <c r="L1815" s="20">
        <v>0</v>
      </c>
      <c r="M1815" s="19">
        <f>Tienda!$K4886-Tienda!$K4886*Tienda!$L4886</f>
        <v>74.637</v>
      </c>
      <c r="N1815" s="3" t="s">
        <v>10038</v>
      </c>
      <c r="O1815" s="3" t="s">
        <v>10042</v>
      </c>
      <c r="P1815" s="17">
        <v>46051</v>
      </c>
      <c r="Q1815" s="4">
        <v>9</v>
      </c>
    </row>
    <row r="1816" spans="1:17" x14ac:dyDescent="0.25">
      <c r="A1816" s="2" t="s">
        <v>4943</v>
      </c>
      <c r="B1816" s="3" t="s">
        <v>5015</v>
      </c>
      <c r="C1816" s="3">
        <v>20</v>
      </c>
      <c r="D1816" s="46" t="str">
        <f>IF(Tabla1[[#This Row],[EDAD]]&lt;=35,"Adultos jóvenes 18 - 35 años",IF(C1816&gt;=36,"Adultos mayores 36 años en adelante"))</f>
        <v>Adultos jóvenes 18 - 35 años</v>
      </c>
      <c r="E1816" s="3" t="s">
        <v>5022</v>
      </c>
      <c r="F1816" s="3" t="s">
        <v>5029</v>
      </c>
      <c r="G1816" s="3" t="s">
        <v>5037</v>
      </c>
      <c r="H1816" s="3" t="s">
        <v>9966</v>
      </c>
      <c r="I1816" s="17">
        <v>45781</v>
      </c>
      <c r="J1816" s="18">
        <f>YEAR(Tabla1[[#This Row],[FECHA DE COMPRA]])</f>
        <v>2025</v>
      </c>
      <c r="K1816" s="19">
        <v>28.25</v>
      </c>
      <c r="L1816" s="20">
        <v>0.2</v>
      </c>
      <c r="M1816" s="19">
        <f>Tienda!$K4888-Tienda!$K4888*Tienda!$L4888</f>
        <v>68.159000000000006</v>
      </c>
      <c r="N1816" s="3" t="s">
        <v>10038</v>
      </c>
      <c r="O1816" s="3" t="s">
        <v>10042</v>
      </c>
      <c r="P1816" s="17">
        <v>45961</v>
      </c>
      <c r="Q1816" s="4">
        <v>6</v>
      </c>
    </row>
    <row r="1817" spans="1:17" x14ac:dyDescent="0.25">
      <c r="A1817" s="2" t="s">
        <v>2750</v>
      </c>
      <c r="B1817" s="3" t="s">
        <v>5016</v>
      </c>
      <c r="C1817" s="3">
        <v>28</v>
      </c>
      <c r="D1817" s="46" t="str">
        <f>IF(Tabla1[[#This Row],[EDAD]]&lt;=35,"Adultos jóvenes 18 - 35 años",IF(C1817&gt;=36,"Adultos mayores 36 años en adelante"))</f>
        <v>Adultos jóvenes 18 - 35 años</v>
      </c>
      <c r="E1817" s="3" t="s">
        <v>5019</v>
      </c>
      <c r="F1817" s="3" t="s">
        <v>5026</v>
      </c>
      <c r="G1817" s="3" t="s">
        <v>5031</v>
      </c>
      <c r="H1817" s="3" t="s">
        <v>7773</v>
      </c>
      <c r="I1817" s="17">
        <v>45778</v>
      </c>
      <c r="J1817" s="18">
        <f>YEAR(Tabla1[[#This Row],[FECHA DE COMPRA]])</f>
        <v>2025</v>
      </c>
      <c r="K1817" s="19">
        <v>28.63</v>
      </c>
      <c r="L1817" s="20">
        <v>0.2</v>
      </c>
      <c r="M1817" s="19">
        <f>Tienda!$K4890-Tienda!$K4890*Tienda!$L4890</f>
        <v>82.53</v>
      </c>
      <c r="N1817" s="3" t="s">
        <v>10038</v>
      </c>
      <c r="O1817" s="3" t="s">
        <v>10042</v>
      </c>
      <c r="P1817" s="17">
        <v>46138</v>
      </c>
      <c r="Q1817" s="4">
        <v>12</v>
      </c>
    </row>
    <row r="1818" spans="1:17" x14ac:dyDescent="0.25">
      <c r="A1818" s="2" t="s">
        <v>2515</v>
      </c>
      <c r="B1818" s="3" t="s">
        <v>5015</v>
      </c>
      <c r="C1818" s="3">
        <v>25</v>
      </c>
      <c r="D1818" s="46" t="str">
        <f>IF(Tabla1[[#This Row],[EDAD]]&lt;=35,"Adultos jóvenes 18 - 35 años",IF(C1818&gt;=36,"Adultos mayores 36 años en adelante"))</f>
        <v>Adultos jóvenes 18 - 35 años</v>
      </c>
      <c r="E1818" s="3" t="s">
        <v>5022</v>
      </c>
      <c r="F1818" s="3" t="s">
        <v>5024</v>
      </c>
      <c r="G1818" s="3" t="s">
        <v>5034</v>
      </c>
      <c r="H1818" s="3" t="s">
        <v>7538</v>
      </c>
      <c r="I1818" s="17">
        <v>45803</v>
      </c>
      <c r="J1818" s="18">
        <f>YEAR(Tabla1[[#This Row],[FECHA DE COMPRA]])</f>
        <v>2025</v>
      </c>
      <c r="K1818" s="19">
        <v>36.549999999999997</v>
      </c>
      <c r="L1818" s="20">
        <v>0.2</v>
      </c>
      <c r="M1818" s="19">
        <f>Tienda!$K4892-Tienda!$K4892*Tienda!$L4892</f>
        <v>126.69300000000001</v>
      </c>
      <c r="N1818" s="3" t="s">
        <v>10038</v>
      </c>
      <c r="O1818" s="3" t="s">
        <v>10042</v>
      </c>
      <c r="P1818" s="17">
        <v>46163</v>
      </c>
      <c r="Q1818" s="4">
        <v>12</v>
      </c>
    </row>
    <row r="1819" spans="1:17" x14ac:dyDescent="0.25">
      <c r="A1819" s="2" t="s">
        <v>2546</v>
      </c>
      <c r="B1819" s="3" t="s">
        <v>5015</v>
      </c>
      <c r="C1819" s="3">
        <v>32</v>
      </c>
      <c r="D1819" s="46" t="str">
        <f>IF(Tabla1[[#This Row],[EDAD]]&lt;=35,"Adultos jóvenes 18 - 35 años",IF(C1819&gt;=36,"Adultos mayores 36 años en adelante"))</f>
        <v>Adultos jóvenes 18 - 35 años</v>
      </c>
      <c r="E1819" s="3" t="s">
        <v>5019</v>
      </c>
      <c r="F1819" s="3" t="s">
        <v>5024</v>
      </c>
      <c r="G1819" s="3" t="s">
        <v>5034</v>
      </c>
      <c r="H1819" s="3" t="s">
        <v>7569</v>
      </c>
      <c r="I1819" s="17">
        <v>45803</v>
      </c>
      <c r="J1819" s="18">
        <f>YEAR(Tabla1[[#This Row],[FECHA DE COMPRA]])</f>
        <v>2025</v>
      </c>
      <c r="K1819" s="19">
        <v>68.680000000000007</v>
      </c>
      <c r="L1819" s="20">
        <v>0</v>
      </c>
      <c r="M1819" s="19">
        <f>Tienda!$K4896-Tienda!$K4896*Tienda!$L4896</f>
        <v>170.25</v>
      </c>
      <c r="N1819" s="3" t="s">
        <v>10038</v>
      </c>
      <c r="O1819" s="3" t="s">
        <v>10042</v>
      </c>
      <c r="P1819" s="17">
        <v>45983</v>
      </c>
      <c r="Q1819" s="4">
        <v>6</v>
      </c>
    </row>
    <row r="1820" spans="1:17" x14ac:dyDescent="0.25">
      <c r="A1820" s="2" t="s">
        <v>2646</v>
      </c>
      <c r="B1820" s="3" t="s">
        <v>5015</v>
      </c>
      <c r="C1820" s="3">
        <v>19</v>
      </c>
      <c r="D1820" s="46" t="str">
        <f>IF(Tabla1[[#This Row],[EDAD]]&lt;=35,"Adultos jóvenes 18 - 35 años",IF(C1820&gt;=36,"Adultos mayores 36 años en adelante"))</f>
        <v>Adultos jóvenes 18 - 35 años</v>
      </c>
      <c r="E1820" s="3" t="s">
        <v>5023</v>
      </c>
      <c r="F1820" s="3" t="s">
        <v>5024</v>
      </c>
      <c r="G1820" s="3" t="s">
        <v>5035</v>
      </c>
      <c r="H1820" s="3" t="s">
        <v>7669</v>
      </c>
      <c r="I1820" s="17">
        <v>45784</v>
      </c>
      <c r="J1820" s="18">
        <f>YEAR(Tabla1[[#This Row],[FECHA DE COMPRA]])</f>
        <v>2025</v>
      </c>
      <c r="K1820" s="19">
        <v>83.58</v>
      </c>
      <c r="L1820" s="20">
        <v>0.2</v>
      </c>
      <c r="M1820" s="19">
        <f>Tienda!$K4898-Tienda!$K4898*Tienda!$L4898</f>
        <v>182.63</v>
      </c>
      <c r="N1820" s="3" t="s">
        <v>10038</v>
      </c>
      <c r="O1820" s="3" t="s">
        <v>10042</v>
      </c>
      <c r="P1820" s="17">
        <v>46144</v>
      </c>
      <c r="Q1820" s="4">
        <v>12</v>
      </c>
    </row>
    <row r="1821" spans="1:17" x14ac:dyDescent="0.25">
      <c r="A1821" s="2" t="s">
        <v>2051</v>
      </c>
      <c r="B1821" s="3" t="s">
        <v>5015</v>
      </c>
      <c r="C1821" s="3">
        <v>26</v>
      </c>
      <c r="D1821" s="46" t="str">
        <f>IF(Tabla1[[#This Row],[EDAD]]&lt;=35,"Adultos jóvenes 18 - 35 años",IF(C1821&gt;=36,"Adultos mayores 36 años en adelante"))</f>
        <v>Adultos jóvenes 18 - 35 años</v>
      </c>
      <c r="E1821" s="3" t="s">
        <v>5019</v>
      </c>
      <c r="F1821" s="3" t="s">
        <v>5024</v>
      </c>
      <c r="G1821" s="3" t="s">
        <v>5035</v>
      </c>
      <c r="H1821" s="3" t="s">
        <v>7074</v>
      </c>
      <c r="I1821" s="17">
        <v>45799</v>
      </c>
      <c r="J1821" s="18">
        <f>YEAR(Tabla1[[#This Row],[FECHA DE COMPRA]])</f>
        <v>2025</v>
      </c>
      <c r="K1821" s="19">
        <v>102.54</v>
      </c>
      <c r="L1821" s="20">
        <v>0.2</v>
      </c>
      <c r="M1821" s="19">
        <f>Tienda!$K4905-Tienda!$K4905*Tienda!$L4905</f>
        <v>32.83</v>
      </c>
      <c r="N1821" s="3" t="s">
        <v>10038</v>
      </c>
      <c r="O1821" s="3" t="s">
        <v>10042</v>
      </c>
      <c r="P1821" s="17">
        <v>46069</v>
      </c>
      <c r="Q1821" s="4">
        <v>9</v>
      </c>
    </row>
    <row r="1822" spans="1:17" x14ac:dyDescent="0.25">
      <c r="A1822" s="2" t="s">
        <v>2946</v>
      </c>
      <c r="B1822" s="3" t="s">
        <v>5015</v>
      </c>
      <c r="C1822" s="3">
        <v>27</v>
      </c>
      <c r="D1822" s="46" t="str">
        <f>IF(Tabla1[[#This Row],[EDAD]]&lt;=35,"Adultos jóvenes 18 - 35 años",IF(C1822&gt;=36,"Adultos mayores 36 años en adelante"))</f>
        <v>Adultos jóvenes 18 - 35 años</v>
      </c>
      <c r="E1822" s="3" t="s">
        <v>5020</v>
      </c>
      <c r="F1822" s="3" t="s">
        <v>5024</v>
      </c>
      <c r="G1822" s="3" t="s">
        <v>5036</v>
      </c>
      <c r="H1822" s="3" t="s">
        <v>7969</v>
      </c>
      <c r="I1822" s="17">
        <v>45806</v>
      </c>
      <c r="J1822" s="18">
        <f>YEAR(Tabla1[[#This Row],[FECHA DE COMPRA]])</f>
        <v>2025</v>
      </c>
      <c r="K1822" s="19">
        <v>107.95</v>
      </c>
      <c r="L1822" s="20">
        <v>0.2</v>
      </c>
      <c r="M1822" s="19">
        <f>Tienda!$K4906-Tienda!$K4906*Tienda!$L4906</f>
        <v>33.615000000000002</v>
      </c>
      <c r="N1822" s="3" t="s">
        <v>10038</v>
      </c>
      <c r="O1822" s="3" t="s">
        <v>10042</v>
      </c>
      <c r="P1822" s="17">
        <v>45896</v>
      </c>
      <c r="Q1822" s="4">
        <v>3</v>
      </c>
    </row>
    <row r="1823" spans="1:17" x14ac:dyDescent="0.25">
      <c r="A1823" s="2" t="s">
        <v>2685</v>
      </c>
      <c r="B1823" s="3" t="s">
        <v>5015</v>
      </c>
      <c r="C1823" s="3">
        <v>32</v>
      </c>
      <c r="D1823" s="46" t="str">
        <f>IF(Tabla1[[#This Row],[EDAD]]&lt;=35,"Adultos jóvenes 18 - 35 años",IF(C1823&gt;=36,"Adultos mayores 36 años en adelante"))</f>
        <v>Adultos jóvenes 18 - 35 años</v>
      </c>
      <c r="E1823" s="3" t="s">
        <v>5018</v>
      </c>
      <c r="F1823" s="3" t="s">
        <v>5028</v>
      </c>
      <c r="G1823" s="3" t="s">
        <v>5037</v>
      </c>
      <c r="H1823" s="3" t="s">
        <v>7708</v>
      </c>
      <c r="I1823" s="17">
        <v>45795</v>
      </c>
      <c r="J1823" s="18">
        <f>YEAR(Tabla1[[#This Row],[FECHA DE COMPRA]])</f>
        <v>2025</v>
      </c>
      <c r="K1823" s="19">
        <v>136.5</v>
      </c>
      <c r="L1823" s="20">
        <v>0.3</v>
      </c>
      <c r="M1823" s="19">
        <f>Tienda!$K4909-Tienda!$K4909*Tienda!$L4909</f>
        <v>77.239999999999995</v>
      </c>
      <c r="N1823" s="3" t="s">
        <v>10038</v>
      </c>
      <c r="O1823" s="3" t="s">
        <v>10042</v>
      </c>
      <c r="P1823" s="17">
        <v>46155</v>
      </c>
      <c r="Q1823" s="4">
        <v>12</v>
      </c>
    </row>
    <row r="1824" spans="1:17" x14ac:dyDescent="0.25">
      <c r="A1824" s="2" t="s">
        <v>2197</v>
      </c>
      <c r="B1824" s="3" t="s">
        <v>5015</v>
      </c>
      <c r="C1824" s="3">
        <v>28</v>
      </c>
      <c r="D1824" s="46" t="str">
        <f>IF(Tabla1[[#This Row],[EDAD]]&lt;=35,"Adultos jóvenes 18 - 35 años",IF(C1824&gt;=36,"Adultos mayores 36 años en adelante"))</f>
        <v>Adultos jóvenes 18 - 35 años</v>
      </c>
      <c r="E1824" s="3" t="s">
        <v>5020</v>
      </c>
      <c r="F1824" s="3" t="s">
        <v>5030</v>
      </c>
      <c r="G1824" s="3" t="s">
        <v>5031</v>
      </c>
      <c r="H1824" s="3" t="s">
        <v>7220</v>
      </c>
      <c r="I1824" s="17">
        <v>45778</v>
      </c>
      <c r="J1824" s="18">
        <f>YEAR(Tabla1[[#This Row],[FECHA DE COMPRA]])</f>
        <v>2025</v>
      </c>
      <c r="K1824" s="19">
        <v>138.4</v>
      </c>
      <c r="L1824" s="20">
        <v>0</v>
      </c>
      <c r="M1824" s="19">
        <f>Tienda!$K4910-Tienda!$K4910*Tienda!$L4910</f>
        <v>74.745000000000005</v>
      </c>
      <c r="N1824" s="3" t="s">
        <v>10038</v>
      </c>
      <c r="O1824" s="3" t="s">
        <v>10042</v>
      </c>
      <c r="P1824" s="17">
        <v>45868</v>
      </c>
      <c r="Q1824" s="4">
        <v>3</v>
      </c>
    </row>
    <row r="1825" spans="1:17" x14ac:dyDescent="0.25">
      <c r="A1825" s="2" t="s">
        <v>726</v>
      </c>
      <c r="B1825" s="3" t="s">
        <v>5015</v>
      </c>
      <c r="C1825" s="3">
        <v>19</v>
      </c>
      <c r="D1825" s="46" t="str">
        <f>IF(Tabla1[[#This Row],[EDAD]]&lt;=35,"Adultos jóvenes 18 - 35 años",IF(C1825&gt;=36,"Adultos mayores 36 años en adelante"))</f>
        <v>Adultos jóvenes 18 - 35 años</v>
      </c>
      <c r="E1825" s="3" t="s">
        <v>5017</v>
      </c>
      <c r="F1825" s="3" t="s">
        <v>5024</v>
      </c>
      <c r="G1825" s="3" t="s">
        <v>5032</v>
      </c>
      <c r="H1825" s="3" t="s">
        <v>5749</v>
      </c>
      <c r="I1825" s="17">
        <v>45783</v>
      </c>
      <c r="J1825" s="18">
        <f>YEAR(Tabla1[[#This Row],[FECHA DE COMPRA]])</f>
        <v>2025</v>
      </c>
      <c r="K1825" s="19">
        <v>176.17</v>
      </c>
      <c r="L1825" s="20">
        <v>0.1</v>
      </c>
      <c r="M1825" s="19">
        <f>Tienda!$K4916-Tienda!$K4916*Tienda!$L4916</f>
        <v>108.999</v>
      </c>
      <c r="N1825" s="3" t="s">
        <v>10038</v>
      </c>
      <c r="O1825" s="3" t="s">
        <v>10042</v>
      </c>
      <c r="P1825" s="17">
        <v>45963</v>
      </c>
      <c r="Q1825" s="4">
        <v>6</v>
      </c>
    </row>
    <row r="1826" spans="1:17" x14ac:dyDescent="0.25">
      <c r="A1826" s="2" t="s">
        <v>3592</v>
      </c>
      <c r="B1826" s="3" t="s">
        <v>5015</v>
      </c>
      <c r="C1826" s="3">
        <v>21</v>
      </c>
      <c r="D1826" s="46" t="str">
        <f>IF(Tabla1[[#This Row],[EDAD]]&lt;=35,"Adultos jóvenes 18 - 35 años",IF(C1826&gt;=36,"Adultos mayores 36 años en adelante"))</f>
        <v>Adultos jóvenes 18 - 35 años</v>
      </c>
      <c r="E1826" s="3" t="s">
        <v>5020</v>
      </c>
      <c r="F1826" s="3" t="s">
        <v>5027</v>
      </c>
      <c r="G1826" s="3" t="s">
        <v>5036</v>
      </c>
      <c r="H1826" s="3" t="s">
        <v>8615</v>
      </c>
      <c r="I1826" s="17">
        <v>45784</v>
      </c>
      <c r="J1826" s="18">
        <f>YEAR(Tabla1[[#This Row],[FECHA DE COMPRA]])</f>
        <v>2025</v>
      </c>
      <c r="K1826" s="19">
        <v>180.26</v>
      </c>
      <c r="L1826" s="20">
        <v>0.3</v>
      </c>
      <c r="M1826" s="19">
        <f>Tienda!$K4918-Tienda!$K4918*Tienda!$L4918</f>
        <v>92.420999999999992</v>
      </c>
      <c r="N1826" s="3" t="s">
        <v>10038</v>
      </c>
      <c r="O1826" s="3" t="s">
        <v>10042</v>
      </c>
      <c r="P1826" s="17">
        <v>45874</v>
      </c>
      <c r="Q1826" s="4">
        <v>3</v>
      </c>
    </row>
    <row r="1827" spans="1:17" x14ac:dyDescent="0.25">
      <c r="A1827" s="2" t="s">
        <v>4591</v>
      </c>
      <c r="B1827" s="3" t="s">
        <v>5016</v>
      </c>
      <c r="C1827" s="3">
        <v>23</v>
      </c>
      <c r="D1827" s="46" t="str">
        <f>IF(Tabla1[[#This Row],[EDAD]]&lt;=35,"Adultos jóvenes 18 - 35 años",IF(C1827&gt;=36,"Adultos mayores 36 años en adelante"))</f>
        <v>Adultos jóvenes 18 - 35 años</v>
      </c>
      <c r="E1827" s="3" t="s">
        <v>5017</v>
      </c>
      <c r="F1827" s="3" t="s">
        <v>5025</v>
      </c>
      <c r="G1827" s="3" t="s">
        <v>5036</v>
      </c>
      <c r="H1827" s="3" t="s">
        <v>9614</v>
      </c>
      <c r="I1827" s="17">
        <v>45801</v>
      </c>
      <c r="J1827" s="18">
        <f>YEAR(Tabla1[[#This Row],[FECHA DE COMPRA]])</f>
        <v>2025</v>
      </c>
      <c r="K1827" s="19">
        <v>180.77</v>
      </c>
      <c r="L1827" s="20">
        <v>0</v>
      </c>
      <c r="M1827" s="19">
        <f>Tienda!$K4919-Tienda!$K4919*Tienda!$L4919</f>
        <v>124.92000000000002</v>
      </c>
      <c r="N1827" s="3" t="s">
        <v>10038</v>
      </c>
      <c r="O1827" s="3" t="s">
        <v>10042</v>
      </c>
      <c r="P1827" s="17">
        <v>46071</v>
      </c>
      <c r="Q1827" s="4">
        <v>9</v>
      </c>
    </row>
    <row r="1828" spans="1:17" x14ac:dyDescent="0.25">
      <c r="A1828" s="2" t="s">
        <v>2356</v>
      </c>
      <c r="B1828" s="3" t="s">
        <v>5015</v>
      </c>
      <c r="C1828" s="3">
        <v>28</v>
      </c>
      <c r="D1828" s="46" t="str">
        <f>IF(Tabla1[[#This Row],[EDAD]]&lt;=35,"Adultos jóvenes 18 - 35 años",IF(C1828&gt;=36,"Adultos mayores 36 años en adelante"))</f>
        <v>Adultos jóvenes 18 - 35 años</v>
      </c>
      <c r="E1828" s="3" t="s">
        <v>5019</v>
      </c>
      <c r="F1828" s="3" t="s">
        <v>5026</v>
      </c>
      <c r="G1828" s="3" t="s">
        <v>5034</v>
      </c>
      <c r="H1828" s="3" t="s">
        <v>7379</v>
      </c>
      <c r="I1828" s="17">
        <v>45807</v>
      </c>
      <c r="J1828" s="18">
        <f>YEAR(Tabla1[[#This Row],[FECHA DE COMPRA]])</f>
        <v>2025</v>
      </c>
      <c r="K1828" s="19">
        <v>192.23</v>
      </c>
      <c r="L1828" s="20">
        <v>0.3</v>
      </c>
      <c r="M1828" s="19">
        <f>Tienda!$K4922-Tienda!$K4922*Tienda!$L4922</f>
        <v>151.88</v>
      </c>
      <c r="N1828" s="3" t="s">
        <v>10038</v>
      </c>
      <c r="O1828" s="3" t="s">
        <v>10042</v>
      </c>
      <c r="P1828" s="17">
        <v>45987</v>
      </c>
      <c r="Q1828" s="4">
        <v>6</v>
      </c>
    </row>
    <row r="1829" spans="1:17" x14ac:dyDescent="0.25">
      <c r="A1829" s="2" t="s">
        <v>352</v>
      </c>
      <c r="B1829" s="3" t="s">
        <v>5016</v>
      </c>
      <c r="C1829" s="3">
        <v>33</v>
      </c>
      <c r="D1829" s="46" t="str">
        <f>IF(Tabla1[[#This Row],[EDAD]]&lt;=35,"Adultos jóvenes 18 - 35 años",IF(C1829&gt;=36,"Adultos mayores 36 años en adelante"))</f>
        <v>Adultos jóvenes 18 - 35 años</v>
      </c>
      <c r="E1829" s="3" t="s">
        <v>5021</v>
      </c>
      <c r="F1829" s="3" t="s">
        <v>5025</v>
      </c>
      <c r="G1829" s="3" t="s">
        <v>5032</v>
      </c>
      <c r="H1829" s="3" t="s">
        <v>5375</v>
      </c>
      <c r="I1829" s="17">
        <v>45811</v>
      </c>
      <c r="J1829" s="18">
        <f>YEAR(Tabla1[[#This Row],[FECHA DE COMPRA]])</f>
        <v>2025</v>
      </c>
      <c r="K1829" s="19">
        <v>25.62</v>
      </c>
      <c r="L1829" s="20">
        <v>0.1</v>
      </c>
      <c r="M1829" s="19">
        <f>Tienda!$K4927-Tienda!$K4927*Tienda!$L4927</f>
        <v>148.40799999999999</v>
      </c>
      <c r="N1829" s="3" t="s">
        <v>10038</v>
      </c>
      <c r="O1829" s="3" t="s">
        <v>10042</v>
      </c>
      <c r="P1829" s="17">
        <v>45991</v>
      </c>
      <c r="Q1829" s="4">
        <v>6</v>
      </c>
    </row>
    <row r="1830" spans="1:17" x14ac:dyDescent="0.25">
      <c r="A1830" s="2" t="s">
        <v>2692</v>
      </c>
      <c r="B1830" s="3" t="s">
        <v>5015</v>
      </c>
      <c r="C1830" s="3">
        <v>27</v>
      </c>
      <c r="D1830" s="46" t="str">
        <f>IF(Tabla1[[#This Row],[EDAD]]&lt;=35,"Adultos jóvenes 18 - 35 años",IF(C1830&gt;=36,"Adultos mayores 36 años en adelante"))</f>
        <v>Adultos jóvenes 18 - 35 años</v>
      </c>
      <c r="E1830" s="3" t="s">
        <v>5020</v>
      </c>
      <c r="F1830" s="3" t="s">
        <v>5026</v>
      </c>
      <c r="G1830" s="3" t="s">
        <v>5035</v>
      </c>
      <c r="H1830" s="3" t="s">
        <v>7715</v>
      </c>
      <c r="I1830" s="17">
        <v>45821</v>
      </c>
      <c r="J1830" s="18">
        <f>YEAR(Tabla1[[#This Row],[FECHA DE COMPRA]])</f>
        <v>2025</v>
      </c>
      <c r="K1830" s="19">
        <v>41.17</v>
      </c>
      <c r="L1830" s="20">
        <v>0</v>
      </c>
      <c r="M1830" s="19">
        <f>Tienda!$K4931-Tienda!$K4931*Tienda!$L4931</f>
        <v>26.423999999999999</v>
      </c>
      <c r="N1830" s="3" t="s">
        <v>10038</v>
      </c>
      <c r="O1830" s="3" t="s">
        <v>10042</v>
      </c>
      <c r="P1830" s="17">
        <v>46091</v>
      </c>
      <c r="Q1830" s="4">
        <v>9</v>
      </c>
    </row>
    <row r="1831" spans="1:17" x14ac:dyDescent="0.25">
      <c r="A1831" s="2" t="s">
        <v>3394</v>
      </c>
      <c r="B1831" s="3" t="s">
        <v>5016</v>
      </c>
      <c r="C1831" s="3">
        <v>27</v>
      </c>
      <c r="D1831" s="46" t="str">
        <f>IF(Tabla1[[#This Row],[EDAD]]&lt;=35,"Adultos jóvenes 18 - 35 años",IF(C1831&gt;=36,"Adultos mayores 36 años en adelante"))</f>
        <v>Adultos jóvenes 18 - 35 años</v>
      </c>
      <c r="E1831" s="3" t="s">
        <v>5021</v>
      </c>
      <c r="F1831" s="3" t="s">
        <v>5026</v>
      </c>
      <c r="G1831" s="3" t="s">
        <v>5033</v>
      </c>
      <c r="H1831" s="3" t="s">
        <v>8417</v>
      </c>
      <c r="I1831" s="17">
        <v>45833</v>
      </c>
      <c r="J1831" s="18">
        <f>YEAR(Tabla1[[#This Row],[FECHA DE COMPRA]])</f>
        <v>2025</v>
      </c>
      <c r="K1831" s="19">
        <v>54.57</v>
      </c>
      <c r="L1831" s="20">
        <v>0</v>
      </c>
      <c r="M1831" s="19">
        <f>Tienda!$K4934-Tienda!$K4934*Tienda!$L4934</f>
        <v>37.335999999999999</v>
      </c>
      <c r="N1831" s="3" t="s">
        <v>10038</v>
      </c>
      <c r="O1831" s="3" t="s">
        <v>10042</v>
      </c>
      <c r="P1831" s="17">
        <v>46103</v>
      </c>
      <c r="Q1831" s="4">
        <v>9</v>
      </c>
    </row>
    <row r="1832" spans="1:17" x14ac:dyDescent="0.25">
      <c r="A1832" s="2" t="s">
        <v>4401</v>
      </c>
      <c r="B1832" s="3" t="s">
        <v>5015</v>
      </c>
      <c r="C1832" s="3">
        <v>30</v>
      </c>
      <c r="D1832" s="46" t="str">
        <f>IF(Tabla1[[#This Row],[EDAD]]&lt;=35,"Adultos jóvenes 18 - 35 años",IF(C1832&gt;=36,"Adultos mayores 36 años en adelante"))</f>
        <v>Adultos jóvenes 18 - 35 años</v>
      </c>
      <c r="E1832" s="3" t="s">
        <v>5019</v>
      </c>
      <c r="F1832" s="3" t="s">
        <v>5028</v>
      </c>
      <c r="G1832" s="3" t="s">
        <v>5032</v>
      </c>
      <c r="H1832" s="3" t="s">
        <v>9424</v>
      </c>
      <c r="I1832" s="17">
        <v>45819</v>
      </c>
      <c r="J1832" s="18">
        <f>YEAR(Tabla1[[#This Row],[FECHA DE COMPRA]])</f>
        <v>2025</v>
      </c>
      <c r="K1832" s="19">
        <v>68.31</v>
      </c>
      <c r="L1832" s="20">
        <v>0.1</v>
      </c>
      <c r="M1832" s="19">
        <f>Tienda!$K4936-Tienda!$K4936*Tienda!$L4936</f>
        <v>68.376000000000005</v>
      </c>
      <c r="N1832" s="3" t="s">
        <v>10038</v>
      </c>
      <c r="O1832" s="3" t="s">
        <v>10042</v>
      </c>
      <c r="P1832" s="17">
        <v>45999</v>
      </c>
      <c r="Q1832" s="4">
        <v>6</v>
      </c>
    </row>
    <row r="1833" spans="1:17" x14ac:dyDescent="0.25">
      <c r="A1833" s="2" t="s">
        <v>2353</v>
      </c>
      <c r="B1833" s="3" t="s">
        <v>5015</v>
      </c>
      <c r="C1833" s="3">
        <v>31</v>
      </c>
      <c r="D1833" s="46" t="str">
        <f>IF(Tabla1[[#This Row],[EDAD]]&lt;=35,"Adultos jóvenes 18 - 35 años",IF(C1833&gt;=36,"Adultos mayores 36 años en adelante"))</f>
        <v>Adultos jóvenes 18 - 35 años</v>
      </c>
      <c r="E1833" s="3" t="s">
        <v>5018</v>
      </c>
      <c r="F1833" s="3" t="s">
        <v>5029</v>
      </c>
      <c r="G1833" s="3" t="s">
        <v>5033</v>
      </c>
      <c r="H1833" s="3" t="s">
        <v>7376</v>
      </c>
      <c r="I1833" s="17">
        <v>45835</v>
      </c>
      <c r="J1833" s="18">
        <f>YEAR(Tabla1[[#This Row],[FECHA DE COMPRA]])</f>
        <v>2025</v>
      </c>
      <c r="K1833" s="19">
        <v>86.48</v>
      </c>
      <c r="L1833" s="20">
        <v>0</v>
      </c>
      <c r="M1833" s="19">
        <f>Tienda!$K4941-Tienda!$K4941*Tienda!$L4941</f>
        <v>98.65</v>
      </c>
      <c r="N1833" s="3" t="s">
        <v>10038</v>
      </c>
      <c r="O1833" s="3" t="s">
        <v>10042</v>
      </c>
      <c r="P1833" s="17">
        <v>45925</v>
      </c>
      <c r="Q1833" s="4">
        <v>3</v>
      </c>
    </row>
    <row r="1834" spans="1:17" x14ac:dyDescent="0.25">
      <c r="A1834" s="2" t="s">
        <v>3079</v>
      </c>
      <c r="B1834" s="3" t="s">
        <v>5015</v>
      </c>
      <c r="C1834" s="3">
        <v>30</v>
      </c>
      <c r="D1834" s="46" t="str">
        <f>IF(Tabla1[[#This Row],[EDAD]]&lt;=35,"Adultos jóvenes 18 - 35 años",IF(C1834&gt;=36,"Adultos mayores 36 años en adelante"))</f>
        <v>Adultos jóvenes 18 - 35 años</v>
      </c>
      <c r="E1834" s="3" t="s">
        <v>5018</v>
      </c>
      <c r="F1834" s="3" t="s">
        <v>5028</v>
      </c>
      <c r="G1834" s="3" t="s">
        <v>5037</v>
      </c>
      <c r="H1834" s="3" t="s">
        <v>8102</v>
      </c>
      <c r="I1834" s="17">
        <v>45836</v>
      </c>
      <c r="J1834" s="18">
        <f>YEAR(Tabla1[[#This Row],[FECHA DE COMPRA]])</f>
        <v>2025</v>
      </c>
      <c r="K1834" s="19">
        <v>94.34</v>
      </c>
      <c r="L1834" s="20">
        <v>0.3</v>
      </c>
      <c r="M1834" s="19">
        <f>Tienda!$K4943-Tienda!$K4943*Tienda!$L4943</f>
        <v>112.82</v>
      </c>
      <c r="N1834" s="3" t="s">
        <v>10038</v>
      </c>
      <c r="O1834" s="3" t="s">
        <v>10042</v>
      </c>
      <c r="P1834" s="17">
        <v>46106</v>
      </c>
      <c r="Q1834" s="4">
        <v>9</v>
      </c>
    </row>
    <row r="1835" spans="1:17" x14ac:dyDescent="0.25">
      <c r="A1835" s="2" t="s">
        <v>1680</v>
      </c>
      <c r="B1835" s="3" t="s">
        <v>5016</v>
      </c>
      <c r="C1835" s="3">
        <v>22</v>
      </c>
      <c r="D1835" s="46" t="str">
        <f>IF(Tabla1[[#This Row],[EDAD]]&lt;=35,"Adultos jóvenes 18 - 35 años",IF(C1835&gt;=36,"Adultos mayores 36 años en adelante"))</f>
        <v>Adultos jóvenes 18 - 35 años</v>
      </c>
      <c r="E1835" s="3" t="s">
        <v>5017</v>
      </c>
      <c r="F1835" s="3" t="s">
        <v>5025</v>
      </c>
      <c r="G1835" s="3" t="s">
        <v>5033</v>
      </c>
      <c r="H1835" s="3" t="s">
        <v>6703</v>
      </c>
      <c r="I1835" s="17">
        <v>45822</v>
      </c>
      <c r="J1835" s="18">
        <f>YEAR(Tabla1[[#This Row],[FECHA DE COMPRA]])</f>
        <v>2025</v>
      </c>
      <c r="K1835" s="19">
        <v>109.24</v>
      </c>
      <c r="L1835" s="20">
        <v>0.3</v>
      </c>
      <c r="M1835" s="19">
        <f>Tienda!$K4944-Tienda!$K4944*Tienda!$L4944</f>
        <v>131.79599999999999</v>
      </c>
      <c r="N1835" s="3" t="s">
        <v>10038</v>
      </c>
      <c r="O1835" s="3" t="s">
        <v>10042</v>
      </c>
      <c r="P1835" s="17">
        <v>46182</v>
      </c>
      <c r="Q1835" s="4">
        <v>12</v>
      </c>
    </row>
    <row r="1836" spans="1:17" x14ac:dyDescent="0.25">
      <c r="A1836" s="2" t="s">
        <v>4058</v>
      </c>
      <c r="B1836" s="3" t="s">
        <v>5015</v>
      </c>
      <c r="C1836" s="3">
        <v>20</v>
      </c>
      <c r="D1836" s="46" t="str">
        <f>IF(Tabla1[[#This Row],[EDAD]]&lt;=35,"Adultos jóvenes 18 - 35 años",IF(C1836&gt;=36,"Adultos mayores 36 años en adelante"))</f>
        <v>Adultos jóvenes 18 - 35 años</v>
      </c>
      <c r="E1836" s="3" t="s">
        <v>5020</v>
      </c>
      <c r="F1836" s="3" t="s">
        <v>5024</v>
      </c>
      <c r="G1836" s="3" t="s">
        <v>5037</v>
      </c>
      <c r="H1836" s="3" t="s">
        <v>9081</v>
      </c>
      <c r="I1836" s="17">
        <v>45825</v>
      </c>
      <c r="J1836" s="18">
        <f>YEAR(Tabla1[[#This Row],[FECHA DE COMPRA]])</f>
        <v>2025</v>
      </c>
      <c r="K1836" s="19">
        <v>115.28</v>
      </c>
      <c r="L1836" s="20">
        <v>0.1</v>
      </c>
      <c r="M1836" s="19">
        <f>Tienda!$K4946-Tienda!$K4946*Tienda!$L4946</f>
        <v>133.839</v>
      </c>
      <c r="N1836" s="3" t="s">
        <v>10038</v>
      </c>
      <c r="O1836" s="3" t="s">
        <v>10042</v>
      </c>
      <c r="P1836" s="17">
        <v>46185</v>
      </c>
      <c r="Q1836" s="4">
        <v>12</v>
      </c>
    </row>
    <row r="1837" spans="1:17" x14ac:dyDescent="0.25">
      <c r="A1837" s="2" t="s">
        <v>251</v>
      </c>
      <c r="B1837" s="3" t="s">
        <v>5015</v>
      </c>
      <c r="C1837" s="3">
        <v>26</v>
      </c>
      <c r="D1837" s="46" t="str">
        <f>IF(Tabla1[[#This Row],[EDAD]]&lt;=35,"Adultos jóvenes 18 - 35 años",IF(C1837&gt;=36,"Adultos mayores 36 años en adelante"))</f>
        <v>Adultos jóvenes 18 - 35 años</v>
      </c>
      <c r="E1837" s="3" t="s">
        <v>5022</v>
      </c>
      <c r="F1837" s="3" t="s">
        <v>5029</v>
      </c>
      <c r="G1837" s="3" t="s">
        <v>5036</v>
      </c>
      <c r="H1837" s="3" t="s">
        <v>5274</v>
      </c>
      <c r="I1837" s="17">
        <v>45823</v>
      </c>
      <c r="J1837" s="18">
        <f>YEAR(Tabla1[[#This Row],[FECHA DE COMPRA]])</f>
        <v>2025</v>
      </c>
      <c r="K1837" s="19">
        <v>165.06</v>
      </c>
      <c r="L1837" s="20">
        <v>0.3</v>
      </c>
      <c r="M1837" s="19">
        <f>Tienda!$K4957-Tienda!$K4957*Tienda!$L4957</f>
        <v>23.842000000000002</v>
      </c>
      <c r="N1837" s="3" t="s">
        <v>10038</v>
      </c>
      <c r="O1837" s="3" t="s">
        <v>10042</v>
      </c>
      <c r="P1837" s="17">
        <v>46093</v>
      </c>
      <c r="Q1837" s="4">
        <v>9</v>
      </c>
    </row>
    <row r="1838" spans="1:17" x14ac:dyDescent="0.25">
      <c r="A1838" s="2" t="s">
        <v>989</v>
      </c>
      <c r="B1838" s="3" t="s">
        <v>5015</v>
      </c>
      <c r="C1838" s="3">
        <v>30</v>
      </c>
      <c r="D1838" s="46" t="str">
        <f>IF(Tabla1[[#This Row],[EDAD]]&lt;=35,"Adultos jóvenes 18 - 35 años",IF(C1838&gt;=36,"Adultos mayores 36 años en adelante"))</f>
        <v>Adultos jóvenes 18 - 35 años</v>
      </c>
      <c r="E1838" s="3" t="s">
        <v>5023</v>
      </c>
      <c r="F1838" s="3" t="s">
        <v>5024</v>
      </c>
      <c r="G1838" s="3" t="s">
        <v>5031</v>
      </c>
      <c r="H1838" s="3" t="s">
        <v>6012</v>
      </c>
      <c r="I1838" s="17">
        <v>45825</v>
      </c>
      <c r="J1838" s="18">
        <f>YEAR(Tabla1[[#This Row],[FECHA DE COMPRA]])</f>
        <v>2025</v>
      </c>
      <c r="K1838" s="19">
        <v>167.52</v>
      </c>
      <c r="L1838" s="20">
        <v>0.3</v>
      </c>
      <c r="M1838" s="19">
        <f>Tienda!$K4959-Tienda!$K4959*Tienda!$L4959</f>
        <v>48.39</v>
      </c>
      <c r="N1838" s="3" t="s">
        <v>10038</v>
      </c>
      <c r="O1838" s="3" t="s">
        <v>10042</v>
      </c>
      <c r="P1838" s="17">
        <v>46185</v>
      </c>
      <c r="Q1838" s="4">
        <v>12</v>
      </c>
    </row>
    <row r="1839" spans="1:17" x14ac:dyDescent="0.25">
      <c r="A1839" s="2" t="s">
        <v>4971</v>
      </c>
      <c r="B1839" s="3" t="s">
        <v>5015</v>
      </c>
      <c r="C1839" s="3">
        <v>35</v>
      </c>
      <c r="D1839" s="46" t="str">
        <f>IF(Tabla1[[#This Row],[EDAD]]&lt;=35,"Adultos jóvenes 18 - 35 años",IF(C1839&gt;=36,"Adultos mayores 36 años en adelante"))</f>
        <v>Adultos jóvenes 18 - 35 años</v>
      </c>
      <c r="E1839" s="3" t="s">
        <v>5021</v>
      </c>
      <c r="F1839" s="3" t="s">
        <v>5024</v>
      </c>
      <c r="G1839" s="3" t="s">
        <v>5037</v>
      </c>
      <c r="H1839" s="3" t="s">
        <v>9994</v>
      </c>
      <c r="I1839" s="17">
        <v>45823</v>
      </c>
      <c r="J1839" s="18">
        <f>YEAR(Tabla1[[#This Row],[FECHA DE COMPRA]])</f>
        <v>2025</v>
      </c>
      <c r="K1839" s="19">
        <v>179.47</v>
      </c>
      <c r="L1839" s="20">
        <v>0.3</v>
      </c>
      <c r="M1839" s="19">
        <f>Tienda!$K4961-Tienda!$K4961*Tienda!$L4961</f>
        <v>52.536000000000001</v>
      </c>
      <c r="N1839" s="3" t="s">
        <v>10038</v>
      </c>
      <c r="O1839" s="3" t="s">
        <v>10042</v>
      </c>
      <c r="P1839" s="17">
        <v>46093</v>
      </c>
      <c r="Q1839" s="4">
        <v>9</v>
      </c>
    </row>
    <row r="1840" spans="1:17" x14ac:dyDescent="0.25">
      <c r="A1840" s="2" t="s">
        <v>4266</v>
      </c>
      <c r="B1840" s="3" t="s">
        <v>5015</v>
      </c>
      <c r="C1840" s="3">
        <v>33</v>
      </c>
      <c r="D1840" s="46" t="str">
        <f>IF(Tabla1[[#This Row],[EDAD]]&lt;=35,"Adultos jóvenes 18 - 35 años",IF(C1840&gt;=36,"Adultos mayores 36 años en adelante"))</f>
        <v>Adultos jóvenes 18 - 35 años</v>
      </c>
      <c r="E1840" s="3" t="s">
        <v>5023</v>
      </c>
      <c r="F1840" s="3" t="s">
        <v>5027</v>
      </c>
      <c r="G1840" s="3" t="s">
        <v>5034</v>
      </c>
      <c r="H1840" s="3" t="s">
        <v>9289</v>
      </c>
      <c r="I1840" s="17">
        <v>45818</v>
      </c>
      <c r="J1840" s="18">
        <f>YEAR(Tabla1[[#This Row],[FECHA DE COMPRA]])</f>
        <v>2025</v>
      </c>
      <c r="K1840" s="19">
        <v>183.52</v>
      </c>
      <c r="L1840" s="20">
        <v>0</v>
      </c>
      <c r="M1840" s="19">
        <f>Tienda!$K4962-Tienda!$K4962*Tienda!$L4962</f>
        <v>62.603999999999999</v>
      </c>
      <c r="N1840" s="3" t="s">
        <v>10038</v>
      </c>
      <c r="O1840" s="3" t="s">
        <v>10042</v>
      </c>
      <c r="P1840" s="17">
        <v>45908</v>
      </c>
      <c r="Q1840" s="4">
        <v>3</v>
      </c>
    </row>
    <row r="1841" spans="1:17" x14ac:dyDescent="0.25">
      <c r="A1841" s="2" t="s">
        <v>4914</v>
      </c>
      <c r="B1841" s="3" t="s">
        <v>5015</v>
      </c>
      <c r="C1841" s="3">
        <v>18</v>
      </c>
      <c r="D1841" s="46" t="str">
        <f>IF(Tabla1[[#This Row],[EDAD]]&lt;=35,"Adultos jóvenes 18 - 35 años",IF(C1841&gt;=36,"Adultos mayores 36 años en adelante"))</f>
        <v>Adultos jóvenes 18 - 35 años</v>
      </c>
      <c r="E1841" s="3" t="s">
        <v>5018</v>
      </c>
      <c r="F1841" s="3" t="s">
        <v>5029</v>
      </c>
      <c r="G1841" s="3" t="s">
        <v>5034</v>
      </c>
      <c r="H1841" s="3" t="s">
        <v>9937</v>
      </c>
      <c r="I1841" s="17">
        <v>45822</v>
      </c>
      <c r="J1841" s="18">
        <f>YEAR(Tabla1[[#This Row],[FECHA DE COMPRA]])</f>
        <v>2025</v>
      </c>
      <c r="K1841" s="19">
        <v>189.77</v>
      </c>
      <c r="L1841" s="20">
        <v>0.2</v>
      </c>
      <c r="M1841" s="19">
        <f>Tienda!$K4964-Tienda!$K4964*Tienda!$L4964</f>
        <v>78.61</v>
      </c>
      <c r="N1841" s="3" t="s">
        <v>10038</v>
      </c>
      <c r="O1841" s="3" t="s">
        <v>10042</v>
      </c>
      <c r="P1841" s="17">
        <v>45912</v>
      </c>
      <c r="Q1841" s="4">
        <v>3</v>
      </c>
    </row>
    <row r="1842" spans="1:17" x14ac:dyDescent="0.25">
      <c r="A1842" s="2" t="s">
        <v>4730</v>
      </c>
      <c r="B1842" s="3" t="s">
        <v>5015</v>
      </c>
      <c r="C1842" s="3">
        <v>23</v>
      </c>
      <c r="D1842" s="46" t="str">
        <f>IF(Tabla1[[#This Row],[EDAD]]&lt;=35,"Adultos jóvenes 18 - 35 años",IF(C1842&gt;=36,"Adultos mayores 36 años en adelante"))</f>
        <v>Adultos jóvenes 18 - 35 años</v>
      </c>
      <c r="E1842" s="3" t="s">
        <v>5019</v>
      </c>
      <c r="F1842" s="3" t="s">
        <v>5025</v>
      </c>
      <c r="G1842" s="3" t="s">
        <v>5037</v>
      </c>
      <c r="H1842" s="3" t="s">
        <v>9753</v>
      </c>
      <c r="I1842" s="17">
        <v>45832</v>
      </c>
      <c r="J1842" s="18">
        <f>YEAR(Tabla1[[#This Row],[FECHA DE COMPRA]])</f>
        <v>2025</v>
      </c>
      <c r="K1842" s="19">
        <v>192.25</v>
      </c>
      <c r="L1842" s="20">
        <v>0.1</v>
      </c>
      <c r="M1842" s="19">
        <f>Tienda!$K4965-Tienda!$K4965*Tienda!$L4965</f>
        <v>63.103999999999999</v>
      </c>
      <c r="N1842" s="3" t="s">
        <v>10038</v>
      </c>
      <c r="O1842" s="3" t="s">
        <v>10042</v>
      </c>
      <c r="P1842" s="17">
        <v>46102</v>
      </c>
      <c r="Q1842" s="4">
        <v>9</v>
      </c>
    </row>
    <row r="1843" spans="1:17" x14ac:dyDescent="0.25">
      <c r="A1843" s="2" t="s">
        <v>4842</v>
      </c>
      <c r="B1843" s="3" t="s">
        <v>5015</v>
      </c>
      <c r="C1843" s="3">
        <v>35</v>
      </c>
      <c r="D1843" s="46" t="str">
        <f>IF(Tabla1[[#This Row],[EDAD]]&lt;=35,"Adultos jóvenes 18 - 35 años",IF(C1843&gt;=36,"Adultos mayores 36 años en adelante"))</f>
        <v>Adultos jóvenes 18 - 35 años</v>
      </c>
      <c r="E1843" s="3" t="s">
        <v>5023</v>
      </c>
      <c r="F1843" s="3" t="s">
        <v>5026</v>
      </c>
      <c r="G1843" s="3" t="s">
        <v>5032</v>
      </c>
      <c r="H1843" s="3" t="s">
        <v>9865</v>
      </c>
      <c r="I1843" s="17">
        <v>45849</v>
      </c>
      <c r="J1843" s="18">
        <f>YEAR(Tabla1[[#This Row],[FECHA DE COMPRA]])</f>
        <v>2025</v>
      </c>
      <c r="K1843" s="19">
        <v>39.39</v>
      </c>
      <c r="L1843" s="20">
        <v>0</v>
      </c>
      <c r="M1843" s="19">
        <f>Tienda!$K4969-Tienda!$K4969*Tienda!$L4969</f>
        <v>86.863</v>
      </c>
      <c r="N1843" s="3" t="s">
        <v>10038</v>
      </c>
      <c r="O1843" s="3" t="s">
        <v>10042</v>
      </c>
      <c r="P1843" s="17">
        <v>46119</v>
      </c>
      <c r="Q1843" s="4">
        <v>9</v>
      </c>
    </row>
    <row r="1844" spans="1:17" x14ac:dyDescent="0.25">
      <c r="A1844" s="2" t="s">
        <v>4357</v>
      </c>
      <c r="B1844" s="3" t="s">
        <v>5016</v>
      </c>
      <c r="C1844" s="3">
        <v>32</v>
      </c>
      <c r="D1844" s="46" t="str">
        <f>IF(Tabla1[[#This Row],[EDAD]]&lt;=35,"Adultos jóvenes 18 - 35 años",IF(C1844&gt;=36,"Adultos mayores 36 años en adelante"))</f>
        <v>Adultos jóvenes 18 - 35 años</v>
      </c>
      <c r="E1844" s="3" t="s">
        <v>5019</v>
      </c>
      <c r="F1844" s="3" t="s">
        <v>5026</v>
      </c>
      <c r="G1844" s="3" t="s">
        <v>5036</v>
      </c>
      <c r="H1844" s="3" t="s">
        <v>9380</v>
      </c>
      <c r="I1844" s="17">
        <v>45847</v>
      </c>
      <c r="J1844" s="18">
        <f>YEAR(Tabla1[[#This Row],[FECHA DE COMPRA]])</f>
        <v>2025</v>
      </c>
      <c r="K1844" s="19">
        <v>43.93</v>
      </c>
      <c r="L1844" s="20">
        <v>0.3</v>
      </c>
      <c r="M1844" s="19">
        <f>Tienda!$K4971-Tienda!$K4971*Tienda!$L4971</f>
        <v>102.172</v>
      </c>
      <c r="N1844" s="3" t="s">
        <v>10038</v>
      </c>
      <c r="O1844" s="3" t="s">
        <v>10042</v>
      </c>
      <c r="P1844" s="17">
        <v>46117</v>
      </c>
      <c r="Q1844" s="4">
        <v>9</v>
      </c>
    </row>
    <row r="1845" spans="1:17" x14ac:dyDescent="0.25">
      <c r="A1845" s="2" t="s">
        <v>1792</v>
      </c>
      <c r="B1845" s="3" t="s">
        <v>5016</v>
      </c>
      <c r="C1845" s="3">
        <v>34</v>
      </c>
      <c r="D1845" s="46" t="str">
        <f>IF(Tabla1[[#This Row],[EDAD]]&lt;=35,"Adultos jóvenes 18 - 35 años",IF(C1845&gt;=36,"Adultos mayores 36 años en adelante"))</f>
        <v>Adultos jóvenes 18 - 35 años</v>
      </c>
      <c r="E1845" s="3" t="s">
        <v>5021</v>
      </c>
      <c r="F1845" s="3" t="s">
        <v>5026</v>
      </c>
      <c r="G1845" s="3" t="s">
        <v>5032</v>
      </c>
      <c r="H1845" s="3" t="s">
        <v>6815</v>
      </c>
      <c r="I1845" s="17">
        <v>45850</v>
      </c>
      <c r="J1845" s="18">
        <f>YEAR(Tabla1[[#This Row],[FECHA DE COMPRA]])</f>
        <v>2025</v>
      </c>
      <c r="K1845" s="19">
        <v>86.09</v>
      </c>
      <c r="L1845" s="20">
        <v>0</v>
      </c>
      <c r="M1845" s="19">
        <f>Tienda!$K4972-Tienda!$K4972*Tienda!$L4972</f>
        <v>117.12</v>
      </c>
      <c r="N1845" s="3" t="s">
        <v>10038</v>
      </c>
      <c r="O1845" s="3" t="s">
        <v>10042</v>
      </c>
      <c r="P1845" s="17">
        <v>46210</v>
      </c>
      <c r="Q1845" s="4">
        <v>12</v>
      </c>
    </row>
    <row r="1846" spans="1:17" x14ac:dyDescent="0.25">
      <c r="A1846" s="2" t="s">
        <v>4514</v>
      </c>
      <c r="B1846" s="3" t="s">
        <v>5016</v>
      </c>
      <c r="C1846" s="3">
        <v>35</v>
      </c>
      <c r="D1846" s="46" t="str">
        <f>IF(Tabla1[[#This Row],[EDAD]]&lt;=35,"Adultos jóvenes 18 - 35 años",IF(C1846&gt;=36,"Adultos mayores 36 años en adelante"))</f>
        <v>Adultos jóvenes 18 - 35 años</v>
      </c>
      <c r="E1846" s="3" t="s">
        <v>5017</v>
      </c>
      <c r="F1846" s="3" t="s">
        <v>5025</v>
      </c>
      <c r="G1846" s="3" t="s">
        <v>5035</v>
      </c>
      <c r="H1846" s="3" t="s">
        <v>9537</v>
      </c>
      <c r="I1846" s="17">
        <v>45868</v>
      </c>
      <c r="J1846" s="18">
        <f>YEAR(Tabla1[[#This Row],[FECHA DE COMPRA]])</f>
        <v>2025</v>
      </c>
      <c r="K1846" s="19">
        <v>95.39</v>
      </c>
      <c r="L1846" s="20">
        <v>0.2</v>
      </c>
      <c r="M1846" s="19">
        <f>Tienda!$K4973-Tienda!$K4973*Tienda!$L4973</f>
        <v>151.16999999999999</v>
      </c>
      <c r="N1846" s="3" t="s">
        <v>10038</v>
      </c>
      <c r="O1846" s="3" t="s">
        <v>10042</v>
      </c>
      <c r="P1846" s="17">
        <v>45958</v>
      </c>
      <c r="Q1846" s="4">
        <v>3</v>
      </c>
    </row>
    <row r="1847" spans="1:17" x14ac:dyDescent="0.25">
      <c r="A1847" s="2" t="s">
        <v>4026</v>
      </c>
      <c r="B1847" s="3" t="s">
        <v>5015</v>
      </c>
      <c r="C1847" s="3">
        <v>19</v>
      </c>
      <c r="D1847" s="46" t="str">
        <f>IF(Tabla1[[#This Row],[EDAD]]&lt;=35,"Adultos jóvenes 18 - 35 años",IF(C1847&gt;=36,"Adultos mayores 36 años en adelante"))</f>
        <v>Adultos jóvenes 18 - 35 años</v>
      </c>
      <c r="E1847" s="3" t="s">
        <v>5018</v>
      </c>
      <c r="F1847" s="3" t="s">
        <v>5027</v>
      </c>
      <c r="G1847" s="3" t="s">
        <v>5035</v>
      </c>
      <c r="H1847" s="3" t="s">
        <v>9049</v>
      </c>
      <c r="I1847" s="17">
        <v>45862</v>
      </c>
      <c r="J1847" s="18">
        <f>YEAR(Tabla1[[#This Row],[FECHA DE COMPRA]])</f>
        <v>2025</v>
      </c>
      <c r="K1847" s="19">
        <v>108.2</v>
      </c>
      <c r="L1847" s="20">
        <v>0.2</v>
      </c>
      <c r="M1847" s="19">
        <f>Tienda!$K4974-Tienda!$K4974*Tienda!$L4974</f>
        <v>137.05199999999999</v>
      </c>
      <c r="N1847" s="3" t="s">
        <v>10038</v>
      </c>
      <c r="O1847" s="3" t="s">
        <v>10042</v>
      </c>
      <c r="P1847" s="17">
        <v>46042</v>
      </c>
      <c r="Q1847" s="4">
        <v>6</v>
      </c>
    </row>
    <row r="1848" spans="1:17" x14ac:dyDescent="0.25">
      <c r="A1848" s="2" t="s">
        <v>4360</v>
      </c>
      <c r="B1848" s="3" t="s">
        <v>5015</v>
      </c>
      <c r="C1848" s="3">
        <v>23</v>
      </c>
      <c r="D1848" s="46" t="str">
        <f>IF(Tabla1[[#This Row],[EDAD]]&lt;=35,"Adultos jóvenes 18 - 35 años",IF(C1848&gt;=36,"Adultos mayores 36 años en adelante"))</f>
        <v>Adultos jóvenes 18 - 35 años</v>
      </c>
      <c r="E1848" s="3" t="s">
        <v>5020</v>
      </c>
      <c r="F1848" s="3" t="s">
        <v>5026</v>
      </c>
      <c r="G1848" s="3" t="s">
        <v>5033</v>
      </c>
      <c r="H1848" s="3" t="s">
        <v>9383</v>
      </c>
      <c r="I1848" s="17">
        <v>45853</v>
      </c>
      <c r="J1848" s="18">
        <f>YEAR(Tabla1[[#This Row],[FECHA DE COMPRA]])</f>
        <v>2025</v>
      </c>
      <c r="K1848" s="19">
        <v>108.49</v>
      </c>
      <c r="L1848" s="20">
        <v>0.3</v>
      </c>
      <c r="M1848" s="19">
        <f>Tienda!$K4975-Tienda!$K4975*Tienda!$L4975</f>
        <v>154.41999999999999</v>
      </c>
      <c r="N1848" s="3" t="s">
        <v>10038</v>
      </c>
      <c r="O1848" s="3" t="s">
        <v>10042</v>
      </c>
      <c r="P1848" s="17">
        <v>45943</v>
      </c>
      <c r="Q1848" s="4">
        <v>3</v>
      </c>
    </row>
    <row r="1849" spans="1:17" x14ac:dyDescent="0.25">
      <c r="A1849" s="2" t="s">
        <v>3533</v>
      </c>
      <c r="B1849" s="3" t="s">
        <v>5015</v>
      </c>
      <c r="C1849" s="3">
        <v>35</v>
      </c>
      <c r="D1849" s="46" t="str">
        <f>IF(Tabla1[[#This Row],[EDAD]]&lt;=35,"Adultos jóvenes 18 - 35 años",IF(C1849&gt;=36,"Adultos mayores 36 años en adelante"))</f>
        <v>Adultos jóvenes 18 - 35 años</v>
      </c>
      <c r="E1849" s="3" t="s">
        <v>5020</v>
      </c>
      <c r="F1849" s="3" t="s">
        <v>5028</v>
      </c>
      <c r="G1849" s="3" t="s">
        <v>5031</v>
      </c>
      <c r="H1849" s="3" t="s">
        <v>8556</v>
      </c>
      <c r="I1849" s="17">
        <v>45869</v>
      </c>
      <c r="J1849" s="18">
        <f>YEAR(Tabla1[[#This Row],[FECHA DE COMPRA]])</f>
        <v>2025</v>
      </c>
      <c r="K1849" s="19">
        <v>133.18</v>
      </c>
      <c r="L1849" s="20">
        <v>0.1</v>
      </c>
      <c r="M1849" s="19">
        <f>Tienda!$K4978-Tienda!$K4978*Tienda!$L4978</f>
        <v>115.738</v>
      </c>
      <c r="N1849" s="3" t="s">
        <v>10038</v>
      </c>
      <c r="O1849" s="3" t="s">
        <v>10042</v>
      </c>
      <c r="P1849" s="17">
        <v>46049</v>
      </c>
      <c r="Q1849" s="4">
        <v>6</v>
      </c>
    </row>
    <row r="1850" spans="1:17" x14ac:dyDescent="0.25">
      <c r="A1850" s="2" t="s">
        <v>4279</v>
      </c>
      <c r="B1850" s="3" t="s">
        <v>5015</v>
      </c>
      <c r="C1850" s="3">
        <v>30</v>
      </c>
      <c r="D1850" s="46" t="str">
        <f>IF(Tabla1[[#This Row],[EDAD]]&lt;=35,"Adultos jóvenes 18 - 35 años",IF(C1850&gt;=36,"Adultos mayores 36 años en adelante"))</f>
        <v>Adultos jóvenes 18 - 35 años</v>
      </c>
      <c r="E1850" s="3" t="s">
        <v>5022</v>
      </c>
      <c r="F1850" s="3" t="s">
        <v>5026</v>
      </c>
      <c r="G1850" s="3" t="s">
        <v>5035</v>
      </c>
      <c r="H1850" s="3" t="s">
        <v>9302</v>
      </c>
      <c r="I1850" s="17">
        <v>45850</v>
      </c>
      <c r="J1850" s="18">
        <f>YEAR(Tabla1[[#This Row],[FECHA DE COMPRA]])</f>
        <v>2025</v>
      </c>
      <c r="K1850" s="19">
        <v>138.38</v>
      </c>
      <c r="L1850" s="20">
        <v>0.1</v>
      </c>
      <c r="M1850" s="19">
        <f>Tienda!$K4979-Tienda!$K4979*Tienda!$L4979</f>
        <v>168.51</v>
      </c>
      <c r="N1850" s="3" t="s">
        <v>10038</v>
      </c>
      <c r="O1850" s="3" t="s">
        <v>10042</v>
      </c>
      <c r="P1850" s="17">
        <v>46120</v>
      </c>
      <c r="Q1850" s="4">
        <v>9</v>
      </c>
    </row>
    <row r="1851" spans="1:17" x14ac:dyDescent="0.25">
      <c r="A1851" s="2" t="s">
        <v>412</v>
      </c>
      <c r="B1851" s="3" t="s">
        <v>5015</v>
      </c>
      <c r="C1851" s="3">
        <v>34</v>
      </c>
      <c r="D1851" s="46" t="str">
        <f>IF(Tabla1[[#This Row],[EDAD]]&lt;=35,"Adultos jóvenes 18 - 35 años",IF(C1851&gt;=36,"Adultos mayores 36 años en adelante"))</f>
        <v>Adultos jóvenes 18 - 35 años</v>
      </c>
      <c r="E1851" s="3" t="s">
        <v>5019</v>
      </c>
      <c r="F1851" s="3" t="s">
        <v>5024</v>
      </c>
      <c r="G1851" s="3" t="s">
        <v>5031</v>
      </c>
      <c r="H1851" s="3" t="s">
        <v>5435</v>
      </c>
      <c r="I1851" s="17">
        <v>45860</v>
      </c>
      <c r="J1851" s="18">
        <f>YEAR(Tabla1[[#This Row],[FECHA DE COMPRA]])</f>
        <v>2025</v>
      </c>
      <c r="K1851" s="19">
        <v>141.34</v>
      </c>
      <c r="L1851" s="20">
        <v>0.1</v>
      </c>
      <c r="M1851" s="19">
        <f>Tienda!$K4980-Tienda!$K4980*Tienda!$L4980</f>
        <v>168.60599999999999</v>
      </c>
      <c r="N1851" s="3" t="s">
        <v>10038</v>
      </c>
      <c r="O1851" s="3" t="s">
        <v>10042</v>
      </c>
      <c r="P1851" s="17">
        <v>46220</v>
      </c>
      <c r="Q1851" s="4">
        <v>12</v>
      </c>
    </row>
    <row r="1852" spans="1:17" x14ac:dyDescent="0.25">
      <c r="A1852" s="2" t="s">
        <v>2322</v>
      </c>
      <c r="B1852" s="3" t="s">
        <v>5016</v>
      </c>
      <c r="C1852" s="3">
        <v>35</v>
      </c>
      <c r="D1852" s="46" t="str">
        <f>IF(Tabla1[[#This Row],[EDAD]]&lt;=35,"Adultos jóvenes 18 - 35 años",IF(C1852&gt;=36,"Adultos mayores 36 años en adelante"))</f>
        <v>Adultos jóvenes 18 - 35 años</v>
      </c>
      <c r="E1852" s="3" t="s">
        <v>5021</v>
      </c>
      <c r="F1852" s="3" t="s">
        <v>5028</v>
      </c>
      <c r="G1852" s="3" t="s">
        <v>5034</v>
      </c>
      <c r="H1852" s="3" t="s">
        <v>7345</v>
      </c>
      <c r="I1852" s="17">
        <v>45863</v>
      </c>
      <c r="J1852" s="18">
        <f>YEAR(Tabla1[[#This Row],[FECHA DE COMPRA]])</f>
        <v>2025</v>
      </c>
      <c r="K1852" s="19">
        <v>164.36</v>
      </c>
      <c r="L1852" s="20">
        <v>0.2</v>
      </c>
      <c r="M1852" s="19">
        <f>Tienda!$K4984-Tienda!$K4984*Tienda!$L4984</f>
        <v>33.543999999999997</v>
      </c>
      <c r="N1852" s="3" t="s">
        <v>10038</v>
      </c>
      <c r="O1852" s="3" t="s">
        <v>10042</v>
      </c>
      <c r="P1852" s="17">
        <v>46043</v>
      </c>
      <c r="Q1852" s="4">
        <v>6</v>
      </c>
    </row>
    <row r="1853" spans="1:17" x14ac:dyDescent="0.25">
      <c r="A1853" s="2" t="s">
        <v>2127</v>
      </c>
      <c r="B1853" s="3" t="s">
        <v>5015</v>
      </c>
      <c r="C1853" s="3">
        <v>19</v>
      </c>
      <c r="D1853" s="46" t="str">
        <f>IF(Tabla1[[#This Row],[EDAD]]&lt;=35,"Adultos jóvenes 18 - 35 años",IF(C1853&gt;=36,"Adultos mayores 36 años en adelante"))</f>
        <v>Adultos jóvenes 18 - 35 años</v>
      </c>
      <c r="E1853" s="3" t="s">
        <v>5018</v>
      </c>
      <c r="F1853" s="3" t="s">
        <v>5027</v>
      </c>
      <c r="G1853" s="3" t="s">
        <v>5032</v>
      </c>
      <c r="H1853" s="3" t="s">
        <v>7150</v>
      </c>
      <c r="I1853" s="17">
        <v>45843</v>
      </c>
      <c r="J1853" s="18">
        <f>YEAR(Tabla1[[#This Row],[FECHA DE COMPRA]])</f>
        <v>2025</v>
      </c>
      <c r="K1853" s="19">
        <v>167.74</v>
      </c>
      <c r="L1853" s="20">
        <v>0.2</v>
      </c>
      <c r="M1853" s="19">
        <f>Tienda!$K4986-Tienda!$K4986*Tienda!$L4986</f>
        <v>78.960000000000008</v>
      </c>
      <c r="N1853" s="3" t="s">
        <v>10038</v>
      </c>
      <c r="O1853" s="3" t="s">
        <v>10042</v>
      </c>
      <c r="P1853" s="17">
        <v>46113</v>
      </c>
      <c r="Q1853" s="4">
        <v>9</v>
      </c>
    </row>
    <row r="1854" spans="1:17" x14ac:dyDescent="0.25">
      <c r="A1854" s="2" t="s">
        <v>564</v>
      </c>
      <c r="B1854" s="3" t="s">
        <v>5015</v>
      </c>
      <c r="C1854" s="3">
        <v>32</v>
      </c>
      <c r="D1854" s="46" t="str">
        <f>IF(Tabla1[[#This Row],[EDAD]]&lt;=35,"Adultos jóvenes 18 - 35 años",IF(C1854&gt;=36,"Adultos mayores 36 años en adelante"))</f>
        <v>Adultos jóvenes 18 - 35 años</v>
      </c>
      <c r="E1854" s="3" t="s">
        <v>5023</v>
      </c>
      <c r="F1854" s="3" t="s">
        <v>5026</v>
      </c>
      <c r="G1854" s="3" t="s">
        <v>5037</v>
      </c>
      <c r="H1854" s="3" t="s">
        <v>5587</v>
      </c>
      <c r="I1854" s="17">
        <v>45853</v>
      </c>
      <c r="J1854" s="18">
        <f>YEAR(Tabla1[[#This Row],[FECHA DE COMPRA]])</f>
        <v>2025</v>
      </c>
      <c r="K1854" s="19">
        <v>186.07</v>
      </c>
      <c r="L1854" s="20">
        <v>0.1</v>
      </c>
      <c r="M1854" s="19">
        <f>Tienda!$K4989-Tienda!$K4989*Tienda!$L4989</f>
        <v>147.56400000000002</v>
      </c>
      <c r="N1854" s="3" t="s">
        <v>10038</v>
      </c>
      <c r="O1854" s="3" t="s">
        <v>10042</v>
      </c>
      <c r="P1854" s="17">
        <v>46033</v>
      </c>
      <c r="Q1854" s="4">
        <v>6</v>
      </c>
    </row>
    <row r="1855" spans="1:17" x14ac:dyDescent="0.25">
      <c r="A1855" s="2" t="s">
        <v>1712</v>
      </c>
      <c r="B1855" s="3" t="s">
        <v>5016</v>
      </c>
      <c r="C1855" s="3">
        <v>32</v>
      </c>
      <c r="D1855" s="46" t="str">
        <f>IF(Tabla1[[#This Row],[EDAD]]&lt;=35,"Adultos jóvenes 18 - 35 años",IF(C1855&gt;=36,"Adultos mayores 36 años en adelante"))</f>
        <v>Adultos jóvenes 18 - 35 años</v>
      </c>
      <c r="E1855" s="3" t="s">
        <v>5023</v>
      </c>
      <c r="F1855" s="3" t="s">
        <v>5029</v>
      </c>
      <c r="G1855" s="3" t="s">
        <v>5037</v>
      </c>
      <c r="H1855" s="3" t="s">
        <v>6735</v>
      </c>
      <c r="I1855" s="17">
        <v>45852</v>
      </c>
      <c r="J1855" s="18">
        <f>YEAR(Tabla1[[#This Row],[FECHA DE COMPRA]])</f>
        <v>2025</v>
      </c>
      <c r="K1855" s="19">
        <v>188.28</v>
      </c>
      <c r="L1855" s="20">
        <v>0.1</v>
      </c>
      <c r="M1855" s="19">
        <f>Tienda!$K4990-Tienda!$K4990*Tienda!$L4990</f>
        <v>148.25700000000001</v>
      </c>
      <c r="N1855" s="3" t="s">
        <v>10038</v>
      </c>
      <c r="O1855" s="3" t="s">
        <v>10042</v>
      </c>
      <c r="P1855" s="17">
        <v>46212</v>
      </c>
      <c r="Q1855" s="4">
        <v>12</v>
      </c>
    </row>
    <row r="1856" spans="1:17" x14ac:dyDescent="0.25">
      <c r="A1856" s="2" t="s">
        <v>3181</v>
      </c>
      <c r="B1856" s="3" t="s">
        <v>5016</v>
      </c>
      <c r="C1856" s="3">
        <v>34</v>
      </c>
      <c r="D1856" s="46" t="str">
        <f>IF(Tabla1[[#This Row],[EDAD]]&lt;=35,"Adultos jóvenes 18 - 35 años",IF(C1856&gt;=36,"Adultos mayores 36 años en adelante"))</f>
        <v>Adultos jóvenes 18 - 35 años</v>
      </c>
      <c r="E1856" s="3" t="s">
        <v>5021</v>
      </c>
      <c r="F1856" s="3" t="s">
        <v>5026</v>
      </c>
      <c r="G1856" s="3" t="s">
        <v>5036</v>
      </c>
      <c r="H1856" s="3" t="s">
        <v>8204</v>
      </c>
      <c r="I1856" s="17">
        <v>45874</v>
      </c>
      <c r="J1856" s="18">
        <f>YEAR(Tabla1[[#This Row],[FECHA DE COMPRA]])</f>
        <v>2025</v>
      </c>
      <c r="K1856" s="19">
        <v>110.1</v>
      </c>
      <c r="L1856" s="20">
        <v>0.1</v>
      </c>
      <c r="M1856" s="19">
        <f>Tienda!$K4995-Tienda!$K4995*Tienda!$L4995</f>
        <v>75.91</v>
      </c>
      <c r="N1856" s="3" t="s">
        <v>10038</v>
      </c>
      <c r="O1856" s="3" t="s">
        <v>10042</v>
      </c>
      <c r="P1856" s="17">
        <v>46054</v>
      </c>
      <c r="Q1856" s="4">
        <v>6</v>
      </c>
    </row>
    <row r="1857" spans="1:17" x14ac:dyDescent="0.25">
      <c r="A1857" s="2" t="s">
        <v>395</v>
      </c>
      <c r="B1857" s="3" t="s">
        <v>5015</v>
      </c>
      <c r="C1857" s="3">
        <v>34</v>
      </c>
      <c r="D1857" s="46" t="str">
        <f>IF(Tabla1[[#This Row],[EDAD]]&lt;=35,"Adultos jóvenes 18 - 35 años",IF(C1857&gt;=36,"Adultos mayores 36 años en adelante"))</f>
        <v>Adultos jóvenes 18 - 35 años</v>
      </c>
      <c r="E1857" s="3" t="s">
        <v>5019</v>
      </c>
      <c r="F1857" s="3" t="s">
        <v>5029</v>
      </c>
      <c r="G1857" s="3" t="s">
        <v>5032</v>
      </c>
      <c r="H1857" s="3" t="s">
        <v>5418</v>
      </c>
      <c r="I1857" s="17">
        <v>45873</v>
      </c>
      <c r="J1857" s="18">
        <f>YEAR(Tabla1[[#This Row],[FECHA DE COMPRA]])</f>
        <v>2025</v>
      </c>
      <c r="K1857" s="19">
        <v>183.1</v>
      </c>
      <c r="L1857" s="20">
        <v>0.2</v>
      </c>
      <c r="M1857" s="19">
        <f>Tienda!$K4998-Tienda!$K4998*Tienda!$L4998</f>
        <v>169.68</v>
      </c>
      <c r="N1857" s="3" t="s">
        <v>10038</v>
      </c>
      <c r="O1857" s="3" t="s">
        <v>10042</v>
      </c>
      <c r="P1857" s="17">
        <v>46233</v>
      </c>
      <c r="Q1857" s="4">
        <v>12</v>
      </c>
    </row>
    <row r="1858" spans="1:17" ht="30" x14ac:dyDescent="0.25">
      <c r="A1858" s="2" t="s">
        <v>4975</v>
      </c>
      <c r="B1858" s="3" t="s">
        <v>5015</v>
      </c>
      <c r="C1858" s="3">
        <v>36</v>
      </c>
      <c r="D1858" s="46" t="str">
        <f>IF(Tabla1[[#This Row],[EDAD]]&lt;=35,"Adultos jóvenes 18 - 35 años",IF(C1858&gt;=36,"Adultos mayores 36 años en adelante"))</f>
        <v>Adultos mayores 36 años en adelante</v>
      </c>
      <c r="E1858" s="3" t="s">
        <v>5021</v>
      </c>
      <c r="F1858" s="3" t="s">
        <v>5024</v>
      </c>
      <c r="G1858" s="3" t="s">
        <v>5035</v>
      </c>
      <c r="H1858" s="3" t="s">
        <v>9998</v>
      </c>
      <c r="I1858" s="17">
        <v>45309</v>
      </c>
      <c r="J1858" s="18">
        <f>YEAR(Tabla1[[#This Row],[FECHA DE COMPRA]])</f>
        <v>2024</v>
      </c>
      <c r="K1858" s="19">
        <v>190.82</v>
      </c>
      <c r="L1858" s="20">
        <v>0.3</v>
      </c>
      <c r="M1858" s="19">
        <f>Tienda!$K2-Tienda!$K2*Tienda!$L2</f>
        <v>7.9730000000000008</v>
      </c>
      <c r="N1858" s="3" t="s">
        <v>10039</v>
      </c>
      <c r="O1858" s="3" t="s">
        <v>10041</v>
      </c>
      <c r="P1858" s="17">
        <v>45309</v>
      </c>
      <c r="Q1858" s="4">
        <v>0</v>
      </c>
    </row>
    <row r="1859" spans="1:17" ht="30" x14ac:dyDescent="0.25">
      <c r="A1859" s="2" t="s">
        <v>626</v>
      </c>
      <c r="B1859" s="3" t="s">
        <v>5015</v>
      </c>
      <c r="C1859" s="3">
        <v>53</v>
      </c>
      <c r="D1859" s="46" t="str">
        <f>IF(Tabla1[[#This Row],[EDAD]]&lt;=35,"Adultos jóvenes 18 - 35 años",IF(C1859&gt;=36,"Adultos mayores 36 años en adelante"))</f>
        <v>Adultos mayores 36 años en adelante</v>
      </c>
      <c r="E1859" s="3" t="s">
        <v>5021</v>
      </c>
      <c r="F1859" s="3" t="s">
        <v>5024</v>
      </c>
      <c r="G1859" s="3" t="s">
        <v>5035</v>
      </c>
      <c r="H1859" s="3" t="s">
        <v>5649</v>
      </c>
      <c r="I1859" s="17">
        <v>45313</v>
      </c>
      <c r="J1859" s="18">
        <f>YEAR(Tabla1[[#This Row],[FECHA DE COMPRA]])</f>
        <v>2024</v>
      </c>
      <c r="K1859" s="19">
        <v>150.01</v>
      </c>
      <c r="L1859" s="20">
        <v>0.3</v>
      </c>
      <c r="M1859" s="19">
        <f>Tienda!$K6-Tienda!$K6*Tienda!$L6</f>
        <v>10.65</v>
      </c>
      <c r="N1859" s="3" t="s">
        <v>10039</v>
      </c>
      <c r="O1859" s="3" t="s">
        <v>10041</v>
      </c>
      <c r="P1859" s="17">
        <v>45313</v>
      </c>
      <c r="Q1859" s="4">
        <v>0</v>
      </c>
    </row>
    <row r="1860" spans="1:17" ht="30" x14ac:dyDescent="0.25">
      <c r="A1860" s="2" t="s">
        <v>1995</v>
      </c>
      <c r="B1860" s="3" t="s">
        <v>5016</v>
      </c>
      <c r="C1860" s="3">
        <v>39</v>
      </c>
      <c r="D1860" s="46" t="str">
        <f>IF(Tabla1[[#This Row],[EDAD]]&lt;=35,"Adultos jóvenes 18 - 35 años",IF(C1860&gt;=36,"Adultos mayores 36 años en adelante"))</f>
        <v>Adultos mayores 36 años en adelante</v>
      </c>
      <c r="E1860" s="3" t="s">
        <v>5023</v>
      </c>
      <c r="F1860" s="3" t="s">
        <v>5030</v>
      </c>
      <c r="G1860" s="3" t="s">
        <v>5034</v>
      </c>
      <c r="H1860" s="3" t="s">
        <v>7018</v>
      </c>
      <c r="I1860" s="17">
        <v>45314</v>
      </c>
      <c r="J1860" s="18">
        <f>YEAR(Tabla1[[#This Row],[FECHA DE COMPRA]])</f>
        <v>2024</v>
      </c>
      <c r="K1860" s="19">
        <v>89.94</v>
      </c>
      <c r="L1860" s="20">
        <v>0</v>
      </c>
      <c r="M1860" s="19">
        <f>Tienda!$K8-Tienda!$K8*Tienda!$L8</f>
        <v>99</v>
      </c>
      <c r="N1860" s="3" t="s">
        <v>10039</v>
      </c>
      <c r="O1860" s="3" t="s">
        <v>10041</v>
      </c>
      <c r="P1860" s="17">
        <v>45314</v>
      </c>
      <c r="Q1860" s="4">
        <v>0</v>
      </c>
    </row>
    <row r="1861" spans="1:17" ht="30" x14ac:dyDescent="0.25">
      <c r="A1861" s="2" t="s">
        <v>2252</v>
      </c>
      <c r="B1861" s="3" t="s">
        <v>5015</v>
      </c>
      <c r="C1861" s="3">
        <v>57</v>
      </c>
      <c r="D1861" s="46" t="str">
        <f>IF(Tabla1[[#This Row],[EDAD]]&lt;=35,"Adultos jóvenes 18 - 35 años",IF(C1861&gt;=36,"Adultos mayores 36 años en adelante"))</f>
        <v>Adultos mayores 36 años en adelante</v>
      </c>
      <c r="E1861" s="3" t="s">
        <v>5022</v>
      </c>
      <c r="F1861" s="3" t="s">
        <v>5030</v>
      </c>
      <c r="G1861" s="3" t="s">
        <v>5033</v>
      </c>
      <c r="H1861" s="3" t="s">
        <v>7275</v>
      </c>
      <c r="I1861" s="17">
        <v>45314</v>
      </c>
      <c r="J1861" s="18">
        <f>YEAR(Tabla1[[#This Row],[FECHA DE COMPRA]])</f>
        <v>2024</v>
      </c>
      <c r="K1861" s="19">
        <v>139.71</v>
      </c>
      <c r="L1861" s="20">
        <v>0.1</v>
      </c>
      <c r="M1861" s="19">
        <f>Tienda!$K9-Tienda!$K9*Tienda!$L9</f>
        <v>113.139</v>
      </c>
      <c r="N1861" s="3" t="s">
        <v>10039</v>
      </c>
      <c r="O1861" s="3" t="s">
        <v>10041</v>
      </c>
      <c r="P1861" s="17">
        <v>45314</v>
      </c>
      <c r="Q1861" s="4">
        <v>0</v>
      </c>
    </row>
    <row r="1862" spans="1:17" ht="30" x14ac:dyDescent="0.25">
      <c r="A1862" s="2" t="s">
        <v>3839</v>
      </c>
      <c r="B1862" s="3" t="s">
        <v>5015</v>
      </c>
      <c r="C1862" s="3">
        <v>53</v>
      </c>
      <c r="D1862" s="46" t="str">
        <f>IF(Tabla1[[#This Row],[EDAD]]&lt;=35,"Adultos jóvenes 18 - 35 años",IF(C1862&gt;=36,"Adultos mayores 36 años en adelante"))</f>
        <v>Adultos mayores 36 años en adelante</v>
      </c>
      <c r="E1862" s="3" t="s">
        <v>5018</v>
      </c>
      <c r="F1862" s="3" t="s">
        <v>5025</v>
      </c>
      <c r="G1862" s="3" t="s">
        <v>5035</v>
      </c>
      <c r="H1862" s="3" t="s">
        <v>8862</v>
      </c>
      <c r="I1862" s="17">
        <v>45314</v>
      </c>
      <c r="J1862" s="18">
        <f>YEAR(Tabla1[[#This Row],[FECHA DE COMPRA]])</f>
        <v>2024</v>
      </c>
      <c r="K1862" s="19">
        <v>177.71</v>
      </c>
      <c r="L1862" s="20">
        <v>0.3</v>
      </c>
      <c r="M1862" s="19">
        <f>Tienda!$K10-Tienda!$K10*Tienda!$L10</f>
        <v>115.47999999999999</v>
      </c>
      <c r="N1862" s="3" t="s">
        <v>10039</v>
      </c>
      <c r="O1862" s="3" t="s">
        <v>10041</v>
      </c>
      <c r="P1862" s="17">
        <v>45314</v>
      </c>
      <c r="Q1862" s="4">
        <v>0</v>
      </c>
    </row>
    <row r="1863" spans="1:17" ht="30" x14ac:dyDescent="0.25">
      <c r="A1863" s="2" t="s">
        <v>2760</v>
      </c>
      <c r="B1863" s="3" t="s">
        <v>5016</v>
      </c>
      <c r="C1863" s="3">
        <v>36</v>
      </c>
      <c r="D1863" s="46" t="str">
        <f>IF(Tabla1[[#This Row],[EDAD]]&lt;=35,"Adultos jóvenes 18 - 35 años",IF(C1863&gt;=36,"Adultos mayores 36 años en adelante"))</f>
        <v>Adultos mayores 36 años en adelante</v>
      </c>
      <c r="E1863" s="3" t="s">
        <v>5023</v>
      </c>
      <c r="F1863" s="3" t="s">
        <v>5026</v>
      </c>
      <c r="G1863" s="3" t="s">
        <v>5034</v>
      </c>
      <c r="H1863" s="3" t="s">
        <v>7783</v>
      </c>
      <c r="I1863" s="17">
        <v>45315</v>
      </c>
      <c r="J1863" s="18">
        <f>YEAR(Tabla1[[#This Row],[FECHA DE COMPRA]])</f>
        <v>2024</v>
      </c>
      <c r="K1863" s="19">
        <v>10.53</v>
      </c>
      <c r="L1863" s="20">
        <v>0.1</v>
      </c>
      <c r="M1863" s="19">
        <f>Tienda!$K11-Tienda!$K11*Tienda!$L11</f>
        <v>77.535000000000011</v>
      </c>
      <c r="N1863" s="3" t="s">
        <v>10039</v>
      </c>
      <c r="O1863" s="3" t="s">
        <v>10041</v>
      </c>
      <c r="P1863" s="17">
        <v>45315</v>
      </c>
      <c r="Q1863" s="4">
        <v>0</v>
      </c>
    </row>
    <row r="1864" spans="1:17" ht="30" x14ac:dyDescent="0.25">
      <c r="A1864" s="2" t="s">
        <v>888</v>
      </c>
      <c r="B1864" s="3" t="s">
        <v>5015</v>
      </c>
      <c r="C1864" s="3">
        <v>57</v>
      </c>
      <c r="D1864" s="46" t="str">
        <f>IF(Tabla1[[#This Row],[EDAD]]&lt;=35,"Adultos jóvenes 18 - 35 años",IF(C1864&gt;=36,"Adultos mayores 36 años en adelante"))</f>
        <v>Adultos mayores 36 años en adelante</v>
      </c>
      <c r="E1864" s="3" t="s">
        <v>5022</v>
      </c>
      <c r="F1864" s="3" t="s">
        <v>5026</v>
      </c>
      <c r="G1864" s="3" t="s">
        <v>5036</v>
      </c>
      <c r="H1864" s="3" t="s">
        <v>5911</v>
      </c>
      <c r="I1864" s="17">
        <v>45318</v>
      </c>
      <c r="J1864" s="18">
        <f>YEAR(Tabla1[[#This Row],[FECHA DE COMPRA]])</f>
        <v>2024</v>
      </c>
      <c r="K1864" s="19">
        <v>97.23</v>
      </c>
      <c r="L1864" s="20">
        <v>0.2</v>
      </c>
      <c r="M1864" s="19">
        <f>Tienda!$K13-Tienda!$K13*Tienda!$L13</f>
        <v>50.016000000000005</v>
      </c>
      <c r="N1864" s="3" t="s">
        <v>10039</v>
      </c>
      <c r="O1864" s="3" t="s">
        <v>10041</v>
      </c>
      <c r="P1864" s="17">
        <v>45318</v>
      </c>
      <c r="Q1864" s="4">
        <v>0</v>
      </c>
    </row>
    <row r="1865" spans="1:17" ht="30" x14ac:dyDescent="0.25">
      <c r="A1865" s="2" t="s">
        <v>3488</v>
      </c>
      <c r="B1865" s="3" t="s">
        <v>5015</v>
      </c>
      <c r="C1865" s="3">
        <v>65</v>
      </c>
      <c r="D1865" s="46" t="str">
        <f>IF(Tabla1[[#This Row],[EDAD]]&lt;=35,"Adultos jóvenes 18 - 35 años",IF(C1865&gt;=36,"Adultos mayores 36 años en adelante"))</f>
        <v>Adultos mayores 36 años en adelante</v>
      </c>
      <c r="E1865" s="3" t="s">
        <v>5020</v>
      </c>
      <c r="F1865" s="3" t="s">
        <v>5029</v>
      </c>
      <c r="G1865" s="3" t="s">
        <v>5033</v>
      </c>
      <c r="H1865" s="3" t="s">
        <v>8511</v>
      </c>
      <c r="I1865" s="17">
        <v>45318</v>
      </c>
      <c r="J1865" s="18">
        <f>YEAR(Tabla1[[#This Row],[FECHA DE COMPRA]])</f>
        <v>2024</v>
      </c>
      <c r="K1865" s="19">
        <v>101.48</v>
      </c>
      <c r="L1865" s="20">
        <v>0</v>
      </c>
      <c r="M1865" s="19">
        <f>Tienda!$K14-Tienda!$K14*Tienda!$L14</f>
        <v>134.232</v>
      </c>
      <c r="N1865" s="3" t="s">
        <v>10039</v>
      </c>
      <c r="O1865" s="3" t="s">
        <v>10041</v>
      </c>
      <c r="P1865" s="17">
        <v>45318</v>
      </c>
      <c r="Q1865" s="4">
        <v>0</v>
      </c>
    </row>
    <row r="1866" spans="1:17" ht="30" x14ac:dyDescent="0.25">
      <c r="A1866" s="2" t="s">
        <v>3753</v>
      </c>
      <c r="B1866" s="3" t="s">
        <v>5016</v>
      </c>
      <c r="C1866" s="3">
        <v>37</v>
      </c>
      <c r="D1866" s="46" t="str">
        <f>IF(Tabla1[[#This Row],[EDAD]]&lt;=35,"Adultos jóvenes 18 - 35 años",IF(C1866&gt;=36,"Adultos mayores 36 años en adelante"))</f>
        <v>Adultos mayores 36 años en adelante</v>
      </c>
      <c r="E1866" s="3" t="s">
        <v>5021</v>
      </c>
      <c r="F1866" s="3" t="s">
        <v>5024</v>
      </c>
      <c r="G1866" s="3" t="s">
        <v>5032</v>
      </c>
      <c r="H1866" s="3" t="s">
        <v>8776</v>
      </c>
      <c r="I1866" s="17">
        <v>45318</v>
      </c>
      <c r="J1866" s="18">
        <f>YEAR(Tabla1[[#This Row],[FECHA DE COMPRA]])</f>
        <v>2024</v>
      </c>
      <c r="K1866" s="19">
        <v>143.65</v>
      </c>
      <c r="L1866" s="20">
        <v>0.2</v>
      </c>
      <c r="M1866" s="19">
        <f>Tienda!$K15-Tienda!$K15*Tienda!$L15</f>
        <v>87.938999999999993</v>
      </c>
      <c r="N1866" s="3" t="s">
        <v>10039</v>
      </c>
      <c r="O1866" s="3" t="s">
        <v>10041</v>
      </c>
      <c r="P1866" s="17">
        <v>45318</v>
      </c>
      <c r="Q1866" s="4">
        <v>0</v>
      </c>
    </row>
    <row r="1867" spans="1:17" ht="30" x14ac:dyDescent="0.25">
      <c r="A1867" s="2" t="s">
        <v>4922</v>
      </c>
      <c r="B1867" s="3" t="s">
        <v>5015</v>
      </c>
      <c r="C1867" s="3">
        <v>41</v>
      </c>
      <c r="D1867" s="46" t="str">
        <f>IF(Tabla1[[#This Row],[EDAD]]&lt;=35,"Adultos jóvenes 18 - 35 años",IF(C1867&gt;=36,"Adultos mayores 36 años en adelante"))</f>
        <v>Adultos mayores 36 años en adelante</v>
      </c>
      <c r="E1867" s="3" t="s">
        <v>5022</v>
      </c>
      <c r="F1867" s="3" t="s">
        <v>5030</v>
      </c>
      <c r="G1867" s="3" t="s">
        <v>5031</v>
      </c>
      <c r="H1867" s="3" t="s">
        <v>9945</v>
      </c>
      <c r="I1867" s="17">
        <v>45324</v>
      </c>
      <c r="J1867" s="18">
        <f>YEAR(Tabla1[[#This Row],[FECHA DE COMPRA]])</f>
        <v>2024</v>
      </c>
      <c r="K1867" s="19">
        <v>189.57</v>
      </c>
      <c r="L1867" s="20">
        <v>0.3</v>
      </c>
      <c r="M1867" s="19">
        <f>Tienda!$K21-Tienda!$K21*Tienda!$L21</f>
        <v>74.150000000000006</v>
      </c>
      <c r="N1867" s="3" t="s">
        <v>10039</v>
      </c>
      <c r="O1867" s="3" t="s">
        <v>10041</v>
      </c>
      <c r="P1867" s="17">
        <v>45324</v>
      </c>
      <c r="Q1867" s="4">
        <v>0</v>
      </c>
    </row>
    <row r="1868" spans="1:17" ht="30" x14ac:dyDescent="0.25">
      <c r="A1868" s="2" t="s">
        <v>819</v>
      </c>
      <c r="B1868" s="3" t="s">
        <v>5015</v>
      </c>
      <c r="C1868" s="3">
        <v>45</v>
      </c>
      <c r="D1868" s="46" t="str">
        <f>IF(Tabla1[[#This Row],[EDAD]]&lt;=35,"Adultos jóvenes 18 - 35 años",IF(C1868&gt;=36,"Adultos mayores 36 años en adelante"))</f>
        <v>Adultos mayores 36 años en adelante</v>
      </c>
      <c r="E1868" s="3" t="s">
        <v>5020</v>
      </c>
      <c r="F1868" s="3" t="s">
        <v>5030</v>
      </c>
      <c r="G1868" s="3" t="s">
        <v>5033</v>
      </c>
      <c r="H1868" s="3" t="s">
        <v>5842</v>
      </c>
      <c r="I1868" s="17">
        <v>45325</v>
      </c>
      <c r="J1868" s="18">
        <f>YEAR(Tabla1[[#This Row],[FECHA DE COMPRA]])</f>
        <v>2024</v>
      </c>
      <c r="K1868" s="19">
        <v>27.66</v>
      </c>
      <c r="L1868" s="20">
        <v>0.1</v>
      </c>
      <c r="M1868" s="19">
        <f>Tienda!$K23-Tienda!$K23*Tienda!$L23</f>
        <v>171.11699999999999</v>
      </c>
      <c r="N1868" s="3" t="s">
        <v>10039</v>
      </c>
      <c r="O1868" s="3" t="s">
        <v>10041</v>
      </c>
      <c r="P1868" s="17">
        <v>45325</v>
      </c>
      <c r="Q1868" s="4">
        <v>0</v>
      </c>
    </row>
    <row r="1869" spans="1:17" ht="30" x14ac:dyDescent="0.25">
      <c r="A1869" s="2" t="s">
        <v>1153</v>
      </c>
      <c r="B1869" s="3" t="s">
        <v>5015</v>
      </c>
      <c r="C1869" s="3">
        <v>65</v>
      </c>
      <c r="D1869" s="46" t="str">
        <f>IF(Tabla1[[#This Row],[EDAD]]&lt;=35,"Adultos jóvenes 18 - 35 años",IF(C1869&gt;=36,"Adultos mayores 36 años en adelante"))</f>
        <v>Adultos mayores 36 años en adelante</v>
      </c>
      <c r="E1869" s="3" t="s">
        <v>5023</v>
      </c>
      <c r="F1869" s="3" t="s">
        <v>5030</v>
      </c>
      <c r="G1869" s="3" t="s">
        <v>5034</v>
      </c>
      <c r="H1869" s="3" t="s">
        <v>6176</v>
      </c>
      <c r="I1869" s="17">
        <v>45325</v>
      </c>
      <c r="J1869" s="18">
        <f>YEAR(Tabla1[[#This Row],[FECHA DE COMPRA]])</f>
        <v>2024</v>
      </c>
      <c r="K1869" s="19">
        <v>195.76</v>
      </c>
      <c r="L1869" s="20">
        <v>0.3</v>
      </c>
      <c r="M1869" s="19">
        <f>Tienda!$K26-Tienda!$K26*Tienda!$L26</f>
        <v>95.88600000000001</v>
      </c>
      <c r="N1869" s="3" t="s">
        <v>10039</v>
      </c>
      <c r="O1869" s="3" t="s">
        <v>10041</v>
      </c>
      <c r="P1869" s="17">
        <v>45325</v>
      </c>
      <c r="Q1869" s="4">
        <v>0</v>
      </c>
    </row>
    <row r="1870" spans="1:17" ht="30" x14ac:dyDescent="0.25">
      <c r="A1870" s="2" t="s">
        <v>2222</v>
      </c>
      <c r="B1870" s="3" t="s">
        <v>5015</v>
      </c>
      <c r="C1870" s="3">
        <v>59</v>
      </c>
      <c r="D1870" s="46" t="str">
        <f>IF(Tabla1[[#This Row],[EDAD]]&lt;=35,"Adultos jóvenes 18 - 35 años",IF(C1870&gt;=36,"Adultos mayores 36 años en adelante"))</f>
        <v>Adultos mayores 36 años en adelante</v>
      </c>
      <c r="E1870" s="3" t="s">
        <v>5018</v>
      </c>
      <c r="F1870" s="3" t="s">
        <v>5028</v>
      </c>
      <c r="G1870" s="3" t="s">
        <v>5033</v>
      </c>
      <c r="H1870" s="3" t="s">
        <v>7245</v>
      </c>
      <c r="I1870" s="17">
        <v>45326</v>
      </c>
      <c r="J1870" s="18">
        <f>YEAR(Tabla1[[#This Row],[FECHA DE COMPRA]])</f>
        <v>2024</v>
      </c>
      <c r="K1870" s="19">
        <v>45.73</v>
      </c>
      <c r="L1870" s="20">
        <v>0</v>
      </c>
      <c r="M1870" s="19">
        <f>Tienda!$K27-Tienda!$K27*Tienda!$L27</f>
        <v>90.23</v>
      </c>
      <c r="N1870" s="3" t="s">
        <v>10039</v>
      </c>
      <c r="O1870" s="3" t="s">
        <v>10041</v>
      </c>
      <c r="P1870" s="17">
        <v>45326</v>
      </c>
      <c r="Q1870" s="4">
        <v>0</v>
      </c>
    </row>
    <row r="1871" spans="1:17" ht="30" x14ac:dyDescent="0.25">
      <c r="A1871" s="2" t="s">
        <v>3848</v>
      </c>
      <c r="B1871" s="3" t="s">
        <v>5015</v>
      </c>
      <c r="C1871" s="3">
        <v>38</v>
      </c>
      <c r="D1871" s="46" t="str">
        <f>IF(Tabla1[[#This Row],[EDAD]]&lt;=35,"Adultos jóvenes 18 - 35 años",IF(C1871&gt;=36,"Adultos mayores 36 años en adelante"))</f>
        <v>Adultos mayores 36 años en adelante</v>
      </c>
      <c r="E1871" s="3" t="s">
        <v>5023</v>
      </c>
      <c r="F1871" s="3" t="s">
        <v>5025</v>
      </c>
      <c r="G1871" s="3" t="s">
        <v>5034</v>
      </c>
      <c r="H1871" s="3" t="s">
        <v>8871</v>
      </c>
      <c r="I1871" s="17">
        <v>45329</v>
      </c>
      <c r="J1871" s="18">
        <f>YEAR(Tabla1[[#This Row],[FECHA DE COMPRA]])</f>
        <v>2024</v>
      </c>
      <c r="K1871" s="19">
        <v>152.16</v>
      </c>
      <c r="L1871" s="20">
        <v>0.1</v>
      </c>
      <c r="M1871" s="19">
        <f>Tienda!$K28-Tienda!$K28*Tienda!$L28</f>
        <v>177.21</v>
      </c>
      <c r="N1871" s="3" t="s">
        <v>10039</v>
      </c>
      <c r="O1871" s="3" t="s">
        <v>10041</v>
      </c>
      <c r="P1871" s="17">
        <v>45329</v>
      </c>
      <c r="Q1871" s="4">
        <v>0</v>
      </c>
    </row>
    <row r="1872" spans="1:17" ht="30" x14ac:dyDescent="0.25">
      <c r="A1872" s="2" t="s">
        <v>3797</v>
      </c>
      <c r="B1872" s="3" t="s">
        <v>5015</v>
      </c>
      <c r="C1872" s="3">
        <v>41</v>
      </c>
      <c r="D1872" s="46" t="str">
        <f>IF(Tabla1[[#This Row],[EDAD]]&lt;=35,"Adultos jóvenes 18 - 35 años",IF(C1872&gt;=36,"Adultos mayores 36 años en adelante"))</f>
        <v>Adultos mayores 36 años en adelante</v>
      </c>
      <c r="E1872" s="3" t="s">
        <v>5021</v>
      </c>
      <c r="F1872" s="3" t="s">
        <v>5025</v>
      </c>
      <c r="G1872" s="3" t="s">
        <v>5037</v>
      </c>
      <c r="H1872" s="3" t="s">
        <v>8820</v>
      </c>
      <c r="I1872" s="17">
        <v>45330</v>
      </c>
      <c r="J1872" s="18">
        <f>YEAR(Tabla1[[#This Row],[FECHA DE COMPRA]])</f>
        <v>2024</v>
      </c>
      <c r="K1872" s="19">
        <v>68.540000000000006</v>
      </c>
      <c r="L1872" s="20">
        <v>0.1</v>
      </c>
      <c r="M1872" s="19">
        <f>Tienda!$K29-Tienda!$K29*Tienda!$L29</f>
        <v>82.466999999999999</v>
      </c>
      <c r="N1872" s="3" t="s">
        <v>10039</v>
      </c>
      <c r="O1872" s="3" t="s">
        <v>10041</v>
      </c>
      <c r="P1872" s="17">
        <v>45330</v>
      </c>
      <c r="Q1872" s="4">
        <v>0</v>
      </c>
    </row>
    <row r="1873" spans="1:17" ht="30" x14ac:dyDescent="0.25">
      <c r="A1873" s="2" t="s">
        <v>1956</v>
      </c>
      <c r="B1873" s="3" t="s">
        <v>5015</v>
      </c>
      <c r="C1873" s="3">
        <v>55</v>
      </c>
      <c r="D1873" s="46" t="str">
        <f>IF(Tabla1[[#This Row],[EDAD]]&lt;=35,"Adultos jóvenes 18 - 35 años",IF(C1873&gt;=36,"Adultos mayores 36 años en adelante"))</f>
        <v>Adultos mayores 36 años en adelante</v>
      </c>
      <c r="E1873" s="3" t="s">
        <v>5022</v>
      </c>
      <c r="F1873" s="3" t="s">
        <v>5024</v>
      </c>
      <c r="G1873" s="3" t="s">
        <v>5035</v>
      </c>
      <c r="H1873" s="3" t="s">
        <v>6979</v>
      </c>
      <c r="I1873" s="17">
        <v>45330</v>
      </c>
      <c r="J1873" s="18">
        <f>YEAR(Tabla1[[#This Row],[FECHA DE COMPRA]])</f>
        <v>2024</v>
      </c>
      <c r="K1873" s="19">
        <v>98.16</v>
      </c>
      <c r="L1873" s="20">
        <v>0</v>
      </c>
      <c r="M1873" s="19">
        <f>Tienda!$K31-Tienda!$K31*Tienda!$L31</f>
        <v>53.303999999999995</v>
      </c>
      <c r="N1873" s="3" t="s">
        <v>10039</v>
      </c>
      <c r="O1873" s="3" t="s">
        <v>10041</v>
      </c>
      <c r="P1873" s="17">
        <v>45330</v>
      </c>
      <c r="Q1873" s="4">
        <v>0</v>
      </c>
    </row>
    <row r="1874" spans="1:17" ht="30" x14ac:dyDescent="0.25">
      <c r="A1874" s="2" t="s">
        <v>4551</v>
      </c>
      <c r="B1874" s="3" t="s">
        <v>5016</v>
      </c>
      <c r="C1874" s="3">
        <v>60</v>
      </c>
      <c r="D1874" s="46" t="str">
        <f>IF(Tabla1[[#This Row],[EDAD]]&lt;=35,"Adultos jóvenes 18 - 35 años",IF(C1874&gt;=36,"Adultos mayores 36 años en adelante"))</f>
        <v>Adultos mayores 36 años en adelante</v>
      </c>
      <c r="E1874" s="3" t="s">
        <v>5017</v>
      </c>
      <c r="F1874" s="3" t="s">
        <v>5030</v>
      </c>
      <c r="G1874" s="3" t="s">
        <v>5034</v>
      </c>
      <c r="H1874" s="3" t="s">
        <v>9574</v>
      </c>
      <c r="I1874" s="17">
        <v>45331</v>
      </c>
      <c r="J1874" s="18">
        <f>YEAR(Tabla1[[#This Row],[FECHA DE COMPRA]])</f>
        <v>2024</v>
      </c>
      <c r="K1874" s="19">
        <v>79.98</v>
      </c>
      <c r="L1874" s="20">
        <v>0</v>
      </c>
      <c r="M1874" s="19">
        <f>Tienda!$K33-Tienda!$K33*Tienda!$L33</f>
        <v>98.545999999999992</v>
      </c>
      <c r="N1874" s="3" t="s">
        <v>10039</v>
      </c>
      <c r="O1874" s="3" t="s">
        <v>10041</v>
      </c>
      <c r="P1874" s="17">
        <v>45331</v>
      </c>
      <c r="Q1874" s="4">
        <v>0</v>
      </c>
    </row>
    <row r="1875" spans="1:17" ht="30" x14ac:dyDescent="0.25">
      <c r="A1875" s="2" t="s">
        <v>1005</v>
      </c>
      <c r="B1875" s="3" t="s">
        <v>5015</v>
      </c>
      <c r="C1875" s="3">
        <v>65</v>
      </c>
      <c r="D1875" s="46" t="str">
        <f>IF(Tabla1[[#This Row],[EDAD]]&lt;=35,"Adultos jóvenes 18 - 35 años",IF(C1875&gt;=36,"Adultos mayores 36 años en adelante"))</f>
        <v>Adultos mayores 36 años en adelante</v>
      </c>
      <c r="E1875" s="3" t="s">
        <v>5018</v>
      </c>
      <c r="F1875" s="3" t="s">
        <v>5025</v>
      </c>
      <c r="G1875" s="3" t="s">
        <v>5031</v>
      </c>
      <c r="H1875" s="3" t="s">
        <v>6028</v>
      </c>
      <c r="I1875" s="17">
        <v>45331</v>
      </c>
      <c r="J1875" s="18">
        <f>YEAR(Tabla1[[#This Row],[FECHA DE COMPRA]])</f>
        <v>2024</v>
      </c>
      <c r="K1875" s="19">
        <v>82.62</v>
      </c>
      <c r="L1875" s="20">
        <v>0.3</v>
      </c>
      <c r="M1875" s="19">
        <f>Tienda!$K34-Tienda!$K34*Tienda!$L34</f>
        <v>89.455999999999989</v>
      </c>
      <c r="N1875" s="3" t="s">
        <v>10039</v>
      </c>
      <c r="O1875" s="3" t="s">
        <v>10041</v>
      </c>
      <c r="P1875" s="17">
        <v>45331</v>
      </c>
      <c r="Q1875" s="4">
        <v>0</v>
      </c>
    </row>
    <row r="1876" spans="1:17" ht="30" x14ac:dyDescent="0.25">
      <c r="A1876" s="2" t="s">
        <v>1286</v>
      </c>
      <c r="B1876" s="3" t="s">
        <v>5015</v>
      </c>
      <c r="C1876" s="3">
        <v>50</v>
      </c>
      <c r="D1876" s="46" t="str">
        <f>IF(Tabla1[[#This Row],[EDAD]]&lt;=35,"Adultos jóvenes 18 - 35 años",IF(C1876&gt;=36,"Adultos mayores 36 años en adelante"))</f>
        <v>Adultos mayores 36 años en adelante</v>
      </c>
      <c r="E1876" s="3" t="s">
        <v>5017</v>
      </c>
      <c r="F1876" s="3" t="s">
        <v>5027</v>
      </c>
      <c r="G1876" s="3" t="s">
        <v>5032</v>
      </c>
      <c r="H1876" s="3" t="s">
        <v>6309</v>
      </c>
      <c r="I1876" s="17">
        <v>45331</v>
      </c>
      <c r="J1876" s="18">
        <f>YEAR(Tabla1[[#This Row],[FECHA DE COMPRA]])</f>
        <v>2024</v>
      </c>
      <c r="K1876" s="19">
        <v>83.24</v>
      </c>
      <c r="L1876" s="20">
        <v>0.1</v>
      </c>
      <c r="M1876" s="19">
        <f>Tienda!$K35-Tienda!$K35*Tienda!$L35</f>
        <v>122.864</v>
      </c>
      <c r="N1876" s="3" t="s">
        <v>10039</v>
      </c>
      <c r="O1876" s="3" t="s">
        <v>10041</v>
      </c>
      <c r="P1876" s="17">
        <v>45331</v>
      </c>
      <c r="Q1876" s="4">
        <v>0</v>
      </c>
    </row>
    <row r="1877" spans="1:17" ht="30" x14ac:dyDescent="0.25">
      <c r="A1877" s="2" t="s">
        <v>1682</v>
      </c>
      <c r="B1877" s="3" t="s">
        <v>5015</v>
      </c>
      <c r="C1877" s="3">
        <v>51</v>
      </c>
      <c r="D1877" s="46" t="str">
        <f>IF(Tabla1[[#This Row],[EDAD]]&lt;=35,"Adultos jóvenes 18 - 35 años",IF(C1877&gt;=36,"Adultos mayores 36 años en adelante"))</f>
        <v>Adultos mayores 36 años en adelante</v>
      </c>
      <c r="E1877" s="3" t="s">
        <v>5019</v>
      </c>
      <c r="F1877" s="3" t="s">
        <v>5029</v>
      </c>
      <c r="G1877" s="3" t="s">
        <v>5036</v>
      </c>
      <c r="H1877" s="3" t="s">
        <v>6705</v>
      </c>
      <c r="I1877" s="17">
        <v>45336</v>
      </c>
      <c r="J1877" s="18">
        <f>YEAR(Tabla1[[#This Row],[FECHA DE COMPRA]])</f>
        <v>2024</v>
      </c>
      <c r="K1877" s="19">
        <v>130.25</v>
      </c>
      <c r="L1877" s="20">
        <v>0.1</v>
      </c>
      <c r="M1877" s="19">
        <f>Tienda!$K36-Tienda!$K36*Tienda!$L36</f>
        <v>34.722000000000001</v>
      </c>
      <c r="N1877" s="3" t="s">
        <v>10039</v>
      </c>
      <c r="O1877" s="3" t="s">
        <v>10041</v>
      </c>
      <c r="P1877" s="17">
        <v>45336</v>
      </c>
      <c r="Q1877" s="4">
        <v>0</v>
      </c>
    </row>
    <row r="1878" spans="1:17" ht="30" x14ac:dyDescent="0.25">
      <c r="A1878" s="2" t="s">
        <v>4439</v>
      </c>
      <c r="B1878" s="3" t="s">
        <v>5015</v>
      </c>
      <c r="C1878" s="3">
        <v>51</v>
      </c>
      <c r="D1878" s="46" t="str">
        <f>IF(Tabla1[[#This Row],[EDAD]]&lt;=35,"Adultos jóvenes 18 - 35 años",IF(C1878&gt;=36,"Adultos mayores 36 años en adelante"))</f>
        <v>Adultos mayores 36 años en adelante</v>
      </c>
      <c r="E1878" s="3" t="s">
        <v>5022</v>
      </c>
      <c r="F1878" s="3" t="s">
        <v>5026</v>
      </c>
      <c r="G1878" s="3" t="s">
        <v>5033</v>
      </c>
      <c r="H1878" s="3" t="s">
        <v>9462</v>
      </c>
      <c r="I1878" s="17">
        <v>45336</v>
      </c>
      <c r="J1878" s="18">
        <f>YEAR(Tabla1[[#This Row],[FECHA DE COMPRA]])</f>
        <v>2024</v>
      </c>
      <c r="K1878" s="19">
        <v>151.91999999999999</v>
      </c>
      <c r="L1878" s="20">
        <v>0.3</v>
      </c>
      <c r="M1878" s="19">
        <f>Tienda!$K37-Tienda!$K37*Tienda!$L37</f>
        <v>93.94</v>
      </c>
      <c r="N1878" s="3" t="s">
        <v>10039</v>
      </c>
      <c r="O1878" s="3" t="s">
        <v>10041</v>
      </c>
      <c r="P1878" s="17">
        <v>45336</v>
      </c>
      <c r="Q1878" s="4">
        <v>0</v>
      </c>
    </row>
    <row r="1879" spans="1:17" ht="30" x14ac:dyDescent="0.25">
      <c r="A1879" s="2" t="s">
        <v>2673</v>
      </c>
      <c r="B1879" s="3" t="s">
        <v>5015</v>
      </c>
      <c r="C1879" s="3">
        <v>49</v>
      </c>
      <c r="D1879" s="46" t="str">
        <f>IF(Tabla1[[#This Row],[EDAD]]&lt;=35,"Adultos jóvenes 18 - 35 años",IF(C1879&gt;=36,"Adultos mayores 36 años en adelante"))</f>
        <v>Adultos mayores 36 años en adelante</v>
      </c>
      <c r="E1879" s="3" t="s">
        <v>5020</v>
      </c>
      <c r="F1879" s="3" t="s">
        <v>5030</v>
      </c>
      <c r="G1879" s="3" t="s">
        <v>5032</v>
      </c>
      <c r="H1879" s="3" t="s">
        <v>7696</v>
      </c>
      <c r="I1879" s="17">
        <v>45336</v>
      </c>
      <c r="J1879" s="18">
        <f>YEAR(Tabla1[[#This Row],[FECHA DE COMPRA]])</f>
        <v>2024</v>
      </c>
      <c r="K1879" s="19">
        <v>188.39</v>
      </c>
      <c r="L1879" s="20">
        <v>0.2</v>
      </c>
      <c r="M1879" s="19">
        <f>Tienda!$K39-Tienda!$K39*Tienda!$L39</f>
        <v>178.23599999999999</v>
      </c>
      <c r="N1879" s="3" t="s">
        <v>10039</v>
      </c>
      <c r="O1879" s="3" t="s">
        <v>10041</v>
      </c>
      <c r="P1879" s="17">
        <v>45336</v>
      </c>
      <c r="Q1879" s="4">
        <v>0</v>
      </c>
    </row>
    <row r="1880" spans="1:17" ht="30" x14ac:dyDescent="0.25">
      <c r="A1880" s="2" t="s">
        <v>636</v>
      </c>
      <c r="B1880" s="3" t="s">
        <v>5015</v>
      </c>
      <c r="C1880" s="3">
        <v>39</v>
      </c>
      <c r="D1880" s="46" t="str">
        <f>IF(Tabla1[[#This Row],[EDAD]]&lt;=35,"Adultos jóvenes 18 - 35 años",IF(C1880&gt;=36,"Adultos mayores 36 años en adelante"))</f>
        <v>Adultos mayores 36 años en adelante</v>
      </c>
      <c r="E1880" s="3" t="s">
        <v>5019</v>
      </c>
      <c r="F1880" s="3" t="s">
        <v>5025</v>
      </c>
      <c r="G1880" s="3" t="s">
        <v>5037</v>
      </c>
      <c r="H1880" s="3" t="s">
        <v>5659</v>
      </c>
      <c r="I1880" s="17">
        <v>45337</v>
      </c>
      <c r="J1880" s="18">
        <f>YEAR(Tabla1[[#This Row],[FECHA DE COMPRA]])</f>
        <v>2024</v>
      </c>
      <c r="K1880" s="19">
        <v>141.29</v>
      </c>
      <c r="L1880" s="20">
        <v>0.1</v>
      </c>
      <c r="M1880" s="19">
        <f>Tienda!$K41-Tienda!$K41*Tienda!$L41</f>
        <v>18.468</v>
      </c>
      <c r="N1880" s="3" t="s">
        <v>10039</v>
      </c>
      <c r="O1880" s="3" t="s">
        <v>10041</v>
      </c>
      <c r="P1880" s="17">
        <v>45337</v>
      </c>
      <c r="Q1880" s="4">
        <v>0</v>
      </c>
    </row>
    <row r="1881" spans="1:17" ht="30" x14ac:dyDescent="0.25">
      <c r="A1881" s="2" t="s">
        <v>2998</v>
      </c>
      <c r="B1881" s="3" t="s">
        <v>5015</v>
      </c>
      <c r="C1881" s="3">
        <v>51</v>
      </c>
      <c r="D1881" s="46" t="str">
        <f>IF(Tabla1[[#This Row],[EDAD]]&lt;=35,"Adultos jóvenes 18 - 35 años",IF(C1881&gt;=36,"Adultos mayores 36 años en adelante"))</f>
        <v>Adultos mayores 36 años en adelante</v>
      </c>
      <c r="E1881" s="3" t="s">
        <v>5021</v>
      </c>
      <c r="F1881" s="3" t="s">
        <v>5024</v>
      </c>
      <c r="G1881" s="3" t="s">
        <v>5035</v>
      </c>
      <c r="H1881" s="3" t="s">
        <v>8021</v>
      </c>
      <c r="I1881" s="17">
        <v>45338</v>
      </c>
      <c r="J1881" s="18">
        <f>YEAR(Tabla1[[#This Row],[FECHA DE COMPRA]])</f>
        <v>2024</v>
      </c>
      <c r="K1881" s="19">
        <v>11.13</v>
      </c>
      <c r="L1881" s="20">
        <v>0.1</v>
      </c>
      <c r="M1881" s="19">
        <f>Tienda!$K42-Tienda!$K42*Tienda!$L42</f>
        <v>136.32</v>
      </c>
      <c r="N1881" s="3" t="s">
        <v>10039</v>
      </c>
      <c r="O1881" s="3" t="s">
        <v>10041</v>
      </c>
      <c r="P1881" s="17">
        <v>45338</v>
      </c>
      <c r="Q1881" s="4">
        <v>0</v>
      </c>
    </row>
    <row r="1882" spans="1:17" ht="30" x14ac:dyDescent="0.25">
      <c r="A1882" s="2" t="s">
        <v>1026</v>
      </c>
      <c r="B1882" s="3" t="s">
        <v>5016</v>
      </c>
      <c r="C1882" s="3">
        <v>65</v>
      </c>
      <c r="D1882" s="46" t="str">
        <f>IF(Tabla1[[#This Row],[EDAD]]&lt;=35,"Adultos jóvenes 18 - 35 años",IF(C1882&gt;=36,"Adultos mayores 36 años en adelante"))</f>
        <v>Adultos mayores 36 años en adelante</v>
      </c>
      <c r="E1882" s="3" t="s">
        <v>5021</v>
      </c>
      <c r="F1882" s="3" t="s">
        <v>5028</v>
      </c>
      <c r="G1882" s="3" t="s">
        <v>5037</v>
      </c>
      <c r="H1882" s="3" t="s">
        <v>6049</v>
      </c>
      <c r="I1882" s="17">
        <v>45338</v>
      </c>
      <c r="J1882" s="18">
        <f>YEAR(Tabla1[[#This Row],[FECHA DE COMPRA]])</f>
        <v>2024</v>
      </c>
      <c r="K1882" s="19">
        <v>74.84</v>
      </c>
      <c r="L1882" s="20">
        <v>0.3</v>
      </c>
      <c r="M1882" s="19">
        <f>Tienda!$K43-Tienda!$K43*Tienda!$L43</f>
        <v>89.887</v>
      </c>
      <c r="N1882" s="3" t="s">
        <v>10039</v>
      </c>
      <c r="O1882" s="3" t="s">
        <v>10041</v>
      </c>
      <c r="P1882" s="17">
        <v>45338</v>
      </c>
      <c r="Q1882" s="4">
        <v>0</v>
      </c>
    </row>
    <row r="1883" spans="1:17" ht="30" x14ac:dyDescent="0.25">
      <c r="A1883" s="2" t="s">
        <v>4485</v>
      </c>
      <c r="B1883" s="3" t="s">
        <v>5016</v>
      </c>
      <c r="C1883" s="3">
        <v>38</v>
      </c>
      <c r="D1883" s="46" t="str">
        <f>IF(Tabla1[[#This Row],[EDAD]]&lt;=35,"Adultos jóvenes 18 - 35 años",IF(C1883&gt;=36,"Adultos mayores 36 años en adelante"))</f>
        <v>Adultos mayores 36 años en adelante</v>
      </c>
      <c r="E1883" s="3" t="s">
        <v>5017</v>
      </c>
      <c r="F1883" s="3" t="s">
        <v>5024</v>
      </c>
      <c r="G1883" s="3" t="s">
        <v>5033</v>
      </c>
      <c r="H1883" s="3" t="s">
        <v>9508</v>
      </c>
      <c r="I1883" s="17">
        <v>45338</v>
      </c>
      <c r="J1883" s="18">
        <f>YEAR(Tabla1[[#This Row],[FECHA DE COMPRA]])</f>
        <v>2024</v>
      </c>
      <c r="K1883" s="19">
        <v>76.37</v>
      </c>
      <c r="L1883" s="20">
        <v>0</v>
      </c>
      <c r="M1883" s="19">
        <f>Tienda!$K44-Tienda!$K44*Tienda!$L44</f>
        <v>150.16</v>
      </c>
      <c r="N1883" s="3" t="s">
        <v>10039</v>
      </c>
      <c r="O1883" s="3" t="s">
        <v>10041</v>
      </c>
      <c r="P1883" s="17">
        <v>45338</v>
      </c>
      <c r="Q1883" s="4">
        <v>0</v>
      </c>
    </row>
    <row r="1884" spans="1:17" ht="30" x14ac:dyDescent="0.25">
      <c r="A1884" s="2" t="s">
        <v>2135</v>
      </c>
      <c r="B1884" s="3" t="s">
        <v>5015</v>
      </c>
      <c r="C1884" s="3">
        <v>45</v>
      </c>
      <c r="D1884" s="46" t="str">
        <f>IF(Tabla1[[#This Row],[EDAD]]&lt;=35,"Adultos jóvenes 18 - 35 años",IF(C1884&gt;=36,"Adultos mayores 36 años en adelante"))</f>
        <v>Adultos mayores 36 años en adelante</v>
      </c>
      <c r="E1884" s="3" t="s">
        <v>5017</v>
      </c>
      <c r="F1884" s="3" t="s">
        <v>5027</v>
      </c>
      <c r="G1884" s="3" t="s">
        <v>5035</v>
      </c>
      <c r="H1884" s="3" t="s">
        <v>7158</v>
      </c>
      <c r="I1884" s="17">
        <v>45341</v>
      </c>
      <c r="J1884" s="18">
        <f>YEAR(Tabla1[[#This Row],[FECHA DE COMPRA]])</f>
        <v>2024</v>
      </c>
      <c r="K1884" s="19">
        <v>129.72999999999999</v>
      </c>
      <c r="L1884" s="20">
        <v>0</v>
      </c>
      <c r="M1884" s="19">
        <f>Tienda!$K45-Tienda!$K45*Tienda!$L45</f>
        <v>72.7</v>
      </c>
      <c r="N1884" s="3" t="s">
        <v>10039</v>
      </c>
      <c r="O1884" s="3" t="s">
        <v>10041</v>
      </c>
      <c r="P1884" s="17">
        <v>45341</v>
      </c>
      <c r="Q1884" s="4">
        <v>0</v>
      </c>
    </row>
    <row r="1885" spans="1:17" ht="30" x14ac:dyDescent="0.25">
      <c r="A1885" s="2" t="s">
        <v>3444</v>
      </c>
      <c r="B1885" s="3" t="s">
        <v>5016</v>
      </c>
      <c r="C1885" s="3">
        <v>39</v>
      </c>
      <c r="D1885" s="46" t="str">
        <f>IF(Tabla1[[#This Row],[EDAD]]&lt;=35,"Adultos jóvenes 18 - 35 años",IF(C1885&gt;=36,"Adultos mayores 36 años en adelante"))</f>
        <v>Adultos mayores 36 años en adelante</v>
      </c>
      <c r="E1885" s="3" t="s">
        <v>5017</v>
      </c>
      <c r="F1885" s="3" t="s">
        <v>5028</v>
      </c>
      <c r="G1885" s="3" t="s">
        <v>5033</v>
      </c>
      <c r="H1885" s="3" t="s">
        <v>8467</v>
      </c>
      <c r="I1885" s="17">
        <v>45342</v>
      </c>
      <c r="J1885" s="18">
        <f>YEAR(Tabla1[[#This Row],[FECHA DE COMPRA]])</f>
        <v>2024</v>
      </c>
      <c r="K1885" s="19">
        <v>62.81</v>
      </c>
      <c r="L1885" s="20">
        <v>0.1</v>
      </c>
      <c r="M1885" s="19">
        <f>Tienda!$K47-Tienda!$K47*Tienda!$L47</f>
        <v>97.587000000000003</v>
      </c>
      <c r="N1885" s="3" t="s">
        <v>10039</v>
      </c>
      <c r="O1885" s="3" t="s">
        <v>10041</v>
      </c>
      <c r="P1885" s="17">
        <v>45342</v>
      </c>
      <c r="Q1885" s="4">
        <v>0</v>
      </c>
    </row>
    <row r="1886" spans="1:17" ht="30" x14ac:dyDescent="0.25">
      <c r="A1886" s="2" t="s">
        <v>131</v>
      </c>
      <c r="B1886" s="3" t="s">
        <v>5016</v>
      </c>
      <c r="C1886" s="3">
        <v>49</v>
      </c>
      <c r="D1886" s="46" t="str">
        <f>IF(Tabla1[[#This Row],[EDAD]]&lt;=35,"Adultos jóvenes 18 - 35 años",IF(C1886&gt;=36,"Adultos mayores 36 años en adelante"))</f>
        <v>Adultos mayores 36 años en adelante</v>
      </c>
      <c r="E1886" s="3" t="s">
        <v>5019</v>
      </c>
      <c r="F1886" s="3" t="s">
        <v>5025</v>
      </c>
      <c r="G1886" s="3" t="s">
        <v>5033</v>
      </c>
      <c r="H1886" s="3" t="s">
        <v>5154</v>
      </c>
      <c r="I1886" s="17">
        <v>45342</v>
      </c>
      <c r="J1886" s="18">
        <f>YEAR(Tabla1[[#This Row],[FECHA DE COMPRA]])</f>
        <v>2024</v>
      </c>
      <c r="K1886" s="19">
        <v>126.87</v>
      </c>
      <c r="L1886" s="20">
        <v>0.3</v>
      </c>
      <c r="M1886" s="19">
        <f>Tienda!$K49-Tienda!$K49*Tienda!$L49</f>
        <v>41.408000000000001</v>
      </c>
      <c r="N1886" s="3" t="s">
        <v>10039</v>
      </c>
      <c r="O1886" s="3" t="s">
        <v>10041</v>
      </c>
      <c r="P1886" s="17">
        <v>45342</v>
      </c>
      <c r="Q1886" s="4">
        <v>0</v>
      </c>
    </row>
    <row r="1887" spans="1:17" ht="30" x14ac:dyDescent="0.25">
      <c r="A1887" s="2" t="s">
        <v>4952</v>
      </c>
      <c r="B1887" s="3" t="s">
        <v>5015</v>
      </c>
      <c r="C1887" s="3">
        <v>54</v>
      </c>
      <c r="D1887" s="46" t="str">
        <f>IF(Tabla1[[#This Row],[EDAD]]&lt;=35,"Adultos jóvenes 18 - 35 años",IF(C1887&gt;=36,"Adultos mayores 36 años en adelante"))</f>
        <v>Adultos mayores 36 años en adelante</v>
      </c>
      <c r="E1887" s="3" t="s">
        <v>5021</v>
      </c>
      <c r="F1887" s="3" t="s">
        <v>5028</v>
      </c>
      <c r="G1887" s="3" t="s">
        <v>5034</v>
      </c>
      <c r="H1887" s="3" t="s">
        <v>9975</v>
      </c>
      <c r="I1887" s="17">
        <v>45342</v>
      </c>
      <c r="J1887" s="18">
        <f>YEAR(Tabla1[[#This Row],[FECHA DE COMPRA]])</f>
        <v>2024</v>
      </c>
      <c r="K1887" s="19">
        <v>192.61</v>
      </c>
      <c r="L1887" s="20">
        <v>0</v>
      </c>
      <c r="M1887" s="19">
        <f>Tienda!$K50-Tienda!$K50*Tienda!$L50</f>
        <v>16.345000000000002</v>
      </c>
      <c r="N1887" s="3" t="s">
        <v>10039</v>
      </c>
      <c r="O1887" s="3" t="s">
        <v>10041</v>
      </c>
      <c r="P1887" s="17">
        <v>45342</v>
      </c>
      <c r="Q1887" s="4">
        <v>0</v>
      </c>
    </row>
    <row r="1888" spans="1:17" ht="30" x14ac:dyDescent="0.25">
      <c r="A1888" s="2" t="s">
        <v>3930</v>
      </c>
      <c r="B1888" s="3" t="s">
        <v>5015</v>
      </c>
      <c r="C1888" s="3">
        <v>36</v>
      </c>
      <c r="D1888" s="46" t="str">
        <f>IF(Tabla1[[#This Row],[EDAD]]&lt;=35,"Adultos jóvenes 18 - 35 años",IF(C1888&gt;=36,"Adultos mayores 36 años en adelante"))</f>
        <v>Adultos mayores 36 años en adelante</v>
      </c>
      <c r="E1888" s="3" t="s">
        <v>5020</v>
      </c>
      <c r="F1888" s="3" t="s">
        <v>5024</v>
      </c>
      <c r="G1888" s="3" t="s">
        <v>5031</v>
      </c>
      <c r="H1888" s="3" t="s">
        <v>8953</v>
      </c>
      <c r="I1888" s="17">
        <v>45343</v>
      </c>
      <c r="J1888" s="18">
        <f>YEAR(Tabla1[[#This Row],[FECHA DE COMPRA]])</f>
        <v>2024</v>
      </c>
      <c r="K1888" s="19">
        <v>141.69</v>
      </c>
      <c r="L1888" s="20">
        <v>0</v>
      </c>
      <c r="M1888" s="19">
        <f>Tienda!$K51-Tienda!$K51*Tienda!$L51</f>
        <v>72.31</v>
      </c>
      <c r="N1888" s="3" t="s">
        <v>10039</v>
      </c>
      <c r="O1888" s="3" t="s">
        <v>10041</v>
      </c>
      <c r="P1888" s="17">
        <v>45343</v>
      </c>
      <c r="Q1888" s="4">
        <v>0</v>
      </c>
    </row>
    <row r="1889" spans="1:17" ht="30" x14ac:dyDescent="0.25">
      <c r="A1889" s="2" t="s">
        <v>4819</v>
      </c>
      <c r="B1889" s="3" t="s">
        <v>5015</v>
      </c>
      <c r="C1889" s="3">
        <v>44</v>
      </c>
      <c r="D1889" s="46" t="str">
        <f>IF(Tabla1[[#This Row],[EDAD]]&lt;=35,"Adultos jóvenes 18 - 35 años",IF(C1889&gt;=36,"Adultos mayores 36 años en adelante"))</f>
        <v>Adultos mayores 36 años en adelante</v>
      </c>
      <c r="E1889" s="3" t="s">
        <v>5018</v>
      </c>
      <c r="F1889" s="3" t="s">
        <v>5030</v>
      </c>
      <c r="G1889" s="3" t="s">
        <v>5034</v>
      </c>
      <c r="H1889" s="3" t="s">
        <v>9842</v>
      </c>
      <c r="I1889" s="17">
        <v>45344</v>
      </c>
      <c r="J1889" s="18">
        <f>YEAR(Tabla1[[#This Row],[FECHA DE COMPRA]])</f>
        <v>2024</v>
      </c>
      <c r="K1889" s="19">
        <v>165.94</v>
      </c>
      <c r="L1889" s="20">
        <v>0</v>
      </c>
      <c r="M1889" s="19">
        <f>Tienda!$K54-Tienda!$K54*Tienda!$L54</f>
        <v>138.78199999999998</v>
      </c>
      <c r="N1889" s="3" t="s">
        <v>10039</v>
      </c>
      <c r="O1889" s="3" t="s">
        <v>10041</v>
      </c>
      <c r="P1889" s="17">
        <v>45344</v>
      </c>
      <c r="Q1889" s="4">
        <v>0</v>
      </c>
    </row>
    <row r="1890" spans="1:17" ht="30" x14ac:dyDescent="0.25">
      <c r="A1890" s="2" t="s">
        <v>1201</v>
      </c>
      <c r="B1890" s="3" t="s">
        <v>5016</v>
      </c>
      <c r="C1890" s="3">
        <v>48</v>
      </c>
      <c r="D1890" s="46" t="str">
        <f>IF(Tabla1[[#This Row],[EDAD]]&lt;=35,"Adultos jóvenes 18 - 35 años",IF(C1890&gt;=36,"Adultos mayores 36 años en adelante"))</f>
        <v>Adultos mayores 36 años en adelante</v>
      </c>
      <c r="E1890" s="3" t="s">
        <v>5023</v>
      </c>
      <c r="F1890" s="3" t="s">
        <v>5028</v>
      </c>
      <c r="G1890" s="3" t="s">
        <v>5035</v>
      </c>
      <c r="H1890" s="3" t="s">
        <v>6224</v>
      </c>
      <c r="I1890" s="17">
        <v>45345</v>
      </c>
      <c r="J1890" s="18">
        <f>YEAR(Tabla1[[#This Row],[FECHA DE COMPRA]])</f>
        <v>2024</v>
      </c>
      <c r="K1890" s="19">
        <v>53.2</v>
      </c>
      <c r="L1890" s="20">
        <v>0.1</v>
      </c>
      <c r="M1890" s="19">
        <f>Tienda!$K56-Tienda!$K56*Tienda!$L56</f>
        <v>90.369</v>
      </c>
      <c r="N1890" s="3" t="s">
        <v>10039</v>
      </c>
      <c r="O1890" s="3" t="s">
        <v>10041</v>
      </c>
      <c r="P1890" s="17">
        <v>45345</v>
      </c>
      <c r="Q1890" s="4">
        <v>0</v>
      </c>
    </row>
    <row r="1891" spans="1:17" ht="30" x14ac:dyDescent="0.25">
      <c r="A1891" s="2" t="s">
        <v>2588</v>
      </c>
      <c r="B1891" s="3" t="s">
        <v>5015</v>
      </c>
      <c r="C1891" s="3">
        <v>45</v>
      </c>
      <c r="D1891" s="46" t="str">
        <f>IF(Tabla1[[#This Row],[EDAD]]&lt;=35,"Adultos jóvenes 18 - 35 años",IF(C1891&gt;=36,"Adultos mayores 36 años en adelante"))</f>
        <v>Adultos mayores 36 años en adelante</v>
      </c>
      <c r="E1891" s="3" t="s">
        <v>5020</v>
      </c>
      <c r="F1891" s="3" t="s">
        <v>5024</v>
      </c>
      <c r="G1891" s="3" t="s">
        <v>5036</v>
      </c>
      <c r="H1891" s="3" t="s">
        <v>7611</v>
      </c>
      <c r="I1891" s="17">
        <v>45348</v>
      </c>
      <c r="J1891" s="18">
        <f>YEAR(Tabla1[[#This Row],[FECHA DE COMPRA]])</f>
        <v>2024</v>
      </c>
      <c r="K1891" s="19">
        <v>152.30000000000001</v>
      </c>
      <c r="L1891" s="20">
        <v>0</v>
      </c>
      <c r="M1891" s="19">
        <f>Tienda!$K57-Tienda!$K57*Tienda!$L57</f>
        <v>121.04</v>
      </c>
      <c r="N1891" s="3" t="s">
        <v>10039</v>
      </c>
      <c r="O1891" s="3" t="s">
        <v>10041</v>
      </c>
      <c r="P1891" s="17">
        <v>45348</v>
      </c>
      <c r="Q1891" s="4">
        <v>0</v>
      </c>
    </row>
    <row r="1892" spans="1:17" ht="30" x14ac:dyDescent="0.25">
      <c r="A1892" s="2" t="s">
        <v>1555</v>
      </c>
      <c r="B1892" s="3" t="s">
        <v>5015</v>
      </c>
      <c r="C1892" s="3">
        <v>48</v>
      </c>
      <c r="D1892" s="46" t="str">
        <f>IF(Tabla1[[#This Row],[EDAD]]&lt;=35,"Adultos jóvenes 18 - 35 años",IF(C1892&gt;=36,"Adultos mayores 36 años en adelante"))</f>
        <v>Adultos mayores 36 años en adelante</v>
      </c>
      <c r="E1892" s="3" t="s">
        <v>5018</v>
      </c>
      <c r="F1892" s="3" t="s">
        <v>5024</v>
      </c>
      <c r="G1892" s="3" t="s">
        <v>5032</v>
      </c>
      <c r="H1892" s="3" t="s">
        <v>6578</v>
      </c>
      <c r="I1892" s="17">
        <v>45348</v>
      </c>
      <c r="J1892" s="18">
        <f>YEAR(Tabla1[[#This Row],[FECHA DE COMPRA]])</f>
        <v>2024</v>
      </c>
      <c r="K1892" s="19">
        <v>155.57</v>
      </c>
      <c r="L1892" s="20">
        <v>0.1</v>
      </c>
      <c r="M1892" s="19">
        <f>Tienda!$K58-Tienda!$K58*Tienda!$L58</f>
        <v>87.051999999999992</v>
      </c>
      <c r="N1892" s="3" t="s">
        <v>10039</v>
      </c>
      <c r="O1892" s="3" t="s">
        <v>10041</v>
      </c>
      <c r="P1892" s="17">
        <v>45348</v>
      </c>
      <c r="Q1892" s="4">
        <v>0</v>
      </c>
    </row>
    <row r="1893" spans="1:17" ht="30" x14ac:dyDescent="0.25">
      <c r="A1893" s="2" t="s">
        <v>3984</v>
      </c>
      <c r="B1893" s="3" t="s">
        <v>5015</v>
      </c>
      <c r="C1893" s="3">
        <v>63</v>
      </c>
      <c r="D1893" s="46" t="str">
        <f>IF(Tabla1[[#This Row],[EDAD]]&lt;=35,"Adultos jóvenes 18 - 35 años",IF(C1893&gt;=36,"Adultos mayores 36 años en adelante"))</f>
        <v>Adultos mayores 36 años en adelante</v>
      </c>
      <c r="E1893" s="3" t="s">
        <v>5022</v>
      </c>
      <c r="F1893" s="3" t="s">
        <v>5029</v>
      </c>
      <c r="G1893" s="3" t="s">
        <v>5036</v>
      </c>
      <c r="H1893" s="3" t="s">
        <v>9007</v>
      </c>
      <c r="I1893" s="17">
        <v>45348</v>
      </c>
      <c r="J1893" s="18">
        <f>YEAR(Tabla1[[#This Row],[FECHA DE COMPRA]])</f>
        <v>2024</v>
      </c>
      <c r="K1893" s="19">
        <v>160.13999999999999</v>
      </c>
      <c r="L1893" s="20">
        <v>0</v>
      </c>
      <c r="M1893" s="19">
        <f>Tienda!$K59-Tienda!$K59*Tienda!$L59</f>
        <v>114.60799999999999</v>
      </c>
      <c r="N1893" s="3" t="s">
        <v>10039</v>
      </c>
      <c r="O1893" s="3" t="s">
        <v>10041</v>
      </c>
      <c r="P1893" s="17">
        <v>45348</v>
      </c>
      <c r="Q1893" s="4">
        <v>0</v>
      </c>
    </row>
    <row r="1894" spans="1:17" ht="30" x14ac:dyDescent="0.25">
      <c r="A1894" s="2" t="s">
        <v>4274</v>
      </c>
      <c r="B1894" s="3" t="s">
        <v>5015</v>
      </c>
      <c r="C1894" s="3">
        <v>57</v>
      </c>
      <c r="D1894" s="46" t="str">
        <f>IF(Tabla1[[#This Row],[EDAD]]&lt;=35,"Adultos jóvenes 18 - 35 años",IF(C1894&gt;=36,"Adultos mayores 36 años en adelante"))</f>
        <v>Adultos mayores 36 años en adelante</v>
      </c>
      <c r="E1894" s="3" t="s">
        <v>5022</v>
      </c>
      <c r="F1894" s="3" t="s">
        <v>5029</v>
      </c>
      <c r="G1894" s="3" t="s">
        <v>5035</v>
      </c>
      <c r="H1894" s="3" t="s">
        <v>9297</v>
      </c>
      <c r="I1894" s="17">
        <v>45348</v>
      </c>
      <c r="J1894" s="18">
        <f>YEAR(Tabla1[[#This Row],[FECHA DE COMPRA]])</f>
        <v>2024</v>
      </c>
      <c r="K1894" s="19">
        <v>181.25</v>
      </c>
      <c r="L1894" s="20">
        <v>0.2</v>
      </c>
      <c r="M1894" s="19">
        <f>Tienda!$K60-Tienda!$K60*Tienda!$L60</f>
        <v>70.155000000000001</v>
      </c>
      <c r="N1894" s="3" t="s">
        <v>10039</v>
      </c>
      <c r="O1894" s="3" t="s">
        <v>10041</v>
      </c>
      <c r="P1894" s="17">
        <v>45348</v>
      </c>
      <c r="Q1894" s="4">
        <v>0</v>
      </c>
    </row>
    <row r="1895" spans="1:17" ht="30" x14ac:dyDescent="0.25">
      <c r="A1895" s="2" t="s">
        <v>329</v>
      </c>
      <c r="B1895" s="3" t="s">
        <v>5015</v>
      </c>
      <c r="C1895" s="3">
        <v>63</v>
      </c>
      <c r="D1895" s="46" t="str">
        <f>IF(Tabla1[[#This Row],[EDAD]]&lt;=35,"Adultos jóvenes 18 - 35 años",IF(C1895&gt;=36,"Adultos mayores 36 años en adelante"))</f>
        <v>Adultos mayores 36 años en adelante</v>
      </c>
      <c r="E1895" s="3" t="s">
        <v>5020</v>
      </c>
      <c r="F1895" s="3" t="s">
        <v>5027</v>
      </c>
      <c r="G1895" s="3" t="s">
        <v>5034</v>
      </c>
      <c r="H1895" s="3" t="s">
        <v>5352</v>
      </c>
      <c r="I1895" s="17">
        <v>45349</v>
      </c>
      <c r="J1895" s="18">
        <f>YEAR(Tabla1[[#This Row],[FECHA DE COMPRA]])</f>
        <v>2024</v>
      </c>
      <c r="K1895" s="19">
        <v>45.92</v>
      </c>
      <c r="L1895" s="20">
        <v>0.1</v>
      </c>
      <c r="M1895" s="19">
        <f>Tienda!$K62-Tienda!$K62*Tienda!$L62</f>
        <v>110.12</v>
      </c>
      <c r="N1895" s="3" t="s">
        <v>10039</v>
      </c>
      <c r="O1895" s="3" t="s">
        <v>10041</v>
      </c>
      <c r="P1895" s="17">
        <v>45349</v>
      </c>
      <c r="Q1895" s="4">
        <v>0</v>
      </c>
    </row>
    <row r="1896" spans="1:17" ht="30" x14ac:dyDescent="0.25">
      <c r="A1896" s="2" t="s">
        <v>119</v>
      </c>
      <c r="B1896" s="3" t="s">
        <v>5015</v>
      </c>
      <c r="C1896" s="3">
        <v>56</v>
      </c>
      <c r="D1896" s="46" t="str">
        <f>IF(Tabla1[[#This Row],[EDAD]]&lt;=35,"Adultos jóvenes 18 - 35 años",IF(C1896&gt;=36,"Adultos mayores 36 años en adelante"))</f>
        <v>Adultos mayores 36 años en adelante</v>
      </c>
      <c r="E1896" s="3" t="s">
        <v>5020</v>
      </c>
      <c r="F1896" s="3" t="s">
        <v>5028</v>
      </c>
      <c r="G1896" s="3" t="s">
        <v>5031</v>
      </c>
      <c r="H1896" s="3" t="s">
        <v>5142</v>
      </c>
      <c r="I1896" s="17">
        <v>45349</v>
      </c>
      <c r="J1896" s="18">
        <f>YEAR(Tabla1[[#This Row],[FECHA DE COMPRA]])</f>
        <v>2024</v>
      </c>
      <c r="K1896" s="19">
        <v>62.41</v>
      </c>
      <c r="L1896" s="20">
        <v>0.3</v>
      </c>
      <c r="M1896" s="19">
        <f>Tienda!$K63-Tienda!$K63*Tienda!$L63</f>
        <v>120.22499999999999</v>
      </c>
      <c r="N1896" s="3" t="s">
        <v>10039</v>
      </c>
      <c r="O1896" s="3" t="s">
        <v>10041</v>
      </c>
      <c r="P1896" s="17">
        <v>45349</v>
      </c>
      <c r="Q1896" s="4">
        <v>0</v>
      </c>
    </row>
    <row r="1897" spans="1:17" ht="30" x14ac:dyDescent="0.25">
      <c r="A1897" s="2" t="s">
        <v>4020</v>
      </c>
      <c r="B1897" s="3" t="s">
        <v>5015</v>
      </c>
      <c r="C1897" s="3">
        <v>50</v>
      </c>
      <c r="D1897" s="46" t="str">
        <f>IF(Tabla1[[#This Row],[EDAD]]&lt;=35,"Adultos jóvenes 18 - 35 años",IF(C1897&gt;=36,"Adultos mayores 36 años en adelante"))</f>
        <v>Adultos mayores 36 años en adelante</v>
      </c>
      <c r="E1897" s="3" t="s">
        <v>5021</v>
      </c>
      <c r="F1897" s="3" t="s">
        <v>5025</v>
      </c>
      <c r="G1897" s="3" t="s">
        <v>5033</v>
      </c>
      <c r="H1897" s="3" t="s">
        <v>9043</v>
      </c>
      <c r="I1897" s="17">
        <v>45352</v>
      </c>
      <c r="J1897" s="18">
        <f>YEAR(Tabla1[[#This Row],[FECHA DE COMPRA]])</f>
        <v>2024</v>
      </c>
      <c r="K1897" s="19">
        <v>47.94</v>
      </c>
      <c r="L1897" s="20">
        <v>0.3</v>
      </c>
      <c r="M1897" s="19">
        <f>Tienda!$K68-Tienda!$K68*Tienda!$L68</f>
        <v>166.17</v>
      </c>
      <c r="N1897" s="3" t="s">
        <v>10039</v>
      </c>
      <c r="O1897" s="3" t="s">
        <v>10041</v>
      </c>
      <c r="P1897" s="17">
        <v>45352</v>
      </c>
      <c r="Q1897" s="4">
        <v>0</v>
      </c>
    </row>
    <row r="1898" spans="1:17" ht="30" x14ac:dyDescent="0.25">
      <c r="A1898" s="2" t="s">
        <v>2906</v>
      </c>
      <c r="B1898" s="3" t="s">
        <v>5016</v>
      </c>
      <c r="C1898" s="3">
        <v>62</v>
      </c>
      <c r="D1898" s="46" t="str">
        <f>IF(Tabla1[[#This Row],[EDAD]]&lt;=35,"Adultos jóvenes 18 - 35 años",IF(C1898&gt;=36,"Adultos mayores 36 años en adelante"))</f>
        <v>Adultos mayores 36 años en adelante</v>
      </c>
      <c r="E1898" s="3" t="s">
        <v>5021</v>
      </c>
      <c r="F1898" s="3" t="s">
        <v>5025</v>
      </c>
      <c r="G1898" s="3" t="s">
        <v>5035</v>
      </c>
      <c r="H1898" s="3" t="s">
        <v>7929</v>
      </c>
      <c r="I1898" s="17">
        <v>45352</v>
      </c>
      <c r="J1898" s="18">
        <f>YEAR(Tabla1[[#This Row],[FECHA DE COMPRA]])</f>
        <v>2024</v>
      </c>
      <c r="K1898" s="19">
        <v>55.11</v>
      </c>
      <c r="L1898" s="20">
        <v>0.1</v>
      </c>
      <c r="M1898" s="19">
        <f>Tienda!$K69-Tienda!$K69*Tienda!$L69</f>
        <v>54.801000000000002</v>
      </c>
      <c r="N1898" s="3" t="s">
        <v>10039</v>
      </c>
      <c r="O1898" s="3" t="s">
        <v>10041</v>
      </c>
      <c r="P1898" s="17">
        <v>45352</v>
      </c>
      <c r="Q1898" s="4">
        <v>0</v>
      </c>
    </row>
    <row r="1899" spans="1:17" ht="30" x14ac:dyDescent="0.25">
      <c r="A1899" s="2" t="s">
        <v>4175</v>
      </c>
      <c r="B1899" s="3" t="s">
        <v>5015</v>
      </c>
      <c r="C1899" s="3">
        <v>41</v>
      </c>
      <c r="D1899" s="46" t="str">
        <f>IF(Tabla1[[#This Row],[EDAD]]&lt;=35,"Adultos jóvenes 18 - 35 años",IF(C1899&gt;=36,"Adultos mayores 36 años en adelante"))</f>
        <v>Adultos mayores 36 años en adelante</v>
      </c>
      <c r="E1899" s="3" t="s">
        <v>5020</v>
      </c>
      <c r="F1899" s="3" t="s">
        <v>5028</v>
      </c>
      <c r="G1899" s="3" t="s">
        <v>5032</v>
      </c>
      <c r="H1899" s="3" t="s">
        <v>9198</v>
      </c>
      <c r="I1899" s="17">
        <v>45352</v>
      </c>
      <c r="J1899" s="18">
        <f>YEAR(Tabla1[[#This Row],[FECHA DE COMPRA]])</f>
        <v>2024</v>
      </c>
      <c r="K1899" s="19">
        <v>103.55</v>
      </c>
      <c r="L1899" s="20">
        <v>0.3</v>
      </c>
      <c r="M1899" s="19">
        <f>Tienda!$K71-Tienda!$K71*Tienda!$L71</f>
        <v>10.959999999999999</v>
      </c>
      <c r="N1899" s="3" t="s">
        <v>10039</v>
      </c>
      <c r="O1899" s="3" t="s">
        <v>10041</v>
      </c>
      <c r="P1899" s="17">
        <v>45352</v>
      </c>
      <c r="Q1899" s="4">
        <v>0</v>
      </c>
    </row>
    <row r="1900" spans="1:17" ht="30" x14ac:dyDescent="0.25">
      <c r="A1900" s="2" t="s">
        <v>1088</v>
      </c>
      <c r="B1900" s="3" t="s">
        <v>5016</v>
      </c>
      <c r="C1900" s="3">
        <v>51</v>
      </c>
      <c r="D1900" s="46" t="str">
        <f>IF(Tabla1[[#This Row],[EDAD]]&lt;=35,"Adultos jóvenes 18 - 35 años",IF(C1900&gt;=36,"Adultos mayores 36 años en adelante"))</f>
        <v>Adultos mayores 36 años en adelante</v>
      </c>
      <c r="E1900" s="3" t="s">
        <v>5021</v>
      </c>
      <c r="F1900" s="3" t="s">
        <v>5026</v>
      </c>
      <c r="G1900" s="3" t="s">
        <v>5035</v>
      </c>
      <c r="H1900" s="3" t="s">
        <v>6111</v>
      </c>
      <c r="I1900" s="17">
        <v>45354</v>
      </c>
      <c r="J1900" s="18">
        <f>YEAR(Tabla1[[#This Row],[FECHA DE COMPRA]])</f>
        <v>2024</v>
      </c>
      <c r="K1900" s="19">
        <v>109.27</v>
      </c>
      <c r="L1900" s="20">
        <v>0.1</v>
      </c>
      <c r="M1900" s="19">
        <f>Tienda!$K74-Tienda!$K74*Tienda!$L74</f>
        <v>126.75</v>
      </c>
      <c r="N1900" s="3" t="s">
        <v>10039</v>
      </c>
      <c r="O1900" s="3" t="s">
        <v>10041</v>
      </c>
      <c r="P1900" s="17">
        <v>45354</v>
      </c>
      <c r="Q1900" s="4">
        <v>0</v>
      </c>
    </row>
    <row r="1901" spans="1:17" ht="30" x14ac:dyDescent="0.25">
      <c r="A1901" s="2" t="s">
        <v>2128</v>
      </c>
      <c r="B1901" s="3" t="s">
        <v>5015</v>
      </c>
      <c r="C1901" s="3">
        <v>54</v>
      </c>
      <c r="D1901" s="46" t="str">
        <f>IF(Tabla1[[#This Row],[EDAD]]&lt;=35,"Adultos jóvenes 18 - 35 años",IF(C1901&gt;=36,"Adultos mayores 36 años en adelante"))</f>
        <v>Adultos mayores 36 años en adelante</v>
      </c>
      <c r="E1901" s="3" t="s">
        <v>5022</v>
      </c>
      <c r="F1901" s="3" t="s">
        <v>5029</v>
      </c>
      <c r="G1901" s="3" t="s">
        <v>5033</v>
      </c>
      <c r="H1901" s="3" t="s">
        <v>7151</v>
      </c>
      <c r="I1901" s="17">
        <v>45354</v>
      </c>
      <c r="J1901" s="18">
        <f>YEAR(Tabla1[[#This Row],[FECHA DE COMPRA]])</f>
        <v>2024</v>
      </c>
      <c r="K1901" s="19">
        <v>115.54</v>
      </c>
      <c r="L1901" s="20">
        <v>0</v>
      </c>
      <c r="M1901" s="19">
        <f>Tienda!$K75-Tienda!$K75*Tienda!$L75</f>
        <v>105.01600000000001</v>
      </c>
      <c r="N1901" s="3" t="s">
        <v>10039</v>
      </c>
      <c r="O1901" s="3" t="s">
        <v>10041</v>
      </c>
      <c r="P1901" s="17">
        <v>45354</v>
      </c>
      <c r="Q1901" s="4">
        <v>0</v>
      </c>
    </row>
    <row r="1902" spans="1:17" ht="30" x14ac:dyDescent="0.25">
      <c r="A1902" s="2" t="s">
        <v>4233</v>
      </c>
      <c r="B1902" s="3" t="s">
        <v>5015</v>
      </c>
      <c r="C1902" s="3">
        <v>61</v>
      </c>
      <c r="D1902" s="46" t="str">
        <f>IF(Tabla1[[#This Row],[EDAD]]&lt;=35,"Adultos jóvenes 18 - 35 años",IF(C1902&gt;=36,"Adultos mayores 36 años en adelante"))</f>
        <v>Adultos mayores 36 años en adelante</v>
      </c>
      <c r="E1902" s="3" t="s">
        <v>5023</v>
      </c>
      <c r="F1902" s="3" t="s">
        <v>5024</v>
      </c>
      <c r="G1902" s="3" t="s">
        <v>5034</v>
      </c>
      <c r="H1902" s="3" t="s">
        <v>9256</v>
      </c>
      <c r="I1902" s="17">
        <v>45356</v>
      </c>
      <c r="J1902" s="18">
        <f>YEAR(Tabla1[[#This Row],[FECHA DE COMPRA]])</f>
        <v>2024</v>
      </c>
      <c r="K1902" s="19">
        <v>104.39</v>
      </c>
      <c r="L1902" s="20">
        <v>0.1</v>
      </c>
      <c r="M1902" s="19">
        <f>Tienda!$K77-Tienda!$K77*Tienda!$L77</f>
        <v>51.344999999999999</v>
      </c>
      <c r="N1902" s="3" t="s">
        <v>10039</v>
      </c>
      <c r="O1902" s="3" t="s">
        <v>10041</v>
      </c>
      <c r="P1902" s="17">
        <v>45356</v>
      </c>
      <c r="Q1902" s="4">
        <v>0</v>
      </c>
    </row>
    <row r="1903" spans="1:17" ht="30" x14ac:dyDescent="0.25">
      <c r="A1903" s="2" t="s">
        <v>1495</v>
      </c>
      <c r="B1903" s="3" t="s">
        <v>5015</v>
      </c>
      <c r="C1903" s="3">
        <v>49</v>
      </c>
      <c r="D1903" s="46" t="str">
        <f>IF(Tabla1[[#This Row],[EDAD]]&lt;=35,"Adultos jóvenes 18 - 35 años",IF(C1903&gt;=36,"Adultos mayores 36 años en adelante"))</f>
        <v>Adultos mayores 36 años en adelante</v>
      </c>
      <c r="E1903" s="3" t="s">
        <v>5023</v>
      </c>
      <c r="F1903" s="3" t="s">
        <v>5029</v>
      </c>
      <c r="G1903" s="3" t="s">
        <v>5032</v>
      </c>
      <c r="H1903" s="3" t="s">
        <v>6518</v>
      </c>
      <c r="I1903" s="17">
        <v>45360</v>
      </c>
      <c r="J1903" s="18">
        <f>YEAR(Tabla1[[#This Row],[FECHA DE COMPRA]])</f>
        <v>2024</v>
      </c>
      <c r="K1903" s="19">
        <v>132.69999999999999</v>
      </c>
      <c r="L1903" s="20">
        <v>0.3</v>
      </c>
      <c r="M1903" s="19">
        <f>Tienda!$K79-Tienda!$K79*Tienda!$L79</f>
        <v>55.971999999999994</v>
      </c>
      <c r="N1903" s="3" t="s">
        <v>10039</v>
      </c>
      <c r="O1903" s="3" t="s">
        <v>10041</v>
      </c>
      <c r="P1903" s="17">
        <v>45360</v>
      </c>
      <c r="Q1903" s="4">
        <v>0</v>
      </c>
    </row>
    <row r="1904" spans="1:17" ht="30" x14ac:dyDescent="0.25">
      <c r="A1904" s="2" t="s">
        <v>3218</v>
      </c>
      <c r="B1904" s="3" t="s">
        <v>5016</v>
      </c>
      <c r="C1904" s="3">
        <v>36</v>
      </c>
      <c r="D1904" s="46" t="str">
        <f>IF(Tabla1[[#This Row],[EDAD]]&lt;=35,"Adultos jóvenes 18 - 35 años",IF(C1904&gt;=36,"Adultos mayores 36 años en adelante"))</f>
        <v>Adultos mayores 36 años en adelante</v>
      </c>
      <c r="E1904" s="3" t="s">
        <v>5023</v>
      </c>
      <c r="F1904" s="3" t="s">
        <v>5030</v>
      </c>
      <c r="G1904" s="3" t="s">
        <v>5034</v>
      </c>
      <c r="H1904" s="3" t="s">
        <v>8241</v>
      </c>
      <c r="I1904" s="17">
        <v>45360</v>
      </c>
      <c r="J1904" s="18">
        <f>YEAR(Tabla1[[#This Row],[FECHA DE COMPRA]])</f>
        <v>2024</v>
      </c>
      <c r="K1904" s="19">
        <v>166.44</v>
      </c>
      <c r="L1904" s="20">
        <v>0.3</v>
      </c>
      <c r="M1904" s="19">
        <f>Tienda!$K80-Tienda!$K80*Tienda!$L80</f>
        <v>88.87</v>
      </c>
      <c r="N1904" s="3" t="s">
        <v>10039</v>
      </c>
      <c r="O1904" s="3" t="s">
        <v>10041</v>
      </c>
      <c r="P1904" s="17">
        <v>45360</v>
      </c>
      <c r="Q1904" s="4">
        <v>0</v>
      </c>
    </row>
    <row r="1905" spans="1:17" ht="30" x14ac:dyDescent="0.25">
      <c r="A1905" s="2" t="s">
        <v>3059</v>
      </c>
      <c r="B1905" s="3" t="s">
        <v>5016</v>
      </c>
      <c r="C1905" s="3">
        <v>46</v>
      </c>
      <c r="D1905" s="46" t="str">
        <f>IF(Tabla1[[#This Row],[EDAD]]&lt;=35,"Adultos jóvenes 18 - 35 años",IF(C1905&gt;=36,"Adultos mayores 36 años en adelante"))</f>
        <v>Adultos mayores 36 años en adelante</v>
      </c>
      <c r="E1905" s="3" t="s">
        <v>5023</v>
      </c>
      <c r="F1905" s="3" t="s">
        <v>5030</v>
      </c>
      <c r="G1905" s="3" t="s">
        <v>5035</v>
      </c>
      <c r="H1905" s="3" t="s">
        <v>8082</v>
      </c>
      <c r="I1905" s="17">
        <v>45361</v>
      </c>
      <c r="J1905" s="18">
        <f>YEAR(Tabla1[[#This Row],[FECHA DE COMPRA]])</f>
        <v>2024</v>
      </c>
      <c r="K1905" s="19">
        <v>27.61</v>
      </c>
      <c r="L1905" s="20">
        <v>0.2</v>
      </c>
      <c r="M1905" s="19">
        <f>Tienda!$K81-Tienda!$K81*Tienda!$L81</f>
        <v>91.28</v>
      </c>
      <c r="N1905" s="3" t="s">
        <v>10039</v>
      </c>
      <c r="O1905" s="3" t="s">
        <v>10041</v>
      </c>
      <c r="P1905" s="17">
        <v>45361</v>
      </c>
      <c r="Q1905" s="4">
        <v>0</v>
      </c>
    </row>
    <row r="1906" spans="1:17" ht="30" x14ac:dyDescent="0.25">
      <c r="A1906" s="2" t="s">
        <v>496</v>
      </c>
      <c r="B1906" s="3" t="s">
        <v>5015</v>
      </c>
      <c r="C1906" s="3">
        <v>51</v>
      </c>
      <c r="D1906" s="46" t="str">
        <f>IF(Tabla1[[#This Row],[EDAD]]&lt;=35,"Adultos jóvenes 18 - 35 años",IF(C1906&gt;=36,"Adultos mayores 36 años en adelante"))</f>
        <v>Adultos mayores 36 años en adelante</v>
      </c>
      <c r="E1906" s="3" t="s">
        <v>5022</v>
      </c>
      <c r="F1906" s="3" t="s">
        <v>5029</v>
      </c>
      <c r="G1906" s="3" t="s">
        <v>5032</v>
      </c>
      <c r="H1906" s="3" t="s">
        <v>5519</v>
      </c>
      <c r="I1906" s="17">
        <v>45361</v>
      </c>
      <c r="J1906" s="18">
        <f>YEAR(Tabla1[[#This Row],[FECHA DE COMPRA]])</f>
        <v>2024</v>
      </c>
      <c r="K1906" s="19">
        <v>64.989999999999995</v>
      </c>
      <c r="L1906" s="20">
        <v>0.3</v>
      </c>
      <c r="M1906" s="19">
        <f>Tienda!$K82-Tienda!$K82*Tienda!$L82</f>
        <v>120.28800000000001</v>
      </c>
      <c r="N1906" s="3" t="s">
        <v>10039</v>
      </c>
      <c r="O1906" s="3" t="s">
        <v>10041</v>
      </c>
      <c r="P1906" s="17">
        <v>45361</v>
      </c>
      <c r="Q1906" s="4">
        <v>0</v>
      </c>
    </row>
    <row r="1907" spans="1:17" ht="30" x14ac:dyDescent="0.25">
      <c r="A1907" s="2" t="s">
        <v>1049</v>
      </c>
      <c r="B1907" s="3" t="s">
        <v>5016</v>
      </c>
      <c r="C1907" s="3">
        <v>51</v>
      </c>
      <c r="D1907" s="46" t="str">
        <f>IF(Tabla1[[#This Row],[EDAD]]&lt;=35,"Adultos jóvenes 18 - 35 años",IF(C1907&gt;=36,"Adultos mayores 36 años en adelante"))</f>
        <v>Adultos mayores 36 años en adelante</v>
      </c>
      <c r="E1907" s="3" t="s">
        <v>5023</v>
      </c>
      <c r="F1907" s="3" t="s">
        <v>5030</v>
      </c>
      <c r="G1907" s="3" t="s">
        <v>5037</v>
      </c>
      <c r="H1907" s="3" t="s">
        <v>6072</v>
      </c>
      <c r="I1907" s="17">
        <v>45361</v>
      </c>
      <c r="J1907" s="18">
        <f>YEAR(Tabla1[[#This Row],[FECHA DE COMPRA]])</f>
        <v>2024</v>
      </c>
      <c r="K1907" s="19">
        <v>103.06</v>
      </c>
      <c r="L1907" s="20">
        <v>0.2</v>
      </c>
      <c r="M1907" s="19">
        <f>Tienda!$K83-Tienda!$K83*Tienda!$L83</f>
        <v>62.032000000000004</v>
      </c>
      <c r="N1907" s="3" t="s">
        <v>10039</v>
      </c>
      <c r="O1907" s="3" t="s">
        <v>10041</v>
      </c>
      <c r="P1907" s="17">
        <v>45361</v>
      </c>
      <c r="Q1907" s="4">
        <v>0</v>
      </c>
    </row>
    <row r="1908" spans="1:17" ht="30" x14ac:dyDescent="0.25">
      <c r="A1908" s="2" t="s">
        <v>2518</v>
      </c>
      <c r="B1908" s="3" t="s">
        <v>5016</v>
      </c>
      <c r="C1908" s="3">
        <v>42</v>
      </c>
      <c r="D1908" s="46" t="str">
        <f>IF(Tabla1[[#This Row],[EDAD]]&lt;=35,"Adultos jóvenes 18 - 35 años",IF(C1908&gt;=36,"Adultos mayores 36 años en adelante"))</f>
        <v>Adultos mayores 36 años en adelante</v>
      </c>
      <c r="E1908" s="3" t="s">
        <v>5021</v>
      </c>
      <c r="F1908" s="3" t="s">
        <v>5028</v>
      </c>
      <c r="G1908" s="3" t="s">
        <v>5032</v>
      </c>
      <c r="H1908" s="3" t="s">
        <v>7541</v>
      </c>
      <c r="I1908" s="17">
        <v>45364</v>
      </c>
      <c r="J1908" s="18">
        <f>YEAR(Tabla1[[#This Row],[FECHA DE COMPRA]])</f>
        <v>2024</v>
      </c>
      <c r="K1908" s="19">
        <v>185.95</v>
      </c>
      <c r="L1908" s="20">
        <v>0</v>
      </c>
      <c r="M1908" s="19">
        <f>Tienda!$K88-Tienda!$K88*Tienda!$L88</f>
        <v>67.415999999999997</v>
      </c>
      <c r="N1908" s="3" t="s">
        <v>10039</v>
      </c>
      <c r="O1908" s="3" t="s">
        <v>10041</v>
      </c>
      <c r="P1908" s="17">
        <v>45364</v>
      </c>
      <c r="Q1908" s="4">
        <v>0</v>
      </c>
    </row>
    <row r="1909" spans="1:17" ht="30" x14ac:dyDescent="0.25">
      <c r="A1909" s="2" t="s">
        <v>2176</v>
      </c>
      <c r="B1909" s="3" t="s">
        <v>5015</v>
      </c>
      <c r="C1909" s="3">
        <v>48</v>
      </c>
      <c r="D1909" s="46" t="str">
        <f>IF(Tabla1[[#This Row],[EDAD]]&lt;=35,"Adultos jóvenes 18 - 35 años",IF(C1909&gt;=36,"Adultos mayores 36 años en adelante"))</f>
        <v>Adultos mayores 36 años en adelante</v>
      </c>
      <c r="E1909" s="3" t="s">
        <v>5022</v>
      </c>
      <c r="F1909" s="3" t="s">
        <v>5029</v>
      </c>
      <c r="G1909" s="3" t="s">
        <v>5034</v>
      </c>
      <c r="H1909" s="3" t="s">
        <v>7199</v>
      </c>
      <c r="I1909" s="17">
        <v>45365</v>
      </c>
      <c r="J1909" s="18">
        <f>YEAR(Tabla1[[#This Row],[FECHA DE COMPRA]])</f>
        <v>2024</v>
      </c>
      <c r="K1909" s="19">
        <v>51.03</v>
      </c>
      <c r="L1909" s="20">
        <v>0.3</v>
      </c>
      <c r="M1909" s="19">
        <f>Tienda!$K89-Tienda!$K89*Tienda!$L89</f>
        <v>149.44</v>
      </c>
      <c r="N1909" s="3" t="s">
        <v>10039</v>
      </c>
      <c r="O1909" s="3" t="s">
        <v>10041</v>
      </c>
      <c r="P1909" s="17">
        <v>45365</v>
      </c>
      <c r="Q1909" s="4">
        <v>0</v>
      </c>
    </row>
    <row r="1910" spans="1:17" ht="30" x14ac:dyDescent="0.25">
      <c r="A1910" s="2" t="s">
        <v>2366</v>
      </c>
      <c r="B1910" s="3" t="s">
        <v>5016</v>
      </c>
      <c r="C1910" s="3">
        <v>56</v>
      </c>
      <c r="D1910" s="46" t="str">
        <f>IF(Tabla1[[#This Row],[EDAD]]&lt;=35,"Adultos jóvenes 18 - 35 años",IF(C1910&gt;=36,"Adultos mayores 36 años en adelante"))</f>
        <v>Adultos mayores 36 años en adelante</v>
      </c>
      <c r="E1910" s="3" t="s">
        <v>5019</v>
      </c>
      <c r="F1910" s="3" t="s">
        <v>5029</v>
      </c>
      <c r="G1910" s="3" t="s">
        <v>5035</v>
      </c>
      <c r="H1910" s="3" t="s">
        <v>7389</v>
      </c>
      <c r="I1910" s="17">
        <v>45365</v>
      </c>
      <c r="J1910" s="18">
        <f>YEAR(Tabla1[[#This Row],[FECHA DE COMPRA]])</f>
        <v>2024</v>
      </c>
      <c r="K1910" s="19">
        <v>69.23</v>
      </c>
      <c r="L1910" s="20">
        <v>0.3</v>
      </c>
      <c r="M1910" s="19">
        <f>Tienda!$K90-Tienda!$K90*Tienda!$L90</f>
        <v>130.98399999999998</v>
      </c>
      <c r="N1910" s="3" t="s">
        <v>10039</v>
      </c>
      <c r="O1910" s="3" t="s">
        <v>10041</v>
      </c>
      <c r="P1910" s="17">
        <v>45365</v>
      </c>
      <c r="Q1910" s="4">
        <v>0</v>
      </c>
    </row>
    <row r="1911" spans="1:17" ht="30" x14ac:dyDescent="0.25">
      <c r="A1911" s="2" t="s">
        <v>505</v>
      </c>
      <c r="B1911" s="3" t="s">
        <v>5016</v>
      </c>
      <c r="C1911" s="3">
        <v>52</v>
      </c>
      <c r="D1911" s="46" t="str">
        <f>IF(Tabla1[[#This Row],[EDAD]]&lt;=35,"Adultos jóvenes 18 - 35 años",IF(C1911&gt;=36,"Adultos mayores 36 años en adelante"))</f>
        <v>Adultos mayores 36 años en adelante</v>
      </c>
      <c r="E1911" s="3" t="s">
        <v>5019</v>
      </c>
      <c r="F1911" s="3" t="s">
        <v>5026</v>
      </c>
      <c r="G1911" s="3" t="s">
        <v>5032</v>
      </c>
      <c r="H1911" s="3" t="s">
        <v>5528</v>
      </c>
      <c r="I1911" s="17">
        <v>45365</v>
      </c>
      <c r="J1911" s="18">
        <f>YEAR(Tabla1[[#This Row],[FECHA DE COMPRA]])</f>
        <v>2024</v>
      </c>
      <c r="K1911" s="19">
        <v>116.37</v>
      </c>
      <c r="L1911" s="20">
        <v>0.2</v>
      </c>
      <c r="M1911" s="19">
        <f>Tienda!$K91-Tienda!$K91*Tienda!$L91</f>
        <v>84.637</v>
      </c>
      <c r="N1911" s="3" t="s">
        <v>10039</v>
      </c>
      <c r="O1911" s="3" t="s">
        <v>10041</v>
      </c>
      <c r="P1911" s="17">
        <v>45365</v>
      </c>
      <c r="Q1911" s="4">
        <v>0</v>
      </c>
    </row>
    <row r="1912" spans="1:17" ht="30" x14ac:dyDescent="0.25">
      <c r="A1912" s="2" t="s">
        <v>2890</v>
      </c>
      <c r="B1912" s="3" t="s">
        <v>5015</v>
      </c>
      <c r="C1912" s="3">
        <v>36</v>
      </c>
      <c r="D1912" s="46" t="str">
        <f>IF(Tabla1[[#This Row],[EDAD]]&lt;=35,"Adultos jóvenes 18 - 35 años",IF(C1912&gt;=36,"Adultos mayores 36 años en adelante"))</f>
        <v>Adultos mayores 36 años en adelante</v>
      </c>
      <c r="E1912" s="3" t="s">
        <v>5022</v>
      </c>
      <c r="F1912" s="3" t="s">
        <v>5028</v>
      </c>
      <c r="G1912" s="3" t="s">
        <v>5037</v>
      </c>
      <c r="H1912" s="3" t="s">
        <v>7913</v>
      </c>
      <c r="I1912" s="17">
        <v>45365</v>
      </c>
      <c r="J1912" s="18">
        <f>YEAR(Tabla1[[#This Row],[FECHA DE COMPRA]])</f>
        <v>2024</v>
      </c>
      <c r="K1912" s="19">
        <v>128.46</v>
      </c>
      <c r="L1912" s="20">
        <v>0</v>
      </c>
      <c r="M1912" s="19">
        <f>Tienda!$K92-Tienda!$K92*Tienda!$L92</f>
        <v>86.567999999999998</v>
      </c>
      <c r="N1912" s="3" t="s">
        <v>10039</v>
      </c>
      <c r="O1912" s="3" t="s">
        <v>10041</v>
      </c>
      <c r="P1912" s="17">
        <v>45365</v>
      </c>
      <c r="Q1912" s="4">
        <v>0</v>
      </c>
    </row>
    <row r="1913" spans="1:17" ht="30" x14ac:dyDescent="0.25">
      <c r="A1913" s="2" t="s">
        <v>4622</v>
      </c>
      <c r="B1913" s="3" t="s">
        <v>5015</v>
      </c>
      <c r="C1913" s="3">
        <v>48</v>
      </c>
      <c r="D1913" s="46" t="str">
        <f>IF(Tabla1[[#This Row],[EDAD]]&lt;=35,"Adultos jóvenes 18 - 35 años",IF(C1913&gt;=36,"Adultos mayores 36 años en adelante"))</f>
        <v>Adultos mayores 36 años en adelante</v>
      </c>
      <c r="E1913" s="3" t="s">
        <v>5018</v>
      </c>
      <c r="F1913" s="3" t="s">
        <v>5030</v>
      </c>
      <c r="G1913" s="3" t="s">
        <v>5032</v>
      </c>
      <c r="H1913" s="3" t="s">
        <v>9645</v>
      </c>
      <c r="I1913" s="17">
        <v>45366</v>
      </c>
      <c r="J1913" s="18">
        <f>YEAR(Tabla1[[#This Row],[FECHA DE COMPRA]])</f>
        <v>2024</v>
      </c>
      <c r="K1913" s="19">
        <v>163.01</v>
      </c>
      <c r="L1913" s="20">
        <v>0.1</v>
      </c>
      <c r="M1913" s="19">
        <f>Tienda!$K95-Tienda!$K95*Tienda!$L95</f>
        <v>56.36</v>
      </c>
      <c r="N1913" s="3" t="s">
        <v>10039</v>
      </c>
      <c r="O1913" s="3" t="s">
        <v>10041</v>
      </c>
      <c r="P1913" s="17">
        <v>45366</v>
      </c>
      <c r="Q1913" s="4">
        <v>0</v>
      </c>
    </row>
    <row r="1914" spans="1:17" ht="30" x14ac:dyDescent="0.25">
      <c r="A1914" s="2" t="s">
        <v>1250</v>
      </c>
      <c r="B1914" s="3" t="s">
        <v>5015</v>
      </c>
      <c r="C1914" s="3">
        <v>45</v>
      </c>
      <c r="D1914" s="46" t="str">
        <f>IF(Tabla1[[#This Row],[EDAD]]&lt;=35,"Adultos jóvenes 18 - 35 años",IF(C1914&gt;=36,"Adultos mayores 36 años en adelante"))</f>
        <v>Adultos mayores 36 años en adelante</v>
      </c>
      <c r="E1914" s="3" t="s">
        <v>5018</v>
      </c>
      <c r="F1914" s="3" t="s">
        <v>5025</v>
      </c>
      <c r="G1914" s="3" t="s">
        <v>5034</v>
      </c>
      <c r="H1914" s="3" t="s">
        <v>6273</v>
      </c>
      <c r="I1914" s="17">
        <v>45376</v>
      </c>
      <c r="J1914" s="18">
        <f>YEAR(Tabla1[[#This Row],[FECHA DE COMPRA]])</f>
        <v>2024</v>
      </c>
      <c r="K1914" s="19">
        <v>186.16</v>
      </c>
      <c r="L1914" s="20">
        <v>0.1</v>
      </c>
      <c r="M1914" s="19">
        <f>Tienda!$K99-Tienda!$K99*Tienda!$L99</f>
        <v>172.28700000000001</v>
      </c>
      <c r="N1914" s="3" t="s">
        <v>10039</v>
      </c>
      <c r="O1914" s="3" t="s">
        <v>10041</v>
      </c>
      <c r="P1914" s="17">
        <v>45376</v>
      </c>
      <c r="Q1914" s="4">
        <v>0</v>
      </c>
    </row>
    <row r="1915" spans="1:17" ht="30" x14ac:dyDescent="0.25">
      <c r="A1915" s="2" t="s">
        <v>3703</v>
      </c>
      <c r="B1915" s="3" t="s">
        <v>5015</v>
      </c>
      <c r="C1915" s="3">
        <v>62</v>
      </c>
      <c r="D1915" s="46" t="str">
        <f>IF(Tabla1[[#This Row],[EDAD]]&lt;=35,"Adultos jóvenes 18 - 35 años",IF(C1915&gt;=36,"Adultos mayores 36 años en adelante"))</f>
        <v>Adultos mayores 36 años en adelante</v>
      </c>
      <c r="E1915" s="3" t="s">
        <v>5020</v>
      </c>
      <c r="F1915" s="3" t="s">
        <v>5025</v>
      </c>
      <c r="G1915" s="3" t="s">
        <v>5034</v>
      </c>
      <c r="H1915" s="3" t="s">
        <v>8726</v>
      </c>
      <c r="I1915" s="17">
        <v>45377</v>
      </c>
      <c r="J1915" s="18">
        <f>YEAR(Tabla1[[#This Row],[FECHA DE COMPRA]])</f>
        <v>2024</v>
      </c>
      <c r="K1915" s="19">
        <v>20.76</v>
      </c>
      <c r="L1915" s="20">
        <v>0.1</v>
      </c>
      <c r="M1915" s="19">
        <f>Tienda!$K100-Tienda!$K100*Tienda!$L100</f>
        <v>42.335999999999999</v>
      </c>
      <c r="N1915" s="3" t="s">
        <v>10039</v>
      </c>
      <c r="O1915" s="3" t="s">
        <v>10041</v>
      </c>
      <c r="P1915" s="17">
        <v>45377</v>
      </c>
      <c r="Q1915" s="4">
        <v>0</v>
      </c>
    </row>
    <row r="1916" spans="1:17" ht="30" x14ac:dyDescent="0.25">
      <c r="A1916" s="2" t="s">
        <v>1857</v>
      </c>
      <c r="B1916" s="3" t="s">
        <v>5016</v>
      </c>
      <c r="C1916" s="3">
        <v>54</v>
      </c>
      <c r="D1916" s="46" t="str">
        <f>IF(Tabla1[[#This Row],[EDAD]]&lt;=35,"Adultos jóvenes 18 - 35 años",IF(C1916&gt;=36,"Adultos mayores 36 años en adelante"))</f>
        <v>Adultos mayores 36 años en adelante</v>
      </c>
      <c r="E1916" s="3" t="s">
        <v>5017</v>
      </c>
      <c r="F1916" s="3" t="s">
        <v>5029</v>
      </c>
      <c r="G1916" s="3" t="s">
        <v>5032</v>
      </c>
      <c r="H1916" s="3" t="s">
        <v>6880</v>
      </c>
      <c r="I1916" s="17">
        <v>45377</v>
      </c>
      <c r="J1916" s="18">
        <f>YEAR(Tabla1[[#This Row],[FECHA DE COMPRA]])</f>
        <v>2024</v>
      </c>
      <c r="K1916" s="19">
        <v>66.069999999999993</v>
      </c>
      <c r="L1916" s="20">
        <v>0.3</v>
      </c>
      <c r="M1916" s="19">
        <f>Tienda!$K101-Tienda!$K101*Tienda!$L101</f>
        <v>68.337000000000003</v>
      </c>
      <c r="N1916" s="3" t="s">
        <v>10039</v>
      </c>
      <c r="O1916" s="3" t="s">
        <v>10041</v>
      </c>
      <c r="P1916" s="17">
        <v>45377</v>
      </c>
      <c r="Q1916" s="4">
        <v>0</v>
      </c>
    </row>
    <row r="1917" spans="1:17" ht="30" x14ac:dyDescent="0.25">
      <c r="A1917" s="2" t="s">
        <v>2380</v>
      </c>
      <c r="B1917" s="3" t="s">
        <v>5015</v>
      </c>
      <c r="C1917" s="3">
        <v>51</v>
      </c>
      <c r="D1917" s="46" t="str">
        <f>IF(Tabla1[[#This Row],[EDAD]]&lt;=35,"Adultos jóvenes 18 - 35 años",IF(C1917&gt;=36,"Adultos mayores 36 años en adelante"))</f>
        <v>Adultos mayores 36 años en adelante</v>
      </c>
      <c r="E1917" s="3" t="s">
        <v>5017</v>
      </c>
      <c r="F1917" s="3" t="s">
        <v>5024</v>
      </c>
      <c r="G1917" s="3" t="s">
        <v>5035</v>
      </c>
      <c r="H1917" s="3" t="s">
        <v>7403</v>
      </c>
      <c r="I1917" s="17">
        <v>45378</v>
      </c>
      <c r="J1917" s="18">
        <f>YEAR(Tabla1[[#This Row],[FECHA DE COMPRA]])</f>
        <v>2024</v>
      </c>
      <c r="K1917" s="19">
        <v>76.989999999999995</v>
      </c>
      <c r="L1917" s="20">
        <v>0</v>
      </c>
      <c r="M1917" s="19">
        <f>Tienda!$K102-Tienda!$K102*Tienda!$L102</f>
        <v>91.263999999999996</v>
      </c>
      <c r="N1917" s="3" t="s">
        <v>10039</v>
      </c>
      <c r="O1917" s="3" t="s">
        <v>10041</v>
      </c>
      <c r="P1917" s="17">
        <v>45378</v>
      </c>
      <c r="Q1917" s="4">
        <v>0</v>
      </c>
    </row>
    <row r="1918" spans="1:17" ht="30" x14ac:dyDescent="0.25">
      <c r="A1918" s="2" t="s">
        <v>3188</v>
      </c>
      <c r="B1918" s="3" t="s">
        <v>5015</v>
      </c>
      <c r="C1918" s="3">
        <v>65</v>
      </c>
      <c r="D1918" s="46" t="str">
        <f>IF(Tabla1[[#This Row],[EDAD]]&lt;=35,"Adultos jóvenes 18 - 35 años",IF(C1918&gt;=36,"Adultos mayores 36 años en adelante"))</f>
        <v>Adultos mayores 36 años en adelante</v>
      </c>
      <c r="E1918" s="3" t="s">
        <v>5022</v>
      </c>
      <c r="F1918" s="3" t="s">
        <v>5026</v>
      </c>
      <c r="G1918" s="3" t="s">
        <v>5034</v>
      </c>
      <c r="H1918" s="3" t="s">
        <v>8211</v>
      </c>
      <c r="I1918" s="17">
        <v>45378</v>
      </c>
      <c r="J1918" s="18">
        <f>YEAR(Tabla1[[#This Row],[FECHA DE COMPRA]])</f>
        <v>2024</v>
      </c>
      <c r="K1918" s="19">
        <v>97.61</v>
      </c>
      <c r="L1918" s="20">
        <v>0.3</v>
      </c>
      <c r="M1918" s="19">
        <f>Tienda!$K103-Tienda!$K103*Tienda!$L103</f>
        <v>83.933999999999997</v>
      </c>
      <c r="N1918" s="3" t="s">
        <v>10039</v>
      </c>
      <c r="O1918" s="3" t="s">
        <v>10041</v>
      </c>
      <c r="P1918" s="17">
        <v>45378</v>
      </c>
      <c r="Q1918" s="4">
        <v>0</v>
      </c>
    </row>
    <row r="1919" spans="1:17" ht="30" x14ac:dyDescent="0.25">
      <c r="A1919" s="2" t="s">
        <v>3319</v>
      </c>
      <c r="B1919" s="3" t="s">
        <v>5016</v>
      </c>
      <c r="C1919" s="3">
        <v>62</v>
      </c>
      <c r="D1919" s="46" t="str">
        <f>IF(Tabla1[[#This Row],[EDAD]]&lt;=35,"Adultos jóvenes 18 - 35 años",IF(C1919&gt;=36,"Adultos mayores 36 años en adelante"))</f>
        <v>Adultos mayores 36 años en adelante</v>
      </c>
      <c r="E1919" s="3" t="s">
        <v>5019</v>
      </c>
      <c r="F1919" s="3" t="s">
        <v>5030</v>
      </c>
      <c r="G1919" s="3" t="s">
        <v>5034</v>
      </c>
      <c r="H1919" s="3" t="s">
        <v>8342</v>
      </c>
      <c r="I1919" s="17">
        <v>45378</v>
      </c>
      <c r="J1919" s="18">
        <f>YEAR(Tabla1[[#This Row],[FECHA DE COMPRA]])</f>
        <v>2024</v>
      </c>
      <c r="K1919" s="19">
        <v>140.19999999999999</v>
      </c>
      <c r="L1919" s="20">
        <v>0</v>
      </c>
      <c r="M1919" s="19">
        <f>Tienda!$K104-Tienda!$K104*Tienda!$L104</f>
        <v>158.12</v>
      </c>
      <c r="N1919" s="3" t="s">
        <v>10039</v>
      </c>
      <c r="O1919" s="3" t="s">
        <v>10041</v>
      </c>
      <c r="P1919" s="17">
        <v>45378</v>
      </c>
      <c r="Q1919" s="4">
        <v>0</v>
      </c>
    </row>
    <row r="1920" spans="1:17" ht="30" x14ac:dyDescent="0.25">
      <c r="A1920" s="2" t="s">
        <v>3272</v>
      </c>
      <c r="B1920" s="3" t="s">
        <v>5015</v>
      </c>
      <c r="C1920" s="3">
        <v>49</v>
      </c>
      <c r="D1920" s="46" t="str">
        <f>IF(Tabla1[[#This Row],[EDAD]]&lt;=35,"Adultos jóvenes 18 - 35 años",IF(C1920&gt;=36,"Adultos mayores 36 años en adelante"))</f>
        <v>Adultos mayores 36 años en adelante</v>
      </c>
      <c r="E1920" s="3" t="s">
        <v>5022</v>
      </c>
      <c r="F1920" s="3" t="s">
        <v>5027</v>
      </c>
      <c r="G1920" s="3" t="s">
        <v>5034</v>
      </c>
      <c r="H1920" s="3" t="s">
        <v>8295</v>
      </c>
      <c r="I1920" s="17">
        <v>45382</v>
      </c>
      <c r="J1920" s="18">
        <f>YEAR(Tabla1[[#This Row],[FECHA DE COMPRA]])</f>
        <v>2024</v>
      </c>
      <c r="K1920" s="19">
        <v>133.72</v>
      </c>
      <c r="L1920" s="20">
        <v>0</v>
      </c>
      <c r="M1920" s="19">
        <f>Tienda!$K106-Tienda!$K106*Tienda!$L106</f>
        <v>58.317000000000007</v>
      </c>
      <c r="N1920" s="3" t="s">
        <v>10039</v>
      </c>
      <c r="O1920" s="3" t="s">
        <v>10041</v>
      </c>
      <c r="P1920" s="17">
        <v>45382</v>
      </c>
      <c r="Q1920" s="4">
        <v>0</v>
      </c>
    </row>
    <row r="1921" spans="1:17" ht="30" x14ac:dyDescent="0.25">
      <c r="A1921" s="2" t="s">
        <v>836</v>
      </c>
      <c r="B1921" s="3" t="s">
        <v>5016</v>
      </c>
      <c r="C1921" s="3">
        <v>40</v>
      </c>
      <c r="D1921" s="46" t="str">
        <f>IF(Tabla1[[#This Row],[EDAD]]&lt;=35,"Adultos jóvenes 18 - 35 años",IF(C1921&gt;=36,"Adultos mayores 36 años en adelante"))</f>
        <v>Adultos mayores 36 años en adelante</v>
      </c>
      <c r="E1921" s="3" t="s">
        <v>5023</v>
      </c>
      <c r="F1921" s="3" t="s">
        <v>5030</v>
      </c>
      <c r="G1921" s="3" t="s">
        <v>5034</v>
      </c>
      <c r="H1921" s="3" t="s">
        <v>5859</v>
      </c>
      <c r="I1921" s="17">
        <v>45382</v>
      </c>
      <c r="J1921" s="18">
        <f>YEAR(Tabla1[[#This Row],[FECHA DE COMPRA]])</f>
        <v>2024</v>
      </c>
      <c r="K1921" s="19">
        <v>184.45</v>
      </c>
      <c r="L1921" s="20">
        <v>0</v>
      </c>
      <c r="M1921" s="19">
        <f>Tienda!$K107-Tienda!$K107*Tienda!$L107</f>
        <v>109.16</v>
      </c>
      <c r="N1921" s="3" t="s">
        <v>10039</v>
      </c>
      <c r="O1921" s="3" t="s">
        <v>10041</v>
      </c>
      <c r="P1921" s="17">
        <v>45382</v>
      </c>
      <c r="Q1921" s="4">
        <v>0</v>
      </c>
    </row>
    <row r="1922" spans="1:17" ht="30" x14ac:dyDescent="0.25">
      <c r="A1922" s="2" t="s">
        <v>4718</v>
      </c>
      <c r="B1922" s="3" t="s">
        <v>5015</v>
      </c>
      <c r="C1922" s="3">
        <v>36</v>
      </c>
      <c r="D1922" s="46" t="str">
        <f>IF(Tabla1[[#This Row],[EDAD]]&lt;=35,"Adultos jóvenes 18 - 35 años",IF(C1922&gt;=36,"Adultos mayores 36 años en adelante"))</f>
        <v>Adultos mayores 36 años en adelante</v>
      </c>
      <c r="E1922" s="3" t="s">
        <v>5022</v>
      </c>
      <c r="F1922" s="3" t="s">
        <v>5028</v>
      </c>
      <c r="G1922" s="3" t="s">
        <v>5031</v>
      </c>
      <c r="H1922" s="3" t="s">
        <v>9741</v>
      </c>
      <c r="I1922" s="17">
        <v>45383</v>
      </c>
      <c r="J1922" s="18">
        <f>YEAR(Tabla1[[#This Row],[FECHA DE COMPRA]])</f>
        <v>2024</v>
      </c>
      <c r="K1922" s="19">
        <v>84.9</v>
      </c>
      <c r="L1922" s="20">
        <v>0.2</v>
      </c>
      <c r="M1922" s="19">
        <f>Tienda!$K110-Tienda!$K110*Tienda!$L110</f>
        <v>131.75</v>
      </c>
      <c r="N1922" s="3" t="s">
        <v>10039</v>
      </c>
      <c r="O1922" s="3" t="s">
        <v>10041</v>
      </c>
      <c r="P1922" s="17">
        <v>45383</v>
      </c>
      <c r="Q1922" s="4">
        <v>0</v>
      </c>
    </row>
    <row r="1923" spans="1:17" ht="30" x14ac:dyDescent="0.25">
      <c r="A1923" s="2" t="s">
        <v>557</v>
      </c>
      <c r="B1923" s="3" t="s">
        <v>5015</v>
      </c>
      <c r="C1923" s="3">
        <v>63</v>
      </c>
      <c r="D1923" s="46" t="str">
        <f>IF(Tabla1[[#This Row],[EDAD]]&lt;=35,"Adultos jóvenes 18 - 35 años",IF(C1923&gt;=36,"Adultos mayores 36 años en adelante"))</f>
        <v>Adultos mayores 36 años en adelante</v>
      </c>
      <c r="E1923" s="3" t="s">
        <v>5017</v>
      </c>
      <c r="F1923" s="3" t="s">
        <v>5027</v>
      </c>
      <c r="G1923" s="3" t="s">
        <v>5031</v>
      </c>
      <c r="H1923" s="3" t="s">
        <v>5580</v>
      </c>
      <c r="I1923" s="17">
        <v>45383</v>
      </c>
      <c r="J1923" s="18">
        <f>YEAR(Tabla1[[#This Row],[FECHA DE COMPRA]])</f>
        <v>2024</v>
      </c>
      <c r="K1923" s="19">
        <v>138.11000000000001</v>
      </c>
      <c r="L1923" s="20">
        <v>0.1</v>
      </c>
      <c r="M1923" s="19">
        <f>Tienda!$K111-Tienda!$K111*Tienda!$L111</f>
        <v>41.650000000000006</v>
      </c>
      <c r="N1923" s="3" t="s">
        <v>10039</v>
      </c>
      <c r="O1923" s="3" t="s">
        <v>10041</v>
      </c>
      <c r="P1923" s="17">
        <v>45383</v>
      </c>
      <c r="Q1923" s="4">
        <v>0</v>
      </c>
    </row>
    <row r="1924" spans="1:17" ht="30" x14ac:dyDescent="0.25">
      <c r="A1924" s="2" t="s">
        <v>2965</v>
      </c>
      <c r="B1924" s="3" t="s">
        <v>5015</v>
      </c>
      <c r="C1924" s="3">
        <v>41</v>
      </c>
      <c r="D1924" s="46" t="str">
        <f>IF(Tabla1[[#This Row],[EDAD]]&lt;=35,"Adultos jóvenes 18 - 35 años",IF(C1924&gt;=36,"Adultos mayores 36 años en adelante"))</f>
        <v>Adultos mayores 36 años en adelante</v>
      </c>
      <c r="E1924" s="3" t="s">
        <v>5018</v>
      </c>
      <c r="F1924" s="3" t="s">
        <v>5028</v>
      </c>
      <c r="G1924" s="3" t="s">
        <v>5033</v>
      </c>
      <c r="H1924" s="3" t="s">
        <v>7988</v>
      </c>
      <c r="I1924" s="17">
        <v>45383</v>
      </c>
      <c r="J1924" s="18">
        <f>YEAR(Tabla1[[#This Row],[FECHA DE COMPRA]])</f>
        <v>2024</v>
      </c>
      <c r="K1924" s="19">
        <v>142.36000000000001</v>
      </c>
      <c r="L1924" s="20">
        <v>0.3</v>
      </c>
      <c r="M1924" s="19">
        <f>Tienda!$K112-Tienda!$K112*Tienda!$L112</f>
        <v>133.29399999999998</v>
      </c>
      <c r="N1924" s="3" t="s">
        <v>10039</v>
      </c>
      <c r="O1924" s="3" t="s">
        <v>10041</v>
      </c>
      <c r="P1924" s="17">
        <v>45383</v>
      </c>
      <c r="Q1924" s="4">
        <v>0</v>
      </c>
    </row>
    <row r="1925" spans="1:17" ht="30" x14ac:dyDescent="0.25">
      <c r="A1925" s="2" t="s">
        <v>2908</v>
      </c>
      <c r="B1925" s="3" t="s">
        <v>5015</v>
      </c>
      <c r="C1925" s="3">
        <v>49</v>
      </c>
      <c r="D1925" s="46" t="str">
        <f>IF(Tabla1[[#This Row],[EDAD]]&lt;=35,"Adultos jóvenes 18 - 35 años",IF(C1925&gt;=36,"Adultos mayores 36 años en adelante"))</f>
        <v>Adultos mayores 36 años en adelante</v>
      </c>
      <c r="E1925" s="3" t="s">
        <v>5019</v>
      </c>
      <c r="F1925" s="3" t="s">
        <v>5026</v>
      </c>
      <c r="G1925" s="3" t="s">
        <v>5032</v>
      </c>
      <c r="H1925" s="3" t="s">
        <v>7931</v>
      </c>
      <c r="I1925" s="17">
        <v>45384</v>
      </c>
      <c r="J1925" s="18">
        <f>YEAR(Tabla1[[#This Row],[FECHA DE COMPRA]])</f>
        <v>2024</v>
      </c>
      <c r="K1925" s="19">
        <v>99.5</v>
      </c>
      <c r="L1925" s="20">
        <v>0</v>
      </c>
      <c r="M1925" s="19">
        <f>Tienda!$K114-Tienda!$K114*Tienda!$L114</f>
        <v>16.208000000000002</v>
      </c>
      <c r="N1925" s="3" t="s">
        <v>10039</v>
      </c>
      <c r="O1925" s="3" t="s">
        <v>10041</v>
      </c>
      <c r="P1925" s="17">
        <v>45384</v>
      </c>
      <c r="Q1925" s="4">
        <v>0</v>
      </c>
    </row>
    <row r="1926" spans="1:17" ht="30" x14ac:dyDescent="0.25">
      <c r="A1926" s="2" t="s">
        <v>3679</v>
      </c>
      <c r="B1926" s="3" t="s">
        <v>5015</v>
      </c>
      <c r="C1926" s="3">
        <v>43</v>
      </c>
      <c r="D1926" s="46" t="str">
        <f>IF(Tabla1[[#This Row],[EDAD]]&lt;=35,"Adultos jóvenes 18 - 35 años",IF(C1926&gt;=36,"Adultos mayores 36 años en adelante"))</f>
        <v>Adultos mayores 36 años en adelante</v>
      </c>
      <c r="E1926" s="3" t="s">
        <v>5018</v>
      </c>
      <c r="F1926" s="3" t="s">
        <v>5029</v>
      </c>
      <c r="G1926" s="3" t="s">
        <v>5035</v>
      </c>
      <c r="H1926" s="3" t="s">
        <v>8702</v>
      </c>
      <c r="I1926" s="17">
        <v>45384</v>
      </c>
      <c r="J1926" s="18">
        <f>YEAR(Tabla1[[#This Row],[FECHA DE COMPRA]])</f>
        <v>2024</v>
      </c>
      <c r="K1926" s="19">
        <v>123.51</v>
      </c>
      <c r="L1926" s="20">
        <v>0.2</v>
      </c>
      <c r="M1926" s="19">
        <f>Tienda!$K115-Tienda!$K115*Tienda!$L115</f>
        <v>102.13</v>
      </c>
      <c r="N1926" s="3" t="s">
        <v>10039</v>
      </c>
      <c r="O1926" s="3" t="s">
        <v>10041</v>
      </c>
      <c r="P1926" s="17">
        <v>45384</v>
      </c>
      <c r="Q1926" s="4">
        <v>0</v>
      </c>
    </row>
    <row r="1927" spans="1:17" ht="30" x14ac:dyDescent="0.25">
      <c r="A1927" s="2" t="s">
        <v>1899</v>
      </c>
      <c r="B1927" s="3" t="s">
        <v>5015</v>
      </c>
      <c r="C1927" s="3">
        <v>54</v>
      </c>
      <c r="D1927" s="46" t="str">
        <f>IF(Tabla1[[#This Row],[EDAD]]&lt;=35,"Adultos jóvenes 18 - 35 años",IF(C1927&gt;=36,"Adultos mayores 36 años en adelante"))</f>
        <v>Adultos mayores 36 años en adelante</v>
      </c>
      <c r="E1927" s="3" t="s">
        <v>5017</v>
      </c>
      <c r="F1927" s="3" t="s">
        <v>5024</v>
      </c>
      <c r="G1927" s="3" t="s">
        <v>5032</v>
      </c>
      <c r="H1927" s="3" t="s">
        <v>6922</v>
      </c>
      <c r="I1927" s="17">
        <v>45384</v>
      </c>
      <c r="J1927" s="18">
        <f>YEAR(Tabla1[[#This Row],[FECHA DE COMPRA]])</f>
        <v>2024</v>
      </c>
      <c r="K1927" s="19">
        <v>138.83000000000001</v>
      </c>
      <c r="L1927" s="20">
        <v>0</v>
      </c>
      <c r="M1927" s="19">
        <f>Tienda!$K116-Tienda!$K116*Tienda!$L116</f>
        <v>80.287999999999997</v>
      </c>
      <c r="N1927" s="3" t="s">
        <v>10039</v>
      </c>
      <c r="O1927" s="3" t="s">
        <v>10041</v>
      </c>
      <c r="P1927" s="17">
        <v>45384</v>
      </c>
      <c r="Q1927" s="4">
        <v>0</v>
      </c>
    </row>
    <row r="1928" spans="1:17" ht="30" x14ac:dyDescent="0.25">
      <c r="A1928" s="2" t="s">
        <v>1354</v>
      </c>
      <c r="B1928" s="3" t="s">
        <v>5015</v>
      </c>
      <c r="C1928" s="3">
        <v>48</v>
      </c>
      <c r="D1928" s="46" t="str">
        <f>IF(Tabla1[[#This Row],[EDAD]]&lt;=35,"Adultos jóvenes 18 - 35 años",IF(C1928&gt;=36,"Adultos mayores 36 años en adelante"))</f>
        <v>Adultos mayores 36 años en adelante</v>
      </c>
      <c r="E1928" s="3" t="s">
        <v>5020</v>
      </c>
      <c r="F1928" s="3" t="s">
        <v>5024</v>
      </c>
      <c r="G1928" s="3" t="s">
        <v>5035</v>
      </c>
      <c r="H1928" s="3" t="s">
        <v>6377</v>
      </c>
      <c r="I1928" s="17">
        <v>45385</v>
      </c>
      <c r="J1928" s="18">
        <f>YEAR(Tabla1[[#This Row],[FECHA DE COMPRA]])</f>
        <v>2024</v>
      </c>
      <c r="K1928" s="19">
        <v>123.5</v>
      </c>
      <c r="L1928" s="20">
        <v>0.2</v>
      </c>
      <c r="M1928" s="19">
        <f>Tienda!$K118-Tienda!$K118*Tienda!$L118</f>
        <v>34.195</v>
      </c>
      <c r="N1928" s="3" t="s">
        <v>10039</v>
      </c>
      <c r="O1928" s="3" t="s">
        <v>10041</v>
      </c>
      <c r="P1928" s="17">
        <v>45385</v>
      </c>
      <c r="Q1928" s="4">
        <v>0</v>
      </c>
    </row>
    <row r="1929" spans="1:17" ht="30" x14ac:dyDescent="0.25">
      <c r="A1929" s="2" t="s">
        <v>4064</v>
      </c>
      <c r="B1929" s="3" t="s">
        <v>5015</v>
      </c>
      <c r="C1929" s="3">
        <v>48</v>
      </c>
      <c r="D1929" s="46" t="str">
        <f>IF(Tabla1[[#This Row],[EDAD]]&lt;=35,"Adultos jóvenes 18 - 35 años",IF(C1929&gt;=36,"Adultos mayores 36 años en adelante"))</f>
        <v>Adultos mayores 36 años en adelante</v>
      </c>
      <c r="E1929" s="3" t="s">
        <v>5020</v>
      </c>
      <c r="F1929" s="3" t="s">
        <v>5025</v>
      </c>
      <c r="G1929" s="3" t="s">
        <v>5032</v>
      </c>
      <c r="H1929" s="3" t="s">
        <v>9087</v>
      </c>
      <c r="I1929" s="17">
        <v>45387</v>
      </c>
      <c r="J1929" s="18">
        <f>YEAR(Tabla1[[#This Row],[FECHA DE COMPRA]])</f>
        <v>2024</v>
      </c>
      <c r="K1929" s="19">
        <v>193.81</v>
      </c>
      <c r="L1929" s="20">
        <v>0.2</v>
      </c>
      <c r="M1929" s="19">
        <f>Tienda!$K119-Tienda!$K119*Tienda!$L119</f>
        <v>132.46099999999998</v>
      </c>
      <c r="N1929" s="3" t="s">
        <v>10039</v>
      </c>
      <c r="O1929" s="3" t="s">
        <v>10041</v>
      </c>
      <c r="P1929" s="17">
        <v>45387</v>
      </c>
      <c r="Q1929" s="4">
        <v>0</v>
      </c>
    </row>
    <row r="1930" spans="1:17" ht="30" x14ac:dyDescent="0.25">
      <c r="A1930" s="2" t="s">
        <v>287</v>
      </c>
      <c r="B1930" s="3" t="s">
        <v>5015</v>
      </c>
      <c r="C1930" s="3">
        <v>64</v>
      </c>
      <c r="D1930" s="46" t="str">
        <f>IF(Tabla1[[#This Row],[EDAD]]&lt;=35,"Adultos jóvenes 18 - 35 años",IF(C1930&gt;=36,"Adultos mayores 36 años en adelante"))</f>
        <v>Adultos mayores 36 años en adelante</v>
      </c>
      <c r="E1930" s="3" t="s">
        <v>5022</v>
      </c>
      <c r="F1930" s="3" t="s">
        <v>5026</v>
      </c>
      <c r="G1930" s="3" t="s">
        <v>5034</v>
      </c>
      <c r="H1930" s="3" t="s">
        <v>5310</v>
      </c>
      <c r="I1930" s="17">
        <v>45387</v>
      </c>
      <c r="J1930" s="18">
        <f>YEAR(Tabla1[[#This Row],[FECHA DE COMPRA]])</f>
        <v>2024</v>
      </c>
      <c r="K1930" s="19">
        <v>195.14</v>
      </c>
      <c r="L1930" s="20">
        <v>0.3</v>
      </c>
      <c r="M1930" s="19">
        <f>Tienda!$K120-Tienda!$K120*Tienda!$L120</f>
        <v>46.35</v>
      </c>
      <c r="N1930" s="3" t="s">
        <v>10039</v>
      </c>
      <c r="O1930" s="3" t="s">
        <v>10041</v>
      </c>
      <c r="P1930" s="17">
        <v>45387</v>
      </c>
      <c r="Q1930" s="4">
        <v>0</v>
      </c>
    </row>
    <row r="1931" spans="1:17" ht="30" x14ac:dyDescent="0.25">
      <c r="A1931" s="2" t="s">
        <v>1752</v>
      </c>
      <c r="B1931" s="3" t="s">
        <v>5015</v>
      </c>
      <c r="C1931" s="3">
        <v>36</v>
      </c>
      <c r="D1931" s="46" t="str">
        <f>IF(Tabla1[[#This Row],[EDAD]]&lt;=35,"Adultos jóvenes 18 - 35 años",IF(C1931&gt;=36,"Adultos mayores 36 años en adelante"))</f>
        <v>Adultos mayores 36 años en adelante</v>
      </c>
      <c r="E1931" s="3" t="s">
        <v>5020</v>
      </c>
      <c r="F1931" s="3" t="s">
        <v>5025</v>
      </c>
      <c r="G1931" s="3" t="s">
        <v>5033</v>
      </c>
      <c r="H1931" s="3" t="s">
        <v>6775</v>
      </c>
      <c r="I1931" s="17">
        <v>45388</v>
      </c>
      <c r="J1931" s="18">
        <f>YEAR(Tabla1[[#This Row],[FECHA DE COMPRA]])</f>
        <v>2024</v>
      </c>
      <c r="K1931" s="19">
        <v>62.39</v>
      </c>
      <c r="L1931" s="20">
        <v>0.1</v>
      </c>
      <c r="M1931" s="19">
        <f>Tienda!$K121-Tienda!$K121*Tienda!$L121</f>
        <v>60.78</v>
      </c>
      <c r="N1931" s="3" t="s">
        <v>10039</v>
      </c>
      <c r="O1931" s="3" t="s">
        <v>10041</v>
      </c>
      <c r="P1931" s="17">
        <v>45388</v>
      </c>
      <c r="Q1931" s="4">
        <v>0</v>
      </c>
    </row>
    <row r="1932" spans="1:17" ht="30" x14ac:dyDescent="0.25">
      <c r="A1932" s="2" t="s">
        <v>1010</v>
      </c>
      <c r="B1932" s="3" t="s">
        <v>5015</v>
      </c>
      <c r="C1932" s="3">
        <v>61</v>
      </c>
      <c r="D1932" s="46" t="str">
        <f>IF(Tabla1[[#This Row],[EDAD]]&lt;=35,"Adultos jóvenes 18 - 35 años",IF(C1932&gt;=36,"Adultos mayores 36 años en adelante"))</f>
        <v>Adultos mayores 36 años en adelante</v>
      </c>
      <c r="E1932" s="3" t="s">
        <v>5018</v>
      </c>
      <c r="F1932" s="3" t="s">
        <v>5029</v>
      </c>
      <c r="G1932" s="3" t="s">
        <v>5035</v>
      </c>
      <c r="H1932" s="3" t="s">
        <v>6033</v>
      </c>
      <c r="I1932" s="17">
        <v>45389</v>
      </c>
      <c r="J1932" s="18">
        <f>YEAR(Tabla1[[#This Row],[FECHA DE COMPRA]])</f>
        <v>2024</v>
      </c>
      <c r="K1932" s="19">
        <v>55.92</v>
      </c>
      <c r="L1932" s="20">
        <v>0.1</v>
      </c>
      <c r="M1932" s="19">
        <f>Tienda!$K123-Tienda!$K123*Tienda!$L123</f>
        <v>39.335999999999999</v>
      </c>
      <c r="N1932" s="3" t="s">
        <v>10039</v>
      </c>
      <c r="O1932" s="3" t="s">
        <v>10041</v>
      </c>
      <c r="P1932" s="17">
        <v>45389</v>
      </c>
      <c r="Q1932" s="4">
        <v>0</v>
      </c>
    </row>
    <row r="1933" spans="1:17" ht="30" x14ac:dyDescent="0.25">
      <c r="A1933" s="2" t="s">
        <v>253</v>
      </c>
      <c r="B1933" s="3" t="s">
        <v>5015</v>
      </c>
      <c r="C1933" s="3">
        <v>60</v>
      </c>
      <c r="D1933" s="46" t="str">
        <f>IF(Tabla1[[#This Row],[EDAD]]&lt;=35,"Adultos jóvenes 18 - 35 años",IF(C1933&gt;=36,"Adultos mayores 36 años en adelante"))</f>
        <v>Adultos mayores 36 años en adelante</v>
      </c>
      <c r="E1933" s="3" t="s">
        <v>5022</v>
      </c>
      <c r="F1933" s="3" t="s">
        <v>5026</v>
      </c>
      <c r="G1933" s="3" t="s">
        <v>5037</v>
      </c>
      <c r="H1933" s="3" t="s">
        <v>5276</v>
      </c>
      <c r="I1933" s="17">
        <v>45390</v>
      </c>
      <c r="J1933" s="18">
        <f>YEAR(Tabla1[[#This Row],[FECHA DE COMPRA]])</f>
        <v>2024</v>
      </c>
      <c r="K1933" s="19">
        <v>119.62</v>
      </c>
      <c r="L1933" s="20">
        <v>0.1</v>
      </c>
      <c r="M1933" s="19">
        <f>Tienda!$K125-Tienda!$K125*Tienda!$L125</f>
        <v>108.136</v>
      </c>
      <c r="N1933" s="3" t="s">
        <v>10039</v>
      </c>
      <c r="O1933" s="3" t="s">
        <v>10041</v>
      </c>
      <c r="P1933" s="17">
        <v>45390</v>
      </c>
      <c r="Q1933" s="4">
        <v>0</v>
      </c>
    </row>
    <row r="1934" spans="1:17" ht="30" x14ac:dyDescent="0.25">
      <c r="A1934" s="2" t="s">
        <v>4751</v>
      </c>
      <c r="B1934" s="3" t="s">
        <v>5015</v>
      </c>
      <c r="C1934" s="3">
        <v>59</v>
      </c>
      <c r="D1934" s="46" t="str">
        <f>IF(Tabla1[[#This Row],[EDAD]]&lt;=35,"Adultos jóvenes 18 - 35 años",IF(C1934&gt;=36,"Adultos mayores 36 años en adelante"))</f>
        <v>Adultos mayores 36 años en adelante</v>
      </c>
      <c r="E1934" s="3" t="s">
        <v>5022</v>
      </c>
      <c r="F1934" s="3" t="s">
        <v>5024</v>
      </c>
      <c r="G1934" s="3" t="s">
        <v>5035</v>
      </c>
      <c r="H1934" s="3" t="s">
        <v>9774</v>
      </c>
      <c r="I1934" s="17">
        <v>45390</v>
      </c>
      <c r="J1934" s="18">
        <f>YEAR(Tabla1[[#This Row],[FECHA DE COMPRA]])</f>
        <v>2024</v>
      </c>
      <c r="K1934" s="19">
        <v>172.03</v>
      </c>
      <c r="L1934" s="20">
        <v>0.1</v>
      </c>
      <c r="M1934" s="19">
        <f>Tienda!$K126-Tienda!$K126*Tienda!$L126</f>
        <v>153.59399999999999</v>
      </c>
      <c r="N1934" s="3" t="s">
        <v>10039</v>
      </c>
      <c r="O1934" s="3" t="s">
        <v>10041</v>
      </c>
      <c r="P1934" s="17">
        <v>45390</v>
      </c>
      <c r="Q1934" s="4">
        <v>0</v>
      </c>
    </row>
    <row r="1935" spans="1:17" ht="30" x14ac:dyDescent="0.25">
      <c r="A1935" s="2" t="s">
        <v>1693</v>
      </c>
      <c r="B1935" s="3" t="s">
        <v>5016</v>
      </c>
      <c r="C1935" s="3">
        <v>55</v>
      </c>
      <c r="D1935" s="46" t="str">
        <f>IF(Tabla1[[#This Row],[EDAD]]&lt;=35,"Adultos jóvenes 18 - 35 años",IF(C1935&gt;=36,"Adultos mayores 36 años en adelante"))</f>
        <v>Adultos mayores 36 años en adelante</v>
      </c>
      <c r="E1935" s="3" t="s">
        <v>5021</v>
      </c>
      <c r="F1935" s="3" t="s">
        <v>5025</v>
      </c>
      <c r="G1935" s="3" t="s">
        <v>5033</v>
      </c>
      <c r="H1935" s="3" t="s">
        <v>6716</v>
      </c>
      <c r="I1935" s="17">
        <v>45390</v>
      </c>
      <c r="J1935" s="18">
        <f>YEAR(Tabla1[[#This Row],[FECHA DE COMPRA]])</f>
        <v>2024</v>
      </c>
      <c r="K1935" s="19">
        <v>187.86</v>
      </c>
      <c r="L1935" s="20">
        <v>0.2</v>
      </c>
      <c r="M1935" s="19">
        <f>Tienda!$K127-Tienda!$K127*Tienda!$L127</f>
        <v>147.93</v>
      </c>
      <c r="N1935" s="3" t="s">
        <v>10039</v>
      </c>
      <c r="O1935" s="3" t="s">
        <v>10041</v>
      </c>
      <c r="P1935" s="17">
        <v>45390</v>
      </c>
      <c r="Q1935" s="4">
        <v>0</v>
      </c>
    </row>
    <row r="1936" spans="1:17" ht="30" x14ac:dyDescent="0.25">
      <c r="A1936" s="2" t="s">
        <v>3113</v>
      </c>
      <c r="B1936" s="3" t="s">
        <v>5015</v>
      </c>
      <c r="C1936" s="3">
        <v>52</v>
      </c>
      <c r="D1936" s="46" t="str">
        <f>IF(Tabla1[[#This Row],[EDAD]]&lt;=35,"Adultos jóvenes 18 - 35 años",IF(C1936&gt;=36,"Adultos mayores 36 años en adelante"))</f>
        <v>Adultos mayores 36 años en adelante</v>
      </c>
      <c r="E1936" s="3" t="s">
        <v>5019</v>
      </c>
      <c r="F1936" s="3" t="s">
        <v>5030</v>
      </c>
      <c r="G1936" s="3" t="s">
        <v>5034</v>
      </c>
      <c r="H1936" s="3" t="s">
        <v>8136</v>
      </c>
      <c r="I1936" s="17">
        <v>45399</v>
      </c>
      <c r="J1936" s="18">
        <f>YEAR(Tabla1[[#This Row],[FECHA DE COMPRA]])</f>
        <v>2024</v>
      </c>
      <c r="K1936" s="19">
        <v>93.67</v>
      </c>
      <c r="L1936" s="20">
        <v>0.2</v>
      </c>
      <c r="M1936" s="19">
        <f>Tienda!$K131-Tienda!$K131*Tienda!$L131</f>
        <v>78.912000000000006</v>
      </c>
      <c r="N1936" s="3" t="s">
        <v>10039</v>
      </c>
      <c r="O1936" s="3" t="s">
        <v>10041</v>
      </c>
      <c r="P1936" s="17">
        <v>45399</v>
      </c>
      <c r="Q1936" s="4">
        <v>0</v>
      </c>
    </row>
    <row r="1937" spans="1:17" ht="30" x14ac:dyDescent="0.25">
      <c r="A1937" s="2" t="s">
        <v>315</v>
      </c>
      <c r="B1937" s="3" t="s">
        <v>5016</v>
      </c>
      <c r="C1937" s="3">
        <v>56</v>
      </c>
      <c r="D1937" s="46" t="str">
        <f>IF(Tabla1[[#This Row],[EDAD]]&lt;=35,"Adultos jóvenes 18 - 35 años",IF(C1937&gt;=36,"Adultos mayores 36 años en adelante"))</f>
        <v>Adultos mayores 36 años en adelante</v>
      </c>
      <c r="E1937" s="3" t="s">
        <v>5019</v>
      </c>
      <c r="F1937" s="3" t="s">
        <v>5029</v>
      </c>
      <c r="G1937" s="3" t="s">
        <v>5037</v>
      </c>
      <c r="H1937" s="3" t="s">
        <v>5338</v>
      </c>
      <c r="I1937" s="17">
        <v>45399</v>
      </c>
      <c r="J1937" s="18">
        <f>YEAR(Tabla1[[#This Row],[FECHA DE COMPRA]])</f>
        <v>2024</v>
      </c>
      <c r="K1937" s="19">
        <v>138.4</v>
      </c>
      <c r="L1937" s="20">
        <v>0.3</v>
      </c>
      <c r="M1937" s="19">
        <f>Tienda!$K133-Tienda!$K133*Tienda!$L133</f>
        <v>149.27199999999999</v>
      </c>
      <c r="N1937" s="3" t="s">
        <v>10039</v>
      </c>
      <c r="O1937" s="3" t="s">
        <v>10041</v>
      </c>
      <c r="P1937" s="17">
        <v>45399</v>
      </c>
      <c r="Q1937" s="4">
        <v>0</v>
      </c>
    </row>
    <row r="1938" spans="1:17" ht="30" x14ac:dyDescent="0.25">
      <c r="A1938" s="2" t="s">
        <v>985</v>
      </c>
      <c r="B1938" s="3" t="s">
        <v>5015</v>
      </c>
      <c r="C1938" s="3">
        <v>42</v>
      </c>
      <c r="D1938" s="46" t="str">
        <f>IF(Tabla1[[#This Row],[EDAD]]&lt;=35,"Adultos jóvenes 18 - 35 años",IF(C1938&gt;=36,"Adultos mayores 36 años en adelante"))</f>
        <v>Adultos mayores 36 años en adelante</v>
      </c>
      <c r="E1938" s="3" t="s">
        <v>5017</v>
      </c>
      <c r="F1938" s="3" t="s">
        <v>5028</v>
      </c>
      <c r="G1938" s="3" t="s">
        <v>5034</v>
      </c>
      <c r="H1938" s="3" t="s">
        <v>6008</v>
      </c>
      <c r="I1938" s="17">
        <v>45400</v>
      </c>
      <c r="J1938" s="18">
        <f>YEAR(Tabla1[[#This Row],[FECHA DE COMPRA]])</f>
        <v>2024</v>
      </c>
      <c r="K1938" s="19">
        <v>26.58</v>
      </c>
      <c r="L1938" s="20">
        <v>0.1</v>
      </c>
      <c r="M1938" s="19">
        <f>Tienda!$K135-Tienda!$K135*Tienda!$L135</f>
        <v>12.023999999999999</v>
      </c>
      <c r="N1938" s="3" t="s">
        <v>10039</v>
      </c>
      <c r="O1938" s="3" t="s">
        <v>10041</v>
      </c>
      <c r="P1938" s="17">
        <v>45400</v>
      </c>
      <c r="Q1938" s="4">
        <v>0</v>
      </c>
    </row>
    <row r="1939" spans="1:17" ht="30" x14ac:dyDescent="0.25">
      <c r="A1939" s="2" t="s">
        <v>2846</v>
      </c>
      <c r="B1939" s="3" t="s">
        <v>5015</v>
      </c>
      <c r="C1939" s="3">
        <v>55</v>
      </c>
      <c r="D1939" s="46" t="str">
        <f>IF(Tabla1[[#This Row],[EDAD]]&lt;=35,"Adultos jóvenes 18 - 35 años",IF(C1939&gt;=36,"Adultos mayores 36 años en adelante"))</f>
        <v>Adultos mayores 36 años en adelante</v>
      </c>
      <c r="E1939" s="3" t="s">
        <v>5018</v>
      </c>
      <c r="F1939" s="3" t="s">
        <v>5029</v>
      </c>
      <c r="G1939" s="3" t="s">
        <v>5033</v>
      </c>
      <c r="H1939" s="3" t="s">
        <v>7869</v>
      </c>
      <c r="I1939" s="17">
        <v>45400</v>
      </c>
      <c r="J1939" s="18">
        <f>YEAR(Tabla1[[#This Row],[FECHA DE COMPRA]])</f>
        <v>2024</v>
      </c>
      <c r="K1939" s="19">
        <v>199.79</v>
      </c>
      <c r="L1939" s="20">
        <v>0</v>
      </c>
      <c r="M1939" s="19">
        <f>Tienda!$K136-Tienda!$K136*Tienda!$L136</f>
        <v>152.768</v>
      </c>
      <c r="N1939" s="3" t="s">
        <v>10039</v>
      </c>
      <c r="O1939" s="3" t="s">
        <v>10041</v>
      </c>
      <c r="P1939" s="17">
        <v>45400</v>
      </c>
      <c r="Q1939" s="4">
        <v>0</v>
      </c>
    </row>
    <row r="1940" spans="1:17" ht="30" x14ac:dyDescent="0.25">
      <c r="A1940" s="2" t="s">
        <v>4579</v>
      </c>
      <c r="B1940" s="3" t="s">
        <v>5016</v>
      </c>
      <c r="C1940" s="3">
        <v>56</v>
      </c>
      <c r="D1940" s="46" t="str">
        <f>IF(Tabla1[[#This Row],[EDAD]]&lt;=35,"Adultos jóvenes 18 - 35 años",IF(C1940&gt;=36,"Adultos mayores 36 años en adelante"))</f>
        <v>Adultos mayores 36 años en adelante</v>
      </c>
      <c r="E1940" s="3" t="s">
        <v>5023</v>
      </c>
      <c r="F1940" s="3" t="s">
        <v>5028</v>
      </c>
      <c r="G1940" s="3" t="s">
        <v>5035</v>
      </c>
      <c r="H1940" s="3" t="s">
        <v>9602</v>
      </c>
      <c r="I1940" s="17">
        <v>45401</v>
      </c>
      <c r="J1940" s="18">
        <f>YEAR(Tabla1[[#This Row],[FECHA DE COMPRA]])</f>
        <v>2024</v>
      </c>
      <c r="K1940" s="19">
        <v>63.77</v>
      </c>
      <c r="L1940" s="20">
        <v>0.3</v>
      </c>
      <c r="M1940" s="19">
        <f>Tienda!$K137-Tienda!$K137*Tienda!$L137</f>
        <v>39.396000000000001</v>
      </c>
      <c r="N1940" s="3" t="s">
        <v>10039</v>
      </c>
      <c r="O1940" s="3" t="s">
        <v>10041</v>
      </c>
      <c r="P1940" s="17">
        <v>45401</v>
      </c>
      <c r="Q1940" s="4">
        <v>0</v>
      </c>
    </row>
    <row r="1941" spans="1:17" ht="30" x14ac:dyDescent="0.25">
      <c r="A1941" s="2" t="s">
        <v>4613</v>
      </c>
      <c r="B1941" s="3" t="s">
        <v>5016</v>
      </c>
      <c r="C1941" s="3">
        <v>51</v>
      </c>
      <c r="D1941" s="46" t="str">
        <f>IF(Tabla1[[#This Row],[EDAD]]&lt;=35,"Adultos jóvenes 18 - 35 años",IF(C1941&gt;=36,"Adultos mayores 36 años en adelante"))</f>
        <v>Adultos mayores 36 años en adelante</v>
      </c>
      <c r="E1941" s="3" t="s">
        <v>5017</v>
      </c>
      <c r="F1941" s="3" t="s">
        <v>5025</v>
      </c>
      <c r="G1941" s="3" t="s">
        <v>5037</v>
      </c>
      <c r="H1941" s="3" t="s">
        <v>9636</v>
      </c>
      <c r="I1941" s="17">
        <v>45401</v>
      </c>
      <c r="J1941" s="18">
        <f>YEAR(Tabla1[[#This Row],[FECHA DE COMPRA]])</f>
        <v>2024</v>
      </c>
      <c r="K1941" s="19">
        <v>80.989999999999995</v>
      </c>
      <c r="L1941" s="20">
        <v>0.1</v>
      </c>
      <c r="M1941" s="19">
        <f>Tienda!$K138-Tienda!$K138*Tienda!$L138</f>
        <v>109.34400000000001</v>
      </c>
      <c r="N1941" s="3" t="s">
        <v>10039</v>
      </c>
      <c r="O1941" s="3" t="s">
        <v>10041</v>
      </c>
      <c r="P1941" s="17">
        <v>45401</v>
      </c>
      <c r="Q1941" s="4">
        <v>0</v>
      </c>
    </row>
    <row r="1942" spans="1:17" ht="30" x14ac:dyDescent="0.25">
      <c r="A1942" s="2" t="s">
        <v>3392</v>
      </c>
      <c r="B1942" s="3" t="s">
        <v>5015</v>
      </c>
      <c r="C1942" s="3">
        <v>47</v>
      </c>
      <c r="D1942" s="46" t="str">
        <f>IF(Tabla1[[#This Row],[EDAD]]&lt;=35,"Adultos jóvenes 18 - 35 años",IF(C1942&gt;=36,"Adultos mayores 36 años en adelante"))</f>
        <v>Adultos mayores 36 años en adelante</v>
      </c>
      <c r="E1942" s="3" t="s">
        <v>5020</v>
      </c>
      <c r="F1942" s="3" t="s">
        <v>5027</v>
      </c>
      <c r="G1942" s="3" t="s">
        <v>5036</v>
      </c>
      <c r="H1942" s="3" t="s">
        <v>8415</v>
      </c>
      <c r="I1942" s="17">
        <v>45406</v>
      </c>
      <c r="J1942" s="18">
        <f>YEAR(Tabla1[[#This Row],[FECHA DE COMPRA]])</f>
        <v>2024</v>
      </c>
      <c r="K1942" s="19">
        <v>107.48</v>
      </c>
      <c r="L1942" s="20">
        <v>0.3</v>
      </c>
      <c r="M1942" s="19">
        <f>Tienda!$K141-Tienda!$K141*Tienda!$L141</f>
        <v>107.19200000000001</v>
      </c>
      <c r="N1942" s="3" t="s">
        <v>10039</v>
      </c>
      <c r="O1942" s="3" t="s">
        <v>10041</v>
      </c>
      <c r="P1942" s="17">
        <v>45406</v>
      </c>
      <c r="Q1942" s="4">
        <v>0</v>
      </c>
    </row>
    <row r="1943" spans="1:17" ht="30" x14ac:dyDescent="0.25">
      <c r="A1943" s="2" t="s">
        <v>4671</v>
      </c>
      <c r="B1943" s="3" t="s">
        <v>5016</v>
      </c>
      <c r="C1943" s="3">
        <v>58</v>
      </c>
      <c r="D1943" s="46" t="str">
        <f>IF(Tabla1[[#This Row],[EDAD]]&lt;=35,"Adultos jóvenes 18 - 35 años",IF(C1943&gt;=36,"Adultos mayores 36 años en adelante"))</f>
        <v>Adultos mayores 36 años en adelante</v>
      </c>
      <c r="E1943" s="3" t="s">
        <v>5017</v>
      </c>
      <c r="F1943" s="3" t="s">
        <v>5026</v>
      </c>
      <c r="G1943" s="3" t="s">
        <v>5034</v>
      </c>
      <c r="H1943" s="3" t="s">
        <v>9694</v>
      </c>
      <c r="I1943" s="17">
        <v>45407</v>
      </c>
      <c r="J1943" s="18">
        <f>YEAR(Tabla1[[#This Row],[FECHA DE COMPRA]])</f>
        <v>2024</v>
      </c>
      <c r="K1943" s="19">
        <v>50.88</v>
      </c>
      <c r="L1943" s="20">
        <v>0</v>
      </c>
      <c r="M1943" s="19">
        <f>Tienda!$K145-Tienda!$K145*Tienda!$L145</f>
        <v>46.54</v>
      </c>
      <c r="N1943" s="3" t="s">
        <v>10039</v>
      </c>
      <c r="O1943" s="3" t="s">
        <v>10041</v>
      </c>
      <c r="P1943" s="17">
        <v>45407</v>
      </c>
      <c r="Q1943" s="4">
        <v>0</v>
      </c>
    </row>
    <row r="1944" spans="1:17" ht="30" x14ac:dyDescent="0.25">
      <c r="A1944" s="2" t="s">
        <v>2430</v>
      </c>
      <c r="B1944" s="3" t="s">
        <v>5015</v>
      </c>
      <c r="C1944" s="3">
        <v>48</v>
      </c>
      <c r="D1944" s="46" t="str">
        <f>IF(Tabla1[[#This Row],[EDAD]]&lt;=35,"Adultos jóvenes 18 - 35 años",IF(C1944&gt;=36,"Adultos mayores 36 años en adelante"))</f>
        <v>Adultos mayores 36 años en adelante</v>
      </c>
      <c r="E1944" s="3" t="s">
        <v>5023</v>
      </c>
      <c r="F1944" s="3" t="s">
        <v>5028</v>
      </c>
      <c r="G1944" s="3" t="s">
        <v>5031</v>
      </c>
      <c r="H1944" s="3" t="s">
        <v>7453</v>
      </c>
      <c r="I1944" s="17">
        <v>45407</v>
      </c>
      <c r="J1944" s="18">
        <f>YEAR(Tabla1[[#This Row],[FECHA DE COMPRA]])</f>
        <v>2024</v>
      </c>
      <c r="K1944" s="19">
        <v>146.15</v>
      </c>
      <c r="L1944" s="20">
        <v>0.3</v>
      </c>
      <c r="M1944" s="19">
        <f>Tienda!$K147-Tienda!$K147*Tienda!$L147</f>
        <v>53.018999999999998</v>
      </c>
      <c r="N1944" s="3" t="s">
        <v>10039</v>
      </c>
      <c r="O1944" s="3" t="s">
        <v>10041</v>
      </c>
      <c r="P1944" s="17">
        <v>45407</v>
      </c>
      <c r="Q1944" s="4">
        <v>0</v>
      </c>
    </row>
    <row r="1945" spans="1:17" ht="30" x14ac:dyDescent="0.25">
      <c r="A1945" s="2" t="s">
        <v>23</v>
      </c>
      <c r="B1945" s="3" t="s">
        <v>5015</v>
      </c>
      <c r="C1945" s="3">
        <v>53</v>
      </c>
      <c r="D1945" s="46" t="str">
        <f>IF(Tabla1[[#This Row],[EDAD]]&lt;=35,"Adultos jóvenes 18 - 35 años",IF(C1945&gt;=36,"Adultos mayores 36 años en adelante"))</f>
        <v>Adultos mayores 36 años en adelante</v>
      </c>
      <c r="E1945" s="3" t="s">
        <v>5022</v>
      </c>
      <c r="F1945" s="3" t="s">
        <v>5025</v>
      </c>
      <c r="G1945" s="3" t="s">
        <v>5032</v>
      </c>
      <c r="H1945" s="3" t="s">
        <v>5046</v>
      </c>
      <c r="I1945" s="17">
        <v>45407</v>
      </c>
      <c r="J1945" s="18">
        <f>YEAR(Tabla1[[#This Row],[FECHA DE COMPRA]])</f>
        <v>2024</v>
      </c>
      <c r="K1945" s="19">
        <v>173.72</v>
      </c>
      <c r="L1945" s="20">
        <v>0</v>
      </c>
      <c r="M1945" s="19">
        <f>Tienda!$K148-Tienda!$K148*Tienda!$L148</f>
        <v>60.18</v>
      </c>
      <c r="N1945" s="3" t="s">
        <v>10039</v>
      </c>
      <c r="O1945" s="3" t="s">
        <v>10041</v>
      </c>
      <c r="P1945" s="17">
        <v>45407</v>
      </c>
      <c r="Q1945" s="4">
        <v>0</v>
      </c>
    </row>
    <row r="1946" spans="1:17" ht="30" x14ac:dyDescent="0.25">
      <c r="A1946" s="2" t="s">
        <v>2343</v>
      </c>
      <c r="B1946" s="3" t="s">
        <v>5015</v>
      </c>
      <c r="C1946" s="3">
        <v>47</v>
      </c>
      <c r="D1946" s="46" t="str">
        <f>IF(Tabla1[[#This Row],[EDAD]]&lt;=35,"Adultos jóvenes 18 - 35 años",IF(C1946&gt;=36,"Adultos mayores 36 años en adelante"))</f>
        <v>Adultos mayores 36 años en adelante</v>
      </c>
      <c r="E1946" s="3" t="s">
        <v>5017</v>
      </c>
      <c r="F1946" s="3" t="s">
        <v>5029</v>
      </c>
      <c r="G1946" s="3" t="s">
        <v>5034</v>
      </c>
      <c r="H1946" s="3" t="s">
        <v>7366</v>
      </c>
      <c r="I1946" s="17">
        <v>45408</v>
      </c>
      <c r="J1946" s="18">
        <f>YEAR(Tabla1[[#This Row],[FECHA DE COMPRA]])</f>
        <v>2024</v>
      </c>
      <c r="K1946" s="19">
        <v>70.17</v>
      </c>
      <c r="L1946" s="20">
        <v>0</v>
      </c>
      <c r="M1946" s="19">
        <f>Tienda!$K149-Tienda!$K149*Tienda!$L149</f>
        <v>50.819999999999993</v>
      </c>
      <c r="N1946" s="3" t="s">
        <v>10039</v>
      </c>
      <c r="O1946" s="3" t="s">
        <v>10041</v>
      </c>
      <c r="P1946" s="17">
        <v>45408</v>
      </c>
      <c r="Q1946" s="4">
        <v>0</v>
      </c>
    </row>
    <row r="1947" spans="1:17" ht="30" x14ac:dyDescent="0.25">
      <c r="A1947" s="2" t="s">
        <v>4088</v>
      </c>
      <c r="B1947" s="3" t="s">
        <v>5015</v>
      </c>
      <c r="C1947" s="3">
        <v>62</v>
      </c>
      <c r="D1947" s="46" t="str">
        <f>IF(Tabla1[[#This Row],[EDAD]]&lt;=35,"Adultos jóvenes 18 - 35 años",IF(C1947&gt;=36,"Adultos mayores 36 años en adelante"))</f>
        <v>Adultos mayores 36 años en adelante</v>
      </c>
      <c r="E1947" s="3" t="s">
        <v>5018</v>
      </c>
      <c r="F1947" s="3" t="s">
        <v>5030</v>
      </c>
      <c r="G1947" s="3" t="s">
        <v>5032</v>
      </c>
      <c r="H1947" s="3" t="s">
        <v>9111</v>
      </c>
      <c r="I1947" s="17">
        <v>45412</v>
      </c>
      <c r="J1947" s="18">
        <f>YEAR(Tabla1[[#This Row],[FECHA DE COMPRA]])</f>
        <v>2024</v>
      </c>
      <c r="K1947" s="19">
        <v>154.32</v>
      </c>
      <c r="L1947" s="20">
        <v>0.3</v>
      </c>
      <c r="M1947" s="19">
        <f>Tienda!$K150-Tienda!$K150*Tienda!$L150</f>
        <v>183.37</v>
      </c>
      <c r="N1947" s="3" t="s">
        <v>10039</v>
      </c>
      <c r="O1947" s="3" t="s">
        <v>10041</v>
      </c>
      <c r="P1947" s="17">
        <v>45412</v>
      </c>
      <c r="Q1947" s="4">
        <v>0</v>
      </c>
    </row>
    <row r="1948" spans="1:17" ht="30" x14ac:dyDescent="0.25">
      <c r="A1948" s="2" t="s">
        <v>4476</v>
      </c>
      <c r="B1948" s="3" t="s">
        <v>5015</v>
      </c>
      <c r="C1948" s="3">
        <v>57</v>
      </c>
      <c r="D1948" s="46" t="str">
        <f>IF(Tabla1[[#This Row],[EDAD]]&lt;=35,"Adultos jóvenes 18 - 35 años",IF(C1948&gt;=36,"Adultos mayores 36 años en adelante"))</f>
        <v>Adultos mayores 36 años en adelante</v>
      </c>
      <c r="E1948" s="3" t="s">
        <v>5022</v>
      </c>
      <c r="F1948" s="3" t="s">
        <v>5027</v>
      </c>
      <c r="G1948" s="3" t="s">
        <v>5035</v>
      </c>
      <c r="H1948" s="3" t="s">
        <v>9499</v>
      </c>
      <c r="I1948" s="17">
        <v>45413</v>
      </c>
      <c r="J1948" s="18">
        <f>YEAR(Tabla1[[#This Row],[FECHA DE COMPRA]])</f>
        <v>2024</v>
      </c>
      <c r="K1948" s="19">
        <v>72.89</v>
      </c>
      <c r="L1948" s="20">
        <v>0.3</v>
      </c>
      <c r="M1948" s="19">
        <f>Tienda!$K151-Tienda!$K151*Tienda!$L151</f>
        <v>99.028999999999996</v>
      </c>
      <c r="N1948" s="3" t="s">
        <v>10039</v>
      </c>
      <c r="O1948" s="3" t="s">
        <v>10041</v>
      </c>
      <c r="P1948" s="17">
        <v>45413</v>
      </c>
      <c r="Q1948" s="4">
        <v>0</v>
      </c>
    </row>
    <row r="1949" spans="1:17" ht="30" x14ac:dyDescent="0.25">
      <c r="A1949" s="2" t="s">
        <v>4553</v>
      </c>
      <c r="B1949" s="3" t="s">
        <v>5016</v>
      </c>
      <c r="C1949" s="3">
        <v>44</v>
      </c>
      <c r="D1949" s="46" t="str">
        <f>IF(Tabla1[[#This Row],[EDAD]]&lt;=35,"Adultos jóvenes 18 - 35 años",IF(C1949&gt;=36,"Adultos mayores 36 años en adelante"))</f>
        <v>Adultos mayores 36 años en adelante</v>
      </c>
      <c r="E1949" s="3" t="s">
        <v>5019</v>
      </c>
      <c r="F1949" s="3" t="s">
        <v>5025</v>
      </c>
      <c r="G1949" s="3" t="s">
        <v>5031</v>
      </c>
      <c r="H1949" s="3" t="s">
        <v>9576</v>
      </c>
      <c r="I1949" s="17">
        <v>45413</v>
      </c>
      <c r="J1949" s="18">
        <f>YEAR(Tabla1[[#This Row],[FECHA DE COMPRA]])</f>
        <v>2024</v>
      </c>
      <c r="K1949" s="19">
        <v>146.91</v>
      </c>
      <c r="L1949" s="20">
        <v>0</v>
      </c>
      <c r="M1949" s="19">
        <f>Tienda!$K152-Tienda!$K152*Tienda!$L152</f>
        <v>19.340999999999998</v>
      </c>
      <c r="N1949" s="3" t="s">
        <v>10039</v>
      </c>
      <c r="O1949" s="3" t="s">
        <v>10041</v>
      </c>
      <c r="P1949" s="17">
        <v>45413</v>
      </c>
      <c r="Q1949" s="4">
        <v>0</v>
      </c>
    </row>
    <row r="1950" spans="1:17" ht="30" x14ac:dyDescent="0.25">
      <c r="A1950" s="2" t="s">
        <v>3158</v>
      </c>
      <c r="B1950" s="3" t="s">
        <v>5016</v>
      </c>
      <c r="C1950" s="3">
        <v>58</v>
      </c>
      <c r="D1950" s="46" t="str">
        <f>IF(Tabla1[[#This Row],[EDAD]]&lt;=35,"Adultos jóvenes 18 - 35 años",IF(C1950&gt;=36,"Adultos mayores 36 años en adelante"))</f>
        <v>Adultos mayores 36 años en adelante</v>
      </c>
      <c r="E1950" s="3" t="s">
        <v>5023</v>
      </c>
      <c r="F1950" s="3" t="s">
        <v>5025</v>
      </c>
      <c r="G1950" s="3" t="s">
        <v>5031</v>
      </c>
      <c r="H1950" s="3" t="s">
        <v>8181</v>
      </c>
      <c r="I1950" s="17">
        <v>45413</v>
      </c>
      <c r="J1950" s="18">
        <f>YEAR(Tabla1[[#This Row],[FECHA DE COMPRA]])</f>
        <v>2024</v>
      </c>
      <c r="K1950" s="19">
        <v>184.38</v>
      </c>
      <c r="L1950" s="20">
        <v>0.2</v>
      </c>
      <c r="M1950" s="19">
        <f>Tienda!$K153-Tienda!$K153*Tienda!$L153</f>
        <v>169.51</v>
      </c>
      <c r="N1950" s="3" t="s">
        <v>10039</v>
      </c>
      <c r="O1950" s="3" t="s">
        <v>10041</v>
      </c>
      <c r="P1950" s="17">
        <v>45413</v>
      </c>
      <c r="Q1950" s="4">
        <v>0</v>
      </c>
    </row>
    <row r="1951" spans="1:17" ht="30" x14ac:dyDescent="0.25">
      <c r="A1951" s="2" t="s">
        <v>1373</v>
      </c>
      <c r="B1951" s="3" t="s">
        <v>5015</v>
      </c>
      <c r="C1951" s="3">
        <v>50</v>
      </c>
      <c r="D1951" s="46" t="str">
        <f>IF(Tabla1[[#This Row],[EDAD]]&lt;=35,"Adultos jóvenes 18 - 35 años",IF(C1951&gt;=36,"Adultos mayores 36 años en adelante"))</f>
        <v>Adultos mayores 36 años en adelante</v>
      </c>
      <c r="E1951" s="3" t="s">
        <v>5018</v>
      </c>
      <c r="F1951" s="3" t="s">
        <v>5030</v>
      </c>
      <c r="G1951" s="3" t="s">
        <v>5036</v>
      </c>
      <c r="H1951" s="3" t="s">
        <v>6396</v>
      </c>
      <c r="I1951" s="17">
        <v>45414</v>
      </c>
      <c r="J1951" s="18">
        <f>YEAR(Tabla1[[#This Row],[FECHA DE COMPRA]])</f>
        <v>2024</v>
      </c>
      <c r="K1951" s="19">
        <v>33.049999999999997</v>
      </c>
      <c r="L1951" s="20">
        <v>0</v>
      </c>
      <c r="M1951" s="19">
        <f>Tienda!$K154-Tienda!$K154*Tienda!$L154</f>
        <v>66.760000000000005</v>
      </c>
      <c r="N1951" s="3" t="s">
        <v>10039</v>
      </c>
      <c r="O1951" s="3" t="s">
        <v>10041</v>
      </c>
      <c r="P1951" s="17">
        <v>45414</v>
      </c>
      <c r="Q1951" s="4">
        <v>0</v>
      </c>
    </row>
    <row r="1952" spans="1:17" ht="30" x14ac:dyDescent="0.25">
      <c r="A1952" s="2" t="s">
        <v>122</v>
      </c>
      <c r="B1952" s="3" t="s">
        <v>5015</v>
      </c>
      <c r="C1952" s="3">
        <v>40</v>
      </c>
      <c r="D1952" s="46" t="str">
        <f>IF(Tabla1[[#This Row],[EDAD]]&lt;=35,"Adultos jóvenes 18 - 35 años",IF(C1952&gt;=36,"Adultos mayores 36 años en adelante"))</f>
        <v>Adultos mayores 36 años en adelante</v>
      </c>
      <c r="E1952" s="3" t="s">
        <v>5018</v>
      </c>
      <c r="F1952" s="3" t="s">
        <v>5029</v>
      </c>
      <c r="G1952" s="3" t="s">
        <v>5031</v>
      </c>
      <c r="H1952" s="3" t="s">
        <v>5145</v>
      </c>
      <c r="I1952" s="17">
        <v>45414</v>
      </c>
      <c r="J1952" s="18">
        <f>YEAR(Tabla1[[#This Row],[FECHA DE COMPRA]])</f>
        <v>2024</v>
      </c>
      <c r="K1952" s="19">
        <v>67.2</v>
      </c>
      <c r="L1952" s="20">
        <v>0.1</v>
      </c>
      <c r="M1952" s="19">
        <f>Tienda!$K156-Tienda!$K156*Tienda!$L156</f>
        <v>69.069000000000003</v>
      </c>
      <c r="N1952" s="3" t="s">
        <v>10039</v>
      </c>
      <c r="O1952" s="3" t="s">
        <v>10041</v>
      </c>
      <c r="P1952" s="17">
        <v>45414</v>
      </c>
      <c r="Q1952" s="4">
        <v>0</v>
      </c>
    </row>
    <row r="1953" spans="1:17" ht="30" x14ac:dyDescent="0.25">
      <c r="A1953" s="2" t="s">
        <v>1317</v>
      </c>
      <c r="B1953" s="3" t="s">
        <v>5015</v>
      </c>
      <c r="C1953" s="3">
        <v>45</v>
      </c>
      <c r="D1953" s="46" t="str">
        <f>IF(Tabla1[[#This Row],[EDAD]]&lt;=35,"Adultos jóvenes 18 - 35 años",IF(C1953&gt;=36,"Adultos mayores 36 años en adelante"))</f>
        <v>Adultos mayores 36 años en adelante</v>
      </c>
      <c r="E1953" s="3" t="s">
        <v>5023</v>
      </c>
      <c r="F1953" s="3" t="s">
        <v>5026</v>
      </c>
      <c r="G1953" s="3" t="s">
        <v>5031</v>
      </c>
      <c r="H1953" s="3" t="s">
        <v>6340</v>
      </c>
      <c r="I1953" s="17">
        <v>45414</v>
      </c>
      <c r="J1953" s="18">
        <f>YEAR(Tabla1[[#This Row],[FECHA DE COMPRA]])</f>
        <v>2024</v>
      </c>
      <c r="K1953" s="19">
        <v>82.9</v>
      </c>
      <c r="L1953" s="20">
        <v>0.2</v>
      </c>
      <c r="M1953" s="19">
        <f>Tienda!$K157-Tienda!$K157*Tienda!$L157</f>
        <v>27.48</v>
      </c>
      <c r="N1953" s="3" t="s">
        <v>10039</v>
      </c>
      <c r="O1953" s="3" t="s">
        <v>10041</v>
      </c>
      <c r="P1953" s="17">
        <v>45414</v>
      </c>
      <c r="Q1953" s="4">
        <v>0</v>
      </c>
    </row>
    <row r="1954" spans="1:17" ht="30" x14ac:dyDescent="0.25">
      <c r="A1954" s="2" t="s">
        <v>4445</v>
      </c>
      <c r="B1954" s="3" t="s">
        <v>5015</v>
      </c>
      <c r="C1954" s="3">
        <v>64</v>
      </c>
      <c r="D1954" s="46" t="str">
        <f>IF(Tabla1[[#This Row],[EDAD]]&lt;=35,"Adultos jóvenes 18 - 35 años",IF(C1954&gt;=36,"Adultos mayores 36 años en adelante"))</f>
        <v>Adultos mayores 36 años en adelante</v>
      </c>
      <c r="E1954" s="3" t="s">
        <v>5017</v>
      </c>
      <c r="F1954" s="3" t="s">
        <v>5026</v>
      </c>
      <c r="G1954" s="3" t="s">
        <v>5037</v>
      </c>
      <c r="H1954" s="3" t="s">
        <v>9468</v>
      </c>
      <c r="I1954" s="17">
        <v>45414</v>
      </c>
      <c r="J1954" s="18">
        <f>YEAR(Tabla1[[#This Row],[FECHA DE COMPRA]])</f>
        <v>2024</v>
      </c>
      <c r="K1954" s="19">
        <v>103.82</v>
      </c>
      <c r="L1954" s="20">
        <v>0.1</v>
      </c>
      <c r="M1954" s="19">
        <f>Tienda!$K158-Tienda!$K158*Tienda!$L158</f>
        <v>81.328000000000003</v>
      </c>
      <c r="N1954" s="3" t="s">
        <v>10039</v>
      </c>
      <c r="O1954" s="3" t="s">
        <v>10041</v>
      </c>
      <c r="P1954" s="17">
        <v>45414</v>
      </c>
      <c r="Q1954" s="4">
        <v>0</v>
      </c>
    </row>
    <row r="1955" spans="1:17" ht="30" x14ac:dyDescent="0.25">
      <c r="A1955" s="2" t="s">
        <v>635</v>
      </c>
      <c r="B1955" s="3" t="s">
        <v>5016</v>
      </c>
      <c r="C1955" s="3">
        <v>64</v>
      </c>
      <c r="D1955" s="46" t="str">
        <f>IF(Tabla1[[#This Row],[EDAD]]&lt;=35,"Adultos jóvenes 18 - 35 años",IF(C1955&gt;=36,"Adultos mayores 36 años en adelante"))</f>
        <v>Adultos mayores 36 años en adelante</v>
      </c>
      <c r="E1955" s="3" t="s">
        <v>5021</v>
      </c>
      <c r="F1955" s="3" t="s">
        <v>5025</v>
      </c>
      <c r="G1955" s="3" t="s">
        <v>5033</v>
      </c>
      <c r="H1955" s="3" t="s">
        <v>5658</v>
      </c>
      <c r="I1955" s="17">
        <v>45415</v>
      </c>
      <c r="J1955" s="18">
        <f>YEAR(Tabla1[[#This Row],[FECHA DE COMPRA]])</f>
        <v>2024</v>
      </c>
      <c r="K1955" s="19">
        <v>19.13</v>
      </c>
      <c r="L1955" s="20">
        <v>0</v>
      </c>
      <c r="M1955" s="19">
        <f>Tienda!$K161-Tienda!$K161*Tienda!$L161</f>
        <v>115.2</v>
      </c>
      <c r="N1955" s="3" t="s">
        <v>10039</v>
      </c>
      <c r="O1955" s="3" t="s">
        <v>10041</v>
      </c>
      <c r="P1955" s="17">
        <v>45415</v>
      </c>
      <c r="Q1955" s="4">
        <v>0</v>
      </c>
    </row>
    <row r="1956" spans="1:17" ht="30" x14ac:dyDescent="0.25">
      <c r="A1956" s="2" t="s">
        <v>3460</v>
      </c>
      <c r="B1956" s="3" t="s">
        <v>5015</v>
      </c>
      <c r="C1956" s="3">
        <v>56</v>
      </c>
      <c r="D1956" s="46" t="str">
        <f>IF(Tabla1[[#This Row],[EDAD]]&lt;=35,"Adultos jóvenes 18 - 35 años",IF(C1956&gt;=36,"Adultos mayores 36 años en adelante"))</f>
        <v>Adultos mayores 36 años en adelante</v>
      </c>
      <c r="E1956" s="3" t="s">
        <v>5019</v>
      </c>
      <c r="F1956" s="3" t="s">
        <v>5025</v>
      </c>
      <c r="G1956" s="3" t="s">
        <v>5037</v>
      </c>
      <c r="H1956" s="3" t="s">
        <v>8483</v>
      </c>
      <c r="I1956" s="17">
        <v>45415</v>
      </c>
      <c r="J1956" s="18">
        <f>YEAR(Tabla1[[#This Row],[FECHA DE COMPRA]])</f>
        <v>2024</v>
      </c>
      <c r="K1956" s="19">
        <v>80.44</v>
      </c>
      <c r="L1956" s="20">
        <v>0.2</v>
      </c>
      <c r="M1956" s="19">
        <f>Tienda!$K162-Tienda!$K162*Tienda!$L162</f>
        <v>115.88399999999999</v>
      </c>
      <c r="N1956" s="3" t="s">
        <v>10039</v>
      </c>
      <c r="O1956" s="3" t="s">
        <v>10041</v>
      </c>
      <c r="P1956" s="17">
        <v>45415</v>
      </c>
      <c r="Q1956" s="4">
        <v>0</v>
      </c>
    </row>
    <row r="1957" spans="1:17" ht="30" x14ac:dyDescent="0.25">
      <c r="A1957" s="2" t="s">
        <v>264</v>
      </c>
      <c r="B1957" s="3" t="s">
        <v>5015</v>
      </c>
      <c r="C1957" s="3">
        <v>37</v>
      </c>
      <c r="D1957" s="46" t="str">
        <f>IF(Tabla1[[#This Row],[EDAD]]&lt;=35,"Adultos jóvenes 18 - 35 años",IF(C1957&gt;=36,"Adultos mayores 36 años en adelante"))</f>
        <v>Adultos mayores 36 años en adelante</v>
      </c>
      <c r="E1957" s="3" t="s">
        <v>5020</v>
      </c>
      <c r="F1957" s="3" t="s">
        <v>5024</v>
      </c>
      <c r="G1957" s="3" t="s">
        <v>5031</v>
      </c>
      <c r="H1957" s="3" t="s">
        <v>5287</v>
      </c>
      <c r="I1957" s="17">
        <v>45415</v>
      </c>
      <c r="J1957" s="18">
        <f>YEAR(Tabla1[[#This Row],[FECHA DE COMPRA]])</f>
        <v>2024</v>
      </c>
      <c r="K1957" s="19">
        <v>109.08</v>
      </c>
      <c r="L1957" s="20">
        <v>0.2</v>
      </c>
      <c r="M1957" s="19">
        <f>Tienda!$K163-Tienda!$K163*Tienda!$L163</f>
        <v>150.392</v>
      </c>
      <c r="N1957" s="3" t="s">
        <v>10039</v>
      </c>
      <c r="O1957" s="3" t="s">
        <v>10041</v>
      </c>
      <c r="P1957" s="17">
        <v>45415</v>
      </c>
      <c r="Q1957" s="4">
        <v>0</v>
      </c>
    </row>
    <row r="1958" spans="1:17" ht="30" x14ac:dyDescent="0.25">
      <c r="A1958" s="2" t="s">
        <v>3008</v>
      </c>
      <c r="B1958" s="3" t="s">
        <v>5015</v>
      </c>
      <c r="C1958" s="3">
        <v>64</v>
      </c>
      <c r="D1958" s="46" t="str">
        <f>IF(Tabla1[[#This Row],[EDAD]]&lt;=35,"Adultos jóvenes 18 - 35 años",IF(C1958&gt;=36,"Adultos mayores 36 años en adelante"))</f>
        <v>Adultos mayores 36 años en adelante</v>
      </c>
      <c r="E1958" s="3" t="s">
        <v>5018</v>
      </c>
      <c r="F1958" s="3" t="s">
        <v>5028</v>
      </c>
      <c r="G1958" s="3" t="s">
        <v>5035</v>
      </c>
      <c r="H1958" s="3" t="s">
        <v>8031</v>
      </c>
      <c r="I1958" s="17">
        <v>45415</v>
      </c>
      <c r="J1958" s="18">
        <f>YEAR(Tabla1[[#This Row],[FECHA DE COMPRA]])</f>
        <v>2024</v>
      </c>
      <c r="K1958" s="19">
        <v>121.57</v>
      </c>
      <c r="L1958" s="20">
        <v>0.2</v>
      </c>
      <c r="M1958" s="19">
        <f>Tienda!$K164-Tienda!$K164*Tienda!$L164</f>
        <v>16.670000000000002</v>
      </c>
      <c r="N1958" s="3" t="s">
        <v>10039</v>
      </c>
      <c r="O1958" s="3" t="s">
        <v>10041</v>
      </c>
      <c r="P1958" s="17">
        <v>45415</v>
      </c>
      <c r="Q1958" s="4">
        <v>0</v>
      </c>
    </row>
    <row r="1959" spans="1:17" ht="30" x14ac:dyDescent="0.25">
      <c r="A1959" s="2" t="s">
        <v>3549</v>
      </c>
      <c r="B1959" s="3" t="s">
        <v>5016</v>
      </c>
      <c r="C1959" s="3">
        <v>39</v>
      </c>
      <c r="D1959" s="46" t="str">
        <f>IF(Tabla1[[#This Row],[EDAD]]&lt;=35,"Adultos jóvenes 18 - 35 años",IF(C1959&gt;=36,"Adultos mayores 36 años en adelante"))</f>
        <v>Adultos mayores 36 años en adelante</v>
      </c>
      <c r="E1959" s="3" t="s">
        <v>5017</v>
      </c>
      <c r="F1959" s="3" t="s">
        <v>5030</v>
      </c>
      <c r="G1959" s="3" t="s">
        <v>5032</v>
      </c>
      <c r="H1959" s="3" t="s">
        <v>8572</v>
      </c>
      <c r="I1959" s="17">
        <v>45415</v>
      </c>
      <c r="J1959" s="18">
        <f>YEAR(Tabla1[[#This Row],[FECHA DE COMPRA]])</f>
        <v>2024</v>
      </c>
      <c r="K1959" s="19">
        <v>158.93</v>
      </c>
      <c r="L1959" s="20">
        <v>0</v>
      </c>
      <c r="M1959" s="19">
        <f>Tienda!$K165-Tienda!$K165*Tienda!$L165</f>
        <v>18.87</v>
      </c>
      <c r="N1959" s="3" t="s">
        <v>10039</v>
      </c>
      <c r="O1959" s="3" t="s">
        <v>10041</v>
      </c>
      <c r="P1959" s="17">
        <v>45415</v>
      </c>
      <c r="Q1959" s="4">
        <v>0</v>
      </c>
    </row>
    <row r="1960" spans="1:17" ht="30" x14ac:dyDescent="0.25">
      <c r="A1960" s="2" t="s">
        <v>2867</v>
      </c>
      <c r="B1960" s="3" t="s">
        <v>5015</v>
      </c>
      <c r="C1960" s="3">
        <v>47</v>
      </c>
      <c r="D1960" s="46" t="str">
        <f>IF(Tabla1[[#This Row],[EDAD]]&lt;=35,"Adultos jóvenes 18 - 35 años",IF(C1960&gt;=36,"Adultos mayores 36 años en adelante"))</f>
        <v>Adultos mayores 36 años en adelante</v>
      </c>
      <c r="E1960" s="3" t="s">
        <v>5022</v>
      </c>
      <c r="F1960" s="3" t="s">
        <v>5029</v>
      </c>
      <c r="G1960" s="3" t="s">
        <v>5032</v>
      </c>
      <c r="H1960" s="3" t="s">
        <v>7890</v>
      </c>
      <c r="I1960" s="17">
        <v>45416</v>
      </c>
      <c r="J1960" s="18">
        <f>YEAR(Tabla1[[#This Row],[FECHA DE COMPRA]])</f>
        <v>2024</v>
      </c>
      <c r="K1960" s="19">
        <v>171.97</v>
      </c>
      <c r="L1960" s="20">
        <v>0.2</v>
      </c>
      <c r="M1960" s="19">
        <f>Tienda!$K166-Tienda!$K166*Tienda!$L166</f>
        <v>15.575999999999999</v>
      </c>
      <c r="N1960" s="3" t="s">
        <v>10039</v>
      </c>
      <c r="O1960" s="3" t="s">
        <v>10041</v>
      </c>
      <c r="P1960" s="17">
        <v>45416</v>
      </c>
      <c r="Q1960" s="4">
        <v>0</v>
      </c>
    </row>
    <row r="1961" spans="1:17" ht="30" x14ac:dyDescent="0.25">
      <c r="A1961" s="2" t="s">
        <v>939</v>
      </c>
      <c r="B1961" s="3" t="s">
        <v>5015</v>
      </c>
      <c r="C1961" s="3">
        <v>43</v>
      </c>
      <c r="D1961" s="46" t="str">
        <f>IF(Tabla1[[#This Row],[EDAD]]&lt;=35,"Adultos jóvenes 18 - 35 años",IF(C1961&gt;=36,"Adultos mayores 36 años en adelante"))</f>
        <v>Adultos mayores 36 años en adelante</v>
      </c>
      <c r="E1961" s="3" t="s">
        <v>5022</v>
      </c>
      <c r="F1961" s="3" t="s">
        <v>5029</v>
      </c>
      <c r="G1961" s="3" t="s">
        <v>5037</v>
      </c>
      <c r="H1961" s="3" t="s">
        <v>5962</v>
      </c>
      <c r="I1961" s="17">
        <v>45416</v>
      </c>
      <c r="J1961" s="18">
        <f>YEAR(Tabla1[[#This Row],[FECHA DE COMPRA]])</f>
        <v>2024</v>
      </c>
      <c r="K1961" s="19">
        <v>180.18</v>
      </c>
      <c r="L1961" s="20">
        <v>0.2</v>
      </c>
      <c r="M1961" s="19">
        <f>Tienda!$K168-Tienda!$K168*Tienda!$L168</f>
        <v>91.179000000000002</v>
      </c>
      <c r="N1961" s="3" t="s">
        <v>10039</v>
      </c>
      <c r="O1961" s="3" t="s">
        <v>10041</v>
      </c>
      <c r="P1961" s="17">
        <v>45416</v>
      </c>
      <c r="Q1961" s="4">
        <v>0</v>
      </c>
    </row>
    <row r="1962" spans="1:17" ht="30" x14ac:dyDescent="0.25">
      <c r="A1962" s="2" t="s">
        <v>3383</v>
      </c>
      <c r="B1962" s="3" t="s">
        <v>5015</v>
      </c>
      <c r="C1962" s="3">
        <v>37</v>
      </c>
      <c r="D1962" s="46" t="str">
        <f>IF(Tabla1[[#This Row],[EDAD]]&lt;=35,"Adultos jóvenes 18 - 35 años",IF(C1962&gt;=36,"Adultos mayores 36 años en adelante"))</f>
        <v>Adultos mayores 36 años en adelante</v>
      </c>
      <c r="E1962" s="3" t="s">
        <v>5017</v>
      </c>
      <c r="F1962" s="3" t="s">
        <v>5026</v>
      </c>
      <c r="G1962" s="3" t="s">
        <v>5035</v>
      </c>
      <c r="H1962" s="3" t="s">
        <v>8406</v>
      </c>
      <c r="I1962" s="17">
        <v>45417</v>
      </c>
      <c r="J1962" s="18">
        <f>YEAR(Tabla1[[#This Row],[FECHA DE COMPRA]])</f>
        <v>2024</v>
      </c>
      <c r="K1962" s="19">
        <v>158.93</v>
      </c>
      <c r="L1962" s="20">
        <v>0.2</v>
      </c>
      <c r="M1962" s="19">
        <f>Tienda!$K170-Tienda!$K170*Tienda!$L170</f>
        <v>61.704000000000001</v>
      </c>
      <c r="N1962" s="3" t="s">
        <v>10039</v>
      </c>
      <c r="O1962" s="3" t="s">
        <v>10041</v>
      </c>
      <c r="P1962" s="17">
        <v>45417</v>
      </c>
      <c r="Q1962" s="4">
        <v>0</v>
      </c>
    </row>
    <row r="1963" spans="1:17" ht="30" x14ac:dyDescent="0.25">
      <c r="A1963" s="2" t="s">
        <v>3983</v>
      </c>
      <c r="B1963" s="3" t="s">
        <v>5015</v>
      </c>
      <c r="C1963" s="3">
        <v>58</v>
      </c>
      <c r="D1963" s="46" t="str">
        <f>IF(Tabla1[[#This Row],[EDAD]]&lt;=35,"Adultos jóvenes 18 - 35 años",IF(C1963&gt;=36,"Adultos mayores 36 años en adelante"))</f>
        <v>Adultos mayores 36 años en adelante</v>
      </c>
      <c r="E1963" s="3" t="s">
        <v>5022</v>
      </c>
      <c r="F1963" s="3" t="s">
        <v>5028</v>
      </c>
      <c r="G1963" s="3" t="s">
        <v>5034</v>
      </c>
      <c r="H1963" s="3" t="s">
        <v>9006</v>
      </c>
      <c r="I1963" s="17">
        <v>45417</v>
      </c>
      <c r="J1963" s="18">
        <f>YEAR(Tabla1[[#This Row],[FECHA DE COMPRA]])</f>
        <v>2024</v>
      </c>
      <c r="K1963" s="19">
        <v>198.77</v>
      </c>
      <c r="L1963" s="20">
        <v>0</v>
      </c>
      <c r="M1963" s="19">
        <f>Tienda!$K171-Tienda!$K171*Tienda!$L171</f>
        <v>96.369</v>
      </c>
      <c r="N1963" s="3" t="s">
        <v>10039</v>
      </c>
      <c r="O1963" s="3" t="s">
        <v>10041</v>
      </c>
      <c r="P1963" s="17">
        <v>45417</v>
      </c>
      <c r="Q1963" s="4">
        <v>0</v>
      </c>
    </row>
    <row r="1964" spans="1:17" ht="30" x14ac:dyDescent="0.25">
      <c r="A1964" s="2" t="s">
        <v>413</v>
      </c>
      <c r="B1964" s="3" t="s">
        <v>5015</v>
      </c>
      <c r="C1964" s="3">
        <v>51</v>
      </c>
      <c r="D1964" s="46" t="str">
        <f>IF(Tabla1[[#This Row],[EDAD]]&lt;=35,"Adultos jóvenes 18 - 35 años",IF(C1964&gt;=36,"Adultos mayores 36 años en adelante"))</f>
        <v>Adultos mayores 36 años en adelante</v>
      </c>
      <c r="E1964" s="3" t="s">
        <v>5023</v>
      </c>
      <c r="F1964" s="3" t="s">
        <v>5027</v>
      </c>
      <c r="G1964" s="3" t="s">
        <v>5033</v>
      </c>
      <c r="H1964" s="3" t="s">
        <v>5436</v>
      </c>
      <c r="I1964" s="17">
        <v>45418</v>
      </c>
      <c r="J1964" s="18">
        <f>YEAR(Tabla1[[#This Row],[FECHA DE COMPRA]])</f>
        <v>2024</v>
      </c>
      <c r="K1964" s="19">
        <v>46.18</v>
      </c>
      <c r="L1964" s="20">
        <v>0.1</v>
      </c>
      <c r="M1964" s="19">
        <f>Tienda!$K172-Tienda!$K172*Tienda!$L172</f>
        <v>151.93</v>
      </c>
      <c r="N1964" s="3" t="s">
        <v>10039</v>
      </c>
      <c r="O1964" s="3" t="s">
        <v>10041</v>
      </c>
      <c r="P1964" s="17">
        <v>45418</v>
      </c>
      <c r="Q1964" s="4">
        <v>0</v>
      </c>
    </row>
    <row r="1965" spans="1:17" ht="30" x14ac:dyDescent="0.25">
      <c r="A1965" s="2" t="s">
        <v>1742</v>
      </c>
      <c r="B1965" s="3" t="s">
        <v>5015</v>
      </c>
      <c r="C1965" s="3">
        <v>48</v>
      </c>
      <c r="D1965" s="46" t="str">
        <f>IF(Tabla1[[#This Row],[EDAD]]&lt;=35,"Adultos jóvenes 18 - 35 años",IF(C1965&gt;=36,"Adultos mayores 36 años en adelante"))</f>
        <v>Adultos mayores 36 años en adelante</v>
      </c>
      <c r="E1965" s="3" t="s">
        <v>5019</v>
      </c>
      <c r="F1965" s="3" t="s">
        <v>5027</v>
      </c>
      <c r="G1965" s="3" t="s">
        <v>5036</v>
      </c>
      <c r="H1965" s="3" t="s">
        <v>6765</v>
      </c>
      <c r="I1965" s="17">
        <v>45418</v>
      </c>
      <c r="J1965" s="18">
        <f>YEAR(Tabla1[[#This Row],[FECHA DE COMPRA]])</f>
        <v>2024</v>
      </c>
      <c r="K1965" s="19">
        <v>99.21</v>
      </c>
      <c r="L1965" s="20">
        <v>0</v>
      </c>
      <c r="M1965" s="19">
        <f>Tienda!$K174-Tienda!$K174*Tienda!$L174</f>
        <v>98.371000000000009</v>
      </c>
      <c r="N1965" s="3" t="s">
        <v>10039</v>
      </c>
      <c r="O1965" s="3" t="s">
        <v>10041</v>
      </c>
      <c r="P1965" s="17">
        <v>45418</v>
      </c>
      <c r="Q1965" s="4">
        <v>0</v>
      </c>
    </row>
    <row r="1966" spans="1:17" ht="30" x14ac:dyDescent="0.25">
      <c r="A1966" s="2" t="s">
        <v>1873</v>
      </c>
      <c r="B1966" s="3" t="s">
        <v>5015</v>
      </c>
      <c r="C1966" s="3">
        <v>57</v>
      </c>
      <c r="D1966" s="46" t="str">
        <f>IF(Tabla1[[#This Row],[EDAD]]&lt;=35,"Adultos jóvenes 18 - 35 años",IF(C1966&gt;=36,"Adultos mayores 36 años en adelante"))</f>
        <v>Adultos mayores 36 años en adelante</v>
      </c>
      <c r="E1966" s="3" t="s">
        <v>5021</v>
      </c>
      <c r="F1966" s="3" t="s">
        <v>5025</v>
      </c>
      <c r="G1966" s="3" t="s">
        <v>5031</v>
      </c>
      <c r="H1966" s="3" t="s">
        <v>6896</v>
      </c>
      <c r="I1966" s="17">
        <v>45418</v>
      </c>
      <c r="J1966" s="18">
        <f>YEAR(Tabla1[[#This Row],[FECHA DE COMPRA]])</f>
        <v>2024</v>
      </c>
      <c r="K1966" s="19">
        <v>127.1</v>
      </c>
      <c r="L1966" s="20">
        <v>0.3</v>
      </c>
      <c r="M1966" s="19">
        <f>Tienda!$K175-Tienda!$K175*Tienda!$L175</f>
        <v>156.38999999999999</v>
      </c>
      <c r="N1966" s="3" t="s">
        <v>10039</v>
      </c>
      <c r="O1966" s="3" t="s">
        <v>10041</v>
      </c>
      <c r="P1966" s="17">
        <v>45418</v>
      </c>
      <c r="Q1966" s="4">
        <v>0</v>
      </c>
    </row>
    <row r="1967" spans="1:17" ht="30" x14ac:dyDescent="0.25">
      <c r="A1967" s="2" t="s">
        <v>1134</v>
      </c>
      <c r="B1967" s="3" t="s">
        <v>5015</v>
      </c>
      <c r="C1967" s="3">
        <v>64</v>
      </c>
      <c r="D1967" s="46" t="str">
        <f>IF(Tabla1[[#This Row],[EDAD]]&lt;=35,"Adultos jóvenes 18 - 35 años",IF(C1967&gt;=36,"Adultos mayores 36 años en adelante"))</f>
        <v>Adultos mayores 36 años en adelante</v>
      </c>
      <c r="E1967" s="3" t="s">
        <v>5018</v>
      </c>
      <c r="F1967" s="3" t="s">
        <v>5027</v>
      </c>
      <c r="G1967" s="3" t="s">
        <v>5037</v>
      </c>
      <c r="H1967" s="3" t="s">
        <v>6157</v>
      </c>
      <c r="I1967" s="17">
        <v>45418</v>
      </c>
      <c r="J1967" s="18">
        <f>YEAR(Tabla1[[#This Row],[FECHA DE COMPRA]])</f>
        <v>2024</v>
      </c>
      <c r="K1967" s="19">
        <v>193.56</v>
      </c>
      <c r="L1967" s="20">
        <v>0.2</v>
      </c>
      <c r="M1967" s="19">
        <f>Tienda!$K178-Tienda!$K178*Tienda!$L178</f>
        <v>102.80200000000002</v>
      </c>
      <c r="N1967" s="3" t="s">
        <v>10039</v>
      </c>
      <c r="O1967" s="3" t="s">
        <v>10041</v>
      </c>
      <c r="P1967" s="17">
        <v>45418</v>
      </c>
      <c r="Q1967" s="4">
        <v>0</v>
      </c>
    </row>
    <row r="1968" spans="1:17" ht="30" x14ac:dyDescent="0.25">
      <c r="A1968" s="2" t="s">
        <v>1181</v>
      </c>
      <c r="B1968" s="3" t="s">
        <v>5016</v>
      </c>
      <c r="C1968" s="3">
        <v>54</v>
      </c>
      <c r="D1968" s="46" t="str">
        <f>IF(Tabla1[[#This Row],[EDAD]]&lt;=35,"Adultos jóvenes 18 - 35 años",IF(C1968&gt;=36,"Adultos mayores 36 años en adelante"))</f>
        <v>Adultos mayores 36 años en adelante</v>
      </c>
      <c r="E1968" s="3" t="s">
        <v>5023</v>
      </c>
      <c r="F1968" s="3" t="s">
        <v>5029</v>
      </c>
      <c r="G1968" s="3" t="s">
        <v>5032</v>
      </c>
      <c r="H1968" s="3" t="s">
        <v>6204</v>
      </c>
      <c r="I1968" s="17">
        <v>45419</v>
      </c>
      <c r="J1968" s="18">
        <f>YEAR(Tabla1[[#This Row],[FECHA DE COMPRA]])</f>
        <v>2024</v>
      </c>
      <c r="K1968" s="19">
        <v>134.11000000000001</v>
      </c>
      <c r="L1968" s="20">
        <v>0.2</v>
      </c>
      <c r="M1968" s="19">
        <f>Tienda!$K181-Tienda!$K181*Tienda!$L181</f>
        <v>113.49600000000001</v>
      </c>
      <c r="N1968" s="3" t="s">
        <v>10039</v>
      </c>
      <c r="O1968" s="3" t="s">
        <v>10041</v>
      </c>
      <c r="P1968" s="17">
        <v>45419</v>
      </c>
      <c r="Q1968" s="4">
        <v>0</v>
      </c>
    </row>
    <row r="1969" spans="1:17" ht="30" x14ac:dyDescent="0.25">
      <c r="A1969" s="2" t="s">
        <v>4589</v>
      </c>
      <c r="B1969" s="3" t="s">
        <v>5015</v>
      </c>
      <c r="C1969" s="3">
        <v>42</v>
      </c>
      <c r="D1969" s="46" t="str">
        <f>IF(Tabla1[[#This Row],[EDAD]]&lt;=35,"Adultos jóvenes 18 - 35 años",IF(C1969&gt;=36,"Adultos mayores 36 años en adelante"))</f>
        <v>Adultos mayores 36 años en adelante</v>
      </c>
      <c r="E1969" s="3" t="s">
        <v>5018</v>
      </c>
      <c r="F1969" s="3" t="s">
        <v>5026</v>
      </c>
      <c r="G1969" s="3" t="s">
        <v>5037</v>
      </c>
      <c r="H1969" s="3" t="s">
        <v>9612</v>
      </c>
      <c r="I1969" s="17">
        <v>45420</v>
      </c>
      <c r="J1969" s="18">
        <f>YEAR(Tabla1[[#This Row],[FECHA DE COMPRA]])</f>
        <v>2024</v>
      </c>
      <c r="K1969" s="19">
        <v>105.1</v>
      </c>
      <c r="L1969" s="20">
        <v>0.2</v>
      </c>
      <c r="M1969" s="19">
        <f>Tienda!$K184-Tienda!$K184*Tienda!$L184</f>
        <v>114.48</v>
      </c>
      <c r="N1969" s="3" t="s">
        <v>10039</v>
      </c>
      <c r="O1969" s="3" t="s">
        <v>10041</v>
      </c>
      <c r="P1969" s="17">
        <v>45420</v>
      </c>
      <c r="Q1969" s="4">
        <v>0</v>
      </c>
    </row>
    <row r="1970" spans="1:17" ht="30" x14ac:dyDescent="0.25">
      <c r="A1970" s="2" t="s">
        <v>742</v>
      </c>
      <c r="B1970" s="3" t="s">
        <v>5015</v>
      </c>
      <c r="C1970" s="3">
        <v>62</v>
      </c>
      <c r="D1970" s="46" t="str">
        <f>IF(Tabla1[[#This Row],[EDAD]]&lt;=35,"Adultos jóvenes 18 - 35 años",IF(C1970&gt;=36,"Adultos mayores 36 años en adelante"))</f>
        <v>Adultos mayores 36 años en adelante</v>
      </c>
      <c r="E1970" s="3" t="s">
        <v>5021</v>
      </c>
      <c r="F1970" s="3" t="s">
        <v>5029</v>
      </c>
      <c r="G1970" s="3" t="s">
        <v>5035</v>
      </c>
      <c r="H1970" s="3" t="s">
        <v>5765</v>
      </c>
      <c r="I1970" s="17">
        <v>45420</v>
      </c>
      <c r="J1970" s="18">
        <f>YEAR(Tabla1[[#This Row],[FECHA DE COMPRA]])</f>
        <v>2024</v>
      </c>
      <c r="K1970" s="19">
        <v>108.35</v>
      </c>
      <c r="L1970" s="20">
        <v>0.2</v>
      </c>
      <c r="M1970" s="19">
        <f>Tienda!$K185-Tienda!$K185*Tienda!$L185</f>
        <v>107.00200000000001</v>
      </c>
      <c r="N1970" s="3" t="s">
        <v>10039</v>
      </c>
      <c r="O1970" s="3" t="s">
        <v>10041</v>
      </c>
      <c r="P1970" s="17">
        <v>45420</v>
      </c>
      <c r="Q1970" s="4">
        <v>0</v>
      </c>
    </row>
    <row r="1971" spans="1:17" ht="30" x14ac:dyDescent="0.25">
      <c r="A1971" s="2" t="s">
        <v>4032</v>
      </c>
      <c r="B1971" s="3" t="s">
        <v>5016</v>
      </c>
      <c r="C1971" s="3">
        <v>56</v>
      </c>
      <c r="D1971" s="46" t="str">
        <f>IF(Tabla1[[#This Row],[EDAD]]&lt;=35,"Adultos jóvenes 18 - 35 años",IF(C1971&gt;=36,"Adultos mayores 36 años en adelante"))</f>
        <v>Adultos mayores 36 años en adelante</v>
      </c>
      <c r="E1971" s="3" t="s">
        <v>5017</v>
      </c>
      <c r="F1971" s="3" t="s">
        <v>5030</v>
      </c>
      <c r="G1971" s="3" t="s">
        <v>5035</v>
      </c>
      <c r="H1971" s="3" t="s">
        <v>9055</v>
      </c>
      <c r="I1971" s="17">
        <v>45421</v>
      </c>
      <c r="J1971" s="18">
        <f>YEAR(Tabla1[[#This Row],[FECHA DE COMPRA]])</f>
        <v>2024</v>
      </c>
      <c r="K1971" s="19">
        <v>108.64</v>
      </c>
      <c r="L1971" s="20">
        <v>0.2</v>
      </c>
      <c r="M1971" s="19">
        <f>Tienda!$K186-Tienda!$K186*Tienda!$L186</f>
        <v>117.97200000000001</v>
      </c>
      <c r="N1971" s="3" t="s">
        <v>10039</v>
      </c>
      <c r="O1971" s="3" t="s">
        <v>10041</v>
      </c>
      <c r="P1971" s="17">
        <v>45421</v>
      </c>
      <c r="Q1971" s="4">
        <v>0</v>
      </c>
    </row>
    <row r="1972" spans="1:17" ht="30" x14ac:dyDescent="0.25">
      <c r="A1972" s="2" t="s">
        <v>4841</v>
      </c>
      <c r="B1972" s="3" t="s">
        <v>5015</v>
      </c>
      <c r="C1972" s="3">
        <v>63</v>
      </c>
      <c r="D1972" s="46" t="str">
        <f>IF(Tabla1[[#This Row],[EDAD]]&lt;=35,"Adultos jóvenes 18 - 35 años",IF(C1972&gt;=36,"Adultos mayores 36 años en adelante"))</f>
        <v>Adultos mayores 36 años en adelante</v>
      </c>
      <c r="E1972" s="3" t="s">
        <v>5018</v>
      </c>
      <c r="F1972" s="3" t="s">
        <v>5030</v>
      </c>
      <c r="G1972" s="3" t="s">
        <v>5031</v>
      </c>
      <c r="H1972" s="3" t="s">
        <v>9864</v>
      </c>
      <c r="I1972" s="17">
        <v>45421</v>
      </c>
      <c r="J1972" s="18">
        <f>YEAR(Tabla1[[#This Row],[FECHA DE COMPRA]])</f>
        <v>2024</v>
      </c>
      <c r="K1972" s="19">
        <v>178.41</v>
      </c>
      <c r="L1972" s="20">
        <v>0.2</v>
      </c>
      <c r="M1972" s="19">
        <f>Tienda!$K187-Tienda!$K187*Tienda!$L187</f>
        <v>67.878</v>
      </c>
      <c r="N1972" s="3" t="s">
        <v>10039</v>
      </c>
      <c r="O1972" s="3" t="s">
        <v>10041</v>
      </c>
      <c r="P1972" s="17">
        <v>45421</v>
      </c>
      <c r="Q1972" s="4">
        <v>0</v>
      </c>
    </row>
    <row r="1973" spans="1:17" ht="30" x14ac:dyDescent="0.25">
      <c r="A1973" s="2" t="s">
        <v>4383</v>
      </c>
      <c r="B1973" s="3" t="s">
        <v>5015</v>
      </c>
      <c r="C1973" s="3">
        <v>56</v>
      </c>
      <c r="D1973" s="46" t="str">
        <f>IF(Tabla1[[#This Row],[EDAD]]&lt;=35,"Adultos jóvenes 18 - 35 años",IF(C1973&gt;=36,"Adultos mayores 36 años en adelante"))</f>
        <v>Adultos mayores 36 años en adelante</v>
      </c>
      <c r="E1973" s="3" t="s">
        <v>5022</v>
      </c>
      <c r="F1973" s="3" t="s">
        <v>5027</v>
      </c>
      <c r="G1973" s="3" t="s">
        <v>5034</v>
      </c>
      <c r="H1973" s="3" t="s">
        <v>9406</v>
      </c>
      <c r="I1973" s="17">
        <v>45422</v>
      </c>
      <c r="J1973" s="18">
        <f>YEAR(Tabla1[[#This Row],[FECHA DE COMPRA]])</f>
        <v>2024</v>
      </c>
      <c r="K1973" s="19">
        <v>14.55</v>
      </c>
      <c r="L1973" s="20">
        <v>0.2</v>
      </c>
      <c r="M1973" s="19">
        <f>Tienda!$K188-Tienda!$K188*Tienda!$L188</f>
        <v>169.8</v>
      </c>
      <c r="N1973" s="3" t="s">
        <v>10039</v>
      </c>
      <c r="O1973" s="3" t="s">
        <v>10041</v>
      </c>
      <c r="P1973" s="17">
        <v>45422</v>
      </c>
      <c r="Q1973" s="4">
        <v>0</v>
      </c>
    </row>
    <row r="1974" spans="1:17" ht="30" x14ac:dyDescent="0.25">
      <c r="A1974" s="2" t="s">
        <v>2014</v>
      </c>
      <c r="B1974" s="3" t="s">
        <v>5016</v>
      </c>
      <c r="C1974" s="3">
        <v>55</v>
      </c>
      <c r="D1974" s="46" t="str">
        <f>IF(Tabla1[[#This Row],[EDAD]]&lt;=35,"Adultos jóvenes 18 - 35 años",IF(C1974&gt;=36,"Adultos mayores 36 años en adelante"))</f>
        <v>Adultos mayores 36 años en adelante</v>
      </c>
      <c r="E1974" s="3" t="s">
        <v>5023</v>
      </c>
      <c r="F1974" s="3" t="s">
        <v>5029</v>
      </c>
      <c r="G1974" s="3" t="s">
        <v>5037</v>
      </c>
      <c r="H1974" s="3" t="s">
        <v>7037</v>
      </c>
      <c r="I1974" s="17">
        <v>45422</v>
      </c>
      <c r="J1974" s="18">
        <f>YEAR(Tabla1[[#This Row],[FECHA DE COMPRA]])</f>
        <v>2024</v>
      </c>
      <c r="K1974" s="19">
        <v>28.51</v>
      </c>
      <c r="L1974" s="20">
        <v>0.3</v>
      </c>
      <c r="M1974" s="19">
        <f>Tienda!$K189-Tienda!$K189*Tienda!$L189</f>
        <v>140.74199999999999</v>
      </c>
      <c r="N1974" s="3" t="s">
        <v>10039</v>
      </c>
      <c r="O1974" s="3" t="s">
        <v>10041</v>
      </c>
      <c r="P1974" s="17">
        <v>45422</v>
      </c>
      <c r="Q1974" s="4">
        <v>0</v>
      </c>
    </row>
    <row r="1975" spans="1:17" ht="30" x14ac:dyDescent="0.25">
      <c r="A1975" s="2" t="s">
        <v>83</v>
      </c>
      <c r="B1975" s="3" t="s">
        <v>5015</v>
      </c>
      <c r="C1975" s="3">
        <v>59</v>
      </c>
      <c r="D1975" s="46" t="str">
        <f>IF(Tabla1[[#This Row],[EDAD]]&lt;=35,"Adultos jóvenes 18 - 35 años",IF(C1975&gt;=36,"Adultos mayores 36 años en adelante"))</f>
        <v>Adultos mayores 36 años en adelante</v>
      </c>
      <c r="E1975" s="3" t="s">
        <v>5019</v>
      </c>
      <c r="F1975" s="3" t="s">
        <v>5024</v>
      </c>
      <c r="G1975" s="3" t="s">
        <v>5037</v>
      </c>
      <c r="H1975" s="3" t="s">
        <v>5106</v>
      </c>
      <c r="I1975" s="17">
        <v>45422</v>
      </c>
      <c r="J1975" s="18">
        <f>YEAR(Tabla1[[#This Row],[FECHA DE COMPRA]])</f>
        <v>2024</v>
      </c>
      <c r="K1975" s="19">
        <v>39.06</v>
      </c>
      <c r="L1975" s="20">
        <v>0</v>
      </c>
      <c r="M1975" s="19">
        <f>Tienda!$K190-Tienda!$K190*Tienda!$L190</f>
        <v>53.55</v>
      </c>
      <c r="N1975" s="3" t="s">
        <v>10039</v>
      </c>
      <c r="O1975" s="3" t="s">
        <v>10041</v>
      </c>
      <c r="P1975" s="17">
        <v>45422</v>
      </c>
      <c r="Q1975" s="4">
        <v>0</v>
      </c>
    </row>
    <row r="1976" spans="1:17" ht="30" x14ac:dyDescent="0.25">
      <c r="A1976" s="2" t="s">
        <v>3956</v>
      </c>
      <c r="B1976" s="3" t="s">
        <v>5015</v>
      </c>
      <c r="C1976" s="3">
        <v>58</v>
      </c>
      <c r="D1976" s="46" t="str">
        <f>IF(Tabla1[[#This Row],[EDAD]]&lt;=35,"Adultos jóvenes 18 - 35 años",IF(C1976&gt;=36,"Adultos mayores 36 años en adelante"))</f>
        <v>Adultos mayores 36 años en adelante</v>
      </c>
      <c r="E1976" s="3" t="s">
        <v>5020</v>
      </c>
      <c r="F1976" s="3" t="s">
        <v>5026</v>
      </c>
      <c r="G1976" s="3" t="s">
        <v>5035</v>
      </c>
      <c r="H1976" s="3" t="s">
        <v>8979</v>
      </c>
      <c r="I1976" s="17">
        <v>45422</v>
      </c>
      <c r="J1976" s="18">
        <f>YEAR(Tabla1[[#This Row],[FECHA DE COMPRA]])</f>
        <v>2024</v>
      </c>
      <c r="K1976" s="19">
        <v>176.87</v>
      </c>
      <c r="L1976" s="20">
        <v>0.2</v>
      </c>
      <c r="M1976" s="19">
        <f>Tienda!$K191-Tienda!$K191*Tienda!$L191</f>
        <v>126.896</v>
      </c>
      <c r="N1976" s="3" t="s">
        <v>10039</v>
      </c>
      <c r="O1976" s="3" t="s">
        <v>10041</v>
      </c>
      <c r="P1976" s="17">
        <v>45422</v>
      </c>
      <c r="Q1976" s="4">
        <v>0</v>
      </c>
    </row>
    <row r="1977" spans="1:17" ht="30" x14ac:dyDescent="0.25">
      <c r="A1977" s="2" t="s">
        <v>138</v>
      </c>
      <c r="B1977" s="3" t="s">
        <v>5015</v>
      </c>
      <c r="C1977" s="3">
        <v>58</v>
      </c>
      <c r="D1977" s="46" t="str">
        <f>IF(Tabla1[[#This Row],[EDAD]]&lt;=35,"Adultos jóvenes 18 - 35 años",IF(C1977&gt;=36,"Adultos mayores 36 años en adelante"))</f>
        <v>Adultos mayores 36 años en adelante</v>
      </c>
      <c r="E1977" s="3" t="s">
        <v>5019</v>
      </c>
      <c r="F1977" s="3" t="s">
        <v>5027</v>
      </c>
      <c r="G1977" s="3" t="s">
        <v>5036</v>
      </c>
      <c r="H1977" s="3" t="s">
        <v>5161</v>
      </c>
      <c r="I1977" s="17">
        <v>45423</v>
      </c>
      <c r="J1977" s="18">
        <f>YEAR(Tabla1[[#This Row],[FECHA DE COMPRA]])</f>
        <v>2024</v>
      </c>
      <c r="K1977" s="19">
        <v>31.6</v>
      </c>
      <c r="L1977" s="20">
        <v>0.1</v>
      </c>
      <c r="M1977" s="19">
        <f>Tienda!$K192-Tienda!$K192*Tienda!$L192</f>
        <v>40.770000000000003</v>
      </c>
      <c r="N1977" s="3" t="s">
        <v>10039</v>
      </c>
      <c r="O1977" s="3" t="s">
        <v>10041</v>
      </c>
      <c r="P1977" s="17">
        <v>45423</v>
      </c>
      <c r="Q1977" s="4">
        <v>0</v>
      </c>
    </row>
    <row r="1978" spans="1:17" ht="30" x14ac:dyDescent="0.25">
      <c r="A1978" s="2" t="s">
        <v>508</v>
      </c>
      <c r="B1978" s="3" t="s">
        <v>5015</v>
      </c>
      <c r="C1978" s="3">
        <v>39</v>
      </c>
      <c r="D1978" s="46" t="str">
        <f>IF(Tabla1[[#This Row],[EDAD]]&lt;=35,"Adultos jóvenes 18 - 35 años",IF(C1978&gt;=36,"Adultos mayores 36 años en adelante"))</f>
        <v>Adultos mayores 36 años en adelante</v>
      </c>
      <c r="E1978" s="3" t="s">
        <v>5021</v>
      </c>
      <c r="F1978" s="3" t="s">
        <v>5030</v>
      </c>
      <c r="G1978" s="3" t="s">
        <v>5035</v>
      </c>
      <c r="H1978" s="3" t="s">
        <v>5531</v>
      </c>
      <c r="I1978" s="17">
        <v>45423</v>
      </c>
      <c r="J1978" s="18">
        <f>YEAR(Tabla1[[#This Row],[FECHA DE COMPRA]])</f>
        <v>2024</v>
      </c>
      <c r="K1978" s="19">
        <v>95.49</v>
      </c>
      <c r="L1978" s="20">
        <v>0.2</v>
      </c>
      <c r="M1978" s="19">
        <f>Tienda!$K193-Tienda!$K193*Tienda!$L193</f>
        <v>145.386</v>
      </c>
      <c r="N1978" s="3" t="s">
        <v>10039</v>
      </c>
      <c r="O1978" s="3" t="s">
        <v>10041</v>
      </c>
      <c r="P1978" s="17">
        <v>45423</v>
      </c>
      <c r="Q1978" s="4">
        <v>0</v>
      </c>
    </row>
    <row r="1979" spans="1:17" ht="30" x14ac:dyDescent="0.25">
      <c r="A1979" s="2" t="s">
        <v>927</v>
      </c>
      <c r="B1979" s="3" t="s">
        <v>5015</v>
      </c>
      <c r="C1979" s="3">
        <v>54</v>
      </c>
      <c r="D1979" s="46" t="str">
        <f>IF(Tabla1[[#This Row],[EDAD]]&lt;=35,"Adultos jóvenes 18 - 35 años",IF(C1979&gt;=36,"Adultos mayores 36 años en adelante"))</f>
        <v>Adultos mayores 36 años en adelante</v>
      </c>
      <c r="E1979" s="3" t="s">
        <v>5020</v>
      </c>
      <c r="F1979" s="3" t="s">
        <v>5029</v>
      </c>
      <c r="G1979" s="3" t="s">
        <v>5036</v>
      </c>
      <c r="H1979" s="3" t="s">
        <v>5950</v>
      </c>
      <c r="I1979" s="17">
        <v>45423</v>
      </c>
      <c r="J1979" s="18">
        <f>YEAR(Tabla1[[#This Row],[FECHA DE COMPRA]])</f>
        <v>2024</v>
      </c>
      <c r="K1979" s="19">
        <v>101.92</v>
      </c>
      <c r="L1979" s="20">
        <v>0</v>
      </c>
      <c r="M1979" s="19">
        <f>Tienda!$K194-Tienda!$K194*Tienda!$L194</f>
        <v>131.87299999999999</v>
      </c>
      <c r="N1979" s="3" t="s">
        <v>10039</v>
      </c>
      <c r="O1979" s="3" t="s">
        <v>10041</v>
      </c>
      <c r="P1979" s="17">
        <v>45423</v>
      </c>
      <c r="Q1979" s="4">
        <v>0</v>
      </c>
    </row>
    <row r="1980" spans="1:17" ht="30" x14ac:dyDescent="0.25">
      <c r="A1980" s="2" t="s">
        <v>520</v>
      </c>
      <c r="B1980" s="3" t="s">
        <v>5015</v>
      </c>
      <c r="C1980" s="3">
        <v>56</v>
      </c>
      <c r="D1980" s="46" t="str">
        <f>IF(Tabla1[[#This Row],[EDAD]]&lt;=35,"Adultos jóvenes 18 - 35 años",IF(C1980&gt;=36,"Adultos mayores 36 años en adelante"))</f>
        <v>Adultos mayores 36 años en adelante</v>
      </c>
      <c r="E1980" s="3" t="s">
        <v>5018</v>
      </c>
      <c r="F1980" s="3" t="s">
        <v>5029</v>
      </c>
      <c r="G1980" s="3" t="s">
        <v>5036</v>
      </c>
      <c r="H1980" s="3" t="s">
        <v>5543</v>
      </c>
      <c r="I1980" s="17">
        <v>45423</v>
      </c>
      <c r="J1980" s="18">
        <f>YEAR(Tabla1[[#This Row],[FECHA DE COMPRA]])</f>
        <v>2024</v>
      </c>
      <c r="K1980" s="19">
        <v>116.31</v>
      </c>
      <c r="L1980" s="20">
        <v>0.2</v>
      </c>
      <c r="M1980" s="19">
        <f>Tienda!$K195-Tienda!$K195*Tienda!$L195</f>
        <v>62.853000000000009</v>
      </c>
      <c r="N1980" s="3" t="s">
        <v>10039</v>
      </c>
      <c r="O1980" s="3" t="s">
        <v>10041</v>
      </c>
      <c r="P1980" s="17">
        <v>45423</v>
      </c>
      <c r="Q1980" s="4">
        <v>0</v>
      </c>
    </row>
    <row r="1981" spans="1:17" ht="30" x14ac:dyDescent="0.25">
      <c r="A1981" s="2" t="s">
        <v>1148</v>
      </c>
      <c r="B1981" s="3" t="s">
        <v>5015</v>
      </c>
      <c r="C1981" s="3">
        <v>59</v>
      </c>
      <c r="D1981" s="46" t="str">
        <f>IF(Tabla1[[#This Row],[EDAD]]&lt;=35,"Adultos jóvenes 18 - 35 años",IF(C1981&gt;=36,"Adultos mayores 36 años en adelante"))</f>
        <v>Adultos mayores 36 años en adelante</v>
      </c>
      <c r="E1981" s="3" t="s">
        <v>5017</v>
      </c>
      <c r="F1981" s="3" t="s">
        <v>5027</v>
      </c>
      <c r="G1981" s="3" t="s">
        <v>5034</v>
      </c>
      <c r="H1981" s="3" t="s">
        <v>6171</v>
      </c>
      <c r="I1981" s="17">
        <v>45423</v>
      </c>
      <c r="J1981" s="18">
        <f>YEAR(Tabla1[[#This Row],[FECHA DE COMPRA]])</f>
        <v>2024</v>
      </c>
      <c r="K1981" s="19">
        <v>163.66</v>
      </c>
      <c r="L1981" s="20">
        <v>0.3</v>
      </c>
      <c r="M1981" s="19">
        <f>Tienda!$K196-Tienda!$K196*Tienda!$L196</f>
        <v>155.31</v>
      </c>
      <c r="N1981" s="3" t="s">
        <v>10039</v>
      </c>
      <c r="O1981" s="3" t="s">
        <v>10041</v>
      </c>
      <c r="P1981" s="17">
        <v>45423</v>
      </c>
      <c r="Q1981" s="4">
        <v>0</v>
      </c>
    </row>
    <row r="1982" spans="1:17" ht="30" x14ac:dyDescent="0.25">
      <c r="A1982" s="2" t="s">
        <v>4508</v>
      </c>
      <c r="B1982" s="3" t="s">
        <v>5016</v>
      </c>
      <c r="C1982" s="3">
        <v>51</v>
      </c>
      <c r="D1982" s="46" t="str">
        <f>IF(Tabla1[[#This Row],[EDAD]]&lt;=35,"Adultos jóvenes 18 - 35 años",IF(C1982&gt;=36,"Adultos mayores 36 años en adelante"))</f>
        <v>Adultos mayores 36 años en adelante</v>
      </c>
      <c r="E1982" s="3" t="s">
        <v>5017</v>
      </c>
      <c r="F1982" s="3" t="s">
        <v>5025</v>
      </c>
      <c r="G1982" s="3" t="s">
        <v>5034</v>
      </c>
      <c r="H1982" s="3" t="s">
        <v>9531</v>
      </c>
      <c r="I1982" s="17">
        <v>45424</v>
      </c>
      <c r="J1982" s="18">
        <f>YEAR(Tabla1[[#This Row],[FECHA DE COMPRA]])</f>
        <v>2024</v>
      </c>
      <c r="K1982" s="19">
        <v>95.7</v>
      </c>
      <c r="L1982" s="20">
        <v>0</v>
      </c>
      <c r="M1982" s="19">
        <f>Tienda!$K197-Tienda!$K197*Tienda!$L197</f>
        <v>52.533000000000001</v>
      </c>
      <c r="N1982" s="3" t="s">
        <v>10039</v>
      </c>
      <c r="O1982" s="3" t="s">
        <v>10041</v>
      </c>
      <c r="P1982" s="17">
        <v>45424</v>
      </c>
      <c r="Q1982" s="4">
        <v>0</v>
      </c>
    </row>
    <row r="1983" spans="1:17" ht="30" x14ac:dyDescent="0.25">
      <c r="A1983" s="2" t="s">
        <v>4830</v>
      </c>
      <c r="B1983" s="3" t="s">
        <v>5015</v>
      </c>
      <c r="C1983" s="3">
        <v>41</v>
      </c>
      <c r="D1983" s="46" t="str">
        <f>IF(Tabla1[[#This Row],[EDAD]]&lt;=35,"Adultos jóvenes 18 - 35 años",IF(C1983&gt;=36,"Adultos mayores 36 años en adelante"))</f>
        <v>Adultos mayores 36 años en adelante</v>
      </c>
      <c r="E1983" s="3" t="s">
        <v>5023</v>
      </c>
      <c r="F1983" s="3" t="s">
        <v>5029</v>
      </c>
      <c r="G1983" s="3" t="s">
        <v>5031</v>
      </c>
      <c r="H1983" s="3" t="s">
        <v>9853</v>
      </c>
      <c r="I1983" s="17">
        <v>45424</v>
      </c>
      <c r="J1983" s="18">
        <f>YEAR(Tabla1[[#This Row],[FECHA DE COMPRA]])</f>
        <v>2024</v>
      </c>
      <c r="K1983" s="19">
        <v>119.36</v>
      </c>
      <c r="L1983" s="20">
        <v>0</v>
      </c>
      <c r="M1983" s="19">
        <f>Tienda!$K198-Tienda!$K198*Tienda!$L198</f>
        <v>133.98399999999998</v>
      </c>
      <c r="N1983" s="3" t="s">
        <v>10039</v>
      </c>
      <c r="O1983" s="3" t="s">
        <v>10041</v>
      </c>
      <c r="P1983" s="17">
        <v>45424</v>
      </c>
      <c r="Q1983" s="4">
        <v>0</v>
      </c>
    </row>
    <row r="1984" spans="1:17" ht="30" x14ac:dyDescent="0.25">
      <c r="A1984" s="2" t="s">
        <v>2732</v>
      </c>
      <c r="B1984" s="3" t="s">
        <v>5015</v>
      </c>
      <c r="C1984" s="3">
        <v>59</v>
      </c>
      <c r="D1984" s="46" t="str">
        <f>IF(Tabla1[[#This Row],[EDAD]]&lt;=35,"Adultos jóvenes 18 - 35 años",IF(C1984&gt;=36,"Adultos mayores 36 años en adelante"))</f>
        <v>Adultos mayores 36 años en adelante</v>
      </c>
      <c r="E1984" s="3" t="s">
        <v>5023</v>
      </c>
      <c r="F1984" s="3" t="s">
        <v>5028</v>
      </c>
      <c r="G1984" s="3" t="s">
        <v>5035</v>
      </c>
      <c r="H1984" s="3" t="s">
        <v>7755</v>
      </c>
      <c r="I1984" s="17">
        <v>45425</v>
      </c>
      <c r="J1984" s="18">
        <f>YEAR(Tabla1[[#This Row],[FECHA DE COMPRA]])</f>
        <v>2024</v>
      </c>
      <c r="K1984" s="19">
        <v>144.01</v>
      </c>
      <c r="L1984" s="20">
        <v>0.3</v>
      </c>
      <c r="M1984" s="19">
        <f>Tienda!$K202-Tienda!$K202*Tienda!$L202</f>
        <v>18.024000000000001</v>
      </c>
      <c r="N1984" s="3" t="s">
        <v>10039</v>
      </c>
      <c r="O1984" s="3" t="s">
        <v>10041</v>
      </c>
      <c r="P1984" s="17">
        <v>45425</v>
      </c>
      <c r="Q1984" s="4">
        <v>0</v>
      </c>
    </row>
    <row r="1985" spans="1:17" ht="30" x14ac:dyDescent="0.25">
      <c r="A1985" s="2" t="s">
        <v>1219</v>
      </c>
      <c r="B1985" s="3" t="s">
        <v>5015</v>
      </c>
      <c r="C1985" s="3">
        <v>46</v>
      </c>
      <c r="D1985" s="46" t="str">
        <f>IF(Tabla1[[#This Row],[EDAD]]&lt;=35,"Adultos jóvenes 18 - 35 años",IF(C1985&gt;=36,"Adultos mayores 36 años en adelante"))</f>
        <v>Adultos mayores 36 años en adelante</v>
      </c>
      <c r="E1985" s="3" t="s">
        <v>5021</v>
      </c>
      <c r="F1985" s="3" t="s">
        <v>5030</v>
      </c>
      <c r="G1985" s="3" t="s">
        <v>5033</v>
      </c>
      <c r="H1985" s="3" t="s">
        <v>6242</v>
      </c>
      <c r="I1985" s="17">
        <v>45425</v>
      </c>
      <c r="J1985" s="18">
        <f>YEAR(Tabla1[[#This Row],[FECHA DE COMPRA]])</f>
        <v>2024</v>
      </c>
      <c r="K1985" s="19">
        <v>197.48</v>
      </c>
      <c r="L1985" s="20">
        <v>0.3</v>
      </c>
      <c r="M1985" s="19">
        <f>Tienda!$K203-Tienda!$K203*Tienda!$L203</f>
        <v>24.471</v>
      </c>
      <c r="N1985" s="3" t="s">
        <v>10039</v>
      </c>
      <c r="O1985" s="3" t="s">
        <v>10041</v>
      </c>
      <c r="P1985" s="17">
        <v>45425</v>
      </c>
      <c r="Q1985" s="4">
        <v>0</v>
      </c>
    </row>
    <row r="1986" spans="1:17" ht="30" x14ac:dyDescent="0.25">
      <c r="A1986" s="2" t="s">
        <v>3357</v>
      </c>
      <c r="B1986" s="3" t="s">
        <v>5015</v>
      </c>
      <c r="C1986" s="3">
        <v>65</v>
      </c>
      <c r="D1986" s="46" t="str">
        <f>IF(Tabla1[[#This Row],[EDAD]]&lt;=35,"Adultos jóvenes 18 - 35 años",IF(C1986&gt;=36,"Adultos mayores 36 años en adelante"))</f>
        <v>Adultos mayores 36 años en adelante</v>
      </c>
      <c r="E1986" s="3" t="s">
        <v>5018</v>
      </c>
      <c r="F1986" s="3" t="s">
        <v>5024</v>
      </c>
      <c r="G1986" s="3" t="s">
        <v>5034</v>
      </c>
      <c r="H1986" s="3" t="s">
        <v>8380</v>
      </c>
      <c r="I1986" s="17">
        <v>45426</v>
      </c>
      <c r="J1986" s="18">
        <f>YEAR(Tabla1[[#This Row],[FECHA DE COMPRA]])</f>
        <v>2024</v>
      </c>
      <c r="K1986" s="19">
        <v>12.16</v>
      </c>
      <c r="L1986" s="20">
        <v>0.2</v>
      </c>
      <c r="M1986" s="19">
        <f>Tienda!$K204-Tienda!$K204*Tienda!$L204</f>
        <v>34.229999999999997</v>
      </c>
      <c r="N1986" s="3" t="s">
        <v>10039</v>
      </c>
      <c r="O1986" s="3" t="s">
        <v>10041</v>
      </c>
      <c r="P1986" s="17">
        <v>45426</v>
      </c>
      <c r="Q1986" s="4">
        <v>0</v>
      </c>
    </row>
    <row r="1987" spans="1:17" ht="30" x14ac:dyDescent="0.25">
      <c r="A1987" s="2" t="s">
        <v>729</v>
      </c>
      <c r="B1987" s="3" t="s">
        <v>5016</v>
      </c>
      <c r="C1987" s="3">
        <v>38</v>
      </c>
      <c r="D1987" s="46" t="str">
        <f>IF(Tabla1[[#This Row],[EDAD]]&lt;=35,"Adultos jóvenes 18 - 35 años",IF(C1987&gt;=36,"Adultos mayores 36 años en adelante"))</f>
        <v>Adultos mayores 36 años en adelante</v>
      </c>
      <c r="E1987" s="3" t="s">
        <v>5017</v>
      </c>
      <c r="F1987" s="3" t="s">
        <v>5030</v>
      </c>
      <c r="G1987" s="3" t="s">
        <v>5037</v>
      </c>
      <c r="H1987" s="3" t="s">
        <v>5752</v>
      </c>
      <c r="I1987" s="17">
        <v>45427</v>
      </c>
      <c r="J1987" s="18">
        <f>YEAR(Tabla1[[#This Row],[FECHA DE COMPRA]])</f>
        <v>2024</v>
      </c>
      <c r="K1987" s="19">
        <v>35.82</v>
      </c>
      <c r="L1987" s="20">
        <v>0.1</v>
      </c>
      <c r="M1987" s="19">
        <f>Tienda!$K205-Tienda!$K205*Tienda!$L205</f>
        <v>128.11000000000001</v>
      </c>
      <c r="N1987" s="3" t="s">
        <v>10039</v>
      </c>
      <c r="O1987" s="3" t="s">
        <v>10041</v>
      </c>
      <c r="P1987" s="17">
        <v>45427</v>
      </c>
      <c r="Q1987" s="4">
        <v>0</v>
      </c>
    </row>
    <row r="1988" spans="1:17" ht="30" x14ac:dyDescent="0.25">
      <c r="A1988" s="2" t="s">
        <v>2859</v>
      </c>
      <c r="B1988" s="3" t="s">
        <v>5015</v>
      </c>
      <c r="C1988" s="3">
        <v>61</v>
      </c>
      <c r="D1988" s="46" t="str">
        <f>IF(Tabla1[[#This Row],[EDAD]]&lt;=35,"Adultos jóvenes 18 - 35 años",IF(C1988&gt;=36,"Adultos mayores 36 años en adelante"))</f>
        <v>Adultos mayores 36 años en adelante</v>
      </c>
      <c r="E1988" s="3" t="s">
        <v>5017</v>
      </c>
      <c r="F1988" s="3" t="s">
        <v>5025</v>
      </c>
      <c r="G1988" s="3" t="s">
        <v>5031</v>
      </c>
      <c r="H1988" s="3" t="s">
        <v>7882</v>
      </c>
      <c r="I1988" s="17">
        <v>45427</v>
      </c>
      <c r="J1988" s="18">
        <f>YEAR(Tabla1[[#This Row],[FECHA DE COMPRA]])</f>
        <v>2024</v>
      </c>
      <c r="K1988" s="19">
        <v>102.21</v>
      </c>
      <c r="L1988" s="20">
        <v>0.2</v>
      </c>
      <c r="M1988" s="19">
        <f>Tienda!$K208-Tienda!$K208*Tienda!$L208</f>
        <v>73.466999999999999</v>
      </c>
      <c r="N1988" s="3" t="s">
        <v>10039</v>
      </c>
      <c r="O1988" s="3" t="s">
        <v>10041</v>
      </c>
      <c r="P1988" s="17">
        <v>45427</v>
      </c>
      <c r="Q1988" s="4">
        <v>0</v>
      </c>
    </row>
    <row r="1989" spans="1:17" ht="30" x14ac:dyDescent="0.25">
      <c r="A1989" s="2" t="s">
        <v>2193</v>
      </c>
      <c r="B1989" s="3" t="s">
        <v>5015</v>
      </c>
      <c r="C1989" s="3">
        <v>45</v>
      </c>
      <c r="D1989" s="46" t="str">
        <f>IF(Tabla1[[#This Row],[EDAD]]&lt;=35,"Adultos jóvenes 18 - 35 años",IF(C1989&gt;=36,"Adultos mayores 36 años en adelante"))</f>
        <v>Adultos mayores 36 años en adelante</v>
      </c>
      <c r="E1989" s="3" t="s">
        <v>5018</v>
      </c>
      <c r="F1989" s="3" t="s">
        <v>5027</v>
      </c>
      <c r="G1989" s="3" t="s">
        <v>5033</v>
      </c>
      <c r="H1989" s="3" t="s">
        <v>7216</v>
      </c>
      <c r="I1989" s="17">
        <v>45427</v>
      </c>
      <c r="J1989" s="18">
        <f>YEAR(Tabla1[[#This Row],[FECHA DE COMPRA]])</f>
        <v>2024</v>
      </c>
      <c r="K1989" s="19">
        <v>107.8</v>
      </c>
      <c r="L1989" s="20">
        <v>0.1</v>
      </c>
      <c r="M1989" s="19">
        <f>Tienda!$K209-Tienda!$K209*Tienda!$L209</f>
        <v>120.798</v>
      </c>
      <c r="N1989" s="3" t="s">
        <v>10039</v>
      </c>
      <c r="O1989" s="3" t="s">
        <v>10041</v>
      </c>
      <c r="P1989" s="17">
        <v>45427</v>
      </c>
      <c r="Q1989" s="4">
        <v>0</v>
      </c>
    </row>
    <row r="1990" spans="1:17" ht="30" x14ac:dyDescent="0.25">
      <c r="A1990" s="2" t="s">
        <v>4010</v>
      </c>
      <c r="B1990" s="3" t="s">
        <v>5015</v>
      </c>
      <c r="C1990" s="3">
        <v>58</v>
      </c>
      <c r="D1990" s="46" t="str">
        <f>IF(Tabla1[[#This Row],[EDAD]]&lt;=35,"Adultos jóvenes 18 - 35 años",IF(C1990&gt;=36,"Adultos mayores 36 años en adelante"))</f>
        <v>Adultos mayores 36 años en adelante</v>
      </c>
      <c r="E1990" s="3" t="s">
        <v>5018</v>
      </c>
      <c r="F1990" s="3" t="s">
        <v>5029</v>
      </c>
      <c r="G1990" s="3" t="s">
        <v>5034</v>
      </c>
      <c r="H1990" s="3" t="s">
        <v>9033</v>
      </c>
      <c r="I1990" s="17">
        <v>45427</v>
      </c>
      <c r="J1990" s="18">
        <f>YEAR(Tabla1[[#This Row],[FECHA DE COMPRA]])</f>
        <v>2024</v>
      </c>
      <c r="K1990" s="19">
        <v>127.36</v>
      </c>
      <c r="L1990" s="20">
        <v>0</v>
      </c>
      <c r="M1990" s="19">
        <f>Tienda!$K210-Tienda!$K210*Tienda!$L210</f>
        <v>165.48</v>
      </c>
      <c r="N1990" s="3" t="s">
        <v>10039</v>
      </c>
      <c r="O1990" s="3" t="s">
        <v>10041</v>
      </c>
      <c r="P1990" s="17">
        <v>45427</v>
      </c>
      <c r="Q1990" s="4">
        <v>0</v>
      </c>
    </row>
    <row r="1991" spans="1:17" ht="30" x14ac:dyDescent="0.25">
      <c r="A1991" s="2" t="s">
        <v>4031</v>
      </c>
      <c r="B1991" s="3" t="s">
        <v>5015</v>
      </c>
      <c r="C1991" s="3">
        <v>46</v>
      </c>
      <c r="D1991" s="46" t="str">
        <f>IF(Tabla1[[#This Row],[EDAD]]&lt;=35,"Adultos jóvenes 18 - 35 años",IF(C1991&gt;=36,"Adultos mayores 36 años en adelante"))</f>
        <v>Adultos mayores 36 años en adelante</v>
      </c>
      <c r="E1991" s="3" t="s">
        <v>5020</v>
      </c>
      <c r="F1991" s="3" t="s">
        <v>5025</v>
      </c>
      <c r="G1991" s="3" t="s">
        <v>5032</v>
      </c>
      <c r="H1991" s="3" t="s">
        <v>9054</v>
      </c>
      <c r="I1991" s="17">
        <v>45428</v>
      </c>
      <c r="J1991" s="18">
        <f>YEAR(Tabla1[[#This Row],[FECHA DE COMPRA]])</f>
        <v>2024</v>
      </c>
      <c r="K1991" s="19">
        <v>34.49</v>
      </c>
      <c r="L1991" s="20">
        <v>0</v>
      </c>
      <c r="M1991" s="19">
        <f>Tienda!$K211-Tienda!$K211*Tienda!$L211</f>
        <v>164.16899999999998</v>
      </c>
      <c r="N1991" s="3" t="s">
        <v>10039</v>
      </c>
      <c r="O1991" s="3" t="s">
        <v>10041</v>
      </c>
      <c r="P1991" s="17">
        <v>45428</v>
      </c>
      <c r="Q1991" s="4">
        <v>0</v>
      </c>
    </row>
    <row r="1992" spans="1:17" ht="30" x14ac:dyDescent="0.25">
      <c r="A1992" s="2" t="s">
        <v>327</v>
      </c>
      <c r="B1992" s="3" t="s">
        <v>5016</v>
      </c>
      <c r="C1992" s="3">
        <v>37</v>
      </c>
      <c r="D1992" s="46" t="str">
        <f>IF(Tabla1[[#This Row],[EDAD]]&lt;=35,"Adultos jóvenes 18 - 35 años",IF(C1992&gt;=36,"Adultos mayores 36 años en adelante"))</f>
        <v>Adultos mayores 36 años en adelante</v>
      </c>
      <c r="E1992" s="3" t="s">
        <v>5021</v>
      </c>
      <c r="F1992" s="3" t="s">
        <v>5026</v>
      </c>
      <c r="G1992" s="3" t="s">
        <v>5034</v>
      </c>
      <c r="H1992" s="3" t="s">
        <v>5350</v>
      </c>
      <c r="I1992" s="17">
        <v>45428</v>
      </c>
      <c r="J1992" s="18">
        <f>YEAR(Tabla1[[#This Row],[FECHA DE COMPRA]])</f>
        <v>2024</v>
      </c>
      <c r="K1992" s="19">
        <v>123.29</v>
      </c>
      <c r="L1992" s="20">
        <v>0.3</v>
      </c>
      <c r="M1992" s="19">
        <f>Tienda!$K212-Tienda!$K212*Tienda!$L212</f>
        <v>78.245999999999995</v>
      </c>
      <c r="N1992" s="3" t="s">
        <v>10039</v>
      </c>
      <c r="O1992" s="3" t="s">
        <v>10041</v>
      </c>
      <c r="P1992" s="17">
        <v>45428</v>
      </c>
      <c r="Q1992" s="4">
        <v>0</v>
      </c>
    </row>
    <row r="1993" spans="1:17" ht="30" x14ac:dyDescent="0.25">
      <c r="A1993" s="2" t="s">
        <v>492</v>
      </c>
      <c r="B1993" s="3" t="s">
        <v>5015</v>
      </c>
      <c r="C1993" s="3">
        <v>65</v>
      </c>
      <c r="D1993" s="46" t="str">
        <f>IF(Tabla1[[#This Row],[EDAD]]&lt;=35,"Adultos jóvenes 18 - 35 años",IF(C1993&gt;=36,"Adultos mayores 36 años en adelante"))</f>
        <v>Adultos mayores 36 años en adelante</v>
      </c>
      <c r="E1993" s="3" t="s">
        <v>5019</v>
      </c>
      <c r="F1993" s="3" t="s">
        <v>5025</v>
      </c>
      <c r="G1993" s="3" t="s">
        <v>5034</v>
      </c>
      <c r="H1993" s="3" t="s">
        <v>5515</v>
      </c>
      <c r="I1993" s="17">
        <v>45428</v>
      </c>
      <c r="J1993" s="18">
        <f>YEAR(Tabla1[[#This Row],[FECHA DE COMPRA]])</f>
        <v>2024</v>
      </c>
      <c r="K1993" s="19">
        <v>175.83</v>
      </c>
      <c r="L1993" s="20">
        <v>0</v>
      </c>
      <c r="M1993" s="19">
        <f>Tienda!$K213-Tienda!$K213*Tienda!$L213</f>
        <v>81.92</v>
      </c>
      <c r="N1993" s="3" t="s">
        <v>10039</v>
      </c>
      <c r="O1993" s="3" t="s">
        <v>10041</v>
      </c>
      <c r="P1993" s="17">
        <v>45428</v>
      </c>
      <c r="Q1993" s="4">
        <v>0</v>
      </c>
    </row>
    <row r="1994" spans="1:17" ht="30" x14ac:dyDescent="0.25">
      <c r="A1994" s="2" t="s">
        <v>1552</v>
      </c>
      <c r="B1994" s="3" t="s">
        <v>5016</v>
      </c>
      <c r="C1994" s="3">
        <v>56</v>
      </c>
      <c r="D1994" s="46" t="str">
        <f>IF(Tabla1[[#This Row],[EDAD]]&lt;=35,"Adultos jóvenes 18 - 35 años",IF(C1994&gt;=36,"Adultos mayores 36 años en adelante"))</f>
        <v>Adultos mayores 36 años en adelante</v>
      </c>
      <c r="E1994" s="3" t="s">
        <v>5023</v>
      </c>
      <c r="F1994" s="3" t="s">
        <v>5026</v>
      </c>
      <c r="G1994" s="3" t="s">
        <v>5032</v>
      </c>
      <c r="H1994" s="3" t="s">
        <v>6575</v>
      </c>
      <c r="I1994" s="17">
        <v>45429</v>
      </c>
      <c r="J1994" s="18">
        <f>YEAR(Tabla1[[#This Row],[FECHA DE COMPRA]])</f>
        <v>2024</v>
      </c>
      <c r="K1994" s="19">
        <v>78.45</v>
      </c>
      <c r="L1994" s="20">
        <v>0.1</v>
      </c>
      <c r="M1994" s="19">
        <f>Tienda!$K215-Tienda!$K215*Tienda!$L215</f>
        <v>74.703999999999994</v>
      </c>
      <c r="N1994" s="3" t="s">
        <v>10039</v>
      </c>
      <c r="O1994" s="3" t="s">
        <v>10041</v>
      </c>
      <c r="P1994" s="17">
        <v>45429</v>
      </c>
      <c r="Q1994" s="4">
        <v>0</v>
      </c>
    </row>
    <row r="1995" spans="1:17" ht="30" x14ac:dyDescent="0.25">
      <c r="A1995" s="2" t="s">
        <v>3384</v>
      </c>
      <c r="B1995" s="3" t="s">
        <v>5015</v>
      </c>
      <c r="C1995" s="3">
        <v>48</v>
      </c>
      <c r="D1995" s="46" t="str">
        <f>IF(Tabla1[[#This Row],[EDAD]]&lt;=35,"Adultos jóvenes 18 - 35 años",IF(C1995&gt;=36,"Adultos mayores 36 años en adelante"))</f>
        <v>Adultos mayores 36 años en adelante</v>
      </c>
      <c r="E1995" s="3" t="s">
        <v>5019</v>
      </c>
      <c r="F1995" s="3" t="s">
        <v>5030</v>
      </c>
      <c r="G1995" s="3" t="s">
        <v>5032</v>
      </c>
      <c r="H1995" s="3" t="s">
        <v>8407</v>
      </c>
      <c r="I1995" s="17">
        <v>45429</v>
      </c>
      <c r="J1995" s="18">
        <f>YEAR(Tabla1[[#This Row],[FECHA DE COMPRA]])</f>
        <v>2024</v>
      </c>
      <c r="K1995" s="19">
        <v>136.5</v>
      </c>
      <c r="L1995" s="20">
        <v>0.2</v>
      </c>
      <c r="M1995" s="19">
        <f>Tienda!$K219-Tienda!$K219*Tienda!$L219</f>
        <v>119.39</v>
      </c>
      <c r="N1995" s="3" t="s">
        <v>10039</v>
      </c>
      <c r="O1995" s="3" t="s">
        <v>10041</v>
      </c>
      <c r="P1995" s="17">
        <v>45429</v>
      </c>
      <c r="Q1995" s="4">
        <v>0</v>
      </c>
    </row>
    <row r="1996" spans="1:17" ht="30" x14ac:dyDescent="0.25">
      <c r="A1996" s="2" t="s">
        <v>2264</v>
      </c>
      <c r="B1996" s="3" t="s">
        <v>5016</v>
      </c>
      <c r="C1996" s="3">
        <v>49</v>
      </c>
      <c r="D1996" s="46" t="str">
        <f>IF(Tabla1[[#This Row],[EDAD]]&lt;=35,"Adultos jóvenes 18 - 35 años",IF(C1996&gt;=36,"Adultos mayores 36 años en adelante"))</f>
        <v>Adultos mayores 36 años en adelante</v>
      </c>
      <c r="E1996" s="3" t="s">
        <v>5019</v>
      </c>
      <c r="F1996" s="3" t="s">
        <v>5030</v>
      </c>
      <c r="G1996" s="3" t="s">
        <v>5031</v>
      </c>
      <c r="H1996" s="3" t="s">
        <v>7287</v>
      </c>
      <c r="I1996" s="17">
        <v>45430</v>
      </c>
      <c r="J1996" s="18">
        <f>YEAR(Tabla1[[#This Row],[FECHA DE COMPRA]])</f>
        <v>2024</v>
      </c>
      <c r="K1996" s="19">
        <v>56.52</v>
      </c>
      <c r="L1996" s="20">
        <v>0.2</v>
      </c>
      <c r="M1996" s="19">
        <f>Tienda!$K220-Tienda!$K220*Tienda!$L220</f>
        <v>78.92</v>
      </c>
      <c r="N1996" s="3" t="s">
        <v>10039</v>
      </c>
      <c r="O1996" s="3" t="s">
        <v>10041</v>
      </c>
      <c r="P1996" s="17">
        <v>45430</v>
      </c>
      <c r="Q1996" s="4">
        <v>0</v>
      </c>
    </row>
    <row r="1997" spans="1:17" ht="30" x14ac:dyDescent="0.25">
      <c r="A1997" s="2" t="s">
        <v>130</v>
      </c>
      <c r="B1997" s="3" t="s">
        <v>5015</v>
      </c>
      <c r="C1997" s="3">
        <v>62</v>
      </c>
      <c r="D1997" s="46" t="str">
        <f>IF(Tabla1[[#This Row],[EDAD]]&lt;=35,"Adultos jóvenes 18 - 35 años",IF(C1997&gt;=36,"Adultos mayores 36 años en adelante"))</f>
        <v>Adultos mayores 36 años en adelante</v>
      </c>
      <c r="E1997" s="3" t="s">
        <v>5020</v>
      </c>
      <c r="F1997" s="3" t="s">
        <v>5029</v>
      </c>
      <c r="G1997" s="3" t="s">
        <v>5031</v>
      </c>
      <c r="H1997" s="3" t="s">
        <v>5153</v>
      </c>
      <c r="I1997" s="17">
        <v>45431</v>
      </c>
      <c r="J1997" s="18">
        <f>YEAR(Tabla1[[#This Row],[FECHA DE COMPRA]])</f>
        <v>2024</v>
      </c>
      <c r="K1997" s="19">
        <v>55.34</v>
      </c>
      <c r="L1997" s="20">
        <v>0.2</v>
      </c>
      <c r="M1997" s="19">
        <f>Tienda!$K222-Tienda!$K222*Tienda!$L222</f>
        <v>44.783999999999999</v>
      </c>
      <c r="N1997" s="3" t="s">
        <v>10039</v>
      </c>
      <c r="O1997" s="3" t="s">
        <v>10041</v>
      </c>
      <c r="P1997" s="17">
        <v>45431</v>
      </c>
      <c r="Q1997" s="4">
        <v>0</v>
      </c>
    </row>
    <row r="1998" spans="1:17" ht="30" x14ac:dyDescent="0.25">
      <c r="A1998" s="2" t="s">
        <v>1737</v>
      </c>
      <c r="B1998" s="3" t="s">
        <v>5015</v>
      </c>
      <c r="C1998" s="3">
        <v>53</v>
      </c>
      <c r="D1998" s="46" t="str">
        <f>IF(Tabla1[[#This Row],[EDAD]]&lt;=35,"Adultos jóvenes 18 - 35 años",IF(C1998&gt;=36,"Adultos mayores 36 años en adelante"))</f>
        <v>Adultos mayores 36 años en adelante</v>
      </c>
      <c r="E1998" s="3" t="s">
        <v>5018</v>
      </c>
      <c r="F1998" s="3" t="s">
        <v>5026</v>
      </c>
      <c r="G1998" s="3" t="s">
        <v>5032</v>
      </c>
      <c r="H1998" s="3" t="s">
        <v>6760</v>
      </c>
      <c r="I1998" s="17">
        <v>45433</v>
      </c>
      <c r="J1998" s="18">
        <f>YEAR(Tabla1[[#This Row],[FECHA DE COMPRA]])</f>
        <v>2024</v>
      </c>
      <c r="K1998" s="19">
        <v>164.39</v>
      </c>
      <c r="L1998" s="20">
        <v>0</v>
      </c>
      <c r="M1998" s="19">
        <f>Tienda!$K224-Tienda!$K224*Tienda!$L224</f>
        <v>172.81800000000001</v>
      </c>
      <c r="N1998" s="3" t="s">
        <v>10039</v>
      </c>
      <c r="O1998" s="3" t="s">
        <v>10041</v>
      </c>
      <c r="P1998" s="17">
        <v>45433</v>
      </c>
      <c r="Q1998" s="4">
        <v>0</v>
      </c>
    </row>
    <row r="1999" spans="1:17" ht="30" x14ac:dyDescent="0.25">
      <c r="A1999" s="2" t="s">
        <v>1322</v>
      </c>
      <c r="B1999" s="3" t="s">
        <v>5015</v>
      </c>
      <c r="C1999" s="3">
        <v>37</v>
      </c>
      <c r="D1999" s="46" t="str">
        <f>IF(Tabla1[[#This Row],[EDAD]]&lt;=35,"Adultos jóvenes 18 - 35 años",IF(C1999&gt;=36,"Adultos mayores 36 años en adelante"))</f>
        <v>Adultos mayores 36 años en adelante</v>
      </c>
      <c r="E1999" s="3" t="s">
        <v>5018</v>
      </c>
      <c r="F1999" s="3" t="s">
        <v>5026</v>
      </c>
      <c r="G1999" s="3" t="s">
        <v>5032</v>
      </c>
      <c r="H1999" s="3" t="s">
        <v>6345</v>
      </c>
      <c r="I1999" s="17">
        <v>45435</v>
      </c>
      <c r="J1999" s="18">
        <f>YEAR(Tabla1[[#This Row],[FECHA DE COMPRA]])</f>
        <v>2024</v>
      </c>
      <c r="K1999" s="19">
        <v>29.43</v>
      </c>
      <c r="L1999" s="20">
        <v>0</v>
      </c>
      <c r="M1999" s="19">
        <f>Tienda!$K227-Tienda!$K227*Tienda!$L227</f>
        <v>17.472000000000001</v>
      </c>
      <c r="N1999" s="3" t="s">
        <v>10039</v>
      </c>
      <c r="O1999" s="3" t="s">
        <v>10041</v>
      </c>
      <c r="P1999" s="17">
        <v>45435</v>
      </c>
      <c r="Q1999" s="4">
        <v>0</v>
      </c>
    </row>
    <row r="2000" spans="1:17" ht="30" x14ac:dyDescent="0.25">
      <c r="A2000" s="2" t="s">
        <v>859</v>
      </c>
      <c r="B2000" s="3" t="s">
        <v>5015</v>
      </c>
      <c r="C2000" s="3">
        <v>64</v>
      </c>
      <c r="D2000" s="46" t="str">
        <f>IF(Tabla1[[#This Row],[EDAD]]&lt;=35,"Adultos jóvenes 18 - 35 años",IF(C2000&gt;=36,"Adultos mayores 36 años en adelante"))</f>
        <v>Adultos mayores 36 años en adelante</v>
      </c>
      <c r="E2000" s="3" t="s">
        <v>5022</v>
      </c>
      <c r="F2000" s="3" t="s">
        <v>5026</v>
      </c>
      <c r="G2000" s="3" t="s">
        <v>5035</v>
      </c>
      <c r="H2000" s="3" t="s">
        <v>5882</v>
      </c>
      <c r="I2000" s="17">
        <v>45435</v>
      </c>
      <c r="J2000" s="18">
        <f>YEAR(Tabla1[[#This Row],[FECHA DE COMPRA]])</f>
        <v>2024</v>
      </c>
      <c r="K2000" s="19">
        <v>77.430000000000007</v>
      </c>
      <c r="L2000" s="20">
        <v>0.3</v>
      </c>
      <c r="M2000" s="19">
        <f>Tienda!$K228-Tienda!$K228*Tienda!$L228</f>
        <v>140.43</v>
      </c>
      <c r="N2000" s="3" t="s">
        <v>10039</v>
      </c>
      <c r="O2000" s="3" t="s">
        <v>10041</v>
      </c>
      <c r="P2000" s="17">
        <v>45435</v>
      </c>
      <c r="Q2000" s="4">
        <v>0</v>
      </c>
    </row>
    <row r="2001" spans="1:17" ht="30" x14ac:dyDescent="0.25">
      <c r="A2001" s="2" t="s">
        <v>646</v>
      </c>
      <c r="B2001" s="3" t="s">
        <v>5015</v>
      </c>
      <c r="C2001" s="3">
        <v>49</v>
      </c>
      <c r="D2001" s="46" t="str">
        <f>IF(Tabla1[[#This Row],[EDAD]]&lt;=35,"Adultos jóvenes 18 - 35 años",IF(C2001&gt;=36,"Adultos mayores 36 años en adelante"))</f>
        <v>Adultos mayores 36 años en adelante</v>
      </c>
      <c r="E2001" s="3" t="s">
        <v>5022</v>
      </c>
      <c r="F2001" s="3" t="s">
        <v>5030</v>
      </c>
      <c r="G2001" s="3" t="s">
        <v>5032</v>
      </c>
      <c r="H2001" s="3" t="s">
        <v>5669</v>
      </c>
      <c r="I2001" s="17">
        <v>45435</v>
      </c>
      <c r="J2001" s="18">
        <f>YEAR(Tabla1[[#This Row],[FECHA DE COMPRA]])</f>
        <v>2024</v>
      </c>
      <c r="K2001" s="19">
        <v>111.19</v>
      </c>
      <c r="L2001" s="20">
        <v>0.2</v>
      </c>
      <c r="M2001" s="19">
        <f>Tienda!$K229-Tienda!$K229*Tienda!$L229</f>
        <v>127.744</v>
      </c>
      <c r="N2001" s="3" t="s">
        <v>10039</v>
      </c>
      <c r="O2001" s="3" t="s">
        <v>10041</v>
      </c>
      <c r="P2001" s="17">
        <v>45435</v>
      </c>
      <c r="Q2001" s="4">
        <v>0</v>
      </c>
    </row>
    <row r="2002" spans="1:17" ht="30" x14ac:dyDescent="0.25">
      <c r="A2002" s="2" t="s">
        <v>2623</v>
      </c>
      <c r="B2002" s="3" t="s">
        <v>5015</v>
      </c>
      <c r="C2002" s="3">
        <v>64</v>
      </c>
      <c r="D2002" s="46" t="str">
        <f>IF(Tabla1[[#This Row],[EDAD]]&lt;=35,"Adultos jóvenes 18 - 35 años",IF(C2002&gt;=36,"Adultos mayores 36 años en adelante"))</f>
        <v>Adultos mayores 36 años en adelante</v>
      </c>
      <c r="E2002" s="3" t="s">
        <v>5022</v>
      </c>
      <c r="F2002" s="3" t="s">
        <v>5030</v>
      </c>
      <c r="G2002" s="3" t="s">
        <v>5033</v>
      </c>
      <c r="H2002" s="3" t="s">
        <v>7646</v>
      </c>
      <c r="I2002" s="17">
        <v>45435</v>
      </c>
      <c r="J2002" s="18">
        <f>YEAR(Tabla1[[#This Row],[FECHA DE COMPRA]])</f>
        <v>2024</v>
      </c>
      <c r="K2002" s="19">
        <v>174.53</v>
      </c>
      <c r="L2002" s="20">
        <v>0.3</v>
      </c>
      <c r="M2002" s="19">
        <f>Tienda!$K230-Tienda!$K230*Tienda!$L230</f>
        <v>25.48</v>
      </c>
      <c r="N2002" s="3" t="s">
        <v>10039</v>
      </c>
      <c r="O2002" s="3" t="s">
        <v>10041</v>
      </c>
      <c r="P2002" s="17">
        <v>45435</v>
      </c>
      <c r="Q2002" s="4">
        <v>0</v>
      </c>
    </row>
    <row r="2003" spans="1:17" ht="30" x14ac:dyDescent="0.25">
      <c r="A2003" s="2" t="s">
        <v>2283</v>
      </c>
      <c r="B2003" s="3" t="s">
        <v>5015</v>
      </c>
      <c r="C2003" s="3">
        <v>37</v>
      </c>
      <c r="D2003" s="46" t="str">
        <f>IF(Tabla1[[#This Row],[EDAD]]&lt;=35,"Adultos jóvenes 18 - 35 años",IF(C2003&gt;=36,"Adultos mayores 36 años en adelante"))</f>
        <v>Adultos mayores 36 años en adelante</v>
      </c>
      <c r="E2003" s="3" t="s">
        <v>5021</v>
      </c>
      <c r="F2003" s="3" t="s">
        <v>5025</v>
      </c>
      <c r="G2003" s="3" t="s">
        <v>5036</v>
      </c>
      <c r="H2003" s="3" t="s">
        <v>7306</v>
      </c>
      <c r="I2003" s="17">
        <v>45436</v>
      </c>
      <c r="J2003" s="18">
        <f>YEAR(Tabla1[[#This Row],[FECHA DE COMPRA]])</f>
        <v>2024</v>
      </c>
      <c r="K2003" s="19">
        <v>94.56</v>
      </c>
      <c r="L2003" s="20">
        <v>0.1</v>
      </c>
      <c r="M2003" s="19">
        <f>Tienda!$K231-Tienda!$K231*Tienda!$L231</f>
        <v>22.919999999999998</v>
      </c>
      <c r="N2003" s="3" t="s">
        <v>10039</v>
      </c>
      <c r="O2003" s="3" t="s">
        <v>10041</v>
      </c>
      <c r="P2003" s="17">
        <v>45436</v>
      </c>
      <c r="Q2003" s="4">
        <v>0</v>
      </c>
    </row>
    <row r="2004" spans="1:17" ht="30" x14ac:dyDescent="0.25">
      <c r="A2004" s="2" t="s">
        <v>4480</v>
      </c>
      <c r="B2004" s="3" t="s">
        <v>5015</v>
      </c>
      <c r="C2004" s="3">
        <v>57</v>
      </c>
      <c r="D2004" s="46" t="str">
        <f>IF(Tabla1[[#This Row],[EDAD]]&lt;=35,"Adultos jóvenes 18 - 35 años",IF(C2004&gt;=36,"Adultos mayores 36 años en adelante"))</f>
        <v>Adultos mayores 36 años en adelante</v>
      </c>
      <c r="E2004" s="3" t="s">
        <v>5022</v>
      </c>
      <c r="F2004" s="3" t="s">
        <v>5024</v>
      </c>
      <c r="G2004" s="3" t="s">
        <v>5035</v>
      </c>
      <c r="H2004" s="3" t="s">
        <v>9503</v>
      </c>
      <c r="I2004" s="17">
        <v>45437</v>
      </c>
      <c r="J2004" s="18">
        <f>YEAR(Tabla1[[#This Row],[FECHA DE COMPRA]])</f>
        <v>2024</v>
      </c>
      <c r="K2004" s="19">
        <v>150.47999999999999</v>
      </c>
      <c r="L2004" s="20">
        <v>0.3</v>
      </c>
      <c r="M2004" s="19">
        <f>Tienda!$K232-Tienda!$K232*Tienda!$L232</f>
        <v>13.113</v>
      </c>
      <c r="N2004" s="3" t="s">
        <v>10039</v>
      </c>
      <c r="O2004" s="3" t="s">
        <v>10041</v>
      </c>
      <c r="P2004" s="17">
        <v>45437</v>
      </c>
      <c r="Q2004" s="4">
        <v>0</v>
      </c>
    </row>
    <row r="2005" spans="1:17" ht="30" x14ac:dyDescent="0.25">
      <c r="A2005" s="2" t="s">
        <v>1256</v>
      </c>
      <c r="B2005" s="3" t="s">
        <v>5015</v>
      </c>
      <c r="C2005" s="3">
        <v>47</v>
      </c>
      <c r="D2005" s="46" t="str">
        <f>IF(Tabla1[[#This Row],[EDAD]]&lt;=35,"Adultos jóvenes 18 - 35 años",IF(C2005&gt;=36,"Adultos mayores 36 años en adelante"))</f>
        <v>Adultos mayores 36 años en adelante</v>
      </c>
      <c r="E2005" s="3" t="s">
        <v>5018</v>
      </c>
      <c r="F2005" s="3" t="s">
        <v>5026</v>
      </c>
      <c r="G2005" s="3" t="s">
        <v>5033</v>
      </c>
      <c r="H2005" s="3" t="s">
        <v>6279</v>
      </c>
      <c r="I2005" s="17">
        <v>45439</v>
      </c>
      <c r="J2005" s="18">
        <f>YEAR(Tabla1[[#This Row],[FECHA DE COMPRA]])</f>
        <v>2024</v>
      </c>
      <c r="K2005" s="19">
        <v>79.680000000000007</v>
      </c>
      <c r="L2005" s="20">
        <v>0.3</v>
      </c>
      <c r="M2005" s="19">
        <f>Tienda!$K235-Tienda!$K235*Tienda!$L235</f>
        <v>73.143000000000001</v>
      </c>
      <c r="N2005" s="3" t="s">
        <v>10039</v>
      </c>
      <c r="O2005" s="3" t="s">
        <v>10041</v>
      </c>
      <c r="P2005" s="17">
        <v>45439</v>
      </c>
      <c r="Q2005" s="4">
        <v>0</v>
      </c>
    </row>
    <row r="2006" spans="1:17" ht="30" x14ac:dyDescent="0.25">
      <c r="A2006" s="2" t="s">
        <v>4488</v>
      </c>
      <c r="B2006" s="3" t="s">
        <v>5015</v>
      </c>
      <c r="C2006" s="3">
        <v>46</v>
      </c>
      <c r="D2006" s="46" t="str">
        <f>IF(Tabla1[[#This Row],[EDAD]]&lt;=35,"Adultos jóvenes 18 - 35 años",IF(C2006&gt;=36,"Adultos mayores 36 años en adelante"))</f>
        <v>Adultos mayores 36 años en adelante</v>
      </c>
      <c r="E2006" s="3" t="s">
        <v>5020</v>
      </c>
      <c r="F2006" s="3" t="s">
        <v>5025</v>
      </c>
      <c r="G2006" s="3" t="s">
        <v>5034</v>
      </c>
      <c r="H2006" s="3" t="s">
        <v>9511</v>
      </c>
      <c r="I2006" s="17">
        <v>45439</v>
      </c>
      <c r="J2006" s="18">
        <f>YEAR(Tabla1[[#This Row],[FECHA DE COMPRA]])</f>
        <v>2024</v>
      </c>
      <c r="K2006" s="19">
        <v>164.65</v>
      </c>
      <c r="L2006" s="20">
        <v>0.3</v>
      </c>
      <c r="M2006" s="19">
        <f>Tienda!$K236-Tienda!$K236*Tienda!$L236</f>
        <v>28.72</v>
      </c>
      <c r="N2006" s="3" t="s">
        <v>10039</v>
      </c>
      <c r="O2006" s="3" t="s">
        <v>10041</v>
      </c>
      <c r="P2006" s="17">
        <v>45439</v>
      </c>
      <c r="Q2006" s="4">
        <v>0</v>
      </c>
    </row>
    <row r="2007" spans="1:17" ht="30" x14ac:dyDescent="0.25">
      <c r="A2007" s="2" t="s">
        <v>1878</v>
      </c>
      <c r="B2007" s="3" t="s">
        <v>5015</v>
      </c>
      <c r="C2007" s="3">
        <v>55</v>
      </c>
      <c r="D2007" s="46" t="str">
        <f>IF(Tabla1[[#This Row],[EDAD]]&lt;=35,"Adultos jóvenes 18 - 35 años",IF(C2007&gt;=36,"Adultos mayores 36 años en adelante"))</f>
        <v>Adultos mayores 36 años en adelante</v>
      </c>
      <c r="E2007" s="3" t="s">
        <v>5021</v>
      </c>
      <c r="F2007" s="3" t="s">
        <v>5030</v>
      </c>
      <c r="G2007" s="3" t="s">
        <v>5032</v>
      </c>
      <c r="H2007" s="3" t="s">
        <v>6901</v>
      </c>
      <c r="I2007" s="17">
        <v>45440</v>
      </c>
      <c r="J2007" s="18">
        <f>YEAR(Tabla1[[#This Row],[FECHA DE COMPRA]])</f>
        <v>2024</v>
      </c>
      <c r="K2007" s="19">
        <v>109.98</v>
      </c>
      <c r="L2007" s="20">
        <v>0.1</v>
      </c>
      <c r="M2007" s="19">
        <f>Tienda!$K238-Tienda!$K238*Tienda!$L238</f>
        <v>27.692</v>
      </c>
      <c r="N2007" s="3" t="s">
        <v>10039</v>
      </c>
      <c r="O2007" s="3" t="s">
        <v>10041</v>
      </c>
      <c r="P2007" s="17">
        <v>45440</v>
      </c>
      <c r="Q2007" s="4">
        <v>0</v>
      </c>
    </row>
    <row r="2008" spans="1:17" ht="30" x14ac:dyDescent="0.25">
      <c r="A2008" s="2" t="s">
        <v>3598</v>
      </c>
      <c r="B2008" s="3" t="s">
        <v>5015</v>
      </c>
      <c r="C2008" s="3">
        <v>56</v>
      </c>
      <c r="D2008" s="46" t="str">
        <f>IF(Tabla1[[#This Row],[EDAD]]&lt;=35,"Adultos jóvenes 18 - 35 años",IF(C2008&gt;=36,"Adultos mayores 36 años en adelante"))</f>
        <v>Adultos mayores 36 años en adelante</v>
      </c>
      <c r="E2008" s="3" t="s">
        <v>5020</v>
      </c>
      <c r="F2008" s="3" t="s">
        <v>5030</v>
      </c>
      <c r="G2008" s="3" t="s">
        <v>5037</v>
      </c>
      <c r="H2008" s="3" t="s">
        <v>8621</v>
      </c>
      <c r="I2008" s="17">
        <v>45440</v>
      </c>
      <c r="J2008" s="18">
        <f>YEAR(Tabla1[[#This Row],[FECHA DE COMPRA]])</f>
        <v>2024</v>
      </c>
      <c r="K2008" s="19">
        <v>173.94</v>
      </c>
      <c r="L2008" s="20">
        <v>0.3</v>
      </c>
      <c r="M2008" s="19">
        <f>Tienda!$K241-Tienda!$K241*Tienda!$L241</f>
        <v>179.82900000000001</v>
      </c>
      <c r="N2008" s="3" t="s">
        <v>10039</v>
      </c>
      <c r="O2008" s="3" t="s">
        <v>10041</v>
      </c>
      <c r="P2008" s="17">
        <v>45440</v>
      </c>
      <c r="Q2008" s="4">
        <v>0</v>
      </c>
    </row>
    <row r="2009" spans="1:17" ht="30" x14ac:dyDescent="0.25">
      <c r="A2009" s="2" t="s">
        <v>1427</v>
      </c>
      <c r="B2009" s="3" t="s">
        <v>5016</v>
      </c>
      <c r="C2009" s="3">
        <v>40</v>
      </c>
      <c r="D2009" s="46" t="str">
        <f>IF(Tabla1[[#This Row],[EDAD]]&lt;=35,"Adultos jóvenes 18 - 35 años",IF(C2009&gt;=36,"Adultos mayores 36 años en adelante"))</f>
        <v>Adultos mayores 36 años en adelante</v>
      </c>
      <c r="E2009" s="3" t="s">
        <v>5021</v>
      </c>
      <c r="F2009" s="3" t="s">
        <v>5026</v>
      </c>
      <c r="G2009" s="3" t="s">
        <v>5033</v>
      </c>
      <c r="H2009" s="3" t="s">
        <v>6450</v>
      </c>
      <c r="I2009" s="17">
        <v>45441</v>
      </c>
      <c r="J2009" s="18">
        <f>YEAR(Tabla1[[#This Row],[FECHA DE COMPRA]])</f>
        <v>2024</v>
      </c>
      <c r="K2009" s="19">
        <v>25.46</v>
      </c>
      <c r="L2009" s="20">
        <v>0.3</v>
      </c>
      <c r="M2009" s="19">
        <f>Tienda!$K242-Tienda!$K242*Tienda!$L242</f>
        <v>128.00700000000001</v>
      </c>
      <c r="N2009" s="3" t="s">
        <v>10039</v>
      </c>
      <c r="O2009" s="3" t="s">
        <v>10041</v>
      </c>
      <c r="P2009" s="17">
        <v>45441</v>
      </c>
      <c r="Q2009" s="4">
        <v>0</v>
      </c>
    </row>
    <row r="2010" spans="1:17" ht="30" x14ac:dyDescent="0.25">
      <c r="A2010" s="2" t="s">
        <v>775</v>
      </c>
      <c r="B2010" s="3" t="s">
        <v>5015</v>
      </c>
      <c r="C2010" s="3">
        <v>50</v>
      </c>
      <c r="D2010" s="46" t="str">
        <f>IF(Tabla1[[#This Row],[EDAD]]&lt;=35,"Adultos jóvenes 18 - 35 años",IF(C2010&gt;=36,"Adultos mayores 36 años en adelante"))</f>
        <v>Adultos mayores 36 años en adelante</v>
      </c>
      <c r="E2010" s="3" t="s">
        <v>5019</v>
      </c>
      <c r="F2010" s="3" t="s">
        <v>5027</v>
      </c>
      <c r="G2010" s="3" t="s">
        <v>5032</v>
      </c>
      <c r="H2010" s="3" t="s">
        <v>5798</v>
      </c>
      <c r="I2010" s="17">
        <v>45441</v>
      </c>
      <c r="J2010" s="18">
        <f>YEAR(Tabla1[[#This Row],[FECHA DE COMPRA]])</f>
        <v>2024</v>
      </c>
      <c r="K2010" s="19">
        <v>103.74</v>
      </c>
      <c r="L2010" s="20">
        <v>0.2</v>
      </c>
      <c r="M2010" s="19">
        <f>Tienda!$K243-Tienda!$K243*Tienda!$L243</f>
        <v>75.887999999999991</v>
      </c>
      <c r="N2010" s="3" t="s">
        <v>10039</v>
      </c>
      <c r="O2010" s="3" t="s">
        <v>10041</v>
      </c>
      <c r="P2010" s="17">
        <v>45441</v>
      </c>
      <c r="Q2010" s="4">
        <v>0</v>
      </c>
    </row>
    <row r="2011" spans="1:17" ht="30" x14ac:dyDescent="0.25">
      <c r="A2011" s="2" t="s">
        <v>188</v>
      </c>
      <c r="B2011" s="3" t="s">
        <v>5015</v>
      </c>
      <c r="C2011" s="3">
        <v>42</v>
      </c>
      <c r="D2011" s="46" t="str">
        <f>IF(Tabla1[[#This Row],[EDAD]]&lt;=35,"Adultos jóvenes 18 - 35 años",IF(C2011&gt;=36,"Adultos mayores 36 años en adelante"))</f>
        <v>Adultos mayores 36 años en adelante</v>
      </c>
      <c r="E2011" s="3" t="s">
        <v>5022</v>
      </c>
      <c r="F2011" s="3" t="s">
        <v>5027</v>
      </c>
      <c r="G2011" s="3" t="s">
        <v>5037</v>
      </c>
      <c r="H2011" s="3" t="s">
        <v>5211</v>
      </c>
      <c r="I2011" s="17">
        <v>45442</v>
      </c>
      <c r="J2011" s="18">
        <f>YEAR(Tabla1[[#This Row],[FECHA DE COMPRA]])</f>
        <v>2024</v>
      </c>
      <c r="K2011" s="19">
        <v>72.17</v>
      </c>
      <c r="L2011" s="20">
        <v>0</v>
      </c>
      <c r="M2011" s="19">
        <f>Tienda!$K245-Tienda!$K245*Tienda!$L245</f>
        <v>64.394999999999996</v>
      </c>
      <c r="N2011" s="3" t="s">
        <v>10039</v>
      </c>
      <c r="O2011" s="3" t="s">
        <v>10041</v>
      </c>
      <c r="P2011" s="17">
        <v>45442</v>
      </c>
      <c r="Q2011" s="4">
        <v>0</v>
      </c>
    </row>
    <row r="2012" spans="1:17" ht="30" x14ac:dyDescent="0.25">
      <c r="A2012" s="2" t="s">
        <v>4296</v>
      </c>
      <c r="B2012" s="3" t="s">
        <v>5015</v>
      </c>
      <c r="C2012" s="3">
        <v>50</v>
      </c>
      <c r="D2012" s="46" t="str">
        <f>IF(Tabla1[[#This Row],[EDAD]]&lt;=35,"Adultos jóvenes 18 - 35 años",IF(C2012&gt;=36,"Adultos mayores 36 años en adelante"))</f>
        <v>Adultos mayores 36 años en adelante</v>
      </c>
      <c r="E2012" s="3" t="s">
        <v>5020</v>
      </c>
      <c r="F2012" s="3" t="s">
        <v>5025</v>
      </c>
      <c r="G2012" s="3" t="s">
        <v>5036</v>
      </c>
      <c r="H2012" s="3" t="s">
        <v>9319</v>
      </c>
      <c r="I2012" s="17">
        <v>45443</v>
      </c>
      <c r="J2012" s="18">
        <f>YEAR(Tabla1[[#This Row],[FECHA DE COMPRA]])</f>
        <v>2024</v>
      </c>
      <c r="K2012" s="19">
        <v>41.54</v>
      </c>
      <c r="L2012" s="20">
        <v>0.2</v>
      </c>
      <c r="M2012" s="19">
        <f>Tienda!$K249-Tienda!$K249*Tienda!$L249</f>
        <v>49.598999999999997</v>
      </c>
      <c r="N2012" s="3" t="s">
        <v>10039</v>
      </c>
      <c r="O2012" s="3" t="s">
        <v>10041</v>
      </c>
      <c r="P2012" s="17">
        <v>45443</v>
      </c>
      <c r="Q2012" s="4">
        <v>0</v>
      </c>
    </row>
    <row r="2013" spans="1:17" ht="30" x14ac:dyDescent="0.25">
      <c r="A2013" s="2" t="s">
        <v>1991</v>
      </c>
      <c r="B2013" s="3" t="s">
        <v>5015</v>
      </c>
      <c r="C2013" s="3">
        <v>51</v>
      </c>
      <c r="D2013" s="46" t="str">
        <f>IF(Tabla1[[#This Row],[EDAD]]&lt;=35,"Adultos jóvenes 18 - 35 años",IF(C2013&gt;=36,"Adultos mayores 36 años en adelante"))</f>
        <v>Adultos mayores 36 años en adelante</v>
      </c>
      <c r="E2013" s="3" t="s">
        <v>5018</v>
      </c>
      <c r="F2013" s="3" t="s">
        <v>5029</v>
      </c>
      <c r="G2013" s="3" t="s">
        <v>5031</v>
      </c>
      <c r="H2013" s="3" t="s">
        <v>7014</v>
      </c>
      <c r="I2013" s="17">
        <v>45443</v>
      </c>
      <c r="J2013" s="18">
        <f>YEAR(Tabla1[[#This Row],[FECHA DE COMPRA]])</f>
        <v>2024</v>
      </c>
      <c r="K2013" s="19">
        <v>151.63</v>
      </c>
      <c r="L2013" s="20">
        <v>0</v>
      </c>
      <c r="M2013" s="19">
        <f>Tienda!$K250-Tienda!$K250*Tienda!$L250</f>
        <v>73.948000000000008</v>
      </c>
      <c r="N2013" s="3" t="s">
        <v>10039</v>
      </c>
      <c r="O2013" s="3" t="s">
        <v>10041</v>
      </c>
      <c r="P2013" s="17">
        <v>45443</v>
      </c>
      <c r="Q2013" s="4">
        <v>0</v>
      </c>
    </row>
    <row r="2014" spans="1:17" ht="30" x14ac:dyDescent="0.25">
      <c r="A2014" s="2" t="s">
        <v>360</v>
      </c>
      <c r="B2014" s="3" t="s">
        <v>5016</v>
      </c>
      <c r="C2014" s="3">
        <v>42</v>
      </c>
      <c r="D2014" s="46" t="str">
        <f>IF(Tabla1[[#This Row],[EDAD]]&lt;=35,"Adultos jóvenes 18 - 35 años",IF(C2014&gt;=36,"Adultos mayores 36 años en adelante"))</f>
        <v>Adultos mayores 36 años en adelante</v>
      </c>
      <c r="E2014" s="3" t="s">
        <v>5019</v>
      </c>
      <c r="F2014" s="3" t="s">
        <v>5030</v>
      </c>
      <c r="G2014" s="3" t="s">
        <v>5034</v>
      </c>
      <c r="H2014" s="3" t="s">
        <v>5383</v>
      </c>
      <c r="I2014" s="17">
        <v>45444</v>
      </c>
      <c r="J2014" s="18">
        <f>YEAR(Tabla1[[#This Row],[FECHA DE COMPRA]])</f>
        <v>2024</v>
      </c>
      <c r="K2014" s="19">
        <v>46.99</v>
      </c>
      <c r="L2014" s="20">
        <v>0</v>
      </c>
      <c r="M2014" s="19">
        <f>Tienda!$K251-Tienda!$K251*Tienda!$L251</f>
        <v>93.169999999999987</v>
      </c>
      <c r="N2014" s="3" t="s">
        <v>10039</v>
      </c>
      <c r="O2014" s="3" t="s">
        <v>10041</v>
      </c>
      <c r="P2014" s="17">
        <v>45444</v>
      </c>
      <c r="Q2014" s="4">
        <v>0</v>
      </c>
    </row>
    <row r="2015" spans="1:17" ht="30" x14ac:dyDescent="0.25">
      <c r="A2015" s="2" t="s">
        <v>4851</v>
      </c>
      <c r="B2015" s="3" t="s">
        <v>5016</v>
      </c>
      <c r="C2015" s="3">
        <v>59</v>
      </c>
      <c r="D2015" s="46" t="str">
        <f>IF(Tabla1[[#This Row],[EDAD]]&lt;=35,"Adultos jóvenes 18 - 35 años",IF(C2015&gt;=36,"Adultos mayores 36 años en adelante"))</f>
        <v>Adultos mayores 36 años en adelante</v>
      </c>
      <c r="E2015" s="3" t="s">
        <v>5017</v>
      </c>
      <c r="F2015" s="3" t="s">
        <v>5027</v>
      </c>
      <c r="G2015" s="3" t="s">
        <v>5031</v>
      </c>
      <c r="H2015" s="3" t="s">
        <v>9874</v>
      </c>
      <c r="I2015" s="17">
        <v>45634</v>
      </c>
      <c r="J2015" s="18">
        <f>YEAR(Tabla1[[#This Row],[FECHA DE COMPRA]])</f>
        <v>2024</v>
      </c>
      <c r="K2015" s="19">
        <v>140.22999999999999</v>
      </c>
      <c r="L2015" s="20">
        <v>0</v>
      </c>
      <c r="M2015" s="19">
        <f>Tienda!$K255-Tienda!$K255*Tienda!$L255</f>
        <v>103.01600000000001</v>
      </c>
      <c r="N2015" s="3" t="s">
        <v>10039</v>
      </c>
      <c r="O2015" s="3" t="s">
        <v>10041</v>
      </c>
      <c r="P2015" s="17">
        <v>45444</v>
      </c>
      <c r="Q2015" s="4">
        <v>0</v>
      </c>
    </row>
    <row r="2016" spans="1:17" ht="30" x14ac:dyDescent="0.25">
      <c r="A2016" s="2" t="s">
        <v>916</v>
      </c>
      <c r="B2016" s="3" t="s">
        <v>5016</v>
      </c>
      <c r="C2016" s="3">
        <v>44</v>
      </c>
      <c r="D2016" s="46" t="str">
        <f>IF(Tabla1[[#This Row],[EDAD]]&lt;=35,"Adultos jóvenes 18 - 35 años",IF(C2016&gt;=36,"Adultos mayores 36 años en adelante"))</f>
        <v>Adultos mayores 36 años en adelante</v>
      </c>
      <c r="E2016" s="3" t="s">
        <v>5017</v>
      </c>
      <c r="F2016" s="3" t="s">
        <v>5027</v>
      </c>
      <c r="G2016" s="3" t="s">
        <v>5032</v>
      </c>
      <c r="H2016" s="3" t="s">
        <v>5939</v>
      </c>
      <c r="I2016" s="17">
        <v>45634</v>
      </c>
      <c r="J2016" s="18">
        <f>YEAR(Tabla1[[#This Row],[FECHA DE COMPRA]])</f>
        <v>2024</v>
      </c>
      <c r="K2016" s="19">
        <v>168.49</v>
      </c>
      <c r="L2016" s="20">
        <v>0.2</v>
      </c>
      <c r="M2016" s="19">
        <f>Tienda!$K256-Tienda!$K256*Tienda!$L256</f>
        <v>117.15900000000001</v>
      </c>
      <c r="N2016" s="3" t="s">
        <v>10039</v>
      </c>
      <c r="O2016" s="3" t="s">
        <v>10041</v>
      </c>
      <c r="P2016" s="17">
        <v>45444</v>
      </c>
      <c r="Q2016" s="4">
        <v>0</v>
      </c>
    </row>
    <row r="2017" spans="1:17" ht="30" x14ac:dyDescent="0.25">
      <c r="A2017" s="2" t="s">
        <v>1744</v>
      </c>
      <c r="B2017" s="3" t="s">
        <v>5015</v>
      </c>
      <c r="C2017" s="3">
        <v>52</v>
      </c>
      <c r="D2017" s="46" t="str">
        <f>IF(Tabla1[[#This Row],[EDAD]]&lt;=35,"Adultos jóvenes 18 - 35 años",IF(C2017&gt;=36,"Adultos mayores 36 años en adelante"))</f>
        <v>Adultos mayores 36 años en adelante</v>
      </c>
      <c r="E2017" s="3" t="s">
        <v>5022</v>
      </c>
      <c r="F2017" s="3" t="s">
        <v>5028</v>
      </c>
      <c r="G2017" s="3" t="s">
        <v>5032</v>
      </c>
      <c r="H2017" s="3" t="s">
        <v>6767</v>
      </c>
      <c r="I2017" s="17">
        <v>45634</v>
      </c>
      <c r="J2017" s="18">
        <f>YEAR(Tabla1[[#This Row],[FECHA DE COMPRA]])</f>
        <v>2024</v>
      </c>
      <c r="K2017" s="19">
        <v>177.51</v>
      </c>
      <c r="L2017" s="20">
        <v>0</v>
      </c>
      <c r="M2017" s="19">
        <f>Tienda!$K257-Tienda!$K257*Tienda!$L257</f>
        <v>20.687999999999999</v>
      </c>
      <c r="N2017" s="3" t="s">
        <v>10039</v>
      </c>
      <c r="O2017" s="3" t="s">
        <v>10041</v>
      </c>
      <c r="P2017" s="17">
        <v>45444</v>
      </c>
      <c r="Q2017" s="4">
        <v>0</v>
      </c>
    </row>
    <row r="2018" spans="1:17" ht="30" x14ac:dyDescent="0.25">
      <c r="A2018" s="2" t="s">
        <v>1356</v>
      </c>
      <c r="B2018" s="3" t="s">
        <v>5015</v>
      </c>
      <c r="C2018" s="3">
        <v>59</v>
      </c>
      <c r="D2018" s="46" t="str">
        <f>IF(Tabla1[[#This Row],[EDAD]]&lt;=35,"Adultos jóvenes 18 - 35 años",IF(C2018&gt;=36,"Adultos mayores 36 años en adelante"))</f>
        <v>Adultos mayores 36 años en adelante</v>
      </c>
      <c r="E2018" s="3" t="s">
        <v>5022</v>
      </c>
      <c r="F2018" s="3" t="s">
        <v>5024</v>
      </c>
      <c r="G2018" s="3" t="s">
        <v>5036</v>
      </c>
      <c r="H2018" s="3" t="s">
        <v>6379</v>
      </c>
      <c r="I2018" s="17">
        <v>45635</v>
      </c>
      <c r="J2018" s="18">
        <f>YEAR(Tabla1[[#This Row],[FECHA DE COMPRA]])</f>
        <v>2024</v>
      </c>
      <c r="K2018" s="19">
        <v>136.94999999999999</v>
      </c>
      <c r="L2018" s="20">
        <v>0.1</v>
      </c>
      <c r="M2018" s="19">
        <f>Tienda!$K258-Tienda!$K258*Tienda!$L258</f>
        <v>125.48</v>
      </c>
      <c r="N2018" s="3" t="s">
        <v>10039</v>
      </c>
      <c r="O2018" s="3" t="s">
        <v>10041</v>
      </c>
      <c r="P2018" s="17">
        <v>45445</v>
      </c>
      <c r="Q2018" s="4">
        <v>0</v>
      </c>
    </row>
    <row r="2019" spans="1:17" ht="30" x14ac:dyDescent="0.25">
      <c r="A2019" s="2" t="s">
        <v>1921</v>
      </c>
      <c r="B2019" s="3" t="s">
        <v>5016</v>
      </c>
      <c r="C2019" s="3">
        <v>59</v>
      </c>
      <c r="D2019" s="46" t="str">
        <f>IF(Tabla1[[#This Row],[EDAD]]&lt;=35,"Adultos jóvenes 18 - 35 años",IF(C2019&gt;=36,"Adultos mayores 36 años en adelante"))</f>
        <v>Adultos mayores 36 años en adelante</v>
      </c>
      <c r="E2019" s="3" t="s">
        <v>5023</v>
      </c>
      <c r="F2019" s="3" t="s">
        <v>5027</v>
      </c>
      <c r="G2019" s="3" t="s">
        <v>5032</v>
      </c>
      <c r="H2019" s="3" t="s">
        <v>6944</v>
      </c>
      <c r="I2019" s="17">
        <v>45635</v>
      </c>
      <c r="J2019" s="18">
        <f>YEAR(Tabla1[[#This Row],[FECHA DE COMPRA]])</f>
        <v>2024</v>
      </c>
      <c r="K2019" s="19">
        <v>179.69</v>
      </c>
      <c r="L2019" s="20">
        <v>0.1</v>
      </c>
      <c r="M2019" s="19">
        <f>Tienda!$K259-Tienda!$K259*Tienda!$L259</f>
        <v>128.16999999999999</v>
      </c>
      <c r="N2019" s="3" t="s">
        <v>10039</v>
      </c>
      <c r="O2019" s="3" t="s">
        <v>10041</v>
      </c>
      <c r="P2019" s="17">
        <v>45445</v>
      </c>
      <c r="Q2019" s="4">
        <v>0</v>
      </c>
    </row>
    <row r="2020" spans="1:17" ht="30" x14ac:dyDescent="0.25">
      <c r="A2020" s="2" t="s">
        <v>3577</v>
      </c>
      <c r="B2020" s="3" t="s">
        <v>5015</v>
      </c>
      <c r="C2020" s="3">
        <v>54</v>
      </c>
      <c r="D2020" s="46" t="str">
        <f>IF(Tabla1[[#This Row],[EDAD]]&lt;=35,"Adultos jóvenes 18 - 35 años",IF(C2020&gt;=36,"Adultos mayores 36 años en adelante"))</f>
        <v>Adultos mayores 36 años en adelante</v>
      </c>
      <c r="E2020" s="3" t="s">
        <v>5020</v>
      </c>
      <c r="F2020" s="3" t="s">
        <v>5027</v>
      </c>
      <c r="G2020" s="3" t="s">
        <v>5034</v>
      </c>
      <c r="H2020" s="3" t="s">
        <v>8600</v>
      </c>
      <c r="I2020" s="17">
        <v>45636</v>
      </c>
      <c r="J2020" s="18">
        <f>YEAR(Tabla1[[#This Row],[FECHA DE COMPRA]])</f>
        <v>2024</v>
      </c>
      <c r="K2020" s="19">
        <v>116.54</v>
      </c>
      <c r="L2020" s="20">
        <v>0.3</v>
      </c>
      <c r="M2020" s="19">
        <f>Tienda!$K261-Tienda!$K261*Tienda!$L261</f>
        <v>106.113</v>
      </c>
      <c r="N2020" s="3" t="s">
        <v>10039</v>
      </c>
      <c r="O2020" s="3" t="s">
        <v>10041</v>
      </c>
      <c r="P2020" s="17">
        <v>45446</v>
      </c>
      <c r="Q2020" s="4">
        <v>0</v>
      </c>
    </row>
    <row r="2021" spans="1:17" ht="30" x14ac:dyDescent="0.25">
      <c r="A2021" s="2" t="s">
        <v>4843</v>
      </c>
      <c r="B2021" s="3" t="s">
        <v>5016</v>
      </c>
      <c r="C2021" s="3">
        <v>42</v>
      </c>
      <c r="D2021" s="46" t="str">
        <f>IF(Tabla1[[#This Row],[EDAD]]&lt;=35,"Adultos jóvenes 18 - 35 años",IF(C2021&gt;=36,"Adultos mayores 36 años en adelante"))</f>
        <v>Adultos mayores 36 años en adelante</v>
      </c>
      <c r="E2021" s="3" t="s">
        <v>5021</v>
      </c>
      <c r="F2021" s="3" t="s">
        <v>5026</v>
      </c>
      <c r="G2021" s="3" t="s">
        <v>5032</v>
      </c>
      <c r="H2021" s="3" t="s">
        <v>9866</v>
      </c>
      <c r="I2021" s="17">
        <v>45636</v>
      </c>
      <c r="J2021" s="18">
        <f>YEAR(Tabla1[[#This Row],[FECHA DE COMPRA]])</f>
        <v>2024</v>
      </c>
      <c r="K2021" s="19">
        <v>166.66</v>
      </c>
      <c r="L2021" s="20">
        <v>0.1</v>
      </c>
      <c r="M2021" s="19">
        <f>Tienda!$K262-Tienda!$K262*Tienda!$L262</f>
        <v>76.94</v>
      </c>
      <c r="N2021" s="3" t="s">
        <v>10039</v>
      </c>
      <c r="O2021" s="3" t="s">
        <v>10041</v>
      </c>
      <c r="P2021" s="17">
        <v>45446</v>
      </c>
      <c r="Q2021" s="4">
        <v>0</v>
      </c>
    </row>
    <row r="2022" spans="1:17" ht="30" x14ac:dyDescent="0.25">
      <c r="A2022" s="2" t="s">
        <v>3322</v>
      </c>
      <c r="B2022" s="3" t="s">
        <v>5015</v>
      </c>
      <c r="C2022" s="3">
        <v>51</v>
      </c>
      <c r="D2022" s="46" t="str">
        <f>IF(Tabla1[[#This Row],[EDAD]]&lt;=35,"Adultos jóvenes 18 - 35 años",IF(C2022&gt;=36,"Adultos mayores 36 años en adelante"))</f>
        <v>Adultos mayores 36 años en adelante</v>
      </c>
      <c r="E2022" s="3" t="s">
        <v>5020</v>
      </c>
      <c r="F2022" s="3" t="s">
        <v>5025</v>
      </c>
      <c r="G2022" s="3" t="s">
        <v>5031</v>
      </c>
      <c r="H2022" s="3" t="s">
        <v>8345</v>
      </c>
      <c r="I2022" s="17">
        <v>45636</v>
      </c>
      <c r="J2022" s="18">
        <f>YEAR(Tabla1[[#This Row],[FECHA DE COMPRA]])</f>
        <v>2024</v>
      </c>
      <c r="K2022" s="19">
        <v>46.81</v>
      </c>
      <c r="L2022" s="20">
        <v>0.2</v>
      </c>
      <c r="M2022" s="19">
        <f>Tienda!$K264-Tienda!$K264*Tienda!$L264</f>
        <v>39.338999999999999</v>
      </c>
      <c r="N2022" s="3" t="s">
        <v>10039</v>
      </c>
      <c r="O2022" s="3" t="s">
        <v>10041</v>
      </c>
      <c r="P2022" s="17">
        <v>45447</v>
      </c>
      <c r="Q2022" s="4">
        <v>0</v>
      </c>
    </row>
    <row r="2023" spans="1:17" ht="30" x14ac:dyDescent="0.25">
      <c r="A2023" s="2" t="s">
        <v>45</v>
      </c>
      <c r="B2023" s="3" t="s">
        <v>5015</v>
      </c>
      <c r="C2023" s="3">
        <v>64</v>
      </c>
      <c r="D2023" s="46" t="str">
        <f>IF(Tabla1[[#This Row],[EDAD]]&lt;=35,"Adultos jóvenes 18 - 35 años",IF(C2023&gt;=36,"Adultos mayores 36 años en adelante"))</f>
        <v>Adultos mayores 36 años en adelante</v>
      </c>
      <c r="E2023" s="3" t="s">
        <v>5022</v>
      </c>
      <c r="F2023" s="3" t="s">
        <v>5029</v>
      </c>
      <c r="G2023" s="3" t="s">
        <v>5033</v>
      </c>
      <c r="H2023" s="3" t="s">
        <v>5068</v>
      </c>
      <c r="I2023" s="17">
        <v>45447</v>
      </c>
      <c r="J2023" s="18">
        <f>YEAR(Tabla1[[#This Row],[FECHA DE COMPRA]])</f>
        <v>2024</v>
      </c>
      <c r="K2023" s="19">
        <v>167.25</v>
      </c>
      <c r="L2023" s="20">
        <v>0.1</v>
      </c>
      <c r="M2023" s="19">
        <f>Tienda!$K267-Tienda!$K267*Tienda!$L267</f>
        <v>142.416</v>
      </c>
      <c r="N2023" s="3" t="s">
        <v>10039</v>
      </c>
      <c r="O2023" s="3" t="s">
        <v>10041</v>
      </c>
      <c r="P2023" s="17">
        <v>45447</v>
      </c>
      <c r="Q2023" s="4">
        <v>0</v>
      </c>
    </row>
    <row r="2024" spans="1:17" ht="30" x14ac:dyDescent="0.25">
      <c r="A2024" s="2" t="s">
        <v>2326</v>
      </c>
      <c r="B2024" s="3" t="s">
        <v>5016</v>
      </c>
      <c r="C2024" s="3">
        <v>62</v>
      </c>
      <c r="D2024" s="46" t="str">
        <f>IF(Tabla1[[#This Row],[EDAD]]&lt;=35,"Adultos jóvenes 18 - 35 años",IF(C2024&gt;=36,"Adultos mayores 36 años en adelante"))</f>
        <v>Adultos mayores 36 años en adelante</v>
      </c>
      <c r="E2024" s="3" t="s">
        <v>5021</v>
      </c>
      <c r="F2024" s="3" t="s">
        <v>5027</v>
      </c>
      <c r="G2024" s="3" t="s">
        <v>5036</v>
      </c>
      <c r="H2024" s="3" t="s">
        <v>7349</v>
      </c>
      <c r="I2024" s="17">
        <v>45447</v>
      </c>
      <c r="J2024" s="18">
        <f>YEAR(Tabla1[[#This Row],[FECHA DE COMPRA]])</f>
        <v>2024</v>
      </c>
      <c r="K2024" s="19">
        <v>199.72</v>
      </c>
      <c r="L2024" s="20">
        <v>0.3</v>
      </c>
      <c r="M2024" s="19">
        <f>Tienda!$K268-Tienda!$K268*Tienda!$L268</f>
        <v>22.491</v>
      </c>
      <c r="N2024" s="3" t="s">
        <v>10039</v>
      </c>
      <c r="O2024" s="3" t="s">
        <v>10041</v>
      </c>
      <c r="P2024" s="17">
        <v>45447</v>
      </c>
      <c r="Q2024" s="4">
        <v>0</v>
      </c>
    </row>
    <row r="2025" spans="1:17" ht="30" x14ac:dyDescent="0.25">
      <c r="A2025" s="2" t="s">
        <v>1599</v>
      </c>
      <c r="B2025" s="3" t="s">
        <v>5015</v>
      </c>
      <c r="C2025" s="3">
        <v>39</v>
      </c>
      <c r="D2025" s="46" t="str">
        <f>IF(Tabla1[[#This Row],[EDAD]]&lt;=35,"Adultos jóvenes 18 - 35 años",IF(C2025&gt;=36,"Adultos mayores 36 años en adelante"))</f>
        <v>Adultos mayores 36 años en adelante</v>
      </c>
      <c r="E2025" s="3" t="s">
        <v>5017</v>
      </c>
      <c r="F2025" s="3" t="s">
        <v>5030</v>
      </c>
      <c r="G2025" s="3" t="s">
        <v>5035</v>
      </c>
      <c r="H2025" s="3" t="s">
        <v>6622</v>
      </c>
      <c r="I2025" s="17">
        <v>45448</v>
      </c>
      <c r="J2025" s="18">
        <f>YEAR(Tabla1[[#This Row],[FECHA DE COMPRA]])</f>
        <v>2024</v>
      </c>
      <c r="K2025" s="19">
        <v>47.35</v>
      </c>
      <c r="L2025" s="20">
        <v>0.3</v>
      </c>
      <c r="M2025" s="19">
        <f>Tienda!$K269-Tienda!$K269*Tienda!$L269</f>
        <v>76.111999999999995</v>
      </c>
      <c r="N2025" s="3" t="s">
        <v>10039</v>
      </c>
      <c r="O2025" s="3" t="s">
        <v>10041</v>
      </c>
      <c r="P2025" s="17">
        <v>45448</v>
      </c>
      <c r="Q2025" s="4">
        <v>0</v>
      </c>
    </row>
    <row r="2026" spans="1:17" ht="30" x14ac:dyDescent="0.25">
      <c r="A2026" s="2" t="s">
        <v>2742</v>
      </c>
      <c r="B2026" s="3" t="s">
        <v>5015</v>
      </c>
      <c r="C2026" s="3">
        <v>43</v>
      </c>
      <c r="D2026" s="46" t="str">
        <f>IF(Tabla1[[#This Row],[EDAD]]&lt;=35,"Adultos jóvenes 18 - 35 años",IF(C2026&gt;=36,"Adultos mayores 36 años en adelante"))</f>
        <v>Adultos mayores 36 años en adelante</v>
      </c>
      <c r="E2026" s="3" t="s">
        <v>5023</v>
      </c>
      <c r="F2026" s="3" t="s">
        <v>5024</v>
      </c>
      <c r="G2026" s="3" t="s">
        <v>5037</v>
      </c>
      <c r="H2026" s="3" t="s">
        <v>7765</v>
      </c>
      <c r="I2026" s="17">
        <v>45634</v>
      </c>
      <c r="J2026" s="18">
        <f>YEAR(Tabla1[[#This Row],[FECHA DE COMPRA]])</f>
        <v>2024</v>
      </c>
      <c r="K2026" s="19">
        <v>77.86</v>
      </c>
      <c r="L2026" s="20">
        <v>0</v>
      </c>
      <c r="M2026" s="19">
        <f>Tienda!$K271-Tienda!$K271*Tienda!$L271</f>
        <v>195.94</v>
      </c>
      <c r="N2026" s="3" t="s">
        <v>10039</v>
      </c>
      <c r="O2026" s="3" t="s">
        <v>10041</v>
      </c>
      <c r="P2026" s="17">
        <v>45449</v>
      </c>
      <c r="Q2026" s="4">
        <v>0</v>
      </c>
    </row>
    <row r="2027" spans="1:17" ht="30" x14ac:dyDescent="0.25">
      <c r="A2027" s="2" t="s">
        <v>1440</v>
      </c>
      <c r="B2027" s="3" t="s">
        <v>5016</v>
      </c>
      <c r="C2027" s="3">
        <v>52</v>
      </c>
      <c r="D2027" s="46" t="str">
        <f>IF(Tabla1[[#This Row],[EDAD]]&lt;=35,"Adultos jóvenes 18 - 35 años",IF(C2027&gt;=36,"Adultos mayores 36 años en adelante"))</f>
        <v>Adultos mayores 36 años en adelante</v>
      </c>
      <c r="E2027" s="3" t="s">
        <v>5017</v>
      </c>
      <c r="F2027" s="3" t="s">
        <v>5030</v>
      </c>
      <c r="G2027" s="3" t="s">
        <v>5034</v>
      </c>
      <c r="H2027" s="3" t="s">
        <v>6463</v>
      </c>
      <c r="I2027" s="17">
        <v>45634</v>
      </c>
      <c r="J2027" s="18">
        <f>YEAR(Tabla1[[#This Row],[FECHA DE COMPRA]])</f>
        <v>2024</v>
      </c>
      <c r="K2027" s="19">
        <v>82.11</v>
      </c>
      <c r="L2027" s="20">
        <v>0.2</v>
      </c>
      <c r="M2027" s="19">
        <f>Tienda!$K272-Tienda!$K272*Tienda!$L272</f>
        <v>112.059</v>
      </c>
      <c r="N2027" s="3" t="s">
        <v>10039</v>
      </c>
      <c r="O2027" s="3" t="s">
        <v>10041</v>
      </c>
      <c r="P2027" s="17">
        <v>45449</v>
      </c>
      <c r="Q2027" s="4">
        <v>0</v>
      </c>
    </row>
    <row r="2028" spans="1:17" ht="30" x14ac:dyDescent="0.25">
      <c r="A2028" s="2" t="s">
        <v>1136</v>
      </c>
      <c r="B2028" s="3" t="s">
        <v>5015</v>
      </c>
      <c r="C2028" s="3">
        <v>52</v>
      </c>
      <c r="D2028" s="46" t="str">
        <f>IF(Tabla1[[#This Row],[EDAD]]&lt;=35,"Adultos jóvenes 18 - 35 años",IF(C2028&gt;=36,"Adultos mayores 36 años en adelante"))</f>
        <v>Adultos mayores 36 años en adelante</v>
      </c>
      <c r="E2028" s="3" t="s">
        <v>5018</v>
      </c>
      <c r="F2028" s="3" t="s">
        <v>5026</v>
      </c>
      <c r="G2028" s="3" t="s">
        <v>5031</v>
      </c>
      <c r="H2028" s="3" t="s">
        <v>6159</v>
      </c>
      <c r="I2028" s="17">
        <v>45634</v>
      </c>
      <c r="J2028" s="18">
        <f>YEAR(Tabla1[[#This Row],[FECHA DE COMPRA]])</f>
        <v>2024</v>
      </c>
      <c r="K2028" s="19">
        <v>96.32</v>
      </c>
      <c r="L2028" s="20">
        <v>0.3</v>
      </c>
      <c r="M2028" s="19">
        <f>Tienda!$K273-Tienda!$K273*Tienda!$L273</f>
        <v>65.087999999999994</v>
      </c>
      <c r="N2028" s="3" t="s">
        <v>10039</v>
      </c>
      <c r="O2028" s="3" t="s">
        <v>10041</v>
      </c>
      <c r="P2028" s="17">
        <v>45449</v>
      </c>
      <c r="Q2028" s="4">
        <v>0</v>
      </c>
    </row>
    <row r="2029" spans="1:17" ht="30" x14ac:dyDescent="0.25">
      <c r="A2029" s="2" t="s">
        <v>694</v>
      </c>
      <c r="B2029" s="3" t="s">
        <v>5015</v>
      </c>
      <c r="C2029" s="3">
        <v>47</v>
      </c>
      <c r="D2029" s="46" t="str">
        <f>IF(Tabla1[[#This Row],[EDAD]]&lt;=35,"Adultos jóvenes 18 - 35 años",IF(C2029&gt;=36,"Adultos mayores 36 años en adelante"))</f>
        <v>Adultos mayores 36 años en adelante</v>
      </c>
      <c r="E2029" s="3" t="s">
        <v>5018</v>
      </c>
      <c r="F2029" s="3" t="s">
        <v>5027</v>
      </c>
      <c r="G2029" s="3" t="s">
        <v>5037</v>
      </c>
      <c r="H2029" s="3" t="s">
        <v>5717</v>
      </c>
      <c r="I2029" s="17">
        <v>45634</v>
      </c>
      <c r="J2029" s="18">
        <f>YEAR(Tabla1[[#This Row],[FECHA DE COMPRA]])</f>
        <v>2024</v>
      </c>
      <c r="K2029" s="19">
        <v>135.08000000000001</v>
      </c>
      <c r="L2029" s="20">
        <v>0.2</v>
      </c>
      <c r="M2029" s="19">
        <f>Tienda!$K274-Tienda!$K274*Tienda!$L274</f>
        <v>77.56</v>
      </c>
      <c r="N2029" s="3" t="s">
        <v>10039</v>
      </c>
      <c r="O2029" s="3" t="s">
        <v>10041</v>
      </c>
      <c r="P2029" s="17">
        <v>45449</v>
      </c>
      <c r="Q2029" s="4">
        <v>0</v>
      </c>
    </row>
    <row r="2030" spans="1:17" ht="30" x14ac:dyDescent="0.25">
      <c r="A2030" s="2" t="s">
        <v>1411</v>
      </c>
      <c r="B2030" s="3" t="s">
        <v>5015</v>
      </c>
      <c r="C2030" s="3">
        <v>62</v>
      </c>
      <c r="D2030" s="46" t="str">
        <f>IF(Tabla1[[#This Row],[EDAD]]&lt;=35,"Adultos jóvenes 18 - 35 años",IF(C2030&gt;=36,"Adultos mayores 36 años en adelante"))</f>
        <v>Adultos mayores 36 años en adelante</v>
      </c>
      <c r="E2030" s="3" t="s">
        <v>5022</v>
      </c>
      <c r="F2030" s="3" t="s">
        <v>5024</v>
      </c>
      <c r="G2030" s="3" t="s">
        <v>5032</v>
      </c>
      <c r="H2030" s="3" t="s">
        <v>6434</v>
      </c>
      <c r="I2030" s="17">
        <v>45634</v>
      </c>
      <c r="J2030" s="18">
        <f>YEAR(Tabla1[[#This Row],[FECHA DE COMPRA]])</f>
        <v>2024</v>
      </c>
      <c r="K2030" s="19">
        <v>168.34</v>
      </c>
      <c r="L2030" s="20">
        <v>0.3</v>
      </c>
      <c r="M2030" s="19">
        <f>Tienda!$K275-Tienda!$K275*Tienda!$L275</f>
        <v>132.874</v>
      </c>
      <c r="N2030" s="3" t="s">
        <v>10039</v>
      </c>
      <c r="O2030" s="3" t="s">
        <v>10041</v>
      </c>
      <c r="P2030" s="17">
        <v>45449</v>
      </c>
      <c r="Q2030" s="4">
        <v>0</v>
      </c>
    </row>
    <row r="2031" spans="1:17" ht="30" x14ac:dyDescent="0.25">
      <c r="A2031" s="2" t="s">
        <v>3616</v>
      </c>
      <c r="B2031" s="3" t="s">
        <v>5015</v>
      </c>
      <c r="C2031" s="3">
        <v>40</v>
      </c>
      <c r="D2031" s="46" t="str">
        <f>IF(Tabla1[[#This Row],[EDAD]]&lt;=35,"Adultos jóvenes 18 - 35 años",IF(C2031&gt;=36,"Adultos mayores 36 años en adelante"))</f>
        <v>Adultos mayores 36 años en adelante</v>
      </c>
      <c r="E2031" s="3" t="s">
        <v>5023</v>
      </c>
      <c r="F2031" s="3" t="s">
        <v>5029</v>
      </c>
      <c r="G2031" s="3" t="s">
        <v>5034</v>
      </c>
      <c r="H2031" s="3" t="s">
        <v>8639</v>
      </c>
      <c r="I2031" s="17">
        <v>45636</v>
      </c>
      <c r="J2031" s="18">
        <f>YEAR(Tabla1[[#This Row],[FECHA DE COMPRA]])</f>
        <v>2024</v>
      </c>
      <c r="K2031" s="19">
        <v>93.36</v>
      </c>
      <c r="L2031" s="20">
        <v>0.2</v>
      </c>
      <c r="M2031" s="19">
        <f>Tienda!$K277-Tienda!$K277*Tienda!$L277</f>
        <v>88.97</v>
      </c>
      <c r="N2031" s="3" t="s">
        <v>10039</v>
      </c>
      <c r="O2031" s="3" t="s">
        <v>10041</v>
      </c>
      <c r="P2031" s="17">
        <v>45451</v>
      </c>
      <c r="Q2031" s="4">
        <v>0</v>
      </c>
    </row>
    <row r="2032" spans="1:17" ht="30" x14ac:dyDescent="0.25">
      <c r="A2032" s="2" t="s">
        <v>3209</v>
      </c>
      <c r="B2032" s="3" t="s">
        <v>5016</v>
      </c>
      <c r="C2032" s="3">
        <v>63</v>
      </c>
      <c r="D2032" s="46" t="str">
        <f>IF(Tabla1[[#This Row],[EDAD]]&lt;=35,"Adultos jóvenes 18 - 35 años",IF(C2032&gt;=36,"Adultos mayores 36 años en adelante"))</f>
        <v>Adultos mayores 36 años en adelante</v>
      </c>
      <c r="E2032" s="3" t="s">
        <v>5023</v>
      </c>
      <c r="F2032" s="3" t="s">
        <v>5029</v>
      </c>
      <c r="G2032" s="3" t="s">
        <v>5034</v>
      </c>
      <c r="H2032" s="3" t="s">
        <v>8232</v>
      </c>
      <c r="I2032" s="17">
        <v>45636</v>
      </c>
      <c r="J2032" s="18">
        <f>YEAR(Tabla1[[#This Row],[FECHA DE COMPRA]])</f>
        <v>2024</v>
      </c>
      <c r="K2032" s="19">
        <v>102.15</v>
      </c>
      <c r="L2032" s="20">
        <v>0</v>
      </c>
      <c r="M2032" s="19">
        <f>Tienda!$K278-Tienda!$K278*Tienda!$L278</f>
        <v>75.509000000000015</v>
      </c>
      <c r="N2032" s="3" t="s">
        <v>10039</v>
      </c>
      <c r="O2032" s="3" t="s">
        <v>10041</v>
      </c>
      <c r="P2032" s="17">
        <v>45452</v>
      </c>
      <c r="Q2032" s="4">
        <v>0</v>
      </c>
    </row>
    <row r="2033" spans="1:17" ht="30" x14ac:dyDescent="0.25">
      <c r="A2033" s="2" t="s">
        <v>2764</v>
      </c>
      <c r="B2033" s="3" t="s">
        <v>5015</v>
      </c>
      <c r="C2033" s="3">
        <v>47</v>
      </c>
      <c r="D2033" s="46" t="str">
        <f>IF(Tabla1[[#This Row],[EDAD]]&lt;=35,"Adultos jóvenes 18 - 35 años",IF(C2033&gt;=36,"Adultos mayores 36 años en adelante"))</f>
        <v>Adultos mayores 36 años en adelante</v>
      </c>
      <c r="E2033" s="3" t="s">
        <v>5022</v>
      </c>
      <c r="F2033" s="3" t="s">
        <v>5024</v>
      </c>
      <c r="G2033" s="3" t="s">
        <v>5033</v>
      </c>
      <c r="H2033" s="3" t="s">
        <v>7787</v>
      </c>
      <c r="I2033" s="17">
        <v>45636</v>
      </c>
      <c r="J2033" s="18">
        <f>YEAR(Tabla1[[#This Row],[FECHA DE COMPRA]])</f>
        <v>2024</v>
      </c>
      <c r="K2033" s="19">
        <v>149.19</v>
      </c>
      <c r="L2033" s="20">
        <v>0.2</v>
      </c>
      <c r="M2033" s="19">
        <f>Tienda!$K279-Tienda!$K279*Tienda!$L279</f>
        <v>97.587000000000003</v>
      </c>
      <c r="N2033" s="3" t="s">
        <v>10039</v>
      </c>
      <c r="O2033" s="3" t="s">
        <v>10041</v>
      </c>
      <c r="P2033" s="17">
        <v>45452</v>
      </c>
      <c r="Q2033" s="4">
        <v>0</v>
      </c>
    </row>
    <row r="2034" spans="1:17" ht="30" x14ac:dyDescent="0.25">
      <c r="A2034" s="2" t="s">
        <v>2000</v>
      </c>
      <c r="B2034" s="3" t="s">
        <v>5015</v>
      </c>
      <c r="C2034" s="3">
        <v>55</v>
      </c>
      <c r="D2034" s="46" t="str">
        <f>IF(Tabla1[[#This Row],[EDAD]]&lt;=35,"Adultos jóvenes 18 - 35 años",IF(C2034&gt;=36,"Adultos mayores 36 años en adelante"))</f>
        <v>Adultos mayores 36 años en adelante</v>
      </c>
      <c r="E2034" s="3" t="s">
        <v>5018</v>
      </c>
      <c r="F2034" s="3" t="s">
        <v>5027</v>
      </c>
      <c r="G2034" s="3" t="s">
        <v>5031</v>
      </c>
      <c r="H2034" s="3" t="s">
        <v>7023</v>
      </c>
      <c r="I2034" s="17">
        <v>45453</v>
      </c>
      <c r="J2034" s="18">
        <f>YEAR(Tabla1[[#This Row],[FECHA DE COMPRA]])</f>
        <v>2024</v>
      </c>
      <c r="K2034" s="19">
        <v>168.37</v>
      </c>
      <c r="L2034" s="20">
        <v>0.1</v>
      </c>
      <c r="M2034" s="19">
        <f>Tienda!$K283-Tienda!$K283*Tienda!$L283</f>
        <v>144.96299999999999</v>
      </c>
      <c r="N2034" s="3" t="s">
        <v>10039</v>
      </c>
      <c r="O2034" s="3" t="s">
        <v>10041</v>
      </c>
      <c r="P2034" s="17">
        <v>45453</v>
      </c>
      <c r="Q2034" s="4">
        <v>0</v>
      </c>
    </row>
    <row r="2035" spans="1:17" ht="30" x14ac:dyDescent="0.25">
      <c r="A2035" s="2" t="s">
        <v>4687</v>
      </c>
      <c r="B2035" s="3" t="s">
        <v>5015</v>
      </c>
      <c r="C2035" s="3">
        <v>36</v>
      </c>
      <c r="D2035" s="46" t="str">
        <f>IF(Tabla1[[#This Row],[EDAD]]&lt;=35,"Adultos jóvenes 18 - 35 años",IF(C2035&gt;=36,"Adultos mayores 36 años en adelante"))</f>
        <v>Adultos mayores 36 años en adelante</v>
      </c>
      <c r="E2035" s="3" t="s">
        <v>5017</v>
      </c>
      <c r="F2035" s="3" t="s">
        <v>5026</v>
      </c>
      <c r="G2035" s="3" t="s">
        <v>5032</v>
      </c>
      <c r="H2035" s="3" t="s">
        <v>9710</v>
      </c>
      <c r="I2035" s="17">
        <v>45454</v>
      </c>
      <c r="J2035" s="18">
        <f>YEAR(Tabla1[[#This Row],[FECHA DE COMPRA]])</f>
        <v>2024</v>
      </c>
      <c r="K2035" s="19">
        <v>94.8</v>
      </c>
      <c r="L2035" s="20">
        <v>0.3</v>
      </c>
      <c r="M2035" s="19">
        <f>Tienda!$K284-Tienda!$K284*Tienda!$L284</f>
        <v>109.70399999999999</v>
      </c>
      <c r="N2035" s="3" t="s">
        <v>10039</v>
      </c>
      <c r="O2035" s="3" t="s">
        <v>10041</v>
      </c>
      <c r="P2035" s="17">
        <v>45454</v>
      </c>
      <c r="Q2035" s="4">
        <v>0</v>
      </c>
    </row>
    <row r="2036" spans="1:17" ht="30" x14ac:dyDescent="0.25">
      <c r="A2036" s="2" t="s">
        <v>667</v>
      </c>
      <c r="B2036" s="3" t="s">
        <v>5016</v>
      </c>
      <c r="C2036" s="3">
        <v>50</v>
      </c>
      <c r="D2036" s="46" t="str">
        <f>IF(Tabla1[[#This Row],[EDAD]]&lt;=35,"Adultos jóvenes 18 - 35 años",IF(C2036&gt;=36,"Adultos mayores 36 años en adelante"))</f>
        <v>Adultos mayores 36 años en adelante</v>
      </c>
      <c r="E2036" s="3" t="s">
        <v>5019</v>
      </c>
      <c r="F2036" s="3" t="s">
        <v>5028</v>
      </c>
      <c r="G2036" s="3" t="s">
        <v>5033</v>
      </c>
      <c r="H2036" s="3" t="s">
        <v>5690</v>
      </c>
      <c r="I2036" s="17">
        <v>45454</v>
      </c>
      <c r="J2036" s="18">
        <f>YEAR(Tabla1[[#This Row],[FECHA DE COMPRA]])</f>
        <v>2024</v>
      </c>
      <c r="K2036" s="19">
        <v>144.71</v>
      </c>
      <c r="L2036" s="20">
        <v>0.2</v>
      </c>
      <c r="M2036" s="19">
        <f>Tienda!$K286-Tienda!$K286*Tienda!$L286</f>
        <v>184.63</v>
      </c>
      <c r="N2036" s="3" t="s">
        <v>10039</v>
      </c>
      <c r="O2036" s="3" t="s">
        <v>10041</v>
      </c>
      <c r="P2036" s="17">
        <v>45454</v>
      </c>
      <c r="Q2036" s="4">
        <v>0</v>
      </c>
    </row>
    <row r="2037" spans="1:17" ht="30" x14ac:dyDescent="0.25">
      <c r="A2037" s="2" t="s">
        <v>1807</v>
      </c>
      <c r="B2037" s="3" t="s">
        <v>5016</v>
      </c>
      <c r="C2037" s="3">
        <v>65</v>
      </c>
      <c r="D2037" s="46" t="str">
        <f>IF(Tabla1[[#This Row],[EDAD]]&lt;=35,"Adultos jóvenes 18 - 35 años",IF(C2037&gt;=36,"Adultos mayores 36 años en adelante"))</f>
        <v>Adultos mayores 36 años en adelante</v>
      </c>
      <c r="E2037" s="3" t="s">
        <v>5021</v>
      </c>
      <c r="F2037" s="3" t="s">
        <v>5026</v>
      </c>
      <c r="G2037" s="3" t="s">
        <v>5035</v>
      </c>
      <c r="H2037" s="3" t="s">
        <v>6830</v>
      </c>
      <c r="I2037" s="17">
        <v>45455</v>
      </c>
      <c r="J2037" s="18">
        <f>YEAR(Tabla1[[#This Row],[FECHA DE COMPRA]])</f>
        <v>2024</v>
      </c>
      <c r="K2037" s="19">
        <v>97.44</v>
      </c>
      <c r="L2037" s="20">
        <v>0.1</v>
      </c>
      <c r="M2037" s="19">
        <f>Tienda!$K287-Tienda!$K287*Tienda!$L287</f>
        <v>169.18</v>
      </c>
      <c r="N2037" s="3" t="s">
        <v>10039</v>
      </c>
      <c r="O2037" s="3" t="s">
        <v>10041</v>
      </c>
      <c r="P2037" s="17">
        <v>45455</v>
      </c>
      <c r="Q2037" s="4">
        <v>0</v>
      </c>
    </row>
    <row r="2038" spans="1:17" ht="30" x14ac:dyDescent="0.25">
      <c r="A2038" s="2" t="s">
        <v>3016</v>
      </c>
      <c r="B2038" s="3" t="s">
        <v>5015</v>
      </c>
      <c r="C2038" s="3">
        <v>54</v>
      </c>
      <c r="D2038" s="46" t="str">
        <f>IF(Tabla1[[#This Row],[EDAD]]&lt;=35,"Adultos jóvenes 18 - 35 años",IF(C2038&gt;=36,"Adultos mayores 36 años en adelante"))</f>
        <v>Adultos mayores 36 años en adelante</v>
      </c>
      <c r="E2038" s="3" t="s">
        <v>5022</v>
      </c>
      <c r="F2038" s="3" t="s">
        <v>5024</v>
      </c>
      <c r="G2038" s="3" t="s">
        <v>5032</v>
      </c>
      <c r="H2038" s="3" t="s">
        <v>8039</v>
      </c>
      <c r="I2038" s="17">
        <v>45455</v>
      </c>
      <c r="J2038" s="18">
        <f>YEAR(Tabla1[[#This Row],[FECHA DE COMPRA]])</f>
        <v>2024</v>
      </c>
      <c r="K2038" s="19">
        <v>151.86000000000001</v>
      </c>
      <c r="L2038" s="20">
        <v>0.2</v>
      </c>
      <c r="M2038" s="19">
        <f>Tienda!$K288-Tienda!$K288*Tienda!$L288</f>
        <v>142.71199999999999</v>
      </c>
      <c r="N2038" s="3" t="s">
        <v>10039</v>
      </c>
      <c r="O2038" s="3" t="s">
        <v>10041</v>
      </c>
      <c r="P2038" s="17">
        <v>45455</v>
      </c>
      <c r="Q2038" s="4">
        <v>0</v>
      </c>
    </row>
    <row r="2039" spans="1:17" ht="30" x14ac:dyDescent="0.25">
      <c r="A2039" s="2" t="s">
        <v>1394</v>
      </c>
      <c r="B2039" s="3" t="s">
        <v>5015</v>
      </c>
      <c r="C2039" s="3">
        <v>41</v>
      </c>
      <c r="D2039" s="46" t="str">
        <f>IF(Tabla1[[#This Row],[EDAD]]&lt;=35,"Adultos jóvenes 18 - 35 años",IF(C2039&gt;=36,"Adultos mayores 36 años en adelante"))</f>
        <v>Adultos mayores 36 años en adelante</v>
      </c>
      <c r="E2039" s="3" t="s">
        <v>5020</v>
      </c>
      <c r="F2039" s="3" t="s">
        <v>5026</v>
      </c>
      <c r="G2039" s="3" t="s">
        <v>5033</v>
      </c>
      <c r="H2039" s="3" t="s">
        <v>6417</v>
      </c>
      <c r="I2039" s="17">
        <v>45455</v>
      </c>
      <c r="J2039" s="18">
        <f>YEAR(Tabla1[[#This Row],[FECHA DE COMPRA]])</f>
        <v>2024</v>
      </c>
      <c r="K2039" s="19">
        <v>171.91</v>
      </c>
      <c r="L2039" s="20">
        <v>0.2</v>
      </c>
      <c r="M2039" s="19">
        <f>Tienda!$K289-Tienda!$K289*Tienda!$L289</f>
        <v>126.441</v>
      </c>
      <c r="N2039" s="3" t="s">
        <v>10039</v>
      </c>
      <c r="O2039" s="3" t="s">
        <v>10041</v>
      </c>
      <c r="P2039" s="17">
        <v>45455</v>
      </c>
      <c r="Q2039" s="4">
        <v>0</v>
      </c>
    </row>
    <row r="2040" spans="1:17" ht="30" x14ac:dyDescent="0.25">
      <c r="A2040" s="2" t="s">
        <v>774</v>
      </c>
      <c r="B2040" s="3" t="s">
        <v>5015</v>
      </c>
      <c r="C2040" s="3">
        <v>65</v>
      </c>
      <c r="D2040" s="46" t="str">
        <f>IF(Tabla1[[#This Row],[EDAD]]&lt;=35,"Adultos jóvenes 18 - 35 años",IF(C2040&gt;=36,"Adultos mayores 36 años en adelante"))</f>
        <v>Adultos mayores 36 años en adelante</v>
      </c>
      <c r="E2040" s="3" t="s">
        <v>5017</v>
      </c>
      <c r="F2040" s="3" t="s">
        <v>5026</v>
      </c>
      <c r="G2040" s="3" t="s">
        <v>5035</v>
      </c>
      <c r="H2040" s="3" t="s">
        <v>5797</v>
      </c>
      <c r="I2040" s="17">
        <v>45634</v>
      </c>
      <c r="J2040" s="18">
        <f>YEAR(Tabla1[[#This Row],[FECHA DE COMPRA]])</f>
        <v>2024</v>
      </c>
      <c r="K2040" s="19">
        <v>44.37</v>
      </c>
      <c r="L2040" s="20">
        <v>0.1</v>
      </c>
      <c r="M2040" s="19">
        <f>Tienda!$K290-Tienda!$K290*Tienda!$L290</f>
        <v>134.91800000000001</v>
      </c>
      <c r="N2040" s="3" t="s">
        <v>10039</v>
      </c>
      <c r="O2040" s="3" t="s">
        <v>10041</v>
      </c>
      <c r="P2040" s="17">
        <v>45456</v>
      </c>
      <c r="Q2040" s="4">
        <v>0</v>
      </c>
    </row>
    <row r="2041" spans="1:17" ht="30" x14ac:dyDescent="0.25">
      <c r="A2041" s="2" t="s">
        <v>4095</v>
      </c>
      <c r="B2041" s="3" t="s">
        <v>5016</v>
      </c>
      <c r="C2041" s="3">
        <v>40</v>
      </c>
      <c r="D2041" s="46" t="str">
        <f>IF(Tabla1[[#This Row],[EDAD]]&lt;=35,"Adultos jóvenes 18 - 35 años",IF(C2041&gt;=36,"Adultos mayores 36 años en adelante"))</f>
        <v>Adultos mayores 36 años en adelante</v>
      </c>
      <c r="E2041" s="3" t="s">
        <v>5023</v>
      </c>
      <c r="F2041" s="3" t="s">
        <v>5026</v>
      </c>
      <c r="G2041" s="3" t="s">
        <v>5031</v>
      </c>
      <c r="H2041" s="3" t="s">
        <v>9118</v>
      </c>
      <c r="I2041" s="17">
        <v>45634</v>
      </c>
      <c r="J2041" s="18">
        <f>YEAR(Tabla1[[#This Row],[FECHA DE COMPRA]])</f>
        <v>2024</v>
      </c>
      <c r="K2041" s="19">
        <v>128.36000000000001</v>
      </c>
      <c r="L2041" s="20">
        <v>0.2</v>
      </c>
      <c r="M2041" s="19">
        <f>Tienda!$K291-Tienda!$K291*Tienda!$L291</f>
        <v>21.321000000000002</v>
      </c>
      <c r="N2041" s="3" t="s">
        <v>10039</v>
      </c>
      <c r="O2041" s="3" t="s">
        <v>10041</v>
      </c>
      <c r="P2041" s="17">
        <v>45456</v>
      </c>
      <c r="Q2041" s="4">
        <v>0</v>
      </c>
    </row>
    <row r="2042" spans="1:17" ht="30" x14ac:dyDescent="0.25">
      <c r="A2042" s="2" t="s">
        <v>2401</v>
      </c>
      <c r="B2042" s="3" t="s">
        <v>5016</v>
      </c>
      <c r="C2042" s="3">
        <v>63</v>
      </c>
      <c r="D2042" s="46" t="str">
        <f>IF(Tabla1[[#This Row],[EDAD]]&lt;=35,"Adultos jóvenes 18 - 35 años",IF(C2042&gt;=36,"Adultos mayores 36 años en adelante"))</f>
        <v>Adultos mayores 36 años en adelante</v>
      </c>
      <c r="E2042" s="3" t="s">
        <v>5019</v>
      </c>
      <c r="F2042" s="3" t="s">
        <v>5025</v>
      </c>
      <c r="G2042" s="3" t="s">
        <v>5034</v>
      </c>
      <c r="H2042" s="3" t="s">
        <v>7424</v>
      </c>
      <c r="I2042" s="17">
        <v>45634</v>
      </c>
      <c r="J2042" s="18">
        <f>YEAR(Tabla1[[#This Row],[FECHA DE COMPRA]])</f>
        <v>2024</v>
      </c>
      <c r="K2042" s="19">
        <v>180.17</v>
      </c>
      <c r="L2042" s="20">
        <v>0.2</v>
      </c>
      <c r="M2042" s="19">
        <f>Tienda!$K292-Tienda!$K292*Tienda!$L292</f>
        <v>96.84</v>
      </c>
      <c r="N2042" s="3" t="s">
        <v>10039</v>
      </c>
      <c r="O2042" s="3" t="s">
        <v>10041</v>
      </c>
      <c r="P2042" s="17">
        <v>45456</v>
      </c>
      <c r="Q2042" s="4">
        <v>0</v>
      </c>
    </row>
    <row r="2043" spans="1:17" ht="30" x14ac:dyDescent="0.25">
      <c r="A2043" s="2" t="s">
        <v>1713</v>
      </c>
      <c r="B2043" s="3" t="s">
        <v>5016</v>
      </c>
      <c r="C2043" s="3">
        <v>40</v>
      </c>
      <c r="D2043" s="46" t="str">
        <f>IF(Tabla1[[#This Row],[EDAD]]&lt;=35,"Adultos jóvenes 18 - 35 años",IF(C2043&gt;=36,"Adultos mayores 36 años en adelante"))</f>
        <v>Adultos mayores 36 años en adelante</v>
      </c>
      <c r="E2043" s="3" t="s">
        <v>5017</v>
      </c>
      <c r="F2043" s="3" t="s">
        <v>5028</v>
      </c>
      <c r="G2043" s="3" t="s">
        <v>5034</v>
      </c>
      <c r="H2043" s="3" t="s">
        <v>6736</v>
      </c>
      <c r="I2043" s="17">
        <v>45459</v>
      </c>
      <c r="J2043" s="18">
        <f>YEAR(Tabla1[[#This Row],[FECHA DE COMPRA]])</f>
        <v>2024</v>
      </c>
      <c r="K2043" s="19">
        <v>158.79</v>
      </c>
      <c r="L2043" s="20">
        <v>0.3</v>
      </c>
      <c r="M2043" s="19">
        <f>Tienda!$K294-Tienda!$K294*Tienda!$L294</f>
        <v>127.37899999999999</v>
      </c>
      <c r="N2043" s="3" t="s">
        <v>10039</v>
      </c>
      <c r="O2043" s="3" t="s">
        <v>10041</v>
      </c>
      <c r="P2043" s="17">
        <v>45459</v>
      </c>
      <c r="Q2043" s="4">
        <v>0</v>
      </c>
    </row>
    <row r="2044" spans="1:17" ht="30" x14ac:dyDescent="0.25">
      <c r="A2044" s="2" t="s">
        <v>4868</v>
      </c>
      <c r="B2044" s="3" t="s">
        <v>5015</v>
      </c>
      <c r="C2044" s="3">
        <v>40</v>
      </c>
      <c r="D2044" s="46" t="str">
        <f>IF(Tabla1[[#This Row],[EDAD]]&lt;=35,"Adultos jóvenes 18 - 35 años",IF(C2044&gt;=36,"Adultos mayores 36 años en adelante"))</f>
        <v>Adultos mayores 36 años en adelante</v>
      </c>
      <c r="E2044" s="3" t="s">
        <v>5020</v>
      </c>
      <c r="F2044" s="3" t="s">
        <v>5030</v>
      </c>
      <c r="G2044" s="3" t="s">
        <v>5033</v>
      </c>
      <c r="H2044" s="3" t="s">
        <v>9891</v>
      </c>
      <c r="I2044" s="17">
        <v>45460</v>
      </c>
      <c r="J2044" s="18">
        <f>YEAR(Tabla1[[#This Row],[FECHA DE COMPRA]])</f>
        <v>2024</v>
      </c>
      <c r="K2044" s="19">
        <v>20.04</v>
      </c>
      <c r="L2044" s="20">
        <v>0.1</v>
      </c>
      <c r="M2044" s="19">
        <f>Tienda!$K295-Tienda!$K295*Tienda!$L295</f>
        <v>101.08</v>
      </c>
      <c r="N2044" s="3" t="s">
        <v>10039</v>
      </c>
      <c r="O2044" s="3" t="s">
        <v>10041</v>
      </c>
      <c r="P2044" s="17">
        <v>45460</v>
      </c>
      <c r="Q2044" s="4">
        <v>0</v>
      </c>
    </row>
    <row r="2045" spans="1:17" ht="30" x14ac:dyDescent="0.25">
      <c r="A2045" s="2" t="s">
        <v>242</v>
      </c>
      <c r="B2045" s="3" t="s">
        <v>5015</v>
      </c>
      <c r="C2045" s="3">
        <v>45</v>
      </c>
      <c r="D2045" s="46" t="str">
        <f>IF(Tabla1[[#This Row],[EDAD]]&lt;=35,"Adultos jóvenes 18 - 35 años",IF(C2045&gt;=36,"Adultos mayores 36 años en adelante"))</f>
        <v>Adultos mayores 36 años en adelante</v>
      </c>
      <c r="E2045" s="3" t="s">
        <v>5023</v>
      </c>
      <c r="F2045" s="3" t="s">
        <v>5025</v>
      </c>
      <c r="G2045" s="3" t="s">
        <v>5034</v>
      </c>
      <c r="H2045" s="3" t="s">
        <v>5265</v>
      </c>
      <c r="I2045" s="17">
        <v>45460</v>
      </c>
      <c r="J2045" s="18">
        <f>YEAR(Tabla1[[#This Row],[FECHA DE COMPRA]])</f>
        <v>2024</v>
      </c>
      <c r="K2045" s="19">
        <v>49.25</v>
      </c>
      <c r="L2045" s="20">
        <v>0.3</v>
      </c>
      <c r="M2045" s="19">
        <f>Tienda!$K296-Tienda!$K296*Tienda!$L296</f>
        <v>98.126999999999995</v>
      </c>
      <c r="N2045" s="3" t="s">
        <v>10039</v>
      </c>
      <c r="O2045" s="3" t="s">
        <v>10041</v>
      </c>
      <c r="P2045" s="17">
        <v>45460</v>
      </c>
      <c r="Q2045" s="4">
        <v>0</v>
      </c>
    </row>
    <row r="2046" spans="1:17" ht="30" x14ac:dyDescent="0.25">
      <c r="A2046" s="2" t="s">
        <v>4555</v>
      </c>
      <c r="B2046" s="3" t="s">
        <v>5015</v>
      </c>
      <c r="C2046" s="3">
        <v>52</v>
      </c>
      <c r="D2046" s="46" t="str">
        <f>IF(Tabla1[[#This Row],[EDAD]]&lt;=35,"Adultos jóvenes 18 - 35 años",IF(C2046&gt;=36,"Adultos mayores 36 años en adelante"))</f>
        <v>Adultos mayores 36 años en adelante</v>
      </c>
      <c r="E2046" s="3" t="s">
        <v>5018</v>
      </c>
      <c r="F2046" s="3" t="s">
        <v>5027</v>
      </c>
      <c r="G2046" s="3" t="s">
        <v>5034</v>
      </c>
      <c r="H2046" s="3" t="s">
        <v>9578</v>
      </c>
      <c r="I2046" s="17">
        <v>45461</v>
      </c>
      <c r="J2046" s="18">
        <f>YEAR(Tabla1[[#This Row],[FECHA DE COMPRA]])</f>
        <v>2024</v>
      </c>
      <c r="K2046" s="19">
        <v>145.91</v>
      </c>
      <c r="L2046" s="20">
        <v>0.3</v>
      </c>
      <c r="M2046" s="19">
        <f>Tienda!$K299-Tienda!$K299*Tienda!$L299</f>
        <v>70.677000000000007</v>
      </c>
      <c r="N2046" s="3" t="s">
        <v>10039</v>
      </c>
      <c r="O2046" s="3" t="s">
        <v>10041</v>
      </c>
      <c r="P2046" s="17">
        <v>45461</v>
      </c>
      <c r="Q2046" s="4">
        <v>0</v>
      </c>
    </row>
    <row r="2047" spans="1:17" ht="30" x14ac:dyDescent="0.25">
      <c r="A2047" s="2" t="s">
        <v>963</v>
      </c>
      <c r="B2047" s="3" t="s">
        <v>5015</v>
      </c>
      <c r="C2047" s="3">
        <v>41</v>
      </c>
      <c r="D2047" s="46" t="str">
        <f>IF(Tabla1[[#This Row],[EDAD]]&lt;=35,"Adultos jóvenes 18 - 35 años",IF(C2047&gt;=36,"Adultos mayores 36 años en adelante"))</f>
        <v>Adultos mayores 36 años en adelante</v>
      </c>
      <c r="E2047" s="3" t="s">
        <v>5020</v>
      </c>
      <c r="F2047" s="3" t="s">
        <v>5028</v>
      </c>
      <c r="G2047" s="3" t="s">
        <v>5033</v>
      </c>
      <c r="H2047" s="3" t="s">
        <v>5986</v>
      </c>
      <c r="I2047" s="17">
        <v>45462</v>
      </c>
      <c r="J2047" s="18">
        <f>YEAR(Tabla1[[#This Row],[FECHA DE COMPRA]])</f>
        <v>2024</v>
      </c>
      <c r="K2047" s="19">
        <v>24.11</v>
      </c>
      <c r="L2047" s="20">
        <v>0.2</v>
      </c>
      <c r="M2047" s="19">
        <f>Tienda!$K300-Tienda!$K300*Tienda!$L300</f>
        <v>159.78</v>
      </c>
      <c r="N2047" s="3" t="s">
        <v>10039</v>
      </c>
      <c r="O2047" s="3" t="s">
        <v>10041</v>
      </c>
      <c r="P2047" s="17">
        <v>45462</v>
      </c>
      <c r="Q2047" s="4">
        <v>0</v>
      </c>
    </row>
    <row r="2048" spans="1:17" ht="30" x14ac:dyDescent="0.25">
      <c r="A2048" s="2" t="s">
        <v>1496</v>
      </c>
      <c r="B2048" s="3" t="s">
        <v>5015</v>
      </c>
      <c r="C2048" s="3">
        <v>38</v>
      </c>
      <c r="D2048" s="46" t="str">
        <f>IF(Tabla1[[#This Row],[EDAD]]&lt;=35,"Adultos jóvenes 18 - 35 años",IF(C2048&gt;=36,"Adultos mayores 36 años en adelante"))</f>
        <v>Adultos mayores 36 años en adelante</v>
      </c>
      <c r="E2048" s="3" t="s">
        <v>5023</v>
      </c>
      <c r="F2048" s="3" t="s">
        <v>5025</v>
      </c>
      <c r="G2048" s="3" t="s">
        <v>5032</v>
      </c>
      <c r="H2048" s="3" t="s">
        <v>6519</v>
      </c>
      <c r="I2048" s="17">
        <v>45462</v>
      </c>
      <c r="J2048" s="18">
        <f>YEAR(Tabla1[[#This Row],[FECHA DE COMPRA]])</f>
        <v>2024</v>
      </c>
      <c r="K2048" s="19">
        <v>87.44</v>
      </c>
      <c r="L2048" s="20">
        <v>0</v>
      </c>
      <c r="M2048" s="19">
        <f>Tienda!$K301-Tienda!$K301*Tienda!$L301</f>
        <v>94.391999999999996</v>
      </c>
      <c r="N2048" s="3" t="s">
        <v>10039</v>
      </c>
      <c r="O2048" s="3" t="s">
        <v>10041</v>
      </c>
      <c r="P2048" s="17">
        <v>45462</v>
      </c>
      <c r="Q2048" s="4">
        <v>0</v>
      </c>
    </row>
    <row r="2049" spans="1:17" ht="30" x14ac:dyDescent="0.25">
      <c r="A2049" s="2" t="s">
        <v>2230</v>
      </c>
      <c r="B2049" s="3" t="s">
        <v>5015</v>
      </c>
      <c r="C2049" s="3">
        <v>38</v>
      </c>
      <c r="D2049" s="46" t="str">
        <f>IF(Tabla1[[#This Row],[EDAD]]&lt;=35,"Adultos jóvenes 18 - 35 años",IF(C2049&gt;=36,"Adultos mayores 36 años en adelante"))</f>
        <v>Adultos mayores 36 años en adelante</v>
      </c>
      <c r="E2049" s="3" t="s">
        <v>5022</v>
      </c>
      <c r="F2049" s="3" t="s">
        <v>5026</v>
      </c>
      <c r="G2049" s="3" t="s">
        <v>5031</v>
      </c>
      <c r="H2049" s="3" t="s">
        <v>7253</v>
      </c>
      <c r="I2049" s="17">
        <v>45462</v>
      </c>
      <c r="J2049" s="18">
        <f>YEAR(Tabla1[[#This Row],[FECHA DE COMPRA]])</f>
        <v>2024</v>
      </c>
      <c r="K2049" s="19">
        <v>111.48</v>
      </c>
      <c r="L2049" s="20">
        <v>0.2</v>
      </c>
      <c r="M2049" s="19">
        <f>Tienda!$K302-Tienda!$K302*Tienda!$L302</f>
        <v>149.63399999999999</v>
      </c>
      <c r="N2049" s="3" t="s">
        <v>10039</v>
      </c>
      <c r="O2049" s="3" t="s">
        <v>10041</v>
      </c>
      <c r="P2049" s="17">
        <v>45462</v>
      </c>
      <c r="Q2049" s="4">
        <v>0</v>
      </c>
    </row>
    <row r="2050" spans="1:17" ht="30" x14ac:dyDescent="0.25">
      <c r="A2050" s="2" t="s">
        <v>77</v>
      </c>
      <c r="B2050" s="3" t="s">
        <v>5015</v>
      </c>
      <c r="C2050" s="3">
        <v>64</v>
      </c>
      <c r="D2050" s="46" t="str">
        <f>IF(Tabla1[[#This Row],[EDAD]]&lt;=35,"Adultos jóvenes 18 - 35 años",IF(C2050&gt;=36,"Adultos mayores 36 años en adelante"))</f>
        <v>Adultos mayores 36 años en adelante</v>
      </c>
      <c r="E2050" s="3" t="s">
        <v>5020</v>
      </c>
      <c r="F2050" s="3" t="s">
        <v>5029</v>
      </c>
      <c r="G2050" s="3" t="s">
        <v>5033</v>
      </c>
      <c r="H2050" s="3" t="s">
        <v>5100</v>
      </c>
      <c r="I2050" s="17">
        <v>45464</v>
      </c>
      <c r="J2050" s="18">
        <f>YEAR(Tabla1[[#This Row],[FECHA DE COMPRA]])</f>
        <v>2024</v>
      </c>
      <c r="K2050" s="19">
        <v>94.9</v>
      </c>
      <c r="L2050" s="20">
        <v>0.3</v>
      </c>
      <c r="M2050" s="19">
        <f>Tienda!$K304-Tienda!$K304*Tienda!$L304</f>
        <v>104.679</v>
      </c>
      <c r="N2050" s="3" t="s">
        <v>10039</v>
      </c>
      <c r="O2050" s="3" t="s">
        <v>10041</v>
      </c>
      <c r="P2050" s="17">
        <v>45464</v>
      </c>
      <c r="Q2050" s="4">
        <v>0</v>
      </c>
    </row>
    <row r="2051" spans="1:17" ht="30" x14ac:dyDescent="0.25">
      <c r="A2051" s="2" t="s">
        <v>1164</v>
      </c>
      <c r="B2051" s="3" t="s">
        <v>5016</v>
      </c>
      <c r="C2051" s="3">
        <v>59</v>
      </c>
      <c r="D2051" s="46" t="str">
        <f>IF(Tabla1[[#This Row],[EDAD]]&lt;=35,"Adultos jóvenes 18 - 35 años",IF(C2051&gt;=36,"Adultos mayores 36 años en adelante"))</f>
        <v>Adultos mayores 36 años en adelante</v>
      </c>
      <c r="E2051" s="3" t="s">
        <v>5023</v>
      </c>
      <c r="F2051" s="3" t="s">
        <v>5027</v>
      </c>
      <c r="G2051" s="3" t="s">
        <v>5036</v>
      </c>
      <c r="H2051" s="3" t="s">
        <v>6187</v>
      </c>
      <c r="I2051" s="17">
        <v>45464</v>
      </c>
      <c r="J2051" s="18">
        <f>YEAR(Tabla1[[#This Row],[FECHA DE COMPRA]])</f>
        <v>2024</v>
      </c>
      <c r="K2051" s="19">
        <v>168.48</v>
      </c>
      <c r="L2051" s="20">
        <v>0.3</v>
      </c>
      <c r="M2051" s="19">
        <f>Tienda!$K305-Tienda!$K305*Tienda!$L305</f>
        <v>115.56</v>
      </c>
      <c r="N2051" s="3" t="s">
        <v>10039</v>
      </c>
      <c r="O2051" s="3" t="s">
        <v>10041</v>
      </c>
      <c r="P2051" s="17">
        <v>45464</v>
      </c>
      <c r="Q2051" s="4">
        <v>0</v>
      </c>
    </row>
    <row r="2052" spans="1:17" ht="30" x14ac:dyDescent="0.25">
      <c r="A2052" s="2" t="s">
        <v>399</v>
      </c>
      <c r="B2052" s="3" t="s">
        <v>5016</v>
      </c>
      <c r="C2052" s="3">
        <v>54</v>
      </c>
      <c r="D2052" s="46" t="str">
        <f>IF(Tabla1[[#This Row],[EDAD]]&lt;=35,"Adultos jóvenes 18 - 35 años",IF(C2052&gt;=36,"Adultos mayores 36 años en adelante"))</f>
        <v>Adultos mayores 36 años en adelante</v>
      </c>
      <c r="E2052" s="3" t="s">
        <v>5021</v>
      </c>
      <c r="F2052" s="3" t="s">
        <v>5030</v>
      </c>
      <c r="G2052" s="3" t="s">
        <v>5035</v>
      </c>
      <c r="H2052" s="3" t="s">
        <v>5422</v>
      </c>
      <c r="I2052" s="17">
        <v>45466</v>
      </c>
      <c r="J2052" s="18">
        <f>YEAR(Tabla1[[#This Row],[FECHA DE COMPRA]])</f>
        <v>2024</v>
      </c>
      <c r="K2052" s="19">
        <v>141.88</v>
      </c>
      <c r="L2052" s="20">
        <v>0.2</v>
      </c>
      <c r="M2052" s="19">
        <f>Tienda!$K307-Tienda!$K307*Tienda!$L307</f>
        <v>93.051000000000002</v>
      </c>
      <c r="N2052" s="3" t="s">
        <v>10039</v>
      </c>
      <c r="O2052" s="3" t="s">
        <v>10041</v>
      </c>
      <c r="P2052" s="17">
        <v>45466</v>
      </c>
      <c r="Q2052" s="4">
        <v>0</v>
      </c>
    </row>
    <row r="2053" spans="1:17" ht="30" x14ac:dyDescent="0.25">
      <c r="A2053" s="2" t="s">
        <v>808</v>
      </c>
      <c r="B2053" s="3" t="s">
        <v>5015</v>
      </c>
      <c r="C2053" s="3">
        <v>45</v>
      </c>
      <c r="D2053" s="46" t="str">
        <f>IF(Tabla1[[#This Row],[EDAD]]&lt;=35,"Adultos jóvenes 18 - 35 años",IF(C2053&gt;=36,"Adultos mayores 36 años en adelante"))</f>
        <v>Adultos mayores 36 años en adelante</v>
      </c>
      <c r="E2053" s="3" t="s">
        <v>5020</v>
      </c>
      <c r="F2053" s="3" t="s">
        <v>5024</v>
      </c>
      <c r="G2053" s="3" t="s">
        <v>5037</v>
      </c>
      <c r="H2053" s="3" t="s">
        <v>5831</v>
      </c>
      <c r="I2053" s="17">
        <v>45466</v>
      </c>
      <c r="J2053" s="18">
        <f>YEAR(Tabla1[[#This Row],[FECHA DE COMPRA]])</f>
        <v>2024</v>
      </c>
      <c r="K2053" s="19">
        <v>151.26</v>
      </c>
      <c r="L2053" s="20">
        <v>0.2</v>
      </c>
      <c r="M2053" s="19">
        <f>Tienda!$K308-Tienda!$K308*Tienda!$L308</f>
        <v>27.3</v>
      </c>
      <c r="N2053" s="3" t="s">
        <v>10039</v>
      </c>
      <c r="O2053" s="3" t="s">
        <v>10041</v>
      </c>
      <c r="P2053" s="17">
        <v>45466</v>
      </c>
      <c r="Q2053" s="4">
        <v>0</v>
      </c>
    </row>
    <row r="2054" spans="1:17" ht="30" x14ac:dyDescent="0.25">
      <c r="A2054" s="2" t="s">
        <v>2747</v>
      </c>
      <c r="B2054" s="3" t="s">
        <v>5016</v>
      </c>
      <c r="C2054" s="3">
        <v>41</v>
      </c>
      <c r="D2054" s="46" t="str">
        <f>IF(Tabla1[[#This Row],[EDAD]]&lt;=35,"Adultos jóvenes 18 - 35 años",IF(C2054&gt;=36,"Adultos mayores 36 años en adelante"))</f>
        <v>Adultos mayores 36 años en adelante</v>
      </c>
      <c r="E2054" s="3" t="s">
        <v>5019</v>
      </c>
      <c r="F2054" s="3" t="s">
        <v>5028</v>
      </c>
      <c r="G2054" s="3" t="s">
        <v>5037</v>
      </c>
      <c r="H2054" s="3" t="s">
        <v>7770</v>
      </c>
      <c r="I2054" s="17">
        <v>45467</v>
      </c>
      <c r="J2054" s="18">
        <f>YEAR(Tabla1[[#This Row],[FECHA DE COMPRA]])</f>
        <v>2024</v>
      </c>
      <c r="K2054" s="19">
        <v>76.760000000000005</v>
      </c>
      <c r="L2054" s="20">
        <v>0.3</v>
      </c>
      <c r="M2054" s="19">
        <f>Tienda!$K309-Tienda!$K309*Tienda!$L309</f>
        <v>102.968</v>
      </c>
      <c r="N2054" s="3" t="s">
        <v>10039</v>
      </c>
      <c r="O2054" s="3" t="s">
        <v>10041</v>
      </c>
      <c r="P2054" s="17">
        <v>45467</v>
      </c>
      <c r="Q2054" s="4">
        <v>0</v>
      </c>
    </row>
    <row r="2055" spans="1:17" ht="30" x14ac:dyDescent="0.25">
      <c r="A2055" s="2" t="s">
        <v>1216</v>
      </c>
      <c r="B2055" s="3" t="s">
        <v>5016</v>
      </c>
      <c r="C2055" s="3">
        <v>39</v>
      </c>
      <c r="D2055" s="46" t="str">
        <f>IF(Tabla1[[#This Row],[EDAD]]&lt;=35,"Adultos jóvenes 18 - 35 años",IF(C2055&gt;=36,"Adultos mayores 36 años en adelante"))</f>
        <v>Adultos mayores 36 años en adelante</v>
      </c>
      <c r="E2055" s="3" t="s">
        <v>5023</v>
      </c>
      <c r="F2055" s="3" t="s">
        <v>5029</v>
      </c>
      <c r="G2055" s="3" t="s">
        <v>5033</v>
      </c>
      <c r="H2055" s="3" t="s">
        <v>6239</v>
      </c>
      <c r="I2055" s="17">
        <v>45473</v>
      </c>
      <c r="J2055" s="18">
        <f>YEAR(Tabla1[[#This Row],[FECHA DE COMPRA]])</f>
        <v>2024</v>
      </c>
      <c r="K2055" s="19">
        <v>58.13</v>
      </c>
      <c r="L2055" s="20">
        <v>0.2</v>
      </c>
      <c r="M2055" s="19">
        <f>Tienda!$K316-Tienda!$K316*Tienda!$L316</f>
        <v>54.81</v>
      </c>
      <c r="N2055" s="3" t="s">
        <v>10039</v>
      </c>
      <c r="O2055" s="3" t="s">
        <v>10041</v>
      </c>
      <c r="P2055" s="17">
        <v>45473</v>
      </c>
      <c r="Q2055" s="4">
        <v>0</v>
      </c>
    </row>
    <row r="2056" spans="1:17" ht="30" x14ac:dyDescent="0.25">
      <c r="A2056" s="2" t="s">
        <v>4223</v>
      </c>
      <c r="B2056" s="3" t="s">
        <v>5015</v>
      </c>
      <c r="C2056" s="3">
        <v>43</v>
      </c>
      <c r="D2056" s="46" t="str">
        <f>IF(Tabla1[[#This Row],[EDAD]]&lt;=35,"Adultos jóvenes 18 - 35 años",IF(C2056&gt;=36,"Adultos mayores 36 años en adelante"))</f>
        <v>Adultos mayores 36 años en adelante</v>
      </c>
      <c r="E2056" s="3" t="s">
        <v>5018</v>
      </c>
      <c r="F2056" s="3" t="s">
        <v>5027</v>
      </c>
      <c r="G2056" s="3" t="s">
        <v>5032</v>
      </c>
      <c r="H2056" s="3" t="s">
        <v>9246</v>
      </c>
      <c r="I2056" s="17">
        <v>45473</v>
      </c>
      <c r="J2056" s="18">
        <f>YEAR(Tabla1[[#This Row],[FECHA DE COMPRA]])</f>
        <v>2024</v>
      </c>
      <c r="K2056" s="19">
        <v>89.94</v>
      </c>
      <c r="L2056" s="20">
        <v>0.1</v>
      </c>
      <c r="M2056" s="19">
        <f>Tienda!$K317-Tienda!$K317*Tienda!$L317</f>
        <v>156.267</v>
      </c>
      <c r="N2056" s="3" t="s">
        <v>10039</v>
      </c>
      <c r="O2056" s="3" t="s">
        <v>10041</v>
      </c>
      <c r="P2056" s="17">
        <v>45473</v>
      </c>
      <c r="Q2056" s="4">
        <v>0</v>
      </c>
    </row>
    <row r="2057" spans="1:17" ht="30" x14ac:dyDescent="0.25">
      <c r="A2057" s="2" t="s">
        <v>2966</v>
      </c>
      <c r="B2057" s="3" t="s">
        <v>5015</v>
      </c>
      <c r="C2057" s="3">
        <v>65</v>
      </c>
      <c r="D2057" s="46" t="str">
        <f>IF(Tabla1[[#This Row],[EDAD]]&lt;=35,"Adultos jóvenes 18 - 35 años",IF(C2057&gt;=36,"Adultos mayores 36 años en adelante"))</f>
        <v>Adultos mayores 36 años en adelante</v>
      </c>
      <c r="E2057" s="3" t="s">
        <v>5018</v>
      </c>
      <c r="F2057" s="3" t="s">
        <v>5024</v>
      </c>
      <c r="G2057" s="3" t="s">
        <v>5037</v>
      </c>
      <c r="H2057" s="3" t="s">
        <v>7989</v>
      </c>
      <c r="I2057" s="17">
        <v>45473</v>
      </c>
      <c r="J2057" s="18">
        <f>YEAR(Tabla1[[#This Row],[FECHA DE COMPRA]])</f>
        <v>2024</v>
      </c>
      <c r="K2057" s="19">
        <v>173.96</v>
      </c>
      <c r="L2057" s="20">
        <v>0</v>
      </c>
      <c r="M2057" s="19">
        <f>Tienda!$K318-Tienda!$K318*Tienda!$L318</f>
        <v>176.37</v>
      </c>
      <c r="N2057" s="3" t="s">
        <v>10039</v>
      </c>
      <c r="O2057" s="3" t="s">
        <v>10041</v>
      </c>
      <c r="P2057" s="17">
        <v>45473</v>
      </c>
      <c r="Q2057" s="4">
        <v>0</v>
      </c>
    </row>
    <row r="2058" spans="1:17" ht="30" x14ac:dyDescent="0.25">
      <c r="A2058" s="2" t="s">
        <v>1542</v>
      </c>
      <c r="B2058" s="3" t="s">
        <v>5015</v>
      </c>
      <c r="C2058" s="3">
        <v>59</v>
      </c>
      <c r="D2058" s="46" t="str">
        <f>IF(Tabla1[[#This Row],[EDAD]]&lt;=35,"Adultos jóvenes 18 - 35 años",IF(C2058&gt;=36,"Adultos mayores 36 años en adelante"))</f>
        <v>Adultos mayores 36 años en adelante</v>
      </c>
      <c r="E2058" s="3" t="s">
        <v>5022</v>
      </c>
      <c r="F2058" s="3" t="s">
        <v>5028</v>
      </c>
      <c r="G2058" s="3" t="s">
        <v>5036</v>
      </c>
      <c r="H2058" s="3" t="s">
        <v>6565</v>
      </c>
      <c r="I2058" s="17">
        <v>45474</v>
      </c>
      <c r="J2058" s="18">
        <f>YEAR(Tabla1[[#This Row],[FECHA DE COMPRA]])</f>
        <v>2024</v>
      </c>
      <c r="K2058" s="19">
        <v>134.61000000000001</v>
      </c>
      <c r="L2058" s="20">
        <v>0.3</v>
      </c>
      <c r="M2058" s="19">
        <f>Tienda!$K322-Tienda!$K322*Tienda!$L322</f>
        <v>62.496000000000002</v>
      </c>
      <c r="N2058" s="3" t="s">
        <v>10039</v>
      </c>
      <c r="O2058" s="3" t="s">
        <v>10041</v>
      </c>
      <c r="P2058" s="17">
        <v>45474</v>
      </c>
      <c r="Q2058" s="4">
        <v>0</v>
      </c>
    </row>
    <row r="2059" spans="1:17" ht="30" x14ac:dyDescent="0.25">
      <c r="A2059" s="2" t="s">
        <v>1238</v>
      </c>
      <c r="B2059" s="3" t="s">
        <v>5015</v>
      </c>
      <c r="C2059" s="3">
        <v>43</v>
      </c>
      <c r="D2059" s="46" t="str">
        <f>IF(Tabla1[[#This Row],[EDAD]]&lt;=35,"Adultos jóvenes 18 - 35 años",IF(C2059&gt;=36,"Adultos mayores 36 años en adelante"))</f>
        <v>Adultos mayores 36 años en adelante</v>
      </c>
      <c r="E2059" s="3" t="s">
        <v>5020</v>
      </c>
      <c r="F2059" s="3" t="s">
        <v>5029</v>
      </c>
      <c r="G2059" s="3" t="s">
        <v>5031</v>
      </c>
      <c r="H2059" s="3" t="s">
        <v>6261</v>
      </c>
      <c r="I2059" s="17">
        <v>45475</v>
      </c>
      <c r="J2059" s="18">
        <f>YEAR(Tabla1[[#This Row],[FECHA DE COMPRA]])</f>
        <v>2024</v>
      </c>
      <c r="K2059" s="19">
        <v>164.07</v>
      </c>
      <c r="L2059" s="20">
        <v>0.1</v>
      </c>
      <c r="M2059" s="19">
        <f>Tienda!$K324-Tienda!$K324*Tienda!$L324</f>
        <v>139.85</v>
      </c>
      <c r="N2059" s="3" t="s">
        <v>10039</v>
      </c>
      <c r="O2059" s="3" t="s">
        <v>10041</v>
      </c>
      <c r="P2059" s="17">
        <v>45475</v>
      </c>
      <c r="Q2059" s="4">
        <v>0</v>
      </c>
    </row>
    <row r="2060" spans="1:17" ht="30" x14ac:dyDescent="0.25">
      <c r="A2060" s="2" t="s">
        <v>299</v>
      </c>
      <c r="B2060" s="3" t="s">
        <v>5015</v>
      </c>
      <c r="C2060" s="3">
        <v>47</v>
      </c>
      <c r="D2060" s="46" t="str">
        <f>IF(Tabla1[[#This Row],[EDAD]]&lt;=35,"Adultos jóvenes 18 - 35 años",IF(C2060&gt;=36,"Adultos mayores 36 años en adelante"))</f>
        <v>Adultos mayores 36 años en adelante</v>
      </c>
      <c r="E2060" s="3" t="s">
        <v>5018</v>
      </c>
      <c r="F2060" s="3" t="s">
        <v>5029</v>
      </c>
      <c r="G2060" s="3" t="s">
        <v>5034</v>
      </c>
      <c r="H2060" s="3" t="s">
        <v>5322</v>
      </c>
      <c r="I2060" s="17">
        <v>45475</v>
      </c>
      <c r="J2060" s="18">
        <f>YEAR(Tabla1[[#This Row],[FECHA DE COMPRA]])</f>
        <v>2024</v>
      </c>
      <c r="K2060" s="19">
        <v>182.11</v>
      </c>
      <c r="L2060" s="20">
        <v>0.3</v>
      </c>
      <c r="M2060" s="19">
        <f>Tienda!$K325-Tienda!$K325*Tienda!$L325</f>
        <v>28.686</v>
      </c>
      <c r="N2060" s="3" t="s">
        <v>10039</v>
      </c>
      <c r="O2060" s="3" t="s">
        <v>10041</v>
      </c>
      <c r="P2060" s="17">
        <v>45475</v>
      </c>
      <c r="Q2060" s="4">
        <v>0</v>
      </c>
    </row>
    <row r="2061" spans="1:17" ht="30" x14ac:dyDescent="0.25">
      <c r="A2061" s="2" t="s">
        <v>2371</v>
      </c>
      <c r="B2061" s="3" t="s">
        <v>5016</v>
      </c>
      <c r="C2061" s="3">
        <v>36</v>
      </c>
      <c r="D2061" s="46" t="str">
        <f>IF(Tabla1[[#This Row],[EDAD]]&lt;=35,"Adultos jóvenes 18 - 35 años",IF(C2061&gt;=36,"Adultos mayores 36 años en adelante"))</f>
        <v>Adultos mayores 36 años en adelante</v>
      </c>
      <c r="E2061" s="3" t="s">
        <v>5023</v>
      </c>
      <c r="F2061" s="3" t="s">
        <v>5024</v>
      </c>
      <c r="G2061" s="3" t="s">
        <v>5034</v>
      </c>
      <c r="H2061" s="3" t="s">
        <v>7394</v>
      </c>
      <c r="I2061" s="17">
        <v>45476</v>
      </c>
      <c r="J2061" s="18">
        <f>YEAR(Tabla1[[#This Row],[FECHA DE COMPRA]])</f>
        <v>2024</v>
      </c>
      <c r="K2061" s="19">
        <v>13.64</v>
      </c>
      <c r="L2061" s="20">
        <v>0.1</v>
      </c>
      <c r="M2061" s="19">
        <f>Tienda!$K326-Tienda!$K326*Tienda!$L326</f>
        <v>61.96</v>
      </c>
      <c r="N2061" s="3" t="s">
        <v>10039</v>
      </c>
      <c r="O2061" s="3" t="s">
        <v>10041</v>
      </c>
      <c r="P2061" s="17">
        <v>45476</v>
      </c>
      <c r="Q2061" s="4">
        <v>0</v>
      </c>
    </row>
    <row r="2062" spans="1:17" ht="30" x14ac:dyDescent="0.25">
      <c r="A2062" s="2" t="s">
        <v>3869</v>
      </c>
      <c r="B2062" s="3" t="s">
        <v>5016</v>
      </c>
      <c r="C2062" s="3">
        <v>48</v>
      </c>
      <c r="D2062" s="46" t="str">
        <f>IF(Tabla1[[#This Row],[EDAD]]&lt;=35,"Adultos jóvenes 18 - 35 años",IF(C2062&gt;=36,"Adultos mayores 36 años en adelante"))</f>
        <v>Adultos mayores 36 años en adelante</v>
      </c>
      <c r="E2062" s="3" t="s">
        <v>5019</v>
      </c>
      <c r="F2062" s="3" t="s">
        <v>5026</v>
      </c>
      <c r="G2062" s="3" t="s">
        <v>5035</v>
      </c>
      <c r="H2062" s="3" t="s">
        <v>8892</v>
      </c>
      <c r="I2062" s="17">
        <v>45478</v>
      </c>
      <c r="J2062" s="18">
        <f>YEAR(Tabla1[[#This Row],[FECHA DE COMPRA]])</f>
        <v>2024</v>
      </c>
      <c r="K2062" s="19">
        <v>119.05</v>
      </c>
      <c r="L2062" s="20">
        <v>0</v>
      </c>
      <c r="M2062" s="19">
        <f>Tienda!$K328-Tienda!$K328*Tienda!$L328</f>
        <v>80.647999999999996</v>
      </c>
      <c r="N2062" s="3" t="s">
        <v>10039</v>
      </c>
      <c r="O2062" s="3" t="s">
        <v>10041</v>
      </c>
      <c r="P2062" s="17">
        <v>45478</v>
      </c>
      <c r="Q2062" s="4">
        <v>0</v>
      </c>
    </row>
    <row r="2063" spans="1:17" ht="30" x14ac:dyDescent="0.25">
      <c r="A2063" s="2" t="s">
        <v>3462</v>
      </c>
      <c r="B2063" s="3" t="s">
        <v>5015</v>
      </c>
      <c r="C2063" s="3">
        <v>37</v>
      </c>
      <c r="D2063" s="46" t="str">
        <f>IF(Tabla1[[#This Row],[EDAD]]&lt;=35,"Adultos jóvenes 18 - 35 años",IF(C2063&gt;=36,"Adultos mayores 36 años en adelante"))</f>
        <v>Adultos mayores 36 años en adelante</v>
      </c>
      <c r="E2063" s="3" t="s">
        <v>5020</v>
      </c>
      <c r="F2063" s="3" t="s">
        <v>5024</v>
      </c>
      <c r="G2063" s="3" t="s">
        <v>5031</v>
      </c>
      <c r="H2063" s="3" t="s">
        <v>8485</v>
      </c>
      <c r="I2063" s="17">
        <v>45480</v>
      </c>
      <c r="J2063" s="18">
        <f>YEAR(Tabla1[[#This Row],[FECHA DE COMPRA]])</f>
        <v>2024</v>
      </c>
      <c r="K2063" s="19">
        <v>48.37</v>
      </c>
      <c r="L2063" s="20">
        <v>0.2</v>
      </c>
      <c r="M2063" s="19">
        <f>Tienda!$K332-Tienda!$K332*Tienda!$L332</f>
        <v>67.326000000000008</v>
      </c>
      <c r="N2063" s="3" t="s">
        <v>10039</v>
      </c>
      <c r="O2063" s="3" t="s">
        <v>10041</v>
      </c>
      <c r="P2063" s="17">
        <v>45480</v>
      </c>
      <c r="Q2063" s="4">
        <v>0</v>
      </c>
    </row>
    <row r="2064" spans="1:17" ht="30" x14ac:dyDescent="0.25">
      <c r="A2064" s="2" t="s">
        <v>739</v>
      </c>
      <c r="B2064" s="3" t="s">
        <v>5015</v>
      </c>
      <c r="C2064" s="3">
        <v>47</v>
      </c>
      <c r="D2064" s="46" t="str">
        <f>IF(Tabla1[[#This Row],[EDAD]]&lt;=35,"Adultos jóvenes 18 - 35 años",IF(C2064&gt;=36,"Adultos mayores 36 años en adelante"))</f>
        <v>Adultos mayores 36 años en adelante</v>
      </c>
      <c r="E2064" s="3" t="s">
        <v>5018</v>
      </c>
      <c r="F2064" s="3" t="s">
        <v>5028</v>
      </c>
      <c r="G2064" s="3" t="s">
        <v>5037</v>
      </c>
      <c r="H2064" s="3" t="s">
        <v>5762</v>
      </c>
      <c r="I2064" s="17">
        <v>45480</v>
      </c>
      <c r="J2064" s="18">
        <f>YEAR(Tabla1[[#This Row],[FECHA DE COMPRA]])</f>
        <v>2024</v>
      </c>
      <c r="K2064" s="19">
        <v>133.71</v>
      </c>
      <c r="L2064" s="20">
        <v>0.2</v>
      </c>
      <c r="M2064" s="19">
        <f>Tienda!$K333-Tienda!$K333*Tienda!$L333</f>
        <v>108.83</v>
      </c>
      <c r="N2064" s="3" t="s">
        <v>10039</v>
      </c>
      <c r="O2064" s="3" t="s">
        <v>10041</v>
      </c>
      <c r="P2064" s="17">
        <v>45480</v>
      </c>
      <c r="Q2064" s="4">
        <v>0</v>
      </c>
    </row>
    <row r="2065" spans="1:17" ht="30" x14ac:dyDescent="0.25">
      <c r="A2065" s="2" t="s">
        <v>1447</v>
      </c>
      <c r="B2065" s="3" t="s">
        <v>5015</v>
      </c>
      <c r="C2065" s="3">
        <v>58</v>
      </c>
      <c r="D2065" s="46" t="str">
        <f>IF(Tabla1[[#This Row],[EDAD]]&lt;=35,"Adultos jóvenes 18 - 35 años",IF(C2065&gt;=36,"Adultos mayores 36 años en adelante"))</f>
        <v>Adultos mayores 36 años en adelante</v>
      </c>
      <c r="E2065" s="3" t="s">
        <v>5018</v>
      </c>
      <c r="F2065" s="3" t="s">
        <v>5029</v>
      </c>
      <c r="G2065" s="3" t="s">
        <v>5035</v>
      </c>
      <c r="H2065" s="3" t="s">
        <v>6470</v>
      </c>
      <c r="I2065" s="17">
        <v>45480</v>
      </c>
      <c r="J2065" s="18">
        <f>YEAR(Tabla1[[#This Row],[FECHA DE COMPRA]])</f>
        <v>2024</v>
      </c>
      <c r="K2065" s="19">
        <v>157.55000000000001</v>
      </c>
      <c r="L2065" s="20">
        <v>0.3</v>
      </c>
      <c r="M2065" s="19">
        <f>Tienda!$K335-Tienda!$K335*Tienda!$L335</f>
        <v>126.792</v>
      </c>
      <c r="N2065" s="3" t="s">
        <v>10039</v>
      </c>
      <c r="O2065" s="3" t="s">
        <v>10041</v>
      </c>
      <c r="P2065" s="17">
        <v>45480</v>
      </c>
      <c r="Q2065" s="4">
        <v>0</v>
      </c>
    </row>
    <row r="2066" spans="1:17" ht="30" x14ac:dyDescent="0.25">
      <c r="A2066" s="2" t="s">
        <v>900</v>
      </c>
      <c r="B2066" s="3" t="s">
        <v>5015</v>
      </c>
      <c r="C2066" s="3">
        <v>46</v>
      </c>
      <c r="D2066" s="46" t="str">
        <f>IF(Tabla1[[#This Row],[EDAD]]&lt;=35,"Adultos jóvenes 18 - 35 años",IF(C2066&gt;=36,"Adultos mayores 36 años en adelante"))</f>
        <v>Adultos mayores 36 años en adelante</v>
      </c>
      <c r="E2066" s="3" t="s">
        <v>5020</v>
      </c>
      <c r="F2066" s="3" t="s">
        <v>5026</v>
      </c>
      <c r="G2066" s="3" t="s">
        <v>5035</v>
      </c>
      <c r="H2066" s="3" t="s">
        <v>5923</v>
      </c>
      <c r="I2066" s="17">
        <v>45482</v>
      </c>
      <c r="J2066" s="18">
        <f>YEAR(Tabla1[[#This Row],[FECHA DE COMPRA]])</f>
        <v>2024</v>
      </c>
      <c r="K2066" s="19">
        <v>182.19</v>
      </c>
      <c r="L2066" s="20">
        <v>0</v>
      </c>
      <c r="M2066" s="19">
        <f>Tienda!$K336-Tienda!$K336*Tienda!$L336</f>
        <v>109.774</v>
      </c>
      <c r="N2066" s="3" t="s">
        <v>10039</v>
      </c>
      <c r="O2066" s="3" t="s">
        <v>10041</v>
      </c>
      <c r="P2066" s="17">
        <v>45482</v>
      </c>
      <c r="Q2066" s="4">
        <v>0</v>
      </c>
    </row>
    <row r="2067" spans="1:17" ht="30" x14ac:dyDescent="0.25">
      <c r="A2067" s="2" t="s">
        <v>378</v>
      </c>
      <c r="B2067" s="3" t="s">
        <v>5015</v>
      </c>
      <c r="C2067" s="3">
        <v>61</v>
      </c>
      <c r="D2067" s="46" t="str">
        <f>IF(Tabla1[[#This Row],[EDAD]]&lt;=35,"Adultos jóvenes 18 - 35 años",IF(C2067&gt;=36,"Adultos mayores 36 años en adelante"))</f>
        <v>Adultos mayores 36 años en adelante</v>
      </c>
      <c r="E2067" s="3" t="s">
        <v>5022</v>
      </c>
      <c r="F2067" s="3" t="s">
        <v>5025</v>
      </c>
      <c r="G2067" s="3" t="s">
        <v>5031</v>
      </c>
      <c r="H2067" s="3" t="s">
        <v>5401</v>
      </c>
      <c r="I2067" s="17">
        <v>45485</v>
      </c>
      <c r="J2067" s="18">
        <f>YEAR(Tabla1[[#This Row],[FECHA DE COMPRA]])</f>
        <v>2024</v>
      </c>
      <c r="K2067" s="19">
        <v>165.76</v>
      </c>
      <c r="L2067" s="20">
        <v>0</v>
      </c>
      <c r="M2067" s="19">
        <f>Tienda!$K342-Tienda!$K342*Tienda!$L342</f>
        <v>132.25800000000001</v>
      </c>
      <c r="N2067" s="3" t="s">
        <v>10039</v>
      </c>
      <c r="O2067" s="3" t="s">
        <v>10041</v>
      </c>
      <c r="P2067" s="17">
        <v>45485</v>
      </c>
      <c r="Q2067" s="4">
        <v>0</v>
      </c>
    </row>
    <row r="2068" spans="1:17" ht="30" x14ac:dyDescent="0.25">
      <c r="A2068" s="2" t="s">
        <v>563</v>
      </c>
      <c r="B2068" s="3" t="s">
        <v>5016</v>
      </c>
      <c r="C2068" s="3">
        <v>38</v>
      </c>
      <c r="D2068" s="46" t="str">
        <f>IF(Tabla1[[#This Row],[EDAD]]&lt;=35,"Adultos jóvenes 18 - 35 años",IF(C2068&gt;=36,"Adultos mayores 36 años en adelante"))</f>
        <v>Adultos mayores 36 años en adelante</v>
      </c>
      <c r="E2068" s="3" t="s">
        <v>5021</v>
      </c>
      <c r="F2068" s="3" t="s">
        <v>5028</v>
      </c>
      <c r="G2068" s="3" t="s">
        <v>5033</v>
      </c>
      <c r="H2068" s="3" t="s">
        <v>5586</v>
      </c>
      <c r="I2068" s="17">
        <v>45487</v>
      </c>
      <c r="J2068" s="18">
        <f>YEAR(Tabla1[[#This Row],[FECHA DE COMPRA]])</f>
        <v>2024</v>
      </c>
      <c r="K2068" s="19">
        <v>91.81</v>
      </c>
      <c r="L2068" s="20">
        <v>0.3</v>
      </c>
      <c r="M2068" s="19">
        <f>Tienda!$K344-Tienda!$K344*Tienda!$L344</f>
        <v>142.875</v>
      </c>
      <c r="N2068" s="3" t="s">
        <v>10039</v>
      </c>
      <c r="O2068" s="3" t="s">
        <v>10041</v>
      </c>
      <c r="P2068" s="17">
        <v>45487</v>
      </c>
      <c r="Q2068" s="4">
        <v>0</v>
      </c>
    </row>
    <row r="2069" spans="1:17" ht="30" x14ac:dyDescent="0.25">
      <c r="A2069" s="2" t="s">
        <v>1413</v>
      </c>
      <c r="B2069" s="3" t="s">
        <v>5015</v>
      </c>
      <c r="C2069" s="3">
        <v>49</v>
      </c>
      <c r="D2069" s="46" t="str">
        <f>IF(Tabla1[[#This Row],[EDAD]]&lt;=35,"Adultos jóvenes 18 - 35 años",IF(C2069&gt;=36,"Adultos mayores 36 años en adelante"))</f>
        <v>Adultos mayores 36 años en adelante</v>
      </c>
      <c r="E2069" s="3" t="s">
        <v>5022</v>
      </c>
      <c r="F2069" s="3" t="s">
        <v>5025</v>
      </c>
      <c r="G2069" s="3" t="s">
        <v>5031</v>
      </c>
      <c r="H2069" s="3" t="s">
        <v>6436</v>
      </c>
      <c r="I2069" s="17">
        <v>45488</v>
      </c>
      <c r="J2069" s="18">
        <f>YEAR(Tabla1[[#This Row],[FECHA DE COMPRA]])</f>
        <v>2024</v>
      </c>
      <c r="K2069" s="19">
        <v>13.32</v>
      </c>
      <c r="L2069" s="20">
        <v>0</v>
      </c>
      <c r="M2069" s="19">
        <f>Tienda!$K345-Tienda!$K345*Tienda!$L345</f>
        <v>124.77599999999998</v>
      </c>
      <c r="N2069" s="3" t="s">
        <v>10039</v>
      </c>
      <c r="O2069" s="3" t="s">
        <v>10041</v>
      </c>
      <c r="P2069" s="17">
        <v>45488</v>
      </c>
      <c r="Q2069" s="4">
        <v>0</v>
      </c>
    </row>
    <row r="2070" spans="1:17" ht="30" x14ac:dyDescent="0.25">
      <c r="A2070" s="2" t="s">
        <v>2948</v>
      </c>
      <c r="B2070" s="3" t="s">
        <v>5015</v>
      </c>
      <c r="C2070" s="3">
        <v>61</v>
      </c>
      <c r="D2070" s="46" t="str">
        <f>IF(Tabla1[[#This Row],[EDAD]]&lt;=35,"Adultos jóvenes 18 - 35 años",IF(C2070&gt;=36,"Adultos mayores 36 años en adelante"))</f>
        <v>Adultos mayores 36 años en adelante</v>
      </c>
      <c r="E2070" s="3" t="s">
        <v>5020</v>
      </c>
      <c r="F2070" s="3" t="s">
        <v>5029</v>
      </c>
      <c r="G2070" s="3" t="s">
        <v>5035</v>
      </c>
      <c r="H2070" s="3" t="s">
        <v>7971</v>
      </c>
      <c r="I2070" s="17">
        <v>45489</v>
      </c>
      <c r="J2070" s="18">
        <f>YEAR(Tabla1[[#This Row],[FECHA DE COMPRA]])</f>
        <v>2024</v>
      </c>
      <c r="K2070" s="19">
        <v>100.86</v>
      </c>
      <c r="L2070" s="20">
        <v>0.3</v>
      </c>
      <c r="M2070" s="19">
        <f>Tienda!$K346-Tienda!$K346*Tienda!$L346</f>
        <v>119.62799999999999</v>
      </c>
      <c r="N2070" s="3" t="s">
        <v>10039</v>
      </c>
      <c r="O2070" s="3" t="s">
        <v>10041</v>
      </c>
      <c r="P2070" s="17">
        <v>45489</v>
      </c>
      <c r="Q2070" s="4">
        <v>0</v>
      </c>
    </row>
    <row r="2071" spans="1:17" ht="30" x14ac:dyDescent="0.25">
      <c r="A2071" s="2" t="s">
        <v>915</v>
      </c>
      <c r="B2071" s="3" t="s">
        <v>5015</v>
      </c>
      <c r="C2071" s="3">
        <v>52</v>
      </c>
      <c r="D2071" s="46" t="str">
        <f>IF(Tabla1[[#This Row],[EDAD]]&lt;=35,"Adultos jóvenes 18 - 35 años",IF(C2071&gt;=36,"Adultos mayores 36 años en adelante"))</f>
        <v>Adultos mayores 36 años en adelante</v>
      </c>
      <c r="E2071" s="3" t="s">
        <v>5022</v>
      </c>
      <c r="F2071" s="3" t="s">
        <v>5029</v>
      </c>
      <c r="G2071" s="3" t="s">
        <v>5036</v>
      </c>
      <c r="H2071" s="3" t="s">
        <v>5938</v>
      </c>
      <c r="I2071" s="17">
        <v>45489</v>
      </c>
      <c r="J2071" s="18">
        <f>YEAR(Tabla1[[#This Row],[FECHA DE COMPRA]])</f>
        <v>2024</v>
      </c>
      <c r="K2071" s="19">
        <v>136.31</v>
      </c>
      <c r="L2071" s="20">
        <v>0.1</v>
      </c>
      <c r="M2071" s="19">
        <f>Tienda!$K347-Tienda!$K347*Tienda!$L347</f>
        <v>37.250999999999998</v>
      </c>
      <c r="N2071" s="3" t="s">
        <v>10039</v>
      </c>
      <c r="O2071" s="3" t="s">
        <v>10041</v>
      </c>
      <c r="P2071" s="17">
        <v>45489</v>
      </c>
      <c r="Q2071" s="4">
        <v>0</v>
      </c>
    </row>
    <row r="2072" spans="1:17" ht="30" x14ac:dyDescent="0.25">
      <c r="A2072" s="2" t="s">
        <v>4261</v>
      </c>
      <c r="B2072" s="3" t="s">
        <v>5015</v>
      </c>
      <c r="C2072" s="3">
        <v>52</v>
      </c>
      <c r="D2072" s="46" t="str">
        <f>IF(Tabla1[[#This Row],[EDAD]]&lt;=35,"Adultos jóvenes 18 - 35 años",IF(C2072&gt;=36,"Adultos mayores 36 años en adelante"))</f>
        <v>Adultos mayores 36 años en adelante</v>
      </c>
      <c r="E2072" s="3" t="s">
        <v>5018</v>
      </c>
      <c r="F2072" s="3" t="s">
        <v>5029</v>
      </c>
      <c r="G2072" s="3" t="s">
        <v>5035</v>
      </c>
      <c r="H2072" s="3" t="s">
        <v>9284</v>
      </c>
      <c r="I2072" s="17">
        <v>45490</v>
      </c>
      <c r="J2072" s="18">
        <f>YEAR(Tabla1[[#This Row],[FECHA DE COMPRA]])</f>
        <v>2024</v>
      </c>
      <c r="K2072" s="19">
        <v>60.07</v>
      </c>
      <c r="L2072" s="20">
        <v>0</v>
      </c>
      <c r="M2072" s="19">
        <f>Tienda!$K350-Tienda!$K350*Tienda!$L350</f>
        <v>130.24799999999999</v>
      </c>
      <c r="N2072" s="3" t="s">
        <v>10039</v>
      </c>
      <c r="O2072" s="3" t="s">
        <v>10041</v>
      </c>
      <c r="P2072" s="17">
        <v>45490</v>
      </c>
      <c r="Q2072" s="4">
        <v>0</v>
      </c>
    </row>
    <row r="2073" spans="1:17" ht="30" x14ac:dyDescent="0.25">
      <c r="A2073" s="2" t="s">
        <v>4308</v>
      </c>
      <c r="B2073" s="3" t="s">
        <v>5015</v>
      </c>
      <c r="C2073" s="3">
        <v>45</v>
      </c>
      <c r="D2073" s="46" t="str">
        <f>IF(Tabla1[[#This Row],[EDAD]]&lt;=35,"Adultos jóvenes 18 - 35 años",IF(C2073&gt;=36,"Adultos mayores 36 años en adelante"))</f>
        <v>Adultos mayores 36 años en adelante</v>
      </c>
      <c r="E2073" s="3" t="s">
        <v>5017</v>
      </c>
      <c r="F2073" s="3" t="s">
        <v>5025</v>
      </c>
      <c r="G2073" s="3" t="s">
        <v>5037</v>
      </c>
      <c r="H2073" s="3" t="s">
        <v>9331</v>
      </c>
      <c r="I2073" s="17">
        <v>45492</v>
      </c>
      <c r="J2073" s="18">
        <f>YEAR(Tabla1[[#This Row],[FECHA DE COMPRA]])</f>
        <v>2024</v>
      </c>
      <c r="K2073" s="19">
        <v>82.6</v>
      </c>
      <c r="L2073" s="20">
        <v>0.2</v>
      </c>
      <c r="M2073" s="19">
        <f>Tienda!$K353-Tienda!$K353*Tienda!$L353</f>
        <v>24.208000000000002</v>
      </c>
      <c r="N2073" s="3" t="s">
        <v>10039</v>
      </c>
      <c r="O2073" s="3" t="s">
        <v>10041</v>
      </c>
      <c r="P2073" s="17">
        <v>45492</v>
      </c>
      <c r="Q2073" s="4">
        <v>0</v>
      </c>
    </row>
    <row r="2074" spans="1:17" ht="30" x14ac:dyDescent="0.25">
      <c r="A2074" s="2" t="s">
        <v>4686</v>
      </c>
      <c r="B2074" s="3" t="s">
        <v>5016</v>
      </c>
      <c r="C2074" s="3">
        <v>47</v>
      </c>
      <c r="D2074" s="46" t="str">
        <f>IF(Tabla1[[#This Row],[EDAD]]&lt;=35,"Adultos jóvenes 18 - 35 años",IF(C2074&gt;=36,"Adultos mayores 36 años en adelante"))</f>
        <v>Adultos mayores 36 años en adelante</v>
      </c>
      <c r="E2074" s="3" t="s">
        <v>5019</v>
      </c>
      <c r="F2074" s="3" t="s">
        <v>5030</v>
      </c>
      <c r="G2074" s="3" t="s">
        <v>5037</v>
      </c>
      <c r="H2074" s="3" t="s">
        <v>9709</v>
      </c>
      <c r="I2074" s="17">
        <v>45493</v>
      </c>
      <c r="J2074" s="18">
        <f>YEAR(Tabla1[[#This Row],[FECHA DE COMPRA]])</f>
        <v>2024</v>
      </c>
      <c r="K2074" s="19">
        <v>11.89</v>
      </c>
      <c r="L2074" s="20">
        <v>0.3</v>
      </c>
      <c r="M2074" s="19">
        <f>Tienda!$K355-Tienda!$K355*Tienda!$L355</f>
        <v>83.37</v>
      </c>
      <c r="N2074" s="3" t="s">
        <v>10039</v>
      </c>
      <c r="O2074" s="3" t="s">
        <v>10041</v>
      </c>
      <c r="P2074" s="17">
        <v>45493</v>
      </c>
      <c r="Q2074" s="4">
        <v>0</v>
      </c>
    </row>
    <row r="2075" spans="1:17" ht="30" x14ac:dyDescent="0.25">
      <c r="A2075" s="2" t="s">
        <v>1510</v>
      </c>
      <c r="B2075" s="3" t="s">
        <v>5015</v>
      </c>
      <c r="C2075" s="3">
        <v>39</v>
      </c>
      <c r="D2075" s="46" t="str">
        <f>IF(Tabla1[[#This Row],[EDAD]]&lt;=35,"Adultos jóvenes 18 - 35 años",IF(C2075&gt;=36,"Adultos mayores 36 años en adelante"))</f>
        <v>Adultos mayores 36 años en adelante</v>
      </c>
      <c r="E2075" s="3" t="s">
        <v>5020</v>
      </c>
      <c r="F2075" s="3" t="s">
        <v>5030</v>
      </c>
      <c r="G2075" s="3" t="s">
        <v>5032</v>
      </c>
      <c r="H2075" s="3" t="s">
        <v>6533</v>
      </c>
      <c r="I2075" s="17">
        <v>45493</v>
      </c>
      <c r="J2075" s="18">
        <f>YEAR(Tabla1[[#This Row],[FECHA DE COMPRA]])</f>
        <v>2024</v>
      </c>
      <c r="K2075" s="19">
        <v>172.8</v>
      </c>
      <c r="L2075" s="20">
        <v>0.1</v>
      </c>
      <c r="M2075" s="19">
        <f>Tienda!$K357-Tienda!$K357*Tienda!$L357</f>
        <v>121.08</v>
      </c>
      <c r="N2075" s="3" t="s">
        <v>10039</v>
      </c>
      <c r="O2075" s="3" t="s">
        <v>10041</v>
      </c>
      <c r="P2075" s="17">
        <v>45493</v>
      </c>
      <c r="Q2075" s="4">
        <v>0</v>
      </c>
    </row>
    <row r="2076" spans="1:17" ht="30" x14ac:dyDescent="0.25">
      <c r="A2076" s="2" t="s">
        <v>3515</v>
      </c>
      <c r="B2076" s="3" t="s">
        <v>5015</v>
      </c>
      <c r="C2076" s="3">
        <v>62</v>
      </c>
      <c r="D2076" s="46" t="str">
        <f>IF(Tabla1[[#This Row],[EDAD]]&lt;=35,"Adultos jóvenes 18 - 35 años",IF(C2076&gt;=36,"Adultos mayores 36 años en adelante"))</f>
        <v>Adultos mayores 36 años en adelante</v>
      </c>
      <c r="E2076" s="3" t="s">
        <v>5018</v>
      </c>
      <c r="F2076" s="3" t="s">
        <v>5030</v>
      </c>
      <c r="G2076" s="3" t="s">
        <v>5033</v>
      </c>
      <c r="H2076" s="3" t="s">
        <v>8538</v>
      </c>
      <c r="I2076" s="17">
        <v>45494</v>
      </c>
      <c r="J2076" s="18">
        <f>YEAR(Tabla1[[#This Row],[FECHA DE COMPRA]])</f>
        <v>2024</v>
      </c>
      <c r="K2076" s="19">
        <v>58.74</v>
      </c>
      <c r="L2076" s="20">
        <v>0.3</v>
      </c>
      <c r="M2076" s="19">
        <f>Tienda!$K359-Tienda!$K359*Tienda!$L359</f>
        <v>121.16800000000001</v>
      </c>
      <c r="N2076" s="3" t="s">
        <v>10039</v>
      </c>
      <c r="O2076" s="3" t="s">
        <v>10041</v>
      </c>
      <c r="P2076" s="17">
        <v>45494</v>
      </c>
      <c r="Q2076" s="4">
        <v>0</v>
      </c>
    </row>
    <row r="2077" spans="1:17" ht="30" x14ac:dyDescent="0.25">
      <c r="A2077" s="2" t="s">
        <v>4284</v>
      </c>
      <c r="B2077" s="3" t="s">
        <v>5015</v>
      </c>
      <c r="C2077" s="3">
        <v>62</v>
      </c>
      <c r="D2077" s="46" t="str">
        <f>IF(Tabla1[[#This Row],[EDAD]]&lt;=35,"Adultos jóvenes 18 - 35 años",IF(C2077&gt;=36,"Adultos mayores 36 años en adelante"))</f>
        <v>Adultos mayores 36 años en adelante</v>
      </c>
      <c r="E2077" s="3" t="s">
        <v>5017</v>
      </c>
      <c r="F2077" s="3" t="s">
        <v>5029</v>
      </c>
      <c r="G2077" s="3" t="s">
        <v>5037</v>
      </c>
      <c r="H2077" s="3" t="s">
        <v>9307</v>
      </c>
      <c r="I2077" s="17">
        <v>45494</v>
      </c>
      <c r="J2077" s="18">
        <f>YEAR(Tabla1[[#This Row],[FECHA DE COMPRA]])</f>
        <v>2024</v>
      </c>
      <c r="K2077" s="19">
        <v>175.54</v>
      </c>
      <c r="L2077" s="20">
        <v>0</v>
      </c>
      <c r="M2077" s="19">
        <f>Tienda!$K360-Tienda!$K360*Tienda!$L360</f>
        <v>158.30000000000001</v>
      </c>
      <c r="N2077" s="3" t="s">
        <v>10039</v>
      </c>
      <c r="O2077" s="3" t="s">
        <v>10041</v>
      </c>
      <c r="P2077" s="17">
        <v>45494</v>
      </c>
      <c r="Q2077" s="4">
        <v>0</v>
      </c>
    </row>
    <row r="2078" spans="1:17" ht="30" x14ac:dyDescent="0.25">
      <c r="A2078" s="2" t="s">
        <v>4219</v>
      </c>
      <c r="B2078" s="3" t="s">
        <v>5015</v>
      </c>
      <c r="C2078" s="3">
        <v>42</v>
      </c>
      <c r="D2078" s="46" t="str">
        <f>IF(Tabla1[[#This Row],[EDAD]]&lt;=35,"Adultos jóvenes 18 - 35 años",IF(C2078&gt;=36,"Adultos mayores 36 años en adelante"))</f>
        <v>Adultos mayores 36 años en adelante</v>
      </c>
      <c r="E2078" s="3" t="s">
        <v>5021</v>
      </c>
      <c r="F2078" s="3" t="s">
        <v>5027</v>
      </c>
      <c r="G2078" s="3" t="s">
        <v>5037</v>
      </c>
      <c r="H2078" s="3" t="s">
        <v>9242</v>
      </c>
      <c r="I2078" s="17">
        <v>45496</v>
      </c>
      <c r="J2078" s="18">
        <f>YEAR(Tabla1[[#This Row],[FECHA DE COMPRA]])</f>
        <v>2024</v>
      </c>
      <c r="K2078" s="19">
        <v>58.34</v>
      </c>
      <c r="L2078" s="20">
        <v>0</v>
      </c>
      <c r="M2078" s="19">
        <f>Tienda!$K361-Tienda!$K361*Tienda!$L361</f>
        <v>131.96800000000002</v>
      </c>
      <c r="N2078" s="3" t="s">
        <v>10039</v>
      </c>
      <c r="O2078" s="3" t="s">
        <v>10041</v>
      </c>
      <c r="P2078" s="17">
        <v>45496</v>
      </c>
      <c r="Q2078" s="4">
        <v>0</v>
      </c>
    </row>
    <row r="2079" spans="1:17" ht="30" x14ac:dyDescent="0.25">
      <c r="A2079" s="2" t="s">
        <v>2866</v>
      </c>
      <c r="B2079" s="3" t="s">
        <v>5015</v>
      </c>
      <c r="C2079" s="3">
        <v>53</v>
      </c>
      <c r="D2079" s="46" t="str">
        <f>IF(Tabla1[[#This Row],[EDAD]]&lt;=35,"Adultos jóvenes 18 - 35 años",IF(C2079&gt;=36,"Adultos mayores 36 años en adelante"))</f>
        <v>Adultos mayores 36 años en adelante</v>
      </c>
      <c r="E2079" s="3" t="s">
        <v>5021</v>
      </c>
      <c r="F2079" s="3" t="s">
        <v>5030</v>
      </c>
      <c r="G2079" s="3" t="s">
        <v>5037</v>
      </c>
      <c r="H2079" s="3" t="s">
        <v>7889</v>
      </c>
      <c r="I2079" s="17">
        <v>45496</v>
      </c>
      <c r="J2079" s="18">
        <f>YEAR(Tabla1[[#This Row],[FECHA DE COMPRA]])</f>
        <v>2024</v>
      </c>
      <c r="K2079" s="19">
        <v>68.680000000000007</v>
      </c>
      <c r="L2079" s="20">
        <v>0.3</v>
      </c>
      <c r="M2079" s="19">
        <f>Tienda!$K362-Tienda!$K362*Tienda!$L362</f>
        <v>31.92</v>
      </c>
      <c r="N2079" s="3" t="s">
        <v>10039</v>
      </c>
      <c r="O2079" s="3" t="s">
        <v>10041</v>
      </c>
      <c r="P2079" s="17">
        <v>45496</v>
      </c>
      <c r="Q2079" s="4">
        <v>0</v>
      </c>
    </row>
    <row r="2080" spans="1:17" ht="30" x14ac:dyDescent="0.25">
      <c r="A2080" s="2" t="s">
        <v>3425</v>
      </c>
      <c r="B2080" s="3" t="s">
        <v>5015</v>
      </c>
      <c r="C2080" s="3">
        <v>53</v>
      </c>
      <c r="D2080" s="46" t="str">
        <f>IF(Tabla1[[#This Row],[EDAD]]&lt;=35,"Adultos jóvenes 18 - 35 años",IF(C2080&gt;=36,"Adultos mayores 36 años en adelante"))</f>
        <v>Adultos mayores 36 años en adelante</v>
      </c>
      <c r="E2080" s="3" t="s">
        <v>5018</v>
      </c>
      <c r="F2080" s="3" t="s">
        <v>5027</v>
      </c>
      <c r="G2080" s="3" t="s">
        <v>5037</v>
      </c>
      <c r="H2080" s="3" t="s">
        <v>8448</v>
      </c>
      <c r="I2080" s="17">
        <v>45496</v>
      </c>
      <c r="J2080" s="18">
        <f>YEAR(Tabla1[[#This Row],[FECHA DE COMPRA]])</f>
        <v>2024</v>
      </c>
      <c r="K2080" s="19">
        <v>110.82</v>
      </c>
      <c r="L2080" s="20">
        <v>0</v>
      </c>
      <c r="M2080" s="19">
        <f>Tienda!$K363-Tienda!$K363*Tienda!$L363</f>
        <v>54.83</v>
      </c>
      <c r="N2080" s="3" t="s">
        <v>10039</v>
      </c>
      <c r="O2080" s="3" t="s">
        <v>10041</v>
      </c>
      <c r="P2080" s="17">
        <v>45496</v>
      </c>
      <c r="Q2080" s="4">
        <v>0</v>
      </c>
    </row>
    <row r="2081" spans="1:17" ht="30" x14ac:dyDescent="0.25">
      <c r="A2081" s="2" t="s">
        <v>2595</v>
      </c>
      <c r="B2081" s="3" t="s">
        <v>5015</v>
      </c>
      <c r="C2081" s="3">
        <v>51</v>
      </c>
      <c r="D2081" s="46" t="str">
        <f>IF(Tabla1[[#This Row],[EDAD]]&lt;=35,"Adultos jóvenes 18 - 35 años",IF(C2081&gt;=36,"Adultos mayores 36 años en adelante"))</f>
        <v>Adultos mayores 36 años en adelante</v>
      </c>
      <c r="E2081" s="3" t="s">
        <v>5021</v>
      </c>
      <c r="F2081" s="3" t="s">
        <v>5025</v>
      </c>
      <c r="G2081" s="3" t="s">
        <v>5035</v>
      </c>
      <c r="H2081" s="3" t="s">
        <v>7618</v>
      </c>
      <c r="I2081" s="17">
        <v>45496</v>
      </c>
      <c r="J2081" s="18">
        <f>YEAR(Tabla1[[#This Row],[FECHA DE COMPRA]])</f>
        <v>2024</v>
      </c>
      <c r="K2081" s="19">
        <v>169.79</v>
      </c>
      <c r="L2081" s="20">
        <v>0.1</v>
      </c>
      <c r="M2081" s="19">
        <f>Tienda!$K364-Tienda!$K364*Tienda!$L364</f>
        <v>59.98</v>
      </c>
      <c r="N2081" s="3" t="s">
        <v>10039</v>
      </c>
      <c r="O2081" s="3" t="s">
        <v>10041</v>
      </c>
      <c r="P2081" s="17">
        <v>45496</v>
      </c>
      <c r="Q2081" s="4">
        <v>0</v>
      </c>
    </row>
    <row r="2082" spans="1:17" ht="30" x14ac:dyDescent="0.25">
      <c r="A2082" s="2" t="s">
        <v>2766</v>
      </c>
      <c r="B2082" s="3" t="s">
        <v>5016</v>
      </c>
      <c r="C2082" s="3">
        <v>52</v>
      </c>
      <c r="D2082" s="46" t="str">
        <f>IF(Tabla1[[#This Row],[EDAD]]&lt;=35,"Adultos jóvenes 18 - 35 años",IF(C2082&gt;=36,"Adultos mayores 36 años en adelante"))</f>
        <v>Adultos mayores 36 años en adelante</v>
      </c>
      <c r="E2082" s="3" t="s">
        <v>5019</v>
      </c>
      <c r="F2082" s="3" t="s">
        <v>5029</v>
      </c>
      <c r="G2082" s="3" t="s">
        <v>5032</v>
      </c>
      <c r="H2082" s="3" t="s">
        <v>7789</v>
      </c>
      <c r="I2082" s="17">
        <v>45497</v>
      </c>
      <c r="J2082" s="18">
        <f>YEAR(Tabla1[[#This Row],[FECHA DE COMPRA]])</f>
        <v>2024</v>
      </c>
      <c r="K2082" s="19">
        <v>50.18</v>
      </c>
      <c r="L2082" s="20">
        <v>0.2</v>
      </c>
      <c r="M2082" s="19">
        <f>Tienda!$K365-Tienda!$K365*Tienda!$L365</f>
        <v>63.79</v>
      </c>
      <c r="N2082" s="3" t="s">
        <v>10039</v>
      </c>
      <c r="O2082" s="3" t="s">
        <v>10041</v>
      </c>
      <c r="P2082" s="17">
        <v>45497</v>
      </c>
      <c r="Q2082" s="4">
        <v>0</v>
      </c>
    </row>
    <row r="2083" spans="1:17" ht="30" x14ac:dyDescent="0.25">
      <c r="A2083" s="2" t="s">
        <v>3341</v>
      </c>
      <c r="B2083" s="3" t="s">
        <v>5015</v>
      </c>
      <c r="C2083" s="3">
        <v>52</v>
      </c>
      <c r="D2083" s="46" t="str">
        <f>IF(Tabla1[[#This Row],[EDAD]]&lt;=35,"Adultos jóvenes 18 - 35 años",IF(C2083&gt;=36,"Adultos mayores 36 años en adelante"))</f>
        <v>Adultos mayores 36 años en adelante</v>
      </c>
      <c r="E2083" s="3" t="s">
        <v>5020</v>
      </c>
      <c r="F2083" s="3" t="s">
        <v>5028</v>
      </c>
      <c r="G2083" s="3" t="s">
        <v>5033</v>
      </c>
      <c r="H2083" s="3" t="s">
        <v>8364</v>
      </c>
      <c r="I2083" s="17">
        <v>45497</v>
      </c>
      <c r="J2083" s="18">
        <f>YEAR(Tabla1[[#This Row],[FECHA DE COMPRA]])</f>
        <v>2024</v>
      </c>
      <c r="K2083" s="19">
        <v>143.61000000000001</v>
      </c>
      <c r="L2083" s="20">
        <v>0.3</v>
      </c>
      <c r="M2083" s="19">
        <f>Tienda!$K366-Tienda!$K366*Tienda!$L366</f>
        <v>52.903999999999996</v>
      </c>
      <c r="N2083" s="3" t="s">
        <v>10039</v>
      </c>
      <c r="O2083" s="3" t="s">
        <v>10041</v>
      </c>
      <c r="P2083" s="17">
        <v>45497</v>
      </c>
      <c r="Q2083" s="4">
        <v>0</v>
      </c>
    </row>
    <row r="2084" spans="1:17" ht="30" x14ac:dyDescent="0.25">
      <c r="A2084" s="2" t="s">
        <v>4319</v>
      </c>
      <c r="B2084" s="3" t="s">
        <v>5016</v>
      </c>
      <c r="C2084" s="3">
        <v>43</v>
      </c>
      <c r="D2084" s="46" t="str">
        <f>IF(Tabla1[[#This Row],[EDAD]]&lt;=35,"Adultos jóvenes 18 - 35 años",IF(C2084&gt;=36,"Adultos mayores 36 años en adelante"))</f>
        <v>Adultos mayores 36 años en adelante</v>
      </c>
      <c r="E2084" s="3" t="s">
        <v>5017</v>
      </c>
      <c r="F2084" s="3" t="s">
        <v>5024</v>
      </c>
      <c r="G2084" s="3" t="s">
        <v>5036</v>
      </c>
      <c r="H2084" s="3" t="s">
        <v>9342</v>
      </c>
      <c r="I2084" s="17">
        <v>45501</v>
      </c>
      <c r="J2084" s="18">
        <f>YEAR(Tabla1[[#This Row],[FECHA DE COMPRA]])</f>
        <v>2024</v>
      </c>
      <c r="K2084" s="19">
        <v>184</v>
      </c>
      <c r="L2084" s="20">
        <v>0</v>
      </c>
      <c r="M2084" s="19">
        <f>Tienda!$K369-Tienda!$K369*Tienda!$L369</f>
        <v>88.362000000000009</v>
      </c>
      <c r="N2084" s="3" t="s">
        <v>10039</v>
      </c>
      <c r="O2084" s="3" t="s">
        <v>10041</v>
      </c>
      <c r="P2084" s="17">
        <v>45501</v>
      </c>
      <c r="Q2084" s="4">
        <v>0</v>
      </c>
    </row>
    <row r="2085" spans="1:17" ht="30" x14ac:dyDescent="0.25">
      <c r="A2085" s="2" t="s">
        <v>4440</v>
      </c>
      <c r="B2085" s="3" t="s">
        <v>5015</v>
      </c>
      <c r="C2085" s="3">
        <v>65</v>
      </c>
      <c r="D2085" s="46" t="str">
        <f>IF(Tabla1[[#This Row],[EDAD]]&lt;=35,"Adultos jóvenes 18 - 35 años",IF(C2085&gt;=36,"Adultos mayores 36 años en adelante"))</f>
        <v>Adultos mayores 36 años en adelante</v>
      </c>
      <c r="E2085" s="3" t="s">
        <v>5018</v>
      </c>
      <c r="F2085" s="3" t="s">
        <v>5029</v>
      </c>
      <c r="G2085" s="3" t="s">
        <v>5035</v>
      </c>
      <c r="H2085" s="3" t="s">
        <v>9463</v>
      </c>
      <c r="I2085" s="17">
        <v>45503</v>
      </c>
      <c r="J2085" s="18">
        <f>YEAR(Tabla1[[#This Row],[FECHA DE COMPRA]])</f>
        <v>2024</v>
      </c>
      <c r="K2085" s="19">
        <v>89.75</v>
      </c>
      <c r="L2085" s="20">
        <v>0.3</v>
      </c>
      <c r="M2085" s="19">
        <f>Tienda!$K371-Tienda!$K371*Tienda!$L371</f>
        <v>102.46</v>
      </c>
      <c r="N2085" s="3" t="s">
        <v>10039</v>
      </c>
      <c r="O2085" s="3" t="s">
        <v>10041</v>
      </c>
      <c r="P2085" s="17">
        <v>45503</v>
      </c>
      <c r="Q2085" s="4">
        <v>0</v>
      </c>
    </row>
    <row r="2086" spans="1:17" ht="30" x14ac:dyDescent="0.25">
      <c r="A2086" s="2" t="s">
        <v>3297</v>
      </c>
      <c r="B2086" s="3" t="s">
        <v>5015</v>
      </c>
      <c r="C2086" s="3">
        <v>56</v>
      </c>
      <c r="D2086" s="46" t="str">
        <f>IF(Tabla1[[#This Row],[EDAD]]&lt;=35,"Adultos jóvenes 18 - 35 años",IF(C2086&gt;=36,"Adultos mayores 36 años en adelante"))</f>
        <v>Adultos mayores 36 años en adelante</v>
      </c>
      <c r="E2086" s="3" t="s">
        <v>5022</v>
      </c>
      <c r="F2086" s="3" t="s">
        <v>5027</v>
      </c>
      <c r="G2086" s="3" t="s">
        <v>5031</v>
      </c>
      <c r="H2086" s="3" t="s">
        <v>8320</v>
      </c>
      <c r="I2086" s="17">
        <v>45503</v>
      </c>
      <c r="J2086" s="18">
        <f>YEAR(Tabla1[[#This Row],[FECHA DE COMPRA]])</f>
        <v>2024</v>
      </c>
      <c r="K2086" s="19">
        <v>105.81</v>
      </c>
      <c r="L2086" s="20">
        <v>0.1</v>
      </c>
      <c r="M2086" s="19">
        <f>Tienda!$K373-Tienda!$K373*Tienda!$L373</f>
        <v>73.177999999999997</v>
      </c>
      <c r="N2086" s="3" t="s">
        <v>10039</v>
      </c>
      <c r="O2086" s="3" t="s">
        <v>10041</v>
      </c>
      <c r="P2086" s="17">
        <v>45503</v>
      </c>
      <c r="Q2086" s="4">
        <v>0</v>
      </c>
    </row>
    <row r="2087" spans="1:17" ht="30" x14ac:dyDescent="0.25">
      <c r="A2087" s="2" t="s">
        <v>512</v>
      </c>
      <c r="B2087" s="3" t="s">
        <v>5015</v>
      </c>
      <c r="C2087" s="3">
        <v>36</v>
      </c>
      <c r="D2087" s="46" t="str">
        <f>IF(Tabla1[[#This Row],[EDAD]]&lt;=35,"Adultos jóvenes 18 - 35 años",IF(C2087&gt;=36,"Adultos mayores 36 años en adelante"))</f>
        <v>Adultos mayores 36 años en adelante</v>
      </c>
      <c r="E2087" s="3" t="s">
        <v>5017</v>
      </c>
      <c r="F2087" s="3" t="s">
        <v>5025</v>
      </c>
      <c r="G2087" s="3" t="s">
        <v>5037</v>
      </c>
      <c r="H2087" s="3" t="s">
        <v>5535</v>
      </c>
      <c r="I2087" s="17">
        <v>45504</v>
      </c>
      <c r="J2087" s="18">
        <f>YEAR(Tabla1[[#This Row],[FECHA DE COMPRA]])</f>
        <v>2024</v>
      </c>
      <c r="K2087" s="19">
        <v>33</v>
      </c>
      <c r="L2087" s="20">
        <v>0.1</v>
      </c>
      <c r="M2087" s="19">
        <f>Tienda!$K374-Tienda!$K374*Tienda!$L374</f>
        <v>157.82</v>
      </c>
      <c r="N2087" s="3" t="s">
        <v>10039</v>
      </c>
      <c r="O2087" s="3" t="s">
        <v>10041</v>
      </c>
      <c r="P2087" s="17">
        <v>45504</v>
      </c>
      <c r="Q2087" s="4">
        <v>0</v>
      </c>
    </row>
    <row r="2088" spans="1:17" ht="30" x14ac:dyDescent="0.25">
      <c r="A2088" s="2" t="s">
        <v>1183</v>
      </c>
      <c r="B2088" s="3" t="s">
        <v>5015</v>
      </c>
      <c r="C2088" s="3">
        <v>37</v>
      </c>
      <c r="D2088" s="46" t="str">
        <f>IF(Tabla1[[#This Row],[EDAD]]&lt;=35,"Adultos jóvenes 18 - 35 años",IF(C2088&gt;=36,"Adultos mayores 36 años en adelante"))</f>
        <v>Adultos mayores 36 años en adelante</v>
      </c>
      <c r="E2088" s="3" t="s">
        <v>5022</v>
      </c>
      <c r="F2088" s="3" t="s">
        <v>5024</v>
      </c>
      <c r="G2088" s="3" t="s">
        <v>5033</v>
      </c>
      <c r="H2088" s="3" t="s">
        <v>6206</v>
      </c>
      <c r="I2088" s="17">
        <v>45504</v>
      </c>
      <c r="J2088" s="18">
        <f>YEAR(Tabla1[[#This Row],[FECHA DE COMPRA]])</f>
        <v>2024</v>
      </c>
      <c r="K2088" s="19">
        <v>56.9</v>
      </c>
      <c r="L2088" s="20">
        <v>0</v>
      </c>
      <c r="M2088" s="19">
        <f>Tienda!$K376-Tienda!$K376*Tienda!$L376</f>
        <v>161.09100000000001</v>
      </c>
      <c r="N2088" s="3" t="s">
        <v>10039</v>
      </c>
      <c r="O2088" s="3" t="s">
        <v>10041</v>
      </c>
      <c r="P2088" s="17">
        <v>45504</v>
      </c>
      <c r="Q2088" s="4">
        <v>0</v>
      </c>
    </row>
    <row r="2089" spans="1:17" ht="30" x14ac:dyDescent="0.25">
      <c r="A2089" s="2" t="s">
        <v>4272</v>
      </c>
      <c r="B2089" s="3" t="s">
        <v>5016</v>
      </c>
      <c r="C2089" s="3">
        <v>55</v>
      </c>
      <c r="D2089" s="46" t="str">
        <f>IF(Tabla1[[#This Row],[EDAD]]&lt;=35,"Adultos jóvenes 18 - 35 años",IF(C2089&gt;=36,"Adultos mayores 36 años en adelante"))</f>
        <v>Adultos mayores 36 años en adelante</v>
      </c>
      <c r="E2089" s="3" t="s">
        <v>5019</v>
      </c>
      <c r="F2089" s="3" t="s">
        <v>5028</v>
      </c>
      <c r="G2089" s="3" t="s">
        <v>5037</v>
      </c>
      <c r="H2089" s="3" t="s">
        <v>9295</v>
      </c>
      <c r="I2089" s="17">
        <v>45504</v>
      </c>
      <c r="J2089" s="18">
        <f>YEAR(Tabla1[[#This Row],[FECHA DE COMPRA]])</f>
        <v>2024</v>
      </c>
      <c r="K2089" s="19">
        <v>132.94999999999999</v>
      </c>
      <c r="L2089" s="20">
        <v>0</v>
      </c>
      <c r="M2089" s="19">
        <f>Tienda!$K377-Tienda!$K377*Tienda!$L377</f>
        <v>179.53</v>
      </c>
      <c r="N2089" s="3" t="s">
        <v>10039</v>
      </c>
      <c r="O2089" s="3" t="s">
        <v>10041</v>
      </c>
      <c r="P2089" s="17">
        <v>45504</v>
      </c>
      <c r="Q2089" s="4">
        <v>0</v>
      </c>
    </row>
    <row r="2090" spans="1:17" ht="30" x14ac:dyDescent="0.25">
      <c r="A2090" s="2" t="s">
        <v>663</v>
      </c>
      <c r="B2090" s="3" t="s">
        <v>5015</v>
      </c>
      <c r="C2090" s="3">
        <v>56</v>
      </c>
      <c r="D2090" s="46" t="str">
        <f>IF(Tabla1[[#This Row],[EDAD]]&lt;=35,"Adultos jóvenes 18 - 35 años",IF(C2090&gt;=36,"Adultos mayores 36 años en adelante"))</f>
        <v>Adultos mayores 36 años en adelante</v>
      </c>
      <c r="E2090" s="3" t="s">
        <v>5019</v>
      </c>
      <c r="F2090" s="3" t="s">
        <v>5024</v>
      </c>
      <c r="G2090" s="3" t="s">
        <v>5036</v>
      </c>
      <c r="H2090" s="3" t="s">
        <v>5686</v>
      </c>
      <c r="I2090" s="17">
        <v>45504</v>
      </c>
      <c r="J2090" s="18">
        <f>YEAR(Tabla1[[#This Row],[FECHA DE COMPRA]])</f>
        <v>2024</v>
      </c>
      <c r="K2090" s="19">
        <v>155.01</v>
      </c>
      <c r="L2090" s="20">
        <v>0.1</v>
      </c>
      <c r="M2090" s="19">
        <f>Tienda!$K378-Tienda!$K378*Tienda!$L378</f>
        <v>185.22</v>
      </c>
      <c r="N2090" s="3" t="s">
        <v>10039</v>
      </c>
      <c r="O2090" s="3" t="s">
        <v>10041</v>
      </c>
      <c r="P2090" s="17">
        <v>45504</v>
      </c>
      <c r="Q2090" s="4">
        <v>0</v>
      </c>
    </row>
    <row r="2091" spans="1:17" ht="30" x14ac:dyDescent="0.25">
      <c r="A2091" s="2" t="s">
        <v>2767</v>
      </c>
      <c r="B2091" s="3" t="s">
        <v>5016</v>
      </c>
      <c r="C2091" s="3">
        <v>41</v>
      </c>
      <c r="D2091" s="46" t="str">
        <f>IF(Tabla1[[#This Row],[EDAD]]&lt;=35,"Adultos jóvenes 18 - 35 años",IF(C2091&gt;=36,"Adultos mayores 36 años en adelante"))</f>
        <v>Adultos mayores 36 años en adelante</v>
      </c>
      <c r="E2091" s="3" t="s">
        <v>5021</v>
      </c>
      <c r="F2091" s="3" t="s">
        <v>5027</v>
      </c>
      <c r="G2091" s="3" t="s">
        <v>5037</v>
      </c>
      <c r="H2091" s="3" t="s">
        <v>7790</v>
      </c>
      <c r="I2091" s="17">
        <v>45504</v>
      </c>
      <c r="J2091" s="18">
        <f>YEAR(Tabla1[[#This Row],[FECHA DE COMPRA]])</f>
        <v>2024</v>
      </c>
      <c r="K2091" s="19">
        <v>163.63</v>
      </c>
      <c r="L2091" s="20">
        <v>0.2</v>
      </c>
      <c r="M2091" s="19">
        <f>Tienda!$K379-Tienda!$K379*Tienda!$L379</f>
        <v>17.507000000000001</v>
      </c>
      <c r="N2091" s="3" t="s">
        <v>10039</v>
      </c>
      <c r="O2091" s="3" t="s">
        <v>10041</v>
      </c>
      <c r="P2091" s="17">
        <v>45504</v>
      </c>
      <c r="Q2091" s="4">
        <v>0</v>
      </c>
    </row>
    <row r="2092" spans="1:17" ht="30" x14ac:dyDescent="0.25">
      <c r="A2092" s="2" t="s">
        <v>1678</v>
      </c>
      <c r="B2092" s="3" t="s">
        <v>5015</v>
      </c>
      <c r="C2092" s="3">
        <v>47</v>
      </c>
      <c r="D2092" s="46" t="str">
        <f>IF(Tabla1[[#This Row],[EDAD]]&lt;=35,"Adultos jóvenes 18 - 35 años",IF(C2092&gt;=36,"Adultos mayores 36 años en adelante"))</f>
        <v>Adultos mayores 36 años en adelante</v>
      </c>
      <c r="E2092" s="3" t="s">
        <v>5018</v>
      </c>
      <c r="F2092" s="3" t="s">
        <v>5030</v>
      </c>
      <c r="G2092" s="3" t="s">
        <v>5034</v>
      </c>
      <c r="H2092" s="3" t="s">
        <v>6701</v>
      </c>
      <c r="I2092" s="17">
        <v>45506</v>
      </c>
      <c r="J2092" s="18">
        <f>YEAR(Tabla1[[#This Row],[FECHA DE COMPRA]])</f>
        <v>2024</v>
      </c>
      <c r="K2092" s="19">
        <v>58.05</v>
      </c>
      <c r="L2092" s="20">
        <v>0</v>
      </c>
      <c r="M2092" s="19">
        <f>Tienda!$K381-Tienda!$K381*Tienda!$L381</f>
        <v>60.03</v>
      </c>
      <c r="N2092" s="3" t="s">
        <v>10039</v>
      </c>
      <c r="O2092" s="3" t="s">
        <v>10041</v>
      </c>
      <c r="P2092" s="17">
        <v>45506</v>
      </c>
      <c r="Q2092" s="4">
        <v>0</v>
      </c>
    </row>
    <row r="2093" spans="1:17" ht="30" x14ac:dyDescent="0.25">
      <c r="A2093" s="2" t="s">
        <v>4083</v>
      </c>
      <c r="B2093" s="3" t="s">
        <v>5016</v>
      </c>
      <c r="C2093" s="3">
        <v>48</v>
      </c>
      <c r="D2093" s="46" t="str">
        <f>IF(Tabla1[[#This Row],[EDAD]]&lt;=35,"Adultos jóvenes 18 - 35 años",IF(C2093&gt;=36,"Adultos mayores 36 años en adelante"))</f>
        <v>Adultos mayores 36 años en adelante</v>
      </c>
      <c r="E2093" s="3" t="s">
        <v>5017</v>
      </c>
      <c r="F2093" s="3" t="s">
        <v>5030</v>
      </c>
      <c r="G2093" s="3" t="s">
        <v>5037</v>
      </c>
      <c r="H2093" s="3" t="s">
        <v>9106</v>
      </c>
      <c r="I2093" s="17">
        <v>45506</v>
      </c>
      <c r="J2093" s="18">
        <f>YEAR(Tabla1[[#This Row],[FECHA DE COMPRA]])</f>
        <v>2024</v>
      </c>
      <c r="K2093" s="19">
        <v>79.52</v>
      </c>
      <c r="L2093" s="20">
        <v>0.2</v>
      </c>
      <c r="M2093" s="19">
        <f>Tienda!$K383-Tienda!$K383*Tienda!$L383</f>
        <v>63.4</v>
      </c>
      <c r="N2093" s="3" t="s">
        <v>10039</v>
      </c>
      <c r="O2093" s="3" t="s">
        <v>10041</v>
      </c>
      <c r="P2093" s="17">
        <v>45506</v>
      </c>
      <c r="Q2093" s="4">
        <v>0</v>
      </c>
    </row>
    <row r="2094" spans="1:17" ht="30" x14ac:dyDescent="0.25">
      <c r="A2094" s="2" t="s">
        <v>4545</v>
      </c>
      <c r="B2094" s="3" t="s">
        <v>5015</v>
      </c>
      <c r="C2094" s="3">
        <v>59</v>
      </c>
      <c r="D2094" s="46" t="str">
        <f>IF(Tabla1[[#This Row],[EDAD]]&lt;=35,"Adultos jóvenes 18 - 35 años",IF(C2094&gt;=36,"Adultos mayores 36 años en adelante"))</f>
        <v>Adultos mayores 36 años en adelante</v>
      </c>
      <c r="E2094" s="3" t="s">
        <v>5023</v>
      </c>
      <c r="F2094" s="3" t="s">
        <v>5027</v>
      </c>
      <c r="G2094" s="3" t="s">
        <v>5033</v>
      </c>
      <c r="H2094" s="3" t="s">
        <v>9568</v>
      </c>
      <c r="I2094" s="17">
        <v>45506</v>
      </c>
      <c r="J2094" s="18">
        <f>YEAR(Tabla1[[#This Row],[FECHA DE COMPRA]])</f>
        <v>2024</v>
      </c>
      <c r="K2094" s="19">
        <v>167.52</v>
      </c>
      <c r="L2094" s="20">
        <v>0.3</v>
      </c>
      <c r="M2094" s="19">
        <f>Tienda!$K384-Tienda!$K384*Tienda!$L384</f>
        <v>90.593999999999994</v>
      </c>
      <c r="N2094" s="3" t="s">
        <v>10039</v>
      </c>
      <c r="O2094" s="3" t="s">
        <v>10041</v>
      </c>
      <c r="P2094" s="17">
        <v>45506</v>
      </c>
      <c r="Q2094" s="4">
        <v>0</v>
      </c>
    </row>
    <row r="2095" spans="1:17" ht="30" x14ac:dyDescent="0.25">
      <c r="A2095" s="2" t="s">
        <v>152</v>
      </c>
      <c r="B2095" s="3" t="s">
        <v>5015</v>
      </c>
      <c r="C2095" s="3">
        <v>38</v>
      </c>
      <c r="D2095" s="46" t="str">
        <f>IF(Tabla1[[#This Row],[EDAD]]&lt;=35,"Adultos jóvenes 18 - 35 años",IF(C2095&gt;=36,"Adultos mayores 36 años en adelante"))</f>
        <v>Adultos mayores 36 años en adelante</v>
      </c>
      <c r="E2095" s="3" t="s">
        <v>5020</v>
      </c>
      <c r="F2095" s="3" t="s">
        <v>5030</v>
      </c>
      <c r="G2095" s="3" t="s">
        <v>5034</v>
      </c>
      <c r="H2095" s="3" t="s">
        <v>5175</v>
      </c>
      <c r="I2095" s="17">
        <v>45507</v>
      </c>
      <c r="J2095" s="18">
        <f>YEAR(Tabla1[[#This Row],[FECHA DE COMPRA]])</f>
        <v>2024</v>
      </c>
      <c r="K2095" s="19">
        <v>93.27</v>
      </c>
      <c r="L2095" s="20">
        <v>0.2</v>
      </c>
      <c r="M2095" s="19">
        <f>Tienda!$K386-Tienda!$K386*Tienda!$L386</f>
        <v>75.313000000000002</v>
      </c>
      <c r="N2095" s="3" t="s">
        <v>10039</v>
      </c>
      <c r="O2095" s="3" t="s">
        <v>10041</v>
      </c>
      <c r="P2095" s="17">
        <v>45507</v>
      </c>
      <c r="Q2095" s="4">
        <v>0</v>
      </c>
    </row>
    <row r="2096" spans="1:17" ht="30" x14ac:dyDescent="0.25">
      <c r="A2096" s="2" t="s">
        <v>3369</v>
      </c>
      <c r="B2096" s="3" t="s">
        <v>5015</v>
      </c>
      <c r="C2096" s="3">
        <v>53</v>
      </c>
      <c r="D2096" s="46" t="str">
        <f>IF(Tabla1[[#This Row],[EDAD]]&lt;=35,"Adultos jóvenes 18 - 35 años",IF(C2096&gt;=36,"Adultos mayores 36 años en adelante"))</f>
        <v>Adultos mayores 36 años en adelante</v>
      </c>
      <c r="E2096" s="3" t="s">
        <v>5023</v>
      </c>
      <c r="F2096" s="3" t="s">
        <v>5026</v>
      </c>
      <c r="G2096" s="3" t="s">
        <v>5036</v>
      </c>
      <c r="H2096" s="3" t="s">
        <v>8392</v>
      </c>
      <c r="I2096" s="17">
        <v>45507</v>
      </c>
      <c r="J2096" s="18">
        <f>YEAR(Tabla1[[#This Row],[FECHA DE COMPRA]])</f>
        <v>2024</v>
      </c>
      <c r="K2096" s="19">
        <v>114.89</v>
      </c>
      <c r="L2096" s="20">
        <v>0.1</v>
      </c>
      <c r="M2096" s="19">
        <f>Tienda!$K387-Tienda!$K387*Tienda!$L387</f>
        <v>80.444000000000003</v>
      </c>
      <c r="N2096" s="3" t="s">
        <v>10039</v>
      </c>
      <c r="O2096" s="3" t="s">
        <v>10041</v>
      </c>
      <c r="P2096" s="17">
        <v>45507</v>
      </c>
      <c r="Q2096" s="4">
        <v>0</v>
      </c>
    </row>
    <row r="2097" spans="1:17" ht="30" x14ac:dyDescent="0.25">
      <c r="A2097" s="2" t="s">
        <v>4204</v>
      </c>
      <c r="B2097" s="3" t="s">
        <v>5015</v>
      </c>
      <c r="C2097" s="3">
        <v>38</v>
      </c>
      <c r="D2097" s="46" t="str">
        <f>IF(Tabla1[[#This Row],[EDAD]]&lt;=35,"Adultos jóvenes 18 - 35 años",IF(C2097&gt;=36,"Adultos mayores 36 años en adelante"))</f>
        <v>Adultos mayores 36 años en adelante</v>
      </c>
      <c r="E2097" s="3" t="s">
        <v>5019</v>
      </c>
      <c r="F2097" s="3" t="s">
        <v>5025</v>
      </c>
      <c r="G2097" s="3" t="s">
        <v>5033</v>
      </c>
      <c r="H2097" s="3" t="s">
        <v>9227</v>
      </c>
      <c r="I2097" s="17">
        <v>45508</v>
      </c>
      <c r="J2097" s="18">
        <f>YEAR(Tabla1[[#This Row],[FECHA DE COMPRA]])</f>
        <v>2024</v>
      </c>
      <c r="K2097" s="19">
        <v>184.02</v>
      </c>
      <c r="L2097" s="20">
        <v>0</v>
      </c>
      <c r="M2097" s="19">
        <f>Tienda!$K390-Tienda!$K390*Tienda!$L390</f>
        <v>118.904</v>
      </c>
      <c r="N2097" s="3" t="s">
        <v>10039</v>
      </c>
      <c r="O2097" s="3" t="s">
        <v>10041</v>
      </c>
      <c r="P2097" s="17">
        <v>45508</v>
      </c>
      <c r="Q2097" s="4">
        <v>0</v>
      </c>
    </row>
    <row r="2098" spans="1:17" ht="30" x14ac:dyDescent="0.25">
      <c r="A2098" s="2" t="s">
        <v>2451</v>
      </c>
      <c r="B2098" s="3" t="s">
        <v>5015</v>
      </c>
      <c r="C2098" s="3">
        <v>41</v>
      </c>
      <c r="D2098" s="46" t="str">
        <f>IF(Tabla1[[#This Row],[EDAD]]&lt;=35,"Adultos jóvenes 18 - 35 años",IF(C2098&gt;=36,"Adultos mayores 36 años en adelante"))</f>
        <v>Adultos mayores 36 años en adelante</v>
      </c>
      <c r="E2098" s="3" t="s">
        <v>5021</v>
      </c>
      <c r="F2098" s="3" t="s">
        <v>5025</v>
      </c>
      <c r="G2098" s="3" t="s">
        <v>5035</v>
      </c>
      <c r="H2098" s="3" t="s">
        <v>7474</v>
      </c>
      <c r="I2098" s="17">
        <v>45509</v>
      </c>
      <c r="J2098" s="18">
        <f>YEAR(Tabla1[[#This Row],[FECHA DE COMPRA]])</f>
        <v>2024</v>
      </c>
      <c r="K2098" s="19">
        <v>161.63</v>
      </c>
      <c r="L2098" s="20">
        <v>0.2</v>
      </c>
      <c r="M2098" s="19">
        <f>Tienda!$K392-Tienda!$K392*Tienda!$L392</f>
        <v>122.55199999999999</v>
      </c>
      <c r="N2098" s="3" t="s">
        <v>10039</v>
      </c>
      <c r="O2098" s="3" t="s">
        <v>10041</v>
      </c>
      <c r="P2098" s="17">
        <v>45509</v>
      </c>
      <c r="Q2098" s="4">
        <v>0</v>
      </c>
    </row>
    <row r="2099" spans="1:17" ht="30" x14ac:dyDescent="0.25">
      <c r="A2099" s="2" t="s">
        <v>1383</v>
      </c>
      <c r="B2099" s="3" t="s">
        <v>5015</v>
      </c>
      <c r="C2099" s="3">
        <v>41</v>
      </c>
      <c r="D2099" s="46" t="str">
        <f>IF(Tabla1[[#This Row],[EDAD]]&lt;=35,"Adultos jóvenes 18 - 35 años",IF(C2099&gt;=36,"Adultos mayores 36 años en adelante"))</f>
        <v>Adultos mayores 36 años en adelante</v>
      </c>
      <c r="E2099" s="3" t="s">
        <v>5022</v>
      </c>
      <c r="F2099" s="3" t="s">
        <v>5030</v>
      </c>
      <c r="G2099" s="3" t="s">
        <v>5032</v>
      </c>
      <c r="H2099" s="3" t="s">
        <v>6406</v>
      </c>
      <c r="I2099" s="17">
        <v>45510</v>
      </c>
      <c r="J2099" s="18">
        <f>YEAR(Tabla1[[#This Row],[FECHA DE COMPRA]])</f>
        <v>2024</v>
      </c>
      <c r="K2099" s="19">
        <v>24.67</v>
      </c>
      <c r="L2099" s="20">
        <v>0</v>
      </c>
      <c r="M2099" s="19">
        <f>Tienda!$K394-Tienda!$K394*Tienda!$L394</f>
        <v>157.35</v>
      </c>
      <c r="N2099" s="3" t="s">
        <v>10039</v>
      </c>
      <c r="O2099" s="3" t="s">
        <v>10041</v>
      </c>
      <c r="P2099" s="17">
        <v>45510</v>
      </c>
      <c r="Q2099" s="4">
        <v>0</v>
      </c>
    </row>
    <row r="2100" spans="1:17" ht="30" x14ac:dyDescent="0.25">
      <c r="A2100" s="2" t="s">
        <v>146</v>
      </c>
      <c r="B2100" s="3" t="s">
        <v>5015</v>
      </c>
      <c r="C2100" s="3">
        <v>41</v>
      </c>
      <c r="D2100" s="46" t="str">
        <f>IF(Tabla1[[#This Row],[EDAD]]&lt;=35,"Adultos jóvenes 18 - 35 años",IF(C2100&gt;=36,"Adultos mayores 36 años en adelante"))</f>
        <v>Adultos mayores 36 años en adelante</v>
      </c>
      <c r="E2100" s="3" t="s">
        <v>5023</v>
      </c>
      <c r="F2100" s="3" t="s">
        <v>5030</v>
      </c>
      <c r="G2100" s="3" t="s">
        <v>5037</v>
      </c>
      <c r="H2100" s="3" t="s">
        <v>5169</v>
      </c>
      <c r="I2100" s="17">
        <v>45510</v>
      </c>
      <c r="J2100" s="18">
        <f>YEAR(Tabla1[[#This Row],[FECHA DE COMPRA]])</f>
        <v>2024</v>
      </c>
      <c r="K2100" s="19">
        <v>63.93</v>
      </c>
      <c r="L2100" s="20">
        <v>0.3</v>
      </c>
      <c r="M2100" s="19">
        <f>Tienda!$K395-Tienda!$K395*Tienda!$L395</f>
        <v>130.328</v>
      </c>
      <c r="N2100" s="3" t="s">
        <v>10039</v>
      </c>
      <c r="O2100" s="3" t="s">
        <v>10041</v>
      </c>
      <c r="P2100" s="17">
        <v>45510</v>
      </c>
      <c r="Q2100" s="4">
        <v>0</v>
      </c>
    </row>
    <row r="2101" spans="1:17" ht="30" x14ac:dyDescent="0.25">
      <c r="A2101" s="2" t="s">
        <v>995</v>
      </c>
      <c r="B2101" s="3" t="s">
        <v>5015</v>
      </c>
      <c r="C2101" s="3">
        <v>53</v>
      </c>
      <c r="D2101" s="46" t="str">
        <f>IF(Tabla1[[#This Row],[EDAD]]&lt;=35,"Adultos jóvenes 18 - 35 años",IF(C2101&gt;=36,"Adultos mayores 36 años en adelante"))</f>
        <v>Adultos mayores 36 años en adelante</v>
      </c>
      <c r="E2101" s="3" t="s">
        <v>5020</v>
      </c>
      <c r="F2101" s="3" t="s">
        <v>5029</v>
      </c>
      <c r="G2101" s="3" t="s">
        <v>5031</v>
      </c>
      <c r="H2101" s="3" t="s">
        <v>6018</v>
      </c>
      <c r="I2101" s="17">
        <v>45510</v>
      </c>
      <c r="J2101" s="18">
        <f>YEAR(Tabla1[[#This Row],[FECHA DE COMPRA]])</f>
        <v>2024</v>
      </c>
      <c r="K2101" s="19">
        <v>124.55</v>
      </c>
      <c r="L2101" s="20">
        <v>0.1</v>
      </c>
      <c r="M2101" s="19">
        <f>Tienda!$K396-Tienda!$K396*Tienda!$L396</f>
        <v>152.25299999999999</v>
      </c>
      <c r="N2101" s="3" t="s">
        <v>10039</v>
      </c>
      <c r="O2101" s="3" t="s">
        <v>10041</v>
      </c>
      <c r="P2101" s="17">
        <v>45510</v>
      </c>
      <c r="Q2101" s="4">
        <v>0</v>
      </c>
    </row>
    <row r="2102" spans="1:17" ht="30" x14ac:dyDescent="0.25">
      <c r="A2102" s="2" t="s">
        <v>3287</v>
      </c>
      <c r="B2102" s="3" t="s">
        <v>5016</v>
      </c>
      <c r="C2102" s="3">
        <v>57</v>
      </c>
      <c r="D2102" s="46" t="str">
        <f>IF(Tabla1[[#This Row],[EDAD]]&lt;=35,"Adultos jóvenes 18 - 35 años",IF(C2102&gt;=36,"Adultos mayores 36 años en adelante"))</f>
        <v>Adultos mayores 36 años en adelante</v>
      </c>
      <c r="E2102" s="3" t="s">
        <v>5019</v>
      </c>
      <c r="F2102" s="3" t="s">
        <v>5027</v>
      </c>
      <c r="G2102" s="3" t="s">
        <v>5036</v>
      </c>
      <c r="H2102" s="3" t="s">
        <v>8310</v>
      </c>
      <c r="I2102" s="17">
        <v>45511</v>
      </c>
      <c r="J2102" s="18">
        <f>YEAR(Tabla1[[#This Row],[FECHA DE COMPRA]])</f>
        <v>2024</v>
      </c>
      <c r="K2102" s="19">
        <v>93.33</v>
      </c>
      <c r="L2102" s="20">
        <v>0</v>
      </c>
      <c r="M2102" s="19">
        <f>Tienda!$K397-Tienda!$K397*Tienda!$L397</f>
        <v>133.40600000000001</v>
      </c>
      <c r="N2102" s="3" t="s">
        <v>10039</v>
      </c>
      <c r="O2102" s="3" t="s">
        <v>10041</v>
      </c>
      <c r="P2102" s="17">
        <v>45511</v>
      </c>
      <c r="Q2102" s="4">
        <v>0</v>
      </c>
    </row>
    <row r="2103" spans="1:17" ht="30" x14ac:dyDescent="0.25">
      <c r="A2103" s="2" t="s">
        <v>1766</v>
      </c>
      <c r="B2103" s="3" t="s">
        <v>5016</v>
      </c>
      <c r="C2103" s="3">
        <v>54</v>
      </c>
      <c r="D2103" s="46" t="str">
        <f>IF(Tabla1[[#This Row],[EDAD]]&lt;=35,"Adultos jóvenes 18 - 35 años",IF(C2103&gt;=36,"Adultos mayores 36 años en adelante"))</f>
        <v>Adultos mayores 36 años en adelante</v>
      </c>
      <c r="E2103" s="3" t="s">
        <v>5017</v>
      </c>
      <c r="F2103" s="3" t="s">
        <v>5030</v>
      </c>
      <c r="G2103" s="3" t="s">
        <v>5032</v>
      </c>
      <c r="H2103" s="3" t="s">
        <v>6789</v>
      </c>
      <c r="I2103" s="17">
        <v>45511</v>
      </c>
      <c r="J2103" s="18">
        <f>YEAR(Tabla1[[#This Row],[FECHA DE COMPRA]])</f>
        <v>2024</v>
      </c>
      <c r="K2103" s="19">
        <v>95.48</v>
      </c>
      <c r="L2103" s="20">
        <v>0.2</v>
      </c>
      <c r="M2103" s="19">
        <f>Tienda!$K398-Tienda!$K398*Tienda!$L398</f>
        <v>192.33</v>
      </c>
      <c r="N2103" s="3" t="s">
        <v>10039</v>
      </c>
      <c r="O2103" s="3" t="s">
        <v>10041</v>
      </c>
      <c r="P2103" s="17">
        <v>45511</v>
      </c>
      <c r="Q2103" s="4">
        <v>0</v>
      </c>
    </row>
    <row r="2104" spans="1:17" ht="30" x14ac:dyDescent="0.25">
      <c r="A2104" s="2" t="s">
        <v>4631</v>
      </c>
      <c r="B2104" s="3" t="s">
        <v>5016</v>
      </c>
      <c r="C2104" s="3">
        <v>37</v>
      </c>
      <c r="D2104" s="46" t="str">
        <f>IF(Tabla1[[#This Row],[EDAD]]&lt;=35,"Adultos jóvenes 18 - 35 años",IF(C2104&gt;=36,"Adultos mayores 36 años en adelante"))</f>
        <v>Adultos mayores 36 años en adelante</v>
      </c>
      <c r="E2104" s="3" t="s">
        <v>5023</v>
      </c>
      <c r="F2104" s="3" t="s">
        <v>5026</v>
      </c>
      <c r="G2104" s="3" t="s">
        <v>5036</v>
      </c>
      <c r="H2104" s="3" t="s">
        <v>9654</v>
      </c>
      <c r="I2104" s="17">
        <v>45511</v>
      </c>
      <c r="J2104" s="18">
        <f>YEAR(Tabla1[[#This Row],[FECHA DE COMPRA]])</f>
        <v>2024</v>
      </c>
      <c r="K2104" s="19">
        <v>158.49</v>
      </c>
      <c r="L2104" s="20">
        <v>0.3</v>
      </c>
      <c r="M2104" s="19">
        <f>Tienda!$K399-Tienda!$K399*Tienda!$L399</f>
        <v>9.2480000000000011</v>
      </c>
      <c r="N2104" s="3" t="s">
        <v>10039</v>
      </c>
      <c r="O2104" s="3" t="s">
        <v>10041</v>
      </c>
      <c r="P2104" s="17">
        <v>45511</v>
      </c>
      <c r="Q2104" s="4">
        <v>0</v>
      </c>
    </row>
    <row r="2105" spans="1:17" ht="30" x14ac:dyDescent="0.25">
      <c r="A2105" s="2" t="s">
        <v>4422</v>
      </c>
      <c r="B2105" s="3" t="s">
        <v>5015</v>
      </c>
      <c r="C2105" s="3">
        <v>54</v>
      </c>
      <c r="D2105" s="46" t="str">
        <f>IF(Tabla1[[#This Row],[EDAD]]&lt;=35,"Adultos jóvenes 18 - 35 años",IF(C2105&gt;=36,"Adultos mayores 36 años en adelante"))</f>
        <v>Adultos mayores 36 años en adelante</v>
      </c>
      <c r="E2105" s="3" t="s">
        <v>5022</v>
      </c>
      <c r="F2105" s="3" t="s">
        <v>5030</v>
      </c>
      <c r="G2105" s="3" t="s">
        <v>5031</v>
      </c>
      <c r="H2105" s="3" t="s">
        <v>9445</v>
      </c>
      <c r="I2105" s="17">
        <v>45513</v>
      </c>
      <c r="J2105" s="18">
        <f>YEAR(Tabla1[[#This Row],[FECHA DE COMPRA]])</f>
        <v>2024</v>
      </c>
      <c r="K2105" s="19">
        <v>35.840000000000003</v>
      </c>
      <c r="L2105" s="20">
        <v>0.2</v>
      </c>
      <c r="M2105" s="19">
        <f>Tienda!$K401-Tienda!$K401*Tienda!$L401</f>
        <v>15.61</v>
      </c>
      <c r="N2105" s="3" t="s">
        <v>10039</v>
      </c>
      <c r="O2105" s="3" t="s">
        <v>10041</v>
      </c>
      <c r="P2105" s="17">
        <v>45513</v>
      </c>
      <c r="Q2105" s="4">
        <v>0</v>
      </c>
    </row>
    <row r="2106" spans="1:17" ht="30" x14ac:dyDescent="0.25">
      <c r="A2106" s="2" t="s">
        <v>32</v>
      </c>
      <c r="B2106" s="3" t="s">
        <v>5016</v>
      </c>
      <c r="C2106" s="3">
        <v>61</v>
      </c>
      <c r="D2106" s="46" t="str">
        <f>IF(Tabla1[[#This Row],[EDAD]]&lt;=35,"Adultos jóvenes 18 - 35 años",IF(C2106&gt;=36,"Adultos mayores 36 años en adelante"))</f>
        <v>Adultos mayores 36 años en adelante</v>
      </c>
      <c r="E2106" s="3" t="s">
        <v>5021</v>
      </c>
      <c r="F2106" s="3" t="s">
        <v>5025</v>
      </c>
      <c r="G2106" s="3" t="s">
        <v>5034</v>
      </c>
      <c r="H2106" s="3" t="s">
        <v>5055</v>
      </c>
      <c r="I2106" s="17">
        <v>45513</v>
      </c>
      <c r="J2106" s="18">
        <f>YEAR(Tabla1[[#This Row],[FECHA DE COMPRA]])</f>
        <v>2024</v>
      </c>
      <c r="K2106" s="19">
        <v>130.09</v>
      </c>
      <c r="L2106" s="20">
        <v>0.3</v>
      </c>
      <c r="M2106" s="19">
        <f>Tienda!$K403-Tienda!$K403*Tienda!$L403</f>
        <v>22.03</v>
      </c>
      <c r="N2106" s="3" t="s">
        <v>10039</v>
      </c>
      <c r="O2106" s="3" t="s">
        <v>10041</v>
      </c>
      <c r="P2106" s="17">
        <v>45513</v>
      </c>
      <c r="Q2106" s="4">
        <v>0</v>
      </c>
    </row>
    <row r="2107" spans="1:17" ht="30" x14ac:dyDescent="0.25">
      <c r="A2107" s="2" t="s">
        <v>4317</v>
      </c>
      <c r="B2107" s="3" t="s">
        <v>5016</v>
      </c>
      <c r="C2107" s="3">
        <v>48</v>
      </c>
      <c r="D2107" s="46" t="str">
        <f>IF(Tabla1[[#This Row],[EDAD]]&lt;=35,"Adultos jóvenes 18 - 35 años",IF(C2107&gt;=36,"Adultos mayores 36 años en adelante"))</f>
        <v>Adultos mayores 36 años en adelante</v>
      </c>
      <c r="E2107" s="3" t="s">
        <v>5019</v>
      </c>
      <c r="F2107" s="3" t="s">
        <v>5024</v>
      </c>
      <c r="G2107" s="3" t="s">
        <v>5037</v>
      </c>
      <c r="H2107" s="3" t="s">
        <v>9340</v>
      </c>
      <c r="I2107" s="17">
        <v>45513</v>
      </c>
      <c r="J2107" s="18">
        <f>YEAR(Tabla1[[#This Row],[FECHA DE COMPRA]])</f>
        <v>2024</v>
      </c>
      <c r="K2107" s="19">
        <v>162.86000000000001</v>
      </c>
      <c r="L2107" s="20">
        <v>0</v>
      </c>
      <c r="M2107" s="19">
        <f>Tienda!$K404-Tienda!$K404*Tienda!$L404</f>
        <v>25.11</v>
      </c>
      <c r="N2107" s="3" t="s">
        <v>10039</v>
      </c>
      <c r="O2107" s="3" t="s">
        <v>10041</v>
      </c>
      <c r="P2107" s="17">
        <v>45513</v>
      </c>
      <c r="Q2107" s="4">
        <v>0</v>
      </c>
    </row>
    <row r="2108" spans="1:17" ht="30" x14ac:dyDescent="0.25">
      <c r="A2108" s="2" t="s">
        <v>504</v>
      </c>
      <c r="B2108" s="3" t="s">
        <v>5015</v>
      </c>
      <c r="C2108" s="3">
        <v>46</v>
      </c>
      <c r="D2108" s="46" t="str">
        <f>IF(Tabla1[[#This Row],[EDAD]]&lt;=35,"Adultos jóvenes 18 - 35 años",IF(C2108&gt;=36,"Adultos mayores 36 años en adelante"))</f>
        <v>Adultos mayores 36 años en adelante</v>
      </c>
      <c r="E2108" s="3" t="s">
        <v>5019</v>
      </c>
      <c r="F2108" s="3" t="s">
        <v>5030</v>
      </c>
      <c r="G2108" s="3" t="s">
        <v>5034</v>
      </c>
      <c r="H2108" s="3" t="s">
        <v>5527</v>
      </c>
      <c r="I2108" s="17">
        <v>45514</v>
      </c>
      <c r="J2108" s="18">
        <f>YEAR(Tabla1[[#This Row],[FECHA DE COMPRA]])</f>
        <v>2024</v>
      </c>
      <c r="K2108" s="19">
        <v>11.49</v>
      </c>
      <c r="L2108" s="20">
        <v>0.1</v>
      </c>
      <c r="M2108" s="19">
        <f>Tienda!$K406-Tienda!$K406*Tienda!$L406</f>
        <v>34.320999999999998</v>
      </c>
      <c r="N2108" s="3" t="s">
        <v>10039</v>
      </c>
      <c r="O2108" s="3" t="s">
        <v>10041</v>
      </c>
      <c r="P2108" s="17">
        <v>45514</v>
      </c>
      <c r="Q2108" s="4">
        <v>0</v>
      </c>
    </row>
    <row r="2109" spans="1:17" ht="30" x14ac:dyDescent="0.25">
      <c r="A2109" s="2" t="s">
        <v>3419</v>
      </c>
      <c r="B2109" s="3" t="s">
        <v>5016</v>
      </c>
      <c r="C2109" s="3">
        <v>39</v>
      </c>
      <c r="D2109" s="46" t="str">
        <f>IF(Tabla1[[#This Row],[EDAD]]&lt;=35,"Adultos jóvenes 18 - 35 años",IF(C2109&gt;=36,"Adultos mayores 36 años en adelante"))</f>
        <v>Adultos mayores 36 años en adelante</v>
      </c>
      <c r="E2109" s="3" t="s">
        <v>5021</v>
      </c>
      <c r="F2109" s="3" t="s">
        <v>5025</v>
      </c>
      <c r="G2109" s="3" t="s">
        <v>5031</v>
      </c>
      <c r="H2109" s="3" t="s">
        <v>8442</v>
      </c>
      <c r="I2109" s="17">
        <v>45516</v>
      </c>
      <c r="J2109" s="18">
        <f>YEAR(Tabla1[[#This Row],[FECHA DE COMPRA]])</f>
        <v>2024</v>
      </c>
      <c r="K2109" s="19">
        <v>196.22</v>
      </c>
      <c r="L2109" s="20">
        <v>0.2</v>
      </c>
      <c r="M2109" s="19">
        <f>Tienda!$K409-Tienda!$K409*Tienda!$L409</f>
        <v>62.181000000000004</v>
      </c>
      <c r="N2109" s="3" t="s">
        <v>10039</v>
      </c>
      <c r="O2109" s="3" t="s">
        <v>10041</v>
      </c>
      <c r="P2109" s="17">
        <v>45516</v>
      </c>
      <c r="Q2109" s="4">
        <v>0</v>
      </c>
    </row>
    <row r="2110" spans="1:17" ht="30" x14ac:dyDescent="0.25">
      <c r="A2110" s="2" t="s">
        <v>3265</v>
      </c>
      <c r="B2110" s="3" t="s">
        <v>5015</v>
      </c>
      <c r="C2110" s="3">
        <v>56</v>
      </c>
      <c r="D2110" s="46" t="str">
        <f>IF(Tabla1[[#This Row],[EDAD]]&lt;=35,"Adultos jóvenes 18 - 35 años",IF(C2110&gt;=36,"Adultos mayores 36 años en adelante"))</f>
        <v>Adultos mayores 36 años en adelante</v>
      </c>
      <c r="E2110" s="3" t="s">
        <v>5020</v>
      </c>
      <c r="F2110" s="3" t="s">
        <v>5025</v>
      </c>
      <c r="G2110" s="3" t="s">
        <v>5034</v>
      </c>
      <c r="H2110" s="3" t="s">
        <v>8288</v>
      </c>
      <c r="I2110" s="17">
        <v>45517</v>
      </c>
      <c r="J2110" s="18">
        <f>YEAR(Tabla1[[#This Row],[FECHA DE COMPRA]])</f>
        <v>2024</v>
      </c>
      <c r="K2110" s="19">
        <v>19.53</v>
      </c>
      <c r="L2110" s="20">
        <v>0.2</v>
      </c>
      <c r="M2110" s="19">
        <f>Tienda!$K410-Tienda!$K410*Tienda!$L410</f>
        <v>61.228999999999999</v>
      </c>
      <c r="N2110" s="3" t="s">
        <v>10039</v>
      </c>
      <c r="O2110" s="3" t="s">
        <v>10041</v>
      </c>
      <c r="P2110" s="17">
        <v>45517</v>
      </c>
      <c r="Q2110" s="4">
        <v>0</v>
      </c>
    </row>
    <row r="2111" spans="1:17" ht="30" x14ac:dyDescent="0.25">
      <c r="A2111" s="2" t="s">
        <v>4637</v>
      </c>
      <c r="B2111" s="3" t="s">
        <v>5015</v>
      </c>
      <c r="C2111" s="3">
        <v>45</v>
      </c>
      <c r="D2111" s="46" t="str">
        <f>IF(Tabla1[[#This Row],[EDAD]]&lt;=35,"Adultos jóvenes 18 - 35 años",IF(C2111&gt;=36,"Adultos mayores 36 años en adelante"))</f>
        <v>Adultos mayores 36 años en adelante</v>
      </c>
      <c r="E2111" s="3" t="s">
        <v>5021</v>
      </c>
      <c r="F2111" s="3" t="s">
        <v>5027</v>
      </c>
      <c r="G2111" s="3" t="s">
        <v>5031</v>
      </c>
      <c r="H2111" s="3" t="s">
        <v>9660</v>
      </c>
      <c r="I2111" s="17">
        <v>45517</v>
      </c>
      <c r="J2111" s="18">
        <f>YEAR(Tabla1[[#This Row],[FECHA DE COMPRA]])</f>
        <v>2024</v>
      </c>
      <c r="K2111" s="19">
        <v>116.98</v>
      </c>
      <c r="L2111" s="20">
        <v>0.1</v>
      </c>
      <c r="M2111" s="19">
        <f>Tienda!$K412-Tienda!$K412*Tienda!$L412</f>
        <v>94.6</v>
      </c>
      <c r="N2111" s="3" t="s">
        <v>10039</v>
      </c>
      <c r="O2111" s="3" t="s">
        <v>10041</v>
      </c>
      <c r="P2111" s="17">
        <v>45517</v>
      </c>
      <c r="Q2111" s="4">
        <v>0</v>
      </c>
    </row>
    <row r="2112" spans="1:17" ht="30" x14ac:dyDescent="0.25">
      <c r="A2112" s="2" t="s">
        <v>1298</v>
      </c>
      <c r="B2112" s="3" t="s">
        <v>5016</v>
      </c>
      <c r="C2112" s="3">
        <v>59</v>
      </c>
      <c r="D2112" s="46" t="str">
        <f>IF(Tabla1[[#This Row],[EDAD]]&lt;=35,"Adultos jóvenes 18 - 35 años",IF(C2112&gt;=36,"Adultos mayores 36 años en adelante"))</f>
        <v>Adultos mayores 36 años en adelante</v>
      </c>
      <c r="E2112" s="3" t="s">
        <v>5023</v>
      </c>
      <c r="F2112" s="3" t="s">
        <v>5026</v>
      </c>
      <c r="G2112" s="3" t="s">
        <v>5036</v>
      </c>
      <c r="H2112" s="3" t="s">
        <v>6321</v>
      </c>
      <c r="I2112" s="17">
        <v>45517</v>
      </c>
      <c r="J2112" s="18">
        <f>YEAR(Tabla1[[#This Row],[FECHA DE COMPRA]])</f>
        <v>2024</v>
      </c>
      <c r="K2112" s="19">
        <v>135.07</v>
      </c>
      <c r="L2112" s="20">
        <v>0</v>
      </c>
      <c r="M2112" s="19">
        <f>Tienda!$K413-Tienda!$K413*Tienda!$L413</f>
        <v>98.4</v>
      </c>
      <c r="N2112" s="3" t="s">
        <v>10039</v>
      </c>
      <c r="O2112" s="3" t="s">
        <v>10041</v>
      </c>
      <c r="P2112" s="17">
        <v>45517</v>
      </c>
      <c r="Q2112" s="4">
        <v>0</v>
      </c>
    </row>
    <row r="2113" spans="1:17" ht="30" x14ac:dyDescent="0.25">
      <c r="A2113" s="2" t="s">
        <v>2472</v>
      </c>
      <c r="B2113" s="3" t="s">
        <v>5016</v>
      </c>
      <c r="C2113" s="3">
        <v>36</v>
      </c>
      <c r="D2113" s="46" t="str">
        <f>IF(Tabla1[[#This Row],[EDAD]]&lt;=35,"Adultos jóvenes 18 - 35 años",IF(C2113&gt;=36,"Adultos mayores 36 años en adelante"))</f>
        <v>Adultos mayores 36 años en adelante</v>
      </c>
      <c r="E2113" s="3" t="s">
        <v>5021</v>
      </c>
      <c r="F2113" s="3" t="s">
        <v>5027</v>
      </c>
      <c r="G2113" s="3" t="s">
        <v>5034</v>
      </c>
      <c r="H2113" s="3" t="s">
        <v>7495</v>
      </c>
      <c r="I2113" s="17">
        <v>45518</v>
      </c>
      <c r="J2113" s="18">
        <f>YEAR(Tabla1[[#This Row],[FECHA DE COMPRA]])</f>
        <v>2024</v>
      </c>
      <c r="K2113" s="19">
        <v>101.56</v>
      </c>
      <c r="L2113" s="20">
        <v>0</v>
      </c>
      <c r="M2113" s="19">
        <f>Tienda!$K415-Tienda!$K415*Tienda!$L415</f>
        <v>115.191</v>
      </c>
      <c r="N2113" s="3" t="s">
        <v>10039</v>
      </c>
      <c r="O2113" s="3" t="s">
        <v>10041</v>
      </c>
      <c r="P2113" s="17">
        <v>45518</v>
      </c>
      <c r="Q2113" s="4">
        <v>0</v>
      </c>
    </row>
    <row r="2114" spans="1:17" ht="30" x14ac:dyDescent="0.25">
      <c r="A2114" s="2" t="s">
        <v>4232</v>
      </c>
      <c r="B2114" s="3" t="s">
        <v>5015</v>
      </c>
      <c r="C2114" s="3">
        <v>40</v>
      </c>
      <c r="D2114" s="46" t="str">
        <f>IF(Tabla1[[#This Row],[EDAD]]&lt;=35,"Adultos jóvenes 18 - 35 años",IF(C2114&gt;=36,"Adultos mayores 36 años en adelante"))</f>
        <v>Adultos mayores 36 años en adelante</v>
      </c>
      <c r="E2114" s="3" t="s">
        <v>5022</v>
      </c>
      <c r="F2114" s="3" t="s">
        <v>5030</v>
      </c>
      <c r="G2114" s="3" t="s">
        <v>5035</v>
      </c>
      <c r="H2114" s="3" t="s">
        <v>9255</v>
      </c>
      <c r="I2114" s="17">
        <v>45518</v>
      </c>
      <c r="J2114" s="18">
        <f>YEAR(Tabla1[[#This Row],[FECHA DE COMPRA]])</f>
        <v>2024</v>
      </c>
      <c r="K2114" s="19">
        <v>120.66</v>
      </c>
      <c r="L2114" s="20">
        <v>0.3</v>
      </c>
      <c r="M2114" s="19">
        <f>Tienda!$K416-Tienda!$K416*Tienda!$L416</f>
        <v>96.23599999999999</v>
      </c>
      <c r="N2114" s="3" t="s">
        <v>10039</v>
      </c>
      <c r="O2114" s="3" t="s">
        <v>10041</v>
      </c>
      <c r="P2114" s="17">
        <v>45518</v>
      </c>
      <c r="Q2114" s="4">
        <v>0</v>
      </c>
    </row>
    <row r="2115" spans="1:17" ht="30" x14ac:dyDescent="0.25">
      <c r="A2115" s="2" t="s">
        <v>3825</v>
      </c>
      <c r="B2115" s="3" t="s">
        <v>5015</v>
      </c>
      <c r="C2115" s="3">
        <v>64</v>
      </c>
      <c r="D2115" s="46" t="str">
        <f>IF(Tabla1[[#This Row],[EDAD]]&lt;=35,"Adultos jóvenes 18 - 35 años",IF(C2115&gt;=36,"Adultos mayores 36 años en adelante"))</f>
        <v>Adultos mayores 36 años en adelante</v>
      </c>
      <c r="E2115" s="3" t="s">
        <v>5019</v>
      </c>
      <c r="F2115" s="3" t="s">
        <v>5026</v>
      </c>
      <c r="G2115" s="3" t="s">
        <v>5033</v>
      </c>
      <c r="H2115" s="3" t="s">
        <v>8848</v>
      </c>
      <c r="I2115" s="17">
        <v>45518</v>
      </c>
      <c r="J2115" s="18">
        <f>YEAR(Tabla1[[#This Row],[FECHA DE COMPRA]])</f>
        <v>2024</v>
      </c>
      <c r="K2115" s="19">
        <v>127.89</v>
      </c>
      <c r="L2115" s="20">
        <v>0</v>
      </c>
      <c r="M2115" s="19">
        <f>Tienda!$K417-Tienda!$K417*Tienda!$L417</f>
        <v>99.239000000000004</v>
      </c>
      <c r="N2115" s="3" t="s">
        <v>10039</v>
      </c>
      <c r="O2115" s="3" t="s">
        <v>10041</v>
      </c>
      <c r="P2115" s="17">
        <v>45518</v>
      </c>
      <c r="Q2115" s="4">
        <v>0</v>
      </c>
    </row>
    <row r="2116" spans="1:17" ht="30" x14ac:dyDescent="0.25">
      <c r="A2116" s="2" t="s">
        <v>3689</v>
      </c>
      <c r="B2116" s="3" t="s">
        <v>5015</v>
      </c>
      <c r="C2116" s="3">
        <v>39</v>
      </c>
      <c r="D2116" s="46" t="str">
        <f>IF(Tabla1[[#This Row],[EDAD]]&lt;=35,"Adultos jóvenes 18 - 35 años",IF(C2116&gt;=36,"Adultos mayores 36 años en adelante"))</f>
        <v>Adultos mayores 36 años en adelante</v>
      </c>
      <c r="E2116" s="3" t="s">
        <v>5022</v>
      </c>
      <c r="F2116" s="3" t="s">
        <v>5028</v>
      </c>
      <c r="G2116" s="3" t="s">
        <v>5031</v>
      </c>
      <c r="H2116" s="3" t="s">
        <v>8712</v>
      </c>
      <c r="I2116" s="17">
        <v>45519</v>
      </c>
      <c r="J2116" s="18">
        <f>YEAR(Tabla1[[#This Row],[FECHA DE COMPRA]])</f>
        <v>2024</v>
      </c>
      <c r="K2116" s="19">
        <v>45.75</v>
      </c>
      <c r="L2116" s="20">
        <v>0.1</v>
      </c>
      <c r="M2116" s="19">
        <f>Tienda!$K419-Tienda!$K419*Tienda!$L419</f>
        <v>150.58000000000001</v>
      </c>
      <c r="N2116" s="3" t="s">
        <v>10039</v>
      </c>
      <c r="O2116" s="3" t="s">
        <v>10041</v>
      </c>
      <c r="P2116" s="17">
        <v>45519</v>
      </c>
      <c r="Q2116" s="4">
        <v>0</v>
      </c>
    </row>
    <row r="2117" spans="1:17" ht="30" x14ac:dyDescent="0.25">
      <c r="A2117" s="2" t="s">
        <v>221</v>
      </c>
      <c r="B2117" s="3" t="s">
        <v>5015</v>
      </c>
      <c r="C2117" s="3">
        <v>54</v>
      </c>
      <c r="D2117" s="46" t="str">
        <f>IF(Tabla1[[#This Row],[EDAD]]&lt;=35,"Adultos jóvenes 18 - 35 años",IF(C2117&gt;=36,"Adultos mayores 36 años en adelante"))</f>
        <v>Adultos mayores 36 años en adelante</v>
      </c>
      <c r="E2117" s="3" t="s">
        <v>5017</v>
      </c>
      <c r="F2117" s="3" t="s">
        <v>5025</v>
      </c>
      <c r="G2117" s="3" t="s">
        <v>5037</v>
      </c>
      <c r="H2117" s="3" t="s">
        <v>5244</v>
      </c>
      <c r="I2117" s="17">
        <v>45519</v>
      </c>
      <c r="J2117" s="18">
        <f>YEAR(Tabla1[[#This Row],[FECHA DE COMPRA]])</f>
        <v>2024</v>
      </c>
      <c r="K2117" s="19">
        <v>163.44999999999999</v>
      </c>
      <c r="L2117" s="20">
        <v>0</v>
      </c>
      <c r="M2117" s="19">
        <f>Tienda!$K421-Tienda!$K421*Tienda!$L421</f>
        <v>105.90299999999999</v>
      </c>
      <c r="N2117" s="3" t="s">
        <v>10039</v>
      </c>
      <c r="O2117" s="3" t="s">
        <v>10041</v>
      </c>
      <c r="P2117" s="17">
        <v>45519</v>
      </c>
      <c r="Q2117" s="4">
        <v>0</v>
      </c>
    </row>
    <row r="2118" spans="1:17" ht="30" x14ac:dyDescent="0.25">
      <c r="A2118" s="2" t="s">
        <v>2325</v>
      </c>
      <c r="B2118" s="3" t="s">
        <v>5015</v>
      </c>
      <c r="C2118" s="3">
        <v>38</v>
      </c>
      <c r="D2118" s="46" t="str">
        <f>IF(Tabla1[[#This Row],[EDAD]]&lt;=35,"Adultos jóvenes 18 - 35 años",IF(C2118&gt;=36,"Adultos mayores 36 años en adelante"))</f>
        <v>Adultos mayores 36 años en adelante</v>
      </c>
      <c r="E2118" s="3" t="s">
        <v>5017</v>
      </c>
      <c r="F2118" s="3" t="s">
        <v>5030</v>
      </c>
      <c r="G2118" s="3" t="s">
        <v>5031</v>
      </c>
      <c r="H2118" s="3" t="s">
        <v>7348</v>
      </c>
      <c r="I2118" s="17">
        <v>45520</v>
      </c>
      <c r="J2118" s="18">
        <f>YEAR(Tabla1[[#This Row],[FECHA DE COMPRA]])</f>
        <v>2024</v>
      </c>
      <c r="K2118" s="19">
        <v>17.16</v>
      </c>
      <c r="L2118" s="20">
        <v>0.2</v>
      </c>
      <c r="M2118" s="19">
        <f>Tienda!$K422-Tienda!$K422*Tienda!$L422</f>
        <v>112.25900000000001</v>
      </c>
      <c r="N2118" s="3" t="s">
        <v>10039</v>
      </c>
      <c r="O2118" s="3" t="s">
        <v>10041</v>
      </c>
      <c r="P2118" s="17">
        <v>45520</v>
      </c>
      <c r="Q2118" s="4">
        <v>0</v>
      </c>
    </row>
    <row r="2119" spans="1:17" ht="30" x14ac:dyDescent="0.25">
      <c r="A2119" s="2" t="s">
        <v>611</v>
      </c>
      <c r="B2119" s="3" t="s">
        <v>5015</v>
      </c>
      <c r="C2119" s="3">
        <v>63</v>
      </c>
      <c r="D2119" s="46" t="str">
        <f>IF(Tabla1[[#This Row],[EDAD]]&lt;=35,"Adultos jóvenes 18 - 35 años",IF(C2119&gt;=36,"Adultos mayores 36 años en adelante"))</f>
        <v>Adultos mayores 36 años en adelante</v>
      </c>
      <c r="E2119" s="3" t="s">
        <v>5020</v>
      </c>
      <c r="F2119" s="3" t="s">
        <v>5029</v>
      </c>
      <c r="G2119" s="3" t="s">
        <v>5034</v>
      </c>
      <c r="H2119" s="3" t="s">
        <v>5634</v>
      </c>
      <c r="I2119" s="17">
        <v>45520</v>
      </c>
      <c r="J2119" s="18">
        <f>YEAR(Tabla1[[#This Row],[FECHA DE COMPRA]])</f>
        <v>2024</v>
      </c>
      <c r="K2119" s="19">
        <v>23.34</v>
      </c>
      <c r="L2119" s="20">
        <v>0.2</v>
      </c>
      <c r="M2119" s="19">
        <f>Tienda!$K423-Tienda!$K423*Tienda!$L423</f>
        <v>156.465</v>
      </c>
      <c r="N2119" s="3" t="s">
        <v>10039</v>
      </c>
      <c r="O2119" s="3" t="s">
        <v>10041</v>
      </c>
      <c r="P2119" s="17">
        <v>45520</v>
      </c>
      <c r="Q2119" s="4">
        <v>0</v>
      </c>
    </row>
    <row r="2120" spans="1:17" ht="30" x14ac:dyDescent="0.25">
      <c r="A2120" s="2" t="s">
        <v>4797</v>
      </c>
      <c r="B2120" s="3" t="s">
        <v>5015</v>
      </c>
      <c r="C2120" s="3">
        <v>58</v>
      </c>
      <c r="D2120" s="46" t="str">
        <f>IF(Tabla1[[#This Row],[EDAD]]&lt;=35,"Adultos jóvenes 18 - 35 años",IF(C2120&gt;=36,"Adultos mayores 36 años en adelante"))</f>
        <v>Adultos mayores 36 años en adelante</v>
      </c>
      <c r="E2120" s="3" t="s">
        <v>5022</v>
      </c>
      <c r="F2120" s="3" t="s">
        <v>5024</v>
      </c>
      <c r="G2120" s="3" t="s">
        <v>5036</v>
      </c>
      <c r="H2120" s="3" t="s">
        <v>9820</v>
      </c>
      <c r="I2120" s="17">
        <v>45520</v>
      </c>
      <c r="J2120" s="18">
        <f>YEAR(Tabla1[[#This Row],[FECHA DE COMPRA]])</f>
        <v>2024</v>
      </c>
      <c r="K2120" s="19">
        <v>50.21</v>
      </c>
      <c r="L2120" s="20">
        <v>0.2</v>
      </c>
      <c r="M2120" s="19">
        <f>Tienda!$K424-Tienda!$K424*Tienda!$L424</f>
        <v>182.28</v>
      </c>
      <c r="N2120" s="3" t="s">
        <v>10039</v>
      </c>
      <c r="O2120" s="3" t="s">
        <v>10041</v>
      </c>
      <c r="P2120" s="17">
        <v>45520</v>
      </c>
      <c r="Q2120" s="4">
        <v>0</v>
      </c>
    </row>
    <row r="2121" spans="1:17" ht="30" x14ac:dyDescent="0.25">
      <c r="A2121" s="2" t="s">
        <v>2389</v>
      </c>
      <c r="B2121" s="3" t="s">
        <v>5016</v>
      </c>
      <c r="C2121" s="3">
        <v>64</v>
      </c>
      <c r="D2121" s="46" t="str">
        <f>IF(Tabla1[[#This Row],[EDAD]]&lt;=35,"Adultos jóvenes 18 - 35 años",IF(C2121&gt;=36,"Adultos mayores 36 años en adelante"))</f>
        <v>Adultos mayores 36 años en adelante</v>
      </c>
      <c r="E2121" s="3" t="s">
        <v>5017</v>
      </c>
      <c r="F2121" s="3" t="s">
        <v>5027</v>
      </c>
      <c r="G2121" s="3" t="s">
        <v>5035</v>
      </c>
      <c r="H2121" s="3" t="s">
        <v>7412</v>
      </c>
      <c r="I2121" s="17">
        <v>45520</v>
      </c>
      <c r="J2121" s="18">
        <f>YEAR(Tabla1[[#This Row],[FECHA DE COMPRA]])</f>
        <v>2024</v>
      </c>
      <c r="K2121" s="19">
        <v>76.38</v>
      </c>
      <c r="L2121" s="20">
        <v>0.3</v>
      </c>
      <c r="M2121" s="19">
        <f>Tienda!$K425-Tienda!$K425*Tienda!$L425</f>
        <v>131.94300000000001</v>
      </c>
      <c r="N2121" s="3" t="s">
        <v>10039</v>
      </c>
      <c r="O2121" s="3" t="s">
        <v>10041</v>
      </c>
      <c r="P2121" s="17">
        <v>45520</v>
      </c>
      <c r="Q2121" s="4">
        <v>0</v>
      </c>
    </row>
    <row r="2122" spans="1:17" ht="30" x14ac:dyDescent="0.25">
      <c r="A2122" s="2" t="s">
        <v>3905</v>
      </c>
      <c r="B2122" s="3" t="s">
        <v>5016</v>
      </c>
      <c r="C2122" s="3">
        <v>57</v>
      </c>
      <c r="D2122" s="46" t="str">
        <f>IF(Tabla1[[#This Row],[EDAD]]&lt;=35,"Adultos jóvenes 18 - 35 años",IF(C2122&gt;=36,"Adultos mayores 36 años en adelante"))</f>
        <v>Adultos mayores 36 años en adelante</v>
      </c>
      <c r="E2122" s="3" t="s">
        <v>5019</v>
      </c>
      <c r="F2122" s="3" t="s">
        <v>5029</v>
      </c>
      <c r="G2122" s="3" t="s">
        <v>5034</v>
      </c>
      <c r="H2122" s="3" t="s">
        <v>8928</v>
      </c>
      <c r="I2122" s="17">
        <v>45520</v>
      </c>
      <c r="J2122" s="18">
        <f>YEAR(Tabla1[[#This Row],[FECHA DE COMPRA]])</f>
        <v>2024</v>
      </c>
      <c r="K2122" s="19">
        <v>88.43</v>
      </c>
      <c r="L2122" s="20">
        <v>0.2</v>
      </c>
      <c r="M2122" s="19">
        <f>Tienda!$K426-Tienda!$K426*Tienda!$L426</f>
        <v>154.73599999999999</v>
      </c>
      <c r="N2122" s="3" t="s">
        <v>10039</v>
      </c>
      <c r="O2122" s="3" t="s">
        <v>10041</v>
      </c>
      <c r="P2122" s="17">
        <v>45520</v>
      </c>
      <c r="Q2122" s="4">
        <v>0</v>
      </c>
    </row>
    <row r="2123" spans="1:17" ht="30" x14ac:dyDescent="0.25">
      <c r="A2123" s="2" t="s">
        <v>1182</v>
      </c>
      <c r="B2123" s="3" t="s">
        <v>5015</v>
      </c>
      <c r="C2123" s="3">
        <v>45</v>
      </c>
      <c r="D2123" s="46" t="str">
        <f>IF(Tabla1[[#This Row],[EDAD]]&lt;=35,"Adultos jóvenes 18 - 35 años",IF(C2123&gt;=36,"Adultos mayores 36 años en adelante"))</f>
        <v>Adultos mayores 36 años en adelante</v>
      </c>
      <c r="E2123" s="3" t="s">
        <v>5018</v>
      </c>
      <c r="F2123" s="3" t="s">
        <v>5024</v>
      </c>
      <c r="G2123" s="3" t="s">
        <v>5031</v>
      </c>
      <c r="H2123" s="3" t="s">
        <v>6205</v>
      </c>
      <c r="I2123" s="17">
        <v>45520</v>
      </c>
      <c r="J2123" s="18">
        <f>YEAR(Tabla1[[#This Row],[FECHA DE COMPRA]])</f>
        <v>2024</v>
      </c>
      <c r="K2123" s="19">
        <v>111.64</v>
      </c>
      <c r="L2123" s="20">
        <v>0.3</v>
      </c>
      <c r="M2123" s="19">
        <f>Tienda!$K427-Tienda!$K427*Tienda!$L427</f>
        <v>154.89600000000002</v>
      </c>
      <c r="N2123" s="3" t="s">
        <v>10039</v>
      </c>
      <c r="O2123" s="3" t="s">
        <v>10041</v>
      </c>
      <c r="P2123" s="17">
        <v>45520</v>
      </c>
      <c r="Q2123" s="4">
        <v>0</v>
      </c>
    </row>
    <row r="2124" spans="1:17" ht="30" x14ac:dyDescent="0.25">
      <c r="A2124" s="2" t="s">
        <v>1431</v>
      </c>
      <c r="B2124" s="3" t="s">
        <v>5015</v>
      </c>
      <c r="C2124" s="3">
        <v>37</v>
      </c>
      <c r="D2124" s="46" t="str">
        <f>IF(Tabla1[[#This Row],[EDAD]]&lt;=35,"Adultos jóvenes 18 - 35 años",IF(C2124&gt;=36,"Adultos mayores 36 años en adelante"))</f>
        <v>Adultos mayores 36 años en adelante</v>
      </c>
      <c r="E2124" s="3" t="s">
        <v>5018</v>
      </c>
      <c r="F2124" s="3" t="s">
        <v>5025</v>
      </c>
      <c r="G2124" s="3" t="s">
        <v>5031</v>
      </c>
      <c r="H2124" s="3" t="s">
        <v>6454</v>
      </c>
      <c r="I2124" s="17">
        <v>45521</v>
      </c>
      <c r="J2124" s="18">
        <f>YEAR(Tabla1[[#This Row],[FECHA DE COMPRA]])</f>
        <v>2024</v>
      </c>
      <c r="K2124" s="19">
        <v>17.899999999999999</v>
      </c>
      <c r="L2124" s="20">
        <v>0</v>
      </c>
      <c r="M2124" s="19">
        <f>Tienda!$K428-Tienda!$K428*Tienda!$L428</f>
        <v>9.9890000000000008</v>
      </c>
      <c r="N2124" s="3" t="s">
        <v>10039</v>
      </c>
      <c r="O2124" s="3" t="s">
        <v>10041</v>
      </c>
      <c r="P2124" s="17">
        <v>45521</v>
      </c>
      <c r="Q2124" s="4">
        <v>0</v>
      </c>
    </row>
    <row r="2125" spans="1:17" ht="30" x14ac:dyDescent="0.25">
      <c r="A2125" s="2" t="s">
        <v>3180</v>
      </c>
      <c r="B2125" s="3" t="s">
        <v>5015</v>
      </c>
      <c r="C2125" s="3">
        <v>57</v>
      </c>
      <c r="D2125" s="46" t="str">
        <f>IF(Tabla1[[#This Row],[EDAD]]&lt;=35,"Adultos jóvenes 18 - 35 años",IF(C2125&gt;=36,"Adultos mayores 36 años en adelante"))</f>
        <v>Adultos mayores 36 años en adelante</v>
      </c>
      <c r="E2125" s="3" t="s">
        <v>5018</v>
      </c>
      <c r="F2125" s="3" t="s">
        <v>5024</v>
      </c>
      <c r="G2125" s="3" t="s">
        <v>5036</v>
      </c>
      <c r="H2125" s="3" t="s">
        <v>8203</v>
      </c>
      <c r="I2125" s="17">
        <v>45521</v>
      </c>
      <c r="J2125" s="18">
        <f>YEAR(Tabla1[[#This Row],[FECHA DE COMPRA]])</f>
        <v>2024</v>
      </c>
      <c r="K2125" s="19">
        <v>36.01</v>
      </c>
      <c r="L2125" s="20">
        <v>0.3</v>
      </c>
      <c r="M2125" s="19">
        <f>Tienda!$K429-Tienda!$K429*Tienda!$L429</f>
        <v>10.675000000000001</v>
      </c>
      <c r="N2125" s="3" t="s">
        <v>10039</v>
      </c>
      <c r="O2125" s="3" t="s">
        <v>10041</v>
      </c>
      <c r="P2125" s="17">
        <v>45521</v>
      </c>
      <c r="Q2125" s="4">
        <v>0</v>
      </c>
    </row>
    <row r="2126" spans="1:17" ht="30" x14ac:dyDescent="0.25">
      <c r="A2126" s="2" t="s">
        <v>457</v>
      </c>
      <c r="B2126" s="3" t="s">
        <v>5015</v>
      </c>
      <c r="C2126" s="3">
        <v>52</v>
      </c>
      <c r="D2126" s="46" t="str">
        <f>IF(Tabla1[[#This Row],[EDAD]]&lt;=35,"Adultos jóvenes 18 - 35 años",IF(C2126&gt;=36,"Adultos mayores 36 años en adelante"))</f>
        <v>Adultos mayores 36 años en adelante</v>
      </c>
      <c r="E2126" s="3" t="s">
        <v>5018</v>
      </c>
      <c r="F2126" s="3" t="s">
        <v>5027</v>
      </c>
      <c r="G2126" s="3" t="s">
        <v>5035</v>
      </c>
      <c r="H2126" s="3" t="s">
        <v>5480</v>
      </c>
      <c r="I2126" s="17">
        <v>45521</v>
      </c>
      <c r="J2126" s="18">
        <f>YEAR(Tabla1[[#This Row],[FECHA DE COMPRA]])</f>
        <v>2024</v>
      </c>
      <c r="K2126" s="19">
        <v>139.18</v>
      </c>
      <c r="L2126" s="20">
        <v>0.3</v>
      </c>
      <c r="M2126" s="19">
        <f>Tienda!$K431-Tienda!$K431*Tienda!$L431</f>
        <v>25.15</v>
      </c>
      <c r="N2126" s="3" t="s">
        <v>10039</v>
      </c>
      <c r="O2126" s="3" t="s">
        <v>10041</v>
      </c>
      <c r="P2126" s="17">
        <v>45521</v>
      </c>
      <c r="Q2126" s="4">
        <v>0</v>
      </c>
    </row>
    <row r="2127" spans="1:17" ht="30" x14ac:dyDescent="0.25">
      <c r="A2127" s="2" t="s">
        <v>3858</v>
      </c>
      <c r="B2127" s="3" t="s">
        <v>5016</v>
      </c>
      <c r="C2127" s="3">
        <v>40</v>
      </c>
      <c r="D2127" s="46" t="str">
        <f>IF(Tabla1[[#This Row],[EDAD]]&lt;=35,"Adultos jóvenes 18 - 35 años",IF(C2127&gt;=36,"Adultos mayores 36 años en adelante"))</f>
        <v>Adultos mayores 36 años en adelante</v>
      </c>
      <c r="E2127" s="3" t="s">
        <v>5021</v>
      </c>
      <c r="F2127" s="3" t="s">
        <v>5026</v>
      </c>
      <c r="G2127" s="3" t="s">
        <v>5035</v>
      </c>
      <c r="H2127" s="3" t="s">
        <v>8881</v>
      </c>
      <c r="I2127" s="17">
        <v>45522</v>
      </c>
      <c r="J2127" s="18">
        <f>YEAR(Tabla1[[#This Row],[FECHA DE COMPRA]])</f>
        <v>2024</v>
      </c>
      <c r="K2127" s="19">
        <v>45.03</v>
      </c>
      <c r="L2127" s="20">
        <v>0.1</v>
      </c>
      <c r="M2127" s="19">
        <f>Tienda!$K432-Tienda!$K432*Tienda!$L432</f>
        <v>22.204000000000001</v>
      </c>
      <c r="N2127" s="3" t="s">
        <v>10039</v>
      </c>
      <c r="O2127" s="3" t="s">
        <v>10041</v>
      </c>
      <c r="P2127" s="17">
        <v>45522</v>
      </c>
      <c r="Q2127" s="4">
        <v>0</v>
      </c>
    </row>
    <row r="2128" spans="1:17" ht="30" x14ac:dyDescent="0.25">
      <c r="A2128" s="2" t="s">
        <v>3733</v>
      </c>
      <c r="B2128" s="3" t="s">
        <v>5015</v>
      </c>
      <c r="C2128" s="3">
        <v>54</v>
      </c>
      <c r="D2128" s="46" t="str">
        <f>IF(Tabla1[[#This Row],[EDAD]]&lt;=35,"Adultos jóvenes 18 - 35 años",IF(C2128&gt;=36,"Adultos mayores 36 años en adelante"))</f>
        <v>Adultos mayores 36 años en adelante</v>
      </c>
      <c r="E2128" s="3" t="s">
        <v>5022</v>
      </c>
      <c r="F2128" s="3" t="s">
        <v>5027</v>
      </c>
      <c r="G2128" s="3" t="s">
        <v>5035</v>
      </c>
      <c r="H2128" s="3" t="s">
        <v>8756</v>
      </c>
      <c r="I2128" s="17">
        <v>45522</v>
      </c>
      <c r="J2128" s="18">
        <f>YEAR(Tabla1[[#This Row],[FECHA DE COMPRA]])</f>
        <v>2024</v>
      </c>
      <c r="K2128" s="19">
        <v>168.58</v>
      </c>
      <c r="L2128" s="20">
        <v>0.3</v>
      </c>
      <c r="M2128" s="19">
        <f>Tienda!$K433-Tienda!$K433*Tienda!$L433</f>
        <v>35.99</v>
      </c>
      <c r="N2128" s="3" t="s">
        <v>10039</v>
      </c>
      <c r="O2128" s="3" t="s">
        <v>10041</v>
      </c>
      <c r="P2128" s="17">
        <v>45522</v>
      </c>
      <c r="Q2128" s="4">
        <v>0</v>
      </c>
    </row>
    <row r="2129" spans="1:17" ht="30" x14ac:dyDescent="0.25">
      <c r="A2129" s="2" t="s">
        <v>3083</v>
      </c>
      <c r="B2129" s="3" t="s">
        <v>5015</v>
      </c>
      <c r="C2129" s="3">
        <v>51</v>
      </c>
      <c r="D2129" s="46" t="str">
        <f>IF(Tabla1[[#This Row],[EDAD]]&lt;=35,"Adultos jóvenes 18 - 35 años",IF(C2129&gt;=36,"Adultos mayores 36 años en adelante"))</f>
        <v>Adultos mayores 36 años en adelante</v>
      </c>
      <c r="E2129" s="3" t="s">
        <v>5022</v>
      </c>
      <c r="F2129" s="3" t="s">
        <v>5026</v>
      </c>
      <c r="G2129" s="3" t="s">
        <v>5037</v>
      </c>
      <c r="H2129" s="3" t="s">
        <v>8106</v>
      </c>
      <c r="I2129" s="17">
        <v>45523</v>
      </c>
      <c r="J2129" s="18">
        <f>YEAR(Tabla1[[#This Row],[FECHA DE COMPRA]])</f>
        <v>2024</v>
      </c>
      <c r="K2129" s="19">
        <v>30.23</v>
      </c>
      <c r="L2129" s="20">
        <v>0.2</v>
      </c>
      <c r="M2129" s="19">
        <f>Tienda!$K434-Tienda!$K434*Tienda!$L434</f>
        <v>37.834999999999994</v>
      </c>
      <c r="N2129" s="3" t="s">
        <v>10039</v>
      </c>
      <c r="O2129" s="3" t="s">
        <v>10041</v>
      </c>
      <c r="P2129" s="17">
        <v>45523</v>
      </c>
      <c r="Q2129" s="4">
        <v>0</v>
      </c>
    </row>
    <row r="2130" spans="1:17" ht="30" x14ac:dyDescent="0.25">
      <c r="A2130" s="2" t="s">
        <v>2425</v>
      </c>
      <c r="B2130" s="3" t="s">
        <v>5015</v>
      </c>
      <c r="C2130" s="3">
        <v>49</v>
      </c>
      <c r="D2130" s="46" t="str">
        <f>IF(Tabla1[[#This Row],[EDAD]]&lt;=35,"Adultos jóvenes 18 - 35 años",IF(C2130&gt;=36,"Adultos mayores 36 años en adelante"))</f>
        <v>Adultos mayores 36 años en adelante</v>
      </c>
      <c r="E2130" s="3" t="s">
        <v>5018</v>
      </c>
      <c r="F2130" s="3" t="s">
        <v>5024</v>
      </c>
      <c r="G2130" s="3" t="s">
        <v>5032</v>
      </c>
      <c r="H2130" s="3" t="s">
        <v>7448</v>
      </c>
      <c r="I2130" s="17">
        <v>45523</v>
      </c>
      <c r="J2130" s="18">
        <f>YEAR(Tabla1[[#This Row],[FECHA DE COMPRA]])</f>
        <v>2024</v>
      </c>
      <c r="K2130" s="19">
        <v>114.45</v>
      </c>
      <c r="L2130" s="20">
        <v>0.2</v>
      </c>
      <c r="M2130" s="19">
        <f>Tienda!$K435-Tienda!$K435*Tienda!$L435</f>
        <v>63.24</v>
      </c>
      <c r="N2130" s="3" t="s">
        <v>10039</v>
      </c>
      <c r="O2130" s="3" t="s">
        <v>10041</v>
      </c>
      <c r="P2130" s="17">
        <v>45523</v>
      </c>
      <c r="Q2130" s="4">
        <v>0</v>
      </c>
    </row>
    <row r="2131" spans="1:17" ht="30" x14ac:dyDescent="0.25">
      <c r="A2131" s="2" t="s">
        <v>1643</v>
      </c>
      <c r="B2131" s="3" t="s">
        <v>5015</v>
      </c>
      <c r="C2131" s="3">
        <v>47</v>
      </c>
      <c r="D2131" s="46" t="str">
        <f>IF(Tabla1[[#This Row],[EDAD]]&lt;=35,"Adultos jóvenes 18 - 35 años",IF(C2131&gt;=36,"Adultos mayores 36 años en adelante"))</f>
        <v>Adultos mayores 36 años en adelante</v>
      </c>
      <c r="E2131" s="3" t="s">
        <v>5022</v>
      </c>
      <c r="F2131" s="3" t="s">
        <v>5025</v>
      </c>
      <c r="G2131" s="3" t="s">
        <v>5033</v>
      </c>
      <c r="H2131" s="3" t="s">
        <v>6666</v>
      </c>
      <c r="I2131" s="17">
        <v>45523</v>
      </c>
      <c r="J2131" s="18">
        <f>YEAR(Tabla1[[#This Row],[FECHA DE COMPRA]])</f>
        <v>2024</v>
      </c>
      <c r="K2131" s="19">
        <v>144.86000000000001</v>
      </c>
      <c r="L2131" s="20">
        <v>0.1</v>
      </c>
      <c r="M2131" s="19">
        <f>Tienda!$K436-Tienda!$K436*Tienda!$L436</f>
        <v>55.37</v>
      </c>
      <c r="N2131" s="3" t="s">
        <v>10039</v>
      </c>
      <c r="O2131" s="3" t="s">
        <v>10041</v>
      </c>
      <c r="P2131" s="17">
        <v>45523</v>
      </c>
      <c r="Q2131" s="4">
        <v>0</v>
      </c>
    </row>
    <row r="2132" spans="1:17" ht="30" x14ac:dyDescent="0.25">
      <c r="A2132" s="2" t="s">
        <v>124</v>
      </c>
      <c r="B2132" s="3" t="s">
        <v>5015</v>
      </c>
      <c r="C2132" s="3">
        <v>40</v>
      </c>
      <c r="D2132" s="46" t="str">
        <f>IF(Tabla1[[#This Row],[EDAD]]&lt;=35,"Adultos jóvenes 18 - 35 años",IF(C2132&gt;=36,"Adultos mayores 36 años en adelante"))</f>
        <v>Adultos mayores 36 años en adelante</v>
      </c>
      <c r="E2132" s="3" t="s">
        <v>5023</v>
      </c>
      <c r="F2132" s="3" t="s">
        <v>5029</v>
      </c>
      <c r="G2132" s="3" t="s">
        <v>5035</v>
      </c>
      <c r="H2132" s="3" t="s">
        <v>5147</v>
      </c>
      <c r="I2132" s="17">
        <v>45524</v>
      </c>
      <c r="J2132" s="18">
        <f>YEAR(Tabla1[[#This Row],[FECHA DE COMPRA]])</f>
        <v>2024</v>
      </c>
      <c r="K2132" s="19">
        <v>161.72</v>
      </c>
      <c r="L2132" s="20">
        <v>0.1</v>
      </c>
      <c r="M2132" s="19">
        <f>Tienda!$K442-Tienda!$K442*Tienda!$L442</f>
        <v>88.289999999999992</v>
      </c>
      <c r="N2132" s="3" t="s">
        <v>10039</v>
      </c>
      <c r="O2132" s="3" t="s">
        <v>10041</v>
      </c>
      <c r="P2132" s="17">
        <v>45524</v>
      </c>
      <c r="Q2132" s="4">
        <v>0</v>
      </c>
    </row>
    <row r="2133" spans="1:17" ht="30" x14ac:dyDescent="0.25">
      <c r="A2133" s="2" t="s">
        <v>3880</v>
      </c>
      <c r="B2133" s="3" t="s">
        <v>5016</v>
      </c>
      <c r="C2133" s="3">
        <v>37</v>
      </c>
      <c r="D2133" s="46" t="str">
        <f>IF(Tabla1[[#This Row],[EDAD]]&lt;=35,"Adultos jóvenes 18 - 35 años",IF(C2133&gt;=36,"Adultos mayores 36 años en adelante"))</f>
        <v>Adultos mayores 36 años en adelante</v>
      </c>
      <c r="E2133" s="3" t="s">
        <v>5017</v>
      </c>
      <c r="F2133" s="3" t="s">
        <v>5025</v>
      </c>
      <c r="G2133" s="3" t="s">
        <v>5033</v>
      </c>
      <c r="H2133" s="3" t="s">
        <v>8903</v>
      </c>
      <c r="I2133" s="17">
        <v>45525</v>
      </c>
      <c r="J2133" s="18">
        <f>YEAR(Tabla1[[#This Row],[FECHA DE COMPRA]])</f>
        <v>2024</v>
      </c>
      <c r="K2133" s="19">
        <v>24.26</v>
      </c>
      <c r="L2133" s="20">
        <v>0.2</v>
      </c>
      <c r="M2133" s="19">
        <f>Tienda!$K443-Tienda!$K443*Tienda!$L443</f>
        <v>90.26100000000001</v>
      </c>
      <c r="N2133" s="3" t="s">
        <v>10039</v>
      </c>
      <c r="O2133" s="3" t="s">
        <v>10041</v>
      </c>
      <c r="P2133" s="17">
        <v>45525</v>
      </c>
      <c r="Q2133" s="4">
        <v>0</v>
      </c>
    </row>
    <row r="2134" spans="1:17" ht="30" x14ac:dyDescent="0.25">
      <c r="A2134" s="2" t="s">
        <v>2039</v>
      </c>
      <c r="B2134" s="3" t="s">
        <v>5015</v>
      </c>
      <c r="C2134" s="3">
        <v>45</v>
      </c>
      <c r="D2134" s="46" t="str">
        <f>IF(Tabla1[[#This Row],[EDAD]]&lt;=35,"Adultos jóvenes 18 - 35 años",IF(C2134&gt;=36,"Adultos mayores 36 años en adelante"))</f>
        <v>Adultos mayores 36 años en adelante</v>
      </c>
      <c r="E2134" s="3" t="s">
        <v>5020</v>
      </c>
      <c r="F2134" s="3" t="s">
        <v>5024</v>
      </c>
      <c r="G2134" s="3" t="s">
        <v>5031</v>
      </c>
      <c r="H2134" s="3" t="s">
        <v>7062</v>
      </c>
      <c r="I2134" s="17">
        <v>45525</v>
      </c>
      <c r="J2134" s="18">
        <f>YEAR(Tabla1[[#This Row],[FECHA DE COMPRA]])</f>
        <v>2024</v>
      </c>
      <c r="K2134" s="19">
        <v>28.84</v>
      </c>
      <c r="L2134" s="20">
        <v>0.2</v>
      </c>
      <c r="M2134" s="19">
        <f>Tienda!$K444-Tienda!$K444*Tienda!$L444</f>
        <v>109.68</v>
      </c>
      <c r="N2134" s="3" t="s">
        <v>10039</v>
      </c>
      <c r="O2134" s="3" t="s">
        <v>10041</v>
      </c>
      <c r="P2134" s="17">
        <v>45525</v>
      </c>
      <c r="Q2134" s="4">
        <v>0</v>
      </c>
    </row>
    <row r="2135" spans="1:17" ht="30" x14ac:dyDescent="0.25">
      <c r="A2135" s="2" t="s">
        <v>4840</v>
      </c>
      <c r="B2135" s="3" t="s">
        <v>5015</v>
      </c>
      <c r="C2135" s="3">
        <v>62</v>
      </c>
      <c r="D2135" s="46" t="str">
        <f>IF(Tabla1[[#This Row],[EDAD]]&lt;=35,"Adultos jóvenes 18 - 35 años",IF(C2135&gt;=36,"Adultos mayores 36 años en adelante"))</f>
        <v>Adultos mayores 36 años en adelante</v>
      </c>
      <c r="E2135" s="3" t="s">
        <v>5022</v>
      </c>
      <c r="F2135" s="3" t="s">
        <v>5025</v>
      </c>
      <c r="G2135" s="3" t="s">
        <v>5036</v>
      </c>
      <c r="H2135" s="3" t="s">
        <v>9863</v>
      </c>
      <c r="I2135" s="17">
        <v>45525</v>
      </c>
      <c r="J2135" s="18">
        <f>YEAR(Tabla1[[#This Row],[FECHA DE COMPRA]])</f>
        <v>2024</v>
      </c>
      <c r="K2135" s="19">
        <v>44.2</v>
      </c>
      <c r="L2135" s="20">
        <v>0.1</v>
      </c>
      <c r="M2135" s="19">
        <f>Tienda!$K445-Tienda!$K445*Tienda!$L445</f>
        <v>110.35</v>
      </c>
      <c r="N2135" s="3" t="s">
        <v>10039</v>
      </c>
      <c r="O2135" s="3" t="s">
        <v>10041</v>
      </c>
      <c r="P2135" s="17">
        <v>45525</v>
      </c>
      <c r="Q2135" s="4">
        <v>0</v>
      </c>
    </row>
    <row r="2136" spans="1:17" ht="30" x14ac:dyDescent="0.25">
      <c r="A2136" s="2" t="s">
        <v>4066</v>
      </c>
      <c r="B2136" s="3" t="s">
        <v>5016</v>
      </c>
      <c r="C2136" s="3">
        <v>42</v>
      </c>
      <c r="D2136" s="46" t="str">
        <f>IF(Tabla1[[#This Row],[EDAD]]&lt;=35,"Adultos jóvenes 18 - 35 años",IF(C2136&gt;=36,"Adultos mayores 36 años en adelante"))</f>
        <v>Adultos mayores 36 años en adelante</v>
      </c>
      <c r="E2136" s="3" t="s">
        <v>5019</v>
      </c>
      <c r="F2136" s="3" t="s">
        <v>5026</v>
      </c>
      <c r="G2136" s="3" t="s">
        <v>5036</v>
      </c>
      <c r="H2136" s="3" t="s">
        <v>9089</v>
      </c>
      <c r="I2136" s="17">
        <v>45525</v>
      </c>
      <c r="J2136" s="18">
        <f>YEAR(Tabla1[[#This Row],[FECHA DE COMPRA]])</f>
        <v>2024</v>
      </c>
      <c r="K2136" s="19">
        <v>87.23</v>
      </c>
      <c r="L2136" s="20">
        <v>0.1</v>
      </c>
      <c r="M2136" s="19">
        <f>Tienda!$K446-Tienda!$K446*Tienda!$L446</f>
        <v>110.91</v>
      </c>
      <c r="N2136" s="3" t="s">
        <v>10039</v>
      </c>
      <c r="O2136" s="3" t="s">
        <v>10041</v>
      </c>
      <c r="P2136" s="17">
        <v>45525</v>
      </c>
      <c r="Q2136" s="4">
        <v>0</v>
      </c>
    </row>
    <row r="2137" spans="1:17" ht="30" x14ac:dyDescent="0.25">
      <c r="A2137" s="2" t="s">
        <v>2033</v>
      </c>
      <c r="B2137" s="3" t="s">
        <v>5015</v>
      </c>
      <c r="C2137" s="3">
        <v>56</v>
      </c>
      <c r="D2137" s="46" t="str">
        <f>IF(Tabla1[[#This Row],[EDAD]]&lt;=35,"Adultos jóvenes 18 - 35 años",IF(C2137&gt;=36,"Adultos mayores 36 años en adelante"))</f>
        <v>Adultos mayores 36 años en adelante</v>
      </c>
      <c r="E2137" s="3" t="s">
        <v>5020</v>
      </c>
      <c r="F2137" s="3" t="s">
        <v>5030</v>
      </c>
      <c r="G2137" s="3" t="s">
        <v>5036</v>
      </c>
      <c r="H2137" s="3" t="s">
        <v>7056</v>
      </c>
      <c r="I2137" s="17">
        <v>45525</v>
      </c>
      <c r="J2137" s="18">
        <f>YEAR(Tabla1[[#This Row],[FECHA DE COMPRA]])</f>
        <v>2024</v>
      </c>
      <c r="K2137" s="19">
        <v>112.08</v>
      </c>
      <c r="L2137" s="20">
        <v>0</v>
      </c>
      <c r="M2137" s="19">
        <f>Tienda!$K448-Tienda!$K448*Tienda!$L448</f>
        <v>102.55500000000001</v>
      </c>
      <c r="N2137" s="3" t="s">
        <v>10039</v>
      </c>
      <c r="O2137" s="3" t="s">
        <v>10041</v>
      </c>
      <c r="P2137" s="17">
        <v>45525</v>
      </c>
      <c r="Q2137" s="4">
        <v>0</v>
      </c>
    </row>
    <row r="2138" spans="1:17" ht="30" x14ac:dyDescent="0.25">
      <c r="A2138" s="2" t="s">
        <v>1314</v>
      </c>
      <c r="B2138" s="3" t="s">
        <v>5015</v>
      </c>
      <c r="C2138" s="3">
        <v>36</v>
      </c>
      <c r="D2138" s="46" t="str">
        <f>IF(Tabla1[[#This Row],[EDAD]]&lt;=35,"Adultos jóvenes 18 - 35 años",IF(C2138&gt;=36,"Adultos mayores 36 años en adelante"))</f>
        <v>Adultos mayores 36 años en adelante</v>
      </c>
      <c r="E2138" s="3" t="s">
        <v>5018</v>
      </c>
      <c r="F2138" s="3" t="s">
        <v>5027</v>
      </c>
      <c r="G2138" s="3" t="s">
        <v>5035</v>
      </c>
      <c r="H2138" s="3" t="s">
        <v>6337</v>
      </c>
      <c r="I2138" s="17">
        <v>45526</v>
      </c>
      <c r="J2138" s="18">
        <f>YEAR(Tabla1[[#This Row],[FECHA DE COMPRA]])</f>
        <v>2024</v>
      </c>
      <c r="K2138" s="19">
        <v>53.73</v>
      </c>
      <c r="L2138" s="20">
        <v>0.3</v>
      </c>
      <c r="M2138" s="19">
        <f>Tienda!$K449-Tienda!$K449*Tienda!$L449</f>
        <v>118.23</v>
      </c>
      <c r="N2138" s="3" t="s">
        <v>10039</v>
      </c>
      <c r="O2138" s="3" t="s">
        <v>10041</v>
      </c>
      <c r="P2138" s="17">
        <v>45526</v>
      </c>
      <c r="Q2138" s="4">
        <v>0</v>
      </c>
    </row>
    <row r="2139" spans="1:17" ht="30" x14ac:dyDescent="0.25">
      <c r="A2139" s="2" t="s">
        <v>1818</v>
      </c>
      <c r="B2139" s="3" t="s">
        <v>5015</v>
      </c>
      <c r="C2139" s="3">
        <v>45</v>
      </c>
      <c r="D2139" s="46" t="str">
        <f>IF(Tabla1[[#This Row],[EDAD]]&lt;=35,"Adultos jóvenes 18 - 35 años",IF(C2139&gt;=36,"Adultos mayores 36 años en adelante"))</f>
        <v>Adultos mayores 36 años en adelante</v>
      </c>
      <c r="E2139" s="3" t="s">
        <v>5018</v>
      </c>
      <c r="F2139" s="3" t="s">
        <v>5030</v>
      </c>
      <c r="G2139" s="3" t="s">
        <v>5034</v>
      </c>
      <c r="H2139" s="3" t="s">
        <v>6841</v>
      </c>
      <c r="I2139" s="17">
        <v>45526</v>
      </c>
      <c r="J2139" s="18">
        <f>YEAR(Tabla1[[#This Row],[FECHA DE COMPRA]])</f>
        <v>2024</v>
      </c>
      <c r="K2139" s="19">
        <v>138.08000000000001</v>
      </c>
      <c r="L2139" s="20">
        <v>0</v>
      </c>
      <c r="M2139" s="19">
        <f>Tienda!$K450-Tienda!$K450*Tienda!$L450</f>
        <v>122.84</v>
      </c>
      <c r="N2139" s="3" t="s">
        <v>10039</v>
      </c>
      <c r="O2139" s="3" t="s">
        <v>10041</v>
      </c>
      <c r="P2139" s="17">
        <v>45526</v>
      </c>
      <c r="Q2139" s="4">
        <v>0</v>
      </c>
    </row>
    <row r="2140" spans="1:17" ht="30" x14ac:dyDescent="0.25">
      <c r="A2140" s="2" t="s">
        <v>895</v>
      </c>
      <c r="B2140" s="3" t="s">
        <v>5015</v>
      </c>
      <c r="C2140" s="3">
        <v>50</v>
      </c>
      <c r="D2140" s="46" t="str">
        <f>IF(Tabla1[[#This Row],[EDAD]]&lt;=35,"Adultos jóvenes 18 - 35 años",IF(C2140&gt;=36,"Adultos mayores 36 años en adelante"))</f>
        <v>Adultos mayores 36 años en adelante</v>
      </c>
      <c r="E2140" s="3" t="s">
        <v>5023</v>
      </c>
      <c r="F2140" s="3" t="s">
        <v>5026</v>
      </c>
      <c r="G2140" s="3" t="s">
        <v>5034</v>
      </c>
      <c r="H2140" s="3" t="s">
        <v>5918</v>
      </c>
      <c r="I2140" s="17">
        <v>45527</v>
      </c>
      <c r="J2140" s="18">
        <f>YEAR(Tabla1[[#This Row],[FECHA DE COMPRA]])</f>
        <v>2024</v>
      </c>
      <c r="K2140" s="19">
        <v>49.75</v>
      </c>
      <c r="L2140" s="20">
        <v>0.2</v>
      </c>
      <c r="M2140" s="19">
        <f>Tienda!$K451-Tienda!$K451*Tienda!$L451</f>
        <v>125.24</v>
      </c>
      <c r="N2140" s="3" t="s">
        <v>10039</v>
      </c>
      <c r="O2140" s="3" t="s">
        <v>10041</v>
      </c>
      <c r="P2140" s="17">
        <v>45527</v>
      </c>
      <c r="Q2140" s="4">
        <v>0</v>
      </c>
    </row>
    <row r="2141" spans="1:17" ht="30" x14ac:dyDescent="0.25">
      <c r="A2141" s="2" t="s">
        <v>2516</v>
      </c>
      <c r="B2141" s="3" t="s">
        <v>5015</v>
      </c>
      <c r="C2141" s="3">
        <v>60</v>
      </c>
      <c r="D2141" s="46" t="str">
        <f>IF(Tabla1[[#This Row],[EDAD]]&lt;=35,"Adultos jóvenes 18 - 35 años",IF(C2141&gt;=36,"Adultos mayores 36 años en adelante"))</f>
        <v>Adultos mayores 36 años en adelante</v>
      </c>
      <c r="E2141" s="3" t="s">
        <v>5020</v>
      </c>
      <c r="F2141" s="3" t="s">
        <v>5030</v>
      </c>
      <c r="G2141" s="3" t="s">
        <v>5036</v>
      </c>
      <c r="H2141" s="3" t="s">
        <v>7539</v>
      </c>
      <c r="I2141" s="17">
        <v>45527</v>
      </c>
      <c r="J2141" s="18">
        <f>YEAR(Tabla1[[#This Row],[FECHA DE COMPRA]])</f>
        <v>2024</v>
      </c>
      <c r="K2141" s="19">
        <v>91.16</v>
      </c>
      <c r="L2141" s="20">
        <v>0.1</v>
      </c>
      <c r="M2141" s="19">
        <f>Tienda!$K452-Tienda!$K452*Tienda!$L452</f>
        <v>126.45899999999999</v>
      </c>
      <c r="N2141" s="3" t="s">
        <v>10039</v>
      </c>
      <c r="O2141" s="3" t="s">
        <v>10041</v>
      </c>
      <c r="P2141" s="17">
        <v>45527</v>
      </c>
      <c r="Q2141" s="4">
        <v>0</v>
      </c>
    </row>
    <row r="2142" spans="1:17" ht="30" x14ac:dyDescent="0.25">
      <c r="A2142" s="2" t="s">
        <v>1707</v>
      </c>
      <c r="B2142" s="3" t="s">
        <v>5016</v>
      </c>
      <c r="C2142" s="3">
        <v>40</v>
      </c>
      <c r="D2142" s="46" t="str">
        <f>IF(Tabla1[[#This Row],[EDAD]]&lt;=35,"Adultos jóvenes 18 - 35 años",IF(C2142&gt;=36,"Adultos mayores 36 años en adelante"))</f>
        <v>Adultos mayores 36 años en adelante</v>
      </c>
      <c r="E2142" s="3" t="s">
        <v>5021</v>
      </c>
      <c r="F2142" s="3" t="s">
        <v>5029</v>
      </c>
      <c r="G2142" s="3" t="s">
        <v>5033</v>
      </c>
      <c r="H2142" s="3" t="s">
        <v>6730</v>
      </c>
      <c r="I2142" s="17">
        <v>45527</v>
      </c>
      <c r="J2142" s="18">
        <f>YEAR(Tabla1[[#This Row],[FECHA DE COMPRA]])</f>
        <v>2024</v>
      </c>
      <c r="K2142" s="19">
        <v>149.66</v>
      </c>
      <c r="L2142" s="20">
        <v>0.1</v>
      </c>
      <c r="M2142" s="19">
        <f>Tienda!$K453-Tienda!$K453*Tienda!$L453</f>
        <v>136.15199999999999</v>
      </c>
      <c r="N2142" s="3" t="s">
        <v>10039</v>
      </c>
      <c r="O2142" s="3" t="s">
        <v>10041</v>
      </c>
      <c r="P2142" s="17">
        <v>45527</v>
      </c>
      <c r="Q2142" s="4">
        <v>0</v>
      </c>
    </row>
    <row r="2143" spans="1:17" ht="30" x14ac:dyDescent="0.25">
      <c r="A2143" s="2" t="s">
        <v>255</v>
      </c>
      <c r="B2143" s="3" t="s">
        <v>5015</v>
      </c>
      <c r="C2143" s="3">
        <v>45</v>
      </c>
      <c r="D2143" s="46" t="str">
        <f>IF(Tabla1[[#This Row],[EDAD]]&lt;=35,"Adultos jóvenes 18 - 35 años",IF(C2143&gt;=36,"Adultos mayores 36 años en adelante"))</f>
        <v>Adultos mayores 36 años en adelante</v>
      </c>
      <c r="E2143" s="3" t="s">
        <v>5021</v>
      </c>
      <c r="F2143" s="3" t="s">
        <v>5028</v>
      </c>
      <c r="G2143" s="3" t="s">
        <v>5036</v>
      </c>
      <c r="H2143" s="3" t="s">
        <v>5278</v>
      </c>
      <c r="I2143" s="17">
        <v>45528</v>
      </c>
      <c r="J2143" s="18">
        <f>YEAR(Tabla1[[#This Row],[FECHA DE COMPRA]])</f>
        <v>2024</v>
      </c>
      <c r="K2143" s="19">
        <v>49.19</v>
      </c>
      <c r="L2143" s="20">
        <v>0.1</v>
      </c>
      <c r="M2143" s="19">
        <f>Tienda!$K454-Tienda!$K454*Tienda!$L454</f>
        <v>155.18</v>
      </c>
      <c r="N2143" s="3" t="s">
        <v>10039</v>
      </c>
      <c r="O2143" s="3" t="s">
        <v>10041</v>
      </c>
      <c r="P2143" s="17">
        <v>45528</v>
      </c>
      <c r="Q2143" s="4">
        <v>0</v>
      </c>
    </row>
    <row r="2144" spans="1:17" ht="30" x14ac:dyDescent="0.25">
      <c r="A2144" s="2" t="s">
        <v>1591</v>
      </c>
      <c r="B2144" s="3" t="s">
        <v>5015</v>
      </c>
      <c r="C2144" s="3">
        <v>44</v>
      </c>
      <c r="D2144" s="46" t="str">
        <f>IF(Tabla1[[#This Row],[EDAD]]&lt;=35,"Adultos jóvenes 18 - 35 años",IF(C2144&gt;=36,"Adultos mayores 36 años en adelante"))</f>
        <v>Adultos mayores 36 años en adelante</v>
      </c>
      <c r="E2144" s="3" t="s">
        <v>5022</v>
      </c>
      <c r="F2144" s="3" t="s">
        <v>5025</v>
      </c>
      <c r="G2144" s="3" t="s">
        <v>5034</v>
      </c>
      <c r="H2144" s="3" t="s">
        <v>6614</v>
      </c>
      <c r="I2144" s="17">
        <v>45528</v>
      </c>
      <c r="J2144" s="18">
        <f>YEAR(Tabla1[[#This Row],[FECHA DE COMPRA]])</f>
        <v>2024</v>
      </c>
      <c r="K2144" s="19">
        <v>80.099999999999994</v>
      </c>
      <c r="L2144" s="20">
        <v>0</v>
      </c>
      <c r="M2144" s="19">
        <f>Tienda!$K455-Tienda!$K455*Tienda!$L455</f>
        <v>120.61000000000001</v>
      </c>
      <c r="N2144" s="3" t="s">
        <v>10039</v>
      </c>
      <c r="O2144" s="3" t="s">
        <v>10041</v>
      </c>
      <c r="P2144" s="17">
        <v>45528</v>
      </c>
      <c r="Q2144" s="4">
        <v>0</v>
      </c>
    </row>
    <row r="2145" spans="1:17" ht="30" x14ac:dyDescent="0.25">
      <c r="A2145" s="2" t="s">
        <v>2805</v>
      </c>
      <c r="B2145" s="3" t="s">
        <v>5016</v>
      </c>
      <c r="C2145" s="3">
        <v>65</v>
      </c>
      <c r="D2145" s="46" t="str">
        <f>IF(Tabla1[[#This Row],[EDAD]]&lt;=35,"Adultos jóvenes 18 - 35 años",IF(C2145&gt;=36,"Adultos mayores 36 años en adelante"))</f>
        <v>Adultos mayores 36 años en adelante</v>
      </c>
      <c r="E2145" s="3" t="s">
        <v>5017</v>
      </c>
      <c r="F2145" s="3" t="s">
        <v>5025</v>
      </c>
      <c r="G2145" s="3" t="s">
        <v>5035</v>
      </c>
      <c r="H2145" s="3" t="s">
        <v>7828</v>
      </c>
      <c r="I2145" s="17">
        <v>45529</v>
      </c>
      <c r="J2145" s="18">
        <f>YEAR(Tabla1[[#This Row],[FECHA DE COMPRA]])</f>
        <v>2024</v>
      </c>
      <c r="K2145" s="19">
        <v>27.27</v>
      </c>
      <c r="L2145" s="20">
        <v>0</v>
      </c>
      <c r="M2145" s="19">
        <f>Tienda!$K457-Tienda!$K457*Tienda!$L457</f>
        <v>148.08800000000002</v>
      </c>
      <c r="N2145" s="3" t="s">
        <v>10039</v>
      </c>
      <c r="O2145" s="3" t="s">
        <v>10041</v>
      </c>
      <c r="P2145" s="17">
        <v>45529</v>
      </c>
      <c r="Q2145" s="4">
        <v>0</v>
      </c>
    </row>
    <row r="2146" spans="1:17" ht="30" x14ac:dyDescent="0.25">
      <c r="A2146" s="2" t="s">
        <v>542</v>
      </c>
      <c r="B2146" s="3" t="s">
        <v>5015</v>
      </c>
      <c r="C2146" s="3">
        <v>50</v>
      </c>
      <c r="D2146" s="46" t="str">
        <f>IF(Tabla1[[#This Row],[EDAD]]&lt;=35,"Adultos jóvenes 18 - 35 años",IF(C2146&gt;=36,"Adultos mayores 36 años en adelante"))</f>
        <v>Adultos mayores 36 años en adelante</v>
      </c>
      <c r="E2146" s="3" t="s">
        <v>5017</v>
      </c>
      <c r="F2146" s="3" t="s">
        <v>5028</v>
      </c>
      <c r="G2146" s="3" t="s">
        <v>5035</v>
      </c>
      <c r="H2146" s="3" t="s">
        <v>5565</v>
      </c>
      <c r="I2146" s="17">
        <v>45531</v>
      </c>
      <c r="J2146" s="18">
        <f>YEAR(Tabla1[[#This Row],[FECHA DE COMPRA]])</f>
        <v>2024</v>
      </c>
      <c r="K2146" s="19">
        <v>17.57</v>
      </c>
      <c r="L2146" s="20">
        <v>0.1</v>
      </c>
      <c r="M2146" s="19">
        <f>Tienda!$K462-Tienda!$K462*Tienda!$L462</f>
        <v>12.699</v>
      </c>
      <c r="N2146" s="3" t="s">
        <v>10039</v>
      </c>
      <c r="O2146" s="3" t="s">
        <v>10041</v>
      </c>
      <c r="P2146" s="17">
        <v>45531</v>
      </c>
      <c r="Q2146" s="4">
        <v>0</v>
      </c>
    </row>
    <row r="2147" spans="1:17" ht="30" x14ac:dyDescent="0.25">
      <c r="A2147" s="2" t="s">
        <v>3186</v>
      </c>
      <c r="B2147" s="3" t="s">
        <v>5015</v>
      </c>
      <c r="C2147" s="3">
        <v>64</v>
      </c>
      <c r="D2147" s="46" t="str">
        <f>IF(Tabla1[[#This Row],[EDAD]]&lt;=35,"Adultos jóvenes 18 - 35 años",IF(C2147&gt;=36,"Adultos mayores 36 años en adelante"))</f>
        <v>Adultos mayores 36 años en adelante</v>
      </c>
      <c r="E2147" s="3" t="s">
        <v>5018</v>
      </c>
      <c r="F2147" s="3" t="s">
        <v>5029</v>
      </c>
      <c r="G2147" s="3" t="s">
        <v>5032</v>
      </c>
      <c r="H2147" s="3" t="s">
        <v>8209</v>
      </c>
      <c r="I2147" s="17">
        <v>45531</v>
      </c>
      <c r="J2147" s="18">
        <f>YEAR(Tabla1[[#This Row],[FECHA DE COMPRA]])</f>
        <v>2024</v>
      </c>
      <c r="K2147" s="19">
        <v>39.61</v>
      </c>
      <c r="L2147" s="20">
        <v>0.1</v>
      </c>
      <c r="M2147" s="19">
        <f>Tienda!$K463-Tienda!$K463*Tienda!$L463</f>
        <v>17</v>
      </c>
      <c r="N2147" s="3" t="s">
        <v>10039</v>
      </c>
      <c r="O2147" s="3" t="s">
        <v>10041</v>
      </c>
      <c r="P2147" s="17">
        <v>45531</v>
      </c>
      <c r="Q2147" s="4">
        <v>0</v>
      </c>
    </row>
    <row r="2148" spans="1:17" ht="30" x14ac:dyDescent="0.25">
      <c r="A2148" s="2" t="s">
        <v>3124</v>
      </c>
      <c r="B2148" s="3" t="s">
        <v>5015</v>
      </c>
      <c r="C2148" s="3">
        <v>49</v>
      </c>
      <c r="D2148" s="46" t="str">
        <f>IF(Tabla1[[#This Row],[EDAD]]&lt;=35,"Adultos jóvenes 18 - 35 años",IF(C2148&gt;=36,"Adultos mayores 36 años en adelante"))</f>
        <v>Adultos mayores 36 años en adelante</v>
      </c>
      <c r="E2148" s="3" t="s">
        <v>5020</v>
      </c>
      <c r="F2148" s="3" t="s">
        <v>5028</v>
      </c>
      <c r="G2148" s="3" t="s">
        <v>5035</v>
      </c>
      <c r="H2148" s="3" t="s">
        <v>8147</v>
      </c>
      <c r="I2148" s="17">
        <v>45531</v>
      </c>
      <c r="J2148" s="18">
        <f>YEAR(Tabla1[[#This Row],[FECHA DE COMPRA]])</f>
        <v>2024</v>
      </c>
      <c r="K2148" s="19">
        <v>152.88</v>
      </c>
      <c r="L2148" s="20">
        <v>0</v>
      </c>
      <c r="M2148" s="19">
        <f>Tienda!$K465-Tienda!$K465*Tienda!$L465</f>
        <v>40.909999999999997</v>
      </c>
      <c r="N2148" s="3" t="s">
        <v>10039</v>
      </c>
      <c r="O2148" s="3" t="s">
        <v>10041</v>
      </c>
      <c r="P2148" s="17">
        <v>45531</v>
      </c>
      <c r="Q2148" s="4">
        <v>0</v>
      </c>
    </row>
    <row r="2149" spans="1:17" ht="30" x14ac:dyDescent="0.25">
      <c r="A2149" s="2" t="s">
        <v>1948</v>
      </c>
      <c r="B2149" s="3" t="s">
        <v>5016</v>
      </c>
      <c r="C2149" s="3">
        <v>53</v>
      </c>
      <c r="D2149" s="46" t="str">
        <f>IF(Tabla1[[#This Row],[EDAD]]&lt;=35,"Adultos jóvenes 18 - 35 años",IF(C2149&gt;=36,"Adultos mayores 36 años en adelante"))</f>
        <v>Adultos mayores 36 años en adelante</v>
      </c>
      <c r="E2149" s="3" t="s">
        <v>5021</v>
      </c>
      <c r="F2149" s="3" t="s">
        <v>5024</v>
      </c>
      <c r="G2149" s="3" t="s">
        <v>5034</v>
      </c>
      <c r="H2149" s="3" t="s">
        <v>6971</v>
      </c>
      <c r="I2149" s="17">
        <v>45532</v>
      </c>
      <c r="J2149" s="18">
        <f>YEAR(Tabla1[[#This Row],[FECHA DE COMPRA]])</f>
        <v>2024</v>
      </c>
      <c r="K2149" s="19">
        <v>57.92</v>
      </c>
      <c r="L2149" s="20">
        <v>0.3</v>
      </c>
      <c r="M2149" s="19">
        <f>Tienda!$K468-Tienda!$K468*Tienda!$L468</f>
        <v>61.808000000000007</v>
      </c>
      <c r="N2149" s="3" t="s">
        <v>10039</v>
      </c>
      <c r="O2149" s="3" t="s">
        <v>10041</v>
      </c>
      <c r="P2149" s="17">
        <v>45532</v>
      </c>
      <c r="Q2149" s="4">
        <v>0</v>
      </c>
    </row>
    <row r="2150" spans="1:17" ht="30" x14ac:dyDescent="0.25">
      <c r="A2150" s="2" t="s">
        <v>3967</v>
      </c>
      <c r="B2150" s="3" t="s">
        <v>5016</v>
      </c>
      <c r="C2150" s="3">
        <v>56</v>
      </c>
      <c r="D2150" s="46" t="str">
        <f>IF(Tabla1[[#This Row],[EDAD]]&lt;=35,"Adultos jóvenes 18 - 35 años",IF(C2150&gt;=36,"Adultos mayores 36 años en adelante"))</f>
        <v>Adultos mayores 36 años en adelante</v>
      </c>
      <c r="E2150" s="3" t="s">
        <v>5017</v>
      </c>
      <c r="F2150" s="3" t="s">
        <v>5028</v>
      </c>
      <c r="G2150" s="3" t="s">
        <v>5035</v>
      </c>
      <c r="H2150" s="3" t="s">
        <v>8990</v>
      </c>
      <c r="I2150" s="17">
        <v>45533</v>
      </c>
      <c r="J2150" s="18">
        <f>YEAR(Tabla1[[#This Row],[FECHA DE COMPRA]])</f>
        <v>2024</v>
      </c>
      <c r="K2150" s="19">
        <v>56.89</v>
      </c>
      <c r="L2150" s="20">
        <v>0</v>
      </c>
      <c r="M2150" s="19">
        <f>Tienda!$K470-Tienda!$K470*Tienda!$L470</f>
        <v>101.12</v>
      </c>
      <c r="N2150" s="3" t="s">
        <v>10039</v>
      </c>
      <c r="O2150" s="3" t="s">
        <v>10041</v>
      </c>
      <c r="P2150" s="17">
        <v>45533</v>
      </c>
      <c r="Q2150" s="4">
        <v>0</v>
      </c>
    </row>
    <row r="2151" spans="1:17" ht="30" x14ac:dyDescent="0.25">
      <c r="A2151" s="2" t="s">
        <v>4350</v>
      </c>
      <c r="B2151" s="3" t="s">
        <v>5015</v>
      </c>
      <c r="C2151" s="3">
        <v>58</v>
      </c>
      <c r="D2151" s="46" t="str">
        <f>IF(Tabla1[[#This Row],[EDAD]]&lt;=35,"Adultos jóvenes 18 - 35 años",IF(C2151&gt;=36,"Adultos mayores 36 años en adelante"))</f>
        <v>Adultos mayores 36 años en adelante</v>
      </c>
      <c r="E2151" s="3" t="s">
        <v>5023</v>
      </c>
      <c r="F2151" s="3" t="s">
        <v>5026</v>
      </c>
      <c r="G2151" s="3" t="s">
        <v>5036</v>
      </c>
      <c r="H2151" s="3" t="s">
        <v>9373</v>
      </c>
      <c r="I2151" s="17">
        <v>45533</v>
      </c>
      <c r="J2151" s="18">
        <f>YEAR(Tabla1[[#This Row],[FECHA DE COMPRA]])</f>
        <v>2024</v>
      </c>
      <c r="K2151" s="19">
        <v>182.44</v>
      </c>
      <c r="L2151" s="20">
        <v>0.2</v>
      </c>
      <c r="M2151" s="19">
        <f>Tienda!$K471-Tienda!$K471*Tienda!$L471</f>
        <v>126.91</v>
      </c>
      <c r="N2151" s="3" t="s">
        <v>10039</v>
      </c>
      <c r="O2151" s="3" t="s">
        <v>10041</v>
      </c>
      <c r="P2151" s="17">
        <v>45533</v>
      </c>
      <c r="Q2151" s="4">
        <v>0</v>
      </c>
    </row>
    <row r="2152" spans="1:17" ht="30" x14ac:dyDescent="0.25">
      <c r="A2152" s="2" t="s">
        <v>361</v>
      </c>
      <c r="B2152" s="3" t="s">
        <v>5015</v>
      </c>
      <c r="C2152" s="3">
        <v>49</v>
      </c>
      <c r="D2152" s="46" t="str">
        <f>IF(Tabla1[[#This Row],[EDAD]]&lt;=35,"Adultos jóvenes 18 - 35 años",IF(C2152&gt;=36,"Adultos mayores 36 años en adelante"))</f>
        <v>Adultos mayores 36 años en adelante</v>
      </c>
      <c r="E2152" s="3" t="s">
        <v>5018</v>
      </c>
      <c r="F2152" s="3" t="s">
        <v>5030</v>
      </c>
      <c r="G2152" s="3" t="s">
        <v>5034</v>
      </c>
      <c r="H2152" s="3" t="s">
        <v>5384</v>
      </c>
      <c r="I2152" s="17">
        <v>45535</v>
      </c>
      <c r="J2152" s="18">
        <f>YEAR(Tabla1[[#This Row],[FECHA DE COMPRA]])</f>
        <v>2024</v>
      </c>
      <c r="K2152" s="19">
        <v>35.42</v>
      </c>
      <c r="L2152" s="20">
        <v>0.2</v>
      </c>
      <c r="M2152" s="19">
        <f>Tienda!$K474-Tienda!$K474*Tienda!$L474</f>
        <v>140.09399999999999</v>
      </c>
      <c r="N2152" s="3" t="s">
        <v>10039</v>
      </c>
      <c r="O2152" s="3" t="s">
        <v>10041</v>
      </c>
      <c r="P2152" s="17">
        <v>45535</v>
      </c>
      <c r="Q2152" s="4">
        <v>0</v>
      </c>
    </row>
    <row r="2153" spans="1:17" ht="30" x14ac:dyDescent="0.25">
      <c r="A2153" s="2" t="s">
        <v>4063</v>
      </c>
      <c r="B2153" s="3" t="s">
        <v>5015</v>
      </c>
      <c r="C2153" s="3">
        <v>63</v>
      </c>
      <c r="D2153" s="46" t="str">
        <f>IF(Tabla1[[#This Row],[EDAD]]&lt;=35,"Adultos jóvenes 18 - 35 años",IF(C2153&gt;=36,"Adultos mayores 36 años en adelante"))</f>
        <v>Adultos mayores 36 años en adelante</v>
      </c>
      <c r="E2153" s="3" t="s">
        <v>5018</v>
      </c>
      <c r="F2153" s="3" t="s">
        <v>5025</v>
      </c>
      <c r="G2153" s="3" t="s">
        <v>5037</v>
      </c>
      <c r="H2153" s="3" t="s">
        <v>9086</v>
      </c>
      <c r="I2153" s="17">
        <v>45536</v>
      </c>
      <c r="J2153" s="18">
        <f>YEAR(Tabla1[[#This Row],[FECHA DE COMPRA]])</f>
        <v>2024</v>
      </c>
      <c r="K2153" s="19">
        <v>31.37</v>
      </c>
      <c r="L2153" s="20">
        <v>0</v>
      </c>
      <c r="M2153" s="19">
        <f>Tienda!$K476-Tienda!$K476*Tienda!$L476</f>
        <v>154.57499999999999</v>
      </c>
      <c r="N2153" s="3" t="s">
        <v>10039</v>
      </c>
      <c r="O2153" s="3" t="s">
        <v>10041</v>
      </c>
      <c r="P2153" s="17">
        <v>45536</v>
      </c>
      <c r="Q2153" s="4">
        <v>0</v>
      </c>
    </row>
    <row r="2154" spans="1:17" ht="30" x14ac:dyDescent="0.25">
      <c r="A2154" s="2" t="s">
        <v>4864</v>
      </c>
      <c r="B2154" s="3" t="s">
        <v>5015</v>
      </c>
      <c r="C2154" s="3">
        <v>42</v>
      </c>
      <c r="D2154" s="46" t="str">
        <f>IF(Tabla1[[#This Row],[EDAD]]&lt;=35,"Adultos jóvenes 18 - 35 años",IF(C2154&gt;=36,"Adultos mayores 36 años en adelante"))</f>
        <v>Adultos mayores 36 años en adelante</v>
      </c>
      <c r="E2154" s="3" t="s">
        <v>5020</v>
      </c>
      <c r="F2154" s="3" t="s">
        <v>5028</v>
      </c>
      <c r="G2154" s="3" t="s">
        <v>5034</v>
      </c>
      <c r="H2154" s="3" t="s">
        <v>9887</v>
      </c>
      <c r="I2154" s="17">
        <v>45536</v>
      </c>
      <c r="J2154" s="18">
        <f>YEAR(Tabla1[[#This Row],[FECHA DE COMPRA]])</f>
        <v>2024</v>
      </c>
      <c r="K2154" s="19">
        <v>154.96</v>
      </c>
      <c r="L2154" s="20">
        <v>0.1</v>
      </c>
      <c r="M2154" s="19">
        <f>Tienda!$K478-Tienda!$K478*Tienda!$L478</f>
        <v>171.315</v>
      </c>
      <c r="N2154" s="3" t="s">
        <v>10039</v>
      </c>
      <c r="O2154" s="3" t="s">
        <v>10041</v>
      </c>
      <c r="P2154" s="17">
        <v>45536</v>
      </c>
      <c r="Q2154" s="4">
        <v>0</v>
      </c>
    </row>
    <row r="2155" spans="1:17" ht="30" x14ac:dyDescent="0.25">
      <c r="A2155" s="2" t="s">
        <v>1788</v>
      </c>
      <c r="B2155" s="3" t="s">
        <v>5015</v>
      </c>
      <c r="C2155" s="3">
        <v>42</v>
      </c>
      <c r="D2155" s="46" t="str">
        <f>IF(Tabla1[[#This Row],[EDAD]]&lt;=35,"Adultos jóvenes 18 - 35 años",IF(C2155&gt;=36,"Adultos mayores 36 años en adelante"))</f>
        <v>Adultos mayores 36 años en adelante</v>
      </c>
      <c r="E2155" s="3" t="s">
        <v>5019</v>
      </c>
      <c r="F2155" s="3" t="s">
        <v>5024</v>
      </c>
      <c r="G2155" s="3" t="s">
        <v>5035</v>
      </c>
      <c r="H2155" s="3" t="s">
        <v>6811</v>
      </c>
      <c r="I2155" s="17">
        <v>45537</v>
      </c>
      <c r="J2155" s="18">
        <f>YEAR(Tabla1[[#This Row],[FECHA DE COMPRA]])</f>
        <v>2024</v>
      </c>
      <c r="K2155" s="19">
        <v>59.82</v>
      </c>
      <c r="L2155" s="20">
        <v>0.2</v>
      </c>
      <c r="M2155" s="19">
        <f>Tienda!$K480-Tienda!$K480*Tienda!$L480</f>
        <v>8.0400000000000009</v>
      </c>
      <c r="N2155" s="3" t="s">
        <v>10039</v>
      </c>
      <c r="O2155" s="3" t="s">
        <v>10041</v>
      </c>
      <c r="P2155" s="17">
        <v>45537</v>
      </c>
      <c r="Q2155" s="4">
        <v>0</v>
      </c>
    </row>
    <row r="2156" spans="1:17" ht="30" x14ac:dyDescent="0.25">
      <c r="A2156" s="2" t="s">
        <v>3151</v>
      </c>
      <c r="B2156" s="3" t="s">
        <v>5015</v>
      </c>
      <c r="C2156" s="3">
        <v>51</v>
      </c>
      <c r="D2156" s="46" t="str">
        <f>IF(Tabla1[[#This Row],[EDAD]]&lt;=35,"Adultos jóvenes 18 - 35 años",IF(C2156&gt;=36,"Adultos mayores 36 años en adelante"))</f>
        <v>Adultos mayores 36 años en adelante</v>
      </c>
      <c r="E2156" s="3" t="s">
        <v>5017</v>
      </c>
      <c r="F2156" s="3" t="s">
        <v>5029</v>
      </c>
      <c r="G2156" s="3" t="s">
        <v>5033</v>
      </c>
      <c r="H2156" s="3" t="s">
        <v>8174</v>
      </c>
      <c r="I2156" s="17">
        <v>45537</v>
      </c>
      <c r="J2156" s="18">
        <f>YEAR(Tabla1[[#This Row],[FECHA DE COMPRA]])</f>
        <v>2024</v>
      </c>
      <c r="K2156" s="19">
        <v>129.74</v>
      </c>
      <c r="L2156" s="20">
        <v>0.3</v>
      </c>
      <c r="M2156" s="19">
        <f>Tienda!$K483-Tienda!$K483*Tienda!$L483</f>
        <v>10.559999999999999</v>
      </c>
      <c r="N2156" s="3" t="s">
        <v>10039</v>
      </c>
      <c r="O2156" s="3" t="s">
        <v>10041</v>
      </c>
      <c r="P2156" s="17">
        <v>45537</v>
      </c>
      <c r="Q2156" s="4">
        <v>0</v>
      </c>
    </row>
    <row r="2157" spans="1:17" ht="30" x14ac:dyDescent="0.25">
      <c r="A2157" s="2" t="s">
        <v>3917</v>
      </c>
      <c r="B2157" s="3" t="s">
        <v>5015</v>
      </c>
      <c r="C2157" s="3">
        <v>57</v>
      </c>
      <c r="D2157" s="46" t="str">
        <f>IF(Tabla1[[#This Row],[EDAD]]&lt;=35,"Adultos jóvenes 18 - 35 años",IF(C2157&gt;=36,"Adultos mayores 36 años en adelante"))</f>
        <v>Adultos mayores 36 años en adelante</v>
      </c>
      <c r="E2157" s="3" t="s">
        <v>5020</v>
      </c>
      <c r="F2157" s="3" t="s">
        <v>5026</v>
      </c>
      <c r="G2157" s="3" t="s">
        <v>5033</v>
      </c>
      <c r="H2157" s="3" t="s">
        <v>8940</v>
      </c>
      <c r="I2157" s="17">
        <v>45537</v>
      </c>
      <c r="J2157" s="18">
        <f>YEAR(Tabla1[[#This Row],[FECHA DE COMPRA]])</f>
        <v>2024</v>
      </c>
      <c r="K2157" s="19">
        <v>167.57</v>
      </c>
      <c r="L2157" s="20">
        <v>0.3</v>
      </c>
      <c r="M2157" s="19">
        <f>Tienda!$K485-Tienda!$K485*Tienda!$L485</f>
        <v>12.984999999999999</v>
      </c>
      <c r="N2157" s="3" t="s">
        <v>10039</v>
      </c>
      <c r="O2157" s="3" t="s">
        <v>10041</v>
      </c>
      <c r="P2157" s="17">
        <v>45537</v>
      </c>
      <c r="Q2157" s="4">
        <v>0</v>
      </c>
    </row>
    <row r="2158" spans="1:17" ht="30" x14ac:dyDescent="0.25">
      <c r="A2158" s="2" t="s">
        <v>1407</v>
      </c>
      <c r="B2158" s="3" t="s">
        <v>5015</v>
      </c>
      <c r="C2158" s="3">
        <v>52</v>
      </c>
      <c r="D2158" s="46" t="str">
        <f>IF(Tabla1[[#This Row],[EDAD]]&lt;=35,"Adultos jóvenes 18 - 35 años",IF(C2158&gt;=36,"Adultos mayores 36 años en adelante"))</f>
        <v>Adultos mayores 36 años en adelante</v>
      </c>
      <c r="E2158" s="3" t="s">
        <v>5017</v>
      </c>
      <c r="F2158" s="3" t="s">
        <v>5026</v>
      </c>
      <c r="G2158" s="3" t="s">
        <v>5035</v>
      </c>
      <c r="H2158" s="3" t="s">
        <v>6430</v>
      </c>
      <c r="I2158" s="17">
        <v>45538</v>
      </c>
      <c r="J2158" s="18">
        <f>YEAR(Tabla1[[#This Row],[FECHA DE COMPRA]])</f>
        <v>2024</v>
      </c>
      <c r="K2158" s="19">
        <v>77.44</v>
      </c>
      <c r="L2158" s="20">
        <v>0</v>
      </c>
      <c r="M2158" s="19">
        <f>Tienda!$K486-Tienda!$K486*Tienda!$L486</f>
        <v>13.496</v>
      </c>
      <c r="N2158" s="3" t="s">
        <v>10039</v>
      </c>
      <c r="O2158" s="3" t="s">
        <v>10041</v>
      </c>
      <c r="P2158" s="17">
        <v>45538</v>
      </c>
      <c r="Q2158" s="4">
        <v>0</v>
      </c>
    </row>
    <row r="2159" spans="1:17" ht="30" x14ac:dyDescent="0.25">
      <c r="A2159" s="2" t="s">
        <v>3842</v>
      </c>
      <c r="B2159" s="3" t="s">
        <v>5016</v>
      </c>
      <c r="C2159" s="3">
        <v>43</v>
      </c>
      <c r="D2159" s="46" t="str">
        <f>IF(Tabla1[[#This Row],[EDAD]]&lt;=35,"Adultos jóvenes 18 - 35 años",IF(C2159&gt;=36,"Adultos mayores 36 años en adelante"))</f>
        <v>Adultos mayores 36 años en adelante</v>
      </c>
      <c r="E2159" s="3" t="s">
        <v>5019</v>
      </c>
      <c r="F2159" s="3" t="s">
        <v>5027</v>
      </c>
      <c r="G2159" s="3" t="s">
        <v>5033</v>
      </c>
      <c r="H2159" s="3" t="s">
        <v>8865</v>
      </c>
      <c r="I2159" s="17">
        <v>45538</v>
      </c>
      <c r="J2159" s="18">
        <f>YEAR(Tabla1[[#This Row],[FECHA DE COMPRA]])</f>
        <v>2024</v>
      </c>
      <c r="K2159" s="19">
        <v>97.89</v>
      </c>
      <c r="L2159" s="20">
        <v>0.3</v>
      </c>
      <c r="M2159" s="19">
        <f>Tienda!$K487-Tienda!$K487*Tienda!$L487</f>
        <v>13.93</v>
      </c>
      <c r="N2159" s="3" t="s">
        <v>10039</v>
      </c>
      <c r="O2159" s="3" t="s">
        <v>10041</v>
      </c>
      <c r="P2159" s="17">
        <v>45538</v>
      </c>
      <c r="Q2159" s="4">
        <v>0</v>
      </c>
    </row>
    <row r="2160" spans="1:17" ht="30" x14ac:dyDescent="0.25">
      <c r="A2160" s="2" t="s">
        <v>3478</v>
      </c>
      <c r="B2160" s="3" t="s">
        <v>5015</v>
      </c>
      <c r="C2160" s="3">
        <v>49</v>
      </c>
      <c r="D2160" s="46" t="str">
        <f>IF(Tabla1[[#This Row],[EDAD]]&lt;=35,"Adultos jóvenes 18 - 35 años",IF(C2160&gt;=36,"Adultos mayores 36 años en adelante"))</f>
        <v>Adultos mayores 36 años en adelante</v>
      </c>
      <c r="E2160" s="3" t="s">
        <v>5018</v>
      </c>
      <c r="F2160" s="3" t="s">
        <v>5027</v>
      </c>
      <c r="G2160" s="3" t="s">
        <v>5034</v>
      </c>
      <c r="H2160" s="3" t="s">
        <v>8501</v>
      </c>
      <c r="I2160" s="17">
        <v>45539</v>
      </c>
      <c r="J2160" s="18">
        <f>YEAR(Tabla1[[#This Row],[FECHA DE COMPRA]])</f>
        <v>2024</v>
      </c>
      <c r="K2160" s="19">
        <v>67.62</v>
      </c>
      <c r="L2160" s="20">
        <v>0</v>
      </c>
      <c r="M2160" s="19">
        <f>Tienda!$K488-Tienda!$K488*Tienda!$L488</f>
        <v>14.36</v>
      </c>
      <c r="N2160" s="3" t="s">
        <v>10039</v>
      </c>
      <c r="O2160" s="3" t="s">
        <v>10041</v>
      </c>
      <c r="P2160" s="17">
        <v>45539</v>
      </c>
      <c r="Q2160" s="4">
        <v>0</v>
      </c>
    </row>
    <row r="2161" spans="1:17" ht="30" x14ac:dyDescent="0.25">
      <c r="A2161" s="2" t="s">
        <v>3561</v>
      </c>
      <c r="B2161" s="3" t="s">
        <v>5015</v>
      </c>
      <c r="C2161" s="3">
        <v>58</v>
      </c>
      <c r="D2161" s="46" t="str">
        <f>IF(Tabla1[[#This Row],[EDAD]]&lt;=35,"Adultos jóvenes 18 - 35 años",IF(C2161&gt;=36,"Adultos mayores 36 años en adelante"))</f>
        <v>Adultos mayores 36 años en adelante</v>
      </c>
      <c r="E2161" s="3" t="s">
        <v>5018</v>
      </c>
      <c r="F2161" s="3" t="s">
        <v>5026</v>
      </c>
      <c r="G2161" s="3" t="s">
        <v>5037</v>
      </c>
      <c r="H2161" s="3" t="s">
        <v>8584</v>
      </c>
      <c r="I2161" s="17">
        <v>45539</v>
      </c>
      <c r="J2161" s="18">
        <f>YEAR(Tabla1[[#This Row],[FECHA DE COMPRA]])</f>
        <v>2024</v>
      </c>
      <c r="K2161" s="19">
        <v>149.44</v>
      </c>
      <c r="L2161" s="20">
        <v>0.2</v>
      </c>
      <c r="M2161" s="19">
        <f>Tienda!$K490-Tienda!$K490*Tienda!$L490</f>
        <v>15.120000000000001</v>
      </c>
      <c r="N2161" s="3" t="s">
        <v>10039</v>
      </c>
      <c r="O2161" s="3" t="s">
        <v>10041</v>
      </c>
      <c r="P2161" s="17">
        <v>45539</v>
      </c>
      <c r="Q2161" s="4">
        <v>0</v>
      </c>
    </row>
    <row r="2162" spans="1:17" ht="30" x14ac:dyDescent="0.25">
      <c r="A2162" s="2" t="s">
        <v>4301</v>
      </c>
      <c r="B2162" s="3" t="s">
        <v>5015</v>
      </c>
      <c r="C2162" s="3">
        <v>51</v>
      </c>
      <c r="D2162" s="46" t="str">
        <f>IF(Tabla1[[#This Row],[EDAD]]&lt;=35,"Adultos jóvenes 18 - 35 años",IF(C2162&gt;=36,"Adultos mayores 36 años en adelante"))</f>
        <v>Adultos mayores 36 años en adelante</v>
      </c>
      <c r="E2162" s="3" t="s">
        <v>5017</v>
      </c>
      <c r="F2162" s="3" t="s">
        <v>5030</v>
      </c>
      <c r="G2162" s="3" t="s">
        <v>5035</v>
      </c>
      <c r="H2162" s="3" t="s">
        <v>9324</v>
      </c>
      <c r="I2162" s="17">
        <v>45540</v>
      </c>
      <c r="J2162" s="18">
        <f>YEAR(Tabla1[[#This Row],[FECHA DE COMPRA]])</f>
        <v>2024</v>
      </c>
      <c r="K2162" s="19">
        <v>12.82</v>
      </c>
      <c r="L2162" s="20">
        <v>0</v>
      </c>
      <c r="M2162" s="19">
        <f>Tienda!$K491-Tienda!$K491*Tienda!$L491</f>
        <v>17.423999999999999</v>
      </c>
      <c r="N2162" s="3" t="s">
        <v>10039</v>
      </c>
      <c r="O2162" s="3" t="s">
        <v>10041</v>
      </c>
      <c r="P2162" s="17">
        <v>45540</v>
      </c>
      <c r="Q2162" s="4">
        <v>0</v>
      </c>
    </row>
    <row r="2163" spans="1:17" ht="30" x14ac:dyDescent="0.25">
      <c r="A2163" s="2" t="s">
        <v>250</v>
      </c>
      <c r="B2163" s="3" t="s">
        <v>5016</v>
      </c>
      <c r="C2163" s="3">
        <v>63</v>
      </c>
      <c r="D2163" s="46" t="str">
        <f>IF(Tabla1[[#This Row],[EDAD]]&lt;=35,"Adultos jóvenes 18 - 35 años",IF(C2163&gt;=36,"Adultos mayores 36 años en adelante"))</f>
        <v>Adultos mayores 36 años en adelante</v>
      </c>
      <c r="E2163" s="3" t="s">
        <v>5023</v>
      </c>
      <c r="F2163" s="3" t="s">
        <v>5027</v>
      </c>
      <c r="G2163" s="3" t="s">
        <v>5031</v>
      </c>
      <c r="H2163" s="3" t="s">
        <v>5273</v>
      </c>
      <c r="I2163" s="17">
        <v>45540</v>
      </c>
      <c r="J2163" s="18">
        <f>YEAR(Tabla1[[#This Row],[FECHA DE COMPRA]])</f>
        <v>2024</v>
      </c>
      <c r="K2163" s="19">
        <v>101.87</v>
      </c>
      <c r="L2163" s="20">
        <v>0.3</v>
      </c>
      <c r="M2163" s="19">
        <f>Tienda!$K492-Tienda!$K492*Tienda!$L492</f>
        <v>17.440000000000001</v>
      </c>
      <c r="N2163" s="3" t="s">
        <v>10039</v>
      </c>
      <c r="O2163" s="3" t="s">
        <v>10041</v>
      </c>
      <c r="P2163" s="17">
        <v>45540</v>
      </c>
      <c r="Q2163" s="4">
        <v>0</v>
      </c>
    </row>
    <row r="2164" spans="1:17" ht="30" x14ac:dyDescent="0.25">
      <c r="A2164" s="2" t="s">
        <v>2851</v>
      </c>
      <c r="B2164" s="3" t="s">
        <v>5015</v>
      </c>
      <c r="C2164" s="3">
        <v>43</v>
      </c>
      <c r="D2164" s="46" t="str">
        <f>IF(Tabla1[[#This Row],[EDAD]]&lt;=35,"Adultos jóvenes 18 - 35 años",IF(C2164&gt;=36,"Adultos mayores 36 años en adelante"))</f>
        <v>Adultos mayores 36 años en adelante</v>
      </c>
      <c r="E2164" s="3" t="s">
        <v>5020</v>
      </c>
      <c r="F2164" s="3" t="s">
        <v>5027</v>
      </c>
      <c r="G2164" s="3" t="s">
        <v>5033</v>
      </c>
      <c r="H2164" s="3" t="s">
        <v>7874</v>
      </c>
      <c r="I2164" s="17">
        <v>45540</v>
      </c>
      <c r="J2164" s="18">
        <f>YEAR(Tabla1[[#This Row],[FECHA DE COMPRA]])</f>
        <v>2024</v>
      </c>
      <c r="K2164" s="19">
        <v>130.55000000000001</v>
      </c>
      <c r="L2164" s="20">
        <v>0.2</v>
      </c>
      <c r="M2164" s="19">
        <f>Tienda!$K493-Tienda!$K493*Tienda!$L493</f>
        <v>17.919999999999998</v>
      </c>
      <c r="N2164" s="3" t="s">
        <v>10039</v>
      </c>
      <c r="O2164" s="3" t="s">
        <v>10041</v>
      </c>
      <c r="P2164" s="17">
        <v>45540</v>
      </c>
      <c r="Q2164" s="4">
        <v>0</v>
      </c>
    </row>
    <row r="2165" spans="1:17" ht="30" x14ac:dyDescent="0.25">
      <c r="A2165" s="2" t="s">
        <v>4496</v>
      </c>
      <c r="B2165" s="3" t="s">
        <v>5015</v>
      </c>
      <c r="C2165" s="3">
        <v>36</v>
      </c>
      <c r="D2165" s="46" t="str">
        <f>IF(Tabla1[[#This Row],[EDAD]]&lt;=35,"Adultos jóvenes 18 - 35 años",IF(C2165&gt;=36,"Adultos mayores 36 años en adelante"))</f>
        <v>Adultos mayores 36 años en adelante</v>
      </c>
      <c r="E2165" s="3" t="s">
        <v>5020</v>
      </c>
      <c r="F2165" s="3" t="s">
        <v>5026</v>
      </c>
      <c r="G2165" s="3" t="s">
        <v>5031</v>
      </c>
      <c r="H2165" s="3" t="s">
        <v>9519</v>
      </c>
      <c r="I2165" s="17">
        <v>45541</v>
      </c>
      <c r="J2165" s="18">
        <f>YEAR(Tabla1[[#This Row],[FECHA DE COMPRA]])</f>
        <v>2024</v>
      </c>
      <c r="K2165" s="19">
        <v>130.07</v>
      </c>
      <c r="L2165" s="20">
        <v>0.2</v>
      </c>
      <c r="M2165" s="19">
        <f>Tienda!$K495-Tienda!$K495*Tienda!$L495</f>
        <v>20.178000000000001</v>
      </c>
      <c r="N2165" s="3" t="s">
        <v>10039</v>
      </c>
      <c r="O2165" s="3" t="s">
        <v>10041</v>
      </c>
      <c r="P2165" s="17">
        <v>45541</v>
      </c>
      <c r="Q2165" s="4">
        <v>0</v>
      </c>
    </row>
    <row r="2166" spans="1:17" ht="30" x14ac:dyDescent="0.25">
      <c r="A2166" s="2" t="s">
        <v>4855</v>
      </c>
      <c r="B2166" s="3" t="s">
        <v>5016</v>
      </c>
      <c r="C2166" s="3">
        <v>37</v>
      </c>
      <c r="D2166" s="46" t="str">
        <f>IF(Tabla1[[#This Row],[EDAD]]&lt;=35,"Adultos jóvenes 18 - 35 años",IF(C2166&gt;=36,"Adultos mayores 36 años en adelante"))</f>
        <v>Adultos mayores 36 años en adelante</v>
      </c>
      <c r="E2166" s="3" t="s">
        <v>5021</v>
      </c>
      <c r="F2166" s="3" t="s">
        <v>5027</v>
      </c>
      <c r="G2166" s="3" t="s">
        <v>5032</v>
      </c>
      <c r="H2166" s="3" t="s">
        <v>9878</v>
      </c>
      <c r="I2166" s="17">
        <v>45542</v>
      </c>
      <c r="J2166" s="18">
        <f>YEAR(Tabla1[[#This Row],[FECHA DE COMPRA]])</f>
        <v>2024</v>
      </c>
      <c r="K2166" s="19">
        <v>154.87</v>
      </c>
      <c r="L2166" s="20">
        <v>0.3</v>
      </c>
      <c r="M2166" s="19">
        <f>Tienda!$K497-Tienda!$K497*Tienda!$L497</f>
        <v>21.112000000000002</v>
      </c>
      <c r="N2166" s="3" t="s">
        <v>10039</v>
      </c>
      <c r="O2166" s="3" t="s">
        <v>10041</v>
      </c>
      <c r="P2166" s="17">
        <v>45542</v>
      </c>
      <c r="Q2166" s="4">
        <v>0</v>
      </c>
    </row>
    <row r="2167" spans="1:17" ht="30" x14ac:dyDescent="0.25">
      <c r="A2167" s="2" t="s">
        <v>1563</v>
      </c>
      <c r="B2167" s="3" t="s">
        <v>5015</v>
      </c>
      <c r="C2167" s="3">
        <v>55</v>
      </c>
      <c r="D2167" s="46" t="str">
        <f>IF(Tabla1[[#This Row],[EDAD]]&lt;=35,"Adultos jóvenes 18 - 35 años",IF(C2167&gt;=36,"Adultos mayores 36 años en adelante"))</f>
        <v>Adultos mayores 36 años en adelante</v>
      </c>
      <c r="E2167" s="3" t="s">
        <v>5023</v>
      </c>
      <c r="F2167" s="3" t="s">
        <v>5026</v>
      </c>
      <c r="G2167" s="3" t="s">
        <v>5035</v>
      </c>
      <c r="H2167" s="3" t="s">
        <v>6586</v>
      </c>
      <c r="I2167" s="17">
        <v>45542</v>
      </c>
      <c r="J2167" s="18">
        <f>YEAR(Tabla1[[#This Row],[FECHA DE COMPRA]])</f>
        <v>2024</v>
      </c>
      <c r="K2167" s="19">
        <v>188.67</v>
      </c>
      <c r="L2167" s="20">
        <v>0.3</v>
      </c>
      <c r="M2167" s="19">
        <f>Tienda!$K498-Tienda!$K498*Tienda!$L498</f>
        <v>22.11</v>
      </c>
      <c r="N2167" s="3" t="s">
        <v>10039</v>
      </c>
      <c r="O2167" s="3" t="s">
        <v>10041</v>
      </c>
      <c r="P2167" s="17">
        <v>45542</v>
      </c>
      <c r="Q2167" s="4">
        <v>0</v>
      </c>
    </row>
    <row r="2168" spans="1:17" ht="30" x14ac:dyDescent="0.25">
      <c r="A2168" s="2" t="s">
        <v>133</v>
      </c>
      <c r="B2168" s="3" t="s">
        <v>5015</v>
      </c>
      <c r="C2168" s="3">
        <v>57</v>
      </c>
      <c r="D2168" s="46" t="str">
        <f>IF(Tabla1[[#This Row],[EDAD]]&lt;=35,"Adultos jóvenes 18 - 35 años",IF(C2168&gt;=36,"Adultos mayores 36 años en adelante"))</f>
        <v>Adultos mayores 36 años en adelante</v>
      </c>
      <c r="E2168" s="3" t="s">
        <v>5018</v>
      </c>
      <c r="F2168" s="3" t="s">
        <v>5029</v>
      </c>
      <c r="G2168" s="3" t="s">
        <v>5033</v>
      </c>
      <c r="H2168" s="3" t="s">
        <v>5156</v>
      </c>
      <c r="I2168" s="17">
        <v>45543</v>
      </c>
      <c r="J2168" s="18">
        <f>YEAR(Tabla1[[#This Row],[FECHA DE COMPRA]])</f>
        <v>2024</v>
      </c>
      <c r="K2168" s="19">
        <v>144.66999999999999</v>
      </c>
      <c r="L2168" s="20">
        <v>0</v>
      </c>
      <c r="M2168" s="19">
        <f>Tienda!$K499-Tienda!$K499*Tienda!$L499</f>
        <v>26.607999999999997</v>
      </c>
      <c r="N2168" s="3" t="s">
        <v>10039</v>
      </c>
      <c r="O2168" s="3" t="s">
        <v>10041</v>
      </c>
      <c r="P2168" s="17">
        <v>45543</v>
      </c>
      <c r="Q2168" s="4">
        <v>0</v>
      </c>
    </row>
    <row r="2169" spans="1:17" ht="30" x14ac:dyDescent="0.25">
      <c r="A2169" s="2" t="s">
        <v>1779</v>
      </c>
      <c r="B2169" s="3" t="s">
        <v>5015</v>
      </c>
      <c r="C2169" s="3">
        <v>65</v>
      </c>
      <c r="D2169" s="46" t="str">
        <f>IF(Tabla1[[#This Row],[EDAD]]&lt;=35,"Adultos jóvenes 18 - 35 años",IF(C2169&gt;=36,"Adultos mayores 36 años en adelante"))</f>
        <v>Adultos mayores 36 años en adelante</v>
      </c>
      <c r="E2169" s="3" t="s">
        <v>5022</v>
      </c>
      <c r="F2169" s="3" t="s">
        <v>5025</v>
      </c>
      <c r="G2169" s="3" t="s">
        <v>5032</v>
      </c>
      <c r="H2169" s="3" t="s">
        <v>6802</v>
      </c>
      <c r="I2169" s="17">
        <v>45543</v>
      </c>
      <c r="J2169" s="18">
        <f>YEAR(Tabla1[[#This Row],[FECHA DE COMPRA]])</f>
        <v>2024</v>
      </c>
      <c r="K2169" s="19">
        <v>161.72999999999999</v>
      </c>
      <c r="L2169" s="20">
        <v>0.2</v>
      </c>
      <c r="M2169" s="19">
        <f>Tienda!$K501-Tienda!$K501*Tienda!$L501</f>
        <v>27.285999999999998</v>
      </c>
      <c r="N2169" s="3" t="s">
        <v>10039</v>
      </c>
      <c r="O2169" s="3" t="s">
        <v>10041</v>
      </c>
      <c r="P2169" s="17">
        <v>45543</v>
      </c>
      <c r="Q2169" s="4">
        <v>0</v>
      </c>
    </row>
    <row r="2170" spans="1:17" ht="30" x14ac:dyDescent="0.25">
      <c r="A2170" s="2" t="s">
        <v>1774</v>
      </c>
      <c r="B2170" s="3" t="s">
        <v>5015</v>
      </c>
      <c r="C2170" s="3">
        <v>44</v>
      </c>
      <c r="D2170" s="46" t="str">
        <f>IF(Tabla1[[#This Row],[EDAD]]&lt;=35,"Adultos jóvenes 18 - 35 años",IF(C2170&gt;=36,"Adultos mayores 36 años en adelante"))</f>
        <v>Adultos mayores 36 años en adelante</v>
      </c>
      <c r="E2170" s="3" t="s">
        <v>5022</v>
      </c>
      <c r="F2170" s="3" t="s">
        <v>5028</v>
      </c>
      <c r="G2170" s="3" t="s">
        <v>5037</v>
      </c>
      <c r="H2170" s="3" t="s">
        <v>6797</v>
      </c>
      <c r="I2170" s="17">
        <v>45544</v>
      </c>
      <c r="J2170" s="18">
        <f>YEAR(Tabla1[[#This Row],[FECHA DE COMPRA]])</f>
        <v>2024</v>
      </c>
      <c r="K2170" s="19">
        <v>94.16</v>
      </c>
      <c r="L2170" s="20">
        <v>0.3</v>
      </c>
      <c r="M2170" s="19">
        <f>Tienda!$K503-Tienda!$K503*Tienda!$L503</f>
        <v>27.42</v>
      </c>
      <c r="N2170" s="3" t="s">
        <v>10039</v>
      </c>
      <c r="O2170" s="3" t="s">
        <v>10041</v>
      </c>
      <c r="P2170" s="17">
        <v>45544</v>
      </c>
      <c r="Q2170" s="4">
        <v>0</v>
      </c>
    </row>
    <row r="2171" spans="1:17" ht="30" x14ac:dyDescent="0.25">
      <c r="A2171" s="2" t="s">
        <v>4889</v>
      </c>
      <c r="B2171" s="3" t="s">
        <v>5015</v>
      </c>
      <c r="C2171" s="3">
        <v>45</v>
      </c>
      <c r="D2171" s="46" t="str">
        <f>IF(Tabla1[[#This Row],[EDAD]]&lt;=35,"Adultos jóvenes 18 - 35 años",IF(C2171&gt;=36,"Adultos mayores 36 años en adelante"))</f>
        <v>Adultos mayores 36 años en adelante</v>
      </c>
      <c r="E2171" s="3" t="s">
        <v>5020</v>
      </c>
      <c r="F2171" s="3" t="s">
        <v>5026</v>
      </c>
      <c r="G2171" s="3" t="s">
        <v>5034</v>
      </c>
      <c r="H2171" s="3" t="s">
        <v>9912</v>
      </c>
      <c r="I2171" s="17">
        <v>45544</v>
      </c>
      <c r="J2171" s="18">
        <f>YEAR(Tabla1[[#This Row],[FECHA DE COMPRA]])</f>
        <v>2024</v>
      </c>
      <c r="K2171" s="19">
        <v>143.05000000000001</v>
      </c>
      <c r="L2171" s="20">
        <v>0.2</v>
      </c>
      <c r="M2171" s="19">
        <f>Tienda!$K504-Tienda!$K504*Tienda!$L504</f>
        <v>27.957999999999998</v>
      </c>
      <c r="N2171" s="3" t="s">
        <v>10039</v>
      </c>
      <c r="O2171" s="3" t="s">
        <v>10041</v>
      </c>
      <c r="P2171" s="17">
        <v>45544</v>
      </c>
      <c r="Q2171" s="4">
        <v>0</v>
      </c>
    </row>
    <row r="2172" spans="1:17" ht="30" x14ac:dyDescent="0.25">
      <c r="A2172" s="2" t="s">
        <v>2765</v>
      </c>
      <c r="B2172" s="3" t="s">
        <v>5015</v>
      </c>
      <c r="C2172" s="3">
        <v>61</v>
      </c>
      <c r="D2172" s="46" t="str">
        <f>IF(Tabla1[[#This Row],[EDAD]]&lt;=35,"Adultos jóvenes 18 - 35 años",IF(C2172&gt;=36,"Adultos mayores 36 años en adelante"))</f>
        <v>Adultos mayores 36 años en adelante</v>
      </c>
      <c r="E2172" s="3" t="s">
        <v>5021</v>
      </c>
      <c r="F2172" s="3" t="s">
        <v>5024</v>
      </c>
      <c r="G2172" s="3" t="s">
        <v>5036</v>
      </c>
      <c r="H2172" s="3" t="s">
        <v>7788</v>
      </c>
      <c r="I2172" s="17">
        <v>45545</v>
      </c>
      <c r="J2172" s="18">
        <f>YEAR(Tabla1[[#This Row],[FECHA DE COMPRA]])</f>
        <v>2024</v>
      </c>
      <c r="K2172" s="19">
        <v>144.41999999999999</v>
      </c>
      <c r="L2172" s="20">
        <v>0.2</v>
      </c>
      <c r="M2172" s="19">
        <f>Tienda!$K507-Tienda!$K507*Tienda!$L507</f>
        <v>29.331000000000003</v>
      </c>
      <c r="N2172" s="3" t="s">
        <v>10039</v>
      </c>
      <c r="O2172" s="3" t="s">
        <v>10041</v>
      </c>
      <c r="P2172" s="17">
        <v>45545</v>
      </c>
      <c r="Q2172" s="4">
        <v>0</v>
      </c>
    </row>
    <row r="2173" spans="1:17" ht="30" x14ac:dyDescent="0.25">
      <c r="A2173" s="2" t="s">
        <v>4335</v>
      </c>
      <c r="B2173" s="3" t="s">
        <v>5016</v>
      </c>
      <c r="C2173" s="3">
        <v>62</v>
      </c>
      <c r="D2173" s="46" t="str">
        <f>IF(Tabla1[[#This Row],[EDAD]]&lt;=35,"Adultos jóvenes 18 - 35 años",IF(C2173&gt;=36,"Adultos mayores 36 años en adelante"))</f>
        <v>Adultos mayores 36 años en adelante</v>
      </c>
      <c r="E2173" s="3" t="s">
        <v>5019</v>
      </c>
      <c r="F2173" s="3" t="s">
        <v>5029</v>
      </c>
      <c r="G2173" s="3" t="s">
        <v>5035</v>
      </c>
      <c r="H2173" s="3" t="s">
        <v>9358</v>
      </c>
      <c r="I2173" s="17">
        <v>45546</v>
      </c>
      <c r="J2173" s="18">
        <f>YEAR(Tabla1[[#This Row],[FECHA DE COMPRA]])</f>
        <v>2024</v>
      </c>
      <c r="K2173" s="19">
        <v>193.4</v>
      </c>
      <c r="L2173" s="20">
        <v>0.1</v>
      </c>
      <c r="M2173" s="19">
        <f>Tienda!$K510-Tienda!$K510*Tienda!$L510</f>
        <v>32.167999999999999</v>
      </c>
      <c r="N2173" s="3" t="s">
        <v>10039</v>
      </c>
      <c r="O2173" s="3" t="s">
        <v>10041</v>
      </c>
      <c r="P2173" s="17">
        <v>45546</v>
      </c>
      <c r="Q2173" s="4">
        <v>0</v>
      </c>
    </row>
    <row r="2174" spans="1:17" ht="30" x14ac:dyDescent="0.25">
      <c r="A2174" s="2" t="s">
        <v>1615</v>
      </c>
      <c r="B2174" s="3" t="s">
        <v>5015</v>
      </c>
      <c r="C2174" s="3">
        <v>40</v>
      </c>
      <c r="D2174" s="46" t="str">
        <f>IF(Tabla1[[#This Row],[EDAD]]&lt;=35,"Adultos jóvenes 18 - 35 años",IF(C2174&gt;=36,"Adultos mayores 36 años en adelante"))</f>
        <v>Adultos mayores 36 años en adelante</v>
      </c>
      <c r="E2174" s="3" t="s">
        <v>5018</v>
      </c>
      <c r="F2174" s="3" t="s">
        <v>5027</v>
      </c>
      <c r="G2174" s="3" t="s">
        <v>5036</v>
      </c>
      <c r="H2174" s="3" t="s">
        <v>6638</v>
      </c>
      <c r="I2174" s="17">
        <v>45547</v>
      </c>
      <c r="J2174" s="18">
        <f>YEAR(Tabla1[[#This Row],[FECHA DE COMPRA]])</f>
        <v>2024</v>
      </c>
      <c r="K2174" s="19">
        <v>75.930000000000007</v>
      </c>
      <c r="L2174" s="20">
        <v>0</v>
      </c>
      <c r="M2174" s="19">
        <f>Tienda!$K511-Tienda!$K511*Tienda!$L511</f>
        <v>33.384</v>
      </c>
      <c r="N2174" s="3" t="s">
        <v>10039</v>
      </c>
      <c r="O2174" s="3" t="s">
        <v>10041</v>
      </c>
      <c r="P2174" s="17">
        <v>45547</v>
      </c>
      <c r="Q2174" s="4">
        <v>0</v>
      </c>
    </row>
    <row r="2175" spans="1:17" ht="30" x14ac:dyDescent="0.25">
      <c r="A2175" s="2" t="s">
        <v>373</v>
      </c>
      <c r="B2175" s="3" t="s">
        <v>5016</v>
      </c>
      <c r="C2175" s="3">
        <v>44</v>
      </c>
      <c r="D2175" s="46" t="str">
        <f>IF(Tabla1[[#This Row],[EDAD]]&lt;=35,"Adultos jóvenes 18 - 35 años",IF(C2175&gt;=36,"Adultos mayores 36 años en adelante"))</f>
        <v>Adultos mayores 36 años en adelante</v>
      </c>
      <c r="E2175" s="3" t="s">
        <v>5017</v>
      </c>
      <c r="F2175" s="3" t="s">
        <v>5027</v>
      </c>
      <c r="G2175" s="3" t="s">
        <v>5035</v>
      </c>
      <c r="H2175" s="3" t="s">
        <v>5396</v>
      </c>
      <c r="I2175" s="17">
        <v>45547</v>
      </c>
      <c r="J2175" s="18">
        <f>YEAR(Tabla1[[#This Row],[FECHA DE COMPRA]])</f>
        <v>2024</v>
      </c>
      <c r="K2175" s="19">
        <v>81.02</v>
      </c>
      <c r="L2175" s="20">
        <v>0.3</v>
      </c>
      <c r="M2175" s="19">
        <f>Tienda!$K512-Tienda!$K512*Tienda!$L512</f>
        <v>33.516000000000005</v>
      </c>
      <c r="N2175" s="3" t="s">
        <v>10039</v>
      </c>
      <c r="O2175" s="3" t="s">
        <v>10041</v>
      </c>
      <c r="P2175" s="17">
        <v>45547</v>
      </c>
      <c r="Q2175" s="4">
        <v>0</v>
      </c>
    </row>
    <row r="2176" spans="1:17" ht="30" x14ac:dyDescent="0.25">
      <c r="A2176" s="2" t="s">
        <v>1179</v>
      </c>
      <c r="B2176" s="3" t="s">
        <v>5015</v>
      </c>
      <c r="C2176" s="3">
        <v>39</v>
      </c>
      <c r="D2176" s="46" t="str">
        <f>IF(Tabla1[[#This Row],[EDAD]]&lt;=35,"Adultos jóvenes 18 - 35 años",IF(C2176&gt;=36,"Adultos mayores 36 años en adelante"))</f>
        <v>Adultos mayores 36 años en adelante</v>
      </c>
      <c r="E2176" s="3" t="s">
        <v>5019</v>
      </c>
      <c r="F2176" s="3" t="s">
        <v>5025</v>
      </c>
      <c r="G2176" s="3" t="s">
        <v>5033</v>
      </c>
      <c r="H2176" s="3" t="s">
        <v>6202</v>
      </c>
      <c r="I2176" s="17">
        <v>45548</v>
      </c>
      <c r="J2176" s="18">
        <f>YEAR(Tabla1[[#This Row],[FECHA DE COMPRA]])</f>
        <v>2024</v>
      </c>
      <c r="K2176" s="19">
        <v>28.59</v>
      </c>
      <c r="L2176" s="20">
        <v>0.3</v>
      </c>
      <c r="M2176" s="19">
        <f>Tienda!$K515-Tienda!$K515*Tienda!$L515</f>
        <v>34.816000000000003</v>
      </c>
      <c r="N2176" s="3" t="s">
        <v>10039</v>
      </c>
      <c r="O2176" s="3" t="s">
        <v>10041</v>
      </c>
      <c r="P2176" s="17">
        <v>45548</v>
      </c>
      <c r="Q2176" s="4">
        <v>0</v>
      </c>
    </row>
    <row r="2177" spans="1:17" ht="30" x14ac:dyDescent="0.25">
      <c r="A2177" s="2" t="s">
        <v>2558</v>
      </c>
      <c r="B2177" s="3" t="s">
        <v>5016</v>
      </c>
      <c r="C2177" s="3">
        <v>37</v>
      </c>
      <c r="D2177" s="46" t="str">
        <f>IF(Tabla1[[#This Row],[EDAD]]&lt;=35,"Adultos jóvenes 18 - 35 años",IF(C2177&gt;=36,"Adultos mayores 36 años en adelante"))</f>
        <v>Adultos mayores 36 años en adelante</v>
      </c>
      <c r="E2177" s="3" t="s">
        <v>5021</v>
      </c>
      <c r="F2177" s="3" t="s">
        <v>5026</v>
      </c>
      <c r="G2177" s="3" t="s">
        <v>5033</v>
      </c>
      <c r="H2177" s="3" t="s">
        <v>7581</v>
      </c>
      <c r="I2177" s="17">
        <v>45548</v>
      </c>
      <c r="J2177" s="18">
        <f>YEAR(Tabla1[[#This Row],[FECHA DE COMPRA]])</f>
        <v>2024</v>
      </c>
      <c r="K2177" s="19">
        <v>92.19</v>
      </c>
      <c r="L2177" s="20">
        <v>0.3</v>
      </c>
      <c r="M2177" s="19">
        <f>Tienda!$K517-Tienda!$K517*Tienda!$L517</f>
        <v>36.19</v>
      </c>
      <c r="N2177" s="3" t="s">
        <v>10039</v>
      </c>
      <c r="O2177" s="3" t="s">
        <v>10041</v>
      </c>
      <c r="P2177" s="17">
        <v>45548</v>
      </c>
      <c r="Q2177" s="4">
        <v>0</v>
      </c>
    </row>
    <row r="2178" spans="1:17" ht="30" x14ac:dyDescent="0.25">
      <c r="A2178" s="2" t="s">
        <v>342</v>
      </c>
      <c r="B2178" s="3" t="s">
        <v>5015</v>
      </c>
      <c r="C2178" s="3">
        <v>58</v>
      </c>
      <c r="D2178" s="46" t="str">
        <f>IF(Tabla1[[#This Row],[EDAD]]&lt;=35,"Adultos jóvenes 18 - 35 años",IF(C2178&gt;=36,"Adultos mayores 36 años en adelante"))</f>
        <v>Adultos mayores 36 años en adelante</v>
      </c>
      <c r="E2178" s="3" t="s">
        <v>5020</v>
      </c>
      <c r="F2178" s="3" t="s">
        <v>5026</v>
      </c>
      <c r="G2178" s="3" t="s">
        <v>5036</v>
      </c>
      <c r="H2178" s="3" t="s">
        <v>5365</v>
      </c>
      <c r="I2178" s="17">
        <v>45549</v>
      </c>
      <c r="J2178" s="18">
        <f>YEAR(Tabla1[[#This Row],[FECHA DE COMPRA]])</f>
        <v>2024</v>
      </c>
      <c r="K2178" s="19">
        <v>65.66</v>
      </c>
      <c r="L2178" s="20">
        <v>0.1</v>
      </c>
      <c r="M2178" s="19">
        <f>Tienda!$K518-Tienda!$K518*Tienda!$L518</f>
        <v>36.448</v>
      </c>
      <c r="N2178" s="3" t="s">
        <v>10039</v>
      </c>
      <c r="O2178" s="3" t="s">
        <v>10041</v>
      </c>
      <c r="P2178" s="17">
        <v>45549</v>
      </c>
      <c r="Q2178" s="4">
        <v>0</v>
      </c>
    </row>
    <row r="2179" spans="1:17" ht="30" x14ac:dyDescent="0.25">
      <c r="A2179" s="2" t="s">
        <v>3430</v>
      </c>
      <c r="B2179" s="3" t="s">
        <v>5016</v>
      </c>
      <c r="C2179" s="3">
        <v>51</v>
      </c>
      <c r="D2179" s="46" t="str">
        <f>IF(Tabla1[[#This Row],[EDAD]]&lt;=35,"Adultos jóvenes 18 - 35 años",IF(C2179&gt;=36,"Adultos mayores 36 años en adelante"))</f>
        <v>Adultos mayores 36 años en adelante</v>
      </c>
      <c r="E2179" s="3" t="s">
        <v>5017</v>
      </c>
      <c r="F2179" s="3" t="s">
        <v>5029</v>
      </c>
      <c r="G2179" s="3" t="s">
        <v>5035</v>
      </c>
      <c r="H2179" s="3" t="s">
        <v>8453</v>
      </c>
      <c r="I2179" s="17">
        <v>45549</v>
      </c>
      <c r="J2179" s="18">
        <f>YEAR(Tabla1[[#This Row],[FECHA DE COMPRA]])</f>
        <v>2024</v>
      </c>
      <c r="K2179" s="19">
        <v>154.22999999999999</v>
      </c>
      <c r="L2179" s="20">
        <v>0.1</v>
      </c>
      <c r="M2179" s="19">
        <f>Tienda!$K519-Tienda!$K519*Tienda!$L519</f>
        <v>36.520000000000003</v>
      </c>
      <c r="N2179" s="3" t="s">
        <v>10039</v>
      </c>
      <c r="O2179" s="3" t="s">
        <v>10041</v>
      </c>
      <c r="P2179" s="17">
        <v>45549</v>
      </c>
      <c r="Q2179" s="4">
        <v>0</v>
      </c>
    </row>
    <row r="2180" spans="1:17" ht="30" x14ac:dyDescent="0.25">
      <c r="A2180" s="2" t="s">
        <v>2784</v>
      </c>
      <c r="B2180" s="3" t="s">
        <v>5015</v>
      </c>
      <c r="C2180" s="3">
        <v>65</v>
      </c>
      <c r="D2180" s="46" t="str">
        <f>IF(Tabla1[[#This Row],[EDAD]]&lt;=35,"Adultos jóvenes 18 - 35 años",IF(C2180&gt;=36,"Adultos mayores 36 años en adelante"))</f>
        <v>Adultos mayores 36 años en adelante</v>
      </c>
      <c r="E2180" s="3" t="s">
        <v>5022</v>
      </c>
      <c r="F2180" s="3" t="s">
        <v>5025</v>
      </c>
      <c r="G2180" s="3" t="s">
        <v>5034</v>
      </c>
      <c r="H2180" s="3" t="s">
        <v>7807</v>
      </c>
      <c r="I2180" s="17">
        <v>45549</v>
      </c>
      <c r="J2180" s="18">
        <f>YEAR(Tabla1[[#This Row],[FECHA DE COMPRA]])</f>
        <v>2024</v>
      </c>
      <c r="K2180" s="19">
        <v>189.31</v>
      </c>
      <c r="L2180" s="20">
        <v>0.3</v>
      </c>
      <c r="M2180" s="19">
        <f>Tienda!$K521-Tienda!$K521*Tienda!$L521</f>
        <v>37.17</v>
      </c>
      <c r="N2180" s="3" t="s">
        <v>10039</v>
      </c>
      <c r="O2180" s="3" t="s">
        <v>10041</v>
      </c>
      <c r="P2180" s="17">
        <v>45549</v>
      </c>
      <c r="Q2180" s="4">
        <v>0</v>
      </c>
    </row>
    <row r="2181" spans="1:17" ht="30" x14ac:dyDescent="0.25">
      <c r="A2181" s="2" t="s">
        <v>2070</v>
      </c>
      <c r="B2181" s="3" t="s">
        <v>5015</v>
      </c>
      <c r="C2181" s="3">
        <v>58</v>
      </c>
      <c r="D2181" s="46" t="str">
        <f>IF(Tabla1[[#This Row],[EDAD]]&lt;=35,"Adultos jóvenes 18 - 35 años",IF(C2181&gt;=36,"Adultos mayores 36 años en adelante"))</f>
        <v>Adultos mayores 36 años en adelante</v>
      </c>
      <c r="E2181" s="3" t="s">
        <v>5018</v>
      </c>
      <c r="F2181" s="3" t="s">
        <v>5029</v>
      </c>
      <c r="G2181" s="3" t="s">
        <v>5037</v>
      </c>
      <c r="H2181" s="3" t="s">
        <v>7093</v>
      </c>
      <c r="I2181" s="17">
        <v>45550</v>
      </c>
      <c r="J2181" s="18">
        <f>YEAR(Tabla1[[#This Row],[FECHA DE COMPRA]])</f>
        <v>2024</v>
      </c>
      <c r="K2181" s="19">
        <v>117.29</v>
      </c>
      <c r="L2181" s="20">
        <v>0</v>
      </c>
      <c r="M2181" s="19">
        <f>Tienda!$K522-Tienda!$K522*Tienda!$L522</f>
        <v>38.514000000000003</v>
      </c>
      <c r="N2181" s="3" t="s">
        <v>10039</v>
      </c>
      <c r="O2181" s="3" t="s">
        <v>10041</v>
      </c>
      <c r="P2181" s="17">
        <v>45550</v>
      </c>
      <c r="Q2181" s="4">
        <v>0</v>
      </c>
    </row>
    <row r="2182" spans="1:17" ht="30" x14ac:dyDescent="0.25">
      <c r="A2182" s="2" t="s">
        <v>3050</v>
      </c>
      <c r="B2182" s="3" t="s">
        <v>5015</v>
      </c>
      <c r="C2182" s="3">
        <v>57</v>
      </c>
      <c r="D2182" s="46" t="str">
        <f>IF(Tabla1[[#This Row],[EDAD]]&lt;=35,"Adultos jóvenes 18 - 35 años",IF(C2182&gt;=36,"Adultos mayores 36 años en adelante"))</f>
        <v>Adultos mayores 36 años en adelante</v>
      </c>
      <c r="E2182" s="3" t="s">
        <v>5017</v>
      </c>
      <c r="F2182" s="3" t="s">
        <v>5029</v>
      </c>
      <c r="G2182" s="3" t="s">
        <v>5037</v>
      </c>
      <c r="H2182" s="3" t="s">
        <v>8073</v>
      </c>
      <c r="I2182" s="17">
        <v>45551</v>
      </c>
      <c r="J2182" s="18">
        <f>YEAR(Tabla1[[#This Row],[FECHA DE COMPRA]])</f>
        <v>2024</v>
      </c>
      <c r="K2182" s="19">
        <v>129.97</v>
      </c>
      <c r="L2182" s="20">
        <v>0.2</v>
      </c>
      <c r="M2182" s="19">
        <f>Tienda!$K523-Tienda!$K523*Tienda!$L523</f>
        <v>38.832000000000001</v>
      </c>
      <c r="N2182" s="3" t="s">
        <v>10039</v>
      </c>
      <c r="O2182" s="3" t="s">
        <v>10041</v>
      </c>
      <c r="P2182" s="17">
        <v>45551</v>
      </c>
      <c r="Q2182" s="4">
        <v>0</v>
      </c>
    </row>
    <row r="2183" spans="1:17" ht="30" x14ac:dyDescent="0.25">
      <c r="A2183" s="2" t="s">
        <v>158</v>
      </c>
      <c r="B2183" s="3" t="s">
        <v>5015</v>
      </c>
      <c r="C2183" s="3">
        <v>37</v>
      </c>
      <c r="D2183" s="46" t="str">
        <f>IF(Tabla1[[#This Row],[EDAD]]&lt;=35,"Adultos jóvenes 18 - 35 años",IF(C2183&gt;=36,"Adultos mayores 36 años en adelante"))</f>
        <v>Adultos mayores 36 años en adelante</v>
      </c>
      <c r="E2183" s="3" t="s">
        <v>5020</v>
      </c>
      <c r="F2183" s="3" t="s">
        <v>5029</v>
      </c>
      <c r="G2183" s="3" t="s">
        <v>5036</v>
      </c>
      <c r="H2183" s="3" t="s">
        <v>5181</v>
      </c>
      <c r="I2183" s="17">
        <v>45552</v>
      </c>
      <c r="J2183" s="18">
        <f>YEAR(Tabla1[[#This Row],[FECHA DE COMPRA]])</f>
        <v>2024</v>
      </c>
      <c r="K2183" s="19">
        <v>124.23</v>
      </c>
      <c r="L2183" s="20">
        <v>0.2</v>
      </c>
      <c r="M2183" s="19">
        <f>Tienda!$K525-Tienda!$K525*Tienda!$L525</f>
        <v>40.31</v>
      </c>
      <c r="N2183" s="3" t="s">
        <v>10039</v>
      </c>
      <c r="O2183" s="3" t="s">
        <v>10041</v>
      </c>
      <c r="P2183" s="17">
        <v>45552</v>
      </c>
      <c r="Q2183" s="4">
        <v>0</v>
      </c>
    </row>
    <row r="2184" spans="1:17" ht="30" x14ac:dyDescent="0.25">
      <c r="A2184" s="2" t="s">
        <v>1705</v>
      </c>
      <c r="B2184" s="3" t="s">
        <v>5015</v>
      </c>
      <c r="C2184" s="3">
        <v>58</v>
      </c>
      <c r="D2184" s="46" t="str">
        <f>IF(Tabla1[[#This Row],[EDAD]]&lt;=35,"Adultos jóvenes 18 - 35 años",IF(C2184&gt;=36,"Adultos mayores 36 años en adelante"))</f>
        <v>Adultos mayores 36 años en adelante</v>
      </c>
      <c r="E2184" s="3" t="s">
        <v>5022</v>
      </c>
      <c r="F2184" s="3" t="s">
        <v>5030</v>
      </c>
      <c r="G2184" s="3" t="s">
        <v>5035</v>
      </c>
      <c r="H2184" s="3" t="s">
        <v>6728</v>
      </c>
      <c r="I2184" s="17">
        <v>45552</v>
      </c>
      <c r="J2184" s="18">
        <f>YEAR(Tabla1[[#This Row],[FECHA DE COMPRA]])</f>
        <v>2024</v>
      </c>
      <c r="K2184" s="19">
        <v>139.99</v>
      </c>
      <c r="L2184" s="20">
        <v>0.1</v>
      </c>
      <c r="M2184" s="19">
        <f>Tienda!$K526-Tienda!$K526*Tienda!$L526</f>
        <v>41.736000000000004</v>
      </c>
      <c r="N2184" s="3" t="s">
        <v>10039</v>
      </c>
      <c r="O2184" s="3" t="s">
        <v>10041</v>
      </c>
      <c r="P2184" s="17">
        <v>45552</v>
      </c>
      <c r="Q2184" s="4">
        <v>0</v>
      </c>
    </row>
    <row r="2185" spans="1:17" ht="30" x14ac:dyDescent="0.25">
      <c r="A2185" s="2" t="s">
        <v>1959</v>
      </c>
      <c r="B2185" s="3" t="s">
        <v>5016</v>
      </c>
      <c r="C2185" s="3">
        <v>44</v>
      </c>
      <c r="D2185" s="46" t="str">
        <f>IF(Tabla1[[#This Row],[EDAD]]&lt;=35,"Adultos jóvenes 18 - 35 años",IF(C2185&gt;=36,"Adultos mayores 36 años en adelante"))</f>
        <v>Adultos mayores 36 años en adelante</v>
      </c>
      <c r="E2185" s="3" t="s">
        <v>5019</v>
      </c>
      <c r="F2185" s="3" t="s">
        <v>5024</v>
      </c>
      <c r="G2185" s="3" t="s">
        <v>5031</v>
      </c>
      <c r="H2185" s="3" t="s">
        <v>6982</v>
      </c>
      <c r="I2185" s="17">
        <v>45553</v>
      </c>
      <c r="J2185" s="18">
        <f>YEAR(Tabla1[[#This Row],[FECHA DE COMPRA]])</f>
        <v>2024</v>
      </c>
      <c r="K2185" s="19">
        <v>49.92</v>
      </c>
      <c r="L2185" s="20">
        <v>0.2</v>
      </c>
      <c r="M2185" s="19">
        <f>Tienda!$K527-Tienda!$K527*Tienda!$L527</f>
        <v>42.05</v>
      </c>
      <c r="N2185" s="3" t="s">
        <v>10039</v>
      </c>
      <c r="O2185" s="3" t="s">
        <v>10041</v>
      </c>
      <c r="P2185" s="17">
        <v>45553</v>
      </c>
      <c r="Q2185" s="4">
        <v>0</v>
      </c>
    </row>
    <row r="2186" spans="1:17" ht="30" x14ac:dyDescent="0.25">
      <c r="A2186" s="2" t="s">
        <v>3114</v>
      </c>
      <c r="B2186" s="3" t="s">
        <v>5015</v>
      </c>
      <c r="C2186" s="3">
        <v>65</v>
      </c>
      <c r="D2186" s="46" t="str">
        <f>IF(Tabla1[[#This Row],[EDAD]]&lt;=35,"Adultos jóvenes 18 - 35 años",IF(C2186&gt;=36,"Adultos mayores 36 años en adelante"))</f>
        <v>Adultos mayores 36 años en adelante</v>
      </c>
      <c r="E2186" s="3" t="s">
        <v>5017</v>
      </c>
      <c r="F2186" s="3" t="s">
        <v>5029</v>
      </c>
      <c r="G2186" s="3" t="s">
        <v>5033</v>
      </c>
      <c r="H2186" s="3" t="s">
        <v>8137</v>
      </c>
      <c r="I2186" s="17">
        <v>45553</v>
      </c>
      <c r="J2186" s="18">
        <f>YEAR(Tabla1[[#This Row],[FECHA DE COMPRA]])</f>
        <v>2024</v>
      </c>
      <c r="K2186" s="19">
        <v>101.66</v>
      </c>
      <c r="L2186" s="20">
        <v>0.3</v>
      </c>
      <c r="M2186" s="19">
        <f>Tienda!$K528-Tienda!$K528*Tienda!$L528</f>
        <v>42.454999999999998</v>
      </c>
      <c r="N2186" s="3" t="s">
        <v>10039</v>
      </c>
      <c r="O2186" s="3" t="s">
        <v>10041</v>
      </c>
      <c r="P2186" s="17">
        <v>45553</v>
      </c>
      <c r="Q2186" s="4">
        <v>0</v>
      </c>
    </row>
    <row r="2187" spans="1:17" ht="30" x14ac:dyDescent="0.25">
      <c r="A2187" s="2" t="s">
        <v>3358</v>
      </c>
      <c r="B2187" s="3" t="s">
        <v>5016</v>
      </c>
      <c r="C2187" s="3">
        <v>41</v>
      </c>
      <c r="D2187" s="46" t="str">
        <f>IF(Tabla1[[#This Row],[EDAD]]&lt;=35,"Adultos jóvenes 18 - 35 años",IF(C2187&gt;=36,"Adultos mayores 36 años en adelante"))</f>
        <v>Adultos mayores 36 años en adelante</v>
      </c>
      <c r="E2187" s="3" t="s">
        <v>5023</v>
      </c>
      <c r="F2187" s="3" t="s">
        <v>5028</v>
      </c>
      <c r="G2187" s="3" t="s">
        <v>5033</v>
      </c>
      <c r="H2187" s="3" t="s">
        <v>8381</v>
      </c>
      <c r="I2187" s="17">
        <v>45553</v>
      </c>
      <c r="J2187" s="18">
        <f>YEAR(Tabla1[[#This Row],[FECHA DE COMPRA]])</f>
        <v>2024</v>
      </c>
      <c r="K2187" s="19">
        <v>139.49</v>
      </c>
      <c r="L2187" s="20">
        <v>0.2</v>
      </c>
      <c r="M2187" s="19">
        <f>Tienda!$K529-Tienda!$K529*Tienda!$L529</f>
        <v>42.939</v>
      </c>
      <c r="N2187" s="3" t="s">
        <v>10039</v>
      </c>
      <c r="O2187" s="3" t="s">
        <v>10041</v>
      </c>
      <c r="P2187" s="17">
        <v>45553</v>
      </c>
      <c r="Q2187" s="4">
        <v>0</v>
      </c>
    </row>
    <row r="2188" spans="1:17" ht="30" x14ac:dyDescent="0.25">
      <c r="A2188" s="2" t="s">
        <v>3481</v>
      </c>
      <c r="B2188" s="3" t="s">
        <v>5015</v>
      </c>
      <c r="C2188" s="3">
        <v>65</v>
      </c>
      <c r="D2188" s="46" t="str">
        <f>IF(Tabla1[[#This Row],[EDAD]]&lt;=35,"Adultos jóvenes 18 - 35 años",IF(C2188&gt;=36,"Adultos mayores 36 años en adelante"))</f>
        <v>Adultos mayores 36 años en adelante</v>
      </c>
      <c r="E2188" s="3" t="s">
        <v>5020</v>
      </c>
      <c r="F2188" s="3" t="s">
        <v>5026</v>
      </c>
      <c r="G2188" s="3" t="s">
        <v>5036</v>
      </c>
      <c r="H2188" s="3" t="s">
        <v>8504</v>
      </c>
      <c r="I2188" s="17">
        <v>45554</v>
      </c>
      <c r="J2188" s="18">
        <f>YEAR(Tabla1[[#This Row],[FECHA DE COMPRA]])</f>
        <v>2024</v>
      </c>
      <c r="K2188" s="19">
        <v>72.97</v>
      </c>
      <c r="L2188" s="20">
        <v>0.3</v>
      </c>
      <c r="M2188" s="19">
        <f>Tienda!$K531-Tienda!$K531*Tienda!$L531</f>
        <v>43.826999999999998</v>
      </c>
      <c r="N2188" s="3" t="s">
        <v>10039</v>
      </c>
      <c r="O2188" s="3" t="s">
        <v>10041</v>
      </c>
      <c r="P2188" s="17">
        <v>45554</v>
      </c>
      <c r="Q2188" s="4">
        <v>0</v>
      </c>
    </row>
    <row r="2189" spans="1:17" ht="30" x14ac:dyDescent="0.25">
      <c r="A2189" s="2" t="s">
        <v>1614</v>
      </c>
      <c r="B2189" s="3" t="s">
        <v>5015</v>
      </c>
      <c r="C2189" s="3">
        <v>47</v>
      </c>
      <c r="D2189" s="46" t="str">
        <f>IF(Tabla1[[#This Row],[EDAD]]&lt;=35,"Adultos jóvenes 18 - 35 años",IF(C2189&gt;=36,"Adultos mayores 36 años en adelante"))</f>
        <v>Adultos mayores 36 años en adelante</v>
      </c>
      <c r="E2189" s="3" t="s">
        <v>5018</v>
      </c>
      <c r="F2189" s="3" t="s">
        <v>5028</v>
      </c>
      <c r="G2189" s="3" t="s">
        <v>5037</v>
      </c>
      <c r="H2189" s="3" t="s">
        <v>6637</v>
      </c>
      <c r="I2189" s="17">
        <v>45558</v>
      </c>
      <c r="J2189" s="18">
        <f>YEAR(Tabla1[[#This Row],[FECHA DE COMPRA]])</f>
        <v>2024</v>
      </c>
      <c r="K2189" s="19">
        <v>77.45</v>
      </c>
      <c r="L2189" s="20">
        <v>0</v>
      </c>
      <c r="M2189" s="19">
        <f>Tienda!$K539-Tienda!$K539*Tienda!$L539</f>
        <v>51.701999999999998</v>
      </c>
      <c r="N2189" s="3" t="s">
        <v>10039</v>
      </c>
      <c r="O2189" s="3" t="s">
        <v>10041</v>
      </c>
      <c r="P2189" s="17">
        <v>45558</v>
      </c>
      <c r="Q2189" s="4">
        <v>0</v>
      </c>
    </row>
    <row r="2190" spans="1:17" ht="30" x14ac:dyDescent="0.25">
      <c r="A2190" s="2" t="s">
        <v>1368</v>
      </c>
      <c r="B2190" s="3" t="s">
        <v>5015</v>
      </c>
      <c r="C2190" s="3">
        <v>55</v>
      </c>
      <c r="D2190" s="46" t="str">
        <f>IF(Tabla1[[#This Row],[EDAD]]&lt;=35,"Adultos jóvenes 18 - 35 años",IF(C2190&gt;=36,"Adultos mayores 36 años en adelante"))</f>
        <v>Adultos mayores 36 años en adelante</v>
      </c>
      <c r="E2190" s="3" t="s">
        <v>5022</v>
      </c>
      <c r="F2190" s="3" t="s">
        <v>5025</v>
      </c>
      <c r="G2190" s="3" t="s">
        <v>5033</v>
      </c>
      <c r="H2190" s="3" t="s">
        <v>6391</v>
      </c>
      <c r="I2190" s="17">
        <v>45560</v>
      </c>
      <c r="J2190" s="18">
        <f>YEAR(Tabla1[[#This Row],[FECHA DE COMPRA]])</f>
        <v>2024</v>
      </c>
      <c r="K2190" s="19">
        <v>85.6</v>
      </c>
      <c r="L2190" s="20">
        <v>0.2</v>
      </c>
      <c r="M2190" s="19">
        <f>Tienda!$K541-Tienda!$K541*Tienda!$L541</f>
        <v>53.25</v>
      </c>
      <c r="N2190" s="3" t="s">
        <v>10039</v>
      </c>
      <c r="O2190" s="3" t="s">
        <v>10041</v>
      </c>
      <c r="P2190" s="17">
        <v>45560</v>
      </c>
      <c r="Q2190" s="4">
        <v>0</v>
      </c>
    </row>
    <row r="2191" spans="1:17" ht="30" x14ac:dyDescent="0.25">
      <c r="A2191" s="2" t="s">
        <v>3833</v>
      </c>
      <c r="B2191" s="3" t="s">
        <v>5015</v>
      </c>
      <c r="C2191" s="3">
        <v>45</v>
      </c>
      <c r="D2191" s="46" t="str">
        <f>IF(Tabla1[[#This Row],[EDAD]]&lt;=35,"Adultos jóvenes 18 - 35 años",IF(C2191&gt;=36,"Adultos mayores 36 años en adelante"))</f>
        <v>Adultos mayores 36 años en adelante</v>
      </c>
      <c r="E2191" s="3" t="s">
        <v>5022</v>
      </c>
      <c r="F2191" s="3" t="s">
        <v>5026</v>
      </c>
      <c r="G2191" s="3" t="s">
        <v>5033</v>
      </c>
      <c r="H2191" s="3" t="s">
        <v>8856</v>
      </c>
      <c r="I2191" s="17">
        <v>45560</v>
      </c>
      <c r="J2191" s="18">
        <f>YEAR(Tabla1[[#This Row],[FECHA DE COMPRA]])</f>
        <v>2024</v>
      </c>
      <c r="K2191" s="19">
        <v>124.41</v>
      </c>
      <c r="L2191" s="20">
        <v>0.2</v>
      </c>
      <c r="M2191" s="19">
        <f>Tienda!$K542-Tienda!$K542*Tienda!$L542</f>
        <v>53.271000000000001</v>
      </c>
      <c r="N2191" s="3" t="s">
        <v>10039</v>
      </c>
      <c r="O2191" s="3" t="s">
        <v>10041</v>
      </c>
      <c r="P2191" s="17">
        <v>45560</v>
      </c>
      <c r="Q2191" s="4">
        <v>0</v>
      </c>
    </row>
    <row r="2192" spans="1:17" ht="30" x14ac:dyDescent="0.25">
      <c r="A2192" s="2" t="s">
        <v>3657</v>
      </c>
      <c r="B2192" s="3" t="s">
        <v>5015</v>
      </c>
      <c r="C2192" s="3">
        <v>38</v>
      </c>
      <c r="D2192" s="46" t="str">
        <f>IF(Tabla1[[#This Row],[EDAD]]&lt;=35,"Adultos jóvenes 18 - 35 años",IF(C2192&gt;=36,"Adultos mayores 36 años en adelante"))</f>
        <v>Adultos mayores 36 años en adelante</v>
      </c>
      <c r="E2192" s="3" t="s">
        <v>5023</v>
      </c>
      <c r="F2192" s="3" t="s">
        <v>5024</v>
      </c>
      <c r="G2192" s="3" t="s">
        <v>5034</v>
      </c>
      <c r="H2192" s="3" t="s">
        <v>8680</v>
      </c>
      <c r="I2192" s="17">
        <v>45561</v>
      </c>
      <c r="J2192" s="18">
        <f>YEAR(Tabla1[[#This Row],[FECHA DE COMPRA]])</f>
        <v>2024</v>
      </c>
      <c r="K2192" s="19">
        <v>54.74</v>
      </c>
      <c r="L2192" s="20">
        <v>0.1</v>
      </c>
      <c r="M2192" s="19">
        <f>Tienda!$K546-Tienda!$K546*Tienda!$L546</f>
        <v>60.263000000000005</v>
      </c>
      <c r="N2192" s="3" t="s">
        <v>10039</v>
      </c>
      <c r="O2192" s="3" t="s">
        <v>10041</v>
      </c>
      <c r="P2192" s="17">
        <v>45561</v>
      </c>
      <c r="Q2192" s="4">
        <v>0</v>
      </c>
    </row>
    <row r="2193" spans="1:17" ht="30" x14ac:dyDescent="0.25">
      <c r="A2193" s="2" t="s">
        <v>3436</v>
      </c>
      <c r="B2193" s="3" t="s">
        <v>5015</v>
      </c>
      <c r="C2193" s="3">
        <v>52</v>
      </c>
      <c r="D2193" s="46" t="str">
        <f>IF(Tabla1[[#This Row],[EDAD]]&lt;=35,"Adultos jóvenes 18 - 35 años",IF(C2193&gt;=36,"Adultos mayores 36 años en adelante"))</f>
        <v>Adultos mayores 36 años en adelante</v>
      </c>
      <c r="E2193" s="3" t="s">
        <v>5018</v>
      </c>
      <c r="F2193" s="3" t="s">
        <v>5024</v>
      </c>
      <c r="G2193" s="3" t="s">
        <v>5035</v>
      </c>
      <c r="H2193" s="3" t="s">
        <v>8459</v>
      </c>
      <c r="I2193" s="17">
        <v>45562</v>
      </c>
      <c r="J2193" s="18">
        <f>YEAR(Tabla1[[#This Row],[FECHA DE COMPRA]])</f>
        <v>2024</v>
      </c>
      <c r="K2193" s="19">
        <v>131.69999999999999</v>
      </c>
      <c r="L2193" s="20">
        <v>0.2</v>
      </c>
      <c r="M2193" s="19">
        <f>Tienda!$K547-Tienda!$K547*Tienda!$L547</f>
        <v>60.655999999999992</v>
      </c>
      <c r="N2193" s="3" t="s">
        <v>10039</v>
      </c>
      <c r="O2193" s="3" t="s">
        <v>10041</v>
      </c>
      <c r="P2193" s="17">
        <v>45562</v>
      </c>
      <c r="Q2193" s="4">
        <v>0</v>
      </c>
    </row>
    <row r="2194" spans="1:17" ht="30" x14ac:dyDescent="0.25">
      <c r="A2194" s="2" t="s">
        <v>3859</v>
      </c>
      <c r="B2194" s="3" t="s">
        <v>5015</v>
      </c>
      <c r="C2194" s="3">
        <v>56</v>
      </c>
      <c r="D2194" s="46" t="str">
        <f>IF(Tabla1[[#This Row],[EDAD]]&lt;=35,"Adultos jóvenes 18 - 35 años",IF(C2194&gt;=36,"Adultos mayores 36 años en adelante"))</f>
        <v>Adultos mayores 36 años en adelante</v>
      </c>
      <c r="E2194" s="3" t="s">
        <v>5018</v>
      </c>
      <c r="F2194" s="3" t="s">
        <v>5026</v>
      </c>
      <c r="G2194" s="3" t="s">
        <v>5032</v>
      </c>
      <c r="H2194" s="3" t="s">
        <v>8882</v>
      </c>
      <c r="I2194" s="17">
        <v>45564</v>
      </c>
      <c r="J2194" s="18">
        <f>YEAR(Tabla1[[#This Row],[FECHA DE COMPRA]])</f>
        <v>2024</v>
      </c>
      <c r="K2194" s="19">
        <v>125.69</v>
      </c>
      <c r="L2194" s="20">
        <v>0.1</v>
      </c>
      <c r="M2194" s="19">
        <f>Tienda!$K551-Tienda!$K551*Tienda!$L551</f>
        <v>62.846999999999994</v>
      </c>
      <c r="N2194" s="3" t="s">
        <v>10039</v>
      </c>
      <c r="O2194" s="3" t="s">
        <v>10041</v>
      </c>
      <c r="P2194" s="17">
        <v>45564</v>
      </c>
      <c r="Q2194" s="4">
        <v>0</v>
      </c>
    </row>
    <row r="2195" spans="1:17" ht="30" x14ac:dyDescent="0.25">
      <c r="A2195" s="2" t="s">
        <v>248</v>
      </c>
      <c r="B2195" s="3" t="s">
        <v>5015</v>
      </c>
      <c r="C2195" s="3">
        <v>42</v>
      </c>
      <c r="D2195" s="46" t="str">
        <f>IF(Tabla1[[#This Row],[EDAD]]&lt;=35,"Adultos jóvenes 18 - 35 años",IF(C2195&gt;=36,"Adultos mayores 36 años en adelante"))</f>
        <v>Adultos mayores 36 años en adelante</v>
      </c>
      <c r="E2195" s="3" t="s">
        <v>5017</v>
      </c>
      <c r="F2195" s="3" t="s">
        <v>5030</v>
      </c>
      <c r="G2195" s="3" t="s">
        <v>5031</v>
      </c>
      <c r="H2195" s="3" t="s">
        <v>5271</v>
      </c>
      <c r="I2195" s="17">
        <v>45566</v>
      </c>
      <c r="J2195" s="18">
        <f>YEAR(Tabla1[[#This Row],[FECHA DE COMPRA]])</f>
        <v>2024</v>
      </c>
      <c r="K2195" s="19">
        <v>75.319999999999993</v>
      </c>
      <c r="L2195" s="20">
        <v>0.2</v>
      </c>
      <c r="M2195" s="19">
        <f>Tienda!$K553-Tienda!$K553*Tienda!$L553</f>
        <v>63.65</v>
      </c>
      <c r="N2195" s="3" t="s">
        <v>10039</v>
      </c>
      <c r="O2195" s="3" t="s">
        <v>10041</v>
      </c>
      <c r="P2195" s="17">
        <v>45566</v>
      </c>
      <c r="Q2195" s="4">
        <v>0</v>
      </c>
    </row>
    <row r="2196" spans="1:17" ht="30" x14ac:dyDescent="0.25">
      <c r="A2196" s="2" t="s">
        <v>2934</v>
      </c>
      <c r="B2196" s="3" t="s">
        <v>5016</v>
      </c>
      <c r="C2196" s="3">
        <v>42</v>
      </c>
      <c r="D2196" s="46" t="str">
        <f>IF(Tabla1[[#This Row],[EDAD]]&lt;=35,"Adultos jóvenes 18 - 35 años",IF(C2196&gt;=36,"Adultos mayores 36 años en adelante"))</f>
        <v>Adultos mayores 36 años en adelante</v>
      </c>
      <c r="E2196" s="3" t="s">
        <v>5023</v>
      </c>
      <c r="F2196" s="3" t="s">
        <v>5024</v>
      </c>
      <c r="G2196" s="3" t="s">
        <v>5033</v>
      </c>
      <c r="H2196" s="3" t="s">
        <v>7957</v>
      </c>
      <c r="I2196" s="17">
        <v>45567</v>
      </c>
      <c r="J2196" s="18">
        <f>YEAR(Tabla1[[#This Row],[FECHA DE COMPRA]])</f>
        <v>2024</v>
      </c>
      <c r="K2196" s="19">
        <v>54.94</v>
      </c>
      <c r="L2196" s="20">
        <v>0.2</v>
      </c>
      <c r="M2196" s="19">
        <f>Tienda!$K555-Tienda!$K555*Tienda!$L555</f>
        <v>66.819999999999993</v>
      </c>
      <c r="N2196" s="3" t="s">
        <v>10039</v>
      </c>
      <c r="O2196" s="3" t="s">
        <v>10041</v>
      </c>
      <c r="P2196" s="17">
        <v>45567</v>
      </c>
      <c r="Q2196" s="4">
        <v>0</v>
      </c>
    </row>
    <row r="2197" spans="1:17" ht="30" x14ac:dyDescent="0.25">
      <c r="A2197" s="2" t="s">
        <v>4492</v>
      </c>
      <c r="B2197" s="3" t="s">
        <v>5015</v>
      </c>
      <c r="C2197" s="3">
        <v>65</v>
      </c>
      <c r="D2197" s="46" t="str">
        <f>IF(Tabla1[[#This Row],[EDAD]]&lt;=35,"Adultos jóvenes 18 - 35 años",IF(C2197&gt;=36,"Adultos mayores 36 años en adelante"))</f>
        <v>Adultos mayores 36 años en adelante</v>
      </c>
      <c r="E2197" s="3" t="s">
        <v>5022</v>
      </c>
      <c r="F2197" s="3" t="s">
        <v>5027</v>
      </c>
      <c r="G2197" s="3" t="s">
        <v>5037</v>
      </c>
      <c r="H2197" s="3" t="s">
        <v>9515</v>
      </c>
      <c r="I2197" s="17">
        <v>45567</v>
      </c>
      <c r="J2197" s="18">
        <f>YEAR(Tabla1[[#This Row],[FECHA DE COMPRA]])</f>
        <v>2024</v>
      </c>
      <c r="K2197" s="19">
        <v>167.33</v>
      </c>
      <c r="L2197" s="20">
        <v>0.2</v>
      </c>
      <c r="M2197" s="19">
        <f>Tienda!$K556-Tienda!$K556*Tienda!$L556</f>
        <v>67.290000000000006</v>
      </c>
      <c r="N2197" s="3" t="s">
        <v>10039</v>
      </c>
      <c r="O2197" s="3" t="s">
        <v>10041</v>
      </c>
      <c r="P2197" s="17">
        <v>45567</v>
      </c>
      <c r="Q2197" s="4">
        <v>0</v>
      </c>
    </row>
    <row r="2198" spans="1:17" ht="30" x14ac:dyDescent="0.25">
      <c r="A2198" s="2" t="s">
        <v>4153</v>
      </c>
      <c r="B2198" s="3" t="s">
        <v>5015</v>
      </c>
      <c r="C2198" s="3">
        <v>65</v>
      </c>
      <c r="D2198" s="46" t="str">
        <f>IF(Tabla1[[#This Row],[EDAD]]&lt;=35,"Adultos jóvenes 18 - 35 años",IF(C2198&gt;=36,"Adultos mayores 36 años en adelante"))</f>
        <v>Adultos mayores 36 años en adelante</v>
      </c>
      <c r="E2198" s="3" t="s">
        <v>5019</v>
      </c>
      <c r="F2198" s="3" t="s">
        <v>5028</v>
      </c>
      <c r="G2198" s="3" t="s">
        <v>5036</v>
      </c>
      <c r="H2198" s="3" t="s">
        <v>9176</v>
      </c>
      <c r="I2198" s="17">
        <v>45568</v>
      </c>
      <c r="J2198" s="18">
        <f>YEAR(Tabla1[[#This Row],[FECHA DE COMPRA]])</f>
        <v>2024</v>
      </c>
      <c r="K2198" s="19">
        <v>102.28</v>
      </c>
      <c r="L2198" s="20">
        <v>0.2</v>
      </c>
      <c r="M2198" s="19">
        <f>Tienda!$K558-Tienda!$K558*Tienda!$L558</f>
        <v>67.42</v>
      </c>
      <c r="N2198" s="3" t="s">
        <v>10039</v>
      </c>
      <c r="O2198" s="3" t="s">
        <v>10041</v>
      </c>
      <c r="P2198" s="17">
        <v>45568</v>
      </c>
      <c r="Q2198" s="4">
        <v>0</v>
      </c>
    </row>
    <row r="2199" spans="1:17" ht="30" x14ac:dyDescent="0.25">
      <c r="A2199" s="2" t="s">
        <v>1177</v>
      </c>
      <c r="B2199" s="3" t="s">
        <v>5015</v>
      </c>
      <c r="C2199" s="3">
        <v>49</v>
      </c>
      <c r="D2199" s="46" t="str">
        <f>IF(Tabla1[[#This Row],[EDAD]]&lt;=35,"Adultos jóvenes 18 - 35 años",IF(C2199&gt;=36,"Adultos mayores 36 años en adelante"))</f>
        <v>Adultos mayores 36 años en adelante</v>
      </c>
      <c r="E2199" s="3" t="s">
        <v>5020</v>
      </c>
      <c r="F2199" s="3" t="s">
        <v>5024</v>
      </c>
      <c r="G2199" s="3" t="s">
        <v>5031</v>
      </c>
      <c r="H2199" s="3" t="s">
        <v>6200</v>
      </c>
      <c r="I2199" s="17">
        <v>45568</v>
      </c>
      <c r="J2199" s="18">
        <f>YEAR(Tabla1[[#This Row],[FECHA DE COMPRA]])</f>
        <v>2024</v>
      </c>
      <c r="K2199" s="19">
        <v>131.72999999999999</v>
      </c>
      <c r="L2199" s="20">
        <v>0.2</v>
      </c>
      <c r="M2199" s="19">
        <f>Tienda!$K559-Tienda!$K559*Tienda!$L559</f>
        <v>69.606000000000009</v>
      </c>
      <c r="N2199" s="3" t="s">
        <v>10039</v>
      </c>
      <c r="O2199" s="3" t="s">
        <v>10041</v>
      </c>
      <c r="P2199" s="17">
        <v>45568</v>
      </c>
      <c r="Q2199" s="4">
        <v>0</v>
      </c>
    </row>
    <row r="2200" spans="1:17" ht="30" x14ac:dyDescent="0.25">
      <c r="A2200" s="2" t="s">
        <v>74</v>
      </c>
      <c r="B2200" s="3" t="s">
        <v>5016</v>
      </c>
      <c r="C2200" s="3">
        <v>60</v>
      </c>
      <c r="D2200" s="46" t="str">
        <f>IF(Tabla1[[#This Row],[EDAD]]&lt;=35,"Adultos jóvenes 18 - 35 años",IF(C2200&gt;=36,"Adultos mayores 36 años en adelante"))</f>
        <v>Adultos mayores 36 años en adelante</v>
      </c>
      <c r="E2200" s="3" t="s">
        <v>5019</v>
      </c>
      <c r="F2200" s="3" t="s">
        <v>5025</v>
      </c>
      <c r="G2200" s="3" t="s">
        <v>5035</v>
      </c>
      <c r="H2200" s="3" t="s">
        <v>5097</v>
      </c>
      <c r="I2200" s="17">
        <v>45568</v>
      </c>
      <c r="J2200" s="18">
        <f>YEAR(Tabla1[[#This Row],[FECHA DE COMPRA]])</f>
        <v>2024</v>
      </c>
      <c r="K2200" s="19">
        <v>146.87</v>
      </c>
      <c r="L2200" s="20">
        <v>0.2</v>
      </c>
      <c r="M2200" s="19">
        <f>Tienda!$K560-Tienda!$K560*Tienda!$L560</f>
        <v>70.65100000000001</v>
      </c>
      <c r="N2200" s="3" t="s">
        <v>10039</v>
      </c>
      <c r="O2200" s="3" t="s">
        <v>10041</v>
      </c>
      <c r="P2200" s="17">
        <v>45568</v>
      </c>
      <c r="Q2200" s="4">
        <v>0</v>
      </c>
    </row>
    <row r="2201" spans="1:17" ht="30" x14ac:dyDescent="0.25">
      <c r="A2201" s="2" t="s">
        <v>4838</v>
      </c>
      <c r="B2201" s="3" t="s">
        <v>5015</v>
      </c>
      <c r="C2201" s="3">
        <v>58</v>
      </c>
      <c r="D2201" s="46" t="str">
        <f>IF(Tabla1[[#This Row],[EDAD]]&lt;=35,"Adultos jóvenes 18 - 35 años",IF(C2201&gt;=36,"Adultos mayores 36 años en adelante"))</f>
        <v>Adultos mayores 36 años en adelante</v>
      </c>
      <c r="E2201" s="3" t="s">
        <v>5019</v>
      </c>
      <c r="F2201" s="3" t="s">
        <v>5028</v>
      </c>
      <c r="G2201" s="3" t="s">
        <v>5033</v>
      </c>
      <c r="H2201" s="3" t="s">
        <v>9861</v>
      </c>
      <c r="I2201" s="17">
        <v>45569</v>
      </c>
      <c r="J2201" s="18">
        <f>YEAR(Tabla1[[#This Row],[FECHA DE COMPRA]])</f>
        <v>2024</v>
      </c>
      <c r="K2201" s="19">
        <v>160.12</v>
      </c>
      <c r="L2201" s="20">
        <v>0.3</v>
      </c>
      <c r="M2201" s="19">
        <f>Tienda!$K561-Tienda!$K561*Tienda!$L561</f>
        <v>71.024000000000001</v>
      </c>
      <c r="N2201" s="3" t="s">
        <v>10039</v>
      </c>
      <c r="O2201" s="3" t="s">
        <v>10041</v>
      </c>
      <c r="P2201" s="17">
        <v>45569</v>
      </c>
      <c r="Q2201" s="4">
        <v>0</v>
      </c>
    </row>
    <row r="2202" spans="1:17" ht="30" x14ac:dyDescent="0.25">
      <c r="A2202" s="2" t="s">
        <v>2541</v>
      </c>
      <c r="B2202" s="3" t="s">
        <v>5016</v>
      </c>
      <c r="C2202" s="3">
        <v>42</v>
      </c>
      <c r="D2202" s="46" t="str">
        <f>IF(Tabla1[[#This Row],[EDAD]]&lt;=35,"Adultos jóvenes 18 - 35 años",IF(C2202&gt;=36,"Adultos mayores 36 años en adelante"))</f>
        <v>Adultos mayores 36 años en adelante</v>
      </c>
      <c r="E2202" s="3" t="s">
        <v>5021</v>
      </c>
      <c r="F2202" s="3" t="s">
        <v>5025</v>
      </c>
      <c r="G2202" s="3" t="s">
        <v>5032</v>
      </c>
      <c r="H2202" s="3" t="s">
        <v>7564</v>
      </c>
      <c r="I2202" s="17">
        <v>45569</v>
      </c>
      <c r="J2202" s="18">
        <f>YEAR(Tabla1[[#This Row],[FECHA DE COMPRA]])</f>
        <v>2024</v>
      </c>
      <c r="K2202" s="19">
        <v>162.04</v>
      </c>
      <c r="L2202" s="20">
        <v>0</v>
      </c>
      <c r="M2202" s="19">
        <f>Tienda!$K562-Tienda!$K562*Tienda!$L562</f>
        <v>72.989999999999995</v>
      </c>
      <c r="N2202" s="3" t="s">
        <v>10039</v>
      </c>
      <c r="O2202" s="3" t="s">
        <v>10041</v>
      </c>
      <c r="P2202" s="17">
        <v>45569</v>
      </c>
      <c r="Q2202" s="4">
        <v>0</v>
      </c>
    </row>
    <row r="2203" spans="1:17" ht="30" x14ac:dyDescent="0.25">
      <c r="A2203" s="2" t="s">
        <v>1007</v>
      </c>
      <c r="B2203" s="3" t="s">
        <v>5015</v>
      </c>
      <c r="C2203" s="3">
        <v>43</v>
      </c>
      <c r="D2203" s="46" t="str">
        <f>IF(Tabla1[[#This Row],[EDAD]]&lt;=35,"Adultos jóvenes 18 - 35 años",IF(C2203&gt;=36,"Adultos mayores 36 años en adelante"))</f>
        <v>Adultos mayores 36 años en adelante</v>
      </c>
      <c r="E2203" s="3" t="s">
        <v>5018</v>
      </c>
      <c r="F2203" s="3" t="s">
        <v>5030</v>
      </c>
      <c r="G2203" s="3" t="s">
        <v>5036</v>
      </c>
      <c r="H2203" s="3" t="s">
        <v>6030</v>
      </c>
      <c r="I2203" s="17">
        <v>45570</v>
      </c>
      <c r="J2203" s="18">
        <f>YEAR(Tabla1[[#This Row],[FECHA DE COMPRA]])</f>
        <v>2024</v>
      </c>
      <c r="K2203" s="19">
        <v>60.32</v>
      </c>
      <c r="L2203" s="20">
        <v>0.1</v>
      </c>
      <c r="M2203" s="19">
        <f>Tienda!$K564-Tienda!$K564*Tienda!$L564</f>
        <v>73.611000000000004</v>
      </c>
      <c r="N2203" s="3" t="s">
        <v>10039</v>
      </c>
      <c r="O2203" s="3" t="s">
        <v>10041</v>
      </c>
      <c r="P2203" s="17">
        <v>45570</v>
      </c>
      <c r="Q2203" s="4">
        <v>0</v>
      </c>
    </row>
    <row r="2204" spans="1:17" ht="30" x14ac:dyDescent="0.25">
      <c r="A2204" s="2" t="s">
        <v>1280</v>
      </c>
      <c r="B2204" s="3" t="s">
        <v>5015</v>
      </c>
      <c r="C2204" s="3">
        <v>40</v>
      </c>
      <c r="D2204" s="46" t="str">
        <f>IF(Tabla1[[#This Row],[EDAD]]&lt;=35,"Adultos jóvenes 18 - 35 años",IF(C2204&gt;=36,"Adultos mayores 36 años en adelante"))</f>
        <v>Adultos mayores 36 años en adelante</v>
      </c>
      <c r="E2204" s="3" t="s">
        <v>5018</v>
      </c>
      <c r="F2204" s="3" t="s">
        <v>5029</v>
      </c>
      <c r="G2204" s="3" t="s">
        <v>5037</v>
      </c>
      <c r="H2204" s="3" t="s">
        <v>6303</v>
      </c>
      <c r="I2204" s="17">
        <v>45571</v>
      </c>
      <c r="J2204" s="18">
        <f>YEAR(Tabla1[[#This Row],[FECHA DE COMPRA]])</f>
        <v>2024</v>
      </c>
      <c r="K2204" s="19">
        <v>91.7</v>
      </c>
      <c r="L2204" s="20">
        <v>0.3</v>
      </c>
      <c r="M2204" s="19">
        <f>Tienda!$K565-Tienda!$K565*Tienda!$L565</f>
        <v>75.33</v>
      </c>
      <c r="N2204" s="3" t="s">
        <v>10039</v>
      </c>
      <c r="O2204" s="3" t="s">
        <v>10041</v>
      </c>
      <c r="P2204" s="17">
        <v>45571</v>
      </c>
      <c r="Q2204" s="4">
        <v>0</v>
      </c>
    </row>
    <row r="2205" spans="1:17" ht="30" x14ac:dyDescent="0.25">
      <c r="A2205" s="2" t="s">
        <v>5007</v>
      </c>
      <c r="B2205" s="3" t="s">
        <v>5016</v>
      </c>
      <c r="C2205" s="3">
        <v>62</v>
      </c>
      <c r="D2205" s="46" t="str">
        <f>IF(Tabla1[[#This Row],[EDAD]]&lt;=35,"Adultos jóvenes 18 - 35 años",IF(C2205&gt;=36,"Adultos mayores 36 años en adelante"))</f>
        <v>Adultos mayores 36 años en adelante</v>
      </c>
      <c r="E2205" s="3" t="s">
        <v>5019</v>
      </c>
      <c r="F2205" s="3" t="s">
        <v>5030</v>
      </c>
      <c r="G2205" s="3" t="s">
        <v>5034</v>
      </c>
      <c r="H2205" s="3" t="s">
        <v>10030</v>
      </c>
      <c r="I2205" s="17">
        <v>45571</v>
      </c>
      <c r="J2205" s="18">
        <f>YEAR(Tabla1[[#This Row],[FECHA DE COMPRA]])</f>
        <v>2024</v>
      </c>
      <c r="K2205" s="19">
        <v>112.02</v>
      </c>
      <c r="L2205" s="20">
        <v>0</v>
      </c>
      <c r="M2205" s="19">
        <f>Tienda!$K566-Tienda!$K566*Tienda!$L566</f>
        <v>75.545999999999992</v>
      </c>
      <c r="N2205" s="3" t="s">
        <v>10039</v>
      </c>
      <c r="O2205" s="3" t="s">
        <v>10041</v>
      </c>
      <c r="P2205" s="17">
        <v>45571</v>
      </c>
      <c r="Q2205" s="4">
        <v>0</v>
      </c>
    </row>
    <row r="2206" spans="1:17" ht="30" x14ac:dyDescent="0.25">
      <c r="A2206" s="2" t="s">
        <v>987</v>
      </c>
      <c r="B2206" s="3" t="s">
        <v>5015</v>
      </c>
      <c r="C2206" s="3">
        <v>46</v>
      </c>
      <c r="D2206" s="46" t="str">
        <f>IF(Tabla1[[#This Row],[EDAD]]&lt;=35,"Adultos jóvenes 18 - 35 años",IF(C2206&gt;=36,"Adultos mayores 36 años en adelante"))</f>
        <v>Adultos mayores 36 años en adelante</v>
      </c>
      <c r="E2206" s="3" t="s">
        <v>5020</v>
      </c>
      <c r="F2206" s="3" t="s">
        <v>5027</v>
      </c>
      <c r="G2206" s="3" t="s">
        <v>5036</v>
      </c>
      <c r="H2206" s="3" t="s">
        <v>6010</v>
      </c>
      <c r="I2206" s="17">
        <v>45571</v>
      </c>
      <c r="J2206" s="18">
        <f>YEAR(Tabla1[[#This Row],[FECHA DE COMPRA]])</f>
        <v>2024</v>
      </c>
      <c r="K2206" s="19">
        <v>131.52000000000001</v>
      </c>
      <c r="L2206" s="20">
        <v>0.1</v>
      </c>
      <c r="M2206" s="19">
        <f>Tienda!$K568-Tienda!$K568*Tienda!$L568</f>
        <v>77.661000000000001</v>
      </c>
      <c r="N2206" s="3" t="s">
        <v>10039</v>
      </c>
      <c r="O2206" s="3" t="s">
        <v>10041</v>
      </c>
      <c r="P2206" s="17">
        <v>45571</v>
      </c>
      <c r="Q2206" s="4">
        <v>0</v>
      </c>
    </row>
    <row r="2207" spans="1:17" ht="30" x14ac:dyDescent="0.25">
      <c r="A2207" s="2" t="s">
        <v>2568</v>
      </c>
      <c r="B2207" s="3" t="s">
        <v>5015</v>
      </c>
      <c r="C2207" s="3">
        <v>45</v>
      </c>
      <c r="D2207" s="46" t="str">
        <f>IF(Tabla1[[#This Row],[EDAD]]&lt;=35,"Adultos jóvenes 18 - 35 años",IF(C2207&gt;=36,"Adultos mayores 36 años en adelante"))</f>
        <v>Adultos mayores 36 años en adelante</v>
      </c>
      <c r="E2207" s="3" t="s">
        <v>5019</v>
      </c>
      <c r="F2207" s="3" t="s">
        <v>5029</v>
      </c>
      <c r="G2207" s="3" t="s">
        <v>5032</v>
      </c>
      <c r="H2207" s="3" t="s">
        <v>7591</v>
      </c>
      <c r="I2207" s="17">
        <v>45571</v>
      </c>
      <c r="J2207" s="18">
        <f>YEAR(Tabla1[[#This Row],[FECHA DE COMPRA]])</f>
        <v>2024</v>
      </c>
      <c r="K2207" s="19">
        <v>197.63</v>
      </c>
      <c r="L2207" s="20">
        <v>0.1</v>
      </c>
      <c r="M2207" s="19">
        <f>Tienda!$K569-Tienda!$K569*Tienda!$L569</f>
        <v>77.697000000000003</v>
      </c>
      <c r="N2207" s="3" t="s">
        <v>10039</v>
      </c>
      <c r="O2207" s="3" t="s">
        <v>10041</v>
      </c>
      <c r="P2207" s="17">
        <v>45571</v>
      </c>
      <c r="Q2207" s="4">
        <v>0</v>
      </c>
    </row>
    <row r="2208" spans="1:17" ht="30" x14ac:dyDescent="0.25">
      <c r="A2208" s="2" t="s">
        <v>2293</v>
      </c>
      <c r="B2208" s="3" t="s">
        <v>5016</v>
      </c>
      <c r="C2208" s="3">
        <v>53</v>
      </c>
      <c r="D2208" s="46" t="str">
        <f>IF(Tabla1[[#This Row],[EDAD]]&lt;=35,"Adultos jóvenes 18 - 35 años",IF(C2208&gt;=36,"Adultos mayores 36 años en adelante"))</f>
        <v>Adultos mayores 36 años en adelante</v>
      </c>
      <c r="E2208" s="3" t="s">
        <v>5017</v>
      </c>
      <c r="F2208" s="3" t="s">
        <v>5029</v>
      </c>
      <c r="G2208" s="3" t="s">
        <v>5034</v>
      </c>
      <c r="H2208" s="3" t="s">
        <v>7316</v>
      </c>
      <c r="I2208" s="17">
        <v>45572</v>
      </c>
      <c r="J2208" s="18">
        <f>YEAR(Tabla1[[#This Row],[FECHA DE COMPRA]])</f>
        <v>2024</v>
      </c>
      <c r="K2208" s="19">
        <v>33.81</v>
      </c>
      <c r="L2208" s="20">
        <v>0.3</v>
      </c>
      <c r="M2208" s="19">
        <f>Tienda!$K570-Tienda!$K570*Tienda!$L570</f>
        <v>78.063999999999993</v>
      </c>
      <c r="N2208" s="3" t="s">
        <v>10039</v>
      </c>
      <c r="O2208" s="3" t="s">
        <v>10041</v>
      </c>
      <c r="P2208" s="17">
        <v>45572</v>
      </c>
      <c r="Q2208" s="4">
        <v>0</v>
      </c>
    </row>
    <row r="2209" spans="1:17" ht="30" x14ac:dyDescent="0.25">
      <c r="A2209" s="2" t="s">
        <v>1664</v>
      </c>
      <c r="B2209" s="3" t="s">
        <v>5015</v>
      </c>
      <c r="C2209" s="3">
        <v>64</v>
      </c>
      <c r="D2209" s="46" t="str">
        <f>IF(Tabla1[[#This Row],[EDAD]]&lt;=35,"Adultos jóvenes 18 - 35 años",IF(C2209&gt;=36,"Adultos mayores 36 años en adelante"))</f>
        <v>Adultos mayores 36 años en adelante</v>
      </c>
      <c r="E2209" s="3" t="s">
        <v>5017</v>
      </c>
      <c r="F2209" s="3" t="s">
        <v>5025</v>
      </c>
      <c r="G2209" s="3" t="s">
        <v>5031</v>
      </c>
      <c r="H2209" s="3" t="s">
        <v>6687</v>
      </c>
      <c r="I2209" s="17">
        <v>45572</v>
      </c>
      <c r="J2209" s="18">
        <f>YEAR(Tabla1[[#This Row],[FECHA DE COMPRA]])</f>
        <v>2024</v>
      </c>
      <c r="K2209" s="19">
        <v>43.4</v>
      </c>
      <c r="L2209" s="20">
        <v>0.2</v>
      </c>
      <c r="M2209" s="19">
        <f>Tienda!$K571-Tienda!$K571*Tienda!$L571</f>
        <v>79.2</v>
      </c>
      <c r="N2209" s="3" t="s">
        <v>10039</v>
      </c>
      <c r="O2209" s="3" t="s">
        <v>10041</v>
      </c>
      <c r="P2209" s="17">
        <v>45572</v>
      </c>
      <c r="Q2209" s="4">
        <v>0</v>
      </c>
    </row>
    <row r="2210" spans="1:17" ht="30" x14ac:dyDescent="0.25">
      <c r="A2210" s="2" t="s">
        <v>1222</v>
      </c>
      <c r="B2210" s="3" t="s">
        <v>5015</v>
      </c>
      <c r="C2210" s="3">
        <v>58</v>
      </c>
      <c r="D2210" s="46" t="str">
        <f>IF(Tabla1[[#This Row],[EDAD]]&lt;=35,"Adultos jóvenes 18 - 35 años",IF(C2210&gt;=36,"Adultos mayores 36 años en adelante"))</f>
        <v>Adultos mayores 36 años en adelante</v>
      </c>
      <c r="E2210" s="3" t="s">
        <v>5017</v>
      </c>
      <c r="F2210" s="3" t="s">
        <v>5026</v>
      </c>
      <c r="G2210" s="3" t="s">
        <v>5033</v>
      </c>
      <c r="H2210" s="3" t="s">
        <v>6245</v>
      </c>
      <c r="I2210" s="17">
        <v>45572</v>
      </c>
      <c r="J2210" s="18">
        <f>YEAR(Tabla1[[#This Row],[FECHA DE COMPRA]])</f>
        <v>2024</v>
      </c>
      <c r="K2210" s="19">
        <v>112.67</v>
      </c>
      <c r="L2210" s="20">
        <v>0</v>
      </c>
      <c r="M2210" s="19">
        <f>Tienda!$K572-Tienda!$K572*Tienda!$L572</f>
        <v>81.018000000000001</v>
      </c>
      <c r="N2210" s="3" t="s">
        <v>10039</v>
      </c>
      <c r="O2210" s="3" t="s">
        <v>10041</v>
      </c>
      <c r="P2210" s="17">
        <v>45572</v>
      </c>
      <c r="Q2210" s="4">
        <v>0</v>
      </c>
    </row>
    <row r="2211" spans="1:17" ht="30" x14ac:dyDescent="0.25">
      <c r="A2211" s="2" t="s">
        <v>2149</v>
      </c>
      <c r="B2211" s="3" t="s">
        <v>5016</v>
      </c>
      <c r="C2211" s="3">
        <v>58</v>
      </c>
      <c r="D2211" s="46" t="str">
        <f>IF(Tabla1[[#This Row],[EDAD]]&lt;=35,"Adultos jóvenes 18 - 35 años",IF(C2211&gt;=36,"Adultos mayores 36 años en adelante"))</f>
        <v>Adultos mayores 36 años en adelante</v>
      </c>
      <c r="E2211" s="3" t="s">
        <v>5019</v>
      </c>
      <c r="F2211" s="3" t="s">
        <v>5027</v>
      </c>
      <c r="G2211" s="3" t="s">
        <v>5034</v>
      </c>
      <c r="H2211" s="3" t="s">
        <v>7172</v>
      </c>
      <c r="I2211" s="17">
        <v>45572</v>
      </c>
      <c r="J2211" s="18">
        <f>YEAR(Tabla1[[#This Row],[FECHA DE COMPRA]])</f>
        <v>2024</v>
      </c>
      <c r="K2211" s="19">
        <v>147.62</v>
      </c>
      <c r="L2211" s="20">
        <v>0</v>
      </c>
      <c r="M2211" s="19">
        <f>Tienda!$K573-Tienda!$K573*Tienda!$L573</f>
        <v>81.099000000000004</v>
      </c>
      <c r="N2211" s="3" t="s">
        <v>10039</v>
      </c>
      <c r="O2211" s="3" t="s">
        <v>10041</v>
      </c>
      <c r="P2211" s="17">
        <v>45572</v>
      </c>
      <c r="Q2211" s="4">
        <v>0</v>
      </c>
    </row>
    <row r="2212" spans="1:17" ht="30" x14ac:dyDescent="0.25">
      <c r="A2212" s="2" t="s">
        <v>550</v>
      </c>
      <c r="B2212" s="3" t="s">
        <v>5015</v>
      </c>
      <c r="C2212" s="3">
        <v>42</v>
      </c>
      <c r="D2212" s="46" t="str">
        <f>IF(Tabla1[[#This Row],[EDAD]]&lt;=35,"Adultos jóvenes 18 - 35 años",IF(C2212&gt;=36,"Adultos mayores 36 años en adelante"))</f>
        <v>Adultos mayores 36 años en adelante</v>
      </c>
      <c r="E2212" s="3" t="s">
        <v>5022</v>
      </c>
      <c r="F2212" s="3" t="s">
        <v>5025</v>
      </c>
      <c r="G2212" s="3" t="s">
        <v>5034</v>
      </c>
      <c r="H2212" s="3" t="s">
        <v>5573</v>
      </c>
      <c r="I2212" s="17">
        <v>45573</v>
      </c>
      <c r="J2212" s="18">
        <f>YEAR(Tabla1[[#This Row],[FECHA DE COMPRA]])</f>
        <v>2024</v>
      </c>
      <c r="K2212" s="19">
        <v>26.75</v>
      </c>
      <c r="L2212" s="20">
        <v>0.2</v>
      </c>
      <c r="M2212" s="19">
        <f>Tienda!$K574-Tienda!$K574*Tienda!$L574</f>
        <v>82.287000000000006</v>
      </c>
      <c r="N2212" s="3" t="s">
        <v>10039</v>
      </c>
      <c r="O2212" s="3" t="s">
        <v>10041</v>
      </c>
      <c r="P2212" s="17">
        <v>45573</v>
      </c>
      <c r="Q2212" s="4">
        <v>0</v>
      </c>
    </row>
    <row r="2213" spans="1:17" ht="30" x14ac:dyDescent="0.25">
      <c r="A2213" s="2" t="s">
        <v>2391</v>
      </c>
      <c r="B2213" s="3" t="s">
        <v>5015</v>
      </c>
      <c r="C2213" s="3">
        <v>45</v>
      </c>
      <c r="D2213" s="46" t="str">
        <f>IF(Tabla1[[#This Row],[EDAD]]&lt;=35,"Adultos jóvenes 18 - 35 años",IF(C2213&gt;=36,"Adultos mayores 36 años en adelante"))</f>
        <v>Adultos mayores 36 años en adelante</v>
      </c>
      <c r="E2213" s="3" t="s">
        <v>5017</v>
      </c>
      <c r="F2213" s="3" t="s">
        <v>5027</v>
      </c>
      <c r="G2213" s="3" t="s">
        <v>5034</v>
      </c>
      <c r="H2213" s="3" t="s">
        <v>7414</v>
      </c>
      <c r="I2213" s="17">
        <v>45573</v>
      </c>
      <c r="J2213" s="18">
        <f>YEAR(Tabla1[[#This Row],[FECHA DE COMPRA]])</f>
        <v>2024</v>
      </c>
      <c r="K2213" s="19">
        <v>139.49</v>
      </c>
      <c r="L2213" s="20">
        <v>0.2</v>
      </c>
      <c r="M2213" s="19">
        <f>Tienda!$K575-Tienda!$K575*Tienda!$L575</f>
        <v>82.53</v>
      </c>
      <c r="N2213" s="3" t="s">
        <v>10039</v>
      </c>
      <c r="O2213" s="3" t="s">
        <v>10041</v>
      </c>
      <c r="P2213" s="17">
        <v>45573</v>
      </c>
      <c r="Q2213" s="4">
        <v>0</v>
      </c>
    </row>
    <row r="2214" spans="1:17" ht="30" x14ac:dyDescent="0.25">
      <c r="A2214" s="2" t="s">
        <v>1420</v>
      </c>
      <c r="B2214" s="3" t="s">
        <v>5015</v>
      </c>
      <c r="C2214" s="3">
        <v>51</v>
      </c>
      <c r="D2214" s="46" t="str">
        <f>IF(Tabla1[[#This Row],[EDAD]]&lt;=35,"Adultos jóvenes 18 - 35 años",IF(C2214&gt;=36,"Adultos mayores 36 años en adelante"))</f>
        <v>Adultos mayores 36 años en adelante</v>
      </c>
      <c r="E2214" s="3" t="s">
        <v>5018</v>
      </c>
      <c r="F2214" s="3" t="s">
        <v>5024</v>
      </c>
      <c r="G2214" s="3" t="s">
        <v>5033</v>
      </c>
      <c r="H2214" s="3" t="s">
        <v>6443</v>
      </c>
      <c r="I2214" s="17">
        <v>45574</v>
      </c>
      <c r="J2214" s="18">
        <f>YEAR(Tabla1[[#This Row],[FECHA DE COMPRA]])</f>
        <v>2024</v>
      </c>
      <c r="K2214" s="19">
        <v>115.32</v>
      </c>
      <c r="L2214" s="20">
        <v>0</v>
      </c>
      <c r="M2214" s="19">
        <f>Tienda!$K577-Tienda!$K577*Tienda!$L577</f>
        <v>87.14</v>
      </c>
      <c r="N2214" s="3" t="s">
        <v>10039</v>
      </c>
      <c r="O2214" s="3" t="s">
        <v>10041</v>
      </c>
      <c r="P2214" s="17">
        <v>45574</v>
      </c>
      <c r="Q2214" s="4">
        <v>0</v>
      </c>
    </row>
    <row r="2215" spans="1:17" ht="30" x14ac:dyDescent="0.25">
      <c r="A2215" s="2" t="s">
        <v>1157</v>
      </c>
      <c r="B2215" s="3" t="s">
        <v>5016</v>
      </c>
      <c r="C2215" s="3">
        <v>36</v>
      </c>
      <c r="D2215" s="46" t="str">
        <f>IF(Tabla1[[#This Row],[EDAD]]&lt;=35,"Adultos jóvenes 18 - 35 años",IF(C2215&gt;=36,"Adultos mayores 36 años en adelante"))</f>
        <v>Adultos mayores 36 años en adelante</v>
      </c>
      <c r="E2215" s="3" t="s">
        <v>5017</v>
      </c>
      <c r="F2215" s="3" t="s">
        <v>5026</v>
      </c>
      <c r="G2215" s="3" t="s">
        <v>5037</v>
      </c>
      <c r="H2215" s="3" t="s">
        <v>6180</v>
      </c>
      <c r="I2215" s="17">
        <v>45575</v>
      </c>
      <c r="J2215" s="18">
        <f>YEAR(Tabla1[[#This Row],[FECHA DE COMPRA]])</f>
        <v>2024</v>
      </c>
      <c r="K2215" s="19">
        <v>169.41</v>
      </c>
      <c r="L2215" s="20">
        <v>0.2</v>
      </c>
      <c r="M2215" s="19">
        <f>Tienda!$K581-Tienda!$K581*Tienda!$L581</f>
        <v>88.173000000000002</v>
      </c>
      <c r="N2215" s="3" t="s">
        <v>10039</v>
      </c>
      <c r="O2215" s="3" t="s">
        <v>10041</v>
      </c>
      <c r="P2215" s="17">
        <v>45575</v>
      </c>
      <c r="Q2215" s="4">
        <v>0</v>
      </c>
    </row>
    <row r="2216" spans="1:17" ht="30" x14ac:dyDescent="0.25">
      <c r="A2216" s="2" t="s">
        <v>4597</v>
      </c>
      <c r="B2216" s="3" t="s">
        <v>5015</v>
      </c>
      <c r="C2216" s="3">
        <v>63</v>
      </c>
      <c r="D2216" s="46" t="str">
        <f>IF(Tabla1[[#This Row],[EDAD]]&lt;=35,"Adultos jóvenes 18 - 35 años",IF(C2216&gt;=36,"Adultos mayores 36 años en adelante"))</f>
        <v>Adultos mayores 36 años en adelante</v>
      </c>
      <c r="E2216" s="3" t="s">
        <v>5022</v>
      </c>
      <c r="F2216" s="3" t="s">
        <v>5025</v>
      </c>
      <c r="G2216" s="3" t="s">
        <v>5037</v>
      </c>
      <c r="H2216" s="3" t="s">
        <v>9620</v>
      </c>
      <c r="I2216" s="17">
        <v>45575</v>
      </c>
      <c r="J2216" s="18">
        <f>YEAR(Tabla1[[#This Row],[FECHA DE COMPRA]])</f>
        <v>2024</v>
      </c>
      <c r="K2216" s="19">
        <v>194.6</v>
      </c>
      <c r="L2216" s="20">
        <v>0.1</v>
      </c>
      <c r="M2216" s="19">
        <f>Tienda!$K582-Tienda!$K582*Tienda!$L582</f>
        <v>88.75</v>
      </c>
      <c r="N2216" s="3" t="s">
        <v>10039</v>
      </c>
      <c r="O2216" s="3" t="s">
        <v>10041</v>
      </c>
      <c r="P2216" s="17">
        <v>45575</v>
      </c>
      <c r="Q2216" s="4">
        <v>0</v>
      </c>
    </row>
    <row r="2217" spans="1:17" ht="30" x14ac:dyDescent="0.25">
      <c r="A2217" s="2" t="s">
        <v>2152</v>
      </c>
      <c r="B2217" s="3" t="s">
        <v>5015</v>
      </c>
      <c r="C2217" s="3">
        <v>52</v>
      </c>
      <c r="D2217" s="46" t="str">
        <f>IF(Tabla1[[#This Row],[EDAD]]&lt;=35,"Adultos jóvenes 18 - 35 años",IF(C2217&gt;=36,"Adultos mayores 36 años en adelante"))</f>
        <v>Adultos mayores 36 años en adelante</v>
      </c>
      <c r="E2217" s="3" t="s">
        <v>5020</v>
      </c>
      <c r="F2217" s="3" t="s">
        <v>5025</v>
      </c>
      <c r="G2217" s="3" t="s">
        <v>5034</v>
      </c>
      <c r="H2217" s="3" t="s">
        <v>7175</v>
      </c>
      <c r="I2217" s="17">
        <v>45576</v>
      </c>
      <c r="J2217" s="18">
        <f>YEAR(Tabla1[[#This Row],[FECHA DE COMPRA]])</f>
        <v>2024</v>
      </c>
      <c r="K2217" s="19">
        <v>196.88</v>
      </c>
      <c r="L2217" s="20">
        <v>0</v>
      </c>
      <c r="M2217" s="19">
        <f>Tienda!$K584-Tienda!$K584*Tienda!$L584</f>
        <v>89.676000000000002</v>
      </c>
      <c r="N2217" s="3" t="s">
        <v>10039</v>
      </c>
      <c r="O2217" s="3" t="s">
        <v>10041</v>
      </c>
      <c r="P2217" s="17">
        <v>45576</v>
      </c>
      <c r="Q2217" s="4">
        <v>0</v>
      </c>
    </row>
    <row r="2218" spans="1:17" ht="30" x14ac:dyDescent="0.25">
      <c r="A2218" s="2" t="s">
        <v>3760</v>
      </c>
      <c r="B2218" s="3" t="s">
        <v>5016</v>
      </c>
      <c r="C2218" s="3">
        <v>56</v>
      </c>
      <c r="D2218" s="46" t="str">
        <f>IF(Tabla1[[#This Row],[EDAD]]&lt;=35,"Adultos jóvenes 18 - 35 años",IF(C2218&gt;=36,"Adultos mayores 36 años en adelante"))</f>
        <v>Adultos mayores 36 años en adelante</v>
      </c>
      <c r="E2218" s="3" t="s">
        <v>5021</v>
      </c>
      <c r="F2218" s="3" t="s">
        <v>5029</v>
      </c>
      <c r="G2218" s="3" t="s">
        <v>5035</v>
      </c>
      <c r="H2218" s="3" t="s">
        <v>8783</v>
      </c>
      <c r="I2218" s="17">
        <v>45577</v>
      </c>
      <c r="J2218" s="18">
        <f>YEAR(Tabla1[[#This Row],[FECHA DE COMPRA]])</f>
        <v>2024</v>
      </c>
      <c r="K2218" s="19">
        <v>31.6</v>
      </c>
      <c r="L2218" s="20">
        <v>0.2</v>
      </c>
      <c r="M2218" s="19">
        <f>Tienda!$K585-Tienda!$K585*Tienda!$L585</f>
        <v>90.384</v>
      </c>
      <c r="N2218" s="3" t="s">
        <v>10039</v>
      </c>
      <c r="O2218" s="3" t="s">
        <v>10041</v>
      </c>
      <c r="P2218" s="17">
        <v>45577</v>
      </c>
      <c r="Q2218" s="4">
        <v>0</v>
      </c>
    </row>
    <row r="2219" spans="1:17" ht="30" x14ac:dyDescent="0.25">
      <c r="A2219" s="2" t="s">
        <v>4885</v>
      </c>
      <c r="B2219" s="3" t="s">
        <v>5016</v>
      </c>
      <c r="C2219" s="3">
        <v>37</v>
      </c>
      <c r="D2219" s="46" t="str">
        <f>IF(Tabla1[[#This Row],[EDAD]]&lt;=35,"Adultos jóvenes 18 - 35 años",IF(C2219&gt;=36,"Adultos mayores 36 años en adelante"))</f>
        <v>Adultos mayores 36 años en adelante</v>
      </c>
      <c r="E2219" s="3" t="s">
        <v>5021</v>
      </c>
      <c r="F2219" s="3" t="s">
        <v>5024</v>
      </c>
      <c r="G2219" s="3" t="s">
        <v>5035</v>
      </c>
      <c r="H2219" s="3" t="s">
        <v>9908</v>
      </c>
      <c r="I2219" s="17">
        <v>45577</v>
      </c>
      <c r="J2219" s="18">
        <f>YEAR(Tabla1[[#This Row],[FECHA DE COMPRA]])</f>
        <v>2024</v>
      </c>
      <c r="K2219" s="19">
        <v>103.05</v>
      </c>
      <c r="L2219" s="20">
        <v>0.2</v>
      </c>
      <c r="M2219" s="19">
        <f>Tienda!$K587-Tienda!$K587*Tienda!$L587</f>
        <v>91.584000000000003</v>
      </c>
      <c r="N2219" s="3" t="s">
        <v>10039</v>
      </c>
      <c r="O2219" s="3" t="s">
        <v>10041</v>
      </c>
      <c r="P2219" s="17">
        <v>45577</v>
      </c>
      <c r="Q2219" s="4">
        <v>0</v>
      </c>
    </row>
    <row r="2220" spans="1:17" ht="30" x14ac:dyDescent="0.25">
      <c r="A2220" s="2" t="s">
        <v>2697</v>
      </c>
      <c r="B2220" s="3" t="s">
        <v>5015</v>
      </c>
      <c r="C2220" s="3">
        <v>41</v>
      </c>
      <c r="D2220" s="46" t="str">
        <f>IF(Tabla1[[#This Row],[EDAD]]&lt;=35,"Adultos jóvenes 18 - 35 años",IF(C2220&gt;=36,"Adultos mayores 36 años en adelante"))</f>
        <v>Adultos mayores 36 años en adelante</v>
      </c>
      <c r="E2220" s="3" t="s">
        <v>5019</v>
      </c>
      <c r="F2220" s="3" t="s">
        <v>5030</v>
      </c>
      <c r="G2220" s="3" t="s">
        <v>5032</v>
      </c>
      <c r="H2220" s="3" t="s">
        <v>7720</v>
      </c>
      <c r="I2220" s="17">
        <v>45578</v>
      </c>
      <c r="J2220" s="18">
        <f>YEAR(Tabla1[[#This Row],[FECHA DE COMPRA]])</f>
        <v>2024</v>
      </c>
      <c r="K2220" s="19">
        <v>12.03</v>
      </c>
      <c r="L2220" s="20">
        <v>0.1</v>
      </c>
      <c r="M2220" s="19">
        <f>Tienda!$K588-Tienda!$K588*Tienda!$L588</f>
        <v>92.050000000000011</v>
      </c>
      <c r="N2220" s="3" t="s">
        <v>10039</v>
      </c>
      <c r="O2220" s="3" t="s">
        <v>10041</v>
      </c>
      <c r="P2220" s="17">
        <v>45578</v>
      </c>
      <c r="Q2220" s="4">
        <v>0</v>
      </c>
    </row>
    <row r="2221" spans="1:17" ht="30" x14ac:dyDescent="0.25">
      <c r="A2221" s="2" t="s">
        <v>3402</v>
      </c>
      <c r="B2221" s="3" t="s">
        <v>5015</v>
      </c>
      <c r="C2221" s="3">
        <v>39</v>
      </c>
      <c r="D2221" s="46" t="str">
        <f>IF(Tabla1[[#This Row],[EDAD]]&lt;=35,"Adultos jóvenes 18 - 35 años",IF(C2221&gt;=36,"Adultos mayores 36 años en adelante"))</f>
        <v>Adultos mayores 36 años en adelante</v>
      </c>
      <c r="E2221" s="3" t="s">
        <v>5018</v>
      </c>
      <c r="F2221" s="3" t="s">
        <v>5028</v>
      </c>
      <c r="G2221" s="3" t="s">
        <v>5035</v>
      </c>
      <c r="H2221" s="3" t="s">
        <v>8425</v>
      </c>
      <c r="I2221" s="17">
        <v>45578</v>
      </c>
      <c r="J2221" s="18">
        <f>YEAR(Tabla1[[#This Row],[FECHA DE COMPRA]])</f>
        <v>2024</v>
      </c>
      <c r="K2221" s="19">
        <v>183.26</v>
      </c>
      <c r="L2221" s="20">
        <v>0</v>
      </c>
      <c r="M2221" s="19">
        <f>Tienda!$K589-Tienda!$K589*Tienda!$L589</f>
        <v>92.241</v>
      </c>
      <c r="N2221" s="3" t="s">
        <v>10039</v>
      </c>
      <c r="O2221" s="3" t="s">
        <v>10041</v>
      </c>
      <c r="P2221" s="17">
        <v>45578</v>
      </c>
      <c r="Q2221" s="4">
        <v>0</v>
      </c>
    </row>
    <row r="2222" spans="1:17" ht="30" x14ac:dyDescent="0.25">
      <c r="A2222" s="2" t="s">
        <v>376</v>
      </c>
      <c r="B2222" s="3" t="s">
        <v>5015</v>
      </c>
      <c r="C2222" s="3">
        <v>61</v>
      </c>
      <c r="D2222" s="46" t="str">
        <f>IF(Tabla1[[#This Row],[EDAD]]&lt;=35,"Adultos jóvenes 18 - 35 años",IF(C2222&gt;=36,"Adultos mayores 36 años en adelante"))</f>
        <v>Adultos mayores 36 años en adelante</v>
      </c>
      <c r="E2222" s="3" t="s">
        <v>5022</v>
      </c>
      <c r="F2222" s="3" t="s">
        <v>5025</v>
      </c>
      <c r="G2222" s="3" t="s">
        <v>5032</v>
      </c>
      <c r="H2222" s="3" t="s">
        <v>5399</v>
      </c>
      <c r="I2222" s="17">
        <v>45582</v>
      </c>
      <c r="J2222" s="18">
        <f>YEAR(Tabla1[[#This Row],[FECHA DE COMPRA]])</f>
        <v>2024</v>
      </c>
      <c r="K2222" s="19">
        <v>67.37</v>
      </c>
      <c r="L2222" s="20">
        <v>0</v>
      </c>
      <c r="M2222" s="19">
        <f>Tienda!$K593-Tienda!$K593*Tienda!$L593</f>
        <v>96.823999999999998</v>
      </c>
      <c r="N2222" s="3" t="s">
        <v>10039</v>
      </c>
      <c r="O2222" s="3" t="s">
        <v>10041</v>
      </c>
      <c r="P2222" s="17">
        <v>45582</v>
      </c>
      <c r="Q2222" s="4">
        <v>0</v>
      </c>
    </row>
    <row r="2223" spans="1:17" ht="30" x14ac:dyDescent="0.25">
      <c r="A2223" s="2" t="s">
        <v>620</v>
      </c>
      <c r="B2223" s="3" t="s">
        <v>5015</v>
      </c>
      <c r="C2223" s="3">
        <v>39</v>
      </c>
      <c r="D2223" s="46" t="str">
        <f>IF(Tabla1[[#This Row],[EDAD]]&lt;=35,"Adultos jóvenes 18 - 35 años",IF(C2223&gt;=36,"Adultos mayores 36 años en adelante"))</f>
        <v>Adultos mayores 36 años en adelante</v>
      </c>
      <c r="E2223" s="3" t="s">
        <v>5022</v>
      </c>
      <c r="F2223" s="3" t="s">
        <v>5028</v>
      </c>
      <c r="G2223" s="3" t="s">
        <v>5035</v>
      </c>
      <c r="H2223" s="3" t="s">
        <v>5643</v>
      </c>
      <c r="I2223" s="17">
        <v>45582</v>
      </c>
      <c r="J2223" s="18">
        <f>YEAR(Tabla1[[#This Row],[FECHA DE COMPRA]])</f>
        <v>2024</v>
      </c>
      <c r="K2223" s="19">
        <v>75.08</v>
      </c>
      <c r="L2223" s="20">
        <v>0.2</v>
      </c>
      <c r="M2223" s="19">
        <f>Tienda!$K594-Tienda!$K594*Tienda!$L594</f>
        <v>98.503999999999991</v>
      </c>
      <c r="N2223" s="3" t="s">
        <v>10039</v>
      </c>
      <c r="O2223" s="3" t="s">
        <v>10041</v>
      </c>
      <c r="P2223" s="17">
        <v>45582</v>
      </c>
      <c r="Q2223" s="4">
        <v>0</v>
      </c>
    </row>
    <row r="2224" spans="1:17" ht="30" x14ac:dyDescent="0.25">
      <c r="A2224" s="2" t="s">
        <v>4978</v>
      </c>
      <c r="B2224" s="3" t="s">
        <v>5015</v>
      </c>
      <c r="C2224" s="3">
        <v>45</v>
      </c>
      <c r="D2224" s="46" t="str">
        <f>IF(Tabla1[[#This Row],[EDAD]]&lt;=35,"Adultos jóvenes 18 - 35 años",IF(C2224&gt;=36,"Adultos mayores 36 años en adelante"))</f>
        <v>Adultos mayores 36 años en adelante</v>
      </c>
      <c r="E2224" s="3" t="s">
        <v>5020</v>
      </c>
      <c r="F2224" s="3" t="s">
        <v>5030</v>
      </c>
      <c r="G2224" s="3" t="s">
        <v>5033</v>
      </c>
      <c r="H2224" s="3" t="s">
        <v>10001</v>
      </c>
      <c r="I2224" s="17">
        <v>45583</v>
      </c>
      <c r="J2224" s="18">
        <f>YEAR(Tabla1[[#This Row],[FECHA DE COMPRA]])</f>
        <v>2024</v>
      </c>
      <c r="K2224" s="19">
        <v>130.29</v>
      </c>
      <c r="L2224" s="20">
        <v>0</v>
      </c>
      <c r="M2224" s="19">
        <f>Tienda!$K596-Tienda!$K596*Tienda!$L596</f>
        <v>99.05</v>
      </c>
      <c r="N2224" s="3" t="s">
        <v>10039</v>
      </c>
      <c r="O2224" s="3" t="s">
        <v>10041</v>
      </c>
      <c r="P2224" s="17">
        <v>45583</v>
      </c>
      <c r="Q2224" s="4">
        <v>0</v>
      </c>
    </row>
    <row r="2225" spans="1:17" ht="30" x14ac:dyDescent="0.25">
      <c r="A2225" s="2" t="s">
        <v>1953</v>
      </c>
      <c r="B2225" s="3" t="s">
        <v>5015</v>
      </c>
      <c r="C2225" s="3">
        <v>36</v>
      </c>
      <c r="D2225" s="46" t="str">
        <f>IF(Tabla1[[#This Row],[EDAD]]&lt;=35,"Adultos jóvenes 18 - 35 años",IF(C2225&gt;=36,"Adultos mayores 36 años en adelante"))</f>
        <v>Adultos mayores 36 años en adelante</v>
      </c>
      <c r="E2225" s="3" t="s">
        <v>5020</v>
      </c>
      <c r="F2225" s="3" t="s">
        <v>5024</v>
      </c>
      <c r="G2225" s="3" t="s">
        <v>5036</v>
      </c>
      <c r="H2225" s="3" t="s">
        <v>6976</v>
      </c>
      <c r="I2225" s="17">
        <v>45583</v>
      </c>
      <c r="J2225" s="18">
        <f>YEAR(Tabla1[[#This Row],[FECHA DE COMPRA]])</f>
        <v>2024</v>
      </c>
      <c r="K2225" s="19">
        <v>154.35</v>
      </c>
      <c r="L2225" s="20">
        <v>0</v>
      </c>
      <c r="M2225" s="19">
        <f>Tienda!$K597-Tienda!$K597*Tienda!$L597</f>
        <v>100.114</v>
      </c>
      <c r="N2225" s="3" t="s">
        <v>10039</v>
      </c>
      <c r="O2225" s="3" t="s">
        <v>10041</v>
      </c>
      <c r="P2225" s="17">
        <v>45583</v>
      </c>
      <c r="Q2225" s="4">
        <v>0</v>
      </c>
    </row>
    <row r="2226" spans="1:17" ht="30" x14ac:dyDescent="0.25">
      <c r="A2226" s="2" t="s">
        <v>4132</v>
      </c>
      <c r="B2226" s="3" t="s">
        <v>5016</v>
      </c>
      <c r="C2226" s="3">
        <v>38</v>
      </c>
      <c r="D2226" s="46" t="str">
        <f>IF(Tabla1[[#This Row],[EDAD]]&lt;=35,"Adultos jóvenes 18 - 35 años",IF(C2226&gt;=36,"Adultos mayores 36 años en adelante"))</f>
        <v>Adultos mayores 36 años en adelante</v>
      </c>
      <c r="E2226" s="3" t="s">
        <v>5021</v>
      </c>
      <c r="F2226" s="3" t="s">
        <v>5029</v>
      </c>
      <c r="G2226" s="3" t="s">
        <v>5034</v>
      </c>
      <c r="H2226" s="3" t="s">
        <v>9155</v>
      </c>
      <c r="I2226" s="17">
        <v>45584</v>
      </c>
      <c r="J2226" s="18">
        <f>YEAR(Tabla1[[#This Row],[FECHA DE COMPRA]])</f>
        <v>2024</v>
      </c>
      <c r="K2226" s="19">
        <v>14.28</v>
      </c>
      <c r="L2226" s="20">
        <v>0.2</v>
      </c>
      <c r="M2226" s="19">
        <f>Tienda!$K598-Tienda!$K598*Tienda!$L598</f>
        <v>101.32</v>
      </c>
      <c r="N2226" s="3" t="s">
        <v>10039</v>
      </c>
      <c r="O2226" s="3" t="s">
        <v>10041</v>
      </c>
      <c r="P2226" s="17">
        <v>45584</v>
      </c>
      <c r="Q2226" s="4">
        <v>0</v>
      </c>
    </row>
    <row r="2227" spans="1:17" ht="30" x14ac:dyDescent="0.25">
      <c r="A2227" s="2" t="s">
        <v>1175</v>
      </c>
      <c r="B2227" s="3" t="s">
        <v>5016</v>
      </c>
      <c r="C2227" s="3">
        <v>44</v>
      </c>
      <c r="D2227" s="46" t="str">
        <f>IF(Tabla1[[#This Row],[EDAD]]&lt;=35,"Adultos jóvenes 18 - 35 años",IF(C2227&gt;=36,"Adultos mayores 36 años en adelante"))</f>
        <v>Adultos mayores 36 años en adelante</v>
      </c>
      <c r="E2227" s="3" t="s">
        <v>5019</v>
      </c>
      <c r="F2227" s="3" t="s">
        <v>5024</v>
      </c>
      <c r="G2227" s="3" t="s">
        <v>5037</v>
      </c>
      <c r="H2227" s="3" t="s">
        <v>6198</v>
      </c>
      <c r="I2227" s="17">
        <v>45584</v>
      </c>
      <c r="J2227" s="18">
        <f>YEAR(Tabla1[[#This Row],[FECHA DE COMPRA]])</f>
        <v>2024</v>
      </c>
      <c r="K2227" s="19">
        <v>78.14</v>
      </c>
      <c r="L2227" s="20">
        <v>0.1</v>
      </c>
      <c r="M2227" s="19">
        <f>Tienda!$K599-Tienda!$K599*Tienda!$L599</f>
        <v>101.72</v>
      </c>
      <c r="N2227" s="3" t="s">
        <v>10039</v>
      </c>
      <c r="O2227" s="3" t="s">
        <v>10041</v>
      </c>
      <c r="P2227" s="17">
        <v>45584</v>
      </c>
      <c r="Q2227" s="4">
        <v>0</v>
      </c>
    </row>
    <row r="2228" spans="1:17" ht="30" x14ac:dyDescent="0.25">
      <c r="A2228" s="2" t="s">
        <v>4729</v>
      </c>
      <c r="B2228" s="3" t="s">
        <v>5015</v>
      </c>
      <c r="C2228" s="3">
        <v>65</v>
      </c>
      <c r="D2228" s="46" t="str">
        <f>IF(Tabla1[[#This Row],[EDAD]]&lt;=35,"Adultos jóvenes 18 - 35 años",IF(C2228&gt;=36,"Adultos mayores 36 años en adelante"))</f>
        <v>Adultos mayores 36 años en adelante</v>
      </c>
      <c r="E2228" s="3" t="s">
        <v>5023</v>
      </c>
      <c r="F2228" s="3" t="s">
        <v>5030</v>
      </c>
      <c r="G2228" s="3" t="s">
        <v>5033</v>
      </c>
      <c r="H2228" s="3" t="s">
        <v>9752</v>
      </c>
      <c r="I2228" s="17">
        <v>45584</v>
      </c>
      <c r="J2228" s="18">
        <f>YEAR(Tabla1[[#This Row],[FECHA DE COMPRA]])</f>
        <v>2024</v>
      </c>
      <c r="K2228" s="19">
        <v>195.98</v>
      </c>
      <c r="L2228" s="20">
        <v>0.1</v>
      </c>
      <c r="M2228" s="19">
        <f>Tienda!$K600-Tienda!$K600*Tienda!$L600</f>
        <v>103.64</v>
      </c>
      <c r="N2228" s="3" t="s">
        <v>10039</v>
      </c>
      <c r="O2228" s="3" t="s">
        <v>10041</v>
      </c>
      <c r="P2228" s="17">
        <v>45584</v>
      </c>
      <c r="Q2228" s="4">
        <v>0</v>
      </c>
    </row>
    <row r="2229" spans="1:17" ht="30" x14ac:dyDescent="0.25">
      <c r="A2229" s="2" t="s">
        <v>2141</v>
      </c>
      <c r="B2229" s="3" t="s">
        <v>5015</v>
      </c>
      <c r="C2229" s="3">
        <v>36</v>
      </c>
      <c r="D2229" s="46" t="str">
        <f>IF(Tabla1[[#This Row],[EDAD]]&lt;=35,"Adultos jóvenes 18 - 35 años",IF(C2229&gt;=36,"Adultos mayores 36 años en adelante"))</f>
        <v>Adultos mayores 36 años en adelante</v>
      </c>
      <c r="E2229" s="3" t="s">
        <v>5018</v>
      </c>
      <c r="F2229" s="3" t="s">
        <v>5030</v>
      </c>
      <c r="G2229" s="3" t="s">
        <v>5036</v>
      </c>
      <c r="H2229" s="3" t="s">
        <v>7164</v>
      </c>
      <c r="I2229" s="17">
        <v>45584</v>
      </c>
      <c r="J2229" s="18">
        <f>YEAR(Tabla1[[#This Row],[FECHA DE COMPRA]])</f>
        <v>2024</v>
      </c>
      <c r="K2229" s="19">
        <v>198.98</v>
      </c>
      <c r="L2229" s="20">
        <v>0</v>
      </c>
      <c r="M2229" s="19">
        <f>Tienda!$K601-Tienda!$K601*Tienda!$L601</f>
        <v>104.15</v>
      </c>
      <c r="N2229" s="3" t="s">
        <v>10039</v>
      </c>
      <c r="O2229" s="3" t="s">
        <v>10041</v>
      </c>
      <c r="P2229" s="17">
        <v>45584</v>
      </c>
      <c r="Q2229" s="4">
        <v>0</v>
      </c>
    </row>
    <row r="2230" spans="1:17" ht="30" x14ac:dyDescent="0.25">
      <c r="A2230" s="2" t="s">
        <v>1334</v>
      </c>
      <c r="B2230" s="3" t="s">
        <v>5015</v>
      </c>
      <c r="C2230" s="3">
        <v>64</v>
      </c>
      <c r="D2230" s="46" t="str">
        <f>IF(Tabla1[[#This Row],[EDAD]]&lt;=35,"Adultos jóvenes 18 - 35 años",IF(C2230&gt;=36,"Adultos mayores 36 años en adelante"))</f>
        <v>Adultos mayores 36 años en adelante</v>
      </c>
      <c r="E2230" s="3" t="s">
        <v>5020</v>
      </c>
      <c r="F2230" s="3" t="s">
        <v>5025</v>
      </c>
      <c r="G2230" s="3" t="s">
        <v>5033</v>
      </c>
      <c r="H2230" s="3" t="s">
        <v>6357</v>
      </c>
      <c r="I2230" s="17">
        <v>45585</v>
      </c>
      <c r="J2230" s="18">
        <f>YEAR(Tabla1[[#This Row],[FECHA DE COMPRA]])</f>
        <v>2024</v>
      </c>
      <c r="K2230" s="19">
        <v>162.97</v>
      </c>
      <c r="L2230" s="20">
        <v>0.1</v>
      </c>
      <c r="M2230" s="19">
        <f>Tienda!$K603-Tienda!$K603*Tienda!$L603</f>
        <v>106.8</v>
      </c>
      <c r="N2230" s="3" t="s">
        <v>10039</v>
      </c>
      <c r="O2230" s="3" t="s">
        <v>10041</v>
      </c>
      <c r="P2230" s="17">
        <v>45585</v>
      </c>
      <c r="Q2230" s="4">
        <v>0</v>
      </c>
    </row>
    <row r="2231" spans="1:17" ht="30" x14ac:dyDescent="0.25">
      <c r="A2231" s="2" t="s">
        <v>3116</v>
      </c>
      <c r="B2231" s="3" t="s">
        <v>5015</v>
      </c>
      <c r="C2231" s="3">
        <v>45</v>
      </c>
      <c r="D2231" s="46" t="str">
        <f>IF(Tabla1[[#This Row],[EDAD]]&lt;=35,"Adultos jóvenes 18 - 35 años",IF(C2231&gt;=36,"Adultos mayores 36 años en adelante"))</f>
        <v>Adultos mayores 36 años en adelante</v>
      </c>
      <c r="E2231" s="3" t="s">
        <v>5022</v>
      </c>
      <c r="F2231" s="3" t="s">
        <v>5030</v>
      </c>
      <c r="G2231" s="3" t="s">
        <v>5031</v>
      </c>
      <c r="H2231" s="3" t="s">
        <v>8139</v>
      </c>
      <c r="I2231" s="17">
        <v>45585</v>
      </c>
      <c r="J2231" s="18">
        <f>YEAR(Tabla1[[#This Row],[FECHA DE COMPRA]])</f>
        <v>2024</v>
      </c>
      <c r="K2231" s="19">
        <v>191.33</v>
      </c>
      <c r="L2231" s="20">
        <v>0.2</v>
      </c>
      <c r="M2231" s="19">
        <f>Tienda!$K604-Tienda!$K604*Tienda!$L604</f>
        <v>107.03700000000001</v>
      </c>
      <c r="N2231" s="3" t="s">
        <v>10039</v>
      </c>
      <c r="O2231" s="3" t="s">
        <v>10041</v>
      </c>
      <c r="P2231" s="17">
        <v>45585</v>
      </c>
      <c r="Q2231" s="4">
        <v>0</v>
      </c>
    </row>
    <row r="2232" spans="1:17" ht="30" x14ac:dyDescent="0.25">
      <c r="A2232" s="2" t="s">
        <v>894</v>
      </c>
      <c r="B2232" s="3" t="s">
        <v>5015</v>
      </c>
      <c r="C2232" s="3">
        <v>53</v>
      </c>
      <c r="D2232" s="46" t="str">
        <f>IF(Tabla1[[#This Row],[EDAD]]&lt;=35,"Adultos jóvenes 18 - 35 años",IF(C2232&gt;=36,"Adultos mayores 36 años en adelante"))</f>
        <v>Adultos mayores 36 años en adelante</v>
      </c>
      <c r="E2232" s="3" t="s">
        <v>5023</v>
      </c>
      <c r="F2232" s="3" t="s">
        <v>5027</v>
      </c>
      <c r="G2232" s="3" t="s">
        <v>5033</v>
      </c>
      <c r="H2232" s="3" t="s">
        <v>5917</v>
      </c>
      <c r="I2232" s="17">
        <v>45586</v>
      </c>
      <c r="J2232" s="18">
        <f>YEAR(Tabla1[[#This Row],[FECHA DE COMPRA]])</f>
        <v>2024</v>
      </c>
      <c r="K2232" s="19">
        <v>10.050000000000001</v>
      </c>
      <c r="L2232" s="20">
        <v>0.1</v>
      </c>
      <c r="M2232" s="19">
        <f>Tienda!$K605-Tienda!$K605*Tienda!$L605</f>
        <v>108.26899999999999</v>
      </c>
      <c r="N2232" s="3" t="s">
        <v>10039</v>
      </c>
      <c r="O2232" s="3" t="s">
        <v>10041</v>
      </c>
      <c r="P2232" s="17">
        <v>45586</v>
      </c>
      <c r="Q2232" s="4">
        <v>0</v>
      </c>
    </row>
    <row r="2233" spans="1:17" ht="30" x14ac:dyDescent="0.25">
      <c r="A2233" s="2" t="s">
        <v>3883</v>
      </c>
      <c r="B2233" s="3" t="s">
        <v>5016</v>
      </c>
      <c r="C2233" s="3">
        <v>40</v>
      </c>
      <c r="D2233" s="46" t="str">
        <f>IF(Tabla1[[#This Row],[EDAD]]&lt;=35,"Adultos jóvenes 18 - 35 años",IF(C2233&gt;=36,"Adultos mayores 36 años en adelante"))</f>
        <v>Adultos mayores 36 años en adelante</v>
      </c>
      <c r="E2233" s="3" t="s">
        <v>5021</v>
      </c>
      <c r="F2233" s="3" t="s">
        <v>5028</v>
      </c>
      <c r="G2233" s="3" t="s">
        <v>5032</v>
      </c>
      <c r="H2233" s="3" t="s">
        <v>8906</v>
      </c>
      <c r="I2233" s="17">
        <v>45586</v>
      </c>
      <c r="J2233" s="18">
        <f>YEAR(Tabla1[[#This Row],[FECHA DE COMPRA]])</f>
        <v>2024</v>
      </c>
      <c r="K2233" s="19">
        <v>131.47</v>
      </c>
      <c r="L2233" s="20">
        <v>0</v>
      </c>
      <c r="M2233" s="19">
        <f>Tienda!$K607-Tienda!$K607*Tienda!$L607</f>
        <v>108.55</v>
      </c>
      <c r="N2233" s="3" t="s">
        <v>10039</v>
      </c>
      <c r="O2233" s="3" t="s">
        <v>10041</v>
      </c>
      <c r="P2233" s="17">
        <v>45586</v>
      </c>
      <c r="Q2233" s="4">
        <v>0</v>
      </c>
    </row>
    <row r="2234" spans="1:17" ht="30" x14ac:dyDescent="0.25">
      <c r="A2234" s="2" t="s">
        <v>2168</v>
      </c>
      <c r="B2234" s="3" t="s">
        <v>5016</v>
      </c>
      <c r="C2234" s="3">
        <v>58</v>
      </c>
      <c r="D2234" s="46" t="str">
        <f>IF(Tabla1[[#This Row],[EDAD]]&lt;=35,"Adultos jóvenes 18 - 35 años",IF(C2234&gt;=36,"Adultos mayores 36 años en adelante"))</f>
        <v>Adultos mayores 36 años en adelante</v>
      </c>
      <c r="E2234" s="3" t="s">
        <v>5019</v>
      </c>
      <c r="F2234" s="3" t="s">
        <v>5029</v>
      </c>
      <c r="G2234" s="3" t="s">
        <v>5035</v>
      </c>
      <c r="H2234" s="3" t="s">
        <v>7191</v>
      </c>
      <c r="I2234" s="17">
        <v>45586</v>
      </c>
      <c r="J2234" s="18">
        <f>YEAR(Tabla1[[#This Row],[FECHA DE COMPRA]])</f>
        <v>2024</v>
      </c>
      <c r="K2234" s="19">
        <v>162.22</v>
      </c>
      <c r="L2234" s="20">
        <v>0.3</v>
      </c>
      <c r="M2234" s="19">
        <f>Tienda!$K608-Tienda!$K608*Tienda!$L608</f>
        <v>110.38</v>
      </c>
      <c r="N2234" s="3" t="s">
        <v>10039</v>
      </c>
      <c r="O2234" s="3" t="s">
        <v>10041</v>
      </c>
      <c r="P2234" s="17">
        <v>45586</v>
      </c>
      <c r="Q2234" s="4">
        <v>0</v>
      </c>
    </row>
    <row r="2235" spans="1:17" ht="30" x14ac:dyDescent="0.25">
      <c r="A2235" s="2" t="s">
        <v>873</v>
      </c>
      <c r="B2235" s="3" t="s">
        <v>5015</v>
      </c>
      <c r="C2235" s="3">
        <v>58</v>
      </c>
      <c r="D2235" s="46" t="str">
        <f>IF(Tabla1[[#This Row],[EDAD]]&lt;=35,"Adultos jóvenes 18 - 35 años",IF(C2235&gt;=36,"Adultos mayores 36 años en adelante"))</f>
        <v>Adultos mayores 36 años en adelante</v>
      </c>
      <c r="E2235" s="3" t="s">
        <v>5018</v>
      </c>
      <c r="F2235" s="3" t="s">
        <v>5028</v>
      </c>
      <c r="G2235" s="3" t="s">
        <v>5034</v>
      </c>
      <c r="H2235" s="3" t="s">
        <v>5896</v>
      </c>
      <c r="I2235" s="17">
        <v>45587</v>
      </c>
      <c r="J2235" s="18">
        <f>YEAR(Tabla1[[#This Row],[FECHA DE COMPRA]])</f>
        <v>2024</v>
      </c>
      <c r="K2235" s="19">
        <v>122.63</v>
      </c>
      <c r="L2235" s="20">
        <v>0</v>
      </c>
      <c r="M2235" s="19">
        <f>Tienda!$K609-Tienda!$K609*Tienda!$L609</f>
        <v>110.964</v>
      </c>
      <c r="N2235" s="3" t="s">
        <v>10039</v>
      </c>
      <c r="O2235" s="3" t="s">
        <v>10041</v>
      </c>
      <c r="P2235" s="17">
        <v>45587</v>
      </c>
      <c r="Q2235" s="4">
        <v>0</v>
      </c>
    </row>
    <row r="2236" spans="1:17" ht="30" x14ac:dyDescent="0.25">
      <c r="A2236" s="2" t="s">
        <v>2969</v>
      </c>
      <c r="B2236" s="3" t="s">
        <v>5016</v>
      </c>
      <c r="C2236" s="3">
        <v>38</v>
      </c>
      <c r="D2236" s="46" t="str">
        <f>IF(Tabla1[[#This Row],[EDAD]]&lt;=35,"Adultos jóvenes 18 - 35 años",IF(C2236&gt;=36,"Adultos mayores 36 años en adelante"))</f>
        <v>Adultos mayores 36 años en adelante</v>
      </c>
      <c r="E2236" s="3" t="s">
        <v>5023</v>
      </c>
      <c r="F2236" s="3" t="s">
        <v>5030</v>
      </c>
      <c r="G2236" s="3" t="s">
        <v>5036</v>
      </c>
      <c r="H2236" s="3" t="s">
        <v>7992</v>
      </c>
      <c r="I2236" s="17">
        <v>45588</v>
      </c>
      <c r="J2236" s="18">
        <f>YEAR(Tabla1[[#This Row],[FECHA DE COMPRA]])</f>
        <v>2024</v>
      </c>
      <c r="K2236" s="19">
        <v>87.38</v>
      </c>
      <c r="L2236" s="20">
        <v>0.3</v>
      </c>
      <c r="M2236" s="19">
        <f>Tienda!$K611-Tienda!$K611*Tienda!$L611</f>
        <v>113.78</v>
      </c>
      <c r="N2236" s="3" t="s">
        <v>10039</v>
      </c>
      <c r="O2236" s="3" t="s">
        <v>10041</v>
      </c>
      <c r="P2236" s="17">
        <v>45588</v>
      </c>
      <c r="Q2236" s="4">
        <v>0</v>
      </c>
    </row>
    <row r="2237" spans="1:17" ht="30" x14ac:dyDescent="0.25">
      <c r="A2237" s="2" t="s">
        <v>4479</v>
      </c>
      <c r="B2237" s="3" t="s">
        <v>5015</v>
      </c>
      <c r="C2237" s="3">
        <v>63</v>
      </c>
      <c r="D2237" s="46" t="str">
        <f>IF(Tabla1[[#This Row],[EDAD]]&lt;=35,"Adultos jóvenes 18 - 35 años",IF(C2237&gt;=36,"Adultos mayores 36 años en adelante"))</f>
        <v>Adultos mayores 36 años en adelante</v>
      </c>
      <c r="E2237" s="3" t="s">
        <v>5020</v>
      </c>
      <c r="F2237" s="3" t="s">
        <v>5024</v>
      </c>
      <c r="G2237" s="3" t="s">
        <v>5031</v>
      </c>
      <c r="H2237" s="3" t="s">
        <v>9502</v>
      </c>
      <c r="I2237" s="17">
        <v>45588</v>
      </c>
      <c r="J2237" s="18">
        <f>YEAR(Tabla1[[#This Row],[FECHA DE COMPRA]])</f>
        <v>2024</v>
      </c>
      <c r="K2237" s="19">
        <v>99.55</v>
      </c>
      <c r="L2237" s="20">
        <v>0.3</v>
      </c>
      <c r="M2237" s="19">
        <f>Tienda!$K612-Tienda!$K612*Tienda!$L612</f>
        <v>113.816</v>
      </c>
      <c r="N2237" s="3" t="s">
        <v>10039</v>
      </c>
      <c r="O2237" s="3" t="s">
        <v>10041</v>
      </c>
      <c r="P2237" s="17">
        <v>45588</v>
      </c>
      <c r="Q2237" s="4">
        <v>0</v>
      </c>
    </row>
    <row r="2238" spans="1:17" ht="30" x14ac:dyDescent="0.25">
      <c r="A2238" s="2" t="s">
        <v>1395</v>
      </c>
      <c r="B2238" s="3" t="s">
        <v>5016</v>
      </c>
      <c r="C2238" s="3">
        <v>56</v>
      </c>
      <c r="D2238" s="46" t="str">
        <f>IF(Tabla1[[#This Row],[EDAD]]&lt;=35,"Adultos jóvenes 18 - 35 años",IF(C2238&gt;=36,"Adultos mayores 36 años en adelante"))</f>
        <v>Adultos mayores 36 años en adelante</v>
      </c>
      <c r="E2238" s="3" t="s">
        <v>5021</v>
      </c>
      <c r="F2238" s="3" t="s">
        <v>5029</v>
      </c>
      <c r="G2238" s="3" t="s">
        <v>5035</v>
      </c>
      <c r="H2238" s="3" t="s">
        <v>6418</v>
      </c>
      <c r="I2238" s="17">
        <v>45588</v>
      </c>
      <c r="J2238" s="18">
        <f>YEAR(Tabla1[[#This Row],[FECHA DE COMPRA]])</f>
        <v>2024</v>
      </c>
      <c r="K2238" s="19">
        <v>119.35</v>
      </c>
      <c r="L2238" s="20">
        <v>0</v>
      </c>
      <c r="M2238" s="19">
        <f>Tienda!$K613-Tienda!$K613*Tienda!$L613</f>
        <v>115.38800000000001</v>
      </c>
      <c r="N2238" s="3" t="s">
        <v>10039</v>
      </c>
      <c r="O2238" s="3" t="s">
        <v>10041</v>
      </c>
      <c r="P2238" s="17">
        <v>45588</v>
      </c>
      <c r="Q2238" s="4">
        <v>0</v>
      </c>
    </row>
    <row r="2239" spans="1:17" ht="30" x14ac:dyDescent="0.25">
      <c r="A2239" s="2" t="s">
        <v>4777</v>
      </c>
      <c r="B2239" s="3" t="s">
        <v>5016</v>
      </c>
      <c r="C2239" s="3">
        <v>53</v>
      </c>
      <c r="D2239" s="46" t="str">
        <f>IF(Tabla1[[#This Row],[EDAD]]&lt;=35,"Adultos jóvenes 18 - 35 años",IF(C2239&gt;=36,"Adultos mayores 36 años en adelante"))</f>
        <v>Adultos mayores 36 años en adelante</v>
      </c>
      <c r="E2239" s="3" t="s">
        <v>5019</v>
      </c>
      <c r="F2239" s="3" t="s">
        <v>5029</v>
      </c>
      <c r="G2239" s="3" t="s">
        <v>5034</v>
      </c>
      <c r="H2239" s="3" t="s">
        <v>9800</v>
      </c>
      <c r="I2239" s="17">
        <v>45589</v>
      </c>
      <c r="J2239" s="18">
        <f>YEAR(Tabla1[[#This Row],[FECHA DE COMPRA]])</f>
        <v>2024</v>
      </c>
      <c r="K2239" s="19">
        <v>64.59</v>
      </c>
      <c r="L2239" s="20">
        <v>0.1</v>
      </c>
      <c r="M2239" s="19">
        <f>Tienda!$K614-Tienda!$K614*Tienda!$L614</f>
        <v>115.738</v>
      </c>
      <c r="N2239" s="3" t="s">
        <v>10039</v>
      </c>
      <c r="O2239" s="3" t="s">
        <v>10041</v>
      </c>
      <c r="P2239" s="17">
        <v>45589</v>
      </c>
      <c r="Q2239" s="4">
        <v>0</v>
      </c>
    </row>
    <row r="2240" spans="1:17" ht="30" x14ac:dyDescent="0.25">
      <c r="A2240" s="2" t="s">
        <v>4660</v>
      </c>
      <c r="B2240" s="3" t="s">
        <v>5016</v>
      </c>
      <c r="C2240" s="3">
        <v>58</v>
      </c>
      <c r="D2240" s="46" t="str">
        <f>IF(Tabla1[[#This Row],[EDAD]]&lt;=35,"Adultos jóvenes 18 - 35 años",IF(C2240&gt;=36,"Adultos mayores 36 años en adelante"))</f>
        <v>Adultos mayores 36 años en adelante</v>
      </c>
      <c r="E2240" s="3" t="s">
        <v>5021</v>
      </c>
      <c r="F2240" s="3" t="s">
        <v>5029</v>
      </c>
      <c r="G2240" s="3" t="s">
        <v>5036</v>
      </c>
      <c r="H2240" s="3" t="s">
        <v>9683</v>
      </c>
      <c r="I2240" s="17">
        <v>45589</v>
      </c>
      <c r="J2240" s="18">
        <f>YEAR(Tabla1[[#This Row],[FECHA DE COMPRA]])</f>
        <v>2024</v>
      </c>
      <c r="K2240" s="19">
        <v>92.51</v>
      </c>
      <c r="L2240" s="20">
        <v>0.1</v>
      </c>
      <c r="M2240" s="19">
        <f>Tienda!$K615-Tienda!$K615*Tienda!$L615</f>
        <v>116.00399999999999</v>
      </c>
      <c r="N2240" s="3" t="s">
        <v>10039</v>
      </c>
      <c r="O2240" s="3" t="s">
        <v>10041</v>
      </c>
      <c r="P2240" s="17">
        <v>45589</v>
      </c>
      <c r="Q2240" s="4">
        <v>0</v>
      </c>
    </row>
    <row r="2241" spans="1:17" ht="30" x14ac:dyDescent="0.25">
      <c r="A2241" s="2" t="s">
        <v>798</v>
      </c>
      <c r="B2241" s="3" t="s">
        <v>5015</v>
      </c>
      <c r="C2241" s="3">
        <v>48</v>
      </c>
      <c r="D2241" s="46" t="str">
        <f>IF(Tabla1[[#This Row],[EDAD]]&lt;=35,"Adultos jóvenes 18 - 35 años",IF(C2241&gt;=36,"Adultos mayores 36 años en adelante"))</f>
        <v>Adultos mayores 36 años en adelante</v>
      </c>
      <c r="E2241" s="3" t="s">
        <v>5018</v>
      </c>
      <c r="F2241" s="3" t="s">
        <v>5026</v>
      </c>
      <c r="G2241" s="3" t="s">
        <v>5037</v>
      </c>
      <c r="H2241" s="3" t="s">
        <v>5821</v>
      </c>
      <c r="I2241" s="17">
        <v>45590</v>
      </c>
      <c r="J2241" s="18">
        <f>YEAR(Tabla1[[#This Row],[FECHA DE COMPRA]])</f>
        <v>2024</v>
      </c>
      <c r="K2241" s="19">
        <v>20.91</v>
      </c>
      <c r="L2241" s="20">
        <v>0.3</v>
      </c>
      <c r="M2241" s="19">
        <f>Tienda!$K616-Tienda!$K616*Tienda!$L616</f>
        <v>116.04599999999999</v>
      </c>
      <c r="N2241" s="3" t="s">
        <v>10039</v>
      </c>
      <c r="O2241" s="3" t="s">
        <v>10041</v>
      </c>
      <c r="P2241" s="17">
        <v>45590</v>
      </c>
      <c r="Q2241" s="4">
        <v>0</v>
      </c>
    </row>
    <row r="2242" spans="1:17" ht="30" x14ac:dyDescent="0.25">
      <c r="A2242" s="2" t="s">
        <v>547</v>
      </c>
      <c r="B2242" s="3" t="s">
        <v>5015</v>
      </c>
      <c r="C2242" s="3">
        <v>39</v>
      </c>
      <c r="D2242" s="46" t="str">
        <f>IF(Tabla1[[#This Row],[EDAD]]&lt;=35,"Adultos jóvenes 18 - 35 años",IF(C2242&gt;=36,"Adultos mayores 36 años en adelante"))</f>
        <v>Adultos mayores 36 años en adelante</v>
      </c>
      <c r="E2242" s="3" t="s">
        <v>5021</v>
      </c>
      <c r="F2242" s="3" t="s">
        <v>5029</v>
      </c>
      <c r="G2242" s="3" t="s">
        <v>5032</v>
      </c>
      <c r="H2242" s="3" t="s">
        <v>5570</v>
      </c>
      <c r="I2242" s="17">
        <v>45590</v>
      </c>
      <c r="J2242" s="18">
        <f>YEAR(Tabla1[[#This Row],[FECHA DE COMPRA]])</f>
        <v>2024</v>
      </c>
      <c r="K2242" s="19">
        <v>139</v>
      </c>
      <c r="L2242" s="20">
        <v>0.1</v>
      </c>
      <c r="M2242" s="19">
        <f>Tienda!$K618-Tienda!$K618*Tienda!$L618</f>
        <v>116.256</v>
      </c>
      <c r="N2242" s="3" t="s">
        <v>10039</v>
      </c>
      <c r="O2242" s="3" t="s">
        <v>10041</v>
      </c>
      <c r="P2242" s="17">
        <v>45590</v>
      </c>
      <c r="Q2242" s="4">
        <v>0</v>
      </c>
    </row>
    <row r="2243" spans="1:17" ht="30" x14ac:dyDescent="0.25">
      <c r="A2243" s="2" t="s">
        <v>549</v>
      </c>
      <c r="B2243" s="3" t="s">
        <v>5016</v>
      </c>
      <c r="C2243" s="3">
        <v>43</v>
      </c>
      <c r="D2243" s="46" t="str">
        <f>IF(Tabla1[[#This Row],[EDAD]]&lt;=35,"Adultos jóvenes 18 - 35 años",IF(C2243&gt;=36,"Adultos mayores 36 años en adelante"))</f>
        <v>Adultos mayores 36 años en adelante</v>
      </c>
      <c r="E2243" s="3" t="s">
        <v>5023</v>
      </c>
      <c r="F2243" s="3" t="s">
        <v>5025</v>
      </c>
      <c r="G2243" s="3" t="s">
        <v>5032</v>
      </c>
      <c r="H2243" s="3" t="s">
        <v>5572</v>
      </c>
      <c r="I2243" s="17">
        <v>45590</v>
      </c>
      <c r="J2243" s="18">
        <f>YEAR(Tabla1[[#This Row],[FECHA DE COMPRA]])</f>
        <v>2024</v>
      </c>
      <c r="K2243" s="19">
        <v>180.11</v>
      </c>
      <c r="L2243" s="20">
        <v>0.2</v>
      </c>
      <c r="M2243" s="19">
        <f>Tienda!$K619-Tienda!$K619*Tienda!$L619</f>
        <v>116.33599999999998</v>
      </c>
      <c r="N2243" s="3" t="s">
        <v>10039</v>
      </c>
      <c r="O2243" s="3" t="s">
        <v>10041</v>
      </c>
      <c r="P2243" s="17">
        <v>45590</v>
      </c>
      <c r="Q2243" s="4">
        <v>0</v>
      </c>
    </row>
    <row r="2244" spans="1:17" ht="30" x14ac:dyDescent="0.25">
      <c r="A2244" s="2" t="s">
        <v>2262</v>
      </c>
      <c r="B2244" s="3" t="s">
        <v>5016</v>
      </c>
      <c r="C2244" s="3">
        <v>56</v>
      </c>
      <c r="D2244" s="46" t="str">
        <f>IF(Tabla1[[#This Row],[EDAD]]&lt;=35,"Adultos jóvenes 18 - 35 años",IF(C2244&gt;=36,"Adultos mayores 36 años en adelante"))</f>
        <v>Adultos mayores 36 años en adelante</v>
      </c>
      <c r="E2244" s="3" t="s">
        <v>5017</v>
      </c>
      <c r="F2244" s="3" t="s">
        <v>5029</v>
      </c>
      <c r="G2244" s="3" t="s">
        <v>5036</v>
      </c>
      <c r="H2244" s="3" t="s">
        <v>7285</v>
      </c>
      <c r="I2244" s="17">
        <v>45591</v>
      </c>
      <c r="J2244" s="18">
        <f>YEAR(Tabla1[[#This Row],[FECHA DE COMPRA]])</f>
        <v>2024</v>
      </c>
      <c r="K2244" s="19">
        <v>59.87</v>
      </c>
      <c r="L2244" s="20">
        <v>0</v>
      </c>
      <c r="M2244" s="19">
        <f>Tienda!$K620-Tienda!$K620*Tienda!$L620</f>
        <v>117.9</v>
      </c>
      <c r="N2244" s="3" t="s">
        <v>10039</v>
      </c>
      <c r="O2244" s="3" t="s">
        <v>10041</v>
      </c>
      <c r="P2244" s="17">
        <v>45591</v>
      </c>
      <c r="Q2244" s="4">
        <v>0</v>
      </c>
    </row>
    <row r="2245" spans="1:17" ht="30" x14ac:dyDescent="0.25">
      <c r="A2245" s="2" t="s">
        <v>705</v>
      </c>
      <c r="B2245" s="3" t="s">
        <v>5016</v>
      </c>
      <c r="C2245" s="3">
        <v>38</v>
      </c>
      <c r="D2245" s="46" t="str">
        <f>IF(Tabla1[[#This Row],[EDAD]]&lt;=35,"Adultos jóvenes 18 - 35 años",IF(C2245&gt;=36,"Adultos mayores 36 años en adelante"))</f>
        <v>Adultos mayores 36 años en adelante</v>
      </c>
      <c r="E2245" s="3" t="s">
        <v>5019</v>
      </c>
      <c r="F2245" s="3" t="s">
        <v>5024</v>
      </c>
      <c r="G2245" s="3" t="s">
        <v>5036</v>
      </c>
      <c r="H2245" s="3" t="s">
        <v>5728</v>
      </c>
      <c r="I2245" s="17">
        <v>45591</v>
      </c>
      <c r="J2245" s="18">
        <f>YEAR(Tabla1[[#This Row],[FECHA DE COMPRA]])</f>
        <v>2024</v>
      </c>
      <c r="K2245" s="19">
        <v>148.28</v>
      </c>
      <c r="L2245" s="20">
        <v>0.1</v>
      </c>
      <c r="M2245" s="19">
        <f>Tienda!$K621-Tienda!$K621*Tienda!$L621</f>
        <v>119.024</v>
      </c>
      <c r="N2245" s="3" t="s">
        <v>10039</v>
      </c>
      <c r="O2245" s="3" t="s">
        <v>10041</v>
      </c>
      <c r="P2245" s="17">
        <v>45591</v>
      </c>
      <c r="Q2245" s="4">
        <v>0</v>
      </c>
    </row>
    <row r="2246" spans="1:17" ht="30" x14ac:dyDescent="0.25">
      <c r="A2246" s="2" t="s">
        <v>2791</v>
      </c>
      <c r="B2246" s="3" t="s">
        <v>5015</v>
      </c>
      <c r="C2246" s="3">
        <v>37</v>
      </c>
      <c r="D2246" s="46" t="str">
        <f>IF(Tabla1[[#This Row],[EDAD]]&lt;=35,"Adultos jóvenes 18 - 35 años",IF(C2246&gt;=36,"Adultos mayores 36 años en adelante"))</f>
        <v>Adultos mayores 36 años en adelante</v>
      </c>
      <c r="E2246" s="3" t="s">
        <v>5022</v>
      </c>
      <c r="F2246" s="3" t="s">
        <v>5030</v>
      </c>
      <c r="G2246" s="3" t="s">
        <v>5035</v>
      </c>
      <c r="H2246" s="3" t="s">
        <v>7814</v>
      </c>
      <c r="I2246" s="17">
        <v>45594</v>
      </c>
      <c r="J2246" s="18">
        <f>YEAR(Tabla1[[#This Row],[FECHA DE COMPRA]])</f>
        <v>2024</v>
      </c>
      <c r="K2246" s="19">
        <v>186.14</v>
      </c>
      <c r="L2246" s="20">
        <v>0.3</v>
      </c>
      <c r="M2246" s="19">
        <f>Tienda!$K626-Tienda!$K626*Tienda!$L626</f>
        <v>125.64000000000001</v>
      </c>
      <c r="N2246" s="3" t="s">
        <v>10039</v>
      </c>
      <c r="O2246" s="3" t="s">
        <v>10041</v>
      </c>
      <c r="P2246" s="17">
        <v>45594</v>
      </c>
      <c r="Q2246" s="4">
        <v>0</v>
      </c>
    </row>
    <row r="2247" spans="1:17" ht="30" x14ac:dyDescent="0.25">
      <c r="A2247" s="2" t="s">
        <v>1918</v>
      </c>
      <c r="B2247" s="3" t="s">
        <v>5015</v>
      </c>
      <c r="C2247" s="3">
        <v>38</v>
      </c>
      <c r="D2247" s="46" t="str">
        <f>IF(Tabla1[[#This Row],[EDAD]]&lt;=35,"Adultos jóvenes 18 - 35 años",IF(C2247&gt;=36,"Adultos mayores 36 años en adelante"))</f>
        <v>Adultos mayores 36 años en adelante</v>
      </c>
      <c r="E2247" s="3" t="s">
        <v>5022</v>
      </c>
      <c r="F2247" s="3" t="s">
        <v>5028</v>
      </c>
      <c r="G2247" s="3" t="s">
        <v>5035</v>
      </c>
      <c r="H2247" s="3" t="s">
        <v>6941</v>
      </c>
      <c r="I2247" s="17">
        <v>45596</v>
      </c>
      <c r="J2247" s="18">
        <f>YEAR(Tabla1[[#This Row],[FECHA DE COMPRA]])</f>
        <v>2024</v>
      </c>
      <c r="K2247" s="19">
        <v>24.48</v>
      </c>
      <c r="L2247" s="20">
        <v>0</v>
      </c>
      <c r="M2247" s="19">
        <f>Tienda!$K627-Tienda!$K627*Tienda!$L627</f>
        <v>125.78399999999999</v>
      </c>
      <c r="N2247" s="3" t="s">
        <v>10039</v>
      </c>
      <c r="O2247" s="3" t="s">
        <v>10041</v>
      </c>
      <c r="P2247" s="17">
        <v>45596</v>
      </c>
      <c r="Q2247" s="4">
        <v>0</v>
      </c>
    </row>
    <row r="2248" spans="1:17" ht="30" x14ac:dyDescent="0.25">
      <c r="A2248" s="2" t="s">
        <v>4610</v>
      </c>
      <c r="B2248" s="3" t="s">
        <v>5016</v>
      </c>
      <c r="C2248" s="3">
        <v>36</v>
      </c>
      <c r="D2248" s="46" t="str">
        <f>IF(Tabla1[[#This Row],[EDAD]]&lt;=35,"Adultos jóvenes 18 - 35 años",IF(C2248&gt;=36,"Adultos mayores 36 años en adelante"))</f>
        <v>Adultos mayores 36 años en adelante</v>
      </c>
      <c r="E2248" s="3" t="s">
        <v>5017</v>
      </c>
      <c r="F2248" s="3" t="s">
        <v>5024</v>
      </c>
      <c r="G2248" s="3" t="s">
        <v>5035</v>
      </c>
      <c r="H2248" s="3" t="s">
        <v>9633</v>
      </c>
      <c r="I2248" s="17">
        <v>45596</v>
      </c>
      <c r="J2248" s="18">
        <f>YEAR(Tabla1[[#This Row],[FECHA DE COMPRA]])</f>
        <v>2024</v>
      </c>
      <c r="K2248" s="19">
        <v>49.55</v>
      </c>
      <c r="L2248" s="20">
        <v>0</v>
      </c>
      <c r="M2248" s="19">
        <f>Tienda!$K628-Tienda!$K628*Tienda!$L628</f>
        <v>128.02000000000001</v>
      </c>
      <c r="N2248" s="3" t="s">
        <v>10039</v>
      </c>
      <c r="O2248" s="3" t="s">
        <v>10041</v>
      </c>
      <c r="P2248" s="17">
        <v>45596</v>
      </c>
      <c r="Q2248" s="4">
        <v>0</v>
      </c>
    </row>
    <row r="2249" spans="1:17" ht="30" x14ac:dyDescent="0.25">
      <c r="A2249" s="2" t="s">
        <v>365</v>
      </c>
      <c r="B2249" s="3" t="s">
        <v>5016</v>
      </c>
      <c r="C2249" s="3">
        <v>63</v>
      </c>
      <c r="D2249" s="46" t="str">
        <f>IF(Tabla1[[#This Row],[EDAD]]&lt;=35,"Adultos jóvenes 18 - 35 años",IF(C2249&gt;=36,"Adultos mayores 36 años en adelante"))</f>
        <v>Adultos mayores 36 años en adelante</v>
      </c>
      <c r="E2249" s="3" t="s">
        <v>5019</v>
      </c>
      <c r="F2249" s="3" t="s">
        <v>5026</v>
      </c>
      <c r="G2249" s="3" t="s">
        <v>5033</v>
      </c>
      <c r="H2249" s="3" t="s">
        <v>5388</v>
      </c>
      <c r="I2249" s="17">
        <v>45596</v>
      </c>
      <c r="J2249" s="18">
        <f>YEAR(Tabla1[[#This Row],[FECHA DE COMPRA]])</f>
        <v>2024</v>
      </c>
      <c r="K2249" s="19">
        <v>131.34</v>
      </c>
      <c r="L2249" s="20">
        <v>0.1</v>
      </c>
      <c r="M2249" s="19">
        <f>Tienda!$K629-Tienda!$K629*Tienda!$L629</f>
        <v>128.06099999999998</v>
      </c>
      <c r="N2249" s="3" t="s">
        <v>10039</v>
      </c>
      <c r="O2249" s="3" t="s">
        <v>10041</v>
      </c>
      <c r="P2249" s="17">
        <v>45596</v>
      </c>
      <c r="Q2249" s="4">
        <v>0</v>
      </c>
    </row>
    <row r="2250" spans="1:17" ht="30" x14ac:dyDescent="0.25">
      <c r="A2250" s="2" t="s">
        <v>912</v>
      </c>
      <c r="B2250" s="3" t="s">
        <v>5015</v>
      </c>
      <c r="C2250" s="3">
        <v>49</v>
      </c>
      <c r="D2250" s="46" t="str">
        <f>IF(Tabla1[[#This Row],[EDAD]]&lt;=35,"Adultos jóvenes 18 - 35 años",IF(C2250&gt;=36,"Adultos mayores 36 años en adelante"))</f>
        <v>Adultos mayores 36 años en adelante</v>
      </c>
      <c r="E2250" s="3" t="s">
        <v>5020</v>
      </c>
      <c r="F2250" s="3" t="s">
        <v>5025</v>
      </c>
      <c r="G2250" s="3" t="s">
        <v>5036</v>
      </c>
      <c r="H2250" s="3" t="s">
        <v>5935</v>
      </c>
      <c r="I2250" s="17">
        <v>45624</v>
      </c>
      <c r="J2250" s="18">
        <f>YEAR(Tabla1[[#This Row],[FECHA DE COMPRA]])</f>
        <v>2024</v>
      </c>
      <c r="K2250" s="19">
        <v>148.66</v>
      </c>
      <c r="L2250" s="20">
        <v>0.3</v>
      </c>
      <c r="M2250" s="19">
        <f>Tienda!$K630-Tienda!$K630*Tienda!$L630</f>
        <v>128.69499999999999</v>
      </c>
      <c r="N2250" s="3" t="s">
        <v>10039</v>
      </c>
      <c r="O2250" s="3" t="s">
        <v>10041</v>
      </c>
      <c r="P2250" s="17">
        <v>45474</v>
      </c>
      <c r="Q2250" s="4">
        <v>0</v>
      </c>
    </row>
    <row r="2251" spans="1:17" ht="30" x14ac:dyDescent="0.25">
      <c r="A2251" s="2" t="s">
        <v>4115</v>
      </c>
      <c r="B2251" s="3" t="s">
        <v>5015</v>
      </c>
      <c r="C2251" s="3">
        <v>64</v>
      </c>
      <c r="D2251" s="46" t="str">
        <f>IF(Tabla1[[#This Row],[EDAD]]&lt;=35,"Adultos jóvenes 18 - 35 años",IF(C2251&gt;=36,"Adultos mayores 36 años en adelante"))</f>
        <v>Adultos mayores 36 años en adelante</v>
      </c>
      <c r="E2251" s="3" t="s">
        <v>5017</v>
      </c>
      <c r="F2251" s="3" t="s">
        <v>5027</v>
      </c>
      <c r="G2251" s="3" t="s">
        <v>5032</v>
      </c>
      <c r="H2251" s="3" t="s">
        <v>9138</v>
      </c>
      <c r="I2251" s="17">
        <v>45624</v>
      </c>
      <c r="J2251" s="18">
        <f>YEAR(Tabla1[[#This Row],[FECHA DE COMPRA]])</f>
        <v>2024</v>
      </c>
      <c r="K2251" s="19">
        <v>151.57</v>
      </c>
      <c r="L2251" s="20">
        <v>0.3</v>
      </c>
      <c r="M2251" s="19">
        <f>Tienda!$K631-Tienda!$K631*Tienda!$L631</f>
        <v>128.69999999999999</v>
      </c>
      <c r="N2251" s="3" t="s">
        <v>10039</v>
      </c>
      <c r="O2251" s="3" t="s">
        <v>10041</v>
      </c>
      <c r="P2251" s="17">
        <v>45474</v>
      </c>
      <c r="Q2251" s="4">
        <v>0</v>
      </c>
    </row>
    <row r="2252" spans="1:17" ht="30" x14ac:dyDescent="0.25">
      <c r="A2252" s="2" t="s">
        <v>59</v>
      </c>
      <c r="B2252" s="3" t="s">
        <v>5015</v>
      </c>
      <c r="C2252" s="3">
        <v>45</v>
      </c>
      <c r="D2252" s="46" t="str">
        <f>IF(Tabla1[[#This Row],[EDAD]]&lt;=35,"Adultos jóvenes 18 - 35 años",IF(C2252&gt;=36,"Adultos mayores 36 años en adelante"))</f>
        <v>Adultos mayores 36 años en adelante</v>
      </c>
      <c r="E2252" s="3" t="s">
        <v>5018</v>
      </c>
      <c r="F2252" s="3" t="s">
        <v>5028</v>
      </c>
      <c r="G2252" s="3" t="s">
        <v>5031</v>
      </c>
      <c r="H2252" s="3" t="s">
        <v>5082</v>
      </c>
      <c r="I2252" s="17">
        <v>45624</v>
      </c>
      <c r="J2252" s="18">
        <f>YEAR(Tabla1[[#This Row],[FECHA DE COMPRA]])</f>
        <v>2024</v>
      </c>
      <c r="K2252" s="19">
        <v>189.15</v>
      </c>
      <c r="L2252" s="20">
        <v>0</v>
      </c>
      <c r="M2252" s="19">
        <f>Tienda!$K632-Tienda!$K632*Tienda!$L632</f>
        <v>128.97499999999999</v>
      </c>
      <c r="N2252" s="3" t="s">
        <v>10039</v>
      </c>
      <c r="O2252" s="3" t="s">
        <v>10041</v>
      </c>
      <c r="P2252" s="17">
        <v>45474</v>
      </c>
      <c r="Q2252" s="4">
        <v>0</v>
      </c>
    </row>
    <row r="2253" spans="1:17" ht="30" x14ac:dyDescent="0.25">
      <c r="A2253" s="2" t="s">
        <v>2651</v>
      </c>
      <c r="B2253" s="3" t="s">
        <v>5016</v>
      </c>
      <c r="C2253" s="3">
        <v>39</v>
      </c>
      <c r="D2253" s="46" t="str">
        <f>IF(Tabla1[[#This Row],[EDAD]]&lt;=35,"Adultos jóvenes 18 - 35 años",IF(C2253&gt;=36,"Adultos mayores 36 años en adelante"))</f>
        <v>Adultos mayores 36 años en adelante</v>
      </c>
      <c r="E2253" s="3" t="s">
        <v>5019</v>
      </c>
      <c r="F2253" s="3" t="s">
        <v>5027</v>
      </c>
      <c r="G2253" s="3" t="s">
        <v>5032</v>
      </c>
      <c r="H2253" s="3" t="s">
        <v>7674</v>
      </c>
      <c r="I2253" s="17">
        <v>45624</v>
      </c>
      <c r="J2253" s="18">
        <f>YEAR(Tabla1[[#This Row],[FECHA DE COMPRA]])</f>
        <v>2024</v>
      </c>
      <c r="K2253" s="19">
        <v>165.81</v>
      </c>
      <c r="L2253" s="20">
        <v>0</v>
      </c>
      <c r="M2253" s="19">
        <f>Tienda!$K634-Tienda!$K634*Tienda!$L634</f>
        <v>130.048</v>
      </c>
      <c r="N2253" s="3" t="s">
        <v>10039</v>
      </c>
      <c r="O2253" s="3" t="s">
        <v>10041</v>
      </c>
      <c r="P2253" s="17">
        <v>45477</v>
      </c>
      <c r="Q2253" s="4">
        <v>0</v>
      </c>
    </row>
    <row r="2254" spans="1:17" ht="30" x14ac:dyDescent="0.25">
      <c r="A2254" s="2" t="s">
        <v>2210</v>
      </c>
      <c r="B2254" s="3" t="s">
        <v>5015</v>
      </c>
      <c r="C2254" s="3">
        <v>60</v>
      </c>
      <c r="D2254" s="46" t="str">
        <f>IF(Tabla1[[#This Row],[EDAD]]&lt;=35,"Adultos jóvenes 18 - 35 años",IF(C2254&gt;=36,"Adultos mayores 36 años en adelante"))</f>
        <v>Adultos mayores 36 años en adelante</v>
      </c>
      <c r="E2254" s="3" t="s">
        <v>5018</v>
      </c>
      <c r="F2254" s="3" t="s">
        <v>5027</v>
      </c>
      <c r="G2254" s="3" t="s">
        <v>5032</v>
      </c>
      <c r="H2254" s="3" t="s">
        <v>7233</v>
      </c>
      <c r="I2254" s="17">
        <v>45624</v>
      </c>
      <c r="J2254" s="18">
        <f>YEAR(Tabla1[[#This Row],[FECHA DE COMPRA]])</f>
        <v>2024</v>
      </c>
      <c r="K2254" s="19">
        <v>189.05</v>
      </c>
      <c r="L2254" s="20">
        <v>0.1</v>
      </c>
      <c r="M2254" s="19">
        <f>Tienda!$K635-Tienda!$K635*Tienda!$L635</f>
        <v>131.90100000000001</v>
      </c>
      <c r="N2254" s="3" t="s">
        <v>10039</v>
      </c>
      <c r="O2254" s="3" t="s">
        <v>10041</v>
      </c>
      <c r="P2254" s="17">
        <v>45477</v>
      </c>
      <c r="Q2254" s="4">
        <v>0</v>
      </c>
    </row>
    <row r="2255" spans="1:17" ht="30" x14ac:dyDescent="0.25">
      <c r="A2255" s="2" t="s">
        <v>4904</v>
      </c>
      <c r="B2255" s="3" t="s">
        <v>5015</v>
      </c>
      <c r="C2255" s="3">
        <v>39</v>
      </c>
      <c r="D2255" s="46" t="str">
        <f>IF(Tabla1[[#This Row],[EDAD]]&lt;=35,"Adultos jóvenes 18 - 35 años",IF(C2255&gt;=36,"Adultos mayores 36 años en adelante"))</f>
        <v>Adultos mayores 36 años en adelante</v>
      </c>
      <c r="E2255" s="3" t="s">
        <v>5023</v>
      </c>
      <c r="F2255" s="3" t="s">
        <v>5029</v>
      </c>
      <c r="G2255" s="3" t="s">
        <v>5035</v>
      </c>
      <c r="H2255" s="3" t="s">
        <v>9927</v>
      </c>
      <c r="I2255" s="17">
        <v>45624</v>
      </c>
      <c r="J2255" s="18">
        <f>YEAR(Tabla1[[#This Row],[FECHA DE COMPRA]])</f>
        <v>2024</v>
      </c>
      <c r="K2255" s="19">
        <v>31.99</v>
      </c>
      <c r="L2255" s="20">
        <v>0.3</v>
      </c>
      <c r="M2255" s="19">
        <f>Tienda!$K636-Tienda!$K636*Tienda!$L636</f>
        <v>132.02099999999999</v>
      </c>
      <c r="N2255" s="3" t="s">
        <v>10039</v>
      </c>
      <c r="O2255" s="3" t="s">
        <v>10041</v>
      </c>
      <c r="P2255" s="17">
        <v>45478</v>
      </c>
      <c r="Q2255" s="4">
        <v>0</v>
      </c>
    </row>
    <row r="2256" spans="1:17" ht="30" x14ac:dyDescent="0.25">
      <c r="A2256" s="2" t="s">
        <v>3091</v>
      </c>
      <c r="B2256" s="3" t="s">
        <v>5015</v>
      </c>
      <c r="C2256" s="3">
        <v>44</v>
      </c>
      <c r="D2256" s="46" t="str">
        <f>IF(Tabla1[[#This Row],[EDAD]]&lt;=35,"Adultos jóvenes 18 - 35 años",IF(C2256&gt;=36,"Adultos mayores 36 años en adelante"))</f>
        <v>Adultos mayores 36 años en adelante</v>
      </c>
      <c r="E2256" s="3" t="s">
        <v>5019</v>
      </c>
      <c r="F2256" s="3" t="s">
        <v>5029</v>
      </c>
      <c r="G2256" s="3" t="s">
        <v>5036</v>
      </c>
      <c r="H2256" s="3" t="s">
        <v>8114</v>
      </c>
      <c r="I2256" s="17">
        <v>45624</v>
      </c>
      <c r="J2256" s="18">
        <f>YEAR(Tabla1[[#This Row],[FECHA DE COMPRA]])</f>
        <v>2024</v>
      </c>
      <c r="K2256" s="19">
        <v>51.64</v>
      </c>
      <c r="L2256" s="20">
        <v>0.2</v>
      </c>
      <c r="M2256" s="19">
        <f>Tienda!$K637-Tienda!$K637*Tienda!$L637</f>
        <v>135.66</v>
      </c>
      <c r="N2256" s="3" t="s">
        <v>10039</v>
      </c>
      <c r="O2256" s="3" t="s">
        <v>10041</v>
      </c>
      <c r="P2256" s="17">
        <v>45478</v>
      </c>
      <c r="Q2256" s="4">
        <v>0</v>
      </c>
    </row>
    <row r="2257" spans="1:17" ht="30" x14ac:dyDescent="0.25">
      <c r="A2257" s="2" t="s">
        <v>2990</v>
      </c>
      <c r="B2257" s="3" t="s">
        <v>5016</v>
      </c>
      <c r="C2257" s="3">
        <v>60</v>
      </c>
      <c r="D2257" s="46" t="str">
        <f>IF(Tabla1[[#This Row],[EDAD]]&lt;=35,"Adultos jóvenes 18 - 35 años",IF(C2257&gt;=36,"Adultos mayores 36 años en adelante"))</f>
        <v>Adultos mayores 36 años en adelante</v>
      </c>
      <c r="E2257" s="3" t="s">
        <v>5019</v>
      </c>
      <c r="F2257" s="3" t="s">
        <v>5024</v>
      </c>
      <c r="G2257" s="3" t="s">
        <v>5031</v>
      </c>
      <c r="H2257" s="3" t="s">
        <v>8013</v>
      </c>
      <c r="I2257" s="17">
        <v>45624</v>
      </c>
      <c r="J2257" s="18">
        <f>YEAR(Tabla1[[#This Row],[FECHA DE COMPRA]])</f>
        <v>2024</v>
      </c>
      <c r="K2257" s="19">
        <v>98.62</v>
      </c>
      <c r="L2257" s="20">
        <v>0.2</v>
      </c>
      <c r="M2257" s="19">
        <f>Tienda!$K640-Tienda!$K640*Tienda!$L640</f>
        <v>138.45600000000002</v>
      </c>
      <c r="N2257" s="3" t="s">
        <v>10039</v>
      </c>
      <c r="O2257" s="3" t="s">
        <v>10041</v>
      </c>
      <c r="P2257" s="17">
        <v>45482</v>
      </c>
      <c r="Q2257" s="4">
        <v>0</v>
      </c>
    </row>
    <row r="2258" spans="1:17" ht="30" x14ac:dyDescent="0.25">
      <c r="A2258" s="2" t="s">
        <v>3909</v>
      </c>
      <c r="B2258" s="3" t="s">
        <v>5015</v>
      </c>
      <c r="C2258" s="3">
        <v>39</v>
      </c>
      <c r="D2258" s="46" t="str">
        <f>IF(Tabla1[[#This Row],[EDAD]]&lt;=35,"Adultos jóvenes 18 - 35 años",IF(C2258&gt;=36,"Adultos mayores 36 años en adelante"))</f>
        <v>Adultos mayores 36 años en adelante</v>
      </c>
      <c r="E2258" s="3" t="s">
        <v>5018</v>
      </c>
      <c r="F2258" s="3" t="s">
        <v>5029</v>
      </c>
      <c r="G2258" s="3" t="s">
        <v>5036</v>
      </c>
      <c r="H2258" s="3" t="s">
        <v>8932</v>
      </c>
      <c r="I2258" s="17">
        <v>45624</v>
      </c>
      <c r="J2258" s="18">
        <f>YEAR(Tabla1[[#This Row],[FECHA DE COMPRA]])</f>
        <v>2024</v>
      </c>
      <c r="K2258" s="19">
        <v>107.12</v>
      </c>
      <c r="L2258" s="20">
        <v>0</v>
      </c>
      <c r="M2258" s="19">
        <f>Tienda!$K641-Tienda!$K641*Tienda!$L641</f>
        <v>141.46200000000002</v>
      </c>
      <c r="N2258" s="3" t="s">
        <v>10039</v>
      </c>
      <c r="O2258" s="3" t="s">
        <v>10041</v>
      </c>
      <c r="P2258" s="17">
        <v>45482</v>
      </c>
      <c r="Q2258" s="4">
        <v>0</v>
      </c>
    </row>
    <row r="2259" spans="1:17" ht="30" x14ac:dyDescent="0.25">
      <c r="A2259" s="2" t="s">
        <v>3527</v>
      </c>
      <c r="B2259" s="3" t="s">
        <v>5015</v>
      </c>
      <c r="C2259" s="3">
        <v>45</v>
      </c>
      <c r="D2259" s="46" t="str">
        <f>IF(Tabla1[[#This Row],[EDAD]]&lt;=35,"Adultos jóvenes 18 - 35 años",IF(C2259&gt;=36,"Adultos mayores 36 años en adelante"))</f>
        <v>Adultos mayores 36 años en adelante</v>
      </c>
      <c r="E2259" s="3" t="s">
        <v>5017</v>
      </c>
      <c r="F2259" s="3" t="s">
        <v>5027</v>
      </c>
      <c r="G2259" s="3" t="s">
        <v>5034</v>
      </c>
      <c r="H2259" s="3" t="s">
        <v>8550</v>
      </c>
      <c r="I2259" s="17">
        <v>45624</v>
      </c>
      <c r="J2259" s="18">
        <f>YEAR(Tabla1[[#This Row],[FECHA DE COMPRA]])</f>
        <v>2024</v>
      </c>
      <c r="K2259" s="19">
        <v>86.36</v>
      </c>
      <c r="L2259" s="20">
        <v>0.3</v>
      </c>
      <c r="M2259" s="19">
        <f>Tienda!$K642-Tienda!$K642*Tienda!$L642</f>
        <v>141.786</v>
      </c>
      <c r="N2259" s="3" t="s">
        <v>10039</v>
      </c>
      <c r="O2259" s="3" t="s">
        <v>10041</v>
      </c>
      <c r="P2259" s="17">
        <v>45484</v>
      </c>
      <c r="Q2259" s="4">
        <v>0</v>
      </c>
    </row>
    <row r="2260" spans="1:17" ht="30" x14ac:dyDescent="0.25">
      <c r="A2260" s="2" t="s">
        <v>1279</v>
      </c>
      <c r="B2260" s="3" t="s">
        <v>5015</v>
      </c>
      <c r="C2260" s="3">
        <v>52</v>
      </c>
      <c r="D2260" s="46" t="str">
        <f>IF(Tabla1[[#This Row],[EDAD]]&lt;=35,"Adultos jóvenes 18 - 35 años",IF(C2260&gt;=36,"Adultos mayores 36 años en adelante"))</f>
        <v>Adultos mayores 36 años en adelante</v>
      </c>
      <c r="E2260" s="3" t="s">
        <v>5020</v>
      </c>
      <c r="F2260" s="3" t="s">
        <v>5030</v>
      </c>
      <c r="G2260" s="3" t="s">
        <v>5032</v>
      </c>
      <c r="H2260" s="3" t="s">
        <v>6302</v>
      </c>
      <c r="I2260" s="17">
        <v>45624</v>
      </c>
      <c r="J2260" s="18">
        <f>YEAR(Tabla1[[#This Row],[FECHA DE COMPRA]])</f>
        <v>2024</v>
      </c>
      <c r="K2260" s="19">
        <v>25.95</v>
      </c>
      <c r="L2260" s="20">
        <v>0.2</v>
      </c>
      <c r="M2260" s="19">
        <f>Tienda!$K644-Tienda!$K644*Tienda!$L644</f>
        <v>142.47999999999999</v>
      </c>
      <c r="N2260" s="3" t="s">
        <v>10039</v>
      </c>
      <c r="O2260" s="3" t="s">
        <v>10041</v>
      </c>
      <c r="P2260" s="17">
        <v>45486</v>
      </c>
      <c r="Q2260" s="4">
        <v>0</v>
      </c>
    </row>
    <row r="2261" spans="1:17" ht="30" x14ac:dyDescent="0.25">
      <c r="A2261" s="2" t="s">
        <v>4748</v>
      </c>
      <c r="B2261" s="3" t="s">
        <v>5016</v>
      </c>
      <c r="C2261" s="3">
        <v>55</v>
      </c>
      <c r="D2261" s="46" t="str">
        <f>IF(Tabla1[[#This Row],[EDAD]]&lt;=35,"Adultos jóvenes 18 - 35 años",IF(C2261&gt;=36,"Adultos mayores 36 años en adelante"))</f>
        <v>Adultos mayores 36 años en adelante</v>
      </c>
      <c r="E2261" s="3" t="s">
        <v>5019</v>
      </c>
      <c r="F2261" s="3" t="s">
        <v>5028</v>
      </c>
      <c r="G2261" s="3" t="s">
        <v>5037</v>
      </c>
      <c r="H2261" s="3" t="s">
        <v>9771</v>
      </c>
      <c r="I2261" s="17">
        <v>45624</v>
      </c>
      <c r="J2261" s="18">
        <f>YEAR(Tabla1[[#This Row],[FECHA DE COMPRA]])</f>
        <v>2024</v>
      </c>
      <c r="K2261" s="19">
        <v>184.33</v>
      </c>
      <c r="L2261" s="20">
        <v>0</v>
      </c>
      <c r="M2261" s="19">
        <f>Tienda!$K646-Tienda!$K646*Tienda!$L646</f>
        <v>144.94999999999999</v>
      </c>
      <c r="N2261" s="3" t="s">
        <v>10039</v>
      </c>
      <c r="O2261" s="3" t="s">
        <v>10041</v>
      </c>
      <c r="P2261" s="17">
        <v>45486</v>
      </c>
      <c r="Q2261" s="4">
        <v>0</v>
      </c>
    </row>
    <row r="2262" spans="1:17" ht="30" x14ac:dyDescent="0.25">
      <c r="A2262" s="2" t="s">
        <v>2177</v>
      </c>
      <c r="B2262" s="3" t="s">
        <v>5015</v>
      </c>
      <c r="C2262" s="3">
        <v>62</v>
      </c>
      <c r="D2262" s="46" t="str">
        <f>IF(Tabla1[[#This Row],[EDAD]]&lt;=35,"Adultos jóvenes 18 - 35 años",IF(C2262&gt;=36,"Adultos mayores 36 años en adelante"))</f>
        <v>Adultos mayores 36 años en adelante</v>
      </c>
      <c r="E2262" s="3" t="s">
        <v>5017</v>
      </c>
      <c r="F2262" s="3" t="s">
        <v>5024</v>
      </c>
      <c r="G2262" s="3" t="s">
        <v>5034</v>
      </c>
      <c r="H2262" s="3" t="s">
        <v>7200</v>
      </c>
      <c r="I2262" s="17">
        <v>45624</v>
      </c>
      <c r="J2262" s="18">
        <f>YEAR(Tabla1[[#This Row],[FECHA DE COMPRA]])</f>
        <v>2024</v>
      </c>
      <c r="K2262" s="19">
        <v>192.94</v>
      </c>
      <c r="L2262" s="20">
        <v>0</v>
      </c>
      <c r="M2262" s="19">
        <f>Tienda!$K647-Tienda!$K647*Tienda!$L647</f>
        <v>145.66400000000002</v>
      </c>
      <c r="N2262" s="3" t="s">
        <v>10039</v>
      </c>
      <c r="O2262" s="3" t="s">
        <v>10041</v>
      </c>
      <c r="P2262" s="17">
        <v>45486</v>
      </c>
      <c r="Q2262" s="4">
        <v>0</v>
      </c>
    </row>
    <row r="2263" spans="1:17" ht="30" x14ac:dyDescent="0.25">
      <c r="A2263" s="2" t="s">
        <v>875</v>
      </c>
      <c r="B2263" s="3" t="s">
        <v>5016</v>
      </c>
      <c r="C2263" s="3">
        <v>49</v>
      </c>
      <c r="D2263" s="46" t="str">
        <f>IF(Tabla1[[#This Row],[EDAD]]&lt;=35,"Adultos jóvenes 18 - 35 años",IF(C2263&gt;=36,"Adultos mayores 36 años en adelante"))</f>
        <v>Adultos mayores 36 años en adelante</v>
      </c>
      <c r="E2263" s="3" t="s">
        <v>5017</v>
      </c>
      <c r="F2263" s="3" t="s">
        <v>5025</v>
      </c>
      <c r="G2263" s="3" t="s">
        <v>5036</v>
      </c>
      <c r="H2263" s="3" t="s">
        <v>5898</v>
      </c>
      <c r="I2263" s="17">
        <v>45624</v>
      </c>
      <c r="J2263" s="18">
        <f>YEAR(Tabla1[[#This Row],[FECHA DE COMPRA]])</f>
        <v>2024</v>
      </c>
      <c r="K2263" s="19">
        <v>61.15</v>
      </c>
      <c r="L2263" s="20">
        <v>0.3</v>
      </c>
      <c r="M2263" s="19">
        <f>Tienda!$K648-Tienda!$K648*Tienda!$L648</f>
        <v>146.13300000000001</v>
      </c>
      <c r="N2263" s="3" t="s">
        <v>10039</v>
      </c>
      <c r="O2263" s="3" t="s">
        <v>10041</v>
      </c>
      <c r="P2263" s="17">
        <v>45487</v>
      </c>
      <c r="Q2263" s="4">
        <v>0</v>
      </c>
    </row>
    <row r="2264" spans="1:17" ht="30" x14ac:dyDescent="0.25">
      <c r="A2264" s="2" t="s">
        <v>2912</v>
      </c>
      <c r="B2264" s="3" t="s">
        <v>5016</v>
      </c>
      <c r="C2264" s="3">
        <v>61</v>
      </c>
      <c r="D2264" s="46" t="str">
        <f>IF(Tabla1[[#This Row],[EDAD]]&lt;=35,"Adultos jóvenes 18 - 35 años",IF(C2264&gt;=36,"Adultos mayores 36 años en adelante"))</f>
        <v>Adultos mayores 36 años en adelante</v>
      </c>
      <c r="E2264" s="3" t="s">
        <v>5019</v>
      </c>
      <c r="F2264" s="3" t="s">
        <v>5025</v>
      </c>
      <c r="G2264" s="3" t="s">
        <v>5037</v>
      </c>
      <c r="H2264" s="3" t="s">
        <v>7935</v>
      </c>
      <c r="I2264" s="17">
        <v>45624</v>
      </c>
      <c r="J2264" s="18">
        <f>YEAR(Tabla1[[#This Row],[FECHA DE COMPRA]])</f>
        <v>2024</v>
      </c>
      <c r="K2264" s="19">
        <v>113.04</v>
      </c>
      <c r="L2264" s="20">
        <v>0</v>
      </c>
      <c r="M2264" s="19">
        <f>Tienda!$K649-Tienda!$K649*Tienda!$L649</f>
        <v>146.47</v>
      </c>
      <c r="N2264" s="3" t="s">
        <v>10039</v>
      </c>
      <c r="O2264" s="3" t="s">
        <v>10041</v>
      </c>
      <c r="P2264" s="17">
        <v>45488</v>
      </c>
      <c r="Q2264" s="4">
        <v>0</v>
      </c>
    </row>
    <row r="2265" spans="1:17" ht="30" x14ac:dyDescent="0.25">
      <c r="A2265" s="2" t="s">
        <v>1688</v>
      </c>
      <c r="B2265" s="3" t="s">
        <v>5016</v>
      </c>
      <c r="C2265" s="3">
        <v>47</v>
      </c>
      <c r="D2265" s="46" t="str">
        <f>IF(Tabla1[[#This Row],[EDAD]]&lt;=35,"Adultos jóvenes 18 - 35 años",IF(C2265&gt;=36,"Adultos mayores 36 años en adelante"))</f>
        <v>Adultos mayores 36 años en adelante</v>
      </c>
      <c r="E2265" s="3" t="s">
        <v>5023</v>
      </c>
      <c r="F2265" s="3" t="s">
        <v>5027</v>
      </c>
      <c r="G2265" s="3" t="s">
        <v>5036</v>
      </c>
      <c r="H2265" s="3" t="s">
        <v>6711</v>
      </c>
      <c r="I2265" s="17">
        <v>45624</v>
      </c>
      <c r="J2265" s="18">
        <f>YEAR(Tabla1[[#This Row],[FECHA DE COMPRA]])</f>
        <v>2024</v>
      </c>
      <c r="K2265" s="19">
        <v>149.93</v>
      </c>
      <c r="L2265" s="20">
        <v>0.2</v>
      </c>
      <c r="M2265" s="19">
        <f>Tienda!$K650-Tienda!$K650*Tienda!$L650</f>
        <v>146.57</v>
      </c>
      <c r="N2265" s="3" t="s">
        <v>10039</v>
      </c>
      <c r="O2265" s="3" t="s">
        <v>10041</v>
      </c>
      <c r="P2265" s="17">
        <v>45488</v>
      </c>
      <c r="Q2265" s="4">
        <v>0</v>
      </c>
    </row>
    <row r="2266" spans="1:17" ht="30" x14ac:dyDescent="0.25">
      <c r="A2266" s="2" t="s">
        <v>4500</v>
      </c>
      <c r="B2266" s="3" t="s">
        <v>5015</v>
      </c>
      <c r="C2266" s="3">
        <v>38</v>
      </c>
      <c r="D2266" s="46" t="str">
        <f>IF(Tabla1[[#This Row],[EDAD]]&lt;=35,"Adultos jóvenes 18 - 35 años",IF(C2266&gt;=36,"Adultos mayores 36 años en adelante"))</f>
        <v>Adultos mayores 36 años en adelante</v>
      </c>
      <c r="E2266" s="3" t="s">
        <v>5019</v>
      </c>
      <c r="F2266" s="3" t="s">
        <v>5027</v>
      </c>
      <c r="G2266" s="3" t="s">
        <v>5032</v>
      </c>
      <c r="H2266" s="3" t="s">
        <v>9523</v>
      </c>
      <c r="I2266" s="17">
        <v>45624</v>
      </c>
      <c r="J2266" s="18">
        <f>YEAR(Tabla1[[#This Row],[FECHA DE COMPRA]])</f>
        <v>2024</v>
      </c>
      <c r="K2266" s="19">
        <v>183.36</v>
      </c>
      <c r="L2266" s="20">
        <v>0.3</v>
      </c>
      <c r="M2266" s="19">
        <f>Tienda!$K651-Tienda!$K651*Tienda!$L651</f>
        <v>146.58000000000001</v>
      </c>
      <c r="N2266" s="3" t="s">
        <v>10039</v>
      </c>
      <c r="O2266" s="3" t="s">
        <v>10041</v>
      </c>
      <c r="P2266" s="17">
        <v>45488</v>
      </c>
      <c r="Q2266" s="4">
        <v>0</v>
      </c>
    </row>
    <row r="2267" spans="1:17" ht="30" x14ac:dyDescent="0.25">
      <c r="A2267" s="2" t="s">
        <v>4247</v>
      </c>
      <c r="B2267" s="3" t="s">
        <v>5015</v>
      </c>
      <c r="C2267" s="3">
        <v>57</v>
      </c>
      <c r="D2267" s="46" t="str">
        <f>IF(Tabla1[[#This Row],[EDAD]]&lt;=35,"Adultos jóvenes 18 - 35 años",IF(C2267&gt;=36,"Adultos mayores 36 años en adelante"))</f>
        <v>Adultos mayores 36 años en adelante</v>
      </c>
      <c r="E2267" s="3" t="s">
        <v>5018</v>
      </c>
      <c r="F2267" s="3" t="s">
        <v>5028</v>
      </c>
      <c r="G2267" s="3" t="s">
        <v>5036</v>
      </c>
      <c r="H2267" s="3" t="s">
        <v>9270</v>
      </c>
      <c r="I2267" s="17">
        <v>45624</v>
      </c>
      <c r="J2267" s="18">
        <f>YEAR(Tabla1[[#This Row],[FECHA DE COMPRA]])</f>
        <v>2024</v>
      </c>
      <c r="K2267" s="19">
        <v>153.21</v>
      </c>
      <c r="L2267" s="20">
        <v>0.1</v>
      </c>
      <c r="M2267" s="19">
        <f>Tienda!$K654-Tienda!$K654*Tienda!$L654</f>
        <v>151.72999999999999</v>
      </c>
      <c r="N2267" s="3" t="s">
        <v>10039</v>
      </c>
      <c r="O2267" s="3" t="s">
        <v>10041</v>
      </c>
      <c r="P2267" s="17">
        <v>45490</v>
      </c>
      <c r="Q2267" s="4">
        <v>0</v>
      </c>
    </row>
    <row r="2268" spans="1:17" ht="30" x14ac:dyDescent="0.25">
      <c r="A2268" s="2" t="s">
        <v>699</v>
      </c>
      <c r="B2268" s="3" t="s">
        <v>5016</v>
      </c>
      <c r="C2268" s="3">
        <v>60</v>
      </c>
      <c r="D2268" s="46" t="str">
        <f>IF(Tabla1[[#This Row],[EDAD]]&lt;=35,"Adultos jóvenes 18 - 35 años",IF(C2268&gt;=36,"Adultos mayores 36 años en adelante"))</f>
        <v>Adultos mayores 36 años en adelante</v>
      </c>
      <c r="E2268" s="3" t="s">
        <v>5023</v>
      </c>
      <c r="F2268" s="3" t="s">
        <v>5028</v>
      </c>
      <c r="G2268" s="3" t="s">
        <v>5032</v>
      </c>
      <c r="H2268" s="3" t="s">
        <v>5722</v>
      </c>
      <c r="I2268" s="17">
        <v>45624</v>
      </c>
      <c r="J2268" s="18">
        <f>YEAR(Tabla1[[#This Row],[FECHA DE COMPRA]])</f>
        <v>2024</v>
      </c>
      <c r="K2268" s="19">
        <v>66.099999999999994</v>
      </c>
      <c r="L2268" s="20">
        <v>0</v>
      </c>
      <c r="M2268" s="19">
        <f>Tienda!$K656-Tienda!$K656*Tienda!$L656</f>
        <v>153.60299999999998</v>
      </c>
      <c r="N2268" s="3" t="s">
        <v>10039</v>
      </c>
      <c r="O2268" s="3" t="s">
        <v>10041</v>
      </c>
      <c r="P2268" s="17">
        <v>45493</v>
      </c>
      <c r="Q2268" s="4">
        <v>0</v>
      </c>
    </row>
    <row r="2269" spans="1:17" ht="30" x14ac:dyDescent="0.25">
      <c r="A2269" s="2" t="s">
        <v>3569</v>
      </c>
      <c r="B2269" s="3" t="s">
        <v>5015</v>
      </c>
      <c r="C2269" s="3">
        <v>47</v>
      </c>
      <c r="D2269" s="46" t="str">
        <f>IF(Tabla1[[#This Row],[EDAD]]&lt;=35,"Adultos jóvenes 18 - 35 años",IF(C2269&gt;=36,"Adultos mayores 36 años en adelante"))</f>
        <v>Adultos mayores 36 años en adelante</v>
      </c>
      <c r="E2269" s="3" t="s">
        <v>5022</v>
      </c>
      <c r="F2269" s="3" t="s">
        <v>5024</v>
      </c>
      <c r="G2269" s="3" t="s">
        <v>5033</v>
      </c>
      <c r="H2269" s="3" t="s">
        <v>8592</v>
      </c>
      <c r="I2269" s="17">
        <v>45624</v>
      </c>
      <c r="J2269" s="18">
        <f>YEAR(Tabla1[[#This Row],[FECHA DE COMPRA]])</f>
        <v>2024</v>
      </c>
      <c r="K2269" s="19">
        <v>71.790000000000006</v>
      </c>
      <c r="L2269" s="20">
        <v>0.1</v>
      </c>
      <c r="M2269" s="19">
        <f>Tienda!$K658-Tienda!$K658*Tienda!$L658</f>
        <v>156.99600000000001</v>
      </c>
      <c r="N2269" s="3" t="s">
        <v>10039</v>
      </c>
      <c r="O2269" s="3" t="s">
        <v>10041</v>
      </c>
      <c r="P2269" s="17">
        <v>45495</v>
      </c>
      <c r="Q2269" s="4">
        <v>0</v>
      </c>
    </row>
    <row r="2270" spans="1:17" ht="30" x14ac:dyDescent="0.25">
      <c r="A2270" s="2" t="s">
        <v>498</v>
      </c>
      <c r="B2270" s="3" t="s">
        <v>5015</v>
      </c>
      <c r="C2270" s="3">
        <v>59</v>
      </c>
      <c r="D2270" s="46" t="str">
        <f>IF(Tabla1[[#This Row],[EDAD]]&lt;=35,"Adultos jóvenes 18 - 35 años",IF(C2270&gt;=36,"Adultos mayores 36 años en adelante"))</f>
        <v>Adultos mayores 36 años en adelante</v>
      </c>
      <c r="E2270" s="3" t="s">
        <v>5022</v>
      </c>
      <c r="F2270" s="3" t="s">
        <v>5030</v>
      </c>
      <c r="G2270" s="3" t="s">
        <v>5034</v>
      </c>
      <c r="H2270" s="3" t="s">
        <v>5521</v>
      </c>
      <c r="I2270" s="17">
        <v>45624</v>
      </c>
      <c r="J2270" s="18">
        <f>YEAR(Tabla1[[#This Row],[FECHA DE COMPRA]])</f>
        <v>2024</v>
      </c>
      <c r="K2270" s="19">
        <v>163.94</v>
      </c>
      <c r="L2270" s="20">
        <v>0.1</v>
      </c>
      <c r="M2270" s="19">
        <f>Tienda!$K664-Tienda!$K664*Tienda!$L664</f>
        <v>166.833</v>
      </c>
      <c r="N2270" s="3" t="s">
        <v>10039</v>
      </c>
      <c r="O2270" s="3" t="s">
        <v>10041</v>
      </c>
      <c r="P2270" s="17">
        <v>45500</v>
      </c>
      <c r="Q2270" s="4">
        <v>0</v>
      </c>
    </row>
    <row r="2271" spans="1:17" ht="30" x14ac:dyDescent="0.25">
      <c r="A2271" s="2" t="s">
        <v>2936</v>
      </c>
      <c r="B2271" s="3" t="s">
        <v>5015</v>
      </c>
      <c r="C2271" s="3">
        <v>49</v>
      </c>
      <c r="D2271" s="46" t="str">
        <f>IF(Tabla1[[#This Row],[EDAD]]&lt;=35,"Adultos jóvenes 18 - 35 años",IF(C2271&gt;=36,"Adultos mayores 36 años en adelante"))</f>
        <v>Adultos mayores 36 años en adelante</v>
      </c>
      <c r="E2271" s="3" t="s">
        <v>5019</v>
      </c>
      <c r="F2271" s="3" t="s">
        <v>5030</v>
      </c>
      <c r="G2271" s="3" t="s">
        <v>5034</v>
      </c>
      <c r="H2271" s="3" t="s">
        <v>7959</v>
      </c>
      <c r="I2271" s="17">
        <v>45618</v>
      </c>
      <c r="J2271" s="18">
        <f>YEAR(Tabla1[[#This Row],[FECHA DE COMPRA]])</f>
        <v>2024</v>
      </c>
      <c r="K2271" s="19">
        <v>157.41999999999999</v>
      </c>
      <c r="L2271" s="20">
        <v>0</v>
      </c>
      <c r="M2271" s="19">
        <f>Tienda!$K668-Tienda!$K668*Tienda!$L668</f>
        <v>171.98099999999999</v>
      </c>
      <c r="N2271" s="3" t="s">
        <v>10039</v>
      </c>
      <c r="O2271" s="3" t="s">
        <v>10041</v>
      </c>
      <c r="P2271" s="17">
        <v>45462</v>
      </c>
      <c r="Q2271" s="4">
        <v>0</v>
      </c>
    </row>
    <row r="2272" spans="1:17" ht="30" x14ac:dyDescent="0.25">
      <c r="A2272" s="2" t="s">
        <v>4352</v>
      </c>
      <c r="B2272" s="3" t="s">
        <v>5015</v>
      </c>
      <c r="C2272" s="3">
        <v>51</v>
      </c>
      <c r="D2272" s="46" t="str">
        <f>IF(Tabla1[[#This Row],[EDAD]]&lt;=35,"Adultos jóvenes 18 - 35 años",IF(C2272&gt;=36,"Adultos mayores 36 años en adelante"))</f>
        <v>Adultos mayores 36 años en adelante</v>
      </c>
      <c r="E2272" s="3" t="s">
        <v>5021</v>
      </c>
      <c r="F2272" s="3" t="s">
        <v>5028</v>
      </c>
      <c r="G2272" s="3" t="s">
        <v>5036</v>
      </c>
      <c r="H2272" s="3" t="s">
        <v>9375</v>
      </c>
      <c r="I2272" s="17">
        <v>45618</v>
      </c>
      <c r="J2272" s="18">
        <f>YEAR(Tabla1[[#This Row],[FECHA DE COMPRA]])</f>
        <v>2024</v>
      </c>
      <c r="K2272" s="19">
        <v>167.79</v>
      </c>
      <c r="L2272" s="20">
        <v>0</v>
      </c>
      <c r="M2272" s="19">
        <f>Tienda!$K671-Tienda!$K671*Tienda!$L671</f>
        <v>176.49</v>
      </c>
      <c r="N2272" s="3" t="s">
        <v>10039</v>
      </c>
      <c r="O2272" s="3" t="s">
        <v>10041</v>
      </c>
      <c r="P2272" s="17">
        <v>45465</v>
      </c>
      <c r="Q2272" s="4">
        <v>0</v>
      </c>
    </row>
    <row r="2273" spans="1:17" ht="30" x14ac:dyDescent="0.25">
      <c r="A2273" s="2" t="s">
        <v>4576</v>
      </c>
      <c r="B2273" s="3" t="s">
        <v>5015</v>
      </c>
      <c r="C2273" s="3">
        <v>46</v>
      </c>
      <c r="D2273" s="46" t="str">
        <f>IF(Tabla1[[#This Row],[EDAD]]&lt;=35,"Adultos jóvenes 18 - 35 años",IF(C2273&gt;=36,"Adultos mayores 36 años en adelante"))</f>
        <v>Adultos mayores 36 años en adelante</v>
      </c>
      <c r="E2273" s="3" t="s">
        <v>5020</v>
      </c>
      <c r="F2273" s="3" t="s">
        <v>5029</v>
      </c>
      <c r="G2273" s="3" t="s">
        <v>5034</v>
      </c>
      <c r="H2273" s="3" t="s">
        <v>9599</v>
      </c>
      <c r="I2273" s="17">
        <v>45618</v>
      </c>
      <c r="J2273" s="18">
        <f>YEAR(Tabla1[[#This Row],[FECHA DE COMPRA]])</f>
        <v>2024</v>
      </c>
      <c r="K2273" s="19">
        <v>82.29</v>
      </c>
      <c r="L2273" s="20">
        <v>0.1</v>
      </c>
      <c r="M2273" s="19">
        <f>Tienda!$K673-Tienda!$K673*Tienda!$L673</f>
        <v>189.13</v>
      </c>
      <c r="N2273" s="3" t="s">
        <v>10039</v>
      </c>
      <c r="O2273" s="3" t="s">
        <v>10041</v>
      </c>
      <c r="P2273" s="17">
        <v>45468</v>
      </c>
      <c r="Q2273" s="4">
        <v>0</v>
      </c>
    </row>
    <row r="2274" spans="1:17" ht="30" x14ac:dyDescent="0.25">
      <c r="A2274" s="2" t="s">
        <v>3617</v>
      </c>
      <c r="B2274" s="3" t="s">
        <v>5015</v>
      </c>
      <c r="C2274" s="3">
        <v>58</v>
      </c>
      <c r="D2274" s="46" t="str">
        <f>IF(Tabla1[[#This Row],[EDAD]]&lt;=35,"Adultos jóvenes 18 - 35 años",IF(C2274&gt;=36,"Adultos mayores 36 años en adelante"))</f>
        <v>Adultos mayores 36 años en adelante</v>
      </c>
      <c r="E2274" s="3" t="s">
        <v>5019</v>
      </c>
      <c r="F2274" s="3" t="s">
        <v>5029</v>
      </c>
      <c r="G2274" s="3" t="s">
        <v>5032</v>
      </c>
      <c r="H2274" s="3" t="s">
        <v>8640</v>
      </c>
      <c r="I2274" s="17">
        <v>45618</v>
      </c>
      <c r="J2274" s="18">
        <f>YEAR(Tabla1[[#This Row],[FECHA DE COMPRA]])</f>
        <v>2024</v>
      </c>
      <c r="K2274" s="19">
        <v>99.61</v>
      </c>
      <c r="L2274" s="20">
        <v>0.1</v>
      </c>
      <c r="M2274" s="19">
        <f>Tienda!$K674-Tienda!$K674*Tienda!$L674</f>
        <v>193.84</v>
      </c>
      <c r="N2274" s="3" t="s">
        <v>10039</v>
      </c>
      <c r="O2274" s="3" t="s">
        <v>10041</v>
      </c>
      <c r="P2274" s="17">
        <v>45468</v>
      </c>
      <c r="Q2274" s="4">
        <v>0</v>
      </c>
    </row>
    <row r="2275" spans="1:17" ht="30" x14ac:dyDescent="0.25">
      <c r="A2275" s="2" t="s">
        <v>1864</v>
      </c>
      <c r="B2275" s="3" t="s">
        <v>5015</v>
      </c>
      <c r="C2275" s="3">
        <v>53</v>
      </c>
      <c r="D2275" s="46" t="str">
        <f>IF(Tabla1[[#This Row],[EDAD]]&lt;=35,"Adultos jóvenes 18 - 35 años",IF(C2275&gt;=36,"Adultos mayores 36 años en adelante"))</f>
        <v>Adultos mayores 36 años en adelante</v>
      </c>
      <c r="E2275" s="3" t="s">
        <v>5018</v>
      </c>
      <c r="F2275" s="3" t="s">
        <v>5026</v>
      </c>
      <c r="G2275" s="3" t="s">
        <v>5036</v>
      </c>
      <c r="H2275" s="3" t="s">
        <v>6887</v>
      </c>
      <c r="I2275" s="17">
        <v>45618</v>
      </c>
      <c r="J2275" s="18">
        <f>YEAR(Tabla1[[#This Row],[FECHA DE COMPRA]])</f>
        <v>2024</v>
      </c>
      <c r="K2275" s="19">
        <v>192.69</v>
      </c>
      <c r="L2275" s="20">
        <v>0.3</v>
      </c>
      <c r="M2275" s="19">
        <f>Tienda!$K677-Tienda!$K677*Tienda!$L677</f>
        <v>197.85</v>
      </c>
      <c r="N2275" s="3" t="s">
        <v>10039</v>
      </c>
      <c r="O2275" s="3" t="s">
        <v>10041</v>
      </c>
      <c r="P2275" s="17">
        <v>45468</v>
      </c>
      <c r="Q2275" s="4">
        <v>0</v>
      </c>
    </row>
    <row r="2276" spans="1:17" ht="30" x14ac:dyDescent="0.25">
      <c r="A2276" s="2" t="s">
        <v>1507</v>
      </c>
      <c r="B2276" s="3" t="s">
        <v>5016</v>
      </c>
      <c r="C2276" s="3">
        <v>57</v>
      </c>
      <c r="D2276" s="46" t="str">
        <f>IF(Tabla1[[#This Row],[EDAD]]&lt;=35,"Adultos jóvenes 18 - 35 años",IF(C2276&gt;=36,"Adultos mayores 36 años en adelante"))</f>
        <v>Adultos mayores 36 años en adelante</v>
      </c>
      <c r="E2276" s="3" t="s">
        <v>5023</v>
      </c>
      <c r="F2276" s="3" t="s">
        <v>5024</v>
      </c>
      <c r="G2276" s="3" t="s">
        <v>5035</v>
      </c>
      <c r="H2276" s="3" t="s">
        <v>6530</v>
      </c>
      <c r="I2276" s="17">
        <v>45618</v>
      </c>
      <c r="J2276" s="18">
        <f>YEAR(Tabla1[[#This Row],[FECHA DE COMPRA]])</f>
        <v>2024</v>
      </c>
      <c r="K2276" s="19">
        <v>16.57</v>
      </c>
      <c r="L2276" s="20">
        <v>0.3</v>
      </c>
      <c r="M2276" s="19">
        <f>Tienda!$K678-Tienda!$K678*Tienda!$L678</f>
        <v>10.584</v>
      </c>
      <c r="N2276" s="3" t="s">
        <v>10039</v>
      </c>
      <c r="O2276" s="3" t="s">
        <v>10041</v>
      </c>
      <c r="P2276" s="17">
        <v>45471</v>
      </c>
      <c r="Q2276" s="4">
        <v>0</v>
      </c>
    </row>
    <row r="2277" spans="1:17" ht="30" x14ac:dyDescent="0.25">
      <c r="A2277" s="2" t="s">
        <v>301</v>
      </c>
      <c r="B2277" s="3" t="s">
        <v>5015</v>
      </c>
      <c r="C2277" s="3">
        <v>45</v>
      </c>
      <c r="D2277" s="46" t="str">
        <f>IF(Tabla1[[#This Row],[EDAD]]&lt;=35,"Adultos jóvenes 18 - 35 años",IF(C2277&gt;=36,"Adultos mayores 36 años en adelante"))</f>
        <v>Adultos mayores 36 años en adelante</v>
      </c>
      <c r="E2277" s="3" t="s">
        <v>5018</v>
      </c>
      <c r="F2277" s="3" t="s">
        <v>5027</v>
      </c>
      <c r="G2277" s="3" t="s">
        <v>5033</v>
      </c>
      <c r="H2277" s="3" t="s">
        <v>5324</v>
      </c>
      <c r="I2277" s="17">
        <v>45618</v>
      </c>
      <c r="J2277" s="18">
        <f>YEAR(Tabla1[[#This Row],[FECHA DE COMPRA]])</f>
        <v>2024</v>
      </c>
      <c r="K2277" s="19">
        <v>58.95</v>
      </c>
      <c r="L2277" s="20">
        <v>0.3</v>
      </c>
      <c r="M2277" s="19">
        <f>Tienda!$K679-Tienda!$K679*Tienda!$L679</f>
        <v>10.592000000000001</v>
      </c>
      <c r="N2277" s="3" t="s">
        <v>10039</v>
      </c>
      <c r="O2277" s="3" t="s">
        <v>10041</v>
      </c>
      <c r="P2277" s="17">
        <v>45471</v>
      </c>
      <c r="Q2277" s="4">
        <v>0</v>
      </c>
    </row>
    <row r="2278" spans="1:17" ht="30" x14ac:dyDescent="0.25">
      <c r="A2278" s="2" t="s">
        <v>1242</v>
      </c>
      <c r="B2278" s="3" t="s">
        <v>5015</v>
      </c>
      <c r="C2278" s="3">
        <v>58</v>
      </c>
      <c r="D2278" s="46" t="str">
        <f>IF(Tabla1[[#This Row],[EDAD]]&lt;=35,"Adultos jóvenes 18 - 35 años",IF(C2278&gt;=36,"Adultos mayores 36 años en adelante"))</f>
        <v>Adultos mayores 36 años en adelante</v>
      </c>
      <c r="E2278" s="3" t="s">
        <v>5023</v>
      </c>
      <c r="F2278" s="3" t="s">
        <v>5030</v>
      </c>
      <c r="G2278" s="3" t="s">
        <v>5033</v>
      </c>
      <c r="H2278" s="3" t="s">
        <v>6265</v>
      </c>
      <c r="I2278" s="17">
        <v>45618</v>
      </c>
      <c r="J2278" s="18">
        <f>YEAR(Tabla1[[#This Row],[FECHA DE COMPRA]])</f>
        <v>2024</v>
      </c>
      <c r="K2278" s="19">
        <v>86.05</v>
      </c>
      <c r="L2278" s="20">
        <v>0</v>
      </c>
      <c r="M2278" s="19">
        <f>Tienda!$K680-Tienda!$K680*Tienda!$L680</f>
        <v>11.6</v>
      </c>
      <c r="N2278" s="3" t="s">
        <v>10039</v>
      </c>
      <c r="O2278" s="3" t="s">
        <v>10041</v>
      </c>
      <c r="P2278" s="17">
        <v>45471</v>
      </c>
      <c r="Q2278" s="4">
        <v>0</v>
      </c>
    </row>
    <row r="2279" spans="1:17" ht="30" x14ac:dyDescent="0.25">
      <c r="A2279" s="2" t="s">
        <v>3538</v>
      </c>
      <c r="B2279" s="3" t="s">
        <v>5015</v>
      </c>
      <c r="C2279" s="3">
        <v>63</v>
      </c>
      <c r="D2279" s="46" t="str">
        <f>IF(Tabla1[[#This Row],[EDAD]]&lt;=35,"Adultos jóvenes 18 - 35 años",IF(C2279&gt;=36,"Adultos mayores 36 años en adelante"))</f>
        <v>Adultos mayores 36 años en adelante</v>
      </c>
      <c r="E2279" s="3" t="s">
        <v>5018</v>
      </c>
      <c r="F2279" s="3" t="s">
        <v>5027</v>
      </c>
      <c r="G2279" s="3" t="s">
        <v>5033</v>
      </c>
      <c r="H2279" s="3" t="s">
        <v>8561</v>
      </c>
      <c r="I2279" s="17">
        <v>45624</v>
      </c>
      <c r="J2279" s="18">
        <f>YEAR(Tabla1[[#This Row],[FECHA DE COMPRA]])</f>
        <v>2024</v>
      </c>
      <c r="K2279" s="19">
        <v>134.99</v>
      </c>
      <c r="L2279" s="20">
        <v>0.1</v>
      </c>
      <c r="M2279" s="19">
        <f>Tienda!$K682-Tienda!$K682*Tienda!$L682</f>
        <v>13.062000000000001</v>
      </c>
      <c r="N2279" s="3" t="s">
        <v>10039</v>
      </c>
      <c r="O2279" s="3" t="s">
        <v>10041</v>
      </c>
      <c r="P2279" s="17">
        <v>45394</v>
      </c>
      <c r="Q2279" s="4">
        <v>0</v>
      </c>
    </row>
    <row r="2280" spans="1:17" ht="30" x14ac:dyDescent="0.25">
      <c r="A2280" s="2" t="s">
        <v>1900</v>
      </c>
      <c r="B2280" s="3" t="s">
        <v>5015</v>
      </c>
      <c r="C2280" s="3">
        <v>40</v>
      </c>
      <c r="D2280" s="46" t="str">
        <f>IF(Tabla1[[#This Row],[EDAD]]&lt;=35,"Adultos jóvenes 18 - 35 años",IF(C2280&gt;=36,"Adultos mayores 36 años en adelante"))</f>
        <v>Adultos mayores 36 años en adelante</v>
      </c>
      <c r="E2280" s="3" t="s">
        <v>5018</v>
      </c>
      <c r="F2280" s="3" t="s">
        <v>5030</v>
      </c>
      <c r="G2280" s="3" t="s">
        <v>5035</v>
      </c>
      <c r="H2280" s="3" t="s">
        <v>6923</v>
      </c>
      <c r="I2280" s="17">
        <v>45624</v>
      </c>
      <c r="J2280" s="18">
        <f>YEAR(Tabla1[[#This Row],[FECHA DE COMPRA]])</f>
        <v>2024</v>
      </c>
      <c r="K2280" s="19">
        <v>74.39</v>
      </c>
      <c r="L2280" s="20">
        <v>0.3</v>
      </c>
      <c r="M2280" s="19">
        <f>Tienda!$K684-Tienda!$K684*Tienda!$L684</f>
        <v>14.322000000000001</v>
      </c>
      <c r="N2280" s="3" t="s">
        <v>10039</v>
      </c>
      <c r="O2280" s="3" t="s">
        <v>10041</v>
      </c>
      <c r="P2280" s="17">
        <v>45409</v>
      </c>
      <c r="Q2280" s="4">
        <v>0</v>
      </c>
    </row>
    <row r="2281" spans="1:17" ht="30" x14ac:dyDescent="0.25">
      <c r="A2281" s="2" t="s">
        <v>3985</v>
      </c>
      <c r="B2281" s="3" t="s">
        <v>5015</v>
      </c>
      <c r="C2281" s="3">
        <v>38</v>
      </c>
      <c r="D2281" s="46" t="str">
        <f>IF(Tabla1[[#This Row],[EDAD]]&lt;=35,"Adultos jóvenes 18 - 35 años",IF(C2281&gt;=36,"Adultos mayores 36 años en adelante"))</f>
        <v>Adultos mayores 36 años en adelante</v>
      </c>
      <c r="E2281" s="3" t="s">
        <v>5022</v>
      </c>
      <c r="F2281" s="3" t="s">
        <v>5030</v>
      </c>
      <c r="G2281" s="3" t="s">
        <v>5037</v>
      </c>
      <c r="H2281" s="3" t="s">
        <v>9008</v>
      </c>
      <c r="I2281" s="17">
        <v>45624</v>
      </c>
      <c r="J2281" s="18">
        <f>YEAR(Tabla1[[#This Row],[FECHA DE COMPRA]])</f>
        <v>2024</v>
      </c>
      <c r="K2281" s="19">
        <v>106.71</v>
      </c>
      <c r="L2281" s="20">
        <v>0.3</v>
      </c>
      <c r="M2281" s="19">
        <f>Tienda!$K685-Tienda!$K685*Tienda!$L685</f>
        <v>14.749000000000001</v>
      </c>
      <c r="N2281" s="3" t="s">
        <v>10039</v>
      </c>
      <c r="O2281" s="3" t="s">
        <v>10041</v>
      </c>
      <c r="P2281" s="17">
        <v>45409</v>
      </c>
      <c r="Q2281" s="4">
        <v>0</v>
      </c>
    </row>
    <row r="2282" spans="1:17" ht="30" x14ac:dyDescent="0.25">
      <c r="A2282" s="2" t="s">
        <v>4522</v>
      </c>
      <c r="B2282" s="3" t="s">
        <v>5016</v>
      </c>
      <c r="C2282" s="3">
        <v>62</v>
      </c>
      <c r="D2282" s="46" t="str">
        <f>IF(Tabla1[[#This Row],[EDAD]]&lt;=35,"Adultos jóvenes 18 - 35 años",IF(C2282&gt;=36,"Adultos mayores 36 años en adelante"))</f>
        <v>Adultos mayores 36 años en adelante</v>
      </c>
      <c r="E2282" s="3" t="s">
        <v>5019</v>
      </c>
      <c r="F2282" s="3" t="s">
        <v>5025</v>
      </c>
      <c r="G2282" s="3" t="s">
        <v>5037</v>
      </c>
      <c r="H2282" s="3" t="s">
        <v>9545</v>
      </c>
      <c r="I2282" s="17">
        <v>45624</v>
      </c>
      <c r="J2282" s="18">
        <f>YEAR(Tabla1[[#This Row],[FECHA DE COMPRA]])</f>
        <v>2024</v>
      </c>
      <c r="K2282" s="19">
        <v>36.01</v>
      </c>
      <c r="L2282" s="20">
        <v>0.2</v>
      </c>
      <c r="M2282" s="19">
        <f>Tienda!$K686-Tienda!$K686*Tienda!$L686</f>
        <v>14.85</v>
      </c>
      <c r="N2282" s="3" t="s">
        <v>10039</v>
      </c>
      <c r="O2282" s="3" t="s">
        <v>10041</v>
      </c>
      <c r="P2282" s="17">
        <v>45410</v>
      </c>
      <c r="Q2282" s="4">
        <v>0</v>
      </c>
    </row>
    <row r="2283" spans="1:17" ht="30" x14ac:dyDescent="0.25">
      <c r="A2283" s="2" t="s">
        <v>1176</v>
      </c>
      <c r="B2283" s="3" t="s">
        <v>5015</v>
      </c>
      <c r="C2283" s="3">
        <v>48</v>
      </c>
      <c r="D2283" s="46" t="str">
        <f>IF(Tabla1[[#This Row],[EDAD]]&lt;=35,"Adultos jóvenes 18 - 35 años",IF(C2283&gt;=36,"Adultos mayores 36 años en adelante"))</f>
        <v>Adultos mayores 36 años en adelante</v>
      </c>
      <c r="E2283" s="3" t="s">
        <v>5018</v>
      </c>
      <c r="F2283" s="3" t="s">
        <v>5026</v>
      </c>
      <c r="G2283" s="3" t="s">
        <v>5031</v>
      </c>
      <c r="H2283" s="3" t="s">
        <v>6199</v>
      </c>
      <c r="I2283" s="17">
        <v>45597</v>
      </c>
      <c r="J2283" s="18">
        <f>YEAR(Tabla1[[#This Row],[FECHA DE COMPRA]])</f>
        <v>2024</v>
      </c>
      <c r="K2283" s="19">
        <v>38.57</v>
      </c>
      <c r="L2283" s="20">
        <v>0</v>
      </c>
      <c r="M2283" s="19">
        <f>Tienda!$K688-Tienda!$K688*Tienda!$L688</f>
        <v>16.73</v>
      </c>
      <c r="N2283" s="3" t="s">
        <v>10039</v>
      </c>
      <c r="O2283" s="3" t="s">
        <v>10041</v>
      </c>
      <c r="P2283" s="17">
        <v>45597</v>
      </c>
      <c r="Q2283" s="4">
        <v>0</v>
      </c>
    </row>
    <row r="2284" spans="1:17" ht="30" x14ac:dyDescent="0.25">
      <c r="A2284" s="2" t="s">
        <v>1998</v>
      </c>
      <c r="B2284" s="3" t="s">
        <v>5015</v>
      </c>
      <c r="C2284" s="3">
        <v>44</v>
      </c>
      <c r="D2284" s="46" t="str">
        <f>IF(Tabla1[[#This Row],[EDAD]]&lt;=35,"Adultos jóvenes 18 - 35 años",IF(C2284&gt;=36,"Adultos mayores 36 años en adelante"))</f>
        <v>Adultos mayores 36 años en adelante</v>
      </c>
      <c r="E2284" s="3" t="s">
        <v>5021</v>
      </c>
      <c r="F2284" s="3" t="s">
        <v>5025</v>
      </c>
      <c r="G2284" s="3" t="s">
        <v>5033</v>
      </c>
      <c r="H2284" s="3" t="s">
        <v>7021</v>
      </c>
      <c r="I2284" s="17">
        <v>45597</v>
      </c>
      <c r="J2284" s="18">
        <f>YEAR(Tabla1[[#This Row],[FECHA DE COMPRA]])</f>
        <v>2024</v>
      </c>
      <c r="K2284" s="19">
        <v>189.58</v>
      </c>
      <c r="L2284" s="20">
        <v>0</v>
      </c>
      <c r="M2284" s="19">
        <f>Tienda!$K690-Tienda!$K690*Tienda!$L690</f>
        <v>18.605999999999998</v>
      </c>
      <c r="N2284" s="3" t="s">
        <v>10039</v>
      </c>
      <c r="O2284" s="3" t="s">
        <v>10041</v>
      </c>
      <c r="P2284" s="17">
        <v>45597</v>
      </c>
      <c r="Q2284" s="4">
        <v>0</v>
      </c>
    </row>
    <row r="2285" spans="1:17" ht="30" x14ac:dyDescent="0.25">
      <c r="A2285" s="2" t="s">
        <v>3293</v>
      </c>
      <c r="B2285" s="3" t="s">
        <v>5015</v>
      </c>
      <c r="C2285" s="3">
        <v>62</v>
      </c>
      <c r="D2285" s="46" t="str">
        <f>IF(Tabla1[[#This Row],[EDAD]]&lt;=35,"Adultos jóvenes 18 - 35 años",IF(C2285&gt;=36,"Adultos mayores 36 años en adelante"))</f>
        <v>Adultos mayores 36 años en adelante</v>
      </c>
      <c r="E2285" s="3" t="s">
        <v>5020</v>
      </c>
      <c r="F2285" s="3" t="s">
        <v>5028</v>
      </c>
      <c r="G2285" s="3" t="s">
        <v>5035</v>
      </c>
      <c r="H2285" s="3" t="s">
        <v>8316</v>
      </c>
      <c r="I2285" s="17">
        <v>45599</v>
      </c>
      <c r="J2285" s="18">
        <f>YEAR(Tabla1[[#This Row],[FECHA DE COMPRA]])</f>
        <v>2024</v>
      </c>
      <c r="K2285" s="19">
        <v>42.41</v>
      </c>
      <c r="L2285" s="20">
        <v>0.3</v>
      </c>
      <c r="M2285" s="19">
        <f>Tienda!$K691-Tienda!$K691*Tienda!$L691</f>
        <v>18.648</v>
      </c>
      <c r="N2285" s="3" t="s">
        <v>10039</v>
      </c>
      <c r="O2285" s="3" t="s">
        <v>10041</v>
      </c>
      <c r="P2285" s="17">
        <v>45599</v>
      </c>
      <c r="Q2285" s="4">
        <v>0</v>
      </c>
    </row>
    <row r="2286" spans="1:17" ht="30" x14ac:dyDescent="0.25">
      <c r="A2286" s="2" t="s">
        <v>4209</v>
      </c>
      <c r="B2286" s="3" t="s">
        <v>5015</v>
      </c>
      <c r="C2286" s="3">
        <v>54</v>
      </c>
      <c r="D2286" s="46" t="str">
        <f>IF(Tabla1[[#This Row],[EDAD]]&lt;=35,"Adultos jóvenes 18 - 35 años",IF(C2286&gt;=36,"Adultos mayores 36 años en adelante"))</f>
        <v>Adultos mayores 36 años en adelante</v>
      </c>
      <c r="E2286" s="3" t="s">
        <v>5022</v>
      </c>
      <c r="F2286" s="3" t="s">
        <v>5028</v>
      </c>
      <c r="G2286" s="3" t="s">
        <v>5035</v>
      </c>
      <c r="H2286" s="3" t="s">
        <v>9232</v>
      </c>
      <c r="I2286" s="17">
        <v>45599</v>
      </c>
      <c r="J2286" s="18">
        <f>YEAR(Tabla1[[#This Row],[FECHA DE COMPRA]])</f>
        <v>2024</v>
      </c>
      <c r="K2286" s="19">
        <v>52.66</v>
      </c>
      <c r="L2286" s="20">
        <v>0.1</v>
      </c>
      <c r="M2286" s="19">
        <f>Tienda!$K692-Tienda!$K692*Tienda!$L692</f>
        <v>20.84</v>
      </c>
      <c r="N2286" s="3" t="s">
        <v>10039</v>
      </c>
      <c r="O2286" s="3" t="s">
        <v>10041</v>
      </c>
      <c r="P2286" s="17">
        <v>45599</v>
      </c>
      <c r="Q2286" s="4">
        <v>0</v>
      </c>
    </row>
    <row r="2287" spans="1:17" ht="30" x14ac:dyDescent="0.25">
      <c r="A2287" s="2" t="s">
        <v>2730</v>
      </c>
      <c r="B2287" s="3" t="s">
        <v>5016</v>
      </c>
      <c r="C2287" s="3">
        <v>49</v>
      </c>
      <c r="D2287" s="46" t="str">
        <f>IF(Tabla1[[#This Row],[EDAD]]&lt;=35,"Adultos jóvenes 18 - 35 años",IF(C2287&gt;=36,"Adultos mayores 36 años en adelante"))</f>
        <v>Adultos mayores 36 años en adelante</v>
      </c>
      <c r="E2287" s="3" t="s">
        <v>5023</v>
      </c>
      <c r="F2287" s="3" t="s">
        <v>5024</v>
      </c>
      <c r="G2287" s="3" t="s">
        <v>5036</v>
      </c>
      <c r="H2287" s="3" t="s">
        <v>7753</v>
      </c>
      <c r="I2287" s="17">
        <v>45599</v>
      </c>
      <c r="J2287" s="18">
        <f>YEAR(Tabla1[[#This Row],[FECHA DE COMPRA]])</f>
        <v>2024</v>
      </c>
      <c r="K2287" s="19">
        <v>56.58</v>
      </c>
      <c r="L2287" s="20">
        <v>0.2</v>
      </c>
      <c r="M2287" s="19">
        <f>Tienda!$K693-Tienda!$K693*Tienda!$L693</f>
        <v>23.561999999999998</v>
      </c>
      <c r="N2287" s="3" t="s">
        <v>10039</v>
      </c>
      <c r="O2287" s="3" t="s">
        <v>10041</v>
      </c>
      <c r="P2287" s="17">
        <v>45599</v>
      </c>
      <c r="Q2287" s="4">
        <v>0</v>
      </c>
    </row>
    <row r="2288" spans="1:17" ht="30" x14ac:dyDescent="0.25">
      <c r="A2288" s="2" t="s">
        <v>2201</v>
      </c>
      <c r="B2288" s="3" t="s">
        <v>5016</v>
      </c>
      <c r="C2288" s="3">
        <v>45</v>
      </c>
      <c r="D2288" s="46" t="str">
        <f>IF(Tabla1[[#This Row],[EDAD]]&lt;=35,"Adultos jóvenes 18 - 35 años",IF(C2288&gt;=36,"Adultos mayores 36 años en adelante"))</f>
        <v>Adultos mayores 36 años en adelante</v>
      </c>
      <c r="E2288" s="3" t="s">
        <v>5017</v>
      </c>
      <c r="F2288" s="3" t="s">
        <v>5024</v>
      </c>
      <c r="G2288" s="3" t="s">
        <v>5036</v>
      </c>
      <c r="H2288" s="3" t="s">
        <v>7224</v>
      </c>
      <c r="I2288" s="17">
        <v>45599</v>
      </c>
      <c r="J2288" s="18">
        <f>YEAR(Tabla1[[#This Row],[FECHA DE COMPRA]])</f>
        <v>2024</v>
      </c>
      <c r="K2288" s="19">
        <v>63.41</v>
      </c>
      <c r="L2288" s="20">
        <v>0.3</v>
      </c>
      <c r="M2288" s="19">
        <f>Tienda!$K694-Tienda!$K694*Tienda!$L694</f>
        <v>23.610999999999997</v>
      </c>
      <c r="N2288" s="3" t="s">
        <v>10039</v>
      </c>
      <c r="O2288" s="3" t="s">
        <v>10041</v>
      </c>
      <c r="P2288" s="17">
        <v>45599</v>
      </c>
      <c r="Q2288" s="4">
        <v>0</v>
      </c>
    </row>
    <row r="2289" spans="1:17" ht="30" x14ac:dyDescent="0.25">
      <c r="A2289" s="2" t="s">
        <v>2408</v>
      </c>
      <c r="B2289" s="3" t="s">
        <v>5015</v>
      </c>
      <c r="C2289" s="3">
        <v>50</v>
      </c>
      <c r="D2289" s="46" t="str">
        <f>IF(Tabla1[[#This Row],[EDAD]]&lt;=35,"Adultos jóvenes 18 - 35 años",IF(C2289&gt;=36,"Adultos mayores 36 años en adelante"))</f>
        <v>Adultos mayores 36 años en adelante</v>
      </c>
      <c r="E2289" s="3" t="s">
        <v>5018</v>
      </c>
      <c r="F2289" s="3" t="s">
        <v>5028</v>
      </c>
      <c r="G2289" s="3" t="s">
        <v>5037</v>
      </c>
      <c r="H2289" s="3" t="s">
        <v>7431</v>
      </c>
      <c r="I2289" s="17">
        <v>45599</v>
      </c>
      <c r="J2289" s="18">
        <f>YEAR(Tabla1[[#This Row],[FECHA DE COMPRA]])</f>
        <v>2024</v>
      </c>
      <c r="K2289" s="19">
        <v>99.68</v>
      </c>
      <c r="L2289" s="20">
        <v>0.3</v>
      </c>
      <c r="M2289" s="19">
        <f>Tienda!$K695-Tienda!$K695*Tienda!$L695</f>
        <v>24.156999999999996</v>
      </c>
      <c r="N2289" s="3" t="s">
        <v>10039</v>
      </c>
      <c r="O2289" s="3" t="s">
        <v>10041</v>
      </c>
      <c r="P2289" s="17">
        <v>45599</v>
      </c>
      <c r="Q2289" s="4">
        <v>0</v>
      </c>
    </row>
    <row r="2290" spans="1:17" ht="30" x14ac:dyDescent="0.25">
      <c r="A2290" s="2" t="s">
        <v>4924</v>
      </c>
      <c r="B2290" s="3" t="s">
        <v>5015</v>
      </c>
      <c r="C2290" s="3">
        <v>58</v>
      </c>
      <c r="D2290" s="46" t="str">
        <f>IF(Tabla1[[#This Row],[EDAD]]&lt;=35,"Adultos jóvenes 18 - 35 años",IF(C2290&gt;=36,"Adultos mayores 36 años en adelante"))</f>
        <v>Adultos mayores 36 años en adelante</v>
      </c>
      <c r="E2290" s="3" t="s">
        <v>5022</v>
      </c>
      <c r="F2290" s="3" t="s">
        <v>5029</v>
      </c>
      <c r="G2290" s="3" t="s">
        <v>5034</v>
      </c>
      <c r="H2290" s="3" t="s">
        <v>9947</v>
      </c>
      <c r="I2290" s="17">
        <v>45599</v>
      </c>
      <c r="J2290" s="18">
        <f>YEAR(Tabla1[[#This Row],[FECHA DE COMPRA]])</f>
        <v>2024</v>
      </c>
      <c r="K2290" s="19">
        <v>141.80000000000001</v>
      </c>
      <c r="L2290" s="20">
        <v>0.1</v>
      </c>
      <c r="M2290" s="19">
        <f>Tienda!$K696-Tienda!$K696*Tienda!$L696</f>
        <v>24.31</v>
      </c>
      <c r="N2290" s="3" t="s">
        <v>10039</v>
      </c>
      <c r="O2290" s="3" t="s">
        <v>10041</v>
      </c>
      <c r="P2290" s="17">
        <v>45599</v>
      </c>
      <c r="Q2290" s="4">
        <v>0</v>
      </c>
    </row>
    <row r="2291" spans="1:17" ht="30" x14ac:dyDescent="0.25">
      <c r="A2291" s="2" t="s">
        <v>3285</v>
      </c>
      <c r="B2291" s="3" t="s">
        <v>5016</v>
      </c>
      <c r="C2291" s="3">
        <v>61</v>
      </c>
      <c r="D2291" s="46" t="str">
        <f>IF(Tabla1[[#This Row],[EDAD]]&lt;=35,"Adultos jóvenes 18 - 35 años",IF(C2291&gt;=36,"Adultos mayores 36 años en adelante"))</f>
        <v>Adultos mayores 36 años en adelante</v>
      </c>
      <c r="E2291" s="3" t="s">
        <v>5023</v>
      </c>
      <c r="F2291" s="3" t="s">
        <v>5028</v>
      </c>
      <c r="G2291" s="3" t="s">
        <v>5033</v>
      </c>
      <c r="H2291" s="3" t="s">
        <v>8308</v>
      </c>
      <c r="I2291" s="17">
        <v>45599</v>
      </c>
      <c r="J2291" s="18">
        <f>YEAR(Tabla1[[#This Row],[FECHA DE COMPRA]])</f>
        <v>2024</v>
      </c>
      <c r="K2291" s="19">
        <v>149.63</v>
      </c>
      <c r="L2291" s="20">
        <v>0</v>
      </c>
      <c r="M2291" s="19">
        <f>Tienda!$K697-Tienda!$K697*Tienda!$L697</f>
        <v>24.57</v>
      </c>
      <c r="N2291" s="3" t="s">
        <v>10039</v>
      </c>
      <c r="O2291" s="3" t="s">
        <v>10041</v>
      </c>
      <c r="P2291" s="17">
        <v>45599</v>
      </c>
      <c r="Q2291" s="4">
        <v>0</v>
      </c>
    </row>
    <row r="2292" spans="1:17" ht="30" x14ac:dyDescent="0.25">
      <c r="A2292" s="2" t="s">
        <v>4333</v>
      </c>
      <c r="B2292" s="3" t="s">
        <v>5015</v>
      </c>
      <c r="C2292" s="3">
        <v>45</v>
      </c>
      <c r="D2292" s="46" t="str">
        <f>IF(Tabla1[[#This Row],[EDAD]]&lt;=35,"Adultos jóvenes 18 - 35 años",IF(C2292&gt;=36,"Adultos mayores 36 años en adelante"))</f>
        <v>Adultos mayores 36 años en adelante</v>
      </c>
      <c r="E2292" s="3" t="s">
        <v>5017</v>
      </c>
      <c r="F2292" s="3" t="s">
        <v>5026</v>
      </c>
      <c r="G2292" s="3" t="s">
        <v>5034</v>
      </c>
      <c r="H2292" s="3" t="s">
        <v>9356</v>
      </c>
      <c r="I2292" s="17">
        <v>45600</v>
      </c>
      <c r="J2292" s="18">
        <f>YEAR(Tabla1[[#This Row],[FECHA DE COMPRA]])</f>
        <v>2024</v>
      </c>
      <c r="K2292" s="19">
        <v>51.74</v>
      </c>
      <c r="L2292" s="20">
        <v>0.2</v>
      </c>
      <c r="M2292" s="19">
        <f>Tienda!$K699-Tienda!$K699*Tienda!$L699</f>
        <v>27.3</v>
      </c>
      <c r="N2292" s="3" t="s">
        <v>10039</v>
      </c>
      <c r="O2292" s="3" t="s">
        <v>10041</v>
      </c>
      <c r="P2292" s="17">
        <v>45600</v>
      </c>
      <c r="Q2292" s="4">
        <v>0</v>
      </c>
    </row>
    <row r="2293" spans="1:17" ht="30" x14ac:dyDescent="0.25">
      <c r="A2293" s="2" t="s">
        <v>4170</v>
      </c>
      <c r="B2293" s="3" t="s">
        <v>5015</v>
      </c>
      <c r="C2293" s="3">
        <v>43</v>
      </c>
      <c r="D2293" s="46" t="str">
        <f>IF(Tabla1[[#This Row],[EDAD]]&lt;=35,"Adultos jóvenes 18 - 35 años",IF(C2293&gt;=36,"Adultos mayores 36 años en adelante"))</f>
        <v>Adultos mayores 36 años en adelante</v>
      </c>
      <c r="E2293" s="3" t="s">
        <v>5020</v>
      </c>
      <c r="F2293" s="3" t="s">
        <v>5026</v>
      </c>
      <c r="G2293" s="3" t="s">
        <v>5031</v>
      </c>
      <c r="H2293" s="3" t="s">
        <v>9193</v>
      </c>
      <c r="I2293" s="17">
        <v>45600</v>
      </c>
      <c r="J2293" s="18">
        <f>YEAR(Tabla1[[#This Row],[FECHA DE COMPRA]])</f>
        <v>2024</v>
      </c>
      <c r="K2293" s="19">
        <v>129.97999999999999</v>
      </c>
      <c r="L2293" s="20">
        <v>0.3</v>
      </c>
      <c r="M2293" s="19">
        <f>Tienda!$K700-Tienda!$K700*Tienda!$L700</f>
        <v>28.53</v>
      </c>
      <c r="N2293" s="3" t="s">
        <v>10039</v>
      </c>
      <c r="O2293" s="3" t="s">
        <v>10041</v>
      </c>
      <c r="P2293" s="17">
        <v>45600</v>
      </c>
      <c r="Q2293" s="4">
        <v>0</v>
      </c>
    </row>
    <row r="2294" spans="1:17" ht="30" x14ac:dyDescent="0.25">
      <c r="A2294" s="2" t="s">
        <v>4845</v>
      </c>
      <c r="B2294" s="3" t="s">
        <v>5015</v>
      </c>
      <c r="C2294" s="3">
        <v>38</v>
      </c>
      <c r="D2294" s="46" t="str">
        <f>IF(Tabla1[[#This Row],[EDAD]]&lt;=35,"Adultos jóvenes 18 - 35 años",IF(C2294&gt;=36,"Adultos mayores 36 años en adelante"))</f>
        <v>Adultos mayores 36 años en adelante</v>
      </c>
      <c r="E2294" s="3" t="s">
        <v>5020</v>
      </c>
      <c r="F2294" s="3" t="s">
        <v>5024</v>
      </c>
      <c r="G2294" s="3" t="s">
        <v>5031</v>
      </c>
      <c r="H2294" s="3" t="s">
        <v>9868</v>
      </c>
      <c r="I2294" s="17">
        <v>45601</v>
      </c>
      <c r="J2294" s="18">
        <f>YEAR(Tabla1[[#This Row],[FECHA DE COMPRA]])</f>
        <v>2024</v>
      </c>
      <c r="K2294" s="19">
        <v>187.02</v>
      </c>
      <c r="L2294" s="20">
        <v>0.1</v>
      </c>
      <c r="M2294" s="19">
        <f>Tienda!$K702-Tienda!$K702*Tienda!$L702</f>
        <v>29.904</v>
      </c>
      <c r="N2294" s="3" t="s">
        <v>10039</v>
      </c>
      <c r="O2294" s="3" t="s">
        <v>10041</v>
      </c>
      <c r="P2294" s="17">
        <v>45601</v>
      </c>
      <c r="Q2294" s="4">
        <v>0</v>
      </c>
    </row>
    <row r="2295" spans="1:17" ht="30" x14ac:dyDescent="0.25">
      <c r="A2295" s="2" t="s">
        <v>2269</v>
      </c>
      <c r="B2295" s="3" t="s">
        <v>5015</v>
      </c>
      <c r="C2295" s="3">
        <v>57</v>
      </c>
      <c r="D2295" s="46" t="str">
        <f>IF(Tabla1[[#This Row],[EDAD]]&lt;=35,"Adultos jóvenes 18 - 35 años",IF(C2295&gt;=36,"Adultos mayores 36 años en adelante"))</f>
        <v>Adultos mayores 36 años en adelante</v>
      </c>
      <c r="E2295" s="3" t="s">
        <v>5022</v>
      </c>
      <c r="F2295" s="3" t="s">
        <v>5029</v>
      </c>
      <c r="G2295" s="3" t="s">
        <v>5037</v>
      </c>
      <c r="H2295" s="3" t="s">
        <v>7292</v>
      </c>
      <c r="I2295" s="17">
        <v>45602</v>
      </c>
      <c r="J2295" s="18">
        <f>YEAR(Tabla1[[#This Row],[FECHA DE COMPRA]])</f>
        <v>2024</v>
      </c>
      <c r="K2295" s="19">
        <v>162.37</v>
      </c>
      <c r="L2295" s="20">
        <v>0.2</v>
      </c>
      <c r="M2295" s="19">
        <f>Tienda!$K704-Tienda!$K704*Tienda!$L704</f>
        <v>31.213000000000001</v>
      </c>
      <c r="N2295" s="3" t="s">
        <v>10039</v>
      </c>
      <c r="O2295" s="3" t="s">
        <v>10041</v>
      </c>
      <c r="P2295" s="17">
        <v>45602</v>
      </c>
      <c r="Q2295" s="4">
        <v>0</v>
      </c>
    </row>
    <row r="2296" spans="1:17" ht="30" x14ac:dyDescent="0.25">
      <c r="A2296" s="2" t="s">
        <v>2119</v>
      </c>
      <c r="B2296" s="3" t="s">
        <v>5015</v>
      </c>
      <c r="C2296" s="3">
        <v>49</v>
      </c>
      <c r="D2296" s="46" t="str">
        <f>IF(Tabla1[[#This Row],[EDAD]]&lt;=35,"Adultos jóvenes 18 - 35 años",IF(C2296&gt;=36,"Adultos mayores 36 años en adelante"))</f>
        <v>Adultos mayores 36 años en adelante</v>
      </c>
      <c r="E2296" s="3" t="s">
        <v>5022</v>
      </c>
      <c r="F2296" s="3" t="s">
        <v>5030</v>
      </c>
      <c r="G2296" s="3" t="s">
        <v>5032</v>
      </c>
      <c r="H2296" s="3" t="s">
        <v>7142</v>
      </c>
      <c r="I2296" s="17">
        <v>45603</v>
      </c>
      <c r="J2296" s="18">
        <f>YEAR(Tabla1[[#This Row],[FECHA DE COMPRA]])</f>
        <v>2024</v>
      </c>
      <c r="K2296" s="19">
        <v>50.19</v>
      </c>
      <c r="L2296" s="20">
        <v>0.1</v>
      </c>
      <c r="M2296" s="19">
        <f>Tienda!$K705-Tienda!$K705*Tienda!$L705</f>
        <v>31.24</v>
      </c>
      <c r="N2296" s="3" t="s">
        <v>10039</v>
      </c>
      <c r="O2296" s="3" t="s">
        <v>10041</v>
      </c>
      <c r="P2296" s="17">
        <v>45603</v>
      </c>
      <c r="Q2296" s="4">
        <v>0</v>
      </c>
    </row>
    <row r="2297" spans="1:17" ht="30" x14ac:dyDescent="0.25">
      <c r="A2297" s="2" t="s">
        <v>1765</v>
      </c>
      <c r="B2297" s="3" t="s">
        <v>5015</v>
      </c>
      <c r="C2297" s="3">
        <v>50</v>
      </c>
      <c r="D2297" s="46" t="str">
        <f>IF(Tabla1[[#This Row],[EDAD]]&lt;=35,"Adultos jóvenes 18 - 35 años",IF(C2297&gt;=36,"Adultos mayores 36 años en adelante"))</f>
        <v>Adultos mayores 36 años en adelante</v>
      </c>
      <c r="E2297" s="3" t="s">
        <v>5022</v>
      </c>
      <c r="F2297" s="3" t="s">
        <v>5030</v>
      </c>
      <c r="G2297" s="3" t="s">
        <v>5032</v>
      </c>
      <c r="H2297" s="3" t="s">
        <v>6788</v>
      </c>
      <c r="I2297" s="17">
        <v>45603</v>
      </c>
      <c r="J2297" s="18">
        <f>YEAR(Tabla1[[#This Row],[FECHA DE COMPRA]])</f>
        <v>2024</v>
      </c>
      <c r="K2297" s="19">
        <v>183.5</v>
      </c>
      <c r="L2297" s="20">
        <v>0.3</v>
      </c>
      <c r="M2297" s="19">
        <f>Tienda!$K706-Tienda!$K706*Tienda!$L706</f>
        <v>31.83</v>
      </c>
      <c r="N2297" s="3" t="s">
        <v>10039</v>
      </c>
      <c r="O2297" s="3" t="s">
        <v>10041</v>
      </c>
      <c r="P2297" s="17">
        <v>45603</v>
      </c>
      <c r="Q2297" s="4">
        <v>0</v>
      </c>
    </row>
    <row r="2298" spans="1:17" ht="30" x14ac:dyDescent="0.25">
      <c r="A2298" s="2" t="s">
        <v>2635</v>
      </c>
      <c r="B2298" s="3" t="s">
        <v>5015</v>
      </c>
      <c r="C2298" s="3">
        <v>46</v>
      </c>
      <c r="D2298" s="46" t="str">
        <f>IF(Tabla1[[#This Row],[EDAD]]&lt;=35,"Adultos jóvenes 18 - 35 años",IF(C2298&gt;=36,"Adultos mayores 36 años en adelante"))</f>
        <v>Adultos mayores 36 años en adelante</v>
      </c>
      <c r="E2298" s="3" t="s">
        <v>5022</v>
      </c>
      <c r="F2298" s="3" t="s">
        <v>5029</v>
      </c>
      <c r="G2298" s="3" t="s">
        <v>5037</v>
      </c>
      <c r="H2298" s="3" t="s">
        <v>7658</v>
      </c>
      <c r="I2298" s="17">
        <v>45603</v>
      </c>
      <c r="J2298" s="18">
        <f>YEAR(Tabla1[[#This Row],[FECHA DE COMPRA]])</f>
        <v>2024</v>
      </c>
      <c r="K2298" s="19">
        <v>183.98</v>
      </c>
      <c r="L2298" s="20">
        <v>0.1</v>
      </c>
      <c r="M2298" s="19">
        <f>Tienda!$K707-Tienda!$K707*Tienda!$L707</f>
        <v>33.621000000000002</v>
      </c>
      <c r="N2298" s="3" t="s">
        <v>10039</v>
      </c>
      <c r="O2298" s="3" t="s">
        <v>10041</v>
      </c>
      <c r="P2298" s="17">
        <v>45603</v>
      </c>
      <c r="Q2298" s="4">
        <v>0</v>
      </c>
    </row>
    <row r="2299" spans="1:17" ht="30" x14ac:dyDescent="0.25">
      <c r="A2299" s="2" t="s">
        <v>3141</v>
      </c>
      <c r="B2299" s="3" t="s">
        <v>5015</v>
      </c>
      <c r="C2299" s="3">
        <v>63</v>
      </c>
      <c r="D2299" s="46" t="str">
        <f>IF(Tabla1[[#This Row],[EDAD]]&lt;=35,"Adultos jóvenes 18 - 35 años",IF(C2299&gt;=36,"Adultos mayores 36 años en adelante"))</f>
        <v>Adultos mayores 36 años en adelante</v>
      </c>
      <c r="E2299" s="3" t="s">
        <v>5017</v>
      </c>
      <c r="F2299" s="3" t="s">
        <v>5028</v>
      </c>
      <c r="G2299" s="3" t="s">
        <v>5031</v>
      </c>
      <c r="H2299" s="3" t="s">
        <v>8164</v>
      </c>
      <c r="I2299" s="17">
        <v>45604</v>
      </c>
      <c r="J2299" s="18">
        <f>YEAR(Tabla1[[#This Row],[FECHA DE COMPRA]])</f>
        <v>2024</v>
      </c>
      <c r="K2299" s="19">
        <v>70.680000000000007</v>
      </c>
      <c r="L2299" s="20">
        <v>0.1</v>
      </c>
      <c r="M2299" s="19">
        <f>Tienda!$K708-Tienda!$K708*Tienda!$L708</f>
        <v>34.375999999999998</v>
      </c>
      <c r="N2299" s="3" t="s">
        <v>10039</v>
      </c>
      <c r="O2299" s="3" t="s">
        <v>10041</v>
      </c>
      <c r="P2299" s="17">
        <v>45604</v>
      </c>
      <c r="Q2299" s="4">
        <v>0</v>
      </c>
    </row>
    <row r="2300" spans="1:17" ht="30" x14ac:dyDescent="0.25">
      <c r="A2300" s="2" t="s">
        <v>925</v>
      </c>
      <c r="B2300" s="3" t="s">
        <v>5015</v>
      </c>
      <c r="C2300" s="3">
        <v>61</v>
      </c>
      <c r="D2300" s="46" t="str">
        <f>IF(Tabla1[[#This Row],[EDAD]]&lt;=35,"Adultos jóvenes 18 - 35 años",IF(C2300&gt;=36,"Adultos mayores 36 años en adelante"))</f>
        <v>Adultos mayores 36 años en adelante</v>
      </c>
      <c r="E2300" s="3" t="s">
        <v>5017</v>
      </c>
      <c r="F2300" s="3" t="s">
        <v>5024</v>
      </c>
      <c r="G2300" s="3" t="s">
        <v>5031</v>
      </c>
      <c r="H2300" s="3" t="s">
        <v>5948</v>
      </c>
      <c r="I2300" s="17">
        <v>45604</v>
      </c>
      <c r="J2300" s="18">
        <f>YEAR(Tabla1[[#This Row],[FECHA DE COMPRA]])</f>
        <v>2024</v>
      </c>
      <c r="K2300" s="19">
        <v>163.99</v>
      </c>
      <c r="L2300" s="20">
        <v>0.3</v>
      </c>
      <c r="M2300" s="19">
        <f>Tienda!$K710-Tienda!$K710*Tienda!$L710</f>
        <v>35.135999999999996</v>
      </c>
      <c r="N2300" s="3" t="s">
        <v>10039</v>
      </c>
      <c r="O2300" s="3" t="s">
        <v>10041</v>
      </c>
      <c r="P2300" s="17">
        <v>45604</v>
      </c>
      <c r="Q2300" s="4">
        <v>0</v>
      </c>
    </row>
    <row r="2301" spans="1:17" ht="30" x14ac:dyDescent="0.25">
      <c r="A2301" s="2" t="s">
        <v>4176</v>
      </c>
      <c r="B2301" s="3" t="s">
        <v>5015</v>
      </c>
      <c r="C2301" s="3">
        <v>64</v>
      </c>
      <c r="D2301" s="46" t="str">
        <f>IF(Tabla1[[#This Row],[EDAD]]&lt;=35,"Adultos jóvenes 18 - 35 años",IF(C2301&gt;=36,"Adultos mayores 36 años en adelante"))</f>
        <v>Adultos mayores 36 años en adelante</v>
      </c>
      <c r="E2301" s="3" t="s">
        <v>5022</v>
      </c>
      <c r="F2301" s="3" t="s">
        <v>5024</v>
      </c>
      <c r="G2301" s="3" t="s">
        <v>5032</v>
      </c>
      <c r="H2301" s="3" t="s">
        <v>9199</v>
      </c>
      <c r="I2301" s="17">
        <v>45604</v>
      </c>
      <c r="J2301" s="18">
        <f>YEAR(Tabla1[[#This Row],[FECHA DE COMPRA]])</f>
        <v>2024</v>
      </c>
      <c r="K2301" s="19">
        <v>176.02</v>
      </c>
      <c r="L2301" s="20">
        <v>0</v>
      </c>
      <c r="M2301" s="19">
        <f>Tienda!$K711-Tienda!$K711*Tienda!$L711</f>
        <v>37.286999999999999</v>
      </c>
      <c r="N2301" s="3" t="s">
        <v>10039</v>
      </c>
      <c r="O2301" s="3" t="s">
        <v>10041</v>
      </c>
      <c r="P2301" s="17">
        <v>45604</v>
      </c>
      <c r="Q2301" s="4">
        <v>0</v>
      </c>
    </row>
    <row r="2302" spans="1:17" ht="30" x14ac:dyDescent="0.25">
      <c r="A2302" s="2" t="s">
        <v>4836</v>
      </c>
      <c r="B2302" s="3" t="s">
        <v>5015</v>
      </c>
      <c r="C2302" s="3">
        <v>53</v>
      </c>
      <c r="D2302" s="46" t="str">
        <f>IF(Tabla1[[#This Row],[EDAD]]&lt;=35,"Adultos jóvenes 18 - 35 años",IF(C2302&gt;=36,"Adultos mayores 36 años en adelante"))</f>
        <v>Adultos mayores 36 años en adelante</v>
      </c>
      <c r="E2302" s="3" t="s">
        <v>5022</v>
      </c>
      <c r="F2302" s="3" t="s">
        <v>5027</v>
      </c>
      <c r="G2302" s="3" t="s">
        <v>5031</v>
      </c>
      <c r="H2302" s="3" t="s">
        <v>9859</v>
      </c>
      <c r="I2302" s="17">
        <v>45605</v>
      </c>
      <c r="J2302" s="18">
        <f>YEAR(Tabla1[[#This Row],[FECHA DE COMPRA]])</f>
        <v>2024</v>
      </c>
      <c r="K2302" s="19">
        <v>17.21</v>
      </c>
      <c r="L2302" s="20">
        <v>0.1</v>
      </c>
      <c r="M2302" s="19">
        <f>Tienda!$K712-Tienda!$K712*Tienda!$L712</f>
        <v>37.575000000000003</v>
      </c>
      <c r="N2302" s="3" t="s">
        <v>10039</v>
      </c>
      <c r="O2302" s="3" t="s">
        <v>10041</v>
      </c>
      <c r="P2302" s="17">
        <v>45605</v>
      </c>
      <c r="Q2302" s="4">
        <v>0</v>
      </c>
    </row>
    <row r="2303" spans="1:17" ht="30" x14ac:dyDescent="0.25">
      <c r="A2303" s="2" t="s">
        <v>2137</v>
      </c>
      <c r="B2303" s="3" t="s">
        <v>5016</v>
      </c>
      <c r="C2303" s="3">
        <v>59</v>
      </c>
      <c r="D2303" s="46" t="str">
        <f>IF(Tabla1[[#This Row],[EDAD]]&lt;=35,"Adultos jóvenes 18 - 35 años",IF(C2303&gt;=36,"Adultos mayores 36 años en adelante"))</f>
        <v>Adultos mayores 36 años en adelante</v>
      </c>
      <c r="E2303" s="3" t="s">
        <v>5021</v>
      </c>
      <c r="F2303" s="3" t="s">
        <v>5029</v>
      </c>
      <c r="G2303" s="3" t="s">
        <v>5037</v>
      </c>
      <c r="H2303" s="3" t="s">
        <v>7160</v>
      </c>
      <c r="I2303" s="17">
        <v>45605</v>
      </c>
      <c r="J2303" s="18">
        <f>YEAR(Tabla1[[#This Row],[FECHA DE COMPRA]])</f>
        <v>2024</v>
      </c>
      <c r="K2303" s="19">
        <v>125.64</v>
      </c>
      <c r="L2303" s="20">
        <v>0.3</v>
      </c>
      <c r="M2303" s="19">
        <f>Tienda!$K713-Tienda!$K713*Tienda!$L713</f>
        <v>39.536000000000001</v>
      </c>
      <c r="N2303" s="3" t="s">
        <v>10039</v>
      </c>
      <c r="O2303" s="3" t="s">
        <v>10041</v>
      </c>
      <c r="P2303" s="17">
        <v>45605</v>
      </c>
      <c r="Q2303" s="4">
        <v>0</v>
      </c>
    </row>
    <row r="2304" spans="1:17" ht="30" x14ac:dyDescent="0.25">
      <c r="A2304" s="2" t="s">
        <v>2367</v>
      </c>
      <c r="B2304" s="3" t="s">
        <v>5015</v>
      </c>
      <c r="C2304" s="3">
        <v>54</v>
      </c>
      <c r="D2304" s="46" t="str">
        <f>IF(Tabla1[[#This Row],[EDAD]]&lt;=35,"Adultos jóvenes 18 - 35 años",IF(C2304&gt;=36,"Adultos mayores 36 años en adelante"))</f>
        <v>Adultos mayores 36 años en adelante</v>
      </c>
      <c r="E2304" s="3" t="s">
        <v>5021</v>
      </c>
      <c r="F2304" s="3" t="s">
        <v>5026</v>
      </c>
      <c r="G2304" s="3" t="s">
        <v>5033</v>
      </c>
      <c r="H2304" s="3" t="s">
        <v>7390</v>
      </c>
      <c r="I2304" s="17">
        <v>45606</v>
      </c>
      <c r="J2304" s="18">
        <f>YEAR(Tabla1[[#This Row],[FECHA DE COMPRA]])</f>
        <v>2024</v>
      </c>
      <c r="K2304" s="19">
        <v>75.319999999999993</v>
      </c>
      <c r="L2304" s="20">
        <v>0</v>
      </c>
      <c r="M2304" s="19">
        <f>Tienda!$K715-Tienda!$K715*Tienda!$L715</f>
        <v>40.527999999999999</v>
      </c>
      <c r="N2304" s="3" t="s">
        <v>10039</v>
      </c>
      <c r="O2304" s="3" t="s">
        <v>10041</v>
      </c>
      <c r="P2304" s="17">
        <v>45606</v>
      </c>
      <c r="Q2304" s="4">
        <v>0</v>
      </c>
    </row>
    <row r="2305" spans="1:17" ht="30" x14ac:dyDescent="0.25">
      <c r="A2305" s="2" t="s">
        <v>495</v>
      </c>
      <c r="B2305" s="3" t="s">
        <v>5016</v>
      </c>
      <c r="C2305" s="3">
        <v>55</v>
      </c>
      <c r="D2305" s="46" t="str">
        <f>IF(Tabla1[[#This Row],[EDAD]]&lt;=35,"Adultos jóvenes 18 - 35 años",IF(C2305&gt;=36,"Adultos mayores 36 años en adelante"))</f>
        <v>Adultos mayores 36 años en adelante</v>
      </c>
      <c r="E2305" s="3" t="s">
        <v>5019</v>
      </c>
      <c r="F2305" s="3" t="s">
        <v>5030</v>
      </c>
      <c r="G2305" s="3" t="s">
        <v>5032</v>
      </c>
      <c r="H2305" s="3" t="s">
        <v>5518</v>
      </c>
      <c r="I2305" s="17">
        <v>45606</v>
      </c>
      <c r="J2305" s="18">
        <f>YEAR(Tabla1[[#This Row],[FECHA DE COMPRA]])</f>
        <v>2024</v>
      </c>
      <c r="K2305" s="19">
        <v>86.4</v>
      </c>
      <c r="L2305" s="20">
        <v>0.2</v>
      </c>
      <c r="M2305" s="19">
        <f>Tienda!$K716-Tienda!$K716*Tienda!$L716</f>
        <v>42.083999999999996</v>
      </c>
      <c r="N2305" s="3" t="s">
        <v>10039</v>
      </c>
      <c r="O2305" s="3" t="s">
        <v>10041</v>
      </c>
      <c r="P2305" s="17">
        <v>45606</v>
      </c>
      <c r="Q2305" s="4">
        <v>0</v>
      </c>
    </row>
    <row r="2306" spans="1:17" ht="30" x14ac:dyDescent="0.25">
      <c r="A2306" s="2" t="s">
        <v>1385</v>
      </c>
      <c r="B2306" s="3" t="s">
        <v>5016</v>
      </c>
      <c r="C2306" s="3">
        <v>53</v>
      </c>
      <c r="D2306" s="46" t="str">
        <f>IF(Tabla1[[#This Row],[EDAD]]&lt;=35,"Adultos jóvenes 18 - 35 años",IF(C2306&gt;=36,"Adultos mayores 36 años en adelante"))</f>
        <v>Adultos mayores 36 años en adelante</v>
      </c>
      <c r="E2306" s="3" t="s">
        <v>5017</v>
      </c>
      <c r="F2306" s="3" t="s">
        <v>5028</v>
      </c>
      <c r="G2306" s="3" t="s">
        <v>5035</v>
      </c>
      <c r="H2306" s="3" t="s">
        <v>6408</v>
      </c>
      <c r="I2306" s="17">
        <v>45608</v>
      </c>
      <c r="J2306" s="18">
        <f>YEAR(Tabla1[[#This Row],[FECHA DE COMPRA]])</f>
        <v>2024</v>
      </c>
      <c r="K2306" s="19">
        <v>93.93</v>
      </c>
      <c r="L2306" s="20">
        <v>0.2</v>
      </c>
      <c r="M2306" s="19">
        <f>Tienda!$K718-Tienda!$K718*Tienda!$L718</f>
        <v>43.2</v>
      </c>
      <c r="N2306" s="3" t="s">
        <v>10039</v>
      </c>
      <c r="O2306" s="3" t="s">
        <v>10041</v>
      </c>
      <c r="P2306" s="17">
        <v>45608</v>
      </c>
      <c r="Q2306" s="4">
        <v>0</v>
      </c>
    </row>
    <row r="2307" spans="1:17" ht="30" x14ac:dyDescent="0.25">
      <c r="A2307" s="2" t="s">
        <v>4754</v>
      </c>
      <c r="B2307" s="3" t="s">
        <v>5015</v>
      </c>
      <c r="C2307" s="3">
        <v>63</v>
      </c>
      <c r="D2307" s="46" t="str">
        <f>IF(Tabla1[[#This Row],[EDAD]]&lt;=35,"Adultos jóvenes 18 - 35 años",IF(C2307&gt;=36,"Adultos mayores 36 años en adelante"))</f>
        <v>Adultos mayores 36 años en adelante</v>
      </c>
      <c r="E2307" s="3" t="s">
        <v>5020</v>
      </c>
      <c r="F2307" s="3" t="s">
        <v>5028</v>
      </c>
      <c r="G2307" s="3" t="s">
        <v>5032</v>
      </c>
      <c r="H2307" s="3" t="s">
        <v>9777</v>
      </c>
      <c r="I2307" s="17">
        <v>45608</v>
      </c>
      <c r="J2307" s="18">
        <f>YEAR(Tabla1[[#This Row],[FECHA DE COMPRA]])</f>
        <v>2024</v>
      </c>
      <c r="K2307" s="19">
        <v>188.2</v>
      </c>
      <c r="L2307" s="20">
        <v>0.1</v>
      </c>
      <c r="M2307" s="19">
        <f>Tienda!$K720-Tienda!$K720*Tienda!$L720</f>
        <v>45.02</v>
      </c>
      <c r="N2307" s="3" t="s">
        <v>10039</v>
      </c>
      <c r="O2307" s="3" t="s">
        <v>10041</v>
      </c>
      <c r="P2307" s="17">
        <v>45608</v>
      </c>
      <c r="Q2307" s="4">
        <v>0</v>
      </c>
    </row>
    <row r="2308" spans="1:17" ht="30" x14ac:dyDescent="0.25">
      <c r="A2308" s="2" t="s">
        <v>788</v>
      </c>
      <c r="B2308" s="3" t="s">
        <v>5016</v>
      </c>
      <c r="C2308" s="3">
        <v>39</v>
      </c>
      <c r="D2308" s="46" t="str">
        <f>IF(Tabla1[[#This Row],[EDAD]]&lt;=35,"Adultos jóvenes 18 - 35 años",IF(C2308&gt;=36,"Adultos mayores 36 años en adelante"))</f>
        <v>Adultos mayores 36 años en adelante</v>
      </c>
      <c r="E2308" s="3" t="s">
        <v>5017</v>
      </c>
      <c r="F2308" s="3" t="s">
        <v>5030</v>
      </c>
      <c r="G2308" s="3" t="s">
        <v>5033</v>
      </c>
      <c r="H2308" s="3" t="s">
        <v>5811</v>
      </c>
      <c r="I2308" s="17">
        <v>45609</v>
      </c>
      <c r="J2308" s="18">
        <f>YEAR(Tabla1[[#This Row],[FECHA DE COMPRA]])</f>
        <v>2024</v>
      </c>
      <c r="K2308" s="19">
        <v>26.85</v>
      </c>
      <c r="L2308" s="20">
        <v>0.3</v>
      </c>
      <c r="M2308" s="19">
        <f>Tienda!$K722-Tienda!$K722*Tienda!$L722</f>
        <v>46.64</v>
      </c>
      <c r="N2308" s="3" t="s">
        <v>10039</v>
      </c>
      <c r="O2308" s="3" t="s">
        <v>10041</v>
      </c>
      <c r="P2308" s="17">
        <v>45609</v>
      </c>
      <c r="Q2308" s="4">
        <v>0</v>
      </c>
    </row>
    <row r="2309" spans="1:17" ht="30" x14ac:dyDescent="0.25">
      <c r="A2309" s="2" t="s">
        <v>715</v>
      </c>
      <c r="B2309" s="3" t="s">
        <v>5015</v>
      </c>
      <c r="C2309" s="3">
        <v>43</v>
      </c>
      <c r="D2309" s="46" t="str">
        <f>IF(Tabla1[[#This Row],[EDAD]]&lt;=35,"Adultos jóvenes 18 - 35 años",IF(C2309&gt;=36,"Adultos mayores 36 años en adelante"))</f>
        <v>Adultos mayores 36 años en adelante</v>
      </c>
      <c r="E2309" s="3" t="s">
        <v>5021</v>
      </c>
      <c r="F2309" s="3" t="s">
        <v>5030</v>
      </c>
      <c r="G2309" s="3" t="s">
        <v>5037</v>
      </c>
      <c r="H2309" s="3" t="s">
        <v>5738</v>
      </c>
      <c r="I2309" s="17">
        <v>45609</v>
      </c>
      <c r="J2309" s="18">
        <f>YEAR(Tabla1[[#This Row],[FECHA DE COMPRA]])</f>
        <v>2024</v>
      </c>
      <c r="K2309" s="19">
        <v>185.91</v>
      </c>
      <c r="L2309" s="20">
        <v>0.2</v>
      </c>
      <c r="M2309" s="19">
        <f>Tienda!$K724-Tienda!$K724*Tienda!$L724</f>
        <v>47.128</v>
      </c>
      <c r="N2309" s="3" t="s">
        <v>10039</v>
      </c>
      <c r="O2309" s="3" t="s">
        <v>10041</v>
      </c>
      <c r="P2309" s="17">
        <v>45609</v>
      </c>
      <c r="Q2309" s="4">
        <v>0</v>
      </c>
    </row>
    <row r="2310" spans="1:17" ht="30" x14ac:dyDescent="0.25">
      <c r="A2310" s="2" t="s">
        <v>268</v>
      </c>
      <c r="B2310" s="3" t="s">
        <v>5016</v>
      </c>
      <c r="C2310" s="3">
        <v>54</v>
      </c>
      <c r="D2310" s="46" t="str">
        <f>IF(Tabla1[[#This Row],[EDAD]]&lt;=35,"Adultos jóvenes 18 - 35 años",IF(C2310&gt;=36,"Adultos mayores 36 años en adelante"))</f>
        <v>Adultos mayores 36 años en adelante</v>
      </c>
      <c r="E2310" s="3" t="s">
        <v>5017</v>
      </c>
      <c r="F2310" s="3" t="s">
        <v>5029</v>
      </c>
      <c r="G2310" s="3" t="s">
        <v>5033</v>
      </c>
      <c r="H2310" s="3" t="s">
        <v>5291</v>
      </c>
      <c r="I2310" s="17">
        <v>45610</v>
      </c>
      <c r="J2310" s="18">
        <f>YEAR(Tabla1[[#This Row],[FECHA DE COMPRA]])</f>
        <v>2024</v>
      </c>
      <c r="K2310" s="19">
        <v>180.01</v>
      </c>
      <c r="L2310" s="20">
        <v>0.1</v>
      </c>
      <c r="M2310" s="19">
        <f>Tienda!$K727-Tienda!$K727*Tienda!$L727</f>
        <v>49.670999999999999</v>
      </c>
      <c r="N2310" s="3" t="s">
        <v>10039</v>
      </c>
      <c r="O2310" s="3" t="s">
        <v>10041</v>
      </c>
      <c r="P2310" s="17">
        <v>45610</v>
      </c>
      <c r="Q2310" s="4">
        <v>0</v>
      </c>
    </row>
    <row r="2311" spans="1:17" ht="30" x14ac:dyDescent="0.25">
      <c r="A2311" s="2" t="s">
        <v>3171</v>
      </c>
      <c r="B2311" s="3" t="s">
        <v>5015</v>
      </c>
      <c r="C2311" s="3">
        <v>57</v>
      </c>
      <c r="D2311" s="46" t="str">
        <f>IF(Tabla1[[#This Row],[EDAD]]&lt;=35,"Adultos jóvenes 18 - 35 años",IF(C2311&gt;=36,"Adultos mayores 36 años en adelante"))</f>
        <v>Adultos mayores 36 años en adelante</v>
      </c>
      <c r="E2311" s="3" t="s">
        <v>5018</v>
      </c>
      <c r="F2311" s="3" t="s">
        <v>5028</v>
      </c>
      <c r="G2311" s="3" t="s">
        <v>5037</v>
      </c>
      <c r="H2311" s="3" t="s">
        <v>8194</v>
      </c>
      <c r="I2311" s="17">
        <v>45611</v>
      </c>
      <c r="J2311" s="18">
        <f>YEAR(Tabla1[[#This Row],[FECHA DE COMPRA]])</f>
        <v>2024</v>
      </c>
      <c r="K2311" s="19">
        <v>23.75</v>
      </c>
      <c r="L2311" s="20">
        <v>0</v>
      </c>
      <c r="M2311" s="19">
        <f>Tienda!$K728-Tienda!$K728*Tienda!$L728</f>
        <v>50.480000000000004</v>
      </c>
      <c r="N2311" s="3" t="s">
        <v>10039</v>
      </c>
      <c r="O2311" s="3" t="s">
        <v>10041</v>
      </c>
      <c r="P2311" s="17">
        <v>45611</v>
      </c>
      <c r="Q2311" s="4">
        <v>0</v>
      </c>
    </row>
    <row r="2312" spans="1:17" ht="30" x14ac:dyDescent="0.25">
      <c r="A2312" s="2" t="s">
        <v>1879</v>
      </c>
      <c r="B2312" s="3" t="s">
        <v>5016</v>
      </c>
      <c r="C2312" s="3">
        <v>61</v>
      </c>
      <c r="D2312" s="46" t="str">
        <f>IF(Tabla1[[#This Row],[EDAD]]&lt;=35,"Adultos jóvenes 18 - 35 años",IF(C2312&gt;=36,"Adultos mayores 36 años en adelante"))</f>
        <v>Adultos mayores 36 años en adelante</v>
      </c>
      <c r="E2312" s="3" t="s">
        <v>5021</v>
      </c>
      <c r="F2312" s="3" t="s">
        <v>5029</v>
      </c>
      <c r="G2312" s="3" t="s">
        <v>5037</v>
      </c>
      <c r="H2312" s="3" t="s">
        <v>6902</v>
      </c>
      <c r="I2312" s="17">
        <v>45611</v>
      </c>
      <c r="J2312" s="18">
        <f>YEAR(Tabla1[[#This Row],[FECHA DE COMPRA]])</f>
        <v>2024</v>
      </c>
      <c r="K2312" s="19">
        <v>69.44</v>
      </c>
      <c r="L2312" s="20">
        <v>0</v>
      </c>
      <c r="M2312" s="19">
        <f>Tienda!$K729-Tienda!$K729*Tienda!$L729</f>
        <v>51.3</v>
      </c>
      <c r="N2312" s="3" t="s">
        <v>10039</v>
      </c>
      <c r="O2312" s="3" t="s">
        <v>10041</v>
      </c>
      <c r="P2312" s="17">
        <v>45611</v>
      </c>
      <c r="Q2312" s="4">
        <v>0</v>
      </c>
    </row>
    <row r="2313" spans="1:17" ht="30" x14ac:dyDescent="0.25">
      <c r="A2313" s="2" t="s">
        <v>3889</v>
      </c>
      <c r="B2313" s="3" t="s">
        <v>5016</v>
      </c>
      <c r="C2313" s="3">
        <v>53</v>
      </c>
      <c r="D2313" s="46" t="str">
        <f>IF(Tabla1[[#This Row],[EDAD]]&lt;=35,"Adultos jóvenes 18 - 35 años",IF(C2313&gt;=36,"Adultos mayores 36 años en adelante"))</f>
        <v>Adultos mayores 36 años en adelante</v>
      </c>
      <c r="E2313" s="3" t="s">
        <v>5021</v>
      </c>
      <c r="F2313" s="3" t="s">
        <v>5026</v>
      </c>
      <c r="G2313" s="3" t="s">
        <v>5036</v>
      </c>
      <c r="H2313" s="3" t="s">
        <v>8912</v>
      </c>
      <c r="I2313" s="17">
        <v>45611</v>
      </c>
      <c r="J2313" s="18">
        <f>YEAR(Tabla1[[#This Row],[FECHA DE COMPRA]])</f>
        <v>2024</v>
      </c>
      <c r="K2313" s="19">
        <v>112.41</v>
      </c>
      <c r="L2313" s="20">
        <v>0.3</v>
      </c>
      <c r="M2313" s="19">
        <f>Tienda!$K730-Tienda!$K730*Tienda!$L730</f>
        <v>53.072000000000003</v>
      </c>
      <c r="N2313" s="3" t="s">
        <v>10039</v>
      </c>
      <c r="O2313" s="3" t="s">
        <v>10041</v>
      </c>
      <c r="P2313" s="17">
        <v>45611</v>
      </c>
      <c r="Q2313" s="4">
        <v>0</v>
      </c>
    </row>
    <row r="2314" spans="1:17" ht="30" x14ac:dyDescent="0.25">
      <c r="A2314" s="2" t="s">
        <v>4258</v>
      </c>
      <c r="B2314" s="3" t="s">
        <v>5015</v>
      </c>
      <c r="C2314" s="3">
        <v>65</v>
      </c>
      <c r="D2314" s="46" t="str">
        <f>IF(Tabla1[[#This Row],[EDAD]]&lt;=35,"Adultos jóvenes 18 - 35 años",IF(C2314&gt;=36,"Adultos mayores 36 años en adelante"))</f>
        <v>Adultos mayores 36 años en adelante</v>
      </c>
      <c r="E2314" s="3" t="s">
        <v>5018</v>
      </c>
      <c r="F2314" s="3" t="s">
        <v>5025</v>
      </c>
      <c r="G2314" s="3" t="s">
        <v>5032</v>
      </c>
      <c r="H2314" s="3" t="s">
        <v>9281</v>
      </c>
      <c r="I2314" s="17">
        <v>45611</v>
      </c>
      <c r="J2314" s="18">
        <f>YEAR(Tabla1[[#This Row],[FECHA DE COMPRA]])</f>
        <v>2024</v>
      </c>
      <c r="K2314" s="19">
        <v>160.5</v>
      </c>
      <c r="L2314" s="20">
        <v>0.1</v>
      </c>
      <c r="M2314" s="19">
        <f>Tienda!$K731-Tienda!$K731*Tienda!$L731</f>
        <v>53.52</v>
      </c>
      <c r="N2314" s="3" t="s">
        <v>10039</v>
      </c>
      <c r="O2314" s="3" t="s">
        <v>10041</v>
      </c>
      <c r="P2314" s="17">
        <v>45611</v>
      </c>
      <c r="Q2314" s="4">
        <v>0</v>
      </c>
    </row>
    <row r="2315" spans="1:17" ht="30" x14ac:dyDescent="0.25">
      <c r="A2315" s="2" t="s">
        <v>761</v>
      </c>
      <c r="B2315" s="3" t="s">
        <v>5016</v>
      </c>
      <c r="C2315" s="3">
        <v>39</v>
      </c>
      <c r="D2315" s="46" t="str">
        <f>IF(Tabla1[[#This Row],[EDAD]]&lt;=35,"Adultos jóvenes 18 - 35 años",IF(C2315&gt;=36,"Adultos mayores 36 años en adelante"))</f>
        <v>Adultos mayores 36 años en adelante</v>
      </c>
      <c r="E2315" s="3" t="s">
        <v>5023</v>
      </c>
      <c r="F2315" s="3" t="s">
        <v>5028</v>
      </c>
      <c r="G2315" s="3" t="s">
        <v>5036</v>
      </c>
      <c r="H2315" s="3" t="s">
        <v>5784</v>
      </c>
      <c r="I2315" s="17">
        <v>45612</v>
      </c>
      <c r="J2315" s="18">
        <f>YEAR(Tabla1[[#This Row],[FECHA DE COMPRA]])</f>
        <v>2024</v>
      </c>
      <c r="K2315" s="19">
        <v>14.52</v>
      </c>
      <c r="L2315" s="20">
        <v>0.2</v>
      </c>
      <c r="M2315" s="19">
        <f>Tienda!$K732-Tienda!$K732*Tienda!$L732</f>
        <v>53.963999999999999</v>
      </c>
      <c r="N2315" s="3" t="s">
        <v>10039</v>
      </c>
      <c r="O2315" s="3" t="s">
        <v>10041</v>
      </c>
      <c r="P2315" s="17">
        <v>45612</v>
      </c>
      <c r="Q2315" s="4">
        <v>0</v>
      </c>
    </row>
    <row r="2316" spans="1:17" ht="30" x14ac:dyDescent="0.25">
      <c r="A2316" s="2" t="s">
        <v>4460</v>
      </c>
      <c r="B2316" s="3" t="s">
        <v>5016</v>
      </c>
      <c r="C2316" s="3">
        <v>54</v>
      </c>
      <c r="D2316" s="46" t="str">
        <f>IF(Tabla1[[#This Row],[EDAD]]&lt;=35,"Adultos jóvenes 18 - 35 años",IF(C2316&gt;=36,"Adultos mayores 36 años en adelante"))</f>
        <v>Adultos mayores 36 años en adelante</v>
      </c>
      <c r="E2316" s="3" t="s">
        <v>5023</v>
      </c>
      <c r="F2316" s="3" t="s">
        <v>5026</v>
      </c>
      <c r="G2316" s="3" t="s">
        <v>5037</v>
      </c>
      <c r="H2316" s="3" t="s">
        <v>9483</v>
      </c>
      <c r="I2316" s="17">
        <v>45612</v>
      </c>
      <c r="J2316" s="18">
        <f>YEAR(Tabla1[[#This Row],[FECHA DE COMPRA]])</f>
        <v>2024</v>
      </c>
      <c r="K2316" s="19">
        <v>20.09</v>
      </c>
      <c r="L2316" s="20">
        <v>0</v>
      </c>
      <c r="M2316" s="19">
        <f>Tienda!$K733-Tienda!$K733*Tienda!$L733</f>
        <v>53.984000000000009</v>
      </c>
      <c r="N2316" s="3" t="s">
        <v>10039</v>
      </c>
      <c r="O2316" s="3" t="s">
        <v>10041</v>
      </c>
      <c r="P2316" s="17">
        <v>45612</v>
      </c>
      <c r="Q2316" s="4">
        <v>0</v>
      </c>
    </row>
    <row r="2317" spans="1:17" ht="30" x14ac:dyDescent="0.25">
      <c r="A2317" s="2" t="s">
        <v>3897</v>
      </c>
      <c r="B2317" s="3" t="s">
        <v>5015</v>
      </c>
      <c r="C2317" s="3">
        <v>56</v>
      </c>
      <c r="D2317" s="46" t="str">
        <f>IF(Tabla1[[#This Row],[EDAD]]&lt;=35,"Adultos jóvenes 18 - 35 años",IF(C2317&gt;=36,"Adultos mayores 36 años en adelante"))</f>
        <v>Adultos mayores 36 años en adelante</v>
      </c>
      <c r="E2317" s="3" t="s">
        <v>5018</v>
      </c>
      <c r="F2317" s="3" t="s">
        <v>5028</v>
      </c>
      <c r="G2317" s="3" t="s">
        <v>5031</v>
      </c>
      <c r="H2317" s="3" t="s">
        <v>8920</v>
      </c>
      <c r="I2317" s="17">
        <v>45612</v>
      </c>
      <c r="J2317" s="18">
        <f>YEAR(Tabla1[[#This Row],[FECHA DE COMPRA]])</f>
        <v>2024</v>
      </c>
      <c r="K2317" s="19">
        <v>92.16</v>
      </c>
      <c r="L2317" s="20">
        <v>0.3</v>
      </c>
      <c r="M2317" s="19">
        <f>Tienda!$K734-Tienda!$K734*Tienda!$L734</f>
        <v>54.125999999999998</v>
      </c>
      <c r="N2317" s="3" t="s">
        <v>10039</v>
      </c>
      <c r="O2317" s="3" t="s">
        <v>10041</v>
      </c>
      <c r="P2317" s="17">
        <v>45612</v>
      </c>
      <c r="Q2317" s="4">
        <v>0</v>
      </c>
    </row>
    <row r="2318" spans="1:17" ht="30" x14ac:dyDescent="0.25">
      <c r="A2318" s="2" t="s">
        <v>4330</v>
      </c>
      <c r="B2318" s="3" t="s">
        <v>5016</v>
      </c>
      <c r="C2318" s="3">
        <v>39</v>
      </c>
      <c r="D2318" s="46" t="str">
        <f>IF(Tabla1[[#This Row],[EDAD]]&lt;=35,"Adultos jóvenes 18 - 35 años",IF(C2318&gt;=36,"Adultos mayores 36 años en adelante"))</f>
        <v>Adultos mayores 36 años en adelante</v>
      </c>
      <c r="E2318" s="3" t="s">
        <v>5023</v>
      </c>
      <c r="F2318" s="3" t="s">
        <v>5024</v>
      </c>
      <c r="G2318" s="3" t="s">
        <v>5035</v>
      </c>
      <c r="H2318" s="3" t="s">
        <v>9353</v>
      </c>
      <c r="I2318" s="17">
        <v>45612</v>
      </c>
      <c r="J2318" s="18">
        <f>YEAR(Tabla1[[#This Row],[FECHA DE COMPRA]])</f>
        <v>2024</v>
      </c>
      <c r="K2318" s="19">
        <v>119.71</v>
      </c>
      <c r="L2318" s="20">
        <v>0.3</v>
      </c>
      <c r="M2318" s="19">
        <f>Tienda!$K735-Tienda!$K735*Tienda!$L735</f>
        <v>54.751999999999995</v>
      </c>
      <c r="N2318" s="3" t="s">
        <v>10039</v>
      </c>
      <c r="O2318" s="3" t="s">
        <v>10041</v>
      </c>
      <c r="P2318" s="17">
        <v>45612</v>
      </c>
      <c r="Q2318" s="4">
        <v>0</v>
      </c>
    </row>
    <row r="2319" spans="1:17" ht="30" x14ac:dyDescent="0.25">
      <c r="A2319" s="2" t="s">
        <v>318</v>
      </c>
      <c r="B2319" s="3" t="s">
        <v>5015</v>
      </c>
      <c r="C2319" s="3">
        <v>58</v>
      </c>
      <c r="D2319" s="46" t="str">
        <f>IF(Tabla1[[#This Row],[EDAD]]&lt;=35,"Adultos jóvenes 18 - 35 años",IF(C2319&gt;=36,"Adultos mayores 36 años en adelante"))</f>
        <v>Adultos mayores 36 años en adelante</v>
      </c>
      <c r="E2319" s="3" t="s">
        <v>5023</v>
      </c>
      <c r="F2319" s="3" t="s">
        <v>5025</v>
      </c>
      <c r="G2319" s="3" t="s">
        <v>5035</v>
      </c>
      <c r="H2319" s="3" t="s">
        <v>5341</v>
      </c>
      <c r="I2319" s="17">
        <v>45612</v>
      </c>
      <c r="J2319" s="18">
        <f>YEAR(Tabla1[[#This Row],[FECHA DE COMPRA]])</f>
        <v>2024</v>
      </c>
      <c r="K2319" s="19">
        <v>147.56</v>
      </c>
      <c r="L2319" s="20">
        <v>0</v>
      </c>
      <c r="M2319" s="19">
        <f>Tienda!$K736-Tienda!$K736*Tienda!$L736</f>
        <v>56.673000000000002</v>
      </c>
      <c r="N2319" s="3" t="s">
        <v>10039</v>
      </c>
      <c r="O2319" s="3" t="s">
        <v>10041</v>
      </c>
      <c r="P2319" s="17">
        <v>45612</v>
      </c>
      <c r="Q2319" s="4">
        <v>0</v>
      </c>
    </row>
    <row r="2320" spans="1:17" ht="30" x14ac:dyDescent="0.25">
      <c r="A2320" s="2" t="s">
        <v>2717</v>
      </c>
      <c r="B2320" s="3" t="s">
        <v>5016</v>
      </c>
      <c r="C2320" s="3">
        <v>55</v>
      </c>
      <c r="D2320" s="46" t="str">
        <f>IF(Tabla1[[#This Row],[EDAD]]&lt;=35,"Adultos jóvenes 18 - 35 años",IF(C2320&gt;=36,"Adultos mayores 36 años en adelante"))</f>
        <v>Adultos mayores 36 años en adelante</v>
      </c>
      <c r="E2320" s="3" t="s">
        <v>5023</v>
      </c>
      <c r="F2320" s="3" t="s">
        <v>5024</v>
      </c>
      <c r="G2320" s="3" t="s">
        <v>5033</v>
      </c>
      <c r="H2320" s="3" t="s">
        <v>7740</v>
      </c>
      <c r="I2320" s="17">
        <v>45612</v>
      </c>
      <c r="J2320" s="18">
        <f>YEAR(Tabla1[[#This Row],[FECHA DE COMPRA]])</f>
        <v>2024</v>
      </c>
      <c r="K2320" s="19">
        <v>148.99</v>
      </c>
      <c r="L2320" s="20">
        <v>0</v>
      </c>
      <c r="M2320" s="19">
        <f>Tienda!$K737-Tienda!$K737*Tienda!$L737</f>
        <v>56.760000000000005</v>
      </c>
      <c r="N2320" s="3" t="s">
        <v>10039</v>
      </c>
      <c r="O2320" s="3" t="s">
        <v>10041</v>
      </c>
      <c r="P2320" s="17">
        <v>45612</v>
      </c>
      <c r="Q2320" s="4">
        <v>0</v>
      </c>
    </row>
    <row r="2321" spans="1:17" ht="30" x14ac:dyDescent="0.25">
      <c r="A2321" s="2" t="s">
        <v>4246</v>
      </c>
      <c r="B2321" s="3" t="s">
        <v>5015</v>
      </c>
      <c r="C2321" s="3">
        <v>64</v>
      </c>
      <c r="D2321" s="46" t="str">
        <f>IF(Tabla1[[#This Row],[EDAD]]&lt;=35,"Adultos jóvenes 18 - 35 años",IF(C2321&gt;=36,"Adultos mayores 36 años en adelante"))</f>
        <v>Adultos mayores 36 años en adelante</v>
      </c>
      <c r="E2321" s="3" t="s">
        <v>5023</v>
      </c>
      <c r="F2321" s="3" t="s">
        <v>5027</v>
      </c>
      <c r="G2321" s="3" t="s">
        <v>5033</v>
      </c>
      <c r="H2321" s="3" t="s">
        <v>9269</v>
      </c>
      <c r="I2321" s="17">
        <v>45613</v>
      </c>
      <c r="J2321" s="18">
        <f>YEAR(Tabla1[[#This Row],[FECHA DE COMPRA]])</f>
        <v>2024</v>
      </c>
      <c r="K2321" s="19">
        <v>33.58</v>
      </c>
      <c r="L2321" s="20">
        <v>0.3</v>
      </c>
      <c r="M2321" s="19">
        <f>Tienda!$K738-Tienda!$K738*Tienda!$L738</f>
        <v>57.86</v>
      </c>
      <c r="N2321" s="3" t="s">
        <v>10039</v>
      </c>
      <c r="O2321" s="3" t="s">
        <v>10041</v>
      </c>
      <c r="P2321" s="17">
        <v>45613</v>
      </c>
      <c r="Q2321" s="4">
        <v>0</v>
      </c>
    </row>
    <row r="2322" spans="1:17" ht="30" x14ac:dyDescent="0.25">
      <c r="A2322" s="2" t="s">
        <v>1925</v>
      </c>
      <c r="B2322" s="3" t="s">
        <v>5015</v>
      </c>
      <c r="C2322" s="3">
        <v>62</v>
      </c>
      <c r="D2322" s="46" t="str">
        <f>IF(Tabla1[[#This Row],[EDAD]]&lt;=35,"Adultos jóvenes 18 - 35 años",IF(C2322&gt;=36,"Adultos mayores 36 años en adelante"))</f>
        <v>Adultos mayores 36 años en adelante</v>
      </c>
      <c r="E2322" s="3" t="s">
        <v>5018</v>
      </c>
      <c r="F2322" s="3" t="s">
        <v>5026</v>
      </c>
      <c r="G2322" s="3" t="s">
        <v>5034</v>
      </c>
      <c r="H2322" s="3" t="s">
        <v>6948</v>
      </c>
      <c r="I2322" s="17">
        <v>45613</v>
      </c>
      <c r="J2322" s="18">
        <f>YEAR(Tabla1[[#This Row],[FECHA DE COMPRA]])</f>
        <v>2024</v>
      </c>
      <c r="K2322" s="19">
        <v>82.17</v>
      </c>
      <c r="L2322" s="20">
        <v>0.1</v>
      </c>
      <c r="M2322" s="19">
        <f>Tienda!$K739-Tienda!$K739*Tienda!$L739</f>
        <v>57.903999999999996</v>
      </c>
      <c r="N2322" s="3" t="s">
        <v>10039</v>
      </c>
      <c r="O2322" s="3" t="s">
        <v>10041</v>
      </c>
      <c r="P2322" s="17">
        <v>45613</v>
      </c>
      <c r="Q2322" s="4">
        <v>0</v>
      </c>
    </row>
    <row r="2323" spans="1:17" ht="30" x14ac:dyDescent="0.25">
      <c r="A2323" s="2" t="s">
        <v>148</v>
      </c>
      <c r="B2323" s="3" t="s">
        <v>5016</v>
      </c>
      <c r="C2323" s="3">
        <v>61</v>
      </c>
      <c r="D2323" s="46" t="str">
        <f>IF(Tabla1[[#This Row],[EDAD]]&lt;=35,"Adultos jóvenes 18 - 35 años",IF(C2323&gt;=36,"Adultos mayores 36 años en adelante"))</f>
        <v>Adultos mayores 36 años en adelante</v>
      </c>
      <c r="E2323" s="3" t="s">
        <v>5021</v>
      </c>
      <c r="F2323" s="3" t="s">
        <v>5030</v>
      </c>
      <c r="G2323" s="3" t="s">
        <v>5031</v>
      </c>
      <c r="H2323" s="3" t="s">
        <v>5171</v>
      </c>
      <c r="I2323" s="17">
        <v>45613</v>
      </c>
      <c r="J2323" s="18">
        <f>YEAR(Tabla1[[#This Row],[FECHA DE COMPRA]])</f>
        <v>2024</v>
      </c>
      <c r="K2323" s="19">
        <v>102.11</v>
      </c>
      <c r="L2323" s="20">
        <v>0.1</v>
      </c>
      <c r="M2323" s="19">
        <f>Tienda!$K740-Tienda!$K740*Tienda!$L740</f>
        <v>57.960000000000008</v>
      </c>
      <c r="N2323" s="3" t="s">
        <v>10039</v>
      </c>
      <c r="O2323" s="3" t="s">
        <v>10041</v>
      </c>
      <c r="P2323" s="17">
        <v>45613</v>
      </c>
      <c r="Q2323" s="4">
        <v>0</v>
      </c>
    </row>
    <row r="2324" spans="1:17" ht="30" x14ac:dyDescent="0.25">
      <c r="A2324" s="2" t="s">
        <v>3948</v>
      </c>
      <c r="B2324" s="3" t="s">
        <v>5015</v>
      </c>
      <c r="C2324" s="3">
        <v>46</v>
      </c>
      <c r="D2324" s="46" t="str">
        <f>IF(Tabla1[[#This Row],[EDAD]]&lt;=35,"Adultos jóvenes 18 - 35 años",IF(C2324&gt;=36,"Adultos mayores 36 años en adelante"))</f>
        <v>Adultos mayores 36 años en adelante</v>
      </c>
      <c r="E2324" s="3" t="s">
        <v>5023</v>
      </c>
      <c r="F2324" s="3" t="s">
        <v>5030</v>
      </c>
      <c r="G2324" s="3" t="s">
        <v>5033</v>
      </c>
      <c r="H2324" s="3" t="s">
        <v>8971</v>
      </c>
      <c r="I2324" s="17">
        <v>45613</v>
      </c>
      <c r="J2324" s="18">
        <f>YEAR(Tabla1[[#This Row],[FECHA DE COMPRA]])</f>
        <v>2024</v>
      </c>
      <c r="K2324" s="19">
        <v>110.34</v>
      </c>
      <c r="L2324" s="20">
        <v>0.3</v>
      </c>
      <c r="M2324" s="19">
        <f>Tienda!$K741-Tienda!$K741*Tienda!$L741</f>
        <v>59.008000000000003</v>
      </c>
      <c r="N2324" s="3" t="s">
        <v>10039</v>
      </c>
      <c r="O2324" s="3" t="s">
        <v>10041</v>
      </c>
      <c r="P2324" s="17">
        <v>45613</v>
      </c>
      <c r="Q2324" s="4">
        <v>0</v>
      </c>
    </row>
    <row r="2325" spans="1:17" ht="30" x14ac:dyDescent="0.25">
      <c r="A2325" s="2" t="s">
        <v>2154</v>
      </c>
      <c r="B2325" s="3" t="s">
        <v>5015</v>
      </c>
      <c r="C2325" s="3">
        <v>46</v>
      </c>
      <c r="D2325" s="46" t="str">
        <f>IF(Tabla1[[#This Row],[EDAD]]&lt;=35,"Adultos jóvenes 18 - 35 años",IF(C2325&gt;=36,"Adultos mayores 36 años en adelante"))</f>
        <v>Adultos mayores 36 años en adelante</v>
      </c>
      <c r="E2325" s="3" t="s">
        <v>5018</v>
      </c>
      <c r="F2325" s="3" t="s">
        <v>5026</v>
      </c>
      <c r="G2325" s="3" t="s">
        <v>5036</v>
      </c>
      <c r="H2325" s="3" t="s">
        <v>7177</v>
      </c>
      <c r="I2325" s="17">
        <v>45614</v>
      </c>
      <c r="J2325" s="18">
        <f>YEAR(Tabla1[[#This Row],[FECHA DE COMPRA]])</f>
        <v>2024</v>
      </c>
      <c r="K2325" s="19">
        <v>78.540000000000006</v>
      </c>
      <c r="L2325" s="20">
        <v>0.1</v>
      </c>
      <c r="M2325" s="19">
        <f>Tienda!$K743-Tienda!$K743*Tienda!$L743</f>
        <v>59.823999999999998</v>
      </c>
      <c r="N2325" s="3" t="s">
        <v>10039</v>
      </c>
      <c r="O2325" s="3" t="s">
        <v>10041</v>
      </c>
      <c r="P2325" s="17">
        <v>45614</v>
      </c>
      <c r="Q2325" s="4">
        <v>0</v>
      </c>
    </row>
    <row r="2326" spans="1:17" ht="30" x14ac:dyDescent="0.25">
      <c r="A2326" s="2" t="s">
        <v>802</v>
      </c>
      <c r="B2326" s="3" t="s">
        <v>5015</v>
      </c>
      <c r="C2326" s="3">
        <v>63</v>
      </c>
      <c r="D2326" s="46" t="str">
        <f>IF(Tabla1[[#This Row],[EDAD]]&lt;=35,"Adultos jóvenes 18 - 35 años",IF(C2326&gt;=36,"Adultos mayores 36 años en adelante"))</f>
        <v>Adultos mayores 36 años en adelante</v>
      </c>
      <c r="E2326" s="3" t="s">
        <v>5017</v>
      </c>
      <c r="F2326" s="3" t="s">
        <v>5030</v>
      </c>
      <c r="G2326" s="3" t="s">
        <v>5033</v>
      </c>
      <c r="H2326" s="3" t="s">
        <v>5825</v>
      </c>
      <c r="I2326" s="17">
        <v>45614</v>
      </c>
      <c r="J2326" s="18">
        <f>YEAR(Tabla1[[#This Row],[FECHA DE COMPRA]])</f>
        <v>2024</v>
      </c>
      <c r="K2326" s="19">
        <v>141.13</v>
      </c>
      <c r="L2326" s="20">
        <v>0.1</v>
      </c>
      <c r="M2326" s="19">
        <f>Tienda!$K744-Tienda!$K744*Tienda!$L744</f>
        <v>60.15100000000001</v>
      </c>
      <c r="N2326" s="3" t="s">
        <v>10039</v>
      </c>
      <c r="O2326" s="3" t="s">
        <v>10041</v>
      </c>
      <c r="P2326" s="17">
        <v>45614</v>
      </c>
      <c r="Q2326" s="4">
        <v>0</v>
      </c>
    </row>
    <row r="2327" spans="1:17" ht="30" x14ac:dyDescent="0.25">
      <c r="A2327" s="2" t="s">
        <v>1589</v>
      </c>
      <c r="B2327" s="3" t="s">
        <v>5016</v>
      </c>
      <c r="C2327" s="3">
        <v>39</v>
      </c>
      <c r="D2327" s="46" t="str">
        <f>IF(Tabla1[[#This Row],[EDAD]]&lt;=35,"Adultos jóvenes 18 - 35 años",IF(C2327&gt;=36,"Adultos mayores 36 años en adelante"))</f>
        <v>Adultos mayores 36 años en adelante</v>
      </c>
      <c r="E2327" s="3" t="s">
        <v>5023</v>
      </c>
      <c r="F2327" s="3" t="s">
        <v>5025</v>
      </c>
      <c r="G2327" s="3" t="s">
        <v>5034</v>
      </c>
      <c r="H2327" s="3" t="s">
        <v>6612</v>
      </c>
      <c r="I2327" s="17">
        <v>45615</v>
      </c>
      <c r="J2327" s="18">
        <f>YEAR(Tabla1[[#This Row],[FECHA DE COMPRA]])</f>
        <v>2024</v>
      </c>
      <c r="K2327" s="19">
        <v>81.59</v>
      </c>
      <c r="L2327" s="20">
        <v>0.3</v>
      </c>
      <c r="M2327" s="19">
        <f>Tienda!$K746-Tienda!$K746*Tienda!$L746</f>
        <v>63.216999999999999</v>
      </c>
      <c r="N2327" s="3" t="s">
        <v>10039</v>
      </c>
      <c r="O2327" s="3" t="s">
        <v>10041</v>
      </c>
      <c r="P2327" s="17">
        <v>45615</v>
      </c>
      <c r="Q2327" s="4">
        <v>0</v>
      </c>
    </row>
    <row r="2328" spans="1:17" ht="30" x14ac:dyDescent="0.25">
      <c r="A2328" s="2" t="s">
        <v>792</v>
      </c>
      <c r="B2328" s="3" t="s">
        <v>5015</v>
      </c>
      <c r="C2328" s="3">
        <v>38</v>
      </c>
      <c r="D2328" s="46" t="str">
        <f>IF(Tabla1[[#This Row],[EDAD]]&lt;=35,"Adultos jóvenes 18 - 35 años",IF(C2328&gt;=36,"Adultos mayores 36 años en adelante"))</f>
        <v>Adultos mayores 36 años en adelante</v>
      </c>
      <c r="E2328" s="3" t="s">
        <v>5018</v>
      </c>
      <c r="F2328" s="3" t="s">
        <v>5026</v>
      </c>
      <c r="G2328" s="3" t="s">
        <v>5035</v>
      </c>
      <c r="H2328" s="3" t="s">
        <v>5815</v>
      </c>
      <c r="I2328" s="17">
        <v>45615</v>
      </c>
      <c r="J2328" s="18">
        <f>YEAR(Tabla1[[#This Row],[FECHA DE COMPRA]])</f>
        <v>2024</v>
      </c>
      <c r="K2328" s="19">
        <v>140.74</v>
      </c>
      <c r="L2328" s="20">
        <v>0.3</v>
      </c>
      <c r="M2328" s="19">
        <f>Tienda!$K747-Tienda!$K747*Tienda!$L747</f>
        <v>63.42</v>
      </c>
      <c r="N2328" s="3" t="s">
        <v>10039</v>
      </c>
      <c r="O2328" s="3" t="s">
        <v>10041</v>
      </c>
      <c r="P2328" s="17">
        <v>45615</v>
      </c>
      <c r="Q2328" s="4">
        <v>0</v>
      </c>
    </row>
    <row r="2329" spans="1:17" ht="30" x14ac:dyDescent="0.25">
      <c r="A2329" s="2" t="s">
        <v>2972</v>
      </c>
      <c r="B2329" s="3" t="s">
        <v>5015</v>
      </c>
      <c r="C2329" s="3">
        <v>56</v>
      </c>
      <c r="D2329" s="46" t="str">
        <f>IF(Tabla1[[#This Row],[EDAD]]&lt;=35,"Adultos jóvenes 18 - 35 años",IF(C2329&gt;=36,"Adultos mayores 36 años en adelante"))</f>
        <v>Adultos mayores 36 años en adelante</v>
      </c>
      <c r="E2329" s="3" t="s">
        <v>5019</v>
      </c>
      <c r="F2329" s="3" t="s">
        <v>5025</v>
      </c>
      <c r="G2329" s="3" t="s">
        <v>5031</v>
      </c>
      <c r="H2329" s="3" t="s">
        <v>7995</v>
      </c>
      <c r="I2329" s="17">
        <v>45615</v>
      </c>
      <c r="J2329" s="18">
        <f>YEAR(Tabla1[[#This Row],[FECHA DE COMPRA]])</f>
        <v>2024</v>
      </c>
      <c r="K2329" s="19">
        <v>161.53</v>
      </c>
      <c r="L2329" s="20">
        <v>0.1</v>
      </c>
      <c r="M2329" s="19">
        <f>Tienda!$K748-Tienda!$K748*Tienda!$L748</f>
        <v>63.67</v>
      </c>
      <c r="N2329" s="3" t="s">
        <v>10039</v>
      </c>
      <c r="O2329" s="3" t="s">
        <v>10041</v>
      </c>
      <c r="P2329" s="17">
        <v>45615</v>
      </c>
      <c r="Q2329" s="4">
        <v>0</v>
      </c>
    </row>
    <row r="2330" spans="1:17" ht="30" x14ac:dyDescent="0.25">
      <c r="A2330" s="2" t="s">
        <v>1410</v>
      </c>
      <c r="B2330" s="3" t="s">
        <v>5016</v>
      </c>
      <c r="C2330" s="3">
        <v>54</v>
      </c>
      <c r="D2330" s="46" t="str">
        <f>IF(Tabla1[[#This Row],[EDAD]]&lt;=35,"Adultos jóvenes 18 - 35 años",IF(C2330&gt;=36,"Adultos mayores 36 años en adelante"))</f>
        <v>Adultos mayores 36 años en adelante</v>
      </c>
      <c r="E2330" s="3" t="s">
        <v>5017</v>
      </c>
      <c r="F2330" s="3" t="s">
        <v>5028</v>
      </c>
      <c r="G2330" s="3" t="s">
        <v>5035</v>
      </c>
      <c r="H2330" s="3" t="s">
        <v>6433</v>
      </c>
      <c r="I2330" s="17">
        <v>45617</v>
      </c>
      <c r="J2330" s="18">
        <f>YEAR(Tabla1[[#This Row],[FECHA DE COMPRA]])</f>
        <v>2024</v>
      </c>
      <c r="K2330" s="19">
        <v>35.19</v>
      </c>
      <c r="L2330" s="20">
        <v>0</v>
      </c>
      <c r="M2330" s="19">
        <f>Tienda!$K752-Tienda!$K752*Tienda!$L752</f>
        <v>67.122</v>
      </c>
      <c r="N2330" s="3" t="s">
        <v>10039</v>
      </c>
      <c r="O2330" s="3" t="s">
        <v>10041</v>
      </c>
      <c r="P2330" s="17">
        <v>45617</v>
      </c>
      <c r="Q2330" s="4">
        <v>0</v>
      </c>
    </row>
    <row r="2331" spans="1:17" ht="30" x14ac:dyDescent="0.25">
      <c r="A2331" s="2" t="s">
        <v>4404</v>
      </c>
      <c r="B2331" s="3" t="s">
        <v>5015</v>
      </c>
      <c r="C2331" s="3">
        <v>62</v>
      </c>
      <c r="D2331" s="46" t="str">
        <f>IF(Tabla1[[#This Row],[EDAD]]&lt;=35,"Adultos jóvenes 18 - 35 años",IF(C2331&gt;=36,"Adultos mayores 36 años en adelante"))</f>
        <v>Adultos mayores 36 años en adelante</v>
      </c>
      <c r="E2331" s="3" t="s">
        <v>5019</v>
      </c>
      <c r="F2331" s="3" t="s">
        <v>5024</v>
      </c>
      <c r="G2331" s="3" t="s">
        <v>5033</v>
      </c>
      <c r="H2331" s="3" t="s">
        <v>9427</v>
      </c>
      <c r="I2331" s="17">
        <v>45617</v>
      </c>
      <c r="J2331" s="18">
        <f>YEAR(Tabla1[[#This Row],[FECHA DE COMPRA]])</f>
        <v>2024</v>
      </c>
      <c r="K2331" s="19">
        <v>127.54</v>
      </c>
      <c r="L2331" s="20">
        <v>0.2</v>
      </c>
      <c r="M2331" s="19">
        <f>Tienda!$K753-Tienda!$K753*Tienda!$L753</f>
        <v>67.391999999999996</v>
      </c>
      <c r="N2331" s="3" t="s">
        <v>10039</v>
      </c>
      <c r="O2331" s="3" t="s">
        <v>10041</v>
      </c>
      <c r="P2331" s="17">
        <v>45617</v>
      </c>
      <c r="Q2331" s="4">
        <v>0</v>
      </c>
    </row>
    <row r="2332" spans="1:17" ht="30" x14ac:dyDescent="0.25">
      <c r="A2332" s="2" t="s">
        <v>4621</v>
      </c>
      <c r="B2332" s="3" t="s">
        <v>5015</v>
      </c>
      <c r="C2332" s="3">
        <v>53</v>
      </c>
      <c r="D2332" s="46" t="str">
        <f>IF(Tabla1[[#This Row],[EDAD]]&lt;=35,"Adultos jóvenes 18 - 35 años",IF(C2332&gt;=36,"Adultos mayores 36 años en adelante"))</f>
        <v>Adultos mayores 36 años en adelante</v>
      </c>
      <c r="E2332" s="3" t="s">
        <v>5023</v>
      </c>
      <c r="F2332" s="3" t="s">
        <v>5029</v>
      </c>
      <c r="G2332" s="3" t="s">
        <v>5035</v>
      </c>
      <c r="H2332" s="3" t="s">
        <v>9644</v>
      </c>
      <c r="I2332" s="17">
        <v>45618</v>
      </c>
      <c r="J2332" s="18">
        <f>YEAR(Tabla1[[#This Row],[FECHA DE COMPRA]])</f>
        <v>2024</v>
      </c>
      <c r="K2332" s="19">
        <v>69.28</v>
      </c>
      <c r="L2332" s="20">
        <v>0</v>
      </c>
      <c r="M2332" s="19">
        <f>Tienda!$K754-Tienda!$K754*Tienda!$L754</f>
        <v>69.542999999999992</v>
      </c>
      <c r="N2332" s="3" t="s">
        <v>10039</v>
      </c>
      <c r="O2332" s="3" t="s">
        <v>10041</v>
      </c>
      <c r="P2332" s="17">
        <v>45618</v>
      </c>
      <c r="Q2332" s="4">
        <v>0</v>
      </c>
    </row>
    <row r="2333" spans="1:17" ht="30" x14ac:dyDescent="0.25">
      <c r="A2333" s="2" t="s">
        <v>3466</v>
      </c>
      <c r="B2333" s="3" t="s">
        <v>5016</v>
      </c>
      <c r="C2333" s="3">
        <v>45</v>
      </c>
      <c r="D2333" s="46" t="str">
        <f>IF(Tabla1[[#This Row],[EDAD]]&lt;=35,"Adultos jóvenes 18 - 35 años",IF(C2333&gt;=36,"Adultos mayores 36 años en adelante"))</f>
        <v>Adultos mayores 36 años en adelante</v>
      </c>
      <c r="E2333" s="3" t="s">
        <v>5017</v>
      </c>
      <c r="F2333" s="3" t="s">
        <v>5025</v>
      </c>
      <c r="G2333" s="3" t="s">
        <v>5032</v>
      </c>
      <c r="H2333" s="3" t="s">
        <v>8489</v>
      </c>
      <c r="I2333" s="17">
        <v>45618</v>
      </c>
      <c r="J2333" s="18">
        <f>YEAR(Tabla1[[#This Row],[FECHA DE COMPRA]])</f>
        <v>2024</v>
      </c>
      <c r="K2333" s="19">
        <v>71.010000000000005</v>
      </c>
      <c r="L2333" s="20">
        <v>0.2</v>
      </c>
      <c r="M2333" s="19">
        <f>Tienda!$K755-Tienda!$K755*Tienda!$L755</f>
        <v>69.67</v>
      </c>
      <c r="N2333" s="3" t="s">
        <v>10039</v>
      </c>
      <c r="O2333" s="3" t="s">
        <v>10041</v>
      </c>
      <c r="P2333" s="17">
        <v>45618</v>
      </c>
      <c r="Q2333" s="4">
        <v>0</v>
      </c>
    </row>
    <row r="2334" spans="1:17" ht="30" x14ac:dyDescent="0.25">
      <c r="A2334" s="2" t="s">
        <v>341</v>
      </c>
      <c r="B2334" s="3" t="s">
        <v>5015</v>
      </c>
      <c r="C2334" s="3">
        <v>53</v>
      </c>
      <c r="D2334" s="46" t="str">
        <f>IF(Tabla1[[#This Row],[EDAD]]&lt;=35,"Adultos jóvenes 18 - 35 años",IF(C2334&gt;=36,"Adultos mayores 36 años en adelante"))</f>
        <v>Adultos mayores 36 años en adelante</v>
      </c>
      <c r="E2334" s="3" t="s">
        <v>5021</v>
      </c>
      <c r="F2334" s="3" t="s">
        <v>5029</v>
      </c>
      <c r="G2334" s="3" t="s">
        <v>5031</v>
      </c>
      <c r="H2334" s="3" t="s">
        <v>5364</v>
      </c>
      <c r="I2334" s="17">
        <v>45618</v>
      </c>
      <c r="J2334" s="18">
        <f>YEAR(Tabla1[[#This Row],[FECHA DE COMPRA]])</f>
        <v>2024</v>
      </c>
      <c r="K2334" s="19">
        <v>88.51</v>
      </c>
      <c r="L2334" s="20">
        <v>0.2</v>
      </c>
      <c r="M2334" s="19">
        <f>Tienda!$K756-Tienda!$K756*Tienda!$L756</f>
        <v>70.408000000000001</v>
      </c>
      <c r="N2334" s="3" t="s">
        <v>10039</v>
      </c>
      <c r="O2334" s="3" t="s">
        <v>10041</v>
      </c>
      <c r="P2334" s="17">
        <v>45618</v>
      </c>
      <c r="Q2334" s="4">
        <v>0</v>
      </c>
    </row>
    <row r="2335" spans="1:17" ht="30" x14ac:dyDescent="0.25">
      <c r="A2335" s="2" t="s">
        <v>2916</v>
      </c>
      <c r="B2335" s="3" t="s">
        <v>5015</v>
      </c>
      <c r="C2335" s="3">
        <v>63</v>
      </c>
      <c r="D2335" s="46" t="str">
        <f>IF(Tabla1[[#This Row],[EDAD]]&lt;=35,"Adultos jóvenes 18 - 35 años",IF(C2335&gt;=36,"Adultos mayores 36 años en adelante"))</f>
        <v>Adultos mayores 36 años en adelante</v>
      </c>
      <c r="E2335" s="3" t="s">
        <v>5022</v>
      </c>
      <c r="F2335" s="3" t="s">
        <v>5024</v>
      </c>
      <c r="G2335" s="3" t="s">
        <v>5033</v>
      </c>
      <c r="H2335" s="3" t="s">
        <v>7939</v>
      </c>
      <c r="I2335" s="17">
        <v>45618</v>
      </c>
      <c r="J2335" s="18">
        <f>YEAR(Tabla1[[#This Row],[FECHA DE COMPRA]])</f>
        <v>2024</v>
      </c>
      <c r="K2335" s="19">
        <v>125.62</v>
      </c>
      <c r="L2335" s="20">
        <v>0.3</v>
      </c>
      <c r="M2335" s="19">
        <f>Tienda!$K757-Tienda!$K757*Tienda!$L757</f>
        <v>72.52</v>
      </c>
      <c r="N2335" s="3" t="s">
        <v>10039</v>
      </c>
      <c r="O2335" s="3" t="s">
        <v>10041</v>
      </c>
      <c r="P2335" s="17">
        <v>45618</v>
      </c>
      <c r="Q2335" s="4">
        <v>0</v>
      </c>
    </row>
    <row r="2336" spans="1:17" ht="30" x14ac:dyDescent="0.25">
      <c r="A2336" s="2" t="s">
        <v>3416</v>
      </c>
      <c r="B2336" s="3" t="s">
        <v>5015</v>
      </c>
      <c r="C2336" s="3">
        <v>45</v>
      </c>
      <c r="D2336" s="46" t="str">
        <f>IF(Tabla1[[#This Row],[EDAD]]&lt;=35,"Adultos jóvenes 18 - 35 años",IF(C2336&gt;=36,"Adultos mayores 36 años en adelante"))</f>
        <v>Adultos mayores 36 años en adelante</v>
      </c>
      <c r="E2336" s="3" t="s">
        <v>5022</v>
      </c>
      <c r="F2336" s="3" t="s">
        <v>5030</v>
      </c>
      <c r="G2336" s="3" t="s">
        <v>5032</v>
      </c>
      <c r="H2336" s="3" t="s">
        <v>8439</v>
      </c>
      <c r="I2336" s="17">
        <v>45618</v>
      </c>
      <c r="J2336" s="18">
        <f>YEAR(Tabla1[[#This Row],[FECHA DE COMPRA]])</f>
        <v>2024</v>
      </c>
      <c r="K2336" s="19">
        <v>175.36</v>
      </c>
      <c r="L2336" s="20">
        <v>0.2</v>
      </c>
      <c r="M2336" s="19">
        <f>Tienda!$K758-Tienda!$K758*Tienda!$L758</f>
        <v>73.009999999999991</v>
      </c>
      <c r="N2336" s="3" t="s">
        <v>10039</v>
      </c>
      <c r="O2336" s="3" t="s">
        <v>10041</v>
      </c>
      <c r="P2336" s="17">
        <v>45618</v>
      </c>
      <c r="Q2336" s="4">
        <v>0</v>
      </c>
    </row>
    <row r="2337" spans="1:17" ht="30" x14ac:dyDescent="0.25">
      <c r="A2337" s="2" t="s">
        <v>4191</v>
      </c>
      <c r="B2337" s="3" t="s">
        <v>5016</v>
      </c>
      <c r="C2337" s="3">
        <v>59</v>
      </c>
      <c r="D2337" s="46" t="str">
        <f>IF(Tabla1[[#This Row],[EDAD]]&lt;=35,"Adultos jóvenes 18 - 35 años",IF(C2337&gt;=36,"Adultos mayores 36 años en adelante"))</f>
        <v>Adultos mayores 36 años en adelante</v>
      </c>
      <c r="E2337" s="3" t="s">
        <v>5017</v>
      </c>
      <c r="F2337" s="3" t="s">
        <v>5030</v>
      </c>
      <c r="G2337" s="3" t="s">
        <v>5034</v>
      </c>
      <c r="H2337" s="3" t="s">
        <v>9214</v>
      </c>
      <c r="I2337" s="17">
        <v>45620</v>
      </c>
      <c r="J2337" s="18">
        <f>YEAR(Tabla1[[#This Row],[FECHA DE COMPRA]])</f>
        <v>2024</v>
      </c>
      <c r="K2337" s="19">
        <v>96.41</v>
      </c>
      <c r="L2337" s="20">
        <v>0.2</v>
      </c>
      <c r="M2337" s="19">
        <f>Tienda!$K763-Tienda!$K763*Tienda!$L763</f>
        <v>79.344999999999999</v>
      </c>
      <c r="N2337" s="3" t="s">
        <v>10039</v>
      </c>
      <c r="O2337" s="3" t="s">
        <v>10041</v>
      </c>
      <c r="P2337" s="17">
        <v>45620</v>
      </c>
      <c r="Q2337" s="4">
        <v>0</v>
      </c>
    </row>
    <row r="2338" spans="1:17" ht="30" x14ac:dyDescent="0.25">
      <c r="A2338" s="2" t="s">
        <v>552</v>
      </c>
      <c r="B2338" s="3" t="s">
        <v>5015</v>
      </c>
      <c r="C2338" s="3">
        <v>60</v>
      </c>
      <c r="D2338" s="46" t="str">
        <f>IF(Tabla1[[#This Row],[EDAD]]&lt;=35,"Adultos jóvenes 18 - 35 años",IF(C2338&gt;=36,"Adultos mayores 36 años en adelante"))</f>
        <v>Adultos mayores 36 años en adelante</v>
      </c>
      <c r="E2338" s="3" t="s">
        <v>5019</v>
      </c>
      <c r="F2338" s="3" t="s">
        <v>5025</v>
      </c>
      <c r="G2338" s="3" t="s">
        <v>5032</v>
      </c>
      <c r="H2338" s="3" t="s">
        <v>5575</v>
      </c>
      <c r="I2338" s="17">
        <v>45621</v>
      </c>
      <c r="J2338" s="18">
        <f>YEAR(Tabla1[[#This Row],[FECHA DE COMPRA]])</f>
        <v>2024</v>
      </c>
      <c r="K2338" s="19">
        <v>49.49</v>
      </c>
      <c r="L2338" s="20">
        <v>0.3</v>
      </c>
      <c r="M2338" s="19">
        <f>Tienda!$K765-Tienda!$K765*Tienda!$L765</f>
        <v>81.319000000000003</v>
      </c>
      <c r="N2338" s="3" t="s">
        <v>10039</v>
      </c>
      <c r="O2338" s="3" t="s">
        <v>10041</v>
      </c>
      <c r="P2338" s="17">
        <v>45621</v>
      </c>
      <c r="Q2338" s="4">
        <v>0</v>
      </c>
    </row>
    <row r="2339" spans="1:17" ht="30" x14ac:dyDescent="0.25">
      <c r="A2339" s="2" t="s">
        <v>3647</v>
      </c>
      <c r="B2339" s="3" t="s">
        <v>5015</v>
      </c>
      <c r="C2339" s="3">
        <v>59</v>
      </c>
      <c r="D2339" s="46" t="str">
        <f>IF(Tabla1[[#This Row],[EDAD]]&lt;=35,"Adultos jóvenes 18 - 35 años",IF(C2339&gt;=36,"Adultos mayores 36 años en adelante"))</f>
        <v>Adultos mayores 36 años en adelante</v>
      </c>
      <c r="E2339" s="3" t="s">
        <v>5019</v>
      </c>
      <c r="F2339" s="3" t="s">
        <v>5026</v>
      </c>
      <c r="G2339" s="3" t="s">
        <v>5035</v>
      </c>
      <c r="H2339" s="3" t="s">
        <v>8670</v>
      </c>
      <c r="I2339" s="17">
        <v>45621</v>
      </c>
      <c r="J2339" s="18">
        <f>YEAR(Tabla1[[#This Row],[FECHA DE COMPRA]])</f>
        <v>2024</v>
      </c>
      <c r="K2339" s="19">
        <v>158.18</v>
      </c>
      <c r="L2339" s="20">
        <v>0.3</v>
      </c>
      <c r="M2339" s="19">
        <f>Tienda!$K766-Tienda!$K766*Tienda!$L766</f>
        <v>81.536000000000001</v>
      </c>
      <c r="N2339" s="3" t="s">
        <v>10039</v>
      </c>
      <c r="O2339" s="3" t="s">
        <v>10041</v>
      </c>
      <c r="P2339" s="17">
        <v>45621</v>
      </c>
      <c r="Q2339" s="4">
        <v>0</v>
      </c>
    </row>
    <row r="2340" spans="1:17" ht="30" x14ac:dyDescent="0.25">
      <c r="A2340" s="2" t="s">
        <v>2292</v>
      </c>
      <c r="B2340" s="3" t="s">
        <v>5015</v>
      </c>
      <c r="C2340" s="3">
        <v>44</v>
      </c>
      <c r="D2340" s="46" t="str">
        <f>IF(Tabla1[[#This Row],[EDAD]]&lt;=35,"Adultos jóvenes 18 - 35 años",IF(C2340&gt;=36,"Adultos mayores 36 años en adelante"))</f>
        <v>Adultos mayores 36 años en adelante</v>
      </c>
      <c r="E2340" s="3" t="s">
        <v>5017</v>
      </c>
      <c r="F2340" s="3" t="s">
        <v>5028</v>
      </c>
      <c r="G2340" s="3" t="s">
        <v>5033</v>
      </c>
      <c r="H2340" s="3" t="s">
        <v>7315</v>
      </c>
      <c r="I2340" s="17">
        <v>45621</v>
      </c>
      <c r="J2340" s="18">
        <f>YEAR(Tabla1[[#This Row],[FECHA DE COMPRA]])</f>
        <v>2024</v>
      </c>
      <c r="K2340" s="19">
        <v>196.19</v>
      </c>
      <c r="L2340" s="20">
        <v>0</v>
      </c>
      <c r="M2340" s="19">
        <f>Tienda!$K767-Tienda!$K767*Tienda!$L767</f>
        <v>81.61</v>
      </c>
      <c r="N2340" s="3" t="s">
        <v>10039</v>
      </c>
      <c r="O2340" s="3" t="s">
        <v>10041</v>
      </c>
      <c r="P2340" s="17">
        <v>45621</v>
      </c>
      <c r="Q2340" s="4">
        <v>0</v>
      </c>
    </row>
    <row r="2341" spans="1:17" ht="30" x14ac:dyDescent="0.25">
      <c r="A2341" s="2" t="s">
        <v>4396</v>
      </c>
      <c r="B2341" s="3" t="s">
        <v>5015</v>
      </c>
      <c r="C2341" s="3">
        <v>48</v>
      </c>
      <c r="D2341" s="46" t="str">
        <f>IF(Tabla1[[#This Row],[EDAD]]&lt;=35,"Adultos jóvenes 18 - 35 años",IF(C2341&gt;=36,"Adultos mayores 36 años en adelante"))</f>
        <v>Adultos mayores 36 años en adelante</v>
      </c>
      <c r="E2341" s="3" t="s">
        <v>5020</v>
      </c>
      <c r="F2341" s="3" t="s">
        <v>5026</v>
      </c>
      <c r="G2341" s="3" t="s">
        <v>5032</v>
      </c>
      <c r="H2341" s="3" t="s">
        <v>9419</v>
      </c>
      <c r="I2341" s="17">
        <v>45622</v>
      </c>
      <c r="J2341" s="18">
        <f>YEAR(Tabla1[[#This Row],[FECHA DE COMPRA]])</f>
        <v>2024</v>
      </c>
      <c r="K2341" s="19">
        <v>35.74</v>
      </c>
      <c r="L2341" s="20">
        <v>0.3</v>
      </c>
      <c r="M2341" s="19">
        <f>Tienda!$K768-Tienda!$K768*Tienda!$L768</f>
        <v>83.544000000000011</v>
      </c>
      <c r="N2341" s="3" t="s">
        <v>10039</v>
      </c>
      <c r="O2341" s="3" t="s">
        <v>10041</v>
      </c>
      <c r="P2341" s="17">
        <v>45622</v>
      </c>
      <c r="Q2341" s="4">
        <v>0</v>
      </c>
    </row>
    <row r="2342" spans="1:17" ht="30" x14ac:dyDescent="0.25">
      <c r="A2342" s="2" t="s">
        <v>2268</v>
      </c>
      <c r="B2342" s="3" t="s">
        <v>5015</v>
      </c>
      <c r="C2342" s="3">
        <v>39</v>
      </c>
      <c r="D2342" s="46" t="str">
        <f>IF(Tabla1[[#This Row],[EDAD]]&lt;=35,"Adultos jóvenes 18 - 35 años",IF(C2342&gt;=36,"Adultos mayores 36 años en adelante"))</f>
        <v>Adultos mayores 36 años en adelante</v>
      </c>
      <c r="E2342" s="3" t="s">
        <v>5018</v>
      </c>
      <c r="F2342" s="3" t="s">
        <v>5025</v>
      </c>
      <c r="G2342" s="3" t="s">
        <v>5031</v>
      </c>
      <c r="H2342" s="3" t="s">
        <v>7291</v>
      </c>
      <c r="I2342" s="17">
        <v>45622</v>
      </c>
      <c r="J2342" s="18">
        <f>YEAR(Tabla1[[#This Row],[FECHA DE COMPRA]])</f>
        <v>2024</v>
      </c>
      <c r="K2342" s="19">
        <v>194.29</v>
      </c>
      <c r="L2342" s="20">
        <v>0.1</v>
      </c>
      <c r="M2342" s="19">
        <f>Tienda!$K769-Tienda!$K769*Tienda!$L769</f>
        <v>84.1</v>
      </c>
      <c r="N2342" s="3" t="s">
        <v>10039</v>
      </c>
      <c r="O2342" s="3" t="s">
        <v>10041</v>
      </c>
      <c r="P2342" s="17">
        <v>45622</v>
      </c>
      <c r="Q2342" s="4">
        <v>0</v>
      </c>
    </row>
    <row r="2343" spans="1:17" ht="30" x14ac:dyDescent="0.25">
      <c r="A2343" s="2" t="s">
        <v>52</v>
      </c>
      <c r="B2343" s="3" t="s">
        <v>5015</v>
      </c>
      <c r="C2343" s="3">
        <v>45</v>
      </c>
      <c r="D2343" s="46" t="str">
        <f>IF(Tabla1[[#This Row],[EDAD]]&lt;=35,"Adultos jóvenes 18 - 35 años",IF(C2343&gt;=36,"Adultos mayores 36 años en adelante"))</f>
        <v>Adultos mayores 36 años en adelante</v>
      </c>
      <c r="E2343" s="3" t="s">
        <v>5019</v>
      </c>
      <c r="F2343" s="3" t="s">
        <v>5030</v>
      </c>
      <c r="G2343" s="3" t="s">
        <v>5034</v>
      </c>
      <c r="H2343" s="3" t="s">
        <v>5075</v>
      </c>
      <c r="I2343" s="17">
        <v>45623</v>
      </c>
      <c r="J2343" s="18">
        <f>YEAR(Tabla1[[#This Row],[FECHA DE COMPRA]])</f>
        <v>2024</v>
      </c>
      <c r="K2343" s="19">
        <v>40.32</v>
      </c>
      <c r="L2343" s="20">
        <v>0.2</v>
      </c>
      <c r="M2343" s="19">
        <f>Tienda!$K771-Tienda!$K771*Tienda!$L771</f>
        <v>88.47</v>
      </c>
      <c r="N2343" s="3" t="s">
        <v>10039</v>
      </c>
      <c r="O2343" s="3" t="s">
        <v>10041</v>
      </c>
      <c r="P2343" s="17">
        <v>45623</v>
      </c>
      <c r="Q2343" s="4">
        <v>0</v>
      </c>
    </row>
    <row r="2344" spans="1:17" ht="30" x14ac:dyDescent="0.25">
      <c r="A2344" s="2" t="s">
        <v>4935</v>
      </c>
      <c r="B2344" s="3" t="s">
        <v>5016</v>
      </c>
      <c r="C2344" s="3">
        <v>54</v>
      </c>
      <c r="D2344" s="46" t="str">
        <f>IF(Tabla1[[#This Row],[EDAD]]&lt;=35,"Adultos jóvenes 18 - 35 años",IF(C2344&gt;=36,"Adultos mayores 36 años en adelante"))</f>
        <v>Adultos mayores 36 años en adelante</v>
      </c>
      <c r="E2344" s="3" t="s">
        <v>5017</v>
      </c>
      <c r="F2344" s="3" t="s">
        <v>5028</v>
      </c>
      <c r="G2344" s="3" t="s">
        <v>5033</v>
      </c>
      <c r="H2344" s="3" t="s">
        <v>9958</v>
      </c>
      <c r="I2344" s="17">
        <v>45625</v>
      </c>
      <c r="J2344" s="18">
        <f>YEAR(Tabla1[[#This Row],[FECHA DE COMPRA]])</f>
        <v>2024</v>
      </c>
      <c r="K2344" s="19">
        <v>12.74</v>
      </c>
      <c r="L2344" s="20">
        <v>0.2</v>
      </c>
      <c r="M2344" s="19">
        <f>Tienda!$K772-Tienda!$K772*Tienda!$L772</f>
        <v>88.907000000000011</v>
      </c>
      <c r="N2344" s="3" t="s">
        <v>10039</v>
      </c>
      <c r="O2344" s="3" t="s">
        <v>10041</v>
      </c>
      <c r="P2344" s="17">
        <v>45625</v>
      </c>
      <c r="Q2344" s="4">
        <v>0</v>
      </c>
    </row>
    <row r="2345" spans="1:17" ht="30" x14ac:dyDescent="0.25">
      <c r="A2345" s="2" t="s">
        <v>1360</v>
      </c>
      <c r="B2345" s="3" t="s">
        <v>5015</v>
      </c>
      <c r="C2345" s="3">
        <v>37</v>
      </c>
      <c r="D2345" s="46" t="str">
        <f>IF(Tabla1[[#This Row],[EDAD]]&lt;=35,"Adultos jóvenes 18 - 35 años",IF(C2345&gt;=36,"Adultos mayores 36 años en adelante"))</f>
        <v>Adultos mayores 36 años en adelante</v>
      </c>
      <c r="E2345" s="3" t="s">
        <v>5020</v>
      </c>
      <c r="F2345" s="3" t="s">
        <v>5025</v>
      </c>
      <c r="G2345" s="3" t="s">
        <v>5032</v>
      </c>
      <c r="H2345" s="3" t="s">
        <v>6383</v>
      </c>
      <c r="I2345" s="17">
        <v>45626</v>
      </c>
      <c r="J2345" s="18">
        <f>YEAR(Tabla1[[#This Row],[FECHA DE COMPRA]])</f>
        <v>2024</v>
      </c>
      <c r="K2345" s="19">
        <v>83.13</v>
      </c>
      <c r="L2345" s="20">
        <v>0</v>
      </c>
      <c r="M2345" s="19">
        <f>Tienda!$K774-Tienda!$K774*Tienda!$L774</f>
        <v>90.516999999999996</v>
      </c>
      <c r="N2345" s="3" t="s">
        <v>10039</v>
      </c>
      <c r="O2345" s="3" t="s">
        <v>10041</v>
      </c>
      <c r="P2345" s="17">
        <v>45626</v>
      </c>
      <c r="Q2345" s="4">
        <v>0</v>
      </c>
    </row>
    <row r="2346" spans="1:17" ht="30" x14ac:dyDescent="0.25">
      <c r="A2346" s="2" t="s">
        <v>2621</v>
      </c>
      <c r="B2346" s="3" t="s">
        <v>5015</v>
      </c>
      <c r="C2346" s="3">
        <v>65</v>
      </c>
      <c r="D2346" s="46" t="str">
        <f>IF(Tabla1[[#This Row],[EDAD]]&lt;=35,"Adultos jóvenes 18 - 35 años",IF(C2346&gt;=36,"Adultos mayores 36 años en adelante"))</f>
        <v>Adultos mayores 36 años en adelante</v>
      </c>
      <c r="E2346" s="3" t="s">
        <v>5022</v>
      </c>
      <c r="F2346" s="3" t="s">
        <v>5026</v>
      </c>
      <c r="G2346" s="3" t="s">
        <v>5032</v>
      </c>
      <c r="H2346" s="3" t="s">
        <v>7644</v>
      </c>
      <c r="I2346" s="17">
        <v>45649</v>
      </c>
      <c r="J2346" s="18">
        <f>YEAR(Tabla1[[#This Row],[FECHA DE COMPRA]])</f>
        <v>2024</v>
      </c>
      <c r="K2346" s="19">
        <v>95.47</v>
      </c>
      <c r="L2346" s="20">
        <v>0</v>
      </c>
      <c r="M2346" s="19">
        <f>Tienda!$K777-Tienda!$K777*Tienda!$L777</f>
        <v>91.287999999999997</v>
      </c>
      <c r="N2346" s="3" t="s">
        <v>10039</v>
      </c>
      <c r="O2346" s="3" t="s">
        <v>10041</v>
      </c>
      <c r="P2346" s="17">
        <v>45292</v>
      </c>
      <c r="Q2346" s="4">
        <v>0</v>
      </c>
    </row>
    <row r="2347" spans="1:17" ht="30" x14ac:dyDescent="0.25">
      <c r="A2347" s="2" t="s">
        <v>4104</v>
      </c>
      <c r="B2347" s="3" t="s">
        <v>5015</v>
      </c>
      <c r="C2347" s="3">
        <v>36</v>
      </c>
      <c r="D2347" s="46" t="str">
        <f>IF(Tabla1[[#This Row],[EDAD]]&lt;=35,"Adultos jóvenes 18 - 35 años",IF(C2347&gt;=36,"Adultos mayores 36 años en adelante"))</f>
        <v>Adultos mayores 36 años en adelante</v>
      </c>
      <c r="E2347" s="3" t="s">
        <v>5019</v>
      </c>
      <c r="F2347" s="3" t="s">
        <v>5030</v>
      </c>
      <c r="G2347" s="3" t="s">
        <v>5033</v>
      </c>
      <c r="H2347" s="3" t="s">
        <v>9127</v>
      </c>
      <c r="I2347" s="17">
        <v>45649</v>
      </c>
      <c r="J2347" s="18">
        <f>YEAR(Tabla1[[#This Row],[FECHA DE COMPRA]])</f>
        <v>2024</v>
      </c>
      <c r="K2347" s="19">
        <v>85.33</v>
      </c>
      <c r="L2347" s="20">
        <v>0.3</v>
      </c>
      <c r="M2347" s="19">
        <f>Tienda!$K780-Tienda!$K780*Tienda!$L780</f>
        <v>91.853999999999999</v>
      </c>
      <c r="N2347" s="3" t="s">
        <v>10039</v>
      </c>
      <c r="O2347" s="3" t="s">
        <v>10041</v>
      </c>
      <c r="P2347" s="17">
        <v>45293</v>
      </c>
      <c r="Q2347" s="4">
        <v>0</v>
      </c>
    </row>
    <row r="2348" spans="1:17" ht="30" x14ac:dyDescent="0.25">
      <c r="A2348" s="2" t="s">
        <v>3200</v>
      </c>
      <c r="B2348" s="3" t="s">
        <v>5015</v>
      </c>
      <c r="C2348" s="3">
        <v>40</v>
      </c>
      <c r="D2348" s="46" t="str">
        <f>IF(Tabla1[[#This Row],[EDAD]]&lt;=35,"Adultos jóvenes 18 - 35 años",IF(C2348&gt;=36,"Adultos mayores 36 años en adelante"))</f>
        <v>Adultos mayores 36 años en adelante</v>
      </c>
      <c r="E2348" s="3" t="s">
        <v>5017</v>
      </c>
      <c r="F2348" s="3" t="s">
        <v>5027</v>
      </c>
      <c r="G2348" s="3" t="s">
        <v>5035</v>
      </c>
      <c r="H2348" s="3" t="s">
        <v>8223</v>
      </c>
      <c r="I2348" s="17">
        <v>45649</v>
      </c>
      <c r="J2348" s="18">
        <f>YEAR(Tabla1[[#This Row],[FECHA DE COMPRA]])</f>
        <v>2024</v>
      </c>
      <c r="K2348" s="19">
        <v>86.87</v>
      </c>
      <c r="L2348" s="20">
        <v>0.1</v>
      </c>
      <c r="M2348" s="19">
        <f>Tienda!$K781-Tienda!$K781*Tienda!$L781</f>
        <v>94.038000000000011</v>
      </c>
      <c r="N2348" s="3" t="s">
        <v>10039</v>
      </c>
      <c r="O2348" s="3" t="s">
        <v>10041</v>
      </c>
      <c r="P2348" s="17">
        <v>45293</v>
      </c>
      <c r="Q2348" s="4">
        <v>0</v>
      </c>
    </row>
    <row r="2349" spans="1:17" ht="30" x14ac:dyDescent="0.25">
      <c r="A2349" s="2" t="s">
        <v>4321</v>
      </c>
      <c r="B2349" s="3" t="s">
        <v>5015</v>
      </c>
      <c r="C2349" s="3">
        <v>52</v>
      </c>
      <c r="D2349" s="46" t="str">
        <f>IF(Tabla1[[#This Row],[EDAD]]&lt;=35,"Adultos jóvenes 18 - 35 años",IF(C2349&gt;=36,"Adultos mayores 36 años en adelante"))</f>
        <v>Adultos mayores 36 años en adelante</v>
      </c>
      <c r="E2349" s="3" t="s">
        <v>5020</v>
      </c>
      <c r="F2349" s="3" t="s">
        <v>5025</v>
      </c>
      <c r="G2349" s="3" t="s">
        <v>5032</v>
      </c>
      <c r="H2349" s="3" t="s">
        <v>9344</v>
      </c>
      <c r="I2349" s="17">
        <v>45649</v>
      </c>
      <c r="J2349" s="18">
        <f>YEAR(Tabla1[[#This Row],[FECHA DE COMPRA]])</f>
        <v>2024</v>
      </c>
      <c r="K2349" s="19">
        <v>196.47</v>
      </c>
      <c r="L2349" s="20">
        <v>0.1</v>
      </c>
      <c r="M2349" s="19">
        <f>Tienda!$K782-Tienda!$K782*Tienda!$L782</f>
        <v>94.22</v>
      </c>
      <c r="N2349" s="3" t="s">
        <v>10039</v>
      </c>
      <c r="O2349" s="3" t="s">
        <v>10041</v>
      </c>
      <c r="P2349" s="17">
        <v>45293</v>
      </c>
      <c r="Q2349" s="4">
        <v>0</v>
      </c>
    </row>
    <row r="2350" spans="1:17" ht="30" x14ac:dyDescent="0.25">
      <c r="A2350" s="2" t="s">
        <v>3367</v>
      </c>
      <c r="B2350" s="3" t="s">
        <v>5016</v>
      </c>
      <c r="C2350" s="3">
        <v>43</v>
      </c>
      <c r="D2350" s="46" t="str">
        <f>IF(Tabla1[[#This Row],[EDAD]]&lt;=35,"Adultos jóvenes 18 - 35 años",IF(C2350&gt;=36,"Adultos mayores 36 años en adelante"))</f>
        <v>Adultos mayores 36 años en adelante</v>
      </c>
      <c r="E2350" s="3" t="s">
        <v>5017</v>
      </c>
      <c r="F2350" s="3" t="s">
        <v>5026</v>
      </c>
      <c r="G2350" s="3" t="s">
        <v>5033</v>
      </c>
      <c r="H2350" s="3" t="s">
        <v>8390</v>
      </c>
      <c r="I2350" s="17">
        <v>45649</v>
      </c>
      <c r="J2350" s="18">
        <f>YEAR(Tabla1[[#This Row],[FECHA DE COMPRA]])</f>
        <v>2024</v>
      </c>
      <c r="K2350" s="19">
        <v>65.81</v>
      </c>
      <c r="L2350" s="20">
        <v>0.2</v>
      </c>
      <c r="M2350" s="19">
        <f>Tienda!$K783-Tienda!$K783*Tienda!$L783</f>
        <v>95.36</v>
      </c>
      <c r="N2350" s="3" t="s">
        <v>10039</v>
      </c>
      <c r="O2350" s="3" t="s">
        <v>10041</v>
      </c>
      <c r="P2350" s="17">
        <v>45294</v>
      </c>
      <c r="Q2350" s="4">
        <v>0</v>
      </c>
    </row>
    <row r="2351" spans="1:17" ht="30" x14ac:dyDescent="0.25">
      <c r="A2351" s="2" t="s">
        <v>99</v>
      </c>
      <c r="B2351" s="3" t="s">
        <v>5015</v>
      </c>
      <c r="C2351" s="3">
        <v>36</v>
      </c>
      <c r="D2351" s="46" t="str">
        <f>IF(Tabla1[[#This Row],[EDAD]]&lt;=35,"Adultos jóvenes 18 - 35 años",IF(C2351&gt;=36,"Adultos mayores 36 años en adelante"))</f>
        <v>Adultos mayores 36 años en adelante</v>
      </c>
      <c r="E2351" s="3" t="s">
        <v>5020</v>
      </c>
      <c r="F2351" s="3" t="s">
        <v>5026</v>
      </c>
      <c r="G2351" s="3" t="s">
        <v>5036</v>
      </c>
      <c r="H2351" s="3" t="s">
        <v>5122</v>
      </c>
      <c r="I2351" s="17">
        <v>45649</v>
      </c>
      <c r="J2351" s="18">
        <f>YEAR(Tabla1[[#This Row],[FECHA DE COMPRA]])</f>
        <v>2024</v>
      </c>
      <c r="K2351" s="19">
        <v>84.4</v>
      </c>
      <c r="L2351" s="20">
        <v>0.2</v>
      </c>
      <c r="M2351" s="19">
        <f>Tienda!$K784-Tienda!$K784*Tienda!$L784</f>
        <v>97.391999999999996</v>
      </c>
      <c r="N2351" s="3" t="s">
        <v>10039</v>
      </c>
      <c r="O2351" s="3" t="s">
        <v>10041</v>
      </c>
      <c r="P2351" s="17">
        <v>45294</v>
      </c>
      <c r="Q2351" s="4">
        <v>0</v>
      </c>
    </row>
    <row r="2352" spans="1:17" ht="30" x14ac:dyDescent="0.25">
      <c r="A2352" s="2" t="s">
        <v>1311</v>
      </c>
      <c r="B2352" s="3" t="s">
        <v>5015</v>
      </c>
      <c r="C2352" s="3">
        <v>46</v>
      </c>
      <c r="D2352" s="46" t="str">
        <f>IF(Tabla1[[#This Row],[EDAD]]&lt;=35,"Adultos jóvenes 18 - 35 años",IF(C2352&gt;=36,"Adultos mayores 36 años en adelante"))</f>
        <v>Adultos mayores 36 años en adelante</v>
      </c>
      <c r="E2352" s="3" t="s">
        <v>5022</v>
      </c>
      <c r="F2352" s="3" t="s">
        <v>5026</v>
      </c>
      <c r="G2352" s="3" t="s">
        <v>5033</v>
      </c>
      <c r="H2352" s="3" t="s">
        <v>6334</v>
      </c>
      <c r="I2352" s="17">
        <v>45649</v>
      </c>
      <c r="J2352" s="18">
        <f>YEAR(Tabla1[[#This Row],[FECHA DE COMPRA]])</f>
        <v>2024</v>
      </c>
      <c r="K2352" s="19">
        <v>106.63</v>
      </c>
      <c r="L2352" s="20">
        <v>0.3</v>
      </c>
      <c r="M2352" s="19">
        <f>Tienda!$K785-Tienda!$K785*Tienda!$L785</f>
        <v>97.923000000000002</v>
      </c>
      <c r="N2352" s="3" t="s">
        <v>10039</v>
      </c>
      <c r="O2352" s="3" t="s">
        <v>10041</v>
      </c>
      <c r="P2352" s="17">
        <v>45294</v>
      </c>
      <c r="Q2352" s="4">
        <v>0</v>
      </c>
    </row>
    <row r="2353" spans="1:17" ht="30" x14ac:dyDescent="0.25">
      <c r="A2353" s="2" t="s">
        <v>1946</v>
      </c>
      <c r="B2353" s="3" t="s">
        <v>5015</v>
      </c>
      <c r="C2353" s="3">
        <v>46</v>
      </c>
      <c r="D2353" s="46" t="str">
        <f>IF(Tabla1[[#This Row],[EDAD]]&lt;=35,"Adultos jóvenes 18 - 35 años",IF(C2353&gt;=36,"Adultos mayores 36 años en adelante"))</f>
        <v>Adultos mayores 36 años en adelante</v>
      </c>
      <c r="E2353" s="3" t="s">
        <v>5022</v>
      </c>
      <c r="F2353" s="3" t="s">
        <v>5030</v>
      </c>
      <c r="G2353" s="3" t="s">
        <v>5037</v>
      </c>
      <c r="H2353" s="3" t="s">
        <v>6969</v>
      </c>
      <c r="I2353" s="17">
        <v>45649</v>
      </c>
      <c r="J2353" s="18">
        <f>YEAR(Tabla1[[#This Row],[FECHA DE COMPRA]])</f>
        <v>2024</v>
      </c>
      <c r="K2353" s="19">
        <v>37.72</v>
      </c>
      <c r="L2353" s="20">
        <v>0.1</v>
      </c>
      <c r="M2353" s="19">
        <f>Tienda!$K788-Tienda!$K788*Tienda!$L788</f>
        <v>99.71</v>
      </c>
      <c r="N2353" s="3" t="s">
        <v>10039</v>
      </c>
      <c r="O2353" s="3" t="s">
        <v>10041</v>
      </c>
      <c r="P2353" s="17">
        <v>45297</v>
      </c>
      <c r="Q2353" s="4">
        <v>0</v>
      </c>
    </row>
    <row r="2354" spans="1:17" ht="30" x14ac:dyDescent="0.25">
      <c r="A2354" s="2" t="s">
        <v>4006</v>
      </c>
      <c r="B2354" s="3" t="s">
        <v>5016</v>
      </c>
      <c r="C2354" s="3">
        <v>37</v>
      </c>
      <c r="D2354" s="46" t="str">
        <f>IF(Tabla1[[#This Row],[EDAD]]&lt;=35,"Adultos jóvenes 18 - 35 años",IF(C2354&gt;=36,"Adultos mayores 36 años en adelante"))</f>
        <v>Adultos mayores 36 años en adelante</v>
      </c>
      <c r="E2354" s="3" t="s">
        <v>5023</v>
      </c>
      <c r="F2354" s="3" t="s">
        <v>5025</v>
      </c>
      <c r="G2354" s="3" t="s">
        <v>5031</v>
      </c>
      <c r="H2354" s="3" t="s">
        <v>9029</v>
      </c>
      <c r="I2354" s="17">
        <v>45649</v>
      </c>
      <c r="J2354" s="18">
        <f>YEAR(Tabla1[[#This Row],[FECHA DE COMPRA]])</f>
        <v>2024</v>
      </c>
      <c r="K2354" s="19">
        <v>119.34</v>
      </c>
      <c r="L2354" s="20">
        <v>0.3</v>
      </c>
      <c r="M2354" s="19">
        <f>Tienda!$K789-Tienda!$K789*Tienda!$L789</f>
        <v>99.816000000000003</v>
      </c>
      <c r="N2354" s="3" t="s">
        <v>10039</v>
      </c>
      <c r="O2354" s="3" t="s">
        <v>10041</v>
      </c>
      <c r="P2354" s="17">
        <v>45297</v>
      </c>
      <c r="Q2354" s="4">
        <v>0</v>
      </c>
    </row>
    <row r="2355" spans="1:17" ht="30" x14ac:dyDescent="0.25">
      <c r="A2355" s="2" t="s">
        <v>34</v>
      </c>
      <c r="B2355" s="3" t="s">
        <v>5015</v>
      </c>
      <c r="C2355" s="3">
        <v>62</v>
      </c>
      <c r="D2355" s="46" t="str">
        <f>IF(Tabla1[[#This Row],[EDAD]]&lt;=35,"Adultos jóvenes 18 - 35 años",IF(C2355&gt;=36,"Adultos mayores 36 años en adelante"))</f>
        <v>Adultos mayores 36 años en adelante</v>
      </c>
      <c r="E2355" s="3" t="s">
        <v>5020</v>
      </c>
      <c r="F2355" s="3" t="s">
        <v>5029</v>
      </c>
      <c r="G2355" s="3" t="s">
        <v>5031</v>
      </c>
      <c r="H2355" s="3" t="s">
        <v>5057</v>
      </c>
      <c r="I2355" s="17">
        <v>45649</v>
      </c>
      <c r="J2355" s="18">
        <f>YEAR(Tabla1[[#This Row],[FECHA DE COMPRA]])</f>
        <v>2024</v>
      </c>
      <c r="K2355" s="19">
        <v>111.33</v>
      </c>
      <c r="L2355" s="20">
        <v>0.1</v>
      </c>
      <c r="M2355" s="19">
        <f>Tienda!$K790-Tienda!$K790*Tienda!$L790</f>
        <v>99.869</v>
      </c>
      <c r="N2355" s="3" t="s">
        <v>10039</v>
      </c>
      <c r="O2355" s="3" t="s">
        <v>10041</v>
      </c>
      <c r="P2355" s="17">
        <v>45298</v>
      </c>
      <c r="Q2355" s="4">
        <v>0</v>
      </c>
    </row>
    <row r="2356" spans="1:17" ht="30" x14ac:dyDescent="0.25">
      <c r="A2356" s="2" t="s">
        <v>4679</v>
      </c>
      <c r="B2356" s="3" t="s">
        <v>5015</v>
      </c>
      <c r="C2356" s="3">
        <v>41</v>
      </c>
      <c r="D2356" s="46" t="str">
        <f>IF(Tabla1[[#This Row],[EDAD]]&lt;=35,"Adultos jóvenes 18 - 35 años",IF(C2356&gt;=36,"Adultos mayores 36 años en adelante"))</f>
        <v>Adultos mayores 36 años en adelante</v>
      </c>
      <c r="E2356" s="3" t="s">
        <v>5020</v>
      </c>
      <c r="F2356" s="3" t="s">
        <v>5030</v>
      </c>
      <c r="G2356" s="3" t="s">
        <v>5031</v>
      </c>
      <c r="H2356" s="3" t="s">
        <v>9702</v>
      </c>
      <c r="I2356" s="17">
        <v>45649</v>
      </c>
      <c r="J2356" s="18">
        <f>YEAR(Tabla1[[#This Row],[FECHA DE COMPRA]])</f>
        <v>2024</v>
      </c>
      <c r="K2356" s="19">
        <v>19.32</v>
      </c>
      <c r="L2356" s="20">
        <v>0.3</v>
      </c>
      <c r="M2356" s="19">
        <f>Tienda!$K793-Tienda!$K793*Tienda!$L793</f>
        <v>101.49300000000001</v>
      </c>
      <c r="N2356" s="3" t="s">
        <v>10039</v>
      </c>
      <c r="O2356" s="3" t="s">
        <v>10041</v>
      </c>
      <c r="P2356" s="17">
        <v>45301</v>
      </c>
      <c r="Q2356" s="4">
        <v>0</v>
      </c>
    </row>
    <row r="2357" spans="1:17" ht="30" x14ac:dyDescent="0.25">
      <c r="A2357" s="2" t="s">
        <v>4410</v>
      </c>
      <c r="B2357" s="3" t="s">
        <v>5015</v>
      </c>
      <c r="C2357" s="3">
        <v>48</v>
      </c>
      <c r="D2357" s="46" t="str">
        <f>IF(Tabla1[[#This Row],[EDAD]]&lt;=35,"Adultos jóvenes 18 - 35 años",IF(C2357&gt;=36,"Adultos mayores 36 años en adelante"))</f>
        <v>Adultos mayores 36 años en adelante</v>
      </c>
      <c r="E2357" s="3" t="s">
        <v>5018</v>
      </c>
      <c r="F2357" s="3" t="s">
        <v>5028</v>
      </c>
      <c r="G2357" s="3" t="s">
        <v>5035</v>
      </c>
      <c r="H2357" s="3" t="s">
        <v>9433</v>
      </c>
      <c r="I2357" s="17">
        <v>45649</v>
      </c>
      <c r="J2357" s="18">
        <f>YEAR(Tabla1[[#This Row],[FECHA DE COMPRA]])</f>
        <v>2024</v>
      </c>
      <c r="K2357" s="19">
        <v>119.64</v>
      </c>
      <c r="L2357" s="20">
        <v>0.2</v>
      </c>
      <c r="M2357" s="19">
        <f>Tienda!$K794-Tienda!$K794*Tienda!$L794</f>
        <v>102.08</v>
      </c>
      <c r="N2357" s="3" t="s">
        <v>10039</v>
      </c>
      <c r="O2357" s="3" t="s">
        <v>10041</v>
      </c>
      <c r="P2357" s="17">
        <v>45301</v>
      </c>
      <c r="Q2357" s="4">
        <v>0</v>
      </c>
    </row>
    <row r="2358" spans="1:17" ht="30" x14ac:dyDescent="0.25">
      <c r="A2358" s="2" t="s">
        <v>1428</v>
      </c>
      <c r="B2358" s="3" t="s">
        <v>5015</v>
      </c>
      <c r="C2358" s="3">
        <v>49</v>
      </c>
      <c r="D2358" s="46" t="str">
        <f>IF(Tabla1[[#This Row],[EDAD]]&lt;=35,"Adultos jóvenes 18 - 35 años",IF(C2358&gt;=36,"Adultos mayores 36 años en adelante"))</f>
        <v>Adultos mayores 36 años en adelante</v>
      </c>
      <c r="E2358" s="3" t="s">
        <v>5018</v>
      </c>
      <c r="F2358" s="3" t="s">
        <v>5026</v>
      </c>
      <c r="G2358" s="3" t="s">
        <v>5036</v>
      </c>
      <c r="H2358" s="3" t="s">
        <v>6451</v>
      </c>
      <c r="I2358" s="17">
        <v>45649</v>
      </c>
      <c r="J2358" s="18">
        <f>YEAR(Tabla1[[#This Row],[FECHA DE COMPRA]])</f>
        <v>2024</v>
      </c>
      <c r="K2358" s="19">
        <v>108.89</v>
      </c>
      <c r="L2358" s="20">
        <v>0.1</v>
      </c>
      <c r="M2358" s="19">
        <f>Tienda!$K795-Tienda!$K795*Tienda!$L795</f>
        <v>103.959</v>
      </c>
      <c r="N2358" s="3" t="s">
        <v>10039</v>
      </c>
      <c r="O2358" s="3" t="s">
        <v>10041</v>
      </c>
      <c r="P2358" s="17">
        <v>45302</v>
      </c>
      <c r="Q2358" s="4">
        <v>0</v>
      </c>
    </row>
    <row r="2359" spans="1:17" ht="30" x14ac:dyDescent="0.25">
      <c r="A2359" s="2" t="s">
        <v>3407</v>
      </c>
      <c r="B2359" s="3" t="s">
        <v>5015</v>
      </c>
      <c r="C2359" s="3">
        <v>45</v>
      </c>
      <c r="D2359" s="46" t="str">
        <f>IF(Tabla1[[#This Row],[EDAD]]&lt;=35,"Adultos jóvenes 18 - 35 años",IF(C2359&gt;=36,"Adultos mayores 36 años en adelante"))</f>
        <v>Adultos mayores 36 años en adelante</v>
      </c>
      <c r="E2359" s="3" t="s">
        <v>5018</v>
      </c>
      <c r="F2359" s="3" t="s">
        <v>5027</v>
      </c>
      <c r="G2359" s="3" t="s">
        <v>5037</v>
      </c>
      <c r="H2359" s="3" t="s">
        <v>8430</v>
      </c>
      <c r="I2359" s="17">
        <v>45649</v>
      </c>
      <c r="J2359" s="18">
        <f>YEAR(Tabla1[[#This Row],[FECHA DE COMPRA]])</f>
        <v>2024</v>
      </c>
      <c r="K2359" s="19">
        <v>189.09</v>
      </c>
      <c r="L2359" s="20">
        <v>0.2</v>
      </c>
      <c r="M2359" s="19">
        <f>Tienda!$K796-Tienda!$K796*Tienda!$L796</f>
        <v>104.70600000000002</v>
      </c>
      <c r="N2359" s="3" t="s">
        <v>10039</v>
      </c>
      <c r="O2359" s="3" t="s">
        <v>10041</v>
      </c>
      <c r="P2359" s="17">
        <v>45302</v>
      </c>
      <c r="Q2359" s="4">
        <v>0</v>
      </c>
    </row>
    <row r="2360" spans="1:17" ht="30" x14ac:dyDescent="0.25">
      <c r="A2360" s="2" t="s">
        <v>1997</v>
      </c>
      <c r="B2360" s="3" t="s">
        <v>5015</v>
      </c>
      <c r="C2360" s="3">
        <v>52</v>
      </c>
      <c r="D2360" s="46" t="str">
        <f>IF(Tabla1[[#This Row],[EDAD]]&lt;=35,"Adultos jóvenes 18 - 35 años",IF(C2360&gt;=36,"Adultos mayores 36 años en adelante"))</f>
        <v>Adultos mayores 36 años en adelante</v>
      </c>
      <c r="E2360" s="3" t="s">
        <v>5020</v>
      </c>
      <c r="F2360" s="3" t="s">
        <v>5028</v>
      </c>
      <c r="G2360" s="3" t="s">
        <v>5035</v>
      </c>
      <c r="H2360" s="3" t="s">
        <v>7020</v>
      </c>
      <c r="I2360" s="17">
        <v>45649</v>
      </c>
      <c r="J2360" s="18">
        <f>YEAR(Tabla1[[#This Row],[FECHA DE COMPRA]])</f>
        <v>2024</v>
      </c>
      <c r="K2360" s="19">
        <v>190.66</v>
      </c>
      <c r="L2360" s="20">
        <v>0.1</v>
      </c>
      <c r="M2360" s="19">
        <f>Tienda!$K797-Tienda!$K797*Tienda!$L797</f>
        <v>104.94</v>
      </c>
      <c r="N2360" s="3" t="s">
        <v>10039</v>
      </c>
      <c r="O2360" s="3" t="s">
        <v>10041</v>
      </c>
      <c r="P2360" s="17">
        <v>45302</v>
      </c>
      <c r="Q2360" s="4">
        <v>0</v>
      </c>
    </row>
    <row r="2361" spans="1:17" ht="30" x14ac:dyDescent="0.25">
      <c r="A2361" s="2" t="s">
        <v>3673</v>
      </c>
      <c r="B2361" s="3" t="s">
        <v>5015</v>
      </c>
      <c r="C2361" s="3">
        <v>57</v>
      </c>
      <c r="D2361" s="46" t="str">
        <f>IF(Tabla1[[#This Row],[EDAD]]&lt;=35,"Adultos jóvenes 18 - 35 años",IF(C2361&gt;=36,"Adultos mayores 36 años en adelante"))</f>
        <v>Adultos mayores 36 años en adelante</v>
      </c>
      <c r="E2361" s="3" t="s">
        <v>5019</v>
      </c>
      <c r="F2361" s="3" t="s">
        <v>5028</v>
      </c>
      <c r="G2361" s="3" t="s">
        <v>5036</v>
      </c>
      <c r="H2361" s="3" t="s">
        <v>8696</v>
      </c>
      <c r="I2361" s="17">
        <v>45649</v>
      </c>
      <c r="J2361" s="18">
        <f>YEAR(Tabla1[[#This Row],[FECHA DE COMPRA]])</f>
        <v>2024</v>
      </c>
      <c r="K2361" s="19">
        <v>30.91</v>
      </c>
      <c r="L2361" s="20">
        <v>0.2</v>
      </c>
      <c r="M2361" s="19">
        <f>Tienda!$K798-Tienda!$K798*Tienda!$L798</f>
        <v>105.91200000000001</v>
      </c>
      <c r="N2361" s="3" t="s">
        <v>10039</v>
      </c>
      <c r="O2361" s="3" t="s">
        <v>10041</v>
      </c>
      <c r="P2361" s="17">
        <v>45303</v>
      </c>
      <c r="Q2361" s="4">
        <v>0</v>
      </c>
    </row>
    <row r="2362" spans="1:17" ht="30" x14ac:dyDescent="0.25">
      <c r="A2362" s="2" t="s">
        <v>2300</v>
      </c>
      <c r="B2362" s="3" t="s">
        <v>5015</v>
      </c>
      <c r="C2362" s="3">
        <v>47</v>
      </c>
      <c r="D2362" s="46" t="str">
        <f>IF(Tabla1[[#This Row],[EDAD]]&lt;=35,"Adultos jóvenes 18 - 35 años",IF(C2362&gt;=36,"Adultos mayores 36 años en adelante"))</f>
        <v>Adultos mayores 36 años en adelante</v>
      </c>
      <c r="E2362" s="3" t="s">
        <v>5021</v>
      </c>
      <c r="F2362" s="3" t="s">
        <v>5028</v>
      </c>
      <c r="G2362" s="3" t="s">
        <v>5035</v>
      </c>
      <c r="H2362" s="3" t="s">
        <v>7323</v>
      </c>
      <c r="I2362" s="17">
        <v>45649</v>
      </c>
      <c r="J2362" s="18">
        <f>YEAR(Tabla1[[#This Row],[FECHA DE COMPRA]])</f>
        <v>2024</v>
      </c>
      <c r="K2362" s="19">
        <v>81.239999999999995</v>
      </c>
      <c r="L2362" s="20">
        <v>0.2</v>
      </c>
      <c r="M2362" s="19">
        <f>Tienda!$K799-Tienda!$K799*Tienda!$L799</f>
        <v>106.52</v>
      </c>
      <c r="N2362" s="3" t="s">
        <v>10039</v>
      </c>
      <c r="O2362" s="3" t="s">
        <v>10041</v>
      </c>
      <c r="P2362" s="17">
        <v>45303</v>
      </c>
      <c r="Q2362" s="4">
        <v>0</v>
      </c>
    </row>
    <row r="2363" spans="1:17" ht="30" x14ac:dyDescent="0.25">
      <c r="A2363" s="2" t="s">
        <v>1126</v>
      </c>
      <c r="B2363" s="3" t="s">
        <v>5015</v>
      </c>
      <c r="C2363" s="3">
        <v>36</v>
      </c>
      <c r="D2363" s="46" t="str">
        <f>IF(Tabla1[[#This Row],[EDAD]]&lt;=35,"Adultos jóvenes 18 - 35 años",IF(C2363&gt;=36,"Adultos mayores 36 años en adelante"))</f>
        <v>Adultos mayores 36 años en adelante</v>
      </c>
      <c r="E2363" s="3" t="s">
        <v>5018</v>
      </c>
      <c r="F2363" s="3" t="s">
        <v>5029</v>
      </c>
      <c r="G2363" s="3" t="s">
        <v>5033</v>
      </c>
      <c r="H2363" s="3" t="s">
        <v>6149</v>
      </c>
      <c r="I2363" s="17">
        <v>45649</v>
      </c>
      <c r="J2363" s="18">
        <f>YEAR(Tabla1[[#This Row],[FECHA DE COMPRA]])</f>
        <v>2024</v>
      </c>
      <c r="K2363" s="19">
        <v>170.96</v>
      </c>
      <c r="L2363" s="20">
        <v>0.3</v>
      </c>
      <c r="M2363" s="19">
        <f>Tienda!$K803-Tienda!$K803*Tienda!$L803</f>
        <v>107.53</v>
      </c>
      <c r="N2363" s="3" t="s">
        <v>10039</v>
      </c>
      <c r="O2363" s="3" t="s">
        <v>10041</v>
      </c>
      <c r="P2363" s="17">
        <v>45304</v>
      </c>
      <c r="Q2363" s="4">
        <v>0</v>
      </c>
    </row>
    <row r="2364" spans="1:17" ht="30" x14ac:dyDescent="0.25">
      <c r="A2364" s="2" t="s">
        <v>2411</v>
      </c>
      <c r="B2364" s="3" t="s">
        <v>5015</v>
      </c>
      <c r="C2364" s="3">
        <v>40</v>
      </c>
      <c r="D2364" s="46" t="str">
        <f>IF(Tabla1[[#This Row],[EDAD]]&lt;=35,"Adultos jóvenes 18 - 35 años",IF(C2364&gt;=36,"Adultos mayores 36 años en adelante"))</f>
        <v>Adultos mayores 36 años en adelante</v>
      </c>
      <c r="E2364" s="3" t="s">
        <v>5017</v>
      </c>
      <c r="F2364" s="3" t="s">
        <v>5029</v>
      </c>
      <c r="G2364" s="3" t="s">
        <v>5033</v>
      </c>
      <c r="H2364" s="3" t="s">
        <v>7434</v>
      </c>
      <c r="I2364" s="17">
        <v>45649</v>
      </c>
      <c r="J2364" s="18">
        <f>YEAR(Tabla1[[#This Row],[FECHA DE COMPRA]])</f>
        <v>2024</v>
      </c>
      <c r="K2364" s="19">
        <v>177.71</v>
      </c>
      <c r="L2364" s="20">
        <v>0.3</v>
      </c>
      <c r="M2364" s="19">
        <f>Tienda!$K804-Tienda!$K804*Tienda!$L804</f>
        <v>107.559</v>
      </c>
      <c r="N2364" s="3" t="s">
        <v>10039</v>
      </c>
      <c r="O2364" s="3" t="s">
        <v>10041</v>
      </c>
      <c r="P2364" s="17">
        <v>45304</v>
      </c>
      <c r="Q2364" s="4">
        <v>0</v>
      </c>
    </row>
    <row r="2365" spans="1:17" ht="30" x14ac:dyDescent="0.25">
      <c r="A2365" s="2" t="s">
        <v>2710</v>
      </c>
      <c r="B2365" s="3" t="s">
        <v>5015</v>
      </c>
      <c r="C2365" s="3">
        <v>39</v>
      </c>
      <c r="D2365" s="46" t="str">
        <f>IF(Tabla1[[#This Row],[EDAD]]&lt;=35,"Adultos jóvenes 18 - 35 años",IF(C2365&gt;=36,"Adultos mayores 36 años en adelante"))</f>
        <v>Adultos mayores 36 años en adelante</v>
      </c>
      <c r="E2365" s="3" t="s">
        <v>5020</v>
      </c>
      <c r="F2365" s="3" t="s">
        <v>5024</v>
      </c>
      <c r="G2365" s="3" t="s">
        <v>5036</v>
      </c>
      <c r="H2365" s="3" t="s">
        <v>7733</v>
      </c>
      <c r="I2365" s="17">
        <v>45649</v>
      </c>
      <c r="J2365" s="18">
        <f>YEAR(Tabla1[[#This Row],[FECHA DE COMPRA]])</f>
        <v>2024</v>
      </c>
      <c r="K2365" s="19">
        <v>57.54</v>
      </c>
      <c r="L2365" s="20">
        <v>0.1</v>
      </c>
      <c r="M2365" s="19">
        <f>Tienda!$K805-Tienda!$K805*Tienda!$L805</f>
        <v>110.733</v>
      </c>
      <c r="N2365" s="3" t="s">
        <v>10039</v>
      </c>
      <c r="O2365" s="3" t="s">
        <v>10041</v>
      </c>
      <c r="P2365" s="17">
        <v>45305</v>
      </c>
      <c r="Q2365" s="4">
        <v>0</v>
      </c>
    </row>
    <row r="2366" spans="1:17" ht="30" x14ac:dyDescent="0.25">
      <c r="A2366" s="2" t="s">
        <v>4116</v>
      </c>
      <c r="B2366" s="3" t="s">
        <v>5015</v>
      </c>
      <c r="C2366" s="3">
        <v>56</v>
      </c>
      <c r="D2366" s="46" t="str">
        <f>IF(Tabla1[[#This Row],[EDAD]]&lt;=35,"Adultos jóvenes 18 - 35 años",IF(C2366&gt;=36,"Adultos mayores 36 años en adelante"))</f>
        <v>Adultos mayores 36 años en adelante</v>
      </c>
      <c r="E2366" s="3" t="s">
        <v>5020</v>
      </c>
      <c r="F2366" s="3" t="s">
        <v>5028</v>
      </c>
      <c r="G2366" s="3" t="s">
        <v>5032</v>
      </c>
      <c r="H2366" s="3" t="s">
        <v>9139</v>
      </c>
      <c r="I2366" s="17">
        <v>45649</v>
      </c>
      <c r="J2366" s="18">
        <f>YEAR(Tabla1[[#This Row],[FECHA DE COMPRA]])</f>
        <v>2024</v>
      </c>
      <c r="K2366" s="19">
        <v>29.31</v>
      </c>
      <c r="L2366" s="20">
        <v>0</v>
      </c>
      <c r="M2366" s="19">
        <f>Tienda!$K806-Tienda!$K806*Tienda!$L806</f>
        <v>111.01</v>
      </c>
      <c r="N2366" s="3" t="s">
        <v>10039</v>
      </c>
      <c r="O2366" s="3" t="s">
        <v>10041</v>
      </c>
      <c r="P2366" s="17">
        <v>45306</v>
      </c>
      <c r="Q2366" s="4">
        <v>0</v>
      </c>
    </row>
    <row r="2367" spans="1:17" ht="30" x14ac:dyDescent="0.25">
      <c r="A2367" s="2" t="s">
        <v>2179</v>
      </c>
      <c r="B2367" s="3" t="s">
        <v>5015</v>
      </c>
      <c r="C2367" s="3">
        <v>41</v>
      </c>
      <c r="D2367" s="46" t="str">
        <f>IF(Tabla1[[#This Row],[EDAD]]&lt;=35,"Adultos jóvenes 18 - 35 años",IF(C2367&gt;=36,"Adultos mayores 36 años en adelante"))</f>
        <v>Adultos mayores 36 años en adelante</v>
      </c>
      <c r="E2367" s="3" t="s">
        <v>5023</v>
      </c>
      <c r="F2367" s="3" t="s">
        <v>5029</v>
      </c>
      <c r="G2367" s="3" t="s">
        <v>5033</v>
      </c>
      <c r="H2367" s="3" t="s">
        <v>7202</v>
      </c>
      <c r="I2367" s="17">
        <v>45649</v>
      </c>
      <c r="J2367" s="18">
        <f>YEAR(Tabla1[[#This Row],[FECHA DE COMPRA]])</f>
        <v>2024</v>
      </c>
      <c r="K2367" s="19">
        <v>32.65</v>
      </c>
      <c r="L2367" s="20">
        <v>0.1</v>
      </c>
      <c r="M2367" s="19">
        <f>Tienda!$K807-Tienda!$K807*Tienda!$L807</f>
        <v>111.517</v>
      </c>
      <c r="N2367" s="3" t="s">
        <v>10039</v>
      </c>
      <c r="O2367" s="3" t="s">
        <v>10041</v>
      </c>
      <c r="P2367" s="17">
        <v>45306</v>
      </c>
      <c r="Q2367" s="4">
        <v>0</v>
      </c>
    </row>
    <row r="2368" spans="1:17" ht="30" x14ac:dyDescent="0.25">
      <c r="A2368" s="2" t="s">
        <v>3501</v>
      </c>
      <c r="B2368" s="3" t="s">
        <v>5016</v>
      </c>
      <c r="C2368" s="3">
        <v>50</v>
      </c>
      <c r="D2368" s="46" t="str">
        <f>IF(Tabla1[[#This Row],[EDAD]]&lt;=35,"Adultos jóvenes 18 - 35 años",IF(C2368&gt;=36,"Adultos mayores 36 años en adelante"))</f>
        <v>Adultos mayores 36 años en adelante</v>
      </c>
      <c r="E2368" s="3" t="s">
        <v>5017</v>
      </c>
      <c r="F2368" s="3" t="s">
        <v>5024</v>
      </c>
      <c r="G2368" s="3" t="s">
        <v>5034</v>
      </c>
      <c r="H2368" s="3" t="s">
        <v>8524</v>
      </c>
      <c r="I2368" s="17">
        <v>45649</v>
      </c>
      <c r="J2368" s="18">
        <f>YEAR(Tabla1[[#This Row],[FECHA DE COMPRA]])</f>
        <v>2024</v>
      </c>
      <c r="K2368" s="19">
        <v>35.340000000000003</v>
      </c>
      <c r="L2368" s="20">
        <v>0</v>
      </c>
      <c r="M2368" s="19">
        <f>Tienda!$K808-Tienda!$K808*Tienda!$L808</f>
        <v>112.021</v>
      </c>
      <c r="N2368" s="3" t="s">
        <v>10039</v>
      </c>
      <c r="O2368" s="3" t="s">
        <v>10041</v>
      </c>
      <c r="P2368" s="17">
        <v>45306</v>
      </c>
      <c r="Q2368" s="4">
        <v>0</v>
      </c>
    </row>
    <row r="2369" spans="1:17" ht="30" x14ac:dyDescent="0.25">
      <c r="A2369" s="2" t="s">
        <v>1885</v>
      </c>
      <c r="B2369" s="3" t="s">
        <v>5015</v>
      </c>
      <c r="C2369" s="3">
        <v>63</v>
      </c>
      <c r="D2369" s="46" t="str">
        <f>IF(Tabla1[[#This Row],[EDAD]]&lt;=35,"Adultos jóvenes 18 - 35 años",IF(C2369&gt;=36,"Adultos mayores 36 años en adelante"))</f>
        <v>Adultos mayores 36 años en adelante</v>
      </c>
      <c r="E2369" s="3" t="s">
        <v>5020</v>
      </c>
      <c r="F2369" s="3" t="s">
        <v>5030</v>
      </c>
      <c r="G2369" s="3" t="s">
        <v>5036</v>
      </c>
      <c r="H2369" s="3" t="s">
        <v>6908</v>
      </c>
      <c r="I2369" s="17">
        <v>45649</v>
      </c>
      <c r="J2369" s="18">
        <f>YEAR(Tabla1[[#This Row],[FECHA DE COMPRA]])</f>
        <v>2024</v>
      </c>
      <c r="K2369" s="19">
        <v>142.88</v>
      </c>
      <c r="L2369" s="20">
        <v>0</v>
      </c>
      <c r="M2369" s="19">
        <f>Tienda!$K810-Tienda!$K810*Tienda!$L810</f>
        <v>112.78</v>
      </c>
      <c r="N2369" s="3" t="s">
        <v>10039</v>
      </c>
      <c r="O2369" s="3" t="s">
        <v>10041</v>
      </c>
      <c r="P2369" s="17">
        <v>45306</v>
      </c>
      <c r="Q2369" s="4">
        <v>0</v>
      </c>
    </row>
    <row r="2370" spans="1:17" ht="30" x14ac:dyDescent="0.25">
      <c r="A2370" s="2" t="s">
        <v>862</v>
      </c>
      <c r="B2370" s="3" t="s">
        <v>5016</v>
      </c>
      <c r="C2370" s="3">
        <v>54</v>
      </c>
      <c r="D2370" s="46" t="str">
        <f>IF(Tabla1[[#This Row],[EDAD]]&lt;=35,"Adultos jóvenes 18 - 35 años",IF(C2370&gt;=36,"Adultos mayores 36 años en adelante"))</f>
        <v>Adultos mayores 36 años en adelante</v>
      </c>
      <c r="E2370" s="3" t="s">
        <v>5021</v>
      </c>
      <c r="F2370" s="3" t="s">
        <v>5027</v>
      </c>
      <c r="G2370" s="3" t="s">
        <v>5033</v>
      </c>
      <c r="H2370" s="3" t="s">
        <v>5885</v>
      </c>
      <c r="I2370" s="17">
        <v>45628</v>
      </c>
      <c r="J2370" s="18">
        <f>YEAR(Tabla1[[#This Row],[FECHA DE COMPRA]])</f>
        <v>2024</v>
      </c>
      <c r="K2370" s="19">
        <v>115.64</v>
      </c>
      <c r="L2370" s="20">
        <v>0</v>
      </c>
      <c r="M2370" s="19">
        <f>Tienda!$K812-Tienda!$K812*Tienda!$L812</f>
        <v>114.34400000000001</v>
      </c>
      <c r="N2370" s="3" t="s">
        <v>10039</v>
      </c>
      <c r="O2370" s="3" t="s">
        <v>10041</v>
      </c>
      <c r="P2370" s="17">
        <v>45628</v>
      </c>
      <c r="Q2370" s="4">
        <v>0</v>
      </c>
    </row>
    <row r="2371" spans="1:17" ht="30" x14ac:dyDescent="0.25">
      <c r="A2371" s="2" t="s">
        <v>4857</v>
      </c>
      <c r="B2371" s="3" t="s">
        <v>5015</v>
      </c>
      <c r="C2371" s="3">
        <v>64</v>
      </c>
      <c r="D2371" s="46" t="str">
        <f>IF(Tabla1[[#This Row],[EDAD]]&lt;=35,"Adultos jóvenes 18 - 35 años",IF(C2371&gt;=36,"Adultos mayores 36 años en adelante"))</f>
        <v>Adultos mayores 36 años en adelante</v>
      </c>
      <c r="E2371" s="3" t="s">
        <v>5018</v>
      </c>
      <c r="F2371" s="3" t="s">
        <v>5027</v>
      </c>
      <c r="G2371" s="3" t="s">
        <v>5037</v>
      </c>
      <c r="H2371" s="3" t="s">
        <v>9880</v>
      </c>
      <c r="I2371" s="17">
        <v>45629</v>
      </c>
      <c r="J2371" s="18">
        <f>YEAR(Tabla1[[#This Row],[FECHA DE COMPRA]])</f>
        <v>2024</v>
      </c>
      <c r="K2371" s="19">
        <v>38.83</v>
      </c>
      <c r="L2371" s="20">
        <v>0.3</v>
      </c>
      <c r="M2371" s="19">
        <f>Tienda!$K813-Tienda!$K813*Tienda!$L813</f>
        <v>114.56800000000001</v>
      </c>
      <c r="N2371" s="3" t="s">
        <v>10039</v>
      </c>
      <c r="O2371" s="3" t="s">
        <v>10041</v>
      </c>
      <c r="P2371" s="17">
        <v>45629</v>
      </c>
      <c r="Q2371" s="4">
        <v>0</v>
      </c>
    </row>
    <row r="2372" spans="1:17" ht="30" x14ac:dyDescent="0.25">
      <c r="A2372" s="2" t="s">
        <v>2752</v>
      </c>
      <c r="B2372" s="3" t="s">
        <v>5015</v>
      </c>
      <c r="C2372" s="3">
        <v>59</v>
      </c>
      <c r="D2372" s="46" t="str">
        <f>IF(Tabla1[[#This Row],[EDAD]]&lt;=35,"Adultos jóvenes 18 - 35 años",IF(C2372&gt;=36,"Adultos mayores 36 años en adelante"))</f>
        <v>Adultos mayores 36 años en adelante</v>
      </c>
      <c r="E2372" s="3" t="s">
        <v>5022</v>
      </c>
      <c r="F2372" s="3" t="s">
        <v>5028</v>
      </c>
      <c r="G2372" s="3" t="s">
        <v>5035</v>
      </c>
      <c r="H2372" s="3" t="s">
        <v>7775</v>
      </c>
      <c r="I2372" s="17">
        <v>45629</v>
      </c>
      <c r="J2372" s="18">
        <f>YEAR(Tabla1[[#This Row],[FECHA DE COMPRA]])</f>
        <v>2024</v>
      </c>
      <c r="K2372" s="19">
        <v>161.46</v>
      </c>
      <c r="L2372" s="20">
        <v>0.3</v>
      </c>
      <c r="M2372" s="19">
        <f>Tienda!$K814-Tienda!$K814*Tienda!$L814</f>
        <v>117.229</v>
      </c>
      <c r="N2372" s="3" t="s">
        <v>10039</v>
      </c>
      <c r="O2372" s="3" t="s">
        <v>10041</v>
      </c>
      <c r="P2372" s="17">
        <v>45629</v>
      </c>
      <c r="Q2372" s="4">
        <v>0</v>
      </c>
    </row>
    <row r="2373" spans="1:17" ht="30" x14ac:dyDescent="0.25">
      <c r="A2373" s="2" t="s">
        <v>2040</v>
      </c>
      <c r="B2373" s="3" t="s">
        <v>5016</v>
      </c>
      <c r="C2373" s="3">
        <v>59</v>
      </c>
      <c r="D2373" s="46" t="str">
        <f>IF(Tabla1[[#This Row],[EDAD]]&lt;=35,"Adultos jóvenes 18 - 35 años",IF(C2373&gt;=36,"Adultos mayores 36 años en adelante"))</f>
        <v>Adultos mayores 36 años en adelante</v>
      </c>
      <c r="E2373" s="3" t="s">
        <v>5021</v>
      </c>
      <c r="F2373" s="3" t="s">
        <v>5026</v>
      </c>
      <c r="G2373" s="3" t="s">
        <v>5037</v>
      </c>
      <c r="H2373" s="3" t="s">
        <v>7063</v>
      </c>
      <c r="I2373" s="17">
        <v>45630</v>
      </c>
      <c r="J2373" s="18">
        <f>YEAR(Tabla1[[#This Row],[FECHA DE COMPRA]])</f>
        <v>2024</v>
      </c>
      <c r="K2373" s="19">
        <v>126.05</v>
      </c>
      <c r="L2373" s="20">
        <v>0.3</v>
      </c>
      <c r="M2373" s="19">
        <f>Tienda!$K815-Tienda!$K815*Tienda!$L815</f>
        <v>119.82600000000001</v>
      </c>
      <c r="N2373" s="3" t="s">
        <v>10039</v>
      </c>
      <c r="O2373" s="3" t="s">
        <v>10041</v>
      </c>
      <c r="P2373" s="17">
        <v>45630</v>
      </c>
      <c r="Q2373" s="4">
        <v>0</v>
      </c>
    </row>
    <row r="2374" spans="1:17" ht="30" x14ac:dyDescent="0.25">
      <c r="A2374" s="2" t="s">
        <v>3494</v>
      </c>
      <c r="B2374" s="3" t="s">
        <v>5016</v>
      </c>
      <c r="C2374" s="3">
        <v>52</v>
      </c>
      <c r="D2374" s="46" t="str">
        <f>IF(Tabla1[[#This Row],[EDAD]]&lt;=35,"Adultos jóvenes 18 - 35 años",IF(C2374&gt;=36,"Adultos mayores 36 años en adelante"))</f>
        <v>Adultos mayores 36 años en adelante</v>
      </c>
      <c r="E2374" s="3" t="s">
        <v>5017</v>
      </c>
      <c r="F2374" s="3" t="s">
        <v>5030</v>
      </c>
      <c r="G2374" s="3" t="s">
        <v>5037</v>
      </c>
      <c r="H2374" s="3" t="s">
        <v>8517</v>
      </c>
      <c r="I2374" s="17">
        <v>45630</v>
      </c>
      <c r="J2374" s="18">
        <f>YEAR(Tabla1[[#This Row],[FECHA DE COMPRA]])</f>
        <v>2024</v>
      </c>
      <c r="K2374" s="19">
        <v>170.29</v>
      </c>
      <c r="L2374" s="20">
        <v>0.2</v>
      </c>
      <c r="M2374" s="19">
        <f>Tienda!$K816-Tienda!$K816*Tienda!$L816</f>
        <v>119.99</v>
      </c>
      <c r="N2374" s="3" t="s">
        <v>10039</v>
      </c>
      <c r="O2374" s="3" t="s">
        <v>10041</v>
      </c>
      <c r="P2374" s="17">
        <v>45630</v>
      </c>
      <c r="Q2374" s="4">
        <v>0</v>
      </c>
    </row>
    <row r="2375" spans="1:17" ht="30" x14ac:dyDescent="0.25">
      <c r="A2375" s="2" t="s">
        <v>4498</v>
      </c>
      <c r="B2375" s="3" t="s">
        <v>5015</v>
      </c>
      <c r="C2375" s="3">
        <v>46</v>
      </c>
      <c r="D2375" s="46" t="str">
        <f>IF(Tabla1[[#This Row],[EDAD]]&lt;=35,"Adultos jóvenes 18 - 35 años",IF(C2375&gt;=36,"Adultos mayores 36 años en adelante"))</f>
        <v>Adultos mayores 36 años en adelante</v>
      </c>
      <c r="E2375" s="3" t="s">
        <v>5021</v>
      </c>
      <c r="F2375" s="3" t="s">
        <v>5027</v>
      </c>
      <c r="G2375" s="3" t="s">
        <v>5032</v>
      </c>
      <c r="H2375" s="3" t="s">
        <v>9521</v>
      </c>
      <c r="I2375" s="17">
        <v>45630</v>
      </c>
      <c r="J2375" s="18">
        <f>YEAR(Tabla1[[#This Row],[FECHA DE COMPRA]])</f>
        <v>2024</v>
      </c>
      <c r="K2375" s="19">
        <v>176.95</v>
      </c>
      <c r="L2375" s="20">
        <v>0.1</v>
      </c>
      <c r="M2375" s="19">
        <f>Tienda!$K817-Tienda!$K817*Tienda!$L817</f>
        <v>120.996</v>
      </c>
      <c r="N2375" s="3" t="s">
        <v>10039</v>
      </c>
      <c r="O2375" s="3" t="s">
        <v>10041</v>
      </c>
      <c r="P2375" s="17">
        <v>45630</v>
      </c>
      <c r="Q2375" s="4">
        <v>0</v>
      </c>
    </row>
    <row r="2376" spans="1:17" ht="30" x14ac:dyDescent="0.25">
      <c r="A2376" s="2" t="s">
        <v>3893</v>
      </c>
      <c r="B2376" s="3" t="s">
        <v>5015</v>
      </c>
      <c r="C2376" s="3">
        <v>52</v>
      </c>
      <c r="D2376" s="46" t="str">
        <f>IF(Tabla1[[#This Row],[EDAD]]&lt;=35,"Adultos jóvenes 18 - 35 años",IF(C2376&gt;=36,"Adultos mayores 36 años en adelante"))</f>
        <v>Adultos mayores 36 años en adelante</v>
      </c>
      <c r="E2376" s="3" t="s">
        <v>5022</v>
      </c>
      <c r="F2376" s="3" t="s">
        <v>5024</v>
      </c>
      <c r="G2376" s="3" t="s">
        <v>5032</v>
      </c>
      <c r="H2376" s="3" t="s">
        <v>8916</v>
      </c>
      <c r="I2376" s="17">
        <v>45632</v>
      </c>
      <c r="J2376" s="18">
        <f>YEAR(Tabla1[[#This Row],[FECHA DE COMPRA]])</f>
        <v>2024</v>
      </c>
      <c r="K2376" s="19">
        <v>29.79</v>
      </c>
      <c r="L2376" s="20">
        <v>0.3</v>
      </c>
      <c r="M2376" s="19">
        <f>Tienda!$K818-Tienda!$K818*Tienda!$L818</f>
        <v>121.28800000000001</v>
      </c>
      <c r="N2376" s="3" t="s">
        <v>10039</v>
      </c>
      <c r="O2376" s="3" t="s">
        <v>10041</v>
      </c>
      <c r="P2376" s="17">
        <v>45632</v>
      </c>
      <c r="Q2376" s="4">
        <v>0</v>
      </c>
    </row>
    <row r="2377" spans="1:17" ht="30" x14ac:dyDescent="0.25">
      <c r="A2377" s="2" t="s">
        <v>2893</v>
      </c>
      <c r="B2377" s="3" t="s">
        <v>5015</v>
      </c>
      <c r="C2377" s="3">
        <v>60</v>
      </c>
      <c r="D2377" s="46" t="str">
        <f>IF(Tabla1[[#This Row],[EDAD]]&lt;=35,"Adultos jóvenes 18 - 35 años",IF(C2377&gt;=36,"Adultos mayores 36 años en adelante"))</f>
        <v>Adultos mayores 36 años en adelante</v>
      </c>
      <c r="E2377" s="3" t="s">
        <v>5017</v>
      </c>
      <c r="F2377" s="3" t="s">
        <v>5029</v>
      </c>
      <c r="G2377" s="3" t="s">
        <v>5033</v>
      </c>
      <c r="H2377" s="3" t="s">
        <v>7916</v>
      </c>
      <c r="I2377" s="17">
        <v>45632</v>
      </c>
      <c r="J2377" s="18">
        <f>YEAR(Tabla1[[#This Row],[FECHA DE COMPRA]])</f>
        <v>2024</v>
      </c>
      <c r="K2377" s="19">
        <v>120.1</v>
      </c>
      <c r="L2377" s="20">
        <v>0.1</v>
      </c>
      <c r="M2377" s="19">
        <f>Tienda!$K819-Tienda!$K819*Tienda!$L819</f>
        <v>121.45</v>
      </c>
      <c r="N2377" s="3" t="s">
        <v>10039</v>
      </c>
      <c r="O2377" s="3" t="s">
        <v>10041</v>
      </c>
      <c r="P2377" s="17">
        <v>45632</v>
      </c>
      <c r="Q2377" s="4">
        <v>0</v>
      </c>
    </row>
    <row r="2378" spans="1:17" ht="30" x14ac:dyDescent="0.25">
      <c r="A2378" s="2" t="s">
        <v>2715</v>
      </c>
      <c r="B2378" s="3" t="s">
        <v>5016</v>
      </c>
      <c r="C2378" s="3">
        <v>55</v>
      </c>
      <c r="D2378" s="46" t="str">
        <f>IF(Tabla1[[#This Row],[EDAD]]&lt;=35,"Adultos jóvenes 18 - 35 años",IF(C2378&gt;=36,"Adultos mayores 36 años en adelante"))</f>
        <v>Adultos mayores 36 años en adelante</v>
      </c>
      <c r="E2378" s="3" t="s">
        <v>5021</v>
      </c>
      <c r="F2378" s="3" t="s">
        <v>5027</v>
      </c>
      <c r="G2378" s="3" t="s">
        <v>5037</v>
      </c>
      <c r="H2378" s="3" t="s">
        <v>7738</v>
      </c>
      <c r="I2378" s="17">
        <v>45632</v>
      </c>
      <c r="J2378" s="18">
        <f>YEAR(Tabla1[[#This Row],[FECHA DE COMPRA]])</f>
        <v>2024</v>
      </c>
      <c r="K2378" s="19">
        <v>161.69999999999999</v>
      </c>
      <c r="L2378" s="20">
        <v>0.3</v>
      </c>
      <c r="M2378" s="19">
        <f>Tienda!$K821-Tienda!$K821*Tienda!$L821</f>
        <v>122.79399999999998</v>
      </c>
      <c r="N2378" s="3" t="s">
        <v>10039</v>
      </c>
      <c r="O2378" s="3" t="s">
        <v>10041</v>
      </c>
      <c r="P2378" s="17">
        <v>45632</v>
      </c>
      <c r="Q2378" s="4">
        <v>0</v>
      </c>
    </row>
    <row r="2379" spans="1:17" ht="30" x14ac:dyDescent="0.25">
      <c r="A2379" s="2" t="s">
        <v>2474</v>
      </c>
      <c r="B2379" s="3" t="s">
        <v>5015</v>
      </c>
      <c r="C2379" s="3">
        <v>43</v>
      </c>
      <c r="D2379" s="46" t="str">
        <f>IF(Tabla1[[#This Row],[EDAD]]&lt;=35,"Adultos jóvenes 18 - 35 años",IF(C2379&gt;=36,"Adultos mayores 36 años en adelante"))</f>
        <v>Adultos mayores 36 años en adelante</v>
      </c>
      <c r="E2379" s="3" t="s">
        <v>5018</v>
      </c>
      <c r="F2379" s="3" t="s">
        <v>5030</v>
      </c>
      <c r="G2379" s="3" t="s">
        <v>5035</v>
      </c>
      <c r="H2379" s="3" t="s">
        <v>7497</v>
      </c>
      <c r="I2379" s="17">
        <v>45633</v>
      </c>
      <c r="J2379" s="18">
        <f>YEAR(Tabla1[[#This Row],[FECHA DE COMPRA]])</f>
        <v>2024</v>
      </c>
      <c r="K2379" s="19">
        <v>162.15</v>
      </c>
      <c r="L2379" s="20">
        <v>0</v>
      </c>
      <c r="M2379" s="19">
        <f>Tienda!$K823-Tienda!$K823*Tienda!$L823</f>
        <v>123.928</v>
      </c>
      <c r="N2379" s="3" t="s">
        <v>10039</v>
      </c>
      <c r="O2379" s="3" t="s">
        <v>10041</v>
      </c>
      <c r="P2379" s="17">
        <v>45633</v>
      </c>
      <c r="Q2379" s="4">
        <v>0</v>
      </c>
    </row>
    <row r="2380" spans="1:17" ht="30" x14ac:dyDescent="0.25">
      <c r="A2380" s="2" t="s">
        <v>1928</v>
      </c>
      <c r="B2380" s="3" t="s">
        <v>5015</v>
      </c>
      <c r="C2380" s="3">
        <v>43</v>
      </c>
      <c r="D2380" s="46" t="str">
        <f>IF(Tabla1[[#This Row],[EDAD]]&lt;=35,"Adultos jóvenes 18 - 35 años",IF(C2380&gt;=36,"Adultos mayores 36 años en adelante"))</f>
        <v>Adultos mayores 36 años en adelante</v>
      </c>
      <c r="E2380" s="3" t="s">
        <v>5020</v>
      </c>
      <c r="F2380" s="3" t="s">
        <v>5027</v>
      </c>
      <c r="G2380" s="3" t="s">
        <v>5031</v>
      </c>
      <c r="H2380" s="3" t="s">
        <v>6951</v>
      </c>
      <c r="I2380" s="17">
        <v>45634</v>
      </c>
      <c r="J2380" s="18">
        <f>YEAR(Tabla1[[#This Row],[FECHA DE COMPRA]])</f>
        <v>2024</v>
      </c>
      <c r="K2380" s="19">
        <v>118.57</v>
      </c>
      <c r="L2380" s="20">
        <v>0.2</v>
      </c>
      <c r="M2380" s="19">
        <f>Tienda!$K824-Tienda!$K824*Tienda!$L824</f>
        <v>124.67999999999999</v>
      </c>
      <c r="N2380" s="3" t="s">
        <v>10039</v>
      </c>
      <c r="O2380" s="3" t="s">
        <v>10041</v>
      </c>
      <c r="P2380" s="17">
        <v>45634</v>
      </c>
      <c r="Q2380" s="4">
        <v>0</v>
      </c>
    </row>
    <row r="2381" spans="1:17" ht="30" x14ac:dyDescent="0.25">
      <c r="A2381" s="2" t="s">
        <v>1735</v>
      </c>
      <c r="B2381" s="3" t="s">
        <v>5015</v>
      </c>
      <c r="C2381" s="3">
        <v>38</v>
      </c>
      <c r="D2381" s="46" t="str">
        <f>IF(Tabla1[[#This Row],[EDAD]]&lt;=35,"Adultos jóvenes 18 - 35 años",IF(C2381&gt;=36,"Adultos mayores 36 años en adelante"))</f>
        <v>Adultos mayores 36 años en adelante</v>
      </c>
      <c r="E2381" s="3" t="s">
        <v>5022</v>
      </c>
      <c r="F2381" s="3" t="s">
        <v>5029</v>
      </c>
      <c r="G2381" s="3" t="s">
        <v>5035</v>
      </c>
      <c r="H2381" s="3" t="s">
        <v>6758</v>
      </c>
      <c r="I2381" s="17">
        <v>45634</v>
      </c>
      <c r="J2381" s="18">
        <f>YEAR(Tabla1[[#This Row],[FECHA DE COMPRA]])</f>
        <v>2024</v>
      </c>
      <c r="K2381" s="19">
        <v>143.01</v>
      </c>
      <c r="L2381" s="20">
        <v>0.3</v>
      </c>
      <c r="M2381" s="19">
        <f>Tienda!$K825-Tienda!$K825*Tienda!$L825</f>
        <v>125.52000000000001</v>
      </c>
      <c r="N2381" s="3" t="s">
        <v>10039</v>
      </c>
      <c r="O2381" s="3" t="s">
        <v>10041</v>
      </c>
      <c r="P2381" s="17">
        <v>45634</v>
      </c>
      <c r="Q2381" s="4">
        <v>0</v>
      </c>
    </row>
    <row r="2382" spans="1:17" ht="30" x14ac:dyDescent="0.25">
      <c r="A2382" s="2" t="s">
        <v>3886</v>
      </c>
      <c r="B2382" s="3" t="s">
        <v>5015</v>
      </c>
      <c r="C2382" s="3">
        <v>61</v>
      </c>
      <c r="D2382" s="46" t="str">
        <f>IF(Tabla1[[#This Row],[EDAD]]&lt;=35,"Adultos jóvenes 18 - 35 años",IF(C2382&gt;=36,"Adultos mayores 36 años en adelante"))</f>
        <v>Adultos mayores 36 años en adelante</v>
      </c>
      <c r="E2382" s="3" t="s">
        <v>5022</v>
      </c>
      <c r="F2382" s="3" t="s">
        <v>5025</v>
      </c>
      <c r="G2382" s="3" t="s">
        <v>5035</v>
      </c>
      <c r="H2382" s="3" t="s">
        <v>8909</v>
      </c>
      <c r="I2382" s="17">
        <v>45635</v>
      </c>
      <c r="J2382" s="18">
        <f>YEAR(Tabla1[[#This Row],[FECHA DE COMPRA]])</f>
        <v>2024</v>
      </c>
      <c r="K2382" s="19">
        <v>23.35</v>
      </c>
      <c r="L2382" s="20">
        <v>0.1</v>
      </c>
      <c r="M2382" s="19">
        <f>Tienda!$K827-Tienda!$K827*Tienda!$L827</f>
        <v>126.504</v>
      </c>
      <c r="N2382" s="3" t="s">
        <v>10039</v>
      </c>
      <c r="O2382" s="3" t="s">
        <v>10041</v>
      </c>
      <c r="P2382" s="17">
        <v>45635</v>
      </c>
      <c r="Q2382" s="4">
        <v>0</v>
      </c>
    </row>
    <row r="2383" spans="1:17" ht="30" x14ac:dyDescent="0.25">
      <c r="A2383" s="2" t="s">
        <v>3506</v>
      </c>
      <c r="B2383" s="3" t="s">
        <v>5015</v>
      </c>
      <c r="C2383" s="3">
        <v>65</v>
      </c>
      <c r="D2383" s="46" t="str">
        <f>IF(Tabla1[[#This Row],[EDAD]]&lt;=35,"Adultos jóvenes 18 - 35 años",IF(C2383&gt;=36,"Adultos mayores 36 años en adelante"))</f>
        <v>Adultos mayores 36 años en adelante</v>
      </c>
      <c r="E2383" s="3" t="s">
        <v>5020</v>
      </c>
      <c r="F2383" s="3" t="s">
        <v>5024</v>
      </c>
      <c r="G2383" s="3" t="s">
        <v>5036</v>
      </c>
      <c r="H2383" s="3" t="s">
        <v>8529</v>
      </c>
      <c r="I2383" s="17">
        <v>45635</v>
      </c>
      <c r="J2383" s="18">
        <f>YEAR(Tabla1[[#This Row],[FECHA DE COMPRA]])</f>
        <v>2024</v>
      </c>
      <c r="K2383" s="19">
        <v>82.73</v>
      </c>
      <c r="L2383" s="20">
        <v>0.1</v>
      </c>
      <c r="M2383" s="19">
        <f>Tienda!$K828-Tienda!$K828*Tienda!$L828</f>
        <v>126.60900000000001</v>
      </c>
      <c r="N2383" s="3" t="s">
        <v>10039</v>
      </c>
      <c r="O2383" s="3" t="s">
        <v>10041</v>
      </c>
      <c r="P2383" s="17">
        <v>45635</v>
      </c>
      <c r="Q2383" s="4">
        <v>0</v>
      </c>
    </row>
    <row r="2384" spans="1:17" ht="30" x14ac:dyDescent="0.25">
      <c r="A2384" s="2" t="s">
        <v>4900</v>
      </c>
      <c r="B2384" s="3" t="s">
        <v>5015</v>
      </c>
      <c r="C2384" s="3">
        <v>64</v>
      </c>
      <c r="D2384" s="46" t="str">
        <f>IF(Tabla1[[#This Row],[EDAD]]&lt;=35,"Adultos jóvenes 18 - 35 años",IF(C2384&gt;=36,"Adultos mayores 36 años en adelante"))</f>
        <v>Adultos mayores 36 años en adelante</v>
      </c>
      <c r="E2384" s="3" t="s">
        <v>5022</v>
      </c>
      <c r="F2384" s="3" t="s">
        <v>5025</v>
      </c>
      <c r="G2384" s="3" t="s">
        <v>5033</v>
      </c>
      <c r="H2384" s="3" t="s">
        <v>9923</v>
      </c>
      <c r="I2384" s="17">
        <v>45636</v>
      </c>
      <c r="J2384" s="18">
        <f>YEAR(Tabla1[[#This Row],[FECHA DE COMPRA]])</f>
        <v>2024</v>
      </c>
      <c r="K2384" s="19">
        <v>97.77</v>
      </c>
      <c r="L2384" s="20">
        <v>0.1</v>
      </c>
      <c r="M2384" s="19">
        <f>Tienda!$K830-Tienda!$K830*Tienda!$L830</f>
        <v>128.47200000000001</v>
      </c>
      <c r="N2384" s="3" t="s">
        <v>10039</v>
      </c>
      <c r="O2384" s="3" t="s">
        <v>10041</v>
      </c>
      <c r="P2384" s="17">
        <v>45636</v>
      </c>
      <c r="Q2384" s="4">
        <v>0</v>
      </c>
    </row>
    <row r="2385" spans="1:17" ht="30" x14ac:dyDescent="0.25">
      <c r="A2385" s="2" t="s">
        <v>2231</v>
      </c>
      <c r="B2385" s="3" t="s">
        <v>5015</v>
      </c>
      <c r="C2385" s="3">
        <v>55</v>
      </c>
      <c r="D2385" s="46" t="str">
        <f>IF(Tabla1[[#This Row],[EDAD]]&lt;=35,"Adultos jóvenes 18 - 35 años",IF(C2385&gt;=36,"Adultos mayores 36 años en adelante"))</f>
        <v>Adultos mayores 36 años en adelante</v>
      </c>
      <c r="E2385" s="3" t="s">
        <v>5020</v>
      </c>
      <c r="F2385" s="3" t="s">
        <v>5029</v>
      </c>
      <c r="G2385" s="3" t="s">
        <v>5037</v>
      </c>
      <c r="H2385" s="3" t="s">
        <v>7254</v>
      </c>
      <c r="I2385" s="17">
        <v>45637</v>
      </c>
      <c r="J2385" s="18">
        <f>YEAR(Tabla1[[#This Row],[FECHA DE COMPRA]])</f>
        <v>2024</v>
      </c>
      <c r="K2385" s="19">
        <v>47.02</v>
      </c>
      <c r="L2385" s="20">
        <v>0.1</v>
      </c>
      <c r="M2385" s="19">
        <f>Tienda!$K832-Tienda!$K832*Tienda!$L832</f>
        <v>129.822</v>
      </c>
      <c r="N2385" s="3" t="s">
        <v>10039</v>
      </c>
      <c r="O2385" s="3" t="s">
        <v>10041</v>
      </c>
      <c r="P2385" s="17">
        <v>45637</v>
      </c>
      <c r="Q2385" s="4">
        <v>0</v>
      </c>
    </row>
    <row r="2386" spans="1:17" ht="30" x14ac:dyDescent="0.25">
      <c r="A2386" s="2" t="s">
        <v>2751</v>
      </c>
      <c r="B2386" s="3" t="s">
        <v>5015</v>
      </c>
      <c r="C2386" s="3">
        <v>62</v>
      </c>
      <c r="D2386" s="46" t="str">
        <f>IF(Tabla1[[#This Row],[EDAD]]&lt;=35,"Adultos jóvenes 18 - 35 años",IF(C2386&gt;=36,"Adultos mayores 36 años en adelante"))</f>
        <v>Adultos mayores 36 años en adelante</v>
      </c>
      <c r="E2386" s="3" t="s">
        <v>5023</v>
      </c>
      <c r="F2386" s="3" t="s">
        <v>5030</v>
      </c>
      <c r="G2386" s="3" t="s">
        <v>5033</v>
      </c>
      <c r="H2386" s="3" t="s">
        <v>7774</v>
      </c>
      <c r="I2386" s="17">
        <v>45637</v>
      </c>
      <c r="J2386" s="18">
        <f>YEAR(Tabla1[[#This Row],[FECHA DE COMPRA]])</f>
        <v>2024</v>
      </c>
      <c r="K2386" s="19">
        <v>159.69</v>
      </c>
      <c r="L2386" s="20">
        <v>0.3</v>
      </c>
      <c r="M2386" s="19">
        <f>Tienda!$K834-Tienda!$K834*Tienda!$L834</f>
        <v>130.88</v>
      </c>
      <c r="N2386" s="3" t="s">
        <v>10039</v>
      </c>
      <c r="O2386" s="3" t="s">
        <v>10041</v>
      </c>
      <c r="P2386" s="17">
        <v>45637</v>
      </c>
      <c r="Q2386" s="4">
        <v>0</v>
      </c>
    </row>
    <row r="2387" spans="1:17" ht="30" x14ac:dyDescent="0.25">
      <c r="A2387" s="2" t="s">
        <v>1691</v>
      </c>
      <c r="B2387" s="3" t="s">
        <v>5015</v>
      </c>
      <c r="C2387" s="3">
        <v>57</v>
      </c>
      <c r="D2387" s="46" t="str">
        <f>IF(Tabla1[[#This Row],[EDAD]]&lt;=35,"Adultos jóvenes 18 - 35 años",IF(C2387&gt;=36,"Adultos mayores 36 años en adelante"))</f>
        <v>Adultos mayores 36 años en adelante</v>
      </c>
      <c r="E2387" s="3" t="s">
        <v>5022</v>
      </c>
      <c r="F2387" s="3" t="s">
        <v>5030</v>
      </c>
      <c r="G2387" s="3" t="s">
        <v>5031</v>
      </c>
      <c r="H2387" s="3" t="s">
        <v>6714</v>
      </c>
      <c r="I2387" s="17">
        <v>45637</v>
      </c>
      <c r="J2387" s="18">
        <f>YEAR(Tabla1[[#This Row],[FECHA DE COMPRA]])</f>
        <v>2024</v>
      </c>
      <c r="K2387" s="19">
        <v>193.6</v>
      </c>
      <c r="L2387" s="20">
        <v>0.3</v>
      </c>
      <c r="M2387" s="19">
        <f>Tienda!$K835-Tienda!$K835*Tienda!$L835</f>
        <v>132.77699999999999</v>
      </c>
      <c r="N2387" s="3" t="s">
        <v>10039</v>
      </c>
      <c r="O2387" s="3" t="s">
        <v>10041</v>
      </c>
      <c r="P2387" s="17">
        <v>45637</v>
      </c>
      <c r="Q2387" s="4">
        <v>0</v>
      </c>
    </row>
    <row r="2388" spans="1:17" ht="30" x14ac:dyDescent="0.25">
      <c r="A2388" s="2" t="s">
        <v>2992</v>
      </c>
      <c r="B2388" s="3" t="s">
        <v>5016</v>
      </c>
      <c r="C2388" s="3">
        <v>48</v>
      </c>
      <c r="D2388" s="46" t="str">
        <f>IF(Tabla1[[#This Row],[EDAD]]&lt;=35,"Adultos jóvenes 18 - 35 años",IF(C2388&gt;=36,"Adultos mayores 36 años en adelante"))</f>
        <v>Adultos mayores 36 años en adelante</v>
      </c>
      <c r="E2388" s="3" t="s">
        <v>5019</v>
      </c>
      <c r="F2388" s="3" t="s">
        <v>5025</v>
      </c>
      <c r="G2388" s="3" t="s">
        <v>5034</v>
      </c>
      <c r="H2388" s="3" t="s">
        <v>8015</v>
      </c>
      <c r="I2388" s="17">
        <v>45638</v>
      </c>
      <c r="J2388" s="18">
        <f>YEAR(Tabla1[[#This Row],[FECHA DE COMPRA]])</f>
        <v>2024</v>
      </c>
      <c r="K2388" s="19">
        <v>50.63</v>
      </c>
      <c r="L2388" s="20">
        <v>0.1</v>
      </c>
      <c r="M2388" s="19">
        <f>Tienda!$K836-Tienda!$K836*Tienda!$L836</f>
        <v>134.51900000000001</v>
      </c>
      <c r="N2388" s="3" t="s">
        <v>10039</v>
      </c>
      <c r="O2388" s="3" t="s">
        <v>10041</v>
      </c>
      <c r="P2388" s="17">
        <v>45638</v>
      </c>
      <c r="Q2388" s="4">
        <v>0</v>
      </c>
    </row>
    <row r="2389" spans="1:17" ht="30" x14ac:dyDescent="0.25">
      <c r="A2389" s="2" t="s">
        <v>2443</v>
      </c>
      <c r="B2389" s="3" t="s">
        <v>5016</v>
      </c>
      <c r="C2389" s="3">
        <v>49</v>
      </c>
      <c r="D2389" s="46" t="str">
        <f>IF(Tabla1[[#This Row],[EDAD]]&lt;=35,"Adultos jóvenes 18 - 35 años",IF(C2389&gt;=36,"Adultos mayores 36 años en adelante"))</f>
        <v>Adultos mayores 36 años en adelante</v>
      </c>
      <c r="E2389" s="3" t="s">
        <v>5021</v>
      </c>
      <c r="F2389" s="3" t="s">
        <v>5027</v>
      </c>
      <c r="G2389" s="3" t="s">
        <v>5031</v>
      </c>
      <c r="H2389" s="3" t="s">
        <v>7466</v>
      </c>
      <c r="I2389" s="17">
        <v>45638</v>
      </c>
      <c r="J2389" s="18">
        <f>YEAR(Tabla1[[#This Row],[FECHA DE COMPRA]])</f>
        <v>2024</v>
      </c>
      <c r="K2389" s="19">
        <v>71.790000000000006</v>
      </c>
      <c r="L2389" s="20">
        <v>0</v>
      </c>
      <c r="M2389" s="19">
        <f>Tienda!$K837-Tienda!$K837*Tienda!$L837</f>
        <v>135.12</v>
      </c>
      <c r="N2389" s="3" t="s">
        <v>10039</v>
      </c>
      <c r="O2389" s="3" t="s">
        <v>10041</v>
      </c>
      <c r="P2389" s="17">
        <v>45638</v>
      </c>
      <c r="Q2389" s="4">
        <v>0</v>
      </c>
    </row>
    <row r="2390" spans="1:17" ht="30" x14ac:dyDescent="0.25">
      <c r="A2390" s="2" t="s">
        <v>382</v>
      </c>
      <c r="B2390" s="3" t="s">
        <v>5015</v>
      </c>
      <c r="C2390" s="3">
        <v>43</v>
      </c>
      <c r="D2390" s="46" t="str">
        <f>IF(Tabla1[[#This Row],[EDAD]]&lt;=35,"Adultos jóvenes 18 - 35 años",IF(C2390&gt;=36,"Adultos mayores 36 años en adelante"))</f>
        <v>Adultos mayores 36 años en adelante</v>
      </c>
      <c r="E2390" s="3" t="s">
        <v>5020</v>
      </c>
      <c r="F2390" s="3" t="s">
        <v>5028</v>
      </c>
      <c r="G2390" s="3" t="s">
        <v>5036</v>
      </c>
      <c r="H2390" s="3" t="s">
        <v>5405</v>
      </c>
      <c r="I2390" s="17">
        <v>45638</v>
      </c>
      <c r="J2390" s="18">
        <f>YEAR(Tabla1[[#This Row],[FECHA DE COMPRA]])</f>
        <v>2024</v>
      </c>
      <c r="K2390" s="19">
        <v>135.69</v>
      </c>
      <c r="L2390" s="20">
        <v>0</v>
      </c>
      <c r="M2390" s="19">
        <f>Tienda!$K838-Tienda!$K838*Tienda!$L838</f>
        <v>135.464</v>
      </c>
      <c r="N2390" s="3" t="s">
        <v>10039</v>
      </c>
      <c r="O2390" s="3" t="s">
        <v>10041</v>
      </c>
      <c r="P2390" s="17">
        <v>45638</v>
      </c>
      <c r="Q2390" s="4">
        <v>0</v>
      </c>
    </row>
    <row r="2391" spans="1:17" ht="30" x14ac:dyDescent="0.25">
      <c r="A2391" s="2" t="s">
        <v>4737</v>
      </c>
      <c r="B2391" s="3" t="s">
        <v>5015</v>
      </c>
      <c r="C2391" s="3">
        <v>51</v>
      </c>
      <c r="D2391" s="46" t="str">
        <f>IF(Tabla1[[#This Row],[EDAD]]&lt;=35,"Adultos jóvenes 18 - 35 años",IF(C2391&gt;=36,"Adultos mayores 36 años en adelante"))</f>
        <v>Adultos mayores 36 años en adelante</v>
      </c>
      <c r="E2391" s="3" t="s">
        <v>5017</v>
      </c>
      <c r="F2391" s="3" t="s">
        <v>5030</v>
      </c>
      <c r="G2391" s="3" t="s">
        <v>5036</v>
      </c>
      <c r="H2391" s="3" t="s">
        <v>9760</v>
      </c>
      <c r="I2391" s="17">
        <v>45639</v>
      </c>
      <c r="J2391" s="18">
        <f>YEAR(Tabla1[[#This Row],[FECHA DE COMPRA]])</f>
        <v>2024</v>
      </c>
      <c r="K2391" s="19">
        <v>146.19999999999999</v>
      </c>
      <c r="L2391" s="20">
        <v>0.1</v>
      </c>
      <c r="M2391" s="19">
        <f>Tienda!$K841-Tienda!$K841*Tienda!$L841</f>
        <v>136.89600000000002</v>
      </c>
      <c r="N2391" s="3" t="s">
        <v>10039</v>
      </c>
      <c r="O2391" s="3" t="s">
        <v>10041</v>
      </c>
      <c r="P2391" s="17">
        <v>45639</v>
      </c>
      <c r="Q2391" s="4">
        <v>0</v>
      </c>
    </row>
    <row r="2392" spans="1:17" ht="30" x14ac:dyDescent="0.25">
      <c r="A2392" s="2" t="s">
        <v>1827</v>
      </c>
      <c r="B2392" s="3" t="s">
        <v>5016</v>
      </c>
      <c r="C2392" s="3">
        <v>50</v>
      </c>
      <c r="D2392" s="46" t="str">
        <f>IF(Tabla1[[#This Row],[EDAD]]&lt;=35,"Adultos jóvenes 18 - 35 años",IF(C2392&gt;=36,"Adultos mayores 36 años en adelante"))</f>
        <v>Adultos mayores 36 años en adelante</v>
      </c>
      <c r="E2392" s="3" t="s">
        <v>5023</v>
      </c>
      <c r="F2392" s="3" t="s">
        <v>5025</v>
      </c>
      <c r="G2392" s="3" t="s">
        <v>5037</v>
      </c>
      <c r="H2392" s="3" t="s">
        <v>6850</v>
      </c>
      <c r="I2392" s="17">
        <v>45640</v>
      </c>
      <c r="J2392" s="18">
        <f>YEAR(Tabla1[[#This Row],[FECHA DE COMPRA]])</f>
        <v>2024</v>
      </c>
      <c r="K2392" s="19">
        <v>122.06</v>
      </c>
      <c r="L2392" s="20">
        <v>0</v>
      </c>
      <c r="M2392" s="19">
        <f>Tienda!$K843-Tienda!$K843*Tienda!$L843</f>
        <v>137.17200000000003</v>
      </c>
      <c r="N2392" s="3" t="s">
        <v>10039</v>
      </c>
      <c r="O2392" s="3" t="s">
        <v>10041</v>
      </c>
      <c r="P2392" s="17">
        <v>45640</v>
      </c>
      <c r="Q2392" s="4">
        <v>0</v>
      </c>
    </row>
    <row r="2393" spans="1:17" ht="30" x14ac:dyDescent="0.25">
      <c r="A2393" s="2" t="s">
        <v>794</v>
      </c>
      <c r="B2393" s="3" t="s">
        <v>5015</v>
      </c>
      <c r="C2393" s="3">
        <v>47</v>
      </c>
      <c r="D2393" s="46" t="str">
        <f>IF(Tabla1[[#This Row],[EDAD]]&lt;=35,"Adultos jóvenes 18 - 35 años",IF(C2393&gt;=36,"Adultos mayores 36 años en adelante"))</f>
        <v>Adultos mayores 36 años en adelante</v>
      </c>
      <c r="E2393" s="3" t="s">
        <v>5022</v>
      </c>
      <c r="F2393" s="3" t="s">
        <v>5024</v>
      </c>
      <c r="G2393" s="3" t="s">
        <v>5034</v>
      </c>
      <c r="H2393" s="3" t="s">
        <v>5817</v>
      </c>
      <c r="I2393" s="17">
        <v>45642</v>
      </c>
      <c r="J2393" s="18">
        <f>YEAR(Tabla1[[#This Row],[FECHA DE COMPRA]])</f>
        <v>2024</v>
      </c>
      <c r="K2393" s="19">
        <v>132.1</v>
      </c>
      <c r="L2393" s="20">
        <v>0.1</v>
      </c>
      <c r="M2393" s="19">
        <f>Tienda!$K849-Tienda!$K849*Tienda!$L849</f>
        <v>143.37</v>
      </c>
      <c r="N2393" s="3" t="s">
        <v>10039</v>
      </c>
      <c r="O2393" s="3" t="s">
        <v>10041</v>
      </c>
      <c r="P2393" s="17">
        <v>45642</v>
      </c>
      <c r="Q2393" s="4">
        <v>0</v>
      </c>
    </row>
    <row r="2394" spans="1:17" ht="30" x14ac:dyDescent="0.25">
      <c r="A2394" s="2" t="s">
        <v>2507</v>
      </c>
      <c r="B2394" s="3" t="s">
        <v>5015</v>
      </c>
      <c r="C2394" s="3">
        <v>44</v>
      </c>
      <c r="D2394" s="46" t="str">
        <f>IF(Tabla1[[#This Row],[EDAD]]&lt;=35,"Adultos jóvenes 18 - 35 años",IF(C2394&gt;=36,"Adultos mayores 36 años en adelante"))</f>
        <v>Adultos mayores 36 años en adelante</v>
      </c>
      <c r="E2394" s="3" t="s">
        <v>5020</v>
      </c>
      <c r="F2394" s="3" t="s">
        <v>5026</v>
      </c>
      <c r="G2394" s="3" t="s">
        <v>5034</v>
      </c>
      <c r="H2394" s="3" t="s">
        <v>7530</v>
      </c>
      <c r="I2394" s="17">
        <v>45643</v>
      </c>
      <c r="J2394" s="18">
        <f>YEAR(Tabla1[[#This Row],[FECHA DE COMPRA]])</f>
        <v>2024</v>
      </c>
      <c r="K2394" s="19">
        <v>80.39</v>
      </c>
      <c r="L2394" s="20">
        <v>0.3</v>
      </c>
      <c r="M2394" s="19">
        <f>Tienda!$K850-Tienda!$K850*Tienda!$L850</f>
        <v>147.357</v>
      </c>
      <c r="N2394" s="3" t="s">
        <v>10039</v>
      </c>
      <c r="O2394" s="3" t="s">
        <v>10041</v>
      </c>
      <c r="P2394" s="17">
        <v>45643</v>
      </c>
      <c r="Q2394" s="4">
        <v>0</v>
      </c>
    </row>
    <row r="2395" spans="1:17" ht="30" x14ac:dyDescent="0.25">
      <c r="A2395" s="2" t="s">
        <v>657</v>
      </c>
      <c r="B2395" s="3" t="s">
        <v>5015</v>
      </c>
      <c r="C2395" s="3">
        <v>47</v>
      </c>
      <c r="D2395" s="46" t="str">
        <f>IF(Tabla1[[#This Row],[EDAD]]&lt;=35,"Adultos jóvenes 18 - 35 años",IF(C2395&gt;=36,"Adultos mayores 36 años en adelante"))</f>
        <v>Adultos mayores 36 años en adelante</v>
      </c>
      <c r="E2395" s="3" t="s">
        <v>5020</v>
      </c>
      <c r="F2395" s="3" t="s">
        <v>5030</v>
      </c>
      <c r="G2395" s="3" t="s">
        <v>5033</v>
      </c>
      <c r="H2395" s="3" t="s">
        <v>5680</v>
      </c>
      <c r="I2395" s="17">
        <v>45643</v>
      </c>
      <c r="J2395" s="18">
        <f>YEAR(Tabla1[[#This Row],[FECHA DE COMPRA]])</f>
        <v>2024</v>
      </c>
      <c r="K2395" s="19">
        <v>130.88999999999999</v>
      </c>
      <c r="L2395" s="20">
        <v>0.1</v>
      </c>
      <c r="M2395" s="19">
        <f>Tienda!$K851-Tienda!$K851*Tienda!$L851</f>
        <v>147.47999999999999</v>
      </c>
      <c r="N2395" s="3" t="s">
        <v>10039</v>
      </c>
      <c r="O2395" s="3" t="s">
        <v>10041</v>
      </c>
      <c r="P2395" s="17">
        <v>45643</v>
      </c>
      <c r="Q2395" s="4">
        <v>0</v>
      </c>
    </row>
    <row r="2396" spans="1:17" ht="30" x14ac:dyDescent="0.25">
      <c r="A2396" s="2" t="s">
        <v>224</v>
      </c>
      <c r="B2396" s="3" t="s">
        <v>5015</v>
      </c>
      <c r="C2396" s="3">
        <v>38</v>
      </c>
      <c r="D2396" s="46" t="str">
        <f>IF(Tabla1[[#This Row],[EDAD]]&lt;=35,"Adultos jóvenes 18 - 35 años",IF(C2396&gt;=36,"Adultos mayores 36 años en adelante"))</f>
        <v>Adultos mayores 36 años en adelante</v>
      </c>
      <c r="E2396" s="3" t="s">
        <v>5022</v>
      </c>
      <c r="F2396" s="3" t="s">
        <v>5030</v>
      </c>
      <c r="G2396" s="3" t="s">
        <v>5036</v>
      </c>
      <c r="H2396" s="3" t="s">
        <v>5247</v>
      </c>
      <c r="I2396" s="17">
        <v>45643</v>
      </c>
      <c r="J2396" s="18">
        <f>YEAR(Tabla1[[#This Row],[FECHA DE COMPRA]])</f>
        <v>2024</v>
      </c>
      <c r="K2396" s="19">
        <v>140.34</v>
      </c>
      <c r="L2396" s="20">
        <v>0.3</v>
      </c>
      <c r="M2396" s="19">
        <f>Tienda!$K853-Tienda!$K853*Tienda!$L853</f>
        <v>148.239</v>
      </c>
      <c r="N2396" s="3" t="s">
        <v>10039</v>
      </c>
      <c r="O2396" s="3" t="s">
        <v>10041</v>
      </c>
      <c r="P2396" s="17">
        <v>45643</v>
      </c>
      <c r="Q2396" s="4">
        <v>0</v>
      </c>
    </row>
    <row r="2397" spans="1:17" ht="30" x14ac:dyDescent="0.25">
      <c r="A2397" s="2" t="s">
        <v>580</v>
      </c>
      <c r="B2397" s="3" t="s">
        <v>5016</v>
      </c>
      <c r="C2397" s="3">
        <v>58</v>
      </c>
      <c r="D2397" s="46" t="str">
        <f>IF(Tabla1[[#This Row],[EDAD]]&lt;=35,"Adultos jóvenes 18 - 35 años",IF(C2397&gt;=36,"Adultos mayores 36 años en adelante"))</f>
        <v>Adultos mayores 36 años en adelante</v>
      </c>
      <c r="E2397" s="3" t="s">
        <v>5019</v>
      </c>
      <c r="F2397" s="3" t="s">
        <v>5030</v>
      </c>
      <c r="G2397" s="3" t="s">
        <v>5034</v>
      </c>
      <c r="H2397" s="3" t="s">
        <v>5603</v>
      </c>
      <c r="I2397" s="17">
        <v>45643</v>
      </c>
      <c r="J2397" s="18">
        <f>YEAR(Tabla1[[#This Row],[FECHA DE COMPRA]])</f>
        <v>2024</v>
      </c>
      <c r="K2397" s="19">
        <v>192.73</v>
      </c>
      <c r="L2397" s="20">
        <v>0.2</v>
      </c>
      <c r="M2397" s="19">
        <f>Tienda!$K854-Tienda!$K854*Tienda!$L854</f>
        <v>149.70600000000002</v>
      </c>
      <c r="N2397" s="3" t="s">
        <v>10039</v>
      </c>
      <c r="O2397" s="3" t="s">
        <v>10041</v>
      </c>
      <c r="P2397" s="17">
        <v>45643</v>
      </c>
      <c r="Q2397" s="4">
        <v>0</v>
      </c>
    </row>
    <row r="2398" spans="1:17" ht="30" x14ac:dyDescent="0.25">
      <c r="A2398" s="2" t="s">
        <v>661</v>
      </c>
      <c r="B2398" s="3" t="s">
        <v>5015</v>
      </c>
      <c r="C2398" s="3">
        <v>41</v>
      </c>
      <c r="D2398" s="46" t="str">
        <f>IF(Tabla1[[#This Row],[EDAD]]&lt;=35,"Adultos jóvenes 18 - 35 años",IF(C2398&gt;=36,"Adultos mayores 36 años en adelante"))</f>
        <v>Adultos mayores 36 años en adelante</v>
      </c>
      <c r="E2398" s="3" t="s">
        <v>5017</v>
      </c>
      <c r="F2398" s="3" t="s">
        <v>5029</v>
      </c>
      <c r="G2398" s="3" t="s">
        <v>5032</v>
      </c>
      <c r="H2398" s="3" t="s">
        <v>5684</v>
      </c>
      <c r="I2398" s="17">
        <v>45643</v>
      </c>
      <c r="J2398" s="18">
        <f>YEAR(Tabla1[[#This Row],[FECHA DE COMPRA]])</f>
        <v>2024</v>
      </c>
      <c r="K2398" s="19">
        <v>193.84</v>
      </c>
      <c r="L2398" s="20">
        <v>0.2</v>
      </c>
      <c r="M2398" s="19">
        <f>Tienda!$K855-Tienda!$K855*Tienda!$L855</f>
        <v>150.56</v>
      </c>
      <c r="N2398" s="3" t="s">
        <v>10039</v>
      </c>
      <c r="O2398" s="3" t="s">
        <v>10041</v>
      </c>
      <c r="P2398" s="17">
        <v>45643</v>
      </c>
      <c r="Q2398" s="4">
        <v>0</v>
      </c>
    </row>
    <row r="2399" spans="1:17" ht="30" x14ac:dyDescent="0.25">
      <c r="A2399" s="2" t="s">
        <v>1701</v>
      </c>
      <c r="B2399" s="3" t="s">
        <v>5015</v>
      </c>
      <c r="C2399" s="3">
        <v>36</v>
      </c>
      <c r="D2399" s="46" t="str">
        <f>IF(Tabla1[[#This Row],[EDAD]]&lt;=35,"Adultos jóvenes 18 - 35 años",IF(C2399&gt;=36,"Adultos mayores 36 años en adelante"))</f>
        <v>Adultos mayores 36 años en adelante</v>
      </c>
      <c r="E2399" s="3" t="s">
        <v>5020</v>
      </c>
      <c r="F2399" s="3" t="s">
        <v>5024</v>
      </c>
      <c r="G2399" s="3" t="s">
        <v>5035</v>
      </c>
      <c r="H2399" s="3" t="s">
        <v>6724</v>
      </c>
      <c r="I2399" s="17">
        <v>45644</v>
      </c>
      <c r="J2399" s="18">
        <f>YEAR(Tabla1[[#This Row],[FECHA DE COMPRA]])</f>
        <v>2024</v>
      </c>
      <c r="K2399" s="19">
        <v>31.88</v>
      </c>
      <c r="L2399" s="20">
        <v>0.3</v>
      </c>
      <c r="M2399" s="19">
        <f>Tienda!$K857-Tienda!$K857*Tienda!$L857</f>
        <v>153.16</v>
      </c>
      <c r="N2399" s="3" t="s">
        <v>10039</v>
      </c>
      <c r="O2399" s="3" t="s">
        <v>10041</v>
      </c>
      <c r="P2399" s="17">
        <v>45644</v>
      </c>
      <c r="Q2399" s="4">
        <v>0</v>
      </c>
    </row>
    <row r="2400" spans="1:17" ht="30" x14ac:dyDescent="0.25">
      <c r="A2400" s="2" t="s">
        <v>1273</v>
      </c>
      <c r="B2400" s="3" t="s">
        <v>5016</v>
      </c>
      <c r="C2400" s="3">
        <v>59</v>
      </c>
      <c r="D2400" s="46" t="str">
        <f>IF(Tabla1[[#This Row],[EDAD]]&lt;=35,"Adultos jóvenes 18 - 35 años",IF(C2400&gt;=36,"Adultos mayores 36 años en adelante"))</f>
        <v>Adultos mayores 36 años en adelante</v>
      </c>
      <c r="E2400" s="3" t="s">
        <v>5021</v>
      </c>
      <c r="F2400" s="3" t="s">
        <v>5028</v>
      </c>
      <c r="G2400" s="3" t="s">
        <v>5035</v>
      </c>
      <c r="H2400" s="3" t="s">
        <v>6296</v>
      </c>
      <c r="I2400" s="17">
        <v>45644</v>
      </c>
      <c r="J2400" s="18">
        <f>YEAR(Tabla1[[#This Row],[FECHA DE COMPRA]])</f>
        <v>2024</v>
      </c>
      <c r="K2400" s="19">
        <v>43.2</v>
      </c>
      <c r="L2400" s="20">
        <v>0.2</v>
      </c>
      <c r="M2400" s="19">
        <f>Tienda!$K858-Tienda!$K858*Tienda!$L858</f>
        <v>153.96299999999999</v>
      </c>
      <c r="N2400" s="3" t="s">
        <v>10039</v>
      </c>
      <c r="O2400" s="3" t="s">
        <v>10041</v>
      </c>
      <c r="P2400" s="17">
        <v>45644</v>
      </c>
      <c r="Q2400" s="4">
        <v>0</v>
      </c>
    </row>
    <row r="2401" spans="1:17" ht="30" x14ac:dyDescent="0.25">
      <c r="A2401" s="2" t="s">
        <v>2913</v>
      </c>
      <c r="B2401" s="3" t="s">
        <v>5016</v>
      </c>
      <c r="C2401" s="3">
        <v>54</v>
      </c>
      <c r="D2401" s="46" t="str">
        <f>IF(Tabla1[[#This Row],[EDAD]]&lt;=35,"Adultos jóvenes 18 - 35 años",IF(C2401&gt;=36,"Adultos mayores 36 años en adelante"))</f>
        <v>Adultos mayores 36 años en adelante</v>
      </c>
      <c r="E2401" s="3" t="s">
        <v>5017</v>
      </c>
      <c r="F2401" s="3" t="s">
        <v>5029</v>
      </c>
      <c r="G2401" s="3" t="s">
        <v>5035</v>
      </c>
      <c r="H2401" s="3" t="s">
        <v>7936</v>
      </c>
      <c r="I2401" s="17">
        <v>45644</v>
      </c>
      <c r="J2401" s="18">
        <f>YEAR(Tabla1[[#This Row],[FECHA DE COMPRA]])</f>
        <v>2024</v>
      </c>
      <c r="K2401" s="19">
        <v>70.099999999999994</v>
      </c>
      <c r="L2401" s="20">
        <v>0.3</v>
      </c>
      <c r="M2401" s="19">
        <f>Tienda!$K859-Tienda!$K859*Tienda!$L859</f>
        <v>157.376</v>
      </c>
      <c r="N2401" s="3" t="s">
        <v>10039</v>
      </c>
      <c r="O2401" s="3" t="s">
        <v>10041</v>
      </c>
      <c r="P2401" s="17">
        <v>45644</v>
      </c>
      <c r="Q2401" s="4">
        <v>0</v>
      </c>
    </row>
    <row r="2402" spans="1:17" ht="30" x14ac:dyDescent="0.25">
      <c r="A2402" s="2" t="s">
        <v>1021</v>
      </c>
      <c r="B2402" s="3" t="s">
        <v>5015</v>
      </c>
      <c r="C2402" s="3">
        <v>38</v>
      </c>
      <c r="D2402" s="46" t="str">
        <f>IF(Tabla1[[#This Row],[EDAD]]&lt;=35,"Adultos jóvenes 18 - 35 años",IF(C2402&gt;=36,"Adultos mayores 36 años en adelante"))</f>
        <v>Adultos mayores 36 años en adelante</v>
      </c>
      <c r="E2402" s="3" t="s">
        <v>5018</v>
      </c>
      <c r="F2402" s="3" t="s">
        <v>5025</v>
      </c>
      <c r="G2402" s="3" t="s">
        <v>5031</v>
      </c>
      <c r="H2402" s="3" t="s">
        <v>6044</v>
      </c>
      <c r="I2402" s="17">
        <v>45644</v>
      </c>
      <c r="J2402" s="18">
        <f>YEAR(Tabla1[[#This Row],[FECHA DE COMPRA]])</f>
        <v>2024</v>
      </c>
      <c r="K2402" s="19">
        <v>74.87</v>
      </c>
      <c r="L2402" s="20">
        <v>0.2</v>
      </c>
      <c r="M2402" s="19">
        <f>Tienda!$K860-Tienda!$K860*Tienda!$L860</f>
        <v>157.61699999999999</v>
      </c>
      <c r="N2402" s="3" t="s">
        <v>10039</v>
      </c>
      <c r="O2402" s="3" t="s">
        <v>10041</v>
      </c>
      <c r="P2402" s="17">
        <v>45644</v>
      </c>
      <c r="Q2402" s="4">
        <v>0</v>
      </c>
    </row>
    <row r="2403" spans="1:17" ht="30" x14ac:dyDescent="0.25">
      <c r="A2403" s="2" t="s">
        <v>477</v>
      </c>
      <c r="B2403" s="3" t="s">
        <v>5015</v>
      </c>
      <c r="C2403" s="3">
        <v>49</v>
      </c>
      <c r="D2403" s="46" t="str">
        <f>IF(Tabla1[[#This Row],[EDAD]]&lt;=35,"Adultos jóvenes 18 - 35 años",IF(C2403&gt;=36,"Adultos mayores 36 años en adelante"))</f>
        <v>Adultos mayores 36 años en adelante</v>
      </c>
      <c r="E2403" s="3" t="s">
        <v>5022</v>
      </c>
      <c r="F2403" s="3" t="s">
        <v>5028</v>
      </c>
      <c r="G2403" s="3" t="s">
        <v>5032</v>
      </c>
      <c r="H2403" s="3" t="s">
        <v>5500</v>
      </c>
      <c r="I2403" s="17">
        <v>45646</v>
      </c>
      <c r="J2403" s="18">
        <f>YEAR(Tabla1[[#This Row],[FECHA DE COMPRA]])</f>
        <v>2024</v>
      </c>
      <c r="K2403" s="19">
        <v>87.32</v>
      </c>
      <c r="L2403" s="20">
        <v>0.1</v>
      </c>
      <c r="M2403" s="19">
        <f>Tienda!$K865-Tienda!$K865*Tienda!$L865</f>
        <v>165.90600000000001</v>
      </c>
      <c r="N2403" s="3" t="s">
        <v>10039</v>
      </c>
      <c r="O2403" s="3" t="s">
        <v>10041</v>
      </c>
      <c r="P2403" s="17">
        <v>45646</v>
      </c>
      <c r="Q2403" s="4">
        <v>0</v>
      </c>
    </row>
    <row r="2404" spans="1:17" ht="30" x14ac:dyDescent="0.25">
      <c r="A2404" s="2" t="s">
        <v>4916</v>
      </c>
      <c r="B2404" s="3" t="s">
        <v>5015</v>
      </c>
      <c r="C2404" s="3">
        <v>58</v>
      </c>
      <c r="D2404" s="46" t="str">
        <f>IF(Tabla1[[#This Row],[EDAD]]&lt;=35,"Adultos jóvenes 18 - 35 años",IF(C2404&gt;=36,"Adultos mayores 36 años en adelante"))</f>
        <v>Adultos mayores 36 años en adelante</v>
      </c>
      <c r="E2404" s="3" t="s">
        <v>5022</v>
      </c>
      <c r="F2404" s="3" t="s">
        <v>5027</v>
      </c>
      <c r="G2404" s="3" t="s">
        <v>5031</v>
      </c>
      <c r="H2404" s="3" t="s">
        <v>9939</v>
      </c>
      <c r="I2404" s="17">
        <v>45646</v>
      </c>
      <c r="J2404" s="18">
        <f>YEAR(Tabla1[[#This Row],[FECHA DE COMPRA]])</f>
        <v>2024</v>
      </c>
      <c r="K2404" s="19">
        <v>140.41</v>
      </c>
      <c r="L2404" s="20">
        <v>0</v>
      </c>
      <c r="M2404" s="19">
        <f>Tienda!$K867-Tienda!$K867*Tienda!$L867</f>
        <v>166.78</v>
      </c>
      <c r="N2404" s="3" t="s">
        <v>10039</v>
      </c>
      <c r="O2404" s="3" t="s">
        <v>10041</v>
      </c>
      <c r="P2404" s="17">
        <v>45646</v>
      </c>
      <c r="Q2404" s="4">
        <v>0</v>
      </c>
    </row>
    <row r="2405" spans="1:17" ht="30" x14ac:dyDescent="0.25">
      <c r="A2405" s="2" t="s">
        <v>4648</v>
      </c>
      <c r="B2405" s="3" t="s">
        <v>5016</v>
      </c>
      <c r="C2405" s="3">
        <v>47</v>
      </c>
      <c r="D2405" s="46" t="str">
        <f>IF(Tabla1[[#This Row],[EDAD]]&lt;=35,"Adultos jóvenes 18 - 35 años",IF(C2405&gt;=36,"Adultos mayores 36 años en adelante"))</f>
        <v>Adultos mayores 36 años en adelante</v>
      </c>
      <c r="E2405" s="3" t="s">
        <v>5019</v>
      </c>
      <c r="F2405" s="3" t="s">
        <v>5030</v>
      </c>
      <c r="G2405" s="3" t="s">
        <v>5031</v>
      </c>
      <c r="H2405" s="3" t="s">
        <v>9671</v>
      </c>
      <c r="I2405" s="17">
        <v>45646</v>
      </c>
      <c r="J2405" s="18">
        <f>YEAR(Tabla1[[#This Row],[FECHA DE COMPRA]])</f>
        <v>2024</v>
      </c>
      <c r="K2405" s="19">
        <v>165.79</v>
      </c>
      <c r="L2405" s="20">
        <v>0</v>
      </c>
      <c r="M2405" s="19">
        <f>Tienda!$K868-Tienda!$K868*Tienda!$L868</f>
        <v>169.25399999999999</v>
      </c>
      <c r="N2405" s="3" t="s">
        <v>10039</v>
      </c>
      <c r="O2405" s="3" t="s">
        <v>10041</v>
      </c>
      <c r="P2405" s="17">
        <v>45646</v>
      </c>
      <c r="Q2405" s="4">
        <v>0</v>
      </c>
    </row>
    <row r="2406" spans="1:17" ht="30" x14ac:dyDescent="0.25">
      <c r="A2406" s="2" t="s">
        <v>4973</v>
      </c>
      <c r="B2406" s="3" t="s">
        <v>5015</v>
      </c>
      <c r="C2406" s="3">
        <v>40</v>
      </c>
      <c r="D2406" s="46" t="str">
        <f>IF(Tabla1[[#This Row],[EDAD]]&lt;=35,"Adultos jóvenes 18 - 35 años",IF(C2406&gt;=36,"Adultos mayores 36 años en adelante"))</f>
        <v>Adultos mayores 36 años en adelante</v>
      </c>
      <c r="E2406" s="3" t="s">
        <v>5022</v>
      </c>
      <c r="F2406" s="3" t="s">
        <v>5029</v>
      </c>
      <c r="G2406" s="3" t="s">
        <v>5034</v>
      </c>
      <c r="H2406" s="3" t="s">
        <v>9996</v>
      </c>
      <c r="I2406" s="17">
        <v>45647</v>
      </c>
      <c r="J2406" s="18">
        <f>YEAR(Tabla1[[#This Row],[FECHA DE COMPRA]])</f>
        <v>2024</v>
      </c>
      <c r="K2406" s="19">
        <v>41.31</v>
      </c>
      <c r="L2406" s="20">
        <v>0</v>
      </c>
      <c r="M2406" s="19">
        <f>Tienda!$K869-Tienda!$K869*Tienda!$L869</f>
        <v>172.55699999999999</v>
      </c>
      <c r="N2406" s="3" t="s">
        <v>10039</v>
      </c>
      <c r="O2406" s="3" t="s">
        <v>10041</v>
      </c>
      <c r="P2406" s="17">
        <v>45647</v>
      </c>
      <c r="Q2406" s="4">
        <v>0</v>
      </c>
    </row>
    <row r="2407" spans="1:17" ht="30" x14ac:dyDescent="0.25">
      <c r="A2407" s="2" t="s">
        <v>940</v>
      </c>
      <c r="B2407" s="3" t="s">
        <v>5016</v>
      </c>
      <c r="C2407" s="3">
        <v>64</v>
      </c>
      <c r="D2407" s="46" t="str">
        <f>IF(Tabla1[[#This Row],[EDAD]]&lt;=35,"Adultos jóvenes 18 - 35 años",IF(C2407&gt;=36,"Adultos mayores 36 años en adelante"))</f>
        <v>Adultos mayores 36 años en adelante</v>
      </c>
      <c r="E2407" s="3" t="s">
        <v>5021</v>
      </c>
      <c r="F2407" s="3" t="s">
        <v>5024</v>
      </c>
      <c r="G2407" s="3" t="s">
        <v>5034</v>
      </c>
      <c r="H2407" s="3" t="s">
        <v>5963</v>
      </c>
      <c r="I2407" s="17">
        <v>45648</v>
      </c>
      <c r="J2407" s="18">
        <f>YEAR(Tabla1[[#This Row],[FECHA DE COMPRA]])</f>
        <v>2024</v>
      </c>
      <c r="K2407" s="19">
        <v>96.94</v>
      </c>
      <c r="L2407" s="20">
        <v>0.3</v>
      </c>
      <c r="M2407" s="19">
        <f>Tienda!$K872-Tienda!$K872*Tienda!$L872</f>
        <v>182.73</v>
      </c>
      <c r="N2407" s="3" t="s">
        <v>10039</v>
      </c>
      <c r="O2407" s="3" t="s">
        <v>10041</v>
      </c>
      <c r="P2407" s="17">
        <v>45648</v>
      </c>
      <c r="Q2407" s="4">
        <v>0</v>
      </c>
    </row>
    <row r="2408" spans="1:17" ht="30" x14ac:dyDescent="0.25">
      <c r="A2408" s="2" t="s">
        <v>4320</v>
      </c>
      <c r="B2408" s="3" t="s">
        <v>5015</v>
      </c>
      <c r="C2408" s="3">
        <v>62</v>
      </c>
      <c r="D2408" s="46" t="str">
        <f>IF(Tabla1[[#This Row],[EDAD]]&lt;=35,"Adultos jóvenes 18 - 35 años",IF(C2408&gt;=36,"Adultos mayores 36 años en adelante"))</f>
        <v>Adultos mayores 36 años en adelante</v>
      </c>
      <c r="E2408" s="3" t="s">
        <v>5022</v>
      </c>
      <c r="F2408" s="3" t="s">
        <v>5029</v>
      </c>
      <c r="G2408" s="3" t="s">
        <v>5033</v>
      </c>
      <c r="H2408" s="3" t="s">
        <v>9343</v>
      </c>
      <c r="I2408" s="17">
        <v>45648</v>
      </c>
      <c r="J2408" s="18">
        <f>YEAR(Tabla1[[#This Row],[FECHA DE COMPRA]])</f>
        <v>2024</v>
      </c>
      <c r="K2408" s="19">
        <v>151.69999999999999</v>
      </c>
      <c r="L2408" s="20">
        <v>0</v>
      </c>
      <c r="M2408" s="19">
        <f>Tienda!$K873-Tienda!$K873*Tienda!$L873</f>
        <v>186.01</v>
      </c>
      <c r="N2408" s="3" t="s">
        <v>10039</v>
      </c>
      <c r="O2408" s="3" t="s">
        <v>10041</v>
      </c>
      <c r="P2408" s="17">
        <v>45648</v>
      </c>
      <c r="Q2408" s="4">
        <v>0</v>
      </c>
    </row>
    <row r="2409" spans="1:17" ht="30" x14ac:dyDescent="0.25">
      <c r="A2409" s="2" t="s">
        <v>2147</v>
      </c>
      <c r="B2409" s="3" t="s">
        <v>5015</v>
      </c>
      <c r="C2409" s="3">
        <v>63</v>
      </c>
      <c r="D2409" s="46" t="str">
        <f>IF(Tabla1[[#This Row],[EDAD]]&lt;=35,"Adultos jóvenes 18 - 35 años",IF(C2409&gt;=36,"Adultos mayores 36 años en adelante"))</f>
        <v>Adultos mayores 36 años en adelante</v>
      </c>
      <c r="E2409" s="3" t="s">
        <v>5022</v>
      </c>
      <c r="F2409" s="3" t="s">
        <v>5027</v>
      </c>
      <c r="G2409" s="3" t="s">
        <v>5037</v>
      </c>
      <c r="H2409" s="3" t="s">
        <v>7170</v>
      </c>
      <c r="I2409" s="17">
        <v>45649</v>
      </c>
      <c r="J2409" s="18">
        <f>YEAR(Tabla1[[#This Row],[FECHA DE COMPRA]])</f>
        <v>2024</v>
      </c>
      <c r="K2409" s="19">
        <v>152.30000000000001</v>
      </c>
      <c r="L2409" s="20">
        <v>0.1</v>
      </c>
      <c r="M2409" s="19">
        <f>Tienda!$K874-Tienda!$K874*Tienda!$L874</f>
        <v>186.84</v>
      </c>
      <c r="N2409" s="3" t="s">
        <v>10039</v>
      </c>
      <c r="O2409" s="3" t="s">
        <v>10041</v>
      </c>
      <c r="P2409" s="17">
        <v>45649</v>
      </c>
      <c r="Q2409" s="4">
        <v>0</v>
      </c>
    </row>
    <row r="2410" spans="1:17" ht="30" x14ac:dyDescent="0.25">
      <c r="A2410" s="2" t="s">
        <v>4270</v>
      </c>
      <c r="B2410" s="3" t="s">
        <v>5016</v>
      </c>
      <c r="C2410" s="3">
        <v>41</v>
      </c>
      <c r="D2410" s="46" t="str">
        <f>IF(Tabla1[[#This Row],[EDAD]]&lt;=35,"Adultos jóvenes 18 - 35 años",IF(C2410&gt;=36,"Adultos mayores 36 años en adelante"))</f>
        <v>Adultos mayores 36 años en adelante</v>
      </c>
      <c r="E2410" s="3" t="s">
        <v>5019</v>
      </c>
      <c r="F2410" s="3" t="s">
        <v>5025</v>
      </c>
      <c r="G2410" s="3" t="s">
        <v>5035</v>
      </c>
      <c r="H2410" s="3" t="s">
        <v>9293</v>
      </c>
      <c r="I2410" s="17">
        <v>45649</v>
      </c>
      <c r="J2410" s="18">
        <f>YEAR(Tabla1[[#This Row],[FECHA DE COMPRA]])</f>
        <v>2024</v>
      </c>
      <c r="K2410" s="19">
        <v>188.54</v>
      </c>
      <c r="L2410" s="20">
        <v>0.2</v>
      </c>
      <c r="M2410" s="19">
        <f>Tienda!$K875-Tienda!$K875*Tienda!$L875</f>
        <v>189.95</v>
      </c>
      <c r="N2410" s="3" t="s">
        <v>10039</v>
      </c>
      <c r="O2410" s="3" t="s">
        <v>10041</v>
      </c>
      <c r="P2410" s="17">
        <v>45649</v>
      </c>
      <c r="Q2410" s="4">
        <v>0</v>
      </c>
    </row>
    <row r="2411" spans="1:17" ht="30" x14ac:dyDescent="0.25">
      <c r="A2411" s="2" t="s">
        <v>2348</v>
      </c>
      <c r="B2411" s="3" t="s">
        <v>5016</v>
      </c>
      <c r="C2411" s="3">
        <v>44</v>
      </c>
      <c r="D2411" s="46" t="str">
        <f>IF(Tabla1[[#This Row],[EDAD]]&lt;=35,"Adultos jóvenes 18 - 35 años",IF(C2411&gt;=36,"Adultos mayores 36 años en adelante"))</f>
        <v>Adultos mayores 36 años en adelante</v>
      </c>
      <c r="E2411" s="3" t="s">
        <v>5019</v>
      </c>
      <c r="F2411" s="3" t="s">
        <v>5024</v>
      </c>
      <c r="G2411" s="3" t="s">
        <v>5033</v>
      </c>
      <c r="H2411" s="3" t="s">
        <v>7371</v>
      </c>
      <c r="I2411" s="17">
        <v>45650</v>
      </c>
      <c r="J2411" s="18">
        <f>YEAR(Tabla1[[#This Row],[FECHA DE COMPRA]])</f>
        <v>2024</v>
      </c>
      <c r="K2411" s="19">
        <v>75.64</v>
      </c>
      <c r="L2411" s="20">
        <v>0.3</v>
      </c>
      <c r="M2411" s="19">
        <f>Tienda!$K877-Tienda!$K877*Tienda!$L877</f>
        <v>191.76</v>
      </c>
      <c r="N2411" s="3" t="s">
        <v>10039</v>
      </c>
      <c r="O2411" s="3" t="s">
        <v>10041</v>
      </c>
      <c r="P2411" s="17">
        <v>45650</v>
      </c>
      <c r="Q2411" s="4">
        <v>0</v>
      </c>
    </row>
    <row r="2412" spans="1:17" ht="30" x14ac:dyDescent="0.25">
      <c r="A2412" s="2" t="s">
        <v>2957</v>
      </c>
      <c r="B2412" s="3" t="s">
        <v>5016</v>
      </c>
      <c r="C2412" s="3">
        <v>39</v>
      </c>
      <c r="D2412" s="46" t="str">
        <f>IF(Tabla1[[#This Row],[EDAD]]&lt;=35,"Adultos jóvenes 18 - 35 años",IF(C2412&gt;=36,"Adultos mayores 36 años en adelante"))</f>
        <v>Adultos mayores 36 años en adelante</v>
      </c>
      <c r="E2412" s="3" t="s">
        <v>5023</v>
      </c>
      <c r="F2412" s="3" t="s">
        <v>5026</v>
      </c>
      <c r="G2412" s="3" t="s">
        <v>5034</v>
      </c>
      <c r="H2412" s="3" t="s">
        <v>7980</v>
      </c>
      <c r="I2412" s="17">
        <v>45650</v>
      </c>
      <c r="J2412" s="18">
        <f>YEAR(Tabla1[[#This Row],[FECHA DE COMPRA]])</f>
        <v>2024</v>
      </c>
      <c r="K2412" s="19">
        <v>89.31</v>
      </c>
      <c r="L2412" s="20">
        <v>0.3</v>
      </c>
      <c r="M2412" s="19">
        <f>Tienda!$K878-Tienda!$K878*Tienda!$L878</f>
        <v>194.12</v>
      </c>
      <c r="N2412" s="3" t="s">
        <v>10039</v>
      </c>
      <c r="O2412" s="3" t="s">
        <v>10041</v>
      </c>
      <c r="P2412" s="17">
        <v>45650</v>
      </c>
      <c r="Q2412" s="4">
        <v>0</v>
      </c>
    </row>
    <row r="2413" spans="1:17" ht="30" x14ac:dyDescent="0.25">
      <c r="A2413" s="2" t="s">
        <v>1906</v>
      </c>
      <c r="B2413" s="3" t="s">
        <v>5015</v>
      </c>
      <c r="C2413" s="3">
        <v>36</v>
      </c>
      <c r="D2413" s="46" t="str">
        <f>IF(Tabla1[[#This Row],[EDAD]]&lt;=35,"Adultos jóvenes 18 - 35 años",IF(C2413&gt;=36,"Adultos mayores 36 años en adelante"))</f>
        <v>Adultos mayores 36 años en adelante</v>
      </c>
      <c r="E2413" s="3" t="s">
        <v>5018</v>
      </c>
      <c r="F2413" s="3" t="s">
        <v>5029</v>
      </c>
      <c r="G2413" s="3" t="s">
        <v>5035</v>
      </c>
      <c r="H2413" s="3" t="s">
        <v>6929</v>
      </c>
      <c r="I2413" s="17">
        <v>45651</v>
      </c>
      <c r="J2413" s="18">
        <f>YEAR(Tabla1[[#This Row],[FECHA DE COMPRA]])</f>
        <v>2024</v>
      </c>
      <c r="K2413" s="19">
        <v>20.079999999999998</v>
      </c>
      <c r="L2413" s="20">
        <v>0.1</v>
      </c>
      <c r="M2413" s="19">
        <f>Tienda!$K880-Tienda!$K880*Tienda!$L880</f>
        <v>197.21</v>
      </c>
      <c r="N2413" s="3" t="s">
        <v>10039</v>
      </c>
      <c r="O2413" s="3" t="s">
        <v>10041</v>
      </c>
      <c r="P2413" s="17">
        <v>45651</v>
      </c>
      <c r="Q2413" s="4">
        <v>0</v>
      </c>
    </row>
    <row r="2414" spans="1:17" ht="30" x14ac:dyDescent="0.25">
      <c r="A2414" s="2" t="s">
        <v>3010</v>
      </c>
      <c r="B2414" s="3" t="s">
        <v>5016</v>
      </c>
      <c r="C2414" s="3">
        <v>65</v>
      </c>
      <c r="D2414" s="46" t="str">
        <f>IF(Tabla1[[#This Row],[EDAD]]&lt;=35,"Adultos jóvenes 18 - 35 años",IF(C2414&gt;=36,"Adultos mayores 36 años en adelante"))</f>
        <v>Adultos mayores 36 años en adelante</v>
      </c>
      <c r="E2414" s="3" t="s">
        <v>5019</v>
      </c>
      <c r="F2414" s="3" t="s">
        <v>5029</v>
      </c>
      <c r="G2414" s="3" t="s">
        <v>5035</v>
      </c>
      <c r="H2414" s="3" t="s">
        <v>8033</v>
      </c>
      <c r="I2414" s="17">
        <v>45651</v>
      </c>
      <c r="J2414" s="18">
        <f>YEAR(Tabla1[[#This Row],[FECHA DE COMPRA]])</f>
        <v>2024</v>
      </c>
      <c r="K2414" s="19">
        <v>197.26</v>
      </c>
      <c r="L2414" s="20">
        <v>0</v>
      </c>
      <c r="M2414" s="19">
        <f>Tienda!$K884-Tienda!$K884*Tienda!$L884</f>
        <v>11.457000000000001</v>
      </c>
      <c r="N2414" s="3" t="s">
        <v>10039</v>
      </c>
      <c r="O2414" s="3" t="s">
        <v>10041</v>
      </c>
      <c r="P2414" s="17">
        <v>45651</v>
      </c>
      <c r="Q2414" s="4">
        <v>0</v>
      </c>
    </row>
    <row r="2415" spans="1:17" ht="30" x14ac:dyDescent="0.25">
      <c r="A2415" s="2" t="s">
        <v>1514</v>
      </c>
      <c r="B2415" s="3" t="s">
        <v>5015</v>
      </c>
      <c r="C2415" s="3">
        <v>37</v>
      </c>
      <c r="D2415" s="46" t="str">
        <f>IF(Tabla1[[#This Row],[EDAD]]&lt;=35,"Adultos jóvenes 18 - 35 años",IF(C2415&gt;=36,"Adultos mayores 36 años en adelante"))</f>
        <v>Adultos mayores 36 años en adelante</v>
      </c>
      <c r="E2415" s="3" t="s">
        <v>5020</v>
      </c>
      <c r="F2415" s="3" t="s">
        <v>5027</v>
      </c>
      <c r="G2415" s="3" t="s">
        <v>5034</v>
      </c>
      <c r="H2415" s="3" t="s">
        <v>6537</v>
      </c>
      <c r="I2415" s="17">
        <v>45652</v>
      </c>
      <c r="J2415" s="18">
        <f>YEAR(Tabla1[[#This Row],[FECHA DE COMPRA]])</f>
        <v>2024</v>
      </c>
      <c r="K2415" s="19">
        <v>44</v>
      </c>
      <c r="L2415" s="20">
        <v>0.2</v>
      </c>
      <c r="M2415" s="19">
        <f>Tienda!$K885-Tienda!$K885*Tienda!$L885</f>
        <v>59.68</v>
      </c>
      <c r="N2415" s="3" t="s">
        <v>10039</v>
      </c>
      <c r="O2415" s="3" t="s">
        <v>10041</v>
      </c>
      <c r="P2415" s="17">
        <v>45652</v>
      </c>
      <c r="Q2415" s="4">
        <v>0</v>
      </c>
    </row>
    <row r="2416" spans="1:17" ht="30" x14ac:dyDescent="0.25">
      <c r="A2416" s="2" t="s">
        <v>1853</v>
      </c>
      <c r="B2416" s="3" t="s">
        <v>5016</v>
      </c>
      <c r="C2416" s="3">
        <v>38</v>
      </c>
      <c r="D2416" s="46" t="str">
        <f>IF(Tabla1[[#This Row],[EDAD]]&lt;=35,"Adultos jóvenes 18 - 35 años",IF(C2416&gt;=36,"Adultos mayores 36 años en adelante"))</f>
        <v>Adultos mayores 36 años en adelante</v>
      </c>
      <c r="E2416" s="3" t="s">
        <v>5019</v>
      </c>
      <c r="F2416" s="3" t="s">
        <v>5027</v>
      </c>
      <c r="G2416" s="3" t="s">
        <v>5034</v>
      </c>
      <c r="H2416" s="3" t="s">
        <v>6876</v>
      </c>
      <c r="I2416" s="17">
        <v>45652</v>
      </c>
      <c r="J2416" s="18">
        <f>YEAR(Tabla1[[#This Row],[FECHA DE COMPRA]])</f>
        <v>2024</v>
      </c>
      <c r="K2416" s="19">
        <v>64.150000000000006</v>
      </c>
      <c r="L2416" s="20">
        <v>0.3</v>
      </c>
      <c r="M2416" s="19">
        <f>Tienda!$K886-Tienda!$K886*Tienda!$L886</f>
        <v>81.209999999999994</v>
      </c>
      <c r="N2416" s="3" t="s">
        <v>10039</v>
      </c>
      <c r="O2416" s="3" t="s">
        <v>10041</v>
      </c>
      <c r="P2416" s="17">
        <v>45652</v>
      </c>
      <c r="Q2416" s="4">
        <v>0</v>
      </c>
    </row>
    <row r="2417" spans="1:17" ht="30" x14ac:dyDescent="0.25">
      <c r="A2417" s="2" t="s">
        <v>2755</v>
      </c>
      <c r="B2417" s="3" t="s">
        <v>5015</v>
      </c>
      <c r="C2417" s="3">
        <v>48</v>
      </c>
      <c r="D2417" s="46" t="str">
        <f>IF(Tabla1[[#This Row],[EDAD]]&lt;=35,"Adultos jóvenes 18 - 35 años",IF(C2417&gt;=36,"Adultos mayores 36 años en adelante"))</f>
        <v>Adultos mayores 36 años en adelante</v>
      </c>
      <c r="E2417" s="3" t="s">
        <v>5023</v>
      </c>
      <c r="F2417" s="3" t="s">
        <v>5024</v>
      </c>
      <c r="G2417" s="3" t="s">
        <v>5034</v>
      </c>
      <c r="H2417" s="3" t="s">
        <v>7778</v>
      </c>
      <c r="I2417" s="17">
        <v>45652</v>
      </c>
      <c r="J2417" s="18">
        <f>YEAR(Tabla1[[#This Row],[FECHA DE COMPRA]])</f>
        <v>2024</v>
      </c>
      <c r="K2417" s="19">
        <v>151.94</v>
      </c>
      <c r="L2417" s="20">
        <v>0.3</v>
      </c>
      <c r="M2417" s="19">
        <f>Tienda!$K888-Tienda!$K888*Tienda!$L888</f>
        <v>149.05799999999999</v>
      </c>
      <c r="N2417" s="3" t="s">
        <v>10039</v>
      </c>
      <c r="O2417" s="3" t="s">
        <v>10041</v>
      </c>
      <c r="P2417" s="17">
        <v>45652</v>
      </c>
      <c r="Q2417" s="4">
        <v>0</v>
      </c>
    </row>
    <row r="2418" spans="1:17" ht="30" x14ac:dyDescent="0.25">
      <c r="A2418" s="2" t="s">
        <v>786</v>
      </c>
      <c r="B2418" s="3" t="s">
        <v>5015</v>
      </c>
      <c r="C2418" s="3">
        <v>37</v>
      </c>
      <c r="D2418" s="46" t="str">
        <f>IF(Tabla1[[#This Row],[EDAD]]&lt;=35,"Adultos jóvenes 18 - 35 años",IF(C2418&gt;=36,"Adultos mayores 36 años en adelante"))</f>
        <v>Adultos mayores 36 años en adelante</v>
      </c>
      <c r="E2418" s="3" t="s">
        <v>5022</v>
      </c>
      <c r="F2418" s="3" t="s">
        <v>5025</v>
      </c>
      <c r="G2418" s="3" t="s">
        <v>5037</v>
      </c>
      <c r="H2418" s="3" t="s">
        <v>5809</v>
      </c>
      <c r="I2418" s="17">
        <v>45653</v>
      </c>
      <c r="J2418" s="18">
        <f>YEAR(Tabla1[[#This Row],[FECHA DE COMPRA]])</f>
        <v>2024</v>
      </c>
      <c r="K2418" s="19">
        <v>163.5</v>
      </c>
      <c r="L2418" s="20">
        <v>0.3</v>
      </c>
      <c r="M2418" s="19">
        <f>Tienda!$K889-Tienda!$K889*Tienda!$L889</f>
        <v>71.001000000000005</v>
      </c>
      <c r="N2418" s="3" t="s">
        <v>10039</v>
      </c>
      <c r="O2418" s="3" t="s">
        <v>10041</v>
      </c>
      <c r="P2418" s="17">
        <v>45653</v>
      </c>
      <c r="Q2418" s="4">
        <v>0</v>
      </c>
    </row>
    <row r="2419" spans="1:17" ht="30" x14ac:dyDescent="0.25">
      <c r="A2419" s="2" t="s">
        <v>4109</v>
      </c>
      <c r="B2419" s="3" t="s">
        <v>5015</v>
      </c>
      <c r="C2419" s="3">
        <v>46</v>
      </c>
      <c r="D2419" s="46" t="str">
        <f>IF(Tabla1[[#This Row],[EDAD]]&lt;=35,"Adultos jóvenes 18 - 35 años",IF(C2419&gt;=36,"Adultos mayores 36 años en adelante"))</f>
        <v>Adultos mayores 36 años en adelante</v>
      </c>
      <c r="E2419" s="3" t="s">
        <v>5022</v>
      </c>
      <c r="F2419" s="3" t="s">
        <v>5027</v>
      </c>
      <c r="G2419" s="3" t="s">
        <v>5033</v>
      </c>
      <c r="H2419" s="3" t="s">
        <v>9132</v>
      </c>
      <c r="I2419" s="17">
        <v>45653</v>
      </c>
      <c r="J2419" s="18">
        <f>YEAR(Tabla1[[#This Row],[FECHA DE COMPRA]])</f>
        <v>2024</v>
      </c>
      <c r="K2419" s="19">
        <v>187.34</v>
      </c>
      <c r="L2419" s="20">
        <v>0.1</v>
      </c>
      <c r="M2419" s="19">
        <f>Tienda!$K890-Tienda!$K890*Tienda!$L890</f>
        <v>162.018</v>
      </c>
      <c r="N2419" s="3" t="s">
        <v>10039</v>
      </c>
      <c r="O2419" s="3" t="s">
        <v>10041</v>
      </c>
      <c r="P2419" s="17">
        <v>45653</v>
      </c>
      <c r="Q2419" s="4">
        <v>0</v>
      </c>
    </row>
    <row r="2420" spans="1:17" ht="30" x14ac:dyDescent="0.25">
      <c r="A2420" s="2" t="s">
        <v>1836</v>
      </c>
      <c r="B2420" s="3" t="s">
        <v>5015</v>
      </c>
      <c r="C2420" s="3">
        <v>38</v>
      </c>
      <c r="D2420" s="46" t="str">
        <f>IF(Tabla1[[#This Row],[EDAD]]&lt;=35,"Adultos jóvenes 18 - 35 años",IF(C2420&gt;=36,"Adultos mayores 36 años en adelante"))</f>
        <v>Adultos mayores 36 años en adelante</v>
      </c>
      <c r="E2420" s="3" t="s">
        <v>5022</v>
      </c>
      <c r="F2420" s="3" t="s">
        <v>5024</v>
      </c>
      <c r="G2420" s="3" t="s">
        <v>5034</v>
      </c>
      <c r="H2420" s="3" t="s">
        <v>6859</v>
      </c>
      <c r="I2420" s="17">
        <v>45654</v>
      </c>
      <c r="J2420" s="18">
        <f>YEAR(Tabla1[[#This Row],[FECHA DE COMPRA]])</f>
        <v>2024</v>
      </c>
      <c r="K2420" s="19">
        <v>17.77</v>
      </c>
      <c r="L2420" s="20">
        <v>0</v>
      </c>
      <c r="M2420" s="19">
        <f>Tienda!$K891-Tienda!$K891*Tienda!$L891</f>
        <v>156.63200000000001</v>
      </c>
      <c r="N2420" s="3" t="s">
        <v>10039</v>
      </c>
      <c r="O2420" s="3" t="s">
        <v>10041</v>
      </c>
      <c r="P2420" s="17">
        <v>45654</v>
      </c>
      <c r="Q2420" s="4">
        <v>0</v>
      </c>
    </row>
    <row r="2421" spans="1:17" ht="30" x14ac:dyDescent="0.25">
      <c r="A2421" s="2" t="s">
        <v>2171</v>
      </c>
      <c r="B2421" s="3" t="s">
        <v>5015</v>
      </c>
      <c r="C2421" s="3">
        <v>39</v>
      </c>
      <c r="D2421" s="46" t="str">
        <f>IF(Tabla1[[#This Row],[EDAD]]&lt;=35,"Adultos jóvenes 18 - 35 años",IF(C2421&gt;=36,"Adultos mayores 36 años en adelante"))</f>
        <v>Adultos mayores 36 años en adelante</v>
      </c>
      <c r="E2421" s="3" t="s">
        <v>5020</v>
      </c>
      <c r="F2421" s="3" t="s">
        <v>5027</v>
      </c>
      <c r="G2421" s="3" t="s">
        <v>5033</v>
      </c>
      <c r="H2421" s="3" t="s">
        <v>7194</v>
      </c>
      <c r="I2421" s="17">
        <v>45654</v>
      </c>
      <c r="J2421" s="18">
        <f>YEAR(Tabla1[[#This Row],[FECHA DE COMPRA]])</f>
        <v>2024</v>
      </c>
      <c r="K2421" s="19">
        <v>80.03</v>
      </c>
      <c r="L2421" s="20">
        <v>0.3</v>
      </c>
      <c r="M2421" s="19">
        <f>Tienda!$K892-Tienda!$K892*Tienda!$L892</f>
        <v>18.97</v>
      </c>
      <c r="N2421" s="3" t="s">
        <v>10039</v>
      </c>
      <c r="O2421" s="3" t="s">
        <v>10041</v>
      </c>
      <c r="P2421" s="17">
        <v>45654</v>
      </c>
      <c r="Q2421" s="4">
        <v>0</v>
      </c>
    </row>
    <row r="2422" spans="1:17" ht="30" x14ac:dyDescent="0.25">
      <c r="A2422" s="2" t="s">
        <v>4061</v>
      </c>
      <c r="B2422" s="3" t="s">
        <v>5015</v>
      </c>
      <c r="C2422" s="3">
        <v>52</v>
      </c>
      <c r="D2422" s="46" t="str">
        <f>IF(Tabla1[[#This Row],[EDAD]]&lt;=35,"Adultos jóvenes 18 - 35 años",IF(C2422&gt;=36,"Adultos mayores 36 años en adelante"))</f>
        <v>Adultos mayores 36 años en adelante</v>
      </c>
      <c r="E2422" s="3" t="s">
        <v>5018</v>
      </c>
      <c r="F2422" s="3" t="s">
        <v>5030</v>
      </c>
      <c r="G2422" s="3" t="s">
        <v>5037</v>
      </c>
      <c r="H2422" s="3" t="s">
        <v>9084</v>
      </c>
      <c r="I2422" s="17">
        <v>45654</v>
      </c>
      <c r="J2422" s="18">
        <f>YEAR(Tabla1[[#This Row],[FECHA DE COMPRA]])</f>
        <v>2024</v>
      </c>
      <c r="K2422" s="19">
        <v>109.36</v>
      </c>
      <c r="L2422" s="20">
        <v>0</v>
      </c>
      <c r="M2422" s="19">
        <f>Tienda!$K893-Tienda!$K893*Tienda!$L893</f>
        <v>28.99</v>
      </c>
      <c r="N2422" s="3" t="s">
        <v>10039</v>
      </c>
      <c r="O2422" s="3" t="s">
        <v>10041</v>
      </c>
      <c r="P2422" s="17">
        <v>45654</v>
      </c>
      <c r="Q2422" s="4">
        <v>0</v>
      </c>
    </row>
    <row r="2423" spans="1:17" ht="30" x14ac:dyDescent="0.25">
      <c r="A2423" s="2" t="s">
        <v>2517</v>
      </c>
      <c r="B2423" s="3" t="s">
        <v>5015</v>
      </c>
      <c r="C2423" s="3">
        <v>43</v>
      </c>
      <c r="D2423" s="46" t="str">
        <f>IF(Tabla1[[#This Row],[EDAD]]&lt;=35,"Adultos jóvenes 18 - 35 años",IF(C2423&gt;=36,"Adultos mayores 36 años en adelante"))</f>
        <v>Adultos mayores 36 años en adelante</v>
      </c>
      <c r="E2423" s="3" t="s">
        <v>5022</v>
      </c>
      <c r="F2423" s="3" t="s">
        <v>5025</v>
      </c>
      <c r="G2423" s="3" t="s">
        <v>5032</v>
      </c>
      <c r="H2423" s="3" t="s">
        <v>7540</v>
      </c>
      <c r="I2423" s="17">
        <v>45655</v>
      </c>
      <c r="J2423" s="18">
        <f>YEAR(Tabla1[[#This Row],[FECHA DE COMPRA]])</f>
        <v>2024</v>
      </c>
      <c r="K2423" s="19">
        <v>64.39</v>
      </c>
      <c r="L2423" s="20">
        <v>0</v>
      </c>
      <c r="M2423" s="19">
        <f>Tienda!$K894-Tienda!$K894*Tienda!$L894</f>
        <v>63.82</v>
      </c>
      <c r="N2423" s="3" t="s">
        <v>10039</v>
      </c>
      <c r="O2423" s="3" t="s">
        <v>10041</v>
      </c>
      <c r="P2423" s="17">
        <v>45655</v>
      </c>
      <c r="Q2423" s="4">
        <v>0</v>
      </c>
    </row>
    <row r="2424" spans="1:17" ht="30" x14ac:dyDescent="0.25">
      <c r="A2424" s="2" t="s">
        <v>781</v>
      </c>
      <c r="B2424" s="3" t="s">
        <v>5015</v>
      </c>
      <c r="C2424" s="3">
        <v>61</v>
      </c>
      <c r="D2424" s="46" t="str">
        <f>IF(Tabla1[[#This Row],[EDAD]]&lt;=35,"Adultos jóvenes 18 - 35 años",IF(C2424&gt;=36,"Adultos mayores 36 años en adelante"))</f>
        <v>Adultos mayores 36 años en adelante</v>
      </c>
      <c r="E2424" s="3" t="s">
        <v>5020</v>
      </c>
      <c r="F2424" s="3" t="s">
        <v>5024</v>
      </c>
      <c r="G2424" s="3" t="s">
        <v>5037</v>
      </c>
      <c r="H2424" s="3" t="s">
        <v>5804</v>
      </c>
      <c r="I2424" s="17">
        <v>45656</v>
      </c>
      <c r="J2424" s="18">
        <f>YEAR(Tabla1[[#This Row],[FECHA DE COMPRA]])</f>
        <v>2024</v>
      </c>
      <c r="K2424" s="19">
        <v>63.2</v>
      </c>
      <c r="L2424" s="20">
        <v>0.3</v>
      </c>
      <c r="M2424" s="19">
        <f>Tienda!$K897-Tienda!$K897*Tienda!$L897</f>
        <v>52.381</v>
      </c>
      <c r="N2424" s="3" t="s">
        <v>10039</v>
      </c>
      <c r="O2424" s="3" t="s">
        <v>10041</v>
      </c>
      <c r="P2424" s="17">
        <v>45656</v>
      </c>
      <c r="Q2424" s="4">
        <v>0</v>
      </c>
    </row>
    <row r="2425" spans="1:17" ht="30" x14ac:dyDescent="0.25">
      <c r="A2425" s="2" t="s">
        <v>1369</v>
      </c>
      <c r="B2425" s="3" t="s">
        <v>5015</v>
      </c>
      <c r="C2425" s="3">
        <v>41</v>
      </c>
      <c r="D2425" s="46" t="str">
        <f>IF(Tabla1[[#This Row],[EDAD]]&lt;=35,"Adultos jóvenes 18 - 35 años",IF(C2425&gt;=36,"Adultos mayores 36 años en adelante"))</f>
        <v>Adultos mayores 36 años en adelante</v>
      </c>
      <c r="E2425" s="3" t="s">
        <v>5020</v>
      </c>
      <c r="F2425" s="3" t="s">
        <v>5024</v>
      </c>
      <c r="G2425" s="3" t="s">
        <v>5037</v>
      </c>
      <c r="H2425" s="3" t="s">
        <v>6392</v>
      </c>
      <c r="I2425" s="17">
        <v>45656</v>
      </c>
      <c r="J2425" s="18">
        <f>YEAR(Tabla1[[#This Row],[FECHA DE COMPRA]])</f>
        <v>2024</v>
      </c>
      <c r="K2425" s="19">
        <v>138.41</v>
      </c>
      <c r="L2425" s="20">
        <v>0</v>
      </c>
      <c r="M2425" s="19">
        <f>Tienda!$K898-Tienda!$K898*Tienda!$L898</f>
        <v>53.367999999999995</v>
      </c>
      <c r="N2425" s="3" t="s">
        <v>10039</v>
      </c>
      <c r="O2425" s="3" t="s">
        <v>10041</v>
      </c>
      <c r="P2425" s="17">
        <v>45656</v>
      </c>
      <c r="Q2425" s="4">
        <v>0</v>
      </c>
    </row>
    <row r="2426" spans="1:17" ht="30" x14ac:dyDescent="0.25">
      <c r="A2426" s="2" t="s">
        <v>2390</v>
      </c>
      <c r="B2426" s="3" t="s">
        <v>5015</v>
      </c>
      <c r="C2426" s="3">
        <v>36</v>
      </c>
      <c r="D2426" s="46" t="str">
        <f>IF(Tabla1[[#This Row],[EDAD]]&lt;=35,"Adultos jóvenes 18 - 35 años",IF(C2426&gt;=36,"Adultos mayores 36 años en adelante"))</f>
        <v>Adultos mayores 36 años en adelante</v>
      </c>
      <c r="E2426" s="3" t="s">
        <v>5018</v>
      </c>
      <c r="F2426" s="3" t="s">
        <v>5025</v>
      </c>
      <c r="G2426" s="3" t="s">
        <v>5035</v>
      </c>
      <c r="H2426" s="3" t="s">
        <v>7413</v>
      </c>
      <c r="I2426" s="17">
        <v>45656</v>
      </c>
      <c r="J2426" s="18">
        <f>YEAR(Tabla1[[#This Row],[FECHA DE COMPRA]])</f>
        <v>2024</v>
      </c>
      <c r="K2426" s="19">
        <v>181.95</v>
      </c>
      <c r="L2426" s="20">
        <v>0</v>
      </c>
      <c r="M2426" s="19">
        <f>Tienda!$K899-Tienda!$K899*Tienda!$L899</f>
        <v>104.61600000000001</v>
      </c>
      <c r="N2426" s="3" t="s">
        <v>10039</v>
      </c>
      <c r="O2426" s="3" t="s">
        <v>10041</v>
      </c>
      <c r="P2426" s="17">
        <v>45656</v>
      </c>
      <c r="Q2426" s="4">
        <v>0</v>
      </c>
    </row>
    <row r="2427" spans="1:17" ht="30" x14ac:dyDescent="0.25">
      <c r="A2427" s="2" t="s">
        <v>4928</v>
      </c>
      <c r="B2427" s="3" t="s">
        <v>5016</v>
      </c>
      <c r="C2427" s="3">
        <v>40</v>
      </c>
      <c r="D2427" s="46" t="str">
        <f>IF(Tabla1[[#This Row],[EDAD]]&lt;=35,"Adultos jóvenes 18 - 35 años",IF(C2427&gt;=36,"Adultos mayores 36 años en adelante"))</f>
        <v>Adultos mayores 36 años en adelante</v>
      </c>
      <c r="E2427" s="3" t="s">
        <v>5019</v>
      </c>
      <c r="F2427" s="3" t="s">
        <v>5024</v>
      </c>
      <c r="G2427" s="3" t="s">
        <v>5031</v>
      </c>
      <c r="H2427" s="3" t="s">
        <v>9951</v>
      </c>
      <c r="I2427" s="17">
        <v>45657</v>
      </c>
      <c r="J2427" s="18">
        <f>YEAR(Tabla1[[#This Row],[FECHA DE COMPRA]])</f>
        <v>2024</v>
      </c>
      <c r="K2427" s="19">
        <v>49.74</v>
      </c>
      <c r="L2427" s="20">
        <v>0.1</v>
      </c>
      <c r="M2427" s="19">
        <f>Tienda!$K900-Tienda!$K900*Tienda!$L900</f>
        <v>100.96800000000002</v>
      </c>
      <c r="N2427" s="3" t="s">
        <v>10039</v>
      </c>
      <c r="O2427" s="3" t="s">
        <v>10041</v>
      </c>
      <c r="P2427" s="17">
        <v>45657</v>
      </c>
      <c r="Q2427" s="4">
        <v>0</v>
      </c>
    </row>
    <row r="2428" spans="1:17" ht="30" x14ac:dyDescent="0.25">
      <c r="A2428" s="2" t="s">
        <v>4620</v>
      </c>
      <c r="B2428" s="3" t="s">
        <v>5015</v>
      </c>
      <c r="C2428" s="3">
        <v>55</v>
      </c>
      <c r="D2428" s="46" t="str">
        <f>IF(Tabla1[[#This Row],[EDAD]]&lt;=35,"Adultos jóvenes 18 - 35 años",IF(C2428&gt;=36,"Adultos mayores 36 años en adelante"))</f>
        <v>Adultos mayores 36 años en adelante</v>
      </c>
      <c r="E2428" s="3" t="s">
        <v>5018</v>
      </c>
      <c r="F2428" s="3" t="s">
        <v>5025</v>
      </c>
      <c r="G2428" s="3" t="s">
        <v>5036</v>
      </c>
      <c r="H2428" s="3" t="s">
        <v>9643</v>
      </c>
      <c r="I2428" s="17">
        <v>45657</v>
      </c>
      <c r="J2428" s="18">
        <f>YEAR(Tabla1[[#This Row],[FECHA DE COMPRA]])</f>
        <v>2024</v>
      </c>
      <c r="K2428" s="19">
        <v>121.31</v>
      </c>
      <c r="L2428" s="20">
        <v>0.1</v>
      </c>
      <c r="M2428" s="19">
        <f>Tienda!$K902-Tienda!$K902*Tienda!$L902</f>
        <v>173.44800000000001</v>
      </c>
      <c r="N2428" s="3" t="s">
        <v>10039</v>
      </c>
      <c r="O2428" s="3" t="s">
        <v>10041</v>
      </c>
      <c r="P2428" s="17">
        <v>45657</v>
      </c>
      <c r="Q2428" s="4">
        <v>0</v>
      </c>
    </row>
    <row r="2429" spans="1:17" ht="30" x14ac:dyDescent="0.25">
      <c r="A2429" s="2" t="s">
        <v>2355</v>
      </c>
      <c r="B2429" s="3" t="s">
        <v>5015</v>
      </c>
      <c r="C2429" s="3">
        <v>37</v>
      </c>
      <c r="D2429" s="46" t="str">
        <f>IF(Tabla1[[#This Row],[EDAD]]&lt;=35,"Adultos jóvenes 18 - 35 años",IF(C2429&gt;=36,"Adultos mayores 36 años en adelante"))</f>
        <v>Adultos mayores 36 años en adelante</v>
      </c>
      <c r="E2429" s="3" t="s">
        <v>5020</v>
      </c>
      <c r="F2429" s="3" t="s">
        <v>5030</v>
      </c>
      <c r="G2429" s="3" t="s">
        <v>5032</v>
      </c>
      <c r="H2429" s="3" t="s">
        <v>7378</v>
      </c>
      <c r="I2429" s="17">
        <v>45701</v>
      </c>
      <c r="J2429" s="18">
        <f>YEAR(Tabla1[[#This Row],[FECHA DE COMPRA]])</f>
        <v>2025</v>
      </c>
      <c r="K2429" s="19">
        <v>115.46</v>
      </c>
      <c r="L2429" s="20">
        <v>0.3</v>
      </c>
      <c r="M2429" s="19">
        <f>Tienda!$K3107-Tienda!$K3107*Tienda!$L3107</f>
        <v>47.72</v>
      </c>
      <c r="N2429" s="3" t="s">
        <v>10039</v>
      </c>
      <c r="O2429" s="3" t="s">
        <v>10041</v>
      </c>
      <c r="P2429" s="17">
        <v>45685</v>
      </c>
      <c r="Q2429" s="4">
        <v>0</v>
      </c>
    </row>
    <row r="2430" spans="1:17" ht="30" x14ac:dyDescent="0.25">
      <c r="A2430" s="2" t="s">
        <v>2645</v>
      </c>
      <c r="B2430" s="3" t="s">
        <v>5016</v>
      </c>
      <c r="C2430" s="3">
        <v>47</v>
      </c>
      <c r="D2430" s="46" t="str">
        <f>IF(Tabla1[[#This Row],[EDAD]]&lt;=35,"Adultos jóvenes 18 - 35 años",IF(C2430&gt;=36,"Adultos mayores 36 años en adelante"))</f>
        <v>Adultos mayores 36 años en adelante</v>
      </c>
      <c r="E2430" s="3" t="s">
        <v>5021</v>
      </c>
      <c r="F2430" s="3" t="s">
        <v>5025</v>
      </c>
      <c r="G2430" s="3" t="s">
        <v>5035</v>
      </c>
      <c r="H2430" s="3" t="s">
        <v>7668</v>
      </c>
      <c r="I2430" s="17">
        <v>45663</v>
      </c>
      <c r="J2430" s="18">
        <f>YEAR(Tabla1[[#This Row],[FECHA DE COMPRA]])</f>
        <v>2025</v>
      </c>
      <c r="K2430" s="19">
        <v>133.19999999999999</v>
      </c>
      <c r="L2430" s="20">
        <v>0.1</v>
      </c>
      <c r="M2430" s="19">
        <f>Tienda!$K3108-Tienda!$K3108*Tienda!$L3108</f>
        <v>49.160000000000004</v>
      </c>
      <c r="N2430" s="3" t="s">
        <v>10039</v>
      </c>
      <c r="O2430" s="3" t="s">
        <v>10041</v>
      </c>
      <c r="P2430" s="17">
        <v>45663</v>
      </c>
      <c r="Q2430" s="4">
        <v>0</v>
      </c>
    </row>
    <row r="2431" spans="1:17" ht="30" x14ac:dyDescent="0.25">
      <c r="A2431" s="2" t="s">
        <v>424</v>
      </c>
      <c r="B2431" s="3" t="s">
        <v>5015</v>
      </c>
      <c r="C2431" s="3">
        <v>47</v>
      </c>
      <c r="D2431" s="46" t="str">
        <f>IF(Tabla1[[#This Row],[EDAD]]&lt;=35,"Adultos jóvenes 18 - 35 años",IF(C2431&gt;=36,"Adultos mayores 36 años en adelante"))</f>
        <v>Adultos mayores 36 años en adelante</v>
      </c>
      <c r="E2431" s="3" t="s">
        <v>5020</v>
      </c>
      <c r="F2431" s="3" t="s">
        <v>5028</v>
      </c>
      <c r="G2431" s="3" t="s">
        <v>5031</v>
      </c>
      <c r="H2431" s="3" t="s">
        <v>5447</v>
      </c>
      <c r="I2431" s="17">
        <v>45664</v>
      </c>
      <c r="J2431" s="18">
        <f>YEAR(Tabla1[[#This Row],[FECHA DE COMPRA]])</f>
        <v>2025</v>
      </c>
      <c r="K2431" s="19">
        <v>133.34</v>
      </c>
      <c r="L2431" s="20">
        <v>0.1</v>
      </c>
      <c r="M2431" s="19">
        <f>Tienda!$K3109-Tienda!$K3109*Tienda!$L3109</f>
        <v>50.435000000000002</v>
      </c>
      <c r="N2431" s="3" t="s">
        <v>10039</v>
      </c>
      <c r="O2431" s="3" t="s">
        <v>10041</v>
      </c>
      <c r="P2431" s="17">
        <v>45664</v>
      </c>
      <c r="Q2431" s="4">
        <v>0</v>
      </c>
    </row>
    <row r="2432" spans="1:17" ht="30" x14ac:dyDescent="0.25">
      <c r="A2432" s="2" t="s">
        <v>637</v>
      </c>
      <c r="B2432" s="3" t="s">
        <v>5015</v>
      </c>
      <c r="C2432" s="3">
        <v>43</v>
      </c>
      <c r="D2432" s="46" t="str">
        <f>IF(Tabla1[[#This Row],[EDAD]]&lt;=35,"Adultos jóvenes 18 - 35 años",IF(C2432&gt;=36,"Adultos mayores 36 años en adelante"))</f>
        <v>Adultos mayores 36 años en adelante</v>
      </c>
      <c r="E2432" s="3" t="s">
        <v>5021</v>
      </c>
      <c r="F2432" s="3" t="s">
        <v>5026</v>
      </c>
      <c r="G2432" s="3" t="s">
        <v>5035</v>
      </c>
      <c r="H2432" s="3" t="s">
        <v>5660</v>
      </c>
      <c r="I2432" s="17">
        <v>45677</v>
      </c>
      <c r="J2432" s="18">
        <f>YEAR(Tabla1[[#This Row],[FECHA DE COMPRA]])</f>
        <v>2025</v>
      </c>
      <c r="K2432" s="19">
        <v>134.63999999999999</v>
      </c>
      <c r="L2432" s="20">
        <v>0.2</v>
      </c>
      <c r="M2432" s="19">
        <f>Tienda!$K3110-Tienda!$K3110*Tienda!$L3110</f>
        <v>51.359000000000009</v>
      </c>
      <c r="N2432" s="3" t="s">
        <v>10039</v>
      </c>
      <c r="O2432" s="3" t="s">
        <v>10041</v>
      </c>
      <c r="P2432" s="17">
        <v>45677</v>
      </c>
      <c r="Q2432" s="4">
        <v>0</v>
      </c>
    </row>
    <row r="2433" spans="1:17" ht="30" x14ac:dyDescent="0.25">
      <c r="A2433" s="2" t="s">
        <v>3058</v>
      </c>
      <c r="B2433" s="3" t="s">
        <v>5016</v>
      </c>
      <c r="C2433" s="3">
        <v>58</v>
      </c>
      <c r="D2433" s="46" t="str">
        <f>IF(Tabla1[[#This Row],[EDAD]]&lt;=35,"Adultos jóvenes 18 - 35 años",IF(C2433&gt;=36,"Adultos mayores 36 años en adelante"))</f>
        <v>Adultos mayores 36 años en adelante</v>
      </c>
      <c r="E2433" s="3" t="s">
        <v>5017</v>
      </c>
      <c r="F2433" s="3" t="s">
        <v>5028</v>
      </c>
      <c r="G2433" s="3" t="s">
        <v>5031</v>
      </c>
      <c r="H2433" s="3" t="s">
        <v>8081</v>
      </c>
      <c r="I2433" s="17">
        <v>45661</v>
      </c>
      <c r="J2433" s="18">
        <f>YEAR(Tabla1[[#This Row],[FECHA DE COMPRA]])</f>
        <v>2025</v>
      </c>
      <c r="K2433" s="19">
        <v>154.91</v>
      </c>
      <c r="L2433" s="20">
        <v>0.2</v>
      </c>
      <c r="M2433" s="19">
        <f>Tienda!$K3112-Tienda!$K3112*Tienda!$L3112</f>
        <v>52.32</v>
      </c>
      <c r="N2433" s="3" t="s">
        <v>10039</v>
      </c>
      <c r="O2433" s="3" t="s">
        <v>10041</v>
      </c>
      <c r="P2433" s="17">
        <v>45661</v>
      </c>
      <c r="Q2433" s="4">
        <v>0</v>
      </c>
    </row>
    <row r="2434" spans="1:17" ht="30" x14ac:dyDescent="0.25">
      <c r="A2434" s="2" t="s">
        <v>2640</v>
      </c>
      <c r="B2434" s="3" t="s">
        <v>5015</v>
      </c>
      <c r="C2434" s="3">
        <v>62</v>
      </c>
      <c r="D2434" s="46" t="str">
        <f>IF(Tabla1[[#This Row],[EDAD]]&lt;=35,"Adultos jóvenes 18 - 35 años",IF(C2434&gt;=36,"Adultos mayores 36 años en adelante"))</f>
        <v>Adultos mayores 36 años en adelante</v>
      </c>
      <c r="E2434" s="3" t="s">
        <v>5020</v>
      </c>
      <c r="F2434" s="3" t="s">
        <v>5025</v>
      </c>
      <c r="G2434" s="3" t="s">
        <v>5035</v>
      </c>
      <c r="H2434" s="3" t="s">
        <v>7663</v>
      </c>
      <c r="I2434" s="17">
        <v>45660</v>
      </c>
      <c r="J2434" s="18">
        <f>YEAR(Tabla1[[#This Row],[FECHA DE COMPRA]])</f>
        <v>2025</v>
      </c>
      <c r="K2434" s="19">
        <v>158.53</v>
      </c>
      <c r="L2434" s="20">
        <v>0.3</v>
      </c>
      <c r="M2434" s="19">
        <f>Tienda!$K3114-Tienda!$K3114*Tienda!$L3114</f>
        <v>53.879000000000005</v>
      </c>
      <c r="N2434" s="3" t="s">
        <v>10039</v>
      </c>
      <c r="O2434" s="3" t="s">
        <v>10041</v>
      </c>
      <c r="P2434" s="17">
        <v>45660</v>
      </c>
      <c r="Q2434" s="4">
        <v>0</v>
      </c>
    </row>
    <row r="2435" spans="1:17" ht="30" x14ac:dyDescent="0.25">
      <c r="A2435" s="2" t="s">
        <v>4493</v>
      </c>
      <c r="B2435" s="3" t="s">
        <v>5015</v>
      </c>
      <c r="C2435" s="3">
        <v>52</v>
      </c>
      <c r="D2435" s="46" t="str">
        <f>IF(Tabla1[[#This Row],[EDAD]]&lt;=35,"Adultos jóvenes 18 - 35 años",IF(C2435&gt;=36,"Adultos mayores 36 años en adelante"))</f>
        <v>Adultos mayores 36 años en adelante</v>
      </c>
      <c r="E2435" s="3" t="s">
        <v>5022</v>
      </c>
      <c r="F2435" s="3" t="s">
        <v>5026</v>
      </c>
      <c r="G2435" s="3" t="s">
        <v>5035</v>
      </c>
      <c r="H2435" s="3" t="s">
        <v>9516</v>
      </c>
      <c r="I2435" s="17">
        <v>45666</v>
      </c>
      <c r="J2435" s="18">
        <f>YEAR(Tabla1[[#This Row],[FECHA DE COMPRA]])</f>
        <v>2025</v>
      </c>
      <c r="K2435" s="19">
        <v>166.85</v>
      </c>
      <c r="L2435" s="20">
        <v>0</v>
      </c>
      <c r="M2435" s="19">
        <f>Tienda!$K3117-Tienda!$K3117*Tienda!$L3117</f>
        <v>55.593000000000004</v>
      </c>
      <c r="N2435" s="3" t="s">
        <v>10039</v>
      </c>
      <c r="O2435" s="3" t="s">
        <v>10041</v>
      </c>
      <c r="P2435" s="17">
        <v>45666</v>
      </c>
      <c r="Q2435" s="4">
        <v>0</v>
      </c>
    </row>
    <row r="2436" spans="1:17" ht="30" x14ac:dyDescent="0.25">
      <c r="A2436" s="2" t="s">
        <v>4192</v>
      </c>
      <c r="B2436" s="3" t="s">
        <v>5016</v>
      </c>
      <c r="C2436" s="3">
        <v>46</v>
      </c>
      <c r="D2436" s="46" t="str">
        <f>IF(Tabla1[[#This Row],[EDAD]]&lt;=35,"Adultos jóvenes 18 - 35 años",IF(C2436&gt;=36,"Adultos mayores 36 años en adelante"))</f>
        <v>Adultos mayores 36 años en adelante</v>
      </c>
      <c r="E2436" s="3" t="s">
        <v>5017</v>
      </c>
      <c r="F2436" s="3" t="s">
        <v>5024</v>
      </c>
      <c r="G2436" s="3" t="s">
        <v>5037</v>
      </c>
      <c r="H2436" s="3" t="s">
        <v>9215</v>
      </c>
      <c r="I2436" s="17">
        <v>45669</v>
      </c>
      <c r="J2436" s="18">
        <f>YEAR(Tabla1[[#This Row],[FECHA DE COMPRA]])</f>
        <v>2025</v>
      </c>
      <c r="K2436" s="19">
        <v>174.53</v>
      </c>
      <c r="L2436" s="20">
        <v>0</v>
      </c>
      <c r="M2436" s="19">
        <f>Tienda!$K3120-Tienda!$K3120*Tienda!$L3120</f>
        <v>56.097999999999999</v>
      </c>
      <c r="N2436" s="3" t="s">
        <v>10039</v>
      </c>
      <c r="O2436" s="3" t="s">
        <v>10041</v>
      </c>
      <c r="P2436" s="17">
        <v>45669</v>
      </c>
      <c r="Q2436" s="4">
        <v>0</v>
      </c>
    </row>
    <row r="2437" spans="1:17" ht="30" x14ac:dyDescent="0.25">
      <c r="A2437" s="2" t="s">
        <v>4366</v>
      </c>
      <c r="B2437" s="3" t="s">
        <v>5015</v>
      </c>
      <c r="C2437" s="3">
        <v>59</v>
      </c>
      <c r="D2437" s="46" t="str">
        <f>IF(Tabla1[[#This Row],[EDAD]]&lt;=35,"Adultos jóvenes 18 - 35 años",IF(C2437&gt;=36,"Adultos mayores 36 años en adelante"))</f>
        <v>Adultos mayores 36 años en adelante</v>
      </c>
      <c r="E2437" s="3" t="s">
        <v>5021</v>
      </c>
      <c r="F2437" s="3" t="s">
        <v>5024</v>
      </c>
      <c r="G2437" s="3" t="s">
        <v>5031</v>
      </c>
      <c r="H2437" s="3" t="s">
        <v>9389</v>
      </c>
      <c r="I2437" s="17">
        <v>45659</v>
      </c>
      <c r="J2437" s="18">
        <f>YEAR(Tabla1[[#This Row],[FECHA DE COMPRA]])</f>
        <v>2025</v>
      </c>
      <c r="K2437" s="19">
        <v>175.13</v>
      </c>
      <c r="L2437" s="20">
        <v>0.3</v>
      </c>
      <c r="M2437" s="19">
        <f>Tienda!$K3121-Tienda!$K3121*Tienda!$L3121</f>
        <v>56.56</v>
      </c>
      <c r="N2437" s="3" t="s">
        <v>10039</v>
      </c>
      <c r="O2437" s="3" t="s">
        <v>10041</v>
      </c>
      <c r="P2437" s="17">
        <v>45659</v>
      </c>
      <c r="Q2437" s="4">
        <v>0</v>
      </c>
    </row>
    <row r="2438" spans="1:17" ht="30" x14ac:dyDescent="0.25">
      <c r="A2438" s="2" t="s">
        <v>156</v>
      </c>
      <c r="B2438" s="3" t="s">
        <v>5015</v>
      </c>
      <c r="C2438" s="3">
        <v>54</v>
      </c>
      <c r="D2438" s="46" t="str">
        <f>IF(Tabla1[[#This Row],[EDAD]]&lt;=35,"Adultos jóvenes 18 - 35 años",IF(C2438&gt;=36,"Adultos mayores 36 años en adelante"))</f>
        <v>Adultos mayores 36 años en adelante</v>
      </c>
      <c r="E2438" s="3" t="s">
        <v>5023</v>
      </c>
      <c r="F2438" s="3" t="s">
        <v>5026</v>
      </c>
      <c r="G2438" s="3" t="s">
        <v>5035</v>
      </c>
      <c r="H2438" s="3" t="s">
        <v>5179</v>
      </c>
      <c r="I2438" s="17">
        <v>45691</v>
      </c>
      <c r="J2438" s="18">
        <f>YEAR(Tabla1[[#This Row],[FECHA DE COMPRA]])</f>
        <v>2025</v>
      </c>
      <c r="K2438" s="19">
        <v>34.32</v>
      </c>
      <c r="L2438" s="20">
        <v>0.3</v>
      </c>
      <c r="M2438" s="19">
        <f>Tienda!$K3124-Tienda!$K3124*Tienda!$L3124</f>
        <v>57.79</v>
      </c>
      <c r="N2438" s="3" t="s">
        <v>10039</v>
      </c>
      <c r="O2438" s="3" t="s">
        <v>10041</v>
      </c>
      <c r="P2438" s="17">
        <v>45691</v>
      </c>
      <c r="Q2438" s="4">
        <v>0</v>
      </c>
    </row>
    <row r="2439" spans="1:17" ht="30" x14ac:dyDescent="0.25">
      <c r="A2439" s="2" t="s">
        <v>3377</v>
      </c>
      <c r="B2439" s="3" t="s">
        <v>5015</v>
      </c>
      <c r="C2439" s="3">
        <v>41</v>
      </c>
      <c r="D2439" s="46" t="str">
        <f>IF(Tabla1[[#This Row],[EDAD]]&lt;=35,"Adultos jóvenes 18 - 35 años",IF(C2439&gt;=36,"Adultos mayores 36 años en adelante"))</f>
        <v>Adultos mayores 36 años en adelante</v>
      </c>
      <c r="E2439" s="3" t="s">
        <v>5023</v>
      </c>
      <c r="F2439" s="3" t="s">
        <v>5025</v>
      </c>
      <c r="G2439" s="3" t="s">
        <v>5034</v>
      </c>
      <c r="H2439" s="3" t="s">
        <v>8400</v>
      </c>
      <c r="I2439" s="17">
        <v>45692</v>
      </c>
      <c r="J2439" s="18">
        <f>YEAR(Tabla1[[#This Row],[FECHA DE COMPRA]])</f>
        <v>2025</v>
      </c>
      <c r="K2439" s="19">
        <v>11.4</v>
      </c>
      <c r="L2439" s="20">
        <v>0.1</v>
      </c>
      <c r="M2439" s="19">
        <f>Tienda!$K3127-Tienda!$K3127*Tienda!$L3127</f>
        <v>59.073</v>
      </c>
      <c r="N2439" s="3" t="s">
        <v>10039</v>
      </c>
      <c r="O2439" s="3" t="s">
        <v>10041</v>
      </c>
      <c r="P2439" s="17">
        <v>45692</v>
      </c>
      <c r="Q2439" s="4">
        <v>0</v>
      </c>
    </row>
    <row r="2440" spans="1:17" ht="30" x14ac:dyDescent="0.25">
      <c r="A2440" s="2" t="s">
        <v>4128</v>
      </c>
      <c r="B2440" s="3" t="s">
        <v>5015</v>
      </c>
      <c r="C2440" s="3">
        <v>62</v>
      </c>
      <c r="D2440" s="46" t="str">
        <f>IF(Tabla1[[#This Row],[EDAD]]&lt;=35,"Adultos jóvenes 18 - 35 años",IF(C2440&gt;=36,"Adultos mayores 36 años en adelante"))</f>
        <v>Adultos mayores 36 años en adelante</v>
      </c>
      <c r="E2440" s="3" t="s">
        <v>5019</v>
      </c>
      <c r="F2440" s="3" t="s">
        <v>5030</v>
      </c>
      <c r="G2440" s="3" t="s">
        <v>5033</v>
      </c>
      <c r="H2440" s="3" t="s">
        <v>9151</v>
      </c>
      <c r="I2440" s="17">
        <v>45692</v>
      </c>
      <c r="J2440" s="18">
        <f>YEAR(Tabla1[[#This Row],[FECHA DE COMPRA]])</f>
        <v>2025</v>
      </c>
      <c r="K2440" s="19">
        <v>21.17</v>
      </c>
      <c r="L2440" s="20">
        <v>0.2</v>
      </c>
      <c r="M2440" s="19">
        <f>Tienda!$K3128-Tienda!$K3128*Tienda!$L3128</f>
        <v>60.423999999999992</v>
      </c>
      <c r="N2440" s="3" t="s">
        <v>10039</v>
      </c>
      <c r="O2440" s="3" t="s">
        <v>10041</v>
      </c>
      <c r="P2440" s="17">
        <v>45692</v>
      </c>
      <c r="Q2440" s="4">
        <v>0</v>
      </c>
    </row>
    <row r="2441" spans="1:17" ht="30" x14ac:dyDescent="0.25">
      <c r="A2441" s="2" t="s">
        <v>4988</v>
      </c>
      <c r="B2441" s="3" t="s">
        <v>5016</v>
      </c>
      <c r="C2441" s="3">
        <v>44</v>
      </c>
      <c r="D2441" s="46" t="str">
        <f>IF(Tabla1[[#This Row],[EDAD]]&lt;=35,"Adultos jóvenes 18 - 35 años",IF(C2441&gt;=36,"Adultos mayores 36 años en adelante"))</f>
        <v>Adultos mayores 36 años en adelante</v>
      </c>
      <c r="E2441" s="3" t="s">
        <v>5019</v>
      </c>
      <c r="F2441" s="3" t="s">
        <v>5025</v>
      </c>
      <c r="G2441" s="3" t="s">
        <v>5034</v>
      </c>
      <c r="H2441" s="3" t="s">
        <v>10011</v>
      </c>
      <c r="I2441" s="17">
        <v>45692</v>
      </c>
      <c r="J2441" s="18">
        <f>YEAR(Tabla1[[#This Row],[FECHA DE COMPRA]])</f>
        <v>2025</v>
      </c>
      <c r="K2441" s="19">
        <v>51.2</v>
      </c>
      <c r="L2441" s="20">
        <v>0.2</v>
      </c>
      <c r="M2441" s="19">
        <f>Tienda!$K3129-Tienda!$K3129*Tienda!$L3129</f>
        <v>61.12</v>
      </c>
      <c r="N2441" s="3" t="s">
        <v>10039</v>
      </c>
      <c r="O2441" s="3" t="s">
        <v>10041</v>
      </c>
      <c r="P2441" s="17">
        <v>45692</v>
      </c>
      <c r="Q2441" s="4">
        <v>0</v>
      </c>
    </row>
    <row r="2442" spans="1:17" ht="30" x14ac:dyDescent="0.25">
      <c r="A2442" s="2" t="s">
        <v>2795</v>
      </c>
      <c r="B2442" s="3" t="s">
        <v>5016</v>
      </c>
      <c r="C2442" s="3">
        <v>49</v>
      </c>
      <c r="D2442" s="46" t="str">
        <f>IF(Tabla1[[#This Row],[EDAD]]&lt;=35,"Adultos jóvenes 18 - 35 años",IF(C2442&gt;=36,"Adultos mayores 36 años en adelante"))</f>
        <v>Adultos mayores 36 años en adelante</v>
      </c>
      <c r="E2442" s="3" t="s">
        <v>5021</v>
      </c>
      <c r="F2442" s="3" t="s">
        <v>5025</v>
      </c>
      <c r="G2442" s="3" t="s">
        <v>5032</v>
      </c>
      <c r="H2442" s="3" t="s">
        <v>7818</v>
      </c>
      <c r="I2442" s="17">
        <v>45692</v>
      </c>
      <c r="J2442" s="18">
        <f>YEAR(Tabla1[[#This Row],[FECHA DE COMPRA]])</f>
        <v>2025</v>
      </c>
      <c r="K2442" s="19">
        <v>94.33</v>
      </c>
      <c r="L2442" s="20">
        <v>0.2</v>
      </c>
      <c r="M2442" s="19">
        <f>Tienda!$K3130-Tienda!$K3130*Tienda!$L3130</f>
        <v>61.424999999999997</v>
      </c>
      <c r="N2442" s="3" t="s">
        <v>10039</v>
      </c>
      <c r="O2442" s="3" t="s">
        <v>10041</v>
      </c>
      <c r="P2442" s="17">
        <v>45692</v>
      </c>
      <c r="Q2442" s="4">
        <v>0</v>
      </c>
    </row>
    <row r="2443" spans="1:17" ht="30" x14ac:dyDescent="0.25">
      <c r="A2443" s="2" t="s">
        <v>3530</v>
      </c>
      <c r="B2443" s="3" t="s">
        <v>5015</v>
      </c>
      <c r="C2443" s="3">
        <v>42</v>
      </c>
      <c r="D2443" s="46" t="str">
        <f>IF(Tabla1[[#This Row],[EDAD]]&lt;=35,"Adultos jóvenes 18 - 35 años",IF(C2443&gt;=36,"Adultos mayores 36 años en adelante"))</f>
        <v>Adultos mayores 36 años en adelante</v>
      </c>
      <c r="E2443" s="3" t="s">
        <v>5018</v>
      </c>
      <c r="F2443" s="3" t="s">
        <v>5029</v>
      </c>
      <c r="G2443" s="3" t="s">
        <v>5036</v>
      </c>
      <c r="H2443" s="3" t="s">
        <v>8553</v>
      </c>
      <c r="I2443" s="17">
        <v>45694</v>
      </c>
      <c r="J2443" s="18">
        <f>YEAR(Tabla1[[#This Row],[FECHA DE COMPRA]])</f>
        <v>2025</v>
      </c>
      <c r="K2443" s="19">
        <v>113.62</v>
      </c>
      <c r="L2443" s="20">
        <v>0.1</v>
      </c>
      <c r="M2443" s="19">
        <f>Tienda!$K3132-Tienda!$K3132*Tienda!$L3132</f>
        <v>62.239999999999995</v>
      </c>
      <c r="N2443" s="3" t="s">
        <v>10039</v>
      </c>
      <c r="O2443" s="3" t="s">
        <v>10041</v>
      </c>
      <c r="P2443" s="17">
        <v>45694</v>
      </c>
      <c r="Q2443" s="4">
        <v>0</v>
      </c>
    </row>
    <row r="2444" spans="1:17" ht="30" x14ac:dyDescent="0.25">
      <c r="A2444" s="2" t="s">
        <v>2087</v>
      </c>
      <c r="B2444" s="3" t="s">
        <v>5016</v>
      </c>
      <c r="C2444" s="3">
        <v>58</v>
      </c>
      <c r="D2444" s="46" t="str">
        <f>IF(Tabla1[[#This Row],[EDAD]]&lt;=35,"Adultos jóvenes 18 - 35 años",IF(C2444&gt;=36,"Adultos mayores 36 años en adelante"))</f>
        <v>Adultos mayores 36 años en adelante</v>
      </c>
      <c r="E2444" s="3" t="s">
        <v>5019</v>
      </c>
      <c r="F2444" s="3" t="s">
        <v>5027</v>
      </c>
      <c r="G2444" s="3" t="s">
        <v>5035</v>
      </c>
      <c r="H2444" s="3" t="s">
        <v>7110</v>
      </c>
      <c r="I2444" s="17">
        <v>45696</v>
      </c>
      <c r="J2444" s="18">
        <f>YEAR(Tabla1[[#This Row],[FECHA DE COMPRA]])</f>
        <v>2025</v>
      </c>
      <c r="K2444" s="19">
        <v>165.64</v>
      </c>
      <c r="L2444" s="20">
        <v>0.2</v>
      </c>
      <c r="M2444" s="19">
        <f>Tienda!$K3136-Tienda!$K3136*Tienda!$L3136</f>
        <v>63.367999999999995</v>
      </c>
      <c r="N2444" s="3" t="s">
        <v>10039</v>
      </c>
      <c r="O2444" s="3" t="s">
        <v>10041</v>
      </c>
      <c r="P2444" s="17">
        <v>45696</v>
      </c>
      <c r="Q2444" s="4">
        <v>0</v>
      </c>
    </row>
    <row r="2445" spans="1:17" ht="30" x14ac:dyDescent="0.25">
      <c r="A2445" s="2" t="s">
        <v>3767</v>
      </c>
      <c r="B2445" s="3" t="s">
        <v>5015</v>
      </c>
      <c r="C2445" s="3">
        <v>56</v>
      </c>
      <c r="D2445" s="46" t="str">
        <f>IF(Tabla1[[#This Row],[EDAD]]&lt;=35,"Adultos jóvenes 18 - 35 años",IF(C2445&gt;=36,"Adultos mayores 36 años en adelante"))</f>
        <v>Adultos mayores 36 años en adelante</v>
      </c>
      <c r="E2445" s="3" t="s">
        <v>5017</v>
      </c>
      <c r="F2445" s="3" t="s">
        <v>5028</v>
      </c>
      <c r="G2445" s="3" t="s">
        <v>5033</v>
      </c>
      <c r="H2445" s="3" t="s">
        <v>8790</v>
      </c>
      <c r="I2445" s="17">
        <v>45697</v>
      </c>
      <c r="J2445" s="18">
        <f>YEAR(Tabla1[[#This Row],[FECHA DE COMPRA]])</f>
        <v>2025</v>
      </c>
      <c r="K2445" s="19">
        <v>62.29</v>
      </c>
      <c r="L2445" s="20">
        <v>0</v>
      </c>
      <c r="M2445" s="19">
        <f>Tienda!$K3137-Tienda!$K3137*Tienda!$L3137</f>
        <v>63.62</v>
      </c>
      <c r="N2445" s="3" t="s">
        <v>10039</v>
      </c>
      <c r="O2445" s="3" t="s">
        <v>10041</v>
      </c>
      <c r="P2445" s="17">
        <v>45697</v>
      </c>
      <c r="Q2445" s="4">
        <v>0</v>
      </c>
    </row>
    <row r="2446" spans="1:17" ht="30" x14ac:dyDescent="0.25">
      <c r="A2446" s="2" t="s">
        <v>67</v>
      </c>
      <c r="B2446" s="3" t="s">
        <v>5015</v>
      </c>
      <c r="C2446" s="3">
        <v>48</v>
      </c>
      <c r="D2446" s="46" t="str">
        <f>IF(Tabla1[[#This Row],[EDAD]]&lt;=35,"Adultos jóvenes 18 - 35 años",IF(C2446&gt;=36,"Adultos mayores 36 años en adelante"))</f>
        <v>Adultos mayores 36 años en adelante</v>
      </c>
      <c r="E2446" s="3" t="s">
        <v>5023</v>
      </c>
      <c r="F2446" s="3" t="s">
        <v>5026</v>
      </c>
      <c r="G2446" s="3" t="s">
        <v>5036</v>
      </c>
      <c r="H2446" s="3" t="s">
        <v>5090</v>
      </c>
      <c r="I2446" s="17">
        <v>45704</v>
      </c>
      <c r="J2446" s="18">
        <f>YEAR(Tabla1[[#This Row],[FECHA DE COMPRA]])</f>
        <v>2025</v>
      </c>
      <c r="K2446" s="19">
        <v>30.1</v>
      </c>
      <c r="L2446" s="20">
        <v>0.2</v>
      </c>
      <c r="M2446" s="19">
        <f>Tienda!$K3139-Tienda!$K3139*Tienda!$L3139</f>
        <v>66.328000000000003</v>
      </c>
      <c r="N2446" s="3" t="s">
        <v>10039</v>
      </c>
      <c r="O2446" s="3" t="s">
        <v>10041</v>
      </c>
      <c r="P2446" s="17">
        <v>45704</v>
      </c>
      <c r="Q2446" s="4">
        <v>0</v>
      </c>
    </row>
    <row r="2447" spans="1:17" ht="30" x14ac:dyDescent="0.25">
      <c r="A2447" s="2" t="s">
        <v>4959</v>
      </c>
      <c r="B2447" s="3" t="s">
        <v>5015</v>
      </c>
      <c r="C2447" s="3">
        <v>62</v>
      </c>
      <c r="D2447" s="46" t="str">
        <f>IF(Tabla1[[#This Row],[EDAD]]&lt;=35,"Adultos jóvenes 18 - 35 años",IF(C2447&gt;=36,"Adultos mayores 36 años en adelante"))</f>
        <v>Adultos mayores 36 años en adelante</v>
      </c>
      <c r="E2447" s="3" t="s">
        <v>5018</v>
      </c>
      <c r="F2447" s="3" t="s">
        <v>5030</v>
      </c>
      <c r="G2447" s="3" t="s">
        <v>5032</v>
      </c>
      <c r="H2447" s="3" t="s">
        <v>9982</v>
      </c>
      <c r="I2447" s="17">
        <v>45704</v>
      </c>
      <c r="J2447" s="18">
        <f>YEAR(Tabla1[[#This Row],[FECHA DE COMPRA]])</f>
        <v>2025</v>
      </c>
      <c r="K2447" s="19">
        <v>186.44</v>
      </c>
      <c r="L2447" s="20">
        <v>0.3</v>
      </c>
      <c r="M2447" s="19">
        <f>Tienda!$K3141-Tienda!$K3141*Tienda!$L3141</f>
        <v>66.424000000000007</v>
      </c>
      <c r="N2447" s="3" t="s">
        <v>10039</v>
      </c>
      <c r="O2447" s="3" t="s">
        <v>10041</v>
      </c>
      <c r="P2447" s="17">
        <v>45704</v>
      </c>
      <c r="Q2447" s="4">
        <v>0</v>
      </c>
    </row>
    <row r="2448" spans="1:17" ht="30" x14ac:dyDescent="0.25">
      <c r="A2448" s="2" t="s">
        <v>1399</v>
      </c>
      <c r="B2448" s="3" t="s">
        <v>5015</v>
      </c>
      <c r="C2448" s="3">
        <v>65</v>
      </c>
      <c r="D2448" s="46" t="str">
        <f>IF(Tabla1[[#This Row],[EDAD]]&lt;=35,"Adultos jóvenes 18 - 35 años",IF(C2448&gt;=36,"Adultos mayores 36 años en adelante"))</f>
        <v>Adultos mayores 36 años en adelante</v>
      </c>
      <c r="E2448" s="3" t="s">
        <v>5020</v>
      </c>
      <c r="F2448" s="3" t="s">
        <v>5026</v>
      </c>
      <c r="G2448" s="3" t="s">
        <v>5035</v>
      </c>
      <c r="H2448" s="3" t="s">
        <v>6422</v>
      </c>
      <c r="I2448" s="17">
        <v>45705</v>
      </c>
      <c r="J2448" s="18">
        <f>YEAR(Tabla1[[#This Row],[FECHA DE COMPRA]])</f>
        <v>2025</v>
      </c>
      <c r="K2448" s="19">
        <v>59.68</v>
      </c>
      <c r="L2448" s="20">
        <v>0.1</v>
      </c>
      <c r="M2448" s="19">
        <f>Tienda!$K3142-Tienda!$K3142*Tienda!$L3142</f>
        <v>67.16</v>
      </c>
      <c r="N2448" s="3" t="s">
        <v>10039</v>
      </c>
      <c r="O2448" s="3" t="s">
        <v>10041</v>
      </c>
      <c r="P2448" s="17">
        <v>45705</v>
      </c>
      <c r="Q2448" s="4">
        <v>0</v>
      </c>
    </row>
    <row r="2449" spans="1:17" ht="30" x14ac:dyDescent="0.25">
      <c r="A2449" s="2" t="s">
        <v>3486</v>
      </c>
      <c r="B2449" s="3" t="s">
        <v>5016</v>
      </c>
      <c r="C2449" s="3">
        <v>56</v>
      </c>
      <c r="D2449" s="46" t="str">
        <f>IF(Tabla1[[#This Row],[EDAD]]&lt;=35,"Adultos jóvenes 18 - 35 años",IF(C2449&gt;=36,"Adultos mayores 36 años en adelante"))</f>
        <v>Adultos mayores 36 años en adelante</v>
      </c>
      <c r="E2449" s="3" t="s">
        <v>5017</v>
      </c>
      <c r="F2449" s="3" t="s">
        <v>5027</v>
      </c>
      <c r="G2449" s="3" t="s">
        <v>5034</v>
      </c>
      <c r="H2449" s="3" t="s">
        <v>8509</v>
      </c>
      <c r="I2449" s="17">
        <v>45705</v>
      </c>
      <c r="J2449" s="18">
        <f>YEAR(Tabla1[[#This Row],[FECHA DE COMPRA]])</f>
        <v>2025</v>
      </c>
      <c r="K2449" s="19">
        <v>114.13</v>
      </c>
      <c r="L2449" s="20">
        <v>0.1</v>
      </c>
      <c r="M2449" s="19">
        <f>Tienda!$K3143-Tienda!$K3143*Tienda!$L3143</f>
        <v>67.248999999999995</v>
      </c>
      <c r="N2449" s="3" t="s">
        <v>10039</v>
      </c>
      <c r="O2449" s="3" t="s">
        <v>10041</v>
      </c>
      <c r="P2449" s="17">
        <v>45705</v>
      </c>
      <c r="Q2449" s="4">
        <v>0</v>
      </c>
    </row>
    <row r="2450" spans="1:17" ht="30" x14ac:dyDescent="0.25">
      <c r="A2450" s="2" t="s">
        <v>2482</v>
      </c>
      <c r="B2450" s="3" t="s">
        <v>5016</v>
      </c>
      <c r="C2450" s="3">
        <v>55</v>
      </c>
      <c r="D2450" s="46" t="str">
        <f>IF(Tabla1[[#This Row],[EDAD]]&lt;=35,"Adultos jóvenes 18 - 35 años",IF(C2450&gt;=36,"Adultos mayores 36 años en adelante"))</f>
        <v>Adultos mayores 36 años en adelante</v>
      </c>
      <c r="E2450" s="3" t="s">
        <v>5019</v>
      </c>
      <c r="F2450" s="3" t="s">
        <v>5029</v>
      </c>
      <c r="G2450" s="3" t="s">
        <v>5034</v>
      </c>
      <c r="H2450" s="3" t="s">
        <v>7505</v>
      </c>
      <c r="I2450" s="17">
        <v>45706</v>
      </c>
      <c r="J2450" s="18">
        <f>YEAR(Tabla1[[#This Row],[FECHA DE COMPRA]])</f>
        <v>2025</v>
      </c>
      <c r="K2450" s="19">
        <v>34.14</v>
      </c>
      <c r="L2450" s="20">
        <v>0.2</v>
      </c>
      <c r="M2450" s="19">
        <f>Tienda!$K3145-Tienda!$K3145*Tienda!$L3145</f>
        <v>68.400000000000006</v>
      </c>
      <c r="N2450" s="3" t="s">
        <v>10039</v>
      </c>
      <c r="O2450" s="3" t="s">
        <v>10041</v>
      </c>
      <c r="P2450" s="17">
        <v>45706</v>
      </c>
      <c r="Q2450" s="4">
        <v>0</v>
      </c>
    </row>
    <row r="2451" spans="1:17" ht="30" x14ac:dyDescent="0.25">
      <c r="A2451" s="2" t="s">
        <v>1154</v>
      </c>
      <c r="B2451" s="3" t="s">
        <v>5016</v>
      </c>
      <c r="C2451" s="3">
        <v>63</v>
      </c>
      <c r="D2451" s="46" t="str">
        <f>IF(Tabla1[[#This Row],[EDAD]]&lt;=35,"Adultos jóvenes 18 - 35 años",IF(C2451&gt;=36,"Adultos mayores 36 años en adelante"))</f>
        <v>Adultos mayores 36 años en adelante</v>
      </c>
      <c r="E2451" s="3" t="s">
        <v>5021</v>
      </c>
      <c r="F2451" s="3" t="s">
        <v>5024</v>
      </c>
      <c r="G2451" s="3" t="s">
        <v>5037</v>
      </c>
      <c r="H2451" s="3" t="s">
        <v>6177</v>
      </c>
      <c r="I2451" s="17">
        <v>45707</v>
      </c>
      <c r="J2451" s="18">
        <f>YEAR(Tabla1[[#This Row],[FECHA DE COMPRA]])</f>
        <v>2025</v>
      </c>
      <c r="K2451" s="19">
        <v>20.49</v>
      </c>
      <c r="L2451" s="20">
        <v>0.2</v>
      </c>
      <c r="M2451" s="19">
        <f>Tienda!$K3147-Tienda!$K3147*Tienda!$L3147</f>
        <v>68.712000000000003</v>
      </c>
      <c r="N2451" s="3" t="s">
        <v>10039</v>
      </c>
      <c r="O2451" s="3" t="s">
        <v>10041</v>
      </c>
      <c r="P2451" s="17">
        <v>45707</v>
      </c>
      <c r="Q2451" s="4">
        <v>0</v>
      </c>
    </row>
    <row r="2452" spans="1:17" ht="30" x14ac:dyDescent="0.25">
      <c r="A2452" s="2" t="s">
        <v>503</v>
      </c>
      <c r="B2452" s="3" t="s">
        <v>5015</v>
      </c>
      <c r="C2452" s="3">
        <v>36</v>
      </c>
      <c r="D2452" s="46" t="str">
        <f>IF(Tabla1[[#This Row],[EDAD]]&lt;=35,"Adultos jóvenes 18 - 35 años",IF(C2452&gt;=36,"Adultos mayores 36 años en adelante"))</f>
        <v>Adultos mayores 36 años en adelante</v>
      </c>
      <c r="E2452" s="3" t="s">
        <v>5022</v>
      </c>
      <c r="F2452" s="3" t="s">
        <v>5027</v>
      </c>
      <c r="G2452" s="3" t="s">
        <v>5035</v>
      </c>
      <c r="H2452" s="3" t="s">
        <v>5526</v>
      </c>
      <c r="I2452" s="17">
        <v>45711</v>
      </c>
      <c r="J2452" s="18">
        <f>YEAR(Tabla1[[#This Row],[FECHA DE COMPRA]])</f>
        <v>2025</v>
      </c>
      <c r="K2452" s="19">
        <v>98.08</v>
      </c>
      <c r="L2452" s="20">
        <v>0.2</v>
      </c>
      <c r="M2452" s="19">
        <f>Tienda!$K3150-Tienda!$K3150*Tienda!$L3150</f>
        <v>70.132999999999996</v>
      </c>
      <c r="N2452" s="3" t="s">
        <v>10039</v>
      </c>
      <c r="O2452" s="3" t="s">
        <v>10041</v>
      </c>
      <c r="P2452" s="17">
        <v>45711</v>
      </c>
      <c r="Q2452" s="4">
        <v>0</v>
      </c>
    </row>
    <row r="2453" spans="1:17" ht="30" x14ac:dyDescent="0.25">
      <c r="A2453" s="2" t="s">
        <v>2807</v>
      </c>
      <c r="B2453" s="3" t="s">
        <v>5015</v>
      </c>
      <c r="C2453" s="3">
        <v>61</v>
      </c>
      <c r="D2453" s="46" t="str">
        <f>IF(Tabla1[[#This Row],[EDAD]]&lt;=35,"Adultos jóvenes 18 - 35 años",IF(C2453&gt;=36,"Adultos mayores 36 años en adelante"))</f>
        <v>Adultos mayores 36 años en adelante</v>
      </c>
      <c r="E2453" s="3" t="s">
        <v>5018</v>
      </c>
      <c r="F2453" s="3" t="s">
        <v>5030</v>
      </c>
      <c r="G2453" s="3" t="s">
        <v>5037</v>
      </c>
      <c r="H2453" s="3" t="s">
        <v>7830</v>
      </c>
      <c r="I2453" s="17">
        <v>45714</v>
      </c>
      <c r="J2453" s="18">
        <f>YEAR(Tabla1[[#This Row],[FECHA DE COMPRA]])</f>
        <v>2025</v>
      </c>
      <c r="K2453" s="19">
        <v>79.8</v>
      </c>
      <c r="L2453" s="20">
        <v>0</v>
      </c>
      <c r="M2453" s="19">
        <f>Tienda!$K3151-Tienda!$K3151*Tienda!$L3151</f>
        <v>70.289999999999992</v>
      </c>
      <c r="N2453" s="3" t="s">
        <v>10039</v>
      </c>
      <c r="O2453" s="3" t="s">
        <v>10041</v>
      </c>
      <c r="P2453" s="17">
        <v>45714</v>
      </c>
      <c r="Q2453" s="4">
        <v>0</v>
      </c>
    </row>
    <row r="2454" spans="1:17" ht="30" x14ac:dyDescent="0.25">
      <c r="A2454" s="2" t="s">
        <v>4338</v>
      </c>
      <c r="B2454" s="3" t="s">
        <v>5016</v>
      </c>
      <c r="C2454" s="3">
        <v>45</v>
      </c>
      <c r="D2454" s="46" t="str">
        <f>IF(Tabla1[[#This Row],[EDAD]]&lt;=35,"Adultos jóvenes 18 - 35 años",IF(C2454&gt;=36,"Adultos mayores 36 años en adelante"))</f>
        <v>Adultos mayores 36 años en adelante</v>
      </c>
      <c r="E2454" s="3" t="s">
        <v>5019</v>
      </c>
      <c r="F2454" s="3" t="s">
        <v>5030</v>
      </c>
      <c r="G2454" s="3" t="s">
        <v>5033</v>
      </c>
      <c r="H2454" s="3" t="s">
        <v>9361</v>
      </c>
      <c r="I2454" s="17">
        <v>45715</v>
      </c>
      <c r="J2454" s="18">
        <f>YEAR(Tabla1[[#This Row],[FECHA DE COMPRA]])</f>
        <v>2025</v>
      </c>
      <c r="K2454" s="19">
        <v>26.92</v>
      </c>
      <c r="L2454" s="20">
        <v>0</v>
      </c>
      <c r="M2454" s="19">
        <f>Tienda!$K3152-Tienda!$K3152*Tienda!$L3152</f>
        <v>70.63</v>
      </c>
      <c r="N2454" s="3" t="s">
        <v>10039</v>
      </c>
      <c r="O2454" s="3" t="s">
        <v>10041</v>
      </c>
      <c r="P2454" s="17">
        <v>45715</v>
      </c>
      <c r="Q2454" s="4">
        <v>0</v>
      </c>
    </row>
    <row r="2455" spans="1:17" ht="30" x14ac:dyDescent="0.25">
      <c r="A2455" s="2" t="s">
        <v>4297</v>
      </c>
      <c r="B2455" s="3" t="s">
        <v>5015</v>
      </c>
      <c r="C2455" s="3">
        <v>42</v>
      </c>
      <c r="D2455" s="46" t="str">
        <f>IF(Tabla1[[#This Row],[EDAD]]&lt;=35,"Adultos jóvenes 18 - 35 años",IF(C2455&gt;=36,"Adultos mayores 36 años en adelante"))</f>
        <v>Adultos mayores 36 años en adelante</v>
      </c>
      <c r="E2455" s="3" t="s">
        <v>5023</v>
      </c>
      <c r="F2455" s="3" t="s">
        <v>5029</v>
      </c>
      <c r="G2455" s="3" t="s">
        <v>5035</v>
      </c>
      <c r="H2455" s="3" t="s">
        <v>9320</v>
      </c>
      <c r="I2455" s="17">
        <v>45715</v>
      </c>
      <c r="J2455" s="18">
        <f>YEAR(Tabla1[[#This Row],[FECHA DE COMPRA]])</f>
        <v>2025</v>
      </c>
      <c r="K2455" s="19">
        <v>152.78</v>
      </c>
      <c r="L2455" s="20">
        <v>0.2</v>
      </c>
      <c r="M2455" s="19">
        <f>Tienda!$K3153-Tienda!$K3153*Tienda!$L3153</f>
        <v>70.849999999999994</v>
      </c>
      <c r="N2455" s="3" t="s">
        <v>10039</v>
      </c>
      <c r="O2455" s="3" t="s">
        <v>10041</v>
      </c>
      <c r="P2455" s="17">
        <v>45715</v>
      </c>
      <c r="Q2455" s="4">
        <v>0</v>
      </c>
    </row>
    <row r="2456" spans="1:17" ht="30" x14ac:dyDescent="0.25">
      <c r="A2456" s="2" t="s">
        <v>1223</v>
      </c>
      <c r="B2456" s="3" t="s">
        <v>5016</v>
      </c>
      <c r="C2456" s="3">
        <v>44</v>
      </c>
      <c r="D2456" s="46" t="str">
        <f>IF(Tabla1[[#This Row],[EDAD]]&lt;=35,"Adultos jóvenes 18 - 35 años",IF(C2456&gt;=36,"Adultos mayores 36 años en adelante"))</f>
        <v>Adultos mayores 36 años en adelante</v>
      </c>
      <c r="E2456" s="3" t="s">
        <v>5019</v>
      </c>
      <c r="F2456" s="3" t="s">
        <v>5026</v>
      </c>
      <c r="G2456" s="3" t="s">
        <v>5032</v>
      </c>
      <c r="H2456" s="3" t="s">
        <v>6246</v>
      </c>
      <c r="I2456" s="17">
        <v>45715</v>
      </c>
      <c r="J2456" s="18">
        <f>YEAR(Tabla1[[#This Row],[FECHA DE COMPRA]])</f>
        <v>2025</v>
      </c>
      <c r="K2456" s="19">
        <v>177.82</v>
      </c>
      <c r="L2456" s="20">
        <v>0.2</v>
      </c>
      <c r="M2456" s="19">
        <f>Tienda!$K3154-Tienda!$K3154*Tienda!$L3154</f>
        <v>71.048000000000002</v>
      </c>
      <c r="N2456" s="3" t="s">
        <v>10039</v>
      </c>
      <c r="O2456" s="3" t="s">
        <v>10041</v>
      </c>
      <c r="P2456" s="17">
        <v>45715</v>
      </c>
      <c r="Q2456" s="4">
        <v>0</v>
      </c>
    </row>
    <row r="2457" spans="1:17" ht="30" x14ac:dyDescent="0.25">
      <c r="A2457" s="2" t="s">
        <v>2567</v>
      </c>
      <c r="B2457" s="3" t="s">
        <v>5015</v>
      </c>
      <c r="C2457" s="3">
        <v>57</v>
      </c>
      <c r="D2457" s="46" t="str">
        <f>IF(Tabla1[[#This Row],[EDAD]]&lt;=35,"Adultos jóvenes 18 - 35 años",IF(C2457&gt;=36,"Adultos mayores 36 años en adelante"))</f>
        <v>Adultos mayores 36 años en adelante</v>
      </c>
      <c r="E2457" s="3" t="s">
        <v>5017</v>
      </c>
      <c r="F2457" s="3" t="s">
        <v>5027</v>
      </c>
      <c r="G2457" s="3" t="s">
        <v>5034</v>
      </c>
      <c r="H2457" s="3" t="s">
        <v>7590</v>
      </c>
      <c r="I2457" s="17">
        <v>45716</v>
      </c>
      <c r="J2457" s="18">
        <f>YEAR(Tabla1[[#This Row],[FECHA DE COMPRA]])</f>
        <v>2025</v>
      </c>
      <c r="K2457" s="19">
        <v>61.15</v>
      </c>
      <c r="L2457" s="20">
        <v>0</v>
      </c>
      <c r="M2457" s="19">
        <f>Tienda!$K3155-Tienda!$K3155*Tienda!$L3155</f>
        <v>71.224999999999994</v>
      </c>
      <c r="N2457" s="3" t="s">
        <v>10039</v>
      </c>
      <c r="O2457" s="3" t="s">
        <v>10041</v>
      </c>
      <c r="P2457" s="17">
        <v>45716</v>
      </c>
      <c r="Q2457" s="4">
        <v>0</v>
      </c>
    </row>
    <row r="2458" spans="1:17" ht="30" x14ac:dyDescent="0.25">
      <c r="A2458" s="2" t="s">
        <v>2727</v>
      </c>
      <c r="B2458" s="3" t="s">
        <v>5015</v>
      </c>
      <c r="C2458" s="3">
        <v>50</v>
      </c>
      <c r="D2458" s="46" t="str">
        <f>IF(Tabla1[[#This Row],[EDAD]]&lt;=35,"Adultos jóvenes 18 - 35 años",IF(C2458&gt;=36,"Adultos mayores 36 años en adelante"))</f>
        <v>Adultos mayores 36 años en adelante</v>
      </c>
      <c r="E2458" s="3" t="s">
        <v>5020</v>
      </c>
      <c r="F2458" s="3" t="s">
        <v>5024</v>
      </c>
      <c r="G2458" s="3" t="s">
        <v>5036</v>
      </c>
      <c r="H2458" s="3" t="s">
        <v>7750</v>
      </c>
      <c r="I2458" s="17">
        <v>45716</v>
      </c>
      <c r="J2458" s="18">
        <f>YEAR(Tabla1[[#This Row],[FECHA DE COMPRA]])</f>
        <v>2025</v>
      </c>
      <c r="K2458" s="19">
        <v>182.27</v>
      </c>
      <c r="L2458" s="20">
        <v>0</v>
      </c>
      <c r="M2458" s="19">
        <f>Tienda!$K3156-Tienda!$K3156*Tienda!$L3156</f>
        <v>71.918999999999997</v>
      </c>
      <c r="N2458" s="3" t="s">
        <v>10039</v>
      </c>
      <c r="O2458" s="3" t="s">
        <v>10041</v>
      </c>
      <c r="P2458" s="17">
        <v>45716</v>
      </c>
      <c r="Q2458" s="4">
        <v>0</v>
      </c>
    </row>
    <row r="2459" spans="1:17" ht="30" x14ac:dyDescent="0.25">
      <c r="A2459" s="2" t="s">
        <v>1590</v>
      </c>
      <c r="B2459" s="3" t="s">
        <v>5016</v>
      </c>
      <c r="C2459" s="3">
        <v>44</v>
      </c>
      <c r="D2459" s="46" t="str">
        <f>IF(Tabla1[[#This Row],[EDAD]]&lt;=35,"Adultos jóvenes 18 - 35 años",IF(C2459&gt;=36,"Adultos mayores 36 años en adelante"))</f>
        <v>Adultos mayores 36 años en adelante</v>
      </c>
      <c r="E2459" s="3" t="s">
        <v>5021</v>
      </c>
      <c r="F2459" s="3" t="s">
        <v>5030</v>
      </c>
      <c r="G2459" s="3" t="s">
        <v>5035</v>
      </c>
      <c r="H2459" s="3" t="s">
        <v>6613</v>
      </c>
      <c r="I2459" s="17">
        <v>45743</v>
      </c>
      <c r="J2459" s="18">
        <f>YEAR(Tabla1[[#This Row],[FECHA DE COMPRA]])</f>
        <v>2025</v>
      </c>
      <c r="K2459" s="19">
        <v>10.81</v>
      </c>
      <c r="L2459" s="20">
        <v>0.1</v>
      </c>
      <c r="M2459" s="19">
        <f>Tienda!$K3157-Tienda!$K3157*Tienda!$L3157</f>
        <v>72.128</v>
      </c>
      <c r="N2459" s="3" t="s">
        <v>10039</v>
      </c>
      <c r="O2459" s="3" t="s">
        <v>10041</v>
      </c>
      <c r="P2459" s="17">
        <v>45743</v>
      </c>
      <c r="Q2459" s="4">
        <v>0</v>
      </c>
    </row>
    <row r="2460" spans="1:17" ht="30" x14ac:dyDescent="0.25">
      <c r="A2460" s="2" t="s">
        <v>1462</v>
      </c>
      <c r="B2460" s="3" t="s">
        <v>5015</v>
      </c>
      <c r="C2460" s="3">
        <v>49</v>
      </c>
      <c r="D2460" s="46" t="str">
        <f>IF(Tabla1[[#This Row],[EDAD]]&lt;=35,"Adultos jóvenes 18 - 35 años",IF(C2460&gt;=36,"Adultos mayores 36 años en adelante"))</f>
        <v>Adultos mayores 36 años en adelante</v>
      </c>
      <c r="E2460" s="3" t="s">
        <v>5020</v>
      </c>
      <c r="F2460" s="3" t="s">
        <v>5029</v>
      </c>
      <c r="G2460" s="3" t="s">
        <v>5033</v>
      </c>
      <c r="H2460" s="3" t="s">
        <v>6485</v>
      </c>
      <c r="I2460" s="17">
        <v>45735</v>
      </c>
      <c r="J2460" s="18">
        <f>YEAR(Tabla1[[#This Row],[FECHA DE COMPRA]])</f>
        <v>2025</v>
      </c>
      <c r="K2460" s="19">
        <v>37.72</v>
      </c>
      <c r="L2460" s="20">
        <v>0.2</v>
      </c>
      <c r="M2460" s="19">
        <f>Tienda!$K3158-Tienda!$K3158*Tienda!$L3158</f>
        <v>72.304000000000002</v>
      </c>
      <c r="N2460" s="3" t="s">
        <v>10039</v>
      </c>
      <c r="O2460" s="3" t="s">
        <v>10041</v>
      </c>
      <c r="P2460" s="17">
        <v>45735</v>
      </c>
      <c r="Q2460" s="4">
        <v>0</v>
      </c>
    </row>
    <row r="2461" spans="1:17" ht="30" x14ac:dyDescent="0.25">
      <c r="A2461" s="2" t="s">
        <v>640</v>
      </c>
      <c r="B2461" s="3" t="s">
        <v>5015</v>
      </c>
      <c r="C2461" s="3">
        <v>49</v>
      </c>
      <c r="D2461" s="46" t="str">
        <f>IF(Tabla1[[#This Row],[EDAD]]&lt;=35,"Adultos jóvenes 18 - 35 años",IF(C2461&gt;=36,"Adultos mayores 36 años en adelante"))</f>
        <v>Adultos mayores 36 años en adelante</v>
      </c>
      <c r="E2461" s="3" t="s">
        <v>5020</v>
      </c>
      <c r="F2461" s="3" t="s">
        <v>5027</v>
      </c>
      <c r="G2461" s="3" t="s">
        <v>5032</v>
      </c>
      <c r="H2461" s="3" t="s">
        <v>5663</v>
      </c>
      <c r="I2461" s="17">
        <v>45745</v>
      </c>
      <c r="J2461" s="18">
        <f>YEAR(Tabla1[[#This Row],[FECHA DE COMPRA]])</f>
        <v>2025</v>
      </c>
      <c r="K2461" s="19">
        <v>38.229999999999997</v>
      </c>
      <c r="L2461" s="20">
        <v>0.3</v>
      </c>
      <c r="M2461" s="19">
        <f>Tienda!$K3159-Tienda!$K3159*Tienda!$L3159</f>
        <v>72.765000000000001</v>
      </c>
      <c r="N2461" s="3" t="s">
        <v>10039</v>
      </c>
      <c r="O2461" s="3" t="s">
        <v>10041</v>
      </c>
      <c r="P2461" s="17">
        <v>45745</v>
      </c>
      <c r="Q2461" s="4">
        <v>0</v>
      </c>
    </row>
    <row r="2462" spans="1:17" ht="30" x14ac:dyDescent="0.25">
      <c r="A2462" s="2" t="s">
        <v>2693</v>
      </c>
      <c r="B2462" s="3" t="s">
        <v>5016</v>
      </c>
      <c r="C2462" s="3">
        <v>59</v>
      </c>
      <c r="D2462" s="46" t="str">
        <f>IF(Tabla1[[#This Row],[EDAD]]&lt;=35,"Adultos jóvenes 18 - 35 años",IF(C2462&gt;=36,"Adultos mayores 36 años en adelante"))</f>
        <v>Adultos mayores 36 años en adelante</v>
      </c>
      <c r="E2462" s="3" t="s">
        <v>5019</v>
      </c>
      <c r="F2462" s="3" t="s">
        <v>5025</v>
      </c>
      <c r="G2462" s="3" t="s">
        <v>5032</v>
      </c>
      <c r="H2462" s="3" t="s">
        <v>7716</v>
      </c>
      <c r="I2462" s="17">
        <v>45721</v>
      </c>
      <c r="J2462" s="18">
        <f>YEAR(Tabla1[[#This Row],[FECHA DE COMPRA]])</f>
        <v>2025</v>
      </c>
      <c r="K2462" s="19">
        <v>38.57</v>
      </c>
      <c r="L2462" s="20">
        <v>0</v>
      </c>
      <c r="M2462" s="19">
        <f>Tienda!$K3160-Tienda!$K3160*Tienda!$L3160</f>
        <v>72.792000000000002</v>
      </c>
      <c r="N2462" s="3" t="s">
        <v>10039</v>
      </c>
      <c r="O2462" s="3" t="s">
        <v>10041</v>
      </c>
      <c r="P2462" s="17">
        <v>45721</v>
      </c>
      <c r="Q2462" s="4">
        <v>0</v>
      </c>
    </row>
    <row r="2463" spans="1:17" ht="30" x14ac:dyDescent="0.25">
      <c r="A2463" s="2" t="s">
        <v>2481</v>
      </c>
      <c r="B2463" s="3" t="s">
        <v>5016</v>
      </c>
      <c r="C2463" s="3">
        <v>50</v>
      </c>
      <c r="D2463" s="46" t="str">
        <f>IF(Tabla1[[#This Row],[EDAD]]&lt;=35,"Adultos jóvenes 18 - 35 años",IF(C2463&gt;=36,"Adultos mayores 36 años en adelante"))</f>
        <v>Adultos mayores 36 años en adelante</v>
      </c>
      <c r="E2463" s="3" t="s">
        <v>5017</v>
      </c>
      <c r="F2463" s="3" t="s">
        <v>5030</v>
      </c>
      <c r="G2463" s="3" t="s">
        <v>5034</v>
      </c>
      <c r="H2463" s="3" t="s">
        <v>7504</v>
      </c>
      <c r="I2463" s="17">
        <v>45717</v>
      </c>
      <c r="J2463" s="18">
        <f>YEAR(Tabla1[[#This Row],[FECHA DE COMPRA]])</f>
        <v>2025</v>
      </c>
      <c r="K2463" s="19">
        <v>39.08</v>
      </c>
      <c r="L2463" s="20">
        <v>0</v>
      </c>
      <c r="M2463" s="19">
        <f>Tienda!$K3161-Tienda!$K3161*Tienda!$L3161</f>
        <v>75.02</v>
      </c>
      <c r="N2463" s="3" t="s">
        <v>10039</v>
      </c>
      <c r="O2463" s="3" t="s">
        <v>10041</v>
      </c>
      <c r="P2463" s="17">
        <v>45717</v>
      </c>
      <c r="Q2463" s="4">
        <v>0</v>
      </c>
    </row>
    <row r="2464" spans="1:17" ht="30" x14ac:dyDescent="0.25">
      <c r="A2464" s="2" t="s">
        <v>2336</v>
      </c>
      <c r="B2464" s="3" t="s">
        <v>5015</v>
      </c>
      <c r="C2464" s="3">
        <v>47</v>
      </c>
      <c r="D2464" s="46" t="str">
        <f>IF(Tabla1[[#This Row],[EDAD]]&lt;=35,"Adultos jóvenes 18 - 35 años",IF(C2464&gt;=36,"Adultos mayores 36 años en adelante"))</f>
        <v>Adultos mayores 36 años en adelante</v>
      </c>
      <c r="E2464" s="3" t="s">
        <v>5018</v>
      </c>
      <c r="F2464" s="3" t="s">
        <v>5028</v>
      </c>
      <c r="G2464" s="3" t="s">
        <v>5031</v>
      </c>
      <c r="H2464" s="3" t="s">
        <v>7359</v>
      </c>
      <c r="I2464" s="17">
        <v>45747</v>
      </c>
      <c r="J2464" s="18">
        <f>YEAR(Tabla1[[#This Row],[FECHA DE COMPRA]])</f>
        <v>2025</v>
      </c>
      <c r="K2464" s="19">
        <v>41.92</v>
      </c>
      <c r="L2464" s="20">
        <v>0.1</v>
      </c>
      <c r="M2464" s="19">
        <f>Tienda!$K3162-Tienda!$K3162*Tienda!$L3162</f>
        <v>75.061000000000007</v>
      </c>
      <c r="N2464" s="3" t="s">
        <v>10039</v>
      </c>
      <c r="O2464" s="3" t="s">
        <v>10041</v>
      </c>
      <c r="P2464" s="17">
        <v>45747</v>
      </c>
      <c r="Q2464" s="4">
        <v>0</v>
      </c>
    </row>
    <row r="2465" spans="1:17" ht="30" x14ac:dyDescent="0.25">
      <c r="A2465" s="2" t="s">
        <v>4833</v>
      </c>
      <c r="B2465" s="3" t="s">
        <v>5015</v>
      </c>
      <c r="C2465" s="3">
        <v>43</v>
      </c>
      <c r="D2465" s="46" t="str">
        <f>IF(Tabla1[[#This Row],[EDAD]]&lt;=35,"Adultos jóvenes 18 - 35 años",IF(C2465&gt;=36,"Adultos mayores 36 años en adelante"))</f>
        <v>Adultos mayores 36 años en adelante</v>
      </c>
      <c r="E2465" s="3" t="s">
        <v>5022</v>
      </c>
      <c r="F2465" s="3" t="s">
        <v>5024</v>
      </c>
      <c r="G2465" s="3" t="s">
        <v>5037</v>
      </c>
      <c r="H2465" s="3" t="s">
        <v>9856</v>
      </c>
      <c r="I2465" s="17">
        <v>45747</v>
      </c>
      <c r="J2465" s="18">
        <f>YEAR(Tabla1[[#This Row],[FECHA DE COMPRA]])</f>
        <v>2025</v>
      </c>
      <c r="K2465" s="19">
        <v>86.85</v>
      </c>
      <c r="L2465" s="20">
        <v>0.1</v>
      </c>
      <c r="M2465" s="19">
        <f>Tienda!$K3164-Tienda!$K3164*Tienda!$L3164</f>
        <v>76.63</v>
      </c>
      <c r="N2465" s="3" t="s">
        <v>10039</v>
      </c>
      <c r="O2465" s="3" t="s">
        <v>10041</v>
      </c>
      <c r="P2465" s="17">
        <v>45747</v>
      </c>
      <c r="Q2465" s="4">
        <v>0</v>
      </c>
    </row>
    <row r="2466" spans="1:17" ht="30" x14ac:dyDescent="0.25">
      <c r="A2466" s="2" t="s">
        <v>2540</v>
      </c>
      <c r="B2466" s="3" t="s">
        <v>5015</v>
      </c>
      <c r="C2466" s="3">
        <v>36</v>
      </c>
      <c r="D2466" s="46" t="str">
        <f>IF(Tabla1[[#This Row],[EDAD]]&lt;=35,"Adultos jóvenes 18 - 35 años",IF(C2466&gt;=36,"Adultos mayores 36 años en adelante"))</f>
        <v>Adultos mayores 36 años en adelante</v>
      </c>
      <c r="E2466" s="3" t="s">
        <v>5018</v>
      </c>
      <c r="F2466" s="3" t="s">
        <v>5028</v>
      </c>
      <c r="G2466" s="3" t="s">
        <v>5031</v>
      </c>
      <c r="H2466" s="3" t="s">
        <v>7563</v>
      </c>
      <c r="I2466" s="17">
        <v>45746</v>
      </c>
      <c r="J2466" s="18">
        <f>YEAR(Tabla1[[#This Row],[FECHA DE COMPRA]])</f>
        <v>2025</v>
      </c>
      <c r="K2466" s="19">
        <v>94.25</v>
      </c>
      <c r="L2466" s="20">
        <v>0</v>
      </c>
      <c r="M2466" s="19">
        <f>Tienda!$K3166-Tienda!$K3166*Tienda!$L3166</f>
        <v>77.790999999999997</v>
      </c>
      <c r="N2466" s="3" t="s">
        <v>10039</v>
      </c>
      <c r="O2466" s="3" t="s">
        <v>10041</v>
      </c>
      <c r="P2466" s="17">
        <v>45746</v>
      </c>
      <c r="Q2466" s="4">
        <v>0</v>
      </c>
    </row>
    <row r="2467" spans="1:17" ht="30" x14ac:dyDescent="0.25">
      <c r="A2467" s="2" t="s">
        <v>1310</v>
      </c>
      <c r="B2467" s="3" t="s">
        <v>5016</v>
      </c>
      <c r="C2467" s="3">
        <v>58</v>
      </c>
      <c r="D2467" s="46" t="str">
        <f>IF(Tabla1[[#This Row],[EDAD]]&lt;=35,"Adultos jóvenes 18 - 35 años",IF(C2467&gt;=36,"Adultos mayores 36 años en adelante"))</f>
        <v>Adultos mayores 36 años en adelante</v>
      </c>
      <c r="E2467" s="3" t="s">
        <v>5019</v>
      </c>
      <c r="F2467" s="3" t="s">
        <v>5028</v>
      </c>
      <c r="G2467" s="3" t="s">
        <v>5037</v>
      </c>
      <c r="H2467" s="3" t="s">
        <v>6333</v>
      </c>
      <c r="I2467" s="17">
        <v>45722</v>
      </c>
      <c r="J2467" s="18">
        <f>YEAR(Tabla1[[#This Row],[FECHA DE COMPRA]])</f>
        <v>2025</v>
      </c>
      <c r="K2467" s="19">
        <v>94.92</v>
      </c>
      <c r="L2467" s="20">
        <v>0.1</v>
      </c>
      <c r="M2467" s="19">
        <f>Tienda!$K3167-Tienda!$K3167*Tienda!$L3167</f>
        <v>77.795999999999992</v>
      </c>
      <c r="N2467" s="3" t="s">
        <v>10039</v>
      </c>
      <c r="O2467" s="3" t="s">
        <v>10041</v>
      </c>
      <c r="P2467" s="17">
        <v>45722</v>
      </c>
      <c r="Q2467" s="4">
        <v>0</v>
      </c>
    </row>
    <row r="2468" spans="1:17" ht="30" x14ac:dyDescent="0.25">
      <c r="A2468" s="2" t="s">
        <v>2609</v>
      </c>
      <c r="B2468" s="3" t="s">
        <v>5015</v>
      </c>
      <c r="C2468" s="3">
        <v>52</v>
      </c>
      <c r="D2468" s="46" t="str">
        <f>IF(Tabla1[[#This Row],[EDAD]]&lt;=35,"Adultos jóvenes 18 - 35 años",IF(C2468&gt;=36,"Adultos mayores 36 años en adelante"))</f>
        <v>Adultos mayores 36 años en adelante</v>
      </c>
      <c r="E2468" s="3" t="s">
        <v>5018</v>
      </c>
      <c r="F2468" s="3" t="s">
        <v>5027</v>
      </c>
      <c r="G2468" s="3" t="s">
        <v>5034</v>
      </c>
      <c r="H2468" s="3" t="s">
        <v>7632</v>
      </c>
      <c r="I2468" s="17">
        <v>45718</v>
      </c>
      <c r="J2468" s="18">
        <f>YEAR(Tabla1[[#This Row],[FECHA DE COMPRA]])</f>
        <v>2025</v>
      </c>
      <c r="K2468" s="19">
        <v>145.88</v>
      </c>
      <c r="L2468" s="20">
        <v>0.1</v>
      </c>
      <c r="M2468" s="19">
        <f>Tienda!$K3169-Tienda!$K3169*Tienda!$L3169</f>
        <v>78.239999999999995</v>
      </c>
      <c r="N2468" s="3" t="s">
        <v>10039</v>
      </c>
      <c r="O2468" s="3" t="s">
        <v>10041</v>
      </c>
      <c r="P2468" s="17">
        <v>45718</v>
      </c>
      <c r="Q2468" s="4">
        <v>0</v>
      </c>
    </row>
    <row r="2469" spans="1:17" ht="30" x14ac:dyDescent="0.25">
      <c r="A2469" s="2" t="s">
        <v>878</v>
      </c>
      <c r="B2469" s="3" t="s">
        <v>5015</v>
      </c>
      <c r="C2469" s="3">
        <v>61</v>
      </c>
      <c r="D2469" s="46" t="str">
        <f>IF(Tabla1[[#This Row],[EDAD]]&lt;=35,"Adultos jóvenes 18 - 35 años",IF(C2469&gt;=36,"Adultos mayores 36 años en adelante"))</f>
        <v>Adultos mayores 36 años en adelante</v>
      </c>
      <c r="E2469" s="3" t="s">
        <v>5019</v>
      </c>
      <c r="F2469" s="3" t="s">
        <v>5030</v>
      </c>
      <c r="G2469" s="3" t="s">
        <v>5034</v>
      </c>
      <c r="H2469" s="3" t="s">
        <v>5901</v>
      </c>
      <c r="I2469" s="17">
        <v>45747</v>
      </c>
      <c r="J2469" s="18">
        <f>YEAR(Tabla1[[#This Row],[FECHA DE COMPRA]])</f>
        <v>2025</v>
      </c>
      <c r="K2469" s="19">
        <v>146.41</v>
      </c>
      <c r="L2469" s="20">
        <v>0</v>
      </c>
      <c r="M2469" s="19">
        <f>Tienda!$K3171-Tienda!$K3171*Tienda!$L3171</f>
        <v>78.930000000000007</v>
      </c>
      <c r="N2469" s="3" t="s">
        <v>10039</v>
      </c>
      <c r="O2469" s="3" t="s">
        <v>10041</v>
      </c>
      <c r="P2469" s="17">
        <v>45747</v>
      </c>
      <c r="Q2469" s="4">
        <v>0</v>
      </c>
    </row>
    <row r="2470" spans="1:17" ht="30" x14ac:dyDescent="0.25">
      <c r="A2470" s="2" t="s">
        <v>2895</v>
      </c>
      <c r="B2470" s="3" t="s">
        <v>5016</v>
      </c>
      <c r="C2470" s="3">
        <v>40</v>
      </c>
      <c r="D2470" s="46" t="str">
        <f>IF(Tabla1[[#This Row],[EDAD]]&lt;=35,"Adultos jóvenes 18 - 35 años",IF(C2470&gt;=36,"Adultos mayores 36 años en adelante"))</f>
        <v>Adultos mayores 36 años en adelante</v>
      </c>
      <c r="E2470" s="3" t="s">
        <v>5017</v>
      </c>
      <c r="F2470" s="3" t="s">
        <v>5029</v>
      </c>
      <c r="G2470" s="3" t="s">
        <v>5031</v>
      </c>
      <c r="H2470" s="3" t="s">
        <v>7918</v>
      </c>
      <c r="I2470" s="17">
        <v>45725</v>
      </c>
      <c r="J2470" s="18">
        <f>YEAR(Tabla1[[#This Row],[FECHA DE COMPRA]])</f>
        <v>2025</v>
      </c>
      <c r="K2470" s="19">
        <v>146.51</v>
      </c>
      <c r="L2470" s="20">
        <v>0</v>
      </c>
      <c r="M2470" s="19">
        <f>Tienda!$K3172-Tienda!$K3172*Tienda!$L3172</f>
        <v>79.119</v>
      </c>
      <c r="N2470" s="3" t="s">
        <v>10039</v>
      </c>
      <c r="O2470" s="3" t="s">
        <v>10041</v>
      </c>
      <c r="P2470" s="17">
        <v>45725</v>
      </c>
      <c r="Q2470" s="4">
        <v>0</v>
      </c>
    </row>
    <row r="2471" spans="1:17" ht="30" x14ac:dyDescent="0.25">
      <c r="A2471" s="2" t="s">
        <v>4241</v>
      </c>
      <c r="B2471" s="3" t="s">
        <v>5015</v>
      </c>
      <c r="C2471" s="3">
        <v>47</v>
      </c>
      <c r="D2471" s="46" t="str">
        <f>IF(Tabla1[[#This Row],[EDAD]]&lt;=35,"Adultos jóvenes 18 - 35 años",IF(C2471&gt;=36,"Adultos mayores 36 años en adelante"))</f>
        <v>Adultos mayores 36 años en adelante</v>
      </c>
      <c r="E2471" s="3" t="s">
        <v>5019</v>
      </c>
      <c r="F2471" s="3" t="s">
        <v>5029</v>
      </c>
      <c r="G2471" s="3" t="s">
        <v>5033</v>
      </c>
      <c r="H2471" s="3" t="s">
        <v>9264</v>
      </c>
      <c r="I2471" s="17">
        <v>45731</v>
      </c>
      <c r="J2471" s="18">
        <f>YEAR(Tabla1[[#This Row],[FECHA DE COMPRA]])</f>
        <v>2025</v>
      </c>
      <c r="K2471" s="19">
        <v>159.37</v>
      </c>
      <c r="L2471" s="20">
        <v>0.1</v>
      </c>
      <c r="M2471" s="19">
        <f>Tienda!$K3175-Tienda!$K3175*Tienda!$L3175</f>
        <v>79.911000000000001</v>
      </c>
      <c r="N2471" s="3" t="s">
        <v>10039</v>
      </c>
      <c r="O2471" s="3" t="s">
        <v>10041</v>
      </c>
      <c r="P2471" s="17">
        <v>45731</v>
      </c>
      <c r="Q2471" s="4">
        <v>0</v>
      </c>
    </row>
    <row r="2472" spans="1:17" ht="30" x14ac:dyDescent="0.25">
      <c r="A2472" s="2" t="s">
        <v>175</v>
      </c>
      <c r="B2472" s="3" t="s">
        <v>5015</v>
      </c>
      <c r="C2472" s="3">
        <v>57</v>
      </c>
      <c r="D2472" s="46" t="str">
        <f>IF(Tabla1[[#This Row],[EDAD]]&lt;=35,"Adultos jóvenes 18 - 35 años",IF(C2472&gt;=36,"Adultos mayores 36 años en adelante"))</f>
        <v>Adultos mayores 36 años en adelante</v>
      </c>
      <c r="E2472" s="3" t="s">
        <v>5021</v>
      </c>
      <c r="F2472" s="3" t="s">
        <v>5026</v>
      </c>
      <c r="G2472" s="3" t="s">
        <v>5036</v>
      </c>
      <c r="H2472" s="3" t="s">
        <v>5198</v>
      </c>
      <c r="I2472" s="17">
        <v>45733</v>
      </c>
      <c r="J2472" s="18">
        <f>YEAR(Tabla1[[#This Row],[FECHA DE COMPRA]])</f>
        <v>2025</v>
      </c>
      <c r="K2472" s="19">
        <v>162.03</v>
      </c>
      <c r="L2472" s="20">
        <v>0.1</v>
      </c>
      <c r="M2472" s="19">
        <f>Tienda!$K3176-Tienda!$K3176*Tienda!$L3176</f>
        <v>80.150000000000006</v>
      </c>
      <c r="N2472" s="3" t="s">
        <v>10039</v>
      </c>
      <c r="O2472" s="3" t="s">
        <v>10041</v>
      </c>
      <c r="P2472" s="17">
        <v>45733</v>
      </c>
      <c r="Q2472" s="4">
        <v>0</v>
      </c>
    </row>
    <row r="2473" spans="1:17" ht="30" x14ac:dyDescent="0.25">
      <c r="A2473" s="2" t="s">
        <v>3039</v>
      </c>
      <c r="B2473" s="3" t="s">
        <v>5016</v>
      </c>
      <c r="C2473" s="3">
        <v>64</v>
      </c>
      <c r="D2473" s="46" t="str">
        <f>IF(Tabla1[[#This Row],[EDAD]]&lt;=35,"Adultos jóvenes 18 - 35 años",IF(C2473&gt;=36,"Adultos mayores 36 años en adelante"))</f>
        <v>Adultos mayores 36 años en adelante</v>
      </c>
      <c r="E2473" s="3" t="s">
        <v>5023</v>
      </c>
      <c r="F2473" s="3" t="s">
        <v>5025</v>
      </c>
      <c r="G2473" s="3" t="s">
        <v>5033</v>
      </c>
      <c r="H2473" s="3" t="s">
        <v>8062</v>
      </c>
      <c r="I2473" s="17">
        <v>45751</v>
      </c>
      <c r="J2473" s="18">
        <f>YEAR(Tabla1[[#This Row],[FECHA DE COMPRA]])</f>
        <v>2025</v>
      </c>
      <c r="K2473" s="19">
        <v>31.93</v>
      </c>
      <c r="L2473" s="20">
        <v>0.2</v>
      </c>
      <c r="M2473" s="19">
        <f>Tienda!$K3178-Tienda!$K3178*Tienda!$L3178</f>
        <v>81.760000000000005</v>
      </c>
      <c r="N2473" s="3" t="s">
        <v>10039</v>
      </c>
      <c r="O2473" s="3" t="s">
        <v>10041</v>
      </c>
      <c r="P2473" s="17">
        <v>45751</v>
      </c>
      <c r="Q2473" s="4">
        <v>0</v>
      </c>
    </row>
    <row r="2474" spans="1:17" ht="30" x14ac:dyDescent="0.25">
      <c r="A2474" s="2" t="s">
        <v>88</v>
      </c>
      <c r="B2474" s="3" t="s">
        <v>5016</v>
      </c>
      <c r="C2474" s="3">
        <v>36</v>
      </c>
      <c r="D2474" s="46" t="str">
        <f>IF(Tabla1[[#This Row],[EDAD]]&lt;=35,"Adultos jóvenes 18 - 35 años",IF(C2474&gt;=36,"Adultos mayores 36 años en adelante"))</f>
        <v>Adultos mayores 36 años en adelante</v>
      </c>
      <c r="E2474" s="3" t="s">
        <v>5021</v>
      </c>
      <c r="F2474" s="3" t="s">
        <v>5028</v>
      </c>
      <c r="G2474" s="3" t="s">
        <v>5037</v>
      </c>
      <c r="H2474" s="3" t="s">
        <v>5111</v>
      </c>
      <c r="I2474" s="17">
        <v>45750</v>
      </c>
      <c r="J2474" s="18">
        <f>YEAR(Tabla1[[#This Row],[FECHA DE COMPRA]])</f>
        <v>2025</v>
      </c>
      <c r="K2474" s="19">
        <v>33.01</v>
      </c>
      <c r="L2474" s="20">
        <v>0.2</v>
      </c>
      <c r="M2474" s="19">
        <f>Tienda!$K3179-Tienda!$K3179*Tienda!$L3179</f>
        <v>81.927999999999997</v>
      </c>
      <c r="N2474" s="3" t="s">
        <v>10039</v>
      </c>
      <c r="O2474" s="3" t="s">
        <v>10041</v>
      </c>
      <c r="P2474" s="17">
        <v>45750</v>
      </c>
      <c r="Q2474" s="4">
        <v>0</v>
      </c>
    </row>
    <row r="2475" spans="1:17" ht="30" x14ac:dyDescent="0.25">
      <c r="A2475" s="2" t="s">
        <v>2327</v>
      </c>
      <c r="B2475" s="3" t="s">
        <v>5015</v>
      </c>
      <c r="C2475" s="3">
        <v>39</v>
      </c>
      <c r="D2475" s="46" t="str">
        <f>IF(Tabla1[[#This Row],[EDAD]]&lt;=35,"Adultos jóvenes 18 - 35 años",IF(C2475&gt;=36,"Adultos mayores 36 años en adelante"))</f>
        <v>Adultos mayores 36 años en adelante</v>
      </c>
      <c r="E2475" s="3" t="s">
        <v>5020</v>
      </c>
      <c r="F2475" s="3" t="s">
        <v>5024</v>
      </c>
      <c r="G2475" s="3" t="s">
        <v>5032</v>
      </c>
      <c r="H2475" s="3" t="s">
        <v>7350</v>
      </c>
      <c r="I2475" s="17">
        <v>45750</v>
      </c>
      <c r="J2475" s="18">
        <f>YEAR(Tabla1[[#This Row],[FECHA DE COMPRA]])</f>
        <v>2025</v>
      </c>
      <c r="K2475" s="19">
        <v>41.28</v>
      </c>
      <c r="L2475" s="20">
        <v>0.2</v>
      </c>
      <c r="M2475" s="19">
        <f>Tienda!$K3180-Tienda!$K3180*Tienda!$L3180</f>
        <v>82.05</v>
      </c>
      <c r="N2475" s="3" t="s">
        <v>10039</v>
      </c>
      <c r="O2475" s="3" t="s">
        <v>10041</v>
      </c>
      <c r="P2475" s="17">
        <v>45750</v>
      </c>
      <c r="Q2475" s="4">
        <v>0</v>
      </c>
    </row>
    <row r="2476" spans="1:17" ht="30" x14ac:dyDescent="0.25">
      <c r="A2476" s="2" t="s">
        <v>3568</v>
      </c>
      <c r="B2476" s="3" t="s">
        <v>5015</v>
      </c>
      <c r="C2476" s="3">
        <v>59</v>
      </c>
      <c r="D2476" s="46" t="str">
        <f>IF(Tabla1[[#This Row],[EDAD]]&lt;=35,"Adultos jóvenes 18 - 35 años",IF(C2476&gt;=36,"Adultos mayores 36 años en adelante"))</f>
        <v>Adultos mayores 36 años en adelante</v>
      </c>
      <c r="E2476" s="3" t="s">
        <v>5018</v>
      </c>
      <c r="F2476" s="3" t="s">
        <v>5029</v>
      </c>
      <c r="G2476" s="3" t="s">
        <v>5031</v>
      </c>
      <c r="H2476" s="3" t="s">
        <v>8591</v>
      </c>
      <c r="I2476" s="17">
        <v>45751</v>
      </c>
      <c r="J2476" s="18">
        <f>YEAR(Tabla1[[#This Row],[FECHA DE COMPRA]])</f>
        <v>2025</v>
      </c>
      <c r="K2476" s="19">
        <v>44.31</v>
      </c>
      <c r="L2476" s="20">
        <v>0.2</v>
      </c>
      <c r="M2476" s="19">
        <f>Tienda!$K3181-Tienda!$K3181*Tienda!$L3181</f>
        <v>83.39</v>
      </c>
      <c r="N2476" s="3" t="s">
        <v>10039</v>
      </c>
      <c r="O2476" s="3" t="s">
        <v>10041</v>
      </c>
      <c r="P2476" s="17">
        <v>45751</v>
      </c>
      <c r="Q2476" s="4">
        <v>0</v>
      </c>
    </row>
    <row r="2477" spans="1:17" ht="30" x14ac:dyDescent="0.25">
      <c r="A2477" s="2" t="s">
        <v>4799</v>
      </c>
      <c r="B2477" s="3" t="s">
        <v>5015</v>
      </c>
      <c r="C2477" s="3">
        <v>36</v>
      </c>
      <c r="D2477" s="46" t="str">
        <f>IF(Tabla1[[#This Row],[EDAD]]&lt;=35,"Adultos jóvenes 18 - 35 años",IF(C2477&gt;=36,"Adultos mayores 36 años en adelante"))</f>
        <v>Adultos mayores 36 años en adelante</v>
      </c>
      <c r="E2477" s="3" t="s">
        <v>5023</v>
      </c>
      <c r="F2477" s="3" t="s">
        <v>5027</v>
      </c>
      <c r="G2477" s="3" t="s">
        <v>5033</v>
      </c>
      <c r="H2477" s="3" t="s">
        <v>9822</v>
      </c>
      <c r="I2477" s="17">
        <v>45757</v>
      </c>
      <c r="J2477" s="18">
        <f>YEAR(Tabla1[[#This Row],[FECHA DE COMPRA]])</f>
        <v>2025</v>
      </c>
      <c r="K2477" s="19">
        <v>59.63</v>
      </c>
      <c r="L2477" s="20">
        <v>0.3</v>
      </c>
      <c r="M2477" s="19">
        <f>Tienda!$K3184-Tienda!$K3184*Tienda!$L3184</f>
        <v>85.135999999999996</v>
      </c>
      <c r="N2477" s="3" t="s">
        <v>10039</v>
      </c>
      <c r="O2477" s="3" t="s">
        <v>10041</v>
      </c>
      <c r="P2477" s="17">
        <v>45757</v>
      </c>
      <c r="Q2477" s="4">
        <v>0</v>
      </c>
    </row>
    <row r="2478" spans="1:17" ht="30" x14ac:dyDescent="0.25">
      <c r="A2478" s="2" t="s">
        <v>4912</v>
      </c>
      <c r="B2478" s="3" t="s">
        <v>5016</v>
      </c>
      <c r="C2478" s="3">
        <v>52</v>
      </c>
      <c r="D2478" s="46" t="str">
        <f>IF(Tabla1[[#This Row],[EDAD]]&lt;=35,"Adultos jóvenes 18 - 35 años",IF(C2478&gt;=36,"Adultos mayores 36 años en adelante"))</f>
        <v>Adultos mayores 36 años en adelante</v>
      </c>
      <c r="E2478" s="3" t="s">
        <v>5017</v>
      </c>
      <c r="F2478" s="3" t="s">
        <v>5025</v>
      </c>
      <c r="G2478" s="3" t="s">
        <v>5036</v>
      </c>
      <c r="H2478" s="3" t="s">
        <v>9935</v>
      </c>
      <c r="I2478" s="17">
        <v>45751</v>
      </c>
      <c r="J2478" s="18">
        <f>YEAR(Tabla1[[#This Row],[FECHA DE COMPRA]])</f>
        <v>2025</v>
      </c>
      <c r="K2478" s="19">
        <v>63.85</v>
      </c>
      <c r="L2478" s="20">
        <v>0.3</v>
      </c>
      <c r="M2478" s="19">
        <f>Tienda!$K3187-Tienda!$K3187*Tienda!$L3187</f>
        <v>85.488</v>
      </c>
      <c r="N2478" s="3" t="s">
        <v>10039</v>
      </c>
      <c r="O2478" s="3" t="s">
        <v>10041</v>
      </c>
      <c r="P2478" s="17">
        <v>45751</v>
      </c>
      <c r="Q2478" s="4">
        <v>0</v>
      </c>
    </row>
    <row r="2479" spans="1:17" ht="30" x14ac:dyDescent="0.25">
      <c r="A2479" s="2" t="s">
        <v>2553</v>
      </c>
      <c r="B2479" s="3" t="s">
        <v>5015</v>
      </c>
      <c r="C2479" s="3">
        <v>63</v>
      </c>
      <c r="D2479" s="46" t="str">
        <f>IF(Tabla1[[#This Row],[EDAD]]&lt;=35,"Adultos jóvenes 18 - 35 años",IF(C2479&gt;=36,"Adultos mayores 36 años en adelante"))</f>
        <v>Adultos mayores 36 años en adelante</v>
      </c>
      <c r="E2479" s="3" t="s">
        <v>5018</v>
      </c>
      <c r="F2479" s="3" t="s">
        <v>5028</v>
      </c>
      <c r="G2479" s="3" t="s">
        <v>5037</v>
      </c>
      <c r="H2479" s="3" t="s">
        <v>7576</v>
      </c>
      <c r="I2479" s="17">
        <v>45750</v>
      </c>
      <c r="J2479" s="18">
        <f>YEAR(Tabla1[[#This Row],[FECHA DE COMPRA]])</f>
        <v>2025</v>
      </c>
      <c r="K2479" s="19">
        <v>66.38</v>
      </c>
      <c r="L2479" s="20">
        <v>0</v>
      </c>
      <c r="M2479" s="19">
        <f>Tienda!$K3189-Tienda!$K3189*Tienda!$L3189</f>
        <v>87.710000000000008</v>
      </c>
      <c r="N2479" s="3" t="s">
        <v>10039</v>
      </c>
      <c r="O2479" s="3" t="s">
        <v>10041</v>
      </c>
      <c r="P2479" s="17">
        <v>45750</v>
      </c>
      <c r="Q2479" s="4">
        <v>0</v>
      </c>
    </row>
    <row r="2480" spans="1:17" ht="30" x14ac:dyDescent="0.25">
      <c r="A2480" s="2" t="s">
        <v>2504</v>
      </c>
      <c r="B2480" s="3" t="s">
        <v>5016</v>
      </c>
      <c r="C2480" s="3">
        <v>59</v>
      </c>
      <c r="D2480" s="46" t="str">
        <f>IF(Tabla1[[#This Row],[EDAD]]&lt;=35,"Adultos jóvenes 18 - 35 años",IF(C2480&gt;=36,"Adultos mayores 36 años en adelante"))</f>
        <v>Adultos mayores 36 años en adelante</v>
      </c>
      <c r="E2480" s="3" t="s">
        <v>5021</v>
      </c>
      <c r="F2480" s="3" t="s">
        <v>5028</v>
      </c>
      <c r="G2480" s="3" t="s">
        <v>5035</v>
      </c>
      <c r="H2480" s="3" t="s">
        <v>7527</v>
      </c>
      <c r="I2480" s="17">
        <v>45752</v>
      </c>
      <c r="J2480" s="18">
        <f>YEAR(Tabla1[[#This Row],[FECHA DE COMPRA]])</f>
        <v>2025</v>
      </c>
      <c r="K2480" s="19">
        <v>71.209999999999994</v>
      </c>
      <c r="L2480" s="20">
        <v>0.2</v>
      </c>
      <c r="M2480" s="19">
        <f>Tienda!$K3190-Tienda!$K3190*Tienda!$L3190</f>
        <v>88.362000000000009</v>
      </c>
      <c r="N2480" s="3" t="s">
        <v>10039</v>
      </c>
      <c r="O2480" s="3" t="s">
        <v>10041</v>
      </c>
      <c r="P2480" s="17">
        <v>45752</v>
      </c>
      <c r="Q2480" s="4">
        <v>0</v>
      </c>
    </row>
    <row r="2481" spans="1:17" ht="30" x14ac:dyDescent="0.25">
      <c r="A2481" s="2" t="s">
        <v>1129</v>
      </c>
      <c r="B2481" s="3" t="s">
        <v>5015</v>
      </c>
      <c r="C2481" s="3">
        <v>45</v>
      </c>
      <c r="D2481" s="46" t="str">
        <f>IF(Tabla1[[#This Row],[EDAD]]&lt;=35,"Adultos jóvenes 18 - 35 años",IF(C2481&gt;=36,"Adultos mayores 36 años en adelante"))</f>
        <v>Adultos mayores 36 años en adelante</v>
      </c>
      <c r="E2481" s="3" t="s">
        <v>5020</v>
      </c>
      <c r="F2481" s="3" t="s">
        <v>5028</v>
      </c>
      <c r="G2481" s="3" t="s">
        <v>5036</v>
      </c>
      <c r="H2481" s="3" t="s">
        <v>6152</v>
      </c>
      <c r="I2481" s="17">
        <v>45772</v>
      </c>
      <c r="J2481" s="18">
        <f>YEAR(Tabla1[[#This Row],[FECHA DE COMPRA]])</f>
        <v>2025</v>
      </c>
      <c r="K2481" s="19">
        <v>78.13</v>
      </c>
      <c r="L2481" s="20">
        <v>0.1</v>
      </c>
      <c r="M2481" s="19">
        <f>Tienda!$K3191-Tienda!$K3191*Tienda!$L3191</f>
        <v>88.697000000000003</v>
      </c>
      <c r="N2481" s="3" t="s">
        <v>10039</v>
      </c>
      <c r="O2481" s="3" t="s">
        <v>10041</v>
      </c>
      <c r="P2481" s="17">
        <v>45772</v>
      </c>
      <c r="Q2481" s="4">
        <v>0</v>
      </c>
    </row>
    <row r="2482" spans="1:17" ht="30" x14ac:dyDescent="0.25">
      <c r="A2482" s="2" t="s">
        <v>839</v>
      </c>
      <c r="B2482" s="3" t="s">
        <v>5016</v>
      </c>
      <c r="C2482" s="3">
        <v>64</v>
      </c>
      <c r="D2482" s="46" t="str">
        <f>IF(Tabla1[[#This Row],[EDAD]]&lt;=35,"Adultos jóvenes 18 - 35 años",IF(C2482&gt;=36,"Adultos mayores 36 años en adelante"))</f>
        <v>Adultos mayores 36 años en adelante</v>
      </c>
      <c r="E2482" s="3" t="s">
        <v>5023</v>
      </c>
      <c r="F2482" s="3" t="s">
        <v>5028</v>
      </c>
      <c r="G2482" s="3" t="s">
        <v>5037</v>
      </c>
      <c r="H2482" s="3" t="s">
        <v>5862</v>
      </c>
      <c r="I2482" s="17">
        <v>45766</v>
      </c>
      <c r="J2482" s="18">
        <f>YEAR(Tabla1[[#This Row],[FECHA DE COMPRA]])</f>
        <v>2025</v>
      </c>
      <c r="K2482" s="19">
        <v>80.56</v>
      </c>
      <c r="L2482" s="20">
        <v>0.1</v>
      </c>
      <c r="M2482" s="19">
        <f>Tienda!$K3192-Tienda!$K3192*Tienda!$L3192</f>
        <v>88.712999999999994</v>
      </c>
      <c r="N2482" s="3" t="s">
        <v>10039</v>
      </c>
      <c r="O2482" s="3" t="s">
        <v>10041</v>
      </c>
      <c r="P2482" s="17">
        <v>45766</v>
      </c>
      <c r="Q2482" s="4">
        <v>0</v>
      </c>
    </row>
    <row r="2483" spans="1:17" ht="30" x14ac:dyDescent="0.25">
      <c r="A2483" s="2" t="s">
        <v>2506</v>
      </c>
      <c r="B2483" s="3" t="s">
        <v>5015</v>
      </c>
      <c r="C2483" s="3">
        <v>51</v>
      </c>
      <c r="D2483" s="46" t="str">
        <f>IF(Tabla1[[#This Row],[EDAD]]&lt;=35,"Adultos jóvenes 18 - 35 años",IF(C2483&gt;=36,"Adultos mayores 36 años en adelante"))</f>
        <v>Adultos mayores 36 años en adelante</v>
      </c>
      <c r="E2483" s="3" t="s">
        <v>5022</v>
      </c>
      <c r="F2483" s="3" t="s">
        <v>5027</v>
      </c>
      <c r="G2483" s="3" t="s">
        <v>5034</v>
      </c>
      <c r="H2483" s="3" t="s">
        <v>7529</v>
      </c>
      <c r="I2483" s="17">
        <v>45766</v>
      </c>
      <c r="J2483" s="18">
        <f>YEAR(Tabla1[[#This Row],[FECHA DE COMPRA]])</f>
        <v>2025</v>
      </c>
      <c r="K2483" s="19">
        <v>83.96</v>
      </c>
      <c r="L2483" s="20">
        <v>0.3</v>
      </c>
      <c r="M2483" s="19">
        <f>Tienda!$K3193-Tienda!$K3193*Tienda!$L3193</f>
        <v>90.02</v>
      </c>
      <c r="N2483" s="3" t="s">
        <v>10039</v>
      </c>
      <c r="O2483" s="3" t="s">
        <v>10041</v>
      </c>
      <c r="P2483" s="17">
        <v>45766</v>
      </c>
      <c r="Q2483" s="4">
        <v>0</v>
      </c>
    </row>
    <row r="2484" spans="1:17" ht="30" x14ac:dyDescent="0.25">
      <c r="A2484" s="2" t="s">
        <v>3021</v>
      </c>
      <c r="B2484" s="3" t="s">
        <v>5015</v>
      </c>
      <c r="C2484" s="3">
        <v>46</v>
      </c>
      <c r="D2484" s="46" t="str">
        <f>IF(Tabla1[[#This Row],[EDAD]]&lt;=35,"Adultos jóvenes 18 - 35 años",IF(C2484&gt;=36,"Adultos mayores 36 años en adelante"))</f>
        <v>Adultos mayores 36 años en adelante</v>
      </c>
      <c r="E2484" s="3" t="s">
        <v>5019</v>
      </c>
      <c r="F2484" s="3" t="s">
        <v>5025</v>
      </c>
      <c r="G2484" s="3" t="s">
        <v>5034</v>
      </c>
      <c r="H2484" s="3" t="s">
        <v>8044</v>
      </c>
      <c r="I2484" s="17">
        <v>45767</v>
      </c>
      <c r="J2484" s="18">
        <f>YEAR(Tabla1[[#This Row],[FECHA DE COMPRA]])</f>
        <v>2025</v>
      </c>
      <c r="K2484" s="19">
        <v>84.08</v>
      </c>
      <c r="L2484" s="20">
        <v>0.3</v>
      </c>
      <c r="M2484" s="19">
        <f>Tienda!$K3194-Tienda!$K3194*Tienda!$L3194</f>
        <v>90.076000000000008</v>
      </c>
      <c r="N2484" s="3" t="s">
        <v>10039</v>
      </c>
      <c r="O2484" s="3" t="s">
        <v>10041</v>
      </c>
      <c r="P2484" s="17">
        <v>45767</v>
      </c>
      <c r="Q2484" s="4">
        <v>0</v>
      </c>
    </row>
    <row r="2485" spans="1:17" ht="30" x14ac:dyDescent="0.25">
      <c r="A2485" s="2" t="s">
        <v>755</v>
      </c>
      <c r="B2485" s="3" t="s">
        <v>5015</v>
      </c>
      <c r="C2485" s="3">
        <v>56</v>
      </c>
      <c r="D2485" s="46" t="str">
        <f>IF(Tabla1[[#This Row],[EDAD]]&lt;=35,"Adultos jóvenes 18 - 35 años",IF(C2485&gt;=36,"Adultos mayores 36 años en adelante"))</f>
        <v>Adultos mayores 36 años en adelante</v>
      </c>
      <c r="E2485" s="3" t="s">
        <v>5022</v>
      </c>
      <c r="F2485" s="3" t="s">
        <v>5024</v>
      </c>
      <c r="G2485" s="3" t="s">
        <v>5031</v>
      </c>
      <c r="H2485" s="3" t="s">
        <v>5778</v>
      </c>
      <c r="I2485" s="17">
        <v>45760</v>
      </c>
      <c r="J2485" s="18">
        <f>YEAR(Tabla1[[#This Row],[FECHA DE COMPRA]])</f>
        <v>2025</v>
      </c>
      <c r="K2485" s="19">
        <v>103.29</v>
      </c>
      <c r="L2485" s="20">
        <v>0.1</v>
      </c>
      <c r="M2485" s="19">
        <f>Tienda!$K3201-Tienda!$K3201*Tienda!$L3201</f>
        <v>93.47</v>
      </c>
      <c r="N2485" s="3" t="s">
        <v>10039</v>
      </c>
      <c r="O2485" s="3" t="s">
        <v>10041</v>
      </c>
      <c r="P2485" s="17">
        <v>45760</v>
      </c>
      <c r="Q2485" s="4">
        <v>0</v>
      </c>
    </row>
    <row r="2486" spans="1:17" ht="30" x14ac:dyDescent="0.25">
      <c r="A2486" s="2" t="s">
        <v>4002</v>
      </c>
      <c r="B2486" s="3" t="s">
        <v>5015</v>
      </c>
      <c r="C2486" s="3">
        <v>63</v>
      </c>
      <c r="D2486" s="46" t="str">
        <f>IF(Tabla1[[#This Row],[EDAD]]&lt;=35,"Adultos jóvenes 18 - 35 años",IF(C2486&gt;=36,"Adultos mayores 36 años en adelante"))</f>
        <v>Adultos mayores 36 años en adelante</v>
      </c>
      <c r="E2486" s="3" t="s">
        <v>5018</v>
      </c>
      <c r="F2486" s="3" t="s">
        <v>5030</v>
      </c>
      <c r="G2486" s="3" t="s">
        <v>5037</v>
      </c>
      <c r="H2486" s="3" t="s">
        <v>9025</v>
      </c>
      <c r="I2486" s="17">
        <v>45760</v>
      </c>
      <c r="J2486" s="18">
        <f>YEAR(Tabla1[[#This Row],[FECHA DE COMPRA]])</f>
        <v>2025</v>
      </c>
      <c r="K2486" s="19">
        <v>104.84</v>
      </c>
      <c r="L2486" s="20">
        <v>0.1</v>
      </c>
      <c r="M2486" s="19">
        <f>Tienda!$K3203-Tienda!$K3203*Tienda!$L3203</f>
        <v>93.9</v>
      </c>
      <c r="N2486" s="3" t="s">
        <v>10039</v>
      </c>
      <c r="O2486" s="3" t="s">
        <v>10041</v>
      </c>
      <c r="P2486" s="17">
        <v>45760</v>
      </c>
      <c r="Q2486" s="4">
        <v>0</v>
      </c>
    </row>
    <row r="2487" spans="1:17" ht="30" x14ac:dyDescent="0.25">
      <c r="A2487" s="2" t="s">
        <v>1816</v>
      </c>
      <c r="B2487" s="3" t="s">
        <v>5015</v>
      </c>
      <c r="C2487" s="3">
        <v>48</v>
      </c>
      <c r="D2487" s="46" t="str">
        <f>IF(Tabla1[[#This Row],[EDAD]]&lt;=35,"Adultos jóvenes 18 - 35 años",IF(C2487&gt;=36,"Adultos mayores 36 años en adelante"))</f>
        <v>Adultos mayores 36 años en adelante</v>
      </c>
      <c r="E2487" s="3" t="s">
        <v>5021</v>
      </c>
      <c r="F2487" s="3" t="s">
        <v>5028</v>
      </c>
      <c r="G2487" s="3" t="s">
        <v>5032</v>
      </c>
      <c r="H2487" s="3" t="s">
        <v>6839</v>
      </c>
      <c r="I2487" s="17">
        <v>45750</v>
      </c>
      <c r="J2487" s="18">
        <f>YEAR(Tabla1[[#This Row],[FECHA DE COMPRA]])</f>
        <v>2025</v>
      </c>
      <c r="K2487" s="19">
        <v>108.66</v>
      </c>
      <c r="L2487" s="20">
        <v>0.2</v>
      </c>
      <c r="M2487" s="19">
        <f>Tienda!$K3204-Tienda!$K3204*Tienda!$L3204</f>
        <v>94.183999999999997</v>
      </c>
      <c r="N2487" s="3" t="s">
        <v>10039</v>
      </c>
      <c r="O2487" s="3" t="s">
        <v>10041</v>
      </c>
      <c r="P2487" s="17">
        <v>45750</v>
      </c>
      <c r="Q2487" s="4">
        <v>0</v>
      </c>
    </row>
    <row r="2488" spans="1:17" ht="30" x14ac:dyDescent="0.25">
      <c r="A2488" s="2" t="s">
        <v>3315</v>
      </c>
      <c r="B2488" s="3" t="s">
        <v>5016</v>
      </c>
      <c r="C2488" s="3">
        <v>51</v>
      </c>
      <c r="D2488" s="46" t="str">
        <f>IF(Tabla1[[#This Row],[EDAD]]&lt;=35,"Adultos jóvenes 18 - 35 años",IF(C2488&gt;=36,"Adultos mayores 36 años en adelante"))</f>
        <v>Adultos mayores 36 años en adelante</v>
      </c>
      <c r="E2488" s="3" t="s">
        <v>5017</v>
      </c>
      <c r="F2488" s="3" t="s">
        <v>5028</v>
      </c>
      <c r="G2488" s="3" t="s">
        <v>5037</v>
      </c>
      <c r="H2488" s="3" t="s">
        <v>8338</v>
      </c>
      <c r="I2488" s="17">
        <v>45757</v>
      </c>
      <c r="J2488" s="18">
        <f>YEAR(Tabla1[[#This Row],[FECHA DE COMPRA]])</f>
        <v>2025</v>
      </c>
      <c r="K2488" s="19">
        <v>110.06</v>
      </c>
      <c r="L2488" s="20">
        <v>0.3</v>
      </c>
      <c r="M2488" s="19">
        <f>Tienda!$K3205-Tienda!$K3205*Tienda!$L3205</f>
        <v>94.373999999999995</v>
      </c>
      <c r="N2488" s="3" t="s">
        <v>10039</v>
      </c>
      <c r="O2488" s="3" t="s">
        <v>10041</v>
      </c>
      <c r="P2488" s="17">
        <v>45757</v>
      </c>
      <c r="Q2488" s="4">
        <v>0</v>
      </c>
    </row>
    <row r="2489" spans="1:17" ht="30" x14ac:dyDescent="0.25">
      <c r="A2489" s="2" t="s">
        <v>677</v>
      </c>
      <c r="B2489" s="3" t="s">
        <v>5015</v>
      </c>
      <c r="C2489" s="3">
        <v>41</v>
      </c>
      <c r="D2489" s="46" t="str">
        <f>IF(Tabla1[[#This Row],[EDAD]]&lt;=35,"Adultos jóvenes 18 - 35 años",IF(C2489&gt;=36,"Adultos mayores 36 años en adelante"))</f>
        <v>Adultos mayores 36 años en adelante</v>
      </c>
      <c r="E2489" s="3" t="s">
        <v>5021</v>
      </c>
      <c r="F2489" s="3" t="s">
        <v>5028</v>
      </c>
      <c r="G2489" s="3" t="s">
        <v>5032</v>
      </c>
      <c r="H2489" s="3" t="s">
        <v>5700</v>
      </c>
      <c r="I2489" s="17">
        <v>45748</v>
      </c>
      <c r="J2489" s="18">
        <f>YEAR(Tabla1[[#This Row],[FECHA DE COMPRA]])</f>
        <v>2025</v>
      </c>
      <c r="K2489" s="19">
        <v>111.78</v>
      </c>
      <c r="L2489" s="20">
        <v>0</v>
      </c>
      <c r="M2489" s="19">
        <f>Tienda!$K3206-Tienda!$K3206*Tienda!$L3206</f>
        <v>95.48</v>
      </c>
      <c r="N2489" s="3" t="s">
        <v>10039</v>
      </c>
      <c r="O2489" s="3" t="s">
        <v>10041</v>
      </c>
      <c r="P2489" s="17">
        <v>45748</v>
      </c>
      <c r="Q2489" s="4">
        <v>0</v>
      </c>
    </row>
    <row r="2490" spans="1:17" ht="30" x14ac:dyDescent="0.25">
      <c r="A2490" s="2" t="s">
        <v>3663</v>
      </c>
      <c r="B2490" s="3" t="s">
        <v>5015</v>
      </c>
      <c r="C2490" s="3">
        <v>64</v>
      </c>
      <c r="D2490" s="46" t="str">
        <f>IF(Tabla1[[#This Row],[EDAD]]&lt;=35,"Adultos jóvenes 18 - 35 años",IF(C2490&gt;=36,"Adultos mayores 36 años en adelante"))</f>
        <v>Adultos mayores 36 años en adelante</v>
      </c>
      <c r="E2490" s="3" t="s">
        <v>5017</v>
      </c>
      <c r="F2490" s="3" t="s">
        <v>5027</v>
      </c>
      <c r="G2490" s="3" t="s">
        <v>5035</v>
      </c>
      <c r="H2490" s="3" t="s">
        <v>8686</v>
      </c>
      <c r="I2490" s="17">
        <v>45753</v>
      </c>
      <c r="J2490" s="18">
        <f>YEAR(Tabla1[[#This Row],[FECHA DE COMPRA]])</f>
        <v>2025</v>
      </c>
      <c r="K2490" s="19">
        <v>120.51</v>
      </c>
      <c r="L2490" s="20">
        <v>0</v>
      </c>
      <c r="M2490" s="19">
        <f>Tienda!$K3207-Tienda!$K3207*Tienda!$L3207</f>
        <v>97.152000000000001</v>
      </c>
      <c r="N2490" s="3" t="s">
        <v>10039</v>
      </c>
      <c r="O2490" s="3" t="s">
        <v>10041</v>
      </c>
      <c r="P2490" s="17">
        <v>45753</v>
      </c>
      <c r="Q2490" s="4">
        <v>0</v>
      </c>
    </row>
    <row r="2491" spans="1:17" ht="30" x14ac:dyDescent="0.25">
      <c r="A2491" s="2" t="s">
        <v>1326</v>
      </c>
      <c r="B2491" s="3" t="s">
        <v>5015</v>
      </c>
      <c r="C2491" s="3">
        <v>45</v>
      </c>
      <c r="D2491" s="46" t="str">
        <f>IF(Tabla1[[#This Row],[EDAD]]&lt;=35,"Adultos jóvenes 18 - 35 años",IF(C2491&gt;=36,"Adultos mayores 36 años en adelante"))</f>
        <v>Adultos mayores 36 años en adelante</v>
      </c>
      <c r="E2491" s="3" t="s">
        <v>5020</v>
      </c>
      <c r="F2491" s="3" t="s">
        <v>5027</v>
      </c>
      <c r="G2491" s="3" t="s">
        <v>5031</v>
      </c>
      <c r="H2491" s="3" t="s">
        <v>6349</v>
      </c>
      <c r="I2491" s="17">
        <v>45751</v>
      </c>
      <c r="J2491" s="18">
        <f>YEAR(Tabla1[[#This Row],[FECHA DE COMPRA]])</f>
        <v>2025</v>
      </c>
      <c r="K2491" s="19">
        <v>121.7</v>
      </c>
      <c r="L2491" s="20">
        <v>0.3</v>
      </c>
      <c r="M2491" s="19">
        <f>Tienda!$K3208-Tienda!$K3208*Tienda!$L3208</f>
        <v>97.424999999999997</v>
      </c>
      <c r="N2491" s="3" t="s">
        <v>10039</v>
      </c>
      <c r="O2491" s="3" t="s">
        <v>10041</v>
      </c>
      <c r="P2491" s="17">
        <v>45751</v>
      </c>
      <c r="Q2491" s="4">
        <v>0</v>
      </c>
    </row>
    <row r="2492" spans="1:17" ht="30" x14ac:dyDescent="0.25">
      <c r="A2492" s="2" t="s">
        <v>3692</v>
      </c>
      <c r="B2492" s="3" t="s">
        <v>5016</v>
      </c>
      <c r="C2492" s="3">
        <v>48</v>
      </c>
      <c r="D2492" s="46" t="str">
        <f>IF(Tabla1[[#This Row],[EDAD]]&lt;=35,"Adultos jóvenes 18 - 35 años",IF(C2492&gt;=36,"Adultos mayores 36 años en adelante"))</f>
        <v>Adultos mayores 36 años en adelante</v>
      </c>
      <c r="E2492" s="3" t="s">
        <v>5023</v>
      </c>
      <c r="F2492" s="3" t="s">
        <v>5024</v>
      </c>
      <c r="G2492" s="3" t="s">
        <v>5036</v>
      </c>
      <c r="H2492" s="3" t="s">
        <v>8715</v>
      </c>
      <c r="I2492" s="17">
        <v>45765</v>
      </c>
      <c r="J2492" s="18">
        <f>YEAR(Tabla1[[#This Row],[FECHA DE COMPRA]])</f>
        <v>2025</v>
      </c>
      <c r="K2492" s="19">
        <v>123.16</v>
      </c>
      <c r="L2492" s="20">
        <v>0.2</v>
      </c>
      <c r="M2492" s="19">
        <f>Tienda!$K3209-Tienda!$K3209*Tienda!$L3209</f>
        <v>97.734000000000009</v>
      </c>
      <c r="N2492" s="3" t="s">
        <v>10039</v>
      </c>
      <c r="O2492" s="3" t="s">
        <v>10041</v>
      </c>
      <c r="P2492" s="17">
        <v>45765</v>
      </c>
      <c r="Q2492" s="4">
        <v>0</v>
      </c>
    </row>
    <row r="2493" spans="1:17" ht="30" x14ac:dyDescent="0.25">
      <c r="A2493" s="2" t="s">
        <v>4735</v>
      </c>
      <c r="B2493" s="3" t="s">
        <v>5015</v>
      </c>
      <c r="C2493" s="3">
        <v>38</v>
      </c>
      <c r="D2493" s="46" t="str">
        <f>IF(Tabla1[[#This Row],[EDAD]]&lt;=35,"Adultos jóvenes 18 - 35 años",IF(C2493&gt;=36,"Adultos mayores 36 años en adelante"))</f>
        <v>Adultos mayores 36 años en adelante</v>
      </c>
      <c r="E2493" s="3" t="s">
        <v>5023</v>
      </c>
      <c r="F2493" s="3" t="s">
        <v>5026</v>
      </c>
      <c r="G2493" s="3" t="s">
        <v>5032</v>
      </c>
      <c r="H2493" s="3" t="s">
        <v>9758</v>
      </c>
      <c r="I2493" s="17">
        <v>45777</v>
      </c>
      <c r="J2493" s="18">
        <f>YEAR(Tabla1[[#This Row],[FECHA DE COMPRA]])</f>
        <v>2025</v>
      </c>
      <c r="K2493" s="19">
        <v>124.09</v>
      </c>
      <c r="L2493" s="20">
        <v>0.1</v>
      </c>
      <c r="M2493" s="19">
        <f>Tienda!$K3210-Tienda!$K3210*Tienda!$L3210</f>
        <v>98.259000000000015</v>
      </c>
      <c r="N2493" s="3" t="s">
        <v>10039</v>
      </c>
      <c r="O2493" s="3" t="s">
        <v>10041</v>
      </c>
      <c r="P2493" s="17">
        <v>45777</v>
      </c>
      <c r="Q2493" s="4">
        <v>0</v>
      </c>
    </row>
    <row r="2494" spans="1:17" ht="30" x14ac:dyDescent="0.25">
      <c r="A2494" s="2" t="s">
        <v>1819</v>
      </c>
      <c r="B2494" s="3" t="s">
        <v>5015</v>
      </c>
      <c r="C2494" s="3">
        <v>46</v>
      </c>
      <c r="D2494" s="46" t="str">
        <f>IF(Tabla1[[#This Row],[EDAD]]&lt;=35,"Adultos jóvenes 18 - 35 años",IF(C2494&gt;=36,"Adultos mayores 36 años en adelante"))</f>
        <v>Adultos mayores 36 años en adelante</v>
      </c>
      <c r="E2494" s="3" t="s">
        <v>5017</v>
      </c>
      <c r="F2494" s="3" t="s">
        <v>5025</v>
      </c>
      <c r="G2494" s="3" t="s">
        <v>5031</v>
      </c>
      <c r="H2494" s="3" t="s">
        <v>6842</v>
      </c>
      <c r="I2494" s="17">
        <v>45752</v>
      </c>
      <c r="J2494" s="18">
        <f>YEAR(Tabla1[[#This Row],[FECHA DE COMPRA]])</f>
        <v>2025</v>
      </c>
      <c r="K2494" s="19">
        <v>135.21</v>
      </c>
      <c r="L2494" s="20">
        <v>0.3</v>
      </c>
      <c r="M2494" s="19">
        <f>Tienda!$K3211-Tienda!$K3211*Tienda!$L3211</f>
        <v>99.03</v>
      </c>
      <c r="N2494" s="3" t="s">
        <v>10039</v>
      </c>
      <c r="O2494" s="3" t="s">
        <v>10041</v>
      </c>
      <c r="P2494" s="17">
        <v>45752</v>
      </c>
      <c r="Q2494" s="4">
        <v>0</v>
      </c>
    </row>
    <row r="2495" spans="1:17" ht="30" x14ac:dyDescent="0.25">
      <c r="A2495" s="2" t="s">
        <v>2089</v>
      </c>
      <c r="B2495" s="3" t="s">
        <v>5015</v>
      </c>
      <c r="C2495" s="3">
        <v>64</v>
      </c>
      <c r="D2495" s="46" t="str">
        <f>IF(Tabla1[[#This Row],[EDAD]]&lt;=35,"Adultos jóvenes 18 - 35 años",IF(C2495&gt;=36,"Adultos mayores 36 años en adelante"))</f>
        <v>Adultos mayores 36 años en adelante</v>
      </c>
      <c r="E2495" s="3" t="s">
        <v>5018</v>
      </c>
      <c r="F2495" s="3" t="s">
        <v>5030</v>
      </c>
      <c r="G2495" s="3" t="s">
        <v>5032</v>
      </c>
      <c r="H2495" s="3" t="s">
        <v>7112</v>
      </c>
      <c r="I2495" s="17">
        <v>45755</v>
      </c>
      <c r="J2495" s="18">
        <f>YEAR(Tabla1[[#This Row],[FECHA DE COMPRA]])</f>
        <v>2025</v>
      </c>
      <c r="K2495" s="19">
        <v>148.46</v>
      </c>
      <c r="L2495" s="20">
        <v>0</v>
      </c>
      <c r="M2495" s="19">
        <f>Tienda!$K3212-Tienda!$K3212*Tienda!$L3212</f>
        <v>99.406999999999996</v>
      </c>
      <c r="N2495" s="3" t="s">
        <v>10039</v>
      </c>
      <c r="O2495" s="3" t="s">
        <v>10041</v>
      </c>
      <c r="P2495" s="17">
        <v>45755</v>
      </c>
      <c r="Q2495" s="4">
        <v>0</v>
      </c>
    </row>
    <row r="2496" spans="1:17" ht="30" x14ac:dyDescent="0.25">
      <c r="A2496" s="2" t="s">
        <v>1592</v>
      </c>
      <c r="B2496" s="3" t="s">
        <v>5015</v>
      </c>
      <c r="C2496" s="3">
        <v>49</v>
      </c>
      <c r="D2496" s="46" t="str">
        <f>IF(Tabla1[[#This Row],[EDAD]]&lt;=35,"Adultos jóvenes 18 - 35 años",IF(C2496&gt;=36,"Adultos mayores 36 años en adelante"))</f>
        <v>Adultos mayores 36 años en adelante</v>
      </c>
      <c r="E2496" s="3" t="s">
        <v>5021</v>
      </c>
      <c r="F2496" s="3" t="s">
        <v>5028</v>
      </c>
      <c r="G2496" s="3" t="s">
        <v>5031</v>
      </c>
      <c r="H2496" s="3" t="s">
        <v>6615</v>
      </c>
      <c r="I2496" s="17">
        <v>45755</v>
      </c>
      <c r="J2496" s="18">
        <f>YEAR(Tabla1[[#This Row],[FECHA DE COMPRA]])</f>
        <v>2025</v>
      </c>
      <c r="K2496" s="19">
        <v>153.25</v>
      </c>
      <c r="L2496" s="20">
        <v>0.1</v>
      </c>
      <c r="M2496" s="19">
        <f>Tienda!$K3213-Tienda!$K3213*Tienda!$L3213</f>
        <v>99.82</v>
      </c>
      <c r="N2496" s="3" t="s">
        <v>10039</v>
      </c>
      <c r="O2496" s="3" t="s">
        <v>10041</v>
      </c>
      <c r="P2496" s="17">
        <v>45755</v>
      </c>
      <c r="Q2496" s="4">
        <v>0</v>
      </c>
    </row>
    <row r="2497" spans="1:17" ht="30" x14ac:dyDescent="0.25">
      <c r="A2497" s="2" t="s">
        <v>4802</v>
      </c>
      <c r="B2497" s="3" t="s">
        <v>5015</v>
      </c>
      <c r="C2497" s="3">
        <v>53</v>
      </c>
      <c r="D2497" s="46" t="str">
        <f>IF(Tabla1[[#This Row],[EDAD]]&lt;=35,"Adultos jóvenes 18 - 35 años",IF(C2497&gt;=36,"Adultos mayores 36 años en adelante"))</f>
        <v>Adultos mayores 36 años en adelante</v>
      </c>
      <c r="E2497" s="3" t="s">
        <v>5019</v>
      </c>
      <c r="F2497" s="3" t="s">
        <v>5025</v>
      </c>
      <c r="G2497" s="3" t="s">
        <v>5035</v>
      </c>
      <c r="H2497" s="3" t="s">
        <v>9825</v>
      </c>
      <c r="I2497" s="17">
        <v>45765</v>
      </c>
      <c r="J2497" s="18">
        <f>YEAR(Tabla1[[#This Row],[FECHA DE COMPRA]])</f>
        <v>2025</v>
      </c>
      <c r="K2497" s="19">
        <v>155.44</v>
      </c>
      <c r="L2497" s="20">
        <v>0.2</v>
      </c>
      <c r="M2497" s="19">
        <f>Tienda!$K3214-Tienda!$K3214*Tienda!$L3214</f>
        <v>100.09</v>
      </c>
      <c r="N2497" s="3" t="s">
        <v>10039</v>
      </c>
      <c r="O2497" s="3" t="s">
        <v>10041</v>
      </c>
      <c r="P2497" s="17">
        <v>45765</v>
      </c>
      <c r="Q2497" s="4">
        <v>0</v>
      </c>
    </row>
    <row r="2498" spans="1:17" ht="30" x14ac:dyDescent="0.25">
      <c r="A2498" s="2" t="s">
        <v>4682</v>
      </c>
      <c r="B2498" s="3" t="s">
        <v>5015</v>
      </c>
      <c r="C2498" s="3">
        <v>42</v>
      </c>
      <c r="D2498" s="46" t="str">
        <f>IF(Tabla1[[#This Row],[EDAD]]&lt;=35,"Adultos jóvenes 18 - 35 años",IF(C2498&gt;=36,"Adultos mayores 36 años en adelante"))</f>
        <v>Adultos mayores 36 años en adelante</v>
      </c>
      <c r="E2498" s="3" t="s">
        <v>5019</v>
      </c>
      <c r="F2498" s="3" t="s">
        <v>5027</v>
      </c>
      <c r="G2498" s="3" t="s">
        <v>5035</v>
      </c>
      <c r="H2498" s="3" t="s">
        <v>9705</v>
      </c>
      <c r="I2498" s="17">
        <v>45777</v>
      </c>
      <c r="J2498" s="18">
        <f>YEAR(Tabla1[[#This Row],[FECHA DE COMPRA]])</f>
        <v>2025</v>
      </c>
      <c r="K2498" s="19">
        <v>160.91999999999999</v>
      </c>
      <c r="L2498" s="20">
        <v>0.3</v>
      </c>
      <c r="M2498" s="19">
        <f>Tienda!$K3216-Tienda!$K3216*Tienda!$L3216</f>
        <v>100.14400000000001</v>
      </c>
      <c r="N2498" s="3" t="s">
        <v>10039</v>
      </c>
      <c r="O2498" s="3" t="s">
        <v>10041</v>
      </c>
      <c r="P2498" s="17">
        <v>45777</v>
      </c>
      <c r="Q2498" s="4">
        <v>0</v>
      </c>
    </row>
    <row r="2499" spans="1:17" ht="30" x14ac:dyDescent="0.25">
      <c r="A2499" s="2" t="s">
        <v>4585</v>
      </c>
      <c r="B2499" s="3" t="s">
        <v>5016</v>
      </c>
      <c r="C2499" s="3">
        <v>37</v>
      </c>
      <c r="D2499" s="46" t="str">
        <f>IF(Tabla1[[#This Row],[EDAD]]&lt;=35,"Adultos jóvenes 18 - 35 años",IF(C2499&gt;=36,"Adultos mayores 36 años en adelante"))</f>
        <v>Adultos mayores 36 años en adelante</v>
      </c>
      <c r="E2499" s="3" t="s">
        <v>5021</v>
      </c>
      <c r="F2499" s="3" t="s">
        <v>5025</v>
      </c>
      <c r="G2499" s="3" t="s">
        <v>5032</v>
      </c>
      <c r="H2499" s="3" t="s">
        <v>9608</v>
      </c>
      <c r="I2499" s="17">
        <v>45756</v>
      </c>
      <c r="J2499" s="18">
        <f>YEAR(Tabla1[[#This Row],[FECHA DE COMPRA]])</f>
        <v>2025</v>
      </c>
      <c r="K2499" s="19">
        <v>162.88</v>
      </c>
      <c r="L2499" s="20">
        <v>0</v>
      </c>
      <c r="M2499" s="19">
        <f>Tienda!$K3217-Tienda!$K3217*Tienda!$L3217</f>
        <v>100.44</v>
      </c>
      <c r="N2499" s="3" t="s">
        <v>10039</v>
      </c>
      <c r="O2499" s="3" t="s">
        <v>10041</v>
      </c>
      <c r="P2499" s="17">
        <v>45756</v>
      </c>
      <c r="Q2499" s="4">
        <v>0</v>
      </c>
    </row>
    <row r="2500" spans="1:17" ht="30" x14ac:dyDescent="0.25">
      <c r="A2500" s="2" t="s">
        <v>3247</v>
      </c>
      <c r="B2500" s="3" t="s">
        <v>5015</v>
      </c>
      <c r="C2500" s="3">
        <v>40</v>
      </c>
      <c r="D2500" s="46" t="str">
        <f>IF(Tabla1[[#This Row],[EDAD]]&lt;=35,"Adultos jóvenes 18 - 35 años",IF(C2500&gt;=36,"Adultos mayores 36 años en adelante"))</f>
        <v>Adultos mayores 36 años en adelante</v>
      </c>
      <c r="E2500" s="3" t="s">
        <v>5020</v>
      </c>
      <c r="F2500" s="3" t="s">
        <v>5026</v>
      </c>
      <c r="G2500" s="3" t="s">
        <v>5032</v>
      </c>
      <c r="H2500" s="3" t="s">
        <v>8270</v>
      </c>
      <c r="I2500" s="17">
        <v>45763</v>
      </c>
      <c r="J2500" s="18">
        <f>YEAR(Tabla1[[#This Row],[FECHA DE COMPRA]])</f>
        <v>2025</v>
      </c>
      <c r="K2500" s="19">
        <v>164.02</v>
      </c>
      <c r="L2500" s="20">
        <v>0.1</v>
      </c>
      <c r="M2500" s="19">
        <f>Tienda!$K3218-Tienda!$K3218*Tienda!$L3218</f>
        <v>101.09</v>
      </c>
      <c r="N2500" s="3" t="s">
        <v>10039</v>
      </c>
      <c r="O2500" s="3" t="s">
        <v>10041</v>
      </c>
      <c r="P2500" s="17">
        <v>45763</v>
      </c>
      <c r="Q2500" s="4">
        <v>0</v>
      </c>
    </row>
    <row r="2501" spans="1:17" ht="30" x14ac:dyDescent="0.25">
      <c r="A2501" s="2" t="s">
        <v>193</v>
      </c>
      <c r="B2501" s="3" t="s">
        <v>5016</v>
      </c>
      <c r="C2501" s="3">
        <v>41</v>
      </c>
      <c r="D2501" s="46" t="str">
        <f>IF(Tabla1[[#This Row],[EDAD]]&lt;=35,"Adultos jóvenes 18 - 35 años",IF(C2501&gt;=36,"Adultos mayores 36 años en adelante"))</f>
        <v>Adultos mayores 36 años en adelante</v>
      </c>
      <c r="E2501" s="3" t="s">
        <v>5023</v>
      </c>
      <c r="F2501" s="3" t="s">
        <v>5027</v>
      </c>
      <c r="G2501" s="3" t="s">
        <v>5037</v>
      </c>
      <c r="H2501" s="3" t="s">
        <v>5216</v>
      </c>
      <c r="I2501" s="17">
        <v>45753</v>
      </c>
      <c r="J2501" s="18">
        <f>YEAR(Tabla1[[#This Row],[FECHA DE COMPRA]])</f>
        <v>2025</v>
      </c>
      <c r="K2501" s="19">
        <v>164.41</v>
      </c>
      <c r="L2501" s="20">
        <v>0.2</v>
      </c>
      <c r="M2501" s="19">
        <f>Tienda!$K3219-Tienda!$K3219*Tienda!$L3219</f>
        <v>101.563</v>
      </c>
      <c r="N2501" s="3" t="s">
        <v>10039</v>
      </c>
      <c r="O2501" s="3" t="s">
        <v>10041</v>
      </c>
      <c r="P2501" s="17">
        <v>45753</v>
      </c>
      <c r="Q2501" s="4">
        <v>0</v>
      </c>
    </row>
    <row r="2502" spans="1:17" ht="30" x14ac:dyDescent="0.25">
      <c r="A2502" s="2" t="s">
        <v>3790</v>
      </c>
      <c r="B2502" s="3" t="s">
        <v>5015</v>
      </c>
      <c r="C2502" s="3">
        <v>42</v>
      </c>
      <c r="D2502" s="46" t="str">
        <f>IF(Tabla1[[#This Row],[EDAD]]&lt;=35,"Adultos jóvenes 18 - 35 años",IF(C2502&gt;=36,"Adultos mayores 36 años en adelante"))</f>
        <v>Adultos mayores 36 años en adelante</v>
      </c>
      <c r="E2502" s="3" t="s">
        <v>5022</v>
      </c>
      <c r="F2502" s="3" t="s">
        <v>5025</v>
      </c>
      <c r="G2502" s="3" t="s">
        <v>5032</v>
      </c>
      <c r="H2502" s="3" t="s">
        <v>8813</v>
      </c>
      <c r="I2502" s="17">
        <v>45750</v>
      </c>
      <c r="J2502" s="18">
        <f>YEAR(Tabla1[[#This Row],[FECHA DE COMPRA]])</f>
        <v>2025</v>
      </c>
      <c r="K2502" s="19">
        <v>167.01</v>
      </c>
      <c r="L2502" s="20">
        <v>0.1</v>
      </c>
      <c r="M2502" s="19">
        <f>Tienda!$K3220-Tienda!$K3220*Tienda!$L3220</f>
        <v>101.80800000000001</v>
      </c>
      <c r="N2502" s="3" t="s">
        <v>10039</v>
      </c>
      <c r="O2502" s="3" t="s">
        <v>10041</v>
      </c>
      <c r="P2502" s="17">
        <v>45750</v>
      </c>
      <c r="Q2502" s="4">
        <v>0</v>
      </c>
    </row>
    <row r="2503" spans="1:17" ht="30" x14ac:dyDescent="0.25">
      <c r="A2503" s="2" t="s">
        <v>701</v>
      </c>
      <c r="B2503" s="3" t="s">
        <v>5015</v>
      </c>
      <c r="C2503" s="3">
        <v>62</v>
      </c>
      <c r="D2503" s="46" t="str">
        <f>IF(Tabla1[[#This Row],[EDAD]]&lt;=35,"Adultos jóvenes 18 - 35 años",IF(C2503&gt;=36,"Adultos mayores 36 años en adelante"))</f>
        <v>Adultos mayores 36 años en adelante</v>
      </c>
      <c r="E2503" s="3" t="s">
        <v>5023</v>
      </c>
      <c r="F2503" s="3" t="s">
        <v>5027</v>
      </c>
      <c r="G2503" s="3" t="s">
        <v>5031</v>
      </c>
      <c r="H2503" s="3" t="s">
        <v>5724</v>
      </c>
      <c r="I2503" s="17">
        <v>45776</v>
      </c>
      <c r="J2503" s="18">
        <f>YEAR(Tabla1[[#This Row],[FECHA DE COMPRA]])</f>
        <v>2025</v>
      </c>
      <c r="K2503" s="19">
        <v>175.07</v>
      </c>
      <c r="L2503" s="20">
        <v>0.3</v>
      </c>
      <c r="M2503" s="19">
        <f>Tienda!$K3222-Tienda!$K3222*Tienda!$L3222</f>
        <v>102.6</v>
      </c>
      <c r="N2503" s="3" t="s">
        <v>10039</v>
      </c>
      <c r="O2503" s="3" t="s">
        <v>10041</v>
      </c>
      <c r="P2503" s="17">
        <v>45776</v>
      </c>
      <c r="Q2503" s="4">
        <v>0</v>
      </c>
    </row>
    <row r="2504" spans="1:17" ht="30" x14ac:dyDescent="0.25">
      <c r="A2504" s="2" t="s">
        <v>4458</v>
      </c>
      <c r="B2504" s="3" t="s">
        <v>5015</v>
      </c>
      <c r="C2504" s="3">
        <v>46</v>
      </c>
      <c r="D2504" s="46" t="str">
        <f>IF(Tabla1[[#This Row],[EDAD]]&lt;=35,"Adultos jóvenes 18 - 35 años",IF(C2504&gt;=36,"Adultos mayores 36 años en adelante"))</f>
        <v>Adultos mayores 36 años en adelante</v>
      </c>
      <c r="E2504" s="3" t="s">
        <v>5022</v>
      </c>
      <c r="F2504" s="3" t="s">
        <v>5030</v>
      </c>
      <c r="G2504" s="3" t="s">
        <v>5034</v>
      </c>
      <c r="H2504" s="3" t="s">
        <v>9481</v>
      </c>
      <c r="I2504" s="17">
        <v>45750</v>
      </c>
      <c r="J2504" s="18">
        <f>YEAR(Tabla1[[#This Row],[FECHA DE COMPRA]])</f>
        <v>2025</v>
      </c>
      <c r="K2504" s="19">
        <v>175.84</v>
      </c>
      <c r="L2504" s="20">
        <v>0.1</v>
      </c>
      <c r="M2504" s="19">
        <f>Tienda!$K3223-Tienda!$K3223*Tienda!$L3223</f>
        <v>102.771</v>
      </c>
      <c r="N2504" s="3" t="s">
        <v>10039</v>
      </c>
      <c r="O2504" s="3" t="s">
        <v>10041</v>
      </c>
      <c r="P2504" s="17">
        <v>45750</v>
      </c>
      <c r="Q2504" s="4">
        <v>0</v>
      </c>
    </row>
    <row r="2505" spans="1:17" ht="30" x14ac:dyDescent="0.25">
      <c r="A2505" s="2" t="s">
        <v>4156</v>
      </c>
      <c r="B2505" s="3" t="s">
        <v>5015</v>
      </c>
      <c r="C2505" s="3">
        <v>59</v>
      </c>
      <c r="D2505" s="46" t="str">
        <f>IF(Tabla1[[#This Row],[EDAD]]&lt;=35,"Adultos jóvenes 18 - 35 años",IF(C2505&gt;=36,"Adultos mayores 36 años en adelante"))</f>
        <v>Adultos mayores 36 años en adelante</v>
      </c>
      <c r="E2505" s="3" t="s">
        <v>5020</v>
      </c>
      <c r="F2505" s="3" t="s">
        <v>5024</v>
      </c>
      <c r="G2505" s="3" t="s">
        <v>5034</v>
      </c>
      <c r="H2505" s="3" t="s">
        <v>9179</v>
      </c>
      <c r="I2505" s="17">
        <v>45753</v>
      </c>
      <c r="J2505" s="18">
        <f>YEAR(Tabla1[[#This Row],[FECHA DE COMPRA]])</f>
        <v>2025</v>
      </c>
      <c r="K2505" s="19">
        <v>183.45</v>
      </c>
      <c r="L2505" s="20">
        <v>0</v>
      </c>
      <c r="M2505" s="19">
        <f>Tienda!$K3226-Tienda!$K3226*Tienda!$L3226</f>
        <v>105.33599999999998</v>
      </c>
      <c r="N2505" s="3" t="s">
        <v>10039</v>
      </c>
      <c r="O2505" s="3" t="s">
        <v>10041</v>
      </c>
      <c r="P2505" s="17">
        <v>45753</v>
      </c>
      <c r="Q2505" s="4">
        <v>0</v>
      </c>
    </row>
    <row r="2506" spans="1:17" ht="30" x14ac:dyDescent="0.25">
      <c r="A2506" s="2" t="s">
        <v>1132</v>
      </c>
      <c r="B2506" s="3" t="s">
        <v>5015</v>
      </c>
      <c r="C2506" s="3">
        <v>47</v>
      </c>
      <c r="D2506" s="46" t="str">
        <f>IF(Tabla1[[#This Row],[EDAD]]&lt;=35,"Adultos jóvenes 18 - 35 años",IF(C2506&gt;=36,"Adultos mayores 36 años en adelante"))</f>
        <v>Adultos mayores 36 años en adelante</v>
      </c>
      <c r="E2506" s="3" t="s">
        <v>5023</v>
      </c>
      <c r="F2506" s="3" t="s">
        <v>5027</v>
      </c>
      <c r="G2506" s="3" t="s">
        <v>5035</v>
      </c>
      <c r="H2506" s="3" t="s">
        <v>6155</v>
      </c>
      <c r="I2506" s="17">
        <v>45760</v>
      </c>
      <c r="J2506" s="18">
        <f>YEAR(Tabla1[[#This Row],[FECHA DE COMPRA]])</f>
        <v>2025</v>
      </c>
      <c r="K2506" s="19">
        <v>184.07</v>
      </c>
      <c r="L2506" s="20">
        <v>0.3</v>
      </c>
      <c r="M2506" s="19">
        <f>Tienda!$K3227-Tienda!$K3227*Tienda!$L3227</f>
        <v>105.833</v>
      </c>
      <c r="N2506" s="3" t="s">
        <v>10039</v>
      </c>
      <c r="O2506" s="3" t="s">
        <v>10041</v>
      </c>
      <c r="P2506" s="17">
        <v>45760</v>
      </c>
      <c r="Q2506" s="4">
        <v>0</v>
      </c>
    </row>
    <row r="2507" spans="1:17" ht="30" x14ac:dyDescent="0.25">
      <c r="A2507" s="2" t="s">
        <v>1190</v>
      </c>
      <c r="B2507" s="3" t="s">
        <v>5015</v>
      </c>
      <c r="C2507" s="3">
        <v>45</v>
      </c>
      <c r="D2507" s="46" t="str">
        <f>IF(Tabla1[[#This Row],[EDAD]]&lt;=35,"Adultos jóvenes 18 - 35 años",IF(C2507&gt;=36,"Adultos mayores 36 años en adelante"))</f>
        <v>Adultos mayores 36 años en adelante</v>
      </c>
      <c r="E2507" s="3" t="s">
        <v>5018</v>
      </c>
      <c r="F2507" s="3" t="s">
        <v>5030</v>
      </c>
      <c r="G2507" s="3" t="s">
        <v>5034</v>
      </c>
      <c r="H2507" s="3" t="s">
        <v>6213</v>
      </c>
      <c r="I2507" s="17">
        <v>45797</v>
      </c>
      <c r="J2507" s="18">
        <f>YEAR(Tabla1[[#This Row],[FECHA DE COMPRA]])</f>
        <v>2025</v>
      </c>
      <c r="K2507" s="19">
        <v>17.18</v>
      </c>
      <c r="L2507" s="20">
        <v>0</v>
      </c>
      <c r="M2507" s="19">
        <f>Tienda!$K3229-Tienda!$K3229*Tienda!$L3229</f>
        <v>108.34400000000001</v>
      </c>
      <c r="N2507" s="3" t="s">
        <v>10039</v>
      </c>
      <c r="O2507" s="3" t="s">
        <v>10041</v>
      </c>
      <c r="P2507" s="17">
        <v>45797</v>
      </c>
      <c r="Q2507" s="4">
        <v>0</v>
      </c>
    </row>
    <row r="2508" spans="1:17" ht="30" x14ac:dyDescent="0.25">
      <c r="A2508" s="2" t="s">
        <v>2935</v>
      </c>
      <c r="B2508" s="3" t="s">
        <v>5016</v>
      </c>
      <c r="C2508" s="3">
        <v>64</v>
      </c>
      <c r="D2508" s="46" t="str">
        <f>IF(Tabla1[[#This Row],[EDAD]]&lt;=35,"Adultos jóvenes 18 - 35 años",IF(C2508&gt;=36,"Adultos mayores 36 años en adelante"))</f>
        <v>Adultos mayores 36 años en adelante</v>
      </c>
      <c r="E2508" s="3" t="s">
        <v>5017</v>
      </c>
      <c r="F2508" s="3" t="s">
        <v>5024</v>
      </c>
      <c r="G2508" s="3" t="s">
        <v>5035</v>
      </c>
      <c r="H2508" s="3" t="s">
        <v>7958</v>
      </c>
      <c r="I2508" s="17">
        <v>45793</v>
      </c>
      <c r="J2508" s="18">
        <f>YEAR(Tabla1[[#This Row],[FECHA DE COMPRA]])</f>
        <v>2025</v>
      </c>
      <c r="K2508" s="19">
        <v>23.57</v>
      </c>
      <c r="L2508" s="20">
        <v>0.2</v>
      </c>
      <c r="M2508" s="19">
        <f>Tienda!$K3230-Tienda!$K3230*Tienda!$L3230</f>
        <v>108.51199999999999</v>
      </c>
      <c r="N2508" s="3" t="s">
        <v>10039</v>
      </c>
      <c r="O2508" s="3" t="s">
        <v>10041</v>
      </c>
      <c r="P2508" s="17">
        <v>45793</v>
      </c>
      <c r="Q2508" s="4">
        <v>0</v>
      </c>
    </row>
    <row r="2509" spans="1:17" ht="30" x14ac:dyDescent="0.25">
      <c r="A2509" s="2" t="s">
        <v>860</v>
      </c>
      <c r="B2509" s="3" t="s">
        <v>5015</v>
      </c>
      <c r="C2509" s="3">
        <v>39</v>
      </c>
      <c r="D2509" s="46" t="str">
        <f>IF(Tabla1[[#This Row],[EDAD]]&lt;=35,"Adultos jóvenes 18 - 35 años",IF(C2509&gt;=36,"Adultos mayores 36 años en adelante"))</f>
        <v>Adultos mayores 36 años en adelante</v>
      </c>
      <c r="E2509" s="3" t="s">
        <v>5021</v>
      </c>
      <c r="F2509" s="3" t="s">
        <v>5029</v>
      </c>
      <c r="G2509" s="3" t="s">
        <v>5033</v>
      </c>
      <c r="H2509" s="3" t="s">
        <v>5883</v>
      </c>
      <c r="I2509" s="17">
        <v>45804</v>
      </c>
      <c r="J2509" s="18">
        <f>YEAR(Tabla1[[#This Row],[FECHA DE COMPRA]])</f>
        <v>2025</v>
      </c>
      <c r="K2509" s="19">
        <v>23.89</v>
      </c>
      <c r="L2509" s="20">
        <v>0.3</v>
      </c>
      <c r="M2509" s="19">
        <f>Tienda!$K3231-Tienda!$K3231*Tienda!$L3231</f>
        <v>109.40299999999999</v>
      </c>
      <c r="N2509" s="3" t="s">
        <v>10039</v>
      </c>
      <c r="O2509" s="3" t="s">
        <v>10041</v>
      </c>
      <c r="P2509" s="17">
        <v>45804</v>
      </c>
      <c r="Q2509" s="4">
        <v>0</v>
      </c>
    </row>
    <row r="2510" spans="1:17" ht="30" x14ac:dyDescent="0.25">
      <c r="A2510" s="2" t="s">
        <v>1609</v>
      </c>
      <c r="B2510" s="3" t="s">
        <v>5016</v>
      </c>
      <c r="C2510" s="3">
        <v>38</v>
      </c>
      <c r="D2510" s="46" t="str">
        <f>IF(Tabla1[[#This Row],[EDAD]]&lt;=35,"Adultos jóvenes 18 - 35 años",IF(C2510&gt;=36,"Adultos mayores 36 años en adelante"))</f>
        <v>Adultos mayores 36 años en adelante</v>
      </c>
      <c r="E2510" s="3" t="s">
        <v>5023</v>
      </c>
      <c r="F2510" s="3" t="s">
        <v>5030</v>
      </c>
      <c r="G2510" s="3" t="s">
        <v>5034</v>
      </c>
      <c r="H2510" s="3" t="s">
        <v>6632</v>
      </c>
      <c r="I2510" s="17">
        <v>45805</v>
      </c>
      <c r="J2510" s="18">
        <f>YEAR(Tabla1[[#This Row],[FECHA DE COMPRA]])</f>
        <v>2025</v>
      </c>
      <c r="K2510" s="19">
        <v>31.34</v>
      </c>
      <c r="L2510" s="20">
        <v>0</v>
      </c>
      <c r="M2510" s="19">
        <f>Tienda!$K3233-Tienda!$K3233*Tienda!$L3233</f>
        <v>113.43199999999999</v>
      </c>
      <c r="N2510" s="3" t="s">
        <v>10039</v>
      </c>
      <c r="O2510" s="3" t="s">
        <v>10041</v>
      </c>
      <c r="P2510" s="17">
        <v>45805</v>
      </c>
      <c r="Q2510" s="4">
        <v>0</v>
      </c>
    </row>
    <row r="2511" spans="1:17" ht="30" x14ac:dyDescent="0.25">
      <c r="A2511" s="2" t="s">
        <v>1523</v>
      </c>
      <c r="B2511" s="3" t="s">
        <v>5015</v>
      </c>
      <c r="C2511" s="3">
        <v>63</v>
      </c>
      <c r="D2511" s="46" t="str">
        <f>IF(Tabla1[[#This Row],[EDAD]]&lt;=35,"Adultos jóvenes 18 - 35 años",IF(C2511&gt;=36,"Adultos mayores 36 años en adelante"))</f>
        <v>Adultos mayores 36 años en adelante</v>
      </c>
      <c r="E2511" s="3" t="s">
        <v>5022</v>
      </c>
      <c r="F2511" s="3" t="s">
        <v>5025</v>
      </c>
      <c r="G2511" s="3" t="s">
        <v>5037</v>
      </c>
      <c r="H2511" s="3" t="s">
        <v>6546</v>
      </c>
      <c r="I2511" s="17">
        <v>45807</v>
      </c>
      <c r="J2511" s="18">
        <f>YEAR(Tabla1[[#This Row],[FECHA DE COMPRA]])</f>
        <v>2025</v>
      </c>
      <c r="K2511" s="19">
        <v>32.979999999999997</v>
      </c>
      <c r="L2511" s="20">
        <v>0.1</v>
      </c>
      <c r="M2511" s="19">
        <f>Tienda!$K3234-Tienda!$K3234*Tienda!$L3234</f>
        <v>114.88400000000001</v>
      </c>
      <c r="N2511" s="3" t="s">
        <v>10039</v>
      </c>
      <c r="O2511" s="3" t="s">
        <v>10041</v>
      </c>
      <c r="P2511" s="17">
        <v>45807</v>
      </c>
      <c r="Q2511" s="4">
        <v>0</v>
      </c>
    </row>
    <row r="2512" spans="1:17" ht="30" x14ac:dyDescent="0.25">
      <c r="A2512" s="2" t="s">
        <v>4077</v>
      </c>
      <c r="B2512" s="3" t="s">
        <v>5015</v>
      </c>
      <c r="C2512" s="3">
        <v>39</v>
      </c>
      <c r="D2512" s="46" t="str">
        <f>IF(Tabla1[[#This Row],[EDAD]]&lt;=35,"Adultos jóvenes 18 - 35 años",IF(C2512&gt;=36,"Adultos mayores 36 años en adelante"))</f>
        <v>Adultos mayores 36 años en adelante</v>
      </c>
      <c r="E2512" s="3" t="s">
        <v>5018</v>
      </c>
      <c r="F2512" s="3" t="s">
        <v>5029</v>
      </c>
      <c r="G2512" s="3" t="s">
        <v>5035</v>
      </c>
      <c r="H2512" s="3" t="s">
        <v>9100</v>
      </c>
      <c r="I2512" s="17">
        <v>45782</v>
      </c>
      <c r="J2512" s="18">
        <f>YEAR(Tabla1[[#This Row],[FECHA DE COMPRA]])</f>
        <v>2025</v>
      </c>
      <c r="K2512" s="19">
        <v>37.020000000000003</v>
      </c>
      <c r="L2512" s="20">
        <v>0</v>
      </c>
      <c r="M2512" s="19">
        <f>Tienda!$K3236-Tienda!$K3236*Tienda!$L3236</f>
        <v>115.67</v>
      </c>
      <c r="N2512" s="3" t="s">
        <v>10039</v>
      </c>
      <c r="O2512" s="3" t="s">
        <v>10041</v>
      </c>
      <c r="P2512" s="17">
        <v>45782</v>
      </c>
      <c r="Q2512" s="4">
        <v>0</v>
      </c>
    </row>
    <row r="2513" spans="1:17" ht="30" x14ac:dyDescent="0.25">
      <c r="A2513" s="2" t="s">
        <v>364</v>
      </c>
      <c r="B2513" s="3" t="s">
        <v>5016</v>
      </c>
      <c r="C2513" s="3">
        <v>48</v>
      </c>
      <c r="D2513" s="46" t="str">
        <f>IF(Tabla1[[#This Row],[EDAD]]&lt;=35,"Adultos jóvenes 18 - 35 años",IF(C2513&gt;=36,"Adultos mayores 36 años en adelante"))</f>
        <v>Adultos mayores 36 años en adelante</v>
      </c>
      <c r="E2513" s="3" t="s">
        <v>5021</v>
      </c>
      <c r="F2513" s="3" t="s">
        <v>5029</v>
      </c>
      <c r="G2513" s="3" t="s">
        <v>5031</v>
      </c>
      <c r="H2513" s="3" t="s">
        <v>5387</v>
      </c>
      <c r="I2513" s="17">
        <v>45789</v>
      </c>
      <c r="J2513" s="18">
        <f>YEAR(Tabla1[[#This Row],[FECHA DE COMPRA]])</f>
        <v>2025</v>
      </c>
      <c r="K2513" s="19">
        <v>42.65</v>
      </c>
      <c r="L2513" s="20">
        <v>0</v>
      </c>
      <c r="M2513" s="19">
        <f>Tienda!$K3237-Tienda!$K3237*Tienda!$L3237</f>
        <v>116.64000000000001</v>
      </c>
      <c r="N2513" s="3" t="s">
        <v>10039</v>
      </c>
      <c r="O2513" s="3" t="s">
        <v>10041</v>
      </c>
      <c r="P2513" s="17">
        <v>45789</v>
      </c>
      <c r="Q2513" s="4">
        <v>0</v>
      </c>
    </row>
    <row r="2514" spans="1:17" ht="30" x14ac:dyDescent="0.25">
      <c r="A2514" s="2" t="s">
        <v>3675</v>
      </c>
      <c r="B2514" s="3" t="s">
        <v>5016</v>
      </c>
      <c r="C2514" s="3">
        <v>53</v>
      </c>
      <c r="D2514" s="46" t="str">
        <f>IF(Tabla1[[#This Row],[EDAD]]&lt;=35,"Adultos jóvenes 18 - 35 años",IF(C2514&gt;=36,"Adultos mayores 36 años en adelante"))</f>
        <v>Adultos mayores 36 años en adelante</v>
      </c>
      <c r="E2514" s="3" t="s">
        <v>5023</v>
      </c>
      <c r="F2514" s="3" t="s">
        <v>5024</v>
      </c>
      <c r="G2514" s="3" t="s">
        <v>5037</v>
      </c>
      <c r="H2514" s="3" t="s">
        <v>8698</v>
      </c>
      <c r="I2514" s="17">
        <v>45796</v>
      </c>
      <c r="J2514" s="18">
        <f>YEAR(Tabla1[[#This Row],[FECHA DE COMPRA]])</f>
        <v>2025</v>
      </c>
      <c r="K2514" s="19">
        <v>48.92</v>
      </c>
      <c r="L2514" s="20">
        <v>0.3</v>
      </c>
      <c r="M2514" s="19">
        <f>Tienda!$K3238-Tienda!$K3238*Tienda!$L3238</f>
        <v>116.93700000000001</v>
      </c>
      <c r="N2514" s="3" t="s">
        <v>10039</v>
      </c>
      <c r="O2514" s="3" t="s">
        <v>10041</v>
      </c>
      <c r="P2514" s="17">
        <v>45796</v>
      </c>
      <c r="Q2514" s="4">
        <v>0</v>
      </c>
    </row>
    <row r="2515" spans="1:17" ht="30" x14ac:dyDescent="0.25">
      <c r="A2515" s="2" t="s">
        <v>4595</v>
      </c>
      <c r="B2515" s="3" t="s">
        <v>5015</v>
      </c>
      <c r="C2515" s="3">
        <v>58</v>
      </c>
      <c r="D2515" s="46" t="str">
        <f>IF(Tabla1[[#This Row],[EDAD]]&lt;=35,"Adultos jóvenes 18 - 35 años",IF(C2515&gt;=36,"Adultos mayores 36 años en adelante"))</f>
        <v>Adultos mayores 36 años en adelante</v>
      </c>
      <c r="E2515" s="3" t="s">
        <v>5023</v>
      </c>
      <c r="F2515" s="3" t="s">
        <v>5024</v>
      </c>
      <c r="G2515" s="3" t="s">
        <v>5031</v>
      </c>
      <c r="H2515" s="3" t="s">
        <v>9618</v>
      </c>
      <c r="I2515" s="17">
        <v>45793</v>
      </c>
      <c r="J2515" s="18">
        <f>YEAR(Tabla1[[#This Row],[FECHA DE COMPRA]])</f>
        <v>2025</v>
      </c>
      <c r="K2515" s="19">
        <v>50.34</v>
      </c>
      <c r="L2515" s="20">
        <v>0.1</v>
      </c>
      <c r="M2515" s="19">
        <f>Tienda!$K3239-Tienda!$K3239*Tienda!$L3239</f>
        <v>117.38</v>
      </c>
      <c r="N2515" s="3" t="s">
        <v>10039</v>
      </c>
      <c r="O2515" s="3" t="s">
        <v>10041</v>
      </c>
      <c r="P2515" s="17">
        <v>45793</v>
      </c>
      <c r="Q2515" s="4">
        <v>0</v>
      </c>
    </row>
    <row r="2516" spans="1:17" ht="30" x14ac:dyDescent="0.25">
      <c r="A2516" s="2" t="s">
        <v>1581</v>
      </c>
      <c r="B2516" s="3" t="s">
        <v>5016</v>
      </c>
      <c r="C2516" s="3">
        <v>44</v>
      </c>
      <c r="D2516" s="46" t="str">
        <f>IF(Tabla1[[#This Row],[EDAD]]&lt;=35,"Adultos jóvenes 18 - 35 años",IF(C2516&gt;=36,"Adultos mayores 36 años en adelante"))</f>
        <v>Adultos mayores 36 años en adelante</v>
      </c>
      <c r="E2516" s="3" t="s">
        <v>5017</v>
      </c>
      <c r="F2516" s="3" t="s">
        <v>5027</v>
      </c>
      <c r="G2516" s="3" t="s">
        <v>5033</v>
      </c>
      <c r="H2516" s="3" t="s">
        <v>6604</v>
      </c>
      <c r="I2516" s="17">
        <v>45793</v>
      </c>
      <c r="J2516" s="18">
        <f>YEAR(Tabla1[[#This Row],[FECHA DE COMPRA]])</f>
        <v>2025</v>
      </c>
      <c r="K2516" s="19">
        <v>51.87</v>
      </c>
      <c r="L2516" s="20">
        <v>0.2</v>
      </c>
      <c r="M2516" s="19">
        <f>Tienda!$K3240-Tienda!$K3240*Tienda!$L3240</f>
        <v>118.4</v>
      </c>
      <c r="N2516" s="3" t="s">
        <v>10039</v>
      </c>
      <c r="O2516" s="3" t="s">
        <v>10041</v>
      </c>
      <c r="P2516" s="17">
        <v>45793</v>
      </c>
      <c r="Q2516" s="4">
        <v>0</v>
      </c>
    </row>
    <row r="2517" spans="1:17" ht="30" x14ac:dyDescent="0.25">
      <c r="A2517" s="2" t="s">
        <v>4465</v>
      </c>
      <c r="B2517" s="3" t="s">
        <v>5015</v>
      </c>
      <c r="C2517" s="3">
        <v>36</v>
      </c>
      <c r="D2517" s="46" t="str">
        <f>IF(Tabla1[[#This Row],[EDAD]]&lt;=35,"Adultos jóvenes 18 - 35 años",IF(C2517&gt;=36,"Adultos mayores 36 años en adelante"))</f>
        <v>Adultos mayores 36 años en adelante</v>
      </c>
      <c r="E2517" s="3" t="s">
        <v>5022</v>
      </c>
      <c r="F2517" s="3" t="s">
        <v>5029</v>
      </c>
      <c r="G2517" s="3" t="s">
        <v>5032</v>
      </c>
      <c r="H2517" s="3" t="s">
        <v>9488</v>
      </c>
      <c r="I2517" s="17">
        <v>45805</v>
      </c>
      <c r="J2517" s="18">
        <f>YEAR(Tabla1[[#This Row],[FECHA DE COMPRA]])</f>
        <v>2025</v>
      </c>
      <c r="K2517" s="19">
        <v>52.91</v>
      </c>
      <c r="L2517" s="20">
        <v>0</v>
      </c>
      <c r="M2517" s="19">
        <f>Tienda!$K3241-Tienda!$K3241*Tienda!$L3241</f>
        <v>118.62</v>
      </c>
      <c r="N2517" s="3" t="s">
        <v>10039</v>
      </c>
      <c r="O2517" s="3" t="s">
        <v>10041</v>
      </c>
      <c r="P2517" s="17">
        <v>45805</v>
      </c>
      <c r="Q2517" s="4">
        <v>0</v>
      </c>
    </row>
    <row r="2518" spans="1:17" ht="30" x14ac:dyDescent="0.25">
      <c r="A2518" s="2" t="s">
        <v>1146</v>
      </c>
      <c r="B2518" s="3" t="s">
        <v>5015</v>
      </c>
      <c r="C2518" s="3">
        <v>59</v>
      </c>
      <c r="D2518" s="46" t="str">
        <f>IF(Tabla1[[#This Row],[EDAD]]&lt;=35,"Adultos jóvenes 18 - 35 años",IF(C2518&gt;=36,"Adultos mayores 36 años en adelante"))</f>
        <v>Adultos mayores 36 años en adelante</v>
      </c>
      <c r="E2518" s="3" t="s">
        <v>5022</v>
      </c>
      <c r="F2518" s="3" t="s">
        <v>5025</v>
      </c>
      <c r="G2518" s="3" t="s">
        <v>5036</v>
      </c>
      <c r="H2518" s="3" t="s">
        <v>6169</v>
      </c>
      <c r="I2518" s="17">
        <v>45803</v>
      </c>
      <c r="J2518" s="18">
        <f>YEAR(Tabla1[[#This Row],[FECHA DE COMPRA]])</f>
        <v>2025</v>
      </c>
      <c r="K2518" s="19">
        <v>54.92</v>
      </c>
      <c r="L2518" s="20">
        <v>0.3</v>
      </c>
      <c r="M2518" s="19">
        <f>Tienda!$K3242-Tienda!$K3242*Tienda!$L3242</f>
        <v>118.91</v>
      </c>
      <c r="N2518" s="3" t="s">
        <v>10039</v>
      </c>
      <c r="O2518" s="3" t="s">
        <v>10041</v>
      </c>
      <c r="P2518" s="17">
        <v>45803</v>
      </c>
      <c r="Q2518" s="4">
        <v>0</v>
      </c>
    </row>
    <row r="2519" spans="1:17" ht="30" x14ac:dyDescent="0.25">
      <c r="A2519" s="2" t="s">
        <v>1066</v>
      </c>
      <c r="B2519" s="3" t="s">
        <v>5015</v>
      </c>
      <c r="C2519" s="3">
        <v>45</v>
      </c>
      <c r="D2519" s="46" t="str">
        <f>IF(Tabla1[[#This Row],[EDAD]]&lt;=35,"Adultos jóvenes 18 - 35 años",IF(C2519&gt;=36,"Adultos mayores 36 años en adelante"))</f>
        <v>Adultos mayores 36 años en adelante</v>
      </c>
      <c r="E2519" s="3" t="s">
        <v>5022</v>
      </c>
      <c r="F2519" s="3" t="s">
        <v>5026</v>
      </c>
      <c r="G2519" s="3" t="s">
        <v>5033</v>
      </c>
      <c r="H2519" s="3" t="s">
        <v>6089</v>
      </c>
      <c r="I2519" s="17">
        <v>45803</v>
      </c>
      <c r="J2519" s="18">
        <f>YEAR(Tabla1[[#This Row],[FECHA DE COMPRA]])</f>
        <v>2025</v>
      </c>
      <c r="K2519" s="19">
        <v>60.77</v>
      </c>
      <c r="L2519" s="20">
        <v>0</v>
      </c>
      <c r="M2519" s="19">
        <f>Tienda!$K3244-Tienda!$K3244*Tienda!$L3244</f>
        <v>120.248</v>
      </c>
      <c r="N2519" s="3" t="s">
        <v>10039</v>
      </c>
      <c r="O2519" s="3" t="s">
        <v>10041</v>
      </c>
      <c r="P2519" s="17">
        <v>45803</v>
      </c>
      <c r="Q2519" s="4">
        <v>0</v>
      </c>
    </row>
    <row r="2520" spans="1:17" ht="30" x14ac:dyDescent="0.25">
      <c r="A2520" s="2" t="s">
        <v>4022</v>
      </c>
      <c r="B2520" s="3" t="s">
        <v>5015</v>
      </c>
      <c r="C2520" s="3">
        <v>63</v>
      </c>
      <c r="D2520" s="46" t="str">
        <f>IF(Tabla1[[#This Row],[EDAD]]&lt;=35,"Adultos jóvenes 18 - 35 años",IF(C2520&gt;=36,"Adultos mayores 36 años en adelante"))</f>
        <v>Adultos mayores 36 años en adelante</v>
      </c>
      <c r="E2520" s="3" t="s">
        <v>5020</v>
      </c>
      <c r="F2520" s="3" t="s">
        <v>5030</v>
      </c>
      <c r="G2520" s="3" t="s">
        <v>5035</v>
      </c>
      <c r="H2520" s="3" t="s">
        <v>9045</v>
      </c>
      <c r="I2520" s="17">
        <v>45783</v>
      </c>
      <c r="J2520" s="18">
        <f>YEAR(Tabla1[[#This Row],[FECHA DE COMPRA]])</f>
        <v>2025</v>
      </c>
      <c r="K2520" s="19">
        <v>61.55</v>
      </c>
      <c r="L2520" s="20">
        <v>0.2</v>
      </c>
      <c r="M2520" s="19">
        <f>Tienda!$K3245-Tienda!$K3245*Tienda!$L3245</f>
        <v>120.67200000000001</v>
      </c>
      <c r="N2520" s="3" t="s">
        <v>10039</v>
      </c>
      <c r="O2520" s="3" t="s">
        <v>10041</v>
      </c>
      <c r="P2520" s="17">
        <v>45783</v>
      </c>
      <c r="Q2520" s="4">
        <v>0</v>
      </c>
    </row>
    <row r="2521" spans="1:17" ht="30" x14ac:dyDescent="0.25">
      <c r="A2521" s="2" t="s">
        <v>590</v>
      </c>
      <c r="B2521" s="3" t="s">
        <v>5015</v>
      </c>
      <c r="C2521" s="3">
        <v>61</v>
      </c>
      <c r="D2521" s="46" t="str">
        <f>IF(Tabla1[[#This Row],[EDAD]]&lt;=35,"Adultos jóvenes 18 - 35 años",IF(C2521&gt;=36,"Adultos mayores 36 años en adelante"))</f>
        <v>Adultos mayores 36 años en adelante</v>
      </c>
      <c r="E2521" s="3" t="s">
        <v>5017</v>
      </c>
      <c r="F2521" s="3" t="s">
        <v>5028</v>
      </c>
      <c r="G2521" s="3" t="s">
        <v>5036</v>
      </c>
      <c r="H2521" s="3" t="s">
        <v>5613</v>
      </c>
      <c r="I2521" s="17">
        <v>45799</v>
      </c>
      <c r="J2521" s="18">
        <f>YEAR(Tabla1[[#This Row],[FECHA DE COMPRA]])</f>
        <v>2025</v>
      </c>
      <c r="K2521" s="19">
        <v>67.03</v>
      </c>
      <c r="L2521" s="20">
        <v>0</v>
      </c>
      <c r="M2521" s="19">
        <f>Tienda!$K3246-Tienda!$K3246*Tienda!$L3246</f>
        <v>123.14700000000001</v>
      </c>
      <c r="N2521" s="3" t="s">
        <v>10039</v>
      </c>
      <c r="O2521" s="3" t="s">
        <v>10041</v>
      </c>
      <c r="P2521" s="17">
        <v>45799</v>
      </c>
      <c r="Q2521" s="4">
        <v>0</v>
      </c>
    </row>
    <row r="2522" spans="1:17" ht="30" x14ac:dyDescent="0.25">
      <c r="A2522" s="2" t="s">
        <v>767</v>
      </c>
      <c r="B2522" s="3" t="s">
        <v>5016</v>
      </c>
      <c r="C2522" s="3">
        <v>45</v>
      </c>
      <c r="D2522" s="46" t="str">
        <f>IF(Tabla1[[#This Row],[EDAD]]&lt;=35,"Adultos jóvenes 18 - 35 años",IF(C2522&gt;=36,"Adultos mayores 36 años en adelante"))</f>
        <v>Adultos mayores 36 años en adelante</v>
      </c>
      <c r="E2522" s="3" t="s">
        <v>5019</v>
      </c>
      <c r="F2522" s="3" t="s">
        <v>5028</v>
      </c>
      <c r="G2522" s="3" t="s">
        <v>5037</v>
      </c>
      <c r="H2522" s="3" t="s">
        <v>5790</v>
      </c>
      <c r="I2522" s="17">
        <v>45782</v>
      </c>
      <c r="J2522" s="18">
        <f>YEAR(Tabla1[[#This Row],[FECHA DE COMPRA]])</f>
        <v>2025</v>
      </c>
      <c r="K2522" s="19">
        <v>69.239999999999995</v>
      </c>
      <c r="L2522" s="20">
        <v>0.1</v>
      </c>
      <c r="M2522" s="19">
        <f>Tienda!$K3247-Tienda!$K3247*Tienda!$L3247</f>
        <v>124.40699999999998</v>
      </c>
      <c r="N2522" s="3" t="s">
        <v>10039</v>
      </c>
      <c r="O2522" s="3" t="s">
        <v>10041</v>
      </c>
      <c r="P2522" s="17">
        <v>45782</v>
      </c>
      <c r="Q2522" s="4">
        <v>0</v>
      </c>
    </row>
    <row r="2523" spans="1:17" ht="30" x14ac:dyDescent="0.25">
      <c r="A2523" s="2" t="s">
        <v>4865</v>
      </c>
      <c r="B2523" s="3" t="s">
        <v>5015</v>
      </c>
      <c r="C2523" s="3">
        <v>48</v>
      </c>
      <c r="D2523" s="46" t="str">
        <f>IF(Tabla1[[#This Row],[EDAD]]&lt;=35,"Adultos jóvenes 18 - 35 años",IF(C2523&gt;=36,"Adultos mayores 36 años en adelante"))</f>
        <v>Adultos mayores 36 años en adelante</v>
      </c>
      <c r="E2523" s="3" t="s">
        <v>5017</v>
      </c>
      <c r="F2523" s="3" t="s">
        <v>5028</v>
      </c>
      <c r="G2523" s="3" t="s">
        <v>5032</v>
      </c>
      <c r="H2523" s="3" t="s">
        <v>9888</v>
      </c>
      <c r="I2523" s="17">
        <v>45793</v>
      </c>
      <c r="J2523" s="18">
        <f>YEAR(Tabla1[[#This Row],[FECHA DE COMPRA]])</f>
        <v>2025</v>
      </c>
      <c r="K2523" s="19">
        <v>71</v>
      </c>
      <c r="L2523" s="20">
        <v>0.1</v>
      </c>
      <c r="M2523" s="19">
        <f>Tienda!$K3249-Tienda!$K3249*Tienda!$L3249</f>
        <v>125.604</v>
      </c>
      <c r="N2523" s="3" t="s">
        <v>10039</v>
      </c>
      <c r="O2523" s="3" t="s">
        <v>10041</v>
      </c>
      <c r="P2523" s="17">
        <v>45793</v>
      </c>
      <c r="Q2523" s="4">
        <v>0</v>
      </c>
    </row>
    <row r="2524" spans="1:17" ht="30" x14ac:dyDescent="0.25">
      <c r="A2524" s="2" t="s">
        <v>3835</v>
      </c>
      <c r="B2524" s="3" t="s">
        <v>5015</v>
      </c>
      <c r="C2524" s="3">
        <v>60</v>
      </c>
      <c r="D2524" s="46" t="str">
        <f>IF(Tabla1[[#This Row],[EDAD]]&lt;=35,"Adultos jóvenes 18 - 35 años",IF(C2524&gt;=36,"Adultos mayores 36 años en adelante"))</f>
        <v>Adultos mayores 36 años en adelante</v>
      </c>
      <c r="E2524" s="3" t="s">
        <v>5018</v>
      </c>
      <c r="F2524" s="3" t="s">
        <v>5025</v>
      </c>
      <c r="G2524" s="3" t="s">
        <v>5033</v>
      </c>
      <c r="H2524" s="3" t="s">
        <v>8858</v>
      </c>
      <c r="I2524" s="17">
        <v>45784</v>
      </c>
      <c r="J2524" s="18">
        <f>YEAR(Tabla1[[#This Row],[FECHA DE COMPRA]])</f>
        <v>2025</v>
      </c>
      <c r="K2524" s="19">
        <v>72.58</v>
      </c>
      <c r="L2524" s="20">
        <v>0</v>
      </c>
      <c r="M2524" s="19">
        <f>Tienda!$K3250-Tienda!$K3250*Tienda!$L3250</f>
        <v>125.944</v>
      </c>
      <c r="N2524" s="3" t="s">
        <v>10039</v>
      </c>
      <c r="O2524" s="3" t="s">
        <v>10041</v>
      </c>
      <c r="P2524" s="17">
        <v>45784</v>
      </c>
      <c r="Q2524" s="4">
        <v>0</v>
      </c>
    </row>
    <row r="2525" spans="1:17" ht="30" x14ac:dyDescent="0.25">
      <c r="A2525" s="2" t="s">
        <v>159</v>
      </c>
      <c r="B2525" s="3" t="s">
        <v>5016</v>
      </c>
      <c r="C2525" s="3">
        <v>45</v>
      </c>
      <c r="D2525" s="46" t="str">
        <f>IF(Tabla1[[#This Row],[EDAD]]&lt;=35,"Adultos jóvenes 18 - 35 años",IF(C2525&gt;=36,"Adultos mayores 36 años en adelante"))</f>
        <v>Adultos mayores 36 años en adelante</v>
      </c>
      <c r="E2525" s="3" t="s">
        <v>5023</v>
      </c>
      <c r="F2525" s="3" t="s">
        <v>5029</v>
      </c>
      <c r="G2525" s="3" t="s">
        <v>5037</v>
      </c>
      <c r="H2525" s="3" t="s">
        <v>5182</v>
      </c>
      <c r="I2525" s="17">
        <v>45805</v>
      </c>
      <c r="J2525" s="18">
        <f>YEAR(Tabla1[[#This Row],[FECHA DE COMPRA]])</f>
        <v>2025</v>
      </c>
      <c r="K2525" s="19">
        <v>76.87</v>
      </c>
      <c r="L2525" s="20">
        <v>0.3</v>
      </c>
      <c r="M2525" s="19">
        <f>Tienda!$K3251-Tienda!$K3251*Tienda!$L3251</f>
        <v>126.245</v>
      </c>
      <c r="N2525" s="3" t="s">
        <v>10039</v>
      </c>
      <c r="O2525" s="3" t="s">
        <v>10041</v>
      </c>
      <c r="P2525" s="17">
        <v>45805</v>
      </c>
      <c r="Q2525" s="4">
        <v>0</v>
      </c>
    </row>
    <row r="2526" spans="1:17" ht="30" x14ac:dyDescent="0.25">
      <c r="A2526" s="2" t="s">
        <v>4567</v>
      </c>
      <c r="B2526" s="3" t="s">
        <v>5015</v>
      </c>
      <c r="C2526" s="3">
        <v>44</v>
      </c>
      <c r="D2526" s="46" t="str">
        <f>IF(Tabla1[[#This Row],[EDAD]]&lt;=35,"Adultos jóvenes 18 - 35 años",IF(C2526&gt;=36,"Adultos mayores 36 años en adelante"))</f>
        <v>Adultos mayores 36 años en adelante</v>
      </c>
      <c r="E2526" s="3" t="s">
        <v>5017</v>
      </c>
      <c r="F2526" s="3" t="s">
        <v>5028</v>
      </c>
      <c r="G2526" s="3" t="s">
        <v>5037</v>
      </c>
      <c r="H2526" s="3" t="s">
        <v>9590</v>
      </c>
      <c r="I2526" s="17">
        <v>45805</v>
      </c>
      <c r="J2526" s="18">
        <f>YEAR(Tabla1[[#This Row],[FECHA DE COMPRA]])</f>
        <v>2025</v>
      </c>
      <c r="K2526" s="19">
        <v>77.38</v>
      </c>
      <c r="L2526" s="20">
        <v>0.3</v>
      </c>
      <c r="M2526" s="19">
        <f>Tienda!$K3252-Tienda!$K3252*Tienda!$L3252</f>
        <v>127.316</v>
      </c>
      <c r="N2526" s="3" t="s">
        <v>10039</v>
      </c>
      <c r="O2526" s="3" t="s">
        <v>10041</v>
      </c>
      <c r="P2526" s="17">
        <v>45805</v>
      </c>
      <c r="Q2526" s="4">
        <v>0</v>
      </c>
    </row>
    <row r="2527" spans="1:17" ht="30" x14ac:dyDescent="0.25">
      <c r="A2527" s="2" t="s">
        <v>4009</v>
      </c>
      <c r="B2527" s="3" t="s">
        <v>5015</v>
      </c>
      <c r="C2527" s="3">
        <v>62</v>
      </c>
      <c r="D2527" s="46" t="str">
        <f>IF(Tabla1[[#This Row],[EDAD]]&lt;=35,"Adultos jóvenes 18 - 35 años",IF(C2527&gt;=36,"Adultos mayores 36 años en adelante"))</f>
        <v>Adultos mayores 36 años en adelante</v>
      </c>
      <c r="E2527" s="3" t="s">
        <v>5018</v>
      </c>
      <c r="F2527" s="3" t="s">
        <v>5027</v>
      </c>
      <c r="G2527" s="3" t="s">
        <v>5035</v>
      </c>
      <c r="H2527" s="3" t="s">
        <v>9032</v>
      </c>
      <c r="I2527" s="17">
        <v>45800</v>
      </c>
      <c r="J2527" s="18">
        <f>YEAR(Tabla1[[#This Row],[FECHA DE COMPRA]])</f>
        <v>2025</v>
      </c>
      <c r="K2527" s="19">
        <v>82.41</v>
      </c>
      <c r="L2527" s="20">
        <v>0.2</v>
      </c>
      <c r="M2527" s="19">
        <f>Tienda!$K3254-Tienda!$K3254*Tienda!$L3254</f>
        <v>127.82</v>
      </c>
      <c r="N2527" s="3" t="s">
        <v>10039</v>
      </c>
      <c r="O2527" s="3" t="s">
        <v>10041</v>
      </c>
      <c r="P2527" s="17">
        <v>45800</v>
      </c>
      <c r="Q2527" s="4">
        <v>0</v>
      </c>
    </row>
    <row r="2528" spans="1:17" ht="30" x14ac:dyDescent="0.25">
      <c r="A2528" s="2" t="s">
        <v>383</v>
      </c>
      <c r="B2528" s="3" t="s">
        <v>5015</v>
      </c>
      <c r="C2528" s="3">
        <v>45</v>
      </c>
      <c r="D2528" s="46" t="str">
        <f>IF(Tabla1[[#This Row],[EDAD]]&lt;=35,"Adultos jóvenes 18 - 35 años",IF(C2528&gt;=36,"Adultos mayores 36 años en adelante"))</f>
        <v>Adultos mayores 36 años en adelante</v>
      </c>
      <c r="E2528" s="3" t="s">
        <v>5022</v>
      </c>
      <c r="F2528" s="3" t="s">
        <v>5030</v>
      </c>
      <c r="G2528" s="3" t="s">
        <v>5035</v>
      </c>
      <c r="H2528" s="3" t="s">
        <v>5406</v>
      </c>
      <c r="I2528" s="17">
        <v>45804</v>
      </c>
      <c r="J2528" s="18">
        <f>YEAR(Tabla1[[#This Row],[FECHA DE COMPRA]])</f>
        <v>2025</v>
      </c>
      <c r="K2528" s="19">
        <v>91.31</v>
      </c>
      <c r="L2528" s="20">
        <v>0</v>
      </c>
      <c r="M2528" s="19">
        <f>Tienda!$K3255-Tienda!$K3255*Tienda!$L3255</f>
        <v>127.92</v>
      </c>
      <c r="N2528" s="3" t="s">
        <v>10039</v>
      </c>
      <c r="O2528" s="3" t="s">
        <v>10041</v>
      </c>
      <c r="P2528" s="17">
        <v>45804</v>
      </c>
      <c r="Q2528" s="4">
        <v>0</v>
      </c>
    </row>
    <row r="2529" spans="1:17" ht="30" x14ac:dyDescent="0.25">
      <c r="A2529" s="2" t="s">
        <v>3904</v>
      </c>
      <c r="B2529" s="3" t="s">
        <v>5015</v>
      </c>
      <c r="C2529" s="3">
        <v>47</v>
      </c>
      <c r="D2529" s="46" t="str">
        <f>IF(Tabla1[[#This Row],[EDAD]]&lt;=35,"Adultos jóvenes 18 - 35 años",IF(C2529&gt;=36,"Adultos mayores 36 años en adelante"))</f>
        <v>Adultos mayores 36 años en adelante</v>
      </c>
      <c r="E2529" s="3" t="s">
        <v>5022</v>
      </c>
      <c r="F2529" s="3" t="s">
        <v>5025</v>
      </c>
      <c r="G2529" s="3" t="s">
        <v>5035</v>
      </c>
      <c r="H2529" s="3" t="s">
        <v>8927</v>
      </c>
      <c r="I2529" s="17">
        <v>45796</v>
      </c>
      <c r="J2529" s="18">
        <f>YEAR(Tabla1[[#This Row],[FECHA DE COMPRA]])</f>
        <v>2025</v>
      </c>
      <c r="K2529" s="19">
        <v>92.21</v>
      </c>
      <c r="L2529" s="20">
        <v>0.2</v>
      </c>
      <c r="M2529" s="19">
        <f>Tienda!$K3256-Tienda!$K3256*Tienda!$L3256</f>
        <v>128.6</v>
      </c>
      <c r="N2529" s="3" t="s">
        <v>10039</v>
      </c>
      <c r="O2529" s="3" t="s">
        <v>10041</v>
      </c>
      <c r="P2529" s="17">
        <v>45796</v>
      </c>
      <c r="Q2529" s="4">
        <v>0</v>
      </c>
    </row>
    <row r="2530" spans="1:17" ht="30" x14ac:dyDescent="0.25">
      <c r="A2530" s="2" t="s">
        <v>1522</v>
      </c>
      <c r="B2530" s="3" t="s">
        <v>5016</v>
      </c>
      <c r="C2530" s="3">
        <v>65</v>
      </c>
      <c r="D2530" s="46" t="str">
        <f>IF(Tabla1[[#This Row],[EDAD]]&lt;=35,"Adultos jóvenes 18 - 35 años",IF(C2530&gt;=36,"Adultos mayores 36 años en adelante"))</f>
        <v>Adultos mayores 36 años en adelante</v>
      </c>
      <c r="E2530" s="3" t="s">
        <v>5019</v>
      </c>
      <c r="F2530" s="3" t="s">
        <v>5028</v>
      </c>
      <c r="G2530" s="3" t="s">
        <v>5031</v>
      </c>
      <c r="H2530" s="3" t="s">
        <v>6545</v>
      </c>
      <c r="I2530" s="17">
        <v>45794</v>
      </c>
      <c r="J2530" s="18">
        <f>YEAR(Tabla1[[#This Row],[FECHA DE COMPRA]])</f>
        <v>2025</v>
      </c>
      <c r="K2530" s="19">
        <v>93.59</v>
      </c>
      <c r="L2530" s="20">
        <v>0.1</v>
      </c>
      <c r="M2530" s="19">
        <f>Tienda!$K3257-Tienda!$K3257*Tienda!$L3257</f>
        <v>129.69900000000001</v>
      </c>
      <c r="N2530" s="3" t="s">
        <v>10039</v>
      </c>
      <c r="O2530" s="3" t="s">
        <v>10041</v>
      </c>
      <c r="P2530" s="17">
        <v>45794</v>
      </c>
      <c r="Q2530" s="4">
        <v>0</v>
      </c>
    </row>
    <row r="2531" spans="1:17" ht="30" x14ac:dyDescent="0.25">
      <c r="A2531" s="2" t="s">
        <v>1683</v>
      </c>
      <c r="B2531" s="3" t="s">
        <v>5015</v>
      </c>
      <c r="C2531" s="3">
        <v>59</v>
      </c>
      <c r="D2531" s="46" t="str">
        <f>IF(Tabla1[[#This Row],[EDAD]]&lt;=35,"Adultos jóvenes 18 - 35 años",IF(C2531&gt;=36,"Adultos mayores 36 años en adelante"))</f>
        <v>Adultos mayores 36 años en adelante</v>
      </c>
      <c r="E2531" s="3" t="s">
        <v>5017</v>
      </c>
      <c r="F2531" s="3" t="s">
        <v>5029</v>
      </c>
      <c r="G2531" s="3" t="s">
        <v>5036</v>
      </c>
      <c r="H2531" s="3" t="s">
        <v>6706</v>
      </c>
      <c r="I2531" s="17">
        <v>45801</v>
      </c>
      <c r="J2531" s="18">
        <f>YEAR(Tabla1[[#This Row],[FECHA DE COMPRA]])</f>
        <v>2025</v>
      </c>
      <c r="K2531" s="19">
        <v>99.85</v>
      </c>
      <c r="L2531" s="20">
        <v>0.2</v>
      </c>
      <c r="M2531" s="19">
        <f>Tienda!$K3258-Tienda!$K3258*Tienda!$L3258</f>
        <v>130.905</v>
      </c>
      <c r="N2531" s="3" t="s">
        <v>10039</v>
      </c>
      <c r="O2531" s="3" t="s">
        <v>10041</v>
      </c>
      <c r="P2531" s="17">
        <v>45801</v>
      </c>
      <c r="Q2531" s="4">
        <v>0</v>
      </c>
    </row>
    <row r="2532" spans="1:17" ht="30" x14ac:dyDescent="0.25">
      <c r="A2532" s="2" t="s">
        <v>1769</v>
      </c>
      <c r="B2532" s="3" t="s">
        <v>5015</v>
      </c>
      <c r="C2532" s="3">
        <v>54</v>
      </c>
      <c r="D2532" s="46" t="str">
        <f>IF(Tabla1[[#This Row],[EDAD]]&lt;=35,"Adultos jóvenes 18 - 35 años",IF(C2532&gt;=36,"Adultos mayores 36 años en adelante"))</f>
        <v>Adultos mayores 36 años en adelante</v>
      </c>
      <c r="E2532" s="3" t="s">
        <v>5022</v>
      </c>
      <c r="F2532" s="3" t="s">
        <v>5024</v>
      </c>
      <c r="G2532" s="3" t="s">
        <v>5033</v>
      </c>
      <c r="H2532" s="3" t="s">
        <v>6792</v>
      </c>
      <c r="I2532" s="17">
        <v>45803</v>
      </c>
      <c r="J2532" s="18">
        <f>YEAR(Tabla1[[#This Row],[FECHA DE COMPRA]])</f>
        <v>2025</v>
      </c>
      <c r="K2532" s="19">
        <v>100.68</v>
      </c>
      <c r="L2532" s="20">
        <v>0</v>
      </c>
      <c r="M2532" s="19">
        <f>Tienda!$K3260-Tienda!$K3260*Tienda!$L3260</f>
        <v>131.40899999999999</v>
      </c>
      <c r="N2532" s="3" t="s">
        <v>10039</v>
      </c>
      <c r="O2532" s="3" t="s">
        <v>10041</v>
      </c>
      <c r="P2532" s="17">
        <v>45803</v>
      </c>
      <c r="Q2532" s="4">
        <v>0</v>
      </c>
    </row>
    <row r="2533" spans="1:17" ht="30" x14ac:dyDescent="0.25">
      <c r="A2533" s="2" t="s">
        <v>3735</v>
      </c>
      <c r="B2533" s="3" t="s">
        <v>5015</v>
      </c>
      <c r="C2533" s="3">
        <v>40</v>
      </c>
      <c r="D2533" s="46" t="str">
        <f>IF(Tabla1[[#This Row],[EDAD]]&lt;=35,"Adultos jóvenes 18 - 35 años",IF(C2533&gt;=36,"Adultos mayores 36 años en adelante"))</f>
        <v>Adultos mayores 36 años en adelante</v>
      </c>
      <c r="E2533" s="3" t="s">
        <v>5022</v>
      </c>
      <c r="F2533" s="3" t="s">
        <v>5027</v>
      </c>
      <c r="G2533" s="3" t="s">
        <v>5031</v>
      </c>
      <c r="H2533" s="3" t="s">
        <v>8758</v>
      </c>
      <c r="I2533" s="17">
        <v>45780</v>
      </c>
      <c r="J2533" s="18">
        <f>YEAR(Tabla1[[#This Row],[FECHA DE COMPRA]])</f>
        <v>2025</v>
      </c>
      <c r="K2533" s="19">
        <v>103.95</v>
      </c>
      <c r="L2533" s="20">
        <v>0</v>
      </c>
      <c r="M2533" s="19">
        <f>Tienda!$K3262-Tienda!$K3262*Tienda!$L3262</f>
        <v>132.06200000000001</v>
      </c>
      <c r="N2533" s="3" t="s">
        <v>10039</v>
      </c>
      <c r="O2533" s="3" t="s">
        <v>10041</v>
      </c>
      <c r="P2533" s="17">
        <v>45780</v>
      </c>
      <c r="Q2533" s="4">
        <v>0</v>
      </c>
    </row>
    <row r="2534" spans="1:17" ht="30" x14ac:dyDescent="0.25">
      <c r="A2534" s="2" t="s">
        <v>267</v>
      </c>
      <c r="B2534" s="3" t="s">
        <v>5015</v>
      </c>
      <c r="C2534" s="3">
        <v>58</v>
      </c>
      <c r="D2534" s="46" t="str">
        <f>IF(Tabla1[[#This Row],[EDAD]]&lt;=35,"Adultos jóvenes 18 - 35 años",IF(C2534&gt;=36,"Adultos mayores 36 años en adelante"))</f>
        <v>Adultos mayores 36 años en adelante</v>
      </c>
      <c r="E2534" s="3" t="s">
        <v>5019</v>
      </c>
      <c r="F2534" s="3" t="s">
        <v>5028</v>
      </c>
      <c r="G2534" s="3" t="s">
        <v>5035</v>
      </c>
      <c r="H2534" s="3" t="s">
        <v>5290</v>
      </c>
      <c r="I2534" s="17">
        <v>45796</v>
      </c>
      <c r="J2534" s="18">
        <f>YEAR(Tabla1[[#This Row],[FECHA DE COMPRA]])</f>
        <v>2025</v>
      </c>
      <c r="K2534" s="19">
        <v>104.48</v>
      </c>
      <c r="L2534" s="20">
        <v>0.1</v>
      </c>
      <c r="M2534" s="19">
        <f>Tienda!$K3263-Tienda!$K3263*Tienda!$L3263</f>
        <v>132.55199999999999</v>
      </c>
      <c r="N2534" s="3" t="s">
        <v>10039</v>
      </c>
      <c r="O2534" s="3" t="s">
        <v>10041</v>
      </c>
      <c r="P2534" s="17">
        <v>45796</v>
      </c>
      <c r="Q2534" s="4">
        <v>0</v>
      </c>
    </row>
    <row r="2535" spans="1:17" ht="30" x14ac:dyDescent="0.25">
      <c r="A2535" s="2" t="s">
        <v>3240</v>
      </c>
      <c r="B2535" s="3" t="s">
        <v>5015</v>
      </c>
      <c r="C2535" s="3">
        <v>54</v>
      </c>
      <c r="D2535" s="46" t="str">
        <f>IF(Tabla1[[#This Row],[EDAD]]&lt;=35,"Adultos jóvenes 18 - 35 años",IF(C2535&gt;=36,"Adultos mayores 36 años en adelante"))</f>
        <v>Adultos mayores 36 años en adelante</v>
      </c>
      <c r="E2535" s="3" t="s">
        <v>5022</v>
      </c>
      <c r="F2535" s="3" t="s">
        <v>5028</v>
      </c>
      <c r="G2535" s="3" t="s">
        <v>5031</v>
      </c>
      <c r="H2535" s="3" t="s">
        <v>8263</v>
      </c>
      <c r="I2535" s="17">
        <v>45792</v>
      </c>
      <c r="J2535" s="18">
        <f>YEAR(Tabla1[[#This Row],[FECHA DE COMPRA]])</f>
        <v>2025</v>
      </c>
      <c r="K2535" s="19">
        <v>111.32</v>
      </c>
      <c r="L2535" s="20">
        <v>0.3</v>
      </c>
      <c r="M2535" s="19">
        <f>Tienda!$K3265-Tienda!$K3265*Tienda!$L3265</f>
        <v>134.28</v>
      </c>
      <c r="N2535" s="3" t="s">
        <v>10039</v>
      </c>
      <c r="O2535" s="3" t="s">
        <v>10041</v>
      </c>
      <c r="P2535" s="17">
        <v>45792</v>
      </c>
      <c r="Q2535" s="4">
        <v>0</v>
      </c>
    </row>
    <row r="2536" spans="1:17" ht="30" x14ac:dyDescent="0.25">
      <c r="A2536" s="2" t="s">
        <v>3599</v>
      </c>
      <c r="B2536" s="3" t="s">
        <v>5015</v>
      </c>
      <c r="C2536" s="3">
        <v>40</v>
      </c>
      <c r="D2536" s="46" t="str">
        <f>IF(Tabla1[[#This Row],[EDAD]]&lt;=35,"Adultos jóvenes 18 - 35 años",IF(C2536&gt;=36,"Adultos mayores 36 años en adelante"))</f>
        <v>Adultos mayores 36 años en adelante</v>
      </c>
      <c r="E2536" s="3" t="s">
        <v>5020</v>
      </c>
      <c r="F2536" s="3" t="s">
        <v>5028</v>
      </c>
      <c r="G2536" s="3" t="s">
        <v>5031</v>
      </c>
      <c r="H2536" s="3" t="s">
        <v>8622</v>
      </c>
      <c r="I2536" s="17">
        <v>45781</v>
      </c>
      <c r="J2536" s="18">
        <f>YEAR(Tabla1[[#This Row],[FECHA DE COMPRA]])</f>
        <v>2025</v>
      </c>
      <c r="K2536" s="19">
        <v>114.9</v>
      </c>
      <c r="L2536" s="20">
        <v>0</v>
      </c>
      <c r="M2536" s="19">
        <f>Tienda!$K3266-Tienda!$K3266*Tienda!$L3266</f>
        <v>134.91</v>
      </c>
      <c r="N2536" s="3" t="s">
        <v>10039</v>
      </c>
      <c r="O2536" s="3" t="s">
        <v>10041</v>
      </c>
      <c r="P2536" s="17">
        <v>45781</v>
      </c>
      <c r="Q2536" s="4">
        <v>0</v>
      </c>
    </row>
    <row r="2537" spans="1:17" ht="30" x14ac:dyDescent="0.25">
      <c r="A2537" s="2" t="s">
        <v>3626</v>
      </c>
      <c r="B2537" s="3" t="s">
        <v>5015</v>
      </c>
      <c r="C2537" s="3">
        <v>62</v>
      </c>
      <c r="D2537" s="46" t="str">
        <f>IF(Tabla1[[#This Row],[EDAD]]&lt;=35,"Adultos jóvenes 18 - 35 años",IF(C2537&gt;=36,"Adultos mayores 36 años en adelante"))</f>
        <v>Adultos mayores 36 años en adelante</v>
      </c>
      <c r="E2537" s="3" t="s">
        <v>5018</v>
      </c>
      <c r="F2537" s="3" t="s">
        <v>5030</v>
      </c>
      <c r="G2537" s="3" t="s">
        <v>5033</v>
      </c>
      <c r="H2537" s="3" t="s">
        <v>8649</v>
      </c>
      <c r="I2537" s="17">
        <v>45797</v>
      </c>
      <c r="J2537" s="18">
        <f>YEAR(Tabla1[[#This Row],[FECHA DE COMPRA]])</f>
        <v>2025</v>
      </c>
      <c r="K2537" s="19">
        <v>127.2</v>
      </c>
      <c r="L2537" s="20">
        <v>0.1</v>
      </c>
      <c r="M2537" s="19">
        <f>Tienda!$K3270-Tienda!$K3270*Tienda!$L3270</f>
        <v>137.25600000000003</v>
      </c>
      <c r="N2537" s="3" t="s">
        <v>10039</v>
      </c>
      <c r="O2537" s="3" t="s">
        <v>10041</v>
      </c>
      <c r="P2537" s="17">
        <v>45797</v>
      </c>
      <c r="Q2537" s="4">
        <v>0</v>
      </c>
    </row>
    <row r="2538" spans="1:17" ht="30" x14ac:dyDescent="0.25">
      <c r="A2538" s="2" t="s">
        <v>1799</v>
      </c>
      <c r="B2538" s="3" t="s">
        <v>5016</v>
      </c>
      <c r="C2538" s="3">
        <v>62</v>
      </c>
      <c r="D2538" s="46" t="str">
        <f>IF(Tabla1[[#This Row],[EDAD]]&lt;=35,"Adultos jóvenes 18 - 35 años",IF(C2538&gt;=36,"Adultos mayores 36 años en adelante"))</f>
        <v>Adultos mayores 36 años en adelante</v>
      </c>
      <c r="E2538" s="3" t="s">
        <v>5023</v>
      </c>
      <c r="F2538" s="3" t="s">
        <v>5025</v>
      </c>
      <c r="G2538" s="3" t="s">
        <v>5034</v>
      </c>
      <c r="H2538" s="3" t="s">
        <v>6822</v>
      </c>
      <c r="I2538" s="17">
        <v>45801</v>
      </c>
      <c r="J2538" s="18">
        <f>YEAR(Tabla1[[#This Row],[FECHA DE COMPRA]])</f>
        <v>2025</v>
      </c>
      <c r="K2538" s="19">
        <v>127.68</v>
      </c>
      <c r="L2538" s="20">
        <v>0.3</v>
      </c>
      <c r="M2538" s="19">
        <f>Tienda!$K3271-Tienda!$K3271*Tienda!$L3271</f>
        <v>137.56</v>
      </c>
      <c r="N2538" s="3" t="s">
        <v>10039</v>
      </c>
      <c r="O2538" s="3" t="s">
        <v>10041</v>
      </c>
      <c r="P2538" s="17">
        <v>45801</v>
      </c>
      <c r="Q2538" s="4">
        <v>0</v>
      </c>
    </row>
    <row r="2539" spans="1:17" ht="30" x14ac:dyDescent="0.25">
      <c r="A2539" s="2" t="s">
        <v>1106</v>
      </c>
      <c r="B2539" s="3" t="s">
        <v>5015</v>
      </c>
      <c r="C2539" s="3">
        <v>46</v>
      </c>
      <c r="D2539" s="46" t="str">
        <f>IF(Tabla1[[#This Row],[EDAD]]&lt;=35,"Adultos jóvenes 18 - 35 años",IF(C2539&gt;=36,"Adultos mayores 36 años en adelante"))</f>
        <v>Adultos mayores 36 años en adelante</v>
      </c>
      <c r="E2539" s="3" t="s">
        <v>5023</v>
      </c>
      <c r="F2539" s="3" t="s">
        <v>5028</v>
      </c>
      <c r="G2539" s="3" t="s">
        <v>5034</v>
      </c>
      <c r="H2539" s="3" t="s">
        <v>6129</v>
      </c>
      <c r="I2539" s="17">
        <v>45780</v>
      </c>
      <c r="J2539" s="18">
        <f>YEAR(Tabla1[[#This Row],[FECHA DE COMPRA]])</f>
        <v>2025</v>
      </c>
      <c r="K2539" s="19">
        <v>130.29</v>
      </c>
      <c r="L2539" s="20">
        <v>0.3</v>
      </c>
      <c r="M2539" s="19">
        <f>Tienda!$K3272-Tienda!$K3272*Tienda!$L3272</f>
        <v>137.62700000000001</v>
      </c>
      <c r="N2539" s="3" t="s">
        <v>10039</v>
      </c>
      <c r="O2539" s="3" t="s">
        <v>10041</v>
      </c>
      <c r="P2539" s="17">
        <v>45780</v>
      </c>
      <c r="Q2539" s="4">
        <v>0</v>
      </c>
    </row>
    <row r="2540" spans="1:17" ht="30" x14ac:dyDescent="0.25">
      <c r="A2540" s="2" t="s">
        <v>3607</v>
      </c>
      <c r="B2540" s="3" t="s">
        <v>5015</v>
      </c>
      <c r="C2540" s="3">
        <v>37</v>
      </c>
      <c r="D2540" s="46" t="str">
        <f>IF(Tabla1[[#This Row],[EDAD]]&lt;=35,"Adultos jóvenes 18 - 35 años",IF(C2540&gt;=36,"Adultos mayores 36 años en adelante"))</f>
        <v>Adultos mayores 36 años en adelante</v>
      </c>
      <c r="E2540" s="3" t="s">
        <v>5023</v>
      </c>
      <c r="F2540" s="3" t="s">
        <v>5027</v>
      </c>
      <c r="G2540" s="3" t="s">
        <v>5033</v>
      </c>
      <c r="H2540" s="3" t="s">
        <v>8630</v>
      </c>
      <c r="I2540" s="17">
        <v>45779</v>
      </c>
      <c r="J2540" s="18">
        <f>YEAR(Tabla1[[#This Row],[FECHA DE COMPRA]])</f>
        <v>2025</v>
      </c>
      <c r="K2540" s="19">
        <v>131.63</v>
      </c>
      <c r="L2540" s="20">
        <v>0.1</v>
      </c>
      <c r="M2540" s="19">
        <f>Tienda!$K3273-Tienda!$K3273*Tienda!$L3273</f>
        <v>137.97</v>
      </c>
      <c r="N2540" s="3" t="s">
        <v>10039</v>
      </c>
      <c r="O2540" s="3" t="s">
        <v>10041</v>
      </c>
      <c r="P2540" s="17">
        <v>45779</v>
      </c>
      <c r="Q2540" s="4">
        <v>0</v>
      </c>
    </row>
    <row r="2541" spans="1:17" ht="30" x14ac:dyDescent="0.25">
      <c r="A2541" s="2" t="s">
        <v>4278</v>
      </c>
      <c r="B2541" s="3" t="s">
        <v>5016</v>
      </c>
      <c r="C2541" s="3">
        <v>53</v>
      </c>
      <c r="D2541" s="46" t="str">
        <f>IF(Tabla1[[#This Row],[EDAD]]&lt;=35,"Adultos jóvenes 18 - 35 años",IF(C2541&gt;=36,"Adultos mayores 36 años en adelante"))</f>
        <v>Adultos mayores 36 años en adelante</v>
      </c>
      <c r="E2541" s="3" t="s">
        <v>5019</v>
      </c>
      <c r="F2541" s="3" t="s">
        <v>5027</v>
      </c>
      <c r="G2541" s="3" t="s">
        <v>5037</v>
      </c>
      <c r="H2541" s="3" t="s">
        <v>9301</v>
      </c>
      <c r="I2541" s="17">
        <v>45807</v>
      </c>
      <c r="J2541" s="18">
        <f>YEAR(Tabla1[[#This Row],[FECHA DE COMPRA]])</f>
        <v>2025</v>
      </c>
      <c r="K2541" s="19">
        <v>132.34</v>
      </c>
      <c r="L2541" s="20">
        <v>0.3</v>
      </c>
      <c r="M2541" s="19">
        <f>Tienda!$K3274-Tienda!$K3274*Tienda!$L3274</f>
        <v>138.28500000000003</v>
      </c>
      <c r="N2541" s="3" t="s">
        <v>10039</v>
      </c>
      <c r="O2541" s="3" t="s">
        <v>10041</v>
      </c>
      <c r="P2541" s="17">
        <v>45807</v>
      </c>
      <c r="Q2541" s="4">
        <v>0</v>
      </c>
    </row>
    <row r="2542" spans="1:17" ht="30" x14ac:dyDescent="0.25">
      <c r="A2542" s="2" t="s">
        <v>2384</v>
      </c>
      <c r="B2542" s="3" t="s">
        <v>5015</v>
      </c>
      <c r="C2542" s="3">
        <v>65</v>
      </c>
      <c r="D2542" s="46" t="str">
        <f>IF(Tabla1[[#This Row],[EDAD]]&lt;=35,"Adultos jóvenes 18 - 35 años",IF(C2542&gt;=36,"Adultos mayores 36 años en adelante"))</f>
        <v>Adultos mayores 36 años en adelante</v>
      </c>
      <c r="E2542" s="3" t="s">
        <v>5022</v>
      </c>
      <c r="F2542" s="3" t="s">
        <v>5027</v>
      </c>
      <c r="G2542" s="3" t="s">
        <v>5031</v>
      </c>
      <c r="H2542" s="3" t="s">
        <v>7407</v>
      </c>
      <c r="I2542" s="17">
        <v>45797</v>
      </c>
      <c r="J2542" s="18">
        <f>YEAR(Tabla1[[#This Row],[FECHA DE COMPRA]])</f>
        <v>2025</v>
      </c>
      <c r="K2542" s="19">
        <v>134.76</v>
      </c>
      <c r="L2542" s="20">
        <v>0.2</v>
      </c>
      <c r="M2542" s="19">
        <f>Tienda!$K3275-Tienda!$K3275*Tienda!$L3275</f>
        <v>138.62799999999999</v>
      </c>
      <c r="N2542" s="3" t="s">
        <v>10039</v>
      </c>
      <c r="O2542" s="3" t="s">
        <v>10041</v>
      </c>
      <c r="P2542" s="17">
        <v>45797</v>
      </c>
      <c r="Q2542" s="4">
        <v>0</v>
      </c>
    </row>
    <row r="2543" spans="1:17" ht="30" x14ac:dyDescent="0.25">
      <c r="A2543" s="2" t="s">
        <v>3682</v>
      </c>
      <c r="B2543" s="3" t="s">
        <v>5015</v>
      </c>
      <c r="C2543" s="3">
        <v>57</v>
      </c>
      <c r="D2543" s="46" t="str">
        <f>IF(Tabla1[[#This Row],[EDAD]]&lt;=35,"Adultos jóvenes 18 - 35 años",IF(C2543&gt;=36,"Adultos mayores 36 años en adelante"))</f>
        <v>Adultos mayores 36 años en adelante</v>
      </c>
      <c r="E2543" s="3" t="s">
        <v>5020</v>
      </c>
      <c r="F2543" s="3" t="s">
        <v>5026</v>
      </c>
      <c r="G2543" s="3" t="s">
        <v>5036</v>
      </c>
      <c r="H2543" s="3" t="s">
        <v>8705</v>
      </c>
      <c r="I2543" s="17">
        <v>45802</v>
      </c>
      <c r="J2543" s="18">
        <f>YEAR(Tabla1[[#This Row],[FECHA DE COMPRA]])</f>
        <v>2025</v>
      </c>
      <c r="K2543" s="19">
        <v>141.46</v>
      </c>
      <c r="L2543" s="20">
        <v>0.2</v>
      </c>
      <c r="M2543" s="19">
        <f>Tienda!$K3276-Tienda!$K3276*Tienda!$L3276</f>
        <v>138.999</v>
      </c>
      <c r="N2543" s="3" t="s">
        <v>10039</v>
      </c>
      <c r="O2543" s="3" t="s">
        <v>10041</v>
      </c>
      <c r="P2543" s="17">
        <v>45802</v>
      </c>
      <c r="Q2543" s="4">
        <v>0</v>
      </c>
    </row>
    <row r="2544" spans="1:17" ht="30" x14ac:dyDescent="0.25">
      <c r="A2544" s="2" t="s">
        <v>4540</v>
      </c>
      <c r="B2544" s="3" t="s">
        <v>5015</v>
      </c>
      <c r="C2544" s="3">
        <v>43</v>
      </c>
      <c r="D2544" s="46" t="str">
        <f>IF(Tabla1[[#This Row],[EDAD]]&lt;=35,"Adultos jóvenes 18 - 35 años",IF(C2544&gt;=36,"Adultos mayores 36 años en adelante"))</f>
        <v>Adultos mayores 36 años en adelante</v>
      </c>
      <c r="E2544" s="3" t="s">
        <v>5020</v>
      </c>
      <c r="F2544" s="3" t="s">
        <v>5029</v>
      </c>
      <c r="G2544" s="3" t="s">
        <v>5035</v>
      </c>
      <c r="H2544" s="3" t="s">
        <v>9563</v>
      </c>
      <c r="I2544" s="17">
        <v>45785</v>
      </c>
      <c r="J2544" s="18">
        <f>YEAR(Tabla1[[#This Row],[FECHA DE COMPRA]])</f>
        <v>2025</v>
      </c>
      <c r="K2544" s="19">
        <v>147.53</v>
      </c>
      <c r="L2544" s="20">
        <v>0.1</v>
      </c>
      <c r="M2544" s="19">
        <f>Tienda!$K3277-Tienda!$K3277*Tienda!$L3277</f>
        <v>139.256</v>
      </c>
      <c r="N2544" s="3" t="s">
        <v>10039</v>
      </c>
      <c r="O2544" s="3" t="s">
        <v>10041</v>
      </c>
      <c r="P2544" s="17">
        <v>45785</v>
      </c>
      <c r="Q2544" s="4">
        <v>0</v>
      </c>
    </row>
    <row r="2545" spans="1:17" ht="30" x14ac:dyDescent="0.25">
      <c r="A2545" s="2" t="s">
        <v>4880</v>
      </c>
      <c r="B2545" s="3" t="s">
        <v>5015</v>
      </c>
      <c r="C2545" s="3">
        <v>38</v>
      </c>
      <c r="D2545" s="46" t="str">
        <f>IF(Tabla1[[#This Row],[EDAD]]&lt;=35,"Adultos jóvenes 18 - 35 años",IF(C2545&gt;=36,"Adultos mayores 36 años en adelante"))</f>
        <v>Adultos mayores 36 años en adelante</v>
      </c>
      <c r="E2545" s="3" t="s">
        <v>5020</v>
      </c>
      <c r="F2545" s="3" t="s">
        <v>5030</v>
      </c>
      <c r="G2545" s="3" t="s">
        <v>5037</v>
      </c>
      <c r="H2545" s="3" t="s">
        <v>9903</v>
      </c>
      <c r="I2545" s="17">
        <v>45802</v>
      </c>
      <c r="J2545" s="18">
        <f>YEAR(Tabla1[[#This Row],[FECHA DE COMPRA]])</f>
        <v>2025</v>
      </c>
      <c r="K2545" s="19">
        <v>152.96</v>
      </c>
      <c r="L2545" s="20">
        <v>0.2</v>
      </c>
      <c r="M2545" s="19">
        <f>Tienda!$K3280-Tienda!$K3280*Tienda!$L3280</f>
        <v>140.27199999999999</v>
      </c>
      <c r="N2545" s="3" t="s">
        <v>10039</v>
      </c>
      <c r="O2545" s="3" t="s">
        <v>10041</v>
      </c>
      <c r="P2545" s="17">
        <v>45802</v>
      </c>
      <c r="Q2545" s="4">
        <v>0</v>
      </c>
    </row>
    <row r="2546" spans="1:17" ht="30" x14ac:dyDescent="0.25">
      <c r="A2546" s="2" t="s">
        <v>3337</v>
      </c>
      <c r="B2546" s="3" t="s">
        <v>5015</v>
      </c>
      <c r="C2546" s="3">
        <v>52</v>
      </c>
      <c r="D2546" s="46" t="str">
        <f>IF(Tabla1[[#This Row],[EDAD]]&lt;=35,"Adultos jóvenes 18 - 35 años",IF(C2546&gt;=36,"Adultos mayores 36 años en adelante"))</f>
        <v>Adultos mayores 36 años en adelante</v>
      </c>
      <c r="E2546" s="3" t="s">
        <v>5017</v>
      </c>
      <c r="F2546" s="3" t="s">
        <v>5028</v>
      </c>
      <c r="G2546" s="3" t="s">
        <v>5037</v>
      </c>
      <c r="H2546" s="3" t="s">
        <v>8360</v>
      </c>
      <c r="I2546" s="17">
        <v>45783</v>
      </c>
      <c r="J2546" s="18">
        <f>YEAR(Tabla1[[#This Row],[FECHA DE COMPRA]])</f>
        <v>2025</v>
      </c>
      <c r="K2546" s="19">
        <v>152.97</v>
      </c>
      <c r="L2546" s="20">
        <v>0.2</v>
      </c>
      <c r="M2546" s="19">
        <f>Tienda!$K3281-Tienda!$K3281*Tienda!$L3281</f>
        <v>140.31899999999999</v>
      </c>
      <c r="N2546" s="3" t="s">
        <v>10039</v>
      </c>
      <c r="O2546" s="3" t="s">
        <v>10041</v>
      </c>
      <c r="P2546" s="17">
        <v>45783</v>
      </c>
      <c r="Q2546" s="4">
        <v>0</v>
      </c>
    </row>
    <row r="2547" spans="1:17" ht="30" x14ac:dyDescent="0.25">
      <c r="A2547" s="2" t="s">
        <v>536</v>
      </c>
      <c r="B2547" s="3" t="s">
        <v>5015</v>
      </c>
      <c r="C2547" s="3">
        <v>63</v>
      </c>
      <c r="D2547" s="46" t="str">
        <f>IF(Tabla1[[#This Row],[EDAD]]&lt;=35,"Adultos jóvenes 18 - 35 años",IF(C2547&gt;=36,"Adultos mayores 36 años en adelante"))</f>
        <v>Adultos mayores 36 años en adelante</v>
      </c>
      <c r="E2547" s="3" t="s">
        <v>5020</v>
      </c>
      <c r="F2547" s="3" t="s">
        <v>5027</v>
      </c>
      <c r="G2547" s="3" t="s">
        <v>5035</v>
      </c>
      <c r="H2547" s="3" t="s">
        <v>5559</v>
      </c>
      <c r="I2547" s="17">
        <v>45801</v>
      </c>
      <c r="J2547" s="18">
        <f>YEAR(Tabla1[[#This Row],[FECHA DE COMPRA]])</f>
        <v>2025</v>
      </c>
      <c r="K2547" s="19">
        <v>153.76</v>
      </c>
      <c r="L2547" s="20">
        <v>0</v>
      </c>
      <c r="M2547" s="19">
        <f>Tienda!$K3283-Tienda!$K3283*Tienda!$L3283</f>
        <v>146.03399999999999</v>
      </c>
      <c r="N2547" s="3" t="s">
        <v>10039</v>
      </c>
      <c r="O2547" s="3" t="s">
        <v>10041</v>
      </c>
      <c r="P2547" s="17">
        <v>45801</v>
      </c>
      <c r="Q2547" s="4">
        <v>0</v>
      </c>
    </row>
    <row r="2548" spans="1:17" ht="30" x14ac:dyDescent="0.25">
      <c r="A2548" s="2" t="s">
        <v>1892</v>
      </c>
      <c r="B2548" s="3" t="s">
        <v>5015</v>
      </c>
      <c r="C2548" s="3">
        <v>59</v>
      </c>
      <c r="D2548" s="46" t="str">
        <f>IF(Tabla1[[#This Row],[EDAD]]&lt;=35,"Adultos jóvenes 18 - 35 años",IF(C2548&gt;=36,"Adultos mayores 36 años en adelante"))</f>
        <v>Adultos mayores 36 años en adelante</v>
      </c>
      <c r="E2548" s="3" t="s">
        <v>5022</v>
      </c>
      <c r="F2548" s="3" t="s">
        <v>5028</v>
      </c>
      <c r="G2548" s="3" t="s">
        <v>5033</v>
      </c>
      <c r="H2548" s="3" t="s">
        <v>6915</v>
      </c>
      <c r="I2548" s="17">
        <v>45783</v>
      </c>
      <c r="J2548" s="18">
        <f>YEAR(Tabla1[[#This Row],[FECHA DE COMPRA]])</f>
        <v>2025</v>
      </c>
      <c r="K2548" s="19">
        <v>154.08000000000001</v>
      </c>
      <c r="L2548" s="20">
        <v>0</v>
      </c>
      <c r="M2548" s="19">
        <f>Tienda!$K3284-Tienda!$K3284*Tienda!$L3284</f>
        <v>146.83199999999999</v>
      </c>
      <c r="N2548" s="3" t="s">
        <v>10039</v>
      </c>
      <c r="O2548" s="3" t="s">
        <v>10041</v>
      </c>
      <c r="P2548" s="17">
        <v>45783</v>
      </c>
      <c r="Q2548" s="4">
        <v>0</v>
      </c>
    </row>
    <row r="2549" spans="1:17" ht="30" x14ac:dyDescent="0.25">
      <c r="A2549" s="2" t="s">
        <v>4286</v>
      </c>
      <c r="B2549" s="3" t="s">
        <v>5015</v>
      </c>
      <c r="C2549" s="3">
        <v>51</v>
      </c>
      <c r="D2549" s="46" t="str">
        <f>IF(Tabla1[[#This Row],[EDAD]]&lt;=35,"Adultos jóvenes 18 - 35 años",IF(C2549&gt;=36,"Adultos mayores 36 años en adelante"))</f>
        <v>Adultos mayores 36 años en adelante</v>
      </c>
      <c r="E2549" s="3" t="s">
        <v>5020</v>
      </c>
      <c r="F2549" s="3" t="s">
        <v>5027</v>
      </c>
      <c r="G2549" s="3" t="s">
        <v>5034</v>
      </c>
      <c r="H2549" s="3" t="s">
        <v>9309</v>
      </c>
      <c r="I2549" s="17">
        <v>45786</v>
      </c>
      <c r="J2549" s="18">
        <f>YEAR(Tabla1[[#This Row],[FECHA DE COMPRA]])</f>
        <v>2025</v>
      </c>
      <c r="K2549" s="19">
        <v>154.62</v>
      </c>
      <c r="L2549" s="20">
        <v>0.3</v>
      </c>
      <c r="M2549" s="19">
        <f>Tienda!$K3285-Tienda!$K3285*Tienda!$L3285</f>
        <v>147.19200000000001</v>
      </c>
      <c r="N2549" s="3" t="s">
        <v>10039</v>
      </c>
      <c r="O2549" s="3" t="s">
        <v>10041</v>
      </c>
      <c r="P2549" s="17">
        <v>45786</v>
      </c>
      <c r="Q2549" s="4">
        <v>0</v>
      </c>
    </row>
    <row r="2550" spans="1:17" ht="30" x14ac:dyDescent="0.25">
      <c r="A2550" s="2" t="s">
        <v>106</v>
      </c>
      <c r="B2550" s="3" t="s">
        <v>5015</v>
      </c>
      <c r="C2550" s="3">
        <v>44</v>
      </c>
      <c r="D2550" s="46" t="str">
        <f>IF(Tabla1[[#This Row],[EDAD]]&lt;=35,"Adultos jóvenes 18 - 35 años",IF(C2550&gt;=36,"Adultos mayores 36 años en adelante"))</f>
        <v>Adultos mayores 36 años en adelante</v>
      </c>
      <c r="E2550" s="3" t="s">
        <v>5019</v>
      </c>
      <c r="F2550" s="3" t="s">
        <v>5027</v>
      </c>
      <c r="G2550" s="3" t="s">
        <v>5032</v>
      </c>
      <c r="H2550" s="3" t="s">
        <v>5129</v>
      </c>
      <c r="I2550" s="17">
        <v>45796</v>
      </c>
      <c r="J2550" s="18">
        <f>YEAR(Tabla1[[#This Row],[FECHA DE COMPRA]])</f>
        <v>2025</v>
      </c>
      <c r="K2550" s="19">
        <v>157.46</v>
      </c>
      <c r="L2550" s="20">
        <v>0.2</v>
      </c>
      <c r="M2550" s="19">
        <f>Tienda!$K3288-Tienda!$K3288*Tienda!$L3288</f>
        <v>150.51</v>
      </c>
      <c r="N2550" s="3" t="s">
        <v>10039</v>
      </c>
      <c r="O2550" s="3" t="s">
        <v>10041</v>
      </c>
      <c r="P2550" s="17">
        <v>45796</v>
      </c>
      <c r="Q2550" s="4">
        <v>0</v>
      </c>
    </row>
    <row r="2551" spans="1:17" ht="30" x14ac:dyDescent="0.25">
      <c r="A2551" s="2" t="s">
        <v>1731</v>
      </c>
      <c r="B2551" s="3" t="s">
        <v>5016</v>
      </c>
      <c r="C2551" s="3">
        <v>56</v>
      </c>
      <c r="D2551" s="46" t="str">
        <f>IF(Tabla1[[#This Row],[EDAD]]&lt;=35,"Adultos jóvenes 18 - 35 años",IF(C2551&gt;=36,"Adultos mayores 36 años en adelante"))</f>
        <v>Adultos mayores 36 años en adelante</v>
      </c>
      <c r="E2551" s="3" t="s">
        <v>5017</v>
      </c>
      <c r="F2551" s="3" t="s">
        <v>5030</v>
      </c>
      <c r="G2551" s="3" t="s">
        <v>5031</v>
      </c>
      <c r="H2551" s="3" t="s">
        <v>6754</v>
      </c>
      <c r="I2551" s="17">
        <v>45778</v>
      </c>
      <c r="J2551" s="18">
        <f>YEAR(Tabla1[[#This Row],[FECHA DE COMPRA]])</f>
        <v>2025</v>
      </c>
      <c r="K2551" s="19">
        <v>159.12</v>
      </c>
      <c r="L2551" s="20">
        <v>0</v>
      </c>
      <c r="M2551" s="19">
        <f>Tienda!$K3289-Tienda!$K3289*Tienda!$L3289</f>
        <v>150.89600000000002</v>
      </c>
      <c r="N2551" s="3" t="s">
        <v>10039</v>
      </c>
      <c r="O2551" s="3" t="s">
        <v>10041</v>
      </c>
      <c r="P2551" s="17">
        <v>45778</v>
      </c>
      <c r="Q2551" s="4">
        <v>0</v>
      </c>
    </row>
    <row r="2552" spans="1:17" ht="30" x14ac:dyDescent="0.25">
      <c r="A2552" s="2" t="s">
        <v>295</v>
      </c>
      <c r="B2552" s="3" t="s">
        <v>5015</v>
      </c>
      <c r="C2552" s="3">
        <v>41</v>
      </c>
      <c r="D2552" s="46" t="str">
        <f>IF(Tabla1[[#This Row],[EDAD]]&lt;=35,"Adultos jóvenes 18 - 35 años",IF(C2552&gt;=36,"Adultos mayores 36 años en adelante"))</f>
        <v>Adultos mayores 36 años en adelante</v>
      </c>
      <c r="E2552" s="3" t="s">
        <v>5022</v>
      </c>
      <c r="F2552" s="3" t="s">
        <v>5028</v>
      </c>
      <c r="G2552" s="3" t="s">
        <v>5034</v>
      </c>
      <c r="H2552" s="3" t="s">
        <v>5318</v>
      </c>
      <c r="I2552" s="17">
        <v>45782</v>
      </c>
      <c r="J2552" s="18">
        <f>YEAR(Tabla1[[#This Row],[FECHA DE COMPRA]])</f>
        <v>2025</v>
      </c>
      <c r="K2552" s="19">
        <v>165.59</v>
      </c>
      <c r="L2552" s="20">
        <v>0</v>
      </c>
      <c r="M2552" s="19">
        <f>Tienda!$K3291-Tienda!$K3291*Tienda!$L3291</f>
        <v>151.53</v>
      </c>
      <c r="N2552" s="3" t="s">
        <v>10039</v>
      </c>
      <c r="O2552" s="3" t="s">
        <v>10041</v>
      </c>
      <c r="P2552" s="17">
        <v>45782</v>
      </c>
      <c r="Q2552" s="4">
        <v>0</v>
      </c>
    </row>
    <row r="2553" spans="1:17" ht="30" x14ac:dyDescent="0.25">
      <c r="A2553" s="2" t="s">
        <v>1308</v>
      </c>
      <c r="B2553" s="3" t="s">
        <v>5015</v>
      </c>
      <c r="C2553" s="3">
        <v>48</v>
      </c>
      <c r="D2553" s="46" t="str">
        <f>IF(Tabla1[[#This Row],[EDAD]]&lt;=35,"Adultos jóvenes 18 - 35 años",IF(C2553&gt;=36,"Adultos mayores 36 años en adelante"))</f>
        <v>Adultos mayores 36 años en adelante</v>
      </c>
      <c r="E2553" s="3" t="s">
        <v>5017</v>
      </c>
      <c r="F2553" s="3" t="s">
        <v>5025</v>
      </c>
      <c r="G2553" s="3" t="s">
        <v>5031</v>
      </c>
      <c r="H2553" s="3" t="s">
        <v>6331</v>
      </c>
      <c r="I2553" s="17">
        <v>45793</v>
      </c>
      <c r="J2553" s="18">
        <f>YEAR(Tabla1[[#This Row],[FECHA DE COMPRA]])</f>
        <v>2025</v>
      </c>
      <c r="K2553" s="19">
        <v>166.36</v>
      </c>
      <c r="L2553" s="20">
        <v>0.1</v>
      </c>
      <c r="M2553" s="19">
        <f>Tienda!$K3292-Tienda!$K3292*Tienda!$L3292</f>
        <v>153.672</v>
      </c>
      <c r="N2553" s="3" t="s">
        <v>10039</v>
      </c>
      <c r="O2553" s="3" t="s">
        <v>10041</v>
      </c>
      <c r="P2553" s="17">
        <v>45793</v>
      </c>
      <c r="Q2553" s="4">
        <v>0</v>
      </c>
    </row>
    <row r="2554" spans="1:17" ht="30" x14ac:dyDescent="0.25">
      <c r="A2554" s="2" t="s">
        <v>1483</v>
      </c>
      <c r="B2554" s="3" t="s">
        <v>5015</v>
      </c>
      <c r="C2554" s="3">
        <v>63</v>
      </c>
      <c r="D2554" s="46" t="str">
        <f>IF(Tabla1[[#This Row],[EDAD]]&lt;=35,"Adultos jóvenes 18 - 35 años",IF(C2554&gt;=36,"Adultos mayores 36 años en adelante"))</f>
        <v>Adultos mayores 36 años en adelante</v>
      </c>
      <c r="E2554" s="3" t="s">
        <v>5020</v>
      </c>
      <c r="F2554" s="3" t="s">
        <v>5026</v>
      </c>
      <c r="G2554" s="3" t="s">
        <v>5032</v>
      </c>
      <c r="H2554" s="3" t="s">
        <v>6506</v>
      </c>
      <c r="I2554" s="17">
        <v>45793</v>
      </c>
      <c r="J2554" s="18">
        <f>YEAR(Tabla1[[#This Row],[FECHA DE COMPRA]])</f>
        <v>2025</v>
      </c>
      <c r="K2554" s="19">
        <v>166.96</v>
      </c>
      <c r="L2554" s="20">
        <v>0</v>
      </c>
      <c r="M2554" s="19">
        <f>Tienda!$K3293-Tienda!$K3293*Tienda!$L3293</f>
        <v>153.71</v>
      </c>
      <c r="N2554" s="3" t="s">
        <v>10039</v>
      </c>
      <c r="O2554" s="3" t="s">
        <v>10041</v>
      </c>
      <c r="P2554" s="17">
        <v>45793</v>
      </c>
      <c r="Q2554" s="4">
        <v>0</v>
      </c>
    </row>
    <row r="2555" spans="1:17" ht="30" x14ac:dyDescent="0.25">
      <c r="A2555" s="2" t="s">
        <v>265</v>
      </c>
      <c r="B2555" s="3" t="s">
        <v>5015</v>
      </c>
      <c r="C2555" s="3">
        <v>52</v>
      </c>
      <c r="D2555" s="46" t="str">
        <f>IF(Tabla1[[#This Row],[EDAD]]&lt;=35,"Adultos jóvenes 18 - 35 años",IF(C2555&gt;=36,"Adultos mayores 36 años en adelante"))</f>
        <v>Adultos mayores 36 años en adelante</v>
      </c>
      <c r="E2555" s="3" t="s">
        <v>5018</v>
      </c>
      <c r="F2555" s="3" t="s">
        <v>5024</v>
      </c>
      <c r="G2555" s="3" t="s">
        <v>5034</v>
      </c>
      <c r="H2555" s="3" t="s">
        <v>5288</v>
      </c>
      <c r="I2555" s="17">
        <v>45799</v>
      </c>
      <c r="J2555" s="18">
        <f>YEAR(Tabla1[[#This Row],[FECHA DE COMPRA]])</f>
        <v>2025</v>
      </c>
      <c r="K2555" s="19">
        <v>167.91</v>
      </c>
      <c r="L2555" s="20">
        <v>0.2</v>
      </c>
      <c r="M2555" s="19">
        <f>Tienda!$K3294-Tienda!$K3294*Tienda!$L3294</f>
        <v>154.33000000000001</v>
      </c>
      <c r="N2555" s="3" t="s">
        <v>10039</v>
      </c>
      <c r="O2555" s="3" t="s">
        <v>10041</v>
      </c>
      <c r="P2555" s="17">
        <v>45799</v>
      </c>
      <c r="Q2555" s="4">
        <v>0</v>
      </c>
    </row>
    <row r="2556" spans="1:17" ht="30" x14ac:dyDescent="0.25">
      <c r="A2556" s="2" t="s">
        <v>1551</v>
      </c>
      <c r="B2556" s="3" t="s">
        <v>5015</v>
      </c>
      <c r="C2556" s="3">
        <v>39</v>
      </c>
      <c r="D2556" s="46" t="str">
        <f>IF(Tabla1[[#This Row],[EDAD]]&lt;=35,"Adultos jóvenes 18 - 35 años",IF(C2556&gt;=36,"Adultos mayores 36 años en adelante"))</f>
        <v>Adultos mayores 36 años en adelante</v>
      </c>
      <c r="E2556" s="3" t="s">
        <v>5022</v>
      </c>
      <c r="F2556" s="3" t="s">
        <v>5028</v>
      </c>
      <c r="G2556" s="3" t="s">
        <v>5033</v>
      </c>
      <c r="H2556" s="3" t="s">
        <v>6574</v>
      </c>
      <c r="I2556" s="17">
        <v>45802</v>
      </c>
      <c r="J2556" s="18">
        <f>YEAR(Tabla1[[#This Row],[FECHA DE COMPRA]])</f>
        <v>2025</v>
      </c>
      <c r="K2556" s="19">
        <v>170.03</v>
      </c>
      <c r="L2556" s="20">
        <v>0.1</v>
      </c>
      <c r="M2556" s="19">
        <f>Tienda!$K3296-Tienda!$K3296*Tienda!$L3296</f>
        <v>154.72</v>
      </c>
      <c r="N2556" s="3" t="s">
        <v>10039</v>
      </c>
      <c r="O2556" s="3" t="s">
        <v>10041</v>
      </c>
      <c r="P2556" s="17">
        <v>45802</v>
      </c>
      <c r="Q2556" s="4">
        <v>0</v>
      </c>
    </row>
    <row r="2557" spans="1:17" ht="30" x14ac:dyDescent="0.25">
      <c r="A2557" s="2" t="s">
        <v>2548</v>
      </c>
      <c r="B2557" s="3" t="s">
        <v>5015</v>
      </c>
      <c r="C2557" s="3">
        <v>48</v>
      </c>
      <c r="D2557" s="46" t="str">
        <f>IF(Tabla1[[#This Row],[EDAD]]&lt;=35,"Adultos jóvenes 18 - 35 años",IF(C2557&gt;=36,"Adultos mayores 36 años en adelante"))</f>
        <v>Adultos mayores 36 años en adelante</v>
      </c>
      <c r="E2557" s="3" t="s">
        <v>5018</v>
      </c>
      <c r="F2557" s="3" t="s">
        <v>5026</v>
      </c>
      <c r="G2557" s="3" t="s">
        <v>5036</v>
      </c>
      <c r="H2557" s="3" t="s">
        <v>7571</v>
      </c>
      <c r="I2557" s="17">
        <v>45803</v>
      </c>
      <c r="J2557" s="18">
        <f>YEAR(Tabla1[[#This Row],[FECHA DE COMPRA]])</f>
        <v>2025</v>
      </c>
      <c r="K2557" s="19">
        <v>174.08</v>
      </c>
      <c r="L2557" s="20">
        <v>0.2</v>
      </c>
      <c r="M2557" s="19">
        <f>Tienda!$K3297-Tienda!$K3297*Tienda!$L3297</f>
        <v>155.26400000000001</v>
      </c>
      <c r="N2557" s="3" t="s">
        <v>10039</v>
      </c>
      <c r="O2557" s="3" t="s">
        <v>10041</v>
      </c>
      <c r="P2557" s="17">
        <v>45803</v>
      </c>
      <c r="Q2557" s="4">
        <v>0</v>
      </c>
    </row>
    <row r="2558" spans="1:17" ht="30" x14ac:dyDescent="0.25">
      <c r="A2558" s="2" t="s">
        <v>2928</v>
      </c>
      <c r="B2558" s="3" t="s">
        <v>5016</v>
      </c>
      <c r="C2558" s="3">
        <v>40</v>
      </c>
      <c r="D2558" s="46" t="str">
        <f>IF(Tabla1[[#This Row],[EDAD]]&lt;=35,"Adultos jóvenes 18 - 35 años",IF(C2558&gt;=36,"Adultos mayores 36 años en adelante"))</f>
        <v>Adultos mayores 36 años en adelante</v>
      </c>
      <c r="E2558" s="3" t="s">
        <v>5021</v>
      </c>
      <c r="F2558" s="3" t="s">
        <v>5024</v>
      </c>
      <c r="G2558" s="3" t="s">
        <v>5036</v>
      </c>
      <c r="H2558" s="3" t="s">
        <v>7951</v>
      </c>
      <c r="I2558" s="17">
        <v>45792</v>
      </c>
      <c r="J2558" s="18">
        <f>YEAR(Tabla1[[#This Row],[FECHA DE COMPRA]])</f>
        <v>2025</v>
      </c>
      <c r="K2558" s="19">
        <v>181.72</v>
      </c>
      <c r="L2558" s="20">
        <v>0.1</v>
      </c>
      <c r="M2558" s="19">
        <f>Tienda!$K3298-Tienda!$K3298*Tienda!$L3298</f>
        <v>157.52799999999999</v>
      </c>
      <c r="N2558" s="3" t="s">
        <v>10039</v>
      </c>
      <c r="O2558" s="3" t="s">
        <v>10041</v>
      </c>
      <c r="P2558" s="17">
        <v>45792</v>
      </c>
      <c r="Q2558" s="4">
        <v>0</v>
      </c>
    </row>
    <row r="2559" spans="1:17" ht="30" x14ac:dyDescent="0.25">
      <c r="A2559" s="2" t="s">
        <v>1030</v>
      </c>
      <c r="B2559" s="3" t="s">
        <v>5015</v>
      </c>
      <c r="C2559" s="3">
        <v>61</v>
      </c>
      <c r="D2559" s="46" t="str">
        <f>IF(Tabla1[[#This Row],[EDAD]]&lt;=35,"Adultos jóvenes 18 - 35 años",IF(C2559&gt;=36,"Adultos mayores 36 años en adelante"))</f>
        <v>Adultos mayores 36 años en adelante</v>
      </c>
      <c r="E2559" s="3" t="s">
        <v>5020</v>
      </c>
      <c r="F2559" s="3" t="s">
        <v>5030</v>
      </c>
      <c r="G2559" s="3" t="s">
        <v>5034</v>
      </c>
      <c r="H2559" s="3" t="s">
        <v>6053</v>
      </c>
      <c r="I2559" s="17">
        <v>45782</v>
      </c>
      <c r="J2559" s="18">
        <f>YEAR(Tabla1[[#This Row],[FECHA DE COMPRA]])</f>
        <v>2025</v>
      </c>
      <c r="K2559" s="19">
        <v>185.26</v>
      </c>
      <c r="L2559" s="20">
        <v>0.2</v>
      </c>
      <c r="M2559" s="19">
        <f>Tienda!$K3299-Tienda!$K3299*Tienda!$L3299</f>
        <v>157.70400000000001</v>
      </c>
      <c r="N2559" s="3" t="s">
        <v>10039</v>
      </c>
      <c r="O2559" s="3" t="s">
        <v>10041</v>
      </c>
      <c r="P2559" s="17">
        <v>45782</v>
      </c>
      <c r="Q2559" s="4">
        <v>0</v>
      </c>
    </row>
    <row r="2560" spans="1:17" ht="30" x14ac:dyDescent="0.25">
      <c r="A2560" s="2" t="s">
        <v>4413</v>
      </c>
      <c r="B2560" s="3" t="s">
        <v>5015</v>
      </c>
      <c r="C2560" s="3">
        <v>56</v>
      </c>
      <c r="D2560" s="46" t="str">
        <f>IF(Tabla1[[#This Row],[EDAD]]&lt;=35,"Adultos jóvenes 18 - 35 años",IF(C2560&gt;=36,"Adultos mayores 36 años en adelante"))</f>
        <v>Adultos mayores 36 años en adelante</v>
      </c>
      <c r="E2560" s="3" t="s">
        <v>5021</v>
      </c>
      <c r="F2560" s="3" t="s">
        <v>5030</v>
      </c>
      <c r="G2560" s="3" t="s">
        <v>5035</v>
      </c>
      <c r="H2560" s="3" t="s">
        <v>9436</v>
      </c>
      <c r="I2560" s="17">
        <v>45787</v>
      </c>
      <c r="J2560" s="18">
        <f>YEAR(Tabla1[[#This Row],[FECHA DE COMPRA]])</f>
        <v>2025</v>
      </c>
      <c r="K2560" s="19">
        <v>187.97</v>
      </c>
      <c r="L2560" s="20">
        <v>0.2</v>
      </c>
      <c r="M2560" s="19">
        <f>Tienda!$K3300-Tienda!$K3300*Tienda!$L3300</f>
        <v>159.79500000000002</v>
      </c>
      <c r="N2560" s="3" t="s">
        <v>10039</v>
      </c>
      <c r="O2560" s="3" t="s">
        <v>10041</v>
      </c>
      <c r="P2560" s="17">
        <v>45787</v>
      </c>
      <c r="Q2560" s="4">
        <v>0</v>
      </c>
    </row>
    <row r="2561" spans="1:17" ht="30" x14ac:dyDescent="0.25">
      <c r="A2561" s="2" t="s">
        <v>114</v>
      </c>
      <c r="B2561" s="3" t="s">
        <v>5015</v>
      </c>
      <c r="C2561" s="3">
        <v>49</v>
      </c>
      <c r="D2561" s="46" t="str">
        <f>IF(Tabla1[[#This Row],[EDAD]]&lt;=35,"Adultos jóvenes 18 - 35 años",IF(C2561&gt;=36,"Adultos mayores 36 años en adelante"))</f>
        <v>Adultos mayores 36 años en adelante</v>
      </c>
      <c r="E2561" s="3" t="s">
        <v>5020</v>
      </c>
      <c r="F2561" s="3" t="s">
        <v>5029</v>
      </c>
      <c r="G2561" s="3" t="s">
        <v>5035</v>
      </c>
      <c r="H2561" s="3" t="s">
        <v>5137</v>
      </c>
      <c r="I2561" s="17">
        <v>45796</v>
      </c>
      <c r="J2561" s="18">
        <f>YEAR(Tabla1[[#This Row],[FECHA DE COMPRA]])</f>
        <v>2025</v>
      </c>
      <c r="K2561" s="19">
        <v>191.04</v>
      </c>
      <c r="L2561" s="20">
        <v>0.2</v>
      </c>
      <c r="M2561" s="19">
        <f>Tienda!$K3302-Tienda!$K3302*Tienda!$L3302</f>
        <v>161.54</v>
      </c>
      <c r="N2561" s="3" t="s">
        <v>10039</v>
      </c>
      <c r="O2561" s="3" t="s">
        <v>10041</v>
      </c>
      <c r="P2561" s="17">
        <v>45796</v>
      </c>
      <c r="Q2561" s="4">
        <v>0</v>
      </c>
    </row>
    <row r="2562" spans="1:17" ht="30" x14ac:dyDescent="0.25">
      <c r="A2562" s="2" t="s">
        <v>4372</v>
      </c>
      <c r="B2562" s="3" t="s">
        <v>5015</v>
      </c>
      <c r="C2562" s="3">
        <v>63</v>
      </c>
      <c r="D2562" s="46" t="str">
        <f>IF(Tabla1[[#This Row],[EDAD]]&lt;=35,"Adultos jóvenes 18 - 35 años",IF(C2562&gt;=36,"Adultos mayores 36 años en adelante"))</f>
        <v>Adultos mayores 36 años en adelante</v>
      </c>
      <c r="E2562" s="3" t="s">
        <v>5020</v>
      </c>
      <c r="F2562" s="3" t="s">
        <v>5024</v>
      </c>
      <c r="G2562" s="3" t="s">
        <v>5035</v>
      </c>
      <c r="H2562" s="3" t="s">
        <v>9395</v>
      </c>
      <c r="I2562" s="17">
        <v>45805</v>
      </c>
      <c r="J2562" s="18">
        <f>YEAR(Tabla1[[#This Row],[FECHA DE COMPRA]])</f>
        <v>2025</v>
      </c>
      <c r="K2562" s="19">
        <v>199.38</v>
      </c>
      <c r="L2562" s="20">
        <v>0.1</v>
      </c>
      <c r="M2562" s="19">
        <f>Tienda!$K3304-Tienda!$K3304*Tienda!$L3304</f>
        <v>164.54700000000003</v>
      </c>
      <c r="N2562" s="3" t="s">
        <v>10039</v>
      </c>
      <c r="O2562" s="3" t="s">
        <v>10041</v>
      </c>
      <c r="P2562" s="17">
        <v>45805</v>
      </c>
      <c r="Q2562" s="4">
        <v>0</v>
      </c>
    </row>
    <row r="2563" spans="1:17" ht="30" x14ac:dyDescent="0.25">
      <c r="A2563" s="2" t="s">
        <v>2398</v>
      </c>
      <c r="B2563" s="3" t="s">
        <v>5015</v>
      </c>
      <c r="C2563" s="3">
        <v>50</v>
      </c>
      <c r="D2563" s="46" t="str">
        <f>IF(Tabla1[[#This Row],[EDAD]]&lt;=35,"Adultos jóvenes 18 - 35 años",IF(C2563&gt;=36,"Adultos mayores 36 años en adelante"))</f>
        <v>Adultos mayores 36 años en adelante</v>
      </c>
      <c r="E2563" s="3" t="s">
        <v>5020</v>
      </c>
      <c r="F2563" s="3" t="s">
        <v>5029</v>
      </c>
      <c r="G2563" s="3" t="s">
        <v>5036</v>
      </c>
      <c r="H2563" s="3" t="s">
        <v>7421</v>
      </c>
      <c r="I2563" s="17">
        <v>45809</v>
      </c>
      <c r="J2563" s="18">
        <f>YEAR(Tabla1[[#This Row],[FECHA DE COMPRA]])</f>
        <v>2025</v>
      </c>
      <c r="K2563" s="19">
        <v>10.76</v>
      </c>
      <c r="L2563" s="20">
        <v>0</v>
      </c>
      <c r="M2563" s="19">
        <f>Tienda!$K3305-Tienda!$K3305*Tienda!$L3305</f>
        <v>169.54</v>
      </c>
      <c r="N2563" s="3" t="s">
        <v>10039</v>
      </c>
      <c r="O2563" s="3" t="s">
        <v>10041</v>
      </c>
      <c r="P2563" s="17">
        <v>45809</v>
      </c>
      <c r="Q2563" s="4">
        <v>0</v>
      </c>
    </row>
    <row r="2564" spans="1:17" ht="30" x14ac:dyDescent="0.25">
      <c r="A2564" s="2" t="s">
        <v>1620</v>
      </c>
      <c r="B2564" s="3" t="s">
        <v>5015</v>
      </c>
      <c r="C2564" s="3">
        <v>60</v>
      </c>
      <c r="D2564" s="46" t="str">
        <f>IF(Tabla1[[#This Row],[EDAD]]&lt;=35,"Adultos jóvenes 18 - 35 años",IF(C2564&gt;=36,"Adultos mayores 36 años en adelante"))</f>
        <v>Adultos mayores 36 años en adelante</v>
      </c>
      <c r="E2564" s="3" t="s">
        <v>5018</v>
      </c>
      <c r="F2564" s="3" t="s">
        <v>5029</v>
      </c>
      <c r="G2564" s="3" t="s">
        <v>5035</v>
      </c>
      <c r="H2564" s="3" t="s">
        <v>6643</v>
      </c>
      <c r="I2564" s="17">
        <v>45819</v>
      </c>
      <c r="J2564" s="18">
        <f>YEAR(Tabla1[[#This Row],[FECHA DE COMPRA]])</f>
        <v>2025</v>
      </c>
      <c r="K2564" s="19">
        <v>17.72</v>
      </c>
      <c r="L2564" s="20">
        <v>0</v>
      </c>
      <c r="M2564" s="19">
        <f>Tienda!$K3310-Tienda!$K3310*Tienda!$L3310</f>
        <v>173.61</v>
      </c>
      <c r="N2564" s="3" t="s">
        <v>10039</v>
      </c>
      <c r="O2564" s="3" t="s">
        <v>10041</v>
      </c>
      <c r="P2564" s="17">
        <v>45819</v>
      </c>
      <c r="Q2564" s="4">
        <v>0</v>
      </c>
    </row>
    <row r="2565" spans="1:17" ht="30" x14ac:dyDescent="0.25">
      <c r="A2565" s="2" t="s">
        <v>538</v>
      </c>
      <c r="B2565" s="3" t="s">
        <v>5015</v>
      </c>
      <c r="C2565" s="3">
        <v>47</v>
      </c>
      <c r="D2565" s="46" t="str">
        <f>IF(Tabla1[[#This Row],[EDAD]]&lt;=35,"Adultos jóvenes 18 - 35 años",IF(C2565&gt;=36,"Adultos mayores 36 años en adelante"))</f>
        <v>Adultos mayores 36 años en adelante</v>
      </c>
      <c r="E2565" s="3" t="s">
        <v>5023</v>
      </c>
      <c r="F2565" s="3" t="s">
        <v>5024</v>
      </c>
      <c r="G2565" s="3" t="s">
        <v>5036</v>
      </c>
      <c r="H2565" s="3" t="s">
        <v>5561</v>
      </c>
      <c r="I2565" s="17">
        <v>45809</v>
      </c>
      <c r="J2565" s="18">
        <f>YEAR(Tabla1[[#This Row],[FECHA DE COMPRA]])</f>
        <v>2025</v>
      </c>
      <c r="K2565" s="19">
        <v>19.309999999999999</v>
      </c>
      <c r="L2565" s="20">
        <v>0.1</v>
      </c>
      <c r="M2565" s="19">
        <f>Tienda!$K3311-Tienda!$K3311*Tienda!$L3311</f>
        <v>174</v>
      </c>
      <c r="N2565" s="3" t="s">
        <v>10039</v>
      </c>
      <c r="O2565" s="3" t="s">
        <v>10041</v>
      </c>
      <c r="P2565" s="17">
        <v>45809</v>
      </c>
      <c r="Q2565" s="4">
        <v>0</v>
      </c>
    </row>
    <row r="2566" spans="1:17" ht="30" x14ac:dyDescent="0.25">
      <c r="A2566" s="2" t="s">
        <v>54</v>
      </c>
      <c r="B2566" s="3" t="s">
        <v>5015</v>
      </c>
      <c r="C2566" s="3">
        <v>40</v>
      </c>
      <c r="D2566" s="46" t="str">
        <f>IF(Tabla1[[#This Row],[EDAD]]&lt;=35,"Adultos jóvenes 18 - 35 años",IF(C2566&gt;=36,"Adultos mayores 36 años en adelante"))</f>
        <v>Adultos mayores 36 años en adelante</v>
      </c>
      <c r="E2566" s="3" t="s">
        <v>5020</v>
      </c>
      <c r="F2566" s="3" t="s">
        <v>5029</v>
      </c>
      <c r="G2566" s="3" t="s">
        <v>5032</v>
      </c>
      <c r="H2566" s="3" t="s">
        <v>5077</v>
      </c>
      <c r="I2566" s="17">
        <v>45834</v>
      </c>
      <c r="J2566" s="18">
        <f>YEAR(Tabla1[[#This Row],[FECHA DE COMPRA]])</f>
        <v>2025</v>
      </c>
      <c r="K2566" s="19">
        <v>23.99</v>
      </c>
      <c r="L2566" s="20">
        <v>0</v>
      </c>
      <c r="M2566" s="19">
        <f>Tienda!$K3313-Tienda!$K3313*Tienda!$L3313</f>
        <v>176.68</v>
      </c>
      <c r="N2566" s="3" t="s">
        <v>10039</v>
      </c>
      <c r="O2566" s="3" t="s">
        <v>10041</v>
      </c>
      <c r="P2566" s="17">
        <v>45834</v>
      </c>
      <c r="Q2566" s="4">
        <v>0</v>
      </c>
    </row>
    <row r="2567" spans="1:17" ht="30" x14ac:dyDescent="0.25">
      <c r="A2567" s="2" t="s">
        <v>585</v>
      </c>
      <c r="B2567" s="3" t="s">
        <v>5015</v>
      </c>
      <c r="C2567" s="3">
        <v>49</v>
      </c>
      <c r="D2567" s="46" t="str">
        <f>IF(Tabla1[[#This Row],[EDAD]]&lt;=35,"Adultos jóvenes 18 - 35 años",IF(C2567&gt;=36,"Adultos mayores 36 años en adelante"))</f>
        <v>Adultos mayores 36 años en adelante</v>
      </c>
      <c r="E2567" s="3" t="s">
        <v>5018</v>
      </c>
      <c r="F2567" s="3" t="s">
        <v>5029</v>
      </c>
      <c r="G2567" s="3" t="s">
        <v>5035</v>
      </c>
      <c r="H2567" s="3" t="s">
        <v>5608</v>
      </c>
      <c r="I2567" s="17">
        <v>45837</v>
      </c>
      <c r="J2567" s="18">
        <f>YEAR(Tabla1[[#This Row],[FECHA DE COMPRA]])</f>
        <v>2025</v>
      </c>
      <c r="K2567" s="19">
        <v>28.66</v>
      </c>
      <c r="L2567" s="20">
        <v>0.1</v>
      </c>
      <c r="M2567" s="19">
        <f>Tienda!$K3315-Tienda!$K3315*Tienda!$L3315</f>
        <v>178.98</v>
      </c>
      <c r="N2567" s="3" t="s">
        <v>10039</v>
      </c>
      <c r="O2567" s="3" t="s">
        <v>10041</v>
      </c>
      <c r="P2567" s="17">
        <v>45837</v>
      </c>
      <c r="Q2567" s="4">
        <v>0</v>
      </c>
    </row>
    <row r="2568" spans="1:17" ht="30" x14ac:dyDescent="0.25">
      <c r="A2568" s="2" t="s">
        <v>291</v>
      </c>
      <c r="B2568" s="3" t="s">
        <v>5015</v>
      </c>
      <c r="C2568" s="3">
        <v>36</v>
      </c>
      <c r="D2568" s="46" t="str">
        <f>IF(Tabla1[[#This Row],[EDAD]]&lt;=35,"Adultos jóvenes 18 - 35 años",IF(C2568&gt;=36,"Adultos mayores 36 años en adelante"))</f>
        <v>Adultos mayores 36 años en adelante</v>
      </c>
      <c r="E2568" s="3" t="s">
        <v>5018</v>
      </c>
      <c r="F2568" s="3" t="s">
        <v>5026</v>
      </c>
      <c r="G2568" s="3" t="s">
        <v>5033</v>
      </c>
      <c r="H2568" s="3" t="s">
        <v>5314</v>
      </c>
      <c r="I2568" s="17">
        <v>45830</v>
      </c>
      <c r="J2568" s="18">
        <f>YEAR(Tabla1[[#This Row],[FECHA DE COMPRA]])</f>
        <v>2025</v>
      </c>
      <c r="K2568" s="19">
        <v>30.08</v>
      </c>
      <c r="L2568" s="20">
        <v>0.3</v>
      </c>
      <c r="M2568" s="19">
        <f>Tienda!$K3316-Tienda!$K3316*Tienda!$L3316</f>
        <v>179.00099999999998</v>
      </c>
      <c r="N2568" s="3" t="s">
        <v>10039</v>
      </c>
      <c r="O2568" s="3" t="s">
        <v>10041</v>
      </c>
      <c r="P2568" s="17">
        <v>45830</v>
      </c>
      <c r="Q2568" s="4">
        <v>0</v>
      </c>
    </row>
    <row r="2569" spans="1:17" ht="30" x14ac:dyDescent="0.25">
      <c r="A2569" s="2" t="s">
        <v>486</v>
      </c>
      <c r="B2569" s="3" t="s">
        <v>5016</v>
      </c>
      <c r="C2569" s="3">
        <v>62</v>
      </c>
      <c r="D2569" s="46" t="str">
        <f>IF(Tabla1[[#This Row],[EDAD]]&lt;=35,"Adultos jóvenes 18 - 35 años",IF(C2569&gt;=36,"Adultos mayores 36 años en adelante"))</f>
        <v>Adultos mayores 36 años en adelante</v>
      </c>
      <c r="E2569" s="3" t="s">
        <v>5019</v>
      </c>
      <c r="F2569" s="3" t="s">
        <v>5030</v>
      </c>
      <c r="G2569" s="3" t="s">
        <v>5036</v>
      </c>
      <c r="H2569" s="3" t="s">
        <v>5509</v>
      </c>
      <c r="I2569" s="17">
        <v>45811</v>
      </c>
      <c r="J2569" s="18">
        <f>YEAR(Tabla1[[#This Row],[FECHA DE COMPRA]])</f>
        <v>2025</v>
      </c>
      <c r="K2569" s="19">
        <v>31.54</v>
      </c>
      <c r="L2569" s="20">
        <v>0.3</v>
      </c>
      <c r="M2569" s="19">
        <f>Tienda!$K3317-Tienda!$K3317*Tienda!$L3317</f>
        <v>179.11799999999999</v>
      </c>
      <c r="N2569" s="3" t="s">
        <v>10039</v>
      </c>
      <c r="O2569" s="3" t="s">
        <v>10041</v>
      </c>
      <c r="P2569" s="17">
        <v>45811</v>
      </c>
      <c r="Q2569" s="4">
        <v>0</v>
      </c>
    </row>
    <row r="2570" spans="1:17" ht="30" x14ac:dyDescent="0.25">
      <c r="A2570" s="2" t="s">
        <v>4812</v>
      </c>
      <c r="B2570" s="3" t="s">
        <v>5015</v>
      </c>
      <c r="C2570" s="3">
        <v>63</v>
      </c>
      <c r="D2570" s="46" t="str">
        <f>IF(Tabla1[[#This Row],[EDAD]]&lt;=35,"Adultos jóvenes 18 - 35 años",IF(C2570&gt;=36,"Adultos mayores 36 años en adelante"))</f>
        <v>Adultos mayores 36 años en adelante</v>
      </c>
      <c r="E2570" s="3" t="s">
        <v>5018</v>
      </c>
      <c r="F2570" s="3" t="s">
        <v>5029</v>
      </c>
      <c r="G2570" s="3" t="s">
        <v>5035</v>
      </c>
      <c r="H2570" s="3" t="s">
        <v>9835</v>
      </c>
      <c r="I2570" s="17">
        <v>45834</v>
      </c>
      <c r="J2570" s="18">
        <f>YEAR(Tabla1[[#This Row],[FECHA DE COMPRA]])</f>
        <v>2025</v>
      </c>
      <c r="K2570" s="19">
        <v>36.25</v>
      </c>
      <c r="L2570" s="20">
        <v>0</v>
      </c>
      <c r="M2570" s="19">
        <f>Tienda!$K3318-Tienda!$K3318*Tienda!$L3318</f>
        <v>180.77</v>
      </c>
      <c r="N2570" s="3" t="s">
        <v>10039</v>
      </c>
      <c r="O2570" s="3" t="s">
        <v>10041</v>
      </c>
      <c r="P2570" s="17">
        <v>45834</v>
      </c>
      <c r="Q2570" s="4">
        <v>0</v>
      </c>
    </row>
    <row r="2571" spans="1:17" ht="30" x14ac:dyDescent="0.25">
      <c r="A2571" s="2" t="s">
        <v>1886</v>
      </c>
      <c r="B2571" s="3" t="s">
        <v>5016</v>
      </c>
      <c r="C2571" s="3">
        <v>55</v>
      </c>
      <c r="D2571" s="46" t="str">
        <f>IF(Tabla1[[#This Row],[EDAD]]&lt;=35,"Adultos jóvenes 18 - 35 años",IF(C2571&gt;=36,"Adultos mayores 36 años en adelante"))</f>
        <v>Adultos mayores 36 años en adelante</v>
      </c>
      <c r="E2571" s="3" t="s">
        <v>5023</v>
      </c>
      <c r="F2571" s="3" t="s">
        <v>5024</v>
      </c>
      <c r="G2571" s="3" t="s">
        <v>5031</v>
      </c>
      <c r="H2571" s="3" t="s">
        <v>6909</v>
      </c>
      <c r="I2571" s="17">
        <v>45813</v>
      </c>
      <c r="J2571" s="18">
        <f>YEAR(Tabla1[[#This Row],[FECHA DE COMPRA]])</f>
        <v>2025</v>
      </c>
      <c r="K2571" s="19">
        <v>50.65</v>
      </c>
      <c r="L2571" s="20">
        <v>0.2</v>
      </c>
      <c r="M2571" s="19">
        <f>Tienda!$K3321-Tienda!$K3321*Tienda!$L3321</f>
        <v>185.43</v>
      </c>
      <c r="N2571" s="3" t="s">
        <v>10039</v>
      </c>
      <c r="O2571" s="3" t="s">
        <v>10041</v>
      </c>
      <c r="P2571" s="17">
        <v>45813</v>
      </c>
      <c r="Q2571" s="4">
        <v>0</v>
      </c>
    </row>
    <row r="2572" spans="1:17" ht="30" x14ac:dyDescent="0.25">
      <c r="A2572" s="2" t="s">
        <v>4186</v>
      </c>
      <c r="B2572" s="3" t="s">
        <v>5015</v>
      </c>
      <c r="C2572" s="3">
        <v>55</v>
      </c>
      <c r="D2572" s="46" t="str">
        <f>IF(Tabla1[[#This Row],[EDAD]]&lt;=35,"Adultos jóvenes 18 - 35 años",IF(C2572&gt;=36,"Adultos mayores 36 años en adelante"))</f>
        <v>Adultos mayores 36 años en adelante</v>
      </c>
      <c r="E2572" s="3" t="s">
        <v>5023</v>
      </c>
      <c r="F2572" s="3" t="s">
        <v>5030</v>
      </c>
      <c r="G2572" s="3" t="s">
        <v>5031</v>
      </c>
      <c r="H2572" s="3" t="s">
        <v>9209</v>
      </c>
      <c r="I2572" s="17">
        <v>45826</v>
      </c>
      <c r="J2572" s="18">
        <f>YEAR(Tabla1[[#This Row],[FECHA DE COMPRA]])</f>
        <v>2025</v>
      </c>
      <c r="K2572" s="19">
        <v>53.64</v>
      </c>
      <c r="L2572" s="20">
        <v>0</v>
      </c>
      <c r="M2572" s="19">
        <f>Tienda!$K3322-Tienda!$K3322*Tienda!$L3322</f>
        <v>187.72</v>
      </c>
      <c r="N2572" s="3" t="s">
        <v>10039</v>
      </c>
      <c r="O2572" s="3" t="s">
        <v>10041</v>
      </c>
      <c r="P2572" s="17">
        <v>45826</v>
      </c>
      <c r="Q2572" s="4">
        <v>0</v>
      </c>
    </row>
    <row r="2573" spans="1:17" ht="30" x14ac:dyDescent="0.25">
      <c r="A2573" s="2" t="s">
        <v>3110</v>
      </c>
      <c r="B2573" s="3" t="s">
        <v>5016</v>
      </c>
      <c r="C2573" s="3">
        <v>36</v>
      </c>
      <c r="D2573" s="46" t="str">
        <f>IF(Tabla1[[#This Row],[EDAD]]&lt;=35,"Adultos jóvenes 18 - 35 años",IF(C2573&gt;=36,"Adultos mayores 36 años en adelante"))</f>
        <v>Adultos mayores 36 años en adelante</v>
      </c>
      <c r="E2573" s="3" t="s">
        <v>5023</v>
      </c>
      <c r="F2573" s="3" t="s">
        <v>5025</v>
      </c>
      <c r="G2573" s="3" t="s">
        <v>5037</v>
      </c>
      <c r="H2573" s="3" t="s">
        <v>8133</v>
      </c>
      <c r="I2573" s="17">
        <v>45838</v>
      </c>
      <c r="J2573" s="18">
        <f>YEAR(Tabla1[[#This Row],[FECHA DE COMPRA]])</f>
        <v>2025</v>
      </c>
      <c r="K2573" s="19">
        <v>56.93</v>
      </c>
      <c r="L2573" s="20">
        <v>0.3</v>
      </c>
      <c r="M2573" s="19">
        <f>Tienda!$K3323-Tienda!$K3323*Tienda!$L3323</f>
        <v>189.02</v>
      </c>
      <c r="N2573" s="3" t="s">
        <v>10039</v>
      </c>
      <c r="O2573" s="3" t="s">
        <v>10041</v>
      </c>
      <c r="P2573" s="17">
        <v>45838</v>
      </c>
      <c r="Q2573" s="4">
        <v>0</v>
      </c>
    </row>
    <row r="2574" spans="1:17" ht="30" x14ac:dyDescent="0.25">
      <c r="A2574" s="2" t="s">
        <v>1803</v>
      </c>
      <c r="B2574" s="3" t="s">
        <v>5016</v>
      </c>
      <c r="C2574" s="3">
        <v>41</v>
      </c>
      <c r="D2574" s="46" t="str">
        <f>IF(Tabla1[[#This Row],[EDAD]]&lt;=35,"Adultos jóvenes 18 - 35 años",IF(C2574&gt;=36,"Adultos mayores 36 años en adelante"))</f>
        <v>Adultos mayores 36 años en adelante</v>
      </c>
      <c r="E2574" s="3" t="s">
        <v>5019</v>
      </c>
      <c r="F2574" s="3" t="s">
        <v>5029</v>
      </c>
      <c r="G2574" s="3" t="s">
        <v>5034</v>
      </c>
      <c r="H2574" s="3" t="s">
        <v>6826</v>
      </c>
      <c r="I2574" s="17">
        <v>45814</v>
      </c>
      <c r="J2574" s="18">
        <f>YEAR(Tabla1[[#This Row],[FECHA DE COMPRA]])</f>
        <v>2025</v>
      </c>
      <c r="K2574" s="19">
        <v>64.42</v>
      </c>
      <c r="L2574" s="20">
        <v>0.1</v>
      </c>
      <c r="M2574" s="19">
        <f>Tienda!$K3326-Tienda!$K3326*Tienda!$L3326</f>
        <v>191.96</v>
      </c>
      <c r="N2574" s="3" t="s">
        <v>10039</v>
      </c>
      <c r="O2574" s="3" t="s">
        <v>10041</v>
      </c>
      <c r="P2574" s="17">
        <v>45814</v>
      </c>
      <c r="Q2574" s="4">
        <v>0</v>
      </c>
    </row>
    <row r="2575" spans="1:17" ht="30" x14ac:dyDescent="0.25">
      <c r="A2575" s="2" t="s">
        <v>3255</v>
      </c>
      <c r="B2575" s="3" t="s">
        <v>5015</v>
      </c>
      <c r="C2575" s="3">
        <v>53</v>
      </c>
      <c r="D2575" s="46" t="str">
        <f>IF(Tabla1[[#This Row],[EDAD]]&lt;=35,"Adultos jóvenes 18 - 35 años",IF(C2575&gt;=36,"Adultos mayores 36 años en adelante"))</f>
        <v>Adultos mayores 36 años en adelante</v>
      </c>
      <c r="E2575" s="3" t="s">
        <v>5020</v>
      </c>
      <c r="F2575" s="3" t="s">
        <v>5029</v>
      </c>
      <c r="G2575" s="3" t="s">
        <v>5031</v>
      </c>
      <c r="H2575" s="3" t="s">
        <v>8278</v>
      </c>
      <c r="I2575" s="17">
        <v>45825</v>
      </c>
      <c r="J2575" s="18">
        <f>YEAR(Tabla1[[#This Row],[FECHA DE COMPRA]])</f>
        <v>2025</v>
      </c>
      <c r="K2575" s="19">
        <v>68.83</v>
      </c>
      <c r="L2575" s="20">
        <v>0</v>
      </c>
      <c r="M2575" s="19">
        <f>Tienda!$K3327-Tienda!$K3327*Tienda!$L3327</f>
        <v>194.78</v>
      </c>
      <c r="N2575" s="3" t="s">
        <v>10039</v>
      </c>
      <c r="O2575" s="3" t="s">
        <v>10041</v>
      </c>
      <c r="P2575" s="17">
        <v>45825</v>
      </c>
      <c r="Q2575" s="4">
        <v>0</v>
      </c>
    </row>
    <row r="2576" spans="1:17" ht="30" x14ac:dyDescent="0.25">
      <c r="A2576" s="2" t="s">
        <v>1028</v>
      </c>
      <c r="B2576" s="3" t="s">
        <v>5015</v>
      </c>
      <c r="C2576" s="3">
        <v>40</v>
      </c>
      <c r="D2576" s="46" t="str">
        <f>IF(Tabla1[[#This Row],[EDAD]]&lt;=35,"Adultos jóvenes 18 - 35 años",IF(C2576&gt;=36,"Adultos mayores 36 años en adelante"))</f>
        <v>Adultos mayores 36 años en adelante</v>
      </c>
      <c r="E2576" s="3" t="s">
        <v>5020</v>
      </c>
      <c r="F2576" s="3" t="s">
        <v>5024</v>
      </c>
      <c r="G2576" s="3" t="s">
        <v>5033</v>
      </c>
      <c r="H2576" s="3" t="s">
        <v>6051</v>
      </c>
      <c r="I2576" s="17">
        <v>45836</v>
      </c>
      <c r="J2576" s="18">
        <f>YEAR(Tabla1[[#This Row],[FECHA DE COMPRA]])</f>
        <v>2025</v>
      </c>
      <c r="K2576" s="19">
        <v>75.03</v>
      </c>
      <c r="L2576" s="20">
        <v>0.2</v>
      </c>
      <c r="M2576" s="19">
        <f>Tienda!$K3329-Tienda!$K3329*Tienda!$L3329</f>
        <v>195.85</v>
      </c>
      <c r="N2576" s="3" t="s">
        <v>10039</v>
      </c>
      <c r="O2576" s="3" t="s">
        <v>10041</v>
      </c>
      <c r="P2576" s="17">
        <v>45836</v>
      </c>
      <c r="Q2576" s="4">
        <v>0</v>
      </c>
    </row>
    <row r="2577" spans="1:17" ht="30" x14ac:dyDescent="0.25">
      <c r="A2577" s="2" t="s">
        <v>3408</v>
      </c>
      <c r="B2577" s="3" t="s">
        <v>5015</v>
      </c>
      <c r="C2577" s="3">
        <v>52</v>
      </c>
      <c r="D2577" s="46" t="str">
        <f>IF(Tabla1[[#This Row],[EDAD]]&lt;=35,"Adultos jóvenes 18 - 35 años",IF(C2577&gt;=36,"Adultos mayores 36 años en adelante"))</f>
        <v>Adultos mayores 36 años en adelante</v>
      </c>
      <c r="E2577" s="3" t="s">
        <v>5018</v>
      </c>
      <c r="F2577" s="3" t="s">
        <v>5030</v>
      </c>
      <c r="G2577" s="3" t="s">
        <v>5036</v>
      </c>
      <c r="H2577" s="3" t="s">
        <v>8431</v>
      </c>
      <c r="I2577" s="17">
        <v>45820</v>
      </c>
      <c r="J2577" s="18">
        <f>YEAR(Tabla1[[#This Row],[FECHA DE COMPRA]])</f>
        <v>2025</v>
      </c>
      <c r="K2577" s="19">
        <v>77.36</v>
      </c>
      <c r="L2577" s="20">
        <v>0</v>
      </c>
      <c r="M2577" s="19">
        <f>Tienda!$K3330-Tienda!$K3330*Tienda!$L3330</f>
        <v>132.29300000000001</v>
      </c>
      <c r="N2577" s="3" t="s">
        <v>10039</v>
      </c>
      <c r="O2577" s="3" t="s">
        <v>10041</v>
      </c>
      <c r="P2577" s="17">
        <v>45820</v>
      </c>
      <c r="Q2577" s="4">
        <v>0</v>
      </c>
    </row>
    <row r="2578" spans="1:17" ht="30" x14ac:dyDescent="0.25">
      <c r="A2578" s="2" t="s">
        <v>1352</v>
      </c>
      <c r="B2578" s="3" t="s">
        <v>5015</v>
      </c>
      <c r="C2578" s="3">
        <v>46</v>
      </c>
      <c r="D2578" s="46" t="str">
        <f>IF(Tabla1[[#This Row],[EDAD]]&lt;=35,"Adultos jóvenes 18 - 35 años",IF(C2578&gt;=36,"Adultos mayores 36 años en adelante"))</f>
        <v>Adultos mayores 36 años en adelante</v>
      </c>
      <c r="E2578" s="3" t="s">
        <v>5022</v>
      </c>
      <c r="F2578" s="3" t="s">
        <v>5028</v>
      </c>
      <c r="G2578" s="3" t="s">
        <v>5034</v>
      </c>
      <c r="H2578" s="3" t="s">
        <v>6375</v>
      </c>
      <c r="I2578" s="17">
        <v>45820</v>
      </c>
      <c r="J2578" s="18">
        <f>YEAR(Tabla1[[#This Row],[FECHA DE COMPRA]])</f>
        <v>2025</v>
      </c>
      <c r="K2578" s="19">
        <v>83.35</v>
      </c>
      <c r="L2578" s="20">
        <v>0.2</v>
      </c>
      <c r="M2578" s="19">
        <f>Tienda!$K3331-Tienda!$K3331*Tienda!$L3331</f>
        <v>137.50800000000001</v>
      </c>
      <c r="N2578" s="3" t="s">
        <v>10039</v>
      </c>
      <c r="O2578" s="3" t="s">
        <v>10041</v>
      </c>
      <c r="P2578" s="17">
        <v>45820</v>
      </c>
      <c r="Q2578" s="4">
        <v>0</v>
      </c>
    </row>
    <row r="2579" spans="1:17" ht="30" x14ac:dyDescent="0.25">
      <c r="A2579" s="2" t="s">
        <v>3175</v>
      </c>
      <c r="B2579" s="3" t="s">
        <v>5015</v>
      </c>
      <c r="C2579" s="3">
        <v>38</v>
      </c>
      <c r="D2579" s="46" t="str">
        <f>IF(Tabla1[[#This Row],[EDAD]]&lt;=35,"Adultos jóvenes 18 - 35 años",IF(C2579&gt;=36,"Adultos mayores 36 años en adelante"))</f>
        <v>Adultos mayores 36 años en adelante</v>
      </c>
      <c r="E2579" s="3" t="s">
        <v>5022</v>
      </c>
      <c r="F2579" s="3" t="s">
        <v>5027</v>
      </c>
      <c r="G2579" s="3" t="s">
        <v>5035</v>
      </c>
      <c r="H2579" s="3" t="s">
        <v>8198</v>
      </c>
      <c r="I2579" s="17">
        <v>45810</v>
      </c>
      <c r="J2579" s="18">
        <f>YEAR(Tabla1[[#This Row],[FECHA DE COMPRA]])</f>
        <v>2025</v>
      </c>
      <c r="K2579" s="19">
        <v>83.67</v>
      </c>
      <c r="L2579" s="20">
        <v>0.1</v>
      </c>
      <c r="M2579" s="19">
        <f>Tienda!$K3332-Tienda!$K3332*Tienda!$L3332</f>
        <v>177.696</v>
      </c>
      <c r="N2579" s="3" t="s">
        <v>10039</v>
      </c>
      <c r="O2579" s="3" t="s">
        <v>10041</v>
      </c>
      <c r="P2579" s="17">
        <v>45810</v>
      </c>
      <c r="Q2579" s="4">
        <v>0</v>
      </c>
    </row>
    <row r="2580" spans="1:17" ht="30" x14ac:dyDescent="0.25">
      <c r="A2580" s="2" t="s">
        <v>4455</v>
      </c>
      <c r="B2580" s="3" t="s">
        <v>5015</v>
      </c>
      <c r="C2580" s="3">
        <v>58</v>
      </c>
      <c r="D2580" s="46" t="str">
        <f>IF(Tabla1[[#This Row],[EDAD]]&lt;=35,"Adultos jóvenes 18 - 35 años",IF(C2580&gt;=36,"Adultos mayores 36 años en adelante"))</f>
        <v>Adultos mayores 36 años en adelante</v>
      </c>
      <c r="E2580" s="3" t="s">
        <v>5020</v>
      </c>
      <c r="F2580" s="3" t="s">
        <v>5028</v>
      </c>
      <c r="G2580" s="3" t="s">
        <v>5031</v>
      </c>
      <c r="H2580" s="3" t="s">
        <v>9478</v>
      </c>
      <c r="I2580" s="17">
        <v>45817</v>
      </c>
      <c r="J2580" s="18">
        <f>YEAR(Tabla1[[#This Row],[FECHA DE COMPRA]])</f>
        <v>2025</v>
      </c>
      <c r="K2580" s="19">
        <v>83.92</v>
      </c>
      <c r="L2580" s="20">
        <v>0.1</v>
      </c>
      <c r="M2580" s="19">
        <f>Tienda!$K3333-Tienda!$K3333*Tienda!$L3333</f>
        <v>98.567000000000007</v>
      </c>
      <c r="N2580" s="3" t="s">
        <v>10039</v>
      </c>
      <c r="O2580" s="3" t="s">
        <v>10041</v>
      </c>
      <c r="P2580" s="17">
        <v>45817</v>
      </c>
      <c r="Q2580" s="4">
        <v>0</v>
      </c>
    </row>
    <row r="2581" spans="1:17" ht="30" x14ac:dyDescent="0.25">
      <c r="A2581" s="2" t="s">
        <v>393</v>
      </c>
      <c r="B2581" s="3" t="s">
        <v>5016</v>
      </c>
      <c r="C2581" s="3">
        <v>54</v>
      </c>
      <c r="D2581" s="46" t="str">
        <f>IF(Tabla1[[#This Row],[EDAD]]&lt;=35,"Adultos jóvenes 18 - 35 años",IF(C2581&gt;=36,"Adultos mayores 36 años en adelante"))</f>
        <v>Adultos mayores 36 años en adelante</v>
      </c>
      <c r="E2581" s="3" t="s">
        <v>5021</v>
      </c>
      <c r="F2581" s="3" t="s">
        <v>5025</v>
      </c>
      <c r="G2581" s="3" t="s">
        <v>5032</v>
      </c>
      <c r="H2581" s="3" t="s">
        <v>5416</v>
      </c>
      <c r="I2581" s="17">
        <v>45815</v>
      </c>
      <c r="J2581" s="18">
        <f>YEAR(Tabla1[[#This Row],[FECHA DE COMPRA]])</f>
        <v>2025</v>
      </c>
      <c r="K2581" s="19">
        <v>86.58</v>
      </c>
      <c r="L2581" s="20">
        <v>0</v>
      </c>
      <c r="M2581" s="19">
        <f>Tienda!$K3334-Tienda!$K3334*Tienda!$L3334</f>
        <v>106.968</v>
      </c>
      <c r="N2581" s="3" t="s">
        <v>10039</v>
      </c>
      <c r="O2581" s="3" t="s">
        <v>10041</v>
      </c>
      <c r="P2581" s="17">
        <v>45815</v>
      </c>
      <c r="Q2581" s="4">
        <v>0</v>
      </c>
    </row>
    <row r="2582" spans="1:17" ht="30" x14ac:dyDescent="0.25">
      <c r="A2582" s="2" t="s">
        <v>4998</v>
      </c>
      <c r="B2582" s="3" t="s">
        <v>5016</v>
      </c>
      <c r="C2582" s="3">
        <v>49</v>
      </c>
      <c r="D2582" s="46" t="str">
        <f>IF(Tabla1[[#This Row],[EDAD]]&lt;=35,"Adultos jóvenes 18 - 35 años",IF(C2582&gt;=36,"Adultos mayores 36 años en adelante"))</f>
        <v>Adultos mayores 36 años en adelante</v>
      </c>
      <c r="E2582" s="3" t="s">
        <v>5019</v>
      </c>
      <c r="F2582" s="3" t="s">
        <v>5028</v>
      </c>
      <c r="G2582" s="3" t="s">
        <v>5035</v>
      </c>
      <c r="H2582" s="3" t="s">
        <v>10021</v>
      </c>
      <c r="I2582" s="17">
        <v>45822</v>
      </c>
      <c r="J2582" s="18">
        <f>YEAR(Tabla1[[#This Row],[FECHA DE COMPRA]])</f>
        <v>2025</v>
      </c>
      <c r="K2582" s="19">
        <v>95.41</v>
      </c>
      <c r="L2582" s="20">
        <v>0.3</v>
      </c>
      <c r="M2582" s="19">
        <f>Tienda!$K3338-Tienda!$K3338*Tienda!$L3338</f>
        <v>147.096</v>
      </c>
      <c r="N2582" s="3" t="s">
        <v>10039</v>
      </c>
      <c r="O2582" s="3" t="s">
        <v>10041</v>
      </c>
      <c r="P2582" s="17">
        <v>45822</v>
      </c>
      <c r="Q2582" s="4">
        <v>0</v>
      </c>
    </row>
    <row r="2583" spans="1:17" ht="30" x14ac:dyDescent="0.25">
      <c r="A2583" s="2" t="s">
        <v>1461</v>
      </c>
      <c r="B2583" s="3" t="s">
        <v>5016</v>
      </c>
      <c r="C2583" s="3">
        <v>47</v>
      </c>
      <c r="D2583" s="46" t="str">
        <f>IF(Tabla1[[#This Row],[EDAD]]&lt;=35,"Adultos jóvenes 18 - 35 años",IF(C2583&gt;=36,"Adultos mayores 36 años en adelante"))</f>
        <v>Adultos mayores 36 años en adelante</v>
      </c>
      <c r="E2583" s="3" t="s">
        <v>5023</v>
      </c>
      <c r="F2583" s="3" t="s">
        <v>5028</v>
      </c>
      <c r="G2583" s="3" t="s">
        <v>5034</v>
      </c>
      <c r="H2583" s="3" t="s">
        <v>6484</v>
      </c>
      <c r="I2583" s="17">
        <v>45823</v>
      </c>
      <c r="J2583" s="18">
        <f>YEAR(Tabla1[[#This Row],[FECHA DE COMPRA]])</f>
        <v>2025</v>
      </c>
      <c r="K2583" s="19">
        <v>96</v>
      </c>
      <c r="L2583" s="20">
        <v>0.3</v>
      </c>
      <c r="M2583" s="19">
        <f>Tienda!$K3339-Tienda!$K3339*Tienda!$L3339</f>
        <v>120.46400000000001</v>
      </c>
      <c r="N2583" s="3" t="s">
        <v>10039</v>
      </c>
      <c r="O2583" s="3" t="s">
        <v>10041</v>
      </c>
      <c r="P2583" s="17">
        <v>45823</v>
      </c>
      <c r="Q2583" s="4">
        <v>0</v>
      </c>
    </row>
    <row r="2584" spans="1:17" ht="30" x14ac:dyDescent="0.25">
      <c r="A2584" s="2" t="s">
        <v>2708</v>
      </c>
      <c r="B2584" s="3" t="s">
        <v>5015</v>
      </c>
      <c r="C2584" s="3">
        <v>58</v>
      </c>
      <c r="D2584" s="46" t="str">
        <f>IF(Tabla1[[#This Row],[EDAD]]&lt;=35,"Adultos jóvenes 18 - 35 años",IF(C2584&gt;=36,"Adultos mayores 36 años en adelante"))</f>
        <v>Adultos mayores 36 años en adelante</v>
      </c>
      <c r="E2584" s="3" t="s">
        <v>5018</v>
      </c>
      <c r="F2584" s="3" t="s">
        <v>5024</v>
      </c>
      <c r="G2584" s="3" t="s">
        <v>5034</v>
      </c>
      <c r="H2584" s="3" t="s">
        <v>7731</v>
      </c>
      <c r="I2584" s="17">
        <v>45827</v>
      </c>
      <c r="J2584" s="18">
        <f>YEAR(Tabla1[[#This Row],[FECHA DE COMPRA]])</f>
        <v>2025</v>
      </c>
      <c r="K2584" s="19">
        <v>117.68</v>
      </c>
      <c r="L2584" s="20">
        <v>0.1</v>
      </c>
      <c r="M2584" s="19">
        <f>Tienda!$K3340-Tienda!$K3340*Tienda!$L3340</f>
        <v>171.54</v>
      </c>
      <c r="N2584" s="3" t="s">
        <v>10039</v>
      </c>
      <c r="O2584" s="3" t="s">
        <v>10041</v>
      </c>
      <c r="P2584" s="17">
        <v>45827</v>
      </c>
      <c r="Q2584" s="4">
        <v>0</v>
      </c>
    </row>
    <row r="2585" spans="1:17" ht="30" x14ac:dyDescent="0.25">
      <c r="A2585" s="2" t="s">
        <v>4050</v>
      </c>
      <c r="B2585" s="3" t="s">
        <v>5015</v>
      </c>
      <c r="C2585" s="3">
        <v>56</v>
      </c>
      <c r="D2585" s="46" t="str">
        <f>IF(Tabla1[[#This Row],[EDAD]]&lt;=35,"Adultos jóvenes 18 - 35 años",IF(C2585&gt;=36,"Adultos mayores 36 años en adelante"))</f>
        <v>Adultos mayores 36 años en adelante</v>
      </c>
      <c r="E2585" s="3" t="s">
        <v>5022</v>
      </c>
      <c r="F2585" s="3" t="s">
        <v>5026</v>
      </c>
      <c r="G2585" s="3" t="s">
        <v>5034</v>
      </c>
      <c r="H2585" s="3" t="s">
        <v>9073</v>
      </c>
      <c r="I2585" s="17">
        <v>45836</v>
      </c>
      <c r="J2585" s="18">
        <f>YEAR(Tabla1[[#This Row],[FECHA DE COMPRA]])</f>
        <v>2025</v>
      </c>
      <c r="K2585" s="19">
        <v>121.45</v>
      </c>
      <c r="L2585" s="20">
        <v>0.2</v>
      </c>
      <c r="M2585" s="19">
        <f>Tienda!$K3341-Tienda!$K3341*Tienda!$L3341</f>
        <v>38.073</v>
      </c>
      <c r="N2585" s="3" t="s">
        <v>10039</v>
      </c>
      <c r="O2585" s="3" t="s">
        <v>10041</v>
      </c>
      <c r="P2585" s="17">
        <v>45836</v>
      </c>
      <c r="Q2585" s="4">
        <v>0</v>
      </c>
    </row>
    <row r="2586" spans="1:17" ht="30" x14ac:dyDescent="0.25">
      <c r="A2586" s="2" t="s">
        <v>3412</v>
      </c>
      <c r="B2586" s="3" t="s">
        <v>5015</v>
      </c>
      <c r="C2586" s="3">
        <v>53</v>
      </c>
      <c r="D2586" s="46" t="str">
        <f>IF(Tabla1[[#This Row],[EDAD]]&lt;=35,"Adultos jóvenes 18 - 35 años",IF(C2586&gt;=36,"Adultos mayores 36 años en adelante"))</f>
        <v>Adultos mayores 36 años en adelante</v>
      </c>
      <c r="E2586" s="3" t="s">
        <v>5020</v>
      </c>
      <c r="F2586" s="3" t="s">
        <v>5029</v>
      </c>
      <c r="G2586" s="3" t="s">
        <v>5037</v>
      </c>
      <c r="H2586" s="3" t="s">
        <v>8435</v>
      </c>
      <c r="I2586" s="17">
        <v>45811</v>
      </c>
      <c r="J2586" s="18">
        <f>YEAR(Tabla1[[#This Row],[FECHA DE COMPRA]])</f>
        <v>2025</v>
      </c>
      <c r="K2586" s="19">
        <v>128.9</v>
      </c>
      <c r="L2586" s="20">
        <v>0.1</v>
      </c>
      <c r="M2586" s="19">
        <f>Tienda!$K3345-Tienda!$K3345*Tienda!$L3345</f>
        <v>112.26599999999999</v>
      </c>
      <c r="N2586" s="3" t="s">
        <v>10039</v>
      </c>
      <c r="O2586" s="3" t="s">
        <v>10041</v>
      </c>
      <c r="P2586" s="17">
        <v>45811</v>
      </c>
      <c r="Q2586" s="4">
        <v>0</v>
      </c>
    </row>
    <row r="2587" spans="1:17" ht="30" x14ac:dyDescent="0.25">
      <c r="A2587" s="2" t="s">
        <v>1990</v>
      </c>
      <c r="B2587" s="3" t="s">
        <v>5015</v>
      </c>
      <c r="C2587" s="3">
        <v>47</v>
      </c>
      <c r="D2587" s="46" t="str">
        <f>IF(Tabla1[[#This Row],[EDAD]]&lt;=35,"Adultos jóvenes 18 - 35 años",IF(C2587&gt;=36,"Adultos mayores 36 años en adelante"))</f>
        <v>Adultos mayores 36 años en adelante</v>
      </c>
      <c r="E2587" s="3" t="s">
        <v>5020</v>
      </c>
      <c r="F2587" s="3" t="s">
        <v>5028</v>
      </c>
      <c r="G2587" s="3" t="s">
        <v>5032</v>
      </c>
      <c r="H2587" s="3" t="s">
        <v>7013</v>
      </c>
      <c r="I2587" s="17">
        <v>45830</v>
      </c>
      <c r="J2587" s="18">
        <f>YEAR(Tabla1[[#This Row],[FECHA DE COMPRA]])</f>
        <v>2025</v>
      </c>
      <c r="K2587" s="19">
        <v>129.66999999999999</v>
      </c>
      <c r="L2587" s="20">
        <v>0.1</v>
      </c>
      <c r="M2587" s="19">
        <f>Tienda!$K3346-Tienda!$K3346*Tienda!$L3346</f>
        <v>21.048999999999999</v>
      </c>
      <c r="N2587" s="3" t="s">
        <v>10039</v>
      </c>
      <c r="O2587" s="3" t="s">
        <v>10041</v>
      </c>
      <c r="P2587" s="17">
        <v>45830</v>
      </c>
      <c r="Q2587" s="4">
        <v>0</v>
      </c>
    </row>
    <row r="2588" spans="1:17" ht="30" x14ac:dyDescent="0.25">
      <c r="A2588" s="2" t="s">
        <v>4067</v>
      </c>
      <c r="B2588" s="3" t="s">
        <v>5015</v>
      </c>
      <c r="C2588" s="3">
        <v>49</v>
      </c>
      <c r="D2588" s="46" t="str">
        <f>IF(Tabla1[[#This Row],[EDAD]]&lt;=35,"Adultos jóvenes 18 - 35 años",IF(C2588&gt;=36,"Adultos mayores 36 años en adelante"))</f>
        <v>Adultos mayores 36 años en adelante</v>
      </c>
      <c r="E2588" s="3" t="s">
        <v>5022</v>
      </c>
      <c r="F2588" s="3" t="s">
        <v>5026</v>
      </c>
      <c r="G2588" s="3" t="s">
        <v>5033</v>
      </c>
      <c r="H2588" s="3" t="s">
        <v>9090</v>
      </c>
      <c r="I2588" s="17">
        <v>45818</v>
      </c>
      <c r="J2588" s="18">
        <f>YEAR(Tabla1[[#This Row],[FECHA DE COMPRA]])</f>
        <v>2025</v>
      </c>
      <c r="K2588" s="19">
        <v>134.16999999999999</v>
      </c>
      <c r="L2588" s="20">
        <v>0.1</v>
      </c>
      <c r="M2588" s="19">
        <f>Tienda!$K3347-Tienda!$K3347*Tienda!$L3347</f>
        <v>131.83199999999999</v>
      </c>
      <c r="N2588" s="3" t="s">
        <v>10039</v>
      </c>
      <c r="O2588" s="3" t="s">
        <v>10041</v>
      </c>
      <c r="P2588" s="17">
        <v>45818</v>
      </c>
      <c r="Q2588" s="4">
        <v>0</v>
      </c>
    </row>
    <row r="2589" spans="1:17" ht="30" x14ac:dyDescent="0.25">
      <c r="A2589" s="2" t="s">
        <v>4089</v>
      </c>
      <c r="B2589" s="3" t="s">
        <v>5015</v>
      </c>
      <c r="C2589" s="3">
        <v>40</v>
      </c>
      <c r="D2589" s="46" t="str">
        <f>IF(Tabla1[[#This Row],[EDAD]]&lt;=35,"Adultos jóvenes 18 - 35 años",IF(C2589&gt;=36,"Adultos mayores 36 años en adelante"))</f>
        <v>Adultos mayores 36 años en adelante</v>
      </c>
      <c r="E2589" s="3" t="s">
        <v>5019</v>
      </c>
      <c r="F2589" s="3" t="s">
        <v>5028</v>
      </c>
      <c r="G2589" s="3" t="s">
        <v>5037</v>
      </c>
      <c r="H2589" s="3" t="s">
        <v>9112</v>
      </c>
      <c r="I2589" s="17">
        <v>45828</v>
      </c>
      <c r="J2589" s="18">
        <f>YEAR(Tabla1[[#This Row],[FECHA DE COMPRA]])</f>
        <v>2025</v>
      </c>
      <c r="K2589" s="19">
        <v>135.91999999999999</v>
      </c>
      <c r="L2589" s="20">
        <v>0.2</v>
      </c>
      <c r="M2589" s="19">
        <f>Tienda!$K3348-Tienda!$K3348*Tienda!$L3348</f>
        <v>34.201999999999998</v>
      </c>
      <c r="N2589" s="3" t="s">
        <v>10039</v>
      </c>
      <c r="O2589" s="3" t="s">
        <v>10041</v>
      </c>
      <c r="P2589" s="17">
        <v>45828</v>
      </c>
      <c r="Q2589" s="4">
        <v>0</v>
      </c>
    </row>
    <row r="2590" spans="1:17" ht="30" x14ac:dyDescent="0.25">
      <c r="A2590" s="2" t="s">
        <v>328</v>
      </c>
      <c r="B2590" s="3" t="s">
        <v>5015</v>
      </c>
      <c r="C2590" s="3">
        <v>44</v>
      </c>
      <c r="D2590" s="46" t="str">
        <f>IF(Tabla1[[#This Row],[EDAD]]&lt;=35,"Adultos jóvenes 18 - 35 años",IF(C2590&gt;=36,"Adultos mayores 36 años en adelante"))</f>
        <v>Adultos mayores 36 años en adelante</v>
      </c>
      <c r="E2590" s="3" t="s">
        <v>5020</v>
      </c>
      <c r="F2590" s="3" t="s">
        <v>5027</v>
      </c>
      <c r="G2590" s="3" t="s">
        <v>5034</v>
      </c>
      <c r="H2590" s="3" t="s">
        <v>5351</v>
      </c>
      <c r="I2590" s="17">
        <v>45826</v>
      </c>
      <c r="J2590" s="18">
        <f>YEAR(Tabla1[[#This Row],[FECHA DE COMPRA]])</f>
        <v>2025</v>
      </c>
      <c r="K2590" s="19">
        <v>140.30000000000001</v>
      </c>
      <c r="L2590" s="20">
        <v>0</v>
      </c>
      <c r="M2590" s="19">
        <f>Tienda!$K3350-Tienda!$K3350*Tienda!$L3350</f>
        <v>10.998000000000001</v>
      </c>
      <c r="N2590" s="3" t="s">
        <v>10039</v>
      </c>
      <c r="O2590" s="3" t="s">
        <v>10041</v>
      </c>
      <c r="P2590" s="17">
        <v>45826</v>
      </c>
      <c r="Q2590" s="4">
        <v>0</v>
      </c>
    </row>
    <row r="2591" spans="1:17" ht="30" x14ac:dyDescent="0.25">
      <c r="A2591" s="2" t="s">
        <v>4101</v>
      </c>
      <c r="B2591" s="3" t="s">
        <v>5016</v>
      </c>
      <c r="C2591" s="3">
        <v>58</v>
      </c>
      <c r="D2591" s="46" t="str">
        <f>IF(Tabla1[[#This Row],[EDAD]]&lt;=35,"Adultos jóvenes 18 - 35 años",IF(C2591&gt;=36,"Adultos mayores 36 años en adelante"))</f>
        <v>Adultos mayores 36 años en adelante</v>
      </c>
      <c r="E2591" s="3" t="s">
        <v>5023</v>
      </c>
      <c r="F2591" s="3" t="s">
        <v>5026</v>
      </c>
      <c r="G2591" s="3" t="s">
        <v>5031</v>
      </c>
      <c r="H2591" s="3" t="s">
        <v>9124</v>
      </c>
      <c r="I2591" s="17">
        <v>45826</v>
      </c>
      <c r="J2591" s="18">
        <f>YEAR(Tabla1[[#This Row],[FECHA DE COMPRA]])</f>
        <v>2025</v>
      </c>
      <c r="K2591" s="19">
        <v>144.16</v>
      </c>
      <c r="L2591" s="20">
        <v>0.2</v>
      </c>
      <c r="M2591" s="19">
        <f>Tienda!$K3352-Tienda!$K3352*Tienda!$L3352</f>
        <v>20.39</v>
      </c>
      <c r="N2591" s="3" t="s">
        <v>10039</v>
      </c>
      <c r="O2591" s="3" t="s">
        <v>10041</v>
      </c>
      <c r="P2591" s="17">
        <v>45826</v>
      </c>
      <c r="Q2591" s="4">
        <v>0</v>
      </c>
    </row>
    <row r="2592" spans="1:17" ht="30" x14ac:dyDescent="0.25">
      <c r="A2592" s="2" t="s">
        <v>3524</v>
      </c>
      <c r="B2592" s="3" t="s">
        <v>5015</v>
      </c>
      <c r="C2592" s="3">
        <v>58</v>
      </c>
      <c r="D2592" s="46" t="str">
        <f>IF(Tabla1[[#This Row],[EDAD]]&lt;=35,"Adultos jóvenes 18 - 35 años",IF(C2592&gt;=36,"Adultos mayores 36 años en adelante"))</f>
        <v>Adultos mayores 36 años en adelante</v>
      </c>
      <c r="E2592" s="3" t="s">
        <v>5018</v>
      </c>
      <c r="F2592" s="3" t="s">
        <v>5029</v>
      </c>
      <c r="G2592" s="3" t="s">
        <v>5035</v>
      </c>
      <c r="H2592" s="3" t="s">
        <v>8547</v>
      </c>
      <c r="I2592" s="17">
        <v>45832</v>
      </c>
      <c r="J2592" s="18">
        <f>YEAR(Tabla1[[#This Row],[FECHA DE COMPRA]])</f>
        <v>2025</v>
      </c>
      <c r="K2592" s="19">
        <v>147.15</v>
      </c>
      <c r="L2592" s="20">
        <v>0.2</v>
      </c>
      <c r="M2592" s="19">
        <f>Tienda!$K3353-Tienda!$K3353*Tienda!$L3353</f>
        <v>20.106000000000002</v>
      </c>
      <c r="N2592" s="3" t="s">
        <v>10039</v>
      </c>
      <c r="O2592" s="3" t="s">
        <v>10041</v>
      </c>
      <c r="P2592" s="17">
        <v>45832</v>
      </c>
      <c r="Q2592" s="4">
        <v>0</v>
      </c>
    </row>
    <row r="2593" spans="1:17" ht="30" x14ac:dyDescent="0.25">
      <c r="A2593" s="2" t="s">
        <v>1246</v>
      </c>
      <c r="B2593" s="3" t="s">
        <v>5015</v>
      </c>
      <c r="C2593" s="3">
        <v>58</v>
      </c>
      <c r="D2593" s="46" t="str">
        <f>IF(Tabla1[[#This Row],[EDAD]]&lt;=35,"Adultos jóvenes 18 - 35 años",IF(C2593&gt;=36,"Adultos mayores 36 años en adelante"))</f>
        <v>Adultos mayores 36 años en adelante</v>
      </c>
      <c r="E2593" s="3" t="s">
        <v>5021</v>
      </c>
      <c r="F2593" s="3" t="s">
        <v>5029</v>
      </c>
      <c r="G2593" s="3" t="s">
        <v>5036</v>
      </c>
      <c r="H2593" s="3" t="s">
        <v>6269</v>
      </c>
      <c r="I2593" s="17">
        <v>45816</v>
      </c>
      <c r="J2593" s="18">
        <f>YEAR(Tabla1[[#This Row],[FECHA DE COMPRA]])</f>
        <v>2025</v>
      </c>
      <c r="K2593" s="19">
        <v>149.37</v>
      </c>
      <c r="L2593" s="20">
        <v>0.3</v>
      </c>
      <c r="M2593" s="19">
        <f>Tienda!$K3354-Tienda!$K3354*Tienda!$L3354</f>
        <v>22.92</v>
      </c>
      <c r="N2593" s="3" t="s">
        <v>10039</v>
      </c>
      <c r="O2593" s="3" t="s">
        <v>10041</v>
      </c>
      <c r="P2593" s="17">
        <v>45816</v>
      </c>
      <c r="Q2593" s="4">
        <v>0</v>
      </c>
    </row>
    <row r="2594" spans="1:17" ht="30" x14ac:dyDescent="0.25">
      <c r="A2594" s="2" t="s">
        <v>2246</v>
      </c>
      <c r="B2594" s="3" t="s">
        <v>5015</v>
      </c>
      <c r="C2594" s="3">
        <v>63</v>
      </c>
      <c r="D2594" s="46" t="str">
        <f>IF(Tabla1[[#This Row],[EDAD]]&lt;=35,"Adultos jóvenes 18 - 35 años",IF(C2594&gt;=36,"Adultos mayores 36 años en adelante"))</f>
        <v>Adultos mayores 36 años en adelante</v>
      </c>
      <c r="E2594" s="3" t="s">
        <v>5021</v>
      </c>
      <c r="F2594" s="3" t="s">
        <v>5025</v>
      </c>
      <c r="G2594" s="3" t="s">
        <v>5031</v>
      </c>
      <c r="H2594" s="3" t="s">
        <v>7269</v>
      </c>
      <c r="I2594" s="17">
        <v>45834</v>
      </c>
      <c r="J2594" s="18">
        <f>YEAR(Tabla1[[#This Row],[FECHA DE COMPRA]])</f>
        <v>2025</v>
      </c>
      <c r="K2594" s="19">
        <v>158</v>
      </c>
      <c r="L2594" s="20">
        <v>0.1</v>
      </c>
      <c r="M2594" s="19">
        <f>Tienda!$K3359-Tienda!$K3359*Tienda!$L3359</f>
        <v>46.34</v>
      </c>
      <c r="N2594" s="3" t="s">
        <v>10039</v>
      </c>
      <c r="O2594" s="3" t="s">
        <v>10041</v>
      </c>
      <c r="P2594" s="17">
        <v>45834</v>
      </c>
      <c r="Q2594" s="4">
        <v>0</v>
      </c>
    </row>
    <row r="2595" spans="1:17" ht="30" x14ac:dyDescent="0.25">
      <c r="A2595" s="2" t="s">
        <v>4385</v>
      </c>
      <c r="B2595" s="3" t="s">
        <v>5016</v>
      </c>
      <c r="C2595" s="3">
        <v>48</v>
      </c>
      <c r="D2595" s="46" t="str">
        <f>IF(Tabla1[[#This Row],[EDAD]]&lt;=35,"Adultos jóvenes 18 - 35 años",IF(C2595&gt;=36,"Adultos mayores 36 años en adelante"))</f>
        <v>Adultos mayores 36 años en adelante</v>
      </c>
      <c r="E2595" s="3" t="s">
        <v>5023</v>
      </c>
      <c r="F2595" s="3" t="s">
        <v>5027</v>
      </c>
      <c r="G2595" s="3" t="s">
        <v>5031</v>
      </c>
      <c r="H2595" s="3" t="s">
        <v>9408</v>
      </c>
      <c r="I2595" s="17">
        <v>45811</v>
      </c>
      <c r="J2595" s="18">
        <f>YEAR(Tabla1[[#This Row],[FECHA DE COMPRA]])</f>
        <v>2025</v>
      </c>
      <c r="K2595" s="19">
        <v>160.77000000000001</v>
      </c>
      <c r="L2595" s="20">
        <v>0.3</v>
      </c>
      <c r="M2595" s="19">
        <f>Tienda!$K3361-Tienda!$K3361*Tienda!$L3361</f>
        <v>52.597999999999999</v>
      </c>
      <c r="N2595" s="3" t="s">
        <v>10039</v>
      </c>
      <c r="O2595" s="3" t="s">
        <v>10041</v>
      </c>
      <c r="P2595" s="17">
        <v>45811</v>
      </c>
      <c r="Q2595" s="4">
        <v>0</v>
      </c>
    </row>
    <row r="2596" spans="1:17" ht="30" x14ac:dyDescent="0.25">
      <c r="A2596" s="2" t="s">
        <v>1458</v>
      </c>
      <c r="B2596" s="3" t="s">
        <v>5016</v>
      </c>
      <c r="C2596" s="3">
        <v>55</v>
      </c>
      <c r="D2596" s="46" t="str">
        <f>IF(Tabla1[[#This Row],[EDAD]]&lt;=35,"Adultos jóvenes 18 - 35 años",IF(C2596&gt;=36,"Adultos mayores 36 años en adelante"))</f>
        <v>Adultos mayores 36 años en adelante</v>
      </c>
      <c r="E2596" s="3" t="s">
        <v>5023</v>
      </c>
      <c r="F2596" s="3" t="s">
        <v>5024</v>
      </c>
      <c r="G2596" s="3" t="s">
        <v>5036</v>
      </c>
      <c r="H2596" s="3" t="s">
        <v>6481</v>
      </c>
      <c r="I2596" s="17">
        <v>45811</v>
      </c>
      <c r="J2596" s="18">
        <f>YEAR(Tabla1[[#This Row],[FECHA DE COMPRA]])</f>
        <v>2025</v>
      </c>
      <c r="K2596" s="19">
        <v>162.43</v>
      </c>
      <c r="L2596" s="20">
        <v>0</v>
      </c>
      <c r="M2596" s="19">
        <f>Tienda!$K3362-Tienda!$K3362*Tienda!$L3362</f>
        <v>53.053000000000004</v>
      </c>
      <c r="N2596" s="3" t="s">
        <v>10039</v>
      </c>
      <c r="O2596" s="3" t="s">
        <v>10041</v>
      </c>
      <c r="P2596" s="17">
        <v>45811</v>
      </c>
      <c r="Q2596" s="4">
        <v>0</v>
      </c>
    </row>
    <row r="2597" spans="1:17" ht="30" x14ac:dyDescent="0.25">
      <c r="A2597" s="2" t="s">
        <v>2076</v>
      </c>
      <c r="B2597" s="3" t="s">
        <v>5015</v>
      </c>
      <c r="C2597" s="3">
        <v>62</v>
      </c>
      <c r="D2597" s="46" t="str">
        <f>IF(Tabla1[[#This Row],[EDAD]]&lt;=35,"Adultos jóvenes 18 - 35 años",IF(C2597&gt;=36,"Adultos mayores 36 años en adelante"))</f>
        <v>Adultos mayores 36 años en adelante</v>
      </c>
      <c r="E2597" s="3" t="s">
        <v>5019</v>
      </c>
      <c r="F2597" s="3" t="s">
        <v>5028</v>
      </c>
      <c r="G2597" s="3" t="s">
        <v>5037</v>
      </c>
      <c r="H2597" s="3" t="s">
        <v>7099</v>
      </c>
      <c r="I2597" s="17">
        <v>45814</v>
      </c>
      <c r="J2597" s="18">
        <f>YEAR(Tabla1[[#This Row],[FECHA DE COMPRA]])</f>
        <v>2025</v>
      </c>
      <c r="K2597" s="19">
        <v>163.88</v>
      </c>
      <c r="L2597" s="20">
        <v>0.3</v>
      </c>
      <c r="M2597" s="19">
        <f>Tienda!$K3363-Tienda!$K3363*Tienda!$L3363</f>
        <v>125.67</v>
      </c>
      <c r="N2597" s="3" t="s">
        <v>10039</v>
      </c>
      <c r="O2597" s="3" t="s">
        <v>10041</v>
      </c>
      <c r="P2597" s="17">
        <v>45814</v>
      </c>
      <c r="Q2597" s="4">
        <v>0</v>
      </c>
    </row>
    <row r="2598" spans="1:17" ht="30" x14ac:dyDescent="0.25">
      <c r="A2598" s="2" t="s">
        <v>971</v>
      </c>
      <c r="B2598" s="3" t="s">
        <v>5016</v>
      </c>
      <c r="C2598" s="3">
        <v>63</v>
      </c>
      <c r="D2598" s="46" t="str">
        <f>IF(Tabla1[[#This Row],[EDAD]]&lt;=35,"Adultos jóvenes 18 - 35 años",IF(C2598&gt;=36,"Adultos mayores 36 años en adelante"))</f>
        <v>Adultos mayores 36 años en adelante</v>
      </c>
      <c r="E2598" s="3" t="s">
        <v>5021</v>
      </c>
      <c r="F2598" s="3" t="s">
        <v>5026</v>
      </c>
      <c r="G2598" s="3" t="s">
        <v>5037</v>
      </c>
      <c r="H2598" s="3" t="s">
        <v>5994</v>
      </c>
      <c r="I2598" s="17">
        <v>45820</v>
      </c>
      <c r="J2598" s="18">
        <f>YEAR(Tabla1[[#This Row],[FECHA DE COMPRA]])</f>
        <v>2025</v>
      </c>
      <c r="K2598" s="19">
        <v>174.91</v>
      </c>
      <c r="L2598" s="20">
        <v>0.3</v>
      </c>
      <c r="M2598" s="19">
        <f>Tienda!$K3365-Tienda!$K3365*Tienda!$L3365</f>
        <v>110.54400000000001</v>
      </c>
      <c r="N2598" s="3" t="s">
        <v>10039</v>
      </c>
      <c r="O2598" s="3" t="s">
        <v>10041</v>
      </c>
      <c r="P2598" s="17">
        <v>45820</v>
      </c>
      <c r="Q2598" s="4">
        <v>0</v>
      </c>
    </row>
    <row r="2599" spans="1:17" ht="30" x14ac:dyDescent="0.25">
      <c r="A2599" s="2" t="s">
        <v>2307</v>
      </c>
      <c r="B2599" s="3" t="s">
        <v>5015</v>
      </c>
      <c r="C2599" s="3">
        <v>44</v>
      </c>
      <c r="D2599" s="46" t="str">
        <f>IF(Tabla1[[#This Row],[EDAD]]&lt;=35,"Adultos jóvenes 18 - 35 años",IF(C2599&gt;=36,"Adultos mayores 36 años en adelante"))</f>
        <v>Adultos mayores 36 años en adelante</v>
      </c>
      <c r="E2599" s="3" t="s">
        <v>5017</v>
      </c>
      <c r="F2599" s="3" t="s">
        <v>5026</v>
      </c>
      <c r="G2599" s="3" t="s">
        <v>5031</v>
      </c>
      <c r="H2599" s="3" t="s">
        <v>7330</v>
      </c>
      <c r="I2599" s="17">
        <v>45831</v>
      </c>
      <c r="J2599" s="18">
        <f>YEAR(Tabla1[[#This Row],[FECHA DE COMPRA]])</f>
        <v>2025</v>
      </c>
      <c r="K2599" s="19">
        <v>176.73</v>
      </c>
      <c r="L2599" s="20">
        <v>0.3</v>
      </c>
      <c r="M2599" s="19">
        <f>Tienda!$K3366-Tienda!$K3366*Tienda!$L3366</f>
        <v>138.97999999999999</v>
      </c>
      <c r="N2599" s="3" t="s">
        <v>10039</v>
      </c>
      <c r="O2599" s="3" t="s">
        <v>10041</v>
      </c>
      <c r="P2599" s="17">
        <v>45831</v>
      </c>
      <c r="Q2599" s="4">
        <v>0</v>
      </c>
    </row>
    <row r="2600" spans="1:17" ht="30" x14ac:dyDescent="0.25">
      <c r="A2600" s="2" t="s">
        <v>4448</v>
      </c>
      <c r="B2600" s="3" t="s">
        <v>5015</v>
      </c>
      <c r="C2600" s="3">
        <v>50</v>
      </c>
      <c r="D2600" s="46" t="str">
        <f>IF(Tabla1[[#This Row],[EDAD]]&lt;=35,"Adultos jóvenes 18 - 35 años",IF(C2600&gt;=36,"Adultos mayores 36 años en adelante"))</f>
        <v>Adultos mayores 36 años en adelante</v>
      </c>
      <c r="E2600" s="3" t="s">
        <v>5020</v>
      </c>
      <c r="F2600" s="3" t="s">
        <v>5027</v>
      </c>
      <c r="G2600" s="3" t="s">
        <v>5033</v>
      </c>
      <c r="H2600" s="3" t="s">
        <v>9471</v>
      </c>
      <c r="I2600" s="17">
        <v>45827</v>
      </c>
      <c r="J2600" s="18">
        <f>YEAR(Tabla1[[#This Row],[FECHA DE COMPRA]])</f>
        <v>2025</v>
      </c>
      <c r="K2600" s="19">
        <v>176.73</v>
      </c>
      <c r="L2600" s="20">
        <v>0.2</v>
      </c>
      <c r="M2600" s="19">
        <f>Tienda!$K3367-Tienda!$K3367*Tienda!$L3367</f>
        <v>97.454000000000008</v>
      </c>
      <c r="N2600" s="3" t="s">
        <v>10039</v>
      </c>
      <c r="O2600" s="3" t="s">
        <v>10041</v>
      </c>
      <c r="P2600" s="17">
        <v>45827</v>
      </c>
      <c r="Q2600" s="4">
        <v>0</v>
      </c>
    </row>
    <row r="2601" spans="1:17" ht="30" x14ac:dyDescent="0.25">
      <c r="A2601" s="2" t="s">
        <v>2713</v>
      </c>
      <c r="B2601" s="3" t="s">
        <v>5015</v>
      </c>
      <c r="C2601" s="3">
        <v>56</v>
      </c>
      <c r="D2601" s="46" t="str">
        <f>IF(Tabla1[[#This Row],[EDAD]]&lt;=35,"Adultos jóvenes 18 - 35 años",IF(C2601&gt;=36,"Adultos mayores 36 años en adelante"))</f>
        <v>Adultos mayores 36 años en adelante</v>
      </c>
      <c r="E2601" s="3" t="s">
        <v>5023</v>
      </c>
      <c r="F2601" s="3" t="s">
        <v>5029</v>
      </c>
      <c r="G2601" s="3" t="s">
        <v>5037</v>
      </c>
      <c r="H2601" s="3" t="s">
        <v>7736</v>
      </c>
      <c r="I2601" s="17">
        <v>45810</v>
      </c>
      <c r="J2601" s="18">
        <f>YEAR(Tabla1[[#This Row],[FECHA DE COMPRA]])</f>
        <v>2025</v>
      </c>
      <c r="K2601" s="19">
        <v>178.47</v>
      </c>
      <c r="L2601" s="20">
        <v>0.2</v>
      </c>
      <c r="M2601" s="19">
        <f>Tienda!$K3368-Tienda!$K3368*Tienda!$L3368</f>
        <v>143.96</v>
      </c>
      <c r="N2601" s="3" t="s">
        <v>10039</v>
      </c>
      <c r="O2601" s="3" t="s">
        <v>10041</v>
      </c>
      <c r="P2601" s="17">
        <v>45810</v>
      </c>
      <c r="Q2601" s="4">
        <v>0</v>
      </c>
    </row>
    <row r="2602" spans="1:17" ht="30" x14ac:dyDescent="0.25">
      <c r="A2602" s="2" t="s">
        <v>4151</v>
      </c>
      <c r="B2602" s="3" t="s">
        <v>5015</v>
      </c>
      <c r="C2602" s="3">
        <v>59</v>
      </c>
      <c r="D2602" s="46" t="str">
        <f>IF(Tabla1[[#This Row],[EDAD]]&lt;=35,"Adultos jóvenes 18 - 35 años",IF(C2602&gt;=36,"Adultos mayores 36 años en adelante"))</f>
        <v>Adultos mayores 36 años en adelante</v>
      </c>
      <c r="E2602" s="3" t="s">
        <v>5023</v>
      </c>
      <c r="F2602" s="3" t="s">
        <v>5024</v>
      </c>
      <c r="G2602" s="3" t="s">
        <v>5034</v>
      </c>
      <c r="H2602" s="3" t="s">
        <v>9174</v>
      </c>
      <c r="I2602" s="17">
        <v>45825</v>
      </c>
      <c r="J2602" s="18">
        <f>YEAR(Tabla1[[#This Row],[FECHA DE COMPRA]])</f>
        <v>2025</v>
      </c>
      <c r="K2602" s="19">
        <v>178.8</v>
      </c>
      <c r="L2602" s="20">
        <v>0.2</v>
      </c>
      <c r="M2602" s="19">
        <f>Tienda!$K3369-Tienda!$K3369*Tienda!$L3369</f>
        <v>130.67099999999999</v>
      </c>
      <c r="N2602" s="3" t="s">
        <v>10039</v>
      </c>
      <c r="O2602" s="3" t="s">
        <v>10041</v>
      </c>
      <c r="P2602" s="17">
        <v>45825</v>
      </c>
      <c r="Q2602" s="4">
        <v>0</v>
      </c>
    </row>
    <row r="2603" spans="1:17" ht="30" x14ac:dyDescent="0.25">
      <c r="A2603" s="2" t="s">
        <v>1772</v>
      </c>
      <c r="B2603" s="3" t="s">
        <v>5015</v>
      </c>
      <c r="C2603" s="3">
        <v>52</v>
      </c>
      <c r="D2603" s="46" t="str">
        <f>IF(Tabla1[[#This Row],[EDAD]]&lt;=35,"Adultos jóvenes 18 - 35 años",IF(C2603&gt;=36,"Adultos mayores 36 años en adelante"))</f>
        <v>Adultos mayores 36 años en adelante</v>
      </c>
      <c r="E2603" s="3" t="s">
        <v>5021</v>
      </c>
      <c r="F2603" s="3" t="s">
        <v>5029</v>
      </c>
      <c r="G2603" s="3" t="s">
        <v>5037</v>
      </c>
      <c r="H2603" s="3" t="s">
        <v>6795</v>
      </c>
      <c r="I2603" s="17">
        <v>45832</v>
      </c>
      <c r="J2603" s="18">
        <f>YEAR(Tabla1[[#This Row],[FECHA DE COMPRA]])</f>
        <v>2025</v>
      </c>
      <c r="K2603" s="19">
        <v>183.94</v>
      </c>
      <c r="L2603" s="20">
        <v>0.2</v>
      </c>
      <c r="M2603" s="19">
        <f>Tienda!$K3371-Tienda!$K3371*Tienda!$L3371</f>
        <v>136.44399999999999</v>
      </c>
      <c r="N2603" s="3" t="s">
        <v>10039</v>
      </c>
      <c r="O2603" s="3" t="s">
        <v>10041</v>
      </c>
      <c r="P2603" s="17">
        <v>45832</v>
      </c>
      <c r="Q2603" s="4">
        <v>0</v>
      </c>
    </row>
    <row r="2604" spans="1:17" ht="30" x14ac:dyDescent="0.25">
      <c r="A2604" s="2" t="s">
        <v>3649</v>
      </c>
      <c r="B2604" s="3" t="s">
        <v>5015</v>
      </c>
      <c r="C2604" s="3">
        <v>47</v>
      </c>
      <c r="D2604" s="46" t="str">
        <f>IF(Tabla1[[#This Row],[EDAD]]&lt;=35,"Adultos jóvenes 18 - 35 años",IF(C2604&gt;=36,"Adultos mayores 36 años en adelante"))</f>
        <v>Adultos mayores 36 años en adelante</v>
      </c>
      <c r="E2604" s="3" t="s">
        <v>5019</v>
      </c>
      <c r="F2604" s="3" t="s">
        <v>5028</v>
      </c>
      <c r="G2604" s="3" t="s">
        <v>5035</v>
      </c>
      <c r="H2604" s="3" t="s">
        <v>8672</v>
      </c>
      <c r="I2604" s="17">
        <v>45810</v>
      </c>
      <c r="J2604" s="18">
        <f>YEAR(Tabla1[[#This Row],[FECHA DE COMPRA]])</f>
        <v>2025</v>
      </c>
      <c r="K2604" s="19">
        <v>188.64</v>
      </c>
      <c r="L2604" s="20">
        <v>0.2</v>
      </c>
      <c r="M2604" s="19">
        <f>Tienda!$K3373-Tienda!$K3373*Tienda!$L3373</f>
        <v>11.795000000000002</v>
      </c>
      <c r="N2604" s="3" t="s">
        <v>10039</v>
      </c>
      <c r="O2604" s="3" t="s">
        <v>10041</v>
      </c>
      <c r="P2604" s="17">
        <v>45810</v>
      </c>
      <c r="Q2604" s="4">
        <v>0</v>
      </c>
    </row>
    <row r="2605" spans="1:17" ht="30" x14ac:dyDescent="0.25">
      <c r="A2605" s="2" t="s">
        <v>3698</v>
      </c>
      <c r="B2605" s="3" t="s">
        <v>5016</v>
      </c>
      <c r="C2605" s="3">
        <v>63</v>
      </c>
      <c r="D2605" s="46" t="str">
        <f>IF(Tabla1[[#This Row],[EDAD]]&lt;=35,"Adultos jóvenes 18 - 35 años",IF(C2605&gt;=36,"Adultos mayores 36 años en adelante"))</f>
        <v>Adultos mayores 36 años en adelante</v>
      </c>
      <c r="E2605" s="3" t="s">
        <v>5023</v>
      </c>
      <c r="F2605" s="3" t="s">
        <v>5030</v>
      </c>
      <c r="G2605" s="3" t="s">
        <v>5034</v>
      </c>
      <c r="H2605" s="3" t="s">
        <v>8721</v>
      </c>
      <c r="I2605" s="17">
        <v>45835</v>
      </c>
      <c r="J2605" s="18">
        <f>YEAR(Tabla1[[#This Row],[FECHA DE COMPRA]])</f>
        <v>2025</v>
      </c>
      <c r="K2605" s="19">
        <v>195.27</v>
      </c>
      <c r="L2605" s="20">
        <v>0</v>
      </c>
      <c r="M2605" s="19">
        <f>Tienda!$K3376-Tienda!$K3376*Tienda!$L3376</f>
        <v>78.668999999999997</v>
      </c>
      <c r="N2605" s="3" t="s">
        <v>10039</v>
      </c>
      <c r="O2605" s="3" t="s">
        <v>10041</v>
      </c>
      <c r="P2605" s="17">
        <v>45835</v>
      </c>
      <c r="Q2605" s="4">
        <v>0</v>
      </c>
    </row>
    <row r="2606" spans="1:17" ht="30" x14ac:dyDescent="0.25">
      <c r="A2606" s="2" t="s">
        <v>826</v>
      </c>
      <c r="B2606" s="3" t="s">
        <v>5015</v>
      </c>
      <c r="C2606" s="3">
        <v>62</v>
      </c>
      <c r="D2606" s="46" t="str">
        <f>IF(Tabla1[[#This Row],[EDAD]]&lt;=35,"Adultos jóvenes 18 - 35 años",IF(C2606&gt;=36,"Adultos mayores 36 años en adelante"))</f>
        <v>Adultos mayores 36 años en adelante</v>
      </c>
      <c r="E2606" s="3" t="s">
        <v>5022</v>
      </c>
      <c r="F2606" s="3" t="s">
        <v>5028</v>
      </c>
      <c r="G2606" s="3" t="s">
        <v>5035</v>
      </c>
      <c r="H2606" s="3" t="s">
        <v>5849</v>
      </c>
      <c r="I2606" s="17">
        <v>45834</v>
      </c>
      <c r="J2606" s="18">
        <f>YEAR(Tabla1[[#This Row],[FECHA DE COMPRA]])</f>
        <v>2025</v>
      </c>
      <c r="K2606" s="19">
        <v>197.28</v>
      </c>
      <c r="L2606" s="20">
        <v>0.1</v>
      </c>
      <c r="M2606" s="19">
        <f>Tienda!$K3377-Tienda!$K3377*Tienda!$L3377</f>
        <v>89.37</v>
      </c>
      <c r="N2606" s="3" t="s">
        <v>10039</v>
      </c>
      <c r="O2606" s="3" t="s">
        <v>10041</v>
      </c>
      <c r="P2606" s="17">
        <v>45834</v>
      </c>
      <c r="Q2606" s="4">
        <v>0</v>
      </c>
    </row>
    <row r="2607" spans="1:17" ht="30" x14ac:dyDescent="0.25">
      <c r="A2607" s="2" t="s">
        <v>4543</v>
      </c>
      <c r="B2607" s="3" t="s">
        <v>5015</v>
      </c>
      <c r="C2607" s="3">
        <v>48</v>
      </c>
      <c r="D2607" s="46" t="str">
        <f>IF(Tabla1[[#This Row],[EDAD]]&lt;=35,"Adultos jóvenes 18 - 35 años",IF(C2607&gt;=36,"Adultos mayores 36 años en adelante"))</f>
        <v>Adultos mayores 36 años en adelante</v>
      </c>
      <c r="E2607" s="3" t="s">
        <v>5021</v>
      </c>
      <c r="F2607" s="3" t="s">
        <v>5030</v>
      </c>
      <c r="G2607" s="3" t="s">
        <v>5032</v>
      </c>
      <c r="H2607" s="3" t="s">
        <v>9566</v>
      </c>
      <c r="I2607" s="17">
        <v>45833</v>
      </c>
      <c r="J2607" s="18">
        <f>YEAR(Tabla1[[#This Row],[FECHA DE COMPRA]])</f>
        <v>2025</v>
      </c>
      <c r="K2607" s="19">
        <v>197.86</v>
      </c>
      <c r="L2607" s="20">
        <v>0.1</v>
      </c>
      <c r="M2607" s="19">
        <f>Tienda!$K3378-Tienda!$K3378*Tienda!$L3378</f>
        <v>92.05</v>
      </c>
      <c r="N2607" s="3" t="s">
        <v>10039</v>
      </c>
      <c r="O2607" s="3" t="s">
        <v>10041</v>
      </c>
      <c r="P2607" s="17">
        <v>45833</v>
      </c>
      <c r="Q2607" s="4">
        <v>0</v>
      </c>
    </row>
    <row r="2608" spans="1:17" ht="30" x14ac:dyDescent="0.25">
      <c r="A2608" s="2" t="s">
        <v>4199</v>
      </c>
      <c r="B2608" s="3" t="s">
        <v>5016</v>
      </c>
      <c r="C2608" s="3">
        <v>61</v>
      </c>
      <c r="D2608" s="46" t="str">
        <f>IF(Tabla1[[#This Row],[EDAD]]&lt;=35,"Adultos jóvenes 18 - 35 años",IF(C2608&gt;=36,"Adultos mayores 36 años en adelante"))</f>
        <v>Adultos mayores 36 años en adelante</v>
      </c>
      <c r="E2608" s="3" t="s">
        <v>5017</v>
      </c>
      <c r="F2608" s="3" t="s">
        <v>5024</v>
      </c>
      <c r="G2608" s="3" t="s">
        <v>5034</v>
      </c>
      <c r="H2608" s="3" t="s">
        <v>9222</v>
      </c>
      <c r="I2608" s="17">
        <v>45860</v>
      </c>
      <c r="J2608" s="18">
        <f>YEAR(Tabla1[[#This Row],[FECHA DE COMPRA]])</f>
        <v>2025</v>
      </c>
      <c r="K2608" s="19">
        <v>14</v>
      </c>
      <c r="L2608" s="20">
        <v>0</v>
      </c>
      <c r="M2608" s="19">
        <f>Tienda!$K3379-Tienda!$K3379*Tienda!$L3379</f>
        <v>74.015999999999991</v>
      </c>
      <c r="N2608" s="3" t="s">
        <v>10039</v>
      </c>
      <c r="O2608" s="3" t="s">
        <v>10041</v>
      </c>
      <c r="P2608" s="17">
        <v>45860</v>
      </c>
      <c r="Q2608" s="4">
        <v>0</v>
      </c>
    </row>
    <row r="2609" spans="1:17" ht="30" x14ac:dyDescent="0.25">
      <c r="A2609" s="2" t="s">
        <v>1730</v>
      </c>
      <c r="B2609" s="3" t="s">
        <v>5016</v>
      </c>
      <c r="C2609" s="3">
        <v>42</v>
      </c>
      <c r="D2609" s="46" t="str">
        <f>IF(Tabla1[[#This Row],[EDAD]]&lt;=35,"Adultos jóvenes 18 - 35 años",IF(C2609&gt;=36,"Adultos mayores 36 años en adelante"))</f>
        <v>Adultos mayores 36 años en adelante</v>
      </c>
      <c r="E2609" s="3" t="s">
        <v>5021</v>
      </c>
      <c r="F2609" s="3" t="s">
        <v>5026</v>
      </c>
      <c r="G2609" s="3" t="s">
        <v>5032</v>
      </c>
      <c r="H2609" s="3" t="s">
        <v>6753</v>
      </c>
      <c r="I2609" s="17">
        <v>45846</v>
      </c>
      <c r="J2609" s="18">
        <f>YEAR(Tabla1[[#This Row],[FECHA DE COMPRA]])</f>
        <v>2025</v>
      </c>
      <c r="K2609" s="19">
        <v>20.36</v>
      </c>
      <c r="L2609" s="20">
        <v>0.3</v>
      </c>
      <c r="M2609" s="19">
        <f>Tienda!$K3383-Tienda!$K3383*Tienda!$L3383</f>
        <v>116.024</v>
      </c>
      <c r="N2609" s="3" t="s">
        <v>10039</v>
      </c>
      <c r="O2609" s="3" t="s">
        <v>10041</v>
      </c>
      <c r="P2609" s="17">
        <v>45846</v>
      </c>
      <c r="Q2609" s="4">
        <v>0</v>
      </c>
    </row>
    <row r="2610" spans="1:17" ht="30" x14ac:dyDescent="0.25">
      <c r="A2610" s="2" t="s">
        <v>4163</v>
      </c>
      <c r="B2610" s="3" t="s">
        <v>5015</v>
      </c>
      <c r="C2610" s="3">
        <v>62</v>
      </c>
      <c r="D2610" s="46" t="str">
        <f>IF(Tabla1[[#This Row],[EDAD]]&lt;=35,"Adultos jóvenes 18 - 35 años",IF(C2610&gt;=36,"Adultos mayores 36 años en adelante"))</f>
        <v>Adultos mayores 36 años en adelante</v>
      </c>
      <c r="E2610" s="3" t="s">
        <v>5022</v>
      </c>
      <c r="F2610" s="3" t="s">
        <v>5030</v>
      </c>
      <c r="G2610" s="3" t="s">
        <v>5035</v>
      </c>
      <c r="H2610" s="3" t="s">
        <v>9186</v>
      </c>
      <c r="I2610" s="17">
        <v>45852</v>
      </c>
      <c r="J2610" s="18">
        <f>YEAR(Tabla1[[#This Row],[FECHA DE COMPRA]])</f>
        <v>2025</v>
      </c>
      <c r="K2610" s="19">
        <v>20.79</v>
      </c>
      <c r="L2610" s="20">
        <v>0.1</v>
      </c>
      <c r="M2610" s="19">
        <f>Tienda!$K3384-Tienda!$K3384*Tienda!$L3384</f>
        <v>145.47</v>
      </c>
      <c r="N2610" s="3" t="s">
        <v>10039</v>
      </c>
      <c r="O2610" s="3" t="s">
        <v>10041</v>
      </c>
      <c r="P2610" s="17">
        <v>45852</v>
      </c>
      <c r="Q2610" s="4">
        <v>0</v>
      </c>
    </row>
    <row r="2611" spans="1:17" ht="30" x14ac:dyDescent="0.25">
      <c r="A2611" s="2" t="s">
        <v>3785</v>
      </c>
      <c r="B2611" s="3" t="s">
        <v>5015</v>
      </c>
      <c r="C2611" s="3">
        <v>39</v>
      </c>
      <c r="D2611" s="46" t="str">
        <f>IF(Tabla1[[#This Row],[EDAD]]&lt;=35,"Adultos jóvenes 18 - 35 años",IF(C2611&gt;=36,"Adultos mayores 36 años en adelante"))</f>
        <v>Adultos mayores 36 años en adelante</v>
      </c>
      <c r="E2611" s="3" t="s">
        <v>5020</v>
      </c>
      <c r="F2611" s="3" t="s">
        <v>5026</v>
      </c>
      <c r="G2611" s="3" t="s">
        <v>5036</v>
      </c>
      <c r="H2611" s="3" t="s">
        <v>8808</v>
      </c>
      <c r="I2611" s="17">
        <v>45844</v>
      </c>
      <c r="J2611" s="18">
        <f>YEAR(Tabla1[[#This Row],[FECHA DE COMPRA]])</f>
        <v>2025</v>
      </c>
      <c r="K2611" s="19">
        <v>24.82</v>
      </c>
      <c r="L2611" s="20">
        <v>0.1</v>
      </c>
      <c r="M2611" s="19">
        <f>Tienda!$K3385-Tienda!$K3385*Tienda!$L3385</f>
        <v>117.024</v>
      </c>
      <c r="N2611" s="3" t="s">
        <v>10039</v>
      </c>
      <c r="O2611" s="3" t="s">
        <v>10041</v>
      </c>
      <c r="P2611" s="17">
        <v>45844</v>
      </c>
      <c r="Q2611" s="4">
        <v>0</v>
      </c>
    </row>
    <row r="2612" spans="1:17" ht="30" x14ac:dyDescent="0.25">
      <c r="A2612" s="2" t="s">
        <v>4575</v>
      </c>
      <c r="B2612" s="3" t="s">
        <v>5016</v>
      </c>
      <c r="C2612" s="3">
        <v>51</v>
      </c>
      <c r="D2612" s="46" t="str">
        <f>IF(Tabla1[[#This Row],[EDAD]]&lt;=35,"Adultos jóvenes 18 - 35 años",IF(C2612&gt;=36,"Adultos mayores 36 años en adelante"))</f>
        <v>Adultos mayores 36 años en adelante</v>
      </c>
      <c r="E2612" s="3" t="s">
        <v>5017</v>
      </c>
      <c r="F2612" s="3" t="s">
        <v>5024</v>
      </c>
      <c r="G2612" s="3" t="s">
        <v>5037</v>
      </c>
      <c r="H2612" s="3" t="s">
        <v>9598</v>
      </c>
      <c r="I2612" s="17">
        <v>45854</v>
      </c>
      <c r="J2612" s="18">
        <f>YEAR(Tabla1[[#This Row],[FECHA DE COMPRA]])</f>
        <v>2025</v>
      </c>
      <c r="K2612" s="19">
        <v>24.86</v>
      </c>
      <c r="L2612" s="20">
        <v>0.3</v>
      </c>
      <c r="M2612" s="19">
        <f>Tienda!$K3386-Tienda!$K3386*Tienda!$L3386</f>
        <v>186.02</v>
      </c>
      <c r="N2612" s="3" t="s">
        <v>10039</v>
      </c>
      <c r="O2612" s="3" t="s">
        <v>10041</v>
      </c>
      <c r="P2612" s="17">
        <v>45854</v>
      </c>
      <c r="Q2612" s="4">
        <v>0</v>
      </c>
    </row>
    <row r="2613" spans="1:17" ht="30" x14ac:dyDescent="0.25">
      <c r="A2613" s="2" t="s">
        <v>3546</v>
      </c>
      <c r="B2613" s="3" t="s">
        <v>5015</v>
      </c>
      <c r="C2613" s="3">
        <v>46</v>
      </c>
      <c r="D2613" s="46" t="str">
        <f>IF(Tabla1[[#This Row],[EDAD]]&lt;=35,"Adultos jóvenes 18 - 35 años",IF(C2613&gt;=36,"Adultos mayores 36 años en adelante"))</f>
        <v>Adultos mayores 36 años en adelante</v>
      </c>
      <c r="E2613" s="3" t="s">
        <v>5022</v>
      </c>
      <c r="F2613" s="3" t="s">
        <v>5027</v>
      </c>
      <c r="G2613" s="3" t="s">
        <v>5031</v>
      </c>
      <c r="H2613" s="3" t="s">
        <v>8569</v>
      </c>
      <c r="I2613" s="17">
        <v>45855</v>
      </c>
      <c r="J2613" s="18">
        <f>YEAR(Tabla1[[#This Row],[FECHA DE COMPRA]])</f>
        <v>2025</v>
      </c>
      <c r="K2613" s="19">
        <v>26.63</v>
      </c>
      <c r="L2613" s="20">
        <v>0.3</v>
      </c>
      <c r="M2613" s="19">
        <f>Tienda!$K3388-Tienda!$K3388*Tienda!$L3388</f>
        <v>9.1440000000000001</v>
      </c>
      <c r="N2613" s="3" t="s">
        <v>10039</v>
      </c>
      <c r="O2613" s="3" t="s">
        <v>10041</v>
      </c>
      <c r="P2613" s="17">
        <v>45855</v>
      </c>
      <c r="Q2613" s="4">
        <v>0</v>
      </c>
    </row>
    <row r="2614" spans="1:17" ht="30" x14ac:dyDescent="0.25">
      <c r="A2614" s="2" t="s">
        <v>3120</v>
      </c>
      <c r="B2614" s="3" t="s">
        <v>5016</v>
      </c>
      <c r="C2614" s="3">
        <v>58</v>
      </c>
      <c r="D2614" s="46" t="str">
        <f>IF(Tabla1[[#This Row],[EDAD]]&lt;=35,"Adultos jóvenes 18 - 35 años",IF(C2614&gt;=36,"Adultos mayores 36 años en adelante"))</f>
        <v>Adultos mayores 36 años en adelante</v>
      </c>
      <c r="E2614" s="3" t="s">
        <v>5017</v>
      </c>
      <c r="F2614" s="3" t="s">
        <v>5029</v>
      </c>
      <c r="G2614" s="3" t="s">
        <v>5031</v>
      </c>
      <c r="H2614" s="3" t="s">
        <v>8143</v>
      </c>
      <c r="I2614" s="17">
        <v>45848</v>
      </c>
      <c r="J2614" s="18">
        <f>YEAR(Tabla1[[#This Row],[FECHA DE COMPRA]])</f>
        <v>2025</v>
      </c>
      <c r="K2614" s="19">
        <v>27.24</v>
      </c>
      <c r="L2614" s="20">
        <v>0.2</v>
      </c>
      <c r="M2614" s="19">
        <f>Tienda!$K3389-Tienda!$K3389*Tienda!$L3389</f>
        <v>9.4559999999999995</v>
      </c>
      <c r="N2614" s="3" t="s">
        <v>10039</v>
      </c>
      <c r="O2614" s="3" t="s">
        <v>10041</v>
      </c>
      <c r="P2614" s="17">
        <v>45848</v>
      </c>
      <c r="Q2614" s="4">
        <v>0</v>
      </c>
    </row>
    <row r="2615" spans="1:17" ht="30" x14ac:dyDescent="0.25">
      <c r="A2615" s="2" t="s">
        <v>785</v>
      </c>
      <c r="B2615" s="3" t="s">
        <v>5015</v>
      </c>
      <c r="C2615" s="3">
        <v>49</v>
      </c>
      <c r="D2615" s="46" t="str">
        <f>IF(Tabla1[[#This Row],[EDAD]]&lt;=35,"Adultos jóvenes 18 - 35 años",IF(C2615&gt;=36,"Adultos mayores 36 años en adelante"))</f>
        <v>Adultos mayores 36 años en adelante</v>
      </c>
      <c r="E2615" s="3" t="s">
        <v>5021</v>
      </c>
      <c r="F2615" s="3" t="s">
        <v>5024</v>
      </c>
      <c r="G2615" s="3" t="s">
        <v>5037</v>
      </c>
      <c r="H2615" s="3" t="s">
        <v>5808</v>
      </c>
      <c r="I2615" s="17">
        <v>45853</v>
      </c>
      <c r="J2615" s="18">
        <f>YEAR(Tabla1[[#This Row],[FECHA DE COMPRA]])</f>
        <v>2025</v>
      </c>
      <c r="K2615" s="19">
        <v>27.85</v>
      </c>
      <c r="L2615" s="20">
        <v>0.1</v>
      </c>
      <c r="M2615" s="19">
        <f>Tienda!$K3390-Tienda!$K3390*Tienda!$L3390</f>
        <v>13.85</v>
      </c>
      <c r="N2615" s="3" t="s">
        <v>10039</v>
      </c>
      <c r="O2615" s="3" t="s">
        <v>10041</v>
      </c>
      <c r="P2615" s="17">
        <v>45853</v>
      </c>
      <c r="Q2615" s="4">
        <v>0</v>
      </c>
    </row>
    <row r="2616" spans="1:17" ht="30" x14ac:dyDescent="0.25">
      <c r="A2616" s="2" t="s">
        <v>1091</v>
      </c>
      <c r="B2616" s="3" t="s">
        <v>5015</v>
      </c>
      <c r="C2616" s="3">
        <v>61</v>
      </c>
      <c r="D2616" s="46" t="str">
        <f>IF(Tabla1[[#This Row],[EDAD]]&lt;=35,"Adultos jóvenes 18 - 35 años",IF(C2616&gt;=36,"Adultos mayores 36 años en adelante"))</f>
        <v>Adultos mayores 36 años en adelante</v>
      </c>
      <c r="E2616" s="3" t="s">
        <v>5022</v>
      </c>
      <c r="F2616" s="3" t="s">
        <v>5024</v>
      </c>
      <c r="G2616" s="3" t="s">
        <v>5033</v>
      </c>
      <c r="H2616" s="3" t="s">
        <v>6114</v>
      </c>
      <c r="I2616" s="17">
        <v>45866</v>
      </c>
      <c r="J2616" s="18">
        <f>YEAR(Tabla1[[#This Row],[FECHA DE COMPRA]])</f>
        <v>2025</v>
      </c>
      <c r="K2616" s="19">
        <v>34.31</v>
      </c>
      <c r="L2616" s="20">
        <v>0.2</v>
      </c>
      <c r="M2616" s="19">
        <f>Tienda!$K3392-Tienda!$K3392*Tienda!$L3392</f>
        <v>33.35</v>
      </c>
      <c r="N2616" s="3" t="s">
        <v>10039</v>
      </c>
      <c r="O2616" s="3" t="s">
        <v>10041</v>
      </c>
      <c r="P2616" s="17">
        <v>45866</v>
      </c>
      <c r="Q2616" s="4">
        <v>0</v>
      </c>
    </row>
    <row r="2617" spans="1:17" ht="30" x14ac:dyDescent="0.25">
      <c r="A2617" s="2" t="s">
        <v>4217</v>
      </c>
      <c r="B2617" s="3" t="s">
        <v>5016</v>
      </c>
      <c r="C2617" s="3">
        <v>59</v>
      </c>
      <c r="D2617" s="46" t="str">
        <f>IF(Tabla1[[#This Row],[EDAD]]&lt;=35,"Adultos jóvenes 18 - 35 años",IF(C2617&gt;=36,"Adultos mayores 36 años en adelante"))</f>
        <v>Adultos mayores 36 años en adelante</v>
      </c>
      <c r="E2617" s="3" t="s">
        <v>5017</v>
      </c>
      <c r="F2617" s="3" t="s">
        <v>5029</v>
      </c>
      <c r="G2617" s="3" t="s">
        <v>5034</v>
      </c>
      <c r="H2617" s="3" t="s">
        <v>9240</v>
      </c>
      <c r="I2617" s="17">
        <v>45840</v>
      </c>
      <c r="J2617" s="18">
        <f>YEAR(Tabla1[[#This Row],[FECHA DE COMPRA]])</f>
        <v>2025</v>
      </c>
      <c r="K2617" s="19">
        <v>34.56</v>
      </c>
      <c r="L2617" s="20">
        <v>0</v>
      </c>
      <c r="M2617" s="19">
        <f>Tienda!$K3393-Tienda!$K3393*Tienda!$L3393</f>
        <v>30.896999999999998</v>
      </c>
      <c r="N2617" s="3" t="s">
        <v>10039</v>
      </c>
      <c r="O2617" s="3" t="s">
        <v>10041</v>
      </c>
      <c r="P2617" s="17">
        <v>45840</v>
      </c>
      <c r="Q2617" s="4">
        <v>0</v>
      </c>
    </row>
    <row r="2618" spans="1:17" ht="30" x14ac:dyDescent="0.25">
      <c r="A2618" s="2" t="s">
        <v>898</v>
      </c>
      <c r="B2618" s="3" t="s">
        <v>5015</v>
      </c>
      <c r="C2618" s="3">
        <v>45</v>
      </c>
      <c r="D2618" s="46" t="str">
        <f>IF(Tabla1[[#This Row],[EDAD]]&lt;=35,"Adultos jóvenes 18 - 35 años",IF(C2618&gt;=36,"Adultos mayores 36 años en adelante"))</f>
        <v>Adultos mayores 36 años en adelante</v>
      </c>
      <c r="E2618" s="3" t="s">
        <v>5020</v>
      </c>
      <c r="F2618" s="3" t="s">
        <v>5027</v>
      </c>
      <c r="G2618" s="3" t="s">
        <v>5032</v>
      </c>
      <c r="H2618" s="3" t="s">
        <v>5921</v>
      </c>
      <c r="I2618" s="17">
        <v>45867</v>
      </c>
      <c r="J2618" s="18">
        <f>YEAR(Tabla1[[#This Row],[FECHA DE COMPRA]])</f>
        <v>2025</v>
      </c>
      <c r="K2618" s="19">
        <v>37.42</v>
      </c>
      <c r="L2618" s="20">
        <v>0.1</v>
      </c>
      <c r="M2618" s="19">
        <f>Tienda!$K3395-Tienda!$K3395*Tienda!$L3395</f>
        <v>32.480000000000004</v>
      </c>
      <c r="N2618" s="3" t="s">
        <v>10039</v>
      </c>
      <c r="O2618" s="3" t="s">
        <v>10041</v>
      </c>
      <c r="P2618" s="17">
        <v>45867</v>
      </c>
      <c r="Q2618" s="4">
        <v>0</v>
      </c>
    </row>
    <row r="2619" spans="1:17" ht="30" x14ac:dyDescent="0.25">
      <c r="A2619" s="2" t="s">
        <v>4733</v>
      </c>
      <c r="B2619" s="3" t="s">
        <v>5016</v>
      </c>
      <c r="C2619" s="3">
        <v>47</v>
      </c>
      <c r="D2619" s="46" t="str">
        <f>IF(Tabla1[[#This Row],[EDAD]]&lt;=35,"Adultos jóvenes 18 - 35 años",IF(C2619&gt;=36,"Adultos mayores 36 años en adelante"))</f>
        <v>Adultos mayores 36 años en adelante</v>
      </c>
      <c r="E2619" s="3" t="s">
        <v>5023</v>
      </c>
      <c r="F2619" s="3" t="s">
        <v>5030</v>
      </c>
      <c r="G2619" s="3" t="s">
        <v>5034</v>
      </c>
      <c r="H2619" s="3" t="s">
        <v>9756</v>
      </c>
      <c r="I2619" s="17">
        <v>45856</v>
      </c>
      <c r="J2619" s="18">
        <f>YEAR(Tabla1[[#This Row],[FECHA DE COMPRA]])</f>
        <v>2025</v>
      </c>
      <c r="K2619" s="19">
        <v>38</v>
      </c>
      <c r="L2619" s="20">
        <v>0.1</v>
      </c>
      <c r="M2619" s="19">
        <f>Tienda!$K3396-Tienda!$K3396*Tienda!$L3396</f>
        <v>36.972000000000001</v>
      </c>
      <c r="N2619" s="3" t="s">
        <v>10039</v>
      </c>
      <c r="O2619" s="3" t="s">
        <v>10041</v>
      </c>
      <c r="P2619" s="17">
        <v>45856</v>
      </c>
      <c r="Q2619" s="4">
        <v>0</v>
      </c>
    </row>
    <row r="2620" spans="1:17" ht="30" x14ac:dyDescent="0.25">
      <c r="A2620" s="2" t="s">
        <v>3352</v>
      </c>
      <c r="B2620" s="3" t="s">
        <v>5015</v>
      </c>
      <c r="C2620" s="3">
        <v>53</v>
      </c>
      <c r="D2620" s="46" t="str">
        <f>IF(Tabla1[[#This Row],[EDAD]]&lt;=35,"Adultos jóvenes 18 - 35 años",IF(C2620&gt;=36,"Adultos mayores 36 años en adelante"))</f>
        <v>Adultos mayores 36 años en adelante</v>
      </c>
      <c r="E2620" s="3" t="s">
        <v>5020</v>
      </c>
      <c r="F2620" s="3" t="s">
        <v>5029</v>
      </c>
      <c r="G2620" s="3" t="s">
        <v>5035</v>
      </c>
      <c r="H2620" s="3" t="s">
        <v>8375</v>
      </c>
      <c r="I2620" s="17">
        <v>45859</v>
      </c>
      <c r="J2620" s="18">
        <f>YEAR(Tabla1[[#This Row],[FECHA DE COMPRA]])</f>
        <v>2025</v>
      </c>
      <c r="K2620" s="19">
        <v>39.869999999999997</v>
      </c>
      <c r="L2620" s="20">
        <v>0.1</v>
      </c>
      <c r="M2620" s="19">
        <f>Tienda!$K3397-Tienda!$K3397*Tienda!$L3397</f>
        <v>32.998000000000005</v>
      </c>
      <c r="N2620" s="3" t="s">
        <v>10039</v>
      </c>
      <c r="O2620" s="3" t="s">
        <v>10041</v>
      </c>
      <c r="P2620" s="17">
        <v>45859</v>
      </c>
      <c r="Q2620" s="4">
        <v>0</v>
      </c>
    </row>
    <row r="2621" spans="1:17" ht="30" x14ac:dyDescent="0.25">
      <c r="A2621" s="2" t="s">
        <v>2545</v>
      </c>
      <c r="B2621" s="3" t="s">
        <v>5016</v>
      </c>
      <c r="C2621" s="3">
        <v>58</v>
      </c>
      <c r="D2621" s="46" t="str">
        <f>IF(Tabla1[[#This Row],[EDAD]]&lt;=35,"Adultos jóvenes 18 - 35 años",IF(C2621&gt;=36,"Adultos mayores 36 años en adelante"))</f>
        <v>Adultos mayores 36 años en adelante</v>
      </c>
      <c r="E2621" s="3" t="s">
        <v>5023</v>
      </c>
      <c r="F2621" s="3" t="s">
        <v>5028</v>
      </c>
      <c r="G2621" s="3" t="s">
        <v>5036</v>
      </c>
      <c r="H2621" s="3" t="s">
        <v>7568</v>
      </c>
      <c r="I2621" s="17">
        <v>45839</v>
      </c>
      <c r="J2621" s="18">
        <f>YEAR(Tabla1[[#This Row],[FECHA DE COMPRA]])</f>
        <v>2025</v>
      </c>
      <c r="K2621" s="19">
        <v>49.29</v>
      </c>
      <c r="L2621" s="20">
        <v>0.1</v>
      </c>
      <c r="M2621" s="19">
        <f>Tienda!$K3398-Tienda!$K3398*Tienda!$L3398</f>
        <v>51.308999999999997</v>
      </c>
      <c r="N2621" s="3" t="s">
        <v>10039</v>
      </c>
      <c r="O2621" s="3" t="s">
        <v>10041</v>
      </c>
      <c r="P2621" s="17">
        <v>45839</v>
      </c>
      <c r="Q2621" s="4">
        <v>0</v>
      </c>
    </row>
    <row r="2622" spans="1:17" ht="30" x14ac:dyDescent="0.25">
      <c r="A2622" s="2" t="s">
        <v>3811</v>
      </c>
      <c r="B2622" s="3" t="s">
        <v>5016</v>
      </c>
      <c r="C2622" s="3">
        <v>45</v>
      </c>
      <c r="D2622" s="46" t="str">
        <f>IF(Tabla1[[#This Row],[EDAD]]&lt;=35,"Adultos jóvenes 18 - 35 años",IF(C2622&gt;=36,"Adultos mayores 36 años en adelante"))</f>
        <v>Adultos mayores 36 años en adelante</v>
      </c>
      <c r="E2622" s="3" t="s">
        <v>5019</v>
      </c>
      <c r="F2622" s="3" t="s">
        <v>5026</v>
      </c>
      <c r="G2622" s="3" t="s">
        <v>5031</v>
      </c>
      <c r="H2622" s="3" t="s">
        <v>8834</v>
      </c>
      <c r="I2622" s="17">
        <v>45839</v>
      </c>
      <c r="J2622" s="18">
        <f>YEAR(Tabla1[[#This Row],[FECHA DE COMPRA]])</f>
        <v>2025</v>
      </c>
      <c r="K2622" s="19">
        <v>56.82</v>
      </c>
      <c r="L2622" s="20">
        <v>0.3</v>
      </c>
      <c r="M2622" s="19">
        <f>Tienda!$K3400-Tienda!$K3400*Tienda!$L3400</f>
        <v>56.835000000000001</v>
      </c>
      <c r="N2622" s="3" t="s">
        <v>10039</v>
      </c>
      <c r="O2622" s="3" t="s">
        <v>10041</v>
      </c>
      <c r="P2622" s="17">
        <v>45839</v>
      </c>
      <c r="Q2622" s="4">
        <v>0</v>
      </c>
    </row>
    <row r="2623" spans="1:17" ht="30" x14ac:dyDescent="0.25">
      <c r="A2623" s="2" t="s">
        <v>4997</v>
      </c>
      <c r="B2623" s="3" t="s">
        <v>5015</v>
      </c>
      <c r="C2623" s="3">
        <v>45</v>
      </c>
      <c r="D2623" s="46" t="str">
        <f>IF(Tabla1[[#This Row],[EDAD]]&lt;=35,"Adultos jóvenes 18 - 35 años",IF(C2623&gt;=36,"Adultos mayores 36 años en adelante"))</f>
        <v>Adultos mayores 36 años en adelante</v>
      </c>
      <c r="E2623" s="3" t="s">
        <v>5017</v>
      </c>
      <c r="F2623" s="3" t="s">
        <v>5024</v>
      </c>
      <c r="G2623" s="3" t="s">
        <v>5032</v>
      </c>
      <c r="H2623" s="3" t="s">
        <v>10020</v>
      </c>
      <c r="I2623" s="17">
        <v>45867</v>
      </c>
      <c r="J2623" s="18">
        <f>YEAR(Tabla1[[#This Row],[FECHA DE COMPRA]])</f>
        <v>2025</v>
      </c>
      <c r="K2623" s="19">
        <v>57.37</v>
      </c>
      <c r="L2623" s="20">
        <v>0.3</v>
      </c>
      <c r="M2623" s="19">
        <f>Tienda!$K3401-Tienda!$K3401*Tienda!$L3401</f>
        <v>60.272999999999996</v>
      </c>
      <c r="N2623" s="3" t="s">
        <v>10039</v>
      </c>
      <c r="O2623" s="3" t="s">
        <v>10041</v>
      </c>
      <c r="P2623" s="17">
        <v>45867</v>
      </c>
      <c r="Q2623" s="4">
        <v>0</v>
      </c>
    </row>
    <row r="2624" spans="1:17" ht="30" x14ac:dyDescent="0.25">
      <c r="A2624" s="2" t="s">
        <v>2115</v>
      </c>
      <c r="B2624" s="3" t="s">
        <v>5015</v>
      </c>
      <c r="C2624" s="3">
        <v>47</v>
      </c>
      <c r="D2624" s="46" t="str">
        <f>IF(Tabla1[[#This Row],[EDAD]]&lt;=35,"Adultos jóvenes 18 - 35 años",IF(C2624&gt;=36,"Adultos mayores 36 años en adelante"))</f>
        <v>Adultos mayores 36 años en adelante</v>
      </c>
      <c r="E2624" s="3" t="s">
        <v>5018</v>
      </c>
      <c r="F2624" s="3" t="s">
        <v>5027</v>
      </c>
      <c r="G2624" s="3" t="s">
        <v>5031</v>
      </c>
      <c r="H2624" s="3" t="s">
        <v>7138</v>
      </c>
      <c r="I2624" s="17">
        <v>45863</v>
      </c>
      <c r="J2624" s="18">
        <f>YEAR(Tabla1[[#This Row],[FECHA DE COMPRA]])</f>
        <v>2025</v>
      </c>
      <c r="K2624" s="19">
        <v>59.53</v>
      </c>
      <c r="L2624" s="20">
        <v>0</v>
      </c>
      <c r="M2624" s="19">
        <f>Tienda!$K3402-Tienda!$K3402*Tienda!$L3402</f>
        <v>47.292000000000002</v>
      </c>
      <c r="N2624" s="3" t="s">
        <v>10039</v>
      </c>
      <c r="O2624" s="3" t="s">
        <v>10041</v>
      </c>
      <c r="P2624" s="17">
        <v>45863</v>
      </c>
      <c r="Q2624" s="4">
        <v>0</v>
      </c>
    </row>
    <row r="2625" spans="1:17" ht="30" x14ac:dyDescent="0.25">
      <c r="A2625" s="2" t="s">
        <v>1675</v>
      </c>
      <c r="B2625" s="3" t="s">
        <v>5015</v>
      </c>
      <c r="C2625" s="3">
        <v>58</v>
      </c>
      <c r="D2625" s="46" t="str">
        <f>IF(Tabla1[[#This Row],[EDAD]]&lt;=35,"Adultos jóvenes 18 - 35 años",IF(C2625&gt;=36,"Adultos mayores 36 años en adelante"))</f>
        <v>Adultos mayores 36 años en adelante</v>
      </c>
      <c r="E2625" s="3" t="s">
        <v>5020</v>
      </c>
      <c r="F2625" s="3" t="s">
        <v>5027</v>
      </c>
      <c r="G2625" s="3" t="s">
        <v>5036</v>
      </c>
      <c r="H2625" s="3" t="s">
        <v>6698</v>
      </c>
      <c r="I2625" s="17">
        <v>45842</v>
      </c>
      <c r="J2625" s="18">
        <f>YEAR(Tabla1[[#This Row],[FECHA DE COMPRA]])</f>
        <v>2025</v>
      </c>
      <c r="K2625" s="19">
        <v>67.680000000000007</v>
      </c>
      <c r="L2625" s="20">
        <v>0.1</v>
      </c>
      <c r="M2625" s="19">
        <f>Tienda!$K3404-Tienda!$K3404*Tienda!$L3404</f>
        <v>73.224000000000004</v>
      </c>
      <c r="N2625" s="3" t="s">
        <v>10039</v>
      </c>
      <c r="O2625" s="3" t="s">
        <v>10041</v>
      </c>
      <c r="P2625" s="17">
        <v>45842</v>
      </c>
      <c r="Q2625" s="4">
        <v>0</v>
      </c>
    </row>
    <row r="2626" spans="1:17" ht="30" x14ac:dyDescent="0.25">
      <c r="A2626" s="2" t="s">
        <v>4111</v>
      </c>
      <c r="B2626" s="3" t="s">
        <v>5015</v>
      </c>
      <c r="C2626" s="3">
        <v>58</v>
      </c>
      <c r="D2626" s="46" t="str">
        <f>IF(Tabla1[[#This Row],[EDAD]]&lt;=35,"Adultos jóvenes 18 - 35 años",IF(C2626&gt;=36,"Adultos mayores 36 años en adelante"))</f>
        <v>Adultos mayores 36 años en adelante</v>
      </c>
      <c r="E2626" s="3" t="s">
        <v>5023</v>
      </c>
      <c r="F2626" s="3" t="s">
        <v>5025</v>
      </c>
      <c r="G2626" s="3" t="s">
        <v>5033</v>
      </c>
      <c r="H2626" s="3" t="s">
        <v>9134</v>
      </c>
      <c r="I2626" s="17">
        <v>45855</v>
      </c>
      <c r="J2626" s="18">
        <f>YEAR(Tabla1[[#This Row],[FECHA DE COMPRA]])</f>
        <v>2025</v>
      </c>
      <c r="K2626" s="19">
        <v>67.92</v>
      </c>
      <c r="L2626" s="20">
        <v>0.3</v>
      </c>
      <c r="M2626" s="19">
        <f>Tienda!$K3405-Tienda!$K3405*Tienda!$L3405</f>
        <v>115.93</v>
      </c>
      <c r="N2626" s="3" t="s">
        <v>10039</v>
      </c>
      <c r="O2626" s="3" t="s">
        <v>10041</v>
      </c>
      <c r="P2626" s="17">
        <v>45855</v>
      </c>
      <c r="Q2626" s="4">
        <v>0</v>
      </c>
    </row>
    <row r="2627" spans="1:17" ht="30" x14ac:dyDescent="0.25">
      <c r="A2627" s="2" t="s">
        <v>692</v>
      </c>
      <c r="B2627" s="3" t="s">
        <v>5015</v>
      </c>
      <c r="C2627" s="3">
        <v>65</v>
      </c>
      <c r="D2627" s="46" t="str">
        <f>IF(Tabla1[[#This Row],[EDAD]]&lt;=35,"Adultos jóvenes 18 - 35 años",IF(C2627&gt;=36,"Adultos mayores 36 años en adelante"))</f>
        <v>Adultos mayores 36 años en adelante</v>
      </c>
      <c r="E2627" s="3" t="s">
        <v>5023</v>
      </c>
      <c r="F2627" s="3" t="s">
        <v>5027</v>
      </c>
      <c r="G2627" s="3" t="s">
        <v>5032</v>
      </c>
      <c r="H2627" s="3" t="s">
        <v>5715</v>
      </c>
      <c r="I2627" s="17">
        <v>45844</v>
      </c>
      <c r="J2627" s="18">
        <f>YEAR(Tabla1[[#This Row],[FECHA DE COMPRA]])</f>
        <v>2025</v>
      </c>
      <c r="K2627" s="19">
        <v>68.599999999999994</v>
      </c>
      <c r="L2627" s="20">
        <v>0.1</v>
      </c>
      <c r="M2627" s="19">
        <f>Tienda!$K3406-Tienda!$K3406*Tienda!$L3406</f>
        <v>108.52199999999999</v>
      </c>
      <c r="N2627" s="3" t="s">
        <v>10039</v>
      </c>
      <c r="O2627" s="3" t="s">
        <v>10041</v>
      </c>
      <c r="P2627" s="17">
        <v>45844</v>
      </c>
      <c r="Q2627" s="4">
        <v>0</v>
      </c>
    </row>
    <row r="2628" spans="1:17" ht="30" x14ac:dyDescent="0.25">
      <c r="A2628" s="2" t="s">
        <v>4237</v>
      </c>
      <c r="B2628" s="3" t="s">
        <v>5016</v>
      </c>
      <c r="C2628" s="3">
        <v>41</v>
      </c>
      <c r="D2628" s="46" t="str">
        <f>IF(Tabla1[[#This Row],[EDAD]]&lt;=35,"Adultos jóvenes 18 - 35 años",IF(C2628&gt;=36,"Adultos mayores 36 años en adelante"))</f>
        <v>Adultos mayores 36 años en adelante</v>
      </c>
      <c r="E2628" s="3" t="s">
        <v>5017</v>
      </c>
      <c r="F2628" s="3" t="s">
        <v>5030</v>
      </c>
      <c r="G2628" s="3" t="s">
        <v>5033</v>
      </c>
      <c r="H2628" s="3" t="s">
        <v>9260</v>
      </c>
      <c r="I2628" s="17">
        <v>45863</v>
      </c>
      <c r="J2628" s="18">
        <f>YEAR(Tabla1[[#This Row],[FECHA DE COMPRA]])</f>
        <v>2025</v>
      </c>
      <c r="K2628" s="19">
        <v>69.81</v>
      </c>
      <c r="L2628" s="20">
        <v>0</v>
      </c>
      <c r="M2628" s="19">
        <f>Tienda!$K3407-Tienda!$K3407*Tienda!$L3407</f>
        <v>87.135999999999996</v>
      </c>
      <c r="N2628" s="3" t="s">
        <v>10039</v>
      </c>
      <c r="O2628" s="3" t="s">
        <v>10041</v>
      </c>
      <c r="P2628" s="17">
        <v>45863</v>
      </c>
      <c r="Q2628" s="4">
        <v>0</v>
      </c>
    </row>
    <row r="2629" spans="1:17" ht="30" x14ac:dyDescent="0.25">
      <c r="A2629" s="2" t="s">
        <v>4446</v>
      </c>
      <c r="B2629" s="3" t="s">
        <v>5016</v>
      </c>
      <c r="C2629" s="3">
        <v>63</v>
      </c>
      <c r="D2629" s="46" t="str">
        <f>IF(Tabla1[[#This Row],[EDAD]]&lt;=35,"Adultos jóvenes 18 - 35 años",IF(C2629&gt;=36,"Adultos mayores 36 años en adelante"))</f>
        <v>Adultos mayores 36 años en adelante</v>
      </c>
      <c r="E2629" s="3" t="s">
        <v>5017</v>
      </c>
      <c r="F2629" s="3" t="s">
        <v>5028</v>
      </c>
      <c r="G2629" s="3" t="s">
        <v>5037</v>
      </c>
      <c r="H2629" s="3" t="s">
        <v>9469</v>
      </c>
      <c r="I2629" s="17">
        <v>45857</v>
      </c>
      <c r="J2629" s="18">
        <f>YEAR(Tabla1[[#This Row],[FECHA DE COMPRA]])</f>
        <v>2025</v>
      </c>
      <c r="K2629" s="19">
        <v>76.61</v>
      </c>
      <c r="L2629" s="20">
        <v>0</v>
      </c>
      <c r="M2629" s="19">
        <f>Tienda!$K3408-Tienda!$K3408*Tienda!$L3408</f>
        <v>121.36499999999999</v>
      </c>
      <c r="N2629" s="3" t="s">
        <v>10039</v>
      </c>
      <c r="O2629" s="3" t="s">
        <v>10041</v>
      </c>
      <c r="P2629" s="17">
        <v>45857</v>
      </c>
      <c r="Q2629" s="4">
        <v>0</v>
      </c>
    </row>
    <row r="2630" spans="1:17" ht="30" x14ac:dyDescent="0.25">
      <c r="A2630" s="2" t="s">
        <v>2407</v>
      </c>
      <c r="B2630" s="3" t="s">
        <v>5015</v>
      </c>
      <c r="C2630" s="3">
        <v>58</v>
      </c>
      <c r="D2630" s="46" t="str">
        <f>IF(Tabla1[[#This Row],[EDAD]]&lt;=35,"Adultos jóvenes 18 - 35 años",IF(C2630&gt;=36,"Adultos mayores 36 años en adelante"))</f>
        <v>Adultos mayores 36 años en adelante</v>
      </c>
      <c r="E2630" s="3" t="s">
        <v>5020</v>
      </c>
      <c r="F2630" s="3" t="s">
        <v>5026</v>
      </c>
      <c r="G2630" s="3" t="s">
        <v>5035</v>
      </c>
      <c r="H2630" s="3" t="s">
        <v>7430</v>
      </c>
      <c r="I2630" s="17">
        <v>45855</v>
      </c>
      <c r="J2630" s="18">
        <f>YEAR(Tabla1[[#This Row],[FECHA DE COMPRA]])</f>
        <v>2025</v>
      </c>
      <c r="K2630" s="19">
        <v>76.75</v>
      </c>
      <c r="L2630" s="20">
        <v>0.1</v>
      </c>
      <c r="M2630" s="19">
        <f>Tienda!$K3409-Tienda!$K3409*Tienda!$L3409</f>
        <v>135.4</v>
      </c>
      <c r="N2630" s="3" t="s">
        <v>10039</v>
      </c>
      <c r="O2630" s="3" t="s">
        <v>10041</v>
      </c>
      <c r="P2630" s="17">
        <v>45855</v>
      </c>
      <c r="Q2630" s="4">
        <v>0</v>
      </c>
    </row>
    <row r="2631" spans="1:17" ht="30" x14ac:dyDescent="0.25">
      <c r="A2631" s="2" t="s">
        <v>372</v>
      </c>
      <c r="B2631" s="3" t="s">
        <v>5015</v>
      </c>
      <c r="C2631" s="3">
        <v>38</v>
      </c>
      <c r="D2631" s="46" t="str">
        <f>IF(Tabla1[[#This Row],[EDAD]]&lt;=35,"Adultos jóvenes 18 - 35 años",IF(C2631&gt;=36,"Adultos mayores 36 años en adelante"))</f>
        <v>Adultos mayores 36 años en adelante</v>
      </c>
      <c r="E2631" s="3" t="s">
        <v>5018</v>
      </c>
      <c r="F2631" s="3" t="s">
        <v>5028</v>
      </c>
      <c r="G2631" s="3" t="s">
        <v>5033</v>
      </c>
      <c r="H2631" s="3" t="s">
        <v>5395</v>
      </c>
      <c r="I2631" s="17">
        <v>45861</v>
      </c>
      <c r="J2631" s="18">
        <f>YEAR(Tabla1[[#This Row],[FECHA DE COMPRA]])</f>
        <v>2025</v>
      </c>
      <c r="K2631" s="19">
        <v>77.540000000000006</v>
      </c>
      <c r="L2631" s="20">
        <v>0</v>
      </c>
      <c r="M2631" s="19">
        <f>Tienda!$K3410-Tienda!$K3410*Tienda!$L3410</f>
        <v>114.864</v>
      </c>
      <c r="N2631" s="3" t="s">
        <v>10039</v>
      </c>
      <c r="O2631" s="3" t="s">
        <v>10041</v>
      </c>
      <c r="P2631" s="17">
        <v>45861</v>
      </c>
      <c r="Q2631" s="4">
        <v>0</v>
      </c>
    </row>
    <row r="2632" spans="1:17" ht="30" x14ac:dyDescent="0.25">
      <c r="A2632" s="2" t="s">
        <v>2485</v>
      </c>
      <c r="B2632" s="3" t="s">
        <v>5015</v>
      </c>
      <c r="C2632" s="3">
        <v>42</v>
      </c>
      <c r="D2632" s="46" t="str">
        <f>IF(Tabla1[[#This Row],[EDAD]]&lt;=35,"Adultos jóvenes 18 - 35 años",IF(C2632&gt;=36,"Adultos mayores 36 años en adelante"))</f>
        <v>Adultos mayores 36 años en adelante</v>
      </c>
      <c r="E2632" s="3" t="s">
        <v>5018</v>
      </c>
      <c r="F2632" s="3" t="s">
        <v>5028</v>
      </c>
      <c r="G2632" s="3" t="s">
        <v>5033</v>
      </c>
      <c r="H2632" s="3" t="s">
        <v>7508</v>
      </c>
      <c r="I2632" s="17">
        <v>45848</v>
      </c>
      <c r="J2632" s="18">
        <f>YEAR(Tabla1[[#This Row],[FECHA DE COMPRA]])</f>
        <v>2025</v>
      </c>
      <c r="K2632" s="19">
        <v>77.760000000000005</v>
      </c>
      <c r="L2632" s="20">
        <v>0.1</v>
      </c>
      <c r="M2632" s="19">
        <f>Tienda!$K3411-Tienda!$K3411*Tienda!$L3411</f>
        <v>159.93</v>
      </c>
      <c r="N2632" s="3" t="s">
        <v>10039</v>
      </c>
      <c r="O2632" s="3" t="s">
        <v>10041</v>
      </c>
      <c r="P2632" s="17">
        <v>45848</v>
      </c>
      <c r="Q2632" s="4">
        <v>0</v>
      </c>
    </row>
    <row r="2633" spans="1:17" ht="30" x14ac:dyDescent="0.25">
      <c r="A2633" s="2" t="s">
        <v>4164</v>
      </c>
      <c r="B2633" s="3" t="s">
        <v>5015</v>
      </c>
      <c r="C2633" s="3">
        <v>46</v>
      </c>
      <c r="D2633" s="46" t="str">
        <f>IF(Tabla1[[#This Row],[EDAD]]&lt;=35,"Adultos jóvenes 18 - 35 años",IF(C2633&gt;=36,"Adultos mayores 36 años en adelante"))</f>
        <v>Adultos mayores 36 años en adelante</v>
      </c>
      <c r="E2633" s="3" t="s">
        <v>5018</v>
      </c>
      <c r="F2633" s="3" t="s">
        <v>5029</v>
      </c>
      <c r="G2633" s="3" t="s">
        <v>5033</v>
      </c>
      <c r="H2633" s="3" t="s">
        <v>9187</v>
      </c>
      <c r="I2633" s="17">
        <v>45849</v>
      </c>
      <c r="J2633" s="18">
        <f>YEAR(Tabla1[[#This Row],[FECHA DE COMPRA]])</f>
        <v>2025</v>
      </c>
      <c r="K2633" s="19">
        <v>80.430000000000007</v>
      </c>
      <c r="L2633" s="20">
        <v>0.2</v>
      </c>
      <c r="M2633" s="19">
        <f>Tienda!$K3414-Tienda!$K3414*Tienda!$L3414</f>
        <v>160.46099999999998</v>
      </c>
      <c r="N2633" s="3" t="s">
        <v>10039</v>
      </c>
      <c r="O2633" s="3" t="s">
        <v>10041</v>
      </c>
      <c r="P2633" s="17">
        <v>45849</v>
      </c>
      <c r="Q2633" s="4">
        <v>0</v>
      </c>
    </row>
    <row r="2634" spans="1:17" ht="30" x14ac:dyDescent="0.25">
      <c r="A2634" s="2" t="s">
        <v>2904</v>
      </c>
      <c r="B2634" s="3" t="s">
        <v>5015</v>
      </c>
      <c r="C2634" s="3">
        <v>61</v>
      </c>
      <c r="D2634" s="46" t="str">
        <f>IF(Tabla1[[#This Row],[EDAD]]&lt;=35,"Adultos jóvenes 18 - 35 años",IF(C2634&gt;=36,"Adultos mayores 36 años en adelante"))</f>
        <v>Adultos mayores 36 años en adelante</v>
      </c>
      <c r="E2634" s="3" t="s">
        <v>5020</v>
      </c>
      <c r="F2634" s="3" t="s">
        <v>5025</v>
      </c>
      <c r="G2634" s="3" t="s">
        <v>5034</v>
      </c>
      <c r="H2634" s="3" t="s">
        <v>7927</v>
      </c>
      <c r="I2634" s="17">
        <v>45844</v>
      </c>
      <c r="J2634" s="18">
        <f>YEAR(Tabla1[[#This Row],[FECHA DE COMPRA]])</f>
        <v>2025</v>
      </c>
      <c r="K2634" s="19">
        <v>82.3</v>
      </c>
      <c r="L2634" s="20">
        <v>0.2</v>
      </c>
      <c r="M2634" s="19">
        <f>Tienda!$K3415-Tienda!$K3415*Tienda!$L3415</f>
        <v>163.55699999999999</v>
      </c>
      <c r="N2634" s="3" t="s">
        <v>10039</v>
      </c>
      <c r="O2634" s="3" t="s">
        <v>10041</v>
      </c>
      <c r="P2634" s="17">
        <v>45844</v>
      </c>
      <c r="Q2634" s="4">
        <v>0</v>
      </c>
    </row>
    <row r="2635" spans="1:17" ht="30" x14ac:dyDescent="0.25">
      <c r="A2635" s="2" t="s">
        <v>4920</v>
      </c>
      <c r="B2635" s="3" t="s">
        <v>5016</v>
      </c>
      <c r="C2635" s="3">
        <v>51</v>
      </c>
      <c r="D2635" s="46" t="str">
        <f>IF(Tabla1[[#This Row],[EDAD]]&lt;=35,"Adultos jóvenes 18 - 35 años",IF(C2635&gt;=36,"Adultos mayores 36 años en adelante"))</f>
        <v>Adultos mayores 36 años en adelante</v>
      </c>
      <c r="E2635" s="3" t="s">
        <v>5021</v>
      </c>
      <c r="F2635" s="3" t="s">
        <v>5024</v>
      </c>
      <c r="G2635" s="3" t="s">
        <v>5035</v>
      </c>
      <c r="H2635" s="3" t="s">
        <v>9943</v>
      </c>
      <c r="I2635" s="17">
        <v>45864</v>
      </c>
      <c r="J2635" s="18">
        <f>YEAR(Tabla1[[#This Row],[FECHA DE COMPRA]])</f>
        <v>2025</v>
      </c>
      <c r="K2635" s="19">
        <v>84.61</v>
      </c>
      <c r="L2635" s="20">
        <v>0.3</v>
      </c>
      <c r="M2635" s="19">
        <f>Tienda!$K3417-Tienda!$K3417*Tienda!$L3417</f>
        <v>170.667</v>
      </c>
      <c r="N2635" s="3" t="s">
        <v>10039</v>
      </c>
      <c r="O2635" s="3" t="s">
        <v>10041</v>
      </c>
      <c r="P2635" s="17">
        <v>45864</v>
      </c>
      <c r="Q2635" s="4">
        <v>0</v>
      </c>
    </row>
    <row r="2636" spans="1:17" ht="30" x14ac:dyDescent="0.25">
      <c r="A2636" s="2" t="s">
        <v>466</v>
      </c>
      <c r="B2636" s="3" t="s">
        <v>5015</v>
      </c>
      <c r="C2636" s="3">
        <v>46</v>
      </c>
      <c r="D2636" s="46" t="str">
        <f>IF(Tabla1[[#This Row],[EDAD]]&lt;=35,"Adultos jóvenes 18 - 35 años",IF(C2636&gt;=36,"Adultos mayores 36 años en adelante"))</f>
        <v>Adultos mayores 36 años en adelante</v>
      </c>
      <c r="E2636" s="3" t="s">
        <v>5022</v>
      </c>
      <c r="F2636" s="3" t="s">
        <v>5030</v>
      </c>
      <c r="G2636" s="3" t="s">
        <v>5036</v>
      </c>
      <c r="H2636" s="3" t="s">
        <v>5489</v>
      </c>
      <c r="I2636" s="17">
        <v>45843</v>
      </c>
      <c r="J2636" s="18">
        <f>YEAR(Tabla1[[#This Row],[FECHA DE COMPRA]])</f>
        <v>2025</v>
      </c>
      <c r="K2636" s="19">
        <v>85.74</v>
      </c>
      <c r="L2636" s="20">
        <v>0</v>
      </c>
      <c r="M2636" s="19">
        <f>Tienda!$K3418-Tienda!$K3418*Tienda!$L3418</f>
        <v>198.26</v>
      </c>
      <c r="N2636" s="3" t="s">
        <v>10039</v>
      </c>
      <c r="O2636" s="3" t="s">
        <v>10041</v>
      </c>
      <c r="P2636" s="17">
        <v>45843</v>
      </c>
      <c r="Q2636" s="4">
        <v>0</v>
      </c>
    </row>
    <row r="2637" spans="1:17" ht="30" x14ac:dyDescent="0.25">
      <c r="A2637" s="2" t="s">
        <v>1821</v>
      </c>
      <c r="B2637" s="3" t="s">
        <v>5015</v>
      </c>
      <c r="C2637" s="3">
        <v>44</v>
      </c>
      <c r="D2637" s="46" t="str">
        <f>IF(Tabla1[[#This Row],[EDAD]]&lt;=35,"Adultos jóvenes 18 - 35 años",IF(C2637&gt;=36,"Adultos mayores 36 años en adelante"))</f>
        <v>Adultos mayores 36 años en adelante</v>
      </c>
      <c r="E2637" s="3" t="s">
        <v>5018</v>
      </c>
      <c r="F2637" s="3" t="s">
        <v>5026</v>
      </c>
      <c r="G2637" s="3" t="s">
        <v>5035</v>
      </c>
      <c r="H2637" s="3" t="s">
        <v>6844</v>
      </c>
      <c r="I2637" s="17">
        <v>45859</v>
      </c>
      <c r="J2637" s="18">
        <f>YEAR(Tabla1[[#This Row],[FECHA DE COMPRA]])</f>
        <v>2025</v>
      </c>
      <c r="K2637" s="19">
        <v>86.37</v>
      </c>
      <c r="L2637" s="20">
        <v>0.3</v>
      </c>
      <c r="M2637" s="19">
        <f>Tienda!$K3419-Tienda!$K3419*Tienda!$L3419</f>
        <v>89.8</v>
      </c>
      <c r="N2637" s="3" t="s">
        <v>10039</v>
      </c>
      <c r="O2637" s="3" t="s">
        <v>10041</v>
      </c>
      <c r="P2637" s="17">
        <v>45859</v>
      </c>
      <c r="Q2637" s="4">
        <v>0</v>
      </c>
    </row>
    <row r="2638" spans="1:17" ht="30" x14ac:dyDescent="0.25">
      <c r="A2638" s="2" t="s">
        <v>4691</v>
      </c>
      <c r="B2638" s="3" t="s">
        <v>5015</v>
      </c>
      <c r="C2638" s="3">
        <v>49</v>
      </c>
      <c r="D2638" s="46" t="str">
        <f>IF(Tabla1[[#This Row],[EDAD]]&lt;=35,"Adultos jóvenes 18 - 35 años",IF(C2638&gt;=36,"Adultos mayores 36 años en adelante"))</f>
        <v>Adultos mayores 36 años en adelante</v>
      </c>
      <c r="E2638" s="3" t="s">
        <v>5017</v>
      </c>
      <c r="F2638" s="3" t="s">
        <v>5024</v>
      </c>
      <c r="G2638" s="3" t="s">
        <v>5032</v>
      </c>
      <c r="H2638" s="3" t="s">
        <v>9714</v>
      </c>
      <c r="I2638" s="17">
        <v>45865</v>
      </c>
      <c r="J2638" s="18">
        <f>YEAR(Tabla1[[#This Row],[FECHA DE COMPRA]])</f>
        <v>2025</v>
      </c>
      <c r="K2638" s="19">
        <v>87.81</v>
      </c>
      <c r="L2638" s="20">
        <v>0.3</v>
      </c>
      <c r="M2638" s="19">
        <f>Tienda!$K3420-Tienda!$K3420*Tienda!$L3420</f>
        <v>34.167000000000002</v>
      </c>
      <c r="N2638" s="3" t="s">
        <v>10039</v>
      </c>
      <c r="O2638" s="3" t="s">
        <v>10041</v>
      </c>
      <c r="P2638" s="17">
        <v>45865</v>
      </c>
      <c r="Q2638" s="4">
        <v>0</v>
      </c>
    </row>
    <row r="2639" spans="1:17" ht="30" x14ac:dyDescent="0.25">
      <c r="A2639" s="2" t="s">
        <v>1337</v>
      </c>
      <c r="B2639" s="3" t="s">
        <v>5015</v>
      </c>
      <c r="C2639" s="3">
        <v>42</v>
      </c>
      <c r="D2639" s="46" t="str">
        <f>IF(Tabla1[[#This Row],[EDAD]]&lt;=35,"Adultos jóvenes 18 - 35 años",IF(C2639&gt;=36,"Adultos mayores 36 años en adelante"))</f>
        <v>Adultos mayores 36 años en adelante</v>
      </c>
      <c r="E2639" s="3" t="s">
        <v>5020</v>
      </c>
      <c r="F2639" s="3" t="s">
        <v>5030</v>
      </c>
      <c r="G2639" s="3" t="s">
        <v>5036</v>
      </c>
      <c r="H2639" s="3" t="s">
        <v>6360</v>
      </c>
      <c r="I2639" s="17">
        <v>45852</v>
      </c>
      <c r="J2639" s="18">
        <f>YEAR(Tabla1[[#This Row],[FECHA DE COMPRA]])</f>
        <v>2025</v>
      </c>
      <c r="K2639" s="19">
        <v>89.72</v>
      </c>
      <c r="L2639" s="20">
        <v>0.3</v>
      </c>
      <c r="M2639" s="19">
        <f>Tienda!$K3421-Tienda!$K3421*Tienda!$L3421</f>
        <v>114.52000000000001</v>
      </c>
      <c r="N2639" s="3" t="s">
        <v>10039</v>
      </c>
      <c r="O2639" s="3" t="s">
        <v>10041</v>
      </c>
      <c r="P2639" s="17">
        <v>45852</v>
      </c>
      <c r="Q2639" s="4">
        <v>0</v>
      </c>
    </row>
    <row r="2640" spans="1:17" ht="30" x14ac:dyDescent="0.25">
      <c r="A2640" s="2" t="s">
        <v>1610</v>
      </c>
      <c r="B2640" s="3" t="s">
        <v>5015</v>
      </c>
      <c r="C2640" s="3">
        <v>44</v>
      </c>
      <c r="D2640" s="46" t="str">
        <f>IF(Tabla1[[#This Row],[EDAD]]&lt;=35,"Adultos jóvenes 18 - 35 años",IF(C2640&gt;=36,"Adultos mayores 36 años en adelante"))</f>
        <v>Adultos mayores 36 años en adelante</v>
      </c>
      <c r="E2640" s="3" t="s">
        <v>5022</v>
      </c>
      <c r="F2640" s="3" t="s">
        <v>5028</v>
      </c>
      <c r="G2640" s="3" t="s">
        <v>5034</v>
      </c>
      <c r="H2640" s="3" t="s">
        <v>6633</v>
      </c>
      <c r="I2640" s="17">
        <v>45858</v>
      </c>
      <c r="J2640" s="18">
        <f>YEAR(Tabla1[[#This Row],[FECHA DE COMPRA]])</f>
        <v>2025</v>
      </c>
      <c r="K2640" s="19">
        <v>91.31</v>
      </c>
      <c r="L2640" s="20">
        <v>0.2</v>
      </c>
      <c r="M2640" s="19">
        <f>Tienda!$K3423-Tienda!$K3423*Tienda!$L3423</f>
        <v>81.48</v>
      </c>
      <c r="N2640" s="3" t="s">
        <v>10039</v>
      </c>
      <c r="O2640" s="3" t="s">
        <v>10041</v>
      </c>
      <c r="P2640" s="17">
        <v>45858</v>
      </c>
      <c r="Q2640" s="4">
        <v>0</v>
      </c>
    </row>
    <row r="2641" spans="1:17" ht="30" x14ac:dyDescent="0.25">
      <c r="A2641" s="2" t="s">
        <v>406</v>
      </c>
      <c r="B2641" s="3" t="s">
        <v>5016</v>
      </c>
      <c r="C2641" s="3">
        <v>50</v>
      </c>
      <c r="D2641" s="46" t="str">
        <f>IF(Tabla1[[#This Row],[EDAD]]&lt;=35,"Adultos jóvenes 18 - 35 años",IF(C2641&gt;=36,"Adultos mayores 36 años en adelante"))</f>
        <v>Adultos mayores 36 años en adelante</v>
      </c>
      <c r="E2641" s="3" t="s">
        <v>5017</v>
      </c>
      <c r="F2641" s="3" t="s">
        <v>5026</v>
      </c>
      <c r="G2641" s="3" t="s">
        <v>5032</v>
      </c>
      <c r="H2641" s="3" t="s">
        <v>5429</v>
      </c>
      <c r="I2641" s="17">
        <v>45841</v>
      </c>
      <c r="J2641" s="18">
        <f>YEAR(Tabla1[[#This Row],[FECHA DE COMPRA]])</f>
        <v>2025</v>
      </c>
      <c r="K2641" s="19">
        <v>92.28</v>
      </c>
      <c r="L2641" s="20">
        <v>0</v>
      </c>
      <c r="M2641" s="19">
        <f>Tienda!$K3424-Tienda!$K3424*Tienda!$L3424</f>
        <v>53.816000000000003</v>
      </c>
      <c r="N2641" s="3" t="s">
        <v>10039</v>
      </c>
      <c r="O2641" s="3" t="s">
        <v>10041</v>
      </c>
      <c r="P2641" s="17">
        <v>45841</v>
      </c>
      <c r="Q2641" s="4">
        <v>0</v>
      </c>
    </row>
    <row r="2642" spans="1:17" ht="30" x14ac:dyDescent="0.25">
      <c r="A2642" s="2" t="s">
        <v>2180</v>
      </c>
      <c r="B2642" s="3" t="s">
        <v>5015</v>
      </c>
      <c r="C2642" s="3">
        <v>57</v>
      </c>
      <c r="D2642" s="46" t="str">
        <f>IF(Tabla1[[#This Row],[EDAD]]&lt;=35,"Adultos jóvenes 18 - 35 años",IF(C2642&gt;=36,"Adultos mayores 36 años en adelante"))</f>
        <v>Adultos mayores 36 años en adelante</v>
      </c>
      <c r="E2642" s="3" t="s">
        <v>5018</v>
      </c>
      <c r="F2642" s="3" t="s">
        <v>5024</v>
      </c>
      <c r="G2642" s="3" t="s">
        <v>5031</v>
      </c>
      <c r="H2642" s="3" t="s">
        <v>7203</v>
      </c>
      <c r="I2642" s="17">
        <v>45867</v>
      </c>
      <c r="J2642" s="18">
        <f>YEAR(Tabla1[[#This Row],[FECHA DE COMPRA]])</f>
        <v>2025</v>
      </c>
      <c r="K2642" s="19">
        <v>93.97</v>
      </c>
      <c r="L2642" s="20">
        <v>0</v>
      </c>
      <c r="M2642" s="19">
        <f>Tienda!$K3425-Tienda!$K3425*Tienda!$L3425</f>
        <v>149.45599999999999</v>
      </c>
      <c r="N2642" s="3" t="s">
        <v>10039</v>
      </c>
      <c r="O2642" s="3" t="s">
        <v>10041</v>
      </c>
      <c r="P2642" s="17">
        <v>45867</v>
      </c>
      <c r="Q2642" s="4">
        <v>0</v>
      </c>
    </row>
    <row r="2643" spans="1:17" ht="30" x14ac:dyDescent="0.25">
      <c r="A2643" s="2" t="s">
        <v>2463</v>
      </c>
      <c r="B2643" s="3" t="s">
        <v>5015</v>
      </c>
      <c r="C2643" s="3">
        <v>57</v>
      </c>
      <c r="D2643" s="46" t="str">
        <f>IF(Tabla1[[#This Row],[EDAD]]&lt;=35,"Adultos jóvenes 18 - 35 años",IF(C2643&gt;=36,"Adultos mayores 36 años en adelante"))</f>
        <v>Adultos mayores 36 años en adelante</v>
      </c>
      <c r="E2643" s="3" t="s">
        <v>5020</v>
      </c>
      <c r="F2643" s="3" t="s">
        <v>5027</v>
      </c>
      <c r="G2643" s="3" t="s">
        <v>5035</v>
      </c>
      <c r="H2643" s="3" t="s">
        <v>7486</v>
      </c>
      <c r="I2643" s="17">
        <v>45848</v>
      </c>
      <c r="J2643" s="18">
        <f>YEAR(Tabla1[[#This Row],[FECHA DE COMPRA]])</f>
        <v>2025</v>
      </c>
      <c r="K2643" s="19">
        <v>95.99</v>
      </c>
      <c r="L2643" s="20">
        <v>0.3</v>
      </c>
      <c r="M2643" s="19">
        <f>Tienda!$K3427-Tienda!$K3427*Tienda!$L3427</f>
        <v>172.01</v>
      </c>
      <c r="N2643" s="3" t="s">
        <v>10039</v>
      </c>
      <c r="O2643" s="3" t="s">
        <v>10041</v>
      </c>
      <c r="P2643" s="17">
        <v>45848</v>
      </c>
      <c r="Q2643" s="4">
        <v>0</v>
      </c>
    </row>
    <row r="2644" spans="1:17" ht="30" x14ac:dyDescent="0.25">
      <c r="A2644" s="2" t="s">
        <v>3363</v>
      </c>
      <c r="B2644" s="3" t="s">
        <v>5016</v>
      </c>
      <c r="C2644" s="3">
        <v>50</v>
      </c>
      <c r="D2644" s="46" t="str">
        <f>IF(Tabla1[[#This Row],[EDAD]]&lt;=35,"Adultos jóvenes 18 - 35 años",IF(C2644&gt;=36,"Adultos mayores 36 años en adelante"))</f>
        <v>Adultos mayores 36 años en adelante</v>
      </c>
      <c r="E2644" s="3" t="s">
        <v>5017</v>
      </c>
      <c r="F2644" s="3" t="s">
        <v>5026</v>
      </c>
      <c r="G2644" s="3" t="s">
        <v>5031</v>
      </c>
      <c r="H2644" s="3" t="s">
        <v>8386</v>
      </c>
      <c r="I2644" s="17">
        <v>45845</v>
      </c>
      <c r="J2644" s="18">
        <f>YEAR(Tabla1[[#This Row],[FECHA DE COMPRA]])</f>
        <v>2025</v>
      </c>
      <c r="K2644" s="19">
        <v>96.25</v>
      </c>
      <c r="L2644" s="20">
        <v>0.1</v>
      </c>
      <c r="M2644" s="19">
        <f>Tienda!$K3428-Tienda!$K3428*Tienda!$L3428</f>
        <v>68.831000000000003</v>
      </c>
      <c r="N2644" s="3" t="s">
        <v>10039</v>
      </c>
      <c r="O2644" s="3" t="s">
        <v>10041</v>
      </c>
      <c r="P2644" s="17">
        <v>45845</v>
      </c>
      <c r="Q2644" s="4">
        <v>0</v>
      </c>
    </row>
    <row r="2645" spans="1:17" ht="30" x14ac:dyDescent="0.25">
      <c r="A2645" s="2" t="s">
        <v>141</v>
      </c>
      <c r="B2645" s="3" t="s">
        <v>5016</v>
      </c>
      <c r="C2645" s="3">
        <v>57</v>
      </c>
      <c r="D2645" s="46" t="str">
        <f>IF(Tabla1[[#This Row],[EDAD]]&lt;=35,"Adultos jóvenes 18 - 35 años",IF(C2645&gt;=36,"Adultos mayores 36 años en adelante"))</f>
        <v>Adultos mayores 36 años en adelante</v>
      </c>
      <c r="E2645" s="3" t="s">
        <v>5019</v>
      </c>
      <c r="F2645" s="3" t="s">
        <v>5028</v>
      </c>
      <c r="G2645" s="3" t="s">
        <v>5033</v>
      </c>
      <c r="H2645" s="3" t="s">
        <v>5164</v>
      </c>
      <c r="I2645" s="17">
        <v>45852</v>
      </c>
      <c r="J2645" s="18">
        <f>YEAR(Tabla1[[#This Row],[FECHA DE COMPRA]])</f>
        <v>2025</v>
      </c>
      <c r="K2645" s="19">
        <v>113.89</v>
      </c>
      <c r="L2645" s="20">
        <v>0.3</v>
      </c>
      <c r="M2645" s="19">
        <f>Tienda!$K3436-Tienda!$K3436*Tienda!$L3436</f>
        <v>31.760999999999999</v>
      </c>
      <c r="N2645" s="3" t="s">
        <v>10039</v>
      </c>
      <c r="O2645" s="3" t="s">
        <v>10041</v>
      </c>
      <c r="P2645" s="17">
        <v>45852</v>
      </c>
      <c r="Q2645" s="4">
        <v>0</v>
      </c>
    </row>
    <row r="2646" spans="1:17" ht="30" x14ac:dyDescent="0.25">
      <c r="A2646" s="2" t="s">
        <v>2695</v>
      </c>
      <c r="B2646" s="3" t="s">
        <v>5015</v>
      </c>
      <c r="C2646" s="3">
        <v>43</v>
      </c>
      <c r="D2646" s="46" t="str">
        <f>IF(Tabla1[[#This Row],[EDAD]]&lt;=35,"Adultos jóvenes 18 - 35 años",IF(C2646&gt;=36,"Adultos mayores 36 años en adelante"))</f>
        <v>Adultos mayores 36 años en adelante</v>
      </c>
      <c r="E2646" s="3" t="s">
        <v>5019</v>
      </c>
      <c r="F2646" s="3" t="s">
        <v>5025</v>
      </c>
      <c r="G2646" s="3" t="s">
        <v>5037</v>
      </c>
      <c r="H2646" s="3" t="s">
        <v>7718</v>
      </c>
      <c r="I2646" s="17">
        <v>45858</v>
      </c>
      <c r="J2646" s="18">
        <f>YEAR(Tabla1[[#This Row],[FECHA DE COMPRA]])</f>
        <v>2025</v>
      </c>
      <c r="K2646" s="19">
        <v>115.14</v>
      </c>
      <c r="L2646" s="20">
        <v>0.3</v>
      </c>
      <c r="M2646" s="19">
        <f>Tienda!$K3438-Tienda!$K3438*Tienda!$L3438</f>
        <v>158.80000000000001</v>
      </c>
      <c r="N2646" s="3" t="s">
        <v>10039</v>
      </c>
      <c r="O2646" s="3" t="s">
        <v>10041</v>
      </c>
      <c r="P2646" s="17">
        <v>45858</v>
      </c>
      <c r="Q2646" s="4">
        <v>0</v>
      </c>
    </row>
    <row r="2647" spans="1:17" ht="30" x14ac:dyDescent="0.25">
      <c r="A2647" s="2" t="s">
        <v>2601</v>
      </c>
      <c r="B2647" s="3" t="s">
        <v>5015</v>
      </c>
      <c r="C2647" s="3">
        <v>41</v>
      </c>
      <c r="D2647" s="46" t="str">
        <f>IF(Tabla1[[#This Row],[EDAD]]&lt;=35,"Adultos jóvenes 18 - 35 años",IF(C2647&gt;=36,"Adultos mayores 36 años en adelante"))</f>
        <v>Adultos mayores 36 años en adelante</v>
      </c>
      <c r="E2647" s="3" t="s">
        <v>5022</v>
      </c>
      <c r="F2647" s="3" t="s">
        <v>5028</v>
      </c>
      <c r="G2647" s="3" t="s">
        <v>5037</v>
      </c>
      <c r="H2647" s="3" t="s">
        <v>7624</v>
      </c>
      <c r="I2647" s="17">
        <v>45839</v>
      </c>
      <c r="J2647" s="18">
        <f>YEAR(Tabla1[[#This Row],[FECHA DE COMPRA]])</f>
        <v>2025</v>
      </c>
      <c r="K2647" s="19">
        <v>120.53</v>
      </c>
      <c r="L2647" s="20">
        <v>0.3</v>
      </c>
      <c r="M2647" s="19">
        <f>Tienda!$K3440-Tienda!$K3440*Tienda!$L3440</f>
        <v>19.72</v>
      </c>
      <c r="N2647" s="3" t="s">
        <v>10039</v>
      </c>
      <c r="O2647" s="3" t="s">
        <v>10041</v>
      </c>
      <c r="P2647" s="17">
        <v>45839</v>
      </c>
      <c r="Q2647" s="4">
        <v>0</v>
      </c>
    </row>
    <row r="2648" spans="1:17" ht="30" x14ac:dyDescent="0.25">
      <c r="A2648" s="2" t="s">
        <v>4051</v>
      </c>
      <c r="B2648" s="3" t="s">
        <v>5015</v>
      </c>
      <c r="C2648" s="3">
        <v>42</v>
      </c>
      <c r="D2648" s="46" t="str">
        <f>IF(Tabla1[[#This Row],[EDAD]]&lt;=35,"Adultos jóvenes 18 - 35 años",IF(C2648&gt;=36,"Adultos mayores 36 años en adelante"))</f>
        <v>Adultos mayores 36 años en adelante</v>
      </c>
      <c r="E2648" s="3" t="s">
        <v>5018</v>
      </c>
      <c r="F2648" s="3" t="s">
        <v>5028</v>
      </c>
      <c r="G2648" s="3" t="s">
        <v>5031</v>
      </c>
      <c r="H2648" s="3" t="s">
        <v>9074</v>
      </c>
      <c r="I2648" s="17">
        <v>45851</v>
      </c>
      <c r="J2648" s="18">
        <f>YEAR(Tabla1[[#This Row],[FECHA DE COMPRA]])</f>
        <v>2025</v>
      </c>
      <c r="K2648" s="19">
        <v>120.76</v>
      </c>
      <c r="L2648" s="20">
        <v>0</v>
      </c>
      <c r="M2648" s="19">
        <f>Tienda!$K3441-Tienda!$K3441*Tienda!$L3441</f>
        <v>16.506</v>
      </c>
      <c r="N2648" s="3" t="s">
        <v>10039</v>
      </c>
      <c r="O2648" s="3" t="s">
        <v>10041</v>
      </c>
      <c r="P2648" s="17">
        <v>45851</v>
      </c>
      <c r="Q2648" s="4">
        <v>0</v>
      </c>
    </row>
    <row r="2649" spans="1:17" ht="30" x14ac:dyDescent="0.25">
      <c r="A2649" s="2" t="s">
        <v>1528</v>
      </c>
      <c r="B2649" s="3" t="s">
        <v>5015</v>
      </c>
      <c r="C2649" s="3">
        <v>42</v>
      </c>
      <c r="D2649" s="46" t="str">
        <f>IF(Tabla1[[#This Row],[EDAD]]&lt;=35,"Adultos jóvenes 18 - 35 años",IF(C2649&gt;=36,"Adultos mayores 36 años en adelante"))</f>
        <v>Adultos mayores 36 años en adelante</v>
      </c>
      <c r="E2649" s="3" t="s">
        <v>5023</v>
      </c>
      <c r="F2649" s="3" t="s">
        <v>5028</v>
      </c>
      <c r="G2649" s="3" t="s">
        <v>5035</v>
      </c>
      <c r="H2649" s="3" t="s">
        <v>6551</v>
      </c>
      <c r="I2649" s="17">
        <v>45853</v>
      </c>
      <c r="J2649" s="18">
        <f>YEAR(Tabla1[[#This Row],[FECHA DE COMPRA]])</f>
        <v>2025</v>
      </c>
      <c r="K2649" s="19">
        <v>123.44</v>
      </c>
      <c r="L2649" s="20">
        <v>0</v>
      </c>
      <c r="M2649" s="19">
        <f>Tienda!$K3443-Tienda!$K3443*Tienda!$L3443</f>
        <v>42.76</v>
      </c>
      <c r="N2649" s="3" t="s">
        <v>10039</v>
      </c>
      <c r="O2649" s="3" t="s">
        <v>10041</v>
      </c>
      <c r="P2649" s="17">
        <v>45853</v>
      </c>
      <c r="Q2649" s="4">
        <v>0</v>
      </c>
    </row>
    <row r="2650" spans="1:17" ht="30" x14ac:dyDescent="0.25">
      <c r="A2650" s="2" t="s">
        <v>1233</v>
      </c>
      <c r="B2650" s="3" t="s">
        <v>5015</v>
      </c>
      <c r="C2650" s="3">
        <v>59</v>
      </c>
      <c r="D2650" s="46" t="str">
        <f>IF(Tabla1[[#This Row],[EDAD]]&lt;=35,"Adultos jóvenes 18 - 35 años",IF(C2650&gt;=36,"Adultos mayores 36 años en adelante"))</f>
        <v>Adultos mayores 36 años en adelante</v>
      </c>
      <c r="E2650" s="3" t="s">
        <v>5018</v>
      </c>
      <c r="F2650" s="3" t="s">
        <v>5030</v>
      </c>
      <c r="G2650" s="3" t="s">
        <v>5034</v>
      </c>
      <c r="H2650" s="3" t="s">
        <v>6256</v>
      </c>
      <c r="I2650" s="17">
        <v>45869</v>
      </c>
      <c r="J2650" s="18">
        <f>YEAR(Tabla1[[#This Row],[FECHA DE COMPRA]])</f>
        <v>2025</v>
      </c>
      <c r="K2650" s="19">
        <v>126.09</v>
      </c>
      <c r="L2650" s="20">
        <v>0.2</v>
      </c>
      <c r="M2650" s="19">
        <f>Tienda!$K3445-Tienda!$K3445*Tienda!$L3445</f>
        <v>38.829000000000001</v>
      </c>
      <c r="N2650" s="3" t="s">
        <v>10039</v>
      </c>
      <c r="O2650" s="3" t="s">
        <v>10041</v>
      </c>
      <c r="P2650" s="17">
        <v>45869</v>
      </c>
      <c r="Q2650" s="4">
        <v>0</v>
      </c>
    </row>
    <row r="2651" spans="1:17" ht="30" x14ac:dyDescent="0.25">
      <c r="A2651" s="2" t="s">
        <v>3644</v>
      </c>
      <c r="B2651" s="3" t="s">
        <v>5015</v>
      </c>
      <c r="C2651" s="3">
        <v>49</v>
      </c>
      <c r="D2651" s="46" t="str">
        <f>IF(Tabla1[[#This Row],[EDAD]]&lt;=35,"Adultos jóvenes 18 - 35 años",IF(C2651&gt;=36,"Adultos mayores 36 años en adelante"))</f>
        <v>Adultos mayores 36 años en adelante</v>
      </c>
      <c r="E2651" s="3" t="s">
        <v>5017</v>
      </c>
      <c r="F2651" s="3" t="s">
        <v>5029</v>
      </c>
      <c r="G2651" s="3" t="s">
        <v>5036</v>
      </c>
      <c r="H2651" s="3" t="s">
        <v>8667</v>
      </c>
      <c r="I2651" s="17">
        <v>45854</v>
      </c>
      <c r="J2651" s="18">
        <f>YEAR(Tabla1[[#This Row],[FECHA DE COMPRA]])</f>
        <v>2025</v>
      </c>
      <c r="K2651" s="19">
        <v>130.68</v>
      </c>
      <c r="L2651" s="20">
        <v>0.1</v>
      </c>
      <c r="M2651" s="19">
        <f>Tienda!$K3446-Tienda!$K3446*Tienda!$L3446</f>
        <v>57.97</v>
      </c>
      <c r="N2651" s="3" t="s">
        <v>10039</v>
      </c>
      <c r="O2651" s="3" t="s">
        <v>10041</v>
      </c>
      <c r="P2651" s="17">
        <v>45854</v>
      </c>
      <c r="Q2651" s="4">
        <v>0</v>
      </c>
    </row>
    <row r="2652" spans="1:17" ht="30" x14ac:dyDescent="0.25">
      <c r="A2652" s="2" t="s">
        <v>4532</v>
      </c>
      <c r="B2652" s="3" t="s">
        <v>5015</v>
      </c>
      <c r="C2652" s="3">
        <v>56</v>
      </c>
      <c r="D2652" s="46" t="str">
        <f>IF(Tabla1[[#This Row],[EDAD]]&lt;=35,"Adultos jóvenes 18 - 35 años",IF(C2652&gt;=36,"Adultos mayores 36 años en adelante"))</f>
        <v>Adultos mayores 36 años en adelante</v>
      </c>
      <c r="E2652" s="3" t="s">
        <v>5020</v>
      </c>
      <c r="F2652" s="3" t="s">
        <v>5026</v>
      </c>
      <c r="G2652" s="3" t="s">
        <v>5037</v>
      </c>
      <c r="H2652" s="3" t="s">
        <v>9555</v>
      </c>
      <c r="I2652" s="17">
        <v>45841</v>
      </c>
      <c r="J2652" s="18">
        <f>YEAR(Tabla1[[#This Row],[FECHA DE COMPRA]])</f>
        <v>2025</v>
      </c>
      <c r="K2652" s="19">
        <v>131.97</v>
      </c>
      <c r="L2652" s="20">
        <v>0</v>
      </c>
      <c r="M2652" s="19">
        <f>Tienda!$K3447-Tienda!$K3447*Tienda!$L3447</f>
        <v>49.911999999999999</v>
      </c>
      <c r="N2652" s="3" t="s">
        <v>10039</v>
      </c>
      <c r="O2652" s="3" t="s">
        <v>10041</v>
      </c>
      <c r="P2652" s="17">
        <v>45841</v>
      </c>
      <c r="Q2652" s="4">
        <v>0</v>
      </c>
    </row>
    <row r="2653" spans="1:17" ht="30" x14ac:dyDescent="0.25">
      <c r="A2653" s="2" t="s">
        <v>104</v>
      </c>
      <c r="B2653" s="3" t="s">
        <v>5016</v>
      </c>
      <c r="C2653" s="3">
        <v>50</v>
      </c>
      <c r="D2653" s="46" t="str">
        <f>IF(Tabla1[[#This Row],[EDAD]]&lt;=35,"Adultos jóvenes 18 - 35 años",IF(C2653&gt;=36,"Adultos mayores 36 años en adelante"))</f>
        <v>Adultos mayores 36 años en adelante</v>
      </c>
      <c r="E2653" s="3" t="s">
        <v>5021</v>
      </c>
      <c r="F2653" s="3" t="s">
        <v>5025</v>
      </c>
      <c r="G2653" s="3" t="s">
        <v>5033</v>
      </c>
      <c r="H2653" s="3" t="s">
        <v>5127</v>
      </c>
      <c r="I2653" s="17">
        <v>45869</v>
      </c>
      <c r="J2653" s="18">
        <f>YEAR(Tabla1[[#This Row],[FECHA DE COMPRA]])</f>
        <v>2025</v>
      </c>
      <c r="K2653" s="19">
        <v>134.71</v>
      </c>
      <c r="L2653" s="20">
        <v>0.2</v>
      </c>
      <c r="M2653" s="19">
        <f>Tienda!$K3448-Tienda!$K3448*Tienda!$L3448</f>
        <v>45.471999999999994</v>
      </c>
      <c r="N2653" s="3" t="s">
        <v>10039</v>
      </c>
      <c r="O2653" s="3" t="s">
        <v>10041</v>
      </c>
      <c r="P2653" s="17">
        <v>45869</v>
      </c>
      <c r="Q2653" s="4">
        <v>0</v>
      </c>
    </row>
    <row r="2654" spans="1:17" ht="30" x14ac:dyDescent="0.25">
      <c r="A2654" s="2" t="s">
        <v>2777</v>
      </c>
      <c r="B2654" s="3" t="s">
        <v>5016</v>
      </c>
      <c r="C2654" s="3">
        <v>37</v>
      </c>
      <c r="D2654" s="46" t="str">
        <f>IF(Tabla1[[#This Row],[EDAD]]&lt;=35,"Adultos jóvenes 18 - 35 años",IF(C2654&gt;=36,"Adultos mayores 36 años en adelante"))</f>
        <v>Adultos mayores 36 años en adelante</v>
      </c>
      <c r="E2654" s="3" t="s">
        <v>5021</v>
      </c>
      <c r="F2654" s="3" t="s">
        <v>5029</v>
      </c>
      <c r="G2654" s="3" t="s">
        <v>5033</v>
      </c>
      <c r="H2654" s="3" t="s">
        <v>7800</v>
      </c>
      <c r="I2654" s="17">
        <v>45845</v>
      </c>
      <c r="J2654" s="18">
        <f>YEAR(Tabla1[[#This Row],[FECHA DE COMPRA]])</f>
        <v>2025</v>
      </c>
      <c r="K2654" s="19">
        <v>141.51</v>
      </c>
      <c r="L2654" s="20">
        <v>0.2</v>
      </c>
      <c r="M2654" s="19">
        <f>Tienda!$K3450-Tienda!$K3450*Tienda!$L3450</f>
        <v>77.19</v>
      </c>
      <c r="N2654" s="3" t="s">
        <v>10039</v>
      </c>
      <c r="O2654" s="3" t="s">
        <v>10041</v>
      </c>
      <c r="P2654" s="17">
        <v>45845</v>
      </c>
      <c r="Q2654" s="4">
        <v>0</v>
      </c>
    </row>
    <row r="2655" spans="1:17" ht="30" x14ac:dyDescent="0.25">
      <c r="A2655" s="2" t="s">
        <v>163</v>
      </c>
      <c r="B2655" s="3" t="s">
        <v>5015</v>
      </c>
      <c r="C2655" s="3">
        <v>62</v>
      </c>
      <c r="D2655" s="46" t="str">
        <f>IF(Tabla1[[#This Row],[EDAD]]&lt;=35,"Adultos jóvenes 18 - 35 años",IF(C2655&gt;=36,"Adultos mayores 36 años en adelante"))</f>
        <v>Adultos mayores 36 años en adelante</v>
      </c>
      <c r="E2655" s="3" t="s">
        <v>5022</v>
      </c>
      <c r="F2655" s="3" t="s">
        <v>5024</v>
      </c>
      <c r="G2655" s="3" t="s">
        <v>5036</v>
      </c>
      <c r="H2655" s="3" t="s">
        <v>5186</v>
      </c>
      <c r="I2655" s="17">
        <v>45849</v>
      </c>
      <c r="J2655" s="18">
        <f>YEAR(Tabla1[[#This Row],[FECHA DE COMPRA]])</f>
        <v>2025</v>
      </c>
      <c r="K2655" s="19">
        <v>155.49</v>
      </c>
      <c r="L2655" s="20">
        <v>0</v>
      </c>
      <c r="M2655" s="19">
        <f>Tienda!$K3453-Tienda!$K3453*Tienda!$L3453</f>
        <v>77.652000000000001</v>
      </c>
      <c r="N2655" s="3" t="s">
        <v>10039</v>
      </c>
      <c r="O2655" s="3" t="s">
        <v>10041</v>
      </c>
      <c r="P2655" s="17">
        <v>45849</v>
      </c>
      <c r="Q2655" s="4">
        <v>0</v>
      </c>
    </row>
    <row r="2656" spans="1:17" ht="30" x14ac:dyDescent="0.25">
      <c r="A2656" s="2" t="s">
        <v>930</v>
      </c>
      <c r="B2656" s="3" t="s">
        <v>5015</v>
      </c>
      <c r="C2656" s="3">
        <v>43</v>
      </c>
      <c r="D2656" s="46" t="str">
        <f>IF(Tabla1[[#This Row],[EDAD]]&lt;=35,"Adultos jóvenes 18 - 35 años",IF(C2656&gt;=36,"Adultos mayores 36 años en adelante"))</f>
        <v>Adultos mayores 36 años en adelante</v>
      </c>
      <c r="E2656" s="3" t="s">
        <v>5018</v>
      </c>
      <c r="F2656" s="3" t="s">
        <v>5025</v>
      </c>
      <c r="G2656" s="3" t="s">
        <v>5034</v>
      </c>
      <c r="H2656" s="3" t="s">
        <v>5953</v>
      </c>
      <c r="I2656" s="17">
        <v>45851</v>
      </c>
      <c r="J2656" s="18">
        <f>YEAR(Tabla1[[#This Row],[FECHA DE COMPRA]])</f>
        <v>2025</v>
      </c>
      <c r="K2656" s="19">
        <v>155.57</v>
      </c>
      <c r="L2656" s="20">
        <v>0.1</v>
      </c>
      <c r="M2656" s="19">
        <f>Tienda!$K3454-Tienda!$K3454*Tienda!$L3454</f>
        <v>89.937000000000012</v>
      </c>
      <c r="N2656" s="3" t="s">
        <v>10039</v>
      </c>
      <c r="O2656" s="3" t="s">
        <v>10041</v>
      </c>
      <c r="P2656" s="17">
        <v>45851</v>
      </c>
      <c r="Q2656" s="4">
        <v>0</v>
      </c>
    </row>
    <row r="2657" spans="1:17" ht="30" x14ac:dyDescent="0.25">
      <c r="A2657" s="2" t="s">
        <v>3063</v>
      </c>
      <c r="B2657" s="3" t="s">
        <v>5015</v>
      </c>
      <c r="C2657" s="3">
        <v>58</v>
      </c>
      <c r="D2657" s="46" t="str">
        <f>IF(Tabla1[[#This Row],[EDAD]]&lt;=35,"Adultos jóvenes 18 - 35 años",IF(C2657&gt;=36,"Adultos mayores 36 años en adelante"))</f>
        <v>Adultos mayores 36 años en adelante</v>
      </c>
      <c r="E2657" s="3" t="s">
        <v>5021</v>
      </c>
      <c r="F2657" s="3" t="s">
        <v>5025</v>
      </c>
      <c r="G2657" s="3" t="s">
        <v>5035</v>
      </c>
      <c r="H2657" s="3" t="s">
        <v>8086</v>
      </c>
      <c r="I2657" s="17">
        <v>45856</v>
      </c>
      <c r="J2657" s="18">
        <f>YEAR(Tabla1[[#This Row],[FECHA DE COMPRA]])</f>
        <v>2025</v>
      </c>
      <c r="K2657" s="19">
        <v>157.24</v>
      </c>
      <c r="L2657" s="20">
        <v>0</v>
      </c>
      <c r="M2657" s="19">
        <f>Tienda!$K3455-Tienda!$K3455*Tienda!$L3455</f>
        <v>94.176000000000002</v>
      </c>
      <c r="N2657" s="3" t="s">
        <v>10039</v>
      </c>
      <c r="O2657" s="3" t="s">
        <v>10041</v>
      </c>
      <c r="P2657" s="17">
        <v>45856</v>
      </c>
      <c r="Q2657" s="4">
        <v>0</v>
      </c>
    </row>
    <row r="2658" spans="1:17" ht="30" x14ac:dyDescent="0.25">
      <c r="A2658" s="2" t="s">
        <v>2811</v>
      </c>
      <c r="B2658" s="3" t="s">
        <v>5015</v>
      </c>
      <c r="C2658" s="3">
        <v>37</v>
      </c>
      <c r="D2658" s="46" t="str">
        <f>IF(Tabla1[[#This Row],[EDAD]]&lt;=35,"Adultos jóvenes 18 - 35 años",IF(C2658&gt;=36,"Adultos mayores 36 años en adelante"))</f>
        <v>Adultos mayores 36 años en adelante</v>
      </c>
      <c r="E2658" s="3" t="s">
        <v>5018</v>
      </c>
      <c r="F2658" s="3" t="s">
        <v>5025</v>
      </c>
      <c r="G2658" s="3" t="s">
        <v>5032</v>
      </c>
      <c r="H2658" s="3" t="s">
        <v>7834</v>
      </c>
      <c r="I2658" s="17">
        <v>45843</v>
      </c>
      <c r="J2658" s="18">
        <f>YEAR(Tabla1[[#This Row],[FECHA DE COMPRA]])</f>
        <v>2025</v>
      </c>
      <c r="K2658" s="19">
        <v>159.01</v>
      </c>
      <c r="L2658" s="20">
        <v>0.1</v>
      </c>
      <c r="M2658" s="19">
        <f>Tienda!$K3456-Tienda!$K3456*Tienda!$L3456</f>
        <v>112.54</v>
      </c>
      <c r="N2658" s="3" t="s">
        <v>10039</v>
      </c>
      <c r="O2658" s="3" t="s">
        <v>10041</v>
      </c>
      <c r="P2658" s="17">
        <v>45843</v>
      </c>
      <c r="Q2658" s="4">
        <v>0</v>
      </c>
    </row>
    <row r="2659" spans="1:17" ht="30" x14ac:dyDescent="0.25">
      <c r="A2659" s="2" t="s">
        <v>2718</v>
      </c>
      <c r="B2659" s="3" t="s">
        <v>5015</v>
      </c>
      <c r="C2659" s="3">
        <v>64</v>
      </c>
      <c r="D2659" s="46" t="str">
        <f>IF(Tabla1[[#This Row],[EDAD]]&lt;=35,"Adultos jóvenes 18 - 35 años",IF(C2659&gt;=36,"Adultos mayores 36 años en adelante"))</f>
        <v>Adultos mayores 36 años en adelante</v>
      </c>
      <c r="E2659" s="3" t="s">
        <v>5022</v>
      </c>
      <c r="F2659" s="3" t="s">
        <v>5026</v>
      </c>
      <c r="G2659" s="3" t="s">
        <v>5032</v>
      </c>
      <c r="H2659" s="3" t="s">
        <v>7741</v>
      </c>
      <c r="I2659" s="17">
        <v>45852</v>
      </c>
      <c r="J2659" s="18">
        <f>YEAR(Tabla1[[#This Row],[FECHA DE COMPRA]])</f>
        <v>2025</v>
      </c>
      <c r="K2659" s="19">
        <v>160.08000000000001</v>
      </c>
      <c r="L2659" s="20">
        <v>0.2</v>
      </c>
      <c r="M2659" s="19">
        <f>Tienda!$K3457-Tienda!$K3457*Tienda!$L3457</f>
        <v>118.96</v>
      </c>
      <c r="N2659" s="3" t="s">
        <v>10039</v>
      </c>
      <c r="O2659" s="3" t="s">
        <v>10041</v>
      </c>
      <c r="P2659" s="17">
        <v>45852</v>
      </c>
      <c r="Q2659" s="4">
        <v>0</v>
      </c>
    </row>
    <row r="2660" spans="1:17" ht="30" x14ac:dyDescent="0.25">
      <c r="A2660" s="2" t="s">
        <v>1653</v>
      </c>
      <c r="B2660" s="3" t="s">
        <v>5016</v>
      </c>
      <c r="C2660" s="3">
        <v>51</v>
      </c>
      <c r="D2660" s="46" t="str">
        <f>IF(Tabla1[[#This Row],[EDAD]]&lt;=35,"Adultos jóvenes 18 - 35 años",IF(C2660&gt;=36,"Adultos mayores 36 años en adelante"))</f>
        <v>Adultos mayores 36 años en adelante</v>
      </c>
      <c r="E2660" s="3" t="s">
        <v>5017</v>
      </c>
      <c r="F2660" s="3" t="s">
        <v>5026</v>
      </c>
      <c r="G2660" s="3" t="s">
        <v>5031</v>
      </c>
      <c r="H2660" s="3" t="s">
        <v>6676</v>
      </c>
      <c r="I2660" s="17">
        <v>45862</v>
      </c>
      <c r="J2660" s="18">
        <f>YEAR(Tabla1[[#This Row],[FECHA DE COMPRA]])</f>
        <v>2025</v>
      </c>
      <c r="K2660" s="19">
        <v>163.47</v>
      </c>
      <c r="L2660" s="20">
        <v>0.1</v>
      </c>
      <c r="M2660" s="19">
        <f>Tienda!$K3458-Tienda!$K3458*Tienda!$L3458</f>
        <v>86.786000000000001</v>
      </c>
      <c r="N2660" s="3" t="s">
        <v>10039</v>
      </c>
      <c r="O2660" s="3" t="s">
        <v>10041</v>
      </c>
      <c r="P2660" s="17">
        <v>45862</v>
      </c>
      <c r="Q2660" s="4">
        <v>0</v>
      </c>
    </row>
    <row r="2661" spans="1:17" ht="30" x14ac:dyDescent="0.25">
      <c r="A2661" s="2" t="s">
        <v>3740</v>
      </c>
      <c r="B2661" s="3" t="s">
        <v>5015</v>
      </c>
      <c r="C2661" s="3">
        <v>36</v>
      </c>
      <c r="D2661" s="46" t="str">
        <f>IF(Tabla1[[#This Row],[EDAD]]&lt;=35,"Adultos jóvenes 18 - 35 años",IF(C2661&gt;=36,"Adultos mayores 36 años en adelante"))</f>
        <v>Adultos mayores 36 años en adelante</v>
      </c>
      <c r="E2661" s="3" t="s">
        <v>5017</v>
      </c>
      <c r="F2661" s="3" t="s">
        <v>5025</v>
      </c>
      <c r="G2661" s="3" t="s">
        <v>5034</v>
      </c>
      <c r="H2661" s="3" t="s">
        <v>8763</v>
      </c>
      <c r="I2661" s="17">
        <v>45847</v>
      </c>
      <c r="J2661" s="18">
        <f>YEAR(Tabla1[[#This Row],[FECHA DE COMPRA]])</f>
        <v>2025</v>
      </c>
      <c r="K2661" s="19">
        <v>168.97</v>
      </c>
      <c r="L2661" s="20">
        <v>0.2</v>
      </c>
      <c r="M2661" s="19">
        <f>Tienda!$K3459-Tienda!$K3459*Tienda!$L3459</f>
        <v>105.792</v>
      </c>
      <c r="N2661" s="3" t="s">
        <v>10039</v>
      </c>
      <c r="O2661" s="3" t="s">
        <v>10041</v>
      </c>
      <c r="P2661" s="17">
        <v>45847</v>
      </c>
      <c r="Q2661" s="4">
        <v>0</v>
      </c>
    </row>
    <row r="2662" spans="1:17" ht="30" x14ac:dyDescent="0.25">
      <c r="A2662" s="2" t="s">
        <v>3164</v>
      </c>
      <c r="B2662" s="3" t="s">
        <v>5015</v>
      </c>
      <c r="C2662" s="3">
        <v>53</v>
      </c>
      <c r="D2662" s="46" t="str">
        <f>IF(Tabla1[[#This Row],[EDAD]]&lt;=35,"Adultos jóvenes 18 - 35 años",IF(C2662&gt;=36,"Adultos mayores 36 años en adelante"))</f>
        <v>Adultos mayores 36 años en adelante</v>
      </c>
      <c r="E2662" s="3" t="s">
        <v>5020</v>
      </c>
      <c r="F2662" s="3" t="s">
        <v>5028</v>
      </c>
      <c r="G2662" s="3" t="s">
        <v>5035</v>
      </c>
      <c r="H2662" s="3" t="s">
        <v>8187</v>
      </c>
      <c r="I2662" s="17">
        <v>45864</v>
      </c>
      <c r="J2662" s="18">
        <f>YEAR(Tabla1[[#This Row],[FECHA DE COMPRA]])</f>
        <v>2025</v>
      </c>
      <c r="K2662" s="19">
        <v>169.19</v>
      </c>
      <c r="L2662" s="20">
        <v>0.3</v>
      </c>
      <c r="M2662" s="19">
        <f>Tienda!$K3460-Tienda!$K3460*Tienda!$L3460</f>
        <v>95.221000000000004</v>
      </c>
      <c r="N2662" s="3" t="s">
        <v>10039</v>
      </c>
      <c r="O2662" s="3" t="s">
        <v>10041</v>
      </c>
      <c r="P2662" s="17">
        <v>45864</v>
      </c>
      <c r="Q2662" s="4">
        <v>0</v>
      </c>
    </row>
    <row r="2663" spans="1:17" ht="30" x14ac:dyDescent="0.25">
      <c r="A2663" s="2" t="s">
        <v>1927</v>
      </c>
      <c r="B2663" s="3" t="s">
        <v>5015</v>
      </c>
      <c r="C2663" s="3">
        <v>36</v>
      </c>
      <c r="D2663" s="46" t="str">
        <f>IF(Tabla1[[#This Row],[EDAD]]&lt;=35,"Adultos jóvenes 18 - 35 años",IF(C2663&gt;=36,"Adultos mayores 36 años en adelante"))</f>
        <v>Adultos mayores 36 años en adelante</v>
      </c>
      <c r="E2663" s="3" t="s">
        <v>5022</v>
      </c>
      <c r="F2663" s="3" t="s">
        <v>5029</v>
      </c>
      <c r="G2663" s="3" t="s">
        <v>5035</v>
      </c>
      <c r="H2663" s="3" t="s">
        <v>6950</v>
      </c>
      <c r="I2663" s="17">
        <v>45849</v>
      </c>
      <c r="J2663" s="18">
        <f>YEAR(Tabla1[[#This Row],[FECHA DE COMPRA]])</f>
        <v>2025</v>
      </c>
      <c r="K2663" s="19">
        <v>172.6</v>
      </c>
      <c r="L2663" s="20">
        <v>0</v>
      </c>
      <c r="M2663" s="19">
        <f>Tienda!$K3462-Tienda!$K3462*Tienda!$L3462</f>
        <v>125.85599999999999</v>
      </c>
      <c r="N2663" s="3" t="s">
        <v>10039</v>
      </c>
      <c r="O2663" s="3" t="s">
        <v>10041</v>
      </c>
      <c r="P2663" s="17">
        <v>45849</v>
      </c>
      <c r="Q2663" s="4">
        <v>0</v>
      </c>
    </row>
    <row r="2664" spans="1:17" ht="30" x14ac:dyDescent="0.25">
      <c r="A2664" s="2" t="s">
        <v>1975</v>
      </c>
      <c r="B2664" s="3" t="s">
        <v>5016</v>
      </c>
      <c r="C2664" s="3">
        <v>58</v>
      </c>
      <c r="D2664" s="46" t="str">
        <f>IF(Tabla1[[#This Row],[EDAD]]&lt;=35,"Adultos jóvenes 18 - 35 años",IF(C2664&gt;=36,"Adultos mayores 36 años en adelante"))</f>
        <v>Adultos mayores 36 años en adelante</v>
      </c>
      <c r="E2664" s="3" t="s">
        <v>5021</v>
      </c>
      <c r="F2664" s="3" t="s">
        <v>5024</v>
      </c>
      <c r="G2664" s="3" t="s">
        <v>5031</v>
      </c>
      <c r="H2664" s="3" t="s">
        <v>6998</v>
      </c>
      <c r="I2664" s="17">
        <v>45860</v>
      </c>
      <c r="J2664" s="18">
        <f>YEAR(Tabla1[[#This Row],[FECHA DE COMPRA]])</f>
        <v>2025</v>
      </c>
      <c r="K2664" s="19">
        <v>177.33</v>
      </c>
      <c r="L2664" s="20">
        <v>0.2</v>
      </c>
      <c r="M2664" s="19">
        <f>Tienda!$K3463-Tienda!$K3463*Tienda!$L3463</f>
        <v>161.83000000000001</v>
      </c>
      <c r="N2664" s="3" t="s">
        <v>10039</v>
      </c>
      <c r="O2664" s="3" t="s">
        <v>10041</v>
      </c>
      <c r="P2664" s="17">
        <v>45860</v>
      </c>
      <c r="Q2664" s="4">
        <v>0</v>
      </c>
    </row>
    <row r="2665" spans="1:17" ht="30" x14ac:dyDescent="0.25">
      <c r="A2665" s="2" t="s">
        <v>1600</v>
      </c>
      <c r="B2665" s="3" t="s">
        <v>5015</v>
      </c>
      <c r="C2665" s="3">
        <v>49</v>
      </c>
      <c r="D2665" s="46" t="str">
        <f>IF(Tabla1[[#This Row],[EDAD]]&lt;=35,"Adultos jóvenes 18 - 35 años",IF(C2665&gt;=36,"Adultos mayores 36 años en adelante"))</f>
        <v>Adultos mayores 36 años en adelante</v>
      </c>
      <c r="E2665" s="3" t="s">
        <v>5022</v>
      </c>
      <c r="F2665" s="3" t="s">
        <v>5028</v>
      </c>
      <c r="G2665" s="3" t="s">
        <v>5037</v>
      </c>
      <c r="H2665" s="3" t="s">
        <v>6623</v>
      </c>
      <c r="I2665" s="17">
        <v>45858</v>
      </c>
      <c r="J2665" s="18">
        <f>YEAR(Tabla1[[#This Row],[FECHA DE COMPRA]])</f>
        <v>2025</v>
      </c>
      <c r="K2665" s="19">
        <v>188.19</v>
      </c>
      <c r="L2665" s="20">
        <v>0.1</v>
      </c>
      <c r="M2665" s="19">
        <f>Tienda!$K3467-Tienda!$K3467*Tienda!$L3467</f>
        <v>10.56</v>
      </c>
      <c r="N2665" s="3" t="s">
        <v>10039</v>
      </c>
      <c r="O2665" s="3" t="s">
        <v>10041</v>
      </c>
      <c r="P2665" s="17">
        <v>45858</v>
      </c>
      <c r="Q2665" s="4">
        <v>0</v>
      </c>
    </row>
    <row r="2666" spans="1:17" ht="30" x14ac:dyDescent="0.25">
      <c r="A2666" s="2" t="s">
        <v>3650</v>
      </c>
      <c r="B2666" s="3" t="s">
        <v>5015</v>
      </c>
      <c r="C2666" s="3">
        <v>42</v>
      </c>
      <c r="D2666" s="46" t="str">
        <f>IF(Tabla1[[#This Row],[EDAD]]&lt;=35,"Adultos jóvenes 18 - 35 años",IF(C2666&gt;=36,"Adultos mayores 36 años en adelante"))</f>
        <v>Adultos mayores 36 años en adelante</v>
      </c>
      <c r="E2666" s="3" t="s">
        <v>5021</v>
      </c>
      <c r="F2666" s="3" t="s">
        <v>5024</v>
      </c>
      <c r="G2666" s="3" t="s">
        <v>5031</v>
      </c>
      <c r="H2666" s="3" t="s">
        <v>8673</v>
      </c>
      <c r="I2666" s="17">
        <v>45849</v>
      </c>
      <c r="J2666" s="18">
        <f>YEAR(Tabla1[[#This Row],[FECHA DE COMPRA]])</f>
        <v>2025</v>
      </c>
      <c r="K2666" s="19">
        <v>188.26</v>
      </c>
      <c r="L2666" s="20">
        <v>0.3</v>
      </c>
      <c r="M2666" s="19">
        <f>Tienda!$K3468-Tienda!$K3468*Tienda!$L3468</f>
        <v>11.312000000000001</v>
      </c>
      <c r="N2666" s="3" t="s">
        <v>10039</v>
      </c>
      <c r="O2666" s="3" t="s">
        <v>10041</v>
      </c>
      <c r="P2666" s="17">
        <v>45849</v>
      </c>
      <c r="Q2666" s="4">
        <v>0</v>
      </c>
    </row>
    <row r="2667" spans="1:17" ht="30" x14ac:dyDescent="0.25">
      <c r="A2667" s="2" t="s">
        <v>249</v>
      </c>
      <c r="B2667" s="3" t="s">
        <v>5015</v>
      </c>
      <c r="C2667" s="3">
        <v>45</v>
      </c>
      <c r="D2667" s="46" t="str">
        <f>IF(Tabla1[[#This Row],[EDAD]]&lt;=35,"Adultos jóvenes 18 - 35 años",IF(C2667&gt;=36,"Adultos mayores 36 años en adelante"))</f>
        <v>Adultos mayores 36 años en adelante</v>
      </c>
      <c r="E2667" s="3" t="s">
        <v>5022</v>
      </c>
      <c r="F2667" s="3" t="s">
        <v>5030</v>
      </c>
      <c r="G2667" s="3" t="s">
        <v>5033</v>
      </c>
      <c r="H2667" s="3" t="s">
        <v>5272</v>
      </c>
      <c r="I2667" s="17">
        <v>45860</v>
      </c>
      <c r="J2667" s="18">
        <f>YEAR(Tabla1[[#This Row],[FECHA DE COMPRA]])</f>
        <v>2025</v>
      </c>
      <c r="K2667" s="19">
        <v>189.62</v>
      </c>
      <c r="L2667" s="20">
        <v>0.2</v>
      </c>
      <c r="M2667" s="19">
        <f>Tienda!$K3469-Tienda!$K3469*Tienda!$L3469</f>
        <v>22.8</v>
      </c>
      <c r="N2667" s="3" t="s">
        <v>10039</v>
      </c>
      <c r="O2667" s="3" t="s">
        <v>10041</v>
      </c>
      <c r="P2667" s="17">
        <v>45860</v>
      </c>
      <c r="Q2667" s="4">
        <v>0</v>
      </c>
    </row>
    <row r="2668" spans="1:17" ht="30" x14ac:dyDescent="0.25">
      <c r="A2668" s="2" t="s">
        <v>945</v>
      </c>
      <c r="B2668" s="3" t="s">
        <v>5015</v>
      </c>
      <c r="C2668" s="3">
        <v>37</v>
      </c>
      <c r="D2668" s="46" t="str">
        <f>IF(Tabla1[[#This Row],[EDAD]]&lt;=35,"Adultos jóvenes 18 - 35 años",IF(C2668&gt;=36,"Adultos mayores 36 años en adelante"))</f>
        <v>Adultos mayores 36 años en adelante</v>
      </c>
      <c r="E2668" s="3" t="s">
        <v>5020</v>
      </c>
      <c r="F2668" s="3" t="s">
        <v>5030</v>
      </c>
      <c r="G2668" s="3" t="s">
        <v>5037</v>
      </c>
      <c r="H2668" s="3" t="s">
        <v>5968</v>
      </c>
      <c r="I2668" s="17">
        <v>45856</v>
      </c>
      <c r="J2668" s="18">
        <f>YEAR(Tabla1[[#This Row],[FECHA DE COMPRA]])</f>
        <v>2025</v>
      </c>
      <c r="K2668" s="19">
        <v>199.23</v>
      </c>
      <c r="L2668" s="20">
        <v>0.2</v>
      </c>
      <c r="M2668" s="19">
        <f>Tienda!$K3473-Tienda!$K3473*Tienda!$L3473</f>
        <v>66.180000000000007</v>
      </c>
      <c r="N2668" s="3" t="s">
        <v>10039</v>
      </c>
      <c r="O2668" s="3" t="s">
        <v>10041</v>
      </c>
      <c r="P2668" s="17">
        <v>45856</v>
      </c>
      <c r="Q2668" s="4">
        <v>0</v>
      </c>
    </row>
    <row r="2669" spans="1:17" ht="30" x14ac:dyDescent="0.25">
      <c r="A2669" s="2" t="s">
        <v>1108</v>
      </c>
      <c r="B2669" s="3" t="s">
        <v>5016</v>
      </c>
      <c r="C2669" s="3">
        <v>59</v>
      </c>
      <c r="D2669" s="46" t="str">
        <f>IF(Tabla1[[#This Row],[EDAD]]&lt;=35,"Adultos jóvenes 18 - 35 años",IF(C2669&gt;=36,"Adultos mayores 36 años en adelante"))</f>
        <v>Adultos mayores 36 años en adelante</v>
      </c>
      <c r="E2669" s="3" t="s">
        <v>5021</v>
      </c>
      <c r="F2669" s="3" t="s">
        <v>5026</v>
      </c>
      <c r="G2669" s="3" t="s">
        <v>5033</v>
      </c>
      <c r="H2669" s="3" t="s">
        <v>6131</v>
      </c>
      <c r="I2669" s="17">
        <v>45874</v>
      </c>
      <c r="J2669" s="18">
        <f>YEAR(Tabla1[[#This Row],[FECHA DE COMPRA]])</f>
        <v>2025</v>
      </c>
      <c r="K2669" s="19">
        <v>11</v>
      </c>
      <c r="L2669" s="20">
        <v>0.3</v>
      </c>
      <c r="M2669" s="19">
        <f>Tienda!$K3474-Tienda!$K3474*Tienda!$L3474</f>
        <v>69.760000000000005</v>
      </c>
      <c r="N2669" s="3" t="s">
        <v>10039</v>
      </c>
      <c r="O2669" s="3" t="s">
        <v>10041</v>
      </c>
      <c r="P2669" s="17">
        <v>45874</v>
      </c>
      <c r="Q2669" s="4">
        <v>0</v>
      </c>
    </row>
    <row r="2670" spans="1:17" ht="30" x14ac:dyDescent="0.25">
      <c r="A2670" s="2" t="s">
        <v>3366</v>
      </c>
      <c r="B2670" s="3" t="s">
        <v>5015</v>
      </c>
      <c r="C2670" s="3">
        <v>53</v>
      </c>
      <c r="D2670" s="46" t="str">
        <f>IF(Tabla1[[#This Row],[EDAD]]&lt;=35,"Adultos jóvenes 18 - 35 años",IF(C2670&gt;=36,"Adultos mayores 36 años en adelante"))</f>
        <v>Adultos mayores 36 años en adelante</v>
      </c>
      <c r="E2670" s="3" t="s">
        <v>5018</v>
      </c>
      <c r="F2670" s="3" t="s">
        <v>5029</v>
      </c>
      <c r="G2670" s="3" t="s">
        <v>5032</v>
      </c>
      <c r="H2670" s="3" t="s">
        <v>8389</v>
      </c>
      <c r="I2670" s="17">
        <v>45872</v>
      </c>
      <c r="J2670" s="18">
        <f>YEAR(Tabla1[[#This Row],[FECHA DE COMPRA]])</f>
        <v>2025</v>
      </c>
      <c r="K2670" s="19">
        <v>11.02</v>
      </c>
      <c r="L2670" s="20">
        <v>0.2</v>
      </c>
      <c r="M2670" s="19">
        <f>Tienda!$K3475-Tienda!$K3475*Tienda!$L3475</f>
        <v>58.603999999999999</v>
      </c>
      <c r="N2670" s="3" t="s">
        <v>10039</v>
      </c>
      <c r="O2670" s="3" t="s">
        <v>10041</v>
      </c>
      <c r="P2670" s="17">
        <v>45872</v>
      </c>
      <c r="Q2670" s="4">
        <v>0</v>
      </c>
    </row>
    <row r="2671" spans="1:17" ht="30" x14ac:dyDescent="0.25">
      <c r="A2671" s="2" t="s">
        <v>4131</v>
      </c>
      <c r="B2671" s="3" t="s">
        <v>5015</v>
      </c>
      <c r="C2671" s="3">
        <v>41</v>
      </c>
      <c r="D2671" s="46" t="str">
        <f>IF(Tabla1[[#This Row],[EDAD]]&lt;=35,"Adultos jóvenes 18 - 35 años",IF(C2671&gt;=36,"Adultos mayores 36 años en adelante"))</f>
        <v>Adultos mayores 36 años en adelante</v>
      </c>
      <c r="E2671" s="3" t="s">
        <v>5018</v>
      </c>
      <c r="F2671" s="3" t="s">
        <v>5025</v>
      </c>
      <c r="G2671" s="3" t="s">
        <v>5037</v>
      </c>
      <c r="H2671" s="3" t="s">
        <v>9154</v>
      </c>
      <c r="I2671" s="17">
        <v>45882</v>
      </c>
      <c r="J2671" s="18">
        <f>YEAR(Tabla1[[#This Row],[FECHA DE COMPRA]])</f>
        <v>2025</v>
      </c>
      <c r="K2671" s="19">
        <v>14.59</v>
      </c>
      <c r="L2671" s="20">
        <v>0</v>
      </c>
      <c r="M2671" s="19">
        <f>Tienda!$K3477-Tienda!$K3477*Tienda!$L3477</f>
        <v>73.009999999999991</v>
      </c>
      <c r="N2671" s="3" t="s">
        <v>10039</v>
      </c>
      <c r="O2671" s="3" t="s">
        <v>10041</v>
      </c>
      <c r="P2671" s="17">
        <v>45882</v>
      </c>
      <c r="Q2671" s="4">
        <v>0</v>
      </c>
    </row>
    <row r="2672" spans="1:17" ht="30" x14ac:dyDescent="0.25">
      <c r="A2672" s="2" t="s">
        <v>4781</v>
      </c>
      <c r="B2672" s="3" t="s">
        <v>5015</v>
      </c>
      <c r="C2672" s="3">
        <v>63</v>
      </c>
      <c r="D2672" s="46" t="str">
        <f>IF(Tabla1[[#This Row],[EDAD]]&lt;=35,"Adultos jóvenes 18 - 35 años",IF(C2672&gt;=36,"Adultos mayores 36 años en adelante"))</f>
        <v>Adultos mayores 36 años en adelante</v>
      </c>
      <c r="E2672" s="3" t="s">
        <v>5020</v>
      </c>
      <c r="F2672" s="3" t="s">
        <v>5026</v>
      </c>
      <c r="G2672" s="3" t="s">
        <v>5033</v>
      </c>
      <c r="H2672" s="3" t="s">
        <v>9804</v>
      </c>
      <c r="I2672" s="17">
        <v>45872</v>
      </c>
      <c r="J2672" s="18">
        <f>YEAR(Tabla1[[#This Row],[FECHA DE COMPRA]])</f>
        <v>2025</v>
      </c>
      <c r="K2672" s="19">
        <v>15.88</v>
      </c>
      <c r="L2672" s="20">
        <v>0.1</v>
      </c>
      <c r="M2672" s="19">
        <f>Tienda!$K3478-Tienda!$K3478*Tienda!$L3478</f>
        <v>109.26</v>
      </c>
      <c r="N2672" s="3" t="s">
        <v>10039</v>
      </c>
      <c r="O2672" s="3" t="s">
        <v>10041</v>
      </c>
      <c r="P2672" s="17">
        <v>45872</v>
      </c>
      <c r="Q2672" s="4">
        <v>0</v>
      </c>
    </row>
    <row r="2673" spans="1:17" ht="30" x14ac:dyDescent="0.25">
      <c r="A2673" s="2" t="s">
        <v>708</v>
      </c>
      <c r="B2673" s="3" t="s">
        <v>5015</v>
      </c>
      <c r="C2673" s="3">
        <v>44</v>
      </c>
      <c r="D2673" s="46" t="str">
        <f>IF(Tabla1[[#This Row],[EDAD]]&lt;=35,"Adultos jóvenes 18 - 35 años",IF(C2673&gt;=36,"Adultos mayores 36 años en adelante"))</f>
        <v>Adultos mayores 36 años en adelante</v>
      </c>
      <c r="E2673" s="3" t="s">
        <v>5018</v>
      </c>
      <c r="F2673" s="3" t="s">
        <v>5024</v>
      </c>
      <c r="G2673" s="3" t="s">
        <v>5034</v>
      </c>
      <c r="H2673" s="3" t="s">
        <v>5731</v>
      </c>
      <c r="I2673" s="17">
        <v>45870</v>
      </c>
      <c r="J2673" s="18">
        <f>YEAR(Tabla1[[#This Row],[FECHA DE COMPRA]])</f>
        <v>2025</v>
      </c>
      <c r="K2673" s="19">
        <v>17.25</v>
      </c>
      <c r="L2673" s="20">
        <v>0</v>
      </c>
      <c r="M2673" s="19">
        <f>Tienda!$K3480-Tienda!$K3480*Tienda!$L3480</f>
        <v>82.753999999999991</v>
      </c>
      <c r="N2673" s="3" t="s">
        <v>10039</v>
      </c>
      <c r="O2673" s="3" t="s">
        <v>10041</v>
      </c>
      <c r="P2673" s="17">
        <v>45870</v>
      </c>
      <c r="Q2673" s="4">
        <v>0</v>
      </c>
    </row>
    <row r="2674" spans="1:17" ht="30" x14ac:dyDescent="0.25">
      <c r="A2674" s="2" t="s">
        <v>4106</v>
      </c>
      <c r="B2674" s="3" t="s">
        <v>5015</v>
      </c>
      <c r="C2674" s="3">
        <v>38</v>
      </c>
      <c r="D2674" s="46" t="str">
        <f>IF(Tabla1[[#This Row],[EDAD]]&lt;=35,"Adultos jóvenes 18 - 35 años",IF(C2674&gt;=36,"Adultos mayores 36 años en adelante"))</f>
        <v>Adultos mayores 36 años en adelante</v>
      </c>
      <c r="E2674" s="3" t="s">
        <v>5022</v>
      </c>
      <c r="F2674" s="3" t="s">
        <v>5024</v>
      </c>
      <c r="G2674" s="3" t="s">
        <v>5037</v>
      </c>
      <c r="H2674" s="3" t="s">
        <v>9129</v>
      </c>
      <c r="I2674" s="17">
        <v>45883</v>
      </c>
      <c r="J2674" s="18">
        <f>YEAR(Tabla1[[#This Row],[FECHA DE COMPRA]])</f>
        <v>2025</v>
      </c>
      <c r="K2674" s="19">
        <v>21.53</v>
      </c>
      <c r="L2674" s="20">
        <v>0.2</v>
      </c>
      <c r="M2674" s="19">
        <f>Tienda!$K3482-Tienda!$K3482*Tienda!$L3482</f>
        <v>111.042</v>
      </c>
      <c r="N2674" s="3" t="s">
        <v>10039</v>
      </c>
      <c r="O2674" s="3" t="s">
        <v>10041</v>
      </c>
      <c r="P2674" s="17">
        <v>45883</v>
      </c>
      <c r="Q2674" s="4">
        <v>0</v>
      </c>
    </row>
    <row r="2675" spans="1:17" ht="30" x14ac:dyDescent="0.25">
      <c r="A2675" s="2" t="s">
        <v>4311</v>
      </c>
      <c r="B2675" s="3" t="s">
        <v>5016</v>
      </c>
      <c r="C2675" s="3">
        <v>44</v>
      </c>
      <c r="D2675" s="46" t="str">
        <f>IF(Tabla1[[#This Row],[EDAD]]&lt;=35,"Adultos jóvenes 18 - 35 años",IF(C2675&gt;=36,"Adultos mayores 36 años en adelante"))</f>
        <v>Adultos mayores 36 años en adelante</v>
      </c>
      <c r="E2675" s="3" t="s">
        <v>5023</v>
      </c>
      <c r="F2675" s="3" t="s">
        <v>5026</v>
      </c>
      <c r="G2675" s="3" t="s">
        <v>5032</v>
      </c>
      <c r="H2675" s="3" t="s">
        <v>9334</v>
      </c>
      <c r="I2675" s="17">
        <v>45873</v>
      </c>
      <c r="J2675" s="18">
        <f>YEAR(Tabla1[[#This Row],[FECHA DE COMPRA]])</f>
        <v>2025</v>
      </c>
      <c r="K2675" s="19">
        <v>40.47</v>
      </c>
      <c r="L2675" s="20">
        <v>0.1</v>
      </c>
      <c r="M2675" s="19">
        <f>Tienda!$K3483-Tienda!$K3483*Tienda!$L3483</f>
        <v>101.352</v>
      </c>
      <c r="N2675" s="3" t="s">
        <v>10039</v>
      </c>
      <c r="O2675" s="3" t="s">
        <v>10041</v>
      </c>
      <c r="P2675" s="17">
        <v>45873</v>
      </c>
      <c r="Q2675" s="4">
        <v>0</v>
      </c>
    </row>
    <row r="2676" spans="1:17" ht="30" x14ac:dyDescent="0.25">
      <c r="A2676" s="2" t="s">
        <v>2945</v>
      </c>
      <c r="B2676" s="3" t="s">
        <v>5015</v>
      </c>
      <c r="C2676" s="3">
        <v>63</v>
      </c>
      <c r="D2676" s="46" t="str">
        <f>IF(Tabla1[[#This Row],[EDAD]]&lt;=35,"Adultos jóvenes 18 - 35 años",IF(C2676&gt;=36,"Adultos mayores 36 años en adelante"))</f>
        <v>Adultos mayores 36 años en adelante</v>
      </c>
      <c r="E2676" s="3" t="s">
        <v>5022</v>
      </c>
      <c r="F2676" s="3" t="s">
        <v>5025</v>
      </c>
      <c r="G2676" s="3" t="s">
        <v>5035</v>
      </c>
      <c r="H2676" s="3" t="s">
        <v>7968</v>
      </c>
      <c r="I2676" s="17">
        <v>45882</v>
      </c>
      <c r="J2676" s="18">
        <f>YEAR(Tabla1[[#This Row],[FECHA DE COMPRA]])</f>
        <v>2025</v>
      </c>
      <c r="K2676" s="19">
        <v>42.78</v>
      </c>
      <c r="L2676" s="20">
        <v>0.2</v>
      </c>
      <c r="M2676" s="19">
        <f>Tienda!$K3486-Tienda!$K3486*Tienda!$L3486</f>
        <v>107.00200000000001</v>
      </c>
      <c r="N2676" s="3" t="s">
        <v>10039</v>
      </c>
      <c r="O2676" s="3" t="s">
        <v>10041</v>
      </c>
      <c r="P2676" s="17">
        <v>45882</v>
      </c>
      <c r="Q2676" s="4">
        <v>0</v>
      </c>
    </row>
    <row r="2677" spans="1:17" ht="30" x14ac:dyDescent="0.25">
      <c r="A2677" s="2" t="s">
        <v>3279</v>
      </c>
      <c r="B2677" s="3" t="s">
        <v>5016</v>
      </c>
      <c r="C2677" s="3">
        <v>43</v>
      </c>
      <c r="D2677" s="46" t="str">
        <f>IF(Tabla1[[#This Row],[EDAD]]&lt;=35,"Adultos jóvenes 18 - 35 años",IF(C2677&gt;=36,"Adultos mayores 36 años en adelante"))</f>
        <v>Adultos mayores 36 años en adelante</v>
      </c>
      <c r="E2677" s="3" t="s">
        <v>5019</v>
      </c>
      <c r="F2677" s="3" t="s">
        <v>5026</v>
      </c>
      <c r="G2677" s="3" t="s">
        <v>5032</v>
      </c>
      <c r="H2677" s="3" t="s">
        <v>8302</v>
      </c>
      <c r="I2677" s="17">
        <v>45875</v>
      </c>
      <c r="J2677" s="18">
        <f>YEAR(Tabla1[[#This Row],[FECHA DE COMPRA]])</f>
        <v>2025</v>
      </c>
      <c r="K2677" s="19">
        <v>43.13</v>
      </c>
      <c r="L2677" s="20">
        <v>0.2</v>
      </c>
      <c r="M2677" s="19">
        <f>Tienda!$K3487-Tienda!$K3487*Tienda!$L3487</f>
        <v>165.09</v>
      </c>
      <c r="N2677" s="3" t="s">
        <v>10039</v>
      </c>
      <c r="O2677" s="3" t="s">
        <v>10041</v>
      </c>
      <c r="P2677" s="17">
        <v>45875</v>
      </c>
      <c r="Q2677" s="4">
        <v>0</v>
      </c>
    </row>
    <row r="2678" spans="1:17" ht="30" x14ac:dyDescent="0.25">
      <c r="A2678" s="2" t="s">
        <v>4743</v>
      </c>
      <c r="B2678" s="3" t="s">
        <v>5016</v>
      </c>
      <c r="C2678" s="3">
        <v>45</v>
      </c>
      <c r="D2678" s="46" t="str">
        <f>IF(Tabla1[[#This Row],[EDAD]]&lt;=35,"Adultos jóvenes 18 - 35 años",IF(C2678&gt;=36,"Adultos mayores 36 años en adelante"))</f>
        <v>Adultos mayores 36 años en adelante</v>
      </c>
      <c r="E2678" s="3" t="s">
        <v>5019</v>
      </c>
      <c r="F2678" s="3" t="s">
        <v>5029</v>
      </c>
      <c r="G2678" s="3" t="s">
        <v>5035</v>
      </c>
      <c r="H2678" s="3" t="s">
        <v>9766</v>
      </c>
      <c r="I2678" s="17">
        <v>45882</v>
      </c>
      <c r="J2678" s="18">
        <f>YEAR(Tabla1[[#This Row],[FECHA DE COMPRA]])</f>
        <v>2025</v>
      </c>
      <c r="K2678" s="19">
        <v>45.86</v>
      </c>
      <c r="L2678" s="20">
        <v>0</v>
      </c>
      <c r="M2678" s="19">
        <f>Tienda!$K3489-Tienda!$K3489*Tienda!$L3489</f>
        <v>126.595</v>
      </c>
      <c r="N2678" s="3" t="s">
        <v>10039</v>
      </c>
      <c r="O2678" s="3" t="s">
        <v>10041</v>
      </c>
      <c r="P2678" s="17">
        <v>45882</v>
      </c>
      <c r="Q2678" s="4">
        <v>0</v>
      </c>
    </row>
    <row r="2679" spans="1:17" ht="30" x14ac:dyDescent="0.25">
      <c r="A2679" s="2" t="s">
        <v>2249</v>
      </c>
      <c r="B2679" s="3" t="s">
        <v>5015</v>
      </c>
      <c r="C2679" s="3">
        <v>63</v>
      </c>
      <c r="D2679" s="46" t="str">
        <f>IF(Tabla1[[#This Row],[EDAD]]&lt;=35,"Adultos jóvenes 18 - 35 años",IF(C2679&gt;=36,"Adultos mayores 36 años en adelante"))</f>
        <v>Adultos mayores 36 años en adelante</v>
      </c>
      <c r="E2679" s="3" t="s">
        <v>5020</v>
      </c>
      <c r="F2679" s="3" t="s">
        <v>5025</v>
      </c>
      <c r="G2679" s="3" t="s">
        <v>5031</v>
      </c>
      <c r="H2679" s="3" t="s">
        <v>7272</v>
      </c>
      <c r="I2679" s="17">
        <v>45880</v>
      </c>
      <c r="J2679" s="18">
        <f>YEAR(Tabla1[[#This Row],[FECHA DE COMPRA]])</f>
        <v>2025</v>
      </c>
      <c r="K2679" s="19">
        <v>47.12</v>
      </c>
      <c r="L2679" s="20">
        <v>0.3</v>
      </c>
      <c r="M2679" s="19">
        <f>Tienda!$K3490-Tienda!$K3490*Tienda!$L3490</f>
        <v>164.745</v>
      </c>
      <c r="N2679" s="3" t="s">
        <v>10039</v>
      </c>
      <c r="O2679" s="3" t="s">
        <v>10041</v>
      </c>
      <c r="P2679" s="17">
        <v>45880</v>
      </c>
      <c r="Q2679" s="4">
        <v>0</v>
      </c>
    </row>
    <row r="2680" spans="1:17" ht="30" x14ac:dyDescent="0.25">
      <c r="A2680" s="2" t="s">
        <v>1586</v>
      </c>
      <c r="B2680" s="3" t="s">
        <v>5015</v>
      </c>
      <c r="C2680" s="3">
        <v>53</v>
      </c>
      <c r="D2680" s="46" t="str">
        <f>IF(Tabla1[[#This Row],[EDAD]]&lt;=35,"Adultos jóvenes 18 - 35 años",IF(C2680&gt;=36,"Adultos mayores 36 años en adelante"))</f>
        <v>Adultos mayores 36 años en adelante</v>
      </c>
      <c r="E2680" s="3" t="s">
        <v>5021</v>
      </c>
      <c r="F2680" s="3" t="s">
        <v>5024</v>
      </c>
      <c r="G2680" s="3" t="s">
        <v>5034</v>
      </c>
      <c r="H2680" s="3" t="s">
        <v>6609</v>
      </c>
      <c r="I2680" s="17">
        <v>45882</v>
      </c>
      <c r="J2680" s="18">
        <f>YEAR(Tabla1[[#This Row],[FECHA DE COMPRA]])</f>
        <v>2025</v>
      </c>
      <c r="K2680" s="19">
        <v>47.96</v>
      </c>
      <c r="L2680" s="20">
        <v>0.3</v>
      </c>
      <c r="M2680" s="19">
        <f>Tienda!$K3491-Tienda!$K3491*Tienda!$L3491</f>
        <v>128.91200000000001</v>
      </c>
      <c r="N2680" s="3" t="s">
        <v>10039</v>
      </c>
      <c r="O2680" s="3" t="s">
        <v>10041</v>
      </c>
      <c r="P2680" s="17">
        <v>45882</v>
      </c>
      <c r="Q2680" s="4">
        <v>0</v>
      </c>
    </row>
    <row r="2681" spans="1:17" ht="30" x14ac:dyDescent="0.25">
      <c r="A2681" s="2" t="s">
        <v>1960</v>
      </c>
      <c r="B2681" s="3" t="s">
        <v>5015</v>
      </c>
      <c r="C2681" s="3">
        <v>44</v>
      </c>
      <c r="D2681" s="46" t="str">
        <f>IF(Tabla1[[#This Row],[EDAD]]&lt;=35,"Adultos jóvenes 18 - 35 años",IF(C2681&gt;=36,"Adultos mayores 36 años en adelante"))</f>
        <v>Adultos mayores 36 años en adelante</v>
      </c>
      <c r="E2681" s="3" t="s">
        <v>5022</v>
      </c>
      <c r="F2681" s="3" t="s">
        <v>5029</v>
      </c>
      <c r="G2681" s="3" t="s">
        <v>5037</v>
      </c>
      <c r="H2681" s="3" t="s">
        <v>6983</v>
      </c>
      <c r="I2681" s="17">
        <v>45870</v>
      </c>
      <c r="J2681" s="18">
        <f>YEAR(Tabla1[[#This Row],[FECHA DE COMPRA]])</f>
        <v>2025</v>
      </c>
      <c r="K2681" s="19">
        <v>62.79</v>
      </c>
      <c r="L2681" s="20">
        <v>0.2</v>
      </c>
      <c r="M2681" s="19">
        <f>Tienda!$K3492-Tienda!$K3492*Tienda!$L3492</f>
        <v>151.87200000000001</v>
      </c>
      <c r="N2681" s="3" t="s">
        <v>10039</v>
      </c>
      <c r="O2681" s="3" t="s">
        <v>10041</v>
      </c>
      <c r="P2681" s="17">
        <v>45870</v>
      </c>
      <c r="Q2681" s="4">
        <v>0</v>
      </c>
    </row>
    <row r="2682" spans="1:17" ht="30" x14ac:dyDescent="0.25">
      <c r="A2682" s="2" t="s">
        <v>3196</v>
      </c>
      <c r="B2682" s="3" t="s">
        <v>5015</v>
      </c>
      <c r="C2682" s="3">
        <v>63</v>
      </c>
      <c r="D2682" s="46" t="str">
        <f>IF(Tabla1[[#This Row],[EDAD]]&lt;=35,"Adultos jóvenes 18 - 35 años",IF(C2682&gt;=36,"Adultos mayores 36 años en adelante"))</f>
        <v>Adultos mayores 36 años en adelante</v>
      </c>
      <c r="E2682" s="3" t="s">
        <v>5023</v>
      </c>
      <c r="F2682" s="3" t="s">
        <v>5029</v>
      </c>
      <c r="G2682" s="3" t="s">
        <v>5036</v>
      </c>
      <c r="H2682" s="3" t="s">
        <v>8219</v>
      </c>
      <c r="I2682" s="17">
        <v>45882</v>
      </c>
      <c r="J2682" s="18">
        <f>YEAR(Tabla1[[#This Row],[FECHA DE COMPRA]])</f>
        <v>2025</v>
      </c>
      <c r="K2682" s="19">
        <v>62.98</v>
      </c>
      <c r="L2682" s="20">
        <v>0.1</v>
      </c>
      <c r="M2682" s="19">
        <f>Tienda!$K3493-Tienda!$K3493*Tienda!$L3493</f>
        <v>172.96199999999999</v>
      </c>
      <c r="N2682" s="3" t="s">
        <v>10039</v>
      </c>
      <c r="O2682" s="3" t="s">
        <v>10041</v>
      </c>
      <c r="P2682" s="17">
        <v>45882</v>
      </c>
      <c r="Q2682" s="4">
        <v>0</v>
      </c>
    </row>
    <row r="2683" spans="1:17" ht="30" x14ac:dyDescent="0.25">
      <c r="A2683" s="2" t="s">
        <v>3040</v>
      </c>
      <c r="B2683" s="3" t="s">
        <v>5015</v>
      </c>
      <c r="C2683" s="3">
        <v>63</v>
      </c>
      <c r="D2683" s="46" t="str">
        <f>IF(Tabla1[[#This Row],[EDAD]]&lt;=35,"Adultos jóvenes 18 - 35 años",IF(C2683&gt;=36,"Adultos mayores 36 años en adelante"))</f>
        <v>Adultos mayores 36 años en adelante</v>
      </c>
      <c r="E2683" s="3" t="s">
        <v>5022</v>
      </c>
      <c r="F2683" s="3" t="s">
        <v>5028</v>
      </c>
      <c r="G2683" s="3" t="s">
        <v>5034</v>
      </c>
      <c r="H2683" s="3" t="s">
        <v>8063</v>
      </c>
      <c r="I2683" s="17">
        <v>45881</v>
      </c>
      <c r="J2683" s="18">
        <f>YEAR(Tabla1[[#This Row],[FECHA DE COMPRA]])</f>
        <v>2025</v>
      </c>
      <c r="K2683" s="19">
        <v>78.52</v>
      </c>
      <c r="L2683" s="20">
        <v>0</v>
      </c>
      <c r="M2683" s="19">
        <f>Tienda!$K3495-Tienda!$K3495*Tienda!$L3495</f>
        <v>14.112</v>
      </c>
      <c r="N2683" s="3" t="s">
        <v>10039</v>
      </c>
      <c r="O2683" s="3" t="s">
        <v>10041</v>
      </c>
      <c r="P2683" s="17">
        <v>45881</v>
      </c>
      <c r="Q2683" s="4">
        <v>0</v>
      </c>
    </row>
    <row r="2684" spans="1:17" ht="30" x14ac:dyDescent="0.25">
      <c r="A2684" s="2" t="s">
        <v>983</v>
      </c>
      <c r="B2684" s="3" t="s">
        <v>5015</v>
      </c>
      <c r="C2684" s="3">
        <v>57</v>
      </c>
      <c r="D2684" s="46" t="str">
        <f>IF(Tabla1[[#This Row],[EDAD]]&lt;=35,"Adultos jóvenes 18 - 35 años",IF(C2684&gt;=36,"Adultos mayores 36 años en adelante"))</f>
        <v>Adultos mayores 36 años en adelante</v>
      </c>
      <c r="E2684" s="3" t="s">
        <v>5020</v>
      </c>
      <c r="F2684" s="3" t="s">
        <v>5030</v>
      </c>
      <c r="G2684" s="3" t="s">
        <v>5036</v>
      </c>
      <c r="H2684" s="3" t="s">
        <v>6006</v>
      </c>
      <c r="I2684" s="17">
        <v>45879</v>
      </c>
      <c r="J2684" s="18">
        <f>YEAR(Tabla1[[#This Row],[FECHA DE COMPRA]])</f>
        <v>2025</v>
      </c>
      <c r="K2684" s="19">
        <v>93.77</v>
      </c>
      <c r="L2684" s="20">
        <v>0.1</v>
      </c>
      <c r="M2684" s="19">
        <f>Tienda!$K3497-Tienda!$K3497*Tienda!$L3497</f>
        <v>18.829999999999998</v>
      </c>
      <c r="N2684" s="3" t="s">
        <v>10039</v>
      </c>
      <c r="O2684" s="3" t="s">
        <v>10041</v>
      </c>
      <c r="P2684" s="17">
        <v>45879</v>
      </c>
      <c r="Q2684" s="4">
        <v>0</v>
      </c>
    </row>
    <row r="2685" spans="1:17" ht="30" x14ac:dyDescent="0.25">
      <c r="A2685" s="2" t="s">
        <v>3714</v>
      </c>
      <c r="B2685" s="3" t="s">
        <v>5015</v>
      </c>
      <c r="C2685" s="3">
        <v>36</v>
      </c>
      <c r="D2685" s="46" t="str">
        <f>IF(Tabla1[[#This Row],[EDAD]]&lt;=35,"Adultos jóvenes 18 - 35 años",IF(C2685&gt;=36,"Adultos mayores 36 años en adelante"))</f>
        <v>Adultos mayores 36 años en adelante</v>
      </c>
      <c r="E2685" s="3" t="s">
        <v>5019</v>
      </c>
      <c r="F2685" s="3" t="s">
        <v>5030</v>
      </c>
      <c r="G2685" s="3" t="s">
        <v>5032</v>
      </c>
      <c r="H2685" s="3" t="s">
        <v>8737</v>
      </c>
      <c r="I2685" s="17">
        <v>45885</v>
      </c>
      <c r="J2685" s="18">
        <f>YEAR(Tabla1[[#This Row],[FECHA DE COMPRA]])</f>
        <v>2025</v>
      </c>
      <c r="K2685" s="19">
        <v>100.76</v>
      </c>
      <c r="L2685" s="20">
        <v>0.3</v>
      </c>
      <c r="M2685" s="19">
        <f>Tienda!$K3498-Tienda!$K3498*Tienda!$L3498</f>
        <v>24.659999999999997</v>
      </c>
      <c r="N2685" s="3" t="s">
        <v>10039</v>
      </c>
      <c r="O2685" s="3" t="s">
        <v>10041</v>
      </c>
      <c r="P2685" s="17">
        <v>45885</v>
      </c>
      <c r="Q2685" s="4">
        <v>0</v>
      </c>
    </row>
    <row r="2686" spans="1:17" ht="30" x14ac:dyDescent="0.25">
      <c r="A2686" s="2" t="s">
        <v>2245</v>
      </c>
      <c r="B2686" s="3" t="s">
        <v>5015</v>
      </c>
      <c r="C2686" s="3">
        <v>57</v>
      </c>
      <c r="D2686" s="46" t="str">
        <f>IF(Tabla1[[#This Row],[EDAD]]&lt;=35,"Adultos jóvenes 18 - 35 años",IF(C2686&gt;=36,"Adultos mayores 36 años en adelante"))</f>
        <v>Adultos mayores 36 años en adelante</v>
      </c>
      <c r="E2686" s="3" t="s">
        <v>5020</v>
      </c>
      <c r="F2686" s="3" t="s">
        <v>5027</v>
      </c>
      <c r="G2686" s="3" t="s">
        <v>5031</v>
      </c>
      <c r="H2686" s="3" t="s">
        <v>7268</v>
      </c>
      <c r="I2686" s="17">
        <v>45883</v>
      </c>
      <c r="J2686" s="18">
        <f>YEAR(Tabla1[[#This Row],[FECHA DE COMPRA]])</f>
        <v>2025</v>
      </c>
      <c r="K2686" s="19">
        <v>118.02</v>
      </c>
      <c r="L2686" s="20">
        <v>0</v>
      </c>
      <c r="M2686" s="19">
        <f>Tienda!$K3499-Tienda!$K3499*Tienda!$L3499</f>
        <v>26.946000000000002</v>
      </c>
      <c r="N2686" s="3" t="s">
        <v>10039</v>
      </c>
      <c r="O2686" s="3" t="s">
        <v>10041</v>
      </c>
      <c r="P2686" s="17">
        <v>45883</v>
      </c>
      <c r="Q2686" s="4">
        <v>0</v>
      </c>
    </row>
    <row r="2687" spans="1:17" ht="30" x14ac:dyDescent="0.25">
      <c r="A2687" s="2" t="s">
        <v>696</v>
      </c>
      <c r="B2687" s="3" t="s">
        <v>5016</v>
      </c>
      <c r="C2687" s="3">
        <v>58</v>
      </c>
      <c r="D2687" s="46" t="str">
        <f>IF(Tabla1[[#This Row],[EDAD]]&lt;=35,"Adultos jóvenes 18 - 35 años",IF(C2687&gt;=36,"Adultos mayores 36 años en adelante"))</f>
        <v>Adultos mayores 36 años en adelante</v>
      </c>
      <c r="E2687" s="3" t="s">
        <v>5019</v>
      </c>
      <c r="F2687" s="3" t="s">
        <v>5026</v>
      </c>
      <c r="G2687" s="3" t="s">
        <v>5037</v>
      </c>
      <c r="H2687" s="3" t="s">
        <v>5719</v>
      </c>
      <c r="I2687" s="17">
        <v>45872</v>
      </c>
      <c r="J2687" s="18">
        <f>YEAR(Tabla1[[#This Row],[FECHA DE COMPRA]])</f>
        <v>2025</v>
      </c>
      <c r="K2687" s="19">
        <v>159.4</v>
      </c>
      <c r="L2687" s="20">
        <v>0.2</v>
      </c>
      <c r="M2687" s="19">
        <f>Tienda!$K3505-Tienda!$K3505*Tienda!$L3505</f>
        <v>53.503999999999998</v>
      </c>
      <c r="N2687" s="3" t="s">
        <v>10039</v>
      </c>
      <c r="O2687" s="3" t="s">
        <v>10041</v>
      </c>
      <c r="P2687" s="17">
        <v>45872</v>
      </c>
      <c r="Q2687" s="4">
        <v>0</v>
      </c>
    </row>
    <row r="2688" spans="1:17" ht="30" x14ac:dyDescent="0.25">
      <c r="A2688" s="2" t="s">
        <v>2953</v>
      </c>
      <c r="B2688" s="3" t="s">
        <v>5015</v>
      </c>
      <c r="C2688" s="3">
        <v>57</v>
      </c>
      <c r="D2688" s="46" t="str">
        <f>IF(Tabla1[[#This Row],[EDAD]]&lt;=35,"Adultos jóvenes 18 - 35 años",IF(C2688&gt;=36,"Adultos mayores 36 años en adelante"))</f>
        <v>Adultos mayores 36 años en adelante</v>
      </c>
      <c r="E2688" s="3" t="s">
        <v>5017</v>
      </c>
      <c r="F2688" s="3" t="s">
        <v>5028</v>
      </c>
      <c r="G2688" s="3" t="s">
        <v>5036</v>
      </c>
      <c r="H2688" s="3" t="s">
        <v>7976</v>
      </c>
      <c r="I2688" s="17">
        <v>45882</v>
      </c>
      <c r="J2688" s="18">
        <f>YEAR(Tabla1[[#This Row],[FECHA DE COMPRA]])</f>
        <v>2025</v>
      </c>
      <c r="K2688" s="19">
        <v>159.80000000000001</v>
      </c>
      <c r="L2688" s="20">
        <v>0.2</v>
      </c>
      <c r="M2688" s="19">
        <f>Tienda!$K3506-Tienda!$K3506*Tienda!$L3506</f>
        <v>68.36</v>
      </c>
      <c r="N2688" s="3" t="s">
        <v>10039</v>
      </c>
      <c r="O2688" s="3" t="s">
        <v>10041</v>
      </c>
      <c r="P2688" s="17">
        <v>45882</v>
      </c>
      <c r="Q2688" s="4">
        <v>0</v>
      </c>
    </row>
    <row r="2689" spans="1:17" ht="30" x14ac:dyDescent="0.25">
      <c r="A2689" s="2" t="s">
        <v>831</v>
      </c>
      <c r="B2689" s="3" t="s">
        <v>5015</v>
      </c>
      <c r="C2689" s="3">
        <v>60</v>
      </c>
      <c r="D2689" s="46" t="str">
        <f>IF(Tabla1[[#This Row],[EDAD]]&lt;=35,"Adultos jóvenes 18 - 35 años",IF(C2689&gt;=36,"Adultos mayores 36 años en adelante"))</f>
        <v>Adultos mayores 36 años en adelante</v>
      </c>
      <c r="E2689" s="3" t="s">
        <v>5018</v>
      </c>
      <c r="F2689" s="3" t="s">
        <v>5029</v>
      </c>
      <c r="G2689" s="3" t="s">
        <v>5033</v>
      </c>
      <c r="H2689" s="3" t="s">
        <v>5854</v>
      </c>
      <c r="I2689" s="17">
        <v>45883</v>
      </c>
      <c r="J2689" s="18">
        <f>YEAR(Tabla1[[#This Row],[FECHA DE COMPRA]])</f>
        <v>2025</v>
      </c>
      <c r="K2689" s="19">
        <v>161.21</v>
      </c>
      <c r="L2689" s="20">
        <v>0</v>
      </c>
      <c r="M2689" s="19">
        <f>Tienda!$K3507-Tienda!$K3507*Tienda!$L3507</f>
        <v>117.54</v>
      </c>
      <c r="N2689" s="3" t="s">
        <v>10039</v>
      </c>
      <c r="O2689" s="3" t="s">
        <v>10041</v>
      </c>
      <c r="P2689" s="17">
        <v>45883</v>
      </c>
      <c r="Q2689" s="4">
        <v>0</v>
      </c>
    </row>
    <row r="2690" spans="1:17" ht="30" x14ac:dyDescent="0.25">
      <c r="A2690" s="2" t="s">
        <v>3035</v>
      </c>
      <c r="B2690" s="3" t="s">
        <v>5016</v>
      </c>
      <c r="C2690" s="3">
        <v>38</v>
      </c>
      <c r="D2690" s="46" t="str">
        <f>IF(Tabla1[[#This Row],[EDAD]]&lt;=35,"Adultos jóvenes 18 - 35 años",IF(C2690&gt;=36,"Adultos mayores 36 años en adelante"))</f>
        <v>Adultos mayores 36 años en adelante</v>
      </c>
      <c r="E2690" s="3" t="s">
        <v>5023</v>
      </c>
      <c r="F2690" s="3" t="s">
        <v>5026</v>
      </c>
      <c r="G2690" s="3" t="s">
        <v>5037</v>
      </c>
      <c r="H2690" s="3" t="s">
        <v>8058</v>
      </c>
      <c r="I2690" s="17">
        <v>45876</v>
      </c>
      <c r="J2690" s="18">
        <f>YEAR(Tabla1[[#This Row],[FECHA DE COMPRA]])</f>
        <v>2025</v>
      </c>
      <c r="K2690" s="19">
        <v>171.6</v>
      </c>
      <c r="L2690" s="20">
        <v>0.2</v>
      </c>
      <c r="M2690" s="19">
        <f>Tienda!$K3509-Tienda!$K3509*Tienda!$L3509</f>
        <v>131.56</v>
      </c>
      <c r="N2690" s="3" t="s">
        <v>10039</v>
      </c>
      <c r="O2690" s="3" t="s">
        <v>10041</v>
      </c>
      <c r="P2690" s="17">
        <v>45876</v>
      </c>
      <c r="Q2690" s="4">
        <v>0</v>
      </c>
    </row>
    <row r="2691" spans="1:17" ht="30" x14ac:dyDescent="0.25">
      <c r="A2691" s="2" t="s">
        <v>4792</v>
      </c>
      <c r="B2691" s="3" t="s">
        <v>5015</v>
      </c>
      <c r="C2691" s="3">
        <v>49</v>
      </c>
      <c r="D2691" s="46" t="str">
        <f>IF(Tabla1[[#This Row],[EDAD]]&lt;=35,"Adultos jóvenes 18 - 35 años",IF(C2691&gt;=36,"Adultos mayores 36 años en adelante"))</f>
        <v>Adultos mayores 36 años en adelante</v>
      </c>
      <c r="E2691" s="3" t="s">
        <v>5018</v>
      </c>
      <c r="F2691" s="3" t="s">
        <v>5024</v>
      </c>
      <c r="G2691" s="3" t="s">
        <v>5035</v>
      </c>
      <c r="H2691" s="3" t="s">
        <v>9815</v>
      </c>
      <c r="I2691" s="17">
        <v>45883</v>
      </c>
      <c r="J2691" s="18">
        <f>YEAR(Tabla1[[#This Row],[FECHA DE COMPRA]])</f>
        <v>2025</v>
      </c>
      <c r="K2691" s="19">
        <v>172.84</v>
      </c>
      <c r="L2691" s="20">
        <v>0.3</v>
      </c>
      <c r="M2691" s="19">
        <f>Tienda!$K3511-Tienda!$K3511*Tienda!$L3511</f>
        <v>118.75999999999999</v>
      </c>
      <c r="N2691" s="3" t="s">
        <v>10039</v>
      </c>
      <c r="O2691" s="3" t="s">
        <v>10041</v>
      </c>
      <c r="P2691" s="17">
        <v>45883</v>
      </c>
      <c r="Q2691" s="4">
        <v>0</v>
      </c>
    </row>
    <row r="2692" spans="1:17" ht="30" x14ac:dyDescent="0.25">
      <c r="A2692" s="2" t="s">
        <v>181</v>
      </c>
      <c r="B2692" s="3" t="s">
        <v>5015</v>
      </c>
      <c r="C2692" s="3">
        <v>53</v>
      </c>
      <c r="D2692" s="46" t="str">
        <f>IF(Tabla1[[#This Row],[EDAD]]&lt;=35,"Adultos jóvenes 18 - 35 años",IF(C2692&gt;=36,"Adultos mayores 36 años en adelante"))</f>
        <v>Adultos mayores 36 años en adelante</v>
      </c>
      <c r="E2692" s="3" t="s">
        <v>5020</v>
      </c>
      <c r="F2692" s="3" t="s">
        <v>5026</v>
      </c>
      <c r="G2692" s="3" t="s">
        <v>5031</v>
      </c>
      <c r="H2692" s="3" t="s">
        <v>5204</v>
      </c>
      <c r="I2692" s="17">
        <v>45878</v>
      </c>
      <c r="J2692" s="18">
        <f>YEAR(Tabla1[[#This Row],[FECHA DE COMPRA]])</f>
        <v>2025</v>
      </c>
      <c r="K2692" s="19">
        <v>175.01</v>
      </c>
      <c r="L2692" s="20">
        <v>0.2</v>
      </c>
      <c r="M2692" s="19">
        <f>Tienda!$K3512-Tienda!$K3512*Tienda!$L3512</f>
        <v>109.501</v>
      </c>
      <c r="N2692" s="3" t="s">
        <v>10039</v>
      </c>
      <c r="O2692" s="3" t="s">
        <v>10041</v>
      </c>
      <c r="P2692" s="17">
        <v>45878</v>
      </c>
      <c r="Q2692" s="4">
        <v>0</v>
      </c>
    </row>
    <row r="2693" spans="1:17" ht="30" x14ac:dyDescent="0.25">
      <c r="A2693" s="2" t="s">
        <v>4968</v>
      </c>
      <c r="B2693" s="3" t="s">
        <v>5015</v>
      </c>
      <c r="C2693" s="3">
        <v>65</v>
      </c>
      <c r="D2693" s="46" t="str">
        <f>IF(Tabla1[[#This Row],[EDAD]]&lt;=35,"Adultos jóvenes 18 - 35 años",IF(C2693&gt;=36,"Adultos mayores 36 años en adelante"))</f>
        <v>Adultos mayores 36 años en adelante</v>
      </c>
      <c r="E2693" s="3" t="s">
        <v>5019</v>
      </c>
      <c r="F2693" s="3" t="s">
        <v>5027</v>
      </c>
      <c r="G2693" s="3" t="s">
        <v>5036</v>
      </c>
      <c r="H2693" s="3" t="s">
        <v>9991</v>
      </c>
      <c r="I2693" s="17">
        <v>45870</v>
      </c>
      <c r="J2693" s="18">
        <f>YEAR(Tabla1[[#This Row],[FECHA DE COMPRA]])</f>
        <v>2025</v>
      </c>
      <c r="K2693" s="19">
        <v>188.38</v>
      </c>
      <c r="L2693" s="20">
        <v>0.3</v>
      </c>
      <c r="M2693" s="19">
        <f>Tienda!$K3514-Tienda!$K3514*Tienda!$L3514</f>
        <v>135.80799999999999</v>
      </c>
      <c r="N2693" s="3" t="s">
        <v>10039</v>
      </c>
      <c r="O2693" s="3" t="s">
        <v>10041</v>
      </c>
      <c r="P2693" s="17">
        <v>45870</v>
      </c>
      <c r="Q2693" s="4">
        <v>0</v>
      </c>
    </row>
    <row r="2694" spans="1:17" ht="30" x14ac:dyDescent="0.25">
      <c r="A2694" s="2" t="s">
        <v>284</v>
      </c>
      <c r="B2694" s="3" t="s">
        <v>5015</v>
      </c>
      <c r="C2694" s="3">
        <v>51</v>
      </c>
      <c r="D2694" s="46" t="str">
        <f>IF(Tabla1[[#This Row],[EDAD]]&lt;=35,"Adultos jóvenes 18 - 35 años",IF(C2694&gt;=36,"Adultos mayores 36 años en adelante"))</f>
        <v>Adultos mayores 36 años en adelante</v>
      </c>
      <c r="E2694" s="3" t="s">
        <v>5021</v>
      </c>
      <c r="F2694" s="3" t="s">
        <v>5029</v>
      </c>
      <c r="G2694" s="3" t="s">
        <v>5036</v>
      </c>
      <c r="H2694" s="3" t="s">
        <v>5307</v>
      </c>
      <c r="I2694" s="17">
        <v>45878</v>
      </c>
      <c r="J2694" s="18">
        <f>YEAR(Tabla1[[#This Row],[FECHA DE COMPRA]])</f>
        <v>2025</v>
      </c>
      <c r="K2694" s="19">
        <v>193.01</v>
      </c>
      <c r="L2694" s="20">
        <v>0.2</v>
      </c>
      <c r="M2694" s="19">
        <f>Tienda!$K3516-Tienda!$K3516*Tienda!$L3516</f>
        <v>165.375</v>
      </c>
      <c r="N2694" s="3" t="s">
        <v>10039</v>
      </c>
      <c r="O2694" s="3" t="s">
        <v>10041</v>
      </c>
      <c r="P2694" s="17">
        <v>45878</v>
      </c>
      <c r="Q2694" s="4">
        <v>0</v>
      </c>
    </row>
    <row r="2695" spans="1:17" ht="30" x14ac:dyDescent="0.25">
      <c r="A2695" s="2" t="s">
        <v>754</v>
      </c>
      <c r="B2695" s="3" t="s">
        <v>5016</v>
      </c>
      <c r="C2695" s="3">
        <v>64</v>
      </c>
      <c r="D2695" s="46" t="str">
        <f>IF(Tabla1[[#This Row],[EDAD]]&lt;=35,"Adultos jóvenes 18 - 35 años",IF(C2695&gt;=36,"Adultos mayores 36 años en adelante"))</f>
        <v>Adultos mayores 36 años en adelante</v>
      </c>
      <c r="E2695" s="3" t="s">
        <v>5019</v>
      </c>
      <c r="F2695" s="3" t="s">
        <v>5025</v>
      </c>
      <c r="G2695" s="3" t="s">
        <v>5033</v>
      </c>
      <c r="H2695" s="3" t="s">
        <v>5777</v>
      </c>
      <c r="I2695" s="17">
        <v>45399</v>
      </c>
      <c r="J2695" s="18">
        <f>YEAR(Tabla1[[#This Row],[FECHA DE COMPRA]])</f>
        <v>2024</v>
      </c>
      <c r="K2695" s="19">
        <v>11.12</v>
      </c>
      <c r="L2695" s="20">
        <v>0.3</v>
      </c>
      <c r="M2695" s="19">
        <f>Tienda!$K906-Tienda!$K906*Tienda!$L906</f>
        <v>25.74</v>
      </c>
      <c r="N2695" s="3" t="s">
        <v>10040</v>
      </c>
      <c r="O2695" s="3" t="s">
        <v>10041</v>
      </c>
      <c r="P2695" s="17">
        <v>45399</v>
      </c>
      <c r="Q2695" s="4">
        <v>0</v>
      </c>
    </row>
    <row r="2696" spans="1:17" ht="30" x14ac:dyDescent="0.25">
      <c r="A2696" s="2" t="s">
        <v>4712</v>
      </c>
      <c r="B2696" s="3" t="s">
        <v>5016</v>
      </c>
      <c r="C2696" s="3">
        <v>54</v>
      </c>
      <c r="D2696" s="46" t="str">
        <f>IF(Tabla1[[#This Row],[EDAD]]&lt;=35,"Adultos jóvenes 18 - 35 años",IF(C2696&gt;=36,"Adultos mayores 36 años en adelante"))</f>
        <v>Adultos mayores 36 años en adelante</v>
      </c>
      <c r="E2696" s="3" t="s">
        <v>5019</v>
      </c>
      <c r="F2696" s="3" t="s">
        <v>5024</v>
      </c>
      <c r="G2696" s="3" t="s">
        <v>5037</v>
      </c>
      <c r="H2696" s="3" t="s">
        <v>9735</v>
      </c>
      <c r="I2696" s="17">
        <v>45465</v>
      </c>
      <c r="J2696" s="18">
        <f>YEAR(Tabla1[[#This Row],[FECHA DE COMPRA]])</f>
        <v>2024</v>
      </c>
      <c r="K2696" s="19">
        <v>11.41</v>
      </c>
      <c r="L2696" s="20">
        <v>0.2</v>
      </c>
      <c r="M2696" s="19">
        <f>Tienda!$K918-Tienda!$K918*Tienda!$L918</f>
        <v>11.664000000000001</v>
      </c>
      <c r="N2696" s="3" t="s">
        <v>10040</v>
      </c>
      <c r="O2696" s="3" t="s">
        <v>10041</v>
      </c>
      <c r="P2696" s="17">
        <v>45465</v>
      </c>
      <c r="Q2696" s="4">
        <v>0</v>
      </c>
    </row>
    <row r="2697" spans="1:17" ht="30" x14ac:dyDescent="0.25">
      <c r="A2697" s="2" t="s">
        <v>2006</v>
      </c>
      <c r="B2697" s="3" t="s">
        <v>5015</v>
      </c>
      <c r="C2697" s="3">
        <v>54</v>
      </c>
      <c r="D2697" s="46" t="str">
        <f>IF(Tabla1[[#This Row],[EDAD]]&lt;=35,"Adultos jóvenes 18 - 35 años",IF(C2697&gt;=36,"Adultos mayores 36 años en adelante"))</f>
        <v>Adultos mayores 36 años en adelante</v>
      </c>
      <c r="E2697" s="3" t="s">
        <v>5020</v>
      </c>
      <c r="F2697" s="3" t="s">
        <v>5024</v>
      </c>
      <c r="G2697" s="3" t="s">
        <v>5031</v>
      </c>
      <c r="H2697" s="3" t="s">
        <v>7029</v>
      </c>
      <c r="I2697" s="17">
        <v>45635</v>
      </c>
      <c r="J2697" s="18">
        <f>YEAR(Tabla1[[#This Row],[FECHA DE COMPRA]])</f>
        <v>2024</v>
      </c>
      <c r="K2697" s="19">
        <v>13.14</v>
      </c>
      <c r="L2697" s="20">
        <v>0.3</v>
      </c>
      <c r="M2697" s="19">
        <f>Tienda!$K919-Tienda!$K919*Tienda!$L919</f>
        <v>9.5620000000000012</v>
      </c>
      <c r="N2697" s="3" t="s">
        <v>10040</v>
      </c>
      <c r="O2697" s="3" t="s">
        <v>10041</v>
      </c>
      <c r="P2697" s="17">
        <v>45457</v>
      </c>
      <c r="Q2697" s="4">
        <v>0</v>
      </c>
    </row>
    <row r="2698" spans="1:17" ht="30" x14ac:dyDescent="0.25">
      <c r="A2698" s="2" t="s">
        <v>885</v>
      </c>
      <c r="B2698" s="3" t="s">
        <v>5015</v>
      </c>
      <c r="C2698" s="3">
        <v>37</v>
      </c>
      <c r="D2698" s="46" t="str">
        <f>IF(Tabla1[[#This Row],[EDAD]]&lt;=35,"Adultos jóvenes 18 - 35 años",IF(C2698&gt;=36,"Adultos mayores 36 años en adelante"))</f>
        <v>Adultos mayores 36 años en adelante</v>
      </c>
      <c r="E2698" s="3" t="s">
        <v>5023</v>
      </c>
      <c r="F2698" s="3" t="s">
        <v>5027</v>
      </c>
      <c r="G2698" s="3" t="s">
        <v>5034</v>
      </c>
      <c r="H2698" s="3" t="s">
        <v>5908</v>
      </c>
      <c r="I2698" s="17">
        <v>45372</v>
      </c>
      <c r="J2698" s="18">
        <f>YEAR(Tabla1[[#This Row],[FECHA DE COMPRA]])</f>
        <v>2024</v>
      </c>
      <c r="K2698" s="19">
        <v>10.69</v>
      </c>
      <c r="L2698" s="20">
        <v>0.1</v>
      </c>
      <c r="M2698" s="19">
        <f>Tienda!$K923-Tienda!$K923*Tienda!$L923</f>
        <v>46.167999999999999</v>
      </c>
      <c r="N2698" s="3" t="s">
        <v>10040</v>
      </c>
      <c r="O2698" s="3" t="s">
        <v>10041</v>
      </c>
      <c r="P2698" s="17">
        <v>45372</v>
      </c>
      <c r="Q2698" s="4">
        <v>0</v>
      </c>
    </row>
    <row r="2699" spans="1:17" ht="30" x14ac:dyDescent="0.25">
      <c r="A2699" s="2" t="s">
        <v>937</v>
      </c>
      <c r="B2699" s="3" t="s">
        <v>5015</v>
      </c>
      <c r="C2699" s="3">
        <v>37</v>
      </c>
      <c r="D2699" s="46" t="str">
        <f>IF(Tabla1[[#This Row],[EDAD]]&lt;=35,"Adultos jóvenes 18 - 35 años",IF(C2699&gt;=36,"Adultos mayores 36 años en adelante"))</f>
        <v>Adultos mayores 36 años en adelante</v>
      </c>
      <c r="E2699" s="3" t="s">
        <v>5019</v>
      </c>
      <c r="F2699" s="3" t="s">
        <v>5029</v>
      </c>
      <c r="G2699" s="3" t="s">
        <v>5037</v>
      </c>
      <c r="H2699" s="3" t="s">
        <v>5960</v>
      </c>
      <c r="I2699" s="17">
        <v>45444</v>
      </c>
      <c r="J2699" s="18">
        <f>YEAR(Tabla1[[#This Row],[FECHA DE COMPRA]])</f>
        <v>2024</v>
      </c>
      <c r="K2699" s="19">
        <v>13.5</v>
      </c>
      <c r="L2699" s="20">
        <v>0.2</v>
      </c>
      <c r="M2699" s="19">
        <f>Tienda!$K929-Tienda!$K929*Tienda!$L929</f>
        <v>132.59700000000001</v>
      </c>
      <c r="N2699" s="3" t="s">
        <v>10040</v>
      </c>
      <c r="O2699" s="3" t="s">
        <v>10041</v>
      </c>
      <c r="P2699" s="17">
        <v>45444</v>
      </c>
      <c r="Q2699" s="4">
        <v>0</v>
      </c>
    </row>
    <row r="2700" spans="1:17" ht="30" x14ac:dyDescent="0.25">
      <c r="A2700" s="2" t="s">
        <v>4281</v>
      </c>
      <c r="B2700" s="3" t="s">
        <v>5015</v>
      </c>
      <c r="C2700" s="3">
        <v>36</v>
      </c>
      <c r="D2700" s="46" t="str">
        <f>IF(Tabla1[[#This Row],[EDAD]]&lt;=35,"Adultos jóvenes 18 - 35 años",IF(C2700&gt;=36,"Adultos mayores 36 años en adelante"))</f>
        <v>Adultos mayores 36 años en adelante</v>
      </c>
      <c r="E2700" s="3" t="s">
        <v>5020</v>
      </c>
      <c r="F2700" s="3" t="s">
        <v>5028</v>
      </c>
      <c r="G2700" s="3" t="s">
        <v>5036</v>
      </c>
      <c r="H2700" s="3" t="s">
        <v>9304</v>
      </c>
      <c r="I2700" s="17">
        <v>45602</v>
      </c>
      <c r="J2700" s="18">
        <f>YEAR(Tabla1[[#This Row],[FECHA DE COMPRA]])</f>
        <v>2024</v>
      </c>
      <c r="K2700" s="19">
        <v>15.99</v>
      </c>
      <c r="L2700" s="20">
        <v>0.3</v>
      </c>
      <c r="M2700" s="19">
        <f>Tienda!$K935-Tienda!$K935*Tienda!$L935</f>
        <v>115.47200000000001</v>
      </c>
      <c r="N2700" s="3" t="s">
        <v>10040</v>
      </c>
      <c r="O2700" s="3" t="s">
        <v>10041</v>
      </c>
      <c r="P2700" s="17">
        <v>45602</v>
      </c>
      <c r="Q2700" s="4">
        <v>0</v>
      </c>
    </row>
    <row r="2701" spans="1:17" ht="30" x14ac:dyDescent="0.25">
      <c r="A2701" s="2" t="s">
        <v>1876</v>
      </c>
      <c r="B2701" s="3" t="s">
        <v>5016</v>
      </c>
      <c r="C2701" s="3">
        <v>63</v>
      </c>
      <c r="D2701" s="46" t="str">
        <f>IF(Tabla1[[#This Row],[EDAD]]&lt;=35,"Adultos jóvenes 18 - 35 años",IF(C2701&gt;=36,"Adultos mayores 36 años en adelante"))</f>
        <v>Adultos mayores 36 años en adelante</v>
      </c>
      <c r="E2701" s="3" t="s">
        <v>5023</v>
      </c>
      <c r="F2701" s="3" t="s">
        <v>5025</v>
      </c>
      <c r="G2701" s="3" t="s">
        <v>5035</v>
      </c>
      <c r="H2701" s="3" t="s">
        <v>6899</v>
      </c>
      <c r="I2701" s="17">
        <v>45427</v>
      </c>
      <c r="J2701" s="18">
        <f>YEAR(Tabla1[[#This Row],[FECHA DE COMPRA]])</f>
        <v>2024</v>
      </c>
      <c r="K2701" s="19">
        <v>16.02</v>
      </c>
      <c r="L2701" s="20">
        <v>0.3</v>
      </c>
      <c r="M2701" s="19">
        <f>Tienda!$K937-Tienda!$K937*Tienda!$L937</f>
        <v>11.619</v>
      </c>
      <c r="N2701" s="3" t="s">
        <v>10040</v>
      </c>
      <c r="O2701" s="3" t="s">
        <v>10041</v>
      </c>
      <c r="P2701" s="17">
        <v>45427</v>
      </c>
      <c r="Q2701" s="4">
        <v>0</v>
      </c>
    </row>
    <row r="2702" spans="1:17" ht="30" x14ac:dyDescent="0.25">
      <c r="A2702" s="2" t="s">
        <v>4451</v>
      </c>
      <c r="B2702" s="3" t="s">
        <v>5015</v>
      </c>
      <c r="C2702" s="3">
        <v>51</v>
      </c>
      <c r="D2702" s="46" t="str">
        <f>IF(Tabla1[[#This Row],[EDAD]]&lt;=35,"Adultos jóvenes 18 - 35 años",IF(C2702&gt;=36,"Adultos mayores 36 años en adelante"))</f>
        <v>Adultos mayores 36 años en adelante</v>
      </c>
      <c r="E2702" s="3" t="s">
        <v>5023</v>
      </c>
      <c r="F2702" s="3" t="s">
        <v>5026</v>
      </c>
      <c r="G2702" s="3" t="s">
        <v>5033</v>
      </c>
      <c r="H2702" s="3" t="s">
        <v>9474</v>
      </c>
      <c r="I2702" s="17">
        <v>45321</v>
      </c>
      <c r="J2702" s="18">
        <f>YEAR(Tabla1[[#This Row],[FECHA DE COMPRA]])</f>
        <v>2024</v>
      </c>
      <c r="K2702" s="19">
        <v>16.54</v>
      </c>
      <c r="L2702" s="20">
        <v>0.3</v>
      </c>
      <c r="M2702" s="19">
        <f>Tienda!$K939-Tienda!$K939*Tienda!$L939</f>
        <v>43.028999999999996</v>
      </c>
      <c r="N2702" s="3" t="s">
        <v>10040</v>
      </c>
      <c r="O2702" s="3" t="s">
        <v>10041</v>
      </c>
      <c r="P2702" s="17">
        <v>45321</v>
      </c>
      <c r="Q2702" s="4">
        <v>0</v>
      </c>
    </row>
    <row r="2703" spans="1:17" ht="30" x14ac:dyDescent="0.25">
      <c r="A2703" s="2" t="s">
        <v>3876</v>
      </c>
      <c r="B2703" s="3" t="s">
        <v>5015</v>
      </c>
      <c r="C2703" s="3">
        <v>52</v>
      </c>
      <c r="D2703" s="46" t="str">
        <f>IF(Tabla1[[#This Row],[EDAD]]&lt;=35,"Adultos jóvenes 18 - 35 años",IF(C2703&gt;=36,"Adultos mayores 36 años en adelante"))</f>
        <v>Adultos mayores 36 años en adelante</v>
      </c>
      <c r="E2703" s="3" t="s">
        <v>5018</v>
      </c>
      <c r="F2703" s="3" t="s">
        <v>5028</v>
      </c>
      <c r="G2703" s="3" t="s">
        <v>5032</v>
      </c>
      <c r="H2703" s="3" t="s">
        <v>8899</v>
      </c>
      <c r="I2703" s="17">
        <v>45605</v>
      </c>
      <c r="J2703" s="18">
        <f>YEAR(Tabla1[[#This Row],[FECHA DE COMPRA]])</f>
        <v>2024</v>
      </c>
      <c r="K2703" s="19">
        <v>14.93</v>
      </c>
      <c r="L2703" s="20">
        <v>0.2</v>
      </c>
      <c r="M2703" s="19">
        <f>Tienda!$K944-Tienda!$K944*Tienda!$L944</f>
        <v>159.51</v>
      </c>
      <c r="N2703" s="3" t="s">
        <v>10040</v>
      </c>
      <c r="O2703" s="3" t="s">
        <v>10041</v>
      </c>
      <c r="P2703" s="17">
        <v>45605</v>
      </c>
      <c r="Q2703" s="4">
        <v>0</v>
      </c>
    </row>
    <row r="2704" spans="1:17" ht="30" x14ac:dyDescent="0.25">
      <c r="A2704" s="2" t="s">
        <v>2996</v>
      </c>
      <c r="B2704" s="3" t="s">
        <v>5015</v>
      </c>
      <c r="C2704" s="3">
        <v>54</v>
      </c>
      <c r="D2704" s="46" t="str">
        <f>IF(Tabla1[[#This Row],[EDAD]]&lt;=35,"Adultos jóvenes 18 - 35 años",IF(C2704&gt;=36,"Adultos mayores 36 años en adelante"))</f>
        <v>Adultos mayores 36 años en adelante</v>
      </c>
      <c r="E2704" s="3" t="s">
        <v>5018</v>
      </c>
      <c r="F2704" s="3" t="s">
        <v>5030</v>
      </c>
      <c r="G2704" s="3" t="s">
        <v>5037</v>
      </c>
      <c r="H2704" s="3" t="s">
        <v>8019</v>
      </c>
      <c r="I2704" s="17">
        <v>45636</v>
      </c>
      <c r="J2704" s="18">
        <f>YEAR(Tabla1[[#This Row],[FECHA DE COMPRA]])</f>
        <v>2024</v>
      </c>
      <c r="K2704" s="19">
        <v>13.3</v>
      </c>
      <c r="L2704" s="20">
        <v>0.1</v>
      </c>
      <c r="M2704" s="19">
        <f>Tienda!$K946-Tienda!$K946*Tienda!$L946</f>
        <v>15.34</v>
      </c>
      <c r="N2704" s="3" t="s">
        <v>10040</v>
      </c>
      <c r="O2704" s="3" t="s">
        <v>10041</v>
      </c>
      <c r="P2704" s="17">
        <v>45459</v>
      </c>
      <c r="Q2704" s="4">
        <v>0</v>
      </c>
    </row>
    <row r="2705" spans="1:17" ht="30" x14ac:dyDescent="0.25">
      <c r="A2705" s="2" t="s">
        <v>2071</v>
      </c>
      <c r="B2705" s="3" t="s">
        <v>5015</v>
      </c>
      <c r="C2705" s="3">
        <v>39</v>
      </c>
      <c r="D2705" s="46" t="str">
        <f>IF(Tabla1[[#This Row],[EDAD]]&lt;=35,"Adultos jóvenes 18 - 35 años",IF(C2705&gt;=36,"Adultos mayores 36 años en adelante"))</f>
        <v>Adultos mayores 36 años en adelante</v>
      </c>
      <c r="E2705" s="3" t="s">
        <v>5021</v>
      </c>
      <c r="F2705" s="3" t="s">
        <v>5024</v>
      </c>
      <c r="G2705" s="3" t="s">
        <v>5035</v>
      </c>
      <c r="H2705" s="3" t="s">
        <v>7094</v>
      </c>
      <c r="I2705" s="17">
        <v>45323</v>
      </c>
      <c r="J2705" s="18">
        <f>YEAR(Tabla1[[#This Row],[FECHA DE COMPRA]])</f>
        <v>2024</v>
      </c>
      <c r="K2705" s="19">
        <v>18.16</v>
      </c>
      <c r="L2705" s="20">
        <v>0.3</v>
      </c>
      <c r="M2705" s="19">
        <f>Tienda!$K955-Tienda!$K955*Tienda!$L955</f>
        <v>65.903999999999996</v>
      </c>
      <c r="N2705" s="3" t="s">
        <v>10040</v>
      </c>
      <c r="O2705" s="3" t="s">
        <v>10041</v>
      </c>
      <c r="P2705" s="17">
        <v>45323</v>
      </c>
      <c r="Q2705" s="4">
        <v>0</v>
      </c>
    </row>
    <row r="2706" spans="1:17" ht="30" x14ac:dyDescent="0.25">
      <c r="A2706" s="2" t="s">
        <v>3375</v>
      </c>
      <c r="B2706" s="3" t="s">
        <v>5015</v>
      </c>
      <c r="C2706" s="3">
        <v>63</v>
      </c>
      <c r="D2706" s="46" t="str">
        <f>IF(Tabla1[[#This Row],[EDAD]]&lt;=35,"Adultos jóvenes 18 - 35 años",IF(C2706&gt;=36,"Adultos mayores 36 años en adelante"))</f>
        <v>Adultos mayores 36 años en adelante</v>
      </c>
      <c r="E2706" s="3" t="s">
        <v>5020</v>
      </c>
      <c r="F2706" s="3" t="s">
        <v>5027</v>
      </c>
      <c r="G2706" s="3" t="s">
        <v>5032</v>
      </c>
      <c r="H2706" s="3" t="s">
        <v>8398</v>
      </c>
      <c r="I2706" s="17">
        <v>45577</v>
      </c>
      <c r="J2706" s="18">
        <f>YEAR(Tabla1[[#This Row],[FECHA DE COMPRA]])</f>
        <v>2024</v>
      </c>
      <c r="K2706" s="19">
        <v>14.35</v>
      </c>
      <c r="L2706" s="20">
        <v>0</v>
      </c>
      <c r="M2706" s="19">
        <f>Tienda!$K970-Tienda!$K970*Tienda!$L970</f>
        <v>82.494</v>
      </c>
      <c r="N2706" s="3" t="s">
        <v>10040</v>
      </c>
      <c r="O2706" s="3" t="s">
        <v>10041</v>
      </c>
      <c r="P2706" s="17">
        <v>45577</v>
      </c>
      <c r="Q2706" s="4">
        <v>0</v>
      </c>
    </row>
    <row r="2707" spans="1:17" ht="30" x14ac:dyDescent="0.25">
      <c r="A2707" s="2" t="s">
        <v>4582</v>
      </c>
      <c r="B2707" s="3" t="s">
        <v>5015</v>
      </c>
      <c r="C2707" s="3">
        <v>54</v>
      </c>
      <c r="D2707" s="46" t="str">
        <f>IF(Tabla1[[#This Row],[EDAD]]&lt;=35,"Adultos jóvenes 18 - 35 años",IF(C2707&gt;=36,"Adultos mayores 36 años en adelante"))</f>
        <v>Adultos mayores 36 años en adelante</v>
      </c>
      <c r="E2707" s="3" t="s">
        <v>5020</v>
      </c>
      <c r="F2707" s="3" t="s">
        <v>5028</v>
      </c>
      <c r="G2707" s="3" t="s">
        <v>5036</v>
      </c>
      <c r="H2707" s="3" t="s">
        <v>9605</v>
      </c>
      <c r="I2707" s="17">
        <v>45328</v>
      </c>
      <c r="J2707" s="18">
        <f>YEAR(Tabla1[[#This Row],[FECHA DE COMPRA]])</f>
        <v>2024</v>
      </c>
      <c r="K2707" s="19">
        <v>18.25</v>
      </c>
      <c r="L2707" s="20">
        <v>0.2</v>
      </c>
      <c r="M2707" s="19">
        <f>Tienda!$K972-Tienda!$K972*Tienda!$L972</f>
        <v>72.198000000000008</v>
      </c>
      <c r="N2707" s="3" t="s">
        <v>10040</v>
      </c>
      <c r="O2707" s="3" t="s">
        <v>10041</v>
      </c>
      <c r="P2707" s="17">
        <v>45328</v>
      </c>
      <c r="Q2707" s="4">
        <v>0</v>
      </c>
    </row>
    <row r="2708" spans="1:17" ht="30" x14ac:dyDescent="0.25">
      <c r="A2708" s="2" t="s">
        <v>2270</v>
      </c>
      <c r="B2708" s="3" t="s">
        <v>5015</v>
      </c>
      <c r="C2708" s="3">
        <v>51</v>
      </c>
      <c r="D2708" s="46" t="str">
        <f>IF(Tabla1[[#This Row],[EDAD]]&lt;=35,"Adultos jóvenes 18 - 35 años",IF(C2708&gt;=36,"Adultos mayores 36 años en adelante"))</f>
        <v>Adultos mayores 36 años en adelante</v>
      </c>
      <c r="E2708" s="3" t="s">
        <v>5020</v>
      </c>
      <c r="F2708" s="3" t="s">
        <v>5025</v>
      </c>
      <c r="G2708" s="3" t="s">
        <v>5036</v>
      </c>
      <c r="H2708" s="3" t="s">
        <v>7293</v>
      </c>
      <c r="I2708" s="17">
        <v>45314</v>
      </c>
      <c r="J2708" s="18">
        <f>YEAR(Tabla1[[#This Row],[FECHA DE COMPRA]])</f>
        <v>2024</v>
      </c>
      <c r="K2708" s="19">
        <v>16.8</v>
      </c>
      <c r="L2708" s="20">
        <v>0.1</v>
      </c>
      <c r="M2708" s="19">
        <f>Tienda!$K979-Tienda!$K979*Tienda!$L979</f>
        <v>106.309</v>
      </c>
      <c r="N2708" s="3" t="s">
        <v>10040</v>
      </c>
      <c r="O2708" s="3" t="s">
        <v>10041</v>
      </c>
      <c r="P2708" s="17">
        <v>45314</v>
      </c>
      <c r="Q2708" s="4">
        <v>0</v>
      </c>
    </row>
    <row r="2709" spans="1:17" ht="30" x14ac:dyDescent="0.25">
      <c r="A2709" s="2" t="s">
        <v>2095</v>
      </c>
      <c r="B2709" s="3" t="s">
        <v>5015</v>
      </c>
      <c r="C2709" s="3">
        <v>61</v>
      </c>
      <c r="D2709" s="46" t="str">
        <f>IF(Tabla1[[#This Row],[EDAD]]&lt;=35,"Adultos jóvenes 18 - 35 años",IF(C2709&gt;=36,"Adultos mayores 36 años en adelante"))</f>
        <v>Adultos mayores 36 años en adelante</v>
      </c>
      <c r="E2709" s="3" t="s">
        <v>5019</v>
      </c>
      <c r="F2709" s="3" t="s">
        <v>5024</v>
      </c>
      <c r="G2709" s="3" t="s">
        <v>5036</v>
      </c>
      <c r="H2709" s="3" t="s">
        <v>7118</v>
      </c>
      <c r="I2709" s="17">
        <v>45599</v>
      </c>
      <c r="J2709" s="18">
        <f>YEAR(Tabla1[[#This Row],[FECHA DE COMPRA]])</f>
        <v>2024</v>
      </c>
      <c r="K2709" s="19">
        <v>17.760000000000002</v>
      </c>
      <c r="L2709" s="20">
        <v>0.1</v>
      </c>
      <c r="M2709" s="19">
        <f>Tienda!$K987-Tienda!$K987*Tienda!$L987</f>
        <v>75.7</v>
      </c>
      <c r="N2709" s="3" t="s">
        <v>10040</v>
      </c>
      <c r="O2709" s="3" t="s">
        <v>10041</v>
      </c>
      <c r="P2709" s="17">
        <v>45599</v>
      </c>
      <c r="Q2709" s="4">
        <v>0</v>
      </c>
    </row>
    <row r="2710" spans="1:17" ht="30" x14ac:dyDescent="0.25">
      <c r="A2710" s="2" t="s">
        <v>2823</v>
      </c>
      <c r="B2710" s="3" t="s">
        <v>5015</v>
      </c>
      <c r="C2710" s="3">
        <v>63</v>
      </c>
      <c r="D2710" s="46" t="str">
        <f>IF(Tabla1[[#This Row],[EDAD]]&lt;=35,"Adultos jóvenes 18 - 35 años",IF(C2710&gt;=36,"Adultos mayores 36 años en adelante"))</f>
        <v>Adultos mayores 36 años en adelante</v>
      </c>
      <c r="E2710" s="3" t="s">
        <v>5020</v>
      </c>
      <c r="F2710" s="3" t="s">
        <v>5024</v>
      </c>
      <c r="G2710" s="3" t="s">
        <v>5035</v>
      </c>
      <c r="H2710" s="3" t="s">
        <v>7846</v>
      </c>
      <c r="I2710" s="17">
        <v>45587</v>
      </c>
      <c r="J2710" s="18">
        <f>YEAR(Tabla1[[#This Row],[FECHA DE COMPRA]])</f>
        <v>2024</v>
      </c>
      <c r="K2710" s="19">
        <v>23.24</v>
      </c>
      <c r="L2710" s="20">
        <v>0.3</v>
      </c>
      <c r="M2710" s="19">
        <f>Tienda!$K991-Tienda!$K991*Tienda!$L991</f>
        <v>85.97399999999999</v>
      </c>
      <c r="N2710" s="3" t="s">
        <v>10040</v>
      </c>
      <c r="O2710" s="3" t="s">
        <v>10041</v>
      </c>
      <c r="P2710" s="17">
        <v>45587</v>
      </c>
      <c r="Q2710" s="4">
        <v>0</v>
      </c>
    </row>
    <row r="2711" spans="1:17" ht="30" x14ac:dyDescent="0.25">
      <c r="A2711" s="2" t="s">
        <v>1794</v>
      </c>
      <c r="B2711" s="3" t="s">
        <v>5015</v>
      </c>
      <c r="C2711" s="3">
        <v>57</v>
      </c>
      <c r="D2711" s="46" t="str">
        <f>IF(Tabla1[[#This Row],[EDAD]]&lt;=35,"Adultos jóvenes 18 - 35 años",IF(C2711&gt;=36,"Adultos mayores 36 años en adelante"))</f>
        <v>Adultos mayores 36 años en adelante</v>
      </c>
      <c r="E2711" s="3" t="s">
        <v>5017</v>
      </c>
      <c r="F2711" s="3" t="s">
        <v>5028</v>
      </c>
      <c r="G2711" s="3" t="s">
        <v>5035</v>
      </c>
      <c r="H2711" s="3" t="s">
        <v>6817</v>
      </c>
      <c r="I2711" s="17">
        <v>45649</v>
      </c>
      <c r="J2711" s="18">
        <f>YEAR(Tabla1[[#This Row],[FECHA DE COMPRA]])</f>
        <v>2024</v>
      </c>
      <c r="K2711" s="19">
        <v>18.38</v>
      </c>
      <c r="L2711" s="20">
        <v>0.1</v>
      </c>
      <c r="M2711" s="19">
        <f>Tienda!$K997-Tienda!$K997*Tienda!$L997</f>
        <v>146.52000000000001</v>
      </c>
      <c r="N2711" s="3" t="s">
        <v>10040</v>
      </c>
      <c r="O2711" s="3" t="s">
        <v>10041</v>
      </c>
      <c r="P2711" s="17">
        <v>45293</v>
      </c>
      <c r="Q2711" s="4">
        <v>0</v>
      </c>
    </row>
    <row r="2712" spans="1:17" ht="30" x14ac:dyDescent="0.25">
      <c r="A2712" s="2" t="s">
        <v>2439</v>
      </c>
      <c r="B2712" s="3" t="s">
        <v>5015</v>
      </c>
      <c r="C2712" s="3">
        <v>49</v>
      </c>
      <c r="D2712" s="46" t="str">
        <f>IF(Tabla1[[#This Row],[EDAD]]&lt;=35,"Adultos jóvenes 18 - 35 años",IF(C2712&gt;=36,"Adultos mayores 36 años en adelante"))</f>
        <v>Adultos mayores 36 años en adelante</v>
      </c>
      <c r="E2712" s="3" t="s">
        <v>5023</v>
      </c>
      <c r="F2712" s="3" t="s">
        <v>5027</v>
      </c>
      <c r="G2712" s="3" t="s">
        <v>5032</v>
      </c>
      <c r="H2712" s="3" t="s">
        <v>7462</v>
      </c>
      <c r="I2712" s="17">
        <v>45398</v>
      </c>
      <c r="J2712" s="18">
        <f>YEAR(Tabla1[[#This Row],[FECHA DE COMPRA]])</f>
        <v>2024</v>
      </c>
      <c r="K2712" s="19">
        <v>20.87</v>
      </c>
      <c r="L2712" s="20">
        <v>0.2</v>
      </c>
      <c r="M2712" s="19">
        <f>Tienda!$K1000-Tienda!$K1000*Tienda!$L1000</f>
        <v>26.865000000000002</v>
      </c>
      <c r="N2712" s="3" t="s">
        <v>10040</v>
      </c>
      <c r="O2712" s="3" t="s">
        <v>10041</v>
      </c>
      <c r="P2712" s="17">
        <v>45398</v>
      </c>
      <c r="Q2712" s="4">
        <v>0</v>
      </c>
    </row>
    <row r="2713" spans="1:17" ht="30" x14ac:dyDescent="0.25">
      <c r="A2713" s="2" t="s">
        <v>147</v>
      </c>
      <c r="B2713" s="3" t="s">
        <v>5015</v>
      </c>
      <c r="C2713" s="3">
        <v>58</v>
      </c>
      <c r="D2713" s="46" t="str">
        <f>IF(Tabla1[[#This Row],[EDAD]]&lt;=35,"Adultos jóvenes 18 - 35 años",IF(C2713&gt;=36,"Adultos mayores 36 años en adelante"))</f>
        <v>Adultos mayores 36 años en adelante</v>
      </c>
      <c r="E2713" s="3" t="s">
        <v>5021</v>
      </c>
      <c r="F2713" s="3" t="s">
        <v>5027</v>
      </c>
      <c r="G2713" s="3" t="s">
        <v>5036</v>
      </c>
      <c r="H2713" s="3" t="s">
        <v>5170</v>
      </c>
      <c r="I2713" s="17">
        <v>45561</v>
      </c>
      <c r="J2713" s="18">
        <f>YEAR(Tabla1[[#This Row],[FECHA DE COMPRA]])</f>
        <v>2024</v>
      </c>
      <c r="K2713" s="19">
        <v>16.86</v>
      </c>
      <c r="L2713" s="20">
        <v>0</v>
      </c>
      <c r="M2713" s="19">
        <f>Tienda!$K1002-Tienda!$K1002*Tienda!$L1002</f>
        <v>35.904000000000003</v>
      </c>
      <c r="N2713" s="3" t="s">
        <v>10040</v>
      </c>
      <c r="O2713" s="3" t="s">
        <v>10041</v>
      </c>
      <c r="P2713" s="17">
        <v>45561</v>
      </c>
      <c r="Q2713" s="4">
        <v>0</v>
      </c>
    </row>
    <row r="2714" spans="1:17" ht="30" x14ac:dyDescent="0.25">
      <c r="A2714" s="2" t="s">
        <v>4566</v>
      </c>
      <c r="B2714" s="3" t="s">
        <v>5016</v>
      </c>
      <c r="C2714" s="3">
        <v>59</v>
      </c>
      <c r="D2714" s="46" t="str">
        <f>IF(Tabla1[[#This Row],[EDAD]]&lt;=35,"Adultos jóvenes 18 - 35 años",IF(C2714&gt;=36,"Adultos mayores 36 años en adelante"))</f>
        <v>Adultos mayores 36 años en adelante</v>
      </c>
      <c r="E2714" s="3" t="s">
        <v>5021</v>
      </c>
      <c r="F2714" s="3" t="s">
        <v>5030</v>
      </c>
      <c r="G2714" s="3" t="s">
        <v>5037</v>
      </c>
      <c r="H2714" s="3" t="s">
        <v>9589</v>
      </c>
      <c r="I2714" s="17">
        <v>45549</v>
      </c>
      <c r="J2714" s="18">
        <f>YEAR(Tabla1[[#This Row],[FECHA DE COMPRA]])</f>
        <v>2024</v>
      </c>
      <c r="K2714" s="19">
        <v>18.96</v>
      </c>
      <c r="L2714" s="20">
        <v>0.1</v>
      </c>
      <c r="M2714" s="19">
        <f>Tienda!$K1005-Tienda!$K1005*Tienda!$L1005</f>
        <v>48.194999999999993</v>
      </c>
      <c r="N2714" s="3" t="s">
        <v>10040</v>
      </c>
      <c r="O2714" s="3" t="s">
        <v>10041</v>
      </c>
      <c r="P2714" s="17">
        <v>45549</v>
      </c>
      <c r="Q2714" s="4">
        <v>0</v>
      </c>
    </row>
    <row r="2715" spans="1:17" ht="30" x14ac:dyDescent="0.25">
      <c r="A2715" s="2" t="s">
        <v>2061</v>
      </c>
      <c r="B2715" s="3" t="s">
        <v>5016</v>
      </c>
      <c r="C2715" s="3">
        <v>50</v>
      </c>
      <c r="D2715" s="46" t="str">
        <f>IF(Tabla1[[#This Row],[EDAD]]&lt;=35,"Adultos jóvenes 18 - 35 años",IF(C2715&gt;=36,"Adultos mayores 36 años en adelante"))</f>
        <v>Adultos mayores 36 años en adelante</v>
      </c>
      <c r="E2715" s="3" t="s">
        <v>5021</v>
      </c>
      <c r="F2715" s="3" t="s">
        <v>5025</v>
      </c>
      <c r="G2715" s="3" t="s">
        <v>5031</v>
      </c>
      <c r="H2715" s="3" t="s">
        <v>7084</v>
      </c>
      <c r="I2715" s="17">
        <v>45427</v>
      </c>
      <c r="J2715" s="18">
        <f>YEAR(Tabla1[[#This Row],[FECHA DE COMPRA]])</f>
        <v>2024</v>
      </c>
      <c r="K2715" s="19">
        <v>25.98</v>
      </c>
      <c r="L2715" s="20">
        <v>0.3</v>
      </c>
      <c r="M2715" s="19">
        <f>Tienda!$K1015-Tienda!$K1015*Tienda!$L1015</f>
        <v>152.16999999999999</v>
      </c>
      <c r="N2715" s="3" t="s">
        <v>10040</v>
      </c>
      <c r="O2715" s="3" t="s">
        <v>10041</v>
      </c>
      <c r="P2715" s="17">
        <v>45427</v>
      </c>
      <c r="Q2715" s="4">
        <v>0</v>
      </c>
    </row>
    <row r="2716" spans="1:17" ht="30" x14ac:dyDescent="0.25">
      <c r="A2716" s="2" t="s">
        <v>3343</v>
      </c>
      <c r="B2716" s="3" t="s">
        <v>5015</v>
      </c>
      <c r="C2716" s="3">
        <v>50</v>
      </c>
      <c r="D2716" s="46" t="str">
        <f>IF(Tabla1[[#This Row],[EDAD]]&lt;=35,"Adultos jóvenes 18 - 35 años",IF(C2716&gt;=36,"Adultos mayores 36 años en adelante"))</f>
        <v>Adultos mayores 36 años en adelante</v>
      </c>
      <c r="E2716" s="3" t="s">
        <v>5017</v>
      </c>
      <c r="F2716" s="3" t="s">
        <v>5030</v>
      </c>
      <c r="G2716" s="3" t="s">
        <v>5034</v>
      </c>
      <c r="H2716" s="3" t="s">
        <v>8366</v>
      </c>
      <c r="I2716" s="17">
        <v>45310</v>
      </c>
      <c r="J2716" s="18">
        <f>YEAR(Tabla1[[#This Row],[FECHA DE COMPRA]])</f>
        <v>2024</v>
      </c>
      <c r="K2716" s="19">
        <v>19.7</v>
      </c>
      <c r="L2716" s="20">
        <v>0</v>
      </c>
      <c r="M2716" s="19">
        <f>Tienda!$K1028-Tienda!$K1028*Tienda!$L1028</f>
        <v>126.04</v>
      </c>
      <c r="N2716" s="3" t="s">
        <v>10040</v>
      </c>
      <c r="O2716" s="3" t="s">
        <v>10041</v>
      </c>
      <c r="P2716" s="17">
        <v>45310</v>
      </c>
      <c r="Q2716" s="4">
        <v>0</v>
      </c>
    </row>
    <row r="2717" spans="1:17" ht="30" x14ac:dyDescent="0.25">
      <c r="A2717" s="2" t="s">
        <v>921</v>
      </c>
      <c r="B2717" s="3" t="s">
        <v>5016</v>
      </c>
      <c r="C2717" s="3">
        <v>39</v>
      </c>
      <c r="D2717" s="46" t="str">
        <f>IF(Tabla1[[#This Row],[EDAD]]&lt;=35,"Adultos jóvenes 18 - 35 años",IF(C2717&gt;=36,"Adultos mayores 36 años en adelante"))</f>
        <v>Adultos mayores 36 años en adelante</v>
      </c>
      <c r="E2717" s="3" t="s">
        <v>5021</v>
      </c>
      <c r="F2717" s="3" t="s">
        <v>5026</v>
      </c>
      <c r="G2717" s="3" t="s">
        <v>5032</v>
      </c>
      <c r="H2717" s="3" t="s">
        <v>5944</v>
      </c>
      <c r="I2717" s="17">
        <v>45503</v>
      </c>
      <c r="J2717" s="18">
        <f>YEAR(Tabla1[[#This Row],[FECHA DE COMPRA]])</f>
        <v>2024</v>
      </c>
      <c r="K2717" s="19">
        <v>28.33</v>
      </c>
      <c r="L2717" s="20">
        <v>0.3</v>
      </c>
      <c r="M2717" s="19">
        <f>Tienda!$K1030-Tienda!$K1030*Tienda!$L1030</f>
        <v>117.34799999999998</v>
      </c>
      <c r="N2717" s="3" t="s">
        <v>10040</v>
      </c>
      <c r="O2717" s="3" t="s">
        <v>10041</v>
      </c>
      <c r="P2717" s="17">
        <v>45503</v>
      </c>
      <c r="Q2717" s="4">
        <v>0</v>
      </c>
    </row>
    <row r="2718" spans="1:17" ht="30" x14ac:dyDescent="0.25">
      <c r="A2718" s="2" t="s">
        <v>4592</v>
      </c>
      <c r="B2718" s="3" t="s">
        <v>5015</v>
      </c>
      <c r="C2718" s="3">
        <v>49</v>
      </c>
      <c r="D2718" s="46" t="str">
        <f>IF(Tabla1[[#This Row],[EDAD]]&lt;=35,"Adultos jóvenes 18 - 35 años",IF(C2718&gt;=36,"Adultos mayores 36 años en adelante"))</f>
        <v>Adultos mayores 36 años en adelante</v>
      </c>
      <c r="E2718" s="3" t="s">
        <v>5018</v>
      </c>
      <c r="F2718" s="3" t="s">
        <v>5026</v>
      </c>
      <c r="G2718" s="3" t="s">
        <v>5035</v>
      </c>
      <c r="H2718" s="3" t="s">
        <v>9615</v>
      </c>
      <c r="I2718" s="17">
        <v>45428</v>
      </c>
      <c r="J2718" s="18">
        <f>YEAR(Tabla1[[#This Row],[FECHA DE COMPRA]])</f>
        <v>2024</v>
      </c>
      <c r="K2718" s="19">
        <v>25.51</v>
      </c>
      <c r="L2718" s="20">
        <v>0.2</v>
      </c>
      <c r="M2718" s="19">
        <f>Tienda!$K1035-Tienda!$K1035*Tienda!$L1035</f>
        <v>90.41</v>
      </c>
      <c r="N2718" s="3" t="s">
        <v>10040</v>
      </c>
      <c r="O2718" s="3" t="s">
        <v>10041</v>
      </c>
      <c r="P2718" s="17">
        <v>45428</v>
      </c>
      <c r="Q2718" s="4">
        <v>0</v>
      </c>
    </row>
    <row r="2719" spans="1:17" ht="30" x14ac:dyDescent="0.25">
      <c r="A2719" s="2" t="s">
        <v>1533</v>
      </c>
      <c r="B2719" s="3" t="s">
        <v>5016</v>
      </c>
      <c r="C2719" s="3">
        <v>49</v>
      </c>
      <c r="D2719" s="46" t="str">
        <f>IF(Tabla1[[#This Row],[EDAD]]&lt;=35,"Adultos jóvenes 18 - 35 años",IF(C2719&gt;=36,"Adultos mayores 36 años en adelante"))</f>
        <v>Adultos mayores 36 años en adelante</v>
      </c>
      <c r="E2719" s="3" t="s">
        <v>5019</v>
      </c>
      <c r="F2719" s="3" t="s">
        <v>5027</v>
      </c>
      <c r="G2719" s="3" t="s">
        <v>5034</v>
      </c>
      <c r="H2719" s="3" t="s">
        <v>6556</v>
      </c>
      <c r="I2719" s="17">
        <v>45335</v>
      </c>
      <c r="J2719" s="18">
        <f>YEAR(Tabla1[[#This Row],[FECHA DE COMPRA]])</f>
        <v>2024</v>
      </c>
      <c r="K2719" s="19">
        <v>23.12</v>
      </c>
      <c r="L2719" s="20">
        <v>0.1</v>
      </c>
      <c r="M2719" s="19">
        <f>Tienda!$K1041-Tienda!$K1041*Tienda!$L1041</f>
        <v>138.68800000000002</v>
      </c>
      <c r="N2719" s="3" t="s">
        <v>10040</v>
      </c>
      <c r="O2719" s="3" t="s">
        <v>10041</v>
      </c>
      <c r="P2719" s="17">
        <v>45367</v>
      </c>
      <c r="Q2719" s="4">
        <v>0</v>
      </c>
    </row>
    <row r="2720" spans="1:17" ht="30" x14ac:dyDescent="0.25">
      <c r="A2720" s="2" t="s">
        <v>257</v>
      </c>
      <c r="B2720" s="3" t="s">
        <v>5015</v>
      </c>
      <c r="C2720" s="3">
        <v>54</v>
      </c>
      <c r="D2720" s="46" t="str">
        <f>IF(Tabla1[[#This Row],[EDAD]]&lt;=35,"Adultos jóvenes 18 - 35 años",IF(C2720&gt;=36,"Adultos mayores 36 años en adelante"))</f>
        <v>Adultos mayores 36 años en adelante</v>
      </c>
      <c r="E2720" s="3" t="s">
        <v>5022</v>
      </c>
      <c r="F2720" s="3" t="s">
        <v>5028</v>
      </c>
      <c r="G2720" s="3" t="s">
        <v>5036</v>
      </c>
      <c r="H2720" s="3" t="s">
        <v>5280</v>
      </c>
      <c r="I2720" s="17">
        <v>45375</v>
      </c>
      <c r="J2720" s="18">
        <f>YEAR(Tabla1[[#This Row],[FECHA DE COMPRA]])</f>
        <v>2024</v>
      </c>
      <c r="K2720" s="19">
        <v>23.17</v>
      </c>
      <c r="L2720" s="20">
        <v>0.1</v>
      </c>
      <c r="M2720" s="19">
        <f>Tienda!$K1042-Tienda!$K1042*Tienda!$L1042</f>
        <v>58.296000000000006</v>
      </c>
      <c r="N2720" s="3" t="s">
        <v>10040</v>
      </c>
      <c r="O2720" s="3" t="s">
        <v>10041</v>
      </c>
      <c r="P2720" s="17">
        <v>45375</v>
      </c>
      <c r="Q2720" s="4">
        <v>0</v>
      </c>
    </row>
    <row r="2721" spans="1:17" ht="30" x14ac:dyDescent="0.25">
      <c r="A2721" s="2" t="s">
        <v>610</v>
      </c>
      <c r="B2721" s="3" t="s">
        <v>5015</v>
      </c>
      <c r="C2721" s="3">
        <v>41</v>
      </c>
      <c r="D2721" s="46" t="str">
        <f>IF(Tabla1[[#This Row],[EDAD]]&lt;=35,"Adultos jóvenes 18 - 35 años",IF(C2721&gt;=36,"Adultos mayores 36 años en adelante"))</f>
        <v>Adultos mayores 36 años en adelante</v>
      </c>
      <c r="E2721" s="3" t="s">
        <v>5017</v>
      </c>
      <c r="F2721" s="3" t="s">
        <v>5030</v>
      </c>
      <c r="G2721" s="3" t="s">
        <v>5031</v>
      </c>
      <c r="H2721" s="3" t="s">
        <v>5633</v>
      </c>
      <c r="I2721" s="17">
        <v>45608</v>
      </c>
      <c r="J2721" s="18">
        <f>YEAR(Tabla1[[#This Row],[FECHA DE COMPRA]])</f>
        <v>2024</v>
      </c>
      <c r="K2721" s="19">
        <v>26.84</v>
      </c>
      <c r="L2721" s="20">
        <v>0.2</v>
      </c>
      <c r="M2721" s="19">
        <f>Tienda!$K1046-Tienda!$K1046*Tienda!$L1046</f>
        <v>147.97</v>
      </c>
      <c r="N2721" s="3" t="s">
        <v>10040</v>
      </c>
      <c r="O2721" s="3" t="s">
        <v>10041</v>
      </c>
      <c r="P2721" s="17">
        <v>45608</v>
      </c>
      <c r="Q2721" s="4">
        <v>0</v>
      </c>
    </row>
    <row r="2722" spans="1:17" ht="30" x14ac:dyDescent="0.25">
      <c r="A2722" s="2" t="s">
        <v>4670</v>
      </c>
      <c r="B2722" s="3" t="s">
        <v>5015</v>
      </c>
      <c r="C2722" s="3">
        <v>37</v>
      </c>
      <c r="D2722" s="46" t="str">
        <f>IF(Tabla1[[#This Row],[EDAD]]&lt;=35,"Adultos jóvenes 18 - 35 años",IF(C2722&gt;=36,"Adultos mayores 36 años en adelante"))</f>
        <v>Adultos mayores 36 años en adelante</v>
      </c>
      <c r="E2722" s="3" t="s">
        <v>5017</v>
      </c>
      <c r="F2722" s="3" t="s">
        <v>5030</v>
      </c>
      <c r="G2722" s="3" t="s">
        <v>5035</v>
      </c>
      <c r="H2722" s="3" t="s">
        <v>9693</v>
      </c>
      <c r="I2722" s="17">
        <v>45370</v>
      </c>
      <c r="J2722" s="18">
        <f>YEAR(Tabla1[[#This Row],[FECHA DE COMPRA]])</f>
        <v>2024</v>
      </c>
      <c r="K2722" s="19">
        <v>27.44</v>
      </c>
      <c r="L2722" s="20">
        <v>0.2</v>
      </c>
      <c r="M2722" s="19">
        <f>Tienda!$K1050-Tienda!$K1050*Tienda!$L1050</f>
        <v>124.97400000000002</v>
      </c>
      <c r="N2722" s="3" t="s">
        <v>10040</v>
      </c>
      <c r="O2722" s="3" t="s">
        <v>10041</v>
      </c>
      <c r="P2722" s="17">
        <v>45370</v>
      </c>
      <c r="Q2722" s="4">
        <v>0</v>
      </c>
    </row>
    <row r="2723" spans="1:17" ht="30" x14ac:dyDescent="0.25">
      <c r="A2723" s="2" t="s">
        <v>3328</v>
      </c>
      <c r="B2723" s="3" t="s">
        <v>5015</v>
      </c>
      <c r="C2723" s="3">
        <v>43</v>
      </c>
      <c r="D2723" s="46" t="str">
        <f>IF(Tabla1[[#This Row],[EDAD]]&lt;=35,"Adultos jóvenes 18 - 35 años",IF(C2723&gt;=36,"Adultos mayores 36 años en adelante"))</f>
        <v>Adultos mayores 36 años en adelante</v>
      </c>
      <c r="E2723" s="3" t="s">
        <v>5020</v>
      </c>
      <c r="F2723" s="3" t="s">
        <v>5027</v>
      </c>
      <c r="G2723" s="3" t="s">
        <v>5032</v>
      </c>
      <c r="H2723" s="3" t="s">
        <v>8351</v>
      </c>
      <c r="I2723" s="17">
        <v>45443</v>
      </c>
      <c r="J2723" s="18">
        <f>YEAR(Tabla1[[#This Row],[FECHA DE COMPRA]])</f>
        <v>2024</v>
      </c>
      <c r="K2723" s="19">
        <v>31.44</v>
      </c>
      <c r="L2723" s="20">
        <v>0.3</v>
      </c>
      <c r="M2723" s="19">
        <f>Tienda!$K1051-Tienda!$K1051*Tienda!$L1051</f>
        <v>101.857</v>
      </c>
      <c r="N2723" s="3" t="s">
        <v>10040</v>
      </c>
      <c r="O2723" s="3" t="s">
        <v>10041</v>
      </c>
      <c r="P2723" s="17">
        <v>45443</v>
      </c>
      <c r="Q2723" s="4">
        <v>0</v>
      </c>
    </row>
    <row r="2724" spans="1:17" ht="30" x14ac:dyDescent="0.25">
      <c r="A2724" s="2" t="s">
        <v>979</v>
      </c>
      <c r="B2724" s="3" t="s">
        <v>5015</v>
      </c>
      <c r="C2724" s="3">
        <v>62</v>
      </c>
      <c r="D2724" s="46" t="str">
        <f>IF(Tabla1[[#This Row],[EDAD]]&lt;=35,"Adultos jóvenes 18 - 35 años",IF(C2724&gt;=36,"Adultos mayores 36 años en adelante"))</f>
        <v>Adultos mayores 36 años en adelante</v>
      </c>
      <c r="E2724" s="3" t="s">
        <v>5021</v>
      </c>
      <c r="F2724" s="3" t="s">
        <v>5028</v>
      </c>
      <c r="G2724" s="3" t="s">
        <v>5035</v>
      </c>
      <c r="H2724" s="3" t="s">
        <v>6002</v>
      </c>
      <c r="I2724" s="17">
        <v>45384</v>
      </c>
      <c r="J2724" s="18">
        <f>YEAR(Tabla1[[#This Row],[FECHA DE COMPRA]])</f>
        <v>2024</v>
      </c>
      <c r="K2724" s="19">
        <v>28.09</v>
      </c>
      <c r="L2724" s="20">
        <v>0.2</v>
      </c>
      <c r="M2724" s="19">
        <f>Tienda!$K1057-Tienda!$K1057*Tienda!$L1057</f>
        <v>120.09899999999999</v>
      </c>
      <c r="N2724" s="3" t="s">
        <v>10040</v>
      </c>
      <c r="O2724" s="3" t="s">
        <v>10041</v>
      </c>
      <c r="P2724" s="17">
        <v>45384</v>
      </c>
      <c r="Q2724" s="4">
        <v>0</v>
      </c>
    </row>
    <row r="2725" spans="1:17" ht="30" x14ac:dyDescent="0.25">
      <c r="A2725" s="2" t="s">
        <v>4539</v>
      </c>
      <c r="B2725" s="3" t="s">
        <v>5015</v>
      </c>
      <c r="C2725" s="3">
        <v>62</v>
      </c>
      <c r="D2725" s="46" t="str">
        <f>IF(Tabla1[[#This Row],[EDAD]]&lt;=35,"Adultos jóvenes 18 - 35 años",IF(C2725&gt;=36,"Adultos mayores 36 años en adelante"))</f>
        <v>Adultos mayores 36 años en adelante</v>
      </c>
      <c r="E2725" s="3" t="s">
        <v>5019</v>
      </c>
      <c r="F2725" s="3" t="s">
        <v>5024</v>
      </c>
      <c r="G2725" s="3" t="s">
        <v>5031</v>
      </c>
      <c r="H2725" s="3" t="s">
        <v>9562</v>
      </c>
      <c r="I2725" s="17">
        <v>45426</v>
      </c>
      <c r="J2725" s="18">
        <f>YEAR(Tabla1[[#This Row],[FECHA DE COMPRA]])</f>
        <v>2024</v>
      </c>
      <c r="K2725" s="19">
        <v>25.47</v>
      </c>
      <c r="L2725" s="20">
        <v>0.1</v>
      </c>
      <c r="M2725" s="19">
        <f>Tienda!$K1062-Tienda!$K1062*Tienda!$L1062</f>
        <v>148.87</v>
      </c>
      <c r="N2725" s="3" t="s">
        <v>10040</v>
      </c>
      <c r="O2725" s="3" t="s">
        <v>10041</v>
      </c>
      <c r="P2725" s="17">
        <v>45426</v>
      </c>
      <c r="Q2725" s="4">
        <v>0</v>
      </c>
    </row>
    <row r="2726" spans="1:17" ht="30" x14ac:dyDescent="0.25">
      <c r="A2726" s="2" t="s">
        <v>4614</v>
      </c>
      <c r="B2726" s="3" t="s">
        <v>5015</v>
      </c>
      <c r="C2726" s="3">
        <v>36</v>
      </c>
      <c r="D2726" s="46" t="str">
        <f>IF(Tabla1[[#This Row],[EDAD]]&lt;=35,"Adultos jóvenes 18 - 35 años",IF(C2726&gt;=36,"Adultos mayores 36 años en adelante"))</f>
        <v>Adultos mayores 36 años en adelante</v>
      </c>
      <c r="E2726" s="3" t="s">
        <v>5019</v>
      </c>
      <c r="F2726" s="3" t="s">
        <v>5028</v>
      </c>
      <c r="G2726" s="3" t="s">
        <v>5035</v>
      </c>
      <c r="H2726" s="3" t="s">
        <v>9637</v>
      </c>
      <c r="I2726" s="17">
        <v>45595</v>
      </c>
      <c r="J2726" s="18">
        <f>YEAR(Tabla1[[#This Row],[FECHA DE COMPRA]])</f>
        <v>2024</v>
      </c>
      <c r="K2726" s="19">
        <v>33.07</v>
      </c>
      <c r="L2726" s="20">
        <v>0.3</v>
      </c>
      <c r="M2726" s="19">
        <f>Tienda!$K1064-Tienda!$K1064*Tienda!$L1064</f>
        <v>74.2</v>
      </c>
      <c r="N2726" s="3" t="s">
        <v>10040</v>
      </c>
      <c r="O2726" s="3" t="s">
        <v>10041</v>
      </c>
      <c r="P2726" s="17">
        <v>45595</v>
      </c>
      <c r="Q2726" s="4">
        <v>0</v>
      </c>
    </row>
    <row r="2727" spans="1:17" ht="30" x14ac:dyDescent="0.25">
      <c r="A2727" s="2" t="s">
        <v>3280</v>
      </c>
      <c r="B2727" s="3" t="s">
        <v>5015</v>
      </c>
      <c r="C2727" s="3">
        <v>45</v>
      </c>
      <c r="D2727" s="46" t="str">
        <f>IF(Tabla1[[#This Row],[EDAD]]&lt;=35,"Adultos jóvenes 18 - 35 años",IF(C2727&gt;=36,"Adultos mayores 36 años en adelante"))</f>
        <v>Adultos mayores 36 años en adelante</v>
      </c>
      <c r="E2727" s="3" t="s">
        <v>5018</v>
      </c>
      <c r="F2727" s="3" t="s">
        <v>5028</v>
      </c>
      <c r="G2727" s="3" t="s">
        <v>5037</v>
      </c>
      <c r="H2727" s="3" t="s">
        <v>8303</v>
      </c>
      <c r="I2727" s="17">
        <v>45443</v>
      </c>
      <c r="J2727" s="18">
        <f>YEAR(Tabla1[[#This Row],[FECHA DE COMPRA]])</f>
        <v>2024</v>
      </c>
      <c r="K2727" s="19">
        <v>29.45</v>
      </c>
      <c r="L2727" s="20">
        <v>0.2</v>
      </c>
      <c r="M2727" s="19">
        <f>Tienda!$K1067-Tienda!$K1067*Tienda!$L1067</f>
        <v>142.744</v>
      </c>
      <c r="N2727" s="3" t="s">
        <v>10040</v>
      </c>
      <c r="O2727" s="3" t="s">
        <v>10041</v>
      </c>
      <c r="P2727" s="17">
        <v>45443</v>
      </c>
      <c r="Q2727" s="4">
        <v>0</v>
      </c>
    </row>
    <row r="2728" spans="1:17" ht="30" x14ac:dyDescent="0.25">
      <c r="A2728" s="2" t="s">
        <v>515</v>
      </c>
      <c r="B2728" s="3" t="s">
        <v>5015</v>
      </c>
      <c r="C2728" s="3">
        <v>56</v>
      </c>
      <c r="D2728" s="46" t="str">
        <f>IF(Tabla1[[#This Row],[EDAD]]&lt;=35,"Adultos jóvenes 18 - 35 años",IF(C2728&gt;=36,"Adultos mayores 36 años en adelante"))</f>
        <v>Adultos mayores 36 años en adelante</v>
      </c>
      <c r="E2728" s="3" t="s">
        <v>5021</v>
      </c>
      <c r="F2728" s="3" t="s">
        <v>5025</v>
      </c>
      <c r="G2728" s="3" t="s">
        <v>5036</v>
      </c>
      <c r="H2728" s="3" t="s">
        <v>5538</v>
      </c>
      <c r="I2728" s="17">
        <v>45550</v>
      </c>
      <c r="J2728" s="18">
        <f>YEAR(Tabla1[[#This Row],[FECHA DE COMPRA]])</f>
        <v>2024</v>
      </c>
      <c r="K2728" s="19">
        <v>33.68</v>
      </c>
      <c r="L2728" s="20">
        <v>0.3</v>
      </c>
      <c r="M2728" s="19">
        <f>Tienda!$K1068-Tienda!$K1068*Tienda!$L1068</f>
        <v>127.96700000000001</v>
      </c>
      <c r="N2728" s="3" t="s">
        <v>10040</v>
      </c>
      <c r="O2728" s="3" t="s">
        <v>10041</v>
      </c>
      <c r="P2728" s="17">
        <v>45550</v>
      </c>
      <c r="Q2728" s="4">
        <v>0</v>
      </c>
    </row>
    <row r="2729" spans="1:17" ht="30" x14ac:dyDescent="0.25">
      <c r="A2729" s="2" t="s">
        <v>4125</v>
      </c>
      <c r="B2729" s="3" t="s">
        <v>5015</v>
      </c>
      <c r="C2729" s="3">
        <v>43</v>
      </c>
      <c r="D2729" s="46" t="str">
        <f>IF(Tabla1[[#This Row],[EDAD]]&lt;=35,"Adultos jóvenes 18 - 35 años",IF(C2729&gt;=36,"Adultos mayores 36 años en adelante"))</f>
        <v>Adultos mayores 36 años en adelante</v>
      </c>
      <c r="E2729" s="3" t="s">
        <v>5017</v>
      </c>
      <c r="F2729" s="3" t="s">
        <v>5025</v>
      </c>
      <c r="G2729" s="3" t="s">
        <v>5033</v>
      </c>
      <c r="H2729" s="3" t="s">
        <v>9148</v>
      </c>
      <c r="I2729" s="17">
        <v>45372</v>
      </c>
      <c r="J2729" s="18">
        <f>YEAR(Tabla1[[#This Row],[FECHA DE COMPRA]])</f>
        <v>2024</v>
      </c>
      <c r="K2729" s="19">
        <v>29.49</v>
      </c>
      <c r="L2729" s="20">
        <v>0.2</v>
      </c>
      <c r="M2729" s="19">
        <f>Tienda!$K1069-Tienda!$K1069*Tienda!$L1069</f>
        <v>129.374</v>
      </c>
      <c r="N2729" s="3" t="s">
        <v>10040</v>
      </c>
      <c r="O2729" s="3" t="s">
        <v>10041</v>
      </c>
      <c r="P2729" s="17">
        <v>45372</v>
      </c>
      <c r="Q2729" s="4">
        <v>0</v>
      </c>
    </row>
    <row r="2730" spans="1:17" ht="30" x14ac:dyDescent="0.25">
      <c r="A2730" s="2" t="s">
        <v>1401</v>
      </c>
      <c r="B2730" s="3" t="s">
        <v>5016</v>
      </c>
      <c r="C2730" s="3">
        <v>53</v>
      </c>
      <c r="D2730" s="46" t="str">
        <f>IF(Tabla1[[#This Row],[EDAD]]&lt;=35,"Adultos jóvenes 18 - 35 años",IF(C2730&gt;=36,"Adultos mayores 36 años en adelante"))</f>
        <v>Adultos mayores 36 años en adelante</v>
      </c>
      <c r="E2730" s="3" t="s">
        <v>5021</v>
      </c>
      <c r="F2730" s="3" t="s">
        <v>5024</v>
      </c>
      <c r="G2730" s="3" t="s">
        <v>5032</v>
      </c>
      <c r="H2730" s="3" t="s">
        <v>6424</v>
      </c>
      <c r="I2730" s="17">
        <v>45598</v>
      </c>
      <c r="J2730" s="18">
        <f>YEAR(Tabla1[[#This Row],[FECHA DE COMPRA]])</f>
        <v>2024</v>
      </c>
      <c r="K2730" s="19">
        <v>34.07</v>
      </c>
      <c r="L2730" s="20">
        <v>0.3</v>
      </c>
      <c r="M2730" s="19">
        <f>Tienda!$K1073-Tienda!$K1073*Tienda!$L1073</f>
        <v>77.951999999999998</v>
      </c>
      <c r="N2730" s="3" t="s">
        <v>10040</v>
      </c>
      <c r="O2730" s="3" t="s">
        <v>10041</v>
      </c>
      <c r="P2730" s="17">
        <v>45598</v>
      </c>
      <c r="Q2730" s="4">
        <v>0</v>
      </c>
    </row>
    <row r="2731" spans="1:17" ht="30" x14ac:dyDescent="0.25">
      <c r="A2731" s="2" t="s">
        <v>4373</v>
      </c>
      <c r="B2731" s="3" t="s">
        <v>5015</v>
      </c>
      <c r="C2731" s="3">
        <v>41</v>
      </c>
      <c r="D2731" s="46" t="str">
        <f>IF(Tabla1[[#This Row],[EDAD]]&lt;=35,"Adultos jóvenes 18 - 35 años",IF(C2731&gt;=36,"Adultos mayores 36 años en adelante"))</f>
        <v>Adultos mayores 36 años en adelante</v>
      </c>
      <c r="E2731" s="3" t="s">
        <v>5021</v>
      </c>
      <c r="F2731" s="3" t="s">
        <v>5024</v>
      </c>
      <c r="G2731" s="3" t="s">
        <v>5036</v>
      </c>
      <c r="H2731" s="3" t="s">
        <v>9396</v>
      </c>
      <c r="I2731" s="17">
        <v>45573</v>
      </c>
      <c r="J2731" s="18">
        <f>YEAR(Tabla1[[#This Row],[FECHA DE COMPRA]])</f>
        <v>2024</v>
      </c>
      <c r="K2731" s="19">
        <v>35.200000000000003</v>
      </c>
      <c r="L2731" s="20">
        <v>0.3</v>
      </c>
      <c r="M2731" s="19">
        <f>Tienda!$K1083-Tienda!$K1083*Tienda!$L1083</f>
        <v>71.103999999999999</v>
      </c>
      <c r="N2731" s="3" t="s">
        <v>10040</v>
      </c>
      <c r="O2731" s="3" t="s">
        <v>10041</v>
      </c>
      <c r="P2731" s="17">
        <v>45573</v>
      </c>
      <c r="Q2731" s="4">
        <v>0</v>
      </c>
    </row>
    <row r="2732" spans="1:17" ht="30" x14ac:dyDescent="0.25">
      <c r="A2732" s="2" t="s">
        <v>1893</v>
      </c>
      <c r="B2732" s="3" t="s">
        <v>5015</v>
      </c>
      <c r="C2732" s="3">
        <v>49</v>
      </c>
      <c r="D2732" s="46" t="str">
        <f>IF(Tabla1[[#This Row],[EDAD]]&lt;=35,"Adultos jóvenes 18 - 35 años",IF(C2732&gt;=36,"Adultos mayores 36 años en adelante"))</f>
        <v>Adultos mayores 36 años en adelante</v>
      </c>
      <c r="E2732" s="3" t="s">
        <v>5020</v>
      </c>
      <c r="F2732" s="3" t="s">
        <v>5030</v>
      </c>
      <c r="G2732" s="3" t="s">
        <v>5034</v>
      </c>
      <c r="H2732" s="3" t="s">
        <v>6916</v>
      </c>
      <c r="I2732" s="17">
        <v>45369</v>
      </c>
      <c r="J2732" s="18">
        <f>YEAR(Tabla1[[#This Row],[FECHA DE COMPRA]])</f>
        <v>2024</v>
      </c>
      <c r="K2732" s="19">
        <v>27.45</v>
      </c>
      <c r="L2732" s="20">
        <v>0.1</v>
      </c>
      <c r="M2732" s="19">
        <f>Tienda!$K1084-Tienda!$K1084*Tienda!$L1084</f>
        <v>94.004999999999995</v>
      </c>
      <c r="N2732" s="3" t="s">
        <v>10040</v>
      </c>
      <c r="O2732" s="3" t="s">
        <v>10041</v>
      </c>
      <c r="P2732" s="17">
        <v>45369</v>
      </c>
      <c r="Q2732" s="4">
        <v>0</v>
      </c>
    </row>
    <row r="2733" spans="1:17" ht="30" x14ac:dyDescent="0.25">
      <c r="A2733" s="2" t="s">
        <v>2976</v>
      </c>
      <c r="B2733" s="3" t="s">
        <v>5016</v>
      </c>
      <c r="C2733" s="3">
        <v>39</v>
      </c>
      <c r="D2733" s="46" t="str">
        <f>IF(Tabla1[[#This Row],[EDAD]]&lt;=35,"Adultos jóvenes 18 - 35 años",IF(C2733&gt;=36,"Adultos mayores 36 años en adelante"))</f>
        <v>Adultos mayores 36 años en adelante</v>
      </c>
      <c r="E2733" s="3" t="s">
        <v>5019</v>
      </c>
      <c r="F2733" s="3" t="s">
        <v>5025</v>
      </c>
      <c r="G2733" s="3" t="s">
        <v>5035</v>
      </c>
      <c r="H2733" s="3" t="s">
        <v>7999</v>
      </c>
      <c r="I2733" s="17">
        <v>45624</v>
      </c>
      <c r="J2733" s="18">
        <f>YEAR(Tabla1[[#This Row],[FECHA DE COMPRA]])</f>
        <v>2024</v>
      </c>
      <c r="K2733" s="19">
        <v>27.84</v>
      </c>
      <c r="L2733" s="20">
        <v>0.1</v>
      </c>
      <c r="M2733" s="19">
        <f>Tienda!$K1087-Tienda!$K1087*Tienda!$L1087</f>
        <v>168.11</v>
      </c>
      <c r="N2733" s="3" t="s">
        <v>10040</v>
      </c>
      <c r="O2733" s="3" t="s">
        <v>10041</v>
      </c>
      <c r="P2733" s="17">
        <v>45489</v>
      </c>
      <c r="Q2733" s="4">
        <v>0</v>
      </c>
    </row>
    <row r="2734" spans="1:17" ht="30" x14ac:dyDescent="0.25">
      <c r="A2734" s="2" t="s">
        <v>1813</v>
      </c>
      <c r="B2734" s="3" t="s">
        <v>5015</v>
      </c>
      <c r="C2734" s="3">
        <v>58</v>
      </c>
      <c r="D2734" s="46" t="str">
        <f>IF(Tabla1[[#This Row],[EDAD]]&lt;=35,"Adultos jóvenes 18 - 35 años",IF(C2734&gt;=36,"Adultos mayores 36 años en adelante"))</f>
        <v>Adultos mayores 36 años en adelante</v>
      </c>
      <c r="E2734" s="3" t="s">
        <v>5017</v>
      </c>
      <c r="F2734" s="3" t="s">
        <v>5027</v>
      </c>
      <c r="G2734" s="3" t="s">
        <v>5034</v>
      </c>
      <c r="H2734" s="3" t="s">
        <v>6836</v>
      </c>
      <c r="I2734" s="17">
        <v>45340</v>
      </c>
      <c r="J2734" s="18">
        <f>YEAR(Tabla1[[#This Row],[FECHA DE COMPRA]])</f>
        <v>2024</v>
      </c>
      <c r="K2734" s="19">
        <v>36.36</v>
      </c>
      <c r="L2734" s="20">
        <v>0.3</v>
      </c>
      <c r="M2734" s="19">
        <f>Tienda!$K1090-Tienda!$K1090*Tienda!$L1090</f>
        <v>105.13799999999999</v>
      </c>
      <c r="N2734" s="3" t="s">
        <v>10040</v>
      </c>
      <c r="O2734" s="3" t="s">
        <v>10041</v>
      </c>
      <c r="P2734" s="17">
        <v>45340</v>
      </c>
      <c r="Q2734" s="4">
        <v>0</v>
      </c>
    </row>
    <row r="2735" spans="1:17" ht="30" x14ac:dyDescent="0.25">
      <c r="A2735" s="2" t="s">
        <v>4359</v>
      </c>
      <c r="B2735" s="3" t="s">
        <v>5015</v>
      </c>
      <c r="C2735" s="3">
        <v>60</v>
      </c>
      <c r="D2735" s="46" t="str">
        <f>IF(Tabla1[[#This Row],[EDAD]]&lt;=35,"Adultos jóvenes 18 - 35 años",IF(C2735&gt;=36,"Adultos mayores 36 años en adelante"))</f>
        <v>Adultos mayores 36 años en adelante</v>
      </c>
      <c r="E2735" s="3" t="s">
        <v>5022</v>
      </c>
      <c r="F2735" s="3" t="s">
        <v>5028</v>
      </c>
      <c r="G2735" s="3" t="s">
        <v>5031</v>
      </c>
      <c r="H2735" s="3" t="s">
        <v>9382</v>
      </c>
      <c r="I2735" s="17">
        <v>45653</v>
      </c>
      <c r="J2735" s="18">
        <f>YEAR(Tabla1[[#This Row],[FECHA DE COMPRA]])</f>
        <v>2024</v>
      </c>
      <c r="K2735" s="19">
        <v>25.95</v>
      </c>
      <c r="L2735" s="20">
        <v>0</v>
      </c>
      <c r="M2735" s="19">
        <f>Tienda!$K1093-Tienda!$K1093*Tienda!$L1093</f>
        <v>24.768000000000001</v>
      </c>
      <c r="N2735" s="3" t="s">
        <v>10040</v>
      </c>
      <c r="O2735" s="3" t="s">
        <v>10041</v>
      </c>
      <c r="P2735" s="17">
        <v>45653</v>
      </c>
      <c r="Q2735" s="4">
        <v>0</v>
      </c>
    </row>
    <row r="2736" spans="1:17" ht="30" x14ac:dyDescent="0.25">
      <c r="A2736" s="2" t="s">
        <v>801</v>
      </c>
      <c r="B2736" s="3" t="s">
        <v>5015</v>
      </c>
      <c r="C2736" s="3">
        <v>65</v>
      </c>
      <c r="D2736" s="46" t="str">
        <f>IF(Tabla1[[#This Row],[EDAD]]&lt;=35,"Adultos jóvenes 18 - 35 años",IF(C2736&gt;=36,"Adultos mayores 36 años en adelante"))</f>
        <v>Adultos mayores 36 años en adelante</v>
      </c>
      <c r="E2736" s="3" t="s">
        <v>5017</v>
      </c>
      <c r="F2736" s="3" t="s">
        <v>5025</v>
      </c>
      <c r="G2736" s="3" t="s">
        <v>5034</v>
      </c>
      <c r="H2736" s="3" t="s">
        <v>5824</v>
      </c>
      <c r="I2736" s="17">
        <v>45511</v>
      </c>
      <c r="J2736" s="18">
        <f>YEAR(Tabla1[[#This Row],[FECHA DE COMPRA]])</f>
        <v>2024</v>
      </c>
      <c r="K2736" s="19">
        <v>30.02</v>
      </c>
      <c r="L2736" s="20">
        <v>0.1</v>
      </c>
      <c r="M2736" s="19">
        <f>Tienda!$K1100-Tienda!$K1100*Tienda!$L1100</f>
        <v>186.9</v>
      </c>
      <c r="N2736" s="3" t="s">
        <v>10040</v>
      </c>
      <c r="O2736" s="3" t="s">
        <v>10041</v>
      </c>
      <c r="P2736" s="17">
        <v>45511</v>
      </c>
      <c r="Q2736" s="4">
        <v>0</v>
      </c>
    </row>
    <row r="2737" spans="1:17" ht="30" x14ac:dyDescent="0.25">
      <c r="A2737" s="2" t="s">
        <v>4839</v>
      </c>
      <c r="B2737" s="3" t="s">
        <v>5015</v>
      </c>
      <c r="C2737" s="3">
        <v>53</v>
      </c>
      <c r="D2737" s="46" t="str">
        <f>IF(Tabla1[[#This Row],[EDAD]]&lt;=35,"Adultos jóvenes 18 - 35 años",IF(C2737&gt;=36,"Adultos mayores 36 años en adelante"))</f>
        <v>Adultos mayores 36 años en adelante</v>
      </c>
      <c r="E2737" s="3" t="s">
        <v>5023</v>
      </c>
      <c r="F2737" s="3" t="s">
        <v>5027</v>
      </c>
      <c r="G2737" s="3" t="s">
        <v>5037</v>
      </c>
      <c r="H2737" s="3" t="s">
        <v>9862</v>
      </c>
      <c r="I2737" s="17">
        <v>45315</v>
      </c>
      <c r="J2737" s="18">
        <f>YEAR(Tabla1[[#This Row],[FECHA DE COMPRA]])</f>
        <v>2024</v>
      </c>
      <c r="K2737" s="19">
        <v>31.64</v>
      </c>
      <c r="L2737" s="20">
        <v>0.1</v>
      </c>
      <c r="M2737" s="19">
        <f>Tienda!$K1118-Tienda!$K1118*Tienda!$L1118</f>
        <v>38.626000000000005</v>
      </c>
      <c r="N2737" s="3" t="s">
        <v>10040</v>
      </c>
      <c r="O2737" s="3" t="s">
        <v>10041</v>
      </c>
      <c r="P2737" s="17">
        <v>45315</v>
      </c>
      <c r="Q2737" s="4">
        <v>0</v>
      </c>
    </row>
    <row r="2738" spans="1:17" ht="30" x14ac:dyDescent="0.25">
      <c r="A2738" s="2" t="s">
        <v>2841</v>
      </c>
      <c r="B2738" s="3" t="s">
        <v>5015</v>
      </c>
      <c r="C2738" s="3">
        <v>56</v>
      </c>
      <c r="D2738" s="46" t="str">
        <f>IF(Tabla1[[#This Row],[EDAD]]&lt;=35,"Adultos jóvenes 18 - 35 años",IF(C2738&gt;=36,"Adultos mayores 36 años en adelante"))</f>
        <v>Adultos mayores 36 años en adelante</v>
      </c>
      <c r="E2738" s="3" t="s">
        <v>5019</v>
      </c>
      <c r="F2738" s="3" t="s">
        <v>5027</v>
      </c>
      <c r="G2738" s="3" t="s">
        <v>5035</v>
      </c>
      <c r="H2738" s="3" t="s">
        <v>7864</v>
      </c>
      <c r="I2738" s="17">
        <v>45373</v>
      </c>
      <c r="J2738" s="18">
        <f>YEAR(Tabla1[[#This Row],[FECHA DE COMPRA]])</f>
        <v>2024</v>
      </c>
      <c r="K2738" s="19">
        <v>41.16</v>
      </c>
      <c r="L2738" s="20">
        <v>0.3</v>
      </c>
      <c r="M2738" s="19">
        <f>Tienda!$K1124-Tienda!$K1124*Tienda!$L1124</f>
        <v>11.104000000000001</v>
      </c>
      <c r="N2738" s="3" t="s">
        <v>10040</v>
      </c>
      <c r="O2738" s="3" t="s">
        <v>10041</v>
      </c>
      <c r="P2738" s="17">
        <v>45373</v>
      </c>
      <c r="Q2738" s="4">
        <v>0</v>
      </c>
    </row>
    <row r="2739" spans="1:17" ht="30" x14ac:dyDescent="0.25">
      <c r="A2739" s="2" t="s">
        <v>4181</v>
      </c>
      <c r="B2739" s="3" t="s">
        <v>5015</v>
      </c>
      <c r="C2739" s="3">
        <v>43</v>
      </c>
      <c r="D2739" s="46" t="str">
        <f>IF(Tabla1[[#This Row],[EDAD]]&lt;=35,"Adultos jóvenes 18 - 35 años",IF(C2739&gt;=36,"Adultos mayores 36 años en adelante"))</f>
        <v>Adultos mayores 36 años en adelante</v>
      </c>
      <c r="E2739" s="3" t="s">
        <v>5022</v>
      </c>
      <c r="F2739" s="3" t="s">
        <v>5030</v>
      </c>
      <c r="G2739" s="3" t="s">
        <v>5036</v>
      </c>
      <c r="H2739" s="3" t="s">
        <v>9204</v>
      </c>
      <c r="I2739" s="17">
        <v>45370</v>
      </c>
      <c r="J2739" s="18">
        <f>YEAR(Tabla1[[#This Row],[FECHA DE COMPRA]])</f>
        <v>2024</v>
      </c>
      <c r="K2739" s="19">
        <v>28.94</v>
      </c>
      <c r="L2739" s="20">
        <v>0</v>
      </c>
      <c r="M2739" s="19">
        <f>Tienda!$K1126-Tienda!$K1126*Tienda!$L1126</f>
        <v>133.911</v>
      </c>
      <c r="N2739" s="3" t="s">
        <v>10040</v>
      </c>
      <c r="O2739" s="3" t="s">
        <v>10041</v>
      </c>
      <c r="P2739" s="17">
        <v>45370</v>
      </c>
      <c r="Q2739" s="4">
        <v>0</v>
      </c>
    </row>
    <row r="2740" spans="1:17" ht="30" x14ac:dyDescent="0.25">
      <c r="A2740" s="2" t="s">
        <v>1371</v>
      </c>
      <c r="B2740" s="3" t="s">
        <v>5015</v>
      </c>
      <c r="C2740" s="3">
        <v>62</v>
      </c>
      <c r="D2740" s="46" t="str">
        <f>IF(Tabla1[[#This Row],[EDAD]]&lt;=35,"Adultos jóvenes 18 - 35 años",IF(C2740&gt;=36,"Adultos mayores 36 años en adelante"))</f>
        <v>Adultos mayores 36 años en adelante</v>
      </c>
      <c r="E2740" s="3" t="s">
        <v>5021</v>
      </c>
      <c r="F2740" s="3" t="s">
        <v>5024</v>
      </c>
      <c r="G2740" s="3" t="s">
        <v>5033</v>
      </c>
      <c r="H2740" s="3" t="s">
        <v>6394</v>
      </c>
      <c r="I2740" s="17">
        <v>45627</v>
      </c>
      <c r="J2740" s="18">
        <f>YEAR(Tabla1[[#This Row],[FECHA DE COMPRA]])</f>
        <v>2024</v>
      </c>
      <c r="K2740" s="19">
        <v>37</v>
      </c>
      <c r="L2740" s="20">
        <v>0.2</v>
      </c>
      <c r="M2740" s="19">
        <f>Tienda!$K1131-Tienda!$K1131*Tienda!$L1131</f>
        <v>81.459000000000003</v>
      </c>
      <c r="N2740" s="3" t="s">
        <v>10040</v>
      </c>
      <c r="O2740" s="3" t="s">
        <v>10041</v>
      </c>
      <c r="P2740" s="17">
        <v>45627</v>
      </c>
      <c r="Q2740" s="4">
        <v>0</v>
      </c>
    </row>
    <row r="2741" spans="1:17" ht="30" x14ac:dyDescent="0.25">
      <c r="A2741" s="2" t="s">
        <v>3824</v>
      </c>
      <c r="B2741" s="3" t="s">
        <v>5015</v>
      </c>
      <c r="C2741" s="3">
        <v>58</v>
      </c>
      <c r="D2741" s="46" t="str">
        <f>IF(Tabla1[[#This Row],[EDAD]]&lt;=35,"Adultos jóvenes 18 - 35 años",IF(C2741&gt;=36,"Adultos mayores 36 años en adelante"))</f>
        <v>Adultos mayores 36 años en adelante</v>
      </c>
      <c r="E2741" s="3" t="s">
        <v>5021</v>
      </c>
      <c r="F2741" s="3" t="s">
        <v>5028</v>
      </c>
      <c r="G2741" s="3" t="s">
        <v>5037</v>
      </c>
      <c r="H2741" s="3" t="s">
        <v>8847</v>
      </c>
      <c r="I2741" s="17">
        <v>45635</v>
      </c>
      <c r="J2741" s="18">
        <f>YEAR(Tabla1[[#This Row],[FECHA DE COMPRA]])</f>
        <v>2024</v>
      </c>
      <c r="K2741" s="19">
        <v>37.93</v>
      </c>
      <c r="L2741" s="20">
        <v>0.2</v>
      </c>
      <c r="M2741" s="19">
        <f>Tienda!$K1137-Tienda!$K1137*Tienda!$L1137</f>
        <v>81.8</v>
      </c>
      <c r="N2741" s="3" t="s">
        <v>10040</v>
      </c>
      <c r="O2741" s="3" t="s">
        <v>10041</v>
      </c>
      <c r="P2741" s="17">
        <v>45446</v>
      </c>
      <c r="Q2741" s="4">
        <v>0</v>
      </c>
    </row>
    <row r="2742" spans="1:17" ht="30" x14ac:dyDescent="0.25">
      <c r="A2742" s="2" t="s">
        <v>4227</v>
      </c>
      <c r="B2742" s="3" t="s">
        <v>5015</v>
      </c>
      <c r="C2742" s="3">
        <v>37</v>
      </c>
      <c r="D2742" s="46" t="str">
        <f>IF(Tabla1[[#This Row],[EDAD]]&lt;=35,"Adultos jóvenes 18 - 35 años",IF(C2742&gt;=36,"Adultos mayores 36 años en adelante"))</f>
        <v>Adultos mayores 36 años en adelante</v>
      </c>
      <c r="E2742" s="3" t="s">
        <v>5017</v>
      </c>
      <c r="F2742" s="3" t="s">
        <v>5027</v>
      </c>
      <c r="G2742" s="3" t="s">
        <v>5031</v>
      </c>
      <c r="H2742" s="3" t="s">
        <v>9250</v>
      </c>
      <c r="I2742" s="17">
        <v>45624</v>
      </c>
      <c r="J2742" s="18">
        <f>YEAR(Tabla1[[#This Row],[FECHA DE COMPRA]])</f>
        <v>2024</v>
      </c>
      <c r="K2742" s="19">
        <v>44.35</v>
      </c>
      <c r="L2742" s="20">
        <v>0.3</v>
      </c>
      <c r="M2742" s="19">
        <f>Tienda!$K1145-Tienda!$K1145*Tienda!$L1145</f>
        <v>83.897999999999996</v>
      </c>
      <c r="N2742" s="3" t="s">
        <v>10040</v>
      </c>
      <c r="O2742" s="3" t="s">
        <v>10041</v>
      </c>
      <c r="P2742" s="17">
        <v>45485</v>
      </c>
      <c r="Q2742" s="4">
        <v>0</v>
      </c>
    </row>
    <row r="2743" spans="1:17" ht="30" x14ac:dyDescent="0.25">
      <c r="A2743" s="2" t="s">
        <v>279</v>
      </c>
      <c r="B2743" s="3" t="s">
        <v>5016</v>
      </c>
      <c r="C2743" s="3">
        <v>47</v>
      </c>
      <c r="D2743" s="46" t="str">
        <f>IF(Tabla1[[#This Row],[EDAD]]&lt;=35,"Adultos jóvenes 18 - 35 años",IF(C2743&gt;=36,"Adultos mayores 36 años en adelante"))</f>
        <v>Adultos mayores 36 años en adelante</v>
      </c>
      <c r="E2743" s="3" t="s">
        <v>5021</v>
      </c>
      <c r="F2743" s="3" t="s">
        <v>5027</v>
      </c>
      <c r="G2743" s="3" t="s">
        <v>5033</v>
      </c>
      <c r="H2743" s="3" t="s">
        <v>5302</v>
      </c>
      <c r="I2743" s="17">
        <v>45641</v>
      </c>
      <c r="J2743" s="18">
        <f>YEAR(Tabla1[[#This Row],[FECHA DE COMPRA]])</f>
        <v>2024</v>
      </c>
      <c r="K2743" s="19">
        <v>45.18</v>
      </c>
      <c r="L2743" s="20">
        <v>0.3</v>
      </c>
      <c r="M2743" s="19">
        <f>Tienda!$K1149-Tienda!$K1149*Tienda!$L1149</f>
        <v>23.317</v>
      </c>
      <c r="N2743" s="3" t="s">
        <v>10040</v>
      </c>
      <c r="O2743" s="3" t="s">
        <v>10041</v>
      </c>
      <c r="P2743" s="17">
        <v>45641</v>
      </c>
      <c r="Q2743" s="4">
        <v>0</v>
      </c>
    </row>
    <row r="2744" spans="1:17" ht="30" x14ac:dyDescent="0.25">
      <c r="A2744" s="2" t="s">
        <v>3212</v>
      </c>
      <c r="B2744" s="3" t="s">
        <v>5015</v>
      </c>
      <c r="C2744" s="3">
        <v>44</v>
      </c>
      <c r="D2744" s="46" t="str">
        <f>IF(Tabla1[[#This Row],[EDAD]]&lt;=35,"Adultos jóvenes 18 - 35 años",IF(C2744&gt;=36,"Adultos mayores 36 años en adelante"))</f>
        <v>Adultos mayores 36 años en adelante</v>
      </c>
      <c r="E2744" s="3" t="s">
        <v>5020</v>
      </c>
      <c r="F2744" s="3" t="s">
        <v>5025</v>
      </c>
      <c r="G2744" s="3" t="s">
        <v>5032</v>
      </c>
      <c r="H2744" s="3" t="s">
        <v>8235</v>
      </c>
      <c r="I2744" s="17">
        <v>45353</v>
      </c>
      <c r="J2744" s="18">
        <f>YEAR(Tabla1[[#This Row],[FECHA DE COMPRA]])</f>
        <v>2024</v>
      </c>
      <c r="K2744" s="19">
        <v>35.21</v>
      </c>
      <c r="L2744" s="20">
        <v>0.1</v>
      </c>
      <c r="M2744" s="19">
        <f>Tienda!$K1150-Tienda!$K1150*Tienda!$L1150</f>
        <v>90.459000000000003</v>
      </c>
      <c r="N2744" s="3" t="s">
        <v>10040</v>
      </c>
      <c r="O2744" s="3" t="s">
        <v>10041</v>
      </c>
      <c r="P2744" s="17">
        <v>45353</v>
      </c>
      <c r="Q2744" s="4">
        <v>0</v>
      </c>
    </row>
    <row r="2745" spans="1:17" ht="30" x14ac:dyDescent="0.25">
      <c r="A2745" s="2" t="s">
        <v>1888</v>
      </c>
      <c r="B2745" s="3" t="s">
        <v>5015</v>
      </c>
      <c r="C2745" s="3">
        <v>45</v>
      </c>
      <c r="D2745" s="46" t="str">
        <f>IF(Tabla1[[#This Row],[EDAD]]&lt;=35,"Adultos jóvenes 18 - 35 años",IF(C2745&gt;=36,"Adultos mayores 36 años en adelante"))</f>
        <v>Adultos mayores 36 años en adelante</v>
      </c>
      <c r="E2745" s="3" t="s">
        <v>5018</v>
      </c>
      <c r="F2745" s="3" t="s">
        <v>5030</v>
      </c>
      <c r="G2745" s="3" t="s">
        <v>5035</v>
      </c>
      <c r="H2745" s="3" t="s">
        <v>6911</v>
      </c>
      <c r="I2745" s="17">
        <v>45612</v>
      </c>
      <c r="J2745" s="18">
        <f>YEAR(Tabla1[[#This Row],[FECHA DE COMPRA]])</f>
        <v>2024</v>
      </c>
      <c r="K2745" s="19">
        <v>40.270000000000003</v>
      </c>
      <c r="L2745" s="20">
        <v>0.2</v>
      </c>
      <c r="M2745" s="19">
        <f>Tienda!$K1154-Tienda!$K1154*Tienda!$L1154</f>
        <v>29.475000000000001</v>
      </c>
      <c r="N2745" s="3" t="s">
        <v>10040</v>
      </c>
      <c r="O2745" s="3" t="s">
        <v>10041</v>
      </c>
      <c r="P2745" s="17">
        <v>45612</v>
      </c>
      <c r="Q2745" s="4">
        <v>0</v>
      </c>
    </row>
    <row r="2746" spans="1:17" ht="30" x14ac:dyDescent="0.25">
      <c r="A2746" s="2" t="s">
        <v>4452</v>
      </c>
      <c r="B2746" s="3" t="s">
        <v>5016</v>
      </c>
      <c r="C2746" s="3">
        <v>40</v>
      </c>
      <c r="D2746" s="46" t="str">
        <f>IF(Tabla1[[#This Row],[EDAD]]&lt;=35,"Adultos jóvenes 18 - 35 años",IF(C2746&gt;=36,"Adultos mayores 36 años en adelante"))</f>
        <v>Adultos mayores 36 años en adelante</v>
      </c>
      <c r="E2746" s="3" t="s">
        <v>5019</v>
      </c>
      <c r="F2746" s="3" t="s">
        <v>5024</v>
      </c>
      <c r="G2746" s="3" t="s">
        <v>5031</v>
      </c>
      <c r="H2746" s="3" t="s">
        <v>9475</v>
      </c>
      <c r="I2746" s="17">
        <v>45588</v>
      </c>
      <c r="J2746" s="18">
        <f>YEAR(Tabla1[[#This Row],[FECHA DE COMPRA]])</f>
        <v>2024</v>
      </c>
      <c r="K2746" s="19">
        <v>40.75</v>
      </c>
      <c r="L2746" s="20">
        <v>0.2</v>
      </c>
      <c r="M2746" s="19">
        <f>Tienda!$K1157-Tienda!$K1157*Tienda!$L1157</f>
        <v>44.036999999999999</v>
      </c>
      <c r="N2746" s="3" t="s">
        <v>10040</v>
      </c>
      <c r="O2746" s="3" t="s">
        <v>10041</v>
      </c>
      <c r="P2746" s="17">
        <v>45588</v>
      </c>
      <c r="Q2746" s="4">
        <v>0</v>
      </c>
    </row>
    <row r="2747" spans="1:17" ht="30" x14ac:dyDescent="0.25">
      <c r="A2747" s="2" t="s">
        <v>534</v>
      </c>
      <c r="B2747" s="3" t="s">
        <v>5015</v>
      </c>
      <c r="C2747" s="3">
        <v>51</v>
      </c>
      <c r="D2747" s="46" t="str">
        <f>IF(Tabla1[[#This Row],[EDAD]]&lt;=35,"Adultos jóvenes 18 - 35 años",IF(C2747&gt;=36,"Adultos mayores 36 años en adelante"))</f>
        <v>Adultos mayores 36 años en adelante</v>
      </c>
      <c r="E2747" s="3" t="s">
        <v>5020</v>
      </c>
      <c r="F2747" s="3" t="s">
        <v>5024</v>
      </c>
      <c r="G2747" s="3" t="s">
        <v>5031</v>
      </c>
      <c r="H2747" s="3" t="s">
        <v>5557</v>
      </c>
      <c r="I2747" s="17">
        <v>45439</v>
      </c>
      <c r="J2747" s="18">
        <f>YEAR(Tabla1[[#This Row],[FECHA DE COMPRA]])</f>
        <v>2024</v>
      </c>
      <c r="K2747" s="19">
        <v>33.1</v>
      </c>
      <c r="L2747" s="20">
        <v>0</v>
      </c>
      <c r="M2747" s="19">
        <f>Tienda!$K1163-Tienda!$K1163*Tienda!$L1163</f>
        <v>98.144999999999996</v>
      </c>
      <c r="N2747" s="3" t="s">
        <v>10040</v>
      </c>
      <c r="O2747" s="3" t="s">
        <v>10041</v>
      </c>
      <c r="P2747" s="17">
        <v>45439</v>
      </c>
      <c r="Q2747" s="4">
        <v>0</v>
      </c>
    </row>
    <row r="2748" spans="1:17" ht="30" x14ac:dyDescent="0.25">
      <c r="A2748" s="2" t="s">
        <v>2984</v>
      </c>
      <c r="B2748" s="3" t="s">
        <v>5015</v>
      </c>
      <c r="C2748" s="3">
        <v>38</v>
      </c>
      <c r="D2748" s="46" t="str">
        <f>IF(Tabla1[[#This Row],[EDAD]]&lt;=35,"Adultos jóvenes 18 - 35 años",IF(C2748&gt;=36,"Adultos mayores 36 años en adelante"))</f>
        <v>Adultos mayores 36 años en adelante</v>
      </c>
      <c r="E2748" s="3" t="s">
        <v>5021</v>
      </c>
      <c r="F2748" s="3" t="s">
        <v>5025</v>
      </c>
      <c r="G2748" s="3" t="s">
        <v>5032</v>
      </c>
      <c r="H2748" s="3" t="s">
        <v>8007</v>
      </c>
      <c r="I2748" s="17">
        <v>45624</v>
      </c>
      <c r="J2748" s="18">
        <f>YEAR(Tabla1[[#This Row],[FECHA DE COMPRA]])</f>
        <v>2024</v>
      </c>
      <c r="K2748" s="19">
        <v>36.81</v>
      </c>
      <c r="L2748" s="20">
        <v>0.1</v>
      </c>
      <c r="M2748" s="19">
        <f>Tienda!$K1165-Tienda!$K1165*Tienda!$L1165</f>
        <v>45.02</v>
      </c>
      <c r="N2748" s="3" t="s">
        <v>10040</v>
      </c>
      <c r="O2748" s="3" t="s">
        <v>10041</v>
      </c>
      <c r="P2748" s="17">
        <v>45493</v>
      </c>
      <c r="Q2748" s="4">
        <v>0</v>
      </c>
    </row>
    <row r="2749" spans="1:17" ht="30" x14ac:dyDescent="0.25">
      <c r="A2749" s="2" t="s">
        <v>2955</v>
      </c>
      <c r="B2749" s="3" t="s">
        <v>5015</v>
      </c>
      <c r="C2749" s="3">
        <v>56</v>
      </c>
      <c r="D2749" s="46" t="str">
        <f>IF(Tabla1[[#This Row],[EDAD]]&lt;=35,"Adultos jóvenes 18 - 35 años",IF(C2749&gt;=36,"Adultos mayores 36 años en adelante"))</f>
        <v>Adultos mayores 36 años en adelante</v>
      </c>
      <c r="E2749" s="3" t="s">
        <v>5017</v>
      </c>
      <c r="F2749" s="3" t="s">
        <v>5024</v>
      </c>
      <c r="G2749" s="3" t="s">
        <v>5036</v>
      </c>
      <c r="H2749" s="3" t="s">
        <v>7978</v>
      </c>
      <c r="I2749" s="17">
        <v>45585</v>
      </c>
      <c r="J2749" s="18">
        <f>YEAR(Tabla1[[#This Row],[FECHA DE COMPRA]])</f>
        <v>2024</v>
      </c>
      <c r="K2749" s="19">
        <v>37.700000000000003</v>
      </c>
      <c r="L2749" s="20">
        <v>0.1</v>
      </c>
      <c r="M2749" s="19">
        <f>Tienda!$K1175-Tienda!$K1175*Tienda!$L1175</f>
        <v>111.17</v>
      </c>
      <c r="N2749" s="3" t="s">
        <v>10040</v>
      </c>
      <c r="O2749" s="3" t="s">
        <v>10041</v>
      </c>
      <c r="P2749" s="17">
        <v>45585</v>
      </c>
      <c r="Q2749" s="4">
        <v>0</v>
      </c>
    </row>
    <row r="2750" spans="1:17" ht="30" x14ac:dyDescent="0.25">
      <c r="A2750" s="2" t="s">
        <v>2379</v>
      </c>
      <c r="B2750" s="3" t="s">
        <v>5015</v>
      </c>
      <c r="C2750" s="3">
        <v>59</v>
      </c>
      <c r="D2750" s="46" t="str">
        <f>IF(Tabla1[[#This Row],[EDAD]]&lt;=35,"Adultos jóvenes 18 - 35 años",IF(C2750&gt;=36,"Adultos mayores 36 años en adelante"))</f>
        <v>Adultos mayores 36 años en adelante</v>
      </c>
      <c r="E2750" s="3" t="s">
        <v>5018</v>
      </c>
      <c r="F2750" s="3" t="s">
        <v>5029</v>
      </c>
      <c r="G2750" s="3" t="s">
        <v>5036</v>
      </c>
      <c r="H2750" s="3" t="s">
        <v>7402</v>
      </c>
      <c r="I2750" s="17">
        <v>45321</v>
      </c>
      <c r="J2750" s="18">
        <f>YEAR(Tabla1[[#This Row],[FECHA DE COMPRA]])</f>
        <v>2024</v>
      </c>
      <c r="K2750" s="19">
        <v>38.090000000000003</v>
      </c>
      <c r="L2750" s="20">
        <v>0.1</v>
      </c>
      <c r="M2750" s="19">
        <f>Tienda!$K1180-Tienda!$K1180*Tienda!$L1180</f>
        <v>199.9</v>
      </c>
      <c r="N2750" s="3" t="s">
        <v>10040</v>
      </c>
      <c r="O2750" s="3" t="s">
        <v>10041</v>
      </c>
      <c r="P2750" s="17">
        <v>45321</v>
      </c>
      <c r="Q2750" s="4">
        <v>0</v>
      </c>
    </row>
    <row r="2751" spans="1:17" ht="30" x14ac:dyDescent="0.25">
      <c r="A2751" s="2" t="s">
        <v>3995</v>
      </c>
      <c r="B2751" s="3" t="s">
        <v>5015</v>
      </c>
      <c r="C2751" s="3">
        <v>58</v>
      </c>
      <c r="D2751" s="46" t="str">
        <f>IF(Tabla1[[#This Row],[EDAD]]&lt;=35,"Adultos jóvenes 18 - 35 años",IF(C2751&gt;=36,"Adultos mayores 36 años en adelante"))</f>
        <v>Adultos mayores 36 años en adelante</v>
      </c>
      <c r="E2751" s="3" t="s">
        <v>5022</v>
      </c>
      <c r="F2751" s="3" t="s">
        <v>5029</v>
      </c>
      <c r="G2751" s="3" t="s">
        <v>5032</v>
      </c>
      <c r="H2751" s="3" t="s">
        <v>9018</v>
      </c>
      <c r="I2751" s="17">
        <v>45617</v>
      </c>
      <c r="J2751" s="18">
        <f>YEAR(Tabla1[[#This Row],[FECHA DE COMPRA]])</f>
        <v>2024</v>
      </c>
      <c r="K2751" s="19">
        <v>34.97</v>
      </c>
      <c r="L2751" s="20">
        <v>0</v>
      </c>
      <c r="M2751" s="19">
        <f>Tienda!$K1184-Tienda!$K1184*Tienda!$L1184</f>
        <v>167.49</v>
      </c>
      <c r="N2751" s="3" t="s">
        <v>10040</v>
      </c>
      <c r="O2751" s="3" t="s">
        <v>10041</v>
      </c>
      <c r="P2751" s="17">
        <v>45617</v>
      </c>
      <c r="Q2751" s="4">
        <v>0</v>
      </c>
    </row>
    <row r="2752" spans="1:17" ht="30" x14ac:dyDescent="0.25">
      <c r="A2752" s="2" t="s">
        <v>4870</v>
      </c>
      <c r="B2752" s="3" t="s">
        <v>5016</v>
      </c>
      <c r="C2752" s="3">
        <v>57</v>
      </c>
      <c r="D2752" s="46" t="str">
        <f>IF(Tabla1[[#This Row],[EDAD]]&lt;=35,"Adultos jóvenes 18 - 35 años",IF(C2752&gt;=36,"Adultos mayores 36 años en adelante"))</f>
        <v>Adultos mayores 36 años en adelante</v>
      </c>
      <c r="E2752" s="3" t="s">
        <v>5023</v>
      </c>
      <c r="F2752" s="3" t="s">
        <v>5030</v>
      </c>
      <c r="G2752" s="3" t="s">
        <v>5033</v>
      </c>
      <c r="H2752" s="3" t="s">
        <v>9893</v>
      </c>
      <c r="I2752" s="17">
        <v>45555</v>
      </c>
      <c r="J2752" s="18">
        <f>YEAR(Tabla1[[#This Row],[FECHA DE COMPRA]])</f>
        <v>2024</v>
      </c>
      <c r="K2752" s="19">
        <v>39.32</v>
      </c>
      <c r="L2752" s="20">
        <v>0.1</v>
      </c>
      <c r="M2752" s="19">
        <f>Tienda!$K1191-Tienda!$K1191*Tienda!$L1191</f>
        <v>65.39</v>
      </c>
      <c r="N2752" s="3" t="s">
        <v>10040</v>
      </c>
      <c r="O2752" s="3" t="s">
        <v>10041</v>
      </c>
      <c r="P2752" s="17">
        <v>45555</v>
      </c>
      <c r="Q2752" s="4">
        <v>0</v>
      </c>
    </row>
    <row r="2753" spans="1:17" ht="30" x14ac:dyDescent="0.25">
      <c r="A2753" s="2" t="s">
        <v>2675</v>
      </c>
      <c r="B2753" s="3" t="s">
        <v>5015</v>
      </c>
      <c r="C2753" s="3">
        <v>50</v>
      </c>
      <c r="D2753" s="46" t="str">
        <f>IF(Tabla1[[#This Row],[EDAD]]&lt;=35,"Adultos jóvenes 18 - 35 años",IF(C2753&gt;=36,"Adultos mayores 36 años en adelante"))</f>
        <v>Adultos mayores 36 años en adelante</v>
      </c>
      <c r="E2753" s="3" t="s">
        <v>5020</v>
      </c>
      <c r="F2753" s="3" t="s">
        <v>5028</v>
      </c>
      <c r="G2753" s="3" t="s">
        <v>5037</v>
      </c>
      <c r="H2753" s="3" t="s">
        <v>7698</v>
      </c>
      <c r="I2753" s="17">
        <v>45411</v>
      </c>
      <c r="J2753" s="18">
        <f>YEAR(Tabla1[[#This Row],[FECHA DE COMPRA]])</f>
        <v>2024</v>
      </c>
      <c r="K2753" s="19">
        <v>39.33</v>
      </c>
      <c r="L2753" s="20">
        <v>0.1</v>
      </c>
      <c r="M2753" s="19">
        <f>Tienda!$K1192-Tienda!$K1192*Tienda!$L1192</f>
        <v>77.658000000000001</v>
      </c>
      <c r="N2753" s="3" t="s">
        <v>10040</v>
      </c>
      <c r="O2753" s="3" t="s">
        <v>10041</v>
      </c>
      <c r="P2753" s="17">
        <v>45411</v>
      </c>
      <c r="Q2753" s="4">
        <v>0</v>
      </c>
    </row>
    <row r="2754" spans="1:17" ht="30" x14ac:dyDescent="0.25">
      <c r="A2754" s="2" t="s">
        <v>4144</v>
      </c>
      <c r="B2754" s="3" t="s">
        <v>5015</v>
      </c>
      <c r="C2754" s="3">
        <v>59</v>
      </c>
      <c r="D2754" s="46" t="str">
        <f>IF(Tabla1[[#This Row],[EDAD]]&lt;=35,"Adultos jóvenes 18 - 35 años",IF(C2754&gt;=36,"Adultos mayores 36 años en adelante"))</f>
        <v>Adultos mayores 36 años en adelante</v>
      </c>
      <c r="E2754" s="3" t="s">
        <v>5022</v>
      </c>
      <c r="F2754" s="3" t="s">
        <v>5029</v>
      </c>
      <c r="G2754" s="3" t="s">
        <v>5032</v>
      </c>
      <c r="H2754" s="3" t="s">
        <v>9167</v>
      </c>
      <c r="I2754" s="17">
        <v>45643</v>
      </c>
      <c r="J2754" s="18">
        <f>YEAR(Tabla1[[#This Row],[FECHA DE COMPRA]])</f>
        <v>2024</v>
      </c>
      <c r="K2754" s="19">
        <v>40.36</v>
      </c>
      <c r="L2754" s="20">
        <v>0.1</v>
      </c>
      <c r="M2754" s="19">
        <f>Tienda!$K1196-Tienda!$K1196*Tienda!$L1196</f>
        <v>12.68</v>
      </c>
      <c r="N2754" s="3" t="s">
        <v>10040</v>
      </c>
      <c r="O2754" s="3" t="s">
        <v>10041</v>
      </c>
      <c r="P2754" s="17">
        <v>45643</v>
      </c>
      <c r="Q2754" s="4">
        <v>0</v>
      </c>
    </row>
    <row r="2755" spans="1:17" ht="30" x14ac:dyDescent="0.25">
      <c r="A2755" s="2" t="s">
        <v>2416</v>
      </c>
      <c r="B2755" s="3" t="s">
        <v>5016</v>
      </c>
      <c r="C2755" s="3">
        <v>52</v>
      </c>
      <c r="D2755" s="46" t="str">
        <f>IF(Tabla1[[#This Row],[EDAD]]&lt;=35,"Adultos jóvenes 18 - 35 años",IF(C2755&gt;=36,"Adultos mayores 36 años en adelante"))</f>
        <v>Adultos mayores 36 años en adelante</v>
      </c>
      <c r="E2755" s="3" t="s">
        <v>5019</v>
      </c>
      <c r="F2755" s="3" t="s">
        <v>5030</v>
      </c>
      <c r="G2755" s="3" t="s">
        <v>5034</v>
      </c>
      <c r="H2755" s="3" t="s">
        <v>7439</v>
      </c>
      <c r="I2755" s="17">
        <v>45624</v>
      </c>
      <c r="J2755" s="18">
        <f>YEAR(Tabla1[[#This Row],[FECHA DE COMPRA]])</f>
        <v>2024</v>
      </c>
      <c r="K2755" s="19">
        <v>46.42</v>
      </c>
      <c r="L2755" s="20">
        <v>0.2</v>
      </c>
      <c r="M2755" s="19">
        <f>Tienda!$K1203-Tienda!$K1203*Tienda!$L1203</f>
        <v>13.097000000000001</v>
      </c>
      <c r="N2755" s="3" t="s">
        <v>10040</v>
      </c>
      <c r="O2755" s="3" t="s">
        <v>10041</v>
      </c>
      <c r="P2755" s="17">
        <v>45400</v>
      </c>
      <c r="Q2755" s="4">
        <v>0</v>
      </c>
    </row>
    <row r="2756" spans="1:17" ht="30" x14ac:dyDescent="0.25">
      <c r="A2756" s="2" t="s">
        <v>3779</v>
      </c>
      <c r="B2756" s="3" t="s">
        <v>5016</v>
      </c>
      <c r="C2756" s="3">
        <v>61</v>
      </c>
      <c r="D2756" s="46" t="str">
        <f>IF(Tabla1[[#This Row],[EDAD]]&lt;=35,"Adultos jóvenes 18 - 35 años",IF(C2756&gt;=36,"Adultos mayores 36 años en adelante"))</f>
        <v>Adultos mayores 36 años en adelante</v>
      </c>
      <c r="E2756" s="3" t="s">
        <v>5023</v>
      </c>
      <c r="F2756" s="3" t="s">
        <v>5030</v>
      </c>
      <c r="G2756" s="3" t="s">
        <v>5036</v>
      </c>
      <c r="H2756" s="3" t="s">
        <v>8802</v>
      </c>
      <c r="I2756" s="17">
        <v>45340</v>
      </c>
      <c r="J2756" s="18">
        <f>YEAR(Tabla1[[#This Row],[FECHA DE COMPRA]])</f>
        <v>2024</v>
      </c>
      <c r="K2756" s="19">
        <v>37.22</v>
      </c>
      <c r="L2756" s="20">
        <v>0</v>
      </c>
      <c r="M2756" s="19">
        <f>Tienda!$K1206-Tienda!$K1206*Tienda!$L1206</f>
        <v>8.8159999999999989</v>
      </c>
      <c r="N2756" s="3" t="s">
        <v>10040</v>
      </c>
      <c r="O2756" s="3" t="s">
        <v>10041</v>
      </c>
      <c r="P2756" s="17">
        <v>45340</v>
      </c>
      <c r="Q2756" s="4">
        <v>0</v>
      </c>
    </row>
    <row r="2757" spans="1:17" ht="30" x14ac:dyDescent="0.25">
      <c r="A2757" s="2" t="s">
        <v>1191</v>
      </c>
      <c r="B2757" s="3" t="s">
        <v>5015</v>
      </c>
      <c r="C2757" s="3">
        <v>62</v>
      </c>
      <c r="D2757" s="46" t="str">
        <f>IF(Tabla1[[#This Row],[EDAD]]&lt;=35,"Adultos jóvenes 18 - 35 años",IF(C2757&gt;=36,"Adultos mayores 36 años en adelante"))</f>
        <v>Adultos mayores 36 años en adelante</v>
      </c>
      <c r="E2757" s="3" t="s">
        <v>5020</v>
      </c>
      <c r="F2757" s="3" t="s">
        <v>5028</v>
      </c>
      <c r="G2757" s="3" t="s">
        <v>5033</v>
      </c>
      <c r="H2757" s="3" t="s">
        <v>6214</v>
      </c>
      <c r="I2757" s="17">
        <v>45563</v>
      </c>
      <c r="J2757" s="18">
        <f>YEAR(Tabla1[[#This Row],[FECHA DE COMPRA]])</f>
        <v>2024</v>
      </c>
      <c r="K2757" s="19">
        <v>46.8</v>
      </c>
      <c r="L2757" s="20">
        <v>0.2</v>
      </c>
      <c r="M2757" s="19">
        <f>Tienda!$K1207-Tienda!$K1207*Tienda!$L1207</f>
        <v>8.9809999999999999</v>
      </c>
      <c r="N2757" s="3" t="s">
        <v>10040</v>
      </c>
      <c r="O2757" s="3" t="s">
        <v>10041</v>
      </c>
      <c r="P2757" s="17">
        <v>45563</v>
      </c>
      <c r="Q2757" s="4">
        <v>0</v>
      </c>
    </row>
    <row r="2758" spans="1:17" ht="30" x14ac:dyDescent="0.25">
      <c r="A2758" s="2" t="s">
        <v>1625</v>
      </c>
      <c r="B2758" s="3" t="s">
        <v>5015</v>
      </c>
      <c r="C2758" s="3">
        <v>57</v>
      </c>
      <c r="D2758" s="46" t="str">
        <f>IF(Tabla1[[#This Row],[EDAD]]&lt;=35,"Adultos jóvenes 18 - 35 años",IF(C2758&gt;=36,"Adultos mayores 36 años en adelante"))</f>
        <v>Adultos mayores 36 años en adelante</v>
      </c>
      <c r="E2758" s="3" t="s">
        <v>5019</v>
      </c>
      <c r="F2758" s="3" t="s">
        <v>5026</v>
      </c>
      <c r="G2758" s="3" t="s">
        <v>5035</v>
      </c>
      <c r="H2758" s="3" t="s">
        <v>6648</v>
      </c>
      <c r="I2758" s="17">
        <v>45561</v>
      </c>
      <c r="J2758" s="18">
        <f>YEAR(Tabla1[[#This Row],[FECHA DE COMPRA]])</f>
        <v>2024</v>
      </c>
      <c r="K2758" s="19">
        <v>41.64</v>
      </c>
      <c r="L2758" s="20">
        <v>0.1</v>
      </c>
      <c r="M2758" s="19">
        <f>Tienda!$K1208-Tienda!$K1208*Tienda!$L1208</f>
        <v>9.3059999999999992</v>
      </c>
      <c r="N2758" s="3" t="s">
        <v>10040</v>
      </c>
      <c r="O2758" s="3" t="s">
        <v>10041</v>
      </c>
      <c r="P2758" s="17">
        <v>45561</v>
      </c>
      <c r="Q2758" s="4">
        <v>0</v>
      </c>
    </row>
    <row r="2759" spans="1:17" ht="30" x14ac:dyDescent="0.25">
      <c r="A2759" s="2" t="s">
        <v>1436</v>
      </c>
      <c r="B2759" s="3" t="s">
        <v>5016</v>
      </c>
      <c r="C2759" s="3">
        <v>63</v>
      </c>
      <c r="D2759" s="46" t="str">
        <f>IF(Tabla1[[#This Row],[EDAD]]&lt;=35,"Adultos jóvenes 18 - 35 años",IF(C2759&gt;=36,"Adultos mayores 36 años en adelante"))</f>
        <v>Adultos mayores 36 años en adelante</v>
      </c>
      <c r="E2759" s="3" t="s">
        <v>5021</v>
      </c>
      <c r="F2759" s="3" t="s">
        <v>5026</v>
      </c>
      <c r="G2759" s="3" t="s">
        <v>5031</v>
      </c>
      <c r="H2759" s="3" t="s">
        <v>6459</v>
      </c>
      <c r="I2759" s="17">
        <v>45360</v>
      </c>
      <c r="J2759" s="18">
        <f>YEAR(Tabla1[[#This Row],[FECHA DE COMPRA]])</f>
        <v>2024</v>
      </c>
      <c r="K2759" s="19">
        <v>38.369999999999997</v>
      </c>
      <c r="L2759" s="20">
        <v>0</v>
      </c>
      <c r="M2759" s="19">
        <f>Tienda!$K1211-Tienda!$K1211*Tienda!$L1211</f>
        <v>11.968</v>
      </c>
      <c r="N2759" s="3" t="s">
        <v>10040</v>
      </c>
      <c r="O2759" s="3" t="s">
        <v>10041</v>
      </c>
      <c r="P2759" s="17">
        <v>45360</v>
      </c>
      <c r="Q2759" s="4">
        <v>0</v>
      </c>
    </row>
    <row r="2760" spans="1:17" ht="30" x14ac:dyDescent="0.25">
      <c r="A2760" s="2" t="s">
        <v>3604</v>
      </c>
      <c r="B2760" s="3" t="s">
        <v>5015</v>
      </c>
      <c r="C2760" s="3">
        <v>37</v>
      </c>
      <c r="D2760" s="46" t="str">
        <f>IF(Tabla1[[#This Row],[EDAD]]&lt;=35,"Adultos jóvenes 18 - 35 años",IF(C2760&gt;=36,"Adultos mayores 36 años en adelante"))</f>
        <v>Adultos mayores 36 años en adelante</v>
      </c>
      <c r="E2760" s="3" t="s">
        <v>5017</v>
      </c>
      <c r="F2760" s="3" t="s">
        <v>5030</v>
      </c>
      <c r="G2760" s="3" t="s">
        <v>5036</v>
      </c>
      <c r="H2760" s="3" t="s">
        <v>8627</v>
      </c>
      <c r="I2760" s="17">
        <v>45530</v>
      </c>
      <c r="J2760" s="18">
        <f>YEAR(Tabla1[[#This Row],[FECHA DE COMPRA]])</f>
        <v>2024</v>
      </c>
      <c r="K2760" s="19">
        <v>56.18</v>
      </c>
      <c r="L2760" s="20">
        <v>0.3</v>
      </c>
      <c r="M2760" s="19">
        <f>Tienda!$K1218-Tienda!$K1218*Tienda!$L1218</f>
        <v>14.808000000000002</v>
      </c>
      <c r="N2760" s="3" t="s">
        <v>10040</v>
      </c>
      <c r="O2760" s="3" t="s">
        <v>10041</v>
      </c>
      <c r="P2760" s="17">
        <v>45530</v>
      </c>
      <c r="Q2760" s="4">
        <v>0</v>
      </c>
    </row>
    <row r="2761" spans="1:17" ht="30" x14ac:dyDescent="0.25">
      <c r="A2761" s="2" t="s">
        <v>3961</v>
      </c>
      <c r="B2761" s="3" t="s">
        <v>5015</v>
      </c>
      <c r="C2761" s="3">
        <v>57</v>
      </c>
      <c r="D2761" s="46" t="str">
        <f>IF(Tabla1[[#This Row],[EDAD]]&lt;=35,"Adultos jóvenes 18 - 35 años",IF(C2761&gt;=36,"Adultos mayores 36 años en adelante"))</f>
        <v>Adultos mayores 36 años en adelante</v>
      </c>
      <c r="E2761" s="3" t="s">
        <v>5019</v>
      </c>
      <c r="F2761" s="3" t="s">
        <v>5029</v>
      </c>
      <c r="G2761" s="3" t="s">
        <v>5036</v>
      </c>
      <c r="H2761" s="3" t="s">
        <v>8984</v>
      </c>
      <c r="I2761" s="17">
        <v>45377</v>
      </c>
      <c r="J2761" s="18">
        <f>YEAR(Tabla1[[#This Row],[FECHA DE COMPRA]])</f>
        <v>2024</v>
      </c>
      <c r="K2761" s="19">
        <v>44.15</v>
      </c>
      <c r="L2761" s="20">
        <v>0.1</v>
      </c>
      <c r="M2761" s="19">
        <f>Tienda!$K1220-Tienda!$K1220*Tienda!$L1220</f>
        <v>15.08</v>
      </c>
      <c r="N2761" s="3" t="s">
        <v>10040</v>
      </c>
      <c r="O2761" s="3" t="s">
        <v>10041</v>
      </c>
      <c r="P2761" s="17">
        <v>45377</v>
      </c>
      <c r="Q2761" s="4">
        <v>0</v>
      </c>
    </row>
    <row r="2762" spans="1:17" ht="30" x14ac:dyDescent="0.25">
      <c r="A2762" s="2" t="s">
        <v>2259</v>
      </c>
      <c r="B2762" s="3" t="s">
        <v>5015</v>
      </c>
      <c r="C2762" s="3">
        <v>44</v>
      </c>
      <c r="D2762" s="46" t="str">
        <f>IF(Tabla1[[#This Row],[EDAD]]&lt;=35,"Adultos jóvenes 18 - 35 años",IF(C2762&gt;=36,"Adultos mayores 36 años en adelante"))</f>
        <v>Adultos mayores 36 años en adelante</v>
      </c>
      <c r="E2762" s="3" t="s">
        <v>5018</v>
      </c>
      <c r="F2762" s="3" t="s">
        <v>5028</v>
      </c>
      <c r="G2762" s="3" t="s">
        <v>5032</v>
      </c>
      <c r="H2762" s="3" t="s">
        <v>7282</v>
      </c>
      <c r="I2762" s="17">
        <v>45566</v>
      </c>
      <c r="J2762" s="18">
        <f>YEAR(Tabla1[[#This Row],[FECHA DE COMPRA]])</f>
        <v>2024</v>
      </c>
      <c r="K2762" s="19">
        <v>59.06</v>
      </c>
      <c r="L2762" s="20">
        <v>0.3</v>
      </c>
      <c r="M2762" s="19">
        <f>Tienda!$K1223-Tienda!$K1223*Tienda!$L1223</f>
        <v>15.742999999999999</v>
      </c>
      <c r="N2762" s="3" t="s">
        <v>10040</v>
      </c>
      <c r="O2762" s="3" t="s">
        <v>10041</v>
      </c>
      <c r="P2762" s="17">
        <v>45566</v>
      </c>
      <c r="Q2762" s="4">
        <v>0</v>
      </c>
    </row>
    <row r="2763" spans="1:17" ht="30" x14ac:dyDescent="0.25">
      <c r="A2763" s="2" t="s">
        <v>1309</v>
      </c>
      <c r="B2763" s="3" t="s">
        <v>5015</v>
      </c>
      <c r="C2763" s="3">
        <v>61</v>
      </c>
      <c r="D2763" s="46" t="str">
        <f>IF(Tabla1[[#This Row],[EDAD]]&lt;=35,"Adultos jóvenes 18 - 35 años",IF(C2763&gt;=36,"Adultos mayores 36 años en adelante"))</f>
        <v>Adultos mayores 36 años en adelante</v>
      </c>
      <c r="E2763" s="3" t="s">
        <v>5023</v>
      </c>
      <c r="F2763" s="3" t="s">
        <v>5025</v>
      </c>
      <c r="G2763" s="3" t="s">
        <v>5036</v>
      </c>
      <c r="H2763" s="3" t="s">
        <v>6332</v>
      </c>
      <c r="I2763" s="17">
        <v>45512</v>
      </c>
      <c r="J2763" s="18">
        <f>YEAR(Tabla1[[#This Row],[FECHA DE COMPRA]])</f>
        <v>2024</v>
      </c>
      <c r="K2763" s="19">
        <v>60.05</v>
      </c>
      <c r="L2763" s="20">
        <v>0.3</v>
      </c>
      <c r="M2763" s="19">
        <f>Tienda!$K1225-Tienda!$K1225*Tienda!$L1225</f>
        <v>16.119</v>
      </c>
      <c r="N2763" s="3" t="s">
        <v>10040</v>
      </c>
      <c r="O2763" s="3" t="s">
        <v>10041</v>
      </c>
      <c r="P2763" s="17">
        <v>45512</v>
      </c>
      <c r="Q2763" s="4">
        <v>0</v>
      </c>
    </row>
    <row r="2764" spans="1:17" ht="30" x14ac:dyDescent="0.25">
      <c r="A2764" s="2" t="s">
        <v>3364</v>
      </c>
      <c r="B2764" s="3" t="s">
        <v>5016</v>
      </c>
      <c r="C2764" s="3">
        <v>44</v>
      </c>
      <c r="D2764" s="46" t="str">
        <f>IF(Tabla1[[#This Row],[EDAD]]&lt;=35,"Adultos jóvenes 18 - 35 años",IF(C2764&gt;=36,"Adultos mayores 36 años en adelante"))</f>
        <v>Adultos mayores 36 años en adelante</v>
      </c>
      <c r="E2764" s="3" t="s">
        <v>5019</v>
      </c>
      <c r="F2764" s="3" t="s">
        <v>5030</v>
      </c>
      <c r="G2764" s="3" t="s">
        <v>5037</v>
      </c>
      <c r="H2764" s="3" t="s">
        <v>8387</v>
      </c>
      <c r="I2764" s="17">
        <v>45377</v>
      </c>
      <c r="J2764" s="18">
        <f>YEAR(Tabla1[[#This Row],[FECHA DE COMPRA]])</f>
        <v>2024</v>
      </c>
      <c r="K2764" s="19">
        <v>60.07</v>
      </c>
      <c r="L2764" s="20">
        <v>0.3</v>
      </c>
      <c r="M2764" s="19">
        <f>Tienda!$K1226-Tienda!$K1226*Tienda!$L1226</f>
        <v>16.359000000000002</v>
      </c>
      <c r="N2764" s="3" t="s">
        <v>10040</v>
      </c>
      <c r="O2764" s="3" t="s">
        <v>10041</v>
      </c>
      <c r="P2764" s="17">
        <v>45377</v>
      </c>
      <c r="Q2764" s="4">
        <v>0</v>
      </c>
    </row>
    <row r="2765" spans="1:17" ht="30" x14ac:dyDescent="0.25">
      <c r="A2765" s="2" t="s">
        <v>1448</v>
      </c>
      <c r="B2765" s="3" t="s">
        <v>5016</v>
      </c>
      <c r="C2765" s="3">
        <v>45</v>
      </c>
      <c r="D2765" s="46" t="str">
        <f>IF(Tabla1[[#This Row],[EDAD]]&lt;=35,"Adultos jóvenes 18 - 35 años",IF(C2765&gt;=36,"Adultos mayores 36 años en adelante"))</f>
        <v>Adultos mayores 36 años en adelante</v>
      </c>
      <c r="E2765" s="3" t="s">
        <v>5023</v>
      </c>
      <c r="F2765" s="3" t="s">
        <v>5028</v>
      </c>
      <c r="G2765" s="3" t="s">
        <v>5036</v>
      </c>
      <c r="H2765" s="3" t="s">
        <v>6471</v>
      </c>
      <c r="I2765" s="17">
        <v>45469</v>
      </c>
      <c r="J2765" s="18">
        <f>YEAR(Tabla1[[#This Row],[FECHA DE COMPRA]])</f>
        <v>2024</v>
      </c>
      <c r="K2765" s="19">
        <v>47.31</v>
      </c>
      <c r="L2765" s="20">
        <v>0.1</v>
      </c>
      <c r="M2765" s="19">
        <f>Tienda!$K1231-Tienda!$K1231*Tienda!$L1231</f>
        <v>18.865000000000002</v>
      </c>
      <c r="N2765" s="3" t="s">
        <v>10040</v>
      </c>
      <c r="O2765" s="3" t="s">
        <v>10041</v>
      </c>
      <c r="P2765" s="17">
        <v>45469</v>
      </c>
      <c r="Q2765" s="4">
        <v>0</v>
      </c>
    </row>
    <row r="2766" spans="1:17" ht="30" x14ac:dyDescent="0.25">
      <c r="A2766" s="2" t="s">
        <v>4755</v>
      </c>
      <c r="B2766" s="3" t="s">
        <v>5016</v>
      </c>
      <c r="C2766" s="3">
        <v>41</v>
      </c>
      <c r="D2766" s="46" t="str">
        <f>IF(Tabla1[[#This Row],[EDAD]]&lt;=35,"Adultos jóvenes 18 - 35 años",IF(C2766&gt;=36,"Adultos mayores 36 años en adelante"))</f>
        <v>Adultos mayores 36 años en adelante</v>
      </c>
      <c r="E2766" s="3" t="s">
        <v>5021</v>
      </c>
      <c r="F2766" s="3" t="s">
        <v>5029</v>
      </c>
      <c r="G2766" s="3" t="s">
        <v>5036</v>
      </c>
      <c r="H2766" s="3" t="s">
        <v>9778</v>
      </c>
      <c r="I2766" s="17">
        <v>45507</v>
      </c>
      <c r="J2766" s="18">
        <f>YEAR(Tabla1[[#This Row],[FECHA DE COMPRA]])</f>
        <v>2024</v>
      </c>
      <c r="K2766" s="19">
        <v>42.68</v>
      </c>
      <c r="L2766" s="20">
        <v>0</v>
      </c>
      <c r="M2766" s="19">
        <f>Tienda!$K1232-Tienda!$K1232*Tienda!$L1232</f>
        <v>20.034000000000002</v>
      </c>
      <c r="N2766" s="3" t="s">
        <v>10040</v>
      </c>
      <c r="O2766" s="3" t="s">
        <v>10041</v>
      </c>
      <c r="P2766" s="17">
        <v>45507</v>
      </c>
      <c r="Q2766" s="4">
        <v>0</v>
      </c>
    </row>
    <row r="2767" spans="1:17" ht="30" x14ac:dyDescent="0.25">
      <c r="A2767" s="2" t="s">
        <v>292</v>
      </c>
      <c r="B2767" s="3" t="s">
        <v>5015</v>
      </c>
      <c r="C2767" s="3">
        <v>38</v>
      </c>
      <c r="D2767" s="46" t="str">
        <f>IF(Tabla1[[#This Row],[EDAD]]&lt;=35,"Adultos jóvenes 18 - 35 años",IF(C2767&gt;=36,"Adultos mayores 36 años en adelante"))</f>
        <v>Adultos mayores 36 años en adelante</v>
      </c>
      <c r="E2767" s="3" t="s">
        <v>5021</v>
      </c>
      <c r="F2767" s="3" t="s">
        <v>5024</v>
      </c>
      <c r="G2767" s="3" t="s">
        <v>5031</v>
      </c>
      <c r="H2767" s="3" t="s">
        <v>5315</v>
      </c>
      <c r="I2767" s="17">
        <v>45465</v>
      </c>
      <c r="J2767" s="18">
        <f>YEAR(Tabla1[[#This Row],[FECHA DE COMPRA]])</f>
        <v>2024</v>
      </c>
      <c r="K2767" s="19">
        <v>54.24</v>
      </c>
      <c r="L2767" s="20">
        <v>0.2</v>
      </c>
      <c r="M2767" s="19">
        <f>Tienda!$K1235-Tienda!$K1235*Tienda!$L1235</f>
        <v>20.584</v>
      </c>
      <c r="N2767" s="3" t="s">
        <v>10040</v>
      </c>
      <c r="O2767" s="3" t="s">
        <v>10041</v>
      </c>
      <c r="P2767" s="17">
        <v>45465</v>
      </c>
      <c r="Q2767" s="4">
        <v>0</v>
      </c>
    </row>
    <row r="2768" spans="1:17" ht="30" x14ac:dyDescent="0.25">
      <c r="A2768" s="2" t="s">
        <v>3894</v>
      </c>
      <c r="B2768" s="3" t="s">
        <v>5015</v>
      </c>
      <c r="C2768" s="3">
        <v>64</v>
      </c>
      <c r="D2768" s="46" t="str">
        <f>IF(Tabla1[[#This Row],[EDAD]]&lt;=35,"Adultos jóvenes 18 - 35 años",IF(C2768&gt;=36,"Adultos mayores 36 años en adelante"))</f>
        <v>Adultos mayores 36 años en adelante</v>
      </c>
      <c r="E2768" s="3" t="s">
        <v>5022</v>
      </c>
      <c r="F2768" s="3" t="s">
        <v>5027</v>
      </c>
      <c r="G2768" s="3" t="s">
        <v>5032</v>
      </c>
      <c r="H2768" s="3" t="s">
        <v>8917</v>
      </c>
      <c r="I2768" s="17">
        <v>45555</v>
      </c>
      <c r="J2768" s="18">
        <f>YEAR(Tabla1[[#This Row],[FECHA DE COMPRA]])</f>
        <v>2024</v>
      </c>
      <c r="K2768" s="19">
        <v>43.4</v>
      </c>
      <c r="L2768" s="20">
        <v>0</v>
      </c>
      <c r="M2768" s="19">
        <f>Tienda!$K1237-Tienda!$K1237*Tienda!$L1237</f>
        <v>21.511000000000003</v>
      </c>
      <c r="N2768" s="3" t="s">
        <v>10040</v>
      </c>
      <c r="O2768" s="3" t="s">
        <v>10041</v>
      </c>
      <c r="P2768" s="17">
        <v>45555</v>
      </c>
      <c r="Q2768" s="4">
        <v>0</v>
      </c>
    </row>
    <row r="2769" spans="1:17" ht="30" x14ac:dyDescent="0.25">
      <c r="A2769" s="2" t="s">
        <v>962</v>
      </c>
      <c r="B2769" s="3" t="s">
        <v>5015</v>
      </c>
      <c r="C2769" s="3">
        <v>37</v>
      </c>
      <c r="D2769" s="46" t="str">
        <f>IF(Tabla1[[#This Row],[EDAD]]&lt;=35,"Adultos jóvenes 18 - 35 años",IF(C2769&gt;=36,"Adultos mayores 36 años en adelante"))</f>
        <v>Adultos mayores 36 años en adelante</v>
      </c>
      <c r="E2769" s="3" t="s">
        <v>5019</v>
      </c>
      <c r="F2769" s="3" t="s">
        <v>5028</v>
      </c>
      <c r="G2769" s="3" t="s">
        <v>5036</v>
      </c>
      <c r="H2769" s="3" t="s">
        <v>5985</v>
      </c>
      <c r="I2769" s="17">
        <v>45582</v>
      </c>
      <c r="J2769" s="18">
        <f>YEAR(Tabla1[[#This Row],[FECHA DE COMPRA]])</f>
        <v>2024</v>
      </c>
      <c r="K2769" s="19">
        <v>54.39</v>
      </c>
      <c r="L2769" s="20">
        <v>0.2</v>
      </c>
      <c r="M2769" s="19">
        <f>Tienda!$K1238-Tienda!$K1238*Tienda!$L1238</f>
        <v>22.05</v>
      </c>
      <c r="N2769" s="3" t="s">
        <v>10040</v>
      </c>
      <c r="O2769" s="3" t="s">
        <v>10041</v>
      </c>
      <c r="P2769" s="17">
        <v>45582</v>
      </c>
      <c r="Q2769" s="4">
        <v>0</v>
      </c>
    </row>
    <row r="2770" spans="1:17" ht="30" x14ac:dyDescent="0.25">
      <c r="A2770" s="2" t="s">
        <v>904</v>
      </c>
      <c r="B2770" s="3" t="s">
        <v>5015</v>
      </c>
      <c r="C2770" s="3">
        <v>50</v>
      </c>
      <c r="D2770" s="46" t="str">
        <f>IF(Tabla1[[#This Row],[EDAD]]&lt;=35,"Adultos jóvenes 18 - 35 años",IF(C2770&gt;=36,"Adultos mayores 36 años en adelante"))</f>
        <v>Adultos mayores 36 años en adelante</v>
      </c>
      <c r="E2770" s="3" t="s">
        <v>5018</v>
      </c>
      <c r="F2770" s="3" t="s">
        <v>5025</v>
      </c>
      <c r="G2770" s="3" t="s">
        <v>5037</v>
      </c>
      <c r="H2770" s="3" t="s">
        <v>5927</v>
      </c>
      <c r="I2770" s="17">
        <v>45346</v>
      </c>
      <c r="J2770" s="18">
        <f>YEAR(Tabla1[[#This Row],[FECHA DE COMPRA]])</f>
        <v>2024</v>
      </c>
      <c r="K2770" s="19">
        <v>44.06</v>
      </c>
      <c r="L2770" s="20">
        <v>0</v>
      </c>
      <c r="M2770" s="19">
        <f>Tienda!$K1240-Tienda!$K1240*Tienda!$L1240</f>
        <v>23.687999999999999</v>
      </c>
      <c r="N2770" s="3" t="s">
        <v>10040</v>
      </c>
      <c r="O2770" s="3" t="s">
        <v>10041</v>
      </c>
      <c r="P2770" s="17">
        <v>45346</v>
      </c>
      <c r="Q2770" s="4">
        <v>0</v>
      </c>
    </row>
    <row r="2771" spans="1:17" ht="30" x14ac:dyDescent="0.25">
      <c r="A2771" s="2" t="s">
        <v>1001</v>
      </c>
      <c r="B2771" s="3" t="s">
        <v>5016</v>
      </c>
      <c r="C2771" s="3">
        <v>39</v>
      </c>
      <c r="D2771" s="46" t="str">
        <f>IF(Tabla1[[#This Row],[EDAD]]&lt;=35,"Adultos jóvenes 18 - 35 años",IF(C2771&gt;=36,"Adultos mayores 36 años en adelante"))</f>
        <v>Adultos mayores 36 años en adelante</v>
      </c>
      <c r="E2771" s="3" t="s">
        <v>5019</v>
      </c>
      <c r="F2771" s="3" t="s">
        <v>5029</v>
      </c>
      <c r="G2771" s="3" t="s">
        <v>5032</v>
      </c>
      <c r="H2771" s="3" t="s">
        <v>6024</v>
      </c>
      <c r="I2771" s="17">
        <v>45642</v>
      </c>
      <c r="J2771" s="18">
        <f>YEAR(Tabla1[[#This Row],[FECHA DE COMPRA]])</f>
        <v>2024</v>
      </c>
      <c r="K2771" s="19">
        <v>63.09</v>
      </c>
      <c r="L2771" s="20">
        <v>0.3</v>
      </c>
      <c r="M2771" s="19">
        <f>Tienda!$K1241-Tienda!$K1241*Tienda!$L1241</f>
        <v>23.96</v>
      </c>
      <c r="N2771" s="3" t="s">
        <v>10040</v>
      </c>
      <c r="O2771" s="3" t="s">
        <v>10041</v>
      </c>
      <c r="P2771" s="17">
        <v>45642</v>
      </c>
      <c r="Q2771" s="4">
        <v>0</v>
      </c>
    </row>
    <row r="2772" spans="1:17" ht="30" x14ac:dyDescent="0.25">
      <c r="A2772" s="2" t="s">
        <v>2606</v>
      </c>
      <c r="B2772" s="3" t="s">
        <v>5015</v>
      </c>
      <c r="C2772" s="3">
        <v>52</v>
      </c>
      <c r="D2772" s="46" t="str">
        <f>IF(Tabla1[[#This Row],[EDAD]]&lt;=35,"Adultos jóvenes 18 - 35 años",IF(C2772&gt;=36,"Adultos mayores 36 años en adelante"))</f>
        <v>Adultos mayores 36 años en adelante</v>
      </c>
      <c r="E2772" s="3" t="s">
        <v>5020</v>
      </c>
      <c r="F2772" s="3" t="s">
        <v>5026</v>
      </c>
      <c r="G2772" s="3" t="s">
        <v>5037</v>
      </c>
      <c r="H2772" s="3" t="s">
        <v>7629</v>
      </c>
      <c r="I2772" s="17">
        <v>45651</v>
      </c>
      <c r="J2772" s="18">
        <f>YEAR(Tabla1[[#This Row],[FECHA DE COMPRA]])</f>
        <v>2024</v>
      </c>
      <c r="K2772" s="19">
        <v>55.26</v>
      </c>
      <c r="L2772" s="20">
        <v>0.2</v>
      </c>
      <c r="M2772" s="19">
        <f>Tienda!$K1242-Tienda!$K1242*Tienda!$L1242</f>
        <v>24.080000000000002</v>
      </c>
      <c r="N2772" s="3" t="s">
        <v>10040</v>
      </c>
      <c r="O2772" s="3" t="s">
        <v>10041</v>
      </c>
      <c r="P2772" s="17">
        <v>45651</v>
      </c>
      <c r="Q2772" s="4">
        <v>0</v>
      </c>
    </row>
    <row r="2773" spans="1:17" ht="30" x14ac:dyDescent="0.25">
      <c r="A2773" s="2" t="s">
        <v>2172</v>
      </c>
      <c r="B2773" s="3" t="s">
        <v>5015</v>
      </c>
      <c r="C2773" s="3">
        <v>52</v>
      </c>
      <c r="D2773" s="46" t="str">
        <f>IF(Tabla1[[#This Row],[EDAD]]&lt;=35,"Adultos jóvenes 18 - 35 años",IF(C2773&gt;=36,"Adultos mayores 36 años en adelante"))</f>
        <v>Adultos mayores 36 años en adelante</v>
      </c>
      <c r="E2773" s="3" t="s">
        <v>5021</v>
      </c>
      <c r="F2773" s="3" t="s">
        <v>5029</v>
      </c>
      <c r="G2773" s="3" t="s">
        <v>5036</v>
      </c>
      <c r="H2773" s="3" t="s">
        <v>7195</v>
      </c>
      <c r="I2773" s="17">
        <v>45464</v>
      </c>
      <c r="J2773" s="18">
        <f>YEAR(Tabla1[[#This Row],[FECHA DE COMPRA]])</f>
        <v>2024</v>
      </c>
      <c r="K2773" s="19">
        <v>63.56</v>
      </c>
      <c r="L2773" s="20">
        <v>0.3</v>
      </c>
      <c r="M2773" s="19">
        <f>Tienda!$K1243-Tienda!$K1243*Tienda!$L1243</f>
        <v>24.399000000000001</v>
      </c>
      <c r="N2773" s="3" t="s">
        <v>10040</v>
      </c>
      <c r="O2773" s="3" t="s">
        <v>10041</v>
      </c>
      <c r="P2773" s="17">
        <v>45464</v>
      </c>
      <c r="Q2773" s="4">
        <v>0</v>
      </c>
    </row>
    <row r="2774" spans="1:17" ht="30" x14ac:dyDescent="0.25">
      <c r="A2774" s="2" t="s">
        <v>2776</v>
      </c>
      <c r="B2774" s="3" t="s">
        <v>5015</v>
      </c>
      <c r="C2774" s="3">
        <v>42</v>
      </c>
      <c r="D2774" s="46" t="str">
        <f>IF(Tabla1[[#This Row],[EDAD]]&lt;=35,"Adultos jóvenes 18 - 35 años",IF(C2774&gt;=36,"Adultos mayores 36 años en adelante"))</f>
        <v>Adultos mayores 36 años en adelante</v>
      </c>
      <c r="E2774" s="3" t="s">
        <v>5022</v>
      </c>
      <c r="F2774" s="3" t="s">
        <v>5029</v>
      </c>
      <c r="G2774" s="3" t="s">
        <v>5031</v>
      </c>
      <c r="H2774" s="3" t="s">
        <v>7799</v>
      </c>
      <c r="I2774" s="17">
        <v>45436</v>
      </c>
      <c r="J2774" s="18">
        <f>YEAR(Tabla1[[#This Row],[FECHA DE COMPRA]])</f>
        <v>2024</v>
      </c>
      <c r="K2774" s="19">
        <v>50.29</v>
      </c>
      <c r="L2774" s="20">
        <v>0.1</v>
      </c>
      <c r="M2774" s="19">
        <f>Tienda!$K1248-Tienda!$K1248*Tienda!$L1248</f>
        <v>26.25</v>
      </c>
      <c r="N2774" s="3" t="s">
        <v>10040</v>
      </c>
      <c r="O2774" s="3" t="s">
        <v>10041</v>
      </c>
      <c r="P2774" s="17">
        <v>45436</v>
      </c>
      <c r="Q2774" s="4">
        <v>0</v>
      </c>
    </row>
    <row r="2775" spans="1:17" ht="30" x14ac:dyDescent="0.25">
      <c r="A2775" s="2" t="s">
        <v>949</v>
      </c>
      <c r="B2775" s="3" t="s">
        <v>5016</v>
      </c>
      <c r="C2775" s="3">
        <v>54</v>
      </c>
      <c r="D2775" s="46" t="str">
        <f>IF(Tabla1[[#This Row],[EDAD]]&lt;=35,"Adultos jóvenes 18 - 35 años",IF(C2775&gt;=36,"Adultos mayores 36 años en adelante"))</f>
        <v>Adultos mayores 36 años en adelante</v>
      </c>
      <c r="E2775" s="3" t="s">
        <v>5019</v>
      </c>
      <c r="F2775" s="3" t="s">
        <v>5027</v>
      </c>
      <c r="G2775" s="3" t="s">
        <v>5037</v>
      </c>
      <c r="H2775" s="3" t="s">
        <v>5972</v>
      </c>
      <c r="I2775" s="17">
        <v>45500</v>
      </c>
      <c r="J2775" s="18">
        <f>YEAR(Tabla1[[#This Row],[FECHA DE COMPRA]])</f>
        <v>2024</v>
      </c>
      <c r="K2775" s="19">
        <v>45.49</v>
      </c>
      <c r="L2775" s="20">
        <v>0</v>
      </c>
      <c r="M2775" s="19">
        <f>Tienda!$K1251-Tienda!$K1251*Tienda!$L1251</f>
        <v>27.215999999999998</v>
      </c>
      <c r="N2775" s="3" t="s">
        <v>10040</v>
      </c>
      <c r="O2775" s="3" t="s">
        <v>10041</v>
      </c>
      <c r="P2775" s="17">
        <v>45500</v>
      </c>
      <c r="Q2775" s="4">
        <v>0</v>
      </c>
    </row>
    <row r="2776" spans="1:17" ht="30" x14ac:dyDescent="0.25">
      <c r="A2776" s="2" t="s">
        <v>1203</v>
      </c>
      <c r="B2776" s="3" t="s">
        <v>5015</v>
      </c>
      <c r="C2776" s="3">
        <v>50</v>
      </c>
      <c r="D2776" s="46" t="str">
        <f>IF(Tabla1[[#This Row],[EDAD]]&lt;=35,"Adultos jóvenes 18 - 35 años",IF(C2776&gt;=36,"Adultos mayores 36 años en adelante"))</f>
        <v>Adultos mayores 36 años en adelante</v>
      </c>
      <c r="E2776" s="3" t="s">
        <v>5019</v>
      </c>
      <c r="F2776" s="3" t="s">
        <v>5030</v>
      </c>
      <c r="G2776" s="3" t="s">
        <v>5037</v>
      </c>
      <c r="H2776" s="3" t="s">
        <v>6226</v>
      </c>
      <c r="I2776" s="17">
        <v>45418</v>
      </c>
      <c r="J2776" s="18">
        <f>YEAR(Tabla1[[#This Row],[FECHA DE COMPRA]])</f>
        <v>2024</v>
      </c>
      <c r="K2776" s="19">
        <v>45.57</v>
      </c>
      <c r="L2776" s="20">
        <v>0</v>
      </c>
      <c r="M2776" s="19">
        <f>Tienda!$K1252-Tienda!$K1252*Tienda!$L1252</f>
        <v>27.79</v>
      </c>
      <c r="N2776" s="3" t="s">
        <v>10040</v>
      </c>
      <c r="O2776" s="3" t="s">
        <v>10041</v>
      </c>
      <c r="P2776" s="17">
        <v>45418</v>
      </c>
      <c r="Q2776" s="4">
        <v>0</v>
      </c>
    </row>
    <row r="2777" spans="1:17" ht="30" x14ac:dyDescent="0.25">
      <c r="A2777" s="2" t="s">
        <v>3560</v>
      </c>
      <c r="B2777" s="3" t="s">
        <v>5016</v>
      </c>
      <c r="C2777" s="3">
        <v>53</v>
      </c>
      <c r="D2777" s="46" t="str">
        <f>IF(Tabla1[[#This Row],[EDAD]]&lt;=35,"Adultos jóvenes 18 - 35 años",IF(C2777&gt;=36,"Adultos mayores 36 años en adelante"))</f>
        <v>Adultos mayores 36 años en adelante</v>
      </c>
      <c r="E2777" s="3" t="s">
        <v>5021</v>
      </c>
      <c r="F2777" s="3" t="s">
        <v>5024</v>
      </c>
      <c r="G2777" s="3" t="s">
        <v>5033</v>
      </c>
      <c r="H2777" s="3" t="s">
        <v>8583</v>
      </c>
      <c r="I2777" s="17">
        <v>45624</v>
      </c>
      <c r="J2777" s="18">
        <f>YEAR(Tabla1[[#This Row],[FECHA DE COMPRA]])</f>
        <v>2024</v>
      </c>
      <c r="K2777" s="19">
        <v>51.04</v>
      </c>
      <c r="L2777" s="20">
        <v>0.1</v>
      </c>
      <c r="M2777" s="19">
        <f>Tienda!$K1254-Tienda!$K1254*Tienda!$L1254</f>
        <v>28.58</v>
      </c>
      <c r="N2777" s="3" t="s">
        <v>10040</v>
      </c>
      <c r="O2777" s="3" t="s">
        <v>10041</v>
      </c>
      <c r="P2777" s="17">
        <v>45477</v>
      </c>
      <c r="Q2777" s="4">
        <v>0</v>
      </c>
    </row>
    <row r="2778" spans="1:17" ht="30" x14ac:dyDescent="0.25">
      <c r="A2778" s="2" t="s">
        <v>4966</v>
      </c>
      <c r="B2778" s="3" t="s">
        <v>5015</v>
      </c>
      <c r="C2778" s="3">
        <v>50</v>
      </c>
      <c r="D2778" s="46" t="str">
        <f>IF(Tabla1[[#This Row],[EDAD]]&lt;=35,"Adultos jóvenes 18 - 35 años",IF(C2778&gt;=36,"Adultos mayores 36 años en adelante"))</f>
        <v>Adultos mayores 36 años en adelante</v>
      </c>
      <c r="E2778" s="3" t="s">
        <v>5018</v>
      </c>
      <c r="F2778" s="3" t="s">
        <v>5024</v>
      </c>
      <c r="G2778" s="3" t="s">
        <v>5032</v>
      </c>
      <c r="H2778" s="3" t="s">
        <v>9989</v>
      </c>
      <c r="I2778" s="17">
        <v>45619</v>
      </c>
      <c r="J2778" s="18">
        <f>YEAR(Tabla1[[#This Row],[FECHA DE COMPRA]])</f>
        <v>2024</v>
      </c>
      <c r="K2778" s="19">
        <v>66.81</v>
      </c>
      <c r="L2778" s="20">
        <v>0.3</v>
      </c>
      <c r="M2778" s="19">
        <f>Tienda!$K1258-Tienda!$K1258*Tienda!$L1258</f>
        <v>29.560000000000002</v>
      </c>
      <c r="N2778" s="3" t="s">
        <v>10040</v>
      </c>
      <c r="O2778" s="3" t="s">
        <v>10041</v>
      </c>
      <c r="P2778" s="17">
        <v>45619</v>
      </c>
      <c r="Q2778" s="4">
        <v>0</v>
      </c>
    </row>
    <row r="2779" spans="1:17" ht="30" x14ac:dyDescent="0.25">
      <c r="A2779" s="2" t="s">
        <v>4673</v>
      </c>
      <c r="B2779" s="3" t="s">
        <v>5015</v>
      </c>
      <c r="C2779" s="3">
        <v>65</v>
      </c>
      <c r="D2779" s="46" t="str">
        <f>IF(Tabla1[[#This Row],[EDAD]]&lt;=35,"Adultos jóvenes 18 - 35 años",IF(C2779&gt;=36,"Adultos mayores 36 años en adelante"))</f>
        <v>Adultos mayores 36 años en adelante</v>
      </c>
      <c r="E2779" s="3" t="s">
        <v>5022</v>
      </c>
      <c r="F2779" s="3" t="s">
        <v>5028</v>
      </c>
      <c r="G2779" s="3" t="s">
        <v>5034</v>
      </c>
      <c r="H2779" s="3" t="s">
        <v>9696</v>
      </c>
      <c r="I2779" s="17">
        <v>45362</v>
      </c>
      <c r="J2779" s="18">
        <f>YEAR(Tabla1[[#This Row],[FECHA DE COMPRA]])</f>
        <v>2024</v>
      </c>
      <c r="K2779" s="19">
        <v>52.31</v>
      </c>
      <c r="L2779" s="20">
        <v>0.1</v>
      </c>
      <c r="M2779" s="19">
        <f>Tienda!$K1261-Tienda!$K1261*Tienda!$L1261</f>
        <v>30.204999999999998</v>
      </c>
      <c r="N2779" s="3" t="s">
        <v>10040</v>
      </c>
      <c r="O2779" s="3" t="s">
        <v>10041</v>
      </c>
      <c r="P2779" s="17">
        <v>45362</v>
      </c>
      <c r="Q2779" s="4">
        <v>0</v>
      </c>
    </row>
    <row r="2780" spans="1:17" ht="30" x14ac:dyDescent="0.25">
      <c r="A2780" s="2" t="s">
        <v>3676</v>
      </c>
      <c r="B2780" s="3" t="s">
        <v>5015</v>
      </c>
      <c r="C2780" s="3">
        <v>56</v>
      </c>
      <c r="D2780" s="46" t="str">
        <f>IF(Tabla1[[#This Row],[EDAD]]&lt;=35,"Adultos jóvenes 18 - 35 años",IF(C2780&gt;=36,"Adultos mayores 36 años en adelante"))</f>
        <v>Adultos mayores 36 años en adelante</v>
      </c>
      <c r="E2780" s="3" t="s">
        <v>5018</v>
      </c>
      <c r="F2780" s="3" t="s">
        <v>5027</v>
      </c>
      <c r="G2780" s="3" t="s">
        <v>5031</v>
      </c>
      <c r="H2780" s="3" t="s">
        <v>8699</v>
      </c>
      <c r="I2780" s="17">
        <v>45541</v>
      </c>
      <c r="J2780" s="18">
        <f>YEAR(Tabla1[[#This Row],[FECHA DE COMPRA]])</f>
        <v>2024</v>
      </c>
      <c r="K2780" s="19">
        <v>52.66</v>
      </c>
      <c r="L2780" s="20">
        <v>0.1</v>
      </c>
      <c r="M2780" s="19">
        <f>Tienda!$K1265-Tienda!$K1265*Tienda!$L1265</f>
        <v>32.840000000000003</v>
      </c>
      <c r="N2780" s="3" t="s">
        <v>10040</v>
      </c>
      <c r="O2780" s="3" t="s">
        <v>10041</v>
      </c>
      <c r="P2780" s="17">
        <v>45541</v>
      </c>
      <c r="Q2780" s="4">
        <v>0</v>
      </c>
    </row>
    <row r="2781" spans="1:17" ht="30" x14ac:dyDescent="0.25">
      <c r="A2781" s="2" t="s">
        <v>1343</v>
      </c>
      <c r="B2781" s="3" t="s">
        <v>5016</v>
      </c>
      <c r="C2781" s="3">
        <v>47</v>
      </c>
      <c r="D2781" s="46" t="str">
        <f>IF(Tabla1[[#This Row],[EDAD]]&lt;=35,"Adultos jóvenes 18 - 35 años",IF(C2781&gt;=36,"Adultos mayores 36 años en adelante"))</f>
        <v>Adultos mayores 36 años en adelante</v>
      </c>
      <c r="E2781" s="3" t="s">
        <v>5021</v>
      </c>
      <c r="F2781" s="3" t="s">
        <v>5026</v>
      </c>
      <c r="G2781" s="3" t="s">
        <v>5037</v>
      </c>
      <c r="H2781" s="3" t="s">
        <v>6366</v>
      </c>
      <c r="I2781" s="17">
        <v>45626</v>
      </c>
      <c r="J2781" s="18">
        <f>YEAR(Tabla1[[#This Row],[FECHA DE COMPRA]])</f>
        <v>2024</v>
      </c>
      <c r="K2781" s="19">
        <v>47.49</v>
      </c>
      <c r="L2781" s="20">
        <v>0</v>
      </c>
      <c r="M2781" s="19">
        <f>Tienda!$K1267-Tienda!$K1267*Tienda!$L1267</f>
        <v>33.152000000000001</v>
      </c>
      <c r="N2781" s="3" t="s">
        <v>10040</v>
      </c>
      <c r="O2781" s="3" t="s">
        <v>10041</v>
      </c>
      <c r="P2781" s="17">
        <v>45626</v>
      </c>
      <c r="Q2781" s="4">
        <v>0</v>
      </c>
    </row>
    <row r="2782" spans="1:17" ht="30" x14ac:dyDescent="0.25">
      <c r="A2782" s="2" t="s">
        <v>4118</v>
      </c>
      <c r="B2782" s="3" t="s">
        <v>5016</v>
      </c>
      <c r="C2782" s="3">
        <v>52</v>
      </c>
      <c r="D2782" s="46" t="str">
        <f>IF(Tabla1[[#This Row],[EDAD]]&lt;=35,"Adultos jóvenes 18 - 35 años",IF(C2782&gt;=36,"Adultos mayores 36 años en adelante"))</f>
        <v>Adultos mayores 36 años en adelante</v>
      </c>
      <c r="E2782" s="3" t="s">
        <v>5019</v>
      </c>
      <c r="F2782" s="3" t="s">
        <v>5029</v>
      </c>
      <c r="G2782" s="3" t="s">
        <v>5037</v>
      </c>
      <c r="H2782" s="3" t="s">
        <v>9141</v>
      </c>
      <c r="I2782" s="17">
        <v>45586</v>
      </c>
      <c r="J2782" s="18">
        <f>YEAR(Tabla1[[#This Row],[FECHA DE COMPRA]])</f>
        <v>2024</v>
      </c>
      <c r="K2782" s="19">
        <v>48.46</v>
      </c>
      <c r="L2782" s="20">
        <v>0</v>
      </c>
      <c r="M2782" s="19">
        <f>Tienda!$K1270-Tienda!$K1270*Tienda!$L1270</f>
        <v>33.963999999999999</v>
      </c>
      <c r="N2782" s="3" t="s">
        <v>10040</v>
      </c>
      <c r="O2782" s="3" t="s">
        <v>10041</v>
      </c>
      <c r="P2782" s="17">
        <v>45586</v>
      </c>
      <c r="Q2782" s="4">
        <v>0</v>
      </c>
    </row>
    <row r="2783" spans="1:17" ht="30" x14ac:dyDescent="0.25">
      <c r="A2783" s="2" t="s">
        <v>87</v>
      </c>
      <c r="B2783" s="3" t="s">
        <v>5015</v>
      </c>
      <c r="C2783" s="3">
        <v>45</v>
      </c>
      <c r="D2783" s="46" t="str">
        <f>IF(Tabla1[[#This Row],[EDAD]]&lt;=35,"Adultos jóvenes 18 - 35 años",IF(C2783&gt;=36,"Adultos mayores 36 años en adelante"))</f>
        <v>Adultos mayores 36 años en adelante</v>
      </c>
      <c r="E2783" s="3" t="s">
        <v>5018</v>
      </c>
      <c r="F2783" s="3" t="s">
        <v>5028</v>
      </c>
      <c r="G2783" s="3" t="s">
        <v>5036</v>
      </c>
      <c r="H2783" s="3" t="s">
        <v>5110</v>
      </c>
      <c r="I2783" s="17">
        <v>45638</v>
      </c>
      <c r="J2783" s="18">
        <f>YEAR(Tabla1[[#This Row],[FECHA DE COMPRA]])</f>
        <v>2024</v>
      </c>
      <c r="K2783" s="19">
        <v>49.36</v>
      </c>
      <c r="L2783" s="20">
        <v>0</v>
      </c>
      <c r="M2783" s="19">
        <f>Tienda!$K1272-Tienda!$K1272*Tienda!$L1272</f>
        <v>34.298999999999999</v>
      </c>
      <c r="N2783" s="3" t="s">
        <v>10040</v>
      </c>
      <c r="O2783" s="3" t="s">
        <v>10041</v>
      </c>
      <c r="P2783" s="17">
        <v>45638</v>
      </c>
      <c r="Q2783" s="4">
        <v>0</v>
      </c>
    </row>
    <row r="2784" spans="1:17" ht="30" x14ac:dyDescent="0.25">
      <c r="A2784" s="2" t="s">
        <v>400</v>
      </c>
      <c r="B2784" s="3" t="s">
        <v>5015</v>
      </c>
      <c r="C2784" s="3">
        <v>52</v>
      </c>
      <c r="D2784" s="46" t="str">
        <f>IF(Tabla1[[#This Row],[EDAD]]&lt;=35,"Adultos jóvenes 18 - 35 años",IF(C2784&gt;=36,"Adultos mayores 36 años en adelante"))</f>
        <v>Adultos mayores 36 años en adelante</v>
      </c>
      <c r="E2784" s="3" t="s">
        <v>5020</v>
      </c>
      <c r="F2784" s="3" t="s">
        <v>5026</v>
      </c>
      <c r="G2784" s="3" t="s">
        <v>5033</v>
      </c>
      <c r="H2784" s="3" t="s">
        <v>5423</v>
      </c>
      <c r="I2784" s="17">
        <v>45525</v>
      </c>
      <c r="J2784" s="18">
        <f>YEAR(Tabla1[[#This Row],[FECHA DE COMPRA]])</f>
        <v>2024</v>
      </c>
      <c r="K2784" s="19">
        <v>63.67</v>
      </c>
      <c r="L2784" s="20">
        <v>0.2</v>
      </c>
      <c r="M2784" s="19">
        <f>Tienda!$K1275-Tienda!$K1275*Tienda!$L1275</f>
        <v>35.36</v>
      </c>
      <c r="N2784" s="3" t="s">
        <v>10040</v>
      </c>
      <c r="O2784" s="3" t="s">
        <v>10041</v>
      </c>
      <c r="P2784" s="17">
        <v>45525</v>
      </c>
      <c r="Q2784" s="4">
        <v>0</v>
      </c>
    </row>
    <row r="2785" spans="1:17" ht="30" x14ac:dyDescent="0.25">
      <c r="A2785" s="2" t="s">
        <v>1843</v>
      </c>
      <c r="B2785" s="3" t="s">
        <v>5016</v>
      </c>
      <c r="C2785" s="3">
        <v>57</v>
      </c>
      <c r="D2785" s="46" t="str">
        <f>IF(Tabla1[[#This Row],[EDAD]]&lt;=35,"Adultos jóvenes 18 - 35 años",IF(C2785&gt;=36,"Adultos mayores 36 años en adelante"))</f>
        <v>Adultos mayores 36 años en adelante</v>
      </c>
      <c r="E2785" s="3" t="s">
        <v>5023</v>
      </c>
      <c r="F2785" s="3" t="s">
        <v>5029</v>
      </c>
      <c r="G2785" s="3" t="s">
        <v>5036</v>
      </c>
      <c r="H2785" s="3" t="s">
        <v>6866</v>
      </c>
      <c r="I2785" s="17">
        <v>45403</v>
      </c>
      <c r="J2785" s="18">
        <f>YEAR(Tabla1[[#This Row],[FECHA DE COMPRA]])</f>
        <v>2024</v>
      </c>
      <c r="K2785" s="19">
        <v>50.94</v>
      </c>
      <c r="L2785" s="20">
        <v>0</v>
      </c>
      <c r="M2785" s="19">
        <f>Tienda!$K1276-Tienda!$K1276*Tienda!$L1276</f>
        <v>38.843999999999994</v>
      </c>
      <c r="N2785" s="3" t="s">
        <v>10040</v>
      </c>
      <c r="O2785" s="3" t="s">
        <v>10041</v>
      </c>
      <c r="P2785" s="17">
        <v>45403</v>
      </c>
      <c r="Q2785" s="4">
        <v>0</v>
      </c>
    </row>
    <row r="2786" spans="1:17" ht="30" x14ac:dyDescent="0.25">
      <c r="A2786" s="2" t="s">
        <v>816</v>
      </c>
      <c r="B2786" s="3" t="s">
        <v>5015</v>
      </c>
      <c r="C2786" s="3">
        <v>37</v>
      </c>
      <c r="D2786" s="46" t="str">
        <f>IF(Tabla1[[#This Row],[EDAD]]&lt;=35,"Adultos jóvenes 18 - 35 años",IF(C2786&gt;=36,"Adultos mayores 36 años en adelante"))</f>
        <v>Adultos mayores 36 años en adelante</v>
      </c>
      <c r="E2786" s="3" t="s">
        <v>5018</v>
      </c>
      <c r="F2786" s="3" t="s">
        <v>5026</v>
      </c>
      <c r="G2786" s="3" t="s">
        <v>5037</v>
      </c>
      <c r="H2786" s="3" t="s">
        <v>5839</v>
      </c>
      <c r="I2786" s="17">
        <v>45567</v>
      </c>
      <c r="J2786" s="18">
        <f>YEAR(Tabla1[[#This Row],[FECHA DE COMPRA]])</f>
        <v>2024</v>
      </c>
      <c r="K2786" s="19">
        <v>57.01</v>
      </c>
      <c r="L2786" s="20">
        <v>0.1</v>
      </c>
      <c r="M2786" s="19">
        <f>Tienda!$K1279-Tienda!$K1279*Tienda!$L1279</f>
        <v>42.518000000000001</v>
      </c>
      <c r="N2786" s="3" t="s">
        <v>10040</v>
      </c>
      <c r="O2786" s="3" t="s">
        <v>10041</v>
      </c>
      <c r="P2786" s="17">
        <v>45567</v>
      </c>
      <c r="Q2786" s="4">
        <v>0</v>
      </c>
    </row>
    <row r="2787" spans="1:17" ht="30" x14ac:dyDescent="0.25">
      <c r="A2787" s="2" t="s">
        <v>2429</v>
      </c>
      <c r="B2787" s="3" t="s">
        <v>5015</v>
      </c>
      <c r="C2787" s="3">
        <v>44</v>
      </c>
      <c r="D2787" s="46" t="str">
        <f>IF(Tabla1[[#This Row],[EDAD]]&lt;=35,"Adultos jóvenes 18 - 35 años",IF(C2787&gt;=36,"Adultos mayores 36 años en adelante"))</f>
        <v>Adultos mayores 36 años en adelante</v>
      </c>
      <c r="E2787" s="3" t="s">
        <v>5022</v>
      </c>
      <c r="F2787" s="3" t="s">
        <v>5026</v>
      </c>
      <c r="G2787" s="3" t="s">
        <v>5036</v>
      </c>
      <c r="H2787" s="3" t="s">
        <v>7452</v>
      </c>
      <c r="I2787" s="17">
        <v>45641</v>
      </c>
      <c r="J2787" s="18">
        <f>YEAR(Tabla1[[#This Row],[FECHA DE COMPRA]])</f>
        <v>2024</v>
      </c>
      <c r="K2787" s="19">
        <v>64.180000000000007</v>
      </c>
      <c r="L2787" s="20">
        <v>0.2</v>
      </c>
      <c r="M2787" s="19">
        <f>Tienda!$K1280-Tienda!$K1280*Tienda!$L1280</f>
        <v>43.393000000000001</v>
      </c>
      <c r="N2787" s="3" t="s">
        <v>10040</v>
      </c>
      <c r="O2787" s="3" t="s">
        <v>10041</v>
      </c>
      <c r="P2787" s="17">
        <v>45641</v>
      </c>
      <c r="Q2787" s="4">
        <v>0</v>
      </c>
    </row>
    <row r="2788" spans="1:17" ht="30" x14ac:dyDescent="0.25">
      <c r="A2788" s="2" t="s">
        <v>3370</v>
      </c>
      <c r="B2788" s="3" t="s">
        <v>5015</v>
      </c>
      <c r="C2788" s="3">
        <v>64</v>
      </c>
      <c r="D2788" s="46" t="str">
        <f>IF(Tabla1[[#This Row],[EDAD]]&lt;=35,"Adultos jóvenes 18 - 35 años",IF(C2788&gt;=36,"Adultos mayores 36 años en adelante"))</f>
        <v>Adultos mayores 36 años en adelante</v>
      </c>
      <c r="E2788" s="3" t="s">
        <v>5021</v>
      </c>
      <c r="F2788" s="3" t="s">
        <v>5029</v>
      </c>
      <c r="G2788" s="3" t="s">
        <v>5036</v>
      </c>
      <c r="H2788" s="3" t="s">
        <v>8393</v>
      </c>
      <c r="I2788" s="17">
        <v>45413</v>
      </c>
      <c r="J2788" s="18">
        <f>YEAR(Tabla1[[#This Row],[FECHA DE COMPRA]])</f>
        <v>2024</v>
      </c>
      <c r="K2788" s="19">
        <v>58.46</v>
      </c>
      <c r="L2788" s="20">
        <v>0.1</v>
      </c>
      <c r="M2788" s="19">
        <f>Tienda!$K1285-Tienda!$K1285*Tienda!$L1285</f>
        <v>47.655999999999999</v>
      </c>
      <c r="N2788" s="3" t="s">
        <v>10040</v>
      </c>
      <c r="O2788" s="3" t="s">
        <v>10041</v>
      </c>
      <c r="P2788" s="17">
        <v>45413</v>
      </c>
      <c r="Q2788" s="4">
        <v>0</v>
      </c>
    </row>
    <row r="2789" spans="1:17" ht="30" x14ac:dyDescent="0.25">
      <c r="A2789" s="2" t="s">
        <v>2340</v>
      </c>
      <c r="B2789" s="3" t="s">
        <v>5015</v>
      </c>
      <c r="C2789" s="3">
        <v>49</v>
      </c>
      <c r="D2789" s="46" t="str">
        <f>IF(Tabla1[[#This Row],[EDAD]]&lt;=35,"Adultos jóvenes 18 - 35 años",IF(C2789&gt;=36,"Adultos mayores 36 años en adelante"))</f>
        <v>Adultos mayores 36 años en adelante</v>
      </c>
      <c r="E2789" s="3" t="s">
        <v>5018</v>
      </c>
      <c r="F2789" s="3" t="s">
        <v>5026</v>
      </c>
      <c r="G2789" s="3" t="s">
        <v>5031</v>
      </c>
      <c r="H2789" s="3" t="s">
        <v>7363</v>
      </c>
      <c r="I2789" s="17">
        <v>45507</v>
      </c>
      <c r="J2789" s="18">
        <f>YEAR(Tabla1[[#This Row],[FECHA DE COMPRA]])</f>
        <v>2024</v>
      </c>
      <c r="K2789" s="19">
        <v>65.88</v>
      </c>
      <c r="L2789" s="20">
        <v>0.2</v>
      </c>
      <c r="M2789" s="19">
        <f>Tienda!$K1286-Tienda!$K1286*Tienda!$L1286</f>
        <v>50.13</v>
      </c>
      <c r="N2789" s="3" t="s">
        <v>10040</v>
      </c>
      <c r="O2789" s="3" t="s">
        <v>10041</v>
      </c>
      <c r="P2789" s="17">
        <v>45507</v>
      </c>
      <c r="Q2789" s="4">
        <v>0</v>
      </c>
    </row>
    <row r="2790" spans="1:17" ht="30" x14ac:dyDescent="0.25">
      <c r="A2790" s="2" t="s">
        <v>1230</v>
      </c>
      <c r="B2790" s="3" t="s">
        <v>5015</v>
      </c>
      <c r="C2790" s="3">
        <v>61</v>
      </c>
      <c r="D2790" s="46" t="str">
        <f>IF(Tabla1[[#This Row],[EDAD]]&lt;=35,"Adultos jóvenes 18 - 35 años",IF(C2790&gt;=36,"Adultos mayores 36 años en adelante"))</f>
        <v>Adultos mayores 36 años en adelante</v>
      </c>
      <c r="E2790" s="3" t="s">
        <v>5020</v>
      </c>
      <c r="F2790" s="3" t="s">
        <v>5027</v>
      </c>
      <c r="G2790" s="3" t="s">
        <v>5037</v>
      </c>
      <c r="H2790" s="3" t="s">
        <v>6253</v>
      </c>
      <c r="I2790" s="17">
        <v>45637</v>
      </c>
      <c r="J2790" s="18">
        <f>YEAR(Tabla1[[#This Row],[FECHA DE COMPRA]])</f>
        <v>2024</v>
      </c>
      <c r="K2790" s="19">
        <v>76.55</v>
      </c>
      <c r="L2790" s="20">
        <v>0.3</v>
      </c>
      <c r="M2790" s="19">
        <f>Tienda!$K1291-Tienda!$K1291*Tienda!$L1291</f>
        <v>56.238</v>
      </c>
      <c r="N2790" s="3" t="s">
        <v>10040</v>
      </c>
      <c r="O2790" s="3" t="s">
        <v>10041</v>
      </c>
      <c r="P2790" s="17">
        <v>45637</v>
      </c>
      <c r="Q2790" s="4">
        <v>0</v>
      </c>
    </row>
    <row r="2791" spans="1:17" ht="30" x14ac:dyDescent="0.25">
      <c r="A2791" s="2" t="s">
        <v>700</v>
      </c>
      <c r="B2791" s="3" t="s">
        <v>5015</v>
      </c>
      <c r="C2791" s="3">
        <v>62</v>
      </c>
      <c r="D2791" s="46" t="str">
        <f>IF(Tabla1[[#This Row],[EDAD]]&lt;=35,"Adultos jóvenes 18 - 35 años",IF(C2791&gt;=36,"Adultos mayores 36 años en adelante"))</f>
        <v>Adultos mayores 36 años en adelante</v>
      </c>
      <c r="E2791" s="3" t="s">
        <v>5022</v>
      </c>
      <c r="F2791" s="3" t="s">
        <v>5028</v>
      </c>
      <c r="G2791" s="3" t="s">
        <v>5034</v>
      </c>
      <c r="H2791" s="3" t="s">
        <v>5723</v>
      </c>
      <c r="I2791" s="17">
        <v>45641</v>
      </c>
      <c r="J2791" s="18">
        <f>YEAR(Tabla1[[#This Row],[FECHA DE COMPRA]])</f>
        <v>2024</v>
      </c>
      <c r="K2791" s="19">
        <v>67.67</v>
      </c>
      <c r="L2791" s="20">
        <v>0.2</v>
      </c>
      <c r="M2791" s="19">
        <f>Tienda!$K1294-Tienda!$K1294*Tienda!$L1294</f>
        <v>59.896000000000001</v>
      </c>
      <c r="N2791" s="3" t="s">
        <v>10040</v>
      </c>
      <c r="O2791" s="3" t="s">
        <v>10041</v>
      </c>
      <c r="P2791" s="17">
        <v>45641</v>
      </c>
      <c r="Q2791" s="4">
        <v>0</v>
      </c>
    </row>
    <row r="2792" spans="1:17" ht="30" x14ac:dyDescent="0.25">
      <c r="A2792" s="2" t="s">
        <v>1080</v>
      </c>
      <c r="B2792" s="3" t="s">
        <v>5015</v>
      </c>
      <c r="C2792" s="3">
        <v>49</v>
      </c>
      <c r="D2792" s="46" t="str">
        <f>IF(Tabla1[[#This Row],[EDAD]]&lt;=35,"Adultos jóvenes 18 - 35 años",IF(C2792&gt;=36,"Adultos mayores 36 años en adelante"))</f>
        <v>Adultos mayores 36 años en adelante</v>
      </c>
      <c r="E2792" s="3" t="s">
        <v>5018</v>
      </c>
      <c r="F2792" s="3" t="s">
        <v>5027</v>
      </c>
      <c r="G2792" s="3" t="s">
        <v>5033</v>
      </c>
      <c r="H2792" s="3" t="s">
        <v>6103</v>
      </c>
      <c r="I2792" s="17">
        <v>45624</v>
      </c>
      <c r="J2792" s="18">
        <f>YEAR(Tabla1[[#This Row],[FECHA DE COMPRA]])</f>
        <v>2024</v>
      </c>
      <c r="K2792" s="19">
        <v>54.31</v>
      </c>
      <c r="L2792" s="20">
        <v>0</v>
      </c>
      <c r="M2792" s="19">
        <f>Tienda!$K1295-Tienda!$K1295*Tienda!$L1295</f>
        <v>61.578000000000003</v>
      </c>
      <c r="N2792" s="3" t="s">
        <v>10040</v>
      </c>
      <c r="O2792" s="3" t="s">
        <v>10041</v>
      </c>
      <c r="P2792" s="17">
        <v>45485</v>
      </c>
      <c r="Q2792" s="4">
        <v>0</v>
      </c>
    </row>
    <row r="2793" spans="1:17" ht="30" x14ac:dyDescent="0.25">
      <c r="A2793" s="2" t="s">
        <v>1425</v>
      </c>
      <c r="B2793" s="3" t="s">
        <v>5016</v>
      </c>
      <c r="C2793" s="3">
        <v>65</v>
      </c>
      <c r="D2793" s="46" t="str">
        <f>IF(Tabla1[[#This Row],[EDAD]]&lt;=35,"Adultos jóvenes 18 - 35 años",IF(C2793&gt;=36,"Adultos mayores 36 años en adelante"))</f>
        <v>Adultos mayores 36 años en adelante</v>
      </c>
      <c r="E2793" s="3" t="s">
        <v>5021</v>
      </c>
      <c r="F2793" s="3" t="s">
        <v>5029</v>
      </c>
      <c r="G2793" s="3" t="s">
        <v>5034</v>
      </c>
      <c r="H2793" s="3" t="s">
        <v>6448</v>
      </c>
      <c r="I2793" s="17">
        <v>45380</v>
      </c>
      <c r="J2793" s="18">
        <f>YEAR(Tabla1[[#This Row],[FECHA DE COMPRA]])</f>
        <v>2024</v>
      </c>
      <c r="K2793" s="19">
        <v>61.31</v>
      </c>
      <c r="L2793" s="20">
        <v>0.1</v>
      </c>
      <c r="M2793" s="19">
        <f>Tienda!$K1299-Tienda!$K1299*Tienda!$L1299</f>
        <v>67.527999999999992</v>
      </c>
      <c r="N2793" s="3" t="s">
        <v>10040</v>
      </c>
      <c r="O2793" s="3" t="s">
        <v>10041</v>
      </c>
      <c r="P2793" s="17">
        <v>45380</v>
      </c>
      <c r="Q2793" s="4">
        <v>0</v>
      </c>
    </row>
    <row r="2794" spans="1:17" ht="30" x14ac:dyDescent="0.25">
      <c r="A2794" s="2" t="s">
        <v>2066</v>
      </c>
      <c r="B2794" s="3" t="s">
        <v>5015</v>
      </c>
      <c r="C2794" s="3">
        <v>65</v>
      </c>
      <c r="D2794" s="46" t="str">
        <f>IF(Tabla1[[#This Row],[EDAD]]&lt;=35,"Adultos jóvenes 18 - 35 años",IF(C2794&gt;=36,"Adultos mayores 36 años en adelante"))</f>
        <v>Adultos mayores 36 años en adelante</v>
      </c>
      <c r="E2794" s="3" t="s">
        <v>5019</v>
      </c>
      <c r="F2794" s="3" t="s">
        <v>5027</v>
      </c>
      <c r="G2794" s="3" t="s">
        <v>5036</v>
      </c>
      <c r="H2794" s="3" t="s">
        <v>7089</v>
      </c>
      <c r="I2794" s="17">
        <v>45522</v>
      </c>
      <c r="J2794" s="18">
        <f>YEAR(Tabla1[[#This Row],[FECHA DE COMPRA]])</f>
        <v>2024</v>
      </c>
      <c r="K2794" s="19">
        <v>69.17</v>
      </c>
      <c r="L2794" s="20">
        <v>0.2</v>
      </c>
      <c r="M2794" s="19">
        <f>Tienda!$K1300-Tienda!$K1300*Tienda!$L1300</f>
        <v>67.724999999999994</v>
      </c>
      <c r="N2794" s="3" t="s">
        <v>10040</v>
      </c>
      <c r="O2794" s="3" t="s">
        <v>10041</v>
      </c>
      <c r="P2794" s="17">
        <v>45522</v>
      </c>
      <c r="Q2794" s="4">
        <v>0</v>
      </c>
    </row>
    <row r="2795" spans="1:17" ht="30" x14ac:dyDescent="0.25">
      <c r="A2795" s="2" t="s">
        <v>226</v>
      </c>
      <c r="B2795" s="3" t="s">
        <v>5015</v>
      </c>
      <c r="C2795" s="3">
        <v>51</v>
      </c>
      <c r="D2795" s="46" t="str">
        <f>IF(Tabla1[[#This Row],[EDAD]]&lt;=35,"Adultos jóvenes 18 - 35 años",IF(C2795&gt;=36,"Adultos mayores 36 años en adelante"))</f>
        <v>Adultos mayores 36 años en adelante</v>
      </c>
      <c r="E2795" s="3" t="s">
        <v>5019</v>
      </c>
      <c r="F2795" s="3" t="s">
        <v>5027</v>
      </c>
      <c r="G2795" s="3" t="s">
        <v>5035</v>
      </c>
      <c r="H2795" s="3" t="s">
        <v>5249</v>
      </c>
      <c r="I2795" s="17">
        <v>45580</v>
      </c>
      <c r="J2795" s="18">
        <f>YEAR(Tabla1[[#This Row],[FECHA DE COMPRA]])</f>
        <v>2024</v>
      </c>
      <c r="K2795" s="19">
        <v>79.25</v>
      </c>
      <c r="L2795" s="20">
        <v>0.3</v>
      </c>
      <c r="M2795" s="19">
        <f>Tienda!$K1301-Tienda!$K1301*Tienda!$L1301</f>
        <v>69.957999999999998</v>
      </c>
      <c r="N2795" s="3" t="s">
        <v>10040</v>
      </c>
      <c r="O2795" s="3" t="s">
        <v>10041</v>
      </c>
      <c r="P2795" s="17">
        <v>45580</v>
      </c>
      <c r="Q2795" s="4">
        <v>0</v>
      </c>
    </row>
    <row r="2796" spans="1:17" ht="30" x14ac:dyDescent="0.25">
      <c r="A2796" s="2" t="s">
        <v>2286</v>
      </c>
      <c r="B2796" s="3" t="s">
        <v>5015</v>
      </c>
      <c r="C2796" s="3">
        <v>50</v>
      </c>
      <c r="D2796" s="46" t="str">
        <f>IF(Tabla1[[#This Row],[EDAD]]&lt;=35,"Adultos jóvenes 18 - 35 años",IF(C2796&gt;=36,"Adultos mayores 36 años en adelante"))</f>
        <v>Adultos mayores 36 años en adelante</v>
      </c>
      <c r="E2796" s="3" t="s">
        <v>5021</v>
      </c>
      <c r="F2796" s="3" t="s">
        <v>5028</v>
      </c>
      <c r="G2796" s="3" t="s">
        <v>5033</v>
      </c>
      <c r="H2796" s="3" t="s">
        <v>7309</v>
      </c>
      <c r="I2796" s="17">
        <v>45646</v>
      </c>
      <c r="J2796" s="18">
        <f>YEAR(Tabla1[[#This Row],[FECHA DE COMPRA]])</f>
        <v>2024</v>
      </c>
      <c r="K2796" s="19">
        <v>69.41</v>
      </c>
      <c r="L2796" s="20">
        <v>0.2</v>
      </c>
      <c r="M2796" s="19">
        <f>Tienda!$K1302-Tienda!$K1302*Tienda!$L1302</f>
        <v>70.356999999999999</v>
      </c>
      <c r="N2796" s="3" t="s">
        <v>10040</v>
      </c>
      <c r="O2796" s="3" t="s">
        <v>10041</v>
      </c>
      <c r="P2796" s="17">
        <v>45646</v>
      </c>
      <c r="Q2796" s="4">
        <v>0</v>
      </c>
    </row>
    <row r="2797" spans="1:17" ht="30" x14ac:dyDescent="0.25">
      <c r="A2797" s="2" t="s">
        <v>3441</v>
      </c>
      <c r="B2797" s="3" t="s">
        <v>5015</v>
      </c>
      <c r="C2797" s="3">
        <v>36</v>
      </c>
      <c r="D2797" s="46" t="str">
        <f>IF(Tabla1[[#This Row],[EDAD]]&lt;=35,"Adultos jóvenes 18 - 35 años",IF(C2797&gt;=36,"Adultos mayores 36 años en adelante"))</f>
        <v>Adultos mayores 36 años en adelante</v>
      </c>
      <c r="E2797" s="3" t="s">
        <v>5017</v>
      </c>
      <c r="F2797" s="3" t="s">
        <v>5026</v>
      </c>
      <c r="G2797" s="3" t="s">
        <v>5035</v>
      </c>
      <c r="H2797" s="3" t="s">
        <v>8464</v>
      </c>
      <c r="I2797" s="17">
        <v>45431</v>
      </c>
      <c r="J2797" s="18">
        <f>YEAR(Tabla1[[#This Row],[FECHA DE COMPRA]])</f>
        <v>2024</v>
      </c>
      <c r="K2797" s="19">
        <v>69.489999999999995</v>
      </c>
      <c r="L2797" s="20">
        <v>0.2</v>
      </c>
      <c r="M2797" s="19">
        <f>Tienda!$K1303-Tienda!$K1303*Tienda!$L1303</f>
        <v>70.896000000000001</v>
      </c>
      <c r="N2797" s="3" t="s">
        <v>10040</v>
      </c>
      <c r="O2797" s="3" t="s">
        <v>10041</v>
      </c>
      <c r="P2797" s="17">
        <v>45431</v>
      </c>
      <c r="Q2797" s="4">
        <v>0</v>
      </c>
    </row>
    <row r="2798" spans="1:17" ht="30" x14ac:dyDescent="0.25">
      <c r="A2798" s="2" t="s">
        <v>3745</v>
      </c>
      <c r="B2798" s="3" t="s">
        <v>5015</v>
      </c>
      <c r="C2798" s="3">
        <v>60</v>
      </c>
      <c r="D2798" s="46" t="str">
        <f>IF(Tabla1[[#This Row],[EDAD]]&lt;=35,"Adultos jóvenes 18 - 35 años",IF(C2798&gt;=36,"Adultos mayores 36 años en adelante"))</f>
        <v>Adultos mayores 36 años en adelante</v>
      </c>
      <c r="E2798" s="3" t="s">
        <v>5018</v>
      </c>
      <c r="F2798" s="3" t="s">
        <v>5028</v>
      </c>
      <c r="G2798" s="3" t="s">
        <v>5031</v>
      </c>
      <c r="H2798" s="3" t="s">
        <v>8768</v>
      </c>
      <c r="I2798" s="17">
        <v>45637</v>
      </c>
      <c r="J2798" s="18">
        <f>YEAR(Tabla1[[#This Row],[FECHA DE COMPRA]])</f>
        <v>2024</v>
      </c>
      <c r="K2798" s="19">
        <v>62.59</v>
      </c>
      <c r="L2798" s="20">
        <v>0.1</v>
      </c>
      <c r="M2798" s="19">
        <f>Tienda!$K1309-Tienda!$K1309*Tienda!$L1309</f>
        <v>78.938999999999993</v>
      </c>
      <c r="N2798" s="3" t="s">
        <v>10040</v>
      </c>
      <c r="O2798" s="3" t="s">
        <v>10041</v>
      </c>
      <c r="P2798" s="17">
        <v>45637</v>
      </c>
      <c r="Q2798" s="4">
        <v>0</v>
      </c>
    </row>
    <row r="2799" spans="1:17" ht="30" x14ac:dyDescent="0.25">
      <c r="A2799" s="2" t="s">
        <v>1860</v>
      </c>
      <c r="B2799" s="3" t="s">
        <v>5015</v>
      </c>
      <c r="C2799" s="3">
        <v>51</v>
      </c>
      <c r="D2799" s="46" t="str">
        <f>IF(Tabla1[[#This Row],[EDAD]]&lt;=35,"Adultos jóvenes 18 - 35 años",IF(C2799&gt;=36,"Adultos mayores 36 años en adelante"))</f>
        <v>Adultos mayores 36 años en adelante</v>
      </c>
      <c r="E2799" s="3" t="s">
        <v>5022</v>
      </c>
      <c r="F2799" s="3" t="s">
        <v>5028</v>
      </c>
      <c r="G2799" s="3" t="s">
        <v>5037</v>
      </c>
      <c r="H2799" s="3" t="s">
        <v>6883</v>
      </c>
      <c r="I2799" s="17">
        <v>45341</v>
      </c>
      <c r="J2799" s="18">
        <f>YEAR(Tabla1[[#This Row],[FECHA DE COMPRA]])</f>
        <v>2024</v>
      </c>
      <c r="K2799" s="19">
        <v>56.78</v>
      </c>
      <c r="L2799" s="20">
        <v>0</v>
      </c>
      <c r="M2799" s="19">
        <f>Tienda!$K1311-Tienda!$K1311*Tienda!$L1311</f>
        <v>82.278000000000006</v>
      </c>
      <c r="N2799" s="3" t="s">
        <v>10040</v>
      </c>
      <c r="O2799" s="3" t="s">
        <v>10041</v>
      </c>
      <c r="P2799" s="17">
        <v>45341</v>
      </c>
      <c r="Q2799" s="4">
        <v>0</v>
      </c>
    </row>
    <row r="2800" spans="1:17" ht="30" x14ac:dyDescent="0.25">
      <c r="A2800" s="2" t="s">
        <v>3695</v>
      </c>
      <c r="B2800" s="3" t="s">
        <v>5016</v>
      </c>
      <c r="C2800" s="3">
        <v>44</v>
      </c>
      <c r="D2800" s="46" t="str">
        <f>IF(Tabla1[[#This Row],[EDAD]]&lt;=35,"Adultos jóvenes 18 - 35 años",IF(C2800&gt;=36,"Adultos mayores 36 años en adelante"))</f>
        <v>Adultos mayores 36 años en adelante</v>
      </c>
      <c r="E2800" s="3" t="s">
        <v>5017</v>
      </c>
      <c r="F2800" s="3" t="s">
        <v>5027</v>
      </c>
      <c r="G2800" s="3" t="s">
        <v>5033</v>
      </c>
      <c r="H2800" s="3" t="s">
        <v>8718</v>
      </c>
      <c r="I2800" s="17">
        <v>45386</v>
      </c>
      <c r="J2800" s="18">
        <f>YEAR(Tabla1[[#This Row],[FECHA DE COMPRA]])</f>
        <v>2024</v>
      </c>
      <c r="K2800" s="19">
        <v>65.23</v>
      </c>
      <c r="L2800" s="20">
        <v>0.1</v>
      </c>
      <c r="M2800" s="19">
        <f>Tienda!$K1317-Tienda!$K1317*Tienda!$L1317</f>
        <v>94.688999999999993</v>
      </c>
      <c r="N2800" s="3" t="s">
        <v>10040</v>
      </c>
      <c r="O2800" s="3" t="s">
        <v>10041</v>
      </c>
      <c r="P2800" s="17">
        <v>45386</v>
      </c>
      <c r="Q2800" s="4">
        <v>0</v>
      </c>
    </row>
    <row r="2801" spans="1:17" ht="30" x14ac:dyDescent="0.25">
      <c r="A2801" s="2" t="s">
        <v>2299</v>
      </c>
      <c r="B2801" s="3" t="s">
        <v>5016</v>
      </c>
      <c r="C2801" s="3">
        <v>53</v>
      </c>
      <c r="D2801" s="46" t="str">
        <f>IF(Tabla1[[#This Row],[EDAD]]&lt;=35,"Adultos jóvenes 18 - 35 años",IF(C2801&gt;=36,"Adultos mayores 36 años en adelante"))</f>
        <v>Adultos mayores 36 años en adelante</v>
      </c>
      <c r="E2801" s="3" t="s">
        <v>5023</v>
      </c>
      <c r="F2801" s="3" t="s">
        <v>5030</v>
      </c>
      <c r="G2801" s="3" t="s">
        <v>5037</v>
      </c>
      <c r="H2801" s="3" t="s">
        <v>7322</v>
      </c>
      <c r="I2801" s="17">
        <v>45624</v>
      </c>
      <c r="J2801" s="18">
        <f>YEAR(Tabla1[[#This Row],[FECHA DE COMPRA]])</f>
        <v>2024</v>
      </c>
      <c r="K2801" s="19">
        <v>65.59</v>
      </c>
      <c r="L2801" s="20">
        <v>0.1</v>
      </c>
      <c r="M2801" s="19">
        <f>Tienda!$K1318-Tienda!$K1318*Tienda!$L1318</f>
        <v>95</v>
      </c>
      <c r="N2801" s="3" t="s">
        <v>10040</v>
      </c>
      <c r="O2801" s="3" t="s">
        <v>10041</v>
      </c>
      <c r="P2801" s="17">
        <v>45394</v>
      </c>
      <c r="Q2801" s="4">
        <v>0</v>
      </c>
    </row>
    <row r="2802" spans="1:17" ht="30" x14ac:dyDescent="0.25">
      <c r="A2802" s="2" t="s">
        <v>36</v>
      </c>
      <c r="B2802" s="3" t="s">
        <v>5015</v>
      </c>
      <c r="C2802" s="3">
        <v>51</v>
      </c>
      <c r="D2802" s="46" t="str">
        <f>IF(Tabla1[[#This Row],[EDAD]]&lt;=35,"Adultos jóvenes 18 - 35 años",IF(C2802&gt;=36,"Adultos mayores 36 años en adelante"))</f>
        <v>Adultos mayores 36 años en adelante</v>
      </c>
      <c r="E2802" s="3" t="s">
        <v>5017</v>
      </c>
      <c r="F2802" s="3" t="s">
        <v>5030</v>
      </c>
      <c r="G2802" s="3" t="s">
        <v>5031</v>
      </c>
      <c r="H2802" s="3" t="s">
        <v>5059</v>
      </c>
      <c r="I2802" s="17">
        <v>45562</v>
      </c>
      <c r="J2802" s="18">
        <f>YEAR(Tabla1[[#This Row],[FECHA DE COMPRA]])</f>
        <v>2024</v>
      </c>
      <c r="K2802" s="19">
        <v>85.09</v>
      </c>
      <c r="L2802" s="20">
        <v>0.3</v>
      </c>
      <c r="M2802" s="19">
        <f>Tienda!$K1322-Tienda!$K1322*Tienda!$L1322</f>
        <v>96.975999999999999</v>
      </c>
      <c r="N2802" s="3" t="s">
        <v>10040</v>
      </c>
      <c r="O2802" s="3" t="s">
        <v>10041</v>
      </c>
      <c r="P2802" s="17">
        <v>45562</v>
      </c>
      <c r="Q2802" s="4">
        <v>0</v>
      </c>
    </row>
    <row r="2803" spans="1:17" ht="30" x14ac:dyDescent="0.25">
      <c r="A2803" s="2" t="s">
        <v>3062</v>
      </c>
      <c r="B2803" s="3" t="s">
        <v>5015</v>
      </c>
      <c r="C2803" s="3">
        <v>46</v>
      </c>
      <c r="D2803" s="46" t="str">
        <f>IF(Tabla1[[#This Row],[EDAD]]&lt;=35,"Adultos jóvenes 18 - 35 años",IF(C2803&gt;=36,"Adultos mayores 36 años en adelante"))</f>
        <v>Adultos mayores 36 años en adelante</v>
      </c>
      <c r="E2803" s="3" t="s">
        <v>5020</v>
      </c>
      <c r="F2803" s="3" t="s">
        <v>5028</v>
      </c>
      <c r="G2803" s="3" t="s">
        <v>5036</v>
      </c>
      <c r="H2803" s="3" t="s">
        <v>8085</v>
      </c>
      <c r="I2803" s="17">
        <v>45613</v>
      </c>
      <c r="J2803" s="18">
        <f>YEAR(Tabla1[[#This Row],[FECHA DE COMPRA]])</f>
        <v>2024</v>
      </c>
      <c r="K2803" s="19">
        <v>66.88</v>
      </c>
      <c r="L2803" s="20">
        <v>0.1</v>
      </c>
      <c r="M2803" s="19">
        <f>Tienda!$K1325-Tienda!$K1325*Tienda!$L1325</f>
        <v>101.661</v>
      </c>
      <c r="N2803" s="3" t="s">
        <v>10040</v>
      </c>
      <c r="O2803" s="3" t="s">
        <v>10041</v>
      </c>
      <c r="P2803" s="17">
        <v>45613</v>
      </c>
      <c r="Q2803" s="4">
        <v>0</v>
      </c>
    </row>
    <row r="2804" spans="1:17" ht="30" x14ac:dyDescent="0.25">
      <c r="A2804" s="2" t="s">
        <v>1962</v>
      </c>
      <c r="B2804" s="3" t="s">
        <v>5015</v>
      </c>
      <c r="C2804" s="3">
        <v>53</v>
      </c>
      <c r="D2804" s="46" t="str">
        <f>IF(Tabla1[[#This Row],[EDAD]]&lt;=35,"Adultos jóvenes 18 - 35 años",IF(C2804&gt;=36,"Adultos mayores 36 años en adelante"))</f>
        <v>Adultos mayores 36 años en adelante</v>
      </c>
      <c r="E2804" s="3" t="s">
        <v>5017</v>
      </c>
      <c r="F2804" s="3" t="s">
        <v>5026</v>
      </c>
      <c r="G2804" s="3" t="s">
        <v>5035</v>
      </c>
      <c r="H2804" s="3" t="s">
        <v>6985</v>
      </c>
      <c r="I2804" s="17">
        <v>45553</v>
      </c>
      <c r="J2804" s="18">
        <f>YEAR(Tabla1[[#This Row],[FECHA DE COMPRA]])</f>
        <v>2024</v>
      </c>
      <c r="K2804" s="19">
        <v>61.65</v>
      </c>
      <c r="L2804" s="20">
        <v>0</v>
      </c>
      <c r="M2804" s="19">
        <f>Tienda!$K1330-Tienda!$K1330*Tienda!$L1330</f>
        <v>109.485</v>
      </c>
      <c r="N2804" s="3" t="s">
        <v>10040</v>
      </c>
      <c r="O2804" s="3" t="s">
        <v>10041</v>
      </c>
      <c r="P2804" s="17">
        <v>45553</v>
      </c>
      <c r="Q2804" s="4">
        <v>0</v>
      </c>
    </row>
    <row r="2805" spans="1:17" ht="30" x14ac:dyDescent="0.25">
      <c r="A2805" s="2" t="s">
        <v>4936</v>
      </c>
      <c r="B2805" s="3" t="s">
        <v>5015</v>
      </c>
      <c r="C2805" s="3">
        <v>48</v>
      </c>
      <c r="D2805" s="46" t="str">
        <f>IF(Tabla1[[#This Row],[EDAD]]&lt;=35,"Adultos jóvenes 18 - 35 años",IF(C2805&gt;=36,"Adultos mayores 36 años en adelante"))</f>
        <v>Adultos mayores 36 años en adelante</v>
      </c>
      <c r="E2805" s="3" t="s">
        <v>5020</v>
      </c>
      <c r="F2805" s="3" t="s">
        <v>5028</v>
      </c>
      <c r="G2805" s="3" t="s">
        <v>5036</v>
      </c>
      <c r="H2805" s="3" t="s">
        <v>9959</v>
      </c>
      <c r="I2805" s="17">
        <v>45617</v>
      </c>
      <c r="J2805" s="18">
        <f>YEAR(Tabla1[[#This Row],[FECHA DE COMPRA]])</f>
        <v>2024</v>
      </c>
      <c r="K2805" s="19">
        <v>77.19</v>
      </c>
      <c r="L2805" s="20">
        <v>0.2</v>
      </c>
      <c r="M2805" s="19">
        <f>Tienda!$K1331-Tienda!$K1331*Tienda!$L1331</f>
        <v>114.88</v>
      </c>
      <c r="N2805" s="3" t="s">
        <v>10040</v>
      </c>
      <c r="O2805" s="3" t="s">
        <v>10041</v>
      </c>
      <c r="P2805" s="17">
        <v>45617</v>
      </c>
      <c r="Q2805" s="4">
        <v>0</v>
      </c>
    </row>
    <row r="2806" spans="1:17" ht="30" x14ac:dyDescent="0.25">
      <c r="A2806" s="2" t="s">
        <v>838</v>
      </c>
      <c r="B2806" s="3" t="s">
        <v>5016</v>
      </c>
      <c r="C2806" s="3">
        <v>62</v>
      </c>
      <c r="D2806" s="46" t="str">
        <f>IF(Tabla1[[#This Row],[EDAD]]&lt;=35,"Adultos jóvenes 18 - 35 años",IF(C2806&gt;=36,"Adultos mayores 36 años en adelante"))</f>
        <v>Adultos mayores 36 años en adelante</v>
      </c>
      <c r="E2806" s="3" t="s">
        <v>5017</v>
      </c>
      <c r="F2806" s="3" t="s">
        <v>5024</v>
      </c>
      <c r="G2806" s="3" t="s">
        <v>5035</v>
      </c>
      <c r="H2806" s="3" t="s">
        <v>5861</v>
      </c>
      <c r="I2806" s="17">
        <v>45548</v>
      </c>
      <c r="J2806" s="18">
        <f>YEAR(Tabla1[[#This Row],[FECHA DE COMPRA]])</f>
        <v>2024</v>
      </c>
      <c r="K2806" s="19">
        <v>61.94</v>
      </c>
      <c r="L2806" s="20">
        <v>0</v>
      </c>
      <c r="M2806" s="19">
        <f>Tienda!$K1333-Tienda!$K1333*Tienda!$L1333</f>
        <v>117.48</v>
      </c>
      <c r="N2806" s="3" t="s">
        <v>10040</v>
      </c>
      <c r="O2806" s="3" t="s">
        <v>10041</v>
      </c>
      <c r="P2806" s="17">
        <v>45548</v>
      </c>
      <c r="Q2806" s="4">
        <v>0</v>
      </c>
    </row>
    <row r="2807" spans="1:17" ht="30" x14ac:dyDescent="0.25">
      <c r="A2807" s="2" t="s">
        <v>4453</v>
      </c>
      <c r="B2807" s="3" t="s">
        <v>5015</v>
      </c>
      <c r="C2807" s="3">
        <v>51</v>
      </c>
      <c r="D2807" s="46" t="str">
        <f>IF(Tabla1[[#This Row],[EDAD]]&lt;=35,"Adultos jóvenes 18 - 35 años",IF(C2807&gt;=36,"Adultos mayores 36 años en adelante"))</f>
        <v>Adultos mayores 36 años en adelante</v>
      </c>
      <c r="E2807" s="3" t="s">
        <v>5019</v>
      </c>
      <c r="F2807" s="3" t="s">
        <v>5029</v>
      </c>
      <c r="G2807" s="3" t="s">
        <v>5035</v>
      </c>
      <c r="H2807" s="3" t="s">
        <v>9476</v>
      </c>
      <c r="I2807" s="17">
        <v>45601</v>
      </c>
      <c r="J2807" s="18">
        <f>YEAR(Tabla1[[#This Row],[FECHA DE COMPRA]])</f>
        <v>2024</v>
      </c>
      <c r="K2807" s="19">
        <v>69.28</v>
      </c>
      <c r="L2807" s="20">
        <v>0.1</v>
      </c>
      <c r="M2807" s="19">
        <f>Tienda!$K1337-Tienda!$K1337*Tienda!$L1337</f>
        <v>126.776</v>
      </c>
      <c r="N2807" s="3" t="s">
        <v>10040</v>
      </c>
      <c r="O2807" s="3" t="s">
        <v>10041</v>
      </c>
      <c r="P2807" s="17">
        <v>45601</v>
      </c>
      <c r="Q2807" s="4">
        <v>0</v>
      </c>
    </row>
    <row r="2808" spans="1:17" ht="30" x14ac:dyDescent="0.25">
      <c r="A2808" s="2" t="s">
        <v>471</v>
      </c>
      <c r="B2808" s="3" t="s">
        <v>5015</v>
      </c>
      <c r="C2808" s="3">
        <v>63</v>
      </c>
      <c r="D2808" s="46" t="str">
        <f>IF(Tabla1[[#This Row],[EDAD]]&lt;=35,"Adultos jóvenes 18 - 35 años",IF(C2808&gt;=36,"Adultos mayores 36 años en adelante"))</f>
        <v>Adultos mayores 36 años en adelante</v>
      </c>
      <c r="E2808" s="3" t="s">
        <v>5019</v>
      </c>
      <c r="F2808" s="3" t="s">
        <v>5024</v>
      </c>
      <c r="G2808" s="3" t="s">
        <v>5035</v>
      </c>
      <c r="H2808" s="3" t="s">
        <v>5494</v>
      </c>
      <c r="I2808" s="17">
        <v>45339</v>
      </c>
      <c r="J2808" s="18">
        <f>YEAR(Tabla1[[#This Row],[FECHA DE COMPRA]])</f>
        <v>2024</v>
      </c>
      <c r="K2808" s="19">
        <v>90.11</v>
      </c>
      <c r="L2808" s="20">
        <v>0.3</v>
      </c>
      <c r="M2808" s="19">
        <f>Tienda!$K1344-Tienda!$K1344*Tienda!$L1344</f>
        <v>132.584</v>
      </c>
      <c r="N2808" s="3" t="s">
        <v>10040</v>
      </c>
      <c r="O2808" s="3" t="s">
        <v>10041</v>
      </c>
      <c r="P2808" s="17">
        <v>45339</v>
      </c>
      <c r="Q2808" s="4">
        <v>0</v>
      </c>
    </row>
    <row r="2809" spans="1:17" ht="30" x14ac:dyDescent="0.25">
      <c r="A2809" s="2" t="s">
        <v>3759</v>
      </c>
      <c r="B2809" s="3" t="s">
        <v>5015</v>
      </c>
      <c r="C2809" s="3">
        <v>62</v>
      </c>
      <c r="D2809" s="46" t="str">
        <f>IF(Tabla1[[#This Row],[EDAD]]&lt;=35,"Adultos jóvenes 18 - 35 años",IF(C2809&gt;=36,"Adultos mayores 36 años en adelante"))</f>
        <v>Adultos mayores 36 años en adelante</v>
      </c>
      <c r="E2809" s="3" t="s">
        <v>5023</v>
      </c>
      <c r="F2809" s="3" t="s">
        <v>5028</v>
      </c>
      <c r="G2809" s="3" t="s">
        <v>5037</v>
      </c>
      <c r="H2809" s="3" t="s">
        <v>8782</v>
      </c>
      <c r="I2809" s="17">
        <v>45344</v>
      </c>
      <c r="J2809" s="18">
        <f>YEAR(Tabla1[[#This Row],[FECHA DE COMPRA]])</f>
        <v>2024</v>
      </c>
      <c r="K2809" s="19">
        <v>63.39</v>
      </c>
      <c r="L2809" s="20">
        <v>0</v>
      </c>
      <c r="M2809" s="19">
        <f>Tienda!$K1346-Tienda!$K1346*Tienda!$L1346</f>
        <v>134.6</v>
      </c>
      <c r="N2809" s="3" t="s">
        <v>10040</v>
      </c>
      <c r="O2809" s="3" t="s">
        <v>10041</v>
      </c>
      <c r="P2809" s="17">
        <v>45344</v>
      </c>
      <c r="Q2809" s="4">
        <v>0</v>
      </c>
    </row>
    <row r="2810" spans="1:17" ht="30" x14ac:dyDescent="0.25">
      <c r="A2810" s="2" t="s">
        <v>273</v>
      </c>
      <c r="B2810" s="3" t="s">
        <v>5015</v>
      </c>
      <c r="C2810" s="3">
        <v>40</v>
      </c>
      <c r="D2810" s="46" t="str">
        <f>IF(Tabla1[[#This Row],[EDAD]]&lt;=35,"Adultos jóvenes 18 - 35 años",IF(C2810&gt;=36,"Adultos mayores 36 años en adelante"))</f>
        <v>Adultos mayores 36 años en adelante</v>
      </c>
      <c r="E2810" s="3" t="s">
        <v>5020</v>
      </c>
      <c r="F2810" s="3" t="s">
        <v>5030</v>
      </c>
      <c r="G2810" s="3" t="s">
        <v>5034</v>
      </c>
      <c r="H2810" s="3" t="s">
        <v>5296</v>
      </c>
      <c r="I2810" s="17">
        <v>45596</v>
      </c>
      <c r="J2810" s="18">
        <f>YEAR(Tabla1[[#This Row],[FECHA DE COMPRA]])</f>
        <v>2024</v>
      </c>
      <c r="K2810" s="19">
        <v>79.41</v>
      </c>
      <c r="L2810" s="20">
        <v>0.2</v>
      </c>
      <c r="M2810" s="19">
        <f>Tienda!$K1347-Tienda!$K1347*Tienda!$L1347</f>
        <v>135.416</v>
      </c>
      <c r="N2810" s="3" t="s">
        <v>10040</v>
      </c>
      <c r="O2810" s="3" t="s">
        <v>10041</v>
      </c>
      <c r="P2810" s="17">
        <v>45596</v>
      </c>
      <c r="Q2810" s="4">
        <v>0</v>
      </c>
    </row>
    <row r="2811" spans="1:17" ht="30" x14ac:dyDescent="0.25">
      <c r="A2811" s="2" t="s">
        <v>3309</v>
      </c>
      <c r="B2811" s="3" t="s">
        <v>5015</v>
      </c>
      <c r="C2811" s="3">
        <v>60</v>
      </c>
      <c r="D2811" s="46" t="str">
        <f>IF(Tabla1[[#This Row],[EDAD]]&lt;=35,"Adultos jóvenes 18 - 35 años",IF(C2811&gt;=36,"Adultos mayores 36 años en adelante"))</f>
        <v>Adultos mayores 36 años en adelante</v>
      </c>
      <c r="E2811" s="3" t="s">
        <v>5020</v>
      </c>
      <c r="F2811" s="3" t="s">
        <v>5030</v>
      </c>
      <c r="G2811" s="3" t="s">
        <v>5035</v>
      </c>
      <c r="H2811" s="3" t="s">
        <v>8332</v>
      </c>
      <c r="I2811" s="17">
        <v>45351</v>
      </c>
      <c r="J2811" s="18">
        <f>YEAR(Tabla1[[#This Row],[FECHA DE COMPRA]])</f>
        <v>2024</v>
      </c>
      <c r="K2811" s="19">
        <v>91.77</v>
      </c>
      <c r="L2811" s="20">
        <v>0.3</v>
      </c>
      <c r="M2811" s="19">
        <f>Tienda!$K1352-Tienda!$K1352*Tienda!$L1352</f>
        <v>142.50399999999999</v>
      </c>
      <c r="N2811" s="3" t="s">
        <v>10040</v>
      </c>
      <c r="O2811" s="3" t="s">
        <v>10041</v>
      </c>
      <c r="P2811" s="17">
        <v>45351</v>
      </c>
      <c r="Q2811" s="4">
        <v>0</v>
      </c>
    </row>
    <row r="2812" spans="1:17" ht="30" x14ac:dyDescent="0.25">
      <c r="A2812" s="2" t="s">
        <v>1188</v>
      </c>
      <c r="B2812" s="3" t="s">
        <v>5016</v>
      </c>
      <c r="C2812" s="3">
        <v>46</v>
      </c>
      <c r="D2812" s="46" t="str">
        <f>IF(Tabla1[[#This Row],[EDAD]]&lt;=35,"Adultos jóvenes 18 - 35 años",IF(C2812&gt;=36,"Adultos mayores 36 años en adelante"))</f>
        <v>Adultos mayores 36 años en adelante</v>
      </c>
      <c r="E2812" s="3" t="s">
        <v>5021</v>
      </c>
      <c r="F2812" s="3" t="s">
        <v>5024</v>
      </c>
      <c r="G2812" s="3" t="s">
        <v>5035</v>
      </c>
      <c r="H2812" s="3" t="s">
        <v>6211</v>
      </c>
      <c r="I2812" s="17">
        <v>45363</v>
      </c>
      <c r="J2812" s="18">
        <f>YEAR(Tabla1[[#This Row],[FECHA DE COMPRA]])</f>
        <v>2024</v>
      </c>
      <c r="K2812" s="19">
        <v>91.8</v>
      </c>
      <c r="L2812" s="20">
        <v>0.3</v>
      </c>
      <c r="M2812" s="19">
        <f>Tienda!$K1354-Tienda!$K1354*Tienda!$L1354</f>
        <v>144.816</v>
      </c>
      <c r="N2812" s="3" t="s">
        <v>10040</v>
      </c>
      <c r="O2812" s="3" t="s">
        <v>10041</v>
      </c>
      <c r="P2812" s="17">
        <v>45363</v>
      </c>
      <c r="Q2812" s="4">
        <v>0</v>
      </c>
    </row>
    <row r="2813" spans="1:17" ht="30" x14ac:dyDescent="0.25">
      <c r="A2813" s="2" t="s">
        <v>2526</v>
      </c>
      <c r="B2813" s="3" t="s">
        <v>5015</v>
      </c>
      <c r="C2813" s="3">
        <v>46</v>
      </c>
      <c r="D2813" s="46" t="str">
        <f>IF(Tabla1[[#This Row],[EDAD]]&lt;=35,"Adultos jóvenes 18 - 35 años",IF(C2813&gt;=36,"Adultos mayores 36 años en adelante"))</f>
        <v>Adultos mayores 36 años en adelante</v>
      </c>
      <c r="E2813" s="3" t="s">
        <v>5018</v>
      </c>
      <c r="F2813" s="3" t="s">
        <v>5027</v>
      </c>
      <c r="G2813" s="3" t="s">
        <v>5032</v>
      </c>
      <c r="H2813" s="3" t="s">
        <v>7549</v>
      </c>
      <c r="I2813" s="17">
        <v>45555</v>
      </c>
      <c r="J2813" s="18">
        <f>YEAR(Tabla1[[#This Row],[FECHA DE COMPRA]])</f>
        <v>2024</v>
      </c>
      <c r="K2813" s="19">
        <v>81.099999999999994</v>
      </c>
      <c r="L2813" s="20">
        <v>0.2</v>
      </c>
      <c r="M2813" s="19">
        <f>Tienda!$K1356-Tienda!$K1356*Tienda!$L1356</f>
        <v>148.43199999999999</v>
      </c>
      <c r="N2813" s="3" t="s">
        <v>10040</v>
      </c>
      <c r="O2813" s="3" t="s">
        <v>10041</v>
      </c>
      <c r="P2813" s="17">
        <v>45555</v>
      </c>
      <c r="Q2813" s="4">
        <v>0</v>
      </c>
    </row>
    <row r="2814" spans="1:17" ht="30" x14ac:dyDescent="0.25">
      <c r="A2814" s="2" t="s">
        <v>2403</v>
      </c>
      <c r="B2814" s="3" t="s">
        <v>5015</v>
      </c>
      <c r="C2814" s="3">
        <v>59</v>
      </c>
      <c r="D2814" s="46" t="str">
        <f>IF(Tabla1[[#This Row],[EDAD]]&lt;=35,"Adultos jóvenes 18 - 35 años",IF(C2814&gt;=36,"Adultos mayores 36 años en adelante"))</f>
        <v>Adultos mayores 36 años en adelante</v>
      </c>
      <c r="E2814" s="3" t="s">
        <v>5021</v>
      </c>
      <c r="F2814" s="3" t="s">
        <v>5030</v>
      </c>
      <c r="G2814" s="3" t="s">
        <v>5031</v>
      </c>
      <c r="H2814" s="3" t="s">
        <v>7426</v>
      </c>
      <c r="I2814" s="17">
        <v>45595</v>
      </c>
      <c r="J2814" s="18">
        <f>YEAR(Tabla1[[#This Row],[FECHA DE COMPRA]])</f>
        <v>2024</v>
      </c>
      <c r="K2814" s="19">
        <v>81.12</v>
      </c>
      <c r="L2814" s="20">
        <v>0.2</v>
      </c>
      <c r="M2814" s="19">
        <f>Tienda!$K1357-Tienda!$K1357*Tienda!$L1357</f>
        <v>148.63200000000001</v>
      </c>
      <c r="N2814" s="3" t="s">
        <v>10040</v>
      </c>
      <c r="O2814" s="3" t="s">
        <v>10041</v>
      </c>
      <c r="P2814" s="17">
        <v>45595</v>
      </c>
      <c r="Q2814" s="4">
        <v>0</v>
      </c>
    </row>
    <row r="2815" spans="1:17" ht="30" x14ac:dyDescent="0.25">
      <c r="A2815" s="2" t="s">
        <v>2508</v>
      </c>
      <c r="B2815" s="3" t="s">
        <v>5015</v>
      </c>
      <c r="C2815" s="3">
        <v>47</v>
      </c>
      <c r="D2815" s="46" t="str">
        <f>IF(Tabla1[[#This Row],[EDAD]]&lt;=35,"Adultos jóvenes 18 - 35 años",IF(C2815&gt;=36,"Adultos mayores 36 años en adelante"))</f>
        <v>Adultos mayores 36 años en adelante</v>
      </c>
      <c r="E2815" s="3" t="s">
        <v>5020</v>
      </c>
      <c r="F2815" s="3" t="s">
        <v>5027</v>
      </c>
      <c r="G2815" s="3" t="s">
        <v>5035</v>
      </c>
      <c r="H2815" s="3" t="s">
        <v>7531</v>
      </c>
      <c r="I2815" s="17">
        <v>45312</v>
      </c>
      <c r="J2815" s="18">
        <f>YEAR(Tabla1[[#This Row],[FECHA DE COMPRA]])</f>
        <v>2024</v>
      </c>
      <c r="K2815" s="19">
        <v>72.89</v>
      </c>
      <c r="L2815" s="20">
        <v>0.1</v>
      </c>
      <c r="M2815" s="19">
        <f>Tienda!$K1358-Tienda!$K1358*Tienda!$L1358</f>
        <v>149.77000000000001</v>
      </c>
      <c r="N2815" s="3" t="s">
        <v>10040</v>
      </c>
      <c r="O2815" s="3" t="s">
        <v>10041</v>
      </c>
      <c r="P2815" s="17">
        <v>45312</v>
      </c>
      <c r="Q2815" s="4">
        <v>0</v>
      </c>
    </row>
    <row r="2816" spans="1:17" ht="30" x14ac:dyDescent="0.25">
      <c r="A2816" s="2" t="s">
        <v>1272</v>
      </c>
      <c r="B2816" s="3" t="s">
        <v>5016</v>
      </c>
      <c r="C2816" s="3">
        <v>38</v>
      </c>
      <c r="D2816" s="46" t="str">
        <f>IF(Tabla1[[#This Row],[EDAD]]&lt;=35,"Adultos jóvenes 18 - 35 años",IF(C2816&gt;=36,"Adultos mayores 36 años en adelante"))</f>
        <v>Adultos mayores 36 años en adelante</v>
      </c>
      <c r="E2816" s="3" t="s">
        <v>5023</v>
      </c>
      <c r="F2816" s="3" t="s">
        <v>5029</v>
      </c>
      <c r="G2816" s="3" t="s">
        <v>5031</v>
      </c>
      <c r="H2816" s="3" t="s">
        <v>6295</v>
      </c>
      <c r="I2816" s="17">
        <v>45335</v>
      </c>
      <c r="J2816" s="18">
        <f>YEAR(Tabla1[[#This Row],[FECHA DE COMPRA]])</f>
        <v>2024</v>
      </c>
      <c r="K2816" s="19">
        <v>94.68</v>
      </c>
      <c r="L2816" s="20">
        <v>0.3</v>
      </c>
      <c r="M2816" s="19">
        <f>Tienda!$K1362-Tienda!$K1362*Tienda!$L1362</f>
        <v>158.30000000000001</v>
      </c>
      <c r="N2816" s="3" t="s">
        <v>10040</v>
      </c>
      <c r="O2816" s="3" t="s">
        <v>10041</v>
      </c>
      <c r="P2816" s="17">
        <v>45368</v>
      </c>
      <c r="Q2816" s="4">
        <v>0</v>
      </c>
    </row>
    <row r="2817" spans="1:17" ht="30" x14ac:dyDescent="0.25">
      <c r="A2817" s="2" t="s">
        <v>1301</v>
      </c>
      <c r="B2817" s="3" t="s">
        <v>5016</v>
      </c>
      <c r="C2817" s="3">
        <v>48</v>
      </c>
      <c r="D2817" s="46" t="str">
        <f>IF(Tabla1[[#This Row],[EDAD]]&lt;=35,"Adultos jóvenes 18 - 35 años",IF(C2817&gt;=36,"Adultos mayores 36 años en adelante"))</f>
        <v>Adultos mayores 36 años en adelante</v>
      </c>
      <c r="E2817" s="3" t="s">
        <v>5019</v>
      </c>
      <c r="F2817" s="3" t="s">
        <v>5024</v>
      </c>
      <c r="G2817" s="3" t="s">
        <v>5033</v>
      </c>
      <c r="H2817" s="3" t="s">
        <v>6324</v>
      </c>
      <c r="I2817" s="17">
        <v>45587</v>
      </c>
      <c r="J2817" s="18">
        <f>YEAR(Tabla1[[#This Row],[FECHA DE COMPRA]])</f>
        <v>2024</v>
      </c>
      <c r="K2817" s="19">
        <v>95.49</v>
      </c>
      <c r="L2817" s="20">
        <v>0.3</v>
      </c>
      <c r="M2817" s="19">
        <f>Tienda!$K1364-Tienda!$K1364*Tienda!$L1364</f>
        <v>159.70499999999998</v>
      </c>
      <c r="N2817" s="3" t="s">
        <v>10040</v>
      </c>
      <c r="O2817" s="3" t="s">
        <v>10041</v>
      </c>
      <c r="P2817" s="17">
        <v>45587</v>
      </c>
      <c r="Q2817" s="4">
        <v>0</v>
      </c>
    </row>
    <row r="2818" spans="1:17" ht="30" x14ac:dyDescent="0.25">
      <c r="A2818" s="2" t="s">
        <v>2806</v>
      </c>
      <c r="B2818" s="3" t="s">
        <v>5015</v>
      </c>
      <c r="C2818" s="3">
        <v>44</v>
      </c>
      <c r="D2818" s="46" t="str">
        <f>IF(Tabla1[[#This Row],[EDAD]]&lt;=35,"Adultos jóvenes 18 - 35 años",IF(C2818&gt;=36,"Adultos mayores 36 años en adelante"))</f>
        <v>Adultos mayores 36 años en adelante</v>
      </c>
      <c r="E2818" s="3" t="s">
        <v>5020</v>
      </c>
      <c r="F2818" s="3" t="s">
        <v>5027</v>
      </c>
      <c r="G2818" s="3" t="s">
        <v>5037</v>
      </c>
      <c r="H2818" s="3" t="s">
        <v>7829</v>
      </c>
      <c r="I2818" s="17">
        <v>45470</v>
      </c>
      <c r="J2818" s="18">
        <f>YEAR(Tabla1[[#This Row],[FECHA DE COMPRA]])</f>
        <v>2024</v>
      </c>
      <c r="K2818" s="19">
        <v>87.05</v>
      </c>
      <c r="L2818" s="20">
        <v>0.2</v>
      </c>
      <c r="M2818" s="19">
        <f>Tienda!$K1375-Tienda!$K1375*Tienda!$L1375</f>
        <v>37.253999999999998</v>
      </c>
      <c r="N2818" s="3" t="s">
        <v>10040</v>
      </c>
      <c r="O2818" s="3" t="s">
        <v>10041</v>
      </c>
      <c r="P2818" s="17">
        <v>45470</v>
      </c>
      <c r="Q2818" s="4">
        <v>0</v>
      </c>
    </row>
    <row r="2819" spans="1:17" ht="30" x14ac:dyDescent="0.25">
      <c r="A2819" s="2" t="s">
        <v>2314</v>
      </c>
      <c r="B2819" s="3" t="s">
        <v>5015</v>
      </c>
      <c r="C2819" s="3">
        <v>50</v>
      </c>
      <c r="D2819" s="46" t="str">
        <f>IF(Tabla1[[#This Row],[EDAD]]&lt;=35,"Adultos jóvenes 18 - 35 años",IF(C2819&gt;=36,"Adultos mayores 36 años en adelante"))</f>
        <v>Adultos mayores 36 años en adelante</v>
      </c>
      <c r="E2819" s="3" t="s">
        <v>5020</v>
      </c>
      <c r="F2819" s="3" t="s">
        <v>5025</v>
      </c>
      <c r="G2819" s="3" t="s">
        <v>5031</v>
      </c>
      <c r="H2819" s="3" t="s">
        <v>7337</v>
      </c>
      <c r="I2819" s="17">
        <v>45592</v>
      </c>
      <c r="J2819" s="18">
        <f>YEAR(Tabla1[[#This Row],[FECHA DE COMPRA]])</f>
        <v>2024</v>
      </c>
      <c r="K2819" s="19">
        <v>69.81</v>
      </c>
      <c r="L2819" s="20">
        <v>0</v>
      </c>
      <c r="M2819" s="19">
        <f>Tienda!$K1376-Tienda!$K1376*Tienda!$L1376</f>
        <v>37.4</v>
      </c>
      <c r="N2819" s="3" t="s">
        <v>10040</v>
      </c>
      <c r="O2819" s="3" t="s">
        <v>10041</v>
      </c>
      <c r="P2819" s="17">
        <v>45592</v>
      </c>
      <c r="Q2819" s="4">
        <v>0</v>
      </c>
    </row>
    <row r="2820" spans="1:17" ht="30" x14ac:dyDescent="0.25">
      <c r="A2820" s="2" t="s">
        <v>1118</v>
      </c>
      <c r="B2820" s="3" t="s">
        <v>5016</v>
      </c>
      <c r="C2820" s="3">
        <v>53</v>
      </c>
      <c r="D2820" s="46" t="str">
        <f>IF(Tabla1[[#This Row],[EDAD]]&lt;=35,"Adultos jóvenes 18 - 35 años",IF(C2820&gt;=36,"Adultos mayores 36 años en adelante"))</f>
        <v>Adultos mayores 36 años en adelante</v>
      </c>
      <c r="E2820" s="3" t="s">
        <v>5019</v>
      </c>
      <c r="F2820" s="3" t="s">
        <v>5026</v>
      </c>
      <c r="G2820" s="3" t="s">
        <v>5035</v>
      </c>
      <c r="H2820" s="3" t="s">
        <v>6141</v>
      </c>
      <c r="I2820" s="17">
        <v>45636</v>
      </c>
      <c r="J2820" s="18">
        <f>YEAR(Tabla1[[#This Row],[FECHA DE COMPRA]])</f>
        <v>2024</v>
      </c>
      <c r="K2820" s="19">
        <v>99.73</v>
      </c>
      <c r="L2820" s="20">
        <v>0.3</v>
      </c>
      <c r="M2820" s="19">
        <f>Tienda!$K1377-Tienda!$K1377*Tienda!$L1377</f>
        <v>37.4</v>
      </c>
      <c r="N2820" s="3" t="s">
        <v>10040</v>
      </c>
      <c r="O2820" s="3" t="s">
        <v>10041</v>
      </c>
      <c r="P2820" s="17">
        <v>45459</v>
      </c>
      <c r="Q2820" s="4">
        <v>0</v>
      </c>
    </row>
    <row r="2821" spans="1:17" ht="30" x14ac:dyDescent="0.25">
      <c r="A2821" s="2" t="s">
        <v>4547</v>
      </c>
      <c r="B2821" s="3" t="s">
        <v>5015</v>
      </c>
      <c r="C2821" s="3">
        <v>46</v>
      </c>
      <c r="D2821" s="46" t="str">
        <f>IF(Tabla1[[#This Row],[EDAD]]&lt;=35,"Adultos jóvenes 18 - 35 años",IF(C2821&gt;=36,"Adultos mayores 36 años en adelante"))</f>
        <v>Adultos mayores 36 años en adelante</v>
      </c>
      <c r="E2821" s="3" t="s">
        <v>5022</v>
      </c>
      <c r="F2821" s="3" t="s">
        <v>5029</v>
      </c>
      <c r="G2821" s="3" t="s">
        <v>5034</v>
      </c>
      <c r="H2821" s="3" t="s">
        <v>9570</v>
      </c>
      <c r="I2821" s="17">
        <v>45335</v>
      </c>
      <c r="J2821" s="18">
        <f>YEAR(Tabla1[[#This Row],[FECHA DE COMPRA]])</f>
        <v>2024</v>
      </c>
      <c r="K2821" s="19">
        <v>87.31</v>
      </c>
      <c r="L2821" s="20">
        <v>0.2</v>
      </c>
      <c r="M2821" s="19">
        <f>Tienda!$K1378-Tienda!$K1378*Tienda!$L1378</f>
        <v>37.495999999999995</v>
      </c>
      <c r="N2821" s="3" t="s">
        <v>10040</v>
      </c>
      <c r="O2821" s="3" t="s">
        <v>10041</v>
      </c>
      <c r="P2821" s="17">
        <v>45368</v>
      </c>
      <c r="Q2821" s="4">
        <v>0</v>
      </c>
    </row>
    <row r="2822" spans="1:17" ht="30" x14ac:dyDescent="0.25">
      <c r="A2822" s="2" t="s">
        <v>3024</v>
      </c>
      <c r="B2822" s="3" t="s">
        <v>5015</v>
      </c>
      <c r="C2822" s="3">
        <v>39</v>
      </c>
      <c r="D2822" s="46" t="str">
        <f>IF(Tabla1[[#This Row],[EDAD]]&lt;=35,"Adultos jóvenes 18 - 35 años",IF(C2822&gt;=36,"Adultos mayores 36 años en adelante"))</f>
        <v>Adultos mayores 36 años en adelante</v>
      </c>
      <c r="E2822" s="3" t="s">
        <v>5023</v>
      </c>
      <c r="F2822" s="3" t="s">
        <v>5024</v>
      </c>
      <c r="G2822" s="3" t="s">
        <v>5034</v>
      </c>
      <c r="H2822" s="3" t="s">
        <v>8047</v>
      </c>
      <c r="I2822" s="17">
        <v>45544</v>
      </c>
      <c r="J2822" s="18">
        <f>YEAR(Tabla1[[#This Row],[FECHA DE COMPRA]])</f>
        <v>2024</v>
      </c>
      <c r="K2822" s="19">
        <v>100.83</v>
      </c>
      <c r="L2822" s="20">
        <v>0.3</v>
      </c>
      <c r="M2822" s="19">
        <f>Tienda!$K1381-Tienda!$K1381*Tienda!$L1381</f>
        <v>38.388000000000005</v>
      </c>
      <c r="N2822" s="3" t="s">
        <v>10040</v>
      </c>
      <c r="O2822" s="3" t="s">
        <v>10041</v>
      </c>
      <c r="P2822" s="17">
        <v>45544</v>
      </c>
      <c r="Q2822" s="4">
        <v>0</v>
      </c>
    </row>
    <row r="2823" spans="1:17" ht="30" x14ac:dyDescent="0.25">
      <c r="A2823" s="2" t="s">
        <v>513</v>
      </c>
      <c r="B2823" s="3" t="s">
        <v>5015</v>
      </c>
      <c r="C2823" s="3">
        <v>64</v>
      </c>
      <c r="D2823" s="46" t="str">
        <f>IF(Tabla1[[#This Row],[EDAD]]&lt;=35,"Adultos jóvenes 18 - 35 años",IF(C2823&gt;=36,"Adultos mayores 36 años en adelante"))</f>
        <v>Adultos mayores 36 años en adelante</v>
      </c>
      <c r="E2823" s="3" t="s">
        <v>5023</v>
      </c>
      <c r="F2823" s="3" t="s">
        <v>5030</v>
      </c>
      <c r="G2823" s="3" t="s">
        <v>5035</v>
      </c>
      <c r="H2823" s="3" t="s">
        <v>5536</v>
      </c>
      <c r="I2823" s="17">
        <v>45523</v>
      </c>
      <c r="J2823" s="18">
        <f>YEAR(Tabla1[[#This Row],[FECHA DE COMPRA]])</f>
        <v>2024</v>
      </c>
      <c r="K2823" s="19">
        <v>88.3</v>
      </c>
      <c r="L2823" s="20">
        <v>0.2</v>
      </c>
      <c r="M2823" s="19">
        <f>Tienda!$K1382-Tienda!$K1382*Tienda!$L1382</f>
        <v>38.57</v>
      </c>
      <c r="N2823" s="3" t="s">
        <v>10040</v>
      </c>
      <c r="O2823" s="3" t="s">
        <v>10041</v>
      </c>
      <c r="P2823" s="17">
        <v>45523</v>
      </c>
      <c r="Q2823" s="4">
        <v>0</v>
      </c>
    </row>
    <row r="2824" spans="1:17" ht="30" x14ac:dyDescent="0.25">
      <c r="A2824" s="2" t="s">
        <v>1550</v>
      </c>
      <c r="B2824" s="3" t="s">
        <v>5016</v>
      </c>
      <c r="C2824" s="3">
        <v>55</v>
      </c>
      <c r="D2824" s="46" t="str">
        <f>IF(Tabla1[[#This Row],[EDAD]]&lt;=35,"Adultos jóvenes 18 - 35 años",IF(C2824&gt;=36,"Adultos mayores 36 años en adelante"))</f>
        <v>Adultos mayores 36 años en adelante</v>
      </c>
      <c r="E2824" s="3" t="s">
        <v>5021</v>
      </c>
      <c r="F2824" s="3" t="s">
        <v>5026</v>
      </c>
      <c r="G2824" s="3" t="s">
        <v>5035</v>
      </c>
      <c r="H2824" s="3" t="s">
        <v>6573</v>
      </c>
      <c r="I2824" s="17">
        <v>45359</v>
      </c>
      <c r="J2824" s="18">
        <f>YEAR(Tabla1[[#This Row],[FECHA DE COMPRA]])</f>
        <v>2024</v>
      </c>
      <c r="K2824" s="19">
        <v>88.81</v>
      </c>
      <c r="L2824" s="20">
        <v>0.2</v>
      </c>
      <c r="M2824" s="19">
        <f>Tienda!$K1387-Tienda!$K1387*Tienda!$L1387</f>
        <v>41.128</v>
      </c>
      <c r="N2824" s="3" t="s">
        <v>10040</v>
      </c>
      <c r="O2824" s="3" t="s">
        <v>10041</v>
      </c>
      <c r="P2824" s="17">
        <v>45359</v>
      </c>
      <c r="Q2824" s="4">
        <v>0</v>
      </c>
    </row>
    <row r="2825" spans="1:17" ht="30" x14ac:dyDescent="0.25">
      <c r="A2825" s="2" t="s">
        <v>4105</v>
      </c>
      <c r="B2825" s="3" t="s">
        <v>5015</v>
      </c>
      <c r="C2825" s="3">
        <v>64</v>
      </c>
      <c r="D2825" s="46" t="str">
        <f>IF(Tabla1[[#This Row],[EDAD]]&lt;=35,"Adultos jóvenes 18 - 35 años",IF(C2825&gt;=36,"Adultos mayores 36 años en adelante"))</f>
        <v>Adultos mayores 36 años en adelante</v>
      </c>
      <c r="E2825" s="3" t="s">
        <v>5020</v>
      </c>
      <c r="F2825" s="3" t="s">
        <v>5026</v>
      </c>
      <c r="G2825" s="3" t="s">
        <v>5032</v>
      </c>
      <c r="H2825" s="3" t="s">
        <v>9128</v>
      </c>
      <c r="I2825" s="17">
        <v>45576</v>
      </c>
      <c r="J2825" s="18">
        <f>YEAR(Tabla1[[#This Row],[FECHA DE COMPRA]])</f>
        <v>2024</v>
      </c>
      <c r="K2825" s="19">
        <v>90.22</v>
      </c>
      <c r="L2825" s="20">
        <v>0.2</v>
      </c>
      <c r="M2825" s="19">
        <f>Tienda!$K1390-Tienda!$K1390*Tienda!$L1390</f>
        <v>43.542000000000002</v>
      </c>
      <c r="N2825" s="3" t="s">
        <v>10040</v>
      </c>
      <c r="O2825" s="3" t="s">
        <v>10041</v>
      </c>
      <c r="P2825" s="17">
        <v>45576</v>
      </c>
      <c r="Q2825" s="4">
        <v>0</v>
      </c>
    </row>
    <row r="2826" spans="1:17" ht="30" x14ac:dyDescent="0.25">
      <c r="A2826" s="2" t="s">
        <v>2604</v>
      </c>
      <c r="B2826" s="3" t="s">
        <v>5015</v>
      </c>
      <c r="C2826" s="3">
        <v>41</v>
      </c>
      <c r="D2826" s="46" t="str">
        <f>IF(Tabla1[[#This Row],[EDAD]]&lt;=35,"Adultos jóvenes 18 - 35 años",IF(C2826&gt;=36,"Adultos mayores 36 años en adelante"))</f>
        <v>Adultos mayores 36 años en adelante</v>
      </c>
      <c r="E2826" s="3" t="s">
        <v>5020</v>
      </c>
      <c r="F2826" s="3" t="s">
        <v>5028</v>
      </c>
      <c r="G2826" s="3" t="s">
        <v>5031</v>
      </c>
      <c r="H2826" s="3" t="s">
        <v>7627</v>
      </c>
      <c r="I2826" s="17">
        <v>45314</v>
      </c>
      <c r="J2826" s="18">
        <f>YEAR(Tabla1[[#This Row],[FECHA DE COMPRA]])</f>
        <v>2024</v>
      </c>
      <c r="K2826" s="19">
        <v>91.69</v>
      </c>
      <c r="L2826" s="20">
        <v>0.2</v>
      </c>
      <c r="M2826" s="19">
        <f>Tienda!$K1398-Tienda!$K1398*Tienda!$L1398</f>
        <v>47.239999999999995</v>
      </c>
      <c r="N2826" s="3" t="s">
        <v>10040</v>
      </c>
      <c r="O2826" s="3" t="s">
        <v>10041</v>
      </c>
      <c r="P2826" s="17">
        <v>45314</v>
      </c>
      <c r="Q2826" s="4">
        <v>0</v>
      </c>
    </row>
    <row r="2827" spans="1:17" ht="30" x14ac:dyDescent="0.25">
      <c r="A2827" s="2" t="s">
        <v>4203</v>
      </c>
      <c r="B2827" s="3" t="s">
        <v>5015</v>
      </c>
      <c r="C2827" s="3">
        <v>58</v>
      </c>
      <c r="D2827" s="46" t="str">
        <f>IF(Tabla1[[#This Row],[EDAD]]&lt;=35,"Adultos jóvenes 18 - 35 años",IF(C2827&gt;=36,"Adultos mayores 36 años en adelante"))</f>
        <v>Adultos mayores 36 años en adelante</v>
      </c>
      <c r="E2827" s="3" t="s">
        <v>5021</v>
      </c>
      <c r="F2827" s="3" t="s">
        <v>5028</v>
      </c>
      <c r="G2827" s="3" t="s">
        <v>5037</v>
      </c>
      <c r="H2827" s="3" t="s">
        <v>9226</v>
      </c>
      <c r="I2827" s="17">
        <v>45635</v>
      </c>
      <c r="J2827" s="18">
        <f>YEAR(Tabla1[[#This Row],[FECHA DE COMPRA]])</f>
        <v>2024</v>
      </c>
      <c r="K2827" s="19">
        <v>73.47</v>
      </c>
      <c r="L2827" s="20">
        <v>0</v>
      </c>
      <c r="M2827" s="19">
        <f>Tienda!$K1399-Tienda!$K1399*Tienda!$L1399</f>
        <v>47.628</v>
      </c>
      <c r="N2827" s="3" t="s">
        <v>10040</v>
      </c>
      <c r="O2827" s="3" t="s">
        <v>10041</v>
      </c>
      <c r="P2827" s="17">
        <v>45635</v>
      </c>
      <c r="Q2827" s="4">
        <v>0</v>
      </c>
    </row>
    <row r="2828" spans="1:17" ht="30" x14ac:dyDescent="0.25">
      <c r="A2828" s="2" t="s">
        <v>4411</v>
      </c>
      <c r="B2828" s="3" t="s">
        <v>5016</v>
      </c>
      <c r="C2828" s="3">
        <v>59</v>
      </c>
      <c r="D2828" s="46" t="str">
        <f>IF(Tabla1[[#This Row],[EDAD]]&lt;=35,"Adultos jóvenes 18 - 35 años",IF(C2828&gt;=36,"Adultos mayores 36 años en adelante"))</f>
        <v>Adultos mayores 36 años en adelante</v>
      </c>
      <c r="E2828" s="3" t="s">
        <v>5023</v>
      </c>
      <c r="F2828" s="3" t="s">
        <v>5026</v>
      </c>
      <c r="G2828" s="3" t="s">
        <v>5034</v>
      </c>
      <c r="H2828" s="3" t="s">
        <v>9434</v>
      </c>
      <c r="I2828" s="17">
        <v>45350</v>
      </c>
      <c r="J2828" s="18">
        <f>YEAR(Tabla1[[#This Row],[FECHA DE COMPRA]])</f>
        <v>2024</v>
      </c>
      <c r="K2828" s="19">
        <v>105.24</v>
      </c>
      <c r="L2828" s="20">
        <v>0.3</v>
      </c>
      <c r="M2828" s="19">
        <f>Tienda!$K1401-Tienda!$K1401*Tienda!$L1401</f>
        <v>48.138999999999996</v>
      </c>
      <c r="N2828" s="3" t="s">
        <v>10040</v>
      </c>
      <c r="O2828" s="3" t="s">
        <v>10041</v>
      </c>
      <c r="P2828" s="17">
        <v>45350</v>
      </c>
      <c r="Q2828" s="4">
        <v>0</v>
      </c>
    </row>
    <row r="2829" spans="1:17" ht="30" x14ac:dyDescent="0.25">
      <c r="A2829" s="2" t="s">
        <v>2797</v>
      </c>
      <c r="B2829" s="3" t="s">
        <v>5015</v>
      </c>
      <c r="C2829" s="3">
        <v>62</v>
      </c>
      <c r="D2829" s="46" t="str">
        <f>IF(Tabla1[[#This Row],[EDAD]]&lt;=35,"Adultos jóvenes 18 - 35 años",IF(C2829&gt;=36,"Adultos mayores 36 años en adelante"))</f>
        <v>Adultos mayores 36 años en adelante</v>
      </c>
      <c r="E2829" s="3" t="s">
        <v>5021</v>
      </c>
      <c r="F2829" s="3" t="s">
        <v>5024</v>
      </c>
      <c r="G2829" s="3" t="s">
        <v>5032</v>
      </c>
      <c r="H2829" s="3" t="s">
        <v>7820</v>
      </c>
      <c r="I2829" s="17">
        <v>45338</v>
      </c>
      <c r="J2829" s="18">
        <f>YEAR(Tabla1[[#This Row],[FECHA DE COMPRA]])</f>
        <v>2024</v>
      </c>
      <c r="K2829" s="19">
        <v>106.38</v>
      </c>
      <c r="L2829" s="20">
        <v>0.3</v>
      </c>
      <c r="M2829" s="19">
        <f>Tienda!$K1402-Tienda!$K1402*Tienda!$L1402</f>
        <v>48.32</v>
      </c>
      <c r="N2829" s="3" t="s">
        <v>10040</v>
      </c>
      <c r="O2829" s="3" t="s">
        <v>10041</v>
      </c>
      <c r="P2829" s="17">
        <v>45338</v>
      </c>
      <c r="Q2829" s="4">
        <v>0</v>
      </c>
    </row>
    <row r="2830" spans="1:17" ht="30" x14ac:dyDescent="0.25">
      <c r="A2830" s="2" t="s">
        <v>3986</v>
      </c>
      <c r="B2830" s="3" t="s">
        <v>5015</v>
      </c>
      <c r="C2830" s="3">
        <v>53</v>
      </c>
      <c r="D2830" s="46" t="str">
        <f>IF(Tabla1[[#This Row],[EDAD]]&lt;=35,"Adultos jóvenes 18 - 35 años",IF(C2830&gt;=36,"Adultos mayores 36 años en adelante"))</f>
        <v>Adultos mayores 36 años en adelante</v>
      </c>
      <c r="E2830" s="3" t="s">
        <v>5022</v>
      </c>
      <c r="F2830" s="3" t="s">
        <v>5025</v>
      </c>
      <c r="G2830" s="3" t="s">
        <v>5032</v>
      </c>
      <c r="H2830" s="3" t="s">
        <v>9009</v>
      </c>
      <c r="I2830" s="17">
        <v>45423</v>
      </c>
      <c r="J2830" s="18">
        <f>YEAR(Tabla1[[#This Row],[FECHA DE COMPRA]])</f>
        <v>2024</v>
      </c>
      <c r="K2830" s="19">
        <v>106.44</v>
      </c>
      <c r="L2830" s="20">
        <v>0.3</v>
      </c>
      <c r="M2830" s="19">
        <f>Tienda!$K1404-Tienda!$K1404*Tienda!$L1404</f>
        <v>49.031999999999996</v>
      </c>
      <c r="N2830" s="3" t="s">
        <v>10040</v>
      </c>
      <c r="O2830" s="3" t="s">
        <v>10041</v>
      </c>
      <c r="P2830" s="17">
        <v>45423</v>
      </c>
      <c r="Q2830" s="4">
        <v>0</v>
      </c>
    </row>
    <row r="2831" spans="1:17" ht="30" x14ac:dyDescent="0.25">
      <c r="A2831" s="2" t="s">
        <v>2793</v>
      </c>
      <c r="B2831" s="3" t="s">
        <v>5015</v>
      </c>
      <c r="C2831" s="3">
        <v>53</v>
      </c>
      <c r="D2831" s="46" t="str">
        <f>IF(Tabla1[[#This Row],[EDAD]]&lt;=35,"Adultos jóvenes 18 - 35 años",IF(C2831&gt;=36,"Adultos mayores 36 años en adelante"))</f>
        <v>Adultos mayores 36 años en adelante</v>
      </c>
      <c r="E2831" s="3" t="s">
        <v>5022</v>
      </c>
      <c r="F2831" s="3" t="s">
        <v>5024</v>
      </c>
      <c r="G2831" s="3" t="s">
        <v>5034</v>
      </c>
      <c r="H2831" s="3" t="s">
        <v>7816</v>
      </c>
      <c r="I2831" s="17">
        <v>45327</v>
      </c>
      <c r="J2831" s="18">
        <f>YEAR(Tabla1[[#This Row],[FECHA DE COMPRA]])</f>
        <v>2024</v>
      </c>
      <c r="K2831" s="19">
        <v>93.76</v>
      </c>
      <c r="L2831" s="20">
        <v>0.2</v>
      </c>
      <c r="M2831" s="19">
        <f>Tienda!$K1408-Tienda!$K1408*Tienda!$L1408</f>
        <v>49.875</v>
      </c>
      <c r="N2831" s="3" t="s">
        <v>10040</v>
      </c>
      <c r="O2831" s="3" t="s">
        <v>10041</v>
      </c>
      <c r="P2831" s="17">
        <v>45327</v>
      </c>
      <c r="Q2831" s="4">
        <v>0</v>
      </c>
    </row>
    <row r="2832" spans="1:17" ht="30" x14ac:dyDescent="0.25">
      <c r="A2832" s="2" t="s">
        <v>3935</v>
      </c>
      <c r="B2832" s="3" t="s">
        <v>5016</v>
      </c>
      <c r="C2832" s="3">
        <v>43</v>
      </c>
      <c r="D2832" s="46" t="str">
        <f>IF(Tabla1[[#This Row],[EDAD]]&lt;=35,"Adultos jóvenes 18 - 35 años",IF(C2832&gt;=36,"Adultos mayores 36 años en adelante"))</f>
        <v>Adultos mayores 36 años en adelante</v>
      </c>
      <c r="E2832" s="3" t="s">
        <v>5023</v>
      </c>
      <c r="F2832" s="3" t="s">
        <v>5028</v>
      </c>
      <c r="G2832" s="3" t="s">
        <v>5032</v>
      </c>
      <c r="H2832" s="3" t="s">
        <v>8958</v>
      </c>
      <c r="I2832" s="17">
        <v>45610</v>
      </c>
      <c r="J2832" s="18">
        <f>YEAR(Tabla1[[#This Row],[FECHA DE COMPRA]])</f>
        <v>2024</v>
      </c>
      <c r="K2832" s="19">
        <v>94.78</v>
      </c>
      <c r="L2832" s="20">
        <v>0.2</v>
      </c>
      <c r="M2832" s="19">
        <f>Tienda!$K1411-Tienda!$K1411*Tienda!$L1411</f>
        <v>52.191999999999993</v>
      </c>
      <c r="N2832" s="3" t="s">
        <v>10040</v>
      </c>
      <c r="O2832" s="3" t="s">
        <v>10041</v>
      </c>
      <c r="P2832" s="17">
        <v>45610</v>
      </c>
      <c r="Q2832" s="4">
        <v>0</v>
      </c>
    </row>
    <row r="2833" spans="1:17" ht="30" x14ac:dyDescent="0.25">
      <c r="A2833" s="2" t="s">
        <v>2641</v>
      </c>
      <c r="B2833" s="3" t="s">
        <v>5015</v>
      </c>
      <c r="C2833" s="3">
        <v>44</v>
      </c>
      <c r="D2833" s="46" t="str">
        <f>IF(Tabla1[[#This Row],[EDAD]]&lt;=35,"Adultos jóvenes 18 - 35 años",IF(C2833&gt;=36,"Adultos mayores 36 años en adelante"))</f>
        <v>Adultos mayores 36 años en adelante</v>
      </c>
      <c r="E2833" s="3" t="s">
        <v>5021</v>
      </c>
      <c r="F2833" s="3" t="s">
        <v>5025</v>
      </c>
      <c r="G2833" s="3" t="s">
        <v>5033</v>
      </c>
      <c r="H2833" s="3" t="s">
        <v>7664</v>
      </c>
      <c r="I2833" s="17">
        <v>45512</v>
      </c>
      <c r="J2833" s="18">
        <f>YEAR(Tabla1[[#This Row],[FECHA DE COMPRA]])</f>
        <v>2024</v>
      </c>
      <c r="K2833" s="19">
        <v>109.14</v>
      </c>
      <c r="L2833" s="20">
        <v>0.3</v>
      </c>
      <c r="M2833" s="19">
        <f>Tienda!$K1412-Tienda!$K1412*Tienda!$L1412</f>
        <v>53.067000000000007</v>
      </c>
      <c r="N2833" s="3" t="s">
        <v>10040</v>
      </c>
      <c r="O2833" s="3" t="s">
        <v>10041</v>
      </c>
      <c r="P2833" s="17">
        <v>45512</v>
      </c>
      <c r="Q2833" s="4">
        <v>0</v>
      </c>
    </row>
    <row r="2834" spans="1:17" ht="30" x14ac:dyDescent="0.25">
      <c r="A2834" s="2" t="s">
        <v>4949</v>
      </c>
      <c r="B2834" s="3" t="s">
        <v>5016</v>
      </c>
      <c r="C2834" s="3">
        <v>36</v>
      </c>
      <c r="D2834" s="46" t="str">
        <f>IF(Tabla1[[#This Row],[EDAD]]&lt;=35,"Adultos jóvenes 18 - 35 años",IF(C2834&gt;=36,"Adultos mayores 36 años en adelante"))</f>
        <v>Adultos mayores 36 años en adelante</v>
      </c>
      <c r="E2834" s="3" t="s">
        <v>5021</v>
      </c>
      <c r="F2834" s="3" t="s">
        <v>5025</v>
      </c>
      <c r="G2834" s="3" t="s">
        <v>5035</v>
      </c>
      <c r="H2834" s="3" t="s">
        <v>9972</v>
      </c>
      <c r="I2834" s="17">
        <v>45561</v>
      </c>
      <c r="J2834" s="18">
        <f>YEAR(Tabla1[[#This Row],[FECHA DE COMPRA]])</f>
        <v>2024</v>
      </c>
      <c r="K2834" s="19">
        <v>109.28</v>
      </c>
      <c r="L2834" s="20">
        <v>0.3</v>
      </c>
      <c r="M2834" s="19">
        <f>Tienda!$K1413-Tienda!$K1413*Tienda!$L1413</f>
        <v>53.152000000000001</v>
      </c>
      <c r="N2834" s="3" t="s">
        <v>10040</v>
      </c>
      <c r="O2834" s="3" t="s">
        <v>10041</v>
      </c>
      <c r="P2834" s="17">
        <v>45561</v>
      </c>
      <c r="Q2834" s="4">
        <v>0</v>
      </c>
    </row>
    <row r="2835" spans="1:17" ht="30" x14ac:dyDescent="0.25">
      <c r="A2835" s="2" t="s">
        <v>2467</v>
      </c>
      <c r="B2835" s="3" t="s">
        <v>5015</v>
      </c>
      <c r="C2835" s="3">
        <v>50</v>
      </c>
      <c r="D2835" s="46" t="str">
        <f>IF(Tabla1[[#This Row],[EDAD]]&lt;=35,"Adultos jóvenes 18 - 35 años",IF(C2835&gt;=36,"Adultos mayores 36 años en adelante"))</f>
        <v>Adultos mayores 36 años en adelante</v>
      </c>
      <c r="E2835" s="3" t="s">
        <v>5020</v>
      </c>
      <c r="F2835" s="3" t="s">
        <v>5029</v>
      </c>
      <c r="G2835" s="3" t="s">
        <v>5035</v>
      </c>
      <c r="H2835" s="3" t="s">
        <v>7490</v>
      </c>
      <c r="I2835" s="17">
        <v>45439</v>
      </c>
      <c r="J2835" s="18">
        <f>YEAR(Tabla1[[#This Row],[FECHA DE COMPRA]])</f>
        <v>2024</v>
      </c>
      <c r="K2835" s="19">
        <v>95.76</v>
      </c>
      <c r="L2835" s="20">
        <v>0.2</v>
      </c>
      <c r="M2835" s="19">
        <f>Tienda!$K1415-Tienda!$K1415*Tienda!$L1415</f>
        <v>53.683</v>
      </c>
      <c r="N2835" s="3" t="s">
        <v>10040</v>
      </c>
      <c r="O2835" s="3" t="s">
        <v>10041</v>
      </c>
      <c r="P2835" s="17">
        <v>45439</v>
      </c>
      <c r="Q2835" s="4">
        <v>0</v>
      </c>
    </row>
    <row r="2836" spans="1:17" ht="30" x14ac:dyDescent="0.25">
      <c r="A2836" s="2" t="s">
        <v>2469</v>
      </c>
      <c r="B2836" s="3" t="s">
        <v>5016</v>
      </c>
      <c r="C2836" s="3">
        <v>43</v>
      </c>
      <c r="D2836" s="46" t="str">
        <f>IF(Tabla1[[#This Row],[EDAD]]&lt;=35,"Adultos jóvenes 18 - 35 años",IF(C2836&gt;=36,"Adultos mayores 36 años en adelante"))</f>
        <v>Adultos mayores 36 años en adelante</v>
      </c>
      <c r="E2836" s="3" t="s">
        <v>5023</v>
      </c>
      <c r="F2836" s="3" t="s">
        <v>5028</v>
      </c>
      <c r="G2836" s="3" t="s">
        <v>5032</v>
      </c>
      <c r="H2836" s="3" t="s">
        <v>7492</v>
      </c>
      <c r="I2836" s="17">
        <v>45525</v>
      </c>
      <c r="J2836" s="18">
        <f>YEAR(Tabla1[[#This Row],[FECHA DE COMPRA]])</f>
        <v>2024</v>
      </c>
      <c r="K2836" s="19">
        <v>85.85</v>
      </c>
      <c r="L2836" s="20">
        <v>0.1</v>
      </c>
      <c r="M2836" s="19">
        <f>Tienda!$K1417-Tienda!$K1417*Tienda!$L1417</f>
        <v>54.918000000000006</v>
      </c>
      <c r="N2836" s="3" t="s">
        <v>10040</v>
      </c>
      <c r="O2836" s="3" t="s">
        <v>10041</v>
      </c>
      <c r="P2836" s="17">
        <v>45525</v>
      </c>
      <c r="Q2836" s="4">
        <v>0</v>
      </c>
    </row>
    <row r="2837" spans="1:17" ht="30" x14ac:dyDescent="0.25">
      <c r="A2837" s="2" t="s">
        <v>4168</v>
      </c>
      <c r="B2837" s="3" t="s">
        <v>5015</v>
      </c>
      <c r="C2837" s="3">
        <v>54</v>
      </c>
      <c r="D2837" s="46" t="str">
        <f>IF(Tabla1[[#This Row],[EDAD]]&lt;=35,"Adultos jóvenes 18 - 35 años",IF(C2837&gt;=36,"Adultos mayores 36 años en adelante"))</f>
        <v>Adultos mayores 36 años en adelante</v>
      </c>
      <c r="E2837" s="3" t="s">
        <v>5019</v>
      </c>
      <c r="F2837" s="3" t="s">
        <v>5030</v>
      </c>
      <c r="G2837" s="3" t="s">
        <v>5034</v>
      </c>
      <c r="H2837" s="3" t="s">
        <v>9191</v>
      </c>
      <c r="I2837" s="17">
        <v>45576</v>
      </c>
      <c r="J2837" s="18">
        <f>YEAR(Tabla1[[#This Row],[FECHA DE COMPRA]])</f>
        <v>2024</v>
      </c>
      <c r="K2837" s="19">
        <v>77.34</v>
      </c>
      <c r="L2837" s="20">
        <v>0</v>
      </c>
      <c r="M2837" s="19">
        <f>Tienda!$K1418-Tienda!$K1418*Tienda!$L1418</f>
        <v>55.335999999999999</v>
      </c>
      <c r="N2837" s="3" t="s">
        <v>10040</v>
      </c>
      <c r="O2837" s="3" t="s">
        <v>10041</v>
      </c>
      <c r="P2837" s="17">
        <v>45576</v>
      </c>
      <c r="Q2837" s="4">
        <v>0</v>
      </c>
    </row>
    <row r="2838" spans="1:17" ht="30" x14ac:dyDescent="0.25">
      <c r="A2838" s="2" t="s">
        <v>2655</v>
      </c>
      <c r="B2838" s="3" t="s">
        <v>5015</v>
      </c>
      <c r="C2838" s="3">
        <v>44</v>
      </c>
      <c r="D2838" s="46" t="str">
        <f>IF(Tabla1[[#This Row],[EDAD]]&lt;=35,"Adultos jóvenes 18 - 35 años",IF(C2838&gt;=36,"Adultos mayores 36 años en adelante"))</f>
        <v>Adultos mayores 36 años en adelante</v>
      </c>
      <c r="E2838" s="3" t="s">
        <v>5023</v>
      </c>
      <c r="F2838" s="3" t="s">
        <v>5027</v>
      </c>
      <c r="G2838" s="3" t="s">
        <v>5033</v>
      </c>
      <c r="H2838" s="3" t="s">
        <v>7678</v>
      </c>
      <c r="I2838" s="17">
        <v>45607</v>
      </c>
      <c r="J2838" s="18">
        <f>YEAR(Tabla1[[#This Row],[FECHA DE COMPRA]])</f>
        <v>2024</v>
      </c>
      <c r="K2838" s="19">
        <v>86.13</v>
      </c>
      <c r="L2838" s="20">
        <v>0.1</v>
      </c>
      <c r="M2838" s="19">
        <f>Tienda!$K1419-Tienda!$K1419*Tienda!$L1419</f>
        <v>55.72</v>
      </c>
      <c r="N2838" s="3" t="s">
        <v>10040</v>
      </c>
      <c r="O2838" s="3" t="s">
        <v>10041</v>
      </c>
      <c r="P2838" s="17">
        <v>45607</v>
      </c>
      <c r="Q2838" s="4">
        <v>0</v>
      </c>
    </row>
    <row r="2839" spans="1:17" ht="30" x14ac:dyDescent="0.25">
      <c r="A2839" s="2" t="s">
        <v>344</v>
      </c>
      <c r="B2839" s="3" t="s">
        <v>5015</v>
      </c>
      <c r="C2839" s="3">
        <v>63</v>
      </c>
      <c r="D2839" s="46" t="str">
        <f>IF(Tabla1[[#This Row],[EDAD]]&lt;=35,"Adultos jóvenes 18 - 35 años",IF(C2839&gt;=36,"Adultos mayores 36 años en adelante"))</f>
        <v>Adultos mayores 36 años en adelante</v>
      </c>
      <c r="E2839" s="3" t="s">
        <v>5018</v>
      </c>
      <c r="F2839" s="3" t="s">
        <v>5027</v>
      </c>
      <c r="G2839" s="3" t="s">
        <v>5035</v>
      </c>
      <c r="H2839" s="3" t="s">
        <v>5367</v>
      </c>
      <c r="I2839" s="17">
        <v>45601</v>
      </c>
      <c r="J2839" s="18">
        <f>YEAR(Tabla1[[#This Row],[FECHA DE COMPRA]])</f>
        <v>2024</v>
      </c>
      <c r="K2839" s="19">
        <v>86.44</v>
      </c>
      <c r="L2839" s="20">
        <v>0.1</v>
      </c>
      <c r="M2839" s="19">
        <f>Tienda!$K1422-Tienda!$K1422*Tienda!$L1422</f>
        <v>57.295000000000002</v>
      </c>
      <c r="N2839" s="3" t="s">
        <v>10040</v>
      </c>
      <c r="O2839" s="3" t="s">
        <v>10041</v>
      </c>
      <c r="P2839" s="17">
        <v>45601</v>
      </c>
      <c r="Q2839" s="4">
        <v>0</v>
      </c>
    </row>
    <row r="2840" spans="1:17" ht="30" x14ac:dyDescent="0.25">
      <c r="A2840" s="2" t="s">
        <v>821</v>
      </c>
      <c r="B2840" s="3" t="s">
        <v>5016</v>
      </c>
      <c r="C2840" s="3">
        <v>63</v>
      </c>
      <c r="D2840" s="46" t="str">
        <f>IF(Tabla1[[#This Row],[EDAD]]&lt;=35,"Adultos jóvenes 18 - 35 años",IF(C2840&gt;=36,"Adultos mayores 36 años en adelante"))</f>
        <v>Adultos mayores 36 años en adelante</v>
      </c>
      <c r="E2840" s="3" t="s">
        <v>5023</v>
      </c>
      <c r="F2840" s="3" t="s">
        <v>5030</v>
      </c>
      <c r="G2840" s="3" t="s">
        <v>5031</v>
      </c>
      <c r="H2840" s="3" t="s">
        <v>5844</v>
      </c>
      <c r="I2840" s="17">
        <v>45595</v>
      </c>
      <c r="J2840" s="18">
        <f>YEAR(Tabla1[[#This Row],[FECHA DE COMPRA]])</f>
        <v>2024</v>
      </c>
      <c r="K2840" s="19">
        <v>78.290000000000006</v>
      </c>
      <c r="L2840" s="20">
        <v>0</v>
      </c>
      <c r="M2840" s="19">
        <f>Tienda!$K1427-Tienda!$K1427*Tienda!$L1427</f>
        <v>59.072000000000003</v>
      </c>
      <c r="N2840" s="3" t="s">
        <v>10040</v>
      </c>
      <c r="O2840" s="3" t="s">
        <v>10041</v>
      </c>
      <c r="P2840" s="17">
        <v>45595</v>
      </c>
      <c r="Q2840" s="4">
        <v>0</v>
      </c>
    </row>
    <row r="2841" spans="1:17" ht="30" x14ac:dyDescent="0.25">
      <c r="A2841" s="2" t="s">
        <v>2107</v>
      </c>
      <c r="B2841" s="3" t="s">
        <v>5016</v>
      </c>
      <c r="C2841" s="3">
        <v>38</v>
      </c>
      <c r="D2841" s="46" t="str">
        <f>IF(Tabla1[[#This Row],[EDAD]]&lt;=35,"Adultos jóvenes 18 - 35 años",IF(C2841&gt;=36,"Adultos mayores 36 años en adelante"))</f>
        <v>Adultos mayores 36 años en adelante</v>
      </c>
      <c r="E2841" s="3" t="s">
        <v>5017</v>
      </c>
      <c r="F2841" s="3" t="s">
        <v>5026</v>
      </c>
      <c r="G2841" s="3" t="s">
        <v>5035</v>
      </c>
      <c r="H2841" s="3" t="s">
        <v>7130</v>
      </c>
      <c r="I2841" s="17">
        <v>45655</v>
      </c>
      <c r="J2841" s="18">
        <f>YEAR(Tabla1[[#This Row],[FECHA DE COMPRA]])</f>
        <v>2024</v>
      </c>
      <c r="K2841" s="19">
        <v>78.959999999999994</v>
      </c>
      <c r="L2841" s="20">
        <v>0</v>
      </c>
      <c r="M2841" s="19">
        <f>Tienda!$K1431-Tienda!$K1431*Tienda!$L1431</f>
        <v>61.73</v>
      </c>
      <c r="N2841" s="3" t="s">
        <v>10040</v>
      </c>
      <c r="O2841" s="3" t="s">
        <v>10041</v>
      </c>
      <c r="P2841" s="17">
        <v>45655</v>
      </c>
      <c r="Q2841" s="4">
        <v>0</v>
      </c>
    </row>
    <row r="2842" spans="1:17" ht="30" x14ac:dyDescent="0.25">
      <c r="A2842" s="2" t="s">
        <v>2530</v>
      </c>
      <c r="B2842" s="3" t="s">
        <v>5016</v>
      </c>
      <c r="C2842" s="3">
        <v>62</v>
      </c>
      <c r="D2842" s="46" t="str">
        <f>IF(Tabla1[[#This Row],[EDAD]]&lt;=35,"Adultos jóvenes 18 - 35 años",IF(C2842&gt;=36,"Adultos mayores 36 años en adelante"))</f>
        <v>Adultos mayores 36 años en adelante</v>
      </c>
      <c r="E2842" s="3" t="s">
        <v>5021</v>
      </c>
      <c r="F2842" s="3" t="s">
        <v>5027</v>
      </c>
      <c r="G2842" s="3" t="s">
        <v>5032</v>
      </c>
      <c r="H2842" s="3" t="s">
        <v>7553</v>
      </c>
      <c r="I2842" s="17">
        <v>45429</v>
      </c>
      <c r="J2842" s="18">
        <f>YEAR(Tabla1[[#This Row],[FECHA DE COMPRA]])</f>
        <v>2024</v>
      </c>
      <c r="K2842" s="19">
        <v>79.34</v>
      </c>
      <c r="L2842" s="20">
        <v>0</v>
      </c>
      <c r="M2842" s="19">
        <f>Tienda!$K1433-Tienda!$K1433*Tienda!$L1433</f>
        <v>62.27</v>
      </c>
      <c r="N2842" s="3" t="s">
        <v>10040</v>
      </c>
      <c r="O2842" s="3" t="s">
        <v>10041</v>
      </c>
      <c r="P2842" s="17">
        <v>45429</v>
      </c>
      <c r="Q2842" s="4">
        <v>0</v>
      </c>
    </row>
    <row r="2843" spans="1:17" ht="30" x14ac:dyDescent="0.25">
      <c r="A2843" s="2" t="s">
        <v>2413</v>
      </c>
      <c r="B2843" s="3" t="s">
        <v>5015</v>
      </c>
      <c r="C2843" s="3">
        <v>38</v>
      </c>
      <c r="D2843" s="46" t="str">
        <f>IF(Tabla1[[#This Row],[EDAD]]&lt;=35,"Adultos jóvenes 18 - 35 años",IF(C2843&gt;=36,"Adultos mayores 36 años en adelante"))</f>
        <v>Adultos mayores 36 años en adelante</v>
      </c>
      <c r="E2843" s="3" t="s">
        <v>5023</v>
      </c>
      <c r="F2843" s="3" t="s">
        <v>5027</v>
      </c>
      <c r="G2843" s="3" t="s">
        <v>5037</v>
      </c>
      <c r="H2843" s="3" t="s">
        <v>7436</v>
      </c>
      <c r="I2843" s="17">
        <v>45478</v>
      </c>
      <c r="J2843" s="18">
        <f>YEAR(Tabla1[[#This Row],[FECHA DE COMPRA]])</f>
        <v>2024</v>
      </c>
      <c r="K2843" s="19">
        <v>100.04</v>
      </c>
      <c r="L2843" s="20">
        <v>0.2</v>
      </c>
      <c r="M2843" s="19">
        <f>Tienda!$K1435-Tienda!$K1435*Tienda!$L1435</f>
        <v>65.87</v>
      </c>
      <c r="N2843" s="3" t="s">
        <v>10040</v>
      </c>
      <c r="O2843" s="3" t="s">
        <v>10041</v>
      </c>
      <c r="P2843" s="17">
        <v>45478</v>
      </c>
      <c r="Q2843" s="4">
        <v>0</v>
      </c>
    </row>
    <row r="2844" spans="1:17" ht="30" x14ac:dyDescent="0.25">
      <c r="A2844" s="2" t="s">
        <v>1476</v>
      </c>
      <c r="B2844" s="3" t="s">
        <v>5016</v>
      </c>
      <c r="C2844" s="3">
        <v>39</v>
      </c>
      <c r="D2844" s="46" t="str">
        <f>IF(Tabla1[[#This Row],[EDAD]]&lt;=35,"Adultos jóvenes 18 - 35 años",IF(C2844&gt;=36,"Adultos mayores 36 años en adelante"))</f>
        <v>Adultos mayores 36 años en adelante</v>
      </c>
      <c r="E2844" s="3" t="s">
        <v>5019</v>
      </c>
      <c r="F2844" s="3" t="s">
        <v>5029</v>
      </c>
      <c r="G2844" s="3" t="s">
        <v>5031</v>
      </c>
      <c r="H2844" s="3" t="s">
        <v>6499</v>
      </c>
      <c r="I2844" s="17">
        <v>45355</v>
      </c>
      <c r="J2844" s="18">
        <f>YEAR(Tabla1[[#This Row],[FECHA DE COMPRA]])</f>
        <v>2024</v>
      </c>
      <c r="K2844" s="19">
        <v>88.93</v>
      </c>
      <c r="L2844" s="20">
        <v>0.1</v>
      </c>
      <c r="M2844" s="19">
        <f>Tienda!$K1436-Tienda!$K1436*Tienda!$L1436</f>
        <v>67.36</v>
      </c>
      <c r="N2844" s="3" t="s">
        <v>10040</v>
      </c>
      <c r="O2844" s="3" t="s">
        <v>10041</v>
      </c>
      <c r="P2844" s="17">
        <v>45355</v>
      </c>
      <c r="Q2844" s="4">
        <v>0</v>
      </c>
    </row>
    <row r="2845" spans="1:17" ht="30" x14ac:dyDescent="0.25">
      <c r="A2845" s="2" t="s">
        <v>1587</v>
      </c>
      <c r="B2845" s="3" t="s">
        <v>5015</v>
      </c>
      <c r="C2845" s="3">
        <v>57</v>
      </c>
      <c r="D2845" s="46" t="str">
        <f>IF(Tabla1[[#This Row],[EDAD]]&lt;=35,"Adultos jóvenes 18 - 35 años",IF(C2845&gt;=36,"Adultos mayores 36 años en adelante"))</f>
        <v>Adultos mayores 36 años en adelante</v>
      </c>
      <c r="E2845" s="3" t="s">
        <v>5022</v>
      </c>
      <c r="F2845" s="3" t="s">
        <v>5024</v>
      </c>
      <c r="G2845" s="3" t="s">
        <v>5037</v>
      </c>
      <c r="H2845" s="3" t="s">
        <v>6610</v>
      </c>
      <c r="I2845" s="17">
        <v>45582</v>
      </c>
      <c r="J2845" s="18">
        <f>YEAR(Tabla1[[#This Row],[FECHA DE COMPRA]])</f>
        <v>2024</v>
      </c>
      <c r="K2845" s="19">
        <v>114.9</v>
      </c>
      <c r="L2845" s="20">
        <v>0.3</v>
      </c>
      <c r="M2845" s="19">
        <f>Tienda!$K1437-Tienda!$K1437*Tienda!$L1437</f>
        <v>67.570999999999998</v>
      </c>
      <c r="N2845" s="3" t="s">
        <v>10040</v>
      </c>
      <c r="O2845" s="3" t="s">
        <v>10041</v>
      </c>
      <c r="P2845" s="17">
        <v>45582</v>
      </c>
      <c r="Q2845" s="4">
        <v>0</v>
      </c>
    </row>
    <row r="2846" spans="1:17" ht="30" x14ac:dyDescent="0.25">
      <c r="A2846" s="2" t="s">
        <v>1377</v>
      </c>
      <c r="B2846" s="3" t="s">
        <v>5015</v>
      </c>
      <c r="C2846" s="3">
        <v>43</v>
      </c>
      <c r="D2846" s="46" t="str">
        <f>IF(Tabla1[[#This Row],[EDAD]]&lt;=35,"Adultos jóvenes 18 - 35 años",IF(C2846&gt;=36,"Adultos mayores 36 años en adelante"))</f>
        <v>Adultos mayores 36 años en adelante</v>
      </c>
      <c r="E2846" s="3" t="s">
        <v>5018</v>
      </c>
      <c r="F2846" s="3" t="s">
        <v>5030</v>
      </c>
      <c r="G2846" s="3" t="s">
        <v>5032</v>
      </c>
      <c r="H2846" s="3" t="s">
        <v>6400</v>
      </c>
      <c r="I2846" s="17">
        <v>45649</v>
      </c>
      <c r="J2846" s="18">
        <f>YEAR(Tabla1[[#This Row],[FECHA DE COMPRA]])</f>
        <v>2024</v>
      </c>
      <c r="K2846" s="19">
        <v>100.91</v>
      </c>
      <c r="L2846" s="20">
        <v>0.2</v>
      </c>
      <c r="M2846" s="19">
        <f>Tienda!$K1439-Tienda!$K1439*Tienda!$L1439</f>
        <v>68.535000000000011</v>
      </c>
      <c r="N2846" s="3" t="s">
        <v>10040</v>
      </c>
      <c r="O2846" s="3" t="s">
        <v>10041</v>
      </c>
      <c r="P2846" s="17">
        <v>45297</v>
      </c>
      <c r="Q2846" s="4">
        <v>0</v>
      </c>
    </row>
    <row r="2847" spans="1:17" ht="30" x14ac:dyDescent="0.25">
      <c r="A2847" s="2" t="s">
        <v>3127</v>
      </c>
      <c r="B2847" s="3" t="s">
        <v>5015</v>
      </c>
      <c r="C2847" s="3">
        <v>46</v>
      </c>
      <c r="D2847" s="46" t="str">
        <f>IF(Tabla1[[#This Row],[EDAD]]&lt;=35,"Adultos jóvenes 18 - 35 años",IF(C2847&gt;=36,"Adultos mayores 36 años en adelante"))</f>
        <v>Adultos mayores 36 años en adelante</v>
      </c>
      <c r="E2847" s="3" t="s">
        <v>5022</v>
      </c>
      <c r="F2847" s="3" t="s">
        <v>5030</v>
      </c>
      <c r="G2847" s="3" t="s">
        <v>5037</v>
      </c>
      <c r="H2847" s="3" t="s">
        <v>8150</v>
      </c>
      <c r="I2847" s="17">
        <v>45519</v>
      </c>
      <c r="J2847" s="18">
        <f>YEAR(Tabla1[[#This Row],[FECHA DE COMPRA]])</f>
        <v>2024</v>
      </c>
      <c r="K2847" s="19">
        <v>115.8</v>
      </c>
      <c r="L2847" s="20">
        <v>0.3</v>
      </c>
      <c r="M2847" s="19">
        <f>Tienda!$K1441-Tienda!$K1441*Tienda!$L1441</f>
        <v>68.872</v>
      </c>
      <c r="N2847" s="3" t="s">
        <v>10040</v>
      </c>
      <c r="O2847" s="3" t="s">
        <v>10041</v>
      </c>
      <c r="P2847" s="17">
        <v>45519</v>
      </c>
      <c r="Q2847" s="4">
        <v>0</v>
      </c>
    </row>
    <row r="2848" spans="1:17" ht="30" x14ac:dyDescent="0.25">
      <c r="A2848" s="2" t="s">
        <v>3046</v>
      </c>
      <c r="B2848" s="3" t="s">
        <v>5015</v>
      </c>
      <c r="C2848" s="3">
        <v>54</v>
      </c>
      <c r="D2848" s="46" t="str">
        <f>IF(Tabla1[[#This Row],[EDAD]]&lt;=35,"Adultos jóvenes 18 - 35 años",IF(C2848&gt;=36,"Adultos mayores 36 años en adelante"))</f>
        <v>Adultos mayores 36 años en adelante</v>
      </c>
      <c r="E2848" s="3" t="s">
        <v>5018</v>
      </c>
      <c r="F2848" s="3" t="s">
        <v>5024</v>
      </c>
      <c r="G2848" s="3" t="s">
        <v>5031</v>
      </c>
      <c r="H2848" s="3" t="s">
        <v>8069</v>
      </c>
      <c r="I2848" s="17">
        <v>45649</v>
      </c>
      <c r="J2848" s="18">
        <f>YEAR(Tabla1[[#This Row],[FECHA DE COMPRA]])</f>
        <v>2024</v>
      </c>
      <c r="K2848" s="19">
        <v>116.04</v>
      </c>
      <c r="L2848" s="20">
        <v>0.3</v>
      </c>
      <c r="M2848" s="19">
        <f>Tienda!$K1443-Tienda!$K1443*Tienda!$L1443</f>
        <v>70.217999999999989</v>
      </c>
      <c r="N2848" s="3" t="s">
        <v>10040</v>
      </c>
      <c r="O2848" s="3" t="s">
        <v>10041</v>
      </c>
      <c r="P2848" s="17">
        <v>45297</v>
      </c>
      <c r="Q2848" s="4">
        <v>0</v>
      </c>
    </row>
    <row r="2849" spans="1:17" ht="30" x14ac:dyDescent="0.25">
      <c r="A2849" s="2" t="s">
        <v>4503</v>
      </c>
      <c r="B2849" s="3" t="s">
        <v>5016</v>
      </c>
      <c r="C2849" s="3">
        <v>54</v>
      </c>
      <c r="D2849" s="46" t="str">
        <f>IF(Tabla1[[#This Row],[EDAD]]&lt;=35,"Adultos jóvenes 18 - 35 años",IF(C2849&gt;=36,"Adultos mayores 36 años en adelante"))</f>
        <v>Adultos mayores 36 años en adelante</v>
      </c>
      <c r="E2849" s="3" t="s">
        <v>5021</v>
      </c>
      <c r="F2849" s="3" t="s">
        <v>5025</v>
      </c>
      <c r="G2849" s="3" t="s">
        <v>5034</v>
      </c>
      <c r="H2849" s="3" t="s">
        <v>9526</v>
      </c>
      <c r="I2849" s="17">
        <v>45630</v>
      </c>
      <c r="J2849" s="18">
        <f>YEAR(Tabla1[[#This Row],[FECHA DE COMPRA]])</f>
        <v>2024</v>
      </c>
      <c r="K2849" s="19">
        <v>90.9</v>
      </c>
      <c r="L2849" s="20">
        <v>0.1</v>
      </c>
      <c r="M2849" s="19">
        <f>Tienda!$K1444-Tienda!$K1444*Tienda!$L1444</f>
        <v>70.524000000000001</v>
      </c>
      <c r="N2849" s="3" t="s">
        <v>10040</v>
      </c>
      <c r="O2849" s="3" t="s">
        <v>10041</v>
      </c>
      <c r="P2849" s="17">
        <v>45630</v>
      </c>
      <c r="Q2849" s="4">
        <v>0</v>
      </c>
    </row>
    <row r="2850" spans="1:17" ht="30" x14ac:dyDescent="0.25">
      <c r="A2850" s="2" t="s">
        <v>3176</v>
      </c>
      <c r="B2850" s="3" t="s">
        <v>5016</v>
      </c>
      <c r="C2850" s="3">
        <v>57</v>
      </c>
      <c r="D2850" s="46" t="str">
        <f>IF(Tabla1[[#This Row],[EDAD]]&lt;=35,"Adultos jóvenes 18 - 35 años",IF(C2850&gt;=36,"Adultos mayores 36 años en adelante"))</f>
        <v>Adultos mayores 36 años en adelante</v>
      </c>
      <c r="E2850" s="3" t="s">
        <v>5019</v>
      </c>
      <c r="F2850" s="3" t="s">
        <v>5028</v>
      </c>
      <c r="G2850" s="3" t="s">
        <v>5032</v>
      </c>
      <c r="H2850" s="3" t="s">
        <v>8199</v>
      </c>
      <c r="I2850" s="17">
        <v>45528</v>
      </c>
      <c r="J2850" s="18">
        <f>YEAR(Tabla1[[#This Row],[FECHA DE COMPRA]])</f>
        <v>2024</v>
      </c>
      <c r="K2850" s="19">
        <v>91.37</v>
      </c>
      <c r="L2850" s="20">
        <v>0.1</v>
      </c>
      <c r="M2850" s="19">
        <f>Tienda!$K1446-Tienda!$K1446*Tienda!$L1446</f>
        <v>71.087999999999994</v>
      </c>
      <c r="N2850" s="3" t="s">
        <v>10040</v>
      </c>
      <c r="O2850" s="3" t="s">
        <v>10041</v>
      </c>
      <c r="P2850" s="17">
        <v>45528</v>
      </c>
      <c r="Q2850" s="4">
        <v>0</v>
      </c>
    </row>
    <row r="2851" spans="1:17" ht="30" x14ac:dyDescent="0.25">
      <c r="A2851" s="2" t="s">
        <v>3749</v>
      </c>
      <c r="B2851" s="3" t="s">
        <v>5015</v>
      </c>
      <c r="C2851" s="3">
        <v>60</v>
      </c>
      <c r="D2851" s="46" t="str">
        <f>IF(Tabla1[[#This Row],[EDAD]]&lt;=35,"Adultos jóvenes 18 - 35 años",IF(C2851&gt;=36,"Adultos mayores 36 años en adelante"))</f>
        <v>Adultos mayores 36 años en adelante</v>
      </c>
      <c r="E2851" s="3" t="s">
        <v>5020</v>
      </c>
      <c r="F2851" s="3" t="s">
        <v>5028</v>
      </c>
      <c r="G2851" s="3" t="s">
        <v>5037</v>
      </c>
      <c r="H2851" s="3" t="s">
        <v>8772</v>
      </c>
      <c r="I2851" s="17">
        <v>45362</v>
      </c>
      <c r="J2851" s="18">
        <f>YEAR(Tabla1[[#This Row],[FECHA DE COMPRA]])</f>
        <v>2024</v>
      </c>
      <c r="K2851" s="19">
        <v>82.58</v>
      </c>
      <c r="L2851" s="20">
        <v>0</v>
      </c>
      <c r="M2851" s="19">
        <f>Tienda!$K1451-Tienda!$K1451*Tienda!$L1451</f>
        <v>72.616</v>
      </c>
      <c r="N2851" s="3" t="s">
        <v>10040</v>
      </c>
      <c r="O2851" s="3" t="s">
        <v>10041</v>
      </c>
      <c r="P2851" s="17">
        <v>45362</v>
      </c>
      <c r="Q2851" s="4">
        <v>0</v>
      </c>
    </row>
    <row r="2852" spans="1:17" ht="30" x14ac:dyDescent="0.25">
      <c r="A2852" s="2" t="s">
        <v>2603</v>
      </c>
      <c r="B2852" s="3" t="s">
        <v>5015</v>
      </c>
      <c r="C2852" s="3">
        <v>53</v>
      </c>
      <c r="D2852" s="46" t="str">
        <f>IF(Tabla1[[#This Row],[EDAD]]&lt;=35,"Adultos jóvenes 18 - 35 años",IF(C2852&gt;=36,"Adultos mayores 36 años en adelante"))</f>
        <v>Adultos mayores 36 años en adelante</v>
      </c>
      <c r="E2852" s="3" t="s">
        <v>5018</v>
      </c>
      <c r="F2852" s="3" t="s">
        <v>5026</v>
      </c>
      <c r="G2852" s="3" t="s">
        <v>5033</v>
      </c>
      <c r="H2852" s="3" t="s">
        <v>7626</v>
      </c>
      <c r="I2852" s="17">
        <v>45571</v>
      </c>
      <c r="J2852" s="18">
        <f>YEAR(Tabla1[[#This Row],[FECHA DE COMPRA]])</f>
        <v>2024</v>
      </c>
      <c r="K2852" s="19">
        <v>104.82</v>
      </c>
      <c r="L2852" s="20">
        <v>0.2</v>
      </c>
      <c r="M2852" s="19">
        <f>Tienda!$K1452-Tienda!$K1452*Tienda!$L1452</f>
        <v>72.855999999999995</v>
      </c>
      <c r="N2852" s="3" t="s">
        <v>10040</v>
      </c>
      <c r="O2852" s="3" t="s">
        <v>10041</v>
      </c>
      <c r="P2852" s="17">
        <v>45571</v>
      </c>
      <c r="Q2852" s="4">
        <v>0</v>
      </c>
    </row>
    <row r="2853" spans="1:17" ht="30" x14ac:dyDescent="0.25">
      <c r="A2853" s="2" t="s">
        <v>1782</v>
      </c>
      <c r="B2853" s="3" t="s">
        <v>5016</v>
      </c>
      <c r="C2853" s="3">
        <v>36</v>
      </c>
      <c r="D2853" s="46" t="str">
        <f>IF(Tabla1[[#This Row],[EDAD]]&lt;=35,"Adultos jóvenes 18 - 35 años",IF(C2853&gt;=36,"Adultos mayores 36 años en adelante"))</f>
        <v>Adultos mayores 36 años en adelante</v>
      </c>
      <c r="E2853" s="3" t="s">
        <v>5017</v>
      </c>
      <c r="F2853" s="3" t="s">
        <v>5026</v>
      </c>
      <c r="G2853" s="3" t="s">
        <v>5037</v>
      </c>
      <c r="H2853" s="3" t="s">
        <v>6805</v>
      </c>
      <c r="I2853" s="17">
        <v>45656</v>
      </c>
      <c r="J2853" s="18">
        <f>YEAR(Tabla1[[#This Row],[FECHA DE COMPRA]])</f>
        <v>2024</v>
      </c>
      <c r="K2853" s="19">
        <v>120.56</v>
      </c>
      <c r="L2853" s="20">
        <v>0.3</v>
      </c>
      <c r="M2853" s="19">
        <f>Tienda!$K1456-Tienda!$K1456*Tienda!$L1456</f>
        <v>75.463999999999999</v>
      </c>
      <c r="N2853" s="3" t="s">
        <v>10040</v>
      </c>
      <c r="O2853" s="3" t="s">
        <v>10041</v>
      </c>
      <c r="P2853" s="17">
        <v>45656</v>
      </c>
      <c r="Q2853" s="4">
        <v>0</v>
      </c>
    </row>
    <row r="2854" spans="1:17" ht="30" x14ac:dyDescent="0.25">
      <c r="A2854" s="2" t="s">
        <v>4558</v>
      </c>
      <c r="B2854" s="3" t="s">
        <v>5015</v>
      </c>
      <c r="C2854" s="3">
        <v>58</v>
      </c>
      <c r="D2854" s="46" t="str">
        <f>IF(Tabla1[[#This Row],[EDAD]]&lt;=35,"Adultos jóvenes 18 - 35 años",IF(C2854&gt;=36,"Adultos mayores 36 años en adelante"))</f>
        <v>Adultos mayores 36 años en adelante</v>
      </c>
      <c r="E2854" s="3" t="s">
        <v>5018</v>
      </c>
      <c r="F2854" s="3" t="s">
        <v>5029</v>
      </c>
      <c r="G2854" s="3" t="s">
        <v>5031</v>
      </c>
      <c r="H2854" s="3" t="s">
        <v>9581</v>
      </c>
      <c r="I2854" s="17">
        <v>45591</v>
      </c>
      <c r="J2854" s="18">
        <f>YEAR(Tabla1[[#This Row],[FECHA DE COMPRA]])</f>
        <v>2024</v>
      </c>
      <c r="K2854" s="19">
        <v>106.54</v>
      </c>
      <c r="L2854" s="20">
        <v>0.2</v>
      </c>
      <c r="M2854" s="19">
        <f>Tienda!$K1459-Tienda!$K1459*Tienda!$L1459</f>
        <v>77.058000000000007</v>
      </c>
      <c r="N2854" s="3" t="s">
        <v>10040</v>
      </c>
      <c r="O2854" s="3" t="s">
        <v>10041</v>
      </c>
      <c r="P2854" s="17">
        <v>45591</v>
      </c>
      <c r="Q2854" s="4">
        <v>0</v>
      </c>
    </row>
    <row r="2855" spans="1:17" ht="30" x14ac:dyDescent="0.25">
      <c r="A2855" s="2" t="s">
        <v>617</v>
      </c>
      <c r="B2855" s="3" t="s">
        <v>5015</v>
      </c>
      <c r="C2855" s="3">
        <v>46</v>
      </c>
      <c r="D2855" s="46" t="str">
        <f>IF(Tabla1[[#This Row],[EDAD]]&lt;=35,"Adultos jóvenes 18 - 35 años",IF(C2855&gt;=36,"Adultos mayores 36 años en adelante"))</f>
        <v>Adultos mayores 36 años en adelante</v>
      </c>
      <c r="E2855" s="3" t="s">
        <v>5022</v>
      </c>
      <c r="F2855" s="3" t="s">
        <v>5028</v>
      </c>
      <c r="G2855" s="3" t="s">
        <v>5037</v>
      </c>
      <c r="H2855" s="3" t="s">
        <v>5640</v>
      </c>
      <c r="I2855" s="17">
        <v>45646</v>
      </c>
      <c r="J2855" s="18">
        <f>YEAR(Tabla1[[#This Row],[FECHA DE COMPRA]])</f>
        <v>2024</v>
      </c>
      <c r="K2855" s="19">
        <v>94.87</v>
      </c>
      <c r="L2855" s="20">
        <v>0.1</v>
      </c>
      <c r="M2855" s="19">
        <f>Tienda!$K1460-Tienda!$K1460*Tienda!$L1460</f>
        <v>77.644000000000005</v>
      </c>
      <c r="N2855" s="3" t="s">
        <v>10040</v>
      </c>
      <c r="O2855" s="3" t="s">
        <v>10041</v>
      </c>
      <c r="P2855" s="17">
        <v>45646</v>
      </c>
      <c r="Q2855" s="4">
        <v>0</v>
      </c>
    </row>
    <row r="2856" spans="1:17" ht="30" x14ac:dyDescent="0.25">
      <c r="A2856" s="2" t="s">
        <v>4723</v>
      </c>
      <c r="B2856" s="3" t="s">
        <v>5015</v>
      </c>
      <c r="C2856" s="3">
        <v>51</v>
      </c>
      <c r="D2856" s="46" t="str">
        <f>IF(Tabla1[[#This Row],[EDAD]]&lt;=35,"Adultos jóvenes 18 - 35 años",IF(C2856&gt;=36,"Adultos mayores 36 años en adelante"))</f>
        <v>Adultos mayores 36 años en adelante</v>
      </c>
      <c r="E2856" s="3" t="s">
        <v>5022</v>
      </c>
      <c r="F2856" s="3" t="s">
        <v>5024</v>
      </c>
      <c r="G2856" s="3" t="s">
        <v>5032</v>
      </c>
      <c r="H2856" s="3" t="s">
        <v>9746</v>
      </c>
      <c r="I2856" s="17">
        <v>45605</v>
      </c>
      <c r="J2856" s="18">
        <f>YEAR(Tabla1[[#This Row],[FECHA DE COMPRA]])</f>
        <v>2024</v>
      </c>
      <c r="K2856" s="19">
        <v>122.17</v>
      </c>
      <c r="L2856" s="20">
        <v>0.3</v>
      </c>
      <c r="M2856" s="19">
        <f>Tienda!$K1461-Tienda!$K1461*Tienda!$L1461</f>
        <v>78.211000000000013</v>
      </c>
      <c r="N2856" s="3" t="s">
        <v>10040</v>
      </c>
      <c r="O2856" s="3" t="s">
        <v>10041</v>
      </c>
      <c r="P2856" s="17">
        <v>45605</v>
      </c>
      <c r="Q2856" s="4">
        <v>0</v>
      </c>
    </row>
    <row r="2857" spans="1:17" ht="30" x14ac:dyDescent="0.25">
      <c r="A2857" s="2" t="s">
        <v>2817</v>
      </c>
      <c r="B2857" s="3" t="s">
        <v>5015</v>
      </c>
      <c r="C2857" s="3">
        <v>50</v>
      </c>
      <c r="D2857" s="46" t="str">
        <f>IF(Tabla1[[#This Row],[EDAD]]&lt;=35,"Adultos jóvenes 18 - 35 años",IF(C2857&gt;=36,"Adultos mayores 36 años en adelante"))</f>
        <v>Adultos mayores 36 años en adelante</v>
      </c>
      <c r="E2857" s="3" t="s">
        <v>5019</v>
      </c>
      <c r="F2857" s="3" t="s">
        <v>5026</v>
      </c>
      <c r="G2857" s="3" t="s">
        <v>5037</v>
      </c>
      <c r="H2857" s="3" t="s">
        <v>7840</v>
      </c>
      <c r="I2857" s="17">
        <v>45624</v>
      </c>
      <c r="J2857" s="18">
        <f>YEAR(Tabla1[[#This Row],[FECHA DE COMPRA]])</f>
        <v>2024</v>
      </c>
      <c r="K2857" s="19">
        <v>106.96</v>
      </c>
      <c r="L2857" s="20">
        <v>0.2</v>
      </c>
      <c r="M2857" s="19">
        <f>Tienda!$K1463-Tienda!$K1463*Tienda!$L1463</f>
        <v>79.211999999999989</v>
      </c>
      <c r="N2857" s="3" t="s">
        <v>10040</v>
      </c>
      <c r="O2857" s="3" t="s">
        <v>10041</v>
      </c>
      <c r="P2857" s="17">
        <v>45495</v>
      </c>
      <c r="Q2857" s="4">
        <v>0</v>
      </c>
    </row>
    <row r="2858" spans="1:17" ht="30" x14ac:dyDescent="0.25">
      <c r="A2858" s="2" t="s">
        <v>2988</v>
      </c>
      <c r="B2858" s="3" t="s">
        <v>5016</v>
      </c>
      <c r="C2858" s="3">
        <v>63</v>
      </c>
      <c r="D2858" s="46" t="str">
        <f>IF(Tabla1[[#This Row],[EDAD]]&lt;=35,"Adultos jóvenes 18 - 35 años",IF(C2858&gt;=36,"Adultos mayores 36 años en adelante"))</f>
        <v>Adultos mayores 36 años en adelante</v>
      </c>
      <c r="E2858" s="3" t="s">
        <v>5021</v>
      </c>
      <c r="F2858" s="3" t="s">
        <v>5029</v>
      </c>
      <c r="G2858" s="3" t="s">
        <v>5032</v>
      </c>
      <c r="H2858" s="3" t="s">
        <v>8011</v>
      </c>
      <c r="I2858" s="17">
        <v>45401</v>
      </c>
      <c r="J2858" s="18">
        <f>YEAR(Tabla1[[#This Row],[FECHA DE COMPRA]])</f>
        <v>2024</v>
      </c>
      <c r="K2858" s="19">
        <v>95.16</v>
      </c>
      <c r="L2858" s="20">
        <v>0.1</v>
      </c>
      <c r="M2858" s="19">
        <f>Tienda!$K1464-Tienda!$K1464*Tienda!$L1464</f>
        <v>79.27</v>
      </c>
      <c r="N2858" s="3" t="s">
        <v>10040</v>
      </c>
      <c r="O2858" s="3" t="s">
        <v>10041</v>
      </c>
      <c r="P2858" s="17">
        <v>45401</v>
      </c>
      <c r="Q2858" s="4">
        <v>0</v>
      </c>
    </row>
    <row r="2859" spans="1:17" ht="30" x14ac:dyDescent="0.25">
      <c r="A2859" s="2" t="s">
        <v>1492</v>
      </c>
      <c r="B2859" s="3" t="s">
        <v>5015</v>
      </c>
      <c r="C2859" s="3">
        <v>43</v>
      </c>
      <c r="D2859" s="46" t="str">
        <f>IF(Tabla1[[#This Row],[EDAD]]&lt;=35,"Adultos jóvenes 18 - 35 años",IF(C2859&gt;=36,"Adultos mayores 36 años en adelante"))</f>
        <v>Adultos mayores 36 años en adelante</v>
      </c>
      <c r="E2859" s="3" t="s">
        <v>5021</v>
      </c>
      <c r="F2859" s="3" t="s">
        <v>5024</v>
      </c>
      <c r="G2859" s="3" t="s">
        <v>5033</v>
      </c>
      <c r="H2859" s="3" t="s">
        <v>6515</v>
      </c>
      <c r="I2859" s="17">
        <v>45383</v>
      </c>
      <c r="J2859" s="18">
        <f>YEAR(Tabla1[[#This Row],[FECHA DE COMPRA]])</f>
        <v>2024</v>
      </c>
      <c r="K2859" s="19">
        <v>85.77</v>
      </c>
      <c r="L2859" s="20">
        <v>0</v>
      </c>
      <c r="M2859" s="19">
        <f>Tienda!$K1465-Tienda!$K1465*Tienda!$L1465</f>
        <v>79.408000000000001</v>
      </c>
      <c r="N2859" s="3" t="s">
        <v>10040</v>
      </c>
      <c r="O2859" s="3" t="s">
        <v>10041</v>
      </c>
      <c r="P2859" s="17">
        <v>45383</v>
      </c>
      <c r="Q2859" s="4">
        <v>0</v>
      </c>
    </row>
    <row r="2860" spans="1:17" ht="30" x14ac:dyDescent="0.25">
      <c r="A2860" s="2" t="s">
        <v>4757</v>
      </c>
      <c r="B2860" s="3" t="s">
        <v>5015</v>
      </c>
      <c r="C2860" s="3">
        <v>55</v>
      </c>
      <c r="D2860" s="46" t="str">
        <f>IF(Tabla1[[#This Row],[EDAD]]&lt;=35,"Adultos jóvenes 18 - 35 años",IF(C2860&gt;=36,"Adultos mayores 36 años en adelante"))</f>
        <v>Adultos mayores 36 años en adelante</v>
      </c>
      <c r="E2860" s="3" t="s">
        <v>5020</v>
      </c>
      <c r="F2860" s="3" t="s">
        <v>5029</v>
      </c>
      <c r="G2860" s="3" t="s">
        <v>5031</v>
      </c>
      <c r="H2860" s="3" t="s">
        <v>9780</v>
      </c>
      <c r="I2860" s="17">
        <v>45476</v>
      </c>
      <c r="J2860" s="18">
        <f>YEAR(Tabla1[[#This Row],[FECHA DE COMPRA]])</f>
        <v>2024</v>
      </c>
      <c r="K2860" s="19">
        <v>107.31</v>
      </c>
      <c r="L2860" s="20">
        <v>0.2</v>
      </c>
      <c r="M2860" s="19">
        <f>Tienda!$K1466-Tienda!$K1466*Tienda!$L1466</f>
        <v>79.567999999999998</v>
      </c>
      <c r="N2860" s="3" t="s">
        <v>10040</v>
      </c>
      <c r="O2860" s="3" t="s">
        <v>10041</v>
      </c>
      <c r="P2860" s="17">
        <v>45476</v>
      </c>
      <c r="Q2860" s="4">
        <v>0</v>
      </c>
    </row>
    <row r="2861" spans="1:17" ht="30" x14ac:dyDescent="0.25">
      <c r="A2861" s="2" t="s">
        <v>3817</v>
      </c>
      <c r="B2861" s="3" t="s">
        <v>5015</v>
      </c>
      <c r="C2861" s="3">
        <v>55</v>
      </c>
      <c r="D2861" s="46" t="str">
        <f>IF(Tabla1[[#This Row],[EDAD]]&lt;=35,"Adultos jóvenes 18 - 35 años",IF(C2861&gt;=36,"Adultos mayores 36 años en adelante"))</f>
        <v>Adultos mayores 36 años en adelante</v>
      </c>
      <c r="E2861" s="3" t="s">
        <v>5020</v>
      </c>
      <c r="F2861" s="3" t="s">
        <v>5029</v>
      </c>
      <c r="G2861" s="3" t="s">
        <v>5035</v>
      </c>
      <c r="H2861" s="3" t="s">
        <v>8840</v>
      </c>
      <c r="I2861" s="17">
        <v>45441</v>
      </c>
      <c r="J2861" s="18">
        <f>YEAR(Tabla1[[#This Row],[FECHA DE COMPRA]])</f>
        <v>2024</v>
      </c>
      <c r="K2861" s="19">
        <v>123.34</v>
      </c>
      <c r="L2861" s="20">
        <v>0.3</v>
      </c>
      <c r="M2861" s="19">
        <f>Tienda!$K1469-Tienda!$K1469*Tienda!$L1469</f>
        <v>81.087999999999994</v>
      </c>
      <c r="N2861" s="3" t="s">
        <v>10040</v>
      </c>
      <c r="O2861" s="3" t="s">
        <v>10041</v>
      </c>
      <c r="P2861" s="17">
        <v>45441</v>
      </c>
      <c r="Q2861" s="4">
        <v>0</v>
      </c>
    </row>
    <row r="2862" spans="1:17" ht="30" x14ac:dyDescent="0.25">
      <c r="A2862" s="2" t="s">
        <v>4244</v>
      </c>
      <c r="B2862" s="3" t="s">
        <v>5015</v>
      </c>
      <c r="C2862" s="3">
        <v>36</v>
      </c>
      <c r="D2862" s="46" t="str">
        <f>IF(Tabla1[[#This Row],[EDAD]]&lt;=35,"Adultos jóvenes 18 - 35 años",IF(C2862&gt;=36,"Adultos mayores 36 años en adelante"))</f>
        <v>Adultos mayores 36 años en adelante</v>
      </c>
      <c r="E2862" s="3" t="s">
        <v>5019</v>
      </c>
      <c r="F2862" s="3" t="s">
        <v>5027</v>
      </c>
      <c r="G2862" s="3" t="s">
        <v>5036</v>
      </c>
      <c r="H2862" s="3" t="s">
        <v>9267</v>
      </c>
      <c r="I2862" s="17">
        <v>45408</v>
      </c>
      <c r="J2862" s="18">
        <f>YEAR(Tabla1[[#This Row],[FECHA DE COMPRA]])</f>
        <v>2024</v>
      </c>
      <c r="K2862" s="19">
        <v>87.9</v>
      </c>
      <c r="L2862" s="20">
        <v>0</v>
      </c>
      <c r="M2862" s="19">
        <f>Tienda!$K1478-Tienda!$K1478*Tienda!$L1478</f>
        <v>85.087999999999994</v>
      </c>
      <c r="N2862" s="3" t="s">
        <v>10040</v>
      </c>
      <c r="O2862" s="3" t="s">
        <v>10041</v>
      </c>
      <c r="P2862" s="17">
        <v>45408</v>
      </c>
      <c r="Q2862" s="4">
        <v>0</v>
      </c>
    </row>
    <row r="2863" spans="1:17" ht="30" x14ac:dyDescent="0.25">
      <c r="A2863" s="2" t="s">
        <v>4612</v>
      </c>
      <c r="B2863" s="3" t="s">
        <v>5015</v>
      </c>
      <c r="C2863" s="3">
        <v>56</v>
      </c>
      <c r="D2863" s="46" t="str">
        <f>IF(Tabla1[[#This Row],[EDAD]]&lt;=35,"Adultos jóvenes 18 - 35 años",IF(C2863&gt;=36,"Adultos mayores 36 años en adelante"))</f>
        <v>Adultos mayores 36 años en adelante</v>
      </c>
      <c r="E2863" s="3" t="s">
        <v>5019</v>
      </c>
      <c r="F2863" s="3" t="s">
        <v>5027</v>
      </c>
      <c r="G2863" s="3" t="s">
        <v>5034</v>
      </c>
      <c r="H2863" s="3" t="s">
        <v>9635</v>
      </c>
      <c r="I2863" s="17">
        <v>45513</v>
      </c>
      <c r="J2863" s="18">
        <f>YEAR(Tabla1[[#This Row],[FECHA DE COMPRA]])</f>
        <v>2024</v>
      </c>
      <c r="K2863" s="19">
        <v>110.25</v>
      </c>
      <c r="L2863" s="20">
        <v>0.2</v>
      </c>
      <c r="M2863" s="19">
        <f>Tienda!$K1480-Tienda!$K1480*Tienda!$L1480</f>
        <v>86.09</v>
      </c>
      <c r="N2863" s="3" t="s">
        <v>10040</v>
      </c>
      <c r="O2863" s="3" t="s">
        <v>10041</v>
      </c>
      <c r="P2863" s="17">
        <v>45513</v>
      </c>
      <c r="Q2863" s="4">
        <v>0</v>
      </c>
    </row>
    <row r="2864" spans="1:17" ht="30" x14ac:dyDescent="0.25">
      <c r="A2864" s="2" t="s">
        <v>1626</v>
      </c>
      <c r="B2864" s="3" t="s">
        <v>5015</v>
      </c>
      <c r="C2864" s="3">
        <v>58</v>
      </c>
      <c r="D2864" s="46" t="str">
        <f>IF(Tabla1[[#This Row],[EDAD]]&lt;=35,"Adultos jóvenes 18 - 35 años",IF(C2864&gt;=36,"Adultos mayores 36 años en adelante"))</f>
        <v>Adultos mayores 36 años en adelante</v>
      </c>
      <c r="E2864" s="3" t="s">
        <v>5020</v>
      </c>
      <c r="F2864" s="3" t="s">
        <v>5028</v>
      </c>
      <c r="G2864" s="3" t="s">
        <v>5035</v>
      </c>
      <c r="H2864" s="3" t="s">
        <v>6649</v>
      </c>
      <c r="I2864" s="17">
        <v>45606</v>
      </c>
      <c r="J2864" s="18">
        <f>YEAR(Tabla1[[#This Row],[FECHA DE COMPRA]])</f>
        <v>2024</v>
      </c>
      <c r="K2864" s="19">
        <v>88.49</v>
      </c>
      <c r="L2864" s="20">
        <v>0</v>
      </c>
      <c r="M2864" s="19">
        <f>Tienda!$K1482-Tienda!$K1482*Tienda!$L1482</f>
        <v>87.16</v>
      </c>
      <c r="N2864" s="3" t="s">
        <v>10040</v>
      </c>
      <c r="O2864" s="3" t="s">
        <v>10041</v>
      </c>
      <c r="P2864" s="17">
        <v>45606</v>
      </c>
      <c r="Q2864" s="4">
        <v>0</v>
      </c>
    </row>
    <row r="2865" spans="1:17" ht="30" x14ac:dyDescent="0.25">
      <c r="A2865" s="2" t="s">
        <v>374</v>
      </c>
      <c r="B2865" s="3" t="s">
        <v>5016</v>
      </c>
      <c r="C2865" s="3">
        <v>65</v>
      </c>
      <c r="D2865" s="46" t="str">
        <f>IF(Tabla1[[#This Row],[EDAD]]&lt;=35,"Adultos jóvenes 18 - 35 años",IF(C2865&gt;=36,"Adultos mayores 36 años en adelante"))</f>
        <v>Adultos mayores 36 años en adelante</v>
      </c>
      <c r="E2865" s="3" t="s">
        <v>5017</v>
      </c>
      <c r="F2865" s="3" t="s">
        <v>5030</v>
      </c>
      <c r="G2865" s="3" t="s">
        <v>5034</v>
      </c>
      <c r="H2865" s="3" t="s">
        <v>5397</v>
      </c>
      <c r="I2865" s="17">
        <v>45646</v>
      </c>
      <c r="J2865" s="18">
        <f>YEAR(Tabla1[[#This Row],[FECHA DE COMPRA]])</f>
        <v>2024</v>
      </c>
      <c r="K2865" s="19">
        <v>126.84</v>
      </c>
      <c r="L2865" s="20">
        <v>0.3</v>
      </c>
      <c r="M2865" s="19">
        <f>Tienda!$K1484-Tienda!$K1484*Tienda!$L1484</f>
        <v>87.7</v>
      </c>
      <c r="N2865" s="3" t="s">
        <v>10040</v>
      </c>
      <c r="O2865" s="3" t="s">
        <v>10041</v>
      </c>
      <c r="P2865" s="17">
        <v>45646</v>
      </c>
      <c r="Q2865" s="4">
        <v>0</v>
      </c>
    </row>
    <row r="2866" spans="1:17" ht="30" x14ac:dyDescent="0.25">
      <c r="A2866" s="2" t="s">
        <v>4150</v>
      </c>
      <c r="B2866" s="3" t="s">
        <v>5015</v>
      </c>
      <c r="C2866" s="3">
        <v>54</v>
      </c>
      <c r="D2866" s="46" t="str">
        <f>IF(Tabla1[[#This Row],[EDAD]]&lt;=35,"Adultos jóvenes 18 - 35 años",IF(C2866&gt;=36,"Adultos mayores 36 años en adelante"))</f>
        <v>Adultos mayores 36 años en adelante</v>
      </c>
      <c r="E2866" s="3" t="s">
        <v>5021</v>
      </c>
      <c r="F2866" s="3" t="s">
        <v>5029</v>
      </c>
      <c r="G2866" s="3" t="s">
        <v>5033</v>
      </c>
      <c r="H2866" s="3" t="s">
        <v>9173</v>
      </c>
      <c r="I2866" s="17">
        <v>45460</v>
      </c>
      <c r="J2866" s="18">
        <f>YEAR(Tabla1[[#This Row],[FECHA DE COMPRA]])</f>
        <v>2024</v>
      </c>
      <c r="K2866" s="19">
        <v>98.67</v>
      </c>
      <c r="L2866" s="20">
        <v>0.1</v>
      </c>
      <c r="M2866" s="19">
        <f>Tienda!$K1485-Tienda!$K1485*Tienda!$L1485</f>
        <v>89.912000000000006</v>
      </c>
      <c r="N2866" s="3" t="s">
        <v>10040</v>
      </c>
      <c r="O2866" s="3" t="s">
        <v>10041</v>
      </c>
      <c r="P2866" s="17">
        <v>45460</v>
      </c>
      <c r="Q2866" s="4">
        <v>0</v>
      </c>
    </row>
    <row r="2867" spans="1:17" ht="30" x14ac:dyDescent="0.25">
      <c r="A2867" s="2" t="s">
        <v>4000</v>
      </c>
      <c r="B2867" s="3" t="s">
        <v>5015</v>
      </c>
      <c r="C2867" s="3">
        <v>38</v>
      </c>
      <c r="D2867" s="46" t="str">
        <f>IF(Tabla1[[#This Row],[EDAD]]&lt;=35,"Adultos jóvenes 18 - 35 años",IF(C2867&gt;=36,"Adultos mayores 36 años en adelante"))</f>
        <v>Adultos mayores 36 años en adelante</v>
      </c>
      <c r="E2867" s="3" t="s">
        <v>5022</v>
      </c>
      <c r="F2867" s="3" t="s">
        <v>5024</v>
      </c>
      <c r="G2867" s="3" t="s">
        <v>5035</v>
      </c>
      <c r="H2867" s="3" t="s">
        <v>9023</v>
      </c>
      <c r="I2867" s="17">
        <v>45531</v>
      </c>
      <c r="J2867" s="18">
        <f>YEAR(Tabla1[[#This Row],[FECHA DE COMPRA]])</f>
        <v>2024</v>
      </c>
      <c r="K2867" s="19">
        <v>100.16</v>
      </c>
      <c r="L2867" s="20">
        <v>0.1</v>
      </c>
      <c r="M2867" s="19">
        <f>Tienda!$K1488-Tienda!$K1488*Tienda!$L1488</f>
        <v>91.088999999999999</v>
      </c>
      <c r="N2867" s="3" t="s">
        <v>10040</v>
      </c>
      <c r="O2867" s="3" t="s">
        <v>10041</v>
      </c>
      <c r="P2867" s="17">
        <v>45531</v>
      </c>
      <c r="Q2867" s="4">
        <v>0</v>
      </c>
    </row>
    <row r="2868" spans="1:17" ht="30" x14ac:dyDescent="0.25">
      <c r="A2868" s="2" t="s">
        <v>3243</v>
      </c>
      <c r="B2868" s="3" t="s">
        <v>5015</v>
      </c>
      <c r="C2868" s="3">
        <v>60</v>
      </c>
      <c r="D2868" s="46" t="str">
        <f>IF(Tabla1[[#This Row],[EDAD]]&lt;=35,"Adultos jóvenes 18 - 35 años",IF(C2868&gt;=36,"Adultos mayores 36 años en adelante"))</f>
        <v>Adultos mayores 36 años en adelante</v>
      </c>
      <c r="E2868" s="3" t="s">
        <v>5022</v>
      </c>
      <c r="F2868" s="3" t="s">
        <v>5025</v>
      </c>
      <c r="G2868" s="3" t="s">
        <v>5034</v>
      </c>
      <c r="H2868" s="3" t="s">
        <v>8266</v>
      </c>
      <c r="I2868" s="17">
        <v>45330</v>
      </c>
      <c r="J2868" s="18">
        <f>YEAR(Tabla1[[#This Row],[FECHA DE COMPRA]])</f>
        <v>2024</v>
      </c>
      <c r="K2868" s="19">
        <v>100.86</v>
      </c>
      <c r="L2868" s="20">
        <v>0.1</v>
      </c>
      <c r="M2868" s="19">
        <f>Tienda!$K1491-Tienda!$K1491*Tienda!$L1491</f>
        <v>93.087999999999994</v>
      </c>
      <c r="N2868" s="3" t="s">
        <v>10040</v>
      </c>
      <c r="O2868" s="3" t="s">
        <v>10041</v>
      </c>
      <c r="P2868" s="17">
        <v>45330</v>
      </c>
      <c r="Q2868" s="4">
        <v>0</v>
      </c>
    </row>
    <row r="2869" spans="1:17" ht="30" x14ac:dyDescent="0.25">
      <c r="A2869" s="2" t="s">
        <v>2959</v>
      </c>
      <c r="B2869" s="3" t="s">
        <v>5015</v>
      </c>
      <c r="C2869" s="3">
        <v>63</v>
      </c>
      <c r="D2869" s="46" t="str">
        <f>IF(Tabla1[[#This Row],[EDAD]]&lt;=35,"Adultos jóvenes 18 - 35 años",IF(C2869&gt;=36,"Adultos mayores 36 años en adelante"))</f>
        <v>Adultos mayores 36 años en adelante</v>
      </c>
      <c r="E2869" s="3" t="s">
        <v>5022</v>
      </c>
      <c r="F2869" s="3" t="s">
        <v>5028</v>
      </c>
      <c r="G2869" s="3" t="s">
        <v>5034</v>
      </c>
      <c r="H2869" s="3" t="s">
        <v>7982</v>
      </c>
      <c r="I2869" s="17">
        <v>45649</v>
      </c>
      <c r="J2869" s="18">
        <f>YEAR(Tabla1[[#This Row],[FECHA DE COMPRA]])</f>
        <v>2024</v>
      </c>
      <c r="K2869" s="19">
        <v>90.93</v>
      </c>
      <c r="L2869" s="20">
        <v>0</v>
      </c>
      <c r="M2869" s="19">
        <f>Tienda!$K1493-Tienda!$K1493*Tienda!$L1493</f>
        <v>93.72</v>
      </c>
      <c r="N2869" s="3" t="s">
        <v>10040</v>
      </c>
      <c r="O2869" s="3" t="s">
        <v>10041</v>
      </c>
      <c r="P2869" s="17">
        <v>45300</v>
      </c>
      <c r="Q2869" s="4">
        <v>0</v>
      </c>
    </row>
    <row r="2870" spans="1:17" ht="30" x14ac:dyDescent="0.25">
      <c r="A2870" s="2" t="s">
        <v>278</v>
      </c>
      <c r="B2870" s="3" t="s">
        <v>5015</v>
      </c>
      <c r="C2870" s="3">
        <v>62</v>
      </c>
      <c r="D2870" s="46" t="str">
        <f>IF(Tabla1[[#This Row],[EDAD]]&lt;=35,"Adultos jóvenes 18 - 35 años",IF(C2870&gt;=36,"Adultos mayores 36 años en adelante"))</f>
        <v>Adultos mayores 36 años en adelante</v>
      </c>
      <c r="E2870" s="3" t="s">
        <v>5018</v>
      </c>
      <c r="F2870" s="3" t="s">
        <v>5025</v>
      </c>
      <c r="G2870" s="3" t="s">
        <v>5036</v>
      </c>
      <c r="H2870" s="3" t="s">
        <v>5301</v>
      </c>
      <c r="I2870" s="17">
        <v>45624</v>
      </c>
      <c r="J2870" s="18">
        <f>YEAR(Tabla1[[#This Row],[FECHA DE COMPRA]])</f>
        <v>2024</v>
      </c>
      <c r="K2870" s="19">
        <v>130.38999999999999</v>
      </c>
      <c r="L2870" s="20">
        <v>0.3</v>
      </c>
      <c r="M2870" s="19">
        <f>Tienda!$K1494-Tienda!$K1494*Tienda!$L1494</f>
        <v>93.92</v>
      </c>
      <c r="N2870" s="3" t="s">
        <v>10040</v>
      </c>
      <c r="O2870" s="3" t="s">
        <v>10041</v>
      </c>
      <c r="P2870" s="17">
        <v>45400</v>
      </c>
      <c r="Q2870" s="4">
        <v>0</v>
      </c>
    </row>
    <row r="2871" spans="1:17" ht="30" x14ac:dyDescent="0.25">
      <c r="A2871" s="2" t="s">
        <v>3338</v>
      </c>
      <c r="B2871" s="3" t="s">
        <v>5015</v>
      </c>
      <c r="C2871" s="3">
        <v>50</v>
      </c>
      <c r="D2871" s="46" t="str">
        <f>IF(Tabla1[[#This Row],[EDAD]]&lt;=35,"Adultos jóvenes 18 - 35 años",IF(C2871&gt;=36,"Adultos mayores 36 años en adelante"))</f>
        <v>Adultos mayores 36 años en adelante</v>
      </c>
      <c r="E2871" s="3" t="s">
        <v>5020</v>
      </c>
      <c r="F2871" s="3" t="s">
        <v>5024</v>
      </c>
      <c r="G2871" s="3" t="s">
        <v>5034</v>
      </c>
      <c r="H2871" s="3" t="s">
        <v>8361</v>
      </c>
      <c r="I2871" s="17">
        <v>45593</v>
      </c>
      <c r="J2871" s="18">
        <f>YEAR(Tabla1[[#This Row],[FECHA DE COMPRA]])</f>
        <v>2024</v>
      </c>
      <c r="K2871" s="19">
        <v>91.82</v>
      </c>
      <c r="L2871" s="20">
        <v>0</v>
      </c>
      <c r="M2871" s="19">
        <f>Tienda!$K1496-Tienda!$K1496*Tienda!$L1496</f>
        <v>96.128</v>
      </c>
      <c r="N2871" s="3" t="s">
        <v>10040</v>
      </c>
      <c r="O2871" s="3" t="s">
        <v>10041</v>
      </c>
      <c r="P2871" s="17">
        <v>45593</v>
      </c>
      <c r="Q2871" s="4">
        <v>0</v>
      </c>
    </row>
    <row r="2872" spans="1:17" ht="30" x14ac:dyDescent="0.25">
      <c r="A2872" s="2" t="s">
        <v>3345</v>
      </c>
      <c r="B2872" s="3" t="s">
        <v>5016</v>
      </c>
      <c r="C2872" s="3">
        <v>60</v>
      </c>
      <c r="D2872" s="46" t="str">
        <f>IF(Tabla1[[#This Row],[EDAD]]&lt;=35,"Adultos jóvenes 18 - 35 años",IF(C2872&gt;=36,"Adultos mayores 36 años en adelante"))</f>
        <v>Adultos mayores 36 años en adelante</v>
      </c>
      <c r="E2872" s="3" t="s">
        <v>5023</v>
      </c>
      <c r="F2872" s="3" t="s">
        <v>5027</v>
      </c>
      <c r="G2872" s="3" t="s">
        <v>5031</v>
      </c>
      <c r="H2872" s="3" t="s">
        <v>8368</v>
      </c>
      <c r="I2872" s="17">
        <v>45588</v>
      </c>
      <c r="J2872" s="18">
        <f>YEAR(Tabla1[[#This Row],[FECHA DE COMPRA]])</f>
        <v>2024</v>
      </c>
      <c r="K2872" s="19">
        <v>102.8</v>
      </c>
      <c r="L2872" s="20">
        <v>0.1</v>
      </c>
      <c r="M2872" s="19">
        <f>Tienda!$K1499-Tienda!$K1499*Tienda!$L1499</f>
        <v>100.023</v>
      </c>
      <c r="N2872" s="3" t="s">
        <v>10040</v>
      </c>
      <c r="O2872" s="3" t="s">
        <v>10041</v>
      </c>
      <c r="P2872" s="17">
        <v>45588</v>
      </c>
      <c r="Q2872" s="4">
        <v>0</v>
      </c>
    </row>
    <row r="2873" spans="1:17" ht="30" x14ac:dyDescent="0.25">
      <c r="A2873" s="2" t="s">
        <v>176</v>
      </c>
      <c r="B2873" s="3" t="s">
        <v>5015</v>
      </c>
      <c r="C2873" s="3">
        <v>60</v>
      </c>
      <c r="D2873" s="46" t="str">
        <f>IF(Tabla1[[#This Row],[EDAD]]&lt;=35,"Adultos jóvenes 18 - 35 años",IF(C2873&gt;=36,"Adultos mayores 36 años en adelante"))</f>
        <v>Adultos mayores 36 años en adelante</v>
      </c>
      <c r="E2873" s="3" t="s">
        <v>5022</v>
      </c>
      <c r="F2873" s="3" t="s">
        <v>5028</v>
      </c>
      <c r="G2873" s="3" t="s">
        <v>5032</v>
      </c>
      <c r="H2873" s="3" t="s">
        <v>5199</v>
      </c>
      <c r="I2873" s="17">
        <v>45601</v>
      </c>
      <c r="J2873" s="18">
        <f>YEAR(Tabla1[[#This Row],[FECHA DE COMPRA]])</f>
        <v>2024</v>
      </c>
      <c r="K2873" s="19">
        <v>102.82</v>
      </c>
      <c r="L2873" s="20">
        <v>0.1</v>
      </c>
      <c r="M2873" s="19">
        <f>Tienda!$K1500-Tienda!$K1500*Tienda!$L1500</f>
        <v>101.3</v>
      </c>
      <c r="N2873" s="3" t="s">
        <v>10040</v>
      </c>
      <c r="O2873" s="3" t="s">
        <v>10041</v>
      </c>
      <c r="P2873" s="17">
        <v>45601</v>
      </c>
      <c r="Q2873" s="4">
        <v>0</v>
      </c>
    </row>
    <row r="2874" spans="1:17" ht="30" x14ac:dyDescent="0.25">
      <c r="A2874" s="2" t="s">
        <v>2771</v>
      </c>
      <c r="B2874" s="3" t="s">
        <v>5016</v>
      </c>
      <c r="C2874" s="3">
        <v>55</v>
      </c>
      <c r="D2874" s="46" t="str">
        <f>IF(Tabla1[[#This Row],[EDAD]]&lt;=35,"Adultos jóvenes 18 - 35 años",IF(C2874&gt;=36,"Adultos mayores 36 años en adelante"))</f>
        <v>Adultos mayores 36 años en adelante</v>
      </c>
      <c r="E2874" s="3" t="s">
        <v>5021</v>
      </c>
      <c r="F2874" s="3" t="s">
        <v>5024</v>
      </c>
      <c r="G2874" s="3" t="s">
        <v>5032</v>
      </c>
      <c r="H2874" s="3" t="s">
        <v>7794</v>
      </c>
      <c r="I2874" s="17">
        <v>45428</v>
      </c>
      <c r="J2874" s="18">
        <f>YEAR(Tabla1[[#This Row],[FECHA DE COMPRA]])</f>
        <v>2024</v>
      </c>
      <c r="K2874" s="19">
        <v>115.9</v>
      </c>
      <c r="L2874" s="20">
        <v>0.2</v>
      </c>
      <c r="M2874" s="19">
        <f>Tienda!$K1501-Tienda!$K1501*Tienda!$L1501</f>
        <v>101.85</v>
      </c>
      <c r="N2874" s="3" t="s">
        <v>10040</v>
      </c>
      <c r="O2874" s="3" t="s">
        <v>10041</v>
      </c>
      <c r="P2874" s="17">
        <v>45428</v>
      </c>
      <c r="Q2874" s="4">
        <v>0</v>
      </c>
    </row>
    <row r="2875" spans="1:17" ht="30" x14ac:dyDescent="0.25">
      <c r="A2875" s="2" t="s">
        <v>1104</v>
      </c>
      <c r="B2875" s="3" t="s">
        <v>5015</v>
      </c>
      <c r="C2875" s="3">
        <v>45</v>
      </c>
      <c r="D2875" s="46" t="str">
        <f>IF(Tabla1[[#This Row],[EDAD]]&lt;=35,"Adultos jóvenes 18 - 35 años",IF(C2875&gt;=36,"Adultos mayores 36 años en adelante"))</f>
        <v>Adultos mayores 36 años en adelante</v>
      </c>
      <c r="E2875" s="3" t="s">
        <v>5019</v>
      </c>
      <c r="F2875" s="3" t="s">
        <v>5028</v>
      </c>
      <c r="G2875" s="3" t="s">
        <v>5037</v>
      </c>
      <c r="H2875" s="3" t="s">
        <v>6127</v>
      </c>
      <c r="I2875" s="17">
        <v>45347</v>
      </c>
      <c r="J2875" s="18">
        <f>YEAR(Tabla1[[#This Row],[FECHA DE COMPRA]])</f>
        <v>2024</v>
      </c>
      <c r="K2875" s="19">
        <v>115.97</v>
      </c>
      <c r="L2875" s="20">
        <v>0.2</v>
      </c>
      <c r="M2875" s="19">
        <f>Tienda!$K1503-Tienda!$K1503*Tienda!$L1503</f>
        <v>101.96</v>
      </c>
      <c r="N2875" s="3" t="s">
        <v>10040</v>
      </c>
      <c r="O2875" s="3" t="s">
        <v>10041</v>
      </c>
      <c r="P2875" s="17">
        <v>45347</v>
      </c>
      <c r="Q2875" s="4">
        <v>0</v>
      </c>
    </row>
    <row r="2876" spans="1:17" ht="30" x14ac:dyDescent="0.25">
      <c r="A2876" s="2" t="s">
        <v>2665</v>
      </c>
      <c r="B2876" s="3" t="s">
        <v>5016</v>
      </c>
      <c r="C2876" s="3">
        <v>47</v>
      </c>
      <c r="D2876" s="46" t="str">
        <f>IF(Tabla1[[#This Row],[EDAD]]&lt;=35,"Adultos jóvenes 18 - 35 años",IF(C2876&gt;=36,"Adultos mayores 36 años en adelante"))</f>
        <v>Adultos mayores 36 años en adelante</v>
      </c>
      <c r="E2876" s="3" t="s">
        <v>5017</v>
      </c>
      <c r="F2876" s="3" t="s">
        <v>5027</v>
      </c>
      <c r="G2876" s="3" t="s">
        <v>5031</v>
      </c>
      <c r="H2876" s="3" t="s">
        <v>7688</v>
      </c>
      <c r="I2876" s="17">
        <v>45624</v>
      </c>
      <c r="J2876" s="18">
        <f>YEAR(Tabla1[[#This Row],[FECHA DE COMPRA]])</f>
        <v>2024</v>
      </c>
      <c r="K2876" s="19">
        <v>104.22</v>
      </c>
      <c r="L2876" s="20">
        <v>0.1</v>
      </c>
      <c r="M2876" s="19">
        <f>Tienda!$K1506-Tienda!$K1506*Tienda!$L1506</f>
        <v>102.501</v>
      </c>
      <c r="N2876" s="3" t="s">
        <v>10040</v>
      </c>
      <c r="O2876" s="3" t="s">
        <v>10041</v>
      </c>
      <c r="P2876" s="17">
        <v>45493</v>
      </c>
      <c r="Q2876" s="4">
        <v>0</v>
      </c>
    </row>
    <row r="2877" spans="1:17" ht="30" x14ac:dyDescent="0.25">
      <c r="A2877" s="2" t="s">
        <v>4040</v>
      </c>
      <c r="B2877" s="3" t="s">
        <v>5015</v>
      </c>
      <c r="C2877" s="3">
        <v>56</v>
      </c>
      <c r="D2877" s="46" t="str">
        <f>IF(Tabla1[[#This Row],[EDAD]]&lt;=35,"Adultos jóvenes 18 - 35 años",IF(C2877&gt;=36,"Adultos mayores 36 años en adelante"))</f>
        <v>Adultos mayores 36 años en adelante</v>
      </c>
      <c r="E2877" s="3" t="s">
        <v>5018</v>
      </c>
      <c r="F2877" s="3" t="s">
        <v>5024</v>
      </c>
      <c r="G2877" s="3" t="s">
        <v>5036</v>
      </c>
      <c r="H2877" s="3" t="s">
        <v>9063</v>
      </c>
      <c r="I2877" s="17">
        <v>45550</v>
      </c>
      <c r="J2877" s="18">
        <f>YEAR(Tabla1[[#This Row],[FECHA DE COMPRA]])</f>
        <v>2024</v>
      </c>
      <c r="K2877" s="19">
        <v>135.30000000000001</v>
      </c>
      <c r="L2877" s="20">
        <v>0.3</v>
      </c>
      <c r="M2877" s="19">
        <f>Tienda!$K1510-Tienda!$K1510*Tienda!$L1510</f>
        <v>105.196</v>
      </c>
      <c r="N2877" s="3" t="s">
        <v>10040</v>
      </c>
      <c r="O2877" s="3" t="s">
        <v>10041</v>
      </c>
      <c r="P2877" s="17">
        <v>45550</v>
      </c>
      <c r="Q2877" s="4">
        <v>0</v>
      </c>
    </row>
    <row r="2878" spans="1:17" ht="30" x14ac:dyDescent="0.25">
      <c r="A2878" s="2" t="s">
        <v>4253</v>
      </c>
      <c r="B2878" s="3" t="s">
        <v>5016</v>
      </c>
      <c r="C2878" s="3">
        <v>53</v>
      </c>
      <c r="D2878" s="46" t="str">
        <f>IF(Tabla1[[#This Row],[EDAD]]&lt;=35,"Adultos jóvenes 18 - 35 años",IF(C2878&gt;=36,"Adultos mayores 36 años en adelante"))</f>
        <v>Adultos mayores 36 años en adelante</v>
      </c>
      <c r="E2878" s="3" t="s">
        <v>5021</v>
      </c>
      <c r="F2878" s="3" t="s">
        <v>5028</v>
      </c>
      <c r="G2878" s="3" t="s">
        <v>5031</v>
      </c>
      <c r="H2878" s="3" t="s">
        <v>9276</v>
      </c>
      <c r="I2878" s="17">
        <v>45649</v>
      </c>
      <c r="J2878" s="18">
        <f>YEAR(Tabla1[[#This Row],[FECHA DE COMPRA]])</f>
        <v>2024</v>
      </c>
      <c r="K2878" s="19">
        <v>136.71</v>
      </c>
      <c r="L2878" s="20">
        <v>0.3</v>
      </c>
      <c r="M2878" s="19">
        <f>Tienda!$K1518-Tienda!$K1518*Tienda!$L1518</f>
        <v>107.92</v>
      </c>
      <c r="N2878" s="3" t="s">
        <v>10040</v>
      </c>
      <c r="O2878" s="3" t="s">
        <v>10041</v>
      </c>
      <c r="P2878" s="17">
        <v>45649</v>
      </c>
      <c r="Q2878" s="4">
        <v>0</v>
      </c>
    </row>
    <row r="2879" spans="1:17" ht="30" x14ac:dyDescent="0.25">
      <c r="A2879" s="2" t="s">
        <v>1391</v>
      </c>
      <c r="B2879" s="3" t="s">
        <v>5016</v>
      </c>
      <c r="C2879" s="3">
        <v>52</v>
      </c>
      <c r="D2879" s="46" t="str">
        <f>IF(Tabla1[[#This Row],[EDAD]]&lt;=35,"Adultos jóvenes 18 - 35 años",IF(C2879&gt;=36,"Adultos mayores 36 años en adelante"))</f>
        <v>Adultos mayores 36 años en adelante</v>
      </c>
      <c r="E2879" s="3" t="s">
        <v>5023</v>
      </c>
      <c r="F2879" s="3" t="s">
        <v>5028</v>
      </c>
      <c r="G2879" s="3" t="s">
        <v>5031</v>
      </c>
      <c r="H2879" s="3" t="s">
        <v>6414</v>
      </c>
      <c r="I2879" s="17">
        <v>45513</v>
      </c>
      <c r="J2879" s="18">
        <f>YEAR(Tabla1[[#This Row],[FECHA DE COMPRA]])</f>
        <v>2024</v>
      </c>
      <c r="K2879" s="19">
        <v>137.1</v>
      </c>
      <c r="L2879" s="20">
        <v>0.3</v>
      </c>
      <c r="M2879" s="19">
        <f>Tienda!$K1520-Tienda!$K1520*Tienda!$L1520</f>
        <v>110.36699999999999</v>
      </c>
      <c r="N2879" s="3" t="s">
        <v>10040</v>
      </c>
      <c r="O2879" s="3" t="s">
        <v>10041</v>
      </c>
      <c r="P2879" s="17">
        <v>45513</v>
      </c>
      <c r="Q2879" s="4">
        <v>0</v>
      </c>
    </row>
    <row r="2880" spans="1:17" ht="30" x14ac:dyDescent="0.25">
      <c r="A2880" s="2" t="s">
        <v>2362</v>
      </c>
      <c r="B2880" s="3" t="s">
        <v>5015</v>
      </c>
      <c r="C2880" s="3">
        <v>49</v>
      </c>
      <c r="D2880" s="46" t="str">
        <f>IF(Tabla1[[#This Row],[EDAD]]&lt;=35,"Adultos jóvenes 18 - 35 años",IF(C2880&gt;=36,"Adultos mayores 36 años en adelante"))</f>
        <v>Adultos mayores 36 años en adelante</v>
      </c>
      <c r="E2880" s="3" t="s">
        <v>5018</v>
      </c>
      <c r="F2880" s="3" t="s">
        <v>5028</v>
      </c>
      <c r="G2880" s="3" t="s">
        <v>5033</v>
      </c>
      <c r="H2880" s="3" t="s">
        <v>7385</v>
      </c>
      <c r="I2880" s="17">
        <v>45323</v>
      </c>
      <c r="J2880" s="18">
        <f>YEAR(Tabla1[[#This Row],[FECHA DE COMPRA]])</f>
        <v>2024</v>
      </c>
      <c r="K2880" s="19">
        <v>137.82</v>
      </c>
      <c r="L2880" s="20">
        <v>0.3</v>
      </c>
      <c r="M2880" s="19">
        <f>Tienda!$K1521-Tienda!$K1521*Tienda!$L1521</f>
        <v>111.078</v>
      </c>
      <c r="N2880" s="3" t="s">
        <v>10040</v>
      </c>
      <c r="O2880" s="3" t="s">
        <v>10041</v>
      </c>
      <c r="P2880" s="17">
        <v>45323</v>
      </c>
      <c r="Q2880" s="4">
        <v>0</v>
      </c>
    </row>
    <row r="2881" spans="1:17" ht="30" x14ac:dyDescent="0.25">
      <c r="A2881" s="2" t="s">
        <v>4384</v>
      </c>
      <c r="B2881" s="3" t="s">
        <v>5015</v>
      </c>
      <c r="C2881" s="3">
        <v>47</v>
      </c>
      <c r="D2881" s="46" t="str">
        <f>IF(Tabla1[[#This Row],[EDAD]]&lt;=35,"Adultos jóvenes 18 - 35 años",IF(C2881&gt;=36,"Adultos mayores 36 años en adelante"))</f>
        <v>Adultos mayores 36 años en adelante</v>
      </c>
      <c r="E2881" s="3" t="s">
        <v>5023</v>
      </c>
      <c r="F2881" s="3" t="s">
        <v>5026</v>
      </c>
      <c r="G2881" s="3" t="s">
        <v>5033</v>
      </c>
      <c r="H2881" s="3" t="s">
        <v>9407</v>
      </c>
      <c r="I2881" s="17">
        <v>45526</v>
      </c>
      <c r="J2881" s="18">
        <f>YEAR(Tabla1[[#This Row],[FECHA DE COMPRA]])</f>
        <v>2024</v>
      </c>
      <c r="K2881" s="19">
        <v>107.73</v>
      </c>
      <c r="L2881" s="20">
        <v>0.1</v>
      </c>
      <c r="M2881" s="19">
        <f>Tienda!$K1523-Tienda!$K1523*Tienda!$L1523</f>
        <v>111.96000000000001</v>
      </c>
      <c r="N2881" s="3" t="s">
        <v>10040</v>
      </c>
      <c r="O2881" s="3" t="s">
        <v>10041</v>
      </c>
      <c r="P2881" s="17">
        <v>45526</v>
      </c>
      <c r="Q2881" s="4">
        <v>0</v>
      </c>
    </row>
    <row r="2882" spans="1:17" ht="30" x14ac:dyDescent="0.25">
      <c r="A2882" s="2" t="s">
        <v>4948</v>
      </c>
      <c r="B2882" s="3" t="s">
        <v>5016</v>
      </c>
      <c r="C2882" s="3">
        <v>47</v>
      </c>
      <c r="D2882" s="46" t="str">
        <f>IF(Tabla1[[#This Row],[EDAD]]&lt;=35,"Adultos jóvenes 18 - 35 años",IF(C2882&gt;=36,"Adultos mayores 36 años en adelante"))</f>
        <v>Adultos mayores 36 años en adelante</v>
      </c>
      <c r="E2882" s="3" t="s">
        <v>5017</v>
      </c>
      <c r="F2882" s="3" t="s">
        <v>5028</v>
      </c>
      <c r="G2882" s="3" t="s">
        <v>5033</v>
      </c>
      <c r="H2882" s="3" t="s">
        <v>9971</v>
      </c>
      <c r="I2882" s="17">
        <v>45470</v>
      </c>
      <c r="J2882" s="18">
        <f>YEAR(Tabla1[[#This Row],[FECHA DE COMPRA]])</f>
        <v>2024</v>
      </c>
      <c r="K2882" s="19">
        <v>139.13</v>
      </c>
      <c r="L2882" s="20">
        <v>0.3</v>
      </c>
      <c r="M2882" s="19">
        <f>Tienda!$K1526-Tienda!$K1526*Tienda!$L1526</f>
        <v>113.316</v>
      </c>
      <c r="N2882" s="3" t="s">
        <v>10040</v>
      </c>
      <c r="O2882" s="3" t="s">
        <v>10041</v>
      </c>
      <c r="P2882" s="17">
        <v>45470</v>
      </c>
      <c r="Q2882" s="4">
        <v>0</v>
      </c>
    </row>
    <row r="2883" spans="1:17" ht="30" x14ac:dyDescent="0.25">
      <c r="A2883" s="2" t="s">
        <v>4334</v>
      </c>
      <c r="B2883" s="3" t="s">
        <v>5016</v>
      </c>
      <c r="C2883" s="3">
        <v>41</v>
      </c>
      <c r="D2883" s="46" t="str">
        <f>IF(Tabla1[[#This Row],[EDAD]]&lt;=35,"Adultos jóvenes 18 - 35 años",IF(C2883&gt;=36,"Adultos mayores 36 años en adelante"))</f>
        <v>Adultos mayores 36 años en adelante</v>
      </c>
      <c r="E2883" s="3" t="s">
        <v>5017</v>
      </c>
      <c r="F2883" s="3" t="s">
        <v>5027</v>
      </c>
      <c r="G2883" s="3" t="s">
        <v>5037</v>
      </c>
      <c r="H2883" s="3" t="s">
        <v>9357</v>
      </c>
      <c r="I2883" s="17">
        <v>45312</v>
      </c>
      <c r="J2883" s="18">
        <f>YEAR(Tabla1[[#This Row],[FECHA DE COMPRA]])</f>
        <v>2024</v>
      </c>
      <c r="K2883" s="19">
        <v>108.65</v>
      </c>
      <c r="L2883" s="20">
        <v>0.1</v>
      </c>
      <c r="M2883" s="19">
        <f>Tienda!$K1527-Tienda!$K1527*Tienda!$L1527</f>
        <v>113.34</v>
      </c>
      <c r="N2883" s="3" t="s">
        <v>10040</v>
      </c>
      <c r="O2883" s="3" t="s">
        <v>10041</v>
      </c>
      <c r="P2883" s="17">
        <v>45312</v>
      </c>
      <c r="Q2883" s="4">
        <v>0</v>
      </c>
    </row>
    <row r="2884" spans="1:17" ht="30" x14ac:dyDescent="0.25">
      <c r="A2884" s="2" t="s">
        <v>4796</v>
      </c>
      <c r="B2884" s="3" t="s">
        <v>5015</v>
      </c>
      <c r="C2884" s="3">
        <v>52</v>
      </c>
      <c r="D2884" s="46" t="str">
        <f>IF(Tabla1[[#This Row],[EDAD]]&lt;=35,"Adultos jóvenes 18 - 35 años",IF(C2884&gt;=36,"Adultos mayores 36 años en adelante"))</f>
        <v>Adultos mayores 36 años en adelante</v>
      </c>
      <c r="E2884" s="3" t="s">
        <v>5018</v>
      </c>
      <c r="F2884" s="3" t="s">
        <v>5029</v>
      </c>
      <c r="G2884" s="3" t="s">
        <v>5034</v>
      </c>
      <c r="H2884" s="3" t="s">
        <v>9819</v>
      </c>
      <c r="I2884" s="17">
        <v>45438</v>
      </c>
      <c r="J2884" s="18">
        <f>YEAR(Tabla1[[#This Row],[FECHA DE COMPRA]])</f>
        <v>2024</v>
      </c>
      <c r="K2884" s="19">
        <v>99.17</v>
      </c>
      <c r="L2884" s="20">
        <v>0</v>
      </c>
      <c r="M2884" s="19">
        <f>Tienda!$K1532-Tienda!$K1532*Tienda!$L1532</f>
        <v>117.49</v>
      </c>
      <c r="N2884" s="3" t="s">
        <v>10040</v>
      </c>
      <c r="O2884" s="3" t="s">
        <v>10041</v>
      </c>
      <c r="P2884" s="17">
        <v>45438</v>
      </c>
      <c r="Q2884" s="4">
        <v>0</v>
      </c>
    </row>
    <row r="2885" spans="1:17" ht="30" x14ac:dyDescent="0.25">
      <c r="A2885" s="2" t="s">
        <v>1342</v>
      </c>
      <c r="B2885" s="3" t="s">
        <v>5015</v>
      </c>
      <c r="C2885" s="3">
        <v>60</v>
      </c>
      <c r="D2885" s="46" t="str">
        <f>IF(Tabla1[[#This Row],[EDAD]]&lt;=35,"Adultos jóvenes 18 - 35 años",IF(C2885&gt;=36,"Adultos mayores 36 años en adelante"))</f>
        <v>Adultos mayores 36 años en adelante</v>
      </c>
      <c r="E2885" s="3" t="s">
        <v>5021</v>
      </c>
      <c r="F2885" s="3" t="s">
        <v>5029</v>
      </c>
      <c r="G2885" s="3" t="s">
        <v>5032</v>
      </c>
      <c r="H2885" s="3" t="s">
        <v>6365</v>
      </c>
      <c r="I2885" s="17">
        <v>45624</v>
      </c>
      <c r="J2885" s="18">
        <f>YEAR(Tabla1[[#This Row],[FECHA DE COMPRA]])</f>
        <v>2024</v>
      </c>
      <c r="K2885" s="19">
        <v>141.91</v>
      </c>
      <c r="L2885" s="20">
        <v>0.3</v>
      </c>
      <c r="M2885" s="19">
        <f>Tienda!$K1533-Tienda!$K1533*Tienda!$L1533</f>
        <v>117.91800000000001</v>
      </c>
      <c r="N2885" s="3" t="s">
        <v>10040</v>
      </c>
      <c r="O2885" s="3" t="s">
        <v>10041</v>
      </c>
      <c r="P2885" s="17">
        <v>45493</v>
      </c>
      <c r="Q2885" s="4">
        <v>0</v>
      </c>
    </row>
    <row r="2886" spans="1:17" ht="30" x14ac:dyDescent="0.25">
      <c r="A2886" s="2" t="s">
        <v>1135</v>
      </c>
      <c r="B2886" s="3" t="s">
        <v>5015</v>
      </c>
      <c r="C2886" s="3">
        <v>37</v>
      </c>
      <c r="D2886" s="46" t="str">
        <f>IF(Tabla1[[#This Row],[EDAD]]&lt;=35,"Adultos jóvenes 18 - 35 años",IF(C2886&gt;=36,"Adultos mayores 36 años en adelante"))</f>
        <v>Adultos mayores 36 años en adelante</v>
      </c>
      <c r="E2886" s="3" t="s">
        <v>5022</v>
      </c>
      <c r="F2886" s="3" t="s">
        <v>5029</v>
      </c>
      <c r="G2886" s="3" t="s">
        <v>5031</v>
      </c>
      <c r="H2886" s="3" t="s">
        <v>6158</v>
      </c>
      <c r="I2886" s="17">
        <v>45352</v>
      </c>
      <c r="J2886" s="18">
        <f>YEAR(Tabla1[[#This Row],[FECHA DE COMPRA]])</f>
        <v>2024</v>
      </c>
      <c r="K2886" s="19">
        <v>100.28</v>
      </c>
      <c r="L2886" s="20">
        <v>0</v>
      </c>
      <c r="M2886" s="19">
        <f>Tienda!$K1537-Tienda!$K1537*Tienda!$L1537</f>
        <v>119.83199999999999</v>
      </c>
      <c r="N2886" s="3" t="s">
        <v>10040</v>
      </c>
      <c r="O2886" s="3" t="s">
        <v>10041</v>
      </c>
      <c r="P2886" s="17">
        <v>45352</v>
      </c>
      <c r="Q2886" s="4">
        <v>0</v>
      </c>
    </row>
    <row r="2887" spans="1:17" ht="30" x14ac:dyDescent="0.25">
      <c r="A2887" s="2" t="s">
        <v>2030</v>
      </c>
      <c r="B2887" s="3" t="s">
        <v>5015</v>
      </c>
      <c r="C2887" s="3">
        <v>51</v>
      </c>
      <c r="D2887" s="46" t="str">
        <f>IF(Tabla1[[#This Row],[EDAD]]&lt;=35,"Adultos jóvenes 18 - 35 años",IF(C2887&gt;=36,"Adultos mayores 36 años en adelante"))</f>
        <v>Adultos mayores 36 años en adelante</v>
      </c>
      <c r="E2887" s="3" t="s">
        <v>5020</v>
      </c>
      <c r="F2887" s="3" t="s">
        <v>5027</v>
      </c>
      <c r="G2887" s="3" t="s">
        <v>5031</v>
      </c>
      <c r="H2887" s="3" t="s">
        <v>7053</v>
      </c>
      <c r="I2887" s="17">
        <v>45629</v>
      </c>
      <c r="J2887" s="18">
        <f>YEAR(Tabla1[[#This Row],[FECHA DE COMPRA]])</f>
        <v>2024</v>
      </c>
      <c r="K2887" s="19">
        <v>125.55</v>
      </c>
      <c r="L2887" s="20">
        <v>0.2</v>
      </c>
      <c r="M2887" s="19">
        <f>Tienda!$K1538-Tienda!$K1538*Tienda!$L1538</f>
        <v>120.21600000000001</v>
      </c>
      <c r="N2887" s="3" t="s">
        <v>10040</v>
      </c>
      <c r="O2887" s="3" t="s">
        <v>10041</v>
      </c>
      <c r="P2887" s="17">
        <v>45629</v>
      </c>
      <c r="Q2887" s="4">
        <v>0</v>
      </c>
    </row>
    <row r="2888" spans="1:17" ht="30" x14ac:dyDescent="0.25">
      <c r="A2888" s="2" t="s">
        <v>3929</v>
      </c>
      <c r="B2888" s="3" t="s">
        <v>5015</v>
      </c>
      <c r="C2888" s="3">
        <v>52</v>
      </c>
      <c r="D2888" s="46" t="str">
        <f>IF(Tabla1[[#This Row],[EDAD]]&lt;=35,"Adultos jóvenes 18 - 35 años",IF(C2888&gt;=36,"Adultos mayores 36 años en adelante"))</f>
        <v>Adultos mayores 36 años en adelante</v>
      </c>
      <c r="E2888" s="3" t="s">
        <v>5017</v>
      </c>
      <c r="F2888" s="3" t="s">
        <v>5028</v>
      </c>
      <c r="G2888" s="3" t="s">
        <v>5037</v>
      </c>
      <c r="H2888" s="3" t="s">
        <v>8952</v>
      </c>
      <c r="I2888" s="17">
        <v>45543</v>
      </c>
      <c r="J2888" s="18">
        <f>YEAR(Tabla1[[#This Row],[FECHA DE COMPRA]])</f>
        <v>2024</v>
      </c>
      <c r="K2888" s="19">
        <v>111.95</v>
      </c>
      <c r="L2888" s="20">
        <v>0.1</v>
      </c>
      <c r="M2888" s="19">
        <f>Tienda!$K1541-Tienda!$K1541*Tienda!$L1541</f>
        <v>123.28400000000001</v>
      </c>
      <c r="N2888" s="3" t="s">
        <v>10040</v>
      </c>
      <c r="O2888" s="3" t="s">
        <v>10041</v>
      </c>
      <c r="P2888" s="17">
        <v>45543</v>
      </c>
      <c r="Q2888" s="4">
        <v>0</v>
      </c>
    </row>
    <row r="2889" spans="1:17" ht="30" x14ac:dyDescent="0.25">
      <c r="A2889" s="2" t="s">
        <v>4427</v>
      </c>
      <c r="B2889" s="3" t="s">
        <v>5015</v>
      </c>
      <c r="C2889" s="3">
        <v>50</v>
      </c>
      <c r="D2889" s="46" t="str">
        <f>IF(Tabla1[[#This Row],[EDAD]]&lt;=35,"Adultos jóvenes 18 - 35 años",IF(C2889&gt;=36,"Adultos mayores 36 años en adelante"))</f>
        <v>Adultos mayores 36 años en adelante</v>
      </c>
      <c r="E2889" s="3" t="s">
        <v>5019</v>
      </c>
      <c r="F2889" s="3" t="s">
        <v>5025</v>
      </c>
      <c r="G2889" s="3" t="s">
        <v>5034</v>
      </c>
      <c r="H2889" s="3" t="s">
        <v>9450</v>
      </c>
      <c r="I2889" s="17">
        <v>45561</v>
      </c>
      <c r="J2889" s="18">
        <f>YEAR(Tabla1[[#This Row],[FECHA DE COMPRA]])</f>
        <v>2024</v>
      </c>
      <c r="K2889" s="19">
        <v>112.63</v>
      </c>
      <c r="L2889" s="20">
        <v>0.1</v>
      </c>
      <c r="M2889" s="19">
        <f>Tienda!$K1544-Tienda!$K1544*Tienda!$L1544</f>
        <v>125.11800000000001</v>
      </c>
      <c r="N2889" s="3" t="s">
        <v>10040</v>
      </c>
      <c r="O2889" s="3" t="s">
        <v>10041</v>
      </c>
      <c r="P2889" s="17">
        <v>45561</v>
      </c>
      <c r="Q2889" s="4">
        <v>0</v>
      </c>
    </row>
    <row r="2890" spans="1:17" ht="30" x14ac:dyDescent="0.25">
      <c r="A2890" s="2" t="s">
        <v>2486</v>
      </c>
      <c r="B2890" s="3" t="s">
        <v>5015</v>
      </c>
      <c r="C2890" s="3">
        <v>59</v>
      </c>
      <c r="D2890" s="46" t="str">
        <f>IF(Tabla1[[#This Row],[EDAD]]&lt;=35,"Adultos jóvenes 18 - 35 años",IF(C2890&gt;=36,"Adultos mayores 36 años en adelante"))</f>
        <v>Adultos mayores 36 años en adelante</v>
      </c>
      <c r="E2890" s="3" t="s">
        <v>5020</v>
      </c>
      <c r="F2890" s="3" t="s">
        <v>5026</v>
      </c>
      <c r="G2890" s="3" t="s">
        <v>5036</v>
      </c>
      <c r="H2890" s="3" t="s">
        <v>7509</v>
      </c>
      <c r="I2890" s="17">
        <v>45471</v>
      </c>
      <c r="J2890" s="18">
        <f>YEAR(Tabla1[[#This Row],[FECHA DE COMPRA]])</f>
        <v>2024</v>
      </c>
      <c r="K2890" s="19">
        <v>146.62</v>
      </c>
      <c r="L2890" s="20">
        <v>0.3</v>
      </c>
      <c r="M2890" s="19">
        <f>Tienda!$K1548-Tienda!$K1548*Tienda!$L1548</f>
        <v>126.53100000000001</v>
      </c>
      <c r="N2890" s="3" t="s">
        <v>10040</v>
      </c>
      <c r="O2890" s="3" t="s">
        <v>10041</v>
      </c>
      <c r="P2890" s="17">
        <v>45471</v>
      </c>
      <c r="Q2890" s="4">
        <v>0</v>
      </c>
    </row>
    <row r="2891" spans="1:17" ht="30" x14ac:dyDescent="0.25">
      <c r="A2891" s="2" t="s">
        <v>3138</v>
      </c>
      <c r="B2891" s="3" t="s">
        <v>5015</v>
      </c>
      <c r="C2891" s="3">
        <v>51</v>
      </c>
      <c r="D2891" s="46" t="str">
        <f>IF(Tabla1[[#This Row],[EDAD]]&lt;=35,"Adultos jóvenes 18 - 35 años",IF(C2891&gt;=36,"Adultos mayores 36 años en adelante"))</f>
        <v>Adultos mayores 36 años en adelante</v>
      </c>
      <c r="E2891" s="3" t="s">
        <v>5019</v>
      </c>
      <c r="F2891" s="3" t="s">
        <v>5030</v>
      </c>
      <c r="G2891" s="3" t="s">
        <v>5036</v>
      </c>
      <c r="H2891" s="3" t="s">
        <v>8161</v>
      </c>
      <c r="I2891" s="17">
        <v>45333</v>
      </c>
      <c r="J2891" s="18">
        <f>YEAR(Tabla1[[#This Row],[FECHA DE COMPRA]])</f>
        <v>2024</v>
      </c>
      <c r="K2891" s="19">
        <v>128.32</v>
      </c>
      <c r="L2891" s="20">
        <v>0.2</v>
      </c>
      <c r="M2891" s="19">
        <f>Tienda!$K1549-Tienda!$K1549*Tienda!$L1549</f>
        <v>127.477</v>
      </c>
      <c r="N2891" s="3" t="s">
        <v>10040</v>
      </c>
      <c r="O2891" s="3" t="s">
        <v>10041</v>
      </c>
      <c r="P2891" s="17">
        <v>45333</v>
      </c>
      <c r="Q2891" s="4">
        <v>0</v>
      </c>
    </row>
    <row r="2892" spans="1:17" ht="30" x14ac:dyDescent="0.25">
      <c r="A2892" s="2" t="s">
        <v>3884</v>
      </c>
      <c r="B2892" s="3" t="s">
        <v>5015</v>
      </c>
      <c r="C2892" s="3">
        <v>62</v>
      </c>
      <c r="D2892" s="46" t="str">
        <f>IF(Tabla1[[#This Row],[EDAD]]&lt;=35,"Adultos jóvenes 18 - 35 años",IF(C2892&gt;=36,"Adultos mayores 36 años en adelante"))</f>
        <v>Adultos mayores 36 años en adelante</v>
      </c>
      <c r="E2892" s="3" t="s">
        <v>5018</v>
      </c>
      <c r="F2892" s="3" t="s">
        <v>5027</v>
      </c>
      <c r="G2892" s="3" t="s">
        <v>5032</v>
      </c>
      <c r="H2892" s="3" t="s">
        <v>8907</v>
      </c>
      <c r="I2892" s="17">
        <v>45310</v>
      </c>
      <c r="J2892" s="18">
        <f>YEAR(Tabla1[[#This Row],[FECHA DE COMPRA]])</f>
        <v>2024</v>
      </c>
      <c r="K2892" s="19">
        <v>146.94999999999999</v>
      </c>
      <c r="L2892" s="20">
        <v>0.3</v>
      </c>
      <c r="M2892" s="19">
        <f>Tienda!$K1550-Tienda!$K1550*Tienda!$L1550</f>
        <v>127.672</v>
      </c>
      <c r="N2892" s="3" t="s">
        <v>10040</v>
      </c>
      <c r="O2892" s="3" t="s">
        <v>10041</v>
      </c>
      <c r="P2892" s="17">
        <v>45310</v>
      </c>
      <c r="Q2892" s="4">
        <v>0</v>
      </c>
    </row>
    <row r="2893" spans="1:17" ht="30" x14ac:dyDescent="0.25">
      <c r="A2893" s="2" t="s">
        <v>4381</v>
      </c>
      <c r="B2893" s="3" t="s">
        <v>5016</v>
      </c>
      <c r="C2893" s="3">
        <v>45</v>
      </c>
      <c r="D2893" s="46" t="str">
        <f>IF(Tabla1[[#This Row],[EDAD]]&lt;=35,"Adultos jóvenes 18 - 35 años",IF(C2893&gt;=36,"Adultos mayores 36 años en adelante"))</f>
        <v>Adultos mayores 36 años en adelante</v>
      </c>
      <c r="E2893" s="3" t="s">
        <v>5019</v>
      </c>
      <c r="F2893" s="3" t="s">
        <v>5029</v>
      </c>
      <c r="G2893" s="3" t="s">
        <v>5033</v>
      </c>
      <c r="H2893" s="3" t="s">
        <v>9404</v>
      </c>
      <c r="I2893" s="17">
        <v>45487</v>
      </c>
      <c r="J2893" s="18">
        <f>YEAR(Tabla1[[#This Row],[FECHA DE COMPRA]])</f>
        <v>2024</v>
      </c>
      <c r="K2893" s="19">
        <v>147.05000000000001</v>
      </c>
      <c r="L2893" s="20">
        <v>0.3</v>
      </c>
      <c r="M2893" s="19">
        <f>Tienda!$K1551-Tienda!$K1551*Tienda!$L1551</f>
        <v>128.56</v>
      </c>
      <c r="N2893" s="3" t="s">
        <v>10040</v>
      </c>
      <c r="O2893" s="3" t="s">
        <v>10041</v>
      </c>
      <c r="P2893" s="17">
        <v>45487</v>
      </c>
      <c r="Q2893" s="4">
        <v>0</v>
      </c>
    </row>
    <row r="2894" spans="1:17" ht="30" x14ac:dyDescent="0.25">
      <c r="A2894" s="2" t="s">
        <v>3778</v>
      </c>
      <c r="B2894" s="3" t="s">
        <v>5016</v>
      </c>
      <c r="C2894" s="3">
        <v>50</v>
      </c>
      <c r="D2894" s="46" t="str">
        <f>IF(Tabla1[[#This Row],[EDAD]]&lt;=35,"Adultos jóvenes 18 - 35 años",IF(C2894&gt;=36,"Adultos mayores 36 años en adelante"))</f>
        <v>Adultos mayores 36 años en adelante</v>
      </c>
      <c r="E2894" s="3" t="s">
        <v>5023</v>
      </c>
      <c r="F2894" s="3" t="s">
        <v>5030</v>
      </c>
      <c r="G2894" s="3" t="s">
        <v>5032</v>
      </c>
      <c r="H2894" s="3" t="s">
        <v>8801</v>
      </c>
      <c r="I2894" s="17">
        <v>45335</v>
      </c>
      <c r="J2894" s="18">
        <f>YEAR(Tabla1[[#This Row],[FECHA DE COMPRA]])</f>
        <v>2024</v>
      </c>
      <c r="K2894" s="19">
        <v>128.85</v>
      </c>
      <c r="L2894" s="20">
        <v>0.2</v>
      </c>
      <c r="M2894" s="19">
        <f>Tienda!$K1552-Tienda!$K1552*Tienda!$L1552</f>
        <v>128.65600000000001</v>
      </c>
      <c r="N2894" s="3" t="s">
        <v>10040</v>
      </c>
      <c r="O2894" s="3" t="s">
        <v>10041</v>
      </c>
      <c r="P2894" s="17">
        <v>45368</v>
      </c>
      <c r="Q2894" s="4">
        <v>0</v>
      </c>
    </row>
    <row r="2895" spans="1:17" ht="30" x14ac:dyDescent="0.25">
      <c r="A2895" s="2" t="s">
        <v>1748</v>
      </c>
      <c r="B2895" s="3" t="s">
        <v>5015</v>
      </c>
      <c r="C2895" s="3">
        <v>55</v>
      </c>
      <c r="D2895" s="46" t="str">
        <f>IF(Tabla1[[#This Row],[EDAD]]&lt;=35,"Adultos jóvenes 18 - 35 años",IF(C2895&gt;=36,"Adultos mayores 36 años en adelante"))</f>
        <v>Adultos mayores 36 años en adelante</v>
      </c>
      <c r="E2895" s="3" t="s">
        <v>5017</v>
      </c>
      <c r="F2895" s="3" t="s">
        <v>5025</v>
      </c>
      <c r="G2895" s="3" t="s">
        <v>5031</v>
      </c>
      <c r="H2895" s="3" t="s">
        <v>6771</v>
      </c>
      <c r="I2895" s="17">
        <v>45509</v>
      </c>
      <c r="J2895" s="18">
        <f>YEAR(Tabla1[[#This Row],[FECHA DE COMPRA]])</f>
        <v>2024</v>
      </c>
      <c r="K2895" s="19">
        <v>116.59</v>
      </c>
      <c r="L2895" s="20">
        <v>0.1</v>
      </c>
      <c r="M2895" s="19">
        <f>Tienda!$K1560-Tienda!$K1560*Tienda!$L1560</f>
        <v>133.14699999999999</v>
      </c>
      <c r="N2895" s="3" t="s">
        <v>10040</v>
      </c>
      <c r="O2895" s="3" t="s">
        <v>10041</v>
      </c>
      <c r="P2895" s="17">
        <v>45509</v>
      </c>
      <c r="Q2895" s="4">
        <v>0</v>
      </c>
    </row>
    <row r="2896" spans="1:17" ht="30" x14ac:dyDescent="0.25">
      <c r="A2896" s="2" t="s">
        <v>814</v>
      </c>
      <c r="B2896" s="3" t="s">
        <v>5016</v>
      </c>
      <c r="C2896" s="3">
        <v>45</v>
      </c>
      <c r="D2896" s="46" t="str">
        <f>IF(Tabla1[[#This Row],[EDAD]]&lt;=35,"Adultos jóvenes 18 - 35 años",IF(C2896&gt;=36,"Adultos mayores 36 años en adelante"))</f>
        <v>Adultos mayores 36 años en adelante</v>
      </c>
      <c r="E2896" s="3" t="s">
        <v>5019</v>
      </c>
      <c r="F2896" s="3" t="s">
        <v>5029</v>
      </c>
      <c r="G2896" s="3" t="s">
        <v>5033</v>
      </c>
      <c r="H2896" s="3" t="s">
        <v>5837</v>
      </c>
      <c r="I2896" s="17">
        <v>45460</v>
      </c>
      <c r="J2896" s="18">
        <f>YEAR(Tabla1[[#This Row],[FECHA DE COMPRA]])</f>
        <v>2024</v>
      </c>
      <c r="K2896" s="19">
        <v>152.4</v>
      </c>
      <c r="L2896" s="20">
        <v>0.3</v>
      </c>
      <c r="M2896" s="19">
        <f>Tienda!$K1565-Tienda!$K1565*Tienda!$L1565</f>
        <v>136.04000000000002</v>
      </c>
      <c r="N2896" s="3" t="s">
        <v>10040</v>
      </c>
      <c r="O2896" s="3" t="s">
        <v>10041</v>
      </c>
      <c r="P2896" s="17">
        <v>45460</v>
      </c>
      <c r="Q2896" s="4">
        <v>0</v>
      </c>
    </row>
    <row r="2897" spans="1:17" ht="30" x14ac:dyDescent="0.25">
      <c r="A2897" s="2" t="s">
        <v>4145</v>
      </c>
      <c r="B2897" s="3" t="s">
        <v>5015</v>
      </c>
      <c r="C2897" s="3">
        <v>40</v>
      </c>
      <c r="D2897" s="46" t="str">
        <f>IF(Tabla1[[#This Row],[EDAD]]&lt;=35,"Adultos jóvenes 18 - 35 años",IF(C2897&gt;=36,"Adultos mayores 36 años en adelante"))</f>
        <v>Adultos mayores 36 años en adelante</v>
      </c>
      <c r="E2897" s="3" t="s">
        <v>5022</v>
      </c>
      <c r="F2897" s="3" t="s">
        <v>5027</v>
      </c>
      <c r="G2897" s="3" t="s">
        <v>5036</v>
      </c>
      <c r="H2897" s="3" t="s">
        <v>9168</v>
      </c>
      <c r="I2897" s="17">
        <v>45570</v>
      </c>
      <c r="J2897" s="18">
        <f>YEAR(Tabla1[[#This Row],[FECHA DE COMPRA]])</f>
        <v>2024</v>
      </c>
      <c r="K2897" s="19">
        <v>119.59</v>
      </c>
      <c r="L2897" s="20">
        <v>0.1</v>
      </c>
      <c r="M2897" s="19">
        <f>Tienda!$K1572-Tienda!$K1572*Tienda!$L1572</f>
        <v>139.84800000000001</v>
      </c>
      <c r="N2897" s="3" t="s">
        <v>10040</v>
      </c>
      <c r="O2897" s="3" t="s">
        <v>10041</v>
      </c>
      <c r="P2897" s="17">
        <v>45570</v>
      </c>
      <c r="Q2897" s="4">
        <v>0</v>
      </c>
    </row>
    <row r="2898" spans="1:17" ht="30" x14ac:dyDescent="0.25">
      <c r="A2898" s="2" t="s">
        <v>1666</v>
      </c>
      <c r="B2898" s="3" t="s">
        <v>5015</v>
      </c>
      <c r="C2898" s="3">
        <v>61</v>
      </c>
      <c r="D2898" s="46" t="str">
        <f>IF(Tabla1[[#This Row],[EDAD]]&lt;=35,"Adultos jóvenes 18 - 35 años",IF(C2898&gt;=36,"Adultos mayores 36 años en adelante"))</f>
        <v>Adultos mayores 36 años en adelante</v>
      </c>
      <c r="E2898" s="3" t="s">
        <v>5022</v>
      </c>
      <c r="F2898" s="3" t="s">
        <v>5027</v>
      </c>
      <c r="G2898" s="3" t="s">
        <v>5031</v>
      </c>
      <c r="H2898" s="3" t="s">
        <v>6689</v>
      </c>
      <c r="I2898" s="17">
        <v>45467</v>
      </c>
      <c r="J2898" s="18">
        <f>YEAR(Tabla1[[#This Row],[FECHA DE COMPRA]])</f>
        <v>2024</v>
      </c>
      <c r="K2898" s="19">
        <v>134.96</v>
      </c>
      <c r="L2898" s="20">
        <v>0.2</v>
      </c>
      <c r="M2898" s="19">
        <f>Tienda!$K1573-Tienda!$K1573*Tienda!$L1573</f>
        <v>140.47</v>
      </c>
      <c r="N2898" s="3" t="s">
        <v>10040</v>
      </c>
      <c r="O2898" s="3" t="s">
        <v>10041</v>
      </c>
      <c r="P2898" s="17">
        <v>45467</v>
      </c>
      <c r="Q2898" s="4">
        <v>0</v>
      </c>
    </row>
    <row r="2899" spans="1:17" ht="30" x14ac:dyDescent="0.25">
      <c r="A2899" s="2" t="s">
        <v>1950</v>
      </c>
      <c r="B2899" s="3" t="s">
        <v>5015</v>
      </c>
      <c r="C2899" s="3">
        <v>50</v>
      </c>
      <c r="D2899" s="46" t="str">
        <f>IF(Tabla1[[#This Row],[EDAD]]&lt;=35,"Adultos jóvenes 18 - 35 años",IF(C2899&gt;=36,"Adultos mayores 36 años en adelante"))</f>
        <v>Adultos mayores 36 años en adelante</v>
      </c>
      <c r="E2899" s="3" t="s">
        <v>5022</v>
      </c>
      <c r="F2899" s="3" t="s">
        <v>5029</v>
      </c>
      <c r="G2899" s="3" t="s">
        <v>5036</v>
      </c>
      <c r="H2899" s="3" t="s">
        <v>6973</v>
      </c>
      <c r="I2899" s="17">
        <v>45574</v>
      </c>
      <c r="J2899" s="18">
        <f>YEAR(Tabla1[[#This Row],[FECHA DE COMPRA]])</f>
        <v>2024</v>
      </c>
      <c r="K2899" s="19">
        <v>108.39</v>
      </c>
      <c r="L2899" s="20">
        <v>0</v>
      </c>
      <c r="M2899" s="19">
        <f>Tienda!$K1576-Tienda!$K1576*Tienda!$L1576</f>
        <v>141.84800000000001</v>
      </c>
      <c r="N2899" s="3" t="s">
        <v>10040</v>
      </c>
      <c r="O2899" s="3" t="s">
        <v>10041</v>
      </c>
      <c r="P2899" s="17">
        <v>45574</v>
      </c>
      <c r="Q2899" s="4">
        <v>0</v>
      </c>
    </row>
    <row r="2900" spans="1:17" ht="30" x14ac:dyDescent="0.25">
      <c r="A2900" s="2" t="s">
        <v>4871</v>
      </c>
      <c r="B2900" s="3" t="s">
        <v>5015</v>
      </c>
      <c r="C2900" s="3">
        <v>51</v>
      </c>
      <c r="D2900" s="46" t="str">
        <f>IF(Tabla1[[#This Row],[EDAD]]&lt;=35,"Adultos jóvenes 18 - 35 años",IF(C2900&gt;=36,"Adultos mayores 36 años en adelante"))</f>
        <v>Adultos mayores 36 años en adelante</v>
      </c>
      <c r="E2900" s="3" t="s">
        <v>5023</v>
      </c>
      <c r="F2900" s="3" t="s">
        <v>5028</v>
      </c>
      <c r="G2900" s="3" t="s">
        <v>5036</v>
      </c>
      <c r="H2900" s="3" t="s">
        <v>9894</v>
      </c>
      <c r="I2900" s="17">
        <v>45441</v>
      </c>
      <c r="J2900" s="18">
        <f>YEAR(Tabla1[[#This Row],[FECHA DE COMPRA]])</f>
        <v>2024</v>
      </c>
      <c r="K2900" s="19">
        <v>135.79</v>
      </c>
      <c r="L2900" s="20">
        <v>0.2</v>
      </c>
      <c r="M2900" s="19">
        <f>Tienda!$K1578-Tienda!$K1578*Tienda!$L1578</f>
        <v>143.32499999999999</v>
      </c>
      <c r="N2900" s="3" t="s">
        <v>10040</v>
      </c>
      <c r="O2900" s="3" t="s">
        <v>10041</v>
      </c>
      <c r="P2900" s="17">
        <v>45441</v>
      </c>
      <c r="Q2900" s="4">
        <v>0</v>
      </c>
    </row>
    <row r="2901" spans="1:17" ht="30" x14ac:dyDescent="0.25">
      <c r="A2901" s="2" t="s">
        <v>3163</v>
      </c>
      <c r="B2901" s="3" t="s">
        <v>5015</v>
      </c>
      <c r="C2901" s="3">
        <v>55</v>
      </c>
      <c r="D2901" s="46" t="str">
        <f>IF(Tabla1[[#This Row],[EDAD]]&lt;=35,"Adultos jóvenes 18 - 35 años",IF(C2901&gt;=36,"Adultos mayores 36 años en adelante"))</f>
        <v>Adultos mayores 36 años en adelante</v>
      </c>
      <c r="E2901" s="3" t="s">
        <v>5021</v>
      </c>
      <c r="F2901" s="3" t="s">
        <v>5025</v>
      </c>
      <c r="G2901" s="3" t="s">
        <v>5031</v>
      </c>
      <c r="H2901" s="3" t="s">
        <v>8186</v>
      </c>
      <c r="I2901" s="17">
        <v>45649</v>
      </c>
      <c r="J2901" s="18">
        <f>YEAR(Tabla1[[#This Row],[FECHA DE COMPRA]])</f>
        <v>2024</v>
      </c>
      <c r="K2901" s="19">
        <v>156.76</v>
      </c>
      <c r="L2901" s="20">
        <v>0.3</v>
      </c>
      <c r="M2901" s="19">
        <f>Tienda!$K1584-Tienda!$K1584*Tienda!$L1584</f>
        <v>146.864</v>
      </c>
      <c r="N2901" s="3" t="s">
        <v>10040</v>
      </c>
      <c r="O2901" s="3" t="s">
        <v>10041</v>
      </c>
      <c r="P2901" s="17">
        <v>45300</v>
      </c>
      <c r="Q2901" s="4">
        <v>0</v>
      </c>
    </row>
    <row r="2902" spans="1:17" ht="30" x14ac:dyDescent="0.25">
      <c r="A2902" s="2" t="s">
        <v>1632</v>
      </c>
      <c r="B2902" s="3" t="s">
        <v>5016</v>
      </c>
      <c r="C2902" s="3">
        <v>36</v>
      </c>
      <c r="D2902" s="46" t="str">
        <f>IF(Tabla1[[#This Row],[EDAD]]&lt;=35,"Adultos jóvenes 18 - 35 años",IF(C2902&gt;=36,"Adultos mayores 36 años en adelante"))</f>
        <v>Adultos mayores 36 años en adelante</v>
      </c>
      <c r="E2902" s="3" t="s">
        <v>5021</v>
      </c>
      <c r="F2902" s="3" t="s">
        <v>5028</v>
      </c>
      <c r="G2902" s="3" t="s">
        <v>5032</v>
      </c>
      <c r="H2902" s="3" t="s">
        <v>6655</v>
      </c>
      <c r="I2902" s="17">
        <v>45417</v>
      </c>
      <c r="J2902" s="18">
        <f>YEAR(Tabla1[[#This Row],[FECHA DE COMPRA]])</f>
        <v>2024</v>
      </c>
      <c r="K2902" s="19">
        <v>157.62</v>
      </c>
      <c r="L2902" s="20">
        <v>0.3</v>
      </c>
      <c r="M2902" s="19">
        <f>Tienda!$K1586-Tienda!$K1586*Tienda!$L1586</f>
        <v>149.32799999999997</v>
      </c>
      <c r="N2902" s="3" t="s">
        <v>10040</v>
      </c>
      <c r="O2902" s="3" t="s">
        <v>10041</v>
      </c>
      <c r="P2902" s="17">
        <v>45417</v>
      </c>
      <c r="Q2902" s="4">
        <v>0</v>
      </c>
    </row>
    <row r="2903" spans="1:17" ht="30" x14ac:dyDescent="0.25">
      <c r="A2903" s="2" t="s">
        <v>4784</v>
      </c>
      <c r="B2903" s="3" t="s">
        <v>5016</v>
      </c>
      <c r="C2903" s="3">
        <v>64</v>
      </c>
      <c r="D2903" s="46" t="str">
        <f>IF(Tabla1[[#This Row],[EDAD]]&lt;=35,"Adultos jóvenes 18 - 35 años",IF(C2903&gt;=36,"Adultos mayores 36 años en adelante"))</f>
        <v>Adultos mayores 36 años en adelante</v>
      </c>
      <c r="E2903" s="3" t="s">
        <v>5021</v>
      </c>
      <c r="F2903" s="3" t="s">
        <v>5024</v>
      </c>
      <c r="G2903" s="3" t="s">
        <v>5033</v>
      </c>
      <c r="H2903" s="3" t="s">
        <v>9807</v>
      </c>
      <c r="I2903" s="17">
        <v>45624</v>
      </c>
      <c r="J2903" s="18">
        <f>YEAR(Tabla1[[#This Row],[FECHA DE COMPRA]])</f>
        <v>2024</v>
      </c>
      <c r="K2903" s="19">
        <v>138.15</v>
      </c>
      <c r="L2903" s="20">
        <v>0.2</v>
      </c>
      <c r="M2903" s="19">
        <f>Tienda!$K1589-Tienda!$K1589*Tienda!$L1589</f>
        <v>151.81</v>
      </c>
      <c r="N2903" s="3" t="s">
        <v>10040</v>
      </c>
      <c r="O2903" s="3" t="s">
        <v>10041</v>
      </c>
      <c r="P2903" s="17">
        <v>45411</v>
      </c>
      <c r="Q2903" s="4">
        <v>0</v>
      </c>
    </row>
    <row r="2904" spans="1:17" ht="30" x14ac:dyDescent="0.25">
      <c r="A2904" s="2" t="s">
        <v>4617</v>
      </c>
      <c r="B2904" s="3" t="s">
        <v>5016</v>
      </c>
      <c r="C2904" s="3">
        <v>55</v>
      </c>
      <c r="D2904" s="46" t="str">
        <f>IF(Tabla1[[#This Row],[EDAD]]&lt;=35,"Adultos jóvenes 18 - 35 años",IF(C2904&gt;=36,"Adultos mayores 36 años en adelante"))</f>
        <v>Adultos mayores 36 años en adelante</v>
      </c>
      <c r="E2904" s="3" t="s">
        <v>5021</v>
      </c>
      <c r="F2904" s="3" t="s">
        <v>5028</v>
      </c>
      <c r="G2904" s="3" t="s">
        <v>5037</v>
      </c>
      <c r="H2904" s="3" t="s">
        <v>9640</v>
      </c>
      <c r="I2904" s="17">
        <v>45435</v>
      </c>
      <c r="J2904" s="18">
        <f>YEAR(Tabla1[[#This Row],[FECHA DE COMPRA]])</f>
        <v>2024</v>
      </c>
      <c r="K2904" s="19">
        <v>139.4</v>
      </c>
      <c r="L2904" s="20">
        <v>0.2</v>
      </c>
      <c r="M2904" s="19">
        <f>Tienda!$K1592-Tienda!$K1592*Tienda!$L1592</f>
        <v>155.34</v>
      </c>
      <c r="N2904" s="3" t="s">
        <v>10040</v>
      </c>
      <c r="O2904" s="3" t="s">
        <v>10041</v>
      </c>
      <c r="P2904" s="17">
        <v>45435</v>
      </c>
      <c r="Q2904" s="4">
        <v>0</v>
      </c>
    </row>
    <row r="2905" spans="1:17" ht="30" x14ac:dyDescent="0.25">
      <c r="A2905" s="2" t="s">
        <v>1300</v>
      </c>
      <c r="B2905" s="3" t="s">
        <v>5015</v>
      </c>
      <c r="C2905" s="3">
        <v>57</v>
      </c>
      <c r="D2905" s="46" t="str">
        <f>IF(Tabla1[[#This Row],[EDAD]]&lt;=35,"Adultos jóvenes 18 - 35 años",IF(C2905&gt;=36,"Adultos mayores 36 años en adelante"))</f>
        <v>Adultos mayores 36 años en adelante</v>
      </c>
      <c r="E2905" s="3" t="s">
        <v>5019</v>
      </c>
      <c r="F2905" s="3" t="s">
        <v>5026</v>
      </c>
      <c r="G2905" s="3" t="s">
        <v>5031</v>
      </c>
      <c r="H2905" s="3" t="s">
        <v>6323</v>
      </c>
      <c r="I2905" s="17">
        <v>45344</v>
      </c>
      <c r="J2905" s="18">
        <f>YEAR(Tabla1[[#This Row],[FECHA DE COMPRA]])</f>
        <v>2024</v>
      </c>
      <c r="K2905" s="19">
        <v>111.91</v>
      </c>
      <c r="L2905" s="20">
        <v>0</v>
      </c>
      <c r="M2905" s="19">
        <f>Tienda!$K1594-Tienda!$K1594*Tienda!$L1594</f>
        <v>155.43</v>
      </c>
      <c r="N2905" s="3" t="s">
        <v>10040</v>
      </c>
      <c r="O2905" s="3" t="s">
        <v>10041</v>
      </c>
      <c r="P2905" s="17">
        <v>45344</v>
      </c>
      <c r="Q2905" s="4">
        <v>0</v>
      </c>
    </row>
    <row r="2906" spans="1:17" ht="30" x14ac:dyDescent="0.25">
      <c r="A2906" s="2" t="s">
        <v>2123</v>
      </c>
      <c r="B2906" s="3" t="s">
        <v>5015</v>
      </c>
      <c r="C2906" s="3">
        <v>40</v>
      </c>
      <c r="D2906" s="46" t="str">
        <f>IF(Tabla1[[#This Row],[EDAD]]&lt;=35,"Adultos jóvenes 18 - 35 años",IF(C2906&gt;=36,"Adultos mayores 36 años en adelante"))</f>
        <v>Adultos mayores 36 años en adelante</v>
      </c>
      <c r="E2906" s="3" t="s">
        <v>5018</v>
      </c>
      <c r="F2906" s="3" t="s">
        <v>5030</v>
      </c>
      <c r="G2906" s="3" t="s">
        <v>5036</v>
      </c>
      <c r="H2906" s="3" t="s">
        <v>7146</v>
      </c>
      <c r="I2906" s="17">
        <v>45649</v>
      </c>
      <c r="J2906" s="18">
        <f>YEAR(Tabla1[[#This Row],[FECHA DE COMPRA]])</f>
        <v>2024</v>
      </c>
      <c r="K2906" s="19">
        <v>124.38</v>
      </c>
      <c r="L2906" s="20">
        <v>0.1</v>
      </c>
      <c r="M2906" s="19">
        <f>Tienda!$K1595-Tienda!$K1595*Tienda!$L1595</f>
        <v>156.232</v>
      </c>
      <c r="N2906" s="3" t="s">
        <v>10040</v>
      </c>
      <c r="O2906" s="3" t="s">
        <v>10041</v>
      </c>
      <c r="P2906" s="17">
        <v>45304</v>
      </c>
      <c r="Q2906" s="4">
        <v>0</v>
      </c>
    </row>
    <row r="2907" spans="1:17" ht="30" x14ac:dyDescent="0.25">
      <c r="A2907" s="2" t="s">
        <v>2404</v>
      </c>
      <c r="B2907" s="3" t="s">
        <v>5015</v>
      </c>
      <c r="C2907" s="3">
        <v>50</v>
      </c>
      <c r="D2907" s="46" t="str">
        <f>IF(Tabla1[[#This Row],[EDAD]]&lt;=35,"Adultos jóvenes 18 - 35 años",IF(C2907&gt;=36,"Adultos mayores 36 años en adelante"))</f>
        <v>Adultos mayores 36 años en adelante</v>
      </c>
      <c r="E2907" s="3" t="s">
        <v>5023</v>
      </c>
      <c r="F2907" s="3" t="s">
        <v>5028</v>
      </c>
      <c r="G2907" s="3" t="s">
        <v>5036</v>
      </c>
      <c r="H2907" s="3" t="s">
        <v>7427</v>
      </c>
      <c r="I2907" s="17">
        <v>45518</v>
      </c>
      <c r="J2907" s="18">
        <f>YEAR(Tabla1[[#This Row],[FECHA DE COMPRA]])</f>
        <v>2024</v>
      </c>
      <c r="K2907" s="19">
        <v>140.63</v>
      </c>
      <c r="L2907" s="20">
        <v>0.2</v>
      </c>
      <c r="M2907" s="19">
        <f>Tienda!$K1597-Tienda!$K1597*Tienda!$L1597</f>
        <v>158.34</v>
      </c>
      <c r="N2907" s="3" t="s">
        <v>10040</v>
      </c>
      <c r="O2907" s="3" t="s">
        <v>10041</v>
      </c>
      <c r="P2907" s="17">
        <v>45518</v>
      </c>
      <c r="Q2907" s="4">
        <v>0</v>
      </c>
    </row>
    <row r="2908" spans="1:17" ht="30" x14ac:dyDescent="0.25">
      <c r="A2908" s="2" t="s">
        <v>4245</v>
      </c>
      <c r="B2908" s="3" t="s">
        <v>5015</v>
      </c>
      <c r="C2908" s="3">
        <v>49</v>
      </c>
      <c r="D2908" s="46" t="str">
        <f>IF(Tabla1[[#This Row],[EDAD]]&lt;=35,"Adultos jóvenes 18 - 35 años",IF(C2908&gt;=36,"Adultos mayores 36 años en adelante"))</f>
        <v>Adultos mayores 36 años en adelante</v>
      </c>
      <c r="E2908" s="3" t="s">
        <v>5022</v>
      </c>
      <c r="F2908" s="3" t="s">
        <v>5025</v>
      </c>
      <c r="G2908" s="3" t="s">
        <v>5032</v>
      </c>
      <c r="H2908" s="3" t="s">
        <v>9268</v>
      </c>
      <c r="I2908" s="17">
        <v>45588</v>
      </c>
      <c r="J2908" s="18">
        <f>YEAR(Tabla1[[#This Row],[FECHA DE COMPRA]])</f>
        <v>2024</v>
      </c>
      <c r="K2908" s="19">
        <v>142.29</v>
      </c>
      <c r="L2908" s="20">
        <v>0.2</v>
      </c>
      <c r="M2908" s="19">
        <f>Tienda!$K1601-Tienda!$K1601*Tienda!$L1601</f>
        <v>160.46099999999998</v>
      </c>
      <c r="N2908" s="3" t="s">
        <v>10040</v>
      </c>
      <c r="O2908" s="3" t="s">
        <v>10041</v>
      </c>
      <c r="P2908" s="17">
        <v>45588</v>
      </c>
      <c r="Q2908" s="4">
        <v>0</v>
      </c>
    </row>
    <row r="2909" spans="1:17" ht="30" x14ac:dyDescent="0.25">
      <c r="A2909" s="2" t="s">
        <v>4504</v>
      </c>
      <c r="B2909" s="3" t="s">
        <v>5015</v>
      </c>
      <c r="C2909" s="3">
        <v>36</v>
      </c>
      <c r="D2909" s="46" t="str">
        <f>IF(Tabla1[[#This Row],[EDAD]]&lt;=35,"Adultos jóvenes 18 - 35 años",IF(C2909&gt;=36,"Adultos mayores 36 años en adelante"))</f>
        <v>Adultos mayores 36 años en adelante</v>
      </c>
      <c r="E2909" s="3" t="s">
        <v>5018</v>
      </c>
      <c r="F2909" s="3" t="s">
        <v>5025</v>
      </c>
      <c r="G2909" s="3" t="s">
        <v>5034</v>
      </c>
      <c r="H2909" s="3" t="s">
        <v>9527</v>
      </c>
      <c r="I2909" s="17">
        <v>45431</v>
      </c>
      <c r="J2909" s="18">
        <f>YEAR(Tabla1[[#This Row],[FECHA DE COMPRA]])</f>
        <v>2024</v>
      </c>
      <c r="K2909" s="19">
        <v>113.87</v>
      </c>
      <c r="L2909" s="20">
        <v>0</v>
      </c>
      <c r="M2909" s="19">
        <f>Tienda!$K1602-Tienda!$K1602*Tienda!$L1602</f>
        <v>161.46</v>
      </c>
      <c r="N2909" s="3" t="s">
        <v>10040</v>
      </c>
      <c r="O2909" s="3" t="s">
        <v>10041</v>
      </c>
      <c r="P2909" s="17">
        <v>45431</v>
      </c>
      <c r="Q2909" s="4">
        <v>0</v>
      </c>
    </row>
    <row r="2910" spans="1:17" ht="30" x14ac:dyDescent="0.25">
      <c r="A2910" s="2" t="s">
        <v>2982</v>
      </c>
      <c r="B2910" s="3" t="s">
        <v>5015</v>
      </c>
      <c r="C2910" s="3">
        <v>54</v>
      </c>
      <c r="D2910" s="46" t="str">
        <f>IF(Tabla1[[#This Row],[EDAD]]&lt;=35,"Adultos jóvenes 18 - 35 años",IF(C2910&gt;=36,"Adultos mayores 36 años en adelante"))</f>
        <v>Adultos mayores 36 años en adelante</v>
      </c>
      <c r="E2910" s="3" t="s">
        <v>5018</v>
      </c>
      <c r="F2910" s="3" t="s">
        <v>5030</v>
      </c>
      <c r="G2910" s="3" t="s">
        <v>5037</v>
      </c>
      <c r="H2910" s="3" t="s">
        <v>8005</v>
      </c>
      <c r="I2910" s="17">
        <v>45649</v>
      </c>
      <c r="J2910" s="18">
        <f>YEAR(Tabla1[[#This Row],[FECHA DE COMPRA]])</f>
        <v>2024</v>
      </c>
      <c r="K2910" s="19">
        <v>143.13999999999999</v>
      </c>
      <c r="L2910" s="20">
        <v>0.2</v>
      </c>
      <c r="M2910" s="19">
        <f>Tienda!$K1604-Tienda!$K1604*Tienda!$L1604</f>
        <v>164.52</v>
      </c>
      <c r="N2910" s="3" t="s">
        <v>10040</v>
      </c>
      <c r="O2910" s="3" t="s">
        <v>10041</v>
      </c>
      <c r="P2910" s="17">
        <v>45301</v>
      </c>
      <c r="Q2910" s="4">
        <v>0</v>
      </c>
    </row>
    <row r="2911" spans="1:17" ht="30" x14ac:dyDescent="0.25">
      <c r="A2911" s="2" t="s">
        <v>3696</v>
      </c>
      <c r="B2911" s="3" t="s">
        <v>5015</v>
      </c>
      <c r="C2911" s="3">
        <v>42</v>
      </c>
      <c r="D2911" s="46" t="str">
        <f>IF(Tabla1[[#This Row],[EDAD]]&lt;=35,"Adultos jóvenes 18 - 35 años",IF(C2911&gt;=36,"Adultos mayores 36 años en adelante"))</f>
        <v>Adultos mayores 36 años en adelante</v>
      </c>
      <c r="E2911" s="3" t="s">
        <v>5018</v>
      </c>
      <c r="F2911" s="3" t="s">
        <v>5025</v>
      </c>
      <c r="G2911" s="3" t="s">
        <v>5037</v>
      </c>
      <c r="H2911" s="3" t="s">
        <v>8719</v>
      </c>
      <c r="I2911" s="17">
        <v>45515</v>
      </c>
      <c r="J2911" s="18">
        <f>YEAR(Tabla1[[#This Row],[FECHA DE COMPRA]])</f>
        <v>2024</v>
      </c>
      <c r="K2911" s="19">
        <v>144.07</v>
      </c>
      <c r="L2911" s="20">
        <v>0.2</v>
      </c>
      <c r="M2911" s="19">
        <f>Tienda!$K1607-Tienda!$K1607*Tienda!$L1607</f>
        <v>166.33</v>
      </c>
      <c r="N2911" s="3" t="s">
        <v>10040</v>
      </c>
      <c r="O2911" s="3" t="s">
        <v>10041</v>
      </c>
      <c r="P2911" s="17">
        <v>45515</v>
      </c>
      <c r="Q2911" s="4">
        <v>0</v>
      </c>
    </row>
    <row r="2912" spans="1:17" ht="30" x14ac:dyDescent="0.25">
      <c r="A2912" s="2" t="s">
        <v>1972</v>
      </c>
      <c r="B2912" s="3" t="s">
        <v>5015</v>
      </c>
      <c r="C2912" s="3">
        <v>54</v>
      </c>
      <c r="D2912" s="46" t="str">
        <f>IF(Tabla1[[#This Row],[EDAD]]&lt;=35,"Adultos jóvenes 18 - 35 años",IF(C2912&gt;=36,"Adultos mayores 36 años en adelante"))</f>
        <v>Adultos mayores 36 años en adelante</v>
      </c>
      <c r="E2912" s="3" t="s">
        <v>5021</v>
      </c>
      <c r="F2912" s="3" t="s">
        <v>5027</v>
      </c>
      <c r="G2912" s="3" t="s">
        <v>5035</v>
      </c>
      <c r="H2912" s="3" t="s">
        <v>6995</v>
      </c>
      <c r="I2912" s="17">
        <v>45359</v>
      </c>
      <c r="J2912" s="18">
        <f>YEAR(Tabla1[[#This Row],[FECHA DE COMPRA]])</f>
        <v>2024</v>
      </c>
      <c r="K2912" s="19">
        <v>164.95</v>
      </c>
      <c r="L2912" s="20">
        <v>0.3</v>
      </c>
      <c r="M2912" s="19">
        <f>Tienda!$K1609-Tienda!$K1609*Tienda!$L1609</f>
        <v>168.87599999999998</v>
      </c>
      <c r="N2912" s="3" t="s">
        <v>10040</v>
      </c>
      <c r="O2912" s="3" t="s">
        <v>10041</v>
      </c>
      <c r="P2912" s="17">
        <v>45359</v>
      </c>
      <c r="Q2912" s="4">
        <v>0</v>
      </c>
    </row>
    <row r="2913" spans="1:17" ht="30" x14ac:dyDescent="0.25">
      <c r="A2913" s="2" t="s">
        <v>975</v>
      </c>
      <c r="B2913" s="3" t="s">
        <v>5015</v>
      </c>
      <c r="C2913" s="3">
        <v>46</v>
      </c>
      <c r="D2913" s="46" t="str">
        <f>IF(Tabla1[[#This Row],[EDAD]]&lt;=35,"Adultos jóvenes 18 - 35 años",IF(C2913&gt;=36,"Adultos mayores 36 años en adelante"))</f>
        <v>Adultos mayores 36 años en adelante</v>
      </c>
      <c r="E2913" s="3" t="s">
        <v>5023</v>
      </c>
      <c r="F2913" s="3" t="s">
        <v>5024</v>
      </c>
      <c r="G2913" s="3" t="s">
        <v>5037</v>
      </c>
      <c r="H2913" s="3" t="s">
        <v>5998</v>
      </c>
      <c r="I2913" s="17">
        <v>45592</v>
      </c>
      <c r="J2913" s="18">
        <f>YEAR(Tabla1[[#This Row],[FECHA DE COMPRA]])</f>
        <v>2024</v>
      </c>
      <c r="K2913" s="19">
        <v>115.5</v>
      </c>
      <c r="L2913" s="20">
        <v>0</v>
      </c>
      <c r="M2913" s="19">
        <f>Tienda!$K1610-Tienda!$K1610*Tienda!$L1610</f>
        <v>170.48699999999999</v>
      </c>
      <c r="N2913" s="3" t="s">
        <v>10040</v>
      </c>
      <c r="O2913" s="3" t="s">
        <v>10041</v>
      </c>
      <c r="P2913" s="17">
        <v>45592</v>
      </c>
      <c r="Q2913" s="4">
        <v>0</v>
      </c>
    </row>
    <row r="2914" spans="1:17" ht="30" x14ac:dyDescent="0.25">
      <c r="A2914" s="2" t="s">
        <v>355</v>
      </c>
      <c r="B2914" s="3" t="s">
        <v>5015</v>
      </c>
      <c r="C2914" s="3">
        <v>50</v>
      </c>
      <c r="D2914" s="46" t="str">
        <f>IF(Tabla1[[#This Row],[EDAD]]&lt;=35,"Adultos jóvenes 18 - 35 años",IF(C2914&gt;=36,"Adultos mayores 36 años en adelante"))</f>
        <v>Adultos mayores 36 años en adelante</v>
      </c>
      <c r="E2914" s="3" t="s">
        <v>5021</v>
      </c>
      <c r="F2914" s="3" t="s">
        <v>5028</v>
      </c>
      <c r="G2914" s="3" t="s">
        <v>5033</v>
      </c>
      <c r="H2914" s="3" t="s">
        <v>5378</v>
      </c>
      <c r="I2914" s="17">
        <v>45379</v>
      </c>
      <c r="J2914" s="18">
        <f>YEAR(Tabla1[[#This Row],[FECHA DE COMPRA]])</f>
        <v>2024</v>
      </c>
      <c r="K2914" s="19">
        <v>165.82</v>
      </c>
      <c r="L2914" s="20">
        <v>0.3</v>
      </c>
      <c r="M2914" s="19">
        <f>Tienda!$K1614-Tienda!$K1614*Tienda!$L1614</f>
        <v>174.42</v>
      </c>
      <c r="N2914" s="3" t="s">
        <v>10040</v>
      </c>
      <c r="O2914" s="3" t="s">
        <v>10041</v>
      </c>
      <c r="P2914" s="17">
        <v>45379</v>
      </c>
      <c r="Q2914" s="4">
        <v>0</v>
      </c>
    </row>
    <row r="2915" spans="1:17" ht="30" x14ac:dyDescent="0.25">
      <c r="A2915" s="2" t="s">
        <v>914</v>
      </c>
      <c r="B2915" s="3" t="s">
        <v>5015</v>
      </c>
      <c r="C2915" s="3">
        <v>41</v>
      </c>
      <c r="D2915" s="46" t="str">
        <f>IF(Tabla1[[#This Row],[EDAD]]&lt;=35,"Adultos jóvenes 18 - 35 años",IF(C2915&gt;=36,"Adultos mayores 36 años en adelante"))</f>
        <v>Adultos mayores 36 años en adelante</v>
      </c>
      <c r="E2915" s="3" t="s">
        <v>5020</v>
      </c>
      <c r="F2915" s="3" t="s">
        <v>5030</v>
      </c>
      <c r="G2915" s="3" t="s">
        <v>5037</v>
      </c>
      <c r="H2915" s="3" t="s">
        <v>5937</v>
      </c>
      <c r="I2915" s="17">
        <v>45440</v>
      </c>
      <c r="J2915" s="18">
        <f>YEAR(Tabla1[[#This Row],[FECHA DE COMPRA]])</f>
        <v>2024</v>
      </c>
      <c r="K2915" s="19">
        <v>129.47</v>
      </c>
      <c r="L2915" s="20">
        <v>0.1</v>
      </c>
      <c r="M2915" s="19">
        <f>Tienda!$K1618-Tienda!$K1618*Tienda!$L1618</f>
        <v>187.3</v>
      </c>
      <c r="N2915" s="3" t="s">
        <v>10040</v>
      </c>
      <c r="O2915" s="3" t="s">
        <v>10041</v>
      </c>
      <c r="P2915" s="17">
        <v>45440</v>
      </c>
      <c r="Q2915" s="4">
        <v>0</v>
      </c>
    </row>
    <row r="2916" spans="1:17" ht="30" x14ac:dyDescent="0.25">
      <c r="A2916" s="2" t="s">
        <v>1720</v>
      </c>
      <c r="B2916" s="3" t="s">
        <v>5015</v>
      </c>
      <c r="C2916" s="3">
        <v>60</v>
      </c>
      <c r="D2916" s="46" t="str">
        <f>IF(Tabla1[[#This Row],[EDAD]]&lt;=35,"Adultos jóvenes 18 - 35 años",IF(C2916&gt;=36,"Adultos mayores 36 años en adelante"))</f>
        <v>Adultos mayores 36 años en adelante</v>
      </c>
      <c r="E2916" s="3" t="s">
        <v>5018</v>
      </c>
      <c r="F2916" s="3" t="s">
        <v>5030</v>
      </c>
      <c r="G2916" s="3" t="s">
        <v>5032</v>
      </c>
      <c r="H2916" s="3" t="s">
        <v>6743</v>
      </c>
      <c r="I2916" s="17">
        <v>45311</v>
      </c>
      <c r="J2916" s="18">
        <f>YEAR(Tabla1[[#This Row],[FECHA DE COMPRA]])</f>
        <v>2024</v>
      </c>
      <c r="K2916" s="19">
        <v>146.02000000000001</v>
      </c>
      <c r="L2916" s="20">
        <v>0.2</v>
      </c>
      <c r="M2916" s="19">
        <f>Tienda!$K1619-Tienda!$K1619*Tienda!$L1619</f>
        <v>191.14</v>
      </c>
      <c r="N2916" s="3" t="s">
        <v>10040</v>
      </c>
      <c r="O2916" s="3" t="s">
        <v>10041</v>
      </c>
      <c r="P2916" s="17">
        <v>45311</v>
      </c>
      <c r="Q2916" s="4">
        <v>0</v>
      </c>
    </row>
    <row r="2917" spans="1:17" ht="30" x14ac:dyDescent="0.25">
      <c r="A2917" s="2" t="s">
        <v>2234</v>
      </c>
      <c r="B2917" s="3" t="s">
        <v>5015</v>
      </c>
      <c r="C2917" s="3">
        <v>52</v>
      </c>
      <c r="D2917" s="46" t="str">
        <f>IF(Tabla1[[#This Row],[EDAD]]&lt;=35,"Adultos jóvenes 18 - 35 años",IF(C2917&gt;=36,"Adultos mayores 36 años en adelante"))</f>
        <v>Adultos mayores 36 años en adelante</v>
      </c>
      <c r="E2917" s="3" t="s">
        <v>5022</v>
      </c>
      <c r="F2917" s="3" t="s">
        <v>5026</v>
      </c>
      <c r="G2917" s="3" t="s">
        <v>5031</v>
      </c>
      <c r="H2917" s="3" t="s">
        <v>7257</v>
      </c>
      <c r="I2917" s="17">
        <v>45624</v>
      </c>
      <c r="J2917" s="18">
        <f>YEAR(Tabla1[[#This Row],[FECHA DE COMPRA]])</f>
        <v>2024</v>
      </c>
      <c r="K2917" s="19">
        <v>117.05</v>
      </c>
      <c r="L2917" s="20">
        <v>0</v>
      </c>
      <c r="M2917" s="19">
        <f>Tienda!$K1621-Tienda!$K1621*Tienda!$L1621</f>
        <v>192.17</v>
      </c>
      <c r="N2917" s="3" t="s">
        <v>10040</v>
      </c>
      <c r="O2917" s="3" t="s">
        <v>10041</v>
      </c>
      <c r="P2917" s="17">
        <v>45400</v>
      </c>
      <c r="Q2917" s="4">
        <v>0</v>
      </c>
    </row>
    <row r="2918" spans="1:17" ht="30" x14ac:dyDescent="0.25">
      <c r="A2918" s="2" t="s">
        <v>3856</v>
      </c>
      <c r="B2918" s="3" t="s">
        <v>5015</v>
      </c>
      <c r="C2918" s="3">
        <v>43</v>
      </c>
      <c r="D2918" s="46" t="str">
        <f>IF(Tabla1[[#This Row],[EDAD]]&lt;=35,"Adultos jóvenes 18 - 35 años",IF(C2918&gt;=36,"Adultos mayores 36 años en adelante"))</f>
        <v>Adultos mayores 36 años en adelante</v>
      </c>
      <c r="E2918" s="3" t="s">
        <v>5018</v>
      </c>
      <c r="F2918" s="3" t="s">
        <v>5027</v>
      </c>
      <c r="G2918" s="3" t="s">
        <v>5035</v>
      </c>
      <c r="H2918" s="3" t="s">
        <v>8879</v>
      </c>
      <c r="I2918" s="17">
        <v>45535</v>
      </c>
      <c r="J2918" s="18">
        <f>YEAR(Tabla1[[#This Row],[FECHA DE COMPRA]])</f>
        <v>2024</v>
      </c>
      <c r="K2918" s="19">
        <v>130.13999999999999</v>
      </c>
      <c r="L2918" s="20">
        <v>0.1</v>
      </c>
      <c r="M2918" s="19">
        <f>Tienda!$K1622-Tienda!$K1622*Tienda!$L1622</f>
        <v>192.28</v>
      </c>
      <c r="N2918" s="3" t="s">
        <v>10040</v>
      </c>
      <c r="O2918" s="3" t="s">
        <v>10041</v>
      </c>
      <c r="P2918" s="17">
        <v>45535</v>
      </c>
      <c r="Q2918" s="4">
        <v>0</v>
      </c>
    </row>
    <row r="2919" spans="1:17" ht="30" x14ac:dyDescent="0.25">
      <c r="A2919" s="2" t="s">
        <v>1387</v>
      </c>
      <c r="B2919" s="3" t="s">
        <v>5015</v>
      </c>
      <c r="C2919" s="3">
        <v>43</v>
      </c>
      <c r="D2919" s="46" t="str">
        <f>IF(Tabla1[[#This Row],[EDAD]]&lt;=35,"Adultos jóvenes 18 - 35 años",IF(C2919&gt;=36,"Adultos mayores 36 años en adelante"))</f>
        <v>Adultos mayores 36 años en adelante</v>
      </c>
      <c r="E2919" s="3" t="s">
        <v>5018</v>
      </c>
      <c r="F2919" s="3" t="s">
        <v>5024</v>
      </c>
      <c r="G2919" s="3" t="s">
        <v>5034</v>
      </c>
      <c r="H2919" s="3" t="s">
        <v>6410</v>
      </c>
      <c r="I2919" s="17">
        <v>45369</v>
      </c>
      <c r="J2919" s="18">
        <f>YEAR(Tabla1[[#This Row],[FECHA DE COMPRA]])</f>
        <v>2024</v>
      </c>
      <c r="K2919" s="19">
        <v>130.49</v>
      </c>
      <c r="L2919" s="20">
        <v>0.1</v>
      </c>
      <c r="M2919" s="19">
        <f>Tienda!$K1624-Tienda!$K1624*Tienda!$L1624</f>
        <v>196.75</v>
      </c>
      <c r="N2919" s="3" t="s">
        <v>10040</v>
      </c>
      <c r="O2919" s="3" t="s">
        <v>10041</v>
      </c>
      <c r="P2919" s="17">
        <v>45369</v>
      </c>
      <c r="Q2919" s="4">
        <v>0</v>
      </c>
    </row>
    <row r="2920" spans="1:17" ht="30" x14ac:dyDescent="0.25">
      <c r="A2920" s="2" t="s">
        <v>2769</v>
      </c>
      <c r="B2920" s="3" t="s">
        <v>5015</v>
      </c>
      <c r="C2920" s="3">
        <v>39</v>
      </c>
      <c r="D2920" s="46" t="str">
        <f>IF(Tabla1[[#This Row],[EDAD]]&lt;=35,"Adultos jóvenes 18 - 35 años",IF(C2920&gt;=36,"Adultos mayores 36 años en adelante"))</f>
        <v>Adultos mayores 36 años en adelante</v>
      </c>
      <c r="E2920" s="3" t="s">
        <v>5020</v>
      </c>
      <c r="F2920" s="3" t="s">
        <v>5027</v>
      </c>
      <c r="G2920" s="3" t="s">
        <v>5032</v>
      </c>
      <c r="H2920" s="3" t="s">
        <v>7792</v>
      </c>
      <c r="I2920" s="17">
        <v>45594</v>
      </c>
      <c r="J2920" s="18">
        <f>YEAR(Tabla1[[#This Row],[FECHA DE COMPRA]])</f>
        <v>2024</v>
      </c>
      <c r="K2920" s="19">
        <v>131.62</v>
      </c>
      <c r="L2920" s="20">
        <v>0.1</v>
      </c>
      <c r="M2920" s="19">
        <f>Tienda!$K1627-Tienda!$K1627*Tienda!$L1627</f>
        <v>46.881</v>
      </c>
      <c r="N2920" s="3" t="s">
        <v>10040</v>
      </c>
      <c r="O2920" s="3" t="s">
        <v>10041</v>
      </c>
      <c r="P2920" s="17">
        <v>45594</v>
      </c>
      <c r="Q2920" s="4">
        <v>0</v>
      </c>
    </row>
    <row r="2921" spans="1:17" ht="30" x14ac:dyDescent="0.25">
      <c r="A2921" s="2" t="s">
        <v>1985</v>
      </c>
      <c r="B2921" s="3" t="s">
        <v>5015</v>
      </c>
      <c r="C2921" s="3">
        <v>49</v>
      </c>
      <c r="D2921" s="46" t="str">
        <f>IF(Tabla1[[#This Row],[EDAD]]&lt;=35,"Adultos jóvenes 18 - 35 años",IF(C2921&gt;=36,"Adultos mayores 36 años en adelante"))</f>
        <v>Adultos mayores 36 años en adelante</v>
      </c>
      <c r="E2921" s="3" t="s">
        <v>5018</v>
      </c>
      <c r="F2921" s="3" t="s">
        <v>5027</v>
      </c>
      <c r="G2921" s="3" t="s">
        <v>5037</v>
      </c>
      <c r="H2921" s="3" t="s">
        <v>7008</v>
      </c>
      <c r="I2921" s="17">
        <v>45520</v>
      </c>
      <c r="J2921" s="18">
        <f>YEAR(Tabla1[[#This Row],[FECHA DE COMPRA]])</f>
        <v>2024</v>
      </c>
      <c r="K2921" s="19">
        <v>148.37</v>
      </c>
      <c r="L2921" s="20">
        <v>0.2</v>
      </c>
      <c r="M2921" s="19">
        <f>Tienda!$K1629-Tienda!$K1629*Tienda!$L1629</f>
        <v>59.741999999999997</v>
      </c>
      <c r="N2921" s="3" t="s">
        <v>10040</v>
      </c>
      <c r="O2921" s="3" t="s">
        <v>10041</v>
      </c>
      <c r="P2921" s="17">
        <v>45520</v>
      </c>
      <c r="Q2921" s="4">
        <v>0</v>
      </c>
    </row>
    <row r="2922" spans="1:17" ht="30" x14ac:dyDescent="0.25">
      <c r="A2922" s="2" t="s">
        <v>298</v>
      </c>
      <c r="B2922" s="3" t="s">
        <v>5015</v>
      </c>
      <c r="C2922" s="3">
        <v>36</v>
      </c>
      <c r="D2922" s="46" t="str">
        <f>IF(Tabla1[[#This Row],[EDAD]]&lt;=35,"Adultos jóvenes 18 - 35 años",IF(C2922&gt;=36,"Adultos mayores 36 años en adelante"))</f>
        <v>Adultos mayores 36 años en adelante</v>
      </c>
      <c r="E2922" s="3" t="s">
        <v>5021</v>
      </c>
      <c r="F2922" s="3" t="s">
        <v>5028</v>
      </c>
      <c r="G2922" s="3" t="s">
        <v>5031</v>
      </c>
      <c r="H2922" s="3" t="s">
        <v>5321</v>
      </c>
      <c r="I2922" s="17">
        <v>45335</v>
      </c>
      <c r="J2922" s="18">
        <f>YEAR(Tabla1[[#This Row],[FECHA DE COMPRA]])</f>
        <v>2024</v>
      </c>
      <c r="K2922" s="19">
        <v>148.80000000000001</v>
      </c>
      <c r="L2922" s="20">
        <v>0.2</v>
      </c>
      <c r="M2922" s="19">
        <f>Tienda!$K1631-Tienda!$K1631*Tienda!$L1631</f>
        <v>82.92</v>
      </c>
      <c r="N2922" s="3" t="s">
        <v>10040</v>
      </c>
      <c r="O2922" s="3" t="s">
        <v>10041</v>
      </c>
      <c r="P2922" s="17">
        <v>45367</v>
      </c>
      <c r="Q2922" s="4">
        <v>0</v>
      </c>
    </row>
    <row r="2923" spans="1:17" ht="30" x14ac:dyDescent="0.25">
      <c r="A2923" s="2" t="s">
        <v>2440</v>
      </c>
      <c r="B2923" s="3" t="s">
        <v>5015</v>
      </c>
      <c r="C2923" s="3">
        <v>36</v>
      </c>
      <c r="D2923" s="46" t="str">
        <f>IF(Tabla1[[#This Row],[EDAD]]&lt;=35,"Adultos jóvenes 18 - 35 años",IF(C2923&gt;=36,"Adultos mayores 36 años en adelante"))</f>
        <v>Adultos mayores 36 años en adelante</v>
      </c>
      <c r="E2923" s="3" t="s">
        <v>5021</v>
      </c>
      <c r="F2923" s="3" t="s">
        <v>5027</v>
      </c>
      <c r="G2923" s="3" t="s">
        <v>5035</v>
      </c>
      <c r="H2923" s="3" t="s">
        <v>7463</v>
      </c>
      <c r="I2923" s="17">
        <v>45564</v>
      </c>
      <c r="J2923" s="18">
        <f>YEAR(Tabla1[[#This Row],[FECHA DE COMPRA]])</f>
        <v>2024</v>
      </c>
      <c r="K2923" s="19">
        <v>148.88999999999999</v>
      </c>
      <c r="L2923" s="20">
        <v>0.2</v>
      </c>
      <c r="M2923" s="19">
        <f>Tienda!$K1633-Tienda!$K1633*Tienda!$L1633</f>
        <v>71.376000000000005</v>
      </c>
      <c r="N2923" s="3" t="s">
        <v>10040</v>
      </c>
      <c r="O2923" s="3" t="s">
        <v>10041</v>
      </c>
      <c r="P2923" s="17">
        <v>45564</v>
      </c>
      <c r="Q2923" s="4">
        <v>0</v>
      </c>
    </row>
    <row r="2924" spans="1:17" ht="30" x14ac:dyDescent="0.25">
      <c r="A2924" s="2" t="s">
        <v>3628</v>
      </c>
      <c r="B2924" s="3" t="s">
        <v>5015</v>
      </c>
      <c r="C2924" s="3">
        <v>64</v>
      </c>
      <c r="D2924" s="46" t="str">
        <f>IF(Tabla1[[#This Row],[EDAD]]&lt;=35,"Adultos jóvenes 18 - 35 años",IF(C2924&gt;=36,"Adultos mayores 36 años en adelante"))</f>
        <v>Adultos mayores 36 años en adelante</v>
      </c>
      <c r="E2924" s="3" t="s">
        <v>5023</v>
      </c>
      <c r="F2924" s="3" t="s">
        <v>5029</v>
      </c>
      <c r="G2924" s="3" t="s">
        <v>5033</v>
      </c>
      <c r="H2924" s="3" t="s">
        <v>8651</v>
      </c>
      <c r="I2924" s="17">
        <v>45327</v>
      </c>
      <c r="J2924" s="18">
        <f>YEAR(Tabla1[[#This Row],[FECHA DE COMPRA]])</f>
        <v>2024</v>
      </c>
      <c r="K2924" s="19">
        <v>170.86</v>
      </c>
      <c r="L2924" s="20">
        <v>0.3</v>
      </c>
      <c r="M2924" s="19">
        <f>Tienda!$K1634-Tienda!$K1634*Tienda!$L1634</f>
        <v>92.52</v>
      </c>
      <c r="N2924" s="3" t="s">
        <v>10040</v>
      </c>
      <c r="O2924" s="3" t="s">
        <v>10041</v>
      </c>
      <c r="P2924" s="17">
        <v>45327</v>
      </c>
      <c r="Q2924" s="4">
        <v>0</v>
      </c>
    </row>
    <row r="2925" spans="1:17" ht="30" x14ac:dyDescent="0.25">
      <c r="A2925" s="2" t="s">
        <v>1241</v>
      </c>
      <c r="B2925" s="3" t="s">
        <v>5015</v>
      </c>
      <c r="C2925" s="3">
        <v>50</v>
      </c>
      <c r="D2925" s="46" t="str">
        <f>IF(Tabla1[[#This Row],[EDAD]]&lt;=35,"Adultos jóvenes 18 - 35 años",IF(C2925&gt;=36,"Adultos mayores 36 años en adelante"))</f>
        <v>Adultos mayores 36 años en adelante</v>
      </c>
      <c r="E2925" s="3" t="s">
        <v>5017</v>
      </c>
      <c r="F2925" s="3" t="s">
        <v>5029</v>
      </c>
      <c r="G2925" s="3" t="s">
        <v>5033</v>
      </c>
      <c r="H2925" s="3" t="s">
        <v>6264</v>
      </c>
      <c r="I2925" s="17">
        <v>45628</v>
      </c>
      <c r="J2925" s="18">
        <f>YEAR(Tabla1[[#This Row],[FECHA DE COMPRA]])</f>
        <v>2024</v>
      </c>
      <c r="K2925" s="19">
        <v>120.38</v>
      </c>
      <c r="L2925" s="20">
        <v>0</v>
      </c>
      <c r="M2925" s="19">
        <f>Tienda!$K1637-Tienda!$K1637*Tienda!$L1637</f>
        <v>149.76</v>
      </c>
      <c r="N2925" s="3" t="s">
        <v>10040</v>
      </c>
      <c r="O2925" s="3" t="s">
        <v>10041</v>
      </c>
      <c r="P2925" s="17">
        <v>45628</v>
      </c>
      <c r="Q2925" s="4">
        <v>0</v>
      </c>
    </row>
    <row r="2926" spans="1:17" ht="30" x14ac:dyDescent="0.25">
      <c r="A2926" s="2" t="s">
        <v>4879</v>
      </c>
      <c r="B2926" s="3" t="s">
        <v>5015</v>
      </c>
      <c r="C2926" s="3">
        <v>65</v>
      </c>
      <c r="D2926" s="46" t="str">
        <f>IF(Tabla1[[#This Row],[EDAD]]&lt;=35,"Adultos jóvenes 18 - 35 años",IF(C2926&gt;=36,"Adultos mayores 36 años en adelante"))</f>
        <v>Adultos mayores 36 años en adelante</v>
      </c>
      <c r="E2926" s="3" t="s">
        <v>5020</v>
      </c>
      <c r="F2926" s="3" t="s">
        <v>5026</v>
      </c>
      <c r="G2926" s="3" t="s">
        <v>5037</v>
      </c>
      <c r="H2926" s="3" t="s">
        <v>9902</v>
      </c>
      <c r="I2926" s="17">
        <v>45562</v>
      </c>
      <c r="J2926" s="18">
        <f>YEAR(Tabla1[[#This Row],[FECHA DE COMPRA]])</f>
        <v>2024</v>
      </c>
      <c r="K2926" s="19">
        <v>151.46</v>
      </c>
      <c r="L2926" s="20">
        <v>0.2</v>
      </c>
      <c r="M2926" s="19">
        <f>Tienda!$K1639-Tienda!$K1639*Tienda!$L1639</f>
        <v>26.25</v>
      </c>
      <c r="N2926" s="3" t="s">
        <v>10040</v>
      </c>
      <c r="O2926" s="3" t="s">
        <v>10041</v>
      </c>
      <c r="P2926" s="17">
        <v>45562</v>
      </c>
      <c r="Q2926" s="4">
        <v>0</v>
      </c>
    </row>
    <row r="2927" spans="1:17" ht="30" x14ac:dyDescent="0.25">
      <c r="A2927" s="2" t="s">
        <v>2532</v>
      </c>
      <c r="B2927" s="3" t="s">
        <v>5016</v>
      </c>
      <c r="C2927" s="3">
        <v>44</v>
      </c>
      <c r="D2927" s="46" t="str">
        <f>IF(Tabla1[[#This Row],[EDAD]]&lt;=35,"Adultos jóvenes 18 - 35 años",IF(C2927&gt;=36,"Adultos mayores 36 años en adelante"))</f>
        <v>Adultos mayores 36 años en adelante</v>
      </c>
      <c r="E2927" s="3" t="s">
        <v>5023</v>
      </c>
      <c r="F2927" s="3" t="s">
        <v>5030</v>
      </c>
      <c r="G2927" s="3" t="s">
        <v>5034</v>
      </c>
      <c r="H2927" s="3" t="s">
        <v>7555</v>
      </c>
      <c r="I2927" s="17">
        <v>45483</v>
      </c>
      <c r="J2927" s="18">
        <f>YEAR(Tabla1[[#This Row],[FECHA DE COMPRA]])</f>
        <v>2024</v>
      </c>
      <c r="K2927" s="19">
        <v>134.72</v>
      </c>
      <c r="L2927" s="20">
        <v>0.1</v>
      </c>
      <c r="M2927" s="19">
        <f>Tienda!$K1640-Tienda!$K1640*Tienda!$L1640</f>
        <v>149.19</v>
      </c>
      <c r="N2927" s="3" t="s">
        <v>10040</v>
      </c>
      <c r="O2927" s="3" t="s">
        <v>10041</v>
      </c>
      <c r="P2927" s="17">
        <v>45483</v>
      </c>
      <c r="Q2927" s="4">
        <v>0</v>
      </c>
    </row>
    <row r="2928" spans="1:17" ht="30" x14ac:dyDescent="0.25">
      <c r="A2928" s="2" t="s">
        <v>523</v>
      </c>
      <c r="B2928" s="3" t="s">
        <v>5015</v>
      </c>
      <c r="C2928" s="3">
        <v>59</v>
      </c>
      <c r="D2928" s="46" t="str">
        <f>IF(Tabla1[[#This Row],[EDAD]]&lt;=35,"Adultos jóvenes 18 - 35 años",IF(C2928&gt;=36,"Adultos mayores 36 años en adelante"))</f>
        <v>Adultos mayores 36 años en adelante</v>
      </c>
      <c r="E2928" s="3" t="s">
        <v>5017</v>
      </c>
      <c r="F2928" s="3" t="s">
        <v>5026</v>
      </c>
      <c r="G2928" s="3" t="s">
        <v>5032</v>
      </c>
      <c r="H2928" s="3" t="s">
        <v>5546</v>
      </c>
      <c r="I2928" s="17">
        <v>45403</v>
      </c>
      <c r="J2928" s="18">
        <f>YEAR(Tabla1[[#This Row],[FECHA DE COMPRA]])</f>
        <v>2024</v>
      </c>
      <c r="K2928" s="19">
        <v>173.42</v>
      </c>
      <c r="L2928" s="20">
        <v>0.3</v>
      </c>
      <c r="M2928" s="19">
        <f>Tienda!$K1642-Tienda!$K1642*Tienda!$L1642</f>
        <v>136.78700000000001</v>
      </c>
      <c r="N2928" s="3" t="s">
        <v>10040</v>
      </c>
      <c r="O2928" s="3" t="s">
        <v>10041</v>
      </c>
      <c r="P2928" s="17">
        <v>45403</v>
      </c>
      <c r="Q2928" s="4">
        <v>0</v>
      </c>
    </row>
    <row r="2929" spans="1:17" ht="30" x14ac:dyDescent="0.25">
      <c r="A2929" s="2" t="s">
        <v>2754</v>
      </c>
      <c r="B2929" s="3" t="s">
        <v>5016</v>
      </c>
      <c r="C2929" s="3">
        <v>37</v>
      </c>
      <c r="D2929" s="46" t="str">
        <f>IF(Tabla1[[#This Row],[EDAD]]&lt;=35,"Adultos jóvenes 18 - 35 años",IF(C2929&gt;=36,"Adultos mayores 36 años en adelante"))</f>
        <v>Adultos mayores 36 años en adelante</v>
      </c>
      <c r="E2929" s="3" t="s">
        <v>5017</v>
      </c>
      <c r="F2929" s="3" t="s">
        <v>5028</v>
      </c>
      <c r="G2929" s="3" t="s">
        <v>5031</v>
      </c>
      <c r="H2929" s="3" t="s">
        <v>7777</v>
      </c>
      <c r="I2929" s="17">
        <v>45527</v>
      </c>
      <c r="J2929" s="18">
        <f>YEAR(Tabla1[[#This Row],[FECHA DE COMPRA]])</f>
        <v>2024</v>
      </c>
      <c r="K2929" s="19">
        <v>151.75</v>
      </c>
      <c r="L2929" s="20">
        <v>0.2</v>
      </c>
      <c r="M2929" s="19">
        <f>Tienda!$K1643-Tienda!$K1643*Tienda!$L1643</f>
        <v>30.792000000000002</v>
      </c>
      <c r="N2929" s="3" t="s">
        <v>10040</v>
      </c>
      <c r="O2929" s="3" t="s">
        <v>10041</v>
      </c>
      <c r="P2929" s="17">
        <v>45527</v>
      </c>
      <c r="Q2929" s="4">
        <v>0</v>
      </c>
    </row>
    <row r="2930" spans="1:17" ht="30" x14ac:dyDescent="0.25">
      <c r="A2930" s="2" t="s">
        <v>2386</v>
      </c>
      <c r="B2930" s="3" t="s">
        <v>5015</v>
      </c>
      <c r="C2930" s="3">
        <v>42</v>
      </c>
      <c r="D2930" s="46" t="str">
        <f>IF(Tabla1[[#This Row],[EDAD]]&lt;=35,"Adultos jóvenes 18 - 35 años",IF(C2930&gt;=36,"Adultos mayores 36 años en adelante"))</f>
        <v>Adultos mayores 36 años en adelante</v>
      </c>
      <c r="E2930" s="3" t="s">
        <v>5022</v>
      </c>
      <c r="F2930" s="3" t="s">
        <v>5024</v>
      </c>
      <c r="G2930" s="3" t="s">
        <v>5037</v>
      </c>
      <c r="H2930" s="3" t="s">
        <v>7409</v>
      </c>
      <c r="I2930" s="17">
        <v>45365</v>
      </c>
      <c r="J2930" s="18">
        <f>YEAR(Tabla1[[#This Row],[FECHA DE COMPRA]])</f>
        <v>2024</v>
      </c>
      <c r="K2930" s="19">
        <v>173.45</v>
      </c>
      <c r="L2930" s="20">
        <v>0.3</v>
      </c>
      <c r="M2930" s="19">
        <f>Tienda!$K1644-Tienda!$K1644*Tienda!$L1644</f>
        <v>34.257999999999996</v>
      </c>
      <c r="N2930" s="3" t="s">
        <v>10040</v>
      </c>
      <c r="O2930" s="3" t="s">
        <v>10041</v>
      </c>
      <c r="P2930" s="17">
        <v>45365</v>
      </c>
      <c r="Q2930" s="4">
        <v>0</v>
      </c>
    </row>
    <row r="2931" spans="1:17" ht="30" x14ac:dyDescent="0.25">
      <c r="A2931" s="2" t="s">
        <v>4852</v>
      </c>
      <c r="B2931" s="3" t="s">
        <v>5015</v>
      </c>
      <c r="C2931" s="3">
        <v>55</v>
      </c>
      <c r="D2931" s="46" t="str">
        <f>IF(Tabla1[[#This Row],[EDAD]]&lt;=35,"Adultos jóvenes 18 - 35 años",IF(C2931&gt;=36,"Adultos mayores 36 años en adelante"))</f>
        <v>Adultos mayores 36 años en adelante</v>
      </c>
      <c r="E2931" s="3" t="s">
        <v>5022</v>
      </c>
      <c r="F2931" s="3" t="s">
        <v>5030</v>
      </c>
      <c r="G2931" s="3" t="s">
        <v>5035</v>
      </c>
      <c r="H2931" s="3" t="s">
        <v>9875</v>
      </c>
      <c r="I2931" s="17">
        <v>45606</v>
      </c>
      <c r="J2931" s="18">
        <f>YEAR(Tabla1[[#This Row],[FECHA DE COMPRA]])</f>
        <v>2024</v>
      </c>
      <c r="K2931" s="19">
        <v>121.46</v>
      </c>
      <c r="L2931" s="20">
        <v>0</v>
      </c>
      <c r="M2931" s="19">
        <f>Tienda!$K1645-Tienda!$K1645*Tienda!$L1645</f>
        <v>40.136000000000003</v>
      </c>
      <c r="N2931" s="3" t="s">
        <v>10040</v>
      </c>
      <c r="O2931" s="3" t="s">
        <v>10041</v>
      </c>
      <c r="P2931" s="17">
        <v>45606</v>
      </c>
      <c r="Q2931" s="4">
        <v>0</v>
      </c>
    </row>
    <row r="2932" spans="1:17" ht="30" x14ac:dyDescent="0.25">
      <c r="A2932" s="2" t="s">
        <v>4927</v>
      </c>
      <c r="B2932" s="3" t="s">
        <v>5015</v>
      </c>
      <c r="C2932" s="3">
        <v>56</v>
      </c>
      <c r="D2932" s="46" t="str">
        <f>IF(Tabla1[[#This Row],[EDAD]]&lt;=35,"Adultos jóvenes 18 - 35 años",IF(C2932&gt;=36,"Adultos mayores 36 años en adelante"))</f>
        <v>Adultos mayores 36 años en adelante</v>
      </c>
      <c r="E2932" s="3" t="s">
        <v>5021</v>
      </c>
      <c r="F2932" s="3" t="s">
        <v>5024</v>
      </c>
      <c r="G2932" s="3" t="s">
        <v>5036</v>
      </c>
      <c r="H2932" s="3" t="s">
        <v>9950</v>
      </c>
      <c r="I2932" s="17">
        <v>45329</v>
      </c>
      <c r="J2932" s="18">
        <f>YEAR(Tabla1[[#This Row],[FECHA DE COMPRA]])</f>
        <v>2024</v>
      </c>
      <c r="K2932" s="19">
        <v>174.08</v>
      </c>
      <c r="L2932" s="20">
        <v>0.3</v>
      </c>
      <c r="M2932" s="19">
        <f>Tienda!$K1648-Tienda!$K1648*Tienda!$L1648</f>
        <v>54.698</v>
      </c>
      <c r="N2932" s="3" t="s">
        <v>10040</v>
      </c>
      <c r="O2932" s="3" t="s">
        <v>10041</v>
      </c>
      <c r="P2932" s="17">
        <v>45329</v>
      </c>
      <c r="Q2932" s="4">
        <v>0</v>
      </c>
    </row>
    <row r="2933" spans="1:17" ht="30" x14ac:dyDescent="0.25">
      <c r="A2933" s="2" t="s">
        <v>4289</v>
      </c>
      <c r="B2933" s="3" t="s">
        <v>5015</v>
      </c>
      <c r="C2933" s="3">
        <v>64</v>
      </c>
      <c r="D2933" s="46" t="str">
        <f>IF(Tabla1[[#This Row],[EDAD]]&lt;=35,"Adultos jóvenes 18 - 35 años",IF(C2933&gt;=36,"Adultos mayores 36 años en adelante"))</f>
        <v>Adultos mayores 36 años en adelante</v>
      </c>
      <c r="E2933" s="3" t="s">
        <v>5023</v>
      </c>
      <c r="F2933" s="3" t="s">
        <v>5029</v>
      </c>
      <c r="G2933" s="3" t="s">
        <v>5034</v>
      </c>
      <c r="H2933" s="3" t="s">
        <v>9312</v>
      </c>
      <c r="I2933" s="17">
        <v>45560</v>
      </c>
      <c r="J2933" s="18">
        <f>YEAR(Tabla1[[#This Row],[FECHA DE COMPRA]])</f>
        <v>2024</v>
      </c>
      <c r="K2933" s="19">
        <v>174.36</v>
      </c>
      <c r="L2933" s="20">
        <v>0.3</v>
      </c>
      <c r="M2933" s="19">
        <f>Tienda!$K1649-Tienda!$K1649*Tienda!$L1649</f>
        <v>78.56</v>
      </c>
      <c r="N2933" s="3" t="s">
        <v>10040</v>
      </c>
      <c r="O2933" s="3" t="s">
        <v>10041</v>
      </c>
      <c r="P2933" s="17">
        <v>45560</v>
      </c>
      <c r="Q2933" s="4">
        <v>0</v>
      </c>
    </row>
    <row r="2934" spans="1:17" ht="30" x14ac:dyDescent="0.25">
      <c r="A2934" s="2" t="s">
        <v>3330</v>
      </c>
      <c r="B2934" s="3" t="s">
        <v>5015</v>
      </c>
      <c r="C2934" s="3">
        <v>47</v>
      </c>
      <c r="D2934" s="46" t="str">
        <f>IF(Tabla1[[#This Row],[EDAD]]&lt;=35,"Adultos jóvenes 18 - 35 años",IF(C2934&gt;=36,"Adultos mayores 36 años en adelante"))</f>
        <v>Adultos mayores 36 años en adelante</v>
      </c>
      <c r="E2934" s="3" t="s">
        <v>5018</v>
      </c>
      <c r="F2934" s="3" t="s">
        <v>5028</v>
      </c>
      <c r="G2934" s="3" t="s">
        <v>5031</v>
      </c>
      <c r="H2934" s="3" t="s">
        <v>8353</v>
      </c>
      <c r="I2934" s="17">
        <v>45566</v>
      </c>
      <c r="J2934" s="18">
        <f>YEAR(Tabla1[[#This Row],[FECHA DE COMPRA]])</f>
        <v>2024</v>
      </c>
      <c r="K2934" s="19">
        <v>135.65</v>
      </c>
      <c r="L2934" s="20">
        <v>0.1</v>
      </c>
      <c r="M2934" s="19">
        <f>Tienda!$K1650-Tienda!$K1650*Tienda!$L1650</f>
        <v>74.403000000000006</v>
      </c>
      <c r="N2934" s="3" t="s">
        <v>10040</v>
      </c>
      <c r="O2934" s="3" t="s">
        <v>10041</v>
      </c>
      <c r="P2934" s="17">
        <v>45566</v>
      </c>
      <c r="Q2934" s="4">
        <v>0</v>
      </c>
    </row>
    <row r="2935" spans="1:17" ht="30" x14ac:dyDescent="0.25">
      <c r="A2935" s="2" t="s">
        <v>3299</v>
      </c>
      <c r="B2935" s="3" t="s">
        <v>5015</v>
      </c>
      <c r="C2935" s="3">
        <v>51</v>
      </c>
      <c r="D2935" s="46" t="str">
        <f>IF(Tabla1[[#This Row],[EDAD]]&lt;=35,"Adultos jóvenes 18 - 35 años",IF(C2935&gt;=36,"Adultos mayores 36 años en adelante"))</f>
        <v>Adultos mayores 36 años en adelante</v>
      </c>
      <c r="E2935" s="3" t="s">
        <v>5023</v>
      </c>
      <c r="F2935" s="3" t="s">
        <v>5029</v>
      </c>
      <c r="G2935" s="3" t="s">
        <v>5033</v>
      </c>
      <c r="H2935" s="3" t="s">
        <v>8322</v>
      </c>
      <c r="I2935" s="17">
        <v>45624</v>
      </c>
      <c r="J2935" s="18">
        <f>YEAR(Tabla1[[#This Row],[FECHA DE COMPRA]])</f>
        <v>2024</v>
      </c>
      <c r="K2935" s="19">
        <v>136.74</v>
      </c>
      <c r="L2935" s="20">
        <v>0.1</v>
      </c>
      <c r="M2935" s="19">
        <f>Tienda!$K1652-Tienda!$K1652*Tienda!$L1652</f>
        <v>106.93799999999999</v>
      </c>
      <c r="N2935" s="3" t="s">
        <v>10040</v>
      </c>
      <c r="O2935" s="3" t="s">
        <v>10041</v>
      </c>
      <c r="P2935" s="17">
        <v>45493</v>
      </c>
      <c r="Q2935" s="4">
        <v>0</v>
      </c>
    </row>
    <row r="2936" spans="1:17" ht="30" x14ac:dyDescent="0.25">
      <c r="A2936" s="2" t="s">
        <v>5001</v>
      </c>
      <c r="B2936" s="3" t="s">
        <v>5015</v>
      </c>
      <c r="C2936" s="3">
        <v>64</v>
      </c>
      <c r="D2936" s="46" t="str">
        <f>IF(Tabla1[[#This Row],[EDAD]]&lt;=35,"Adultos jóvenes 18 - 35 años",IF(C2936&gt;=36,"Adultos mayores 36 años en adelante"))</f>
        <v>Adultos mayores 36 años en adelante</v>
      </c>
      <c r="E2936" s="3" t="s">
        <v>5018</v>
      </c>
      <c r="F2936" s="3" t="s">
        <v>5029</v>
      </c>
      <c r="G2936" s="3" t="s">
        <v>5034</v>
      </c>
      <c r="H2936" s="3" t="s">
        <v>10024</v>
      </c>
      <c r="I2936" s="17">
        <v>45649</v>
      </c>
      <c r="J2936" s="18">
        <f>YEAR(Tabla1[[#This Row],[FECHA DE COMPRA]])</f>
        <v>2024</v>
      </c>
      <c r="K2936" s="19">
        <v>176.01</v>
      </c>
      <c r="L2936" s="20">
        <v>0.3</v>
      </c>
      <c r="M2936" s="19">
        <f>Tienda!$K1653-Tienda!$K1653*Tienda!$L1653</f>
        <v>186.3</v>
      </c>
      <c r="N2936" s="3" t="s">
        <v>10040</v>
      </c>
      <c r="O2936" s="3" t="s">
        <v>10041</v>
      </c>
      <c r="P2936" s="17">
        <v>45297</v>
      </c>
      <c r="Q2936" s="4">
        <v>0</v>
      </c>
    </row>
    <row r="2937" spans="1:17" ht="30" x14ac:dyDescent="0.25">
      <c r="A2937" s="2" t="s">
        <v>3296</v>
      </c>
      <c r="B2937" s="3" t="s">
        <v>5015</v>
      </c>
      <c r="C2937" s="3">
        <v>36</v>
      </c>
      <c r="D2937" s="46" t="str">
        <f>IF(Tabla1[[#This Row],[EDAD]]&lt;=35,"Adultos jóvenes 18 - 35 años",IF(C2937&gt;=36,"Adultos mayores 36 años en adelante"))</f>
        <v>Adultos mayores 36 años en adelante</v>
      </c>
      <c r="E2937" s="3" t="s">
        <v>5022</v>
      </c>
      <c r="F2937" s="3" t="s">
        <v>5030</v>
      </c>
      <c r="G2937" s="3" t="s">
        <v>5031</v>
      </c>
      <c r="H2937" s="3" t="s">
        <v>8319</v>
      </c>
      <c r="I2937" s="17">
        <v>45514</v>
      </c>
      <c r="J2937" s="18">
        <f>YEAR(Tabla1[[#This Row],[FECHA DE COMPRA]])</f>
        <v>2024</v>
      </c>
      <c r="K2937" s="19">
        <v>154.32</v>
      </c>
      <c r="L2937" s="20">
        <v>0.2</v>
      </c>
      <c r="M2937" s="19">
        <f>Tienda!$K1656-Tienda!$K1656*Tienda!$L1656</f>
        <v>17.262</v>
      </c>
      <c r="N2937" s="3" t="s">
        <v>10040</v>
      </c>
      <c r="O2937" s="3" t="s">
        <v>10041</v>
      </c>
      <c r="P2937" s="17">
        <v>45514</v>
      </c>
      <c r="Q2937" s="4">
        <v>0</v>
      </c>
    </row>
    <row r="2938" spans="1:17" ht="30" x14ac:dyDescent="0.25">
      <c r="A2938" s="2" t="s">
        <v>4956</v>
      </c>
      <c r="B2938" s="3" t="s">
        <v>5015</v>
      </c>
      <c r="C2938" s="3">
        <v>54</v>
      </c>
      <c r="D2938" s="46" t="str">
        <f>IF(Tabla1[[#This Row],[EDAD]]&lt;=35,"Adultos jóvenes 18 - 35 años",IF(C2938&gt;=36,"Adultos mayores 36 años en adelante"))</f>
        <v>Adultos mayores 36 años en adelante</v>
      </c>
      <c r="E2938" s="3" t="s">
        <v>5022</v>
      </c>
      <c r="F2938" s="3" t="s">
        <v>5027</v>
      </c>
      <c r="G2938" s="3" t="s">
        <v>5033</v>
      </c>
      <c r="H2938" s="3" t="s">
        <v>9979</v>
      </c>
      <c r="I2938" s="17">
        <v>45609</v>
      </c>
      <c r="J2938" s="18">
        <f>YEAR(Tabla1[[#This Row],[FECHA DE COMPRA]])</f>
        <v>2024</v>
      </c>
      <c r="K2938" s="19">
        <v>123.93</v>
      </c>
      <c r="L2938" s="20">
        <v>0</v>
      </c>
      <c r="M2938" s="19">
        <f>Tienda!$K1657-Tienda!$K1657*Tienda!$L1657</f>
        <v>28.46</v>
      </c>
      <c r="N2938" s="3" t="s">
        <v>10040</v>
      </c>
      <c r="O2938" s="3" t="s">
        <v>10041</v>
      </c>
      <c r="P2938" s="17">
        <v>45609</v>
      </c>
      <c r="Q2938" s="4">
        <v>0</v>
      </c>
    </row>
    <row r="2939" spans="1:17" ht="30" x14ac:dyDescent="0.25">
      <c r="A2939" s="2" t="s">
        <v>1200</v>
      </c>
      <c r="B2939" s="3" t="s">
        <v>5015</v>
      </c>
      <c r="C2939" s="3">
        <v>56</v>
      </c>
      <c r="D2939" s="46" t="str">
        <f>IF(Tabla1[[#This Row],[EDAD]]&lt;=35,"Adultos jóvenes 18 - 35 años",IF(C2939&gt;=36,"Adultos mayores 36 años en adelante"))</f>
        <v>Adultos mayores 36 años en adelante</v>
      </c>
      <c r="E2939" s="3" t="s">
        <v>5023</v>
      </c>
      <c r="F2939" s="3" t="s">
        <v>5025</v>
      </c>
      <c r="G2939" s="3" t="s">
        <v>5035</v>
      </c>
      <c r="H2939" s="3" t="s">
        <v>6223</v>
      </c>
      <c r="I2939" s="17">
        <v>45541</v>
      </c>
      <c r="J2939" s="18">
        <f>YEAR(Tabla1[[#This Row],[FECHA DE COMPRA]])</f>
        <v>2024</v>
      </c>
      <c r="K2939" s="19">
        <v>177.95</v>
      </c>
      <c r="L2939" s="20">
        <v>0.3</v>
      </c>
      <c r="M2939" s="19">
        <f>Tienda!$K1658-Tienda!$K1658*Tienda!$L1658</f>
        <v>23.704000000000001</v>
      </c>
      <c r="N2939" s="3" t="s">
        <v>10040</v>
      </c>
      <c r="O2939" s="3" t="s">
        <v>10041</v>
      </c>
      <c r="P2939" s="17">
        <v>45541</v>
      </c>
      <c r="Q2939" s="4">
        <v>0</v>
      </c>
    </row>
    <row r="2940" spans="1:17" ht="30" x14ac:dyDescent="0.25">
      <c r="A2940" s="2" t="s">
        <v>3523</v>
      </c>
      <c r="B2940" s="3" t="s">
        <v>5015</v>
      </c>
      <c r="C2940" s="3">
        <v>57</v>
      </c>
      <c r="D2940" s="46" t="str">
        <f>IF(Tabla1[[#This Row],[EDAD]]&lt;=35,"Adultos jóvenes 18 - 35 años",IF(C2940&gt;=36,"Adultos mayores 36 años en adelante"))</f>
        <v>Adultos mayores 36 años en adelante</v>
      </c>
      <c r="E2940" s="3" t="s">
        <v>5020</v>
      </c>
      <c r="F2940" s="3" t="s">
        <v>5028</v>
      </c>
      <c r="G2940" s="3" t="s">
        <v>5032</v>
      </c>
      <c r="H2940" s="3" t="s">
        <v>8546</v>
      </c>
      <c r="I2940" s="17">
        <v>45494</v>
      </c>
      <c r="J2940" s="18">
        <f>YEAR(Tabla1[[#This Row],[FECHA DE COMPRA]])</f>
        <v>2024</v>
      </c>
      <c r="K2940" s="19">
        <v>156.34</v>
      </c>
      <c r="L2940" s="20">
        <v>0.2</v>
      </c>
      <c r="M2940" s="19">
        <f>Tienda!$K1661-Tienda!$K1661*Tienda!$L1661</f>
        <v>46.637999999999998</v>
      </c>
      <c r="N2940" s="3" t="s">
        <v>10040</v>
      </c>
      <c r="O2940" s="3" t="s">
        <v>10041</v>
      </c>
      <c r="P2940" s="17">
        <v>45494</v>
      </c>
      <c r="Q2940" s="4">
        <v>0</v>
      </c>
    </row>
    <row r="2941" spans="1:17" ht="30" x14ac:dyDescent="0.25">
      <c r="A2941" s="2" t="s">
        <v>2400</v>
      </c>
      <c r="B2941" s="3" t="s">
        <v>5015</v>
      </c>
      <c r="C2941" s="3">
        <v>53</v>
      </c>
      <c r="D2941" s="46" t="str">
        <f>IF(Tabla1[[#This Row],[EDAD]]&lt;=35,"Adultos jóvenes 18 - 35 años",IF(C2941&gt;=36,"Adultos mayores 36 años en adelante"))</f>
        <v>Adultos mayores 36 años en adelante</v>
      </c>
      <c r="E2941" s="3" t="s">
        <v>5018</v>
      </c>
      <c r="F2941" s="3" t="s">
        <v>5030</v>
      </c>
      <c r="G2941" s="3" t="s">
        <v>5034</v>
      </c>
      <c r="H2941" s="3" t="s">
        <v>7423</v>
      </c>
      <c r="I2941" s="17">
        <v>45636</v>
      </c>
      <c r="J2941" s="18">
        <f>YEAR(Tabla1[[#This Row],[FECHA DE COMPRA]])</f>
        <v>2024</v>
      </c>
      <c r="K2941" s="19">
        <v>183.16</v>
      </c>
      <c r="L2941" s="20">
        <v>0.3</v>
      </c>
      <c r="M2941" s="19">
        <f>Tienda!$K1672-Tienda!$K1672*Tienda!$L1672</f>
        <v>165.57</v>
      </c>
      <c r="N2941" s="3" t="s">
        <v>10040</v>
      </c>
      <c r="O2941" s="3" t="s">
        <v>10041</v>
      </c>
      <c r="P2941" s="17">
        <v>45636</v>
      </c>
      <c r="Q2941" s="4">
        <v>0</v>
      </c>
    </row>
    <row r="2942" spans="1:17" ht="30" x14ac:dyDescent="0.25">
      <c r="A2942" s="2" t="s">
        <v>2643</v>
      </c>
      <c r="B2942" s="3" t="s">
        <v>5015</v>
      </c>
      <c r="C2942" s="3">
        <v>44</v>
      </c>
      <c r="D2942" s="46" t="str">
        <f>IF(Tabla1[[#This Row],[EDAD]]&lt;=35,"Adultos jóvenes 18 - 35 años",IF(C2942&gt;=36,"Adultos mayores 36 años en adelante"))</f>
        <v>Adultos mayores 36 años en adelante</v>
      </c>
      <c r="E2942" s="3" t="s">
        <v>5018</v>
      </c>
      <c r="F2942" s="3" t="s">
        <v>5025</v>
      </c>
      <c r="G2942" s="3" t="s">
        <v>5033</v>
      </c>
      <c r="H2942" s="3" t="s">
        <v>7666</v>
      </c>
      <c r="I2942" s="17">
        <v>45496</v>
      </c>
      <c r="J2942" s="18">
        <f>YEAR(Tabla1[[#This Row],[FECHA DE COMPRA]])</f>
        <v>2024</v>
      </c>
      <c r="K2942" s="19">
        <v>142.78</v>
      </c>
      <c r="L2942" s="20">
        <v>0.1</v>
      </c>
      <c r="M2942" s="19">
        <f>Tienda!$K1673-Tienda!$K1673*Tienda!$L1673</f>
        <v>50.193000000000005</v>
      </c>
      <c r="N2942" s="3" t="s">
        <v>10040</v>
      </c>
      <c r="O2942" s="3" t="s">
        <v>10041</v>
      </c>
      <c r="P2942" s="17">
        <v>45496</v>
      </c>
      <c r="Q2942" s="4">
        <v>0</v>
      </c>
    </row>
    <row r="2943" spans="1:17" ht="30" x14ac:dyDescent="0.25">
      <c r="A2943" s="2" t="s">
        <v>2034</v>
      </c>
      <c r="B2943" s="3" t="s">
        <v>5015</v>
      </c>
      <c r="C2943" s="3">
        <v>37</v>
      </c>
      <c r="D2943" s="46" t="str">
        <f>IF(Tabla1[[#This Row],[EDAD]]&lt;=35,"Adultos jóvenes 18 - 35 años",IF(C2943&gt;=36,"Adultos mayores 36 años en adelante"))</f>
        <v>Adultos mayores 36 años en adelante</v>
      </c>
      <c r="E2943" s="3" t="s">
        <v>5021</v>
      </c>
      <c r="F2943" s="3" t="s">
        <v>5026</v>
      </c>
      <c r="G2943" s="3" t="s">
        <v>5031</v>
      </c>
      <c r="H2943" s="3" t="s">
        <v>7057</v>
      </c>
      <c r="I2943" s="17">
        <v>45431</v>
      </c>
      <c r="J2943" s="18">
        <f>YEAR(Tabla1[[#This Row],[FECHA DE COMPRA]])</f>
        <v>2024</v>
      </c>
      <c r="K2943" s="19">
        <v>142.93</v>
      </c>
      <c r="L2943" s="20">
        <v>0.1</v>
      </c>
      <c r="M2943" s="19">
        <f>Tienda!$K1674-Tienda!$K1674*Tienda!$L1674</f>
        <v>145.84</v>
      </c>
      <c r="N2943" s="3" t="s">
        <v>10040</v>
      </c>
      <c r="O2943" s="3" t="s">
        <v>10041</v>
      </c>
      <c r="P2943" s="17">
        <v>45431</v>
      </c>
      <c r="Q2943" s="4">
        <v>0</v>
      </c>
    </row>
    <row r="2944" spans="1:17" ht="30" x14ac:dyDescent="0.25">
      <c r="A2944" s="2" t="s">
        <v>791</v>
      </c>
      <c r="B2944" s="3" t="s">
        <v>5016</v>
      </c>
      <c r="C2944" s="3">
        <v>44</v>
      </c>
      <c r="D2944" s="46" t="str">
        <f>IF(Tabla1[[#This Row],[EDAD]]&lt;=35,"Adultos jóvenes 18 - 35 años",IF(C2944&gt;=36,"Adultos mayores 36 años en adelante"))</f>
        <v>Adultos mayores 36 años en adelante</v>
      </c>
      <c r="E2944" s="3" t="s">
        <v>5019</v>
      </c>
      <c r="F2944" s="3" t="s">
        <v>5026</v>
      </c>
      <c r="G2944" s="3" t="s">
        <v>5031</v>
      </c>
      <c r="H2944" s="3" t="s">
        <v>5814</v>
      </c>
      <c r="I2944" s="17">
        <v>45494</v>
      </c>
      <c r="J2944" s="18">
        <f>YEAR(Tabla1[[#This Row],[FECHA DE COMPRA]])</f>
        <v>2024</v>
      </c>
      <c r="K2944" s="19">
        <v>142.93</v>
      </c>
      <c r="L2944" s="20">
        <v>0.1</v>
      </c>
      <c r="M2944" s="19">
        <f>Tienda!$K1675-Tienda!$K1675*Tienda!$L1675</f>
        <v>55.673999999999999</v>
      </c>
      <c r="N2944" s="3" t="s">
        <v>10040</v>
      </c>
      <c r="O2944" s="3" t="s">
        <v>10041</v>
      </c>
      <c r="P2944" s="17">
        <v>45494</v>
      </c>
      <c r="Q2944" s="4">
        <v>0</v>
      </c>
    </row>
    <row r="2945" spans="1:17" ht="30" x14ac:dyDescent="0.25">
      <c r="A2945" s="2" t="s">
        <v>290</v>
      </c>
      <c r="B2945" s="3" t="s">
        <v>5015</v>
      </c>
      <c r="C2945" s="3">
        <v>54</v>
      </c>
      <c r="D2945" s="46" t="str">
        <f>IF(Tabla1[[#This Row],[EDAD]]&lt;=35,"Adultos jóvenes 18 - 35 años",IF(C2945&gt;=36,"Adultos mayores 36 años en adelante"))</f>
        <v>Adultos mayores 36 años en adelante</v>
      </c>
      <c r="E2945" s="3" t="s">
        <v>5022</v>
      </c>
      <c r="F2945" s="3" t="s">
        <v>5029</v>
      </c>
      <c r="G2945" s="3" t="s">
        <v>5033</v>
      </c>
      <c r="H2945" s="3" t="s">
        <v>5313</v>
      </c>
      <c r="I2945" s="17">
        <v>45386</v>
      </c>
      <c r="J2945" s="18">
        <f>YEAR(Tabla1[[#This Row],[FECHA DE COMPRA]])</f>
        <v>2024</v>
      </c>
      <c r="K2945" s="19">
        <v>143.12</v>
      </c>
      <c r="L2945" s="20">
        <v>0.1</v>
      </c>
      <c r="M2945" s="19">
        <f>Tienda!$K1678-Tienda!$K1678*Tienda!$L1678</f>
        <v>138.33000000000001</v>
      </c>
      <c r="N2945" s="3" t="s">
        <v>10040</v>
      </c>
      <c r="O2945" s="3" t="s">
        <v>10041</v>
      </c>
      <c r="P2945" s="17">
        <v>45386</v>
      </c>
      <c r="Q2945" s="4">
        <v>0</v>
      </c>
    </row>
    <row r="2946" spans="1:17" ht="30" x14ac:dyDescent="0.25">
      <c r="A2946" s="2" t="s">
        <v>4434</v>
      </c>
      <c r="B2946" s="3" t="s">
        <v>5016</v>
      </c>
      <c r="C2946" s="3">
        <v>50</v>
      </c>
      <c r="D2946" s="46" t="str">
        <f>IF(Tabla1[[#This Row],[EDAD]]&lt;=35,"Adultos jóvenes 18 - 35 años",IF(C2946&gt;=36,"Adultos mayores 36 años en adelante"))</f>
        <v>Adultos mayores 36 años en adelante</v>
      </c>
      <c r="E2946" s="3" t="s">
        <v>5023</v>
      </c>
      <c r="F2946" s="3" t="s">
        <v>5026</v>
      </c>
      <c r="G2946" s="3" t="s">
        <v>5036</v>
      </c>
      <c r="H2946" s="3" t="s">
        <v>9457</v>
      </c>
      <c r="I2946" s="17">
        <v>45573</v>
      </c>
      <c r="J2946" s="18">
        <f>YEAR(Tabla1[[#This Row],[FECHA DE COMPRA]])</f>
        <v>2024</v>
      </c>
      <c r="K2946" s="19">
        <v>186.54</v>
      </c>
      <c r="L2946" s="20">
        <v>0.3</v>
      </c>
      <c r="M2946" s="19">
        <f>Tienda!$K1688-Tienda!$K1688*Tienda!$L1688</f>
        <v>38.597999999999999</v>
      </c>
      <c r="N2946" s="3" t="s">
        <v>10040</v>
      </c>
      <c r="O2946" s="3" t="s">
        <v>10041</v>
      </c>
      <c r="P2946" s="17">
        <v>45573</v>
      </c>
      <c r="Q2946" s="4">
        <v>0</v>
      </c>
    </row>
    <row r="2947" spans="1:17" ht="30" x14ac:dyDescent="0.25">
      <c r="A2947" s="2" t="s">
        <v>2666</v>
      </c>
      <c r="B2947" s="3" t="s">
        <v>5016</v>
      </c>
      <c r="C2947" s="3">
        <v>46</v>
      </c>
      <c r="D2947" s="46" t="str">
        <f>IF(Tabla1[[#This Row],[EDAD]]&lt;=35,"Adultos jóvenes 18 - 35 años",IF(C2947&gt;=36,"Adultos mayores 36 años en adelante"))</f>
        <v>Adultos mayores 36 años en adelante</v>
      </c>
      <c r="E2947" s="3" t="s">
        <v>5023</v>
      </c>
      <c r="F2947" s="3" t="s">
        <v>5025</v>
      </c>
      <c r="G2947" s="3" t="s">
        <v>5032</v>
      </c>
      <c r="H2947" s="3" t="s">
        <v>7689</v>
      </c>
      <c r="I2947" s="17">
        <v>45652</v>
      </c>
      <c r="J2947" s="18">
        <f>YEAR(Tabla1[[#This Row],[FECHA DE COMPRA]])</f>
        <v>2024</v>
      </c>
      <c r="K2947" s="19">
        <v>145.47999999999999</v>
      </c>
      <c r="L2947" s="20">
        <v>0.1</v>
      </c>
      <c r="M2947" s="19">
        <f>Tienda!$K1689-Tienda!$K1689*Tienda!$L1689</f>
        <v>56.672000000000004</v>
      </c>
      <c r="N2947" s="3" t="s">
        <v>10040</v>
      </c>
      <c r="O2947" s="3" t="s">
        <v>10041</v>
      </c>
      <c r="P2947" s="17">
        <v>45652</v>
      </c>
      <c r="Q2947" s="4">
        <v>0</v>
      </c>
    </row>
    <row r="2948" spans="1:17" ht="30" x14ac:dyDescent="0.25">
      <c r="A2948" s="2" t="s">
        <v>66</v>
      </c>
      <c r="B2948" s="3" t="s">
        <v>5015</v>
      </c>
      <c r="C2948" s="3">
        <v>65</v>
      </c>
      <c r="D2948" s="46" t="str">
        <f>IF(Tabla1[[#This Row],[EDAD]]&lt;=35,"Adultos jóvenes 18 - 35 años",IF(C2948&gt;=36,"Adultos mayores 36 años en adelante"))</f>
        <v>Adultos mayores 36 años en adelante</v>
      </c>
      <c r="E2948" s="3" t="s">
        <v>5019</v>
      </c>
      <c r="F2948" s="3" t="s">
        <v>5028</v>
      </c>
      <c r="G2948" s="3" t="s">
        <v>5032</v>
      </c>
      <c r="H2948" s="3" t="s">
        <v>5089</v>
      </c>
      <c r="I2948" s="17">
        <v>45624</v>
      </c>
      <c r="J2948" s="18">
        <f>YEAR(Tabla1[[#This Row],[FECHA DE COMPRA]])</f>
        <v>2024</v>
      </c>
      <c r="K2948" s="19">
        <v>165.24</v>
      </c>
      <c r="L2948" s="20">
        <v>0.2</v>
      </c>
      <c r="M2948" s="19">
        <f>Tienda!$K1692-Tienda!$K1692*Tienda!$L1692</f>
        <v>100.584</v>
      </c>
      <c r="N2948" s="3" t="s">
        <v>10040</v>
      </c>
      <c r="O2948" s="3" t="s">
        <v>10041</v>
      </c>
      <c r="P2948" s="17">
        <v>45491</v>
      </c>
      <c r="Q2948" s="4">
        <v>0</v>
      </c>
    </row>
    <row r="2949" spans="1:17" ht="30" x14ac:dyDescent="0.25">
      <c r="A2949" s="2" t="s">
        <v>4342</v>
      </c>
      <c r="B2949" s="3" t="s">
        <v>5015</v>
      </c>
      <c r="C2949" s="3">
        <v>63</v>
      </c>
      <c r="D2949" s="46" t="str">
        <f>IF(Tabla1[[#This Row],[EDAD]]&lt;=35,"Adultos jóvenes 18 - 35 años",IF(C2949&gt;=36,"Adultos mayores 36 años en adelante"))</f>
        <v>Adultos mayores 36 años en adelante</v>
      </c>
      <c r="E2949" s="3" t="s">
        <v>5018</v>
      </c>
      <c r="F2949" s="3" t="s">
        <v>5030</v>
      </c>
      <c r="G2949" s="3" t="s">
        <v>5035</v>
      </c>
      <c r="H2949" s="3" t="s">
        <v>9365</v>
      </c>
      <c r="I2949" s="17">
        <v>45379</v>
      </c>
      <c r="J2949" s="18">
        <f>YEAR(Tabla1[[#This Row],[FECHA DE COMPRA]])</f>
        <v>2024</v>
      </c>
      <c r="K2949" s="19">
        <v>189.29</v>
      </c>
      <c r="L2949" s="20">
        <v>0.3</v>
      </c>
      <c r="M2949" s="19">
        <f>Tienda!$K1695-Tienda!$K1695*Tienda!$L1695</f>
        <v>140.02000000000001</v>
      </c>
      <c r="N2949" s="3" t="s">
        <v>10040</v>
      </c>
      <c r="O2949" s="3" t="s">
        <v>10041</v>
      </c>
      <c r="P2949" s="17">
        <v>45379</v>
      </c>
      <c r="Q2949" s="4">
        <v>0</v>
      </c>
    </row>
    <row r="2950" spans="1:17" ht="30" x14ac:dyDescent="0.25">
      <c r="A2950" s="2" t="s">
        <v>3584</v>
      </c>
      <c r="B2950" s="3" t="s">
        <v>5015</v>
      </c>
      <c r="C2950" s="3">
        <v>65</v>
      </c>
      <c r="D2950" s="46" t="str">
        <f>IF(Tabla1[[#This Row],[EDAD]]&lt;=35,"Adultos jóvenes 18 - 35 años",IF(C2950&gt;=36,"Adultos mayores 36 años en adelante"))</f>
        <v>Adultos mayores 36 años en adelante</v>
      </c>
      <c r="E2950" s="3" t="s">
        <v>5020</v>
      </c>
      <c r="F2950" s="3" t="s">
        <v>5026</v>
      </c>
      <c r="G2950" s="3" t="s">
        <v>5037</v>
      </c>
      <c r="H2950" s="3" t="s">
        <v>8607</v>
      </c>
      <c r="I2950" s="17">
        <v>45594</v>
      </c>
      <c r="J2950" s="18">
        <f>YEAR(Tabla1[[#This Row],[FECHA DE COMPRA]])</f>
        <v>2024</v>
      </c>
      <c r="K2950" s="19">
        <v>190.64</v>
      </c>
      <c r="L2950" s="20">
        <v>0.3</v>
      </c>
      <c r="M2950" s="19">
        <f>Tienda!$K1697-Tienda!$K1697*Tienda!$L1697</f>
        <v>123.298</v>
      </c>
      <c r="N2950" s="3" t="s">
        <v>10040</v>
      </c>
      <c r="O2950" s="3" t="s">
        <v>10041</v>
      </c>
      <c r="P2950" s="17">
        <v>45594</v>
      </c>
      <c r="Q2950" s="4">
        <v>0</v>
      </c>
    </row>
    <row r="2951" spans="1:17" ht="30" x14ac:dyDescent="0.25">
      <c r="A2951" s="2" t="s">
        <v>491</v>
      </c>
      <c r="B2951" s="3" t="s">
        <v>5015</v>
      </c>
      <c r="C2951" s="3">
        <v>62</v>
      </c>
      <c r="D2951" s="46" t="str">
        <f>IF(Tabla1[[#This Row],[EDAD]]&lt;=35,"Adultos jóvenes 18 - 35 años",IF(C2951&gt;=36,"Adultos mayores 36 años en adelante"))</f>
        <v>Adultos mayores 36 años en adelante</v>
      </c>
      <c r="E2951" s="3" t="s">
        <v>5017</v>
      </c>
      <c r="F2951" s="3" t="s">
        <v>5025</v>
      </c>
      <c r="G2951" s="3" t="s">
        <v>5037</v>
      </c>
      <c r="H2951" s="3" t="s">
        <v>5514</v>
      </c>
      <c r="I2951" s="17">
        <v>45510</v>
      </c>
      <c r="J2951" s="18">
        <f>YEAR(Tabla1[[#This Row],[FECHA DE COMPRA]])</f>
        <v>2024</v>
      </c>
      <c r="K2951" s="19">
        <v>148.71</v>
      </c>
      <c r="L2951" s="20">
        <v>0.1</v>
      </c>
      <c r="M2951" s="19">
        <f>Tienda!$K1699-Tienda!$K1699*Tienda!$L1699</f>
        <v>30.6</v>
      </c>
      <c r="N2951" s="3" t="s">
        <v>10040</v>
      </c>
      <c r="O2951" s="3" t="s">
        <v>10041</v>
      </c>
      <c r="P2951" s="17">
        <v>45510</v>
      </c>
      <c r="Q2951" s="4">
        <v>0</v>
      </c>
    </row>
    <row r="2952" spans="1:17" ht="30" x14ac:dyDescent="0.25">
      <c r="A2952" s="2" t="s">
        <v>1333</v>
      </c>
      <c r="B2952" s="3" t="s">
        <v>5016</v>
      </c>
      <c r="C2952" s="3">
        <v>63</v>
      </c>
      <c r="D2952" s="46" t="str">
        <f>IF(Tabla1[[#This Row],[EDAD]]&lt;=35,"Adultos jóvenes 18 - 35 años",IF(C2952&gt;=36,"Adultos mayores 36 años en adelante"))</f>
        <v>Adultos mayores 36 años en adelante</v>
      </c>
      <c r="E2952" s="3" t="s">
        <v>5023</v>
      </c>
      <c r="F2952" s="3" t="s">
        <v>5026</v>
      </c>
      <c r="G2952" s="3" t="s">
        <v>5035</v>
      </c>
      <c r="H2952" s="3" t="s">
        <v>6356</v>
      </c>
      <c r="I2952" s="17">
        <v>45335</v>
      </c>
      <c r="J2952" s="18">
        <f>YEAR(Tabla1[[#This Row],[FECHA DE COMPRA]])</f>
        <v>2024</v>
      </c>
      <c r="K2952" s="19">
        <v>168.51</v>
      </c>
      <c r="L2952" s="20">
        <v>0.2</v>
      </c>
      <c r="M2952" s="19">
        <f>Tienda!$K1703-Tienda!$K1703*Tienda!$L1703</f>
        <v>10.061999999999999</v>
      </c>
      <c r="N2952" s="3" t="s">
        <v>10040</v>
      </c>
      <c r="O2952" s="3" t="s">
        <v>10041</v>
      </c>
      <c r="P2952" s="17">
        <v>45371</v>
      </c>
      <c r="Q2952" s="4">
        <v>0</v>
      </c>
    </row>
    <row r="2953" spans="1:17" ht="30" x14ac:dyDescent="0.25">
      <c r="A2953" s="2" t="s">
        <v>3716</v>
      </c>
      <c r="B2953" s="3" t="s">
        <v>5015</v>
      </c>
      <c r="C2953" s="3">
        <v>43</v>
      </c>
      <c r="D2953" s="46" t="str">
        <f>IF(Tabla1[[#This Row],[EDAD]]&lt;=35,"Adultos jóvenes 18 - 35 años",IF(C2953&gt;=36,"Adultos mayores 36 años en adelante"))</f>
        <v>Adultos mayores 36 años en adelante</v>
      </c>
      <c r="E2953" s="3" t="s">
        <v>5022</v>
      </c>
      <c r="F2953" s="3" t="s">
        <v>5025</v>
      </c>
      <c r="G2953" s="3" t="s">
        <v>5034</v>
      </c>
      <c r="H2953" s="3" t="s">
        <v>8739</v>
      </c>
      <c r="I2953" s="17">
        <v>45501</v>
      </c>
      <c r="J2953" s="18">
        <f>YEAR(Tabla1[[#This Row],[FECHA DE COMPRA]])</f>
        <v>2024</v>
      </c>
      <c r="K2953" s="19">
        <v>150.83000000000001</v>
      </c>
      <c r="L2953" s="20">
        <v>0.1</v>
      </c>
      <c r="M2953" s="19">
        <f>Tienda!$K1707-Tienda!$K1707*Tienda!$L1707</f>
        <v>57.636000000000003</v>
      </c>
      <c r="N2953" s="3" t="s">
        <v>10040</v>
      </c>
      <c r="O2953" s="3" t="s">
        <v>10041</v>
      </c>
      <c r="P2953" s="17">
        <v>45501</v>
      </c>
      <c r="Q2953" s="4">
        <v>0</v>
      </c>
    </row>
    <row r="2954" spans="1:17" ht="30" x14ac:dyDescent="0.25">
      <c r="A2954" s="2" t="s">
        <v>2349</v>
      </c>
      <c r="B2954" s="3" t="s">
        <v>5015</v>
      </c>
      <c r="C2954" s="3">
        <v>36</v>
      </c>
      <c r="D2954" s="46" t="str">
        <f>IF(Tabla1[[#This Row],[EDAD]]&lt;=35,"Adultos jóvenes 18 - 35 años",IF(C2954&gt;=36,"Adultos mayores 36 años en adelante"))</f>
        <v>Adultos mayores 36 años en adelante</v>
      </c>
      <c r="E2954" s="3" t="s">
        <v>5022</v>
      </c>
      <c r="F2954" s="3" t="s">
        <v>5026</v>
      </c>
      <c r="G2954" s="3" t="s">
        <v>5032</v>
      </c>
      <c r="H2954" s="3" t="s">
        <v>7372</v>
      </c>
      <c r="I2954" s="17">
        <v>45634</v>
      </c>
      <c r="J2954" s="18">
        <f>YEAR(Tabla1[[#This Row],[FECHA DE COMPRA]])</f>
        <v>2024</v>
      </c>
      <c r="K2954" s="19">
        <v>194.17</v>
      </c>
      <c r="L2954" s="20">
        <v>0.3</v>
      </c>
      <c r="M2954" s="19">
        <f>Tienda!$K1708-Tienda!$K1708*Tienda!$L1708</f>
        <v>71.38</v>
      </c>
      <c r="N2954" s="3" t="s">
        <v>10040</v>
      </c>
      <c r="O2954" s="3" t="s">
        <v>10041</v>
      </c>
      <c r="P2954" s="17">
        <v>45456</v>
      </c>
      <c r="Q2954" s="4">
        <v>0</v>
      </c>
    </row>
    <row r="2955" spans="1:17" ht="30" x14ac:dyDescent="0.25">
      <c r="A2955" s="2" t="s">
        <v>2748</v>
      </c>
      <c r="B2955" s="3" t="s">
        <v>5016</v>
      </c>
      <c r="C2955" s="3">
        <v>37</v>
      </c>
      <c r="D2955" s="46" t="str">
        <f>IF(Tabla1[[#This Row],[EDAD]]&lt;=35,"Adultos jóvenes 18 - 35 años",IF(C2955&gt;=36,"Adultos mayores 36 años en adelante"))</f>
        <v>Adultos mayores 36 años en adelante</v>
      </c>
      <c r="E2955" s="3" t="s">
        <v>5017</v>
      </c>
      <c r="F2955" s="3" t="s">
        <v>5028</v>
      </c>
      <c r="G2955" s="3" t="s">
        <v>5033</v>
      </c>
      <c r="H2955" s="3" t="s">
        <v>7771</v>
      </c>
      <c r="I2955" s="17">
        <v>45369</v>
      </c>
      <c r="J2955" s="18">
        <f>YEAR(Tabla1[[#This Row],[FECHA DE COMPRA]])</f>
        <v>2024</v>
      </c>
      <c r="K2955" s="19">
        <v>151.5</v>
      </c>
      <c r="L2955" s="20">
        <v>0.1</v>
      </c>
      <c r="M2955" s="19">
        <f>Tienda!$K1713-Tienda!$K1713*Tienda!$L1713</f>
        <v>115.66400000000002</v>
      </c>
      <c r="N2955" s="3" t="s">
        <v>10040</v>
      </c>
      <c r="O2955" s="3" t="s">
        <v>10041</v>
      </c>
      <c r="P2955" s="17">
        <v>45369</v>
      </c>
      <c r="Q2955" s="4">
        <v>0</v>
      </c>
    </row>
    <row r="2956" spans="1:17" ht="30" x14ac:dyDescent="0.25">
      <c r="A2956" s="2" t="s">
        <v>3132</v>
      </c>
      <c r="B2956" s="3" t="s">
        <v>5015</v>
      </c>
      <c r="C2956" s="3">
        <v>41</v>
      </c>
      <c r="D2956" s="46" t="str">
        <f>IF(Tabla1[[#This Row],[EDAD]]&lt;=35,"Adultos jóvenes 18 - 35 años",IF(C2956&gt;=36,"Adultos mayores 36 años en adelante"))</f>
        <v>Adultos mayores 36 años en adelante</v>
      </c>
      <c r="E2956" s="3" t="s">
        <v>5021</v>
      </c>
      <c r="F2956" s="3" t="s">
        <v>5026</v>
      </c>
      <c r="G2956" s="3" t="s">
        <v>5034</v>
      </c>
      <c r="H2956" s="3" t="s">
        <v>8155</v>
      </c>
      <c r="I2956" s="17">
        <v>45337</v>
      </c>
      <c r="J2956" s="18">
        <f>YEAR(Tabla1[[#This Row],[FECHA DE COMPRA]])</f>
        <v>2024</v>
      </c>
      <c r="K2956" s="19">
        <v>151.93</v>
      </c>
      <c r="L2956" s="20">
        <v>0.1</v>
      </c>
      <c r="M2956" s="19">
        <f>Tienda!$K1716-Tienda!$K1716*Tienda!$L1716</f>
        <v>136.89600000000002</v>
      </c>
      <c r="N2956" s="3" t="s">
        <v>10040</v>
      </c>
      <c r="O2956" s="3" t="s">
        <v>10041</v>
      </c>
      <c r="P2956" s="17">
        <v>45337</v>
      </c>
      <c r="Q2956" s="4">
        <v>0</v>
      </c>
    </row>
    <row r="2957" spans="1:17" ht="30" x14ac:dyDescent="0.25">
      <c r="A2957" s="2" t="s">
        <v>3627</v>
      </c>
      <c r="B2957" s="3" t="s">
        <v>5016</v>
      </c>
      <c r="C2957" s="3">
        <v>40</v>
      </c>
      <c r="D2957" s="46" t="str">
        <f>IF(Tabla1[[#This Row],[EDAD]]&lt;=35,"Adultos jóvenes 18 - 35 años",IF(C2957&gt;=36,"Adultos mayores 36 años en adelante"))</f>
        <v>Adultos mayores 36 años en adelante</v>
      </c>
      <c r="E2957" s="3" t="s">
        <v>5021</v>
      </c>
      <c r="F2957" s="3" t="s">
        <v>5024</v>
      </c>
      <c r="G2957" s="3" t="s">
        <v>5036</v>
      </c>
      <c r="H2957" s="3" t="s">
        <v>8650</v>
      </c>
      <c r="I2957" s="17">
        <v>45636</v>
      </c>
      <c r="J2957" s="18">
        <f>YEAR(Tabla1[[#This Row],[FECHA DE COMPRA]])</f>
        <v>2024</v>
      </c>
      <c r="K2957" s="19">
        <v>151.96</v>
      </c>
      <c r="L2957" s="20">
        <v>0.1</v>
      </c>
      <c r="M2957" s="19">
        <f>Tienda!$K1717-Tienda!$K1717*Tienda!$L1717</f>
        <v>164.62799999999999</v>
      </c>
      <c r="N2957" s="3" t="s">
        <v>10040</v>
      </c>
      <c r="O2957" s="3" t="s">
        <v>10041</v>
      </c>
      <c r="P2957" s="17">
        <v>45636</v>
      </c>
      <c r="Q2957" s="4">
        <v>0</v>
      </c>
    </row>
    <row r="2958" spans="1:17" ht="30" x14ac:dyDescent="0.25">
      <c r="A2958" s="2" t="s">
        <v>2505</v>
      </c>
      <c r="B2958" s="3" t="s">
        <v>5015</v>
      </c>
      <c r="C2958" s="3">
        <v>45</v>
      </c>
      <c r="D2958" s="46" t="str">
        <f>IF(Tabla1[[#This Row],[EDAD]]&lt;=35,"Adultos jóvenes 18 - 35 años",IF(C2958&gt;=36,"Adultos mayores 36 años en adelante"))</f>
        <v>Adultos mayores 36 años en adelante</v>
      </c>
      <c r="E2958" s="3" t="s">
        <v>5019</v>
      </c>
      <c r="F2958" s="3" t="s">
        <v>5024</v>
      </c>
      <c r="G2958" s="3" t="s">
        <v>5033</v>
      </c>
      <c r="H2958" s="3" t="s">
        <v>7528</v>
      </c>
      <c r="I2958" s="17">
        <v>45637</v>
      </c>
      <c r="J2958" s="18">
        <f>YEAR(Tabla1[[#This Row],[FECHA DE COMPRA]])</f>
        <v>2024</v>
      </c>
      <c r="K2958" s="19">
        <v>171.47</v>
      </c>
      <c r="L2958" s="20">
        <v>0.2</v>
      </c>
      <c r="M2958" s="19">
        <f>Tienda!$K1718-Tienda!$K1718*Tienda!$L1718</f>
        <v>183.56</v>
      </c>
      <c r="N2958" s="3" t="s">
        <v>10040</v>
      </c>
      <c r="O2958" s="3" t="s">
        <v>10041</v>
      </c>
      <c r="P2958" s="17">
        <v>45637</v>
      </c>
      <c r="Q2958" s="4">
        <v>0</v>
      </c>
    </row>
    <row r="2959" spans="1:17" ht="30" x14ac:dyDescent="0.25">
      <c r="A2959" s="2" t="s">
        <v>907</v>
      </c>
      <c r="B2959" s="3" t="s">
        <v>5015</v>
      </c>
      <c r="C2959" s="3">
        <v>55</v>
      </c>
      <c r="D2959" s="46" t="str">
        <f>IF(Tabla1[[#This Row],[EDAD]]&lt;=35,"Adultos jóvenes 18 - 35 años",IF(C2959&gt;=36,"Adultos mayores 36 años en adelante"))</f>
        <v>Adultos mayores 36 años en adelante</v>
      </c>
      <c r="E2959" s="3" t="s">
        <v>5023</v>
      </c>
      <c r="F2959" s="3" t="s">
        <v>5029</v>
      </c>
      <c r="G2959" s="3" t="s">
        <v>5036</v>
      </c>
      <c r="H2959" s="3" t="s">
        <v>5930</v>
      </c>
      <c r="I2959" s="17">
        <v>45615</v>
      </c>
      <c r="J2959" s="18">
        <f>YEAR(Tabla1[[#This Row],[FECHA DE COMPRA]])</f>
        <v>2024</v>
      </c>
      <c r="K2959" s="19">
        <v>153.09</v>
      </c>
      <c r="L2959" s="20">
        <v>0.1</v>
      </c>
      <c r="M2959" s="19">
        <f>Tienda!$K1721-Tienda!$K1721*Tienda!$L1721</f>
        <v>20.992999999999999</v>
      </c>
      <c r="N2959" s="3" t="s">
        <v>10040</v>
      </c>
      <c r="O2959" s="3" t="s">
        <v>10041</v>
      </c>
      <c r="P2959" s="17">
        <v>45615</v>
      </c>
      <c r="Q2959" s="4">
        <v>0</v>
      </c>
    </row>
    <row r="2960" spans="1:17" ht="30" x14ac:dyDescent="0.25">
      <c r="A2960" s="2" t="s">
        <v>4717</v>
      </c>
      <c r="B2960" s="3" t="s">
        <v>5016</v>
      </c>
      <c r="C2960" s="3">
        <v>54</v>
      </c>
      <c r="D2960" s="46" t="str">
        <f>IF(Tabla1[[#This Row],[EDAD]]&lt;=35,"Adultos jóvenes 18 - 35 años",IF(C2960&gt;=36,"Adultos mayores 36 años en adelante"))</f>
        <v>Adultos mayores 36 años en adelante</v>
      </c>
      <c r="E2960" s="3" t="s">
        <v>5017</v>
      </c>
      <c r="F2960" s="3" t="s">
        <v>5027</v>
      </c>
      <c r="G2960" s="3" t="s">
        <v>5034</v>
      </c>
      <c r="H2960" s="3" t="s">
        <v>9740</v>
      </c>
      <c r="I2960" s="17">
        <v>45489</v>
      </c>
      <c r="J2960" s="18">
        <f>YEAR(Tabla1[[#This Row],[FECHA DE COMPRA]])</f>
        <v>2024</v>
      </c>
      <c r="K2960" s="19">
        <v>138.41999999999999</v>
      </c>
      <c r="L2960" s="20">
        <v>0</v>
      </c>
      <c r="M2960" s="19">
        <f>Tienda!$K1724-Tienda!$K1724*Tienda!$L1724</f>
        <v>55.85</v>
      </c>
      <c r="N2960" s="3" t="s">
        <v>10040</v>
      </c>
      <c r="O2960" s="3" t="s">
        <v>10041</v>
      </c>
      <c r="P2960" s="17">
        <v>45489</v>
      </c>
      <c r="Q2960" s="4">
        <v>0</v>
      </c>
    </row>
    <row r="2961" spans="1:17" ht="30" x14ac:dyDescent="0.25">
      <c r="A2961" s="2" t="s">
        <v>850</v>
      </c>
      <c r="B2961" s="3" t="s">
        <v>5016</v>
      </c>
      <c r="C2961" s="3">
        <v>53</v>
      </c>
      <c r="D2961" s="46" t="str">
        <f>IF(Tabla1[[#This Row],[EDAD]]&lt;=35,"Adultos jóvenes 18 - 35 años",IF(C2961&gt;=36,"Adultos mayores 36 años en adelante"))</f>
        <v>Adultos mayores 36 años en adelante</v>
      </c>
      <c r="E2961" s="3" t="s">
        <v>5019</v>
      </c>
      <c r="F2961" s="3" t="s">
        <v>5026</v>
      </c>
      <c r="G2961" s="3" t="s">
        <v>5031</v>
      </c>
      <c r="H2961" s="3" t="s">
        <v>5873</v>
      </c>
      <c r="I2961" s="17">
        <v>45634</v>
      </c>
      <c r="J2961" s="18">
        <f>YEAR(Tabla1[[#This Row],[FECHA DE COMPRA]])</f>
        <v>2024</v>
      </c>
      <c r="K2961" s="19">
        <v>199.58</v>
      </c>
      <c r="L2961" s="20">
        <v>0.3</v>
      </c>
      <c r="M2961" s="19">
        <f>Tienda!$K1729-Tienda!$K1729*Tienda!$L1729</f>
        <v>143.541</v>
      </c>
      <c r="N2961" s="3" t="s">
        <v>10040</v>
      </c>
      <c r="O2961" s="3" t="s">
        <v>10041</v>
      </c>
      <c r="P2961" s="17">
        <v>45634</v>
      </c>
      <c r="Q2961" s="4">
        <v>0</v>
      </c>
    </row>
    <row r="2962" spans="1:17" ht="30" x14ac:dyDescent="0.25">
      <c r="A2962" s="2" t="s">
        <v>2798</v>
      </c>
      <c r="B2962" s="3" t="s">
        <v>5015</v>
      </c>
      <c r="C2962" s="3">
        <v>59</v>
      </c>
      <c r="D2962" s="46" t="str">
        <f>IF(Tabla1[[#This Row],[EDAD]]&lt;=35,"Adultos jóvenes 18 - 35 años",IF(C2962&gt;=36,"Adultos mayores 36 años en adelante"))</f>
        <v>Adultos mayores 36 años en adelante</v>
      </c>
      <c r="E2962" s="3" t="s">
        <v>5022</v>
      </c>
      <c r="F2962" s="3" t="s">
        <v>5028</v>
      </c>
      <c r="G2962" s="3" t="s">
        <v>5037</v>
      </c>
      <c r="H2962" s="3" t="s">
        <v>7821</v>
      </c>
      <c r="I2962" s="17">
        <v>45461</v>
      </c>
      <c r="J2962" s="18">
        <f>YEAR(Tabla1[[#This Row],[FECHA DE COMPRA]])</f>
        <v>2024</v>
      </c>
      <c r="K2962" s="19">
        <v>174.66</v>
      </c>
      <c r="L2962" s="20">
        <v>0.2</v>
      </c>
      <c r="M2962" s="19">
        <f>Tienda!$K1730-Tienda!$K1730*Tienda!$L1730</f>
        <v>165.73</v>
      </c>
      <c r="N2962" s="3" t="s">
        <v>10040</v>
      </c>
      <c r="O2962" s="3" t="s">
        <v>10041</v>
      </c>
      <c r="P2962" s="17">
        <v>45461</v>
      </c>
      <c r="Q2962" s="4">
        <v>0</v>
      </c>
    </row>
    <row r="2963" spans="1:17" ht="30" x14ac:dyDescent="0.25">
      <c r="A2963" s="2" t="s">
        <v>4313</v>
      </c>
      <c r="B2963" s="3" t="s">
        <v>5016</v>
      </c>
      <c r="C2963" s="3">
        <v>57</v>
      </c>
      <c r="D2963" s="46" t="str">
        <f>IF(Tabla1[[#This Row],[EDAD]]&lt;=35,"Adultos jóvenes 18 - 35 años",IF(C2963&gt;=36,"Adultos mayores 36 años en adelante"))</f>
        <v>Adultos mayores 36 años en adelante</v>
      </c>
      <c r="E2963" s="3" t="s">
        <v>5017</v>
      </c>
      <c r="F2963" s="3" t="s">
        <v>5028</v>
      </c>
      <c r="G2963" s="3" t="s">
        <v>5031</v>
      </c>
      <c r="H2963" s="3" t="s">
        <v>9336</v>
      </c>
      <c r="I2963" s="17">
        <v>45398</v>
      </c>
      <c r="J2963" s="18">
        <f>YEAR(Tabla1[[#This Row],[FECHA DE COMPRA]])</f>
        <v>2024</v>
      </c>
      <c r="K2963" s="19">
        <v>155.56</v>
      </c>
      <c r="L2963" s="20">
        <v>0.1</v>
      </c>
      <c r="M2963" s="19">
        <f>Tienda!$K1731-Tienda!$K1731*Tienda!$L1731</f>
        <v>155.07900000000001</v>
      </c>
      <c r="N2963" s="3" t="s">
        <v>10040</v>
      </c>
      <c r="O2963" s="3" t="s">
        <v>10041</v>
      </c>
      <c r="P2963" s="17">
        <v>45398</v>
      </c>
      <c r="Q2963" s="4">
        <v>0</v>
      </c>
    </row>
    <row r="2964" spans="1:17" ht="30" x14ac:dyDescent="0.25">
      <c r="A2964" s="2" t="s">
        <v>345</v>
      </c>
      <c r="B2964" s="3" t="s">
        <v>5015</v>
      </c>
      <c r="C2964" s="3">
        <v>36</v>
      </c>
      <c r="D2964" s="46" t="str">
        <f>IF(Tabla1[[#This Row],[EDAD]]&lt;=35,"Adultos jóvenes 18 - 35 años",IF(C2964&gt;=36,"Adultos mayores 36 años en adelante"))</f>
        <v>Adultos mayores 36 años en adelante</v>
      </c>
      <c r="E2964" s="3" t="s">
        <v>5019</v>
      </c>
      <c r="F2964" s="3" t="s">
        <v>5024</v>
      </c>
      <c r="G2964" s="3" t="s">
        <v>5035</v>
      </c>
      <c r="H2964" s="3" t="s">
        <v>5368</v>
      </c>
      <c r="I2964" s="17">
        <v>45354</v>
      </c>
      <c r="J2964" s="18">
        <f>YEAR(Tabla1[[#This Row],[FECHA DE COMPRA]])</f>
        <v>2024</v>
      </c>
      <c r="K2964" s="19">
        <v>140.27000000000001</v>
      </c>
      <c r="L2964" s="20">
        <v>0</v>
      </c>
      <c r="M2964" s="19">
        <f>Tienda!$K1732-Tienda!$K1732*Tienda!$L1732</f>
        <v>20.190000000000001</v>
      </c>
      <c r="N2964" s="3" t="s">
        <v>10040</v>
      </c>
      <c r="O2964" s="3" t="s">
        <v>10041</v>
      </c>
      <c r="P2964" s="17">
        <v>45354</v>
      </c>
      <c r="Q2964" s="4">
        <v>0</v>
      </c>
    </row>
    <row r="2965" spans="1:17" ht="30" x14ac:dyDescent="0.25">
      <c r="A2965" s="2" t="s">
        <v>4133</v>
      </c>
      <c r="B2965" s="3" t="s">
        <v>5015</v>
      </c>
      <c r="C2965" s="3">
        <v>42</v>
      </c>
      <c r="D2965" s="46" t="str">
        <f>IF(Tabla1[[#This Row],[EDAD]]&lt;=35,"Adultos jóvenes 18 - 35 años",IF(C2965&gt;=36,"Adultos mayores 36 años en adelante"))</f>
        <v>Adultos mayores 36 años en adelante</v>
      </c>
      <c r="E2965" s="3" t="s">
        <v>5018</v>
      </c>
      <c r="F2965" s="3" t="s">
        <v>5025</v>
      </c>
      <c r="G2965" s="3" t="s">
        <v>5037</v>
      </c>
      <c r="H2965" s="3" t="s">
        <v>9156</v>
      </c>
      <c r="I2965" s="17">
        <v>45440</v>
      </c>
      <c r="J2965" s="18">
        <f>YEAR(Tabla1[[#This Row],[FECHA DE COMPRA]])</f>
        <v>2024</v>
      </c>
      <c r="K2965" s="19">
        <v>176.62</v>
      </c>
      <c r="L2965" s="20">
        <v>0.2</v>
      </c>
      <c r="M2965" s="19">
        <f>Tienda!$K1736-Tienda!$K1736*Tienda!$L1736</f>
        <v>189.17</v>
      </c>
      <c r="N2965" s="3" t="s">
        <v>10040</v>
      </c>
      <c r="O2965" s="3" t="s">
        <v>10041</v>
      </c>
      <c r="P2965" s="17">
        <v>45440</v>
      </c>
      <c r="Q2965" s="4">
        <v>0</v>
      </c>
    </row>
    <row r="2966" spans="1:17" ht="30" x14ac:dyDescent="0.25">
      <c r="A2966" s="2" t="s">
        <v>3694</v>
      </c>
      <c r="B2966" s="3" t="s">
        <v>5015</v>
      </c>
      <c r="C2966" s="3">
        <v>45</v>
      </c>
      <c r="D2966" s="46" t="str">
        <f>IF(Tabla1[[#This Row],[EDAD]]&lt;=35,"Adultos jóvenes 18 - 35 años",IF(C2966&gt;=36,"Adultos mayores 36 años en adelante"))</f>
        <v>Adultos mayores 36 años en adelante</v>
      </c>
      <c r="E2966" s="3" t="s">
        <v>5022</v>
      </c>
      <c r="F2966" s="3" t="s">
        <v>5030</v>
      </c>
      <c r="G2966" s="3" t="s">
        <v>5033</v>
      </c>
      <c r="H2966" s="3" t="s">
        <v>8717</v>
      </c>
      <c r="I2966" s="17">
        <v>45624</v>
      </c>
      <c r="J2966" s="18">
        <f>YEAR(Tabla1[[#This Row],[FECHA DE COMPRA]])</f>
        <v>2024</v>
      </c>
      <c r="K2966" s="19">
        <v>157.04</v>
      </c>
      <c r="L2966" s="20">
        <v>0.1</v>
      </c>
      <c r="M2966" s="19">
        <f>Tienda!$K1737-Tienda!$K1737*Tienda!$L1737</f>
        <v>42.6</v>
      </c>
      <c r="N2966" s="3" t="s">
        <v>10040</v>
      </c>
      <c r="O2966" s="3" t="s">
        <v>10041</v>
      </c>
      <c r="P2966" s="17">
        <v>45490</v>
      </c>
      <c r="Q2966" s="4">
        <v>0</v>
      </c>
    </row>
    <row r="2967" spans="1:17" ht="30" x14ac:dyDescent="0.25">
      <c r="A2967" s="2" t="s">
        <v>4958</v>
      </c>
      <c r="B2967" s="3" t="s">
        <v>5015</v>
      </c>
      <c r="C2967" s="3">
        <v>65</v>
      </c>
      <c r="D2967" s="46" t="str">
        <f>IF(Tabla1[[#This Row],[EDAD]]&lt;=35,"Adultos jóvenes 18 - 35 años",IF(C2967&gt;=36,"Adultos mayores 36 años en adelante"))</f>
        <v>Adultos mayores 36 años en adelante</v>
      </c>
      <c r="E2967" s="3" t="s">
        <v>5018</v>
      </c>
      <c r="F2967" s="3" t="s">
        <v>5024</v>
      </c>
      <c r="G2967" s="3" t="s">
        <v>5037</v>
      </c>
      <c r="H2967" s="3" t="s">
        <v>9981</v>
      </c>
      <c r="I2967" s="17">
        <v>45586</v>
      </c>
      <c r="J2967" s="18">
        <f>YEAR(Tabla1[[#This Row],[FECHA DE COMPRA]])</f>
        <v>2024</v>
      </c>
      <c r="K2967" s="19">
        <v>177.1</v>
      </c>
      <c r="L2967" s="20">
        <v>0.2</v>
      </c>
      <c r="M2967" s="19">
        <f>Tienda!$K1740-Tienda!$K1740*Tienda!$L1740</f>
        <v>95.384</v>
      </c>
      <c r="N2967" s="3" t="s">
        <v>10040</v>
      </c>
      <c r="O2967" s="3" t="s">
        <v>10041</v>
      </c>
      <c r="P2967" s="17">
        <v>45586</v>
      </c>
      <c r="Q2967" s="4">
        <v>0</v>
      </c>
    </row>
    <row r="2968" spans="1:17" ht="30" x14ac:dyDescent="0.25">
      <c r="A2968" s="2" t="s">
        <v>3026</v>
      </c>
      <c r="B2968" s="3" t="s">
        <v>5015</v>
      </c>
      <c r="C2968" s="3">
        <v>56</v>
      </c>
      <c r="D2968" s="46" t="str">
        <f>IF(Tabla1[[#This Row],[EDAD]]&lt;=35,"Adultos jóvenes 18 - 35 años",IF(C2968&gt;=36,"Adultos mayores 36 años en adelante"))</f>
        <v>Adultos mayores 36 años en adelante</v>
      </c>
      <c r="E2968" s="3" t="s">
        <v>5021</v>
      </c>
      <c r="F2968" s="3" t="s">
        <v>5029</v>
      </c>
      <c r="G2968" s="3" t="s">
        <v>5037</v>
      </c>
      <c r="H2968" s="3" t="s">
        <v>8049</v>
      </c>
      <c r="I2968" s="17">
        <v>45649</v>
      </c>
      <c r="J2968" s="18">
        <f>YEAR(Tabla1[[#This Row],[FECHA DE COMPRA]])</f>
        <v>2024</v>
      </c>
      <c r="K2968" s="19">
        <v>158.07</v>
      </c>
      <c r="L2968" s="20">
        <v>0.1</v>
      </c>
      <c r="M2968" s="19">
        <f>Tienda!$K1743-Tienda!$K1743*Tienda!$L1743</f>
        <v>23.165999999999997</v>
      </c>
      <c r="N2968" s="3" t="s">
        <v>10040</v>
      </c>
      <c r="O2968" s="3" t="s">
        <v>10041</v>
      </c>
      <c r="P2968" s="17">
        <v>45649</v>
      </c>
      <c r="Q2968" s="4">
        <v>0</v>
      </c>
    </row>
    <row r="2969" spans="1:17" ht="30" x14ac:dyDescent="0.25">
      <c r="A2969" s="2" t="s">
        <v>398</v>
      </c>
      <c r="B2969" s="3" t="s">
        <v>5016</v>
      </c>
      <c r="C2969" s="3">
        <v>40</v>
      </c>
      <c r="D2969" s="46" t="str">
        <f>IF(Tabla1[[#This Row],[EDAD]]&lt;=35,"Adultos jóvenes 18 - 35 años",IF(C2969&gt;=36,"Adultos mayores 36 años en adelante"))</f>
        <v>Adultos mayores 36 años en adelante</v>
      </c>
      <c r="E2969" s="3" t="s">
        <v>5021</v>
      </c>
      <c r="F2969" s="3" t="s">
        <v>5026</v>
      </c>
      <c r="G2969" s="3" t="s">
        <v>5034</v>
      </c>
      <c r="H2969" s="3" t="s">
        <v>5421</v>
      </c>
      <c r="I2969" s="17">
        <v>45372</v>
      </c>
      <c r="J2969" s="18">
        <f>YEAR(Tabla1[[#This Row],[FECHA DE COMPRA]])</f>
        <v>2024</v>
      </c>
      <c r="K2969" s="19">
        <v>143.35</v>
      </c>
      <c r="L2969" s="20">
        <v>0</v>
      </c>
      <c r="M2969" s="19">
        <f>Tienda!$K1747-Tienda!$K1747*Tienda!$L1747</f>
        <v>41.076000000000001</v>
      </c>
      <c r="N2969" s="3" t="s">
        <v>10040</v>
      </c>
      <c r="O2969" s="3" t="s">
        <v>10041</v>
      </c>
      <c r="P2969" s="17">
        <v>45372</v>
      </c>
      <c r="Q2969" s="4">
        <v>0</v>
      </c>
    </row>
    <row r="2970" spans="1:17" ht="30" x14ac:dyDescent="0.25">
      <c r="A2970" s="2" t="s">
        <v>63</v>
      </c>
      <c r="B2970" s="3" t="s">
        <v>5016</v>
      </c>
      <c r="C2970" s="3">
        <v>54</v>
      </c>
      <c r="D2970" s="46" t="str">
        <f>IF(Tabla1[[#This Row],[EDAD]]&lt;=35,"Adultos jóvenes 18 - 35 años",IF(C2970&gt;=36,"Adultos mayores 36 años en adelante"))</f>
        <v>Adultos mayores 36 años en adelante</v>
      </c>
      <c r="E2970" s="3" t="s">
        <v>5017</v>
      </c>
      <c r="F2970" s="3" t="s">
        <v>5028</v>
      </c>
      <c r="G2970" s="3" t="s">
        <v>5037</v>
      </c>
      <c r="H2970" s="3" t="s">
        <v>5086</v>
      </c>
      <c r="I2970" s="17">
        <v>45624</v>
      </c>
      <c r="J2970" s="18">
        <f>YEAR(Tabla1[[#This Row],[FECHA DE COMPRA]])</f>
        <v>2024</v>
      </c>
      <c r="K2970" s="19">
        <v>159.6</v>
      </c>
      <c r="L2970" s="20">
        <v>0.1</v>
      </c>
      <c r="M2970" s="19">
        <f>Tienda!$K1748-Tienda!$K1748*Tienda!$L1748</f>
        <v>59.68</v>
      </c>
      <c r="N2970" s="3" t="s">
        <v>10040</v>
      </c>
      <c r="O2970" s="3" t="s">
        <v>10041</v>
      </c>
      <c r="P2970" s="17">
        <v>45400</v>
      </c>
      <c r="Q2970" s="4">
        <v>0</v>
      </c>
    </row>
    <row r="2971" spans="1:17" ht="30" x14ac:dyDescent="0.25">
      <c r="A2971" s="2" t="s">
        <v>3666</v>
      </c>
      <c r="B2971" s="3" t="s">
        <v>5015</v>
      </c>
      <c r="C2971" s="3">
        <v>58</v>
      </c>
      <c r="D2971" s="46" t="str">
        <f>IF(Tabla1[[#This Row],[EDAD]]&lt;=35,"Adultos jóvenes 18 - 35 años",IF(C2971&gt;=36,"Adultos mayores 36 años en adelante"))</f>
        <v>Adultos mayores 36 años en adelante</v>
      </c>
      <c r="E2971" s="3" t="s">
        <v>5018</v>
      </c>
      <c r="F2971" s="3" t="s">
        <v>5028</v>
      </c>
      <c r="G2971" s="3" t="s">
        <v>5034</v>
      </c>
      <c r="H2971" s="3" t="s">
        <v>8689</v>
      </c>
      <c r="I2971" s="17">
        <v>45601</v>
      </c>
      <c r="J2971" s="18">
        <f>YEAR(Tabla1[[#This Row],[FECHA DE COMPRA]])</f>
        <v>2024</v>
      </c>
      <c r="K2971" s="19">
        <v>180.18</v>
      </c>
      <c r="L2971" s="20">
        <v>0.2</v>
      </c>
      <c r="M2971" s="19">
        <f>Tienda!$K1749-Tienda!$K1749*Tienda!$L1749</f>
        <v>63.28</v>
      </c>
      <c r="N2971" s="3" t="s">
        <v>10040</v>
      </c>
      <c r="O2971" s="3" t="s">
        <v>10041</v>
      </c>
      <c r="P2971" s="17">
        <v>45601</v>
      </c>
      <c r="Q2971" s="4">
        <v>0</v>
      </c>
    </row>
    <row r="2972" spans="1:17" ht="30" x14ac:dyDescent="0.25">
      <c r="A2972" s="2" t="s">
        <v>934</v>
      </c>
      <c r="B2972" s="3" t="s">
        <v>5015</v>
      </c>
      <c r="C2972" s="3">
        <v>58</v>
      </c>
      <c r="D2972" s="46" t="str">
        <f>IF(Tabla1[[#This Row],[EDAD]]&lt;=35,"Adultos jóvenes 18 - 35 años",IF(C2972&gt;=36,"Adultos mayores 36 años en adelante"))</f>
        <v>Adultos mayores 36 años en adelante</v>
      </c>
      <c r="E2972" s="3" t="s">
        <v>5020</v>
      </c>
      <c r="F2972" s="3" t="s">
        <v>5024</v>
      </c>
      <c r="G2972" s="3" t="s">
        <v>5035</v>
      </c>
      <c r="H2972" s="3" t="s">
        <v>5957</v>
      </c>
      <c r="I2972" s="17">
        <v>45485</v>
      </c>
      <c r="J2972" s="18">
        <f>YEAR(Tabla1[[#This Row],[FECHA DE COMPRA]])</f>
        <v>2024</v>
      </c>
      <c r="K2972" s="19">
        <v>144.97</v>
      </c>
      <c r="L2972" s="20">
        <v>0</v>
      </c>
      <c r="M2972" s="19">
        <f>Tienda!$K1753-Tienda!$K1753*Tienda!$L1753</f>
        <v>97.087999999999994</v>
      </c>
      <c r="N2972" s="3" t="s">
        <v>10040</v>
      </c>
      <c r="O2972" s="3" t="s">
        <v>10041</v>
      </c>
      <c r="P2972" s="17">
        <v>45485</v>
      </c>
      <c r="Q2972" s="4">
        <v>0</v>
      </c>
    </row>
    <row r="2973" spans="1:17" ht="30" x14ac:dyDescent="0.25">
      <c r="A2973" s="2" t="s">
        <v>4178</v>
      </c>
      <c r="B2973" s="3" t="s">
        <v>5016</v>
      </c>
      <c r="C2973" s="3">
        <v>57</v>
      </c>
      <c r="D2973" s="46" t="str">
        <f>IF(Tabla1[[#This Row],[EDAD]]&lt;=35,"Adultos jóvenes 18 - 35 años",IF(C2973&gt;=36,"Adultos mayores 36 años en adelante"))</f>
        <v>Adultos mayores 36 años en adelante</v>
      </c>
      <c r="E2973" s="3" t="s">
        <v>5021</v>
      </c>
      <c r="F2973" s="3" t="s">
        <v>5025</v>
      </c>
      <c r="G2973" s="3" t="s">
        <v>5032</v>
      </c>
      <c r="H2973" s="3" t="s">
        <v>9201</v>
      </c>
      <c r="I2973" s="17">
        <v>45571</v>
      </c>
      <c r="J2973" s="18">
        <f>YEAR(Tabla1[[#This Row],[FECHA DE COMPRA]])</f>
        <v>2024</v>
      </c>
      <c r="K2973" s="19">
        <v>161.53</v>
      </c>
      <c r="L2973" s="20">
        <v>0.1</v>
      </c>
      <c r="M2973" s="19">
        <f>Tienda!$K1754-Tienda!$K1754*Tienda!$L1754</f>
        <v>90.972000000000008</v>
      </c>
      <c r="N2973" s="3" t="s">
        <v>10040</v>
      </c>
      <c r="O2973" s="3" t="s">
        <v>10041</v>
      </c>
      <c r="P2973" s="17">
        <v>45571</v>
      </c>
      <c r="Q2973" s="4">
        <v>0</v>
      </c>
    </row>
    <row r="2974" spans="1:17" ht="30" x14ac:dyDescent="0.25">
      <c r="A2974" s="2" t="s">
        <v>2052</v>
      </c>
      <c r="B2974" s="3" t="s">
        <v>5016</v>
      </c>
      <c r="C2974" s="3">
        <v>57</v>
      </c>
      <c r="D2974" s="46" t="str">
        <f>IF(Tabla1[[#This Row],[EDAD]]&lt;=35,"Adultos jóvenes 18 - 35 años",IF(C2974&gt;=36,"Adultos mayores 36 años en adelante"))</f>
        <v>Adultos mayores 36 años en adelante</v>
      </c>
      <c r="E2974" s="3" t="s">
        <v>5021</v>
      </c>
      <c r="F2974" s="3" t="s">
        <v>5028</v>
      </c>
      <c r="G2974" s="3" t="s">
        <v>5036</v>
      </c>
      <c r="H2974" s="3" t="s">
        <v>7075</v>
      </c>
      <c r="I2974" s="17">
        <v>45307</v>
      </c>
      <c r="J2974" s="18">
        <f>YEAR(Tabla1[[#This Row],[FECHA DE COMPRA]])</f>
        <v>2024</v>
      </c>
      <c r="K2974" s="19">
        <v>182.62</v>
      </c>
      <c r="L2974" s="20">
        <v>0.2</v>
      </c>
      <c r="M2974" s="19">
        <f>Tienda!$K1756-Tienda!$K1756*Tienda!$L1756</f>
        <v>12.579000000000001</v>
      </c>
      <c r="N2974" s="3" t="s">
        <v>10040</v>
      </c>
      <c r="O2974" s="3" t="s">
        <v>10041</v>
      </c>
      <c r="P2974" s="17">
        <v>45307</v>
      </c>
      <c r="Q2974" s="4">
        <v>0</v>
      </c>
    </row>
    <row r="2975" spans="1:17" ht="30" x14ac:dyDescent="0.25">
      <c r="A2975" s="2" t="s">
        <v>3237</v>
      </c>
      <c r="B2975" s="3" t="s">
        <v>5016</v>
      </c>
      <c r="C2975" s="3">
        <v>36</v>
      </c>
      <c r="D2975" s="46" t="str">
        <f>IF(Tabla1[[#This Row],[EDAD]]&lt;=35,"Adultos jóvenes 18 - 35 años",IF(C2975&gt;=36,"Adultos mayores 36 años en adelante"))</f>
        <v>Adultos mayores 36 años en adelante</v>
      </c>
      <c r="E2975" s="3" t="s">
        <v>5023</v>
      </c>
      <c r="F2975" s="3" t="s">
        <v>5026</v>
      </c>
      <c r="G2975" s="3" t="s">
        <v>5037</v>
      </c>
      <c r="H2975" s="3" t="s">
        <v>8260</v>
      </c>
      <c r="I2975" s="17">
        <v>45602</v>
      </c>
      <c r="J2975" s="18">
        <f>YEAR(Tabla1[[#This Row],[FECHA DE COMPRA]])</f>
        <v>2024</v>
      </c>
      <c r="K2975" s="19">
        <v>147.83000000000001</v>
      </c>
      <c r="L2975" s="20">
        <v>0</v>
      </c>
      <c r="M2975" s="19">
        <f>Tienda!$K1766-Tienda!$K1766*Tienda!$L1766</f>
        <v>103.98</v>
      </c>
      <c r="N2975" s="3" t="s">
        <v>10040</v>
      </c>
      <c r="O2975" s="3" t="s">
        <v>10041</v>
      </c>
      <c r="P2975" s="17">
        <v>45602</v>
      </c>
      <c r="Q2975" s="4">
        <v>0</v>
      </c>
    </row>
    <row r="2976" spans="1:17" ht="30" x14ac:dyDescent="0.25">
      <c r="A2976" s="2" t="s">
        <v>2308</v>
      </c>
      <c r="B2976" s="3" t="s">
        <v>5015</v>
      </c>
      <c r="C2976" s="3">
        <v>61</v>
      </c>
      <c r="D2976" s="46" t="str">
        <f>IF(Tabla1[[#This Row],[EDAD]]&lt;=35,"Adultos jóvenes 18 - 35 años",IF(C2976&gt;=36,"Adultos mayores 36 años en adelante"))</f>
        <v>Adultos mayores 36 años en adelante</v>
      </c>
      <c r="E2976" s="3" t="s">
        <v>5021</v>
      </c>
      <c r="F2976" s="3" t="s">
        <v>5030</v>
      </c>
      <c r="G2976" s="3" t="s">
        <v>5033</v>
      </c>
      <c r="H2976" s="3" t="s">
        <v>7331</v>
      </c>
      <c r="I2976" s="17">
        <v>45510</v>
      </c>
      <c r="J2976" s="18">
        <f>YEAR(Tabla1[[#This Row],[FECHA DE COMPRA]])</f>
        <v>2024</v>
      </c>
      <c r="K2976" s="19">
        <v>185.55</v>
      </c>
      <c r="L2976" s="20">
        <v>0.2</v>
      </c>
      <c r="M2976" s="19">
        <f>Tienda!$K1768-Tienda!$K1768*Tienda!$L1768</f>
        <v>116.739</v>
      </c>
      <c r="N2976" s="3" t="s">
        <v>10040</v>
      </c>
      <c r="O2976" s="3" t="s">
        <v>10041</v>
      </c>
      <c r="P2976" s="17">
        <v>45510</v>
      </c>
      <c r="Q2976" s="4">
        <v>0</v>
      </c>
    </row>
    <row r="2977" spans="1:17" ht="30" x14ac:dyDescent="0.25">
      <c r="A2977" s="2" t="s">
        <v>1442</v>
      </c>
      <c r="B2977" s="3" t="s">
        <v>5015</v>
      </c>
      <c r="C2977" s="3">
        <v>57</v>
      </c>
      <c r="D2977" s="46" t="str">
        <f>IF(Tabla1[[#This Row],[EDAD]]&lt;=35,"Adultos jóvenes 18 - 35 años",IF(C2977&gt;=36,"Adultos mayores 36 años en adelante"))</f>
        <v>Adultos mayores 36 años en adelante</v>
      </c>
      <c r="E2977" s="3" t="s">
        <v>5019</v>
      </c>
      <c r="F2977" s="3" t="s">
        <v>5027</v>
      </c>
      <c r="G2977" s="3" t="s">
        <v>5035</v>
      </c>
      <c r="H2977" s="3" t="s">
        <v>6465</v>
      </c>
      <c r="I2977" s="17">
        <v>45584</v>
      </c>
      <c r="J2977" s="18">
        <f>YEAR(Tabla1[[#This Row],[FECHA DE COMPRA]])</f>
        <v>2024</v>
      </c>
      <c r="K2977" s="19">
        <v>164.96</v>
      </c>
      <c r="L2977" s="20">
        <v>0.1</v>
      </c>
      <c r="M2977" s="19">
        <f>Tienda!$K1769-Tienda!$K1769*Tienda!$L1769</f>
        <v>94.128999999999991</v>
      </c>
      <c r="N2977" s="3" t="s">
        <v>10040</v>
      </c>
      <c r="O2977" s="3" t="s">
        <v>10041</v>
      </c>
      <c r="P2977" s="17">
        <v>45584</v>
      </c>
      <c r="Q2977" s="4">
        <v>0</v>
      </c>
    </row>
    <row r="2978" spans="1:17" ht="30" x14ac:dyDescent="0.25">
      <c r="A2978" s="2" t="s">
        <v>3898</v>
      </c>
      <c r="B2978" s="3" t="s">
        <v>5015</v>
      </c>
      <c r="C2978" s="3">
        <v>59</v>
      </c>
      <c r="D2978" s="46" t="str">
        <f>IF(Tabla1[[#This Row],[EDAD]]&lt;=35,"Adultos jóvenes 18 - 35 años",IF(C2978&gt;=36,"Adultos mayores 36 años en adelante"))</f>
        <v>Adultos mayores 36 años en adelante</v>
      </c>
      <c r="E2978" s="3" t="s">
        <v>5018</v>
      </c>
      <c r="F2978" s="3" t="s">
        <v>5027</v>
      </c>
      <c r="G2978" s="3" t="s">
        <v>5035</v>
      </c>
      <c r="H2978" s="3" t="s">
        <v>8921</v>
      </c>
      <c r="I2978" s="17">
        <v>45410</v>
      </c>
      <c r="J2978" s="18">
        <f>YEAR(Tabla1[[#This Row],[FECHA DE COMPRA]])</f>
        <v>2024</v>
      </c>
      <c r="K2978" s="19">
        <v>166.5</v>
      </c>
      <c r="L2978" s="20">
        <v>0.1</v>
      </c>
      <c r="M2978" s="19">
        <f>Tienda!$K1774-Tienda!$K1774*Tienda!$L1774</f>
        <v>183.26</v>
      </c>
      <c r="N2978" s="3" t="s">
        <v>10040</v>
      </c>
      <c r="O2978" s="3" t="s">
        <v>10041</v>
      </c>
      <c r="P2978" s="17">
        <v>45410</v>
      </c>
      <c r="Q2978" s="4">
        <v>0</v>
      </c>
    </row>
    <row r="2979" spans="1:17" ht="30" x14ac:dyDescent="0.25">
      <c r="A2979" s="2" t="s">
        <v>3320</v>
      </c>
      <c r="B2979" s="3" t="s">
        <v>5015</v>
      </c>
      <c r="C2979" s="3">
        <v>37</v>
      </c>
      <c r="D2979" s="46" t="str">
        <f>IF(Tabla1[[#This Row],[EDAD]]&lt;=35,"Adultos jóvenes 18 - 35 años",IF(C2979&gt;=36,"Adultos mayores 36 años en adelante"))</f>
        <v>Adultos mayores 36 años en adelante</v>
      </c>
      <c r="E2979" s="3" t="s">
        <v>5020</v>
      </c>
      <c r="F2979" s="3" t="s">
        <v>5024</v>
      </c>
      <c r="G2979" s="3" t="s">
        <v>5035</v>
      </c>
      <c r="H2979" s="3" t="s">
        <v>8343</v>
      </c>
      <c r="I2979" s="17">
        <v>45438</v>
      </c>
      <c r="J2979" s="18">
        <f>YEAR(Tabla1[[#This Row],[FECHA DE COMPRA]])</f>
        <v>2024</v>
      </c>
      <c r="K2979" s="19">
        <v>188.26</v>
      </c>
      <c r="L2979" s="20">
        <v>0.2</v>
      </c>
      <c r="M2979" s="19">
        <f>Tienda!$K1779-Tienda!$K1779*Tienda!$L1779</f>
        <v>50.480000000000004</v>
      </c>
      <c r="N2979" s="3" t="s">
        <v>10040</v>
      </c>
      <c r="O2979" s="3" t="s">
        <v>10041</v>
      </c>
      <c r="P2979" s="17">
        <v>45438</v>
      </c>
      <c r="Q2979" s="4">
        <v>0</v>
      </c>
    </row>
    <row r="2980" spans="1:17" ht="30" x14ac:dyDescent="0.25">
      <c r="A2980" s="2" t="s">
        <v>4808</v>
      </c>
      <c r="B2980" s="3" t="s">
        <v>5015</v>
      </c>
      <c r="C2980" s="3">
        <v>54</v>
      </c>
      <c r="D2980" s="46" t="str">
        <f>IF(Tabla1[[#This Row],[EDAD]]&lt;=35,"Adultos jóvenes 18 - 35 años",IF(C2980&gt;=36,"Adultos mayores 36 años en adelante"))</f>
        <v>Adultos mayores 36 años en adelante</v>
      </c>
      <c r="E2980" s="3" t="s">
        <v>5021</v>
      </c>
      <c r="F2980" s="3" t="s">
        <v>5028</v>
      </c>
      <c r="G2980" s="3" t="s">
        <v>5037</v>
      </c>
      <c r="H2980" s="3" t="s">
        <v>9831</v>
      </c>
      <c r="I2980" s="17">
        <v>45335</v>
      </c>
      <c r="J2980" s="18">
        <f>YEAR(Tabla1[[#This Row],[FECHA DE COMPRA]])</f>
        <v>2024</v>
      </c>
      <c r="K2980" s="19">
        <v>167.46</v>
      </c>
      <c r="L2980" s="20">
        <v>0.1</v>
      </c>
      <c r="M2980" s="19">
        <f>Tienda!$K1780-Tienda!$K1780*Tienda!$L1780</f>
        <v>77.632000000000005</v>
      </c>
      <c r="N2980" s="3" t="s">
        <v>10040</v>
      </c>
      <c r="O2980" s="3" t="s">
        <v>10041</v>
      </c>
      <c r="P2980" s="17">
        <v>45373</v>
      </c>
      <c r="Q2980" s="4">
        <v>0</v>
      </c>
    </row>
    <row r="2981" spans="1:17" ht="30" x14ac:dyDescent="0.25">
      <c r="A2981" s="2" t="s">
        <v>69</v>
      </c>
      <c r="B2981" s="3" t="s">
        <v>5016</v>
      </c>
      <c r="C2981" s="3">
        <v>57</v>
      </c>
      <c r="D2981" s="46" t="str">
        <f>IF(Tabla1[[#This Row],[EDAD]]&lt;=35,"Adultos jóvenes 18 - 35 años",IF(C2981&gt;=36,"Adultos mayores 36 años en adelante"))</f>
        <v>Adultos mayores 36 años en adelante</v>
      </c>
      <c r="E2981" s="3" t="s">
        <v>5017</v>
      </c>
      <c r="F2981" s="3" t="s">
        <v>5030</v>
      </c>
      <c r="G2981" s="3" t="s">
        <v>5036</v>
      </c>
      <c r="H2981" s="3" t="s">
        <v>5092</v>
      </c>
      <c r="I2981" s="17">
        <v>45437</v>
      </c>
      <c r="J2981" s="18">
        <f>YEAR(Tabla1[[#This Row],[FECHA DE COMPRA]])</f>
        <v>2024</v>
      </c>
      <c r="K2981" s="19">
        <v>167.98</v>
      </c>
      <c r="L2981" s="20">
        <v>0.1</v>
      </c>
      <c r="M2981" s="19">
        <f>Tienda!$K1781-Tienda!$K1781*Tienda!$L1781</f>
        <v>68.396999999999991</v>
      </c>
      <c r="N2981" s="3" t="s">
        <v>10040</v>
      </c>
      <c r="O2981" s="3" t="s">
        <v>10041</v>
      </c>
      <c r="P2981" s="17">
        <v>45437</v>
      </c>
      <c r="Q2981" s="4">
        <v>0</v>
      </c>
    </row>
    <row r="2982" spans="1:17" ht="30" x14ac:dyDescent="0.25">
      <c r="A2982" s="2" t="s">
        <v>1806</v>
      </c>
      <c r="B2982" s="3" t="s">
        <v>5016</v>
      </c>
      <c r="C2982" s="3">
        <v>54</v>
      </c>
      <c r="D2982" s="46" t="str">
        <f>IF(Tabla1[[#This Row],[EDAD]]&lt;=35,"Adultos jóvenes 18 - 35 años",IF(C2982&gt;=36,"Adultos mayores 36 años en adelante"))</f>
        <v>Adultos mayores 36 años en adelante</v>
      </c>
      <c r="E2982" s="3" t="s">
        <v>5021</v>
      </c>
      <c r="F2982" s="3" t="s">
        <v>5024</v>
      </c>
      <c r="G2982" s="3" t="s">
        <v>5037</v>
      </c>
      <c r="H2982" s="3" t="s">
        <v>6829</v>
      </c>
      <c r="I2982" s="17">
        <v>45518</v>
      </c>
      <c r="J2982" s="18">
        <f>YEAR(Tabla1[[#This Row],[FECHA DE COMPRA]])</f>
        <v>2024</v>
      </c>
      <c r="K2982" s="19">
        <v>169.15</v>
      </c>
      <c r="L2982" s="20">
        <v>0.1</v>
      </c>
      <c r="M2982" s="19">
        <f>Tienda!$K1784-Tienda!$K1784*Tienda!$L1784</f>
        <v>113.54</v>
      </c>
      <c r="N2982" s="3" t="s">
        <v>10040</v>
      </c>
      <c r="O2982" s="3" t="s">
        <v>10041</v>
      </c>
      <c r="P2982" s="17">
        <v>45518</v>
      </c>
      <c r="Q2982" s="4">
        <v>0</v>
      </c>
    </row>
    <row r="2983" spans="1:17" ht="30" x14ac:dyDescent="0.25">
      <c r="A2983" s="2" t="s">
        <v>1723</v>
      </c>
      <c r="B2983" s="3" t="s">
        <v>5015</v>
      </c>
      <c r="C2983" s="3">
        <v>53</v>
      </c>
      <c r="D2983" s="46" t="str">
        <f>IF(Tabla1[[#This Row],[EDAD]]&lt;=35,"Adultos jóvenes 18 - 35 años",IF(C2983&gt;=36,"Adultos mayores 36 años en adelante"))</f>
        <v>Adultos mayores 36 años en adelante</v>
      </c>
      <c r="E2983" s="3" t="s">
        <v>5018</v>
      </c>
      <c r="F2983" s="3" t="s">
        <v>5030</v>
      </c>
      <c r="G2983" s="3" t="s">
        <v>5036</v>
      </c>
      <c r="H2983" s="3" t="s">
        <v>6746</v>
      </c>
      <c r="I2983" s="17">
        <v>45308</v>
      </c>
      <c r="J2983" s="18">
        <f>YEAR(Tabla1[[#This Row],[FECHA DE COMPRA]])</f>
        <v>2024</v>
      </c>
      <c r="K2983" s="19">
        <v>169.26</v>
      </c>
      <c r="L2983" s="20">
        <v>0.1</v>
      </c>
      <c r="M2983" s="19">
        <f>Tienda!$K1785-Tienda!$K1785*Tienda!$L1785</f>
        <v>27.684999999999999</v>
      </c>
      <c r="N2983" s="3" t="s">
        <v>10040</v>
      </c>
      <c r="O2983" s="3" t="s">
        <v>10041</v>
      </c>
      <c r="P2983" s="17">
        <v>45308</v>
      </c>
      <c r="Q2983" s="4">
        <v>0</v>
      </c>
    </row>
    <row r="2984" spans="1:17" ht="30" x14ac:dyDescent="0.25">
      <c r="A2984" s="2" t="s">
        <v>1297</v>
      </c>
      <c r="B2984" s="3" t="s">
        <v>5015</v>
      </c>
      <c r="C2984" s="3">
        <v>38</v>
      </c>
      <c r="D2984" s="46" t="str">
        <f>IF(Tabla1[[#This Row],[EDAD]]&lt;=35,"Adultos jóvenes 18 - 35 años",IF(C2984&gt;=36,"Adultos mayores 36 años en adelante"))</f>
        <v>Adultos mayores 36 años en adelante</v>
      </c>
      <c r="E2984" s="3" t="s">
        <v>5020</v>
      </c>
      <c r="F2984" s="3" t="s">
        <v>5030</v>
      </c>
      <c r="G2984" s="3" t="s">
        <v>5034</v>
      </c>
      <c r="H2984" s="3" t="s">
        <v>6320</v>
      </c>
      <c r="I2984" s="17">
        <v>45521</v>
      </c>
      <c r="J2984" s="18">
        <f>YEAR(Tabla1[[#This Row],[FECHA DE COMPRA]])</f>
        <v>2024</v>
      </c>
      <c r="K2984" s="19">
        <v>169.56</v>
      </c>
      <c r="L2984" s="20">
        <v>0.1</v>
      </c>
      <c r="M2984" s="19">
        <f>Tienda!$K1786-Tienda!$K1786*Tienda!$L1786</f>
        <v>36.190000000000005</v>
      </c>
      <c r="N2984" s="3" t="s">
        <v>10040</v>
      </c>
      <c r="O2984" s="3" t="s">
        <v>10041</v>
      </c>
      <c r="P2984" s="17">
        <v>45521</v>
      </c>
      <c r="Q2984" s="4">
        <v>0</v>
      </c>
    </row>
    <row r="2985" spans="1:17" ht="30" x14ac:dyDescent="0.25">
      <c r="A2985" s="2" t="s">
        <v>783</v>
      </c>
      <c r="B2985" s="3" t="s">
        <v>5015</v>
      </c>
      <c r="C2985" s="3">
        <v>55</v>
      </c>
      <c r="D2985" s="46" t="str">
        <f>IF(Tabla1[[#This Row],[EDAD]]&lt;=35,"Adultos jóvenes 18 - 35 años",IF(C2985&gt;=36,"Adultos mayores 36 años en adelante"))</f>
        <v>Adultos mayores 36 años en adelante</v>
      </c>
      <c r="E2985" s="3" t="s">
        <v>5022</v>
      </c>
      <c r="F2985" s="3" t="s">
        <v>5026</v>
      </c>
      <c r="G2985" s="3" t="s">
        <v>5033</v>
      </c>
      <c r="H2985" s="3" t="s">
        <v>5806</v>
      </c>
      <c r="I2985" s="17">
        <v>45624</v>
      </c>
      <c r="J2985" s="18">
        <f>YEAR(Tabla1[[#This Row],[FECHA DE COMPRA]])</f>
        <v>2024</v>
      </c>
      <c r="K2985" s="19">
        <v>191.27</v>
      </c>
      <c r="L2985" s="20">
        <v>0.2</v>
      </c>
      <c r="M2985" s="19">
        <f>Tienda!$K1788-Tienda!$K1788*Tienda!$L1788</f>
        <v>68.569999999999993</v>
      </c>
      <c r="N2985" s="3" t="s">
        <v>10040</v>
      </c>
      <c r="O2985" s="3" t="s">
        <v>10041</v>
      </c>
      <c r="P2985" s="17">
        <v>45393</v>
      </c>
      <c r="Q2985" s="4">
        <v>0</v>
      </c>
    </row>
    <row r="2986" spans="1:17" ht="30" x14ac:dyDescent="0.25">
      <c r="A2986" s="2" t="s">
        <v>1388</v>
      </c>
      <c r="B2986" s="3" t="s">
        <v>5015</v>
      </c>
      <c r="C2986" s="3">
        <v>43</v>
      </c>
      <c r="D2986" s="46" t="str">
        <f>IF(Tabla1[[#This Row],[EDAD]]&lt;=35,"Adultos jóvenes 18 - 35 años",IF(C2986&gt;=36,"Adultos mayores 36 años en adelante"))</f>
        <v>Adultos mayores 36 años en adelante</v>
      </c>
      <c r="E2986" s="3" t="s">
        <v>5018</v>
      </c>
      <c r="F2986" s="3" t="s">
        <v>5024</v>
      </c>
      <c r="G2986" s="3" t="s">
        <v>5034</v>
      </c>
      <c r="H2986" s="3" t="s">
        <v>6411</v>
      </c>
      <c r="I2986" s="17">
        <v>45545</v>
      </c>
      <c r="J2986" s="18">
        <f>YEAR(Tabla1[[#This Row],[FECHA DE COMPRA]])</f>
        <v>2024</v>
      </c>
      <c r="K2986" s="19">
        <v>192.18</v>
      </c>
      <c r="L2986" s="20">
        <v>0.2</v>
      </c>
      <c r="M2986" s="19">
        <f>Tienda!$K1791-Tienda!$K1791*Tienda!$L1791</f>
        <v>67.528999999999996</v>
      </c>
      <c r="N2986" s="3" t="s">
        <v>10040</v>
      </c>
      <c r="O2986" s="3" t="s">
        <v>10041</v>
      </c>
      <c r="P2986" s="17">
        <v>45545</v>
      </c>
      <c r="Q2986" s="4">
        <v>0</v>
      </c>
    </row>
    <row r="2987" spans="1:17" ht="30" x14ac:dyDescent="0.25">
      <c r="A2987" s="2" t="s">
        <v>1734</v>
      </c>
      <c r="B2987" s="3" t="s">
        <v>5015</v>
      </c>
      <c r="C2987" s="3">
        <v>58</v>
      </c>
      <c r="D2987" s="46" t="str">
        <f>IF(Tabla1[[#This Row],[EDAD]]&lt;=35,"Adultos jóvenes 18 - 35 años",IF(C2987&gt;=36,"Adultos mayores 36 años en adelante"))</f>
        <v>Adultos mayores 36 años en adelante</v>
      </c>
      <c r="E2987" s="3" t="s">
        <v>5017</v>
      </c>
      <c r="F2987" s="3" t="s">
        <v>5027</v>
      </c>
      <c r="G2987" s="3" t="s">
        <v>5031</v>
      </c>
      <c r="H2987" s="3" t="s">
        <v>6757</v>
      </c>
      <c r="I2987" s="17">
        <v>45618</v>
      </c>
      <c r="J2987" s="18">
        <f>YEAR(Tabla1[[#This Row],[FECHA DE COMPRA]])</f>
        <v>2024</v>
      </c>
      <c r="K2987" s="19">
        <v>154.25</v>
      </c>
      <c r="L2987" s="20">
        <v>0</v>
      </c>
      <c r="M2987" s="19">
        <f>Tienda!$K1793-Tienda!$K1793*Tienda!$L1793</f>
        <v>91.536000000000001</v>
      </c>
      <c r="N2987" s="3" t="s">
        <v>10040</v>
      </c>
      <c r="O2987" s="3" t="s">
        <v>10041</v>
      </c>
      <c r="P2987" s="17">
        <v>45462</v>
      </c>
      <c r="Q2987" s="4">
        <v>0</v>
      </c>
    </row>
    <row r="2988" spans="1:17" ht="30" x14ac:dyDescent="0.25">
      <c r="A2988" s="2" t="s">
        <v>4605</v>
      </c>
      <c r="B2988" s="3" t="s">
        <v>5016</v>
      </c>
      <c r="C2988" s="3">
        <v>65</v>
      </c>
      <c r="D2988" s="46" t="str">
        <f>IF(Tabla1[[#This Row],[EDAD]]&lt;=35,"Adultos jóvenes 18 - 35 años",IF(C2988&gt;=36,"Adultos mayores 36 años en adelante"))</f>
        <v>Adultos mayores 36 años en adelante</v>
      </c>
      <c r="E2988" s="3" t="s">
        <v>5023</v>
      </c>
      <c r="F2988" s="3" t="s">
        <v>5030</v>
      </c>
      <c r="G2988" s="3" t="s">
        <v>5033</v>
      </c>
      <c r="H2988" s="3" t="s">
        <v>9628</v>
      </c>
      <c r="I2988" s="17">
        <v>45628</v>
      </c>
      <c r="J2988" s="18">
        <f>YEAR(Tabla1[[#This Row],[FECHA DE COMPRA]])</f>
        <v>2024</v>
      </c>
      <c r="K2988" s="19">
        <v>193.2</v>
      </c>
      <c r="L2988" s="20">
        <v>0.2</v>
      </c>
      <c r="M2988" s="19">
        <f>Tienda!$K1794-Tienda!$K1794*Tienda!$L1794</f>
        <v>101.91200000000001</v>
      </c>
      <c r="N2988" s="3" t="s">
        <v>10040</v>
      </c>
      <c r="O2988" s="3" t="s">
        <v>10041</v>
      </c>
      <c r="P2988" s="17">
        <v>45628</v>
      </c>
      <c r="Q2988" s="4">
        <v>0</v>
      </c>
    </row>
    <row r="2989" spans="1:17" ht="30" x14ac:dyDescent="0.25">
      <c r="A2989" s="2" t="s">
        <v>634</v>
      </c>
      <c r="B2989" s="3" t="s">
        <v>5015</v>
      </c>
      <c r="C2989" s="3">
        <v>41</v>
      </c>
      <c r="D2989" s="46" t="str">
        <f>IF(Tabla1[[#This Row],[EDAD]]&lt;=35,"Adultos jóvenes 18 - 35 años",IF(C2989&gt;=36,"Adultos mayores 36 años en adelante"))</f>
        <v>Adultos mayores 36 años en adelante</v>
      </c>
      <c r="E2989" s="3" t="s">
        <v>5022</v>
      </c>
      <c r="F2989" s="3" t="s">
        <v>5024</v>
      </c>
      <c r="G2989" s="3" t="s">
        <v>5035</v>
      </c>
      <c r="H2989" s="3" t="s">
        <v>5657</v>
      </c>
      <c r="I2989" s="17">
        <v>45522</v>
      </c>
      <c r="J2989" s="18">
        <f>YEAR(Tabla1[[#This Row],[FECHA DE COMPRA]])</f>
        <v>2024</v>
      </c>
      <c r="K2989" s="19">
        <v>193.75</v>
      </c>
      <c r="L2989" s="20">
        <v>0.2</v>
      </c>
      <c r="M2989" s="19">
        <f>Tienda!$K1795-Tienda!$K1795*Tienda!$L1795</f>
        <v>108.72</v>
      </c>
      <c r="N2989" s="3" t="s">
        <v>10040</v>
      </c>
      <c r="O2989" s="3" t="s">
        <v>10041</v>
      </c>
      <c r="P2989" s="17">
        <v>45522</v>
      </c>
      <c r="Q2989" s="4">
        <v>0</v>
      </c>
    </row>
    <row r="2990" spans="1:17" ht="30" x14ac:dyDescent="0.25">
      <c r="A2990" s="2" t="s">
        <v>893</v>
      </c>
      <c r="B2990" s="3" t="s">
        <v>5015</v>
      </c>
      <c r="C2990" s="3">
        <v>36</v>
      </c>
      <c r="D2990" s="46" t="str">
        <f>IF(Tabla1[[#This Row],[EDAD]]&lt;=35,"Adultos jóvenes 18 - 35 años",IF(C2990&gt;=36,"Adultos mayores 36 años en adelante"))</f>
        <v>Adultos mayores 36 años en adelante</v>
      </c>
      <c r="E2990" s="3" t="s">
        <v>5018</v>
      </c>
      <c r="F2990" s="3" t="s">
        <v>5029</v>
      </c>
      <c r="G2990" s="3" t="s">
        <v>5033</v>
      </c>
      <c r="H2990" s="3" t="s">
        <v>5916</v>
      </c>
      <c r="I2990" s="17">
        <v>45636</v>
      </c>
      <c r="J2990" s="18">
        <f>YEAR(Tabla1[[#This Row],[FECHA DE COMPRA]])</f>
        <v>2024</v>
      </c>
      <c r="K2990" s="19">
        <v>172.85</v>
      </c>
      <c r="L2990" s="20">
        <v>0.1</v>
      </c>
      <c r="M2990" s="19">
        <f>Tienda!$K1796-Tienda!$K1796*Tienda!$L1796</f>
        <v>125.136</v>
      </c>
      <c r="N2990" s="3" t="s">
        <v>10040</v>
      </c>
      <c r="O2990" s="3" t="s">
        <v>10041</v>
      </c>
      <c r="P2990" s="17">
        <v>45446</v>
      </c>
      <c r="Q2990" s="4">
        <v>0</v>
      </c>
    </row>
    <row r="2991" spans="1:17" ht="30" x14ac:dyDescent="0.25">
      <c r="A2991" s="2" t="s">
        <v>464</v>
      </c>
      <c r="B2991" s="3" t="s">
        <v>5016</v>
      </c>
      <c r="C2991" s="3">
        <v>46</v>
      </c>
      <c r="D2991" s="46" t="str">
        <f>IF(Tabla1[[#This Row],[EDAD]]&lt;=35,"Adultos jóvenes 18 - 35 años",IF(C2991&gt;=36,"Adultos mayores 36 años en adelante"))</f>
        <v>Adultos mayores 36 años en adelante</v>
      </c>
      <c r="E2991" s="3" t="s">
        <v>5023</v>
      </c>
      <c r="F2991" s="3" t="s">
        <v>5030</v>
      </c>
      <c r="G2991" s="3" t="s">
        <v>5031</v>
      </c>
      <c r="H2991" s="3" t="s">
        <v>5487</v>
      </c>
      <c r="I2991" s="17">
        <v>45557</v>
      </c>
      <c r="J2991" s="18">
        <f>YEAR(Tabla1[[#This Row],[FECHA DE COMPRA]])</f>
        <v>2024</v>
      </c>
      <c r="K2991" s="19">
        <v>173.31</v>
      </c>
      <c r="L2991" s="20">
        <v>0.1</v>
      </c>
      <c r="M2991" s="19">
        <f>Tienda!$K1798-Tienda!$K1798*Tienda!$L1798</f>
        <v>160.5</v>
      </c>
      <c r="N2991" s="3" t="s">
        <v>10040</v>
      </c>
      <c r="O2991" s="3" t="s">
        <v>10041</v>
      </c>
      <c r="P2991" s="17">
        <v>45557</v>
      </c>
      <c r="Q2991" s="4">
        <v>0</v>
      </c>
    </row>
    <row r="2992" spans="1:17" ht="30" x14ac:dyDescent="0.25">
      <c r="A2992" s="2" t="s">
        <v>150</v>
      </c>
      <c r="B2992" s="3" t="s">
        <v>5015</v>
      </c>
      <c r="C2992" s="3">
        <v>47</v>
      </c>
      <c r="D2992" s="46" t="str">
        <f>IF(Tabla1[[#This Row],[EDAD]]&lt;=35,"Adultos jóvenes 18 - 35 años",IF(C2992&gt;=36,"Adultos mayores 36 años en adelante"))</f>
        <v>Adultos mayores 36 años en adelante</v>
      </c>
      <c r="E2992" s="3" t="s">
        <v>5018</v>
      </c>
      <c r="F2992" s="3" t="s">
        <v>5029</v>
      </c>
      <c r="G2992" s="3" t="s">
        <v>5033</v>
      </c>
      <c r="H2992" s="3" t="s">
        <v>5173</v>
      </c>
      <c r="I2992" s="17">
        <v>45611</v>
      </c>
      <c r="J2992" s="18">
        <f>YEAR(Tabla1[[#This Row],[FECHA DE COMPRA]])</f>
        <v>2024</v>
      </c>
      <c r="K2992" s="19">
        <v>195.11</v>
      </c>
      <c r="L2992" s="20">
        <v>0.2</v>
      </c>
      <c r="M2992" s="19">
        <f>Tienda!$K1799-Tienda!$K1799*Tienda!$L1799</f>
        <v>113.428</v>
      </c>
      <c r="N2992" s="3" t="s">
        <v>10040</v>
      </c>
      <c r="O2992" s="3" t="s">
        <v>10041</v>
      </c>
      <c r="P2992" s="17">
        <v>45611</v>
      </c>
      <c r="Q2992" s="4">
        <v>0</v>
      </c>
    </row>
    <row r="2993" spans="1:17" ht="30" x14ac:dyDescent="0.25">
      <c r="A2993" s="2" t="s">
        <v>842</v>
      </c>
      <c r="B2993" s="3" t="s">
        <v>5015</v>
      </c>
      <c r="C2993" s="3">
        <v>40</v>
      </c>
      <c r="D2993" s="46" t="str">
        <f>IF(Tabla1[[#This Row],[EDAD]]&lt;=35,"Adultos jóvenes 18 - 35 años",IF(C2993&gt;=36,"Adultos mayores 36 años en adelante"))</f>
        <v>Adultos mayores 36 años en adelante</v>
      </c>
      <c r="E2993" s="3" t="s">
        <v>5021</v>
      </c>
      <c r="F2993" s="3" t="s">
        <v>5029</v>
      </c>
      <c r="G2993" s="3" t="s">
        <v>5032</v>
      </c>
      <c r="H2993" s="3" t="s">
        <v>5865</v>
      </c>
      <c r="I2993" s="17">
        <v>45630</v>
      </c>
      <c r="J2993" s="18">
        <f>YEAR(Tabla1[[#This Row],[FECHA DE COMPRA]])</f>
        <v>2024</v>
      </c>
      <c r="K2993" s="19">
        <v>173.67</v>
      </c>
      <c r="L2993" s="20">
        <v>0.1</v>
      </c>
      <c r="M2993" s="19">
        <f>Tienda!$K1800-Tienda!$K1800*Tienda!$L1800</f>
        <v>171.57</v>
      </c>
      <c r="N2993" s="3" t="s">
        <v>10040</v>
      </c>
      <c r="O2993" s="3" t="s">
        <v>10041</v>
      </c>
      <c r="P2993" s="17">
        <v>45630</v>
      </c>
      <c r="Q2993" s="4">
        <v>0</v>
      </c>
    </row>
    <row r="2994" spans="1:17" ht="30" x14ac:dyDescent="0.25">
      <c r="A2994" s="2" t="s">
        <v>2232</v>
      </c>
      <c r="B2994" s="3" t="s">
        <v>5015</v>
      </c>
      <c r="C2994" s="3">
        <v>60</v>
      </c>
      <c r="D2994" s="46" t="str">
        <f>IF(Tabla1[[#This Row],[EDAD]]&lt;=35,"Adultos jóvenes 18 - 35 años",IF(C2994&gt;=36,"Adultos mayores 36 años en adelante"))</f>
        <v>Adultos mayores 36 años en adelante</v>
      </c>
      <c r="E2994" s="3" t="s">
        <v>5020</v>
      </c>
      <c r="F2994" s="3" t="s">
        <v>5027</v>
      </c>
      <c r="G2994" s="3" t="s">
        <v>5033</v>
      </c>
      <c r="H2994" s="3" t="s">
        <v>7255</v>
      </c>
      <c r="I2994" s="17">
        <v>45381</v>
      </c>
      <c r="J2994" s="18">
        <f>YEAR(Tabla1[[#This Row],[FECHA DE COMPRA]])</f>
        <v>2024</v>
      </c>
      <c r="K2994" s="19">
        <v>195.58</v>
      </c>
      <c r="L2994" s="20">
        <v>0.2</v>
      </c>
      <c r="M2994" s="19">
        <f>Tienda!$K1801-Tienda!$K1801*Tienda!$L1801</f>
        <v>122.68199999999999</v>
      </c>
      <c r="N2994" s="3" t="s">
        <v>10040</v>
      </c>
      <c r="O2994" s="3" t="s">
        <v>10041</v>
      </c>
      <c r="P2994" s="17">
        <v>45381</v>
      </c>
      <c r="Q2994" s="4">
        <v>0</v>
      </c>
    </row>
    <row r="2995" spans="1:17" ht="30" x14ac:dyDescent="0.25">
      <c r="A2995" s="2" t="s">
        <v>733</v>
      </c>
      <c r="B2995" s="3" t="s">
        <v>5016</v>
      </c>
      <c r="C2995" s="3">
        <v>43</v>
      </c>
      <c r="D2995" s="46" t="str">
        <f>IF(Tabla1[[#This Row],[EDAD]]&lt;=35,"Adultos jóvenes 18 - 35 años",IF(C2995&gt;=36,"Adultos mayores 36 años en adelante"))</f>
        <v>Adultos mayores 36 años en adelante</v>
      </c>
      <c r="E2995" s="3" t="s">
        <v>5019</v>
      </c>
      <c r="F2995" s="3" t="s">
        <v>5027</v>
      </c>
      <c r="G2995" s="3" t="s">
        <v>5032</v>
      </c>
      <c r="H2995" s="3" t="s">
        <v>5756</v>
      </c>
      <c r="I2995" s="17">
        <v>45606</v>
      </c>
      <c r="J2995" s="18">
        <f>YEAR(Tabla1[[#This Row],[FECHA DE COMPRA]])</f>
        <v>2024</v>
      </c>
      <c r="K2995" s="19">
        <v>157.12</v>
      </c>
      <c r="L2995" s="20">
        <v>0</v>
      </c>
      <c r="M2995" s="19">
        <f>Tienda!$K1805-Tienda!$K1805*Tienda!$L1805</f>
        <v>52.533000000000001</v>
      </c>
      <c r="N2995" s="3" t="s">
        <v>10040</v>
      </c>
      <c r="O2995" s="3" t="s">
        <v>10041</v>
      </c>
      <c r="P2995" s="17">
        <v>45606</v>
      </c>
      <c r="Q2995" s="4">
        <v>0</v>
      </c>
    </row>
    <row r="2996" spans="1:17" ht="30" x14ac:dyDescent="0.25">
      <c r="A2996" s="2" t="s">
        <v>3258</v>
      </c>
      <c r="B2996" s="3" t="s">
        <v>5016</v>
      </c>
      <c r="C2996" s="3">
        <v>57</v>
      </c>
      <c r="D2996" s="46" t="str">
        <f>IF(Tabla1[[#This Row],[EDAD]]&lt;=35,"Adultos jóvenes 18 - 35 años",IF(C2996&gt;=36,"Adultos mayores 36 años en adelante"))</f>
        <v>Adultos mayores 36 años en adelante</v>
      </c>
      <c r="E2996" s="3" t="s">
        <v>5021</v>
      </c>
      <c r="F2996" s="3" t="s">
        <v>5029</v>
      </c>
      <c r="G2996" s="3" t="s">
        <v>5032</v>
      </c>
      <c r="H2996" s="3" t="s">
        <v>8281</v>
      </c>
      <c r="I2996" s="17">
        <v>45473</v>
      </c>
      <c r="J2996" s="18">
        <f>YEAR(Tabla1[[#This Row],[FECHA DE COMPRA]])</f>
        <v>2024</v>
      </c>
      <c r="K2996" s="19">
        <v>197.08</v>
      </c>
      <c r="L2996" s="20">
        <v>0.2</v>
      </c>
      <c r="M2996" s="19">
        <f>Tienda!$K1806-Tienda!$K1806*Tienda!$L1806</f>
        <v>49.28</v>
      </c>
      <c r="N2996" s="3" t="s">
        <v>10040</v>
      </c>
      <c r="O2996" s="3" t="s">
        <v>10041</v>
      </c>
      <c r="P2996" s="17">
        <v>45473</v>
      </c>
      <c r="Q2996" s="4">
        <v>0</v>
      </c>
    </row>
    <row r="2997" spans="1:17" ht="30" x14ac:dyDescent="0.25">
      <c r="A2997" s="2" t="s">
        <v>1505</v>
      </c>
      <c r="B2997" s="3" t="s">
        <v>5016</v>
      </c>
      <c r="C2997" s="3">
        <v>57</v>
      </c>
      <c r="D2997" s="46" t="str">
        <f>IF(Tabla1[[#This Row],[EDAD]]&lt;=35,"Adultos jóvenes 18 - 35 años",IF(C2997&gt;=36,"Adultos mayores 36 años en adelante"))</f>
        <v>Adultos mayores 36 años en adelante</v>
      </c>
      <c r="E2997" s="3" t="s">
        <v>5019</v>
      </c>
      <c r="F2997" s="3" t="s">
        <v>5027</v>
      </c>
      <c r="G2997" s="3" t="s">
        <v>5036</v>
      </c>
      <c r="H2997" s="3" t="s">
        <v>6528</v>
      </c>
      <c r="I2997" s="17">
        <v>45384</v>
      </c>
      <c r="J2997" s="18">
        <f>YEAR(Tabla1[[#This Row],[FECHA DE COMPRA]])</f>
        <v>2024</v>
      </c>
      <c r="K2997" s="19">
        <v>157.75</v>
      </c>
      <c r="L2997" s="20">
        <v>0</v>
      </c>
      <c r="M2997" s="19">
        <f>Tienda!$K1807-Tienda!$K1807*Tienda!$L1807</f>
        <v>50.546999999999997</v>
      </c>
      <c r="N2997" s="3" t="s">
        <v>10040</v>
      </c>
      <c r="O2997" s="3" t="s">
        <v>10041</v>
      </c>
      <c r="P2997" s="17">
        <v>45384</v>
      </c>
      <c r="Q2997" s="4">
        <v>0</v>
      </c>
    </row>
    <row r="2998" spans="1:17" ht="30" x14ac:dyDescent="0.25">
      <c r="A2998" s="2" t="s">
        <v>1137</v>
      </c>
      <c r="B2998" s="3" t="s">
        <v>5015</v>
      </c>
      <c r="C2998" s="3">
        <v>51</v>
      </c>
      <c r="D2998" s="46" t="str">
        <f>IF(Tabla1[[#This Row],[EDAD]]&lt;=35,"Adultos jóvenes 18 - 35 años",IF(C2998&gt;=36,"Adultos mayores 36 años en adelante"))</f>
        <v>Adultos mayores 36 años en adelante</v>
      </c>
      <c r="E2998" s="3" t="s">
        <v>5018</v>
      </c>
      <c r="F2998" s="3" t="s">
        <v>5028</v>
      </c>
      <c r="G2998" s="3" t="s">
        <v>5031</v>
      </c>
      <c r="H2998" s="3" t="s">
        <v>6160</v>
      </c>
      <c r="I2998" s="17">
        <v>45524</v>
      </c>
      <c r="J2998" s="18">
        <f>YEAR(Tabla1[[#This Row],[FECHA DE COMPRA]])</f>
        <v>2024</v>
      </c>
      <c r="K2998" s="19">
        <v>175.82</v>
      </c>
      <c r="L2998" s="20">
        <v>0.1</v>
      </c>
      <c r="M2998" s="19">
        <f>Tienda!$K1809-Tienda!$K1809*Tienda!$L1809</f>
        <v>119.871</v>
      </c>
      <c r="N2998" s="3" t="s">
        <v>10040</v>
      </c>
      <c r="O2998" s="3" t="s">
        <v>10041</v>
      </c>
      <c r="P2998" s="17">
        <v>45524</v>
      </c>
      <c r="Q2998" s="4">
        <v>0</v>
      </c>
    </row>
    <row r="2999" spans="1:17" ht="30" x14ac:dyDescent="0.25">
      <c r="A2999" s="2" t="s">
        <v>2368</v>
      </c>
      <c r="B2999" s="3" t="s">
        <v>5016</v>
      </c>
      <c r="C2999" s="3">
        <v>51</v>
      </c>
      <c r="D2999" s="46" t="str">
        <f>IF(Tabla1[[#This Row],[EDAD]]&lt;=35,"Adultos jóvenes 18 - 35 años",IF(C2999&gt;=36,"Adultos mayores 36 años en adelante"))</f>
        <v>Adultos mayores 36 años en adelante</v>
      </c>
      <c r="E2999" s="3" t="s">
        <v>5017</v>
      </c>
      <c r="F2999" s="3" t="s">
        <v>5027</v>
      </c>
      <c r="G2999" s="3" t="s">
        <v>5033</v>
      </c>
      <c r="H2999" s="3" t="s">
        <v>7391</v>
      </c>
      <c r="I2999" s="17">
        <v>45624</v>
      </c>
      <c r="J2999" s="18">
        <f>YEAR(Tabla1[[#This Row],[FECHA DE COMPRA]])</f>
        <v>2024</v>
      </c>
      <c r="K2999" s="19">
        <v>198.17</v>
      </c>
      <c r="L2999" s="20">
        <v>0.2</v>
      </c>
      <c r="M2999" s="19">
        <f>Tienda!$K1812-Tienda!$K1812*Tienda!$L1812</f>
        <v>171.98099999999999</v>
      </c>
      <c r="N2999" s="3" t="s">
        <v>10040</v>
      </c>
      <c r="O2999" s="3" t="s">
        <v>10041</v>
      </c>
      <c r="P2999" s="17">
        <v>45474</v>
      </c>
      <c r="Q2999" s="4">
        <v>0</v>
      </c>
    </row>
    <row r="3000" spans="1:17" ht="30" x14ac:dyDescent="0.25">
      <c r="A3000" s="2" t="s">
        <v>1984</v>
      </c>
      <c r="B3000" s="3" t="s">
        <v>5015</v>
      </c>
      <c r="C3000" s="3">
        <v>62</v>
      </c>
      <c r="D3000" s="46" t="str">
        <f>IF(Tabla1[[#This Row],[EDAD]]&lt;=35,"Adultos jóvenes 18 - 35 años",IF(C3000&gt;=36,"Adultos mayores 36 años en adelante"))</f>
        <v>Adultos mayores 36 años en adelante</v>
      </c>
      <c r="E3000" s="3" t="s">
        <v>5020</v>
      </c>
      <c r="F3000" s="3" t="s">
        <v>5025</v>
      </c>
      <c r="G3000" s="3" t="s">
        <v>5031</v>
      </c>
      <c r="H3000" s="3" t="s">
        <v>7007</v>
      </c>
      <c r="I3000" s="17">
        <v>45606</v>
      </c>
      <c r="J3000" s="18">
        <f>YEAR(Tabla1[[#This Row],[FECHA DE COMPRA]])</f>
        <v>2024</v>
      </c>
      <c r="K3000" s="19">
        <v>199.57</v>
      </c>
      <c r="L3000" s="20">
        <v>0.2</v>
      </c>
      <c r="M3000" s="19">
        <f>Tienda!$K1815-Tienda!$K1815*Tienda!$L1815</f>
        <v>22.2</v>
      </c>
      <c r="N3000" s="3" t="s">
        <v>10040</v>
      </c>
      <c r="O3000" s="3" t="s">
        <v>10041</v>
      </c>
      <c r="P3000" s="17">
        <v>45606</v>
      </c>
      <c r="Q3000" s="4">
        <v>0</v>
      </c>
    </row>
    <row r="3001" spans="1:17" ht="30" x14ac:dyDescent="0.25">
      <c r="A3001" s="2" t="s">
        <v>311</v>
      </c>
      <c r="B3001" s="3" t="s">
        <v>5016</v>
      </c>
      <c r="C3001" s="3">
        <v>60</v>
      </c>
      <c r="D3001" s="46" t="str">
        <f>IF(Tabla1[[#This Row],[EDAD]]&lt;=35,"Adultos jóvenes 18 - 35 años",IF(C3001&gt;=36,"Adultos mayores 36 años en adelante"))</f>
        <v>Adultos mayores 36 años en adelante</v>
      </c>
      <c r="E3001" s="3" t="s">
        <v>5023</v>
      </c>
      <c r="F3001" s="3" t="s">
        <v>5026</v>
      </c>
      <c r="G3001" s="3" t="s">
        <v>5033</v>
      </c>
      <c r="H3001" s="3" t="s">
        <v>5334</v>
      </c>
      <c r="I3001" s="17">
        <v>45564</v>
      </c>
      <c r="J3001" s="18">
        <f>YEAR(Tabla1[[#This Row],[FECHA DE COMPRA]])</f>
        <v>2024</v>
      </c>
      <c r="K3001" s="19">
        <v>177.87</v>
      </c>
      <c r="L3001" s="20">
        <v>0.1</v>
      </c>
      <c r="M3001" s="19">
        <f>Tienda!$K1817-Tienda!$K1817*Tienda!$L1817</f>
        <v>22.904</v>
      </c>
      <c r="N3001" s="3" t="s">
        <v>10040</v>
      </c>
      <c r="O3001" s="3" t="s">
        <v>10041</v>
      </c>
      <c r="P3001" s="17">
        <v>45564</v>
      </c>
      <c r="Q3001" s="4">
        <v>0</v>
      </c>
    </row>
    <row r="3002" spans="1:17" ht="30" x14ac:dyDescent="0.25">
      <c r="A3002" s="2" t="s">
        <v>5000</v>
      </c>
      <c r="B3002" s="3" t="s">
        <v>5015</v>
      </c>
      <c r="C3002" s="3">
        <v>46</v>
      </c>
      <c r="D3002" s="46" t="str">
        <f>IF(Tabla1[[#This Row],[EDAD]]&lt;=35,"Adultos jóvenes 18 - 35 años",IF(C3002&gt;=36,"Adultos mayores 36 años en adelante"))</f>
        <v>Adultos mayores 36 años en adelante</v>
      </c>
      <c r="E3002" s="3" t="s">
        <v>5018</v>
      </c>
      <c r="F3002" s="3" t="s">
        <v>5026</v>
      </c>
      <c r="G3002" s="3" t="s">
        <v>5036</v>
      </c>
      <c r="H3002" s="3" t="s">
        <v>10023</v>
      </c>
      <c r="I3002" s="17">
        <v>45418</v>
      </c>
      <c r="J3002" s="18">
        <f>YEAR(Tabla1[[#This Row],[FECHA DE COMPRA]])</f>
        <v>2024</v>
      </c>
      <c r="K3002" s="19">
        <v>181.3</v>
      </c>
      <c r="L3002" s="20">
        <v>0.1</v>
      </c>
      <c r="M3002" s="19">
        <f>Tienda!$K1823-Tienda!$K1823*Tienda!$L1823</f>
        <v>95.550000000000011</v>
      </c>
      <c r="N3002" s="3" t="s">
        <v>10040</v>
      </c>
      <c r="O3002" s="3" t="s">
        <v>10041</v>
      </c>
      <c r="P3002" s="17">
        <v>45418</v>
      </c>
      <c r="Q3002" s="4">
        <v>0</v>
      </c>
    </row>
    <row r="3003" spans="1:17" ht="30" x14ac:dyDescent="0.25">
      <c r="A3003" s="2" t="s">
        <v>350</v>
      </c>
      <c r="B3003" s="3" t="s">
        <v>5016</v>
      </c>
      <c r="C3003" s="3">
        <v>63</v>
      </c>
      <c r="D3003" s="46" t="str">
        <f>IF(Tabla1[[#This Row],[EDAD]]&lt;=35,"Adultos jóvenes 18 - 35 años",IF(C3003&gt;=36,"Adultos mayores 36 años en adelante"))</f>
        <v>Adultos mayores 36 años en adelante</v>
      </c>
      <c r="E3003" s="3" t="s">
        <v>5021</v>
      </c>
      <c r="F3003" s="3" t="s">
        <v>5028</v>
      </c>
      <c r="G3003" s="3" t="s">
        <v>5036</v>
      </c>
      <c r="H3003" s="3" t="s">
        <v>5373</v>
      </c>
      <c r="I3003" s="17">
        <v>45379</v>
      </c>
      <c r="J3003" s="18">
        <f>YEAR(Tabla1[[#This Row],[FECHA DE COMPRA]])</f>
        <v>2024</v>
      </c>
      <c r="K3003" s="19">
        <v>165.04</v>
      </c>
      <c r="L3003" s="20">
        <v>0</v>
      </c>
      <c r="M3003" s="19">
        <f>Tienda!$K1825-Tienda!$K1825*Tienda!$L1825</f>
        <v>158.553</v>
      </c>
      <c r="N3003" s="3" t="s">
        <v>10040</v>
      </c>
      <c r="O3003" s="3" t="s">
        <v>10041</v>
      </c>
      <c r="P3003" s="17">
        <v>45379</v>
      </c>
      <c r="Q3003" s="4">
        <v>0</v>
      </c>
    </row>
    <row r="3004" spans="1:17" ht="30" x14ac:dyDescent="0.25">
      <c r="A3004" s="2" t="s">
        <v>608</v>
      </c>
      <c r="B3004" s="3" t="s">
        <v>5015</v>
      </c>
      <c r="C3004" s="3">
        <v>60</v>
      </c>
      <c r="D3004" s="46" t="str">
        <f>IF(Tabla1[[#This Row],[EDAD]]&lt;=35,"Adultos jóvenes 18 - 35 años",IF(C3004&gt;=36,"Adultos mayores 36 años en adelante"))</f>
        <v>Adultos mayores 36 años en adelante</v>
      </c>
      <c r="E3004" s="3" t="s">
        <v>5023</v>
      </c>
      <c r="F3004" s="3" t="s">
        <v>5030</v>
      </c>
      <c r="G3004" s="3" t="s">
        <v>5037</v>
      </c>
      <c r="H3004" s="3" t="s">
        <v>5631</v>
      </c>
      <c r="I3004" s="17">
        <v>45343</v>
      </c>
      <c r="J3004" s="18">
        <f>YEAR(Tabla1[[#This Row],[FECHA DE COMPRA]])</f>
        <v>2024</v>
      </c>
      <c r="K3004" s="19">
        <v>165.79</v>
      </c>
      <c r="L3004" s="20">
        <v>0</v>
      </c>
      <c r="M3004" s="19">
        <f>Tienda!$K1827-Tienda!$K1827*Tienda!$L1827</f>
        <v>180.77</v>
      </c>
      <c r="N3004" s="3" t="s">
        <v>10040</v>
      </c>
      <c r="O3004" s="3" t="s">
        <v>10041</v>
      </c>
      <c r="P3004" s="17">
        <v>45343</v>
      </c>
      <c r="Q3004" s="4">
        <v>0</v>
      </c>
    </row>
    <row r="3005" spans="1:17" ht="30" x14ac:dyDescent="0.25">
      <c r="A3005" s="2" t="s">
        <v>2029</v>
      </c>
      <c r="B3005" s="3" t="s">
        <v>5015</v>
      </c>
      <c r="C3005" s="3">
        <v>37</v>
      </c>
      <c r="D3005" s="46" t="str">
        <f>IF(Tabla1[[#This Row],[EDAD]]&lt;=35,"Adultos jóvenes 18 - 35 años",IF(C3005&gt;=36,"Adultos mayores 36 años en adelante"))</f>
        <v>Adultos mayores 36 años en adelante</v>
      </c>
      <c r="E3005" s="3" t="s">
        <v>5019</v>
      </c>
      <c r="F3005" s="3" t="s">
        <v>5025</v>
      </c>
      <c r="G3005" s="3" t="s">
        <v>5033</v>
      </c>
      <c r="H3005" s="3" t="s">
        <v>7052</v>
      </c>
      <c r="I3005" s="17">
        <v>45310</v>
      </c>
      <c r="J3005" s="18">
        <f>YEAR(Tabla1[[#This Row],[FECHA DE COMPRA]])</f>
        <v>2024</v>
      </c>
      <c r="K3005" s="19">
        <v>166.66</v>
      </c>
      <c r="L3005" s="20">
        <v>0</v>
      </c>
      <c r="M3005" s="19">
        <f>Tienda!$K1829-Tienda!$K1829*Tienda!$L1829</f>
        <v>23.058</v>
      </c>
      <c r="N3005" s="3" t="s">
        <v>10040</v>
      </c>
      <c r="O3005" s="3" t="s">
        <v>10041</v>
      </c>
      <c r="P3005" s="17">
        <v>45310</v>
      </c>
      <c r="Q3005" s="4">
        <v>0</v>
      </c>
    </row>
    <row r="3006" spans="1:17" ht="30" x14ac:dyDescent="0.25">
      <c r="A3006" s="2" t="s">
        <v>489</v>
      </c>
      <c r="B3006" s="3" t="s">
        <v>5015</v>
      </c>
      <c r="C3006" s="3">
        <v>54</v>
      </c>
      <c r="D3006" s="46" t="str">
        <f>IF(Tabla1[[#This Row],[EDAD]]&lt;=35,"Adultos jóvenes 18 - 35 años",IF(C3006&gt;=36,"Adultos mayores 36 años en adelante"))</f>
        <v>Adultos mayores 36 años en adelante</v>
      </c>
      <c r="E3006" s="3" t="s">
        <v>5018</v>
      </c>
      <c r="F3006" s="3" t="s">
        <v>5024</v>
      </c>
      <c r="G3006" s="3" t="s">
        <v>5037</v>
      </c>
      <c r="H3006" s="3" t="s">
        <v>5512</v>
      </c>
      <c r="I3006" s="17">
        <v>45505</v>
      </c>
      <c r="J3006" s="18">
        <f>YEAR(Tabla1[[#This Row],[FECHA DE COMPRA]])</f>
        <v>2024</v>
      </c>
      <c r="K3006" s="19">
        <v>166.66</v>
      </c>
      <c r="L3006" s="20">
        <v>0</v>
      </c>
      <c r="M3006" s="19">
        <f>Tienda!$K1830-Tienda!$K1830*Tienda!$L1830</f>
        <v>41.17</v>
      </c>
      <c r="N3006" s="3" t="s">
        <v>10040</v>
      </c>
      <c r="O3006" s="3" t="s">
        <v>10041</v>
      </c>
      <c r="P3006" s="17">
        <v>45505</v>
      </c>
      <c r="Q3006" s="4">
        <v>0</v>
      </c>
    </row>
    <row r="3007" spans="1:17" ht="30" x14ac:dyDescent="0.25">
      <c r="A3007" s="2" t="s">
        <v>3725</v>
      </c>
      <c r="B3007" s="3" t="s">
        <v>5015</v>
      </c>
      <c r="C3007" s="3">
        <v>44</v>
      </c>
      <c r="D3007" s="46" t="str">
        <f>IF(Tabla1[[#This Row],[EDAD]]&lt;=35,"Adultos jóvenes 18 - 35 años",IF(C3007&gt;=36,"Adultos mayores 36 años en adelante"))</f>
        <v>Adultos mayores 36 años en adelante</v>
      </c>
      <c r="E3007" s="3" t="s">
        <v>5018</v>
      </c>
      <c r="F3007" s="3" t="s">
        <v>5028</v>
      </c>
      <c r="G3007" s="3" t="s">
        <v>5031</v>
      </c>
      <c r="H3007" s="3" t="s">
        <v>8748</v>
      </c>
      <c r="I3007" s="17">
        <v>45308</v>
      </c>
      <c r="J3007" s="18">
        <f>YEAR(Tabla1[[#This Row],[FECHA DE COMPRA]])</f>
        <v>2024</v>
      </c>
      <c r="K3007" s="19">
        <v>186.14</v>
      </c>
      <c r="L3007" s="20">
        <v>0.1</v>
      </c>
      <c r="M3007" s="19">
        <f>Tienda!$K1834-Tienda!$K1834*Tienda!$L1834</f>
        <v>66.038000000000011</v>
      </c>
      <c r="N3007" s="3" t="s">
        <v>10040</v>
      </c>
      <c r="O3007" s="3" t="s">
        <v>10041</v>
      </c>
      <c r="P3007" s="17">
        <v>45308</v>
      </c>
      <c r="Q3007" s="4">
        <v>0</v>
      </c>
    </row>
    <row r="3008" spans="1:17" ht="30" x14ac:dyDescent="0.25">
      <c r="A3008" s="2" t="s">
        <v>4921</v>
      </c>
      <c r="B3008" s="3" t="s">
        <v>5015</v>
      </c>
      <c r="C3008" s="3">
        <v>41</v>
      </c>
      <c r="D3008" s="46" t="str">
        <f>IF(Tabla1[[#This Row],[EDAD]]&lt;=35,"Adultos jóvenes 18 - 35 años",IF(C3008&gt;=36,"Adultos mayores 36 años en adelante"))</f>
        <v>Adultos mayores 36 años en adelante</v>
      </c>
      <c r="E3008" s="3" t="s">
        <v>5017</v>
      </c>
      <c r="F3008" s="3" t="s">
        <v>5025</v>
      </c>
      <c r="G3008" s="3" t="s">
        <v>5032</v>
      </c>
      <c r="H3008" s="3" t="s">
        <v>9944</v>
      </c>
      <c r="I3008" s="17">
        <v>45326</v>
      </c>
      <c r="J3008" s="18">
        <f>YEAR(Tabla1[[#This Row],[FECHA DE COMPRA]])</f>
        <v>2024</v>
      </c>
      <c r="K3008" s="19">
        <v>188.15</v>
      </c>
      <c r="L3008" s="20">
        <v>0.1</v>
      </c>
      <c r="M3008" s="19">
        <f>Tienda!$K1838-Tienda!$K1838*Tienda!$L1838</f>
        <v>117.26400000000001</v>
      </c>
      <c r="N3008" s="3" t="s">
        <v>10040</v>
      </c>
      <c r="O3008" s="3" t="s">
        <v>10041</v>
      </c>
      <c r="P3008" s="17">
        <v>45326</v>
      </c>
      <c r="Q3008" s="4">
        <v>0</v>
      </c>
    </row>
    <row r="3009" spans="1:17" ht="30" x14ac:dyDescent="0.25">
      <c r="A3009" s="2" t="s">
        <v>2839</v>
      </c>
      <c r="B3009" s="3" t="s">
        <v>5015</v>
      </c>
      <c r="C3009" s="3">
        <v>53</v>
      </c>
      <c r="D3009" s="46" t="str">
        <f>IF(Tabla1[[#This Row],[EDAD]]&lt;=35,"Adultos jóvenes 18 - 35 años",IF(C3009&gt;=36,"Adultos mayores 36 años en adelante"))</f>
        <v>Adultos mayores 36 años en adelante</v>
      </c>
      <c r="E3009" s="3" t="s">
        <v>5018</v>
      </c>
      <c r="F3009" s="3" t="s">
        <v>5029</v>
      </c>
      <c r="G3009" s="3" t="s">
        <v>5037</v>
      </c>
      <c r="H3009" s="3" t="s">
        <v>7862</v>
      </c>
      <c r="I3009" s="17">
        <v>45427</v>
      </c>
      <c r="J3009" s="18">
        <f>YEAR(Tabla1[[#This Row],[FECHA DE COMPRA]])</f>
        <v>2024</v>
      </c>
      <c r="K3009" s="19">
        <v>169.64</v>
      </c>
      <c r="L3009" s="20">
        <v>0</v>
      </c>
      <c r="M3009" s="19">
        <f>Tienda!$K1840-Tienda!$K1840*Tienda!$L1840</f>
        <v>183.52</v>
      </c>
      <c r="N3009" s="3" t="s">
        <v>10040</v>
      </c>
      <c r="O3009" s="3" t="s">
        <v>10041</v>
      </c>
      <c r="P3009" s="17">
        <v>45427</v>
      </c>
      <c r="Q3009" s="4">
        <v>0</v>
      </c>
    </row>
    <row r="3010" spans="1:17" ht="30" x14ac:dyDescent="0.25">
      <c r="A3010" s="2" t="s">
        <v>556</v>
      </c>
      <c r="B3010" s="3" t="s">
        <v>5015</v>
      </c>
      <c r="C3010" s="3">
        <v>59</v>
      </c>
      <c r="D3010" s="46" t="str">
        <f>IF(Tabla1[[#This Row],[EDAD]]&lt;=35,"Adultos jóvenes 18 - 35 años",IF(C3010&gt;=36,"Adultos mayores 36 años en adelante"))</f>
        <v>Adultos mayores 36 años en adelante</v>
      </c>
      <c r="E3010" s="3" t="s">
        <v>5019</v>
      </c>
      <c r="F3010" s="3" t="s">
        <v>5027</v>
      </c>
      <c r="G3010" s="3" t="s">
        <v>5031</v>
      </c>
      <c r="H3010" s="3" t="s">
        <v>5579</v>
      </c>
      <c r="I3010" s="17">
        <v>45624</v>
      </c>
      <c r="J3010" s="18">
        <f>YEAR(Tabla1[[#This Row],[FECHA DE COMPRA]])</f>
        <v>2024</v>
      </c>
      <c r="K3010" s="19">
        <v>189.45</v>
      </c>
      <c r="L3010" s="20">
        <v>0.1</v>
      </c>
      <c r="M3010" s="19">
        <f>Tienda!$K1845-Tienda!$K1845*Tienda!$L1845</f>
        <v>86.09</v>
      </c>
      <c r="N3010" s="3" t="s">
        <v>10040</v>
      </c>
      <c r="O3010" s="3" t="s">
        <v>10041</v>
      </c>
      <c r="P3010" s="17">
        <v>45497</v>
      </c>
      <c r="Q3010" s="4">
        <v>0</v>
      </c>
    </row>
    <row r="3011" spans="1:17" ht="30" x14ac:dyDescent="0.25">
      <c r="A3011" s="2" t="s">
        <v>3037</v>
      </c>
      <c r="B3011" s="3" t="s">
        <v>5015</v>
      </c>
      <c r="C3011" s="3">
        <v>61</v>
      </c>
      <c r="D3011" s="46" t="str">
        <f>IF(Tabla1[[#This Row],[EDAD]]&lt;=35,"Adultos jóvenes 18 - 35 años",IF(C3011&gt;=36,"Adultos mayores 36 años en adelante"))</f>
        <v>Adultos mayores 36 años en adelante</v>
      </c>
      <c r="E3011" s="3" t="s">
        <v>5019</v>
      </c>
      <c r="F3011" s="3" t="s">
        <v>5024</v>
      </c>
      <c r="G3011" s="3" t="s">
        <v>5036</v>
      </c>
      <c r="H3011" s="3" t="s">
        <v>8060</v>
      </c>
      <c r="I3011" s="17">
        <v>45565</v>
      </c>
      <c r="J3011" s="18">
        <f>YEAR(Tabla1[[#This Row],[FECHA DE COMPRA]])</f>
        <v>2024</v>
      </c>
      <c r="K3011" s="19">
        <v>189.73</v>
      </c>
      <c r="L3011" s="20">
        <v>0.1</v>
      </c>
      <c r="M3011" s="19">
        <f>Tienda!$K1846-Tienda!$K1846*Tienda!$L1846</f>
        <v>76.311999999999998</v>
      </c>
      <c r="N3011" s="3" t="s">
        <v>10040</v>
      </c>
      <c r="O3011" s="3" t="s">
        <v>10041</v>
      </c>
      <c r="P3011" s="17">
        <v>45565</v>
      </c>
      <c r="Q3011" s="4">
        <v>0</v>
      </c>
    </row>
    <row r="3012" spans="1:17" ht="30" x14ac:dyDescent="0.25">
      <c r="A3012" s="2" t="s">
        <v>4787</v>
      </c>
      <c r="B3012" s="3" t="s">
        <v>5015</v>
      </c>
      <c r="C3012" s="3">
        <v>63</v>
      </c>
      <c r="D3012" s="46" t="str">
        <f>IF(Tabla1[[#This Row],[EDAD]]&lt;=35,"Adultos jóvenes 18 - 35 años",IF(C3012&gt;=36,"Adultos mayores 36 años en adelante"))</f>
        <v>Adultos mayores 36 años en adelante</v>
      </c>
      <c r="E3012" s="3" t="s">
        <v>5020</v>
      </c>
      <c r="F3012" s="3" t="s">
        <v>5029</v>
      </c>
      <c r="G3012" s="3" t="s">
        <v>5036</v>
      </c>
      <c r="H3012" s="3" t="s">
        <v>9810</v>
      </c>
      <c r="I3012" s="17">
        <v>45478</v>
      </c>
      <c r="J3012" s="18">
        <f>YEAR(Tabla1[[#This Row],[FECHA DE COMPRA]])</f>
        <v>2024</v>
      </c>
      <c r="K3012" s="19">
        <v>194.43</v>
      </c>
      <c r="L3012" s="20">
        <v>0.1</v>
      </c>
      <c r="M3012" s="19">
        <f>Tienda!$K1850-Tienda!$K1850*Tienda!$L1850</f>
        <v>124.542</v>
      </c>
      <c r="N3012" s="3" t="s">
        <v>10040</v>
      </c>
      <c r="O3012" s="3" t="s">
        <v>10041</v>
      </c>
      <c r="P3012" s="17">
        <v>45478</v>
      </c>
      <c r="Q3012" s="4">
        <v>0</v>
      </c>
    </row>
    <row r="3013" spans="1:17" ht="30" x14ac:dyDescent="0.25">
      <c r="A3013" s="2" t="s">
        <v>2939</v>
      </c>
      <c r="B3013" s="3" t="s">
        <v>5015</v>
      </c>
      <c r="C3013" s="3">
        <v>62</v>
      </c>
      <c r="D3013" s="46" t="str">
        <f>IF(Tabla1[[#This Row],[EDAD]]&lt;=35,"Adultos jóvenes 18 - 35 años",IF(C3013&gt;=36,"Adultos mayores 36 años en adelante"))</f>
        <v>Adultos mayores 36 años en adelante</v>
      </c>
      <c r="E3013" s="3" t="s">
        <v>5020</v>
      </c>
      <c r="F3013" s="3" t="s">
        <v>5024</v>
      </c>
      <c r="G3013" s="3" t="s">
        <v>5036</v>
      </c>
      <c r="H3013" s="3" t="s">
        <v>7962</v>
      </c>
      <c r="I3013" s="17">
        <v>45442</v>
      </c>
      <c r="J3013" s="18">
        <f>YEAR(Tabla1[[#This Row],[FECHA DE COMPRA]])</f>
        <v>2024</v>
      </c>
      <c r="K3013" s="19">
        <v>197.52</v>
      </c>
      <c r="L3013" s="20">
        <v>0.1</v>
      </c>
      <c r="M3013" s="19">
        <f>Tienda!$K1856-Tienda!$K1856*Tienda!$L1856</f>
        <v>99.089999999999989</v>
      </c>
      <c r="N3013" s="3" t="s">
        <v>10040</v>
      </c>
      <c r="O3013" s="3" t="s">
        <v>10041</v>
      </c>
      <c r="P3013" s="17">
        <v>45442</v>
      </c>
      <c r="Q3013" s="4">
        <v>0</v>
      </c>
    </row>
    <row r="3014" spans="1:17" ht="30" x14ac:dyDescent="0.25">
      <c r="A3014" s="2" t="s">
        <v>4630</v>
      </c>
      <c r="B3014" s="3" t="s">
        <v>5015</v>
      </c>
      <c r="C3014" s="3">
        <v>53</v>
      </c>
      <c r="D3014" s="46" t="str">
        <f>IF(Tabla1[[#This Row],[EDAD]]&lt;=35,"Adultos jóvenes 18 - 35 años",IF(C3014&gt;=36,"Adultos mayores 36 años en adelante"))</f>
        <v>Adultos mayores 36 años en adelante</v>
      </c>
      <c r="E3014" s="3" t="s">
        <v>5022</v>
      </c>
      <c r="F3014" s="3" t="s">
        <v>5029</v>
      </c>
      <c r="G3014" s="3" t="s">
        <v>5035</v>
      </c>
      <c r="H3014" s="3" t="s">
        <v>9653</v>
      </c>
      <c r="I3014" s="17">
        <v>45555</v>
      </c>
      <c r="J3014" s="18">
        <f>YEAR(Tabla1[[#This Row],[FECHA DE COMPRA]])</f>
        <v>2024</v>
      </c>
      <c r="K3014" s="19">
        <v>178.02</v>
      </c>
      <c r="L3014" s="20">
        <v>0</v>
      </c>
      <c r="M3014" s="19">
        <f>Tienda!$K1857-Tienda!$K1857*Tienda!$L1857</f>
        <v>146.47999999999999</v>
      </c>
      <c r="N3014" s="3" t="s">
        <v>10040</v>
      </c>
      <c r="O3014" s="3" t="s">
        <v>10041</v>
      </c>
      <c r="P3014" s="17">
        <v>45555</v>
      </c>
      <c r="Q3014" s="4">
        <v>0</v>
      </c>
    </row>
    <row r="3015" spans="1:17" ht="30" x14ac:dyDescent="0.25">
      <c r="A3015" s="2" t="s">
        <v>3125</v>
      </c>
      <c r="B3015" s="3" t="s">
        <v>5015</v>
      </c>
      <c r="C3015" s="3">
        <v>49</v>
      </c>
      <c r="D3015" s="46" t="str">
        <f>IF(Tabla1[[#This Row],[EDAD]]&lt;=35,"Adultos jóvenes 18 - 35 años",IF(C3015&gt;=36,"Adultos mayores 36 años en adelante"))</f>
        <v>Adultos mayores 36 años en adelante</v>
      </c>
      <c r="E3015" s="3" t="s">
        <v>5020</v>
      </c>
      <c r="F3015" s="3" t="s">
        <v>5028</v>
      </c>
      <c r="G3015" s="3" t="s">
        <v>5034</v>
      </c>
      <c r="H3015" s="3" t="s">
        <v>8148</v>
      </c>
      <c r="I3015" s="17">
        <v>45489</v>
      </c>
      <c r="J3015" s="18">
        <f>YEAR(Tabla1[[#This Row],[FECHA DE COMPRA]])</f>
        <v>2024</v>
      </c>
      <c r="K3015" s="19">
        <v>178.06</v>
      </c>
      <c r="L3015" s="20">
        <v>0</v>
      </c>
      <c r="M3015" s="19">
        <f>Tienda!$K1858-Tienda!$K1858*Tienda!$L1858</f>
        <v>133.57400000000001</v>
      </c>
      <c r="N3015" s="3" t="s">
        <v>10040</v>
      </c>
      <c r="O3015" s="3" t="s">
        <v>10041</v>
      </c>
      <c r="P3015" s="17">
        <v>45489</v>
      </c>
      <c r="Q3015" s="4">
        <v>0</v>
      </c>
    </row>
    <row r="3016" spans="1:17" ht="30" x14ac:dyDescent="0.25">
      <c r="A3016" s="2" t="s">
        <v>3719</v>
      </c>
      <c r="B3016" s="3" t="s">
        <v>5016</v>
      </c>
      <c r="C3016" s="3">
        <v>61</v>
      </c>
      <c r="D3016" s="46" t="str">
        <f>IF(Tabla1[[#This Row],[EDAD]]&lt;=35,"Adultos jóvenes 18 - 35 años",IF(C3016&gt;=36,"Adultos mayores 36 años en adelante"))</f>
        <v>Adultos mayores 36 años en adelante</v>
      </c>
      <c r="E3016" s="3" t="s">
        <v>5019</v>
      </c>
      <c r="F3016" s="3" t="s">
        <v>5026</v>
      </c>
      <c r="G3016" s="3" t="s">
        <v>5034</v>
      </c>
      <c r="H3016" s="3" t="s">
        <v>8742</v>
      </c>
      <c r="I3016" s="17">
        <v>45649</v>
      </c>
      <c r="J3016" s="18">
        <f>YEAR(Tabla1[[#This Row],[FECHA DE COMPRA]])</f>
        <v>2024</v>
      </c>
      <c r="K3016" s="19">
        <v>178.45</v>
      </c>
      <c r="L3016" s="20">
        <v>0</v>
      </c>
      <c r="M3016" s="19">
        <f>Tienda!$K1860-Tienda!$K1860*Tienda!$L1860</f>
        <v>89.94</v>
      </c>
      <c r="N3016" s="3" t="s">
        <v>10040</v>
      </c>
      <c r="O3016" s="3" t="s">
        <v>10041</v>
      </c>
      <c r="P3016" s="17">
        <v>45649</v>
      </c>
      <c r="Q3016" s="4">
        <v>0</v>
      </c>
    </row>
    <row r="3017" spans="1:17" ht="30" x14ac:dyDescent="0.25">
      <c r="A3017" s="2" t="s">
        <v>1820</v>
      </c>
      <c r="B3017" s="3" t="s">
        <v>5015</v>
      </c>
      <c r="C3017" s="3">
        <v>51</v>
      </c>
      <c r="D3017" s="46" t="str">
        <f>IF(Tabla1[[#This Row],[EDAD]]&lt;=35,"Adultos jóvenes 18 - 35 años",IF(C3017&gt;=36,"Adultos mayores 36 años en adelante"))</f>
        <v>Adultos mayores 36 años en adelante</v>
      </c>
      <c r="E3017" s="3" t="s">
        <v>5020</v>
      </c>
      <c r="F3017" s="3" t="s">
        <v>5027</v>
      </c>
      <c r="G3017" s="3" t="s">
        <v>5037</v>
      </c>
      <c r="H3017" s="3" t="s">
        <v>6843</v>
      </c>
      <c r="I3017" s="17">
        <v>45374</v>
      </c>
      <c r="J3017" s="18">
        <f>YEAR(Tabla1[[#This Row],[FECHA DE COMPRA]])</f>
        <v>2024</v>
      </c>
      <c r="K3017" s="19">
        <v>179.44</v>
      </c>
      <c r="L3017" s="20">
        <v>0</v>
      </c>
      <c r="M3017" s="19">
        <f>Tienda!$K1861-Tienda!$K1861*Tienda!$L1861</f>
        <v>125.739</v>
      </c>
      <c r="N3017" s="3" t="s">
        <v>10040</v>
      </c>
      <c r="O3017" s="3" t="s">
        <v>10041</v>
      </c>
      <c r="P3017" s="17">
        <v>45374</v>
      </c>
      <c r="Q3017" s="4">
        <v>0</v>
      </c>
    </row>
    <row r="3018" spans="1:17" ht="30" x14ac:dyDescent="0.25">
      <c r="A3018" s="2" t="s">
        <v>3229</v>
      </c>
      <c r="B3018" s="3" t="s">
        <v>5016</v>
      </c>
      <c r="C3018" s="3">
        <v>64</v>
      </c>
      <c r="D3018" s="46" t="str">
        <f>IF(Tabla1[[#This Row],[EDAD]]&lt;=35,"Adultos jóvenes 18 - 35 años",IF(C3018&gt;=36,"Adultos mayores 36 años en adelante"))</f>
        <v>Adultos mayores 36 años en adelante</v>
      </c>
      <c r="E3018" s="3" t="s">
        <v>5017</v>
      </c>
      <c r="F3018" s="3" t="s">
        <v>5028</v>
      </c>
      <c r="G3018" s="3" t="s">
        <v>5033</v>
      </c>
      <c r="H3018" s="3" t="s">
        <v>8252</v>
      </c>
      <c r="I3018" s="17">
        <v>45339</v>
      </c>
      <c r="J3018" s="18">
        <f>YEAR(Tabla1[[#This Row],[FECHA DE COMPRA]])</f>
        <v>2024</v>
      </c>
      <c r="K3018" s="19">
        <v>199.43</v>
      </c>
      <c r="L3018" s="20">
        <v>0.1</v>
      </c>
      <c r="M3018" s="19">
        <f>Tienda!$K1862-Tienda!$K1862*Tienda!$L1862</f>
        <v>124.39700000000001</v>
      </c>
      <c r="N3018" s="3" t="s">
        <v>10040</v>
      </c>
      <c r="O3018" s="3" t="s">
        <v>10041</v>
      </c>
      <c r="P3018" s="17">
        <v>45339</v>
      </c>
      <c r="Q3018" s="4">
        <v>0</v>
      </c>
    </row>
    <row r="3019" spans="1:17" ht="30" x14ac:dyDescent="0.25">
      <c r="A3019" s="2" t="s">
        <v>4763</v>
      </c>
      <c r="B3019" s="3" t="s">
        <v>5015</v>
      </c>
      <c r="C3019" s="3">
        <v>36</v>
      </c>
      <c r="D3019" s="46" t="str">
        <f>IF(Tabla1[[#This Row],[EDAD]]&lt;=35,"Adultos jóvenes 18 - 35 años",IF(C3019&gt;=36,"Adultos mayores 36 años en adelante"))</f>
        <v>Adultos mayores 36 años en adelante</v>
      </c>
      <c r="E3019" s="3" t="s">
        <v>5022</v>
      </c>
      <c r="F3019" s="3" t="s">
        <v>5027</v>
      </c>
      <c r="G3019" s="3" t="s">
        <v>5033</v>
      </c>
      <c r="H3019" s="3" t="s">
        <v>9786</v>
      </c>
      <c r="I3019" s="17">
        <v>45573</v>
      </c>
      <c r="J3019" s="18">
        <f>YEAR(Tabla1[[#This Row],[FECHA DE COMPRA]])</f>
        <v>2024</v>
      </c>
      <c r="K3019" s="19">
        <v>180.41</v>
      </c>
      <c r="L3019" s="20">
        <v>0</v>
      </c>
      <c r="M3019" s="19">
        <f>Tienda!$K1864-Tienda!$K1864*Tienda!$L1864</f>
        <v>77.784000000000006</v>
      </c>
      <c r="N3019" s="3" t="s">
        <v>10040</v>
      </c>
      <c r="O3019" s="3" t="s">
        <v>10041</v>
      </c>
      <c r="P3019" s="17">
        <v>45573</v>
      </c>
      <c r="Q3019" s="4">
        <v>0</v>
      </c>
    </row>
    <row r="3020" spans="1:17" ht="30" x14ac:dyDescent="0.25">
      <c r="A3020" s="2" t="s">
        <v>4387</v>
      </c>
      <c r="B3020" s="3" t="s">
        <v>5015</v>
      </c>
      <c r="C3020" s="3">
        <v>50</v>
      </c>
      <c r="D3020" s="46" t="str">
        <f>IF(Tabla1[[#This Row],[EDAD]]&lt;=35,"Adultos jóvenes 18 - 35 años",IF(C3020&gt;=36,"Adultos mayores 36 años en adelante"))</f>
        <v>Adultos mayores 36 años en adelante</v>
      </c>
      <c r="E3020" s="3" t="s">
        <v>5022</v>
      </c>
      <c r="F3020" s="3" t="s">
        <v>5024</v>
      </c>
      <c r="G3020" s="3" t="s">
        <v>5034</v>
      </c>
      <c r="H3020" s="3" t="s">
        <v>9410</v>
      </c>
      <c r="I3020" s="17">
        <v>45464</v>
      </c>
      <c r="J3020" s="18">
        <f>YEAR(Tabla1[[#This Row],[FECHA DE COMPRA]])</f>
        <v>2024</v>
      </c>
      <c r="K3020" s="19">
        <v>181.09</v>
      </c>
      <c r="L3020" s="20">
        <v>0</v>
      </c>
      <c r="M3020" s="19">
        <f>Tienda!$K1865-Tienda!$K1865*Tienda!$L1865</f>
        <v>101.48</v>
      </c>
      <c r="N3020" s="3" t="s">
        <v>10040</v>
      </c>
      <c r="O3020" s="3" t="s">
        <v>10041</v>
      </c>
      <c r="P3020" s="17">
        <v>45464</v>
      </c>
      <c r="Q3020" s="4">
        <v>0</v>
      </c>
    </row>
    <row r="3021" spans="1:17" ht="30" x14ac:dyDescent="0.25">
      <c r="A3021" s="2" t="s">
        <v>4195</v>
      </c>
      <c r="B3021" s="3" t="s">
        <v>5015</v>
      </c>
      <c r="C3021" s="3">
        <v>62</v>
      </c>
      <c r="D3021" s="46" t="str">
        <f>IF(Tabla1[[#This Row],[EDAD]]&lt;=35,"Adultos jóvenes 18 - 35 años",IF(C3021&gt;=36,"Adultos mayores 36 años en adelante"))</f>
        <v>Adultos mayores 36 años en adelante</v>
      </c>
      <c r="E3021" s="3" t="s">
        <v>5019</v>
      </c>
      <c r="F3021" s="3" t="s">
        <v>5025</v>
      </c>
      <c r="G3021" s="3" t="s">
        <v>5037</v>
      </c>
      <c r="H3021" s="3" t="s">
        <v>9218</v>
      </c>
      <c r="I3021" s="17">
        <v>45466</v>
      </c>
      <c r="J3021" s="18">
        <f>YEAR(Tabla1[[#This Row],[FECHA DE COMPRA]])</f>
        <v>2024</v>
      </c>
      <c r="K3021" s="19">
        <v>182.96</v>
      </c>
      <c r="L3021" s="20">
        <v>0</v>
      </c>
      <c r="M3021" s="19">
        <f>Tienda!$K1866-Tienda!$K1866*Tienda!$L1866</f>
        <v>114.92</v>
      </c>
      <c r="N3021" s="3" t="s">
        <v>10040</v>
      </c>
      <c r="O3021" s="3" t="s">
        <v>10041</v>
      </c>
      <c r="P3021" s="17">
        <v>45466</v>
      </c>
      <c r="Q3021" s="4">
        <v>0</v>
      </c>
    </row>
    <row r="3022" spans="1:17" ht="30" x14ac:dyDescent="0.25">
      <c r="A3022" s="2" t="s">
        <v>3736</v>
      </c>
      <c r="B3022" s="3" t="s">
        <v>5015</v>
      </c>
      <c r="C3022" s="3">
        <v>62</v>
      </c>
      <c r="D3022" s="46" t="str">
        <f>IF(Tabla1[[#This Row],[EDAD]]&lt;=35,"Adultos jóvenes 18 - 35 años",IF(C3022&gt;=36,"Adultos mayores 36 años en adelante"))</f>
        <v>Adultos mayores 36 años en adelante</v>
      </c>
      <c r="E3022" s="3" t="s">
        <v>5023</v>
      </c>
      <c r="F3022" s="3" t="s">
        <v>5024</v>
      </c>
      <c r="G3022" s="3" t="s">
        <v>5031</v>
      </c>
      <c r="H3022" s="3" t="s">
        <v>8759</v>
      </c>
      <c r="I3022" s="17">
        <v>45631</v>
      </c>
      <c r="J3022" s="18">
        <f>YEAR(Tabla1[[#This Row],[FECHA DE COMPRA]])</f>
        <v>2024</v>
      </c>
      <c r="K3022" s="19">
        <v>184.34</v>
      </c>
      <c r="L3022" s="20">
        <v>0</v>
      </c>
      <c r="M3022" s="19">
        <f>Tienda!$K1868-Tienda!$K1868*Tienda!$L1868</f>
        <v>24.893999999999998</v>
      </c>
      <c r="N3022" s="3" t="s">
        <v>10040</v>
      </c>
      <c r="O3022" s="3" t="s">
        <v>10041</v>
      </c>
      <c r="P3022" s="17">
        <v>45631</v>
      </c>
      <c r="Q3022" s="4">
        <v>0</v>
      </c>
    </row>
    <row r="3023" spans="1:17" ht="30" x14ac:dyDescent="0.25">
      <c r="A3023" s="2" t="s">
        <v>129</v>
      </c>
      <c r="B3023" s="3" t="s">
        <v>5015</v>
      </c>
      <c r="C3023" s="3">
        <v>39</v>
      </c>
      <c r="D3023" s="46" t="str">
        <f>IF(Tabla1[[#This Row],[EDAD]]&lt;=35,"Adultos jóvenes 18 - 35 años",IF(C3023&gt;=36,"Adultos mayores 36 años en adelante"))</f>
        <v>Adultos mayores 36 años en adelante</v>
      </c>
      <c r="E3023" s="3" t="s">
        <v>5017</v>
      </c>
      <c r="F3023" s="3" t="s">
        <v>5027</v>
      </c>
      <c r="G3023" s="3" t="s">
        <v>5036</v>
      </c>
      <c r="H3023" s="3" t="s">
        <v>5152</v>
      </c>
      <c r="I3023" s="17">
        <v>45415</v>
      </c>
      <c r="J3023" s="18">
        <f>YEAR(Tabla1[[#This Row],[FECHA DE COMPRA]])</f>
        <v>2024</v>
      </c>
      <c r="K3023" s="19">
        <v>187.58</v>
      </c>
      <c r="L3023" s="20">
        <v>0</v>
      </c>
      <c r="M3023" s="19">
        <f>Tienda!$K1871-Tienda!$K1871*Tienda!$L1871</f>
        <v>136.94399999999999</v>
      </c>
      <c r="N3023" s="3" t="s">
        <v>10040</v>
      </c>
      <c r="O3023" s="3" t="s">
        <v>10041</v>
      </c>
      <c r="P3023" s="17">
        <v>45415</v>
      </c>
      <c r="Q3023" s="4">
        <v>0</v>
      </c>
    </row>
    <row r="3024" spans="1:17" ht="30" x14ac:dyDescent="0.25">
      <c r="A3024" s="2" t="s">
        <v>3262</v>
      </c>
      <c r="B3024" s="3" t="s">
        <v>5015</v>
      </c>
      <c r="C3024" s="3">
        <v>59</v>
      </c>
      <c r="D3024" s="46" t="str">
        <f>IF(Tabla1[[#This Row],[EDAD]]&lt;=35,"Adultos jóvenes 18 - 35 años",IF(C3024&gt;=36,"Adultos mayores 36 años en adelante"))</f>
        <v>Adultos mayores 36 años en adelante</v>
      </c>
      <c r="E3024" s="3" t="s">
        <v>5021</v>
      </c>
      <c r="F3024" s="3" t="s">
        <v>5024</v>
      </c>
      <c r="G3024" s="3" t="s">
        <v>5032</v>
      </c>
      <c r="H3024" s="3" t="s">
        <v>8285</v>
      </c>
      <c r="I3024" s="17">
        <v>45553</v>
      </c>
      <c r="J3024" s="18">
        <f>YEAR(Tabla1[[#This Row],[FECHA DE COMPRA]])</f>
        <v>2024</v>
      </c>
      <c r="K3024" s="19">
        <v>188.6</v>
      </c>
      <c r="L3024" s="20">
        <v>0</v>
      </c>
      <c r="M3024" s="19">
        <f>Tienda!$K1873-Tienda!$K1873*Tienda!$L1873</f>
        <v>98.16</v>
      </c>
      <c r="N3024" s="3" t="s">
        <v>10040</v>
      </c>
      <c r="O3024" s="3" t="s">
        <v>10041</v>
      </c>
      <c r="P3024" s="17">
        <v>45553</v>
      </c>
      <c r="Q3024" s="4">
        <v>0</v>
      </c>
    </row>
    <row r="3025" spans="1:17" ht="30" x14ac:dyDescent="0.25">
      <c r="A3025" s="2" t="s">
        <v>2979</v>
      </c>
      <c r="B3025" s="3" t="s">
        <v>5015</v>
      </c>
      <c r="C3025" s="3">
        <v>46</v>
      </c>
      <c r="D3025" s="46" t="str">
        <f>IF(Tabla1[[#This Row],[EDAD]]&lt;=35,"Adultos jóvenes 18 - 35 años",IF(C3025&gt;=36,"Adultos mayores 36 años en adelante"))</f>
        <v>Adultos mayores 36 años en adelante</v>
      </c>
      <c r="E3025" s="3" t="s">
        <v>5017</v>
      </c>
      <c r="F3025" s="3" t="s">
        <v>5028</v>
      </c>
      <c r="G3025" s="3" t="s">
        <v>5036</v>
      </c>
      <c r="H3025" s="3" t="s">
        <v>8002</v>
      </c>
      <c r="I3025" s="17">
        <v>45407</v>
      </c>
      <c r="J3025" s="18">
        <f>YEAR(Tabla1[[#This Row],[FECHA DE COMPRA]])</f>
        <v>2024</v>
      </c>
      <c r="K3025" s="19">
        <v>189.09</v>
      </c>
      <c r="L3025" s="20">
        <v>0</v>
      </c>
      <c r="M3025" s="19">
        <f>Tienda!$K1874-Tienda!$K1874*Tienda!$L1874</f>
        <v>79.98</v>
      </c>
      <c r="N3025" s="3" t="s">
        <v>10040</v>
      </c>
      <c r="O3025" s="3" t="s">
        <v>10041</v>
      </c>
      <c r="P3025" s="17">
        <v>45407</v>
      </c>
      <c r="Q3025" s="4">
        <v>0</v>
      </c>
    </row>
    <row r="3026" spans="1:17" ht="30" x14ac:dyDescent="0.25">
      <c r="A3026" s="2" t="s">
        <v>3360</v>
      </c>
      <c r="B3026" s="3" t="s">
        <v>5016</v>
      </c>
      <c r="C3026" s="3">
        <v>53</v>
      </c>
      <c r="D3026" s="46" t="str">
        <f>IF(Tabla1[[#This Row],[EDAD]]&lt;=35,"Adultos jóvenes 18 - 35 años",IF(C3026&gt;=36,"Adultos mayores 36 años en adelante"))</f>
        <v>Adultos mayores 36 años en adelante</v>
      </c>
      <c r="E3026" s="3" t="s">
        <v>5023</v>
      </c>
      <c r="F3026" s="3" t="s">
        <v>5030</v>
      </c>
      <c r="G3026" s="3" t="s">
        <v>5035</v>
      </c>
      <c r="H3026" s="3" t="s">
        <v>8383</v>
      </c>
      <c r="I3026" s="17">
        <v>45578</v>
      </c>
      <c r="J3026" s="18">
        <f>YEAR(Tabla1[[#This Row],[FECHA DE COMPRA]])</f>
        <v>2024</v>
      </c>
      <c r="K3026" s="19">
        <v>189.32</v>
      </c>
      <c r="L3026" s="20">
        <v>0</v>
      </c>
      <c r="M3026" s="19">
        <f>Tienda!$K1876-Tienda!$K1876*Tienda!$L1876</f>
        <v>74.915999999999997</v>
      </c>
      <c r="N3026" s="3" t="s">
        <v>10040</v>
      </c>
      <c r="O3026" s="3" t="s">
        <v>10041</v>
      </c>
      <c r="P3026" s="17">
        <v>45578</v>
      </c>
      <c r="Q3026" s="4">
        <v>0</v>
      </c>
    </row>
    <row r="3027" spans="1:17" ht="30" x14ac:dyDescent="0.25">
      <c r="A3027" s="2" t="s">
        <v>297</v>
      </c>
      <c r="B3027" s="3" t="s">
        <v>5015</v>
      </c>
      <c r="C3027" s="3">
        <v>48</v>
      </c>
      <c r="D3027" s="46" t="str">
        <f>IF(Tabla1[[#This Row],[EDAD]]&lt;=35,"Adultos jóvenes 18 - 35 años",IF(C3027&gt;=36,"Adultos mayores 36 años en adelante"))</f>
        <v>Adultos mayores 36 años en adelante</v>
      </c>
      <c r="E3027" s="3" t="s">
        <v>5020</v>
      </c>
      <c r="F3027" s="3" t="s">
        <v>5025</v>
      </c>
      <c r="G3027" s="3" t="s">
        <v>5034</v>
      </c>
      <c r="H3027" s="3" t="s">
        <v>5320</v>
      </c>
      <c r="I3027" s="17">
        <v>45637</v>
      </c>
      <c r="J3027" s="18">
        <f>YEAR(Tabla1[[#This Row],[FECHA DE COMPRA]])</f>
        <v>2024</v>
      </c>
      <c r="K3027" s="19">
        <v>193.44</v>
      </c>
      <c r="L3027" s="20">
        <v>0</v>
      </c>
      <c r="M3027" s="19">
        <f>Tienda!$K1877-Tienda!$K1877*Tienda!$L1877</f>
        <v>117.22499999999999</v>
      </c>
      <c r="N3027" s="3" t="s">
        <v>10040</v>
      </c>
      <c r="O3027" s="3" t="s">
        <v>10041</v>
      </c>
      <c r="P3027" s="17">
        <v>45637</v>
      </c>
      <c r="Q3027" s="4">
        <v>0</v>
      </c>
    </row>
    <row r="3028" spans="1:17" ht="30" x14ac:dyDescent="0.25">
      <c r="A3028" s="2" t="s">
        <v>3849</v>
      </c>
      <c r="B3028" s="3" t="s">
        <v>5015</v>
      </c>
      <c r="C3028" s="3">
        <v>64</v>
      </c>
      <c r="D3028" s="46" t="str">
        <f>IF(Tabla1[[#This Row],[EDAD]]&lt;=35,"Adultos jóvenes 18 - 35 años",IF(C3028&gt;=36,"Adultos mayores 36 años en adelante"))</f>
        <v>Adultos mayores 36 años en adelante</v>
      </c>
      <c r="E3028" s="3" t="s">
        <v>5020</v>
      </c>
      <c r="F3028" s="3" t="s">
        <v>5026</v>
      </c>
      <c r="G3028" s="3" t="s">
        <v>5034</v>
      </c>
      <c r="H3028" s="3" t="s">
        <v>8872</v>
      </c>
      <c r="I3028" s="17">
        <v>45624</v>
      </c>
      <c r="J3028" s="18">
        <f>YEAR(Tabla1[[#This Row],[FECHA DE COMPRA]])</f>
        <v>2024</v>
      </c>
      <c r="K3028" s="19">
        <v>197.71</v>
      </c>
      <c r="L3028" s="20">
        <v>0</v>
      </c>
      <c r="M3028" s="19">
        <f>Tienda!$K1883-Tienda!$K1883*Tienda!$L1883</f>
        <v>76.37</v>
      </c>
      <c r="N3028" s="3" t="s">
        <v>10040</v>
      </c>
      <c r="O3028" s="3" t="s">
        <v>10041</v>
      </c>
      <c r="P3028" s="17">
        <v>45474</v>
      </c>
      <c r="Q3028" s="4">
        <v>0</v>
      </c>
    </row>
    <row r="3029" spans="1:17" ht="30" x14ac:dyDescent="0.25">
      <c r="A3029" s="2" t="s">
        <v>196</v>
      </c>
      <c r="B3029" s="3" t="s">
        <v>5015</v>
      </c>
      <c r="C3029" s="3">
        <v>50</v>
      </c>
      <c r="D3029" s="46" t="str">
        <f>IF(Tabla1[[#This Row],[EDAD]]&lt;=35,"Adultos jóvenes 18 - 35 años",IF(C3029&gt;=36,"Adultos mayores 36 años en adelante"))</f>
        <v>Adultos mayores 36 años en adelante</v>
      </c>
      <c r="E3029" s="3" t="s">
        <v>5022</v>
      </c>
      <c r="F3029" s="3" t="s">
        <v>5030</v>
      </c>
      <c r="G3029" s="3" t="s">
        <v>5032</v>
      </c>
      <c r="H3029" s="3" t="s">
        <v>5219</v>
      </c>
      <c r="I3029" s="17">
        <v>45649</v>
      </c>
      <c r="J3029" s="18">
        <f>YEAR(Tabla1[[#This Row],[FECHA DE COMPRA]])</f>
        <v>2024</v>
      </c>
      <c r="K3029" s="19">
        <v>199.74</v>
      </c>
      <c r="L3029" s="20">
        <v>0</v>
      </c>
      <c r="M3029" s="19">
        <f>Tienda!$K1888-Tienda!$K1888*Tienda!$L1888</f>
        <v>141.69</v>
      </c>
      <c r="N3029" s="3" t="s">
        <v>10040</v>
      </c>
      <c r="O3029" s="3" t="s">
        <v>10041</v>
      </c>
      <c r="P3029" s="17">
        <v>45306</v>
      </c>
      <c r="Q3029" s="4">
        <v>0</v>
      </c>
    </row>
    <row r="3030" spans="1:17" ht="30" x14ac:dyDescent="0.25">
      <c r="A3030" s="2" t="s">
        <v>3257</v>
      </c>
      <c r="B3030" s="3" t="s">
        <v>5016</v>
      </c>
      <c r="C3030" s="3">
        <v>38</v>
      </c>
      <c r="D3030" s="46" t="str">
        <f>IF(Tabla1[[#This Row],[EDAD]]&lt;=35,"Adultos jóvenes 18 - 35 años",IF(C3030&gt;=36,"Adultos mayores 36 años en adelante"))</f>
        <v>Adultos mayores 36 años en adelante</v>
      </c>
      <c r="E3030" s="3" t="s">
        <v>5017</v>
      </c>
      <c r="F3030" s="3" t="s">
        <v>5024</v>
      </c>
      <c r="G3030" s="3" t="s">
        <v>5032</v>
      </c>
      <c r="H3030" s="3" t="s">
        <v>8280</v>
      </c>
      <c r="I3030" s="17">
        <v>45606</v>
      </c>
      <c r="J3030" s="18">
        <f>YEAR(Tabla1[[#This Row],[FECHA DE COMPRA]])</f>
        <v>2024</v>
      </c>
      <c r="K3030" s="19">
        <v>10.78</v>
      </c>
      <c r="L3030" s="20">
        <v>0.2</v>
      </c>
      <c r="M3030" s="19">
        <f>Tienda!$K1889-Tienda!$K1889*Tienda!$L1889</f>
        <v>165.94</v>
      </c>
      <c r="N3030" s="3" t="s">
        <v>10040</v>
      </c>
      <c r="O3030" s="3" t="s">
        <v>10041</v>
      </c>
      <c r="P3030" s="17">
        <v>45876</v>
      </c>
      <c r="Q3030" s="4">
        <v>0</v>
      </c>
    </row>
    <row r="3031" spans="1:17" ht="30" x14ac:dyDescent="0.25">
      <c r="A3031" s="2" t="s">
        <v>4969</v>
      </c>
      <c r="B3031" s="3" t="s">
        <v>5016</v>
      </c>
      <c r="C3031" s="3">
        <v>48</v>
      </c>
      <c r="D3031" s="46" t="str">
        <f>IF(Tabla1[[#This Row],[EDAD]]&lt;=35,"Adultos jóvenes 18 - 35 años",IF(C3031&gt;=36,"Adultos mayores 36 años en adelante"))</f>
        <v>Adultos mayores 36 años en adelante</v>
      </c>
      <c r="E3031" s="3" t="s">
        <v>5017</v>
      </c>
      <c r="F3031" s="3" t="s">
        <v>5026</v>
      </c>
      <c r="G3031" s="3" t="s">
        <v>5032</v>
      </c>
      <c r="H3031" s="3" t="s">
        <v>9992</v>
      </c>
      <c r="I3031" s="17">
        <v>45427</v>
      </c>
      <c r="J3031" s="18">
        <f>YEAR(Tabla1[[#This Row],[FECHA DE COMPRA]])</f>
        <v>2024</v>
      </c>
      <c r="K3031" s="19">
        <v>12.43</v>
      </c>
      <c r="L3031" s="20">
        <v>0.3</v>
      </c>
      <c r="M3031" s="19">
        <f>Tienda!$K1890-Tienda!$K1890*Tienda!$L1890</f>
        <v>47.88</v>
      </c>
      <c r="N3031" s="3" t="s">
        <v>10040</v>
      </c>
      <c r="O3031" s="3" t="s">
        <v>10041</v>
      </c>
      <c r="P3031" s="17">
        <v>45697</v>
      </c>
      <c r="Q3031" s="4">
        <v>0</v>
      </c>
    </row>
    <row r="3032" spans="1:17" ht="30" x14ac:dyDescent="0.25">
      <c r="A3032" s="2" t="s">
        <v>2338</v>
      </c>
      <c r="B3032" s="3" t="s">
        <v>5016</v>
      </c>
      <c r="C3032" s="3">
        <v>52</v>
      </c>
      <c r="D3032" s="46" t="str">
        <f>IF(Tabla1[[#This Row],[EDAD]]&lt;=35,"Adultos jóvenes 18 - 35 años",IF(C3032&gt;=36,"Adultos mayores 36 años en adelante"))</f>
        <v>Adultos mayores 36 años en adelante</v>
      </c>
      <c r="E3032" s="3" t="s">
        <v>5023</v>
      </c>
      <c r="F3032" s="3" t="s">
        <v>5026</v>
      </c>
      <c r="G3032" s="3" t="s">
        <v>5031</v>
      </c>
      <c r="H3032" s="3" t="s">
        <v>7361</v>
      </c>
      <c r="I3032" s="17">
        <v>45649</v>
      </c>
      <c r="J3032" s="18">
        <f>YEAR(Tabla1[[#This Row],[FECHA DE COMPRA]])</f>
        <v>2024</v>
      </c>
      <c r="K3032" s="19">
        <v>11.27</v>
      </c>
      <c r="L3032" s="20">
        <v>0.1</v>
      </c>
      <c r="M3032" s="19">
        <f>Tienda!$K1891-Tienda!$K1891*Tienda!$L1891</f>
        <v>152.30000000000001</v>
      </c>
      <c r="N3032" s="3" t="s">
        <v>10040</v>
      </c>
      <c r="O3032" s="3" t="s">
        <v>10041</v>
      </c>
      <c r="P3032" s="17">
        <v>45384</v>
      </c>
      <c r="Q3032" s="4">
        <v>0</v>
      </c>
    </row>
    <row r="3033" spans="1:17" ht="30" x14ac:dyDescent="0.25">
      <c r="A3033" s="2" t="s">
        <v>2068</v>
      </c>
      <c r="B3033" s="3" t="s">
        <v>5015</v>
      </c>
      <c r="C3033" s="3">
        <v>42</v>
      </c>
      <c r="D3033" s="46" t="str">
        <f>IF(Tabla1[[#This Row],[EDAD]]&lt;=35,"Adultos jóvenes 18 - 35 años",IF(C3033&gt;=36,"Adultos mayores 36 años en adelante"))</f>
        <v>Adultos mayores 36 años en adelante</v>
      </c>
      <c r="E3033" s="3" t="s">
        <v>5021</v>
      </c>
      <c r="F3033" s="3" t="s">
        <v>5030</v>
      </c>
      <c r="G3033" s="3" t="s">
        <v>5035</v>
      </c>
      <c r="H3033" s="3" t="s">
        <v>7091</v>
      </c>
      <c r="I3033" s="17">
        <v>45313</v>
      </c>
      <c r="J3033" s="18">
        <f>YEAR(Tabla1[[#This Row],[FECHA DE COMPRA]])</f>
        <v>2024</v>
      </c>
      <c r="K3033" s="19">
        <v>15.23</v>
      </c>
      <c r="L3033" s="20">
        <v>0.3</v>
      </c>
      <c r="M3033" s="19">
        <f>Tienda!$K1894-Tienda!$K1894*Tienda!$L1894</f>
        <v>145</v>
      </c>
      <c r="N3033" s="3" t="s">
        <v>10040</v>
      </c>
      <c r="O3033" s="3" t="s">
        <v>10041</v>
      </c>
      <c r="P3033" s="17">
        <v>45493</v>
      </c>
      <c r="Q3033" s="4">
        <v>0</v>
      </c>
    </row>
    <row r="3034" spans="1:17" ht="30" x14ac:dyDescent="0.25">
      <c r="A3034" s="2" t="s">
        <v>3049</v>
      </c>
      <c r="B3034" s="3" t="s">
        <v>5015</v>
      </c>
      <c r="C3034" s="3">
        <v>55</v>
      </c>
      <c r="D3034" s="46" t="str">
        <f>IF(Tabla1[[#This Row],[EDAD]]&lt;=35,"Adultos jóvenes 18 - 35 años",IF(C3034&gt;=36,"Adultos mayores 36 años en adelante"))</f>
        <v>Adultos mayores 36 años en adelante</v>
      </c>
      <c r="E3034" s="3" t="s">
        <v>5021</v>
      </c>
      <c r="F3034" s="3" t="s">
        <v>5024</v>
      </c>
      <c r="G3034" s="3" t="s">
        <v>5036</v>
      </c>
      <c r="H3034" s="3" t="s">
        <v>8072</v>
      </c>
      <c r="I3034" s="17">
        <v>45636</v>
      </c>
      <c r="J3034" s="18">
        <f>YEAR(Tabla1[[#This Row],[FECHA DE COMPRA]])</f>
        <v>2024</v>
      </c>
      <c r="K3034" s="19">
        <v>14.52</v>
      </c>
      <c r="L3034" s="20">
        <v>0.2</v>
      </c>
      <c r="M3034" s="19">
        <f>Tienda!$K1896-Tienda!$K1896*Tienda!$L1896</f>
        <v>43.686999999999998</v>
      </c>
      <c r="N3034" s="3" t="s">
        <v>10040</v>
      </c>
      <c r="O3034" s="3" t="s">
        <v>10041</v>
      </c>
      <c r="P3034" s="17">
        <v>45721</v>
      </c>
      <c r="Q3034" s="4">
        <v>0</v>
      </c>
    </row>
    <row r="3035" spans="1:17" ht="30" x14ac:dyDescent="0.25">
      <c r="A3035" s="2" t="s">
        <v>4014</v>
      </c>
      <c r="B3035" s="3" t="s">
        <v>5015</v>
      </c>
      <c r="C3035" s="3">
        <v>61</v>
      </c>
      <c r="D3035" s="46" t="str">
        <f>IF(Tabla1[[#This Row],[EDAD]]&lt;=35,"Adultos jóvenes 18 - 35 años",IF(C3035&gt;=36,"Adultos mayores 36 años en adelante"))</f>
        <v>Adultos mayores 36 años en adelante</v>
      </c>
      <c r="E3035" s="3" t="s">
        <v>5017</v>
      </c>
      <c r="F3035" s="3" t="s">
        <v>5025</v>
      </c>
      <c r="G3035" s="3" t="s">
        <v>5032</v>
      </c>
      <c r="H3035" s="3" t="s">
        <v>9037</v>
      </c>
      <c r="I3035" s="17">
        <v>45619</v>
      </c>
      <c r="J3035" s="18">
        <f>YEAR(Tabla1[[#This Row],[FECHA DE COMPRA]])</f>
        <v>2024</v>
      </c>
      <c r="K3035" s="19">
        <v>11.78</v>
      </c>
      <c r="L3035" s="20">
        <v>0</v>
      </c>
      <c r="M3035" s="19">
        <f>Tienda!$K1898-Tienda!$K1898*Tienda!$L1898</f>
        <v>49.598999999999997</v>
      </c>
      <c r="N3035" s="3" t="s">
        <v>10040</v>
      </c>
      <c r="O3035" s="3" t="s">
        <v>10041</v>
      </c>
      <c r="P3035" s="17">
        <v>45649</v>
      </c>
      <c r="Q3035" s="4">
        <v>0</v>
      </c>
    </row>
    <row r="3036" spans="1:17" ht="30" x14ac:dyDescent="0.25">
      <c r="A3036" s="2" t="s">
        <v>3954</v>
      </c>
      <c r="B3036" s="3" t="s">
        <v>5015</v>
      </c>
      <c r="C3036" s="3">
        <v>37</v>
      </c>
      <c r="D3036" s="46" t="str">
        <f>IF(Tabla1[[#This Row],[EDAD]]&lt;=35,"Adultos jóvenes 18 - 35 años",IF(C3036&gt;=36,"Adultos mayores 36 años en adelante"))</f>
        <v>Adultos mayores 36 años en adelante</v>
      </c>
      <c r="E3036" s="3" t="s">
        <v>5021</v>
      </c>
      <c r="F3036" s="3" t="s">
        <v>5025</v>
      </c>
      <c r="G3036" s="3" t="s">
        <v>5036</v>
      </c>
      <c r="H3036" s="3" t="s">
        <v>8977</v>
      </c>
      <c r="I3036" s="17">
        <v>45433</v>
      </c>
      <c r="J3036" s="18">
        <f>YEAR(Tabla1[[#This Row],[FECHA DE COMPRA]])</f>
        <v>2024</v>
      </c>
      <c r="K3036" s="19">
        <v>17.89</v>
      </c>
      <c r="L3036" s="20">
        <v>0.3</v>
      </c>
      <c r="M3036" s="19">
        <f>Tienda!$K1899-Tienda!$K1899*Tienda!$L1899</f>
        <v>72.484999999999999</v>
      </c>
      <c r="N3036" s="3" t="s">
        <v>10040</v>
      </c>
      <c r="O3036" s="3" t="s">
        <v>10041</v>
      </c>
      <c r="P3036" s="17">
        <v>45523</v>
      </c>
      <c r="Q3036" s="4">
        <v>0</v>
      </c>
    </row>
    <row r="3037" spans="1:17" ht="30" x14ac:dyDescent="0.25">
      <c r="A3037" s="2" t="s">
        <v>1039</v>
      </c>
      <c r="B3037" s="3" t="s">
        <v>5016</v>
      </c>
      <c r="C3037" s="3">
        <v>48</v>
      </c>
      <c r="D3037" s="46" t="str">
        <f>IF(Tabla1[[#This Row],[EDAD]]&lt;=35,"Adultos jóvenes 18 - 35 años",IF(C3037&gt;=36,"Adultos mayores 36 años en adelante"))</f>
        <v>Adultos mayores 36 años en adelante</v>
      </c>
      <c r="E3037" s="3" t="s">
        <v>5017</v>
      </c>
      <c r="F3037" s="3" t="s">
        <v>5028</v>
      </c>
      <c r="G3037" s="3" t="s">
        <v>5033</v>
      </c>
      <c r="H3037" s="3" t="s">
        <v>6062</v>
      </c>
      <c r="I3037" s="17">
        <v>45495</v>
      </c>
      <c r="J3037" s="18">
        <f>YEAR(Tabla1[[#This Row],[FECHA DE COMPRA]])</f>
        <v>2024</v>
      </c>
      <c r="K3037" s="19">
        <v>16.760000000000002</v>
      </c>
      <c r="L3037" s="20">
        <v>0.2</v>
      </c>
      <c r="M3037" s="19">
        <f>Tienda!$K1901-Tienda!$K1901*Tienda!$L1901</f>
        <v>115.54</v>
      </c>
      <c r="N3037" s="3" t="s">
        <v>10040</v>
      </c>
      <c r="O3037" s="3" t="s">
        <v>10041</v>
      </c>
      <c r="P3037" s="17">
        <v>45855</v>
      </c>
      <c r="Q3037" s="4">
        <v>0</v>
      </c>
    </row>
    <row r="3038" spans="1:17" ht="30" x14ac:dyDescent="0.25">
      <c r="A3038" s="2" t="s">
        <v>577</v>
      </c>
      <c r="B3038" s="3" t="s">
        <v>5015</v>
      </c>
      <c r="C3038" s="3">
        <v>62</v>
      </c>
      <c r="D3038" s="46" t="str">
        <f>IF(Tabla1[[#This Row],[EDAD]]&lt;=35,"Adultos jóvenes 18 - 35 años",IF(C3038&gt;=36,"Adultos mayores 36 años en adelante"))</f>
        <v>Adultos mayores 36 años en adelante</v>
      </c>
      <c r="E3038" s="3" t="s">
        <v>5018</v>
      </c>
      <c r="F3038" s="3" t="s">
        <v>5028</v>
      </c>
      <c r="G3038" s="3" t="s">
        <v>5032</v>
      </c>
      <c r="H3038" s="3" t="s">
        <v>5600</v>
      </c>
      <c r="I3038" s="17">
        <v>45365</v>
      </c>
      <c r="J3038" s="18">
        <f>YEAR(Tabla1[[#This Row],[FECHA DE COMPRA]])</f>
        <v>2024</v>
      </c>
      <c r="K3038" s="19">
        <v>19.59</v>
      </c>
      <c r="L3038" s="20">
        <v>0.3</v>
      </c>
      <c r="M3038" s="19">
        <f>Tienda!$K1902-Tienda!$K1902*Tienda!$L1902</f>
        <v>93.950999999999993</v>
      </c>
      <c r="N3038" s="3" t="s">
        <v>10040</v>
      </c>
      <c r="O3038" s="3" t="s">
        <v>10041</v>
      </c>
      <c r="P3038" s="17">
        <v>45545</v>
      </c>
      <c r="Q3038" s="4">
        <v>0</v>
      </c>
    </row>
    <row r="3039" spans="1:17" ht="30" x14ac:dyDescent="0.25">
      <c r="A3039" s="2" t="s">
        <v>3764</v>
      </c>
      <c r="B3039" s="3" t="s">
        <v>5015</v>
      </c>
      <c r="C3039" s="3">
        <v>42</v>
      </c>
      <c r="D3039" s="46" t="str">
        <f>IF(Tabla1[[#This Row],[EDAD]]&lt;=35,"Adultos jóvenes 18 - 35 años",IF(C3039&gt;=36,"Adultos mayores 36 años en adelante"))</f>
        <v>Adultos mayores 36 años en adelante</v>
      </c>
      <c r="E3039" s="3" t="s">
        <v>5018</v>
      </c>
      <c r="F3039" s="3" t="s">
        <v>5026</v>
      </c>
      <c r="G3039" s="3" t="s">
        <v>5035</v>
      </c>
      <c r="H3039" s="3" t="s">
        <v>8787</v>
      </c>
      <c r="I3039" s="17">
        <v>45382</v>
      </c>
      <c r="J3039" s="18">
        <f>YEAR(Tabla1[[#This Row],[FECHA DE COMPRA]])</f>
        <v>2024</v>
      </c>
      <c r="K3039" s="19">
        <v>21.3</v>
      </c>
      <c r="L3039" s="20">
        <v>0.3</v>
      </c>
      <c r="M3039" s="19">
        <f>Tienda!$K1907-Tienda!$K1907*Tienda!$L1907</f>
        <v>82.448000000000008</v>
      </c>
      <c r="N3039" s="3" t="s">
        <v>10040</v>
      </c>
      <c r="O3039" s="3" t="s">
        <v>10041</v>
      </c>
      <c r="P3039" s="17">
        <v>45562</v>
      </c>
      <c r="Q3039" s="4">
        <v>0</v>
      </c>
    </row>
    <row r="3040" spans="1:17" ht="30" x14ac:dyDescent="0.25">
      <c r="A3040" s="2" t="s">
        <v>3665</v>
      </c>
      <c r="B3040" s="3" t="s">
        <v>5015</v>
      </c>
      <c r="C3040" s="3">
        <v>62</v>
      </c>
      <c r="D3040" s="46" t="str">
        <f>IF(Tabla1[[#This Row],[EDAD]]&lt;=35,"Adultos jóvenes 18 - 35 años",IF(C3040&gt;=36,"Adultos mayores 36 años en adelante"))</f>
        <v>Adultos mayores 36 años en adelante</v>
      </c>
      <c r="E3040" s="3" t="s">
        <v>5023</v>
      </c>
      <c r="F3040" s="3" t="s">
        <v>5030</v>
      </c>
      <c r="G3040" s="3" t="s">
        <v>5035</v>
      </c>
      <c r="H3040" s="3" t="s">
        <v>8688</v>
      </c>
      <c r="I3040" s="17">
        <v>45553</v>
      </c>
      <c r="J3040" s="18">
        <f>YEAR(Tabla1[[#This Row],[FECHA DE COMPRA]])</f>
        <v>2024</v>
      </c>
      <c r="K3040" s="19">
        <v>18.53</v>
      </c>
      <c r="L3040" s="20">
        <v>0.1</v>
      </c>
      <c r="M3040" s="19">
        <f>Tienda!$K1909-Tienda!$K1909*Tienda!$L1909</f>
        <v>35.721000000000004</v>
      </c>
      <c r="N3040" s="3" t="s">
        <v>10040</v>
      </c>
      <c r="O3040" s="3" t="s">
        <v>10041</v>
      </c>
      <c r="P3040" s="17">
        <v>45913</v>
      </c>
      <c r="Q3040" s="4">
        <v>0</v>
      </c>
    </row>
    <row r="3041" spans="1:17" ht="30" x14ac:dyDescent="0.25">
      <c r="A3041" s="2" t="s">
        <v>105</v>
      </c>
      <c r="B3041" s="3" t="s">
        <v>5015</v>
      </c>
      <c r="C3041" s="3">
        <v>65</v>
      </c>
      <c r="D3041" s="46" t="str">
        <f>IF(Tabla1[[#This Row],[EDAD]]&lt;=35,"Adultos jóvenes 18 - 35 años",IF(C3041&gt;=36,"Adultos mayores 36 años en adelante"))</f>
        <v>Adultos mayores 36 años en adelante</v>
      </c>
      <c r="E3041" s="3" t="s">
        <v>5017</v>
      </c>
      <c r="F3041" s="3" t="s">
        <v>5029</v>
      </c>
      <c r="G3041" s="3" t="s">
        <v>5032</v>
      </c>
      <c r="H3041" s="3" t="s">
        <v>5128</v>
      </c>
      <c r="I3041" s="17">
        <v>45341</v>
      </c>
      <c r="J3041" s="18">
        <f>YEAR(Tabla1[[#This Row],[FECHA DE COMPRA]])</f>
        <v>2024</v>
      </c>
      <c r="K3041" s="19">
        <v>17.36</v>
      </c>
      <c r="L3041" s="20">
        <v>0</v>
      </c>
      <c r="M3041" s="19">
        <f>Tienda!$K1911-Tienda!$K1911*Tienda!$L1911</f>
        <v>93.096000000000004</v>
      </c>
      <c r="N3041" s="3" t="s">
        <v>10040</v>
      </c>
      <c r="O3041" s="3" t="s">
        <v>10041</v>
      </c>
      <c r="P3041" s="17">
        <v>45611</v>
      </c>
      <c r="Q3041" s="4">
        <v>0</v>
      </c>
    </row>
    <row r="3042" spans="1:17" ht="30" x14ac:dyDescent="0.25">
      <c r="A3042" s="2" t="s">
        <v>2533</v>
      </c>
      <c r="B3042" s="3" t="s">
        <v>5015</v>
      </c>
      <c r="C3042" s="3">
        <v>42</v>
      </c>
      <c r="D3042" s="46" t="str">
        <f>IF(Tabla1[[#This Row],[EDAD]]&lt;=35,"Adultos jóvenes 18 - 35 años",IF(C3042&gt;=36,"Adultos mayores 36 años en adelante"))</f>
        <v>Adultos mayores 36 años en adelante</v>
      </c>
      <c r="E3042" s="3" t="s">
        <v>5022</v>
      </c>
      <c r="F3042" s="3" t="s">
        <v>5024</v>
      </c>
      <c r="G3042" s="3" t="s">
        <v>5033</v>
      </c>
      <c r="H3042" s="3" t="s">
        <v>7556</v>
      </c>
      <c r="I3042" s="17">
        <v>45495</v>
      </c>
      <c r="J3042" s="18">
        <f>YEAR(Tabla1[[#This Row],[FECHA DE COMPRA]])</f>
        <v>2024</v>
      </c>
      <c r="K3042" s="19">
        <v>19.88</v>
      </c>
      <c r="L3042" s="20">
        <v>0.1</v>
      </c>
      <c r="M3042" s="19">
        <f>Tienda!$K1913-Tienda!$K1913*Tienda!$L1913</f>
        <v>146.709</v>
      </c>
      <c r="N3042" s="3" t="s">
        <v>10040</v>
      </c>
      <c r="O3042" s="3" t="s">
        <v>10041</v>
      </c>
      <c r="P3042" s="17">
        <v>45765</v>
      </c>
      <c r="Q3042" s="4">
        <v>0</v>
      </c>
    </row>
    <row r="3043" spans="1:17" ht="30" x14ac:dyDescent="0.25">
      <c r="A3043" s="2" t="s">
        <v>1100</v>
      </c>
      <c r="B3043" s="3" t="s">
        <v>5015</v>
      </c>
      <c r="C3043" s="3">
        <v>43</v>
      </c>
      <c r="D3043" s="46" t="str">
        <f>IF(Tabla1[[#This Row],[EDAD]]&lt;=35,"Adultos jóvenes 18 - 35 años",IF(C3043&gt;=36,"Adultos mayores 36 años en adelante"))</f>
        <v>Adultos mayores 36 años en adelante</v>
      </c>
      <c r="E3043" s="3" t="s">
        <v>5022</v>
      </c>
      <c r="F3043" s="3" t="s">
        <v>5028</v>
      </c>
      <c r="G3043" s="3" t="s">
        <v>5035</v>
      </c>
      <c r="H3043" s="3" t="s">
        <v>6123</v>
      </c>
      <c r="I3043" s="17">
        <v>45616</v>
      </c>
      <c r="J3043" s="18">
        <f>YEAR(Tabla1[[#This Row],[FECHA DE COMPRA]])</f>
        <v>2024</v>
      </c>
      <c r="K3043" s="19">
        <v>18.22</v>
      </c>
      <c r="L3043" s="20">
        <v>0</v>
      </c>
      <c r="M3043" s="19">
        <f>Tienda!$K1914-Tienda!$K1914*Tienda!$L1914</f>
        <v>167.54399999999998</v>
      </c>
      <c r="N3043" s="3" t="s">
        <v>10040</v>
      </c>
      <c r="O3043" s="3" t="s">
        <v>10041</v>
      </c>
      <c r="P3043" s="17">
        <v>45706</v>
      </c>
      <c r="Q3043" s="4">
        <v>0</v>
      </c>
    </row>
    <row r="3044" spans="1:17" ht="30" x14ac:dyDescent="0.25">
      <c r="A3044" s="2" t="s">
        <v>217</v>
      </c>
      <c r="B3044" s="3" t="s">
        <v>5015</v>
      </c>
      <c r="C3044" s="3">
        <v>51</v>
      </c>
      <c r="D3044" s="46" t="str">
        <f>IF(Tabla1[[#This Row],[EDAD]]&lt;=35,"Adultos jóvenes 18 - 35 años",IF(C3044&gt;=36,"Adultos mayores 36 años en adelante"))</f>
        <v>Adultos mayores 36 años en adelante</v>
      </c>
      <c r="E3044" s="3" t="s">
        <v>5017</v>
      </c>
      <c r="F3044" s="3" t="s">
        <v>5028</v>
      </c>
      <c r="G3044" s="3" t="s">
        <v>5036</v>
      </c>
      <c r="H3044" s="3" t="s">
        <v>5240</v>
      </c>
      <c r="I3044" s="17">
        <v>45547</v>
      </c>
      <c r="J3044" s="18">
        <f>YEAR(Tabla1[[#This Row],[FECHA DE COMPRA]])</f>
        <v>2024</v>
      </c>
      <c r="K3044" s="19">
        <v>26.06</v>
      </c>
      <c r="L3044" s="20">
        <v>0.3</v>
      </c>
      <c r="M3044" s="19">
        <f>Tienda!$K1915-Tienda!$K1915*Tienda!$L1915</f>
        <v>18.684000000000001</v>
      </c>
      <c r="N3044" s="3" t="s">
        <v>10040</v>
      </c>
      <c r="O3044" s="3" t="s">
        <v>10041</v>
      </c>
      <c r="P3044" s="17">
        <v>45817</v>
      </c>
      <c r="Q3044" s="4">
        <v>0</v>
      </c>
    </row>
    <row r="3045" spans="1:17" ht="30" x14ac:dyDescent="0.25">
      <c r="A3045" s="2" t="s">
        <v>2787</v>
      </c>
      <c r="B3045" s="3" t="s">
        <v>5016</v>
      </c>
      <c r="C3045" s="3">
        <v>61</v>
      </c>
      <c r="D3045" s="46" t="str">
        <f>IF(Tabla1[[#This Row],[EDAD]]&lt;=35,"Adultos jóvenes 18 - 35 años",IF(C3045&gt;=36,"Adultos mayores 36 años en adelante"))</f>
        <v>Adultos mayores 36 años en adelante</v>
      </c>
      <c r="E3045" s="3" t="s">
        <v>5017</v>
      </c>
      <c r="F3045" s="3" t="s">
        <v>5026</v>
      </c>
      <c r="G3045" s="3" t="s">
        <v>5034</v>
      </c>
      <c r="H3045" s="3" t="s">
        <v>7810</v>
      </c>
      <c r="I3045" s="17">
        <v>45589</v>
      </c>
      <c r="J3045" s="18">
        <f>YEAR(Tabla1[[#This Row],[FECHA DE COMPRA]])</f>
        <v>2024</v>
      </c>
      <c r="K3045" s="19">
        <v>18.399999999999999</v>
      </c>
      <c r="L3045" s="20">
        <v>0</v>
      </c>
      <c r="M3045" s="19">
        <f>Tienda!$K1916-Tienda!$K1916*Tienda!$L1916</f>
        <v>46.248999999999995</v>
      </c>
      <c r="N3045" s="3" t="s">
        <v>10040</v>
      </c>
      <c r="O3045" s="3" t="s">
        <v>10041</v>
      </c>
      <c r="P3045" s="17">
        <v>45769</v>
      </c>
      <c r="Q3045" s="4">
        <v>0</v>
      </c>
    </row>
    <row r="3046" spans="1:17" ht="30" x14ac:dyDescent="0.25">
      <c r="A3046" s="2" t="s">
        <v>3653</v>
      </c>
      <c r="B3046" s="3" t="s">
        <v>5015</v>
      </c>
      <c r="C3046" s="3">
        <v>58</v>
      </c>
      <c r="D3046" s="46" t="str">
        <f>IF(Tabla1[[#This Row],[EDAD]]&lt;=35,"Adultos jóvenes 18 - 35 años",IF(C3046&gt;=36,"Adultos mayores 36 años en adelante"))</f>
        <v>Adultos mayores 36 años en adelante</v>
      </c>
      <c r="E3046" s="3" t="s">
        <v>5022</v>
      </c>
      <c r="F3046" s="3" t="s">
        <v>5024</v>
      </c>
      <c r="G3046" s="3" t="s">
        <v>5036</v>
      </c>
      <c r="H3046" s="3" t="s">
        <v>8676</v>
      </c>
      <c r="I3046" s="17">
        <v>45530</v>
      </c>
      <c r="J3046" s="18">
        <f>YEAR(Tabla1[[#This Row],[FECHA DE COMPRA]])</f>
        <v>2024</v>
      </c>
      <c r="K3046" s="19">
        <v>21.02</v>
      </c>
      <c r="L3046" s="20">
        <v>0.1</v>
      </c>
      <c r="M3046" s="19">
        <f>Tienda!$K1919-Tienda!$K1919*Tienda!$L1919</f>
        <v>140.19999999999999</v>
      </c>
      <c r="N3046" s="3" t="s">
        <v>10040</v>
      </c>
      <c r="O3046" s="3" t="s">
        <v>10041</v>
      </c>
      <c r="P3046" s="17">
        <v>45710</v>
      </c>
      <c r="Q3046" s="4">
        <v>0</v>
      </c>
    </row>
    <row r="3047" spans="1:17" ht="30" x14ac:dyDescent="0.25">
      <c r="A3047" s="2" t="s">
        <v>3142</v>
      </c>
      <c r="B3047" s="3" t="s">
        <v>5016</v>
      </c>
      <c r="C3047" s="3">
        <v>46</v>
      </c>
      <c r="D3047" s="46" t="str">
        <f>IF(Tabla1[[#This Row],[EDAD]]&lt;=35,"Adultos jóvenes 18 - 35 años",IF(C3047&gt;=36,"Adultos mayores 36 años en adelante"))</f>
        <v>Adultos mayores 36 años en adelante</v>
      </c>
      <c r="E3047" s="3" t="s">
        <v>5017</v>
      </c>
      <c r="F3047" s="3" t="s">
        <v>5025</v>
      </c>
      <c r="G3047" s="3" t="s">
        <v>5031</v>
      </c>
      <c r="H3047" s="3" t="s">
        <v>8165</v>
      </c>
      <c r="I3047" s="17">
        <v>45464</v>
      </c>
      <c r="J3047" s="18">
        <f>YEAR(Tabla1[[#This Row],[FECHA DE COMPRA]])</f>
        <v>2024</v>
      </c>
      <c r="K3047" s="19">
        <v>21.07</v>
      </c>
      <c r="L3047" s="20">
        <v>0.1</v>
      </c>
      <c r="M3047" s="19">
        <f>Tienda!$K1920-Tienda!$K1920*Tienda!$L1920</f>
        <v>133.72</v>
      </c>
      <c r="N3047" s="3" t="s">
        <v>10040</v>
      </c>
      <c r="O3047" s="3" t="s">
        <v>10041</v>
      </c>
      <c r="P3047" s="17">
        <v>45824</v>
      </c>
      <c r="Q3047" s="4">
        <v>0</v>
      </c>
    </row>
    <row r="3048" spans="1:17" ht="30" x14ac:dyDescent="0.25">
      <c r="A3048" s="2" t="s">
        <v>2803</v>
      </c>
      <c r="B3048" s="3" t="s">
        <v>5015</v>
      </c>
      <c r="C3048" s="3">
        <v>46</v>
      </c>
      <c r="D3048" s="46" t="str">
        <f>IF(Tabla1[[#This Row],[EDAD]]&lt;=35,"Adultos jóvenes 18 - 35 años",IF(C3048&gt;=36,"Adultos mayores 36 años en adelante"))</f>
        <v>Adultos mayores 36 años en adelante</v>
      </c>
      <c r="E3048" s="3" t="s">
        <v>5019</v>
      </c>
      <c r="F3048" s="3" t="s">
        <v>5029</v>
      </c>
      <c r="G3048" s="3" t="s">
        <v>5033</v>
      </c>
      <c r="H3048" s="3" t="s">
        <v>7826</v>
      </c>
      <c r="I3048" s="17">
        <v>45640</v>
      </c>
      <c r="J3048" s="18">
        <f>YEAR(Tabla1[[#This Row],[FECHA DE COMPRA]])</f>
        <v>2024</v>
      </c>
      <c r="K3048" s="19">
        <v>27.28</v>
      </c>
      <c r="L3048" s="20">
        <v>0.3</v>
      </c>
      <c r="M3048" s="19">
        <f>Tienda!$K1921-Tienda!$K1921*Tienda!$L1921</f>
        <v>184.45</v>
      </c>
      <c r="N3048" s="3" t="s">
        <v>10040</v>
      </c>
      <c r="O3048" s="3" t="s">
        <v>10041</v>
      </c>
      <c r="P3048" s="17">
        <v>45910</v>
      </c>
      <c r="Q3048" s="4">
        <v>0</v>
      </c>
    </row>
    <row r="3049" spans="1:17" ht="30" x14ac:dyDescent="0.25">
      <c r="A3049" s="2" t="s">
        <v>1848</v>
      </c>
      <c r="B3049" s="3" t="s">
        <v>5015</v>
      </c>
      <c r="C3049" s="3">
        <v>46</v>
      </c>
      <c r="D3049" s="46" t="str">
        <f>IF(Tabla1[[#This Row],[EDAD]]&lt;=35,"Adultos jóvenes 18 - 35 años",IF(C3049&gt;=36,"Adultos mayores 36 años en adelante"))</f>
        <v>Adultos mayores 36 años en adelante</v>
      </c>
      <c r="E3049" s="3" t="s">
        <v>5019</v>
      </c>
      <c r="F3049" s="3" t="s">
        <v>5025</v>
      </c>
      <c r="G3049" s="3" t="s">
        <v>5037</v>
      </c>
      <c r="H3049" s="3" t="s">
        <v>6871</v>
      </c>
      <c r="I3049" s="17">
        <v>45604</v>
      </c>
      <c r="J3049" s="18">
        <f>YEAR(Tabla1[[#This Row],[FECHA DE COMPRA]])</f>
        <v>2024</v>
      </c>
      <c r="K3049" s="19">
        <v>19.190000000000001</v>
      </c>
      <c r="L3049" s="20">
        <v>0</v>
      </c>
      <c r="M3049" s="19">
        <f>Tienda!$K1922-Tienda!$K1922*Tienda!$L1922</f>
        <v>67.92</v>
      </c>
      <c r="N3049" s="3" t="s">
        <v>10040</v>
      </c>
      <c r="O3049" s="3" t="s">
        <v>10041</v>
      </c>
      <c r="P3049" s="17">
        <v>45784</v>
      </c>
      <c r="Q3049" s="4">
        <v>0</v>
      </c>
    </row>
    <row r="3050" spans="1:17" ht="30" x14ac:dyDescent="0.25">
      <c r="A3050" s="2" t="s">
        <v>4800</v>
      </c>
      <c r="B3050" s="3" t="s">
        <v>5015</v>
      </c>
      <c r="C3050" s="3">
        <v>54</v>
      </c>
      <c r="D3050" s="46" t="str">
        <f>IF(Tabla1[[#This Row],[EDAD]]&lt;=35,"Adultos jóvenes 18 - 35 años",IF(C3050&gt;=36,"Adultos mayores 36 años en adelante"))</f>
        <v>Adultos mayores 36 años en adelante</v>
      </c>
      <c r="E3050" s="3" t="s">
        <v>5023</v>
      </c>
      <c r="F3050" s="3" t="s">
        <v>5029</v>
      </c>
      <c r="G3050" s="3" t="s">
        <v>5037</v>
      </c>
      <c r="H3050" s="3" t="s">
        <v>9823</v>
      </c>
      <c r="I3050" s="17">
        <v>45510</v>
      </c>
      <c r="J3050" s="18">
        <f>YEAR(Tabla1[[#This Row],[FECHA DE COMPRA]])</f>
        <v>2024</v>
      </c>
      <c r="K3050" s="19">
        <v>19.25</v>
      </c>
      <c r="L3050" s="20">
        <v>0</v>
      </c>
      <c r="M3050" s="19">
        <f>Tienda!$K1923-Tienda!$K1923*Tienda!$L1923</f>
        <v>124.29900000000001</v>
      </c>
      <c r="N3050" s="3" t="s">
        <v>10040</v>
      </c>
      <c r="O3050" s="3" t="s">
        <v>10041</v>
      </c>
      <c r="P3050" s="17">
        <v>45780</v>
      </c>
      <c r="Q3050" s="4">
        <v>0</v>
      </c>
    </row>
    <row r="3051" spans="1:17" ht="30" x14ac:dyDescent="0.25">
      <c r="A3051" s="2" t="s">
        <v>2053</v>
      </c>
      <c r="B3051" s="3" t="s">
        <v>5016</v>
      </c>
      <c r="C3051" s="3">
        <v>52</v>
      </c>
      <c r="D3051" s="46" t="str">
        <f>IF(Tabla1[[#This Row],[EDAD]]&lt;=35,"Adultos jóvenes 18 - 35 años",IF(C3051&gt;=36,"Adultos mayores 36 años en adelante"))</f>
        <v>Adultos mayores 36 años en adelante</v>
      </c>
      <c r="E3051" s="3" t="s">
        <v>5021</v>
      </c>
      <c r="F3051" s="3" t="s">
        <v>5027</v>
      </c>
      <c r="G3051" s="3" t="s">
        <v>5035</v>
      </c>
      <c r="H3051" s="3" t="s">
        <v>7076</v>
      </c>
      <c r="I3051" s="17">
        <v>45421</v>
      </c>
      <c r="J3051" s="18">
        <f>YEAR(Tabla1[[#This Row],[FECHA DE COMPRA]])</f>
        <v>2024</v>
      </c>
      <c r="K3051" s="19">
        <v>27.94</v>
      </c>
      <c r="L3051" s="20">
        <v>0.3</v>
      </c>
      <c r="M3051" s="19">
        <f>Tienda!$K1924-Tienda!$K1924*Tienda!$L1924</f>
        <v>99.652000000000015</v>
      </c>
      <c r="N3051" s="3" t="s">
        <v>10040</v>
      </c>
      <c r="O3051" s="3" t="s">
        <v>10041</v>
      </c>
      <c r="P3051" s="17">
        <v>45691</v>
      </c>
      <c r="Q3051" s="4">
        <v>0</v>
      </c>
    </row>
    <row r="3052" spans="1:17" ht="30" x14ac:dyDescent="0.25">
      <c r="A3052" s="2" t="s">
        <v>2151</v>
      </c>
      <c r="B3052" s="3" t="s">
        <v>5015</v>
      </c>
      <c r="C3052" s="3">
        <v>46</v>
      </c>
      <c r="D3052" s="46" t="str">
        <f>IF(Tabla1[[#This Row],[EDAD]]&lt;=35,"Adultos jóvenes 18 - 35 años",IF(C3052&gt;=36,"Adultos mayores 36 años en adelante"))</f>
        <v>Adultos mayores 36 años en adelante</v>
      </c>
      <c r="E3052" s="3" t="s">
        <v>5019</v>
      </c>
      <c r="F3052" s="3" t="s">
        <v>5030</v>
      </c>
      <c r="G3052" s="3" t="s">
        <v>5036</v>
      </c>
      <c r="H3052" s="3" t="s">
        <v>7174</v>
      </c>
      <c r="I3052" s="17">
        <v>45361</v>
      </c>
      <c r="J3052" s="18">
        <f>YEAR(Tabla1[[#This Row],[FECHA DE COMPRA]])</f>
        <v>2024</v>
      </c>
      <c r="K3052" s="19">
        <v>21.76</v>
      </c>
      <c r="L3052" s="20">
        <v>0.1</v>
      </c>
      <c r="M3052" s="19">
        <f>Tienda!$K1925-Tienda!$K1925*Tienda!$L1925</f>
        <v>99.5</v>
      </c>
      <c r="N3052" s="3" t="s">
        <v>10040</v>
      </c>
      <c r="O3052" s="3" t="s">
        <v>10041</v>
      </c>
      <c r="P3052" s="17">
        <v>45631</v>
      </c>
      <c r="Q3052" s="4">
        <v>0</v>
      </c>
    </row>
    <row r="3053" spans="1:17" ht="30" x14ac:dyDescent="0.25">
      <c r="A3053" s="2" t="s">
        <v>3911</v>
      </c>
      <c r="B3053" s="3" t="s">
        <v>5015</v>
      </c>
      <c r="C3053" s="3">
        <v>65</v>
      </c>
      <c r="D3053" s="46" t="str">
        <f>IF(Tabla1[[#This Row],[EDAD]]&lt;=35,"Adultos jóvenes 18 - 35 años",IF(C3053&gt;=36,"Adultos mayores 36 años en adelante"))</f>
        <v>Adultos mayores 36 años en adelante</v>
      </c>
      <c r="E3053" s="3" t="s">
        <v>5022</v>
      </c>
      <c r="F3053" s="3" t="s">
        <v>5028</v>
      </c>
      <c r="G3053" s="3" t="s">
        <v>5037</v>
      </c>
      <c r="H3053" s="3" t="s">
        <v>8934</v>
      </c>
      <c r="I3053" s="17">
        <v>45649</v>
      </c>
      <c r="J3053" s="18">
        <f>YEAR(Tabla1[[#This Row],[FECHA DE COMPRA]])</f>
        <v>2024</v>
      </c>
      <c r="K3053" s="19">
        <v>28.5</v>
      </c>
      <c r="L3053" s="20">
        <v>0.3</v>
      </c>
      <c r="M3053" s="19">
        <f>Tienda!$K1926-Tienda!$K1926*Tienda!$L1926</f>
        <v>98.808000000000007</v>
      </c>
      <c r="N3053" s="3" t="s">
        <v>10040</v>
      </c>
      <c r="O3053" s="3" t="s">
        <v>10041</v>
      </c>
      <c r="P3053" s="17">
        <v>45575</v>
      </c>
      <c r="Q3053" s="4">
        <v>0</v>
      </c>
    </row>
    <row r="3054" spans="1:17" ht="30" x14ac:dyDescent="0.25">
      <c r="A3054" s="2" t="s">
        <v>2024</v>
      </c>
      <c r="B3054" s="3" t="s">
        <v>5016</v>
      </c>
      <c r="C3054" s="3">
        <v>39</v>
      </c>
      <c r="D3054" s="46" t="str">
        <f>IF(Tabla1[[#This Row],[EDAD]]&lt;=35,"Adultos jóvenes 18 - 35 años",IF(C3054&gt;=36,"Adultos mayores 36 años en adelante"))</f>
        <v>Adultos mayores 36 años en adelante</v>
      </c>
      <c r="E3054" s="3" t="s">
        <v>5023</v>
      </c>
      <c r="F3054" s="3" t="s">
        <v>5025</v>
      </c>
      <c r="G3054" s="3" t="s">
        <v>5031</v>
      </c>
      <c r="H3054" s="3" t="s">
        <v>7047</v>
      </c>
      <c r="I3054" s="17">
        <v>45344</v>
      </c>
      <c r="J3054" s="18">
        <f>YEAR(Tabla1[[#This Row],[FECHA DE COMPRA]])</f>
        <v>2024</v>
      </c>
      <c r="K3054" s="19">
        <v>28.21</v>
      </c>
      <c r="L3054" s="20">
        <v>0.2</v>
      </c>
      <c r="M3054" s="19">
        <f>Tienda!$K1928-Tienda!$K1928*Tienda!$L1928</f>
        <v>98.8</v>
      </c>
      <c r="N3054" s="3" t="s">
        <v>10040</v>
      </c>
      <c r="O3054" s="3" t="s">
        <v>10041</v>
      </c>
      <c r="P3054" s="17">
        <v>45434</v>
      </c>
      <c r="Q3054" s="4">
        <v>0</v>
      </c>
    </row>
    <row r="3055" spans="1:17" ht="30" x14ac:dyDescent="0.25">
      <c r="A3055" s="2" t="s">
        <v>2873</v>
      </c>
      <c r="B3055" s="3" t="s">
        <v>5015</v>
      </c>
      <c r="C3055" s="3">
        <v>59</v>
      </c>
      <c r="D3055" s="46" t="str">
        <f>IF(Tabla1[[#This Row],[EDAD]]&lt;=35,"Adultos jóvenes 18 - 35 años",IF(C3055&gt;=36,"Adultos mayores 36 años en adelante"))</f>
        <v>Adultos mayores 36 años en adelante</v>
      </c>
      <c r="E3055" s="3" t="s">
        <v>5019</v>
      </c>
      <c r="F3055" s="3" t="s">
        <v>5028</v>
      </c>
      <c r="G3055" s="3" t="s">
        <v>5037</v>
      </c>
      <c r="H3055" s="3" t="s">
        <v>7896</v>
      </c>
      <c r="I3055" s="17">
        <v>45619</v>
      </c>
      <c r="J3055" s="18">
        <f>YEAR(Tabla1[[#This Row],[FECHA DE COMPRA]])</f>
        <v>2024</v>
      </c>
      <c r="K3055" s="19">
        <v>23.4</v>
      </c>
      <c r="L3055" s="20">
        <v>0</v>
      </c>
      <c r="M3055" s="19">
        <f>Tienda!$K1929-Tienda!$K1929*Tienda!$L1929</f>
        <v>155.048</v>
      </c>
      <c r="N3055" s="3" t="s">
        <v>10040</v>
      </c>
      <c r="O3055" s="3" t="s">
        <v>10041</v>
      </c>
      <c r="P3055" s="17">
        <v>45709</v>
      </c>
      <c r="Q3055" s="4">
        <v>0</v>
      </c>
    </row>
    <row r="3056" spans="1:17" ht="30" x14ac:dyDescent="0.25">
      <c r="A3056" s="2" t="s">
        <v>3130</v>
      </c>
      <c r="B3056" s="3" t="s">
        <v>5016</v>
      </c>
      <c r="C3056" s="3">
        <v>42</v>
      </c>
      <c r="D3056" s="46" t="str">
        <f>IF(Tabla1[[#This Row],[EDAD]]&lt;=35,"Adultos jóvenes 18 - 35 años",IF(C3056&gt;=36,"Adultos mayores 36 años en adelante"))</f>
        <v>Adultos mayores 36 años en adelante</v>
      </c>
      <c r="E3056" s="3" t="s">
        <v>5017</v>
      </c>
      <c r="F3056" s="3" t="s">
        <v>5026</v>
      </c>
      <c r="G3056" s="3" t="s">
        <v>5036</v>
      </c>
      <c r="H3056" s="3" t="s">
        <v>8153</v>
      </c>
      <c r="I3056" s="17">
        <v>45483</v>
      </c>
      <c r="J3056" s="18">
        <f>YEAR(Tabla1[[#This Row],[FECHA DE COMPRA]])</f>
        <v>2024</v>
      </c>
      <c r="K3056" s="19">
        <v>26.79</v>
      </c>
      <c r="L3056" s="20">
        <v>0.1</v>
      </c>
      <c r="M3056" s="19">
        <f>Tienda!$K1932-Tienda!$K1932*Tienda!$L1932</f>
        <v>50.328000000000003</v>
      </c>
      <c r="N3056" s="3" t="s">
        <v>10040</v>
      </c>
      <c r="O3056" s="3" t="s">
        <v>10041</v>
      </c>
      <c r="P3056" s="17">
        <v>45753</v>
      </c>
      <c r="Q3056" s="4">
        <v>0</v>
      </c>
    </row>
    <row r="3057" spans="1:17" ht="30" x14ac:dyDescent="0.25">
      <c r="A3057" s="2" t="s">
        <v>3757</v>
      </c>
      <c r="B3057" s="3" t="s">
        <v>5015</v>
      </c>
      <c r="C3057" s="3">
        <v>49</v>
      </c>
      <c r="D3057" s="46" t="str">
        <f>IF(Tabla1[[#This Row],[EDAD]]&lt;=35,"Adultos jóvenes 18 - 35 años",IF(C3057&gt;=36,"Adultos mayores 36 años en adelante"))</f>
        <v>Adultos mayores 36 años en adelante</v>
      </c>
      <c r="E3057" s="3" t="s">
        <v>5019</v>
      </c>
      <c r="F3057" s="3" t="s">
        <v>5026</v>
      </c>
      <c r="G3057" s="3" t="s">
        <v>5036</v>
      </c>
      <c r="H3057" s="3" t="s">
        <v>8780</v>
      </c>
      <c r="I3057" s="17">
        <v>45625</v>
      </c>
      <c r="J3057" s="18">
        <f>YEAR(Tabla1[[#This Row],[FECHA DE COMPRA]])</f>
        <v>2024</v>
      </c>
      <c r="K3057" s="19">
        <v>24.43</v>
      </c>
      <c r="L3057" s="20">
        <v>0</v>
      </c>
      <c r="M3057" s="19">
        <f>Tienda!$K1935-Tienda!$K1935*Tienda!$L1935</f>
        <v>150.28800000000001</v>
      </c>
      <c r="N3057" s="3" t="s">
        <v>10040</v>
      </c>
      <c r="O3057" s="3" t="s">
        <v>10041</v>
      </c>
      <c r="P3057" s="17">
        <v>45715</v>
      </c>
      <c r="Q3057" s="4">
        <v>0</v>
      </c>
    </row>
    <row r="3058" spans="1:17" ht="30" x14ac:dyDescent="0.25">
      <c r="A3058" s="2" t="s">
        <v>4262</v>
      </c>
      <c r="B3058" s="3" t="s">
        <v>5015</v>
      </c>
      <c r="C3058" s="3">
        <v>56</v>
      </c>
      <c r="D3058" s="46" t="str">
        <f>IF(Tabla1[[#This Row],[EDAD]]&lt;=35,"Adultos jóvenes 18 - 35 años",IF(C3058&gt;=36,"Adultos mayores 36 años en adelante"))</f>
        <v>Adultos mayores 36 años en adelante</v>
      </c>
      <c r="E3058" s="3" t="s">
        <v>5018</v>
      </c>
      <c r="F3058" s="3" t="s">
        <v>5028</v>
      </c>
      <c r="G3058" s="3" t="s">
        <v>5036</v>
      </c>
      <c r="H3058" s="3" t="s">
        <v>9285</v>
      </c>
      <c r="I3058" s="17">
        <v>45556</v>
      </c>
      <c r="J3058" s="18">
        <f>YEAR(Tabla1[[#This Row],[FECHA DE COMPRA]])</f>
        <v>2024</v>
      </c>
      <c r="K3058" s="19">
        <v>25.87</v>
      </c>
      <c r="L3058" s="20">
        <v>0</v>
      </c>
      <c r="M3058" s="19">
        <f>Tienda!$K1937-Tienda!$K1937*Tienda!$L1937</f>
        <v>96.88</v>
      </c>
      <c r="N3058" s="3" t="s">
        <v>10040</v>
      </c>
      <c r="O3058" s="3" t="s">
        <v>10041</v>
      </c>
      <c r="P3058" s="17">
        <v>45916</v>
      </c>
      <c r="Q3058" s="4">
        <v>0</v>
      </c>
    </row>
    <row r="3059" spans="1:17" ht="30" x14ac:dyDescent="0.25">
      <c r="A3059" s="2" t="s">
        <v>115</v>
      </c>
      <c r="B3059" s="3" t="s">
        <v>5015</v>
      </c>
      <c r="C3059" s="3">
        <v>62</v>
      </c>
      <c r="D3059" s="46" t="str">
        <f>IF(Tabla1[[#This Row],[EDAD]]&lt;=35,"Adultos jóvenes 18 - 35 años",IF(C3059&gt;=36,"Adultos mayores 36 años en adelante"))</f>
        <v>Adultos mayores 36 años en adelante</v>
      </c>
      <c r="E3059" s="3" t="s">
        <v>5018</v>
      </c>
      <c r="F3059" s="3" t="s">
        <v>5025</v>
      </c>
      <c r="G3059" s="3" t="s">
        <v>5036</v>
      </c>
      <c r="H3059" s="3" t="s">
        <v>5138</v>
      </c>
      <c r="I3059" s="17">
        <v>45366</v>
      </c>
      <c r="J3059" s="18">
        <f>YEAR(Tabla1[[#This Row],[FECHA DE COMPRA]])</f>
        <v>2024</v>
      </c>
      <c r="K3059" s="19">
        <v>32.53</v>
      </c>
      <c r="L3059" s="20">
        <v>0.2</v>
      </c>
      <c r="M3059" s="19">
        <f>Tienda!$K1938-Tienda!$K1938*Tienda!$L1938</f>
        <v>23.921999999999997</v>
      </c>
      <c r="N3059" s="3" t="s">
        <v>10040</v>
      </c>
      <c r="O3059" s="3" t="s">
        <v>10041</v>
      </c>
      <c r="P3059" s="17">
        <v>45456</v>
      </c>
      <c r="Q3059" s="4">
        <v>0</v>
      </c>
    </row>
    <row r="3060" spans="1:17" ht="30" x14ac:dyDescent="0.25">
      <c r="A3060" s="2" t="s">
        <v>2204</v>
      </c>
      <c r="B3060" s="3" t="s">
        <v>5015</v>
      </c>
      <c r="C3060" s="3">
        <v>58</v>
      </c>
      <c r="D3060" s="46" t="str">
        <f>IF(Tabla1[[#This Row],[EDAD]]&lt;=35,"Adultos jóvenes 18 - 35 años",IF(C3060&gt;=36,"Adultos mayores 36 años en adelante"))</f>
        <v>Adultos mayores 36 años en adelante</v>
      </c>
      <c r="E3060" s="3" t="s">
        <v>5021</v>
      </c>
      <c r="F3060" s="3" t="s">
        <v>5024</v>
      </c>
      <c r="G3060" s="3" t="s">
        <v>5037</v>
      </c>
      <c r="H3060" s="3" t="s">
        <v>7227</v>
      </c>
      <c r="I3060" s="17">
        <v>45566</v>
      </c>
      <c r="J3060" s="18">
        <f>YEAR(Tabla1[[#This Row],[FECHA DE COMPRA]])</f>
        <v>2024</v>
      </c>
      <c r="K3060" s="19">
        <v>29.91</v>
      </c>
      <c r="L3060" s="20">
        <v>0.1</v>
      </c>
      <c r="M3060" s="19">
        <f>Tienda!$K1939-Tienda!$K1939*Tienda!$L1939</f>
        <v>199.79</v>
      </c>
      <c r="N3060" s="3" t="s">
        <v>10040</v>
      </c>
      <c r="O3060" s="3" t="s">
        <v>10041</v>
      </c>
      <c r="P3060" s="17">
        <v>45836</v>
      </c>
      <c r="Q3060" s="4">
        <v>0</v>
      </c>
    </row>
    <row r="3061" spans="1:17" ht="30" x14ac:dyDescent="0.25">
      <c r="A3061" s="2" t="s">
        <v>2854</v>
      </c>
      <c r="B3061" s="3" t="s">
        <v>5015</v>
      </c>
      <c r="C3061" s="3">
        <v>37</v>
      </c>
      <c r="D3061" s="46" t="str">
        <f>IF(Tabla1[[#This Row],[EDAD]]&lt;=35,"Adultos jóvenes 18 - 35 años",IF(C3061&gt;=36,"Adultos mayores 36 años en adelante"))</f>
        <v>Adultos mayores 36 años en adelante</v>
      </c>
      <c r="E3061" s="3" t="s">
        <v>5023</v>
      </c>
      <c r="F3061" s="3" t="s">
        <v>5025</v>
      </c>
      <c r="G3061" s="3" t="s">
        <v>5035</v>
      </c>
      <c r="H3061" s="3" t="s">
        <v>7877</v>
      </c>
      <c r="I3061" s="17">
        <v>45350</v>
      </c>
      <c r="J3061" s="18">
        <f>YEAR(Tabla1[[#This Row],[FECHA DE COMPRA]])</f>
        <v>2024</v>
      </c>
      <c r="K3061" s="19">
        <v>27.22</v>
      </c>
      <c r="L3061" s="20">
        <v>0</v>
      </c>
      <c r="M3061" s="19">
        <f>Tienda!$K1940-Tienda!$K1940*Tienda!$L1940</f>
        <v>44.639000000000003</v>
      </c>
      <c r="N3061" s="3" t="s">
        <v>10040</v>
      </c>
      <c r="O3061" s="3" t="s">
        <v>10041</v>
      </c>
      <c r="P3061" s="17">
        <v>45530</v>
      </c>
      <c r="Q3061" s="4">
        <v>0</v>
      </c>
    </row>
    <row r="3062" spans="1:17" ht="30" x14ac:dyDescent="0.25">
      <c r="A3062" s="2" t="s">
        <v>3816</v>
      </c>
      <c r="B3062" s="3" t="s">
        <v>5015</v>
      </c>
      <c r="C3062" s="3">
        <v>45</v>
      </c>
      <c r="D3062" s="46" t="str">
        <f>IF(Tabla1[[#This Row],[EDAD]]&lt;=35,"Adultos jóvenes 18 - 35 años",IF(C3062&gt;=36,"Adultos mayores 36 años en adelante"))</f>
        <v>Adultos mayores 36 años en adelante</v>
      </c>
      <c r="E3062" s="3" t="s">
        <v>5018</v>
      </c>
      <c r="F3062" s="3" t="s">
        <v>5025</v>
      </c>
      <c r="G3062" s="3" t="s">
        <v>5035</v>
      </c>
      <c r="H3062" s="3" t="s">
        <v>8839</v>
      </c>
      <c r="I3062" s="17">
        <v>45539</v>
      </c>
      <c r="J3062" s="18">
        <f>YEAR(Tabla1[[#This Row],[FECHA DE COMPRA]])</f>
        <v>2024</v>
      </c>
      <c r="K3062" s="19">
        <v>34.130000000000003</v>
      </c>
      <c r="L3062" s="20">
        <v>0.2</v>
      </c>
      <c r="M3062" s="19">
        <f>Tienda!$K1943-Tienda!$K1943*Tienda!$L1943</f>
        <v>50.88</v>
      </c>
      <c r="N3062" s="3" t="s">
        <v>10040</v>
      </c>
      <c r="O3062" s="3" t="s">
        <v>10041</v>
      </c>
      <c r="P3062" s="17">
        <v>45719</v>
      </c>
      <c r="Q3062" s="4">
        <v>0</v>
      </c>
    </row>
    <row r="3063" spans="1:17" ht="30" x14ac:dyDescent="0.25">
      <c r="A3063" s="2" t="s">
        <v>4938</v>
      </c>
      <c r="B3063" s="3" t="s">
        <v>5015</v>
      </c>
      <c r="C3063" s="3">
        <v>45</v>
      </c>
      <c r="D3063" s="46" t="str">
        <f>IF(Tabla1[[#This Row],[EDAD]]&lt;=35,"Adultos jóvenes 18 - 35 años",IF(C3063&gt;=36,"Adultos mayores 36 años en adelante"))</f>
        <v>Adultos mayores 36 años en adelante</v>
      </c>
      <c r="E3063" s="3" t="s">
        <v>5018</v>
      </c>
      <c r="F3063" s="3" t="s">
        <v>5029</v>
      </c>
      <c r="G3063" s="3" t="s">
        <v>5036</v>
      </c>
      <c r="H3063" s="3" t="s">
        <v>9961</v>
      </c>
      <c r="I3063" s="17">
        <v>45333</v>
      </c>
      <c r="J3063" s="18">
        <f>YEAR(Tabla1[[#This Row],[FECHA DE COMPRA]])</f>
        <v>2024</v>
      </c>
      <c r="K3063" s="19">
        <v>30.52</v>
      </c>
      <c r="L3063" s="20">
        <v>0.1</v>
      </c>
      <c r="M3063" s="19">
        <f>Tienda!$K1944-Tienda!$K1944*Tienda!$L1944</f>
        <v>102.30500000000001</v>
      </c>
      <c r="N3063" s="3" t="s">
        <v>10040</v>
      </c>
      <c r="O3063" s="3" t="s">
        <v>10041</v>
      </c>
      <c r="P3063" s="17">
        <v>45603</v>
      </c>
      <c r="Q3063" s="4">
        <v>0</v>
      </c>
    </row>
    <row r="3064" spans="1:17" ht="30" x14ac:dyDescent="0.25">
      <c r="A3064" s="2" t="s">
        <v>2579</v>
      </c>
      <c r="B3064" s="3" t="s">
        <v>5016</v>
      </c>
      <c r="C3064" s="3">
        <v>62</v>
      </c>
      <c r="D3064" s="46" t="str">
        <f>IF(Tabla1[[#This Row],[EDAD]]&lt;=35,"Adultos jóvenes 18 - 35 años",IF(C3064&gt;=36,"Adultos mayores 36 años en adelante"))</f>
        <v>Adultos mayores 36 años en adelante</v>
      </c>
      <c r="E3064" s="3" t="s">
        <v>5019</v>
      </c>
      <c r="F3064" s="3" t="s">
        <v>5026</v>
      </c>
      <c r="G3064" s="3" t="s">
        <v>5035</v>
      </c>
      <c r="H3064" s="3" t="s">
        <v>7602</v>
      </c>
      <c r="I3064" s="17">
        <v>45439</v>
      </c>
      <c r="J3064" s="18">
        <f>YEAR(Tabla1[[#This Row],[FECHA DE COMPRA]])</f>
        <v>2024</v>
      </c>
      <c r="K3064" s="19">
        <v>40.380000000000003</v>
      </c>
      <c r="L3064" s="20">
        <v>0.3</v>
      </c>
      <c r="M3064" s="19">
        <f>Tienda!$K1945-Tienda!$K1945*Tienda!$L1945</f>
        <v>173.72</v>
      </c>
      <c r="N3064" s="3" t="s">
        <v>10040</v>
      </c>
      <c r="O3064" s="3" t="s">
        <v>10041</v>
      </c>
      <c r="P3064" s="17">
        <v>45709</v>
      </c>
      <c r="Q3064" s="4">
        <v>0</v>
      </c>
    </row>
    <row r="3065" spans="1:17" ht="30" x14ac:dyDescent="0.25">
      <c r="A3065" s="2" t="s">
        <v>3159</v>
      </c>
      <c r="B3065" s="3" t="s">
        <v>5015</v>
      </c>
      <c r="C3065" s="3">
        <v>41</v>
      </c>
      <c r="D3065" s="46" t="str">
        <f>IF(Tabla1[[#This Row],[EDAD]]&lt;=35,"Adultos jóvenes 18 - 35 años",IF(C3065&gt;=36,"Adultos mayores 36 años en adelante"))</f>
        <v>Adultos mayores 36 años en adelante</v>
      </c>
      <c r="E3065" s="3" t="s">
        <v>5019</v>
      </c>
      <c r="F3065" s="3" t="s">
        <v>5024</v>
      </c>
      <c r="G3065" s="3" t="s">
        <v>5033</v>
      </c>
      <c r="H3065" s="3" t="s">
        <v>8182</v>
      </c>
      <c r="I3065" s="17">
        <v>45350</v>
      </c>
      <c r="J3065" s="18">
        <f>YEAR(Tabla1[[#This Row],[FECHA DE COMPRA]])</f>
        <v>2024</v>
      </c>
      <c r="K3065" s="19">
        <v>31.66</v>
      </c>
      <c r="L3065" s="20">
        <v>0.1</v>
      </c>
      <c r="M3065" s="19">
        <f>Tienda!$K1946-Tienda!$K1946*Tienda!$L1946</f>
        <v>70.17</v>
      </c>
      <c r="N3065" s="3" t="s">
        <v>10040</v>
      </c>
      <c r="O3065" s="3" t="s">
        <v>10041</v>
      </c>
      <c r="P3065" s="17">
        <v>45530</v>
      </c>
      <c r="Q3065" s="4">
        <v>0</v>
      </c>
    </row>
    <row r="3066" spans="1:17" ht="30" x14ac:dyDescent="0.25">
      <c r="A3066" s="2" t="s">
        <v>2993</v>
      </c>
      <c r="B3066" s="3" t="s">
        <v>5016</v>
      </c>
      <c r="C3066" s="3">
        <v>58</v>
      </c>
      <c r="D3066" s="46" t="str">
        <f>IF(Tabla1[[#This Row],[EDAD]]&lt;=35,"Adultos jóvenes 18 - 35 años",IF(C3066&gt;=36,"Adultos mayores 36 años en adelante"))</f>
        <v>Adultos mayores 36 años en adelante</v>
      </c>
      <c r="E3066" s="3" t="s">
        <v>5017</v>
      </c>
      <c r="F3066" s="3" t="s">
        <v>5030</v>
      </c>
      <c r="G3066" s="3" t="s">
        <v>5037</v>
      </c>
      <c r="H3066" s="3" t="s">
        <v>8016</v>
      </c>
      <c r="I3066" s="17">
        <v>45595</v>
      </c>
      <c r="J3066" s="18">
        <f>YEAR(Tabla1[[#This Row],[FECHA DE COMPRA]])</f>
        <v>2024</v>
      </c>
      <c r="K3066" s="19">
        <v>41.79</v>
      </c>
      <c r="L3066" s="20">
        <v>0.3</v>
      </c>
      <c r="M3066" s="19">
        <f>Tienda!$K1949-Tienda!$K1949*Tienda!$L1949</f>
        <v>146.91</v>
      </c>
      <c r="N3066" s="3" t="s">
        <v>10040</v>
      </c>
      <c r="O3066" s="3" t="s">
        <v>10041</v>
      </c>
      <c r="P3066" s="17">
        <v>45775</v>
      </c>
      <c r="Q3066" s="4">
        <v>0</v>
      </c>
    </row>
    <row r="3067" spans="1:17" ht="30" x14ac:dyDescent="0.25">
      <c r="A3067" s="2" t="s">
        <v>837</v>
      </c>
      <c r="B3067" s="3" t="s">
        <v>5015</v>
      </c>
      <c r="C3067" s="3">
        <v>59</v>
      </c>
      <c r="D3067" s="46" t="str">
        <f>IF(Tabla1[[#This Row],[EDAD]]&lt;=35,"Adultos jóvenes 18 - 35 años",IF(C3067&gt;=36,"Adultos mayores 36 años en adelante"))</f>
        <v>Adultos mayores 36 años en adelante</v>
      </c>
      <c r="E3067" s="3" t="s">
        <v>5022</v>
      </c>
      <c r="F3067" s="3" t="s">
        <v>5028</v>
      </c>
      <c r="G3067" s="3" t="s">
        <v>5031</v>
      </c>
      <c r="H3067" s="3" t="s">
        <v>5860</v>
      </c>
      <c r="I3067" s="17">
        <v>45649</v>
      </c>
      <c r="J3067" s="18">
        <f>YEAR(Tabla1[[#This Row],[FECHA DE COMPRA]])</f>
        <v>2024</v>
      </c>
      <c r="K3067" s="19">
        <v>29.48</v>
      </c>
      <c r="L3067" s="20">
        <v>0</v>
      </c>
      <c r="M3067" s="19">
        <f>Tienda!$K1950-Tienda!$K1950*Tienda!$L1950</f>
        <v>147.50399999999999</v>
      </c>
      <c r="N3067" s="3" t="s">
        <v>10040</v>
      </c>
      <c r="O3067" s="3" t="s">
        <v>10041</v>
      </c>
      <c r="P3067" s="17">
        <v>45478</v>
      </c>
      <c r="Q3067" s="4">
        <v>0</v>
      </c>
    </row>
    <row r="3068" spans="1:17" ht="30" x14ac:dyDescent="0.25">
      <c r="A3068" s="2" t="s">
        <v>1380</v>
      </c>
      <c r="B3068" s="3" t="s">
        <v>5016</v>
      </c>
      <c r="C3068" s="3">
        <v>53</v>
      </c>
      <c r="D3068" s="46" t="str">
        <f>IF(Tabla1[[#This Row],[EDAD]]&lt;=35,"Adultos jóvenes 18 - 35 años",IF(C3068&gt;=36,"Adultos mayores 36 años en adelante"))</f>
        <v>Adultos mayores 36 años en adelante</v>
      </c>
      <c r="E3068" s="3" t="s">
        <v>5023</v>
      </c>
      <c r="F3068" s="3" t="s">
        <v>5028</v>
      </c>
      <c r="G3068" s="3" t="s">
        <v>5033</v>
      </c>
      <c r="H3068" s="3" t="s">
        <v>6403</v>
      </c>
      <c r="I3068" s="17">
        <v>45421</v>
      </c>
      <c r="J3068" s="18">
        <f>YEAR(Tabla1[[#This Row],[FECHA DE COMPRA]])</f>
        <v>2024</v>
      </c>
      <c r="K3068" s="19">
        <v>33.74</v>
      </c>
      <c r="L3068" s="20">
        <v>0.1</v>
      </c>
      <c r="M3068" s="19">
        <f>Tienda!$K1952-Tienda!$K1952*Tienda!$L1952</f>
        <v>60.480000000000004</v>
      </c>
      <c r="N3068" s="3" t="s">
        <v>10040</v>
      </c>
      <c r="O3068" s="3" t="s">
        <v>10041</v>
      </c>
      <c r="P3068" s="17">
        <v>45781</v>
      </c>
      <c r="Q3068" s="4">
        <v>0</v>
      </c>
    </row>
    <row r="3069" spans="1:17" ht="30" x14ac:dyDescent="0.25">
      <c r="A3069" s="2" t="s">
        <v>2780</v>
      </c>
      <c r="B3069" s="3" t="s">
        <v>5016</v>
      </c>
      <c r="C3069" s="3">
        <v>62</v>
      </c>
      <c r="D3069" s="46" t="str">
        <f>IF(Tabla1[[#This Row],[EDAD]]&lt;=35,"Adultos jóvenes 18 - 35 años",IF(C3069&gt;=36,"Adultos mayores 36 años en adelante"))</f>
        <v>Adultos mayores 36 años en adelante</v>
      </c>
      <c r="E3069" s="3" t="s">
        <v>5017</v>
      </c>
      <c r="F3069" s="3" t="s">
        <v>5029</v>
      </c>
      <c r="G3069" s="3" t="s">
        <v>5036</v>
      </c>
      <c r="H3069" s="3" t="s">
        <v>7803</v>
      </c>
      <c r="I3069" s="17">
        <v>45381</v>
      </c>
      <c r="J3069" s="18">
        <f>YEAR(Tabla1[[#This Row],[FECHA DE COMPRA]])</f>
        <v>2024</v>
      </c>
      <c r="K3069" s="19">
        <v>30.78</v>
      </c>
      <c r="L3069" s="20">
        <v>0</v>
      </c>
      <c r="M3069" s="19">
        <f>Tienda!$K1954-Tienda!$K1954*Tienda!$L1954</f>
        <v>93.437999999999988</v>
      </c>
      <c r="N3069" s="3" t="s">
        <v>10040</v>
      </c>
      <c r="O3069" s="3" t="s">
        <v>10041</v>
      </c>
      <c r="P3069" s="17">
        <v>45471</v>
      </c>
      <c r="Q3069" s="4">
        <v>0</v>
      </c>
    </row>
    <row r="3070" spans="1:17" ht="30" x14ac:dyDescent="0.25">
      <c r="A3070" s="2" t="s">
        <v>4524</v>
      </c>
      <c r="B3070" s="3" t="s">
        <v>5016</v>
      </c>
      <c r="C3070" s="3">
        <v>40</v>
      </c>
      <c r="D3070" s="46" t="str">
        <f>IF(Tabla1[[#This Row],[EDAD]]&lt;=35,"Adultos jóvenes 18 - 35 años",IF(C3070&gt;=36,"Adultos mayores 36 años en adelante"))</f>
        <v>Adultos mayores 36 años en adelante</v>
      </c>
      <c r="E3070" s="3" t="s">
        <v>5023</v>
      </c>
      <c r="F3070" s="3" t="s">
        <v>5030</v>
      </c>
      <c r="G3070" s="3" t="s">
        <v>5036</v>
      </c>
      <c r="H3070" s="3" t="s">
        <v>9547</v>
      </c>
      <c r="I3070" s="17">
        <v>45403</v>
      </c>
      <c r="J3070" s="18">
        <f>YEAR(Tabla1[[#This Row],[FECHA DE COMPRA]])</f>
        <v>2024</v>
      </c>
      <c r="K3070" s="19">
        <v>34.74</v>
      </c>
      <c r="L3070" s="20">
        <v>0.1</v>
      </c>
      <c r="M3070" s="19">
        <f>Tienda!$K1957-Tienda!$K1957*Tienda!$L1957</f>
        <v>87.263999999999996</v>
      </c>
      <c r="N3070" s="3" t="s">
        <v>10040</v>
      </c>
      <c r="O3070" s="3" t="s">
        <v>10041</v>
      </c>
      <c r="P3070" s="17">
        <v>45583</v>
      </c>
      <c r="Q3070" s="4">
        <v>0</v>
      </c>
    </row>
    <row r="3071" spans="1:17" ht="30" x14ac:dyDescent="0.25">
      <c r="A3071" s="2" t="s">
        <v>27</v>
      </c>
      <c r="B3071" s="3" t="s">
        <v>5015</v>
      </c>
      <c r="C3071" s="3">
        <v>36</v>
      </c>
      <c r="D3071" s="46" t="str">
        <f>IF(Tabla1[[#This Row],[EDAD]]&lt;=35,"Adultos jóvenes 18 - 35 años",IF(C3071&gt;=36,"Adultos mayores 36 años en adelante"))</f>
        <v>Adultos mayores 36 años en adelante</v>
      </c>
      <c r="E3071" s="3" t="s">
        <v>5022</v>
      </c>
      <c r="F3071" s="3" t="s">
        <v>5028</v>
      </c>
      <c r="G3071" s="3" t="s">
        <v>5031</v>
      </c>
      <c r="H3071" s="3" t="s">
        <v>5050</v>
      </c>
      <c r="I3071" s="17">
        <v>45627</v>
      </c>
      <c r="J3071" s="18">
        <f>YEAR(Tabla1[[#This Row],[FECHA DE COMPRA]])</f>
        <v>2024</v>
      </c>
      <c r="K3071" s="19">
        <v>31.31</v>
      </c>
      <c r="L3071" s="20">
        <v>0</v>
      </c>
      <c r="M3071" s="19">
        <f>Tienda!$K1958-Tienda!$K1958*Tienda!$L1958</f>
        <v>97.256</v>
      </c>
      <c r="N3071" s="3" t="s">
        <v>10040</v>
      </c>
      <c r="O3071" s="3" t="s">
        <v>10041</v>
      </c>
      <c r="P3071" s="17">
        <v>45987</v>
      </c>
      <c r="Q3071" s="4">
        <v>0</v>
      </c>
    </row>
    <row r="3072" spans="1:17" ht="30" x14ac:dyDescent="0.25">
      <c r="A3072" s="2" t="s">
        <v>4665</v>
      </c>
      <c r="B3072" s="3" t="s">
        <v>5015</v>
      </c>
      <c r="C3072" s="3">
        <v>36</v>
      </c>
      <c r="D3072" s="46" t="str">
        <f>IF(Tabla1[[#This Row],[EDAD]]&lt;=35,"Adultos jóvenes 18 - 35 años",IF(C3072&gt;=36,"Adultos mayores 36 años en adelante"))</f>
        <v>Adultos mayores 36 años en adelante</v>
      </c>
      <c r="E3072" s="3" t="s">
        <v>5017</v>
      </c>
      <c r="F3072" s="3" t="s">
        <v>5025</v>
      </c>
      <c r="G3072" s="3" t="s">
        <v>5032</v>
      </c>
      <c r="H3072" s="3" t="s">
        <v>9688</v>
      </c>
      <c r="I3072" s="17">
        <v>45326</v>
      </c>
      <c r="J3072" s="18">
        <f>YEAR(Tabla1[[#This Row],[FECHA DE COMPRA]])</f>
        <v>2024</v>
      </c>
      <c r="K3072" s="19">
        <v>35.909999999999997</v>
      </c>
      <c r="L3072" s="20">
        <v>0.1</v>
      </c>
      <c r="M3072" s="19">
        <f>Tienda!$K1960-Tienda!$K1960*Tienda!$L1960</f>
        <v>137.57599999999999</v>
      </c>
      <c r="N3072" s="3" t="s">
        <v>10040</v>
      </c>
      <c r="O3072" s="3" t="s">
        <v>10041</v>
      </c>
      <c r="P3072" s="17">
        <v>45416</v>
      </c>
      <c r="Q3072" s="4">
        <v>0</v>
      </c>
    </row>
    <row r="3073" spans="1:17" ht="30" x14ac:dyDescent="0.25">
      <c r="A3073" s="2" t="s">
        <v>3339</v>
      </c>
      <c r="B3073" s="3" t="s">
        <v>5015</v>
      </c>
      <c r="C3073" s="3">
        <v>54</v>
      </c>
      <c r="D3073" s="46" t="str">
        <f>IF(Tabla1[[#This Row],[EDAD]]&lt;=35,"Adultos jóvenes 18 - 35 años",IF(C3073&gt;=36,"Adultos mayores 36 años en adelante"))</f>
        <v>Adultos mayores 36 años en adelante</v>
      </c>
      <c r="E3073" s="3" t="s">
        <v>5022</v>
      </c>
      <c r="F3073" s="3" t="s">
        <v>5024</v>
      </c>
      <c r="G3073" s="3" t="s">
        <v>5034</v>
      </c>
      <c r="H3073" s="3" t="s">
        <v>8362</v>
      </c>
      <c r="I3073" s="17">
        <v>45422</v>
      </c>
      <c r="J3073" s="18">
        <f>YEAR(Tabla1[[#This Row],[FECHA DE COMPRA]])</f>
        <v>2024</v>
      </c>
      <c r="K3073" s="19">
        <v>41.3</v>
      </c>
      <c r="L3073" s="20">
        <v>0.2</v>
      </c>
      <c r="M3073" s="19">
        <f>Tienda!$K1961-Tienda!$K1961*Tienda!$L1961</f>
        <v>144.14400000000001</v>
      </c>
      <c r="N3073" s="3" t="s">
        <v>10040</v>
      </c>
      <c r="O3073" s="3" t="s">
        <v>10041</v>
      </c>
      <c r="P3073" s="17">
        <v>45692</v>
      </c>
      <c r="Q3073" s="4">
        <v>0</v>
      </c>
    </row>
    <row r="3074" spans="1:17" ht="30" x14ac:dyDescent="0.25">
      <c r="A3074" s="2" t="s">
        <v>4767</v>
      </c>
      <c r="B3074" s="3" t="s">
        <v>5016</v>
      </c>
      <c r="C3074" s="3">
        <v>52</v>
      </c>
      <c r="D3074" s="46" t="str">
        <f>IF(Tabla1[[#This Row],[EDAD]]&lt;=35,"Adultos jóvenes 18 - 35 años",IF(C3074&gt;=36,"Adultos mayores 36 años en adelante"))</f>
        <v>Adultos mayores 36 años en adelante</v>
      </c>
      <c r="E3074" s="3" t="s">
        <v>5023</v>
      </c>
      <c r="F3074" s="3" t="s">
        <v>5029</v>
      </c>
      <c r="G3074" s="3" t="s">
        <v>5035</v>
      </c>
      <c r="H3074" s="3" t="s">
        <v>9790</v>
      </c>
      <c r="I3074" s="17">
        <v>45532</v>
      </c>
      <c r="J3074" s="18">
        <f>YEAR(Tabla1[[#This Row],[FECHA DE COMPRA]])</f>
        <v>2024</v>
      </c>
      <c r="K3074" s="19">
        <v>33.299999999999997</v>
      </c>
      <c r="L3074" s="20">
        <v>0</v>
      </c>
      <c r="M3074" s="19">
        <f>Tienda!$K1962-Tienda!$K1962*Tienda!$L1962</f>
        <v>127.14400000000001</v>
      </c>
      <c r="N3074" s="3" t="s">
        <v>10040</v>
      </c>
      <c r="O3074" s="3" t="s">
        <v>10041</v>
      </c>
      <c r="P3074" s="17">
        <v>45802</v>
      </c>
      <c r="Q3074" s="4">
        <v>0</v>
      </c>
    </row>
    <row r="3075" spans="1:17" ht="30" x14ac:dyDescent="0.25">
      <c r="A3075" s="2" t="s">
        <v>429</v>
      </c>
      <c r="B3075" s="3" t="s">
        <v>5015</v>
      </c>
      <c r="C3075" s="3">
        <v>36</v>
      </c>
      <c r="D3075" s="46" t="str">
        <f>IF(Tabla1[[#This Row],[EDAD]]&lt;=35,"Adultos jóvenes 18 - 35 años",IF(C3075&gt;=36,"Adultos mayores 36 años en adelante"))</f>
        <v>Adultos mayores 36 años en adelante</v>
      </c>
      <c r="E3075" s="3" t="s">
        <v>5022</v>
      </c>
      <c r="F3075" s="3" t="s">
        <v>5024</v>
      </c>
      <c r="G3075" s="3" t="s">
        <v>5031</v>
      </c>
      <c r="H3075" s="3" t="s">
        <v>5452</v>
      </c>
      <c r="I3075" s="17">
        <v>45598</v>
      </c>
      <c r="J3075" s="18">
        <f>YEAR(Tabla1[[#This Row],[FECHA DE COMPRA]])</f>
        <v>2024</v>
      </c>
      <c r="K3075" s="19">
        <v>42.84</v>
      </c>
      <c r="L3075" s="20">
        <v>0.2</v>
      </c>
      <c r="M3075" s="19">
        <f>Tienda!$K1964-Tienda!$K1964*Tienda!$L1964</f>
        <v>41.561999999999998</v>
      </c>
      <c r="N3075" s="3" t="s">
        <v>10040</v>
      </c>
      <c r="O3075" s="3" t="s">
        <v>10041</v>
      </c>
      <c r="P3075" s="17">
        <v>45778</v>
      </c>
      <c r="Q3075" s="4">
        <v>0</v>
      </c>
    </row>
    <row r="3076" spans="1:17" ht="30" x14ac:dyDescent="0.25">
      <c r="A3076" s="2" t="s">
        <v>4328</v>
      </c>
      <c r="B3076" s="3" t="s">
        <v>5015</v>
      </c>
      <c r="C3076" s="3">
        <v>52</v>
      </c>
      <c r="D3076" s="46" t="str">
        <f>IF(Tabla1[[#This Row],[EDAD]]&lt;=35,"Adultos jóvenes 18 - 35 años",IF(C3076&gt;=36,"Adultos mayores 36 años en adelante"))</f>
        <v>Adultos mayores 36 años en adelante</v>
      </c>
      <c r="E3076" s="3" t="s">
        <v>5018</v>
      </c>
      <c r="F3076" s="3" t="s">
        <v>5025</v>
      </c>
      <c r="G3076" s="3" t="s">
        <v>5034</v>
      </c>
      <c r="H3076" s="3" t="s">
        <v>9351</v>
      </c>
      <c r="I3076" s="17">
        <v>45622</v>
      </c>
      <c r="J3076" s="18">
        <f>YEAR(Tabla1[[#This Row],[FECHA DE COMPRA]])</f>
        <v>2024</v>
      </c>
      <c r="K3076" s="19">
        <v>49.28</v>
      </c>
      <c r="L3076" s="20">
        <v>0.3</v>
      </c>
      <c r="M3076" s="19">
        <f>Tienda!$K1966-Tienda!$K1966*Tienda!$L1966</f>
        <v>88.97</v>
      </c>
      <c r="N3076" s="3" t="s">
        <v>10040</v>
      </c>
      <c r="O3076" s="3" t="s">
        <v>10041</v>
      </c>
      <c r="P3076" s="17">
        <v>45982</v>
      </c>
      <c r="Q3076" s="4">
        <v>0</v>
      </c>
    </row>
    <row r="3077" spans="1:17" ht="30" x14ac:dyDescent="0.25">
      <c r="A3077" s="2" t="s">
        <v>1247</v>
      </c>
      <c r="B3077" s="3" t="s">
        <v>5015</v>
      </c>
      <c r="C3077" s="3">
        <v>38</v>
      </c>
      <c r="D3077" s="46" t="str">
        <f>IF(Tabla1[[#This Row],[EDAD]]&lt;=35,"Adultos jóvenes 18 - 35 años",IF(C3077&gt;=36,"Adultos mayores 36 años en adelante"))</f>
        <v>Adultos mayores 36 años en adelante</v>
      </c>
      <c r="E3077" s="3" t="s">
        <v>5020</v>
      </c>
      <c r="F3077" s="3" t="s">
        <v>5026</v>
      </c>
      <c r="G3077" s="3" t="s">
        <v>5033</v>
      </c>
      <c r="H3077" s="3" t="s">
        <v>6270</v>
      </c>
      <c r="I3077" s="17">
        <v>45345</v>
      </c>
      <c r="J3077" s="18">
        <f>YEAR(Tabla1[[#This Row],[FECHA DE COMPRA]])</f>
        <v>2024</v>
      </c>
      <c r="K3077" s="19">
        <v>34.520000000000003</v>
      </c>
      <c r="L3077" s="20">
        <v>0</v>
      </c>
      <c r="M3077" s="19">
        <f>Tienda!$K1967-Tienda!$K1967*Tienda!$L1967</f>
        <v>154.84800000000001</v>
      </c>
      <c r="N3077" s="3" t="s">
        <v>10040</v>
      </c>
      <c r="O3077" s="3" t="s">
        <v>10041</v>
      </c>
      <c r="P3077" s="17">
        <v>45615</v>
      </c>
      <c r="Q3077" s="4">
        <v>0</v>
      </c>
    </row>
    <row r="3078" spans="1:17" ht="30" x14ac:dyDescent="0.25">
      <c r="A3078" s="2" t="s">
        <v>4036</v>
      </c>
      <c r="B3078" s="3" t="s">
        <v>5015</v>
      </c>
      <c r="C3078" s="3">
        <v>58</v>
      </c>
      <c r="D3078" s="46" t="str">
        <f>IF(Tabla1[[#This Row],[EDAD]]&lt;=35,"Adultos jóvenes 18 - 35 años",IF(C3078&gt;=36,"Adultos mayores 36 años en adelante"))</f>
        <v>Adultos mayores 36 años en adelante</v>
      </c>
      <c r="E3078" s="3" t="s">
        <v>5017</v>
      </c>
      <c r="F3078" s="3" t="s">
        <v>5029</v>
      </c>
      <c r="G3078" s="3" t="s">
        <v>5036</v>
      </c>
      <c r="H3078" s="3" t="s">
        <v>9059</v>
      </c>
      <c r="I3078" s="17">
        <v>45341</v>
      </c>
      <c r="J3078" s="18">
        <f>YEAR(Tabla1[[#This Row],[FECHA DE COMPRA]])</f>
        <v>2024</v>
      </c>
      <c r="K3078" s="19">
        <v>38.43</v>
      </c>
      <c r="L3078" s="20">
        <v>0.1</v>
      </c>
      <c r="M3078" s="19">
        <f>Tienda!$K1968-Tienda!$K1968*Tienda!$L1968</f>
        <v>107.28800000000001</v>
      </c>
      <c r="N3078" s="3" t="s">
        <v>10040</v>
      </c>
      <c r="O3078" s="3" t="s">
        <v>10041</v>
      </c>
      <c r="P3078" s="17">
        <v>45611</v>
      </c>
      <c r="Q3078" s="4">
        <v>0</v>
      </c>
    </row>
    <row r="3079" spans="1:17" ht="30" x14ac:dyDescent="0.25">
      <c r="A3079" s="2" t="s">
        <v>698</v>
      </c>
      <c r="B3079" s="3" t="s">
        <v>5015</v>
      </c>
      <c r="C3079" s="3">
        <v>55</v>
      </c>
      <c r="D3079" s="46" t="str">
        <f>IF(Tabla1[[#This Row],[EDAD]]&lt;=35,"Adultos jóvenes 18 - 35 años",IF(C3079&gt;=36,"Adultos mayores 36 años en adelante"))</f>
        <v>Adultos mayores 36 años en adelante</v>
      </c>
      <c r="E3079" s="3" t="s">
        <v>5018</v>
      </c>
      <c r="F3079" s="3" t="s">
        <v>5028</v>
      </c>
      <c r="G3079" s="3" t="s">
        <v>5037</v>
      </c>
      <c r="H3079" s="3" t="s">
        <v>5721</v>
      </c>
      <c r="I3079" s="17">
        <v>45614</v>
      </c>
      <c r="J3079" s="18">
        <f>YEAR(Tabla1[[#This Row],[FECHA DE COMPRA]])</f>
        <v>2024</v>
      </c>
      <c r="K3079" s="19">
        <v>51.36</v>
      </c>
      <c r="L3079" s="20">
        <v>0.3</v>
      </c>
      <c r="M3079" s="19">
        <f>Tienda!$K1974-Tienda!$K1974*Tienda!$L1974</f>
        <v>19.957000000000001</v>
      </c>
      <c r="N3079" s="3" t="s">
        <v>10040</v>
      </c>
      <c r="O3079" s="3" t="s">
        <v>10041</v>
      </c>
      <c r="P3079" s="17">
        <v>45884</v>
      </c>
      <c r="Q3079" s="4">
        <v>0</v>
      </c>
    </row>
    <row r="3080" spans="1:17" ht="30" x14ac:dyDescent="0.25">
      <c r="A3080" s="2" t="s">
        <v>2690</v>
      </c>
      <c r="B3080" s="3" t="s">
        <v>5015</v>
      </c>
      <c r="C3080" s="3">
        <v>54</v>
      </c>
      <c r="D3080" s="46" t="str">
        <f>IF(Tabla1[[#This Row],[EDAD]]&lt;=35,"Adultos jóvenes 18 - 35 años",IF(C3080&gt;=36,"Adultos mayores 36 años en adelante"))</f>
        <v>Adultos mayores 36 años en adelante</v>
      </c>
      <c r="E3080" s="3" t="s">
        <v>5020</v>
      </c>
      <c r="F3080" s="3" t="s">
        <v>5026</v>
      </c>
      <c r="G3080" s="3" t="s">
        <v>5036</v>
      </c>
      <c r="H3080" s="3" t="s">
        <v>7713</v>
      </c>
      <c r="I3080" s="17">
        <v>45649</v>
      </c>
      <c r="J3080" s="18">
        <f>YEAR(Tabla1[[#This Row],[FECHA DE COMPRA]])</f>
        <v>2024</v>
      </c>
      <c r="K3080" s="19">
        <v>40.299999999999997</v>
      </c>
      <c r="L3080" s="20">
        <v>0.1</v>
      </c>
      <c r="M3080" s="19">
        <f>Tienda!$K1977-Tienda!$K1977*Tienda!$L1977</f>
        <v>28.44</v>
      </c>
      <c r="N3080" s="3" t="s">
        <v>10040</v>
      </c>
      <c r="O3080" s="3" t="s">
        <v>10041</v>
      </c>
      <c r="P3080" s="17">
        <v>45571</v>
      </c>
      <c r="Q3080" s="4">
        <v>0</v>
      </c>
    </row>
    <row r="3081" spans="1:17" ht="30" x14ac:dyDescent="0.25">
      <c r="A3081" s="2" t="s">
        <v>1527</v>
      </c>
      <c r="B3081" s="3" t="s">
        <v>5015</v>
      </c>
      <c r="C3081" s="3">
        <v>39</v>
      </c>
      <c r="D3081" s="46" t="str">
        <f>IF(Tabla1[[#This Row],[EDAD]]&lt;=35,"Adultos jóvenes 18 - 35 años",IF(C3081&gt;=36,"Adultos mayores 36 años en adelante"))</f>
        <v>Adultos mayores 36 años en adelante</v>
      </c>
      <c r="E3081" s="3" t="s">
        <v>5021</v>
      </c>
      <c r="F3081" s="3" t="s">
        <v>5029</v>
      </c>
      <c r="G3081" s="3" t="s">
        <v>5033</v>
      </c>
      <c r="H3081" s="3" t="s">
        <v>6550</v>
      </c>
      <c r="I3081" s="17">
        <v>45556</v>
      </c>
      <c r="J3081" s="18">
        <f>YEAR(Tabla1[[#This Row],[FECHA DE COMPRA]])</f>
        <v>2024</v>
      </c>
      <c r="K3081" s="19">
        <v>45.88</v>
      </c>
      <c r="L3081" s="20">
        <v>0.2</v>
      </c>
      <c r="M3081" s="19">
        <f>Tienda!$K1981-Tienda!$K1981*Tienda!$L1981</f>
        <v>114.562</v>
      </c>
      <c r="N3081" s="3" t="s">
        <v>10040</v>
      </c>
      <c r="O3081" s="3" t="s">
        <v>10041</v>
      </c>
      <c r="P3081" s="17">
        <v>45646</v>
      </c>
      <c r="Q3081" s="4">
        <v>0</v>
      </c>
    </row>
    <row r="3082" spans="1:17" ht="30" x14ac:dyDescent="0.25">
      <c r="A3082" s="2" t="s">
        <v>998</v>
      </c>
      <c r="B3082" s="3" t="s">
        <v>5015</v>
      </c>
      <c r="C3082" s="3">
        <v>60</v>
      </c>
      <c r="D3082" s="46" t="str">
        <f>IF(Tabla1[[#This Row],[EDAD]]&lt;=35,"Adultos jóvenes 18 - 35 años",IF(C3082&gt;=36,"Adultos mayores 36 años en adelante"))</f>
        <v>Adultos mayores 36 años en adelante</v>
      </c>
      <c r="E3082" s="3" t="s">
        <v>5017</v>
      </c>
      <c r="F3082" s="3" t="s">
        <v>5028</v>
      </c>
      <c r="G3082" s="3" t="s">
        <v>5032</v>
      </c>
      <c r="H3082" s="3" t="s">
        <v>6021</v>
      </c>
      <c r="I3082" s="17">
        <v>45596</v>
      </c>
      <c r="J3082" s="18">
        <f>YEAR(Tabla1[[#This Row],[FECHA DE COMPRA]])</f>
        <v>2024</v>
      </c>
      <c r="K3082" s="19">
        <v>45.91</v>
      </c>
      <c r="L3082" s="20">
        <v>0.2</v>
      </c>
      <c r="M3082" s="19">
        <f>Tienda!$K1982-Tienda!$K1982*Tienda!$L1982</f>
        <v>95.7</v>
      </c>
      <c r="N3082" s="3" t="s">
        <v>10040</v>
      </c>
      <c r="O3082" s="3" t="s">
        <v>10041</v>
      </c>
      <c r="P3082" s="17">
        <v>45776</v>
      </c>
      <c r="Q3082" s="4">
        <v>0</v>
      </c>
    </row>
    <row r="3083" spans="1:17" ht="30" x14ac:dyDescent="0.25">
      <c r="A3083" s="2" t="s">
        <v>3875</v>
      </c>
      <c r="B3083" s="3" t="s">
        <v>5016</v>
      </c>
      <c r="C3083" s="3">
        <v>57</v>
      </c>
      <c r="D3083" s="46" t="str">
        <f>IF(Tabla1[[#This Row],[EDAD]]&lt;=35,"Adultos jóvenes 18 - 35 años",IF(C3083&gt;=36,"Adultos mayores 36 años en adelante"))</f>
        <v>Adultos mayores 36 años en adelante</v>
      </c>
      <c r="E3083" s="3" t="s">
        <v>5021</v>
      </c>
      <c r="F3083" s="3" t="s">
        <v>5024</v>
      </c>
      <c r="G3083" s="3" t="s">
        <v>5033</v>
      </c>
      <c r="H3083" s="3" t="s">
        <v>8898</v>
      </c>
      <c r="I3083" s="17">
        <v>45562</v>
      </c>
      <c r="J3083" s="18">
        <f>YEAR(Tabla1[[#This Row],[FECHA DE COMPRA]])</f>
        <v>2024</v>
      </c>
      <c r="K3083" s="19">
        <v>53.08</v>
      </c>
      <c r="L3083" s="20">
        <v>0.3</v>
      </c>
      <c r="M3083" s="19">
        <f>Tienda!$K1984-Tienda!$K1984*Tienda!$L1984</f>
        <v>100.80699999999999</v>
      </c>
      <c r="N3083" s="3" t="s">
        <v>10040</v>
      </c>
      <c r="O3083" s="3" t="s">
        <v>10041</v>
      </c>
      <c r="P3083" s="17">
        <v>45832</v>
      </c>
      <c r="Q3083" s="4">
        <v>0</v>
      </c>
    </row>
    <row r="3084" spans="1:17" ht="30" x14ac:dyDescent="0.25">
      <c r="A3084" s="2" t="s">
        <v>3520</v>
      </c>
      <c r="B3084" s="3" t="s">
        <v>5015</v>
      </c>
      <c r="C3084" s="3">
        <v>61</v>
      </c>
      <c r="D3084" s="46" t="str">
        <f>IF(Tabla1[[#This Row],[EDAD]]&lt;=35,"Adultos jóvenes 18 - 35 años",IF(C3084&gt;=36,"Adultos mayores 36 años en adelante"))</f>
        <v>Adultos mayores 36 años en adelante</v>
      </c>
      <c r="E3084" s="3" t="s">
        <v>5018</v>
      </c>
      <c r="F3084" s="3" t="s">
        <v>5030</v>
      </c>
      <c r="G3084" s="3" t="s">
        <v>5034</v>
      </c>
      <c r="H3084" s="3" t="s">
        <v>8543</v>
      </c>
      <c r="I3084" s="17">
        <v>45358</v>
      </c>
      <c r="J3084" s="18">
        <f>YEAR(Tabla1[[#This Row],[FECHA DE COMPRA]])</f>
        <v>2024</v>
      </c>
      <c r="K3084" s="19">
        <v>37.85</v>
      </c>
      <c r="L3084" s="20">
        <v>0</v>
      </c>
      <c r="M3084" s="19">
        <f>Tienda!$K1995-Tienda!$K1995*Tienda!$L1995</f>
        <v>109.2</v>
      </c>
      <c r="N3084" s="3" t="s">
        <v>10040</v>
      </c>
      <c r="O3084" s="3" t="s">
        <v>10041</v>
      </c>
      <c r="P3084" s="17">
        <v>45628</v>
      </c>
      <c r="Q3084" s="4">
        <v>0</v>
      </c>
    </row>
    <row r="3085" spans="1:17" ht="30" x14ac:dyDescent="0.25">
      <c r="A3085" s="2" t="s">
        <v>1438</v>
      </c>
      <c r="B3085" s="3" t="s">
        <v>5015</v>
      </c>
      <c r="C3085" s="3">
        <v>37</v>
      </c>
      <c r="D3085" s="46" t="str">
        <f>IF(Tabla1[[#This Row],[EDAD]]&lt;=35,"Adultos jóvenes 18 - 35 años",IF(C3085&gt;=36,"Adultos mayores 36 años en adelante"))</f>
        <v>Adultos mayores 36 años en adelante</v>
      </c>
      <c r="E3085" s="3" t="s">
        <v>5017</v>
      </c>
      <c r="F3085" s="3" t="s">
        <v>5025</v>
      </c>
      <c r="G3085" s="3" t="s">
        <v>5031</v>
      </c>
      <c r="H3085" s="3" t="s">
        <v>6461</v>
      </c>
      <c r="I3085" s="17">
        <v>45340</v>
      </c>
      <c r="J3085" s="18">
        <f>YEAR(Tabla1[[#This Row],[FECHA DE COMPRA]])</f>
        <v>2024</v>
      </c>
      <c r="K3085" s="19">
        <v>42.13</v>
      </c>
      <c r="L3085" s="20">
        <v>0.1</v>
      </c>
      <c r="M3085" s="19">
        <f>Tienda!$K1997-Tienda!$K1997*Tienda!$L1997</f>
        <v>44.272000000000006</v>
      </c>
      <c r="N3085" s="3" t="s">
        <v>10040</v>
      </c>
      <c r="O3085" s="3" t="s">
        <v>10041</v>
      </c>
      <c r="P3085" s="17">
        <v>45430</v>
      </c>
      <c r="Q3085" s="4">
        <v>0</v>
      </c>
    </row>
    <row r="3086" spans="1:17" ht="30" x14ac:dyDescent="0.25">
      <c r="A3086" s="2" t="s">
        <v>1340</v>
      </c>
      <c r="B3086" s="3" t="s">
        <v>5015</v>
      </c>
      <c r="C3086" s="3">
        <v>55</v>
      </c>
      <c r="D3086" s="46" t="str">
        <f>IF(Tabla1[[#This Row],[EDAD]]&lt;=35,"Adultos jóvenes 18 - 35 años",IF(C3086&gt;=36,"Adultos mayores 36 años en adelante"))</f>
        <v>Adultos mayores 36 años en adelante</v>
      </c>
      <c r="E3086" s="3" t="s">
        <v>5022</v>
      </c>
      <c r="F3086" s="3" t="s">
        <v>5026</v>
      </c>
      <c r="G3086" s="3" t="s">
        <v>5031</v>
      </c>
      <c r="H3086" s="3" t="s">
        <v>6363</v>
      </c>
      <c r="I3086" s="17">
        <v>45500</v>
      </c>
      <c r="J3086" s="18">
        <f>YEAR(Tabla1[[#This Row],[FECHA DE COMPRA]])</f>
        <v>2024</v>
      </c>
      <c r="K3086" s="19">
        <v>47.55</v>
      </c>
      <c r="L3086" s="20">
        <v>0.2</v>
      </c>
      <c r="M3086" s="19">
        <f>Tienda!$K1998-Tienda!$K1998*Tienda!$L1998</f>
        <v>164.39</v>
      </c>
      <c r="N3086" s="3" t="s">
        <v>10040</v>
      </c>
      <c r="O3086" s="3" t="s">
        <v>10041</v>
      </c>
      <c r="P3086" s="17">
        <v>45770</v>
      </c>
      <c r="Q3086" s="4">
        <v>0</v>
      </c>
    </row>
    <row r="3087" spans="1:17" ht="30" x14ac:dyDescent="0.25">
      <c r="A3087" s="2" t="s">
        <v>902</v>
      </c>
      <c r="B3087" s="3" t="s">
        <v>5015</v>
      </c>
      <c r="C3087" s="3">
        <v>41</v>
      </c>
      <c r="D3087" s="46" t="str">
        <f>IF(Tabla1[[#This Row],[EDAD]]&lt;=35,"Adultos jóvenes 18 - 35 años",IF(C3087&gt;=36,"Adultos mayores 36 años en adelante"))</f>
        <v>Adultos mayores 36 años en adelante</v>
      </c>
      <c r="E3087" s="3" t="s">
        <v>5023</v>
      </c>
      <c r="F3087" s="3" t="s">
        <v>5028</v>
      </c>
      <c r="G3087" s="3" t="s">
        <v>5034</v>
      </c>
      <c r="H3087" s="3" t="s">
        <v>5925</v>
      </c>
      <c r="I3087" s="17">
        <v>45402</v>
      </c>
      <c r="J3087" s="18">
        <f>YEAR(Tabla1[[#This Row],[FECHA DE COMPRA]])</f>
        <v>2024</v>
      </c>
      <c r="K3087" s="19">
        <v>47.82</v>
      </c>
      <c r="L3087" s="20">
        <v>0.2</v>
      </c>
      <c r="M3087" s="19">
        <f>Tienda!$K1999-Tienda!$K1999*Tienda!$L1999</f>
        <v>29.43</v>
      </c>
      <c r="N3087" s="3" t="s">
        <v>10040</v>
      </c>
      <c r="O3087" s="3" t="s">
        <v>10041</v>
      </c>
      <c r="P3087" s="17">
        <v>45762</v>
      </c>
      <c r="Q3087" s="4">
        <v>0</v>
      </c>
    </row>
    <row r="3088" spans="1:17" ht="30" x14ac:dyDescent="0.25">
      <c r="A3088" s="2" t="s">
        <v>1389</v>
      </c>
      <c r="B3088" s="3" t="s">
        <v>5016</v>
      </c>
      <c r="C3088" s="3">
        <v>48</v>
      </c>
      <c r="D3088" s="46" t="str">
        <f>IF(Tabla1[[#This Row],[EDAD]]&lt;=35,"Adultos jóvenes 18 - 35 años",IF(C3088&gt;=36,"Adultos mayores 36 años en adelante"))</f>
        <v>Adultos mayores 36 años en adelante</v>
      </c>
      <c r="E3088" s="3" t="s">
        <v>5021</v>
      </c>
      <c r="F3088" s="3" t="s">
        <v>5028</v>
      </c>
      <c r="G3088" s="3" t="s">
        <v>5034</v>
      </c>
      <c r="H3088" s="3" t="s">
        <v>6412</v>
      </c>
      <c r="I3088" s="17">
        <v>45335</v>
      </c>
      <c r="J3088" s="18">
        <f>YEAR(Tabla1[[#This Row],[FECHA DE COMPRA]])</f>
        <v>2024</v>
      </c>
      <c r="K3088" s="19">
        <v>47.98</v>
      </c>
      <c r="L3088" s="20">
        <v>0.2</v>
      </c>
      <c r="M3088" s="19">
        <f>Tienda!$K2000-Tienda!$K2000*Tienda!$L2000</f>
        <v>54.201000000000008</v>
      </c>
      <c r="N3088" s="3" t="s">
        <v>10040</v>
      </c>
      <c r="O3088" s="3" t="s">
        <v>10041</v>
      </c>
      <c r="P3088" s="17">
        <v>45548</v>
      </c>
      <c r="Q3088" s="4">
        <v>0</v>
      </c>
    </row>
    <row r="3089" spans="1:17" ht="30" x14ac:dyDescent="0.25">
      <c r="A3089" s="2" t="s">
        <v>3910</v>
      </c>
      <c r="B3089" s="3" t="s">
        <v>5016</v>
      </c>
      <c r="C3089" s="3">
        <v>39</v>
      </c>
      <c r="D3089" s="46" t="str">
        <f>IF(Tabla1[[#This Row],[EDAD]]&lt;=35,"Adultos jóvenes 18 - 35 años",IF(C3089&gt;=36,"Adultos mayores 36 años en adelante"))</f>
        <v>Adultos mayores 36 años en adelante</v>
      </c>
      <c r="E3089" s="3" t="s">
        <v>5017</v>
      </c>
      <c r="F3089" s="3" t="s">
        <v>5028</v>
      </c>
      <c r="G3089" s="3" t="s">
        <v>5032</v>
      </c>
      <c r="H3089" s="3" t="s">
        <v>8933</v>
      </c>
      <c r="I3089" s="17">
        <v>45642</v>
      </c>
      <c r="J3089" s="18">
        <f>YEAR(Tabla1[[#This Row],[FECHA DE COMPRA]])</f>
        <v>2024</v>
      </c>
      <c r="K3089" s="19">
        <v>55.96</v>
      </c>
      <c r="L3089" s="20">
        <v>0.3</v>
      </c>
      <c r="M3089" s="19">
        <f>Tienda!$K2007-Tienda!$K2007*Tienda!$L2007</f>
        <v>98.981999999999999</v>
      </c>
      <c r="N3089" s="3" t="s">
        <v>10040</v>
      </c>
      <c r="O3089" s="3" t="s">
        <v>10041</v>
      </c>
      <c r="P3089" s="17">
        <v>45732</v>
      </c>
      <c r="Q3089" s="4">
        <v>0</v>
      </c>
    </row>
    <row r="3090" spans="1:17" ht="30" x14ac:dyDescent="0.25">
      <c r="A3090" s="2" t="s">
        <v>200</v>
      </c>
      <c r="B3090" s="3" t="s">
        <v>5015</v>
      </c>
      <c r="C3090" s="3">
        <v>53</v>
      </c>
      <c r="D3090" s="46" t="str">
        <f>IF(Tabla1[[#This Row],[EDAD]]&lt;=35,"Adultos jóvenes 18 - 35 años",IF(C3090&gt;=36,"Adultos mayores 36 años en adelante"))</f>
        <v>Adultos mayores 36 años en adelante</v>
      </c>
      <c r="E3090" s="3" t="s">
        <v>5021</v>
      </c>
      <c r="F3090" s="3" t="s">
        <v>5028</v>
      </c>
      <c r="G3090" s="3" t="s">
        <v>5032</v>
      </c>
      <c r="H3090" s="3" t="s">
        <v>5223</v>
      </c>
      <c r="I3090" s="17">
        <v>45356</v>
      </c>
      <c r="J3090" s="18">
        <f>YEAR(Tabla1[[#This Row],[FECHA DE COMPRA]])</f>
        <v>2024</v>
      </c>
      <c r="K3090" s="19">
        <v>43.53</v>
      </c>
      <c r="L3090" s="20">
        <v>0.1</v>
      </c>
      <c r="M3090" s="19">
        <f>Tienda!$K2008-Tienda!$K2008*Tienda!$L2008</f>
        <v>121.75800000000001</v>
      </c>
      <c r="N3090" s="3" t="s">
        <v>10040</v>
      </c>
      <c r="O3090" s="3" t="s">
        <v>10041</v>
      </c>
      <c r="P3090" s="17">
        <v>45446</v>
      </c>
      <c r="Q3090" s="4">
        <v>0</v>
      </c>
    </row>
    <row r="3091" spans="1:17" ht="30" x14ac:dyDescent="0.25">
      <c r="A3091" s="2" t="s">
        <v>4986</v>
      </c>
      <c r="B3091" s="3" t="s">
        <v>5015</v>
      </c>
      <c r="C3091" s="3">
        <v>56</v>
      </c>
      <c r="D3091" s="46" t="str">
        <f>IF(Tabla1[[#This Row],[EDAD]]&lt;=35,"Adultos jóvenes 18 - 35 años",IF(C3091&gt;=36,"Adultos mayores 36 años en adelante"))</f>
        <v>Adultos mayores 36 años en adelante</v>
      </c>
      <c r="E3091" s="3" t="s">
        <v>5020</v>
      </c>
      <c r="F3091" s="3" t="s">
        <v>5026</v>
      </c>
      <c r="G3091" s="3" t="s">
        <v>5033</v>
      </c>
      <c r="H3091" s="3" t="s">
        <v>10009</v>
      </c>
      <c r="I3091" s="17">
        <v>45383</v>
      </c>
      <c r="J3091" s="18">
        <f>YEAR(Tabla1[[#This Row],[FECHA DE COMPRA]])</f>
        <v>2024</v>
      </c>
      <c r="K3091" s="19">
        <v>56.14</v>
      </c>
      <c r="L3091" s="20">
        <v>0.3</v>
      </c>
      <c r="M3091" s="19">
        <f>Tienda!$K2011-Tienda!$K2011*Tienda!$L2011</f>
        <v>72.17</v>
      </c>
      <c r="N3091" s="3" t="s">
        <v>10040</v>
      </c>
      <c r="O3091" s="3" t="s">
        <v>10041</v>
      </c>
      <c r="P3091" s="17">
        <v>45653</v>
      </c>
      <c r="Q3091" s="4">
        <v>0</v>
      </c>
    </row>
    <row r="3092" spans="1:17" ht="30" x14ac:dyDescent="0.25">
      <c r="A3092" s="2" t="s">
        <v>210</v>
      </c>
      <c r="B3092" s="3" t="s">
        <v>5015</v>
      </c>
      <c r="C3092" s="3">
        <v>64</v>
      </c>
      <c r="D3092" s="46" t="str">
        <f>IF(Tabla1[[#This Row],[EDAD]]&lt;=35,"Adultos jóvenes 18 - 35 años",IF(C3092&gt;=36,"Adultos mayores 36 años en adelante"))</f>
        <v>Adultos mayores 36 años en adelante</v>
      </c>
      <c r="E3092" s="3" t="s">
        <v>5018</v>
      </c>
      <c r="F3092" s="3" t="s">
        <v>5024</v>
      </c>
      <c r="G3092" s="3" t="s">
        <v>5036</v>
      </c>
      <c r="H3092" s="3" t="s">
        <v>5233</v>
      </c>
      <c r="I3092" s="17">
        <v>45397</v>
      </c>
      <c r="J3092" s="18">
        <f>YEAR(Tabla1[[#This Row],[FECHA DE COMPRA]])</f>
        <v>2024</v>
      </c>
      <c r="K3092" s="19">
        <v>49.3</v>
      </c>
      <c r="L3092" s="20">
        <v>0.2</v>
      </c>
      <c r="M3092" s="19">
        <f>Tienda!$K2012-Tienda!$K2012*Tienda!$L2012</f>
        <v>33.231999999999999</v>
      </c>
      <c r="N3092" s="3" t="s">
        <v>10040</v>
      </c>
      <c r="O3092" s="3" t="s">
        <v>10041</v>
      </c>
      <c r="P3092" s="17">
        <v>45667</v>
      </c>
      <c r="Q3092" s="4">
        <v>0</v>
      </c>
    </row>
    <row r="3093" spans="1:17" ht="30" x14ac:dyDescent="0.25">
      <c r="A3093" s="2" t="s">
        <v>3613</v>
      </c>
      <c r="B3093" s="3" t="s">
        <v>5015</v>
      </c>
      <c r="C3093" s="3">
        <v>52</v>
      </c>
      <c r="D3093" s="46" t="str">
        <f>IF(Tabla1[[#This Row],[EDAD]]&lt;=35,"Adultos jóvenes 18 - 35 años",IF(C3093&gt;=36,"Adultos mayores 36 años en adelante"))</f>
        <v>Adultos mayores 36 años en adelante</v>
      </c>
      <c r="E3093" s="3" t="s">
        <v>5020</v>
      </c>
      <c r="F3093" s="3" t="s">
        <v>5025</v>
      </c>
      <c r="G3093" s="3" t="s">
        <v>5035</v>
      </c>
      <c r="H3093" s="3" t="s">
        <v>8636</v>
      </c>
      <c r="I3093" s="17">
        <v>45602</v>
      </c>
      <c r="J3093" s="18">
        <f>YEAR(Tabla1[[#This Row],[FECHA DE COMPRA]])</f>
        <v>2024</v>
      </c>
      <c r="K3093" s="19">
        <v>44.89</v>
      </c>
      <c r="L3093" s="20">
        <v>0.1</v>
      </c>
      <c r="M3093" s="19">
        <f>Tienda!$K2022-Tienda!$K2022*Tienda!$L2022</f>
        <v>37.448</v>
      </c>
      <c r="N3093" s="3" t="s">
        <v>10040</v>
      </c>
      <c r="O3093" s="3" t="s">
        <v>10041</v>
      </c>
      <c r="P3093" s="17">
        <v>45692</v>
      </c>
      <c r="Q3093" s="4">
        <v>0</v>
      </c>
    </row>
    <row r="3094" spans="1:17" ht="30" x14ac:dyDescent="0.25">
      <c r="A3094" s="2" t="s">
        <v>4905</v>
      </c>
      <c r="B3094" s="3" t="s">
        <v>5015</v>
      </c>
      <c r="C3094" s="3">
        <v>65</v>
      </c>
      <c r="D3094" s="46" t="str">
        <f>IF(Tabla1[[#This Row],[EDAD]]&lt;=35,"Adultos jóvenes 18 - 35 años",IF(C3094&gt;=36,"Adultos mayores 36 años en adelante"))</f>
        <v>Adultos mayores 36 años en adelante</v>
      </c>
      <c r="E3094" s="3" t="s">
        <v>5020</v>
      </c>
      <c r="F3094" s="3" t="s">
        <v>5030</v>
      </c>
      <c r="G3094" s="3" t="s">
        <v>5034</v>
      </c>
      <c r="H3094" s="3" t="s">
        <v>9928</v>
      </c>
      <c r="I3094" s="17">
        <v>45528</v>
      </c>
      <c r="J3094" s="18">
        <f>YEAR(Tabla1[[#This Row],[FECHA DE COMPRA]])</f>
        <v>2024</v>
      </c>
      <c r="K3094" s="19">
        <v>40.630000000000003</v>
      </c>
      <c r="L3094" s="20">
        <v>0</v>
      </c>
      <c r="M3094" s="19">
        <f>Tienda!$K2025-Tienda!$K2025*Tienda!$L2025</f>
        <v>33.145000000000003</v>
      </c>
      <c r="N3094" s="3" t="s">
        <v>10040</v>
      </c>
      <c r="O3094" s="3" t="s">
        <v>10041</v>
      </c>
      <c r="P3094" s="17">
        <v>45798</v>
      </c>
      <c r="Q3094" s="4">
        <v>0</v>
      </c>
    </row>
    <row r="3095" spans="1:17" ht="30" x14ac:dyDescent="0.25">
      <c r="A3095" s="2" t="s">
        <v>992</v>
      </c>
      <c r="B3095" s="3" t="s">
        <v>5015</v>
      </c>
      <c r="C3095" s="3">
        <v>40</v>
      </c>
      <c r="D3095" s="46" t="str">
        <f>IF(Tabla1[[#This Row],[EDAD]]&lt;=35,"Adultos jóvenes 18 - 35 años",IF(C3095&gt;=36,"Adultos mayores 36 años en adelante"))</f>
        <v>Adultos mayores 36 años en adelante</v>
      </c>
      <c r="E3095" s="3" t="s">
        <v>5023</v>
      </c>
      <c r="F3095" s="3" t="s">
        <v>5029</v>
      </c>
      <c r="G3095" s="3" t="s">
        <v>5032</v>
      </c>
      <c r="H3095" s="3" t="s">
        <v>6015</v>
      </c>
      <c r="I3095" s="17">
        <v>45509</v>
      </c>
      <c r="J3095" s="18">
        <f>YEAR(Tabla1[[#This Row],[FECHA DE COMPRA]])</f>
        <v>2024</v>
      </c>
      <c r="K3095" s="19">
        <v>41.02</v>
      </c>
      <c r="L3095" s="20">
        <v>0</v>
      </c>
      <c r="M3095" s="19">
        <f>Tienda!$K2027-Tienda!$K2027*Tienda!$L2027</f>
        <v>65.688000000000002</v>
      </c>
      <c r="N3095" s="3" t="s">
        <v>10040</v>
      </c>
      <c r="O3095" s="3" t="s">
        <v>10042</v>
      </c>
      <c r="P3095" s="17">
        <v>45779</v>
      </c>
      <c r="Q3095" s="4">
        <v>3</v>
      </c>
    </row>
    <row r="3096" spans="1:17" ht="30" x14ac:dyDescent="0.25">
      <c r="A3096" s="2" t="s">
        <v>2593</v>
      </c>
      <c r="B3096" s="3" t="s">
        <v>5016</v>
      </c>
      <c r="C3096" s="3">
        <v>50</v>
      </c>
      <c r="D3096" s="46" t="str">
        <f>IF(Tabla1[[#This Row],[EDAD]]&lt;=35,"Adultos jóvenes 18 - 35 años",IF(C3096&gt;=36,"Adultos mayores 36 años en adelante"))</f>
        <v>Adultos mayores 36 años en adelante</v>
      </c>
      <c r="E3096" s="3" t="s">
        <v>5017</v>
      </c>
      <c r="F3096" s="3" t="s">
        <v>5028</v>
      </c>
      <c r="G3096" s="3" t="s">
        <v>5031</v>
      </c>
      <c r="H3096" s="3" t="s">
        <v>7616</v>
      </c>
      <c r="I3096" s="17">
        <v>45624</v>
      </c>
      <c r="J3096" s="18">
        <f>YEAR(Tabla1[[#This Row],[FECHA DE COMPRA]])</f>
        <v>2024</v>
      </c>
      <c r="K3096" s="19">
        <v>58.64</v>
      </c>
      <c r="L3096" s="20">
        <v>0.3</v>
      </c>
      <c r="M3096" s="19">
        <f>Tienda!$K2028-Tienda!$K2028*Tienda!$L2028</f>
        <v>67.423999999999992</v>
      </c>
      <c r="N3096" s="3" t="s">
        <v>10040</v>
      </c>
      <c r="O3096" s="3" t="s">
        <v>10042</v>
      </c>
      <c r="P3096" s="17">
        <v>45569</v>
      </c>
      <c r="Q3096" s="4">
        <v>3</v>
      </c>
    </row>
    <row r="3097" spans="1:17" ht="30" x14ac:dyDescent="0.25">
      <c r="A3097" s="2" t="s">
        <v>1209</v>
      </c>
      <c r="B3097" s="3" t="s">
        <v>5015</v>
      </c>
      <c r="C3097" s="3">
        <v>63</v>
      </c>
      <c r="D3097" s="46" t="str">
        <f>IF(Tabla1[[#This Row],[EDAD]]&lt;=35,"Adultos jóvenes 18 - 35 años",IF(C3097&gt;=36,"Adultos mayores 36 años en adelante"))</f>
        <v>Adultos mayores 36 años en adelante</v>
      </c>
      <c r="E3097" s="3" t="s">
        <v>5017</v>
      </c>
      <c r="F3097" s="3" t="s">
        <v>5027</v>
      </c>
      <c r="G3097" s="3" t="s">
        <v>5037</v>
      </c>
      <c r="H3097" s="3" t="s">
        <v>6232</v>
      </c>
      <c r="I3097" s="17">
        <v>45392</v>
      </c>
      <c r="J3097" s="18">
        <f>YEAR(Tabla1[[#This Row],[FECHA DE COMPRA]])</f>
        <v>2024</v>
      </c>
      <c r="K3097" s="19">
        <v>59.47</v>
      </c>
      <c r="L3097" s="20">
        <v>0.3</v>
      </c>
      <c r="M3097" s="19">
        <f>Tienda!$K2030-Tienda!$K2030*Tienda!$L2030</f>
        <v>117.83799999999999</v>
      </c>
      <c r="N3097" s="3" t="s">
        <v>10040</v>
      </c>
      <c r="O3097" s="3" t="s">
        <v>10042</v>
      </c>
      <c r="P3097" s="17">
        <v>45482</v>
      </c>
      <c r="Q3097" s="4">
        <v>3</v>
      </c>
    </row>
    <row r="3098" spans="1:17" ht="30" x14ac:dyDescent="0.25">
      <c r="A3098" s="2" t="s">
        <v>3157</v>
      </c>
      <c r="B3098" s="3" t="s">
        <v>5015</v>
      </c>
      <c r="C3098" s="3">
        <v>59</v>
      </c>
      <c r="D3098" s="46" t="str">
        <f>IF(Tabla1[[#This Row],[EDAD]]&lt;=35,"Adultos jóvenes 18 - 35 años",IF(C3098&gt;=36,"Adultos mayores 36 años en adelante"))</f>
        <v>Adultos mayores 36 años en adelante</v>
      </c>
      <c r="E3098" s="3" t="s">
        <v>5020</v>
      </c>
      <c r="F3098" s="3" t="s">
        <v>5029</v>
      </c>
      <c r="G3098" s="3" t="s">
        <v>5035</v>
      </c>
      <c r="H3098" s="3" t="s">
        <v>8180</v>
      </c>
      <c r="I3098" s="17">
        <v>45523</v>
      </c>
      <c r="J3098" s="18">
        <f>YEAR(Tabla1[[#This Row],[FECHA DE COMPRA]])</f>
        <v>2024</v>
      </c>
      <c r="K3098" s="19">
        <v>41.92</v>
      </c>
      <c r="L3098" s="20">
        <v>0</v>
      </c>
      <c r="M3098" s="19">
        <f>Tienda!$K2032-Tienda!$K2032*Tienda!$L2032</f>
        <v>102.15</v>
      </c>
      <c r="N3098" s="3" t="s">
        <v>10040</v>
      </c>
      <c r="O3098" s="3" t="s">
        <v>10042</v>
      </c>
      <c r="P3098" s="17">
        <v>45793</v>
      </c>
      <c r="Q3098" s="4">
        <v>3</v>
      </c>
    </row>
    <row r="3099" spans="1:17" ht="30" x14ac:dyDescent="0.25">
      <c r="A3099" s="2" t="s">
        <v>3874</v>
      </c>
      <c r="B3099" s="3" t="s">
        <v>5015</v>
      </c>
      <c r="C3099" s="3">
        <v>62</v>
      </c>
      <c r="D3099" s="46" t="str">
        <f>IF(Tabla1[[#This Row],[EDAD]]&lt;=35,"Adultos jóvenes 18 - 35 años",IF(C3099&gt;=36,"Adultos mayores 36 años en adelante"))</f>
        <v>Adultos mayores 36 años en adelante</v>
      </c>
      <c r="E3099" s="3" t="s">
        <v>5023</v>
      </c>
      <c r="F3099" s="3" t="s">
        <v>5030</v>
      </c>
      <c r="G3099" s="3" t="s">
        <v>5032</v>
      </c>
      <c r="H3099" s="3" t="s">
        <v>8897</v>
      </c>
      <c r="I3099" s="17">
        <v>45597</v>
      </c>
      <c r="J3099" s="18">
        <f>YEAR(Tabla1[[#This Row],[FECHA DE COMPRA]])</f>
        <v>2024</v>
      </c>
      <c r="K3099" s="19">
        <v>52.82</v>
      </c>
      <c r="L3099" s="20">
        <v>0.2</v>
      </c>
      <c r="M3099" s="19">
        <f>Tienda!$K2035-Tienda!$K2035*Tienda!$L2035</f>
        <v>66.36</v>
      </c>
      <c r="N3099" s="3" t="s">
        <v>10040</v>
      </c>
      <c r="O3099" s="3" t="s">
        <v>10042</v>
      </c>
      <c r="P3099" s="17">
        <v>45687</v>
      </c>
      <c r="Q3099" s="4">
        <v>3</v>
      </c>
    </row>
    <row r="3100" spans="1:17" ht="30" x14ac:dyDescent="0.25">
      <c r="A3100" s="2" t="s">
        <v>2427</v>
      </c>
      <c r="B3100" s="3" t="s">
        <v>5015</v>
      </c>
      <c r="C3100" s="3">
        <v>37</v>
      </c>
      <c r="D3100" s="46" t="str">
        <f>IF(Tabla1[[#This Row],[EDAD]]&lt;=35,"Adultos jóvenes 18 - 35 años",IF(C3100&gt;=36,"Adultos mayores 36 años en adelante"))</f>
        <v>Adultos mayores 36 años en adelante</v>
      </c>
      <c r="E3100" s="3" t="s">
        <v>5022</v>
      </c>
      <c r="F3100" s="3" t="s">
        <v>5025</v>
      </c>
      <c r="G3100" s="3" t="s">
        <v>5035</v>
      </c>
      <c r="H3100" s="3" t="s">
        <v>7450</v>
      </c>
      <c r="I3100" s="17">
        <v>45615</v>
      </c>
      <c r="J3100" s="18">
        <f>YEAR(Tabla1[[#This Row],[FECHA DE COMPRA]])</f>
        <v>2024</v>
      </c>
      <c r="K3100" s="19">
        <v>53.12</v>
      </c>
      <c r="L3100" s="20">
        <v>0.2</v>
      </c>
      <c r="M3100" s="19">
        <f>Tienda!$K2039-Tienda!$K2039*Tienda!$L2039</f>
        <v>137.52799999999999</v>
      </c>
      <c r="N3100" s="3" t="s">
        <v>10040</v>
      </c>
      <c r="O3100" s="3" t="s">
        <v>10042</v>
      </c>
      <c r="P3100" s="17">
        <v>45975</v>
      </c>
      <c r="Q3100" s="4">
        <v>3</v>
      </c>
    </row>
    <row r="3101" spans="1:17" ht="30" x14ac:dyDescent="0.25">
      <c r="A3101" s="2" t="s">
        <v>266</v>
      </c>
      <c r="B3101" s="3" t="s">
        <v>5015</v>
      </c>
      <c r="C3101" s="3">
        <v>51</v>
      </c>
      <c r="D3101" s="46" t="str">
        <f>IF(Tabla1[[#This Row],[EDAD]]&lt;=35,"Adultos jóvenes 18 - 35 años",IF(C3101&gt;=36,"Adultos mayores 36 años en adelante"))</f>
        <v>Adultos mayores 36 años en adelante</v>
      </c>
      <c r="E3101" s="3" t="s">
        <v>5020</v>
      </c>
      <c r="F3101" s="3" t="s">
        <v>5030</v>
      </c>
      <c r="G3101" s="3" t="s">
        <v>5037</v>
      </c>
      <c r="H3101" s="3" t="s">
        <v>5289</v>
      </c>
      <c r="I3101" s="17">
        <v>45418</v>
      </c>
      <c r="J3101" s="18">
        <f>YEAR(Tabla1[[#This Row],[FECHA DE COMPRA]])</f>
        <v>2024</v>
      </c>
      <c r="K3101" s="19">
        <v>62.99</v>
      </c>
      <c r="L3101" s="20">
        <v>0.3</v>
      </c>
      <c r="M3101" s="19">
        <f>Tienda!$K2049-Tienda!$K2049*Tienda!$L2049</f>
        <v>89.183999999999997</v>
      </c>
      <c r="N3101" s="3" t="s">
        <v>10040</v>
      </c>
      <c r="O3101" s="3" t="s">
        <v>10042</v>
      </c>
      <c r="P3101" s="17">
        <v>45778</v>
      </c>
      <c r="Q3101" s="4">
        <v>3</v>
      </c>
    </row>
    <row r="3102" spans="1:17" ht="30" x14ac:dyDescent="0.25">
      <c r="A3102" s="2" t="s">
        <v>3896</v>
      </c>
      <c r="B3102" s="3" t="s">
        <v>5016</v>
      </c>
      <c r="C3102" s="3">
        <v>55</v>
      </c>
      <c r="D3102" s="46" t="str">
        <f>IF(Tabla1[[#This Row],[EDAD]]&lt;=35,"Adultos jóvenes 18 - 35 años",IF(C3102&gt;=36,"Adultos mayores 36 años en adelante"))</f>
        <v>Adultos mayores 36 años en adelante</v>
      </c>
      <c r="E3102" s="3" t="s">
        <v>5017</v>
      </c>
      <c r="F3102" s="3" t="s">
        <v>5025</v>
      </c>
      <c r="G3102" s="3" t="s">
        <v>5035</v>
      </c>
      <c r="H3102" s="3" t="s">
        <v>8919</v>
      </c>
      <c r="I3102" s="17">
        <v>45622</v>
      </c>
      <c r="J3102" s="18">
        <f>YEAR(Tabla1[[#This Row],[FECHA DE COMPRA]])</f>
        <v>2024</v>
      </c>
      <c r="K3102" s="19">
        <v>64.7</v>
      </c>
      <c r="L3102" s="20">
        <v>0.3</v>
      </c>
      <c r="M3102" s="19">
        <f>Tienda!$K2059-Tienda!$K2059*Tienda!$L2059</f>
        <v>147.66299999999998</v>
      </c>
      <c r="N3102" s="3" t="s">
        <v>10040</v>
      </c>
      <c r="O3102" s="3" t="s">
        <v>10042</v>
      </c>
      <c r="P3102" s="17">
        <v>45982</v>
      </c>
      <c r="Q3102" s="4">
        <v>3</v>
      </c>
    </row>
    <row r="3103" spans="1:17" ht="30" x14ac:dyDescent="0.25">
      <c r="A3103" s="2" t="s">
        <v>804</v>
      </c>
      <c r="B3103" s="3" t="s">
        <v>5015</v>
      </c>
      <c r="C3103" s="3">
        <v>52</v>
      </c>
      <c r="D3103" s="46" t="str">
        <f>IF(Tabla1[[#This Row],[EDAD]]&lt;=35,"Adultos jóvenes 18 - 35 años",IF(C3103&gt;=36,"Adultos mayores 36 años en adelante"))</f>
        <v>Adultos mayores 36 años en adelante</v>
      </c>
      <c r="E3103" s="3" t="s">
        <v>5020</v>
      </c>
      <c r="F3103" s="3" t="s">
        <v>5030</v>
      </c>
      <c r="G3103" s="3" t="s">
        <v>5035</v>
      </c>
      <c r="H3103" s="3" t="s">
        <v>5827</v>
      </c>
      <c r="I3103" s="17">
        <v>45321</v>
      </c>
      <c r="J3103" s="18">
        <f>YEAR(Tabla1[[#This Row],[FECHA DE COMPRA]])</f>
        <v>2024</v>
      </c>
      <c r="K3103" s="19">
        <v>65</v>
      </c>
      <c r="L3103" s="20">
        <v>0.3</v>
      </c>
      <c r="M3103" s="19">
        <f>Tienda!$K2061-Tienda!$K2061*Tienda!$L2061</f>
        <v>12.276</v>
      </c>
      <c r="N3103" s="3" t="s">
        <v>10040</v>
      </c>
      <c r="O3103" s="3" t="s">
        <v>10042</v>
      </c>
      <c r="P3103" s="17">
        <v>45591</v>
      </c>
      <c r="Q3103" s="4">
        <v>3</v>
      </c>
    </row>
    <row r="3104" spans="1:17" ht="30" x14ac:dyDescent="0.25">
      <c r="A3104" s="2" t="s">
        <v>4377</v>
      </c>
      <c r="B3104" s="3" t="s">
        <v>5015</v>
      </c>
      <c r="C3104" s="3">
        <v>54</v>
      </c>
      <c r="D3104" s="46" t="str">
        <f>IF(Tabla1[[#This Row],[EDAD]]&lt;=35,"Adultos jóvenes 18 - 35 años",IF(C3104&gt;=36,"Adultos mayores 36 años en adelante"))</f>
        <v>Adultos mayores 36 años en adelante</v>
      </c>
      <c r="E3104" s="3" t="s">
        <v>5020</v>
      </c>
      <c r="F3104" s="3" t="s">
        <v>5028</v>
      </c>
      <c r="G3104" s="3" t="s">
        <v>5034</v>
      </c>
      <c r="H3104" s="3" t="s">
        <v>9400</v>
      </c>
      <c r="I3104" s="17">
        <v>45440</v>
      </c>
      <c r="J3104" s="18">
        <f>YEAR(Tabla1[[#This Row],[FECHA DE COMPRA]])</f>
        <v>2024</v>
      </c>
      <c r="K3104" s="19">
        <v>51.1</v>
      </c>
      <c r="L3104" s="20">
        <v>0.1</v>
      </c>
      <c r="M3104" s="19">
        <f>Tienda!$K2069-Tienda!$K2069*Tienda!$L2069</f>
        <v>13.32</v>
      </c>
      <c r="N3104" s="3" t="s">
        <v>10040</v>
      </c>
      <c r="O3104" s="3" t="s">
        <v>10042</v>
      </c>
      <c r="P3104" s="17">
        <v>45620</v>
      </c>
      <c r="Q3104" s="4">
        <v>3</v>
      </c>
    </row>
    <row r="3105" spans="1:17" ht="30" x14ac:dyDescent="0.25">
      <c r="A3105" s="2" t="s">
        <v>4225</v>
      </c>
      <c r="B3105" s="3" t="s">
        <v>5015</v>
      </c>
      <c r="C3105" s="3">
        <v>41</v>
      </c>
      <c r="D3105" s="46" t="str">
        <f>IF(Tabla1[[#This Row],[EDAD]]&lt;=35,"Adultos jóvenes 18 - 35 años",IF(C3105&gt;=36,"Adultos mayores 36 años en adelante"))</f>
        <v>Adultos mayores 36 años en adelante</v>
      </c>
      <c r="E3105" s="3" t="s">
        <v>5018</v>
      </c>
      <c r="F3105" s="3" t="s">
        <v>5030</v>
      </c>
      <c r="G3105" s="3" t="s">
        <v>5032</v>
      </c>
      <c r="H3105" s="3" t="s">
        <v>9248</v>
      </c>
      <c r="I3105" s="17">
        <v>45654</v>
      </c>
      <c r="J3105" s="18">
        <f>YEAR(Tabla1[[#This Row],[FECHA DE COMPRA]])</f>
        <v>2024</v>
      </c>
      <c r="K3105" s="19">
        <v>66.14</v>
      </c>
      <c r="L3105" s="20">
        <v>0.3</v>
      </c>
      <c r="M3105" s="19">
        <f>Tienda!$K2071-Tienda!$K2071*Tienda!$L2071</f>
        <v>122.679</v>
      </c>
      <c r="N3105" s="3" t="s">
        <v>10040</v>
      </c>
      <c r="O3105" s="3" t="s">
        <v>10042</v>
      </c>
      <c r="P3105" s="17">
        <v>45744</v>
      </c>
      <c r="Q3105" s="4">
        <v>3</v>
      </c>
    </row>
    <row r="3106" spans="1:17" ht="30" x14ac:dyDescent="0.25">
      <c r="A3106" s="2" t="s">
        <v>2571</v>
      </c>
      <c r="B3106" s="3" t="s">
        <v>5016</v>
      </c>
      <c r="C3106" s="3">
        <v>42</v>
      </c>
      <c r="D3106" s="46" t="str">
        <f>IF(Tabla1[[#This Row],[EDAD]]&lt;=35,"Adultos jóvenes 18 - 35 años",IF(C3106&gt;=36,"Adultos mayores 36 años en adelante"))</f>
        <v>Adultos mayores 36 años en adelante</v>
      </c>
      <c r="E3106" s="3" t="s">
        <v>5017</v>
      </c>
      <c r="F3106" s="3" t="s">
        <v>5028</v>
      </c>
      <c r="G3106" s="3" t="s">
        <v>5034</v>
      </c>
      <c r="H3106" s="3" t="s">
        <v>7594</v>
      </c>
      <c r="I3106" s="17">
        <v>45585</v>
      </c>
      <c r="J3106" s="18">
        <f>YEAR(Tabla1[[#This Row],[FECHA DE COMPRA]])</f>
        <v>2024</v>
      </c>
      <c r="K3106" s="19">
        <v>59.3</v>
      </c>
      <c r="L3106" s="20">
        <v>0.2</v>
      </c>
      <c r="M3106" s="19">
        <f>Tienda!$K2081-Tienda!$K2081*Tienda!$L2081</f>
        <v>152.81099999999998</v>
      </c>
      <c r="N3106" s="3" t="s">
        <v>10040</v>
      </c>
      <c r="O3106" s="3" t="s">
        <v>10042</v>
      </c>
      <c r="P3106" s="17">
        <v>45765</v>
      </c>
      <c r="Q3106" s="4">
        <v>3</v>
      </c>
    </row>
    <row r="3107" spans="1:17" ht="30" x14ac:dyDescent="0.25">
      <c r="A3107" s="2" t="s">
        <v>4941</v>
      </c>
      <c r="B3107" s="3" t="s">
        <v>5016</v>
      </c>
      <c r="C3107" s="3">
        <v>49</v>
      </c>
      <c r="D3107" s="46" t="str">
        <f>IF(Tabla1[[#This Row],[EDAD]]&lt;=35,"Adultos jóvenes 18 - 35 años",IF(C3107&gt;=36,"Adultos mayores 36 años en adelante"))</f>
        <v>Adultos mayores 36 años en adelante</v>
      </c>
      <c r="E3107" s="3" t="s">
        <v>5017</v>
      </c>
      <c r="F3107" s="3" t="s">
        <v>5025</v>
      </c>
      <c r="G3107" s="3" t="s">
        <v>5034</v>
      </c>
      <c r="H3107" s="3" t="s">
        <v>9964</v>
      </c>
      <c r="I3107" s="17">
        <v>45610</v>
      </c>
      <c r="J3107" s="18">
        <f>YEAR(Tabla1[[#This Row],[FECHA DE COMPRA]])</f>
        <v>2024</v>
      </c>
      <c r="K3107" s="19">
        <v>59.65</v>
      </c>
      <c r="L3107" s="20">
        <v>0.2</v>
      </c>
      <c r="M3107" s="19">
        <f>Tienda!$K2083-Tienda!$K2083*Tienda!$L2083</f>
        <v>100.52700000000002</v>
      </c>
      <c r="N3107" s="3" t="s">
        <v>10040</v>
      </c>
      <c r="O3107" s="3" t="s">
        <v>10042</v>
      </c>
      <c r="P3107" s="17">
        <v>45880</v>
      </c>
      <c r="Q3107" s="4">
        <v>3</v>
      </c>
    </row>
    <row r="3108" spans="1:17" ht="30" x14ac:dyDescent="0.25">
      <c r="A3108" s="2" t="s">
        <v>1110</v>
      </c>
      <c r="B3108" s="3" t="s">
        <v>5015</v>
      </c>
      <c r="C3108" s="3">
        <v>65</v>
      </c>
      <c r="D3108" s="46" t="str">
        <f>IF(Tabla1[[#This Row],[EDAD]]&lt;=35,"Adultos jóvenes 18 - 35 años",IF(C3108&gt;=36,"Adultos mayores 36 años en adelante"))</f>
        <v>Adultos mayores 36 años en adelante</v>
      </c>
      <c r="E3108" s="3" t="s">
        <v>5020</v>
      </c>
      <c r="F3108" s="3" t="s">
        <v>5026</v>
      </c>
      <c r="G3108" s="3" t="s">
        <v>5033</v>
      </c>
      <c r="H3108" s="3" t="s">
        <v>6133</v>
      </c>
      <c r="I3108" s="17">
        <v>45548</v>
      </c>
      <c r="J3108" s="18">
        <f>YEAR(Tabla1[[#This Row],[FECHA DE COMPRA]])</f>
        <v>2024</v>
      </c>
      <c r="K3108" s="19">
        <v>61.45</v>
      </c>
      <c r="L3108" s="20">
        <v>0.2</v>
      </c>
      <c r="M3108" s="19">
        <f>Tienda!$K2093-Tienda!$K2093*Tienda!$L2093</f>
        <v>63.616</v>
      </c>
      <c r="N3108" s="3" t="s">
        <v>10040</v>
      </c>
      <c r="O3108" s="3" t="s">
        <v>10042</v>
      </c>
      <c r="P3108" s="17">
        <v>45728</v>
      </c>
      <c r="Q3108" s="4">
        <v>3</v>
      </c>
    </row>
    <row r="3109" spans="1:17" ht="30" x14ac:dyDescent="0.25">
      <c r="A3109" s="2" t="s">
        <v>4276</v>
      </c>
      <c r="B3109" s="3" t="s">
        <v>5015</v>
      </c>
      <c r="C3109" s="3">
        <v>61</v>
      </c>
      <c r="D3109" s="46" t="str">
        <f>IF(Tabla1[[#This Row],[EDAD]]&lt;=35,"Adultos jóvenes 18 - 35 años",IF(C3109&gt;=36,"Adultos mayores 36 años en adelante"))</f>
        <v>Adultos mayores 36 años en adelante</v>
      </c>
      <c r="E3109" s="3" t="s">
        <v>5020</v>
      </c>
      <c r="F3109" s="3" t="s">
        <v>5025</v>
      </c>
      <c r="G3109" s="3" t="s">
        <v>5035</v>
      </c>
      <c r="H3109" s="3" t="s">
        <v>9299</v>
      </c>
      <c r="I3109" s="17">
        <v>45531</v>
      </c>
      <c r="J3109" s="18">
        <f>YEAR(Tabla1[[#This Row],[FECHA DE COMPRA]])</f>
        <v>2024</v>
      </c>
      <c r="K3109" s="19">
        <v>72.05</v>
      </c>
      <c r="L3109" s="20">
        <v>0.3</v>
      </c>
      <c r="M3109" s="19">
        <f>Tienda!$K2102-Tienda!$K2102*Tienda!$L2102</f>
        <v>93.33</v>
      </c>
      <c r="N3109" s="3" t="s">
        <v>10040</v>
      </c>
      <c r="O3109" s="3" t="s">
        <v>10042</v>
      </c>
      <c r="P3109" s="17">
        <v>45801</v>
      </c>
      <c r="Q3109" s="4">
        <v>3</v>
      </c>
    </row>
    <row r="3110" spans="1:17" ht="30" x14ac:dyDescent="0.25">
      <c r="A3110" s="2" t="s">
        <v>2676</v>
      </c>
      <c r="B3110" s="3" t="s">
        <v>5015</v>
      </c>
      <c r="C3110" s="3">
        <v>42</v>
      </c>
      <c r="D3110" s="46" t="str">
        <f>IF(Tabla1[[#This Row],[EDAD]]&lt;=35,"Adultos jóvenes 18 - 35 años",IF(C3110&gt;=36,"Adultos mayores 36 años en adelante"))</f>
        <v>Adultos mayores 36 años en adelante</v>
      </c>
      <c r="E3110" s="3" t="s">
        <v>5020</v>
      </c>
      <c r="F3110" s="3" t="s">
        <v>5028</v>
      </c>
      <c r="G3110" s="3" t="s">
        <v>5036</v>
      </c>
      <c r="H3110" s="3" t="s">
        <v>7699</v>
      </c>
      <c r="I3110" s="17">
        <v>45558</v>
      </c>
      <c r="J3110" s="18">
        <f>YEAR(Tabla1[[#This Row],[FECHA DE COMPRA]])</f>
        <v>2024</v>
      </c>
      <c r="K3110" s="19">
        <v>73.37</v>
      </c>
      <c r="L3110" s="20">
        <v>0.3</v>
      </c>
      <c r="M3110" s="19">
        <f>Tienda!$K2109-Tienda!$K2109*Tienda!$L2109</f>
        <v>156.976</v>
      </c>
      <c r="N3110" s="3" t="s">
        <v>10040</v>
      </c>
      <c r="O3110" s="3" t="s">
        <v>10042</v>
      </c>
      <c r="P3110" s="17">
        <v>45828</v>
      </c>
      <c r="Q3110" s="4">
        <v>3</v>
      </c>
    </row>
    <row r="3111" spans="1:17" ht="30" x14ac:dyDescent="0.25">
      <c r="A3111" s="2" t="s">
        <v>527</v>
      </c>
      <c r="B3111" s="3" t="s">
        <v>5015</v>
      </c>
      <c r="C3111" s="3">
        <v>37</v>
      </c>
      <c r="D3111" s="46" t="str">
        <f>IF(Tabla1[[#This Row],[EDAD]]&lt;=35,"Adultos jóvenes 18 - 35 años",IF(C3111&gt;=36,"Adultos mayores 36 años en adelante"))</f>
        <v>Adultos mayores 36 años en adelante</v>
      </c>
      <c r="E3111" s="3" t="s">
        <v>5019</v>
      </c>
      <c r="F3111" s="3" t="s">
        <v>5024</v>
      </c>
      <c r="G3111" s="3" t="s">
        <v>5035</v>
      </c>
      <c r="H3111" s="3" t="s">
        <v>5550</v>
      </c>
      <c r="I3111" s="17">
        <v>45427</v>
      </c>
      <c r="J3111" s="18">
        <f>YEAR(Tabla1[[#This Row],[FECHA DE COMPRA]])</f>
        <v>2024</v>
      </c>
      <c r="K3111" s="19">
        <v>73.39</v>
      </c>
      <c r="L3111" s="20">
        <v>0.3</v>
      </c>
      <c r="M3111" s="19">
        <f>Tienda!$K2110-Tienda!$K2110*Tienda!$L2110</f>
        <v>15.624000000000001</v>
      </c>
      <c r="N3111" s="3" t="s">
        <v>10040</v>
      </c>
      <c r="O3111" s="3" t="s">
        <v>10042</v>
      </c>
      <c r="P3111" s="17">
        <v>45697</v>
      </c>
      <c r="Q3111" s="4">
        <v>3</v>
      </c>
    </row>
    <row r="3112" spans="1:17" ht="30" x14ac:dyDescent="0.25">
      <c r="A3112" s="2" t="s">
        <v>40</v>
      </c>
      <c r="B3112" s="3" t="s">
        <v>5015</v>
      </c>
      <c r="C3112" s="3">
        <v>45</v>
      </c>
      <c r="D3112" s="46" t="str">
        <f>IF(Tabla1[[#This Row],[EDAD]]&lt;=35,"Adultos jóvenes 18 - 35 años",IF(C3112&gt;=36,"Adultos mayores 36 años en adelante"))</f>
        <v>Adultos mayores 36 años en adelante</v>
      </c>
      <c r="E3112" s="3" t="s">
        <v>5018</v>
      </c>
      <c r="F3112" s="3" t="s">
        <v>5030</v>
      </c>
      <c r="G3112" s="3" t="s">
        <v>5037</v>
      </c>
      <c r="H3112" s="3" t="s">
        <v>5063</v>
      </c>
      <c r="I3112" s="17">
        <v>45608</v>
      </c>
      <c r="J3112" s="18">
        <f>YEAR(Tabla1[[#This Row],[FECHA DE COMPRA]])</f>
        <v>2024</v>
      </c>
      <c r="K3112" s="19">
        <v>52.32</v>
      </c>
      <c r="L3112" s="20">
        <v>0</v>
      </c>
      <c r="M3112" s="19">
        <f>Tienda!$K2116-Tienda!$K2116*Tienda!$L2116</f>
        <v>41.174999999999997</v>
      </c>
      <c r="N3112" s="3" t="s">
        <v>10040</v>
      </c>
      <c r="O3112" s="3" t="s">
        <v>10042</v>
      </c>
      <c r="P3112" s="17">
        <v>45968</v>
      </c>
      <c r="Q3112" s="4">
        <v>3</v>
      </c>
    </row>
    <row r="3113" spans="1:17" ht="30" x14ac:dyDescent="0.25">
      <c r="A3113" s="2" t="s">
        <v>560</v>
      </c>
      <c r="B3113" s="3" t="s">
        <v>5016</v>
      </c>
      <c r="C3113" s="3">
        <v>44</v>
      </c>
      <c r="D3113" s="46" t="str">
        <f>IF(Tabla1[[#This Row],[EDAD]]&lt;=35,"Adultos jóvenes 18 - 35 años",IF(C3113&gt;=36,"Adultos mayores 36 años en adelante"))</f>
        <v>Adultos mayores 36 años en adelante</v>
      </c>
      <c r="E3113" s="3" t="s">
        <v>5023</v>
      </c>
      <c r="F3113" s="3" t="s">
        <v>5026</v>
      </c>
      <c r="G3113" s="3" t="s">
        <v>5035</v>
      </c>
      <c r="H3113" s="3" t="s">
        <v>5583</v>
      </c>
      <c r="I3113" s="17">
        <v>45468</v>
      </c>
      <c r="J3113" s="18">
        <f>YEAR(Tabla1[[#This Row],[FECHA DE COMPRA]])</f>
        <v>2024</v>
      </c>
      <c r="K3113" s="19">
        <v>53.59</v>
      </c>
      <c r="L3113" s="20">
        <v>0</v>
      </c>
      <c r="M3113" s="19">
        <f>Tienda!$K2126-Tienda!$K2126*Tienda!$L2126</f>
        <v>97.426000000000016</v>
      </c>
      <c r="N3113" s="3" t="s">
        <v>10040</v>
      </c>
      <c r="O3113" s="3" t="s">
        <v>10042</v>
      </c>
      <c r="P3113" s="17">
        <v>45828</v>
      </c>
      <c r="Q3113" s="4">
        <v>3</v>
      </c>
    </row>
    <row r="3114" spans="1:17" ht="30" x14ac:dyDescent="0.25">
      <c r="A3114" s="2" t="s">
        <v>734</v>
      </c>
      <c r="B3114" s="3" t="s">
        <v>5015</v>
      </c>
      <c r="C3114" s="3">
        <v>50</v>
      </c>
      <c r="D3114" s="46" t="str">
        <f>IF(Tabla1[[#This Row],[EDAD]]&lt;=35,"Adultos jóvenes 18 - 35 años",IF(C3114&gt;=36,"Adultos mayores 36 años en adelante"))</f>
        <v>Adultos mayores 36 años en adelante</v>
      </c>
      <c r="E3114" s="3" t="s">
        <v>5020</v>
      </c>
      <c r="F3114" s="3" t="s">
        <v>5025</v>
      </c>
      <c r="G3114" s="3" t="s">
        <v>5033</v>
      </c>
      <c r="H3114" s="3" t="s">
        <v>5757</v>
      </c>
      <c r="I3114" s="17">
        <v>45346</v>
      </c>
      <c r="J3114" s="18">
        <f>YEAR(Tabla1[[#This Row],[FECHA DE COMPRA]])</f>
        <v>2024</v>
      </c>
      <c r="K3114" s="19">
        <v>76.97</v>
      </c>
      <c r="L3114" s="20">
        <v>0.3</v>
      </c>
      <c r="M3114" s="19">
        <f>Tienda!$K2130-Tienda!$K2130*Tienda!$L2130</f>
        <v>91.56</v>
      </c>
      <c r="N3114" s="3" t="s">
        <v>10040</v>
      </c>
      <c r="O3114" s="3" t="s">
        <v>10042</v>
      </c>
      <c r="P3114" s="17">
        <v>45526</v>
      </c>
      <c r="Q3114" s="4">
        <v>3</v>
      </c>
    </row>
    <row r="3115" spans="1:17" ht="30" x14ac:dyDescent="0.25">
      <c r="A3115" s="2" t="s">
        <v>4292</v>
      </c>
      <c r="B3115" s="3" t="s">
        <v>5015</v>
      </c>
      <c r="C3115" s="3">
        <v>42</v>
      </c>
      <c r="D3115" s="46" t="str">
        <f>IF(Tabla1[[#This Row],[EDAD]]&lt;=35,"Adultos jóvenes 18 - 35 años",IF(C3115&gt;=36,"Adultos mayores 36 años en adelante"))</f>
        <v>Adultos mayores 36 años en adelante</v>
      </c>
      <c r="E3115" s="3" t="s">
        <v>5021</v>
      </c>
      <c r="F3115" s="3" t="s">
        <v>5025</v>
      </c>
      <c r="G3115" s="3" t="s">
        <v>5035</v>
      </c>
      <c r="H3115" s="3" t="s">
        <v>9315</v>
      </c>
      <c r="I3115" s="17">
        <v>45307</v>
      </c>
      <c r="J3115" s="18">
        <f>YEAR(Tabla1[[#This Row],[FECHA DE COMPRA]])</f>
        <v>2024</v>
      </c>
      <c r="K3115" s="19">
        <v>67.62</v>
      </c>
      <c r="L3115" s="20">
        <v>0.2</v>
      </c>
      <c r="M3115" s="19">
        <f>Tienda!$K2133-Tienda!$K2133*Tienda!$L2133</f>
        <v>19.408000000000001</v>
      </c>
      <c r="N3115" s="3" t="s">
        <v>10040</v>
      </c>
      <c r="O3115" s="3" t="s">
        <v>10042</v>
      </c>
      <c r="P3115" s="17">
        <v>45667</v>
      </c>
      <c r="Q3115" s="4">
        <v>3</v>
      </c>
    </row>
    <row r="3116" spans="1:17" ht="30" x14ac:dyDescent="0.25">
      <c r="A3116" s="2" t="s">
        <v>1361</v>
      </c>
      <c r="B3116" s="3" t="s">
        <v>5015</v>
      </c>
      <c r="C3116" s="3">
        <v>48</v>
      </c>
      <c r="D3116" s="46" t="str">
        <f>IF(Tabla1[[#This Row],[EDAD]]&lt;=35,"Adultos jóvenes 18 - 35 años",IF(C3116&gt;=36,"Adultos mayores 36 años en adelante"))</f>
        <v>Adultos mayores 36 años en adelante</v>
      </c>
      <c r="E3116" s="3" t="s">
        <v>5018</v>
      </c>
      <c r="F3116" s="3" t="s">
        <v>5024</v>
      </c>
      <c r="G3116" s="3" t="s">
        <v>5037</v>
      </c>
      <c r="H3116" s="3" t="s">
        <v>6384</v>
      </c>
      <c r="I3116" s="17">
        <v>45357</v>
      </c>
      <c r="J3116" s="18">
        <f>YEAR(Tabla1[[#This Row],[FECHA DE COMPRA]])</f>
        <v>2024</v>
      </c>
      <c r="K3116" s="19">
        <v>60.57</v>
      </c>
      <c r="L3116" s="20">
        <v>0.1</v>
      </c>
      <c r="M3116" s="19">
        <f>Tienda!$K2137-Tienda!$K2137*Tienda!$L2137</f>
        <v>112.08</v>
      </c>
      <c r="N3116" s="3" t="s">
        <v>10040</v>
      </c>
      <c r="O3116" s="3" t="s">
        <v>10042</v>
      </c>
      <c r="P3116" s="17">
        <v>45537</v>
      </c>
      <c r="Q3116" s="4">
        <v>3</v>
      </c>
    </row>
    <row r="3117" spans="1:17" ht="30" x14ac:dyDescent="0.25">
      <c r="A3117" s="2" t="s">
        <v>4625</v>
      </c>
      <c r="B3117" s="3" t="s">
        <v>5015</v>
      </c>
      <c r="C3117" s="3">
        <v>56</v>
      </c>
      <c r="D3117" s="46" t="str">
        <f>IF(Tabla1[[#This Row],[EDAD]]&lt;=35,"Adultos jóvenes 18 - 35 años",IF(C3117&gt;=36,"Adultos mayores 36 años en adelante"))</f>
        <v>Adultos mayores 36 años en adelante</v>
      </c>
      <c r="E3117" s="3" t="s">
        <v>5021</v>
      </c>
      <c r="F3117" s="3" t="s">
        <v>5029</v>
      </c>
      <c r="G3117" s="3" t="s">
        <v>5035</v>
      </c>
      <c r="H3117" s="3" t="s">
        <v>9648</v>
      </c>
      <c r="I3117" s="17">
        <v>45624</v>
      </c>
      <c r="J3117" s="18">
        <f>YEAR(Tabla1[[#This Row],[FECHA DE COMPRA]])</f>
        <v>2024</v>
      </c>
      <c r="K3117" s="19">
        <v>61.77</v>
      </c>
      <c r="L3117" s="20">
        <v>0.1</v>
      </c>
      <c r="M3117" s="19">
        <f>Tienda!$K2145-Tienda!$K2145*Tienda!$L2145</f>
        <v>27.27</v>
      </c>
      <c r="N3117" s="3" t="s">
        <v>10040</v>
      </c>
      <c r="O3117" s="3" t="s">
        <v>10042</v>
      </c>
      <c r="P3117" s="17">
        <v>45679</v>
      </c>
      <c r="Q3117" s="4">
        <v>3</v>
      </c>
    </row>
    <row r="3118" spans="1:17" ht="30" x14ac:dyDescent="0.25">
      <c r="A3118" s="2" t="s">
        <v>2256</v>
      </c>
      <c r="B3118" s="3" t="s">
        <v>5015</v>
      </c>
      <c r="C3118" s="3">
        <v>41</v>
      </c>
      <c r="D3118" s="46" t="str">
        <f>IF(Tabla1[[#This Row],[EDAD]]&lt;=35,"Adultos jóvenes 18 - 35 años",IF(C3118&gt;=36,"Adultos mayores 36 años en adelante"))</f>
        <v>Adultos mayores 36 años en adelante</v>
      </c>
      <c r="E3118" s="3" t="s">
        <v>5022</v>
      </c>
      <c r="F3118" s="3" t="s">
        <v>5026</v>
      </c>
      <c r="G3118" s="3" t="s">
        <v>5035</v>
      </c>
      <c r="H3118" s="3" t="s">
        <v>7279</v>
      </c>
      <c r="I3118" s="17">
        <v>45634</v>
      </c>
      <c r="J3118" s="18">
        <f>YEAR(Tabla1[[#This Row],[FECHA DE COMPRA]])</f>
        <v>2024</v>
      </c>
      <c r="K3118" s="19">
        <v>79.680000000000007</v>
      </c>
      <c r="L3118" s="20">
        <v>0.3</v>
      </c>
      <c r="M3118" s="19">
        <f>Tienda!$K2149-Tienda!$K2149*Tienda!$L2149</f>
        <v>40.543999999999997</v>
      </c>
      <c r="N3118" s="3" t="s">
        <v>10040</v>
      </c>
      <c r="O3118" s="3" t="s">
        <v>10042</v>
      </c>
      <c r="P3118" s="17">
        <v>45994</v>
      </c>
      <c r="Q3118" s="4">
        <v>3</v>
      </c>
    </row>
    <row r="3119" spans="1:17" ht="30" x14ac:dyDescent="0.25">
      <c r="A3119" s="2" t="s">
        <v>4121</v>
      </c>
      <c r="B3119" s="3" t="s">
        <v>5016</v>
      </c>
      <c r="C3119" s="3">
        <v>49</v>
      </c>
      <c r="D3119" s="46" t="str">
        <f>IF(Tabla1[[#This Row],[EDAD]]&lt;=35,"Adultos jóvenes 18 - 35 años",IF(C3119&gt;=36,"Adultos mayores 36 años en adelante"))</f>
        <v>Adultos mayores 36 años en adelante</v>
      </c>
      <c r="E3119" s="3" t="s">
        <v>5017</v>
      </c>
      <c r="F3119" s="3" t="s">
        <v>5024</v>
      </c>
      <c r="G3119" s="3" t="s">
        <v>5037</v>
      </c>
      <c r="H3119" s="3" t="s">
        <v>9144</v>
      </c>
      <c r="I3119" s="17">
        <v>45358</v>
      </c>
      <c r="J3119" s="18">
        <f>YEAR(Tabla1[[#This Row],[FECHA DE COMPRA]])</f>
        <v>2024</v>
      </c>
      <c r="K3119" s="19">
        <v>80.06</v>
      </c>
      <c r="L3119" s="20">
        <v>0.3</v>
      </c>
      <c r="M3119" s="19">
        <f>Tienda!$K2153-Tienda!$K2153*Tienda!$L2153</f>
        <v>31.37</v>
      </c>
      <c r="N3119" s="3" t="s">
        <v>10040</v>
      </c>
      <c r="O3119" s="3" t="s">
        <v>10042</v>
      </c>
      <c r="P3119" s="17">
        <v>45448</v>
      </c>
      <c r="Q3119" s="4">
        <v>3</v>
      </c>
    </row>
    <row r="3120" spans="1:17" ht="30" x14ac:dyDescent="0.25">
      <c r="A3120" s="2" t="s">
        <v>4873</v>
      </c>
      <c r="B3120" s="3" t="s">
        <v>5016</v>
      </c>
      <c r="C3120" s="3">
        <v>39</v>
      </c>
      <c r="D3120" s="46" t="str">
        <f>IF(Tabla1[[#This Row],[EDAD]]&lt;=35,"Adultos jóvenes 18 - 35 años",IF(C3120&gt;=36,"Adultos mayores 36 años en adelante"))</f>
        <v>Adultos mayores 36 años en adelante</v>
      </c>
      <c r="E3120" s="3" t="s">
        <v>5019</v>
      </c>
      <c r="F3120" s="3" t="s">
        <v>5028</v>
      </c>
      <c r="G3120" s="3" t="s">
        <v>5035</v>
      </c>
      <c r="H3120" s="3" t="s">
        <v>9896</v>
      </c>
      <c r="I3120" s="17">
        <v>45574</v>
      </c>
      <c r="J3120" s="18">
        <f>YEAR(Tabla1[[#This Row],[FECHA DE COMPRA]])</f>
        <v>2024</v>
      </c>
      <c r="K3120" s="19">
        <v>80.14</v>
      </c>
      <c r="L3120" s="20">
        <v>0.3</v>
      </c>
      <c r="M3120" s="19">
        <f>Tienda!$K2154-Tienda!$K2154*Tienda!$L2154</f>
        <v>139.464</v>
      </c>
      <c r="N3120" s="3" t="s">
        <v>10040</v>
      </c>
      <c r="O3120" s="3" t="s">
        <v>10042</v>
      </c>
      <c r="P3120" s="17">
        <v>45754</v>
      </c>
      <c r="Q3120" s="4">
        <v>3</v>
      </c>
    </row>
    <row r="3121" spans="1:17" ht="30" x14ac:dyDescent="0.25">
      <c r="A3121" s="2" t="s">
        <v>3684</v>
      </c>
      <c r="B3121" s="3" t="s">
        <v>5015</v>
      </c>
      <c r="C3121" s="3">
        <v>42</v>
      </c>
      <c r="D3121" s="46" t="str">
        <f>IF(Tabla1[[#This Row],[EDAD]]&lt;=35,"Adultos jóvenes 18 - 35 años",IF(C3121&gt;=36,"Adultos mayores 36 años en adelante"))</f>
        <v>Adultos mayores 36 años en adelante</v>
      </c>
      <c r="E3121" s="3" t="s">
        <v>5020</v>
      </c>
      <c r="F3121" s="3" t="s">
        <v>5024</v>
      </c>
      <c r="G3121" s="3" t="s">
        <v>5033</v>
      </c>
      <c r="H3121" s="3" t="s">
        <v>8707</v>
      </c>
      <c r="I3121" s="17">
        <v>45598</v>
      </c>
      <c r="J3121" s="18">
        <f>YEAR(Tabla1[[#This Row],[FECHA DE COMPRA]])</f>
        <v>2024</v>
      </c>
      <c r="K3121" s="19">
        <v>80.8</v>
      </c>
      <c r="L3121" s="20">
        <v>0.3</v>
      </c>
      <c r="M3121" s="19">
        <f>Tienda!$K2158-Tienda!$K2158*Tienda!$L2158</f>
        <v>77.44</v>
      </c>
      <c r="N3121" s="3" t="s">
        <v>10040</v>
      </c>
      <c r="O3121" s="3" t="s">
        <v>10042</v>
      </c>
      <c r="P3121" s="17">
        <v>45688</v>
      </c>
      <c r="Q3121" s="4">
        <v>3</v>
      </c>
    </row>
    <row r="3122" spans="1:17" ht="30" x14ac:dyDescent="0.25">
      <c r="A3122" s="2" t="s">
        <v>1695</v>
      </c>
      <c r="B3122" s="3" t="s">
        <v>5015</v>
      </c>
      <c r="C3122" s="3">
        <v>40</v>
      </c>
      <c r="D3122" s="46" t="str">
        <f>IF(Tabla1[[#This Row],[EDAD]]&lt;=35,"Adultos jóvenes 18 - 35 años",IF(C3122&gt;=36,"Adultos mayores 36 años en adelante"))</f>
        <v>Adultos mayores 36 años en adelante</v>
      </c>
      <c r="E3122" s="3" t="s">
        <v>5018</v>
      </c>
      <c r="F3122" s="3" t="s">
        <v>5030</v>
      </c>
      <c r="G3122" s="3" t="s">
        <v>5034</v>
      </c>
      <c r="H3122" s="3" t="s">
        <v>6718</v>
      </c>
      <c r="I3122" s="17">
        <v>45334</v>
      </c>
      <c r="J3122" s="18">
        <f>YEAR(Tabla1[[#This Row],[FECHA DE COMPRA]])</f>
        <v>2024</v>
      </c>
      <c r="K3122" s="19">
        <v>71.27</v>
      </c>
      <c r="L3122" s="20">
        <v>0.2</v>
      </c>
      <c r="M3122" s="19">
        <f>Tienda!$K2163-Tienda!$K2163*Tienda!$L2163</f>
        <v>71.308999999999997</v>
      </c>
      <c r="N3122" s="3" t="s">
        <v>10040</v>
      </c>
      <c r="O3122" s="3" t="s">
        <v>10042</v>
      </c>
      <c r="P3122" s="17">
        <v>45604</v>
      </c>
      <c r="Q3122" s="4">
        <v>3</v>
      </c>
    </row>
    <row r="3123" spans="1:17" ht="30" x14ac:dyDescent="0.25">
      <c r="A3123" s="2" t="s">
        <v>1824</v>
      </c>
      <c r="B3123" s="3" t="s">
        <v>5015</v>
      </c>
      <c r="C3123" s="3">
        <v>45</v>
      </c>
      <c r="D3123" s="46" t="str">
        <f>IF(Tabla1[[#This Row],[EDAD]]&lt;=35,"Adultos jóvenes 18 - 35 años",IF(C3123&gt;=36,"Adultos mayores 36 años en adelante"))</f>
        <v>Adultos mayores 36 años en adelante</v>
      </c>
      <c r="E3123" s="3" t="s">
        <v>5018</v>
      </c>
      <c r="F3123" s="3" t="s">
        <v>5025</v>
      </c>
      <c r="G3123" s="3" t="s">
        <v>5031</v>
      </c>
      <c r="H3123" s="3" t="s">
        <v>6847</v>
      </c>
      <c r="I3123" s="17">
        <v>45326</v>
      </c>
      <c r="J3123" s="18">
        <f>YEAR(Tabla1[[#This Row],[FECHA DE COMPRA]])</f>
        <v>2024</v>
      </c>
      <c r="K3123" s="19">
        <v>72.02</v>
      </c>
      <c r="L3123" s="20">
        <v>0.2</v>
      </c>
      <c r="M3123" s="19">
        <f>Tienda!$K2170-Tienda!$K2170*Tienda!$L2170</f>
        <v>65.912000000000006</v>
      </c>
      <c r="N3123" s="3" t="s">
        <v>10040</v>
      </c>
      <c r="O3123" s="3" t="s">
        <v>10042</v>
      </c>
      <c r="P3123" s="17">
        <v>45596</v>
      </c>
      <c r="Q3123" s="4">
        <v>3</v>
      </c>
    </row>
    <row r="3124" spans="1:17" ht="30" x14ac:dyDescent="0.25">
      <c r="A3124" s="2" t="s">
        <v>3887</v>
      </c>
      <c r="B3124" s="3" t="s">
        <v>5016</v>
      </c>
      <c r="C3124" s="3">
        <v>46</v>
      </c>
      <c r="D3124" s="46" t="str">
        <f>IF(Tabla1[[#This Row],[EDAD]]&lt;=35,"Adultos jóvenes 18 - 35 años",IF(C3124&gt;=36,"Adultos mayores 36 años en adelante"))</f>
        <v>Adultos mayores 36 años en adelante</v>
      </c>
      <c r="E3124" s="3" t="s">
        <v>5017</v>
      </c>
      <c r="F3124" s="3" t="s">
        <v>5024</v>
      </c>
      <c r="G3124" s="3" t="s">
        <v>5034</v>
      </c>
      <c r="H3124" s="3" t="s">
        <v>8910</v>
      </c>
      <c r="I3124" s="17">
        <v>45362</v>
      </c>
      <c r="J3124" s="18">
        <f>YEAR(Tabla1[[#This Row],[FECHA DE COMPRA]])</f>
        <v>2024</v>
      </c>
      <c r="K3124" s="19">
        <v>57.79</v>
      </c>
      <c r="L3124" s="20">
        <v>0</v>
      </c>
      <c r="M3124" s="19">
        <f>Tienda!$K2172-Tienda!$K2172*Tienda!$L2172</f>
        <v>115.53599999999999</v>
      </c>
      <c r="N3124" s="3" t="s">
        <v>10040</v>
      </c>
      <c r="O3124" s="3" t="s">
        <v>10042</v>
      </c>
      <c r="P3124" s="17">
        <v>45542</v>
      </c>
      <c r="Q3124" s="4">
        <v>3</v>
      </c>
    </row>
    <row r="3125" spans="1:17" ht="30" x14ac:dyDescent="0.25">
      <c r="A3125" s="2" t="s">
        <v>3385</v>
      </c>
      <c r="B3125" s="3" t="s">
        <v>5016</v>
      </c>
      <c r="C3125" s="3">
        <v>50</v>
      </c>
      <c r="D3125" s="46" t="str">
        <f>IF(Tabla1[[#This Row],[EDAD]]&lt;=35,"Adultos jóvenes 18 - 35 años",IF(C3125&gt;=36,"Adultos mayores 36 años en adelante"))</f>
        <v>Adultos mayores 36 años en adelante</v>
      </c>
      <c r="E3125" s="3" t="s">
        <v>5021</v>
      </c>
      <c r="F3125" s="3" t="s">
        <v>5026</v>
      </c>
      <c r="G3125" s="3" t="s">
        <v>5035</v>
      </c>
      <c r="H3125" s="3" t="s">
        <v>8408</v>
      </c>
      <c r="I3125" s="17">
        <v>45512</v>
      </c>
      <c r="J3125" s="18">
        <f>YEAR(Tabla1[[#This Row],[FECHA DE COMPRA]])</f>
        <v>2024</v>
      </c>
      <c r="K3125" s="19">
        <v>58.41</v>
      </c>
      <c r="L3125" s="20">
        <v>0</v>
      </c>
      <c r="M3125" s="19">
        <f>Tienda!$K2177-Tienda!$K2177*Tienda!$L2177</f>
        <v>64.533000000000001</v>
      </c>
      <c r="N3125" s="3" t="s">
        <v>10040</v>
      </c>
      <c r="O3125" s="3" t="s">
        <v>10042</v>
      </c>
      <c r="P3125" s="17">
        <v>45602</v>
      </c>
      <c r="Q3125" s="4">
        <v>3</v>
      </c>
    </row>
    <row r="3126" spans="1:17" ht="30" x14ac:dyDescent="0.25">
      <c r="A3126" s="2" t="s">
        <v>3947</v>
      </c>
      <c r="B3126" s="3" t="s">
        <v>5015</v>
      </c>
      <c r="C3126" s="3">
        <v>48</v>
      </c>
      <c r="D3126" s="46" t="str">
        <f>IF(Tabla1[[#This Row],[EDAD]]&lt;=35,"Adultos jóvenes 18 - 35 años",IF(C3126&gt;=36,"Adultos mayores 36 años en adelante"))</f>
        <v>Adultos mayores 36 años en adelante</v>
      </c>
      <c r="E3126" s="3" t="s">
        <v>5019</v>
      </c>
      <c r="F3126" s="3" t="s">
        <v>5029</v>
      </c>
      <c r="G3126" s="3" t="s">
        <v>5034</v>
      </c>
      <c r="H3126" s="3" t="s">
        <v>8970</v>
      </c>
      <c r="I3126" s="17">
        <v>45624</v>
      </c>
      <c r="J3126" s="18">
        <f>YEAR(Tabla1[[#This Row],[FECHA DE COMPRA]])</f>
        <v>2024</v>
      </c>
      <c r="K3126" s="19">
        <v>83.51</v>
      </c>
      <c r="L3126" s="20">
        <v>0.3</v>
      </c>
      <c r="M3126" s="19">
        <f>Tienda!$K2178-Tienda!$K2178*Tienda!$L2178</f>
        <v>59.093999999999994</v>
      </c>
      <c r="N3126" s="3" t="s">
        <v>10040</v>
      </c>
      <c r="O3126" s="3" t="s">
        <v>10042</v>
      </c>
      <c r="P3126" s="17">
        <v>45664</v>
      </c>
      <c r="Q3126" s="4">
        <v>3</v>
      </c>
    </row>
    <row r="3127" spans="1:17" ht="30" x14ac:dyDescent="0.25">
      <c r="A3127" s="2" t="s">
        <v>973</v>
      </c>
      <c r="B3127" s="3" t="s">
        <v>5015</v>
      </c>
      <c r="C3127" s="3">
        <v>59</v>
      </c>
      <c r="D3127" s="46" t="str">
        <f>IF(Tabla1[[#This Row],[EDAD]]&lt;=35,"Adultos jóvenes 18 - 35 años",IF(C3127&gt;=36,"Adultos mayores 36 años en adelante"))</f>
        <v>Adultos mayores 36 años en adelante</v>
      </c>
      <c r="E3127" s="3" t="s">
        <v>5021</v>
      </c>
      <c r="F3127" s="3" t="s">
        <v>5024</v>
      </c>
      <c r="G3127" s="3" t="s">
        <v>5036</v>
      </c>
      <c r="H3127" s="3" t="s">
        <v>5996</v>
      </c>
      <c r="I3127" s="17">
        <v>45585</v>
      </c>
      <c r="J3127" s="18">
        <f>YEAR(Tabla1[[#This Row],[FECHA DE COMPRA]])</f>
        <v>2024</v>
      </c>
      <c r="K3127" s="19">
        <v>84.39</v>
      </c>
      <c r="L3127" s="20">
        <v>0.3</v>
      </c>
      <c r="M3127" s="19">
        <f>Tienda!$K2184-Tienda!$K2184*Tienda!$L2184</f>
        <v>125.99100000000001</v>
      </c>
      <c r="N3127" s="3" t="s">
        <v>10040</v>
      </c>
      <c r="O3127" s="3" t="s">
        <v>10042</v>
      </c>
      <c r="P3127" s="17">
        <v>45765</v>
      </c>
      <c r="Q3127" s="4">
        <v>3</v>
      </c>
    </row>
    <row r="3128" spans="1:17" ht="30" x14ac:dyDescent="0.25">
      <c r="A3128" s="2" t="s">
        <v>1711</v>
      </c>
      <c r="B3128" s="3" t="s">
        <v>5015</v>
      </c>
      <c r="C3128" s="3">
        <v>44</v>
      </c>
      <c r="D3128" s="46" t="str">
        <f>IF(Tabla1[[#This Row],[EDAD]]&lt;=35,"Adultos jóvenes 18 - 35 años",IF(C3128&gt;=36,"Adultos mayores 36 años en adelante"))</f>
        <v>Adultos mayores 36 años en adelante</v>
      </c>
      <c r="E3128" s="3" t="s">
        <v>5018</v>
      </c>
      <c r="F3128" s="3" t="s">
        <v>5024</v>
      </c>
      <c r="G3128" s="3" t="s">
        <v>5032</v>
      </c>
      <c r="H3128" s="3" t="s">
        <v>6734</v>
      </c>
      <c r="I3128" s="17">
        <v>45507</v>
      </c>
      <c r="J3128" s="18">
        <f>YEAR(Tabla1[[#This Row],[FECHA DE COMPRA]])</f>
        <v>2024</v>
      </c>
      <c r="K3128" s="19">
        <v>86.32</v>
      </c>
      <c r="L3128" s="20">
        <v>0.3</v>
      </c>
      <c r="M3128" s="19">
        <f>Tienda!$K2198-Tienda!$K2198*Tienda!$L2198</f>
        <v>81.823999999999998</v>
      </c>
      <c r="N3128" s="3" t="s">
        <v>10040</v>
      </c>
      <c r="O3128" s="3" t="s">
        <v>10042</v>
      </c>
      <c r="P3128" s="17">
        <v>45597</v>
      </c>
      <c r="Q3128" s="4">
        <v>3</v>
      </c>
    </row>
    <row r="3129" spans="1:17" ht="30" x14ac:dyDescent="0.25">
      <c r="A3129" s="2" t="s">
        <v>1329</v>
      </c>
      <c r="B3129" s="3" t="s">
        <v>5016</v>
      </c>
      <c r="C3129" s="3">
        <v>43</v>
      </c>
      <c r="D3129" s="46" t="str">
        <f>IF(Tabla1[[#This Row],[EDAD]]&lt;=35,"Adultos jóvenes 18 - 35 años",IF(C3129&gt;=36,"Adultos mayores 36 años en adelante"))</f>
        <v>Adultos mayores 36 años en adelante</v>
      </c>
      <c r="E3129" s="3" t="s">
        <v>5023</v>
      </c>
      <c r="F3129" s="3" t="s">
        <v>5027</v>
      </c>
      <c r="G3129" s="3" t="s">
        <v>5036</v>
      </c>
      <c r="H3129" s="3" t="s">
        <v>6352</v>
      </c>
      <c r="I3129" s="17">
        <v>45564</v>
      </c>
      <c r="J3129" s="18">
        <f>YEAR(Tabla1[[#This Row],[FECHA DE COMPRA]])</f>
        <v>2024</v>
      </c>
      <c r="K3129" s="19">
        <v>61.12</v>
      </c>
      <c r="L3129" s="20">
        <v>0</v>
      </c>
      <c r="M3129" s="19">
        <f>Tienda!$K2201-Tienda!$K2201*Tienda!$L2201</f>
        <v>112.084</v>
      </c>
      <c r="N3129" s="3" t="s">
        <v>10040</v>
      </c>
      <c r="O3129" s="3" t="s">
        <v>10042</v>
      </c>
      <c r="P3129" s="17">
        <v>45924</v>
      </c>
      <c r="Q3129" s="4">
        <v>3</v>
      </c>
    </row>
    <row r="3130" spans="1:17" ht="30" x14ac:dyDescent="0.25">
      <c r="A3130" s="2" t="s">
        <v>4174</v>
      </c>
      <c r="B3130" s="3" t="s">
        <v>5016</v>
      </c>
      <c r="C3130" s="3">
        <v>61</v>
      </c>
      <c r="D3130" s="46" t="str">
        <f>IF(Tabla1[[#This Row],[EDAD]]&lt;=35,"Adultos jóvenes 18 - 35 años",IF(C3130&gt;=36,"Adultos mayores 36 años en adelante"))</f>
        <v>Adultos mayores 36 años en adelante</v>
      </c>
      <c r="E3130" s="3" t="s">
        <v>5017</v>
      </c>
      <c r="F3130" s="3" t="s">
        <v>5024</v>
      </c>
      <c r="G3130" s="3" t="s">
        <v>5036</v>
      </c>
      <c r="H3130" s="3" t="s">
        <v>9197</v>
      </c>
      <c r="I3130" s="17">
        <v>45585</v>
      </c>
      <c r="J3130" s="18">
        <f>YEAR(Tabla1[[#This Row],[FECHA DE COMPRA]])</f>
        <v>2024</v>
      </c>
      <c r="K3130" s="19">
        <v>68.25</v>
      </c>
      <c r="L3130" s="20">
        <v>0.1</v>
      </c>
      <c r="M3130" s="19">
        <f>Tienda!$K2205-Tienda!$K2205*Tienda!$L2205</f>
        <v>112.02</v>
      </c>
      <c r="N3130" s="3" t="s">
        <v>10040</v>
      </c>
      <c r="O3130" s="3" t="s">
        <v>10042</v>
      </c>
      <c r="P3130" s="17">
        <v>45765</v>
      </c>
      <c r="Q3130" s="4">
        <v>3</v>
      </c>
    </row>
    <row r="3131" spans="1:17" ht="30" x14ac:dyDescent="0.25">
      <c r="A3131" s="2" t="s">
        <v>1429</v>
      </c>
      <c r="B3131" s="3" t="s">
        <v>5015</v>
      </c>
      <c r="C3131" s="3">
        <v>55</v>
      </c>
      <c r="D3131" s="46" t="str">
        <f>IF(Tabla1[[#This Row],[EDAD]]&lt;=35,"Adultos jóvenes 18 - 35 años",IF(C3131&gt;=36,"Adultos mayores 36 años en adelante"))</f>
        <v>Adultos mayores 36 años en adelante</v>
      </c>
      <c r="E3131" s="3" t="s">
        <v>5022</v>
      </c>
      <c r="F3131" s="3" t="s">
        <v>5029</v>
      </c>
      <c r="G3131" s="3" t="s">
        <v>5031</v>
      </c>
      <c r="H3131" s="3" t="s">
        <v>6452</v>
      </c>
      <c r="I3131" s="17">
        <v>45475</v>
      </c>
      <c r="J3131" s="18">
        <f>YEAR(Tabla1[[#This Row],[FECHA DE COMPRA]])</f>
        <v>2024</v>
      </c>
      <c r="K3131" s="19">
        <v>77.760000000000005</v>
      </c>
      <c r="L3131" s="20">
        <v>0.2</v>
      </c>
      <c r="M3131" s="19">
        <f>Tienda!$K2213-Tienda!$K2213*Tienda!$L2213</f>
        <v>111.59200000000001</v>
      </c>
      <c r="N3131" s="3" t="s">
        <v>10040</v>
      </c>
      <c r="O3131" s="3" t="s">
        <v>10042</v>
      </c>
      <c r="P3131" s="17">
        <v>45655</v>
      </c>
      <c r="Q3131" s="4">
        <v>3</v>
      </c>
    </row>
    <row r="3132" spans="1:17" ht="30" x14ac:dyDescent="0.25">
      <c r="A3132" s="2" t="s">
        <v>1307</v>
      </c>
      <c r="B3132" s="3" t="s">
        <v>5015</v>
      </c>
      <c r="C3132" s="3">
        <v>42</v>
      </c>
      <c r="D3132" s="46" t="str">
        <f>IF(Tabla1[[#This Row],[EDAD]]&lt;=35,"Adultos jóvenes 18 - 35 años",IF(C3132&gt;=36,"Adultos mayores 36 años en adelante"))</f>
        <v>Adultos mayores 36 años en adelante</v>
      </c>
      <c r="E3132" s="3" t="s">
        <v>5019</v>
      </c>
      <c r="F3132" s="3" t="s">
        <v>5025</v>
      </c>
      <c r="G3132" s="3" t="s">
        <v>5033</v>
      </c>
      <c r="H3132" s="3" t="s">
        <v>6330</v>
      </c>
      <c r="I3132" s="17">
        <v>45600</v>
      </c>
      <c r="J3132" s="18">
        <f>YEAR(Tabla1[[#This Row],[FECHA DE COMPRA]])</f>
        <v>2024</v>
      </c>
      <c r="K3132" s="19">
        <v>77.8</v>
      </c>
      <c r="L3132" s="20">
        <v>0.2</v>
      </c>
      <c r="M3132" s="19">
        <f>Tienda!$K2214-Tienda!$K2214*Tienda!$L2214</f>
        <v>115.32</v>
      </c>
      <c r="N3132" s="3" t="s">
        <v>10040</v>
      </c>
      <c r="O3132" s="3" t="s">
        <v>10042</v>
      </c>
      <c r="P3132" s="17">
        <v>45690</v>
      </c>
      <c r="Q3132" s="4">
        <v>3</v>
      </c>
    </row>
    <row r="3133" spans="1:17" ht="30" x14ac:dyDescent="0.25">
      <c r="A3133" s="2" t="s">
        <v>4374</v>
      </c>
      <c r="B3133" s="3" t="s">
        <v>5015</v>
      </c>
      <c r="C3133" s="3">
        <v>44</v>
      </c>
      <c r="D3133" s="46" t="str">
        <f>IF(Tabla1[[#This Row],[EDAD]]&lt;=35,"Adultos jóvenes 18 - 35 años",IF(C3133&gt;=36,"Adultos mayores 36 años en adelante"))</f>
        <v>Adultos mayores 36 años en adelante</v>
      </c>
      <c r="E3133" s="3" t="s">
        <v>5022</v>
      </c>
      <c r="F3133" s="3" t="s">
        <v>5028</v>
      </c>
      <c r="G3133" s="3" t="s">
        <v>5032</v>
      </c>
      <c r="H3133" s="3" t="s">
        <v>9397</v>
      </c>
      <c r="I3133" s="17">
        <v>45405</v>
      </c>
      <c r="J3133" s="18">
        <f>YEAR(Tabla1[[#This Row],[FECHA DE COMPRA]])</f>
        <v>2024</v>
      </c>
      <c r="K3133" s="19">
        <v>69.28</v>
      </c>
      <c r="L3133" s="20">
        <v>0.1</v>
      </c>
      <c r="M3133" s="19">
        <f>Tienda!$K2216-Tienda!$K2216*Tienda!$L2216</f>
        <v>175.14</v>
      </c>
      <c r="N3133" s="3" t="s">
        <v>10040</v>
      </c>
      <c r="O3133" s="3" t="s">
        <v>10042</v>
      </c>
      <c r="P3133" s="17">
        <v>45585</v>
      </c>
      <c r="Q3133" s="4">
        <v>3</v>
      </c>
    </row>
    <row r="3134" spans="1:17" ht="30" x14ac:dyDescent="0.25">
      <c r="A3134" s="2" t="s">
        <v>760</v>
      </c>
      <c r="B3134" s="3" t="s">
        <v>5015</v>
      </c>
      <c r="C3134" s="3">
        <v>62</v>
      </c>
      <c r="D3134" s="46" t="str">
        <f>IF(Tabla1[[#This Row],[EDAD]]&lt;=35,"Adultos jóvenes 18 - 35 años",IF(C3134&gt;=36,"Adultos mayores 36 años en adelante"))</f>
        <v>Adultos mayores 36 años en adelante</v>
      </c>
      <c r="E3134" s="3" t="s">
        <v>5020</v>
      </c>
      <c r="F3134" s="3" t="s">
        <v>5029</v>
      </c>
      <c r="G3134" s="3" t="s">
        <v>5036</v>
      </c>
      <c r="H3134" s="3" t="s">
        <v>5783</v>
      </c>
      <c r="I3134" s="17">
        <v>45555</v>
      </c>
      <c r="J3134" s="18">
        <f>YEAR(Tabla1[[#This Row],[FECHA DE COMPRA]])</f>
        <v>2024</v>
      </c>
      <c r="K3134" s="19">
        <v>62.95</v>
      </c>
      <c r="L3134" s="20">
        <v>0</v>
      </c>
      <c r="M3134" s="19">
        <f>Tienda!$K2218-Tienda!$K2218*Tienda!$L2218</f>
        <v>25.28</v>
      </c>
      <c r="N3134" s="3" t="s">
        <v>10040</v>
      </c>
      <c r="O3134" s="3" t="s">
        <v>10042</v>
      </c>
      <c r="P3134" s="17">
        <v>45735</v>
      </c>
      <c r="Q3134" s="4">
        <v>3</v>
      </c>
    </row>
    <row r="3135" spans="1:17" ht="30" x14ac:dyDescent="0.25">
      <c r="A3135" s="2" t="s">
        <v>4669</v>
      </c>
      <c r="B3135" s="3" t="s">
        <v>5015</v>
      </c>
      <c r="C3135" s="3">
        <v>45</v>
      </c>
      <c r="D3135" s="46" t="str">
        <f>IF(Tabla1[[#This Row],[EDAD]]&lt;=35,"Adultos jóvenes 18 - 35 años",IF(C3135&gt;=36,"Adultos mayores 36 años en adelante"))</f>
        <v>Adultos mayores 36 años en adelante</v>
      </c>
      <c r="E3135" s="3" t="s">
        <v>5019</v>
      </c>
      <c r="F3135" s="3" t="s">
        <v>5029</v>
      </c>
      <c r="G3135" s="3" t="s">
        <v>5036</v>
      </c>
      <c r="H3135" s="3" t="s">
        <v>9692</v>
      </c>
      <c r="I3135" s="17">
        <v>45509</v>
      </c>
      <c r="J3135" s="18">
        <f>YEAR(Tabla1[[#This Row],[FECHA DE COMPRA]])</f>
        <v>2024</v>
      </c>
      <c r="K3135" s="19">
        <v>79.010000000000005</v>
      </c>
      <c r="L3135" s="20">
        <v>0.2</v>
      </c>
      <c r="M3135" s="19">
        <f>Tienda!$K2219-Tienda!$K2219*Tienda!$L2219</f>
        <v>82.44</v>
      </c>
      <c r="N3135" s="3" t="s">
        <v>10040</v>
      </c>
      <c r="O3135" s="3" t="s">
        <v>10042</v>
      </c>
      <c r="P3135" s="17">
        <v>45599</v>
      </c>
      <c r="Q3135" s="4">
        <v>3</v>
      </c>
    </row>
    <row r="3136" spans="1:17" ht="30" x14ac:dyDescent="0.25">
      <c r="A3136" s="2" t="s">
        <v>1375</v>
      </c>
      <c r="B3136" s="3" t="s">
        <v>5015</v>
      </c>
      <c r="C3136" s="3">
        <v>39</v>
      </c>
      <c r="D3136" s="46" t="str">
        <f>IF(Tabla1[[#This Row],[EDAD]]&lt;=35,"Adultos jóvenes 18 - 35 años",IF(C3136&gt;=36,"Adultos mayores 36 años en adelante"))</f>
        <v>Adultos mayores 36 años en adelante</v>
      </c>
      <c r="E3136" s="3" t="s">
        <v>5017</v>
      </c>
      <c r="F3136" s="3" t="s">
        <v>5026</v>
      </c>
      <c r="G3136" s="3" t="s">
        <v>5033</v>
      </c>
      <c r="H3136" s="3" t="s">
        <v>6398</v>
      </c>
      <c r="I3136" s="17">
        <v>45624</v>
      </c>
      <c r="J3136" s="18">
        <f>YEAR(Tabla1[[#This Row],[FECHA DE COMPRA]])</f>
        <v>2024</v>
      </c>
      <c r="K3136" s="19">
        <v>79.209999999999994</v>
      </c>
      <c r="L3136" s="20">
        <v>0.2</v>
      </c>
      <c r="M3136" s="19">
        <f>Tienda!$K2222-Tienda!$K2222*Tienda!$L2222</f>
        <v>67.37</v>
      </c>
      <c r="N3136" s="3" t="s">
        <v>10040</v>
      </c>
      <c r="O3136" s="3" t="s">
        <v>10042</v>
      </c>
      <c r="P3136" s="17">
        <v>45769</v>
      </c>
      <c r="Q3136" s="4">
        <v>3</v>
      </c>
    </row>
    <row r="3137" spans="1:17" ht="30" x14ac:dyDescent="0.25">
      <c r="A3137" s="2" t="s">
        <v>4482</v>
      </c>
      <c r="B3137" s="3" t="s">
        <v>5015</v>
      </c>
      <c r="C3137" s="3">
        <v>38</v>
      </c>
      <c r="D3137" s="46" t="str">
        <f>IF(Tabla1[[#This Row],[EDAD]]&lt;=35,"Adultos jóvenes 18 - 35 años",IF(C3137&gt;=36,"Adultos mayores 36 años en adelante"))</f>
        <v>Adultos mayores 36 años en adelante</v>
      </c>
      <c r="E3137" s="3" t="s">
        <v>5017</v>
      </c>
      <c r="F3137" s="3" t="s">
        <v>5028</v>
      </c>
      <c r="G3137" s="3" t="s">
        <v>5032</v>
      </c>
      <c r="H3137" s="3" t="s">
        <v>9505</v>
      </c>
      <c r="I3137" s="17">
        <v>45586</v>
      </c>
      <c r="J3137" s="18">
        <f>YEAR(Tabla1[[#This Row],[FECHA DE COMPRA]])</f>
        <v>2024</v>
      </c>
      <c r="K3137" s="19">
        <v>63.62</v>
      </c>
      <c r="L3137" s="20">
        <v>0</v>
      </c>
      <c r="M3137" s="19">
        <f>Tienda!$K2225-Tienda!$K2225*Tienda!$L2225</f>
        <v>154.35</v>
      </c>
      <c r="N3137" s="3" t="s">
        <v>10040</v>
      </c>
      <c r="O3137" s="3" t="s">
        <v>10042</v>
      </c>
      <c r="P3137" s="17">
        <v>45676</v>
      </c>
      <c r="Q3137" s="4">
        <v>3</v>
      </c>
    </row>
    <row r="3138" spans="1:17" ht="30" x14ac:dyDescent="0.25">
      <c r="A3138" s="2" t="s">
        <v>4716</v>
      </c>
      <c r="B3138" s="3" t="s">
        <v>5015</v>
      </c>
      <c r="C3138" s="3">
        <v>63</v>
      </c>
      <c r="D3138" s="46" t="str">
        <f>IF(Tabla1[[#This Row],[EDAD]]&lt;=35,"Adultos jóvenes 18 - 35 años",IF(C3138&gt;=36,"Adultos mayores 36 años en adelante"))</f>
        <v>Adultos mayores 36 años en adelante</v>
      </c>
      <c r="E3138" s="3" t="s">
        <v>5020</v>
      </c>
      <c r="F3138" s="3" t="s">
        <v>5030</v>
      </c>
      <c r="G3138" s="3" t="s">
        <v>5032</v>
      </c>
      <c r="H3138" s="3" t="s">
        <v>9739</v>
      </c>
      <c r="I3138" s="17">
        <v>45502</v>
      </c>
      <c r="J3138" s="18">
        <f>YEAR(Tabla1[[#This Row],[FECHA DE COMPRA]])</f>
        <v>2024</v>
      </c>
      <c r="K3138" s="19">
        <v>64.53</v>
      </c>
      <c r="L3138" s="20">
        <v>0</v>
      </c>
      <c r="M3138" s="19">
        <f>Tienda!$K2232-Tienda!$K2232*Tienda!$L2232</f>
        <v>9.0449999999999999</v>
      </c>
      <c r="N3138" s="3" t="s">
        <v>10040</v>
      </c>
      <c r="O3138" s="3" t="s">
        <v>10042</v>
      </c>
      <c r="P3138" s="17">
        <v>45862</v>
      </c>
      <c r="Q3138" s="4">
        <v>3</v>
      </c>
    </row>
    <row r="3139" spans="1:17" ht="30" x14ac:dyDescent="0.25">
      <c r="A3139" s="2" t="s">
        <v>3281</v>
      </c>
      <c r="B3139" s="3" t="s">
        <v>5015</v>
      </c>
      <c r="C3139" s="3">
        <v>39</v>
      </c>
      <c r="D3139" s="46" t="str">
        <f>IF(Tabla1[[#This Row],[EDAD]]&lt;=35,"Adultos jóvenes 18 - 35 años",IF(C3139&gt;=36,"Adultos mayores 36 años en adelante"))</f>
        <v>Adultos mayores 36 años en adelante</v>
      </c>
      <c r="E3139" s="3" t="s">
        <v>5017</v>
      </c>
      <c r="F3139" s="3" t="s">
        <v>5026</v>
      </c>
      <c r="G3139" s="3" t="s">
        <v>5036</v>
      </c>
      <c r="H3139" s="3" t="s">
        <v>8304</v>
      </c>
      <c r="I3139" s="17">
        <v>45437</v>
      </c>
      <c r="J3139" s="18">
        <f>YEAR(Tabla1[[#This Row],[FECHA DE COMPRA]])</f>
        <v>2024</v>
      </c>
      <c r="K3139" s="19">
        <v>82.91</v>
      </c>
      <c r="L3139" s="20">
        <v>0.2</v>
      </c>
      <c r="M3139" s="19">
        <f>Tienda!$K2239-Tienda!$K2239*Tienda!$L2239</f>
        <v>58.131</v>
      </c>
      <c r="N3139" s="3" t="s">
        <v>10040</v>
      </c>
      <c r="O3139" s="3" t="s">
        <v>10042</v>
      </c>
      <c r="P3139" s="17">
        <v>45797</v>
      </c>
      <c r="Q3139" s="4">
        <v>3</v>
      </c>
    </row>
    <row r="3140" spans="1:17" ht="30" x14ac:dyDescent="0.25">
      <c r="A3140" s="2" t="s">
        <v>1486</v>
      </c>
      <c r="B3140" s="3" t="s">
        <v>5016</v>
      </c>
      <c r="C3140" s="3">
        <v>47</v>
      </c>
      <c r="D3140" s="46" t="str">
        <f>IF(Tabla1[[#This Row],[EDAD]]&lt;=35,"Adultos jóvenes 18 - 35 años",IF(C3140&gt;=36,"Adultos mayores 36 años en adelante"))</f>
        <v>Adultos mayores 36 años en adelante</v>
      </c>
      <c r="E3140" s="3" t="s">
        <v>5021</v>
      </c>
      <c r="F3140" s="3" t="s">
        <v>5029</v>
      </c>
      <c r="G3140" s="3" t="s">
        <v>5032</v>
      </c>
      <c r="H3140" s="3" t="s">
        <v>6509</v>
      </c>
      <c r="I3140" s="17">
        <v>45313</v>
      </c>
      <c r="J3140" s="18">
        <f>YEAR(Tabla1[[#This Row],[FECHA DE COMPRA]])</f>
        <v>2024</v>
      </c>
      <c r="K3140" s="19">
        <v>82.93</v>
      </c>
      <c r="L3140" s="20">
        <v>0.2</v>
      </c>
      <c r="M3140" s="19">
        <f>Tienda!$K2240-Tienda!$K2240*Tienda!$L2240</f>
        <v>83.259</v>
      </c>
      <c r="N3140" s="3" t="s">
        <v>10040</v>
      </c>
      <c r="O3140" s="3" t="s">
        <v>10042</v>
      </c>
      <c r="P3140" s="17">
        <v>45403</v>
      </c>
      <c r="Q3140" s="4">
        <v>3</v>
      </c>
    </row>
    <row r="3141" spans="1:17" ht="30" x14ac:dyDescent="0.25">
      <c r="A3141" s="2" t="s">
        <v>3487</v>
      </c>
      <c r="B3141" s="3" t="s">
        <v>5015</v>
      </c>
      <c r="C3141" s="3">
        <v>42</v>
      </c>
      <c r="D3141" s="46" t="str">
        <f>IF(Tabla1[[#This Row],[EDAD]]&lt;=35,"Adultos jóvenes 18 - 35 años",IF(C3141&gt;=36,"Adultos mayores 36 años en adelante"))</f>
        <v>Adultos mayores 36 años en adelante</v>
      </c>
      <c r="E3141" s="3" t="s">
        <v>5019</v>
      </c>
      <c r="F3141" s="3" t="s">
        <v>5030</v>
      </c>
      <c r="G3141" s="3" t="s">
        <v>5033</v>
      </c>
      <c r="H3141" s="3" t="s">
        <v>8510</v>
      </c>
      <c r="I3141" s="17">
        <v>45647</v>
      </c>
      <c r="J3141" s="18">
        <f>YEAR(Tabla1[[#This Row],[FECHA DE COMPRA]])</f>
        <v>2024</v>
      </c>
      <c r="K3141" s="19">
        <v>83.03</v>
      </c>
      <c r="L3141" s="20">
        <v>0.2</v>
      </c>
      <c r="M3141" s="19">
        <f>Tienda!$K2242-Tienda!$K2242*Tienda!$L2242</f>
        <v>125.1</v>
      </c>
      <c r="N3141" s="3" t="s">
        <v>10040</v>
      </c>
      <c r="O3141" s="3" t="s">
        <v>10042</v>
      </c>
      <c r="P3141" s="17">
        <v>45917</v>
      </c>
      <c r="Q3141" s="4">
        <v>3</v>
      </c>
    </row>
    <row r="3142" spans="1:17" ht="30" x14ac:dyDescent="0.25">
      <c r="A3142" s="2" t="s">
        <v>39</v>
      </c>
      <c r="B3142" s="3" t="s">
        <v>5015</v>
      </c>
      <c r="C3142" s="3">
        <v>40</v>
      </c>
      <c r="D3142" s="46" t="str">
        <f>IF(Tabla1[[#This Row],[EDAD]]&lt;=35,"Adultos jóvenes 18 - 35 años",IF(C3142&gt;=36,"Adultos mayores 36 años en adelante"))</f>
        <v>Adultos mayores 36 años en adelante</v>
      </c>
      <c r="E3142" s="3" t="s">
        <v>5023</v>
      </c>
      <c r="F3142" s="3" t="s">
        <v>5027</v>
      </c>
      <c r="G3142" s="3" t="s">
        <v>5032</v>
      </c>
      <c r="H3142" s="3" t="s">
        <v>5062</v>
      </c>
      <c r="I3142" s="17">
        <v>45649</v>
      </c>
      <c r="J3142" s="18">
        <f>YEAR(Tabla1[[#This Row],[FECHA DE COMPRA]])</f>
        <v>2024</v>
      </c>
      <c r="K3142" s="19">
        <v>83.95</v>
      </c>
      <c r="L3142" s="20">
        <v>0.2</v>
      </c>
      <c r="M3142" s="19">
        <f>Tienda!$K2249-Tienda!$K2249*Tienda!$L2249</f>
        <v>118.206</v>
      </c>
      <c r="N3142" s="3" t="s">
        <v>10040</v>
      </c>
      <c r="O3142" s="3" t="s">
        <v>10042</v>
      </c>
      <c r="P3142" s="17">
        <v>45652</v>
      </c>
      <c r="Q3142" s="4">
        <v>3</v>
      </c>
    </row>
    <row r="3143" spans="1:17" ht="30" x14ac:dyDescent="0.25">
      <c r="A3143" s="2" t="s">
        <v>778</v>
      </c>
      <c r="B3143" s="3" t="s">
        <v>5015</v>
      </c>
      <c r="C3143" s="3">
        <v>47</v>
      </c>
      <c r="D3143" s="46" t="str">
        <f>IF(Tabla1[[#This Row],[EDAD]]&lt;=35,"Adultos jóvenes 18 - 35 años",IF(C3143&gt;=36,"Adultos mayores 36 años en adelante"))</f>
        <v>Adultos mayores 36 años en adelante</v>
      </c>
      <c r="E3143" s="3" t="s">
        <v>5020</v>
      </c>
      <c r="F3143" s="3" t="s">
        <v>5030</v>
      </c>
      <c r="G3143" s="3" t="s">
        <v>5033</v>
      </c>
      <c r="H3143" s="3" t="s">
        <v>5801</v>
      </c>
      <c r="I3143" s="17">
        <v>45520</v>
      </c>
      <c r="J3143" s="18">
        <f>YEAR(Tabla1[[#This Row],[FECHA DE COMPRA]])</f>
        <v>2024</v>
      </c>
      <c r="K3143" s="19">
        <v>96.07</v>
      </c>
      <c r="L3143" s="20">
        <v>0.3</v>
      </c>
      <c r="M3143" s="19">
        <f>Tienda!$K2250-Tienda!$K2250*Tienda!$L2250</f>
        <v>104.062</v>
      </c>
      <c r="N3143" s="3" t="s">
        <v>10040</v>
      </c>
      <c r="O3143" s="3" t="s">
        <v>10042</v>
      </c>
      <c r="P3143" s="17">
        <v>45610</v>
      </c>
      <c r="Q3143" s="4">
        <v>3</v>
      </c>
    </row>
    <row r="3144" spans="1:17" ht="30" x14ac:dyDescent="0.25">
      <c r="A3144" s="2" t="s">
        <v>3864</v>
      </c>
      <c r="B3144" s="3" t="s">
        <v>5015</v>
      </c>
      <c r="C3144" s="3">
        <v>49</v>
      </c>
      <c r="D3144" s="46" t="str">
        <f>IF(Tabla1[[#This Row],[EDAD]]&lt;=35,"Adultos jóvenes 18 - 35 años",IF(C3144&gt;=36,"Adultos mayores 36 años en adelante"))</f>
        <v>Adultos mayores 36 años en adelante</v>
      </c>
      <c r="E3144" s="3" t="s">
        <v>5020</v>
      </c>
      <c r="F3144" s="3" t="s">
        <v>5029</v>
      </c>
      <c r="G3144" s="3" t="s">
        <v>5035</v>
      </c>
      <c r="H3144" s="3" t="s">
        <v>8887</v>
      </c>
      <c r="I3144" s="17">
        <v>45625</v>
      </c>
      <c r="J3144" s="18">
        <f>YEAR(Tabla1[[#This Row],[FECHA DE COMPRA]])</f>
        <v>2024</v>
      </c>
      <c r="K3144" s="19">
        <v>75.3</v>
      </c>
      <c r="L3144" s="20">
        <v>0.1</v>
      </c>
      <c r="M3144" s="19">
        <f>Tienda!$K2258-Tienda!$K2258*Tienda!$L2258</f>
        <v>107.12</v>
      </c>
      <c r="N3144" s="3" t="s">
        <v>10040</v>
      </c>
      <c r="O3144" s="3" t="s">
        <v>10042</v>
      </c>
      <c r="P3144" s="17">
        <v>45715</v>
      </c>
      <c r="Q3144" s="4">
        <v>3</v>
      </c>
    </row>
    <row r="3145" spans="1:17" ht="30" x14ac:dyDescent="0.25">
      <c r="A3145" s="2" t="s">
        <v>2694</v>
      </c>
      <c r="B3145" s="3" t="s">
        <v>5016</v>
      </c>
      <c r="C3145" s="3">
        <v>59</v>
      </c>
      <c r="D3145" s="46" t="str">
        <f>IF(Tabla1[[#This Row],[EDAD]]&lt;=35,"Adultos jóvenes 18 - 35 años",IF(C3145&gt;=36,"Adultos mayores 36 años en adelante"))</f>
        <v>Adultos mayores 36 años en adelante</v>
      </c>
      <c r="E3145" s="3" t="s">
        <v>5019</v>
      </c>
      <c r="F3145" s="3" t="s">
        <v>5030</v>
      </c>
      <c r="G3145" s="3" t="s">
        <v>5035</v>
      </c>
      <c r="H3145" s="3" t="s">
        <v>7717</v>
      </c>
      <c r="I3145" s="17">
        <v>45607</v>
      </c>
      <c r="J3145" s="18">
        <f>YEAR(Tabla1[[#This Row],[FECHA DE COMPRA]])</f>
        <v>2024</v>
      </c>
      <c r="K3145" s="19">
        <v>76</v>
      </c>
      <c r="L3145" s="20">
        <v>0.1</v>
      </c>
      <c r="M3145" s="19">
        <f>Tienda!$K2262-Tienda!$K2262*Tienda!$L2262</f>
        <v>192.94</v>
      </c>
      <c r="N3145" s="3" t="s">
        <v>10040</v>
      </c>
      <c r="O3145" s="3" t="s">
        <v>10042</v>
      </c>
      <c r="P3145" s="17">
        <v>45787</v>
      </c>
      <c r="Q3145" s="4">
        <v>3</v>
      </c>
    </row>
    <row r="3146" spans="1:17" ht="30" x14ac:dyDescent="0.25">
      <c r="A3146" s="2" t="s">
        <v>1747</v>
      </c>
      <c r="B3146" s="3" t="s">
        <v>5016</v>
      </c>
      <c r="C3146" s="3">
        <v>47</v>
      </c>
      <c r="D3146" s="46" t="str">
        <f>IF(Tabla1[[#This Row],[EDAD]]&lt;=35,"Adultos jóvenes 18 - 35 años",IF(C3146&gt;=36,"Adultos mayores 36 años en adelante"))</f>
        <v>Adultos mayores 36 años en adelante</v>
      </c>
      <c r="E3146" s="3" t="s">
        <v>5021</v>
      </c>
      <c r="F3146" s="3" t="s">
        <v>5029</v>
      </c>
      <c r="G3146" s="3" t="s">
        <v>5037</v>
      </c>
      <c r="H3146" s="3" t="s">
        <v>6770</v>
      </c>
      <c r="I3146" s="17">
        <v>45332</v>
      </c>
      <c r="J3146" s="18">
        <f>YEAR(Tabla1[[#This Row],[FECHA DE COMPRA]])</f>
        <v>2024</v>
      </c>
      <c r="K3146" s="19">
        <v>85.86</v>
      </c>
      <c r="L3146" s="20">
        <v>0.2</v>
      </c>
      <c r="M3146" s="19">
        <f>Tienda!$K2267-Tienda!$K2267*Tienda!$L2267</f>
        <v>137.88900000000001</v>
      </c>
      <c r="N3146" s="3" t="s">
        <v>10040</v>
      </c>
      <c r="O3146" s="3" t="s">
        <v>10042</v>
      </c>
      <c r="P3146" s="17">
        <v>45422</v>
      </c>
      <c r="Q3146" s="4">
        <v>3</v>
      </c>
    </row>
    <row r="3147" spans="1:17" ht="30" x14ac:dyDescent="0.25">
      <c r="A3147" s="2" t="s">
        <v>1096</v>
      </c>
      <c r="B3147" s="3" t="s">
        <v>5015</v>
      </c>
      <c r="C3147" s="3">
        <v>43</v>
      </c>
      <c r="D3147" s="46" t="str">
        <f>IF(Tabla1[[#This Row],[EDAD]]&lt;=35,"Adultos jóvenes 18 - 35 años",IF(C3147&gt;=36,"Adultos mayores 36 años en adelante"))</f>
        <v>Adultos mayores 36 años en adelante</v>
      </c>
      <c r="E3147" s="3" t="s">
        <v>5017</v>
      </c>
      <c r="F3147" s="3" t="s">
        <v>5025</v>
      </c>
      <c r="G3147" s="3" t="s">
        <v>5035</v>
      </c>
      <c r="H3147" s="3" t="s">
        <v>6119</v>
      </c>
      <c r="I3147" s="17">
        <v>45391</v>
      </c>
      <c r="J3147" s="18">
        <f>YEAR(Tabla1[[#This Row],[FECHA DE COMPRA]])</f>
        <v>2024</v>
      </c>
      <c r="K3147" s="19">
        <v>85.89</v>
      </c>
      <c r="L3147" s="20">
        <v>0.2</v>
      </c>
      <c r="M3147" s="19">
        <f>Tienda!$K2268-Tienda!$K2268*Tienda!$L2268</f>
        <v>66.099999999999994</v>
      </c>
      <c r="N3147" s="3" t="s">
        <v>10040</v>
      </c>
      <c r="O3147" s="3" t="s">
        <v>10042</v>
      </c>
      <c r="P3147" s="17">
        <v>45571</v>
      </c>
      <c r="Q3147" s="4">
        <v>3</v>
      </c>
    </row>
    <row r="3148" spans="1:17" ht="30" x14ac:dyDescent="0.25">
      <c r="A3148" s="2" t="s">
        <v>1474</v>
      </c>
      <c r="B3148" s="3" t="s">
        <v>5015</v>
      </c>
      <c r="C3148" s="3">
        <v>39</v>
      </c>
      <c r="D3148" s="46" t="str">
        <f>IF(Tabla1[[#This Row],[EDAD]]&lt;=35,"Adultos jóvenes 18 - 35 años",IF(C3148&gt;=36,"Adultos mayores 36 años en adelante"))</f>
        <v>Adultos mayores 36 años en adelante</v>
      </c>
      <c r="E3148" s="3" t="s">
        <v>5017</v>
      </c>
      <c r="F3148" s="3" t="s">
        <v>5027</v>
      </c>
      <c r="G3148" s="3" t="s">
        <v>5033</v>
      </c>
      <c r="H3148" s="3" t="s">
        <v>6497</v>
      </c>
      <c r="I3148" s="17">
        <v>45424</v>
      </c>
      <c r="J3148" s="18">
        <f>YEAR(Tabla1[[#This Row],[FECHA DE COMPRA]])</f>
        <v>2024</v>
      </c>
      <c r="K3148" s="19">
        <v>87.17</v>
      </c>
      <c r="L3148" s="20">
        <v>0.2</v>
      </c>
      <c r="M3148" s="19">
        <f>Tienda!$K2278-Tienda!$K2278*Tienda!$L2278</f>
        <v>86.05</v>
      </c>
      <c r="N3148" s="3" t="s">
        <v>10040</v>
      </c>
      <c r="O3148" s="3" t="s">
        <v>10042</v>
      </c>
      <c r="P3148" s="17">
        <v>45604</v>
      </c>
      <c r="Q3148" s="4">
        <v>3</v>
      </c>
    </row>
    <row r="3149" spans="1:17" ht="30" x14ac:dyDescent="0.25">
      <c r="A3149" s="2" t="s">
        <v>1414</v>
      </c>
      <c r="B3149" s="3" t="s">
        <v>5015</v>
      </c>
      <c r="C3149" s="3">
        <v>41</v>
      </c>
      <c r="D3149" s="46" t="str">
        <f>IF(Tabla1[[#This Row],[EDAD]]&lt;=35,"Adultos jóvenes 18 - 35 años",IF(C3149&gt;=36,"Adultos mayores 36 años en adelante"))</f>
        <v>Adultos mayores 36 años en adelante</v>
      </c>
      <c r="E3149" s="3" t="s">
        <v>5018</v>
      </c>
      <c r="F3149" s="3" t="s">
        <v>5027</v>
      </c>
      <c r="G3149" s="3" t="s">
        <v>5036</v>
      </c>
      <c r="H3149" s="3" t="s">
        <v>6437</v>
      </c>
      <c r="I3149" s="17">
        <v>45624</v>
      </c>
      <c r="J3149" s="18">
        <f>YEAR(Tabla1[[#This Row],[FECHA DE COMPRA]])</f>
        <v>2024</v>
      </c>
      <c r="K3149" s="19">
        <v>77.81</v>
      </c>
      <c r="L3149" s="20">
        <v>0.1</v>
      </c>
      <c r="M3149" s="19">
        <f>Tienda!$K2282-Tienda!$K2282*Tienda!$L2282</f>
        <v>28.808</v>
      </c>
      <c r="N3149" s="3" t="s">
        <v>10040</v>
      </c>
      <c r="O3149" s="3" t="s">
        <v>10042</v>
      </c>
      <c r="P3149" s="17">
        <v>45575</v>
      </c>
      <c r="Q3149" s="4">
        <v>3</v>
      </c>
    </row>
    <row r="3150" spans="1:17" ht="30" x14ac:dyDescent="0.25">
      <c r="A3150" s="2" t="s">
        <v>2008</v>
      </c>
      <c r="B3150" s="3" t="s">
        <v>5015</v>
      </c>
      <c r="C3150" s="3">
        <v>40</v>
      </c>
      <c r="D3150" s="46" t="str">
        <f>IF(Tabla1[[#This Row],[EDAD]]&lt;=35,"Adultos jóvenes 18 - 35 años",IF(C3150&gt;=36,"Adultos mayores 36 años en adelante"))</f>
        <v>Adultos mayores 36 años en adelante</v>
      </c>
      <c r="E3150" s="3" t="s">
        <v>5018</v>
      </c>
      <c r="F3150" s="3" t="s">
        <v>5030</v>
      </c>
      <c r="G3150" s="3" t="s">
        <v>5031</v>
      </c>
      <c r="H3150" s="3" t="s">
        <v>7031</v>
      </c>
      <c r="I3150" s="17">
        <v>45314</v>
      </c>
      <c r="J3150" s="18">
        <f>YEAR(Tabla1[[#This Row],[FECHA DE COMPRA]])</f>
        <v>2024</v>
      </c>
      <c r="K3150" s="19">
        <v>100.19</v>
      </c>
      <c r="L3150" s="20">
        <v>0.3</v>
      </c>
      <c r="M3150" s="19">
        <f>Tienda!$K2283-Tienda!$K2283*Tienda!$L2283</f>
        <v>38.57</v>
      </c>
      <c r="N3150" s="3" t="s">
        <v>10040</v>
      </c>
      <c r="O3150" s="3" t="s">
        <v>10042</v>
      </c>
      <c r="P3150" s="17">
        <v>45674</v>
      </c>
      <c r="Q3150" s="4">
        <v>3</v>
      </c>
    </row>
    <row r="3151" spans="1:17" ht="30" x14ac:dyDescent="0.25">
      <c r="A3151" s="2" t="s">
        <v>988</v>
      </c>
      <c r="B3151" s="3" t="s">
        <v>5015</v>
      </c>
      <c r="C3151" s="3">
        <v>37</v>
      </c>
      <c r="D3151" s="46" t="str">
        <f>IF(Tabla1[[#This Row],[EDAD]]&lt;=35,"Adultos jóvenes 18 - 35 años",IF(C3151&gt;=36,"Adultos mayores 36 años en adelante"))</f>
        <v>Adultos mayores 36 años en adelante</v>
      </c>
      <c r="E3151" s="3" t="s">
        <v>5018</v>
      </c>
      <c r="F3151" s="3" t="s">
        <v>5027</v>
      </c>
      <c r="G3151" s="3" t="s">
        <v>5034</v>
      </c>
      <c r="H3151" s="3" t="s">
        <v>6011</v>
      </c>
      <c r="I3151" s="17">
        <v>45624</v>
      </c>
      <c r="J3151" s="18">
        <f>YEAR(Tabla1[[#This Row],[FECHA DE COMPRA]])</f>
        <v>2024</v>
      </c>
      <c r="K3151" s="19">
        <v>78.099999999999994</v>
      </c>
      <c r="L3151" s="20">
        <v>0.1</v>
      </c>
      <c r="M3151" s="19">
        <f>Tienda!$K2285-Tienda!$K2285*Tienda!$L2285</f>
        <v>29.686999999999998</v>
      </c>
      <c r="N3151" s="3" t="s">
        <v>10040</v>
      </c>
      <c r="O3151" s="3" t="s">
        <v>10042</v>
      </c>
      <c r="P3151" s="17">
        <v>45569</v>
      </c>
      <c r="Q3151" s="4">
        <v>3</v>
      </c>
    </row>
    <row r="3152" spans="1:17" ht="30" x14ac:dyDescent="0.25">
      <c r="A3152" s="2" t="s">
        <v>3230</v>
      </c>
      <c r="B3152" s="3" t="s">
        <v>5015</v>
      </c>
      <c r="C3152" s="3">
        <v>60</v>
      </c>
      <c r="D3152" s="46" t="str">
        <f>IF(Tabla1[[#This Row],[EDAD]]&lt;=35,"Adultos jóvenes 18 - 35 años",IF(C3152&gt;=36,"Adultos mayores 36 años en adelante"))</f>
        <v>Adultos mayores 36 años en adelante</v>
      </c>
      <c r="E3152" s="3" t="s">
        <v>5019</v>
      </c>
      <c r="F3152" s="3" t="s">
        <v>5024</v>
      </c>
      <c r="G3152" s="3" t="s">
        <v>5032</v>
      </c>
      <c r="H3152" s="3" t="s">
        <v>8253</v>
      </c>
      <c r="I3152" s="17">
        <v>45649</v>
      </c>
      <c r="J3152" s="18">
        <f>YEAR(Tabla1[[#This Row],[FECHA DE COMPRA]])</f>
        <v>2024</v>
      </c>
      <c r="K3152" s="19">
        <v>70.63</v>
      </c>
      <c r="L3152" s="20">
        <v>0</v>
      </c>
      <c r="M3152" s="19">
        <f>Tienda!$K2289-Tienda!$K2289*Tienda!$L2289</f>
        <v>69.77600000000001</v>
      </c>
      <c r="N3152" s="3" t="s">
        <v>10040</v>
      </c>
      <c r="O3152" s="3" t="s">
        <v>10042</v>
      </c>
      <c r="P3152" s="17">
        <v>45660</v>
      </c>
      <c r="Q3152" s="4">
        <v>12</v>
      </c>
    </row>
    <row r="3153" spans="1:17" ht="30" x14ac:dyDescent="0.25">
      <c r="A3153" s="2" t="s">
        <v>970</v>
      </c>
      <c r="B3153" s="3" t="s">
        <v>5016</v>
      </c>
      <c r="C3153" s="3">
        <v>46</v>
      </c>
      <c r="D3153" s="46" t="str">
        <f>IF(Tabla1[[#This Row],[EDAD]]&lt;=35,"Adultos jóvenes 18 - 35 años",IF(C3153&gt;=36,"Adultos mayores 36 años en adelante"))</f>
        <v>Adultos mayores 36 años en adelante</v>
      </c>
      <c r="E3153" s="3" t="s">
        <v>5017</v>
      </c>
      <c r="F3153" s="3" t="s">
        <v>5030</v>
      </c>
      <c r="G3153" s="3" t="s">
        <v>5034</v>
      </c>
      <c r="H3153" s="3" t="s">
        <v>5993</v>
      </c>
      <c r="I3153" s="17">
        <v>45421</v>
      </c>
      <c r="J3153" s="18">
        <f>YEAR(Tabla1[[#This Row],[FECHA DE COMPRA]])</f>
        <v>2024</v>
      </c>
      <c r="K3153" s="19">
        <v>70.849999999999994</v>
      </c>
      <c r="L3153" s="20">
        <v>0</v>
      </c>
      <c r="M3153" s="19">
        <f>Tienda!$K2292-Tienda!$K2292*Tienda!$L2292</f>
        <v>41.392000000000003</v>
      </c>
      <c r="N3153" s="3" t="s">
        <v>10040</v>
      </c>
      <c r="O3153" s="3" t="s">
        <v>10042</v>
      </c>
      <c r="P3153" s="17">
        <v>45691</v>
      </c>
      <c r="Q3153" s="4">
        <v>9</v>
      </c>
    </row>
    <row r="3154" spans="1:17" ht="30" x14ac:dyDescent="0.25">
      <c r="A3154" s="2" t="s">
        <v>1283</v>
      </c>
      <c r="B3154" s="3" t="s">
        <v>5015</v>
      </c>
      <c r="C3154" s="3">
        <v>41</v>
      </c>
      <c r="D3154" s="46" t="str">
        <f>IF(Tabla1[[#This Row],[EDAD]]&lt;=35,"Adultos jóvenes 18 - 35 años",IF(C3154&gt;=36,"Adultos mayores 36 años en adelante"))</f>
        <v>Adultos mayores 36 años en adelante</v>
      </c>
      <c r="E3154" s="3" t="s">
        <v>5023</v>
      </c>
      <c r="F3154" s="3" t="s">
        <v>5028</v>
      </c>
      <c r="G3154" s="3" t="s">
        <v>5036</v>
      </c>
      <c r="H3154" s="3" t="s">
        <v>6306</v>
      </c>
      <c r="I3154" s="17">
        <v>45363</v>
      </c>
      <c r="J3154" s="18">
        <f>YEAR(Tabla1[[#This Row],[FECHA DE COMPRA]])</f>
        <v>2024</v>
      </c>
      <c r="K3154" s="19">
        <v>88.81</v>
      </c>
      <c r="L3154" s="20">
        <v>0.2</v>
      </c>
      <c r="M3154" s="19">
        <f>Tienda!$K2295-Tienda!$K2295*Tienda!$L2295</f>
        <v>129.89600000000002</v>
      </c>
      <c r="N3154" s="3" t="s">
        <v>10040</v>
      </c>
      <c r="O3154" s="3" t="s">
        <v>10042</v>
      </c>
      <c r="P3154" s="17">
        <v>45633</v>
      </c>
      <c r="Q3154" s="4">
        <v>9</v>
      </c>
    </row>
    <row r="3155" spans="1:17" ht="30" x14ac:dyDescent="0.25">
      <c r="A3155" s="2" t="s">
        <v>706</v>
      </c>
      <c r="B3155" s="3" t="s">
        <v>5016</v>
      </c>
      <c r="C3155" s="3">
        <v>53</v>
      </c>
      <c r="D3155" s="46" t="str">
        <f>IF(Tabla1[[#This Row],[EDAD]]&lt;=35,"Adultos jóvenes 18 - 35 años",IF(C3155&gt;=36,"Adultos mayores 36 años en adelante"))</f>
        <v>Adultos mayores 36 años en adelante</v>
      </c>
      <c r="E3155" s="3" t="s">
        <v>5017</v>
      </c>
      <c r="F3155" s="3" t="s">
        <v>5025</v>
      </c>
      <c r="G3155" s="3" t="s">
        <v>5034</v>
      </c>
      <c r="H3155" s="3" t="s">
        <v>5729</v>
      </c>
      <c r="I3155" s="17">
        <v>45334</v>
      </c>
      <c r="J3155" s="18">
        <f>YEAR(Tabla1[[#This Row],[FECHA DE COMPRA]])</f>
        <v>2024</v>
      </c>
      <c r="K3155" s="19">
        <v>101.75</v>
      </c>
      <c r="L3155" s="20">
        <v>0.3</v>
      </c>
      <c r="M3155" s="19">
        <f>Tienda!$K2298-Tienda!$K2298*Tienda!$L2298</f>
        <v>165.58199999999999</v>
      </c>
      <c r="N3155" s="3" t="s">
        <v>10040</v>
      </c>
      <c r="O3155" s="3" t="s">
        <v>10042</v>
      </c>
      <c r="P3155" s="17">
        <v>45514</v>
      </c>
      <c r="Q3155" s="4">
        <v>6</v>
      </c>
    </row>
    <row r="3156" spans="1:17" ht="30" x14ac:dyDescent="0.25">
      <c r="A3156" s="2" t="s">
        <v>4441</v>
      </c>
      <c r="B3156" s="3" t="s">
        <v>5015</v>
      </c>
      <c r="C3156" s="3">
        <v>42</v>
      </c>
      <c r="D3156" s="46" t="str">
        <f>IF(Tabla1[[#This Row],[EDAD]]&lt;=35,"Adultos jóvenes 18 - 35 años",IF(C3156&gt;=36,"Adultos mayores 36 años en adelante"))</f>
        <v>Adultos mayores 36 años en adelante</v>
      </c>
      <c r="E3156" s="3" t="s">
        <v>5021</v>
      </c>
      <c r="F3156" s="3" t="s">
        <v>5029</v>
      </c>
      <c r="G3156" s="3" t="s">
        <v>5035</v>
      </c>
      <c r="H3156" s="3" t="s">
        <v>9464</v>
      </c>
      <c r="I3156" s="17">
        <v>45390</v>
      </c>
      <c r="J3156" s="18">
        <f>YEAR(Tabla1[[#This Row],[FECHA DE COMPRA]])</f>
        <v>2024</v>
      </c>
      <c r="K3156" s="19">
        <v>79.91</v>
      </c>
      <c r="L3156" s="20">
        <v>0.1</v>
      </c>
      <c r="M3156" s="19">
        <f>Tienda!$K2306-Tienda!$K2306*Tienda!$L2306</f>
        <v>75.144000000000005</v>
      </c>
      <c r="N3156" s="3" t="s">
        <v>10040</v>
      </c>
      <c r="O3156" s="3" t="s">
        <v>10042</v>
      </c>
      <c r="P3156" s="17">
        <v>45750</v>
      </c>
      <c r="Q3156" s="4">
        <v>12</v>
      </c>
    </row>
    <row r="3157" spans="1:17" ht="30" x14ac:dyDescent="0.25">
      <c r="A3157" s="2" t="s">
        <v>461</v>
      </c>
      <c r="B3157" s="3" t="s">
        <v>5015</v>
      </c>
      <c r="C3157" s="3">
        <v>63</v>
      </c>
      <c r="D3157" s="46" t="str">
        <f>IF(Tabla1[[#This Row],[EDAD]]&lt;=35,"Adultos jóvenes 18 - 35 años",IF(C3157&gt;=36,"Adultos mayores 36 años en adelante"))</f>
        <v>Adultos mayores 36 años en adelante</v>
      </c>
      <c r="E3157" s="3" t="s">
        <v>5020</v>
      </c>
      <c r="F3157" s="3" t="s">
        <v>5026</v>
      </c>
      <c r="G3157" s="3" t="s">
        <v>5035</v>
      </c>
      <c r="H3157" s="3" t="s">
        <v>5484</v>
      </c>
      <c r="I3157" s="17">
        <v>45531</v>
      </c>
      <c r="J3157" s="18">
        <f>YEAR(Tabla1[[#This Row],[FECHA DE COMPRA]])</f>
        <v>2024</v>
      </c>
      <c r="K3157" s="19">
        <v>90.16</v>
      </c>
      <c r="L3157" s="20">
        <v>0.2</v>
      </c>
      <c r="M3157" s="19">
        <f>Tienda!$K2307-Tienda!$K2307*Tienda!$L2307</f>
        <v>169.38</v>
      </c>
      <c r="N3157" s="3" t="s">
        <v>10040</v>
      </c>
      <c r="O3157" s="3" t="s">
        <v>10042</v>
      </c>
      <c r="P3157" s="17">
        <v>45801</v>
      </c>
      <c r="Q3157" s="4">
        <v>9</v>
      </c>
    </row>
    <row r="3158" spans="1:17" ht="30" x14ac:dyDescent="0.25">
      <c r="A3158" s="2" t="s">
        <v>1168</v>
      </c>
      <c r="B3158" s="3" t="s">
        <v>5015</v>
      </c>
      <c r="C3158" s="3">
        <v>60</v>
      </c>
      <c r="D3158" s="46" t="str">
        <f>IF(Tabla1[[#This Row],[EDAD]]&lt;=35,"Adultos jóvenes 18 - 35 años",IF(C3158&gt;=36,"Adultos mayores 36 años en adelante"))</f>
        <v>Adultos mayores 36 años en adelante</v>
      </c>
      <c r="E3158" s="3" t="s">
        <v>5022</v>
      </c>
      <c r="F3158" s="3" t="s">
        <v>5025</v>
      </c>
      <c r="G3158" s="3" t="s">
        <v>5037</v>
      </c>
      <c r="H3158" s="3" t="s">
        <v>6191</v>
      </c>
      <c r="I3158" s="17">
        <v>45434</v>
      </c>
      <c r="J3158" s="18">
        <f>YEAR(Tabla1[[#This Row],[FECHA DE COMPRA]])</f>
        <v>2024</v>
      </c>
      <c r="K3158" s="19">
        <v>90.38</v>
      </c>
      <c r="L3158" s="20">
        <v>0.2</v>
      </c>
      <c r="M3158" s="19">
        <f>Tienda!$K2310-Tienda!$K2310*Tienda!$L2310</f>
        <v>162.00899999999999</v>
      </c>
      <c r="N3158" s="3" t="s">
        <v>10040</v>
      </c>
      <c r="O3158" s="3" t="s">
        <v>10042</v>
      </c>
      <c r="P3158" s="17">
        <v>45704</v>
      </c>
      <c r="Q3158" s="4">
        <v>9</v>
      </c>
    </row>
    <row r="3159" spans="1:17" ht="30" x14ac:dyDescent="0.25">
      <c r="A3159" s="2" t="s">
        <v>4887</v>
      </c>
      <c r="B3159" s="3" t="s">
        <v>5015</v>
      </c>
      <c r="C3159" s="3">
        <v>37</v>
      </c>
      <c r="D3159" s="46" t="str">
        <f>IF(Tabla1[[#This Row],[EDAD]]&lt;=35,"Adultos jóvenes 18 - 35 años",IF(C3159&gt;=36,"Adultos mayores 36 años en adelante"))</f>
        <v>Adultos mayores 36 años en adelante</v>
      </c>
      <c r="E3159" s="3" t="s">
        <v>5020</v>
      </c>
      <c r="F3159" s="3" t="s">
        <v>5029</v>
      </c>
      <c r="G3159" s="3" t="s">
        <v>5037</v>
      </c>
      <c r="H3159" s="3" t="s">
        <v>9910</v>
      </c>
      <c r="I3159" s="17">
        <v>45587</v>
      </c>
      <c r="J3159" s="18">
        <f>YEAR(Tabla1[[#This Row],[FECHA DE COMPRA]])</f>
        <v>2024</v>
      </c>
      <c r="K3159" s="19">
        <v>80.849999999999994</v>
      </c>
      <c r="L3159" s="20">
        <v>0.1</v>
      </c>
      <c r="M3159" s="19">
        <f>Tienda!$K2319-Tienda!$K2319*Tienda!$L2319</f>
        <v>147.56</v>
      </c>
      <c r="N3159" s="3" t="s">
        <v>10040</v>
      </c>
      <c r="O3159" s="3" t="s">
        <v>10042</v>
      </c>
      <c r="P3159" s="17">
        <v>45767</v>
      </c>
      <c r="Q3159" s="4">
        <v>6</v>
      </c>
    </row>
    <row r="3160" spans="1:17" ht="30" x14ac:dyDescent="0.25">
      <c r="A3160" s="2" t="s">
        <v>64</v>
      </c>
      <c r="B3160" s="3" t="s">
        <v>5015</v>
      </c>
      <c r="C3160" s="3">
        <v>37</v>
      </c>
      <c r="D3160" s="46" t="str">
        <f>IF(Tabla1[[#This Row],[EDAD]]&lt;=35,"Adultos jóvenes 18 - 35 años",IF(C3160&gt;=36,"Adultos mayores 36 años en adelante"))</f>
        <v>Adultos mayores 36 años en adelante</v>
      </c>
      <c r="E3160" s="3" t="s">
        <v>5018</v>
      </c>
      <c r="F3160" s="3" t="s">
        <v>5027</v>
      </c>
      <c r="G3160" s="3" t="s">
        <v>5034</v>
      </c>
      <c r="H3160" s="3" t="s">
        <v>5087</v>
      </c>
      <c r="I3160" s="17">
        <v>45619</v>
      </c>
      <c r="J3160" s="18">
        <f>YEAR(Tabla1[[#This Row],[FECHA DE COMPRA]])</f>
        <v>2024</v>
      </c>
      <c r="K3160" s="19">
        <v>80.88</v>
      </c>
      <c r="L3160" s="20">
        <v>0.1</v>
      </c>
      <c r="M3160" s="19">
        <f>Tienda!$K2320-Tienda!$K2320*Tienda!$L2320</f>
        <v>148.99</v>
      </c>
      <c r="N3160" s="3" t="s">
        <v>10040</v>
      </c>
      <c r="O3160" s="3" t="s">
        <v>10042</v>
      </c>
      <c r="P3160" s="17">
        <v>45979</v>
      </c>
      <c r="Q3160" s="4">
        <v>12</v>
      </c>
    </row>
    <row r="3161" spans="1:17" ht="30" x14ac:dyDescent="0.25">
      <c r="A3161" s="2" t="s">
        <v>3994</v>
      </c>
      <c r="B3161" s="3" t="s">
        <v>5016</v>
      </c>
      <c r="C3161" s="3">
        <v>65</v>
      </c>
      <c r="D3161" s="46" t="str">
        <f>IF(Tabla1[[#This Row],[EDAD]]&lt;=35,"Adultos jóvenes 18 - 35 años",IF(C3161&gt;=36,"Adultos mayores 36 años en adelante"))</f>
        <v>Adultos mayores 36 años en adelante</v>
      </c>
      <c r="E3161" s="3" t="s">
        <v>5019</v>
      </c>
      <c r="F3161" s="3" t="s">
        <v>5026</v>
      </c>
      <c r="G3161" s="3" t="s">
        <v>5035</v>
      </c>
      <c r="H3161" s="3" t="s">
        <v>9017</v>
      </c>
      <c r="I3161" s="17">
        <v>45329</v>
      </c>
      <c r="J3161" s="18">
        <f>YEAR(Tabla1[[#This Row],[FECHA DE COMPRA]])</f>
        <v>2024</v>
      </c>
      <c r="K3161" s="19">
        <v>75.02</v>
      </c>
      <c r="L3161" s="20">
        <v>0</v>
      </c>
      <c r="M3161" s="19">
        <f>Tienda!$K2334-Tienda!$K2334*Tienda!$L2334</f>
        <v>70.808000000000007</v>
      </c>
      <c r="N3161" s="3" t="s">
        <v>10040</v>
      </c>
      <c r="O3161" s="3" t="s">
        <v>10042</v>
      </c>
      <c r="P3161" s="17">
        <v>45689</v>
      </c>
      <c r="Q3161" s="4">
        <v>12</v>
      </c>
    </row>
    <row r="3162" spans="1:17" ht="30" x14ac:dyDescent="0.25">
      <c r="A3162" s="2" t="s">
        <v>4918</v>
      </c>
      <c r="B3162" s="3" t="s">
        <v>5015</v>
      </c>
      <c r="C3162" s="3">
        <v>39</v>
      </c>
      <c r="D3162" s="46" t="str">
        <f>IF(Tabla1[[#This Row],[EDAD]]&lt;=35,"Adultos jóvenes 18 - 35 años",IF(C3162&gt;=36,"Adultos mayores 36 años en adelante"))</f>
        <v>Adultos mayores 36 años en adelante</v>
      </c>
      <c r="E3162" s="3" t="s">
        <v>5019</v>
      </c>
      <c r="F3162" s="3" t="s">
        <v>5026</v>
      </c>
      <c r="G3162" s="3" t="s">
        <v>5034</v>
      </c>
      <c r="H3162" s="3" t="s">
        <v>9941</v>
      </c>
      <c r="I3162" s="17">
        <v>45353</v>
      </c>
      <c r="J3162" s="18">
        <f>YEAR(Tabla1[[#This Row],[FECHA DE COMPRA]])</f>
        <v>2024</v>
      </c>
      <c r="K3162" s="19">
        <v>107.23</v>
      </c>
      <c r="L3162" s="20">
        <v>0.3</v>
      </c>
      <c r="M3162" s="19">
        <f>Tienda!$K2335-Tienda!$K2335*Tienda!$L2335</f>
        <v>87.933999999999997</v>
      </c>
      <c r="N3162" s="3" t="s">
        <v>10040</v>
      </c>
      <c r="O3162" s="3" t="s">
        <v>10042</v>
      </c>
      <c r="P3162" s="17">
        <v>45713</v>
      </c>
      <c r="Q3162" s="4">
        <v>12</v>
      </c>
    </row>
    <row r="3163" spans="1:17" ht="30" x14ac:dyDescent="0.25">
      <c r="A3163" s="2" t="s">
        <v>483</v>
      </c>
      <c r="B3163" s="3" t="s">
        <v>5015</v>
      </c>
      <c r="C3163" s="3">
        <v>38</v>
      </c>
      <c r="D3163" s="46" t="str">
        <f>IF(Tabla1[[#This Row],[EDAD]]&lt;=35,"Adultos jóvenes 18 - 35 años",IF(C3163&gt;=36,"Adultos mayores 36 años en adelante"))</f>
        <v>Adultos mayores 36 años en adelante</v>
      </c>
      <c r="E3163" s="3" t="s">
        <v>5020</v>
      </c>
      <c r="F3163" s="3" t="s">
        <v>5029</v>
      </c>
      <c r="G3163" s="3" t="s">
        <v>5033</v>
      </c>
      <c r="H3163" s="3" t="s">
        <v>5506</v>
      </c>
      <c r="I3163" s="17">
        <v>45593</v>
      </c>
      <c r="J3163" s="18">
        <f>YEAR(Tabla1[[#This Row],[FECHA DE COMPRA]])</f>
        <v>2024</v>
      </c>
      <c r="K3163" s="19">
        <v>84.73</v>
      </c>
      <c r="L3163" s="20">
        <v>0.1</v>
      </c>
      <c r="M3163" s="19">
        <f>Tienda!$K2342-Tienda!$K2342*Tienda!$L2342</f>
        <v>174.86099999999999</v>
      </c>
      <c r="N3163" s="3" t="s">
        <v>10040</v>
      </c>
      <c r="O3163" s="3" t="s">
        <v>10042</v>
      </c>
      <c r="P3163" s="17">
        <v>45773</v>
      </c>
      <c r="Q3163" s="4">
        <v>6</v>
      </c>
    </row>
    <row r="3164" spans="1:17" ht="30" x14ac:dyDescent="0.25">
      <c r="A3164" s="2" t="s">
        <v>2077</v>
      </c>
      <c r="B3164" s="3" t="s">
        <v>5015</v>
      </c>
      <c r="C3164" s="3">
        <v>60</v>
      </c>
      <c r="D3164" s="46" t="str">
        <f>IF(Tabla1[[#This Row],[EDAD]]&lt;=35,"Adultos jóvenes 18 - 35 años",IF(C3164&gt;=36,"Adultos mayores 36 años en adelante"))</f>
        <v>Adultos mayores 36 años en adelante</v>
      </c>
      <c r="E3164" s="3" t="s">
        <v>5018</v>
      </c>
      <c r="F3164" s="3" t="s">
        <v>5026</v>
      </c>
      <c r="G3164" s="3" t="s">
        <v>5031</v>
      </c>
      <c r="H3164" s="3" t="s">
        <v>7100</v>
      </c>
      <c r="I3164" s="17">
        <v>45624</v>
      </c>
      <c r="J3164" s="18">
        <f>YEAR(Tabla1[[#This Row],[FECHA DE COMPRA]])</f>
        <v>2024</v>
      </c>
      <c r="K3164" s="19">
        <v>76.63</v>
      </c>
      <c r="L3164" s="20">
        <v>0</v>
      </c>
      <c r="M3164" s="19">
        <f>Tienda!$K2344-Tienda!$K2344*Tienda!$L2344</f>
        <v>10.192</v>
      </c>
      <c r="N3164" s="3" t="s">
        <v>10040</v>
      </c>
      <c r="O3164" s="3" t="s">
        <v>10042</v>
      </c>
      <c r="P3164" s="17">
        <v>45574</v>
      </c>
      <c r="Q3164" s="4">
        <v>6</v>
      </c>
    </row>
    <row r="3165" spans="1:17" ht="30" x14ac:dyDescent="0.25">
      <c r="A3165" s="2" t="s">
        <v>3197</v>
      </c>
      <c r="B3165" s="3" t="s">
        <v>5015</v>
      </c>
      <c r="C3165" s="3">
        <v>52</v>
      </c>
      <c r="D3165" s="46" t="str">
        <f>IF(Tabla1[[#This Row],[EDAD]]&lt;=35,"Adultos jóvenes 18 - 35 años",IF(C3165&gt;=36,"Adultos mayores 36 años en adelante"))</f>
        <v>Adultos mayores 36 años en adelante</v>
      </c>
      <c r="E3165" s="3" t="s">
        <v>5022</v>
      </c>
      <c r="F3165" s="3" t="s">
        <v>5024</v>
      </c>
      <c r="G3165" s="3" t="s">
        <v>5033</v>
      </c>
      <c r="H3165" s="3" t="s">
        <v>8220</v>
      </c>
      <c r="I3165" s="17">
        <v>45576</v>
      </c>
      <c r="J3165" s="18">
        <f>YEAR(Tabla1[[#This Row],[FECHA DE COMPRA]])</f>
        <v>2024</v>
      </c>
      <c r="K3165" s="19">
        <v>77.37</v>
      </c>
      <c r="L3165" s="20">
        <v>0</v>
      </c>
      <c r="M3165" s="19">
        <f>Tienda!$K2351-Tienda!$K2351*Tienda!$L2351</f>
        <v>67.52000000000001</v>
      </c>
      <c r="N3165" s="3" t="s">
        <v>10040</v>
      </c>
      <c r="O3165" s="3" t="s">
        <v>10042</v>
      </c>
      <c r="P3165" s="17">
        <v>45936</v>
      </c>
      <c r="Q3165" s="4">
        <v>12</v>
      </c>
    </row>
    <row r="3166" spans="1:17" ht="30" x14ac:dyDescent="0.25">
      <c r="A3166" s="2" t="s">
        <v>1525</v>
      </c>
      <c r="B3166" s="3" t="s">
        <v>5016</v>
      </c>
      <c r="C3166" s="3">
        <v>40</v>
      </c>
      <c r="D3166" s="46" t="str">
        <f>IF(Tabla1[[#This Row],[EDAD]]&lt;=35,"Adultos jóvenes 18 - 35 años",IF(C3166&gt;=36,"Adultos mayores 36 años en adelante"))</f>
        <v>Adultos mayores 36 años en adelante</v>
      </c>
      <c r="E3166" s="3" t="s">
        <v>5019</v>
      </c>
      <c r="F3166" s="3" t="s">
        <v>5024</v>
      </c>
      <c r="G3166" s="3" t="s">
        <v>5036</v>
      </c>
      <c r="H3166" s="3" t="s">
        <v>6548</v>
      </c>
      <c r="I3166" s="17">
        <v>45652</v>
      </c>
      <c r="J3166" s="18">
        <f>YEAR(Tabla1[[#This Row],[FECHA DE COMPRA]])</f>
        <v>2024</v>
      </c>
      <c r="K3166" s="19">
        <v>111.13</v>
      </c>
      <c r="L3166" s="20">
        <v>0.3</v>
      </c>
      <c r="M3166" s="19">
        <f>Tienda!$K2357-Tienda!$K2357*Tienda!$L2357</f>
        <v>95.712000000000003</v>
      </c>
      <c r="N3166" s="3" t="s">
        <v>10040</v>
      </c>
      <c r="O3166" s="3" t="s">
        <v>10042</v>
      </c>
      <c r="P3166" s="17">
        <v>45742</v>
      </c>
      <c r="Q3166" s="4">
        <v>3</v>
      </c>
    </row>
    <row r="3167" spans="1:17" ht="30" x14ac:dyDescent="0.25">
      <c r="A3167" s="2" t="s">
        <v>35</v>
      </c>
      <c r="B3167" s="3" t="s">
        <v>5015</v>
      </c>
      <c r="C3167" s="3">
        <v>61</v>
      </c>
      <c r="D3167" s="46" t="str">
        <f>IF(Tabla1[[#This Row],[EDAD]]&lt;=35,"Adultos jóvenes 18 - 35 años",IF(C3167&gt;=36,"Adultos mayores 36 años en adelante"))</f>
        <v>Adultos mayores 36 años en adelante</v>
      </c>
      <c r="E3167" s="3" t="s">
        <v>5021</v>
      </c>
      <c r="F3167" s="3" t="s">
        <v>5028</v>
      </c>
      <c r="G3167" s="3" t="s">
        <v>5033</v>
      </c>
      <c r="H3167" s="3" t="s">
        <v>5058</v>
      </c>
      <c r="I3167" s="17">
        <v>45397</v>
      </c>
      <c r="J3167" s="18">
        <f>YEAR(Tabla1[[#This Row],[FECHA DE COMPRA]])</f>
        <v>2024</v>
      </c>
      <c r="K3167" s="19">
        <v>86.44</v>
      </c>
      <c r="L3167" s="20">
        <v>0.1</v>
      </c>
      <c r="M3167" s="19">
        <f>Tienda!$K2358-Tienda!$K2358*Tienda!$L2358</f>
        <v>98.001000000000005</v>
      </c>
      <c r="N3167" s="3" t="s">
        <v>10040</v>
      </c>
      <c r="O3167" s="3" t="s">
        <v>10042</v>
      </c>
      <c r="P3167" s="17">
        <v>45667</v>
      </c>
      <c r="Q3167" s="4">
        <v>9</v>
      </c>
    </row>
    <row r="3168" spans="1:17" ht="30" x14ac:dyDescent="0.25">
      <c r="A3168" s="2" t="s">
        <v>2921</v>
      </c>
      <c r="B3168" s="3" t="s">
        <v>5016</v>
      </c>
      <c r="C3168" s="3">
        <v>58</v>
      </c>
      <c r="D3168" s="46" t="str">
        <f>IF(Tabla1[[#This Row],[EDAD]]&lt;=35,"Adultos jóvenes 18 - 35 años",IF(C3168&gt;=36,"Adultos mayores 36 años en adelante"))</f>
        <v>Adultos mayores 36 años en adelante</v>
      </c>
      <c r="E3168" s="3" t="s">
        <v>5023</v>
      </c>
      <c r="F3168" s="3" t="s">
        <v>5030</v>
      </c>
      <c r="G3168" s="3" t="s">
        <v>5035</v>
      </c>
      <c r="H3168" s="3" t="s">
        <v>7944</v>
      </c>
      <c r="I3168" s="17">
        <v>45559</v>
      </c>
      <c r="J3168" s="18">
        <f>YEAR(Tabla1[[#This Row],[FECHA DE COMPRA]])</f>
        <v>2024</v>
      </c>
      <c r="K3168" s="19">
        <v>86.92</v>
      </c>
      <c r="L3168" s="20">
        <v>0.1</v>
      </c>
      <c r="M3168" s="19">
        <f>Tienda!$K2363-Tienda!$K2363*Tienda!$L2363</f>
        <v>119.672</v>
      </c>
      <c r="N3168" s="3" t="s">
        <v>10040</v>
      </c>
      <c r="O3168" s="3" t="s">
        <v>10042</v>
      </c>
      <c r="P3168" s="17">
        <v>45649</v>
      </c>
      <c r="Q3168" s="4">
        <v>3</v>
      </c>
    </row>
    <row r="3169" spans="1:17" ht="30" x14ac:dyDescent="0.25">
      <c r="A3169" s="2" t="s">
        <v>2496</v>
      </c>
      <c r="B3169" s="3" t="s">
        <v>5016</v>
      </c>
      <c r="C3169" s="3">
        <v>54</v>
      </c>
      <c r="D3169" s="46" t="str">
        <f>IF(Tabla1[[#This Row],[EDAD]]&lt;=35,"Adultos jóvenes 18 - 35 años",IF(C3169&gt;=36,"Adultos mayores 36 años en adelante"))</f>
        <v>Adultos mayores 36 años en adelante</v>
      </c>
      <c r="E3169" s="3" t="s">
        <v>5019</v>
      </c>
      <c r="F3169" s="3" t="s">
        <v>5024</v>
      </c>
      <c r="G3169" s="3" t="s">
        <v>5036</v>
      </c>
      <c r="H3169" s="3" t="s">
        <v>7519</v>
      </c>
      <c r="I3169" s="17">
        <v>45537</v>
      </c>
      <c r="J3169" s="18">
        <f>YEAR(Tabla1[[#This Row],[FECHA DE COMPRA]])</f>
        <v>2024</v>
      </c>
      <c r="K3169" s="19">
        <v>78.239999999999995</v>
      </c>
      <c r="L3169" s="20">
        <v>0</v>
      </c>
      <c r="M3169" s="19">
        <f>Tienda!$K2364-Tienda!$K2364*Tienda!$L2364</f>
        <v>124.39700000000001</v>
      </c>
      <c r="N3169" s="3" t="s">
        <v>10040</v>
      </c>
      <c r="O3169" s="3" t="s">
        <v>10042</v>
      </c>
      <c r="P3169" s="17">
        <v>45897</v>
      </c>
      <c r="Q3169" s="4">
        <v>12</v>
      </c>
    </row>
    <row r="3170" spans="1:17" ht="30" x14ac:dyDescent="0.25">
      <c r="A3170" s="2" t="s">
        <v>2500</v>
      </c>
      <c r="B3170" s="3" t="s">
        <v>5016</v>
      </c>
      <c r="C3170" s="3">
        <v>36</v>
      </c>
      <c r="D3170" s="46" t="str">
        <f>IF(Tabla1[[#This Row],[EDAD]]&lt;=35,"Adultos jóvenes 18 - 35 años",IF(C3170&gt;=36,"Adultos mayores 36 años en adelante"))</f>
        <v>Adultos mayores 36 años en adelante</v>
      </c>
      <c r="E3170" s="3" t="s">
        <v>5021</v>
      </c>
      <c r="F3170" s="3" t="s">
        <v>5026</v>
      </c>
      <c r="G3170" s="3" t="s">
        <v>5031</v>
      </c>
      <c r="H3170" s="3" t="s">
        <v>7523</v>
      </c>
      <c r="I3170" s="17">
        <v>45494</v>
      </c>
      <c r="J3170" s="18">
        <f>YEAR(Tabla1[[#This Row],[FECHA DE COMPRA]])</f>
        <v>2024</v>
      </c>
      <c r="K3170" s="19">
        <v>111.99</v>
      </c>
      <c r="L3170" s="20">
        <v>0.3</v>
      </c>
      <c r="M3170" s="19">
        <f>Tienda!$K2366-Tienda!$K2366*Tienda!$L2366</f>
        <v>29.31</v>
      </c>
      <c r="N3170" s="3" t="s">
        <v>10040</v>
      </c>
      <c r="O3170" s="3" t="s">
        <v>10042</v>
      </c>
      <c r="P3170" s="17">
        <v>45854</v>
      </c>
      <c r="Q3170" s="4">
        <v>12</v>
      </c>
    </row>
    <row r="3171" spans="1:17" ht="30" x14ac:dyDescent="0.25">
      <c r="A3171" s="2" t="s">
        <v>4984</v>
      </c>
      <c r="B3171" s="3" t="s">
        <v>5015</v>
      </c>
      <c r="C3171" s="3">
        <v>51</v>
      </c>
      <c r="D3171" s="46" t="str">
        <f>IF(Tabla1[[#This Row],[EDAD]]&lt;=35,"Adultos jóvenes 18 - 35 años",IF(C3171&gt;=36,"Adultos mayores 36 años en adelante"))</f>
        <v>Adultos mayores 36 años en adelante</v>
      </c>
      <c r="E3171" s="3" t="s">
        <v>5022</v>
      </c>
      <c r="F3171" s="3" t="s">
        <v>5028</v>
      </c>
      <c r="G3171" s="3" t="s">
        <v>5032</v>
      </c>
      <c r="H3171" s="3" t="s">
        <v>10007</v>
      </c>
      <c r="I3171" s="17">
        <v>45599</v>
      </c>
      <c r="J3171" s="18">
        <f>YEAR(Tabla1[[#This Row],[FECHA DE COMPRA]])</f>
        <v>2024</v>
      </c>
      <c r="K3171" s="19">
        <v>87.7</v>
      </c>
      <c r="L3171" s="20">
        <v>0.1</v>
      </c>
      <c r="M3171" s="19">
        <f>Tienda!$K2369-Tienda!$K2369*Tienda!$L2369</f>
        <v>142.88</v>
      </c>
      <c r="N3171" s="3" t="s">
        <v>10040</v>
      </c>
      <c r="O3171" s="3" t="s">
        <v>10042</v>
      </c>
      <c r="P3171" s="17">
        <v>45689</v>
      </c>
      <c r="Q3171" s="4">
        <v>3</v>
      </c>
    </row>
    <row r="3172" spans="1:17" ht="30" x14ac:dyDescent="0.25">
      <c r="A3172" s="2" t="s">
        <v>2183</v>
      </c>
      <c r="B3172" s="3" t="s">
        <v>5015</v>
      </c>
      <c r="C3172" s="3">
        <v>41</v>
      </c>
      <c r="D3172" s="46" t="str">
        <f>IF(Tabla1[[#This Row],[EDAD]]&lt;=35,"Adultos jóvenes 18 - 35 años",IF(C3172&gt;=36,"Adultos mayores 36 años en adelante"))</f>
        <v>Adultos mayores 36 años en adelante</v>
      </c>
      <c r="E3172" s="3" t="s">
        <v>5021</v>
      </c>
      <c r="F3172" s="3" t="s">
        <v>5024</v>
      </c>
      <c r="G3172" s="3" t="s">
        <v>5032</v>
      </c>
      <c r="H3172" s="3" t="s">
        <v>7206</v>
      </c>
      <c r="I3172" s="17">
        <v>45641</v>
      </c>
      <c r="J3172" s="18">
        <f>YEAR(Tabla1[[#This Row],[FECHA DE COMPRA]])</f>
        <v>2024</v>
      </c>
      <c r="K3172" s="19">
        <v>87.91</v>
      </c>
      <c r="L3172" s="20">
        <v>0.1</v>
      </c>
      <c r="M3172" s="19">
        <f>Tienda!$K2372-Tienda!$K2372*Tienda!$L2372</f>
        <v>113.02200000000001</v>
      </c>
      <c r="N3172" s="3" t="s">
        <v>10040</v>
      </c>
      <c r="O3172" s="3" t="s">
        <v>10042</v>
      </c>
      <c r="P3172" s="17">
        <v>45731</v>
      </c>
      <c r="Q3172" s="4">
        <v>3</v>
      </c>
    </row>
    <row r="3173" spans="1:17" ht="30" x14ac:dyDescent="0.25">
      <c r="A3173" s="2" t="s">
        <v>3415</v>
      </c>
      <c r="B3173" s="3" t="s">
        <v>5016</v>
      </c>
      <c r="C3173" s="3">
        <v>37</v>
      </c>
      <c r="D3173" s="46" t="str">
        <f>IF(Tabla1[[#This Row],[EDAD]]&lt;=35,"Adultos jóvenes 18 - 35 años",IF(C3173&gt;=36,"Adultos mayores 36 años en adelante"))</f>
        <v>Adultos mayores 36 años en adelante</v>
      </c>
      <c r="E3173" s="3" t="s">
        <v>5019</v>
      </c>
      <c r="F3173" s="3" t="s">
        <v>5025</v>
      </c>
      <c r="G3173" s="3" t="s">
        <v>5033</v>
      </c>
      <c r="H3173" s="3" t="s">
        <v>8438</v>
      </c>
      <c r="I3173" s="17">
        <v>45515</v>
      </c>
      <c r="J3173" s="18">
        <f>YEAR(Tabla1[[#This Row],[FECHA DE COMPRA]])</f>
        <v>2024</v>
      </c>
      <c r="K3173" s="19">
        <v>88.37</v>
      </c>
      <c r="L3173" s="20">
        <v>0.1</v>
      </c>
      <c r="M3173" s="19">
        <f>Tienda!$K2379-Tienda!$K2379*Tienda!$L2379</f>
        <v>162.15</v>
      </c>
      <c r="N3173" s="3" t="s">
        <v>10040</v>
      </c>
      <c r="O3173" s="3" t="s">
        <v>10042</v>
      </c>
      <c r="P3173" s="17">
        <v>45875</v>
      </c>
      <c r="Q3173" s="4">
        <v>12</v>
      </c>
    </row>
    <row r="3174" spans="1:17" ht="30" x14ac:dyDescent="0.25">
      <c r="A3174" s="2" t="s">
        <v>3553</v>
      </c>
      <c r="B3174" s="3" t="s">
        <v>5015</v>
      </c>
      <c r="C3174" s="3">
        <v>60</v>
      </c>
      <c r="D3174" s="46" t="str">
        <f>IF(Tabla1[[#This Row],[EDAD]]&lt;=35,"Adultos jóvenes 18 - 35 años",IF(C3174&gt;=36,"Adultos mayores 36 años en adelante"))</f>
        <v>Adultos mayores 36 años en adelante</v>
      </c>
      <c r="E3174" s="3" t="s">
        <v>5020</v>
      </c>
      <c r="F3174" s="3" t="s">
        <v>5029</v>
      </c>
      <c r="G3174" s="3" t="s">
        <v>5033</v>
      </c>
      <c r="H3174" s="3" t="s">
        <v>8576</v>
      </c>
      <c r="I3174" s="17">
        <v>45500</v>
      </c>
      <c r="J3174" s="18">
        <f>YEAR(Tabla1[[#This Row],[FECHA DE COMPRA]])</f>
        <v>2024</v>
      </c>
      <c r="K3174" s="19">
        <v>79.540000000000006</v>
      </c>
      <c r="L3174" s="20">
        <v>0</v>
      </c>
      <c r="M3174" s="19">
        <f>Tienda!$K2380-Tienda!$K2380*Tienda!$L2380</f>
        <v>94.855999999999995</v>
      </c>
      <c r="N3174" s="3" t="s">
        <v>10040</v>
      </c>
      <c r="O3174" s="3" t="s">
        <v>10042</v>
      </c>
      <c r="P3174" s="17">
        <v>45770</v>
      </c>
      <c r="Q3174" s="4">
        <v>9</v>
      </c>
    </row>
    <row r="3175" spans="1:17" ht="30" x14ac:dyDescent="0.25">
      <c r="A3175" s="2" t="s">
        <v>2952</v>
      </c>
      <c r="B3175" s="3" t="s">
        <v>5016</v>
      </c>
      <c r="C3175" s="3">
        <v>45</v>
      </c>
      <c r="D3175" s="46" t="str">
        <f>IF(Tabla1[[#This Row],[EDAD]]&lt;=35,"Adultos jóvenes 18 - 35 años",IF(C3175&gt;=36,"Adultos mayores 36 años en adelante"))</f>
        <v>Adultos mayores 36 años en adelante</v>
      </c>
      <c r="E3175" s="3" t="s">
        <v>5017</v>
      </c>
      <c r="F3175" s="3" t="s">
        <v>5026</v>
      </c>
      <c r="G3175" s="3" t="s">
        <v>5035</v>
      </c>
      <c r="H3175" s="3" t="s">
        <v>7975</v>
      </c>
      <c r="I3175" s="17">
        <v>45651</v>
      </c>
      <c r="J3175" s="18">
        <f>YEAR(Tabla1[[#This Row],[FECHA DE COMPRA]])</f>
        <v>2024</v>
      </c>
      <c r="K3175" s="19">
        <v>88.79</v>
      </c>
      <c r="L3175" s="20">
        <v>0.1</v>
      </c>
      <c r="M3175" s="19">
        <f>Tienda!$K2384-Tienda!$K2384*Tienda!$L2384</f>
        <v>87.992999999999995</v>
      </c>
      <c r="N3175" s="3" t="s">
        <v>10040</v>
      </c>
      <c r="O3175" s="3" t="s">
        <v>10042</v>
      </c>
      <c r="P3175" s="17">
        <v>46011</v>
      </c>
      <c r="Q3175" s="4">
        <v>12</v>
      </c>
    </row>
    <row r="3176" spans="1:17" ht="30" x14ac:dyDescent="0.25">
      <c r="A3176" s="2" t="s">
        <v>71</v>
      </c>
      <c r="B3176" s="3" t="s">
        <v>5016</v>
      </c>
      <c r="C3176" s="3">
        <v>40</v>
      </c>
      <c r="D3176" s="46" t="str">
        <f>IF(Tabla1[[#This Row],[EDAD]]&lt;=35,"Adultos jóvenes 18 - 35 años",IF(C3176&gt;=36,"Adultos mayores 36 años en adelante"))</f>
        <v>Adultos mayores 36 años en adelante</v>
      </c>
      <c r="E3176" s="3" t="s">
        <v>5021</v>
      </c>
      <c r="F3176" s="3" t="s">
        <v>5026</v>
      </c>
      <c r="G3176" s="3" t="s">
        <v>5032</v>
      </c>
      <c r="H3176" s="3" t="s">
        <v>5094</v>
      </c>
      <c r="I3176" s="17">
        <v>45634</v>
      </c>
      <c r="J3176" s="18">
        <f>YEAR(Tabla1[[#This Row],[FECHA DE COMPRA]])</f>
        <v>2024</v>
      </c>
      <c r="K3176" s="19">
        <v>114.5</v>
      </c>
      <c r="L3176" s="20">
        <v>0.3</v>
      </c>
      <c r="M3176" s="19">
        <f>Tienda!$K2387-Tienda!$K2387*Tienda!$L2387</f>
        <v>135.51999999999998</v>
      </c>
      <c r="N3176" s="3" t="s">
        <v>10040</v>
      </c>
      <c r="O3176" s="3" t="s">
        <v>10042</v>
      </c>
      <c r="P3176" s="17">
        <v>45814</v>
      </c>
      <c r="Q3176" s="4">
        <v>6</v>
      </c>
    </row>
    <row r="3177" spans="1:17" ht="30" x14ac:dyDescent="0.25">
      <c r="A3177" s="2" t="s">
        <v>1038</v>
      </c>
      <c r="B3177" s="3" t="s">
        <v>5016</v>
      </c>
      <c r="C3177" s="3">
        <v>38</v>
      </c>
      <c r="D3177" s="46" t="str">
        <f>IF(Tabla1[[#This Row],[EDAD]]&lt;=35,"Adultos jóvenes 18 - 35 años",IF(C3177&gt;=36,"Adultos mayores 36 años en adelante"))</f>
        <v>Adultos mayores 36 años en adelante</v>
      </c>
      <c r="E3177" s="3" t="s">
        <v>5023</v>
      </c>
      <c r="F3177" s="3" t="s">
        <v>5026</v>
      </c>
      <c r="G3177" s="3" t="s">
        <v>5036</v>
      </c>
      <c r="H3177" s="3" t="s">
        <v>6061</v>
      </c>
      <c r="I3177" s="17">
        <v>45649</v>
      </c>
      <c r="J3177" s="18">
        <f>YEAR(Tabla1[[#This Row],[FECHA DE COMPRA]])</f>
        <v>2024</v>
      </c>
      <c r="K3177" s="19">
        <v>90.42</v>
      </c>
      <c r="L3177" s="20">
        <v>0.1</v>
      </c>
      <c r="M3177" s="19">
        <f>Tienda!$K2396-Tienda!$K2396*Tienda!$L2396</f>
        <v>98.238</v>
      </c>
      <c r="N3177" s="3" t="s">
        <v>10040</v>
      </c>
      <c r="O3177" s="3" t="s">
        <v>10042</v>
      </c>
      <c r="P3177" s="17">
        <v>45386</v>
      </c>
      <c r="Q3177" s="4">
        <v>3</v>
      </c>
    </row>
    <row r="3178" spans="1:17" ht="30" x14ac:dyDescent="0.25">
      <c r="A3178" s="2" t="s">
        <v>296</v>
      </c>
      <c r="B3178" s="3" t="s">
        <v>5015</v>
      </c>
      <c r="C3178" s="3">
        <v>58</v>
      </c>
      <c r="D3178" s="46" t="str">
        <f>IF(Tabla1[[#This Row],[EDAD]]&lt;=35,"Adultos jóvenes 18 - 35 años",IF(C3178&gt;=36,"Adultos mayores 36 años en adelante"))</f>
        <v>Adultos mayores 36 años en adelante</v>
      </c>
      <c r="E3178" s="3" t="s">
        <v>5020</v>
      </c>
      <c r="F3178" s="3" t="s">
        <v>5026</v>
      </c>
      <c r="G3178" s="3" t="s">
        <v>5033</v>
      </c>
      <c r="H3178" s="3" t="s">
        <v>5319</v>
      </c>
      <c r="I3178" s="17">
        <v>45308</v>
      </c>
      <c r="J3178" s="18">
        <f>YEAR(Tabla1[[#This Row],[FECHA DE COMPRA]])</f>
        <v>2024</v>
      </c>
      <c r="K3178" s="19">
        <v>102.2</v>
      </c>
      <c r="L3178" s="20">
        <v>0.2</v>
      </c>
      <c r="M3178" s="19">
        <f>Tienda!$K2401-Tienda!$K2401*Tienda!$L2401</f>
        <v>49.069999999999993</v>
      </c>
      <c r="N3178" s="3" t="s">
        <v>10040</v>
      </c>
      <c r="O3178" s="3" t="s">
        <v>10042</v>
      </c>
      <c r="P3178" s="17">
        <v>45398</v>
      </c>
      <c r="Q3178" s="4">
        <v>3</v>
      </c>
    </row>
    <row r="3179" spans="1:17" ht="30" x14ac:dyDescent="0.25">
      <c r="A3179" s="2" t="s">
        <v>101</v>
      </c>
      <c r="B3179" s="3" t="s">
        <v>5015</v>
      </c>
      <c r="C3179" s="3">
        <v>56</v>
      </c>
      <c r="D3179" s="46" t="str">
        <f>IF(Tabla1[[#This Row],[EDAD]]&lt;=35,"Adultos jóvenes 18 - 35 años",IF(C3179&gt;=36,"Adultos mayores 36 años en adelante"))</f>
        <v>Adultos mayores 36 años en adelante</v>
      </c>
      <c r="E3179" s="3" t="s">
        <v>5023</v>
      </c>
      <c r="F3179" s="3" t="s">
        <v>5025</v>
      </c>
      <c r="G3179" s="3" t="s">
        <v>5036</v>
      </c>
      <c r="H3179" s="3" t="s">
        <v>5124</v>
      </c>
      <c r="I3179" s="17">
        <v>45654</v>
      </c>
      <c r="J3179" s="18">
        <f>YEAR(Tabla1[[#This Row],[FECHA DE COMPRA]])</f>
        <v>2024</v>
      </c>
      <c r="K3179" s="19">
        <v>117.04</v>
      </c>
      <c r="L3179" s="20">
        <v>0.3</v>
      </c>
      <c r="M3179" s="19">
        <f>Tienda!$K2402-Tienda!$K2402*Tienda!$L2402</f>
        <v>59.896000000000001</v>
      </c>
      <c r="N3179" s="3" t="s">
        <v>10040</v>
      </c>
      <c r="O3179" s="3" t="s">
        <v>10042</v>
      </c>
      <c r="P3179" s="17">
        <v>45744</v>
      </c>
      <c r="Q3179" s="4">
        <v>3</v>
      </c>
    </row>
    <row r="3180" spans="1:17" ht="30" x14ac:dyDescent="0.25">
      <c r="A3180" s="2" t="s">
        <v>4881</v>
      </c>
      <c r="B3180" s="3" t="s">
        <v>5015</v>
      </c>
      <c r="C3180" s="3">
        <v>44</v>
      </c>
      <c r="D3180" s="46" t="str">
        <f>IF(Tabla1[[#This Row],[EDAD]]&lt;=35,"Adultos jóvenes 18 - 35 años",IF(C3180&gt;=36,"Adultos mayores 36 años en adelante"))</f>
        <v>Adultos mayores 36 años en adelante</v>
      </c>
      <c r="E3180" s="3" t="s">
        <v>5020</v>
      </c>
      <c r="F3180" s="3" t="s">
        <v>5024</v>
      </c>
      <c r="G3180" s="3" t="s">
        <v>5033</v>
      </c>
      <c r="H3180" s="3" t="s">
        <v>9904</v>
      </c>
      <c r="I3180" s="17">
        <v>45369</v>
      </c>
      <c r="J3180" s="18">
        <f>YEAR(Tabla1[[#This Row],[FECHA DE COMPRA]])</f>
        <v>2024</v>
      </c>
      <c r="K3180" s="19">
        <v>82.05</v>
      </c>
      <c r="L3180" s="20">
        <v>0</v>
      </c>
      <c r="M3180" s="19">
        <f>Tienda!$K2403-Tienda!$K2403*Tienda!$L2403</f>
        <v>78.587999999999994</v>
      </c>
      <c r="N3180" s="3" t="s">
        <v>10040</v>
      </c>
      <c r="O3180" s="3" t="s">
        <v>10042</v>
      </c>
      <c r="P3180" s="17">
        <v>45639</v>
      </c>
      <c r="Q3180" s="4">
        <v>9</v>
      </c>
    </row>
    <row r="3181" spans="1:17" ht="30" x14ac:dyDescent="0.25">
      <c r="A3181" s="2" t="s">
        <v>4316</v>
      </c>
      <c r="B3181" s="3" t="s">
        <v>5015</v>
      </c>
      <c r="C3181" s="3">
        <v>61</v>
      </c>
      <c r="D3181" s="46" t="str">
        <f>IF(Tabla1[[#This Row],[EDAD]]&lt;=35,"Adultos jóvenes 18 - 35 años",IF(C3181&gt;=36,"Adultos mayores 36 años en adelante"))</f>
        <v>Adultos mayores 36 años en adelante</v>
      </c>
      <c r="E3181" s="3" t="s">
        <v>5020</v>
      </c>
      <c r="F3181" s="3" t="s">
        <v>5026</v>
      </c>
      <c r="G3181" s="3" t="s">
        <v>5036</v>
      </c>
      <c r="H3181" s="3" t="s">
        <v>9339</v>
      </c>
      <c r="I3181" s="17">
        <v>45636</v>
      </c>
      <c r="J3181" s="18">
        <f>YEAR(Tabla1[[#This Row],[FECHA DE COMPRA]])</f>
        <v>2024</v>
      </c>
      <c r="K3181" s="19">
        <v>83.39</v>
      </c>
      <c r="L3181" s="20">
        <v>0</v>
      </c>
      <c r="M3181" s="19">
        <f>Tienda!$K2410-Tienda!$K2410*Tienda!$L2410</f>
        <v>150.83199999999999</v>
      </c>
      <c r="N3181" s="3" t="s">
        <v>10040</v>
      </c>
      <c r="O3181" s="3" t="s">
        <v>10042</v>
      </c>
      <c r="P3181" s="17">
        <v>45906</v>
      </c>
      <c r="Q3181" s="4">
        <v>9</v>
      </c>
    </row>
    <row r="3182" spans="1:17" ht="30" x14ac:dyDescent="0.25">
      <c r="A3182" s="2" t="s">
        <v>4294</v>
      </c>
      <c r="B3182" s="3" t="s">
        <v>5015</v>
      </c>
      <c r="C3182" s="3">
        <v>51</v>
      </c>
      <c r="D3182" s="46" t="str">
        <f>IF(Tabla1[[#This Row],[EDAD]]&lt;=35,"Adultos jóvenes 18 - 35 años",IF(C3182&gt;=36,"Adultos mayores 36 años en adelante"))</f>
        <v>Adultos mayores 36 años en adelante</v>
      </c>
      <c r="E3182" s="3" t="s">
        <v>5018</v>
      </c>
      <c r="F3182" s="3" t="s">
        <v>5027</v>
      </c>
      <c r="G3182" s="3" t="s">
        <v>5033</v>
      </c>
      <c r="H3182" s="3" t="s">
        <v>9317</v>
      </c>
      <c r="I3182" s="17">
        <v>45483</v>
      </c>
      <c r="J3182" s="18">
        <f>YEAR(Tabla1[[#This Row],[FECHA DE COMPRA]])</f>
        <v>2024</v>
      </c>
      <c r="K3182" s="19">
        <v>84.43</v>
      </c>
      <c r="L3182" s="20">
        <v>0</v>
      </c>
      <c r="M3182" s="19">
        <f>Tienda!$K2420-Tienda!$K2420*Tienda!$L2420</f>
        <v>17.77</v>
      </c>
      <c r="N3182" s="3" t="s">
        <v>10040</v>
      </c>
      <c r="O3182" s="3" t="s">
        <v>10042</v>
      </c>
      <c r="P3182" s="17">
        <v>45663</v>
      </c>
      <c r="Q3182" s="4">
        <v>6</v>
      </c>
    </row>
    <row r="3183" spans="1:17" ht="30" x14ac:dyDescent="0.25">
      <c r="A3183" s="2" t="s">
        <v>4060</v>
      </c>
      <c r="B3183" s="3" t="s">
        <v>5015</v>
      </c>
      <c r="C3183" s="3">
        <v>46</v>
      </c>
      <c r="D3183" s="46" t="str">
        <f>IF(Tabla1[[#This Row],[EDAD]]&lt;=35,"Adultos jóvenes 18 - 35 años",IF(C3183&gt;=36,"Adultos mayores 36 años en adelante"))</f>
        <v>Adultos mayores 36 años en adelante</v>
      </c>
      <c r="E3183" s="3" t="s">
        <v>5020</v>
      </c>
      <c r="F3183" s="3" t="s">
        <v>5027</v>
      </c>
      <c r="G3183" s="3" t="s">
        <v>5033</v>
      </c>
      <c r="H3183" s="3" t="s">
        <v>9083</v>
      </c>
      <c r="I3183" s="17">
        <v>45513</v>
      </c>
      <c r="J3183" s="18">
        <f>YEAR(Tabla1[[#This Row],[FECHA DE COMPRA]])</f>
        <v>2024</v>
      </c>
      <c r="K3183" s="19">
        <v>106.31</v>
      </c>
      <c r="L3183" s="20">
        <v>0.2</v>
      </c>
      <c r="M3183" s="19">
        <f>Tienda!$K2427-Tienda!$K2427*Tienda!$L2427</f>
        <v>44.766000000000005</v>
      </c>
      <c r="N3183" s="3" t="s">
        <v>10040</v>
      </c>
      <c r="O3183" s="3" t="s">
        <v>10042</v>
      </c>
      <c r="P3183" s="17">
        <v>45873</v>
      </c>
      <c r="Q3183" s="4">
        <v>12</v>
      </c>
    </row>
    <row r="3184" spans="1:17" ht="30" x14ac:dyDescent="0.25">
      <c r="A3184" s="2" t="s">
        <v>3925</v>
      </c>
      <c r="B3184" s="3" t="s">
        <v>5015</v>
      </c>
      <c r="C3184" s="3">
        <v>40</v>
      </c>
      <c r="D3184" s="46" t="str">
        <f>IF(Tabla1[[#This Row],[EDAD]]&lt;=35,"Adultos jóvenes 18 - 35 años",IF(C3184&gt;=36,"Adultos mayores 36 años en adelante"))</f>
        <v>Adultos mayores 36 años en adelante</v>
      </c>
      <c r="E3184" s="3" t="s">
        <v>5018</v>
      </c>
      <c r="F3184" s="3" t="s">
        <v>5027</v>
      </c>
      <c r="G3184" s="3" t="s">
        <v>5032</v>
      </c>
      <c r="H3184" s="3" t="s">
        <v>8948</v>
      </c>
      <c r="I3184" s="17">
        <v>45543</v>
      </c>
      <c r="J3184" s="18">
        <f>YEAR(Tabla1[[#This Row],[FECHA DE COMPRA]])</f>
        <v>2024</v>
      </c>
      <c r="K3184" s="19">
        <v>106.42</v>
      </c>
      <c r="L3184" s="20">
        <v>0.2</v>
      </c>
      <c r="M3184" s="19">
        <f>Tienda!$K2429-Tienda!$K2429*Tienda!$L2429</f>
        <v>80.822000000000003</v>
      </c>
      <c r="N3184" s="3" t="s">
        <v>10040</v>
      </c>
      <c r="O3184" s="3" t="s">
        <v>10042</v>
      </c>
      <c r="P3184" s="17">
        <v>45903</v>
      </c>
      <c r="Q3184" s="4">
        <v>12</v>
      </c>
    </row>
    <row r="3185" spans="1:17" ht="30" x14ac:dyDescent="0.25">
      <c r="A3185" s="2" t="s">
        <v>1947</v>
      </c>
      <c r="B3185" s="3" t="s">
        <v>5015</v>
      </c>
      <c r="C3185" s="3">
        <v>64</v>
      </c>
      <c r="D3185" s="46" t="str">
        <f>IF(Tabla1[[#This Row],[EDAD]]&lt;=35,"Adultos jóvenes 18 - 35 años",IF(C3185&gt;=36,"Adultos mayores 36 años en adelante"))</f>
        <v>Adultos mayores 36 años en adelante</v>
      </c>
      <c r="E3185" s="3" t="s">
        <v>5020</v>
      </c>
      <c r="F3185" s="3" t="s">
        <v>5025</v>
      </c>
      <c r="G3185" s="3" t="s">
        <v>5033</v>
      </c>
      <c r="H3185" s="3" t="s">
        <v>6970</v>
      </c>
      <c r="I3185" s="17">
        <v>45395</v>
      </c>
      <c r="J3185" s="18">
        <f>YEAR(Tabla1[[#This Row],[FECHA DE COMPRA]])</f>
        <v>2024</v>
      </c>
      <c r="K3185" s="19">
        <v>121.98</v>
      </c>
      <c r="L3185" s="20">
        <v>0.3</v>
      </c>
      <c r="M3185" s="19">
        <f>Tienda!$K2431-Tienda!$K2431*Tienda!$L2431</f>
        <v>120.006</v>
      </c>
      <c r="N3185" s="3" t="s">
        <v>10040</v>
      </c>
      <c r="O3185" s="3" t="s">
        <v>10042</v>
      </c>
      <c r="P3185" s="17">
        <v>45485</v>
      </c>
      <c r="Q3185" s="4">
        <v>3</v>
      </c>
    </row>
    <row r="3186" spans="1:17" ht="30" x14ac:dyDescent="0.25">
      <c r="A3186" s="2" t="s">
        <v>4467</v>
      </c>
      <c r="B3186" s="3" t="s">
        <v>5015</v>
      </c>
      <c r="C3186" s="3">
        <v>59</v>
      </c>
      <c r="D3186" s="46" t="str">
        <f>IF(Tabla1[[#This Row],[EDAD]]&lt;=35,"Adultos jóvenes 18 - 35 años",IF(C3186&gt;=36,"Adultos mayores 36 años en adelante"))</f>
        <v>Adultos mayores 36 años en adelante</v>
      </c>
      <c r="E3186" s="3" t="s">
        <v>5023</v>
      </c>
      <c r="F3186" s="3" t="s">
        <v>5026</v>
      </c>
      <c r="G3186" s="3" t="s">
        <v>5036</v>
      </c>
      <c r="H3186" s="3" t="s">
        <v>9490</v>
      </c>
      <c r="I3186" s="17">
        <v>45478</v>
      </c>
      <c r="J3186" s="18">
        <f>YEAR(Tabla1[[#This Row],[FECHA DE COMPRA]])</f>
        <v>2024</v>
      </c>
      <c r="K3186" s="19">
        <v>122.05</v>
      </c>
      <c r="L3186" s="20">
        <v>0.3</v>
      </c>
      <c r="M3186" s="19">
        <f>Tienda!$K2432-Tienda!$K2432*Tienda!$L2432</f>
        <v>107.71199999999999</v>
      </c>
      <c r="N3186" s="3" t="s">
        <v>10040</v>
      </c>
      <c r="O3186" s="3" t="s">
        <v>10042</v>
      </c>
      <c r="P3186" s="17">
        <v>45748</v>
      </c>
      <c r="Q3186" s="4">
        <v>9</v>
      </c>
    </row>
    <row r="3187" spans="1:17" ht="30" x14ac:dyDescent="0.25">
      <c r="A3187" s="2" t="s">
        <v>1700</v>
      </c>
      <c r="B3187" s="3" t="s">
        <v>5016</v>
      </c>
      <c r="C3187" s="3">
        <v>41</v>
      </c>
      <c r="D3187" s="46" t="str">
        <f>IF(Tabla1[[#This Row],[EDAD]]&lt;=35,"Adultos jóvenes 18 - 35 años",IF(C3187&gt;=36,"Adultos mayores 36 años en adelante"))</f>
        <v>Adultos mayores 36 años en adelante</v>
      </c>
      <c r="E3187" s="3" t="s">
        <v>5017</v>
      </c>
      <c r="F3187" s="3" t="s">
        <v>5027</v>
      </c>
      <c r="G3187" s="3" t="s">
        <v>5033</v>
      </c>
      <c r="H3187" s="3" t="s">
        <v>6723</v>
      </c>
      <c r="I3187" s="17">
        <v>45485</v>
      </c>
      <c r="J3187" s="18">
        <f>YEAR(Tabla1[[#This Row],[FECHA DE COMPRA]])</f>
        <v>2024</v>
      </c>
      <c r="K3187" s="19">
        <v>106.86</v>
      </c>
      <c r="L3187" s="20">
        <v>0.2</v>
      </c>
      <c r="M3187" s="19">
        <f>Tienda!$K2433-Tienda!$K2433*Tienda!$L2433</f>
        <v>123.928</v>
      </c>
      <c r="N3187" s="3" t="s">
        <v>10040</v>
      </c>
      <c r="O3187" s="3" t="s">
        <v>10042</v>
      </c>
      <c r="P3187" s="17">
        <v>45845</v>
      </c>
      <c r="Q3187" s="4">
        <v>12</v>
      </c>
    </row>
    <row r="3188" spans="1:17" ht="30" x14ac:dyDescent="0.25">
      <c r="A3188" s="2" t="s">
        <v>3818</v>
      </c>
      <c r="B3188" s="3" t="s">
        <v>5015</v>
      </c>
      <c r="C3188" s="3">
        <v>65</v>
      </c>
      <c r="D3188" s="46" t="str">
        <f>IF(Tabla1[[#This Row],[EDAD]]&lt;=35,"Adultos jóvenes 18 - 35 años",IF(C3188&gt;=36,"Adultos mayores 36 años en adelante"))</f>
        <v>Adultos mayores 36 años en adelante</v>
      </c>
      <c r="E3188" s="3" t="s">
        <v>5018</v>
      </c>
      <c r="F3188" s="3" t="s">
        <v>5025</v>
      </c>
      <c r="G3188" s="3" t="s">
        <v>5031</v>
      </c>
      <c r="H3188" s="3" t="s">
        <v>8841</v>
      </c>
      <c r="I3188" s="17">
        <v>45628</v>
      </c>
      <c r="J3188" s="18">
        <f>YEAR(Tabla1[[#This Row],[FECHA DE COMPRA]])</f>
        <v>2024</v>
      </c>
      <c r="K3188" s="19">
        <v>87.47</v>
      </c>
      <c r="L3188" s="20">
        <v>0</v>
      </c>
      <c r="M3188" s="19">
        <f>Tienda!$K2443-Tienda!$K2443*Tienda!$L2443</f>
        <v>102.25800000000001</v>
      </c>
      <c r="N3188" s="3" t="s">
        <v>10040</v>
      </c>
      <c r="O3188" s="3" t="s">
        <v>10042</v>
      </c>
      <c r="P3188" s="17">
        <v>45898</v>
      </c>
      <c r="Q3188" s="4">
        <v>9</v>
      </c>
    </row>
    <row r="3189" spans="1:17" ht="30" x14ac:dyDescent="0.25">
      <c r="A3189" s="2" t="s">
        <v>3057</v>
      </c>
      <c r="B3189" s="3" t="s">
        <v>5015</v>
      </c>
      <c r="C3189" s="3">
        <v>41</v>
      </c>
      <c r="D3189" s="46" t="str">
        <f>IF(Tabla1[[#This Row],[EDAD]]&lt;=35,"Adultos jóvenes 18 - 35 años",IF(C3189&gt;=36,"Adultos mayores 36 años en adelante"))</f>
        <v>Adultos mayores 36 años en adelante</v>
      </c>
      <c r="E3189" s="3" t="s">
        <v>5020</v>
      </c>
      <c r="F3189" s="3" t="s">
        <v>5027</v>
      </c>
      <c r="G3189" s="3" t="s">
        <v>5032</v>
      </c>
      <c r="H3189" s="3" t="s">
        <v>8080</v>
      </c>
      <c r="I3189" s="17">
        <v>45340</v>
      </c>
      <c r="J3189" s="18">
        <f>YEAR(Tabla1[[#This Row],[FECHA DE COMPRA]])</f>
        <v>2024</v>
      </c>
      <c r="K3189" s="19">
        <v>125.3</v>
      </c>
      <c r="L3189" s="20">
        <v>0.3</v>
      </c>
      <c r="M3189" s="19">
        <f>Tienda!$K2446-Tienda!$K2446*Tienda!$L2446</f>
        <v>24.080000000000002</v>
      </c>
      <c r="N3189" s="3" t="s">
        <v>10040</v>
      </c>
      <c r="O3189" s="3" t="s">
        <v>10042</v>
      </c>
      <c r="P3189" s="17">
        <v>45430</v>
      </c>
      <c r="Q3189" s="4">
        <v>3</v>
      </c>
    </row>
    <row r="3190" spans="1:17" ht="30" x14ac:dyDescent="0.25">
      <c r="A3190" s="2" t="s">
        <v>2009</v>
      </c>
      <c r="B3190" s="3" t="s">
        <v>5015</v>
      </c>
      <c r="C3190" s="3">
        <v>51</v>
      </c>
      <c r="D3190" s="46" t="str">
        <f>IF(Tabla1[[#This Row],[EDAD]]&lt;=35,"Adultos jóvenes 18 - 35 años",IF(C3190&gt;=36,"Adultos mayores 36 años en adelante"))</f>
        <v>Adultos mayores 36 años en adelante</v>
      </c>
      <c r="E3190" s="3" t="s">
        <v>5023</v>
      </c>
      <c r="F3190" s="3" t="s">
        <v>5024</v>
      </c>
      <c r="G3190" s="3" t="s">
        <v>5036</v>
      </c>
      <c r="H3190" s="3" t="s">
        <v>7032</v>
      </c>
      <c r="I3190" s="17">
        <v>45335</v>
      </c>
      <c r="J3190" s="18">
        <f>YEAR(Tabla1[[#This Row],[FECHA DE COMPRA]])</f>
        <v>2024</v>
      </c>
      <c r="K3190" s="19">
        <v>98.18</v>
      </c>
      <c r="L3190" s="20">
        <v>0.1</v>
      </c>
      <c r="M3190" s="19">
        <f>Tienda!$K2448-Tienda!$K2448*Tienda!$L2448</f>
        <v>53.712000000000003</v>
      </c>
      <c r="N3190" s="3" t="s">
        <v>10040</v>
      </c>
      <c r="O3190" s="3" t="s">
        <v>10042</v>
      </c>
      <c r="P3190" s="17">
        <v>45637</v>
      </c>
      <c r="Q3190" s="4">
        <v>9</v>
      </c>
    </row>
    <row r="3191" spans="1:17" ht="30" x14ac:dyDescent="0.25">
      <c r="A3191" s="2" t="s">
        <v>2905</v>
      </c>
      <c r="B3191" s="3" t="s">
        <v>5015</v>
      </c>
      <c r="C3191" s="3">
        <v>46</v>
      </c>
      <c r="D3191" s="46" t="str">
        <f>IF(Tabla1[[#This Row],[EDAD]]&lt;=35,"Adultos jóvenes 18 - 35 años",IF(C3191&gt;=36,"Adultos mayores 36 años en adelante"))</f>
        <v>Adultos mayores 36 años en adelante</v>
      </c>
      <c r="E3191" s="3" t="s">
        <v>5022</v>
      </c>
      <c r="F3191" s="3" t="s">
        <v>5026</v>
      </c>
      <c r="G3191" s="3" t="s">
        <v>5034</v>
      </c>
      <c r="H3191" s="3" t="s">
        <v>7928</v>
      </c>
      <c r="I3191" s="17">
        <v>45421</v>
      </c>
      <c r="J3191" s="18">
        <f>YEAR(Tabla1[[#This Row],[FECHA DE COMPRA]])</f>
        <v>2024</v>
      </c>
      <c r="K3191" s="19">
        <v>126.71</v>
      </c>
      <c r="L3191" s="20">
        <v>0.3</v>
      </c>
      <c r="M3191" s="19">
        <f>Tienda!$K2451-Tienda!$K2451*Tienda!$L2451</f>
        <v>16.391999999999999</v>
      </c>
      <c r="N3191" s="3" t="s">
        <v>10040</v>
      </c>
      <c r="O3191" s="3" t="s">
        <v>10042</v>
      </c>
      <c r="P3191" s="17">
        <v>45511</v>
      </c>
      <c r="Q3191" s="4">
        <v>3</v>
      </c>
    </row>
    <row r="3192" spans="1:17" ht="30" x14ac:dyDescent="0.25">
      <c r="A3192" s="2" t="s">
        <v>3256</v>
      </c>
      <c r="B3192" s="3" t="s">
        <v>5015</v>
      </c>
      <c r="C3192" s="3">
        <v>39</v>
      </c>
      <c r="D3192" s="46" t="str">
        <f>IF(Tabla1[[#This Row],[EDAD]]&lt;=35,"Adultos jóvenes 18 - 35 años",IF(C3192&gt;=36,"Adultos mayores 36 años en adelante"))</f>
        <v>Adultos mayores 36 años en adelante</v>
      </c>
      <c r="E3192" s="3" t="s">
        <v>5018</v>
      </c>
      <c r="F3192" s="3" t="s">
        <v>5029</v>
      </c>
      <c r="G3192" s="3" t="s">
        <v>5036</v>
      </c>
      <c r="H3192" s="3" t="s">
        <v>8279</v>
      </c>
      <c r="I3192" s="17">
        <v>45361</v>
      </c>
      <c r="J3192" s="18">
        <f>YEAR(Tabla1[[#This Row],[FECHA DE COMPRA]])</f>
        <v>2024</v>
      </c>
      <c r="K3192" s="19">
        <v>98.57</v>
      </c>
      <c r="L3192" s="20">
        <v>0.1</v>
      </c>
      <c r="M3192" s="19">
        <f>Tienda!$K2452-Tienda!$K2452*Tienda!$L2452</f>
        <v>78.463999999999999</v>
      </c>
      <c r="N3192" s="3" t="s">
        <v>10040</v>
      </c>
      <c r="O3192" s="3" t="s">
        <v>10042</v>
      </c>
      <c r="P3192" s="17">
        <v>45631</v>
      </c>
      <c r="Q3192" s="4">
        <v>9</v>
      </c>
    </row>
    <row r="3193" spans="1:17" ht="30" x14ac:dyDescent="0.25">
      <c r="A3193" s="2" t="s">
        <v>2160</v>
      </c>
      <c r="B3193" s="3" t="s">
        <v>5015</v>
      </c>
      <c r="C3193" s="3">
        <v>54</v>
      </c>
      <c r="D3193" s="46" t="str">
        <f>IF(Tabla1[[#This Row],[EDAD]]&lt;=35,"Adultos jóvenes 18 - 35 años",IF(C3193&gt;=36,"Adultos mayores 36 años en adelante"))</f>
        <v>Adultos mayores 36 años en adelante</v>
      </c>
      <c r="E3193" s="3" t="s">
        <v>5022</v>
      </c>
      <c r="F3193" s="3" t="s">
        <v>5028</v>
      </c>
      <c r="G3193" s="3" t="s">
        <v>5035</v>
      </c>
      <c r="H3193" s="3" t="s">
        <v>7183</v>
      </c>
      <c r="I3193" s="17">
        <v>45480</v>
      </c>
      <c r="J3193" s="18">
        <f>YEAR(Tabla1[[#This Row],[FECHA DE COMPRA]])</f>
        <v>2024</v>
      </c>
      <c r="K3193" s="19">
        <v>128.6</v>
      </c>
      <c r="L3193" s="20">
        <v>0.3</v>
      </c>
      <c r="M3193" s="19">
        <f>Tienda!$K2461-Tienda!$K2461*Tienda!$L2461</f>
        <v>26.760999999999996</v>
      </c>
      <c r="N3193" s="3" t="s">
        <v>10040</v>
      </c>
      <c r="O3193" s="3" t="s">
        <v>10042</v>
      </c>
      <c r="P3193" s="17">
        <v>45660</v>
      </c>
      <c r="Q3193" s="4">
        <v>6</v>
      </c>
    </row>
    <row r="3194" spans="1:17" ht="30" x14ac:dyDescent="0.25">
      <c r="A3194" s="2" t="s">
        <v>4623</v>
      </c>
      <c r="B3194" s="3" t="s">
        <v>5016</v>
      </c>
      <c r="C3194" s="3">
        <v>55</v>
      </c>
      <c r="D3194" s="46" t="str">
        <f>IF(Tabla1[[#This Row],[EDAD]]&lt;=35,"Adultos jóvenes 18 - 35 años",IF(C3194&gt;=36,"Adultos mayores 36 años en adelante"))</f>
        <v>Adultos mayores 36 años en adelante</v>
      </c>
      <c r="E3194" s="3" t="s">
        <v>5017</v>
      </c>
      <c r="F3194" s="3" t="s">
        <v>5030</v>
      </c>
      <c r="G3194" s="3" t="s">
        <v>5035</v>
      </c>
      <c r="H3194" s="3" t="s">
        <v>9646</v>
      </c>
      <c r="I3194" s="17">
        <v>45541</v>
      </c>
      <c r="J3194" s="18">
        <f>YEAR(Tabla1[[#This Row],[FECHA DE COMPRA]])</f>
        <v>2024</v>
      </c>
      <c r="K3194" s="19">
        <v>128.68</v>
      </c>
      <c r="L3194" s="20">
        <v>0.3</v>
      </c>
      <c r="M3194" s="19">
        <f>Tienda!$K2464-Tienda!$K2464*Tienda!$L2464</f>
        <v>37.728000000000002</v>
      </c>
      <c r="N3194" s="3" t="s">
        <v>10040</v>
      </c>
      <c r="O3194" s="3" t="s">
        <v>10042</v>
      </c>
      <c r="P3194" s="17">
        <v>45901</v>
      </c>
      <c r="Q3194" s="4">
        <v>12</v>
      </c>
    </row>
    <row r="3195" spans="1:17" ht="30" x14ac:dyDescent="0.25">
      <c r="A3195" s="2" t="s">
        <v>1472</v>
      </c>
      <c r="B3195" s="3" t="s">
        <v>5015</v>
      </c>
      <c r="C3195" s="3">
        <v>55</v>
      </c>
      <c r="D3195" s="46" t="str">
        <f>IF(Tabla1[[#This Row],[EDAD]]&lt;=35,"Adultos jóvenes 18 - 35 años",IF(C3195&gt;=36,"Adultos mayores 36 años en adelante"))</f>
        <v>Adultos mayores 36 años en adelante</v>
      </c>
      <c r="E3195" s="3" t="s">
        <v>5022</v>
      </c>
      <c r="F3195" s="3" t="s">
        <v>5030</v>
      </c>
      <c r="G3195" s="3" t="s">
        <v>5037</v>
      </c>
      <c r="H3195" s="3" t="s">
        <v>6495</v>
      </c>
      <c r="I3195" s="17">
        <v>45497</v>
      </c>
      <c r="J3195" s="18">
        <f>YEAR(Tabla1[[#This Row],[FECHA DE COMPRA]])</f>
        <v>2024</v>
      </c>
      <c r="K3195" s="19">
        <v>129.30000000000001</v>
      </c>
      <c r="L3195" s="20">
        <v>0.3</v>
      </c>
      <c r="M3195" s="19">
        <f>Tienda!$K2468-Tienda!$K2468*Tienda!$L2468</f>
        <v>131.292</v>
      </c>
      <c r="N3195" s="3" t="s">
        <v>10040</v>
      </c>
      <c r="O3195" s="3" t="s">
        <v>10042</v>
      </c>
      <c r="P3195" s="17">
        <v>45767</v>
      </c>
      <c r="Q3195" s="4">
        <v>9</v>
      </c>
    </row>
    <row r="3196" spans="1:17" ht="30" x14ac:dyDescent="0.25">
      <c r="A3196" s="2" t="s">
        <v>1980</v>
      </c>
      <c r="B3196" s="3" t="s">
        <v>5015</v>
      </c>
      <c r="C3196" s="3">
        <v>62</v>
      </c>
      <c r="D3196" s="46" t="str">
        <f>IF(Tabla1[[#This Row],[EDAD]]&lt;=35,"Adultos jóvenes 18 - 35 años",IF(C3196&gt;=36,"Adultos mayores 36 años en adelante"))</f>
        <v>Adultos mayores 36 años en adelante</v>
      </c>
      <c r="E3196" s="3" t="s">
        <v>5019</v>
      </c>
      <c r="F3196" s="3" t="s">
        <v>5029</v>
      </c>
      <c r="G3196" s="3" t="s">
        <v>5032</v>
      </c>
      <c r="H3196" s="3" t="s">
        <v>7003</v>
      </c>
      <c r="I3196" s="17">
        <v>45461</v>
      </c>
      <c r="J3196" s="18">
        <f>YEAR(Tabla1[[#This Row],[FECHA DE COMPRA]])</f>
        <v>2024</v>
      </c>
      <c r="K3196" s="19">
        <v>129.49</v>
      </c>
      <c r="L3196" s="20">
        <v>0.3</v>
      </c>
      <c r="M3196" s="19">
        <f>Tienda!$K2472-Tienda!$K2472*Tienda!$L2472</f>
        <v>145.827</v>
      </c>
      <c r="N3196" s="3" t="s">
        <v>10040</v>
      </c>
      <c r="O3196" s="3" t="s">
        <v>10042</v>
      </c>
      <c r="P3196" s="17">
        <v>45641</v>
      </c>
      <c r="Q3196" s="4">
        <v>6</v>
      </c>
    </row>
    <row r="3197" spans="1:17" ht="30" x14ac:dyDescent="0.25">
      <c r="A3197" s="2" t="s">
        <v>2630</v>
      </c>
      <c r="B3197" s="3" t="s">
        <v>5015</v>
      </c>
      <c r="C3197" s="3">
        <v>51</v>
      </c>
      <c r="D3197" s="46" t="str">
        <f>IF(Tabla1[[#This Row],[EDAD]]&lt;=35,"Adultos jóvenes 18 - 35 años",IF(C3197&gt;=36,"Adultos mayores 36 años en adelante"))</f>
        <v>Adultos mayores 36 años en adelante</v>
      </c>
      <c r="E3197" s="3" t="s">
        <v>5018</v>
      </c>
      <c r="F3197" s="3" t="s">
        <v>5026</v>
      </c>
      <c r="G3197" s="3" t="s">
        <v>5033</v>
      </c>
      <c r="H3197" s="3" t="s">
        <v>7653</v>
      </c>
      <c r="I3197" s="17">
        <v>45381</v>
      </c>
      <c r="J3197" s="18">
        <f>YEAR(Tabla1[[#This Row],[FECHA DE COMPRA]])</f>
        <v>2024</v>
      </c>
      <c r="K3197" s="19">
        <v>101.36</v>
      </c>
      <c r="L3197" s="20">
        <v>0.1</v>
      </c>
      <c r="M3197" s="19">
        <f>Tienda!$K2476-Tienda!$K2476*Tienda!$L2476</f>
        <v>35.448</v>
      </c>
      <c r="N3197" s="3" t="s">
        <v>10040</v>
      </c>
      <c r="O3197" s="3" t="s">
        <v>10042</v>
      </c>
      <c r="P3197" s="17">
        <v>45471</v>
      </c>
      <c r="Q3197" s="4">
        <v>3</v>
      </c>
    </row>
    <row r="3198" spans="1:17" ht="30" x14ac:dyDescent="0.25">
      <c r="A3198" s="2" t="s">
        <v>4172</v>
      </c>
      <c r="B3198" s="3" t="s">
        <v>5016</v>
      </c>
      <c r="C3198" s="3">
        <v>37</v>
      </c>
      <c r="D3198" s="46" t="str">
        <f>IF(Tabla1[[#This Row],[EDAD]]&lt;=35,"Adultos jóvenes 18 - 35 años",IF(C3198&gt;=36,"Adultos mayores 36 años en adelante"))</f>
        <v>Adultos mayores 36 años en adelante</v>
      </c>
      <c r="E3198" s="3" t="s">
        <v>5021</v>
      </c>
      <c r="F3198" s="3" t="s">
        <v>5025</v>
      </c>
      <c r="G3198" s="3" t="s">
        <v>5033</v>
      </c>
      <c r="H3198" s="3" t="s">
        <v>9195</v>
      </c>
      <c r="I3198" s="17">
        <v>45336</v>
      </c>
      <c r="J3198" s="18">
        <f>YEAR(Tabla1[[#This Row],[FECHA DE COMPRA]])</f>
        <v>2024</v>
      </c>
      <c r="K3198" s="19">
        <v>114.31</v>
      </c>
      <c r="L3198" s="20">
        <v>0.2</v>
      </c>
      <c r="M3198" s="19">
        <f>Tienda!$K2479-Tienda!$K2479*Tienda!$L2479</f>
        <v>66.38</v>
      </c>
      <c r="N3198" s="3" t="s">
        <v>10040</v>
      </c>
      <c r="O3198" s="3" t="s">
        <v>10042</v>
      </c>
      <c r="P3198" s="17">
        <v>45606</v>
      </c>
      <c r="Q3198" s="4">
        <v>9</v>
      </c>
    </row>
    <row r="3199" spans="1:17" ht="30" x14ac:dyDescent="0.25">
      <c r="A3199" s="2" t="s">
        <v>4102</v>
      </c>
      <c r="B3199" s="3" t="s">
        <v>5015</v>
      </c>
      <c r="C3199" s="3">
        <v>65</v>
      </c>
      <c r="D3199" s="46" t="str">
        <f>IF(Tabla1[[#This Row],[EDAD]]&lt;=35,"Adultos jóvenes 18 - 35 años",IF(C3199&gt;=36,"Adultos mayores 36 años en adelante"))</f>
        <v>Adultos mayores 36 años en adelante</v>
      </c>
      <c r="E3199" s="3" t="s">
        <v>5019</v>
      </c>
      <c r="F3199" s="3" t="s">
        <v>5026</v>
      </c>
      <c r="G3199" s="3" t="s">
        <v>5037</v>
      </c>
      <c r="H3199" s="3" t="s">
        <v>9125</v>
      </c>
      <c r="I3199" s="17">
        <v>45538</v>
      </c>
      <c r="J3199" s="18">
        <f>YEAR(Tabla1[[#This Row],[FECHA DE COMPRA]])</f>
        <v>2024</v>
      </c>
      <c r="K3199" s="19">
        <v>114.8</v>
      </c>
      <c r="L3199" s="20">
        <v>0.2</v>
      </c>
      <c r="M3199" s="19">
        <f>Tienda!$K2484-Tienda!$K2484*Tienda!$L2484</f>
        <v>58.855999999999995</v>
      </c>
      <c r="N3199" s="3" t="s">
        <v>10040</v>
      </c>
      <c r="O3199" s="3" t="s">
        <v>10042</v>
      </c>
      <c r="P3199" s="17">
        <v>45898</v>
      </c>
      <c r="Q3199" s="4">
        <v>12</v>
      </c>
    </row>
    <row r="3200" spans="1:17" ht="30" x14ac:dyDescent="0.25">
      <c r="A3200" s="2" t="s">
        <v>4259</v>
      </c>
      <c r="B3200" s="3" t="s">
        <v>5015</v>
      </c>
      <c r="C3200" s="3">
        <v>37</v>
      </c>
      <c r="D3200" s="46" t="str">
        <f>IF(Tabla1[[#This Row],[EDAD]]&lt;=35,"Adultos jóvenes 18 - 35 años",IF(C3200&gt;=36,"Adultos mayores 36 años en adelante"))</f>
        <v>Adultos mayores 36 años en adelante</v>
      </c>
      <c r="E3200" s="3" t="s">
        <v>5019</v>
      </c>
      <c r="F3200" s="3" t="s">
        <v>5027</v>
      </c>
      <c r="G3200" s="3" t="s">
        <v>5035</v>
      </c>
      <c r="H3200" s="3" t="s">
        <v>9282</v>
      </c>
      <c r="I3200" s="17">
        <v>45335</v>
      </c>
      <c r="J3200" s="18">
        <f>YEAR(Tabla1[[#This Row],[FECHA DE COMPRA]])</f>
        <v>2024</v>
      </c>
      <c r="K3200" s="19">
        <v>116.39</v>
      </c>
      <c r="L3200" s="20">
        <v>0.2</v>
      </c>
      <c r="M3200" s="19">
        <f>Tienda!$K2491-Tienda!$K2491*Tienda!$L2491</f>
        <v>85.19</v>
      </c>
      <c r="N3200" s="3" t="s">
        <v>10040</v>
      </c>
      <c r="O3200" s="3" t="s">
        <v>10042</v>
      </c>
      <c r="P3200" s="17">
        <v>45465</v>
      </c>
      <c r="Q3200" s="4">
        <v>3</v>
      </c>
    </row>
    <row r="3201" spans="1:17" ht="30" x14ac:dyDescent="0.25">
      <c r="A3201" s="2" t="s">
        <v>177</v>
      </c>
      <c r="B3201" s="3" t="s">
        <v>5016</v>
      </c>
      <c r="C3201" s="3">
        <v>55</v>
      </c>
      <c r="D3201" s="46" t="str">
        <f>IF(Tabla1[[#This Row],[EDAD]]&lt;=35,"Adultos jóvenes 18 - 35 años",IF(C3201&gt;=36,"Adultos mayores 36 años en adelante"))</f>
        <v>Adultos mayores 36 años en adelante</v>
      </c>
      <c r="E3201" s="3" t="s">
        <v>5021</v>
      </c>
      <c r="F3201" s="3" t="s">
        <v>5029</v>
      </c>
      <c r="G3201" s="3" t="s">
        <v>5032</v>
      </c>
      <c r="H3201" s="3" t="s">
        <v>5200</v>
      </c>
      <c r="I3201" s="17">
        <v>45513</v>
      </c>
      <c r="J3201" s="18">
        <f>YEAR(Tabla1[[#This Row],[FECHA DE COMPRA]])</f>
        <v>2024</v>
      </c>
      <c r="K3201" s="19">
        <v>93.47</v>
      </c>
      <c r="L3201" s="20">
        <v>0</v>
      </c>
      <c r="M3201" s="19">
        <f>Tienda!$K2494-Tienda!$K2494*Tienda!$L2494</f>
        <v>94.647000000000006</v>
      </c>
      <c r="N3201" s="3" t="s">
        <v>10040</v>
      </c>
      <c r="O3201" s="3" t="s">
        <v>10042</v>
      </c>
      <c r="P3201" s="17">
        <v>45693</v>
      </c>
      <c r="Q3201" s="4">
        <v>6</v>
      </c>
    </row>
    <row r="3202" spans="1:17" ht="30" x14ac:dyDescent="0.25">
      <c r="A3202" s="2" t="s">
        <v>1338</v>
      </c>
      <c r="B3202" s="3" t="s">
        <v>5016</v>
      </c>
      <c r="C3202" s="3">
        <v>59</v>
      </c>
      <c r="D3202" s="46" t="str">
        <f>IF(Tabla1[[#This Row],[EDAD]]&lt;=35,"Adultos jóvenes 18 - 35 años",IF(C3202&gt;=36,"Adultos mayores 36 años en adelante"))</f>
        <v>Adultos mayores 36 años en adelante</v>
      </c>
      <c r="E3202" s="3" t="s">
        <v>5021</v>
      </c>
      <c r="F3202" s="3" t="s">
        <v>5024</v>
      </c>
      <c r="G3202" s="3" t="s">
        <v>5037</v>
      </c>
      <c r="H3202" s="3" t="s">
        <v>6361</v>
      </c>
      <c r="I3202" s="17">
        <v>45377</v>
      </c>
      <c r="J3202" s="18">
        <f>YEAR(Tabla1[[#This Row],[FECHA DE COMPRA]])</f>
        <v>2024</v>
      </c>
      <c r="K3202" s="19">
        <v>116.9</v>
      </c>
      <c r="L3202" s="20">
        <v>0.2</v>
      </c>
      <c r="M3202" s="19">
        <f>Tienda!$K2495-Tienda!$K2495*Tienda!$L2495</f>
        <v>148.46</v>
      </c>
      <c r="N3202" s="3" t="s">
        <v>10040</v>
      </c>
      <c r="O3202" s="3" t="s">
        <v>10042</v>
      </c>
      <c r="P3202" s="17">
        <v>45737</v>
      </c>
      <c r="Q3202" s="4">
        <v>12</v>
      </c>
    </row>
    <row r="3203" spans="1:17" ht="30" x14ac:dyDescent="0.25">
      <c r="A3203" s="2" t="s">
        <v>2819</v>
      </c>
      <c r="B3203" s="3" t="s">
        <v>5016</v>
      </c>
      <c r="C3203" s="3">
        <v>55</v>
      </c>
      <c r="D3203" s="46" t="str">
        <f>IF(Tabla1[[#This Row],[EDAD]]&lt;=35,"Adultos jóvenes 18 - 35 años",IF(C3203&gt;=36,"Adultos mayores 36 años en adelante"))</f>
        <v>Adultos mayores 36 años en adelante</v>
      </c>
      <c r="E3203" s="3" t="s">
        <v>5017</v>
      </c>
      <c r="F3203" s="3" t="s">
        <v>5025</v>
      </c>
      <c r="G3203" s="3" t="s">
        <v>5034</v>
      </c>
      <c r="H3203" s="3" t="s">
        <v>7842</v>
      </c>
      <c r="I3203" s="17">
        <v>45506</v>
      </c>
      <c r="J3203" s="18">
        <f>YEAR(Tabla1[[#This Row],[FECHA DE COMPRA]])</f>
        <v>2024</v>
      </c>
      <c r="K3203" s="19">
        <v>93.9</v>
      </c>
      <c r="L3203" s="20">
        <v>0</v>
      </c>
      <c r="M3203" s="19">
        <f>Tienda!$K2498-Tienda!$K2498*Tienda!$L2498</f>
        <v>112.64399999999999</v>
      </c>
      <c r="N3203" s="3" t="s">
        <v>10040</v>
      </c>
      <c r="O3203" s="3" t="s">
        <v>10042</v>
      </c>
      <c r="P3203" s="17">
        <v>45776</v>
      </c>
      <c r="Q3203" s="4">
        <v>9</v>
      </c>
    </row>
    <row r="3204" spans="1:17" ht="30" x14ac:dyDescent="0.25">
      <c r="A3204" s="2" t="s">
        <v>2745</v>
      </c>
      <c r="B3204" s="3" t="s">
        <v>5015</v>
      </c>
      <c r="C3204" s="3">
        <v>56</v>
      </c>
      <c r="D3204" s="46" t="str">
        <f>IF(Tabla1[[#This Row],[EDAD]]&lt;=35,"Adultos jóvenes 18 - 35 años",IF(C3204&gt;=36,"Adultos mayores 36 años en adelante"))</f>
        <v>Adultos mayores 36 años en adelante</v>
      </c>
      <c r="E3204" s="3" t="s">
        <v>5022</v>
      </c>
      <c r="F3204" s="3" t="s">
        <v>5028</v>
      </c>
      <c r="G3204" s="3" t="s">
        <v>5031</v>
      </c>
      <c r="H3204" s="3" t="s">
        <v>7768</v>
      </c>
      <c r="I3204" s="17">
        <v>45649</v>
      </c>
      <c r="J3204" s="18">
        <f>YEAR(Tabla1[[#This Row],[FECHA DE COMPRA]])</f>
        <v>2024</v>
      </c>
      <c r="K3204" s="19">
        <v>117.73</v>
      </c>
      <c r="L3204" s="20">
        <v>0.2</v>
      </c>
      <c r="M3204" s="19">
        <f>Tienda!$K2502-Tienda!$K2502*Tienda!$L2502</f>
        <v>150.309</v>
      </c>
      <c r="N3204" s="3" t="s">
        <v>10040</v>
      </c>
      <c r="O3204" s="3" t="s">
        <v>10042</v>
      </c>
      <c r="P3204" s="17">
        <v>45388</v>
      </c>
      <c r="Q3204" s="4">
        <v>3</v>
      </c>
    </row>
    <row r="3205" spans="1:17" ht="30" x14ac:dyDescent="0.25">
      <c r="A3205" s="2" t="s">
        <v>1762</v>
      </c>
      <c r="B3205" s="3" t="s">
        <v>5015</v>
      </c>
      <c r="C3205" s="3">
        <v>51</v>
      </c>
      <c r="D3205" s="46" t="str">
        <f>IF(Tabla1[[#This Row],[EDAD]]&lt;=35,"Adultos jóvenes 18 - 35 años",IF(C3205&gt;=36,"Adultos mayores 36 años en adelante"))</f>
        <v>Adultos mayores 36 años en adelante</v>
      </c>
      <c r="E3205" s="3" t="s">
        <v>5020</v>
      </c>
      <c r="F3205" s="3" t="s">
        <v>5027</v>
      </c>
      <c r="G3205" s="3" t="s">
        <v>5035</v>
      </c>
      <c r="H3205" s="3" t="s">
        <v>6785</v>
      </c>
      <c r="I3205" s="17">
        <v>45636</v>
      </c>
      <c r="J3205" s="18">
        <f>YEAR(Tabla1[[#This Row],[FECHA DE COMPRA]])</f>
        <v>2024</v>
      </c>
      <c r="K3205" s="19">
        <v>134.82</v>
      </c>
      <c r="L3205" s="20">
        <v>0.3</v>
      </c>
      <c r="M3205" s="19">
        <f>Tienda!$K2506-Tienda!$K2506*Tienda!$L2506</f>
        <v>128.84899999999999</v>
      </c>
      <c r="N3205" s="3" t="s">
        <v>10040</v>
      </c>
      <c r="O3205" s="3" t="s">
        <v>10042</v>
      </c>
      <c r="P3205" s="17">
        <v>45722</v>
      </c>
      <c r="Q3205" s="4">
        <v>9</v>
      </c>
    </row>
    <row r="3206" spans="1:17" ht="30" x14ac:dyDescent="0.25">
      <c r="A3206" s="2" t="s">
        <v>539</v>
      </c>
      <c r="B3206" s="3" t="s">
        <v>5015</v>
      </c>
      <c r="C3206" s="3">
        <v>57</v>
      </c>
      <c r="D3206" s="46" t="str">
        <f>IF(Tabla1[[#This Row],[EDAD]]&lt;=35,"Adultos jóvenes 18 - 35 años",IF(C3206&gt;=36,"Adultos mayores 36 años en adelante"))</f>
        <v>Adultos mayores 36 años en adelante</v>
      </c>
      <c r="E3206" s="3" t="s">
        <v>5018</v>
      </c>
      <c r="F3206" s="3" t="s">
        <v>5030</v>
      </c>
      <c r="G3206" s="3" t="s">
        <v>5034</v>
      </c>
      <c r="H3206" s="3" t="s">
        <v>5562</v>
      </c>
      <c r="I3206" s="17">
        <v>45567</v>
      </c>
      <c r="J3206" s="18">
        <f>YEAR(Tabla1[[#This Row],[FECHA DE COMPRA]])</f>
        <v>2024</v>
      </c>
      <c r="K3206" s="19">
        <v>136.4</v>
      </c>
      <c r="L3206" s="20">
        <v>0.3</v>
      </c>
      <c r="M3206" s="19">
        <f>Tienda!$K2513-Tienda!$K2513*Tienda!$L2513</f>
        <v>42.65</v>
      </c>
      <c r="N3206" s="3" t="s">
        <v>10040</v>
      </c>
      <c r="O3206" s="3" t="s">
        <v>10042</v>
      </c>
      <c r="P3206" s="17">
        <v>45747</v>
      </c>
      <c r="Q3206" s="4">
        <v>6</v>
      </c>
    </row>
    <row r="3207" spans="1:17" ht="30" x14ac:dyDescent="0.25">
      <c r="A3207" s="2" t="s">
        <v>3944</v>
      </c>
      <c r="B3207" s="3" t="s">
        <v>5016</v>
      </c>
      <c r="C3207" s="3">
        <v>36</v>
      </c>
      <c r="D3207" s="46" t="str">
        <f>IF(Tabla1[[#This Row],[EDAD]]&lt;=35,"Adultos jóvenes 18 - 35 años",IF(C3207&gt;=36,"Adultos mayores 36 años en adelante"))</f>
        <v>Adultos mayores 36 años en adelante</v>
      </c>
      <c r="E3207" s="3" t="s">
        <v>5019</v>
      </c>
      <c r="F3207" s="3" t="s">
        <v>5030</v>
      </c>
      <c r="G3207" s="3" t="s">
        <v>5031</v>
      </c>
      <c r="H3207" s="3" t="s">
        <v>8967</v>
      </c>
      <c r="I3207" s="17">
        <v>45329</v>
      </c>
      <c r="J3207" s="18">
        <f>YEAR(Tabla1[[#This Row],[FECHA DE COMPRA]])</f>
        <v>2024</v>
      </c>
      <c r="K3207" s="19">
        <v>121.44</v>
      </c>
      <c r="L3207" s="20">
        <v>0.2</v>
      </c>
      <c r="M3207" s="19">
        <f>Tienda!$K2521-Tienda!$K2521*Tienda!$L2521</f>
        <v>67.03</v>
      </c>
      <c r="N3207" s="3" t="s">
        <v>10040</v>
      </c>
      <c r="O3207" s="3" t="s">
        <v>10042</v>
      </c>
      <c r="P3207" s="17">
        <v>45689</v>
      </c>
      <c r="Q3207" s="4">
        <v>12</v>
      </c>
    </row>
    <row r="3208" spans="1:17" ht="30" x14ac:dyDescent="0.25">
      <c r="A3208" s="2" t="s">
        <v>4616</v>
      </c>
      <c r="B3208" s="3" t="s">
        <v>5015</v>
      </c>
      <c r="C3208" s="3">
        <v>43</v>
      </c>
      <c r="D3208" s="46" t="str">
        <f>IF(Tabla1[[#This Row],[EDAD]]&lt;=35,"Adultos jóvenes 18 - 35 años",IF(C3208&gt;=36,"Adultos mayores 36 años en adelante"))</f>
        <v>Adultos mayores 36 años en adelante</v>
      </c>
      <c r="E3208" s="3" t="s">
        <v>5018</v>
      </c>
      <c r="F3208" s="3" t="s">
        <v>5024</v>
      </c>
      <c r="G3208" s="3" t="s">
        <v>5037</v>
      </c>
      <c r="H3208" s="3" t="s">
        <v>9639</v>
      </c>
      <c r="I3208" s="17">
        <v>45583</v>
      </c>
      <c r="J3208" s="18">
        <f>YEAR(Tabla1[[#This Row],[FECHA DE COMPRA]])</f>
        <v>2024</v>
      </c>
      <c r="K3208" s="19">
        <v>108.25</v>
      </c>
      <c r="L3208" s="20">
        <v>0.1</v>
      </c>
      <c r="M3208" s="19">
        <f>Tienda!$K2524-Tienda!$K2524*Tienda!$L2524</f>
        <v>72.58</v>
      </c>
      <c r="N3208" s="3" t="s">
        <v>10040</v>
      </c>
      <c r="O3208" s="3" t="s">
        <v>10042</v>
      </c>
      <c r="P3208" s="17">
        <v>45853</v>
      </c>
      <c r="Q3208" s="4">
        <v>9</v>
      </c>
    </row>
    <row r="3209" spans="1:17" ht="30" x14ac:dyDescent="0.25">
      <c r="A3209" s="2" t="s">
        <v>2578</v>
      </c>
      <c r="B3209" s="3" t="s">
        <v>5015</v>
      </c>
      <c r="C3209" s="3">
        <v>50</v>
      </c>
      <c r="D3209" s="46" t="str">
        <f>IF(Tabla1[[#This Row],[EDAD]]&lt;=35,"Adultos jóvenes 18 - 35 años",IF(C3209&gt;=36,"Adultos mayores 36 años en adelante"))</f>
        <v>Adultos mayores 36 años en adelante</v>
      </c>
      <c r="E3209" s="3" t="s">
        <v>5018</v>
      </c>
      <c r="F3209" s="3" t="s">
        <v>5024</v>
      </c>
      <c r="G3209" s="3" t="s">
        <v>5036</v>
      </c>
      <c r="H3209" s="3" t="s">
        <v>7601</v>
      </c>
      <c r="I3209" s="17">
        <v>45649</v>
      </c>
      <c r="J3209" s="18">
        <f>YEAR(Tabla1[[#This Row],[FECHA DE COMPRA]])</f>
        <v>2024</v>
      </c>
      <c r="K3209" s="19">
        <v>139.62</v>
      </c>
      <c r="L3209" s="20">
        <v>0.3</v>
      </c>
      <c r="M3209" s="19">
        <f>Tienda!$K2528-Tienda!$K2528*Tienda!$L2528</f>
        <v>91.31</v>
      </c>
      <c r="N3209" s="3" t="s">
        <v>10040</v>
      </c>
      <c r="O3209" s="3" t="s">
        <v>10042</v>
      </c>
      <c r="P3209" s="17">
        <v>45473</v>
      </c>
      <c r="Q3209" s="4">
        <v>6</v>
      </c>
    </row>
    <row r="3210" spans="1:17" ht="30" x14ac:dyDescent="0.25">
      <c r="A3210" s="2" t="s">
        <v>3275</v>
      </c>
      <c r="B3210" s="3" t="s">
        <v>5015</v>
      </c>
      <c r="C3210" s="3">
        <v>64</v>
      </c>
      <c r="D3210" s="46" t="str">
        <f>IF(Tabla1[[#This Row],[EDAD]]&lt;=35,"Adultos jóvenes 18 - 35 años",IF(C3210&gt;=36,"Adultos mayores 36 años en adelante"))</f>
        <v>Adultos mayores 36 años en adelante</v>
      </c>
      <c r="E3210" s="3" t="s">
        <v>5018</v>
      </c>
      <c r="F3210" s="3" t="s">
        <v>5025</v>
      </c>
      <c r="G3210" s="3" t="s">
        <v>5033</v>
      </c>
      <c r="H3210" s="3" t="s">
        <v>8298</v>
      </c>
      <c r="I3210" s="17">
        <v>45448</v>
      </c>
      <c r="J3210" s="18">
        <f>YEAR(Tabla1[[#This Row],[FECHA DE COMPRA]])</f>
        <v>2024</v>
      </c>
      <c r="K3210" s="19">
        <v>140.37</v>
      </c>
      <c r="L3210" s="20">
        <v>0.3</v>
      </c>
      <c r="M3210" s="19">
        <f>Tienda!$K2535-Tienda!$K2535*Tienda!$L2535</f>
        <v>77.924000000000007</v>
      </c>
      <c r="N3210" s="3" t="s">
        <v>10040</v>
      </c>
      <c r="O3210" s="3" t="s">
        <v>10042</v>
      </c>
      <c r="P3210" s="17">
        <v>45538</v>
      </c>
      <c r="Q3210" s="4">
        <v>3</v>
      </c>
    </row>
    <row r="3211" spans="1:17" ht="30" x14ac:dyDescent="0.25">
      <c r="A3211" s="2" t="s">
        <v>632</v>
      </c>
      <c r="B3211" s="3" t="s">
        <v>5015</v>
      </c>
      <c r="C3211" s="3">
        <v>51</v>
      </c>
      <c r="D3211" s="46" t="str">
        <f>IF(Tabla1[[#This Row],[EDAD]]&lt;=35,"Adultos jóvenes 18 - 35 años",IF(C3211&gt;=36,"Adultos mayores 36 años en adelante"))</f>
        <v>Adultos mayores 36 años en adelante</v>
      </c>
      <c r="E3211" s="3" t="s">
        <v>5019</v>
      </c>
      <c r="F3211" s="3" t="s">
        <v>5027</v>
      </c>
      <c r="G3211" s="3" t="s">
        <v>5035</v>
      </c>
      <c r="H3211" s="3" t="s">
        <v>5655</v>
      </c>
      <c r="I3211" s="17">
        <v>45350</v>
      </c>
      <c r="J3211" s="18">
        <f>YEAR(Tabla1[[#This Row],[FECHA DE COMPRA]])</f>
        <v>2024</v>
      </c>
      <c r="K3211" s="19">
        <v>99.03</v>
      </c>
      <c r="L3211" s="20">
        <v>0</v>
      </c>
      <c r="M3211" s="19">
        <f>Tienda!$K2542-Tienda!$K2542*Tienda!$L2542</f>
        <v>107.80799999999999</v>
      </c>
      <c r="N3211" s="3" t="s">
        <v>10040</v>
      </c>
      <c r="O3211" s="3" t="s">
        <v>10042</v>
      </c>
      <c r="P3211" s="17">
        <v>45710</v>
      </c>
      <c r="Q3211" s="4">
        <v>12</v>
      </c>
    </row>
    <row r="3212" spans="1:17" ht="30" x14ac:dyDescent="0.25">
      <c r="A3212" s="2" t="s">
        <v>3922</v>
      </c>
      <c r="B3212" s="3" t="s">
        <v>5015</v>
      </c>
      <c r="C3212" s="3">
        <v>44</v>
      </c>
      <c r="D3212" s="46" t="str">
        <f>IF(Tabla1[[#This Row],[EDAD]]&lt;=35,"Adultos jóvenes 18 - 35 años",IF(C3212&gt;=36,"Adultos mayores 36 años en adelante"))</f>
        <v>Adultos mayores 36 años en adelante</v>
      </c>
      <c r="E3212" s="3" t="s">
        <v>5018</v>
      </c>
      <c r="F3212" s="3" t="s">
        <v>5027</v>
      </c>
      <c r="G3212" s="3" t="s">
        <v>5035</v>
      </c>
      <c r="H3212" s="3" t="s">
        <v>8945</v>
      </c>
      <c r="I3212" s="17">
        <v>45436</v>
      </c>
      <c r="J3212" s="18">
        <f>YEAR(Tabla1[[#This Row],[FECHA DE COMPRA]])</f>
        <v>2024</v>
      </c>
      <c r="K3212" s="19">
        <v>142.01</v>
      </c>
      <c r="L3212" s="20">
        <v>0.3</v>
      </c>
      <c r="M3212" s="19">
        <f>Tienda!$K2543-Tienda!$K2543*Tienda!$L2543</f>
        <v>113.16800000000001</v>
      </c>
      <c r="N3212" s="3" t="s">
        <v>10040</v>
      </c>
      <c r="O3212" s="3" t="s">
        <v>10042</v>
      </c>
      <c r="P3212" s="17">
        <v>45796</v>
      </c>
      <c r="Q3212" s="4">
        <v>12</v>
      </c>
    </row>
    <row r="3213" spans="1:17" ht="30" x14ac:dyDescent="0.25">
      <c r="A3213" s="2" t="s">
        <v>4494</v>
      </c>
      <c r="B3213" s="3" t="s">
        <v>5015</v>
      </c>
      <c r="C3213" s="3">
        <v>38</v>
      </c>
      <c r="D3213" s="46" t="str">
        <f>IF(Tabla1[[#This Row],[EDAD]]&lt;=35,"Adultos jóvenes 18 - 35 años",IF(C3213&gt;=36,"Adultos mayores 36 años en adelante"))</f>
        <v>Adultos mayores 36 años en adelante</v>
      </c>
      <c r="E3213" s="3" t="s">
        <v>5023</v>
      </c>
      <c r="F3213" s="3" t="s">
        <v>5028</v>
      </c>
      <c r="G3213" s="3" t="s">
        <v>5031</v>
      </c>
      <c r="H3213" s="3" t="s">
        <v>9517</v>
      </c>
      <c r="I3213" s="17">
        <v>45575</v>
      </c>
      <c r="J3213" s="18">
        <f>YEAR(Tabla1[[#This Row],[FECHA DE COMPRA]])</f>
        <v>2024</v>
      </c>
      <c r="K3213" s="19">
        <v>99.82</v>
      </c>
      <c r="L3213" s="20">
        <v>0</v>
      </c>
      <c r="M3213" s="19">
        <f>Tienda!$K2547-Tienda!$K2547*Tienda!$L2547</f>
        <v>153.76</v>
      </c>
      <c r="N3213" s="3" t="s">
        <v>10040</v>
      </c>
      <c r="O3213" s="3" t="s">
        <v>10042</v>
      </c>
      <c r="P3213" s="17">
        <v>45755</v>
      </c>
      <c r="Q3213" s="4">
        <v>6</v>
      </c>
    </row>
    <row r="3214" spans="1:17" ht="30" x14ac:dyDescent="0.25">
      <c r="A3214" s="2" t="s">
        <v>2488</v>
      </c>
      <c r="B3214" s="3" t="s">
        <v>5015</v>
      </c>
      <c r="C3214" s="3">
        <v>37</v>
      </c>
      <c r="D3214" s="46" t="str">
        <f>IF(Tabla1[[#This Row],[EDAD]]&lt;=35,"Adultos jóvenes 18 - 35 años",IF(C3214&gt;=36,"Adultos mayores 36 años en adelante"))</f>
        <v>Adultos mayores 36 años en adelante</v>
      </c>
      <c r="E3214" s="3" t="s">
        <v>5021</v>
      </c>
      <c r="F3214" s="3" t="s">
        <v>5026</v>
      </c>
      <c r="G3214" s="3" t="s">
        <v>5037</v>
      </c>
      <c r="H3214" s="3" t="s">
        <v>7511</v>
      </c>
      <c r="I3214" s="17">
        <v>45653</v>
      </c>
      <c r="J3214" s="18">
        <f>YEAR(Tabla1[[#This Row],[FECHA DE COMPRA]])</f>
        <v>2024</v>
      </c>
      <c r="K3214" s="19">
        <v>100.09</v>
      </c>
      <c r="L3214" s="20">
        <v>0</v>
      </c>
      <c r="M3214" s="19">
        <f>Tienda!$K2553-Tienda!$K2553*Tienda!$L2553</f>
        <v>149.72400000000002</v>
      </c>
      <c r="N3214" s="3" t="s">
        <v>10040</v>
      </c>
      <c r="O3214" s="3" t="s">
        <v>10042</v>
      </c>
      <c r="P3214" s="17">
        <v>46013</v>
      </c>
      <c r="Q3214" s="4">
        <v>12</v>
      </c>
    </row>
    <row r="3215" spans="1:17" ht="30" x14ac:dyDescent="0.25">
      <c r="A3215" s="2" t="s">
        <v>1814</v>
      </c>
      <c r="B3215" s="3" t="s">
        <v>5015</v>
      </c>
      <c r="C3215" s="3">
        <v>65</v>
      </c>
      <c r="D3215" s="46" t="str">
        <f>IF(Tabla1[[#This Row],[EDAD]]&lt;=35,"Adultos jóvenes 18 - 35 años",IF(C3215&gt;=36,"Adultos mayores 36 años en adelante"))</f>
        <v>Adultos mayores 36 años en adelante</v>
      </c>
      <c r="E3215" s="3" t="s">
        <v>5019</v>
      </c>
      <c r="F3215" s="3" t="s">
        <v>5030</v>
      </c>
      <c r="G3215" s="3" t="s">
        <v>5032</v>
      </c>
      <c r="H3215" s="3" t="s">
        <v>6837</v>
      </c>
      <c r="I3215" s="17">
        <v>45635</v>
      </c>
      <c r="J3215" s="18">
        <f>YEAR(Tabla1[[#This Row],[FECHA DE COMPRA]])</f>
        <v>2024</v>
      </c>
      <c r="K3215" s="19">
        <v>100.12</v>
      </c>
      <c r="L3215" s="20">
        <v>0</v>
      </c>
      <c r="M3215" s="19">
        <f>Tienda!$K2554-Tienda!$K2554*Tienda!$L2554</f>
        <v>166.96</v>
      </c>
      <c r="N3215" s="3" t="s">
        <v>10040</v>
      </c>
      <c r="O3215" s="3" t="s">
        <v>10042</v>
      </c>
      <c r="P3215" s="17">
        <v>45727</v>
      </c>
      <c r="Q3215" s="4">
        <v>9</v>
      </c>
    </row>
    <row r="3216" spans="1:17" ht="30" x14ac:dyDescent="0.25">
      <c r="A3216" s="2" t="s">
        <v>978</v>
      </c>
      <c r="B3216" s="3" t="s">
        <v>5015</v>
      </c>
      <c r="C3216" s="3">
        <v>44</v>
      </c>
      <c r="D3216" s="46" t="str">
        <f>IF(Tabla1[[#This Row],[EDAD]]&lt;=35,"Adultos jóvenes 18 - 35 años",IF(C3216&gt;=36,"Adultos mayores 36 años en adelante"))</f>
        <v>Adultos mayores 36 años en adelante</v>
      </c>
      <c r="E3216" s="3" t="s">
        <v>5022</v>
      </c>
      <c r="F3216" s="3" t="s">
        <v>5030</v>
      </c>
      <c r="G3216" s="3" t="s">
        <v>5037</v>
      </c>
      <c r="H3216" s="3" t="s">
        <v>6001</v>
      </c>
      <c r="I3216" s="17">
        <v>45410</v>
      </c>
      <c r="J3216" s="18">
        <f>YEAR(Tabla1[[#This Row],[FECHA DE COMPRA]])</f>
        <v>2024</v>
      </c>
      <c r="K3216" s="19">
        <v>125.18</v>
      </c>
      <c r="L3216" s="20">
        <v>0.2</v>
      </c>
      <c r="M3216" s="19">
        <f>Tienda!$K2555-Tienda!$K2555*Tienda!$L2555</f>
        <v>134.328</v>
      </c>
      <c r="N3216" s="3" t="s">
        <v>10040</v>
      </c>
      <c r="O3216" s="3" t="s">
        <v>10042</v>
      </c>
      <c r="P3216" s="17">
        <v>45680</v>
      </c>
      <c r="Q3216" s="4">
        <v>9</v>
      </c>
    </row>
    <row r="3217" spans="1:17" ht="30" x14ac:dyDescent="0.25">
      <c r="A3217" s="2" t="s">
        <v>4388</v>
      </c>
      <c r="B3217" s="3" t="s">
        <v>5015</v>
      </c>
      <c r="C3217" s="3">
        <v>51</v>
      </c>
      <c r="D3217" s="46" t="str">
        <f>IF(Tabla1[[#This Row],[EDAD]]&lt;=35,"Adultos jóvenes 18 - 35 años",IF(C3217&gt;=36,"Adultos mayores 36 años en adelante"))</f>
        <v>Adultos mayores 36 años en adelante</v>
      </c>
      <c r="E3217" s="3" t="s">
        <v>5017</v>
      </c>
      <c r="F3217" s="3" t="s">
        <v>5025</v>
      </c>
      <c r="G3217" s="3" t="s">
        <v>5035</v>
      </c>
      <c r="H3217" s="3" t="s">
        <v>9411</v>
      </c>
      <c r="I3217" s="17">
        <v>45621</v>
      </c>
      <c r="J3217" s="18">
        <f>YEAR(Tabla1[[#This Row],[FECHA DE COMPRA]])</f>
        <v>2024</v>
      </c>
      <c r="K3217" s="19">
        <v>100.44</v>
      </c>
      <c r="L3217" s="20">
        <v>0</v>
      </c>
      <c r="M3217" s="19">
        <f>Tienda!$K2558-Tienda!$K2558*Tienda!$L2558</f>
        <v>163.548</v>
      </c>
      <c r="N3217" s="3" t="s">
        <v>10040</v>
      </c>
      <c r="O3217" s="3" t="s">
        <v>10042</v>
      </c>
      <c r="P3217" s="17">
        <v>45891</v>
      </c>
      <c r="Q3217" s="4">
        <v>9</v>
      </c>
    </row>
    <row r="3218" spans="1:17" ht="30" x14ac:dyDescent="0.25">
      <c r="A3218" s="2" t="s">
        <v>3131</v>
      </c>
      <c r="B3218" s="3" t="s">
        <v>5015</v>
      </c>
      <c r="C3218" s="3">
        <v>58</v>
      </c>
      <c r="D3218" s="46" t="str">
        <f>IF(Tabla1[[#This Row],[EDAD]]&lt;=35,"Adultos jóvenes 18 - 35 años",IF(C3218&gt;=36,"Adultos mayores 36 años en adelante"))</f>
        <v>Adultos mayores 36 años en adelante</v>
      </c>
      <c r="E3218" s="3" t="s">
        <v>5020</v>
      </c>
      <c r="F3218" s="3" t="s">
        <v>5025</v>
      </c>
      <c r="G3218" s="3" t="s">
        <v>5032</v>
      </c>
      <c r="H3218" s="3" t="s">
        <v>8154</v>
      </c>
      <c r="I3218" s="17">
        <v>45339</v>
      </c>
      <c r="J3218" s="18">
        <f>YEAR(Tabla1[[#This Row],[FECHA DE COMPRA]])</f>
        <v>2024</v>
      </c>
      <c r="K3218" s="19">
        <v>101.09</v>
      </c>
      <c r="L3218" s="20">
        <v>0</v>
      </c>
      <c r="M3218" s="19">
        <f>Tienda!$K2563-Tienda!$K2563*Tienda!$L2563</f>
        <v>10.76</v>
      </c>
      <c r="N3218" s="3" t="s">
        <v>10040</v>
      </c>
      <c r="O3218" s="3" t="s">
        <v>10042</v>
      </c>
      <c r="P3218" s="17">
        <v>45519</v>
      </c>
      <c r="Q3218" s="4">
        <v>6</v>
      </c>
    </row>
    <row r="3219" spans="1:17" ht="30" x14ac:dyDescent="0.25">
      <c r="A3219" s="2" t="s">
        <v>1881</v>
      </c>
      <c r="B3219" s="3" t="s">
        <v>5015</v>
      </c>
      <c r="C3219" s="3">
        <v>48</v>
      </c>
      <c r="D3219" s="46" t="str">
        <f>IF(Tabla1[[#This Row],[EDAD]]&lt;=35,"Adultos jóvenes 18 - 35 años",IF(C3219&gt;=36,"Adultos mayores 36 años en adelante"))</f>
        <v>Adultos mayores 36 años en adelante</v>
      </c>
      <c r="E3219" s="3" t="s">
        <v>5023</v>
      </c>
      <c r="F3219" s="3" t="s">
        <v>5028</v>
      </c>
      <c r="G3219" s="3" t="s">
        <v>5031</v>
      </c>
      <c r="H3219" s="3" t="s">
        <v>6904</v>
      </c>
      <c r="I3219" s="17">
        <v>45311</v>
      </c>
      <c r="J3219" s="18">
        <f>YEAR(Tabla1[[#This Row],[FECHA DE COMPRA]])</f>
        <v>2024</v>
      </c>
      <c r="K3219" s="19">
        <v>145.09</v>
      </c>
      <c r="L3219" s="20">
        <v>0.3</v>
      </c>
      <c r="M3219" s="19">
        <f>Tienda!$K2574-Tienda!$K2574*Tienda!$L2574</f>
        <v>57.978000000000002</v>
      </c>
      <c r="N3219" s="3" t="s">
        <v>10040</v>
      </c>
      <c r="O3219" s="3" t="s">
        <v>10042</v>
      </c>
      <c r="P3219" s="17">
        <v>45581</v>
      </c>
      <c r="Q3219" s="4">
        <v>9</v>
      </c>
    </row>
    <row r="3220" spans="1:17" ht="30" x14ac:dyDescent="0.25">
      <c r="A3220" s="2" t="s">
        <v>3354</v>
      </c>
      <c r="B3220" s="3" t="s">
        <v>5015</v>
      </c>
      <c r="C3220" s="3">
        <v>57</v>
      </c>
      <c r="D3220" s="46" t="str">
        <f>IF(Tabla1[[#This Row],[EDAD]]&lt;=35,"Adultos jóvenes 18 - 35 años",IF(C3220&gt;=36,"Adultos mayores 36 años en adelante"))</f>
        <v>Adultos mayores 36 años en adelante</v>
      </c>
      <c r="E3220" s="3" t="s">
        <v>5020</v>
      </c>
      <c r="F3220" s="3" t="s">
        <v>5030</v>
      </c>
      <c r="G3220" s="3" t="s">
        <v>5035</v>
      </c>
      <c r="H3220" s="3" t="s">
        <v>8377</v>
      </c>
      <c r="I3220" s="17">
        <v>45649</v>
      </c>
      <c r="J3220" s="18">
        <f>YEAR(Tabla1[[#This Row],[FECHA DE COMPRA]])</f>
        <v>2024</v>
      </c>
      <c r="K3220" s="19">
        <v>113.12</v>
      </c>
      <c r="L3220" s="20">
        <v>0.1</v>
      </c>
      <c r="M3220" s="19">
        <f>Tienda!$K2575-Tienda!$K2575*Tienda!$L2575</f>
        <v>68.83</v>
      </c>
      <c r="N3220" s="3" t="s">
        <v>10040</v>
      </c>
      <c r="O3220" s="3" t="s">
        <v>10042</v>
      </c>
      <c r="P3220" s="17">
        <v>45575</v>
      </c>
      <c r="Q3220" s="4">
        <v>9</v>
      </c>
    </row>
    <row r="3221" spans="1:17" ht="30" x14ac:dyDescent="0.25">
      <c r="A3221" s="2" t="s">
        <v>41</v>
      </c>
      <c r="B3221" s="3" t="s">
        <v>5015</v>
      </c>
      <c r="C3221" s="3">
        <v>61</v>
      </c>
      <c r="D3221" s="46" t="str">
        <f>IF(Tabla1[[#This Row],[EDAD]]&lt;=35,"Adultos jóvenes 18 - 35 años",IF(C3221&gt;=36,"Adultos mayores 36 años en adelante"))</f>
        <v>Adultos mayores 36 años en adelante</v>
      </c>
      <c r="E3221" s="3" t="s">
        <v>5017</v>
      </c>
      <c r="F3221" s="3" t="s">
        <v>5028</v>
      </c>
      <c r="G3221" s="3" t="s">
        <v>5036</v>
      </c>
      <c r="H3221" s="3" t="s">
        <v>5064</v>
      </c>
      <c r="I3221" s="17">
        <v>45635</v>
      </c>
      <c r="J3221" s="18">
        <f>YEAR(Tabla1[[#This Row],[FECHA DE COMPRA]])</f>
        <v>2024</v>
      </c>
      <c r="K3221" s="19">
        <v>113.86</v>
      </c>
      <c r="L3221" s="20">
        <v>0.1</v>
      </c>
      <c r="M3221" s="19">
        <f>Tienda!$K2583-Tienda!$K2583*Tienda!$L2583</f>
        <v>67.2</v>
      </c>
      <c r="N3221" s="3" t="s">
        <v>10040</v>
      </c>
      <c r="O3221" s="3" t="s">
        <v>10042</v>
      </c>
      <c r="P3221" s="17">
        <v>45817</v>
      </c>
      <c r="Q3221" s="4">
        <v>12</v>
      </c>
    </row>
    <row r="3222" spans="1:17" ht="30" x14ac:dyDescent="0.25">
      <c r="A3222" s="2" t="s">
        <v>4363</v>
      </c>
      <c r="B3222" s="3" t="s">
        <v>5015</v>
      </c>
      <c r="C3222" s="3">
        <v>39</v>
      </c>
      <c r="D3222" s="46" t="str">
        <f>IF(Tabla1[[#This Row],[EDAD]]&lt;=35,"Adultos jóvenes 18 - 35 años",IF(C3222&gt;=36,"Adultos mayores 36 años en adelante"))</f>
        <v>Adultos mayores 36 años en adelante</v>
      </c>
      <c r="E3222" s="3" t="s">
        <v>5022</v>
      </c>
      <c r="F3222" s="3" t="s">
        <v>5029</v>
      </c>
      <c r="G3222" s="3" t="s">
        <v>5034</v>
      </c>
      <c r="H3222" s="3" t="s">
        <v>9386</v>
      </c>
      <c r="I3222" s="17">
        <v>45573</v>
      </c>
      <c r="J3222" s="18">
        <f>YEAR(Tabla1[[#This Row],[FECHA DE COMPRA]])</f>
        <v>2024</v>
      </c>
      <c r="K3222" s="19">
        <v>102.6</v>
      </c>
      <c r="L3222" s="20">
        <v>0</v>
      </c>
      <c r="M3222" s="19">
        <f>Tienda!$K2586-Tienda!$K2586*Tienda!$L2586</f>
        <v>116.01</v>
      </c>
      <c r="N3222" s="3" t="s">
        <v>10040</v>
      </c>
      <c r="O3222" s="3" t="s">
        <v>10042</v>
      </c>
      <c r="P3222" s="17">
        <v>45933</v>
      </c>
      <c r="Q3222" s="4">
        <v>12</v>
      </c>
    </row>
    <row r="3223" spans="1:17" ht="30" x14ac:dyDescent="0.25">
      <c r="A3223" s="2" t="s">
        <v>4731</v>
      </c>
      <c r="B3223" s="3" t="s">
        <v>5015</v>
      </c>
      <c r="C3223" s="3">
        <v>44</v>
      </c>
      <c r="D3223" s="46" t="str">
        <f>IF(Tabla1[[#This Row],[EDAD]]&lt;=35,"Adultos jóvenes 18 - 35 años",IF(C3223&gt;=36,"Adultos mayores 36 años en adelante"))</f>
        <v>Adultos mayores 36 años en adelante</v>
      </c>
      <c r="E3223" s="3" t="s">
        <v>5018</v>
      </c>
      <c r="F3223" s="3" t="s">
        <v>5030</v>
      </c>
      <c r="G3223" s="3" t="s">
        <v>5033</v>
      </c>
      <c r="H3223" s="3" t="s">
        <v>9754</v>
      </c>
      <c r="I3223" s="17">
        <v>45541</v>
      </c>
      <c r="J3223" s="18">
        <f>YEAR(Tabla1[[#This Row],[FECHA DE COMPRA]])</f>
        <v>2024</v>
      </c>
      <c r="K3223" s="19">
        <v>114.19</v>
      </c>
      <c r="L3223" s="20">
        <v>0.1</v>
      </c>
      <c r="M3223" s="19">
        <f>Tienda!$K2589-Tienda!$K2589*Tienda!$L2589</f>
        <v>108.73599999999999</v>
      </c>
      <c r="N3223" s="3" t="s">
        <v>10040</v>
      </c>
      <c r="O3223" s="3" t="s">
        <v>10042</v>
      </c>
      <c r="P3223" s="17">
        <v>45901</v>
      </c>
      <c r="Q3223" s="4">
        <v>12</v>
      </c>
    </row>
    <row r="3224" spans="1:17" ht="30" x14ac:dyDescent="0.25">
      <c r="A3224" s="2" t="s">
        <v>4277</v>
      </c>
      <c r="B3224" s="3" t="s">
        <v>5015</v>
      </c>
      <c r="C3224" s="3">
        <v>39</v>
      </c>
      <c r="D3224" s="46" t="str">
        <f>IF(Tabla1[[#This Row],[EDAD]]&lt;=35,"Adultos jóvenes 18 - 35 años",IF(C3224&gt;=36,"Adultos mayores 36 años en adelante"))</f>
        <v>Adultos mayores 36 años en adelante</v>
      </c>
      <c r="E3224" s="3" t="s">
        <v>5018</v>
      </c>
      <c r="F3224" s="3" t="s">
        <v>5030</v>
      </c>
      <c r="G3224" s="3" t="s">
        <v>5036</v>
      </c>
      <c r="H3224" s="3" t="s">
        <v>9300</v>
      </c>
      <c r="I3224" s="17">
        <v>45519</v>
      </c>
      <c r="J3224" s="18">
        <f>YEAR(Tabla1[[#This Row],[FECHA DE COMPRA]])</f>
        <v>2024</v>
      </c>
      <c r="K3224" s="19">
        <v>115.43</v>
      </c>
      <c r="L3224" s="20">
        <v>0.1</v>
      </c>
      <c r="M3224" s="19">
        <f>Tienda!$K2593-Tienda!$K2593*Tienda!$L2593</f>
        <v>104.559</v>
      </c>
      <c r="N3224" s="3" t="s">
        <v>10040</v>
      </c>
      <c r="O3224" s="3" t="s">
        <v>10042</v>
      </c>
      <c r="P3224" s="17">
        <v>45609</v>
      </c>
      <c r="Q3224" s="4">
        <v>3</v>
      </c>
    </row>
    <row r="3225" spans="1:17" ht="30" x14ac:dyDescent="0.25">
      <c r="A3225" s="2" t="s">
        <v>1255</v>
      </c>
      <c r="B3225" s="3" t="s">
        <v>5015</v>
      </c>
      <c r="C3225" s="3">
        <v>55</v>
      </c>
      <c r="D3225" s="46" t="str">
        <f>IF(Tabla1[[#This Row],[EDAD]]&lt;=35,"Adultos jóvenes 18 - 35 años",IF(C3225&gt;=36,"Adultos mayores 36 años en adelante"))</f>
        <v>Adultos mayores 36 años en adelante</v>
      </c>
      <c r="E3225" s="3" t="s">
        <v>5017</v>
      </c>
      <c r="F3225" s="3" t="s">
        <v>5030</v>
      </c>
      <c r="G3225" s="3" t="s">
        <v>5031</v>
      </c>
      <c r="H3225" s="3" t="s">
        <v>6278</v>
      </c>
      <c r="I3225" s="17">
        <v>45527</v>
      </c>
      <c r="J3225" s="18">
        <f>YEAR(Tabla1[[#This Row],[FECHA DE COMPRA]])</f>
        <v>2024</v>
      </c>
      <c r="K3225" s="19">
        <v>104.07</v>
      </c>
      <c r="L3225" s="20">
        <v>0</v>
      </c>
      <c r="M3225" s="19">
        <f>Tienda!$K2596-Tienda!$K2596*Tienda!$L2596</f>
        <v>162.43</v>
      </c>
      <c r="N3225" s="3" t="s">
        <v>10040</v>
      </c>
      <c r="O3225" s="3" t="s">
        <v>10042</v>
      </c>
      <c r="P3225" s="17">
        <v>45707</v>
      </c>
      <c r="Q3225" s="4">
        <v>6</v>
      </c>
    </row>
    <row r="3226" spans="1:17" ht="30" x14ac:dyDescent="0.25">
      <c r="A3226" s="2" t="s">
        <v>2042</v>
      </c>
      <c r="B3226" s="3" t="s">
        <v>5015</v>
      </c>
      <c r="C3226" s="3">
        <v>44</v>
      </c>
      <c r="D3226" s="46" t="str">
        <f>IF(Tabla1[[#This Row],[EDAD]]&lt;=35,"Adultos jóvenes 18 - 35 años",IF(C3226&gt;=36,"Adultos mayores 36 años en adelante"))</f>
        <v>Adultos mayores 36 años en adelante</v>
      </c>
      <c r="E3226" s="3" t="s">
        <v>5023</v>
      </c>
      <c r="F3226" s="3" t="s">
        <v>5030</v>
      </c>
      <c r="G3226" s="3" t="s">
        <v>5034</v>
      </c>
      <c r="H3226" s="3" t="s">
        <v>7065</v>
      </c>
      <c r="I3226" s="17">
        <v>45430</v>
      </c>
      <c r="J3226" s="18">
        <f>YEAR(Tabla1[[#This Row],[FECHA DE COMPRA]])</f>
        <v>2024</v>
      </c>
      <c r="K3226" s="19">
        <v>131.66999999999999</v>
      </c>
      <c r="L3226" s="20">
        <v>0.2</v>
      </c>
      <c r="M3226" s="19">
        <f>Tienda!$K2602-Tienda!$K2602*Tienda!$L2602</f>
        <v>143.04000000000002</v>
      </c>
      <c r="N3226" s="3" t="s">
        <v>10040</v>
      </c>
      <c r="O3226" s="3" t="s">
        <v>10042</v>
      </c>
      <c r="P3226" s="17">
        <v>45520</v>
      </c>
      <c r="Q3226" s="4">
        <v>3</v>
      </c>
    </row>
    <row r="3227" spans="1:17" ht="30" x14ac:dyDescent="0.25">
      <c r="A3227" s="2" t="s">
        <v>4626</v>
      </c>
      <c r="B3227" s="3" t="s">
        <v>5015</v>
      </c>
      <c r="C3227" s="3">
        <v>40</v>
      </c>
      <c r="D3227" s="46" t="str">
        <f>IF(Tabla1[[#This Row],[EDAD]]&lt;=35,"Adultos jóvenes 18 - 35 años",IF(C3227&gt;=36,"Adultos mayores 36 años en adelante"))</f>
        <v>Adultos mayores 36 años en adelante</v>
      </c>
      <c r="E3227" s="3" t="s">
        <v>5022</v>
      </c>
      <c r="F3227" s="3" t="s">
        <v>5030</v>
      </c>
      <c r="G3227" s="3" t="s">
        <v>5034</v>
      </c>
      <c r="H3227" s="3" t="s">
        <v>9649</v>
      </c>
      <c r="I3227" s="17">
        <v>45624</v>
      </c>
      <c r="J3227" s="18">
        <f>YEAR(Tabla1[[#This Row],[FECHA DE COMPRA]])</f>
        <v>2024</v>
      </c>
      <c r="K3227" s="19">
        <v>151.19</v>
      </c>
      <c r="L3227" s="20">
        <v>0.3</v>
      </c>
      <c r="M3227" s="19">
        <f>Tienda!$K2605-Tienda!$K2605*Tienda!$L2605</f>
        <v>195.27</v>
      </c>
      <c r="N3227" s="3" t="s">
        <v>10040</v>
      </c>
      <c r="O3227" s="3" t="s">
        <v>10042</v>
      </c>
      <c r="P3227" s="17">
        <v>45860</v>
      </c>
      <c r="Q3227" s="4">
        <v>12</v>
      </c>
    </row>
    <row r="3228" spans="1:17" ht="30" x14ac:dyDescent="0.25">
      <c r="A3228" s="2" t="s">
        <v>1646</v>
      </c>
      <c r="B3228" s="3" t="s">
        <v>5015</v>
      </c>
      <c r="C3228" s="3">
        <v>45</v>
      </c>
      <c r="D3228" s="46" t="str">
        <f>IF(Tabla1[[#This Row],[EDAD]]&lt;=35,"Adultos jóvenes 18 - 35 años",IF(C3228&gt;=36,"Adultos mayores 36 años en adelante"))</f>
        <v>Adultos mayores 36 años en adelante</v>
      </c>
      <c r="E3228" s="3" t="s">
        <v>5017</v>
      </c>
      <c r="F3228" s="3" t="s">
        <v>5029</v>
      </c>
      <c r="G3228" s="3" t="s">
        <v>5035</v>
      </c>
      <c r="H3228" s="3" t="s">
        <v>6669</v>
      </c>
      <c r="I3228" s="17">
        <v>45653</v>
      </c>
      <c r="J3228" s="18">
        <f>YEAR(Tabla1[[#This Row],[FECHA DE COMPRA]])</f>
        <v>2024</v>
      </c>
      <c r="K3228" s="19">
        <v>152.12</v>
      </c>
      <c r="L3228" s="20">
        <v>0.3</v>
      </c>
      <c r="M3228" s="19">
        <f>Tienda!$K2610-Tienda!$K2610*Tienda!$L2610</f>
        <v>18.710999999999999</v>
      </c>
      <c r="N3228" s="3" t="s">
        <v>10040</v>
      </c>
      <c r="O3228" s="3" t="s">
        <v>10042</v>
      </c>
      <c r="P3228" s="17">
        <v>46013</v>
      </c>
      <c r="Q3228" s="4">
        <v>12</v>
      </c>
    </row>
    <row r="3229" spans="1:17" ht="30" x14ac:dyDescent="0.25">
      <c r="A3229" s="2" t="s">
        <v>1914</v>
      </c>
      <c r="B3229" s="3" t="s">
        <v>5016</v>
      </c>
      <c r="C3229" s="3">
        <v>61</v>
      </c>
      <c r="D3229" s="46" t="str">
        <f>IF(Tabla1[[#This Row],[EDAD]]&lt;=35,"Adultos jóvenes 18 - 35 años",IF(C3229&gt;=36,"Adultos mayores 36 años en adelante"))</f>
        <v>Adultos mayores 36 años en adelante</v>
      </c>
      <c r="E3229" s="3" t="s">
        <v>5017</v>
      </c>
      <c r="F3229" s="3" t="s">
        <v>5024</v>
      </c>
      <c r="G3229" s="3" t="s">
        <v>5031</v>
      </c>
      <c r="H3229" s="3" t="s">
        <v>6937</v>
      </c>
      <c r="I3229" s="17">
        <v>45497</v>
      </c>
      <c r="J3229" s="18">
        <f>YEAR(Tabla1[[#This Row],[FECHA DE COMPRA]])</f>
        <v>2024</v>
      </c>
      <c r="K3229" s="19">
        <v>135.43</v>
      </c>
      <c r="L3229" s="20">
        <v>0.2</v>
      </c>
      <c r="M3229" s="19">
        <f>Tienda!$K2630-Tienda!$K2630*Tienda!$L2630</f>
        <v>69.075000000000003</v>
      </c>
      <c r="N3229" s="3" t="s">
        <v>10040</v>
      </c>
      <c r="O3229" s="3" t="s">
        <v>10042</v>
      </c>
      <c r="P3229" s="17">
        <v>45587</v>
      </c>
      <c r="Q3229" s="4">
        <v>3</v>
      </c>
    </row>
    <row r="3230" spans="1:17" ht="30" x14ac:dyDescent="0.25">
      <c r="A3230" s="2" t="s">
        <v>4091</v>
      </c>
      <c r="B3230" s="3" t="s">
        <v>5016</v>
      </c>
      <c r="C3230" s="3">
        <v>58</v>
      </c>
      <c r="D3230" s="46" t="str">
        <f>IF(Tabla1[[#This Row],[EDAD]]&lt;=35,"Adultos jóvenes 18 - 35 años",IF(C3230&gt;=36,"Adultos mayores 36 años en adelante"))</f>
        <v>Adultos mayores 36 años en adelante</v>
      </c>
      <c r="E3230" s="3" t="s">
        <v>5017</v>
      </c>
      <c r="F3230" s="3" t="s">
        <v>5030</v>
      </c>
      <c r="G3230" s="3" t="s">
        <v>5036</v>
      </c>
      <c r="H3230" s="3" t="s">
        <v>9114</v>
      </c>
      <c r="I3230" s="17">
        <v>45649</v>
      </c>
      <c r="J3230" s="18">
        <f>YEAR(Tabla1[[#This Row],[FECHA DE COMPRA]])</f>
        <v>2024</v>
      </c>
      <c r="K3230" s="19">
        <v>135.63999999999999</v>
      </c>
      <c r="L3230" s="20">
        <v>0.2</v>
      </c>
      <c r="M3230" s="19">
        <f>Tienda!$K2632-Tienda!$K2632*Tienda!$L2632</f>
        <v>69.984000000000009</v>
      </c>
      <c r="N3230" s="3" t="s">
        <v>10040</v>
      </c>
      <c r="O3230" s="3" t="s">
        <v>10042</v>
      </c>
      <c r="P3230" s="17">
        <v>45567</v>
      </c>
      <c r="Q3230" s="4">
        <v>9</v>
      </c>
    </row>
    <row r="3231" spans="1:17" ht="30" x14ac:dyDescent="0.25">
      <c r="A3231" s="2" t="s">
        <v>3878</v>
      </c>
      <c r="B3231" s="3" t="s">
        <v>5015</v>
      </c>
      <c r="C3231" s="3">
        <v>45</v>
      </c>
      <c r="D3231" s="46" t="str">
        <f>IF(Tabla1[[#This Row],[EDAD]]&lt;=35,"Adultos jóvenes 18 - 35 años",IF(C3231&gt;=36,"Adultos mayores 36 años en adelante"))</f>
        <v>Adultos mayores 36 años en adelante</v>
      </c>
      <c r="E3231" s="3" t="s">
        <v>5020</v>
      </c>
      <c r="F3231" s="3" t="s">
        <v>5026</v>
      </c>
      <c r="G3231" s="3" t="s">
        <v>5037</v>
      </c>
      <c r="H3231" s="3" t="s">
        <v>8901</v>
      </c>
      <c r="I3231" s="17">
        <v>45436</v>
      </c>
      <c r="J3231" s="18">
        <f>YEAR(Tabla1[[#This Row],[FECHA DE COMPRA]])</f>
        <v>2024</v>
      </c>
      <c r="K3231" s="19">
        <v>156.29</v>
      </c>
      <c r="L3231" s="20">
        <v>0.3</v>
      </c>
      <c r="M3231" s="19">
        <f>Tienda!$K2636-Tienda!$K2636*Tienda!$L2636</f>
        <v>85.74</v>
      </c>
      <c r="N3231" s="3" t="s">
        <v>10040</v>
      </c>
      <c r="O3231" s="3" t="s">
        <v>10042</v>
      </c>
      <c r="P3231" s="17">
        <v>45616</v>
      </c>
      <c r="Q3231" s="4">
        <v>6</v>
      </c>
    </row>
    <row r="3232" spans="1:17" ht="30" x14ac:dyDescent="0.25">
      <c r="A3232" s="2" t="s">
        <v>2364</v>
      </c>
      <c r="B3232" s="3" t="s">
        <v>5015</v>
      </c>
      <c r="C3232" s="3">
        <v>42</v>
      </c>
      <c r="D3232" s="46" t="str">
        <f>IF(Tabla1[[#This Row],[EDAD]]&lt;=35,"Adultos jóvenes 18 - 35 años",IF(C3232&gt;=36,"Adultos mayores 36 años en adelante"))</f>
        <v>Adultos mayores 36 años en adelante</v>
      </c>
      <c r="E3232" s="3" t="s">
        <v>5018</v>
      </c>
      <c r="F3232" s="3" t="s">
        <v>5027</v>
      </c>
      <c r="G3232" s="3" t="s">
        <v>5037</v>
      </c>
      <c r="H3232" s="3" t="s">
        <v>7387</v>
      </c>
      <c r="I3232" s="17">
        <v>45378</v>
      </c>
      <c r="J3232" s="18">
        <f>YEAR(Tabla1[[#This Row],[FECHA DE COMPRA]])</f>
        <v>2024</v>
      </c>
      <c r="K3232" s="19">
        <v>109.61</v>
      </c>
      <c r="L3232" s="20">
        <v>0</v>
      </c>
      <c r="M3232" s="19">
        <f>Tienda!$K2637-Tienda!$K2637*Tienda!$L2637</f>
        <v>60.459000000000003</v>
      </c>
      <c r="N3232" s="3" t="s">
        <v>10040</v>
      </c>
      <c r="O3232" s="3" t="s">
        <v>10042</v>
      </c>
      <c r="P3232" s="17">
        <v>45558</v>
      </c>
      <c r="Q3232" s="4">
        <v>6</v>
      </c>
    </row>
    <row r="3233" spans="1:17" ht="30" x14ac:dyDescent="0.25">
      <c r="A3233" s="2" t="s">
        <v>1208</v>
      </c>
      <c r="B3233" s="3" t="s">
        <v>5015</v>
      </c>
      <c r="C3233" s="3">
        <v>63</v>
      </c>
      <c r="D3233" s="46" t="str">
        <f>IF(Tabla1[[#This Row],[EDAD]]&lt;=35,"Adultos jóvenes 18 - 35 años",IF(C3233&gt;=36,"Adultos mayores 36 años en adelante"))</f>
        <v>Adultos mayores 36 años en adelante</v>
      </c>
      <c r="E3233" s="3" t="s">
        <v>5023</v>
      </c>
      <c r="F3233" s="3" t="s">
        <v>5027</v>
      </c>
      <c r="G3233" s="3" t="s">
        <v>5036</v>
      </c>
      <c r="H3233" s="3" t="s">
        <v>6231</v>
      </c>
      <c r="I3233" s="17">
        <v>45567</v>
      </c>
      <c r="J3233" s="18">
        <f>YEAR(Tabla1[[#This Row],[FECHA DE COMPRA]])</f>
        <v>2024</v>
      </c>
      <c r="K3233" s="19">
        <v>141.79</v>
      </c>
      <c r="L3233" s="20">
        <v>0.2</v>
      </c>
      <c r="M3233" s="19">
        <f>Tienda!$K2673-Tienda!$K2673*Tienda!$L2673</f>
        <v>17.25</v>
      </c>
      <c r="N3233" s="3" t="s">
        <v>10040</v>
      </c>
      <c r="O3233" s="3" t="s">
        <v>10042</v>
      </c>
      <c r="P3233" s="17">
        <v>45657</v>
      </c>
      <c r="Q3233" s="4">
        <v>3</v>
      </c>
    </row>
    <row r="3234" spans="1:17" ht="30" x14ac:dyDescent="0.25">
      <c r="A3234" s="2" t="s">
        <v>784</v>
      </c>
      <c r="B3234" s="3" t="s">
        <v>5015</v>
      </c>
      <c r="C3234" s="3">
        <v>62</v>
      </c>
      <c r="D3234" s="46" t="str">
        <f>IF(Tabla1[[#This Row],[EDAD]]&lt;=35,"Adultos jóvenes 18 - 35 años",IF(C3234&gt;=36,"Adultos mayores 36 años en adelante"))</f>
        <v>Adultos mayores 36 años en adelante</v>
      </c>
      <c r="E3234" s="3" t="s">
        <v>5017</v>
      </c>
      <c r="F3234" s="3" t="s">
        <v>5024</v>
      </c>
      <c r="G3234" s="3" t="s">
        <v>5032</v>
      </c>
      <c r="H3234" s="3" t="s">
        <v>5807</v>
      </c>
      <c r="I3234" s="17">
        <v>45504</v>
      </c>
      <c r="J3234" s="18">
        <f>YEAR(Tabla1[[#This Row],[FECHA DE COMPRA]])</f>
        <v>2024</v>
      </c>
      <c r="K3234" s="19">
        <v>164.12</v>
      </c>
      <c r="L3234" s="20">
        <v>0.3</v>
      </c>
      <c r="M3234" s="19">
        <f>Tienda!$K2682-Tienda!$K2682*Tienda!$L2682</f>
        <v>56.681999999999995</v>
      </c>
      <c r="N3234" s="3" t="s">
        <v>10040</v>
      </c>
      <c r="O3234" s="3" t="s">
        <v>10042</v>
      </c>
      <c r="P3234" s="17">
        <v>45864</v>
      </c>
      <c r="Q3234" s="4">
        <v>12</v>
      </c>
    </row>
    <row r="3235" spans="1:17" ht="30" x14ac:dyDescent="0.25">
      <c r="A3235" s="2" t="s">
        <v>4239</v>
      </c>
      <c r="B3235" s="3" t="s">
        <v>5015</v>
      </c>
      <c r="C3235" s="3">
        <v>46</v>
      </c>
      <c r="D3235" s="46" t="str">
        <f>IF(Tabla1[[#This Row],[EDAD]]&lt;=35,"Adultos jóvenes 18 - 35 años",IF(C3235&gt;=36,"Adultos mayores 36 años en adelante"))</f>
        <v>Adultos mayores 36 años en adelante</v>
      </c>
      <c r="E3235" s="3" t="s">
        <v>5017</v>
      </c>
      <c r="F3235" s="3" t="s">
        <v>5027</v>
      </c>
      <c r="G3235" s="3" t="s">
        <v>5034</v>
      </c>
      <c r="H3235" s="3" t="s">
        <v>9262</v>
      </c>
      <c r="I3235" s="17">
        <v>45505</v>
      </c>
      <c r="J3235" s="18">
        <f>YEAR(Tabla1[[#This Row],[FECHA DE COMPRA]])</f>
        <v>2024</v>
      </c>
      <c r="K3235" s="19">
        <v>144.11000000000001</v>
      </c>
      <c r="L3235" s="20">
        <v>0.2</v>
      </c>
      <c r="M3235" s="19">
        <f>Tienda!$K2685-Tienda!$K2685*Tienda!$L2685</f>
        <v>70.532000000000011</v>
      </c>
      <c r="N3235" s="3" t="s">
        <v>10040</v>
      </c>
      <c r="O3235" s="3" t="s">
        <v>10042</v>
      </c>
      <c r="P3235" s="17">
        <v>45595</v>
      </c>
      <c r="Q3235" s="4">
        <v>3</v>
      </c>
    </row>
    <row r="3236" spans="1:17" ht="30" x14ac:dyDescent="0.25">
      <c r="A3236" s="2" t="s">
        <v>2582</v>
      </c>
      <c r="B3236" s="3" t="s">
        <v>5015</v>
      </c>
      <c r="C3236" s="3">
        <v>54</v>
      </c>
      <c r="D3236" s="46" t="str">
        <f>IF(Tabla1[[#This Row],[EDAD]]&lt;=35,"Adultos jóvenes 18 - 35 años",IF(C3236&gt;=36,"Adultos mayores 36 años en adelante"))</f>
        <v>Adultos mayores 36 años en adelante</v>
      </c>
      <c r="E3236" s="3" t="s">
        <v>5022</v>
      </c>
      <c r="F3236" s="3" t="s">
        <v>5028</v>
      </c>
      <c r="G3236" s="3" t="s">
        <v>5031</v>
      </c>
      <c r="H3236" s="3" t="s">
        <v>7605</v>
      </c>
      <c r="I3236" s="17">
        <v>45342</v>
      </c>
      <c r="J3236" s="18">
        <f>YEAR(Tabla1[[#This Row],[FECHA DE COMPRA]])</f>
        <v>2024</v>
      </c>
      <c r="K3236" s="19">
        <v>115.67</v>
      </c>
      <c r="L3236" s="20">
        <v>0</v>
      </c>
      <c r="M3236" s="19">
        <f>Tienda!$K2687-Tienda!$K2687*Tienda!$L2687</f>
        <v>127.52000000000001</v>
      </c>
      <c r="N3236" s="3" t="s">
        <v>10040</v>
      </c>
      <c r="O3236" s="3" t="s">
        <v>10042</v>
      </c>
      <c r="P3236" s="17">
        <v>45702</v>
      </c>
      <c r="Q3236" s="4">
        <v>12</v>
      </c>
    </row>
    <row r="3237" spans="1:17" ht="30" x14ac:dyDescent="0.25">
      <c r="A3237" s="2" t="s">
        <v>3479</v>
      </c>
      <c r="B3237" s="3" t="s">
        <v>5015</v>
      </c>
      <c r="C3237" s="3">
        <v>65</v>
      </c>
      <c r="D3237" s="46" t="str">
        <f>IF(Tabla1[[#This Row],[EDAD]]&lt;=35,"Adultos jóvenes 18 - 35 años",IF(C3237&gt;=36,"Adultos mayores 36 años en adelante"))</f>
        <v>Adultos mayores 36 años en adelante</v>
      </c>
      <c r="E3237" s="3" t="s">
        <v>5019</v>
      </c>
      <c r="F3237" s="3" t="s">
        <v>5029</v>
      </c>
      <c r="G3237" s="3" t="s">
        <v>5033</v>
      </c>
      <c r="H3237" s="3" t="s">
        <v>8502</v>
      </c>
      <c r="I3237" s="17">
        <v>45622</v>
      </c>
      <c r="J3237" s="18">
        <f>YEAR(Tabla1[[#This Row],[FECHA DE COMPRA]])</f>
        <v>2024</v>
      </c>
      <c r="K3237" s="19">
        <v>145.80000000000001</v>
      </c>
      <c r="L3237" s="20">
        <v>0.2</v>
      </c>
      <c r="M3237" s="19">
        <f>Tienda!$K2689-Tienda!$K2689*Tienda!$L2689</f>
        <v>161.21</v>
      </c>
      <c r="N3237" s="3" t="s">
        <v>10040</v>
      </c>
      <c r="O3237" s="3" t="s">
        <v>10042</v>
      </c>
      <c r="P3237" s="17">
        <v>45712</v>
      </c>
      <c r="Q3237" s="4">
        <v>3</v>
      </c>
    </row>
    <row r="3238" spans="1:17" ht="30" x14ac:dyDescent="0.25">
      <c r="A3238" s="2" t="s">
        <v>4815</v>
      </c>
      <c r="B3238" s="3" t="s">
        <v>5015</v>
      </c>
      <c r="C3238" s="3">
        <v>56</v>
      </c>
      <c r="D3238" s="46" t="str">
        <f>IF(Tabla1[[#This Row],[EDAD]]&lt;=35,"Adultos jóvenes 18 - 35 años",IF(C3238&gt;=36,"Adultos mayores 36 años en adelante"))</f>
        <v>Adultos mayores 36 años en adelante</v>
      </c>
      <c r="E3238" s="3" t="s">
        <v>5018</v>
      </c>
      <c r="F3238" s="3" t="s">
        <v>5024</v>
      </c>
      <c r="G3238" s="3" t="s">
        <v>5037</v>
      </c>
      <c r="H3238" s="3" t="s">
        <v>9838</v>
      </c>
      <c r="I3238" s="17">
        <v>45378</v>
      </c>
      <c r="J3238" s="18">
        <f>YEAR(Tabla1[[#This Row],[FECHA DE COMPRA]])</f>
        <v>2024</v>
      </c>
      <c r="K3238" s="19">
        <v>129.93</v>
      </c>
      <c r="L3238" s="20">
        <v>0.1</v>
      </c>
      <c r="M3238" s="19">
        <f>Tienda!$K2692-Tienda!$K2692*Tienda!$L2692</f>
        <v>140.00799999999998</v>
      </c>
      <c r="N3238" s="3" t="s">
        <v>10040</v>
      </c>
      <c r="O3238" s="3" t="s">
        <v>10042</v>
      </c>
      <c r="P3238" s="17">
        <v>45468</v>
      </c>
      <c r="Q3238" s="4">
        <v>3</v>
      </c>
    </row>
    <row r="3239" spans="1:17" ht="30" x14ac:dyDescent="0.25">
      <c r="A3239" s="2" t="s">
        <v>3033</v>
      </c>
      <c r="B3239" s="3" t="s">
        <v>5015</v>
      </c>
      <c r="C3239" s="3">
        <v>43</v>
      </c>
      <c r="D3239" s="46" t="str">
        <f>IF(Tabla1[[#This Row],[EDAD]]&lt;=35,"Adultos jóvenes 18 - 35 años",IF(C3239&gt;=36,"Adultos mayores 36 años en adelante"))</f>
        <v>Adultos mayores 36 años en adelante</v>
      </c>
      <c r="E3239" s="3" t="s">
        <v>5019</v>
      </c>
      <c r="F3239" s="3" t="s">
        <v>5028</v>
      </c>
      <c r="G3239" s="3" t="s">
        <v>5034</v>
      </c>
      <c r="H3239" s="3" t="s">
        <v>8056</v>
      </c>
      <c r="I3239" s="17">
        <v>45341</v>
      </c>
      <c r="J3239" s="18">
        <f>YEAR(Tabla1[[#This Row],[FECHA DE COMPRA]])</f>
        <v>2024</v>
      </c>
      <c r="K3239" s="19">
        <v>117.38</v>
      </c>
      <c r="L3239" s="20">
        <v>0</v>
      </c>
      <c r="M3239" s="19">
        <f>Tienda!$K2698-Tienda!$K2698*Tienda!$L2698</f>
        <v>9.6209999999999987</v>
      </c>
      <c r="N3239" s="3" t="s">
        <v>10040</v>
      </c>
      <c r="O3239" s="3" t="s">
        <v>10042</v>
      </c>
      <c r="P3239" s="17">
        <v>45431</v>
      </c>
      <c r="Q3239" s="4">
        <v>3</v>
      </c>
    </row>
    <row r="3240" spans="1:17" ht="30" x14ac:dyDescent="0.25">
      <c r="A3240" s="2" t="s">
        <v>3084</v>
      </c>
      <c r="B3240" s="3" t="s">
        <v>5016</v>
      </c>
      <c r="C3240" s="3">
        <v>49</v>
      </c>
      <c r="D3240" s="46" t="str">
        <f>IF(Tabla1[[#This Row],[EDAD]]&lt;=35,"Adultos jóvenes 18 - 35 años",IF(C3240&gt;=36,"Adultos mayores 36 años en adelante"))</f>
        <v>Adultos mayores 36 años en adelante</v>
      </c>
      <c r="E3240" s="3" t="s">
        <v>5017</v>
      </c>
      <c r="F3240" s="3" t="s">
        <v>5024</v>
      </c>
      <c r="G3240" s="3" t="s">
        <v>5035</v>
      </c>
      <c r="H3240" s="3" t="s">
        <v>8107</v>
      </c>
      <c r="I3240" s="17">
        <v>45433</v>
      </c>
      <c r="J3240" s="18">
        <f>YEAR(Tabla1[[#This Row],[FECHA DE COMPRA]])</f>
        <v>2024</v>
      </c>
      <c r="K3240" s="19">
        <v>148</v>
      </c>
      <c r="L3240" s="20">
        <v>0.2</v>
      </c>
      <c r="M3240" s="19">
        <f>Tienda!$K2707-Tienda!$K2707*Tienda!$L2707</f>
        <v>14.6</v>
      </c>
      <c r="N3240" s="3" t="s">
        <v>10040</v>
      </c>
      <c r="O3240" s="3" t="s">
        <v>10042</v>
      </c>
      <c r="P3240" s="17">
        <v>45523</v>
      </c>
      <c r="Q3240" s="4">
        <v>3</v>
      </c>
    </row>
    <row r="3241" spans="1:17" ht="30" x14ac:dyDescent="0.25">
      <c r="A3241" s="2" t="s">
        <v>3525</v>
      </c>
      <c r="B3241" s="3" t="s">
        <v>5016</v>
      </c>
      <c r="C3241" s="3">
        <v>47</v>
      </c>
      <c r="D3241" s="46" t="str">
        <f>IF(Tabla1[[#This Row],[EDAD]]&lt;=35,"Adultos jóvenes 18 - 35 años",IF(C3241&gt;=36,"Adultos mayores 36 años en adelante"))</f>
        <v>Adultos mayores 36 años en adelante</v>
      </c>
      <c r="E3241" s="3" t="s">
        <v>5017</v>
      </c>
      <c r="F3241" s="3" t="s">
        <v>5024</v>
      </c>
      <c r="G3241" s="3" t="s">
        <v>5032</v>
      </c>
      <c r="H3241" s="3" t="s">
        <v>8548</v>
      </c>
      <c r="I3241" s="17">
        <v>45324</v>
      </c>
      <c r="J3241" s="18">
        <f>YEAR(Tabla1[[#This Row],[FECHA DE COMPRA]])</f>
        <v>2024</v>
      </c>
      <c r="K3241" s="19">
        <v>118.62</v>
      </c>
      <c r="L3241" s="20">
        <v>0</v>
      </c>
      <c r="M3241" s="19">
        <f>Tienda!$K2708-Tienda!$K2708*Tienda!$L2708</f>
        <v>15.120000000000001</v>
      </c>
      <c r="N3241" s="3" t="s">
        <v>10040</v>
      </c>
      <c r="O3241" s="3" t="s">
        <v>10042</v>
      </c>
      <c r="P3241" s="17">
        <v>45414</v>
      </c>
      <c r="Q3241" s="4">
        <v>3</v>
      </c>
    </row>
    <row r="3242" spans="1:17" ht="30" x14ac:dyDescent="0.25">
      <c r="A3242" s="2" t="s">
        <v>685</v>
      </c>
      <c r="B3242" s="3" t="s">
        <v>5015</v>
      </c>
      <c r="C3242" s="3">
        <v>52</v>
      </c>
      <c r="D3242" s="46" t="str">
        <f>IF(Tabla1[[#This Row],[EDAD]]&lt;=35,"Adultos jóvenes 18 - 35 años",IF(C3242&gt;=36,"Adultos mayores 36 años en adelante"))</f>
        <v>Adultos mayores 36 años en adelante</v>
      </c>
      <c r="E3242" s="3" t="s">
        <v>5021</v>
      </c>
      <c r="F3242" s="3" t="s">
        <v>5029</v>
      </c>
      <c r="G3242" s="3" t="s">
        <v>5032</v>
      </c>
      <c r="H3242" s="3" t="s">
        <v>5708</v>
      </c>
      <c r="I3242" s="17">
        <v>45371</v>
      </c>
      <c r="J3242" s="18">
        <f>YEAR(Tabla1[[#This Row],[FECHA DE COMPRA]])</f>
        <v>2024</v>
      </c>
      <c r="K3242" s="19">
        <v>118.91</v>
      </c>
      <c r="L3242" s="20">
        <v>0</v>
      </c>
      <c r="M3242" s="19">
        <f>Tienda!$K2709-Tienda!$K2709*Tienda!$L2709</f>
        <v>15.984000000000002</v>
      </c>
      <c r="N3242" s="3" t="s">
        <v>10040</v>
      </c>
      <c r="O3242" s="3" t="s">
        <v>10042</v>
      </c>
      <c r="P3242" s="17">
        <v>45731</v>
      </c>
      <c r="Q3242" s="4">
        <v>12</v>
      </c>
    </row>
    <row r="3243" spans="1:17" ht="30" x14ac:dyDescent="0.25">
      <c r="A3243" s="2" t="s">
        <v>1698</v>
      </c>
      <c r="B3243" s="3" t="s">
        <v>5015</v>
      </c>
      <c r="C3243" s="3">
        <v>59</v>
      </c>
      <c r="D3243" s="46" t="str">
        <f>IF(Tabla1[[#This Row],[EDAD]]&lt;=35,"Adultos jóvenes 18 - 35 años",IF(C3243&gt;=36,"Adultos mayores 36 años en adelante"))</f>
        <v>Adultos mayores 36 años en adelante</v>
      </c>
      <c r="E3243" s="3" t="s">
        <v>5023</v>
      </c>
      <c r="F3243" s="3" t="s">
        <v>5030</v>
      </c>
      <c r="G3243" s="3" t="s">
        <v>5032</v>
      </c>
      <c r="H3243" s="3" t="s">
        <v>6721</v>
      </c>
      <c r="I3243" s="17">
        <v>45420</v>
      </c>
      <c r="J3243" s="18">
        <f>YEAR(Tabla1[[#This Row],[FECHA DE COMPRA]])</f>
        <v>2024</v>
      </c>
      <c r="K3243" s="19">
        <v>133.32</v>
      </c>
      <c r="L3243" s="20">
        <v>0.1</v>
      </c>
      <c r="M3243" s="19">
        <f>Tienda!$K2716-Tienda!$K2716*Tienda!$L2716</f>
        <v>19.7</v>
      </c>
      <c r="N3243" s="3" t="s">
        <v>10040</v>
      </c>
      <c r="O3243" s="3" t="s">
        <v>10042</v>
      </c>
      <c r="P3243" s="17">
        <v>45510</v>
      </c>
      <c r="Q3243" s="4">
        <v>3</v>
      </c>
    </row>
    <row r="3244" spans="1:17" ht="30" x14ac:dyDescent="0.25">
      <c r="A3244" s="2" t="s">
        <v>3744</v>
      </c>
      <c r="B3244" s="3" t="s">
        <v>5016</v>
      </c>
      <c r="C3244" s="3">
        <v>56</v>
      </c>
      <c r="D3244" s="46" t="str">
        <f>IF(Tabla1[[#This Row],[EDAD]]&lt;=35,"Adultos jóvenes 18 - 35 años",IF(C3244&gt;=36,"Adultos mayores 36 años en adelante"))</f>
        <v>Adultos mayores 36 años en adelante</v>
      </c>
      <c r="E3244" s="3" t="s">
        <v>5021</v>
      </c>
      <c r="F3244" s="3" t="s">
        <v>5029</v>
      </c>
      <c r="G3244" s="3" t="s">
        <v>5035</v>
      </c>
      <c r="H3244" s="3" t="s">
        <v>8767</v>
      </c>
      <c r="I3244" s="17">
        <v>45599</v>
      </c>
      <c r="J3244" s="18">
        <f>YEAR(Tabla1[[#This Row],[FECHA DE COMPRA]])</f>
        <v>2024</v>
      </c>
      <c r="K3244" s="19">
        <v>150.31</v>
      </c>
      <c r="L3244" s="20">
        <v>0.2</v>
      </c>
      <c r="M3244" s="19">
        <f>Tienda!$K2720-Tienda!$K2720*Tienda!$L2720</f>
        <v>20.853000000000002</v>
      </c>
      <c r="N3244" s="3" t="s">
        <v>10040</v>
      </c>
      <c r="O3244" s="3" t="s">
        <v>10042</v>
      </c>
      <c r="P3244" s="17">
        <v>45869</v>
      </c>
      <c r="Q3244" s="4">
        <v>9</v>
      </c>
    </row>
    <row r="3245" spans="1:17" ht="30" x14ac:dyDescent="0.25">
      <c r="A3245" s="2" t="s">
        <v>476</v>
      </c>
      <c r="B3245" s="3" t="s">
        <v>5015</v>
      </c>
      <c r="C3245" s="3">
        <v>56</v>
      </c>
      <c r="D3245" s="46" t="str">
        <f>IF(Tabla1[[#This Row],[EDAD]]&lt;=35,"Adultos jóvenes 18 - 35 años",IF(C3245&gt;=36,"Adultos mayores 36 años en adelante"))</f>
        <v>Adultos mayores 36 años en adelante</v>
      </c>
      <c r="E3245" s="3" t="s">
        <v>5022</v>
      </c>
      <c r="F3245" s="3" t="s">
        <v>5024</v>
      </c>
      <c r="G3245" s="3" t="s">
        <v>5036</v>
      </c>
      <c r="H3245" s="3" t="s">
        <v>5499</v>
      </c>
      <c r="I3245" s="17">
        <v>45620</v>
      </c>
      <c r="J3245" s="18">
        <f>YEAR(Tabla1[[#This Row],[FECHA DE COMPRA]])</f>
        <v>2024</v>
      </c>
      <c r="K3245" s="19">
        <v>134.08000000000001</v>
      </c>
      <c r="L3245" s="20">
        <v>0.1</v>
      </c>
      <c r="M3245" s="19">
        <f>Tienda!$K2721-Tienda!$K2721*Tienda!$L2721</f>
        <v>21.472000000000001</v>
      </c>
      <c r="N3245" s="3" t="s">
        <v>10040</v>
      </c>
      <c r="O3245" s="3" t="s">
        <v>10042</v>
      </c>
      <c r="P3245" s="17">
        <v>45800</v>
      </c>
      <c r="Q3245" s="4">
        <v>6</v>
      </c>
    </row>
    <row r="3246" spans="1:17" ht="30" x14ac:dyDescent="0.25">
      <c r="A3246" s="2" t="s">
        <v>1312</v>
      </c>
      <c r="B3246" s="3" t="s">
        <v>5016</v>
      </c>
      <c r="C3246" s="3">
        <v>55</v>
      </c>
      <c r="D3246" s="46" t="str">
        <f>IF(Tabla1[[#This Row],[EDAD]]&lt;=35,"Adultos jóvenes 18 - 35 años",IF(C3246&gt;=36,"Adultos mayores 36 años en adelante"))</f>
        <v>Adultos mayores 36 años en adelante</v>
      </c>
      <c r="E3246" s="3" t="s">
        <v>5021</v>
      </c>
      <c r="F3246" s="3" t="s">
        <v>5027</v>
      </c>
      <c r="G3246" s="3" t="s">
        <v>5032</v>
      </c>
      <c r="H3246" s="3" t="s">
        <v>6335</v>
      </c>
      <c r="I3246" s="17">
        <v>45372</v>
      </c>
      <c r="J3246" s="18">
        <f>YEAR(Tabla1[[#This Row],[FECHA DE COMPRA]])</f>
        <v>2024</v>
      </c>
      <c r="K3246" s="19">
        <v>136.83000000000001</v>
      </c>
      <c r="L3246" s="20">
        <v>0.1</v>
      </c>
      <c r="M3246" s="19">
        <f>Tienda!$K2737-Tienda!$K2737*Tienda!$L2737</f>
        <v>28.475999999999999</v>
      </c>
      <c r="N3246" s="3" t="s">
        <v>10040</v>
      </c>
      <c r="O3246" s="3" t="s">
        <v>10042</v>
      </c>
      <c r="P3246" s="17">
        <v>45642</v>
      </c>
      <c r="Q3246" s="4">
        <v>9</v>
      </c>
    </row>
    <row r="3247" spans="1:17" ht="30" x14ac:dyDescent="0.25">
      <c r="A3247" s="2" t="s">
        <v>240</v>
      </c>
      <c r="B3247" s="3" t="s">
        <v>5015</v>
      </c>
      <c r="C3247" s="3">
        <v>36</v>
      </c>
      <c r="D3247" s="46" t="str">
        <f>IF(Tabla1[[#This Row],[EDAD]]&lt;=35,"Adultos jóvenes 18 - 35 años",IF(C3247&gt;=36,"Adultos mayores 36 años en adelante"))</f>
        <v>Adultos mayores 36 años en adelante</v>
      </c>
      <c r="E3247" s="3" t="s">
        <v>5020</v>
      </c>
      <c r="F3247" s="3" t="s">
        <v>5027</v>
      </c>
      <c r="G3247" s="3" t="s">
        <v>5035</v>
      </c>
      <c r="H3247" s="3" t="s">
        <v>5263</v>
      </c>
      <c r="I3247" s="17">
        <v>45641</v>
      </c>
      <c r="J3247" s="18">
        <f>YEAR(Tabla1[[#This Row],[FECHA DE COMPRA]])</f>
        <v>2024</v>
      </c>
      <c r="K3247" s="19">
        <v>138.22999999999999</v>
      </c>
      <c r="L3247" s="20">
        <v>0.1</v>
      </c>
      <c r="M3247" s="19">
        <f>Tienda!$K2744-Tienda!$K2744*Tienda!$L2744</f>
        <v>31.689</v>
      </c>
      <c r="N3247" s="3" t="s">
        <v>10040</v>
      </c>
      <c r="O3247" s="3" t="s">
        <v>10042</v>
      </c>
      <c r="P3247" s="17">
        <v>45911</v>
      </c>
      <c r="Q3247" s="4">
        <v>9</v>
      </c>
    </row>
    <row r="3248" spans="1:17" ht="30" x14ac:dyDescent="0.25">
      <c r="A3248" s="2" t="s">
        <v>3099</v>
      </c>
      <c r="B3248" s="3" t="s">
        <v>5015</v>
      </c>
      <c r="C3248" s="3">
        <v>41</v>
      </c>
      <c r="D3248" s="46" t="str">
        <f>IF(Tabla1[[#This Row],[EDAD]]&lt;=35,"Adultos jóvenes 18 - 35 años",IF(C3248&gt;=36,"Adultos mayores 36 años en adelante"))</f>
        <v>Adultos mayores 36 años en adelante</v>
      </c>
      <c r="E3248" s="3" t="s">
        <v>5020</v>
      </c>
      <c r="F3248" s="3" t="s">
        <v>5028</v>
      </c>
      <c r="G3248" s="3" t="s">
        <v>5032</v>
      </c>
      <c r="H3248" s="3" t="s">
        <v>8122</v>
      </c>
      <c r="I3248" s="17">
        <v>45404</v>
      </c>
      <c r="J3248" s="18">
        <f>YEAR(Tabla1[[#This Row],[FECHA DE COMPRA]])</f>
        <v>2024</v>
      </c>
      <c r="K3248" s="19">
        <v>124.96</v>
      </c>
      <c r="L3248" s="20">
        <v>0</v>
      </c>
      <c r="M3248" s="19">
        <f>Tienda!$K2749-Tienda!$K2749*Tienda!$L2749</f>
        <v>33.93</v>
      </c>
      <c r="N3248" s="3" t="s">
        <v>10040</v>
      </c>
      <c r="O3248" s="3" t="s">
        <v>10042</v>
      </c>
      <c r="P3248" s="17">
        <v>45584</v>
      </c>
      <c r="Q3248" s="4">
        <v>6</v>
      </c>
    </row>
    <row r="3249" spans="1:17" ht="30" x14ac:dyDescent="0.25">
      <c r="A3249" s="2" t="s">
        <v>1570</v>
      </c>
      <c r="B3249" s="3" t="s">
        <v>5016</v>
      </c>
      <c r="C3249" s="3">
        <v>41</v>
      </c>
      <c r="D3249" s="46" t="str">
        <f>IF(Tabla1[[#This Row],[EDAD]]&lt;=35,"Adultos jóvenes 18 - 35 años",IF(C3249&gt;=36,"Adultos mayores 36 años en adelante"))</f>
        <v>Adultos mayores 36 años en adelante</v>
      </c>
      <c r="E3249" s="3" t="s">
        <v>5023</v>
      </c>
      <c r="F3249" s="3" t="s">
        <v>5029</v>
      </c>
      <c r="G3249" s="3" t="s">
        <v>5032</v>
      </c>
      <c r="H3249" s="3" t="s">
        <v>6593</v>
      </c>
      <c r="I3249" s="17">
        <v>45407</v>
      </c>
      <c r="J3249" s="18">
        <f>YEAR(Tabla1[[#This Row],[FECHA DE COMPRA]])</f>
        <v>2024</v>
      </c>
      <c r="K3249" s="19">
        <v>139.56</v>
      </c>
      <c r="L3249" s="20">
        <v>0.1</v>
      </c>
      <c r="M3249" s="19">
        <f>Tienda!$K2756-Tienda!$K2756*Tienda!$L2756</f>
        <v>37.22</v>
      </c>
      <c r="N3249" s="3" t="s">
        <v>10040</v>
      </c>
      <c r="O3249" s="3" t="s">
        <v>10042</v>
      </c>
      <c r="P3249" s="17">
        <v>45677</v>
      </c>
      <c r="Q3249" s="4">
        <v>9</v>
      </c>
    </row>
    <row r="3250" spans="1:17" ht="30" x14ac:dyDescent="0.25">
      <c r="A3250" s="2" t="s">
        <v>4134</v>
      </c>
      <c r="B3250" s="3" t="s">
        <v>5016</v>
      </c>
      <c r="C3250" s="3">
        <v>62</v>
      </c>
      <c r="D3250" s="46" t="str">
        <f>IF(Tabla1[[#This Row],[EDAD]]&lt;=35,"Adultos jóvenes 18 - 35 años",IF(C3250&gt;=36,"Adultos mayores 36 años en adelante"))</f>
        <v>Adultos mayores 36 años en adelante</v>
      </c>
      <c r="E3250" s="3" t="s">
        <v>5019</v>
      </c>
      <c r="F3250" s="3" t="s">
        <v>5030</v>
      </c>
      <c r="G3250" s="3" t="s">
        <v>5036</v>
      </c>
      <c r="H3250" s="3" t="s">
        <v>9157</v>
      </c>
      <c r="I3250" s="17">
        <v>45547</v>
      </c>
      <c r="J3250" s="18">
        <f>YEAR(Tabla1[[#This Row],[FECHA DE COMPRA]])</f>
        <v>2024</v>
      </c>
      <c r="K3250" s="19">
        <v>157.43</v>
      </c>
      <c r="L3250" s="20">
        <v>0.2</v>
      </c>
      <c r="M3250" s="19">
        <f>Tienda!$K2760-Tienda!$K2760*Tienda!$L2760</f>
        <v>39.326000000000001</v>
      </c>
      <c r="N3250" s="3" t="s">
        <v>10040</v>
      </c>
      <c r="O3250" s="3" t="s">
        <v>10042</v>
      </c>
      <c r="P3250" s="17">
        <v>45727</v>
      </c>
      <c r="Q3250" s="4">
        <v>6</v>
      </c>
    </row>
    <row r="3251" spans="1:17" ht="30" x14ac:dyDescent="0.25">
      <c r="A3251" s="2" t="s">
        <v>529</v>
      </c>
      <c r="B3251" s="3" t="s">
        <v>5015</v>
      </c>
      <c r="C3251" s="3">
        <v>41</v>
      </c>
      <c r="D3251" s="46" t="str">
        <f>IF(Tabla1[[#This Row],[EDAD]]&lt;=35,"Adultos jóvenes 18 - 35 años",IF(C3251&gt;=36,"Adultos mayores 36 años en adelante"))</f>
        <v>Adultos mayores 36 años en adelante</v>
      </c>
      <c r="E3251" s="3" t="s">
        <v>5022</v>
      </c>
      <c r="F3251" s="3" t="s">
        <v>5030</v>
      </c>
      <c r="G3251" s="3" t="s">
        <v>5033</v>
      </c>
      <c r="H3251" s="3" t="s">
        <v>5552</v>
      </c>
      <c r="I3251" s="17">
        <v>45624</v>
      </c>
      <c r="J3251" s="18">
        <f>YEAR(Tabla1[[#This Row],[FECHA DE COMPRA]])</f>
        <v>2024</v>
      </c>
      <c r="K3251" s="19">
        <v>180.35</v>
      </c>
      <c r="L3251" s="20">
        <v>0.3</v>
      </c>
      <c r="M3251" s="19">
        <f>Tienda!$K2765-Tienda!$K2765*Tienda!$L2765</f>
        <v>42.579000000000001</v>
      </c>
      <c r="N3251" s="3" t="s">
        <v>10040</v>
      </c>
      <c r="O3251" s="3" t="s">
        <v>10042</v>
      </c>
      <c r="P3251" s="17">
        <v>45760</v>
      </c>
      <c r="Q3251" s="4">
        <v>12</v>
      </c>
    </row>
    <row r="3252" spans="1:17" ht="30" x14ac:dyDescent="0.25">
      <c r="A3252" s="2" t="s">
        <v>1416</v>
      </c>
      <c r="B3252" s="3" t="s">
        <v>5016</v>
      </c>
      <c r="C3252" s="3">
        <v>38</v>
      </c>
      <c r="D3252" s="46" t="str">
        <f>IF(Tabla1[[#This Row],[EDAD]]&lt;=35,"Adultos jóvenes 18 - 35 años",IF(C3252&gt;=36,"Adultos mayores 36 años en adelante"))</f>
        <v>Adultos mayores 36 años en adelante</v>
      </c>
      <c r="E3252" s="3" t="s">
        <v>5019</v>
      </c>
      <c r="F3252" s="3" t="s">
        <v>5029</v>
      </c>
      <c r="G3252" s="3" t="s">
        <v>5031</v>
      </c>
      <c r="H3252" s="3" t="s">
        <v>6439</v>
      </c>
      <c r="I3252" s="17">
        <v>45512</v>
      </c>
      <c r="J3252" s="18">
        <f>YEAR(Tabla1[[#This Row],[FECHA DE COMPRA]])</f>
        <v>2024</v>
      </c>
      <c r="K3252" s="19">
        <v>181.88</v>
      </c>
      <c r="L3252" s="20">
        <v>0.3</v>
      </c>
      <c r="M3252" s="19">
        <f>Tienda!$K2773-Tienda!$K2773*Tienda!$L2773</f>
        <v>44.492000000000004</v>
      </c>
      <c r="N3252" s="3" t="s">
        <v>10040</v>
      </c>
      <c r="O3252" s="3" t="s">
        <v>10042</v>
      </c>
      <c r="P3252" s="17">
        <v>45872</v>
      </c>
      <c r="Q3252" s="4">
        <v>12</v>
      </c>
    </row>
    <row r="3253" spans="1:17" ht="30" x14ac:dyDescent="0.25">
      <c r="A3253" s="2" t="s">
        <v>404</v>
      </c>
      <c r="B3253" s="3" t="s">
        <v>5016</v>
      </c>
      <c r="C3253" s="3">
        <v>52</v>
      </c>
      <c r="D3253" s="46" t="str">
        <f>IF(Tabla1[[#This Row],[EDAD]]&lt;=35,"Adultos jóvenes 18 - 35 años",IF(C3253&gt;=36,"Adultos mayores 36 años en adelante"))</f>
        <v>Adultos mayores 36 años en adelante</v>
      </c>
      <c r="E3253" s="3" t="s">
        <v>5023</v>
      </c>
      <c r="F3253" s="3" t="s">
        <v>5029</v>
      </c>
      <c r="G3253" s="3" t="s">
        <v>5035</v>
      </c>
      <c r="H3253" s="3" t="s">
        <v>5427</v>
      </c>
      <c r="I3253" s="17">
        <v>45455</v>
      </c>
      <c r="J3253" s="18">
        <f>YEAR(Tabla1[[#This Row],[FECHA DE COMPRA]])</f>
        <v>2024</v>
      </c>
      <c r="K3253" s="19">
        <v>127.61</v>
      </c>
      <c r="L3253" s="20">
        <v>0</v>
      </c>
      <c r="M3253" s="19">
        <f>Tienda!$K2776-Tienda!$K2776*Tienda!$L2776</f>
        <v>45.57</v>
      </c>
      <c r="N3253" s="3" t="s">
        <v>10040</v>
      </c>
      <c r="O3253" s="3" t="s">
        <v>10042</v>
      </c>
      <c r="P3253" s="17">
        <v>45545</v>
      </c>
      <c r="Q3253" s="4">
        <v>3</v>
      </c>
    </row>
    <row r="3254" spans="1:17" ht="30" x14ac:dyDescent="0.25">
      <c r="A3254" s="2" t="s">
        <v>599</v>
      </c>
      <c r="B3254" s="3" t="s">
        <v>5015</v>
      </c>
      <c r="C3254" s="3">
        <v>36</v>
      </c>
      <c r="D3254" s="46" t="str">
        <f>IF(Tabla1[[#This Row],[EDAD]]&lt;=35,"Adultos jóvenes 18 - 35 años",IF(C3254&gt;=36,"Adultos mayores 36 años en adelante"))</f>
        <v>Adultos mayores 36 años en adelante</v>
      </c>
      <c r="E3254" s="3" t="s">
        <v>5021</v>
      </c>
      <c r="F3254" s="3" t="s">
        <v>5026</v>
      </c>
      <c r="G3254" s="3" t="s">
        <v>5033</v>
      </c>
      <c r="H3254" s="3" t="s">
        <v>5622</v>
      </c>
      <c r="I3254" s="17">
        <v>45322</v>
      </c>
      <c r="J3254" s="18">
        <f>YEAR(Tabla1[[#This Row],[FECHA DE COMPRA]])</f>
        <v>2024</v>
      </c>
      <c r="K3254" s="19">
        <v>127.82</v>
      </c>
      <c r="L3254" s="20">
        <v>0</v>
      </c>
      <c r="M3254" s="19">
        <f>Tienda!$K2778-Tienda!$K2778*Tienda!$L2778</f>
        <v>46.767000000000003</v>
      </c>
      <c r="N3254" s="3" t="s">
        <v>10040</v>
      </c>
      <c r="O3254" s="3" t="s">
        <v>10042</v>
      </c>
      <c r="P3254" s="17">
        <v>45682</v>
      </c>
      <c r="Q3254" s="4">
        <v>12</v>
      </c>
    </row>
    <row r="3255" spans="1:17" ht="30" x14ac:dyDescent="0.25">
      <c r="A3255" s="2" t="s">
        <v>2359</v>
      </c>
      <c r="B3255" s="3" t="s">
        <v>5015</v>
      </c>
      <c r="C3255" s="3">
        <v>63</v>
      </c>
      <c r="D3255" s="46" t="str">
        <f>IF(Tabla1[[#This Row],[EDAD]]&lt;=35,"Adultos jóvenes 18 - 35 años",IF(C3255&gt;=36,"Adultos mayores 36 años en adelante"))</f>
        <v>Adultos mayores 36 años en adelante</v>
      </c>
      <c r="E3255" s="3" t="s">
        <v>5019</v>
      </c>
      <c r="F3255" s="3" t="s">
        <v>5029</v>
      </c>
      <c r="G3255" s="3" t="s">
        <v>5031</v>
      </c>
      <c r="H3255" s="3" t="s">
        <v>7382</v>
      </c>
      <c r="I3255" s="17">
        <v>45365</v>
      </c>
      <c r="J3255" s="18">
        <f>YEAR(Tabla1[[#This Row],[FECHA DE COMPRA]])</f>
        <v>2024</v>
      </c>
      <c r="K3255" s="19">
        <v>127.92</v>
      </c>
      <c r="L3255" s="20">
        <v>0</v>
      </c>
      <c r="M3255" s="19">
        <f>Tienda!$K2780-Tienda!$K2780*Tienda!$L2780</f>
        <v>47.393999999999998</v>
      </c>
      <c r="N3255" s="3" t="s">
        <v>10040</v>
      </c>
      <c r="O3255" s="3" t="s">
        <v>10042</v>
      </c>
      <c r="P3255" s="17">
        <v>45455</v>
      </c>
      <c r="Q3255" s="4">
        <v>3</v>
      </c>
    </row>
    <row r="3256" spans="1:17" ht="30" x14ac:dyDescent="0.25">
      <c r="A3256" s="2" t="s">
        <v>220</v>
      </c>
      <c r="B3256" s="3" t="s">
        <v>5015</v>
      </c>
      <c r="C3256" s="3">
        <v>57</v>
      </c>
      <c r="D3256" s="46" t="str">
        <f>IF(Tabla1[[#This Row],[EDAD]]&lt;=35,"Adultos jóvenes 18 - 35 años",IF(C3256&gt;=36,"Adultos mayores 36 años en adelante"))</f>
        <v>Adultos mayores 36 años en adelante</v>
      </c>
      <c r="E3256" s="3" t="s">
        <v>5018</v>
      </c>
      <c r="F3256" s="3" t="s">
        <v>5024</v>
      </c>
      <c r="G3256" s="3" t="s">
        <v>5034</v>
      </c>
      <c r="H3256" s="3" t="s">
        <v>5243</v>
      </c>
      <c r="I3256" s="17">
        <v>45563</v>
      </c>
      <c r="J3256" s="18">
        <f>YEAR(Tabla1[[#This Row],[FECHA DE COMPRA]])</f>
        <v>2024</v>
      </c>
      <c r="K3256" s="19">
        <v>128.6</v>
      </c>
      <c r="L3256" s="20">
        <v>0</v>
      </c>
      <c r="M3256" s="19">
        <f>Tienda!$K2784-Tienda!$K2784*Tienda!$L2784</f>
        <v>50.936</v>
      </c>
      <c r="N3256" s="3" t="s">
        <v>10040</v>
      </c>
      <c r="O3256" s="3" t="s">
        <v>10042</v>
      </c>
      <c r="P3256" s="17">
        <v>45833</v>
      </c>
      <c r="Q3256" s="4">
        <v>9</v>
      </c>
    </row>
    <row r="3257" spans="1:17" ht="30" x14ac:dyDescent="0.25">
      <c r="A3257" s="2" t="s">
        <v>4126</v>
      </c>
      <c r="B3257" s="3" t="s">
        <v>5015</v>
      </c>
      <c r="C3257" s="3">
        <v>62</v>
      </c>
      <c r="D3257" s="46" t="str">
        <f>IF(Tabla1[[#This Row],[EDAD]]&lt;=35,"Adultos jóvenes 18 - 35 años",IF(C3257&gt;=36,"Adultos mayores 36 años en adelante"))</f>
        <v>Adultos mayores 36 años en adelante</v>
      </c>
      <c r="E3257" s="3" t="s">
        <v>5018</v>
      </c>
      <c r="F3257" s="3" t="s">
        <v>5026</v>
      </c>
      <c r="G3257" s="3" t="s">
        <v>5037</v>
      </c>
      <c r="H3257" s="3" t="s">
        <v>9149</v>
      </c>
      <c r="I3257" s="17">
        <v>45453</v>
      </c>
      <c r="J3257" s="18">
        <f>YEAR(Tabla1[[#This Row],[FECHA DE COMPRA]])</f>
        <v>2024</v>
      </c>
      <c r="K3257" s="19">
        <v>144.11000000000001</v>
      </c>
      <c r="L3257" s="20">
        <v>0.1</v>
      </c>
      <c r="M3257" s="19">
        <f>Tienda!$K2789-Tienda!$K2789*Tienda!$L2789</f>
        <v>52.703999999999994</v>
      </c>
      <c r="N3257" s="3" t="s">
        <v>10040</v>
      </c>
      <c r="O3257" s="3" t="s">
        <v>10042</v>
      </c>
      <c r="P3257" s="17">
        <v>45723</v>
      </c>
      <c r="Q3257" s="4">
        <v>9</v>
      </c>
    </row>
    <row r="3258" spans="1:17" ht="30" x14ac:dyDescent="0.25">
      <c r="A3258" s="2" t="s">
        <v>974</v>
      </c>
      <c r="B3258" s="3" t="s">
        <v>5015</v>
      </c>
      <c r="C3258" s="3">
        <v>47</v>
      </c>
      <c r="D3258" s="46" t="str">
        <f>IF(Tabla1[[#This Row],[EDAD]]&lt;=35,"Adultos jóvenes 18 - 35 años",IF(C3258&gt;=36,"Adultos mayores 36 años en adelante"))</f>
        <v>Adultos mayores 36 años en adelante</v>
      </c>
      <c r="E3258" s="3" t="s">
        <v>5022</v>
      </c>
      <c r="F3258" s="3" t="s">
        <v>5027</v>
      </c>
      <c r="G3258" s="3" t="s">
        <v>5034</v>
      </c>
      <c r="H3258" s="3" t="s">
        <v>5997</v>
      </c>
      <c r="I3258" s="17">
        <v>45365</v>
      </c>
      <c r="J3258" s="18">
        <f>YEAR(Tabla1[[#This Row],[FECHA DE COMPRA]])</f>
        <v>2024</v>
      </c>
      <c r="K3258" s="19">
        <v>145.44999999999999</v>
      </c>
      <c r="L3258" s="20">
        <v>0.1</v>
      </c>
      <c r="M3258" s="19">
        <f>Tienda!$K2799-Tienda!$K2799*Tienda!$L2799</f>
        <v>56.78</v>
      </c>
      <c r="N3258" s="3" t="s">
        <v>10040</v>
      </c>
      <c r="O3258" s="3" t="s">
        <v>10042</v>
      </c>
      <c r="P3258" s="17">
        <v>45545</v>
      </c>
      <c r="Q3258" s="4">
        <v>6</v>
      </c>
    </row>
    <row r="3259" spans="1:17" ht="30" x14ac:dyDescent="0.25">
      <c r="A3259" s="2" t="s">
        <v>3534</v>
      </c>
      <c r="B3259" s="3" t="s">
        <v>5016</v>
      </c>
      <c r="C3259" s="3">
        <v>45</v>
      </c>
      <c r="D3259" s="46" t="str">
        <f>IF(Tabla1[[#This Row],[EDAD]]&lt;=35,"Adultos jóvenes 18 - 35 años",IF(C3259&gt;=36,"Adultos mayores 36 años en adelante"))</f>
        <v>Adultos mayores 36 años en adelante</v>
      </c>
      <c r="E3259" s="3" t="s">
        <v>5019</v>
      </c>
      <c r="F3259" s="3" t="s">
        <v>5025</v>
      </c>
      <c r="G3259" s="3" t="s">
        <v>5031</v>
      </c>
      <c r="H3259" s="3" t="s">
        <v>8557</v>
      </c>
      <c r="I3259" s="17">
        <v>45614</v>
      </c>
      <c r="J3259" s="18">
        <f>YEAR(Tabla1[[#This Row],[FECHA DE COMPRA]])</f>
        <v>2024</v>
      </c>
      <c r="K3259" s="19">
        <v>187.69</v>
      </c>
      <c r="L3259" s="20">
        <v>0.3</v>
      </c>
      <c r="M3259" s="19">
        <f>Tienda!$K2805-Tienda!$K2805*Tienda!$L2805</f>
        <v>61.751999999999995</v>
      </c>
      <c r="N3259" s="3" t="s">
        <v>10040</v>
      </c>
      <c r="O3259" s="3" t="s">
        <v>10042</v>
      </c>
      <c r="P3259" s="17">
        <v>45704</v>
      </c>
      <c r="Q3259" s="4">
        <v>3</v>
      </c>
    </row>
    <row r="3260" spans="1:17" ht="30" x14ac:dyDescent="0.25">
      <c r="A3260" s="2" t="s">
        <v>1296</v>
      </c>
      <c r="B3260" s="3" t="s">
        <v>5015</v>
      </c>
      <c r="C3260" s="3">
        <v>42</v>
      </c>
      <c r="D3260" s="46" t="str">
        <f>IF(Tabla1[[#This Row],[EDAD]]&lt;=35,"Adultos jóvenes 18 - 35 años",IF(C3260&gt;=36,"Adultos mayores 36 años en adelante"))</f>
        <v>Adultos mayores 36 años en adelante</v>
      </c>
      <c r="E3260" s="3" t="s">
        <v>5018</v>
      </c>
      <c r="F3260" s="3" t="s">
        <v>5028</v>
      </c>
      <c r="G3260" s="3" t="s">
        <v>5032</v>
      </c>
      <c r="H3260" s="3" t="s">
        <v>6319</v>
      </c>
      <c r="I3260" s="17">
        <v>45335</v>
      </c>
      <c r="J3260" s="18">
        <f>YEAR(Tabla1[[#This Row],[FECHA DE COMPRA]])</f>
        <v>2024</v>
      </c>
      <c r="K3260" s="19">
        <v>146.01</v>
      </c>
      <c r="L3260" s="20">
        <v>0.1</v>
      </c>
      <c r="M3260" s="19">
        <f>Tienda!$K2806-Tienda!$K2806*Tienda!$L2806</f>
        <v>61.94</v>
      </c>
      <c r="N3260" s="3" t="s">
        <v>10040</v>
      </c>
      <c r="O3260" s="3" t="s">
        <v>10042</v>
      </c>
      <c r="P3260" s="17">
        <v>45731</v>
      </c>
      <c r="Q3260" s="4">
        <v>12</v>
      </c>
    </row>
    <row r="3261" spans="1:17" ht="30" x14ac:dyDescent="0.25">
      <c r="A3261" s="2" t="s">
        <v>438</v>
      </c>
      <c r="B3261" s="3" t="s">
        <v>5015</v>
      </c>
      <c r="C3261" s="3">
        <v>47</v>
      </c>
      <c r="D3261" s="46" t="str">
        <f>IF(Tabla1[[#This Row],[EDAD]]&lt;=35,"Adultos jóvenes 18 - 35 años",IF(C3261&gt;=36,"Adultos mayores 36 años en adelante"))</f>
        <v>Adultos mayores 36 años en adelante</v>
      </c>
      <c r="E3261" s="3" t="s">
        <v>5018</v>
      </c>
      <c r="F3261" s="3" t="s">
        <v>5029</v>
      </c>
      <c r="G3261" s="3" t="s">
        <v>5036</v>
      </c>
      <c r="H3261" s="3" t="s">
        <v>5461</v>
      </c>
      <c r="I3261" s="17">
        <v>45617</v>
      </c>
      <c r="J3261" s="18">
        <f>YEAR(Tabla1[[#This Row],[FECHA DE COMPRA]])</f>
        <v>2024</v>
      </c>
      <c r="K3261" s="19">
        <v>164.51</v>
      </c>
      <c r="L3261" s="20">
        <v>0.2</v>
      </c>
      <c r="M3261" s="19">
        <f>Tienda!$K2809-Tienda!$K2809*Tienda!$L2809</f>
        <v>63.39</v>
      </c>
      <c r="N3261" s="3" t="s">
        <v>10040</v>
      </c>
      <c r="O3261" s="3" t="s">
        <v>10042</v>
      </c>
      <c r="P3261" s="17">
        <v>45797</v>
      </c>
      <c r="Q3261" s="4">
        <v>6</v>
      </c>
    </row>
    <row r="3262" spans="1:17" ht="30" x14ac:dyDescent="0.25">
      <c r="A3262" s="2" t="s">
        <v>1868</v>
      </c>
      <c r="B3262" s="3" t="s">
        <v>5015</v>
      </c>
      <c r="C3262" s="3">
        <v>52</v>
      </c>
      <c r="D3262" s="46" t="str">
        <f>IF(Tabla1[[#This Row],[EDAD]]&lt;=35,"Adultos jóvenes 18 - 35 años",IF(C3262&gt;=36,"Adultos mayores 36 años en adelante"))</f>
        <v>Adultos mayores 36 años en adelante</v>
      </c>
      <c r="E3262" s="3" t="s">
        <v>5022</v>
      </c>
      <c r="F3262" s="3" t="s">
        <v>5028</v>
      </c>
      <c r="G3262" s="3" t="s">
        <v>5036</v>
      </c>
      <c r="H3262" s="3" t="s">
        <v>6891</v>
      </c>
      <c r="I3262" s="17">
        <v>45526</v>
      </c>
      <c r="J3262" s="18">
        <f>YEAR(Tabla1[[#This Row],[FECHA DE COMPRA]])</f>
        <v>2024</v>
      </c>
      <c r="K3262" s="19">
        <v>188.66</v>
      </c>
      <c r="L3262" s="20">
        <v>0.3</v>
      </c>
      <c r="M3262" s="19">
        <f>Tienda!$K2811-Tienda!$K2811*Tienda!$L2811</f>
        <v>64.239000000000004</v>
      </c>
      <c r="N3262" s="3" t="s">
        <v>10040</v>
      </c>
      <c r="O3262" s="3" t="s">
        <v>10042</v>
      </c>
      <c r="P3262" s="17">
        <v>45706</v>
      </c>
      <c r="Q3262" s="4">
        <v>6</v>
      </c>
    </row>
    <row r="3263" spans="1:17" ht="30" x14ac:dyDescent="0.25">
      <c r="A3263" s="2" t="s">
        <v>2021</v>
      </c>
      <c r="B3263" s="3" t="s">
        <v>5016</v>
      </c>
      <c r="C3263" s="3">
        <v>40</v>
      </c>
      <c r="D3263" s="46" t="str">
        <f>IF(Tabla1[[#This Row],[EDAD]]&lt;=35,"Adultos jóvenes 18 - 35 años",IF(C3263&gt;=36,"Adultos mayores 36 años en adelante"))</f>
        <v>Adultos mayores 36 años en adelante</v>
      </c>
      <c r="E3263" s="3" t="s">
        <v>5019</v>
      </c>
      <c r="F3263" s="3" t="s">
        <v>5026</v>
      </c>
      <c r="G3263" s="3" t="s">
        <v>5035</v>
      </c>
      <c r="H3263" s="3" t="s">
        <v>7044</v>
      </c>
      <c r="I3263" s="17">
        <v>45583</v>
      </c>
      <c r="J3263" s="18">
        <f>YEAR(Tabla1[[#This Row],[FECHA DE COMPRA]])</f>
        <v>2024</v>
      </c>
      <c r="K3263" s="19">
        <v>165.69</v>
      </c>
      <c r="L3263" s="20">
        <v>0.2</v>
      </c>
      <c r="M3263" s="19">
        <f>Tienda!$K2814-Tienda!$K2814*Tienda!$L2814</f>
        <v>64.896000000000001</v>
      </c>
      <c r="N3263" s="3" t="s">
        <v>10040</v>
      </c>
      <c r="O3263" s="3" t="s">
        <v>10042</v>
      </c>
      <c r="P3263" s="17">
        <v>45763</v>
      </c>
      <c r="Q3263" s="4">
        <v>6</v>
      </c>
    </row>
    <row r="3264" spans="1:17" ht="30" x14ac:dyDescent="0.25">
      <c r="A3264" s="2" t="s">
        <v>3840</v>
      </c>
      <c r="B3264" s="3" t="s">
        <v>5015</v>
      </c>
      <c r="C3264" s="3">
        <v>65</v>
      </c>
      <c r="D3264" s="46" t="str">
        <f>IF(Tabla1[[#This Row],[EDAD]]&lt;=35,"Adultos jóvenes 18 - 35 años",IF(C3264&gt;=36,"Adultos mayores 36 años en adelante"))</f>
        <v>Adultos mayores 36 años en adelante</v>
      </c>
      <c r="E3264" s="3" t="s">
        <v>5022</v>
      </c>
      <c r="F3264" s="3" t="s">
        <v>5028</v>
      </c>
      <c r="G3264" s="3" t="s">
        <v>5035</v>
      </c>
      <c r="H3264" s="3" t="s">
        <v>8863</v>
      </c>
      <c r="I3264" s="17">
        <v>45653</v>
      </c>
      <c r="J3264" s="18">
        <f>YEAR(Tabla1[[#This Row],[FECHA DE COMPRA]])</f>
        <v>2024</v>
      </c>
      <c r="K3264" s="19">
        <v>147.87</v>
      </c>
      <c r="L3264" s="20">
        <v>0.1</v>
      </c>
      <c r="M3264" s="19">
        <f>Tienda!$K2818-Tienda!$K2818*Tienda!$L2818</f>
        <v>69.64</v>
      </c>
      <c r="N3264" s="3" t="s">
        <v>10040</v>
      </c>
      <c r="O3264" s="3" t="s">
        <v>10042</v>
      </c>
      <c r="P3264" s="17">
        <v>46013</v>
      </c>
      <c r="Q3264" s="4">
        <v>12</v>
      </c>
    </row>
    <row r="3265" spans="1:17" ht="30" x14ac:dyDescent="0.25">
      <c r="A3265" s="2" t="s">
        <v>3949</v>
      </c>
      <c r="B3265" s="3" t="s">
        <v>5015</v>
      </c>
      <c r="C3265" s="3">
        <v>55</v>
      </c>
      <c r="D3265" s="46" t="str">
        <f>IF(Tabla1[[#This Row],[EDAD]]&lt;=35,"Adultos jóvenes 18 - 35 años",IF(C3265&gt;=36,"Adultos mayores 36 años en adelante"))</f>
        <v>Adultos mayores 36 años en adelante</v>
      </c>
      <c r="E3265" s="3" t="s">
        <v>5021</v>
      </c>
      <c r="F3265" s="3" t="s">
        <v>5025</v>
      </c>
      <c r="G3265" s="3" t="s">
        <v>5031</v>
      </c>
      <c r="H3265" s="3" t="s">
        <v>8972</v>
      </c>
      <c r="I3265" s="17">
        <v>45319</v>
      </c>
      <c r="J3265" s="18">
        <f>YEAR(Tabla1[[#This Row],[FECHA DE COMPRA]])</f>
        <v>2024</v>
      </c>
      <c r="K3265" s="19">
        <v>149.19999999999999</v>
      </c>
      <c r="L3265" s="20">
        <v>0.1</v>
      </c>
      <c r="M3265" s="19">
        <f>Tienda!$K2826-Tienda!$K2826*Tienda!$L2826</f>
        <v>73.352000000000004</v>
      </c>
      <c r="N3265" s="3" t="s">
        <v>10040</v>
      </c>
      <c r="O3265" s="3" t="s">
        <v>10042</v>
      </c>
      <c r="P3265" s="17">
        <v>45589</v>
      </c>
      <c r="Q3265" s="4">
        <v>9</v>
      </c>
    </row>
    <row r="3266" spans="1:17" ht="30" x14ac:dyDescent="0.25">
      <c r="A3266" s="2" t="s">
        <v>1473</v>
      </c>
      <c r="B3266" s="3" t="s">
        <v>5015</v>
      </c>
      <c r="C3266" s="3">
        <v>49</v>
      </c>
      <c r="D3266" s="46" t="str">
        <f>IF(Tabla1[[#This Row],[EDAD]]&lt;=35,"Adultos jóvenes 18 - 35 años",IF(C3266&gt;=36,"Adultos mayores 36 años en adelante"))</f>
        <v>Adultos mayores 36 años en adelante</v>
      </c>
      <c r="E3266" s="3" t="s">
        <v>5018</v>
      </c>
      <c r="F3266" s="3" t="s">
        <v>5024</v>
      </c>
      <c r="G3266" s="3" t="s">
        <v>5037</v>
      </c>
      <c r="H3266" s="3" t="s">
        <v>6496</v>
      </c>
      <c r="I3266" s="17">
        <v>45522</v>
      </c>
      <c r="J3266" s="18">
        <f>YEAR(Tabla1[[#This Row],[FECHA DE COMPRA]])</f>
        <v>2024</v>
      </c>
      <c r="K3266" s="19">
        <v>149.9</v>
      </c>
      <c r="L3266" s="20">
        <v>0.1</v>
      </c>
      <c r="M3266" s="19">
        <f>Tienda!$K2831-Tienda!$K2831*Tienda!$L2831</f>
        <v>75.00800000000001</v>
      </c>
      <c r="N3266" s="3" t="s">
        <v>10040</v>
      </c>
      <c r="O3266" s="3" t="s">
        <v>10042</v>
      </c>
      <c r="P3266" s="17">
        <v>45882</v>
      </c>
      <c r="Q3266" s="4">
        <v>12</v>
      </c>
    </row>
    <row r="3267" spans="1:17" ht="30" x14ac:dyDescent="0.25">
      <c r="A3267" s="2" t="s">
        <v>3140</v>
      </c>
      <c r="B3267" s="3" t="s">
        <v>5015</v>
      </c>
      <c r="C3267" s="3">
        <v>45</v>
      </c>
      <c r="D3267" s="46" t="str">
        <f>IF(Tabla1[[#This Row],[EDAD]]&lt;=35,"Adultos jóvenes 18 - 35 años",IF(C3267&gt;=36,"Adultos mayores 36 años en adelante"))</f>
        <v>Adultos mayores 36 años en adelante</v>
      </c>
      <c r="E3267" s="3" t="s">
        <v>5021</v>
      </c>
      <c r="F3267" s="3" t="s">
        <v>5024</v>
      </c>
      <c r="G3267" s="3" t="s">
        <v>5036</v>
      </c>
      <c r="H3267" s="3" t="s">
        <v>8163</v>
      </c>
      <c r="I3267" s="17">
        <v>45624</v>
      </c>
      <c r="J3267" s="18">
        <f>YEAR(Tabla1[[#This Row],[FECHA DE COMPRA]])</f>
        <v>2024</v>
      </c>
      <c r="K3267" s="19">
        <v>192.79</v>
      </c>
      <c r="L3267" s="20">
        <v>0.3</v>
      </c>
      <c r="M3267" s="19">
        <f>Tienda!$K2832-Tienda!$K2832*Tienda!$L2832</f>
        <v>75.823999999999998</v>
      </c>
      <c r="N3267" s="3" t="s">
        <v>10040</v>
      </c>
      <c r="O3267" s="3" t="s">
        <v>10042</v>
      </c>
      <c r="P3267" s="17">
        <v>45589</v>
      </c>
      <c r="Q3267" s="4">
        <v>6</v>
      </c>
    </row>
    <row r="3268" spans="1:17" ht="30" x14ac:dyDescent="0.25">
      <c r="A3268" s="2" t="s">
        <v>1585</v>
      </c>
      <c r="B3268" s="3" t="s">
        <v>5016</v>
      </c>
      <c r="C3268" s="3">
        <v>47</v>
      </c>
      <c r="D3268" s="46" t="str">
        <f>IF(Tabla1[[#This Row],[EDAD]]&lt;=35,"Adultos jóvenes 18 - 35 años",IF(C3268&gt;=36,"Adultos mayores 36 años en adelante"))</f>
        <v>Adultos mayores 36 años en adelante</v>
      </c>
      <c r="E3268" s="3" t="s">
        <v>5023</v>
      </c>
      <c r="F3268" s="3" t="s">
        <v>5025</v>
      </c>
      <c r="G3268" s="3" t="s">
        <v>5034</v>
      </c>
      <c r="H3268" s="3" t="s">
        <v>6608</v>
      </c>
      <c r="I3268" s="17">
        <v>45578</v>
      </c>
      <c r="J3268" s="18">
        <f>YEAR(Tabla1[[#This Row],[FECHA DE COMPRA]])</f>
        <v>2024</v>
      </c>
      <c r="K3268" s="19">
        <v>193.2</v>
      </c>
      <c r="L3268" s="20">
        <v>0.3</v>
      </c>
      <c r="M3268" s="19">
        <f>Tienda!$K2834-Tienda!$K2834*Tienda!$L2834</f>
        <v>76.496000000000009</v>
      </c>
      <c r="N3268" s="3" t="s">
        <v>10040</v>
      </c>
      <c r="O3268" s="3" t="s">
        <v>10042</v>
      </c>
      <c r="P3268" s="17">
        <v>45938</v>
      </c>
      <c r="Q3268" s="4">
        <v>12</v>
      </c>
    </row>
    <row r="3269" spans="1:17" ht="30" x14ac:dyDescent="0.25">
      <c r="A3269" s="2" t="s">
        <v>3563</v>
      </c>
      <c r="B3269" s="3" t="s">
        <v>5015</v>
      </c>
      <c r="C3269" s="3">
        <v>37</v>
      </c>
      <c r="D3269" s="46" t="str">
        <f>IF(Tabla1[[#This Row],[EDAD]]&lt;=35,"Adultos jóvenes 18 - 35 años",IF(C3269&gt;=36,"Adultos mayores 36 años en adelante"))</f>
        <v>Adultos mayores 36 años en adelante</v>
      </c>
      <c r="E3269" s="3" t="s">
        <v>5019</v>
      </c>
      <c r="F3269" s="3" t="s">
        <v>5029</v>
      </c>
      <c r="G3269" s="3" t="s">
        <v>5031</v>
      </c>
      <c r="H3269" s="3" t="s">
        <v>8586</v>
      </c>
      <c r="I3269" s="17">
        <v>45503</v>
      </c>
      <c r="J3269" s="18">
        <f>YEAR(Tabla1[[#This Row],[FECHA DE COMPRA]])</f>
        <v>2024</v>
      </c>
      <c r="K3269" s="19">
        <v>193.78</v>
      </c>
      <c r="L3269" s="20">
        <v>0.3</v>
      </c>
      <c r="M3269" s="19">
        <f>Tienda!$K2839-Tienda!$K2839*Tienda!$L2839</f>
        <v>77.795999999999992</v>
      </c>
      <c r="N3269" s="3" t="s">
        <v>10040</v>
      </c>
      <c r="O3269" s="3" t="s">
        <v>10042</v>
      </c>
      <c r="P3269" s="17">
        <v>45593</v>
      </c>
      <c r="Q3269" s="4">
        <v>3</v>
      </c>
    </row>
    <row r="3270" spans="1:17" ht="30" x14ac:dyDescent="0.25">
      <c r="A3270" s="2" t="s">
        <v>3254</v>
      </c>
      <c r="B3270" s="3" t="s">
        <v>5016</v>
      </c>
      <c r="C3270" s="3">
        <v>52</v>
      </c>
      <c r="D3270" s="46" t="str">
        <f>IF(Tabla1[[#This Row],[EDAD]]&lt;=35,"Adultos jóvenes 18 - 35 años",IF(C3270&gt;=36,"Adultos mayores 36 años en adelante"))</f>
        <v>Adultos mayores 36 años en adelante</v>
      </c>
      <c r="E3270" s="3" t="s">
        <v>5017</v>
      </c>
      <c r="F3270" s="3" t="s">
        <v>5025</v>
      </c>
      <c r="G3270" s="3" t="s">
        <v>5036</v>
      </c>
      <c r="H3270" s="3" t="s">
        <v>8277</v>
      </c>
      <c r="I3270" s="17">
        <v>45624</v>
      </c>
      <c r="J3270" s="18">
        <f>YEAR(Tabla1[[#This Row],[FECHA DE COMPRA]])</f>
        <v>2024</v>
      </c>
      <c r="K3270" s="19">
        <v>196.08</v>
      </c>
      <c r="L3270" s="20">
        <v>0.3</v>
      </c>
      <c r="M3270" s="19">
        <f>Tienda!$K2852-Tienda!$K2852*Tienda!$L2852</f>
        <v>83.855999999999995</v>
      </c>
      <c r="N3270" s="3" t="s">
        <v>10040</v>
      </c>
      <c r="O3270" s="3" t="s">
        <v>10042</v>
      </c>
      <c r="P3270" s="17">
        <v>45681</v>
      </c>
      <c r="Q3270" s="4">
        <v>9</v>
      </c>
    </row>
    <row r="3271" spans="1:17" ht="30" x14ac:dyDescent="0.25">
      <c r="A3271" s="2" t="s">
        <v>86</v>
      </c>
      <c r="B3271" s="3" t="s">
        <v>5016</v>
      </c>
      <c r="C3271" s="3">
        <v>38</v>
      </c>
      <c r="D3271" s="46" t="str">
        <f>IF(Tabla1[[#This Row],[EDAD]]&lt;=35,"Adultos jóvenes 18 - 35 años",IF(C3271&gt;=36,"Adultos mayores 36 años en adelante"))</f>
        <v>Adultos mayores 36 años en adelante</v>
      </c>
      <c r="E3271" s="3" t="s">
        <v>5023</v>
      </c>
      <c r="F3271" s="3" t="s">
        <v>5026</v>
      </c>
      <c r="G3271" s="3" t="s">
        <v>5033</v>
      </c>
      <c r="H3271" s="3" t="s">
        <v>5109</v>
      </c>
      <c r="I3271" s="17">
        <v>45357</v>
      </c>
      <c r="J3271" s="18">
        <f>YEAR(Tabla1[[#This Row],[FECHA DE COMPRA]])</f>
        <v>2024</v>
      </c>
      <c r="K3271" s="19">
        <v>137.56</v>
      </c>
      <c r="L3271" s="20">
        <v>0</v>
      </c>
      <c r="M3271" s="19">
        <f>Tienda!$K2853-Tienda!$K2853*Tienda!$L2853</f>
        <v>84.391999999999996</v>
      </c>
      <c r="N3271" s="3" t="s">
        <v>10040</v>
      </c>
      <c r="O3271" s="3" t="s">
        <v>10042</v>
      </c>
      <c r="P3271" s="17">
        <v>45537</v>
      </c>
      <c r="Q3271" s="4">
        <v>6</v>
      </c>
    </row>
    <row r="3272" spans="1:17" ht="30" x14ac:dyDescent="0.25">
      <c r="A3272" s="2" t="s">
        <v>4437</v>
      </c>
      <c r="B3272" s="3" t="s">
        <v>5015</v>
      </c>
      <c r="C3272" s="3">
        <v>47</v>
      </c>
      <c r="D3272" s="46" t="str">
        <f>IF(Tabla1[[#This Row],[EDAD]]&lt;=35,"Adultos jóvenes 18 - 35 años",IF(C3272&gt;=36,"Adultos mayores 36 años en adelante"))</f>
        <v>Adultos mayores 36 años en adelante</v>
      </c>
      <c r="E3272" s="3" t="s">
        <v>5023</v>
      </c>
      <c r="F3272" s="3" t="s">
        <v>5028</v>
      </c>
      <c r="G3272" s="3" t="s">
        <v>5035</v>
      </c>
      <c r="H3272" s="3" t="s">
        <v>9460</v>
      </c>
      <c r="I3272" s="17">
        <v>45618</v>
      </c>
      <c r="J3272" s="18">
        <f>YEAR(Tabla1[[#This Row],[FECHA DE COMPRA]])</f>
        <v>2024</v>
      </c>
      <c r="K3272" s="19">
        <v>196.61</v>
      </c>
      <c r="L3272" s="20">
        <v>0.3</v>
      </c>
      <c r="M3272" s="19">
        <f>Tienda!$K2854-Tienda!$K2854*Tienda!$L2854</f>
        <v>85.231999999999999</v>
      </c>
      <c r="N3272" s="3" t="s">
        <v>10040</v>
      </c>
      <c r="O3272" s="3" t="s">
        <v>10042</v>
      </c>
      <c r="P3272" s="17">
        <v>45642</v>
      </c>
      <c r="Q3272" s="4">
        <v>6</v>
      </c>
    </row>
    <row r="3273" spans="1:17" ht="30" x14ac:dyDescent="0.25">
      <c r="A3273" s="2" t="s">
        <v>2103</v>
      </c>
      <c r="B3273" s="3" t="s">
        <v>5015</v>
      </c>
      <c r="C3273" s="3">
        <v>57</v>
      </c>
      <c r="D3273" s="46" t="str">
        <f>IF(Tabla1[[#This Row],[EDAD]]&lt;=35,"Adultos jóvenes 18 - 35 años",IF(C3273&gt;=36,"Adultos mayores 36 años en adelante"))</f>
        <v>Adultos mayores 36 años en adelante</v>
      </c>
      <c r="E3273" s="3" t="s">
        <v>5021</v>
      </c>
      <c r="F3273" s="3" t="s">
        <v>5025</v>
      </c>
      <c r="G3273" s="3" t="s">
        <v>5035</v>
      </c>
      <c r="H3273" s="3" t="s">
        <v>7126</v>
      </c>
      <c r="I3273" s="17">
        <v>45528</v>
      </c>
      <c r="J3273" s="18">
        <f>YEAR(Tabla1[[#This Row],[FECHA DE COMPRA]])</f>
        <v>2024</v>
      </c>
      <c r="K3273" s="19">
        <v>153.30000000000001</v>
      </c>
      <c r="L3273" s="20">
        <v>0.1</v>
      </c>
      <c r="M3273" s="19">
        <f>Tienda!$K2856-Tienda!$K2856*Tienda!$L2856</f>
        <v>85.519000000000005</v>
      </c>
      <c r="N3273" s="3" t="s">
        <v>10040</v>
      </c>
      <c r="O3273" s="3" t="s">
        <v>10042</v>
      </c>
      <c r="P3273" s="17">
        <v>45618</v>
      </c>
      <c r="Q3273" s="4">
        <v>3</v>
      </c>
    </row>
    <row r="3274" spans="1:17" ht="30" x14ac:dyDescent="0.25">
      <c r="A3274" s="2" t="s">
        <v>2702</v>
      </c>
      <c r="B3274" s="3" t="s">
        <v>5016</v>
      </c>
      <c r="C3274" s="3">
        <v>60</v>
      </c>
      <c r="D3274" s="46" t="str">
        <f>IF(Tabla1[[#This Row],[EDAD]]&lt;=35,"Adultos jóvenes 18 - 35 años",IF(C3274&gt;=36,"Adultos mayores 36 años en adelante"))</f>
        <v>Adultos mayores 36 años en adelante</v>
      </c>
      <c r="E3274" s="3" t="s">
        <v>5021</v>
      </c>
      <c r="F3274" s="3" t="s">
        <v>5026</v>
      </c>
      <c r="G3274" s="3" t="s">
        <v>5033</v>
      </c>
      <c r="H3274" s="3" t="s">
        <v>7725</v>
      </c>
      <c r="I3274" s="17">
        <v>45329</v>
      </c>
      <c r="J3274" s="18">
        <f>YEAR(Tabla1[[#This Row],[FECHA DE COMPRA]])</f>
        <v>2024</v>
      </c>
      <c r="K3274" s="19">
        <v>197.55</v>
      </c>
      <c r="L3274" s="20">
        <v>0.3</v>
      </c>
      <c r="M3274" s="19">
        <f>Tienda!$K2858-Tienda!$K2858*Tienda!$L2858</f>
        <v>85.643999999999991</v>
      </c>
      <c r="N3274" s="3" t="s">
        <v>10040</v>
      </c>
      <c r="O3274" s="3" t="s">
        <v>10042</v>
      </c>
      <c r="P3274" s="17">
        <v>45599</v>
      </c>
      <c r="Q3274" s="4">
        <v>9</v>
      </c>
    </row>
    <row r="3275" spans="1:17" ht="30" x14ac:dyDescent="0.25">
      <c r="A3275" s="2" t="s">
        <v>3860</v>
      </c>
      <c r="B3275" s="3" t="s">
        <v>5015</v>
      </c>
      <c r="C3275" s="3">
        <v>55</v>
      </c>
      <c r="D3275" s="46" t="str">
        <f>IF(Tabla1[[#This Row],[EDAD]]&lt;=35,"Adultos jóvenes 18 - 35 años",IF(C3275&gt;=36,"Adultos mayores 36 años en adelante"))</f>
        <v>Adultos mayores 36 años en adelante</v>
      </c>
      <c r="E3275" s="3" t="s">
        <v>5021</v>
      </c>
      <c r="F3275" s="3" t="s">
        <v>5025</v>
      </c>
      <c r="G3275" s="3" t="s">
        <v>5032</v>
      </c>
      <c r="H3275" s="3" t="s">
        <v>8883</v>
      </c>
      <c r="I3275" s="17">
        <v>45363</v>
      </c>
      <c r="J3275" s="18">
        <f>YEAR(Tabla1[[#This Row],[FECHA DE COMPRA]])</f>
        <v>2024</v>
      </c>
      <c r="K3275" s="19">
        <v>198.04</v>
      </c>
      <c r="L3275" s="20">
        <v>0.3</v>
      </c>
      <c r="M3275" s="19">
        <f>Tienda!$K2861-Tienda!$K2861*Tienda!$L2861</f>
        <v>86.337999999999994</v>
      </c>
      <c r="N3275" s="3" t="s">
        <v>10040</v>
      </c>
      <c r="O3275" s="3" t="s">
        <v>10042</v>
      </c>
      <c r="P3275" s="17">
        <v>45453</v>
      </c>
      <c r="Q3275" s="4">
        <v>3</v>
      </c>
    </row>
    <row r="3276" spans="1:17" ht="30" x14ac:dyDescent="0.25">
      <c r="A3276" s="2" t="s">
        <v>2816</v>
      </c>
      <c r="B3276" s="3" t="s">
        <v>5016</v>
      </c>
      <c r="C3276" s="3">
        <v>53</v>
      </c>
      <c r="D3276" s="46" t="str">
        <f>IF(Tabla1[[#This Row],[EDAD]]&lt;=35,"Adultos jóvenes 18 - 35 años",IF(C3276&gt;=36,"Adultos mayores 36 años en adelante"))</f>
        <v>Adultos mayores 36 años en adelante</v>
      </c>
      <c r="E3276" s="3" t="s">
        <v>5021</v>
      </c>
      <c r="F3276" s="3" t="s">
        <v>5027</v>
      </c>
      <c r="G3276" s="3" t="s">
        <v>5036</v>
      </c>
      <c r="H3276" s="3" t="s">
        <v>7839</v>
      </c>
      <c r="I3276" s="17">
        <v>45577</v>
      </c>
      <c r="J3276" s="18">
        <f>YEAR(Tabla1[[#This Row],[FECHA DE COMPRA]])</f>
        <v>2024</v>
      </c>
      <c r="K3276" s="19">
        <v>198.57</v>
      </c>
      <c r="L3276" s="20">
        <v>0.3</v>
      </c>
      <c r="M3276" s="19">
        <f>Tienda!$K2864-Tienda!$K2864*Tienda!$L2864</f>
        <v>88.49</v>
      </c>
      <c r="N3276" s="3" t="s">
        <v>10040</v>
      </c>
      <c r="O3276" s="3" t="s">
        <v>10042</v>
      </c>
      <c r="P3276" s="17">
        <v>45847</v>
      </c>
      <c r="Q3276" s="4">
        <v>9</v>
      </c>
    </row>
    <row r="3277" spans="1:17" ht="30" x14ac:dyDescent="0.25">
      <c r="A3277" s="2" t="s">
        <v>2153</v>
      </c>
      <c r="B3277" s="3" t="s">
        <v>5016</v>
      </c>
      <c r="C3277" s="3">
        <v>63</v>
      </c>
      <c r="D3277" s="46" t="str">
        <f>IF(Tabla1[[#This Row],[EDAD]]&lt;=35,"Adultos jóvenes 18 - 35 años",IF(C3277&gt;=36,"Adultos mayores 36 años en adelante"))</f>
        <v>Adultos mayores 36 años en adelante</v>
      </c>
      <c r="E3277" s="3" t="s">
        <v>5017</v>
      </c>
      <c r="F3277" s="3" t="s">
        <v>5030</v>
      </c>
      <c r="G3277" s="3" t="s">
        <v>5036</v>
      </c>
      <c r="H3277" s="3" t="s">
        <v>7176</v>
      </c>
      <c r="I3277" s="17">
        <v>45454</v>
      </c>
      <c r="J3277" s="18">
        <f>YEAR(Tabla1[[#This Row],[FECHA DE COMPRA]])</f>
        <v>2024</v>
      </c>
      <c r="K3277" s="19">
        <v>174.07</v>
      </c>
      <c r="L3277" s="20">
        <v>0.2</v>
      </c>
      <c r="M3277" s="19">
        <f>Tienda!$K2866-Tienda!$K2866*Tienda!$L2866</f>
        <v>88.802999999999997</v>
      </c>
      <c r="N3277" s="3" t="s">
        <v>10040</v>
      </c>
      <c r="O3277" s="3" t="s">
        <v>10042</v>
      </c>
      <c r="P3277" s="17">
        <v>45814</v>
      </c>
      <c r="Q3277" s="4">
        <v>12</v>
      </c>
    </row>
    <row r="3278" spans="1:17" ht="30" x14ac:dyDescent="0.25">
      <c r="A3278" s="2" t="s">
        <v>2668</v>
      </c>
      <c r="B3278" s="3" t="s">
        <v>5015</v>
      </c>
      <c r="C3278" s="3">
        <v>46</v>
      </c>
      <c r="D3278" s="46" t="str">
        <f>IF(Tabla1[[#This Row],[EDAD]]&lt;=35,"Adultos jóvenes 18 - 35 años",IF(C3278&gt;=36,"Adultos mayores 36 años en adelante"))</f>
        <v>Adultos mayores 36 años en adelante</v>
      </c>
      <c r="E3278" s="3" t="s">
        <v>5018</v>
      </c>
      <c r="F3278" s="3" t="s">
        <v>5025</v>
      </c>
      <c r="G3278" s="3" t="s">
        <v>5031</v>
      </c>
      <c r="H3278" s="3" t="s">
        <v>7691</v>
      </c>
      <c r="I3278" s="17">
        <v>45417</v>
      </c>
      <c r="J3278" s="18">
        <f>YEAR(Tabla1[[#This Row],[FECHA DE COMPRA]])</f>
        <v>2024</v>
      </c>
      <c r="K3278" s="19">
        <v>199.09</v>
      </c>
      <c r="L3278" s="20">
        <v>0.3</v>
      </c>
      <c r="M3278" s="19">
        <f>Tienda!$K2868-Tienda!$K2868*Tienda!$L2868</f>
        <v>90.774000000000001</v>
      </c>
      <c r="N3278" s="3" t="s">
        <v>10040</v>
      </c>
      <c r="O3278" s="3" t="s">
        <v>10042</v>
      </c>
      <c r="P3278" s="17">
        <v>45597</v>
      </c>
      <c r="Q3278" s="4">
        <v>6</v>
      </c>
    </row>
    <row r="3279" spans="1:17" ht="30" x14ac:dyDescent="0.25">
      <c r="A3279" s="2" t="s">
        <v>1513</v>
      </c>
      <c r="B3279" s="3" t="s">
        <v>5015</v>
      </c>
      <c r="C3279" s="3">
        <v>38</v>
      </c>
      <c r="D3279" s="46" t="str">
        <f>IF(Tabla1[[#This Row],[EDAD]]&lt;=35,"Adultos jóvenes 18 - 35 años",IF(C3279&gt;=36,"Adultos mayores 36 años en adelante"))</f>
        <v>Adultos mayores 36 años en adelante</v>
      </c>
      <c r="E3279" s="3" t="s">
        <v>5018</v>
      </c>
      <c r="F3279" s="3" t="s">
        <v>5024</v>
      </c>
      <c r="G3279" s="3" t="s">
        <v>5034</v>
      </c>
      <c r="H3279" s="3" t="s">
        <v>6536</v>
      </c>
      <c r="I3279" s="17">
        <v>45631</v>
      </c>
      <c r="J3279" s="18">
        <f>YEAR(Tabla1[[#This Row],[FECHA DE COMPRA]])</f>
        <v>2024</v>
      </c>
      <c r="K3279" s="19">
        <v>199.13</v>
      </c>
      <c r="L3279" s="20">
        <v>0.3</v>
      </c>
      <c r="M3279" s="19">
        <f>Tienda!$K2869-Tienda!$K2869*Tienda!$L2869</f>
        <v>90.93</v>
      </c>
      <c r="N3279" s="3" t="s">
        <v>10040</v>
      </c>
      <c r="O3279" s="3" t="s">
        <v>10042</v>
      </c>
      <c r="P3279" s="17">
        <v>45901</v>
      </c>
      <c r="Q3279" s="4">
        <v>9</v>
      </c>
    </row>
    <row r="3280" spans="1:17" ht="30" x14ac:dyDescent="0.25">
      <c r="A3280" s="2" t="s">
        <v>4934</v>
      </c>
      <c r="B3280" s="3" t="s">
        <v>5016</v>
      </c>
      <c r="C3280" s="3">
        <v>65</v>
      </c>
      <c r="D3280" s="46" t="str">
        <f>IF(Tabla1[[#This Row],[EDAD]]&lt;=35,"Adultos jóvenes 18 - 35 años",IF(C3280&gt;=36,"Adultos mayores 36 años en adelante"))</f>
        <v>Adultos mayores 36 años en adelante</v>
      </c>
      <c r="E3280" s="3" t="s">
        <v>5021</v>
      </c>
      <c r="F3280" s="3" t="s">
        <v>5027</v>
      </c>
      <c r="G3280" s="3" t="s">
        <v>5033</v>
      </c>
      <c r="H3280" s="3" t="s">
        <v>9957</v>
      </c>
      <c r="I3280" s="17">
        <v>45476</v>
      </c>
      <c r="J3280" s="18">
        <f>YEAR(Tabla1[[#This Row],[FECHA DE COMPRA]])</f>
        <v>2024</v>
      </c>
      <c r="K3280" s="19">
        <v>175.34</v>
      </c>
      <c r="L3280" s="20">
        <v>0.2</v>
      </c>
      <c r="M3280" s="19">
        <f>Tienda!$K2881-Tienda!$K2881*Tienda!$L2881</f>
        <v>96.957000000000008</v>
      </c>
      <c r="N3280" s="3" t="s">
        <v>10040</v>
      </c>
      <c r="O3280" s="3" t="s">
        <v>10042</v>
      </c>
      <c r="P3280" s="17">
        <v>45746</v>
      </c>
      <c r="Q3280" s="4">
        <v>9</v>
      </c>
    </row>
    <row r="3281" spans="1:17" ht="30" x14ac:dyDescent="0.25">
      <c r="A3281" s="2" t="s">
        <v>4182</v>
      </c>
      <c r="B3281" s="3" t="s">
        <v>5015</v>
      </c>
      <c r="C3281" s="3">
        <v>57</v>
      </c>
      <c r="D3281" s="46" t="str">
        <f>IF(Tabla1[[#This Row],[EDAD]]&lt;=35,"Adultos jóvenes 18 - 35 años",IF(C3281&gt;=36,"Adultos mayores 36 años en adelante"))</f>
        <v>Adultos mayores 36 años en adelante</v>
      </c>
      <c r="E3281" s="3" t="s">
        <v>5021</v>
      </c>
      <c r="F3281" s="3" t="s">
        <v>5028</v>
      </c>
      <c r="G3281" s="3" t="s">
        <v>5032</v>
      </c>
      <c r="H3281" s="3" t="s">
        <v>9205</v>
      </c>
      <c r="I3281" s="17">
        <v>45524</v>
      </c>
      <c r="J3281" s="18">
        <f>YEAR(Tabla1[[#This Row],[FECHA DE COMPRA]])</f>
        <v>2024</v>
      </c>
      <c r="K3281" s="19">
        <v>155.91</v>
      </c>
      <c r="L3281" s="20">
        <v>0.1</v>
      </c>
      <c r="M3281" s="19">
        <f>Tienda!$K2882-Tienda!$K2882*Tienda!$L2882</f>
        <v>97.390999999999991</v>
      </c>
      <c r="N3281" s="3" t="s">
        <v>10040</v>
      </c>
      <c r="O3281" s="3" t="s">
        <v>10042</v>
      </c>
      <c r="P3281" s="17">
        <v>45794</v>
      </c>
      <c r="Q3281" s="4">
        <v>9</v>
      </c>
    </row>
    <row r="3282" spans="1:17" ht="30" x14ac:dyDescent="0.25">
      <c r="A3282" s="2" t="s">
        <v>3706</v>
      </c>
      <c r="B3282" s="3" t="s">
        <v>5016</v>
      </c>
      <c r="C3282" s="3">
        <v>46</v>
      </c>
      <c r="D3282" s="46" t="str">
        <f>IF(Tabla1[[#This Row],[EDAD]]&lt;=35,"Adultos jóvenes 18 - 35 años",IF(C3282&gt;=36,"Adultos mayores 36 años en adelante"))</f>
        <v>Adultos mayores 36 años en adelante</v>
      </c>
      <c r="E3282" s="3" t="s">
        <v>5019</v>
      </c>
      <c r="F3282" s="3" t="s">
        <v>5030</v>
      </c>
      <c r="G3282" s="3" t="s">
        <v>5034</v>
      </c>
      <c r="H3282" s="3" t="s">
        <v>8729</v>
      </c>
      <c r="I3282" s="17">
        <v>45636</v>
      </c>
      <c r="J3282" s="18">
        <f>YEAR(Tabla1[[#This Row],[FECHA DE COMPRA]])</f>
        <v>2024</v>
      </c>
      <c r="K3282" s="19">
        <v>143.44</v>
      </c>
      <c r="L3282" s="20">
        <v>0</v>
      </c>
      <c r="M3282" s="19">
        <f>Tienda!$K2895-Tienda!$K2895*Tienda!$L2895</f>
        <v>104.931</v>
      </c>
      <c r="N3282" s="3" t="s">
        <v>10040</v>
      </c>
      <c r="O3282" s="3" t="s">
        <v>10042</v>
      </c>
      <c r="P3282" s="17">
        <v>45806</v>
      </c>
      <c r="Q3282" s="4">
        <v>12</v>
      </c>
    </row>
    <row r="3283" spans="1:17" ht="30" x14ac:dyDescent="0.25">
      <c r="A3283" s="2" t="s">
        <v>693</v>
      </c>
      <c r="B3283" s="3" t="s">
        <v>5015</v>
      </c>
      <c r="C3283" s="3">
        <v>37</v>
      </c>
      <c r="D3283" s="46" t="str">
        <f>IF(Tabla1[[#This Row],[EDAD]]&lt;=35,"Adultos jóvenes 18 - 35 años",IF(C3283&gt;=36,"Adultos mayores 36 años en adelante"))</f>
        <v>Adultos mayores 36 años en adelante</v>
      </c>
      <c r="E3283" s="3" t="s">
        <v>5020</v>
      </c>
      <c r="F3283" s="3" t="s">
        <v>5027</v>
      </c>
      <c r="G3283" s="3" t="s">
        <v>5033</v>
      </c>
      <c r="H3283" s="3" t="s">
        <v>5716</v>
      </c>
      <c r="I3283" s="17">
        <v>45352</v>
      </c>
      <c r="J3283" s="18">
        <f>YEAR(Tabla1[[#This Row],[FECHA DE COMPRA]])</f>
        <v>2024</v>
      </c>
      <c r="K3283" s="19">
        <v>162.26</v>
      </c>
      <c r="L3283" s="20">
        <v>0.1</v>
      </c>
      <c r="M3283" s="19">
        <f>Tienda!$K2907-Tienda!$K2907*Tienda!$L2907</f>
        <v>112.50399999999999</v>
      </c>
      <c r="N3283" s="3" t="s">
        <v>10040</v>
      </c>
      <c r="O3283" s="3" t="s">
        <v>10042</v>
      </c>
      <c r="P3283" s="17">
        <v>45712</v>
      </c>
      <c r="Q3283" s="4">
        <v>12</v>
      </c>
    </row>
    <row r="3284" spans="1:17" ht="30" x14ac:dyDescent="0.25">
      <c r="A3284" s="2" t="s">
        <v>2900</v>
      </c>
      <c r="B3284" s="3" t="s">
        <v>5016</v>
      </c>
      <c r="C3284" s="3">
        <v>51</v>
      </c>
      <c r="D3284" s="46" t="str">
        <f>IF(Tabla1[[#This Row],[EDAD]]&lt;=35,"Adultos jóvenes 18 - 35 años",IF(C3284&gt;=36,"Adultos mayores 36 años en adelante"))</f>
        <v>Adultos mayores 36 años en adelante</v>
      </c>
      <c r="E3284" s="3" t="s">
        <v>5017</v>
      </c>
      <c r="F3284" s="3" t="s">
        <v>5025</v>
      </c>
      <c r="G3284" s="3" t="s">
        <v>5037</v>
      </c>
      <c r="H3284" s="3" t="s">
        <v>7923</v>
      </c>
      <c r="I3284" s="17">
        <v>45649</v>
      </c>
      <c r="J3284" s="18">
        <f>YEAR(Tabla1[[#This Row],[FECHA DE COMPRA]])</f>
        <v>2024</v>
      </c>
      <c r="K3284" s="19">
        <v>183.54</v>
      </c>
      <c r="L3284" s="20">
        <v>0.2</v>
      </c>
      <c r="M3284" s="19">
        <f>Tienda!$K2912-Tienda!$K2912*Tienda!$L2912</f>
        <v>115.465</v>
      </c>
      <c r="N3284" s="3" t="s">
        <v>10040</v>
      </c>
      <c r="O3284" s="3" t="s">
        <v>10042</v>
      </c>
      <c r="P3284" s="17">
        <v>45569</v>
      </c>
      <c r="Q3284" s="4">
        <v>9</v>
      </c>
    </row>
    <row r="3285" spans="1:17" ht="30" x14ac:dyDescent="0.25">
      <c r="A3285" s="2" t="s">
        <v>630</v>
      </c>
      <c r="B3285" s="3" t="s">
        <v>5015</v>
      </c>
      <c r="C3285" s="3">
        <v>37</v>
      </c>
      <c r="D3285" s="46" t="str">
        <f>IF(Tabla1[[#This Row],[EDAD]]&lt;=35,"Adultos jóvenes 18 - 35 años",IF(C3285&gt;=36,"Adultos mayores 36 años en adelante"))</f>
        <v>Adultos mayores 36 años en adelante</v>
      </c>
      <c r="E3285" s="3" t="s">
        <v>5020</v>
      </c>
      <c r="F3285" s="3" t="s">
        <v>5024</v>
      </c>
      <c r="G3285" s="3" t="s">
        <v>5035</v>
      </c>
      <c r="H3285" s="3" t="s">
        <v>5653</v>
      </c>
      <c r="I3285" s="17">
        <v>45522</v>
      </c>
      <c r="J3285" s="18">
        <f>YEAR(Tabla1[[#This Row],[FECHA DE COMPRA]])</f>
        <v>2024</v>
      </c>
      <c r="K3285" s="19">
        <v>183.99</v>
      </c>
      <c r="L3285" s="20">
        <v>0.2</v>
      </c>
      <c r="M3285" s="19">
        <f>Tienda!$K2916-Tienda!$K2916*Tienda!$L2916</f>
        <v>116.816</v>
      </c>
      <c r="N3285" s="3" t="s">
        <v>10040</v>
      </c>
      <c r="O3285" s="3" t="s">
        <v>10042</v>
      </c>
      <c r="P3285" s="17">
        <v>45612</v>
      </c>
      <c r="Q3285" s="4">
        <v>3</v>
      </c>
    </row>
    <row r="3286" spans="1:17" ht="30" x14ac:dyDescent="0.25">
      <c r="A3286" s="2" t="s">
        <v>3655</v>
      </c>
      <c r="B3286" s="3" t="s">
        <v>5015</v>
      </c>
      <c r="C3286" s="3">
        <v>61</v>
      </c>
      <c r="D3286" s="46" t="str">
        <f>IF(Tabla1[[#This Row],[EDAD]]&lt;=35,"Adultos jóvenes 18 - 35 años",IF(C3286&gt;=36,"Adultos mayores 36 años en adelante"))</f>
        <v>Adultos mayores 36 años en adelante</v>
      </c>
      <c r="E3286" s="3" t="s">
        <v>5022</v>
      </c>
      <c r="F3286" s="3" t="s">
        <v>5030</v>
      </c>
      <c r="G3286" s="3" t="s">
        <v>5031</v>
      </c>
      <c r="H3286" s="3" t="s">
        <v>8678</v>
      </c>
      <c r="I3286" s="17">
        <v>45624</v>
      </c>
      <c r="J3286" s="18">
        <f>YEAR(Tabla1[[#This Row],[FECHA DE COMPRA]])</f>
        <v>2024</v>
      </c>
      <c r="K3286" s="19">
        <v>184.6</v>
      </c>
      <c r="L3286" s="20">
        <v>0.2</v>
      </c>
      <c r="M3286" s="19">
        <f>Tienda!$K2919-Tienda!$K2919*Tienda!$L2919</f>
        <v>117.441</v>
      </c>
      <c r="N3286" s="3" t="s">
        <v>10040</v>
      </c>
      <c r="O3286" s="3" t="s">
        <v>10042</v>
      </c>
      <c r="P3286" s="17">
        <v>45681</v>
      </c>
      <c r="Q3286" s="4">
        <v>9</v>
      </c>
    </row>
    <row r="3287" spans="1:17" ht="30" x14ac:dyDescent="0.25">
      <c r="A3287" s="2" t="s">
        <v>918</v>
      </c>
      <c r="B3287" s="3" t="s">
        <v>5015</v>
      </c>
      <c r="C3287" s="3">
        <v>62</v>
      </c>
      <c r="D3287" s="46" t="str">
        <f>IF(Tabla1[[#This Row],[EDAD]]&lt;=35,"Adultos jóvenes 18 - 35 años",IF(C3287&gt;=36,"Adultos mayores 36 años en adelante"))</f>
        <v>Adultos mayores 36 años en adelante</v>
      </c>
      <c r="E3287" s="3" t="s">
        <v>5022</v>
      </c>
      <c r="F3287" s="3" t="s">
        <v>5026</v>
      </c>
      <c r="G3287" s="3" t="s">
        <v>5034</v>
      </c>
      <c r="H3287" s="3" t="s">
        <v>5941</v>
      </c>
      <c r="I3287" s="17">
        <v>45577</v>
      </c>
      <c r="J3287" s="18">
        <f>YEAR(Tabla1[[#This Row],[FECHA DE COMPRA]])</f>
        <v>2024</v>
      </c>
      <c r="K3287" s="19">
        <v>184.64</v>
      </c>
      <c r="L3287" s="20">
        <v>0.2</v>
      </c>
      <c r="M3287" s="19">
        <f>Tienda!$K2920-Tienda!$K2920*Tienda!$L2920</f>
        <v>118.458</v>
      </c>
      <c r="N3287" s="3" t="s">
        <v>10040</v>
      </c>
      <c r="O3287" s="3" t="s">
        <v>10042</v>
      </c>
      <c r="P3287" s="17">
        <v>45937</v>
      </c>
      <c r="Q3287" s="4">
        <v>12</v>
      </c>
    </row>
    <row r="3288" spans="1:17" ht="30" x14ac:dyDescent="0.25">
      <c r="A3288" s="2" t="s">
        <v>1040</v>
      </c>
      <c r="B3288" s="3" t="s">
        <v>5015</v>
      </c>
      <c r="C3288" s="3">
        <v>47</v>
      </c>
      <c r="D3288" s="46" t="str">
        <f>IF(Tabla1[[#This Row],[EDAD]]&lt;=35,"Adultos jóvenes 18 - 35 años",IF(C3288&gt;=36,"Adultos mayores 36 años en adelante"))</f>
        <v>Adultos mayores 36 años en adelante</v>
      </c>
      <c r="E3288" s="3" t="s">
        <v>5017</v>
      </c>
      <c r="F3288" s="3" t="s">
        <v>5024</v>
      </c>
      <c r="G3288" s="3" t="s">
        <v>5031</v>
      </c>
      <c r="H3288" s="3" t="s">
        <v>6063</v>
      </c>
      <c r="I3288" s="17">
        <v>45362</v>
      </c>
      <c r="J3288" s="18">
        <f>YEAR(Tabla1[[#This Row],[FECHA DE COMPRA]])</f>
        <v>2024</v>
      </c>
      <c r="K3288" s="19">
        <v>150.51</v>
      </c>
      <c r="L3288" s="20">
        <v>0</v>
      </c>
      <c r="M3288" s="19">
        <f>Tienda!$K2933-Tienda!$K2933*Tienda!$L2933</f>
        <v>122.05200000000002</v>
      </c>
      <c r="N3288" s="3" t="s">
        <v>10040</v>
      </c>
      <c r="O3288" s="3" t="s">
        <v>10042</v>
      </c>
      <c r="P3288" s="17">
        <v>45632</v>
      </c>
      <c r="Q3288" s="4">
        <v>9</v>
      </c>
    </row>
    <row r="3289" spans="1:17" ht="30" x14ac:dyDescent="0.25">
      <c r="A3289" s="2" t="s">
        <v>3047</v>
      </c>
      <c r="B3289" s="3" t="s">
        <v>5015</v>
      </c>
      <c r="C3289" s="3">
        <v>48</v>
      </c>
      <c r="D3289" s="46" t="str">
        <f>IF(Tabla1[[#This Row],[EDAD]]&lt;=35,"Adultos jóvenes 18 - 35 años",IF(C3289&gt;=36,"Adultos mayores 36 años en adelante"))</f>
        <v>Adultos mayores 36 años en adelante</v>
      </c>
      <c r="E3289" s="3" t="s">
        <v>5018</v>
      </c>
      <c r="F3289" s="3" t="s">
        <v>5029</v>
      </c>
      <c r="G3289" s="3" t="s">
        <v>5037</v>
      </c>
      <c r="H3289" s="3" t="s">
        <v>8070</v>
      </c>
      <c r="I3289" s="17">
        <v>45505</v>
      </c>
      <c r="J3289" s="18">
        <f>YEAR(Tabla1[[#This Row],[FECHA DE COMPRA]])</f>
        <v>2024</v>
      </c>
      <c r="K3289" s="19">
        <v>188.62</v>
      </c>
      <c r="L3289" s="20">
        <v>0.2</v>
      </c>
      <c r="M3289" s="19">
        <f>Tienda!$K2936-Tienda!$K2936*Tienda!$L2936</f>
        <v>123.20699999999999</v>
      </c>
      <c r="N3289" s="3" t="s">
        <v>10040</v>
      </c>
      <c r="O3289" s="3" t="s">
        <v>10042</v>
      </c>
      <c r="P3289" s="17">
        <v>45865</v>
      </c>
      <c r="Q3289" s="4">
        <v>12</v>
      </c>
    </row>
    <row r="3290" spans="1:17" ht="30" x14ac:dyDescent="0.25">
      <c r="A3290" s="2" t="s">
        <v>1783</v>
      </c>
      <c r="B3290" s="3" t="s">
        <v>5015</v>
      </c>
      <c r="C3290" s="3">
        <v>60</v>
      </c>
      <c r="D3290" s="46" t="str">
        <f>IF(Tabla1[[#This Row],[EDAD]]&lt;=35,"Adultos jóvenes 18 - 35 años",IF(C3290&gt;=36,"Adultos mayores 36 años en adelante"))</f>
        <v>Adultos mayores 36 años en adelante</v>
      </c>
      <c r="E3290" s="3" t="s">
        <v>5017</v>
      </c>
      <c r="F3290" s="3" t="s">
        <v>5025</v>
      </c>
      <c r="G3290" s="3" t="s">
        <v>5033</v>
      </c>
      <c r="H3290" s="3" t="s">
        <v>6806</v>
      </c>
      <c r="I3290" s="17">
        <v>45482</v>
      </c>
      <c r="J3290" s="18">
        <f>YEAR(Tabla1[[#This Row],[FECHA DE COMPRA]])</f>
        <v>2024</v>
      </c>
      <c r="K3290" s="19">
        <v>189.27</v>
      </c>
      <c r="L3290" s="20">
        <v>0.2</v>
      </c>
      <c r="M3290" s="19">
        <f>Tienda!$K2938-Tienda!$K2938*Tienda!$L2938</f>
        <v>123.93</v>
      </c>
      <c r="N3290" s="3" t="s">
        <v>10040</v>
      </c>
      <c r="O3290" s="3" t="s">
        <v>10042</v>
      </c>
      <c r="P3290" s="17">
        <v>45662</v>
      </c>
      <c r="Q3290" s="4">
        <v>6</v>
      </c>
    </row>
    <row r="3291" spans="1:17" ht="30" x14ac:dyDescent="0.25">
      <c r="A3291" s="2" t="s">
        <v>669</v>
      </c>
      <c r="B3291" s="3" t="s">
        <v>5016</v>
      </c>
      <c r="C3291" s="3">
        <v>36</v>
      </c>
      <c r="D3291" s="46" t="str">
        <f>IF(Tabla1[[#This Row],[EDAD]]&lt;=35,"Adultos jóvenes 18 - 35 años",IF(C3291&gt;=36,"Adultos mayores 36 años en adelante"))</f>
        <v>Adultos mayores 36 años en adelante</v>
      </c>
      <c r="E3291" s="3" t="s">
        <v>5019</v>
      </c>
      <c r="F3291" s="3" t="s">
        <v>5027</v>
      </c>
      <c r="G3291" s="3" t="s">
        <v>5034</v>
      </c>
      <c r="H3291" s="3" t="s">
        <v>5692</v>
      </c>
      <c r="I3291" s="17">
        <v>45594</v>
      </c>
      <c r="J3291" s="18">
        <f>YEAR(Tabla1[[#This Row],[FECHA DE COMPRA]])</f>
        <v>2024</v>
      </c>
      <c r="K3291" s="19">
        <v>151.53</v>
      </c>
      <c r="L3291" s="20">
        <v>0</v>
      </c>
      <c r="M3291" s="19">
        <f>Tienda!$K2939-Tienda!$K2939*Tienda!$L2939</f>
        <v>124.565</v>
      </c>
      <c r="N3291" s="3" t="s">
        <v>10040</v>
      </c>
      <c r="O3291" s="3" t="s">
        <v>10042</v>
      </c>
      <c r="P3291" s="17">
        <v>45864</v>
      </c>
      <c r="Q3291" s="4">
        <v>9</v>
      </c>
    </row>
    <row r="3292" spans="1:17" ht="30" x14ac:dyDescent="0.25">
      <c r="A3292" s="2" t="s">
        <v>1437</v>
      </c>
      <c r="B3292" s="3" t="s">
        <v>5016</v>
      </c>
      <c r="C3292" s="3">
        <v>50</v>
      </c>
      <c r="D3292" s="46" t="str">
        <f>IF(Tabla1[[#This Row],[EDAD]]&lt;=35,"Adultos jóvenes 18 - 35 años",IF(C3292&gt;=36,"Adultos mayores 36 años en adelante"))</f>
        <v>Adultos mayores 36 años en adelante</v>
      </c>
      <c r="E3292" s="3" t="s">
        <v>5023</v>
      </c>
      <c r="F3292" s="3" t="s">
        <v>5030</v>
      </c>
      <c r="G3292" s="3" t="s">
        <v>5035</v>
      </c>
      <c r="H3292" s="3" t="s">
        <v>6460</v>
      </c>
      <c r="I3292" s="17">
        <v>45365</v>
      </c>
      <c r="J3292" s="18">
        <f>YEAR(Tabla1[[#This Row],[FECHA DE COMPRA]])</f>
        <v>2024</v>
      </c>
      <c r="K3292" s="19">
        <v>192.09</v>
      </c>
      <c r="L3292" s="20">
        <v>0.2</v>
      </c>
      <c r="M3292" s="19">
        <f>Tienda!$K2950-Tienda!$K2950*Tienda!$L2950</f>
        <v>133.44799999999998</v>
      </c>
      <c r="N3292" s="3" t="s">
        <v>10040</v>
      </c>
      <c r="O3292" s="3" t="s">
        <v>10042</v>
      </c>
      <c r="P3292" s="17">
        <v>45635</v>
      </c>
      <c r="Q3292" s="4">
        <v>9</v>
      </c>
    </row>
    <row r="3293" spans="1:17" ht="30" x14ac:dyDescent="0.25">
      <c r="A3293" s="2" t="s">
        <v>3895</v>
      </c>
      <c r="B3293" s="3" t="s">
        <v>5016</v>
      </c>
      <c r="C3293" s="3">
        <v>62</v>
      </c>
      <c r="D3293" s="46" t="str">
        <f>IF(Tabla1[[#This Row],[EDAD]]&lt;=35,"Adultos jóvenes 18 - 35 años",IF(C3293&gt;=36,"Adultos mayores 36 años en adelante"))</f>
        <v>Adultos mayores 36 años en adelante</v>
      </c>
      <c r="E3293" s="3" t="s">
        <v>5023</v>
      </c>
      <c r="F3293" s="3" t="s">
        <v>5030</v>
      </c>
      <c r="G3293" s="3" t="s">
        <v>5037</v>
      </c>
      <c r="H3293" s="3" t="s">
        <v>8918</v>
      </c>
      <c r="I3293" s="17">
        <v>45636</v>
      </c>
      <c r="J3293" s="18">
        <f>YEAR(Tabla1[[#This Row],[FECHA DE COMPRA]])</f>
        <v>2024</v>
      </c>
      <c r="K3293" s="19">
        <v>153.71</v>
      </c>
      <c r="L3293" s="20">
        <v>0</v>
      </c>
      <c r="M3293" s="19">
        <f>Tienda!$K2951-Tienda!$K2951*Tienda!$L2951</f>
        <v>133.839</v>
      </c>
      <c r="N3293" s="3" t="s">
        <v>10040</v>
      </c>
      <c r="O3293" s="3" t="s">
        <v>10042</v>
      </c>
      <c r="P3293" s="17">
        <v>45638</v>
      </c>
      <c r="Q3293" s="4">
        <v>6</v>
      </c>
    </row>
    <row r="3294" spans="1:17" ht="30" x14ac:dyDescent="0.25">
      <c r="A3294" s="2" t="s">
        <v>2670</v>
      </c>
      <c r="B3294" s="3" t="s">
        <v>5015</v>
      </c>
      <c r="C3294" s="3">
        <v>59</v>
      </c>
      <c r="D3294" s="46" t="str">
        <f>IF(Tabla1[[#This Row],[EDAD]]&lt;=35,"Adultos jóvenes 18 - 35 años",IF(C3294&gt;=36,"Adultos mayores 36 años en adelante"))</f>
        <v>Adultos mayores 36 años en adelante</v>
      </c>
      <c r="E3294" s="3" t="s">
        <v>5022</v>
      </c>
      <c r="F3294" s="3" t="s">
        <v>5024</v>
      </c>
      <c r="G3294" s="3" t="s">
        <v>5037</v>
      </c>
      <c r="H3294" s="3" t="s">
        <v>7693</v>
      </c>
      <c r="I3294" s="17">
        <v>45343</v>
      </c>
      <c r="J3294" s="18">
        <f>YEAR(Tabla1[[#This Row],[FECHA DE COMPRA]])</f>
        <v>2024</v>
      </c>
      <c r="K3294" s="19">
        <v>154.33000000000001</v>
      </c>
      <c r="L3294" s="20">
        <v>0</v>
      </c>
      <c r="M3294" s="19">
        <f>Tienda!$K2955-Tienda!$K2955*Tienda!$L2955</f>
        <v>136.35</v>
      </c>
      <c r="N3294" s="3" t="s">
        <v>10040</v>
      </c>
      <c r="O3294" s="3" t="s">
        <v>10042</v>
      </c>
      <c r="P3294" s="17">
        <v>45703</v>
      </c>
      <c r="Q3294" s="4">
        <v>12</v>
      </c>
    </row>
    <row r="3295" spans="1:17" ht="30" x14ac:dyDescent="0.25">
      <c r="A3295" s="2" t="s">
        <v>4013</v>
      </c>
      <c r="B3295" s="3" t="s">
        <v>5015</v>
      </c>
      <c r="C3295" s="3">
        <v>56</v>
      </c>
      <c r="D3295" s="46" t="str">
        <f>IF(Tabla1[[#This Row],[EDAD]]&lt;=35,"Adultos jóvenes 18 - 35 años",IF(C3295&gt;=36,"Adultos mayores 36 años en adelante"))</f>
        <v>Adultos mayores 36 años en adelante</v>
      </c>
      <c r="E3295" s="3" t="s">
        <v>5021</v>
      </c>
      <c r="F3295" s="3" t="s">
        <v>5026</v>
      </c>
      <c r="G3295" s="3" t="s">
        <v>5033</v>
      </c>
      <c r="H3295" s="3" t="s">
        <v>9036</v>
      </c>
      <c r="I3295" s="17">
        <v>45630</v>
      </c>
      <c r="J3295" s="18">
        <f>YEAR(Tabla1[[#This Row],[FECHA DE COMPRA]])</f>
        <v>2024</v>
      </c>
      <c r="K3295" s="19">
        <v>154.57</v>
      </c>
      <c r="L3295" s="20">
        <v>0</v>
      </c>
      <c r="M3295" s="19">
        <f>Tienda!$K2958-Tienda!$K2958*Tienda!$L2958</f>
        <v>137.17599999999999</v>
      </c>
      <c r="N3295" s="3" t="s">
        <v>10040</v>
      </c>
      <c r="O3295" s="3" t="s">
        <v>10042</v>
      </c>
      <c r="P3295" s="17">
        <v>45720</v>
      </c>
      <c r="Q3295" s="4">
        <v>3</v>
      </c>
    </row>
    <row r="3296" spans="1:17" ht="30" x14ac:dyDescent="0.25">
      <c r="A3296" s="2" t="s">
        <v>2188</v>
      </c>
      <c r="B3296" s="3" t="s">
        <v>5015</v>
      </c>
      <c r="C3296" s="3">
        <v>41</v>
      </c>
      <c r="D3296" s="46" t="str">
        <f>IF(Tabla1[[#This Row],[EDAD]]&lt;=35,"Adultos jóvenes 18 - 35 años",IF(C3296&gt;=36,"Adultos mayores 36 años en adelante"))</f>
        <v>Adultos mayores 36 años en adelante</v>
      </c>
      <c r="E3296" s="3" t="s">
        <v>5020</v>
      </c>
      <c r="F3296" s="3" t="s">
        <v>5026</v>
      </c>
      <c r="G3296" s="3" t="s">
        <v>5034</v>
      </c>
      <c r="H3296" s="3" t="s">
        <v>7211</v>
      </c>
      <c r="I3296" s="17">
        <v>45318</v>
      </c>
      <c r="J3296" s="18">
        <f>YEAR(Tabla1[[#This Row],[FECHA DE COMPRA]])</f>
        <v>2024</v>
      </c>
      <c r="K3296" s="19">
        <v>154.72</v>
      </c>
      <c r="L3296" s="20">
        <v>0</v>
      </c>
      <c r="M3296" s="19">
        <f>Tienda!$K2960-Tienda!$K2960*Tienda!$L2960</f>
        <v>138.41999999999999</v>
      </c>
      <c r="N3296" s="3" t="s">
        <v>10040</v>
      </c>
      <c r="O3296" s="3" t="s">
        <v>10042</v>
      </c>
      <c r="P3296" s="17">
        <v>45498</v>
      </c>
      <c r="Q3296" s="4">
        <v>6</v>
      </c>
    </row>
    <row r="3297" spans="1:17" ht="30" x14ac:dyDescent="0.25">
      <c r="A3297" s="2" t="s">
        <v>4651</v>
      </c>
      <c r="B3297" s="3" t="s">
        <v>5015</v>
      </c>
      <c r="C3297" s="3">
        <v>39</v>
      </c>
      <c r="D3297" s="46" t="str">
        <f>IF(Tabla1[[#This Row],[EDAD]]&lt;=35,"Adultos jóvenes 18 - 35 años",IF(C3297&gt;=36,"Adultos mayores 36 años en adelante"))</f>
        <v>Adultos mayores 36 años en adelante</v>
      </c>
      <c r="E3297" s="3" t="s">
        <v>5020</v>
      </c>
      <c r="F3297" s="3" t="s">
        <v>5028</v>
      </c>
      <c r="G3297" s="3" t="s">
        <v>5034</v>
      </c>
      <c r="H3297" s="3" t="s">
        <v>9674</v>
      </c>
      <c r="I3297" s="17">
        <v>45312</v>
      </c>
      <c r="J3297" s="18">
        <f>YEAR(Tabla1[[#This Row],[FECHA DE COMPRA]])</f>
        <v>2024</v>
      </c>
      <c r="K3297" s="19">
        <v>194.08</v>
      </c>
      <c r="L3297" s="20">
        <v>0.2</v>
      </c>
      <c r="M3297" s="19">
        <f>Tienda!$K2962-Tienda!$K2962*Tienda!$L2962</f>
        <v>139.72800000000001</v>
      </c>
      <c r="N3297" s="3" t="s">
        <v>10040</v>
      </c>
      <c r="O3297" s="3" t="s">
        <v>10042</v>
      </c>
      <c r="P3297" s="17">
        <v>45492</v>
      </c>
      <c r="Q3297" s="4">
        <v>6</v>
      </c>
    </row>
    <row r="3298" spans="1:17" ht="30" x14ac:dyDescent="0.25">
      <c r="A3298" s="2" t="s">
        <v>92</v>
      </c>
      <c r="B3298" s="3" t="s">
        <v>5015</v>
      </c>
      <c r="C3298" s="3">
        <v>46</v>
      </c>
      <c r="D3298" s="46" t="str">
        <f>IF(Tabla1[[#This Row],[EDAD]]&lt;=35,"Adultos jóvenes 18 - 35 años",IF(C3298&gt;=36,"Adultos mayores 36 años en adelante"))</f>
        <v>Adultos mayores 36 años en adelante</v>
      </c>
      <c r="E3298" s="3" t="s">
        <v>5022</v>
      </c>
      <c r="F3298" s="3" t="s">
        <v>5024</v>
      </c>
      <c r="G3298" s="3" t="s">
        <v>5036</v>
      </c>
      <c r="H3298" s="3" t="s">
        <v>5115</v>
      </c>
      <c r="I3298" s="17">
        <v>45397</v>
      </c>
      <c r="J3298" s="18">
        <f>YEAR(Tabla1[[#This Row],[FECHA DE COMPRA]])</f>
        <v>2024</v>
      </c>
      <c r="K3298" s="19">
        <v>196.91</v>
      </c>
      <c r="L3298" s="20">
        <v>0.2</v>
      </c>
      <c r="M3298" s="19">
        <f>Tienda!$K2974-Tienda!$K2974*Tienda!$L2974</f>
        <v>146.096</v>
      </c>
      <c r="N3298" s="3" t="s">
        <v>10040</v>
      </c>
      <c r="O3298" s="3" t="s">
        <v>10042</v>
      </c>
      <c r="P3298" s="17">
        <v>45757</v>
      </c>
      <c r="Q3298" s="4">
        <v>12</v>
      </c>
    </row>
    <row r="3299" spans="1:17" ht="30" x14ac:dyDescent="0.25">
      <c r="A3299" s="2" t="s">
        <v>2941</v>
      </c>
      <c r="B3299" s="3" t="s">
        <v>5015</v>
      </c>
      <c r="C3299" s="3">
        <v>54</v>
      </c>
      <c r="D3299" s="46" t="str">
        <f>IF(Tabla1[[#This Row],[EDAD]]&lt;=35,"Adultos jóvenes 18 - 35 años",IF(C3299&gt;=36,"Adultos mayores 36 años en adelante"))</f>
        <v>Adultos mayores 36 años en adelante</v>
      </c>
      <c r="E3299" s="3" t="s">
        <v>5018</v>
      </c>
      <c r="F3299" s="3" t="s">
        <v>5028</v>
      </c>
      <c r="G3299" s="3" t="s">
        <v>5033</v>
      </c>
      <c r="H3299" s="3" t="s">
        <v>7964</v>
      </c>
      <c r="I3299" s="17">
        <v>45630</v>
      </c>
      <c r="J3299" s="18">
        <f>YEAR(Tabla1[[#This Row],[FECHA DE COMPRA]])</f>
        <v>2024</v>
      </c>
      <c r="K3299" s="19">
        <v>197.13</v>
      </c>
      <c r="L3299" s="20">
        <v>0.2</v>
      </c>
      <c r="M3299" s="19">
        <f>Tienda!$K2977-Tienda!$K2977*Tienda!$L2977</f>
        <v>148.464</v>
      </c>
      <c r="N3299" s="3" t="s">
        <v>10040</v>
      </c>
      <c r="O3299" s="3" t="s">
        <v>10042</v>
      </c>
      <c r="P3299" s="17">
        <v>45810</v>
      </c>
      <c r="Q3299" s="4">
        <v>6</v>
      </c>
    </row>
    <row r="3300" spans="1:17" ht="30" x14ac:dyDescent="0.25">
      <c r="A3300" s="2" t="s">
        <v>3042</v>
      </c>
      <c r="B3300" s="3" t="s">
        <v>5015</v>
      </c>
      <c r="C3300" s="3">
        <v>36</v>
      </c>
      <c r="D3300" s="46" t="str">
        <f>IF(Tabla1[[#This Row],[EDAD]]&lt;=35,"Adultos jóvenes 18 - 35 años",IF(C3300&gt;=36,"Adultos mayores 36 años en adelante"))</f>
        <v>Adultos mayores 36 años en adelante</v>
      </c>
      <c r="E3300" s="3" t="s">
        <v>5020</v>
      </c>
      <c r="F3300" s="3" t="s">
        <v>5028</v>
      </c>
      <c r="G3300" s="3" t="s">
        <v>5033</v>
      </c>
      <c r="H3300" s="3" t="s">
        <v>8065</v>
      </c>
      <c r="I3300" s="17">
        <v>45393</v>
      </c>
      <c r="J3300" s="18">
        <f>YEAR(Tabla1[[#This Row],[FECHA DE COMPRA]])</f>
        <v>2024</v>
      </c>
      <c r="K3300" s="19">
        <v>177.55</v>
      </c>
      <c r="L3300" s="20">
        <v>0.1</v>
      </c>
      <c r="M3300" s="19">
        <f>Tienda!$K2984-Tienda!$K2984*Tienda!$L2984</f>
        <v>152.60400000000001</v>
      </c>
      <c r="N3300" s="3" t="s">
        <v>10040</v>
      </c>
      <c r="O3300" s="3" t="s">
        <v>10042</v>
      </c>
      <c r="P3300" s="17">
        <v>45483</v>
      </c>
      <c r="Q3300" s="4">
        <v>3</v>
      </c>
    </row>
    <row r="3301" spans="1:17" ht="30" x14ac:dyDescent="0.25">
      <c r="A3301" s="2" t="s">
        <v>1299</v>
      </c>
      <c r="B3301" s="3" t="s">
        <v>5015</v>
      </c>
      <c r="C3301" s="3">
        <v>49</v>
      </c>
      <c r="D3301" s="46" t="str">
        <f>IF(Tabla1[[#This Row],[EDAD]]&lt;=35,"Adultos jóvenes 18 - 35 años",IF(C3301&gt;=36,"Adultos mayores 36 años en adelante"))</f>
        <v>Adultos mayores 36 años en adelante</v>
      </c>
      <c r="E3301" s="3" t="s">
        <v>5019</v>
      </c>
      <c r="F3301" s="3" t="s">
        <v>5025</v>
      </c>
      <c r="G3301" s="3" t="s">
        <v>5037</v>
      </c>
      <c r="H3301" s="3" t="s">
        <v>6322</v>
      </c>
      <c r="I3301" s="17">
        <v>45423</v>
      </c>
      <c r="J3301" s="18">
        <f>YEAR(Tabla1[[#This Row],[FECHA DE COMPRA]])</f>
        <v>2024</v>
      </c>
      <c r="K3301" s="19">
        <v>177.56</v>
      </c>
      <c r="L3301" s="20">
        <v>0.1</v>
      </c>
      <c r="M3301" s="19">
        <f>Tienda!$K2985-Tienda!$K2985*Tienda!$L2985</f>
        <v>153.01600000000002</v>
      </c>
      <c r="N3301" s="3" t="s">
        <v>10040</v>
      </c>
      <c r="O3301" s="3" t="s">
        <v>10042</v>
      </c>
      <c r="P3301" s="17">
        <v>45513</v>
      </c>
      <c r="Q3301" s="4">
        <v>3</v>
      </c>
    </row>
    <row r="3302" spans="1:17" ht="30" x14ac:dyDescent="0.25">
      <c r="A3302" s="2" t="s">
        <v>4143</v>
      </c>
      <c r="B3302" s="3" t="s">
        <v>5015</v>
      </c>
      <c r="C3302" s="3">
        <v>45</v>
      </c>
      <c r="D3302" s="46" t="str">
        <f>IF(Tabla1[[#This Row],[EDAD]]&lt;=35,"Adultos jóvenes 18 - 35 años",IF(C3302&gt;=36,"Adultos mayores 36 años en adelante"))</f>
        <v>Adultos mayores 36 años en adelante</v>
      </c>
      <c r="E3302" s="3" t="s">
        <v>5020</v>
      </c>
      <c r="F3302" s="3" t="s">
        <v>5029</v>
      </c>
      <c r="G3302" s="3" t="s">
        <v>5036</v>
      </c>
      <c r="H3302" s="3" t="s">
        <v>9166</v>
      </c>
      <c r="I3302" s="17">
        <v>45638</v>
      </c>
      <c r="J3302" s="18">
        <f>YEAR(Tabla1[[#This Row],[FECHA DE COMPRA]])</f>
        <v>2024</v>
      </c>
      <c r="K3302" s="19">
        <v>161.54</v>
      </c>
      <c r="L3302" s="20">
        <v>0</v>
      </c>
      <c r="M3302" s="19">
        <f>Tienda!$K2991-Tienda!$K2991*Tienda!$L2991</f>
        <v>155.97900000000001</v>
      </c>
      <c r="N3302" s="3" t="s">
        <v>10040</v>
      </c>
      <c r="O3302" s="3" t="s">
        <v>10042</v>
      </c>
      <c r="P3302" s="17">
        <v>45728</v>
      </c>
      <c r="Q3302" s="4">
        <v>3</v>
      </c>
    </row>
    <row r="3303" spans="1:17" ht="30" x14ac:dyDescent="0.25">
      <c r="A3303" s="2" t="s">
        <v>44</v>
      </c>
      <c r="B3303" s="3" t="s">
        <v>5015</v>
      </c>
      <c r="C3303" s="3">
        <v>49</v>
      </c>
      <c r="D3303" s="46" t="str">
        <f>IF(Tabla1[[#This Row],[EDAD]]&lt;=35,"Adultos jóvenes 18 - 35 años",IF(C3303&gt;=36,"Adultos mayores 36 años en adelante"))</f>
        <v>Adultos mayores 36 años en adelante</v>
      </c>
      <c r="E3303" s="3" t="s">
        <v>5021</v>
      </c>
      <c r="F3303" s="3" t="s">
        <v>5024</v>
      </c>
      <c r="G3303" s="3" t="s">
        <v>5036</v>
      </c>
      <c r="H3303" s="3" t="s">
        <v>5067</v>
      </c>
      <c r="I3303" s="17">
        <v>45572</v>
      </c>
      <c r="J3303" s="18">
        <f>YEAR(Tabla1[[#This Row],[FECHA DE COMPRA]])</f>
        <v>2024</v>
      </c>
      <c r="K3303" s="19">
        <v>162.29</v>
      </c>
      <c r="L3303" s="20">
        <v>0</v>
      </c>
      <c r="M3303" s="19">
        <f>Tienda!$K2994-Tienda!$K2994*Tienda!$L2994</f>
        <v>156.464</v>
      </c>
      <c r="N3303" s="3" t="s">
        <v>10040</v>
      </c>
      <c r="O3303" s="3" t="s">
        <v>10042</v>
      </c>
      <c r="P3303" s="17">
        <v>45752</v>
      </c>
      <c r="Q3303" s="4">
        <v>6</v>
      </c>
    </row>
    <row r="3304" spans="1:17" ht="30" x14ac:dyDescent="0.25">
      <c r="A3304" s="2" t="s">
        <v>1194</v>
      </c>
      <c r="B3304" s="3" t="s">
        <v>5015</v>
      </c>
      <c r="C3304" s="3">
        <v>63</v>
      </c>
      <c r="D3304" s="46" t="str">
        <f>IF(Tabla1[[#This Row],[EDAD]]&lt;=35,"Adultos jóvenes 18 - 35 años",IF(C3304&gt;=36,"Adultos mayores 36 años en adelante"))</f>
        <v>Adultos mayores 36 años en adelante</v>
      </c>
      <c r="E3304" s="3" t="s">
        <v>5018</v>
      </c>
      <c r="F3304" s="3" t="s">
        <v>5027</v>
      </c>
      <c r="G3304" s="3" t="s">
        <v>5037</v>
      </c>
      <c r="H3304" s="3" t="s">
        <v>6217</v>
      </c>
      <c r="I3304" s="17">
        <v>45398</v>
      </c>
      <c r="J3304" s="18">
        <f>YEAR(Tabla1[[#This Row],[FECHA DE COMPRA]])</f>
        <v>2024</v>
      </c>
      <c r="K3304" s="19">
        <v>182.83</v>
      </c>
      <c r="L3304" s="20">
        <v>0.1</v>
      </c>
      <c r="M3304" s="19">
        <f>Tienda!$K2999-Tienda!$K2999*Tienda!$L2999</f>
        <v>158.536</v>
      </c>
      <c r="N3304" s="3" t="s">
        <v>10040</v>
      </c>
      <c r="O3304" s="3" t="s">
        <v>10042</v>
      </c>
      <c r="P3304" s="17">
        <v>45578</v>
      </c>
      <c r="Q3304" s="4">
        <v>6</v>
      </c>
    </row>
    <row r="3305" spans="1:17" ht="30" x14ac:dyDescent="0.25">
      <c r="A3305" s="2" t="s">
        <v>1908</v>
      </c>
      <c r="B3305" s="3" t="s">
        <v>5015</v>
      </c>
      <c r="C3305" s="3">
        <v>40</v>
      </c>
      <c r="D3305" s="46" t="str">
        <f>IF(Tabla1[[#This Row],[EDAD]]&lt;=35,"Adultos jóvenes 18 - 35 años",IF(C3305&gt;=36,"Adultos mayores 36 años en adelante"))</f>
        <v>Adultos mayores 36 años en adelante</v>
      </c>
      <c r="E3305" s="3" t="s">
        <v>5022</v>
      </c>
      <c r="F3305" s="3" t="s">
        <v>5027</v>
      </c>
      <c r="G3305" s="3" t="s">
        <v>5035</v>
      </c>
      <c r="H3305" s="3" t="s">
        <v>6931</v>
      </c>
      <c r="I3305" s="17">
        <v>45395</v>
      </c>
      <c r="J3305" s="18">
        <f>YEAR(Tabla1[[#This Row],[FECHA DE COMPRA]])</f>
        <v>2024</v>
      </c>
      <c r="K3305" s="19">
        <v>169.54</v>
      </c>
      <c r="L3305" s="20">
        <v>0</v>
      </c>
      <c r="M3305" s="19">
        <f>Tienda!$K3017-Tienda!$K3017*Tienda!$L3017</f>
        <v>179.44</v>
      </c>
      <c r="N3305" s="3" t="s">
        <v>10040</v>
      </c>
      <c r="O3305" s="3" t="s">
        <v>10042</v>
      </c>
      <c r="P3305" s="17">
        <v>45755</v>
      </c>
      <c r="Q3305" s="4">
        <v>12</v>
      </c>
    </row>
    <row r="3306" spans="1:17" ht="30" x14ac:dyDescent="0.25">
      <c r="A3306" s="2" t="s">
        <v>1068</v>
      </c>
      <c r="B3306" s="3" t="s">
        <v>5015</v>
      </c>
      <c r="C3306" s="3">
        <v>63</v>
      </c>
      <c r="D3306" s="46" t="str">
        <f>IF(Tabla1[[#This Row],[EDAD]]&lt;=35,"Adultos jóvenes 18 - 35 años",IF(C3306&gt;=36,"Adultos mayores 36 años en adelante"))</f>
        <v>Adultos mayores 36 años en adelante</v>
      </c>
      <c r="E3306" s="3" t="s">
        <v>5022</v>
      </c>
      <c r="F3306" s="3" t="s">
        <v>5030</v>
      </c>
      <c r="G3306" s="3" t="s">
        <v>5035</v>
      </c>
      <c r="H3306" s="3" t="s">
        <v>6091</v>
      </c>
      <c r="I3306" s="17">
        <v>45599</v>
      </c>
      <c r="J3306" s="18">
        <f>YEAR(Tabla1[[#This Row],[FECHA DE COMPRA]])</f>
        <v>2024</v>
      </c>
      <c r="K3306" s="19">
        <v>170.08</v>
      </c>
      <c r="L3306" s="20">
        <v>0</v>
      </c>
      <c r="M3306" s="19">
        <f>Tienda!$K3020-Tienda!$K3020*Tienda!$L3020</f>
        <v>181.09</v>
      </c>
      <c r="N3306" s="3" t="s">
        <v>10040</v>
      </c>
      <c r="O3306" s="3" t="s">
        <v>10042</v>
      </c>
      <c r="P3306" s="17">
        <v>45869</v>
      </c>
      <c r="Q3306" s="4">
        <v>9</v>
      </c>
    </row>
    <row r="3307" spans="1:17" ht="30" x14ac:dyDescent="0.25">
      <c r="A3307" s="2" t="s">
        <v>4107</v>
      </c>
      <c r="B3307" s="3" t="s">
        <v>5015</v>
      </c>
      <c r="C3307" s="3">
        <v>45</v>
      </c>
      <c r="D3307" s="46" t="str">
        <f>IF(Tabla1[[#This Row],[EDAD]]&lt;=35,"Adultos jóvenes 18 - 35 años",IF(C3307&gt;=36,"Adultos mayores 36 años en adelante"))</f>
        <v>Adultos mayores 36 años en adelante</v>
      </c>
      <c r="E3307" s="3" t="s">
        <v>5022</v>
      </c>
      <c r="F3307" s="3" t="s">
        <v>5027</v>
      </c>
      <c r="G3307" s="3" t="s">
        <v>5031</v>
      </c>
      <c r="H3307" s="3" t="s">
        <v>9130</v>
      </c>
      <c r="I3307" s="17">
        <v>45528</v>
      </c>
      <c r="J3307" s="18">
        <f>YEAR(Tabla1[[#This Row],[FECHA DE COMPRA]])</f>
        <v>2024</v>
      </c>
      <c r="K3307" s="19">
        <v>170.81</v>
      </c>
      <c r="L3307" s="20">
        <v>0</v>
      </c>
      <c r="M3307" s="19">
        <f>Tienda!$K3026-Tienda!$K3026*Tienda!$L3026</f>
        <v>189.32</v>
      </c>
      <c r="N3307" s="3" t="s">
        <v>10040</v>
      </c>
      <c r="O3307" s="3" t="s">
        <v>10042</v>
      </c>
      <c r="P3307" s="17">
        <v>45798</v>
      </c>
      <c r="Q3307" s="4">
        <v>9</v>
      </c>
    </row>
    <row r="3308" spans="1:17" ht="30" x14ac:dyDescent="0.25">
      <c r="A3308" s="2" t="s">
        <v>4243</v>
      </c>
      <c r="B3308" s="3" t="s">
        <v>5015</v>
      </c>
      <c r="C3308" s="3">
        <v>45</v>
      </c>
      <c r="D3308" s="46" t="str">
        <f>IF(Tabla1[[#This Row],[EDAD]]&lt;=35,"Adultos jóvenes 18 - 35 años",IF(C3308&gt;=36,"Adultos mayores 36 años en adelante"))</f>
        <v>Adultos mayores 36 años en adelante</v>
      </c>
      <c r="E3308" s="3" t="s">
        <v>5023</v>
      </c>
      <c r="F3308" s="3" t="s">
        <v>5027</v>
      </c>
      <c r="G3308" s="3" t="s">
        <v>5031</v>
      </c>
      <c r="H3308" s="3" t="s">
        <v>9266</v>
      </c>
      <c r="I3308" s="17">
        <v>45487</v>
      </c>
      <c r="J3308" s="18">
        <f>YEAR(Tabla1[[#This Row],[FECHA DE COMPRA]])</f>
        <v>2024</v>
      </c>
      <c r="K3308" s="19">
        <v>171.77</v>
      </c>
      <c r="L3308" s="20">
        <v>0</v>
      </c>
      <c r="M3308" s="19">
        <f>Tienda!$K3027-Tienda!$K3027*Tienda!$L3027</f>
        <v>193.44</v>
      </c>
      <c r="N3308" s="3" t="s">
        <v>10040</v>
      </c>
      <c r="O3308" s="3" t="s">
        <v>10042</v>
      </c>
      <c r="P3308" s="17">
        <v>45757</v>
      </c>
      <c r="Q3308" s="4">
        <v>9</v>
      </c>
    </row>
    <row r="3309" spans="1:17" ht="30" x14ac:dyDescent="0.25">
      <c r="A3309" s="2" t="s">
        <v>2510</v>
      </c>
      <c r="B3309" s="3" t="s">
        <v>5015</v>
      </c>
      <c r="C3309" s="3">
        <v>50</v>
      </c>
      <c r="D3309" s="46" t="str">
        <f>IF(Tabla1[[#This Row],[EDAD]]&lt;=35,"Adultos jóvenes 18 - 35 años",IF(C3309&gt;=36,"Adultos mayores 36 años en adelante"))</f>
        <v>Adultos mayores 36 años en adelante</v>
      </c>
      <c r="E3309" s="3" t="s">
        <v>5020</v>
      </c>
      <c r="F3309" s="3" t="s">
        <v>5024</v>
      </c>
      <c r="G3309" s="3" t="s">
        <v>5037</v>
      </c>
      <c r="H3309" s="3" t="s">
        <v>7533</v>
      </c>
      <c r="I3309" s="17">
        <v>45471</v>
      </c>
      <c r="J3309" s="18">
        <f>YEAR(Tabla1[[#This Row],[FECHA DE COMPRA]])</f>
        <v>2024</v>
      </c>
      <c r="K3309" s="19">
        <v>172.41</v>
      </c>
      <c r="L3309" s="20">
        <v>0</v>
      </c>
      <c r="M3309" s="19">
        <f>Tienda!$K3028-Tienda!$K3028*Tienda!$L3028</f>
        <v>197.71</v>
      </c>
      <c r="N3309" s="3" t="s">
        <v>10040</v>
      </c>
      <c r="O3309" s="3" t="s">
        <v>10042</v>
      </c>
      <c r="P3309" s="17">
        <v>45651</v>
      </c>
      <c r="Q3309" s="4">
        <v>6</v>
      </c>
    </row>
    <row r="3310" spans="1:17" ht="30" x14ac:dyDescent="0.25">
      <c r="A3310" s="2" t="s">
        <v>4724</v>
      </c>
      <c r="B3310" s="3" t="s">
        <v>5015</v>
      </c>
      <c r="C3310" s="3">
        <v>61</v>
      </c>
      <c r="D3310" s="46" t="str">
        <f>IF(Tabla1[[#This Row],[EDAD]]&lt;=35,"Adultos jóvenes 18 - 35 años",IF(C3310&gt;=36,"Adultos mayores 36 años en adelante"))</f>
        <v>Adultos mayores 36 años en adelante</v>
      </c>
      <c r="E3310" s="3" t="s">
        <v>5018</v>
      </c>
      <c r="F3310" s="3" t="s">
        <v>5029</v>
      </c>
      <c r="G3310" s="3" t="s">
        <v>5034</v>
      </c>
      <c r="H3310" s="3" t="s">
        <v>9747</v>
      </c>
      <c r="I3310" s="17">
        <v>45649</v>
      </c>
      <c r="J3310" s="18">
        <f>YEAR(Tabla1[[#This Row],[FECHA DE COMPRA]])</f>
        <v>2024</v>
      </c>
      <c r="K3310" s="19">
        <v>173.61</v>
      </c>
      <c r="L3310" s="20">
        <v>0</v>
      </c>
      <c r="M3310" s="19">
        <f>Tienda!$K3034-Tienda!$K3034*Tienda!$L3034</f>
        <v>11.616</v>
      </c>
      <c r="N3310" s="3" t="s">
        <v>10040</v>
      </c>
      <c r="O3310" s="3" t="s">
        <v>10042</v>
      </c>
      <c r="P3310" s="17">
        <v>45657</v>
      </c>
      <c r="Q3310" s="4">
        <v>12</v>
      </c>
    </row>
    <row r="3311" spans="1:17" ht="30" x14ac:dyDescent="0.25">
      <c r="A3311" s="2" t="s">
        <v>24</v>
      </c>
      <c r="B3311" s="3" t="s">
        <v>5015</v>
      </c>
      <c r="C3311" s="3">
        <v>53</v>
      </c>
      <c r="D3311" s="46" t="str">
        <f>IF(Tabla1[[#This Row],[EDAD]]&lt;=35,"Adultos jóvenes 18 - 35 años",IF(C3311&gt;=36,"Adultos mayores 36 años en adelante"))</f>
        <v>Adultos mayores 36 años en adelante</v>
      </c>
      <c r="E3311" s="3" t="s">
        <v>5022</v>
      </c>
      <c r="F3311" s="3" t="s">
        <v>5024</v>
      </c>
      <c r="G3311" s="3" t="s">
        <v>5037</v>
      </c>
      <c r="H3311" s="3" t="s">
        <v>5047</v>
      </c>
      <c r="I3311" s="17">
        <v>45440</v>
      </c>
      <c r="J3311" s="18">
        <f>YEAR(Tabla1[[#This Row],[FECHA DE COMPRA]])</f>
        <v>2024</v>
      </c>
      <c r="K3311" s="19">
        <v>174</v>
      </c>
      <c r="L3311" s="20">
        <v>0</v>
      </c>
      <c r="M3311" s="19">
        <f>Tienda!$K3036-Tienda!$K3036*Tienda!$L3036</f>
        <v>12.523</v>
      </c>
      <c r="N3311" s="3" t="s">
        <v>10040</v>
      </c>
      <c r="O3311" s="3" t="s">
        <v>10042</v>
      </c>
      <c r="P3311" s="17">
        <v>45530</v>
      </c>
      <c r="Q3311" s="4">
        <v>3</v>
      </c>
    </row>
    <row r="3312" spans="1:17" ht="30" x14ac:dyDescent="0.25">
      <c r="A3312" s="2" t="s">
        <v>2094</v>
      </c>
      <c r="B3312" s="3" t="s">
        <v>5015</v>
      </c>
      <c r="C3312" s="3">
        <v>45</v>
      </c>
      <c r="D3312" s="46" t="str">
        <f>IF(Tabla1[[#This Row],[EDAD]]&lt;=35,"Adultos jóvenes 18 - 35 años",IF(C3312&gt;=36,"Adultos mayores 36 años en adelante"))</f>
        <v>Adultos mayores 36 años en adelante</v>
      </c>
      <c r="E3312" s="3" t="s">
        <v>5021</v>
      </c>
      <c r="F3312" s="3" t="s">
        <v>5024</v>
      </c>
      <c r="G3312" s="3" t="s">
        <v>5031</v>
      </c>
      <c r="H3312" s="3" t="s">
        <v>7117</v>
      </c>
      <c r="I3312" s="17">
        <v>45392</v>
      </c>
      <c r="J3312" s="18">
        <f>YEAR(Tabla1[[#This Row],[FECHA DE COMPRA]])</f>
        <v>2024</v>
      </c>
      <c r="K3312" s="19">
        <v>194.55</v>
      </c>
      <c r="L3312" s="20">
        <v>0.1</v>
      </c>
      <c r="M3312" s="19">
        <f>Tienda!$K3038-Tienda!$K3038*Tienda!$L3038</f>
        <v>13.713000000000001</v>
      </c>
      <c r="N3312" s="3" t="s">
        <v>10040</v>
      </c>
      <c r="O3312" s="3" t="s">
        <v>10042</v>
      </c>
      <c r="P3312" s="17">
        <v>45662</v>
      </c>
      <c r="Q3312" s="4">
        <v>9</v>
      </c>
    </row>
    <row r="3313" spans="1:17" ht="30" x14ac:dyDescent="0.25">
      <c r="A3313" s="2" t="s">
        <v>4030</v>
      </c>
      <c r="B3313" s="3" t="s">
        <v>5015</v>
      </c>
      <c r="C3313" s="3">
        <v>52</v>
      </c>
      <c r="D3313" s="46" t="str">
        <f>IF(Tabla1[[#This Row],[EDAD]]&lt;=35,"Adultos jóvenes 18 - 35 años",IF(C3313&gt;=36,"Adultos mayores 36 años en adelante"))</f>
        <v>Adultos mayores 36 años en adelante</v>
      </c>
      <c r="E3313" s="3" t="s">
        <v>5018</v>
      </c>
      <c r="F3313" s="3" t="s">
        <v>5029</v>
      </c>
      <c r="G3313" s="3" t="s">
        <v>5035</v>
      </c>
      <c r="H3313" s="3" t="s">
        <v>9053</v>
      </c>
      <c r="I3313" s="17">
        <v>45639</v>
      </c>
      <c r="J3313" s="18">
        <f>YEAR(Tabla1[[#This Row],[FECHA DE COMPRA]])</f>
        <v>2024</v>
      </c>
      <c r="K3313" s="19">
        <v>176.68</v>
      </c>
      <c r="L3313" s="20">
        <v>0</v>
      </c>
      <c r="M3313" s="19">
        <f>Tienda!$K3040-Tienda!$K3040*Tienda!$L3040</f>
        <v>16.677</v>
      </c>
      <c r="N3313" s="3" t="s">
        <v>10040</v>
      </c>
      <c r="O3313" s="3" t="s">
        <v>10042</v>
      </c>
      <c r="P3313" s="17">
        <v>45909</v>
      </c>
      <c r="Q3313" s="4">
        <v>9</v>
      </c>
    </row>
    <row r="3314" spans="1:17" ht="30" x14ac:dyDescent="0.25">
      <c r="A3314" s="2" t="s">
        <v>723</v>
      </c>
      <c r="B3314" s="3" t="s">
        <v>5016</v>
      </c>
      <c r="C3314" s="3">
        <v>62</v>
      </c>
      <c r="D3314" s="46" t="str">
        <f>IF(Tabla1[[#This Row],[EDAD]]&lt;=35,"Adultos jóvenes 18 - 35 años",IF(C3314&gt;=36,"Adultos mayores 36 años en adelante"))</f>
        <v>Adultos mayores 36 años en adelante</v>
      </c>
      <c r="E3314" s="3" t="s">
        <v>5019</v>
      </c>
      <c r="F3314" s="3" t="s">
        <v>5030</v>
      </c>
      <c r="G3314" s="3" t="s">
        <v>5031</v>
      </c>
      <c r="H3314" s="3" t="s">
        <v>5746</v>
      </c>
      <c r="I3314" s="17">
        <v>45649</v>
      </c>
      <c r="J3314" s="18">
        <f>YEAR(Tabla1[[#This Row],[FECHA DE COMPRA]])</f>
        <v>2024</v>
      </c>
      <c r="K3314" s="19">
        <v>196.83</v>
      </c>
      <c r="L3314" s="20">
        <v>0.1</v>
      </c>
      <c r="M3314" s="19">
        <f>Tienda!$K3044-Tienda!$K3044*Tienda!$L3044</f>
        <v>18.241999999999997</v>
      </c>
      <c r="N3314" s="3" t="s">
        <v>10040</v>
      </c>
      <c r="O3314" s="3" t="s">
        <v>10042</v>
      </c>
      <c r="P3314" s="17">
        <v>45655</v>
      </c>
      <c r="Q3314" s="4">
        <v>12</v>
      </c>
    </row>
    <row r="3315" spans="1:17" ht="30" x14ac:dyDescent="0.25">
      <c r="A3315" s="2" t="s">
        <v>1315</v>
      </c>
      <c r="B3315" s="3" t="s">
        <v>5016</v>
      </c>
      <c r="C3315" s="3">
        <v>60</v>
      </c>
      <c r="D3315" s="46" t="str">
        <f>IF(Tabla1[[#This Row],[EDAD]]&lt;=35,"Adultos jóvenes 18 - 35 años",IF(C3315&gt;=36,"Adultos mayores 36 años en adelante"))</f>
        <v>Adultos mayores 36 años en adelante</v>
      </c>
      <c r="E3315" s="3" t="s">
        <v>5021</v>
      </c>
      <c r="F3315" s="3" t="s">
        <v>5027</v>
      </c>
      <c r="G3315" s="3" t="s">
        <v>5035</v>
      </c>
      <c r="H3315" s="3" t="s">
        <v>6338</v>
      </c>
      <c r="I3315" s="17">
        <v>45315</v>
      </c>
      <c r="J3315" s="18">
        <f>YEAR(Tabla1[[#This Row],[FECHA DE COMPRA]])</f>
        <v>2024</v>
      </c>
      <c r="K3315" s="19">
        <v>178.98</v>
      </c>
      <c r="L3315" s="20">
        <v>0</v>
      </c>
      <c r="M3315" s="19">
        <f>Tienda!$K3051-Tienda!$K3051*Tienda!$L3051</f>
        <v>19.558</v>
      </c>
      <c r="N3315" s="3" t="s">
        <v>10040</v>
      </c>
      <c r="O3315" s="3" t="s">
        <v>10042</v>
      </c>
      <c r="P3315" s="17">
        <v>45585</v>
      </c>
      <c r="Q3315" s="4">
        <v>9</v>
      </c>
    </row>
    <row r="3316" spans="1:17" ht="30" x14ac:dyDescent="0.25">
      <c r="A3316" s="2" t="s">
        <v>1963</v>
      </c>
      <c r="B3316" s="3" t="s">
        <v>5015</v>
      </c>
      <c r="C3316" s="3">
        <v>36</v>
      </c>
      <c r="D3316" s="46" t="str">
        <f>IF(Tabla1[[#This Row],[EDAD]]&lt;=35,"Adultos jóvenes 18 - 35 años",IF(C3316&gt;=36,"Adultos mayores 36 años en adelante"))</f>
        <v>Adultos mayores 36 años en adelante</v>
      </c>
      <c r="E3316" s="3" t="s">
        <v>5020</v>
      </c>
      <c r="F3316" s="3" t="s">
        <v>5025</v>
      </c>
      <c r="G3316" s="3" t="s">
        <v>5037</v>
      </c>
      <c r="H3316" s="3" t="s">
        <v>6986</v>
      </c>
      <c r="I3316" s="17">
        <v>45368</v>
      </c>
      <c r="J3316" s="18">
        <f>YEAR(Tabla1[[#This Row],[FECHA DE COMPRA]])</f>
        <v>2024</v>
      </c>
      <c r="K3316" s="19">
        <v>198.89</v>
      </c>
      <c r="L3316" s="20">
        <v>0.1</v>
      </c>
      <c r="M3316" s="19">
        <f>Tienda!$K3052-Tienda!$K3052*Tienda!$L3052</f>
        <v>19.584000000000003</v>
      </c>
      <c r="N3316" s="3" t="s">
        <v>10040</v>
      </c>
      <c r="O3316" s="3" t="s">
        <v>10042</v>
      </c>
      <c r="P3316" s="17">
        <v>45638</v>
      </c>
      <c r="Q3316" s="4">
        <v>9</v>
      </c>
    </row>
    <row r="3317" spans="1:17" ht="30" x14ac:dyDescent="0.25">
      <c r="A3317" s="2" t="s">
        <v>1722</v>
      </c>
      <c r="B3317" s="3" t="s">
        <v>5015</v>
      </c>
      <c r="C3317" s="3">
        <v>61</v>
      </c>
      <c r="D3317" s="46" t="str">
        <f>IF(Tabla1[[#This Row],[EDAD]]&lt;=35,"Adultos jóvenes 18 - 35 años",IF(C3317&gt;=36,"Adultos mayores 36 años en adelante"))</f>
        <v>Adultos mayores 36 años en adelante</v>
      </c>
      <c r="E3317" s="3" t="s">
        <v>5018</v>
      </c>
      <c r="F3317" s="3" t="s">
        <v>5029</v>
      </c>
      <c r="G3317" s="3" t="s">
        <v>5031</v>
      </c>
      <c r="H3317" s="3" t="s">
        <v>6745</v>
      </c>
      <c r="I3317" s="17">
        <v>45335</v>
      </c>
      <c r="J3317" s="18">
        <f>YEAR(Tabla1[[#This Row],[FECHA DE COMPRA]])</f>
        <v>2024</v>
      </c>
      <c r="K3317" s="19">
        <v>199.02</v>
      </c>
      <c r="L3317" s="20">
        <v>0.1</v>
      </c>
      <c r="M3317" s="19">
        <f>Tienda!$K3054-Tienda!$K3054*Tienda!$L3054</f>
        <v>22.568000000000001</v>
      </c>
      <c r="N3317" s="3" t="s">
        <v>10040</v>
      </c>
      <c r="O3317" s="3" t="s">
        <v>10042</v>
      </c>
      <c r="P3317" s="17">
        <v>45457</v>
      </c>
      <c r="Q3317" s="4">
        <v>3</v>
      </c>
    </row>
    <row r="3318" spans="1:17" ht="30" x14ac:dyDescent="0.25">
      <c r="A3318" s="2" t="s">
        <v>1949</v>
      </c>
      <c r="B3318" s="3" t="s">
        <v>5016</v>
      </c>
      <c r="C3318" s="3">
        <v>55</v>
      </c>
      <c r="D3318" s="46" t="str">
        <f>IF(Tabla1[[#This Row],[EDAD]]&lt;=35,"Adultos jóvenes 18 - 35 años",IF(C3318&gt;=36,"Adultos mayores 36 años en adelante"))</f>
        <v>Adultos mayores 36 años en adelante</v>
      </c>
      <c r="E3318" s="3" t="s">
        <v>5021</v>
      </c>
      <c r="F3318" s="3" t="s">
        <v>5027</v>
      </c>
      <c r="G3318" s="3" t="s">
        <v>5037</v>
      </c>
      <c r="H3318" s="3" t="s">
        <v>6972</v>
      </c>
      <c r="I3318" s="17">
        <v>45333</v>
      </c>
      <c r="J3318" s="18">
        <f>YEAR(Tabla1[[#This Row],[FECHA DE COMPRA]])</f>
        <v>2024</v>
      </c>
      <c r="K3318" s="19">
        <v>180.77</v>
      </c>
      <c r="L3318" s="20">
        <v>0</v>
      </c>
      <c r="M3318" s="19">
        <f>Tienda!$K3060-Tienda!$K3060*Tienda!$L3060</f>
        <v>26.919</v>
      </c>
      <c r="N3318" s="3" t="s">
        <v>10040</v>
      </c>
      <c r="O3318" s="3" t="s">
        <v>10042</v>
      </c>
      <c r="P3318" s="17">
        <v>45603</v>
      </c>
      <c r="Q3318" s="4">
        <v>9</v>
      </c>
    </row>
    <row r="3319" spans="1:17" ht="30" x14ac:dyDescent="0.25">
      <c r="A3319" s="2" t="s">
        <v>3070</v>
      </c>
      <c r="B3319" s="3" t="s">
        <v>5015</v>
      </c>
      <c r="C3319" s="3">
        <v>40</v>
      </c>
      <c r="D3319" s="46" t="str">
        <f>IF(Tabla1[[#This Row],[EDAD]]&lt;=35,"Adultos jóvenes 18 - 35 años",IF(C3319&gt;=36,"Adultos mayores 36 años en adelante"))</f>
        <v>Adultos mayores 36 años en adelante</v>
      </c>
      <c r="E3319" s="3" t="s">
        <v>5018</v>
      </c>
      <c r="F3319" s="3" t="s">
        <v>5028</v>
      </c>
      <c r="G3319" s="3" t="s">
        <v>5034</v>
      </c>
      <c r="H3319" s="3" t="s">
        <v>8093</v>
      </c>
      <c r="I3319" s="17">
        <v>45635</v>
      </c>
      <c r="J3319" s="18">
        <f>YEAR(Tabla1[[#This Row],[FECHA DE COMPRA]])</f>
        <v>2024</v>
      </c>
      <c r="K3319" s="19">
        <v>180.88</v>
      </c>
      <c r="L3319" s="20">
        <v>0</v>
      </c>
      <c r="M3319" s="19">
        <f>Tienda!$K3062-Tienda!$K3062*Tienda!$L3062</f>
        <v>27.304000000000002</v>
      </c>
      <c r="N3319" s="3" t="s">
        <v>10040</v>
      </c>
      <c r="O3319" s="3" t="s">
        <v>10042</v>
      </c>
      <c r="P3319" s="17">
        <v>45720</v>
      </c>
      <c r="Q3319" s="4">
        <v>9</v>
      </c>
    </row>
    <row r="3320" spans="1:17" ht="30" x14ac:dyDescent="0.25">
      <c r="A3320" s="2" t="s">
        <v>602</v>
      </c>
      <c r="B3320" s="3" t="s">
        <v>5016</v>
      </c>
      <c r="C3320" s="3">
        <v>45</v>
      </c>
      <c r="D3320" s="46" t="str">
        <f>IF(Tabla1[[#This Row],[EDAD]]&lt;=35,"Adultos jóvenes 18 - 35 años",IF(C3320&gt;=36,"Adultos mayores 36 años en adelante"))</f>
        <v>Adultos mayores 36 años en adelante</v>
      </c>
      <c r="E3320" s="3" t="s">
        <v>5019</v>
      </c>
      <c r="F3320" s="3" t="s">
        <v>5027</v>
      </c>
      <c r="G3320" s="3" t="s">
        <v>5031</v>
      </c>
      <c r="H3320" s="3" t="s">
        <v>5625</v>
      </c>
      <c r="I3320" s="17">
        <v>45321</v>
      </c>
      <c r="J3320" s="18">
        <f>YEAR(Tabla1[[#This Row],[FECHA DE COMPRA]])</f>
        <v>2024</v>
      </c>
      <c r="K3320" s="19">
        <v>185.38</v>
      </c>
      <c r="L3320" s="20">
        <v>0</v>
      </c>
      <c r="M3320" s="19">
        <f>Tienda!$K3066-Tienda!$K3066*Tienda!$L3066</f>
        <v>29.253</v>
      </c>
      <c r="N3320" s="3" t="s">
        <v>10040</v>
      </c>
      <c r="O3320" s="3" t="s">
        <v>10042</v>
      </c>
      <c r="P3320" s="17">
        <v>45591</v>
      </c>
      <c r="Q3320" s="4">
        <v>9</v>
      </c>
    </row>
    <row r="3321" spans="1:17" ht="30" x14ac:dyDescent="0.25">
      <c r="A3321" s="2" t="s">
        <v>2156</v>
      </c>
      <c r="B3321" s="3" t="s">
        <v>5015</v>
      </c>
      <c r="C3321" s="3">
        <v>55</v>
      </c>
      <c r="D3321" s="46" t="str">
        <f>IF(Tabla1[[#This Row],[EDAD]]&lt;=35,"Adultos jóvenes 18 - 35 años",IF(C3321&gt;=36,"Adultos mayores 36 años en adelante"))</f>
        <v>Adultos mayores 36 años en adelante</v>
      </c>
      <c r="E3321" s="3" t="s">
        <v>5018</v>
      </c>
      <c r="F3321" s="3" t="s">
        <v>5025</v>
      </c>
      <c r="G3321" s="3" t="s">
        <v>5031</v>
      </c>
      <c r="H3321" s="3" t="s">
        <v>7179</v>
      </c>
      <c r="I3321" s="17">
        <v>45349</v>
      </c>
      <c r="J3321" s="18">
        <f>YEAR(Tabla1[[#This Row],[FECHA DE COMPRA]])</f>
        <v>2024</v>
      </c>
      <c r="K3321" s="19">
        <v>185.43</v>
      </c>
      <c r="L3321" s="20">
        <v>0</v>
      </c>
      <c r="M3321" s="19">
        <f>Tienda!$K3067-Tienda!$K3067*Tienda!$L3067</f>
        <v>29.48</v>
      </c>
      <c r="N3321" s="3" t="s">
        <v>10040</v>
      </c>
      <c r="O3321" s="3" t="s">
        <v>10042</v>
      </c>
      <c r="P3321" s="17">
        <v>45709</v>
      </c>
      <c r="Q3321" s="4">
        <v>12</v>
      </c>
    </row>
    <row r="3322" spans="1:17" ht="30" x14ac:dyDescent="0.25">
      <c r="A3322" s="2" t="s">
        <v>4732</v>
      </c>
      <c r="B3322" s="3" t="s">
        <v>5015</v>
      </c>
      <c r="C3322" s="3">
        <v>61</v>
      </c>
      <c r="D3322" s="46" t="str">
        <f>IF(Tabla1[[#This Row],[EDAD]]&lt;=35,"Adultos jóvenes 18 - 35 años",IF(C3322&gt;=36,"Adultos mayores 36 años en adelante"))</f>
        <v>Adultos mayores 36 años en adelante</v>
      </c>
      <c r="E3322" s="3" t="s">
        <v>5017</v>
      </c>
      <c r="F3322" s="3" t="s">
        <v>5030</v>
      </c>
      <c r="G3322" s="3" t="s">
        <v>5037</v>
      </c>
      <c r="H3322" s="3" t="s">
        <v>9755</v>
      </c>
      <c r="I3322" s="17">
        <v>45331</v>
      </c>
      <c r="J3322" s="18">
        <f>YEAR(Tabla1[[#This Row],[FECHA DE COMPRA]])</f>
        <v>2024</v>
      </c>
      <c r="K3322" s="19">
        <v>187.72</v>
      </c>
      <c r="L3322" s="20">
        <v>0</v>
      </c>
      <c r="M3322" s="19">
        <f>Tienda!$K3072-Tienda!$K3072*Tienda!$L3072</f>
        <v>32.318999999999996</v>
      </c>
      <c r="N3322" s="3" t="s">
        <v>10040</v>
      </c>
      <c r="O3322" s="3" t="s">
        <v>10042</v>
      </c>
      <c r="P3322" s="17">
        <v>45421</v>
      </c>
      <c r="Q3322" s="4">
        <v>3</v>
      </c>
    </row>
    <row r="3323" spans="1:17" ht="30" x14ac:dyDescent="0.25">
      <c r="A3323" s="2" t="s">
        <v>1185</v>
      </c>
      <c r="B3323" s="3" t="s">
        <v>5015</v>
      </c>
      <c r="C3323" s="3">
        <v>39</v>
      </c>
      <c r="D3323" s="46" t="str">
        <f>IF(Tabla1[[#This Row],[EDAD]]&lt;=35,"Adultos jóvenes 18 - 35 años",IF(C3323&gt;=36,"Adultos mayores 36 años en adelante"))</f>
        <v>Adultos mayores 36 años en adelante</v>
      </c>
      <c r="E3323" s="3" t="s">
        <v>5019</v>
      </c>
      <c r="F3323" s="3" t="s">
        <v>5027</v>
      </c>
      <c r="G3323" s="3" t="s">
        <v>5035</v>
      </c>
      <c r="H3323" s="3" t="s">
        <v>6208</v>
      </c>
      <c r="I3323" s="17">
        <v>45649</v>
      </c>
      <c r="J3323" s="18">
        <f>YEAR(Tabla1[[#This Row],[FECHA DE COMPRA]])</f>
        <v>2024</v>
      </c>
      <c r="K3323" s="19">
        <v>189.02</v>
      </c>
      <c r="L3323" s="20">
        <v>0</v>
      </c>
      <c r="M3323" s="19">
        <f>Tienda!$K3073-Tienda!$K3073*Tienda!$L3073</f>
        <v>33.04</v>
      </c>
      <c r="N3323" s="3" t="s">
        <v>10040</v>
      </c>
      <c r="O3323" s="3" t="s">
        <v>10042</v>
      </c>
      <c r="P3323" s="17">
        <v>45479</v>
      </c>
      <c r="Q3323" s="4">
        <v>6</v>
      </c>
    </row>
    <row r="3324" spans="1:17" ht="30" x14ac:dyDescent="0.25">
      <c r="A3324" s="2" t="s">
        <v>1328</v>
      </c>
      <c r="B3324" s="3" t="s">
        <v>5015</v>
      </c>
      <c r="C3324" s="3">
        <v>42</v>
      </c>
      <c r="D3324" s="46" t="str">
        <f>IF(Tabla1[[#This Row],[EDAD]]&lt;=35,"Adultos jóvenes 18 - 35 años",IF(C3324&gt;=36,"Adultos mayores 36 años en adelante"))</f>
        <v>Adultos mayores 36 años en adelante</v>
      </c>
      <c r="E3324" s="3" t="s">
        <v>5017</v>
      </c>
      <c r="F3324" s="3" t="s">
        <v>5028</v>
      </c>
      <c r="G3324" s="3" t="s">
        <v>5033</v>
      </c>
      <c r="H3324" s="3" t="s">
        <v>6351</v>
      </c>
      <c r="I3324" s="17">
        <v>45377</v>
      </c>
      <c r="J3324" s="18">
        <f>YEAR(Tabla1[[#This Row],[FECHA DE COMPRA]])</f>
        <v>2024</v>
      </c>
      <c r="K3324" s="19">
        <v>189.24</v>
      </c>
      <c r="L3324" s="20">
        <v>0</v>
      </c>
      <c r="M3324" s="19">
        <f>Tienda!$K3074-Tienda!$K3074*Tienda!$L3074</f>
        <v>33.299999999999997</v>
      </c>
      <c r="N3324" s="3" t="s">
        <v>10040</v>
      </c>
      <c r="O3324" s="3" t="s">
        <v>10042</v>
      </c>
      <c r="P3324" s="17">
        <v>45647</v>
      </c>
      <c r="Q3324" s="4">
        <v>9</v>
      </c>
    </row>
    <row r="3325" spans="1:17" ht="30" x14ac:dyDescent="0.25">
      <c r="A3325" s="2" t="s">
        <v>2494</v>
      </c>
      <c r="B3325" s="3" t="s">
        <v>5015</v>
      </c>
      <c r="C3325" s="3">
        <v>52</v>
      </c>
      <c r="D3325" s="46" t="str">
        <f>IF(Tabla1[[#This Row],[EDAD]]&lt;=35,"Adultos jóvenes 18 - 35 años",IF(C3325&gt;=36,"Adultos mayores 36 años en adelante"))</f>
        <v>Adultos mayores 36 años en adelante</v>
      </c>
      <c r="E3325" s="3" t="s">
        <v>5019</v>
      </c>
      <c r="F3325" s="3" t="s">
        <v>5025</v>
      </c>
      <c r="G3325" s="3" t="s">
        <v>5033</v>
      </c>
      <c r="H3325" s="3" t="s">
        <v>7517</v>
      </c>
      <c r="I3325" s="17">
        <v>45613</v>
      </c>
      <c r="J3325" s="18">
        <f>YEAR(Tabla1[[#This Row],[FECHA DE COMPRA]])</f>
        <v>2024</v>
      </c>
      <c r="K3325" s="19">
        <v>191.16</v>
      </c>
      <c r="L3325" s="20">
        <v>0</v>
      </c>
      <c r="M3325" s="19">
        <f>Tienda!$K3078-Tienda!$K3078*Tienda!$L3078</f>
        <v>34.587000000000003</v>
      </c>
      <c r="N3325" s="3" t="s">
        <v>10040</v>
      </c>
      <c r="O3325" s="3" t="s">
        <v>10042</v>
      </c>
      <c r="P3325" s="17">
        <v>45883</v>
      </c>
      <c r="Q3325" s="4">
        <v>9</v>
      </c>
    </row>
    <row r="3326" spans="1:17" ht="30" x14ac:dyDescent="0.25">
      <c r="A3326" s="2" t="s">
        <v>2951</v>
      </c>
      <c r="B3326" s="3" t="s">
        <v>5015</v>
      </c>
      <c r="C3326" s="3">
        <v>46</v>
      </c>
      <c r="D3326" s="46" t="str">
        <f>IF(Tabla1[[#This Row],[EDAD]]&lt;=35,"Adultos jóvenes 18 - 35 años",IF(C3326&gt;=36,"Adultos mayores 36 años en adelante"))</f>
        <v>Adultos mayores 36 años en adelante</v>
      </c>
      <c r="E3326" s="3" t="s">
        <v>5017</v>
      </c>
      <c r="F3326" s="3" t="s">
        <v>5026</v>
      </c>
      <c r="G3326" s="3" t="s">
        <v>5033</v>
      </c>
      <c r="H3326" s="3" t="s">
        <v>7974</v>
      </c>
      <c r="I3326" s="17">
        <v>45371</v>
      </c>
      <c r="J3326" s="18">
        <f>YEAR(Tabla1[[#This Row],[FECHA DE COMPRA]])</f>
        <v>2024</v>
      </c>
      <c r="K3326" s="19">
        <v>191.96</v>
      </c>
      <c r="L3326" s="20">
        <v>0</v>
      </c>
      <c r="M3326" s="19">
        <f>Tienda!$K3082-Tienda!$K3082*Tienda!$L3082</f>
        <v>36.727999999999994</v>
      </c>
      <c r="N3326" s="3" t="s">
        <v>10040</v>
      </c>
      <c r="O3326" s="3" t="s">
        <v>10042</v>
      </c>
      <c r="P3326" s="17">
        <v>45731</v>
      </c>
      <c r="Q3326" s="4">
        <v>12</v>
      </c>
    </row>
    <row r="3327" spans="1:17" ht="30" x14ac:dyDescent="0.25">
      <c r="A3327" s="2" t="s">
        <v>4990</v>
      </c>
      <c r="B3327" s="3" t="s">
        <v>5015</v>
      </c>
      <c r="C3327" s="3">
        <v>40</v>
      </c>
      <c r="D3327" s="46" t="str">
        <f>IF(Tabla1[[#This Row],[EDAD]]&lt;=35,"Adultos jóvenes 18 - 35 años",IF(C3327&gt;=36,"Adultos mayores 36 años en adelante"))</f>
        <v>Adultos mayores 36 años en adelante</v>
      </c>
      <c r="E3327" s="3" t="s">
        <v>5020</v>
      </c>
      <c r="F3327" s="3" t="s">
        <v>5028</v>
      </c>
      <c r="G3327" s="3" t="s">
        <v>5033</v>
      </c>
      <c r="H3327" s="3" t="s">
        <v>10013</v>
      </c>
      <c r="I3327" s="17">
        <v>45629</v>
      </c>
      <c r="J3327" s="18">
        <f>YEAR(Tabla1[[#This Row],[FECHA DE COMPRA]])</f>
        <v>2024</v>
      </c>
      <c r="K3327" s="19">
        <v>194.78</v>
      </c>
      <c r="L3327" s="20">
        <v>0</v>
      </c>
      <c r="M3327" s="19">
        <f>Tienda!$K3087-Tienda!$K3087*Tienda!$L3087</f>
        <v>38.256</v>
      </c>
      <c r="N3327" s="3" t="s">
        <v>10040</v>
      </c>
      <c r="O3327" s="3" t="s">
        <v>10042</v>
      </c>
      <c r="P3327" s="17">
        <v>45899</v>
      </c>
      <c r="Q3327" s="4">
        <v>9</v>
      </c>
    </row>
    <row r="3328" spans="1:17" ht="30" x14ac:dyDescent="0.25">
      <c r="A3328" s="2" t="s">
        <v>740</v>
      </c>
      <c r="B3328" s="3" t="s">
        <v>5016</v>
      </c>
      <c r="C3328" s="3">
        <v>43</v>
      </c>
      <c r="D3328" s="46" t="str">
        <f>IF(Tabla1[[#This Row],[EDAD]]&lt;=35,"Adultos jóvenes 18 - 35 años",IF(C3328&gt;=36,"Adultos mayores 36 años en adelante"))</f>
        <v>Adultos mayores 36 años en adelante</v>
      </c>
      <c r="E3328" s="3" t="s">
        <v>5023</v>
      </c>
      <c r="F3328" s="3" t="s">
        <v>5030</v>
      </c>
      <c r="G3328" s="3" t="s">
        <v>5032</v>
      </c>
      <c r="H3328" s="3" t="s">
        <v>5763</v>
      </c>
      <c r="I3328" s="17">
        <v>45651</v>
      </c>
      <c r="J3328" s="18">
        <f>YEAR(Tabla1[[#This Row],[FECHA DE COMPRA]])</f>
        <v>2024</v>
      </c>
      <c r="K3328" s="19">
        <v>195.17</v>
      </c>
      <c r="L3328" s="20">
        <v>0</v>
      </c>
      <c r="M3328" s="19">
        <f>Tienda!$K3090-Tienda!$K3090*Tienda!$L3090</f>
        <v>39.177</v>
      </c>
      <c r="N3328" s="3" t="s">
        <v>10040</v>
      </c>
      <c r="O3328" s="3" t="s">
        <v>10042</v>
      </c>
      <c r="P3328" s="17">
        <v>46011</v>
      </c>
      <c r="Q3328" s="4">
        <v>12</v>
      </c>
    </row>
    <row r="3329" spans="1:17" ht="30" x14ac:dyDescent="0.25">
      <c r="A3329" s="2" t="s">
        <v>2271</v>
      </c>
      <c r="B3329" s="3" t="s">
        <v>5015</v>
      </c>
      <c r="C3329" s="3">
        <v>47</v>
      </c>
      <c r="D3329" s="46" t="str">
        <f>IF(Tabla1[[#This Row],[EDAD]]&lt;=35,"Adultos jóvenes 18 - 35 años",IF(C3329&gt;=36,"Adultos mayores 36 años en adelante"))</f>
        <v>Adultos mayores 36 años en adelante</v>
      </c>
      <c r="E3329" s="3" t="s">
        <v>5019</v>
      </c>
      <c r="F3329" s="3" t="s">
        <v>5029</v>
      </c>
      <c r="G3329" s="3" t="s">
        <v>5034</v>
      </c>
      <c r="H3329" s="3" t="s">
        <v>7294</v>
      </c>
      <c r="I3329" s="17">
        <v>45341</v>
      </c>
      <c r="J3329" s="18">
        <f>YEAR(Tabla1[[#This Row],[FECHA DE COMPRA]])</f>
        <v>2024</v>
      </c>
      <c r="K3329" s="19">
        <v>195.85</v>
      </c>
      <c r="L3329" s="20">
        <v>0</v>
      </c>
      <c r="M3329" s="19">
        <f>Tienda!$K3094-Tienda!$K3094*Tienda!$L3094</f>
        <v>40.630000000000003</v>
      </c>
      <c r="N3329" s="3" t="s">
        <v>10040</v>
      </c>
      <c r="O3329" s="3" t="s">
        <v>10042</v>
      </c>
      <c r="P3329" s="17">
        <v>45431</v>
      </c>
      <c r="Q3329" s="4">
        <v>3</v>
      </c>
    </row>
    <row r="3330" spans="1:17" ht="30" x14ac:dyDescent="0.25">
      <c r="A3330" s="2" t="s">
        <v>1186</v>
      </c>
      <c r="B3330" s="3" t="s">
        <v>5016</v>
      </c>
      <c r="C3330" s="3">
        <v>61</v>
      </c>
      <c r="D3330" s="46" t="str">
        <f>IF(Tabla1[[#This Row],[EDAD]]&lt;=35,"Adultos jóvenes 18 - 35 años",IF(C3330&gt;=36,"Adultos mayores 36 años en adelante"))</f>
        <v>Adultos mayores 36 años en adelante</v>
      </c>
      <c r="E3330" s="3" t="s">
        <v>5019</v>
      </c>
      <c r="F3330" s="3" t="s">
        <v>5024</v>
      </c>
      <c r="G3330" s="3" t="s">
        <v>5033</v>
      </c>
      <c r="H3330" s="3" t="s">
        <v>6209</v>
      </c>
      <c r="I3330" s="17">
        <v>45678</v>
      </c>
      <c r="J3330" s="18">
        <f>YEAR(Tabla1[[#This Row],[FECHA DE COMPRA]])</f>
        <v>2025</v>
      </c>
      <c r="K3330" s="19">
        <v>188.99</v>
      </c>
      <c r="L3330" s="20">
        <v>0.3</v>
      </c>
      <c r="M3330" s="19">
        <f>Tienda!$K3518-Tienda!$K3518*Tienda!$L3518</f>
        <v>149.024</v>
      </c>
      <c r="N3330" s="3" t="s">
        <v>10040</v>
      </c>
      <c r="O3330" s="3" t="s">
        <v>10042</v>
      </c>
      <c r="P3330" s="17">
        <v>45678</v>
      </c>
      <c r="Q3330" s="4">
        <v>3</v>
      </c>
    </row>
    <row r="3331" spans="1:17" ht="30" x14ac:dyDescent="0.25">
      <c r="A3331" s="2" t="s">
        <v>1541</v>
      </c>
      <c r="B3331" s="3" t="s">
        <v>5015</v>
      </c>
      <c r="C3331" s="3">
        <v>50</v>
      </c>
      <c r="D3331" s="46" t="str">
        <f>IF(Tabla1[[#This Row],[EDAD]]&lt;=35,"Adultos jóvenes 18 - 35 años",IF(C3331&gt;=36,"Adultos mayores 36 años en adelante"))</f>
        <v>Adultos mayores 36 años en adelante</v>
      </c>
      <c r="E3331" s="3" t="s">
        <v>5017</v>
      </c>
      <c r="F3331" s="3" t="s">
        <v>5030</v>
      </c>
      <c r="G3331" s="3" t="s">
        <v>5035</v>
      </c>
      <c r="H3331" s="3" t="s">
        <v>6564</v>
      </c>
      <c r="I3331" s="17">
        <v>45701</v>
      </c>
      <c r="J3331" s="18">
        <f>YEAR(Tabla1[[#This Row],[FECHA DE COMPRA]])</f>
        <v>2025</v>
      </c>
      <c r="K3331" s="19">
        <v>196.44</v>
      </c>
      <c r="L3331" s="20">
        <v>0.3</v>
      </c>
      <c r="M3331" s="19">
        <f>Tienda!$K3519-Tienda!$K3519*Tienda!$L3519</f>
        <v>186.65</v>
      </c>
      <c r="N3331" s="3" t="s">
        <v>10040</v>
      </c>
      <c r="O3331" s="3" t="s">
        <v>10042</v>
      </c>
      <c r="P3331" s="17">
        <v>45676</v>
      </c>
      <c r="Q3331" s="4">
        <v>3</v>
      </c>
    </row>
    <row r="3332" spans="1:17" ht="30" x14ac:dyDescent="0.25">
      <c r="A3332" s="2" t="s">
        <v>2944</v>
      </c>
      <c r="B3332" s="3" t="s">
        <v>5016</v>
      </c>
      <c r="C3332" s="3">
        <v>38</v>
      </c>
      <c r="D3332" s="46" t="str">
        <f>IF(Tabla1[[#This Row],[EDAD]]&lt;=35,"Adultos jóvenes 18 - 35 años",IF(C3332&gt;=36,"Adultos mayores 36 años en adelante"))</f>
        <v>Adultos mayores 36 años en adelante</v>
      </c>
      <c r="E3332" s="3" t="s">
        <v>5017</v>
      </c>
      <c r="F3332" s="3" t="s">
        <v>5029</v>
      </c>
      <c r="G3332" s="3" t="s">
        <v>5036</v>
      </c>
      <c r="H3332" s="3" t="s">
        <v>7967</v>
      </c>
      <c r="I3332" s="17">
        <v>45701</v>
      </c>
      <c r="J3332" s="18">
        <f>YEAR(Tabla1[[#This Row],[FECHA DE COMPRA]])</f>
        <v>2025</v>
      </c>
      <c r="K3332" s="19">
        <v>197.44</v>
      </c>
      <c r="L3332" s="20">
        <v>0.1</v>
      </c>
      <c r="M3332" s="19">
        <f>Tienda!$K3520-Tienda!$K3520*Tienda!$L3520</f>
        <v>169.38900000000001</v>
      </c>
      <c r="N3332" s="3" t="s">
        <v>10040</v>
      </c>
      <c r="O3332" s="3" t="s">
        <v>10042</v>
      </c>
      <c r="P3332" s="17">
        <v>45668</v>
      </c>
      <c r="Q3332" s="4">
        <v>3</v>
      </c>
    </row>
    <row r="3333" spans="1:17" ht="30" x14ac:dyDescent="0.25">
      <c r="A3333" s="2" t="s">
        <v>2657</v>
      </c>
      <c r="B3333" s="3" t="s">
        <v>5016</v>
      </c>
      <c r="C3333" s="3">
        <v>41</v>
      </c>
      <c r="D3333" s="46" t="str">
        <f>IF(Tabla1[[#This Row],[EDAD]]&lt;=35,"Adultos jóvenes 18 - 35 años",IF(C3333&gt;=36,"Adultos mayores 36 años en adelante"))</f>
        <v>Adultos mayores 36 años en adelante</v>
      </c>
      <c r="E3333" s="3" t="s">
        <v>5021</v>
      </c>
      <c r="F3333" s="3" t="s">
        <v>5026</v>
      </c>
      <c r="G3333" s="3" t="s">
        <v>5036</v>
      </c>
      <c r="H3333" s="3" t="s">
        <v>7680</v>
      </c>
      <c r="I3333" s="17">
        <v>45689</v>
      </c>
      <c r="J3333" s="18">
        <f>YEAR(Tabla1[[#This Row],[FECHA DE COMPRA]])</f>
        <v>2025</v>
      </c>
      <c r="K3333" s="19">
        <v>140.81</v>
      </c>
      <c r="L3333" s="20">
        <v>0.3</v>
      </c>
      <c r="M3333" s="19">
        <f>Tienda!$K3523-Tienda!$K3523*Tienda!$L3523</f>
        <v>199.67</v>
      </c>
      <c r="N3333" s="3" t="s">
        <v>10040</v>
      </c>
      <c r="O3333" s="3" t="s">
        <v>10042</v>
      </c>
      <c r="P3333" s="17">
        <v>45689</v>
      </c>
      <c r="Q3333" s="4">
        <v>3</v>
      </c>
    </row>
    <row r="3334" spans="1:17" ht="30" x14ac:dyDescent="0.25">
      <c r="A3334" s="2" t="s">
        <v>4489</v>
      </c>
      <c r="B3334" s="3" t="s">
        <v>5015</v>
      </c>
      <c r="C3334" s="3">
        <v>59</v>
      </c>
      <c r="D3334" s="46" t="str">
        <f>IF(Tabla1[[#This Row],[EDAD]]&lt;=35,"Adultos jóvenes 18 - 35 años",IF(C3334&gt;=36,"Adultos mayores 36 años en adelante"))</f>
        <v>Adultos mayores 36 años en adelante</v>
      </c>
      <c r="E3334" s="3" t="s">
        <v>5018</v>
      </c>
      <c r="F3334" s="3" t="s">
        <v>5027</v>
      </c>
      <c r="G3334" s="3" t="s">
        <v>5031</v>
      </c>
      <c r="H3334" s="3" t="s">
        <v>9512</v>
      </c>
      <c r="I3334" s="17">
        <v>45690</v>
      </c>
      <c r="J3334" s="18">
        <f>YEAR(Tabla1[[#This Row],[FECHA DE COMPRA]])</f>
        <v>2025</v>
      </c>
      <c r="K3334" s="19">
        <v>133.71</v>
      </c>
      <c r="L3334" s="20">
        <v>0.2</v>
      </c>
      <c r="M3334" s="19">
        <f>Tienda!$K3526-Tienda!$K3526*Tienda!$L3526</f>
        <v>9.6529999999999987</v>
      </c>
      <c r="N3334" s="3" t="s">
        <v>10040</v>
      </c>
      <c r="O3334" s="3" t="s">
        <v>10042</v>
      </c>
      <c r="P3334" s="17">
        <v>45690</v>
      </c>
      <c r="Q3334" s="4">
        <v>3</v>
      </c>
    </row>
    <row r="3335" spans="1:17" ht="30" x14ac:dyDescent="0.25">
      <c r="A3335" s="2" t="s">
        <v>3161</v>
      </c>
      <c r="B3335" s="3" t="s">
        <v>5016</v>
      </c>
      <c r="C3335" s="3">
        <v>58</v>
      </c>
      <c r="D3335" s="46" t="str">
        <f>IF(Tabla1[[#This Row],[EDAD]]&lt;=35,"Adultos jóvenes 18 - 35 años",IF(C3335&gt;=36,"Adultos mayores 36 años en adelante"))</f>
        <v>Adultos mayores 36 años en adelante</v>
      </c>
      <c r="E3335" s="3" t="s">
        <v>5023</v>
      </c>
      <c r="F3335" s="3" t="s">
        <v>5024</v>
      </c>
      <c r="G3335" s="3" t="s">
        <v>5031</v>
      </c>
      <c r="H3335" s="3" t="s">
        <v>8184</v>
      </c>
      <c r="I3335" s="17">
        <v>45690</v>
      </c>
      <c r="J3335" s="18">
        <f>YEAR(Tabla1[[#This Row],[FECHA DE COMPRA]])</f>
        <v>2025</v>
      </c>
      <c r="K3335" s="19">
        <v>170.4</v>
      </c>
      <c r="L3335" s="20">
        <v>0.3</v>
      </c>
      <c r="M3335" s="19">
        <f>Tienda!$K3527-Tienda!$K3527*Tienda!$L3527</f>
        <v>15.57</v>
      </c>
      <c r="N3335" s="3" t="s">
        <v>10040</v>
      </c>
      <c r="O3335" s="3" t="s">
        <v>10042</v>
      </c>
      <c r="P3335" s="17">
        <v>45690</v>
      </c>
      <c r="Q3335" s="4">
        <v>3</v>
      </c>
    </row>
    <row r="3336" spans="1:17" ht="30" x14ac:dyDescent="0.25">
      <c r="A3336" s="2" t="s">
        <v>688</v>
      </c>
      <c r="B3336" s="3" t="s">
        <v>5016</v>
      </c>
      <c r="C3336" s="3">
        <v>64</v>
      </c>
      <c r="D3336" s="46" t="str">
        <f>IF(Tabla1[[#This Row],[EDAD]]&lt;=35,"Adultos jóvenes 18 - 35 años",IF(C3336&gt;=36,"Adultos mayores 36 años en adelante"))</f>
        <v>Adultos mayores 36 años en adelante</v>
      </c>
      <c r="E3336" s="3" t="s">
        <v>5017</v>
      </c>
      <c r="F3336" s="3" t="s">
        <v>5028</v>
      </c>
      <c r="G3336" s="3" t="s">
        <v>5034</v>
      </c>
      <c r="H3336" s="3" t="s">
        <v>5711</v>
      </c>
      <c r="I3336" s="17">
        <v>45697</v>
      </c>
      <c r="J3336" s="18">
        <f>YEAR(Tabla1[[#This Row],[FECHA DE COMPRA]])</f>
        <v>2025</v>
      </c>
      <c r="K3336" s="19">
        <v>187.44</v>
      </c>
      <c r="L3336" s="20">
        <v>0.1</v>
      </c>
      <c r="M3336" s="19">
        <f>Tienda!$K3530-Tienda!$K3530*Tienda!$L3530</f>
        <v>34.729999999999997</v>
      </c>
      <c r="N3336" s="3" t="s">
        <v>10040</v>
      </c>
      <c r="O3336" s="3" t="s">
        <v>10042</v>
      </c>
      <c r="P3336" s="17">
        <v>45697</v>
      </c>
      <c r="Q3336" s="4">
        <v>6</v>
      </c>
    </row>
    <row r="3337" spans="1:17" ht="30" x14ac:dyDescent="0.25">
      <c r="A3337" s="2" t="s">
        <v>4875</v>
      </c>
      <c r="B3337" s="3" t="s">
        <v>5016</v>
      </c>
      <c r="C3337" s="3">
        <v>42</v>
      </c>
      <c r="D3337" s="46" t="str">
        <f>IF(Tabla1[[#This Row],[EDAD]]&lt;=35,"Adultos jóvenes 18 - 35 años",IF(C3337&gt;=36,"Adultos mayores 36 años en adelante"))</f>
        <v>Adultos mayores 36 años en adelante</v>
      </c>
      <c r="E3337" s="3" t="s">
        <v>5021</v>
      </c>
      <c r="F3337" s="3" t="s">
        <v>5026</v>
      </c>
      <c r="G3337" s="3" t="s">
        <v>5037</v>
      </c>
      <c r="H3337" s="3" t="s">
        <v>9898</v>
      </c>
      <c r="I3337" s="17">
        <v>45698</v>
      </c>
      <c r="J3337" s="18">
        <f>YEAR(Tabla1[[#This Row],[FECHA DE COMPRA]])</f>
        <v>2025</v>
      </c>
      <c r="K3337" s="19">
        <v>195.67</v>
      </c>
      <c r="L3337" s="20">
        <v>0.3</v>
      </c>
      <c r="M3337" s="19">
        <f>Tienda!$K3531-Tienda!$K3531*Tienda!$L3531</f>
        <v>37.64</v>
      </c>
      <c r="N3337" s="3" t="s">
        <v>10040</v>
      </c>
      <c r="O3337" s="3" t="s">
        <v>10042</v>
      </c>
      <c r="P3337" s="17">
        <v>45698</v>
      </c>
      <c r="Q3337" s="4">
        <v>6</v>
      </c>
    </row>
    <row r="3338" spans="1:17" ht="30" x14ac:dyDescent="0.25">
      <c r="A3338" s="2" t="s">
        <v>4403</v>
      </c>
      <c r="B3338" s="3" t="s">
        <v>5015</v>
      </c>
      <c r="C3338" s="3">
        <v>55</v>
      </c>
      <c r="D3338" s="46" t="str">
        <f>IF(Tabla1[[#This Row],[EDAD]]&lt;=35,"Adultos jóvenes 18 - 35 años",IF(C3338&gt;=36,"Adultos mayores 36 años en adelante"))</f>
        <v>Adultos mayores 36 años en adelante</v>
      </c>
      <c r="E3338" s="3" t="s">
        <v>5020</v>
      </c>
      <c r="F3338" s="3" t="s">
        <v>5024</v>
      </c>
      <c r="G3338" s="3" t="s">
        <v>5031</v>
      </c>
      <c r="H3338" s="3" t="s">
        <v>9426</v>
      </c>
      <c r="I3338" s="17">
        <v>45699</v>
      </c>
      <c r="J3338" s="18">
        <f>YEAR(Tabla1[[#This Row],[FECHA DE COMPRA]])</f>
        <v>2025</v>
      </c>
      <c r="K3338" s="19">
        <v>163.44</v>
      </c>
      <c r="L3338" s="20">
        <v>0.1</v>
      </c>
      <c r="M3338" s="19">
        <f>Tienda!$K3532-Tienda!$K3532*Tienda!$L3532</f>
        <v>40.112000000000002</v>
      </c>
      <c r="N3338" s="3" t="s">
        <v>10040</v>
      </c>
      <c r="O3338" s="3" t="s">
        <v>10042</v>
      </c>
      <c r="P3338" s="17">
        <v>45699</v>
      </c>
      <c r="Q3338" s="4">
        <v>6</v>
      </c>
    </row>
    <row r="3339" spans="1:17" ht="30" x14ac:dyDescent="0.25">
      <c r="A3339" s="2" t="s">
        <v>737</v>
      </c>
      <c r="B3339" s="3" t="s">
        <v>5015</v>
      </c>
      <c r="C3339" s="3">
        <v>39</v>
      </c>
      <c r="D3339" s="46" t="str">
        <f>IF(Tabla1[[#This Row],[EDAD]]&lt;=35,"Adultos jóvenes 18 - 35 años",IF(C3339&gt;=36,"Adultos mayores 36 años en adelante"))</f>
        <v>Adultos mayores 36 años en adelante</v>
      </c>
      <c r="E3339" s="3" t="s">
        <v>5018</v>
      </c>
      <c r="F3339" s="3" t="s">
        <v>5028</v>
      </c>
      <c r="G3339" s="3" t="s">
        <v>5031</v>
      </c>
      <c r="H3339" s="3" t="s">
        <v>5760</v>
      </c>
      <c r="I3339" s="17">
        <v>45700</v>
      </c>
      <c r="J3339" s="18">
        <f>YEAR(Tabla1[[#This Row],[FECHA DE COMPRA]])</f>
        <v>2025</v>
      </c>
      <c r="K3339" s="19">
        <v>150.58000000000001</v>
      </c>
      <c r="L3339" s="20">
        <v>0.2</v>
      </c>
      <c r="M3339" s="19">
        <f>Tienda!$K3535-Tienda!$K3535*Tienda!$L3535</f>
        <v>63.23</v>
      </c>
      <c r="N3339" s="3" t="s">
        <v>10040</v>
      </c>
      <c r="O3339" s="3" t="s">
        <v>10042</v>
      </c>
      <c r="P3339" s="17">
        <v>45700</v>
      </c>
      <c r="Q3339" s="4">
        <v>6</v>
      </c>
    </row>
    <row r="3340" spans="1:17" ht="30" x14ac:dyDescent="0.25">
      <c r="A3340" s="2" t="s">
        <v>3997</v>
      </c>
      <c r="B3340" s="3" t="s">
        <v>5015</v>
      </c>
      <c r="C3340" s="3">
        <v>42</v>
      </c>
      <c r="D3340" s="46" t="str">
        <f>IF(Tabla1[[#This Row],[EDAD]]&lt;=35,"Adultos jóvenes 18 - 35 años",IF(C3340&gt;=36,"Adultos mayores 36 años en adelante"))</f>
        <v>Adultos mayores 36 años en adelante</v>
      </c>
      <c r="E3340" s="3" t="s">
        <v>5019</v>
      </c>
      <c r="F3340" s="3" t="s">
        <v>5029</v>
      </c>
      <c r="G3340" s="3" t="s">
        <v>5034</v>
      </c>
      <c r="H3340" s="3" t="s">
        <v>9020</v>
      </c>
      <c r="I3340" s="17">
        <v>45707</v>
      </c>
      <c r="J3340" s="18">
        <f>YEAR(Tabla1[[#This Row],[FECHA DE COMPRA]])</f>
        <v>2025</v>
      </c>
      <c r="K3340" s="19">
        <v>190.6</v>
      </c>
      <c r="L3340" s="20">
        <v>0.1</v>
      </c>
      <c r="M3340" s="19">
        <f>Tienda!$K3538-Tienda!$K3538*Tienda!$L3538</f>
        <v>82.674000000000007</v>
      </c>
      <c r="N3340" s="3" t="s">
        <v>10040</v>
      </c>
      <c r="O3340" s="3" t="s">
        <v>10042</v>
      </c>
      <c r="P3340" s="17">
        <v>45707</v>
      </c>
      <c r="Q3340" s="4">
        <v>6</v>
      </c>
    </row>
    <row r="3341" spans="1:17" ht="30" x14ac:dyDescent="0.25">
      <c r="A3341" s="2" t="s">
        <v>1858</v>
      </c>
      <c r="B3341" s="3" t="s">
        <v>5015</v>
      </c>
      <c r="C3341" s="3">
        <v>36</v>
      </c>
      <c r="D3341" s="46" t="str">
        <f>IF(Tabla1[[#This Row],[EDAD]]&lt;=35,"Adultos jóvenes 18 - 35 años",IF(C3341&gt;=36,"Adultos mayores 36 años en adelante"))</f>
        <v>Adultos mayores 36 años en adelante</v>
      </c>
      <c r="E3341" s="3" t="s">
        <v>5021</v>
      </c>
      <c r="F3341" s="3" t="s">
        <v>5026</v>
      </c>
      <c r="G3341" s="3" t="s">
        <v>5035</v>
      </c>
      <c r="H3341" s="3" t="s">
        <v>6881</v>
      </c>
      <c r="I3341" s="17">
        <v>45708</v>
      </c>
      <c r="J3341" s="18">
        <f>YEAR(Tabla1[[#This Row],[FECHA DE COMPRA]])</f>
        <v>2025</v>
      </c>
      <c r="K3341" s="19">
        <v>54.39</v>
      </c>
      <c r="L3341" s="20">
        <v>0.3</v>
      </c>
      <c r="M3341" s="19">
        <f>Tienda!$K3539-Tienda!$K3539*Tienda!$L3539</f>
        <v>64.938999999999993</v>
      </c>
      <c r="N3341" s="3" t="s">
        <v>10040</v>
      </c>
      <c r="O3341" s="3" t="s">
        <v>10042</v>
      </c>
      <c r="P3341" s="17">
        <v>45708</v>
      </c>
      <c r="Q3341" s="4">
        <v>6</v>
      </c>
    </row>
    <row r="3342" spans="1:17" ht="30" x14ac:dyDescent="0.25">
      <c r="A3342" s="2" t="s">
        <v>2492</v>
      </c>
      <c r="B3342" s="3" t="s">
        <v>5015</v>
      </c>
      <c r="C3342" s="3">
        <v>37</v>
      </c>
      <c r="D3342" s="46" t="str">
        <f>IF(Tabla1[[#This Row],[EDAD]]&lt;=35,"Adultos jóvenes 18 - 35 años",IF(C3342&gt;=36,"Adultos mayores 36 años en adelante"))</f>
        <v>Adultos mayores 36 años en adelante</v>
      </c>
      <c r="E3342" s="3" t="s">
        <v>5022</v>
      </c>
      <c r="F3342" s="3" t="s">
        <v>5030</v>
      </c>
      <c r="G3342" s="3" t="s">
        <v>5035</v>
      </c>
      <c r="H3342" s="3" t="s">
        <v>7515</v>
      </c>
      <c r="I3342" s="17">
        <v>45708</v>
      </c>
      <c r="J3342" s="18">
        <f>YEAR(Tabla1[[#This Row],[FECHA DE COMPRA]])</f>
        <v>2025</v>
      </c>
      <c r="K3342" s="19">
        <v>65.83</v>
      </c>
      <c r="L3342" s="20">
        <v>0.2</v>
      </c>
      <c r="M3342" s="19">
        <f>Tienda!$K3540-Tienda!$K3540*Tienda!$L3540</f>
        <v>83.897999999999996</v>
      </c>
      <c r="N3342" s="3" t="s">
        <v>10040</v>
      </c>
      <c r="O3342" s="3" t="s">
        <v>10042</v>
      </c>
      <c r="P3342" s="17">
        <v>45708</v>
      </c>
      <c r="Q3342" s="4">
        <v>3</v>
      </c>
    </row>
    <row r="3343" spans="1:17" ht="30" x14ac:dyDescent="0.25">
      <c r="A3343" s="2" t="s">
        <v>570</v>
      </c>
      <c r="B3343" s="3" t="s">
        <v>5015</v>
      </c>
      <c r="C3343" s="3">
        <v>42</v>
      </c>
      <c r="D3343" s="46" t="str">
        <f>IF(Tabla1[[#This Row],[EDAD]]&lt;=35,"Adultos jóvenes 18 - 35 años",IF(C3343&gt;=36,"Adultos mayores 36 años en adelante"))</f>
        <v>Adultos mayores 36 años en adelante</v>
      </c>
      <c r="E3343" s="3" t="s">
        <v>5022</v>
      </c>
      <c r="F3343" s="3" t="s">
        <v>5030</v>
      </c>
      <c r="G3343" s="3" t="s">
        <v>5037</v>
      </c>
      <c r="H3343" s="3" t="s">
        <v>5593</v>
      </c>
      <c r="I3343" s="17">
        <v>45708</v>
      </c>
      <c r="J3343" s="18">
        <f>YEAR(Tabla1[[#This Row],[FECHA DE COMPRA]])</f>
        <v>2025</v>
      </c>
      <c r="K3343" s="19">
        <v>120.82</v>
      </c>
      <c r="L3343" s="20">
        <v>0.3</v>
      </c>
      <c r="M3343" s="19">
        <f>Tienda!$K3541-Tienda!$K3541*Tienda!$L3541</f>
        <v>74.92</v>
      </c>
      <c r="N3343" s="3" t="s">
        <v>10040</v>
      </c>
      <c r="O3343" s="3" t="s">
        <v>10042</v>
      </c>
      <c r="P3343" s="17">
        <v>45708</v>
      </c>
      <c r="Q3343" s="4">
        <v>3</v>
      </c>
    </row>
    <row r="3344" spans="1:17" ht="30" x14ac:dyDescent="0.25">
      <c r="A3344" s="2" t="s">
        <v>4740</v>
      </c>
      <c r="B3344" s="3" t="s">
        <v>5015</v>
      </c>
      <c r="C3344" s="3">
        <v>56</v>
      </c>
      <c r="D3344" s="46" t="str">
        <f>IF(Tabla1[[#This Row],[EDAD]]&lt;=35,"Adultos jóvenes 18 - 35 años",IF(C3344&gt;=36,"Adultos mayores 36 años en adelante"))</f>
        <v>Adultos mayores 36 años en adelante</v>
      </c>
      <c r="E3344" s="3" t="s">
        <v>5020</v>
      </c>
      <c r="F3344" s="3" t="s">
        <v>5028</v>
      </c>
      <c r="G3344" s="3" t="s">
        <v>5033</v>
      </c>
      <c r="H3344" s="3" t="s">
        <v>9763</v>
      </c>
      <c r="I3344" s="17">
        <v>45708</v>
      </c>
      <c r="J3344" s="18">
        <f>YEAR(Tabla1[[#This Row],[FECHA DE COMPRA]])</f>
        <v>2025</v>
      </c>
      <c r="K3344" s="19">
        <v>131.38999999999999</v>
      </c>
      <c r="L3344" s="20">
        <v>0.1</v>
      </c>
      <c r="M3344" s="19">
        <f>Tienda!$K3542-Tienda!$K3542*Tienda!$L3542</f>
        <v>100.8</v>
      </c>
      <c r="N3344" s="3" t="s">
        <v>10040</v>
      </c>
      <c r="O3344" s="3" t="s">
        <v>10042</v>
      </c>
      <c r="P3344" s="17">
        <v>45708</v>
      </c>
      <c r="Q3344" s="4">
        <v>3</v>
      </c>
    </row>
    <row r="3345" spans="1:17" ht="30" x14ac:dyDescent="0.25">
      <c r="A3345" s="2" t="s">
        <v>1515</v>
      </c>
      <c r="B3345" s="3" t="s">
        <v>5016</v>
      </c>
      <c r="C3345" s="3">
        <v>65</v>
      </c>
      <c r="D3345" s="46" t="str">
        <f>IF(Tabla1[[#This Row],[EDAD]]&lt;=35,"Adultos jóvenes 18 - 35 años",IF(C3345&gt;=36,"Adultos mayores 36 años en adelante"))</f>
        <v>Adultos mayores 36 años en adelante</v>
      </c>
      <c r="E3345" s="3" t="s">
        <v>5023</v>
      </c>
      <c r="F3345" s="3" t="s">
        <v>5028</v>
      </c>
      <c r="G3345" s="3" t="s">
        <v>5036</v>
      </c>
      <c r="H3345" s="3" t="s">
        <v>6538</v>
      </c>
      <c r="I3345" s="17">
        <v>45708</v>
      </c>
      <c r="J3345" s="18">
        <f>YEAR(Tabla1[[#This Row],[FECHA DE COMPRA]])</f>
        <v>2025</v>
      </c>
      <c r="K3345" s="19">
        <v>160.38</v>
      </c>
      <c r="L3345" s="20">
        <v>0.3</v>
      </c>
      <c r="M3345" s="19">
        <f>Tienda!$K3543-Tienda!$K3543*Tienda!$L3543</f>
        <v>75.614000000000004</v>
      </c>
      <c r="N3345" s="3" t="s">
        <v>10040</v>
      </c>
      <c r="O3345" s="3" t="s">
        <v>10042</v>
      </c>
      <c r="P3345" s="17">
        <v>45708</v>
      </c>
      <c r="Q3345" s="4">
        <v>3</v>
      </c>
    </row>
    <row r="3346" spans="1:17" ht="30" x14ac:dyDescent="0.25">
      <c r="A3346" s="2" t="s">
        <v>1214</v>
      </c>
      <c r="B3346" s="3" t="s">
        <v>5015</v>
      </c>
      <c r="C3346" s="3">
        <v>42</v>
      </c>
      <c r="D3346" s="46" t="str">
        <f>IF(Tabla1[[#This Row],[EDAD]]&lt;=35,"Adultos jóvenes 18 - 35 años",IF(C3346&gt;=36,"Adultos mayores 36 años en adelante"))</f>
        <v>Adultos mayores 36 años en adelante</v>
      </c>
      <c r="E3346" s="3" t="s">
        <v>5018</v>
      </c>
      <c r="F3346" s="3" t="s">
        <v>5027</v>
      </c>
      <c r="G3346" s="3" t="s">
        <v>5035</v>
      </c>
      <c r="H3346" s="3" t="s">
        <v>6237</v>
      </c>
      <c r="I3346" s="17">
        <v>45709</v>
      </c>
      <c r="J3346" s="18">
        <f>YEAR(Tabla1[[#This Row],[FECHA DE COMPRA]])</f>
        <v>2025</v>
      </c>
      <c r="K3346" s="19">
        <v>30.07</v>
      </c>
      <c r="L3346" s="20">
        <v>0.3</v>
      </c>
      <c r="M3346" s="19">
        <f>Tienda!$K3544-Tienda!$K3544*Tienda!$L3544</f>
        <v>112.09</v>
      </c>
      <c r="N3346" s="3" t="s">
        <v>10040</v>
      </c>
      <c r="O3346" s="3" t="s">
        <v>10042</v>
      </c>
      <c r="P3346" s="17">
        <v>45709</v>
      </c>
      <c r="Q3346" s="4">
        <v>3</v>
      </c>
    </row>
    <row r="3347" spans="1:17" ht="30" x14ac:dyDescent="0.25">
      <c r="A3347" s="2" t="s">
        <v>3622</v>
      </c>
      <c r="B3347" s="3" t="s">
        <v>5015</v>
      </c>
      <c r="C3347" s="3">
        <v>42</v>
      </c>
      <c r="D3347" s="46" t="str">
        <f>IF(Tabla1[[#This Row],[EDAD]]&lt;=35,"Adultos jóvenes 18 - 35 años",IF(C3347&gt;=36,"Adultos mayores 36 años en adelante"))</f>
        <v>Adultos mayores 36 años en adelante</v>
      </c>
      <c r="E3347" s="3" t="s">
        <v>5022</v>
      </c>
      <c r="F3347" s="3" t="s">
        <v>5026</v>
      </c>
      <c r="G3347" s="3" t="s">
        <v>5035</v>
      </c>
      <c r="H3347" s="3" t="s">
        <v>8645</v>
      </c>
      <c r="I3347" s="17">
        <v>45709</v>
      </c>
      <c r="J3347" s="18">
        <f>YEAR(Tabla1[[#This Row],[FECHA DE COMPRA]])</f>
        <v>2025</v>
      </c>
      <c r="K3347" s="19">
        <v>164.79</v>
      </c>
      <c r="L3347" s="20">
        <v>0.2</v>
      </c>
      <c r="M3347" s="19">
        <f>Tienda!$K3545-Tienda!$K3545*Tienda!$L3545</f>
        <v>82.852000000000004</v>
      </c>
      <c r="N3347" s="3" t="s">
        <v>10040</v>
      </c>
      <c r="O3347" s="3" t="s">
        <v>10042</v>
      </c>
      <c r="P3347" s="17">
        <v>45709</v>
      </c>
      <c r="Q3347" s="4">
        <v>3</v>
      </c>
    </row>
    <row r="3348" spans="1:17" ht="30" x14ac:dyDescent="0.25">
      <c r="A3348" s="2" t="s">
        <v>4766</v>
      </c>
      <c r="B3348" s="3" t="s">
        <v>5015</v>
      </c>
      <c r="C3348" s="3">
        <v>53</v>
      </c>
      <c r="D3348" s="46" t="str">
        <f>IF(Tabla1[[#This Row],[EDAD]]&lt;=35,"Adultos jóvenes 18 - 35 años",IF(C3348&gt;=36,"Adultos mayores 36 años en adelante"))</f>
        <v>Adultos mayores 36 años en adelante</v>
      </c>
      <c r="E3348" s="3" t="s">
        <v>5017</v>
      </c>
      <c r="F3348" s="3" t="s">
        <v>5030</v>
      </c>
      <c r="G3348" s="3" t="s">
        <v>5034</v>
      </c>
      <c r="H3348" s="3" t="s">
        <v>9789</v>
      </c>
      <c r="I3348" s="17">
        <v>45710</v>
      </c>
      <c r="J3348" s="18">
        <f>YEAR(Tabla1[[#This Row],[FECHA DE COMPRA]])</f>
        <v>2025</v>
      </c>
      <c r="K3348" s="19">
        <v>48.86</v>
      </c>
      <c r="L3348" s="20">
        <v>0.3</v>
      </c>
      <c r="M3348" s="19">
        <f>Tienda!$K3546-Tienda!$K3546*Tienda!$L3546</f>
        <v>101.184</v>
      </c>
      <c r="N3348" s="3" t="s">
        <v>10040</v>
      </c>
      <c r="O3348" s="3" t="s">
        <v>10042</v>
      </c>
      <c r="P3348" s="17">
        <v>45710</v>
      </c>
      <c r="Q3348" s="4">
        <v>3</v>
      </c>
    </row>
    <row r="3349" spans="1:17" ht="30" x14ac:dyDescent="0.25">
      <c r="A3349" s="2" t="s">
        <v>2967</v>
      </c>
      <c r="B3349" s="3" t="s">
        <v>5016</v>
      </c>
      <c r="C3349" s="3">
        <v>41</v>
      </c>
      <c r="D3349" s="46" t="str">
        <f>IF(Tabla1[[#This Row],[EDAD]]&lt;=35,"Adultos jóvenes 18 - 35 años",IF(C3349&gt;=36,"Adultos mayores 36 años en adelante"))</f>
        <v>Adultos mayores 36 años en adelante</v>
      </c>
      <c r="E3349" s="3" t="s">
        <v>5017</v>
      </c>
      <c r="F3349" s="3" t="s">
        <v>5025</v>
      </c>
      <c r="G3349" s="3" t="s">
        <v>5035</v>
      </c>
      <c r="H3349" s="3" t="s">
        <v>7990</v>
      </c>
      <c r="I3349" s="17">
        <v>45710</v>
      </c>
      <c r="J3349" s="18">
        <f>YEAR(Tabla1[[#This Row],[FECHA DE COMPRA]])</f>
        <v>2025</v>
      </c>
      <c r="K3349" s="19">
        <v>135.91</v>
      </c>
      <c r="L3349" s="20">
        <v>0.3</v>
      </c>
      <c r="M3349" s="19">
        <f>Tienda!$K3547-Tienda!$K3547*Tienda!$L3547</f>
        <v>121.40099999999998</v>
      </c>
      <c r="N3349" s="3" t="s">
        <v>10040</v>
      </c>
      <c r="O3349" s="3" t="s">
        <v>10042</v>
      </c>
      <c r="P3349" s="17">
        <v>45710</v>
      </c>
      <c r="Q3349" s="4">
        <v>3</v>
      </c>
    </row>
    <row r="3350" spans="1:17" ht="30" x14ac:dyDescent="0.25">
      <c r="A3350" s="2" t="s">
        <v>4122</v>
      </c>
      <c r="B3350" s="3" t="s">
        <v>5016</v>
      </c>
      <c r="C3350" s="3">
        <v>48</v>
      </c>
      <c r="D3350" s="46" t="str">
        <f>IF(Tabla1[[#This Row],[EDAD]]&lt;=35,"Adultos jóvenes 18 - 35 años",IF(C3350&gt;=36,"Adultos mayores 36 años en adelante"))</f>
        <v>Adultos mayores 36 años en adelante</v>
      </c>
      <c r="E3350" s="3" t="s">
        <v>5017</v>
      </c>
      <c r="F3350" s="3" t="s">
        <v>5024</v>
      </c>
      <c r="G3350" s="3" t="s">
        <v>5034</v>
      </c>
      <c r="H3350" s="3" t="s">
        <v>9145</v>
      </c>
      <c r="I3350" s="17">
        <v>45731</v>
      </c>
      <c r="J3350" s="18">
        <f>YEAR(Tabla1[[#This Row],[FECHA DE COMPRA]])</f>
        <v>2025</v>
      </c>
      <c r="K3350" s="19">
        <v>12.22</v>
      </c>
      <c r="L3350" s="20">
        <v>0.1</v>
      </c>
      <c r="M3350" s="19">
        <f>Tienda!$K3548-Tienda!$K3548*Tienda!$L3548</f>
        <v>109.59200000000001</v>
      </c>
      <c r="N3350" s="3" t="s">
        <v>10040</v>
      </c>
      <c r="O3350" s="3" t="s">
        <v>10042</v>
      </c>
      <c r="P3350" s="17">
        <v>45731</v>
      </c>
      <c r="Q3350" s="4">
        <v>3</v>
      </c>
    </row>
    <row r="3351" spans="1:17" ht="30" x14ac:dyDescent="0.25">
      <c r="A3351" s="2" t="s">
        <v>849</v>
      </c>
      <c r="B3351" s="3" t="s">
        <v>5015</v>
      </c>
      <c r="C3351" s="3">
        <v>61</v>
      </c>
      <c r="D3351" s="46" t="str">
        <f>IF(Tabla1[[#This Row],[EDAD]]&lt;=35,"Adultos jóvenes 18 - 35 años",IF(C3351&gt;=36,"Adultos mayores 36 años en adelante"))</f>
        <v>Adultos mayores 36 años en adelante</v>
      </c>
      <c r="E3351" s="3" t="s">
        <v>5017</v>
      </c>
      <c r="F3351" s="3" t="s">
        <v>5030</v>
      </c>
      <c r="G3351" s="3" t="s">
        <v>5032</v>
      </c>
      <c r="H3351" s="3" t="s">
        <v>5872</v>
      </c>
      <c r="I3351" s="17">
        <v>45743</v>
      </c>
      <c r="J3351" s="18">
        <f>YEAR(Tabla1[[#This Row],[FECHA DE COMPRA]])</f>
        <v>2025</v>
      </c>
      <c r="K3351" s="19">
        <v>13.95</v>
      </c>
      <c r="L3351" s="20">
        <v>0</v>
      </c>
      <c r="M3351" s="19">
        <f>Tienda!$K3549-Tienda!$K3549*Tienda!$L3549</f>
        <v>98.371000000000009</v>
      </c>
      <c r="N3351" s="3" t="s">
        <v>10040</v>
      </c>
      <c r="O3351" s="3" t="s">
        <v>10042</v>
      </c>
      <c r="P3351" s="17">
        <v>45743</v>
      </c>
      <c r="Q3351" s="4">
        <v>3</v>
      </c>
    </row>
    <row r="3352" spans="1:17" ht="30" x14ac:dyDescent="0.25">
      <c r="A3352" s="2" t="s">
        <v>4414</v>
      </c>
      <c r="B3352" s="3" t="s">
        <v>5016</v>
      </c>
      <c r="C3352" s="3">
        <v>48</v>
      </c>
      <c r="D3352" s="46" t="str">
        <f>IF(Tabla1[[#This Row],[EDAD]]&lt;=35,"Adultos jóvenes 18 - 35 años",IF(C3352&gt;=36,"Adultos mayores 36 años en adelante"))</f>
        <v>Adultos mayores 36 años en adelante</v>
      </c>
      <c r="E3352" s="3" t="s">
        <v>5019</v>
      </c>
      <c r="F3352" s="3" t="s">
        <v>5030</v>
      </c>
      <c r="G3352" s="3" t="s">
        <v>5033</v>
      </c>
      <c r="H3352" s="3" t="s">
        <v>9437</v>
      </c>
      <c r="I3352" s="17">
        <v>45723</v>
      </c>
      <c r="J3352" s="18">
        <f>YEAR(Tabla1[[#This Row],[FECHA DE COMPRA]])</f>
        <v>2025</v>
      </c>
      <c r="K3352" s="19">
        <v>20.39</v>
      </c>
      <c r="L3352" s="20">
        <v>0</v>
      </c>
      <c r="M3352" s="19">
        <f>Tienda!$K3551-Tienda!$K3551*Tienda!$L3551</f>
        <v>136.179</v>
      </c>
      <c r="N3352" s="3" t="s">
        <v>10040</v>
      </c>
      <c r="O3352" s="3" t="s">
        <v>10042</v>
      </c>
      <c r="P3352" s="17">
        <v>45723</v>
      </c>
      <c r="Q3352" s="4">
        <v>6</v>
      </c>
    </row>
    <row r="3353" spans="1:17" ht="30" x14ac:dyDescent="0.25">
      <c r="A3353" s="2" t="s">
        <v>1996</v>
      </c>
      <c r="B3353" s="3" t="s">
        <v>5015</v>
      </c>
      <c r="C3353" s="3">
        <v>39</v>
      </c>
      <c r="D3353" s="46" t="str">
        <f>IF(Tabla1[[#This Row],[EDAD]]&lt;=35,"Adultos jóvenes 18 - 35 años",IF(C3353&gt;=36,"Adultos mayores 36 años en adelante"))</f>
        <v>Adultos mayores 36 años en adelante</v>
      </c>
      <c r="E3353" s="3" t="s">
        <v>5022</v>
      </c>
      <c r="F3353" s="3" t="s">
        <v>5028</v>
      </c>
      <c r="G3353" s="3" t="s">
        <v>5033</v>
      </c>
      <c r="H3353" s="3" t="s">
        <v>7019</v>
      </c>
      <c r="I3353" s="17">
        <v>45738</v>
      </c>
      <c r="J3353" s="18">
        <f>YEAR(Tabla1[[#This Row],[FECHA DE COMPRA]])</f>
        <v>2025</v>
      </c>
      <c r="K3353" s="19">
        <v>22.34</v>
      </c>
      <c r="L3353" s="20">
        <v>0.1</v>
      </c>
      <c r="M3353" s="19">
        <f>Tienda!$K3552-Tienda!$K3552*Tienda!$L3552</f>
        <v>109.55000000000001</v>
      </c>
      <c r="N3353" s="3" t="s">
        <v>10040</v>
      </c>
      <c r="O3353" s="3" t="s">
        <v>10042</v>
      </c>
      <c r="P3353" s="17">
        <v>45738</v>
      </c>
      <c r="Q3353" s="4">
        <v>6</v>
      </c>
    </row>
    <row r="3354" spans="1:17" ht="30" x14ac:dyDescent="0.25">
      <c r="A3354" s="2" t="s">
        <v>1880</v>
      </c>
      <c r="B3354" s="3" t="s">
        <v>5015</v>
      </c>
      <c r="C3354" s="3">
        <v>45</v>
      </c>
      <c r="D3354" s="46" t="str">
        <f>IF(Tabla1[[#This Row],[EDAD]]&lt;=35,"Adultos jóvenes 18 - 35 años",IF(C3354&gt;=36,"Adultos mayores 36 años en adelante"))</f>
        <v>Adultos mayores 36 años en adelante</v>
      </c>
      <c r="E3354" s="3" t="s">
        <v>5023</v>
      </c>
      <c r="F3354" s="3" t="s">
        <v>5030</v>
      </c>
      <c r="G3354" s="3" t="s">
        <v>5034</v>
      </c>
      <c r="H3354" s="3" t="s">
        <v>6903</v>
      </c>
      <c r="I3354" s="17">
        <v>45728</v>
      </c>
      <c r="J3354" s="18">
        <f>YEAR(Tabla1[[#This Row],[FECHA DE COMPRA]])</f>
        <v>2025</v>
      </c>
      <c r="K3354" s="19">
        <v>22.92</v>
      </c>
      <c r="L3354" s="20">
        <v>0</v>
      </c>
      <c r="M3354" s="19">
        <f>Tienda!$K3553-Tienda!$K3553*Tienda!$L3553</f>
        <v>111.37700000000001</v>
      </c>
      <c r="N3354" s="3" t="s">
        <v>10040</v>
      </c>
      <c r="O3354" s="3" t="s">
        <v>10042</v>
      </c>
      <c r="P3354" s="17">
        <v>45728</v>
      </c>
      <c r="Q3354" s="4">
        <v>6</v>
      </c>
    </row>
    <row r="3355" spans="1:17" ht="30" x14ac:dyDescent="0.25">
      <c r="A3355" s="2" t="s">
        <v>280</v>
      </c>
      <c r="B3355" s="3" t="s">
        <v>5015</v>
      </c>
      <c r="C3355" s="3">
        <v>56</v>
      </c>
      <c r="D3355" s="46" t="str">
        <f>IF(Tabla1[[#This Row],[EDAD]]&lt;=35,"Adultos jóvenes 18 - 35 años",IF(C3355&gt;=36,"Adultos mayores 36 años en adelante"))</f>
        <v>Adultos mayores 36 años en adelante</v>
      </c>
      <c r="E3355" s="3" t="s">
        <v>5017</v>
      </c>
      <c r="F3355" s="3" t="s">
        <v>5025</v>
      </c>
      <c r="G3355" s="3" t="s">
        <v>5037</v>
      </c>
      <c r="H3355" s="3" t="s">
        <v>5303</v>
      </c>
      <c r="I3355" s="17">
        <v>45732</v>
      </c>
      <c r="J3355" s="18">
        <f>YEAR(Tabla1[[#This Row],[FECHA DE COMPRA]])</f>
        <v>2025</v>
      </c>
      <c r="K3355" s="19">
        <v>25.52</v>
      </c>
      <c r="L3355" s="20">
        <v>0.1</v>
      </c>
      <c r="M3355" s="19">
        <f>Tienda!$K3554-Tienda!$K3554*Tienda!$L3554</f>
        <v>146.71800000000002</v>
      </c>
      <c r="N3355" s="3" t="s">
        <v>10040</v>
      </c>
      <c r="O3355" s="3" t="s">
        <v>10042</v>
      </c>
      <c r="P3355" s="17">
        <v>45732</v>
      </c>
      <c r="Q3355" s="4">
        <v>6</v>
      </c>
    </row>
    <row r="3356" spans="1:17" ht="30" x14ac:dyDescent="0.25">
      <c r="A3356" s="2" t="s">
        <v>3646</v>
      </c>
      <c r="B3356" s="3" t="s">
        <v>5015</v>
      </c>
      <c r="C3356" s="3">
        <v>62</v>
      </c>
      <c r="D3356" s="46" t="str">
        <f>IF(Tabla1[[#This Row],[EDAD]]&lt;=35,"Adultos jóvenes 18 - 35 años",IF(C3356&gt;=36,"Adultos mayores 36 años en adelante"))</f>
        <v>Adultos mayores 36 años en adelante</v>
      </c>
      <c r="E3356" s="3" t="s">
        <v>5020</v>
      </c>
      <c r="F3356" s="3" t="s">
        <v>5030</v>
      </c>
      <c r="G3356" s="3" t="s">
        <v>5033</v>
      </c>
      <c r="H3356" s="3" t="s">
        <v>8669</v>
      </c>
      <c r="I3356" s="17">
        <v>45747</v>
      </c>
      <c r="J3356" s="18">
        <f>YEAR(Tabla1[[#This Row],[FECHA DE COMPRA]])</f>
        <v>2025</v>
      </c>
      <c r="K3356" s="19">
        <v>32.44</v>
      </c>
      <c r="L3356" s="20">
        <v>0.3</v>
      </c>
      <c r="M3356" s="19">
        <f>Tienda!$K3556-Tienda!$K3556*Tienda!$L3556</f>
        <v>155.07900000000001</v>
      </c>
      <c r="N3356" s="3" t="s">
        <v>10040</v>
      </c>
      <c r="O3356" s="3" t="s">
        <v>10042</v>
      </c>
      <c r="P3356" s="17">
        <v>45747</v>
      </c>
      <c r="Q3356" s="4">
        <v>6</v>
      </c>
    </row>
    <row r="3357" spans="1:17" ht="30" x14ac:dyDescent="0.25">
      <c r="A3357" s="2" t="s">
        <v>1042</v>
      </c>
      <c r="B3357" s="3" t="s">
        <v>5015</v>
      </c>
      <c r="C3357" s="3">
        <v>55</v>
      </c>
      <c r="D3357" s="46" t="str">
        <f>IF(Tabla1[[#This Row],[EDAD]]&lt;=35,"Adultos jóvenes 18 - 35 años",IF(C3357&gt;=36,"Adultos mayores 36 años en adelante"))</f>
        <v>Adultos mayores 36 años en adelante</v>
      </c>
      <c r="E3357" s="3" t="s">
        <v>5021</v>
      </c>
      <c r="F3357" s="3" t="s">
        <v>5030</v>
      </c>
      <c r="G3357" s="3" t="s">
        <v>5036</v>
      </c>
      <c r="H3357" s="3" t="s">
        <v>6065</v>
      </c>
      <c r="I3357" s="17">
        <v>45717</v>
      </c>
      <c r="J3357" s="18">
        <f>YEAR(Tabla1[[#This Row],[FECHA DE COMPRA]])</f>
        <v>2025</v>
      </c>
      <c r="K3357" s="19">
        <v>36.15</v>
      </c>
      <c r="L3357" s="20">
        <v>0</v>
      </c>
      <c r="M3357" s="19">
        <f>Tienda!$K3557-Tienda!$K3557*Tienda!$L3557</f>
        <v>125.699</v>
      </c>
      <c r="N3357" s="3" t="s">
        <v>10040</v>
      </c>
      <c r="O3357" s="3" t="s">
        <v>10042</v>
      </c>
      <c r="P3357" s="17">
        <v>45717</v>
      </c>
      <c r="Q3357" s="4">
        <v>6</v>
      </c>
    </row>
    <row r="3358" spans="1:17" ht="30" x14ac:dyDescent="0.25">
      <c r="A3358" s="2" t="s">
        <v>3664</v>
      </c>
      <c r="B3358" s="3" t="s">
        <v>5015</v>
      </c>
      <c r="C3358" s="3">
        <v>52</v>
      </c>
      <c r="D3358" s="46" t="str">
        <f>IF(Tabla1[[#This Row],[EDAD]]&lt;=35,"Adultos jóvenes 18 - 35 años",IF(C3358&gt;=36,"Adultos mayores 36 años en adelante"))</f>
        <v>Adultos mayores 36 años en adelante</v>
      </c>
      <c r="E3358" s="3" t="s">
        <v>5018</v>
      </c>
      <c r="F3358" s="3" t="s">
        <v>5029</v>
      </c>
      <c r="G3358" s="3" t="s">
        <v>5033</v>
      </c>
      <c r="H3358" s="3" t="s">
        <v>8687</v>
      </c>
      <c r="I3358" s="17">
        <v>45747</v>
      </c>
      <c r="J3358" s="18">
        <f>YEAR(Tabla1[[#This Row],[FECHA DE COMPRA]])</f>
        <v>2025</v>
      </c>
      <c r="K3358" s="19">
        <v>65.94</v>
      </c>
      <c r="L3358" s="20">
        <v>0</v>
      </c>
      <c r="M3358" s="19">
        <f>Tienda!$K3559-Tienda!$K3559*Tienda!$L3559</f>
        <v>144.232</v>
      </c>
      <c r="N3358" s="3" t="s">
        <v>10040</v>
      </c>
      <c r="O3358" s="3" t="s">
        <v>10042</v>
      </c>
      <c r="P3358" s="17">
        <v>45747</v>
      </c>
      <c r="Q3358" s="4">
        <v>6</v>
      </c>
    </row>
    <row r="3359" spans="1:17" ht="30" x14ac:dyDescent="0.25">
      <c r="A3359" s="2" t="s">
        <v>2861</v>
      </c>
      <c r="B3359" s="3" t="s">
        <v>5015</v>
      </c>
      <c r="C3359" s="3">
        <v>42</v>
      </c>
      <c r="D3359" s="46" t="str">
        <f>IF(Tabla1[[#This Row],[EDAD]]&lt;=35,"Adultos jóvenes 18 - 35 años",IF(C3359&gt;=36,"Adultos mayores 36 años en adelante"))</f>
        <v>Adultos mayores 36 años en adelante</v>
      </c>
      <c r="E3359" s="3" t="s">
        <v>5017</v>
      </c>
      <c r="F3359" s="3" t="s">
        <v>5027</v>
      </c>
      <c r="G3359" s="3" t="s">
        <v>5035</v>
      </c>
      <c r="H3359" s="3" t="s">
        <v>7884</v>
      </c>
      <c r="I3359" s="17">
        <v>45732</v>
      </c>
      <c r="J3359" s="18">
        <f>YEAR(Tabla1[[#This Row],[FECHA DE COMPRA]])</f>
        <v>2025</v>
      </c>
      <c r="K3359" s="19">
        <v>66.2</v>
      </c>
      <c r="L3359" s="20">
        <v>0.3</v>
      </c>
      <c r="M3359" s="19">
        <f>Tienda!$K3560-Tienda!$K3560*Tienda!$L3560</f>
        <v>199.98</v>
      </c>
      <c r="N3359" s="3" t="s">
        <v>10040</v>
      </c>
      <c r="O3359" s="3" t="s">
        <v>10042</v>
      </c>
      <c r="P3359" s="17">
        <v>45732</v>
      </c>
      <c r="Q3359" s="4">
        <v>6</v>
      </c>
    </row>
    <row r="3360" spans="1:17" ht="30" x14ac:dyDescent="0.25">
      <c r="A3360" s="2" t="s">
        <v>2847</v>
      </c>
      <c r="B3360" s="3" t="s">
        <v>5016</v>
      </c>
      <c r="C3360" s="3">
        <v>37</v>
      </c>
      <c r="D3360" s="46" t="str">
        <f>IF(Tabla1[[#This Row],[EDAD]]&lt;=35,"Adultos jóvenes 18 - 35 años",IF(C3360&gt;=36,"Adultos mayores 36 años en adelante"))</f>
        <v>Adultos mayores 36 años en adelante</v>
      </c>
      <c r="E3360" s="3" t="s">
        <v>5017</v>
      </c>
      <c r="F3360" s="3" t="s">
        <v>5025</v>
      </c>
      <c r="G3360" s="3" t="s">
        <v>5033</v>
      </c>
      <c r="H3360" s="3" t="s">
        <v>7870</v>
      </c>
      <c r="I3360" s="17">
        <v>45730</v>
      </c>
      <c r="J3360" s="18">
        <f>YEAR(Tabla1[[#This Row],[FECHA DE COMPRA]])</f>
        <v>2025</v>
      </c>
      <c r="K3360" s="19">
        <v>67.290000000000006</v>
      </c>
      <c r="L3360" s="20">
        <v>0.1</v>
      </c>
      <c r="M3360" s="19">
        <f>Tienda!$K3561-Tienda!$K3561*Tienda!$L3561</f>
        <v>7.1890000000000001</v>
      </c>
      <c r="N3360" s="3" t="s">
        <v>10040</v>
      </c>
      <c r="O3360" s="3" t="s">
        <v>10042</v>
      </c>
      <c r="P3360" s="17">
        <v>45730</v>
      </c>
      <c r="Q3360" s="4">
        <v>6</v>
      </c>
    </row>
    <row r="3361" spans="1:17" ht="30" x14ac:dyDescent="0.25">
      <c r="A3361" s="2" t="s">
        <v>3594</v>
      </c>
      <c r="B3361" s="3" t="s">
        <v>5015</v>
      </c>
      <c r="C3361" s="3">
        <v>39</v>
      </c>
      <c r="D3361" s="46" t="str">
        <f>IF(Tabla1[[#This Row],[EDAD]]&lt;=35,"Adultos jóvenes 18 - 35 años",IF(C3361&gt;=36,"Adultos mayores 36 años en adelante"))</f>
        <v>Adultos mayores 36 años en adelante</v>
      </c>
      <c r="E3361" s="3" t="s">
        <v>5023</v>
      </c>
      <c r="F3361" s="3" t="s">
        <v>5029</v>
      </c>
      <c r="G3361" s="3" t="s">
        <v>5034</v>
      </c>
      <c r="H3361" s="3" t="s">
        <v>8617</v>
      </c>
      <c r="I3361" s="17">
        <v>45738</v>
      </c>
      <c r="J3361" s="18">
        <f>YEAR(Tabla1[[#This Row],[FECHA DE COMPRA]])</f>
        <v>2025</v>
      </c>
      <c r="K3361" s="19">
        <v>75.14</v>
      </c>
      <c r="L3361" s="20">
        <v>0.3</v>
      </c>
      <c r="M3361" s="19">
        <f>Tienda!$K3565-Tienda!$K3565*Tienda!$L3565</f>
        <v>49.72</v>
      </c>
      <c r="N3361" s="3" t="s">
        <v>10040</v>
      </c>
      <c r="O3361" s="3" t="s">
        <v>10042</v>
      </c>
      <c r="P3361" s="17">
        <v>45738</v>
      </c>
      <c r="Q3361" s="4">
        <v>3</v>
      </c>
    </row>
    <row r="3362" spans="1:17" ht="30" x14ac:dyDescent="0.25">
      <c r="A3362" s="2" t="s">
        <v>1454</v>
      </c>
      <c r="B3362" s="3" t="s">
        <v>5015</v>
      </c>
      <c r="C3362" s="3">
        <v>47</v>
      </c>
      <c r="D3362" s="46" t="str">
        <f>IF(Tabla1[[#This Row],[EDAD]]&lt;=35,"Adultos jóvenes 18 - 35 años",IF(C3362&gt;=36,"Adultos mayores 36 años en adelante"))</f>
        <v>Adultos mayores 36 años en adelante</v>
      </c>
      <c r="E3362" s="3" t="s">
        <v>5022</v>
      </c>
      <c r="F3362" s="3" t="s">
        <v>5024</v>
      </c>
      <c r="G3362" s="3" t="s">
        <v>5032</v>
      </c>
      <c r="H3362" s="3" t="s">
        <v>6477</v>
      </c>
      <c r="I3362" s="17">
        <v>45733</v>
      </c>
      <c r="J3362" s="18">
        <f>YEAR(Tabla1[[#This Row],[FECHA DE COMPRA]])</f>
        <v>2025</v>
      </c>
      <c r="K3362" s="19">
        <v>75.790000000000006</v>
      </c>
      <c r="L3362" s="20">
        <v>0.3</v>
      </c>
      <c r="M3362" s="19">
        <f>Tienda!$K3566-Tienda!$K3566*Tienda!$L3566</f>
        <v>56.911999999999999</v>
      </c>
      <c r="N3362" s="3" t="s">
        <v>10040</v>
      </c>
      <c r="O3362" s="3" t="s">
        <v>10042</v>
      </c>
      <c r="P3362" s="17">
        <v>45733</v>
      </c>
      <c r="Q3362" s="4">
        <v>3</v>
      </c>
    </row>
    <row r="3363" spans="1:17" ht="30" x14ac:dyDescent="0.25">
      <c r="A3363" s="2" t="s">
        <v>2385</v>
      </c>
      <c r="B3363" s="3" t="s">
        <v>5015</v>
      </c>
      <c r="C3363" s="3">
        <v>50</v>
      </c>
      <c r="D3363" s="46" t="str">
        <f>IF(Tabla1[[#This Row],[EDAD]]&lt;=35,"Adultos jóvenes 18 - 35 años",IF(C3363&gt;=36,"Adultos mayores 36 años en adelante"))</f>
        <v>Adultos mayores 36 años en adelante</v>
      </c>
      <c r="E3363" s="3" t="s">
        <v>5018</v>
      </c>
      <c r="F3363" s="3" t="s">
        <v>5025</v>
      </c>
      <c r="G3363" s="3" t="s">
        <v>5035</v>
      </c>
      <c r="H3363" s="3" t="s">
        <v>7408</v>
      </c>
      <c r="I3363" s="17">
        <v>45738</v>
      </c>
      <c r="J3363" s="18">
        <f>YEAR(Tabla1[[#This Row],[FECHA DE COMPRA]])</f>
        <v>2025</v>
      </c>
      <c r="K3363" s="19">
        <v>125.67</v>
      </c>
      <c r="L3363" s="20">
        <v>0</v>
      </c>
      <c r="M3363" s="19">
        <f>Tienda!$K3568-Tienda!$K3568*Tienda!$L3568</f>
        <v>101.322</v>
      </c>
      <c r="N3363" s="3" t="s">
        <v>10040</v>
      </c>
      <c r="O3363" s="3" t="s">
        <v>10042</v>
      </c>
      <c r="P3363" s="17">
        <v>45738</v>
      </c>
      <c r="Q3363" s="4">
        <v>3</v>
      </c>
    </row>
    <row r="3364" spans="1:17" ht="30" x14ac:dyDescent="0.25">
      <c r="A3364" s="2" t="s">
        <v>3618</v>
      </c>
      <c r="B3364" s="3" t="s">
        <v>5015</v>
      </c>
      <c r="C3364" s="3">
        <v>65</v>
      </c>
      <c r="D3364" s="46" t="str">
        <f>IF(Tabla1[[#This Row],[EDAD]]&lt;=35,"Adultos jóvenes 18 - 35 años",IF(C3364&gt;=36,"Adultos mayores 36 años en adelante"))</f>
        <v>Adultos mayores 36 años en adelante</v>
      </c>
      <c r="E3364" s="3" t="s">
        <v>5020</v>
      </c>
      <c r="F3364" s="3" t="s">
        <v>5026</v>
      </c>
      <c r="G3364" s="3" t="s">
        <v>5034</v>
      </c>
      <c r="H3364" s="3" t="s">
        <v>8641</v>
      </c>
      <c r="I3364" s="17">
        <v>45725</v>
      </c>
      <c r="J3364" s="18">
        <f>YEAR(Tabla1[[#This Row],[FECHA DE COMPRA]])</f>
        <v>2025</v>
      </c>
      <c r="K3364" s="19">
        <v>128.31</v>
      </c>
      <c r="L3364" s="20">
        <v>0.2</v>
      </c>
      <c r="M3364" s="19">
        <f>Tienda!$K3569-Tienda!$K3569*Tienda!$L3569</f>
        <v>115.23</v>
      </c>
      <c r="N3364" s="3" t="s">
        <v>10040</v>
      </c>
      <c r="O3364" s="3" t="s">
        <v>10042</v>
      </c>
      <c r="P3364" s="17">
        <v>45725</v>
      </c>
      <c r="Q3364" s="4">
        <v>3</v>
      </c>
    </row>
    <row r="3365" spans="1:17" ht="30" x14ac:dyDescent="0.25">
      <c r="A3365" s="2" t="s">
        <v>1852</v>
      </c>
      <c r="B3365" s="3" t="s">
        <v>5015</v>
      </c>
      <c r="C3365" s="3">
        <v>40</v>
      </c>
      <c r="D3365" s="46" t="str">
        <f>IF(Tabla1[[#This Row],[EDAD]]&lt;=35,"Adultos jóvenes 18 - 35 años",IF(C3365&gt;=36,"Adultos mayores 36 años en adelante"))</f>
        <v>Adultos mayores 36 años en adelante</v>
      </c>
      <c r="E3365" s="3" t="s">
        <v>5023</v>
      </c>
      <c r="F3365" s="3" t="s">
        <v>5025</v>
      </c>
      <c r="G3365" s="3" t="s">
        <v>5036</v>
      </c>
      <c r="H3365" s="3" t="s">
        <v>6875</v>
      </c>
      <c r="I3365" s="17">
        <v>45725</v>
      </c>
      <c r="J3365" s="18">
        <f>YEAR(Tabla1[[#This Row],[FECHA DE COMPRA]])</f>
        <v>2025</v>
      </c>
      <c r="K3365" s="19">
        <v>138.18</v>
      </c>
      <c r="L3365" s="20">
        <v>0.2</v>
      </c>
      <c r="M3365" s="19">
        <f>Tienda!$K3571-Tienda!$K3571*Tienda!$L3571</f>
        <v>92.665999999999997</v>
      </c>
      <c r="N3365" s="3" t="s">
        <v>10040</v>
      </c>
      <c r="O3365" s="3" t="s">
        <v>10042</v>
      </c>
      <c r="P3365" s="17">
        <v>45725</v>
      </c>
      <c r="Q3365" s="4">
        <v>3</v>
      </c>
    </row>
    <row r="3366" spans="1:17" ht="30" x14ac:dyDescent="0.25">
      <c r="A3366" s="2" t="s">
        <v>4407</v>
      </c>
      <c r="B3366" s="3" t="s">
        <v>5015</v>
      </c>
      <c r="C3366" s="3">
        <v>39</v>
      </c>
      <c r="D3366" s="46" t="str">
        <f>IF(Tabla1[[#This Row],[EDAD]]&lt;=35,"Adultos jóvenes 18 - 35 años",IF(C3366&gt;=36,"Adultos mayores 36 años en adelante"))</f>
        <v>Adultos mayores 36 años en adelante</v>
      </c>
      <c r="E3366" s="3" t="s">
        <v>5017</v>
      </c>
      <c r="F3366" s="3" t="s">
        <v>5028</v>
      </c>
      <c r="G3366" s="3" t="s">
        <v>5033</v>
      </c>
      <c r="H3366" s="3" t="s">
        <v>9430</v>
      </c>
      <c r="I3366" s="17">
        <v>45737</v>
      </c>
      <c r="J3366" s="18">
        <f>YEAR(Tabla1[[#This Row],[FECHA DE COMPRA]])</f>
        <v>2025</v>
      </c>
      <c r="K3366" s="19">
        <v>138.97999999999999</v>
      </c>
      <c r="L3366" s="20">
        <v>0</v>
      </c>
      <c r="M3366" s="19">
        <f>Tienda!$K3572-Tienda!$K3572*Tienda!$L3572</f>
        <v>126.376</v>
      </c>
      <c r="N3366" s="3" t="s">
        <v>10040</v>
      </c>
      <c r="O3366" s="3" t="s">
        <v>10042</v>
      </c>
      <c r="P3366" s="17">
        <v>45737</v>
      </c>
      <c r="Q3366" s="4">
        <v>3</v>
      </c>
    </row>
    <row r="3367" spans="1:17" ht="30" x14ac:dyDescent="0.25">
      <c r="A3367" s="2" t="s">
        <v>2301</v>
      </c>
      <c r="B3367" s="3" t="s">
        <v>5015</v>
      </c>
      <c r="C3367" s="3">
        <v>45</v>
      </c>
      <c r="D3367" s="46" t="str">
        <f>IF(Tabla1[[#This Row],[EDAD]]&lt;=35,"Adultos jóvenes 18 - 35 años",IF(C3367&gt;=36,"Adultos mayores 36 años en adelante"))</f>
        <v>Adultos mayores 36 años en adelante</v>
      </c>
      <c r="E3367" s="3" t="s">
        <v>5018</v>
      </c>
      <c r="F3367" s="3" t="s">
        <v>5027</v>
      </c>
      <c r="G3367" s="3" t="s">
        <v>5037</v>
      </c>
      <c r="H3367" s="3" t="s">
        <v>7324</v>
      </c>
      <c r="I3367" s="17">
        <v>45738</v>
      </c>
      <c r="J3367" s="18">
        <f>YEAR(Tabla1[[#This Row],[FECHA DE COMPRA]])</f>
        <v>2025</v>
      </c>
      <c r="K3367" s="19">
        <v>139.22</v>
      </c>
      <c r="L3367" s="20">
        <v>0.3</v>
      </c>
      <c r="M3367" s="19">
        <f>Tienda!$K3573-Tienda!$K3573*Tienda!$L3573</f>
        <v>117.691</v>
      </c>
      <c r="N3367" s="3" t="s">
        <v>10040</v>
      </c>
      <c r="O3367" s="3" t="s">
        <v>10042</v>
      </c>
      <c r="P3367" s="17">
        <v>45738</v>
      </c>
      <c r="Q3367" s="4">
        <v>6</v>
      </c>
    </row>
    <row r="3368" spans="1:17" ht="30" x14ac:dyDescent="0.25">
      <c r="A3368" s="2" t="s">
        <v>3918</v>
      </c>
      <c r="B3368" s="3" t="s">
        <v>5015</v>
      </c>
      <c r="C3368" s="3">
        <v>63</v>
      </c>
      <c r="D3368" s="46" t="str">
        <f>IF(Tabla1[[#This Row],[EDAD]]&lt;=35,"Adultos jóvenes 18 - 35 años",IF(C3368&gt;=36,"Adultos mayores 36 años en adelante"))</f>
        <v>Adultos mayores 36 años en adelante</v>
      </c>
      <c r="E3368" s="3" t="s">
        <v>5017</v>
      </c>
      <c r="F3368" s="3" t="s">
        <v>5024</v>
      </c>
      <c r="G3368" s="3" t="s">
        <v>5035</v>
      </c>
      <c r="H3368" s="3" t="s">
        <v>8941</v>
      </c>
      <c r="I3368" s="17">
        <v>45738</v>
      </c>
      <c r="J3368" s="18">
        <f>YEAR(Tabla1[[#This Row],[FECHA DE COMPRA]])</f>
        <v>2025</v>
      </c>
      <c r="K3368" s="19">
        <v>143.96</v>
      </c>
      <c r="L3368" s="20">
        <v>0</v>
      </c>
      <c r="M3368" s="19">
        <f>Tienda!$K3574-Tienda!$K3574*Tienda!$L3574</f>
        <v>134.904</v>
      </c>
      <c r="N3368" s="3" t="s">
        <v>10040</v>
      </c>
      <c r="O3368" s="3" t="s">
        <v>10042</v>
      </c>
      <c r="P3368" s="17">
        <v>45738</v>
      </c>
      <c r="Q3368" s="4">
        <v>6</v>
      </c>
    </row>
    <row r="3369" spans="1:17" ht="30" x14ac:dyDescent="0.25">
      <c r="A3369" s="2" t="s">
        <v>3551</v>
      </c>
      <c r="B3369" s="3" t="s">
        <v>5015</v>
      </c>
      <c r="C3369" s="3">
        <v>65</v>
      </c>
      <c r="D3369" s="46" t="str">
        <f>IF(Tabla1[[#This Row],[EDAD]]&lt;=35,"Adultos jóvenes 18 - 35 años",IF(C3369&gt;=36,"Adultos mayores 36 años en adelante"))</f>
        <v>Adultos mayores 36 años en adelante</v>
      </c>
      <c r="E3369" s="3" t="s">
        <v>5018</v>
      </c>
      <c r="F3369" s="3" t="s">
        <v>5024</v>
      </c>
      <c r="G3369" s="3" t="s">
        <v>5036</v>
      </c>
      <c r="H3369" s="3" t="s">
        <v>8574</v>
      </c>
      <c r="I3369" s="17">
        <v>45730</v>
      </c>
      <c r="J3369" s="18">
        <f>YEAR(Tabla1[[#This Row],[FECHA DE COMPRA]])</f>
        <v>2025</v>
      </c>
      <c r="K3369" s="19">
        <v>145.19</v>
      </c>
      <c r="L3369" s="20">
        <v>0.1</v>
      </c>
      <c r="M3369" s="19">
        <f>Tienda!$K3576-Tienda!$K3576*Tienda!$L3576</f>
        <v>156.96899999999999</v>
      </c>
      <c r="N3369" s="3" t="s">
        <v>10040</v>
      </c>
      <c r="O3369" s="3" t="s">
        <v>10042</v>
      </c>
      <c r="P3369" s="17">
        <v>45730</v>
      </c>
      <c r="Q3369" s="4">
        <v>6</v>
      </c>
    </row>
    <row r="3370" spans="1:17" ht="30" x14ac:dyDescent="0.25">
      <c r="A3370" s="2" t="s">
        <v>3393</v>
      </c>
      <c r="B3370" s="3" t="s">
        <v>5015</v>
      </c>
      <c r="C3370" s="3">
        <v>42</v>
      </c>
      <c r="D3370" s="46" t="str">
        <f>IF(Tabla1[[#This Row],[EDAD]]&lt;=35,"Adultos jóvenes 18 - 35 años",IF(C3370&gt;=36,"Adultos mayores 36 años en adelante"))</f>
        <v>Adultos mayores 36 años en adelante</v>
      </c>
      <c r="E3370" s="3" t="s">
        <v>5020</v>
      </c>
      <c r="F3370" s="3" t="s">
        <v>5025</v>
      </c>
      <c r="G3370" s="3" t="s">
        <v>5037</v>
      </c>
      <c r="H3370" s="3" t="s">
        <v>8416</v>
      </c>
      <c r="I3370" s="17">
        <v>45745</v>
      </c>
      <c r="J3370" s="18">
        <f>YEAR(Tabla1[[#This Row],[FECHA DE COMPRA]])</f>
        <v>2025</v>
      </c>
      <c r="K3370" s="19">
        <v>145.37</v>
      </c>
      <c r="L3370" s="20">
        <v>0.1</v>
      </c>
      <c r="M3370" s="19">
        <f>Tienda!$K3577-Tienda!$K3577*Tienda!$L3577</f>
        <v>126.021</v>
      </c>
      <c r="N3370" s="3" t="s">
        <v>10040</v>
      </c>
      <c r="O3370" s="3" t="s">
        <v>10042</v>
      </c>
      <c r="P3370" s="17">
        <v>45745</v>
      </c>
      <c r="Q3370" s="4">
        <v>6</v>
      </c>
    </row>
    <row r="3371" spans="1:17" ht="30" x14ac:dyDescent="0.25">
      <c r="A3371" s="2" t="s">
        <v>1031</v>
      </c>
      <c r="B3371" s="3" t="s">
        <v>5015</v>
      </c>
      <c r="C3371" s="3">
        <v>42</v>
      </c>
      <c r="D3371" s="46" t="str">
        <f>IF(Tabla1[[#This Row],[EDAD]]&lt;=35,"Adultos jóvenes 18 - 35 años",IF(C3371&gt;=36,"Adultos mayores 36 años en adelante"))</f>
        <v>Adultos mayores 36 años en adelante</v>
      </c>
      <c r="E3371" s="3" t="s">
        <v>5017</v>
      </c>
      <c r="F3371" s="3" t="s">
        <v>5026</v>
      </c>
      <c r="G3371" s="3" t="s">
        <v>5032</v>
      </c>
      <c r="H3371" s="3" t="s">
        <v>6054</v>
      </c>
      <c r="I3371" s="17">
        <v>45736</v>
      </c>
      <c r="J3371" s="18">
        <f>YEAR(Tabla1[[#This Row],[FECHA DE COMPRA]])</f>
        <v>2025</v>
      </c>
      <c r="K3371" s="19">
        <v>194.92</v>
      </c>
      <c r="L3371" s="20">
        <v>0.3</v>
      </c>
      <c r="M3371" s="19">
        <f>Tienda!$K3581-Tienda!$K3581*Tienda!$L3581</f>
        <v>22.420999999999999</v>
      </c>
      <c r="N3371" s="3" t="s">
        <v>10040</v>
      </c>
      <c r="O3371" s="3" t="s">
        <v>10042</v>
      </c>
      <c r="P3371" s="17">
        <v>45736</v>
      </c>
      <c r="Q3371" s="4">
        <v>6</v>
      </c>
    </row>
    <row r="3372" spans="1:17" ht="30" x14ac:dyDescent="0.25">
      <c r="A3372" s="2" t="s">
        <v>3238</v>
      </c>
      <c r="B3372" s="3" t="s">
        <v>5016</v>
      </c>
      <c r="C3372" s="3">
        <v>59</v>
      </c>
      <c r="D3372" s="46" t="str">
        <f>IF(Tabla1[[#This Row],[EDAD]]&lt;=35,"Adultos jóvenes 18 - 35 años",IF(C3372&gt;=36,"Adultos mayores 36 años en adelante"))</f>
        <v>Adultos mayores 36 años en adelante</v>
      </c>
      <c r="E3372" s="3" t="s">
        <v>5019</v>
      </c>
      <c r="F3372" s="3" t="s">
        <v>5027</v>
      </c>
      <c r="G3372" s="3" t="s">
        <v>5034</v>
      </c>
      <c r="H3372" s="3" t="s">
        <v>8261</v>
      </c>
      <c r="I3372" s="17">
        <v>45756</v>
      </c>
      <c r="J3372" s="18">
        <f>YEAR(Tabla1[[#This Row],[FECHA DE COMPRA]])</f>
        <v>2025</v>
      </c>
      <c r="K3372" s="19">
        <v>10.43</v>
      </c>
      <c r="L3372" s="20">
        <v>0.3</v>
      </c>
      <c r="M3372" s="19">
        <f>Tienda!$K3583-Tienda!$K3583*Tienda!$L3583</f>
        <v>35.936999999999998</v>
      </c>
      <c r="N3372" s="3" t="s">
        <v>10040</v>
      </c>
      <c r="O3372" s="3" t="s">
        <v>10042</v>
      </c>
      <c r="P3372" s="17">
        <v>45756</v>
      </c>
      <c r="Q3372" s="4">
        <v>6</v>
      </c>
    </row>
    <row r="3373" spans="1:17" ht="30" x14ac:dyDescent="0.25">
      <c r="A3373" s="2" t="s">
        <v>752</v>
      </c>
      <c r="B3373" s="3" t="s">
        <v>5016</v>
      </c>
      <c r="C3373" s="3">
        <v>47</v>
      </c>
      <c r="D3373" s="46" t="str">
        <f>IF(Tabla1[[#This Row],[EDAD]]&lt;=35,"Adultos jóvenes 18 - 35 años",IF(C3373&gt;=36,"Adultos mayores 36 años en adelante"))</f>
        <v>Adultos mayores 36 años en adelante</v>
      </c>
      <c r="E3373" s="3" t="s">
        <v>5021</v>
      </c>
      <c r="F3373" s="3" t="s">
        <v>5024</v>
      </c>
      <c r="G3373" s="3" t="s">
        <v>5037</v>
      </c>
      <c r="H3373" s="3" t="s">
        <v>5775</v>
      </c>
      <c r="I3373" s="17">
        <v>45756</v>
      </c>
      <c r="J3373" s="18">
        <f>YEAR(Tabla1[[#This Row],[FECHA DE COMPRA]])</f>
        <v>2025</v>
      </c>
      <c r="K3373" s="19">
        <v>16.850000000000001</v>
      </c>
      <c r="L3373" s="20">
        <v>0.3</v>
      </c>
      <c r="M3373" s="19">
        <f>Tienda!$K3584-Tienda!$K3584*Tienda!$L3584</f>
        <v>40.436999999999998</v>
      </c>
      <c r="N3373" s="3" t="s">
        <v>10040</v>
      </c>
      <c r="O3373" s="3" t="s">
        <v>10042</v>
      </c>
      <c r="P3373" s="17">
        <v>45756</v>
      </c>
      <c r="Q3373" s="4">
        <v>3</v>
      </c>
    </row>
    <row r="3374" spans="1:17" ht="30" x14ac:dyDescent="0.25">
      <c r="A3374" s="2" t="s">
        <v>1576</v>
      </c>
      <c r="B3374" s="3" t="s">
        <v>5015</v>
      </c>
      <c r="C3374" s="3">
        <v>55</v>
      </c>
      <c r="D3374" s="46" t="str">
        <f>IF(Tabla1[[#This Row],[EDAD]]&lt;=35,"Adultos jóvenes 18 - 35 años",IF(C3374&gt;=36,"Adultos mayores 36 años en adelante"))</f>
        <v>Adultos mayores 36 años en adelante</v>
      </c>
      <c r="E3374" s="3" t="s">
        <v>5020</v>
      </c>
      <c r="F3374" s="3" t="s">
        <v>5028</v>
      </c>
      <c r="G3374" s="3" t="s">
        <v>5033</v>
      </c>
      <c r="H3374" s="3" t="s">
        <v>6599</v>
      </c>
      <c r="I3374" s="17">
        <v>45748</v>
      </c>
      <c r="J3374" s="18">
        <f>YEAR(Tabla1[[#This Row],[FECHA DE COMPRA]])</f>
        <v>2025</v>
      </c>
      <c r="K3374" s="19">
        <v>18.5</v>
      </c>
      <c r="L3374" s="20">
        <v>0</v>
      </c>
      <c r="M3374" s="19">
        <f>Tienda!$K3585-Tienda!$K3585*Tienda!$L3585</f>
        <v>39.712000000000003</v>
      </c>
      <c r="N3374" s="3" t="s">
        <v>10040</v>
      </c>
      <c r="O3374" s="3" t="s">
        <v>10042</v>
      </c>
      <c r="P3374" s="17">
        <v>45748</v>
      </c>
      <c r="Q3374" s="4">
        <v>3</v>
      </c>
    </row>
    <row r="3375" spans="1:17" ht="30" x14ac:dyDescent="0.25">
      <c r="A3375" s="2" t="s">
        <v>2027</v>
      </c>
      <c r="B3375" s="3" t="s">
        <v>5016</v>
      </c>
      <c r="C3375" s="3">
        <v>65</v>
      </c>
      <c r="D3375" s="46" t="str">
        <f>IF(Tabla1[[#This Row],[EDAD]]&lt;=35,"Adultos jóvenes 18 - 35 años",IF(C3375&gt;=36,"Adultos mayores 36 años en adelante"))</f>
        <v>Adultos mayores 36 años en adelante</v>
      </c>
      <c r="E3375" s="3" t="s">
        <v>5023</v>
      </c>
      <c r="F3375" s="3" t="s">
        <v>5027</v>
      </c>
      <c r="G3375" s="3" t="s">
        <v>5035</v>
      </c>
      <c r="H3375" s="3" t="s">
        <v>7050</v>
      </c>
      <c r="I3375" s="17">
        <v>45775</v>
      </c>
      <c r="J3375" s="18">
        <f>YEAR(Tabla1[[#This Row],[FECHA DE COMPRA]])</f>
        <v>2025</v>
      </c>
      <c r="K3375" s="19">
        <v>84.76</v>
      </c>
      <c r="L3375" s="20">
        <v>0.2</v>
      </c>
      <c r="M3375" s="19">
        <f>Tienda!$K3588-Tienda!$K3588*Tienda!$L3588</f>
        <v>102.82</v>
      </c>
      <c r="N3375" s="3" t="s">
        <v>10040</v>
      </c>
      <c r="O3375" s="3" t="s">
        <v>10042</v>
      </c>
      <c r="P3375" s="17">
        <v>45775</v>
      </c>
      <c r="Q3375" s="4">
        <v>3</v>
      </c>
    </row>
    <row r="3376" spans="1:17" ht="30" x14ac:dyDescent="0.25">
      <c r="A3376" s="2" t="s">
        <v>4571</v>
      </c>
      <c r="B3376" s="3" t="s">
        <v>5015</v>
      </c>
      <c r="C3376" s="3">
        <v>63</v>
      </c>
      <c r="D3376" s="46" t="str">
        <f>IF(Tabla1[[#This Row],[EDAD]]&lt;=35,"Adultos jóvenes 18 - 35 años",IF(C3376&gt;=36,"Adultos mayores 36 años en adelante"))</f>
        <v>Adultos mayores 36 años en adelante</v>
      </c>
      <c r="E3376" s="3" t="s">
        <v>5020</v>
      </c>
      <c r="F3376" s="3" t="s">
        <v>5027</v>
      </c>
      <c r="G3376" s="3" t="s">
        <v>5034</v>
      </c>
      <c r="H3376" s="3" t="s">
        <v>9594</v>
      </c>
      <c r="I3376" s="17">
        <v>45772</v>
      </c>
      <c r="J3376" s="18">
        <f>YEAR(Tabla1[[#This Row],[FECHA DE COMPRA]])</f>
        <v>2025</v>
      </c>
      <c r="K3376" s="19">
        <v>87.41</v>
      </c>
      <c r="L3376" s="20">
        <v>0.1</v>
      </c>
      <c r="M3376" s="19">
        <f>Tienda!$K3590-Tienda!$K3590*Tienda!$L3590</f>
        <v>96.963999999999999</v>
      </c>
      <c r="N3376" s="3" t="s">
        <v>10040</v>
      </c>
      <c r="O3376" s="3" t="s">
        <v>10042</v>
      </c>
      <c r="P3376" s="17">
        <v>45772</v>
      </c>
      <c r="Q3376" s="4">
        <v>3</v>
      </c>
    </row>
    <row r="3377" spans="1:17" ht="30" x14ac:dyDescent="0.25">
      <c r="A3377" s="2" t="s">
        <v>629</v>
      </c>
      <c r="B3377" s="3" t="s">
        <v>5016</v>
      </c>
      <c r="C3377" s="3">
        <v>53</v>
      </c>
      <c r="D3377" s="46" t="str">
        <f>IF(Tabla1[[#This Row],[EDAD]]&lt;=35,"Adultos jóvenes 18 - 35 años",IF(C3377&gt;=36,"Adultos mayores 36 años en adelante"))</f>
        <v>Adultos mayores 36 años en adelante</v>
      </c>
      <c r="E3377" s="3" t="s">
        <v>5017</v>
      </c>
      <c r="F3377" s="3" t="s">
        <v>5025</v>
      </c>
      <c r="G3377" s="3" t="s">
        <v>5034</v>
      </c>
      <c r="H3377" s="3" t="s">
        <v>5652</v>
      </c>
      <c r="I3377" s="17">
        <v>45770</v>
      </c>
      <c r="J3377" s="18">
        <f>YEAR(Tabla1[[#This Row],[FECHA DE COMPRA]])</f>
        <v>2025</v>
      </c>
      <c r="K3377" s="19">
        <v>89.37</v>
      </c>
      <c r="L3377" s="20">
        <v>0</v>
      </c>
      <c r="M3377" s="19">
        <f>Tienda!$K3591-Tienda!$K3591*Tienda!$L3591</f>
        <v>136.233</v>
      </c>
      <c r="N3377" s="3" t="s">
        <v>10040</v>
      </c>
      <c r="O3377" s="3" t="s">
        <v>10042</v>
      </c>
      <c r="P3377" s="17">
        <v>45770</v>
      </c>
      <c r="Q3377" s="4">
        <v>3</v>
      </c>
    </row>
    <row r="3378" spans="1:17" ht="30" x14ac:dyDescent="0.25">
      <c r="A3378" s="2" t="s">
        <v>4071</v>
      </c>
      <c r="B3378" s="3" t="s">
        <v>5015</v>
      </c>
      <c r="C3378" s="3">
        <v>55</v>
      </c>
      <c r="D3378" s="46" t="str">
        <f>IF(Tabla1[[#This Row],[EDAD]]&lt;=35,"Adultos jóvenes 18 - 35 años",IF(C3378&gt;=36,"Adultos mayores 36 años en adelante"))</f>
        <v>Adultos mayores 36 años en adelante</v>
      </c>
      <c r="E3378" s="3" t="s">
        <v>5020</v>
      </c>
      <c r="F3378" s="3" t="s">
        <v>5030</v>
      </c>
      <c r="G3378" s="3" t="s">
        <v>5037</v>
      </c>
      <c r="H3378" s="3" t="s">
        <v>9094</v>
      </c>
      <c r="I3378" s="17">
        <v>45774</v>
      </c>
      <c r="J3378" s="18">
        <f>YEAR(Tabla1[[#This Row],[FECHA DE COMPRA]])</f>
        <v>2025</v>
      </c>
      <c r="K3378" s="19">
        <v>92.05</v>
      </c>
      <c r="L3378" s="20">
        <v>0</v>
      </c>
      <c r="M3378" s="19">
        <f>Tienda!$K3592-Tienda!$K3592*Tienda!$L3592</f>
        <v>109.494</v>
      </c>
      <c r="N3378" s="3" t="s">
        <v>10040</v>
      </c>
      <c r="O3378" s="3" t="s">
        <v>10042</v>
      </c>
      <c r="P3378" s="17">
        <v>45774</v>
      </c>
      <c r="Q3378" s="4">
        <v>3</v>
      </c>
    </row>
    <row r="3379" spans="1:17" ht="30" x14ac:dyDescent="0.25">
      <c r="A3379" s="2" t="s">
        <v>2833</v>
      </c>
      <c r="B3379" s="3" t="s">
        <v>5015</v>
      </c>
      <c r="C3379" s="3">
        <v>50</v>
      </c>
      <c r="D3379" s="46" t="str">
        <f>IF(Tabla1[[#This Row],[EDAD]]&lt;=35,"Adultos jóvenes 18 - 35 años",IF(C3379&gt;=36,"Adultos mayores 36 años en adelante"))</f>
        <v>Adultos mayores 36 años en adelante</v>
      </c>
      <c r="E3379" s="3" t="s">
        <v>5018</v>
      </c>
      <c r="F3379" s="3" t="s">
        <v>5025</v>
      </c>
      <c r="G3379" s="3" t="s">
        <v>5037</v>
      </c>
      <c r="H3379" s="3" t="s">
        <v>7856</v>
      </c>
      <c r="I3379" s="17">
        <v>45766</v>
      </c>
      <c r="J3379" s="18">
        <f>YEAR(Tabla1[[#This Row],[FECHA DE COMPRA]])</f>
        <v>2025</v>
      </c>
      <c r="K3379" s="19">
        <v>92.52</v>
      </c>
      <c r="L3379" s="20">
        <v>0.2</v>
      </c>
      <c r="M3379" s="19">
        <f>Tienda!$K3593-Tienda!$K3593*Tienda!$L3593</f>
        <v>158.535</v>
      </c>
      <c r="N3379" s="3" t="s">
        <v>10040</v>
      </c>
      <c r="O3379" s="3" t="s">
        <v>10042</v>
      </c>
      <c r="P3379" s="17">
        <v>45766</v>
      </c>
      <c r="Q3379" s="4">
        <v>3</v>
      </c>
    </row>
    <row r="3380" spans="1:17" ht="30" x14ac:dyDescent="0.25">
      <c r="A3380" s="2" t="s">
        <v>2653</v>
      </c>
      <c r="B3380" s="3" t="s">
        <v>5015</v>
      </c>
      <c r="C3380" s="3">
        <v>46</v>
      </c>
      <c r="D3380" s="46" t="str">
        <f>IF(Tabla1[[#This Row],[EDAD]]&lt;=35,"Adultos jóvenes 18 - 35 años",IF(C3380&gt;=36,"Adultos mayores 36 años en adelante"))</f>
        <v>Adultos mayores 36 años en adelante</v>
      </c>
      <c r="E3380" s="3" t="s">
        <v>5022</v>
      </c>
      <c r="F3380" s="3" t="s">
        <v>5030</v>
      </c>
      <c r="G3380" s="3" t="s">
        <v>5035</v>
      </c>
      <c r="H3380" s="3" t="s">
        <v>7676</v>
      </c>
      <c r="I3380" s="17">
        <v>45755</v>
      </c>
      <c r="J3380" s="18">
        <f>YEAR(Tabla1[[#This Row],[FECHA DE COMPRA]])</f>
        <v>2025</v>
      </c>
      <c r="K3380" s="19">
        <v>94.26</v>
      </c>
      <c r="L3380" s="20">
        <v>0.2</v>
      </c>
      <c r="M3380" s="19">
        <f>Tienda!$K3597-Tienda!$K3597*Tienda!$L3597</f>
        <v>48.411999999999999</v>
      </c>
      <c r="N3380" s="3" t="s">
        <v>10040</v>
      </c>
      <c r="O3380" s="3" t="s">
        <v>10042</v>
      </c>
      <c r="P3380" s="17">
        <v>45755</v>
      </c>
      <c r="Q3380" s="4">
        <v>6</v>
      </c>
    </row>
    <row r="3381" spans="1:17" ht="30" x14ac:dyDescent="0.25">
      <c r="A3381" s="2" t="s">
        <v>1708</v>
      </c>
      <c r="B3381" s="3" t="s">
        <v>5015</v>
      </c>
      <c r="C3381" s="3">
        <v>52</v>
      </c>
      <c r="D3381" s="46" t="str">
        <f>IF(Tabla1[[#This Row],[EDAD]]&lt;=35,"Adultos jóvenes 18 - 35 años",IF(C3381&gt;=36,"Adultos mayores 36 años en adelante"))</f>
        <v>Adultos mayores 36 años en adelante</v>
      </c>
      <c r="E3381" s="3" t="s">
        <v>5022</v>
      </c>
      <c r="F3381" s="3" t="s">
        <v>5026</v>
      </c>
      <c r="G3381" s="3" t="s">
        <v>5037</v>
      </c>
      <c r="H3381" s="3" t="s">
        <v>6731</v>
      </c>
      <c r="I3381" s="17">
        <v>45769</v>
      </c>
      <c r="J3381" s="18">
        <f>YEAR(Tabla1[[#This Row],[FECHA DE COMPRA]])</f>
        <v>2025</v>
      </c>
      <c r="K3381" s="19">
        <v>136.19</v>
      </c>
      <c r="L3381" s="20">
        <v>0.3</v>
      </c>
      <c r="M3381" s="19">
        <f>Tienda!$K3598-Tienda!$K3598*Tienda!$L3598</f>
        <v>55.927999999999997</v>
      </c>
      <c r="N3381" s="3" t="s">
        <v>10040</v>
      </c>
      <c r="O3381" s="3" t="s">
        <v>10042</v>
      </c>
      <c r="P3381" s="17">
        <v>45769</v>
      </c>
      <c r="Q3381" s="4">
        <v>6</v>
      </c>
    </row>
    <row r="3382" spans="1:17" ht="30" x14ac:dyDescent="0.25">
      <c r="A3382" s="2" t="s">
        <v>1546</v>
      </c>
      <c r="B3382" s="3" t="s">
        <v>5016</v>
      </c>
      <c r="C3382" s="3">
        <v>42</v>
      </c>
      <c r="D3382" s="46" t="str">
        <f>IF(Tabla1[[#This Row],[EDAD]]&lt;=35,"Adultos jóvenes 18 - 35 años",IF(C3382&gt;=36,"Adultos mayores 36 años en adelante"))</f>
        <v>Adultos mayores 36 años en adelante</v>
      </c>
      <c r="E3382" s="3" t="s">
        <v>5017</v>
      </c>
      <c r="F3382" s="3" t="s">
        <v>5029</v>
      </c>
      <c r="G3382" s="3" t="s">
        <v>5037</v>
      </c>
      <c r="H3382" s="3" t="s">
        <v>6569</v>
      </c>
      <c r="I3382" s="17">
        <v>45767</v>
      </c>
      <c r="J3382" s="18">
        <f>YEAR(Tabla1[[#This Row],[FECHA DE COMPRA]])</f>
        <v>2025</v>
      </c>
      <c r="K3382" s="19">
        <v>139.38999999999999</v>
      </c>
      <c r="L3382" s="20">
        <v>0.3</v>
      </c>
      <c r="M3382" s="19">
        <f>Tienda!$K3599-Tienda!$K3599*Tienda!$L3599</f>
        <v>120.136</v>
      </c>
      <c r="N3382" s="3" t="s">
        <v>10040</v>
      </c>
      <c r="O3382" s="3" t="s">
        <v>10042</v>
      </c>
      <c r="P3382" s="17">
        <v>45767</v>
      </c>
      <c r="Q3382" s="4">
        <v>6</v>
      </c>
    </row>
    <row r="3383" spans="1:17" ht="30" x14ac:dyDescent="0.25">
      <c r="A3383" s="2" t="s">
        <v>2772</v>
      </c>
      <c r="B3383" s="3" t="s">
        <v>5015</v>
      </c>
      <c r="C3383" s="3">
        <v>54</v>
      </c>
      <c r="D3383" s="46" t="str">
        <f>IF(Tabla1[[#This Row],[EDAD]]&lt;=35,"Adultos jóvenes 18 - 35 años",IF(C3383&gt;=36,"Adultos mayores 36 años en adelante"))</f>
        <v>Adultos mayores 36 años en adelante</v>
      </c>
      <c r="E3383" s="3" t="s">
        <v>5022</v>
      </c>
      <c r="F3383" s="3" t="s">
        <v>5025</v>
      </c>
      <c r="G3383" s="3" t="s">
        <v>5032</v>
      </c>
      <c r="H3383" s="3" t="s">
        <v>7795</v>
      </c>
      <c r="I3383" s="17">
        <v>45770</v>
      </c>
      <c r="J3383" s="18">
        <f>YEAR(Tabla1[[#This Row],[FECHA DE COMPRA]])</f>
        <v>2025</v>
      </c>
      <c r="K3383" s="19">
        <v>145.03</v>
      </c>
      <c r="L3383" s="20">
        <v>0.2</v>
      </c>
      <c r="M3383" s="19">
        <f>Tienda!$K3600-Tienda!$K3600*Tienda!$L3600</f>
        <v>124.44000000000001</v>
      </c>
      <c r="N3383" s="3" t="s">
        <v>10040</v>
      </c>
      <c r="O3383" s="3" t="s">
        <v>10042</v>
      </c>
      <c r="P3383" s="17">
        <v>45770</v>
      </c>
      <c r="Q3383" s="4">
        <v>6</v>
      </c>
    </row>
    <row r="3384" spans="1:17" ht="30" x14ac:dyDescent="0.25">
      <c r="A3384" s="2" t="s">
        <v>1901</v>
      </c>
      <c r="B3384" s="3" t="s">
        <v>5015</v>
      </c>
      <c r="C3384" s="3">
        <v>64</v>
      </c>
      <c r="D3384" s="46" t="str">
        <f>IF(Tabla1[[#This Row],[EDAD]]&lt;=35,"Adultos jóvenes 18 - 35 años",IF(C3384&gt;=36,"Adultos mayores 36 años en adelante"))</f>
        <v>Adultos mayores 36 años en adelante</v>
      </c>
      <c r="E3384" s="3" t="s">
        <v>5020</v>
      </c>
      <c r="F3384" s="3" t="s">
        <v>5024</v>
      </c>
      <c r="G3384" s="3" t="s">
        <v>5037</v>
      </c>
      <c r="H3384" s="3" t="s">
        <v>6924</v>
      </c>
      <c r="I3384" s="17">
        <v>45768</v>
      </c>
      <c r="J3384" s="18">
        <f>YEAR(Tabla1[[#This Row],[FECHA DE COMPRA]])</f>
        <v>2025</v>
      </c>
      <c r="K3384" s="19">
        <v>145.47</v>
      </c>
      <c r="L3384" s="20">
        <v>0</v>
      </c>
      <c r="M3384" s="19">
        <f>Tienda!$K3601-Tienda!$K3601*Tienda!$L3601</f>
        <v>110.166</v>
      </c>
      <c r="N3384" s="3" t="s">
        <v>10040</v>
      </c>
      <c r="O3384" s="3" t="s">
        <v>10042</v>
      </c>
      <c r="P3384" s="17">
        <v>45768</v>
      </c>
      <c r="Q3384" s="4">
        <v>6</v>
      </c>
    </row>
    <row r="3385" spans="1:17" ht="30" x14ac:dyDescent="0.25">
      <c r="A3385" s="2" t="s">
        <v>3382</v>
      </c>
      <c r="B3385" s="3" t="s">
        <v>5015</v>
      </c>
      <c r="C3385" s="3">
        <v>58</v>
      </c>
      <c r="D3385" s="46" t="str">
        <f>IF(Tabla1[[#This Row],[EDAD]]&lt;=35,"Adultos jóvenes 18 - 35 años",IF(C3385&gt;=36,"Adultos mayores 36 años en adelante"))</f>
        <v>Adultos mayores 36 años en adelante</v>
      </c>
      <c r="E3385" s="3" t="s">
        <v>5020</v>
      </c>
      <c r="F3385" s="3" t="s">
        <v>5024</v>
      </c>
      <c r="G3385" s="3" t="s">
        <v>5036</v>
      </c>
      <c r="H3385" s="3" t="s">
        <v>8405</v>
      </c>
      <c r="I3385" s="17">
        <v>45767</v>
      </c>
      <c r="J3385" s="18">
        <f>YEAR(Tabla1[[#This Row],[FECHA DE COMPRA]])</f>
        <v>2025</v>
      </c>
      <c r="K3385" s="19">
        <v>146.28</v>
      </c>
      <c r="L3385" s="20">
        <v>0.2</v>
      </c>
      <c r="M3385" s="19">
        <f>Tienda!$K3605-Tienda!$K3605*Tienda!$L3605</f>
        <v>179.08199999999999</v>
      </c>
      <c r="N3385" s="3" t="s">
        <v>10040</v>
      </c>
      <c r="O3385" s="3" t="s">
        <v>10042</v>
      </c>
      <c r="P3385" s="17">
        <v>45767</v>
      </c>
      <c r="Q3385" s="4">
        <v>6</v>
      </c>
    </row>
    <row r="3386" spans="1:17" ht="30" x14ac:dyDescent="0.25">
      <c r="A3386" s="2" t="s">
        <v>1016</v>
      </c>
      <c r="B3386" s="3" t="s">
        <v>5015</v>
      </c>
      <c r="C3386" s="3">
        <v>48</v>
      </c>
      <c r="D3386" s="46" t="str">
        <f>IF(Tabla1[[#This Row],[EDAD]]&lt;=35,"Adultos jóvenes 18 - 35 años",IF(C3386&gt;=36,"Adultos mayores 36 años en adelante"))</f>
        <v>Adultos mayores 36 años en adelante</v>
      </c>
      <c r="E3386" s="3" t="s">
        <v>5020</v>
      </c>
      <c r="F3386" s="3" t="s">
        <v>5027</v>
      </c>
      <c r="G3386" s="3" t="s">
        <v>5035</v>
      </c>
      <c r="H3386" s="3" t="s">
        <v>6039</v>
      </c>
      <c r="I3386" s="17">
        <v>45755</v>
      </c>
      <c r="J3386" s="18">
        <f>YEAR(Tabla1[[#This Row],[FECHA DE COMPRA]])</f>
        <v>2025</v>
      </c>
      <c r="K3386" s="19">
        <v>186.02</v>
      </c>
      <c r="L3386" s="20">
        <v>0</v>
      </c>
      <c r="M3386" s="19">
        <f>Tienda!$K3608-Tienda!$K3608*Tienda!$L3608</f>
        <v>14.546000000000001</v>
      </c>
      <c r="N3386" s="3" t="s">
        <v>10040</v>
      </c>
      <c r="O3386" s="3" t="s">
        <v>10042</v>
      </c>
      <c r="P3386" s="17">
        <v>45755</v>
      </c>
      <c r="Q3386" s="4">
        <v>3</v>
      </c>
    </row>
    <row r="3387" spans="1:17" ht="30" x14ac:dyDescent="0.25">
      <c r="A3387" s="2" t="s">
        <v>1751</v>
      </c>
      <c r="B3387" s="3" t="s">
        <v>5015</v>
      </c>
      <c r="C3387" s="3">
        <v>65</v>
      </c>
      <c r="D3387" s="46" t="str">
        <f>IF(Tabla1[[#This Row],[EDAD]]&lt;=35,"Adultos jóvenes 18 - 35 años",IF(C3387&gt;=36,"Adultos mayores 36 años en adelante"))</f>
        <v>Adultos mayores 36 años en adelante</v>
      </c>
      <c r="E3387" s="3" t="s">
        <v>5020</v>
      </c>
      <c r="F3387" s="3" t="s">
        <v>5026</v>
      </c>
      <c r="G3387" s="3" t="s">
        <v>5031</v>
      </c>
      <c r="H3387" s="3" t="s">
        <v>6774</v>
      </c>
      <c r="I3387" s="17">
        <v>45753</v>
      </c>
      <c r="J3387" s="18">
        <f>YEAR(Tabla1[[#This Row],[FECHA DE COMPRA]])</f>
        <v>2025</v>
      </c>
      <c r="K3387" s="19">
        <v>190.14</v>
      </c>
      <c r="L3387" s="20">
        <v>0</v>
      </c>
      <c r="M3387" s="19">
        <f>Tienda!$K3610-Tienda!$K3610*Tienda!$L3610</f>
        <v>55.167999999999992</v>
      </c>
      <c r="N3387" s="3" t="s">
        <v>10040</v>
      </c>
      <c r="O3387" s="3" t="s">
        <v>10042</v>
      </c>
      <c r="P3387" s="17">
        <v>45753</v>
      </c>
      <c r="Q3387" s="4">
        <v>3</v>
      </c>
    </row>
    <row r="3388" spans="1:17" ht="30" x14ac:dyDescent="0.25">
      <c r="A3388" s="2" t="s">
        <v>3174</v>
      </c>
      <c r="B3388" s="3" t="s">
        <v>5015</v>
      </c>
      <c r="C3388" s="3">
        <v>55</v>
      </c>
      <c r="D3388" s="46" t="str">
        <f>IF(Tabla1[[#This Row],[EDAD]]&lt;=35,"Adultos jóvenes 18 - 35 años",IF(C3388&gt;=36,"Adultos mayores 36 años en adelante"))</f>
        <v>Adultos mayores 36 años en adelante</v>
      </c>
      <c r="E3388" s="3" t="s">
        <v>5020</v>
      </c>
      <c r="F3388" s="3" t="s">
        <v>5029</v>
      </c>
      <c r="G3388" s="3" t="s">
        <v>5034</v>
      </c>
      <c r="H3388" s="3" t="s">
        <v>8197</v>
      </c>
      <c r="I3388" s="17">
        <v>45783</v>
      </c>
      <c r="J3388" s="18">
        <f>YEAR(Tabla1[[#This Row],[FECHA DE COMPRA]])</f>
        <v>2025</v>
      </c>
      <c r="K3388" s="19">
        <v>11.43</v>
      </c>
      <c r="L3388" s="20">
        <v>0.2</v>
      </c>
      <c r="M3388" s="19">
        <f>Tienda!$K3612-Tienda!$K3612*Tienda!$L3612</f>
        <v>65.864000000000004</v>
      </c>
      <c r="N3388" s="3" t="s">
        <v>10040</v>
      </c>
      <c r="O3388" s="3" t="s">
        <v>10042</v>
      </c>
      <c r="P3388" s="17">
        <v>45783</v>
      </c>
      <c r="Q3388" s="4">
        <v>3</v>
      </c>
    </row>
    <row r="3389" spans="1:17" ht="30" x14ac:dyDescent="0.25">
      <c r="A3389" s="2" t="s">
        <v>3170</v>
      </c>
      <c r="B3389" s="3" t="s">
        <v>5015</v>
      </c>
      <c r="C3389" s="3">
        <v>64</v>
      </c>
      <c r="D3389" s="46" t="str">
        <f>IF(Tabla1[[#This Row],[EDAD]]&lt;=35,"Adultos jóvenes 18 - 35 años",IF(C3389&gt;=36,"Adultos mayores 36 años en adelante"))</f>
        <v>Adultos mayores 36 años en adelante</v>
      </c>
      <c r="E3389" s="3" t="s">
        <v>5020</v>
      </c>
      <c r="F3389" s="3" t="s">
        <v>5025</v>
      </c>
      <c r="G3389" s="3" t="s">
        <v>5033</v>
      </c>
      <c r="H3389" s="3" t="s">
        <v>8193</v>
      </c>
      <c r="I3389" s="17">
        <v>45797</v>
      </c>
      <c r="J3389" s="18">
        <f>YEAR(Tabla1[[#This Row],[FECHA DE COMPRA]])</f>
        <v>2025</v>
      </c>
      <c r="K3389" s="19">
        <v>11.82</v>
      </c>
      <c r="L3389" s="20">
        <v>0.2</v>
      </c>
      <c r="M3389" s="19">
        <f>Tienda!$K3613-Tienda!$K3613*Tienda!$L3613</f>
        <v>128.50200000000001</v>
      </c>
      <c r="N3389" s="3" t="s">
        <v>10040</v>
      </c>
      <c r="O3389" s="3" t="s">
        <v>10042</v>
      </c>
      <c r="P3389" s="17">
        <v>45797</v>
      </c>
      <c r="Q3389" s="4">
        <v>3</v>
      </c>
    </row>
    <row r="3390" spans="1:17" ht="30" x14ac:dyDescent="0.25">
      <c r="A3390" s="2" t="s">
        <v>4103</v>
      </c>
      <c r="B3390" s="3" t="s">
        <v>5016</v>
      </c>
      <c r="C3390" s="3">
        <v>65</v>
      </c>
      <c r="D3390" s="46" t="str">
        <f>IF(Tabla1[[#This Row],[EDAD]]&lt;=35,"Adultos jóvenes 18 - 35 años",IF(C3390&gt;=36,"Adultos mayores 36 años en adelante"))</f>
        <v>Adultos mayores 36 años en adelante</v>
      </c>
      <c r="E3390" s="3" t="s">
        <v>5021</v>
      </c>
      <c r="F3390" s="3" t="s">
        <v>5028</v>
      </c>
      <c r="G3390" s="3" t="s">
        <v>5036</v>
      </c>
      <c r="H3390" s="3" t="s">
        <v>9126</v>
      </c>
      <c r="I3390" s="17">
        <v>45796</v>
      </c>
      <c r="J3390" s="18">
        <f>YEAR(Tabla1[[#This Row],[FECHA DE COMPRA]])</f>
        <v>2025</v>
      </c>
      <c r="K3390" s="19">
        <v>13.85</v>
      </c>
      <c r="L3390" s="20">
        <v>0</v>
      </c>
      <c r="M3390" s="19">
        <f>Tienda!$K3616-Tienda!$K3616*Tienda!$L3616</f>
        <v>144.31199999999998</v>
      </c>
      <c r="N3390" s="3" t="s">
        <v>10040</v>
      </c>
      <c r="O3390" s="3" t="s">
        <v>10042</v>
      </c>
      <c r="P3390" s="17">
        <v>45796</v>
      </c>
      <c r="Q3390" s="4">
        <v>3</v>
      </c>
    </row>
    <row r="3391" spans="1:17" ht="30" x14ac:dyDescent="0.25">
      <c r="A3391" s="2" t="s">
        <v>3424</v>
      </c>
      <c r="B3391" s="3" t="s">
        <v>5015</v>
      </c>
      <c r="C3391" s="3">
        <v>64</v>
      </c>
      <c r="D3391" s="46" t="str">
        <f>IF(Tabla1[[#This Row],[EDAD]]&lt;=35,"Adultos jóvenes 18 - 35 años",IF(C3391&gt;=36,"Adultos mayores 36 años en adelante"))</f>
        <v>Adultos mayores 36 años en adelante</v>
      </c>
      <c r="E3391" s="3" t="s">
        <v>5022</v>
      </c>
      <c r="F3391" s="3" t="s">
        <v>5028</v>
      </c>
      <c r="G3391" s="3" t="s">
        <v>5032</v>
      </c>
      <c r="H3391" s="3" t="s">
        <v>8447</v>
      </c>
      <c r="I3391" s="17">
        <v>45663</v>
      </c>
      <c r="J3391" s="18">
        <f>YEAR(Tabla1[[#This Row],[FECHA DE COMPRA]])</f>
        <v>2025</v>
      </c>
      <c r="K3391" s="19">
        <v>27.4</v>
      </c>
      <c r="L3391" s="20">
        <v>0</v>
      </c>
      <c r="M3391" s="19">
        <f>Tienda!$K3619-Tienda!$K3619*Tienda!$L3619</f>
        <v>71.649000000000001</v>
      </c>
      <c r="N3391" s="3" t="s">
        <v>10040</v>
      </c>
      <c r="O3391" s="3" t="s">
        <v>10042</v>
      </c>
      <c r="P3391" s="17">
        <v>45663</v>
      </c>
      <c r="Q3391" s="4">
        <v>6</v>
      </c>
    </row>
    <row r="3392" spans="1:17" ht="30" x14ac:dyDescent="0.25">
      <c r="A3392" s="2" t="s">
        <v>1124</v>
      </c>
      <c r="B3392" s="3" t="s">
        <v>5015</v>
      </c>
      <c r="C3392" s="3">
        <v>46</v>
      </c>
      <c r="D3392" s="46" t="str">
        <f>IF(Tabla1[[#This Row],[EDAD]]&lt;=35,"Adultos jóvenes 18 - 35 años",IF(C3392&gt;=36,"Adultos mayores 36 años en adelante"))</f>
        <v>Adultos mayores 36 años en adelante</v>
      </c>
      <c r="E3392" s="3" t="s">
        <v>5020</v>
      </c>
      <c r="F3392" s="3" t="s">
        <v>5025</v>
      </c>
      <c r="G3392" s="3" t="s">
        <v>5033</v>
      </c>
      <c r="H3392" s="3" t="s">
        <v>6147</v>
      </c>
      <c r="I3392" s="17">
        <v>45701</v>
      </c>
      <c r="J3392" s="18">
        <f>YEAR(Tabla1[[#This Row],[FECHA DE COMPRA]])</f>
        <v>2025</v>
      </c>
      <c r="K3392" s="19">
        <v>33.35</v>
      </c>
      <c r="L3392" s="20">
        <v>0</v>
      </c>
      <c r="M3392" s="19">
        <f>Tienda!$K3620-Tienda!$K3620*Tienda!$L3620</f>
        <v>83.907000000000011</v>
      </c>
      <c r="N3392" s="3" t="s">
        <v>10040</v>
      </c>
      <c r="O3392" s="3" t="s">
        <v>10042</v>
      </c>
      <c r="P3392" s="17">
        <v>45683</v>
      </c>
      <c r="Q3392" s="4">
        <v>6</v>
      </c>
    </row>
    <row r="3393" spans="1:17" ht="30" x14ac:dyDescent="0.25">
      <c r="A3393" s="2" t="s">
        <v>1861</v>
      </c>
      <c r="B3393" s="3" t="s">
        <v>5015</v>
      </c>
      <c r="C3393" s="3">
        <v>56</v>
      </c>
      <c r="D3393" s="46" t="str">
        <f>IF(Tabla1[[#This Row],[EDAD]]&lt;=35,"Adultos jóvenes 18 - 35 años",IF(C3393&gt;=36,"Adultos mayores 36 años en adelante"))</f>
        <v>Adultos mayores 36 años en adelante</v>
      </c>
      <c r="E3393" s="3" t="s">
        <v>5020</v>
      </c>
      <c r="F3393" s="3" t="s">
        <v>5026</v>
      </c>
      <c r="G3393" s="3" t="s">
        <v>5036</v>
      </c>
      <c r="H3393" s="3" t="s">
        <v>6884</v>
      </c>
      <c r="I3393" s="17">
        <v>45701</v>
      </c>
      <c r="J3393" s="18">
        <f>YEAR(Tabla1[[#This Row],[FECHA DE COMPRA]])</f>
        <v>2025</v>
      </c>
      <c r="K3393" s="19">
        <v>34.33</v>
      </c>
      <c r="L3393" s="20">
        <v>0.1</v>
      </c>
      <c r="M3393" s="19">
        <f>Tienda!$K3621-Tienda!$K3621*Tienda!$L3621</f>
        <v>121.39399999999999</v>
      </c>
      <c r="N3393" s="3" t="s">
        <v>10040</v>
      </c>
      <c r="O3393" s="3" t="s">
        <v>10042</v>
      </c>
      <c r="P3393" s="17">
        <v>45666</v>
      </c>
      <c r="Q3393" s="4">
        <v>6</v>
      </c>
    </row>
    <row r="3394" spans="1:17" ht="30" x14ac:dyDescent="0.25">
      <c r="A3394" s="2" t="s">
        <v>323</v>
      </c>
      <c r="B3394" s="3" t="s">
        <v>5015</v>
      </c>
      <c r="C3394" s="3">
        <v>41</v>
      </c>
      <c r="D3394" s="46" t="str">
        <f>IF(Tabla1[[#This Row],[EDAD]]&lt;=35,"Adultos jóvenes 18 - 35 años",IF(C3394&gt;=36,"Adultos mayores 36 años en adelante"))</f>
        <v>Adultos mayores 36 años en adelante</v>
      </c>
      <c r="E3394" s="3" t="s">
        <v>5021</v>
      </c>
      <c r="F3394" s="3" t="s">
        <v>5028</v>
      </c>
      <c r="G3394" s="3" t="s">
        <v>5033</v>
      </c>
      <c r="H3394" s="3" t="s">
        <v>5346</v>
      </c>
      <c r="I3394" s="17">
        <v>45670</v>
      </c>
      <c r="J3394" s="18">
        <f>YEAR(Tabla1[[#This Row],[FECHA DE COMPRA]])</f>
        <v>2025</v>
      </c>
      <c r="K3394" s="19">
        <v>36.97</v>
      </c>
      <c r="L3394" s="20">
        <v>0</v>
      </c>
      <c r="M3394" s="19">
        <f>Tienda!$K3622-Tienda!$K3622*Tienda!$L3622</f>
        <v>147.447</v>
      </c>
      <c r="N3394" s="3" t="s">
        <v>10040</v>
      </c>
      <c r="O3394" s="3" t="s">
        <v>10042</v>
      </c>
      <c r="P3394" s="17">
        <v>45670</v>
      </c>
      <c r="Q3394" s="4">
        <v>6</v>
      </c>
    </row>
    <row r="3395" spans="1:17" ht="30" x14ac:dyDescent="0.25">
      <c r="A3395" s="2" t="s">
        <v>3074</v>
      </c>
      <c r="B3395" s="3" t="s">
        <v>5015</v>
      </c>
      <c r="C3395" s="3">
        <v>59</v>
      </c>
      <c r="D3395" s="46" t="str">
        <f>IF(Tabla1[[#This Row],[EDAD]]&lt;=35,"Adultos jóvenes 18 - 35 años",IF(C3395&gt;=36,"Adultos mayores 36 años en adelante"))</f>
        <v>Adultos mayores 36 años en adelante</v>
      </c>
      <c r="E3395" s="3" t="s">
        <v>5018</v>
      </c>
      <c r="F3395" s="3" t="s">
        <v>5024</v>
      </c>
      <c r="G3395" s="3" t="s">
        <v>5036</v>
      </c>
      <c r="H3395" s="3" t="s">
        <v>8097</v>
      </c>
      <c r="I3395" s="17">
        <v>45666</v>
      </c>
      <c r="J3395" s="18">
        <f>YEAR(Tabla1[[#This Row],[FECHA DE COMPRA]])</f>
        <v>2025</v>
      </c>
      <c r="K3395" s="19">
        <v>40.6</v>
      </c>
      <c r="L3395" s="20">
        <v>0.2</v>
      </c>
      <c r="M3395" s="19">
        <f>Tienda!$K3624-Tienda!$K3624*Tienda!$L3624</f>
        <v>46.35</v>
      </c>
      <c r="N3395" s="3" t="s">
        <v>10040</v>
      </c>
      <c r="O3395" s="3" t="s">
        <v>10042</v>
      </c>
      <c r="P3395" s="17">
        <v>45666</v>
      </c>
      <c r="Q3395" s="4">
        <v>6</v>
      </c>
    </row>
    <row r="3396" spans="1:17" ht="30" x14ac:dyDescent="0.25">
      <c r="A3396" s="2" t="s">
        <v>4725</v>
      </c>
      <c r="B3396" s="3" t="s">
        <v>5015</v>
      </c>
      <c r="C3396" s="3">
        <v>53</v>
      </c>
      <c r="D3396" s="46" t="str">
        <f>IF(Tabla1[[#This Row],[EDAD]]&lt;=35,"Adultos jóvenes 18 - 35 años",IF(C3396&gt;=36,"Adultos mayores 36 años en adelante"))</f>
        <v>Adultos mayores 36 años en adelante</v>
      </c>
      <c r="E3396" s="3" t="s">
        <v>5019</v>
      </c>
      <c r="F3396" s="3" t="s">
        <v>5024</v>
      </c>
      <c r="G3396" s="3" t="s">
        <v>5034</v>
      </c>
      <c r="H3396" s="3" t="s">
        <v>9748</v>
      </c>
      <c r="I3396" s="17">
        <v>45686</v>
      </c>
      <c r="J3396" s="18">
        <f>YEAR(Tabla1[[#This Row],[FECHA DE COMPRA]])</f>
        <v>2025</v>
      </c>
      <c r="K3396" s="19">
        <v>41.08</v>
      </c>
      <c r="L3396" s="20">
        <v>0.1</v>
      </c>
      <c r="M3396" s="19">
        <f>Tienda!$K3625-Tienda!$K3625*Tienda!$L3625</f>
        <v>77.00800000000001</v>
      </c>
      <c r="N3396" s="3" t="s">
        <v>10040</v>
      </c>
      <c r="O3396" s="3" t="s">
        <v>10042</v>
      </c>
      <c r="P3396" s="17">
        <v>45686</v>
      </c>
      <c r="Q3396" s="4">
        <v>6</v>
      </c>
    </row>
    <row r="3397" spans="1:17" ht="30" x14ac:dyDescent="0.25">
      <c r="A3397" s="2" t="s">
        <v>3185</v>
      </c>
      <c r="B3397" s="3" t="s">
        <v>5016</v>
      </c>
      <c r="C3397" s="3">
        <v>62</v>
      </c>
      <c r="D3397" s="46" t="str">
        <f>IF(Tabla1[[#This Row],[EDAD]]&lt;=35,"Adultos jóvenes 18 - 35 años",IF(C3397&gt;=36,"Adultos mayores 36 años en adelante"))</f>
        <v>Adultos mayores 36 años en adelante</v>
      </c>
      <c r="E3397" s="3" t="s">
        <v>5023</v>
      </c>
      <c r="F3397" s="3" t="s">
        <v>5027</v>
      </c>
      <c r="G3397" s="3" t="s">
        <v>5035</v>
      </c>
      <c r="H3397" s="3" t="s">
        <v>8208</v>
      </c>
      <c r="I3397" s="17">
        <v>45681</v>
      </c>
      <c r="J3397" s="18">
        <f>YEAR(Tabla1[[#This Row],[FECHA DE COMPRA]])</f>
        <v>2025</v>
      </c>
      <c r="K3397" s="19">
        <v>47.14</v>
      </c>
      <c r="L3397" s="20">
        <v>0.3</v>
      </c>
      <c r="M3397" s="19">
        <f>Tienda!$K3626-Tienda!$K3626*Tienda!$L3626</f>
        <v>17.283000000000001</v>
      </c>
      <c r="N3397" s="3" t="s">
        <v>10040</v>
      </c>
      <c r="O3397" s="3" t="s">
        <v>10042</v>
      </c>
      <c r="P3397" s="17">
        <v>45681</v>
      </c>
      <c r="Q3397" s="4">
        <v>6</v>
      </c>
    </row>
    <row r="3398" spans="1:17" ht="30" x14ac:dyDescent="0.25">
      <c r="A3398" s="2" t="s">
        <v>782</v>
      </c>
      <c r="B3398" s="3" t="s">
        <v>5015</v>
      </c>
      <c r="C3398" s="3">
        <v>55</v>
      </c>
      <c r="D3398" s="46" t="str">
        <f>IF(Tabla1[[#This Row],[EDAD]]&lt;=35,"Adultos jóvenes 18 - 35 años",IF(C3398&gt;=36,"Adultos mayores 36 años en adelante"))</f>
        <v>Adultos mayores 36 años en adelante</v>
      </c>
      <c r="E3398" s="3" t="s">
        <v>5017</v>
      </c>
      <c r="F3398" s="3" t="s">
        <v>5025</v>
      </c>
      <c r="G3398" s="3" t="s">
        <v>5034</v>
      </c>
      <c r="H3398" s="3" t="s">
        <v>5805</v>
      </c>
      <c r="I3398" s="17">
        <v>45701</v>
      </c>
      <c r="J3398" s="18">
        <f>YEAR(Tabla1[[#This Row],[FECHA DE COMPRA]])</f>
        <v>2025</v>
      </c>
      <c r="K3398" s="19">
        <v>57.01</v>
      </c>
      <c r="L3398" s="20">
        <v>0.1</v>
      </c>
      <c r="M3398" s="19">
        <f>Tienda!$K3627-Tienda!$K3627*Tienda!$L3627</f>
        <v>58.232000000000006</v>
      </c>
      <c r="N3398" s="3" t="s">
        <v>10040</v>
      </c>
      <c r="O3398" s="3" t="s">
        <v>10042</v>
      </c>
      <c r="P3398" s="17">
        <v>45688</v>
      </c>
      <c r="Q3398" s="4">
        <v>6</v>
      </c>
    </row>
    <row r="3399" spans="1:17" ht="30" x14ac:dyDescent="0.25">
      <c r="A3399" s="2" t="s">
        <v>2902</v>
      </c>
      <c r="B3399" s="3" t="s">
        <v>5015</v>
      </c>
      <c r="C3399" s="3">
        <v>56</v>
      </c>
      <c r="D3399" s="46" t="str">
        <f>IF(Tabla1[[#This Row],[EDAD]]&lt;=35,"Adultos jóvenes 18 - 35 años",IF(C3399&gt;=36,"Adultos mayores 36 años en adelante"))</f>
        <v>Adultos mayores 36 años en adelante</v>
      </c>
      <c r="E3399" s="3" t="s">
        <v>5018</v>
      </c>
      <c r="F3399" s="3" t="s">
        <v>5030</v>
      </c>
      <c r="G3399" s="3" t="s">
        <v>5034</v>
      </c>
      <c r="H3399" s="3" t="s">
        <v>7925</v>
      </c>
      <c r="I3399" s="17">
        <v>45701</v>
      </c>
      <c r="J3399" s="18">
        <f>YEAR(Tabla1[[#This Row],[FECHA DE COMPRA]])</f>
        <v>2025</v>
      </c>
      <c r="K3399" s="19">
        <v>59.12</v>
      </c>
      <c r="L3399" s="20">
        <v>0.2</v>
      </c>
      <c r="M3399" s="19">
        <f>Tienda!$K3629-Tienda!$K3629*Tienda!$L3629</f>
        <v>91.544000000000011</v>
      </c>
      <c r="N3399" s="3" t="s">
        <v>10040</v>
      </c>
      <c r="O3399" s="3" t="s">
        <v>10042</v>
      </c>
      <c r="P3399" s="17">
        <v>45658</v>
      </c>
      <c r="Q3399" s="4">
        <v>3</v>
      </c>
    </row>
    <row r="3400" spans="1:17" ht="30" x14ac:dyDescent="0.25">
      <c r="A3400" s="2" t="s">
        <v>3946</v>
      </c>
      <c r="B3400" s="3" t="s">
        <v>5015</v>
      </c>
      <c r="C3400" s="3">
        <v>63</v>
      </c>
      <c r="D3400" s="46" t="str">
        <f>IF(Tabla1[[#This Row],[EDAD]]&lt;=35,"Adultos jóvenes 18 - 35 años",IF(C3400&gt;=36,"Adultos mayores 36 años en adelante"))</f>
        <v>Adultos mayores 36 años en adelante</v>
      </c>
      <c r="E3400" s="3" t="s">
        <v>5019</v>
      </c>
      <c r="F3400" s="3" t="s">
        <v>5030</v>
      </c>
      <c r="G3400" s="3" t="s">
        <v>5035</v>
      </c>
      <c r="H3400" s="3" t="s">
        <v>8969</v>
      </c>
      <c r="I3400" s="17">
        <v>45701</v>
      </c>
      <c r="J3400" s="18">
        <f>YEAR(Tabla1[[#This Row],[FECHA DE COMPRA]])</f>
        <v>2025</v>
      </c>
      <c r="K3400" s="19">
        <v>63.15</v>
      </c>
      <c r="L3400" s="20">
        <v>0.1</v>
      </c>
      <c r="M3400" s="19">
        <f>Tienda!$K3630-Tienda!$K3630*Tienda!$L3630</f>
        <v>107.41499999999999</v>
      </c>
      <c r="N3400" s="3" t="s">
        <v>10040</v>
      </c>
      <c r="O3400" s="3" t="s">
        <v>10042</v>
      </c>
      <c r="P3400" s="17">
        <v>45688</v>
      </c>
      <c r="Q3400" s="4">
        <v>3</v>
      </c>
    </row>
    <row r="3401" spans="1:17" ht="30" x14ac:dyDescent="0.25">
      <c r="A3401" s="2" t="s">
        <v>1047</v>
      </c>
      <c r="B3401" s="3" t="s">
        <v>5015</v>
      </c>
      <c r="C3401" s="3">
        <v>64</v>
      </c>
      <c r="D3401" s="46" t="str">
        <f>IF(Tabla1[[#This Row],[EDAD]]&lt;=35,"Adultos jóvenes 18 - 35 años",IF(C3401&gt;=36,"Adultos mayores 36 años en adelante"))</f>
        <v>Adultos mayores 36 años en adelante</v>
      </c>
      <c r="E3401" s="3" t="s">
        <v>5023</v>
      </c>
      <c r="F3401" s="3" t="s">
        <v>5027</v>
      </c>
      <c r="G3401" s="3" t="s">
        <v>5033</v>
      </c>
      <c r="H3401" s="3" t="s">
        <v>6070</v>
      </c>
      <c r="I3401" s="17">
        <v>45701</v>
      </c>
      <c r="J3401" s="18">
        <f>YEAR(Tabla1[[#This Row],[FECHA DE COMPRA]])</f>
        <v>2025</v>
      </c>
      <c r="K3401" s="19">
        <v>66.97</v>
      </c>
      <c r="L3401" s="20">
        <v>0.1</v>
      </c>
      <c r="M3401" s="19">
        <f>Tienda!$K3631-Tienda!$K3631*Tienda!$L3631</f>
        <v>105.37100000000001</v>
      </c>
      <c r="N3401" s="3" t="s">
        <v>10040</v>
      </c>
      <c r="O3401" s="3" t="s">
        <v>10042</v>
      </c>
      <c r="P3401" s="17">
        <v>45682</v>
      </c>
      <c r="Q3401" s="4">
        <v>3</v>
      </c>
    </row>
    <row r="3402" spans="1:17" ht="30" x14ac:dyDescent="0.25">
      <c r="A3402" s="2" t="s">
        <v>2963</v>
      </c>
      <c r="B3402" s="3" t="s">
        <v>5015</v>
      </c>
      <c r="C3402" s="3">
        <v>62</v>
      </c>
      <c r="D3402" s="46" t="str">
        <f>IF(Tabla1[[#This Row],[EDAD]]&lt;=35,"Adultos jóvenes 18 - 35 años",IF(C3402&gt;=36,"Adultos mayores 36 años en adelante"))</f>
        <v>Adultos mayores 36 años en adelante</v>
      </c>
      <c r="E3402" s="3" t="s">
        <v>5017</v>
      </c>
      <c r="F3402" s="3" t="s">
        <v>5024</v>
      </c>
      <c r="G3402" s="3" t="s">
        <v>5037</v>
      </c>
      <c r="H3402" s="3" t="s">
        <v>7986</v>
      </c>
      <c r="I3402" s="17">
        <v>45701</v>
      </c>
      <c r="J3402" s="18">
        <f>YEAR(Tabla1[[#This Row],[FECHA DE COMPRA]])</f>
        <v>2025</v>
      </c>
      <c r="K3402" s="19">
        <v>67.56</v>
      </c>
      <c r="L3402" s="20">
        <v>0.3</v>
      </c>
      <c r="M3402" s="19">
        <f>Tienda!$K3632-Tienda!$K3632*Tienda!$L3632</f>
        <v>150.88499999999999</v>
      </c>
      <c r="N3402" s="3" t="s">
        <v>10040</v>
      </c>
      <c r="O3402" s="3" t="s">
        <v>10042</v>
      </c>
      <c r="P3402" s="17">
        <v>45679</v>
      </c>
      <c r="Q3402" s="4">
        <v>3</v>
      </c>
    </row>
    <row r="3403" spans="1:17" ht="30" x14ac:dyDescent="0.25">
      <c r="A3403" s="2" t="s">
        <v>62</v>
      </c>
      <c r="B3403" s="3" t="s">
        <v>5015</v>
      </c>
      <c r="C3403" s="3">
        <v>60</v>
      </c>
      <c r="D3403" s="46" t="str">
        <f>IF(Tabla1[[#This Row],[EDAD]]&lt;=35,"Adultos jóvenes 18 - 35 años",IF(C3403&gt;=36,"Adultos mayores 36 años en adelante"))</f>
        <v>Adultos mayores 36 años en adelante</v>
      </c>
      <c r="E3403" s="3" t="s">
        <v>5021</v>
      </c>
      <c r="F3403" s="3" t="s">
        <v>5028</v>
      </c>
      <c r="G3403" s="3" t="s">
        <v>5032</v>
      </c>
      <c r="H3403" s="3" t="s">
        <v>5085</v>
      </c>
      <c r="I3403" s="17">
        <v>45701</v>
      </c>
      <c r="J3403" s="18">
        <f>YEAR(Tabla1[[#This Row],[FECHA DE COMPRA]])</f>
        <v>2025</v>
      </c>
      <c r="K3403" s="19">
        <v>70.38</v>
      </c>
      <c r="L3403" s="20">
        <v>0.3</v>
      </c>
      <c r="M3403" s="19">
        <f>Tienda!$K3633-Tienda!$K3633*Tienda!$L3633</f>
        <v>48.496000000000002</v>
      </c>
      <c r="N3403" s="3" t="s">
        <v>10040</v>
      </c>
      <c r="O3403" s="3" t="s">
        <v>10042</v>
      </c>
      <c r="P3403" s="17">
        <v>45682</v>
      </c>
      <c r="Q3403" s="4">
        <v>3</v>
      </c>
    </row>
    <row r="3404" spans="1:17" ht="30" x14ac:dyDescent="0.25">
      <c r="A3404" s="2" t="s">
        <v>4205</v>
      </c>
      <c r="B3404" s="3" t="s">
        <v>5015</v>
      </c>
      <c r="C3404" s="3">
        <v>45</v>
      </c>
      <c r="D3404" s="46" t="str">
        <f>IF(Tabla1[[#This Row],[EDAD]]&lt;=35,"Adultos jóvenes 18 - 35 años",IF(C3404&gt;=36,"Adultos mayores 36 años en adelante"))</f>
        <v>Adultos mayores 36 años en adelante</v>
      </c>
      <c r="E3404" s="3" t="s">
        <v>5020</v>
      </c>
      <c r="F3404" s="3" t="s">
        <v>5028</v>
      </c>
      <c r="G3404" s="3" t="s">
        <v>5031</v>
      </c>
      <c r="H3404" s="3" t="s">
        <v>9228</v>
      </c>
      <c r="I3404" s="17">
        <v>45701</v>
      </c>
      <c r="J3404" s="18">
        <f>YEAR(Tabla1[[#This Row],[FECHA DE COMPRA]])</f>
        <v>2025</v>
      </c>
      <c r="K3404" s="19">
        <v>81.36</v>
      </c>
      <c r="L3404" s="20">
        <v>0.1</v>
      </c>
      <c r="M3404" s="19">
        <f>Tienda!$K3634-Tienda!$K3634*Tienda!$L3634</f>
        <v>51.771999999999991</v>
      </c>
      <c r="N3404" s="3" t="s">
        <v>10040</v>
      </c>
      <c r="O3404" s="3" t="s">
        <v>10042</v>
      </c>
      <c r="P3404" s="17">
        <v>45659</v>
      </c>
      <c r="Q3404" s="4">
        <v>3</v>
      </c>
    </row>
    <row r="3405" spans="1:17" ht="30" x14ac:dyDescent="0.25">
      <c r="A3405" s="2" t="s">
        <v>2624</v>
      </c>
      <c r="B3405" s="3" t="s">
        <v>5015</v>
      </c>
      <c r="C3405" s="3">
        <v>45</v>
      </c>
      <c r="D3405" s="46" t="str">
        <f>IF(Tabla1[[#This Row],[EDAD]]&lt;=35,"Adultos jóvenes 18 - 35 años",IF(C3405&gt;=36,"Adultos mayores 36 años en adelante"))</f>
        <v>Adultos mayores 36 años en adelante</v>
      </c>
      <c r="E3405" s="3" t="s">
        <v>5019</v>
      </c>
      <c r="F3405" s="3" t="s">
        <v>5027</v>
      </c>
      <c r="G3405" s="3" t="s">
        <v>5031</v>
      </c>
      <c r="H3405" s="3" t="s">
        <v>7647</v>
      </c>
      <c r="I3405" s="17">
        <v>45661</v>
      </c>
      <c r="J3405" s="18">
        <f>YEAR(Tabla1[[#This Row],[FECHA DE COMPRA]])</f>
        <v>2025</v>
      </c>
      <c r="K3405" s="19">
        <v>115.93</v>
      </c>
      <c r="L3405" s="20">
        <v>0</v>
      </c>
      <c r="M3405" s="19">
        <f>Tienda!$K3638-Tienda!$K3638*Tienda!$L3638</f>
        <v>100.152</v>
      </c>
      <c r="N3405" s="3" t="s">
        <v>10040</v>
      </c>
      <c r="O3405" s="3" t="s">
        <v>10042</v>
      </c>
      <c r="P3405" s="17">
        <v>45661</v>
      </c>
      <c r="Q3405" s="4">
        <v>3</v>
      </c>
    </row>
    <row r="3406" spans="1:17" ht="30" x14ac:dyDescent="0.25">
      <c r="A3406" s="2" t="s">
        <v>3332</v>
      </c>
      <c r="B3406" s="3" t="s">
        <v>5015</v>
      </c>
      <c r="C3406" s="3">
        <v>42</v>
      </c>
      <c r="D3406" s="46" t="str">
        <f>IF(Tabla1[[#This Row],[EDAD]]&lt;=35,"Adultos jóvenes 18 - 35 años",IF(C3406&gt;=36,"Adultos mayores 36 años en adelante"))</f>
        <v>Adultos mayores 36 años en adelante</v>
      </c>
      <c r="E3406" s="3" t="s">
        <v>5021</v>
      </c>
      <c r="F3406" s="3" t="s">
        <v>5028</v>
      </c>
      <c r="G3406" s="3" t="s">
        <v>5031</v>
      </c>
      <c r="H3406" s="3" t="s">
        <v>8355</v>
      </c>
      <c r="I3406" s="17">
        <v>45683</v>
      </c>
      <c r="J3406" s="18">
        <f>YEAR(Tabla1[[#This Row],[FECHA DE COMPRA]])</f>
        <v>2025</v>
      </c>
      <c r="K3406" s="19">
        <v>120.58</v>
      </c>
      <c r="L3406" s="20">
        <v>0.1</v>
      </c>
      <c r="M3406" s="19">
        <f>Tienda!$K3639-Tienda!$K3639*Tienda!$L3639</f>
        <v>103.124</v>
      </c>
      <c r="N3406" s="3" t="s">
        <v>10040</v>
      </c>
      <c r="O3406" s="3" t="s">
        <v>10042</v>
      </c>
      <c r="P3406" s="17">
        <v>45683</v>
      </c>
      <c r="Q3406" s="4">
        <v>6</v>
      </c>
    </row>
    <row r="3407" spans="1:17" ht="30" x14ac:dyDescent="0.25">
      <c r="A3407" s="2" t="s">
        <v>1165</v>
      </c>
      <c r="B3407" s="3" t="s">
        <v>5015</v>
      </c>
      <c r="C3407" s="3">
        <v>42</v>
      </c>
      <c r="D3407" s="46" t="str">
        <f>IF(Tabla1[[#This Row],[EDAD]]&lt;=35,"Adultos jóvenes 18 - 35 años",IF(C3407&gt;=36,"Adultos mayores 36 años en adelante"))</f>
        <v>Adultos mayores 36 años en adelante</v>
      </c>
      <c r="E3407" s="3" t="s">
        <v>5021</v>
      </c>
      <c r="F3407" s="3" t="s">
        <v>5027</v>
      </c>
      <c r="G3407" s="3" t="s">
        <v>5033</v>
      </c>
      <c r="H3407" s="3" t="s">
        <v>6188</v>
      </c>
      <c r="I3407" s="17">
        <v>45687</v>
      </c>
      <c r="J3407" s="18">
        <f>YEAR(Tabla1[[#This Row],[FECHA DE COMPRA]])</f>
        <v>2025</v>
      </c>
      <c r="K3407" s="19">
        <v>124.48</v>
      </c>
      <c r="L3407" s="20">
        <v>0.3</v>
      </c>
      <c r="M3407" s="19">
        <f>Tienda!$K3641-Tienda!$K3641*Tienda!$L3641</f>
        <v>29.603000000000002</v>
      </c>
      <c r="N3407" s="3" t="s">
        <v>10040</v>
      </c>
      <c r="O3407" s="3" t="s">
        <v>10042</v>
      </c>
      <c r="P3407" s="17">
        <v>45687</v>
      </c>
      <c r="Q3407" s="4">
        <v>6</v>
      </c>
    </row>
    <row r="3408" spans="1:17" ht="30" x14ac:dyDescent="0.25">
      <c r="A3408" s="2" t="s">
        <v>1218</v>
      </c>
      <c r="B3408" s="3" t="s">
        <v>5015</v>
      </c>
      <c r="C3408" s="3">
        <v>57</v>
      </c>
      <c r="D3408" s="46" t="str">
        <f>IF(Tabla1[[#This Row],[EDAD]]&lt;=35,"Adultos jóvenes 18 - 35 años",IF(C3408&gt;=36,"Adultos mayores 36 años en adelante"))</f>
        <v>Adultos mayores 36 años en adelante</v>
      </c>
      <c r="E3408" s="3" t="s">
        <v>5023</v>
      </c>
      <c r="F3408" s="3" t="s">
        <v>5026</v>
      </c>
      <c r="G3408" s="3" t="s">
        <v>5033</v>
      </c>
      <c r="H3408" s="3" t="s">
        <v>6241</v>
      </c>
      <c r="I3408" s="17">
        <v>45684</v>
      </c>
      <c r="J3408" s="18">
        <f>YEAR(Tabla1[[#This Row],[FECHA DE COMPRA]])</f>
        <v>2025</v>
      </c>
      <c r="K3408" s="19">
        <v>134.85</v>
      </c>
      <c r="L3408" s="20">
        <v>0.1</v>
      </c>
      <c r="M3408" s="19">
        <f>Tienda!$K3642-Tienda!$K3642*Tienda!$L3642</f>
        <v>55.043999999999997</v>
      </c>
      <c r="N3408" s="3" t="s">
        <v>10040</v>
      </c>
      <c r="O3408" s="3" t="s">
        <v>10042</v>
      </c>
      <c r="P3408" s="17">
        <v>45684</v>
      </c>
      <c r="Q3408" s="4">
        <v>6</v>
      </c>
    </row>
    <row r="3409" spans="1:17" ht="30" x14ac:dyDescent="0.25">
      <c r="A3409" s="2" t="s">
        <v>1127</v>
      </c>
      <c r="B3409" s="3" t="s">
        <v>5015</v>
      </c>
      <c r="C3409" s="3">
        <v>43</v>
      </c>
      <c r="D3409" s="46" t="str">
        <f>IF(Tabla1[[#This Row],[EDAD]]&lt;=35,"Adultos jóvenes 18 - 35 años",IF(C3409&gt;=36,"Adultos mayores 36 años en adelante"))</f>
        <v>Adultos mayores 36 años en adelante</v>
      </c>
      <c r="E3409" s="3" t="s">
        <v>5019</v>
      </c>
      <c r="F3409" s="3" t="s">
        <v>5025</v>
      </c>
      <c r="G3409" s="3" t="s">
        <v>5034</v>
      </c>
      <c r="H3409" s="3" t="s">
        <v>6150</v>
      </c>
      <c r="I3409" s="17">
        <v>45661</v>
      </c>
      <c r="J3409" s="18">
        <f>YEAR(Tabla1[[#This Row],[FECHA DE COMPRA]])</f>
        <v>2025</v>
      </c>
      <c r="K3409" s="19">
        <v>135.4</v>
      </c>
      <c r="L3409" s="20">
        <v>0</v>
      </c>
      <c r="M3409" s="19">
        <f>Tienda!$K3643-Tienda!$K3643*Tienda!$L3643</f>
        <v>115.26</v>
      </c>
      <c r="N3409" s="3" t="s">
        <v>10040</v>
      </c>
      <c r="O3409" s="3" t="s">
        <v>10042</v>
      </c>
      <c r="P3409" s="17">
        <v>45661</v>
      </c>
      <c r="Q3409" s="4">
        <v>6</v>
      </c>
    </row>
    <row r="3410" spans="1:17" ht="30" x14ac:dyDescent="0.25">
      <c r="A3410" s="2" t="s">
        <v>3438</v>
      </c>
      <c r="B3410" s="3" t="s">
        <v>5015</v>
      </c>
      <c r="C3410" s="3">
        <v>60</v>
      </c>
      <c r="D3410" s="46" t="str">
        <f>IF(Tabla1[[#This Row],[EDAD]]&lt;=35,"Adultos jóvenes 18 - 35 años",IF(C3410&gt;=36,"Adultos mayores 36 años en adelante"))</f>
        <v>Adultos mayores 36 años en adelante</v>
      </c>
      <c r="E3410" s="3" t="s">
        <v>5018</v>
      </c>
      <c r="F3410" s="3" t="s">
        <v>5025</v>
      </c>
      <c r="G3410" s="3" t="s">
        <v>5037</v>
      </c>
      <c r="H3410" s="3" t="s">
        <v>8461</v>
      </c>
      <c r="I3410" s="17">
        <v>45687</v>
      </c>
      <c r="J3410" s="18">
        <f>YEAR(Tabla1[[#This Row],[FECHA DE COMPRA]])</f>
        <v>2025</v>
      </c>
      <c r="K3410" s="19">
        <v>143.58000000000001</v>
      </c>
      <c r="L3410" s="20">
        <v>0.2</v>
      </c>
      <c r="M3410" s="19">
        <f>Tienda!$K3645-Tienda!$K3645*Tienda!$L3645</f>
        <v>153.61000000000001</v>
      </c>
      <c r="N3410" s="3" t="s">
        <v>10040</v>
      </c>
      <c r="O3410" s="3" t="s">
        <v>10042</v>
      </c>
      <c r="P3410" s="17">
        <v>45687</v>
      </c>
      <c r="Q3410" s="4">
        <v>6</v>
      </c>
    </row>
    <row r="3411" spans="1:17" ht="30" x14ac:dyDescent="0.25">
      <c r="A3411" s="2" t="s">
        <v>3504</v>
      </c>
      <c r="B3411" s="3" t="s">
        <v>5015</v>
      </c>
      <c r="C3411" s="3">
        <v>59</v>
      </c>
      <c r="D3411" s="46" t="str">
        <f>IF(Tabla1[[#This Row],[EDAD]]&lt;=35,"Adultos jóvenes 18 - 35 años",IF(C3411&gt;=36,"Adultos mayores 36 años en adelante"))</f>
        <v>Adultos mayores 36 años en adelante</v>
      </c>
      <c r="E3411" s="3" t="s">
        <v>5021</v>
      </c>
      <c r="F3411" s="3" t="s">
        <v>5028</v>
      </c>
      <c r="G3411" s="3" t="s">
        <v>5037</v>
      </c>
      <c r="H3411" s="3" t="s">
        <v>8527</v>
      </c>
      <c r="I3411" s="17">
        <v>45684</v>
      </c>
      <c r="J3411" s="18">
        <f>YEAR(Tabla1[[#This Row],[FECHA DE COMPRA]])</f>
        <v>2025</v>
      </c>
      <c r="K3411" s="19">
        <v>159.93</v>
      </c>
      <c r="L3411" s="20">
        <v>0</v>
      </c>
      <c r="M3411" s="19">
        <f>Tienda!$K3647-Tienda!$K3647*Tienda!$L3647</f>
        <v>174.006</v>
      </c>
      <c r="N3411" s="3" t="s">
        <v>10040</v>
      </c>
      <c r="O3411" s="3" t="s">
        <v>10042</v>
      </c>
      <c r="P3411" s="17">
        <v>45684</v>
      </c>
      <c r="Q3411" s="4">
        <v>6</v>
      </c>
    </row>
    <row r="3412" spans="1:17" ht="30" x14ac:dyDescent="0.25">
      <c r="A3412" s="2" t="s">
        <v>4180</v>
      </c>
      <c r="B3412" s="3" t="s">
        <v>5015</v>
      </c>
      <c r="C3412" s="3">
        <v>64</v>
      </c>
      <c r="D3412" s="46" t="str">
        <f>IF(Tabla1[[#This Row],[EDAD]]&lt;=35,"Adultos jóvenes 18 - 35 años",IF(C3412&gt;=36,"Adultos mayores 36 años en adelante"))</f>
        <v>Adultos mayores 36 años en adelante</v>
      </c>
      <c r="E3412" s="3" t="s">
        <v>5020</v>
      </c>
      <c r="F3412" s="3" t="s">
        <v>5026</v>
      </c>
      <c r="G3412" s="3" t="s">
        <v>5033</v>
      </c>
      <c r="H3412" s="3" t="s">
        <v>9203</v>
      </c>
      <c r="I3412" s="17">
        <v>45675</v>
      </c>
      <c r="J3412" s="18">
        <f>YEAR(Tabla1[[#This Row],[FECHA DE COMPRA]])</f>
        <v>2025</v>
      </c>
      <c r="K3412" s="19">
        <v>163.22999999999999</v>
      </c>
      <c r="L3412" s="20">
        <v>0.1</v>
      </c>
      <c r="M3412" s="19">
        <f>Tienda!$K3649-Tienda!$K3649*Tienda!$L3649</f>
        <v>33.838000000000001</v>
      </c>
      <c r="N3412" s="3" t="s">
        <v>10040</v>
      </c>
      <c r="O3412" s="3" t="s">
        <v>10042</v>
      </c>
      <c r="P3412" s="17">
        <v>45675</v>
      </c>
      <c r="Q3412" s="4">
        <v>6</v>
      </c>
    </row>
    <row r="3413" spans="1:17" ht="30" x14ac:dyDescent="0.25">
      <c r="A3413" s="2" t="s">
        <v>4306</v>
      </c>
      <c r="B3413" s="3" t="s">
        <v>5015</v>
      </c>
      <c r="C3413" s="3">
        <v>42</v>
      </c>
      <c r="D3413" s="46" t="str">
        <f>IF(Tabla1[[#This Row],[EDAD]]&lt;=35,"Adultos jóvenes 18 - 35 años",IF(C3413&gt;=36,"Adultos mayores 36 años en adelante"))</f>
        <v>Adultos mayores 36 años en adelante</v>
      </c>
      <c r="E3413" s="3" t="s">
        <v>5020</v>
      </c>
      <c r="F3413" s="3" t="s">
        <v>5030</v>
      </c>
      <c r="G3413" s="3" t="s">
        <v>5037</v>
      </c>
      <c r="H3413" s="3" t="s">
        <v>9329</v>
      </c>
      <c r="I3413" s="17">
        <v>45675</v>
      </c>
      <c r="J3413" s="18">
        <f>YEAR(Tabla1[[#This Row],[FECHA DE COMPRA]])</f>
        <v>2025</v>
      </c>
      <c r="K3413" s="19">
        <v>177.95</v>
      </c>
      <c r="L3413" s="20">
        <v>0.2</v>
      </c>
      <c r="M3413" s="19">
        <f>Tienda!$K3652-Tienda!$K3652*Tienda!$L3652</f>
        <v>117.19799999999999</v>
      </c>
      <c r="N3413" s="3" t="s">
        <v>10040</v>
      </c>
      <c r="O3413" s="3" t="s">
        <v>10042</v>
      </c>
      <c r="P3413" s="17">
        <v>45675</v>
      </c>
      <c r="Q3413" s="4">
        <v>3</v>
      </c>
    </row>
    <row r="3414" spans="1:17" ht="30" x14ac:dyDescent="0.25">
      <c r="A3414" s="2" t="s">
        <v>1274</v>
      </c>
      <c r="B3414" s="3" t="s">
        <v>5015</v>
      </c>
      <c r="C3414" s="3">
        <v>65</v>
      </c>
      <c r="D3414" s="46" t="str">
        <f>IF(Tabla1[[#This Row],[EDAD]]&lt;=35,"Adultos jóvenes 18 - 35 años",IF(C3414&gt;=36,"Adultos mayores 36 años en adelante"))</f>
        <v>Adultos mayores 36 años en adelante</v>
      </c>
      <c r="E3414" s="3" t="s">
        <v>5022</v>
      </c>
      <c r="F3414" s="3" t="s">
        <v>5028</v>
      </c>
      <c r="G3414" s="3" t="s">
        <v>5032</v>
      </c>
      <c r="H3414" s="3" t="s">
        <v>6297</v>
      </c>
      <c r="I3414" s="17">
        <v>45678</v>
      </c>
      <c r="J3414" s="18">
        <f>YEAR(Tabla1[[#This Row],[FECHA DE COMPRA]])</f>
        <v>2025</v>
      </c>
      <c r="K3414" s="19">
        <v>178.29</v>
      </c>
      <c r="L3414" s="20">
        <v>0.1</v>
      </c>
      <c r="M3414" s="19">
        <f>Tienda!$K3653-Tienda!$K3653*Tienda!$L3653</f>
        <v>141.09</v>
      </c>
      <c r="N3414" s="3" t="s">
        <v>10040</v>
      </c>
      <c r="O3414" s="3" t="s">
        <v>10042</v>
      </c>
      <c r="P3414" s="17">
        <v>45678</v>
      </c>
      <c r="Q3414" s="4">
        <v>3</v>
      </c>
    </row>
    <row r="3415" spans="1:17" ht="30" x14ac:dyDescent="0.25">
      <c r="A3415" s="2" t="s">
        <v>2728</v>
      </c>
      <c r="B3415" s="3" t="s">
        <v>5015</v>
      </c>
      <c r="C3415" s="3">
        <v>36</v>
      </c>
      <c r="D3415" s="46" t="str">
        <f>IF(Tabla1[[#This Row],[EDAD]]&lt;=35,"Adultos jóvenes 18 - 35 años",IF(C3415&gt;=36,"Adultos mayores 36 años en adelante"))</f>
        <v>Adultos mayores 36 años en adelante</v>
      </c>
      <c r="E3415" s="3" t="s">
        <v>5020</v>
      </c>
      <c r="F3415" s="3" t="s">
        <v>5030</v>
      </c>
      <c r="G3415" s="3" t="s">
        <v>5036</v>
      </c>
      <c r="H3415" s="3" t="s">
        <v>7751</v>
      </c>
      <c r="I3415" s="17">
        <v>45673</v>
      </c>
      <c r="J3415" s="18">
        <f>YEAR(Tabla1[[#This Row],[FECHA DE COMPRA]])</f>
        <v>2025</v>
      </c>
      <c r="K3415" s="19">
        <v>181.73</v>
      </c>
      <c r="L3415" s="20">
        <v>0.1</v>
      </c>
      <c r="M3415" s="19">
        <f>Tienda!$K3654-Tienda!$K3654*Tienda!$L3654</f>
        <v>165.15899999999999</v>
      </c>
      <c r="N3415" s="3" t="s">
        <v>10040</v>
      </c>
      <c r="O3415" s="3" t="s">
        <v>10042</v>
      </c>
      <c r="P3415" s="17">
        <v>45673</v>
      </c>
      <c r="Q3415" s="4">
        <v>3</v>
      </c>
    </row>
    <row r="3416" spans="1:17" ht="30" x14ac:dyDescent="0.25">
      <c r="A3416" s="2" t="s">
        <v>3872</v>
      </c>
      <c r="B3416" s="3" t="s">
        <v>5015</v>
      </c>
      <c r="C3416" s="3">
        <v>47</v>
      </c>
      <c r="D3416" s="46" t="str">
        <f>IF(Tabla1[[#This Row],[EDAD]]&lt;=35,"Adultos jóvenes 18 - 35 años",IF(C3416&gt;=36,"Adultos mayores 36 años en adelante"))</f>
        <v>Adultos mayores 36 años en adelante</v>
      </c>
      <c r="E3416" s="3" t="s">
        <v>5022</v>
      </c>
      <c r="F3416" s="3" t="s">
        <v>5026</v>
      </c>
      <c r="G3416" s="3" t="s">
        <v>5036</v>
      </c>
      <c r="H3416" s="3" t="s">
        <v>8895</v>
      </c>
      <c r="I3416" s="17">
        <v>45660</v>
      </c>
      <c r="J3416" s="18">
        <f>YEAR(Tabla1[[#This Row],[FECHA DE COMPRA]])</f>
        <v>2025</v>
      </c>
      <c r="K3416" s="19">
        <v>182.15</v>
      </c>
      <c r="L3416" s="20">
        <v>0.3</v>
      </c>
      <c r="M3416" s="19">
        <f>Tienda!$K3655-Tienda!$K3655*Tienda!$L3655</f>
        <v>166.25700000000001</v>
      </c>
      <c r="N3416" s="3" t="s">
        <v>10040</v>
      </c>
      <c r="O3416" s="3" t="s">
        <v>10042</v>
      </c>
      <c r="P3416" s="17">
        <v>45660</v>
      </c>
      <c r="Q3416" s="4">
        <v>3</v>
      </c>
    </row>
    <row r="3417" spans="1:17" ht="30" x14ac:dyDescent="0.25">
      <c r="A3417" s="2" t="s">
        <v>187</v>
      </c>
      <c r="B3417" s="3" t="s">
        <v>5016</v>
      </c>
      <c r="C3417" s="3">
        <v>55</v>
      </c>
      <c r="D3417" s="46" t="str">
        <f>IF(Tabla1[[#This Row],[EDAD]]&lt;=35,"Adultos jóvenes 18 - 35 años",IF(C3417&gt;=36,"Adultos mayores 36 años en adelante"))</f>
        <v>Adultos mayores 36 años en adelante</v>
      </c>
      <c r="E3417" s="3" t="s">
        <v>5019</v>
      </c>
      <c r="F3417" s="3" t="s">
        <v>5030</v>
      </c>
      <c r="G3417" s="3" t="s">
        <v>5031</v>
      </c>
      <c r="H3417" s="3" t="s">
        <v>5210</v>
      </c>
      <c r="I3417" s="17">
        <v>45665</v>
      </c>
      <c r="J3417" s="18">
        <f>YEAR(Tabla1[[#This Row],[FECHA DE COMPRA]])</f>
        <v>2025</v>
      </c>
      <c r="K3417" s="19">
        <v>189.63</v>
      </c>
      <c r="L3417" s="20">
        <v>0.1</v>
      </c>
      <c r="M3417" s="19">
        <f>Tienda!$K3656-Tienda!$K3656*Tienda!$L3656</f>
        <v>136.983</v>
      </c>
      <c r="N3417" s="3" t="s">
        <v>10040</v>
      </c>
      <c r="O3417" s="3" t="s">
        <v>10042</v>
      </c>
      <c r="P3417" s="17">
        <v>45665</v>
      </c>
      <c r="Q3417" s="4">
        <v>3</v>
      </c>
    </row>
    <row r="3418" spans="1:17" ht="30" x14ac:dyDescent="0.25">
      <c r="A3418" s="2" t="s">
        <v>738</v>
      </c>
      <c r="B3418" s="3" t="s">
        <v>5015</v>
      </c>
      <c r="C3418" s="3">
        <v>52</v>
      </c>
      <c r="D3418" s="46" t="str">
        <f>IF(Tabla1[[#This Row],[EDAD]]&lt;=35,"Adultos jóvenes 18 - 35 años",IF(C3418&gt;=36,"Adultos mayores 36 años en adelante"))</f>
        <v>Adultos mayores 36 años en adelante</v>
      </c>
      <c r="E3418" s="3" t="s">
        <v>5017</v>
      </c>
      <c r="F3418" s="3" t="s">
        <v>5029</v>
      </c>
      <c r="G3418" s="3" t="s">
        <v>5037</v>
      </c>
      <c r="H3418" s="3" t="s">
        <v>5761</v>
      </c>
      <c r="I3418" s="17">
        <v>45701</v>
      </c>
      <c r="J3418" s="18">
        <f>YEAR(Tabla1[[#This Row],[FECHA DE COMPRA]])</f>
        <v>2025</v>
      </c>
      <c r="K3418" s="19">
        <v>198.26</v>
      </c>
      <c r="L3418" s="20">
        <v>0</v>
      </c>
      <c r="M3418" s="19">
        <f>Tienda!$K3657-Tienda!$K3657*Tienda!$L3657</f>
        <v>77.311999999999998</v>
      </c>
      <c r="N3418" s="3" t="s">
        <v>10040</v>
      </c>
      <c r="O3418" s="3" t="s">
        <v>10042</v>
      </c>
      <c r="P3418" s="17">
        <v>45686</v>
      </c>
      <c r="Q3418" s="4">
        <v>3</v>
      </c>
    </row>
    <row r="3419" spans="1:17" ht="30" x14ac:dyDescent="0.25">
      <c r="A3419" s="2" t="s">
        <v>1911</v>
      </c>
      <c r="B3419" s="3" t="s">
        <v>5016</v>
      </c>
      <c r="C3419" s="3">
        <v>51</v>
      </c>
      <c r="D3419" s="46" t="str">
        <f>IF(Tabla1[[#This Row],[EDAD]]&lt;=35,"Adultos jóvenes 18 - 35 años",IF(C3419&gt;=36,"Adultos mayores 36 años en adelante"))</f>
        <v>Adultos mayores 36 años en adelante</v>
      </c>
      <c r="E3419" s="3" t="s">
        <v>5019</v>
      </c>
      <c r="F3419" s="3" t="s">
        <v>5026</v>
      </c>
      <c r="G3419" s="3" t="s">
        <v>5035</v>
      </c>
      <c r="H3419" s="3" t="s">
        <v>6934</v>
      </c>
      <c r="I3419" s="17">
        <v>45689</v>
      </c>
      <c r="J3419" s="18">
        <f>YEAR(Tabla1[[#This Row],[FECHA DE COMPRA]])</f>
        <v>2025</v>
      </c>
      <c r="K3419" s="19">
        <v>89.8</v>
      </c>
      <c r="L3419" s="20">
        <v>0</v>
      </c>
      <c r="M3419" s="19">
        <f>Tienda!$K3658-Tienda!$K3658*Tienda!$L3658</f>
        <v>171.96</v>
      </c>
      <c r="N3419" s="3" t="s">
        <v>10040</v>
      </c>
      <c r="O3419" s="3" t="s">
        <v>10042</v>
      </c>
      <c r="P3419" s="17">
        <v>45689</v>
      </c>
      <c r="Q3419" s="4">
        <v>3</v>
      </c>
    </row>
    <row r="3420" spans="1:17" ht="30" x14ac:dyDescent="0.25">
      <c r="A3420" s="2" t="s">
        <v>2583</v>
      </c>
      <c r="B3420" s="3" t="s">
        <v>5016</v>
      </c>
      <c r="C3420" s="3">
        <v>41</v>
      </c>
      <c r="D3420" s="46" t="str">
        <f>IF(Tabla1[[#This Row],[EDAD]]&lt;=35,"Adultos jóvenes 18 - 35 años",IF(C3420&gt;=36,"Adultos mayores 36 años en adelante"))</f>
        <v>Adultos mayores 36 años en adelante</v>
      </c>
      <c r="E3420" s="3" t="s">
        <v>5021</v>
      </c>
      <c r="F3420" s="3" t="s">
        <v>5030</v>
      </c>
      <c r="G3420" s="3" t="s">
        <v>5031</v>
      </c>
      <c r="H3420" s="3" t="s">
        <v>7606</v>
      </c>
      <c r="I3420" s="17">
        <v>45690</v>
      </c>
      <c r="J3420" s="18">
        <f>YEAR(Tabla1[[#This Row],[FECHA DE COMPRA]])</f>
        <v>2025</v>
      </c>
      <c r="K3420" s="19">
        <v>48.81</v>
      </c>
      <c r="L3420" s="20">
        <v>0.3</v>
      </c>
      <c r="M3420" s="19">
        <f>Tienda!$K3661-Tienda!$K3661*Tienda!$L3661</f>
        <v>124.71</v>
      </c>
      <c r="N3420" s="3" t="s">
        <v>10040</v>
      </c>
      <c r="O3420" s="3" t="s">
        <v>10042</v>
      </c>
      <c r="P3420" s="17">
        <v>45690</v>
      </c>
      <c r="Q3420" s="4">
        <v>6</v>
      </c>
    </row>
    <row r="3421" spans="1:17" ht="30" x14ac:dyDescent="0.25">
      <c r="A3421" s="2" t="s">
        <v>3473</v>
      </c>
      <c r="B3421" s="3" t="s">
        <v>5015</v>
      </c>
      <c r="C3421" s="3">
        <v>36</v>
      </c>
      <c r="D3421" s="46" t="str">
        <f>IF(Tabla1[[#This Row],[EDAD]]&lt;=35,"Adultos jóvenes 18 - 35 años",IF(C3421&gt;=36,"Adultos mayores 36 años en adelante"))</f>
        <v>Adultos mayores 36 años en adelante</v>
      </c>
      <c r="E3421" s="3" t="s">
        <v>5018</v>
      </c>
      <c r="F3421" s="3" t="s">
        <v>5024</v>
      </c>
      <c r="G3421" s="3" t="s">
        <v>5037</v>
      </c>
      <c r="H3421" s="3" t="s">
        <v>8496</v>
      </c>
      <c r="I3421" s="17">
        <v>45690</v>
      </c>
      <c r="J3421" s="18">
        <f>YEAR(Tabla1[[#This Row],[FECHA DE COMPRA]])</f>
        <v>2025</v>
      </c>
      <c r="K3421" s="19">
        <v>143.15</v>
      </c>
      <c r="L3421" s="20">
        <v>0.2</v>
      </c>
      <c r="M3421" s="19">
        <f>Tienda!$K3662-Tienda!$K3662*Tienda!$L3662</f>
        <v>116.48700000000001</v>
      </c>
      <c r="N3421" s="3" t="s">
        <v>10040</v>
      </c>
      <c r="O3421" s="3" t="s">
        <v>10042</v>
      </c>
      <c r="P3421" s="17">
        <v>45690</v>
      </c>
      <c r="Q3421" s="4">
        <v>6</v>
      </c>
    </row>
    <row r="3422" spans="1:17" ht="30" x14ac:dyDescent="0.25">
      <c r="A3422" s="2" t="s">
        <v>2608</v>
      </c>
      <c r="B3422" s="3" t="s">
        <v>5015</v>
      </c>
      <c r="C3422" s="3">
        <v>42</v>
      </c>
      <c r="D3422" s="46" t="str">
        <f>IF(Tabla1[[#This Row],[EDAD]]&lt;=35,"Adultos jóvenes 18 - 35 años",IF(C3422&gt;=36,"Adultos mayores 36 años en adelante"))</f>
        <v>Adultos mayores 36 años en adelante</v>
      </c>
      <c r="E3422" s="3" t="s">
        <v>5018</v>
      </c>
      <c r="F3422" s="3" t="s">
        <v>5025</v>
      </c>
      <c r="G3422" s="3" t="s">
        <v>5037</v>
      </c>
      <c r="H3422" s="3" t="s">
        <v>7631</v>
      </c>
      <c r="I3422" s="17">
        <v>45691</v>
      </c>
      <c r="J3422" s="18">
        <f>YEAR(Tabla1[[#This Row],[FECHA DE COMPRA]])</f>
        <v>2025</v>
      </c>
      <c r="K3422" s="19">
        <v>90.62</v>
      </c>
      <c r="L3422" s="20">
        <v>0.2</v>
      </c>
      <c r="M3422" s="19">
        <f>Tienda!$K3665-Tienda!$K3665*Tienda!$L3665</f>
        <v>96.299000000000007</v>
      </c>
      <c r="N3422" s="3" t="s">
        <v>10040</v>
      </c>
      <c r="O3422" s="3" t="s">
        <v>10042</v>
      </c>
      <c r="P3422" s="17">
        <v>45691</v>
      </c>
      <c r="Q3422" s="4">
        <v>6</v>
      </c>
    </row>
    <row r="3423" spans="1:17" ht="30" x14ac:dyDescent="0.25">
      <c r="A3423" s="2" t="s">
        <v>4850</v>
      </c>
      <c r="B3423" s="3" t="s">
        <v>5016</v>
      </c>
      <c r="C3423" s="3">
        <v>52</v>
      </c>
      <c r="D3423" s="46" t="str">
        <f>IF(Tabla1[[#This Row],[EDAD]]&lt;=35,"Adultos jóvenes 18 - 35 años",IF(C3423&gt;=36,"Adultos mayores 36 años en adelante"))</f>
        <v>Adultos mayores 36 años en adelante</v>
      </c>
      <c r="E3423" s="3" t="s">
        <v>5021</v>
      </c>
      <c r="F3423" s="3" t="s">
        <v>5025</v>
      </c>
      <c r="G3423" s="3" t="s">
        <v>5031</v>
      </c>
      <c r="H3423" s="3" t="s">
        <v>9873</v>
      </c>
      <c r="I3423" s="17">
        <v>45691</v>
      </c>
      <c r="J3423" s="18">
        <f>YEAR(Tabla1[[#This Row],[FECHA DE COMPRA]])</f>
        <v>2025</v>
      </c>
      <c r="K3423" s="19">
        <v>116.4</v>
      </c>
      <c r="L3423" s="20">
        <v>0.3</v>
      </c>
      <c r="M3423" s="19">
        <f>Tienda!$K3666-Tienda!$K3666*Tienda!$L3666</f>
        <v>156.31</v>
      </c>
      <c r="N3423" s="3" t="s">
        <v>10040</v>
      </c>
      <c r="O3423" s="3" t="s">
        <v>10042</v>
      </c>
      <c r="P3423" s="17">
        <v>45691</v>
      </c>
      <c r="Q3423" s="4">
        <v>6</v>
      </c>
    </row>
    <row r="3424" spans="1:17" ht="30" x14ac:dyDescent="0.25">
      <c r="A3424" s="2" t="s">
        <v>4475</v>
      </c>
      <c r="B3424" s="3" t="s">
        <v>5016</v>
      </c>
      <c r="C3424" s="3">
        <v>62</v>
      </c>
      <c r="D3424" s="46" t="str">
        <f>IF(Tabla1[[#This Row],[EDAD]]&lt;=35,"Adultos jóvenes 18 - 35 años",IF(C3424&gt;=36,"Adultos mayores 36 años en adelante"))</f>
        <v>Adultos mayores 36 años en adelante</v>
      </c>
      <c r="E3424" s="3" t="s">
        <v>5017</v>
      </c>
      <c r="F3424" s="3" t="s">
        <v>5024</v>
      </c>
      <c r="G3424" s="3" t="s">
        <v>5032</v>
      </c>
      <c r="H3424" s="3" t="s">
        <v>9498</v>
      </c>
      <c r="I3424" s="17">
        <v>45693</v>
      </c>
      <c r="J3424" s="18">
        <f>YEAR(Tabla1[[#This Row],[FECHA DE COMPRA]])</f>
        <v>2025</v>
      </c>
      <c r="K3424" s="19">
        <v>76.88</v>
      </c>
      <c r="L3424" s="20">
        <v>0.3</v>
      </c>
      <c r="M3424" s="19">
        <f>Tienda!$K3668-Tienda!$K3668*Tienda!$L3668</f>
        <v>59.527999999999999</v>
      </c>
      <c r="N3424" s="3" t="s">
        <v>10040</v>
      </c>
      <c r="O3424" s="3" t="s">
        <v>10042</v>
      </c>
      <c r="P3424" s="17">
        <v>45693</v>
      </c>
      <c r="Q3424" s="4">
        <v>6</v>
      </c>
    </row>
    <row r="3425" spans="1:17" ht="30" x14ac:dyDescent="0.25">
      <c r="A3425" s="2" t="s">
        <v>3522</v>
      </c>
      <c r="B3425" s="3" t="s">
        <v>5015</v>
      </c>
      <c r="C3425" s="3">
        <v>52</v>
      </c>
      <c r="D3425" s="46" t="str">
        <f>IF(Tabla1[[#This Row],[EDAD]]&lt;=35,"Adultos jóvenes 18 - 35 años",IF(C3425&gt;=36,"Adultos mayores 36 años en adelante"))</f>
        <v>Adultos mayores 36 años en adelante</v>
      </c>
      <c r="E3425" s="3" t="s">
        <v>5021</v>
      </c>
      <c r="F3425" s="3" t="s">
        <v>5029</v>
      </c>
      <c r="G3425" s="3" t="s">
        <v>5031</v>
      </c>
      <c r="H3425" s="3" t="s">
        <v>8545</v>
      </c>
      <c r="I3425" s="17">
        <v>45693</v>
      </c>
      <c r="J3425" s="18">
        <f>YEAR(Tabla1[[#This Row],[FECHA DE COMPRA]])</f>
        <v>2025</v>
      </c>
      <c r="K3425" s="19">
        <v>186.82</v>
      </c>
      <c r="L3425" s="20">
        <v>0.2</v>
      </c>
      <c r="M3425" s="19">
        <f>Tienda!$K3669-Tienda!$K3669*Tienda!$L3669</f>
        <v>78.88300000000001</v>
      </c>
      <c r="N3425" s="3" t="s">
        <v>10040</v>
      </c>
      <c r="O3425" s="3" t="s">
        <v>10042</v>
      </c>
      <c r="P3425" s="17">
        <v>45693</v>
      </c>
      <c r="Q3425" s="4">
        <v>3</v>
      </c>
    </row>
    <row r="3426" spans="1:17" ht="30" x14ac:dyDescent="0.25">
      <c r="A3426" s="2" t="s">
        <v>4472</v>
      </c>
      <c r="B3426" s="3" t="s">
        <v>5015</v>
      </c>
      <c r="C3426" s="3">
        <v>41</v>
      </c>
      <c r="D3426" s="46" t="str">
        <f>IF(Tabla1[[#This Row],[EDAD]]&lt;=35,"Adultos jóvenes 18 - 35 años",IF(C3426&gt;=36,"Adultos mayores 36 años en adelante"))</f>
        <v>Adultos mayores 36 años en adelante</v>
      </c>
      <c r="E3426" s="3" t="s">
        <v>5017</v>
      </c>
      <c r="F3426" s="3" t="s">
        <v>5026</v>
      </c>
      <c r="G3426" s="3" t="s">
        <v>5034</v>
      </c>
      <c r="H3426" s="3" t="s">
        <v>9495</v>
      </c>
      <c r="I3426" s="17">
        <v>45698</v>
      </c>
      <c r="J3426" s="18">
        <f>YEAR(Tabla1[[#This Row],[FECHA DE COMPRA]])</f>
        <v>2025</v>
      </c>
      <c r="K3426" s="19">
        <v>154.31</v>
      </c>
      <c r="L3426" s="20">
        <v>0</v>
      </c>
      <c r="M3426" s="19">
        <f>Tienda!$K3675-Tienda!$K3675*Tienda!$L3675</f>
        <v>191.03</v>
      </c>
      <c r="N3426" s="3" t="s">
        <v>10040</v>
      </c>
      <c r="O3426" s="3" t="s">
        <v>10042</v>
      </c>
      <c r="P3426" s="17">
        <v>45698</v>
      </c>
      <c r="Q3426" s="4">
        <v>3</v>
      </c>
    </row>
    <row r="3427" spans="1:17" ht="30" x14ac:dyDescent="0.25">
      <c r="A3427" s="2" t="s">
        <v>2842</v>
      </c>
      <c r="B3427" s="3" t="s">
        <v>5016</v>
      </c>
      <c r="C3427" s="3">
        <v>62</v>
      </c>
      <c r="D3427" s="46" t="str">
        <f>IF(Tabla1[[#This Row],[EDAD]]&lt;=35,"Adultos jóvenes 18 - 35 años",IF(C3427&gt;=36,"Adultos mayores 36 años en adelante"))</f>
        <v>Adultos mayores 36 años en adelante</v>
      </c>
      <c r="E3427" s="3" t="s">
        <v>5017</v>
      </c>
      <c r="F3427" s="3" t="s">
        <v>5026</v>
      </c>
      <c r="G3427" s="3" t="s">
        <v>5032</v>
      </c>
      <c r="H3427" s="3" t="s">
        <v>7865</v>
      </c>
      <c r="I3427" s="17">
        <v>45698</v>
      </c>
      <c r="J3427" s="18">
        <f>YEAR(Tabla1[[#This Row],[FECHA DE COMPRA]])</f>
        <v>2025</v>
      </c>
      <c r="K3427" s="19">
        <v>172.01</v>
      </c>
      <c r="L3427" s="20">
        <v>0</v>
      </c>
      <c r="M3427" s="19">
        <f>Tienda!$K3677-Tienda!$K3677*Tienda!$L3677</f>
        <v>62.173999999999992</v>
      </c>
      <c r="N3427" s="3" t="s">
        <v>10040</v>
      </c>
      <c r="O3427" s="3" t="s">
        <v>10042</v>
      </c>
      <c r="P3427" s="17">
        <v>45698</v>
      </c>
      <c r="Q3427" s="4">
        <v>3</v>
      </c>
    </row>
    <row r="3428" spans="1:17" ht="30" x14ac:dyDescent="0.25">
      <c r="A3428" s="2" t="s">
        <v>1444</v>
      </c>
      <c r="B3428" s="3" t="s">
        <v>5016</v>
      </c>
      <c r="C3428" s="3">
        <v>56</v>
      </c>
      <c r="D3428" s="46" t="str">
        <f>IF(Tabla1[[#This Row],[EDAD]]&lt;=35,"Adultos jóvenes 18 - 35 años",IF(C3428&gt;=36,"Adultos mayores 36 años en adelante"))</f>
        <v>Adultos mayores 36 años en adelante</v>
      </c>
      <c r="E3428" s="3" t="s">
        <v>5021</v>
      </c>
      <c r="F3428" s="3" t="s">
        <v>5025</v>
      </c>
      <c r="G3428" s="3" t="s">
        <v>5035</v>
      </c>
      <c r="H3428" s="3" t="s">
        <v>6467</v>
      </c>
      <c r="I3428" s="17">
        <v>45699</v>
      </c>
      <c r="J3428" s="18">
        <f>YEAR(Tabla1[[#This Row],[FECHA DE COMPRA]])</f>
        <v>2025</v>
      </c>
      <c r="K3428" s="19">
        <v>98.33</v>
      </c>
      <c r="L3428" s="20">
        <v>0.3</v>
      </c>
      <c r="M3428" s="19">
        <f>Tienda!$K3678-Tienda!$K3678*Tienda!$L3678</f>
        <v>51.632000000000005</v>
      </c>
      <c r="N3428" s="3" t="s">
        <v>10040</v>
      </c>
      <c r="O3428" s="3" t="s">
        <v>10042</v>
      </c>
      <c r="P3428" s="17">
        <v>45699</v>
      </c>
      <c r="Q3428" s="4">
        <v>3</v>
      </c>
    </row>
    <row r="3429" spans="1:17" ht="30" x14ac:dyDescent="0.25">
      <c r="A3429" s="2" t="s">
        <v>3671</v>
      </c>
      <c r="B3429" s="3" t="s">
        <v>5015</v>
      </c>
      <c r="C3429" s="3">
        <v>64</v>
      </c>
      <c r="D3429" s="46" t="str">
        <f>IF(Tabla1[[#This Row],[EDAD]]&lt;=35,"Adultos jóvenes 18 - 35 años",IF(C3429&gt;=36,"Adultos mayores 36 años en adelante"))</f>
        <v>Adultos mayores 36 años en adelante</v>
      </c>
      <c r="E3429" s="3" t="s">
        <v>5019</v>
      </c>
      <c r="F3429" s="3" t="s">
        <v>5028</v>
      </c>
      <c r="G3429" s="3" t="s">
        <v>5036</v>
      </c>
      <c r="H3429" s="3" t="s">
        <v>8694</v>
      </c>
      <c r="I3429" s="17">
        <v>45700</v>
      </c>
      <c r="J3429" s="18">
        <f>YEAR(Tabla1[[#This Row],[FECHA DE COMPRA]])</f>
        <v>2025</v>
      </c>
      <c r="K3429" s="19">
        <v>176.89</v>
      </c>
      <c r="L3429" s="20">
        <v>0.2</v>
      </c>
      <c r="M3429" s="19">
        <f>Tienda!$K3681-Tienda!$K3681*Tienda!$L3681</f>
        <v>122.05200000000002</v>
      </c>
      <c r="N3429" s="3" t="s">
        <v>10040</v>
      </c>
      <c r="O3429" s="3" t="s">
        <v>10042</v>
      </c>
      <c r="P3429" s="17">
        <v>45700</v>
      </c>
      <c r="Q3429" s="4">
        <v>6</v>
      </c>
    </row>
    <row r="3430" spans="1:17" ht="30" x14ac:dyDescent="0.25">
      <c r="A3430" s="2" t="s">
        <v>1345</v>
      </c>
      <c r="B3430" s="3" t="s">
        <v>5015</v>
      </c>
      <c r="C3430" s="3">
        <v>63</v>
      </c>
      <c r="D3430" s="46" t="str">
        <f>IF(Tabla1[[#This Row],[EDAD]]&lt;=35,"Adultos jóvenes 18 - 35 años",IF(C3430&gt;=36,"Adultos mayores 36 años en adelante"))</f>
        <v>Adultos mayores 36 años en adelante</v>
      </c>
      <c r="E3430" s="3" t="s">
        <v>5019</v>
      </c>
      <c r="F3430" s="3" t="s">
        <v>5025</v>
      </c>
      <c r="G3430" s="3" t="s">
        <v>5037</v>
      </c>
      <c r="H3430" s="3" t="s">
        <v>6368</v>
      </c>
      <c r="I3430" s="17">
        <v>45703</v>
      </c>
      <c r="J3430" s="18">
        <f>YEAR(Tabla1[[#This Row],[FECHA DE COMPRA]])</f>
        <v>2025</v>
      </c>
      <c r="K3430" s="19">
        <v>10.68</v>
      </c>
      <c r="L3430" s="20">
        <v>0.1</v>
      </c>
      <c r="M3430" s="19">
        <f>Tienda!$K3683-Tienda!$K3683*Tienda!$L3683</f>
        <v>25.5</v>
      </c>
      <c r="N3430" s="3" t="s">
        <v>10040</v>
      </c>
      <c r="O3430" s="3" t="s">
        <v>10042</v>
      </c>
      <c r="P3430" s="17">
        <v>45703</v>
      </c>
      <c r="Q3430" s="4">
        <v>6</v>
      </c>
    </row>
    <row r="3431" spans="1:17" ht="30" x14ac:dyDescent="0.25">
      <c r="A3431" s="2" t="s">
        <v>190</v>
      </c>
      <c r="B3431" s="3" t="s">
        <v>5016</v>
      </c>
      <c r="C3431" s="3">
        <v>57</v>
      </c>
      <c r="D3431" s="46" t="str">
        <f>IF(Tabla1[[#This Row],[EDAD]]&lt;=35,"Adultos jóvenes 18 - 35 años",IF(C3431&gt;=36,"Adultos mayores 36 años en adelante"))</f>
        <v>Adultos mayores 36 años en adelante</v>
      </c>
      <c r="E3431" s="3" t="s">
        <v>5017</v>
      </c>
      <c r="F3431" s="3" t="s">
        <v>5026</v>
      </c>
      <c r="G3431" s="3" t="s">
        <v>5035</v>
      </c>
      <c r="H3431" s="3" t="s">
        <v>5213</v>
      </c>
      <c r="I3431" s="17">
        <v>45703</v>
      </c>
      <c r="J3431" s="18">
        <f>YEAR(Tabla1[[#This Row],[FECHA DE COMPRA]])</f>
        <v>2025</v>
      </c>
      <c r="K3431" s="19">
        <v>35.94</v>
      </c>
      <c r="L3431" s="20">
        <v>0</v>
      </c>
      <c r="M3431" s="19">
        <f>Tienda!$K3684-Tienda!$K3684*Tienda!$L3684</f>
        <v>27.26</v>
      </c>
      <c r="N3431" s="3" t="s">
        <v>10040</v>
      </c>
      <c r="O3431" s="3" t="s">
        <v>10042</v>
      </c>
      <c r="P3431" s="17">
        <v>45703</v>
      </c>
      <c r="Q3431" s="4">
        <v>6</v>
      </c>
    </row>
    <row r="3432" spans="1:17" ht="30" x14ac:dyDescent="0.25">
      <c r="A3432" s="2" t="s">
        <v>4099</v>
      </c>
      <c r="B3432" s="3" t="s">
        <v>5016</v>
      </c>
      <c r="C3432" s="3">
        <v>48</v>
      </c>
      <c r="D3432" s="46" t="str">
        <f>IF(Tabla1[[#This Row],[EDAD]]&lt;=35,"Adultos jóvenes 18 - 35 años",IF(C3432&gt;=36,"Adultos mayores 36 años en adelante"))</f>
        <v>Adultos mayores 36 años en adelante</v>
      </c>
      <c r="E3432" s="3" t="s">
        <v>5021</v>
      </c>
      <c r="F3432" s="3" t="s">
        <v>5025</v>
      </c>
      <c r="G3432" s="3" t="s">
        <v>5031</v>
      </c>
      <c r="H3432" s="3" t="s">
        <v>9122</v>
      </c>
      <c r="I3432" s="17">
        <v>45703</v>
      </c>
      <c r="J3432" s="18">
        <f>YEAR(Tabla1[[#This Row],[FECHA DE COMPRA]])</f>
        <v>2025</v>
      </c>
      <c r="K3432" s="19">
        <v>163.41</v>
      </c>
      <c r="L3432" s="20">
        <v>0.2</v>
      </c>
      <c r="M3432" s="19">
        <f>Tienda!$K3685-Tienda!$K3685*Tienda!$L3685</f>
        <v>45.32</v>
      </c>
      <c r="N3432" s="3" t="s">
        <v>10040</v>
      </c>
      <c r="O3432" s="3" t="s">
        <v>10042</v>
      </c>
      <c r="P3432" s="17">
        <v>45703</v>
      </c>
      <c r="Q3432" s="4">
        <v>6</v>
      </c>
    </row>
    <row r="3433" spans="1:17" ht="30" x14ac:dyDescent="0.25">
      <c r="A3433" s="2" t="s">
        <v>4636</v>
      </c>
      <c r="B3433" s="3" t="s">
        <v>5016</v>
      </c>
      <c r="C3433" s="3">
        <v>55</v>
      </c>
      <c r="D3433" s="46" t="str">
        <f>IF(Tabla1[[#This Row],[EDAD]]&lt;=35,"Adultos jóvenes 18 - 35 años",IF(C3433&gt;=36,"Adultos mayores 36 años en adelante"))</f>
        <v>Adultos mayores 36 años en adelante</v>
      </c>
      <c r="E3433" s="3" t="s">
        <v>5017</v>
      </c>
      <c r="F3433" s="3" t="s">
        <v>5027</v>
      </c>
      <c r="G3433" s="3" t="s">
        <v>5036</v>
      </c>
      <c r="H3433" s="3" t="s">
        <v>9659</v>
      </c>
      <c r="I3433" s="17">
        <v>45704</v>
      </c>
      <c r="J3433" s="18">
        <f>YEAR(Tabla1[[#This Row],[FECHA DE COMPRA]])</f>
        <v>2025</v>
      </c>
      <c r="K3433" s="19">
        <v>93.12</v>
      </c>
      <c r="L3433" s="20">
        <v>0.1</v>
      </c>
      <c r="M3433" s="19">
        <f>Tienda!$K3686-Tienda!$K3686*Tienda!$L3686</f>
        <v>66.290000000000006</v>
      </c>
      <c r="N3433" s="3" t="s">
        <v>10040</v>
      </c>
      <c r="O3433" s="3" t="s">
        <v>10042</v>
      </c>
      <c r="P3433" s="17">
        <v>45704</v>
      </c>
      <c r="Q3433" s="4">
        <v>6</v>
      </c>
    </row>
    <row r="3434" spans="1:17" ht="30" x14ac:dyDescent="0.25">
      <c r="A3434" s="2" t="s">
        <v>4188</v>
      </c>
      <c r="B3434" s="3" t="s">
        <v>5015</v>
      </c>
      <c r="C3434" s="3">
        <v>55</v>
      </c>
      <c r="D3434" s="46" t="str">
        <f>IF(Tabla1[[#This Row],[EDAD]]&lt;=35,"Adultos jóvenes 18 - 35 años",IF(C3434&gt;=36,"Adultos mayores 36 años en adelante"))</f>
        <v>Adultos mayores 36 años en adelante</v>
      </c>
      <c r="E3434" s="3" t="s">
        <v>5020</v>
      </c>
      <c r="F3434" s="3" t="s">
        <v>5030</v>
      </c>
      <c r="G3434" s="3" t="s">
        <v>5031</v>
      </c>
      <c r="H3434" s="3" t="s">
        <v>9211</v>
      </c>
      <c r="I3434" s="17">
        <v>45707</v>
      </c>
      <c r="J3434" s="18">
        <f>YEAR(Tabla1[[#This Row],[FECHA DE COMPRA]])</f>
        <v>2025</v>
      </c>
      <c r="K3434" s="19">
        <v>34.119999999999997</v>
      </c>
      <c r="L3434" s="20">
        <v>0.1</v>
      </c>
      <c r="M3434" s="19">
        <f>Tienda!$K3688-Tienda!$K3688*Tienda!$L3688</f>
        <v>77.775999999999996</v>
      </c>
      <c r="N3434" s="3" t="s">
        <v>10040</v>
      </c>
      <c r="O3434" s="3" t="s">
        <v>10042</v>
      </c>
      <c r="P3434" s="17">
        <v>45707</v>
      </c>
      <c r="Q3434" s="4">
        <v>6</v>
      </c>
    </row>
    <row r="3435" spans="1:17" ht="30" x14ac:dyDescent="0.25">
      <c r="A3435" s="2" t="s">
        <v>236</v>
      </c>
      <c r="B3435" s="3" t="s">
        <v>5015</v>
      </c>
      <c r="C3435" s="3">
        <v>41</v>
      </c>
      <c r="D3435" s="46" t="str">
        <f>IF(Tabla1[[#This Row],[EDAD]]&lt;=35,"Adultos jóvenes 18 - 35 años",IF(C3435&gt;=36,"Adultos mayores 36 años en adelante"))</f>
        <v>Adultos mayores 36 años en adelante</v>
      </c>
      <c r="E3435" s="3" t="s">
        <v>5022</v>
      </c>
      <c r="F3435" s="3" t="s">
        <v>5030</v>
      </c>
      <c r="G3435" s="3" t="s">
        <v>5033</v>
      </c>
      <c r="H3435" s="3" t="s">
        <v>5259</v>
      </c>
      <c r="I3435" s="17">
        <v>45712</v>
      </c>
      <c r="J3435" s="18">
        <f>YEAR(Tabla1[[#This Row],[FECHA DE COMPRA]])</f>
        <v>2025</v>
      </c>
      <c r="K3435" s="19">
        <v>57.83</v>
      </c>
      <c r="L3435" s="20">
        <v>0.3</v>
      </c>
      <c r="M3435" s="19">
        <f>Tienda!$K3692-Tienda!$K3692*Tienda!$L3692</f>
        <v>88</v>
      </c>
      <c r="N3435" s="3" t="s">
        <v>10040</v>
      </c>
      <c r="O3435" s="3" t="s">
        <v>10042</v>
      </c>
      <c r="P3435" s="17">
        <v>45712</v>
      </c>
      <c r="Q3435" s="4">
        <v>3</v>
      </c>
    </row>
    <row r="3436" spans="1:17" ht="30" x14ac:dyDescent="0.25">
      <c r="A3436" s="2" t="s">
        <v>2876</v>
      </c>
      <c r="B3436" s="3" t="s">
        <v>5015</v>
      </c>
      <c r="C3436" s="3">
        <v>50</v>
      </c>
      <c r="D3436" s="46" t="str">
        <f>IF(Tabla1[[#This Row],[EDAD]]&lt;=35,"Adultos jóvenes 18 - 35 años",IF(C3436&gt;=36,"Adultos mayores 36 años en adelante"))</f>
        <v>Adultos mayores 36 años en adelante</v>
      </c>
      <c r="E3436" s="3" t="s">
        <v>5018</v>
      </c>
      <c r="F3436" s="3" t="s">
        <v>5028</v>
      </c>
      <c r="G3436" s="3" t="s">
        <v>5036</v>
      </c>
      <c r="H3436" s="3" t="s">
        <v>7899</v>
      </c>
      <c r="I3436" s="17">
        <v>45713</v>
      </c>
      <c r="J3436" s="18">
        <f>YEAR(Tabla1[[#This Row],[FECHA DE COMPRA]])</f>
        <v>2025</v>
      </c>
      <c r="K3436" s="19">
        <v>35.29</v>
      </c>
      <c r="L3436" s="20">
        <v>0.1</v>
      </c>
      <c r="M3436" s="19">
        <f>Tienda!$K3693-Tienda!$K3693*Tienda!$L3693</f>
        <v>99.111999999999995</v>
      </c>
      <c r="N3436" s="3" t="s">
        <v>10040</v>
      </c>
      <c r="O3436" s="3" t="s">
        <v>10042</v>
      </c>
      <c r="P3436" s="17">
        <v>45713</v>
      </c>
      <c r="Q3436" s="4">
        <v>3</v>
      </c>
    </row>
    <row r="3437" spans="1:17" ht="30" x14ac:dyDescent="0.25">
      <c r="A3437" s="2" t="s">
        <v>853</v>
      </c>
      <c r="B3437" s="3" t="s">
        <v>5016</v>
      </c>
      <c r="C3437" s="3">
        <v>47</v>
      </c>
      <c r="D3437" s="46" t="str">
        <f>IF(Tabla1[[#This Row],[EDAD]]&lt;=35,"Adultos jóvenes 18 - 35 años",IF(C3437&gt;=36,"Adultos mayores 36 años en adelante"))</f>
        <v>Adultos mayores 36 años en adelante</v>
      </c>
      <c r="E3437" s="3" t="s">
        <v>5021</v>
      </c>
      <c r="F3437" s="3" t="s">
        <v>5026</v>
      </c>
      <c r="G3437" s="3" t="s">
        <v>5036</v>
      </c>
      <c r="H3437" s="3" t="s">
        <v>5876</v>
      </c>
      <c r="I3437" s="17">
        <v>45716</v>
      </c>
      <c r="J3437" s="18">
        <f>YEAR(Tabla1[[#This Row],[FECHA DE COMPRA]])</f>
        <v>2025</v>
      </c>
      <c r="K3437" s="19">
        <v>49.34</v>
      </c>
      <c r="L3437" s="20">
        <v>0.2</v>
      </c>
      <c r="M3437" s="19">
        <f>Tienda!$K3695-Tienda!$K3695*Tienda!$L3695</f>
        <v>136.976</v>
      </c>
      <c r="N3437" s="3" t="s">
        <v>10040</v>
      </c>
      <c r="O3437" s="3" t="s">
        <v>10042</v>
      </c>
      <c r="P3437" s="17">
        <v>45716</v>
      </c>
      <c r="Q3437" s="4">
        <v>3</v>
      </c>
    </row>
    <row r="3438" spans="1:17" ht="30" x14ac:dyDescent="0.25">
      <c r="A3438" s="2" t="s">
        <v>1616</v>
      </c>
      <c r="B3438" s="3" t="s">
        <v>5016</v>
      </c>
      <c r="C3438" s="3">
        <v>57</v>
      </c>
      <c r="D3438" s="46" t="str">
        <f>IF(Tabla1[[#This Row],[EDAD]]&lt;=35,"Adultos jóvenes 18 - 35 años",IF(C3438&gt;=36,"Adultos mayores 36 años en adelante"))</f>
        <v>Adultos mayores 36 años en adelante</v>
      </c>
      <c r="E3438" s="3" t="s">
        <v>5021</v>
      </c>
      <c r="F3438" s="3" t="s">
        <v>5027</v>
      </c>
      <c r="G3438" s="3" t="s">
        <v>5032</v>
      </c>
      <c r="H3438" s="3" t="s">
        <v>6639</v>
      </c>
      <c r="I3438" s="17">
        <v>45716</v>
      </c>
      <c r="J3438" s="18">
        <f>YEAR(Tabla1[[#This Row],[FECHA DE COMPRA]])</f>
        <v>2025</v>
      </c>
      <c r="K3438" s="19">
        <v>198.5</v>
      </c>
      <c r="L3438" s="20">
        <v>0.2</v>
      </c>
      <c r="M3438" s="19">
        <f>Tienda!$K3696-Tienda!$K3696*Tienda!$L3696</f>
        <v>175.91</v>
      </c>
      <c r="N3438" s="3" t="s">
        <v>10040</v>
      </c>
      <c r="O3438" s="3" t="s">
        <v>10042</v>
      </c>
      <c r="P3438" s="17">
        <v>45716</v>
      </c>
      <c r="Q3438" s="4">
        <v>3</v>
      </c>
    </row>
    <row r="3439" spans="1:17" ht="30" x14ac:dyDescent="0.25">
      <c r="A3439" s="2" t="s">
        <v>1970</v>
      </c>
      <c r="B3439" s="3" t="s">
        <v>5015</v>
      </c>
      <c r="C3439" s="3">
        <v>56</v>
      </c>
      <c r="D3439" s="46" t="str">
        <f>IF(Tabla1[[#This Row],[EDAD]]&lt;=35,"Adultos jóvenes 18 - 35 años",IF(C3439&gt;=36,"Adultos mayores 36 años en adelante"))</f>
        <v>Adultos mayores 36 años en adelante</v>
      </c>
      <c r="E3439" s="3" t="s">
        <v>5020</v>
      </c>
      <c r="F3439" s="3" t="s">
        <v>5026</v>
      </c>
      <c r="G3439" s="3" t="s">
        <v>5036</v>
      </c>
      <c r="H3439" s="3" t="s">
        <v>6993</v>
      </c>
      <c r="I3439" s="17">
        <v>45728</v>
      </c>
      <c r="J3439" s="18">
        <f>YEAR(Tabla1[[#This Row],[FECHA DE COMPRA]])</f>
        <v>2025</v>
      </c>
      <c r="K3439" s="19">
        <v>11.64</v>
      </c>
      <c r="L3439" s="20">
        <v>0.1</v>
      </c>
      <c r="M3439" s="19">
        <f>Tienda!$K3697-Tienda!$K3697*Tienda!$L3697</f>
        <v>155.14400000000001</v>
      </c>
      <c r="N3439" s="3" t="s">
        <v>10040</v>
      </c>
      <c r="O3439" s="3" t="s">
        <v>10042</v>
      </c>
      <c r="P3439" s="17">
        <v>45728</v>
      </c>
      <c r="Q3439" s="4">
        <v>3</v>
      </c>
    </row>
    <row r="3440" spans="1:17" ht="30" x14ac:dyDescent="0.25">
      <c r="A3440" s="2" t="s">
        <v>2205</v>
      </c>
      <c r="B3440" s="3" t="s">
        <v>5016</v>
      </c>
      <c r="C3440" s="3">
        <v>41</v>
      </c>
      <c r="D3440" s="46" t="str">
        <f>IF(Tabla1[[#This Row],[EDAD]]&lt;=35,"Adultos jóvenes 18 - 35 años",IF(C3440&gt;=36,"Adultos mayores 36 años en adelante"))</f>
        <v>Adultos mayores 36 años en adelante</v>
      </c>
      <c r="E3440" s="3" t="s">
        <v>5023</v>
      </c>
      <c r="F3440" s="3" t="s">
        <v>5024</v>
      </c>
      <c r="G3440" s="3" t="s">
        <v>5036</v>
      </c>
      <c r="H3440" s="3" t="s">
        <v>7228</v>
      </c>
      <c r="I3440" s="17">
        <v>45719</v>
      </c>
      <c r="J3440" s="18">
        <f>YEAR(Tabla1[[#This Row],[FECHA DE COMPRA]])</f>
        <v>2025</v>
      </c>
      <c r="K3440" s="19">
        <v>19.72</v>
      </c>
      <c r="L3440" s="20">
        <v>0</v>
      </c>
      <c r="M3440" s="19">
        <f>Tienda!$K3698-Tienda!$K3698*Tienda!$L3698</f>
        <v>19.143000000000001</v>
      </c>
      <c r="N3440" s="3" t="s">
        <v>10040</v>
      </c>
      <c r="O3440" s="3" t="s">
        <v>10042</v>
      </c>
      <c r="P3440" s="17">
        <v>45719</v>
      </c>
      <c r="Q3440" s="4">
        <v>3</v>
      </c>
    </row>
    <row r="3441" spans="1:17" ht="30" x14ac:dyDescent="0.25">
      <c r="A3441" s="2" t="s">
        <v>2378</v>
      </c>
      <c r="B3441" s="3" t="s">
        <v>5016</v>
      </c>
      <c r="C3441" s="3">
        <v>42</v>
      </c>
      <c r="D3441" s="46" t="str">
        <f>IF(Tabla1[[#This Row],[EDAD]]&lt;=35,"Adultos jóvenes 18 - 35 años",IF(C3441&gt;=36,"Adultos mayores 36 años en adelante"))</f>
        <v>Adultos mayores 36 años en adelante</v>
      </c>
      <c r="E3441" s="3" t="s">
        <v>5017</v>
      </c>
      <c r="F3441" s="3" t="s">
        <v>5027</v>
      </c>
      <c r="G3441" s="3" t="s">
        <v>5032</v>
      </c>
      <c r="H3441" s="3" t="s">
        <v>7401</v>
      </c>
      <c r="I3441" s="17">
        <v>45729</v>
      </c>
      <c r="J3441" s="18">
        <f>YEAR(Tabla1[[#This Row],[FECHA DE COMPRA]])</f>
        <v>2025</v>
      </c>
      <c r="K3441" s="19">
        <v>23.58</v>
      </c>
      <c r="L3441" s="20">
        <v>0.3</v>
      </c>
      <c r="M3441" s="19">
        <f>Tienda!$K3699-Tienda!$K3699*Tienda!$L3699</f>
        <v>27.560000000000002</v>
      </c>
      <c r="N3441" s="3" t="s">
        <v>10040</v>
      </c>
      <c r="O3441" s="3" t="s">
        <v>10042</v>
      </c>
      <c r="P3441" s="17">
        <v>45729</v>
      </c>
      <c r="Q3441" s="4">
        <v>3</v>
      </c>
    </row>
    <row r="3442" spans="1:17" ht="30" x14ac:dyDescent="0.25">
      <c r="A3442" s="2" t="s">
        <v>809</v>
      </c>
      <c r="B3442" s="3" t="s">
        <v>5015</v>
      </c>
      <c r="C3442" s="3">
        <v>57</v>
      </c>
      <c r="D3442" s="46" t="str">
        <f>IF(Tabla1[[#This Row],[EDAD]]&lt;=35,"Adultos jóvenes 18 - 35 años",IF(C3442&gt;=36,"Adultos mayores 36 años en adelante"))</f>
        <v>Adultos mayores 36 años en adelante</v>
      </c>
      <c r="E3442" s="3" t="s">
        <v>5021</v>
      </c>
      <c r="F3442" s="3" t="s">
        <v>5025</v>
      </c>
      <c r="G3442" s="3" t="s">
        <v>5031</v>
      </c>
      <c r="H3442" s="3" t="s">
        <v>5832</v>
      </c>
      <c r="I3442" s="17">
        <v>45718</v>
      </c>
      <c r="J3442" s="18">
        <f>YEAR(Tabla1[[#This Row],[FECHA DE COMPRA]])</f>
        <v>2025</v>
      </c>
      <c r="K3442" s="19">
        <v>34.229999999999997</v>
      </c>
      <c r="L3442" s="20">
        <v>0.3</v>
      </c>
      <c r="M3442" s="19">
        <f>Tienda!$K3700-Tienda!$K3700*Tienda!$L3700</f>
        <v>34.460999999999999</v>
      </c>
      <c r="N3442" s="3" t="s">
        <v>10040</v>
      </c>
      <c r="O3442" s="3" t="s">
        <v>10042</v>
      </c>
      <c r="P3442" s="17">
        <v>45718</v>
      </c>
      <c r="Q3442" s="4">
        <v>3</v>
      </c>
    </row>
    <row r="3443" spans="1:17" ht="30" x14ac:dyDescent="0.25">
      <c r="A3443" s="2" t="s">
        <v>4584</v>
      </c>
      <c r="B3443" s="3" t="s">
        <v>5016</v>
      </c>
      <c r="C3443" s="3">
        <v>58</v>
      </c>
      <c r="D3443" s="46" t="str">
        <f>IF(Tabla1[[#This Row],[EDAD]]&lt;=35,"Adultos jóvenes 18 - 35 años",IF(C3443&gt;=36,"Adultos mayores 36 años en adelante"))</f>
        <v>Adultos mayores 36 años en adelante</v>
      </c>
      <c r="E3443" s="3" t="s">
        <v>5019</v>
      </c>
      <c r="F3443" s="3" t="s">
        <v>5028</v>
      </c>
      <c r="G3443" s="3" t="s">
        <v>5033</v>
      </c>
      <c r="H3443" s="3" t="s">
        <v>9607</v>
      </c>
      <c r="I3443" s="17">
        <v>45734</v>
      </c>
      <c r="J3443" s="18">
        <f>YEAR(Tabla1[[#This Row],[FECHA DE COMPRA]])</f>
        <v>2025</v>
      </c>
      <c r="K3443" s="19">
        <v>42.76</v>
      </c>
      <c r="L3443" s="20">
        <v>0</v>
      </c>
      <c r="M3443" s="19">
        <f>Tienda!$K3701-Tienda!$K3701*Tienda!$L3701</f>
        <v>65.544000000000011</v>
      </c>
      <c r="N3443" s="3" t="s">
        <v>10040</v>
      </c>
      <c r="O3443" s="3" t="s">
        <v>10042</v>
      </c>
      <c r="P3443" s="17">
        <v>45734</v>
      </c>
      <c r="Q3443" s="4">
        <v>3</v>
      </c>
    </row>
    <row r="3444" spans="1:17" ht="30" x14ac:dyDescent="0.25">
      <c r="A3444" s="2" t="s">
        <v>2566</v>
      </c>
      <c r="B3444" s="3" t="s">
        <v>5015</v>
      </c>
      <c r="C3444" s="3">
        <v>60</v>
      </c>
      <c r="D3444" s="46" t="str">
        <f>IF(Tabla1[[#This Row],[EDAD]]&lt;=35,"Adultos jóvenes 18 - 35 años",IF(C3444&gt;=36,"Adultos mayores 36 años en adelante"))</f>
        <v>Adultos mayores 36 años en adelante</v>
      </c>
      <c r="E3444" s="3" t="s">
        <v>5020</v>
      </c>
      <c r="F3444" s="3" t="s">
        <v>5025</v>
      </c>
      <c r="G3444" s="3" t="s">
        <v>5032</v>
      </c>
      <c r="H3444" s="3" t="s">
        <v>7589</v>
      </c>
      <c r="I3444" s="17">
        <v>45744</v>
      </c>
      <c r="J3444" s="18">
        <f>YEAR(Tabla1[[#This Row],[FECHA DE COMPRA]])</f>
        <v>2025</v>
      </c>
      <c r="K3444" s="19">
        <v>51.14</v>
      </c>
      <c r="L3444" s="20">
        <v>0.1</v>
      </c>
      <c r="M3444" s="19">
        <f>Tienda!$K3702-Tienda!$K3702*Tienda!$L3702</f>
        <v>69.103999999999999</v>
      </c>
      <c r="N3444" s="3" t="s">
        <v>10040</v>
      </c>
      <c r="O3444" s="3" t="s">
        <v>10042</v>
      </c>
      <c r="P3444" s="17">
        <v>45744</v>
      </c>
      <c r="Q3444" s="4">
        <v>6</v>
      </c>
    </row>
    <row r="3445" spans="1:17" ht="30" x14ac:dyDescent="0.25">
      <c r="A3445" s="2" t="s">
        <v>377</v>
      </c>
      <c r="B3445" s="3" t="s">
        <v>5016</v>
      </c>
      <c r="C3445" s="3">
        <v>40</v>
      </c>
      <c r="D3445" s="46" t="str">
        <f>IF(Tabla1[[#This Row],[EDAD]]&lt;=35,"Adultos jóvenes 18 - 35 años",IF(C3445&gt;=36,"Adultos mayores 36 años en adelante"))</f>
        <v>Adultos mayores 36 años en adelante</v>
      </c>
      <c r="E3445" s="3" t="s">
        <v>5017</v>
      </c>
      <c r="F3445" s="3" t="s">
        <v>5028</v>
      </c>
      <c r="G3445" s="3" t="s">
        <v>5031</v>
      </c>
      <c r="H3445" s="3" t="s">
        <v>5400</v>
      </c>
      <c r="I3445" s="17">
        <v>45727</v>
      </c>
      <c r="J3445" s="18">
        <f>YEAR(Tabla1[[#This Row],[FECHA DE COMPRA]])</f>
        <v>2025</v>
      </c>
      <c r="K3445" s="19">
        <v>55.47</v>
      </c>
      <c r="L3445" s="20">
        <v>0.3</v>
      </c>
      <c r="M3445" s="19">
        <f>Tienda!$K3703-Tienda!$K3703*Tienda!$L3703</f>
        <v>109.06400000000001</v>
      </c>
      <c r="N3445" s="3" t="s">
        <v>10040</v>
      </c>
      <c r="O3445" s="3" t="s">
        <v>10042</v>
      </c>
      <c r="P3445" s="17">
        <v>45727</v>
      </c>
      <c r="Q3445" s="4">
        <v>6</v>
      </c>
    </row>
    <row r="3446" spans="1:17" ht="30" x14ac:dyDescent="0.25">
      <c r="A3446" s="2" t="s">
        <v>1937</v>
      </c>
      <c r="B3446" s="3" t="s">
        <v>5015</v>
      </c>
      <c r="C3446" s="3">
        <v>46</v>
      </c>
      <c r="D3446" s="46" t="str">
        <f>IF(Tabla1[[#This Row],[EDAD]]&lt;=35,"Adultos jóvenes 18 - 35 años",IF(C3446&gt;=36,"Adultos mayores 36 años en adelante"))</f>
        <v>Adultos mayores 36 años en adelante</v>
      </c>
      <c r="E3446" s="3" t="s">
        <v>5017</v>
      </c>
      <c r="F3446" s="3" t="s">
        <v>5029</v>
      </c>
      <c r="G3446" s="3" t="s">
        <v>5033</v>
      </c>
      <c r="H3446" s="3" t="s">
        <v>6960</v>
      </c>
      <c r="I3446" s="17">
        <v>45720</v>
      </c>
      <c r="J3446" s="18">
        <f>YEAR(Tabla1[[#This Row],[FECHA DE COMPRA]])</f>
        <v>2025</v>
      </c>
      <c r="K3446" s="19">
        <v>57.97</v>
      </c>
      <c r="L3446" s="20">
        <v>0</v>
      </c>
      <c r="M3446" s="19">
        <f>Tienda!$K3704-Tienda!$K3704*Tienda!$L3704</f>
        <v>139.5</v>
      </c>
      <c r="N3446" s="3" t="s">
        <v>10040</v>
      </c>
      <c r="O3446" s="3" t="s">
        <v>10042</v>
      </c>
      <c r="P3446" s="17">
        <v>45720</v>
      </c>
      <c r="Q3446" s="4">
        <v>6</v>
      </c>
    </row>
    <row r="3447" spans="1:17" ht="30" x14ac:dyDescent="0.25">
      <c r="A3447" s="2" t="s">
        <v>3054</v>
      </c>
      <c r="B3447" s="3" t="s">
        <v>5015</v>
      </c>
      <c r="C3447" s="3">
        <v>38</v>
      </c>
      <c r="D3447" s="46" t="str">
        <f>IF(Tabla1[[#This Row],[EDAD]]&lt;=35,"Adultos jóvenes 18 - 35 años",IF(C3447&gt;=36,"Adultos mayores 36 años en adelante"))</f>
        <v>Adultos mayores 36 años en adelante</v>
      </c>
      <c r="E3447" s="3" t="s">
        <v>5020</v>
      </c>
      <c r="F3447" s="3" t="s">
        <v>5028</v>
      </c>
      <c r="G3447" s="3" t="s">
        <v>5034</v>
      </c>
      <c r="H3447" s="3" t="s">
        <v>8077</v>
      </c>
      <c r="I3447" s="17">
        <v>45718</v>
      </c>
      <c r="J3447" s="18">
        <f>YEAR(Tabla1[[#This Row],[FECHA DE COMPRA]])</f>
        <v>2025</v>
      </c>
      <c r="K3447" s="19">
        <v>62.39</v>
      </c>
      <c r="L3447" s="20">
        <v>0.2</v>
      </c>
      <c r="M3447" s="19">
        <f>Tienda!$K3706-Tienda!$K3706*Tienda!$L3706</f>
        <v>56.576000000000001</v>
      </c>
      <c r="N3447" s="3" t="s">
        <v>10040</v>
      </c>
      <c r="O3447" s="3" t="s">
        <v>10042</v>
      </c>
      <c r="P3447" s="17">
        <v>45718</v>
      </c>
      <c r="Q3447" s="4">
        <v>6</v>
      </c>
    </row>
    <row r="3448" spans="1:17" ht="30" x14ac:dyDescent="0.25">
      <c r="A3448" s="2" t="s">
        <v>2555</v>
      </c>
      <c r="B3448" s="3" t="s">
        <v>5015</v>
      </c>
      <c r="C3448" s="3">
        <v>47</v>
      </c>
      <c r="D3448" s="46" t="str">
        <f>IF(Tabla1[[#This Row],[EDAD]]&lt;=35,"Adultos jóvenes 18 - 35 años",IF(C3448&gt;=36,"Adultos mayores 36 años en adelante"))</f>
        <v>Adultos mayores 36 años en adelante</v>
      </c>
      <c r="E3448" s="3" t="s">
        <v>5022</v>
      </c>
      <c r="F3448" s="3" t="s">
        <v>5024</v>
      </c>
      <c r="G3448" s="3" t="s">
        <v>5033</v>
      </c>
      <c r="H3448" s="3" t="s">
        <v>7578</v>
      </c>
      <c r="I3448" s="17">
        <v>45729</v>
      </c>
      <c r="J3448" s="18">
        <f>YEAR(Tabla1[[#This Row],[FECHA DE COMPRA]])</f>
        <v>2025</v>
      </c>
      <c r="K3448" s="19">
        <v>64.959999999999994</v>
      </c>
      <c r="L3448" s="20">
        <v>0.3</v>
      </c>
      <c r="M3448" s="19">
        <f>Tienda!$K3707-Tienda!$K3707*Tienda!$L3707</f>
        <v>81.96</v>
      </c>
      <c r="N3448" s="3" t="s">
        <v>10040</v>
      </c>
      <c r="O3448" s="3" t="s">
        <v>10042</v>
      </c>
      <c r="P3448" s="17">
        <v>45729</v>
      </c>
      <c r="Q3448" s="4">
        <v>6</v>
      </c>
    </row>
    <row r="3449" spans="1:17" ht="30" x14ac:dyDescent="0.25">
      <c r="A3449" s="2" t="s">
        <v>1111</v>
      </c>
      <c r="B3449" s="3" t="s">
        <v>5015</v>
      </c>
      <c r="C3449" s="3">
        <v>65</v>
      </c>
      <c r="D3449" s="46" t="str">
        <f>IF(Tabla1[[#This Row],[EDAD]]&lt;=35,"Adultos jóvenes 18 - 35 años",IF(C3449&gt;=36,"Adultos mayores 36 años en adelante"))</f>
        <v>Adultos mayores 36 años en adelante</v>
      </c>
      <c r="E3449" s="3" t="s">
        <v>5022</v>
      </c>
      <c r="F3449" s="3" t="s">
        <v>5029</v>
      </c>
      <c r="G3449" s="3" t="s">
        <v>5036</v>
      </c>
      <c r="H3449" s="3" t="s">
        <v>6134</v>
      </c>
      <c r="I3449" s="17">
        <v>45728</v>
      </c>
      <c r="J3449" s="18">
        <f>YEAR(Tabla1[[#This Row],[FECHA DE COMPRA]])</f>
        <v>2025</v>
      </c>
      <c r="K3449" s="19">
        <v>68.290000000000006</v>
      </c>
      <c r="L3449" s="20">
        <v>0.1</v>
      </c>
      <c r="M3449" s="19">
        <f>Tienda!$K3708-Tienda!$K3708*Tienda!$L3708</f>
        <v>103.878</v>
      </c>
      <c r="N3449" s="3" t="s">
        <v>10040</v>
      </c>
      <c r="O3449" s="3" t="s">
        <v>10042</v>
      </c>
      <c r="P3449" s="17">
        <v>45728</v>
      </c>
      <c r="Q3449" s="4">
        <v>6</v>
      </c>
    </row>
    <row r="3450" spans="1:17" ht="30" x14ac:dyDescent="0.25">
      <c r="A3450" s="2" t="s">
        <v>3591</v>
      </c>
      <c r="B3450" s="3" t="s">
        <v>5015</v>
      </c>
      <c r="C3450" s="3">
        <v>44</v>
      </c>
      <c r="D3450" s="46" t="str">
        <f>IF(Tabla1[[#This Row],[EDAD]]&lt;=35,"Adultos jóvenes 18 - 35 años",IF(C3450&gt;=36,"Adultos mayores 36 años en adelante"))</f>
        <v>Adultos mayores 36 años en adelante</v>
      </c>
      <c r="E3450" s="3" t="s">
        <v>5017</v>
      </c>
      <c r="F3450" s="3" t="s">
        <v>5030</v>
      </c>
      <c r="G3450" s="3" t="s">
        <v>5033</v>
      </c>
      <c r="H3450" s="3" t="s">
        <v>8614</v>
      </c>
      <c r="I3450" s="17">
        <v>45726</v>
      </c>
      <c r="J3450" s="18">
        <f>YEAR(Tabla1[[#This Row],[FECHA DE COMPRA]])</f>
        <v>2025</v>
      </c>
      <c r="K3450" s="19">
        <v>77.19</v>
      </c>
      <c r="L3450" s="20">
        <v>0</v>
      </c>
      <c r="M3450" s="19">
        <f>Tienda!$K3710-Tienda!$K3710*Tienda!$L3710</f>
        <v>179.83799999999999</v>
      </c>
      <c r="N3450" s="3" t="s">
        <v>10040</v>
      </c>
      <c r="O3450" s="3" t="s">
        <v>10042</v>
      </c>
      <c r="P3450" s="17">
        <v>45726</v>
      </c>
      <c r="Q3450" s="4">
        <v>6</v>
      </c>
    </row>
    <row r="3451" spans="1:17" ht="30" x14ac:dyDescent="0.25">
      <c r="A3451" s="2" t="s">
        <v>430</v>
      </c>
      <c r="B3451" s="3" t="s">
        <v>5015</v>
      </c>
      <c r="C3451" s="3">
        <v>44</v>
      </c>
      <c r="D3451" s="46" t="str">
        <f>IF(Tabla1[[#This Row],[EDAD]]&lt;=35,"Adultos jóvenes 18 - 35 años",IF(C3451&gt;=36,"Adultos mayores 36 años en adelante"))</f>
        <v>Adultos mayores 36 años en adelante</v>
      </c>
      <c r="E3451" s="3" t="s">
        <v>5021</v>
      </c>
      <c r="F3451" s="3" t="s">
        <v>5028</v>
      </c>
      <c r="G3451" s="3" t="s">
        <v>5035</v>
      </c>
      <c r="H3451" s="3" t="s">
        <v>5453</v>
      </c>
      <c r="I3451" s="17">
        <v>45727</v>
      </c>
      <c r="J3451" s="18">
        <f>YEAR(Tabla1[[#This Row],[FECHA DE COMPRA]])</f>
        <v>2025</v>
      </c>
      <c r="K3451" s="19">
        <v>83.27</v>
      </c>
      <c r="L3451" s="20">
        <v>0</v>
      </c>
      <c r="M3451" s="19">
        <f>Tienda!$K3713-Tienda!$K3713*Tienda!$L3713</f>
        <v>109.512</v>
      </c>
      <c r="N3451" s="3" t="s">
        <v>10040</v>
      </c>
      <c r="O3451" s="3" t="s">
        <v>10042</v>
      </c>
      <c r="P3451" s="17">
        <v>45727</v>
      </c>
      <c r="Q3451" s="4">
        <v>3</v>
      </c>
    </row>
    <row r="3452" spans="1:17" ht="30" x14ac:dyDescent="0.25">
      <c r="A3452" s="2" t="s">
        <v>3456</v>
      </c>
      <c r="B3452" s="3" t="s">
        <v>5016</v>
      </c>
      <c r="C3452" s="3">
        <v>39</v>
      </c>
      <c r="D3452" s="46" t="str">
        <f>IF(Tabla1[[#This Row],[EDAD]]&lt;=35,"Adultos jóvenes 18 - 35 años",IF(C3452&gt;=36,"Adultos mayores 36 años en adelante"))</f>
        <v>Adultos mayores 36 años en adelante</v>
      </c>
      <c r="E3452" s="3" t="s">
        <v>5023</v>
      </c>
      <c r="F3452" s="3" t="s">
        <v>5026</v>
      </c>
      <c r="G3452" s="3" t="s">
        <v>5034</v>
      </c>
      <c r="H3452" s="3" t="s">
        <v>8479</v>
      </c>
      <c r="I3452" s="17">
        <v>45737</v>
      </c>
      <c r="J3452" s="18">
        <f>YEAR(Tabla1[[#This Row],[FECHA DE COMPRA]])</f>
        <v>2025</v>
      </c>
      <c r="K3452" s="19">
        <v>85.97</v>
      </c>
      <c r="L3452" s="20">
        <v>0</v>
      </c>
      <c r="M3452" s="19">
        <f>Tienda!$K3714-Tienda!$K3714*Tienda!$L3714</f>
        <v>129.51</v>
      </c>
      <c r="N3452" s="3" t="s">
        <v>10040</v>
      </c>
      <c r="O3452" s="3" t="s">
        <v>10042</v>
      </c>
      <c r="P3452" s="17">
        <v>45737</v>
      </c>
      <c r="Q3452" s="4">
        <v>3</v>
      </c>
    </row>
    <row r="3453" spans="1:17" ht="30" x14ac:dyDescent="0.25">
      <c r="A3453" s="2" t="s">
        <v>2175</v>
      </c>
      <c r="B3453" s="3" t="s">
        <v>5015</v>
      </c>
      <c r="C3453" s="3">
        <v>51</v>
      </c>
      <c r="D3453" s="46" t="str">
        <f>IF(Tabla1[[#This Row],[EDAD]]&lt;=35,"Adultos jóvenes 18 - 35 años",IF(C3453&gt;=36,"Adultos mayores 36 años en adelante"))</f>
        <v>Adultos mayores 36 años en adelante</v>
      </c>
      <c r="E3453" s="3" t="s">
        <v>5020</v>
      </c>
      <c r="F3453" s="3" t="s">
        <v>5024</v>
      </c>
      <c r="G3453" s="3" t="s">
        <v>5036</v>
      </c>
      <c r="H3453" s="3" t="s">
        <v>7198</v>
      </c>
      <c r="I3453" s="17">
        <v>45725</v>
      </c>
      <c r="J3453" s="18">
        <f>YEAR(Tabla1[[#This Row],[FECHA DE COMPRA]])</f>
        <v>2025</v>
      </c>
      <c r="K3453" s="19">
        <v>86.28</v>
      </c>
      <c r="L3453" s="20">
        <v>0.1</v>
      </c>
      <c r="M3453" s="19">
        <f>Tienda!$K3715-Tienda!$K3715*Tienda!$L3715</f>
        <v>137.47200000000001</v>
      </c>
      <c r="N3453" s="3" t="s">
        <v>10040</v>
      </c>
      <c r="O3453" s="3" t="s">
        <v>10042</v>
      </c>
      <c r="P3453" s="17">
        <v>45725</v>
      </c>
      <c r="Q3453" s="4">
        <v>3</v>
      </c>
    </row>
    <row r="3454" spans="1:17" ht="30" x14ac:dyDescent="0.25">
      <c r="A3454" s="2" t="s">
        <v>4999</v>
      </c>
      <c r="B3454" s="3" t="s">
        <v>5015</v>
      </c>
      <c r="C3454" s="3">
        <v>60</v>
      </c>
      <c r="D3454" s="46" t="str">
        <f>IF(Tabla1[[#This Row],[EDAD]]&lt;=35,"Adultos jóvenes 18 - 35 años",IF(C3454&gt;=36,"Adultos mayores 36 años en adelante"))</f>
        <v>Adultos mayores 36 años en adelante</v>
      </c>
      <c r="E3454" s="3" t="s">
        <v>5022</v>
      </c>
      <c r="F3454" s="3" t="s">
        <v>5030</v>
      </c>
      <c r="G3454" s="3" t="s">
        <v>5031</v>
      </c>
      <c r="H3454" s="3" t="s">
        <v>10022</v>
      </c>
      <c r="I3454" s="17">
        <v>45723</v>
      </c>
      <c r="J3454" s="18">
        <f>YEAR(Tabla1[[#This Row],[FECHA DE COMPRA]])</f>
        <v>2025</v>
      </c>
      <c r="K3454" s="19">
        <v>99.93</v>
      </c>
      <c r="L3454" s="20">
        <v>0.1</v>
      </c>
      <c r="M3454" s="19">
        <f>Tienda!$K3718-Tienda!$K3718*Tienda!$L3718</f>
        <v>33.808</v>
      </c>
      <c r="N3454" s="3" t="s">
        <v>10040</v>
      </c>
      <c r="O3454" s="3" t="s">
        <v>10042</v>
      </c>
      <c r="P3454" s="17">
        <v>45723</v>
      </c>
      <c r="Q3454" s="4">
        <v>3</v>
      </c>
    </row>
    <row r="3455" spans="1:17" ht="30" x14ac:dyDescent="0.25">
      <c r="A3455" s="2" t="s">
        <v>1351</v>
      </c>
      <c r="B3455" s="3" t="s">
        <v>5015</v>
      </c>
      <c r="C3455" s="3">
        <v>41</v>
      </c>
      <c r="D3455" s="46" t="str">
        <f>IF(Tabla1[[#This Row],[EDAD]]&lt;=35,"Adultos jóvenes 18 - 35 años",IF(C3455&gt;=36,"Adultos mayores 36 años en adelante"))</f>
        <v>Adultos mayores 36 años en adelante</v>
      </c>
      <c r="E3455" s="3" t="s">
        <v>5023</v>
      </c>
      <c r="F3455" s="3" t="s">
        <v>5030</v>
      </c>
      <c r="G3455" s="3" t="s">
        <v>5033</v>
      </c>
      <c r="H3455" s="3" t="s">
        <v>6374</v>
      </c>
      <c r="I3455" s="17">
        <v>45732</v>
      </c>
      <c r="J3455" s="18">
        <f>YEAR(Tabla1[[#This Row],[FECHA DE COMPRA]])</f>
        <v>2025</v>
      </c>
      <c r="K3455" s="19">
        <v>104.64</v>
      </c>
      <c r="L3455" s="20">
        <v>0.1</v>
      </c>
      <c r="M3455" s="19">
        <f>Tienda!$K3719-Tienda!$K3719*Tienda!$L3719</f>
        <v>52.09</v>
      </c>
      <c r="N3455" s="3" t="s">
        <v>10040</v>
      </c>
      <c r="O3455" s="3" t="s">
        <v>10042</v>
      </c>
      <c r="P3455" s="17">
        <v>45732</v>
      </c>
      <c r="Q3455" s="4">
        <v>3</v>
      </c>
    </row>
    <row r="3456" spans="1:17" ht="30" x14ac:dyDescent="0.25">
      <c r="A3456" s="2" t="s">
        <v>1606</v>
      </c>
      <c r="B3456" s="3" t="s">
        <v>5015</v>
      </c>
      <c r="C3456" s="3">
        <v>65</v>
      </c>
      <c r="D3456" s="46" t="str">
        <f>IF(Tabla1[[#This Row],[EDAD]]&lt;=35,"Adultos jóvenes 18 - 35 años",IF(C3456&gt;=36,"Adultos mayores 36 años en adelante"))</f>
        <v>Adultos mayores 36 años en adelante</v>
      </c>
      <c r="E3456" s="3" t="s">
        <v>5022</v>
      </c>
      <c r="F3456" s="3" t="s">
        <v>5027</v>
      </c>
      <c r="G3456" s="3" t="s">
        <v>5031</v>
      </c>
      <c r="H3456" s="3" t="s">
        <v>6629</v>
      </c>
      <c r="I3456" s="17">
        <v>45720</v>
      </c>
      <c r="J3456" s="18">
        <f>YEAR(Tabla1[[#This Row],[FECHA DE COMPRA]])</f>
        <v>2025</v>
      </c>
      <c r="K3456" s="19">
        <v>112.54</v>
      </c>
      <c r="L3456" s="20">
        <v>0</v>
      </c>
      <c r="M3456" s="19">
        <f>Tienda!$K3720-Tienda!$K3720*Tienda!$L3720</f>
        <v>47.257000000000005</v>
      </c>
      <c r="N3456" s="3" t="s">
        <v>10040</v>
      </c>
      <c r="O3456" s="3" t="s">
        <v>10042</v>
      </c>
      <c r="P3456" s="17">
        <v>45720</v>
      </c>
      <c r="Q3456" s="4">
        <v>3</v>
      </c>
    </row>
    <row r="3457" spans="1:17" ht="30" x14ac:dyDescent="0.25">
      <c r="A3457" s="2" t="s">
        <v>4435</v>
      </c>
      <c r="B3457" s="3" t="s">
        <v>5015</v>
      </c>
      <c r="C3457" s="3">
        <v>61</v>
      </c>
      <c r="D3457" s="46" t="str">
        <f>IF(Tabla1[[#This Row],[EDAD]]&lt;=35,"Adultos jóvenes 18 - 35 años",IF(C3457&gt;=36,"Adultos mayores 36 años en adelante"))</f>
        <v>Adultos mayores 36 años en adelante</v>
      </c>
      <c r="E3457" s="3" t="s">
        <v>5023</v>
      </c>
      <c r="F3457" s="3" t="s">
        <v>5029</v>
      </c>
      <c r="G3457" s="3" t="s">
        <v>5034</v>
      </c>
      <c r="H3457" s="3" t="s">
        <v>9458</v>
      </c>
      <c r="I3457" s="17">
        <v>45744</v>
      </c>
      <c r="J3457" s="18">
        <f>YEAR(Tabla1[[#This Row],[FECHA DE COMPRA]])</f>
        <v>2025</v>
      </c>
      <c r="K3457" s="19">
        <v>118.96</v>
      </c>
      <c r="L3457" s="20">
        <v>0</v>
      </c>
      <c r="M3457" s="19">
        <f>Tienda!$K3722-Tienda!$K3722*Tienda!$L3722</f>
        <v>150.77600000000001</v>
      </c>
      <c r="N3457" s="3" t="s">
        <v>10040</v>
      </c>
      <c r="O3457" s="3" t="s">
        <v>10042</v>
      </c>
      <c r="P3457" s="17">
        <v>45744</v>
      </c>
      <c r="Q3457" s="4">
        <v>3</v>
      </c>
    </row>
    <row r="3458" spans="1:17" ht="30" x14ac:dyDescent="0.25">
      <c r="A3458" s="2" t="s">
        <v>2370</v>
      </c>
      <c r="B3458" s="3" t="s">
        <v>5015</v>
      </c>
      <c r="C3458" s="3">
        <v>44</v>
      </c>
      <c r="D3458" s="46" t="str">
        <f>IF(Tabla1[[#This Row],[EDAD]]&lt;=35,"Adultos jóvenes 18 - 35 años",IF(C3458&gt;=36,"Adultos mayores 36 años en adelante"))</f>
        <v>Adultos mayores 36 años en adelante</v>
      </c>
      <c r="E3458" s="3" t="s">
        <v>5020</v>
      </c>
      <c r="F3458" s="3" t="s">
        <v>5024</v>
      </c>
      <c r="G3458" s="3" t="s">
        <v>5033</v>
      </c>
      <c r="H3458" s="3" t="s">
        <v>7393</v>
      </c>
      <c r="I3458" s="17">
        <v>45742</v>
      </c>
      <c r="J3458" s="18">
        <f>YEAR(Tabla1[[#This Row],[FECHA DE COMPRA]])</f>
        <v>2025</v>
      </c>
      <c r="K3458" s="19">
        <v>123.98</v>
      </c>
      <c r="L3458" s="20">
        <v>0.3</v>
      </c>
      <c r="M3458" s="19">
        <f>Tienda!$K3723-Tienda!$K3723*Tienda!$L3723</f>
        <v>130.34</v>
      </c>
      <c r="N3458" s="3" t="s">
        <v>10040</v>
      </c>
      <c r="O3458" s="3" t="s">
        <v>10042</v>
      </c>
      <c r="P3458" s="17">
        <v>45742</v>
      </c>
      <c r="Q3458" s="4">
        <v>3</v>
      </c>
    </row>
    <row r="3459" spans="1:17" ht="30" x14ac:dyDescent="0.25">
      <c r="A3459" s="2" t="s">
        <v>2287</v>
      </c>
      <c r="B3459" s="3" t="s">
        <v>5015</v>
      </c>
      <c r="C3459" s="3">
        <v>39</v>
      </c>
      <c r="D3459" s="46" t="str">
        <f>IF(Tabla1[[#This Row],[EDAD]]&lt;=35,"Adultos jóvenes 18 - 35 años",IF(C3459&gt;=36,"Adultos mayores 36 años en adelante"))</f>
        <v>Adultos mayores 36 años en adelante</v>
      </c>
      <c r="E3459" s="3" t="s">
        <v>5017</v>
      </c>
      <c r="F3459" s="3" t="s">
        <v>5028</v>
      </c>
      <c r="G3459" s="3" t="s">
        <v>5037</v>
      </c>
      <c r="H3459" s="3" t="s">
        <v>7310</v>
      </c>
      <c r="I3459" s="17">
        <v>45741</v>
      </c>
      <c r="J3459" s="18">
        <f>YEAR(Tabla1[[#This Row],[FECHA DE COMPRA]])</f>
        <v>2025</v>
      </c>
      <c r="K3459" s="19">
        <v>132.24</v>
      </c>
      <c r="L3459" s="20">
        <v>0.2</v>
      </c>
      <c r="M3459" s="19">
        <f>Tienda!$K3725-Tienda!$K3725*Tienda!$L3725</f>
        <v>24.177999999999997</v>
      </c>
      <c r="N3459" s="3" t="s">
        <v>10040</v>
      </c>
      <c r="O3459" s="3" t="s">
        <v>10042</v>
      </c>
      <c r="P3459" s="17">
        <v>45741</v>
      </c>
      <c r="Q3459" s="4">
        <v>6</v>
      </c>
    </row>
    <row r="3460" spans="1:17" ht="30" x14ac:dyDescent="0.25">
      <c r="A3460" s="2" t="s">
        <v>2592</v>
      </c>
      <c r="B3460" s="3" t="s">
        <v>5015</v>
      </c>
      <c r="C3460" s="3">
        <v>63</v>
      </c>
      <c r="D3460" s="46" t="str">
        <f>IF(Tabla1[[#This Row],[EDAD]]&lt;=35,"Adultos jóvenes 18 - 35 años",IF(C3460&gt;=36,"Adultos mayores 36 años en adelante"))</f>
        <v>Adultos mayores 36 años en adelante</v>
      </c>
      <c r="E3460" s="3" t="s">
        <v>5022</v>
      </c>
      <c r="F3460" s="3" t="s">
        <v>5027</v>
      </c>
      <c r="G3460" s="3" t="s">
        <v>5031</v>
      </c>
      <c r="H3460" s="3" t="s">
        <v>7615</v>
      </c>
      <c r="I3460" s="17">
        <v>45717</v>
      </c>
      <c r="J3460" s="18">
        <f>YEAR(Tabla1[[#This Row],[FECHA DE COMPRA]])</f>
        <v>2025</v>
      </c>
      <c r="K3460" s="19">
        <v>136.03</v>
      </c>
      <c r="L3460" s="20">
        <v>0.3</v>
      </c>
      <c r="M3460" s="19">
        <f>Tienda!$K3727-Tienda!$K3727*Tienda!$L3727</f>
        <v>84.7</v>
      </c>
      <c r="N3460" s="3" t="s">
        <v>10040</v>
      </c>
      <c r="O3460" s="3" t="s">
        <v>10042</v>
      </c>
      <c r="P3460" s="17">
        <v>45717</v>
      </c>
      <c r="Q3460" s="4">
        <v>6</v>
      </c>
    </row>
    <row r="3461" spans="1:17" ht="30" x14ac:dyDescent="0.25">
      <c r="A3461" s="2" t="s">
        <v>4152</v>
      </c>
      <c r="B3461" s="3" t="s">
        <v>5016</v>
      </c>
      <c r="C3461" s="3">
        <v>54</v>
      </c>
      <c r="D3461" s="46" t="str">
        <f>IF(Tabla1[[#This Row],[EDAD]]&lt;=35,"Adultos jóvenes 18 - 35 años",IF(C3461&gt;=36,"Adultos mayores 36 años en adelante"))</f>
        <v>Adultos mayores 36 años en adelante</v>
      </c>
      <c r="E3461" s="3" t="s">
        <v>5023</v>
      </c>
      <c r="F3461" s="3" t="s">
        <v>5029</v>
      </c>
      <c r="G3461" s="3" t="s">
        <v>5031</v>
      </c>
      <c r="H3461" s="3" t="s">
        <v>9175</v>
      </c>
      <c r="I3461" s="17">
        <v>45719</v>
      </c>
      <c r="J3461" s="18">
        <f>YEAR(Tabla1[[#This Row],[FECHA DE COMPRA]])</f>
        <v>2025</v>
      </c>
      <c r="K3461" s="19">
        <v>148.25</v>
      </c>
      <c r="L3461" s="20">
        <v>0.1</v>
      </c>
      <c r="M3461" s="19">
        <f>Tienda!$K3730-Tienda!$K3730*Tienda!$L3730</f>
        <v>153.26</v>
      </c>
      <c r="N3461" s="3" t="s">
        <v>10040</v>
      </c>
      <c r="O3461" s="3" t="s">
        <v>10042</v>
      </c>
      <c r="P3461" s="17">
        <v>45719</v>
      </c>
      <c r="Q3461" s="4">
        <v>6</v>
      </c>
    </row>
    <row r="3462" spans="1:17" ht="30" x14ac:dyDescent="0.25">
      <c r="A3462" s="2" t="s">
        <v>330</v>
      </c>
      <c r="B3462" s="3" t="s">
        <v>5015</v>
      </c>
      <c r="C3462" s="3">
        <v>41</v>
      </c>
      <c r="D3462" s="46" t="str">
        <f>IF(Tabla1[[#This Row],[EDAD]]&lt;=35,"Adultos jóvenes 18 - 35 años",IF(C3462&gt;=36,"Adultos mayores 36 años en adelante"))</f>
        <v>Adultos mayores 36 años en adelante</v>
      </c>
      <c r="E3462" s="3" t="s">
        <v>5018</v>
      </c>
      <c r="F3462" s="3" t="s">
        <v>5028</v>
      </c>
      <c r="G3462" s="3" t="s">
        <v>5036</v>
      </c>
      <c r="H3462" s="3" t="s">
        <v>5353</v>
      </c>
      <c r="I3462" s="17">
        <v>45740</v>
      </c>
      <c r="J3462" s="18">
        <f>YEAR(Tabla1[[#This Row],[FECHA DE COMPRA]])</f>
        <v>2025</v>
      </c>
      <c r="K3462" s="19">
        <v>157.32</v>
      </c>
      <c r="L3462" s="20">
        <v>0.2</v>
      </c>
      <c r="M3462" s="19">
        <f>Tienda!$K3731-Tienda!$K3731*Tienda!$L3731</f>
        <v>139.447</v>
      </c>
      <c r="N3462" s="3" t="s">
        <v>10040</v>
      </c>
      <c r="O3462" s="3" t="s">
        <v>10042</v>
      </c>
      <c r="P3462" s="17">
        <v>45740</v>
      </c>
      <c r="Q3462" s="4">
        <v>6</v>
      </c>
    </row>
    <row r="3463" spans="1:17" ht="30" x14ac:dyDescent="0.25">
      <c r="A3463" s="2" t="s">
        <v>4917</v>
      </c>
      <c r="B3463" s="3" t="s">
        <v>5015</v>
      </c>
      <c r="C3463" s="3">
        <v>58</v>
      </c>
      <c r="D3463" s="46" t="str">
        <f>IF(Tabla1[[#This Row],[EDAD]]&lt;=35,"Adultos jóvenes 18 - 35 años",IF(C3463&gt;=36,"Adultos mayores 36 años en adelante"))</f>
        <v>Adultos mayores 36 años en adelante</v>
      </c>
      <c r="E3463" s="3" t="s">
        <v>5017</v>
      </c>
      <c r="F3463" s="3" t="s">
        <v>5028</v>
      </c>
      <c r="G3463" s="3" t="s">
        <v>5036</v>
      </c>
      <c r="H3463" s="3" t="s">
        <v>9940</v>
      </c>
      <c r="I3463" s="17">
        <v>45728</v>
      </c>
      <c r="J3463" s="18">
        <f>YEAR(Tabla1[[#This Row],[FECHA DE COMPRA]])</f>
        <v>2025</v>
      </c>
      <c r="K3463" s="19">
        <v>161.83000000000001</v>
      </c>
      <c r="L3463" s="20">
        <v>0</v>
      </c>
      <c r="M3463" s="19">
        <f>Tienda!$K3732-Tienda!$K3732*Tienda!$L3732</f>
        <v>179.55</v>
      </c>
      <c r="N3463" s="3" t="s">
        <v>10040</v>
      </c>
      <c r="O3463" s="3" t="s">
        <v>10042</v>
      </c>
      <c r="P3463" s="17">
        <v>45728</v>
      </c>
      <c r="Q3463" s="4">
        <v>6</v>
      </c>
    </row>
    <row r="3464" spans="1:17" ht="30" x14ac:dyDescent="0.25">
      <c r="A3464" s="2" t="s">
        <v>818</v>
      </c>
      <c r="B3464" s="3" t="s">
        <v>5016</v>
      </c>
      <c r="C3464" s="3">
        <v>61</v>
      </c>
      <c r="D3464" s="46" t="str">
        <f>IF(Tabla1[[#This Row],[EDAD]]&lt;=35,"Adultos jóvenes 18 - 35 años",IF(C3464&gt;=36,"Adultos mayores 36 años en adelante"))</f>
        <v>Adultos mayores 36 años en adelante</v>
      </c>
      <c r="E3464" s="3" t="s">
        <v>5021</v>
      </c>
      <c r="F3464" s="3" t="s">
        <v>5029</v>
      </c>
      <c r="G3464" s="3" t="s">
        <v>5034</v>
      </c>
      <c r="H3464" s="3" t="s">
        <v>5841</v>
      </c>
      <c r="I3464" s="17">
        <v>45747</v>
      </c>
      <c r="J3464" s="18">
        <f>YEAR(Tabla1[[#This Row],[FECHA DE COMPRA]])</f>
        <v>2025</v>
      </c>
      <c r="K3464" s="19">
        <v>162.26</v>
      </c>
      <c r="L3464" s="20">
        <v>0.3</v>
      </c>
      <c r="M3464" s="19">
        <f>Tienda!$K3733-Tienda!$K3733*Tienda!$L3733</f>
        <v>13.208000000000002</v>
      </c>
      <c r="N3464" s="3" t="s">
        <v>10040</v>
      </c>
      <c r="O3464" s="3" t="s">
        <v>10042</v>
      </c>
      <c r="P3464" s="17">
        <v>45747</v>
      </c>
      <c r="Q3464" s="4">
        <v>6</v>
      </c>
    </row>
    <row r="3465" spans="1:17" ht="30" x14ac:dyDescent="0.25">
      <c r="A3465" s="2" t="s">
        <v>2337</v>
      </c>
      <c r="B3465" s="3" t="s">
        <v>5016</v>
      </c>
      <c r="C3465" s="3">
        <v>38</v>
      </c>
      <c r="D3465" s="46" t="str">
        <f>IF(Tabla1[[#This Row],[EDAD]]&lt;=35,"Adultos jóvenes 18 - 35 años",IF(C3465&gt;=36,"Adultos mayores 36 años en adelante"))</f>
        <v>Adultos mayores 36 años en adelante</v>
      </c>
      <c r="E3465" s="3" t="s">
        <v>5019</v>
      </c>
      <c r="F3465" s="3" t="s">
        <v>5026</v>
      </c>
      <c r="G3465" s="3" t="s">
        <v>5031</v>
      </c>
      <c r="H3465" s="3" t="s">
        <v>7360</v>
      </c>
      <c r="I3465" s="17">
        <v>45727</v>
      </c>
      <c r="J3465" s="18">
        <f>YEAR(Tabla1[[#This Row],[FECHA DE COMPRA]])</f>
        <v>2025</v>
      </c>
      <c r="K3465" s="19">
        <v>170.98</v>
      </c>
      <c r="L3465" s="20">
        <v>0</v>
      </c>
      <c r="M3465" s="19">
        <f>Tienda!$K3736-Tienda!$K3736*Tienda!$L3736</f>
        <v>59.921999999999997</v>
      </c>
      <c r="N3465" s="3" t="s">
        <v>10040</v>
      </c>
      <c r="O3465" s="3" t="s">
        <v>10042</v>
      </c>
      <c r="P3465" s="17">
        <v>45727</v>
      </c>
      <c r="Q3465" s="4">
        <v>3</v>
      </c>
    </row>
    <row r="3466" spans="1:17" ht="30" x14ac:dyDescent="0.25">
      <c r="A3466" s="2" t="s">
        <v>2688</v>
      </c>
      <c r="B3466" s="3" t="s">
        <v>5016</v>
      </c>
      <c r="C3466" s="3">
        <v>48</v>
      </c>
      <c r="D3466" s="46" t="str">
        <f>IF(Tabla1[[#This Row],[EDAD]]&lt;=35,"Adultos jóvenes 18 - 35 años",IF(C3466&gt;=36,"Adultos mayores 36 años en adelante"))</f>
        <v>Adultos mayores 36 años en adelante</v>
      </c>
      <c r="E3466" s="3" t="s">
        <v>5021</v>
      </c>
      <c r="F3466" s="3" t="s">
        <v>5030</v>
      </c>
      <c r="G3466" s="3" t="s">
        <v>5032</v>
      </c>
      <c r="H3466" s="3" t="s">
        <v>7711</v>
      </c>
      <c r="I3466" s="17">
        <v>45717</v>
      </c>
      <c r="J3466" s="18">
        <f>YEAR(Tabla1[[#This Row],[FECHA DE COMPRA]])</f>
        <v>2025</v>
      </c>
      <c r="K3466" s="19">
        <v>195.29</v>
      </c>
      <c r="L3466" s="20">
        <v>0</v>
      </c>
      <c r="M3466" s="19">
        <f>Tienda!$K3738-Tienda!$K3738*Tienda!$L3738</f>
        <v>104.93</v>
      </c>
      <c r="N3466" s="3" t="s">
        <v>10040</v>
      </c>
      <c r="O3466" s="3" t="s">
        <v>10042</v>
      </c>
      <c r="P3466" s="17">
        <v>45717</v>
      </c>
      <c r="Q3466" s="4">
        <v>3</v>
      </c>
    </row>
    <row r="3467" spans="1:17" ht="30" x14ac:dyDescent="0.25">
      <c r="A3467" s="2" t="s">
        <v>2235</v>
      </c>
      <c r="B3467" s="3" t="s">
        <v>5015</v>
      </c>
      <c r="C3467" s="3">
        <v>64</v>
      </c>
      <c r="D3467" s="46" t="str">
        <f>IF(Tabla1[[#This Row],[EDAD]]&lt;=35,"Adultos jóvenes 18 - 35 años",IF(C3467&gt;=36,"Adultos mayores 36 años en adelante"))</f>
        <v>Adultos mayores 36 años en adelante</v>
      </c>
      <c r="E3467" s="3" t="s">
        <v>5018</v>
      </c>
      <c r="F3467" s="3" t="s">
        <v>5026</v>
      </c>
      <c r="G3467" s="3" t="s">
        <v>5032</v>
      </c>
      <c r="H3467" s="3" t="s">
        <v>7258</v>
      </c>
      <c r="I3467" s="17">
        <v>45756</v>
      </c>
      <c r="J3467" s="18">
        <f>YEAR(Tabla1[[#This Row],[FECHA DE COMPRA]])</f>
        <v>2025</v>
      </c>
      <c r="K3467" s="19">
        <v>10.56</v>
      </c>
      <c r="L3467" s="20">
        <v>0</v>
      </c>
      <c r="M3467" s="19">
        <f>Tienda!$K3739-Tienda!$K3739*Tienda!$L3739</f>
        <v>75.152000000000001</v>
      </c>
      <c r="N3467" s="3" t="s">
        <v>10040</v>
      </c>
      <c r="O3467" s="3" t="s">
        <v>10042</v>
      </c>
      <c r="P3467" s="17">
        <v>45756</v>
      </c>
      <c r="Q3467" s="4">
        <v>3</v>
      </c>
    </row>
    <row r="3468" spans="1:17" ht="30" x14ac:dyDescent="0.25">
      <c r="A3468" s="2" t="s">
        <v>2997</v>
      </c>
      <c r="B3468" s="3" t="s">
        <v>5015</v>
      </c>
      <c r="C3468" s="3">
        <v>49</v>
      </c>
      <c r="D3468" s="46" t="str">
        <f>IF(Tabla1[[#This Row],[EDAD]]&lt;=35,"Adultos jóvenes 18 - 35 años",IF(C3468&gt;=36,"Adultos mayores 36 años en adelante"))</f>
        <v>Adultos mayores 36 años en adelante</v>
      </c>
      <c r="E3468" s="3" t="s">
        <v>5022</v>
      </c>
      <c r="F3468" s="3" t="s">
        <v>5024</v>
      </c>
      <c r="G3468" s="3" t="s">
        <v>5032</v>
      </c>
      <c r="H3468" s="3" t="s">
        <v>8020</v>
      </c>
      <c r="I3468" s="17">
        <v>45753</v>
      </c>
      <c r="J3468" s="18">
        <f>YEAR(Tabla1[[#This Row],[FECHA DE COMPRA]])</f>
        <v>2025</v>
      </c>
      <c r="K3468" s="19">
        <v>14.14</v>
      </c>
      <c r="L3468" s="20">
        <v>0.2</v>
      </c>
      <c r="M3468" s="19">
        <f>Tienda!$K3740-Tienda!$K3740*Tienda!$L3740</f>
        <v>93.744</v>
      </c>
      <c r="N3468" s="3" t="s">
        <v>10040</v>
      </c>
      <c r="O3468" s="3" t="s">
        <v>10042</v>
      </c>
      <c r="P3468" s="17">
        <v>45753</v>
      </c>
      <c r="Q3468" s="4">
        <v>3</v>
      </c>
    </row>
    <row r="3469" spans="1:17" ht="30" x14ac:dyDescent="0.25">
      <c r="A3469" s="2" t="s">
        <v>3782</v>
      </c>
      <c r="B3469" s="3" t="s">
        <v>5015</v>
      </c>
      <c r="C3469" s="3">
        <v>53</v>
      </c>
      <c r="D3469" s="46" t="str">
        <f>IF(Tabla1[[#This Row],[EDAD]]&lt;=35,"Adultos jóvenes 18 - 35 años",IF(C3469&gt;=36,"Adultos mayores 36 años en adelante"))</f>
        <v>Adultos mayores 36 años en adelante</v>
      </c>
      <c r="E3469" s="3" t="s">
        <v>5023</v>
      </c>
      <c r="F3469" s="3" t="s">
        <v>5028</v>
      </c>
      <c r="G3469" s="3" t="s">
        <v>5033</v>
      </c>
      <c r="H3469" s="3" t="s">
        <v>8805</v>
      </c>
      <c r="I3469" s="17">
        <v>45760</v>
      </c>
      <c r="J3469" s="18">
        <f>YEAR(Tabla1[[#This Row],[FECHA DE COMPRA]])</f>
        <v>2025</v>
      </c>
      <c r="K3469" s="19">
        <v>28.5</v>
      </c>
      <c r="L3469" s="20">
        <v>0.2</v>
      </c>
      <c r="M3469" s="19">
        <f>Tienda!$K3743-Tienda!$K3743*Tienda!$L3743</f>
        <v>8.2080000000000002</v>
      </c>
      <c r="N3469" s="3" t="s">
        <v>10040</v>
      </c>
      <c r="O3469" s="3" t="s">
        <v>10042</v>
      </c>
      <c r="P3469" s="17">
        <v>45760</v>
      </c>
      <c r="Q3469" s="4">
        <v>3</v>
      </c>
    </row>
    <row r="3470" spans="1:17" ht="30" x14ac:dyDescent="0.25">
      <c r="A3470" s="2" t="s">
        <v>2228</v>
      </c>
      <c r="B3470" s="3" t="s">
        <v>5015</v>
      </c>
      <c r="C3470" s="3">
        <v>50</v>
      </c>
      <c r="D3470" s="46" t="str">
        <f>IF(Tabla1[[#This Row],[EDAD]]&lt;=35,"Adultos jóvenes 18 - 35 años",IF(C3470&gt;=36,"Adultos mayores 36 años en adelante"))</f>
        <v>Adultos mayores 36 años en adelante</v>
      </c>
      <c r="E3470" s="3" t="s">
        <v>5018</v>
      </c>
      <c r="F3470" s="3" t="s">
        <v>5025</v>
      </c>
      <c r="G3470" s="3" t="s">
        <v>5031</v>
      </c>
      <c r="H3470" s="3" t="s">
        <v>7251</v>
      </c>
      <c r="I3470" s="17">
        <v>45777</v>
      </c>
      <c r="J3470" s="18">
        <f>YEAR(Tabla1[[#This Row],[FECHA DE COMPRA]])</f>
        <v>2025</v>
      </c>
      <c r="K3470" s="19">
        <v>39.049999999999997</v>
      </c>
      <c r="L3470" s="20">
        <v>0.3</v>
      </c>
      <c r="M3470" s="19">
        <f>Tienda!$K3744-Tienda!$K3744*Tienda!$L3744</f>
        <v>8.5749999999999993</v>
      </c>
      <c r="N3470" s="3" t="s">
        <v>10040</v>
      </c>
      <c r="O3470" s="3" t="s">
        <v>10042</v>
      </c>
      <c r="P3470" s="17">
        <v>45777</v>
      </c>
      <c r="Q3470" s="4">
        <v>3</v>
      </c>
    </row>
    <row r="3471" spans="1:17" ht="30" x14ac:dyDescent="0.25">
      <c r="A3471" s="2" t="s">
        <v>4015</v>
      </c>
      <c r="B3471" s="3" t="s">
        <v>5016</v>
      </c>
      <c r="C3471" s="3">
        <v>44</v>
      </c>
      <c r="D3471" s="46" t="str">
        <f>IF(Tabla1[[#This Row],[EDAD]]&lt;=35,"Adultos jóvenes 18 - 35 años",IF(C3471&gt;=36,"Adultos mayores 36 años en adelante"))</f>
        <v>Adultos mayores 36 años en adelante</v>
      </c>
      <c r="E3471" s="3" t="s">
        <v>5017</v>
      </c>
      <c r="F3471" s="3" t="s">
        <v>5025</v>
      </c>
      <c r="G3471" s="3" t="s">
        <v>5037</v>
      </c>
      <c r="H3471" s="3" t="s">
        <v>9038</v>
      </c>
      <c r="I3471" s="17">
        <v>45766</v>
      </c>
      <c r="J3471" s="18">
        <f>YEAR(Tabla1[[#This Row],[FECHA DE COMPRA]])</f>
        <v>2025</v>
      </c>
      <c r="K3471" s="19">
        <v>43.71</v>
      </c>
      <c r="L3471" s="20">
        <v>0.3</v>
      </c>
      <c r="M3471" s="19">
        <f>Tienda!$K3745-Tienda!$K3745*Tienda!$L3745</f>
        <v>11.391999999999999</v>
      </c>
      <c r="N3471" s="3" t="s">
        <v>10040</v>
      </c>
      <c r="O3471" s="3" t="s">
        <v>10042</v>
      </c>
      <c r="P3471" s="17">
        <v>45766</v>
      </c>
      <c r="Q3471" s="4">
        <v>3</v>
      </c>
    </row>
    <row r="3472" spans="1:17" ht="30" x14ac:dyDescent="0.25">
      <c r="A3472" s="2" t="s">
        <v>3242</v>
      </c>
      <c r="B3472" s="3" t="s">
        <v>5016</v>
      </c>
      <c r="C3472" s="3">
        <v>63</v>
      </c>
      <c r="D3472" s="46" t="str">
        <f>IF(Tabla1[[#This Row],[EDAD]]&lt;=35,"Adultos jóvenes 18 - 35 años",IF(C3472&gt;=36,"Adultos mayores 36 años en adelante"))</f>
        <v>Adultos mayores 36 años en adelante</v>
      </c>
      <c r="E3472" s="3" t="s">
        <v>5021</v>
      </c>
      <c r="F3472" s="3" t="s">
        <v>5030</v>
      </c>
      <c r="G3472" s="3" t="s">
        <v>5034</v>
      </c>
      <c r="H3472" s="3" t="s">
        <v>8265</v>
      </c>
      <c r="I3472" s="17">
        <v>45768</v>
      </c>
      <c r="J3472" s="18">
        <f>YEAR(Tabla1[[#This Row],[FECHA DE COMPRA]])</f>
        <v>2025</v>
      </c>
      <c r="K3472" s="19">
        <v>63.02</v>
      </c>
      <c r="L3472" s="20">
        <v>0.1</v>
      </c>
      <c r="M3472" s="19">
        <f>Tienda!$K3747-Tienda!$K3747*Tienda!$L3747</f>
        <v>46.688000000000002</v>
      </c>
      <c r="N3472" s="3" t="s">
        <v>10040</v>
      </c>
      <c r="O3472" s="3" t="s">
        <v>10042</v>
      </c>
      <c r="P3472" s="17">
        <v>45768</v>
      </c>
      <c r="Q3472" s="4">
        <v>6</v>
      </c>
    </row>
    <row r="3473" spans="1:17" ht="30" x14ac:dyDescent="0.25">
      <c r="A3473" s="2" t="s">
        <v>3752</v>
      </c>
      <c r="B3473" s="3" t="s">
        <v>5015</v>
      </c>
      <c r="C3473" s="3">
        <v>53</v>
      </c>
      <c r="D3473" s="46" t="str">
        <f>IF(Tabla1[[#This Row],[EDAD]]&lt;=35,"Adultos jóvenes 18 - 35 años",IF(C3473&gt;=36,"Adultos mayores 36 años en adelante"))</f>
        <v>Adultos mayores 36 años en adelante</v>
      </c>
      <c r="E3473" s="3" t="s">
        <v>5020</v>
      </c>
      <c r="F3473" s="3" t="s">
        <v>5027</v>
      </c>
      <c r="G3473" s="3" t="s">
        <v>5036</v>
      </c>
      <c r="H3473" s="3" t="s">
        <v>8775</v>
      </c>
      <c r="I3473" s="17">
        <v>45755</v>
      </c>
      <c r="J3473" s="18">
        <f>YEAR(Tabla1[[#This Row],[FECHA DE COMPRA]])</f>
        <v>2025</v>
      </c>
      <c r="K3473" s="19">
        <v>66.180000000000007</v>
      </c>
      <c r="L3473" s="20">
        <v>0</v>
      </c>
      <c r="M3473" s="19">
        <f>Tienda!$K3748-Tienda!$K3748*Tienda!$L3748</f>
        <v>95.82</v>
      </c>
      <c r="N3473" s="3" t="s">
        <v>10040</v>
      </c>
      <c r="O3473" s="3" t="s">
        <v>10042</v>
      </c>
      <c r="P3473" s="17">
        <v>45755</v>
      </c>
      <c r="Q3473" s="4">
        <v>6</v>
      </c>
    </row>
    <row r="3474" spans="1:17" ht="30" x14ac:dyDescent="0.25">
      <c r="A3474" s="2" t="s">
        <v>421</v>
      </c>
      <c r="B3474" s="3" t="s">
        <v>5015</v>
      </c>
      <c r="C3474" s="3">
        <v>59</v>
      </c>
      <c r="D3474" s="46" t="str">
        <f>IF(Tabla1[[#This Row],[EDAD]]&lt;=35,"Adultos jóvenes 18 - 35 años",IF(C3474&gt;=36,"Adultos mayores 36 años en adelante"))</f>
        <v>Adultos mayores 36 años en adelante</v>
      </c>
      <c r="E3474" s="3" t="s">
        <v>5019</v>
      </c>
      <c r="F3474" s="3" t="s">
        <v>5026</v>
      </c>
      <c r="G3474" s="3" t="s">
        <v>5036</v>
      </c>
      <c r="H3474" s="3" t="s">
        <v>5444</v>
      </c>
      <c r="I3474" s="17">
        <v>45756</v>
      </c>
      <c r="J3474" s="18">
        <f>YEAR(Tabla1[[#This Row],[FECHA DE COMPRA]])</f>
        <v>2025</v>
      </c>
      <c r="K3474" s="19">
        <v>69.760000000000005</v>
      </c>
      <c r="L3474" s="20">
        <v>0</v>
      </c>
      <c r="M3474" s="19">
        <f>Tienda!$K3749-Tienda!$K3749*Tienda!$L3749</f>
        <v>106.83</v>
      </c>
      <c r="N3474" s="3" t="s">
        <v>10040</v>
      </c>
      <c r="O3474" s="3" t="s">
        <v>10042</v>
      </c>
      <c r="P3474" s="17">
        <v>45756</v>
      </c>
      <c r="Q3474" s="4">
        <v>6</v>
      </c>
    </row>
    <row r="3475" spans="1:17" ht="30" x14ac:dyDescent="0.25">
      <c r="A3475" s="2" t="s">
        <v>1036</v>
      </c>
      <c r="B3475" s="3" t="s">
        <v>5015</v>
      </c>
      <c r="C3475" s="3">
        <v>62</v>
      </c>
      <c r="D3475" s="46" t="str">
        <f>IF(Tabla1[[#This Row],[EDAD]]&lt;=35,"Adultos jóvenes 18 - 35 años",IF(C3475&gt;=36,"Adultos mayores 36 años en adelante"))</f>
        <v>Adultos mayores 36 años en adelante</v>
      </c>
      <c r="E3475" s="3" t="s">
        <v>5022</v>
      </c>
      <c r="F3475" s="3" t="s">
        <v>5025</v>
      </c>
      <c r="G3475" s="3" t="s">
        <v>5036</v>
      </c>
      <c r="H3475" s="3" t="s">
        <v>6059</v>
      </c>
      <c r="I3475" s="17">
        <v>45761</v>
      </c>
      <c r="J3475" s="18">
        <f>YEAR(Tabla1[[#This Row],[FECHA DE COMPRA]])</f>
        <v>2025</v>
      </c>
      <c r="K3475" s="19">
        <v>83.72</v>
      </c>
      <c r="L3475" s="20">
        <v>0.3</v>
      </c>
      <c r="M3475" s="19">
        <f>Tienda!$K3750-Tienda!$K3750*Tienda!$L3750</f>
        <v>120.45</v>
      </c>
      <c r="N3475" s="3" t="s">
        <v>10040</v>
      </c>
      <c r="O3475" s="3" t="s">
        <v>10042</v>
      </c>
      <c r="P3475" s="17">
        <v>45761</v>
      </c>
      <c r="Q3475" s="4">
        <v>6</v>
      </c>
    </row>
    <row r="3476" spans="1:17" ht="30" x14ac:dyDescent="0.25">
      <c r="A3476" s="2" t="s">
        <v>3418</v>
      </c>
      <c r="B3476" s="3" t="s">
        <v>5015</v>
      </c>
      <c r="C3476" s="3">
        <v>65</v>
      </c>
      <c r="D3476" s="46" t="str">
        <f>IF(Tabla1[[#This Row],[EDAD]]&lt;=35,"Adultos jóvenes 18 - 35 años",IF(C3476&gt;=36,"Adultos mayores 36 años en adelante"))</f>
        <v>Adultos mayores 36 años en adelante</v>
      </c>
      <c r="E3476" s="3" t="s">
        <v>5019</v>
      </c>
      <c r="F3476" s="3" t="s">
        <v>5026</v>
      </c>
      <c r="G3476" s="3" t="s">
        <v>5031</v>
      </c>
      <c r="H3476" s="3" t="s">
        <v>8441</v>
      </c>
      <c r="I3476" s="17">
        <v>45765</v>
      </c>
      <c r="J3476" s="18">
        <f>YEAR(Tabla1[[#This Row],[FECHA DE COMPRA]])</f>
        <v>2025</v>
      </c>
      <c r="K3476" s="19">
        <v>94.07</v>
      </c>
      <c r="L3476" s="20">
        <v>0.1</v>
      </c>
      <c r="M3476" s="19">
        <f>Tienda!$K3753-Tienda!$K3753*Tienda!$L3753</f>
        <v>150.23699999999999</v>
      </c>
      <c r="N3476" s="3" t="s">
        <v>10040</v>
      </c>
      <c r="O3476" s="3" t="s">
        <v>10042</v>
      </c>
      <c r="P3476" s="17">
        <v>45765</v>
      </c>
      <c r="Q3476" s="4">
        <v>6</v>
      </c>
    </row>
    <row r="3477" spans="1:17" ht="30" x14ac:dyDescent="0.25">
      <c r="A3477" s="2" t="s">
        <v>4130</v>
      </c>
      <c r="B3477" s="3" t="s">
        <v>5015</v>
      </c>
      <c r="C3477" s="3">
        <v>40</v>
      </c>
      <c r="D3477" s="46" t="str">
        <f>IF(Tabla1[[#This Row],[EDAD]]&lt;=35,"Adultos jóvenes 18 - 35 años",IF(C3477&gt;=36,"Adultos mayores 36 años en adelante"))</f>
        <v>Adultos mayores 36 años en adelante</v>
      </c>
      <c r="E3477" s="3" t="s">
        <v>5020</v>
      </c>
      <c r="F3477" s="3" t="s">
        <v>5030</v>
      </c>
      <c r="G3477" s="3" t="s">
        <v>5035</v>
      </c>
      <c r="H3477" s="3" t="s">
        <v>9153</v>
      </c>
      <c r="I3477" s="17">
        <v>45768</v>
      </c>
      <c r="J3477" s="18">
        <f>YEAR(Tabla1[[#This Row],[FECHA DE COMPRA]])</f>
        <v>2025</v>
      </c>
      <c r="K3477" s="19">
        <v>104.3</v>
      </c>
      <c r="L3477" s="20">
        <v>0.3</v>
      </c>
      <c r="M3477" s="19">
        <f>Tienda!$K3756-Tienda!$K3756*Tienda!$L3756</f>
        <v>65.400000000000006</v>
      </c>
      <c r="N3477" s="3" t="s">
        <v>10040</v>
      </c>
      <c r="O3477" s="3" t="s">
        <v>10042</v>
      </c>
      <c r="P3477" s="17">
        <v>45768</v>
      </c>
      <c r="Q3477" s="4">
        <v>6</v>
      </c>
    </row>
    <row r="3478" spans="1:17" ht="30" x14ac:dyDescent="0.25">
      <c r="A3478" s="2" t="s">
        <v>2093</v>
      </c>
      <c r="B3478" s="3" t="s">
        <v>5015</v>
      </c>
      <c r="C3478" s="3">
        <v>65</v>
      </c>
      <c r="D3478" s="46" t="str">
        <f>IF(Tabla1[[#This Row],[EDAD]]&lt;=35,"Adultos jóvenes 18 - 35 años",IF(C3478&gt;=36,"Adultos mayores 36 años en adelante"))</f>
        <v>Adultos mayores 36 años en adelante</v>
      </c>
      <c r="E3478" s="3" t="s">
        <v>5022</v>
      </c>
      <c r="F3478" s="3" t="s">
        <v>5029</v>
      </c>
      <c r="G3478" s="3" t="s">
        <v>5035</v>
      </c>
      <c r="H3478" s="3" t="s">
        <v>7116</v>
      </c>
      <c r="I3478" s="17">
        <v>45769</v>
      </c>
      <c r="J3478" s="18">
        <f>YEAR(Tabla1[[#This Row],[FECHA DE COMPRA]])</f>
        <v>2025</v>
      </c>
      <c r="K3478" s="19">
        <v>109.26</v>
      </c>
      <c r="L3478" s="20">
        <v>0</v>
      </c>
      <c r="M3478" s="19">
        <f>Tienda!$K3757-Tienda!$K3757*Tienda!$L3757</f>
        <v>76.66</v>
      </c>
      <c r="N3478" s="3" t="s">
        <v>10040</v>
      </c>
      <c r="O3478" s="3" t="s">
        <v>10042</v>
      </c>
      <c r="P3478" s="17">
        <v>45769</v>
      </c>
      <c r="Q3478" s="4">
        <v>3</v>
      </c>
    </row>
    <row r="3479" spans="1:17" ht="30" x14ac:dyDescent="0.25">
      <c r="A3479" s="2" t="s">
        <v>4533</v>
      </c>
      <c r="B3479" s="3" t="s">
        <v>5015</v>
      </c>
      <c r="C3479" s="3">
        <v>61</v>
      </c>
      <c r="D3479" s="46" t="str">
        <f>IF(Tabla1[[#This Row],[EDAD]]&lt;=35,"Adultos jóvenes 18 - 35 años",IF(C3479&gt;=36,"Adultos mayores 36 años en adelante"))</f>
        <v>Adultos mayores 36 años en adelante</v>
      </c>
      <c r="E3479" s="3" t="s">
        <v>5023</v>
      </c>
      <c r="F3479" s="3" t="s">
        <v>5029</v>
      </c>
      <c r="G3479" s="3" t="s">
        <v>5032</v>
      </c>
      <c r="H3479" s="3" t="s">
        <v>9556</v>
      </c>
      <c r="I3479" s="17">
        <v>45768</v>
      </c>
      <c r="J3479" s="18">
        <f>YEAR(Tabla1[[#This Row],[FECHA DE COMPRA]])</f>
        <v>2025</v>
      </c>
      <c r="K3479" s="19">
        <v>109.31</v>
      </c>
      <c r="L3479" s="20">
        <v>0</v>
      </c>
      <c r="M3479" s="19">
        <f>Tienda!$K3758-Tienda!$K3758*Tienda!$L3758</f>
        <v>99.170999999999992</v>
      </c>
      <c r="N3479" s="3" t="s">
        <v>10040</v>
      </c>
      <c r="O3479" s="3" t="s">
        <v>10042</v>
      </c>
      <c r="P3479" s="17">
        <v>45768</v>
      </c>
      <c r="Q3479" s="4">
        <v>3</v>
      </c>
    </row>
    <row r="3480" spans="1:17" ht="30" x14ac:dyDescent="0.25">
      <c r="A3480" s="2" t="s">
        <v>1406</v>
      </c>
      <c r="B3480" s="3" t="s">
        <v>5016</v>
      </c>
      <c r="C3480" s="3">
        <v>36</v>
      </c>
      <c r="D3480" s="46" t="str">
        <f>IF(Tabla1[[#This Row],[EDAD]]&lt;=35,"Adultos jóvenes 18 - 35 años",IF(C3480&gt;=36,"Adultos mayores 36 años en adelante"))</f>
        <v>Adultos mayores 36 años en adelante</v>
      </c>
      <c r="E3480" s="3" t="s">
        <v>5021</v>
      </c>
      <c r="F3480" s="3" t="s">
        <v>5026</v>
      </c>
      <c r="G3480" s="3" t="s">
        <v>5034</v>
      </c>
      <c r="H3480" s="3" t="s">
        <v>6429</v>
      </c>
      <c r="I3480" s="17">
        <v>45777</v>
      </c>
      <c r="J3480" s="18">
        <f>YEAR(Tabla1[[#This Row],[FECHA DE COMPRA]])</f>
        <v>2025</v>
      </c>
      <c r="K3480" s="19">
        <v>118.22</v>
      </c>
      <c r="L3480" s="20">
        <v>0.3</v>
      </c>
      <c r="M3480" s="19">
        <f>Tienda!$K3761-Tienda!$K3761*Tienda!$L3761</f>
        <v>92.52600000000001</v>
      </c>
      <c r="N3480" s="3" t="s">
        <v>10040</v>
      </c>
      <c r="O3480" s="3" t="s">
        <v>10042</v>
      </c>
      <c r="P3480" s="17">
        <v>45777</v>
      </c>
      <c r="Q3480" s="4">
        <v>3</v>
      </c>
    </row>
    <row r="3481" spans="1:17" ht="30" x14ac:dyDescent="0.25">
      <c r="A3481" s="2" t="s">
        <v>43</v>
      </c>
      <c r="B3481" s="3" t="s">
        <v>5015</v>
      </c>
      <c r="C3481" s="3">
        <v>58</v>
      </c>
      <c r="D3481" s="46" t="str">
        <f>IF(Tabla1[[#This Row],[EDAD]]&lt;=35,"Adultos jóvenes 18 - 35 años",IF(C3481&gt;=36,"Adultos mayores 36 años en adelante"))</f>
        <v>Adultos mayores 36 años en adelante</v>
      </c>
      <c r="E3481" s="3" t="s">
        <v>5022</v>
      </c>
      <c r="F3481" s="3" t="s">
        <v>5028</v>
      </c>
      <c r="G3481" s="3" t="s">
        <v>5036</v>
      </c>
      <c r="H3481" s="3" t="s">
        <v>5066</v>
      </c>
      <c r="I3481" s="17">
        <v>45761</v>
      </c>
      <c r="J3481" s="18">
        <f>YEAR(Tabla1[[#This Row],[FECHA DE COMPRA]])</f>
        <v>2025</v>
      </c>
      <c r="K3481" s="19">
        <v>121.19</v>
      </c>
      <c r="L3481" s="20">
        <v>0.2</v>
      </c>
      <c r="M3481" s="19">
        <f>Tienda!$K3762-Tienda!$K3762*Tienda!$L3762</f>
        <v>131.03100000000001</v>
      </c>
      <c r="N3481" s="3" t="s">
        <v>10040</v>
      </c>
      <c r="O3481" s="3" t="s">
        <v>10042</v>
      </c>
      <c r="P3481" s="17">
        <v>45761</v>
      </c>
      <c r="Q3481" s="4">
        <v>3</v>
      </c>
    </row>
    <row r="3482" spans="1:17" ht="30" x14ac:dyDescent="0.25">
      <c r="A3482" s="2" t="s">
        <v>112</v>
      </c>
      <c r="B3482" s="3" t="s">
        <v>5015</v>
      </c>
      <c r="C3482" s="3">
        <v>41</v>
      </c>
      <c r="D3482" s="46" t="str">
        <f>IF(Tabla1[[#This Row],[EDAD]]&lt;=35,"Adultos jóvenes 18 - 35 años",IF(C3482&gt;=36,"Adultos mayores 36 años en adelante"))</f>
        <v>Adultos mayores 36 años en adelante</v>
      </c>
      <c r="E3482" s="3" t="s">
        <v>5020</v>
      </c>
      <c r="F3482" s="3" t="s">
        <v>5030</v>
      </c>
      <c r="G3482" s="3" t="s">
        <v>5033</v>
      </c>
      <c r="H3482" s="3" t="s">
        <v>5135</v>
      </c>
      <c r="I3482" s="17">
        <v>45749</v>
      </c>
      <c r="J3482" s="18">
        <f>YEAR(Tabla1[[#This Row],[FECHA DE COMPRA]])</f>
        <v>2025</v>
      </c>
      <c r="K3482" s="19">
        <v>123.38</v>
      </c>
      <c r="L3482" s="20">
        <v>0.1</v>
      </c>
      <c r="M3482" s="19">
        <f>Tienda!$K3764-Tienda!$K3764*Tienda!$L3764</f>
        <v>54.97</v>
      </c>
      <c r="N3482" s="3" t="s">
        <v>10040</v>
      </c>
      <c r="O3482" s="3" t="s">
        <v>10042</v>
      </c>
      <c r="P3482" s="17">
        <v>45749</v>
      </c>
      <c r="Q3482" s="4">
        <v>3</v>
      </c>
    </row>
    <row r="3483" spans="1:17" ht="30" x14ac:dyDescent="0.25">
      <c r="A3483" s="2" t="s">
        <v>3226</v>
      </c>
      <c r="B3483" s="3" t="s">
        <v>5015</v>
      </c>
      <c r="C3483" s="3">
        <v>65</v>
      </c>
      <c r="D3483" s="46" t="str">
        <f>IF(Tabla1[[#This Row],[EDAD]]&lt;=35,"Adultos jóvenes 18 - 35 años",IF(C3483&gt;=36,"Adultos mayores 36 años en adelante"))</f>
        <v>Adultos mayores 36 años en adelante</v>
      </c>
      <c r="E3483" s="3" t="s">
        <v>5018</v>
      </c>
      <c r="F3483" s="3" t="s">
        <v>5025</v>
      </c>
      <c r="G3483" s="3" t="s">
        <v>5032</v>
      </c>
      <c r="H3483" s="3" t="s">
        <v>8249</v>
      </c>
      <c r="I3483" s="17">
        <v>45753</v>
      </c>
      <c r="J3483" s="18">
        <f>YEAR(Tabla1[[#This Row],[FECHA DE COMPRA]])</f>
        <v>2025</v>
      </c>
      <c r="K3483" s="19">
        <v>126.69</v>
      </c>
      <c r="L3483" s="20">
        <v>0.2</v>
      </c>
      <c r="M3483" s="19">
        <f>Tienda!$K3767-Tienda!$K3767*Tienda!$L3767</f>
        <v>93.312000000000012</v>
      </c>
      <c r="N3483" s="3" t="s">
        <v>10040</v>
      </c>
      <c r="O3483" s="3" t="s">
        <v>10042</v>
      </c>
      <c r="P3483" s="17">
        <v>45753</v>
      </c>
      <c r="Q3483" s="4">
        <v>3</v>
      </c>
    </row>
    <row r="3484" spans="1:17" ht="30" x14ac:dyDescent="0.25">
      <c r="A3484" s="2" t="s">
        <v>111</v>
      </c>
      <c r="B3484" s="3" t="s">
        <v>5015</v>
      </c>
      <c r="C3484" s="3">
        <v>51</v>
      </c>
      <c r="D3484" s="46" t="str">
        <f>IF(Tabla1[[#This Row],[EDAD]]&lt;=35,"Adultos jóvenes 18 - 35 años",IF(C3484&gt;=36,"Adultos mayores 36 años en adelante"))</f>
        <v>Adultos mayores 36 años en adelante</v>
      </c>
      <c r="E3484" s="3" t="s">
        <v>5021</v>
      </c>
      <c r="F3484" s="3" t="s">
        <v>5027</v>
      </c>
      <c r="G3484" s="3" t="s">
        <v>5034</v>
      </c>
      <c r="H3484" s="3" t="s">
        <v>5134</v>
      </c>
      <c r="I3484" s="17">
        <v>45749</v>
      </c>
      <c r="J3484" s="18">
        <f>YEAR(Tabla1[[#This Row],[FECHA DE COMPRA]])</f>
        <v>2025</v>
      </c>
      <c r="K3484" s="19">
        <v>140.9</v>
      </c>
      <c r="L3484" s="20">
        <v>0</v>
      </c>
      <c r="M3484" s="19">
        <f>Tienda!$K3769-Tienda!$K3769*Tienda!$L3769</f>
        <v>127.01499999999999</v>
      </c>
      <c r="N3484" s="3" t="s">
        <v>10040</v>
      </c>
      <c r="O3484" s="3" t="s">
        <v>10042</v>
      </c>
      <c r="P3484" s="17">
        <v>45749</v>
      </c>
      <c r="Q3484" s="4">
        <v>6</v>
      </c>
    </row>
    <row r="3485" spans="1:17" ht="30" x14ac:dyDescent="0.25">
      <c r="A3485" s="2" t="s">
        <v>3867</v>
      </c>
      <c r="B3485" s="3" t="s">
        <v>5015</v>
      </c>
      <c r="C3485" s="3">
        <v>51</v>
      </c>
      <c r="D3485" s="46" t="str">
        <f>IF(Tabla1[[#This Row],[EDAD]]&lt;=35,"Adultos jóvenes 18 - 35 años",IF(C3485&gt;=36,"Adultos mayores 36 años en adelante"))</f>
        <v>Adultos mayores 36 años en adelante</v>
      </c>
      <c r="E3485" s="3" t="s">
        <v>5020</v>
      </c>
      <c r="F3485" s="3" t="s">
        <v>5025</v>
      </c>
      <c r="G3485" s="3" t="s">
        <v>5035</v>
      </c>
      <c r="H3485" s="3" t="s">
        <v>8890</v>
      </c>
      <c r="I3485" s="17">
        <v>45769</v>
      </c>
      <c r="J3485" s="18">
        <f>YEAR(Tabla1[[#This Row],[FECHA DE COMPRA]])</f>
        <v>2025</v>
      </c>
      <c r="K3485" s="19">
        <v>142.43</v>
      </c>
      <c r="L3485" s="20">
        <v>0.1</v>
      </c>
      <c r="M3485" s="19">
        <f>Tienda!$K3770-Tienda!$K3770*Tienda!$L3770</f>
        <v>110.655</v>
      </c>
      <c r="N3485" s="3" t="s">
        <v>10040</v>
      </c>
      <c r="O3485" s="3" t="s">
        <v>10042</v>
      </c>
      <c r="P3485" s="17">
        <v>45769</v>
      </c>
      <c r="Q3485" s="4">
        <v>6</v>
      </c>
    </row>
    <row r="3486" spans="1:17" ht="30" x14ac:dyDescent="0.25">
      <c r="A3486" s="2" t="s">
        <v>2734</v>
      </c>
      <c r="B3486" s="3" t="s">
        <v>5015</v>
      </c>
      <c r="C3486" s="3">
        <v>43</v>
      </c>
      <c r="D3486" s="46" t="str">
        <f>IF(Tabla1[[#This Row],[EDAD]]&lt;=35,"Adultos jóvenes 18 - 35 años",IF(C3486&gt;=36,"Adultos mayores 36 años en adelante"))</f>
        <v>Adultos mayores 36 años en adelante</v>
      </c>
      <c r="E3486" s="3" t="s">
        <v>5020</v>
      </c>
      <c r="F3486" s="3" t="s">
        <v>5027</v>
      </c>
      <c r="G3486" s="3" t="s">
        <v>5036</v>
      </c>
      <c r="H3486" s="3" t="s">
        <v>7757</v>
      </c>
      <c r="I3486" s="17">
        <v>45758</v>
      </c>
      <c r="J3486" s="18">
        <f>YEAR(Tabla1[[#This Row],[FECHA DE COMPRA]])</f>
        <v>2025</v>
      </c>
      <c r="K3486" s="19">
        <v>152.86000000000001</v>
      </c>
      <c r="L3486" s="20">
        <v>0.3</v>
      </c>
      <c r="M3486" s="19">
        <f>Tienda!$K3772-Tienda!$K3772*Tienda!$L3772</f>
        <v>151.97</v>
      </c>
      <c r="N3486" s="3" t="s">
        <v>10040</v>
      </c>
      <c r="O3486" s="3" t="s">
        <v>10042</v>
      </c>
      <c r="P3486" s="17">
        <v>45758</v>
      </c>
      <c r="Q3486" s="4">
        <v>6</v>
      </c>
    </row>
    <row r="3487" spans="1:17" ht="30" x14ac:dyDescent="0.25">
      <c r="A3487" s="2" t="s">
        <v>4300</v>
      </c>
      <c r="B3487" s="3" t="s">
        <v>5015</v>
      </c>
      <c r="C3487" s="3">
        <v>37</v>
      </c>
      <c r="D3487" s="46" t="str">
        <f>IF(Tabla1[[#This Row],[EDAD]]&lt;=35,"Adultos jóvenes 18 - 35 años",IF(C3487&gt;=36,"Adultos mayores 36 años en adelante"))</f>
        <v>Adultos mayores 36 años en adelante</v>
      </c>
      <c r="E3487" s="3" t="s">
        <v>5018</v>
      </c>
      <c r="F3487" s="3" t="s">
        <v>5026</v>
      </c>
      <c r="G3487" s="3" t="s">
        <v>5035</v>
      </c>
      <c r="H3487" s="3" t="s">
        <v>9323</v>
      </c>
      <c r="I3487" s="17">
        <v>45754</v>
      </c>
      <c r="J3487" s="18">
        <f>YEAR(Tabla1[[#This Row],[FECHA DE COMPRA]])</f>
        <v>2025</v>
      </c>
      <c r="K3487" s="19">
        <v>165.09</v>
      </c>
      <c r="L3487" s="20">
        <v>0</v>
      </c>
      <c r="M3487" s="19">
        <f>Tienda!$K3774-Tienda!$K3774*Tienda!$L3774</f>
        <v>129.892</v>
      </c>
      <c r="N3487" s="3" t="s">
        <v>10040</v>
      </c>
      <c r="O3487" s="3" t="s">
        <v>10042</v>
      </c>
      <c r="P3487" s="17">
        <v>45754</v>
      </c>
      <c r="Q3487" s="4">
        <v>6</v>
      </c>
    </row>
    <row r="3488" spans="1:17" ht="30" x14ac:dyDescent="0.25">
      <c r="A3488" s="2" t="s">
        <v>3248</v>
      </c>
      <c r="B3488" s="3" t="s">
        <v>5016</v>
      </c>
      <c r="C3488" s="3">
        <v>63</v>
      </c>
      <c r="D3488" s="46" t="str">
        <f>IF(Tabla1[[#This Row],[EDAD]]&lt;=35,"Adultos jóvenes 18 - 35 años",IF(C3488&gt;=36,"Adultos mayores 36 años en adelante"))</f>
        <v>Adultos mayores 36 años en adelante</v>
      </c>
      <c r="E3488" s="3" t="s">
        <v>5021</v>
      </c>
      <c r="F3488" s="3" t="s">
        <v>5026</v>
      </c>
      <c r="G3488" s="3" t="s">
        <v>5034</v>
      </c>
      <c r="H3488" s="3" t="s">
        <v>8271</v>
      </c>
      <c r="I3488" s="17">
        <v>45765</v>
      </c>
      <c r="J3488" s="18">
        <f>YEAR(Tabla1[[#This Row],[FECHA DE COMPRA]])</f>
        <v>2025</v>
      </c>
      <c r="K3488" s="19">
        <v>175.6</v>
      </c>
      <c r="L3488" s="20">
        <v>0.3</v>
      </c>
      <c r="M3488" s="19">
        <f>Tienda!$K3776-Tienda!$K3776*Tienda!$L3776</f>
        <v>24.59</v>
      </c>
      <c r="N3488" s="3" t="s">
        <v>10040</v>
      </c>
      <c r="O3488" s="3" t="s">
        <v>10042</v>
      </c>
      <c r="P3488" s="17">
        <v>45765</v>
      </c>
      <c r="Q3488" s="4">
        <v>6</v>
      </c>
    </row>
    <row r="3489" spans="1:17" ht="30" x14ac:dyDescent="0.25">
      <c r="A3489" s="2" t="s">
        <v>872</v>
      </c>
      <c r="B3489" s="3" t="s">
        <v>5015</v>
      </c>
      <c r="C3489" s="3">
        <v>63</v>
      </c>
      <c r="D3489" s="46" t="str">
        <f>IF(Tabla1[[#This Row],[EDAD]]&lt;=35,"Adultos jóvenes 18 - 35 años",IF(C3489&gt;=36,"Adultos mayores 36 años en adelante"))</f>
        <v>Adultos mayores 36 años en adelante</v>
      </c>
      <c r="E3489" s="3" t="s">
        <v>5021</v>
      </c>
      <c r="F3489" s="3" t="s">
        <v>5028</v>
      </c>
      <c r="G3489" s="3" t="s">
        <v>5033</v>
      </c>
      <c r="H3489" s="3" t="s">
        <v>5895</v>
      </c>
      <c r="I3489" s="17">
        <v>45765</v>
      </c>
      <c r="J3489" s="18">
        <f>YEAR(Tabla1[[#This Row],[FECHA DE COMPRA]])</f>
        <v>2025</v>
      </c>
      <c r="K3489" s="19">
        <v>180.85</v>
      </c>
      <c r="L3489" s="20">
        <v>0.3</v>
      </c>
      <c r="M3489" s="19">
        <f>Tienda!$K3779-Tienda!$K3779*Tienda!$L3779</f>
        <v>132.17400000000001</v>
      </c>
      <c r="N3489" s="3" t="s">
        <v>10040</v>
      </c>
      <c r="O3489" s="3" t="s">
        <v>10042</v>
      </c>
      <c r="P3489" s="17">
        <v>45765</v>
      </c>
      <c r="Q3489" s="4">
        <v>3</v>
      </c>
    </row>
    <row r="3490" spans="1:17" ht="30" x14ac:dyDescent="0.25">
      <c r="A3490" s="2" t="s">
        <v>3499</v>
      </c>
      <c r="B3490" s="3" t="s">
        <v>5015</v>
      </c>
      <c r="C3490" s="3">
        <v>48</v>
      </c>
      <c r="D3490" s="46" t="str">
        <f>IF(Tabla1[[#This Row],[EDAD]]&lt;=35,"Adultos jóvenes 18 - 35 años",IF(C3490&gt;=36,"Adultos mayores 36 años en adelante"))</f>
        <v>Adultos mayores 36 años en adelante</v>
      </c>
      <c r="E3490" s="3" t="s">
        <v>5020</v>
      </c>
      <c r="F3490" s="3" t="s">
        <v>5028</v>
      </c>
      <c r="G3490" s="3" t="s">
        <v>5036</v>
      </c>
      <c r="H3490" s="3" t="s">
        <v>8522</v>
      </c>
      <c r="I3490" s="17">
        <v>45750</v>
      </c>
      <c r="J3490" s="18">
        <f>YEAR(Tabla1[[#This Row],[FECHA DE COMPRA]])</f>
        <v>2025</v>
      </c>
      <c r="K3490" s="19">
        <v>183.05</v>
      </c>
      <c r="L3490" s="20">
        <v>0.1</v>
      </c>
      <c r="M3490" s="19">
        <f>Tienda!$K3780-Tienda!$K3780*Tienda!$L3780</f>
        <v>112.672</v>
      </c>
      <c r="N3490" s="3" t="s">
        <v>10040</v>
      </c>
      <c r="O3490" s="3" t="s">
        <v>10042</v>
      </c>
      <c r="P3490" s="17">
        <v>45750</v>
      </c>
      <c r="Q3490" s="4">
        <v>3</v>
      </c>
    </row>
    <row r="3491" spans="1:17" ht="30" x14ac:dyDescent="0.25">
      <c r="A3491" s="2" t="s">
        <v>1278</v>
      </c>
      <c r="B3491" s="3" t="s">
        <v>5015</v>
      </c>
      <c r="C3491" s="3">
        <v>63</v>
      </c>
      <c r="D3491" s="46" t="str">
        <f>IF(Tabla1[[#This Row],[EDAD]]&lt;=35,"Adultos jóvenes 18 - 35 años",IF(C3491&gt;=36,"Adultos mayores 36 años en adelante"))</f>
        <v>Adultos mayores 36 años en adelante</v>
      </c>
      <c r="E3491" s="3" t="s">
        <v>5017</v>
      </c>
      <c r="F3491" s="3" t="s">
        <v>5029</v>
      </c>
      <c r="G3491" s="3" t="s">
        <v>5033</v>
      </c>
      <c r="H3491" s="3" t="s">
        <v>6301</v>
      </c>
      <c r="I3491" s="17">
        <v>45767</v>
      </c>
      <c r="J3491" s="18">
        <f>YEAR(Tabla1[[#This Row],[FECHA DE COMPRA]])</f>
        <v>2025</v>
      </c>
      <c r="K3491" s="19">
        <v>184.16</v>
      </c>
      <c r="L3491" s="20">
        <v>0.3</v>
      </c>
      <c r="M3491" s="19">
        <f>Tienda!$K3781-Tienda!$K3781*Tienda!$L3781</f>
        <v>165.339</v>
      </c>
      <c r="N3491" s="3" t="s">
        <v>10040</v>
      </c>
      <c r="O3491" s="3" t="s">
        <v>10042</v>
      </c>
      <c r="P3491" s="17">
        <v>45767</v>
      </c>
      <c r="Q3491" s="4">
        <v>3</v>
      </c>
    </row>
    <row r="3492" spans="1:17" ht="30" x14ac:dyDescent="0.25">
      <c r="A3492" s="2" t="s">
        <v>3220</v>
      </c>
      <c r="B3492" s="3" t="s">
        <v>5015</v>
      </c>
      <c r="C3492" s="3">
        <v>62</v>
      </c>
      <c r="D3492" s="46" t="str">
        <f>IF(Tabla1[[#This Row],[EDAD]]&lt;=35,"Adultos jóvenes 18 - 35 años",IF(C3492&gt;=36,"Adultos mayores 36 años en adelante"))</f>
        <v>Adultos mayores 36 años en adelante</v>
      </c>
      <c r="E3492" s="3" t="s">
        <v>5020</v>
      </c>
      <c r="F3492" s="3" t="s">
        <v>5029</v>
      </c>
      <c r="G3492" s="3" t="s">
        <v>5035</v>
      </c>
      <c r="H3492" s="3" t="s">
        <v>8243</v>
      </c>
      <c r="I3492" s="17">
        <v>45772</v>
      </c>
      <c r="J3492" s="18">
        <f>YEAR(Tabla1[[#This Row],[FECHA DE COMPRA]])</f>
        <v>2025</v>
      </c>
      <c r="K3492" s="19">
        <v>189.84</v>
      </c>
      <c r="L3492" s="20">
        <v>0.2</v>
      </c>
      <c r="M3492" s="19">
        <f>Tienda!$K3782-Tienda!$K3782*Tienda!$L3782</f>
        <v>192.78</v>
      </c>
      <c r="N3492" s="3" t="s">
        <v>10040</v>
      </c>
      <c r="O3492" s="3" t="s">
        <v>10042</v>
      </c>
      <c r="P3492" s="17">
        <v>45772</v>
      </c>
      <c r="Q3492" s="4">
        <v>3</v>
      </c>
    </row>
    <row r="3493" spans="1:17" ht="30" x14ac:dyDescent="0.25">
      <c r="A3493" s="2" t="s">
        <v>3762</v>
      </c>
      <c r="B3493" s="3" t="s">
        <v>5015</v>
      </c>
      <c r="C3493" s="3">
        <v>50</v>
      </c>
      <c r="D3493" s="46" t="str">
        <f>IF(Tabla1[[#This Row],[EDAD]]&lt;=35,"Adultos jóvenes 18 - 35 años",IF(C3493&gt;=36,"Adultos mayores 36 años en adelante"))</f>
        <v>Adultos mayores 36 años en adelante</v>
      </c>
      <c r="E3493" s="3" t="s">
        <v>5020</v>
      </c>
      <c r="F3493" s="3" t="s">
        <v>5029</v>
      </c>
      <c r="G3493" s="3" t="s">
        <v>5035</v>
      </c>
      <c r="H3493" s="3" t="s">
        <v>8785</v>
      </c>
      <c r="I3493" s="17">
        <v>45771</v>
      </c>
      <c r="J3493" s="18">
        <f>YEAR(Tabla1[[#This Row],[FECHA DE COMPRA]])</f>
        <v>2025</v>
      </c>
      <c r="K3493" s="19">
        <v>192.18</v>
      </c>
      <c r="L3493" s="20">
        <v>0.1</v>
      </c>
      <c r="M3493" s="19">
        <f>Tienda!$K3783-Tienda!$K3783*Tienda!$L3783</f>
        <v>172.791</v>
      </c>
      <c r="N3493" s="3" t="s">
        <v>10040</v>
      </c>
      <c r="O3493" s="3" t="s">
        <v>10042</v>
      </c>
      <c r="P3493" s="17">
        <v>45771</v>
      </c>
      <c r="Q3493" s="4">
        <v>3</v>
      </c>
    </row>
    <row r="3494" spans="1:17" ht="30" x14ac:dyDescent="0.25">
      <c r="A3494" s="2" t="s">
        <v>3027</v>
      </c>
      <c r="B3494" s="3" t="s">
        <v>5015</v>
      </c>
      <c r="C3494" s="3">
        <v>56</v>
      </c>
      <c r="D3494" s="46" t="str">
        <f>IF(Tabla1[[#This Row],[EDAD]]&lt;=35,"Adultos jóvenes 18 - 35 años",IF(C3494&gt;=36,"Adultos mayores 36 años en adelante"))</f>
        <v>Adultos mayores 36 años en adelante</v>
      </c>
      <c r="E3494" s="3" t="s">
        <v>5023</v>
      </c>
      <c r="F3494" s="3" t="s">
        <v>5030</v>
      </c>
      <c r="G3494" s="3" t="s">
        <v>5033</v>
      </c>
      <c r="H3494" s="3" t="s">
        <v>8050</v>
      </c>
      <c r="I3494" s="17">
        <v>45770</v>
      </c>
      <c r="J3494" s="18">
        <f>YEAR(Tabla1[[#This Row],[FECHA DE COMPRA]])</f>
        <v>2025</v>
      </c>
      <c r="K3494" s="19">
        <v>199.77</v>
      </c>
      <c r="L3494" s="20">
        <v>0.1</v>
      </c>
      <c r="M3494" s="19">
        <f>Tienda!$K3786-Tienda!$K3786*Tienda!$L3786</f>
        <v>14.2</v>
      </c>
      <c r="N3494" s="3" t="s">
        <v>10040</v>
      </c>
      <c r="O3494" s="3" t="s">
        <v>10042</v>
      </c>
      <c r="P3494" s="17">
        <v>45770</v>
      </c>
      <c r="Q3494" s="4">
        <v>3</v>
      </c>
    </row>
    <row r="3495" spans="1:17" ht="30" x14ac:dyDescent="0.25">
      <c r="A3495" s="2" t="s">
        <v>562</v>
      </c>
      <c r="B3495" s="3" t="s">
        <v>5015</v>
      </c>
      <c r="C3495" s="3">
        <v>36</v>
      </c>
      <c r="D3495" s="46" t="str">
        <f>IF(Tabla1[[#This Row],[EDAD]]&lt;=35,"Adultos jóvenes 18 - 35 años",IF(C3495&gt;=36,"Adultos mayores 36 años en adelante"))</f>
        <v>Adultos mayores 36 años en adelante</v>
      </c>
      <c r="E3495" s="3" t="s">
        <v>5020</v>
      </c>
      <c r="F3495" s="3" t="s">
        <v>5028</v>
      </c>
      <c r="G3495" s="3" t="s">
        <v>5035</v>
      </c>
      <c r="H3495" s="3" t="s">
        <v>5585</v>
      </c>
      <c r="I3495" s="17">
        <v>45789</v>
      </c>
      <c r="J3495" s="18">
        <f>YEAR(Tabla1[[#This Row],[FECHA DE COMPRA]])</f>
        <v>2025</v>
      </c>
      <c r="K3495" s="19">
        <v>20.16</v>
      </c>
      <c r="L3495" s="20">
        <v>0.3</v>
      </c>
      <c r="M3495" s="19">
        <f>Tienda!$K3788-Tienda!$K3788*Tienda!$L3788</f>
        <v>31.12</v>
      </c>
      <c r="N3495" s="3" t="s">
        <v>10040</v>
      </c>
      <c r="O3495" s="3" t="s">
        <v>10042</v>
      </c>
      <c r="P3495" s="17">
        <v>45789</v>
      </c>
      <c r="Q3495" s="4">
        <v>3</v>
      </c>
    </row>
    <row r="3496" spans="1:17" ht="30" x14ac:dyDescent="0.25">
      <c r="A3496" s="2" t="s">
        <v>704</v>
      </c>
      <c r="B3496" s="3" t="s">
        <v>5015</v>
      </c>
      <c r="C3496" s="3">
        <v>63</v>
      </c>
      <c r="D3496" s="46" t="str">
        <f>IF(Tabla1[[#This Row],[EDAD]]&lt;=35,"Adultos jóvenes 18 - 35 años",IF(C3496&gt;=36,"Adultos mayores 36 años en adelante"))</f>
        <v>Adultos mayores 36 años en adelante</v>
      </c>
      <c r="E3496" s="3" t="s">
        <v>5022</v>
      </c>
      <c r="F3496" s="3" t="s">
        <v>5026</v>
      </c>
      <c r="G3496" s="3" t="s">
        <v>5037</v>
      </c>
      <c r="H3496" s="3" t="s">
        <v>5727</v>
      </c>
      <c r="I3496" s="17">
        <v>45803</v>
      </c>
      <c r="J3496" s="18">
        <f>YEAR(Tabla1[[#This Row],[FECHA DE COMPRA]])</f>
        <v>2025</v>
      </c>
      <c r="K3496" s="19">
        <v>23.69</v>
      </c>
      <c r="L3496" s="20">
        <v>0.1</v>
      </c>
      <c r="M3496" s="19">
        <f>Tienda!$K3789-Tienda!$K3789*Tienda!$L3789</f>
        <v>44.91</v>
      </c>
      <c r="N3496" s="3" t="s">
        <v>10040</v>
      </c>
      <c r="O3496" s="3" t="s">
        <v>10042</v>
      </c>
      <c r="P3496" s="17">
        <v>45803</v>
      </c>
      <c r="Q3496" s="4">
        <v>3</v>
      </c>
    </row>
    <row r="3497" spans="1:17" ht="30" x14ac:dyDescent="0.25">
      <c r="A3497" s="2" t="s">
        <v>2822</v>
      </c>
      <c r="B3497" s="3" t="s">
        <v>5015</v>
      </c>
      <c r="C3497" s="3">
        <v>60</v>
      </c>
      <c r="D3497" s="46" t="str">
        <f>IF(Tabla1[[#This Row],[EDAD]]&lt;=35,"Adultos jóvenes 18 - 35 años",IF(C3497&gt;=36,"Adultos mayores 36 años en adelante"))</f>
        <v>Adultos mayores 36 años en adelante</v>
      </c>
      <c r="E3497" s="3" t="s">
        <v>5022</v>
      </c>
      <c r="F3497" s="3" t="s">
        <v>5027</v>
      </c>
      <c r="G3497" s="3" t="s">
        <v>5036</v>
      </c>
      <c r="H3497" s="3" t="s">
        <v>7845</v>
      </c>
      <c r="I3497" s="17">
        <v>45782</v>
      </c>
      <c r="J3497" s="18">
        <f>YEAR(Tabla1[[#This Row],[FECHA DE COMPRA]])</f>
        <v>2025</v>
      </c>
      <c r="K3497" s="19">
        <v>26.9</v>
      </c>
      <c r="L3497" s="20">
        <v>0.3</v>
      </c>
      <c r="M3497" s="19">
        <f>Tienda!$K3790-Tienda!$K3790*Tienda!$L3790</f>
        <v>57.694000000000003</v>
      </c>
      <c r="N3497" s="3" t="s">
        <v>10040</v>
      </c>
      <c r="O3497" s="3" t="s">
        <v>10042</v>
      </c>
      <c r="P3497" s="17">
        <v>45782</v>
      </c>
      <c r="Q3497" s="4">
        <v>6</v>
      </c>
    </row>
    <row r="3498" spans="1:17" ht="30" x14ac:dyDescent="0.25">
      <c r="A3498" s="2" t="s">
        <v>2007</v>
      </c>
      <c r="B3498" s="3" t="s">
        <v>5015</v>
      </c>
      <c r="C3498" s="3">
        <v>58</v>
      </c>
      <c r="D3498" s="46" t="str">
        <f>IF(Tabla1[[#This Row],[EDAD]]&lt;=35,"Adultos jóvenes 18 - 35 años",IF(C3498&gt;=36,"Adultos mayores 36 años en adelante"))</f>
        <v>Adultos mayores 36 años en adelante</v>
      </c>
      <c r="E3498" s="3" t="s">
        <v>5022</v>
      </c>
      <c r="F3498" s="3" t="s">
        <v>5030</v>
      </c>
      <c r="G3498" s="3" t="s">
        <v>5037</v>
      </c>
      <c r="H3498" s="3" t="s">
        <v>7030</v>
      </c>
      <c r="I3498" s="17">
        <v>45781</v>
      </c>
      <c r="J3498" s="18">
        <f>YEAR(Tabla1[[#This Row],[FECHA DE COMPRA]])</f>
        <v>2025</v>
      </c>
      <c r="K3498" s="19">
        <v>27.4</v>
      </c>
      <c r="L3498" s="20">
        <v>0.1</v>
      </c>
      <c r="M3498" s="19">
        <f>Tienda!$K3791-Tienda!$K3791*Tienda!$L3791</f>
        <v>94.734000000000009</v>
      </c>
      <c r="N3498" s="3" t="s">
        <v>10040</v>
      </c>
      <c r="O3498" s="3" t="s">
        <v>10042</v>
      </c>
      <c r="P3498" s="17">
        <v>45781</v>
      </c>
      <c r="Q3498" s="4">
        <v>6</v>
      </c>
    </row>
    <row r="3499" spans="1:17" ht="30" x14ac:dyDescent="0.25">
      <c r="A3499" s="2" t="s">
        <v>2973</v>
      </c>
      <c r="B3499" s="3" t="s">
        <v>5016</v>
      </c>
      <c r="C3499" s="3">
        <v>44</v>
      </c>
      <c r="D3499" s="46" t="str">
        <f>IF(Tabla1[[#This Row],[EDAD]]&lt;=35,"Adultos jóvenes 18 - 35 años",IF(C3499&gt;=36,"Adultos mayores 36 años en adelante"))</f>
        <v>Adultos mayores 36 años en adelante</v>
      </c>
      <c r="E3499" s="3" t="s">
        <v>5021</v>
      </c>
      <c r="F3499" s="3" t="s">
        <v>5024</v>
      </c>
      <c r="G3499" s="3" t="s">
        <v>5036</v>
      </c>
      <c r="H3499" s="3" t="s">
        <v>7996</v>
      </c>
      <c r="I3499" s="17">
        <v>45785</v>
      </c>
      <c r="J3499" s="18">
        <f>YEAR(Tabla1[[#This Row],[FECHA DE COMPRA]])</f>
        <v>2025</v>
      </c>
      <c r="K3499" s="19">
        <v>29.94</v>
      </c>
      <c r="L3499" s="20">
        <v>0.1</v>
      </c>
      <c r="M3499" s="19">
        <f>Tienda!$K3792-Tienda!$K3792*Tienda!$L3792</f>
        <v>123.3</v>
      </c>
      <c r="N3499" s="3" t="s">
        <v>10040</v>
      </c>
      <c r="O3499" s="3" t="s">
        <v>10042</v>
      </c>
      <c r="P3499" s="17">
        <v>45785</v>
      </c>
      <c r="Q3499" s="4">
        <v>6</v>
      </c>
    </row>
    <row r="3500" spans="1:17" ht="30" x14ac:dyDescent="0.25">
      <c r="A3500" s="2" t="s">
        <v>3502</v>
      </c>
      <c r="B3500" s="3" t="s">
        <v>5016</v>
      </c>
      <c r="C3500" s="3">
        <v>54</v>
      </c>
      <c r="D3500" s="46" t="str">
        <f>IF(Tabla1[[#This Row],[EDAD]]&lt;=35,"Adultos jóvenes 18 - 35 años",IF(C3500&gt;=36,"Adultos mayores 36 años en adelante"))</f>
        <v>Adultos mayores 36 años en adelante</v>
      </c>
      <c r="E3500" s="3" t="s">
        <v>5019</v>
      </c>
      <c r="F3500" s="3" t="s">
        <v>5026</v>
      </c>
      <c r="G3500" s="3" t="s">
        <v>5036</v>
      </c>
      <c r="H3500" s="3" t="s">
        <v>8525</v>
      </c>
      <c r="I3500" s="17">
        <v>45780</v>
      </c>
      <c r="J3500" s="18">
        <f>YEAR(Tabla1[[#This Row],[FECHA DE COMPRA]])</f>
        <v>2025</v>
      </c>
      <c r="K3500" s="19">
        <v>35.799999999999997</v>
      </c>
      <c r="L3500" s="20">
        <v>0.3</v>
      </c>
      <c r="M3500" s="19">
        <f>Tienda!$K3793-Tienda!$K3793*Tienda!$L3793</f>
        <v>126.65699999999998</v>
      </c>
      <c r="N3500" s="3" t="s">
        <v>10040</v>
      </c>
      <c r="O3500" s="3" t="s">
        <v>10042</v>
      </c>
      <c r="P3500" s="17">
        <v>45780</v>
      </c>
      <c r="Q3500" s="4">
        <v>6</v>
      </c>
    </row>
    <row r="3501" spans="1:17" ht="30" x14ac:dyDescent="0.25">
      <c r="A3501" s="2" t="s">
        <v>3241</v>
      </c>
      <c r="B3501" s="3" t="s">
        <v>5016</v>
      </c>
      <c r="C3501" s="3">
        <v>54</v>
      </c>
      <c r="D3501" s="46" t="str">
        <f>IF(Tabla1[[#This Row],[EDAD]]&lt;=35,"Adultos jóvenes 18 - 35 años",IF(C3501&gt;=36,"Adultos mayores 36 años en adelante"))</f>
        <v>Adultos mayores 36 años en adelante</v>
      </c>
      <c r="E3501" s="3" t="s">
        <v>5023</v>
      </c>
      <c r="F3501" s="3" t="s">
        <v>5030</v>
      </c>
      <c r="G3501" s="3" t="s">
        <v>5033</v>
      </c>
      <c r="H3501" s="3" t="s">
        <v>8264</v>
      </c>
      <c r="I3501" s="17">
        <v>45779</v>
      </c>
      <c r="J3501" s="18">
        <f>YEAR(Tabla1[[#This Row],[FECHA DE COMPRA]])</f>
        <v>2025</v>
      </c>
      <c r="K3501" s="19">
        <v>51.81</v>
      </c>
      <c r="L3501" s="20">
        <v>0.3</v>
      </c>
      <c r="M3501" s="19">
        <f>Tienda!$K3794-Tienda!$K3794*Tienda!$L3794</f>
        <v>155.08000000000001</v>
      </c>
      <c r="N3501" s="3" t="s">
        <v>10040</v>
      </c>
      <c r="O3501" s="3" t="s">
        <v>10042</v>
      </c>
      <c r="P3501" s="17">
        <v>45779</v>
      </c>
      <c r="Q3501" s="4">
        <v>6</v>
      </c>
    </row>
    <row r="3502" spans="1:17" ht="30" x14ac:dyDescent="0.25">
      <c r="A3502" s="2" t="s">
        <v>2856</v>
      </c>
      <c r="B3502" s="3" t="s">
        <v>5015</v>
      </c>
      <c r="C3502" s="3">
        <v>44</v>
      </c>
      <c r="D3502" s="46" t="str">
        <f>IF(Tabla1[[#This Row],[EDAD]]&lt;=35,"Adultos jóvenes 18 - 35 años",IF(C3502&gt;=36,"Adultos mayores 36 años en adelante"))</f>
        <v>Adultos mayores 36 años en adelante</v>
      </c>
      <c r="E3502" s="3" t="s">
        <v>5020</v>
      </c>
      <c r="F3502" s="3" t="s">
        <v>5026</v>
      </c>
      <c r="G3502" s="3" t="s">
        <v>5032</v>
      </c>
      <c r="H3502" s="3" t="s">
        <v>7879</v>
      </c>
      <c r="I3502" s="17">
        <v>45796</v>
      </c>
      <c r="J3502" s="18">
        <f>YEAR(Tabla1[[#This Row],[FECHA DE COMPRA]])</f>
        <v>2025</v>
      </c>
      <c r="K3502" s="19">
        <v>54.35</v>
      </c>
      <c r="L3502" s="20">
        <v>0.1</v>
      </c>
      <c r="M3502" s="19">
        <f>Tienda!$K3795-Tienda!$K3795*Tienda!$L3795</f>
        <v>167.46</v>
      </c>
      <c r="N3502" s="3" t="s">
        <v>10040</v>
      </c>
      <c r="O3502" s="3" t="s">
        <v>10042</v>
      </c>
      <c r="P3502" s="17">
        <v>45796</v>
      </c>
      <c r="Q3502" s="4">
        <v>6</v>
      </c>
    </row>
    <row r="3503" spans="1:17" ht="30" x14ac:dyDescent="0.25">
      <c r="A3503" s="2" t="s">
        <v>1740</v>
      </c>
      <c r="B3503" s="3" t="s">
        <v>5015</v>
      </c>
      <c r="C3503" s="3">
        <v>59</v>
      </c>
      <c r="D3503" s="46" t="str">
        <f>IF(Tabla1[[#This Row],[EDAD]]&lt;=35,"Adultos jóvenes 18 - 35 años",IF(C3503&gt;=36,"Adultos mayores 36 años en adelante"))</f>
        <v>Adultos mayores 36 años en adelante</v>
      </c>
      <c r="E3503" s="3" t="s">
        <v>5017</v>
      </c>
      <c r="F3503" s="3" t="s">
        <v>5026</v>
      </c>
      <c r="G3503" s="3" t="s">
        <v>5033</v>
      </c>
      <c r="H3503" s="3" t="s">
        <v>6763</v>
      </c>
      <c r="I3503" s="17">
        <v>45785</v>
      </c>
      <c r="J3503" s="18">
        <f>YEAR(Tabla1[[#This Row],[FECHA DE COMPRA]])</f>
        <v>2025</v>
      </c>
      <c r="K3503" s="19">
        <v>57.13</v>
      </c>
      <c r="L3503" s="20">
        <v>0</v>
      </c>
      <c r="M3503" s="19">
        <f>Tienda!$K3796-Tienda!$K3796*Tienda!$L3796</f>
        <v>192.64</v>
      </c>
      <c r="N3503" s="3" t="s">
        <v>10040</v>
      </c>
      <c r="O3503" s="3" t="s">
        <v>10042</v>
      </c>
      <c r="P3503" s="17">
        <v>45785</v>
      </c>
      <c r="Q3503" s="4">
        <v>6</v>
      </c>
    </row>
    <row r="3504" spans="1:17" ht="30" x14ac:dyDescent="0.25">
      <c r="A3504" s="2" t="s">
        <v>3227</v>
      </c>
      <c r="B3504" s="3" t="s">
        <v>5016</v>
      </c>
      <c r="C3504" s="3">
        <v>39</v>
      </c>
      <c r="D3504" s="46" t="str">
        <f>IF(Tabla1[[#This Row],[EDAD]]&lt;=35,"Adultos jóvenes 18 - 35 años",IF(C3504&gt;=36,"Adultos mayores 36 años en adelante"))</f>
        <v>Adultos mayores 36 años en adelante</v>
      </c>
      <c r="E3504" s="3" t="s">
        <v>5017</v>
      </c>
      <c r="F3504" s="3" t="s">
        <v>5030</v>
      </c>
      <c r="G3504" s="3" t="s">
        <v>5034</v>
      </c>
      <c r="H3504" s="3" t="s">
        <v>8250</v>
      </c>
      <c r="I3504" s="17">
        <v>45788</v>
      </c>
      <c r="J3504" s="18">
        <f>YEAR(Tabla1[[#This Row],[FECHA DE COMPRA]])</f>
        <v>2025</v>
      </c>
      <c r="K3504" s="19">
        <v>61.18</v>
      </c>
      <c r="L3504" s="20">
        <v>0</v>
      </c>
      <c r="M3504" s="19">
        <f>Tienda!$K3797-Tienda!$K3797*Tienda!$L3797</f>
        <v>193.1</v>
      </c>
      <c r="N3504" s="3" t="s">
        <v>10040</v>
      </c>
      <c r="O3504" s="3" t="s">
        <v>10042</v>
      </c>
      <c r="P3504" s="17">
        <v>45788</v>
      </c>
      <c r="Q3504" s="4">
        <v>6</v>
      </c>
    </row>
    <row r="3505" spans="1:17" ht="30" x14ac:dyDescent="0.25">
      <c r="A3505" s="2" t="s">
        <v>3688</v>
      </c>
      <c r="B3505" s="3" t="s">
        <v>5015</v>
      </c>
      <c r="C3505" s="3">
        <v>41</v>
      </c>
      <c r="D3505" s="46" t="str">
        <f>IF(Tabla1[[#This Row],[EDAD]]&lt;=35,"Adultos jóvenes 18 - 35 años",IF(C3505&gt;=36,"Adultos mayores 36 años en adelante"))</f>
        <v>Adultos mayores 36 años en adelante</v>
      </c>
      <c r="E3505" s="3" t="s">
        <v>5020</v>
      </c>
      <c r="F3505" s="3" t="s">
        <v>5026</v>
      </c>
      <c r="G3505" s="3" t="s">
        <v>5034</v>
      </c>
      <c r="H3505" s="3" t="s">
        <v>8711</v>
      </c>
      <c r="I3505" s="17">
        <v>45805</v>
      </c>
      <c r="J3505" s="18">
        <f>YEAR(Tabla1[[#This Row],[FECHA DE COMPRA]])</f>
        <v>2025</v>
      </c>
      <c r="K3505" s="19">
        <v>66.88</v>
      </c>
      <c r="L3505" s="20">
        <v>0.2</v>
      </c>
      <c r="M3505" s="19">
        <f>Tienda!$K3798-Tienda!$K3798*Tienda!$L3798</f>
        <v>46.024000000000001</v>
      </c>
      <c r="N3505" s="3" t="s">
        <v>10040</v>
      </c>
      <c r="O3505" s="3" t="s">
        <v>10042</v>
      </c>
      <c r="P3505" s="17">
        <v>45805</v>
      </c>
      <c r="Q3505" s="4">
        <v>6</v>
      </c>
    </row>
    <row r="3506" spans="1:17" ht="30" x14ac:dyDescent="0.25">
      <c r="A3506" s="2" t="s">
        <v>3219</v>
      </c>
      <c r="B3506" s="3" t="s">
        <v>5015</v>
      </c>
      <c r="C3506" s="3">
        <v>45</v>
      </c>
      <c r="D3506" s="46" t="str">
        <f>IF(Tabla1[[#This Row],[EDAD]]&lt;=35,"Adultos jóvenes 18 - 35 años",IF(C3506&gt;=36,"Adultos mayores 36 años en adelante"))</f>
        <v>Adultos mayores 36 años en adelante</v>
      </c>
      <c r="E3506" s="3" t="s">
        <v>5021</v>
      </c>
      <c r="F3506" s="3" t="s">
        <v>5028</v>
      </c>
      <c r="G3506" s="3" t="s">
        <v>5034</v>
      </c>
      <c r="H3506" s="3" t="s">
        <v>8242</v>
      </c>
      <c r="I3506" s="17">
        <v>45780</v>
      </c>
      <c r="J3506" s="18">
        <f>YEAR(Tabla1[[#This Row],[FECHA DE COMPRA]])</f>
        <v>2025</v>
      </c>
      <c r="K3506" s="19">
        <v>68.36</v>
      </c>
      <c r="L3506" s="20">
        <v>0</v>
      </c>
      <c r="M3506" s="19">
        <f>Tienda!$K3799-Tienda!$K3799*Tienda!$L3799</f>
        <v>50.856000000000002</v>
      </c>
      <c r="N3506" s="3" t="s">
        <v>10040</v>
      </c>
      <c r="O3506" s="3" t="s">
        <v>10042</v>
      </c>
      <c r="P3506" s="17">
        <v>45780</v>
      </c>
      <c r="Q3506" s="4">
        <v>6</v>
      </c>
    </row>
    <row r="3507" spans="1:17" ht="30" x14ac:dyDescent="0.25">
      <c r="A3507" s="2" t="s">
        <v>1078</v>
      </c>
      <c r="B3507" s="3" t="s">
        <v>5016</v>
      </c>
      <c r="C3507" s="3">
        <v>59</v>
      </c>
      <c r="D3507" s="46" t="str">
        <f>IF(Tabla1[[#This Row],[EDAD]]&lt;=35,"Adultos jóvenes 18 - 35 años",IF(C3507&gt;=36,"Adultos mayores 36 años en adelante"))</f>
        <v>Adultos mayores 36 años en adelante</v>
      </c>
      <c r="E3507" s="3" t="s">
        <v>5019</v>
      </c>
      <c r="F3507" s="3" t="s">
        <v>5029</v>
      </c>
      <c r="G3507" s="3" t="s">
        <v>5033</v>
      </c>
      <c r="H3507" s="3" t="s">
        <v>6101</v>
      </c>
      <c r="I3507" s="17">
        <v>45781</v>
      </c>
      <c r="J3507" s="18">
        <f>YEAR(Tabla1[[#This Row],[FECHA DE COMPRA]])</f>
        <v>2025</v>
      </c>
      <c r="K3507" s="19">
        <v>117.54</v>
      </c>
      <c r="L3507" s="20">
        <v>0</v>
      </c>
      <c r="M3507" s="19">
        <f>Tienda!$K3804-Tienda!$K3804*Tienda!$L3804</f>
        <v>154.19999999999999</v>
      </c>
      <c r="N3507" s="3" t="s">
        <v>10040</v>
      </c>
      <c r="O3507" s="3" t="s">
        <v>10042</v>
      </c>
      <c r="P3507" s="17">
        <v>45781</v>
      </c>
      <c r="Q3507" s="4">
        <v>3</v>
      </c>
    </row>
    <row r="3508" spans="1:17" ht="30" x14ac:dyDescent="0.25">
      <c r="A3508" s="2" t="s">
        <v>4074</v>
      </c>
      <c r="B3508" s="3" t="s">
        <v>5015</v>
      </c>
      <c r="C3508" s="3">
        <v>53</v>
      </c>
      <c r="D3508" s="46" t="str">
        <f>IF(Tabla1[[#This Row],[EDAD]]&lt;=35,"Adultos jóvenes 18 - 35 años",IF(C3508&gt;=36,"Adultos mayores 36 años en adelante"))</f>
        <v>Adultos mayores 36 años en adelante</v>
      </c>
      <c r="E3508" s="3" t="s">
        <v>5018</v>
      </c>
      <c r="F3508" s="3" t="s">
        <v>5030</v>
      </c>
      <c r="G3508" s="3" t="s">
        <v>5034</v>
      </c>
      <c r="H3508" s="3" t="s">
        <v>9097</v>
      </c>
      <c r="I3508" s="17">
        <v>45799</v>
      </c>
      <c r="J3508" s="18">
        <f>YEAR(Tabla1[[#This Row],[FECHA DE COMPRA]])</f>
        <v>2025</v>
      </c>
      <c r="K3508" s="19">
        <v>124.63</v>
      </c>
      <c r="L3508" s="20">
        <v>0.1</v>
      </c>
      <c r="M3508" s="19">
        <f>Tienda!$K3806-Tienda!$K3806*Tienda!$L3806</f>
        <v>82.224000000000004</v>
      </c>
      <c r="N3508" s="3" t="s">
        <v>10040</v>
      </c>
      <c r="O3508" s="3" t="s">
        <v>10042</v>
      </c>
      <c r="P3508" s="17">
        <v>45799</v>
      </c>
      <c r="Q3508" s="4">
        <v>3</v>
      </c>
    </row>
    <row r="3509" spans="1:17" ht="30" x14ac:dyDescent="0.25">
      <c r="A3509" s="2" t="s">
        <v>1489</v>
      </c>
      <c r="B3509" s="3" t="s">
        <v>5015</v>
      </c>
      <c r="C3509" s="3">
        <v>47</v>
      </c>
      <c r="D3509" s="46" t="str">
        <f>IF(Tabla1[[#This Row],[EDAD]]&lt;=35,"Adultos jóvenes 18 - 35 años",IF(C3509&gt;=36,"Adultos mayores 36 años en adelante"))</f>
        <v>Adultos mayores 36 años en adelante</v>
      </c>
      <c r="E3509" s="3" t="s">
        <v>5021</v>
      </c>
      <c r="F3509" s="3" t="s">
        <v>5024</v>
      </c>
      <c r="G3509" s="3" t="s">
        <v>5031</v>
      </c>
      <c r="H3509" s="3" t="s">
        <v>6512</v>
      </c>
      <c r="I3509" s="17">
        <v>45787</v>
      </c>
      <c r="J3509" s="18">
        <f>YEAR(Tabla1[[#This Row],[FECHA DE COMPRA]])</f>
        <v>2025</v>
      </c>
      <c r="K3509" s="19">
        <v>131.56</v>
      </c>
      <c r="L3509" s="20">
        <v>0</v>
      </c>
      <c r="M3509" s="19">
        <f>Tienda!$K3808-Tienda!$K3808*Tienda!$L3808</f>
        <v>78.078000000000003</v>
      </c>
      <c r="N3509" s="3" t="s">
        <v>10040</v>
      </c>
      <c r="O3509" s="3" t="s">
        <v>10042</v>
      </c>
      <c r="P3509" s="17">
        <v>45787</v>
      </c>
      <c r="Q3509" s="4">
        <v>3</v>
      </c>
    </row>
    <row r="3510" spans="1:17" ht="30" x14ac:dyDescent="0.25">
      <c r="A3510" s="2" t="s">
        <v>4432</v>
      </c>
      <c r="B3510" s="3" t="s">
        <v>5016</v>
      </c>
      <c r="C3510" s="3">
        <v>49</v>
      </c>
      <c r="D3510" s="46" t="str">
        <f>IF(Tabla1[[#This Row],[EDAD]]&lt;=35,"Adultos jóvenes 18 - 35 años",IF(C3510&gt;=36,"Adultos mayores 36 años en adelante"))</f>
        <v>Adultos mayores 36 años en adelante</v>
      </c>
      <c r="E3510" s="3" t="s">
        <v>5019</v>
      </c>
      <c r="F3510" s="3" t="s">
        <v>5024</v>
      </c>
      <c r="G3510" s="3" t="s">
        <v>5032</v>
      </c>
      <c r="H3510" s="3" t="s">
        <v>9455</v>
      </c>
      <c r="I3510" s="17">
        <v>45795</v>
      </c>
      <c r="J3510" s="18">
        <f>YEAR(Tabla1[[#This Row],[FECHA DE COMPRA]])</f>
        <v>2025</v>
      </c>
      <c r="K3510" s="19">
        <v>140.05000000000001</v>
      </c>
      <c r="L3510" s="20">
        <v>0.2</v>
      </c>
      <c r="M3510" s="19">
        <f>Tienda!$K3810-Tienda!$K3810*Tienda!$L3810</f>
        <v>36.25</v>
      </c>
      <c r="N3510" s="3" t="s">
        <v>10040</v>
      </c>
      <c r="O3510" s="3" t="s">
        <v>10042</v>
      </c>
      <c r="P3510" s="17">
        <v>45795</v>
      </c>
      <c r="Q3510" s="4">
        <v>3</v>
      </c>
    </row>
    <row r="3511" spans="1:17" ht="30" x14ac:dyDescent="0.25">
      <c r="A3511" s="2" t="s">
        <v>3225</v>
      </c>
      <c r="B3511" s="3" t="s">
        <v>5015</v>
      </c>
      <c r="C3511" s="3">
        <v>38</v>
      </c>
      <c r="D3511" s="46" t="str">
        <f>IF(Tabla1[[#This Row],[EDAD]]&lt;=35,"Adultos jóvenes 18 - 35 años",IF(C3511&gt;=36,"Adultos mayores 36 años en adelante"))</f>
        <v>Adultos mayores 36 años en adelante</v>
      </c>
      <c r="E3511" s="3" t="s">
        <v>5021</v>
      </c>
      <c r="F3511" s="3" t="s">
        <v>5027</v>
      </c>
      <c r="G3511" s="3" t="s">
        <v>5034</v>
      </c>
      <c r="H3511" s="3" t="s">
        <v>8248</v>
      </c>
      <c r="I3511" s="17">
        <v>45779</v>
      </c>
      <c r="J3511" s="18">
        <f>YEAR(Tabla1[[#This Row],[FECHA DE COMPRA]])</f>
        <v>2025</v>
      </c>
      <c r="K3511" s="19">
        <v>148.44999999999999</v>
      </c>
      <c r="L3511" s="20">
        <v>0.2</v>
      </c>
      <c r="M3511" s="19">
        <f>Tienda!$K3813-Tienda!$K3813*Tienda!$L3813</f>
        <v>132.786</v>
      </c>
      <c r="N3511" s="3" t="s">
        <v>10040</v>
      </c>
      <c r="O3511" s="3" t="s">
        <v>10042</v>
      </c>
      <c r="P3511" s="17">
        <v>45779</v>
      </c>
      <c r="Q3511" s="4">
        <v>6</v>
      </c>
    </row>
    <row r="3512" spans="1:17" ht="30" x14ac:dyDescent="0.25">
      <c r="A3512" s="2" t="s">
        <v>2383</v>
      </c>
      <c r="B3512" s="3" t="s">
        <v>5015</v>
      </c>
      <c r="C3512" s="3">
        <v>38</v>
      </c>
      <c r="D3512" s="46" t="str">
        <f>IF(Tabla1[[#This Row],[EDAD]]&lt;=35,"Adultos jóvenes 18 - 35 años",IF(C3512&gt;=36,"Adultos mayores 36 años en adelante"))</f>
        <v>Adultos mayores 36 años en adelante</v>
      </c>
      <c r="E3512" s="3" t="s">
        <v>5017</v>
      </c>
      <c r="F3512" s="3" t="s">
        <v>5029</v>
      </c>
      <c r="G3512" s="3" t="s">
        <v>5036</v>
      </c>
      <c r="H3512" s="3" t="s">
        <v>7406</v>
      </c>
      <c r="I3512" s="17">
        <v>45795</v>
      </c>
      <c r="J3512" s="18">
        <f>YEAR(Tabla1[[#This Row],[FECHA DE COMPRA]])</f>
        <v>2025</v>
      </c>
      <c r="K3512" s="19">
        <v>156.43</v>
      </c>
      <c r="L3512" s="20">
        <v>0.3</v>
      </c>
      <c r="M3512" s="19">
        <f>Tienda!$K3814-Tienda!$K3814*Tienda!$L3814</f>
        <v>135.72</v>
      </c>
      <c r="N3512" s="3" t="s">
        <v>10040</v>
      </c>
      <c r="O3512" s="3" t="s">
        <v>10042</v>
      </c>
      <c r="P3512" s="17">
        <v>45795</v>
      </c>
      <c r="Q3512" s="4">
        <v>6</v>
      </c>
    </row>
    <row r="3513" spans="1:17" ht="30" x14ac:dyDescent="0.25">
      <c r="A3513" s="2" t="s">
        <v>4386</v>
      </c>
      <c r="B3513" s="3" t="s">
        <v>5015</v>
      </c>
      <c r="C3513" s="3">
        <v>52</v>
      </c>
      <c r="D3513" s="46" t="str">
        <f>IF(Tabla1[[#This Row],[EDAD]]&lt;=35,"Adultos jóvenes 18 - 35 años",IF(C3513&gt;=36,"Adultos mayores 36 años en adelante"))</f>
        <v>Adultos mayores 36 años en adelante</v>
      </c>
      <c r="E3513" s="3" t="s">
        <v>5019</v>
      </c>
      <c r="F3513" s="3" t="s">
        <v>5024</v>
      </c>
      <c r="G3513" s="3" t="s">
        <v>5033</v>
      </c>
      <c r="H3513" s="3" t="s">
        <v>9409</v>
      </c>
      <c r="I3513" s="17">
        <v>45801</v>
      </c>
      <c r="J3513" s="18">
        <f>YEAR(Tabla1[[#This Row],[FECHA DE COMPRA]])</f>
        <v>2025</v>
      </c>
      <c r="K3513" s="19">
        <v>163.51</v>
      </c>
      <c r="L3513" s="20">
        <v>0.1</v>
      </c>
      <c r="M3513" s="19">
        <f>Tienda!$K3817-Tienda!$K3817*Tienda!$L3817</f>
        <v>111.398</v>
      </c>
      <c r="N3513" s="3" t="s">
        <v>10040</v>
      </c>
      <c r="O3513" s="3" t="s">
        <v>10042</v>
      </c>
      <c r="P3513" s="17">
        <v>45801</v>
      </c>
      <c r="Q3513" s="4">
        <v>6</v>
      </c>
    </row>
    <row r="3514" spans="1:17" ht="30" x14ac:dyDescent="0.25">
      <c r="A3514" s="2" t="s">
        <v>38</v>
      </c>
      <c r="B3514" s="3" t="s">
        <v>5016</v>
      </c>
      <c r="C3514" s="3">
        <v>56</v>
      </c>
      <c r="D3514" s="46" t="str">
        <f>IF(Tabla1[[#This Row],[EDAD]]&lt;=35,"Adultos jóvenes 18 - 35 años",IF(C3514&gt;=36,"Adultos mayores 36 años en adelante"))</f>
        <v>Adultos mayores 36 años en adelante</v>
      </c>
      <c r="E3514" s="3" t="s">
        <v>5023</v>
      </c>
      <c r="F3514" s="3" t="s">
        <v>5029</v>
      </c>
      <c r="G3514" s="3" t="s">
        <v>5032</v>
      </c>
      <c r="H3514" s="3" t="s">
        <v>5061</v>
      </c>
      <c r="I3514" s="17">
        <v>45788</v>
      </c>
      <c r="J3514" s="18">
        <f>YEAR(Tabla1[[#This Row],[FECHA DE COMPRA]])</f>
        <v>2025</v>
      </c>
      <c r="K3514" s="19">
        <v>169.76</v>
      </c>
      <c r="L3514" s="20">
        <v>0.2</v>
      </c>
      <c r="M3514" s="19">
        <f>Tienda!$K3818-Tienda!$K3818*Tienda!$L3818</f>
        <v>76.349999999999994</v>
      </c>
      <c r="N3514" s="3" t="s">
        <v>10040</v>
      </c>
      <c r="O3514" s="3" t="s">
        <v>10042</v>
      </c>
      <c r="P3514" s="17">
        <v>45788</v>
      </c>
      <c r="Q3514" s="4">
        <v>6</v>
      </c>
    </row>
    <row r="3515" spans="1:17" ht="30" x14ac:dyDescent="0.25">
      <c r="A3515" s="2" t="s">
        <v>3455</v>
      </c>
      <c r="B3515" s="3" t="s">
        <v>5015</v>
      </c>
      <c r="C3515" s="3">
        <v>63</v>
      </c>
      <c r="D3515" s="46" t="str">
        <f>IF(Tabla1[[#This Row],[EDAD]]&lt;=35,"Adultos jóvenes 18 - 35 años",IF(C3515&gt;=36,"Adultos mayores 36 años en adelante"))</f>
        <v>Adultos mayores 36 años en adelante</v>
      </c>
      <c r="E3515" s="3" t="s">
        <v>5017</v>
      </c>
      <c r="F3515" s="3" t="s">
        <v>5030</v>
      </c>
      <c r="G3515" s="3" t="s">
        <v>5034</v>
      </c>
      <c r="H3515" s="3" t="s">
        <v>8478</v>
      </c>
      <c r="I3515" s="17">
        <v>45804</v>
      </c>
      <c r="J3515" s="18">
        <f>YEAR(Tabla1[[#This Row],[FECHA DE COMPRA]])</f>
        <v>2025</v>
      </c>
      <c r="K3515" s="19">
        <v>177.08</v>
      </c>
      <c r="L3515" s="20">
        <v>0.2</v>
      </c>
      <c r="M3515" s="19">
        <f>Tienda!$K3819-Tienda!$K3819*Tienda!$L3819</f>
        <v>136.28800000000001</v>
      </c>
      <c r="N3515" s="3" t="s">
        <v>10040</v>
      </c>
      <c r="O3515" s="3" t="s">
        <v>10042</v>
      </c>
      <c r="P3515" s="17">
        <v>45804</v>
      </c>
      <c r="Q3515" s="4">
        <v>6</v>
      </c>
    </row>
    <row r="3516" spans="1:17" ht="30" x14ac:dyDescent="0.25">
      <c r="A3516" s="2" t="s">
        <v>4602</v>
      </c>
      <c r="B3516" s="3" t="s">
        <v>5015</v>
      </c>
      <c r="C3516" s="3">
        <v>64</v>
      </c>
      <c r="D3516" s="46" t="str">
        <f>IF(Tabla1[[#This Row],[EDAD]]&lt;=35,"Adultos jóvenes 18 - 35 años",IF(C3516&gt;=36,"Adultos mayores 36 años en adelante"))</f>
        <v>Adultos mayores 36 años en adelante</v>
      </c>
      <c r="E3516" s="3" t="s">
        <v>5018</v>
      </c>
      <c r="F3516" s="3" t="s">
        <v>5024</v>
      </c>
      <c r="G3516" s="3" t="s">
        <v>5037</v>
      </c>
      <c r="H3516" s="3" t="s">
        <v>9625</v>
      </c>
      <c r="I3516" s="17">
        <v>45791</v>
      </c>
      <c r="J3516" s="18">
        <f>YEAR(Tabla1[[#This Row],[FECHA DE COMPRA]])</f>
        <v>2025</v>
      </c>
      <c r="K3516" s="19">
        <v>183.75</v>
      </c>
      <c r="L3516" s="20">
        <v>0.1</v>
      </c>
      <c r="M3516" s="19">
        <f>Tienda!$K3820-Tienda!$K3820*Tienda!$L3820</f>
        <v>178.74</v>
      </c>
      <c r="N3516" s="3" t="s">
        <v>10040</v>
      </c>
      <c r="O3516" s="3" t="s">
        <v>10042</v>
      </c>
      <c r="P3516" s="17">
        <v>45791</v>
      </c>
      <c r="Q3516" s="4">
        <v>3</v>
      </c>
    </row>
    <row r="3517" spans="1:17" ht="30" x14ac:dyDescent="0.25">
      <c r="A3517" s="2" t="s">
        <v>4008</v>
      </c>
      <c r="B3517" s="3" t="s">
        <v>5016</v>
      </c>
      <c r="C3517" s="3">
        <v>40</v>
      </c>
      <c r="D3517" s="46" t="str">
        <f>IF(Tabla1[[#This Row],[EDAD]]&lt;=35,"Adultos jóvenes 18 - 35 años",IF(C3517&gt;=36,"Adultos mayores 36 años en adelante"))</f>
        <v>Adultos mayores 36 años en adelante</v>
      </c>
      <c r="E3517" s="3" t="s">
        <v>5017</v>
      </c>
      <c r="F3517" s="3" t="s">
        <v>5024</v>
      </c>
      <c r="G3517" s="3" t="s">
        <v>5037</v>
      </c>
      <c r="H3517" s="3" t="s">
        <v>9031</v>
      </c>
      <c r="I3517" s="17">
        <v>45799</v>
      </c>
      <c r="J3517" s="18">
        <f>YEAR(Tabla1[[#This Row],[FECHA DE COMPRA]])</f>
        <v>2025</v>
      </c>
      <c r="K3517" s="19">
        <v>185.36</v>
      </c>
      <c r="L3517" s="20">
        <v>0</v>
      </c>
      <c r="M3517" s="19">
        <f>Tienda!$K3822-Tienda!$K3822*Tienda!$L3822</f>
        <v>13.838999999999999</v>
      </c>
      <c r="N3517" s="3" t="s">
        <v>10040</v>
      </c>
      <c r="O3517" s="3" t="s">
        <v>10042</v>
      </c>
      <c r="P3517" s="17">
        <v>45799</v>
      </c>
      <c r="Q3517" s="4">
        <v>3</v>
      </c>
    </row>
    <row r="3518" spans="1:17" ht="30" x14ac:dyDescent="0.25">
      <c r="A3518" s="2" t="s">
        <v>674</v>
      </c>
      <c r="B3518" s="3" t="s">
        <v>5015</v>
      </c>
      <c r="C3518" s="3">
        <v>49</v>
      </c>
      <c r="D3518" s="46" t="str">
        <f>IF(Tabla1[[#This Row],[EDAD]]&lt;=35,"Adultos jóvenes 18 - 35 años",IF(C3518&gt;=36,"Adultos mayores 36 años en adelante"))</f>
        <v>Adultos mayores 36 años en adelante</v>
      </c>
      <c r="E3518" s="3" t="s">
        <v>5022</v>
      </c>
      <c r="F3518" s="3" t="s">
        <v>5026</v>
      </c>
      <c r="G3518" s="3" t="s">
        <v>5033</v>
      </c>
      <c r="H3518" s="3" t="s">
        <v>5697</v>
      </c>
      <c r="I3518" s="17">
        <v>45805</v>
      </c>
      <c r="J3518" s="18">
        <f>YEAR(Tabla1[[#This Row],[FECHA DE COMPRA]])</f>
        <v>2025</v>
      </c>
      <c r="K3518" s="19">
        <v>186.28</v>
      </c>
      <c r="L3518" s="20">
        <v>0.2</v>
      </c>
      <c r="M3518" s="19">
        <f>Tienda!$K3823-Tienda!$K3823*Tienda!$L3823</f>
        <v>111.42600000000002</v>
      </c>
      <c r="N3518" s="3" t="s">
        <v>10040</v>
      </c>
      <c r="O3518" s="3" t="s">
        <v>10042</v>
      </c>
      <c r="P3518" s="17">
        <v>45805</v>
      </c>
      <c r="Q3518" s="4">
        <v>3</v>
      </c>
    </row>
    <row r="3519" spans="1:17" ht="30" x14ac:dyDescent="0.25">
      <c r="A3519" s="2" t="s">
        <v>2778</v>
      </c>
      <c r="B3519" s="3" t="s">
        <v>5015</v>
      </c>
      <c r="C3519" s="3">
        <v>59</v>
      </c>
      <c r="D3519" s="46" t="str">
        <f>IF(Tabla1[[#This Row],[EDAD]]&lt;=35,"Adultos jóvenes 18 - 35 años",IF(C3519&gt;=36,"Adultos mayores 36 años en adelante"))</f>
        <v>Adultos mayores 36 años en adelante</v>
      </c>
      <c r="E3519" s="3" t="s">
        <v>5020</v>
      </c>
      <c r="F3519" s="3" t="s">
        <v>5029</v>
      </c>
      <c r="G3519" s="3" t="s">
        <v>5037</v>
      </c>
      <c r="H3519" s="3" t="s">
        <v>7801</v>
      </c>
      <c r="I3519" s="17">
        <v>45785</v>
      </c>
      <c r="J3519" s="18">
        <f>YEAR(Tabla1[[#This Row],[FECHA DE COMPRA]])</f>
        <v>2025</v>
      </c>
      <c r="K3519" s="19">
        <v>186.65</v>
      </c>
      <c r="L3519" s="20">
        <v>0</v>
      </c>
      <c r="M3519" s="19">
        <f>Tienda!$K3824-Tienda!$K3824*Tienda!$L3824</f>
        <v>165.25</v>
      </c>
      <c r="N3519" s="3" t="s">
        <v>10040</v>
      </c>
      <c r="O3519" s="3" t="s">
        <v>10042</v>
      </c>
      <c r="P3519" s="17">
        <v>45785</v>
      </c>
      <c r="Q3519" s="4">
        <v>3</v>
      </c>
    </row>
    <row r="3520" spans="1:17" ht="30" x14ac:dyDescent="0.25">
      <c r="A3520" s="2" t="s">
        <v>3251</v>
      </c>
      <c r="B3520" s="3" t="s">
        <v>5015</v>
      </c>
      <c r="C3520" s="3">
        <v>48</v>
      </c>
      <c r="D3520" s="46" t="str">
        <f>IF(Tabla1[[#This Row],[EDAD]]&lt;=35,"Adultos jóvenes 18 - 35 años",IF(C3520&gt;=36,"Adultos mayores 36 años en adelante"))</f>
        <v>Adultos mayores 36 años en adelante</v>
      </c>
      <c r="E3520" s="3" t="s">
        <v>5020</v>
      </c>
      <c r="F3520" s="3" t="s">
        <v>5026</v>
      </c>
      <c r="G3520" s="3" t="s">
        <v>5032</v>
      </c>
      <c r="H3520" s="3" t="s">
        <v>8274</v>
      </c>
      <c r="I3520" s="17">
        <v>45782</v>
      </c>
      <c r="J3520" s="18">
        <f>YEAR(Tabla1[[#This Row],[FECHA DE COMPRA]])</f>
        <v>2025</v>
      </c>
      <c r="K3520" s="19">
        <v>188.21</v>
      </c>
      <c r="L3520" s="20">
        <v>0.1</v>
      </c>
      <c r="M3520" s="19">
        <f>Tienda!$K3825-Tienda!$K3825*Tienda!$L3825</f>
        <v>7.28</v>
      </c>
      <c r="N3520" s="3" t="s">
        <v>10040</v>
      </c>
      <c r="O3520" s="3" t="s">
        <v>10042</v>
      </c>
      <c r="P3520" s="17">
        <v>45782</v>
      </c>
      <c r="Q3520" s="4">
        <v>3</v>
      </c>
    </row>
    <row r="3521" spans="1:17" ht="30" x14ac:dyDescent="0.25">
      <c r="A3521" s="2" t="s">
        <v>2159</v>
      </c>
      <c r="B3521" s="3" t="s">
        <v>5015</v>
      </c>
      <c r="C3521" s="3">
        <v>59</v>
      </c>
      <c r="D3521" s="46" t="str">
        <f>IF(Tabla1[[#This Row],[EDAD]]&lt;=35,"Adultos jóvenes 18 - 35 años",IF(C3521&gt;=36,"Adultos mayores 36 años en adelante"))</f>
        <v>Adultos mayores 36 años en adelante</v>
      </c>
      <c r="E3521" s="3" t="s">
        <v>5022</v>
      </c>
      <c r="F3521" s="3" t="s">
        <v>5025</v>
      </c>
      <c r="G3521" s="3" t="s">
        <v>5034</v>
      </c>
      <c r="H3521" s="3" t="s">
        <v>7182</v>
      </c>
      <c r="I3521" s="17">
        <v>45804</v>
      </c>
      <c r="J3521" s="18">
        <f>YEAR(Tabla1[[#This Row],[FECHA DE COMPRA]])</f>
        <v>2025</v>
      </c>
      <c r="K3521" s="19">
        <v>190.34</v>
      </c>
      <c r="L3521" s="20">
        <v>0.3</v>
      </c>
      <c r="M3521" s="19">
        <f>Tienda!$K3826-Tienda!$K3826*Tienda!$L3826</f>
        <v>7.4970000000000008</v>
      </c>
      <c r="N3521" s="3" t="s">
        <v>10040</v>
      </c>
      <c r="O3521" s="3" t="s">
        <v>10042</v>
      </c>
      <c r="P3521" s="17">
        <v>45804</v>
      </c>
      <c r="Q3521" s="4">
        <v>3</v>
      </c>
    </row>
    <row r="3522" spans="1:17" ht="30" x14ac:dyDescent="0.25">
      <c r="A3522" s="2" t="s">
        <v>2086</v>
      </c>
      <c r="B3522" s="3" t="s">
        <v>5016</v>
      </c>
      <c r="C3522" s="3">
        <v>37</v>
      </c>
      <c r="D3522" s="46" t="str">
        <f>IF(Tabla1[[#This Row],[EDAD]]&lt;=35,"Adultos jóvenes 18 - 35 años",IF(C3522&gt;=36,"Adultos mayores 36 años en adelante"))</f>
        <v>Adultos mayores 36 años en adelante</v>
      </c>
      <c r="E3522" s="3" t="s">
        <v>5019</v>
      </c>
      <c r="F3522" s="3" t="s">
        <v>5026</v>
      </c>
      <c r="G3522" s="3" t="s">
        <v>5035</v>
      </c>
      <c r="H3522" s="3" t="s">
        <v>7109</v>
      </c>
      <c r="I3522" s="17">
        <v>45802</v>
      </c>
      <c r="J3522" s="18">
        <f>YEAR(Tabla1[[#This Row],[FECHA DE COMPRA]])</f>
        <v>2025</v>
      </c>
      <c r="K3522" s="19">
        <v>193.46</v>
      </c>
      <c r="L3522" s="20">
        <v>0</v>
      </c>
      <c r="M3522" s="19">
        <f>Tienda!$K3827-Tienda!$K3827*Tienda!$L3827</f>
        <v>8.1620000000000008</v>
      </c>
      <c r="N3522" s="3" t="s">
        <v>10040</v>
      </c>
      <c r="O3522" s="3" t="s">
        <v>10042</v>
      </c>
      <c r="P3522" s="17">
        <v>45802</v>
      </c>
      <c r="Q3522" s="4">
        <v>3</v>
      </c>
    </row>
    <row r="3523" spans="1:17" ht="30" x14ac:dyDescent="0.25">
      <c r="A3523" s="2" t="s">
        <v>447</v>
      </c>
      <c r="B3523" s="3" t="s">
        <v>5015</v>
      </c>
      <c r="C3523" s="3">
        <v>51</v>
      </c>
      <c r="D3523" s="46" t="str">
        <f>IF(Tabla1[[#This Row],[EDAD]]&lt;=35,"Adultos jóvenes 18 - 35 años",IF(C3523&gt;=36,"Adultos mayores 36 años en adelante"))</f>
        <v>Adultos mayores 36 años en adelante</v>
      </c>
      <c r="E3523" s="3" t="s">
        <v>5020</v>
      </c>
      <c r="F3523" s="3" t="s">
        <v>5024</v>
      </c>
      <c r="G3523" s="3" t="s">
        <v>5031</v>
      </c>
      <c r="H3523" s="3" t="s">
        <v>5470</v>
      </c>
      <c r="I3523" s="17">
        <v>45793</v>
      </c>
      <c r="J3523" s="18">
        <f>YEAR(Tabla1[[#This Row],[FECHA DE COMPRA]])</f>
        <v>2025</v>
      </c>
      <c r="K3523" s="19">
        <v>199.67</v>
      </c>
      <c r="L3523" s="20">
        <v>0</v>
      </c>
      <c r="M3523" s="19">
        <f>Tienda!$K3829-Tienda!$K3829*Tienda!$L3829</f>
        <v>8.3360000000000003</v>
      </c>
      <c r="N3523" s="3" t="s">
        <v>10040</v>
      </c>
      <c r="O3523" s="3" t="s">
        <v>10042</v>
      </c>
      <c r="P3523" s="17">
        <v>45793</v>
      </c>
      <c r="Q3523" s="4">
        <v>3</v>
      </c>
    </row>
    <row r="3524" spans="1:17" ht="30" x14ac:dyDescent="0.25">
      <c r="A3524" s="2" t="s">
        <v>3223</v>
      </c>
      <c r="B3524" s="3" t="s">
        <v>5015</v>
      </c>
      <c r="C3524" s="3">
        <v>63</v>
      </c>
      <c r="D3524" s="46" t="str">
        <f>IF(Tabla1[[#This Row],[EDAD]]&lt;=35,"Adultos jóvenes 18 - 35 años",IF(C3524&gt;=36,"Adultos mayores 36 años en adelante"))</f>
        <v>Adultos mayores 36 años en adelante</v>
      </c>
      <c r="E3524" s="3" t="s">
        <v>5018</v>
      </c>
      <c r="F3524" s="3" t="s">
        <v>5027</v>
      </c>
      <c r="G3524" s="3" t="s">
        <v>5031</v>
      </c>
      <c r="H3524" s="3" t="s">
        <v>8246</v>
      </c>
      <c r="I3524" s="17">
        <v>45833</v>
      </c>
      <c r="J3524" s="18">
        <f>YEAR(Tabla1[[#This Row],[FECHA DE COMPRA]])</f>
        <v>2025</v>
      </c>
      <c r="K3524" s="19">
        <v>10.210000000000001</v>
      </c>
      <c r="L3524" s="20">
        <v>0.1</v>
      </c>
      <c r="M3524" s="19">
        <f>Tienda!$K3830-Tienda!$K3830*Tienda!$L3830</f>
        <v>8.5190000000000001</v>
      </c>
      <c r="N3524" s="3" t="s">
        <v>10040</v>
      </c>
      <c r="O3524" s="3" t="s">
        <v>10042</v>
      </c>
      <c r="P3524" s="17">
        <v>45833</v>
      </c>
      <c r="Q3524" s="4">
        <v>3</v>
      </c>
    </row>
    <row r="3525" spans="1:17" ht="30" x14ac:dyDescent="0.25">
      <c r="A3525" s="2" t="s">
        <v>237</v>
      </c>
      <c r="B3525" s="3" t="s">
        <v>5015</v>
      </c>
      <c r="C3525" s="3">
        <v>62</v>
      </c>
      <c r="D3525" s="46" t="str">
        <f>IF(Tabla1[[#This Row],[EDAD]]&lt;=35,"Adultos jóvenes 18 - 35 años",IF(C3525&gt;=36,"Adultos mayores 36 años en adelante"))</f>
        <v>Adultos mayores 36 años en adelante</v>
      </c>
      <c r="E3525" s="3" t="s">
        <v>5022</v>
      </c>
      <c r="F3525" s="3" t="s">
        <v>5029</v>
      </c>
      <c r="G3525" s="3" t="s">
        <v>5031</v>
      </c>
      <c r="H3525" s="3" t="s">
        <v>5260</v>
      </c>
      <c r="I3525" s="17">
        <v>45811</v>
      </c>
      <c r="J3525" s="18">
        <f>YEAR(Tabla1[[#This Row],[FECHA DE COMPRA]])</f>
        <v>2025</v>
      </c>
      <c r="K3525" s="19">
        <v>11.5</v>
      </c>
      <c r="L3525" s="20">
        <v>0.3</v>
      </c>
      <c r="M3525" s="19">
        <f>Tienda!$K3831-Tienda!$K3831*Tienda!$L3831</f>
        <v>8.7919999999999998</v>
      </c>
      <c r="N3525" s="3" t="s">
        <v>10040</v>
      </c>
      <c r="O3525" s="3" t="s">
        <v>10042</v>
      </c>
      <c r="P3525" s="17">
        <v>45811</v>
      </c>
      <c r="Q3525" s="4">
        <v>6</v>
      </c>
    </row>
    <row r="3526" spans="1:17" ht="30" x14ac:dyDescent="0.25">
      <c r="A3526" s="2" t="s">
        <v>1673</v>
      </c>
      <c r="B3526" s="3" t="s">
        <v>5015</v>
      </c>
      <c r="C3526" s="3">
        <v>65</v>
      </c>
      <c r="D3526" s="46" t="str">
        <f>IF(Tabla1[[#This Row],[EDAD]]&lt;=35,"Adultos jóvenes 18 - 35 años",IF(C3526&gt;=36,"Adultos mayores 36 años en adelante"))</f>
        <v>Adultos mayores 36 años en adelante</v>
      </c>
      <c r="E3526" s="3" t="s">
        <v>5022</v>
      </c>
      <c r="F3526" s="3" t="s">
        <v>5026</v>
      </c>
      <c r="G3526" s="3" t="s">
        <v>5033</v>
      </c>
      <c r="H3526" s="3" t="s">
        <v>6696</v>
      </c>
      <c r="I3526" s="17">
        <v>45809</v>
      </c>
      <c r="J3526" s="18">
        <f>YEAR(Tabla1[[#This Row],[FECHA DE COMPRA]])</f>
        <v>2025</v>
      </c>
      <c r="K3526" s="19">
        <v>13.79</v>
      </c>
      <c r="L3526" s="20">
        <v>0.3</v>
      </c>
      <c r="M3526" s="19">
        <f>Tienda!$K3832-Tienda!$K3832*Tienda!$L3832</f>
        <v>9.08</v>
      </c>
      <c r="N3526" s="3" t="s">
        <v>10040</v>
      </c>
      <c r="O3526" s="3" t="s">
        <v>10042</v>
      </c>
      <c r="P3526" s="17">
        <v>45809</v>
      </c>
      <c r="Q3526" s="4">
        <v>6</v>
      </c>
    </row>
    <row r="3527" spans="1:17" ht="30" x14ac:dyDescent="0.25">
      <c r="A3527" s="2" t="s">
        <v>3308</v>
      </c>
      <c r="B3527" s="3" t="s">
        <v>5015</v>
      </c>
      <c r="C3527" s="3">
        <v>44</v>
      </c>
      <c r="D3527" s="46" t="str">
        <f>IF(Tabla1[[#This Row],[EDAD]]&lt;=35,"Adultos jóvenes 18 - 35 años",IF(C3527&gt;=36,"Adultos mayores 36 años en adelante"))</f>
        <v>Adultos mayores 36 años en adelante</v>
      </c>
      <c r="E3527" s="3" t="s">
        <v>5018</v>
      </c>
      <c r="F3527" s="3" t="s">
        <v>5029</v>
      </c>
      <c r="G3527" s="3" t="s">
        <v>5033</v>
      </c>
      <c r="H3527" s="3" t="s">
        <v>8331</v>
      </c>
      <c r="I3527" s="17">
        <v>45814</v>
      </c>
      <c r="J3527" s="18">
        <f>YEAR(Tabla1[[#This Row],[FECHA DE COMPRA]])</f>
        <v>2025</v>
      </c>
      <c r="K3527" s="19">
        <v>17.3</v>
      </c>
      <c r="L3527" s="20">
        <v>0.1</v>
      </c>
      <c r="M3527" s="19">
        <f>Tienda!$K3833-Tienda!$K3833*Tienda!$L3833</f>
        <v>9.24</v>
      </c>
      <c r="N3527" s="3" t="s">
        <v>10040</v>
      </c>
      <c r="O3527" s="3" t="s">
        <v>10042</v>
      </c>
      <c r="P3527" s="17">
        <v>45814</v>
      </c>
      <c r="Q3527" s="4">
        <v>6</v>
      </c>
    </row>
    <row r="3528" spans="1:17" ht="30" x14ac:dyDescent="0.25">
      <c r="A3528" s="2" t="s">
        <v>1641</v>
      </c>
      <c r="B3528" s="3" t="s">
        <v>5015</v>
      </c>
      <c r="C3528" s="3">
        <v>64</v>
      </c>
      <c r="D3528" s="46" t="str">
        <f>IF(Tabla1[[#This Row],[EDAD]]&lt;=35,"Adultos jóvenes 18 - 35 años",IF(C3528&gt;=36,"Adultos mayores 36 años en adelante"))</f>
        <v>Adultos mayores 36 años en adelante</v>
      </c>
      <c r="E3528" s="3" t="s">
        <v>5021</v>
      </c>
      <c r="F3528" s="3" t="s">
        <v>5029</v>
      </c>
      <c r="G3528" s="3" t="s">
        <v>5036</v>
      </c>
      <c r="H3528" s="3" t="s">
        <v>6664</v>
      </c>
      <c r="I3528" s="17">
        <v>45820</v>
      </c>
      <c r="J3528" s="18">
        <f>YEAR(Tabla1[[#This Row],[FECHA DE COMPRA]])</f>
        <v>2025</v>
      </c>
      <c r="K3528" s="19">
        <v>22.61</v>
      </c>
      <c r="L3528" s="20">
        <v>0</v>
      </c>
      <c r="M3528" s="19">
        <f>Tienda!$K3834-Tienda!$K3834*Tienda!$L3834</f>
        <v>9.5489999999999995</v>
      </c>
      <c r="N3528" s="3" t="s">
        <v>10040</v>
      </c>
      <c r="O3528" s="3" t="s">
        <v>10042</v>
      </c>
      <c r="P3528" s="17">
        <v>45820</v>
      </c>
      <c r="Q3528" s="4">
        <v>6</v>
      </c>
    </row>
    <row r="3529" spans="1:17" ht="30" x14ac:dyDescent="0.25">
      <c r="A3529" s="2" t="s">
        <v>1288</v>
      </c>
      <c r="B3529" s="3" t="s">
        <v>5015</v>
      </c>
      <c r="C3529" s="3">
        <v>43</v>
      </c>
      <c r="D3529" s="46" t="str">
        <f>IF(Tabla1[[#This Row],[EDAD]]&lt;=35,"Adultos jóvenes 18 - 35 años",IF(C3529&gt;=36,"Adultos mayores 36 años en adelante"))</f>
        <v>Adultos mayores 36 años en adelante</v>
      </c>
      <c r="E3529" s="3" t="s">
        <v>5020</v>
      </c>
      <c r="F3529" s="3" t="s">
        <v>5026</v>
      </c>
      <c r="G3529" s="3" t="s">
        <v>5032</v>
      </c>
      <c r="H3529" s="3" t="s">
        <v>6311</v>
      </c>
      <c r="I3529" s="17">
        <v>45833</v>
      </c>
      <c r="J3529" s="18">
        <f>YEAR(Tabla1[[#This Row],[FECHA DE COMPRA]])</f>
        <v>2025</v>
      </c>
      <c r="K3529" s="19">
        <v>24.61</v>
      </c>
      <c r="L3529" s="20">
        <v>0</v>
      </c>
      <c r="M3529" s="19">
        <f>Tienda!$K3835-Tienda!$K3835*Tienda!$L3835</f>
        <v>9.702</v>
      </c>
      <c r="N3529" s="3" t="s">
        <v>10040</v>
      </c>
      <c r="O3529" s="3" t="s">
        <v>10042</v>
      </c>
      <c r="P3529" s="17">
        <v>45833</v>
      </c>
      <c r="Q3529" s="4">
        <v>6</v>
      </c>
    </row>
    <row r="3530" spans="1:17" ht="30" x14ac:dyDescent="0.25">
      <c r="A3530" s="2" t="s">
        <v>463</v>
      </c>
      <c r="B3530" s="3" t="s">
        <v>5015</v>
      </c>
      <c r="C3530" s="3">
        <v>44</v>
      </c>
      <c r="D3530" s="46" t="str">
        <f>IF(Tabla1[[#This Row],[EDAD]]&lt;=35,"Adultos jóvenes 18 - 35 años",IF(C3530&gt;=36,"Adultos mayores 36 años en adelante"))</f>
        <v>Adultos mayores 36 años en adelante</v>
      </c>
      <c r="E3530" s="3" t="s">
        <v>5023</v>
      </c>
      <c r="F3530" s="3" t="s">
        <v>5028</v>
      </c>
      <c r="G3530" s="3" t="s">
        <v>5031</v>
      </c>
      <c r="H3530" s="3" t="s">
        <v>5486</v>
      </c>
      <c r="I3530" s="17">
        <v>45837</v>
      </c>
      <c r="J3530" s="18">
        <f>YEAR(Tabla1[[#This Row],[FECHA DE COMPRA]])</f>
        <v>2025</v>
      </c>
      <c r="K3530" s="19">
        <v>34.729999999999997</v>
      </c>
      <c r="L3530" s="20">
        <v>0</v>
      </c>
      <c r="M3530" s="19">
        <f>Tienda!$K3837-Tienda!$K3837*Tienda!$L3837</f>
        <v>10.891999999999999</v>
      </c>
      <c r="N3530" s="3" t="s">
        <v>10040</v>
      </c>
      <c r="O3530" s="3" t="s">
        <v>10042</v>
      </c>
      <c r="P3530" s="17">
        <v>45837</v>
      </c>
      <c r="Q3530" s="4">
        <v>6</v>
      </c>
    </row>
    <row r="3531" spans="1:17" ht="30" x14ac:dyDescent="0.25">
      <c r="A3531" s="2" t="s">
        <v>3609</v>
      </c>
      <c r="B3531" s="3" t="s">
        <v>5016</v>
      </c>
      <c r="C3531" s="3">
        <v>59</v>
      </c>
      <c r="D3531" s="46" t="str">
        <f>IF(Tabla1[[#This Row],[EDAD]]&lt;=35,"Adultos jóvenes 18 - 35 años",IF(C3531&gt;=36,"Adultos mayores 36 años en adelante"))</f>
        <v>Adultos mayores 36 años en adelante</v>
      </c>
      <c r="E3531" s="3" t="s">
        <v>5019</v>
      </c>
      <c r="F3531" s="3" t="s">
        <v>5026</v>
      </c>
      <c r="G3531" s="3" t="s">
        <v>5033</v>
      </c>
      <c r="H3531" s="3" t="s">
        <v>8632</v>
      </c>
      <c r="I3531" s="17">
        <v>45816</v>
      </c>
      <c r="J3531" s="18">
        <f>YEAR(Tabla1[[#This Row],[FECHA DE COMPRA]])</f>
        <v>2025</v>
      </c>
      <c r="K3531" s="19">
        <v>47.05</v>
      </c>
      <c r="L3531" s="20">
        <v>0.2</v>
      </c>
      <c r="M3531" s="19">
        <f>Tienda!$K3840-Tienda!$K3840*Tienda!$L3840</f>
        <v>11.15</v>
      </c>
      <c r="N3531" s="3" t="s">
        <v>10040</v>
      </c>
      <c r="O3531" s="3" t="s">
        <v>10042</v>
      </c>
      <c r="P3531" s="17">
        <v>45816</v>
      </c>
      <c r="Q3531" s="4">
        <v>6</v>
      </c>
    </row>
    <row r="3532" spans="1:17" ht="30" x14ac:dyDescent="0.25">
      <c r="A3532" s="2" t="s">
        <v>2229</v>
      </c>
      <c r="B3532" s="3" t="s">
        <v>5015</v>
      </c>
      <c r="C3532" s="3">
        <v>45</v>
      </c>
      <c r="D3532" s="46" t="str">
        <f>IF(Tabla1[[#This Row],[EDAD]]&lt;=35,"Adultos jóvenes 18 - 35 años",IF(C3532&gt;=36,"Adultos mayores 36 años en adelante"))</f>
        <v>Adultos mayores 36 años en adelante</v>
      </c>
      <c r="E3532" s="3" t="s">
        <v>5018</v>
      </c>
      <c r="F3532" s="3" t="s">
        <v>5028</v>
      </c>
      <c r="G3532" s="3" t="s">
        <v>5036</v>
      </c>
      <c r="H3532" s="3" t="s">
        <v>7252</v>
      </c>
      <c r="I3532" s="17">
        <v>45820</v>
      </c>
      <c r="J3532" s="18">
        <f>YEAR(Tabla1[[#This Row],[FECHA DE COMPRA]])</f>
        <v>2025</v>
      </c>
      <c r="K3532" s="19">
        <v>50.14</v>
      </c>
      <c r="L3532" s="20">
        <v>0.2</v>
      </c>
      <c r="M3532" s="19">
        <f>Tienda!$K3841-Tienda!$K3841*Tienda!$L3841</f>
        <v>11.522000000000002</v>
      </c>
      <c r="N3532" s="3" t="s">
        <v>10040</v>
      </c>
      <c r="O3532" s="3" t="s">
        <v>10042</v>
      </c>
      <c r="P3532" s="17">
        <v>45820</v>
      </c>
      <c r="Q3532" s="4">
        <v>6</v>
      </c>
    </row>
    <row r="3533" spans="1:17" ht="30" x14ac:dyDescent="0.25">
      <c r="A3533" s="2" t="s">
        <v>4314</v>
      </c>
      <c r="B3533" s="3" t="s">
        <v>5015</v>
      </c>
      <c r="C3533" s="3">
        <v>62</v>
      </c>
      <c r="D3533" s="46" t="str">
        <f>IF(Tabla1[[#This Row],[EDAD]]&lt;=35,"Adultos jóvenes 18 - 35 años",IF(C3533&gt;=36,"Adultos mayores 36 años en adelante"))</f>
        <v>Adultos mayores 36 años en adelante</v>
      </c>
      <c r="E3533" s="3" t="s">
        <v>5020</v>
      </c>
      <c r="F3533" s="3" t="s">
        <v>5024</v>
      </c>
      <c r="G3533" s="3" t="s">
        <v>5033</v>
      </c>
      <c r="H3533" s="3" t="s">
        <v>9337</v>
      </c>
      <c r="I3533" s="17">
        <v>45816</v>
      </c>
      <c r="J3533" s="18">
        <f>YEAR(Tabla1[[#This Row],[FECHA DE COMPRA]])</f>
        <v>2025</v>
      </c>
      <c r="K3533" s="19">
        <v>52.04</v>
      </c>
      <c r="L3533" s="20">
        <v>0.1</v>
      </c>
      <c r="M3533" s="19">
        <f>Tienda!$K3843-Tienda!$K3843*Tienda!$L3843</f>
        <v>11.67</v>
      </c>
      <c r="N3533" s="3" t="s">
        <v>10040</v>
      </c>
      <c r="O3533" s="3" t="s">
        <v>10042</v>
      </c>
      <c r="P3533" s="17">
        <v>45816</v>
      </c>
      <c r="Q3533" s="4">
        <v>3</v>
      </c>
    </row>
    <row r="3534" spans="1:17" ht="30" x14ac:dyDescent="0.25">
      <c r="A3534" s="2" t="s">
        <v>3721</v>
      </c>
      <c r="B3534" s="3" t="s">
        <v>5015</v>
      </c>
      <c r="C3534" s="3">
        <v>58</v>
      </c>
      <c r="D3534" s="46" t="str">
        <f>IF(Tabla1[[#This Row],[EDAD]]&lt;=35,"Adultos jóvenes 18 - 35 años",IF(C3534&gt;=36,"Adultos mayores 36 años en adelante"))</f>
        <v>Adultos mayores 36 años en adelante</v>
      </c>
      <c r="E3534" s="3" t="s">
        <v>5019</v>
      </c>
      <c r="F3534" s="3" t="s">
        <v>5027</v>
      </c>
      <c r="G3534" s="3" t="s">
        <v>5037</v>
      </c>
      <c r="H3534" s="3" t="s">
        <v>8744</v>
      </c>
      <c r="I3534" s="17">
        <v>45828</v>
      </c>
      <c r="J3534" s="18">
        <f>YEAR(Tabla1[[#This Row],[FECHA DE COMPRA]])</f>
        <v>2025</v>
      </c>
      <c r="K3534" s="19">
        <v>61.79</v>
      </c>
      <c r="L3534" s="20">
        <v>0.1</v>
      </c>
      <c r="M3534" s="19">
        <f>Tienda!$K3845-Tienda!$K3845*Tienda!$L3845</f>
        <v>11.85</v>
      </c>
      <c r="N3534" s="3" t="s">
        <v>10040</v>
      </c>
      <c r="O3534" s="3" t="s">
        <v>10042</v>
      </c>
      <c r="P3534" s="17">
        <v>45828</v>
      </c>
      <c r="Q3534" s="4">
        <v>3</v>
      </c>
    </row>
    <row r="3535" spans="1:17" ht="30" x14ac:dyDescent="0.25">
      <c r="A3535" s="2" t="s">
        <v>4354</v>
      </c>
      <c r="B3535" s="3" t="s">
        <v>5016</v>
      </c>
      <c r="C3535" s="3">
        <v>43</v>
      </c>
      <c r="D3535" s="46" t="str">
        <f>IF(Tabla1[[#This Row],[EDAD]]&lt;=35,"Adultos jóvenes 18 - 35 años",IF(C3535&gt;=36,"Adultos mayores 36 años en adelante"))</f>
        <v>Adultos mayores 36 años en adelante</v>
      </c>
      <c r="E3535" s="3" t="s">
        <v>5019</v>
      </c>
      <c r="F3535" s="3" t="s">
        <v>5029</v>
      </c>
      <c r="G3535" s="3" t="s">
        <v>5034</v>
      </c>
      <c r="H3535" s="3" t="s">
        <v>9377</v>
      </c>
      <c r="I3535" s="17">
        <v>45835</v>
      </c>
      <c r="J3535" s="18">
        <f>YEAR(Tabla1[[#This Row],[FECHA DE COMPRA]])</f>
        <v>2025</v>
      </c>
      <c r="K3535" s="19">
        <v>63.23</v>
      </c>
      <c r="L3535" s="20">
        <v>0</v>
      </c>
      <c r="M3535" s="19">
        <f>Tienda!$K3846-Tienda!$K3846*Tienda!$L3846</f>
        <v>12.184000000000001</v>
      </c>
      <c r="N3535" s="3" t="s">
        <v>10040</v>
      </c>
      <c r="O3535" s="3" t="s">
        <v>10042</v>
      </c>
      <c r="P3535" s="17">
        <v>45835</v>
      </c>
      <c r="Q3535" s="4">
        <v>3</v>
      </c>
    </row>
    <row r="3536" spans="1:17" ht="30" x14ac:dyDescent="0.25">
      <c r="A3536" s="2" t="s">
        <v>3112</v>
      </c>
      <c r="B3536" s="3" t="s">
        <v>5015</v>
      </c>
      <c r="C3536" s="3">
        <v>36</v>
      </c>
      <c r="D3536" s="46" t="str">
        <f>IF(Tabla1[[#This Row],[EDAD]]&lt;=35,"Adultos jóvenes 18 - 35 años",IF(C3536&gt;=36,"Adultos mayores 36 años en adelante"))</f>
        <v>Adultos mayores 36 años en adelante</v>
      </c>
      <c r="E3536" s="3" t="s">
        <v>5017</v>
      </c>
      <c r="F3536" s="3" t="s">
        <v>5029</v>
      </c>
      <c r="G3536" s="3" t="s">
        <v>5036</v>
      </c>
      <c r="H3536" s="3" t="s">
        <v>8135</v>
      </c>
      <c r="I3536" s="17">
        <v>45826</v>
      </c>
      <c r="J3536" s="18">
        <f>YEAR(Tabla1[[#This Row],[FECHA DE COMPRA]])</f>
        <v>2025</v>
      </c>
      <c r="K3536" s="19">
        <v>76.510000000000005</v>
      </c>
      <c r="L3536" s="20">
        <v>0.3</v>
      </c>
      <c r="M3536" s="19">
        <f>Tienda!$K3848-Tienda!$K3848*Tienda!$L3848</f>
        <v>12.417999999999999</v>
      </c>
      <c r="N3536" s="3" t="s">
        <v>10040</v>
      </c>
      <c r="O3536" s="3" t="s">
        <v>10042</v>
      </c>
      <c r="P3536" s="17">
        <v>45826</v>
      </c>
      <c r="Q3536" s="4">
        <v>3</v>
      </c>
    </row>
    <row r="3537" spans="1:17" ht="30" x14ac:dyDescent="0.25">
      <c r="A3537" s="2" t="s">
        <v>1838</v>
      </c>
      <c r="B3537" s="3" t="s">
        <v>5016</v>
      </c>
      <c r="C3537" s="3">
        <v>64</v>
      </c>
      <c r="D3537" s="46" t="str">
        <f>IF(Tabla1[[#This Row],[EDAD]]&lt;=35,"Adultos jóvenes 18 - 35 años",IF(C3537&gt;=36,"Adultos mayores 36 años en adelante"))</f>
        <v>Adultos mayores 36 años en adelante</v>
      </c>
      <c r="E3537" s="3" t="s">
        <v>5019</v>
      </c>
      <c r="F3537" s="3" t="s">
        <v>5029</v>
      </c>
      <c r="G3537" s="3" t="s">
        <v>5034</v>
      </c>
      <c r="H3537" s="3" t="s">
        <v>6861</v>
      </c>
      <c r="I3537" s="17">
        <v>45829</v>
      </c>
      <c r="J3537" s="18">
        <f>YEAR(Tabla1[[#This Row],[FECHA DE COMPRA]])</f>
        <v>2025</v>
      </c>
      <c r="K3537" s="19">
        <v>90.55</v>
      </c>
      <c r="L3537" s="20">
        <v>0.2</v>
      </c>
      <c r="M3537" s="19">
        <f>Tienda!$K3850-Tienda!$K3850*Tienda!$L3850</f>
        <v>13.247999999999999</v>
      </c>
      <c r="N3537" s="3" t="s">
        <v>10040</v>
      </c>
      <c r="O3537" s="3" t="s">
        <v>10042</v>
      </c>
      <c r="P3537" s="17">
        <v>45829</v>
      </c>
      <c r="Q3537" s="4">
        <v>3</v>
      </c>
    </row>
    <row r="3538" spans="1:17" ht="30" x14ac:dyDescent="0.25">
      <c r="A3538" s="2" t="s">
        <v>2357</v>
      </c>
      <c r="B3538" s="3" t="s">
        <v>5015</v>
      </c>
      <c r="C3538" s="3">
        <v>38</v>
      </c>
      <c r="D3538" s="46" t="str">
        <f>IF(Tabla1[[#This Row],[EDAD]]&lt;=35,"Adultos jóvenes 18 - 35 años",IF(C3538&gt;=36,"Adultos mayores 36 años en adelante"))</f>
        <v>Adultos mayores 36 años en adelante</v>
      </c>
      <c r="E3538" s="3" t="s">
        <v>5021</v>
      </c>
      <c r="F3538" s="3" t="s">
        <v>5030</v>
      </c>
      <c r="G3538" s="3" t="s">
        <v>5037</v>
      </c>
      <c r="H3538" s="3" t="s">
        <v>7380</v>
      </c>
      <c r="I3538" s="17">
        <v>45820</v>
      </c>
      <c r="J3538" s="18">
        <f>YEAR(Tabla1[[#This Row],[FECHA DE COMPRA]])</f>
        <v>2025</v>
      </c>
      <c r="K3538" s="19">
        <v>91.86</v>
      </c>
      <c r="L3538" s="20">
        <v>0.1</v>
      </c>
      <c r="M3538" s="19">
        <f>Tienda!$K3851-Tienda!$K3851*Tienda!$L3851</f>
        <v>13.503</v>
      </c>
      <c r="N3538" s="3" t="s">
        <v>10040</v>
      </c>
      <c r="O3538" s="3" t="s">
        <v>10042</v>
      </c>
      <c r="P3538" s="17">
        <v>45820</v>
      </c>
      <c r="Q3538" s="4">
        <v>3</v>
      </c>
    </row>
    <row r="3539" spans="1:17" ht="30" x14ac:dyDescent="0.25">
      <c r="A3539" s="2" t="s">
        <v>82</v>
      </c>
      <c r="B3539" s="3" t="s">
        <v>5015</v>
      </c>
      <c r="C3539" s="3">
        <v>65</v>
      </c>
      <c r="D3539" s="46" t="str">
        <f>IF(Tabla1[[#This Row],[EDAD]]&lt;=35,"Adultos jóvenes 18 - 35 años",IF(C3539&gt;=36,"Adultos mayores 36 años en adelante"))</f>
        <v>Adultos mayores 36 años en adelante</v>
      </c>
      <c r="E3539" s="3" t="s">
        <v>5018</v>
      </c>
      <c r="F3539" s="3" t="s">
        <v>5027</v>
      </c>
      <c r="G3539" s="3" t="s">
        <v>5036</v>
      </c>
      <c r="H3539" s="3" t="s">
        <v>5105</v>
      </c>
      <c r="I3539" s="17">
        <v>45816</v>
      </c>
      <c r="J3539" s="18">
        <f>YEAR(Tabla1[[#This Row],[FECHA DE COMPRA]])</f>
        <v>2025</v>
      </c>
      <c r="K3539" s="19">
        <v>92.77</v>
      </c>
      <c r="L3539" s="20">
        <v>0.3</v>
      </c>
      <c r="M3539" s="19">
        <f>Tienda!$K3852-Tienda!$K3852*Tienda!$L3852</f>
        <v>13.563000000000001</v>
      </c>
      <c r="N3539" s="3" t="s">
        <v>10040</v>
      </c>
      <c r="O3539" s="3" t="s">
        <v>10042</v>
      </c>
      <c r="P3539" s="17">
        <v>45816</v>
      </c>
      <c r="Q3539" s="4">
        <v>3</v>
      </c>
    </row>
    <row r="3540" spans="1:17" ht="30" x14ac:dyDescent="0.25">
      <c r="A3540" s="2" t="s">
        <v>1602</v>
      </c>
      <c r="B3540" s="3" t="s">
        <v>5016</v>
      </c>
      <c r="C3540" s="3">
        <v>44</v>
      </c>
      <c r="D3540" s="46" t="str">
        <f>IF(Tabla1[[#This Row],[EDAD]]&lt;=35,"Adultos jóvenes 18 - 35 años",IF(C3540&gt;=36,"Adultos mayores 36 años en adelante"))</f>
        <v>Adultos mayores 36 años en adelante</v>
      </c>
      <c r="E3540" s="3" t="s">
        <v>5019</v>
      </c>
      <c r="F3540" s="3" t="s">
        <v>5028</v>
      </c>
      <c r="G3540" s="3" t="s">
        <v>5032</v>
      </c>
      <c r="H3540" s="3" t="s">
        <v>6625</v>
      </c>
      <c r="I3540" s="17">
        <v>45820</v>
      </c>
      <c r="J3540" s="18">
        <f>YEAR(Tabla1[[#This Row],[FECHA DE COMPRA]])</f>
        <v>2025</v>
      </c>
      <c r="K3540" s="19">
        <v>93.22</v>
      </c>
      <c r="L3540" s="20">
        <v>0.1</v>
      </c>
      <c r="M3540" s="19">
        <f>Tienda!$K3853-Tienda!$K3853*Tienda!$L3853</f>
        <v>13.573</v>
      </c>
      <c r="N3540" s="3" t="s">
        <v>10040</v>
      </c>
      <c r="O3540" s="3" t="s">
        <v>10042</v>
      </c>
      <c r="P3540" s="17">
        <v>45820</v>
      </c>
      <c r="Q3540" s="4">
        <v>6</v>
      </c>
    </row>
    <row r="3541" spans="1:17" ht="30" x14ac:dyDescent="0.25">
      <c r="A3541" s="2" t="s">
        <v>4399</v>
      </c>
      <c r="B3541" s="3" t="s">
        <v>5015</v>
      </c>
      <c r="C3541" s="3">
        <v>63</v>
      </c>
      <c r="D3541" s="46" t="str">
        <f>IF(Tabla1[[#This Row],[EDAD]]&lt;=35,"Adultos jóvenes 18 - 35 años",IF(C3541&gt;=36,"Adultos mayores 36 años en adelante"))</f>
        <v>Adultos mayores 36 años en adelante</v>
      </c>
      <c r="E3541" s="3" t="s">
        <v>5018</v>
      </c>
      <c r="F3541" s="3" t="s">
        <v>5025</v>
      </c>
      <c r="G3541" s="3" t="s">
        <v>5031</v>
      </c>
      <c r="H3541" s="3" t="s">
        <v>9422</v>
      </c>
      <c r="I3541" s="17">
        <v>45835</v>
      </c>
      <c r="J3541" s="18">
        <f>YEAR(Tabla1[[#This Row],[FECHA DE COMPRA]])</f>
        <v>2025</v>
      </c>
      <c r="K3541" s="19">
        <v>93.65</v>
      </c>
      <c r="L3541" s="20">
        <v>0.2</v>
      </c>
      <c r="M3541" s="19">
        <f>Tienda!$K3854-Tienda!$K3854*Tienda!$L3854</f>
        <v>13.703999999999999</v>
      </c>
      <c r="N3541" s="3" t="s">
        <v>10040</v>
      </c>
      <c r="O3541" s="3" t="s">
        <v>10042</v>
      </c>
      <c r="P3541" s="17">
        <v>45835</v>
      </c>
      <c r="Q3541" s="4">
        <v>6</v>
      </c>
    </row>
    <row r="3542" spans="1:17" ht="30" x14ac:dyDescent="0.25">
      <c r="A3542" s="2" t="s">
        <v>3982</v>
      </c>
      <c r="B3542" s="3" t="s">
        <v>5015</v>
      </c>
      <c r="C3542" s="3">
        <v>45</v>
      </c>
      <c r="D3542" s="46" t="str">
        <f>IF(Tabla1[[#This Row],[EDAD]]&lt;=35,"Adultos jóvenes 18 - 35 años",IF(C3542&gt;=36,"Adultos mayores 36 años en adelante"))</f>
        <v>Adultos mayores 36 años en adelante</v>
      </c>
      <c r="E3542" s="3" t="s">
        <v>5018</v>
      </c>
      <c r="F3542" s="3" t="s">
        <v>5026</v>
      </c>
      <c r="G3542" s="3" t="s">
        <v>5031</v>
      </c>
      <c r="H3542" s="3" t="s">
        <v>9005</v>
      </c>
      <c r="I3542" s="17">
        <v>45833</v>
      </c>
      <c r="J3542" s="18">
        <f>YEAR(Tabla1[[#This Row],[FECHA DE COMPRA]])</f>
        <v>2025</v>
      </c>
      <c r="K3542" s="19">
        <v>100.8</v>
      </c>
      <c r="L3542" s="20">
        <v>0</v>
      </c>
      <c r="M3542" s="19">
        <f>Tienda!$K3855-Tienda!$K3855*Tienda!$L3855</f>
        <v>13.838999999999999</v>
      </c>
      <c r="N3542" s="3" t="s">
        <v>10040</v>
      </c>
      <c r="O3542" s="3" t="s">
        <v>10042</v>
      </c>
      <c r="P3542" s="17">
        <v>45833</v>
      </c>
      <c r="Q3542" s="4">
        <v>6</v>
      </c>
    </row>
    <row r="3543" spans="1:17" ht="30" x14ac:dyDescent="0.25">
      <c r="A3543" s="2" t="s">
        <v>4649</v>
      </c>
      <c r="B3543" s="3" t="s">
        <v>5015</v>
      </c>
      <c r="C3543" s="3">
        <v>46</v>
      </c>
      <c r="D3543" s="46" t="str">
        <f>IF(Tabla1[[#This Row],[EDAD]]&lt;=35,"Adultos jóvenes 18 - 35 años",IF(C3543&gt;=36,"Adultos mayores 36 años en adelante"))</f>
        <v>Adultos mayores 36 años en adelante</v>
      </c>
      <c r="E3543" s="3" t="s">
        <v>5017</v>
      </c>
      <c r="F3543" s="3" t="s">
        <v>5025</v>
      </c>
      <c r="G3543" s="3" t="s">
        <v>5032</v>
      </c>
      <c r="H3543" s="3" t="s">
        <v>9672</v>
      </c>
      <c r="I3543" s="17">
        <v>45828</v>
      </c>
      <c r="J3543" s="18">
        <f>YEAR(Tabla1[[#This Row],[FECHA DE COMPRA]])</f>
        <v>2025</v>
      </c>
      <c r="K3543" s="19">
        <v>108.02</v>
      </c>
      <c r="L3543" s="20">
        <v>0.3</v>
      </c>
      <c r="M3543" s="19">
        <f>Tienda!$K3857-Tienda!$K3857*Tienda!$L3857</f>
        <v>13.975999999999999</v>
      </c>
      <c r="N3543" s="3" t="s">
        <v>10040</v>
      </c>
      <c r="O3543" s="3" t="s">
        <v>10042</v>
      </c>
      <c r="P3543" s="17">
        <v>45828</v>
      </c>
      <c r="Q3543" s="4">
        <v>6</v>
      </c>
    </row>
    <row r="3544" spans="1:17" ht="30" x14ac:dyDescent="0.25">
      <c r="A3544" s="2" t="s">
        <v>3648</v>
      </c>
      <c r="B3544" s="3" t="s">
        <v>5016</v>
      </c>
      <c r="C3544" s="3">
        <v>54</v>
      </c>
      <c r="D3544" s="46" t="str">
        <f>IF(Tabla1[[#This Row],[EDAD]]&lt;=35,"Adultos jóvenes 18 - 35 años",IF(C3544&gt;=36,"Adultos mayores 36 años en adelante"))</f>
        <v>Adultos mayores 36 años en adelante</v>
      </c>
      <c r="E3544" s="3" t="s">
        <v>5017</v>
      </c>
      <c r="F3544" s="3" t="s">
        <v>5028</v>
      </c>
      <c r="G3544" s="3" t="s">
        <v>5032</v>
      </c>
      <c r="H3544" s="3" t="s">
        <v>8671</v>
      </c>
      <c r="I3544" s="17">
        <v>45821</v>
      </c>
      <c r="J3544" s="18">
        <f>YEAR(Tabla1[[#This Row],[FECHA DE COMPRA]])</f>
        <v>2025</v>
      </c>
      <c r="K3544" s="19">
        <v>112.09</v>
      </c>
      <c r="L3544" s="20">
        <v>0</v>
      </c>
      <c r="M3544" s="19">
        <f>Tienda!$K3858-Tienda!$K3858*Tienda!$L3858</f>
        <v>14.22</v>
      </c>
      <c r="N3544" s="3" t="s">
        <v>10040</v>
      </c>
      <c r="O3544" s="3" t="s">
        <v>10042</v>
      </c>
      <c r="P3544" s="17">
        <v>45821</v>
      </c>
      <c r="Q3544" s="4">
        <v>6</v>
      </c>
    </row>
    <row r="3545" spans="1:17" ht="30" x14ac:dyDescent="0.25">
      <c r="A3545" s="2" t="s">
        <v>366</v>
      </c>
      <c r="B3545" s="3" t="s">
        <v>5015</v>
      </c>
      <c r="C3545" s="3">
        <v>43</v>
      </c>
      <c r="D3545" s="46" t="str">
        <f>IF(Tabla1[[#This Row],[EDAD]]&lt;=35,"Adultos jóvenes 18 - 35 años",IF(C3545&gt;=36,"Adultos mayores 36 años en adelante"))</f>
        <v>Adultos mayores 36 años en adelante</v>
      </c>
      <c r="E3545" s="3" t="s">
        <v>5022</v>
      </c>
      <c r="F3545" s="3" t="s">
        <v>5027</v>
      </c>
      <c r="G3545" s="3" t="s">
        <v>5033</v>
      </c>
      <c r="H3545" s="3" t="s">
        <v>5389</v>
      </c>
      <c r="I3545" s="17">
        <v>45816</v>
      </c>
      <c r="J3545" s="18">
        <f>YEAR(Tabla1[[#This Row],[FECHA DE COMPRA]])</f>
        <v>2025</v>
      </c>
      <c r="K3545" s="19">
        <v>118.36</v>
      </c>
      <c r="L3545" s="20">
        <v>0.3</v>
      </c>
      <c r="M3545" s="19">
        <f>Tienda!$K3859-Tienda!$K3859*Tienda!$L3859</f>
        <v>14.259</v>
      </c>
      <c r="N3545" s="3" t="s">
        <v>10040</v>
      </c>
      <c r="O3545" s="3" t="s">
        <v>10042</v>
      </c>
      <c r="P3545" s="17">
        <v>45816</v>
      </c>
      <c r="Q3545" s="4">
        <v>6</v>
      </c>
    </row>
    <row r="3546" spans="1:17" ht="30" x14ac:dyDescent="0.25">
      <c r="A3546" s="2" t="s">
        <v>3710</v>
      </c>
      <c r="B3546" s="3" t="s">
        <v>5015</v>
      </c>
      <c r="C3546" s="3">
        <v>50</v>
      </c>
      <c r="D3546" s="46" t="str">
        <f>IF(Tabla1[[#This Row],[EDAD]]&lt;=35,"Adultos jóvenes 18 - 35 años",IF(C3546&gt;=36,"Adultos mayores 36 años en adelante"))</f>
        <v>Adultos mayores 36 años en adelante</v>
      </c>
      <c r="E3546" s="3" t="s">
        <v>5019</v>
      </c>
      <c r="F3546" s="3" t="s">
        <v>5028</v>
      </c>
      <c r="G3546" s="3" t="s">
        <v>5034</v>
      </c>
      <c r="H3546" s="3" t="s">
        <v>8733</v>
      </c>
      <c r="I3546" s="17">
        <v>45828</v>
      </c>
      <c r="J3546" s="18">
        <f>YEAR(Tabla1[[#This Row],[FECHA DE COMPRA]])</f>
        <v>2025</v>
      </c>
      <c r="K3546" s="19">
        <v>126.48</v>
      </c>
      <c r="L3546" s="20">
        <v>0.2</v>
      </c>
      <c r="M3546" s="19">
        <f>Tienda!$K3862-Tienda!$K3862*Tienda!$L3862</f>
        <v>15.672000000000001</v>
      </c>
      <c r="N3546" s="3" t="s">
        <v>10040</v>
      </c>
      <c r="O3546" s="3" t="s">
        <v>10042</v>
      </c>
      <c r="P3546" s="17">
        <v>45828</v>
      </c>
      <c r="Q3546" s="4">
        <v>6</v>
      </c>
    </row>
    <row r="3547" spans="1:17" ht="30" x14ac:dyDescent="0.25">
      <c r="A3547" s="2" t="s">
        <v>3025</v>
      </c>
      <c r="B3547" s="3" t="s">
        <v>5016</v>
      </c>
      <c r="C3547" s="3">
        <v>57</v>
      </c>
      <c r="D3547" s="46" t="str">
        <f>IF(Tabla1[[#This Row],[EDAD]]&lt;=35,"Adultos jóvenes 18 - 35 años",IF(C3547&gt;=36,"Adultos mayores 36 años en adelante"))</f>
        <v>Adultos mayores 36 años en adelante</v>
      </c>
      <c r="E3547" s="3" t="s">
        <v>5019</v>
      </c>
      <c r="F3547" s="3" t="s">
        <v>5027</v>
      </c>
      <c r="G3547" s="3" t="s">
        <v>5036</v>
      </c>
      <c r="H3547" s="3" t="s">
        <v>8048</v>
      </c>
      <c r="I3547" s="17">
        <v>45828</v>
      </c>
      <c r="J3547" s="18">
        <f>YEAR(Tabla1[[#This Row],[FECHA DE COMPRA]])</f>
        <v>2025</v>
      </c>
      <c r="K3547" s="19">
        <v>134.88999999999999</v>
      </c>
      <c r="L3547" s="20">
        <v>0.1</v>
      </c>
      <c r="M3547" s="19">
        <f>Tienda!$K3865-Tienda!$K3865*Tienda!$L3865</f>
        <v>16.295999999999999</v>
      </c>
      <c r="N3547" s="3" t="s">
        <v>10040</v>
      </c>
      <c r="O3547" s="3" t="s">
        <v>10042</v>
      </c>
      <c r="P3547" s="17">
        <v>45828</v>
      </c>
      <c r="Q3547" s="4">
        <v>3</v>
      </c>
    </row>
    <row r="3548" spans="1:17" ht="30" x14ac:dyDescent="0.25">
      <c r="A3548" s="2" t="s">
        <v>807</v>
      </c>
      <c r="B3548" s="3" t="s">
        <v>5016</v>
      </c>
      <c r="C3548" s="3">
        <v>61</v>
      </c>
      <c r="D3548" s="46" t="str">
        <f>IF(Tabla1[[#This Row],[EDAD]]&lt;=35,"Adultos jóvenes 18 - 35 años",IF(C3548&gt;=36,"Adultos mayores 36 años en adelante"))</f>
        <v>Adultos mayores 36 años en adelante</v>
      </c>
      <c r="E3548" s="3" t="s">
        <v>5017</v>
      </c>
      <c r="F3548" s="3" t="s">
        <v>5027</v>
      </c>
      <c r="G3548" s="3" t="s">
        <v>5035</v>
      </c>
      <c r="H3548" s="3" t="s">
        <v>5830</v>
      </c>
      <c r="I3548" s="17">
        <v>45830</v>
      </c>
      <c r="J3548" s="18">
        <f>YEAR(Tabla1[[#This Row],[FECHA DE COMPRA]])</f>
        <v>2025</v>
      </c>
      <c r="K3548" s="19">
        <v>136.99</v>
      </c>
      <c r="L3548" s="20">
        <v>0.2</v>
      </c>
      <c r="M3548" s="19">
        <f>Tienda!$K3866-Tienda!$K3866*Tienda!$L3866</f>
        <v>16.398</v>
      </c>
      <c r="N3548" s="3" t="s">
        <v>10040</v>
      </c>
      <c r="O3548" s="3" t="s">
        <v>10042</v>
      </c>
      <c r="P3548" s="17">
        <v>45830</v>
      </c>
      <c r="Q3548" s="4">
        <v>3</v>
      </c>
    </row>
    <row r="3549" spans="1:17" ht="30" x14ac:dyDescent="0.25">
      <c r="A3549" s="2" t="s">
        <v>4378</v>
      </c>
      <c r="B3549" s="3" t="s">
        <v>5015</v>
      </c>
      <c r="C3549" s="3">
        <v>44</v>
      </c>
      <c r="D3549" s="46" t="str">
        <f>IF(Tabla1[[#This Row],[EDAD]]&lt;=35,"Adultos jóvenes 18 - 35 años",IF(C3549&gt;=36,"Adultos mayores 36 años en adelante"))</f>
        <v>Adultos mayores 36 años en adelante</v>
      </c>
      <c r="E3549" s="3" t="s">
        <v>5022</v>
      </c>
      <c r="F3549" s="3" t="s">
        <v>5026</v>
      </c>
      <c r="G3549" s="3" t="s">
        <v>5032</v>
      </c>
      <c r="H3549" s="3" t="s">
        <v>9401</v>
      </c>
      <c r="I3549" s="17">
        <v>45810</v>
      </c>
      <c r="J3549" s="18">
        <f>YEAR(Tabla1[[#This Row],[FECHA DE COMPRA]])</f>
        <v>2025</v>
      </c>
      <c r="K3549" s="19">
        <v>140.53</v>
      </c>
      <c r="L3549" s="20">
        <v>0.3</v>
      </c>
      <c r="M3549" s="19">
        <f>Tienda!$K3868-Tienda!$K3868*Tienda!$L3868</f>
        <v>16.452000000000002</v>
      </c>
      <c r="N3549" s="3" t="s">
        <v>10040</v>
      </c>
      <c r="O3549" s="3" t="s">
        <v>10042</v>
      </c>
      <c r="P3549" s="17">
        <v>45810</v>
      </c>
      <c r="Q3549" s="4">
        <v>3</v>
      </c>
    </row>
    <row r="3550" spans="1:17" ht="30" x14ac:dyDescent="0.25">
      <c r="A3550" s="2" t="s">
        <v>2150</v>
      </c>
      <c r="B3550" s="3" t="s">
        <v>5015</v>
      </c>
      <c r="C3550" s="3">
        <v>42</v>
      </c>
      <c r="D3550" s="46" t="str">
        <f>IF(Tabla1[[#This Row],[EDAD]]&lt;=35,"Adultos jóvenes 18 - 35 años",IF(C3550&gt;=36,"Adultos mayores 36 años en adelante"))</f>
        <v>Adultos mayores 36 años en adelante</v>
      </c>
      <c r="E3550" s="3" t="s">
        <v>5022</v>
      </c>
      <c r="F3550" s="3" t="s">
        <v>5030</v>
      </c>
      <c r="G3550" s="3" t="s">
        <v>5037</v>
      </c>
      <c r="H3550" s="3" t="s">
        <v>7173</v>
      </c>
      <c r="I3550" s="17">
        <v>45818</v>
      </c>
      <c r="J3550" s="18">
        <f>YEAR(Tabla1[[#This Row],[FECHA DE COMPRA]])</f>
        <v>2025</v>
      </c>
      <c r="K3550" s="19">
        <v>146.9</v>
      </c>
      <c r="L3550" s="20">
        <v>0.2</v>
      </c>
      <c r="M3550" s="19">
        <f>Tienda!$K3871-Tienda!$K3871*Tienda!$L3871</f>
        <v>17.05</v>
      </c>
      <c r="N3550" s="3" t="s">
        <v>10040</v>
      </c>
      <c r="O3550" s="3" t="s">
        <v>10042</v>
      </c>
      <c r="P3550" s="17">
        <v>45818</v>
      </c>
      <c r="Q3550" s="4">
        <v>3</v>
      </c>
    </row>
    <row r="3551" spans="1:17" ht="30" x14ac:dyDescent="0.25">
      <c r="A3551" s="2" t="s">
        <v>3072</v>
      </c>
      <c r="B3551" s="3" t="s">
        <v>5016</v>
      </c>
      <c r="C3551" s="3">
        <v>47</v>
      </c>
      <c r="D3551" s="46" t="str">
        <f>IF(Tabla1[[#This Row],[EDAD]]&lt;=35,"Adultos jóvenes 18 - 35 años",IF(C3551&gt;=36,"Adultos mayores 36 años en adelante"))</f>
        <v>Adultos mayores 36 años en adelante</v>
      </c>
      <c r="E3551" s="3" t="s">
        <v>5019</v>
      </c>
      <c r="F3551" s="3" t="s">
        <v>5028</v>
      </c>
      <c r="G3551" s="3" t="s">
        <v>5036</v>
      </c>
      <c r="H3551" s="3" t="s">
        <v>8095</v>
      </c>
      <c r="I3551" s="17">
        <v>45818</v>
      </c>
      <c r="J3551" s="18">
        <f>YEAR(Tabla1[[#This Row],[FECHA DE COMPRA]])</f>
        <v>2025</v>
      </c>
      <c r="K3551" s="19">
        <v>151.31</v>
      </c>
      <c r="L3551" s="20">
        <v>0.1</v>
      </c>
      <c r="M3551" s="19">
        <f>Tienda!$K3872-Tienda!$K3872*Tienda!$L3872</f>
        <v>17.149999999999999</v>
      </c>
      <c r="N3551" s="3" t="s">
        <v>10040</v>
      </c>
      <c r="O3551" s="3" t="s">
        <v>10042</v>
      </c>
      <c r="P3551" s="17">
        <v>45818</v>
      </c>
      <c r="Q3551" s="4">
        <v>3</v>
      </c>
    </row>
    <row r="3552" spans="1:17" ht="30" x14ac:dyDescent="0.25">
      <c r="A3552" s="2" t="s">
        <v>3730</v>
      </c>
      <c r="B3552" s="3" t="s">
        <v>5016</v>
      </c>
      <c r="C3552" s="3">
        <v>52</v>
      </c>
      <c r="D3552" s="46" t="str">
        <f>IF(Tabla1[[#This Row],[EDAD]]&lt;=35,"Adultos jóvenes 18 - 35 años",IF(C3552&gt;=36,"Adultos mayores 36 años en adelante"))</f>
        <v>Adultos mayores 36 años en adelante</v>
      </c>
      <c r="E3552" s="3" t="s">
        <v>5017</v>
      </c>
      <c r="F3552" s="3" t="s">
        <v>5025</v>
      </c>
      <c r="G3552" s="3" t="s">
        <v>5037</v>
      </c>
      <c r="H3552" s="3" t="s">
        <v>8753</v>
      </c>
      <c r="I3552" s="17">
        <v>45818</v>
      </c>
      <c r="J3552" s="18">
        <f>YEAR(Tabla1[[#This Row],[FECHA DE COMPRA]])</f>
        <v>2025</v>
      </c>
      <c r="K3552" s="19">
        <v>156.5</v>
      </c>
      <c r="L3552" s="20">
        <v>0.3</v>
      </c>
      <c r="M3552" s="19">
        <f>Tienda!$K3874-Tienda!$K3874*Tienda!$L3874</f>
        <v>17.225999999999999</v>
      </c>
      <c r="N3552" s="3" t="s">
        <v>10040</v>
      </c>
      <c r="O3552" s="3" t="s">
        <v>10042</v>
      </c>
      <c r="P3552" s="17">
        <v>45818</v>
      </c>
      <c r="Q3552" s="4">
        <v>3</v>
      </c>
    </row>
    <row r="3553" spans="1:17" ht="30" x14ac:dyDescent="0.25">
      <c r="A3553" s="2" t="s">
        <v>3041</v>
      </c>
      <c r="B3553" s="3" t="s">
        <v>5015</v>
      </c>
      <c r="C3553" s="3">
        <v>49</v>
      </c>
      <c r="D3553" s="46" t="str">
        <f>IF(Tabla1[[#This Row],[EDAD]]&lt;=35,"Adultos jóvenes 18 - 35 años",IF(C3553&gt;=36,"Adultos mayores 36 años en adelante"))</f>
        <v>Adultos mayores 36 años en adelante</v>
      </c>
      <c r="E3553" s="3" t="s">
        <v>5019</v>
      </c>
      <c r="F3553" s="3" t="s">
        <v>5028</v>
      </c>
      <c r="G3553" s="3" t="s">
        <v>5037</v>
      </c>
      <c r="H3553" s="3" t="s">
        <v>8064</v>
      </c>
      <c r="I3553" s="17">
        <v>45835</v>
      </c>
      <c r="J3553" s="18">
        <f>YEAR(Tabla1[[#This Row],[FECHA DE COMPRA]])</f>
        <v>2025</v>
      </c>
      <c r="K3553" s="19">
        <v>159.11000000000001</v>
      </c>
      <c r="L3553" s="20">
        <v>0.3</v>
      </c>
      <c r="M3553" s="19">
        <f>Tienda!$K3875-Tienda!$K3875*Tienda!$L3875</f>
        <v>17.423999999999999</v>
      </c>
      <c r="N3553" s="3" t="s">
        <v>10040</v>
      </c>
      <c r="O3553" s="3" t="s">
        <v>10042</v>
      </c>
      <c r="P3553" s="17">
        <v>45835</v>
      </c>
      <c r="Q3553" s="4">
        <v>6</v>
      </c>
    </row>
    <row r="3554" spans="1:17" ht="30" x14ac:dyDescent="0.25">
      <c r="A3554" s="2" t="s">
        <v>312</v>
      </c>
      <c r="B3554" s="3" t="s">
        <v>5015</v>
      </c>
      <c r="C3554" s="3">
        <v>49</v>
      </c>
      <c r="D3554" s="46" t="str">
        <f>IF(Tabla1[[#This Row],[EDAD]]&lt;=35,"Adultos jóvenes 18 - 35 años",IF(C3554&gt;=36,"Adultos mayores 36 años en adelante"))</f>
        <v>Adultos mayores 36 años en adelante</v>
      </c>
      <c r="E3554" s="3" t="s">
        <v>5023</v>
      </c>
      <c r="F3554" s="3" t="s">
        <v>5026</v>
      </c>
      <c r="G3554" s="3" t="s">
        <v>5034</v>
      </c>
      <c r="H3554" s="3" t="s">
        <v>5335</v>
      </c>
      <c r="I3554" s="17">
        <v>45816</v>
      </c>
      <c r="J3554" s="18">
        <f>YEAR(Tabla1[[#This Row],[FECHA DE COMPRA]])</f>
        <v>2025</v>
      </c>
      <c r="K3554" s="19">
        <v>163.02000000000001</v>
      </c>
      <c r="L3554" s="20">
        <v>0.1</v>
      </c>
      <c r="M3554" s="19">
        <f>Tienda!$K3877-Tienda!$K3877*Tienda!$L3877</f>
        <v>18.02</v>
      </c>
      <c r="N3554" s="3" t="s">
        <v>10040</v>
      </c>
      <c r="O3554" s="3" t="s">
        <v>10042</v>
      </c>
      <c r="P3554" s="17">
        <v>45816</v>
      </c>
      <c r="Q3554" s="4">
        <v>6</v>
      </c>
    </row>
    <row r="3555" spans="1:17" ht="30" x14ac:dyDescent="0.25">
      <c r="A3555" s="2" t="s">
        <v>379</v>
      </c>
      <c r="B3555" s="3" t="s">
        <v>5015</v>
      </c>
      <c r="C3555" s="3">
        <v>62</v>
      </c>
      <c r="D3555" s="46" t="str">
        <f>IF(Tabla1[[#This Row],[EDAD]]&lt;=35,"Adultos jóvenes 18 - 35 años",IF(C3555&gt;=36,"Adultos mayores 36 años en adelante"))</f>
        <v>Adultos mayores 36 años en adelante</v>
      </c>
      <c r="E3555" s="3" t="s">
        <v>5020</v>
      </c>
      <c r="F3555" s="3" t="s">
        <v>5026</v>
      </c>
      <c r="G3555" s="3" t="s">
        <v>5034</v>
      </c>
      <c r="H3555" s="3" t="s">
        <v>5402</v>
      </c>
      <c r="I3555" s="17">
        <v>45823</v>
      </c>
      <c r="J3555" s="18">
        <f>YEAR(Tabla1[[#This Row],[FECHA DE COMPRA]])</f>
        <v>2025</v>
      </c>
      <c r="K3555" s="19">
        <v>165.13</v>
      </c>
      <c r="L3555" s="20">
        <v>0.1</v>
      </c>
      <c r="M3555" s="19">
        <f>Tienda!$K3878-Tienda!$K3878*Tienda!$L3878</f>
        <v>18.417000000000002</v>
      </c>
      <c r="N3555" s="3" t="s">
        <v>10040</v>
      </c>
      <c r="O3555" s="3" t="s">
        <v>10042</v>
      </c>
      <c r="P3555" s="17">
        <v>45823</v>
      </c>
      <c r="Q3555" s="4">
        <v>6</v>
      </c>
    </row>
    <row r="3556" spans="1:17" ht="30" x14ac:dyDescent="0.25">
      <c r="A3556" s="2" t="s">
        <v>502</v>
      </c>
      <c r="B3556" s="3" t="s">
        <v>5015</v>
      </c>
      <c r="C3556" s="3">
        <v>38</v>
      </c>
      <c r="D3556" s="46" t="str">
        <f>IF(Tabla1[[#This Row],[EDAD]]&lt;=35,"Adultos jóvenes 18 - 35 años",IF(C3556&gt;=36,"Adultos mayores 36 años en adelante"))</f>
        <v>Adultos mayores 36 años en adelante</v>
      </c>
      <c r="E3556" s="3" t="s">
        <v>5022</v>
      </c>
      <c r="F3556" s="3" t="s">
        <v>5028</v>
      </c>
      <c r="G3556" s="3" t="s">
        <v>5031</v>
      </c>
      <c r="H3556" s="3" t="s">
        <v>5525</v>
      </c>
      <c r="I3556" s="17">
        <v>45831</v>
      </c>
      <c r="J3556" s="18">
        <f>YEAR(Tabla1[[#This Row],[FECHA DE COMPRA]])</f>
        <v>2025</v>
      </c>
      <c r="K3556" s="19">
        <v>172.31</v>
      </c>
      <c r="L3556" s="20">
        <v>0.1</v>
      </c>
      <c r="M3556" s="19">
        <f>Tienda!$K3879-Tienda!$K3879*Tienda!$L3879</f>
        <v>18.540000000000003</v>
      </c>
      <c r="N3556" s="3" t="s">
        <v>10040</v>
      </c>
      <c r="O3556" s="3" t="s">
        <v>10042</v>
      </c>
      <c r="P3556" s="17">
        <v>45831</v>
      </c>
      <c r="Q3556" s="4">
        <v>6</v>
      </c>
    </row>
    <row r="3557" spans="1:17" ht="30" x14ac:dyDescent="0.25">
      <c r="A3557" s="2" t="s">
        <v>3717</v>
      </c>
      <c r="B3557" s="3" t="s">
        <v>5015</v>
      </c>
      <c r="C3557" s="3">
        <v>50</v>
      </c>
      <c r="D3557" s="46" t="str">
        <f>IF(Tabla1[[#This Row],[EDAD]]&lt;=35,"Adultos jóvenes 18 - 35 años",IF(C3557&gt;=36,"Adultos mayores 36 años en adelante"))</f>
        <v>Adultos mayores 36 años en adelante</v>
      </c>
      <c r="E3557" s="3" t="s">
        <v>5020</v>
      </c>
      <c r="F3557" s="3" t="s">
        <v>5026</v>
      </c>
      <c r="G3557" s="3" t="s">
        <v>5034</v>
      </c>
      <c r="H3557" s="3" t="s">
        <v>8740</v>
      </c>
      <c r="I3557" s="17">
        <v>45817</v>
      </c>
      <c r="J3557" s="18">
        <f>YEAR(Tabla1[[#This Row],[FECHA DE COMPRA]])</f>
        <v>2025</v>
      </c>
      <c r="K3557" s="19">
        <v>179.57</v>
      </c>
      <c r="L3557" s="20">
        <v>0.3</v>
      </c>
      <c r="M3557" s="19">
        <f>Tienda!$K3880-Tienda!$K3880*Tienda!$L3880</f>
        <v>18.907000000000004</v>
      </c>
      <c r="N3557" s="3" t="s">
        <v>10040</v>
      </c>
      <c r="O3557" s="3" t="s">
        <v>10042</v>
      </c>
      <c r="P3557" s="17">
        <v>45817</v>
      </c>
      <c r="Q3557" s="4">
        <v>6</v>
      </c>
    </row>
    <row r="3558" spans="1:17" ht="30" x14ac:dyDescent="0.25">
      <c r="A3558" s="2" t="s">
        <v>2121</v>
      </c>
      <c r="B3558" s="3" t="s">
        <v>5016</v>
      </c>
      <c r="C3558" s="3">
        <v>52</v>
      </c>
      <c r="D3558" s="46" t="str">
        <f>IF(Tabla1[[#This Row],[EDAD]]&lt;=35,"Adultos jóvenes 18 - 35 años",IF(C3558&gt;=36,"Adultos mayores 36 años en adelante"))</f>
        <v>Adultos mayores 36 años en adelante</v>
      </c>
      <c r="E3558" s="3" t="s">
        <v>5021</v>
      </c>
      <c r="F3558" s="3" t="s">
        <v>5027</v>
      </c>
      <c r="G3558" s="3" t="s">
        <v>5035</v>
      </c>
      <c r="H3558" s="3" t="s">
        <v>7144</v>
      </c>
      <c r="I3558" s="17">
        <v>45818</v>
      </c>
      <c r="J3558" s="18">
        <f>YEAR(Tabla1[[#This Row],[FECHA DE COMPRA]])</f>
        <v>2025</v>
      </c>
      <c r="K3558" s="19">
        <v>179.85</v>
      </c>
      <c r="L3558" s="20">
        <v>0</v>
      </c>
      <c r="M3558" s="19">
        <f>Tienda!$K3881-Tienda!$K3881*Tienda!$L3881</f>
        <v>19.160999999999998</v>
      </c>
      <c r="N3558" s="3" t="s">
        <v>10040</v>
      </c>
      <c r="O3558" s="3" t="s">
        <v>10042</v>
      </c>
      <c r="P3558" s="17">
        <v>45818</v>
      </c>
      <c r="Q3558" s="4">
        <v>6</v>
      </c>
    </row>
    <row r="3559" spans="1:17" ht="30" x14ac:dyDescent="0.25">
      <c r="A3559" s="2" t="s">
        <v>4085</v>
      </c>
      <c r="B3559" s="3" t="s">
        <v>5016</v>
      </c>
      <c r="C3559" s="3">
        <v>43</v>
      </c>
      <c r="D3559" s="46" t="str">
        <f>IF(Tabla1[[#This Row],[EDAD]]&lt;=35,"Adultos jóvenes 18 - 35 años",IF(C3559&gt;=36,"Adultos mayores 36 años en adelante"))</f>
        <v>Adultos mayores 36 años en adelante</v>
      </c>
      <c r="E3559" s="3" t="s">
        <v>5019</v>
      </c>
      <c r="F3559" s="3" t="s">
        <v>5030</v>
      </c>
      <c r="G3559" s="3" t="s">
        <v>5033</v>
      </c>
      <c r="H3559" s="3" t="s">
        <v>9108</v>
      </c>
      <c r="I3559" s="17">
        <v>45814</v>
      </c>
      <c r="J3559" s="18">
        <f>YEAR(Tabla1[[#This Row],[FECHA DE COMPRA]])</f>
        <v>2025</v>
      </c>
      <c r="K3559" s="19">
        <v>180.29</v>
      </c>
      <c r="L3559" s="20">
        <v>0.2</v>
      </c>
      <c r="M3559" s="19">
        <f>Tienda!$K3882-Tienda!$K3882*Tienda!$L3882</f>
        <v>19.375999999999998</v>
      </c>
      <c r="N3559" s="3" t="s">
        <v>10040</v>
      </c>
      <c r="O3559" s="3" t="s">
        <v>10042</v>
      </c>
      <c r="P3559" s="17">
        <v>45814</v>
      </c>
      <c r="Q3559" s="4">
        <v>6</v>
      </c>
    </row>
    <row r="3560" spans="1:17" ht="30" x14ac:dyDescent="0.25">
      <c r="A3560" s="2" t="s">
        <v>4953</v>
      </c>
      <c r="B3560" s="3" t="s">
        <v>5015</v>
      </c>
      <c r="C3560" s="3">
        <v>62</v>
      </c>
      <c r="D3560" s="46" t="str">
        <f>IF(Tabla1[[#This Row],[EDAD]]&lt;=35,"Adultos jóvenes 18 - 35 años",IF(C3560&gt;=36,"Adultos mayores 36 años en adelante"))</f>
        <v>Adultos mayores 36 años en adelante</v>
      </c>
      <c r="E3560" s="3" t="s">
        <v>5023</v>
      </c>
      <c r="F3560" s="3" t="s">
        <v>5030</v>
      </c>
      <c r="G3560" s="3" t="s">
        <v>5037</v>
      </c>
      <c r="H3560" s="3" t="s">
        <v>9976</v>
      </c>
      <c r="I3560" s="17">
        <v>45834</v>
      </c>
      <c r="J3560" s="18">
        <f>YEAR(Tabla1[[#This Row],[FECHA DE COMPRA]])</f>
        <v>2025</v>
      </c>
      <c r="K3560" s="19">
        <v>199.98</v>
      </c>
      <c r="L3560" s="20">
        <v>0</v>
      </c>
      <c r="M3560" s="19">
        <f>Tienda!$K3885-Tienda!$K3885*Tienda!$L3885</f>
        <v>19.614000000000001</v>
      </c>
      <c r="N3560" s="3" t="s">
        <v>10040</v>
      </c>
      <c r="O3560" s="3" t="s">
        <v>10042</v>
      </c>
      <c r="P3560" s="17">
        <v>45834</v>
      </c>
      <c r="Q3560" s="4">
        <v>6</v>
      </c>
    </row>
    <row r="3561" spans="1:17" ht="30" x14ac:dyDescent="0.25">
      <c r="A3561" s="2" t="s">
        <v>385</v>
      </c>
      <c r="B3561" s="3" t="s">
        <v>5015</v>
      </c>
      <c r="C3561" s="3">
        <v>41</v>
      </c>
      <c r="D3561" s="46" t="str">
        <f>IF(Tabla1[[#This Row],[EDAD]]&lt;=35,"Adultos jóvenes 18 - 35 años",IF(C3561&gt;=36,"Adultos mayores 36 años en adelante"))</f>
        <v>Adultos mayores 36 años en adelante</v>
      </c>
      <c r="E3561" s="3" t="s">
        <v>5023</v>
      </c>
      <c r="F3561" s="3" t="s">
        <v>5027</v>
      </c>
      <c r="G3561" s="3" t="s">
        <v>5037</v>
      </c>
      <c r="H3561" s="3" t="s">
        <v>5408</v>
      </c>
      <c r="I3561" s="17">
        <v>45865</v>
      </c>
      <c r="J3561" s="18">
        <f>YEAR(Tabla1[[#This Row],[FECHA DE COMPRA]])</f>
        <v>2025</v>
      </c>
      <c r="K3561" s="19">
        <v>10.27</v>
      </c>
      <c r="L3561" s="20">
        <v>0.3</v>
      </c>
      <c r="M3561" s="19">
        <f>Tienda!$K3886-Tienda!$K3886*Tienda!$L3886</f>
        <v>19.789000000000001</v>
      </c>
      <c r="N3561" s="3" t="s">
        <v>10040</v>
      </c>
      <c r="O3561" s="3" t="s">
        <v>10042</v>
      </c>
      <c r="P3561" s="17">
        <v>45865</v>
      </c>
      <c r="Q3561" s="4">
        <v>3</v>
      </c>
    </row>
    <row r="3562" spans="1:17" ht="30" x14ac:dyDescent="0.25">
      <c r="A3562" s="2" t="s">
        <v>1162</v>
      </c>
      <c r="B3562" s="3" t="s">
        <v>5015</v>
      </c>
      <c r="C3562" s="3">
        <v>61</v>
      </c>
      <c r="D3562" s="46" t="str">
        <f>IF(Tabla1[[#This Row],[EDAD]]&lt;=35,"Adultos jóvenes 18 - 35 años",IF(C3562&gt;=36,"Adultos mayores 36 años en adelante"))</f>
        <v>Adultos mayores 36 años en adelante</v>
      </c>
      <c r="E3562" s="3" t="s">
        <v>5020</v>
      </c>
      <c r="F3562" s="3" t="s">
        <v>5029</v>
      </c>
      <c r="G3562" s="3" t="s">
        <v>5037</v>
      </c>
      <c r="H3562" s="3" t="s">
        <v>6185</v>
      </c>
      <c r="I3562" s="17">
        <v>45866</v>
      </c>
      <c r="J3562" s="18">
        <f>YEAR(Tabla1[[#This Row],[FECHA DE COMPRA]])</f>
        <v>2025</v>
      </c>
      <c r="K3562" s="19">
        <v>37.479999999999997</v>
      </c>
      <c r="L3562" s="20">
        <v>0.3</v>
      </c>
      <c r="M3562" s="19">
        <f>Tienda!$K3887-Tienda!$K3887*Tienda!$L3887</f>
        <v>20.503999999999998</v>
      </c>
      <c r="N3562" s="3" t="s">
        <v>10040</v>
      </c>
      <c r="O3562" s="3" t="s">
        <v>10042</v>
      </c>
      <c r="P3562" s="17">
        <v>45866</v>
      </c>
      <c r="Q3562" s="4">
        <v>3</v>
      </c>
    </row>
    <row r="3563" spans="1:17" ht="30" x14ac:dyDescent="0.25">
      <c r="A3563" s="2" t="s">
        <v>4481</v>
      </c>
      <c r="B3563" s="3" t="s">
        <v>5016</v>
      </c>
      <c r="C3563" s="3">
        <v>56</v>
      </c>
      <c r="D3563" s="46" t="str">
        <f>IF(Tabla1[[#This Row],[EDAD]]&lt;=35,"Adultos jóvenes 18 - 35 años",IF(C3563&gt;=36,"Adultos mayores 36 años en adelante"))</f>
        <v>Adultos mayores 36 años en adelante</v>
      </c>
      <c r="E3563" s="3" t="s">
        <v>5017</v>
      </c>
      <c r="F3563" s="3" t="s">
        <v>5027</v>
      </c>
      <c r="G3563" s="3" t="s">
        <v>5037</v>
      </c>
      <c r="H3563" s="3" t="s">
        <v>9504</v>
      </c>
      <c r="I3563" s="17">
        <v>45844</v>
      </c>
      <c r="J3563" s="18">
        <f>YEAR(Tabla1[[#This Row],[FECHA DE COMPRA]])</f>
        <v>2025</v>
      </c>
      <c r="K3563" s="19">
        <v>42.11</v>
      </c>
      <c r="L3563" s="20">
        <v>0.2</v>
      </c>
      <c r="M3563" s="19">
        <f>Tienda!$K3888-Tienda!$K3888*Tienda!$L3888</f>
        <v>20.637</v>
      </c>
      <c r="N3563" s="3" t="s">
        <v>10040</v>
      </c>
      <c r="O3563" s="3" t="s">
        <v>10042</v>
      </c>
      <c r="P3563" s="17">
        <v>45844</v>
      </c>
      <c r="Q3563" s="4">
        <v>3</v>
      </c>
    </row>
    <row r="3564" spans="1:17" ht="30" x14ac:dyDescent="0.25">
      <c r="A3564" s="2" t="s">
        <v>3819</v>
      </c>
      <c r="B3564" s="3" t="s">
        <v>5015</v>
      </c>
      <c r="C3564" s="3">
        <v>41</v>
      </c>
      <c r="D3564" s="46" t="str">
        <f>IF(Tabla1[[#This Row],[EDAD]]&lt;=35,"Adultos jóvenes 18 - 35 años",IF(C3564&gt;=36,"Adultos mayores 36 años en adelante"))</f>
        <v>Adultos mayores 36 años en adelante</v>
      </c>
      <c r="E3564" s="3" t="s">
        <v>5017</v>
      </c>
      <c r="F3564" s="3" t="s">
        <v>5028</v>
      </c>
      <c r="G3564" s="3" t="s">
        <v>5037</v>
      </c>
      <c r="H3564" s="3" t="s">
        <v>8842</v>
      </c>
      <c r="I3564" s="17">
        <v>45867</v>
      </c>
      <c r="J3564" s="18">
        <f>YEAR(Tabla1[[#This Row],[FECHA DE COMPRA]])</f>
        <v>2025</v>
      </c>
      <c r="K3564" s="19">
        <v>47.1</v>
      </c>
      <c r="L3564" s="20">
        <v>0.1</v>
      </c>
      <c r="M3564" s="19">
        <f>Tienda!$K3889-Tienda!$K3889*Tienda!$L3889</f>
        <v>20.712</v>
      </c>
      <c r="N3564" s="3" t="s">
        <v>10040</v>
      </c>
      <c r="O3564" s="3" t="s">
        <v>10042</v>
      </c>
      <c r="P3564" s="17">
        <v>45867</v>
      </c>
      <c r="Q3564" s="4">
        <v>3</v>
      </c>
    </row>
    <row r="3565" spans="1:17" ht="30" x14ac:dyDescent="0.25">
      <c r="A3565" s="2" t="s">
        <v>631</v>
      </c>
      <c r="B3565" s="3" t="s">
        <v>5016</v>
      </c>
      <c r="C3565" s="3">
        <v>57</v>
      </c>
      <c r="D3565" s="46" t="str">
        <f>IF(Tabla1[[#This Row],[EDAD]]&lt;=35,"Adultos jóvenes 18 - 35 años",IF(C3565&gt;=36,"Adultos mayores 36 años en adelante"))</f>
        <v>Adultos mayores 36 años en adelante</v>
      </c>
      <c r="E3565" s="3" t="s">
        <v>5019</v>
      </c>
      <c r="F3565" s="3" t="s">
        <v>5029</v>
      </c>
      <c r="G3565" s="3" t="s">
        <v>5031</v>
      </c>
      <c r="H3565" s="3" t="s">
        <v>5654</v>
      </c>
      <c r="I3565" s="17">
        <v>45845</v>
      </c>
      <c r="J3565" s="18">
        <f>YEAR(Tabla1[[#This Row],[FECHA DE COMPRA]])</f>
        <v>2025</v>
      </c>
      <c r="K3565" s="19">
        <v>49.72</v>
      </c>
      <c r="L3565" s="20">
        <v>0</v>
      </c>
      <c r="M3565" s="19">
        <f>Tienda!$K3891-Tienda!$K3891*Tienda!$L3891</f>
        <v>21.509999999999998</v>
      </c>
      <c r="N3565" s="3" t="s">
        <v>10040</v>
      </c>
      <c r="O3565" s="3" t="s">
        <v>10042</v>
      </c>
      <c r="P3565" s="17">
        <v>45845</v>
      </c>
      <c r="Q3565" s="4">
        <v>3</v>
      </c>
    </row>
    <row r="3566" spans="1:17" ht="30" x14ac:dyDescent="0.25">
      <c r="A3566" s="2" t="s">
        <v>362</v>
      </c>
      <c r="B3566" s="3" t="s">
        <v>5015</v>
      </c>
      <c r="C3566" s="3">
        <v>50</v>
      </c>
      <c r="D3566" s="46" t="str">
        <f>IF(Tabla1[[#This Row],[EDAD]]&lt;=35,"Adultos jóvenes 18 - 35 años",IF(C3566&gt;=36,"Adultos mayores 36 años en adelante"))</f>
        <v>Adultos mayores 36 años en adelante</v>
      </c>
      <c r="E3566" s="3" t="s">
        <v>5022</v>
      </c>
      <c r="F3566" s="3" t="s">
        <v>5026</v>
      </c>
      <c r="G3566" s="3" t="s">
        <v>5037</v>
      </c>
      <c r="H3566" s="3" t="s">
        <v>5385</v>
      </c>
      <c r="I3566" s="17">
        <v>45841</v>
      </c>
      <c r="J3566" s="18">
        <f>YEAR(Tabla1[[#This Row],[FECHA DE COMPRA]])</f>
        <v>2025</v>
      </c>
      <c r="K3566" s="19">
        <v>71.14</v>
      </c>
      <c r="L3566" s="20">
        <v>0.2</v>
      </c>
      <c r="M3566" s="19">
        <f>Tienda!$K3892-Tienda!$K3892*Tienda!$L3892</f>
        <v>21.856000000000002</v>
      </c>
      <c r="N3566" s="3" t="s">
        <v>10040</v>
      </c>
      <c r="O3566" s="3" t="s">
        <v>10042</v>
      </c>
      <c r="P3566" s="17">
        <v>45841</v>
      </c>
      <c r="Q3566" s="4">
        <v>3</v>
      </c>
    </row>
    <row r="3567" spans="1:17" ht="30" x14ac:dyDescent="0.25">
      <c r="A3567" s="2" t="s">
        <v>449</v>
      </c>
      <c r="B3567" s="3" t="s">
        <v>5015</v>
      </c>
      <c r="C3567" s="3">
        <v>61</v>
      </c>
      <c r="D3567" s="46" t="str">
        <f>IF(Tabla1[[#This Row],[EDAD]]&lt;=35,"Adultos jóvenes 18 - 35 años",IF(C3567&gt;=36,"Adultos mayores 36 años en adelante"))</f>
        <v>Adultos mayores 36 años en adelante</v>
      </c>
      <c r="E3567" s="3" t="s">
        <v>5018</v>
      </c>
      <c r="F3567" s="3" t="s">
        <v>5027</v>
      </c>
      <c r="G3567" s="3" t="s">
        <v>5031</v>
      </c>
      <c r="H3567" s="3" t="s">
        <v>5472</v>
      </c>
      <c r="I3567" s="17">
        <v>45862</v>
      </c>
      <c r="J3567" s="18">
        <f>YEAR(Tabla1[[#This Row],[FECHA DE COMPRA]])</f>
        <v>2025</v>
      </c>
      <c r="K3567" s="19">
        <v>93.77</v>
      </c>
      <c r="L3567" s="20">
        <v>0.3</v>
      </c>
      <c r="M3567" s="19">
        <f>Tienda!$K3895-Tienda!$K3895*Tienda!$L3895</f>
        <v>22.5</v>
      </c>
      <c r="N3567" s="3" t="s">
        <v>10040</v>
      </c>
      <c r="O3567" s="3" t="s">
        <v>10042</v>
      </c>
      <c r="P3567" s="17">
        <v>45862</v>
      </c>
      <c r="Q3567" s="4">
        <v>3</v>
      </c>
    </row>
    <row r="3568" spans="1:17" ht="30" x14ac:dyDescent="0.25">
      <c r="A3568" s="2" t="s">
        <v>1350</v>
      </c>
      <c r="B3568" s="3" t="s">
        <v>5015</v>
      </c>
      <c r="C3568" s="3">
        <v>49</v>
      </c>
      <c r="D3568" s="46" t="str">
        <f>IF(Tabla1[[#This Row],[EDAD]]&lt;=35,"Adultos jóvenes 18 - 35 años",IF(C3568&gt;=36,"Adultos mayores 36 años en adelante"))</f>
        <v>Adultos mayores 36 años en adelante</v>
      </c>
      <c r="E3568" s="3" t="s">
        <v>5020</v>
      </c>
      <c r="F3568" s="3" t="s">
        <v>5027</v>
      </c>
      <c r="G3568" s="3" t="s">
        <v>5035</v>
      </c>
      <c r="H3568" s="3" t="s">
        <v>6373</v>
      </c>
      <c r="I3568" s="17">
        <v>45840</v>
      </c>
      <c r="J3568" s="18">
        <f>YEAR(Tabla1[[#This Row],[FECHA DE COMPRA]])</f>
        <v>2025</v>
      </c>
      <c r="K3568" s="19">
        <v>112.58</v>
      </c>
      <c r="L3568" s="20">
        <v>0.1</v>
      </c>
      <c r="M3568" s="19">
        <f>Tienda!$K3897-Tienda!$K3897*Tienda!$L3897</f>
        <v>22.626000000000001</v>
      </c>
      <c r="N3568" s="3" t="s">
        <v>10040</v>
      </c>
      <c r="O3568" s="3" t="s">
        <v>10042</v>
      </c>
      <c r="P3568" s="17">
        <v>45840</v>
      </c>
      <c r="Q3568" s="4">
        <v>6</v>
      </c>
    </row>
    <row r="3569" spans="1:17" ht="30" x14ac:dyDescent="0.25">
      <c r="A3569" s="2" t="s">
        <v>1500</v>
      </c>
      <c r="B3569" s="3" t="s">
        <v>5015</v>
      </c>
      <c r="C3569" s="3">
        <v>50</v>
      </c>
      <c r="D3569" s="46" t="str">
        <f>IF(Tabla1[[#This Row],[EDAD]]&lt;=35,"Adultos jóvenes 18 - 35 años",IF(C3569&gt;=36,"Adultos mayores 36 años en adelante"))</f>
        <v>Adultos mayores 36 años en adelante</v>
      </c>
      <c r="E3569" s="3" t="s">
        <v>5020</v>
      </c>
      <c r="F3569" s="3" t="s">
        <v>5030</v>
      </c>
      <c r="G3569" s="3" t="s">
        <v>5035</v>
      </c>
      <c r="H3569" s="3" t="s">
        <v>6523</v>
      </c>
      <c r="I3569" s="17">
        <v>45859</v>
      </c>
      <c r="J3569" s="18">
        <f>YEAR(Tabla1[[#This Row],[FECHA DE COMPRA]])</f>
        <v>2025</v>
      </c>
      <c r="K3569" s="19">
        <v>115.23</v>
      </c>
      <c r="L3569" s="20">
        <v>0</v>
      </c>
      <c r="M3569" s="19">
        <f>Tienda!$K3899-Tienda!$K3899*Tienda!$L3899</f>
        <v>22.981000000000002</v>
      </c>
      <c r="N3569" s="3" t="s">
        <v>10040</v>
      </c>
      <c r="O3569" s="3" t="s">
        <v>10042</v>
      </c>
      <c r="P3569" s="17">
        <v>45859</v>
      </c>
      <c r="Q3569" s="4">
        <v>6</v>
      </c>
    </row>
    <row r="3570" spans="1:17" ht="30" x14ac:dyDescent="0.25">
      <c r="A3570" s="2" t="s">
        <v>3846</v>
      </c>
      <c r="B3570" s="3" t="s">
        <v>5015</v>
      </c>
      <c r="C3570" s="3">
        <v>47</v>
      </c>
      <c r="D3570" s="46" t="str">
        <f>IF(Tabla1[[#This Row],[EDAD]]&lt;=35,"Adultos jóvenes 18 - 35 años",IF(C3570&gt;=36,"Adultos mayores 36 años en adelante"))</f>
        <v>Adultos mayores 36 años en adelante</v>
      </c>
      <c r="E3570" s="3" t="s">
        <v>5020</v>
      </c>
      <c r="F3570" s="3" t="s">
        <v>5025</v>
      </c>
      <c r="G3570" s="3" t="s">
        <v>5032</v>
      </c>
      <c r="H3570" s="3" t="s">
        <v>8869</v>
      </c>
      <c r="I3570" s="17">
        <v>45842</v>
      </c>
      <c r="J3570" s="18">
        <f>YEAR(Tabla1[[#This Row],[FECHA DE COMPRA]])</f>
        <v>2025</v>
      </c>
      <c r="K3570" s="19">
        <v>128.33000000000001</v>
      </c>
      <c r="L3570" s="20">
        <v>0</v>
      </c>
      <c r="M3570" s="19">
        <f>Tienda!$K3900-Tienda!$K3900*Tienda!$L3900</f>
        <v>23.15</v>
      </c>
      <c r="N3570" s="3" t="s">
        <v>10040</v>
      </c>
      <c r="O3570" s="3" t="s">
        <v>10042</v>
      </c>
      <c r="P3570" s="17">
        <v>45842</v>
      </c>
      <c r="Q3570" s="4">
        <v>6</v>
      </c>
    </row>
    <row r="3571" spans="1:17" ht="30" x14ac:dyDescent="0.25">
      <c r="A3571" s="2" t="s">
        <v>4896</v>
      </c>
      <c r="B3571" s="3" t="s">
        <v>5015</v>
      </c>
      <c r="C3571" s="3">
        <v>64</v>
      </c>
      <c r="D3571" s="46" t="str">
        <f>IF(Tabla1[[#This Row],[EDAD]]&lt;=35,"Adultos jóvenes 18 - 35 años",IF(C3571&gt;=36,"Adultos mayores 36 años en adelante"))</f>
        <v>Adultos mayores 36 años en adelante</v>
      </c>
      <c r="E3571" s="3" t="s">
        <v>5021</v>
      </c>
      <c r="F3571" s="3" t="s">
        <v>5029</v>
      </c>
      <c r="G3571" s="3" t="s">
        <v>5031</v>
      </c>
      <c r="H3571" s="3" t="s">
        <v>9919</v>
      </c>
      <c r="I3571" s="17">
        <v>45849</v>
      </c>
      <c r="J3571" s="18">
        <f>YEAR(Tabla1[[#This Row],[FECHA DE COMPRA]])</f>
        <v>2025</v>
      </c>
      <c r="K3571" s="19">
        <v>132.38</v>
      </c>
      <c r="L3571" s="20">
        <v>0.3</v>
      </c>
      <c r="M3571" s="19">
        <f>Tienda!$K3901-Tienda!$K3901*Tienda!$L3901</f>
        <v>23.44</v>
      </c>
      <c r="N3571" s="3" t="s">
        <v>10040</v>
      </c>
      <c r="O3571" s="3" t="s">
        <v>10042</v>
      </c>
      <c r="P3571" s="17">
        <v>45849</v>
      </c>
      <c r="Q3571" s="4">
        <v>6</v>
      </c>
    </row>
    <row r="3572" spans="1:17" ht="30" x14ac:dyDescent="0.25">
      <c r="A3572" s="2" t="s">
        <v>3421</v>
      </c>
      <c r="B3572" s="3" t="s">
        <v>5016</v>
      </c>
      <c r="C3572" s="3">
        <v>62</v>
      </c>
      <c r="D3572" s="46" t="str">
        <f>IF(Tabla1[[#This Row],[EDAD]]&lt;=35,"Adultos jóvenes 18 - 35 años",IF(C3572&gt;=36,"Adultos mayores 36 años en adelante"))</f>
        <v>Adultos mayores 36 años en adelante</v>
      </c>
      <c r="E3572" s="3" t="s">
        <v>5017</v>
      </c>
      <c r="F3572" s="3" t="s">
        <v>5025</v>
      </c>
      <c r="G3572" s="3" t="s">
        <v>5031</v>
      </c>
      <c r="H3572" s="3" t="s">
        <v>8444</v>
      </c>
      <c r="I3572" s="17">
        <v>45864</v>
      </c>
      <c r="J3572" s="18">
        <f>YEAR(Tabla1[[#This Row],[FECHA DE COMPRA]])</f>
        <v>2025</v>
      </c>
      <c r="K3572" s="19">
        <v>157.97</v>
      </c>
      <c r="L3572" s="20">
        <v>0.2</v>
      </c>
      <c r="M3572" s="19">
        <f>Tienda!$K3907-Tienda!$K3907*Tienda!$L3907</f>
        <v>24.46</v>
      </c>
      <c r="N3572" s="3" t="s">
        <v>10040</v>
      </c>
      <c r="O3572" s="3" t="s">
        <v>10042</v>
      </c>
      <c r="P3572" s="17">
        <v>45864</v>
      </c>
      <c r="Q3572" s="4">
        <v>6</v>
      </c>
    </row>
    <row r="3573" spans="1:17" ht="30" x14ac:dyDescent="0.25">
      <c r="A3573" s="2" t="s">
        <v>436</v>
      </c>
      <c r="B3573" s="3" t="s">
        <v>5015</v>
      </c>
      <c r="C3573" s="3">
        <v>50</v>
      </c>
      <c r="D3573" s="46" t="str">
        <f>IF(Tabla1[[#This Row],[EDAD]]&lt;=35,"Adultos jóvenes 18 - 35 años",IF(C3573&gt;=36,"Adultos mayores 36 años en adelante"))</f>
        <v>Adultos mayores 36 años en adelante</v>
      </c>
      <c r="E3573" s="3" t="s">
        <v>5022</v>
      </c>
      <c r="F3573" s="3" t="s">
        <v>5025</v>
      </c>
      <c r="G3573" s="3" t="s">
        <v>5034</v>
      </c>
      <c r="H3573" s="3" t="s">
        <v>5459</v>
      </c>
      <c r="I3573" s="17">
        <v>45843</v>
      </c>
      <c r="J3573" s="18">
        <f>YEAR(Tabla1[[#This Row],[FECHA DE COMPRA]])</f>
        <v>2025</v>
      </c>
      <c r="K3573" s="19">
        <v>168.13</v>
      </c>
      <c r="L3573" s="20">
        <v>0.3</v>
      </c>
      <c r="M3573" s="19">
        <f>Tienda!$K3910-Tienda!$K3910*Tienda!$L3910</f>
        <v>25.479999999999997</v>
      </c>
      <c r="N3573" s="3" t="s">
        <v>10040</v>
      </c>
      <c r="O3573" s="3" t="s">
        <v>10042</v>
      </c>
      <c r="P3573" s="17">
        <v>45843</v>
      </c>
      <c r="Q3573" s="4">
        <v>3</v>
      </c>
    </row>
    <row r="3574" spans="1:17" ht="30" x14ac:dyDescent="0.25">
      <c r="A3574" s="2" t="s">
        <v>4228</v>
      </c>
      <c r="B3574" s="3" t="s">
        <v>5015</v>
      </c>
      <c r="C3574" s="3">
        <v>64</v>
      </c>
      <c r="D3574" s="46" t="str">
        <f>IF(Tabla1[[#This Row],[EDAD]]&lt;=35,"Adultos jóvenes 18 - 35 años",IF(C3574&gt;=36,"Adultos mayores 36 años en adelante"))</f>
        <v>Adultos mayores 36 años en adelante</v>
      </c>
      <c r="E3574" s="3" t="s">
        <v>5020</v>
      </c>
      <c r="F3574" s="3" t="s">
        <v>5026</v>
      </c>
      <c r="G3574" s="3" t="s">
        <v>5032</v>
      </c>
      <c r="H3574" s="3" t="s">
        <v>9251</v>
      </c>
      <c r="I3574" s="17">
        <v>45846</v>
      </c>
      <c r="J3574" s="18">
        <f>YEAR(Tabla1[[#This Row],[FECHA DE COMPRA]])</f>
        <v>2025</v>
      </c>
      <c r="K3574" s="19">
        <v>168.63</v>
      </c>
      <c r="L3574" s="20">
        <v>0.2</v>
      </c>
      <c r="M3574" s="19">
        <f>Tienda!$K3911-Tienda!$K3911*Tienda!$L3911</f>
        <v>25.587</v>
      </c>
      <c r="N3574" s="3" t="s">
        <v>10040</v>
      </c>
      <c r="O3574" s="3" t="s">
        <v>10042</v>
      </c>
      <c r="P3574" s="17">
        <v>45846</v>
      </c>
      <c r="Q3574" s="4">
        <v>3</v>
      </c>
    </row>
    <row r="3575" spans="1:17" ht="30" x14ac:dyDescent="0.25">
      <c r="A3575" s="2" t="s">
        <v>2956</v>
      </c>
      <c r="B3575" s="3" t="s">
        <v>5015</v>
      </c>
      <c r="C3575" s="3">
        <v>54</v>
      </c>
      <c r="D3575" s="46" t="str">
        <f>IF(Tabla1[[#This Row],[EDAD]]&lt;=35,"Adultos jóvenes 18 - 35 años",IF(C3575&gt;=36,"Adultos mayores 36 años en adelante"))</f>
        <v>Adultos mayores 36 años en adelante</v>
      </c>
      <c r="E3575" s="3" t="s">
        <v>5019</v>
      </c>
      <c r="F3575" s="3" t="s">
        <v>5029</v>
      </c>
      <c r="G3575" s="3" t="s">
        <v>5032</v>
      </c>
      <c r="H3575" s="3" t="s">
        <v>7979</v>
      </c>
      <c r="I3575" s="17">
        <v>45860</v>
      </c>
      <c r="J3575" s="18">
        <f>YEAR(Tabla1[[#This Row],[FECHA DE COMPRA]])</f>
        <v>2025</v>
      </c>
      <c r="K3575" s="19">
        <v>169.92</v>
      </c>
      <c r="L3575" s="20">
        <v>0.1</v>
      </c>
      <c r="M3575" s="19">
        <f>Tienda!$K3912-Tienda!$K3912*Tienda!$L3912</f>
        <v>26.004999999999999</v>
      </c>
      <c r="N3575" s="3" t="s">
        <v>10040</v>
      </c>
      <c r="O3575" s="3" t="s">
        <v>10042</v>
      </c>
      <c r="P3575" s="17">
        <v>45860</v>
      </c>
      <c r="Q3575" s="4">
        <v>3</v>
      </c>
    </row>
    <row r="3576" spans="1:17" ht="30" x14ac:dyDescent="0.25">
      <c r="A3576" s="2" t="s">
        <v>880</v>
      </c>
      <c r="B3576" s="3" t="s">
        <v>5015</v>
      </c>
      <c r="C3576" s="3">
        <v>44</v>
      </c>
      <c r="D3576" s="46" t="str">
        <f>IF(Tabla1[[#This Row],[EDAD]]&lt;=35,"Adultos jóvenes 18 - 35 años",IF(C3576&gt;=36,"Adultos mayores 36 años en adelante"))</f>
        <v>Adultos mayores 36 años en adelante</v>
      </c>
      <c r="E3576" s="3" t="s">
        <v>5018</v>
      </c>
      <c r="F3576" s="3" t="s">
        <v>5025</v>
      </c>
      <c r="G3576" s="3" t="s">
        <v>5033</v>
      </c>
      <c r="H3576" s="3" t="s">
        <v>5903</v>
      </c>
      <c r="I3576" s="17">
        <v>45842</v>
      </c>
      <c r="J3576" s="18">
        <f>YEAR(Tabla1[[#This Row],[FECHA DE COMPRA]])</f>
        <v>2025</v>
      </c>
      <c r="K3576" s="19">
        <v>174.41</v>
      </c>
      <c r="L3576" s="20">
        <v>0.1</v>
      </c>
      <c r="M3576" s="19">
        <f>Tienda!$K3913-Tienda!$K3913*Tienda!$L3913</f>
        <v>26.831</v>
      </c>
      <c r="N3576" s="3" t="s">
        <v>10040</v>
      </c>
      <c r="O3576" s="3" t="s">
        <v>10042</v>
      </c>
      <c r="P3576" s="17">
        <v>45842</v>
      </c>
      <c r="Q3576" s="4">
        <v>3</v>
      </c>
    </row>
    <row r="3577" spans="1:17" ht="30" x14ac:dyDescent="0.25">
      <c r="A3577" s="2" t="s">
        <v>1459</v>
      </c>
      <c r="B3577" s="3" t="s">
        <v>5016</v>
      </c>
      <c r="C3577" s="3">
        <v>60</v>
      </c>
      <c r="D3577" s="46" t="str">
        <f>IF(Tabla1[[#This Row],[EDAD]]&lt;=35,"Adultos jóvenes 18 - 35 años",IF(C3577&gt;=36,"Adultos mayores 36 años en adelante"))</f>
        <v>Adultos mayores 36 años en adelante</v>
      </c>
      <c r="E3577" s="3" t="s">
        <v>5021</v>
      </c>
      <c r="F3577" s="3" t="s">
        <v>5028</v>
      </c>
      <c r="G3577" s="3" t="s">
        <v>5034</v>
      </c>
      <c r="H3577" s="3" t="s">
        <v>6482</v>
      </c>
      <c r="I3577" s="17">
        <v>45865</v>
      </c>
      <c r="J3577" s="18">
        <f>YEAR(Tabla1[[#This Row],[FECHA DE COMPRA]])</f>
        <v>2025</v>
      </c>
      <c r="K3577" s="19">
        <v>180.03</v>
      </c>
      <c r="L3577" s="20">
        <v>0.3</v>
      </c>
      <c r="M3577" s="19">
        <f>Tienda!$K3915-Tienda!$K3915*Tienda!$L3915</f>
        <v>27.356000000000002</v>
      </c>
      <c r="N3577" s="3" t="s">
        <v>10040</v>
      </c>
      <c r="O3577" s="3" t="s">
        <v>10042</v>
      </c>
      <c r="P3577" s="17">
        <v>45865</v>
      </c>
      <c r="Q3577" s="4">
        <v>3</v>
      </c>
    </row>
    <row r="3578" spans="1:17" ht="30" x14ac:dyDescent="0.25">
      <c r="A3578" s="2" t="s">
        <v>3535</v>
      </c>
      <c r="B3578" s="3" t="s">
        <v>5015</v>
      </c>
      <c r="C3578" s="3">
        <v>61</v>
      </c>
      <c r="D3578" s="46" t="str">
        <f>IF(Tabla1[[#This Row],[EDAD]]&lt;=35,"Adultos jóvenes 18 - 35 años",IF(C3578&gt;=36,"Adultos mayores 36 años en adelante"))</f>
        <v>Adultos mayores 36 años en adelante</v>
      </c>
      <c r="E3578" s="3" t="s">
        <v>5020</v>
      </c>
      <c r="F3578" s="3" t="s">
        <v>5028</v>
      </c>
      <c r="G3578" s="3" t="s">
        <v>5032</v>
      </c>
      <c r="H3578" s="3" t="s">
        <v>8558</v>
      </c>
      <c r="I3578" s="17">
        <v>45850</v>
      </c>
      <c r="J3578" s="18">
        <f>YEAR(Tabla1[[#This Row],[FECHA DE COMPRA]])</f>
        <v>2025</v>
      </c>
      <c r="K3578" s="19">
        <v>185.34</v>
      </c>
      <c r="L3578" s="20">
        <v>0.2</v>
      </c>
      <c r="M3578" s="19">
        <f>Tienda!$K3916-Tienda!$K3916*Tienda!$L3916</f>
        <v>27.512</v>
      </c>
      <c r="N3578" s="3" t="s">
        <v>10040</v>
      </c>
      <c r="O3578" s="3" t="s">
        <v>10042</v>
      </c>
      <c r="P3578" s="17">
        <v>45850</v>
      </c>
      <c r="Q3578" s="4">
        <v>3</v>
      </c>
    </row>
    <row r="3579" spans="1:17" ht="30" x14ac:dyDescent="0.25">
      <c r="A3579" s="2" t="s">
        <v>1519</v>
      </c>
      <c r="B3579" s="3" t="s">
        <v>5015</v>
      </c>
      <c r="C3579" s="3">
        <v>47</v>
      </c>
      <c r="D3579" s="46" t="str">
        <f>IF(Tabla1[[#This Row],[EDAD]]&lt;=35,"Adultos jóvenes 18 - 35 años",IF(C3579&gt;=36,"Adultos mayores 36 años en adelante"))</f>
        <v>Adultos mayores 36 años en adelante</v>
      </c>
      <c r="E3579" s="3" t="s">
        <v>5021</v>
      </c>
      <c r="F3579" s="3" t="s">
        <v>5025</v>
      </c>
      <c r="G3579" s="3" t="s">
        <v>5032</v>
      </c>
      <c r="H3579" s="3" t="s">
        <v>6542</v>
      </c>
      <c r="I3579" s="17">
        <v>45848</v>
      </c>
      <c r="J3579" s="18">
        <f>YEAR(Tabla1[[#This Row],[FECHA DE COMPRA]])</f>
        <v>2025</v>
      </c>
      <c r="K3579" s="19">
        <v>194.07</v>
      </c>
      <c r="L3579" s="20">
        <v>0.1</v>
      </c>
      <c r="M3579" s="19">
        <f>Tienda!$K3917-Tienda!$K3917*Tienda!$L3917</f>
        <v>27.657</v>
      </c>
      <c r="N3579" s="3" t="s">
        <v>10040</v>
      </c>
      <c r="O3579" s="3" t="s">
        <v>10042</v>
      </c>
      <c r="P3579" s="17">
        <v>45848</v>
      </c>
      <c r="Q3579" s="4">
        <v>3</v>
      </c>
    </row>
    <row r="3580" spans="1:17" ht="30" x14ac:dyDescent="0.25">
      <c r="A3580" s="2" t="s">
        <v>1225</v>
      </c>
      <c r="B3580" s="3" t="s">
        <v>5015</v>
      </c>
      <c r="C3580" s="3">
        <v>57</v>
      </c>
      <c r="D3580" s="46" t="str">
        <f>IF(Tabla1[[#This Row],[EDAD]]&lt;=35,"Adultos jóvenes 18 - 35 años",IF(C3580&gt;=36,"Adultos mayores 36 años en adelante"))</f>
        <v>Adultos mayores 36 años en adelante</v>
      </c>
      <c r="E3580" s="3" t="s">
        <v>5020</v>
      </c>
      <c r="F3580" s="3" t="s">
        <v>5029</v>
      </c>
      <c r="G3580" s="3" t="s">
        <v>5033</v>
      </c>
      <c r="H3580" s="3" t="s">
        <v>6248</v>
      </c>
      <c r="I3580" s="17">
        <v>45877</v>
      </c>
      <c r="J3580" s="18">
        <f>YEAR(Tabla1[[#This Row],[FECHA DE COMPRA]])</f>
        <v>2025</v>
      </c>
      <c r="K3580" s="19">
        <v>30.97</v>
      </c>
      <c r="L3580" s="20">
        <v>0.3</v>
      </c>
      <c r="M3580" s="19">
        <f>Tienda!$K3921-Tienda!$K3921*Tienda!$L3921</f>
        <v>28.565999999999999</v>
      </c>
      <c r="N3580" s="3" t="s">
        <v>10040</v>
      </c>
      <c r="O3580" s="3" t="s">
        <v>10042</v>
      </c>
      <c r="P3580" s="17">
        <v>45877</v>
      </c>
      <c r="Q3580" s="4">
        <v>6</v>
      </c>
    </row>
    <row r="3581" spans="1:17" ht="30" x14ac:dyDescent="0.25">
      <c r="A3581" s="2" t="s">
        <v>3802</v>
      </c>
      <c r="B3581" s="3" t="s">
        <v>5015</v>
      </c>
      <c r="C3581" s="3">
        <v>63</v>
      </c>
      <c r="D3581" s="46" t="str">
        <f>IF(Tabla1[[#This Row],[EDAD]]&lt;=35,"Adultos jóvenes 18 - 35 años",IF(C3581&gt;=36,"Adultos mayores 36 años en adelante"))</f>
        <v>Adultos mayores 36 años en adelante</v>
      </c>
      <c r="E3581" s="3" t="s">
        <v>5018</v>
      </c>
      <c r="F3581" s="3" t="s">
        <v>5025</v>
      </c>
      <c r="G3581" s="3" t="s">
        <v>5032</v>
      </c>
      <c r="H3581" s="3" t="s">
        <v>8825</v>
      </c>
      <c r="I3581" s="17">
        <v>45877</v>
      </c>
      <c r="J3581" s="18">
        <f>YEAR(Tabla1[[#This Row],[FECHA DE COMPRA]])</f>
        <v>2025</v>
      </c>
      <c r="K3581" s="19">
        <v>32.03</v>
      </c>
      <c r="L3581" s="20">
        <v>0.3</v>
      </c>
      <c r="M3581" s="19">
        <f>Tienda!$K3922-Tienda!$K3922*Tienda!$L3922</f>
        <v>28.608999999999998</v>
      </c>
      <c r="N3581" s="3" t="s">
        <v>10040</v>
      </c>
      <c r="O3581" s="3" t="s">
        <v>10042</v>
      </c>
      <c r="P3581" s="17">
        <v>45877</v>
      </c>
      <c r="Q3581" s="4">
        <v>6</v>
      </c>
    </row>
    <row r="3582" spans="1:17" ht="30" x14ac:dyDescent="0.25">
      <c r="A3582" s="2" t="s">
        <v>3342</v>
      </c>
      <c r="B3582" s="3" t="s">
        <v>5015</v>
      </c>
      <c r="C3582" s="3">
        <v>38</v>
      </c>
      <c r="D3582" s="46" t="str">
        <f>IF(Tabla1[[#This Row],[EDAD]]&lt;=35,"Adultos jóvenes 18 - 35 años",IF(C3582&gt;=36,"Adultos mayores 36 años en adelante"))</f>
        <v>Adultos mayores 36 años en adelante</v>
      </c>
      <c r="E3582" s="3" t="s">
        <v>5018</v>
      </c>
      <c r="F3582" s="3" t="s">
        <v>5027</v>
      </c>
      <c r="G3582" s="3" t="s">
        <v>5033</v>
      </c>
      <c r="H3582" s="3" t="s">
        <v>8365</v>
      </c>
      <c r="I3582" s="17">
        <v>45873</v>
      </c>
      <c r="J3582" s="18">
        <f>YEAR(Tabla1[[#This Row],[FECHA DE COMPRA]])</f>
        <v>2025</v>
      </c>
      <c r="K3582" s="19">
        <v>37.380000000000003</v>
      </c>
      <c r="L3582" s="20">
        <v>0.1</v>
      </c>
      <c r="M3582" s="19">
        <f>Tienda!$K3923-Tienda!$K3923*Tienda!$L3923</f>
        <v>28.616</v>
      </c>
      <c r="N3582" s="3" t="s">
        <v>10040</v>
      </c>
      <c r="O3582" s="3" t="s">
        <v>10042</v>
      </c>
      <c r="P3582" s="17">
        <v>45873</v>
      </c>
      <c r="Q3582" s="4">
        <v>6</v>
      </c>
    </row>
    <row r="3583" spans="1:17" ht="30" x14ac:dyDescent="0.25">
      <c r="A3583" s="2" t="s">
        <v>1859</v>
      </c>
      <c r="B3583" s="3" t="s">
        <v>5015</v>
      </c>
      <c r="C3583" s="3">
        <v>39</v>
      </c>
      <c r="D3583" s="46" t="str">
        <f>IF(Tabla1[[#This Row],[EDAD]]&lt;=35,"Adultos jóvenes 18 - 35 años",IF(C3583&gt;=36,"Adultos mayores 36 años en adelante"))</f>
        <v>Adultos mayores 36 años en adelante</v>
      </c>
      <c r="E3583" s="3" t="s">
        <v>5017</v>
      </c>
      <c r="F3583" s="3" t="s">
        <v>5029</v>
      </c>
      <c r="G3583" s="3" t="s">
        <v>5032</v>
      </c>
      <c r="H3583" s="3" t="s">
        <v>6882</v>
      </c>
      <c r="I3583" s="17">
        <v>45882</v>
      </c>
      <c r="J3583" s="18">
        <f>YEAR(Tabla1[[#This Row],[FECHA DE COMPRA]])</f>
        <v>2025</v>
      </c>
      <c r="K3583" s="19">
        <v>39.93</v>
      </c>
      <c r="L3583" s="20">
        <v>0.1</v>
      </c>
      <c r="M3583" s="19">
        <f>Tienda!$K3924-Tienda!$K3924*Tienda!$L3924</f>
        <v>28.832000000000001</v>
      </c>
      <c r="N3583" s="3" t="s">
        <v>10040</v>
      </c>
      <c r="O3583" s="3" t="s">
        <v>10042</v>
      </c>
      <c r="P3583" s="17">
        <v>45882</v>
      </c>
      <c r="Q3583" s="4">
        <v>6</v>
      </c>
    </row>
    <row r="3584" spans="1:17" ht="30" x14ac:dyDescent="0.25">
      <c r="A3584" s="2" t="s">
        <v>3066</v>
      </c>
      <c r="B3584" s="3" t="s">
        <v>5016</v>
      </c>
      <c r="C3584" s="3">
        <v>45</v>
      </c>
      <c r="D3584" s="46" t="str">
        <f>IF(Tabla1[[#This Row],[EDAD]]&lt;=35,"Adultos jóvenes 18 - 35 años",IF(C3584&gt;=36,"Adultos mayores 36 años en adelante"))</f>
        <v>Adultos mayores 36 años en adelante</v>
      </c>
      <c r="E3584" s="3" t="s">
        <v>5017</v>
      </c>
      <c r="F3584" s="3" t="s">
        <v>5028</v>
      </c>
      <c r="G3584" s="3" t="s">
        <v>5034</v>
      </c>
      <c r="H3584" s="3" t="s">
        <v>8089</v>
      </c>
      <c r="I3584" s="17">
        <v>45877</v>
      </c>
      <c r="J3584" s="18">
        <f>YEAR(Tabla1[[#This Row],[FECHA DE COMPRA]])</f>
        <v>2025</v>
      </c>
      <c r="K3584" s="19">
        <v>44.93</v>
      </c>
      <c r="L3584" s="20">
        <v>0.1</v>
      </c>
      <c r="M3584" s="19">
        <f>Tienda!$K3925-Tienda!$K3925*Tienda!$L3925</f>
        <v>30.256</v>
      </c>
      <c r="N3584" s="3" t="s">
        <v>10040</v>
      </c>
      <c r="O3584" s="3" t="s">
        <v>10042</v>
      </c>
      <c r="P3584" s="17">
        <v>45877</v>
      </c>
      <c r="Q3584" s="4">
        <v>6</v>
      </c>
    </row>
    <row r="3585" spans="1:17" ht="30" x14ac:dyDescent="0.25">
      <c r="A3585" s="2" t="s">
        <v>4068</v>
      </c>
      <c r="B3585" s="3" t="s">
        <v>5015</v>
      </c>
      <c r="C3585" s="3">
        <v>51</v>
      </c>
      <c r="D3585" s="46" t="str">
        <f>IF(Tabla1[[#This Row],[EDAD]]&lt;=35,"Adultos jóvenes 18 - 35 años",IF(C3585&gt;=36,"Adultos mayores 36 años en adelante"))</f>
        <v>Adultos mayores 36 años en adelante</v>
      </c>
      <c r="E3585" s="3" t="s">
        <v>5018</v>
      </c>
      <c r="F3585" s="3" t="s">
        <v>5027</v>
      </c>
      <c r="G3585" s="3" t="s">
        <v>5032</v>
      </c>
      <c r="H3585" s="3" t="s">
        <v>9091</v>
      </c>
      <c r="I3585" s="17">
        <v>45879</v>
      </c>
      <c r="J3585" s="18">
        <f>YEAR(Tabla1[[#This Row],[FECHA DE COMPRA]])</f>
        <v>2025</v>
      </c>
      <c r="K3585" s="19">
        <v>49.64</v>
      </c>
      <c r="L3585" s="20">
        <v>0.2</v>
      </c>
      <c r="M3585" s="19">
        <f>Tienda!$K3926-Tienda!$K3926*Tienda!$L3926</f>
        <v>30.263999999999999</v>
      </c>
      <c r="N3585" s="3" t="s">
        <v>10040</v>
      </c>
      <c r="O3585" s="3" t="s">
        <v>10042</v>
      </c>
      <c r="P3585" s="17">
        <v>45879</v>
      </c>
      <c r="Q3585" s="4">
        <v>6</v>
      </c>
    </row>
    <row r="3586" spans="1:17" ht="30" x14ac:dyDescent="0.25">
      <c r="A3586" s="2" t="s">
        <v>3901</v>
      </c>
      <c r="B3586" s="3" t="s">
        <v>5015</v>
      </c>
      <c r="C3586" s="3">
        <v>60</v>
      </c>
      <c r="D3586" s="46" t="str">
        <f>IF(Tabla1[[#This Row],[EDAD]]&lt;=35,"Adultos jóvenes 18 - 35 años",IF(C3586&gt;=36,"Adultos mayores 36 años en adelante"))</f>
        <v>Adultos mayores 36 años en adelante</v>
      </c>
      <c r="E3586" s="3" t="s">
        <v>5020</v>
      </c>
      <c r="F3586" s="3" t="s">
        <v>5024</v>
      </c>
      <c r="G3586" s="3" t="s">
        <v>5031</v>
      </c>
      <c r="H3586" s="3" t="s">
        <v>8924</v>
      </c>
      <c r="I3586" s="17">
        <v>45872</v>
      </c>
      <c r="J3586" s="18">
        <f>YEAR(Tabla1[[#This Row],[FECHA DE COMPRA]])</f>
        <v>2025</v>
      </c>
      <c r="K3586" s="19">
        <v>55.74</v>
      </c>
      <c r="L3586" s="20">
        <v>0.1</v>
      </c>
      <c r="M3586" s="19">
        <f>Tienda!$K3927-Tienda!$K3927*Tienda!$L3927</f>
        <v>30.45</v>
      </c>
      <c r="N3586" s="3" t="s">
        <v>10040</v>
      </c>
      <c r="O3586" s="3" t="s">
        <v>10042</v>
      </c>
      <c r="P3586" s="17">
        <v>45872</v>
      </c>
      <c r="Q3586" s="4">
        <v>6</v>
      </c>
    </row>
    <row r="3587" spans="1:17" ht="30" x14ac:dyDescent="0.25">
      <c r="A3587" s="2" t="s">
        <v>143</v>
      </c>
      <c r="B3587" s="3" t="s">
        <v>5016</v>
      </c>
      <c r="C3587" s="3">
        <v>45</v>
      </c>
      <c r="D3587" s="46" t="str">
        <f>IF(Tabla1[[#This Row],[EDAD]]&lt;=35,"Adultos jóvenes 18 - 35 años",IF(C3587&gt;=36,"Adultos mayores 36 años en adelante"))</f>
        <v>Adultos mayores 36 años en adelante</v>
      </c>
      <c r="E3587" s="3" t="s">
        <v>5017</v>
      </c>
      <c r="F3587" s="3" t="s">
        <v>5024</v>
      </c>
      <c r="G3587" s="3" t="s">
        <v>5036</v>
      </c>
      <c r="H3587" s="3" t="s">
        <v>5166</v>
      </c>
      <c r="I3587" s="17">
        <v>45882</v>
      </c>
      <c r="J3587" s="18">
        <f>YEAR(Tabla1[[#This Row],[FECHA DE COMPRA]])</f>
        <v>2025</v>
      </c>
      <c r="K3587" s="19">
        <v>68.34</v>
      </c>
      <c r="L3587" s="20">
        <v>0</v>
      </c>
      <c r="M3587" s="19">
        <f>Tienda!$K3928-Tienda!$K3928*Tienda!$L3928</f>
        <v>30.646000000000001</v>
      </c>
      <c r="N3587" s="3" t="s">
        <v>10040</v>
      </c>
      <c r="O3587" s="3" t="s">
        <v>10042</v>
      </c>
      <c r="P3587" s="17">
        <v>45882</v>
      </c>
      <c r="Q3587" s="4">
        <v>6</v>
      </c>
    </row>
    <row r="3588" spans="1:17" ht="30" x14ac:dyDescent="0.25">
      <c r="A3588" s="2" t="s">
        <v>3623</v>
      </c>
      <c r="B3588" s="3" t="s">
        <v>5016</v>
      </c>
      <c r="C3588" s="3">
        <v>56</v>
      </c>
      <c r="D3588" s="46" t="str">
        <f>IF(Tabla1[[#This Row],[EDAD]]&lt;=35,"Adultos jóvenes 18 - 35 años",IF(C3588&gt;=36,"Adultos mayores 36 años en adelante"))</f>
        <v>Adultos mayores 36 años en adelante</v>
      </c>
      <c r="E3588" s="3" t="s">
        <v>5017</v>
      </c>
      <c r="F3588" s="3" t="s">
        <v>5028</v>
      </c>
      <c r="G3588" s="3" t="s">
        <v>5032</v>
      </c>
      <c r="H3588" s="3" t="s">
        <v>8646</v>
      </c>
      <c r="I3588" s="17">
        <v>45883</v>
      </c>
      <c r="J3588" s="18">
        <f>YEAR(Tabla1[[#This Row],[FECHA DE COMPRA]])</f>
        <v>2025</v>
      </c>
      <c r="K3588" s="19">
        <v>102.82</v>
      </c>
      <c r="L3588" s="20">
        <v>0</v>
      </c>
      <c r="M3588" s="19">
        <f>Tienda!$K3930-Tienda!$K3930*Tienda!$L3930</f>
        <v>30.99</v>
      </c>
      <c r="N3588" s="3" t="s">
        <v>10040</v>
      </c>
      <c r="O3588" s="3" t="s">
        <v>10042</v>
      </c>
      <c r="P3588" s="17">
        <v>45883</v>
      </c>
      <c r="Q3588" s="4">
        <v>3</v>
      </c>
    </row>
    <row r="3589" spans="1:17" ht="30" x14ac:dyDescent="0.25">
      <c r="A3589" s="2" t="s">
        <v>3198</v>
      </c>
      <c r="B3589" s="3" t="s">
        <v>5016</v>
      </c>
      <c r="C3589" s="3">
        <v>53</v>
      </c>
      <c r="D3589" s="46" t="str">
        <f>IF(Tabla1[[#This Row],[EDAD]]&lt;=35,"Adultos jóvenes 18 - 35 años",IF(C3589&gt;=36,"Adultos mayores 36 años en adelante"))</f>
        <v>Adultos mayores 36 años en adelante</v>
      </c>
      <c r="E3589" s="3" t="s">
        <v>5023</v>
      </c>
      <c r="F3589" s="3" t="s">
        <v>5026</v>
      </c>
      <c r="G3589" s="3" t="s">
        <v>5033</v>
      </c>
      <c r="H3589" s="3" t="s">
        <v>8221</v>
      </c>
      <c r="I3589" s="17">
        <v>45877</v>
      </c>
      <c r="J3589" s="18">
        <f>YEAR(Tabla1[[#This Row],[FECHA DE COMPRA]])</f>
        <v>2025</v>
      </c>
      <c r="K3589" s="19">
        <v>126.25</v>
      </c>
      <c r="L3589" s="20">
        <v>0.2</v>
      </c>
      <c r="M3589" s="19">
        <f>Tienda!$K3934-Tienda!$K3934*Tienda!$L3934</f>
        <v>32.344000000000001</v>
      </c>
      <c r="N3589" s="3" t="s">
        <v>10040</v>
      </c>
      <c r="O3589" s="3" t="s">
        <v>10042</v>
      </c>
      <c r="P3589" s="17">
        <v>45877</v>
      </c>
      <c r="Q3589" s="4">
        <v>3</v>
      </c>
    </row>
    <row r="3590" spans="1:17" ht="30" x14ac:dyDescent="0.25">
      <c r="A3590" s="2" t="s">
        <v>1988</v>
      </c>
      <c r="B3590" s="3" t="s">
        <v>5016</v>
      </c>
      <c r="C3590" s="3">
        <v>59</v>
      </c>
      <c r="D3590" s="46" t="str">
        <f>IF(Tabla1[[#This Row],[EDAD]]&lt;=35,"Adultos jóvenes 18 - 35 años",IF(C3590&gt;=36,"Adultos mayores 36 años en adelante"))</f>
        <v>Adultos mayores 36 años en adelante</v>
      </c>
      <c r="E3590" s="3" t="s">
        <v>5017</v>
      </c>
      <c r="F3590" s="3" t="s">
        <v>5028</v>
      </c>
      <c r="G3590" s="3" t="s">
        <v>5037</v>
      </c>
      <c r="H3590" s="3" t="s">
        <v>7011</v>
      </c>
      <c r="I3590" s="17">
        <v>45877</v>
      </c>
      <c r="J3590" s="18">
        <f>YEAR(Tabla1[[#This Row],[FECHA DE COMPRA]])</f>
        <v>2025</v>
      </c>
      <c r="K3590" s="19">
        <v>138.52000000000001</v>
      </c>
      <c r="L3590" s="20">
        <v>0.3</v>
      </c>
      <c r="M3590" s="19">
        <f>Tienda!$K3936-Tienda!$K3936*Tienda!$L3936</f>
        <v>32.736000000000004</v>
      </c>
      <c r="N3590" s="3" t="s">
        <v>10040</v>
      </c>
      <c r="O3590" s="3" t="s">
        <v>10042</v>
      </c>
      <c r="P3590" s="17">
        <v>45877</v>
      </c>
      <c r="Q3590" s="4">
        <v>3</v>
      </c>
    </row>
    <row r="3591" spans="1:17" ht="30" x14ac:dyDescent="0.25">
      <c r="A3591" s="2" t="s">
        <v>1967</v>
      </c>
      <c r="B3591" s="3" t="s">
        <v>5016</v>
      </c>
      <c r="C3591" s="3">
        <v>65</v>
      </c>
      <c r="D3591" s="46" t="str">
        <f>IF(Tabla1[[#This Row],[EDAD]]&lt;=35,"Adultos jóvenes 18 - 35 años",IF(C3591&gt;=36,"Adultos mayores 36 años en adelante"))</f>
        <v>Adultos mayores 36 años en adelante</v>
      </c>
      <c r="E3591" s="3" t="s">
        <v>5017</v>
      </c>
      <c r="F3591" s="3" t="s">
        <v>5029</v>
      </c>
      <c r="G3591" s="3" t="s">
        <v>5034</v>
      </c>
      <c r="H3591" s="3" t="s">
        <v>6990</v>
      </c>
      <c r="I3591" s="17">
        <v>45885</v>
      </c>
      <c r="J3591" s="18">
        <f>YEAR(Tabla1[[#This Row],[FECHA DE COMPRA]])</f>
        <v>2025</v>
      </c>
      <c r="K3591" s="19">
        <v>151.37</v>
      </c>
      <c r="L3591" s="20">
        <v>0.1</v>
      </c>
      <c r="M3591" s="19">
        <f>Tienda!$K3937-Tienda!$K3937*Tienda!$L3937</f>
        <v>32.847999999999999</v>
      </c>
      <c r="N3591" s="3" t="s">
        <v>10040</v>
      </c>
      <c r="O3591" s="3" t="s">
        <v>10042</v>
      </c>
      <c r="P3591" s="17">
        <v>45885</v>
      </c>
      <c r="Q3591" s="4">
        <v>3</v>
      </c>
    </row>
    <row r="3592" spans="1:17" ht="30" x14ac:dyDescent="0.25">
      <c r="A3592" s="2" t="s">
        <v>3498</v>
      </c>
      <c r="B3592" s="3" t="s">
        <v>5015</v>
      </c>
      <c r="C3592" s="3">
        <v>42</v>
      </c>
      <c r="D3592" s="46" t="str">
        <f>IF(Tabla1[[#This Row],[EDAD]]&lt;=35,"Adultos jóvenes 18 - 35 años",IF(C3592&gt;=36,"Adultos mayores 36 años en adelante"))</f>
        <v>Adultos mayores 36 años en adelante</v>
      </c>
      <c r="E3592" s="3" t="s">
        <v>5020</v>
      </c>
      <c r="F3592" s="3" t="s">
        <v>5027</v>
      </c>
      <c r="G3592" s="3" t="s">
        <v>5031</v>
      </c>
      <c r="H3592" s="3" t="s">
        <v>8521</v>
      </c>
      <c r="I3592" s="17">
        <v>45871</v>
      </c>
      <c r="J3592" s="18">
        <f>YEAR(Tabla1[[#This Row],[FECHA DE COMPRA]])</f>
        <v>2025</v>
      </c>
      <c r="K3592" s="19">
        <v>156.41999999999999</v>
      </c>
      <c r="L3592" s="20">
        <v>0.3</v>
      </c>
      <c r="M3592" s="19">
        <f>Tienda!$K3938-Tienda!$K3938*Tienda!$L3938</f>
        <v>32.94</v>
      </c>
      <c r="N3592" s="3" t="s">
        <v>10040</v>
      </c>
      <c r="O3592" s="3" t="s">
        <v>10042</v>
      </c>
      <c r="P3592" s="17">
        <v>45871</v>
      </c>
      <c r="Q3592" s="4">
        <v>3</v>
      </c>
    </row>
    <row r="3593" spans="1:17" ht="30" x14ac:dyDescent="0.25">
      <c r="A3593" s="2" t="s">
        <v>3060</v>
      </c>
      <c r="B3593" s="3" t="s">
        <v>5016</v>
      </c>
      <c r="C3593" s="3">
        <v>58</v>
      </c>
      <c r="D3593" s="46" t="str">
        <f>IF(Tabla1[[#This Row],[EDAD]]&lt;=35,"Adultos jóvenes 18 - 35 años",IF(C3593&gt;=36,"Adultos mayores 36 años en adelante"))</f>
        <v>Adultos mayores 36 años en adelante</v>
      </c>
      <c r="E3593" s="3" t="s">
        <v>5017</v>
      </c>
      <c r="F3593" s="3" t="s">
        <v>5028</v>
      </c>
      <c r="G3593" s="3" t="s">
        <v>5031</v>
      </c>
      <c r="H3593" s="3" t="s">
        <v>8083</v>
      </c>
      <c r="I3593" s="17">
        <v>45883</v>
      </c>
      <c r="J3593" s="18">
        <f>YEAR(Tabla1[[#This Row],[FECHA DE COMPRA]])</f>
        <v>2025</v>
      </c>
      <c r="K3593" s="19">
        <v>176.15</v>
      </c>
      <c r="L3593" s="20">
        <v>0.1</v>
      </c>
      <c r="M3593" s="19">
        <f>Tienda!$K3941-Tienda!$K3941*Tienda!$L3941</f>
        <v>33.744</v>
      </c>
      <c r="N3593" s="3" t="s">
        <v>10040</v>
      </c>
      <c r="O3593" s="3" t="s">
        <v>10042</v>
      </c>
      <c r="P3593" s="17">
        <v>45883</v>
      </c>
      <c r="Q3593" s="4">
        <v>6</v>
      </c>
    </row>
    <row r="3594" spans="1:17" ht="30" x14ac:dyDescent="0.25">
      <c r="A3594" s="2" t="s">
        <v>3119</v>
      </c>
      <c r="B3594" s="3" t="s">
        <v>5015</v>
      </c>
      <c r="C3594" s="3">
        <v>50</v>
      </c>
      <c r="D3594" s="46" t="str">
        <f>IF(Tabla1[[#This Row],[EDAD]]&lt;=35,"Adultos jóvenes 18 - 35 años",IF(C3594&gt;=36,"Adultos mayores 36 años en adelante"))</f>
        <v>Adultos mayores 36 años en adelante</v>
      </c>
      <c r="E3594" s="3" t="s">
        <v>5017</v>
      </c>
      <c r="F3594" s="3" t="s">
        <v>5030</v>
      </c>
      <c r="G3594" s="3" t="s">
        <v>5036</v>
      </c>
      <c r="H3594" s="3" t="s">
        <v>8142</v>
      </c>
      <c r="I3594" s="17">
        <v>45884</v>
      </c>
      <c r="J3594" s="18">
        <f>YEAR(Tabla1[[#This Row],[FECHA DE COMPRA]])</f>
        <v>2025</v>
      </c>
      <c r="K3594" s="19">
        <v>184.61</v>
      </c>
      <c r="L3594" s="20">
        <v>0.2</v>
      </c>
      <c r="M3594" s="19">
        <f>Tienda!$K3942-Tienda!$K3942*Tienda!$L3942</f>
        <v>33.879999999999995</v>
      </c>
      <c r="N3594" s="3" t="s">
        <v>10040</v>
      </c>
      <c r="O3594" s="3" t="s">
        <v>10042</v>
      </c>
      <c r="P3594" s="17">
        <v>45884</v>
      </c>
      <c r="Q3594" s="4">
        <v>6</v>
      </c>
    </row>
    <row r="3595" spans="1:17" ht="30" x14ac:dyDescent="0.25">
      <c r="A3595" s="2" t="s">
        <v>1644</v>
      </c>
      <c r="B3595" s="3" t="s">
        <v>5015</v>
      </c>
      <c r="C3595" s="3">
        <v>38</v>
      </c>
      <c r="D3595" s="46" t="str">
        <f>IF(Tabla1[[#This Row],[EDAD]]&lt;=35,"Adultos jóvenes 18 - 35 años",IF(C3595&gt;=36,"Adultos mayores 36 años en adelante"))</f>
        <v>Adultos mayores 36 años en adelante</v>
      </c>
      <c r="E3595" s="3" t="s">
        <v>5023</v>
      </c>
      <c r="F3595" s="3" t="s">
        <v>5030</v>
      </c>
      <c r="G3595" s="3" t="s">
        <v>5033</v>
      </c>
      <c r="H3595" s="3" t="s">
        <v>6667</v>
      </c>
      <c r="I3595" s="17">
        <v>45878</v>
      </c>
      <c r="J3595" s="18">
        <f>YEAR(Tabla1[[#This Row],[FECHA DE COMPRA]])</f>
        <v>2025</v>
      </c>
      <c r="K3595" s="19">
        <v>199.95</v>
      </c>
      <c r="L3595" s="20">
        <v>0.1</v>
      </c>
      <c r="M3595" s="19">
        <f>Tienda!$K3943-Tienda!$K3943*Tienda!$L3943</f>
        <v>34.222999999999999</v>
      </c>
      <c r="N3595" s="3" t="s">
        <v>10040</v>
      </c>
      <c r="O3595" s="3" t="s">
        <v>10042</v>
      </c>
      <c r="P3595" s="17">
        <v>45878</v>
      </c>
      <c r="Q3595" s="4">
        <v>6</v>
      </c>
    </row>
    <row r="3596" spans="1:17" ht="30" x14ac:dyDescent="0.25">
      <c r="A3596" s="2" t="s">
        <v>2929</v>
      </c>
      <c r="B3596" s="3" t="s">
        <v>5015</v>
      </c>
      <c r="C3596" s="3">
        <v>40</v>
      </c>
      <c r="D3596" s="46" t="str">
        <f>IF(Tabla1[[#This Row],[EDAD]]&lt;=35,"Adultos jóvenes 18 - 35 años",IF(C3596&gt;=36,"Adultos mayores 36 años en adelante"))</f>
        <v>Adultos mayores 36 años en adelante</v>
      </c>
      <c r="E3596" s="3" t="s">
        <v>5017</v>
      </c>
      <c r="F3596" s="3" t="s">
        <v>5029</v>
      </c>
      <c r="G3596" s="3" t="s">
        <v>5035</v>
      </c>
      <c r="H3596" s="3" t="s">
        <v>7952</v>
      </c>
      <c r="I3596" s="17">
        <v>45863</v>
      </c>
      <c r="J3596" s="18">
        <f>YEAR(Tabla1[[#This Row],[FECHA DE COMPRA]])</f>
        <v>2025</v>
      </c>
      <c r="K3596" s="19">
        <v>54.85</v>
      </c>
      <c r="L3596" s="20">
        <v>0.3</v>
      </c>
      <c r="M3596" s="19">
        <f>Tienda!$K3944-Tienda!$K3944*Tienda!$L3944</f>
        <v>34.985999999999997</v>
      </c>
      <c r="N3596" s="3" t="s">
        <v>10040</v>
      </c>
      <c r="O3596" s="3" t="s">
        <v>10042</v>
      </c>
      <c r="P3596" s="17">
        <v>45863</v>
      </c>
      <c r="Q3596" s="4">
        <v>6</v>
      </c>
    </row>
    <row r="3597" spans="1:17" ht="30" x14ac:dyDescent="0.25">
      <c r="A3597" s="2" t="s">
        <v>3292</v>
      </c>
      <c r="B3597" s="3" t="s">
        <v>5015</v>
      </c>
      <c r="C3597" s="3">
        <v>47</v>
      </c>
      <c r="D3597" s="46" t="str">
        <f>IF(Tabla1[[#This Row],[EDAD]]&lt;=35,"Adultos jóvenes 18 - 35 años",IF(C3597&gt;=36,"Adultos mayores 36 años en adelante"))</f>
        <v>Adultos mayores 36 años en adelante</v>
      </c>
      <c r="E3597" s="3" t="s">
        <v>5021</v>
      </c>
      <c r="F3597" s="3" t="s">
        <v>5026</v>
      </c>
      <c r="G3597" s="3" t="s">
        <v>5036</v>
      </c>
      <c r="H3597" s="3" t="s">
        <v>8315</v>
      </c>
      <c r="I3597" s="17">
        <v>45867</v>
      </c>
      <c r="J3597" s="18">
        <f>YEAR(Tabla1[[#This Row],[FECHA DE COMPRA]])</f>
        <v>2025</v>
      </c>
      <c r="K3597" s="19">
        <v>69.16</v>
      </c>
      <c r="L3597" s="20">
        <v>0.3</v>
      </c>
      <c r="M3597" s="19">
        <f>Tienda!$K3945-Tienda!$K3945*Tienda!$L3945</f>
        <v>34.99</v>
      </c>
      <c r="N3597" s="3" t="s">
        <v>10040</v>
      </c>
      <c r="O3597" s="3" t="s">
        <v>10042</v>
      </c>
      <c r="P3597" s="17">
        <v>45867</v>
      </c>
      <c r="Q3597" s="4">
        <v>6</v>
      </c>
    </row>
    <row r="3598" spans="1:17" ht="30" x14ac:dyDescent="0.25">
      <c r="A3598" s="2" t="s">
        <v>616</v>
      </c>
      <c r="B3598" s="3" t="s">
        <v>5015</v>
      </c>
      <c r="C3598" s="3">
        <v>57</v>
      </c>
      <c r="D3598" s="46" t="str">
        <f>IF(Tabla1[[#This Row],[EDAD]]&lt;=35,"Adultos jóvenes 18 - 35 años",IF(C3598&gt;=36,"Adultos mayores 36 años en adelante"))</f>
        <v>Adultos mayores 36 años en adelante</v>
      </c>
      <c r="E3598" s="3" t="s">
        <v>5019</v>
      </c>
      <c r="F3598" s="3" t="s">
        <v>5029</v>
      </c>
      <c r="G3598" s="3" t="s">
        <v>5033</v>
      </c>
      <c r="H3598" s="3" t="s">
        <v>5639</v>
      </c>
      <c r="I3598" s="17">
        <v>45857</v>
      </c>
      <c r="J3598" s="18">
        <f>YEAR(Tabla1[[#This Row],[FECHA DE COMPRA]])</f>
        <v>2025</v>
      </c>
      <c r="K3598" s="19">
        <v>69.91</v>
      </c>
      <c r="L3598" s="20">
        <v>0.2</v>
      </c>
      <c r="M3598" s="19">
        <f>Tienda!$K3946-Tienda!$K3946*Tienda!$L3946</f>
        <v>35.152000000000001</v>
      </c>
      <c r="N3598" s="3" t="s">
        <v>10040</v>
      </c>
      <c r="O3598" s="3" t="s">
        <v>10042</v>
      </c>
      <c r="P3598" s="17">
        <v>45857</v>
      </c>
      <c r="Q3598" s="4">
        <v>6</v>
      </c>
    </row>
    <row r="3599" spans="1:17" ht="30" x14ac:dyDescent="0.25">
      <c r="A3599" s="2" t="s">
        <v>1152</v>
      </c>
      <c r="B3599" s="3" t="s">
        <v>5015</v>
      </c>
      <c r="C3599" s="3">
        <v>63</v>
      </c>
      <c r="D3599" s="46" t="str">
        <f>IF(Tabla1[[#This Row],[EDAD]]&lt;=35,"Adultos jóvenes 18 - 35 años",IF(C3599&gt;=36,"Adultos mayores 36 años en adelante"))</f>
        <v>Adultos mayores 36 años en adelante</v>
      </c>
      <c r="E3599" s="3" t="s">
        <v>5018</v>
      </c>
      <c r="F3599" s="3" t="s">
        <v>5025</v>
      </c>
      <c r="G3599" s="3" t="s">
        <v>5032</v>
      </c>
      <c r="H3599" s="3" t="s">
        <v>6175</v>
      </c>
      <c r="I3599" s="17">
        <v>45868</v>
      </c>
      <c r="J3599" s="18">
        <f>YEAR(Tabla1[[#This Row],[FECHA DE COMPRA]])</f>
        <v>2025</v>
      </c>
      <c r="K3599" s="19">
        <v>150.16999999999999</v>
      </c>
      <c r="L3599" s="20">
        <v>0.2</v>
      </c>
      <c r="M3599" s="19">
        <f>Tienda!$K3952-Tienda!$K3952*Tienda!$L3952</f>
        <v>37.206000000000003</v>
      </c>
      <c r="N3599" s="3" t="s">
        <v>10040</v>
      </c>
      <c r="O3599" s="3" t="s">
        <v>10042</v>
      </c>
      <c r="P3599" s="17">
        <v>45868</v>
      </c>
      <c r="Q3599" s="4">
        <v>3</v>
      </c>
    </row>
    <row r="3600" spans="1:17" ht="30" x14ac:dyDescent="0.25">
      <c r="A3600" s="2" t="s">
        <v>263</v>
      </c>
      <c r="B3600" s="3" t="s">
        <v>5015</v>
      </c>
      <c r="C3600" s="3">
        <v>55</v>
      </c>
      <c r="D3600" s="46" t="str">
        <f>IF(Tabla1[[#This Row],[EDAD]]&lt;=35,"Adultos jóvenes 18 - 35 años",IF(C3600&gt;=36,"Adultos mayores 36 años en adelante"))</f>
        <v>Adultos mayores 36 años en adelante</v>
      </c>
      <c r="E3600" s="3" t="s">
        <v>5023</v>
      </c>
      <c r="F3600" s="3" t="s">
        <v>5030</v>
      </c>
      <c r="G3600" s="3" t="s">
        <v>5035</v>
      </c>
      <c r="H3600" s="3" t="s">
        <v>5286</v>
      </c>
      <c r="I3600" s="17">
        <v>45853</v>
      </c>
      <c r="J3600" s="18">
        <f>YEAR(Tabla1[[#This Row],[FECHA DE COMPRA]])</f>
        <v>2025</v>
      </c>
      <c r="K3600" s="19">
        <v>155.55000000000001</v>
      </c>
      <c r="L3600" s="20">
        <v>0.2</v>
      </c>
      <c r="M3600" s="19">
        <f>Tienda!$K3953-Tienda!$K3953*Tienda!$L3953</f>
        <v>37.828000000000003</v>
      </c>
      <c r="N3600" s="3" t="s">
        <v>10040</v>
      </c>
      <c r="O3600" s="3" t="s">
        <v>10042</v>
      </c>
      <c r="P3600" s="17">
        <v>45853</v>
      </c>
      <c r="Q3600" s="4">
        <v>3</v>
      </c>
    </row>
    <row r="3601" spans="1:17" ht="30" x14ac:dyDescent="0.25">
      <c r="A3601" s="2" t="s">
        <v>3495</v>
      </c>
      <c r="B3601" s="3" t="s">
        <v>5016</v>
      </c>
      <c r="C3601" s="3">
        <v>48</v>
      </c>
      <c r="D3601" s="46" t="str">
        <f>IF(Tabla1[[#This Row],[EDAD]]&lt;=35,"Adultos jóvenes 18 - 35 años",IF(C3601&gt;=36,"Adultos mayores 36 años en adelante"))</f>
        <v>Adultos mayores 36 años en adelante</v>
      </c>
      <c r="E3601" s="3" t="s">
        <v>5021</v>
      </c>
      <c r="F3601" s="3" t="s">
        <v>5025</v>
      </c>
      <c r="G3601" s="3" t="s">
        <v>5031</v>
      </c>
      <c r="H3601" s="3" t="s">
        <v>8518</v>
      </c>
      <c r="I3601" s="17">
        <v>45867</v>
      </c>
      <c r="J3601" s="18">
        <f>YEAR(Tabla1[[#This Row],[FECHA DE COMPRA]])</f>
        <v>2025</v>
      </c>
      <c r="K3601" s="19">
        <v>157.38</v>
      </c>
      <c r="L3601" s="20">
        <v>0.3</v>
      </c>
      <c r="M3601" s="19">
        <f>Tienda!$K3954-Tienda!$K3954*Tienda!$L3954</f>
        <v>37.936</v>
      </c>
      <c r="N3601" s="3" t="s">
        <v>10040</v>
      </c>
      <c r="O3601" s="3" t="s">
        <v>10042</v>
      </c>
      <c r="P3601" s="17">
        <v>45867</v>
      </c>
      <c r="Q3601" s="4">
        <v>3</v>
      </c>
    </row>
    <row r="3602" spans="1:17" ht="30" x14ac:dyDescent="0.25">
      <c r="A3602" s="2" t="s">
        <v>2758</v>
      </c>
      <c r="B3602" s="3" t="s">
        <v>5015</v>
      </c>
      <c r="C3602" s="3">
        <v>63</v>
      </c>
      <c r="D3602" s="46" t="str">
        <f>IF(Tabla1[[#This Row],[EDAD]]&lt;=35,"Adultos jóvenes 18 - 35 años",IF(C3602&gt;=36,"Adultos mayores 36 años en adelante"))</f>
        <v>Adultos mayores 36 años en adelante</v>
      </c>
      <c r="E3602" s="3" t="s">
        <v>5022</v>
      </c>
      <c r="F3602" s="3" t="s">
        <v>5028</v>
      </c>
      <c r="G3602" s="3" t="s">
        <v>5034</v>
      </c>
      <c r="H3602" s="3" t="s">
        <v>7781</v>
      </c>
      <c r="I3602" s="17">
        <v>45847</v>
      </c>
      <c r="J3602" s="18">
        <f>YEAR(Tabla1[[#This Row],[FECHA DE COMPRA]])</f>
        <v>2025</v>
      </c>
      <c r="K3602" s="19">
        <v>175.25</v>
      </c>
      <c r="L3602" s="20">
        <v>0.3</v>
      </c>
      <c r="M3602" s="19">
        <f>Tienda!$K3955-Tienda!$K3955*Tienda!$L3955</f>
        <v>38.730999999999995</v>
      </c>
      <c r="N3602" s="3" t="s">
        <v>10040</v>
      </c>
      <c r="O3602" s="3" t="s">
        <v>10042</v>
      </c>
      <c r="P3602" s="17">
        <v>45847</v>
      </c>
      <c r="Q3602" s="4">
        <v>3</v>
      </c>
    </row>
    <row r="3603" spans="1:17" ht="30" x14ac:dyDescent="0.25">
      <c r="A3603" s="2" t="s">
        <v>2431</v>
      </c>
      <c r="B3603" s="3" t="s">
        <v>5016</v>
      </c>
      <c r="C3603" s="3">
        <v>58</v>
      </c>
      <c r="D3603" s="46" t="str">
        <f>IF(Tabla1[[#This Row],[EDAD]]&lt;=35,"Adultos jóvenes 18 - 35 años",IF(C3603&gt;=36,"Adultos mayores 36 años en adelante"))</f>
        <v>Adultos mayores 36 años en adelante</v>
      </c>
      <c r="E3603" s="3" t="s">
        <v>5023</v>
      </c>
      <c r="F3603" s="3" t="s">
        <v>5027</v>
      </c>
      <c r="G3603" s="3" t="s">
        <v>5037</v>
      </c>
      <c r="H3603" s="3" t="s">
        <v>7454</v>
      </c>
      <c r="I3603" s="17">
        <v>45840</v>
      </c>
      <c r="J3603" s="18">
        <f>YEAR(Tabla1[[#This Row],[FECHA DE COMPRA]])</f>
        <v>2025</v>
      </c>
      <c r="K3603" s="19">
        <v>175.43</v>
      </c>
      <c r="L3603" s="20">
        <v>0.1</v>
      </c>
      <c r="M3603" s="19">
        <f>Tienda!$K3956-Tienda!$K3956*Tienda!$L3956</f>
        <v>39.351999999999997</v>
      </c>
      <c r="N3603" s="3" t="s">
        <v>10040</v>
      </c>
      <c r="O3603" s="3" t="s">
        <v>10042</v>
      </c>
      <c r="P3603" s="17">
        <v>45840</v>
      </c>
      <c r="Q3603" s="4">
        <v>3</v>
      </c>
    </row>
    <row r="3604" spans="1:17" ht="30" x14ac:dyDescent="0.25">
      <c r="A3604" s="2" t="s">
        <v>3302</v>
      </c>
      <c r="B3604" s="3" t="s">
        <v>5015</v>
      </c>
      <c r="C3604" s="3">
        <v>41</v>
      </c>
      <c r="D3604" s="46" t="str">
        <f>IF(Tabla1[[#This Row],[EDAD]]&lt;=35,"Adultos jóvenes 18 - 35 años",IF(C3604&gt;=36,"Adultos mayores 36 años en adelante"))</f>
        <v>Adultos mayores 36 años en adelante</v>
      </c>
      <c r="E3604" s="3" t="s">
        <v>5020</v>
      </c>
      <c r="F3604" s="3" t="s">
        <v>5027</v>
      </c>
      <c r="G3604" s="3" t="s">
        <v>5034</v>
      </c>
      <c r="H3604" s="3" t="s">
        <v>8325</v>
      </c>
      <c r="I3604" s="17">
        <v>45857</v>
      </c>
      <c r="J3604" s="18">
        <f>YEAR(Tabla1[[#This Row],[FECHA DE COMPRA]])</f>
        <v>2025</v>
      </c>
      <c r="K3604" s="19">
        <v>175.82</v>
      </c>
      <c r="L3604" s="20">
        <v>0.1</v>
      </c>
      <c r="M3604" s="19">
        <f>Tienda!$K3957-Tienda!$K3957*Tienda!$L3957</f>
        <v>42.136000000000003</v>
      </c>
      <c r="N3604" s="3" t="s">
        <v>10040</v>
      </c>
      <c r="O3604" s="3" t="s">
        <v>10042</v>
      </c>
      <c r="P3604" s="17">
        <v>45857</v>
      </c>
      <c r="Q3604" s="4">
        <v>3</v>
      </c>
    </row>
    <row r="3605" spans="1:17" ht="30" x14ac:dyDescent="0.25">
      <c r="A3605" s="2" t="s">
        <v>1756</v>
      </c>
      <c r="B3605" s="3" t="s">
        <v>5015</v>
      </c>
      <c r="C3605" s="3">
        <v>52</v>
      </c>
      <c r="D3605" s="46" t="str">
        <f>IF(Tabla1[[#This Row],[EDAD]]&lt;=35,"Adultos jóvenes 18 - 35 años",IF(C3605&gt;=36,"Adultos mayores 36 años en adelante"))</f>
        <v>Adultos mayores 36 años en adelante</v>
      </c>
      <c r="E3605" s="3" t="s">
        <v>5018</v>
      </c>
      <c r="F3605" s="3" t="s">
        <v>5026</v>
      </c>
      <c r="G3605" s="3" t="s">
        <v>5031</v>
      </c>
      <c r="H3605" s="3" t="s">
        <v>6779</v>
      </c>
      <c r="I3605" s="17">
        <v>45852</v>
      </c>
      <c r="J3605" s="18">
        <f>YEAR(Tabla1[[#This Row],[FECHA DE COMPRA]])</f>
        <v>2025</v>
      </c>
      <c r="K3605" s="19">
        <v>198.98</v>
      </c>
      <c r="L3605" s="20">
        <v>0.1</v>
      </c>
      <c r="M3605" s="19">
        <f>Tienda!$K3959-Tienda!$K3959*Tienda!$L3959</f>
        <v>45.192000000000007</v>
      </c>
      <c r="N3605" s="3" t="s">
        <v>10040</v>
      </c>
      <c r="O3605" s="3" t="s">
        <v>10042</v>
      </c>
      <c r="P3605" s="17">
        <v>45852</v>
      </c>
      <c r="Q3605" s="4">
        <v>3</v>
      </c>
    </row>
    <row r="3606" spans="1:17" ht="30" x14ac:dyDescent="0.25">
      <c r="A3606" s="2" t="s">
        <v>1805</v>
      </c>
      <c r="B3606" s="3" t="s">
        <v>5016</v>
      </c>
      <c r="C3606" s="3">
        <v>36</v>
      </c>
      <c r="D3606" s="46" t="str">
        <f>IF(Tabla1[[#This Row],[EDAD]]&lt;=35,"Adultos jóvenes 18 - 35 años",IF(C3606&gt;=36,"Adultos mayores 36 años en adelante"))</f>
        <v>Adultos mayores 36 años en adelante</v>
      </c>
      <c r="E3606" s="3" t="s">
        <v>5021</v>
      </c>
      <c r="F3606" s="3" t="s">
        <v>5025</v>
      </c>
      <c r="G3606" s="3" t="s">
        <v>5037</v>
      </c>
      <c r="H3606" s="3" t="s">
        <v>6828</v>
      </c>
      <c r="I3606" s="17">
        <v>45870</v>
      </c>
      <c r="J3606" s="18">
        <f>YEAR(Tabla1[[#This Row],[FECHA DE COMPRA]])</f>
        <v>2025</v>
      </c>
      <c r="K3606" s="19">
        <v>12.48</v>
      </c>
      <c r="L3606" s="20">
        <v>0</v>
      </c>
      <c r="M3606" s="19">
        <f>Tienda!$K3961-Tienda!$K3961*Tienda!$L3961</f>
        <v>47.207999999999998</v>
      </c>
      <c r="N3606" s="3" t="s">
        <v>10040</v>
      </c>
      <c r="O3606" s="3" t="s">
        <v>10042</v>
      </c>
      <c r="P3606" s="17">
        <v>45870</v>
      </c>
      <c r="Q3606" s="4">
        <v>3</v>
      </c>
    </row>
    <row r="3607" spans="1:17" ht="30" x14ac:dyDescent="0.25">
      <c r="A3607" s="2" t="s">
        <v>2022</v>
      </c>
      <c r="B3607" s="3" t="s">
        <v>5016</v>
      </c>
      <c r="C3607" s="3">
        <v>52</v>
      </c>
      <c r="D3607" s="46" t="str">
        <f>IF(Tabla1[[#This Row],[EDAD]]&lt;=35,"Adultos jóvenes 18 - 35 años",IF(C3607&gt;=36,"Adultos mayores 36 años en adelante"))</f>
        <v>Adultos mayores 36 años en adelante</v>
      </c>
      <c r="E3607" s="3" t="s">
        <v>5019</v>
      </c>
      <c r="F3607" s="3" t="s">
        <v>5024</v>
      </c>
      <c r="G3607" s="3" t="s">
        <v>5033</v>
      </c>
      <c r="H3607" s="3" t="s">
        <v>7045</v>
      </c>
      <c r="I3607" s="17">
        <v>45875</v>
      </c>
      <c r="J3607" s="18">
        <f>YEAR(Tabla1[[#This Row],[FECHA DE COMPRA]])</f>
        <v>2025</v>
      </c>
      <c r="K3607" s="19">
        <v>145.04</v>
      </c>
      <c r="L3607" s="20">
        <v>0</v>
      </c>
      <c r="M3607" s="19">
        <f>Tienda!$K3964-Tienda!$K3964*Tienda!$L3964</f>
        <v>48.712000000000003</v>
      </c>
      <c r="N3607" s="3" t="s">
        <v>10040</v>
      </c>
      <c r="O3607" s="3" t="s">
        <v>10042</v>
      </c>
      <c r="P3607" s="17">
        <v>45875</v>
      </c>
      <c r="Q3607" s="4">
        <v>6</v>
      </c>
    </row>
    <row r="3608" spans="1:17" ht="30" x14ac:dyDescent="0.25">
      <c r="A3608" s="2" t="s">
        <v>1067</v>
      </c>
      <c r="B3608" s="3" t="s">
        <v>5015</v>
      </c>
      <c r="C3608" s="3">
        <v>59</v>
      </c>
      <c r="D3608" s="46" t="str">
        <f>IF(Tabla1[[#This Row],[EDAD]]&lt;=35,"Adultos jóvenes 18 - 35 años",IF(C3608&gt;=36,"Adultos mayores 36 años en adelante"))</f>
        <v>Adultos mayores 36 años en adelante</v>
      </c>
      <c r="E3608" s="3" t="s">
        <v>5020</v>
      </c>
      <c r="F3608" s="3" t="s">
        <v>5027</v>
      </c>
      <c r="G3608" s="3" t="s">
        <v>5037</v>
      </c>
      <c r="H3608" s="3" t="s">
        <v>6090</v>
      </c>
      <c r="I3608" s="17">
        <v>45701</v>
      </c>
      <c r="J3608" s="18">
        <f>YEAR(Tabla1[[#This Row],[FECHA DE COMPRA]])</f>
        <v>2025</v>
      </c>
      <c r="K3608" s="19">
        <v>20.78</v>
      </c>
      <c r="L3608" s="20">
        <v>0.3</v>
      </c>
      <c r="M3608" s="19">
        <f>Tienda!$K3967-Tienda!$K3967*Tienda!$L3967</f>
        <v>51.426000000000002</v>
      </c>
      <c r="N3608" s="3" t="s">
        <v>10040</v>
      </c>
      <c r="O3608" s="3" t="s">
        <v>10042</v>
      </c>
      <c r="P3608" s="17">
        <v>45774</v>
      </c>
      <c r="Q3608" s="4">
        <v>6</v>
      </c>
    </row>
    <row r="3609" spans="1:17" ht="30" x14ac:dyDescent="0.25">
      <c r="A3609" s="2" t="s">
        <v>2161</v>
      </c>
      <c r="B3609" s="3" t="s">
        <v>5016</v>
      </c>
      <c r="C3609" s="3">
        <v>53</v>
      </c>
      <c r="D3609" s="46" t="str">
        <f>IF(Tabla1[[#This Row],[EDAD]]&lt;=35,"Adultos jóvenes 18 - 35 años",IF(C3609&gt;=36,"Adultos mayores 36 años en adelante"))</f>
        <v>Adultos mayores 36 años en adelante</v>
      </c>
      <c r="E3609" s="3" t="s">
        <v>5019</v>
      </c>
      <c r="F3609" s="3" t="s">
        <v>5029</v>
      </c>
      <c r="G3609" s="3" t="s">
        <v>5031</v>
      </c>
      <c r="H3609" s="3" t="s">
        <v>7184</v>
      </c>
      <c r="I3609" s="17">
        <v>45676</v>
      </c>
      <c r="J3609" s="18">
        <f>YEAR(Tabla1[[#This Row],[FECHA DE COMPRA]])</f>
        <v>2025</v>
      </c>
      <c r="K3609" s="19">
        <v>43.05</v>
      </c>
      <c r="L3609" s="20">
        <v>0.3</v>
      </c>
      <c r="M3609" s="19">
        <f>Tienda!$K3968-Tienda!$K3968*Tienda!$L3968</f>
        <v>51.920999999999999</v>
      </c>
      <c r="N3609" s="3" t="s">
        <v>10040</v>
      </c>
      <c r="O3609" s="3" t="s">
        <v>10042</v>
      </c>
      <c r="P3609" s="17">
        <v>45766</v>
      </c>
      <c r="Q3609" s="4">
        <v>6</v>
      </c>
    </row>
    <row r="3610" spans="1:17" ht="30" x14ac:dyDescent="0.25">
      <c r="A3610" s="2" t="s">
        <v>609</v>
      </c>
      <c r="B3610" s="3" t="s">
        <v>5015</v>
      </c>
      <c r="C3610" s="3">
        <v>46</v>
      </c>
      <c r="D3610" s="46" t="str">
        <f>IF(Tabla1[[#This Row],[EDAD]]&lt;=35,"Adultos jóvenes 18 - 35 años",IF(C3610&gt;=36,"Adultos mayores 36 años en adelante"))</f>
        <v>Adultos mayores 36 años en adelante</v>
      </c>
      <c r="E3610" s="3" t="s">
        <v>5020</v>
      </c>
      <c r="F3610" s="3" t="s">
        <v>5024</v>
      </c>
      <c r="G3610" s="3" t="s">
        <v>5037</v>
      </c>
      <c r="H3610" s="3" t="s">
        <v>5632</v>
      </c>
      <c r="I3610" s="17">
        <v>45701</v>
      </c>
      <c r="J3610" s="18">
        <f>YEAR(Tabla1[[#This Row],[FECHA DE COMPRA]])</f>
        <v>2025</v>
      </c>
      <c r="K3610" s="19">
        <v>68.959999999999994</v>
      </c>
      <c r="L3610" s="20">
        <v>0.2</v>
      </c>
      <c r="M3610" s="19">
        <f>Tienda!$K3970-Tienda!$K3970*Tienda!$L3970</f>
        <v>53.92</v>
      </c>
      <c r="N3610" s="3" t="s">
        <v>10040</v>
      </c>
      <c r="O3610" s="3" t="s">
        <v>10042</v>
      </c>
      <c r="P3610" s="17">
        <v>45753</v>
      </c>
      <c r="Q3610" s="4">
        <v>6</v>
      </c>
    </row>
    <row r="3611" spans="1:17" ht="30" x14ac:dyDescent="0.25">
      <c r="A3611" s="2" t="s">
        <v>3118</v>
      </c>
      <c r="B3611" s="3" t="s">
        <v>5016</v>
      </c>
      <c r="C3611" s="3">
        <v>60</v>
      </c>
      <c r="D3611" s="46" t="str">
        <f>IF(Tabla1[[#This Row],[EDAD]]&lt;=35,"Adultos jóvenes 18 - 35 años",IF(C3611&gt;=36,"Adultos mayores 36 años en adelante"))</f>
        <v>Adultos mayores 36 años en adelante</v>
      </c>
      <c r="E3611" s="3" t="s">
        <v>5019</v>
      </c>
      <c r="F3611" s="3" t="s">
        <v>5026</v>
      </c>
      <c r="G3611" s="3" t="s">
        <v>5032</v>
      </c>
      <c r="H3611" s="3" t="s">
        <v>8141</v>
      </c>
      <c r="I3611" s="17">
        <v>45682</v>
      </c>
      <c r="J3611" s="18">
        <f>YEAR(Tabla1[[#This Row],[FECHA DE COMPRA]])</f>
        <v>2025</v>
      </c>
      <c r="K3611" s="19">
        <v>70.66</v>
      </c>
      <c r="L3611" s="20">
        <v>0.2</v>
      </c>
      <c r="M3611" s="19">
        <f>Tienda!$K3971-Tienda!$K3971*Tienda!$L3971</f>
        <v>54.756</v>
      </c>
      <c r="N3611" s="3" t="s">
        <v>10040</v>
      </c>
      <c r="O3611" s="3" t="s">
        <v>10042</v>
      </c>
      <c r="P3611" s="17">
        <v>45772</v>
      </c>
      <c r="Q3611" s="4">
        <v>3</v>
      </c>
    </row>
    <row r="3612" spans="1:17" ht="30" x14ac:dyDescent="0.25">
      <c r="A3612" s="2" t="s">
        <v>4910</v>
      </c>
      <c r="B3612" s="3" t="s">
        <v>5015</v>
      </c>
      <c r="C3612" s="3">
        <v>51</v>
      </c>
      <c r="D3612" s="46" t="str">
        <f>IF(Tabla1[[#This Row],[EDAD]]&lt;=35,"Adultos jóvenes 18 - 35 años",IF(C3612&gt;=36,"Adultos mayores 36 años en adelante"))</f>
        <v>Adultos mayores 36 años en adelante</v>
      </c>
      <c r="E3612" s="3" t="s">
        <v>5023</v>
      </c>
      <c r="F3612" s="3" t="s">
        <v>5027</v>
      </c>
      <c r="G3612" s="3" t="s">
        <v>5037</v>
      </c>
      <c r="H3612" s="3" t="s">
        <v>9933</v>
      </c>
      <c r="I3612" s="17">
        <v>45701</v>
      </c>
      <c r="J3612" s="18">
        <f>YEAR(Tabla1[[#This Row],[FECHA DE COMPRA]])</f>
        <v>2025</v>
      </c>
      <c r="K3612" s="19">
        <v>82.33</v>
      </c>
      <c r="L3612" s="20">
        <v>0.2</v>
      </c>
      <c r="M3612" s="19">
        <f>Tienda!$K3972-Tienda!$K3972*Tienda!$L3972</f>
        <v>54.81</v>
      </c>
      <c r="N3612" s="3" t="s">
        <v>10040</v>
      </c>
      <c r="O3612" s="3" t="s">
        <v>10042</v>
      </c>
      <c r="P3612" s="17">
        <v>45756</v>
      </c>
      <c r="Q3612" s="4">
        <v>3</v>
      </c>
    </row>
    <row r="3613" spans="1:17" ht="30" x14ac:dyDescent="0.25">
      <c r="A3613" s="2" t="s">
        <v>2075</v>
      </c>
      <c r="B3613" s="3" t="s">
        <v>5016</v>
      </c>
      <c r="C3613" s="3">
        <v>59</v>
      </c>
      <c r="D3613" s="46" t="str">
        <f>IF(Tabla1[[#This Row],[EDAD]]&lt;=35,"Adultos jóvenes 18 - 35 años",IF(C3613&gt;=36,"Adultos mayores 36 años en adelante"))</f>
        <v>Adultos mayores 36 años en adelante</v>
      </c>
      <c r="E3613" s="3" t="s">
        <v>5019</v>
      </c>
      <c r="F3613" s="3" t="s">
        <v>5028</v>
      </c>
      <c r="G3613" s="3" t="s">
        <v>5032</v>
      </c>
      <c r="H3613" s="3" t="s">
        <v>7098</v>
      </c>
      <c r="I3613" s="17">
        <v>45658</v>
      </c>
      <c r="J3613" s="18">
        <f>YEAR(Tabla1[[#This Row],[FECHA DE COMPRA]])</f>
        <v>2025</v>
      </c>
      <c r="K3613" s="19">
        <v>142.78</v>
      </c>
      <c r="L3613" s="20">
        <v>0.1</v>
      </c>
      <c r="M3613" s="19">
        <f>Tienda!$K3976-Tienda!$K3976*Tienda!$L3976</f>
        <v>56.728000000000009</v>
      </c>
      <c r="N3613" s="3" t="s">
        <v>10040</v>
      </c>
      <c r="O3613" s="3" t="s">
        <v>10042</v>
      </c>
      <c r="P3613" s="17">
        <v>45748</v>
      </c>
      <c r="Q3613" s="4">
        <v>3</v>
      </c>
    </row>
    <row r="3614" spans="1:17" ht="30" x14ac:dyDescent="0.25">
      <c r="A3614" s="2" t="s">
        <v>1151</v>
      </c>
      <c r="B3614" s="3" t="s">
        <v>5015</v>
      </c>
      <c r="C3614" s="3">
        <v>52</v>
      </c>
      <c r="D3614" s="46" t="str">
        <f>IF(Tabla1[[#This Row],[EDAD]]&lt;=35,"Adultos jóvenes 18 - 35 años",IF(C3614&gt;=36,"Adultos mayores 36 años en adelante"))</f>
        <v>Adultos mayores 36 años en adelante</v>
      </c>
      <c r="E3614" s="3" t="s">
        <v>5021</v>
      </c>
      <c r="F3614" s="3" t="s">
        <v>5026</v>
      </c>
      <c r="G3614" s="3" t="s">
        <v>5031</v>
      </c>
      <c r="H3614" s="3" t="s">
        <v>6174</v>
      </c>
      <c r="I3614" s="17">
        <v>45676</v>
      </c>
      <c r="J3614" s="18">
        <f>YEAR(Tabla1[[#This Row],[FECHA DE COMPRA]])</f>
        <v>2025</v>
      </c>
      <c r="K3614" s="19">
        <v>174.28</v>
      </c>
      <c r="L3614" s="20">
        <v>0.2</v>
      </c>
      <c r="M3614" s="19">
        <f>Tienda!$K3978-Tienda!$K3978*Tienda!$L3978</f>
        <v>57.847999999999999</v>
      </c>
      <c r="N3614" s="3" t="s">
        <v>10040</v>
      </c>
      <c r="O3614" s="3" t="s">
        <v>10042</v>
      </c>
      <c r="P3614" s="17">
        <v>45766</v>
      </c>
      <c r="Q3614" s="4">
        <v>3</v>
      </c>
    </row>
    <row r="3615" spans="1:17" ht="30" x14ac:dyDescent="0.25">
      <c r="A3615" s="2" t="s">
        <v>4890</v>
      </c>
      <c r="B3615" s="3" t="s">
        <v>5015</v>
      </c>
      <c r="C3615" s="3">
        <v>42</v>
      </c>
      <c r="D3615" s="46" t="str">
        <f>IF(Tabla1[[#This Row],[EDAD]]&lt;=35,"Adultos jóvenes 18 - 35 años",IF(C3615&gt;=36,"Adultos mayores 36 años en adelante"))</f>
        <v>Adultos mayores 36 años en adelante</v>
      </c>
      <c r="E3615" s="3" t="s">
        <v>5022</v>
      </c>
      <c r="F3615" s="3" t="s">
        <v>5027</v>
      </c>
      <c r="G3615" s="3" t="s">
        <v>5037</v>
      </c>
      <c r="H3615" s="3" t="s">
        <v>9913</v>
      </c>
      <c r="I3615" s="17">
        <v>45675</v>
      </c>
      <c r="J3615" s="18">
        <f>YEAR(Tabla1[[#This Row],[FECHA DE COMPRA]])</f>
        <v>2025</v>
      </c>
      <c r="K3615" s="19">
        <v>180.19</v>
      </c>
      <c r="L3615" s="20">
        <v>0.1</v>
      </c>
      <c r="M3615" s="19">
        <f>Tienda!$K3979-Tienda!$K3979*Tienda!$L3979</f>
        <v>58.540999999999997</v>
      </c>
      <c r="N3615" s="3" t="s">
        <v>10040</v>
      </c>
      <c r="O3615" s="3" t="s">
        <v>10042</v>
      </c>
      <c r="P3615" s="17">
        <v>45765</v>
      </c>
      <c r="Q3615" s="4">
        <v>3</v>
      </c>
    </row>
    <row r="3616" spans="1:17" ht="30" x14ac:dyDescent="0.25">
      <c r="A3616" s="2" t="s">
        <v>252</v>
      </c>
      <c r="B3616" s="3" t="s">
        <v>5015</v>
      </c>
      <c r="C3616" s="3">
        <v>43</v>
      </c>
      <c r="D3616" s="46" t="str">
        <f>IF(Tabla1[[#This Row],[EDAD]]&lt;=35,"Adultos jóvenes 18 - 35 años",IF(C3616&gt;=36,"Adultos mayores 36 años en adelante"))</f>
        <v>Adultos mayores 36 años en adelante</v>
      </c>
      <c r="E3616" s="3" t="s">
        <v>5022</v>
      </c>
      <c r="F3616" s="3" t="s">
        <v>5025</v>
      </c>
      <c r="G3616" s="3" t="s">
        <v>5031</v>
      </c>
      <c r="H3616" s="3" t="s">
        <v>5275</v>
      </c>
      <c r="I3616" s="17">
        <v>45667</v>
      </c>
      <c r="J3616" s="18">
        <f>YEAR(Tabla1[[#This Row],[FECHA DE COMPRA]])</f>
        <v>2025</v>
      </c>
      <c r="K3616" s="19">
        <v>180.39</v>
      </c>
      <c r="L3616" s="20">
        <v>0.2</v>
      </c>
      <c r="M3616" s="19">
        <f>Tienda!$K3980-Tienda!$K3980*Tienda!$L3980</f>
        <v>59.05</v>
      </c>
      <c r="N3616" s="3" t="s">
        <v>10040</v>
      </c>
      <c r="O3616" s="3" t="s">
        <v>10042</v>
      </c>
      <c r="P3616" s="17">
        <v>45757</v>
      </c>
      <c r="Q3616" s="4">
        <v>3</v>
      </c>
    </row>
    <row r="3617" spans="1:17" ht="30" x14ac:dyDescent="0.25">
      <c r="A3617" s="2" t="s">
        <v>2706</v>
      </c>
      <c r="B3617" s="3" t="s">
        <v>5015</v>
      </c>
      <c r="C3617" s="3">
        <v>45</v>
      </c>
      <c r="D3617" s="46" t="str">
        <f>IF(Tabla1[[#This Row],[EDAD]]&lt;=35,"Adultos jóvenes 18 - 35 años",IF(C3617&gt;=36,"Adultos mayores 36 años en adelante"))</f>
        <v>Adultos mayores 36 años en adelante</v>
      </c>
      <c r="E3617" s="3" t="s">
        <v>5023</v>
      </c>
      <c r="F3617" s="3" t="s">
        <v>5024</v>
      </c>
      <c r="G3617" s="3" t="s">
        <v>5036</v>
      </c>
      <c r="H3617" s="3" t="s">
        <v>7729</v>
      </c>
      <c r="I3617" s="17">
        <v>45701</v>
      </c>
      <c r="J3617" s="18">
        <f>YEAR(Tabla1[[#This Row],[FECHA DE COMPRA]])</f>
        <v>2025</v>
      </c>
      <c r="K3617" s="19">
        <v>194.86</v>
      </c>
      <c r="L3617" s="20">
        <v>0.1</v>
      </c>
      <c r="M3617" s="19">
        <f>Tienda!$K3981-Tienda!$K3981*Tienda!$L3981</f>
        <v>59.87</v>
      </c>
      <c r="N3617" s="3" t="s">
        <v>10040</v>
      </c>
      <c r="O3617" s="3" t="s">
        <v>10042</v>
      </c>
      <c r="P3617" s="17">
        <v>45767</v>
      </c>
      <c r="Q3617" s="4">
        <v>3</v>
      </c>
    </row>
    <row r="3618" spans="1:17" ht="30" x14ac:dyDescent="0.25">
      <c r="A3618" s="2" t="s">
        <v>70</v>
      </c>
      <c r="B3618" s="3" t="s">
        <v>5015</v>
      </c>
      <c r="C3618" s="3">
        <v>51</v>
      </c>
      <c r="D3618" s="46" t="str">
        <f>IF(Tabla1[[#This Row],[EDAD]]&lt;=35,"Adultos jóvenes 18 - 35 años",IF(C3618&gt;=36,"Adultos mayores 36 años en adelante"))</f>
        <v>Adultos mayores 36 años en adelante</v>
      </c>
      <c r="E3618" s="3" t="s">
        <v>5018</v>
      </c>
      <c r="F3618" s="3" t="s">
        <v>5029</v>
      </c>
      <c r="G3618" s="3" t="s">
        <v>5036</v>
      </c>
      <c r="H3618" s="3" t="s">
        <v>5093</v>
      </c>
      <c r="I3618" s="17">
        <v>45690</v>
      </c>
      <c r="J3618" s="18">
        <f>YEAR(Tabla1[[#This Row],[FECHA DE COMPRA]])</f>
        <v>2025</v>
      </c>
      <c r="K3618" s="19">
        <v>100.4</v>
      </c>
      <c r="L3618" s="20">
        <v>0.3</v>
      </c>
      <c r="M3618" s="19">
        <f>Tienda!$K3983-Tienda!$K3983*Tienda!$L3983</f>
        <v>62.239999999999995</v>
      </c>
      <c r="N3618" s="3" t="s">
        <v>10040</v>
      </c>
      <c r="O3618" s="3" t="s">
        <v>10042</v>
      </c>
      <c r="P3618" s="17">
        <v>45780</v>
      </c>
      <c r="Q3618" s="4">
        <v>3</v>
      </c>
    </row>
    <row r="3619" spans="1:17" ht="30" x14ac:dyDescent="0.25">
      <c r="A3619" s="2" t="s">
        <v>1795</v>
      </c>
      <c r="B3619" s="3" t="s">
        <v>5015</v>
      </c>
      <c r="C3619" s="3">
        <v>41</v>
      </c>
      <c r="D3619" s="46" t="str">
        <f>IF(Tabla1[[#This Row],[EDAD]]&lt;=35,"Adultos jóvenes 18 - 35 años",IF(C3619&gt;=36,"Adultos mayores 36 años en adelante"))</f>
        <v>Adultos mayores 36 años en adelante</v>
      </c>
      <c r="E3619" s="3" t="s">
        <v>5022</v>
      </c>
      <c r="F3619" s="3" t="s">
        <v>5030</v>
      </c>
      <c r="G3619" s="3" t="s">
        <v>5036</v>
      </c>
      <c r="H3619" s="3" t="s">
        <v>6818</v>
      </c>
      <c r="I3619" s="17">
        <v>45697</v>
      </c>
      <c r="J3619" s="18">
        <f>YEAR(Tabla1[[#This Row],[FECHA DE COMPRA]])</f>
        <v>2025</v>
      </c>
      <c r="K3619" s="19">
        <v>79.61</v>
      </c>
      <c r="L3619" s="20">
        <v>0.1</v>
      </c>
      <c r="M3619" s="19">
        <f>Tienda!$K3984-Tienda!$K3984*Tienda!$L3984</f>
        <v>62.649000000000001</v>
      </c>
      <c r="N3619" s="3" t="s">
        <v>10040</v>
      </c>
      <c r="O3619" s="3" t="s">
        <v>10042</v>
      </c>
      <c r="P3619" s="17">
        <v>45787</v>
      </c>
      <c r="Q3619" s="4">
        <v>3</v>
      </c>
    </row>
    <row r="3620" spans="1:17" ht="30" x14ac:dyDescent="0.25">
      <c r="A3620" s="2" t="s">
        <v>2870</v>
      </c>
      <c r="B3620" s="3" t="s">
        <v>5015</v>
      </c>
      <c r="C3620" s="3">
        <v>42</v>
      </c>
      <c r="D3620" s="46" t="str">
        <f>IF(Tabla1[[#This Row],[EDAD]]&lt;=35,"Adultos jóvenes 18 - 35 años",IF(C3620&gt;=36,"Adultos mayores 36 años en adelante"))</f>
        <v>Adultos mayores 36 años en adelante</v>
      </c>
      <c r="E3620" s="3" t="s">
        <v>5017</v>
      </c>
      <c r="F3620" s="3" t="s">
        <v>5027</v>
      </c>
      <c r="G3620" s="3" t="s">
        <v>5035</v>
      </c>
      <c r="H3620" s="3" t="s">
        <v>7893</v>
      </c>
      <c r="I3620" s="17">
        <v>45702</v>
      </c>
      <c r="J3620" s="18">
        <f>YEAR(Tabla1[[#This Row],[FECHA DE COMPRA]])</f>
        <v>2025</v>
      </c>
      <c r="K3620" s="19">
        <v>93.23</v>
      </c>
      <c r="L3620" s="20">
        <v>0.1</v>
      </c>
      <c r="M3620" s="19">
        <f>Tienda!$K3985-Tienda!$K3985*Tienda!$L3985</f>
        <v>62.910000000000004</v>
      </c>
      <c r="N3620" s="3" t="s">
        <v>10040</v>
      </c>
      <c r="O3620" s="3" t="s">
        <v>10042</v>
      </c>
      <c r="P3620" s="17">
        <v>45792</v>
      </c>
      <c r="Q3620" s="4">
        <v>3</v>
      </c>
    </row>
    <row r="3621" spans="1:17" ht="30" x14ac:dyDescent="0.25">
      <c r="A3621" s="2" t="s">
        <v>2909</v>
      </c>
      <c r="B3621" s="3" t="s">
        <v>5016</v>
      </c>
      <c r="C3621" s="3">
        <v>39</v>
      </c>
      <c r="D3621" s="46" t="str">
        <f>IF(Tabla1[[#This Row],[EDAD]]&lt;=35,"Adultos jóvenes 18 - 35 años",IF(C3621&gt;=36,"Adultos mayores 36 años en adelante"))</f>
        <v>Adultos mayores 36 años en adelante</v>
      </c>
      <c r="E3621" s="3" t="s">
        <v>5021</v>
      </c>
      <c r="F3621" s="3" t="s">
        <v>5030</v>
      </c>
      <c r="G3621" s="3" t="s">
        <v>5031</v>
      </c>
      <c r="H3621" s="3" t="s">
        <v>7932</v>
      </c>
      <c r="I3621" s="17">
        <v>45705</v>
      </c>
      <c r="J3621" s="18">
        <f>YEAR(Tabla1[[#This Row],[FECHA DE COMPRA]])</f>
        <v>2025</v>
      </c>
      <c r="K3621" s="19">
        <v>173.42</v>
      </c>
      <c r="L3621" s="20">
        <v>0.3</v>
      </c>
      <c r="M3621" s="19">
        <f>Tienda!$K3986-Tienda!$K3986*Tienda!$L3986</f>
        <v>64.134</v>
      </c>
      <c r="N3621" s="3" t="s">
        <v>10040</v>
      </c>
      <c r="O3621" s="3" t="s">
        <v>10042</v>
      </c>
      <c r="P3621" s="17">
        <v>45795</v>
      </c>
      <c r="Q3621" s="4">
        <v>3</v>
      </c>
    </row>
    <row r="3622" spans="1:17" ht="30" x14ac:dyDescent="0.25">
      <c r="A3622" s="2" t="s">
        <v>1865</v>
      </c>
      <c r="B3622" s="3" t="s">
        <v>5015</v>
      </c>
      <c r="C3622" s="3">
        <v>40</v>
      </c>
      <c r="D3622" s="46" t="str">
        <f>IF(Tabla1[[#This Row],[EDAD]]&lt;=35,"Adultos jóvenes 18 - 35 años",IF(C3622&gt;=36,"Adultos mayores 36 años en adelante"))</f>
        <v>Adultos mayores 36 años en adelante</v>
      </c>
      <c r="E3622" s="3" t="s">
        <v>5020</v>
      </c>
      <c r="F3622" s="3" t="s">
        <v>5026</v>
      </c>
      <c r="G3622" s="3" t="s">
        <v>5033</v>
      </c>
      <c r="H3622" s="3" t="s">
        <v>6888</v>
      </c>
      <c r="I3622" s="17">
        <v>45707</v>
      </c>
      <c r="J3622" s="18">
        <f>YEAR(Tabla1[[#This Row],[FECHA DE COMPRA]])</f>
        <v>2025</v>
      </c>
      <c r="K3622" s="19">
        <v>163.83000000000001</v>
      </c>
      <c r="L3622" s="20">
        <v>0.1</v>
      </c>
      <c r="M3622" s="19">
        <f>Tienda!$K3987-Tienda!$K3987*Tienda!$L3987</f>
        <v>64.14</v>
      </c>
      <c r="N3622" s="3" t="s">
        <v>10040</v>
      </c>
      <c r="O3622" s="3" t="s">
        <v>10042</v>
      </c>
      <c r="P3622" s="17">
        <v>45797</v>
      </c>
      <c r="Q3622" s="4">
        <v>3</v>
      </c>
    </row>
    <row r="3623" spans="1:17" ht="30" x14ac:dyDescent="0.25">
      <c r="A3623" s="2" t="s">
        <v>1254</v>
      </c>
      <c r="B3623" s="3" t="s">
        <v>5016</v>
      </c>
      <c r="C3623" s="3">
        <v>48</v>
      </c>
      <c r="D3623" s="46" t="str">
        <f>IF(Tabla1[[#This Row],[EDAD]]&lt;=35,"Adultos jóvenes 18 - 35 años",IF(C3623&gt;=36,"Adultos mayores 36 años en adelante"))</f>
        <v>Adultos mayores 36 años en adelante</v>
      </c>
      <c r="E3623" s="3" t="s">
        <v>5023</v>
      </c>
      <c r="F3623" s="3" t="s">
        <v>5030</v>
      </c>
      <c r="G3623" s="3" t="s">
        <v>5031</v>
      </c>
      <c r="H3623" s="3" t="s">
        <v>6277</v>
      </c>
      <c r="I3623" s="17">
        <v>45709</v>
      </c>
      <c r="J3623" s="18">
        <f>YEAR(Tabla1[[#This Row],[FECHA DE COMPRA]])</f>
        <v>2025</v>
      </c>
      <c r="K3623" s="19">
        <v>139.96</v>
      </c>
      <c r="L3623" s="20">
        <v>0.3</v>
      </c>
      <c r="M3623" s="19">
        <f>Tienda!$K3988-Tienda!$K3988*Tienda!$L3988</f>
        <v>64.224999999999994</v>
      </c>
      <c r="N3623" s="3" t="s">
        <v>10040</v>
      </c>
      <c r="O3623" s="3" t="s">
        <v>10042</v>
      </c>
      <c r="P3623" s="17">
        <v>45799</v>
      </c>
      <c r="Q3623" s="4">
        <v>3</v>
      </c>
    </row>
    <row r="3624" spans="1:17" ht="30" x14ac:dyDescent="0.25">
      <c r="A3624" s="2" t="s">
        <v>3912</v>
      </c>
      <c r="B3624" s="3" t="s">
        <v>5016</v>
      </c>
      <c r="C3624" s="3">
        <v>38</v>
      </c>
      <c r="D3624" s="46" t="str">
        <f>IF(Tabla1[[#This Row],[EDAD]]&lt;=35,"Adultos jóvenes 18 - 35 años",IF(C3624&gt;=36,"Adultos mayores 36 años en adelante"))</f>
        <v>Adultos mayores 36 años en adelante</v>
      </c>
      <c r="E3624" s="3" t="s">
        <v>5019</v>
      </c>
      <c r="F3624" s="3" t="s">
        <v>5028</v>
      </c>
      <c r="G3624" s="3" t="s">
        <v>5032</v>
      </c>
      <c r="H3624" s="3" t="s">
        <v>8935</v>
      </c>
      <c r="I3624" s="17">
        <v>45711</v>
      </c>
      <c r="J3624" s="18">
        <f>YEAR(Tabla1[[#This Row],[FECHA DE COMPRA]])</f>
        <v>2025</v>
      </c>
      <c r="K3624" s="19">
        <v>46.35</v>
      </c>
      <c r="L3624" s="20">
        <v>0</v>
      </c>
      <c r="M3624" s="19">
        <f>Tienda!$K3989-Tienda!$K3989*Tienda!$L3989</f>
        <v>64.256</v>
      </c>
      <c r="N3624" s="3" t="s">
        <v>10040</v>
      </c>
      <c r="O3624" s="3" t="s">
        <v>10042</v>
      </c>
      <c r="P3624" s="17">
        <v>45801</v>
      </c>
      <c r="Q3624" s="4">
        <v>3</v>
      </c>
    </row>
    <row r="3625" spans="1:17" ht="30" x14ac:dyDescent="0.25">
      <c r="A3625" s="2" t="s">
        <v>1518</v>
      </c>
      <c r="B3625" s="3" t="s">
        <v>5015</v>
      </c>
      <c r="C3625" s="3">
        <v>53</v>
      </c>
      <c r="D3625" s="46" t="str">
        <f>IF(Tabla1[[#This Row],[EDAD]]&lt;=35,"Adultos jóvenes 18 - 35 años",IF(C3625&gt;=36,"Adultos mayores 36 años en adelante"))</f>
        <v>Adultos mayores 36 años en adelante</v>
      </c>
      <c r="E3625" s="3" t="s">
        <v>5022</v>
      </c>
      <c r="F3625" s="3" t="s">
        <v>5024</v>
      </c>
      <c r="G3625" s="3" t="s">
        <v>5031</v>
      </c>
      <c r="H3625" s="3" t="s">
        <v>6541</v>
      </c>
      <c r="I3625" s="17">
        <v>45716</v>
      </c>
      <c r="J3625" s="18">
        <f>YEAR(Tabla1[[#This Row],[FECHA DE COMPRA]])</f>
        <v>2025</v>
      </c>
      <c r="K3625" s="19">
        <v>96.26</v>
      </c>
      <c r="L3625" s="20">
        <v>0.2</v>
      </c>
      <c r="M3625" s="19">
        <f>Tienda!$K3990-Tienda!$K3990*Tienda!$L3990</f>
        <v>64.655999999999992</v>
      </c>
      <c r="N3625" s="3" t="s">
        <v>10040</v>
      </c>
      <c r="O3625" s="3" t="s">
        <v>10042</v>
      </c>
      <c r="P3625" s="17">
        <v>45806</v>
      </c>
      <c r="Q3625" s="4">
        <v>3</v>
      </c>
    </row>
    <row r="3626" spans="1:17" ht="30" x14ac:dyDescent="0.25">
      <c r="A3626" s="2" t="s">
        <v>1359</v>
      </c>
      <c r="B3626" s="3" t="s">
        <v>5015</v>
      </c>
      <c r="C3626" s="3">
        <v>38</v>
      </c>
      <c r="D3626" s="46" t="str">
        <f>IF(Tabla1[[#This Row],[EDAD]]&lt;=35,"Adultos jóvenes 18 - 35 años",IF(C3626&gt;=36,"Adultos mayores 36 años en adelante"))</f>
        <v>Adultos mayores 36 años en adelante</v>
      </c>
      <c r="E3626" s="3" t="s">
        <v>5020</v>
      </c>
      <c r="F3626" s="3" t="s">
        <v>5025</v>
      </c>
      <c r="G3626" s="3" t="s">
        <v>5037</v>
      </c>
      <c r="H3626" s="3" t="s">
        <v>6382</v>
      </c>
      <c r="I3626" s="17">
        <v>45726</v>
      </c>
      <c r="J3626" s="18">
        <f>YEAR(Tabla1[[#This Row],[FECHA DE COMPRA]])</f>
        <v>2025</v>
      </c>
      <c r="K3626" s="19">
        <v>24.69</v>
      </c>
      <c r="L3626" s="20">
        <v>0.3</v>
      </c>
      <c r="M3626" s="19">
        <f>Tienda!$K3991-Tienda!$K3991*Tienda!$L3991</f>
        <v>65.864000000000004</v>
      </c>
      <c r="N3626" s="3" t="s">
        <v>10040</v>
      </c>
      <c r="O3626" s="3" t="s">
        <v>10042</v>
      </c>
      <c r="P3626" s="17">
        <v>45816</v>
      </c>
      <c r="Q3626" s="4">
        <v>3</v>
      </c>
    </row>
    <row r="3627" spans="1:17" ht="30" x14ac:dyDescent="0.25">
      <c r="A3627" s="2" t="s">
        <v>1212</v>
      </c>
      <c r="B3627" s="3" t="s">
        <v>5015</v>
      </c>
      <c r="C3627" s="3">
        <v>39</v>
      </c>
      <c r="D3627" s="46" t="str">
        <f>IF(Tabla1[[#This Row],[EDAD]]&lt;=35,"Adultos jóvenes 18 - 35 años",IF(C3627&gt;=36,"Adultos mayores 36 años en adelante"))</f>
        <v>Adultos mayores 36 años en adelante</v>
      </c>
      <c r="E3627" s="3" t="s">
        <v>5018</v>
      </c>
      <c r="F3627" s="3" t="s">
        <v>5027</v>
      </c>
      <c r="G3627" s="3" t="s">
        <v>5033</v>
      </c>
      <c r="H3627" s="3" t="s">
        <v>6235</v>
      </c>
      <c r="I3627" s="17">
        <v>45717</v>
      </c>
      <c r="J3627" s="18">
        <f>YEAR(Tabla1[[#This Row],[FECHA DE COMPRA]])</f>
        <v>2025</v>
      </c>
      <c r="K3627" s="19">
        <v>72.790000000000006</v>
      </c>
      <c r="L3627" s="20">
        <v>0.2</v>
      </c>
      <c r="M3627" s="19">
        <f>Tienda!$K3992-Tienda!$K3992*Tienda!$L3992</f>
        <v>65.978999999999999</v>
      </c>
      <c r="N3627" s="3" t="s">
        <v>10040</v>
      </c>
      <c r="O3627" s="3" t="s">
        <v>10042</v>
      </c>
      <c r="P3627" s="17">
        <v>45807</v>
      </c>
      <c r="Q3627" s="4">
        <v>3</v>
      </c>
    </row>
    <row r="3628" spans="1:17" ht="30" x14ac:dyDescent="0.25">
      <c r="A3628" s="2" t="s">
        <v>3821</v>
      </c>
      <c r="B3628" s="3" t="s">
        <v>5015</v>
      </c>
      <c r="C3628" s="3">
        <v>48</v>
      </c>
      <c r="D3628" s="46" t="str">
        <f>IF(Tabla1[[#This Row],[EDAD]]&lt;=35,"Adultos jóvenes 18 - 35 años",IF(C3628&gt;=36,"Adultos mayores 36 años en adelante"))</f>
        <v>Adultos mayores 36 años en adelante</v>
      </c>
      <c r="E3628" s="3" t="s">
        <v>5022</v>
      </c>
      <c r="F3628" s="3" t="s">
        <v>5024</v>
      </c>
      <c r="G3628" s="3" t="s">
        <v>5031</v>
      </c>
      <c r="H3628" s="3" t="s">
        <v>8844</v>
      </c>
      <c r="I3628" s="17">
        <v>45731</v>
      </c>
      <c r="J3628" s="18">
        <f>YEAR(Tabla1[[#This Row],[FECHA DE COMPRA]])</f>
        <v>2025</v>
      </c>
      <c r="K3628" s="19">
        <v>89.55</v>
      </c>
      <c r="L3628" s="20">
        <v>0.1</v>
      </c>
      <c r="M3628" s="19">
        <f>Tienda!$K3994-Tienda!$K3994*Tienda!$L3994</f>
        <v>67.45</v>
      </c>
      <c r="N3628" s="3" t="s">
        <v>10040</v>
      </c>
      <c r="O3628" s="3" t="s">
        <v>10042</v>
      </c>
      <c r="P3628" s="17">
        <v>45821</v>
      </c>
      <c r="Q3628" s="4">
        <v>3</v>
      </c>
    </row>
    <row r="3629" spans="1:17" ht="30" x14ac:dyDescent="0.25">
      <c r="A3629" s="2" t="s">
        <v>3868</v>
      </c>
      <c r="B3629" s="3" t="s">
        <v>5015</v>
      </c>
      <c r="C3629" s="3">
        <v>49</v>
      </c>
      <c r="D3629" s="46" t="str">
        <f>IF(Tabla1[[#This Row],[EDAD]]&lt;=35,"Adultos jóvenes 18 - 35 años",IF(C3629&gt;=36,"Adultos mayores 36 años en adelante"))</f>
        <v>Adultos mayores 36 años en adelante</v>
      </c>
      <c r="E3629" s="3" t="s">
        <v>5019</v>
      </c>
      <c r="F3629" s="3" t="s">
        <v>5026</v>
      </c>
      <c r="G3629" s="3" t="s">
        <v>5034</v>
      </c>
      <c r="H3629" s="3" t="s">
        <v>8891</v>
      </c>
      <c r="I3629" s="17">
        <v>45746</v>
      </c>
      <c r="J3629" s="18">
        <f>YEAR(Tabla1[[#This Row],[FECHA DE COMPRA]])</f>
        <v>2025</v>
      </c>
      <c r="K3629" s="19">
        <v>114.43</v>
      </c>
      <c r="L3629" s="20">
        <v>0.2</v>
      </c>
      <c r="M3629" s="19">
        <f>Tienda!$K3996-Tienda!$K3996*Tienda!$L3996</f>
        <v>69.558999999999997</v>
      </c>
      <c r="N3629" s="3" t="s">
        <v>10040</v>
      </c>
      <c r="O3629" s="3" t="s">
        <v>10042</v>
      </c>
      <c r="P3629" s="17">
        <v>45836</v>
      </c>
      <c r="Q3629" s="4">
        <v>3</v>
      </c>
    </row>
    <row r="3630" spans="1:17" ht="30" x14ac:dyDescent="0.25">
      <c r="A3630" s="2" t="s">
        <v>2698</v>
      </c>
      <c r="B3630" s="3" t="s">
        <v>5015</v>
      </c>
      <c r="C3630" s="3">
        <v>40</v>
      </c>
      <c r="D3630" s="46" t="str">
        <f>IF(Tabla1[[#This Row],[EDAD]]&lt;=35,"Adultos jóvenes 18 - 35 años",IF(C3630&gt;=36,"Adultos mayores 36 años en adelante"))</f>
        <v>Adultos mayores 36 años en adelante</v>
      </c>
      <c r="E3630" s="3" t="s">
        <v>5022</v>
      </c>
      <c r="F3630" s="3" t="s">
        <v>5028</v>
      </c>
      <c r="G3630" s="3" t="s">
        <v>5036</v>
      </c>
      <c r="H3630" s="3" t="s">
        <v>7721</v>
      </c>
      <c r="I3630" s="17">
        <v>45729</v>
      </c>
      <c r="J3630" s="18">
        <f>YEAR(Tabla1[[#This Row],[FECHA DE COMPRA]])</f>
        <v>2025</v>
      </c>
      <c r="K3630" s="19">
        <v>119.35</v>
      </c>
      <c r="L3630" s="20">
        <v>0.1</v>
      </c>
      <c r="M3630" s="19">
        <f>Tienda!$K3997-Tienda!$K3997*Tienda!$L3997</f>
        <v>70.665000000000006</v>
      </c>
      <c r="N3630" s="3" t="s">
        <v>10040</v>
      </c>
      <c r="O3630" s="3" t="s">
        <v>10042</v>
      </c>
      <c r="P3630" s="17">
        <v>45819</v>
      </c>
      <c r="Q3630" s="4">
        <v>3</v>
      </c>
    </row>
    <row r="3631" spans="1:17" ht="30" x14ac:dyDescent="0.25">
      <c r="A3631" s="2" t="s">
        <v>1902</v>
      </c>
      <c r="B3631" s="3" t="s">
        <v>5016</v>
      </c>
      <c r="C3631" s="3">
        <v>45</v>
      </c>
      <c r="D3631" s="46" t="str">
        <f>IF(Tabla1[[#This Row],[EDAD]]&lt;=35,"Adultos jóvenes 18 - 35 años",IF(C3631&gt;=36,"Adultos mayores 36 años en adelante"))</f>
        <v>Adultos mayores 36 años en adelante</v>
      </c>
      <c r="E3631" s="3" t="s">
        <v>5017</v>
      </c>
      <c r="F3631" s="3" t="s">
        <v>5029</v>
      </c>
      <c r="G3631" s="3" t="s">
        <v>5034</v>
      </c>
      <c r="H3631" s="3" t="s">
        <v>6925</v>
      </c>
      <c r="I3631" s="17">
        <v>45726</v>
      </c>
      <c r="J3631" s="18">
        <f>YEAR(Tabla1[[#This Row],[FECHA DE COMPRA]])</f>
        <v>2025</v>
      </c>
      <c r="K3631" s="19">
        <v>150.53</v>
      </c>
      <c r="L3631" s="20">
        <v>0.3</v>
      </c>
      <c r="M3631" s="19">
        <f>Tienda!$K4000-Tienda!$K4000*Tienda!$L4000</f>
        <v>72.760000000000005</v>
      </c>
      <c r="N3631" s="3" t="s">
        <v>10040</v>
      </c>
      <c r="O3631" s="3" t="s">
        <v>10042</v>
      </c>
      <c r="P3631" s="17">
        <v>45816</v>
      </c>
      <c r="Q3631" s="4">
        <v>3</v>
      </c>
    </row>
    <row r="3632" spans="1:17" ht="30" x14ac:dyDescent="0.25">
      <c r="A3632" s="2" t="s">
        <v>1011</v>
      </c>
      <c r="B3632" s="3" t="s">
        <v>5015</v>
      </c>
      <c r="C3632" s="3">
        <v>63</v>
      </c>
      <c r="D3632" s="46" t="str">
        <f>IF(Tabla1[[#This Row],[EDAD]]&lt;=35,"Adultos jóvenes 18 - 35 años",IF(C3632&gt;=36,"Adultos mayores 36 años en adelante"))</f>
        <v>Adultos mayores 36 años en adelante</v>
      </c>
      <c r="E3632" s="3" t="s">
        <v>5023</v>
      </c>
      <c r="F3632" s="3" t="s">
        <v>5025</v>
      </c>
      <c r="G3632" s="3" t="s">
        <v>5033</v>
      </c>
      <c r="H3632" s="3" t="s">
        <v>6034</v>
      </c>
      <c r="I3632" s="17">
        <v>45741</v>
      </c>
      <c r="J3632" s="18">
        <f>YEAR(Tabla1[[#This Row],[FECHA DE COMPRA]])</f>
        <v>2025</v>
      </c>
      <c r="K3632" s="19">
        <v>167.65</v>
      </c>
      <c r="L3632" s="20">
        <v>0.1</v>
      </c>
      <c r="M3632" s="19">
        <f>Tienda!$K4001-Tienda!$K4001*Tienda!$L4001</f>
        <v>72.832000000000008</v>
      </c>
      <c r="N3632" s="3" t="s">
        <v>10040</v>
      </c>
      <c r="O3632" s="3" t="s">
        <v>10042</v>
      </c>
      <c r="P3632" s="17">
        <v>45831</v>
      </c>
      <c r="Q3632" s="4">
        <v>3</v>
      </c>
    </row>
    <row r="3633" spans="1:17" ht="30" x14ac:dyDescent="0.25">
      <c r="A3633" s="2" t="s">
        <v>4813</v>
      </c>
      <c r="B3633" s="3" t="s">
        <v>5016</v>
      </c>
      <c r="C3633" s="3">
        <v>57</v>
      </c>
      <c r="D3633" s="46" t="str">
        <f>IF(Tabla1[[#This Row],[EDAD]]&lt;=35,"Adultos jóvenes 18 - 35 años",IF(C3633&gt;=36,"Adultos mayores 36 años en adelante"))</f>
        <v>Adultos mayores 36 años en adelante</v>
      </c>
      <c r="E3633" s="3" t="s">
        <v>5019</v>
      </c>
      <c r="F3633" s="3" t="s">
        <v>5027</v>
      </c>
      <c r="G3633" s="3" t="s">
        <v>5032</v>
      </c>
      <c r="H3633" s="3" t="s">
        <v>9836</v>
      </c>
      <c r="I3633" s="17">
        <v>45751</v>
      </c>
      <c r="J3633" s="18">
        <f>YEAR(Tabla1[[#This Row],[FECHA DE COMPRA]])</f>
        <v>2025</v>
      </c>
      <c r="K3633" s="19">
        <v>69.28</v>
      </c>
      <c r="L3633" s="20">
        <v>0.3</v>
      </c>
      <c r="M3633" s="19">
        <f>Tienda!$K4002-Tienda!$K4002*Tienda!$L4002</f>
        <v>73.106999999999999</v>
      </c>
      <c r="N3633" s="3" t="s">
        <v>10040</v>
      </c>
      <c r="O3633" s="3" t="s">
        <v>10042</v>
      </c>
      <c r="P3633" s="17">
        <v>45841</v>
      </c>
      <c r="Q3633" s="4">
        <v>3</v>
      </c>
    </row>
    <row r="3634" spans="1:17" ht="30" x14ac:dyDescent="0.25">
      <c r="A3634" s="2" t="s">
        <v>2342</v>
      </c>
      <c r="B3634" s="3" t="s">
        <v>5015</v>
      </c>
      <c r="C3634" s="3">
        <v>57</v>
      </c>
      <c r="D3634" s="46" t="str">
        <f>IF(Tabla1[[#This Row],[EDAD]]&lt;=35,"Adultos jóvenes 18 - 35 años",IF(C3634&gt;=36,"Adultos mayores 36 años en adelante"))</f>
        <v>Adultos mayores 36 años en adelante</v>
      </c>
      <c r="E3634" s="3" t="s">
        <v>5017</v>
      </c>
      <c r="F3634" s="3" t="s">
        <v>5029</v>
      </c>
      <c r="G3634" s="3" t="s">
        <v>5033</v>
      </c>
      <c r="H3634" s="3" t="s">
        <v>7365</v>
      </c>
      <c r="I3634" s="17">
        <v>45762</v>
      </c>
      <c r="J3634" s="18">
        <f>YEAR(Tabla1[[#This Row],[FECHA DE COMPRA]])</f>
        <v>2025</v>
      </c>
      <c r="K3634" s="19">
        <v>73.959999999999994</v>
      </c>
      <c r="L3634" s="20">
        <v>0.3</v>
      </c>
      <c r="M3634" s="19">
        <f>Tienda!$K4004-Tienda!$K4004*Tienda!$L4004</f>
        <v>74.91</v>
      </c>
      <c r="N3634" s="3" t="s">
        <v>10040</v>
      </c>
      <c r="O3634" s="3" t="s">
        <v>10042</v>
      </c>
      <c r="P3634" s="17">
        <v>45852</v>
      </c>
      <c r="Q3634" s="4">
        <v>3</v>
      </c>
    </row>
    <row r="3635" spans="1:17" ht="30" x14ac:dyDescent="0.25">
      <c r="A3635" s="2" t="s">
        <v>2497</v>
      </c>
      <c r="B3635" s="3" t="s">
        <v>5015</v>
      </c>
      <c r="C3635" s="3">
        <v>44</v>
      </c>
      <c r="D3635" s="46" t="str">
        <f>IF(Tabla1[[#This Row],[EDAD]]&lt;=35,"Adultos jóvenes 18 - 35 años",IF(C3635&gt;=36,"Adultos mayores 36 años en adelante"))</f>
        <v>Adultos mayores 36 años en adelante</v>
      </c>
      <c r="E3635" s="3" t="s">
        <v>5018</v>
      </c>
      <c r="F3635" s="3" t="s">
        <v>5029</v>
      </c>
      <c r="G3635" s="3" t="s">
        <v>5032</v>
      </c>
      <c r="H3635" s="3" t="s">
        <v>7520</v>
      </c>
      <c r="I3635" s="17">
        <v>45752</v>
      </c>
      <c r="J3635" s="18">
        <f>YEAR(Tabla1[[#This Row],[FECHA DE COMPRA]])</f>
        <v>2025</v>
      </c>
      <c r="K3635" s="19">
        <v>94.7</v>
      </c>
      <c r="L3635" s="20">
        <v>0.2</v>
      </c>
      <c r="M3635" s="19">
        <f>Tienda!$K4006-Tienda!$K4006*Tienda!$L4006</f>
        <v>78.055999999999997</v>
      </c>
      <c r="N3635" s="3" t="s">
        <v>10040</v>
      </c>
      <c r="O3635" s="3" t="s">
        <v>10042</v>
      </c>
      <c r="P3635" s="17">
        <v>45842</v>
      </c>
      <c r="Q3635" s="4">
        <v>3</v>
      </c>
    </row>
    <row r="3636" spans="1:17" ht="30" x14ac:dyDescent="0.25">
      <c r="A3636" s="2" t="s">
        <v>1166</v>
      </c>
      <c r="B3636" s="3" t="s">
        <v>5016</v>
      </c>
      <c r="C3636" s="3">
        <v>56</v>
      </c>
      <c r="D3636" s="46" t="str">
        <f>IF(Tabla1[[#This Row],[EDAD]]&lt;=35,"Adultos jóvenes 18 - 35 años",IF(C3636&gt;=36,"Adultos mayores 36 años en adelante"))</f>
        <v>Adultos mayores 36 años en adelante</v>
      </c>
      <c r="E3636" s="3" t="s">
        <v>5019</v>
      </c>
      <c r="F3636" s="3" t="s">
        <v>5030</v>
      </c>
      <c r="G3636" s="3" t="s">
        <v>5033</v>
      </c>
      <c r="H3636" s="3" t="s">
        <v>6189</v>
      </c>
      <c r="I3636" s="17">
        <v>45755</v>
      </c>
      <c r="J3636" s="18">
        <f>YEAR(Tabla1[[#This Row],[FECHA DE COMPRA]])</f>
        <v>2025</v>
      </c>
      <c r="K3636" s="19">
        <v>111.55</v>
      </c>
      <c r="L3636" s="20">
        <v>0</v>
      </c>
      <c r="M3636" s="19">
        <f>Tienda!$K4008-Tienda!$K4008*Tienda!$L4008</f>
        <v>78.912000000000006</v>
      </c>
      <c r="N3636" s="3" t="s">
        <v>10040</v>
      </c>
      <c r="O3636" s="3" t="s">
        <v>10042</v>
      </c>
      <c r="P3636" s="17">
        <v>45845</v>
      </c>
      <c r="Q3636" s="4">
        <v>3</v>
      </c>
    </row>
    <row r="3637" spans="1:17" ht="30" x14ac:dyDescent="0.25">
      <c r="A3637" s="2" t="s">
        <v>3475</v>
      </c>
      <c r="B3637" s="3" t="s">
        <v>5015</v>
      </c>
      <c r="C3637" s="3">
        <v>39</v>
      </c>
      <c r="D3637" s="46" t="str">
        <f>IF(Tabla1[[#This Row],[EDAD]]&lt;=35,"Adultos jóvenes 18 - 35 años",IF(C3637&gt;=36,"Adultos mayores 36 años en adelante"))</f>
        <v>Adultos mayores 36 años en adelante</v>
      </c>
      <c r="E3637" s="3" t="s">
        <v>5022</v>
      </c>
      <c r="F3637" s="3" t="s">
        <v>5030</v>
      </c>
      <c r="G3637" s="3" t="s">
        <v>5037</v>
      </c>
      <c r="H3637" s="3" t="s">
        <v>8498</v>
      </c>
      <c r="I3637" s="17">
        <v>45801</v>
      </c>
      <c r="J3637" s="18">
        <f>YEAR(Tabla1[[#This Row],[FECHA DE COMPRA]])</f>
        <v>2025</v>
      </c>
      <c r="K3637" s="19">
        <v>95.34</v>
      </c>
      <c r="L3637" s="20">
        <v>0.2</v>
      </c>
      <c r="M3637" s="19">
        <f>Tienda!$K4016-Tienda!$K4016*Tienda!$L4016</f>
        <v>85.039999999999992</v>
      </c>
      <c r="N3637" s="3" t="s">
        <v>10040</v>
      </c>
      <c r="O3637" s="3" t="s">
        <v>10042</v>
      </c>
      <c r="P3637" s="17">
        <v>45891</v>
      </c>
      <c r="Q3637" s="4">
        <v>3</v>
      </c>
    </row>
    <row r="3638" spans="1:17" ht="30" x14ac:dyDescent="0.25">
      <c r="A3638" s="2" t="s">
        <v>1987</v>
      </c>
      <c r="B3638" s="3" t="s">
        <v>5015</v>
      </c>
      <c r="C3638" s="3">
        <v>63</v>
      </c>
      <c r="D3638" s="46" t="str">
        <f>IF(Tabla1[[#This Row],[EDAD]]&lt;=35,"Adultos jóvenes 18 - 35 años",IF(C3638&gt;=36,"Adultos mayores 36 años en adelante"))</f>
        <v>Adultos mayores 36 años en adelante</v>
      </c>
      <c r="E3638" s="3" t="s">
        <v>5019</v>
      </c>
      <c r="F3638" s="3" t="s">
        <v>5024</v>
      </c>
      <c r="G3638" s="3" t="s">
        <v>5033</v>
      </c>
      <c r="H3638" s="3" t="s">
        <v>7010</v>
      </c>
      <c r="I3638" s="17">
        <v>45807</v>
      </c>
      <c r="J3638" s="18">
        <f>YEAR(Tabla1[[#This Row],[FECHA DE COMPRA]])</f>
        <v>2025</v>
      </c>
      <c r="K3638" s="19">
        <v>125.19</v>
      </c>
      <c r="L3638" s="20">
        <v>0.2</v>
      </c>
      <c r="M3638" s="19">
        <f>Tienda!$K4020-Tienda!$K4020*Tienda!$L4020</f>
        <v>86.793000000000006</v>
      </c>
      <c r="N3638" s="3" t="s">
        <v>10040</v>
      </c>
      <c r="O3638" s="3" t="s">
        <v>10042</v>
      </c>
      <c r="P3638" s="17">
        <v>45897</v>
      </c>
      <c r="Q3638" s="4">
        <v>3</v>
      </c>
    </row>
    <row r="3639" spans="1:17" ht="30" x14ac:dyDescent="0.25">
      <c r="A3639" s="2" t="s">
        <v>3422</v>
      </c>
      <c r="B3639" s="3" t="s">
        <v>5015</v>
      </c>
      <c r="C3639" s="3">
        <v>65</v>
      </c>
      <c r="D3639" s="46" t="str">
        <f>IF(Tabla1[[#This Row],[EDAD]]&lt;=35,"Adultos jóvenes 18 - 35 años",IF(C3639&gt;=36,"Adultos mayores 36 años en adelante"))</f>
        <v>Adultos mayores 36 años en adelante</v>
      </c>
      <c r="E3639" s="3" t="s">
        <v>5018</v>
      </c>
      <c r="F3639" s="3" t="s">
        <v>5030</v>
      </c>
      <c r="G3639" s="3" t="s">
        <v>5037</v>
      </c>
      <c r="H3639" s="3" t="s">
        <v>8445</v>
      </c>
      <c r="I3639" s="17">
        <v>45786</v>
      </c>
      <c r="J3639" s="18">
        <f>YEAR(Tabla1[[#This Row],[FECHA DE COMPRA]])</f>
        <v>2025</v>
      </c>
      <c r="K3639" s="19">
        <v>147.32</v>
      </c>
      <c r="L3639" s="20">
        <v>0.3</v>
      </c>
      <c r="M3639" s="19">
        <f>Tienda!$K4021-Tienda!$K4021*Tienda!$L4021</f>
        <v>90.44</v>
      </c>
      <c r="N3639" s="3" t="s">
        <v>10040</v>
      </c>
      <c r="O3639" s="3" t="s">
        <v>10042</v>
      </c>
      <c r="P3639" s="17">
        <v>45876</v>
      </c>
      <c r="Q3639" s="4">
        <v>3</v>
      </c>
    </row>
    <row r="3640" spans="1:17" ht="30" x14ac:dyDescent="0.25">
      <c r="A3640" s="2" t="s">
        <v>3111</v>
      </c>
      <c r="B3640" s="3" t="s">
        <v>5015</v>
      </c>
      <c r="C3640" s="3">
        <v>54</v>
      </c>
      <c r="D3640" s="46" t="str">
        <f>IF(Tabla1[[#This Row],[EDAD]]&lt;=35,"Adultos jóvenes 18 - 35 años",IF(C3640&gt;=36,"Adultos mayores 36 años en adelante"))</f>
        <v>Adultos mayores 36 años en adelante</v>
      </c>
      <c r="E3640" s="3" t="s">
        <v>5018</v>
      </c>
      <c r="F3640" s="3" t="s">
        <v>5028</v>
      </c>
      <c r="G3640" s="3" t="s">
        <v>5031</v>
      </c>
      <c r="H3640" s="3" t="s">
        <v>8134</v>
      </c>
      <c r="I3640" s="17">
        <v>45781</v>
      </c>
      <c r="J3640" s="18">
        <f>YEAR(Tabla1[[#This Row],[FECHA DE COMPRA]])</f>
        <v>2025</v>
      </c>
      <c r="K3640" s="19">
        <v>197.73</v>
      </c>
      <c r="L3640" s="20">
        <v>0.2</v>
      </c>
      <c r="M3640" s="19">
        <f>Tienda!$K4023-Tienda!$K4023*Tienda!$L4023</f>
        <v>93.225999999999999</v>
      </c>
      <c r="N3640" s="3" t="s">
        <v>10040</v>
      </c>
      <c r="O3640" s="3" t="s">
        <v>10042</v>
      </c>
      <c r="P3640" s="17">
        <v>45871</v>
      </c>
      <c r="Q3640" s="4">
        <v>3</v>
      </c>
    </row>
    <row r="3641" spans="1:17" ht="30" x14ac:dyDescent="0.25">
      <c r="A3641" s="2" t="s">
        <v>1034</v>
      </c>
      <c r="B3641" s="3" t="s">
        <v>5015</v>
      </c>
      <c r="C3641" s="3">
        <v>37</v>
      </c>
      <c r="D3641" s="46" t="str">
        <f>IF(Tabla1[[#This Row],[EDAD]]&lt;=35,"Adultos jóvenes 18 - 35 años",IF(C3641&gt;=36,"Adultos mayores 36 años en adelante"))</f>
        <v>Adultos mayores 36 años en adelante</v>
      </c>
      <c r="E3641" s="3" t="s">
        <v>5023</v>
      </c>
      <c r="F3641" s="3" t="s">
        <v>5026</v>
      </c>
      <c r="G3641" s="3" t="s">
        <v>5032</v>
      </c>
      <c r="H3641" s="3" t="s">
        <v>6057</v>
      </c>
      <c r="I3641" s="17">
        <v>45817</v>
      </c>
      <c r="J3641" s="18">
        <f>YEAR(Tabla1[[#This Row],[FECHA DE COMPRA]])</f>
        <v>2025</v>
      </c>
      <c r="K3641" s="19">
        <v>42.29</v>
      </c>
      <c r="L3641" s="20">
        <v>0.3</v>
      </c>
      <c r="M3641" s="19">
        <f>Tienda!$K4025-Tienda!$K4025*Tienda!$L4025</f>
        <v>95.235000000000014</v>
      </c>
      <c r="N3641" s="3" t="s">
        <v>10040</v>
      </c>
      <c r="O3641" s="3" t="s">
        <v>10042</v>
      </c>
      <c r="P3641" s="17">
        <v>45907</v>
      </c>
      <c r="Q3641" s="4">
        <v>3</v>
      </c>
    </row>
    <row r="3642" spans="1:17" ht="30" x14ac:dyDescent="0.25">
      <c r="A3642" s="2" t="s">
        <v>1957</v>
      </c>
      <c r="B3642" s="3" t="s">
        <v>5015</v>
      </c>
      <c r="C3642" s="3">
        <v>53</v>
      </c>
      <c r="D3642" s="46" t="str">
        <f>IF(Tabla1[[#This Row],[EDAD]]&lt;=35,"Adultos jóvenes 18 - 35 años",IF(C3642&gt;=36,"Adultos mayores 36 años en adelante"))</f>
        <v>Adultos mayores 36 años en adelante</v>
      </c>
      <c r="E3642" s="3" t="s">
        <v>5017</v>
      </c>
      <c r="F3642" s="3" t="s">
        <v>5024</v>
      </c>
      <c r="G3642" s="3" t="s">
        <v>5031</v>
      </c>
      <c r="H3642" s="3" t="s">
        <v>6980</v>
      </c>
      <c r="I3642" s="17">
        <v>45816</v>
      </c>
      <c r="J3642" s="18">
        <f>YEAR(Tabla1[[#This Row],[FECHA DE COMPRA]])</f>
        <v>2025</v>
      </c>
      <c r="K3642" s="19">
        <v>61.16</v>
      </c>
      <c r="L3642" s="20">
        <v>0.1</v>
      </c>
      <c r="M3642" s="19">
        <f>Tienda!$K4027-Tienda!$K4027*Tienda!$L4027</f>
        <v>97.281000000000006</v>
      </c>
      <c r="N3642" s="3" t="s">
        <v>10040</v>
      </c>
      <c r="O3642" s="3" t="s">
        <v>10042</v>
      </c>
      <c r="P3642" s="17">
        <v>45906</v>
      </c>
      <c r="Q3642" s="4">
        <v>3</v>
      </c>
    </row>
    <row r="3643" spans="1:17" ht="30" x14ac:dyDescent="0.25">
      <c r="A3643" s="2" t="s">
        <v>1733</v>
      </c>
      <c r="B3643" s="3" t="s">
        <v>5016</v>
      </c>
      <c r="C3643" s="3">
        <v>43</v>
      </c>
      <c r="D3643" s="46" t="str">
        <f>IF(Tabla1[[#This Row],[EDAD]]&lt;=35,"Adultos jóvenes 18 - 35 años",IF(C3643&gt;=36,"Adultos mayores 36 años en adelante"))</f>
        <v>Adultos mayores 36 años en adelante</v>
      </c>
      <c r="E3643" s="3" t="s">
        <v>5023</v>
      </c>
      <c r="F3643" s="3" t="s">
        <v>5030</v>
      </c>
      <c r="G3643" s="3" t="s">
        <v>5036</v>
      </c>
      <c r="H3643" s="3" t="s">
        <v>6756</v>
      </c>
      <c r="I3643" s="17">
        <v>45826</v>
      </c>
      <c r="J3643" s="18">
        <f>YEAR(Tabla1[[#This Row],[FECHA DE COMPRA]])</f>
        <v>2025</v>
      </c>
      <c r="K3643" s="19">
        <v>115.26</v>
      </c>
      <c r="L3643" s="20">
        <v>0</v>
      </c>
      <c r="M3643" s="19">
        <f>Tienda!$K4030-Tienda!$K4030*Tienda!$L4030</f>
        <v>100.45</v>
      </c>
      <c r="N3643" s="3" t="s">
        <v>10040</v>
      </c>
      <c r="O3643" s="3" t="s">
        <v>10042</v>
      </c>
      <c r="P3643" s="17">
        <v>45916</v>
      </c>
      <c r="Q3643" s="4">
        <v>3</v>
      </c>
    </row>
    <row r="3644" spans="1:17" ht="30" x14ac:dyDescent="0.25">
      <c r="A3644" s="2" t="s">
        <v>4577</v>
      </c>
      <c r="B3644" s="3" t="s">
        <v>5015</v>
      </c>
      <c r="C3644" s="3">
        <v>44</v>
      </c>
      <c r="D3644" s="46" t="str">
        <f>IF(Tabla1[[#This Row],[EDAD]]&lt;=35,"Adultos jóvenes 18 - 35 años",IF(C3644&gt;=36,"Adultos mayores 36 años en adelante"))</f>
        <v>Adultos mayores 36 años en adelante</v>
      </c>
      <c r="E3644" s="3" t="s">
        <v>5022</v>
      </c>
      <c r="F3644" s="3" t="s">
        <v>5028</v>
      </c>
      <c r="G3644" s="3" t="s">
        <v>5031</v>
      </c>
      <c r="H3644" s="3" t="s">
        <v>9600</v>
      </c>
      <c r="I3644" s="17">
        <v>45837</v>
      </c>
      <c r="J3644" s="18">
        <f>YEAR(Tabla1[[#This Row],[FECHA DE COMPRA]])</f>
        <v>2025</v>
      </c>
      <c r="K3644" s="19">
        <v>119.11</v>
      </c>
      <c r="L3644" s="20">
        <v>0.3</v>
      </c>
      <c r="M3644" s="19">
        <f>Tienda!$K4031-Tienda!$K4031*Tienda!$L4031</f>
        <v>101.059</v>
      </c>
      <c r="N3644" s="3" t="s">
        <v>10040</v>
      </c>
      <c r="O3644" s="3" t="s">
        <v>10042</v>
      </c>
      <c r="P3644" s="17">
        <v>45927</v>
      </c>
      <c r="Q3644" s="4">
        <v>3</v>
      </c>
    </row>
    <row r="3645" spans="1:17" ht="30" x14ac:dyDescent="0.25">
      <c r="A3645" s="2" t="s">
        <v>31</v>
      </c>
      <c r="B3645" s="3" t="s">
        <v>5016</v>
      </c>
      <c r="C3645" s="3">
        <v>64</v>
      </c>
      <c r="D3645" s="46" t="str">
        <f>IF(Tabla1[[#This Row],[EDAD]]&lt;=35,"Adultos jóvenes 18 - 35 años",IF(C3645&gt;=36,"Adultos mayores 36 años en adelante"))</f>
        <v>Adultos mayores 36 años en adelante</v>
      </c>
      <c r="E3645" s="3" t="s">
        <v>5021</v>
      </c>
      <c r="F3645" s="3" t="s">
        <v>5027</v>
      </c>
      <c r="G3645" s="3" t="s">
        <v>5034</v>
      </c>
      <c r="H3645" s="3" t="s">
        <v>5054</v>
      </c>
      <c r="I3645" s="17">
        <v>45835</v>
      </c>
      <c r="J3645" s="18">
        <f>YEAR(Tabla1[[#This Row],[FECHA DE COMPRA]])</f>
        <v>2025</v>
      </c>
      <c r="K3645" s="19">
        <v>153.61000000000001</v>
      </c>
      <c r="L3645" s="20">
        <v>0</v>
      </c>
      <c r="M3645" s="19">
        <f>Tienda!$K4032-Tienda!$K4032*Tienda!$L4032</f>
        <v>101.64</v>
      </c>
      <c r="N3645" s="3" t="s">
        <v>10040</v>
      </c>
      <c r="O3645" s="3" t="s">
        <v>10042</v>
      </c>
      <c r="P3645" s="17">
        <v>45925</v>
      </c>
      <c r="Q3645" s="4">
        <v>3</v>
      </c>
    </row>
    <row r="3646" spans="1:17" ht="30" x14ac:dyDescent="0.25">
      <c r="A3646" s="2" t="s">
        <v>1780</v>
      </c>
      <c r="B3646" s="3" t="s">
        <v>5015</v>
      </c>
      <c r="C3646" s="3">
        <v>55</v>
      </c>
      <c r="D3646" s="46" t="str">
        <f>IF(Tabla1[[#This Row],[EDAD]]&lt;=35,"Adultos jóvenes 18 - 35 años",IF(C3646&gt;=36,"Adultos mayores 36 años en adelante"))</f>
        <v>Adultos mayores 36 años en adelante</v>
      </c>
      <c r="E3646" s="3" t="s">
        <v>5020</v>
      </c>
      <c r="F3646" s="3" t="s">
        <v>5030</v>
      </c>
      <c r="G3646" s="3" t="s">
        <v>5034</v>
      </c>
      <c r="H3646" s="3" t="s">
        <v>6803</v>
      </c>
      <c r="I3646" s="17">
        <v>45816</v>
      </c>
      <c r="J3646" s="18">
        <f>YEAR(Tabla1[[#This Row],[FECHA DE COMPRA]])</f>
        <v>2025</v>
      </c>
      <c r="K3646" s="19">
        <v>193.22</v>
      </c>
      <c r="L3646" s="20">
        <v>0.1</v>
      </c>
      <c r="M3646" s="19">
        <f>Tienda!$K4033-Tienda!$K4033*Tienda!$L4033</f>
        <v>103.13800000000001</v>
      </c>
      <c r="N3646" s="3" t="s">
        <v>10040</v>
      </c>
      <c r="O3646" s="3" t="s">
        <v>10042</v>
      </c>
      <c r="P3646" s="17">
        <v>45906</v>
      </c>
      <c r="Q3646" s="4">
        <v>3</v>
      </c>
    </row>
    <row r="3647" spans="1:17" ht="30" x14ac:dyDescent="0.25">
      <c r="A3647" s="2" t="s">
        <v>863</v>
      </c>
      <c r="B3647" s="3" t="s">
        <v>5015</v>
      </c>
      <c r="C3647" s="3">
        <v>63</v>
      </c>
      <c r="D3647" s="46" t="str">
        <f>IF(Tabla1[[#This Row],[EDAD]]&lt;=35,"Adultos jóvenes 18 - 35 años",IF(C3647&gt;=36,"Adultos mayores 36 años en adelante"))</f>
        <v>Adultos mayores 36 años en adelante</v>
      </c>
      <c r="E3647" s="3" t="s">
        <v>5023</v>
      </c>
      <c r="F3647" s="3" t="s">
        <v>5025</v>
      </c>
      <c r="G3647" s="3" t="s">
        <v>5033</v>
      </c>
      <c r="H3647" s="3" t="s">
        <v>5886</v>
      </c>
      <c r="I3647" s="17">
        <v>45812</v>
      </c>
      <c r="J3647" s="18">
        <f>YEAR(Tabla1[[#This Row],[FECHA DE COMPRA]])</f>
        <v>2025</v>
      </c>
      <c r="K3647" s="19">
        <v>193.34</v>
      </c>
      <c r="L3647" s="20">
        <v>0.1</v>
      </c>
      <c r="M3647" s="19">
        <f>Tienda!$K4034-Tienda!$K4034*Tienda!$L4034</f>
        <v>103.32</v>
      </c>
      <c r="N3647" s="3" t="s">
        <v>10040</v>
      </c>
      <c r="O3647" s="3" t="s">
        <v>10042</v>
      </c>
      <c r="P3647" s="17">
        <v>45902</v>
      </c>
      <c r="Q3647" s="4">
        <v>3</v>
      </c>
    </row>
    <row r="3648" spans="1:17" ht="30" x14ac:dyDescent="0.25">
      <c r="A3648" s="2" t="s">
        <v>1465</v>
      </c>
      <c r="B3648" s="3" t="s">
        <v>5016</v>
      </c>
      <c r="C3648" s="3">
        <v>37</v>
      </c>
      <c r="D3648" s="46" t="str">
        <f>IF(Tabla1[[#This Row],[EDAD]]&lt;=35,"Adultos jóvenes 18 - 35 años",IF(C3648&gt;=36,"Adultos mayores 36 años en adelante"))</f>
        <v>Adultos mayores 36 años en adelante</v>
      </c>
      <c r="E3648" s="3" t="s">
        <v>5019</v>
      </c>
      <c r="F3648" s="3" t="s">
        <v>5029</v>
      </c>
      <c r="G3648" s="3" t="s">
        <v>5036</v>
      </c>
      <c r="H3648" s="3" t="s">
        <v>6488</v>
      </c>
      <c r="I3648" s="17">
        <v>45844</v>
      </c>
      <c r="J3648" s="18">
        <f>YEAR(Tabla1[[#This Row],[FECHA DE COMPRA]])</f>
        <v>2025</v>
      </c>
      <c r="K3648" s="19">
        <v>21.19</v>
      </c>
      <c r="L3648" s="20">
        <v>0.2</v>
      </c>
      <c r="M3648" s="19">
        <f>Tienda!$K4035-Tienda!$K4035*Tienda!$L4035</f>
        <v>104.53</v>
      </c>
      <c r="N3648" s="3" t="s">
        <v>10040</v>
      </c>
      <c r="O3648" s="3" t="s">
        <v>10042</v>
      </c>
      <c r="P3648" s="17">
        <v>45934</v>
      </c>
      <c r="Q3648" s="4">
        <v>3</v>
      </c>
    </row>
    <row r="3649" spans="1:17" ht="30" x14ac:dyDescent="0.25">
      <c r="A3649" s="2" t="s">
        <v>672</v>
      </c>
      <c r="B3649" s="3" t="s">
        <v>5015</v>
      </c>
      <c r="C3649" s="3">
        <v>42</v>
      </c>
      <c r="D3649" s="46" t="str">
        <f>IF(Tabla1[[#This Row],[EDAD]]&lt;=35,"Adultos jóvenes 18 - 35 años",IF(C3649&gt;=36,"Adultos mayores 36 años en adelante"))</f>
        <v>Adultos mayores 36 años en adelante</v>
      </c>
      <c r="E3649" s="3" t="s">
        <v>5020</v>
      </c>
      <c r="F3649" s="3" t="s">
        <v>5025</v>
      </c>
      <c r="G3649" s="3" t="s">
        <v>5033</v>
      </c>
      <c r="H3649" s="3" t="s">
        <v>5695</v>
      </c>
      <c r="I3649" s="17">
        <v>45850</v>
      </c>
      <c r="J3649" s="18">
        <f>YEAR(Tabla1[[#This Row],[FECHA DE COMPRA]])</f>
        <v>2025</v>
      </c>
      <c r="K3649" s="19">
        <v>48.34</v>
      </c>
      <c r="L3649" s="20">
        <v>0.3</v>
      </c>
      <c r="M3649" s="19">
        <f>Tienda!$K4036-Tienda!$K4036*Tienda!$L4036</f>
        <v>105.46199999999999</v>
      </c>
      <c r="N3649" s="3" t="s">
        <v>10040</v>
      </c>
      <c r="O3649" s="3" t="s">
        <v>10042</v>
      </c>
      <c r="P3649" s="17">
        <v>45940</v>
      </c>
      <c r="Q3649" s="4">
        <v>3</v>
      </c>
    </row>
    <row r="3650" spans="1:17" ht="30" x14ac:dyDescent="0.25">
      <c r="A3650" s="2" t="s">
        <v>3288</v>
      </c>
      <c r="B3650" s="3" t="s">
        <v>5015</v>
      </c>
      <c r="C3650" s="3">
        <v>43</v>
      </c>
      <c r="D3650" s="46" t="str">
        <f>IF(Tabla1[[#This Row],[EDAD]]&lt;=35,"Adultos jóvenes 18 - 35 años",IF(C3650&gt;=36,"Adultos mayores 36 años en adelante"))</f>
        <v>Adultos mayores 36 años en adelante</v>
      </c>
      <c r="E3650" s="3" t="s">
        <v>5022</v>
      </c>
      <c r="F3650" s="3" t="s">
        <v>5026</v>
      </c>
      <c r="G3650" s="3" t="s">
        <v>5034</v>
      </c>
      <c r="H3650" s="3" t="s">
        <v>8311</v>
      </c>
      <c r="I3650" s="17">
        <v>45845</v>
      </c>
      <c r="J3650" s="18">
        <f>YEAR(Tabla1[[#This Row],[FECHA DE COMPRA]])</f>
        <v>2025</v>
      </c>
      <c r="K3650" s="19">
        <v>101.63</v>
      </c>
      <c r="L3650" s="20">
        <v>0.1</v>
      </c>
      <c r="M3650" s="19">
        <f>Tienda!$K4040-Tienda!$K4040*Tienda!$L4040</f>
        <v>107.36</v>
      </c>
      <c r="N3650" s="3" t="s">
        <v>10040</v>
      </c>
      <c r="O3650" s="3" t="s">
        <v>10042</v>
      </c>
      <c r="P3650" s="17">
        <v>45935</v>
      </c>
      <c r="Q3650" s="4">
        <v>3</v>
      </c>
    </row>
    <row r="3651" spans="1:17" ht="30" x14ac:dyDescent="0.25">
      <c r="A3651" s="2" t="s">
        <v>976</v>
      </c>
      <c r="B3651" s="3" t="s">
        <v>5016</v>
      </c>
      <c r="C3651" s="3">
        <v>62</v>
      </c>
      <c r="D3651" s="46" t="str">
        <f>IF(Tabla1[[#This Row],[EDAD]]&lt;=35,"Adultos jóvenes 18 - 35 años",IF(C3651&gt;=36,"Adultos mayores 36 años en adelante"))</f>
        <v>Adultos mayores 36 años en adelante</v>
      </c>
      <c r="E3651" s="3" t="s">
        <v>5023</v>
      </c>
      <c r="F3651" s="3" t="s">
        <v>5027</v>
      </c>
      <c r="G3651" s="3" t="s">
        <v>5032</v>
      </c>
      <c r="H3651" s="3" t="s">
        <v>5999</v>
      </c>
      <c r="I3651" s="17">
        <v>45845</v>
      </c>
      <c r="J3651" s="18">
        <f>YEAR(Tabla1[[#This Row],[FECHA DE COMPRA]])</f>
        <v>2025</v>
      </c>
      <c r="K3651" s="19">
        <v>105.26</v>
      </c>
      <c r="L3651" s="20">
        <v>0.2</v>
      </c>
      <c r="M3651" s="19">
        <f>Tienda!$K4042-Tienda!$K4042*Tienda!$L4042</f>
        <v>109.49</v>
      </c>
      <c r="N3651" s="3" t="s">
        <v>10040</v>
      </c>
      <c r="O3651" s="3" t="s">
        <v>10042</v>
      </c>
      <c r="P3651" s="17">
        <v>45935</v>
      </c>
      <c r="Q3651" s="4">
        <v>3</v>
      </c>
    </row>
    <row r="3652" spans="1:17" ht="30" x14ac:dyDescent="0.25">
      <c r="A3652" s="2" t="s">
        <v>4537</v>
      </c>
      <c r="B3652" s="3" t="s">
        <v>5016</v>
      </c>
      <c r="C3652" s="3">
        <v>60</v>
      </c>
      <c r="D3652" s="46" t="str">
        <f>IF(Tabla1[[#This Row],[EDAD]]&lt;=35,"Adultos jóvenes 18 - 35 años",IF(C3652&gt;=36,"Adultos mayores 36 años en adelante"))</f>
        <v>Adultos mayores 36 años en adelante</v>
      </c>
      <c r="E3652" s="3" t="s">
        <v>5017</v>
      </c>
      <c r="F3652" s="3" t="s">
        <v>5027</v>
      </c>
      <c r="G3652" s="3" t="s">
        <v>5036</v>
      </c>
      <c r="H3652" s="3" t="s">
        <v>9560</v>
      </c>
      <c r="I3652" s="17">
        <v>45852</v>
      </c>
      <c r="J3652" s="18">
        <f>YEAR(Tabla1[[#This Row],[FECHA DE COMPRA]])</f>
        <v>2025</v>
      </c>
      <c r="K3652" s="19">
        <v>130.22</v>
      </c>
      <c r="L3652" s="20">
        <v>0.1</v>
      </c>
      <c r="M3652" s="19">
        <f>Tienda!$K4044-Tienda!$K4044*Tienda!$L4044</f>
        <v>109.65</v>
      </c>
      <c r="N3652" s="3" t="s">
        <v>10040</v>
      </c>
      <c r="O3652" s="3" t="s">
        <v>10042</v>
      </c>
      <c r="P3652" s="17">
        <v>45942</v>
      </c>
      <c r="Q3652" s="4">
        <v>3</v>
      </c>
    </row>
    <row r="3653" spans="1:17" ht="30" x14ac:dyDescent="0.25">
      <c r="A3653" s="2" t="s">
        <v>308</v>
      </c>
      <c r="B3653" s="3" t="s">
        <v>5015</v>
      </c>
      <c r="C3653" s="3">
        <v>51</v>
      </c>
      <c r="D3653" s="46" t="str">
        <f>IF(Tabla1[[#This Row],[EDAD]]&lt;=35,"Adultos jóvenes 18 - 35 años",IF(C3653&gt;=36,"Adultos mayores 36 años en adelante"))</f>
        <v>Adultos mayores 36 años en adelante</v>
      </c>
      <c r="E3653" s="3" t="s">
        <v>5023</v>
      </c>
      <c r="F3653" s="3" t="s">
        <v>5030</v>
      </c>
      <c r="G3653" s="3" t="s">
        <v>5037</v>
      </c>
      <c r="H3653" s="3" t="s">
        <v>5331</v>
      </c>
      <c r="I3653" s="17">
        <v>45858</v>
      </c>
      <c r="J3653" s="18">
        <f>YEAR(Tabla1[[#This Row],[FECHA DE COMPRA]])</f>
        <v>2025</v>
      </c>
      <c r="K3653" s="19">
        <v>141.09</v>
      </c>
      <c r="L3653" s="20">
        <v>0</v>
      </c>
      <c r="M3653" s="19">
        <f>Tienda!$K4045-Tienda!$K4045*Tienda!$L4045</f>
        <v>110.075</v>
      </c>
      <c r="N3653" s="3" t="s">
        <v>10040</v>
      </c>
      <c r="O3653" s="3" t="s">
        <v>10042</v>
      </c>
      <c r="P3653" s="17">
        <v>45948</v>
      </c>
      <c r="Q3653" s="4">
        <v>3</v>
      </c>
    </row>
    <row r="3654" spans="1:17" ht="30" x14ac:dyDescent="0.25">
      <c r="A3654" s="2" t="s">
        <v>4075</v>
      </c>
      <c r="B3654" s="3" t="s">
        <v>5015</v>
      </c>
      <c r="C3654" s="3">
        <v>52</v>
      </c>
      <c r="D3654" s="46" t="str">
        <f>IF(Tabla1[[#This Row],[EDAD]]&lt;=35,"Adultos jóvenes 18 - 35 años",IF(C3654&gt;=36,"Adultos mayores 36 años en adelante"))</f>
        <v>Adultos mayores 36 años en adelante</v>
      </c>
      <c r="E3654" s="3" t="s">
        <v>5018</v>
      </c>
      <c r="F3654" s="3" t="s">
        <v>5027</v>
      </c>
      <c r="G3654" s="3" t="s">
        <v>5037</v>
      </c>
      <c r="H3654" s="3" t="s">
        <v>9098</v>
      </c>
      <c r="I3654" s="17">
        <v>45859</v>
      </c>
      <c r="J3654" s="18">
        <f>YEAR(Tabla1[[#This Row],[FECHA DE COMPRA]])</f>
        <v>2025</v>
      </c>
      <c r="K3654" s="19">
        <v>183.51</v>
      </c>
      <c r="L3654" s="20">
        <v>0.1</v>
      </c>
      <c r="M3654" s="19">
        <f>Tienda!$K4048-Tienda!$K4048*Tienda!$L4048</f>
        <v>112.13</v>
      </c>
      <c r="N3654" s="3" t="s">
        <v>10040</v>
      </c>
      <c r="O3654" s="3" t="s">
        <v>10042</v>
      </c>
      <c r="P3654" s="17">
        <v>45949</v>
      </c>
      <c r="Q3654" s="4">
        <v>3</v>
      </c>
    </row>
    <row r="3655" spans="1:17" ht="30" x14ac:dyDescent="0.25">
      <c r="A3655" s="2" t="s">
        <v>4919</v>
      </c>
      <c r="B3655" s="3" t="s">
        <v>5015</v>
      </c>
      <c r="C3655" s="3">
        <v>52</v>
      </c>
      <c r="D3655" s="46" t="str">
        <f>IF(Tabla1[[#This Row],[EDAD]]&lt;=35,"Adultos jóvenes 18 - 35 años",IF(C3655&gt;=36,"Adultos mayores 36 años en adelante"))</f>
        <v>Adultos mayores 36 años en adelante</v>
      </c>
      <c r="E3655" s="3" t="s">
        <v>5022</v>
      </c>
      <c r="F3655" s="3" t="s">
        <v>5028</v>
      </c>
      <c r="G3655" s="3" t="s">
        <v>5036</v>
      </c>
      <c r="H3655" s="3" t="s">
        <v>9942</v>
      </c>
      <c r="I3655" s="17">
        <v>45849</v>
      </c>
      <c r="J3655" s="18">
        <f>YEAR(Tabla1[[#This Row],[FECHA DE COMPRA]])</f>
        <v>2025</v>
      </c>
      <c r="K3655" s="19">
        <v>184.73</v>
      </c>
      <c r="L3655" s="20">
        <v>0.1</v>
      </c>
      <c r="M3655" s="19">
        <f>Tienda!$K4049-Tienda!$K4049*Tienda!$L4049</f>
        <v>113.43600000000001</v>
      </c>
      <c r="N3655" s="3" t="s">
        <v>10040</v>
      </c>
      <c r="O3655" s="3" t="s">
        <v>10042</v>
      </c>
      <c r="P3655" s="17">
        <v>45939</v>
      </c>
      <c r="Q3655" s="4">
        <v>3</v>
      </c>
    </row>
    <row r="3656" spans="1:17" ht="30" x14ac:dyDescent="0.25">
      <c r="A3656" s="2" t="s">
        <v>1198</v>
      </c>
      <c r="B3656" s="3" t="s">
        <v>5015</v>
      </c>
      <c r="C3656" s="3">
        <v>65</v>
      </c>
      <c r="D3656" s="46" t="str">
        <f>IF(Tabla1[[#This Row],[EDAD]]&lt;=35,"Adultos jóvenes 18 - 35 años",IF(C3656&gt;=36,"Adultos mayores 36 años en adelante"))</f>
        <v>Adultos mayores 36 años en adelante</v>
      </c>
      <c r="E3656" s="3" t="s">
        <v>5021</v>
      </c>
      <c r="F3656" s="3" t="s">
        <v>5026</v>
      </c>
      <c r="G3656" s="3" t="s">
        <v>5034</v>
      </c>
      <c r="H3656" s="3" t="s">
        <v>6221</v>
      </c>
      <c r="I3656" s="17">
        <v>45849</v>
      </c>
      <c r="J3656" s="18">
        <f>YEAR(Tabla1[[#This Row],[FECHA DE COMPRA]])</f>
        <v>2025</v>
      </c>
      <c r="K3656" s="19">
        <v>195.69</v>
      </c>
      <c r="L3656" s="20">
        <v>0.3</v>
      </c>
      <c r="M3656" s="19">
        <f>Tienda!$K4051-Tienda!$K4051*Tienda!$L4051</f>
        <v>117.01899999999999</v>
      </c>
      <c r="N3656" s="3" t="s">
        <v>10040</v>
      </c>
      <c r="O3656" s="3" t="s">
        <v>10042</v>
      </c>
      <c r="P3656" s="17">
        <v>45939</v>
      </c>
      <c r="Q3656" s="4">
        <v>3</v>
      </c>
    </row>
    <row r="3657" spans="1:17" ht="30" x14ac:dyDescent="0.25">
      <c r="A3657" s="2" t="s">
        <v>1072</v>
      </c>
      <c r="B3657" s="3" t="s">
        <v>5016</v>
      </c>
      <c r="C3657" s="3">
        <v>45</v>
      </c>
      <c r="D3657" s="46" t="str">
        <f>IF(Tabla1[[#This Row],[EDAD]]&lt;=35,"Adultos jóvenes 18 - 35 años",IF(C3657&gt;=36,"Adultos mayores 36 años en adelante"))</f>
        <v>Adultos mayores 36 años en adelante</v>
      </c>
      <c r="E3657" s="3" t="s">
        <v>5023</v>
      </c>
      <c r="F3657" s="3" t="s">
        <v>5024</v>
      </c>
      <c r="G3657" s="3" t="s">
        <v>5033</v>
      </c>
      <c r="H3657" s="3" t="s">
        <v>6095</v>
      </c>
      <c r="I3657" s="17">
        <v>45883</v>
      </c>
      <c r="J3657" s="18">
        <f>YEAR(Tabla1[[#This Row],[FECHA DE COMPRA]])</f>
        <v>2025</v>
      </c>
      <c r="K3657" s="19">
        <v>96.64</v>
      </c>
      <c r="L3657" s="20">
        <v>0.2</v>
      </c>
      <c r="M3657" s="19">
        <f>Tienda!$K4052-Tienda!$K4052*Tienda!$L4052</f>
        <v>117.38300000000001</v>
      </c>
      <c r="N3657" s="3" t="s">
        <v>10040</v>
      </c>
      <c r="O3657" s="3" t="s">
        <v>10042</v>
      </c>
      <c r="P3657" s="17">
        <v>45973</v>
      </c>
      <c r="Q3657" s="4">
        <v>3</v>
      </c>
    </row>
    <row r="3658" spans="1:17" ht="30" x14ac:dyDescent="0.25">
      <c r="A3658" s="2" t="s">
        <v>4513</v>
      </c>
      <c r="B3658" s="3" t="s">
        <v>5015</v>
      </c>
      <c r="C3658" s="3">
        <v>50</v>
      </c>
      <c r="D3658" s="46" t="str">
        <f>IF(Tabla1[[#This Row],[EDAD]]&lt;=35,"Adultos jóvenes 18 - 35 años",IF(C3658&gt;=36,"Adultos mayores 36 años en adelante"))</f>
        <v>Adultos mayores 36 años en adelante</v>
      </c>
      <c r="E3658" s="3" t="s">
        <v>5018</v>
      </c>
      <c r="F3658" s="3" t="s">
        <v>5027</v>
      </c>
      <c r="G3658" s="3" t="s">
        <v>5031</v>
      </c>
      <c r="H3658" s="3" t="s">
        <v>9536</v>
      </c>
      <c r="I3658" s="17">
        <v>45879</v>
      </c>
      <c r="J3658" s="18">
        <f>YEAR(Tabla1[[#This Row],[FECHA DE COMPRA]])</f>
        <v>2025</v>
      </c>
      <c r="K3658" s="19">
        <v>171.96</v>
      </c>
      <c r="L3658" s="20">
        <v>0</v>
      </c>
      <c r="M3658" s="19">
        <f>Tienda!$K4053-Tienda!$K4053*Tienda!$L4053</f>
        <v>119.09799999999998</v>
      </c>
      <c r="N3658" s="3" t="s">
        <v>10040</v>
      </c>
      <c r="O3658" s="3" t="s">
        <v>10042</v>
      </c>
      <c r="P3658" s="17">
        <v>45969</v>
      </c>
      <c r="Q3658" s="4">
        <v>3</v>
      </c>
    </row>
    <row r="3659" spans="1:17" ht="30" x14ac:dyDescent="0.25">
      <c r="A3659" s="2" t="s">
        <v>110</v>
      </c>
      <c r="B3659" s="3" t="s">
        <v>5016</v>
      </c>
      <c r="C3659" s="3">
        <v>64</v>
      </c>
      <c r="D3659" s="46" t="str">
        <f>IF(Tabla1[[#This Row],[EDAD]]&lt;=35,"Adultos jóvenes 18 - 35 años",IF(C3659&gt;=36,"Adultos mayores 36 años en adelante"))</f>
        <v>Adultos mayores 36 años en adelante</v>
      </c>
      <c r="E3659" s="3" t="s">
        <v>5017</v>
      </c>
      <c r="F3659" s="3" t="s">
        <v>5028</v>
      </c>
      <c r="G3659" s="3" t="s">
        <v>5031</v>
      </c>
      <c r="H3659" s="3" t="s">
        <v>5133</v>
      </c>
      <c r="I3659" s="17">
        <v>45882</v>
      </c>
      <c r="J3659" s="18">
        <f>YEAR(Tabla1[[#This Row],[FECHA DE COMPRA]])</f>
        <v>2025</v>
      </c>
      <c r="K3659" s="19">
        <v>182.92</v>
      </c>
      <c r="L3659" s="20">
        <v>0.3</v>
      </c>
      <c r="M3659" s="19">
        <f>Tienda!$K4054-Tienda!$K4054*Tienda!$L4054</f>
        <v>120.43799999999999</v>
      </c>
      <c r="N3659" s="3" t="s">
        <v>10040</v>
      </c>
      <c r="O3659" s="3" t="s">
        <v>10042</v>
      </c>
      <c r="P3659" s="17">
        <v>45972</v>
      </c>
      <c r="Q3659" s="4">
        <v>3</v>
      </c>
    </row>
    <row r="3660" spans="1:17" ht="30" x14ac:dyDescent="0.25">
      <c r="A3660" s="2" t="s">
        <v>3780</v>
      </c>
      <c r="B3660" s="3" t="s">
        <v>5016</v>
      </c>
      <c r="C3660" s="3">
        <v>54</v>
      </c>
      <c r="D3660" s="46" t="str">
        <f>IF(Tabla1[[#This Row],[EDAD]]&lt;=35,"Adultos jóvenes 18 - 35 años",IF(C3660&gt;=36,"Adultos mayores 36 años en adelante"))</f>
        <v>Adultos mayores 36 años en adelante</v>
      </c>
      <c r="E3660" s="3" t="s">
        <v>5017</v>
      </c>
      <c r="F3660" s="3" t="s">
        <v>5027</v>
      </c>
      <c r="G3660" s="3" t="s">
        <v>5034</v>
      </c>
      <c r="H3660" s="3" t="s">
        <v>8803</v>
      </c>
      <c r="I3660" s="17">
        <v>45875</v>
      </c>
      <c r="J3660" s="18">
        <f>YEAR(Tabla1[[#This Row],[FECHA DE COMPRA]])</f>
        <v>2025</v>
      </c>
      <c r="K3660" s="19">
        <v>193.75</v>
      </c>
      <c r="L3660" s="20">
        <v>0.3</v>
      </c>
      <c r="M3660" s="19">
        <f>Tienda!$K4055-Tienda!$K4055*Tienda!$L4055</f>
        <v>121.786</v>
      </c>
      <c r="N3660" s="3" t="s">
        <v>10040</v>
      </c>
      <c r="O3660" s="3" t="s">
        <v>10042</v>
      </c>
      <c r="P3660" s="17">
        <v>45965</v>
      </c>
      <c r="Q3660" s="4">
        <v>3</v>
      </c>
    </row>
    <row r="3661" spans="1:17" ht="30" x14ac:dyDescent="0.25">
      <c r="A3661" s="2" t="s">
        <v>3211</v>
      </c>
      <c r="B3661" s="3" t="s">
        <v>5015</v>
      </c>
      <c r="C3661" s="3">
        <v>57</v>
      </c>
      <c r="D3661" s="46" t="str">
        <f>IF(Tabla1[[#This Row],[EDAD]]&lt;=35,"Adultos jóvenes 18 - 35 años",IF(C3661&gt;=36,"Adultos mayores 36 años en adelante"))</f>
        <v>Adultos mayores 36 años en adelante</v>
      </c>
      <c r="E3661" s="3" t="s">
        <v>5022</v>
      </c>
      <c r="F3661" s="3" t="s">
        <v>5029</v>
      </c>
      <c r="G3661" s="3" t="s">
        <v>5034</v>
      </c>
      <c r="H3661" s="3" t="s">
        <v>8234</v>
      </c>
      <c r="I3661" s="17">
        <v>45847</v>
      </c>
      <c r="J3661" s="18">
        <f>YEAR(Tabla1[[#This Row],[FECHA DE COMPRA]])</f>
        <v>2025</v>
      </c>
      <c r="K3661" s="19">
        <v>124.71</v>
      </c>
      <c r="L3661" s="20">
        <v>0</v>
      </c>
      <c r="M3661" s="19">
        <f>Tienda!$K4059-Tienda!$K4059*Tienda!$L4059</f>
        <v>126.917</v>
      </c>
      <c r="N3661" s="3" t="s">
        <v>10040</v>
      </c>
      <c r="O3661" s="3" t="s">
        <v>10042</v>
      </c>
      <c r="P3661" s="17">
        <v>45937</v>
      </c>
      <c r="Q3661" s="4">
        <v>3</v>
      </c>
    </row>
    <row r="3662" spans="1:17" ht="30" x14ac:dyDescent="0.25">
      <c r="A3662" s="2" t="s">
        <v>4882</v>
      </c>
      <c r="B3662" s="3" t="s">
        <v>5015</v>
      </c>
      <c r="C3662" s="3">
        <v>56</v>
      </c>
      <c r="D3662" s="46" t="str">
        <f>IF(Tabla1[[#This Row],[EDAD]]&lt;=35,"Adultos jóvenes 18 - 35 años",IF(C3662&gt;=36,"Adultos mayores 36 años en adelante"))</f>
        <v>Adultos mayores 36 años en adelante</v>
      </c>
      <c r="E3662" s="3" t="s">
        <v>5020</v>
      </c>
      <c r="F3662" s="3" t="s">
        <v>5025</v>
      </c>
      <c r="G3662" s="3" t="s">
        <v>5032</v>
      </c>
      <c r="H3662" s="3" t="s">
        <v>9905</v>
      </c>
      <c r="I3662" s="17">
        <v>45850</v>
      </c>
      <c r="J3662" s="18">
        <f>YEAR(Tabla1[[#This Row],[FECHA DE COMPRA]])</f>
        <v>2025</v>
      </c>
      <c r="K3662" s="19">
        <v>129.43</v>
      </c>
      <c r="L3662" s="20">
        <v>0.1</v>
      </c>
      <c r="M3662" s="19">
        <f>Tienda!$K4060-Tienda!$K4060*Tienda!$L4060</f>
        <v>127.02200000000001</v>
      </c>
      <c r="N3662" s="3" t="s">
        <v>10040</v>
      </c>
      <c r="O3662" s="3" t="s">
        <v>10042</v>
      </c>
      <c r="P3662" s="17">
        <v>45940</v>
      </c>
      <c r="Q3662" s="4">
        <v>3</v>
      </c>
    </row>
    <row r="3663" spans="1:17" ht="30" x14ac:dyDescent="0.25">
      <c r="A3663" s="2" t="s">
        <v>4265</v>
      </c>
      <c r="B3663" s="3" t="s">
        <v>5016</v>
      </c>
      <c r="C3663" s="3">
        <v>40</v>
      </c>
      <c r="D3663" s="46" t="str">
        <f>IF(Tabla1[[#This Row],[EDAD]]&lt;=35,"Adultos jóvenes 18 - 35 años",IF(C3663&gt;=36,"Adultos mayores 36 años en adelante"))</f>
        <v>Adultos mayores 36 años en adelante</v>
      </c>
      <c r="E3663" s="3" t="s">
        <v>5021</v>
      </c>
      <c r="F3663" s="3" t="s">
        <v>5028</v>
      </c>
      <c r="G3663" s="3" t="s">
        <v>5035</v>
      </c>
      <c r="H3663" s="3" t="s">
        <v>9288</v>
      </c>
      <c r="I3663" s="17">
        <v>45853</v>
      </c>
      <c r="J3663" s="18">
        <f>YEAR(Tabla1[[#This Row],[FECHA DE COMPRA]])</f>
        <v>2025</v>
      </c>
      <c r="K3663" s="19">
        <v>199.01</v>
      </c>
      <c r="L3663" s="20">
        <v>0.2</v>
      </c>
      <c r="M3663" s="19">
        <f>Tienda!$K4061-Tienda!$K4061*Tienda!$L4061</f>
        <v>127.24199999999999</v>
      </c>
      <c r="N3663" s="3" t="s">
        <v>10040</v>
      </c>
      <c r="O3663" s="3" t="s">
        <v>10042</v>
      </c>
      <c r="P3663" s="17">
        <v>45943</v>
      </c>
      <c r="Q3663" s="4">
        <v>3</v>
      </c>
    </row>
    <row r="3664" spans="1:17" ht="30" x14ac:dyDescent="0.25">
      <c r="A3664" s="2" t="s">
        <v>3838</v>
      </c>
      <c r="B3664" s="3" t="s">
        <v>5015</v>
      </c>
      <c r="C3664" s="3">
        <v>57</v>
      </c>
      <c r="D3664" s="46" t="str">
        <f>IF(Tabla1[[#This Row],[EDAD]]&lt;=35,"Adultos jóvenes 18 - 35 años",IF(C3664&gt;=36,"Adultos mayores 36 años en adelante"))</f>
        <v>Adultos mayores 36 años en adelante</v>
      </c>
      <c r="E3664" s="3" t="s">
        <v>5018</v>
      </c>
      <c r="F3664" s="3" t="s">
        <v>5027</v>
      </c>
      <c r="G3664" s="3" t="s">
        <v>5034</v>
      </c>
      <c r="H3664" s="3" t="s">
        <v>8861</v>
      </c>
      <c r="I3664" s="17">
        <v>45872</v>
      </c>
      <c r="J3664" s="18">
        <f>YEAR(Tabla1[[#This Row],[FECHA DE COMPRA]])</f>
        <v>2025</v>
      </c>
      <c r="K3664" s="19">
        <v>132.13</v>
      </c>
      <c r="L3664" s="20">
        <v>0.1</v>
      </c>
      <c r="M3664" s="19">
        <f>Tienda!$K4062-Tienda!$K4062*Tienda!$L4062</f>
        <v>129.88500000000002</v>
      </c>
      <c r="N3664" s="3" t="s">
        <v>10040</v>
      </c>
      <c r="O3664" s="3" t="s">
        <v>10042</v>
      </c>
      <c r="P3664" s="17">
        <v>45962</v>
      </c>
      <c r="Q3664" s="4">
        <v>3</v>
      </c>
    </row>
    <row r="3665" spans="1:17" ht="30" x14ac:dyDescent="0.25">
      <c r="A3665" s="2" t="s">
        <v>2881</v>
      </c>
      <c r="B3665" s="3" t="s">
        <v>5016</v>
      </c>
      <c r="C3665" s="3">
        <v>49</v>
      </c>
      <c r="D3665" s="46" t="str">
        <f>IF(Tabla1[[#This Row],[EDAD]]&lt;=35,"Adultos jóvenes 18 - 35 años",IF(C3665&gt;=36,"Adultos mayores 36 años en adelante"))</f>
        <v>Adultos mayores 36 años en adelante</v>
      </c>
      <c r="E3665" s="3" t="s">
        <v>5019</v>
      </c>
      <c r="F3665" s="3" t="s">
        <v>5027</v>
      </c>
      <c r="G3665" s="3" t="s">
        <v>5034</v>
      </c>
      <c r="H3665" s="3" t="s">
        <v>7904</v>
      </c>
      <c r="I3665" s="17">
        <v>45885</v>
      </c>
      <c r="J3665" s="18">
        <f>YEAR(Tabla1[[#This Row],[FECHA DE COMPRA]])</f>
        <v>2025</v>
      </c>
      <c r="K3665" s="19">
        <v>137.57</v>
      </c>
      <c r="L3665" s="20">
        <v>0.3</v>
      </c>
      <c r="M3665" s="19">
        <f>Tienda!$K4063-Tienda!$K4063*Tienda!$L4063</f>
        <v>129.91999999999999</v>
      </c>
      <c r="N3665" s="3" t="s">
        <v>10040</v>
      </c>
      <c r="O3665" s="3" t="s">
        <v>10042</v>
      </c>
      <c r="P3665" s="17">
        <v>45975</v>
      </c>
      <c r="Q3665" s="4">
        <v>3</v>
      </c>
    </row>
    <row r="3666" spans="1:17" ht="30" x14ac:dyDescent="0.25">
      <c r="A3666" s="2" t="s">
        <v>1037</v>
      </c>
      <c r="B3666" s="3" t="s">
        <v>5015</v>
      </c>
      <c r="C3666" s="3">
        <v>51</v>
      </c>
      <c r="D3666" s="46" t="str">
        <f>IF(Tabla1[[#This Row],[EDAD]]&lt;=35,"Adultos jóvenes 18 - 35 años",IF(C3666&gt;=36,"Adultos mayores 36 años en adelante"))</f>
        <v>Adultos mayores 36 años en adelante</v>
      </c>
      <c r="E3666" s="3" t="s">
        <v>5022</v>
      </c>
      <c r="F3666" s="3" t="s">
        <v>5025</v>
      </c>
      <c r="G3666" s="3" t="s">
        <v>5031</v>
      </c>
      <c r="H3666" s="3" t="s">
        <v>6060</v>
      </c>
      <c r="I3666" s="17">
        <v>45883</v>
      </c>
      <c r="J3666" s="18">
        <f>YEAR(Tabla1[[#This Row],[FECHA DE COMPRA]])</f>
        <v>2025</v>
      </c>
      <c r="K3666" s="19">
        <v>156.31</v>
      </c>
      <c r="L3666" s="20">
        <v>0</v>
      </c>
      <c r="M3666" s="19">
        <f>Tienda!$K4064-Tienda!$K4064*Tienda!$L4064</f>
        <v>130.29599999999999</v>
      </c>
      <c r="N3666" s="3" t="s">
        <v>10040</v>
      </c>
      <c r="O3666" s="3" t="s">
        <v>10042</v>
      </c>
      <c r="P3666" s="17">
        <v>45973</v>
      </c>
      <c r="Q3666" s="4">
        <v>3</v>
      </c>
    </row>
    <row r="3667" spans="1:17" ht="30" x14ac:dyDescent="0.25">
      <c r="A3667" s="2" t="s">
        <v>2354</v>
      </c>
      <c r="B3667" s="3" t="s">
        <v>5015</v>
      </c>
      <c r="C3667" s="3">
        <v>44</v>
      </c>
      <c r="D3667" s="46" t="str">
        <f>IF(Tabla1[[#This Row],[EDAD]]&lt;=35,"Adultos jóvenes 18 - 35 años",IF(C3667&gt;=36,"Adultos mayores 36 años en adelante"))</f>
        <v>Adultos mayores 36 años en adelante</v>
      </c>
      <c r="E3667" s="3" t="s">
        <v>5022</v>
      </c>
      <c r="F3667" s="3" t="s">
        <v>5024</v>
      </c>
      <c r="G3667" s="3" t="s">
        <v>5032</v>
      </c>
      <c r="H3667" s="3" t="s">
        <v>7377</v>
      </c>
      <c r="I3667" s="17">
        <v>45662</v>
      </c>
      <c r="J3667" s="18">
        <f>YEAR(Tabla1[[#This Row],[FECHA DE COMPRA]])</f>
        <v>2025</v>
      </c>
      <c r="K3667" s="19">
        <v>41.37</v>
      </c>
      <c r="L3667" s="20">
        <v>0</v>
      </c>
      <c r="M3667" s="19">
        <f>Tienda!$K4067-Tienda!$K4067*Tienda!$L4067</f>
        <v>134.24600000000001</v>
      </c>
      <c r="N3667" s="3" t="s">
        <v>10040</v>
      </c>
      <c r="O3667" s="3" t="s">
        <v>10042</v>
      </c>
      <c r="P3667" s="17">
        <v>45842</v>
      </c>
      <c r="Q3667" s="4">
        <v>6</v>
      </c>
    </row>
    <row r="3668" spans="1:17" ht="30" x14ac:dyDescent="0.25">
      <c r="A3668" s="2" t="s">
        <v>1112</v>
      </c>
      <c r="B3668" s="3" t="s">
        <v>5015</v>
      </c>
      <c r="C3668" s="3">
        <v>56</v>
      </c>
      <c r="D3668" s="46" t="str">
        <f>IF(Tabla1[[#This Row],[EDAD]]&lt;=35,"Adultos jóvenes 18 - 35 años",IF(C3668&gt;=36,"Adultos mayores 36 años en adelante"))</f>
        <v>Adultos mayores 36 años en adelante</v>
      </c>
      <c r="E3668" s="3" t="s">
        <v>5022</v>
      </c>
      <c r="F3668" s="3" t="s">
        <v>5024</v>
      </c>
      <c r="G3668" s="3" t="s">
        <v>5037</v>
      </c>
      <c r="H3668" s="3" t="s">
        <v>6135</v>
      </c>
      <c r="I3668" s="17">
        <v>45677</v>
      </c>
      <c r="J3668" s="18">
        <f>YEAR(Tabla1[[#This Row],[FECHA DE COMPRA]])</f>
        <v>2025</v>
      </c>
      <c r="K3668" s="19">
        <v>74.41</v>
      </c>
      <c r="L3668" s="20">
        <v>0.2</v>
      </c>
      <c r="M3668" s="19">
        <f>Tienda!$K4069-Tienda!$K4069*Tienda!$L4069</f>
        <v>136.15199999999999</v>
      </c>
      <c r="N3668" s="3" t="s">
        <v>10040</v>
      </c>
      <c r="O3668" s="3" t="s">
        <v>10042</v>
      </c>
      <c r="P3668" s="17">
        <v>45857</v>
      </c>
      <c r="Q3668" s="4">
        <v>6</v>
      </c>
    </row>
    <row r="3669" spans="1:17" ht="30" x14ac:dyDescent="0.25">
      <c r="A3669" s="2" t="s">
        <v>1677</v>
      </c>
      <c r="B3669" s="3" t="s">
        <v>5015</v>
      </c>
      <c r="C3669" s="3">
        <v>59</v>
      </c>
      <c r="D3669" s="46" t="str">
        <f>IF(Tabla1[[#This Row],[EDAD]]&lt;=35,"Adultos jóvenes 18 - 35 años",IF(C3669&gt;=36,"Adultos mayores 36 años en adelante"))</f>
        <v>Adultos mayores 36 años en adelante</v>
      </c>
      <c r="E3669" s="3" t="s">
        <v>5019</v>
      </c>
      <c r="F3669" s="3" t="s">
        <v>5028</v>
      </c>
      <c r="G3669" s="3" t="s">
        <v>5037</v>
      </c>
      <c r="H3669" s="3" t="s">
        <v>6700</v>
      </c>
      <c r="I3669" s="17">
        <v>45701</v>
      </c>
      <c r="J3669" s="18">
        <f>YEAR(Tabla1[[#This Row],[FECHA DE COMPRA]])</f>
        <v>2025</v>
      </c>
      <c r="K3669" s="19">
        <v>112.69</v>
      </c>
      <c r="L3669" s="20">
        <v>0.3</v>
      </c>
      <c r="M3669" s="19">
        <f>Tienda!$K4070-Tienda!$K4070*Tienda!$L4070</f>
        <v>136.184</v>
      </c>
      <c r="N3669" s="3" t="s">
        <v>10040</v>
      </c>
      <c r="O3669" s="3" t="s">
        <v>10042</v>
      </c>
      <c r="P3669" s="17">
        <v>45842</v>
      </c>
      <c r="Q3669" s="4">
        <v>6</v>
      </c>
    </row>
    <row r="3670" spans="1:17" ht="30" x14ac:dyDescent="0.25">
      <c r="A3670" s="2" t="s">
        <v>1374</v>
      </c>
      <c r="B3670" s="3" t="s">
        <v>5015</v>
      </c>
      <c r="C3670" s="3">
        <v>41</v>
      </c>
      <c r="D3670" s="46" t="str">
        <f>IF(Tabla1[[#This Row],[EDAD]]&lt;=35,"Adultos jóvenes 18 - 35 años",IF(C3670&gt;=36,"Adultos mayores 36 años en adelante"))</f>
        <v>Adultos mayores 36 años en adelante</v>
      </c>
      <c r="E3670" s="3" t="s">
        <v>5019</v>
      </c>
      <c r="F3670" s="3" t="s">
        <v>5029</v>
      </c>
      <c r="G3670" s="3" t="s">
        <v>5033</v>
      </c>
      <c r="H3670" s="3" t="s">
        <v>6397</v>
      </c>
      <c r="I3670" s="17">
        <v>45659</v>
      </c>
      <c r="J3670" s="18">
        <f>YEAR(Tabla1[[#This Row],[FECHA DE COMPRA]])</f>
        <v>2025</v>
      </c>
      <c r="K3670" s="19">
        <v>130.86000000000001</v>
      </c>
      <c r="L3670" s="20">
        <v>0.2</v>
      </c>
      <c r="M3670" s="19">
        <f>Tienda!$K4071-Tienda!$K4071*Tienda!$L4071</f>
        <v>136.40799999999999</v>
      </c>
      <c r="N3670" s="3" t="s">
        <v>10040</v>
      </c>
      <c r="O3670" s="3" t="s">
        <v>10042</v>
      </c>
      <c r="P3670" s="17">
        <v>45839</v>
      </c>
      <c r="Q3670" s="4">
        <v>6</v>
      </c>
    </row>
    <row r="3671" spans="1:17" ht="30" x14ac:dyDescent="0.25">
      <c r="A3671" s="2" t="s">
        <v>2284</v>
      </c>
      <c r="B3671" s="3" t="s">
        <v>5015</v>
      </c>
      <c r="C3671" s="3">
        <v>62</v>
      </c>
      <c r="D3671" s="46" t="str">
        <f>IF(Tabla1[[#This Row],[EDAD]]&lt;=35,"Adultos jóvenes 18 - 35 años",IF(C3671&gt;=36,"Adultos mayores 36 años en adelante"))</f>
        <v>Adultos mayores 36 años en adelante</v>
      </c>
      <c r="E3671" s="3" t="s">
        <v>5022</v>
      </c>
      <c r="F3671" s="3" t="s">
        <v>5024</v>
      </c>
      <c r="G3671" s="3" t="s">
        <v>5035</v>
      </c>
      <c r="H3671" s="3" t="s">
        <v>7307</v>
      </c>
      <c r="I3671" s="17">
        <v>45688</v>
      </c>
      <c r="J3671" s="18">
        <f>YEAR(Tabla1[[#This Row],[FECHA DE COMPRA]])</f>
        <v>2025</v>
      </c>
      <c r="K3671" s="19">
        <v>132.38999999999999</v>
      </c>
      <c r="L3671" s="20">
        <v>0</v>
      </c>
      <c r="M3671" s="19">
        <f>Tienda!$K4072-Tienda!$K4072*Tienda!$L4072</f>
        <v>136.52100000000002</v>
      </c>
      <c r="N3671" s="3" t="s">
        <v>10040</v>
      </c>
      <c r="O3671" s="3" t="s">
        <v>10042</v>
      </c>
      <c r="P3671" s="17">
        <v>45868</v>
      </c>
      <c r="Q3671" s="4">
        <v>6</v>
      </c>
    </row>
    <row r="3672" spans="1:17" ht="30" x14ac:dyDescent="0.25">
      <c r="A3672" s="2" t="s">
        <v>3777</v>
      </c>
      <c r="B3672" s="3" t="s">
        <v>5016</v>
      </c>
      <c r="C3672" s="3">
        <v>46</v>
      </c>
      <c r="D3672" s="46" t="str">
        <f>IF(Tabla1[[#This Row],[EDAD]]&lt;=35,"Adultos jóvenes 18 - 35 años",IF(C3672&gt;=36,"Adultos mayores 36 años en adelante"))</f>
        <v>Adultos mayores 36 años en adelante</v>
      </c>
      <c r="E3672" s="3" t="s">
        <v>5023</v>
      </c>
      <c r="F3672" s="3" t="s">
        <v>5028</v>
      </c>
      <c r="G3672" s="3" t="s">
        <v>5031</v>
      </c>
      <c r="H3672" s="3" t="s">
        <v>8800</v>
      </c>
      <c r="I3672" s="17">
        <v>45681</v>
      </c>
      <c r="J3672" s="18">
        <f>YEAR(Tabla1[[#This Row],[FECHA DE COMPRA]])</f>
        <v>2025</v>
      </c>
      <c r="K3672" s="19">
        <v>171.96</v>
      </c>
      <c r="L3672" s="20">
        <v>0.1</v>
      </c>
      <c r="M3672" s="19">
        <f>Tienda!$K4073-Tienda!$K4073*Tienda!$L4073</f>
        <v>137.47499999999999</v>
      </c>
      <c r="N3672" s="3" t="s">
        <v>10040</v>
      </c>
      <c r="O3672" s="3" t="s">
        <v>10042</v>
      </c>
      <c r="P3672" s="17">
        <v>45861</v>
      </c>
      <c r="Q3672" s="4">
        <v>6</v>
      </c>
    </row>
    <row r="3673" spans="1:17" ht="30" x14ac:dyDescent="0.25">
      <c r="A3673" s="2" t="s">
        <v>2659</v>
      </c>
      <c r="B3673" s="3" t="s">
        <v>5016</v>
      </c>
      <c r="C3673" s="3">
        <v>43</v>
      </c>
      <c r="D3673" s="46" t="str">
        <f>IF(Tabla1[[#This Row],[EDAD]]&lt;=35,"Adultos jóvenes 18 - 35 años",IF(C3673&gt;=36,"Adultos mayores 36 años en adelante"))</f>
        <v>Adultos mayores 36 años en adelante</v>
      </c>
      <c r="E3673" s="3" t="s">
        <v>5019</v>
      </c>
      <c r="F3673" s="3" t="s">
        <v>5025</v>
      </c>
      <c r="G3673" s="3" t="s">
        <v>5035</v>
      </c>
      <c r="H3673" s="3" t="s">
        <v>7682</v>
      </c>
      <c r="I3673" s="17">
        <v>45678</v>
      </c>
      <c r="J3673" s="18">
        <f>YEAR(Tabla1[[#This Row],[FECHA DE COMPRA]])</f>
        <v>2025</v>
      </c>
      <c r="K3673" s="19">
        <v>177.15</v>
      </c>
      <c r="L3673" s="20">
        <v>0.1</v>
      </c>
      <c r="M3673" s="19">
        <f>Tienda!$K4074-Tienda!$K4074*Tienda!$L4074</f>
        <v>137.648</v>
      </c>
      <c r="N3673" s="3" t="s">
        <v>10040</v>
      </c>
      <c r="O3673" s="3" t="s">
        <v>10042</v>
      </c>
      <c r="P3673" s="17">
        <v>45858</v>
      </c>
      <c r="Q3673" s="4">
        <v>6</v>
      </c>
    </row>
    <row r="3674" spans="1:17" ht="30" x14ac:dyDescent="0.25">
      <c r="A3674" s="2" t="s">
        <v>2986</v>
      </c>
      <c r="B3674" s="3" t="s">
        <v>5016</v>
      </c>
      <c r="C3674" s="3">
        <v>42</v>
      </c>
      <c r="D3674" s="46" t="str">
        <f>IF(Tabla1[[#This Row],[EDAD]]&lt;=35,"Adultos jóvenes 18 - 35 años",IF(C3674&gt;=36,"Adultos mayores 36 años en adelante"))</f>
        <v>Adultos mayores 36 años en adelante</v>
      </c>
      <c r="E3674" s="3" t="s">
        <v>5023</v>
      </c>
      <c r="F3674" s="3" t="s">
        <v>5027</v>
      </c>
      <c r="G3674" s="3" t="s">
        <v>5035</v>
      </c>
      <c r="H3674" s="3" t="s">
        <v>8009</v>
      </c>
      <c r="I3674" s="17">
        <v>45693</v>
      </c>
      <c r="J3674" s="18">
        <f>YEAR(Tabla1[[#This Row],[FECHA DE COMPRA]])</f>
        <v>2025</v>
      </c>
      <c r="K3674" s="19">
        <v>79.900000000000006</v>
      </c>
      <c r="L3674" s="20">
        <v>0.2</v>
      </c>
      <c r="M3674" s="19">
        <f>Tienda!$K4076-Tienda!$K4076*Tienda!$L4076</f>
        <v>138.608</v>
      </c>
      <c r="N3674" s="3" t="s">
        <v>10040</v>
      </c>
      <c r="O3674" s="3" t="s">
        <v>10042</v>
      </c>
      <c r="P3674" s="17">
        <v>45873</v>
      </c>
      <c r="Q3674" s="4">
        <v>6</v>
      </c>
    </row>
    <row r="3675" spans="1:17" ht="30" x14ac:dyDescent="0.25">
      <c r="A3675" s="2" t="s">
        <v>664</v>
      </c>
      <c r="B3675" s="3" t="s">
        <v>5015</v>
      </c>
      <c r="C3675" s="3">
        <v>48</v>
      </c>
      <c r="D3675" s="46" t="str">
        <f>IF(Tabla1[[#This Row],[EDAD]]&lt;=35,"Adultos jóvenes 18 - 35 años",IF(C3675&gt;=36,"Adultos mayores 36 años en adelante"))</f>
        <v>Adultos mayores 36 años en adelante</v>
      </c>
      <c r="E3675" s="3" t="s">
        <v>5017</v>
      </c>
      <c r="F3675" s="3" t="s">
        <v>5027</v>
      </c>
      <c r="G3675" s="3" t="s">
        <v>5033</v>
      </c>
      <c r="H3675" s="3" t="s">
        <v>5687</v>
      </c>
      <c r="I3675" s="17">
        <v>45695</v>
      </c>
      <c r="J3675" s="18">
        <f>YEAR(Tabla1[[#This Row],[FECHA DE COMPRA]])</f>
        <v>2025</v>
      </c>
      <c r="K3675" s="19">
        <v>191.03</v>
      </c>
      <c r="L3675" s="20">
        <v>0</v>
      </c>
      <c r="M3675" s="19">
        <f>Tienda!$K4077-Tienda!$K4077*Tienda!$L4077</f>
        <v>138.90100000000001</v>
      </c>
      <c r="N3675" s="3" t="s">
        <v>10040</v>
      </c>
      <c r="O3675" s="3" t="s">
        <v>10042</v>
      </c>
      <c r="P3675" s="17">
        <v>45875</v>
      </c>
      <c r="Q3675" s="4">
        <v>6</v>
      </c>
    </row>
    <row r="3676" spans="1:17" ht="30" x14ac:dyDescent="0.25">
      <c r="A3676" s="2" t="s">
        <v>4019</v>
      </c>
      <c r="B3676" s="3" t="s">
        <v>5016</v>
      </c>
      <c r="C3676" s="3">
        <v>46</v>
      </c>
      <c r="D3676" s="46" t="str">
        <f>IF(Tabla1[[#This Row],[EDAD]]&lt;=35,"Adultos jóvenes 18 - 35 años",IF(C3676&gt;=36,"Adultos mayores 36 años en adelante"))</f>
        <v>Adultos mayores 36 años en adelante</v>
      </c>
      <c r="E3676" s="3" t="s">
        <v>5021</v>
      </c>
      <c r="F3676" s="3" t="s">
        <v>5029</v>
      </c>
      <c r="G3676" s="3" t="s">
        <v>5033</v>
      </c>
      <c r="H3676" s="3" t="s">
        <v>9042</v>
      </c>
      <c r="I3676" s="17">
        <v>45696</v>
      </c>
      <c r="J3676" s="18">
        <f>YEAR(Tabla1[[#This Row],[FECHA DE COMPRA]])</f>
        <v>2025</v>
      </c>
      <c r="K3676" s="19">
        <v>138.37</v>
      </c>
      <c r="L3676" s="20">
        <v>0</v>
      </c>
      <c r="M3676" s="19">
        <f>Tienda!$K4078-Tienda!$K4078*Tienda!$L4078</f>
        <v>139.648</v>
      </c>
      <c r="N3676" s="3" t="s">
        <v>10040</v>
      </c>
      <c r="O3676" s="3" t="s">
        <v>10042</v>
      </c>
      <c r="P3676" s="17">
        <v>45876</v>
      </c>
      <c r="Q3676" s="4">
        <v>6</v>
      </c>
    </row>
    <row r="3677" spans="1:17" ht="30" x14ac:dyDescent="0.25">
      <c r="A3677" s="2" t="s">
        <v>2922</v>
      </c>
      <c r="B3677" s="3" t="s">
        <v>5015</v>
      </c>
      <c r="C3677" s="3">
        <v>64</v>
      </c>
      <c r="D3677" s="46" t="str">
        <f>IF(Tabla1[[#This Row],[EDAD]]&lt;=35,"Adultos jóvenes 18 - 35 años",IF(C3677&gt;=36,"Adultos mayores 36 años en adelante"))</f>
        <v>Adultos mayores 36 años en adelante</v>
      </c>
      <c r="E3677" s="3" t="s">
        <v>5017</v>
      </c>
      <c r="F3677" s="3" t="s">
        <v>5028</v>
      </c>
      <c r="G3677" s="3" t="s">
        <v>5036</v>
      </c>
      <c r="H3677" s="3" t="s">
        <v>7945</v>
      </c>
      <c r="I3677" s="17">
        <v>45697</v>
      </c>
      <c r="J3677" s="18">
        <f>YEAR(Tabla1[[#This Row],[FECHA DE COMPRA]])</f>
        <v>2025</v>
      </c>
      <c r="K3677" s="19">
        <v>88.82</v>
      </c>
      <c r="L3677" s="20">
        <v>0.3</v>
      </c>
      <c r="M3677" s="19">
        <f>Tienda!$K4079-Tienda!$K4079*Tienda!$L4079</f>
        <v>141.35999999999999</v>
      </c>
      <c r="N3677" s="3" t="s">
        <v>10040</v>
      </c>
      <c r="O3677" s="3" t="s">
        <v>10042</v>
      </c>
      <c r="P3677" s="17">
        <v>45877</v>
      </c>
      <c r="Q3677" s="4">
        <v>6</v>
      </c>
    </row>
    <row r="3678" spans="1:17" ht="30" x14ac:dyDescent="0.25">
      <c r="A3678" s="2" t="s">
        <v>736</v>
      </c>
      <c r="B3678" s="3" t="s">
        <v>5015</v>
      </c>
      <c r="C3678" s="3">
        <v>37</v>
      </c>
      <c r="D3678" s="46" t="str">
        <f>IF(Tabla1[[#This Row],[EDAD]]&lt;=35,"Adultos jóvenes 18 - 35 años",IF(C3678&gt;=36,"Adultos mayores 36 años en adelante"))</f>
        <v>Adultos mayores 36 años en adelante</v>
      </c>
      <c r="E3678" s="3" t="s">
        <v>5023</v>
      </c>
      <c r="F3678" s="3" t="s">
        <v>5026</v>
      </c>
      <c r="G3678" s="3" t="s">
        <v>5032</v>
      </c>
      <c r="H3678" s="3" t="s">
        <v>5759</v>
      </c>
      <c r="I3678" s="17">
        <v>45700</v>
      </c>
      <c r="J3678" s="18">
        <f>YEAR(Tabla1[[#This Row],[FECHA DE COMPRA]])</f>
        <v>2025</v>
      </c>
      <c r="K3678" s="19">
        <v>73.760000000000005</v>
      </c>
      <c r="L3678" s="20">
        <v>0.3</v>
      </c>
      <c r="M3678" s="19">
        <f>Tienda!$K4082-Tienda!$K4082*Tienda!$L4082</f>
        <v>147.55000000000001</v>
      </c>
      <c r="N3678" s="3" t="s">
        <v>10040</v>
      </c>
      <c r="O3678" s="3" t="s">
        <v>10042</v>
      </c>
      <c r="P3678" s="17">
        <v>45880</v>
      </c>
      <c r="Q3678" s="4">
        <v>6</v>
      </c>
    </row>
    <row r="3679" spans="1:17" ht="30" x14ac:dyDescent="0.25">
      <c r="A3679" s="2" t="s">
        <v>4573</v>
      </c>
      <c r="B3679" s="3" t="s">
        <v>5015</v>
      </c>
      <c r="C3679" s="3">
        <v>51</v>
      </c>
      <c r="D3679" s="46" t="str">
        <f>IF(Tabla1[[#This Row],[EDAD]]&lt;=35,"Adultos jóvenes 18 - 35 años",IF(C3679&gt;=36,"Adultos mayores 36 años en adelante"))</f>
        <v>Adultos mayores 36 años en adelante</v>
      </c>
      <c r="E3679" s="3" t="s">
        <v>5021</v>
      </c>
      <c r="F3679" s="3" t="s">
        <v>5027</v>
      </c>
      <c r="G3679" s="3" t="s">
        <v>5032</v>
      </c>
      <c r="H3679" s="3" t="s">
        <v>9596</v>
      </c>
      <c r="I3679" s="17">
        <v>45702</v>
      </c>
      <c r="J3679" s="18">
        <f>YEAR(Tabla1[[#This Row],[FECHA DE COMPRA]])</f>
        <v>2025</v>
      </c>
      <c r="K3679" s="19">
        <v>33.54</v>
      </c>
      <c r="L3679" s="20">
        <v>0.1</v>
      </c>
      <c r="M3679" s="19">
        <f>Tienda!$K4083-Tienda!$K4083*Tienda!$L4083</f>
        <v>148.63</v>
      </c>
      <c r="N3679" s="3" t="s">
        <v>10040</v>
      </c>
      <c r="O3679" s="3" t="s">
        <v>10042</v>
      </c>
      <c r="P3679" s="17">
        <v>45882</v>
      </c>
      <c r="Q3679" s="4">
        <v>6</v>
      </c>
    </row>
    <row r="3680" spans="1:17" ht="30" x14ac:dyDescent="0.25">
      <c r="A3680" s="2" t="s">
        <v>3686</v>
      </c>
      <c r="B3680" s="3" t="s">
        <v>5015</v>
      </c>
      <c r="C3680" s="3">
        <v>39</v>
      </c>
      <c r="D3680" s="46" t="str">
        <f>IF(Tabla1[[#This Row],[EDAD]]&lt;=35,"Adultos jóvenes 18 - 35 años",IF(C3680&gt;=36,"Adultos mayores 36 años en adelante"))</f>
        <v>Adultos mayores 36 años en adelante</v>
      </c>
      <c r="E3680" s="3" t="s">
        <v>5020</v>
      </c>
      <c r="F3680" s="3" t="s">
        <v>5025</v>
      </c>
      <c r="G3680" s="3" t="s">
        <v>5032</v>
      </c>
      <c r="H3680" s="3" t="s">
        <v>8709</v>
      </c>
      <c r="I3680" s="17">
        <v>45718</v>
      </c>
      <c r="J3680" s="18">
        <f>YEAR(Tabla1[[#This Row],[FECHA DE COMPRA]])</f>
        <v>2025</v>
      </c>
      <c r="K3680" s="19">
        <v>111.18</v>
      </c>
      <c r="L3680" s="20">
        <v>0.2</v>
      </c>
      <c r="M3680" s="19">
        <f>Tienda!$K4088-Tienda!$K4088*Tienda!$L4088</f>
        <v>152.02799999999999</v>
      </c>
      <c r="N3680" s="3" t="s">
        <v>10040</v>
      </c>
      <c r="O3680" s="3" t="s">
        <v>10042</v>
      </c>
      <c r="P3680" s="17">
        <v>45898</v>
      </c>
      <c r="Q3680" s="4">
        <v>6</v>
      </c>
    </row>
    <row r="3681" spans="1:17" ht="30" x14ac:dyDescent="0.25">
      <c r="A3681" s="2" t="s">
        <v>3976</v>
      </c>
      <c r="B3681" s="3" t="s">
        <v>5016</v>
      </c>
      <c r="C3681" s="3">
        <v>61</v>
      </c>
      <c r="D3681" s="46" t="str">
        <f>IF(Tabla1[[#This Row],[EDAD]]&lt;=35,"Adultos jóvenes 18 - 35 años",IF(C3681&gt;=36,"Adultos mayores 36 años en adelante"))</f>
        <v>Adultos mayores 36 años en adelante</v>
      </c>
      <c r="E3681" s="3" t="s">
        <v>5023</v>
      </c>
      <c r="F3681" s="3" t="s">
        <v>5024</v>
      </c>
      <c r="G3681" s="3" t="s">
        <v>5037</v>
      </c>
      <c r="H3681" s="3" t="s">
        <v>8999</v>
      </c>
      <c r="I3681" s="17">
        <v>45738</v>
      </c>
      <c r="J3681" s="18">
        <f>YEAR(Tabla1[[#This Row],[FECHA DE COMPRA]])</f>
        <v>2025</v>
      </c>
      <c r="K3681" s="19">
        <v>174.36</v>
      </c>
      <c r="L3681" s="20">
        <v>0.3</v>
      </c>
      <c r="M3681" s="19">
        <f>Tienda!$K4089-Tienda!$K4089*Tienda!$L4089</f>
        <v>153.97999999999999</v>
      </c>
      <c r="N3681" s="3" t="s">
        <v>10040</v>
      </c>
      <c r="O3681" s="3" t="s">
        <v>10042</v>
      </c>
      <c r="P3681" s="17">
        <v>45918</v>
      </c>
      <c r="Q3681" s="4">
        <v>6</v>
      </c>
    </row>
    <row r="3682" spans="1:17" ht="30" x14ac:dyDescent="0.25">
      <c r="A3682" s="2" t="s">
        <v>3771</v>
      </c>
      <c r="B3682" s="3" t="s">
        <v>5015</v>
      </c>
      <c r="C3682" s="3">
        <v>52</v>
      </c>
      <c r="D3682" s="46" t="str">
        <f>IF(Tabla1[[#This Row],[EDAD]]&lt;=35,"Adultos jóvenes 18 - 35 años",IF(C3682&gt;=36,"Adultos mayores 36 años en adelante"))</f>
        <v>Adultos mayores 36 años en adelante</v>
      </c>
      <c r="E3682" s="3" t="s">
        <v>5018</v>
      </c>
      <c r="F3682" s="3" t="s">
        <v>5025</v>
      </c>
      <c r="G3682" s="3" t="s">
        <v>5033</v>
      </c>
      <c r="H3682" s="3" t="s">
        <v>8794</v>
      </c>
      <c r="I3682" s="17">
        <v>45735</v>
      </c>
      <c r="J3682" s="18">
        <f>YEAR(Tabla1[[#This Row],[FECHA DE COMPRA]])</f>
        <v>2025</v>
      </c>
      <c r="K3682" s="19">
        <v>181.62</v>
      </c>
      <c r="L3682" s="20">
        <v>0</v>
      </c>
      <c r="M3682" s="19">
        <f>Tienda!$K4090-Tienda!$K4090*Tienda!$L4090</f>
        <v>159.20099999999999</v>
      </c>
      <c r="N3682" s="3" t="s">
        <v>10040</v>
      </c>
      <c r="O3682" s="3" t="s">
        <v>10042</v>
      </c>
      <c r="P3682" s="17">
        <v>45915</v>
      </c>
      <c r="Q3682" s="4">
        <v>6</v>
      </c>
    </row>
    <row r="3683" spans="1:17" ht="30" x14ac:dyDescent="0.25">
      <c r="A3683" s="2" t="s">
        <v>3162</v>
      </c>
      <c r="B3683" s="3" t="s">
        <v>5015</v>
      </c>
      <c r="C3683" s="3">
        <v>46</v>
      </c>
      <c r="D3683" s="46" t="str">
        <f>IF(Tabla1[[#This Row],[EDAD]]&lt;=35,"Adultos jóvenes 18 - 35 años",IF(C3683&gt;=36,"Adultos mayores 36 años en adelante"))</f>
        <v>Adultos mayores 36 años en adelante</v>
      </c>
      <c r="E3683" s="3" t="s">
        <v>5022</v>
      </c>
      <c r="F3683" s="3" t="s">
        <v>5029</v>
      </c>
      <c r="G3683" s="3" t="s">
        <v>5032</v>
      </c>
      <c r="H3683" s="3" t="s">
        <v>8185</v>
      </c>
      <c r="I3683" s="17">
        <v>45765</v>
      </c>
      <c r="J3683" s="18">
        <f>YEAR(Tabla1[[#This Row],[FECHA DE COMPRA]])</f>
        <v>2025</v>
      </c>
      <c r="K3683" s="19">
        <v>25.5</v>
      </c>
      <c r="L3683" s="20">
        <v>0</v>
      </c>
      <c r="M3683" s="19">
        <f>Tienda!$K4091-Tienda!$K4091*Tienda!$L4091</f>
        <v>163.02000000000001</v>
      </c>
      <c r="N3683" s="3" t="s">
        <v>10040</v>
      </c>
      <c r="O3683" s="3" t="s">
        <v>10042</v>
      </c>
      <c r="P3683" s="17">
        <v>45945</v>
      </c>
      <c r="Q3683" s="4">
        <v>6</v>
      </c>
    </row>
    <row r="3684" spans="1:17" ht="30" x14ac:dyDescent="0.25">
      <c r="A3684" s="2" t="s">
        <v>4615</v>
      </c>
      <c r="B3684" s="3" t="s">
        <v>5015</v>
      </c>
      <c r="C3684" s="3">
        <v>41</v>
      </c>
      <c r="D3684" s="46" t="str">
        <f>IF(Tabla1[[#This Row],[EDAD]]&lt;=35,"Adultos jóvenes 18 - 35 años",IF(C3684&gt;=36,"Adultos mayores 36 años en adelante"))</f>
        <v>Adultos mayores 36 años en adelante</v>
      </c>
      <c r="E3684" s="3" t="s">
        <v>5023</v>
      </c>
      <c r="F3684" s="3" t="s">
        <v>5026</v>
      </c>
      <c r="G3684" s="3" t="s">
        <v>5036</v>
      </c>
      <c r="H3684" s="3" t="s">
        <v>9638</v>
      </c>
      <c r="I3684" s="17">
        <v>45765</v>
      </c>
      <c r="J3684" s="18">
        <f>YEAR(Tabla1[[#This Row],[FECHA DE COMPRA]])</f>
        <v>2025</v>
      </c>
      <c r="K3684" s="19">
        <v>27.26</v>
      </c>
      <c r="L3684" s="20">
        <v>0</v>
      </c>
      <c r="M3684" s="19">
        <f>Tienda!$K4092-Tienda!$K4092*Tienda!$L4092</f>
        <v>163.566</v>
      </c>
      <c r="N3684" s="3" t="s">
        <v>10040</v>
      </c>
      <c r="O3684" s="3" t="s">
        <v>10042</v>
      </c>
      <c r="P3684" s="17">
        <v>45945</v>
      </c>
      <c r="Q3684" s="4">
        <v>6</v>
      </c>
    </row>
    <row r="3685" spans="1:17" ht="30" x14ac:dyDescent="0.25">
      <c r="A3685" s="2" t="s">
        <v>482</v>
      </c>
      <c r="B3685" s="3" t="s">
        <v>5015</v>
      </c>
      <c r="C3685" s="3">
        <v>45</v>
      </c>
      <c r="D3685" s="46" t="str">
        <f>IF(Tabla1[[#This Row],[EDAD]]&lt;=35,"Adultos jóvenes 18 - 35 años",IF(C3685&gt;=36,"Adultos mayores 36 años en adelante"))</f>
        <v>Adultos mayores 36 años en adelante</v>
      </c>
      <c r="E3685" s="3" t="s">
        <v>5022</v>
      </c>
      <c r="F3685" s="3" t="s">
        <v>5030</v>
      </c>
      <c r="G3685" s="3" t="s">
        <v>5036</v>
      </c>
      <c r="H3685" s="3" t="s">
        <v>5505</v>
      </c>
      <c r="I3685" s="17">
        <v>45770</v>
      </c>
      <c r="J3685" s="18">
        <f>YEAR(Tabla1[[#This Row],[FECHA DE COMPRA]])</f>
        <v>2025</v>
      </c>
      <c r="K3685" s="19">
        <v>45.32</v>
      </c>
      <c r="L3685" s="20">
        <v>0</v>
      </c>
      <c r="M3685" s="19">
        <f>Tienda!$K4094-Tienda!$K4094*Tienda!$L4094</f>
        <v>168.696</v>
      </c>
      <c r="N3685" s="3" t="s">
        <v>10040</v>
      </c>
      <c r="O3685" s="3" t="s">
        <v>10042</v>
      </c>
      <c r="P3685" s="17">
        <v>45950</v>
      </c>
      <c r="Q3685" s="4">
        <v>6</v>
      </c>
    </row>
    <row r="3686" spans="1:17" ht="30" x14ac:dyDescent="0.25">
      <c r="A3686" s="2" t="s">
        <v>1077</v>
      </c>
      <c r="B3686" s="3" t="s">
        <v>5015</v>
      </c>
      <c r="C3686" s="3">
        <v>59</v>
      </c>
      <c r="D3686" s="46" t="str">
        <f>IF(Tabla1[[#This Row],[EDAD]]&lt;=35,"Adultos jóvenes 18 - 35 años",IF(C3686&gt;=36,"Adultos mayores 36 años en adelante"))</f>
        <v>Adultos mayores 36 años en adelante</v>
      </c>
      <c r="E3686" s="3" t="s">
        <v>5019</v>
      </c>
      <c r="F3686" s="3" t="s">
        <v>5027</v>
      </c>
      <c r="G3686" s="3" t="s">
        <v>5033</v>
      </c>
      <c r="H3686" s="3" t="s">
        <v>6100</v>
      </c>
      <c r="I3686" s="17">
        <v>45776</v>
      </c>
      <c r="J3686" s="18">
        <f>YEAR(Tabla1[[#This Row],[FECHA DE COMPRA]])</f>
        <v>2025</v>
      </c>
      <c r="K3686" s="19">
        <v>66.290000000000006</v>
      </c>
      <c r="L3686" s="20">
        <v>0</v>
      </c>
      <c r="M3686" s="19">
        <f>Tienda!$K4096-Tienda!$K4096*Tienda!$L4096</f>
        <v>169.61</v>
      </c>
      <c r="N3686" s="3" t="s">
        <v>10040</v>
      </c>
      <c r="O3686" s="3" t="s">
        <v>10042</v>
      </c>
      <c r="P3686" s="17">
        <v>45956</v>
      </c>
      <c r="Q3686" s="4">
        <v>6</v>
      </c>
    </row>
    <row r="3687" spans="1:17" ht="30" x14ac:dyDescent="0.25">
      <c r="A3687" s="2" t="s">
        <v>3213</v>
      </c>
      <c r="B3687" s="3" t="s">
        <v>5016</v>
      </c>
      <c r="C3687" s="3">
        <v>51</v>
      </c>
      <c r="D3687" s="46" t="str">
        <f>IF(Tabla1[[#This Row],[EDAD]]&lt;=35,"Adultos jóvenes 18 - 35 años",IF(C3687&gt;=36,"Adultos mayores 36 años en adelante"))</f>
        <v>Adultos mayores 36 años en adelante</v>
      </c>
      <c r="E3687" s="3" t="s">
        <v>5021</v>
      </c>
      <c r="F3687" s="3" t="s">
        <v>5028</v>
      </c>
      <c r="G3687" s="3" t="s">
        <v>5035</v>
      </c>
      <c r="H3687" s="3" t="s">
        <v>8236</v>
      </c>
      <c r="I3687" s="17">
        <v>45763</v>
      </c>
      <c r="J3687" s="18">
        <f>YEAR(Tabla1[[#This Row],[FECHA DE COMPRA]])</f>
        <v>2025</v>
      </c>
      <c r="K3687" s="19">
        <v>94.66</v>
      </c>
      <c r="L3687" s="20">
        <v>0.2</v>
      </c>
      <c r="M3687" s="19">
        <f>Tienda!$K4097-Tienda!$K4097*Tienda!$L4097</f>
        <v>170.36099999999999</v>
      </c>
      <c r="N3687" s="3" t="s">
        <v>10040</v>
      </c>
      <c r="O3687" s="3" t="s">
        <v>10042</v>
      </c>
      <c r="P3687" s="17">
        <v>45943</v>
      </c>
      <c r="Q3687" s="4">
        <v>6</v>
      </c>
    </row>
    <row r="3688" spans="1:17" ht="30" x14ac:dyDescent="0.25">
      <c r="A3688" s="2" t="s">
        <v>2466</v>
      </c>
      <c r="B3688" s="3" t="s">
        <v>5015</v>
      </c>
      <c r="C3688" s="3">
        <v>48</v>
      </c>
      <c r="D3688" s="46" t="str">
        <f>IF(Tabla1[[#This Row],[EDAD]]&lt;=35,"Adultos jóvenes 18 - 35 años",IF(C3688&gt;=36,"Adultos mayores 36 años en adelante"))</f>
        <v>Adultos mayores 36 años en adelante</v>
      </c>
      <c r="E3688" s="3" t="s">
        <v>5019</v>
      </c>
      <c r="F3688" s="3" t="s">
        <v>5030</v>
      </c>
      <c r="G3688" s="3" t="s">
        <v>5034</v>
      </c>
      <c r="H3688" s="3" t="s">
        <v>7489</v>
      </c>
      <c r="I3688" s="17">
        <v>45771</v>
      </c>
      <c r="J3688" s="18">
        <f>YEAR(Tabla1[[#This Row],[FECHA DE COMPRA]])</f>
        <v>2025</v>
      </c>
      <c r="K3688" s="19">
        <v>97.22</v>
      </c>
      <c r="L3688" s="20">
        <v>0.2</v>
      </c>
      <c r="M3688" s="19">
        <f>Tienda!$K4098-Tienda!$K4098*Tienda!$L4098</f>
        <v>173.75399999999999</v>
      </c>
      <c r="N3688" s="3" t="s">
        <v>10040</v>
      </c>
      <c r="O3688" s="3" t="s">
        <v>10042</v>
      </c>
      <c r="P3688" s="17">
        <v>45951</v>
      </c>
      <c r="Q3688" s="4">
        <v>6</v>
      </c>
    </row>
    <row r="3689" spans="1:17" ht="30" x14ac:dyDescent="0.25">
      <c r="A3689" s="2" t="s">
        <v>3346</v>
      </c>
      <c r="B3689" s="3" t="s">
        <v>5016</v>
      </c>
      <c r="C3689" s="3">
        <v>64</v>
      </c>
      <c r="D3689" s="46" t="str">
        <f>IF(Tabla1[[#This Row],[EDAD]]&lt;=35,"Adultos jóvenes 18 - 35 años",IF(C3689&gt;=36,"Adultos mayores 36 años en adelante"))</f>
        <v>Adultos mayores 36 años en adelante</v>
      </c>
      <c r="E3689" s="3" t="s">
        <v>5019</v>
      </c>
      <c r="F3689" s="3" t="s">
        <v>5026</v>
      </c>
      <c r="G3689" s="3" t="s">
        <v>5035</v>
      </c>
      <c r="H3689" s="3" t="s">
        <v>8369</v>
      </c>
      <c r="I3689" s="17">
        <v>45759</v>
      </c>
      <c r="J3689" s="18">
        <f>YEAR(Tabla1[[#This Row],[FECHA DE COMPRA]])</f>
        <v>2025</v>
      </c>
      <c r="K3689" s="19">
        <v>174.72</v>
      </c>
      <c r="L3689" s="20">
        <v>0.3</v>
      </c>
      <c r="M3689" s="19">
        <f>Tienda!$K4103-Tienda!$K4103*Tienda!$L4103</f>
        <v>185.33</v>
      </c>
      <c r="N3689" s="3" t="s">
        <v>10040</v>
      </c>
      <c r="O3689" s="3" t="s">
        <v>10042</v>
      </c>
      <c r="P3689" s="17">
        <v>45939</v>
      </c>
      <c r="Q3689" s="4">
        <v>6</v>
      </c>
    </row>
    <row r="3690" spans="1:17" ht="30" x14ac:dyDescent="0.25">
      <c r="A3690" s="2" t="s">
        <v>50</v>
      </c>
      <c r="B3690" s="3" t="s">
        <v>5015</v>
      </c>
      <c r="C3690" s="3">
        <v>54</v>
      </c>
      <c r="D3690" s="46" t="str">
        <f>IF(Tabla1[[#This Row],[EDAD]]&lt;=35,"Adultos jóvenes 18 - 35 años",IF(C3690&gt;=36,"Adultos mayores 36 años en adelante"))</f>
        <v>Adultos mayores 36 años en adelante</v>
      </c>
      <c r="E3690" s="3" t="s">
        <v>5020</v>
      </c>
      <c r="F3690" s="3" t="s">
        <v>5026</v>
      </c>
      <c r="G3690" s="3" t="s">
        <v>5037</v>
      </c>
      <c r="H3690" s="3" t="s">
        <v>5073</v>
      </c>
      <c r="I3690" s="17">
        <v>45748</v>
      </c>
      <c r="J3690" s="18">
        <f>YEAR(Tabla1[[#This Row],[FECHA DE COMPRA]])</f>
        <v>2025</v>
      </c>
      <c r="K3690" s="19">
        <v>193.02</v>
      </c>
      <c r="L3690" s="20">
        <v>0.3</v>
      </c>
      <c r="M3690" s="19">
        <f>Tienda!$K4105-Tienda!$K4105*Tienda!$L4105</f>
        <v>194.28</v>
      </c>
      <c r="N3690" s="3" t="s">
        <v>10040</v>
      </c>
      <c r="O3690" s="3" t="s">
        <v>10042</v>
      </c>
      <c r="P3690" s="17">
        <v>45928</v>
      </c>
      <c r="Q3690" s="4">
        <v>6</v>
      </c>
    </row>
    <row r="3691" spans="1:17" ht="30" x14ac:dyDescent="0.25">
      <c r="A3691" s="2" t="s">
        <v>2140</v>
      </c>
      <c r="B3691" s="3" t="s">
        <v>5015</v>
      </c>
      <c r="C3691" s="3">
        <v>40</v>
      </c>
      <c r="D3691" s="46" t="str">
        <f>IF(Tabla1[[#This Row],[EDAD]]&lt;=35,"Adultos jóvenes 18 - 35 años",IF(C3691&gt;=36,"Adultos mayores 36 años en adelante"))</f>
        <v>Adultos mayores 36 años en adelante</v>
      </c>
      <c r="E3691" s="3" t="s">
        <v>5023</v>
      </c>
      <c r="F3691" s="3" t="s">
        <v>5026</v>
      </c>
      <c r="G3691" s="3" t="s">
        <v>5031</v>
      </c>
      <c r="H3691" s="3" t="s">
        <v>7163</v>
      </c>
      <c r="I3691" s="17">
        <v>45787</v>
      </c>
      <c r="J3691" s="18">
        <f>YEAR(Tabla1[[#This Row],[FECHA DE COMPRA]])</f>
        <v>2025</v>
      </c>
      <c r="K3691" s="19">
        <v>43.3</v>
      </c>
      <c r="L3691" s="20">
        <v>0</v>
      </c>
      <c r="M3691" s="19">
        <f>Tienda!$K4107-Tienda!$K4107*Tienda!$L4107</f>
        <v>199.33</v>
      </c>
      <c r="N3691" s="3" t="s">
        <v>10040</v>
      </c>
      <c r="O3691" s="3" t="s">
        <v>10042</v>
      </c>
      <c r="P3691" s="17">
        <v>45967</v>
      </c>
      <c r="Q3691" s="4">
        <v>6</v>
      </c>
    </row>
    <row r="3692" spans="1:17" ht="30" x14ac:dyDescent="0.25">
      <c r="A3692" s="2" t="s">
        <v>2035</v>
      </c>
      <c r="B3692" s="3" t="s">
        <v>5016</v>
      </c>
      <c r="C3692" s="3">
        <v>37</v>
      </c>
      <c r="D3692" s="46" t="str">
        <f>IF(Tabla1[[#This Row],[EDAD]]&lt;=35,"Adultos jóvenes 18 - 35 años",IF(C3692&gt;=36,"Adultos mayores 36 años en adelante"))</f>
        <v>Adultos mayores 36 años en adelante</v>
      </c>
      <c r="E3692" s="3" t="s">
        <v>5021</v>
      </c>
      <c r="F3692" s="3" t="s">
        <v>5028</v>
      </c>
      <c r="G3692" s="3" t="s">
        <v>5036</v>
      </c>
      <c r="H3692" s="3" t="s">
        <v>7058</v>
      </c>
      <c r="I3692" s="17">
        <v>45797</v>
      </c>
      <c r="J3692" s="18">
        <f>YEAR(Tabla1[[#This Row],[FECHA DE COMPRA]])</f>
        <v>2025</v>
      </c>
      <c r="K3692" s="19">
        <v>110</v>
      </c>
      <c r="L3692" s="20">
        <v>0.2</v>
      </c>
      <c r="M3692" s="19">
        <f>Tienda!$K4110-Tienda!$K4110*Tienda!$L4110</f>
        <v>35.9</v>
      </c>
      <c r="N3692" s="3" t="s">
        <v>10040</v>
      </c>
      <c r="O3692" s="3" t="s">
        <v>10042</v>
      </c>
      <c r="P3692" s="17">
        <v>45977</v>
      </c>
      <c r="Q3692" s="4">
        <v>6</v>
      </c>
    </row>
    <row r="3693" spans="1:17" ht="30" x14ac:dyDescent="0.25">
      <c r="A3693" s="2" t="s">
        <v>4282</v>
      </c>
      <c r="B3693" s="3" t="s">
        <v>5015</v>
      </c>
      <c r="C3693" s="3">
        <v>48</v>
      </c>
      <c r="D3693" s="46" t="str">
        <f>IF(Tabla1[[#This Row],[EDAD]]&lt;=35,"Adultos jóvenes 18 - 35 años",IF(C3693&gt;=36,"Adultos mayores 36 años en adelante"))</f>
        <v>Adultos mayores 36 años en adelante</v>
      </c>
      <c r="E3693" s="3" t="s">
        <v>5018</v>
      </c>
      <c r="F3693" s="3" t="s">
        <v>5028</v>
      </c>
      <c r="G3693" s="3" t="s">
        <v>5032</v>
      </c>
      <c r="H3693" s="3" t="s">
        <v>9305</v>
      </c>
      <c r="I3693" s="17">
        <v>45802</v>
      </c>
      <c r="J3693" s="18">
        <f>YEAR(Tabla1[[#This Row],[FECHA DE COMPRA]])</f>
        <v>2025</v>
      </c>
      <c r="K3693" s="19">
        <v>123.89</v>
      </c>
      <c r="L3693" s="20">
        <v>0.2</v>
      </c>
      <c r="M3693" s="19">
        <f>Tienda!$K4111-Tienda!$K4111*Tienda!$L4111</f>
        <v>36.063000000000002</v>
      </c>
      <c r="N3693" s="3" t="s">
        <v>10040</v>
      </c>
      <c r="O3693" s="3" t="s">
        <v>10042</v>
      </c>
      <c r="P3693" s="17">
        <v>45982</v>
      </c>
      <c r="Q3693" s="4">
        <v>6</v>
      </c>
    </row>
    <row r="3694" spans="1:17" ht="30" x14ac:dyDescent="0.25">
      <c r="A3694" s="2" t="s">
        <v>1933</v>
      </c>
      <c r="B3694" s="3" t="s">
        <v>5015</v>
      </c>
      <c r="C3694" s="3">
        <v>63</v>
      </c>
      <c r="D3694" s="46" t="str">
        <f>IF(Tabla1[[#This Row],[EDAD]]&lt;=35,"Adultos jóvenes 18 - 35 años",IF(C3694&gt;=36,"Adultos mayores 36 años en adelante"))</f>
        <v>Adultos mayores 36 años en adelante</v>
      </c>
      <c r="E3694" s="3" t="s">
        <v>5018</v>
      </c>
      <c r="F3694" s="3" t="s">
        <v>5026</v>
      </c>
      <c r="G3694" s="3" t="s">
        <v>5036</v>
      </c>
      <c r="H3694" s="3" t="s">
        <v>6956</v>
      </c>
      <c r="I3694" s="17">
        <v>45784</v>
      </c>
      <c r="J3694" s="18">
        <f>YEAR(Tabla1[[#This Row],[FECHA DE COMPRA]])</f>
        <v>2025</v>
      </c>
      <c r="K3694" s="19">
        <v>164.02</v>
      </c>
      <c r="L3694" s="20">
        <v>0</v>
      </c>
      <c r="M3694" s="19">
        <f>Tienda!$K4113-Tienda!$K4113*Tienda!$L4113</f>
        <v>36.603000000000002</v>
      </c>
      <c r="N3694" s="3" t="s">
        <v>10040</v>
      </c>
      <c r="O3694" s="3" t="s">
        <v>10042</v>
      </c>
      <c r="P3694" s="17">
        <v>45964</v>
      </c>
      <c r="Q3694" s="4">
        <v>6</v>
      </c>
    </row>
    <row r="3695" spans="1:17" ht="30" x14ac:dyDescent="0.25">
      <c r="A3695" s="2" t="s">
        <v>2680</v>
      </c>
      <c r="B3695" s="3" t="s">
        <v>5015</v>
      </c>
      <c r="C3695" s="3">
        <v>44</v>
      </c>
      <c r="D3695" s="46" t="str">
        <f>IF(Tabla1[[#This Row],[EDAD]]&lt;=35,"Adultos jóvenes 18 - 35 años",IF(C3695&gt;=36,"Adultos mayores 36 años en adelante"))</f>
        <v>Adultos mayores 36 años en adelante</v>
      </c>
      <c r="E3695" s="3" t="s">
        <v>5022</v>
      </c>
      <c r="F3695" s="3" t="s">
        <v>5027</v>
      </c>
      <c r="G3695" s="3" t="s">
        <v>5035</v>
      </c>
      <c r="H3695" s="3" t="s">
        <v>7703</v>
      </c>
      <c r="I3695" s="17">
        <v>45797</v>
      </c>
      <c r="J3695" s="18">
        <f>YEAR(Tabla1[[#This Row],[FECHA DE COMPRA]])</f>
        <v>2025</v>
      </c>
      <c r="K3695" s="19">
        <v>171.22</v>
      </c>
      <c r="L3695" s="20">
        <v>0.2</v>
      </c>
      <c r="M3695" s="19">
        <f>Tienda!$K4114-Tienda!$K4114*Tienda!$L4114</f>
        <v>36.701999999999998</v>
      </c>
      <c r="N3695" s="3" t="s">
        <v>10040</v>
      </c>
      <c r="O3695" s="3" t="s">
        <v>10042</v>
      </c>
      <c r="P3695" s="17">
        <v>45977</v>
      </c>
      <c r="Q3695" s="4">
        <v>6</v>
      </c>
    </row>
    <row r="3696" spans="1:17" ht="30" x14ac:dyDescent="0.25">
      <c r="A3696" s="2" t="s">
        <v>2065</v>
      </c>
      <c r="B3696" s="3" t="s">
        <v>5015</v>
      </c>
      <c r="C3696" s="3">
        <v>65</v>
      </c>
      <c r="D3696" s="46" t="str">
        <f>IF(Tabla1[[#This Row],[EDAD]]&lt;=35,"Adultos jóvenes 18 - 35 años",IF(C3696&gt;=36,"Adultos mayores 36 años en adelante"))</f>
        <v>Adultos mayores 36 años en adelante</v>
      </c>
      <c r="E3696" s="3" t="s">
        <v>5018</v>
      </c>
      <c r="F3696" s="3" t="s">
        <v>5030</v>
      </c>
      <c r="G3696" s="3" t="s">
        <v>5037</v>
      </c>
      <c r="H3696" s="3" t="s">
        <v>7088</v>
      </c>
      <c r="I3696" s="17">
        <v>45796</v>
      </c>
      <c r="J3696" s="18">
        <f>YEAR(Tabla1[[#This Row],[FECHA DE COMPRA]])</f>
        <v>2025</v>
      </c>
      <c r="K3696" s="19">
        <v>175.91</v>
      </c>
      <c r="L3696" s="20">
        <v>0</v>
      </c>
      <c r="M3696" s="19">
        <f>Tienda!$K4115-Tienda!$K4115*Tienda!$L4115</f>
        <v>37.097999999999999</v>
      </c>
      <c r="N3696" s="3" t="s">
        <v>10040</v>
      </c>
      <c r="O3696" s="3" t="s">
        <v>10042</v>
      </c>
      <c r="P3696" s="17">
        <v>45976</v>
      </c>
      <c r="Q3696" s="4">
        <v>6</v>
      </c>
    </row>
    <row r="3697" spans="1:17" ht="30" x14ac:dyDescent="0.25">
      <c r="A3697" s="2" t="s">
        <v>1480</v>
      </c>
      <c r="B3697" s="3" t="s">
        <v>5016</v>
      </c>
      <c r="C3697" s="3">
        <v>41</v>
      </c>
      <c r="D3697" s="46" t="str">
        <f>IF(Tabla1[[#This Row],[EDAD]]&lt;=35,"Adultos jóvenes 18 - 35 años",IF(C3697&gt;=36,"Adultos mayores 36 años en adelante"))</f>
        <v>Adultos mayores 36 años en adelante</v>
      </c>
      <c r="E3697" s="3" t="s">
        <v>5023</v>
      </c>
      <c r="F3697" s="3" t="s">
        <v>5026</v>
      </c>
      <c r="G3697" s="3" t="s">
        <v>5033</v>
      </c>
      <c r="H3697" s="3" t="s">
        <v>6503</v>
      </c>
      <c r="I3697" s="17">
        <v>45794</v>
      </c>
      <c r="J3697" s="18">
        <f>YEAR(Tabla1[[#This Row],[FECHA DE COMPRA]])</f>
        <v>2025</v>
      </c>
      <c r="K3697" s="19">
        <v>193.93</v>
      </c>
      <c r="L3697" s="20">
        <v>0.2</v>
      </c>
      <c r="M3697" s="19">
        <f>Tienda!$K4117-Tienda!$K4117*Tienda!$L4117</f>
        <v>37.712000000000003</v>
      </c>
      <c r="N3697" s="3" t="s">
        <v>10040</v>
      </c>
      <c r="O3697" s="3" t="s">
        <v>10042</v>
      </c>
      <c r="P3697" s="17">
        <v>45974</v>
      </c>
      <c r="Q3697" s="4">
        <v>6</v>
      </c>
    </row>
    <row r="3698" spans="1:17" ht="30" x14ac:dyDescent="0.25">
      <c r="A3698" s="2" t="s">
        <v>1668</v>
      </c>
      <c r="B3698" s="3" t="s">
        <v>5015</v>
      </c>
      <c r="C3698" s="3">
        <v>50</v>
      </c>
      <c r="D3698" s="46" t="str">
        <f>IF(Tabla1[[#This Row],[EDAD]]&lt;=35,"Adultos jóvenes 18 - 35 años",IF(C3698&gt;=36,"Adultos mayores 36 años en adelante"))</f>
        <v>Adultos mayores 36 años en adelante</v>
      </c>
      <c r="E3698" s="3" t="s">
        <v>5023</v>
      </c>
      <c r="F3698" s="3" t="s">
        <v>5030</v>
      </c>
      <c r="G3698" s="3" t="s">
        <v>5033</v>
      </c>
      <c r="H3698" s="3" t="s">
        <v>6691</v>
      </c>
      <c r="I3698" s="17">
        <v>45826</v>
      </c>
      <c r="J3698" s="18">
        <f>YEAR(Tabla1[[#This Row],[FECHA DE COMPRA]])</f>
        <v>2025</v>
      </c>
      <c r="K3698" s="19">
        <v>21.27</v>
      </c>
      <c r="L3698" s="20">
        <v>0.1</v>
      </c>
      <c r="M3698" s="19">
        <f>Tienda!$K4118-Tienda!$K4118*Tienda!$L4118</f>
        <v>37.76</v>
      </c>
      <c r="N3698" s="3" t="s">
        <v>10040</v>
      </c>
      <c r="O3698" s="3" t="s">
        <v>10042</v>
      </c>
      <c r="P3698" s="17">
        <v>46006</v>
      </c>
      <c r="Q3698" s="4">
        <v>6</v>
      </c>
    </row>
    <row r="3699" spans="1:17" ht="30" x14ac:dyDescent="0.25">
      <c r="A3699" s="2" t="s">
        <v>1097</v>
      </c>
      <c r="B3699" s="3" t="s">
        <v>5015</v>
      </c>
      <c r="C3699" s="3">
        <v>65</v>
      </c>
      <c r="D3699" s="46" t="str">
        <f>IF(Tabla1[[#This Row],[EDAD]]&lt;=35,"Adultos jóvenes 18 - 35 años",IF(C3699&gt;=36,"Adultos mayores 36 años en adelante"))</f>
        <v>Adultos mayores 36 años en adelante</v>
      </c>
      <c r="E3699" s="3" t="s">
        <v>5018</v>
      </c>
      <c r="F3699" s="3" t="s">
        <v>5026</v>
      </c>
      <c r="G3699" s="3" t="s">
        <v>5036</v>
      </c>
      <c r="H3699" s="3" t="s">
        <v>6120</v>
      </c>
      <c r="I3699" s="17">
        <v>45835</v>
      </c>
      <c r="J3699" s="18">
        <f>YEAR(Tabla1[[#This Row],[FECHA DE COMPRA]])</f>
        <v>2025</v>
      </c>
      <c r="K3699" s="19">
        <v>34.450000000000003</v>
      </c>
      <c r="L3699" s="20">
        <v>0.2</v>
      </c>
      <c r="M3699" s="19">
        <f>Tienda!$K4119-Tienda!$K4119*Tienda!$L4119</f>
        <v>38.402000000000001</v>
      </c>
      <c r="N3699" s="3" t="s">
        <v>10040</v>
      </c>
      <c r="O3699" s="3" t="s">
        <v>10042</v>
      </c>
      <c r="P3699" s="17">
        <v>46015</v>
      </c>
      <c r="Q3699" s="4">
        <v>6</v>
      </c>
    </row>
    <row r="3700" spans="1:17" ht="30" x14ac:dyDescent="0.25">
      <c r="A3700" s="2" t="s">
        <v>3913</v>
      </c>
      <c r="B3700" s="3" t="s">
        <v>5015</v>
      </c>
      <c r="C3700" s="3">
        <v>55</v>
      </c>
      <c r="D3700" s="46" t="str">
        <f>IF(Tabla1[[#This Row],[EDAD]]&lt;=35,"Adultos jóvenes 18 - 35 años",IF(C3700&gt;=36,"Adultos mayores 36 años en adelante"))</f>
        <v>Adultos mayores 36 años en adelante</v>
      </c>
      <c r="E3700" s="3" t="s">
        <v>5018</v>
      </c>
      <c r="F3700" s="3" t="s">
        <v>5030</v>
      </c>
      <c r="G3700" s="3" t="s">
        <v>5036</v>
      </c>
      <c r="H3700" s="3" t="s">
        <v>8936</v>
      </c>
      <c r="I3700" s="17">
        <v>45821</v>
      </c>
      <c r="J3700" s="18">
        <f>YEAR(Tabla1[[#This Row],[FECHA DE COMPRA]])</f>
        <v>2025</v>
      </c>
      <c r="K3700" s="19">
        <v>38.29</v>
      </c>
      <c r="L3700" s="20">
        <v>0.1</v>
      </c>
      <c r="M3700" s="19">
        <f>Tienda!$K4121-Tienda!$K4121*Tienda!$L4121</f>
        <v>39.158000000000001</v>
      </c>
      <c r="N3700" s="3" t="s">
        <v>10040</v>
      </c>
      <c r="O3700" s="3" t="s">
        <v>10042</v>
      </c>
      <c r="P3700" s="17">
        <v>46001</v>
      </c>
      <c r="Q3700" s="4">
        <v>6</v>
      </c>
    </row>
    <row r="3701" spans="1:17" ht="30" x14ac:dyDescent="0.25">
      <c r="A3701" s="2" t="s">
        <v>47</v>
      </c>
      <c r="B3701" s="3" t="s">
        <v>5015</v>
      </c>
      <c r="C3701" s="3">
        <v>42</v>
      </c>
      <c r="D3701" s="46" t="str">
        <f>IF(Tabla1[[#This Row],[EDAD]]&lt;=35,"Adultos jóvenes 18 - 35 años",IF(C3701&gt;=36,"Adultos mayores 36 años en adelante"))</f>
        <v>Adultos mayores 36 años en adelante</v>
      </c>
      <c r="E3701" s="3" t="s">
        <v>5020</v>
      </c>
      <c r="F3701" s="3" t="s">
        <v>5027</v>
      </c>
      <c r="G3701" s="3" t="s">
        <v>5034</v>
      </c>
      <c r="H3701" s="3" t="s">
        <v>5070</v>
      </c>
      <c r="I3701" s="17">
        <v>45829</v>
      </c>
      <c r="J3701" s="18">
        <f>YEAR(Tabla1[[#This Row],[FECHA DE COMPRA]])</f>
        <v>2025</v>
      </c>
      <c r="K3701" s="19">
        <v>81.93</v>
      </c>
      <c r="L3701" s="20">
        <v>0.2</v>
      </c>
      <c r="M3701" s="19">
        <f>Tienda!$K4124-Tienda!$K4124*Tienda!$L4124</f>
        <v>39.67</v>
      </c>
      <c r="N3701" s="3" t="s">
        <v>10040</v>
      </c>
      <c r="O3701" s="3" t="s">
        <v>10042</v>
      </c>
      <c r="P3701" s="17">
        <v>46009</v>
      </c>
      <c r="Q3701" s="4">
        <v>6</v>
      </c>
    </row>
    <row r="3702" spans="1:17" ht="30" x14ac:dyDescent="0.25">
      <c r="A3702" s="2" t="s">
        <v>2534</v>
      </c>
      <c r="B3702" s="3" t="s">
        <v>5015</v>
      </c>
      <c r="C3702" s="3">
        <v>59</v>
      </c>
      <c r="D3702" s="46" t="str">
        <f>IF(Tabla1[[#This Row],[EDAD]]&lt;=35,"Adultos jóvenes 18 - 35 años",IF(C3702&gt;=36,"Adultos mayores 36 años en adelante"))</f>
        <v>Adultos mayores 36 años en adelante</v>
      </c>
      <c r="E3702" s="3" t="s">
        <v>5019</v>
      </c>
      <c r="F3702" s="3" t="s">
        <v>5025</v>
      </c>
      <c r="G3702" s="3" t="s">
        <v>5034</v>
      </c>
      <c r="H3702" s="3" t="s">
        <v>7557</v>
      </c>
      <c r="I3702" s="17">
        <v>45825</v>
      </c>
      <c r="J3702" s="18">
        <f>YEAR(Tabla1[[#This Row],[FECHA DE COMPRA]])</f>
        <v>2025</v>
      </c>
      <c r="K3702" s="19">
        <v>86.38</v>
      </c>
      <c r="L3702" s="20">
        <v>0.2</v>
      </c>
      <c r="M3702" s="19">
        <f>Tienda!$K4125-Tienda!$K4125*Tienda!$L4125</f>
        <v>39.872</v>
      </c>
      <c r="N3702" s="3" t="s">
        <v>10040</v>
      </c>
      <c r="O3702" s="3" t="s">
        <v>10042</v>
      </c>
      <c r="P3702" s="17">
        <v>46005</v>
      </c>
      <c r="Q3702" s="4">
        <v>6</v>
      </c>
    </row>
    <row r="3703" spans="1:17" ht="30" x14ac:dyDescent="0.25">
      <c r="A3703" s="2" t="s">
        <v>622</v>
      </c>
      <c r="B3703" s="3" t="s">
        <v>5016</v>
      </c>
      <c r="C3703" s="3">
        <v>54</v>
      </c>
      <c r="D3703" s="46" t="str">
        <f>IF(Tabla1[[#This Row],[EDAD]]&lt;=35,"Adultos jóvenes 18 - 35 años",IF(C3703&gt;=36,"Adultos mayores 36 años en adelante"))</f>
        <v>Adultos mayores 36 años en adelante</v>
      </c>
      <c r="E3703" s="3" t="s">
        <v>5017</v>
      </c>
      <c r="F3703" s="3" t="s">
        <v>5027</v>
      </c>
      <c r="G3703" s="3" t="s">
        <v>5031</v>
      </c>
      <c r="H3703" s="3" t="s">
        <v>5645</v>
      </c>
      <c r="I3703" s="17">
        <v>45822</v>
      </c>
      <c r="J3703" s="18">
        <f>YEAR(Tabla1[[#This Row],[FECHA DE COMPRA]])</f>
        <v>2025</v>
      </c>
      <c r="K3703" s="19">
        <v>136.33000000000001</v>
      </c>
      <c r="L3703" s="20">
        <v>0.2</v>
      </c>
      <c r="M3703" s="19">
        <f>Tienda!$K4126-Tienda!$K4126*Tienda!$L4126</f>
        <v>39.927999999999997</v>
      </c>
      <c r="N3703" s="3" t="s">
        <v>10040</v>
      </c>
      <c r="O3703" s="3" t="s">
        <v>10042</v>
      </c>
      <c r="P3703" s="17">
        <v>46002</v>
      </c>
      <c r="Q3703" s="4">
        <v>6</v>
      </c>
    </row>
    <row r="3704" spans="1:17" ht="30" x14ac:dyDescent="0.25">
      <c r="A3704" s="2" t="s">
        <v>3701</v>
      </c>
      <c r="B3704" s="3" t="s">
        <v>5016</v>
      </c>
      <c r="C3704" s="3">
        <v>37</v>
      </c>
      <c r="D3704" s="46" t="str">
        <f>IF(Tabla1[[#This Row],[EDAD]]&lt;=35,"Adultos jóvenes 18 - 35 años",IF(C3704&gt;=36,"Adultos mayores 36 años en adelante"))</f>
        <v>Adultos mayores 36 años en adelante</v>
      </c>
      <c r="E3704" s="3" t="s">
        <v>5023</v>
      </c>
      <c r="F3704" s="3" t="s">
        <v>5025</v>
      </c>
      <c r="G3704" s="3" t="s">
        <v>5036</v>
      </c>
      <c r="H3704" s="3" t="s">
        <v>8724</v>
      </c>
      <c r="I3704" s="17">
        <v>45822</v>
      </c>
      <c r="J3704" s="18">
        <f>YEAR(Tabla1[[#This Row],[FECHA DE COMPRA]])</f>
        <v>2025</v>
      </c>
      <c r="K3704" s="19">
        <v>155</v>
      </c>
      <c r="L3704" s="20">
        <v>0.1</v>
      </c>
      <c r="M3704" s="19">
        <f>Tienda!$K4127-Tienda!$K4127*Tienda!$L4127</f>
        <v>39.977000000000004</v>
      </c>
      <c r="N3704" s="3" t="s">
        <v>10040</v>
      </c>
      <c r="O3704" s="3" t="s">
        <v>10042</v>
      </c>
      <c r="P3704" s="17">
        <v>46002</v>
      </c>
      <c r="Q3704" s="4">
        <v>6</v>
      </c>
    </row>
    <row r="3705" spans="1:17" ht="30" x14ac:dyDescent="0.25">
      <c r="A3705" s="2" t="s">
        <v>302</v>
      </c>
      <c r="B3705" s="3" t="s">
        <v>5016</v>
      </c>
      <c r="C3705" s="3">
        <v>41</v>
      </c>
      <c r="D3705" s="46" t="str">
        <f>IF(Tabla1[[#This Row],[EDAD]]&lt;=35,"Adultos jóvenes 18 - 35 años",IF(C3705&gt;=36,"Adultos mayores 36 años en adelante"))</f>
        <v>Adultos mayores 36 años en adelante</v>
      </c>
      <c r="E3705" s="3" t="s">
        <v>5017</v>
      </c>
      <c r="F3705" s="3" t="s">
        <v>5030</v>
      </c>
      <c r="G3705" s="3" t="s">
        <v>5036</v>
      </c>
      <c r="H3705" s="3" t="s">
        <v>5325</v>
      </c>
      <c r="I3705" s="17">
        <v>45868</v>
      </c>
      <c r="J3705" s="18">
        <f>YEAR(Tabla1[[#This Row],[FECHA DE COMPRA]])</f>
        <v>2025</v>
      </c>
      <c r="K3705" s="19">
        <v>47.65</v>
      </c>
      <c r="L3705" s="20">
        <v>0.3</v>
      </c>
      <c r="M3705" s="19">
        <f>Tienda!$K4129-Tienda!$K4129*Tienda!$L4129</f>
        <v>40.96</v>
      </c>
      <c r="N3705" s="3" t="s">
        <v>10040</v>
      </c>
      <c r="O3705" s="3" t="s">
        <v>10042</v>
      </c>
      <c r="P3705" s="17">
        <v>46048</v>
      </c>
      <c r="Q3705" s="4">
        <v>6</v>
      </c>
    </row>
    <row r="3706" spans="1:17" ht="30" x14ac:dyDescent="0.25">
      <c r="A3706" s="2" t="s">
        <v>2989</v>
      </c>
      <c r="B3706" s="3" t="s">
        <v>5015</v>
      </c>
      <c r="C3706" s="3">
        <v>38</v>
      </c>
      <c r="D3706" s="46" t="str">
        <f>IF(Tabla1[[#This Row],[EDAD]]&lt;=35,"Adultos jóvenes 18 - 35 años",IF(C3706&gt;=36,"Adultos mayores 36 años en adelante"))</f>
        <v>Adultos mayores 36 años en adelante</v>
      </c>
      <c r="E3706" s="3" t="s">
        <v>5023</v>
      </c>
      <c r="F3706" s="3" t="s">
        <v>5029</v>
      </c>
      <c r="G3706" s="3" t="s">
        <v>5035</v>
      </c>
      <c r="H3706" s="3" t="s">
        <v>8012</v>
      </c>
      <c r="I3706" s="17">
        <v>45841</v>
      </c>
      <c r="J3706" s="18">
        <f>YEAR(Tabla1[[#This Row],[FECHA DE COMPRA]])</f>
        <v>2025</v>
      </c>
      <c r="K3706" s="19">
        <v>70.72</v>
      </c>
      <c r="L3706" s="20">
        <v>0.2</v>
      </c>
      <c r="M3706" s="19">
        <f>Tienda!$K4132-Tienda!$K4132*Tienda!$L4132</f>
        <v>42.363</v>
      </c>
      <c r="N3706" s="3" t="s">
        <v>10040</v>
      </c>
      <c r="O3706" s="3" t="s">
        <v>10042</v>
      </c>
      <c r="P3706" s="17">
        <v>46021</v>
      </c>
      <c r="Q3706" s="4">
        <v>6</v>
      </c>
    </row>
    <row r="3707" spans="1:17" ht="30" x14ac:dyDescent="0.25">
      <c r="A3707" s="2" t="s">
        <v>1430</v>
      </c>
      <c r="B3707" s="3" t="s">
        <v>5015</v>
      </c>
      <c r="C3707" s="3">
        <v>53</v>
      </c>
      <c r="D3707" s="46" t="str">
        <f>IF(Tabla1[[#This Row],[EDAD]]&lt;=35,"Adultos jóvenes 18 - 35 años",IF(C3707&gt;=36,"Adultos mayores 36 años en adelante"))</f>
        <v>Adultos mayores 36 años en adelante</v>
      </c>
      <c r="E3707" s="3" t="s">
        <v>5022</v>
      </c>
      <c r="F3707" s="3" t="s">
        <v>5027</v>
      </c>
      <c r="G3707" s="3" t="s">
        <v>5035</v>
      </c>
      <c r="H3707" s="3" t="s">
        <v>6453</v>
      </c>
      <c r="I3707" s="17">
        <v>45853</v>
      </c>
      <c r="J3707" s="18">
        <f>YEAR(Tabla1[[#This Row],[FECHA DE COMPRA]])</f>
        <v>2025</v>
      </c>
      <c r="K3707" s="19">
        <v>81.96</v>
      </c>
      <c r="L3707" s="20">
        <v>0</v>
      </c>
      <c r="M3707" s="19">
        <f>Tienda!$K4133-Tienda!$K4133*Tienda!$L4133</f>
        <v>42.811999999999998</v>
      </c>
      <c r="N3707" s="3" t="s">
        <v>10040</v>
      </c>
      <c r="O3707" s="3" t="s">
        <v>10042</v>
      </c>
      <c r="P3707" s="17">
        <v>46033</v>
      </c>
      <c r="Q3707" s="4">
        <v>6</v>
      </c>
    </row>
    <row r="3708" spans="1:17" ht="30" x14ac:dyDescent="0.25">
      <c r="A3708" s="2" t="s">
        <v>1353</v>
      </c>
      <c r="B3708" s="3" t="s">
        <v>5015</v>
      </c>
      <c r="C3708" s="3">
        <v>55</v>
      </c>
      <c r="D3708" s="46" t="str">
        <f>IF(Tabla1[[#This Row],[EDAD]]&lt;=35,"Adultos jóvenes 18 - 35 años",IF(C3708&gt;=36,"Adultos mayores 36 años en adelante"))</f>
        <v>Adultos mayores 36 años en adelante</v>
      </c>
      <c r="E3708" s="3" t="s">
        <v>5022</v>
      </c>
      <c r="F3708" s="3" t="s">
        <v>5027</v>
      </c>
      <c r="G3708" s="3" t="s">
        <v>5032</v>
      </c>
      <c r="H3708" s="3" t="s">
        <v>6376</v>
      </c>
      <c r="I3708" s="17">
        <v>45854</v>
      </c>
      <c r="J3708" s="18">
        <f>YEAR(Tabla1[[#This Row],[FECHA DE COMPRA]])</f>
        <v>2025</v>
      </c>
      <c r="K3708" s="19">
        <v>115.42</v>
      </c>
      <c r="L3708" s="20">
        <v>0.1</v>
      </c>
      <c r="M3708" s="19">
        <f>Tienda!$K4134-Tienda!$K4134*Tienda!$L4134</f>
        <v>43.46</v>
      </c>
      <c r="N3708" s="3" t="s">
        <v>10040</v>
      </c>
      <c r="O3708" s="3" t="s">
        <v>10042</v>
      </c>
      <c r="P3708" s="17">
        <v>46034</v>
      </c>
      <c r="Q3708" s="4">
        <v>6</v>
      </c>
    </row>
    <row r="3709" spans="1:17" ht="30" x14ac:dyDescent="0.25">
      <c r="A3709" s="2" t="s">
        <v>4736</v>
      </c>
      <c r="B3709" s="3" t="s">
        <v>5016</v>
      </c>
      <c r="C3709" s="3">
        <v>40</v>
      </c>
      <c r="D3709" s="46" t="str">
        <f>IF(Tabla1[[#This Row],[EDAD]]&lt;=35,"Adultos jóvenes 18 - 35 años",IF(C3709&gt;=36,"Adultos mayores 36 años en adelante"))</f>
        <v>Adultos mayores 36 años en adelante</v>
      </c>
      <c r="E3709" s="3" t="s">
        <v>5021</v>
      </c>
      <c r="F3709" s="3" t="s">
        <v>5030</v>
      </c>
      <c r="G3709" s="3" t="s">
        <v>5032</v>
      </c>
      <c r="H3709" s="3" t="s">
        <v>9759</v>
      </c>
      <c r="I3709" s="17">
        <v>45847</v>
      </c>
      <c r="J3709" s="18">
        <f>YEAR(Tabla1[[#This Row],[FECHA DE COMPRA]])</f>
        <v>2025</v>
      </c>
      <c r="K3709" s="19">
        <v>188.75</v>
      </c>
      <c r="L3709" s="20">
        <v>0.3</v>
      </c>
      <c r="M3709" s="19">
        <f>Tienda!$K4139-Tienda!$K4139*Tienda!$L4139</f>
        <v>44.234999999999999</v>
      </c>
      <c r="N3709" s="3" t="s">
        <v>10040</v>
      </c>
      <c r="O3709" s="3" t="s">
        <v>10042</v>
      </c>
      <c r="P3709" s="17">
        <v>46027</v>
      </c>
      <c r="Q3709" s="4">
        <v>6</v>
      </c>
    </row>
    <row r="3710" spans="1:17" ht="30" x14ac:dyDescent="0.25">
      <c r="A3710" s="2" t="s">
        <v>165</v>
      </c>
      <c r="B3710" s="3" t="s">
        <v>5016</v>
      </c>
      <c r="C3710" s="3">
        <v>56</v>
      </c>
      <c r="D3710" s="46" t="str">
        <f>IF(Tabla1[[#This Row],[EDAD]]&lt;=35,"Adultos jóvenes 18 - 35 años",IF(C3710&gt;=36,"Adultos mayores 36 años en adelante"))</f>
        <v>Adultos mayores 36 años en adelante</v>
      </c>
      <c r="E3710" s="3" t="s">
        <v>5023</v>
      </c>
      <c r="F3710" s="3" t="s">
        <v>5028</v>
      </c>
      <c r="G3710" s="3" t="s">
        <v>5033</v>
      </c>
      <c r="H3710" s="3" t="s">
        <v>5188</v>
      </c>
      <c r="I3710" s="17">
        <v>45842</v>
      </c>
      <c r="J3710" s="18">
        <f>YEAR(Tabla1[[#This Row],[FECHA DE COMPRA]])</f>
        <v>2025</v>
      </c>
      <c r="K3710" s="19">
        <v>199.82</v>
      </c>
      <c r="L3710" s="20">
        <v>0.1</v>
      </c>
      <c r="M3710" s="19">
        <f>Tienda!$K4140-Tienda!$K4140*Tienda!$L4140</f>
        <v>44.31</v>
      </c>
      <c r="N3710" s="3" t="s">
        <v>10040</v>
      </c>
      <c r="O3710" s="3" t="s">
        <v>10042</v>
      </c>
      <c r="P3710" s="17">
        <v>46022</v>
      </c>
      <c r="Q3710" s="4">
        <v>6</v>
      </c>
    </row>
    <row r="3711" spans="1:17" ht="30" x14ac:dyDescent="0.25">
      <c r="A3711" s="2" t="s">
        <v>4202</v>
      </c>
      <c r="B3711" s="3" t="s">
        <v>5015</v>
      </c>
      <c r="C3711" s="3">
        <v>37</v>
      </c>
      <c r="D3711" s="46" t="str">
        <f>IF(Tabla1[[#This Row],[EDAD]]&lt;=35,"Adultos jóvenes 18 - 35 años",IF(C3711&gt;=36,"Adultos mayores 36 años en adelante"))</f>
        <v>Adultos mayores 36 años en adelante</v>
      </c>
      <c r="E3711" s="3" t="s">
        <v>5018</v>
      </c>
      <c r="F3711" s="3" t="s">
        <v>5029</v>
      </c>
      <c r="G3711" s="3" t="s">
        <v>5032</v>
      </c>
      <c r="H3711" s="3" t="s">
        <v>9225</v>
      </c>
      <c r="I3711" s="17">
        <v>45881</v>
      </c>
      <c r="J3711" s="18">
        <f>YEAR(Tabla1[[#This Row],[FECHA DE COMPRA]])</f>
        <v>2025</v>
      </c>
      <c r="K3711" s="19">
        <v>118.34</v>
      </c>
      <c r="L3711" s="20">
        <v>0.3</v>
      </c>
      <c r="M3711" s="19">
        <f>Tienda!$K4143-Tienda!$K4143*Tienda!$L4143</f>
        <v>45.036000000000001</v>
      </c>
      <c r="N3711" s="3" t="s">
        <v>10040</v>
      </c>
      <c r="O3711" s="3" t="s">
        <v>10042</v>
      </c>
      <c r="P3711" s="17">
        <v>46061</v>
      </c>
      <c r="Q3711" s="4">
        <v>6</v>
      </c>
    </row>
    <row r="3712" spans="1:17" ht="30" x14ac:dyDescent="0.25">
      <c r="A3712" s="2" t="s">
        <v>4017</v>
      </c>
      <c r="B3712" s="3" t="s">
        <v>5015</v>
      </c>
      <c r="C3712" s="3">
        <v>36</v>
      </c>
      <c r="D3712" s="46" t="str">
        <f>IF(Tabla1[[#This Row],[EDAD]]&lt;=35,"Adultos jóvenes 18 - 35 años",IF(C3712&gt;=36,"Adultos mayores 36 años en adelante"))</f>
        <v>Adultos mayores 36 años en adelante</v>
      </c>
      <c r="E3712" s="3" t="s">
        <v>5022</v>
      </c>
      <c r="F3712" s="3" t="s">
        <v>5024</v>
      </c>
      <c r="G3712" s="3" t="s">
        <v>5037</v>
      </c>
      <c r="H3712" s="3" t="s">
        <v>9040</v>
      </c>
      <c r="I3712" s="17">
        <v>45872</v>
      </c>
      <c r="J3712" s="18">
        <f>YEAR(Tabla1[[#This Row],[FECHA DE COMPRA]])</f>
        <v>2025</v>
      </c>
      <c r="K3712" s="19">
        <v>180.87</v>
      </c>
      <c r="L3712" s="20">
        <v>0.1</v>
      </c>
      <c r="M3712" s="19">
        <f>Tienda!$K4146-Tienda!$K4146*Tienda!$L4146</f>
        <v>45.619</v>
      </c>
      <c r="N3712" s="3" t="s">
        <v>10040</v>
      </c>
      <c r="O3712" s="3" t="s">
        <v>10042</v>
      </c>
      <c r="P3712" s="17">
        <v>46052</v>
      </c>
      <c r="Q3712" s="4">
        <v>6</v>
      </c>
    </row>
    <row r="3713" spans="1:17" ht="30" x14ac:dyDescent="0.25">
      <c r="A3713" s="2" t="s">
        <v>3492</v>
      </c>
      <c r="B3713" s="3" t="s">
        <v>5015</v>
      </c>
      <c r="C3713" s="3">
        <v>61</v>
      </c>
      <c r="D3713" s="46" t="str">
        <f>IF(Tabla1[[#This Row],[EDAD]]&lt;=35,"Adultos jóvenes 18 - 35 años",IF(C3713&gt;=36,"Adultos mayores 36 años en adelante"))</f>
        <v>Adultos mayores 36 años en adelante</v>
      </c>
      <c r="E3713" s="3" t="s">
        <v>5020</v>
      </c>
      <c r="F3713" s="3" t="s">
        <v>5030</v>
      </c>
      <c r="G3713" s="3" t="s">
        <v>5035</v>
      </c>
      <c r="H3713" s="3" t="s">
        <v>8515</v>
      </c>
      <c r="I3713" s="17">
        <v>45855</v>
      </c>
      <c r="J3713" s="18">
        <f>YEAR(Tabla1[[#This Row],[FECHA DE COMPRA]])</f>
        <v>2025</v>
      </c>
      <c r="K3713" s="19">
        <v>121.68</v>
      </c>
      <c r="L3713" s="20">
        <v>0.1</v>
      </c>
      <c r="M3713" s="19">
        <f>Tienda!$K4151-Tienda!$K4151*Tienda!$L4151</f>
        <v>47.257000000000005</v>
      </c>
      <c r="N3713" s="3" t="s">
        <v>10040</v>
      </c>
      <c r="O3713" s="3" t="s">
        <v>10042</v>
      </c>
      <c r="P3713" s="17">
        <v>46035</v>
      </c>
      <c r="Q3713" s="4">
        <v>6</v>
      </c>
    </row>
    <row r="3714" spans="1:17" ht="30" x14ac:dyDescent="0.25">
      <c r="A3714" s="2" t="s">
        <v>3630</v>
      </c>
      <c r="B3714" s="3" t="s">
        <v>5015</v>
      </c>
      <c r="C3714" s="3">
        <v>53</v>
      </c>
      <c r="D3714" s="46" t="str">
        <f>IF(Tabla1[[#This Row],[EDAD]]&lt;=35,"Adultos jóvenes 18 - 35 años",IF(C3714&gt;=36,"Adultos mayores 36 años en adelante"))</f>
        <v>Adultos mayores 36 años en adelante</v>
      </c>
      <c r="E3714" s="3" t="s">
        <v>5017</v>
      </c>
      <c r="F3714" s="3" t="s">
        <v>5027</v>
      </c>
      <c r="G3714" s="3" t="s">
        <v>5033</v>
      </c>
      <c r="H3714" s="3" t="s">
        <v>8653</v>
      </c>
      <c r="I3714" s="17">
        <v>45869</v>
      </c>
      <c r="J3714" s="18">
        <f>YEAR(Tabla1[[#This Row],[FECHA DE COMPRA]])</f>
        <v>2025</v>
      </c>
      <c r="K3714" s="19">
        <v>143.9</v>
      </c>
      <c r="L3714" s="20">
        <v>0.1</v>
      </c>
      <c r="M3714" s="19">
        <f>Tienda!$K4152-Tienda!$K4152*Tienda!$L4152</f>
        <v>48.96</v>
      </c>
      <c r="N3714" s="3" t="s">
        <v>10040</v>
      </c>
      <c r="O3714" s="3" t="s">
        <v>10042</v>
      </c>
      <c r="P3714" s="17">
        <v>46049</v>
      </c>
      <c r="Q3714" s="4">
        <v>6</v>
      </c>
    </row>
    <row r="3715" spans="1:17" ht="30" x14ac:dyDescent="0.25">
      <c r="A3715" s="2" t="s">
        <v>1934</v>
      </c>
      <c r="B3715" s="3" t="s">
        <v>5015</v>
      </c>
      <c r="C3715" s="3">
        <v>42</v>
      </c>
      <c r="D3715" s="46" t="str">
        <f>IF(Tabla1[[#This Row],[EDAD]]&lt;=35,"Adultos jóvenes 18 - 35 años",IF(C3715&gt;=36,"Adultos mayores 36 años en adelante"))</f>
        <v>Adultos mayores 36 años en adelante</v>
      </c>
      <c r="E3715" s="3" t="s">
        <v>5023</v>
      </c>
      <c r="F3715" s="3" t="s">
        <v>5028</v>
      </c>
      <c r="G3715" s="3" t="s">
        <v>5036</v>
      </c>
      <c r="H3715" s="3" t="s">
        <v>6957</v>
      </c>
      <c r="I3715" s="17">
        <v>45865</v>
      </c>
      <c r="J3715" s="18">
        <f>YEAR(Tabla1[[#This Row],[FECHA DE COMPRA]])</f>
        <v>2025</v>
      </c>
      <c r="K3715" s="19">
        <v>171.84</v>
      </c>
      <c r="L3715" s="20">
        <v>0.2</v>
      </c>
      <c r="M3715" s="19">
        <f>Tienda!$K4154-Tienda!$K4154*Tienda!$L4154</f>
        <v>50.210999999999999</v>
      </c>
      <c r="N3715" s="3" t="s">
        <v>10040</v>
      </c>
      <c r="O3715" s="3" t="s">
        <v>10042</v>
      </c>
      <c r="P3715" s="17">
        <v>46045</v>
      </c>
      <c r="Q3715" s="4">
        <v>6</v>
      </c>
    </row>
    <row r="3716" spans="1:17" ht="30" x14ac:dyDescent="0.25">
      <c r="A3716" s="2" t="s">
        <v>4758</v>
      </c>
      <c r="B3716" s="3" t="s">
        <v>5015</v>
      </c>
      <c r="C3716" s="3">
        <v>36</v>
      </c>
      <c r="D3716" s="46" t="str">
        <f>IF(Tabla1[[#This Row],[EDAD]]&lt;=35,"Adultos jóvenes 18 - 35 años",IF(C3716&gt;=36,"Adultos mayores 36 años en adelante"))</f>
        <v>Adultos mayores 36 años en adelante</v>
      </c>
      <c r="E3716" s="3" t="s">
        <v>5023</v>
      </c>
      <c r="F3716" s="3" t="s">
        <v>5025</v>
      </c>
      <c r="G3716" s="3" t="s">
        <v>5031</v>
      </c>
      <c r="H3716" s="3" t="s">
        <v>9781</v>
      </c>
      <c r="I3716" s="17">
        <v>45863</v>
      </c>
      <c r="J3716" s="18">
        <f>YEAR(Tabla1[[#This Row],[FECHA DE COMPRA]])</f>
        <v>2025</v>
      </c>
      <c r="K3716" s="19">
        <v>172.71</v>
      </c>
      <c r="L3716" s="20">
        <v>0.2</v>
      </c>
      <c r="M3716" s="19">
        <f>Tienda!$K4155-Tienda!$K4155*Tienda!$L4155</f>
        <v>50.295999999999999</v>
      </c>
      <c r="N3716" s="3" t="s">
        <v>10040</v>
      </c>
      <c r="O3716" s="3" t="s">
        <v>10042</v>
      </c>
      <c r="P3716" s="17">
        <v>46043</v>
      </c>
      <c r="Q3716" s="4">
        <v>6</v>
      </c>
    </row>
    <row r="3717" spans="1:17" ht="30" x14ac:dyDescent="0.25">
      <c r="A3717" s="2" t="s">
        <v>2721</v>
      </c>
      <c r="B3717" s="3" t="s">
        <v>5015</v>
      </c>
      <c r="C3717" s="3">
        <v>56</v>
      </c>
      <c r="D3717" s="46" t="str">
        <f>IF(Tabla1[[#This Row],[EDAD]]&lt;=35,"Adultos jóvenes 18 - 35 años",IF(C3717&gt;=36,"Adultos mayores 36 años en adelante"))</f>
        <v>Adultos mayores 36 años en adelante</v>
      </c>
      <c r="E3717" s="3" t="s">
        <v>5018</v>
      </c>
      <c r="F3717" s="3" t="s">
        <v>5030</v>
      </c>
      <c r="G3717" s="3" t="s">
        <v>5035</v>
      </c>
      <c r="H3717" s="3" t="s">
        <v>7744</v>
      </c>
      <c r="I3717" s="17">
        <v>45874</v>
      </c>
      <c r="J3717" s="18">
        <f>YEAR(Tabla1[[#This Row],[FECHA DE COMPRA]])</f>
        <v>2025</v>
      </c>
      <c r="K3717" s="19">
        <v>14.49</v>
      </c>
      <c r="L3717" s="20">
        <v>0</v>
      </c>
      <c r="M3717" s="19">
        <f>Tienda!$K4156-Tienda!$K4156*Tienda!$L4156</f>
        <v>51.039000000000001</v>
      </c>
      <c r="N3717" s="3" t="s">
        <v>10040</v>
      </c>
      <c r="O3717" s="3" t="s">
        <v>10042</v>
      </c>
      <c r="P3717" s="17">
        <v>46054</v>
      </c>
      <c r="Q3717" s="4">
        <v>6</v>
      </c>
    </row>
    <row r="3718" spans="1:17" ht="30" x14ac:dyDescent="0.25">
      <c r="A3718" s="2" t="s">
        <v>3916</v>
      </c>
      <c r="B3718" s="3" t="s">
        <v>5015</v>
      </c>
      <c r="C3718" s="3">
        <v>50</v>
      </c>
      <c r="D3718" s="46" t="str">
        <f>IF(Tabla1[[#This Row],[EDAD]]&lt;=35,"Adultos jóvenes 18 - 35 años",IF(C3718&gt;=36,"Adultos mayores 36 años en adelante"))</f>
        <v>Adultos mayores 36 años en adelante</v>
      </c>
      <c r="E3718" s="3" t="s">
        <v>5023</v>
      </c>
      <c r="F3718" s="3" t="s">
        <v>5028</v>
      </c>
      <c r="G3718" s="3" t="s">
        <v>5035</v>
      </c>
      <c r="H3718" s="3" t="s">
        <v>8939</v>
      </c>
      <c r="I3718" s="17">
        <v>45685</v>
      </c>
      <c r="J3718" s="18">
        <f>YEAR(Tabla1[[#This Row],[FECHA DE COMPRA]])</f>
        <v>2025</v>
      </c>
      <c r="K3718" s="19">
        <v>42.26</v>
      </c>
      <c r="L3718" s="20">
        <v>0.2</v>
      </c>
      <c r="M3718" s="19">
        <f>Tienda!$K4157-Tienda!$K4157*Tienda!$L4157</f>
        <v>51.085999999999999</v>
      </c>
      <c r="N3718" s="3" t="s">
        <v>10040</v>
      </c>
      <c r="O3718" s="3" t="s">
        <v>10042</v>
      </c>
      <c r="P3718" s="17">
        <v>45955</v>
      </c>
      <c r="Q3718" s="4">
        <v>9</v>
      </c>
    </row>
    <row r="3719" spans="1:17" ht="30" x14ac:dyDescent="0.25">
      <c r="A3719" s="2" t="s">
        <v>830</v>
      </c>
      <c r="B3719" s="3" t="s">
        <v>5015</v>
      </c>
      <c r="C3719" s="3">
        <v>52</v>
      </c>
      <c r="D3719" s="46" t="str">
        <f>IF(Tabla1[[#This Row],[EDAD]]&lt;=35,"Adultos jóvenes 18 - 35 años",IF(C3719&gt;=36,"Adultos mayores 36 años en adelante"))</f>
        <v>Adultos mayores 36 años en adelante</v>
      </c>
      <c r="E3719" s="3" t="s">
        <v>5017</v>
      </c>
      <c r="F3719" s="3" t="s">
        <v>5027</v>
      </c>
      <c r="G3719" s="3" t="s">
        <v>5037</v>
      </c>
      <c r="H3719" s="3" t="s">
        <v>5853</v>
      </c>
      <c r="I3719" s="17">
        <v>45701</v>
      </c>
      <c r="J3719" s="18">
        <f>YEAR(Tabla1[[#This Row],[FECHA DE COMPRA]])</f>
        <v>2025</v>
      </c>
      <c r="K3719" s="19">
        <v>52.09</v>
      </c>
      <c r="L3719" s="20">
        <v>0</v>
      </c>
      <c r="M3719" s="19">
        <f>Tienda!$K4158-Tienda!$K4158*Tienda!$L4158</f>
        <v>51.35</v>
      </c>
      <c r="N3719" s="3" t="s">
        <v>10040</v>
      </c>
      <c r="O3719" s="3" t="s">
        <v>10042</v>
      </c>
      <c r="P3719" s="17">
        <v>45950</v>
      </c>
      <c r="Q3719" s="4">
        <v>9</v>
      </c>
    </row>
    <row r="3720" spans="1:17" ht="30" x14ac:dyDescent="0.25">
      <c r="A3720" s="2" t="s">
        <v>1060</v>
      </c>
      <c r="B3720" s="3" t="s">
        <v>5015</v>
      </c>
      <c r="C3720" s="3">
        <v>65</v>
      </c>
      <c r="D3720" s="46" t="str">
        <f>IF(Tabla1[[#This Row],[EDAD]]&lt;=35,"Adultos jóvenes 18 - 35 años",IF(C3720&gt;=36,"Adultos mayores 36 años en adelante"))</f>
        <v>Adultos mayores 36 años en adelante</v>
      </c>
      <c r="E3720" s="3" t="s">
        <v>5017</v>
      </c>
      <c r="F3720" s="3" t="s">
        <v>5028</v>
      </c>
      <c r="G3720" s="3" t="s">
        <v>5037</v>
      </c>
      <c r="H3720" s="3" t="s">
        <v>6083</v>
      </c>
      <c r="I3720" s="17">
        <v>45701</v>
      </c>
      <c r="J3720" s="18">
        <f>YEAR(Tabla1[[#This Row],[FECHA DE COMPRA]])</f>
        <v>2025</v>
      </c>
      <c r="K3720" s="19">
        <v>67.510000000000005</v>
      </c>
      <c r="L3720" s="20">
        <v>0.3</v>
      </c>
      <c r="M3720" s="19">
        <f>Tienda!$K4159-Tienda!$K4159*Tienda!$L4159</f>
        <v>51.731999999999999</v>
      </c>
      <c r="N3720" s="3" t="s">
        <v>10040</v>
      </c>
      <c r="O3720" s="3" t="s">
        <v>10042</v>
      </c>
      <c r="P3720" s="17">
        <v>45951</v>
      </c>
      <c r="Q3720" s="4">
        <v>9</v>
      </c>
    </row>
    <row r="3721" spans="1:17" ht="30" x14ac:dyDescent="0.25">
      <c r="A3721" s="2" t="s">
        <v>1332</v>
      </c>
      <c r="B3721" s="3" t="s">
        <v>5016</v>
      </c>
      <c r="C3721" s="3">
        <v>53</v>
      </c>
      <c r="D3721" s="46" t="str">
        <f>IF(Tabla1[[#This Row],[EDAD]]&lt;=35,"Adultos jóvenes 18 - 35 años",IF(C3721&gt;=36,"Adultos mayores 36 años en adelante"))</f>
        <v>Adultos mayores 36 años en adelante</v>
      </c>
      <c r="E3721" s="3" t="s">
        <v>5017</v>
      </c>
      <c r="F3721" s="3" t="s">
        <v>5026</v>
      </c>
      <c r="G3721" s="3" t="s">
        <v>5036</v>
      </c>
      <c r="H3721" s="3" t="s">
        <v>6355</v>
      </c>
      <c r="I3721" s="17">
        <v>45676</v>
      </c>
      <c r="J3721" s="18">
        <f>YEAR(Tabla1[[#This Row],[FECHA DE COMPRA]])</f>
        <v>2025</v>
      </c>
      <c r="K3721" s="19">
        <v>93.9</v>
      </c>
      <c r="L3721" s="20">
        <v>0.1</v>
      </c>
      <c r="M3721" s="19">
        <f>Tienda!$K4162-Tienda!$K4162*Tienda!$L4162</f>
        <v>52.248000000000005</v>
      </c>
      <c r="N3721" s="3" t="s">
        <v>10040</v>
      </c>
      <c r="O3721" s="3" t="s">
        <v>10042</v>
      </c>
      <c r="P3721" s="17">
        <v>45946</v>
      </c>
      <c r="Q3721" s="4">
        <v>9</v>
      </c>
    </row>
    <row r="3722" spans="1:17" ht="30" x14ac:dyDescent="0.25">
      <c r="A3722" s="2" t="s">
        <v>3458</v>
      </c>
      <c r="B3722" s="3" t="s">
        <v>5016</v>
      </c>
      <c r="C3722" s="3">
        <v>44</v>
      </c>
      <c r="D3722" s="46" t="str">
        <f>IF(Tabla1[[#This Row],[EDAD]]&lt;=35,"Adultos jóvenes 18 - 35 años",IF(C3722&gt;=36,"Adultos mayores 36 años en adelante"))</f>
        <v>Adultos mayores 36 años en adelante</v>
      </c>
      <c r="E3722" s="3" t="s">
        <v>5021</v>
      </c>
      <c r="F3722" s="3" t="s">
        <v>5029</v>
      </c>
      <c r="G3722" s="3" t="s">
        <v>5033</v>
      </c>
      <c r="H3722" s="3" t="s">
        <v>8481</v>
      </c>
      <c r="I3722" s="17">
        <v>45701</v>
      </c>
      <c r="J3722" s="18">
        <f>YEAR(Tabla1[[#This Row],[FECHA DE COMPRA]])</f>
        <v>2025</v>
      </c>
      <c r="K3722" s="19">
        <v>188.47</v>
      </c>
      <c r="L3722" s="20">
        <v>0.2</v>
      </c>
      <c r="M3722" s="19">
        <f>Tienda!$K4165-Tienda!$K4165*Tienda!$L4165</f>
        <v>53.34</v>
      </c>
      <c r="N3722" s="3" t="s">
        <v>10040</v>
      </c>
      <c r="O3722" s="3" t="s">
        <v>10042</v>
      </c>
      <c r="P3722" s="17">
        <v>45936</v>
      </c>
      <c r="Q3722" s="4">
        <v>9</v>
      </c>
    </row>
    <row r="3723" spans="1:17" ht="30" x14ac:dyDescent="0.25">
      <c r="A3723" s="2" t="s">
        <v>4628</v>
      </c>
      <c r="B3723" s="3" t="s">
        <v>5016</v>
      </c>
      <c r="C3723" s="3">
        <v>58</v>
      </c>
      <c r="D3723" s="46" t="str">
        <f>IF(Tabla1[[#This Row],[EDAD]]&lt;=35,"Adultos jóvenes 18 - 35 años",IF(C3723&gt;=36,"Adultos mayores 36 años en adelante"))</f>
        <v>Adultos mayores 36 años en adelante</v>
      </c>
      <c r="E3723" s="3" t="s">
        <v>5023</v>
      </c>
      <c r="F3723" s="3" t="s">
        <v>5025</v>
      </c>
      <c r="G3723" s="3" t="s">
        <v>5032</v>
      </c>
      <c r="H3723" s="3" t="s">
        <v>9651</v>
      </c>
      <c r="I3723" s="17">
        <v>45702</v>
      </c>
      <c r="J3723" s="18">
        <f>YEAR(Tabla1[[#This Row],[FECHA DE COMPRA]])</f>
        <v>2025</v>
      </c>
      <c r="K3723" s="19">
        <v>186.2</v>
      </c>
      <c r="L3723" s="20">
        <v>0.3</v>
      </c>
      <c r="M3723" s="19">
        <f>Tienda!$K4171-Tienda!$K4171*Tienda!$L4171</f>
        <v>55.082999999999998</v>
      </c>
      <c r="N3723" s="3" t="s">
        <v>10040</v>
      </c>
      <c r="O3723" s="3" t="s">
        <v>10042</v>
      </c>
      <c r="P3723" s="17">
        <v>45972</v>
      </c>
      <c r="Q3723" s="4">
        <v>9</v>
      </c>
    </row>
    <row r="3724" spans="1:17" ht="30" x14ac:dyDescent="0.25">
      <c r="A3724" s="2" t="s">
        <v>820</v>
      </c>
      <c r="B3724" s="3" t="s">
        <v>5016</v>
      </c>
      <c r="C3724" s="3">
        <v>44</v>
      </c>
      <c r="D3724" s="46" t="str">
        <f>IF(Tabla1[[#This Row],[EDAD]]&lt;=35,"Adultos jóvenes 18 - 35 años",IF(C3724&gt;=36,"Adultos mayores 36 años en adelante"))</f>
        <v>Adultos mayores 36 años en adelante</v>
      </c>
      <c r="E3724" s="3" t="s">
        <v>5021</v>
      </c>
      <c r="F3724" s="3" t="s">
        <v>5030</v>
      </c>
      <c r="G3724" s="3" t="s">
        <v>5031</v>
      </c>
      <c r="H3724" s="3" t="s">
        <v>5843</v>
      </c>
      <c r="I3724" s="17">
        <v>45716</v>
      </c>
      <c r="J3724" s="18">
        <f>YEAR(Tabla1[[#This Row],[FECHA DE COMPRA]])</f>
        <v>2025</v>
      </c>
      <c r="K3724" s="19">
        <v>18.22</v>
      </c>
      <c r="L3724" s="20">
        <v>0.2</v>
      </c>
      <c r="M3724" s="19">
        <f>Tienda!$K4172-Tienda!$K4172*Tienda!$L4172</f>
        <v>55.277999999999999</v>
      </c>
      <c r="N3724" s="3" t="s">
        <v>10040</v>
      </c>
      <c r="O3724" s="3" t="s">
        <v>10042</v>
      </c>
      <c r="P3724" s="17">
        <v>45986</v>
      </c>
      <c r="Q3724" s="4">
        <v>9</v>
      </c>
    </row>
    <row r="3725" spans="1:17" ht="30" x14ac:dyDescent="0.25">
      <c r="A3725" s="2" t="s">
        <v>4992</v>
      </c>
      <c r="B3725" s="3" t="s">
        <v>5015</v>
      </c>
      <c r="C3725" s="3">
        <v>43</v>
      </c>
      <c r="D3725" s="46" t="str">
        <f>IF(Tabla1[[#This Row],[EDAD]]&lt;=35,"Adultos jóvenes 18 - 35 años",IF(C3725&gt;=36,"Adultos mayores 36 años en adelante"))</f>
        <v>Adultos mayores 36 años en adelante</v>
      </c>
      <c r="E3725" s="3" t="s">
        <v>5022</v>
      </c>
      <c r="F3725" s="3" t="s">
        <v>5030</v>
      </c>
      <c r="G3725" s="3" t="s">
        <v>5034</v>
      </c>
      <c r="H3725" s="3" t="s">
        <v>10015</v>
      </c>
      <c r="I3725" s="17">
        <v>45743</v>
      </c>
      <c r="J3725" s="18">
        <f>YEAR(Tabla1[[#This Row],[FECHA DE COMPRA]])</f>
        <v>2025</v>
      </c>
      <c r="K3725" s="19">
        <v>34.54</v>
      </c>
      <c r="L3725" s="20">
        <v>0.3</v>
      </c>
      <c r="M3725" s="19">
        <f>Tienda!$K4174-Tienda!$K4174*Tienda!$L4174</f>
        <v>55.655999999999992</v>
      </c>
      <c r="N3725" s="3" t="s">
        <v>10040</v>
      </c>
      <c r="O3725" s="3" t="s">
        <v>10042</v>
      </c>
      <c r="P3725" s="17">
        <v>46013</v>
      </c>
      <c r="Q3725" s="4">
        <v>9</v>
      </c>
    </row>
    <row r="3726" spans="1:17" ht="30" x14ac:dyDescent="0.25">
      <c r="A3726" s="2" t="s">
        <v>97</v>
      </c>
      <c r="B3726" s="3" t="s">
        <v>5016</v>
      </c>
      <c r="C3726" s="3">
        <v>41</v>
      </c>
      <c r="D3726" s="46" t="str">
        <f>IF(Tabla1[[#This Row],[EDAD]]&lt;=35,"Adultos jóvenes 18 - 35 años",IF(C3726&gt;=36,"Adultos mayores 36 años en adelante"))</f>
        <v>Adultos mayores 36 años en adelante</v>
      </c>
      <c r="E3726" s="3" t="s">
        <v>5019</v>
      </c>
      <c r="F3726" s="3" t="s">
        <v>5028</v>
      </c>
      <c r="G3726" s="3" t="s">
        <v>5036</v>
      </c>
      <c r="H3726" s="3" t="s">
        <v>5120</v>
      </c>
      <c r="I3726" s="17">
        <v>45747</v>
      </c>
      <c r="J3726" s="18">
        <f>YEAR(Tabla1[[#This Row],[FECHA DE COMPRA]])</f>
        <v>2025</v>
      </c>
      <c r="K3726" s="19">
        <v>43.58</v>
      </c>
      <c r="L3726" s="20">
        <v>0.1</v>
      </c>
      <c r="M3726" s="19">
        <f>Tienda!$K4175-Tienda!$K4175*Tienda!$L4175</f>
        <v>55.760000000000005</v>
      </c>
      <c r="N3726" s="3" t="s">
        <v>10040</v>
      </c>
      <c r="O3726" s="3" t="s">
        <v>10042</v>
      </c>
      <c r="P3726" s="17">
        <v>46017</v>
      </c>
      <c r="Q3726" s="4">
        <v>9</v>
      </c>
    </row>
    <row r="3727" spans="1:17" ht="30" x14ac:dyDescent="0.25">
      <c r="A3727" s="2" t="s">
        <v>1291</v>
      </c>
      <c r="B3727" s="3" t="s">
        <v>5015</v>
      </c>
      <c r="C3727" s="3">
        <v>48</v>
      </c>
      <c r="D3727" s="46" t="str">
        <f>IF(Tabla1[[#This Row],[EDAD]]&lt;=35,"Adultos jóvenes 18 - 35 años",IF(C3727&gt;=36,"Adultos mayores 36 años en adelante"))</f>
        <v>Adultos mayores 36 años en adelante</v>
      </c>
      <c r="E3727" s="3" t="s">
        <v>5022</v>
      </c>
      <c r="F3727" s="3" t="s">
        <v>5028</v>
      </c>
      <c r="G3727" s="3" t="s">
        <v>5036</v>
      </c>
      <c r="H3727" s="3" t="s">
        <v>6314</v>
      </c>
      <c r="I3727" s="17">
        <v>45735</v>
      </c>
      <c r="J3727" s="18">
        <f>YEAR(Tabla1[[#This Row],[FECHA DE COMPRA]])</f>
        <v>2025</v>
      </c>
      <c r="K3727" s="19">
        <v>84.7</v>
      </c>
      <c r="L3727" s="20">
        <v>0</v>
      </c>
      <c r="M3727" s="19">
        <f>Tienda!$K4177-Tienda!$K4177*Tienda!$L4177</f>
        <v>55.838999999999999</v>
      </c>
      <c r="N3727" s="3" t="s">
        <v>10040</v>
      </c>
      <c r="O3727" s="3" t="s">
        <v>10042</v>
      </c>
      <c r="P3727" s="17">
        <v>46005</v>
      </c>
      <c r="Q3727" s="4">
        <v>9</v>
      </c>
    </row>
    <row r="3728" spans="1:17" ht="30" x14ac:dyDescent="0.25">
      <c r="A3728" s="2" t="s">
        <v>1197</v>
      </c>
      <c r="B3728" s="3" t="s">
        <v>5016</v>
      </c>
      <c r="C3728" s="3">
        <v>61</v>
      </c>
      <c r="D3728" s="46" t="str">
        <f>IF(Tabla1[[#This Row],[EDAD]]&lt;=35,"Adultos jóvenes 18 - 35 años",IF(C3728&gt;=36,"Adultos mayores 36 años en adelante"))</f>
        <v>Adultos mayores 36 años en adelante</v>
      </c>
      <c r="E3728" s="3" t="s">
        <v>5023</v>
      </c>
      <c r="F3728" s="3" t="s">
        <v>5030</v>
      </c>
      <c r="G3728" s="3" t="s">
        <v>5032</v>
      </c>
      <c r="H3728" s="3" t="s">
        <v>6220</v>
      </c>
      <c r="I3728" s="17">
        <v>45727</v>
      </c>
      <c r="J3728" s="18">
        <f>YEAR(Tabla1[[#This Row],[FECHA DE COMPRA]])</f>
        <v>2025</v>
      </c>
      <c r="K3728" s="19">
        <v>123.05</v>
      </c>
      <c r="L3728" s="20">
        <v>0.1</v>
      </c>
      <c r="M3728" s="19">
        <f>Tienda!$K4182-Tienda!$K4182*Tienda!$L4182</f>
        <v>56.97</v>
      </c>
      <c r="N3728" s="3" t="s">
        <v>10040</v>
      </c>
      <c r="O3728" s="3" t="s">
        <v>10042</v>
      </c>
      <c r="P3728" s="17">
        <v>45997</v>
      </c>
      <c r="Q3728" s="4">
        <v>9</v>
      </c>
    </row>
    <row r="3729" spans="1:17" ht="30" x14ac:dyDescent="0.25">
      <c r="A3729" s="2" t="s">
        <v>605</v>
      </c>
      <c r="B3729" s="3" t="s">
        <v>5015</v>
      </c>
      <c r="C3729" s="3">
        <v>65</v>
      </c>
      <c r="D3729" s="46" t="str">
        <f>IF(Tabla1[[#This Row],[EDAD]]&lt;=35,"Adultos jóvenes 18 - 35 años",IF(C3729&gt;=36,"Adultos mayores 36 años en adelante"))</f>
        <v>Adultos mayores 36 años en adelante</v>
      </c>
      <c r="E3729" s="3" t="s">
        <v>5023</v>
      </c>
      <c r="F3729" s="3" t="s">
        <v>5029</v>
      </c>
      <c r="G3729" s="3" t="s">
        <v>5033</v>
      </c>
      <c r="H3729" s="3" t="s">
        <v>5628</v>
      </c>
      <c r="I3729" s="17">
        <v>45742</v>
      </c>
      <c r="J3729" s="18">
        <f>YEAR(Tabla1[[#This Row],[FECHA DE COMPRA]])</f>
        <v>2025</v>
      </c>
      <c r="K3729" s="19">
        <v>125.44</v>
      </c>
      <c r="L3729" s="20">
        <v>0.2</v>
      </c>
      <c r="M3729" s="19">
        <f>Tienda!$K4183-Tienda!$K4183*Tienda!$L4183</f>
        <v>57.498000000000005</v>
      </c>
      <c r="N3729" s="3" t="s">
        <v>10040</v>
      </c>
      <c r="O3729" s="3" t="s">
        <v>10042</v>
      </c>
      <c r="P3729" s="17">
        <v>46012</v>
      </c>
      <c r="Q3729" s="4">
        <v>9</v>
      </c>
    </row>
    <row r="3730" spans="1:17" ht="30" x14ac:dyDescent="0.25">
      <c r="A3730" s="2" t="s">
        <v>2804</v>
      </c>
      <c r="B3730" s="3" t="s">
        <v>5015</v>
      </c>
      <c r="C3730" s="3">
        <v>52</v>
      </c>
      <c r="D3730" s="46" t="str">
        <f>IF(Tabla1[[#This Row],[EDAD]]&lt;=35,"Adultos jóvenes 18 - 35 años",IF(C3730&gt;=36,"Adultos mayores 36 años en adelante"))</f>
        <v>Adultos mayores 36 años en adelante</v>
      </c>
      <c r="E3730" s="3" t="s">
        <v>5020</v>
      </c>
      <c r="F3730" s="3" t="s">
        <v>5024</v>
      </c>
      <c r="G3730" s="3" t="s">
        <v>5035</v>
      </c>
      <c r="H3730" s="3" t="s">
        <v>7827</v>
      </c>
      <c r="I3730" s="17">
        <v>45721</v>
      </c>
      <c r="J3730" s="18">
        <f>YEAR(Tabla1[[#This Row],[FECHA DE COMPRA]])</f>
        <v>2025</v>
      </c>
      <c r="K3730" s="19">
        <v>153.26</v>
      </c>
      <c r="L3730" s="20">
        <v>0</v>
      </c>
      <c r="M3730" s="19">
        <f>Tienda!$K4184-Tienda!$K4184*Tienda!$L4184</f>
        <v>57.512</v>
      </c>
      <c r="N3730" s="3" t="s">
        <v>10040</v>
      </c>
      <c r="O3730" s="3" t="s">
        <v>10042</v>
      </c>
      <c r="P3730" s="17">
        <v>45991</v>
      </c>
      <c r="Q3730" s="4">
        <v>9</v>
      </c>
    </row>
    <row r="3731" spans="1:17" ht="30" x14ac:dyDescent="0.25">
      <c r="A3731" s="2" t="s">
        <v>1271</v>
      </c>
      <c r="B3731" s="3" t="s">
        <v>5015</v>
      </c>
      <c r="C3731" s="3">
        <v>62</v>
      </c>
      <c r="D3731" s="46" t="str">
        <f>IF(Tabla1[[#This Row],[EDAD]]&lt;=35,"Adultos jóvenes 18 - 35 años",IF(C3731&gt;=36,"Adultos mayores 36 años en adelante"))</f>
        <v>Adultos mayores 36 años en adelante</v>
      </c>
      <c r="E3731" s="3" t="s">
        <v>5017</v>
      </c>
      <c r="F3731" s="3" t="s">
        <v>5028</v>
      </c>
      <c r="G3731" s="3" t="s">
        <v>5037</v>
      </c>
      <c r="H3731" s="3" t="s">
        <v>6294</v>
      </c>
      <c r="I3731" s="17">
        <v>45739</v>
      </c>
      <c r="J3731" s="18">
        <f>YEAR(Tabla1[[#This Row],[FECHA DE COMPRA]])</f>
        <v>2025</v>
      </c>
      <c r="K3731" s="19">
        <v>199.21</v>
      </c>
      <c r="L3731" s="20">
        <v>0.3</v>
      </c>
      <c r="M3731" s="19">
        <f>Tienda!$K4185-Tienda!$K4185*Tienda!$L4185</f>
        <v>57.616</v>
      </c>
      <c r="N3731" s="3" t="s">
        <v>10040</v>
      </c>
      <c r="O3731" s="3" t="s">
        <v>10042</v>
      </c>
      <c r="P3731" s="17">
        <v>46009</v>
      </c>
      <c r="Q3731" s="4">
        <v>9</v>
      </c>
    </row>
    <row r="3732" spans="1:17" ht="30" x14ac:dyDescent="0.25">
      <c r="A3732" s="2" t="s">
        <v>2707</v>
      </c>
      <c r="B3732" s="3" t="s">
        <v>5015</v>
      </c>
      <c r="C3732" s="3">
        <v>62</v>
      </c>
      <c r="D3732" s="46" t="str">
        <f>IF(Tabla1[[#This Row],[EDAD]]&lt;=35,"Adultos jóvenes 18 - 35 años",IF(C3732&gt;=36,"Adultos mayores 36 años en adelante"))</f>
        <v>Adultos mayores 36 años en adelante</v>
      </c>
      <c r="E3732" s="3" t="s">
        <v>5022</v>
      </c>
      <c r="F3732" s="3" t="s">
        <v>5030</v>
      </c>
      <c r="G3732" s="3" t="s">
        <v>5031</v>
      </c>
      <c r="H3732" s="3" t="s">
        <v>7730</v>
      </c>
      <c r="I3732" s="17">
        <v>45735</v>
      </c>
      <c r="J3732" s="18">
        <f>YEAR(Tabla1[[#This Row],[FECHA DE COMPRA]])</f>
        <v>2025</v>
      </c>
      <c r="K3732" s="19">
        <v>199.5</v>
      </c>
      <c r="L3732" s="20">
        <v>0.1</v>
      </c>
      <c r="M3732" s="19">
        <f>Tienda!$K4186-Tienda!$K4186*Tienda!$L4186</f>
        <v>58.680999999999997</v>
      </c>
      <c r="N3732" s="3" t="s">
        <v>10040</v>
      </c>
      <c r="O3732" s="3" t="s">
        <v>10042</v>
      </c>
      <c r="P3732" s="17">
        <v>46005</v>
      </c>
      <c r="Q3732" s="4">
        <v>9</v>
      </c>
    </row>
    <row r="3733" spans="1:17" ht="30" x14ac:dyDescent="0.25">
      <c r="A3733" s="2" t="s">
        <v>3093</v>
      </c>
      <c r="B3733" s="3" t="s">
        <v>5016</v>
      </c>
      <c r="C3733" s="3">
        <v>59</v>
      </c>
      <c r="D3733" s="46" t="str">
        <f>IF(Tabla1[[#This Row],[EDAD]]&lt;=35,"Adultos jóvenes 18 - 35 años",IF(C3733&gt;=36,"Adultos mayores 36 años en adelante"))</f>
        <v>Adultos mayores 36 años en adelante</v>
      </c>
      <c r="E3733" s="3" t="s">
        <v>5021</v>
      </c>
      <c r="F3733" s="3" t="s">
        <v>5024</v>
      </c>
      <c r="G3733" s="3" t="s">
        <v>5035</v>
      </c>
      <c r="H3733" s="3" t="s">
        <v>8116</v>
      </c>
      <c r="I3733" s="17">
        <v>45757</v>
      </c>
      <c r="J3733" s="18">
        <f>YEAR(Tabla1[[#This Row],[FECHA DE COMPRA]])</f>
        <v>2025</v>
      </c>
      <c r="K3733" s="19">
        <v>16.510000000000002</v>
      </c>
      <c r="L3733" s="20">
        <v>0.2</v>
      </c>
      <c r="M3733" s="19">
        <f>Tienda!$K4187-Tienda!$K4187*Tienda!$L4187</f>
        <v>59.06</v>
      </c>
      <c r="N3733" s="3" t="s">
        <v>10040</v>
      </c>
      <c r="O3733" s="3" t="s">
        <v>10042</v>
      </c>
      <c r="P3733" s="17">
        <v>46027</v>
      </c>
      <c r="Q3733" s="4">
        <v>9</v>
      </c>
    </row>
    <row r="3734" spans="1:17" ht="30" x14ac:dyDescent="0.25">
      <c r="A3734" s="2" t="s">
        <v>644</v>
      </c>
      <c r="B3734" s="3" t="s">
        <v>5015</v>
      </c>
      <c r="C3734" s="3">
        <v>58</v>
      </c>
      <c r="D3734" s="46" t="str">
        <f>IF(Tabla1[[#This Row],[EDAD]]&lt;=35,"Adultos jóvenes 18 - 35 años",IF(C3734&gt;=36,"Adultos mayores 36 años en adelante"))</f>
        <v>Adultos mayores 36 años en adelante</v>
      </c>
      <c r="E3734" s="3" t="s">
        <v>5022</v>
      </c>
      <c r="F3734" s="3" t="s">
        <v>5026</v>
      </c>
      <c r="G3734" s="3" t="s">
        <v>5034</v>
      </c>
      <c r="H3734" s="3" t="s">
        <v>5667</v>
      </c>
      <c r="I3734" s="17">
        <v>45750</v>
      </c>
      <c r="J3734" s="18">
        <f>YEAR(Tabla1[[#This Row],[FECHA DE COMPRA]])</f>
        <v>2025</v>
      </c>
      <c r="K3734" s="19">
        <v>30.94</v>
      </c>
      <c r="L3734" s="20">
        <v>0.2</v>
      </c>
      <c r="M3734" s="19">
        <f>Tienda!$K4189-Tienda!$K4189*Tienda!$L4189</f>
        <v>59.211000000000006</v>
      </c>
      <c r="N3734" s="3" t="s">
        <v>10040</v>
      </c>
      <c r="O3734" s="3" t="s">
        <v>10042</v>
      </c>
      <c r="P3734" s="17">
        <v>46020</v>
      </c>
      <c r="Q3734" s="4">
        <v>9</v>
      </c>
    </row>
    <row r="3735" spans="1:17" ht="30" x14ac:dyDescent="0.25">
      <c r="A3735" s="2" t="s">
        <v>2129</v>
      </c>
      <c r="B3735" s="3" t="s">
        <v>5016</v>
      </c>
      <c r="C3735" s="3">
        <v>49</v>
      </c>
      <c r="D3735" s="46" t="str">
        <f>IF(Tabla1[[#This Row],[EDAD]]&lt;=35,"Adultos jóvenes 18 - 35 años",IF(C3735&gt;=36,"Adultos mayores 36 años en adelante"))</f>
        <v>Adultos mayores 36 años en adelante</v>
      </c>
      <c r="E3735" s="3" t="s">
        <v>5023</v>
      </c>
      <c r="F3735" s="3" t="s">
        <v>5026</v>
      </c>
      <c r="G3735" s="3" t="s">
        <v>5031</v>
      </c>
      <c r="H3735" s="3" t="s">
        <v>7152</v>
      </c>
      <c r="I3735" s="17">
        <v>45752</v>
      </c>
      <c r="J3735" s="18">
        <f>YEAR(Tabla1[[#This Row],[FECHA DE COMPRA]])</f>
        <v>2025</v>
      </c>
      <c r="K3735" s="19">
        <v>64.349999999999994</v>
      </c>
      <c r="L3735" s="20">
        <v>0.2</v>
      </c>
      <c r="M3735" s="19">
        <f>Tienda!$K4191-Tienda!$K4191*Tienda!$L4191</f>
        <v>59.489999999999995</v>
      </c>
      <c r="N3735" s="3" t="s">
        <v>10040</v>
      </c>
      <c r="O3735" s="3" t="s">
        <v>10042</v>
      </c>
      <c r="P3735" s="17">
        <v>46022</v>
      </c>
      <c r="Q3735" s="4">
        <v>9</v>
      </c>
    </row>
    <row r="3736" spans="1:17" ht="30" x14ac:dyDescent="0.25">
      <c r="A3736" s="2" t="s">
        <v>1770</v>
      </c>
      <c r="B3736" s="3" t="s">
        <v>5015</v>
      </c>
      <c r="C3736" s="3">
        <v>58</v>
      </c>
      <c r="D3736" s="46" t="str">
        <f>IF(Tabla1[[#This Row],[EDAD]]&lt;=35,"Adultos jóvenes 18 - 35 años",IF(C3736&gt;=36,"Adultos mayores 36 años en adelante"))</f>
        <v>Adultos mayores 36 años en adelante</v>
      </c>
      <c r="E3736" s="3" t="s">
        <v>5022</v>
      </c>
      <c r="F3736" s="3" t="s">
        <v>5029</v>
      </c>
      <c r="G3736" s="3" t="s">
        <v>5037</v>
      </c>
      <c r="H3736" s="3" t="s">
        <v>6793</v>
      </c>
      <c r="I3736" s="17">
        <v>45748</v>
      </c>
      <c r="J3736" s="18">
        <f>YEAR(Tabla1[[#This Row],[FECHA DE COMPRA]])</f>
        <v>2025</v>
      </c>
      <c r="K3736" s="19">
        <v>66.58</v>
      </c>
      <c r="L3736" s="20">
        <v>0.1</v>
      </c>
      <c r="M3736" s="19">
        <f>Tienda!$K4192-Tienda!$K4192*Tienda!$L4192</f>
        <v>59.59</v>
      </c>
      <c r="N3736" s="3" t="s">
        <v>10040</v>
      </c>
      <c r="O3736" s="3" t="s">
        <v>10042</v>
      </c>
      <c r="P3736" s="17">
        <v>46018</v>
      </c>
      <c r="Q3736" s="4">
        <v>9</v>
      </c>
    </row>
    <row r="3737" spans="1:17" ht="30" x14ac:dyDescent="0.25">
      <c r="A3737" s="2" t="s">
        <v>2011</v>
      </c>
      <c r="B3737" s="3" t="s">
        <v>5016</v>
      </c>
      <c r="C3737" s="3">
        <v>59</v>
      </c>
      <c r="D3737" s="46" t="str">
        <f>IF(Tabla1[[#This Row],[EDAD]]&lt;=35,"Adultos jóvenes 18 - 35 años",IF(C3737&gt;=36,"Adultos mayores 36 años en adelante"))</f>
        <v>Adultos mayores 36 años en adelante</v>
      </c>
      <c r="E3737" s="3" t="s">
        <v>5023</v>
      </c>
      <c r="F3737" s="3" t="s">
        <v>5028</v>
      </c>
      <c r="G3737" s="3" t="s">
        <v>5035</v>
      </c>
      <c r="H3737" s="3" t="s">
        <v>7034</v>
      </c>
      <c r="I3737" s="17">
        <v>45775</v>
      </c>
      <c r="J3737" s="18">
        <f>YEAR(Tabla1[[#This Row],[FECHA DE COMPRA]])</f>
        <v>2025</v>
      </c>
      <c r="K3737" s="19">
        <v>75.42</v>
      </c>
      <c r="L3737" s="20">
        <v>0</v>
      </c>
      <c r="M3737" s="19">
        <f>Tienda!$K4193-Tienda!$K4193*Tienda!$L4193</f>
        <v>59.71</v>
      </c>
      <c r="N3737" s="3" t="s">
        <v>10040</v>
      </c>
      <c r="O3737" s="3" t="s">
        <v>10042</v>
      </c>
      <c r="P3737" s="17">
        <v>46045</v>
      </c>
      <c r="Q3737" s="4">
        <v>9</v>
      </c>
    </row>
    <row r="3738" spans="1:17" ht="30" x14ac:dyDescent="0.25">
      <c r="A3738" s="2" t="s">
        <v>2452</v>
      </c>
      <c r="B3738" s="3" t="s">
        <v>5015</v>
      </c>
      <c r="C3738" s="3">
        <v>61</v>
      </c>
      <c r="D3738" s="46" t="str">
        <f>IF(Tabla1[[#This Row],[EDAD]]&lt;=35,"Adultos jóvenes 18 - 35 años",IF(C3738&gt;=36,"Adultos mayores 36 años en adelante"))</f>
        <v>Adultos mayores 36 años en adelante</v>
      </c>
      <c r="E3738" s="3" t="s">
        <v>5023</v>
      </c>
      <c r="F3738" s="3" t="s">
        <v>5028</v>
      </c>
      <c r="G3738" s="3" t="s">
        <v>5032</v>
      </c>
      <c r="H3738" s="3" t="s">
        <v>7475</v>
      </c>
      <c r="I3738" s="17">
        <v>45757</v>
      </c>
      <c r="J3738" s="18">
        <f>YEAR(Tabla1[[#This Row],[FECHA DE COMPRA]])</f>
        <v>2025</v>
      </c>
      <c r="K3738" s="19">
        <v>104.93</v>
      </c>
      <c r="L3738" s="20">
        <v>0</v>
      </c>
      <c r="M3738" s="19">
        <f>Tienda!$K4195-Tienda!$K4195*Tienda!$L4195</f>
        <v>59.927</v>
      </c>
      <c r="N3738" s="3" t="s">
        <v>10040</v>
      </c>
      <c r="O3738" s="3" t="s">
        <v>10042</v>
      </c>
      <c r="P3738" s="17">
        <v>46027</v>
      </c>
      <c r="Q3738" s="4">
        <v>9</v>
      </c>
    </row>
    <row r="3739" spans="1:17" ht="30" x14ac:dyDescent="0.25">
      <c r="A3739" s="2" t="s">
        <v>3153</v>
      </c>
      <c r="B3739" s="3" t="s">
        <v>5015</v>
      </c>
      <c r="C3739" s="3">
        <v>38</v>
      </c>
      <c r="D3739" s="46" t="str">
        <f>IF(Tabla1[[#This Row],[EDAD]]&lt;=35,"Adultos jóvenes 18 - 35 años",IF(C3739&gt;=36,"Adultos mayores 36 años en adelante"))</f>
        <v>Adultos mayores 36 años en adelante</v>
      </c>
      <c r="E3739" s="3" t="s">
        <v>5022</v>
      </c>
      <c r="F3739" s="3" t="s">
        <v>5028</v>
      </c>
      <c r="G3739" s="3" t="s">
        <v>5033</v>
      </c>
      <c r="H3739" s="3" t="s">
        <v>8176</v>
      </c>
      <c r="I3739" s="17">
        <v>45753</v>
      </c>
      <c r="J3739" s="18">
        <f>YEAR(Tabla1[[#This Row],[FECHA DE COMPRA]])</f>
        <v>2025</v>
      </c>
      <c r="K3739" s="19">
        <v>107.36</v>
      </c>
      <c r="L3739" s="20">
        <v>0.3</v>
      </c>
      <c r="M3739" s="19">
        <f>Tienda!$K4197-Tienda!$K4197*Tienda!$L4197</f>
        <v>60.823999999999998</v>
      </c>
      <c r="N3739" s="3" t="s">
        <v>10040</v>
      </c>
      <c r="O3739" s="3" t="s">
        <v>10042</v>
      </c>
      <c r="P3739" s="17">
        <v>46023</v>
      </c>
      <c r="Q3739" s="4">
        <v>9</v>
      </c>
    </row>
    <row r="3740" spans="1:17" ht="30" x14ac:dyDescent="0.25">
      <c r="A3740" s="2" t="s">
        <v>2063</v>
      </c>
      <c r="B3740" s="3" t="s">
        <v>5015</v>
      </c>
      <c r="C3740" s="3">
        <v>60</v>
      </c>
      <c r="D3740" s="46" t="str">
        <f>IF(Tabla1[[#This Row],[EDAD]]&lt;=35,"Adultos jóvenes 18 - 35 años",IF(C3740&gt;=36,"Adultos mayores 36 años en adelante"))</f>
        <v>Adultos mayores 36 años en adelante</v>
      </c>
      <c r="E3740" s="3" t="s">
        <v>5020</v>
      </c>
      <c r="F3740" s="3" t="s">
        <v>5027</v>
      </c>
      <c r="G3740" s="3" t="s">
        <v>5034</v>
      </c>
      <c r="H3740" s="3" t="s">
        <v>7086</v>
      </c>
      <c r="I3740" s="17">
        <v>45751</v>
      </c>
      <c r="J3740" s="18">
        <f>YEAR(Tabla1[[#This Row],[FECHA DE COMPRA]])</f>
        <v>2025</v>
      </c>
      <c r="K3740" s="19">
        <v>117.18</v>
      </c>
      <c r="L3740" s="20">
        <v>0.2</v>
      </c>
      <c r="M3740" s="19">
        <f>Tienda!$K4198-Tienda!$K4198*Tienda!$L4198</f>
        <v>61.138000000000005</v>
      </c>
      <c r="N3740" s="3" t="s">
        <v>10040</v>
      </c>
      <c r="O3740" s="3" t="s">
        <v>10042</v>
      </c>
      <c r="P3740" s="17">
        <v>46021</v>
      </c>
      <c r="Q3740" s="4">
        <v>9</v>
      </c>
    </row>
    <row r="3741" spans="1:17" ht="30" x14ac:dyDescent="0.25">
      <c r="A3741" s="2" t="s">
        <v>2892</v>
      </c>
      <c r="B3741" s="3" t="s">
        <v>5015</v>
      </c>
      <c r="C3741" s="3">
        <v>59</v>
      </c>
      <c r="D3741" s="46" t="str">
        <f>IF(Tabla1[[#This Row],[EDAD]]&lt;=35,"Adultos jóvenes 18 - 35 años",IF(C3741&gt;=36,"Adultos mayores 36 años en adelante"))</f>
        <v>Adultos mayores 36 años en adelante</v>
      </c>
      <c r="E3741" s="3" t="s">
        <v>5021</v>
      </c>
      <c r="F3741" s="3" t="s">
        <v>5024</v>
      </c>
      <c r="G3741" s="3" t="s">
        <v>5035</v>
      </c>
      <c r="H3741" s="3" t="s">
        <v>7915</v>
      </c>
      <c r="I3741" s="17">
        <v>45772</v>
      </c>
      <c r="J3741" s="18">
        <f>YEAR(Tabla1[[#This Row],[FECHA DE COMPRA]])</f>
        <v>2025</v>
      </c>
      <c r="K3741" s="19">
        <v>119.76</v>
      </c>
      <c r="L3741" s="20">
        <v>0.3</v>
      </c>
      <c r="M3741" s="19">
        <f>Tienda!$K4199-Tienda!$K4199*Tienda!$L4199</f>
        <v>61.263999999999996</v>
      </c>
      <c r="N3741" s="3" t="s">
        <v>10040</v>
      </c>
      <c r="O3741" s="3" t="s">
        <v>10042</v>
      </c>
      <c r="P3741" s="17">
        <v>46042</v>
      </c>
      <c r="Q3741" s="4">
        <v>9</v>
      </c>
    </row>
    <row r="3742" spans="1:17" ht="30" x14ac:dyDescent="0.25">
      <c r="A3742" s="2" t="s">
        <v>3204</v>
      </c>
      <c r="B3742" s="3" t="s">
        <v>5015</v>
      </c>
      <c r="C3742" s="3">
        <v>46</v>
      </c>
      <c r="D3742" s="46" t="str">
        <f>IF(Tabla1[[#This Row],[EDAD]]&lt;=35,"Adultos jóvenes 18 - 35 años",IF(C3742&gt;=36,"Adultos mayores 36 años en adelante"))</f>
        <v>Adultos mayores 36 años en adelante</v>
      </c>
      <c r="E3742" s="3" t="s">
        <v>5022</v>
      </c>
      <c r="F3742" s="3" t="s">
        <v>5025</v>
      </c>
      <c r="G3742" s="3" t="s">
        <v>5034</v>
      </c>
      <c r="H3742" s="3" t="s">
        <v>8227</v>
      </c>
      <c r="I3742" s="17">
        <v>45772</v>
      </c>
      <c r="J3742" s="18">
        <f>YEAR(Tabla1[[#This Row],[FECHA DE COMPRA]])</f>
        <v>2025</v>
      </c>
      <c r="K3742" s="19">
        <v>188.56</v>
      </c>
      <c r="L3742" s="20">
        <v>0.1</v>
      </c>
      <c r="M3742" s="19">
        <f>Tienda!$K4202-Tienda!$K4202*Tienda!$L4202</f>
        <v>61.595999999999997</v>
      </c>
      <c r="N3742" s="3" t="s">
        <v>10040</v>
      </c>
      <c r="O3742" s="3" t="s">
        <v>10042</v>
      </c>
      <c r="P3742" s="17">
        <v>46042</v>
      </c>
      <c r="Q3742" s="4">
        <v>9</v>
      </c>
    </row>
    <row r="3743" spans="1:17" ht="30" x14ac:dyDescent="0.25">
      <c r="A3743" s="2" t="s">
        <v>3704</v>
      </c>
      <c r="B3743" s="3" t="s">
        <v>5016</v>
      </c>
      <c r="C3743" s="3">
        <v>50</v>
      </c>
      <c r="D3743" s="46" t="str">
        <f>IF(Tabla1[[#This Row],[EDAD]]&lt;=35,"Adultos jóvenes 18 - 35 años",IF(C3743&gt;=36,"Adultos mayores 36 años en adelante"))</f>
        <v>Adultos mayores 36 años en adelante</v>
      </c>
      <c r="E3743" s="3" t="s">
        <v>5017</v>
      </c>
      <c r="F3743" s="3" t="s">
        <v>5025</v>
      </c>
      <c r="G3743" s="3" t="s">
        <v>5034</v>
      </c>
      <c r="H3743" s="3" t="s">
        <v>8727</v>
      </c>
      <c r="I3743" s="17">
        <v>45783</v>
      </c>
      <c r="J3743" s="18">
        <f>YEAR(Tabla1[[#This Row],[FECHA DE COMPRA]])</f>
        <v>2025</v>
      </c>
      <c r="K3743" s="19">
        <v>10.26</v>
      </c>
      <c r="L3743" s="20">
        <v>0.2</v>
      </c>
      <c r="M3743" s="19">
        <f>Tienda!$K4203-Tienda!$K4203*Tienda!$L4203</f>
        <v>61.720000000000006</v>
      </c>
      <c r="N3743" s="3" t="s">
        <v>10040</v>
      </c>
      <c r="O3743" s="3" t="s">
        <v>10042</v>
      </c>
      <c r="P3743" s="17">
        <v>46053</v>
      </c>
      <c r="Q3743" s="4">
        <v>9</v>
      </c>
    </row>
    <row r="3744" spans="1:17" ht="30" x14ac:dyDescent="0.25">
      <c r="A3744" s="2" t="s">
        <v>3562</v>
      </c>
      <c r="B3744" s="3" t="s">
        <v>5015</v>
      </c>
      <c r="C3744" s="3">
        <v>49</v>
      </c>
      <c r="D3744" s="46" t="str">
        <f>IF(Tabla1[[#This Row],[EDAD]]&lt;=35,"Adultos jóvenes 18 - 35 años",IF(C3744&gt;=36,"Adultos mayores 36 años en adelante"))</f>
        <v>Adultos mayores 36 años en adelante</v>
      </c>
      <c r="E3744" s="3" t="s">
        <v>5022</v>
      </c>
      <c r="F3744" s="3" t="s">
        <v>5024</v>
      </c>
      <c r="G3744" s="3" t="s">
        <v>5033</v>
      </c>
      <c r="H3744" s="3" t="s">
        <v>8585</v>
      </c>
      <c r="I3744" s="17">
        <v>45794</v>
      </c>
      <c r="J3744" s="18">
        <f>YEAR(Tabla1[[#This Row],[FECHA DE COMPRA]])</f>
        <v>2025</v>
      </c>
      <c r="K3744" s="19">
        <v>12.25</v>
      </c>
      <c r="L3744" s="20">
        <v>0.3</v>
      </c>
      <c r="M3744" s="19">
        <f>Tienda!$K4204-Tienda!$K4204*Tienda!$L4204</f>
        <v>62.505000000000003</v>
      </c>
      <c r="N3744" s="3" t="s">
        <v>10040</v>
      </c>
      <c r="O3744" s="3" t="s">
        <v>10042</v>
      </c>
      <c r="P3744" s="17">
        <v>46064</v>
      </c>
      <c r="Q3744" s="4">
        <v>9</v>
      </c>
    </row>
    <row r="3745" spans="1:17" ht="30" x14ac:dyDescent="0.25">
      <c r="A3745" s="2" t="s">
        <v>4633</v>
      </c>
      <c r="B3745" s="3" t="s">
        <v>5015</v>
      </c>
      <c r="C3745" s="3">
        <v>53</v>
      </c>
      <c r="D3745" s="46" t="str">
        <f>IF(Tabla1[[#This Row],[EDAD]]&lt;=35,"Adultos jóvenes 18 - 35 años",IF(C3745&gt;=36,"Adultos mayores 36 años en adelante"))</f>
        <v>Adultos mayores 36 años en adelante</v>
      </c>
      <c r="E3745" s="3" t="s">
        <v>5023</v>
      </c>
      <c r="F3745" s="3" t="s">
        <v>5024</v>
      </c>
      <c r="G3745" s="3" t="s">
        <v>5035</v>
      </c>
      <c r="H3745" s="3" t="s">
        <v>9656</v>
      </c>
      <c r="I3745" s="17">
        <v>45784</v>
      </c>
      <c r="J3745" s="18">
        <f>YEAR(Tabla1[[#This Row],[FECHA DE COMPRA]])</f>
        <v>2025</v>
      </c>
      <c r="K3745" s="19">
        <v>14.24</v>
      </c>
      <c r="L3745" s="20">
        <v>0.2</v>
      </c>
      <c r="M3745" s="19">
        <f>Tienda!$K4205-Tienda!$K4205*Tienda!$L4205</f>
        <v>63.209999999999994</v>
      </c>
      <c r="N3745" s="3" t="s">
        <v>10040</v>
      </c>
      <c r="O3745" s="3" t="s">
        <v>10042</v>
      </c>
      <c r="P3745" s="17">
        <v>46054</v>
      </c>
      <c r="Q3745" s="4">
        <v>9</v>
      </c>
    </row>
    <row r="3746" spans="1:17" ht="30" x14ac:dyDescent="0.25">
      <c r="A3746" s="2" t="s">
        <v>4098</v>
      </c>
      <c r="B3746" s="3" t="s">
        <v>5015</v>
      </c>
      <c r="C3746" s="3">
        <v>49</v>
      </c>
      <c r="D3746" s="46" t="str">
        <f>IF(Tabla1[[#This Row],[EDAD]]&lt;=35,"Adultos jóvenes 18 - 35 años",IF(C3746&gt;=36,"Adultos mayores 36 años en adelante"))</f>
        <v>Adultos mayores 36 años en adelante</v>
      </c>
      <c r="E3746" s="3" t="s">
        <v>5018</v>
      </c>
      <c r="F3746" s="3" t="s">
        <v>5029</v>
      </c>
      <c r="G3746" s="3" t="s">
        <v>5036</v>
      </c>
      <c r="H3746" s="3" t="s">
        <v>9121</v>
      </c>
      <c r="I3746" s="17">
        <v>45799</v>
      </c>
      <c r="J3746" s="18">
        <f>YEAR(Tabla1[[#This Row],[FECHA DE COMPRA]])</f>
        <v>2025</v>
      </c>
      <c r="K3746" s="19">
        <v>28.83</v>
      </c>
      <c r="L3746" s="20">
        <v>0.3</v>
      </c>
      <c r="M3746" s="19">
        <f>Tienda!$K4206-Tienda!$K4206*Tienda!$L4206</f>
        <v>63.54</v>
      </c>
      <c r="N3746" s="3" t="s">
        <v>10040</v>
      </c>
      <c r="O3746" s="3" t="s">
        <v>10042</v>
      </c>
      <c r="P3746" s="17">
        <v>46069</v>
      </c>
      <c r="Q3746" s="4">
        <v>9</v>
      </c>
    </row>
    <row r="3747" spans="1:17" ht="30" x14ac:dyDescent="0.25">
      <c r="A3747" s="2" t="s">
        <v>1502</v>
      </c>
      <c r="B3747" s="3" t="s">
        <v>5016</v>
      </c>
      <c r="C3747" s="3">
        <v>48</v>
      </c>
      <c r="D3747" s="46" t="str">
        <f>IF(Tabla1[[#This Row],[EDAD]]&lt;=35,"Adultos jóvenes 18 - 35 años",IF(C3747&gt;=36,"Adultos mayores 36 años en adelante"))</f>
        <v>Adultos mayores 36 años en adelante</v>
      </c>
      <c r="E3747" s="3" t="s">
        <v>5017</v>
      </c>
      <c r="F3747" s="3" t="s">
        <v>5028</v>
      </c>
      <c r="G3747" s="3" t="s">
        <v>5036</v>
      </c>
      <c r="H3747" s="3" t="s">
        <v>6525</v>
      </c>
      <c r="I3747" s="17">
        <v>45803</v>
      </c>
      <c r="J3747" s="18">
        <f>YEAR(Tabla1[[#This Row],[FECHA DE COMPRA]])</f>
        <v>2025</v>
      </c>
      <c r="K3747" s="19">
        <v>58.36</v>
      </c>
      <c r="L3747" s="20">
        <v>0.2</v>
      </c>
      <c r="M3747" s="19">
        <f>Tienda!$K4211-Tienda!$K4211*Tienda!$L4211</f>
        <v>65.260000000000005</v>
      </c>
      <c r="N3747" s="3" t="s">
        <v>10040</v>
      </c>
      <c r="O3747" s="3" t="s">
        <v>10042</v>
      </c>
      <c r="P3747" s="17">
        <v>46073</v>
      </c>
      <c r="Q3747" s="4">
        <v>9</v>
      </c>
    </row>
    <row r="3748" spans="1:17" ht="30" x14ac:dyDescent="0.25">
      <c r="A3748" s="2" t="s">
        <v>3191</v>
      </c>
      <c r="B3748" s="3" t="s">
        <v>5015</v>
      </c>
      <c r="C3748" s="3">
        <v>38</v>
      </c>
      <c r="D3748" s="46" t="str">
        <f>IF(Tabla1[[#This Row],[EDAD]]&lt;=35,"Adultos jóvenes 18 - 35 años",IF(C3748&gt;=36,"Adultos mayores 36 años en adelante"))</f>
        <v>Adultos mayores 36 años en adelante</v>
      </c>
      <c r="E3748" s="3" t="s">
        <v>5020</v>
      </c>
      <c r="F3748" s="3" t="s">
        <v>5027</v>
      </c>
      <c r="G3748" s="3" t="s">
        <v>5036</v>
      </c>
      <c r="H3748" s="3" t="s">
        <v>8214</v>
      </c>
      <c r="I3748" s="17">
        <v>45794</v>
      </c>
      <c r="J3748" s="18">
        <f>YEAR(Tabla1[[#This Row],[FECHA DE COMPRA]])</f>
        <v>2025</v>
      </c>
      <c r="K3748" s="19">
        <v>95.82</v>
      </c>
      <c r="L3748" s="20">
        <v>0</v>
      </c>
      <c r="M3748" s="19">
        <f>Tienda!$K4213-Tienda!$K4213*Tienda!$L4213</f>
        <v>65.744</v>
      </c>
      <c r="N3748" s="3" t="s">
        <v>10040</v>
      </c>
      <c r="O3748" s="3" t="s">
        <v>10042</v>
      </c>
      <c r="P3748" s="17">
        <v>46064</v>
      </c>
      <c r="Q3748" s="4">
        <v>9</v>
      </c>
    </row>
    <row r="3749" spans="1:17" ht="30" x14ac:dyDescent="0.25">
      <c r="A3749" s="2" t="s">
        <v>695</v>
      </c>
      <c r="B3749" s="3" t="s">
        <v>5015</v>
      </c>
      <c r="C3749" s="3">
        <v>64</v>
      </c>
      <c r="D3749" s="46" t="str">
        <f>IF(Tabla1[[#This Row],[EDAD]]&lt;=35,"Adultos jóvenes 18 - 35 años",IF(C3749&gt;=36,"Adultos mayores 36 años en adelante"))</f>
        <v>Adultos mayores 36 años en adelante</v>
      </c>
      <c r="E3749" s="3" t="s">
        <v>5022</v>
      </c>
      <c r="F3749" s="3" t="s">
        <v>5029</v>
      </c>
      <c r="G3749" s="3" t="s">
        <v>5033</v>
      </c>
      <c r="H3749" s="3" t="s">
        <v>5718</v>
      </c>
      <c r="I3749" s="17">
        <v>45805</v>
      </c>
      <c r="J3749" s="18">
        <f>YEAR(Tabla1[[#This Row],[FECHA DE COMPRA]])</f>
        <v>2025</v>
      </c>
      <c r="K3749" s="19">
        <v>118.7</v>
      </c>
      <c r="L3749" s="20">
        <v>0.1</v>
      </c>
      <c r="M3749" s="19">
        <f>Tienda!$K4214-Tienda!$K4214*Tienda!$L4214</f>
        <v>66.344000000000008</v>
      </c>
      <c r="N3749" s="3" t="s">
        <v>10040</v>
      </c>
      <c r="O3749" s="3" t="s">
        <v>10042</v>
      </c>
      <c r="P3749" s="17">
        <v>46075</v>
      </c>
      <c r="Q3749" s="4">
        <v>9</v>
      </c>
    </row>
    <row r="3750" spans="1:17" ht="30" x14ac:dyDescent="0.25">
      <c r="A3750" s="2" t="s">
        <v>624</v>
      </c>
      <c r="B3750" s="3" t="s">
        <v>5016</v>
      </c>
      <c r="C3750" s="3">
        <v>42</v>
      </c>
      <c r="D3750" s="46" t="str">
        <f>IF(Tabla1[[#This Row],[EDAD]]&lt;=35,"Adultos jóvenes 18 - 35 años",IF(C3750&gt;=36,"Adultos mayores 36 años en adelante"))</f>
        <v>Adultos mayores 36 años en adelante</v>
      </c>
      <c r="E3750" s="3" t="s">
        <v>5021</v>
      </c>
      <c r="F3750" s="3" t="s">
        <v>5027</v>
      </c>
      <c r="G3750" s="3" t="s">
        <v>5033</v>
      </c>
      <c r="H3750" s="3" t="s">
        <v>5647</v>
      </c>
      <c r="I3750" s="17">
        <v>45785</v>
      </c>
      <c r="J3750" s="18">
        <f>YEAR(Tabla1[[#This Row],[FECHA DE COMPRA]])</f>
        <v>2025</v>
      </c>
      <c r="K3750" s="19">
        <v>120.45</v>
      </c>
      <c r="L3750" s="20">
        <v>0</v>
      </c>
      <c r="M3750" s="19">
        <f>Tienda!$K4215-Tienda!$K4215*Tienda!$L4215</f>
        <v>66.626999999999995</v>
      </c>
      <c r="N3750" s="3" t="s">
        <v>10040</v>
      </c>
      <c r="O3750" s="3" t="s">
        <v>10042</v>
      </c>
      <c r="P3750" s="17">
        <v>46055</v>
      </c>
      <c r="Q3750" s="4">
        <v>9</v>
      </c>
    </row>
    <row r="3751" spans="1:17" ht="30" x14ac:dyDescent="0.25">
      <c r="A3751" s="2" t="s">
        <v>3521</v>
      </c>
      <c r="B3751" s="3" t="s">
        <v>5015</v>
      </c>
      <c r="C3751" s="3">
        <v>45</v>
      </c>
      <c r="D3751" s="46" t="str">
        <f>IF(Tabla1[[#This Row],[EDAD]]&lt;=35,"Adultos jóvenes 18 - 35 años",IF(C3751&gt;=36,"Adultos mayores 36 años en adelante"))</f>
        <v>Adultos mayores 36 años en adelante</v>
      </c>
      <c r="E3751" s="3" t="s">
        <v>5017</v>
      </c>
      <c r="F3751" s="3" t="s">
        <v>5025</v>
      </c>
      <c r="G3751" s="3" t="s">
        <v>5032</v>
      </c>
      <c r="H3751" s="3" t="s">
        <v>8544</v>
      </c>
      <c r="I3751" s="17">
        <v>45784</v>
      </c>
      <c r="J3751" s="18">
        <f>YEAR(Tabla1[[#This Row],[FECHA DE COMPRA]])</f>
        <v>2025</v>
      </c>
      <c r="K3751" s="19">
        <v>125.32</v>
      </c>
      <c r="L3751" s="20">
        <v>0.3</v>
      </c>
      <c r="M3751" s="19">
        <f>Tienda!$K4216-Tienda!$K4216*Tienda!$L4216</f>
        <v>66.819999999999993</v>
      </c>
      <c r="N3751" s="3" t="s">
        <v>10040</v>
      </c>
      <c r="O3751" s="3" t="s">
        <v>10042</v>
      </c>
      <c r="P3751" s="17">
        <v>46054</v>
      </c>
      <c r="Q3751" s="4">
        <v>9</v>
      </c>
    </row>
    <row r="3752" spans="1:17" ht="30" x14ac:dyDescent="0.25">
      <c r="A3752" s="2" t="s">
        <v>1498</v>
      </c>
      <c r="B3752" s="3" t="s">
        <v>5015</v>
      </c>
      <c r="C3752" s="3">
        <v>59</v>
      </c>
      <c r="D3752" s="46" t="str">
        <f>IF(Tabla1[[#This Row],[EDAD]]&lt;=35,"Adultos jóvenes 18 - 35 años",IF(C3752&gt;=36,"Adultos mayores 36 años en adelante"))</f>
        <v>Adultos mayores 36 años en adelante</v>
      </c>
      <c r="E3752" s="3" t="s">
        <v>5017</v>
      </c>
      <c r="F3752" s="3" t="s">
        <v>5026</v>
      </c>
      <c r="G3752" s="3" t="s">
        <v>5037</v>
      </c>
      <c r="H3752" s="3" t="s">
        <v>6521</v>
      </c>
      <c r="I3752" s="17">
        <v>45793</v>
      </c>
      <c r="J3752" s="18">
        <f>YEAR(Tabla1[[#This Row],[FECHA DE COMPRA]])</f>
        <v>2025</v>
      </c>
      <c r="K3752" s="19">
        <v>132.13</v>
      </c>
      <c r="L3752" s="20">
        <v>0.3</v>
      </c>
      <c r="M3752" s="19">
        <f>Tienda!$K4217-Tienda!$K4217*Tienda!$L4217</f>
        <v>66.912000000000006</v>
      </c>
      <c r="N3752" s="3" t="s">
        <v>10040</v>
      </c>
      <c r="O3752" s="3" t="s">
        <v>10042</v>
      </c>
      <c r="P3752" s="17">
        <v>46063</v>
      </c>
      <c r="Q3752" s="4">
        <v>9</v>
      </c>
    </row>
    <row r="3753" spans="1:17" ht="30" x14ac:dyDescent="0.25">
      <c r="A3753" s="2" t="s">
        <v>2462</v>
      </c>
      <c r="B3753" s="3" t="s">
        <v>5015</v>
      </c>
      <c r="C3753" s="3">
        <v>58</v>
      </c>
      <c r="D3753" s="46" t="str">
        <f>IF(Tabla1[[#This Row],[EDAD]]&lt;=35,"Adultos jóvenes 18 - 35 años",IF(C3753&gt;=36,"Adultos mayores 36 años en adelante"))</f>
        <v>Adultos mayores 36 años en adelante</v>
      </c>
      <c r="E3753" s="3" t="s">
        <v>5020</v>
      </c>
      <c r="F3753" s="3" t="s">
        <v>5030</v>
      </c>
      <c r="G3753" s="3" t="s">
        <v>5034</v>
      </c>
      <c r="H3753" s="3" t="s">
        <v>7485</v>
      </c>
      <c r="I3753" s="17">
        <v>45779</v>
      </c>
      <c r="J3753" s="18">
        <f>YEAR(Tabla1[[#This Row],[FECHA DE COMPRA]])</f>
        <v>2025</v>
      </c>
      <c r="K3753" s="19">
        <v>166.93</v>
      </c>
      <c r="L3753" s="20">
        <v>0.1</v>
      </c>
      <c r="M3753" s="19">
        <f>Tienda!$K4219-Tienda!$K4219*Tienda!$L4219</f>
        <v>67.263000000000005</v>
      </c>
      <c r="N3753" s="3" t="s">
        <v>10040</v>
      </c>
      <c r="O3753" s="3" t="s">
        <v>10042</v>
      </c>
      <c r="P3753" s="17">
        <v>46049</v>
      </c>
      <c r="Q3753" s="4">
        <v>9</v>
      </c>
    </row>
    <row r="3754" spans="1:17" ht="30" x14ac:dyDescent="0.25">
      <c r="A3754" s="2" t="s">
        <v>1268</v>
      </c>
      <c r="B3754" s="3" t="s">
        <v>5015</v>
      </c>
      <c r="C3754" s="3">
        <v>60</v>
      </c>
      <c r="D3754" s="46" t="str">
        <f>IF(Tabla1[[#This Row],[EDAD]]&lt;=35,"Adultos jóvenes 18 - 35 años",IF(C3754&gt;=36,"Adultos mayores 36 años en adelante"))</f>
        <v>Adultos mayores 36 años en adelante</v>
      </c>
      <c r="E3754" s="3" t="s">
        <v>5022</v>
      </c>
      <c r="F3754" s="3" t="s">
        <v>5027</v>
      </c>
      <c r="G3754" s="3" t="s">
        <v>5037</v>
      </c>
      <c r="H3754" s="3" t="s">
        <v>6291</v>
      </c>
      <c r="I3754" s="17">
        <v>45803</v>
      </c>
      <c r="J3754" s="18">
        <f>YEAR(Tabla1[[#This Row],[FECHA DE COMPRA]])</f>
        <v>2025</v>
      </c>
      <c r="K3754" s="19">
        <v>195.46</v>
      </c>
      <c r="L3754" s="20">
        <v>0</v>
      </c>
      <c r="M3754" s="19">
        <f>Tienda!$K4220-Tienda!$K4220*Tienda!$L4220</f>
        <v>67.361000000000004</v>
      </c>
      <c r="N3754" s="3" t="s">
        <v>10040</v>
      </c>
      <c r="O3754" s="3" t="s">
        <v>10042</v>
      </c>
      <c r="P3754" s="17">
        <v>46073</v>
      </c>
      <c r="Q3754" s="4">
        <v>9</v>
      </c>
    </row>
    <row r="3755" spans="1:17" ht="30" x14ac:dyDescent="0.25">
      <c r="A3755" s="2" t="s">
        <v>3808</v>
      </c>
      <c r="B3755" s="3" t="s">
        <v>5015</v>
      </c>
      <c r="C3755" s="3">
        <v>63</v>
      </c>
      <c r="D3755" s="46" t="str">
        <f>IF(Tabla1[[#This Row],[EDAD]]&lt;=35,"Adultos jóvenes 18 - 35 años",IF(C3755&gt;=36,"Adultos mayores 36 años en adelante"))</f>
        <v>Adultos mayores 36 años en adelante</v>
      </c>
      <c r="E3755" s="3" t="s">
        <v>5020</v>
      </c>
      <c r="F3755" s="3" t="s">
        <v>5025</v>
      </c>
      <c r="G3755" s="3" t="s">
        <v>5033</v>
      </c>
      <c r="H3755" s="3" t="s">
        <v>8831</v>
      </c>
      <c r="I3755" s="17">
        <v>45810</v>
      </c>
      <c r="J3755" s="18">
        <f>YEAR(Tabla1[[#This Row],[FECHA DE COMPRA]])</f>
        <v>2025</v>
      </c>
      <c r="K3755" s="19">
        <v>60.63</v>
      </c>
      <c r="L3755" s="20">
        <v>0.2</v>
      </c>
      <c r="M3755" s="19">
        <f>Tienda!$K4223-Tienda!$K4223*Tienda!$L4223</f>
        <v>67.893000000000001</v>
      </c>
      <c r="N3755" s="3" t="s">
        <v>10040</v>
      </c>
      <c r="O3755" s="3" t="s">
        <v>10042</v>
      </c>
      <c r="P3755" s="17">
        <v>46080</v>
      </c>
      <c r="Q3755" s="4">
        <v>9</v>
      </c>
    </row>
    <row r="3756" spans="1:17" ht="30" x14ac:dyDescent="0.25">
      <c r="A3756" s="2" t="s">
        <v>4906</v>
      </c>
      <c r="B3756" s="3" t="s">
        <v>5015</v>
      </c>
      <c r="C3756" s="3">
        <v>60</v>
      </c>
      <c r="D3756" s="46" t="str">
        <f>IF(Tabla1[[#This Row],[EDAD]]&lt;=35,"Adultos jóvenes 18 - 35 años",IF(C3756&gt;=36,"Adultos mayores 36 años en adelante"))</f>
        <v>Adultos mayores 36 años en adelante</v>
      </c>
      <c r="E3756" s="3" t="s">
        <v>5020</v>
      </c>
      <c r="F3756" s="3" t="s">
        <v>5028</v>
      </c>
      <c r="G3756" s="3" t="s">
        <v>5031</v>
      </c>
      <c r="H3756" s="3" t="s">
        <v>9929</v>
      </c>
      <c r="I3756" s="17">
        <v>45830</v>
      </c>
      <c r="J3756" s="18">
        <f>YEAR(Tabla1[[#This Row],[FECHA DE COMPRA]])</f>
        <v>2025</v>
      </c>
      <c r="K3756" s="19">
        <v>65.400000000000006</v>
      </c>
      <c r="L3756" s="20">
        <v>0</v>
      </c>
      <c r="M3756" s="19">
        <f>Tienda!$K4224-Tienda!$K4224*Tienda!$L4224</f>
        <v>68.34</v>
      </c>
      <c r="N3756" s="3" t="s">
        <v>10040</v>
      </c>
      <c r="O3756" s="3" t="s">
        <v>10042</v>
      </c>
      <c r="P3756" s="17">
        <v>46100</v>
      </c>
      <c r="Q3756" s="4">
        <v>9</v>
      </c>
    </row>
    <row r="3757" spans="1:17" ht="30" x14ac:dyDescent="0.25">
      <c r="A3757" s="2" t="s">
        <v>3333</v>
      </c>
      <c r="B3757" s="3" t="s">
        <v>5016</v>
      </c>
      <c r="C3757" s="3">
        <v>42</v>
      </c>
      <c r="D3757" s="46" t="str">
        <f>IF(Tabla1[[#This Row],[EDAD]]&lt;=35,"Adultos jóvenes 18 - 35 años",IF(C3757&gt;=36,"Adultos mayores 36 años en adelante"))</f>
        <v>Adultos mayores 36 años en adelante</v>
      </c>
      <c r="E3757" s="3" t="s">
        <v>5017</v>
      </c>
      <c r="F3757" s="3" t="s">
        <v>5029</v>
      </c>
      <c r="G3757" s="3" t="s">
        <v>5035</v>
      </c>
      <c r="H3757" s="3" t="s">
        <v>8356</v>
      </c>
      <c r="I3757" s="17">
        <v>45816</v>
      </c>
      <c r="J3757" s="18">
        <f>YEAR(Tabla1[[#This Row],[FECHA DE COMPRA]])</f>
        <v>2025</v>
      </c>
      <c r="K3757" s="19">
        <v>76.66</v>
      </c>
      <c r="L3757" s="20">
        <v>0</v>
      </c>
      <c r="M3757" s="19">
        <f>Tienda!$K4225-Tienda!$K4225*Tienda!$L4225</f>
        <v>68.47999999999999</v>
      </c>
      <c r="N3757" s="3" t="s">
        <v>10040</v>
      </c>
      <c r="O3757" s="3" t="s">
        <v>10042</v>
      </c>
      <c r="P3757" s="17">
        <v>46086</v>
      </c>
      <c r="Q3757" s="4">
        <v>9</v>
      </c>
    </row>
    <row r="3758" spans="1:17" ht="30" x14ac:dyDescent="0.25">
      <c r="A3758" s="2" t="s">
        <v>21</v>
      </c>
      <c r="B3758" s="3" t="s">
        <v>5015</v>
      </c>
      <c r="C3758" s="3">
        <v>56</v>
      </c>
      <c r="D3758" s="46" t="str">
        <f>IF(Tabla1[[#This Row],[EDAD]]&lt;=35,"Adultos jóvenes 18 - 35 años",IF(C3758&gt;=36,"Adultos mayores 36 años en adelante"))</f>
        <v>Adultos mayores 36 años en adelante</v>
      </c>
      <c r="E3758" s="3" t="s">
        <v>5020</v>
      </c>
      <c r="F3758" s="3" t="s">
        <v>5027</v>
      </c>
      <c r="G3758" s="3" t="s">
        <v>5036</v>
      </c>
      <c r="H3758" s="3" t="s">
        <v>5044</v>
      </c>
      <c r="I3758" s="17">
        <v>45813</v>
      </c>
      <c r="J3758" s="18">
        <f>YEAR(Tabla1[[#This Row],[FECHA DE COMPRA]])</f>
        <v>2025</v>
      </c>
      <c r="K3758" s="19">
        <v>110.19</v>
      </c>
      <c r="L3758" s="20">
        <v>0.1</v>
      </c>
      <c r="M3758" s="19">
        <f>Tienda!$K4228-Tienda!$K4228*Tienda!$L4228</f>
        <v>69.111000000000004</v>
      </c>
      <c r="N3758" s="3" t="s">
        <v>10040</v>
      </c>
      <c r="O3758" s="3" t="s">
        <v>10042</v>
      </c>
      <c r="P3758" s="17">
        <v>46083</v>
      </c>
      <c r="Q3758" s="4">
        <v>9</v>
      </c>
    </row>
    <row r="3759" spans="1:17" ht="30" x14ac:dyDescent="0.25">
      <c r="A3759" s="2" t="s">
        <v>1063</v>
      </c>
      <c r="B3759" s="3" t="s">
        <v>5015</v>
      </c>
      <c r="C3759" s="3">
        <v>42</v>
      </c>
      <c r="D3759" s="46" t="str">
        <f>IF(Tabla1[[#This Row],[EDAD]]&lt;=35,"Adultos jóvenes 18 - 35 años",IF(C3759&gt;=36,"Adultos mayores 36 años en adelante"))</f>
        <v>Adultos mayores 36 años en adelante</v>
      </c>
      <c r="E3759" s="3" t="s">
        <v>5020</v>
      </c>
      <c r="F3759" s="3" t="s">
        <v>5028</v>
      </c>
      <c r="G3759" s="3" t="s">
        <v>5035</v>
      </c>
      <c r="H3759" s="3" t="s">
        <v>6086</v>
      </c>
      <c r="I3759" s="17">
        <v>45818</v>
      </c>
      <c r="J3759" s="18">
        <f>YEAR(Tabla1[[#This Row],[FECHA DE COMPRA]])</f>
        <v>2025</v>
      </c>
      <c r="K3759" s="19">
        <v>119.34</v>
      </c>
      <c r="L3759" s="20">
        <v>0.2</v>
      </c>
      <c r="M3759" s="19">
        <f>Tienda!$K4229-Tienda!$K4229*Tienda!$L4229</f>
        <v>69.22</v>
      </c>
      <c r="N3759" s="3" t="s">
        <v>10040</v>
      </c>
      <c r="O3759" s="3" t="s">
        <v>10042</v>
      </c>
      <c r="P3759" s="17">
        <v>46088</v>
      </c>
      <c r="Q3759" s="4">
        <v>9</v>
      </c>
    </row>
    <row r="3760" spans="1:17" ht="30" x14ac:dyDescent="0.25">
      <c r="A3760" s="2" t="s">
        <v>787</v>
      </c>
      <c r="B3760" s="3" t="s">
        <v>5015</v>
      </c>
      <c r="C3760" s="3">
        <v>59</v>
      </c>
      <c r="D3760" s="46" t="str">
        <f>IF(Tabla1[[#This Row],[EDAD]]&lt;=35,"Adultos jóvenes 18 - 35 años",IF(C3760&gt;=36,"Adultos mayores 36 años en adelante"))</f>
        <v>Adultos mayores 36 años en adelante</v>
      </c>
      <c r="E3760" s="3" t="s">
        <v>5022</v>
      </c>
      <c r="F3760" s="3" t="s">
        <v>5030</v>
      </c>
      <c r="G3760" s="3" t="s">
        <v>5032</v>
      </c>
      <c r="H3760" s="3" t="s">
        <v>5810</v>
      </c>
      <c r="I3760" s="17">
        <v>45827</v>
      </c>
      <c r="J3760" s="18">
        <f>YEAR(Tabla1[[#This Row],[FECHA DE COMPRA]])</f>
        <v>2025</v>
      </c>
      <c r="K3760" s="19">
        <v>121.82</v>
      </c>
      <c r="L3760" s="20">
        <v>0.3</v>
      </c>
      <c r="M3760" s="19">
        <f>Tienda!$K4230-Tienda!$K4230*Tienda!$L4230</f>
        <v>69.25</v>
      </c>
      <c r="N3760" s="3" t="s">
        <v>10040</v>
      </c>
      <c r="O3760" s="3" t="s">
        <v>10042</v>
      </c>
      <c r="P3760" s="17">
        <v>46097</v>
      </c>
      <c r="Q3760" s="4">
        <v>9</v>
      </c>
    </row>
    <row r="3761" spans="1:17" ht="30" x14ac:dyDescent="0.25">
      <c r="A3761" s="2" t="s">
        <v>3729</v>
      </c>
      <c r="B3761" s="3" t="s">
        <v>5015</v>
      </c>
      <c r="C3761" s="3">
        <v>38</v>
      </c>
      <c r="D3761" s="46" t="str">
        <f>IF(Tabla1[[#This Row],[EDAD]]&lt;=35,"Adultos jóvenes 18 - 35 años",IF(C3761&gt;=36,"Adultos mayores 36 años en adelante"))</f>
        <v>Adultos mayores 36 años en adelante</v>
      </c>
      <c r="E3761" s="3" t="s">
        <v>5020</v>
      </c>
      <c r="F3761" s="3" t="s">
        <v>5029</v>
      </c>
      <c r="G3761" s="3" t="s">
        <v>5036</v>
      </c>
      <c r="H3761" s="3" t="s">
        <v>8752</v>
      </c>
      <c r="I3761" s="17">
        <v>45835</v>
      </c>
      <c r="J3761" s="18">
        <f>YEAR(Tabla1[[#This Row],[FECHA DE COMPRA]])</f>
        <v>2025</v>
      </c>
      <c r="K3761" s="19">
        <v>132.18</v>
      </c>
      <c r="L3761" s="20">
        <v>0.3</v>
      </c>
      <c r="M3761" s="19">
        <f>Tienda!$K4231-Tienda!$K4231*Tienda!$L4231</f>
        <v>69.489999999999995</v>
      </c>
      <c r="N3761" s="3" t="s">
        <v>10040</v>
      </c>
      <c r="O3761" s="3" t="s">
        <v>10042</v>
      </c>
      <c r="P3761" s="17">
        <v>46105</v>
      </c>
      <c r="Q3761" s="4">
        <v>9</v>
      </c>
    </row>
    <row r="3762" spans="1:17" ht="30" x14ac:dyDescent="0.25">
      <c r="A3762" s="2" t="s">
        <v>446</v>
      </c>
      <c r="B3762" s="3" t="s">
        <v>5015</v>
      </c>
      <c r="C3762" s="3">
        <v>37</v>
      </c>
      <c r="D3762" s="46" t="str">
        <f>IF(Tabla1[[#This Row],[EDAD]]&lt;=35,"Adultos jóvenes 18 - 35 años",IF(C3762&gt;=36,"Adultos mayores 36 años en adelante"))</f>
        <v>Adultos mayores 36 años en adelante</v>
      </c>
      <c r="E3762" s="3" t="s">
        <v>5020</v>
      </c>
      <c r="F3762" s="3" t="s">
        <v>5030</v>
      </c>
      <c r="G3762" s="3" t="s">
        <v>5032</v>
      </c>
      <c r="H3762" s="3" t="s">
        <v>5469</v>
      </c>
      <c r="I3762" s="17">
        <v>45831</v>
      </c>
      <c r="J3762" s="18">
        <f>YEAR(Tabla1[[#This Row],[FECHA DE COMPRA]])</f>
        <v>2025</v>
      </c>
      <c r="K3762" s="19">
        <v>145.59</v>
      </c>
      <c r="L3762" s="20">
        <v>0.1</v>
      </c>
      <c r="M3762" s="19">
        <f>Tienda!$K4232-Tienda!$K4232*Tienda!$L4232</f>
        <v>69.510000000000005</v>
      </c>
      <c r="N3762" s="3" t="s">
        <v>10040</v>
      </c>
      <c r="O3762" s="3" t="s">
        <v>10042</v>
      </c>
      <c r="P3762" s="17">
        <v>46101</v>
      </c>
      <c r="Q3762" s="4">
        <v>9</v>
      </c>
    </row>
    <row r="3763" spans="1:17" ht="30" x14ac:dyDescent="0.25">
      <c r="A3763" s="2" t="s">
        <v>3423</v>
      </c>
      <c r="B3763" s="3" t="s">
        <v>5015</v>
      </c>
      <c r="C3763" s="3">
        <v>39</v>
      </c>
      <c r="D3763" s="46" t="str">
        <f>IF(Tabla1[[#This Row],[EDAD]]&lt;=35,"Adultos jóvenes 18 - 35 años",IF(C3763&gt;=36,"Adultos mayores 36 años en adelante"))</f>
        <v>Adultos mayores 36 años en adelante</v>
      </c>
      <c r="E3763" s="3" t="s">
        <v>5023</v>
      </c>
      <c r="F3763" s="3" t="s">
        <v>5024</v>
      </c>
      <c r="G3763" s="3" t="s">
        <v>5036</v>
      </c>
      <c r="H3763" s="3" t="s">
        <v>8446</v>
      </c>
      <c r="I3763" s="17">
        <v>45819</v>
      </c>
      <c r="J3763" s="18">
        <f>YEAR(Tabla1[[#This Row],[FECHA DE COMPRA]])</f>
        <v>2025</v>
      </c>
      <c r="K3763" s="19">
        <v>195.17</v>
      </c>
      <c r="L3763" s="20">
        <v>0.3</v>
      </c>
      <c r="M3763" s="19">
        <f>Tienda!$K4233-Tienda!$K4233*Tienda!$L4233</f>
        <v>69.909000000000006</v>
      </c>
      <c r="N3763" s="3" t="s">
        <v>10040</v>
      </c>
      <c r="O3763" s="3" t="s">
        <v>10042</v>
      </c>
      <c r="P3763" s="17">
        <v>46089</v>
      </c>
      <c r="Q3763" s="4">
        <v>9</v>
      </c>
    </row>
    <row r="3764" spans="1:17" ht="30" x14ac:dyDescent="0.25">
      <c r="A3764" s="2" t="s">
        <v>4003</v>
      </c>
      <c r="B3764" s="3" t="s">
        <v>5016</v>
      </c>
      <c r="C3764" s="3">
        <v>58</v>
      </c>
      <c r="D3764" s="46" t="str">
        <f>IF(Tabla1[[#This Row],[EDAD]]&lt;=35,"Adultos jóvenes 18 - 35 años",IF(C3764&gt;=36,"Adultos mayores 36 años en adelante"))</f>
        <v>Adultos mayores 36 años en adelante</v>
      </c>
      <c r="E3764" s="3" t="s">
        <v>5019</v>
      </c>
      <c r="F3764" s="3" t="s">
        <v>5025</v>
      </c>
      <c r="G3764" s="3" t="s">
        <v>5035</v>
      </c>
      <c r="H3764" s="3" t="s">
        <v>9026</v>
      </c>
      <c r="I3764" s="17">
        <v>45867</v>
      </c>
      <c r="J3764" s="18">
        <f>YEAR(Tabla1[[#This Row],[FECHA DE COMPRA]])</f>
        <v>2025</v>
      </c>
      <c r="K3764" s="19">
        <v>54.97</v>
      </c>
      <c r="L3764" s="20">
        <v>0</v>
      </c>
      <c r="M3764" s="19">
        <f>Tienda!$K4236-Tienda!$K4236*Tienda!$L4236</f>
        <v>70.790999999999997</v>
      </c>
      <c r="N3764" s="3" t="s">
        <v>10040</v>
      </c>
      <c r="O3764" s="3" t="s">
        <v>10042</v>
      </c>
      <c r="P3764" s="17">
        <v>46137</v>
      </c>
      <c r="Q3764" s="4">
        <v>9</v>
      </c>
    </row>
    <row r="3765" spans="1:17" ht="30" x14ac:dyDescent="0.25">
      <c r="A3765" s="2" t="s">
        <v>2428</v>
      </c>
      <c r="B3765" s="3" t="s">
        <v>5015</v>
      </c>
      <c r="C3765" s="3">
        <v>40</v>
      </c>
      <c r="D3765" s="46" t="str">
        <f>IF(Tabla1[[#This Row],[EDAD]]&lt;=35,"Adultos jóvenes 18 - 35 años",IF(C3765&gt;=36,"Adultos mayores 36 años en adelante"))</f>
        <v>Adultos mayores 36 años en adelante</v>
      </c>
      <c r="E3765" s="3" t="s">
        <v>5020</v>
      </c>
      <c r="F3765" s="3" t="s">
        <v>5028</v>
      </c>
      <c r="G3765" s="3" t="s">
        <v>5035</v>
      </c>
      <c r="H3765" s="3" t="s">
        <v>7451</v>
      </c>
      <c r="I3765" s="17">
        <v>45846</v>
      </c>
      <c r="J3765" s="18">
        <f>YEAR(Tabla1[[#This Row],[FECHA DE COMPRA]])</f>
        <v>2025</v>
      </c>
      <c r="K3765" s="19">
        <v>78.06</v>
      </c>
      <c r="L3765" s="20">
        <v>0.2</v>
      </c>
      <c r="M3765" s="19">
        <f>Tienda!$K4237-Tienda!$K4237*Tienda!$L4237</f>
        <v>70.849999999999994</v>
      </c>
      <c r="N3765" s="3" t="s">
        <v>10040</v>
      </c>
      <c r="O3765" s="3" t="s">
        <v>10042</v>
      </c>
      <c r="P3765" s="17">
        <v>46116</v>
      </c>
      <c r="Q3765" s="4">
        <v>9</v>
      </c>
    </row>
    <row r="3766" spans="1:17" ht="30" x14ac:dyDescent="0.25">
      <c r="A3766" s="2" t="s">
        <v>309</v>
      </c>
      <c r="B3766" s="3" t="s">
        <v>5015</v>
      </c>
      <c r="C3766" s="3">
        <v>39</v>
      </c>
      <c r="D3766" s="46" t="str">
        <f>IF(Tabla1[[#This Row],[EDAD]]&lt;=35,"Adultos jóvenes 18 - 35 años",IF(C3766&gt;=36,"Adultos mayores 36 años en adelante"))</f>
        <v>Adultos mayores 36 años en adelante</v>
      </c>
      <c r="E3766" s="3" t="s">
        <v>5019</v>
      </c>
      <c r="F3766" s="3" t="s">
        <v>5030</v>
      </c>
      <c r="G3766" s="3" t="s">
        <v>5035</v>
      </c>
      <c r="H3766" s="3" t="s">
        <v>5332</v>
      </c>
      <c r="I3766" s="17">
        <v>45859</v>
      </c>
      <c r="J3766" s="18">
        <f>YEAR(Tabla1[[#This Row],[FECHA DE COMPRA]])</f>
        <v>2025</v>
      </c>
      <c r="K3766" s="19">
        <v>102.96</v>
      </c>
      <c r="L3766" s="20">
        <v>0.3</v>
      </c>
      <c r="M3766" s="19">
        <f>Tienda!$K4239-Tienda!$K4239*Tienda!$L4239</f>
        <v>71.308999999999997</v>
      </c>
      <c r="N3766" s="3" t="s">
        <v>10040</v>
      </c>
      <c r="O3766" s="3" t="s">
        <v>10042</v>
      </c>
      <c r="P3766" s="17">
        <v>46129</v>
      </c>
      <c r="Q3766" s="4">
        <v>9</v>
      </c>
    </row>
    <row r="3767" spans="1:17" ht="30" x14ac:dyDescent="0.25">
      <c r="A3767" s="2" t="s">
        <v>3429</v>
      </c>
      <c r="B3767" s="3" t="s">
        <v>5015</v>
      </c>
      <c r="C3767" s="3">
        <v>55</v>
      </c>
      <c r="D3767" s="46" t="str">
        <f>IF(Tabla1[[#This Row],[EDAD]]&lt;=35,"Adultos jóvenes 18 - 35 años",IF(C3767&gt;=36,"Adultos mayores 36 años en adelante"))</f>
        <v>Adultos mayores 36 años en adelante</v>
      </c>
      <c r="E3767" s="3" t="s">
        <v>5020</v>
      </c>
      <c r="F3767" s="3" t="s">
        <v>5029</v>
      </c>
      <c r="G3767" s="3" t="s">
        <v>5036</v>
      </c>
      <c r="H3767" s="3" t="s">
        <v>8452</v>
      </c>
      <c r="I3767" s="17">
        <v>45852</v>
      </c>
      <c r="J3767" s="18">
        <f>YEAR(Tabla1[[#This Row],[FECHA DE COMPRA]])</f>
        <v>2025</v>
      </c>
      <c r="K3767" s="19">
        <v>103.68</v>
      </c>
      <c r="L3767" s="20">
        <v>0.1</v>
      </c>
      <c r="M3767" s="19">
        <f>Tienda!$K4240-Tienda!$K4240*Tienda!$L4240</f>
        <v>71.400000000000006</v>
      </c>
      <c r="N3767" s="3" t="s">
        <v>10040</v>
      </c>
      <c r="O3767" s="3" t="s">
        <v>10042</v>
      </c>
      <c r="P3767" s="17">
        <v>46122</v>
      </c>
      <c r="Q3767" s="4">
        <v>9</v>
      </c>
    </row>
    <row r="3768" spans="1:17" ht="30" x14ac:dyDescent="0.25">
      <c r="A3768" s="2" t="s">
        <v>3146</v>
      </c>
      <c r="B3768" s="3" t="s">
        <v>5015</v>
      </c>
      <c r="C3768" s="3">
        <v>65</v>
      </c>
      <c r="D3768" s="46" t="str">
        <f>IF(Tabla1[[#This Row],[EDAD]]&lt;=35,"Adultos jóvenes 18 - 35 años",IF(C3768&gt;=36,"Adultos mayores 36 años en adelante"))</f>
        <v>Adultos mayores 36 años en adelante</v>
      </c>
      <c r="E3768" s="3" t="s">
        <v>5019</v>
      </c>
      <c r="F3768" s="3" t="s">
        <v>5030</v>
      </c>
      <c r="G3768" s="3" t="s">
        <v>5037</v>
      </c>
      <c r="H3768" s="3" t="s">
        <v>8169</v>
      </c>
      <c r="I3768" s="17">
        <v>45841</v>
      </c>
      <c r="J3768" s="18">
        <f>YEAR(Tabla1[[#This Row],[FECHA DE COMPRA]])</f>
        <v>2025</v>
      </c>
      <c r="K3768" s="19">
        <v>196.16</v>
      </c>
      <c r="L3768" s="20">
        <v>0</v>
      </c>
      <c r="M3768" s="19">
        <f>Tienda!$K4242-Tienda!$K4242*Tienda!$L4242</f>
        <v>71.58</v>
      </c>
      <c r="N3768" s="3" t="s">
        <v>10040</v>
      </c>
      <c r="O3768" s="3" t="s">
        <v>10042</v>
      </c>
      <c r="P3768" s="17">
        <v>46111</v>
      </c>
      <c r="Q3768" s="4">
        <v>9</v>
      </c>
    </row>
    <row r="3769" spans="1:17" ht="30" x14ac:dyDescent="0.25">
      <c r="A3769" s="2" t="s">
        <v>3952</v>
      </c>
      <c r="B3769" s="3" t="s">
        <v>5015</v>
      </c>
      <c r="C3769" s="3">
        <v>52</v>
      </c>
      <c r="D3769" s="46" t="str">
        <f>IF(Tabla1[[#This Row],[EDAD]]&lt;=35,"Adultos jóvenes 18 - 35 años",IF(C3769&gt;=36,"Adultos mayores 36 años en adelante"))</f>
        <v>Adultos mayores 36 años en adelante</v>
      </c>
      <c r="E3769" s="3" t="s">
        <v>5019</v>
      </c>
      <c r="F3769" s="3" t="s">
        <v>5027</v>
      </c>
      <c r="G3769" s="3" t="s">
        <v>5037</v>
      </c>
      <c r="H3769" s="3" t="s">
        <v>8975</v>
      </c>
      <c r="I3769" s="17">
        <v>45872</v>
      </c>
      <c r="J3769" s="18">
        <f>YEAR(Tabla1[[#This Row],[FECHA DE COMPRA]])</f>
        <v>2025</v>
      </c>
      <c r="K3769" s="19">
        <v>181.45</v>
      </c>
      <c r="L3769" s="20">
        <v>0.3</v>
      </c>
      <c r="M3769" s="19">
        <f>Tienda!$K4246-Tienda!$K4246*Tienda!$L4246</f>
        <v>72.278999999999996</v>
      </c>
      <c r="N3769" s="3" t="s">
        <v>10040</v>
      </c>
      <c r="O3769" s="3" t="s">
        <v>10042</v>
      </c>
      <c r="P3769" s="17">
        <v>46142</v>
      </c>
      <c r="Q3769" s="4">
        <v>9</v>
      </c>
    </row>
    <row r="3770" spans="1:17" ht="30" x14ac:dyDescent="0.25">
      <c r="A3770" s="2" t="s">
        <v>16</v>
      </c>
      <c r="B3770" s="3" t="s">
        <v>5015</v>
      </c>
      <c r="C3770" s="3">
        <v>40</v>
      </c>
      <c r="D3770" s="46" t="str">
        <f>IF(Tabla1[[#This Row],[EDAD]]&lt;=35,"Adultos jóvenes 18 - 35 años",IF(C3770&gt;=36,"Adultos mayores 36 años en adelante"))</f>
        <v>Adultos mayores 36 años en adelante</v>
      </c>
      <c r="E3770" s="3" t="s">
        <v>5018</v>
      </c>
      <c r="F3770" s="3" t="s">
        <v>5025</v>
      </c>
      <c r="G3770" s="3" t="s">
        <v>5032</v>
      </c>
      <c r="H3770" s="3" t="s">
        <v>5039</v>
      </c>
      <c r="I3770" s="17">
        <v>45861</v>
      </c>
      <c r="J3770" s="18">
        <f>YEAR(Tabla1[[#This Row],[FECHA DE COMPRA]])</f>
        <v>2025</v>
      </c>
      <c r="K3770" s="19">
        <v>122.95</v>
      </c>
      <c r="L3770" s="20">
        <v>0.1</v>
      </c>
      <c r="M3770" s="19">
        <f>Tienda!$K4248-Tienda!$K4248*Tienda!$L4248</f>
        <v>72.510000000000005</v>
      </c>
      <c r="N3770" s="3" t="s">
        <v>10040</v>
      </c>
      <c r="O3770" s="3" t="s">
        <v>10042</v>
      </c>
      <c r="P3770" s="17">
        <v>46131</v>
      </c>
      <c r="Q3770" s="4">
        <v>9</v>
      </c>
    </row>
    <row r="3771" spans="1:17" ht="30" x14ac:dyDescent="0.25">
      <c r="A3771" s="2" t="s">
        <v>3941</v>
      </c>
      <c r="B3771" s="3" t="s">
        <v>5016</v>
      </c>
      <c r="C3771" s="3">
        <v>50</v>
      </c>
      <c r="D3771" s="46" t="str">
        <f>IF(Tabla1[[#This Row],[EDAD]]&lt;=35,"Adultos jóvenes 18 - 35 años",IF(C3771&gt;=36,"Adultos mayores 36 años en adelante"))</f>
        <v>Adultos mayores 36 años en adelante</v>
      </c>
      <c r="E3771" s="3" t="s">
        <v>5017</v>
      </c>
      <c r="F3771" s="3" t="s">
        <v>5030</v>
      </c>
      <c r="G3771" s="3" t="s">
        <v>5036</v>
      </c>
      <c r="H3771" s="3" t="s">
        <v>8964</v>
      </c>
      <c r="I3771" s="17">
        <v>45855</v>
      </c>
      <c r="J3771" s="18">
        <f>YEAR(Tabla1[[#This Row],[FECHA DE COMPRA]])</f>
        <v>2025</v>
      </c>
      <c r="K3771" s="19">
        <v>143.78</v>
      </c>
      <c r="L3771" s="20">
        <v>0.1</v>
      </c>
      <c r="M3771" s="19">
        <f>Tienda!$K4249-Tienda!$K4249*Tienda!$L4249</f>
        <v>72.521999999999991</v>
      </c>
      <c r="N3771" s="3" t="s">
        <v>10040</v>
      </c>
      <c r="O3771" s="3" t="s">
        <v>10042</v>
      </c>
      <c r="P3771" s="17">
        <v>46125</v>
      </c>
      <c r="Q3771" s="4">
        <v>9</v>
      </c>
    </row>
    <row r="3772" spans="1:17" ht="30" x14ac:dyDescent="0.25">
      <c r="A3772" s="2" t="s">
        <v>3658</v>
      </c>
      <c r="B3772" s="3" t="s">
        <v>5015</v>
      </c>
      <c r="C3772" s="3">
        <v>42</v>
      </c>
      <c r="D3772" s="46" t="str">
        <f>IF(Tabla1[[#This Row],[EDAD]]&lt;=35,"Adultos jóvenes 18 - 35 años",IF(C3772&gt;=36,"Adultos mayores 36 años en adelante"))</f>
        <v>Adultos mayores 36 años en adelante</v>
      </c>
      <c r="E3772" s="3" t="s">
        <v>5017</v>
      </c>
      <c r="F3772" s="3" t="s">
        <v>5025</v>
      </c>
      <c r="G3772" s="3" t="s">
        <v>5035</v>
      </c>
      <c r="H3772" s="3" t="s">
        <v>8681</v>
      </c>
      <c r="I3772" s="17">
        <v>45859</v>
      </c>
      <c r="J3772" s="18">
        <f>YEAR(Tabla1[[#This Row],[FECHA DE COMPRA]])</f>
        <v>2025</v>
      </c>
      <c r="K3772" s="19">
        <v>151.97</v>
      </c>
      <c r="L3772" s="20">
        <v>0</v>
      </c>
      <c r="M3772" s="19">
        <f>Tienda!$K4250-Tienda!$K4250*Tienda!$L4250</f>
        <v>72.653000000000006</v>
      </c>
      <c r="N3772" s="3" t="s">
        <v>10040</v>
      </c>
      <c r="O3772" s="3" t="s">
        <v>10042</v>
      </c>
      <c r="P3772" s="17">
        <v>46129</v>
      </c>
      <c r="Q3772" s="4">
        <v>9</v>
      </c>
    </row>
    <row r="3773" spans="1:17" ht="30" x14ac:dyDescent="0.25">
      <c r="A3773" s="2" t="s">
        <v>343</v>
      </c>
      <c r="B3773" s="3" t="s">
        <v>5015</v>
      </c>
      <c r="C3773" s="3">
        <v>43</v>
      </c>
      <c r="D3773" s="46" t="str">
        <f>IF(Tabla1[[#This Row],[EDAD]]&lt;=35,"Adultos jóvenes 18 - 35 años",IF(C3773&gt;=36,"Adultos mayores 36 años en adelante"))</f>
        <v>Adultos mayores 36 años en adelante</v>
      </c>
      <c r="E3773" s="3" t="s">
        <v>5017</v>
      </c>
      <c r="F3773" s="3" t="s">
        <v>5027</v>
      </c>
      <c r="G3773" s="3" t="s">
        <v>5031</v>
      </c>
      <c r="H3773" s="3" t="s">
        <v>5366</v>
      </c>
      <c r="I3773" s="17">
        <v>45863</v>
      </c>
      <c r="J3773" s="18">
        <f>YEAR(Tabla1[[#This Row],[FECHA DE COMPRA]])</f>
        <v>2025</v>
      </c>
      <c r="K3773" s="19">
        <v>184.94</v>
      </c>
      <c r="L3773" s="20">
        <v>0.3</v>
      </c>
      <c r="M3773" s="19">
        <f>Tienda!$K4252-Tienda!$K4252*Tienda!$L4252</f>
        <v>73.19</v>
      </c>
      <c r="N3773" s="3" t="s">
        <v>10040</v>
      </c>
      <c r="O3773" s="3" t="s">
        <v>10042</v>
      </c>
      <c r="P3773" s="17">
        <v>46133</v>
      </c>
      <c r="Q3773" s="4">
        <v>9</v>
      </c>
    </row>
    <row r="3774" spans="1:17" ht="30" x14ac:dyDescent="0.25">
      <c r="A3774" s="2" t="s">
        <v>2520</v>
      </c>
      <c r="B3774" s="3" t="s">
        <v>5015</v>
      </c>
      <c r="C3774" s="3">
        <v>64</v>
      </c>
      <c r="D3774" s="46" t="str">
        <f>IF(Tabla1[[#This Row],[EDAD]]&lt;=35,"Adultos jóvenes 18 - 35 años",IF(C3774&gt;=36,"Adultos mayores 36 años en adelante"))</f>
        <v>Adultos mayores 36 años en adelante</v>
      </c>
      <c r="E3774" s="3" t="s">
        <v>5019</v>
      </c>
      <c r="F3774" s="3" t="s">
        <v>5030</v>
      </c>
      <c r="G3774" s="3" t="s">
        <v>5035</v>
      </c>
      <c r="H3774" s="3" t="s">
        <v>7543</v>
      </c>
      <c r="I3774" s="17">
        <v>45850</v>
      </c>
      <c r="J3774" s="18">
        <f>YEAR(Tabla1[[#This Row],[FECHA DE COMPRA]])</f>
        <v>2025</v>
      </c>
      <c r="K3774" s="19">
        <v>185.56</v>
      </c>
      <c r="L3774" s="20">
        <v>0.3</v>
      </c>
      <c r="M3774" s="19">
        <f>Tienda!$K4253-Tienda!$K4253*Tienda!$L4253</f>
        <v>73.709999999999994</v>
      </c>
      <c r="N3774" s="3" t="s">
        <v>10040</v>
      </c>
      <c r="O3774" s="3" t="s">
        <v>10042</v>
      </c>
      <c r="P3774" s="17">
        <v>46120</v>
      </c>
      <c r="Q3774" s="4">
        <v>9</v>
      </c>
    </row>
    <row r="3775" spans="1:17" ht="30" x14ac:dyDescent="0.25">
      <c r="A3775" s="2" t="s">
        <v>3303</v>
      </c>
      <c r="B3775" s="3" t="s">
        <v>5015</v>
      </c>
      <c r="C3775" s="3">
        <v>45</v>
      </c>
      <c r="D3775" s="46" t="str">
        <f>IF(Tabla1[[#This Row],[EDAD]]&lt;=35,"Adultos jóvenes 18 - 35 años",IF(C3775&gt;=36,"Adultos mayores 36 años en adelante"))</f>
        <v>Adultos mayores 36 años en adelante</v>
      </c>
      <c r="E3775" s="3" t="s">
        <v>5017</v>
      </c>
      <c r="F3775" s="3" t="s">
        <v>5030</v>
      </c>
      <c r="G3775" s="3" t="s">
        <v>5036</v>
      </c>
      <c r="H3775" s="3" t="s">
        <v>8326</v>
      </c>
      <c r="I3775" s="17">
        <v>45879</v>
      </c>
      <c r="J3775" s="18">
        <f>YEAR(Tabla1[[#This Row],[FECHA DE COMPRA]])</f>
        <v>2025</v>
      </c>
      <c r="K3775" s="19">
        <v>28.07</v>
      </c>
      <c r="L3775" s="20">
        <v>0.1</v>
      </c>
      <c r="M3775" s="19">
        <f>Tienda!$K4254-Tienda!$K4254*Tienda!$L4254</f>
        <v>73.794000000000011</v>
      </c>
      <c r="N3775" s="3" t="s">
        <v>10040</v>
      </c>
      <c r="O3775" s="3" t="s">
        <v>10042</v>
      </c>
      <c r="P3775" s="17">
        <v>46149</v>
      </c>
      <c r="Q3775" s="4">
        <v>9</v>
      </c>
    </row>
    <row r="3776" spans="1:17" ht="30" x14ac:dyDescent="0.25">
      <c r="A3776" s="2" t="s">
        <v>722</v>
      </c>
      <c r="B3776" s="3" t="s">
        <v>5015</v>
      </c>
      <c r="C3776" s="3">
        <v>57</v>
      </c>
      <c r="D3776" s="46" t="str">
        <f>IF(Tabla1[[#This Row],[EDAD]]&lt;=35,"Adultos jóvenes 18 - 35 años",IF(C3776&gt;=36,"Adultos mayores 36 años en adelante"))</f>
        <v>Adultos mayores 36 años en adelante</v>
      </c>
      <c r="E3776" s="3" t="s">
        <v>5023</v>
      </c>
      <c r="F3776" s="3" t="s">
        <v>5029</v>
      </c>
      <c r="G3776" s="3" t="s">
        <v>5036</v>
      </c>
      <c r="H3776" s="3" t="s">
        <v>5745</v>
      </c>
      <c r="I3776" s="17">
        <v>45663</v>
      </c>
      <c r="J3776" s="18">
        <f>YEAR(Tabla1[[#This Row],[FECHA DE COMPRA]])</f>
        <v>2025</v>
      </c>
      <c r="K3776" s="19">
        <v>24.59</v>
      </c>
      <c r="L3776" s="20">
        <v>0</v>
      </c>
      <c r="M3776" s="19">
        <f>Tienda!$K4255-Tienda!$K4255*Tienda!$L4255</f>
        <v>73.863</v>
      </c>
      <c r="N3776" s="3" t="s">
        <v>10040</v>
      </c>
      <c r="O3776" s="3" t="s">
        <v>10042</v>
      </c>
      <c r="P3776" s="17">
        <v>46023</v>
      </c>
      <c r="Q3776" s="4">
        <v>12</v>
      </c>
    </row>
    <row r="3777" spans="1:17" ht="30" x14ac:dyDescent="0.25">
      <c r="A3777" s="2" t="s">
        <v>1384</v>
      </c>
      <c r="B3777" s="3" t="s">
        <v>5016</v>
      </c>
      <c r="C3777" s="3">
        <v>56</v>
      </c>
      <c r="D3777" s="46" t="str">
        <f>IF(Tabla1[[#This Row],[EDAD]]&lt;=35,"Adultos jóvenes 18 - 35 años",IF(C3777&gt;=36,"Adultos mayores 36 años en adelante"))</f>
        <v>Adultos mayores 36 años en adelante</v>
      </c>
      <c r="E3777" s="3" t="s">
        <v>5021</v>
      </c>
      <c r="F3777" s="3" t="s">
        <v>5030</v>
      </c>
      <c r="G3777" s="3" t="s">
        <v>5037</v>
      </c>
      <c r="H3777" s="3" t="s">
        <v>6407</v>
      </c>
      <c r="I3777" s="17">
        <v>45664</v>
      </c>
      <c r="J3777" s="18">
        <f>YEAR(Tabla1[[#This Row],[FECHA DE COMPRA]])</f>
        <v>2025</v>
      </c>
      <c r="K3777" s="19">
        <v>42.59</v>
      </c>
      <c r="L3777" s="20">
        <v>0.1</v>
      </c>
      <c r="M3777" s="19">
        <f>Tienda!$K4256-Tienda!$K4256*Tienda!$L4256</f>
        <v>74.408000000000001</v>
      </c>
      <c r="N3777" s="3" t="s">
        <v>10040</v>
      </c>
      <c r="O3777" s="3" t="s">
        <v>10042</v>
      </c>
      <c r="P3777" s="17">
        <v>46024</v>
      </c>
      <c r="Q3777" s="4">
        <v>12</v>
      </c>
    </row>
    <row r="3778" spans="1:17" ht="30" x14ac:dyDescent="0.25">
      <c r="A3778" s="2" t="s">
        <v>1285</v>
      </c>
      <c r="B3778" s="3" t="s">
        <v>5015</v>
      </c>
      <c r="C3778" s="3">
        <v>49</v>
      </c>
      <c r="D3778" s="46" t="str">
        <f>IF(Tabla1[[#This Row],[EDAD]]&lt;=35,"Adultos jóvenes 18 - 35 años",IF(C3778&gt;=36,"Adultos mayores 36 años en adelante"))</f>
        <v>Adultos mayores 36 años en adelante</v>
      </c>
      <c r="E3778" s="3" t="s">
        <v>5022</v>
      </c>
      <c r="F3778" s="3" t="s">
        <v>5026</v>
      </c>
      <c r="G3778" s="3" t="s">
        <v>5032</v>
      </c>
      <c r="H3778" s="3" t="s">
        <v>6308</v>
      </c>
      <c r="I3778" s="17">
        <v>45701</v>
      </c>
      <c r="J3778" s="18">
        <f>YEAR(Tabla1[[#This Row],[FECHA DE COMPRA]])</f>
        <v>2025</v>
      </c>
      <c r="K3778" s="19">
        <v>67.510000000000005</v>
      </c>
      <c r="L3778" s="20">
        <v>0.1</v>
      </c>
      <c r="M3778" s="19">
        <f>Tienda!$K4257-Tienda!$K4257*Tienda!$L4257</f>
        <v>75.004999999999995</v>
      </c>
      <c r="N3778" s="3" t="s">
        <v>10040</v>
      </c>
      <c r="O3778" s="3" t="s">
        <v>10042</v>
      </c>
      <c r="P3778" s="17">
        <v>46035</v>
      </c>
      <c r="Q3778" s="4">
        <v>12</v>
      </c>
    </row>
    <row r="3779" spans="1:17" ht="30" x14ac:dyDescent="0.25">
      <c r="A3779" s="2" t="s">
        <v>2714</v>
      </c>
      <c r="B3779" s="3" t="s">
        <v>5015</v>
      </c>
      <c r="C3779" s="3">
        <v>58</v>
      </c>
      <c r="D3779" s="46" t="str">
        <f>IF(Tabla1[[#This Row],[EDAD]]&lt;=35,"Adultos jóvenes 18 - 35 años",IF(C3779&gt;=36,"Adultos mayores 36 años en adelante"))</f>
        <v>Adultos mayores 36 años en adelante</v>
      </c>
      <c r="E3779" s="3" t="s">
        <v>5023</v>
      </c>
      <c r="F3779" s="3" t="s">
        <v>5025</v>
      </c>
      <c r="G3779" s="3" t="s">
        <v>5036</v>
      </c>
      <c r="H3779" s="3" t="s">
        <v>7737</v>
      </c>
      <c r="I3779" s="17">
        <v>45679</v>
      </c>
      <c r="J3779" s="18">
        <f>YEAR(Tabla1[[#This Row],[FECHA DE COMPRA]])</f>
        <v>2025</v>
      </c>
      <c r="K3779" s="19">
        <v>146.86000000000001</v>
      </c>
      <c r="L3779" s="20">
        <v>0.1</v>
      </c>
      <c r="M3779" s="19">
        <f>Tienda!$K4259-Tienda!$K4259*Tienda!$L4259</f>
        <v>75.42</v>
      </c>
      <c r="N3779" s="3" t="s">
        <v>10040</v>
      </c>
      <c r="O3779" s="3" t="s">
        <v>10042</v>
      </c>
      <c r="P3779" s="17">
        <v>46039</v>
      </c>
      <c r="Q3779" s="4">
        <v>12</v>
      </c>
    </row>
    <row r="3780" spans="1:17" ht="30" x14ac:dyDescent="0.25">
      <c r="A3780" s="2" t="s">
        <v>3482</v>
      </c>
      <c r="B3780" s="3" t="s">
        <v>5015</v>
      </c>
      <c r="C3780" s="3">
        <v>60</v>
      </c>
      <c r="D3780" s="46" t="str">
        <f>IF(Tabla1[[#This Row],[EDAD]]&lt;=35,"Adultos jóvenes 18 - 35 años",IF(C3780&gt;=36,"Adultos mayores 36 años en adelante"))</f>
        <v>Adultos mayores 36 años en adelante</v>
      </c>
      <c r="E3780" s="3" t="s">
        <v>5017</v>
      </c>
      <c r="F3780" s="3" t="s">
        <v>5028</v>
      </c>
      <c r="G3780" s="3" t="s">
        <v>5037</v>
      </c>
      <c r="H3780" s="3" t="s">
        <v>8505</v>
      </c>
      <c r="I3780" s="17">
        <v>45676</v>
      </c>
      <c r="J3780" s="18">
        <f>YEAR(Tabla1[[#This Row],[FECHA DE COMPRA]])</f>
        <v>2025</v>
      </c>
      <c r="K3780" s="19">
        <v>160.96</v>
      </c>
      <c r="L3780" s="20">
        <v>0.3</v>
      </c>
      <c r="M3780" s="19">
        <f>Tienda!$K4260-Tienda!$K4260*Tienda!$L4260</f>
        <v>75.47999999999999</v>
      </c>
      <c r="N3780" s="3" t="s">
        <v>10040</v>
      </c>
      <c r="O3780" s="3" t="s">
        <v>10042</v>
      </c>
      <c r="P3780" s="17">
        <v>46036</v>
      </c>
      <c r="Q3780" s="4">
        <v>12</v>
      </c>
    </row>
    <row r="3781" spans="1:17" ht="30" x14ac:dyDescent="0.25">
      <c r="A3781" s="2" t="s">
        <v>1739</v>
      </c>
      <c r="B3781" s="3" t="s">
        <v>5015</v>
      </c>
      <c r="C3781" s="3">
        <v>61</v>
      </c>
      <c r="D3781" s="46" t="str">
        <f>IF(Tabla1[[#This Row],[EDAD]]&lt;=35,"Adultos jóvenes 18 - 35 años",IF(C3781&gt;=36,"Adultos mayores 36 años en adelante"))</f>
        <v>Adultos mayores 36 años en adelante</v>
      </c>
      <c r="E3781" s="3" t="s">
        <v>5020</v>
      </c>
      <c r="F3781" s="3" t="s">
        <v>5026</v>
      </c>
      <c r="G3781" s="3" t="s">
        <v>5033</v>
      </c>
      <c r="H3781" s="3" t="s">
        <v>6762</v>
      </c>
      <c r="I3781" s="17">
        <v>45688</v>
      </c>
      <c r="J3781" s="18">
        <f>YEAR(Tabla1[[#This Row],[FECHA DE COMPRA]])</f>
        <v>2025</v>
      </c>
      <c r="K3781" s="19">
        <v>183.71</v>
      </c>
      <c r="L3781" s="20">
        <v>0.1</v>
      </c>
      <c r="M3781" s="19">
        <f>Tienda!$K4261-Tienda!$K4261*Tienda!$L4261</f>
        <v>75.823999999999998</v>
      </c>
      <c r="N3781" s="3" t="s">
        <v>10040</v>
      </c>
      <c r="O3781" s="3" t="s">
        <v>10042</v>
      </c>
      <c r="P3781" s="17">
        <v>46048</v>
      </c>
      <c r="Q3781" s="4">
        <v>12</v>
      </c>
    </row>
    <row r="3782" spans="1:17" ht="30" x14ac:dyDescent="0.25">
      <c r="A3782" s="2" t="s">
        <v>2926</v>
      </c>
      <c r="B3782" s="3" t="s">
        <v>5015</v>
      </c>
      <c r="C3782" s="3">
        <v>45</v>
      </c>
      <c r="D3782" s="46" t="str">
        <f>IF(Tabla1[[#This Row],[EDAD]]&lt;=35,"Adultos jóvenes 18 - 35 años",IF(C3782&gt;=36,"Adultos mayores 36 años en adelante"))</f>
        <v>Adultos mayores 36 años en adelante</v>
      </c>
      <c r="E3782" s="3" t="s">
        <v>5022</v>
      </c>
      <c r="F3782" s="3" t="s">
        <v>5024</v>
      </c>
      <c r="G3782" s="3" t="s">
        <v>5031</v>
      </c>
      <c r="H3782" s="3" t="s">
        <v>7949</v>
      </c>
      <c r="I3782" s="17">
        <v>45701</v>
      </c>
      <c r="J3782" s="18">
        <f>YEAR(Tabla1[[#This Row],[FECHA DE COMPRA]])</f>
        <v>2025</v>
      </c>
      <c r="K3782" s="19">
        <v>192.78</v>
      </c>
      <c r="L3782" s="20">
        <v>0</v>
      </c>
      <c r="M3782" s="19">
        <f>Tienda!$K4262-Tienda!$K4262*Tienda!$L4262</f>
        <v>76.599999999999994</v>
      </c>
      <c r="N3782" s="3" t="s">
        <v>10040</v>
      </c>
      <c r="O3782" s="3" t="s">
        <v>10042</v>
      </c>
      <c r="P3782" s="17">
        <v>46041</v>
      </c>
      <c r="Q3782" s="4">
        <v>12</v>
      </c>
    </row>
    <row r="3783" spans="1:17" ht="30" x14ac:dyDescent="0.25">
      <c r="A3783" s="2" t="s">
        <v>972</v>
      </c>
      <c r="B3783" s="3" t="s">
        <v>5015</v>
      </c>
      <c r="C3783" s="3">
        <v>44</v>
      </c>
      <c r="D3783" s="46" t="str">
        <f>IF(Tabla1[[#This Row],[EDAD]]&lt;=35,"Adultos jóvenes 18 - 35 años",IF(C3783&gt;=36,"Adultos mayores 36 años en adelante"))</f>
        <v>Adultos mayores 36 años en adelante</v>
      </c>
      <c r="E3783" s="3" t="s">
        <v>5023</v>
      </c>
      <c r="F3783" s="3" t="s">
        <v>5025</v>
      </c>
      <c r="G3783" s="3" t="s">
        <v>5035</v>
      </c>
      <c r="H3783" s="3" t="s">
        <v>5995</v>
      </c>
      <c r="I3783" s="17">
        <v>45690</v>
      </c>
      <c r="J3783" s="18">
        <f>YEAR(Tabla1[[#This Row],[FECHA DE COMPRA]])</f>
        <v>2025</v>
      </c>
      <c r="K3783" s="19">
        <v>191.99</v>
      </c>
      <c r="L3783" s="20">
        <v>0.1</v>
      </c>
      <c r="M3783" s="19">
        <f>Tienda!$K4263-Tienda!$K4263*Tienda!$L4263</f>
        <v>77.05</v>
      </c>
      <c r="N3783" s="3" t="s">
        <v>10040</v>
      </c>
      <c r="O3783" s="3" t="s">
        <v>10042</v>
      </c>
      <c r="P3783" s="17">
        <v>46050</v>
      </c>
      <c r="Q3783" s="4">
        <v>12</v>
      </c>
    </row>
    <row r="3784" spans="1:17" ht="30" x14ac:dyDescent="0.25">
      <c r="A3784" s="2" t="s">
        <v>218</v>
      </c>
      <c r="B3784" s="3" t="s">
        <v>5016</v>
      </c>
      <c r="C3784" s="3">
        <v>62</v>
      </c>
      <c r="D3784" s="46" t="str">
        <f>IF(Tabla1[[#This Row],[EDAD]]&lt;=35,"Adultos jóvenes 18 - 35 años",IF(C3784&gt;=36,"Adultos mayores 36 años en adelante"))</f>
        <v>Adultos mayores 36 años en adelante</v>
      </c>
      <c r="E3784" s="3" t="s">
        <v>5023</v>
      </c>
      <c r="F3784" s="3" t="s">
        <v>5030</v>
      </c>
      <c r="G3784" s="3" t="s">
        <v>5037</v>
      </c>
      <c r="H3784" s="3" t="s">
        <v>5241</v>
      </c>
      <c r="I3784" s="17">
        <v>45692</v>
      </c>
      <c r="J3784" s="18">
        <f>YEAR(Tabla1[[#This Row],[FECHA DE COMPRA]])</f>
        <v>2025</v>
      </c>
      <c r="K3784" s="19">
        <v>109.51</v>
      </c>
      <c r="L3784" s="20">
        <v>0.3</v>
      </c>
      <c r="M3784" s="19">
        <f>Tienda!$K4264-Tienda!$K4264*Tienda!$L4264</f>
        <v>77.103000000000009</v>
      </c>
      <c r="N3784" s="3" t="s">
        <v>10040</v>
      </c>
      <c r="O3784" s="3" t="s">
        <v>10042</v>
      </c>
      <c r="P3784" s="17">
        <v>46052</v>
      </c>
      <c r="Q3784" s="4">
        <v>12</v>
      </c>
    </row>
    <row r="3785" spans="1:17" ht="30" x14ac:dyDescent="0.25">
      <c r="A3785" s="2" t="s">
        <v>3030</v>
      </c>
      <c r="B3785" s="3" t="s">
        <v>5015</v>
      </c>
      <c r="C3785" s="3">
        <v>57</v>
      </c>
      <c r="D3785" s="46" t="str">
        <f>IF(Tabla1[[#This Row],[EDAD]]&lt;=35,"Adultos jóvenes 18 - 35 años",IF(C3785&gt;=36,"Adultos mayores 36 años en adelante"))</f>
        <v>Adultos mayores 36 años en adelante</v>
      </c>
      <c r="E3785" s="3" t="s">
        <v>5020</v>
      </c>
      <c r="F3785" s="3" t="s">
        <v>5026</v>
      </c>
      <c r="G3785" s="3" t="s">
        <v>5035</v>
      </c>
      <c r="H3785" s="3" t="s">
        <v>8053</v>
      </c>
      <c r="I3785" s="17">
        <v>45698</v>
      </c>
      <c r="J3785" s="18">
        <f>YEAR(Tabla1[[#This Row],[FECHA DE COMPRA]])</f>
        <v>2025</v>
      </c>
      <c r="K3785" s="19">
        <v>38.07</v>
      </c>
      <c r="L3785" s="20">
        <v>0.3</v>
      </c>
      <c r="M3785" s="19">
        <f>Tienda!$K4266-Tienda!$K4266*Tienda!$L4266</f>
        <v>77.2</v>
      </c>
      <c r="N3785" s="3" t="s">
        <v>10040</v>
      </c>
      <c r="O3785" s="3" t="s">
        <v>10042</v>
      </c>
      <c r="P3785" s="17">
        <v>46058</v>
      </c>
      <c r="Q3785" s="4">
        <v>12</v>
      </c>
    </row>
    <row r="3786" spans="1:17" ht="30" x14ac:dyDescent="0.25">
      <c r="A3786" s="2" t="s">
        <v>1041</v>
      </c>
      <c r="B3786" s="3" t="s">
        <v>5016</v>
      </c>
      <c r="C3786" s="3">
        <v>55</v>
      </c>
      <c r="D3786" s="46" t="str">
        <f>IF(Tabla1[[#This Row],[EDAD]]&lt;=35,"Adultos jóvenes 18 - 35 años",IF(C3786&gt;=36,"Adultos mayores 36 años en adelante"))</f>
        <v>Adultos mayores 36 años en adelante</v>
      </c>
      <c r="E3786" s="3" t="s">
        <v>5019</v>
      </c>
      <c r="F3786" s="3" t="s">
        <v>5025</v>
      </c>
      <c r="G3786" s="3" t="s">
        <v>5031</v>
      </c>
      <c r="H3786" s="3" t="s">
        <v>6064</v>
      </c>
      <c r="I3786" s="17">
        <v>45727</v>
      </c>
      <c r="J3786" s="18">
        <f>YEAR(Tabla1[[#This Row],[FECHA DE COMPRA]])</f>
        <v>2025</v>
      </c>
      <c r="K3786" s="19">
        <v>14.2</v>
      </c>
      <c r="L3786" s="20">
        <v>0</v>
      </c>
      <c r="M3786" s="19">
        <f>Tienda!$K4269-Tienda!$K4269*Tienda!$L4269</f>
        <v>77.775999999999996</v>
      </c>
      <c r="N3786" s="3" t="s">
        <v>10040</v>
      </c>
      <c r="O3786" s="3" t="s">
        <v>10042</v>
      </c>
      <c r="P3786" s="17">
        <v>46087</v>
      </c>
      <c r="Q3786" s="4">
        <v>12</v>
      </c>
    </row>
    <row r="3787" spans="1:17" ht="30" x14ac:dyDescent="0.25">
      <c r="A3787" s="2" t="s">
        <v>846</v>
      </c>
      <c r="B3787" s="3" t="s">
        <v>5015</v>
      </c>
      <c r="C3787" s="3">
        <v>44</v>
      </c>
      <c r="D3787" s="46" t="str">
        <f>IF(Tabla1[[#This Row],[EDAD]]&lt;=35,"Adultos jóvenes 18 - 35 años",IF(C3787&gt;=36,"Adultos mayores 36 años en adelante"))</f>
        <v>Adultos mayores 36 años en adelante</v>
      </c>
      <c r="E3787" s="3" t="s">
        <v>5017</v>
      </c>
      <c r="F3787" s="3" t="s">
        <v>5025</v>
      </c>
      <c r="G3787" s="3" t="s">
        <v>5035</v>
      </c>
      <c r="H3787" s="3" t="s">
        <v>5869</v>
      </c>
      <c r="I3787" s="17">
        <v>45733</v>
      </c>
      <c r="J3787" s="18">
        <f>YEAR(Tabla1[[#This Row],[FECHA DE COMPRA]])</f>
        <v>2025</v>
      </c>
      <c r="K3787" s="19">
        <v>28.28</v>
      </c>
      <c r="L3787" s="20">
        <v>0.3</v>
      </c>
      <c r="M3787" s="19">
        <f>Tienda!$K4271-Tienda!$K4271*Tienda!$L4271</f>
        <v>77.859000000000009</v>
      </c>
      <c r="N3787" s="3" t="s">
        <v>10040</v>
      </c>
      <c r="O3787" s="3" t="s">
        <v>10042</v>
      </c>
      <c r="P3787" s="17">
        <v>46093</v>
      </c>
      <c r="Q3787" s="4">
        <v>12</v>
      </c>
    </row>
    <row r="3788" spans="1:17" ht="30" x14ac:dyDescent="0.25">
      <c r="A3788" s="2" t="s">
        <v>2874</v>
      </c>
      <c r="B3788" s="3" t="s">
        <v>5015</v>
      </c>
      <c r="C3788" s="3">
        <v>43</v>
      </c>
      <c r="D3788" s="46" t="str">
        <f>IF(Tabla1[[#This Row],[EDAD]]&lt;=35,"Adultos jóvenes 18 - 35 años",IF(C3788&gt;=36,"Adultos mayores 36 años en adelante"))</f>
        <v>Adultos mayores 36 años en adelante</v>
      </c>
      <c r="E3788" s="3" t="s">
        <v>5022</v>
      </c>
      <c r="F3788" s="3" t="s">
        <v>5027</v>
      </c>
      <c r="G3788" s="3" t="s">
        <v>5032</v>
      </c>
      <c r="H3788" s="3" t="s">
        <v>7897</v>
      </c>
      <c r="I3788" s="17">
        <v>45735</v>
      </c>
      <c r="J3788" s="18">
        <f>YEAR(Tabla1[[#This Row],[FECHA DE COMPRA]])</f>
        <v>2025</v>
      </c>
      <c r="K3788" s="19">
        <v>31.12</v>
      </c>
      <c r="L3788" s="20">
        <v>0</v>
      </c>
      <c r="M3788" s="19">
        <f>Tienda!$K4272-Tienda!$K4272*Tienda!$L4272</f>
        <v>78.015000000000001</v>
      </c>
      <c r="N3788" s="3" t="s">
        <v>10040</v>
      </c>
      <c r="O3788" s="3" t="s">
        <v>10042</v>
      </c>
      <c r="P3788" s="17">
        <v>46095</v>
      </c>
      <c r="Q3788" s="4">
        <v>12</v>
      </c>
    </row>
    <row r="3789" spans="1:17" ht="30" x14ac:dyDescent="0.25">
      <c r="A3789" s="2" t="s">
        <v>3249</v>
      </c>
      <c r="B3789" s="3" t="s">
        <v>5016</v>
      </c>
      <c r="C3789" s="3">
        <v>39</v>
      </c>
      <c r="D3789" s="46" t="str">
        <f>IF(Tabla1[[#This Row],[EDAD]]&lt;=35,"Adultos jóvenes 18 - 35 años",IF(C3789&gt;=36,"Adultos mayores 36 años en adelante"))</f>
        <v>Adultos mayores 36 años en adelante</v>
      </c>
      <c r="E3789" s="3" t="s">
        <v>5021</v>
      </c>
      <c r="F3789" s="3" t="s">
        <v>5025</v>
      </c>
      <c r="G3789" s="3" t="s">
        <v>5033</v>
      </c>
      <c r="H3789" s="3" t="s">
        <v>8272</v>
      </c>
      <c r="I3789" s="17">
        <v>45737</v>
      </c>
      <c r="J3789" s="18">
        <f>YEAR(Tabla1[[#This Row],[FECHA DE COMPRA]])</f>
        <v>2025</v>
      </c>
      <c r="K3789" s="19">
        <v>49.9</v>
      </c>
      <c r="L3789" s="20">
        <v>0.1</v>
      </c>
      <c r="M3789" s="19">
        <f>Tienda!$K4273-Tienda!$K4273*Tienda!$L4273</f>
        <v>78.463999999999999</v>
      </c>
      <c r="N3789" s="3" t="s">
        <v>10040</v>
      </c>
      <c r="O3789" s="3" t="s">
        <v>10042</v>
      </c>
      <c r="P3789" s="17">
        <v>46097</v>
      </c>
      <c r="Q3789" s="4">
        <v>12</v>
      </c>
    </row>
    <row r="3790" spans="1:17" ht="30" x14ac:dyDescent="0.25">
      <c r="A3790" s="2" t="s">
        <v>1571</v>
      </c>
      <c r="B3790" s="3" t="s">
        <v>5015</v>
      </c>
      <c r="C3790" s="3">
        <v>46</v>
      </c>
      <c r="D3790" s="46" t="str">
        <f>IF(Tabla1[[#This Row],[EDAD]]&lt;=35,"Adultos jóvenes 18 - 35 años",IF(C3790&gt;=36,"Adultos mayores 36 años en adelante"))</f>
        <v>Adultos mayores 36 años en adelante</v>
      </c>
      <c r="E3790" s="3" t="s">
        <v>5017</v>
      </c>
      <c r="F3790" s="3" t="s">
        <v>5024</v>
      </c>
      <c r="G3790" s="3" t="s">
        <v>5033</v>
      </c>
      <c r="H3790" s="3" t="s">
        <v>6594</v>
      </c>
      <c r="I3790" s="17">
        <v>45747</v>
      </c>
      <c r="J3790" s="18">
        <f>YEAR(Tabla1[[#This Row],[FECHA DE COMPRA]])</f>
        <v>2025</v>
      </c>
      <c r="K3790" s="19">
        <v>82.42</v>
      </c>
      <c r="L3790" s="20">
        <v>0.3</v>
      </c>
      <c r="M3790" s="19">
        <f>Tienda!$K4274-Tienda!$K4274*Tienda!$L4274</f>
        <v>79.00200000000001</v>
      </c>
      <c r="N3790" s="3" t="s">
        <v>10040</v>
      </c>
      <c r="O3790" s="3" t="s">
        <v>10042</v>
      </c>
      <c r="P3790" s="17">
        <v>46107</v>
      </c>
      <c r="Q3790" s="4">
        <v>12</v>
      </c>
    </row>
    <row r="3791" spans="1:17" ht="30" x14ac:dyDescent="0.25">
      <c r="A3791" s="2" t="s">
        <v>4793</v>
      </c>
      <c r="B3791" s="3" t="s">
        <v>5015</v>
      </c>
      <c r="C3791" s="3">
        <v>64</v>
      </c>
      <c r="D3791" s="46" t="str">
        <f>IF(Tabla1[[#This Row],[EDAD]]&lt;=35,"Adultos jóvenes 18 - 35 años",IF(C3791&gt;=36,"Adultos mayores 36 años en adelante"))</f>
        <v>Adultos mayores 36 años en adelante</v>
      </c>
      <c r="E3791" s="3" t="s">
        <v>5022</v>
      </c>
      <c r="F3791" s="3" t="s">
        <v>5025</v>
      </c>
      <c r="G3791" s="3" t="s">
        <v>5034</v>
      </c>
      <c r="H3791" s="3" t="s">
        <v>9816</v>
      </c>
      <c r="I3791" s="17">
        <v>45728</v>
      </c>
      <c r="J3791" s="18">
        <f>YEAR(Tabla1[[#This Row],[FECHA DE COMPRA]])</f>
        <v>2025</v>
      </c>
      <c r="K3791" s="19">
        <v>105.26</v>
      </c>
      <c r="L3791" s="20">
        <v>0.1</v>
      </c>
      <c r="M3791" s="19">
        <f>Tienda!$K4275-Tienda!$K4275*Tienda!$L4275</f>
        <v>79.376000000000005</v>
      </c>
      <c r="N3791" s="3" t="s">
        <v>10040</v>
      </c>
      <c r="O3791" s="3" t="s">
        <v>10042</v>
      </c>
      <c r="P3791" s="17">
        <v>46088</v>
      </c>
      <c r="Q3791" s="4">
        <v>12</v>
      </c>
    </row>
    <row r="3792" spans="1:17" ht="30" x14ac:dyDescent="0.25">
      <c r="A3792" s="2" t="s">
        <v>262</v>
      </c>
      <c r="B3792" s="3" t="s">
        <v>5016</v>
      </c>
      <c r="C3792" s="3">
        <v>57</v>
      </c>
      <c r="D3792" s="46" t="str">
        <f>IF(Tabla1[[#This Row],[EDAD]]&lt;=35,"Adultos jóvenes 18 - 35 años",IF(C3792&gt;=36,"Adultos mayores 36 años en adelante"))</f>
        <v>Adultos mayores 36 años en adelante</v>
      </c>
      <c r="E3792" s="3" t="s">
        <v>5021</v>
      </c>
      <c r="F3792" s="3" t="s">
        <v>5027</v>
      </c>
      <c r="G3792" s="3" t="s">
        <v>5031</v>
      </c>
      <c r="H3792" s="3" t="s">
        <v>5285</v>
      </c>
      <c r="I3792" s="17">
        <v>45737</v>
      </c>
      <c r="J3792" s="18">
        <f>YEAR(Tabla1[[#This Row],[FECHA DE COMPRA]])</f>
        <v>2025</v>
      </c>
      <c r="K3792" s="19">
        <v>137</v>
      </c>
      <c r="L3792" s="20">
        <v>0.1</v>
      </c>
      <c r="M3792" s="19">
        <f>Tienda!$K4276-Tienda!$K4276*Tienda!$L4276</f>
        <v>79.38</v>
      </c>
      <c r="N3792" s="3" t="s">
        <v>10040</v>
      </c>
      <c r="O3792" s="3" t="s">
        <v>10042</v>
      </c>
      <c r="P3792" s="17">
        <v>46097</v>
      </c>
      <c r="Q3792" s="4">
        <v>12</v>
      </c>
    </row>
    <row r="3793" spans="1:17" ht="30" x14ac:dyDescent="0.25">
      <c r="A3793" s="2" t="s">
        <v>212</v>
      </c>
      <c r="B3793" s="3" t="s">
        <v>5016</v>
      </c>
      <c r="C3793" s="3">
        <v>60</v>
      </c>
      <c r="D3793" s="46" t="str">
        <f>IF(Tabla1[[#This Row],[EDAD]]&lt;=35,"Adultos jóvenes 18 - 35 años",IF(C3793&gt;=36,"Adultos mayores 36 años en adelante"))</f>
        <v>Adultos mayores 36 años en adelante</v>
      </c>
      <c r="E3793" s="3" t="s">
        <v>5017</v>
      </c>
      <c r="F3793" s="3" t="s">
        <v>5024</v>
      </c>
      <c r="G3793" s="3" t="s">
        <v>5035</v>
      </c>
      <c r="H3793" s="3" t="s">
        <v>5235</v>
      </c>
      <c r="I3793" s="17">
        <v>45717</v>
      </c>
      <c r="J3793" s="18">
        <f>YEAR(Tabla1[[#This Row],[FECHA DE COMPRA]])</f>
        <v>2025</v>
      </c>
      <c r="K3793" s="19">
        <v>140.72999999999999</v>
      </c>
      <c r="L3793" s="20">
        <v>0.1</v>
      </c>
      <c r="M3793" s="19">
        <f>Tienda!$K4277-Tienda!$K4277*Tienda!$L4277</f>
        <v>79.884</v>
      </c>
      <c r="N3793" s="3" t="s">
        <v>10040</v>
      </c>
      <c r="O3793" s="3" t="s">
        <v>10042</v>
      </c>
      <c r="P3793" s="17">
        <v>46077</v>
      </c>
      <c r="Q3793" s="4">
        <v>12</v>
      </c>
    </row>
    <row r="3794" spans="1:17" ht="30" x14ac:dyDescent="0.25">
      <c r="A3794" s="2" t="s">
        <v>662</v>
      </c>
      <c r="B3794" s="3" t="s">
        <v>5015</v>
      </c>
      <c r="C3794" s="3">
        <v>49</v>
      </c>
      <c r="D3794" s="46" t="str">
        <f>IF(Tabla1[[#This Row],[EDAD]]&lt;=35,"Adultos jóvenes 18 - 35 años",IF(C3794&gt;=36,"Adultos mayores 36 años en adelante"))</f>
        <v>Adultos mayores 36 años en adelante</v>
      </c>
      <c r="E3794" s="3" t="s">
        <v>5022</v>
      </c>
      <c r="F3794" s="3" t="s">
        <v>5024</v>
      </c>
      <c r="G3794" s="3" t="s">
        <v>5037</v>
      </c>
      <c r="H3794" s="3" t="s">
        <v>5685</v>
      </c>
      <c r="I3794" s="17">
        <v>45732</v>
      </c>
      <c r="J3794" s="18">
        <f>YEAR(Tabla1[[#This Row],[FECHA DE COMPRA]])</f>
        <v>2025</v>
      </c>
      <c r="K3794" s="19">
        <v>155.08000000000001</v>
      </c>
      <c r="L3794" s="20">
        <v>0</v>
      </c>
      <c r="M3794" s="19">
        <f>Tienda!$K4279-Tienda!$K4279*Tienda!$L4279</f>
        <v>79.996000000000009</v>
      </c>
      <c r="N3794" s="3" t="s">
        <v>10040</v>
      </c>
      <c r="O3794" s="3" t="s">
        <v>10042</v>
      </c>
      <c r="P3794" s="17">
        <v>46092</v>
      </c>
      <c r="Q3794" s="4">
        <v>12</v>
      </c>
    </row>
    <row r="3795" spans="1:17" ht="30" x14ac:dyDescent="0.25">
      <c r="A3795" s="2" t="s">
        <v>3082</v>
      </c>
      <c r="B3795" s="3" t="s">
        <v>5015</v>
      </c>
      <c r="C3795" s="3">
        <v>42</v>
      </c>
      <c r="D3795" s="46" t="str">
        <f>IF(Tabla1[[#This Row],[EDAD]]&lt;=35,"Adultos jóvenes 18 - 35 años",IF(C3795&gt;=36,"Adultos mayores 36 años en adelante"))</f>
        <v>Adultos mayores 36 años en adelante</v>
      </c>
      <c r="E3795" s="3" t="s">
        <v>5023</v>
      </c>
      <c r="F3795" s="3" t="s">
        <v>5029</v>
      </c>
      <c r="G3795" s="3" t="s">
        <v>5035</v>
      </c>
      <c r="H3795" s="3" t="s">
        <v>8105</v>
      </c>
      <c r="I3795" s="17">
        <v>45720</v>
      </c>
      <c r="J3795" s="18">
        <f>YEAR(Tabla1[[#This Row],[FECHA DE COMPRA]])</f>
        <v>2025</v>
      </c>
      <c r="K3795" s="19">
        <v>167.46</v>
      </c>
      <c r="L3795" s="20">
        <v>0</v>
      </c>
      <c r="M3795" s="19">
        <f>Tienda!$K4281-Tienda!$K4281*Tienda!$L4281</f>
        <v>80.819999999999993</v>
      </c>
      <c r="N3795" s="3" t="s">
        <v>10040</v>
      </c>
      <c r="O3795" s="3" t="s">
        <v>10042</v>
      </c>
      <c r="P3795" s="17">
        <v>46080</v>
      </c>
      <c r="Q3795" s="4">
        <v>12</v>
      </c>
    </row>
    <row r="3796" spans="1:17" ht="30" x14ac:dyDescent="0.25">
      <c r="A3796" s="2" t="s">
        <v>833</v>
      </c>
      <c r="B3796" s="3" t="s">
        <v>5015</v>
      </c>
      <c r="C3796" s="3">
        <v>56</v>
      </c>
      <c r="D3796" s="46" t="str">
        <f>IF(Tabla1[[#This Row],[EDAD]]&lt;=35,"Adultos jóvenes 18 - 35 años",IF(C3796&gt;=36,"Adultos mayores 36 años en adelante"))</f>
        <v>Adultos mayores 36 años en adelante</v>
      </c>
      <c r="E3796" s="3" t="s">
        <v>5022</v>
      </c>
      <c r="F3796" s="3" t="s">
        <v>5026</v>
      </c>
      <c r="G3796" s="3" t="s">
        <v>5036</v>
      </c>
      <c r="H3796" s="3" t="s">
        <v>5856</v>
      </c>
      <c r="I3796" s="17">
        <v>45727</v>
      </c>
      <c r="J3796" s="18">
        <f>YEAR(Tabla1[[#This Row],[FECHA DE COMPRA]])</f>
        <v>2025</v>
      </c>
      <c r="K3796" s="19">
        <v>192.64</v>
      </c>
      <c r="L3796" s="20">
        <v>0</v>
      </c>
      <c r="M3796" s="19">
        <f>Tienda!$K4282-Tienda!$K4282*Tienda!$L4282</f>
        <v>81.192999999999998</v>
      </c>
      <c r="N3796" s="3" t="s">
        <v>10040</v>
      </c>
      <c r="O3796" s="3" t="s">
        <v>10042</v>
      </c>
      <c r="P3796" s="17">
        <v>46087</v>
      </c>
      <c r="Q3796" s="4">
        <v>12</v>
      </c>
    </row>
    <row r="3797" spans="1:17" ht="30" x14ac:dyDescent="0.25">
      <c r="A3797" s="2" t="s">
        <v>4257</v>
      </c>
      <c r="B3797" s="3" t="s">
        <v>5015</v>
      </c>
      <c r="C3797" s="3">
        <v>37</v>
      </c>
      <c r="D3797" s="46" t="str">
        <f>IF(Tabla1[[#This Row],[EDAD]]&lt;=35,"Adultos jóvenes 18 - 35 años",IF(C3797&gt;=36,"Adultos mayores 36 años en adelante"))</f>
        <v>Adultos mayores 36 años en adelante</v>
      </c>
      <c r="E3797" s="3" t="s">
        <v>5017</v>
      </c>
      <c r="F3797" s="3" t="s">
        <v>5026</v>
      </c>
      <c r="G3797" s="3" t="s">
        <v>5037</v>
      </c>
      <c r="H3797" s="3" t="s">
        <v>9280</v>
      </c>
      <c r="I3797" s="17">
        <v>45722</v>
      </c>
      <c r="J3797" s="18">
        <f>YEAR(Tabla1[[#This Row],[FECHA DE COMPRA]])</f>
        <v>2025</v>
      </c>
      <c r="K3797" s="19">
        <v>193.1</v>
      </c>
      <c r="L3797" s="20">
        <v>0</v>
      </c>
      <c r="M3797" s="19">
        <f>Tienda!$K4283-Tienda!$K4283*Tienda!$L4283</f>
        <v>81.52000000000001</v>
      </c>
      <c r="N3797" s="3" t="s">
        <v>10040</v>
      </c>
      <c r="O3797" s="3" t="s">
        <v>10042</v>
      </c>
      <c r="P3797" s="17">
        <v>46082</v>
      </c>
      <c r="Q3797" s="4">
        <v>12</v>
      </c>
    </row>
    <row r="3798" spans="1:17" ht="30" x14ac:dyDescent="0.25">
      <c r="A3798" s="2" t="s">
        <v>2206</v>
      </c>
      <c r="B3798" s="3" t="s">
        <v>5015</v>
      </c>
      <c r="C3798" s="3">
        <v>40</v>
      </c>
      <c r="D3798" s="46" t="str">
        <f>IF(Tabla1[[#This Row],[EDAD]]&lt;=35,"Adultos jóvenes 18 - 35 años",IF(C3798&gt;=36,"Adultos mayores 36 años en adelante"))</f>
        <v>Adultos mayores 36 años en adelante</v>
      </c>
      <c r="E3798" s="3" t="s">
        <v>5018</v>
      </c>
      <c r="F3798" s="3" t="s">
        <v>5027</v>
      </c>
      <c r="G3798" s="3" t="s">
        <v>5034</v>
      </c>
      <c r="H3798" s="3" t="s">
        <v>7229</v>
      </c>
      <c r="I3798" s="17">
        <v>45749</v>
      </c>
      <c r="J3798" s="18">
        <f>YEAR(Tabla1[[#This Row],[FECHA DE COMPRA]])</f>
        <v>2025</v>
      </c>
      <c r="K3798" s="19">
        <v>57.53</v>
      </c>
      <c r="L3798" s="20">
        <v>0.2</v>
      </c>
      <c r="M3798" s="19">
        <f>Tienda!$K4285-Tienda!$K4285*Tienda!$L4285</f>
        <v>82.912000000000006</v>
      </c>
      <c r="N3798" s="3" t="s">
        <v>10040</v>
      </c>
      <c r="O3798" s="3" t="s">
        <v>10042</v>
      </c>
      <c r="P3798" s="17">
        <v>46109</v>
      </c>
      <c r="Q3798" s="4">
        <v>12</v>
      </c>
    </row>
    <row r="3799" spans="1:17" ht="30" x14ac:dyDescent="0.25">
      <c r="A3799" s="2" t="s">
        <v>475</v>
      </c>
      <c r="B3799" s="3" t="s">
        <v>5015</v>
      </c>
      <c r="C3799" s="3">
        <v>46</v>
      </c>
      <c r="D3799" s="46" t="str">
        <f>IF(Tabla1[[#This Row],[EDAD]]&lt;=35,"Adultos jóvenes 18 - 35 años",IF(C3799&gt;=36,"Adultos mayores 36 años en adelante"))</f>
        <v>Adultos mayores 36 años en adelante</v>
      </c>
      <c r="E3799" s="3" t="s">
        <v>5020</v>
      </c>
      <c r="F3799" s="3" t="s">
        <v>5027</v>
      </c>
      <c r="G3799" s="3" t="s">
        <v>5037</v>
      </c>
      <c r="H3799" s="3" t="s">
        <v>5498</v>
      </c>
      <c r="I3799" s="17">
        <v>45759</v>
      </c>
      <c r="J3799" s="18">
        <f>YEAR(Tabla1[[#This Row],[FECHA DE COMPRA]])</f>
        <v>2025</v>
      </c>
      <c r="K3799" s="19">
        <v>63.57</v>
      </c>
      <c r="L3799" s="20">
        <v>0.2</v>
      </c>
      <c r="M3799" s="19">
        <f>Tienda!$K4286-Tienda!$K4286*Tienda!$L4286</f>
        <v>82.998000000000005</v>
      </c>
      <c r="N3799" s="3" t="s">
        <v>10040</v>
      </c>
      <c r="O3799" s="3" t="s">
        <v>10042</v>
      </c>
      <c r="P3799" s="17">
        <v>46119</v>
      </c>
      <c r="Q3799" s="4">
        <v>12</v>
      </c>
    </row>
    <row r="3800" spans="1:17" ht="30" x14ac:dyDescent="0.25">
      <c r="A3800" s="2" t="s">
        <v>1460</v>
      </c>
      <c r="B3800" s="3" t="s">
        <v>5015</v>
      </c>
      <c r="C3800" s="3">
        <v>36</v>
      </c>
      <c r="D3800" s="46" t="str">
        <f>IF(Tabla1[[#This Row],[EDAD]]&lt;=35,"Adultos jóvenes 18 - 35 años",IF(C3800&gt;=36,"Adultos mayores 36 años en adelante"))</f>
        <v>Adultos mayores 36 años en adelante</v>
      </c>
      <c r="E3800" s="3" t="s">
        <v>5020</v>
      </c>
      <c r="F3800" s="3" t="s">
        <v>5030</v>
      </c>
      <c r="G3800" s="3" t="s">
        <v>5032</v>
      </c>
      <c r="H3800" s="3" t="s">
        <v>6483</v>
      </c>
      <c r="I3800" s="17">
        <v>45757</v>
      </c>
      <c r="J3800" s="18">
        <f>YEAR(Tabla1[[#This Row],[FECHA DE COMPRA]])</f>
        <v>2025</v>
      </c>
      <c r="K3800" s="19">
        <v>89.88</v>
      </c>
      <c r="L3800" s="20">
        <v>0</v>
      </c>
      <c r="M3800" s="19">
        <f>Tienda!$K4287-Tienda!$K4287*Tienda!$L4287</f>
        <v>83.114999999999995</v>
      </c>
      <c r="N3800" s="3" t="s">
        <v>10040</v>
      </c>
      <c r="O3800" s="3" t="s">
        <v>10042</v>
      </c>
      <c r="P3800" s="17">
        <v>46117</v>
      </c>
      <c r="Q3800" s="4">
        <v>12</v>
      </c>
    </row>
    <row r="3801" spans="1:17" ht="30" x14ac:dyDescent="0.25">
      <c r="A3801" s="2" t="s">
        <v>874</v>
      </c>
      <c r="B3801" s="3" t="s">
        <v>5015</v>
      </c>
      <c r="C3801" s="3">
        <v>61</v>
      </c>
      <c r="D3801" s="46" t="str">
        <f>IF(Tabla1[[#This Row],[EDAD]]&lt;=35,"Adultos jóvenes 18 - 35 años",IF(C3801&gt;=36,"Adultos mayores 36 años en adelante"))</f>
        <v>Adultos mayores 36 años en adelante</v>
      </c>
      <c r="E3801" s="3" t="s">
        <v>5020</v>
      </c>
      <c r="F3801" s="3" t="s">
        <v>5024</v>
      </c>
      <c r="G3801" s="3" t="s">
        <v>5035</v>
      </c>
      <c r="H3801" s="3" t="s">
        <v>5897</v>
      </c>
      <c r="I3801" s="17">
        <v>45761</v>
      </c>
      <c r="J3801" s="18">
        <f>YEAR(Tabla1[[#This Row],[FECHA DE COMPRA]])</f>
        <v>2025</v>
      </c>
      <c r="K3801" s="19">
        <v>136.58000000000001</v>
      </c>
      <c r="L3801" s="20">
        <v>0.3</v>
      </c>
      <c r="M3801" s="19">
        <f>Tienda!$K4290-Tienda!$K4290*Tienda!$L4290</f>
        <v>83.64</v>
      </c>
      <c r="N3801" s="3" t="s">
        <v>10040</v>
      </c>
      <c r="O3801" s="3" t="s">
        <v>10042</v>
      </c>
      <c r="P3801" s="17">
        <v>46121</v>
      </c>
      <c r="Q3801" s="4">
        <v>12</v>
      </c>
    </row>
    <row r="3802" spans="1:17" ht="30" x14ac:dyDescent="0.25">
      <c r="A3802" s="2" t="s">
        <v>1400</v>
      </c>
      <c r="B3802" s="3" t="s">
        <v>5016</v>
      </c>
      <c r="C3802" s="3">
        <v>64</v>
      </c>
      <c r="D3802" s="46" t="str">
        <f>IF(Tabla1[[#This Row],[EDAD]]&lt;=35,"Adultos jóvenes 18 - 35 años",IF(C3802&gt;=36,"Adultos mayores 36 años en adelante"))</f>
        <v>Adultos mayores 36 años en adelante</v>
      </c>
      <c r="E3802" s="3" t="s">
        <v>5021</v>
      </c>
      <c r="F3802" s="3" t="s">
        <v>5030</v>
      </c>
      <c r="G3802" s="3" t="s">
        <v>5036</v>
      </c>
      <c r="H3802" s="3" t="s">
        <v>6423</v>
      </c>
      <c r="I3802" s="17">
        <v>45775</v>
      </c>
      <c r="J3802" s="18">
        <f>YEAR(Tabla1[[#This Row],[FECHA DE COMPRA]])</f>
        <v>2025</v>
      </c>
      <c r="K3802" s="19">
        <v>144.51</v>
      </c>
      <c r="L3802" s="20">
        <v>0.2</v>
      </c>
      <c r="M3802" s="19">
        <f>Tienda!$K4292-Tienda!$K4292*Tienda!$L4292</f>
        <v>84.695999999999998</v>
      </c>
      <c r="N3802" s="3" t="s">
        <v>10040</v>
      </c>
      <c r="O3802" s="3" t="s">
        <v>10042</v>
      </c>
      <c r="P3802" s="17">
        <v>46135</v>
      </c>
      <c r="Q3802" s="4">
        <v>12</v>
      </c>
    </row>
    <row r="3803" spans="1:17" ht="30" x14ac:dyDescent="0.25">
      <c r="A3803" s="2" t="s">
        <v>1837</v>
      </c>
      <c r="B3803" s="3" t="s">
        <v>5015</v>
      </c>
      <c r="C3803" s="3">
        <v>64</v>
      </c>
      <c r="D3803" s="46" t="str">
        <f>IF(Tabla1[[#This Row],[EDAD]]&lt;=35,"Adultos jóvenes 18 - 35 años",IF(C3803&gt;=36,"Adultos mayores 36 años en adelante"))</f>
        <v>Adultos mayores 36 años en adelante</v>
      </c>
      <c r="E3803" s="3" t="s">
        <v>5017</v>
      </c>
      <c r="F3803" s="3" t="s">
        <v>5026</v>
      </c>
      <c r="G3803" s="3" t="s">
        <v>5033</v>
      </c>
      <c r="H3803" s="3" t="s">
        <v>6860</v>
      </c>
      <c r="I3803" s="17">
        <v>45770</v>
      </c>
      <c r="J3803" s="18">
        <f>YEAR(Tabla1[[#This Row],[FECHA DE COMPRA]])</f>
        <v>2025</v>
      </c>
      <c r="K3803" s="19">
        <v>153.94</v>
      </c>
      <c r="L3803" s="20">
        <v>0</v>
      </c>
      <c r="M3803" s="19">
        <f>Tienda!$K4293-Tienda!$K4293*Tienda!$L4293</f>
        <v>84.707000000000008</v>
      </c>
      <c r="N3803" s="3" t="s">
        <v>10040</v>
      </c>
      <c r="O3803" s="3" t="s">
        <v>10042</v>
      </c>
      <c r="P3803" s="17">
        <v>46130</v>
      </c>
      <c r="Q3803" s="4">
        <v>12</v>
      </c>
    </row>
    <row r="3804" spans="1:17" ht="30" x14ac:dyDescent="0.25">
      <c r="A3804" s="2" t="s">
        <v>3388</v>
      </c>
      <c r="B3804" s="3" t="s">
        <v>5016</v>
      </c>
      <c r="C3804" s="3">
        <v>49</v>
      </c>
      <c r="D3804" s="46" t="str">
        <f>IF(Tabla1[[#This Row],[EDAD]]&lt;=35,"Adultos jóvenes 18 - 35 años",IF(C3804&gt;=36,"Adultos mayores 36 años en adelante"))</f>
        <v>Adultos mayores 36 años en adelante</v>
      </c>
      <c r="E3804" s="3" t="s">
        <v>5017</v>
      </c>
      <c r="F3804" s="3" t="s">
        <v>5026</v>
      </c>
      <c r="G3804" s="3" t="s">
        <v>5037</v>
      </c>
      <c r="H3804" s="3" t="s">
        <v>8411</v>
      </c>
      <c r="I3804" s="17">
        <v>45758</v>
      </c>
      <c r="J3804" s="18">
        <f>YEAR(Tabla1[[#This Row],[FECHA DE COMPRA]])</f>
        <v>2025</v>
      </c>
      <c r="K3804" s="19">
        <v>192.75</v>
      </c>
      <c r="L3804" s="20">
        <v>0.2</v>
      </c>
      <c r="M3804" s="19">
        <f>Tienda!$K4296-Tienda!$K4296*Tienda!$L4296</f>
        <v>85.488</v>
      </c>
      <c r="N3804" s="3" t="s">
        <v>10040</v>
      </c>
      <c r="O3804" s="3" t="s">
        <v>10042</v>
      </c>
      <c r="P3804" s="17">
        <v>46118</v>
      </c>
      <c r="Q3804" s="4">
        <v>12</v>
      </c>
    </row>
    <row r="3805" spans="1:17" ht="30" x14ac:dyDescent="0.25">
      <c r="A3805" s="2" t="s">
        <v>123</v>
      </c>
      <c r="B3805" s="3" t="s">
        <v>5015</v>
      </c>
      <c r="C3805" s="3">
        <v>39</v>
      </c>
      <c r="D3805" s="46" t="str">
        <f>IF(Tabla1[[#This Row],[EDAD]]&lt;=35,"Adultos jóvenes 18 - 35 años",IF(C3805&gt;=36,"Adultos mayores 36 años en adelante"))</f>
        <v>Adultos mayores 36 años en adelante</v>
      </c>
      <c r="E3805" s="3" t="s">
        <v>5020</v>
      </c>
      <c r="F3805" s="3" t="s">
        <v>5027</v>
      </c>
      <c r="G3805" s="3" t="s">
        <v>5036</v>
      </c>
      <c r="H3805" s="3" t="s">
        <v>5146</v>
      </c>
      <c r="I3805" s="17">
        <v>45783</v>
      </c>
      <c r="J3805" s="18">
        <f>YEAR(Tabla1[[#This Row],[FECHA DE COMPRA]])</f>
        <v>2025</v>
      </c>
      <c r="K3805" s="19">
        <v>68.97</v>
      </c>
      <c r="L3805" s="20">
        <v>0.1</v>
      </c>
      <c r="M3805" s="19">
        <f>Tienda!$K4297-Tienda!$K4297*Tienda!$L4297</f>
        <v>85.596000000000004</v>
      </c>
      <c r="N3805" s="3" t="s">
        <v>10040</v>
      </c>
      <c r="O3805" s="3" t="s">
        <v>10042</v>
      </c>
      <c r="P3805" s="17">
        <v>46143</v>
      </c>
      <c r="Q3805" s="4">
        <v>12</v>
      </c>
    </row>
    <row r="3806" spans="1:17" ht="30" x14ac:dyDescent="0.25">
      <c r="A3806" s="2" t="s">
        <v>3726</v>
      </c>
      <c r="B3806" s="3" t="s">
        <v>5015</v>
      </c>
      <c r="C3806" s="3">
        <v>52</v>
      </c>
      <c r="D3806" s="46" t="str">
        <f>IF(Tabla1[[#This Row],[EDAD]]&lt;=35,"Adultos jóvenes 18 - 35 años",IF(C3806&gt;=36,"Adultos mayores 36 años en adelante"))</f>
        <v>Adultos mayores 36 años en adelante</v>
      </c>
      <c r="E3806" s="3" t="s">
        <v>5018</v>
      </c>
      <c r="F3806" s="3" t="s">
        <v>5024</v>
      </c>
      <c r="G3806" s="3" t="s">
        <v>5032</v>
      </c>
      <c r="H3806" s="3" t="s">
        <v>8749</v>
      </c>
      <c r="I3806" s="17">
        <v>45803</v>
      </c>
      <c r="J3806" s="18">
        <f>YEAR(Tabla1[[#This Row],[FECHA DE COMPRA]])</f>
        <v>2025</v>
      </c>
      <c r="K3806" s="19">
        <v>91.36</v>
      </c>
      <c r="L3806" s="20">
        <v>0.1</v>
      </c>
      <c r="M3806" s="19">
        <f>Tienda!$K4299-Tienda!$K4299*Tienda!$L4299</f>
        <v>86.42</v>
      </c>
      <c r="N3806" s="3" t="s">
        <v>10040</v>
      </c>
      <c r="O3806" s="3" t="s">
        <v>10042</v>
      </c>
      <c r="P3806" s="17">
        <v>46163</v>
      </c>
      <c r="Q3806" s="4">
        <v>12</v>
      </c>
    </row>
    <row r="3807" spans="1:17" ht="30" x14ac:dyDescent="0.25">
      <c r="A3807" s="2" t="s">
        <v>2925</v>
      </c>
      <c r="B3807" s="3" t="s">
        <v>5015</v>
      </c>
      <c r="C3807" s="3">
        <v>43</v>
      </c>
      <c r="D3807" s="46" t="str">
        <f>IF(Tabla1[[#This Row],[EDAD]]&lt;=35,"Adultos jóvenes 18 - 35 años",IF(C3807&gt;=36,"Adultos mayores 36 años en adelante"))</f>
        <v>Adultos mayores 36 años en adelante</v>
      </c>
      <c r="E3807" s="3" t="s">
        <v>5023</v>
      </c>
      <c r="F3807" s="3" t="s">
        <v>5030</v>
      </c>
      <c r="G3807" s="3" t="s">
        <v>5035</v>
      </c>
      <c r="H3807" s="3" t="s">
        <v>7948</v>
      </c>
      <c r="I3807" s="17">
        <v>45819</v>
      </c>
      <c r="J3807" s="18">
        <f>YEAR(Tabla1[[#This Row],[FECHA DE COMPRA]])</f>
        <v>2025</v>
      </c>
      <c r="K3807" s="19">
        <v>29.12</v>
      </c>
      <c r="L3807" s="20">
        <v>0.3</v>
      </c>
      <c r="M3807" s="19">
        <f>Tienda!$K4304-Tienda!$K4304*Tienda!$L4304</f>
        <v>88.823999999999998</v>
      </c>
      <c r="N3807" s="3" t="s">
        <v>10040</v>
      </c>
      <c r="O3807" s="3" t="s">
        <v>10042</v>
      </c>
      <c r="P3807" s="17">
        <v>46179</v>
      </c>
      <c r="Q3807" s="4">
        <v>12</v>
      </c>
    </row>
    <row r="3808" spans="1:17" ht="30" x14ac:dyDescent="0.25">
      <c r="A3808" s="2" t="s">
        <v>2502</v>
      </c>
      <c r="B3808" s="3" t="s">
        <v>5016</v>
      </c>
      <c r="C3808" s="3">
        <v>36</v>
      </c>
      <c r="D3808" s="46" t="str">
        <f>IF(Tabla1[[#This Row],[EDAD]]&lt;=35,"Adultos jóvenes 18 - 35 años",IF(C3808&gt;=36,"Adultos mayores 36 años en adelante"))</f>
        <v>Adultos mayores 36 años en adelante</v>
      </c>
      <c r="E3808" s="3" t="s">
        <v>5023</v>
      </c>
      <c r="F3808" s="3" t="s">
        <v>5028</v>
      </c>
      <c r="G3808" s="3" t="s">
        <v>5031</v>
      </c>
      <c r="H3808" s="3" t="s">
        <v>7525</v>
      </c>
      <c r="I3808" s="17">
        <v>45817</v>
      </c>
      <c r="J3808" s="18">
        <f>YEAR(Tabla1[[#This Row],[FECHA DE COMPRA]])</f>
        <v>2025</v>
      </c>
      <c r="K3808" s="19">
        <v>111.54</v>
      </c>
      <c r="L3808" s="20">
        <v>0.3</v>
      </c>
      <c r="M3808" s="19">
        <f>Tienda!$K4307-Tienda!$K4307*Tienda!$L4307</f>
        <v>89.088999999999999</v>
      </c>
      <c r="N3808" s="3" t="s">
        <v>10040</v>
      </c>
      <c r="O3808" s="3" t="s">
        <v>10042</v>
      </c>
      <c r="P3808" s="17">
        <v>46177</v>
      </c>
      <c r="Q3808" s="4">
        <v>12</v>
      </c>
    </row>
    <row r="3809" spans="1:17" ht="30" x14ac:dyDescent="0.25">
      <c r="A3809" s="2" t="s">
        <v>1633</v>
      </c>
      <c r="B3809" s="3" t="s">
        <v>5015</v>
      </c>
      <c r="C3809" s="3">
        <v>51</v>
      </c>
      <c r="D3809" s="46" t="str">
        <f>IF(Tabla1[[#This Row],[EDAD]]&lt;=35,"Adultos jóvenes 18 - 35 años",IF(C3809&gt;=36,"Adultos mayores 36 años en adelante"))</f>
        <v>Adultos mayores 36 años en adelante</v>
      </c>
      <c r="E3809" s="3" t="s">
        <v>5020</v>
      </c>
      <c r="F3809" s="3" t="s">
        <v>5030</v>
      </c>
      <c r="G3809" s="3" t="s">
        <v>5035</v>
      </c>
      <c r="H3809" s="3" t="s">
        <v>6656</v>
      </c>
      <c r="I3809" s="17">
        <v>45840</v>
      </c>
      <c r="J3809" s="18">
        <f>YEAR(Tabla1[[#This Row],[FECHA DE COMPRA]])</f>
        <v>2025</v>
      </c>
      <c r="K3809" s="19">
        <v>27.77</v>
      </c>
      <c r="L3809" s="20">
        <v>0.1</v>
      </c>
      <c r="M3809" s="19">
        <f>Tienda!$K4312-Tienda!$K4312*Tienda!$L4312</f>
        <v>90.536000000000001</v>
      </c>
      <c r="N3809" s="3" t="s">
        <v>10040</v>
      </c>
      <c r="O3809" s="3" t="s">
        <v>10042</v>
      </c>
      <c r="P3809" s="17">
        <v>46200</v>
      </c>
      <c r="Q3809" s="4">
        <v>12</v>
      </c>
    </row>
    <row r="3810" spans="1:17" ht="30" x14ac:dyDescent="0.25">
      <c r="A3810" s="2" t="s">
        <v>1877</v>
      </c>
      <c r="B3810" s="3" t="s">
        <v>5015</v>
      </c>
      <c r="C3810" s="3">
        <v>59</v>
      </c>
      <c r="D3810" s="46" t="str">
        <f>IF(Tabla1[[#This Row],[EDAD]]&lt;=35,"Adultos jóvenes 18 - 35 años",IF(C3810&gt;=36,"Adultos mayores 36 años en adelante"))</f>
        <v>Adultos mayores 36 años en adelante</v>
      </c>
      <c r="E3810" s="3" t="s">
        <v>5020</v>
      </c>
      <c r="F3810" s="3" t="s">
        <v>5026</v>
      </c>
      <c r="G3810" s="3" t="s">
        <v>5035</v>
      </c>
      <c r="H3810" s="3" t="s">
        <v>6900</v>
      </c>
      <c r="I3810" s="17">
        <v>45847</v>
      </c>
      <c r="J3810" s="18">
        <f>YEAR(Tabla1[[#This Row],[FECHA DE COMPRA]])</f>
        <v>2025</v>
      </c>
      <c r="K3810" s="19">
        <v>36.25</v>
      </c>
      <c r="L3810" s="20">
        <v>0</v>
      </c>
      <c r="M3810" s="19">
        <f>Tienda!$K4313-Tienda!$K4313*Tienda!$L4313</f>
        <v>90.698999999999998</v>
      </c>
      <c r="N3810" s="3" t="s">
        <v>10040</v>
      </c>
      <c r="O3810" s="3" t="s">
        <v>10042</v>
      </c>
      <c r="P3810" s="17">
        <v>46207</v>
      </c>
      <c r="Q3810" s="4">
        <v>12</v>
      </c>
    </row>
    <row r="3811" spans="1:17" ht="30" x14ac:dyDescent="0.25">
      <c r="A3811" s="2" t="s">
        <v>51</v>
      </c>
      <c r="B3811" s="3" t="s">
        <v>5015</v>
      </c>
      <c r="C3811" s="3">
        <v>42</v>
      </c>
      <c r="D3811" s="46" t="str">
        <f>IF(Tabla1[[#This Row],[EDAD]]&lt;=35,"Adultos jóvenes 18 - 35 años",IF(C3811&gt;=36,"Adultos mayores 36 años en adelante"))</f>
        <v>Adultos mayores 36 años en adelante</v>
      </c>
      <c r="E3811" s="3" t="s">
        <v>5018</v>
      </c>
      <c r="F3811" s="3" t="s">
        <v>5026</v>
      </c>
      <c r="G3811" s="3" t="s">
        <v>5035</v>
      </c>
      <c r="H3811" s="3" t="s">
        <v>5074</v>
      </c>
      <c r="I3811" s="17">
        <v>45853</v>
      </c>
      <c r="J3811" s="18">
        <f>YEAR(Tabla1[[#This Row],[FECHA DE COMPRA]])</f>
        <v>2025</v>
      </c>
      <c r="K3811" s="19">
        <v>111.15</v>
      </c>
      <c r="L3811" s="20">
        <v>0.3</v>
      </c>
      <c r="M3811" s="19">
        <f>Tienda!$K4316-Tienda!$K4316*Tienda!$L4316</f>
        <v>91.7</v>
      </c>
      <c r="N3811" s="3" t="s">
        <v>10040</v>
      </c>
      <c r="O3811" s="3" t="s">
        <v>10042</v>
      </c>
      <c r="P3811" s="17">
        <v>46213</v>
      </c>
      <c r="Q3811" s="4">
        <v>12</v>
      </c>
    </row>
    <row r="3812" spans="1:17" ht="30" x14ac:dyDescent="0.25">
      <c r="A3812" s="2" t="s">
        <v>3775</v>
      </c>
      <c r="B3812" s="3" t="s">
        <v>5015</v>
      </c>
      <c r="C3812" s="3">
        <v>47</v>
      </c>
      <c r="D3812" s="46" t="str">
        <f>IF(Tabla1[[#This Row],[EDAD]]&lt;=35,"Adultos jóvenes 18 - 35 años",IF(C3812&gt;=36,"Adultos mayores 36 años en adelante"))</f>
        <v>Adultos mayores 36 años en adelante</v>
      </c>
      <c r="E3812" s="3" t="s">
        <v>5019</v>
      </c>
      <c r="F3812" s="3" t="s">
        <v>5026</v>
      </c>
      <c r="G3812" s="3" t="s">
        <v>5035</v>
      </c>
      <c r="H3812" s="3" t="s">
        <v>8798</v>
      </c>
      <c r="I3812" s="17">
        <v>45839</v>
      </c>
      <c r="J3812" s="18">
        <f>YEAR(Tabla1[[#This Row],[FECHA DE COMPRA]])</f>
        <v>2025</v>
      </c>
      <c r="K3812" s="19">
        <v>114.72</v>
      </c>
      <c r="L3812" s="20">
        <v>0.1</v>
      </c>
      <c r="M3812" s="19">
        <f>Tienda!$K4317-Tienda!$K4317*Tienda!$L4317</f>
        <v>92.152000000000001</v>
      </c>
      <c r="N3812" s="3" t="s">
        <v>10040</v>
      </c>
      <c r="O3812" s="3" t="s">
        <v>10042</v>
      </c>
      <c r="P3812" s="17">
        <v>46199</v>
      </c>
      <c r="Q3812" s="4">
        <v>12</v>
      </c>
    </row>
    <row r="3813" spans="1:17" ht="30" x14ac:dyDescent="0.25">
      <c r="A3813" s="2" t="s">
        <v>4744</v>
      </c>
      <c r="B3813" s="3" t="s">
        <v>5015</v>
      </c>
      <c r="C3813" s="3">
        <v>42</v>
      </c>
      <c r="D3813" s="46" t="str">
        <f>IF(Tabla1[[#This Row],[EDAD]]&lt;=35,"Adultos jóvenes 18 - 35 años",IF(C3813&gt;=36,"Adultos mayores 36 años en adelante"))</f>
        <v>Adultos mayores 36 años en adelante</v>
      </c>
      <c r="E3813" s="3" t="s">
        <v>5020</v>
      </c>
      <c r="F3813" s="3" t="s">
        <v>5027</v>
      </c>
      <c r="G3813" s="3" t="s">
        <v>5037</v>
      </c>
      <c r="H3813" s="3" t="s">
        <v>9767</v>
      </c>
      <c r="I3813" s="17">
        <v>45842</v>
      </c>
      <c r="J3813" s="18">
        <f>YEAR(Tabla1[[#This Row],[FECHA DE COMPRA]])</f>
        <v>2025</v>
      </c>
      <c r="K3813" s="19">
        <v>147.54</v>
      </c>
      <c r="L3813" s="20">
        <v>0.1</v>
      </c>
      <c r="M3813" s="19">
        <f>Tienda!$K4319-Tienda!$K4319*Tienda!$L4319</f>
        <v>93.186000000000007</v>
      </c>
      <c r="N3813" s="3" t="s">
        <v>10040</v>
      </c>
      <c r="O3813" s="3" t="s">
        <v>10042</v>
      </c>
      <c r="P3813" s="17">
        <v>46202</v>
      </c>
      <c r="Q3813" s="4">
        <v>12</v>
      </c>
    </row>
    <row r="3814" spans="1:17" ht="30" x14ac:dyDescent="0.25">
      <c r="A3814" s="2" t="s">
        <v>3270</v>
      </c>
      <c r="B3814" s="3" t="s">
        <v>5016</v>
      </c>
      <c r="C3814" s="3">
        <v>36</v>
      </c>
      <c r="D3814" s="46" t="str">
        <f>IF(Tabla1[[#This Row],[EDAD]]&lt;=35,"Adultos jóvenes 18 - 35 años",IF(C3814&gt;=36,"Adultos mayores 36 años en adelante"))</f>
        <v>Adultos mayores 36 años en adelante</v>
      </c>
      <c r="E3814" s="3" t="s">
        <v>5021</v>
      </c>
      <c r="F3814" s="3" t="s">
        <v>5026</v>
      </c>
      <c r="G3814" s="3" t="s">
        <v>5035</v>
      </c>
      <c r="H3814" s="3" t="s">
        <v>8293</v>
      </c>
      <c r="I3814" s="17">
        <v>45843</v>
      </c>
      <c r="J3814" s="18">
        <f>YEAR(Tabla1[[#This Row],[FECHA DE COMPRA]])</f>
        <v>2025</v>
      </c>
      <c r="K3814" s="19">
        <v>169.65</v>
      </c>
      <c r="L3814" s="20">
        <v>0.2</v>
      </c>
      <c r="M3814" s="19">
        <f>Tienda!$K4320-Tienda!$K4320*Tienda!$L4320</f>
        <v>93.77</v>
      </c>
      <c r="N3814" s="3" t="s">
        <v>10040</v>
      </c>
      <c r="O3814" s="3" t="s">
        <v>10042</v>
      </c>
      <c r="P3814" s="17">
        <v>46203</v>
      </c>
      <c r="Q3814" s="4">
        <v>12</v>
      </c>
    </row>
    <row r="3815" spans="1:17" ht="30" x14ac:dyDescent="0.25">
      <c r="A3815" s="2" t="s">
        <v>3923</v>
      </c>
      <c r="B3815" s="3" t="s">
        <v>5015</v>
      </c>
      <c r="C3815" s="3">
        <v>48</v>
      </c>
      <c r="D3815" s="46" t="str">
        <f>IF(Tabla1[[#This Row],[EDAD]]&lt;=35,"Adultos jóvenes 18 - 35 años",IF(C3815&gt;=36,"Adultos mayores 36 años en adelante"))</f>
        <v>Adultos mayores 36 años en adelante</v>
      </c>
      <c r="E3815" s="3" t="s">
        <v>5020</v>
      </c>
      <c r="F3815" s="3" t="s">
        <v>5029</v>
      </c>
      <c r="G3815" s="3" t="s">
        <v>5036</v>
      </c>
      <c r="H3815" s="3" t="s">
        <v>8946</v>
      </c>
      <c r="I3815" s="17">
        <v>45873</v>
      </c>
      <c r="J3815" s="18">
        <f>YEAR(Tabla1[[#This Row],[FECHA DE COMPRA]])</f>
        <v>2025</v>
      </c>
      <c r="K3815" s="19">
        <v>82.26</v>
      </c>
      <c r="L3815" s="20">
        <v>0.2</v>
      </c>
      <c r="M3815" s="19">
        <f>Tienda!$K4321-Tienda!$K4321*Tienda!$L4321</f>
        <v>94.28</v>
      </c>
      <c r="N3815" s="3" t="s">
        <v>10040</v>
      </c>
      <c r="O3815" s="3" t="s">
        <v>10042</v>
      </c>
      <c r="P3815" s="17">
        <v>46233</v>
      </c>
      <c r="Q3815" s="4">
        <v>12</v>
      </c>
    </row>
    <row r="3816" spans="1:17" ht="30" x14ac:dyDescent="0.25">
      <c r="A3816" s="2" t="s">
        <v>3449</v>
      </c>
      <c r="B3816" s="3" t="s">
        <v>5015</v>
      </c>
      <c r="C3816" s="3">
        <v>49</v>
      </c>
      <c r="D3816" s="46" t="str">
        <f>IF(Tabla1[[#This Row],[EDAD]]&lt;=35,"Adultos jóvenes 18 - 35 años",IF(C3816&gt;=36,"Adultos mayores 36 años en adelante"))</f>
        <v>Adultos mayores 36 años en adelante</v>
      </c>
      <c r="E3816" s="3" t="s">
        <v>5021</v>
      </c>
      <c r="F3816" s="3" t="s">
        <v>5030</v>
      </c>
      <c r="G3816" s="3" t="s">
        <v>5031</v>
      </c>
      <c r="H3816" s="3" t="s">
        <v>8472</v>
      </c>
      <c r="I3816" s="17">
        <v>45879</v>
      </c>
      <c r="J3816" s="18">
        <f>YEAR(Tabla1[[#This Row],[FECHA DE COMPRA]])</f>
        <v>2025</v>
      </c>
      <c r="K3816" s="19">
        <v>88.13</v>
      </c>
      <c r="L3816" s="20">
        <v>0.3</v>
      </c>
      <c r="M3816" s="19">
        <f>Tienda!$K4322-Tienda!$K4322*Tienda!$L4322</f>
        <v>94.29</v>
      </c>
      <c r="N3816" s="3" t="s">
        <v>10040</v>
      </c>
      <c r="O3816" s="3" t="s">
        <v>10042</v>
      </c>
      <c r="P3816" s="17">
        <v>46239</v>
      </c>
      <c r="Q3816" s="4">
        <v>12</v>
      </c>
    </row>
    <row r="3817" spans="1:17" ht="30" x14ac:dyDescent="0.25">
      <c r="A3817" s="2" t="s">
        <v>1785</v>
      </c>
      <c r="B3817" s="3" t="s">
        <v>5015</v>
      </c>
      <c r="C3817" s="3">
        <v>47</v>
      </c>
      <c r="D3817" s="46" t="str">
        <f>IF(Tabla1[[#This Row],[EDAD]]&lt;=35,"Adultos jóvenes 18 - 35 años",IF(C3817&gt;=36,"Adultos mayores 36 años en adelante"))</f>
        <v>Adultos mayores 36 años en adelante</v>
      </c>
      <c r="E3817" s="3" t="s">
        <v>5022</v>
      </c>
      <c r="F3817" s="3" t="s">
        <v>5029</v>
      </c>
      <c r="G3817" s="3" t="s">
        <v>5031</v>
      </c>
      <c r="H3817" s="3" t="s">
        <v>6808</v>
      </c>
      <c r="I3817" s="17">
        <v>45881</v>
      </c>
      <c r="J3817" s="18">
        <f>YEAR(Tabla1[[#This Row],[FECHA DE COMPRA]])</f>
        <v>2025</v>
      </c>
      <c r="K3817" s="19">
        <v>159.13999999999999</v>
      </c>
      <c r="L3817" s="20">
        <v>0.3</v>
      </c>
      <c r="M3817" s="19">
        <f>Tienda!$K4324-Tienda!$K4324*Tienda!$L4324</f>
        <v>94.647000000000006</v>
      </c>
      <c r="N3817" s="3" t="s">
        <v>10040</v>
      </c>
      <c r="O3817" s="3" t="s">
        <v>10042</v>
      </c>
      <c r="P3817" s="17">
        <v>46241</v>
      </c>
      <c r="Q3817" s="4">
        <v>12</v>
      </c>
    </row>
    <row r="3818" spans="1:17" ht="30" x14ac:dyDescent="0.25">
      <c r="A3818" s="2" t="s">
        <v>3177</v>
      </c>
      <c r="B3818" s="3" t="s">
        <v>5015</v>
      </c>
      <c r="C3818" s="3">
        <v>65</v>
      </c>
      <c r="D3818" s="46" t="str">
        <f>IF(Tabla1[[#This Row],[EDAD]]&lt;=35,"Adultos jóvenes 18 - 35 años",IF(C3818&gt;=36,"Adultos mayores 36 años en adelante"))</f>
        <v>Adultos mayores 36 años en adelante</v>
      </c>
      <c r="E3818" s="3" t="s">
        <v>5018</v>
      </c>
      <c r="F3818" s="3" t="s">
        <v>5028</v>
      </c>
      <c r="G3818" s="3" t="s">
        <v>5033</v>
      </c>
      <c r="H3818" s="3" t="s">
        <v>8200</v>
      </c>
      <c r="I3818" s="17">
        <v>45861</v>
      </c>
      <c r="J3818" s="18">
        <f>YEAR(Tabla1[[#This Row],[FECHA DE COMPRA]])</f>
        <v>2025</v>
      </c>
      <c r="K3818" s="19">
        <v>76.349999999999994</v>
      </c>
      <c r="L3818" s="20">
        <v>0</v>
      </c>
      <c r="M3818" s="19">
        <f>Tienda!$K4325-Tienda!$K4325*Tienda!$L4325</f>
        <v>94.835999999999984</v>
      </c>
      <c r="N3818" s="3" t="s">
        <v>10040</v>
      </c>
      <c r="O3818" s="3" t="s">
        <v>10042</v>
      </c>
      <c r="P3818" s="17">
        <v>46221</v>
      </c>
      <c r="Q3818" s="4">
        <v>12</v>
      </c>
    </row>
    <row r="3819" spans="1:17" ht="30" x14ac:dyDescent="0.25">
      <c r="A3819" s="2" t="s">
        <v>1258</v>
      </c>
      <c r="B3819" s="3" t="s">
        <v>5015</v>
      </c>
      <c r="C3819" s="3">
        <v>40</v>
      </c>
      <c r="D3819" s="46" t="str">
        <f>IF(Tabla1[[#This Row],[EDAD]]&lt;=35,"Adultos jóvenes 18 - 35 años",IF(C3819&gt;=36,"Adultos mayores 36 años en adelante"))</f>
        <v>Adultos mayores 36 años en adelante</v>
      </c>
      <c r="E3819" s="3" t="s">
        <v>5017</v>
      </c>
      <c r="F3819" s="3" t="s">
        <v>5029</v>
      </c>
      <c r="G3819" s="3" t="s">
        <v>5036</v>
      </c>
      <c r="H3819" s="3" t="s">
        <v>6281</v>
      </c>
      <c r="I3819" s="17">
        <v>45841</v>
      </c>
      <c r="J3819" s="18">
        <f>YEAR(Tabla1[[#This Row],[FECHA DE COMPRA]])</f>
        <v>2025</v>
      </c>
      <c r="K3819" s="19">
        <v>170.36</v>
      </c>
      <c r="L3819" s="20">
        <v>0.2</v>
      </c>
      <c r="M3819" s="19">
        <f>Tienda!$K4328-Tienda!$K4328*Tienda!$L4328</f>
        <v>95.51</v>
      </c>
      <c r="N3819" s="3" t="s">
        <v>10040</v>
      </c>
      <c r="O3819" s="3" t="s">
        <v>10042</v>
      </c>
      <c r="P3819" s="17">
        <v>46201</v>
      </c>
      <c r="Q3819" s="4">
        <v>12</v>
      </c>
    </row>
    <row r="3820" spans="1:17" ht="30" x14ac:dyDescent="0.25">
      <c r="A3820" s="2" t="s">
        <v>3528</v>
      </c>
      <c r="B3820" s="3" t="s">
        <v>5015</v>
      </c>
      <c r="C3820" s="3">
        <v>61</v>
      </c>
      <c r="D3820" s="46" t="str">
        <f>IF(Tabla1[[#This Row],[EDAD]]&lt;=35,"Adultos jóvenes 18 - 35 años",IF(C3820&gt;=36,"Adultos mayores 36 años en adelante"))</f>
        <v>Adultos mayores 36 años en adelante</v>
      </c>
      <c r="E3820" s="3" t="s">
        <v>5019</v>
      </c>
      <c r="F3820" s="3" t="s">
        <v>5027</v>
      </c>
      <c r="G3820" s="3" t="s">
        <v>5037</v>
      </c>
      <c r="H3820" s="3" t="s">
        <v>8551</v>
      </c>
      <c r="I3820" s="17">
        <v>45846</v>
      </c>
      <c r="J3820" s="18">
        <f>YEAR(Tabla1[[#This Row],[FECHA DE COMPRA]])</f>
        <v>2025</v>
      </c>
      <c r="K3820" s="19">
        <v>198.6</v>
      </c>
      <c r="L3820" s="20">
        <v>0.1</v>
      </c>
      <c r="M3820" s="19">
        <f>Tienda!$K4329-Tienda!$K4329*Tienda!$L4329</f>
        <v>95.57</v>
      </c>
      <c r="N3820" s="3" t="s">
        <v>10040</v>
      </c>
      <c r="O3820" s="3" t="s">
        <v>10042</v>
      </c>
      <c r="P3820" s="17">
        <v>46206</v>
      </c>
      <c r="Q3820" s="4">
        <v>12</v>
      </c>
    </row>
    <row r="3821" spans="1:17" ht="30" x14ac:dyDescent="0.25">
      <c r="A3821" s="2" t="s">
        <v>1455</v>
      </c>
      <c r="B3821" s="3" t="s">
        <v>5015</v>
      </c>
      <c r="C3821" s="3">
        <v>63</v>
      </c>
      <c r="D3821" s="46" t="str">
        <f>IF(Tabla1[[#This Row],[EDAD]]&lt;=35,"Adultos jóvenes 18 - 35 años",IF(C3821&gt;=36,"Adultos mayores 36 años en adelante"))</f>
        <v>Adultos mayores 36 años en adelante</v>
      </c>
      <c r="E3821" s="3" t="s">
        <v>5019</v>
      </c>
      <c r="F3821" s="3" t="s">
        <v>5025</v>
      </c>
      <c r="G3821" s="3" t="s">
        <v>5032</v>
      </c>
      <c r="H3821" s="3" t="s">
        <v>6478</v>
      </c>
      <c r="I3821" s="17">
        <v>45873</v>
      </c>
      <c r="J3821" s="18">
        <f>YEAR(Tabla1[[#This Row],[FECHA DE COMPRA]])</f>
        <v>2025</v>
      </c>
      <c r="K3821" s="19">
        <v>12.47</v>
      </c>
      <c r="L3821" s="20">
        <v>0.2</v>
      </c>
      <c r="M3821" s="19">
        <f>Tienda!$K4330-Tienda!$K4330*Tienda!$L4330</f>
        <v>95.847999999999999</v>
      </c>
      <c r="N3821" s="3" t="s">
        <v>10040</v>
      </c>
      <c r="O3821" s="3" t="s">
        <v>10042</v>
      </c>
      <c r="P3821" s="17">
        <v>46233</v>
      </c>
      <c r="Q3821" s="4">
        <v>12</v>
      </c>
    </row>
    <row r="3822" spans="1:17" ht="30" x14ac:dyDescent="0.25">
      <c r="A3822" s="2" t="s">
        <v>2064</v>
      </c>
      <c r="B3822" s="3" t="s">
        <v>5015</v>
      </c>
      <c r="C3822" s="3">
        <v>53</v>
      </c>
      <c r="D3822" s="46" t="str">
        <f>IF(Tabla1[[#This Row],[EDAD]]&lt;=35,"Adultos jóvenes 18 - 35 años",IF(C3822&gt;=36,"Adultos mayores 36 años en adelante"))</f>
        <v>Adultos mayores 36 años en adelante</v>
      </c>
      <c r="E3822" s="3" t="s">
        <v>5022</v>
      </c>
      <c r="F3822" s="3" t="s">
        <v>5030</v>
      </c>
      <c r="G3822" s="3" t="s">
        <v>5031</v>
      </c>
      <c r="H3822" s="3" t="s">
        <v>7087</v>
      </c>
      <c r="I3822" s="17">
        <v>45879</v>
      </c>
      <c r="J3822" s="18">
        <f>YEAR(Tabla1[[#This Row],[FECHA DE COMPRA]])</f>
        <v>2025</v>
      </c>
      <c r="K3822" s="19">
        <v>19.77</v>
      </c>
      <c r="L3822" s="20">
        <v>0.3</v>
      </c>
      <c r="M3822" s="19">
        <f>Tienda!$K4332-Tienda!$K4332*Tienda!$L4332</f>
        <v>96.677000000000021</v>
      </c>
      <c r="N3822" s="3" t="s">
        <v>10040</v>
      </c>
      <c r="O3822" s="3" t="s">
        <v>10042</v>
      </c>
      <c r="P3822" s="17">
        <v>46239</v>
      </c>
      <c r="Q3822" s="4">
        <v>12</v>
      </c>
    </row>
    <row r="3823" spans="1:17" ht="30" x14ac:dyDescent="0.25">
      <c r="A3823" s="2" t="s">
        <v>4390</v>
      </c>
      <c r="B3823" s="3" t="s">
        <v>5015</v>
      </c>
      <c r="C3823" s="3">
        <v>37</v>
      </c>
      <c r="D3823" s="46" t="str">
        <f>IF(Tabla1[[#This Row],[EDAD]]&lt;=35,"Adultos jóvenes 18 - 35 años",IF(C3823&gt;=36,"Adultos mayores 36 años en adelante"))</f>
        <v>Adultos mayores 36 años en adelante</v>
      </c>
      <c r="E3823" s="3" t="s">
        <v>5017</v>
      </c>
      <c r="F3823" s="3" t="s">
        <v>5030</v>
      </c>
      <c r="G3823" s="3" t="s">
        <v>5031</v>
      </c>
      <c r="H3823" s="3" t="s">
        <v>9413</v>
      </c>
      <c r="I3823" s="17">
        <v>45880</v>
      </c>
      <c r="J3823" s="18">
        <f>YEAR(Tabla1[[#This Row],[FECHA DE COMPRA]])</f>
        <v>2025</v>
      </c>
      <c r="K3823" s="19">
        <v>159.18</v>
      </c>
      <c r="L3823" s="20">
        <v>0.3</v>
      </c>
      <c r="M3823" s="19">
        <f>Tienda!$K4333-Tienda!$K4333*Tienda!$L4333</f>
        <v>97.08</v>
      </c>
      <c r="N3823" s="3" t="s">
        <v>10040</v>
      </c>
      <c r="O3823" s="3" t="s">
        <v>10042</v>
      </c>
      <c r="P3823" s="17">
        <v>46240</v>
      </c>
      <c r="Q3823" s="4">
        <v>12</v>
      </c>
    </row>
    <row r="3824" spans="1:17" ht="30" x14ac:dyDescent="0.25">
      <c r="A3824" s="2" t="s">
        <v>3882</v>
      </c>
      <c r="B3824" s="3" t="s">
        <v>5015</v>
      </c>
      <c r="C3824" s="3">
        <v>48</v>
      </c>
      <c r="D3824" s="46" t="str">
        <f>IF(Tabla1[[#This Row],[EDAD]]&lt;=35,"Adultos jóvenes 18 - 35 años",IF(C3824&gt;=36,"Adultos mayores 36 años en adelante"))</f>
        <v>Adultos mayores 36 años en adelante</v>
      </c>
      <c r="E3824" s="3" t="s">
        <v>5020</v>
      </c>
      <c r="F3824" s="3" t="s">
        <v>5029</v>
      </c>
      <c r="G3824" s="3" t="s">
        <v>5032</v>
      </c>
      <c r="H3824" s="3" t="s">
        <v>8905</v>
      </c>
      <c r="I3824" s="17">
        <v>45885</v>
      </c>
      <c r="J3824" s="18">
        <f>YEAR(Tabla1[[#This Row],[FECHA DE COMPRA]])</f>
        <v>2025</v>
      </c>
      <c r="K3824" s="19">
        <v>165.25</v>
      </c>
      <c r="L3824" s="20">
        <v>0</v>
      </c>
      <c r="M3824" s="19">
        <f>Tienda!$K4334-Tienda!$K4334*Tienda!$L4334</f>
        <v>97.415999999999997</v>
      </c>
      <c r="N3824" s="3" t="s">
        <v>10040</v>
      </c>
      <c r="O3824" s="3" t="s">
        <v>10042</v>
      </c>
      <c r="P3824" s="17">
        <v>46245</v>
      </c>
      <c r="Q3824" s="4">
        <v>12</v>
      </c>
    </row>
    <row r="3825" spans="1:17" ht="30" x14ac:dyDescent="0.25">
      <c r="A3825" s="2" t="s">
        <v>3215</v>
      </c>
      <c r="B3825" s="3" t="s">
        <v>5015</v>
      </c>
      <c r="C3825" s="3">
        <v>39</v>
      </c>
      <c r="D3825" s="46" t="str">
        <f>IF(Tabla1[[#This Row],[EDAD]]&lt;=35,"Adultos jóvenes 18 - 35 años",IF(C3825&gt;=36,"Adultos mayores 36 años en adelante"))</f>
        <v>Adultos mayores 36 años en adelante</v>
      </c>
      <c r="E3825" s="3" t="s">
        <v>5017</v>
      </c>
      <c r="F3825" s="3" t="s">
        <v>5025</v>
      </c>
      <c r="G3825" s="3" t="s">
        <v>5035</v>
      </c>
      <c r="H3825" s="3" t="s">
        <v>8238</v>
      </c>
      <c r="I3825" s="17">
        <v>45643</v>
      </c>
      <c r="J3825" s="18">
        <f>YEAR(Tabla1[[#This Row],[FECHA DE COMPRA]])</f>
        <v>2024</v>
      </c>
      <c r="K3825" s="19">
        <v>10.4</v>
      </c>
      <c r="L3825" s="20">
        <v>0.3</v>
      </c>
      <c r="M3825" s="19">
        <f>Tienda!$K904-Tienda!$K904*Tienda!$L904</f>
        <v>196.52</v>
      </c>
      <c r="N3825" s="3" t="s">
        <v>10038</v>
      </c>
      <c r="O3825" s="3" t="s">
        <v>10041</v>
      </c>
      <c r="P3825" s="17">
        <v>45733</v>
      </c>
      <c r="Q3825" s="4">
        <v>0</v>
      </c>
    </row>
    <row r="3826" spans="1:17" ht="30" x14ac:dyDescent="0.25">
      <c r="A3826" s="2" t="s">
        <v>102</v>
      </c>
      <c r="B3826" s="3" t="s">
        <v>5015</v>
      </c>
      <c r="C3826" s="3">
        <v>39</v>
      </c>
      <c r="D3826" s="46" t="str">
        <f>IF(Tabla1[[#This Row],[EDAD]]&lt;=35,"Adultos jóvenes 18 - 35 años",IF(C3826&gt;=36,"Adultos mayores 36 años en adelante"))</f>
        <v>Adultos mayores 36 años en adelante</v>
      </c>
      <c r="E3826" s="3" t="s">
        <v>5018</v>
      </c>
      <c r="F3826" s="3" t="s">
        <v>5030</v>
      </c>
      <c r="G3826" s="3" t="s">
        <v>5032</v>
      </c>
      <c r="H3826" s="3" t="s">
        <v>5125</v>
      </c>
      <c r="I3826" s="17">
        <v>45312</v>
      </c>
      <c r="J3826" s="18">
        <f>YEAR(Tabla1[[#This Row],[FECHA DE COMPRA]])</f>
        <v>2024</v>
      </c>
      <c r="K3826" s="19">
        <v>10.71</v>
      </c>
      <c r="L3826" s="20">
        <v>0.3</v>
      </c>
      <c r="M3826" s="19">
        <f>Tienda!$K905-Tienda!$K905*Tienda!$L905</f>
        <v>19.759999999999998</v>
      </c>
      <c r="N3826" s="3" t="s">
        <v>10038</v>
      </c>
      <c r="O3826" s="3" t="s">
        <v>10041</v>
      </c>
      <c r="P3826" s="17">
        <v>45492</v>
      </c>
      <c r="Q3826" s="4">
        <v>0</v>
      </c>
    </row>
    <row r="3827" spans="1:17" ht="30" x14ac:dyDescent="0.25">
      <c r="A3827" s="2" t="s">
        <v>4264</v>
      </c>
      <c r="B3827" s="3" t="s">
        <v>5015</v>
      </c>
      <c r="C3827" s="3">
        <v>41</v>
      </c>
      <c r="D3827" s="46" t="str">
        <f>IF(Tabla1[[#This Row],[EDAD]]&lt;=35,"Adultos jóvenes 18 - 35 años",IF(C3827&gt;=36,"Adultos mayores 36 años en adelante"))</f>
        <v>Adultos mayores 36 años en adelante</v>
      </c>
      <c r="E3827" s="3" t="s">
        <v>5020</v>
      </c>
      <c r="F3827" s="3" t="s">
        <v>5024</v>
      </c>
      <c r="G3827" s="3" t="s">
        <v>5032</v>
      </c>
      <c r="H3827" s="3" t="s">
        <v>9287</v>
      </c>
      <c r="I3827" s="17">
        <v>45387</v>
      </c>
      <c r="J3827" s="18">
        <f>YEAR(Tabla1[[#This Row],[FECHA DE COMPRA]])</f>
        <v>2024</v>
      </c>
      <c r="K3827" s="19">
        <v>11.66</v>
      </c>
      <c r="L3827" s="20">
        <v>0.3</v>
      </c>
      <c r="M3827" s="19">
        <f>Tienda!$K908-Tienda!$K908*Tienda!$L908</f>
        <v>65.198000000000008</v>
      </c>
      <c r="N3827" s="3" t="s">
        <v>10038</v>
      </c>
      <c r="O3827" s="3" t="s">
        <v>10041</v>
      </c>
      <c r="P3827" s="17">
        <v>45387</v>
      </c>
      <c r="Q3827" s="4">
        <v>0</v>
      </c>
    </row>
    <row r="3828" spans="1:17" ht="30" x14ac:dyDescent="0.25">
      <c r="A3828" s="2" t="s">
        <v>1184</v>
      </c>
      <c r="B3828" s="3" t="s">
        <v>5016</v>
      </c>
      <c r="C3828" s="3">
        <v>55</v>
      </c>
      <c r="D3828" s="46" t="str">
        <f>IF(Tabla1[[#This Row],[EDAD]]&lt;=35,"Adultos jóvenes 18 - 35 años",IF(C3828&gt;=36,"Adultos mayores 36 años en adelante"))</f>
        <v>Adultos mayores 36 años en adelante</v>
      </c>
      <c r="E3828" s="3" t="s">
        <v>5019</v>
      </c>
      <c r="F3828" s="3" t="s">
        <v>5026</v>
      </c>
      <c r="G3828" s="3" t="s">
        <v>5032</v>
      </c>
      <c r="H3828" s="3" t="s">
        <v>6207</v>
      </c>
      <c r="I3828" s="17">
        <v>45424</v>
      </c>
      <c r="J3828" s="18">
        <f>YEAR(Tabla1[[#This Row],[FECHA DE COMPRA]])</f>
        <v>2024</v>
      </c>
      <c r="K3828" s="19">
        <v>10.27</v>
      </c>
      <c r="L3828" s="20">
        <v>0.2</v>
      </c>
      <c r="M3828" s="19">
        <f>Tienda!$K909-Tienda!$K909*Tienda!$L909</f>
        <v>83.942999999999998</v>
      </c>
      <c r="N3828" s="3" t="s">
        <v>10038</v>
      </c>
      <c r="O3828" s="3" t="s">
        <v>10041</v>
      </c>
      <c r="P3828" s="17">
        <v>45424</v>
      </c>
      <c r="Q3828" s="4">
        <v>0</v>
      </c>
    </row>
    <row r="3829" spans="1:17" ht="30" x14ac:dyDescent="0.25">
      <c r="A3829" s="2" t="s">
        <v>1441</v>
      </c>
      <c r="B3829" s="3" t="s">
        <v>5015</v>
      </c>
      <c r="C3829" s="3">
        <v>62</v>
      </c>
      <c r="D3829" s="46" t="str">
        <f>IF(Tabla1[[#This Row],[EDAD]]&lt;=35,"Adultos jóvenes 18 - 35 años",IF(C3829&gt;=36,"Adultos mayores 36 años en adelante"))</f>
        <v>Adultos mayores 36 años en adelante</v>
      </c>
      <c r="E3829" s="3" t="s">
        <v>5018</v>
      </c>
      <c r="F3829" s="3" t="s">
        <v>5029</v>
      </c>
      <c r="G3829" s="3" t="s">
        <v>5037</v>
      </c>
      <c r="H3829" s="3" t="s">
        <v>6464</v>
      </c>
      <c r="I3829" s="17">
        <v>45386</v>
      </c>
      <c r="J3829" s="18">
        <f>YEAR(Tabla1[[#This Row],[FECHA DE COMPRA]])</f>
        <v>2024</v>
      </c>
      <c r="K3829" s="19">
        <v>10.42</v>
      </c>
      <c r="L3829" s="20">
        <v>0.2</v>
      </c>
      <c r="M3829" s="19">
        <f>Tienda!$K911-Tienda!$K911*Tienda!$L911</f>
        <v>145.74</v>
      </c>
      <c r="N3829" s="3" t="s">
        <v>10038</v>
      </c>
      <c r="O3829" s="3" t="s">
        <v>10041</v>
      </c>
      <c r="P3829" s="17">
        <v>45386</v>
      </c>
      <c r="Q3829" s="4">
        <v>0</v>
      </c>
    </row>
    <row r="3830" spans="1:17" ht="30" x14ac:dyDescent="0.25">
      <c r="A3830" s="2" t="s">
        <v>1588</v>
      </c>
      <c r="B3830" s="3" t="s">
        <v>5015</v>
      </c>
      <c r="C3830" s="3">
        <v>58</v>
      </c>
      <c r="D3830" s="46" t="str">
        <f>IF(Tabla1[[#This Row],[EDAD]]&lt;=35,"Adultos jóvenes 18 - 35 años",IF(C3830&gt;=36,"Adultos mayores 36 años en adelante"))</f>
        <v>Adultos mayores 36 años en adelante</v>
      </c>
      <c r="E3830" s="3" t="s">
        <v>5022</v>
      </c>
      <c r="F3830" s="3" t="s">
        <v>5027</v>
      </c>
      <c r="G3830" s="3" t="s">
        <v>5036</v>
      </c>
      <c r="H3830" s="3" t="s">
        <v>6611</v>
      </c>
      <c r="I3830" s="17">
        <v>45366</v>
      </c>
      <c r="J3830" s="18">
        <f>YEAR(Tabla1[[#This Row],[FECHA DE COMPRA]])</f>
        <v>2024</v>
      </c>
      <c r="K3830" s="19">
        <v>12.17</v>
      </c>
      <c r="L3830" s="20">
        <v>0.3</v>
      </c>
      <c r="M3830" s="19">
        <f>Tienda!$K912-Tienda!$K912*Tienda!$L912</f>
        <v>102.13</v>
      </c>
      <c r="N3830" s="3" t="s">
        <v>10038</v>
      </c>
      <c r="O3830" s="3" t="s">
        <v>10041</v>
      </c>
      <c r="P3830" s="17">
        <v>45546</v>
      </c>
      <c r="Q3830" s="4">
        <v>0</v>
      </c>
    </row>
    <row r="3831" spans="1:17" ht="30" x14ac:dyDescent="0.25">
      <c r="A3831" s="2" t="s">
        <v>3996</v>
      </c>
      <c r="B3831" s="3" t="s">
        <v>5015</v>
      </c>
      <c r="C3831" s="3">
        <v>46</v>
      </c>
      <c r="D3831" s="46" t="str">
        <f>IF(Tabla1[[#This Row],[EDAD]]&lt;=35,"Adultos jóvenes 18 - 35 años",IF(C3831&gt;=36,"Adultos mayores 36 años en adelante"))</f>
        <v>Adultos mayores 36 años en adelante</v>
      </c>
      <c r="E3831" s="3" t="s">
        <v>5018</v>
      </c>
      <c r="F3831" s="3" t="s">
        <v>5024</v>
      </c>
      <c r="G3831" s="3" t="s">
        <v>5035</v>
      </c>
      <c r="H3831" s="3" t="s">
        <v>9019</v>
      </c>
      <c r="I3831" s="17">
        <v>45630</v>
      </c>
      <c r="J3831" s="18">
        <f>YEAR(Tabla1[[#This Row],[FECHA DE COMPRA]])</f>
        <v>2024</v>
      </c>
      <c r="K3831" s="19">
        <v>10.99</v>
      </c>
      <c r="L3831" s="20">
        <v>0.2</v>
      </c>
      <c r="M3831" s="19">
        <f>Tienda!$K913-Tienda!$K913*Tienda!$L913</f>
        <v>131.607</v>
      </c>
      <c r="N3831" s="3" t="s">
        <v>10038</v>
      </c>
      <c r="O3831" s="3" t="s">
        <v>10041</v>
      </c>
      <c r="P3831" s="17">
        <v>45810</v>
      </c>
      <c r="Q3831" s="4">
        <v>0</v>
      </c>
    </row>
    <row r="3832" spans="1:17" ht="30" x14ac:dyDescent="0.25">
      <c r="A3832" s="2" t="s">
        <v>3268</v>
      </c>
      <c r="B3832" s="3" t="s">
        <v>5015</v>
      </c>
      <c r="C3832" s="3">
        <v>55</v>
      </c>
      <c r="D3832" s="46" t="str">
        <f>IF(Tabla1[[#This Row],[EDAD]]&lt;=35,"Adultos jóvenes 18 - 35 años",IF(C3832&gt;=36,"Adultos mayores 36 años en adelante"))</f>
        <v>Adultos mayores 36 años en adelante</v>
      </c>
      <c r="E3832" s="3" t="s">
        <v>5018</v>
      </c>
      <c r="F3832" s="3" t="s">
        <v>5024</v>
      </c>
      <c r="G3832" s="3" t="s">
        <v>5035</v>
      </c>
      <c r="H3832" s="3" t="s">
        <v>8291</v>
      </c>
      <c r="I3832" s="17">
        <v>45355</v>
      </c>
      <c r="J3832" s="18">
        <f>YEAR(Tabla1[[#This Row],[FECHA DE COMPRA]])</f>
        <v>2024</v>
      </c>
      <c r="K3832" s="19">
        <v>11.35</v>
      </c>
      <c r="L3832" s="20">
        <v>0.2</v>
      </c>
      <c r="M3832" s="19">
        <f>Tienda!$K917-Tienda!$K917*Tienda!$L917</f>
        <v>156.87200000000001</v>
      </c>
      <c r="N3832" s="3" t="s">
        <v>10038</v>
      </c>
      <c r="O3832" s="3" t="s">
        <v>10041</v>
      </c>
      <c r="P3832" s="17">
        <v>45355</v>
      </c>
      <c r="Q3832" s="4">
        <v>0</v>
      </c>
    </row>
    <row r="3833" spans="1:17" ht="30" x14ac:dyDescent="0.25">
      <c r="A3833" s="2" t="s">
        <v>3960</v>
      </c>
      <c r="B3833" s="3" t="s">
        <v>5015</v>
      </c>
      <c r="C3833" s="3">
        <v>49</v>
      </c>
      <c r="D3833" s="46" t="str">
        <f>IF(Tabla1[[#This Row],[EDAD]]&lt;=35,"Adultos jóvenes 18 - 35 años",IF(C3833&gt;=36,"Adultos mayores 36 años en adelante"))</f>
        <v>Adultos mayores 36 años en adelante</v>
      </c>
      <c r="E3833" s="3" t="s">
        <v>5019</v>
      </c>
      <c r="F3833" s="3" t="s">
        <v>5025</v>
      </c>
      <c r="G3833" s="3" t="s">
        <v>5034</v>
      </c>
      <c r="H3833" s="3" t="s">
        <v>8983</v>
      </c>
      <c r="I3833" s="17">
        <v>45654</v>
      </c>
      <c r="J3833" s="18">
        <f>YEAR(Tabla1[[#This Row],[FECHA DE COMPRA]])</f>
        <v>2024</v>
      </c>
      <c r="K3833" s="19">
        <v>13.2</v>
      </c>
      <c r="L3833" s="20">
        <v>0.3</v>
      </c>
      <c r="M3833" s="19">
        <f>Tienda!$K920-Tienda!$K920*Tienda!$L920</f>
        <v>10.346</v>
      </c>
      <c r="N3833" s="3" t="s">
        <v>10038</v>
      </c>
      <c r="O3833" s="3" t="s">
        <v>10041</v>
      </c>
      <c r="P3833" s="17">
        <v>45654</v>
      </c>
      <c r="Q3833" s="4">
        <v>0</v>
      </c>
    </row>
    <row r="3834" spans="1:17" ht="30" x14ac:dyDescent="0.25">
      <c r="A3834" s="2" t="s">
        <v>3902</v>
      </c>
      <c r="B3834" s="3" t="s">
        <v>5015</v>
      </c>
      <c r="C3834" s="3">
        <v>47</v>
      </c>
      <c r="D3834" s="46" t="str">
        <f>IF(Tabla1[[#This Row],[EDAD]]&lt;=35,"Adultos jóvenes 18 - 35 años",IF(C3834&gt;=36,"Adultos mayores 36 años en adelante"))</f>
        <v>Adultos mayores 36 años en adelante</v>
      </c>
      <c r="E3834" s="3" t="s">
        <v>5018</v>
      </c>
      <c r="F3834" s="3" t="s">
        <v>5024</v>
      </c>
      <c r="G3834" s="3" t="s">
        <v>5032</v>
      </c>
      <c r="H3834" s="3" t="s">
        <v>8925</v>
      </c>
      <c r="I3834" s="17">
        <v>45414</v>
      </c>
      <c r="J3834" s="18">
        <f>YEAR(Tabla1[[#This Row],[FECHA DE COMPRA]])</f>
        <v>2024</v>
      </c>
      <c r="K3834" s="19">
        <v>10.61</v>
      </c>
      <c r="L3834" s="20">
        <v>0.1</v>
      </c>
      <c r="M3834" s="19">
        <f>Tienda!$K922-Tienda!$K922*Tienda!$L922</f>
        <v>35.613</v>
      </c>
      <c r="N3834" s="3" t="s">
        <v>10038</v>
      </c>
      <c r="O3834" s="3" t="s">
        <v>10041</v>
      </c>
      <c r="P3834" s="17">
        <v>45414</v>
      </c>
      <c r="Q3834" s="4">
        <v>0</v>
      </c>
    </row>
    <row r="3835" spans="1:17" ht="30" x14ac:dyDescent="0.25">
      <c r="A3835" s="2" t="s">
        <v>1825</v>
      </c>
      <c r="B3835" s="3" t="s">
        <v>5015</v>
      </c>
      <c r="C3835" s="3">
        <v>37</v>
      </c>
      <c r="D3835" s="46" t="str">
        <f>IF(Tabla1[[#This Row],[EDAD]]&lt;=35,"Adultos jóvenes 18 - 35 años",IF(C3835&gt;=36,"Adultos mayores 36 años en adelante"))</f>
        <v>Adultos mayores 36 años en adelante</v>
      </c>
      <c r="E3835" s="3" t="s">
        <v>5020</v>
      </c>
      <c r="F3835" s="3" t="s">
        <v>5026</v>
      </c>
      <c r="G3835" s="3" t="s">
        <v>5035</v>
      </c>
      <c r="H3835" s="3" t="s">
        <v>6848</v>
      </c>
      <c r="I3835" s="17">
        <v>45587</v>
      </c>
      <c r="J3835" s="18">
        <f>YEAR(Tabla1[[#This Row],[FECHA DE COMPRA]])</f>
        <v>2024</v>
      </c>
      <c r="K3835" s="19">
        <v>13.86</v>
      </c>
      <c r="L3835" s="20">
        <v>0.3</v>
      </c>
      <c r="M3835" s="19">
        <f>Tienda!$K924-Tienda!$K924*Tienda!$L924</f>
        <v>89.727999999999994</v>
      </c>
      <c r="N3835" s="3" t="s">
        <v>10038</v>
      </c>
      <c r="O3835" s="3" t="s">
        <v>10041</v>
      </c>
      <c r="P3835" s="17">
        <v>45767</v>
      </c>
      <c r="Q3835" s="4">
        <v>0</v>
      </c>
    </row>
    <row r="3836" spans="1:17" ht="30" x14ac:dyDescent="0.25">
      <c r="A3836" s="2" t="s">
        <v>2189</v>
      </c>
      <c r="B3836" s="3" t="s">
        <v>5016</v>
      </c>
      <c r="C3836" s="3">
        <v>61</v>
      </c>
      <c r="D3836" s="46" t="str">
        <f>IF(Tabla1[[#This Row],[EDAD]]&lt;=35,"Adultos jóvenes 18 - 35 años",IF(C3836&gt;=36,"Adultos mayores 36 años en adelante"))</f>
        <v>Adultos mayores 36 años en adelante</v>
      </c>
      <c r="E3836" s="3" t="s">
        <v>5023</v>
      </c>
      <c r="F3836" s="3" t="s">
        <v>5026</v>
      </c>
      <c r="G3836" s="3" t="s">
        <v>5036</v>
      </c>
      <c r="H3836" s="3" t="s">
        <v>7212</v>
      </c>
      <c r="I3836" s="17">
        <v>45630</v>
      </c>
      <c r="J3836" s="18">
        <f>YEAR(Tabla1[[#This Row],[FECHA DE COMPRA]])</f>
        <v>2024</v>
      </c>
      <c r="K3836" s="19">
        <v>15.11</v>
      </c>
      <c r="L3836" s="20">
        <v>0.3</v>
      </c>
      <c r="M3836" s="19">
        <f>Tienda!$K928-Tienda!$K928*Tienda!$L928</f>
        <v>97.664000000000016</v>
      </c>
      <c r="N3836" s="3" t="s">
        <v>10038</v>
      </c>
      <c r="O3836" s="3" t="s">
        <v>10041</v>
      </c>
      <c r="P3836" s="17">
        <v>45810</v>
      </c>
      <c r="Q3836" s="4">
        <v>0</v>
      </c>
    </row>
    <row r="3837" spans="1:17" ht="30" x14ac:dyDescent="0.25">
      <c r="A3837" s="2" t="s">
        <v>601</v>
      </c>
      <c r="B3837" s="3" t="s">
        <v>5016</v>
      </c>
      <c r="C3837" s="3">
        <v>53</v>
      </c>
      <c r="D3837" s="46" t="str">
        <f>IF(Tabla1[[#This Row],[EDAD]]&lt;=35,"Adultos jóvenes 18 - 35 años",IF(C3837&gt;=36,"Adultos mayores 36 años en adelante"))</f>
        <v>Adultos mayores 36 años en adelante</v>
      </c>
      <c r="E3837" s="3" t="s">
        <v>5019</v>
      </c>
      <c r="F3837" s="3" t="s">
        <v>5027</v>
      </c>
      <c r="G3837" s="3" t="s">
        <v>5035</v>
      </c>
      <c r="H3837" s="3" t="s">
        <v>5624</v>
      </c>
      <c r="I3837" s="17">
        <v>45389</v>
      </c>
      <c r="J3837" s="18">
        <f>YEAR(Tabla1[[#This Row],[FECHA DE COMPRA]])</f>
        <v>2024</v>
      </c>
      <c r="K3837" s="19">
        <v>15.56</v>
      </c>
      <c r="L3837" s="20">
        <v>0.3</v>
      </c>
      <c r="M3837" s="19">
        <f>Tienda!$K931-Tienda!$K931*Tienda!$L931</f>
        <v>154.85400000000001</v>
      </c>
      <c r="N3837" s="3" t="s">
        <v>10038</v>
      </c>
      <c r="O3837" s="3" t="s">
        <v>10041</v>
      </c>
      <c r="P3837" s="17">
        <v>45479</v>
      </c>
      <c r="Q3837" s="4">
        <v>0</v>
      </c>
    </row>
    <row r="3838" spans="1:17" ht="30" x14ac:dyDescent="0.25">
      <c r="A3838" s="2" t="s">
        <v>3089</v>
      </c>
      <c r="B3838" s="3" t="s">
        <v>5015</v>
      </c>
      <c r="C3838" s="3">
        <v>54</v>
      </c>
      <c r="D3838" s="46" t="str">
        <f>IF(Tabla1[[#This Row],[EDAD]]&lt;=35,"Adultos jóvenes 18 - 35 años",IF(C3838&gt;=36,"Adultos mayores 36 años en adelante"))</f>
        <v>Adultos mayores 36 años en adelante</v>
      </c>
      <c r="E3838" s="3" t="s">
        <v>5018</v>
      </c>
      <c r="F3838" s="3" t="s">
        <v>5028</v>
      </c>
      <c r="G3838" s="3" t="s">
        <v>5034</v>
      </c>
      <c r="H3838" s="3" t="s">
        <v>8112</v>
      </c>
      <c r="I3838" s="17">
        <v>45537</v>
      </c>
      <c r="J3838" s="18">
        <f>YEAR(Tabla1[[#This Row],[FECHA DE COMPRA]])</f>
        <v>2024</v>
      </c>
      <c r="K3838" s="19">
        <v>13.81</v>
      </c>
      <c r="L3838" s="20">
        <v>0.2</v>
      </c>
      <c r="M3838" s="19">
        <f>Tienda!$K932-Tienda!$K932*Tienda!$L932</f>
        <v>138.38399999999999</v>
      </c>
      <c r="N3838" s="3" t="s">
        <v>10038</v>
      </c>
      <c r="O3838" s="3" t="s">
        <v>10041</v>
      </c>
      <c r="P3838" s="17">
        <v>45537</v>
      </c>
      <c r="Q3838" s="4">
        <v>0</v>
      </c>
    </row>
    <row r="3839" spans="1:17" ht="30" x14ac:dyDescent="0.25">
      <c r="A3839" s="2" t="s">
        <v>4856</v>
      </c>
      <c r="B3839" s="3" t="s">
        <v>5015</v>
      </c>
      <c r="C3839" s="3">
        <v>55</v>
      </c>
      <c r="D3839" s="46" t="str">
        <f>IF(Tabla1[[#This Row],[EDAD]]&lt;=35,"Adultos jóvenes 18 - 35 años",IF(C3839&gt;=36,"Adultos mayores 36 años en adelante"))</f>
        <v>Adultos mayores 36 años en adelante</v>
      </c>
      <c r="E3839" s="3" t="s">
        <v>5018</v>
      </c>
      <c r="F3839" s="3" t="s">
        <v>5026</v>
      </c>
      <c r="G3839" s="3" t="s">
        <v>5036</v>
      </c>
      <c r="H3839" s="3" t="s">
        <v>9879</v>
      </c>
      <c r="I3839" s="17">
        <v>45333</v>
      </c>
      <c r="J3839" s="18">
        <f>YEAR(Tabla1[[#This Row],[FECHA DE COMPRA]])</f>
        <v>2024</v>
      </c>
      <c r="K3839" s="19">
        <v>12.36</v>
      </c>
      <c r="L3839" s="20">
        <v>0.1</v>
      </c>
      <c r="M3839" s="19">
        <f>Tienda!$K933-Tienda!$K933*Tienda!$L933</f>
        <v>160.07</v>
      </c>
      <c r="N3839" s="3" t="s">
        <v>10038</v>
      </c>
      <c r="O3839" s="3" t="s">
        <v>10041</v>
      </c>
      <c r="P3839" s="17">
        <v>45333</v>
      </c>
      <c r="Q3839" s="4">
        <v>0</v>
      </c>
    </row>
    <row r="3840" spans="1:17" ht="30" x14ac:dyDescent="0.25">
      <c r="A3840" s="2" t="s">
        <v>3406</v>
      </c>
      <c r="B3840" s="3" t="s">
        <v>5016</v>
      </c>
      <c r="C3840" s="3">
        <v>53</v>
      </c>
      <c r="D3840" s="46" t="str">
        <f>IF(Tabla1[[#This Row],[EDAD]]&lt;=35,"Adultos jóvenes 18 - 35 años",IF(C3840&gt;=36,"Adultos mayores 36 años en adelante"))</f>
        <v>Adultos mayores 36 años en adelante</v>
      </c>
      <c r="E3840" s="3" t="s">
        <v>5017</v>
      </c>
      <c r="F3840" s="3" t="s">
        <v>5028</v>
      </c>
      <c r="G3840" s="3" t="s">
        <v>5033</v>
      </c>
      <c r="H3840" s="3" t="s">
        <v>8429</v>
      </c>
      <c r="I3840" s="17">
        <v>45417</v>
      </c>
      <c r="J3840" s="18">
        <f>YEAR(Tabla1[[#This Row],[FECHA DE COMPRA]])</f>
        <v>2024</v>
      </c>
      <c r="K3840" s="19">
        <v>11.15</v>
      </c>
      <c r="L3840" s="20">
        <v>0</v>
      </c>
      <c r="M3840" s="19">
        <f>Tienda!$K934-Tienda!$K934*Tienda!$L934</f>
        <v>36.027000000000001</v>
      </c>
      <c r="N3840" s="3" t="s">
        <v>10038</v>
      </c>
      <c r="O3840" s="3" t="s">
        <v>10041</v>
      </c>
      <c r="P3840" s="17">
        <v>45417</v>
      </c>
      <c r="Q3840" s="4">
        <v>0</v>
      </c>
    </row>
    <row r="3841" spans="1:17" ht="30" x14ac:dyDescent="0.25">
      <c r="A3841" s="2" t="s">
        <v>2919</v>
      </c>
      <c r="B3841" s="3" t="s">
        <v>5015</v>
      </c>
      <c r="C3841" s="3">
        <v>43</v>
      </c>
      <c r="D3841" s="46" t="str">
        <f>IF(Tabla1[[#This Row],[EDAD]]&lt;=35,"Adultos jóvenes 18 - 35 años",IF(C3841&gt;=36,"Adultos mayores 36 años en adelante"))</f>
        <v>Adultos mayores 36 años en adelante</v>
      </c>
      <c r="E3841" s="3" t="s">
        <v>5019</v>
      </c>
      <c r="F3841" s="3" t="s">
        <v>5027</v>
      </c>
      <c r="G3841" s="3" t="s">
        <v>5031</v>
      </c>
      <c r="H3841" s="3" t="s">
        <v>7942</v>
      </c>
      <c r="I3841" s="17">
        <v>45473</v>
      </c>
      <c r="J3841" s="18">
        <f>YEAR(Tabla1[[#This Row],[FECHA DE COMPRA]])</f>
        <v>2024</v>
      </c>
      <c r="K3841" s="19">
        <v>16.46</v>
      </c>
      <c r="L3841" s="20">
        <v>0.3</v>
      </c>
      <c r="M3841" s="19">
        <f>Tienda!$K938-Tienda!$K938*Tienda!$L938</f>
        <v>39.22</v>
      </c>
      <c r="N3841" s="3" t="s">
        <v>10038</v>
      </c>
      <c r="O3841" s="3" t="s">
        <v>10041</v>
      </c>
      <c r="P3841" s="17">
        <v>45473</v>
      </c>
      <c r="Q3841" s="4">
        <v>0</v>
      </c>
    </row>
    <row r="3842" spans="1:17" ht="30" x14ac:dyDescent="0.25">
      <c r="A3842" s="2" t="s">
        <v>2597</v>
      </c>
      <c r="B3842" s="3" t="s">
        <v>5016</v>
      </c>
      <c r="C3842" s="3">
        <v>37</v>
      </c>
      <c r="D3842" s="46" t="str">
        <f>IF(Tabla1[[#This Row],[EDAD]]&lt;=35,"Adultos jóvenes 18 - 35 años",IF(C3842&gt;=36,"Adultos mayores 36 años en adelante"))</f>
        <v>Adultos mayores 36 años en adelante</v>
      </c>
      <c r="E3842" s="3" t="s">
        <v>5021</v>
      </c>
      <c r="F3842" s="3" t="s">
        <v>5024</v>
      </c>
      <c r="G3842" s="3" t="s">
        <v>5037</v>
      </c>
      <c r="H3842" s="3" t="s">
        <v>7620</v>
      </c>
      <c r="I3842" s="17">
        <v>45443</v>
      </c>
      <c r="J3842" s="18">
        <f>YEAR(Tabla1[[#This Row],[FECHA DE COMPRA]])</f>
        <v>2024</v>
      </c>
      <c r="K3842" s="19">
        <v>12.87</v>
      </c>
      <c r="L3842" s="20">
        <v>0.1</v>
      </c>
      <c r="M3842" s="19">
        <f>Tienda!$K940-Tienda!$K940*Tienda!$L940</f>
        <v>70.11</v>
      </c>
      <c r="N3842" s="3" t="s">
        <v>10038</v>
      </c>
      <c r="O3842" s="3" t="s">
        <v>10041</v>
      </c>
      <c r="P3842" s="17">
        <v>45803</v>
      </c>
      <c r="Q3842" s="4">
        <v>0</v>
      </c>
    </row>
    <row r="3843" spans="1:17" ht="30" x14ac:dyDescent="0.25">
      <c r="A3843" s="2" t="s">
        <v>865</v>
      </c>
      <c r="B3843" s="3" t="s">
        <v>5015</v>
      </c>
      <c r="C3843" s="3">
        <v>39</v>
      </c>
      <c r="D3843" s="46" t="str">
        <f>IF(Tabla1[[#This Row],[EDAD]]&lt;=35,"Adultos jóvenes 18 - 35 años",IF(C3843&gt;=36,"Adultos mayores 36 años en adelante"))</f>
        <v>Adultos mayores 36 años en adelante</v>
      </c>
      <c r="E3843" s="3" t="s">
        <v>5023</v>
      </c>
      <c r="F3843" s="3" t="s">
        <v>5028</v>
      </c>
      <c r="G3843" s="3" t="s">
        <v>5032</v>
      </c>
      <c r="H3843" s="3" t="s">
        <v>5888</v>
      </c>
      <c r="I3843" s="17">
        <v>45552</v>
      </c>
      <c r="J3843" s="18">
        <f>YEAR(Tabla1[[#This Row],[FECHA DE COMPRA]])</f>
        <v>2024</v>
      </c>
      <c r="K3843" s="19">
        <v>11.67</v>
      </c>
      <c r="L3843" s="20">
        <v>0</v>
      </c>
      <c r="M3843" s="19">
        <f>Tienda!$K941-Tienda!$K941*Tienda!$L941</f>
        <v>79.847999999999999</v>
      </c>
      <c r="N3843" s="3" t="s">
        <v>10038</v>
      </c>
      <c r="O3843" s="3" t="s">
        <v>10041</v>
      </c>
      <c r="P3843" s="17">
        <v>45642</v>
      </c>
      <c r="Q3843" s="4">
        <v>0</v>
      </c>
    </row>
    <row r="3844" spans="1:17" ht="30" x14ac:dyDescent="0.25">
      <c r="A3844" s="2" t="s">
        <v>2277</v>
      </c>
      <c r="B3844" s="3" t="s">
        <v>5015</v>
      </c>
      <c r="C3844" s="3">
        <v>43</v>
      </c>
      <c r="D3844" s="46" t="str">
        <f>IF(Tabla1[[#This Row],[EDAD]]&lt;=35,"Adultos jóvenes 18 - 35 años",IF(C3844&gt;=36,"Adultos mayores 36 años en adelante"))</f>
        <v>Adultos mayores 36 años en adelante</v>
      </c>
      <c r="E3844" s="3" t="s">
        <v>5020</v>
      </c>
      <c r="F3844" s="3" t="s">
        <v>5030</v>
      </c>
      <c r="G3844" s="3" t="s">
        <v>5032</v>
      </c>
      <c r="H3844" s="3" t="s">
        <v>7300</v>
      </c>
      <c r="I3844" s="17">
        <v>45486</v>
      </c>
      <c r="J3844" s="18">
        <f>YEAR(Tabla1[[#This Row],[FECHA DE COMPRA]])</f>
        <v>2024</v>
      </c>
      <c r="K3844" s="19">
        <v>14.76</v>
      </c>
      <c r="L3844" s="20">
        <v>0.2</v>
      </c>
      <c r="M3844" s="19">
        <f>Tienda!$K942-Tienda!$K942*Tienda!$L942</f>
        <v>95.867999999999995</v>
      </c>
      <c r="N3844" s="3" t="s">
        <v>10038</v>
      </c>
      <c r="O3844" s="3" t="s">
        <v>10041</v>
      </c>
      <c r="P3844" s="17">
        <v>45486</v>
      </c>
      <c r="Q3844" s="4">
        <v>0</v>
      </c>
    </row>
    <row r="3845" spans="1:17" ht="30" x14ac:dyDescent="0.25">
      <c r="A3845" s="2" t="s">
        <v>3512</v>
      </c>
      <c r="B3845" s="3" t="s">
        <v>5016</v>
      </c>
      <c r="C3845" s="3">
        <v>37</v>
      </c>
      <c r="D3845" s="46" t="str">
        <f>IF(Tabla1[[#This Row],[EDAD]]&lt;=35,"Adultos jóvenes 18 - 35 años",IF(C3845&gt;=36,"Adultos mayores 36 años en adelante"))</f>
        <v>Adultos mayores 36 años en adelante</v>
      </c>
      <c r="E3845" s="3" t="s">
        <v>5019</v>
      </c>
      <c r="F3845" s="3" t="s">
        <v>5027</v>
      </c>
      <c r="G3845" s="3" t="s">
        <v>5031</v>
      </c>
      <c r="H3845" s="3" t="s">
        <v>8535</v>
      </c>
      <c r="I3845" s="17">
        <v>45340</v>
      </c>
      <c r="J3845" s="18">
        <f>YEAR(Tabla1[[#This Row],[FECHA DE COMPRA]])</f>
        <v>2024</v>
      </c>
      <c r="K3845" s="19">
        <v>11.85</v>
      </c>
      <c r="L3845" s="20">
        <v>0</v>
      </c>
      <c r="M3845" s="19">
        <f>Tienda!$K943-Tienda!$K943*Tienda!$L943</f>
        <v>131.50399999999999</v>
      </c>
      <c r="N3845" s="3" t="s">
        <v>10038</v>
      </c>
      <c r="O3845" s="3" t="s">
        <v>10041</v>
      </c>
      <c r="P3845" s="17">
        <v>45430</v>
      </c>
      <c r="Q3845" s="4">
        <v>0</v>
      </c>
    </row>
    <row r="3846" spans="1:17" ht="30" x14ac:dyDescent="0.25">
      <c r="A3846" s="2" t="s">
        <v>3259</v>
      </c>
      <c r="B3846" s="3" t="s">
        <v>5015</v>
      </c>
      <c r="C3846" s="3">
        <v>39</v>
      </c>
      <c r="D3846" s="46" t="str">
        <f>IF(Tabla1[[#This Row],[EDAD]]&lt;=35,"Adultos jóvenes 18 - 35 años",IF(C3846&gt;=36,"Adultos mayores 36 años en adelante"))</f>
        <v>Adultos mayores 36 años en adelante</v>
      </c>
      <c r="E3846" s="3" t="s">
        <v>5018</v>
      </c>
      <c r="F3846" s="3" t="s">
        <v>5026</v>
      </c>
      <c r="G3846" s="3" t="s">
        <v>5037</v>
      </c>
      <c r="H3846" s="3" t="s">
        <v>8282</v>
      </c>
      <c r="I3846" s="17">
        <v>45363</v>
      </c>
      <c r="J3846" s="18">
        <f>YEAR(Tabla1[[#This Row],[FECHA DE COMPRA]])</f>
        <v>2024</v>
      </c>
      <c r="K3846" s="19">
        <v>15.23</v>
      </c>
      <c r="L3846" s="20">
        <v>0.2</v>
      </c>
      <c r="M3846" s="19">
        <f>Tienda!$K947-Tienda!$K947*Tienda!$L947</f>
        <v>15.784000000000001</v>
      </c>
      <c r="N3846" s="3" t="s">
        <v>10038</v>
      </c>
      <c r="O3846" s="3" t="s">
        <v>10041</v>
      </c>
      <c r="P3846" s="17">
        <v>45363</v>
      </c>
      <c r="Q3846" s="4">
        <v>0</v>
      </c>
    </row>
    <row r="3847" spans="1:17" ht="30" x14ac:dyDescent="0.25">
      <c r="A3847" s="2" t="s">
        <v>2849</v>
      </c>
      <c r="B3847" s="3" t="s">
        <v>5016</v>
      </c>
      <c r="C3847" s="3">
        <v>43</v>
      </c>
      <c r="D3847" s="46" t="str">
        <f>IF(Tabla1[[#This Row],[EDAD]]&lt;=35,"Adultos jóvenes 18 - 35 años",IF(C3847&gt;=36,"Adultos mayores 36 años en adelante"))</f>
        <v>Adultos mayores 36 años en adelante</v>
      </c>
      <c r="E3847" s="3" t="s">
        <v>5017</v>
      </c>
      <c r="F3847" s="3" t="s">
        <v>5028</v>
      </c>
      <c r="G3847" s="3" t="s">
        <v>5034</v>
      </c>
      <c r="H3847" s="3" t="s">
        <v>7872</v>
      </c>
      <c r="I3847" s="17">
        <v>45529</v>
      </c>
      <c r="J3847" s="18">
        <f>YEAR(Tabla1[[#This Row],[FECHA DE COMPRA]])</f>
        <v>2024</v>
      </c>
      <c r="K3847" s="19">
        <v>12.29</v>
      </c>
      <c r="L3847" s="20">
        <v>0</v>
      </c>
      <c r="M3847" s="19">
        <f>Tienda!$K948-Tienda!$K948*Tienda!$L948</f>
        <v>120.33</v>
      </c>
      <c r="N3847" s="3" t="s">
        <v>10038</v>
      </c>
      <c r="O3847" s="3" t="s">
        <v>10041</v>
      </c>
      <c r="P3847" s="17">
        <v>45619</v>
      </c>
      <c r="Q3847" s="4">
        <v>0</v>
      </c>
    </row>
    <row r="3848" spans="1:17" ht="30" x14ac:dyDescent="0.25">
      <c r="A3848" s="2" t="s">
        <v>4519</v>
      </c>
      <c r="B3848" s="3" t="s">
        <v>5015</v>
      </c>
      <c r="C3848" s="3">
        <v>42</v>
      </c>
      <c r="D3848" s="46" t="str">
        <f>IF(Tabla1[[#This Row],[EDAD]]&lt;=35,"Adultos jóvenes 18 - 35 años",IF(C3848&gt;=36,"Adultos mayores 36 años en adelante"))</f>
        <v>Adultos mayores 36 años en adelante</v>
      </c>
      <c r="E3848" s="3" t="s">
        <v>5019</v>
      </c>
      <c r="F3848" s="3" t="s">
        <v>5029</v>
      </c>
      <c r="G3848" s="3" t="s">
        <v>5037</v>
      </c>
      <c r="H3848" s="3" t="s">
        <v>9542</v>
      </c>
      <c r="I3848" s="17">
        <v>45387</v>
      </c>
      <c r="J3848" s="18">
        <f>YEAR(Tabla1[[#This Row],[FECHA DE COMPRA]])</f>
        <v>2024</v>
      </c>
      <c r="K3848" s="19">
        <v>17.739999999999998</v>
      </c>
      <c r="L3848" s="20">
        <v>0.3</v>
      </c>
      <c r="M3848" s="19">
        <f>Tienda!$K951-Tienda!$K951*Tienda!$L951</f>
        <v>37.32</v>
      </c>
      <c r="N3848" s="3" t="s">
        <v>10038</v>
      </c>
      <c r="O3848" s="3" t="s">
        <v>10041</v>
      </c>
      <c r="P3848" s="17">
        <v>45387</v>
      </c>
      <c r="Q3848" s="4">
        <v>0</v>
      </c>
    </row>
    <row r="3849" spans="1:17" ht="30" x14ac:dyDescent="0.25">
      <c r="A3849" s="2" t="s">
        <v>3271</v>
      </c>
      <c r="B3849" s="3" t="s">
        <v>5016</v>
      </c>
      <c r="C3849" s="3">
        <v>38</v>
      </c>
      <c r="D3849" s="46" t="str">
        <f>IF(Tabla1[[#This Row],[EDAD]]&lt;=35,"Adultos jóvenes 18 - 35 años",IF(C3849&gt;=36,"Adultos mayores 36 años en adelante"))</f>
        <v>Adultos mayores 36 años en adelante</v>
      </c>
      <c r="E3849" s="3" t="s">
        <v>5019</v>
      </c>
      <c r="F3849" s="3" t="s">
        <v>5026</v>
      </c>
      <c r="G3849" s="3" t="s">
        <v>5037</v>
      </c>
      <c r="H3849" s="3" t="s">
        <v>8294</v>
      </c>
      <c r="I3849" s="17">
        <v>45438</v>
      </c>
      <c r="J3849" s="18">
        <f>YEAR(Tabla1[[#This Row],[FECHA DE COMPRA]])</f>
        <v>2024</v>
      </c>
      <c r="K3849" s="19">
        <v>15.68</v>
      </c>
      <c r="L3849" s="20">
        <v>0.2</v>
      </c>
      <c r="M3849" s="19">
        <f>Tienda!$K954-Tienda!$K954*Tienda!$L954</f>
        <v>57.442000000000007</v>
      </c>
      <c r="N3849" s="3" t="s">
        <v>10038</v>
      </c>
      <c r="O3849" s="3" t="s">
        <v>10041</v>
      </c>
      <c r="P3849" s="17">
        <v>45438</v>
      </c>
      <c r="Q3849" s="4">
        <v>0</v>
      </c>
    </row>
    <row r="3850" spans="1:17" ht="30" x14ac:dyDescent="0.25">
      <c r="A3850" s="2" t="s">
        <v>1012</v>
      </c>
      <c r="B3850" s="3" t="s">
        <v>5015</v>
      </c>
      <c r="C3850" s="3">
        <v>45</v>
      </c>
      <c r="D3850" s="46" t="str">
        <f>IF(Tabla1[[#This Row],[EDAD]]&lt;=35,"Adultos jóvenes 18 - 35 años",IF(C3850&gt;=36,"Adultos mayores 36 años en adelante"))</f>
        <v>Adultos mayores 36 años en adelante</v>
      </c>
      <c r="E3850" s="3" t="s">
        <v>5017</v>
      </c>
      <c r="F3850" s="3" t="s">
        <v>5025</v>
      </c>
      <c r="G3850" s="3" t="s">
        <v>5033</v>
      </c>
      <c r="H3850" s="3" t="s">
        <v>6035</v>
      </c>
      <c r="I3850" s="17">
        <v>45617</v>
      </c>
      <c r="J3850" s="18">
        <f>YEAR(Tabla1[[#This Row],[FECHA DE COMPRA]])</f>
        <v>2024</v>
      </c>
      <c r="K3850" s="19">
        <v>16.559999999999999</v>
      </c>
      <c r="L3850" s="20">
        <v>0.2</v>
      </c>
      <c r="M3850" s="19">
        <f>Tienda!$K957-Tienda!$K957*Tienda!$L957</f>
        <v>66.807999999999993</v>
      </c>
      <c r="N3850" s="3" t="s">
        <v>10038</v>
      </c>
      <c r="O3850" s="3" t="s">
        <v>10041</v>
      </c>
      <c r="P3850" s="17">
        <v>45797</v>
      </c>
      <c r="Q3850" s="4">
        <v>0</v>
      </c>
    </row>
    <row r="3851" spans="1:17" ht="30" x14ac:dyDescent="0.25">
      <c r="A3851" s="2" t="s">
        <v>901</v>
      </c>
      <c r="B3851" s="3" t="s">
        <v>5015</v>
      </c>
      <c r="C3851" s="3">
        <v>65</v>
      </c>
      <c r="D3851" s="46" t="str">
        <f>IF(Tabla1[[#This Row],[EDAD]]&lt;=35,"Adultos jóvenes 18 - 35 años",IF(C3851&gt;=36,"Adultos mayores 36 años en adelante"))</f>
        <v>Adultos mayores 36 años en adelante</v>
      </c>
      <c r="E3851" s="3" t="s">
        <v>5022</v>
      </c>
      <c r="F3851" s="3" t="s">
        <v>5030</v>
      </c>
      <c r="G3851" s="3" t="s">
        <v>5035</v>
      </c>
      <c r="H3851" s="3" t="s">
        <v>5924</v>
      </c>
      <c r="I3851" s="17">
        <v>45464</v>
      </c>
      <c r="J3851" s="18">
        <f>YEAR(Tabla1[[#This Row],[FECHA DE COMPRA]])</f>
        <v>2024</v>
      </c>
      <c r="K3851" s="19">
        <v>19.29</v>
      </c>
      <c r="L3851" s="20">
        <v>0.3</v>
      </c>
      <c r="M3851" s="19">
        <f>Tienda!$K960-Tienda!$K960*Tienda!$L960</f>
        <v>133.91999999999999</v>
      </c>
      <c r="N3851" s="3" t="s">
        <v>10038</v>
      </c>
      <c r="O3851" s="3" t="s">
        <v>10041</v>
      </c>
      <c r="P3851" s="17">
        <v>45464</v>
      </c>
      <c r="Q3851" s="4">
        <v>0</v>
      </c>
    </row>
    <row r="3852" spans="1:17" ht="30" x14ac:dyDescent="0.25">
      <c r="A3852" s="2" t="s">
        <v>2768</v>
      </c>
      <c r="B3852" s="3" t="s">
        <v>5016</v>
      </c>
      <c r="C3852" s="3">
        <v>36</v>
      </c>
      <c r="D3852" s="46" t="str">
        <f>IF(Tabla1[[#This Row],[EDAD]]&lt;=35,"Adultos jóvenes 18 - 35 años",IF(C3852&gt;=36,"Adultos mayores 36 años en adelante"))</f>
        <v>Adultos mayores 36 años en adelante</v>
      </c>
      <c r="E3852" s="3" t="s">
        <v>5023</v>
      </c>
      <c r="F3852" s="3" t="s">
        <v>5025</v>
      </c>
      <c r="G3852" s="3" t="s">
        <v>5034</v>
      </c>
      <c r="H3852" s="3" t="s">
        <v>7791</v>
      </c>
      <c r="I3852" s="17">
        <v>45405</v>
      </c>
      <c r="J3852" s="18">
        <f>YEAR(Tabla1[[#This Row],[FECHA DE COMPRA]])</f>
        <v>2024</v>
      </c>
      <c r="K3852" s="19">
        <v>15.07</v>
      </c>
      <c r="L3852" s="20">
        <v>0.1</v>
      </c>
      <c r="M3852" s="19">
        <f>Tienda!$K961-Tienda!$K961*Tienda!$L961</f>
        <v>127.404</v>
      </c>
      <c r="N3852" s="3" t="s">
        <v>10038</v>
      </c>
      <c r="O3852" s="3" t="s">
        <v>10041</v>
      </c>
      <c r="P3852" s="17">
        <v>45495</v>
      </c>
      <c r="Q3852" s="4">
        <v>0</v>
      </c>
    </row>
    <row r="3853" spans="1:17" ht="30" x14ac:dyDescent="0.25">
      <c r="A3853" s="2" t="s">
        <v>3661</v>
      </c>
      <c r="B3853" s="3" t="s">
        <v>5016</v>
      </c>
      <c r="C3853" s="3">
        <v>61</v>
      </c>
      <c r="D3853" s="46" t="str">
        <f>IF(Tabla1[[#This Row],[EDAD]]&lt;=35,"Adultos jóvenes 18 - 35 años",IF(C3853&gt;=36,"Adultos mayores 36 años en adelante"))</f>
        <v>Adultos mayores 36 años en adelante</v>
      </c>
      <c r="E3853" s="3" t="s">
        <v>5023</v>
      </c>
      <c r="F3853" s="3" t="s">
        <v>5026</v>
      </c>
      <c r="G3853" s="3" t="s">
        <v>5033</v>
      </c>
      <c r="H3853" s="3" t="s">
        <v>8684</v>
      </c>
      <c r="I3853" s="17">
        <v>45369</v>
      </c>
      <c r="J3853" s="18">
        <f>YEAR(Tabla1[[#This Row],[FECHA DE COMPRA]])</f>
        <v>2024</v>
      </c>
      <c r="K3853" s="19">
        <v>19.39</v>
      </c>
      <c r="L3853" s="20">
        <v>0.3</v>
      </c>
      <c r="M3853" s="19">
        <f>Tienda!$K962-Tienda!$K962*Tienda!$L962</f>
        <v>132.61500000000001</v>
      </c>
      <c r="N3853" s="3" t="s">
        <v>10038</v>
      </c>
      <c r="O3853" s="3" t="s">
        <v>10041</v>
      </c>
      <c r="P3853" s="17">
        <v>45369</v>
      </c>
      <c r="Q3853" s="4">
        <v>0</v>
      </c>
    </row>
    <row r="3854" spans="1:17" ht="30" x14ac:dyDescent="0.25">
      <c r="A3854" s="2" t="s">
        <v>627</v>
      </c>
      <c r="B3854" s="3" t="s">
        <v>5016</v>
      </c>
      <c r="C3854" s="3">
        <v>46</v>
      </c>
      <c r="D3854" s="46" t="str">
        <f>IF(Tabla1[[#This Row],[EDAD]]&lt;=35,"Adultos jóvenes 18 - 35 años",IF(C3854&gt;=36,"Adultos mayores 36 años en adelante"))</f>
        <v>Adultos mayores 36 años en adelante</v>
      </c>
      <c r="E3854" s="3" t="s">
        <v>5017</v>
      </c>
      <c r="F3854" s="3" t="s">
        <v>5024</v>
      </c>
      <c r="G3854" s="3" t="s">
        <v>5032</v>
      </c>
      <c r="H3854" s="3" t="s">
        <v>5650</v>
      </c>
      <c r="I3854" s="17">
        <v>45469</v>
      </c>
      <c r="J3854" s="18">
        <f>YEAR(Tabla1[[#This Row],[FECHA DE COMPRA]])</f>
        <v>2024</v>
      </c>
      <c r="K3854" s="19">
        <v>17.13</v>
      </c>
      <c r="L3854" s="20">
        <v>0.2</v>
      </c>
      <c r="M3854" s="19">
        <f>Tienda!$K963-Tienda!$K963*Tienda!$L963</f>
        <v>146.88900000000001</v>
      </c>
      <c r="N3854" s="3" t="s">
        <v>10038</v>
      </c>
      <c r="O3854" s="3" t="s">
        <v>10041</v>
      </c>
      <c r="P3854" s="17">
        <v>45469</v>
      </c>
      <c r="Q3854" s="4">
        <v>0</v>
      </c>
    </row>
    <row r="3855" spans="1:17" ht="30" x14ac:dyDescent="0.25">
      <c r="A3855" s="2" t="s">
        <v>1221</v>
      </c>
      <c r="B3855" s="3" t="s">
        <v>5016</v>
      </c>
      <c r="C3855" s="3">
        <v>37</v>
      </c>
      <c r="D3855" s="46" t="str">
        <f>IF(Tabla1[[#This Row],[EDAD]]&lt;=35,"Adultos jóvenes 18 - 35 años",IF(C3855&gt;=36,"Adultos mayores 36 años en adelante"))</f>
        <v>Adultos mayores 36 años en adelante</v>
      </c>
      <c r="E3855" s="3" t="s">
        <v>5023</v>
      </c>
      <c r="F3855" s="3" t="s">
        <v>5029</v>
      </c>
      <c r="G3855" s="3" t="s">
        <v>5035</v>
      </c>
      <c r="H3855" s="3" t="s">
        <v>6244</v>
      </c>
      <c r="I3855" s="17">
        <v>45357</v>
      </c>
      <c r="J3855" s="18">
        <f>YEAR(Tabla1[[#This Row],[FECHA DE COMPRA]])</f>
        <v>2024</v>
      </c>
      <c r="K3855" s="19">
        <v>19.77</v>
      </c>
      <c r="L3855" s="20">
        <v>0.3</v>
      </c>
      <c r="M3855" s="19">
        <f>Tienda!$K964-Tienda!$K964*Tienda!$L964</f>
        <v>147.339</v>
      </c>
      <c r="N3855" s="3" t="s">
        <v>10038</v>
      </c>
      <c r="O3855" s="3" t="s">
        <v>10041</v>
      </c>
      <c r="P3855" s="17">
        <v>45357</v>
      </c>
      <c r="Q3855" s="4">
        <v>0</v>
      </c>
    </row>
    <row r="3856" spans="1:17" ht="30" x14ac:dyDescent="0.25">
      <c r="A3856" s="2" t="s">
        <v>1584</v>
      </c>
      <c r="B3856" s="3" t="s">
        <v>5016</v>
      </c>
      <c r="C3856" s="3">
        <v>45</v>
      </c>
      <c r="D3856" s="46" t="str">
        <f>IF(Tabla1[[#This Row],[EDAD]]&lt;=35,"Adultos jóvenes 18 - 35 años",IF(C3856&gt;=36,"Adultos mayores 36 años en adelante"))</f>
        <v>Adultos mayores 36 años en adelante</v>
      </c>
      <c r="E3856" s="3" t="s">
        <v>5017</v>
      </c>
      <c r="F3856" s="3" t="s">
        <v>5029</v>
      </c>
      <c r="G3856" s="3" t="s">
        <v>5032</v>
      </c>
      <c r="H3856" s="3" t="s">
        <v>6607</v>
      </c>
      <c r="I3856" s="17">
        <v>45332</v>
      </c>
      <c r="J3856" s="18">
        <f>YEAR(Tabla1[[#This Row],[FECHA DE COMPRA]])</f>
        <v>2024</v>
      </c>
      <c r="K3856" s="19">
        <v>15.5</v>
      </c>
      <c r="L3856" s="20">
        <v>0.1</v>
      </c>
      <c r="M3856" s="19">
        <f>Tienda!$K966-Tienda!$K966*Tienda!$L966</f>
        <v>17.513999999999999</v>
      </c>
      <c r="N3856" s="3" t="s">
        <v>10038</v>
      </c>
      <c r="O3856" s="3" t="s">
        <v>10041</v>
      </c>
      <c r="P3856" s="17">
        <v>45332</v>
      </c>
      <c r="Q3856" s="4">
        <v>0</v>
      </c>
    </row>
    <row r="3857" spans="1:17" ht="30" x14ac:dyDescent="0.25">
      <c r="A3857" s="2" t="s">
        <v>621</v>
      </c>
      <c r="B3857" s="3" t="s">
        <v>5016</v>
      </c>
      <c r="C3857" s="3">
        <v>55</v>
      </c>
      <c r="D3857" s="46" t="str">
        <f>IF(Tabla1[[#This Row],[EDAD]]&lt;=35,"Adultos jóvenes 18 - 35 años",IF(C3857&gt;=36,"Adultos mayores 36 años en adelante"))</f>
        <v>Adultos mayores 36 años en adelante</v>
      </c>
      <c r="E3857" s="3" t="s">
        <v>5023</v>
      </c>
      <c r="F3857" s="3" t="s">
        <v>5029</v>
      </c>
      <c r="G3857" s="3" t="s">
        <v>5033</v>
      </c>
      <c r="H3857" s="3" t="s">
        <v>5644</v>
      </c>
      <c r="I3857" s="17">
        <v>45382</v>
      </c>
      <c r="J3857" s="18">
        <f>YEAR(Tabla1[[#This Row],[FECHA DE COMPRA]])</f>
        <v>2024</v>
      </c>
      <c r="K3857" s="19">
        <v>17.47</v>
      </c>
      <c r="L3857" s="20">
        <v>0.2</v>
      </c>
      <c r="M3857" s="19">
        <f>Tienda!$K967-Tienda!$K967*Tienda!$L967</f>
        <v>24.21</v>
      </c>
      <c r="N3857" s="3" t="s">
        <v>10038</v>
      </c>
      <c r="O3857" s="3" t="s">
        <v>10041</v>
      </c>
      <c r="P3857" s="17">
        <v>45382</v>
      </c>
      <c r="Q3857" s="4">
        <v>0</v>
      </c>
    </row>
    <row r="3858" spans="1:17" ht="30" x14ac:dyDescent="0.25">
      <c r="A3858" s="2" t="s">
        <v>1694</v>
      </c>
      <c r="B3858" s="3" t="s">
        <v>5015</v>
      </c>
      <c r="C3858" s="3">
        <v>45</v>
      </c>
      <c r="D3858" s="46" t="str">
        <f>IF(Tabla1[[#This Row],[EDAD]]&lt;=35,"Adultos jóvenes 18 - 35 años",IF(C3858&gt;=36,"Adultos mayores 36 años en adelante"))</f>
        <v>Adultos mayores 36 años en adelante</v>
      </c>
      <c r="E3858" s="3" t="s">
        <v>5017</v>
      </c>
      <c r="F3858" s="3" t="s">
        <v>5024</v>
      </c>
      <c r="G3858" s="3" t="s">
        <v>5032</v>
      </c>
      <c r="H3858" s="3" t="s">
        <v>6717</v>
      </c>
      <c r="I3858" s="17">
        <v>45649</v>
      </c>
      <c r="J3858" s="18">
        <f>YEAR(Tabla1[[#This Row],[FECHA DE COMPRA]])</f>
        <v>2024</v>
      </c>
      <c r="K3858" s="19">
        <v>14.22</v>
      </c>
      <c r="L3858" s="20">
        <v>0</v>
      </c>
      <c r="M3858" s="19">
        <f>Tienda!$K968-Tienda!$K968*Tienda!$L968</f>
        <v>36.070999999999998</v>
      </c>
      <c r="N3858" s="3" t="s">
        <v>10038</v>
      </c>
      <c r="O3858" s="3" t="s">
        <v>10041</v>
      </c>
      <c r="P3858" s="17">
        <v>45295</v>
      </c>
      <c r="Q3858" s="4">
        <v>0</v>
      </c>
    </row>
    <row r="3859" spans="1:17" ht="30" x14ac:dyDescent="0.25">
      <c r="A3859" s="2" t="s">
        <v>4895</v>
      </c>
      <c r="B3859" s="3" t="s">
        <v>5016</v>
      </c>
      <c r="C3859" s="3">
        <v>53</v>
      </c>
      <c r="D3859" s="46" t="str">
        <f>IF(Tabla1[[#This Row],[EDAD]]&lt;=35,"Adultos jóvenes 18 - 35 años",IF(C3859&gt;=36,"Adultos mayores 36 años en adelante"))</f>
        <v>Adultos mayores 36 años en adelante</v>
      </c>
      <c r="E3859" s="3" t="s">
        <v>5017</v>
      </c>
      <c r="F3859" s="3" t="s">
        <v>5025</v>
      </c>
      <c r="G3859" s="3" t="s">
        <v>5034</v>
      </c>
      <c r="H3859" s="3" t="s">
        <v>9918</v>
      </c>
      <c r="I3859" s="17">
        <v>45569</v>
      </c>
      <c r="J3859" s="18">
        <f>YEAR(Tabla1[[#This Row],[FECHA DE COMPRA]])</f>
        <v>2024</v>
      </c>
      <c r="K3859" s="19">
        <v>20.37</v>
      </c>
      <c r="L3859" s="20">
        <v>0.3</v>
      </c>
      <c r="M3859" s="19">
        <f>Tienda!$K969-Tienda!$K969*Tienda!$L969</f>
        <v>77.588999999999999</v>
      </c>
      <c r="N3859" s="3" t="s">
        <v>10038</v>
      </c>
      <c r="O3859" s="3" t="s">
        <v>10041</v>
      </c>
      <c r="P3859" s="17">
        <v>45929</v>
      </c>
      <c r="Q3859" s="4">
        <v>0</v>
      </c>
    </row>
    <row r="3860" spans="1:17" ht="30" x14ac:dyDescent="0.25">
      <c r="A3860" s="2" t="s">
        <v>1210</v>
      </c>
      <c r="B3860" s="3" t="s">
        <v>5015</v>
      </c>
      <c r="C3860" s="3">
        <v>61</v>
      </c>
      <c r="D3860" s="46" t="str">
        <f>IF(Tabla1[[#This Row],[EDAD]]&lt;=35,"Adultos jóvenes 18 - 35 años",IF(C3860&gt;=36,"Adultos mayores 36 años en adelante"))</f>
        <v>Adultos mayores 36 años en adelante</v>
      </c>
      <c r="E3860" s="3" t="s">
        <v>5017</v>
      </c>
      <c r="F3860" s="3" t="s">
        <v>5029</v>
      </c>
      <c r="G3860" s="3" t="s">
        <v>5032</v>
      </c>
      <c r="H3860" s="3" t="s">
        <v>6233</v>
      </c>
      <c r="I3860" s="17">
        <v>45509</v>
      </c>
      <c r="J3860" s="18">
        <f>YEAR(Tabla1[[#This Row],[FECHA DE COMPRA]])</f>
        <v>2024</v>
      </c>
      <c r="K3860" s="19">
        <v>21.71</v>
      </c>
      <c r="L3860" s="20">
        <v>0.3</v>
      </c>
      <c r="M3860" s="19">
        <f>Tienda!$K981-Tienda!$K981*Tienda!$L981</f>
        <v>155.07900000000001</v>
      </c>
      <c r="N3860" s="3" t="s">
        <v>10038</v>
      </c>
      <c r="O3860" s="3" t="s">
        <v>10041</v>
      </c>
      <c r="P3860" s="17">
        <v>45869</v>
      </c>
      <c r="Q3860" s="4">
        <v>0</v>
      </c>
    </row>
    <row r="3861" spans="1:17" ht="30" x14ac:dyDescent="0.25">
      <c r="A3861" s="2" t="s">
        <v>1655</v>
      </c>
      <c r="B3861" s="3" t="s">
        <v>5015</v>
      </c>
      <c r="C3861" s="3">
        <v>52</v>
      </c>
      <c r="D3861" s="46" t="str">
        <f>IF(Tabla1[[#This Row],[EDAD]]&lt;=35,"Adultos jóvenes 18 - 35 años",IF(C3861&gt;=36,"Adultos mayores 36 años en adelante"))</f>
        <v>Adultos mayores 36 años en adelante</v>
      </c>
      <c r="E3861" s="3" t="s">
        <v>5020</v>
      </c>
      <c r="F3861" s="3" t="s">
        <v>5024</v>
      </c>
      <c r="G3861" s="3" t="s">
        <v>5036</v>
      </c>
      <c r="H3861" s="3" t="s">
        <v>6678</v>
      </c>
      <c r="I3861" s="17">
        <v>45644</v>
      </c>
      <c r="J3861" s="18">
        <f>YEAR(Tabla1[[#This Row],[FECHA DE COMPRA]])</f>
        <v>2024</v>
      </c>
      <c r="K3861" s="19">
        <v>15.4</v>
      </c>
      <c r="L3861" s="20">
        <v>0</v>
      </c>
      <c r="M3861" s="19">
        <f>Tienda!$K982-Tienda!$K982*Tienda!$L982</f>
        <v>125.125</v>
      </c>
      <c r="N3861" s="3" t="s">
        <v>10038</v>
      </c>
      <c r="O3861" s="3" t="s">
        <v>10041</v>
      </c>
      <c r="P3861" s="17">
        <v>45644</v>
      </c>
      <c r="Q3861" s="4">
        <v>0</v>
      </c>
    </row>
    <row r="3862" spans="1:17" ht="30" x14ac:dyDescent="0.25">
      <c r="A3862" s="2" t="s">
        <v>4804</v>
      </c>
      <c r="B3862" s="3" t="s">
        <v>5015</v>
      </c>
      <c r="C3862" s="3">
        <v>39</v>
      </c>
      <c r="D3862" s="46" t="str">
        <f>IF(Tabla1[[#This Row],[EDAD]]&lt;=35,"Adultos jóvenes 18 - 35 años",IF(C3862&gt;=36,"Adultos mayores 36 años en adelante"))</f>
        <v>Adultos mayores 36 años en adelante</v>
      </c>
      <c r="E3862" s="3" t="s">
        <v>5020</v>
      </c>
      <c r="F3862" s="3" t="s">
        <v>5024</v>
      </c>
      <c r="G3862" s="3" t="s">
        <v>5036</v>
      </c>
      <c r="H3862" s="3" t="s">
        <v>9827</v>
      </c>
      <c r="I3862" s="17">
        <v>45442</v>
      </c>
      <c r="J3862" s="18">
        <f>YEAR(Tabla1[[#This Row],[FECHA DE COMPRA]])</f>
        <v>2024</v>
      </c>
      <c r="K3862" s="19">
        <v>19.59</v>
      </c>
      <c r="L3862" s="20">
        <v>0.2</v>
      </c>
      <c r="M3862" s="19">
        <f>Tienda!$K984-Tienda!$K984*Tienda!$L984</f>
        <v>157.11199999999999</v>
      </c>
      <c r="N3862" s="3" t="s">
        <v>10038</v>
      </c>
      <c r="O3862" s="3" t="s">
        <v>10041</v>
      </c>
      <c r="P3862" s="17">
        <v>45442</v>
      </c>
      <c r="Q3862" s="4">
        <v>0</v>
      </c>
    </row>
    <row r="3863" spans="1:17" ht="30" x14ac:dyDescent="0.25">
      <c r="A3863" s="2" t="s">
        <v>90</v>
      </c>
      <c r="B3863" s="3" t="s">
        <v>5015</v>
      </c>
      <c r="C3863" s="3">
        <v>41</v>
      </c>
      <c r="D3863" s="46" t="str">
        <f>IF(Tabla1[[#This Row],[EDAD]]&lt;=35,"Adultos jóvenes 18 - 35 años",IF(C3863&gt;=36,"Adultos mayores 36 años en adelante"))</f>
        <v>Adultos mayores 36 años en adelante</v>
      </c>
      <c r="E3863" s="3" t="s">
        <v>5023</v>
      </c>
      <c r="F3863" s="3" t="s">
        <v>5027</v>
      </c>
      <c r="G3863" s="3" t="s">
        <v>5035</v>
      </c>
      <c r="H3863" s="3" t="s">
        <v>5113</v>
      </c>
      <c r="I3863" s="17">
        <v>45595</v>
      </c>
      <c r="J3863" s="18">
        <f>YEAR(Tabla1[[#This Row],[FECHA DE COMPRA]])</f>
        <v>2024</v>
      </c>
      <c r="K3863" s="19">
        <v>19.91</v>
      </c>
      <c r="L3863" s="20">
        <v>0.2</v>
      </c>
      <c r="M3863" s="19">
        <f>Tienda!$K986-Tienda!$K986*Tienda!$L986</f>
        <v>19.98</v>
      </c>
      <c r="N3863" s="3" t="s">
        <v>10038</v>
      </c>
      <c r="O3863" s="3" t="s">
        <v>10041</v>
      </c>
      <c r="P3863" s="17">
        <v>45595</v>
      </c>
      <c r="Q3863" s="4">
        <v>0</v>
      </c>
    </row>
    <row r="3864" spans="1:17" ht="30" x14ac:dyDescent="0.25">
      <c r="A3864" s="2" t="s">
        <v>1248</v>
      </c>
      <c r="B3864" s="3" t="s">
        <v>5016</v>
      </c>
      <c r="C3864" s="3">
        <v>62</v>
      </c>
      <c r="D3864" s="46" t="str">
        <f>IF(Tabla1[[#This Row],[EDAD]]&lt;=35,"Adultos jóvenes 18 - 35 años",IF(C3864&gt;=36,"Adultos mayores 36 años en adelante"))</f>
        <v>Adultos mayores 36 años en adelante</v>
      </c>
      <c r="E3864" s="3" t="s">
        <v>5019</v>
      </c>
      <c r="F3864" s="3" t="s">
        <v>5026</v>
      </c>
      <c r="G3864" s="3" t="s">
        <v>5034</v>
      </c>
      <c r="H3864" s="3" t="s">
        <v>6271</v>
      </c>
      <c r="I3864" s="17">
        <v>45444</v>
      </c>
      <c r="J3864" s="18">
        <f>YEAR(Tabla1[[#This Row],[FECHA DE COMPRA]])</f>
        <v>2024</v>
      </c>
      <c r="K3864" s="19">
        <v>22.96</v>
      </c>
      <c r="L3864" s="20">
        <v>0.3</v>
      </c>
      <c r="M3864" s="19">
        <f>Tienda!$K989-Tienda!$K989*Tienda!$L989</f>
        <v>68.712000000000003</v>
      </c>
      <c r="N3864" s="3" t="s">
        <v>10038</v>
      </c>
      <c r="O3864" s="3" t="s">
        <v>10041</v>
      </c>
      <c r="P3864" s="17">
        <v>45444</v>
      </c>
      <c r="Q3864" s="4">
        <v>0</v>
      </c>
    </row>
    <row r="3865" spans="1:17" ht="30" x14ac:dyDescent="0.25">
      <c r="A3865" s="2" t="s">
        <v>4695</v>
      </c>
      <c r="B3865" s="3" t="s">
        <v>5016</v>
      </c>
      <c r="C3865" s="3">
        <v>49</v>
      </c>
      <c r="D3865" s="46" t="str">
        <f>IF(Tabla1[[#This Row],[EDAD]]&lt;=35,"Adultos jóvenes 18 - 35 años",IF(C3865&gt;=36,"Adultos mayores 36 años en adelante"))</f>
        <v>Adultos mayores 36 años en adelante</v>
      </c>
      <c r="E3865" s="3" t="s">
        <v>5023</v>
      </c>
      <c r="F3865" s="3" t="s">
        <v>5025</v>
      </c>
      <c r="G3865" s="3" t="s">
        <v>5033</v>
      </c>
      <c r="H3865" s="3" t="s">
        <v>9718</v>
      </c>
      <c r="I3865" s="17">
        <v>45503</v>
      </c>
      <c r="J3865" s="18">
        <f>YEAR(Tabla1[[#This Row],[FECHA DE COMPRA]])</f>
        <v>2024</v>
      </c>
      <c r="K3865" s="19">
        <v>20.37</v>
      </c>
      <c r="L3865" s="20">
        <v>0.2</v>
      </c>
      <c r="M3865" s="19">
        <f>Tienda!$K992-Tienda!$K992*Tienda!$L992</f>
        <v>129.93</v>
      </c>
      <c r="N3865" s="3" t="s">
        <v>10038</v>
      </c>
      <c r="O3865" s="3" t="s">
        <v>10041</v>
      </c>
      <c r="P3865" s="17">
        <v>45593</v>
      </c>
      <c r="Q3865" s="4">
        <v>0</v>
      </c>
    </row>
    <row r="3866" spans="1:17" ht="30" x14ac:dyDescent="0.25">
      <c r="A3866" s="2" t="s">
        <v>1755</v>
      </c>
      <c r="B3866" s="3" t="s">
        <v>5015</v>
      </c>
      <c r="C3866" s="3">
        <v>64</v>
      </c>
      <c r="D3866" s="46" t="str">
        <f>IF(Tabla1[[#This Row],[EDAD]]&lt;=35,"Adultos jóvenes 18 - 35 años",IF(C3866&gt;=36,"Adultos mayores 36 años en adelante"))</f>
        <v>Adultos mayores 36 años en adelante</v>
      </c>
      <c r="E3866" s="3" t="s">
        <v>5019</v>
      </c>
      <c r="F3866" s="3" t="s">
        <v>5026</v>
      </c>
      <c r="G3866" s="3" t="s">
        <v>5037</v>
      </c>
      <c r="H3866" s="3" t="s">
        <v>6778</v>
      </c>
      <c r="I3866" s="17">
        <v>45307</v>
      </c>
      <c r="J3866" s="18">
        <f>YEAR(Tabla1[[#This Row],[FECHA DE COMPRA]])</f>
        <v>2024</v>
      </c>
      <c r="K3866" s="19">
        <v>18.22</v>
      </c>
      <c r="L3866" s="20">
        <v>0.1</v>
      </c>
      <c r="M3866" s="19">
        <f>Tienda!$K994-Tienda!$K994*Tienda!$L994</f>
        <v>129.51900000000001</v>
      </c>
      <c r="N3866" s="3" t="s">
        <v>10038</v>
      </c>
      <c r="O3866" s="3" t="s">
        <v>10041</v>
      </c>
      <c r="P3866" s="17">
        <v>45487</v>
      </c>
      <c r="Q3866" s="4">
        <v>0</v>
      </c>
    </row>
    <row r="3867" spans="1:17" ht="30" x14ac:dyDescent="0.25">
      <c r="A3867" s="2" t="s">
        <v>1189</v>
      </c>
      <c r="B3867" s="3" t="s">
        <v>5016</v>
      </c>
      <c r="C3867" s="3">
        <v>53</v>
      </c>
      <c r="D3867" s="46" t="str">
        <f>IF(Tabla1[[#This Row],[EDAD]]&lt;=35,"Adultos jóvenes 18 - 35 años",IF(C3867&gt;=36,"Adultos mayores 36 años en adelante"))</f>
        <v>Adultos mayores 36 años en adelante</v>
      </c>
      <c r="E3867" s="3" t="s">
        <v>5019</v>
      </c>
      <c r="F3867" s="3" t="s">
        <v>5030</v>
      </c>
      <c r="G3867" s="3" t="s">
        <v>5035</v>
      </c>
      <c r="H3867" s="3" t="s">
        <v>6212</v>
      </c>
      <c r="I3867" s="17">
        <v>45415</v>
      </c>
      <c r="J3867" s="18">
        <f>YEAR(Tabla1[[#This Row],[FECHA DE COMPRA]])</f>
        <v>2024</v>
      </c>
      <c r="K3867" s="19">
        <v>20.51</v>
      </c>
      <c r="L3867" s="20">
        <v>0.2</v>
      </c>
      <c r="M3867" s="19">
        <f>Tienda!$K995-Tienda!$K995*Tienda!$L995</f>
        <v>144.53</v>
      </c>
      <c r="N3867" s="3" t="s">
        <v>10038</v>
      </c>
      <c r="O3867" s="3" t="s">
        <v>10041</v>
      </c>
      <c r="P3867" s="17">
        <v>45415</v>
      </c>
      <c r="Q3867" s="4">
        <v>0</v>
      </c>
    </row>
    <row r="3868" spans="1:17" ht="30" x14ac:dyDescent="0.25">
      <c r="A3868" s="2" t="s">
        <v>207</v>
      </c>
      <c r="B3868" s="3" t="s">
        <v>5016</v>
      </c>
      <c r="C3868" s="3">
        <v>38</v>
      </c>
      <c r="D3868" s="46" t="str">
        <f>IF(Tabla1[[#This Row],[EDAD]]&lt;=35,"Adultos jóvenes 18 - 35 años",IF(C3868&gt;=36,"Adultos mayores 36 años en adelante"))</f>
        <v>Adultos mayores 36 años en adelante</v>
      </c>
      <c r="E3868" s="3" t="s">
        <v>5017</v>
      </c>
      <c r="F3868" s="3" t="s">
        <v>5025</v>
      </c>
      <c r="G3868" s="3" t="s">
        <v>5034</v>
      </c>
      <c r="H3868" s="3" t="s">
        <v>5230</v>
      </c>
      <c r="I3868" s="17">
        <v>45472</v>
      </c>
      <c r="J3868" s="18">
        <f>YEAR(Tabla1[[#This Row],[FECHA DE COMPRA]])</f>
        <v>2024</v>
      </c>
      <c r="K3868" s="19">
        <v>18.28</v>
      </c>
      <c r="L3868" s="20">
        <v>0.1</v>
      </c>
      <c r="M3868" s="19">
        <f>Tienda!$K996-Tienda!$K996*Tienda!$L996</f>
        <v>130.11199999999999</v>
      </c>
      <c r="N3868" s="3" t="s">
        <v>10038</v>
      </c>
      <c r="O3868" s="3" t="s">
        <v>10041</v>
      </c>
      <c r="P3868" s="17">
        <v>45562</v>
      </c>
      <c r="Q3868" s="4">
        <v>0</v>
      </c>
    </row>
    <row r="3869" spans="1:17" ht="30" x14ac:dyDescent="0.25">
      <c r="A3869" s="2" t="s">
        <v>2985</v>
      </c>
      <c r="B3869" s="3" t="s">
        <v>5016</v>
      </c>
      <c r="C3869" s="3">
        <v>60</v>
      </c>
      <c r="D3869" s="46" t="str">
        <f>IF(Tabla1[[#This Row],[EDAD]]&lt;=35,"Adultos jóvenes 18 - 35 años",IF(C3869&gt;=36,"Adultos mayores 36 años en adelante"))</f>
        <v>Adultos mayores 36 años en adelante</v>
      </c>
      <c r="E3869" s="3" t="s">
        <v>5023</v>
      </c>
      <c r="F3869" s="3" t="s">
        <v>5028</v>
      </c>
      <c r="G3869" s="3" t="s">
        <v>5032</v>
      </c>
      <c r="H3869" s="3" t="s">
        <v>8008</v>
      </c>
      <c r="I3869" s="17">
        <v>45490</v>
      </c>
      <c r="J3869" s="18">
        <f>YEAR(Tabla1[[#This Row],[FECHA DE COMPRA]])</f>
        <v>2024</v>
      </c>
      <c r="K3869" s="19">
        <v>23.76</v>
      </c>
      <c r="L3869" s="20">
        <v>0.3</v>
      </c>
      <c r="M3869" s="19">
        <f>Tienda!$K998-Tienda!$K998*Tienda!$L998</f>
        <v>129.49299999999999</v>
      </c>
      <c r="N3869" s="3" t="s">
        <v>10038</v>
      </c>
      <c r="O3869" s="3" t="s">
        <v>10041</v>
      </c>
      <c r="P3869" s="17">
        <v>45490</v>
      </c>
      <c r="Q3869" s="4">
        <v>0</v>
      </c>
    </row>
    <row r="3870" spans="1:17" ht="30" x14ac:dyDescent="0.25">
      <c r="A3870" s="2" t="s">
        <v>204</v>
      </c>
      <c r="B3870" s="3" t="s">
        <v>5015</v>
      </c>
      <c r="C3870" s="3">
        <v>39</v>
      </c>
      <c r="D3870" s="46" t="str">
        <f>IF(Tabla1[[#This Row],[EDAD]]&lt;=35,"Adultos jóvenes 18 - 35 años",IF(C3870&gt;=36,"Adultos mayores 36 años en adelante"))</f>
        <v>Adultos mayores 36 años en adelante</v>
      </c>
      <c r="E3870" s="3" t="s">
        <v>5020</v>
      </c>
      <c r="F3870" s="3" t="s">
        <v>5027</v>
      </c>
      <c r="G3870" s="3" t="s">
        <v>5033</v>
      </c>
      <c r="H3870" s="3" t="s">
        <v>5227</v>
      </c>
      <c r="I3870" s="17">
        <v>45511</v>
      </c>
      <c r="J3870" s="18">
        <f>YEAR(Tabla1[[#This Row],[FECHA DE COMPRA]])</f>
        <v>2024</v>
      </c>
      <c r="K3870" s="19">
        <v>16.66</v>
      </c>
      <c r="L3870" s="20">
        <v>0</v>
      </c>
      <c r="M3870" s="19">
        <f>Tienda!$K999-Tienda!$K999*Tienda!$L999</f>
        <v>159.15199999999999</v>
      </c>
      <c r="N3870" s="3" t="s">
        <v>10038</v>
      </c>
      <c r="O3870" s="3" t="s">
        <v>10041</v>
      </c>
      <c r="P3870" s="17">
        <v>45511</v>
      </c>
      <c r="Q3870" s="4">
        <v>0</v>
      </c>
    </row>
    <row r="3871" spans="1:17" ht="30" x14ac:dyDescent="0.25">
      <c r="A3871" s="2" t="s">
        <v>3102</v>
      </c>
      <c r="B3871" s="3" t="s">
        <v>5015</v>
      </c>
      <c r="C3871" s="3">
        <v>46</v>
      </c>
      <c r="D3871" s="46" t="str">
        <f>IF(Tabla1[[#This Row],[EDAD]]&lt;=35,"Adultos jóvenes 18 - 35 años",IF(C3871&gt;=36,"Adultos mayores 36 años en adelante"))</f>
        <v>Adultos mayores 36 años en adelante</v>
      </c>
      <c r="E3871" s="3" t="s">
        <v>5017</v>
      </c>
      <c r="F3871" s="3" t="s">
        <v>5029</v>
      </c>
      <c r="G3871" s="3" t="s">
        <v>5036</v>
      </c>
      <c r="H3871" s="3" t="s">
        <v>8125</v>
      </c>
      <c r="I3871" s="17">
        <v>45436</v>
      </c>
      <c r="J3871" s="18">
        <f>YEAR(Tabla1[[#This Row],[FECHA DE COMPRA]])</f>
        <v>2024</v>
      </c>
      <c r="K3871" s="19">
        <v>17.05</v>
      </c>
      <c r="L3871" s="20">
        <v>0</v>
      </c>
      <c r="M3871" s="19">
        <f>Tienda!$K1004-Tienda!$K1004*Tienda!$L1004</f>
        <v>42.91</v>
      </c>
      <c r="N3871" s="3" t="s">
        <v>10038</v>
      </c>
      <c r="O3871" s="3" t="s">
        <v>10041</v>
      </c>
      <c r="P3871" s="17">
        <v>45796</v>
      </c>
      <c r="Q3871" s="4">
        <v>0</v>
      </c>
    </row>
    <row r="3872" spans="1:17" ht="30" x14ac:dyDescent="0.25">
      <c r="A3872" s="2" t="s">
        <v>4562</v>
      </c>
      <c r="B3872" s="3" t="s">
        <v>5015</v>
      </c>
      <c r="C3872" s="3">
        <v>38</v>
      </c>
      <c r="D3872" s="46" t="str">
        <f>IF(Tabla1[[#This Row],[EDAD]]&lt;=35,"Adultos jóvenes 18 - 35 años",IF(C3872&gt;=36,"Adultos mayores 36 años en adelante"))</f>
        <v>Adultos mayores 36 años en adelante</v>
      </c>
      <c r="E3872" s="3" t="s">
        <v>5019</v>
      </c>
      <c r="F3872" s="3" t="s">
        <v>5026</v>
      </c>
      <c r="G3872" s="3" t="s">
        <v>5036</v>
      </c>
      <c r="H3872" s="3" t="s">
        <v>9585</v>
      </c>
      <c r="I3872" s="17">
        <v>45543</v>
      </c>
      <c r="J3872" s="18">
        <f>YEAR(Tabla1[[#This Row],[FECHA DE COMPRA]])</f>
        <v>2024</v>
      </c>
      <c r="K3872" s="19">
        <v>17.149999999999999</v>
      </c>
      <c r="L3872" s="20">
        <v>0</v>
      </c>
      <c r="M3872" s="19">
        <f>Tienda!$K1006-Tienda!$K1006*Tienda!$L1006</f>
        <v>87.8</v>
      </c>
      <c r="N3872" s="3" t="s">
        <v>10038</v>
      </c>
      <c r="O3872" s="3" t="s">
        <v>10041</v>
      </c>
      <c r="P3872" s="17">
        <v>45633</v>
      </c>
      <c r="Q3872" s="4">
        <v>0</v>
      </c>
    </row>
    <row r="3873" spans="1:17" ht="30" x14ac:dyDescent="0.25">
      <c r="A3873" s="2" t="s">
        <v>3172</v>
      </c>
      <c r="B3873" s="3" t="s">
        <v>5015</v>
      </c>
      <c r="C3873" s="3">
        <v>52</v>
      </c>
      <c r="D3873" s="46" t="str">
        <f>IF(Tabla1[[#This Row],[EDAD]]&lt;=35,"Adultos jóvenes 18 - 35 años",IF(C3873&gt;=36,"Adultos mayores 36 años en adelante"))</f>
        <v>Adultos mayores 36 años en adelante</v>
      </c>
      <c r="E3873" s="3" t="s">
        <v>5021</v>
      </c>
      <c r="F3873" s="3" t="s">
        <v>5024</v>
      </c>
      <c r="G3873" s="3" t="s">
        <v>5036</v>
      </c>
      <c r="H3873" s="3" t="s">
        <v>8195</v>
      </c>
      <c r="I3873" s="17">
        <v>45573</v>
      </c>
      <c r="J3873" s="18">
        <f>YEAR(Tabla1[[#This Row],[FECHA DE COMPRA]])</f>
        <v>2024</v>
      </c>
      <c r="K3873" s="19">
        <v>17.21</v>
      </c>
      <c r="L3873" s="20">
        <v>0</v>
      </c>
      <c r="M3873" s="19">
        <f>Tienda!$K1007-Tienda!$K1007*Tienda!$L1007</f>
        <v>106.02</v>
      </c>
      <c r="N3873" s="3" t="s">
        <v>10038</v>
      </c>
      <c r="O3873" s="3" t="s">
        <v>10041</v>
      </c>
      <c r="P3873" s="17">
        <v>45843</v>
      </c>
      <c r="Q3873" s="4">
        <v>0</v>
      </c>
    </row>
    <row r="3874" spans="1:17" ht="30" x14ac:dyDescent="0.25">
      <c r="A3874" s="2" t="s">
        <v>4212</v>
      </c>
      <c r="B3874" s="3" t="s">
        <v>5015</v>
      </c>
      <c r="C3874" s="3">
        <v>58</v>
      </c>
      <c r="D3874" s="46" t="str">
        <f>IF(Tabla1[[#This Row],[EDAD]]&lt;=35,"Adultos jóvenes 18 - 35 años",IF(C3874&gt;=36,"Adultos mayores 36 años en adelante"))</f>
        <v>Adultos mayores 36 años en adelante</v>
      </c>
      <c r="E3874" s="3" t="s">
        <v>5020</v>
      </c>
      <c r="F3874" s="3" t="s">
        <v>5024</v>
      </c>
      <c r="G3874" s="3" t="s">
        <v>5035</v>
      </c>
      <c r="H3874" s="3" t="s">
        <v>9235</v>
      </c>
      <c r="I3874" s="17">
        <v>45624</v>
      </c>
      <c r="J3874" s="18">
        <f>YEAR(Tabla1[[#This Row],[FECHA DE COMPRA]])</f>
        <v>2024</v>
      </c>
      <c r="K3874" s="19">
        <v>19.14</v>
      </c>
      <c r="L3874" s="20">
        <v>0.1</v>
      </c>
      <c r="M3874" s="19">
        <f>Tienda!$K1008-Tienda!$K1008*Tienda!$L1008</f>
        <v>82.859000000000009</v>
      </c>
      <c r="N3874" s="3" t="s">
        <v>10038</v>
      </c>
      <c r="O3874" s="3" t="s">
        <v>10041</v>
      </c>
      <c r="P3874" s="17">
        <v>45846</v>
      </c>
      <c r="Q3874" s="4">
        <v>0</v>
      </c>
    </row>
    <row r="3875" spans="1:17" ht="30" x14ac:dyDescent="0.25">
      <c r="A3875" s="2" t="s">
        <v>3965</v>
      </c>
      <c r="B3875" s="3" t="s">
        <v>5015</v>
      </c>
      <c r="C3875" s="3">
        <v>49</v>
      </c>
      <c r="D3875" s="46" t="str">
        <f>IF(Tabla1[[#This Row],[EDAD]]&lt;=35,"Adultos jóvenes 18 - 35 años",IF(C3875&gt;=36,"Adultos mayores 36 años en adelante"))</f>
        <v>Adultos mayores 36 años en adelante</v>
      </c>
      <c r="E3875" s="3" t="s">
        <v>5021</v>
      </c>
      <c r="F3875" s="3" t="s">
        <v>5028</v>
      </c>
      <c r="G3875" s="3" t="s">
        <v>5033</v>
      </c>
      <c r="H3875" s="3" t="s">
        <v>8988</v>
      </c>
      <c r="I3875" s="17">
        <v>45316</v>
      </c>
      <c r="J3875" s="18">
        <f>YEAR(Tabla1[[#This Row],[FECHA DE COMPRA]])</f>
        <v>2024</v>
      </c>
      <c r="K3875" s="19">
        <v>19.36</v>
      </c>
      <c r="L3875" s="20">
        <v>0.1</v>
      </c>
      <c r="M3875" s="19">
        <f>Tienda!$K1010-Tienda!$K1010*Tienda!$L1010</f>
        <v>133.51</v>
      </c>
      <c r="N3875" s="3" t="s">
        <v>10038</v>
      </c>
      <c r="O3875" s="3" t="s">
        <v>10041</v>
      </c>
      <c r="P3875" s="17">
        <v>45316</v>
      </c>
      <c r="Q3875" s="4">
        <v>0</v>
      </c>
    </row>
    <row r="3876" spans="1:17" ht="30" x14ac:dyDescent="0.25">
      <c r="A3876" s="2" t="s">
        <v>2220</v>
      </c>
      <c r="B3876" s="3" t="s">
        <v>5016</v>
      </c>
      <c r="C3876" s="3">
        <v>38</v>
      </c>
      <c r="D3876" s="46" t="str">
        <f>IF(Tabla1[[#This Row],[EDAD]]&lt;=35,"Adultos jóvenes 18 - 35 años",IF(C3876&gt;=36,"Adultos mayores 36 años en adelante"))</f>
        <v>Adultos mayores 36 años en adelante</v>
      </c>
      <c r="E3876" s="3" t="s">
        <v>5021</v>
      </c>
      <c r="F3876" s="3" t="s">
        <v>5029</v>
      </c>
      <c r="G3876" s="3" t="s">
        <v>5035</v>
      </c>
      <c r="H3876" s="3" t="s">
        <v>7243</v>
      </c>
      <c r="I3876" s="17">
        <v>45411</v>
      </c>
      <c r="J3876" s="18">
        <f>YEAR(Tabla1[[#This Row],[FECHA DE COMPRA]])</f>
        <v>2024</v>
      </c>
      <c r="K3876" s="19">
        <v>25.26</v>
      </c>
      <c r="L3876" s="20">
        <v>0.3</v>
      </c>
      <c r="M3876" s="19">
        <f>Tienda!$K1012-Tienda!$K1012*Tienda!$L1012</f>
        <v>138.28</v>
      </c>
      <c r="N3876" s="3" t="s">
        <v>10038</v>
      </c>
      <c r="O3876" s="3" t="s">
        <v>10041</v>
      </c>
      <c r="P3876" s="17">
        <v>45411</v>
      </c>
      <c r="Q3876" s="4">
        <v>0</v>
      </c>
    </row>
    <row r="3877" spans="1:17" ht="30" x14ac:dyDescent="0.25">
      <c r="A3877" s="2" t="s">
        <v>1938</v>
      </c>
      <c r="B3877" s="3" t="s">
        <v>5016</v>
      </c>
      <c r="C3877" s="3">
        <v>40</v>
      </c>
      <c r="D3877" s="46" t="str">
        <f>IF(Tabla1[[#This Row],[EDAD]]&lt;=35,"Adultos jóvenes 18 - 35 años",IF(C3877&gt;=36,"Adultos mayores 36 años en adelante"))</f>
        <v>Adultos mayores 36 años en adelante</v>
      </c>
      <c r="E3877" s="3" t="s">
        <v>5021</v>
      </c>
      <c r="F3877" s="3" t="s">
        <v>5025</v>
      </c>
      <c r="G3877" s="3" t="s">
        <v>5031</v>
      </c>
      <c r="H3877" s="3" t="s">
        <v>6961</v>
      </c>
      <c r="I3877" s="17">
        <v>45496</v>
      </c>
      <c r="J3877" s="18">
        <f>YEAR(Tabla1[[#This Row],[FECHA DE COMPRA]])</f>
        <v>2024</v>
      </c>
      <c r="K3877" s="19">
        <v>18.02</v>
      </c>
      <c r="L3877" s="20">
        <v>0</v>
      </c>
      <c r="M3877" s="19">
        <f>Tienda!$K1014-Tienda!$K1014*Tienda!$L1014</f>
        <v>130.19399999999999</v>
      </c>
      <c r="N3877" s="3" t="s">
        <v>10038</v>
      </c>
      <c r="O3877" s="3" t="s">
        <v>10041</v>
      </c>
      <c r="P3877" s="17">
        <v>45856</v>
      </c>
      <c r="Q3877" s="4">
        <v>0</v>
      </c>
    </row>
    <row r="3878" spans="1:17" ht="30" x14ac:dyDescent="0.25">
      <c r="A3878" s="2" t="s">
        <v>929</v>
      </c>
      <c r="B3878" s="3" t="s">
        <v>5015</v>
      </c>
      <c r="C3878" s="3">
        <v>63</v>
      </c>
      <c r="D3878" s="46" t="str">
        <f>IF(Tabla1[[#This Row],[EDAD]]&lt;=35,"Adultos jóvenes 18 - 35 años",IF(C3878&gt;=36,"Adultos mayores 36 años en adelante"))</f>
        <v>Adultos mayores 36 años en adelante</v>
      </c>
      <c r="E3878" s="3" t="s">
        <v>5022</v>
      </c>
      <c r="F3878" s="3" t="s">
        <v>5030</v>
      </c>
      <c r="G3878" s="3" t="s">
        <v>5035</v>
      </c>
      <c r="H3878" s="3" t="s">
        <v>5952</v>
      </c>
      <c r="I3878" s="17">
        <v>45649</v>
      </c>
      <c r="J3878" s="18">
        <f>YEAR(Tabla1[[#This Row],[FECHA DE COMPRA]])</f>
        <v>2024</v>
      </c>
      <c r="K3878" s="19">
        <v>26.31</v>
      </c>
      <c r="L3878" s="20">
        <v>0.3</v>
      </c>
      <c r="M3878" s="19">
        <f>Tienda!$K1017-Tienda!$K1017*Tienda!$L1017</f>
        <v>153.096</v>
      </c>
      <c r="N3878" s="3" t="s">
        <v>10038</v>
      </c>
      <c r="O3878" s="3" t="s">
        <v>10041</v>
      </c>
      <c r="P3878" s="17">
        <v>45478</v>
      </c>
      <c r="Q3878" s="4">
        <v>0</v>
      </c>
    </row>
    <row r="3879" spans="1:17" ht="30" x14ac:dyDescent="0.25">
      <c r="A3879" s="2" t="s">
        <v>4667</v>
      </c>
      <c r="B3879" s="3" t="s">
        <v>5015</v>
      </c>
      <c r="C3879" s="3">
        <v>45</v>
      </c>
      <c r="D3879" s="46" t="str">
        <f>IF(Tabla1[[#This Row],[EDAD]]&lt;=35,"Adultos jóvenes 18 - 35 años",IF(C3879&gt;=36,"Adultos mayores 36 años en adelante"))</f>
        <v>Adultos mayores 36 años en adelante</v>
      </c>
      <c r="E3879" s="3" t="s">
        <v>5019</v>
      </c>
      <c r="F3879" s="3" t="s">
        <v>5029</v>
      </c>
      <c r="G3879" s="3" t="s">
        <v>5036</v>
      </c>
      <c r="H3879" s="3" t="s">
        <v>9690</v>
      </c>
      <c r="I3879" s="17">
        <v>45577</v>
      </c>
      <c r="J3879" s="18">
        <f>YEAR(Tabla1[[#This Row],[FECHA DE COMPRA]])</f>
        <v>2024</v>
      </c>
      <c r="K3879" s="19">
        <v>20.6</v>
      </c>
      <c r="L3879" s="20">
        <v>0.1</v>
      </c>
      <c r="M3879" s="19">
        <f>Tienda!$K1018-Tienda!$K1018*Tienda!$L1018</f>
        <v>154.16</v>
      </c>
      <c r="N3879" s="3" t="s">
        <v>10038</v>
      </c>
      <c r="O3879" s="3" t="s">
        <v>10041</v>
      </c>
      <c r="P3879" s="17">
        <v>45577</v>
      </c>
      <c r="Q3879" s="4">
        <v>0</v>
      </c>
    </row>
    <row r="3880" spans="1:17" ht="30" x14ac:dyDescent="0.25">
      <c r="A3880" s="2" t="s">
        <v>4931</v>
      </c>
      <c r="B3880" s="3" t="s">
        <v>5016</v>
      </c>
      <c r="C3880" s="3">
        <v>61</v>
      </c>
      <c r="D3880" s="46" t="str">
        <f>IF(Tabla1[[#This Row],[EDAD]]&lt;=35,"Adultos jóvenes 18 - 35 años",IF(C3880&gt;=36,"Adultos mayores 36 años en adelante"))</f>
        <v>Adultos mayores 36 años en adelante</v>
      </c>
      <c r="E3880" s="3" t="s">
        <v>5017</v>
      </c>
      <c r="F3880" s="3" t="s">
        <v>5030</v>
      </c>
      <c r="G3880" s="3" t="s">
        <v>5034</v>
      </c>
      <c r="H3880" s="3" t="s">
        <v>9954</v>
      </c>
      <c r="I3880" s="17">
        <v>45530</v>
      </c>
      <c r="J3880" s="18">
        <f>YEAR(Tabla1[[#This Row],[FECHA DE COMPRA]])</f>
        <v>2024</v>
      </c>
      <c r="K3880" s="19">
        <v>27.01</v>
      </c>
      <c r="L3880" s="20">
        <v>0.3</v>
      </c>
      <c r="M3880" s="19">
        <f>Tienda!$K1022-Tienda!$K1022*Tienda!$L1022</f>
        <v>91.656000000000006</v>
      </c>
      <c r="N3880" s="3" t="s">
        <v>10038</v>
      </c>
      <c r="O3880" s="3" t="s">
        <v>10041</v>
      </c>
      <c r="P3880" s="17">
        <v>45530</v>
      </c>
      <c r="Q3880" s="4">
        <v>0</v>
      </c>
    </row>
    <row r="3881" spans="1:17" ht="30" x14ac:dyDescent="0.25">
      <c r="A3881" s="2" t="s">
        <v>2899</v>
      </c>
      <c r="B3881" s="3" t="s">
        <v>5015</v>
      </c>
      <c r="C3881" s="3">
        <v>48</v>
      </c>
      <c r="D3881" s="46" t="str">
        <f>IF(Tabla1[[#This Row],[EDAD]]&lt;=35,"Adultos jóvenes 18 - 35 años",IF(C3881&gt;=36,"Adultos mayores 36 años en adelante"))</f>
        <v>Adultos mayores 36 años en adelante</v>
      </c>
      <c r="E3881" s="3" t="s">
        <v>5022</v>
      </c>
      <c r="F3881" s="3" t="s">
        <v>5025</v>
      </c>
      <c r="G3881" s="3" t="s">
        <v>5035</v>
      </c>
      <c r="H3881" s="3" t="s">
        <v>7922</v>
      </c>
      <c r="I3881" s="17">
        <v>45352</v>
      </c>
      <c r="J3881" s="18">
        <f>YEAR(Tabla1[[#This Row],[FECHA DE COMPRA]])</f>
        <v>2024</v>
      </c>
      <c r="K3881" s="19">
        <v>21.29</v>
      </c>
      <c r="L3881" s="20">
        <v>0.1</v>
      </c>
      <c r="M3881" s="19">
        <f>Tienda!$K1023-Tienda!$K1023*Tienda!$L1023</f>
        <v>115.01</v>
      </c>
      <c r="N3881" s="3" t="s">
        <v>10038</v>
      </c>
      <c r="O3881" s="3" t="s">
        <v>10041</v>
      </c>
      <c r="P3881" s="17">
        <v>45622</v>
      </c>
      <c r="Q3881" s="4">
        <v>0</v>
      </c>
    </row>
    <row r="3882" spans="1:17" ht="30" x14ac:dyDescent="0.25">
      <c r="A3882" s="2" t="s">
        <v>756</v>
      </c>
      <c r="B3882" s="3" t="s">
        <v>5015</v>
      </c>
      <c r="C3882" s="3">
        <v>63</v>
      </c>
      <c r="D3882" s="46" t="str">
        <f>IF(Tabla1[[#This Row],[EDAD]]&lt;=35,"Adultos jóvenes 18 - 35 años",IF(C3882&gt;=36,"Adultos mayores 36 años en adelante"))</f>
        <v>Adultos mayores 36 años en adelante</v>
      </c>
      <c r="E3882" s="3" t="s">
        <v>5020</v>
      </c>
      <c r="F3882" s="3" t="s">
        <v>5029</v>
      </c>
      <c r="G3882" s="3" t="s">
        <v>5031</v>
      </c>
      <c r="H3882" s="3" t="s">
        <v>5779</v>
      </c>
      <c r="I3882" s="17">
        <v>45624</v>
      </c>
      <c r="J3882" s="18">
        <f>YEAR(Tabla1[[#This Row],[FECHA DE COMPRA]])</f>
        <v>2024</v>
      </c>
      <c r="K3882" s="19">
        <v>24.22</v>
      </c>
      <c r="L3882" s="20">
        <v>0.2</v>
      </c>
      <c r="M3882" s="19">
        <f>Tienda!$K1024-Tienda!$K1024*Tienda!$L1024</f>
        <v>108.304</v>
      </c>
      <c r="N3882" s="3" t="s">
        <v>10038</v>
      </c>
      <c r="O3882" s="3" t="s">
        <v>10041</v>
      </c>
      <c r="P3882" s="17">
        <v>45493</v>
      </c>
      <c r="Q3882" s="4">
        <v>0</v>
      </c>
    </row>
    <row r="3883" spans="1:17" ht="30" x14ac:dyDescent="0.25">
      <c r="A3883" s="2" t="s">
        <v>3278</v>
      </c>
      <c r="B3883" s="3" t="s">
        <v>5015</v>
      </c>
      <c r="C3883" s="3">
        <v>61</v>
      </c>
      <c r="D3883" s="46" t="str">
        <f>IF(Tabla1[[#This Row],[EDAD]]&lt;=35,"Adultos jóvenes 18 - 35 años",IF(C3883&gt;=36,"Adultos mayores 36 años en adelante"))</f>
        <v>Adultos mayores 36 años en adelante</v>
      </c>
      <c r="E3883" s="3" t="s">
        <v>5022</v>
      </c>
      <c r="F3883" s="3" t="s">
        <v>5025</v>
      </c>
      <c r="G3883" s="3" t="s">
        <v>5033</v>
      </c>
      <c r="H3883" s="3" t="s">
        <v>8301</v>
      </c>
      <c r="I3883" s="17">
        <v>45355</v>
      </c>
      <c r="J3883" s="18">
        <f>YEAR(Tabla1[[#This Row],[FECHA DE COMPRA]])</f>
        <v>2024</v>
      </c>
      <c r="K3883" s="19">
        <v>24.27</v>
      </c>
      <c r="L3883" s="20">
        <v>0.2</v>
      </c>
      <c r="M3883" s="19">
        <f>Tienda!$K1025-Tienda!$K1025*Tienda!$L1025</f>
        <v>95.486999999999995</v>
      </c>
      <c r="N3883" s="3" t="s">
        <v>10038</v>
      </c>
      <c r="O3883" s="3" t="s">
        <v>10041</v>
      </c>
      <c r="P3883" s="17">
        <v>45355</v>
      </c>
      <c r="Q3883" s="4">
        <v>0</v>
      </c>
    </row>
    <row r="3884" spans="1:17" ht="30" x14ac:dyDescent="0.25">
      <c r="A3884" s="2" t="s">
        <v>2112</v>
      </c>
      <c r="B3884" s="3" t="s">
        <v>5015</v>
      </c>
      <c r="C3884" s="3">
        <v>50</v>
      </c>
      <c r="D3884" s="46" t="str">
        <f>IF(Tabla1[[#This Row],[EDAD]]&lt;=35,"Adultos jóvenes 18 - 35 años",IF(C3884&gt;=36,"Adultos mayores 36 años en adelante"))</f>
        <v>Adultos mayores 36 años en adelante</v>
      </c>
      <c r="E3884" s="3" t="s">
        <v>5018</v>
      </c>
      <c r="F3884" s="3" t="s">
        <v>5024</v>
      </c>
      <c r="G3884" s="3" t="s">
        <v>5033</v>
      </c>
      <c r="H3884" s="3" t="s">
        <v>7135</v>
      </c>
      <c r="I3884" s="17">
        <v>45327</v>
      </c>
      <c r="J3884" s="18">
        <f>YEAR(Tabla1[[#This Row],[FECHA DE COMPRA]])</f>
        <v>2024</v>
      </c>
      <c r="K3884" s="19">
        <v>19.5</v>
      </c>
      <c r="L3884" s="20">
        <v>0</v>
      </c>
      <c r="M3884" s="19">
        <f>Tienda!$K1026-Tienda!$K1026*Tienda!$L1026</f>
        <v>132.44399999999999</v>
      </c>
      <c r="N3884" s="3" t="s">
        <v>10038</v>
      </c>
      <c r="O3884" s="3" t="s">
        <v>10041</v>
      </c>
      <c r="P3884" s="17">
        <v>45327</v>
      </c>
      <c r="Q3884" s="4">
        <v>0</v>
      </c>
    </row>
    <row r="3885" spans="1:17" ht="30" x14ac:dyDescent="0.25">
      <c r="A3885" s="2" t="s">
        <v>3841</v>
      </c>
      <c r="B3885" s="3" t="s">
        <v>5015</v>
      </c>
      <c r="C3885" s="3">
        <v>44</v>
      </c>
      <c r="D3885" s="46" t="str">
        <f>IF(Tabla1[[#This Row],[EDAD]]&lt;=35,"Adultos jóvenes 18 - 35 años",IF(C3885&gt;=36,"Adultos mayores 36 años en adelante"))</f>
        <v>Adultos mayores 36 años en adelante</v>
      </c>
      <c r="E3885" s="3" t="s">
        <v>5018</v>
      </c>
      <c r="F3885" s="3" t="s">
        <v>5026</v>
      </c>
      <c r="G3885" s="3" t="s">
        <v>5034</v>
      </c>
      <c r="H3885" s="3" t="s">
        <v>8864</v>
      </c>
      <c r="I3885" s="17">
        <v>45358</v>
      </c>
      <c r="J3885" s="18">
        <f>YEAR(Tabla1[[#This Row],[FECHA DE COMPRA]])</f>
        <v>2024</v>
      </c>
      <c r="K3885" s="19">
        <v>28.02</v>
      </c>
      <c r="L3885" s="20">
        <v>0.3</v>
      </c>
      <c r="M3885" s="19">
        <f>Tienda!$K1027-Tienda!$K1027*Tienda!$L1027</f>
        <v>118.19200000000001</v>
      </c>
      <c r="N3885" s="3" t="s">
        <v>10038</v>
      </c>
      <c r="O3885" s="3" t="s">
        <v>10041</v>
      </c>
      <c r="P3885" s="17">
        <v>45358</v>
      </c>
      <c r="Q3885" s="4">
        <v>0</v>
      </c>
    </row>
    <row r="3886" spans="1:17" ht="30" x14ac:dyDescent="0.25">
      <c r="A3886" s="2" t="s">
        <v>30</v>
      </c>
      <c r="B3886" s="3" t="s">
        <v>5015</v>
      </c>
      <c r="C3886" s="3">
        <v>46</v>
      </c>
      <c r="D3886" s="46" t="str">
        <f>IF(Tabla1[[#This Row],[EDAD]]&lt;=35,"Adultos jóvenes 18 - 35 años",IF(C3886&gt;=36,"Adultos mayores 36 años en adelante"))</f>
        <v>Adultos mayores 36 años en adelante</v>
      </c>
      <c r="E3886" s="3" t="s">
        <v>5019</v>
      </c>
      <c r="F3886" s="3" t="s">
        <v>5029</v>
      </c>
      <c r="G3886" s="3" t="s">
        <v>5037</v>
      </c>
      <c r="H3886" s="3" t="s">
        <v>5053</v>
      </c>
      <c r="I3886" s="17">
        <v>45625</v>
      </c>
      <c r="J3886" s="18">
        <f>YEAR(Tabla1[[#This Row],[FECHA DE COMPRA]])</f>
        <v>2024</v>
      </c>
      <c r="K3886" s="19">
        <v>28.27</v>
      </c>
      <c r="L3886" s="20">
        <v>0.3</v>
      </c>
      <c r="M3886" s="19">
        <f>Tienda!$K1029-Tienda!$K1029*Tienda!$L1029</f>
        <v>127.88800000000001</v>
      </c>
      <c r="N3886" s="3" t="s">
        <v>10038</v>
      </c>
      <c r="O3886" s="3" t="s">
        <v>10041</v>
      </c>
      <c r="P3886" s="17">
        <v>45625</v>
      </c>
      <c r="Q3886" s="4">
        <v>0</v>
      </c>
    </row>
    <row r="3887" spans="1:17" ht="30" x14ac:dyDescent="0.25">
      <c r="A3887" s="2" t="s">
        <v>4443</v>
      </c>
      <c r="B3887" s="3" t="s">
        <v>5015</v>
      </c>
      <c r="C3887" s="3">
        <v>60</v>
      </c>
      <c r="D3887" s="46" t="str">
        <f>IF(Tabla1[[#This Row],[EDAD]]&lt;=35,"Adultos jóvenes 18 - 35 años",IF(C3887&gt;=36,"Adultos mayores 36 años en adelante"))</f>
        <v>Adultos mayores 36 años en adelante</v>
      </c>
      <c r="E3887" s="3" t="s">
        <v>5019</v>
      </c>
      <c r="F3887" s="3" t="s">
        <v>5025</v>
      </c>
      <c r="G3887" s="3" t="s">
        <v>5033</v>
      </c>
      <c r="H3887" s="3" t="s">
        <v>9466</v>
      </c>
      <c r="I3887" s="17">
        <v>45533</v>
      </c>
      <c r="J3887" s="18">
        <f>YEAR(Tabla1[[#This Row],[FECHA DE COMPRA]])</f>
        <v>2024</v>
      </c>
      <c r="K3887" s="19">
        <v>25.63</v>
      </c>
      <c r="L3887" s="20">
        <v>0.2</v>
      </c>
      <c r="M3887" s="19">
        <f>Tienda!$K1036-Tienda!$K1036*Tienda!$L1036</f>
        <v>82.376000000000005</v>
      </c>
      <c r="N3887" s="3" t="s">
        <v>10038</v>
      </c>
      <c r="O3887" s="3" t="s">
        <v>10041</v>
      </c>
      <c r="P3887" s="17">
        <v>45533</v>
      </c>
      <c r="Q3887" s="4">
        <v>0</v>
      </c>
    </row>
    <row r="3888" spans="1:17" ht="30" x14ac:dyDescent="0.25">
      <c r="A3888" s="2" t="s">
        <v>1251</v>
      </c>
      <c r="B3888" s="3" t="s">
        <v>5015</v>
      </c>
      <c r="C3888" s="3">
        <v>50</v>
      </c>
      <c r="D3888" s="46" t="str">
        <f>IF(Tabla1[[#This Row],[EDAD]]&lt;=35,"Adultos jóvenes 18 - 35 años",IF(C3888&gt;=36,"Adultos mayores 36 años en adelante"))</f>
        <v>Adultos mayores 36 años en adelante</v>
      </c>
      <c r="E3888" s="3" t="s">
        <v>5019</v>
      </c>
      <c r="F3888" s="3" t="s">
        <v>5029</v>
      </c>
      <c r="G3888" s="3" t="s">
        <v>5032</v>
      </c>
      <c r="H3888" s="3" t="s">
        <v>6274</v>
      </c>
      <c r="I3888" s="17">
        <v>45558</v>
      </c>
      <c r="J3888" s="18">
        <f>YEAR(Tabla1[[#This Row],[FECHA DE COMPRA]])</f>
        <v>2024</v>
      </c>
      <c r="K3888" s="19">
        <v>22.93</v>
      </c>
      <c r="L3888" s="20">
        <v>0.1</v>
      </c>
      <c r="M3888" s="19">
        <f>Tienda!$K1039-Tienda!$K1039*Tienda!$L1039</f>
        <v>118.125</v>
      </c>
      <c r="N3888" s="3" t="s">
        <v>10038</v>
      </c>
      <c r="O3888" s="3" t="s">
        <v>10041</v>
      </c>
      <c r="P3888" s="17">
        <v>45558</v>
      </c>
      <c r="Q3888" s="4">
        <v>0</v>
      </c>
    </row>
    <row r="3889" spans="1:17" ht="30" x14ac:dyDescent="0.25">
      <c r="A3889" s="2" t="s">
        <v>1727</v>
      </c>
      <c r="B3889" s="3" t="s">
        <v>5015</v>
      </c>
      <c r="C3889" s="3">
        <v>60</v>
      </c>
      <c r="D3889" s="46" t="str">
        <f>IF(Tabla1[[#This Row],[EDAD]]&lt;=35,"Adultos jóvenes 18 - 35 años",IF(C3889&gt;=36,"Adultos mayores 36 años en adelante"))</f>
        <v>Adultos mayores 36 años en adelante</v>
      </c>
      <c r="E3889" s="3" t="s">
        <v>5020</v>
      </c>
      <c r="F3889" s="3" t="s">
        <v>5024</v>
      </c>
      <c r="G3889" s="3" t="s">
        <v>5031</v>
      </c>
      <c r="H3889" s="3" t="s">
        <v>6750</v>
      </c>
      <c r="I3889" s="17">
        <v>45399</v>
      </c>
      <c r="J3889" s="18">
        <f>YEAR(Tabla1[[#This Row],[FECHA DE COMPRA]])</f>
        <v>2024</v>
      </c>
      <c r="K3889" s="19">
        <v>25.89</v>
      </c>
      <c r="L3889" s="20">
        <v>0.2</v>
      </c>
      <c r="M3889" s="19">
        <f>Tienda!$K1040-Tienda!$K1040*Tienda!$L1040</f>
        <v>143.1</v>
      </c>
      <c r="N3889" s="3" t="s">
        <v>10038</v>
      </c>
      <c r="O3889" s="3" t="s">
        <v>10041</v>
      </c>
      <c r="P3889" s="17">
        <v>45579</v>
      </c>
      <c r="Q3889" s="4">
        <v>0</v>
      </c>
    </row>
    <row r="3890" spans="1:17" ht="30" x14ac:dyDescent="0.25">
      <c r="A3890" s="2" t="s">
        <v>4774</v>
      </c>
      <c r="B3890" s="3" t="s">
        <v>5015</v>
      </c>
      <c r="C3890" s="3">
        <v>42</v>
      </c>
      <c r="D3890" s="46" t="str">
        <f>IF(Tabla1[[#This Row],[EDAD]]&lt;=35,"Adultos jóvenes 18 - 35 años",IF(C3890&gt;=36,"Adultos mayores 36 años en adelante"))</f>
        <v>Adultos mayores 36 años en adelante</v>
      </c>
      <c r="E3890" s="3" t="s">
        <v>5017</v>
      </c>
      <c r="F3890" s="3" t="s">
        <v>5030</v>
      </c>
      <c r="G3890" s="3" t="s">
        <v>5036</v>
      </c>
      <c r="H3890" s="3" t="s">
        <v>9797</v>
      </c>
      <c r="I3890" s="17">
        <v>45502</v>
      </c>
      <c r="J3890" s="18">
        <f>YEAR(Tabla1[[#This Row],[FECHA DE COMPRA]])</f>
        <v>2024</v>
      </c>
      <c r="K3890" s="19">
        <v>26.78</v>
      </c>
      <c r="L3890" s="20">
        <v>0.2</v>
      </c>
      <c r="M3890" s="19">
        <f>Tienda!$K1044-Tienda!$K1044*Tienda!$L1044</f>
        <v>108.61200000000001</v>
      </c>
      <c r="N3890" s="3" t="s">
        <v>10038</v>
      </c>
      <c r="O3890" s="3" t="s">
        <v>10041</v>
      </c>
      <c r="P3890" s="17">
        <v>45592</v>
      </c>
      <c r="Q3890" s="4">
        <v>0</v>
      </c>
    </row>
    <row r="3891" spans="1:17" ht="30" x14ac:dyDescent="0.25">
      <c r="A3891" s="2" t="s">
        <v>2581</v>
      </c>
      <c r="B3891" s="3" t="s">
        <v>5016</v>
      </c>
      <c r="C3891" s="3">
        <v>50</v>
      </c>
      <c r="D3891" s="46" t="str">
        <f>IF(Tabla1[[#This Row],[EDAD]]&lt;=35,"Adultos jóvenes 18 - 35 años",IF(C3891&gt;=36,"Adultos mayores 36 años en adelante"))</f>
        <v>Adultos mayores 36 años en adelante</v>
      </c>
      <c r="E3891" s="3" t="s">
        <v>5017</v>
      </c>
      <c r="F3891" s="3" t="s">
        <v>5024</v>
      </c>
      <c r="G3891" s="3" t="s">
        <v>5034</v>
      </c>
      <c r="H3891" s="3" t="s">
        <v>7604</v>
      </c>
      <c r="I3891" s="17">
        <v>45375</v>
      </c>
      <c r="J3891" s="18">
        <f>YEAR(Tabla1[[#This Row],[FECHA DE COMPRA]])</f>
        <v>2024</v>
      </c>
      <c r="K3891" s="19">
        <v>23.9</v>
      </c>
      <c r="L3891" s="20">
        <v>0.1</v>
      </c>
      <c r="M3891" s="19">
        <f>Tienda!$K1047-Tienda!$K1047*Tienda!$L1047</f>
        <v>147.07999999999998</v>
      </c>
      <c r="N3891" s="3" t="s">
        <v>10038</v>
      </c>
      <c r="O3891" s="3" t="s">
        <v>10041</v>
      </c>
      <c r="P3891" s="17">
        <v>45375</v>
      </c>
      <c r="Q3891" s="4">
        <v>0</v>
      </c>
    </row>
    <row r="3892" spans="1:17" ht="30" x14ac:dyDescent="0.25">
      <c r="A3892" s="2" t="s">
        <v>856</v>
      </c>
      <c r="B3892" s="3" t="s">
        <v>5015</v>
      </c>
      <c r="C3892" s="3">
        <v>65</v>
      </c>
      <c r="D3892" s="46" t="str">
        <f>IF(Tabla1[[#This Row],[EDAD]]&lt;=35,"Adultos jóvenes 18 - 35 años",IF(C3892&gt;=36,"Adultos mayores 36 años en adelante"))</f>
        <v>Adultos mayores 36 años en adelante</v>
      </c>
      <c r="E3892" s="3" t="s">
        <v>5017</v>
      </c>
      <c r="F3892" s="3" t="s">
        <v>5025</v>
      </c>
      <c r="G3892" s="3" t="s">
        <v>5035</v>
      </c>
      <c r="H3892" s="3" t="s">
        <v>5879</v>
      </c>
      <c r="I3892" s="17">
        <v>45633</v>
      </c>
      <c r="J3892" s="18">
        <f>YEAR(Tabla1[[#This Row],[FECHA DE COMPRA]])</f>
        <v>2024</v>
      </c>
      <c r="K3892" s="19">
        <v>27.32</v>
      </c>
      <c r="L3892" s="20">
        <v>0.2</v>
      </c>
      <c r="M3892" s="19">
        <f>Tienda!$K1049-Tienda!$K1049*Tienda!$L1049</f>
        <v>123.03</v>
      </c>
      <c r="N3892" s="3" t="s">
        <v>10038</v>
      </c>
      <c r="O3892" s="3" t="s">
        <v>10041</v>
      </c>
      <c r="P3892" s="17">
        <v>45993</v>
      </c>
      <c r="Q3892" s="4">
        <v>0</v>
      </c>
    </row>
    <row r="3893" spans="1:17" ht="30" x14ac:dyDescent="0.25">
      <c r="A3893" s="2" t="s">
        <v>3587</v>
      </c>
      <c r="B3893" s="3" t="s">
        <v>5015</v>
      </c>
      <c r="C3893" s="3">
        <v>46</v>
      </c>
      <c r="D3893" s="46" t="str">
        <f>IF(Tabla1[[#This Row],[EDAD]]&lt;=35,"Adultos jóvenes 18 - 35 años",IF(C3893&gt;=36,"Adultos mayores 36 años en adelante"))</f>
        <v>Adultos mayores 36 años en adelante</v>
      </c>
      <c r="E3893" s="3" t="s">
        <v>5021</v>
      </c>
      <c r="F3893" s="3" t="s">
        <v>5029</v>
      </c>
      <c r="G3893" s="3" t="s">
        <v>5032</v>
      </c>
      <c r="H3893" s="3" t="s">
        <v>8610</v>
      </c>
      <c r="I3893" s="17">
        <v>45624</v>
      </c>
      <c r="J3893" s="18">
        <f>YEAR(Tabla1[[#This Row],[FECHA DE COMPRA]])</f>
        <v>2024</v>
      </c>
      <c r="K3893" s="19">
        <v>27.58</v>
      </c>
      <c r="L3893" s="20">
        <v>0.2</v>
      </c>
      <c r="M3893" s="19">
        <f>Tienda!$K1053-Tienda!$K1053*Tienda!$L1053</f>
        <v>57.708000000000006</v>
      </c>
      <c r="N3893" s="3" t="s">
        <v>10038</v>
      </c>
      <c r="O3893" s="3" t="s">
        <v>10041</v>
      </c>
      <c r="P3893" s="17">
        <v>45410</v>
      </c>
      <c r="Q3893" s="4">
        <v>0</v>
      </c>
    </row>
    <row r="3894" spans="1:17" ht="30" x14ac:dyDescent="0.25">
      <c r="A3894" s="2" t="s">
        <v>81</v>
      </c>
      <c r="B3894" s="3" t="s">
        <v>5015</v>
      </c>
      <c r="C3894" s="3">
        <v>55</v>
      </c>
      <c r="D3894" s="46" t="str">
        <f>IF(Tabla1[[#This Row],[EDAD]]&lt;=35,"Adultos jóvenes 18 - 35 años",IF(C3894&gt;=36,"Adultos mayores 36 años en adelante"))</f>
        <v>Adultos mayores 36 años en adelante</v>
      </c>
      <c r="E3894" s="3" t="s">
        <v>5017</v>
      </c>
      <c r="F3894" s="3" t="s">
        <v>5027</v>
      </c>
      <c r="G3894" s="3" t="s">
        <v>5031</v>
      </c>
      <c r="H3894" s="3" t="s">
        <v>5104</v>
      </c>
      <c r="I3894" s="17">
        <v>45624</v>
      </c>
      <c r="J3894" s="18">
        <f>YEAR(Tabla1[[#This Row],[FECHA DE COMPRA]])</f>
        <v>2024</v>
      </c>
      <c r="K3894" s="19">
        <v>27.88</v>
      </c>
      <c r="L3894" s="20">
        <v>0.2</v>
      </c>
      <c r="M3894" s="19">
        <f>Tienda!$K1055-Tienda!$K1055*Tienda!$L1055</f>
        <v>87.955000000000013</v>
      </c>
      <c r="N3894" s="3" t="s">
        <v>10038</v>
      </c>
      <c r="O3894" s="3" t="s">
        <v>10041</v>
      </c>
      <c r="P3894" s="17">
        <v>45410</v>
      </c>
      <c r="Q3894" s="4">
        <v>0</v>
      </c>
    </row>
    <row r="3895" spans="1:17" ht="30" x14ac:dyDescent="0.25">
      <c r="A3895" s="2" t="s">
        <v>107</v>
      </c>
      <c r="B3895" s="3" t="s">
        <v>5015</v>
      </c>
      <c r="C3895" s="3">
        <v>53</v>
      </c>
      <c r="D3895" s="46" t="str">
        <f>IF(Tabla1[[#This Row],[EDAD]]&lt;=35,"Adultos jóvenes 18 - 35 años",IF(C3895&gt;=36,"Adultos mayores 36 años en adelante"))</f>
        <v>Adultos mayores 36 años en adelante</v>
      </c>
      <c r="E3895" s="3" t="s">
        <v>5017</v>
      </c>
      <c r="F3895" s="3" t="s">
        <v>5028</v>
      </c>
      <c r="G3895" s="3" t="s">
        <v>5036</v>
      </c>
      <c r="H3895" s="3" t="s">
        <v>5130</v>
      </c>
      <c r="I3895" s="17">
        <v>45609</v>
      </c>
      <c r="J3895" s="18">
        <f>YEAR(Tabla1[[#This Row],[FECHA DE COMPRA]])</f>
        <v>2024</v>
      </c>
      <c r="K3895" s="19">
        <v>25</v>
      </c>
      <c r="L3895" s="20">
        <v>0.1</v>
      </c>
      <c r="M3895" s="19">
        <f>Tienda!$K1058-Tienda!$K1058*Tienda!$L1058</f>
        <v>159.38399999999999</v>
      </c>
      <c r="N3895" s="3" t="s">
        <v>10038</v>
      </c>
      <c r="O3895" s="3" t="s">
        <v>10041</v>
      </c>
      <c r="P3895" s="17">
        <v>45609</v>
      </c>
      <c r="Q3895" s="4">
        <v>0</v>
      </c>
    </row>
    <row r="3896" spans="1:17" ht="30" x14ac:dyDescent="0.25">
      <c r="A3896" s="2" t="s">
        <v>2827</v>
      </c>
      <c r="B3896" s="3" t="s">
        <v>5015</v>
      </c>
      <c r="C3896" s="3">
        <v>39</v>
      </c>
      <c r="D3896" s="46" t="str">
        <f>IF(Tabla1[[#This Row],[EDAD]]&lt;=35,"Adultos jóvenes 18 - 35 años",IF(C3896&gt;=36,"Adultos mayores 36 años en adelante"))</f>
        <v>Adultos mayores 36 años en adelante</v>
      </c>
      <c r="E3896" s="3" t="s">
        <v>5020</v>
      </c>
      <c r="F3896" s="3" t="s">
        <v>5029</v>
      </c>
      <c r="G3896" s="3" t="s">
        <v>5036</v>
      </c>
      <c r="H3896" s="3" t="s">
        <v>7850</v>
      </c>
      <c r="I3896" s="17">
        <v>45363</v>
      </c>
      <c r="J3896" s="18">
        <f>YEAR(Tabla1[[#This Row],[FECHA DE COMPRA]])</f>
        <v>2024</v>
      </c>
      <c r="K3896" s="19">
        <v>22.59</v>
      </c>
      <c r="L3896" s="20">
        <v>0</v>
      </c>
      <c r="M3896" s="19">
        <f>Tienda!$K1059-Tienda!$K1059*Tienda!$L1059</f>
        <v>59.112000000000002</v>
      </c>
      <c r="N3896" s="3" t="s">
        <v>10038</v>
      </c>
      <c r="O3896" s="3" t="s">
        <v>10041</v>
      </c>
      <c r="P3896" s="17">
        <v>45363</v>
      </c>
      <c r="Q3896" s="4">
        <v>0</v>
      </c>
    </row>
    <row r="3897" spans="1:17" ht="30" x14ac:dyDescent="0.25">
      <c r="A3897" s="2" t="s">
        <v>4696</v>
      </c>
      <c r="B3897" s="3" t="s">
        <v>5015</v>
      </c>
      <c r="C3897" s="3">
        <v>60</v>
      </c>
      <c r="D3897" s="46" t="str">
        <f>IF(Tabla1[[#This Row],[EDAD]]&lt;=35,"Adultos jóvenes 18 - 35 años",IF(C3897&gt;=36,"Adultos mayores 36 años en adelante"))</f>
        <v>Adultos mayores 36 años en adelante</v>
      </c>
      <c r="E3897" s="3" t="s">
        <v>5020</v>
      </c>
      <c r="F3897" s="3" t="s">
        <v>5026</v>
      </c>
      <c r="G3897" s="3" t="s">
        <v>5035</v>
      </c>
      <c r="H3897" s="3" t="s">
        <v>9719</v>
      </c>
      <c r="I3897" s="17">
        <v>45602</v>
      </c>
      <c r="J3897" s="18">
        <f>YEAR(Tabla1[[#This Row],[FECHA DE COMPRA]])</f>
        <v>2024</v>
      </c>
      <c r="K3897" s="19">
        <v>25.14</v>
      </c>
      <c r="L3897" s="20">
        <v>0.1</v>
      </c>
      <c r="M3897" s="19">
        <f>Tienda!$K1060-Tienda!$K1060*Tienda!$L1060</f>
        <v>100.818</v>
      </c>
      <c r="N3897" s="3" t="s">
        <v>10038</v>
      </c>
      <c r="O3897" s="3" t="s">
        <v>10041</v>
      </c>
      <c r="P3897" s="17">
        <v>45602</v>
      </c>
      <c r="Q3897" s="4">
        <v>0</v>
      </c>
    </row>
    <row r="3898" spans="1:17" ht="30" x14ac:dyDescent="0.25">
      <c r="A3898" s="2" t="s">
        <v>776</v>
      </c>
      <c r="B3898" s="3" t="s">
        <v>5015</v>
      </c>
      <c r="C3898" s="3">
        <v>49</v>
      </c>
      <c r="D3898" s="46" t="str">
        <f>IF(Tabla1[[#This Row],[EDAD]]&lt;=35,"Adultos jóvenes 18 - 35 años",IF(C3898&gt;=36,"Adultos mayores 36 años en adelante"))</f>
        <v>Adultos mayores 36 años en adelante</v>
      </c>
      <c r="E3898" s="3" t="s">
        <v>5023</v>
      </c>
      <c r="F3898" s="3" t="s">
        <v>5029</v>
      </c>
      <c r="G3898" s="3" t="s">
        <v>5037</v>
      </c>
      <c r="H3898" s="3" t="s">
        <v>5799</v>
      </c>
      <c r="I3898" s="17">
        <v>45391</v>
      </c>
      <c r="J3898" s="18">
        <f>YEAR(Tabla1[[#This Row],[FECHA DE COMPRA]])</f>
        <v>2024</v>
      </c>
      <c r="K3898" s="19">
        <v>32.51</v>
      </c>
      <c r="L3898" s="20">
        <v>0.3</v>
      </c>
      <c r="M3898" s="19">
        <f>Tienda!$K1061-Tienda!$K1061*Tienda!$L1061</f>
        <v>91.875</v>
      </c>
      <c r="N3898" s="3" t="s">
        <v>10038</v>
      </c>
      <c r="O3898" s="3" t="s">
        <v>10041</v>
      </c>
      <c r="P3898" s="17">
        <v>45391</v>
      </c>
      <c r="Q3898" s="4">
        <v>0</v>
      </c>
    </row>
    <row r="3899" spans="1:17" ht="30" x14ac:dyDescent="0.25">
      <c r="A3899" s="2" t="s">
        <v>1628</v>
      </c>
      <c r="B3899" s="3" t="s">
        <v>5015</v>
      </c>
      <c r="C3899" s="3">
        <v>48</v>
      </c>
      <c r="D3899" s="46" t="str">
        <f>IF(Tabla1[[#This Row],[EDAD]]&lt;=35,"Adultos jóvenes 18 - 35 años",IF(C3899&gt;=36,"Adultos mayores 36 años en adelante"))</f>
        <v>Adultos mayores 36 años en adelante</v>
      </c>
      <c r="E3899" s="3" t="s">
        <v>5017</v>
      </c>
      <c r="F3899" s="3" t="s">
        <v>5030</v>
      </c>
      <c r="G3899" s="3" t="s">
        <v>5035</v>
      </c>
      <c r="H3899" s="3" t="s">
        <v>6651</v>
      </c>
      <c r="I3899" s="17">
        <v>45539</v>
      </c>
      <c r="J3899" s="18">
        <f>YEAR(Tabla1[[#This Row],[FECHA DE COMPRA]])</f>
        <v>2024</v>
      </c>
      <c r="K3899" s="19">
        <v>32.83</v>
      </c>
      <c r="L3899" s="20">
        <v>0.3</v>
      </c>
      <c r="M3899" s="19">
        <f>Tienda!$K1063-Tienda!$K1063*Tienda!$L1063</f>
        <v>49.448</v>
      </c>
      <c r="N3899" s="3" t="s">
        <v>10038</v>
      </c>
      <c r="O3899" s="3" t="s">
        <v>10041</v>
      </c>
      <c r="P3899" s="17">
        <v>45809</v>
      </c>
      <c r="Q3899" s="4">
        <v>0</v>
      </c>
    </row>
    <row r="3900" spans="1:17" ht="30" x14ac:dyDescent="0.25">
      <c r="A3900" s="2" t="s">
        <v>2933</v>
      </c>
      <c r="B3900" s="3" t="s">
        <v>5015</v>
      </c>
      <c r="C3900" s="3">
        <v>37</v>
      </c>
      <c r="D3900" s="46" t="str">
        <f>IF(Tabla1[[#This Row],[EDAD]]&lt;=35,"Adultos jóvenes 18 - 35 años",IF(C3900&gt;=36,"Adultos mayores 36 años en adelante"))</f>
        <v>Adultos mayores 36 años en adelante</v>
      </c>
      <c r="E3900" s="3" t="s">
        <v>5022</v>
      </c>
      <c r="F3900" s="3" t="s">
        <v>5027</v>
      </c>
      <c r="G3900" s="3" t="s">
        <v>5032</v>
      </c>
      <c r="H3900" s="3" t="s">
        <v>7956</v>
      </c>
      <c r="I3900" s="17">
        <v>45436</v>
      </c>
      <c r="J3900" s="18">
        <f>YEAR(Tabla1[[#This Row],[FECHA DE COMPRA]])</f>
        <v>2024</v>
      </c>
      <c r="K3900" s="19">
        <v>23.15</v>
      </c>
      <c r="L3900" s="20">
        <v>0</v>
      </c>
      <c r="M3900" s="19">
        <f>Tienda!$K1065-Tienda!$K1065*Tienda!$L1065</f>
        <v>94.589999999999989</v>
      </c>
      <c r="N3900" s="3" t="s">
        <v>10038</v>
      </c>
      <c r="O3900" s="3" t="s">
        <v>10041</v>
      </c>
      <c r="P3900" s="17">
        <v>45796</v>
      </c>
      <c r="Q3900" s="4">
        <v>0</v>
      </c>
    </row>
    <row r="3901" spans="1:17" ht="30" x14ac:dyDescent="0.25">
      <c r="A3901" s="2" t="s">
        <v>4238</v>
      </c>
      <c r="B3901" s="3" t="s">
        <v>5015</v>
      </c>
      <c r="C3901" s="3">
        <v>65</v>
      </c>
      <c r="D3901" s="46" t="str">
        <f>IF(Tabla1[[#This Row],[EDAD]]&lt;=35,"Adultos jóvenes 18 - 35 años",IF(C3901&gt;=36,"Adultos mayores 36 años en adelante"))</f>
        <v>Adultos mayores 36 años en adelante</v>
      </c>
      <c r="E3901" s="3" t="s">
        <v>5022</v>
      </c>
      <c r="F3901" s="3" t="s">
        <v>5025</v>
      </c>
      <c r="G3901" s="3" t="s">
        <v>5032</v>
      </c>
      <c r="H3901" s="3" t="s">
        <v>9261</v>
      </c>
      <c r="I3901" s="17">
        <v>45440</v>
      </c>
      <c r="J3901" s="18">
        <f>YEAR(Tabla1[[#This Row],[FECHA DE COMPRA]])</f>
        <v>2024</v>
      </c>
      <c r="K3901" s="19">
        <v>23.44</v>
      </c>
      <c r="L3901" s="20">
        <v>0</v>
      </c>
      <c r="M3901" s="19">
        <f>Tienda!$K1066-Tienda!$K1066*Tienda!$L1066</f>
        <v>91.287999999999997</v>
      </c>
      <c r="N3901" s="3" t="s">
        <v>10038</v>
      </c>
      <c r="O3901" s="3" t="s">
        <v>10041</v>
      </c>
      <c r="P3901" s="17">
        <v>45440</v>
      </c>
      <c r="Q3901" s="4">
        <v>0</v>
      </c>
    </row>
    <row r="3902" spans="1:17" ht="30" x14ac:dyDescent="0.25">
      <c r="A3902" s="2" t="s">
        <v>1676</v>
      </c>
      <c r="B3902" s="3" t="s">
        <v>5015</v>
      </c>
      <c r="C3902" s="3">
        <v>54</v>
      </c>
      <c r="D3902" s="46" t="str">
        <f>IF(Tabla1[[#This Row],[EDAD]]&lt;=35,"Adultos jóvenes 18 - 35 años",IF(C3902&gt;=36,"Adultos mayores 36 años en adelante"))</f>
        <v>Adultos mayores 36 años en adelante</v>
      </c>
      <c r="E3902" s="3" t="s">
        <v>5022</v>
      </c>
      <c r="F3902" s="3" t="s">
        <v>5024</v>
      </c>
      <c r="G3902" s="3" t="s">
        <v>5032</v>
      </c>
      <c r="H3902" s="3" t="s">
        <v>6699</v>
      </c>
      <c r="I3902" s="17">
        <v>45584</v>
      </c>
      <c r="J3902" s="18">
        <f>YEAR(Tabla1[[#This Row],[FECHA DE COMPRA]])</f>
        <v>2024</v>
      </c>
      <c r="K3902" s="19">
        <v>26.26</v>
      </c>
      <c r="L3902" s="20">
        <v>0.1</v>
      </c>
      <c r="M3902" s="19">
        <f>Tienda!$K1070-Tienda!$K1070*Tienda!$L1070</f>
        <v>27.738</v>
      </c>
      <c r="N3902" s="3" t="s">
        <v>10038</v>
      </c>
      <c r="O3902" s="3" t="s">
        <v>10041</v>
      </c>
      <c r="P3902" s="17">
        <v>45944</v>
      </c>
      <c r="Q3902" s="4">
        <v>0</v>
      </c>
    </row>
    <row r="3903" spans="1:17" ht="30" x14ac:dyDescent="0.25">
      <c r="A3903" s="2" t="s">
        <v>2312</v>
      </c>
      <c r="B3903" s="3" t="s">
        <v>5015</v>
      </c>
      <c r="C3903" s="3">
        <v>39</v>
      </c>
      <c r="D3903" s="46" t="str">
        <f>IF(Tabla1[[#This Row],[EDAD]]&lt;=35,"Adultos jóvenes 18 - 35 años",IF(C3903&gt;=36,"Adultos mayores 36 años en adelante"))</f>
        <v>Adultos mayores 36 años en adelante</v>
      </c>
      <c r="E3903" s="3" t="s">
        <v>5022</v>
      </c>
      <c r="F3903" s="3" t="s">
        <v>5024</v>
      </c>
      <c r="G3903" s="3" t="s">
        <v>5032</v>
      </c>
      <c r="H3903" s="3" t="s">
        <v>7335</v>
      </c>
      <c r="I3903" s="17">
        <v>45340</v>
      </c>
      <c r="J3903" s="18">
        <f>YEAR(Tabla1[[#This Row],[FECHA DE COMPRA]])</f>
        <v>2024</v>
      </c>
      <c r="K3903" s="19">
        <v>33.840000000000003</v>
      </c>
      <c r="L3903" s="20">
        <v>0.3</v>
      </c>
      <c r="M3903" s="19">
        <f>Tienda!$K1072-Tienda!$K1072*Tienda!$L1072</f>
        <v>41.823999999999998</v>
      </c>
      <c r="N3903" s="3" t="s">
        <v>10038</v>
      </c>
      <c r="O3903" s="3" t="s">
        <v>10041</v>
      </c>
      <c r="P3903" s="17">
        <v>45340</v>
      </c>
      <c r="Q3903" s="4">
        <v>0</v>
      </c>
    </row>
    <row r="3904" spans="1:17" ht="30" x14ac:dyDescent="0.25">
      <c r="A3904" s="2" t="s">
        <v>241</v>
      </c>
      <c r="B3904" s="3" t="s">
        <v>5016</v>
      </c>
      <c r="C3904" s="3">
        <v>63</v>
      </c>
      <c r="D3904" s="46" t="str">
        <f>IF(Tabla1[[#This Row],[EDAD]]&lt;=35,"Adultos jóvenes 18 - 35 años",IF(C3904&gt;=36,"Adultos mayores 36 años en adelante"))</f>
        <v>Adultos mayores 36 años en adelante</v>
      </c>
      <c r="E3904" s="3" t="s">
        <v>5019</v>
      </c>
      <c r="F3904" s="3" t="s">
        <v>5026</v>
      </c>
      <c r="G3904" s="3" t="s">
        <v>5035</v>
      </c>
      <c r="H3904" s="3" t="s">
        <v>5264</v>
      </c>
      <c r="I3904" s="17">
        <v>45577</v>
      </c>
      <c r="J3904" s="18">
        <f>YEAR(Tabla1[[#This Row],[FECHA DE COMPRA]])</f>
        <v>2024</v>
      </c>
      <c r="K3904" s="19">
        <v>34.14</v>
      </c>
      <c r="L3904" s="20">
        <v>0.3</v>
      </c>
      <c r="M3904" s="19">
        <f>Tienda!$K1074-Tienda!$K1074*Tienda!$L1074</f>
        <v>72.905000000000001</v>
      </c>
      <c r="N3904" s="3" t="s">
        <v>10038</v>
      </c>
      <c r="O3904" s="3" t="s">
        <v>10041</v>
      </c>
      <c r="P3904" s="17">
        <v>45577</v>
      </c>
      <c r="Q3904" s="4">
        <v>0</v>
      </c>
    </row>
    <row r="3905" spans="1:17" ht="30" x14ac:dyDescent="0.25">
      <c r="A3905" s="2" t="s">
        <v>29</v>
      </c>
      <c r="B3905" s="3" t="s">
        <v>5015</v>
      </c>
      <c r="C3905" s="3">
        <v>64</v>
      </c>
      <c r="D3905" s="46" t="str">
        <f>IF(Tabla1[[#This Row],[EDAD]]&lt;=35,"Adultos jóvenes 18 - 35 años",IF(C3905&gt;=36,"Adultos mayores 36 años en adelante"))</f>
        <v>Adultos mayores 36 años en adelante</v>
      </c>
      <c r="E3905" s="3" t="s">
        <v>5018</v>
      </c>
      <c r="F3905" s="3" t="s">
        <v>5024</v>
      </c>
      <c r="G3905" s="3" t="s">
        <v>5035</v>
      </c>
      <c r="H3905" s="3" t="s">
        <v>5052</v>
      </c>
      <c r="I3905" s="17">
        <v>45404</v>
      </c>
      <c r="J3905" s="18">
        <f>YEAR(Tabla1[[#This Row],[FECHA DE COMPRA]])</f>
        <v>2024</v>
      </c>
      <c r="K3905" s="19">
        <v>30.16</v>
      </c>
      <c r="L3905" s="20">
        <v>0.2</v>
      </c>
      <c r="M3905" s="19">
        <f>Tienda!$K1077-Tienda!$K1077*Tienda!$L1077</f>
        <v>17.649999999999999</v>
      </c>
      <c r="N3905" s="3" t="s">
        <v>10038</v>
      </c>
      <c r="O3905" s="3" t="s">
        <v>10041</v>
      </c>
      <c r="P3905" s="17">
        <v>45404</v>
      </c>
      <c r="Q3905" s="4">
        <v>0</v>
      </c>
    </row>
    <row r="3906" spans="1:17" ht="30" x14ac:dyDescent="0.25">
      <c r="A3906" s="2" t="s">
        <v>1753</v>
      </c>
      <c r="B3906" s="3" t="s">
        <v>5015</v>
      </c>
      <c r="C3906" s="3">
        <v>45</v>
      </c>
      <c r="D3906" s="46" t="str">
        <f>IF(Tabla1[[#This Row],[EDAD]]&lt;=35,"Adultos jóvenes 18 - 35 años",IF(C3906&gt;=36,"Adultos mayores 36 años en adelante"))</f>
        <v>Adultos mayores 36 años en adelante</v>
      </c>
      <c r="E3906" s="3" t="s">
        <v>5021</v>
      </c>
      <c r="F3906" s="3" t="s">
        <v>5027</v>
      </c>
      <c r="G3906" s="3" t="s">
        <v>5033</v>
      </c>
      <c r="H3906" s="3" t="s">
        <v>6776</v>
      </c>
      <c r="I3906" s="17">
        <v>45537</v>
      </c>
      <c r="J3906" s="18">
        <f>YEAR(Tabla1[[#This Row],[FECHA DE COMPRA]])</f>
        <v>2024</v>
      </c>
      <c r="K3906" s="19">
        <v>26.99</v>
      </c>
      <c r="L3906" s="20">
        <v>0.1</v>
      </c>
      <c r="M3906" s="19">
        <f>Tienda!$K1078-Tienda!$K1078*Tienda!$L1078</f>
        <v>52.18</v>
      </c>
      <c r="N3906" s="3" t="s">
        <v>10038</v>
      </c>
      <c r="O3906" s="3" t="s">
        <v>10041</v>
      </c>
      <c r="P3906" s="17">
        <v>45537</v>
      </c>
      <c r="Q3906" s="4">
        <v>0</v>
      </c>
    </row>
    <row r="3907" spans="1:17" ht="30" x14ac:dyDescent="0.25">
      <c r="A3907" s="2" t="s">
        <v>3371</v>
      </c>
      <c r="B3907" s="3" t="s">
        <v>5015</v>
      </c>
      <c r="C3907" s="3">
        <v>47</v>
      </c>
      <c r="D3907" s="46" t="str">
        <f>IF(Tabla1[[#This Row],[EDAD]]&lt;=35,"Adultos jóvenes 18 - 35 años",IF(C3907&gt;=36,"Adultos mayores 36 años en adelante"))</f>
        <v>Adultos mayores 36 años en adelante</v>
      </c>
      <c r="E3907" s="3" t="s">
        <v>5017</v>
      </c>
      <c r="F3907" s="3" t="s">
        <v>5027</v>
      </c>
      <c r="G3907" s="3" t="s">
        <v>5035</v>
      </c>
      <c r="H3907" s="3" t="s">
        <v>8394</v>
      </c>
      <c r="I3907" s="17">
        <v>45473</v>
      </c>
      <c r="J3907" s="18">
        <f>YEAR(Tabla1[[#This Row],[FECHA DE COMPRA]])</f>
        <v>2024</v>
      </c>
      <c r="K3907" s="19">
        <v>24.46</v>
      </c>
      <c r="L3907" s="20">
        <v>0</v>
      </c>
      <c r="M3907" s="19">
        <f>Tienda!$K1080-Tienda!$K1080*Tienda!$L1080</f>
        <v>52.542000000000002</v>
      </c>
      <c r="N3907" s="3" t="s">
        <v>10038</v>
      </c>
      <c r="O3907" s="3" t="s">
        <v>10041</v>
      </c>
      <c r="P3907" s="17">
        <v>45473</v>
      </c>
      <c r="Q3907" s="4">
        <v>0</v>
      </c>
    </row>
    <row r="3908" spans="1:17" ht="30" x14ac:dyDescent="0.25">
      <c r="A3908" s="2" t="s">
        <v>4908</v>
      </c>
      <c r="B3908" s="3" t="s">
        <v>5016</v>
      </c>
      <c r="C3908" s="3">
        <v>59</v>
      </c>
      <c r="D3908" s="46" t="str">
        <f>IF(Tabla1[[#This Row],[EDAD]]&lt;=35,"Adultos jóvenes 18 - 35 años",IF(C3908&gt;=36,"Adultos mayores 36 años en adelante"))</f>
        <v>Adultos mayores 36 años en adelante</v>
      </c>
      <c r="E3908" s="3" t="s">
        <v>5023</v>
      </c>
      <c r="F3908" s="3" t="s">
        <v>5024</v>
      </c>
      <c r="G3908" s="3" t="s">
        <v>5035</v>
      </c>
      <c r="H3908" s="3" t="s">
        <v>9931</v>
      </c>
      <c r="I3908" s="17">
        <v>45423</v>
      </c>
      <c r="J3908" s="18">
        <f>YEAR(Tabla1[[#This Row],[FECHA DE COMPRA]])</f>
        <v>2024</v>
      </c>
      <c r="K3908" s="19">
        <v>24.61</v>
      </c>
      <c r="L3908" s="20">
        <v>0</v>
      </c>
      <c r="M3908" s="19">
        <f>Tienda!$K1082-Tienda!$K1082*Tienda!$L1082</f>
        <v>48.397999999999996</v>
      </c>
      <c r="N3908" s="3" t="s">
        <v>10038</v>
      </c>
      <c r="O3908" s="3" t="s">
        <v>10041</v>
      </c>
      <c r="P3908" s="17">
        <v>45603</v>
      </c>
      <c r="Q3908" s="4">
        <v>0</v>
      </c>
    </row>
    <row r="3909" spans="1:17" ht="30" x14ac:dyDescent="0.25">
      <c r="A3909" s="2" t="s">
        <v>437</v>
      </c>
      <c r="B3909" s="3" t="s">
        <v>5015</v>
      </c>
      <c r="C3909" s="3">
        <v>62</v>
      </c>
      <c r="D3909" s="46" t="str">
        <f>IF(Tabla1[[#This Row],[EDAD]]&lt;=35,"Adultos jóvenes 18 - 35 años",IF(C3909&gt;=36,"Adultos mayores 36 años en adelante"))</f>
        <v>Adultos mayores 36 años en adelante</v>
      </c>
      <c r="E3909" s="3" t="s">
        <v>5019</v>
      </c>
      <c r="F3909" s="3" t="s">
        <v>5024</v>
      </c>
      <c r="G3909" s="3" t="s">
        <v>5034</v>
      </c>
      <c r="H3909" s="3" t="s">
        <v>5460</v>
      </c>
      <c r="I3909" s="17">
        <v>45543</v>
      </c>
      <c r="J3909" s="18">
        <f>YEAR(Tabla1[[#This Row],[FECHA DE COMPRA]])</f>
        <v>2024</v>
      </c>
      <c r="K3909" s="19">
        <v>24.88</v>
      </c>
      <c r="L3909" s="20">
        <v>0</v>
      </c>
      <c r="M3909" s="19">
        <f>Tienda!$K1085-Tienda!$K1085*Tienda!$L1085</f>
        <v>116.262</v>
      </c>
      <c r="N3909" s="3" t="s">
        <v>10038</v>
      </c>
      <c r="O3909" s="3" t="s">
        <v>10041</v>
      </c>
      <c r="P3909" s="17">
        <v>45543</v>
      </c>
      <c r="Q3909" s="4">
        <v>0</v>
      </c>
    </row>
    <row r="3910" spans="1:17" ht="30" x14ac:dyDescent="0.25">
      <c r="A3910" s="2" t="s">
        <v>5012</v>
      </c>
      <c r="B3910" s="3" t="s">
        <v>5015</v>
      </c>
      <c r="C3910" s="3">
        <v>60</v>
      </c>
      <c r="D3910" s="46" t="str">
        <f>IF(Tabla1[[#This Row],[EDAD]]&lt;=35,"Adultos jóvenes 18 - 35 años",IF(C3910&gt;=36,"Adultos mayores 36 años en adelante"))</f>
        <v>Adultos mayores 36 años en adelante</v>
      </c>
      <c r="E3910" s="3" t="s">
        <v>5019</v>
      </c>
      <c r="F3910" s="3" t="s">
        <v>5024</v>
      </c>
      <c r="G3910" s="3" t="s">
        <v>5031</v>
      </c>
      <c r="H3910" s="3" t="s">
        <v>10035</v>
      </c>
      <c r="I3910" s="17">
        <v>45592</v>
      </c>
      <c r="J3910" s="18">
        <f>YEAR(Tabla1[[#This Row],[FECHA DE COMPRA]])</f>
        <v>2024</v>
      </c>
      <c r="K3910" s="19">
        <v>36.4</v>
      </c>
      <c r="L3910" s="20">
        <v>0.3</v>
      </c>
      <c r="M3910" s="19">
        <f>Tienda!$K1091-Tienda!$K1091*Tienda!$L1091</f>
        <v>106.749</v>
      </c>
      <c r="N3910" s="3" t="s">
        <v>10038</v>
      </c>
      <c r="O3910" s="3" t="s">
        <v>10041</v>
      </c>
      <c r="P3910" s="17">
        <v>45592</v>
      </c>
      <c r="Q3910" s="4">
        <v>0</v>
      </c>
    </row>
    <row r="3911" spans="1:17" ht="30" x14ac:dyDescent="0.25">
      <c r="A3911" s="2" t="s">
        <v>4874</v>
      </c>
      <c r="B3911" s="3" t="s">
        <v>5015</v>
      </c>
      <c r="C3911" s="3">
        <v>42</v>
      </c>
      <c r="D3911" s="46" t="str">
        <f>IF(Tabla1[[#This Row],[EDAD]]&lt;=35,"Adultos jóvenes 18 - 35 años",IF(C3911&gt;=36,"Adultos mayores 36 años en adelante"))</f>
        <v>Adultos mayores 36 años en adelante</v>
      </c>
      <c r="E3911" s="3" t="s">
        <v>5020</v>
      </c>
      <c r="F3911" s="3" t="s">
        <v>5024</v>
      </c>
      <c r="G3911" s="3" t="s">
        <v>5035</v>
      </c>
      <c r="H3911" s="3" t="s">
        <v>9897</v>
      </c>
      <c r="I3911" s="17">
        <v>45558</v>
      </c>
      <c r="J3911" s="18">
        <f>YEAR(Tabla1[[#This Row],[FECHA DE COMPRA]])</f>
        <v>2024</v>
      </c>
      <c r="K3911" s="19">
        <v>28.43</v>
      </c>
      <c r="L3911" s="20">
        <v>0.1</v>
      </c>
      <c r="M3911" s="19">
        <f>Tienda!$K1092-Tienda!$K1092*Tienda!$L1092</f>
        <v>9.3420000000000005</v>
      </c>
      <c r="N3911" s="3" t="s">
        <v>10038</v>
      </c>
      <c r="O3911" s="3" t="s">
        <v>10041</v>
      </c>
      <c r="P3911" s="17">
        <v>45558</v>
      </c>
      <c r="Q3911" s="4">
        <v>0</v>
      </c>
    </row>
    <row r="3912" spans="1:17" ht="30" x14ac:dyDescent="0.25">
      <c r="A3912" s="2" t="s">
        <v>2686</v>
      </c>
      <c r="B3912" s="3" t="s">
        <v>5015</v>
      </c>
      <c r="C3912" s="3">
        <v>61</v>
      </c>
      <c r="D3912" s="46" t="str">
        <f>IF(Tabla1[[#This Row],[EDAD]]&lt;=35,"Adultos jóvenes 18 - 35 años",IF(C3912&gt;=36,"Adultos mayores 36 años en adelante"))</f>
        <v>Adultos mayores 36 años en adelante</v>
      </c>
      <c r="E3912" s="3" t="s">
        <v>5021</v>
      </c>
      <c r="F3912" s="3" t="s">
        <v>5025</v>
      </c>
      <c r="G3912" s="3" t="s">
        <v>5036</v>
      </c>
      <c r="H3912" s="3" t="s">
        <v>7709</v>
      </c>
      <c r="I3912" s="17">
        <v>45564</v>
      </c>
      <c r="J3912" s="18">
        <f>YEAR(Tabla1[[#This Row],[FECHA DE COMPRA]])</f>
        <v>2024</v>
      </c>
      <c r="K3912" s="19">
        <v>37.15</v>
      </c>
      <c r="L3912" s="20">
        <v>0.3</v>
      </c>
      <c r="M3912" s="19">
        <f>Tienda!$K1094-Tienda!$K1094*Tienda!$L1094</f>
        <v>49.543999999999997</v>
      </c>
      <c r="N3912" s="3" t="s">
        <v>10038</v>
      </c>
      <c r="O3912" s="3" t="s">
        <v>10041</v>
      </c>
      <c r="P3912" s="17">
        <v>45564</v>
      </c>
      <c r="Q3912" s="4">
        <v>0</v>
      </c>
    </row>
    <row r="3913" spans="1:17" ht="30" x14ac:dyDescent="0.25">
      <c r="A3913" s="2" t="s">
        <v>2377</v>
      </c>
      <c r="B3913" s="3" t="s">
        <v>5015</v>
      </c>
      <c r="C3913" s="3">
        <v>47</v>
      </c>
      <c r="D3913" s="46" t="str">
        <f>IF(Tabla1[[#This Row],[EDAD]]&lt;=35,"Adultos jóvenes 18 - 35 años",IF(C3913&gt;=36,"Adultos mayores 36 años en adelante"))</f>
        <v>Adultos mayores 36 años en adelante</v>
      </c>
      <c r="E3913" s="3" t="s">
        <v>5019</v>
      </c>
      <c r="F3913" s="3" t="s">
        <v>5029</v>
      </c>
      <c r="G3913" s="3" t="s">
        <v>5032</v>
      </c>
      <c r="H3913" s="3" t="s">
        <v>7400</v>
      </c>
      <c r="I3913" s="17">
        <v>45651</v>
      </c>
      <c r="J3913" s="18">
        <f>YEAR(Tabla1[[#This Row],[FECHA DE COMPRA]])</f>
        <v>2024</v>
      </c>
      <c r="K3913" s="19">
        <v>38.33</v>
      </c>
      <c r="L3913" s="20">
        <v>0.3</v>
      </c>
      <c r="M3913" s="19">
        <f>Tienda!$K1098-Tienda!$K1098*Tienda!$L1098</f>
        <v>69.37</v>
      </c>
      <c r="N3913" s="3" t="s">
        <v>10038</v>
      </c>
      <c r="O3913" s="3" t="s">
        <v>10041</v>
      </c>
      <c r="P3913" s="17">
        <v>45741</v>
      </c>
      <c r="Q3913" s="4">
        <v>0</v>
      </c>
    </row>
    <row r="3914" spans="1:17" ht="30" x14ac:dyDescent="0.25">
      <c r="A3914" s="2" t="s">
        <v>441</v>
      </c>
      <c r="B3914" s="3" t="s">
        <v>5015</v>
      </c>
      <c r="C3914" s="3">
        <v>48</v>
      </c>
      <c r="D3914" s="46" t="str">
        <f>IF(Tabla1[[#This Row],[EDAD]]&lt;=35,"Adultos jóvenes 18 - 35 años",IF(C3914&gt;=36,"Adultos mayores 36 años en adelante"))</f>
        <v>Adultos mayores 36 años en adelante</v>
      </c>
      <c r="E3914" s="3" t="s">
        <v>5020</v>
      </c>
      <c r="F3914" s="3" t="s">
        <v>5024</v>
      </c>
      <c r="G3914" s="3" t="s">
        <v>5037</v>
      </c>
      <c r="H3914" s="3" t="s">
        <v>5464</v>
      </c>
      <c r="I3914" s="17">
        <v>45383</v>
      </c>
      <c r="J3914" s="18">
        <f>YEAR(Tabla1[[#This Row],[FECHA DE COMPRA]])</f>
        <v>2024</v>
      </c>
      <c r="K3914" s="19">
        <v>39.07</v>
      </c>
      <c r="L3914" s="20">
        <v>0.3</v>
      </c>
      <c r="M3914" s="19">
        <f>Tienda!$K1104-Tienda!$K1104*Tienda!$L1104</f>
        <v>150.77699999999999</v>
      </c>
      <c r="N3914" s="3" t="s">
        <v>10038</v>
      </c>
      <c r="O3914" s="3" t="s">
        <v>10041</v>
      </c>
      <c r="P3914" s="17">
        <v>45383</v>
      </c>
      <c r="Q3914" s="4">
        <v>0</v>
      </c>
    </row>
    <row r="3915" spans="1:17" ht="30" x14ac:dyDescent="0.25">
      <c r="A3915" s="2" t="s">
        <v>1000</v>
      </c>
      <c r="B3915" s="3" t="s">
        <v>5016</v>
      </c>
      <c r="C3915" s="3">
        <v>47</v>
      </c>
      <c r="D3915" s="46" t="str">
        <f>IF(Tabla1[[#This Row],[EDAD]]&lt;=35,"Adultos jóvenes 18 - 35 años",IF(C3915&gt;=36,"Adultos mayores 36 años en adelante"))</f>
        <v>Adultos mayores 36 años en adelante</v>
      </c>
      <c r="E3915" s="3" t="s">
        <v>5017</v>
      </c>
      <c r="F3915" s="3" t="s">
        <v>5026</v>
      </c>
      <c r="G3915" s="3" t="s">
        <v>5034</v>
      </c>
      <c r="H3915" s="3" t="s">
        <v>6023</v>
      </c>
      <c r="I3915" s="17">
        <v>45380</v>
      </c>
      <c r="J3915" s="18">
        <f>YEAR(Tabla1[[#This Row],[FECHA DE COMPRA]])</f>
        <v>2024</v>
      </c>
      <c r="K3915" s="19">
        <v>39.08</v>
      </c>
      <c r="L3915" s="20">
        <v>0.3</v>
      </c>
      <c r="M3915" s="19">
        <f>Tienda!$K1105-Tienda!$K1105*Tienda!$L1105</f>
        <v>150.81299999999999</v>
      </c>
      <c r="N3915" s="3" t="s">
        <v>10038</v>
      </c>
      <c r="O3915" s="3" t="s">
        <v>10041</v>
      </c>
      <c r="P3915" s="17">
        <v>45380</v>
      </c>
      <c r="Q3915" s="4">
        <v>0</v>
      </c>
    </row>
    <row r="3916" spans="1:17" ht="30" x14ac:dyDescent="0.25">
      <c r="A3916" s="2" t="s">
        <v>1052</v>
      </c>
      <c r="B3916" s="3" t="s">
        <v>5016</v>
      </c>
      <c r="C3916" s="3">
        <v>44</v>
      </c>
      <c r="D3916" s="46" t="str">
        <f>IF(Tabla1[[#This Row],[EDAD]]&lt;=35,"Adultos jóvenes 18 - 35 años",IF(C3916&gt;=36,"Adultos mayores 36 años en adelante"))</f>
        <v>Adultos mayores 36 años en adelante</v>
      </c>
      <c r="E3916" s="3" t="s">
        <v>5023</v>
      </c>
      <c r="F3916" s="3" t="s">
        <v>5025</v>
      </c>
      <c r="G3916" s="3" t="s">
        <v>5037</v>
      </c>
      <c r="H3916" s="3" t="s">
        <v>6075</v>
      </c>
      <c r="I3916" s="17">
        <v>45371</v>
      </c>
      <c r="J3916" s="18">
        <f>YEAR(Tabla1[[#This Row],[FECHA DE COMPRA]])</f>
        <v>2024</v>
      </c>
      <c r="K3916" s="19">
        <v>34.39</v>
      </c>
      <c r="L3916" s="20">
        <v>0.2</v>
      </c>
      <c r="M3916" s="19">
        <f>Tienda!$K1108-Tienda!$K1108*Tienda!$L1108</f>
        <v>167.11199999999999</v>
      </c>
      <c r="N3916" s="3" t="s">
        <v>10038</v>
      </c>
      <c r="O3916" s="3" t="s">
        <v>10041</v>
      </c>
      <c r="P3916" s="17">
        <v>45461</v>
      </c>
      <c r="Q3916" s="4">
        <v>0</v>
      </c>
    </row>
    <row r="3917" spans="1:17" ht="30" x14ac:dyDescent="0.25">
      <c r="A3917" s="2" t="s">
        <v>2468</v>
      </c>
      <c r="B3917" s="3" t="s">
        <v>5015</v>
      </c>
      <c r="C3917" s="3">
        <v>59</v>
      </c>
      <c r="D3917" s="46" t="str">
        <f>IF(Tabla1[[#This Row],[EDAD]]&lt;=35,"Adultos jóvenes 18 - 35 años",IF(C3917&gt;=36,"Adultos mayores 36 años en adelante"))</f>
        <v>Adultos mayores 36 años en adelante</v>
      </c>
      <c r="E3917" s="3" t="s">
        <v>5020</v>
      </c>
      <c r="F3917" s="3" t="s">
        <v>5025</v>
      </c>
      <c r="G3917" s="3" t="s">
        <v>5031</v>
      </c>
      <c r="H3917" s="3" t="s">
        <v>7491</v>
      </c>
      <c r="I3917" s="17">
        <v>45583</v>
      </c>
      <c r="J3917" s="18">
        <f>YEAR(Tabla1[[#This Row],[FECHA DE COMPRA]])</f>
        <v>2024</v>
      </c>
      <c r="K3917" s="19">
        <v>30.73</v>
      </c>
      <c r="L3917" s="20">
        <v>0.1</v>
      </c>
      <c r="M3917" s="19">
        <f>Tienda!$K1109-Tienda!$K1109*Tienda!$L1109</f>
        <v>19.323</v>
      </c>
      <c r="N3917" s="3" t="s">
        <v>10038</v>
      </c>
      <c r="O3917" s="3" t="s">
        <v>10041</v>
      </c>
      <c r="P3917" s="17">
        <v>45853</v>
      </c>
      <c r="Q3917" s="4">
        <v>0</v>
      </c>
    </row>
    <row r="3918" spans="1:17" ht="30" x14ac:dyDescent="0.25">
      <c r="A3918" s="2" t="s">
        <v>3681</v>
      </c>
      <c r="B3918" s="3" t="s">
        <v>5016</v>
      </c>
      <c r="C3918" s="3">
        <v>58</v>
      </c>
      <c r="D3918" s="46" t="str">
        <f>IF(Tabla1[[#This Row],[EDAD]]&lt;=35,"Adultos jóvenes 18 - 35 años",IF(C3918&gt;=36,"Adultos mayores 36 años en adelante"))</f>
        <v>Adultos mayores 36 años en adelante</v>
      </c>
      <c r="E3918" s="3" t="s">
        <v>5019</v>
      </c>
      <c r="F3918" s="3" t="s">
        <v>5028</v>
      </c>
      <c r="G3918" s="3" t="s">
        <v>5033</v>
      </c>
      <c r="H3918" s="3" t="s">
        <v>8704</v>
      </c>
      <c r="I3918" s="17">
        <v>45436</v>
      </c>
      <c r="J3918" s="18">
        <f>YEAR(Tabla1[[#This Row],[FECHA DE COMPRA]])</f>
        <v>2024</v>
      </c>
      <c r="K3918" s="19">
        <v>34.99</v>
      </c>
      <c r="L3918" s="20">
        <v>0.2</v>
      </c>
      <c r="M3918" s="19">
        <f>Tienda!$K1113-Tienda!$K1113*Tienda!$L1113</f>
        <v>163.52099999999999</v>
      </c>
      <c r="N3918" s="3" t="s">
        <v>10038</v>
      </c>
      <c r="O3918" s="3" t="s">
        <v>10041</v>
      </c>
      <c r="P3918" s="17">
        <v>45796</v>
      </c>
      <c r="Q3918" s="4">
        <v>0</v>
      </c>
    </row>
    <row r="3919" spans="1:17" ht="30" x14ac:dyDescent="0.25">
      <c r="A3919" s="2" t="s">
        <v>2306</v>
      </c>
      <c r="B3919" s="3" t="s">
        <v>5016</v>
      </c>
      <c r="C3919" s="3">
        <v>44</v>
      </c>
      <c r="D3919" s="46" t="str">
        <f>IF(Tabla1[[#This Row],[EDAD]]&lt;=35,"Adultos jóvenes 18 - 35 años",IF(C3919&gt;=36,"Adultos mayores 36 años en adelante"))</f>
        <v>Adultos mayores 36 años en adelante</v>
      </c>
      <c r="E3919" s="3" t="s">
        <v>5021</v>
      </c>
      <c r="F3919" s="3" t="s">
        <v>5027</v>
      </c>
      <c r="G3919" s="3" t="s">
        <v>5036</v>
      </c>
      <c r="H3919" s="3" t="s">
        <v>7329</v>
      </c>
      <c r="I3919" s="17">
        <v>45624</v>
      </c>
      <c r="J3919" s="18">
        <f>YEAR(Tabla1[[#This Row],[FECHA DE COMPRA]])</f>
        <v>2024</v>
      </c>
      <c r="K3919" s="19">
        <v>40.020000000000003</v>
      </c>
      <c r="L3919" s="20">
        <v>0.3</v>
      </c>
      <c r="M3919" s="19">
        <f>Tienda!$K1114-Tienda!$K1114*Tienda!$L1114</f>
        <v>35.799999999999997</v>
      </c>
      <c r="N3919" s="3" t="s">
        <v>10038</v>
      </c>
      <c r="O3919" s="3" t="s">
        <v>10041</v>
      </c>
      <c r="P3919" s="17">
        <v>45575</v>
      </c>
      <c r="Q3919" s="4">
        <v>0</v>
      </c>
    </row>
    <row r="3920" spans="1:17" ht="30" x14ac:dyDescent="0.25">
      <c r="A3920" s="2" t="s">
        <v>2836</v>
      </c>
      <c r="B3920" s="3" t="s">
        <v>5016</v>
      </c>
      <c r="C3920" s="3">
        <v>58</v>
      </c>
      <c r="D3920" s="46" t="str">
        <f>IF(Tabla1[[#This Row],[EDAD]]&lt;=35,"Adultos jóvenes 18 - 35 años",IF(C3920&gt;=36,"Adultos mayores 36 años en adelante"))</f>
        <v>Adultos mayores 36 años en adelante</v>
      </c>
      <c r="E3920" s="3" t="s">
        <v>5021</v>
      </c>
      <c r="F3920" s="3" t="s">
        <v>5027</v>
      </c>
      <c r="G3920" s="3" t="s">
        <v>5036</v>
      </c>
      <c r="H3920" s="3" t="s">
        <v>7859</v>
      </c>
      <c r="I3920" s="17">
        <v>45555</v>
      </c>
      <c r="J3920" s="18">
        <f>YEAR(Tabla1[[#This Row],[FECHA DE COMPRA]])</f>
        <v>2024</v>
      </c>
      <c r="K3920" s="19">
        <v>40.61</v>
      </c>
      <c r="L3920" s="20">
        <v>0.3</v>
      </c>
      <c r="M3920" s="19">
        <f>Tienda!$K1117-Tienda!$K1117*Tienda!$L1117</f>
        <v>10.656000000000001</v>
      </c>
      <c r="N3920" s="3" t="s">
        <v>10038</v>
      </c>
      <c r="O3920" s="3" t="s">
        <v>10041</v>
      </c>
      <c r="P3920" s="17">
        <v>45555</v>
      </c>
      <c r="Q3920" s="4">
        <v>0</v>
      </c>
    </row>
    <row r="3921" spans="1:17" ht="30" x14ac:dyDescent="0.25">
      <c r="A3921" s="2" t="s">
        <v>2594</v>
      </c>
      <c r="B3921" s="3" t="s">
        <v>5016</v>
      </c>
      <c r="C3921" s="3">
        <v>59</v>
      </c>
      <c r="D3921" s="46" t="str">
        <f>IF(Tabla1[[#This Row],[EDAD]]&lt;=35,"Adultos jóvenes 18 - 35 años",IF(C3921&gt;=36,"Adultos mayores 36 años en adelante"))</f>
        <v>Adultos mayores 36 años en adelante</v>
      </c>
      <c r="E3921" s="3" t="s">
        <v>5023</v>
      </c>
      <c r="F3921" s="3" t="s">
        <v>5029</v>
      </c>
      <c r="G3921" s="3" t="s">
        <v>5032</v>
      </c>
      <c r="H3921" s="3" t="s">
        <v>7617</v>
      </c>
      <c r="I3921" s="17">
        <v>45432</v>
      </c>
      <c r="J3921" s="18">
        <f>YEAR(Tabla1[[#This Row],[FECHA DE COMPRA]])</f>
        <v>2024</v>
      </c>
      <c r="K3921" s="19">
        <v>31.74</v>
      </c>
      <c r="L3921" s="20">
        <v>0.1</v>
      </c>
      <c r="M3921" s="19">
        <f>Tienda!$K1119-Tienda!$K1119*Tienda!$L1119</f>
        <v>70.2</v>
      </c>
      <c r="N3921" s="3" t="s">
        <v>10038</v>
      </c>
      <c r="O3921" s="3" t="s">
        <v>10041</v>
      </c>
      <c r="P3921" s="17">
        <v>45702</v>
      </c>
      <c r="Q3921" s="4">
        <v>0</v>
      </c>
    </row>
    <row r="3922" spans="1:17" ht="30" x14ac:dyDescent="0.25">
      <c r="A3922" s="2" t="s">
        <v>1968</v>
      </c>
      <c r="B3922" s="3" t="s">
        <v>5015</v>
      </c>
      <c r="C3922" s="3">
        <v>50</v>
      </c>
      <c r="D3922" s="46" t="str">
        <f>IF(Tabla1[[#This Row],[EDAD]]&lt;=35,"Adultos jóvenes 18 - 35 años",IF(C3922&gt;=36,"Adultos mayores 36 años en adelante"))</f>
        <v>Adultos mayores 36 años en adelante</v>
      </c>
      <c r="E3922" s="3" t="s">
        <v>5020</v>
      </c>
      <c r="F3922" s="3" t="s">
        <v>5029</v>
      </c>
      <c r="G3922" s="3" t="s">
        <v>5031</v>
      </c>
      <c r="H3922" s="3" t="s">
        <v>6991</v>
      </c>
      <c r="I3922" s="17">
        <v>45420</v>
      </c>
      <c r="J3922" s="18">
        <f>YEAR(Tabla1[[#This Row],[FECHA DE COMPRA]])</f>
        <v>2024</v>
      </c>
      <c r="K3922" s="19">
        <v>40.869999999999997</v>
      </c>
      <c r="L3922" s="20">
        <v>0.3</v>
      </c>
      <c r="M3922" s="19">
        <f>Tienda!$K1121-Tienda!$K1121*Tienda!$L1121</f>
        <v>151.72999999999999</v>
      </c>
      <c r="N3922" s="3" t="s">
        <v>10038</v>
      </c>
      <c r="O3922" s="3" t="s">
        <v>10041</v>
      </c>
      <c r="P3922" s="17">
        <v>45690</v>
      </c>
      <c r="Q3922" s="4">
        <v>0</v>
      </c>
    </row>
    <row r="3923" spans="1:17" ht="30" x14ac:dyDescent="0.25">
      <c r="A3923" s="2" t="s">
        <v>3189</v>
      </c>
      <c r="B3923" s="3" t="s">
        <v>5016</v>
      </c>
      <c r="C3923" s="3">
        <v>39</v>
      </c>
      <c r="D3923" s="46" t="str">
        <f>IF(Tabla1[[#This Row],[EDAD]]&lt;=35,"Adultos jóvenes 18 - 35 años",IF(C3923&gt;=36,"Adultos mayores 36 años en adelante"))</f>
        <v>Adultos mayores 36 años en adelante</v>
      </c>
      <c r="E3923" s="3" t="s">
        <v>5021</v>
      </c>
      <c r="F3923" s="3" t="s">
        <v>5025</v>
      </c>
      <c r="G3923" s="3" t="s">
        <v>5031</v>
      </c>
      <c r="H3923" s="3" t="s">
        <v>8212</v>
      </c>
      <c r="I3923" s="17">
        <v>45335</v>
      </c>
      <c r="J3923" s="18">
        <f>YEAR(Tabla1[[#This Row],[FECHA DE COMPRA]])</f>
        <v>2024</v>
      </c>
      <c r="K3923" s="19">
        <v>40.880000000000003</v>
      </c>
      <c r="L3923" s="20">
        <v>0.3</v>
      </c>
      <c r="M3923" s="19">
        <f>Tienda!$K1122-Tienda!$K1122*Tienda!$L1122</f>
        <v>153.30600000000001</v>
      </c>
      <c r="N3923" s="3" t="s">
        <v>10038</v>
      </c>
      <c r="O3923" s="3" t="s">
        <v>10041</v>
      </c>
      <c r="P3923" s="17">
        <v>45457</v>
      </c>
      <c r="Q3923" s="4">
        <v>0</v>
      </c>
    </row>
    <row r="3924" spans="1:17" ht="30" x14ac:dyDescent="0.25">
      <c r="A3924" s="2" t="s">
        <v>3634</v>
      </c>
      <c r="B3924" s="3" t="s">
        <v>5015</v>
      </c>
      <c r="C3924" s="3">
        <v>65</v>
      </c>
      <c r="D3924" s="46" t="str">
        <f>IF(Tabla1[[#This Row],[EDAD]]&lt;=35,"Adultos jóvenes 18 - 35 años",IF(C3924&gt;=36,"Adultos mayores 36 años en adelante"))</f>
        <v>Adultos mayores 36 años en adelante</v>
      </c>
      <c r="E3924" s="3" t="s">
        <v>5023</v>
      </c>
      <c r="F3924" s="3" t="s">
        <v>5028</v>
      </c>
      <c r="G3924" s="3" t="s">
        <v>5033</v>
      </c>
      <c r="H3924" s="3" t="s">
        <v>8657</v>
      </c>
      <c r="I3924" s="17">
        <v>45578</v>
      </c>
      <c r="J3924" s="18">
        <f>YEAR(Tabla1[[#This Row],[FECHA DE COMPRA]])</f>
        <v>2024</v>
      </c>
      <c r="K3924" s="19">
        <v>36.04</v>
      </c>
      <c r="L3924" s="20">
        <v>0.2</v>
      </c>
      <c r="M3924" s="19">
        <f>Tienda!$K1125-Tienda!$K1125*Tienda!$L1125</f>
        <v>72.790000000000006</v>
      </c>
      <c r="N3924" s="3" t="s">
        <v>10038</v>
      </c>
      <c r="O3924" s="3" t="s">
        <v>10041</v>
      </c>
      <c r="P3924" s="17">
        <v>45578</v>
      </c>
      <c r="Q3924" s="4">
        <v>0</v>
      </c>
    </row>
    <row r="3925" spans="1:17" ht="30" x14ac:dyDescent="0.25">
      <c r="A3925" s="2" t="s">
        <v>3409</v>
      </c>
      <c r="B3925" s="3" t="s">
        <v>5015</v>
      </c>
      <c r="C3925" s="3">
        <v>37</v>
      </c>
      <c r="D3925" s="46" t="str">
        <f>IF(Tabla1[[#This Row],[EDAD]]&lt;=35,"Adultos jóvenes 18 - 35 años",IF(C3925&gt;=36,"Adultos mayores 36 años en adelante"))</f>
        <v>Adultos mayores 36 años en adelante</v>
      </c>
      <c r="E3925" s="3" t="s">
        <v>5023</v>
      </c>
      <c r="F3925" s="3" t="s">
        <v>5028</v>
      </c>
      <c r="G3925" s="3" t="s">
        <v>5034</v>
      </c>
      <c r="H3925" s="3" t="s">
        <v>8432</v>
      </c>
      <c r="I3925" s="17">
        <v>45572</v>
      </c>
      <c r="J3925" s="18">
        <f>YEAR(Tabla1[[#This Row],[FECHA DE COMPRA]])</f>
        <v>2024</v>
      </c>
      <c r="K3925" s="19">
        <v>37.82</v>
      </c>
      <c r="L3925" s="20">
        <v>0.2</v>
      </c>
      <c r="M3925" s="19">
        <f>Tienda!$K1135-Tienda!$K1135*Tienda!$L1135</f>
        <v>148.96</v>
      </c>
      <c r="N3925" s="3" t="s">
        <v>10038</v>
      </c>
      <c r="O3925" s="3" t="s">
        <v>10041</v>
      </c>
      <c r="P3925" s="17">
        <v>45662</v>
      </c>
      <c r="Q3925" s="4">
        <v>0</v>
      </c>
    </row>
    <row r="3926" spans="1:17" ht="30" x14ac:dyDescent="0.25">
      <c r="A3926" s="2" t="s">
        <v>3463</v>
      </c>
      <c r="B3926" s="3" t="s">
        <v>5015</v>
      </c>
      <c r="C3926" s="3">
        <v>55</v>
      </c>
      <c r="D3926" s="46" t="str">
        <f>IF(Tabla1[[#This Row],[EDAD]]&lt;=35,"Adultos jóvenes 18 - 35 años",IF(C3926&gt;=36,"Adultos mayores 36 años en adelante"))</f>
        <v>Adultos mayores 36 años en adelante</v>
      </c>
      <c r="E3926" s="3" t="s">
        <v>5017</v>
      </c>
      <c r="F3926" s="3" t="s">
        <v>5030</v>
      </c>
      <c r="G3926" s="3" t="s">
        <v>5035</v>
      </c>
      <c r="H3926" s="3" t="s">
        <v>8486</v>
      </c>
      <c r="I3926" s="17">
        <v>45655</v>
      </c>
      <c r="J3926" s="18">
        <f>YEAR(Tabla1[[#This Row],[FECHA DE COMPRA]])</f>
        <v>2024</v>
      </c>
      <c r="K3926" s="19">
        <v>37.83</v>
      </c>
      <c r="L3926" s="20">
        <v>0.2</v>
      </c>
      <c r="M3926" s="19">
        <f>Tienda!$K1136-Tienda!$K1136*Tienda!$L1136</f>
        <v>133.84</v>
      </c>
      <c r="N3926" s="3" t="s">
        <v>10038</v>
      </c>
      <c r="O3926" s="3" t="s">
        <v>10041</v>
      </c>
      <c r="P3926" s="17">
        <v>45655</v>
      </c>
      <c r="Q3926" s="4">
        <v>0</v>
      </c>
    </row>
    <row r="3927" spans="1:17" ht="30" x14ac:dyDescent="0.25">
      <c r="A3927" s="2" t="s">
        <v>2363</v>
      </c>
      <c r="B3927" s="3" t="s">
        <v>5016</v>
      </c>
      <c r="C3927" s="3">
        <v>60</v>
      </c>
      <c r="D3927" s="46" t="str">
        <f>IF(Tabla1[[#This Row],[EDAD]]&lt;=35,"Adultos jóvenes 18 - 35 años",IF(C3927&gt;=36,"Adultos mayores 36 años en adelante"))</f>
        <v>Adultos mayores 36 años en adelante</v>
      </c>
      <c r="E3927" s="3" t="s">
        <v>5023</v>
      </c>
      <c r="F3927" s="3" t="s">
        <v>5025</v>
      </c>
      <c r="G3927" s="3" t="s">
        <v>5031</v>
      </c>
      <c r="H3927" s="3" t="s">
        <v>7386</v>
      </c>
      <c r="I3927" s="17">
        <v>45461</v>
      </c>
      <c r="J3927" s="18">
        <f>YEAR(Tabla1[[#This Row],[FECHA DE COMPRA]])</f>
        <v>2024</v>
      </c>
      <c r="K3927" s="19">
        <v>30.45</v>
      </c>
      <c r="L3927" s="20">
        <v>0</v>
      </c>
      <c r="M3927" s="19">
        <f>Tienda!$K1138-Tienda!$K1138*Tienda!$L1138</f>
        <v>109.328</v>
      </c>
      <c r="N3927" s="3" t="s">
        <v>10038</v>
      </c>
      <c r="O3927" s="3" t="s">
        <v>10041</v>
      </c>
      <c r="P3927" s="17">
        <v>45461</v>
      </c>
      <c r="Q3927" s="4">
        <v>0</v>
      </c>
    </row>
    <row r="3928" spans="1:17" ht="30" x14ac:dyDescent="0.25">
      <c r="A3928" s="2" t="s">
        <v>161</v>
      </c>
      <c r="B3928" s="3" t="s">
        <v>5016</v>
      </c>
      <c r="C3928" s="3">
        <v>63</v>
      </c>
      <c r="D3928" s="46" t="str">
        <f>IF(Tabla1[[#This Row],[EDAD]]&lt;=35,"Adultos jóvenes 18 - 35 años",IF(C3928&gt;=36,"Adultos mayores 36 años en adelante"))</f>
        <v>Adultos mayores 36 años en adelante</v>
      </c>
      <c r="E3928" s="3" t="s">
        <v>5023</v>
      </c>
      <c r="F3928" s="3" t="s">
        <v>5024</v>
      </c>
      <c r="G3928" s="3" t="s">
        <v>5033</v>
      </c>
      <c r="H3928" s="3" t="s">
        <v>5184</v>
      </c>
      <c r="I3928" s="17">
        <v>45443</v>
      </c>
      <c r="J3928" s="18">
        <f>YEAR(Tabla1[[#This Row],[FECHA DE COMPRA]])</f>
        <v>2024</v>
      </c>
      <c r="K3928" s="19">
        <v>43.78</v>
      </c>
      <c r="L3928" s="20">
        <v>0.3</v>
      </c>
      <c r="M3928" s="19">
        <f>Tienda!$K1140-Tienda!$K1140*Tienda!$L1140</f>
        <v>87.84</v>
      </c>
      <c r="N3928" s="3" t="s">
        <v>10038</v>
      </c>
      <c r="O3928" s="3" t="s">
        <v>10041</v>
      </c>
      <c r="P3928" s="17">
        <v>45803</v>
      </c>
      <c r="Q3928" s="4">
        <v>0</v>
      </c>
    </row>
    <row r="3929" spans="1:17" ht="30" x14ac:dyDescent="0.25">
      <c r="A3929" s="2" t="s">
        <v>17</v>
      </c>
      <c r="B3929" s="3" t="s">
        <v>5015</v>
      </c>
      <c r="C3929" s="3">
        <v>50</v>
      </c>
      <c r="D3929" s="46" t="str">
        <f>IF(Tabla1[[#This Row],[EDAD]]&lt;=35,"Adultos jóvenes 18 - 35 años",IF(C3929&gt;=36,"Adultos mayores 36 años en adelante"))</f>
        <v>Adultos mayores 36 años en adelante</v>
      </c>
      <c r="E3929" s="3" t="s">
        <v>5019</v>
      </c>
      <c r="F3929" s="3" t="s">
        <v>5024</v>
      </c>
      <c r="G3929" s="3" t="s">
        <v>5033</v>
      </c>
      <c r="H3929" s="3" t="s">
        <v>5040</v>
      </c>
      <c r="I3929" s="17">
        <v>45358</v>
      </c>
      <c r="J3929" s="18">
        <f>YEAR(Tabla1[[#This Row],[FECHA DE COMPRA]])</f>
        <v>2024</v>
      </c>
      <c r="K3929" s="19">
        <v>34.4</v>
      </c>
      <c r="L3929" s="20">
        <v>0.1</v>
      </c>
      <c r="M3929" s="19">
        <f>Tienda!$K1143-Tienda!$K1143*Tienda!$L1143</f>
        <v>43.512</v>
      </c>
      <c r="N3929" s="3" t="s">
        <v>10038</v>
      </c>
      <c r="O3929" s="3" t="s">
        <v>10041</v>
      </c>
      <c r="P3929" s="17">
        <v>45358</v>
      </c>
      <c r="Q3929" s="4">
        <v>0</v>
      </c>
    </row>
    <row r="3930" spans="1:17" ht="30" x14ac:dyDescent="0.25">
      <c r="A3930" s="2" t="s">
        <v>209</v>
      </c>
      <c r="B3930" s="3" t="s">
        <v>5015</v>
      </c>
      <c r="C3930" s="3">
        <v>64</v>
      </c>
      <c r="D3930" s="46" t="str">
        <f>IF(Tabla1[[#This Row],[EDAD]]&lt;=35,"Adultos jóvenes 18 - 35 años",IF(C3930&gt;=36,"Adultos mayores 36 años en adelante"))</f>
        <v>Adultos mayores 36 años en adelante</v>
      </c>
      <c r="E3930" s="3" t="s">
        <v>5022</v>
      </c>
      <c r="F3930" s="3" t="s">
        <v>5025</v>
      </c>
      <c r="G3930" s="3" t="s">
        <v>5031</v>
      </c>
      <c r="H3930" s="3" t="s">
        <v>5232</v>
      </c>
      <c r="I3930" s="17">
        <v>45472</v>
      </c>
      <c r="J3930" s="18">
        <f>YEAR(Tabla1[[#This Row],[FECHA DE COMPRA]])</f>
        <v>2024</v>
      </c>
      <c r="K3930" s="19">
        <v>30.99</v>
      </c>
      <c r="L3930" s="20">
        <v>0</v>
      </c>
      <c r="M3930" s="19">
        <f>Tienda!$K1144-Tienda!$K1144*Tienda!$L1144</f>
        <v>62.894999999999996</v>
      </c>
      <c r="N3930" s="3" t="s">
        <v>10038</v>
      </c>
      <c r="O3930" s="3" t="s">
        <v>10041</v>
      </c>
      <c r="P3930" s="17">
        <v>45832</v>
      </c>
      <c r="Q3930" s="4">
        <v>0</v>
      </c>
    </row>
    <row r="3931" spans="1:17" ht="30" x14ac:dyDescent="0.25">
      <c r="A3931" s="2" t="s">
        <v>408</v>
      </c>
      <c r="B3931" s="3" t="s">
        <v>5015</v>
      </c>
      <c r="C3931" s="3">
        <v>60</v>
      </c>
      <c r="D3931" s="46" t="str">
        <f>IF(Tabla1[[#This Row],[EDAD]]&lt;=35,"Adultos jóvenes 18 - 35 años",IF(C3931&gt;=36,"Adultos mayores 36 años en adelante"))</f>
        <v>Adultos mayores 36 años en adelante</v>
      </c>
      <c r="E3931" s="3" t="s">
        <v>5018</v>
      </c>
      <c r="F3931" s="3" t="s">
        <v>5025</v>
      </c>
      <c r="G3931" s="3" t="s">
        <v>5033</v>
      </c>
      <c r="H3931" s="3" t="s">
        <v>5431</v>
      </c>
      <c r="I3931" s="17">
        <v>45531</v>
      </c>
      <c r="J3931" s="18">
        <f>YEAR(Tabla1[[#This Row],[FECHA DE COMPRA]])</f>
        <v>2024</v>
      </c>
      <c r="K3931" s="19">
        <v>39.369999999999997</v>
      </c>
      <c r="L3931" s="20">
        <v>0.2</v>
      </c>
      <c r="M3931" s="19">
        <f>Tienda!$K1148-Tienda!$K1148*Tienda!$L1148</f>
        <v>17.71</v>
      </c>
      <c r="N3931" s="3" t="s">
        <v>10038</v>
      </c>
      <c r="O3931" s="3" t="s">
        <v>10041</v>
      </c>
      <c r="P3931" s="17">
        <v>45531</v>
      </c>
      <c r="Q3931" s="4">
        <v>0</v>
      </c>
    </row>
    <row r="3932" spans="1:17" ht="30" x14ac:dyDescent="0.25">
      <c r="A3932" s="2" t="s">
        <v>3788</v>
      </c>
      <c r="B3932" s="3" t="s">
        <v>5015</v>
      </c>
      <c r="C3932" s="3">
        <v>61</v>
      </c>
      <c r="D3932" s="46" t="str">
        <f>IF(Tabla1[[#This Row],[EDAD]]&lt;=35,"Adultos jóvenes 18 - 35 años",IF(C3932&gt;=36,"Adultos mayores 36 años en adelante"))</f>
        <v>Adultos mayores 36 años en adelante</v>
      </c>
      <c r="E3932" s="3" t="s">
        <v>5020</v>
      </c>
      <c r="F3932" s="3" t="s">
        <v>5027</v>
      </c>
      <c r="G3932" s="3" t="s">
        <v>5031</v>
      </c>
      <c r="H3932" s="3" t="s">
        <v>8811</v>
      </c>
      <c r="I3932" s="17">
        <v>45518</v>
      </c>
      <c r="J3932" s="18">
        <f>YEAR(Tabla1[[#This Row],[FECHA DE COMPRA]])</f>
        <v>2024</v>
      </c>
      <c r="K3932" s="19">
        <v>31.76</v>
      </c>
      <c r="L3932" s="20">
        <v>0</v>
      </c>
      <c r="M3932" s="19">
        <f>Tienda!$K1151-Tienda!$K1151*Tienda!$L1151</f>
        <v>85.320000000000007</v>
      </c>
      <c r="N3932" s="3" t="s">
        <v>10038</v>
      </c>
      <c r="O3932" s="3" t="s">
        <v>10041</v>
      </c>
      <c r="P3932" s="17">
        <v>45698</v>
      </c>
      <c r="Q3932" s="4">
        <v>0</v>
      </c>
    </row>
    <row r="3933" spans="1:17" ht="30" x14ac:dyDescent="0.25">
      <c r="A3933" s="2" t="s">
        <v>1973</v>
      </c>
      <c r="B3933" s="3" t="s">
        <v>5015</v>
      </c>
      <c r="C3933" s="3">
        <v>43</v>
      </c>
      <c r="D3933" s="46" t="str">
        <f>IF(Tabla1[[#This Row],[EDAD]]&lt;=35,"Adultos jóvenes 18 - 35 años",IF(C3933&gt;=36,"Adultos mayores 36 años en adelante"))</f>
        <v>Adultos mayores 36 años en adelante</v>
      </c>
      <c r="E3933" s="3" t="s">
        <v>5018</v>
      </c>
      <c r="F3933" s="3" t="s">
        <v>5025</v>
      </c>
      <c r="G3933" s="3" t="s">
        <v>5032</v>
      </c>
      <c r="H3933" s="3" t="s">
        <v>6996</v>
      </c>
      <c r="I3933" s="17">
        <v>45543</v>
      </c>
      <c r="J3933" s="18">
        <f>YEAR(Tabla1[[#This Row],[FECHA DE COMPRA]])</f>
        <v>2024</v>
      </c>
      <c r="K3933" s="19">
        <v>31.98</v>
      </c>
      <c r="L3933" s="20">
        <v>0</v>
      </c>
      <c r="M3933" s="19">
        <f>Tienda!$K1152-Tienda!$K1152*Tienda!$L1152</f>
        <v>94.493000000000009</v>
      </c>
      <c r="N3933" s="3" t="s">
        <v>10038</v>
      </c>
      <c r="O3933" s="3" t="s">
        <v>10041</v>
      </c>
      <c r="P3933" s="17">
        <v>45543</v>
      </c>
      <c r="Q3933" s="4">
        <v>0</v>
      </c>
    </row>
    <row r="3934" spans="1:17" ht="30" x14ac:dyDescent="0.25">
      <c r="A3934" s="2" t="s">
        <v>2361</v>
      </c>
      <c r="B3934" s="3" t="s">
        <v>5015</v>
      </c>
      <c r="C3934" s="3">
        <v>55</v>
      </c>
      <c r="D3934" s="46" t="str">
        <f>IF(Tabla1[[#This Row],[EDAD]]&lt;=35,"Adultos jóvenes 18 - 35 años",IF(C3934&gt;=36,"Adultos mayores 36 años en adelante"))</f>
        <v>Adultos mayores 36 años en adelante</v>
      </c>
      <c r="E3934" s="3" t="s">
        <v>5022</v>
      </c>
      <c r="F3934" s="3" t="s">
        <v>5030</v>
      </c>
      <c r="G3934" s="3" t="s">
        <v>5037</v>
      </c>
      <c r="H3934" s="3" t="s">
        <v>7384</v>
      </c>
      <c r="I3934" s="17">
        <v>45618</v>
      </c>
      <c r="J3934" s="18">
        <f>YEAR(Tabla1[[#This Row],[FECHA DE COMPRA]])</f>
        <v>2024</v>
      </c>
      <c r="K3934" s="19">
        <v>40.43</v>
      </c>
      <c r="L3934" s="20">
        <v>0.2</v>
      </c>
      <c r="M3934" s="19">
        <f>Tienda!$K1155-Tienda!$K1155*Tienda!$L1155</f>
        <v>40.031999999999996</v>
      </c>
      <c r="N3934" s="3" t="s">
        <v>10038</v>
      </c>
      <c r="O3934" s="3" t="s">
        <v>10041</v>
      </c>
      <c r="P3934" s="17">
        <v>45978</v>
      </c>
      <c r="Q3934" s="4">
        <v>0</v>
      </c>
    </row>
    <row r="3935" spans="1:17" ht="30" x14ac:dyDescent="0.25">
      <c r="A3935" s="2" t="s">
        <v>3231</v>
      </c>
      <c r="B3935" s="3" t="s">
        <v>5015</v>
      </c>
      <c r="C3935" s="3">
        <v>59</v>
      </c>
      <c r="D3935" s="46" t="str">
        <f>IF(Tabla1[[#This Row],[EDAD]]&lt;=35,"Adultos jóvenes 18 - 35 años",IF(C3935&gt;=36,"Adultos mayores 36 años en adelante"))</f>
        <v>Adultos mayores 36 años en adelante</v>
      </c>
      <c r="E3935" s="3" t="s">
        <v>5023</v>
      </c>
      <c r="F3935" s="3" t="s">
        <v>5025</v>
      </c>
      <c r="G3935" s="3" t="s">
        <v>5032</v>
      </c>
      <c r="H3935" s="3" t="s">
        <v>8254</v>
      </c>
      <c r="I3935" s="17">
        <v>45560</v>
      </c>
      <c r="J3935" s="18">
        <f>YEAR(Tabla1[[#This Row],[FECHA DE COMPRA]])</f>
        <v>2024</v>
      </c>
      <c r="K3935" s="19">
        <v>46.45</v>
      </c>
      <c r="L3935" s="20">
        <v>0.3</v>
      </c>
      <c r="M3935" s="19">
        <f>Tienda!$K1156-Tienda!$K1156*Tienda!$L1156</f>
        <v>48.11</v>
      </c>
      <c r="N3935" s="3" t="s">
        <v>10038</v>
      </c>
      <c r="O3935" s="3" t="s">
        <v>10041</v>
      </c>
      <c r="P3935" s="17">
        <v>45650</v>
      </c>
      <c r="Q3935" s="4">
        <v>0</v>
      </c>
    </row>
    <row r="3936" spans="1:17" ht="30" x14ac:dyDescent="0.25">
      <c r="A3936" s="2" t="s">
        <v>3260</v>
      </c>
      <c r="B3936" s="3" t="s">
        <v>5015</v>
      </c>
      <c r="C3936" s="3">
        <v>65</v>
      </c>
      <c r="D3936" s="46" t="str">
        <f>IF(Tabla1[[#This Row],[EDAD]]&lt;=35,"Adultos jóvenes 18 - 35 años",IF(C3936&gt;=36,"Adultos mayores 36 años en adelante"))</f>
        <v>Adultos mayores 36 años en adelante</v>
      </c>
      <c r="E3936" s="3" t="s">
        <v>5017</v>
      </c>
      <c r="F3936" s="3" t="s">
        <v>5030</v>
      </c>
      <c r="G3936" s="3" t="s">
        <v>5036</v>
      </c>
      <c r="H3936" s="3" t="s">
        <v>8283</v>
      </c>
      <c r="I3936" s="17">
        <v>45542</v>
      </c>
      <c r="J3936" s="18">
        <f>YEAR(Tabla1[[#This Row],[FECHA DE COMPRA]])</f>
        <v>2024</v>
      </c>
      <c r="K3936" s="19">
        <v>40.92</v>
      </c>
      <c r="L3936" s="20">
        <v>0.2</v>
      </c>
      <c r="M3936" s="19">
        <f>Tienda!$K1158-Tienda!$K1158*Tienda!$L1158</f>
        <v>74.888000000000005</v>
      </c>
      <c r="N3936" s="3" t="s">
        <v>10038</v>
      </c>
      <c r="O3936" s="3" t="s">
        <v>10041</v>
      </c>
      <c r="P3936" s="17">
        <v>45542</v>
      </c>
      <c r="Q3936" s="4">
        <v>0</v>
      </c>
    </row>
    <row r="3937" spans="1:17" ht="30" x14ac:dyDescent="0.25">
      <c r="A3937" s="2" t="s">
        <v>1439</v>
      </c>
      <c r="B3937" s="3" t="s">
        <v>5015</v>
      </c>
      <c r="C3937" s="3">
        <v>62</v>
      </c>
      <c r="D3937" s="46" t="str">
        <f>IF(Tabla1[[#This Row],[EDAD]]&lt;=35,"Adultos jóvenes 18 - 35 años",IF(C3937&gt;=36,"Adultos mayores 36 años en adelante"))</f>
        <v>Adultos mayores 36 años en adelante</v>
      </c>
      <c r="E3937" s="3" t="s">
        <v>5022</v>
      </c>
      <c r="F3937" s="3" t="s">
        <v>5027</v>
      </c>
      <c r="G3937" s="3" t="s">
        <v>5036</v>
      </c>
      <c r="H3937" s="3" t="s">
        <v>6462</v>
      </c>
      <c r="I3937" s="17">
        <v>45603</v>
      </c>
      <c r="J3937" s="18">
        <f>YEAR(Tabla1[[#This Row],[FECHA DE COMPRA]])</f>
        <v>2024</v>
      </c>
      <c r="K3937" s="19">
        <v>41.06</v>
      </c>
      <c r="L3937" s="20">
        <v>0.2</v>
      </c>
      <c r="M3937" s="19">
        <f>Tienda!$K1160-Tienda!$K1160*Tienda!$L1160</f>
        <v>39.624000000000002</v>
      </c>
      <c r="N3937" s="3" t="s">
        <v>10038</v>
      </c>
      <c r="O3937" s="3" t="s">
        <v>10041</v>
      </c>
      <c r="P3937" s="17">
        <v>45693</v>
      </c>
      <c r="Q3937" s="4">
        <v>0</v>
      </c>
    </row>
    <row r="3938" spans="1:17" ht="30" x14ac:dyDescent="0.25">
      <c r="A3938" s="2" t="s">
        <v>2120</v>
      </c>
      <c r="B3938" s="3" t="s">
        <v>5015</v>
      </c>
      <c r="C3938" s="3">
        <v>38</v>
      </c>
      <c r="D3938" s="46" t="str">
        <f>IF(Tabla1[[#This Row],[EDAD]]&lt;=35,"Adultos jóvenes 18 - 35 años",IF(C3938&gt;=36,"Adultos mayores 36 años en adelante"))</f>
        <v>Adultos mayores 36 años en adelante</v>
      </c>
      <c r="E3938" s="3" t="s">
        <v>5017</v>
      </c>
      <c r="F3938" s="3" t="s">
        <v>5024</v>
      </c>
      <c r="G3938" s="3" t="s">
        <v>5035</v>
      </c>
      <c r="H3938" s="3" t="s">
        <v>7143</v>
      </c>
      <c r="I3938" s="17">
        <v>45333</v>
      </c>
      <c r="J3938" s="18">
        <f>YEAR(Tabla1[[#This Row],[FECHA DE COMPRA]])</f>
        <v>2024</v>
      </c>
      <c r="K3938" s="19">
        <v>36.6</v>
      </c>
      <c r="L3938" s="20">
        <v>0.1</v>
      </c>
      <c r="M3938" s="19">
        <f>Tienda!$K1162-Tienda!$K1162*Tienda!$L1162</f>
        <v>61.887999999999998</v>
      </c>
      <c r="N3938" s="3" t="s">
        <v>10038</v>
      </c>
      <c r="O3938" s="3" t="s">
        <v>10041</v>
      </c>
      <c r="P3938" s="17">
        <v>45423</v>
      </c>
      <c r="Q3938" s="4">
        <v>0</v>
      </c>
    </row>
    <row r="3939" spans="1:17" ht="30" x14ac:dyDescent="0.25">
      <c r="A3939" s="2" t="s">
        <v>2523</v>
      </c>
      <c r="B3939" s="3" t="s">
        <v>5015</v>
      </c>
      <c r="C3939" s="3">
        <v>60</v>
      </c>
      <c r="D3939" s="46" t="str">
        <f>IF(Tabla1[[#This Row],[EDAD]]&lt;=35,"Adultos jóvenes 18 - 35 años",IF(C3939&gt;=36,"Adultos mayores 36 años en adelante"))</f>
        <v>Adultos mayores 36 años en adelante</v>
      </c>
      <c r="E3939" s="3" t="s">
        <v>5018</v>
      </c>
      <c r="F3939" s="3" t="s">
        <v>5025</v>
      </c>
      <c r="G3939" s="3" t="s">
        <v>5036</v>
      </c>
      <c r="H3939" s="3" t="s">
        <v>7546</v>
      </c>
      <c r="I3939" s="17">
        <v>45494</v>
      </c>
      <c r="J3939" s="18">
        <f>YEAR(Tabla1[[#This Row],[FECHA DE COMPRA]])</f>
        <v>2024</v>
      </c>
      <c r="K3939" s="19">
        <v>47.32</v>
      </c>
      <c r="L3939" s="20">
        <v>0.3</v>
      </c>
      <c r="M3939" s="19">
        <f>Tienda!$K1164-Tienda!$K1164*Tienda!$L1164</f>
        <v>25.360999999999997</v>
      </c>
      <c r="N3939" s="3" t="s">
        <v>10038</v>
      </c>
      <c r="O3939" s="3" t="s">
        <v>10041</v>
      </c>
      <c r="P3939" s="17">
        <v>45494</v>
      </c>
      <c r="Q3939" s="4">
        <v>0</v>
      </c>
    </row>
    <row r="3940" spans="1:17" ht="30" x14ac:dyDescent="0.25">
      <c r="A3940" s="2" t="s">
        <v>521</v>
      </c>
      <c r="B3940" s="3" t="s">
        <v>5016</v>
      </c>
      <c r="C3940" s="3">
        <v>42</v>
      </c>
      <c r="D3940" s="46" t="str">
        <f>IF(Tabla1[[#This Row],[EDAD]]&lt;=35,"Adultos jóvenes 18 - 35 años",IF(C3940&gt;=36,"Adultos mayores 36 años en adelante"))</f>
        <v>Adultos mayores 36 años en adelante</v>
      </c>
      <c r="E3940" s="3" t="s">
        <v>5019</v>
      </c>
      <c r="F3940" s="3" t="s">
        <v>5028</v>
      </c>
      <c r="G3940" s="3" t="s">
        <v>5033</v>
      </c>
      <c r="H3940" s="3" t="s">
        <v>5544</v>
      </c>
      <c r="I3940" s="17">
        <v>45636</v>
      </c>
      <c r="J3940" s="18">
        <f>YEAR(Tabla1[[#This Row],[FECHA DE COMPRA]])</f>
        <v>2024</v>
      </c>
      <c r="K3940" s="19">
        <v>37.29</v>
      </c>
      <c r="L3940" s="20">
        <v>0.1</v>
      </c>
      <c r="M3940" s="19">
        <f>Tienda!$K1169-Tienda!$K1169*Tienda!$L1169</f>
        <v>93.45</v>
      </c>
      <c r="N3940" s="3" t="s">
        <v>10038</v>
      </c>
      <c r="O3940" s="3" t="s">
        <v>10041</v>
      </c>
      <c r="P3940" s="17">
        <v>45906</v>
      </c>
      <c r="Q3940" s="4">
        <v>0</v>
      </c>
    </row>
    <row r="3941" spans="1:17" ht="30" x14ac:dyDescent="0.25">
      <c r="A3941" s="2" t="s">
        <v>4898</v>
      </c>
      <c r="B3941" s="3" t="s">
        <v>5015</v>
      </c>
      <c r="C3941" s="3">
        <v>41</v>
      </c>
      <c r="D3941" s="46" t="str">
        <f>IF(Tabla1[[#This Row],[EDAD]]&lt;=35,"Adultos jóvenes 18 - 35 años",IF(C3941&gt;=36,"Adultos mayores 36 años en adelante"))</f>
        <v>Adultos mayores 36 años en adelante</v>
      </c>
      <c r="E3941" s="3" t="s">
        <v>5018</v>
      </c>
      <c r="F3941" s="3" t="s">
        <v>5026</v>
      </c>
      <c r="G3941" s="3" t="s">
        <v>5032</v>
      </c>
      <c r="H3941" s="3" t="s">
        <v>9921</v>
      </c>
      <c r="I3941" s="17">
        <v>45618</v>
      </c>
      <c r="J3941" s="18">
        <f>YEAR(Tabla1[[#This Row],[FECHA DE COMPRA]])</f>
        <v>2024</v>
      </c>
      <c r="K3941" s="19">
        <v>42.18</v>
      </c>
      <c r="L3941" s="20">
        <v>0.2</v>
      </c>
      <c r="M3941" s="19">
        <f>Tienda!$K1171-Tienda!$K1171*Tienda!$L1171</f>
        <v>105.462</v>
      </c>
      <c r="N3941" s="3" t="s">
        <v>10038</v>
      </c>
      <c r="O3941" s="3" t="s">
        <v>10041</v>
      </c>
      <c r="P3941" s="17">
        <v>45618</v>
      </c>
      <c r="Q3941" s="4">
        <v>0</v>
      </c>
    </row>
    <row r="3942" spans="1:17" ht="30" x14ac:dyDescent="0.25">
      <c r="A3942" s="2" t="s">
        <v>3787</v>
      </c>
      <c r="B3942" s="3" t="s">
        <v>5015</v>
      </c>
      <c r="C3942" s="3">
        <v>37</v>
      </c>
      <c r="D3942" s="46" t="str">
        <f>IF(Tabla1[[#This Row],[EDAD]]&lt;=35,"Adultos jóvenes 18 - 35 años",IF(C3942&gt;=36,"Adultos mayores 36 años en adelante"))</f>
        <v>Adultos mayores 36 años en adelante</v>
      </c>
      <c r="E3942" s="3" t="s">
        <v>5020</v>
      </c>
      <c r="F3942" s="3" t="s">
        <v>5028</v>
      </c>
      <c r="G3942" s="3" t="s">
        <v>5037</v>
      </c>
      <c r="H3942" s="3" t="s">
        <v>8810</v>
      </c>
      <c r="I3942" s="17">
        <v>45649</v>
      </c>
      <c r="J3942" s="18">
        <f>YEAR(Tabla1[[#This Row],[FECHA DE COMPRA]])</f>
        <v>2024</v>
      </c>
      <c r="K3942" s="19">
        <v>48.4</v>
      </c>
      <c r="L3942" s="20">
        <v>0.3</v>
      </c>
      <c r="M3942" s="19">
        <f>Tienda!$K1174-Tienda!$K1174*Tienda!$L1174</f>
        <v>136.19999999999999</v>
      </c>
      <c r="N3942" s="3" t="s">
        <v>10038</v>
      </c>
      <c r="O3942" s="3" t="s">
        <v>10041</v>
      </c>
      <c r="P3942" s="17">
        <v>45649</v>
      </c>
      <c r="Q3942" s="4">
        <v>0</v>
      </c>
    </row>
    <row r="3943" spans="1:17" ht="30" x14ac:dyDescent="0.25">
      <c r="A3943" s="2" t="s">
        <v>4883</v>
      </c>
      <c r="B3943" s="3" t="s">
        <v>5015</v>
      </c>
      <c r="C3943" s="3">
        <v>42</v>
      </c>
      <c r="D3943" s="46" t="str">
        <f>IF(Tabla1[[#This Row],[EDAD]]&lt;=35,"Adultos jóvenes 18 - 35 años",IF(C3943&gt;=36,"Adultos mayores 36 años en adelante"))</f>
        <v>Adultos mayores 36 años en adelante</v>
      </c>
      <c r="E3943" s="3" t="s">
        <v>5021</v>
      </c>
      <c r="F3943" s="3" t="s">
        <v>5026</v>
      </c>
      <c r="G3943" s="3" t="s">
        <v>5033</v>
      </c>
      <c r="H3943" s="3" t="s">
        <v>9906</v>
      </c>
      <c r="I3943" s="17">
        <v>45505</v>
      </c>
      <c r="J3943" s="18">
        <f>YEAR(Tabla1[[#This Row],[FECHA DE COMPRA]])</f>
        <v>2024</v>
      </c>
      <c r="K3943" s="19">
        <v>48.89</v>
      </c>
      <c r="L3943" s="20">
        <v>0.3</v>
      </c>
      <c r="M3943" s="19">
        <f>Tienda!$K1179-Tienda!$K1179*Tienda!$L1179</f>
        <v>111.59399999999999</v>
      </c>
      <c r="N3943" s="3" t="s">
        <v>10038</v>
      </c>
      <c r="O3943" s="3" t="s">
        <v>10041</v>
      </c>
      <c r="P3943" s="17">
        <v>45505</v>
      </c>
      <c r="Q3943" s="4">
        <v>0</v>
      </c>
    </row>
    <row r="3944" spans="1:17" ht="30" x14ac:dyDescent="0.25">
      <c r="A3944" s="2" t="s">
        <v>870</v>
      </c>
      <c r="B3944" s="3" t="s">
        <v>5015</v>
      </c>
      <c r="C3944" s="3">
        <v>51</v>
      </c>
      <c r="D3944" s="46" t="str">
        <f>IF(Tabla1[[#This Row],[EDAD]]&lt;=35,"Adultos jóvenes 18 - 35 años",IF(C3944&gt;=36,"Adultos mayores 36 años en adelante"))</f>
        <v>Adultos mayores 36 años en adelante</v>
      </c>
      <c r="E3944" s="3" t="s">
        <v>5020</v>
      </c>
      <c r="F3944" s="3" t="s">
        <v>5025</v>
      </c>
      <c r="G3944" s="3" t="s">
        <v>5034</v>
      </c>
      <c r="H3944" s="3" t="s">
        <v>5893</v>
      </c>
      <c r="I3944" s="17">
        <v>45618</v>
      </c>
      <c r="J3944" s="18">
        <f>YEAR(Tabla1[[#This Row],[FECHA DE COMPRA]])</f>
        <v>2024</v>
      </c>
      <c r="K3944" s="19">
        <v>49.98</v>
      </c>
      <c r="L3944" s="20">
        <v>0.3</v>
      </c>
      <c r="M3944" s="19">
        <f>Tienda!$K1185-Tienda!$K1185*Tienda!$L1185</f>
        <v>184.4</v>
      </c>
      <c r="N3944" s="3" t="s">
        <v>10038</v>
      </c>
      <c r="O3944" s="3" t="s">
        <v>10041</v>
      </c>
      <c r="P3944" s="17">
        <v>45471</v>
      </c>
      <c r="Q3944" s="4">
        <v>0</v>
      </c>
    </row>
    <row r="3945" spans="1:17" ht="30" x14ac:dyDescent="0.25">
      <c r="A3945" s="2" t="s">
        <v>478</v>
      </c>
      <c r="B3945" s="3" t="s">
        <v>5015</v>
      </c>
      <c r="C3945" s="3">
        <v>63</v>
      </c>
      <c r="D3945" s="46" t="str">
        <f>IF(Tabla1[[#This Row],[EDAD]]&lt;=35,"Adultos jóvenes 18 - 35 años",IF(C3945&gt;=36,"Adultos mayores 36 años en adelante"))</f>
        <v>Adultos mayores 36 años en adelante</v>
      </c>
      <c r="E3945" s="3" t="s">
        <v>5022</v>
      </c>
      <c r="F3945" s="3" t="s">
        <v>5026</v>
      </c>
      <c r="G3945" s="3" t="s">
        <v>5037</v>
      </c>
      <c r="H3945" s="3" t="s">
        <v>5501</v>
      </c>
      <c r="I3945" s="17">
        <v>45624</v>
      </c>
      <c r="J3945" s="18">
        <f>YEAR(Tabla1[[#This Row],[FECHA DE COMPRA]])</f>
        <v>2024</v>
      </c>
      <c r="K3945" s="19">
        <v>34.99</v>
      </c>
      <c r="L3945" s="20">
        <v>0</v>
      </c>
      <c r="M3945" s="19">
        <f>Tienda!$K1186-Tienda!$K1186*Tienda!$L1186</f>
        <v>54.957000000000008</v>
      </c>
      <c r="N3945" s="3" t="s">
        <v>10038</v>
      </c>
      <c r="O3945" s="3" t="s">
        <v>10041</v>
      </c>
      <c r="P3945" s="17">
        <v>45853</v>
      </c>
      <c r="Q3945" s="4">
        <v>0</v>
      </c>
    </row>
    <row r="3946" spans="1:17" ht="30" x14ac:dyDescent="0.25">
      <c r="A3946" s="2" t="s">
        <v>4831</v>
      </c>
      <c r="B3946" s="3" t="s">
        <v>5016</v>
      </c>
      <c r="C3946" s="3">
        <v>46</v>
      </c>
      <c r="D3946" s="46" t="str">
        <f>IF(Tabla1[[#This Row],[EDAD]]&lt;=35,"Adultos jóvenes 18 - 35 años",IF(C3946&gt;=36,"Adultos mayores 36 años en adelante"))</f>
        <v>Adultos mayores 36 años en adelante</v>
      </c>
      <c r="E3946" s="3" t="s">
        <v>5023</v>
      </c>
      <c r="F3946" s="3" t="s">
        <v>5025</v>
      </c>
      <c r="G3946" s="3" t="s">
        <v>5032</v>
      </c>
      <c r="H3946" s="3" t="s">
        <v>9854</v>
      </c>
      <c r="I3946" s="17">
        <v>45434</v>
      </c>
      <c r="J3946" s="18">
        <f>YEAR(Tabla1[[#This Row],[FECHA DE COMPRA]])</f>
        <v>2024</v>
      </c>
      <c r="K3946" s="19">
        <v>43.94</v>
      </c>
      <c r="L3946" s="20">
        <v>0.2</v>
      </c>
      <c r="M3946" s="19">
        <f>Tienda!$K1188-Tienda!$K1188*Tienda!$L1188</f>
        <v>102.51499999999999</v>
      </c>
      <c r="N3946" s="3" t="s">
        <v>10038</v>
      </c>
      <c r="O3946" s="3" t="s">
        <v>10041</v>
      </c>
      <c r="P3946" s="17">
        <v>45524</v>
      </c>
      <c r="Q3946" s="4">
        <v>0</v>
      </c>
    </row>
    <row r="3947" spans="1:17" ht="30" x14ac:dyDescent="0.25">
      <c r="A3947" s="2" t="s">
        <v>1728</v>
      </c>
      <c r="B3947" s="3" t="s">
        <v>5015</v>
      </c>
      <c r="C3947" s="3">
        <v>39</v>
      </c>
      <c r="D3947" s="46" t="str">
        <f>IF(Tabla1[[#This Row],[EDAD]]&lt;=35,"Adultos jóvenes 18 - 35 años",IF(C3947&gt;=36,"Adultos mayores 36 años en adelante"))</f>
        <v>Adultos mayores 36 años en adelante</v>
      </c>
      <c r="E3947" s="3" t="s">
        <v>5020</v>
      </c>
      <c r="F3947" s="3" t="s">
        <v>5024</v>
      </c>
      <c r="G3947" s="3" t="s">
        <v>5035</v>
      </c>
      <c r="H3947" s="3" t="s">
        <v>6751</v>
      </c>
      <c r="I3947" s="17">
        <v>45327</v>
      </c>
      <c r="J3947" s="18">
        <f>YEAR(Tabla1[[#This Row],[FECHA DE COMPRA]])</f>
        <v>2024</v>
      </c>
      <c r="K3947" s="19">
        <v>50.55</v>
      </c>
      <c r="L3947" s="20">
        <v>0.3</v>
      </c>
      <c r="M3947" s="19">
        <f>Tienda!$K1190-Tienda!$K1190*Tienda!$L1190</f>
        <v>17.32</v>
      </c>
      <c r="N3947" s="3" t="s">
        <v>10038</v>
      </c>
      <c r="O3947" s="3" t="s">
        <v>10041</v>
      </c>
      <c r="P3947" s="17">
        <v>45327</v>
      </c>
      <c r="Q3947" s="4">
        <v>0</v>
      </c>
    </row>
    <row r="3948" spans="1:17" ht="30" x14ac:dyDescent="0.25">
      <c r="A3948" s="2" t="s">
        <v>1738</v>
      </c>
      <c r="B3948" s="3" t="s">
        <v>5015</v>
      </c>
      <c r="C3948" s="3">
        <v>57</v>
      </c>
      <c r="D3948" s="46" t="str">
        <f>IF(Tabla1[[#This Row],[EDAD]]&lt;=35,"Adultos jóvenes 18 - 35 años",IF(C3948&gt;=36,"Adultos mayores 36 años en adelante"))</f>
        <v>Adultos mayores 36 años en adelante</v>
      </c>
      <c r="E3948" s="3" t="s">
        <v>5022</v>
      </c>
      <c r="F3948" s="3" t="s">
        <v>5028</v>
      </c>
      <c r="G3948" s="3" t="s">
        <v>5034</v>
      </c>
      <c r="H3948" s="3" t="s">
        <v>6761</v>
      </c>
      <c r="I3948" s="17">
        <v>45377</v>
      </c>
      <c r="J3948" s="18">
        <f>YEAR(Tabla1[[#This Row],[FECHA DE COMPRA]])</f>
        <v>2024</v>
      </c>
      <c r="K3948" s="19">
        <v>35.53</v>
      </c>
      <c r="L3948" s="20">
        <v>0</v>
      </c>
      <c r="M3948" s="19">
        <f>Tienda!$K1193-Tienda!$K1193*Tienda!$L1193</f>
        <v>119.88</v>
      </c>
      <c r="N3948" s="3" t="s">
        <v>10038</v>
      </c>
      <c r="O3948" s="3" t="s">
        <v>10041</v>
      </c>
      <c r="P3948" s="17">
        <v>45377</v>
      </c>
      <c r="Q3948" s="4">
        <v>0</v>
      </c>
    </row>
    <row r="3949" spans="1:17" ht="30" x14ac:dyDescent="0.25">
      <c r="A3949" s="2" t="s">
        <v>2181</v>
      </c>
      <c r="B3949" s="3" t="s">
        <v>5015</v>
      </c>
      <c r="C3949" s="3">
        <v>46</v>
      </c>
      <c r="D3949" s="46" t="str">
        <f>IF(Tabla1[[#This Row],[EDAD]]&lt;=35,"Adultos jóvenes 18 - 35 años",IF(C3949&gt;=36,"Adultos mayores 36 años en adelante"))</f>
        <v>Adultos mayores 36 años en adelante</v>
      </c>
      <c r="E3949" s="3" t="s">
        <v>5020</v>
      </c>
      <c r="F3949" s="3" t="s">
        <v>5027</v>
      </c>
      <c r="G3949" s="3" t="s">
        <v>5033</v>
      </c>
      <c r="H3949" s="3" t="s">
        <v>7204</v>
      </c>
      <c r="I3949" s="17">
        <v>45634</v>
      </c>
      <c r="J3949" s="18">
        <f>YEAR(Tabla1[[#This Row],[FECHA DE COMPRA]])</f>
        <v>2024</v>
      </c>
      <c r="K3949" s="19">
        <v>40.51</v>
      </c>
      <c r="L3949" s="20">
        <v>0.1</v>
      </c>
      <c r="M3949" s="19">
        <f>Tienda!$K1198-Tienda!$K1198*Tienda!$L1198</f>
        <v>60.624000000000002</v>
      </c>
      <c r="N3949" s="3" t="s">
        <v>10038</v>
      </c>
      <c r="O3949" s="3" t="s">
        <v>10041</v>
      </c>
      <c r="P3949" s="17">
        <v>45634</v>
      </c>
      <c r="Q3949" s="4">
        <v>0</v>
      </c>
    </row>
    <row r="3950" spans="1:17" ht="30" x14ac:dyDescent="0.25">
      <c r="A3950" s="2" t="s">
        <v>1897</v>
      </c>
      <c r="B3950" s="3" t="s">
        <v>5015</v>
      </c>
      <c r="C3950" s="3">
        <v>40</v>
      </c>
      <c r="D3950" s="46" t="str">
        <f>IF(Tabla1[[#This Row],[EDAD]]&lt;=35,"Adultos jóvenes 18 - 35 años",IF(C3950&gt;=36,"Adultos mayores 36 años en adelante"))</f>
        <v>Adultos mayores 36 años en adelante</v>
      </c>
      <c r="E3950" s="3" t="s">
        <v>5020</v>
      </c>
      <c r="F3950" s="3" t="s">
        <v>5029</v>
      </c>
      <c r="G3950" s="3" t="s">
        <v>5031</v>
      </c>
      <c r="H3950" s="3" t="s">
        <v>6920</v>
      </c>
      <c r="I3950" s="17">
        <v>45437</v>
      </c>
      <c r="J3950" s="18">
        <f>YEAR(Tabla1[[#This Row],[FECHA DE COMPRA]])</f>
        <v>2024</v>
      </c>
      <c r="K3950" s="19">
        <v>36.49</v>
      </c>
      <c r="L3950" s="20">
        <v>0</v>
      </c>
      <c r="M3950" s="19">
        <f>Tienda!$K1199-Tienda!$K1199*Tienda!$L1199</f>
        <v>84.188999999999993</v>
      </c>
      <c r="N3950" s="3" t="s">
        <v>10038</v>
      </c>
      <c r="O3950" s="3" t="s">
        <v>10041</v>
      </c>
      <c r="P3950" s="17">
        <v>45437</v>
      </c>
      <c r="Q3950" s="4">
        <v>0</v>
      </c>
    </row>
    <row r="3951" spans="1:17" ht="30" x14ac:dyDescent="0.25">
      <c r="A3951" s="2" t="s">
        <v>1922</v>
      </c>
      <c r="B3951" s="3" t="s">
        <v>5016</v>
      </c>
      <c r="C3951" s="3">
        <v>48</v>
      </c>
      <c r="D3951" s="46" t="str">
        <f>IF(Tabla1[[#This Row],[EDAD]]&lt;=35,"Adultos jóvenes 18 - 35 años",IF(C3951&gt;=36,"Adultos mayores 36 años en adelante"))</f>
        <v>Adultos mayores 36 años en adelante</v>
      </c>
      <c r="E3951" s="3" t="s">
        <v>5023</v>
      </c>
      <c r="F3951" s="3" t="s">
        <v>5029</v>
      </c>
      <c r="G3951" s="3" t="s">
        <v>5033</v>
      </c>
      <c r="H3951" s="3" t="s">
        <v>6945</v>
      </c>
      <c r="I3951" s="17">
        <v>45624</v>
      </c>
      <c r="J3951" s="18">
        <f>YEAR(Tabla1[[#This Row],[FECHA DE COMPRA]])</f>
        <v>2024</v>
      </c>
      <c r="K3951" s="19">
        <v>36.83</v>
      </c>
      <c r="L3951" s="20">
        <v>0</v>
      </c>
      <c r="M3951" s="19">
        <f>Tienda!$K1202-Tienda!$K1202*Tienda!$L1202</f>
        <v>113.768</v>
      </c>
      <c r="N3951" s="3" t="s">
        <v>10038</v>
      </c>
      <c r="O3951" s="3" t="s">
        <v>10041</v>
      </c>
      <c r="P3951" s="17">
        <v>45488</v>
      </c>
      <c r="Q3951" s="4">
        <v>0</v>
      </c>
    </row>
    <row r="3952" spans="1:17" ht="30" x14ac:dyDescent="0.25">
      <c r="A3952" s="2" t="s">
        <v>19</v>
      </c>
      <c r="B3952" s="3" t="s">
        <v>5015</v>
      </c>
      <c r="C3952" s="3">
        <v>59</v>
      </c>
      <c r="D3952" s="46" t="str">
        <f>IF(Tabla1[[#This Row],[EDAD]]&lt;=35,"Adultos jóvenes 18 - 35 años",IF(C3952&gt;=36,"Adultos mayores 36 años en adelante"))</f>
        <v>Adultos mayores 36 años en adelante</v>
      </c>
      <c r="E3952" s="3" t="s">
        <v>5017</v>
      </c>
      <c r="F3952" s="3" t="s">
        <v>5025</v>
      </c>
      <c r="G3952" s="3" t="s">
        <v>5034</v>
      </c>
      <c r="H3952" s="3" t="s">
        <v>5042</v>
      </c>
      <c r="I3952" s="17">
        <v>45384</v>
      </c>
      <c r="J3952" s="18">
        <f>YEAR(Tabla1[[#This Row],[FECHA DE COMPRA]])</f>
        <v>2024</v>
      </c>
      <c r="K3952" s="19">
        <v>41.34</v>
      </c>
      <c r="L3952" s="20">
        <v>0.1</v>
      </c>
      <c r="M3952" s="19">
        <f>Tienda!$K1205-Tienda!$K1205*Tienda!$L1205</f>
        <v>8.8130000000000006</v>
      </c>
      <c r="N3952" s="3" t="s">
        <v>10038</v>
      </c>
      <c r="O3952" s="3" t="s">
        <v>10041</v>
      </c>
      <c r="P3952" s="17">
        <v>45384</v>
      </c>
      <c r="Q3952" s="4">
        <v>0</v>
      </c>
    </row>
    <row r="3953" spans="1:17" ht="30" x14ac:dyDescent="0.25">
      <c r="A3953" s="2" t="s">
        <v>2660</v>
      </c>
      <c r="B3953" s="3" t="s">
        <v>5015</v>
      </c>
      <c r="C3953" s="3">
        <v>42</v>
      </c>
      <c r="D3953" s="46" t="str">
        <f>IF(Tabla1[[#This Row],[EDAD]]&lt;=35,"Adultos jóvenes 18 - 35 años",IF(C3953&gt;=36,"Adultos mayores 36 años en adelante"))</f>
        <v>Adultos mayores 36 años en adelante</v>
      </c>
      <c r="E3953" s="3" t="s">
        <v>5017</v>
      </c>
      <c r="F3953" s="3" t="s">
        <v>5026</v>
      </c>
      <c r="G3953" s="3" t="s">
        <v>5036</v>
      </c>
      <c r="H3953" s="3" t="s">
        <v>7683</v>
      </c>
      <c r="I3953" s="17">
        <v>45600</v>
      </c>
      <c r="J3953" s="18">
        <f>YEAR(Tabla1[[#This Row],[FECHA DE COMPRA]])</f>
        <v>2024</v>
      </c>
      <c r="K3953" s="19">
        <v>54.04</v>
      </c>
      <c r="L3953" s="20">
        <v>0.3</v>
      </c>
      <c r="M3953" s="19">
        <f>Tienda!$K1209-Tienda!$K1209*Tienda!$L1209</f>
        <v>10.327999999999999</v>
      </c>
      <c r="N3953" s="3" t="s">
        <v>10038</v>
      </c>
      <c r="O3953" s="3" t="s">
        <v>10041</v>
      </c>
      <c r="P3953" s="17">
        <v>45600</v>
      </c>
      <c r="Q3953" s="4">
        <v>0</v>
      </c>
    </row>
    <row r="3954" spans="1:17" ht="30" x14ac:dyDescent="0.25">
      <c r="A3954" s="2" t="s">
        <v>1777</v>
      </c>
      <c r="B3954" s="3" t="s">
        <v>5016</v>
      </c>
      <c r="C3954" s="3">
        <v>56</v>
      </c>
      <c r="D3954" s="46" t="str">
        <f>IF(Tabla1[[#This Row],[EDAD]]&lt;=35,"Adultos jóvenes 18 - 35 años",IF(C3954&gt;=36,"Adultos mayores 36 años en adelante"))</f>
        <v>Adultos mayores 36 años en adelante</v>
      </c>
      <c r="E3954" s="3" t="s">
        <v>5017</v>
      </c>
      <c r="F3954" s="3" t="s">
        <v>5030</v>
      </c>
      <c r="G3954" s="3" t="s">
        <v>5034</v>
      </c>
      <c r="H3954" s="3" t="s">
        <v>6800</v>
      </c>
      <c r="I3954" s="17">
        <v>45626</v>
      </c>
      <c r="J3954" s="18">
        <f>YEAR(Tabla1[[#This Row],[FECHA DE COMPRA]])</f>
        <v>2024</v>
      </c>
      <c r="K3954" s="19">
        <v>47.42</v>
      </c>
      <c r="L3954" s="20">
        <v>0.2</v>
      </c>
      <c r="M3954" s="19">
        <f>Tienda!$K1210-Tienda!$K1210*Tienda!$L1210</f>
        <v>11.2</v>
      </c>
      <c r="N3954" s="3" t="s">
        <v>10038</v>
      </c>
      <c r="O3954" s="3" t="s">
        <v>10041</v>
      </c>
      <c r="P3954" s="17">
        <v>45626</v>
      </c>
      <c r="Q3954" s="4">
        <v>0</v>
      </c>
    </row>
    <row r="3955" spans="1:17" ht="30" x14ac:dyDescent="0.25">
      <c r="A3955" s="2" t="s">
        <v>4039</v>
      </c>
      <c r="B3955" s="3" t="s">
        <v>5016</v>
      </c>
      <c r="C3955" s="3">
        <v>36</v>
      </c>
      <c r="D3955" s="46" t="str">
        <f>IF(Tabla1[[#This Row],[EDAD]]&lt;=35,"Adultos jóvenes 18 - 35 años",IF(C3955&gt;=36,"Adultos mayores 36 años en adelante"))</f>
        <v>Adultos mayores 36 años en adelante</v>
      </c>
      <c r="E3955" s="3" t="s">
        <v>5021</v>
      </c>
      <c r="F3955" s="3" t="s">
        <v>5026</v>
      </c>
      <c r="G3955" s="3" t="s">
        <v>5036</v>
      </c>
      <c r="H3955" s="3" t="s">
        <v>9062</v>
      </c>
      <c r="I3955" s="17">
        <v>45624</v>
      </c>
      <c r="J3955" s="18">
        <f>YEAR(Tabla1[[#This Row],[FECHA DE COMPRA]])</f>
        <v>2024</v>
      </c>
      <c r="K3955" s="19">
        <v>55.33</v>
      </c>
      <c r="L3955" s="20">
        <v>0.3</v>
      </c>
      <c r="M3955" s="19">
        <f>Tienda!$K1213-Tienda!$K1213*Tienda!$L1213</f>
        <v>12.384</v>
      </c>
      <c r="N3955" s="3" t="s">
        <v>10038</v>
      </c>
      <c r="O3955" s="3" t="s">
        <v>10041</v>
      </c>
      <c r="P3955" s="17">
        <v>45412</v>
      </c>
      <c r="Q3955" s="4">
        <v>0</v>
      </c>
    </row>
    <row r="3956" spans="1:17" ht="30" x14ac:dyDescent="0.25">
      <c r="A3956" s="2" t="s">
        <v>3988</v>
      </c>
      <c r="B3956" s="3" t="s">
        <v>5015</v>
      </c>
      <c r="C3956" s="3">
        <v>50</v>
      </c>
      <c r="D3956" s="46" t="str">
        <f>IF(Tabla1[[#This Row],[EDAD]]&lt;=35,"Adultos jóvenes 18 - 35 años",IF(C3956&gt;=36,"Adultos mayores 36 años en adelante"))</f>
        <v>Adultos mayores 36 años en adelante</v>
      </c>
      <c r="E3956" s="3" t="s">
        <v>5022</v>
      </c>
      <c r="F3956" s="3" t="s">
        <v>5026</v>
      </c>
      <c r="G3956" s="3" t="s">
        <v>5033</v>
      </c>
      <c r="H3956" s="3" t="s">
        <v>9011</v>
      </c>
      <c r="I3956" s="17">
        <v>45565</v>
      </c>
      <c r="J3956" s="18">
        <f>YEAR(Tabla1[[#This Row],[FECHA DE COMPRA]])</f>
        <v>2024</v>
      </c>
      <c r="K3956" s="19">
        <v>49.19</v>
      </c>
      <c r="L3956" s="20">
        <v>0.2</v>
      </c>
      <c r="M3956" s="19">
        <f>Tienda!$K1219-Tienda!$K1219*Tienda!$L1219</f>
        <v>14.959999999999999</v>
      </c>
      <c r="N3956" s="3" t="s">
        <v>10038</v>
      </c>
      <c r="O3956" s="3" t="s">
        <v>10041</v>
      </c>
      <c r="P3956" s="17">
        <v>45565</v>
      </c>
      <c r="Q3956" s="4">
        <v>0</v>
      </c>
    </row>
    <row r="3957" spans="1:17" ht="30" x14ac:dyDescent="0.25">
      <c r="A3957" s="2" t="s">
        <v>3252</v>
      </c>
      <c r="B3957" s="3" t="s">
        <v>5015</v>
      </c>
      <c r="C3957" s="3">
        <v>42</v>
      </c>
      <c r="D3957" s="46" t="str">
        <f>IF(Tabla1[[#This Row],[EDAD]]&lt;=35,"Adultos jóvenes 18 - 35 años",IF(C3957&gt;=36,"Adultos mayores 36 años en adelante"))</f>
        <v>Adultos mayores 36 años en adelante</v>
      </c>
      <c r="E3957" s="3" t="s">
        <v>5021</v>
      </c>
      <c r="F3957" s="3" t="s">
        <v>5026</v>
      </c>
      <c r="G3957" s="3" t="s">
        <v>5035</v>
      </c>
      <c r="H3957" s="3" t="s">
        <v>8275</v>
      </c>
      <c r="I3957" s="17">
        <v>45597</v>
      </c>
      <c r="J3957" s="18">
        <f>YEAR(Tabla1[[#This Row],[FECHA DE COMPRA]])</f>
        <v>2024</v>
      </c>
      <c r="K3957" s="19">
        <v>52.67</v>
      </c>
      <c r="L3957" s="20">
        <v>0.2</v>
      </c>
      <c r="M3957" s="19">
        <f>Tienda!$K1228-Tienda!$K1228*Tienda!$L1228</f>
        <v>17.016999999999999</v>
      </c>
      <c r="N3957" s="3" t="s">
        <v>10038</v>
      </c>
      <c r="O3957" s="3" t="s">
        <v>10041</v>
      </c>
      <c r="P3957" s="17">
        <v>45597</v>
      </c>
      <c r="Q3957" s="4">
        <v>0</v>
      </c>
    </row>
    <row r="3958" spans="1:17" ht="30" x14ac:dyDescent="0.25">
      <c r="A3958" s="2" t="s">
        <v>4054</v>
      </c>
      <c r="B3958" s="3" t="s">
        <v>5016</v>
      </c>
      <c r="C3958" s="3">
        <v>50</v>
      </c>
      <c r="D3958" s="46" t="str">
        <f>IF(Tabla1[[#This Row],[EDAD]]&lt;=35,"Adultos jóvenes 18 - 35 años",IF(C3958&gt;=36,"Adultos mayores 36 años en adelante"))</f>
        <v>Adultos mayores 36 años en adelante</v>
      </c>
      <c r="E3958" s="3" t="s">
        <v>5023</v>
      </c>
      <c r="F3958" s="3" t="s">
        <v>5027</v>
      </c>
      <c r="G3958" s="3" t="s">
        <v>5033</v>
      </c>
      <c r="H3958" s="3" t="s">
        <v>9077</v>
      </c>
      <c r="I3958" s="17">
        <v>45461</v>
      </c>
      <c r="J3958" s="18">
        <f>YEAR(Tabla1[[#This Row],[FECHA DE COMPRA]])</f>
        <v>2024</v>
      </c>
      <c r="K3958" s="19">
        <v>44.73</v>
      </c>
      <c r="L3958" s="20">
        <v>0</v>
      </c>
      <c r="M3958" s="19">
        <f>Tienda!$K1245-Tienda!$K1245*Tienda!$L1245</f>
        <v>24.969000000000001</v>
      </c>
      <c r="N3958" s="3" t="s">
        <v>10038</v>
      </c>
      <c r="O3958" s="3" t="s">
        <v>10041</v>
      </c>
      <c r="P3958" s="17">
        <v>45461</v>
      </c>
      <c r="Q3958" s="4">
        <v>0</v>
      </c>
    </row>
    <row r="3959" spans="1:17" ht="30" x14ac:dyDescent="0.25">
      <c r="A3959" s="2" t="s">
        <v>2458</v>
      </c>
      <c r="B3959" s="3" t="s">
        <v>5016</v>
      </c>
      <c r="C3959" s="3">
        <v>63</v>
      </c>
      <c r="D3959" s="46" t="str">
        <f>IF(Tabla1[[#This Row],[EDAD]]&lt;=35,"Adultos jóvenes 18 - 35 años",IF(C3959&gt;=36,"Adultos mayores 36 años en adelante"))</f>
        <v>Adultos mayores 36 años en adelante</v>
      </c>
      <c r="E3959" s="3" t="s">
        <v>5017</v>
      </c>
      <c r="F3959" s="3" t="s">
        <v>5027</v>
      </c>
      <c r="G3959" s="3" t="s">
        <v>5031</v>
      </c>
      <c r="H3959" s="3" t="s">
        <v>7481</v>
      </c>
      <c r="I3959" s="17">
        <v>45506</v>
      </c>
      <c r="J3959" s="18">
        <f>YEAR(Tabla1[[#This Row],[FECHA DE COMPRA]])</f>
        <v>2024</v>
      </c>
      <c r="K3959" s="19">
        <v>64.56</v>
      </c>
      <c r="L3959" s="20">
        <v>0.3</v>
      </c>
      <c r="M3959" s="19">
        <f>Tienda!$K1247-Tienda!$K1247*Tienda!$L1247</f>
        <v>25.25</v>
      </c>
      <c r="N3959" s="3" t="s">
        <v>10038</v>
      </c>
      <c r="O3959" s="3" t="s">
        <v>10041</v>
      </c>
      <c r="P3959" s="17">
        <v>45506</v>
      </c>
      <c r="Q3959" s="4">
        <v>0</v>
      </c>
    </row>
    <row r="3960" spans="1:17" ht="30" x14ac:dyDescent="0.25">
      <c r="A3960" s="2" t="s">
        <v>76</v>
      </c>
      <c r="B3960" s="3" t="s">
        <v>5015</v>
      </c>
      <c r="C3960" s="3">
        <v>48</v>
      </c>
      <c r="D3960" s="46" t="str">
        <f>IF(Tabla1[[#This Row],[EDAD]]&lt;=35,"Adultos jóvenes 18 - 35 años",IF(C3960&gt;=36,"Adultos mayores 36 años en adelante"))</f>
        <v>Adultos mayores 36 años en adelante</v>
      </c>
      <c r="E3960" s="3" t="s">
        <v>5017</v>
      </c>
      <c r="F3960" s="3" t="s">
        <v>5028</v>
      </c>
      <c r="G3960" s="3" t="s">
        <v>5037</v>
      </c>
      <c r="H3960" s="3" t="s">
        <v>5099</v>
      </c>
      <c r="I3960" s="17">
        <v>45642</v>
      </c>
      <c r="J3960" s="18">
        <f>YEAR(Tabla1[[#This Row],[FECHA DE COMPRA]])</f>
        <v>2024</v>
      </c>
      <c r="K3960" s="19">
        <v>56.65</v>
      </c>
      <c r="L3960" s="20">
        <v>0.2</v>
      </c>
      <c r="M3960" s="19">
        <f>Tienda!$K1249-Tienda!$K1249*Tienda!$L1249</f>
        <v>26.784000000000002</v>
      </c>
      <c r="N3960" s="3" t="s">
        <v>10038</v>
      </c>
      <c r="O3960" s="3" t="s">
        <v>10041</v>
      </c>
      <c r="P3960" s="17">
        <v>45642</v>
      </c>
      <c r="Q3960" s="4">
        <v>0</v>
      </c>
    </row>
    <row r="3961" spans="1:17" ht="30" x14ac:dyDescent="0.25">
      <c r="A3961" s="2" t="s">
        <v>2038</v>
      </c>
      <c r="B3961" s="3" t="s">
        <v>5015</v>
      </c>
      <c r="C3961" s="3">
        <v>58</v>
      </c>
      <c r="D3961" s="46" t="str">
        <f>IF(Tabla1[[#This Row],[EDAD]]&lt;=35,"Adultos jóvenes 18 - 35 años",IF(C3961&gt;=36,"Adultos mayores 36 años en adelante"))</f>
        <v>Adultos mayores 36 años en adelante</v>
      </c>
      <c r="E3961" s="3" t="s">
        <v>5020</v>
      </c>
      <c r="F3961" s="3" t="s">
        <v>5026</v>
      </c>
      <c r="G3961" s="3" t="s">
        <v>5034</v>
      </c>
      <c r="H3961" s="3" t="s">
        <v>7061</v>
      </c>
      <c r="I3961" s="17">
        <v>45380</v>
      </c>
      <c r="J3961" s="18">
        <f>YEAR(Tabla1[[#This Row],[FECHA DE COMPRA]])</f>
        <v>2024</v>
      </c>
      <c r="K3961" s="19">
        <v>67.44</v>
      </c>
      <c r="L3961" s="20">
        <v>0.3</v>
      </c>
      <c r="M3961" s="19">
        <f>Tienda!$K1263-Tienda!$K1263*Tienda!$L1263</f>
        <v>31.149000000000001</v>
      </c>
      <c r="N3961" s="3" t="s">
        <v>10038</v>
      </c>
      <c r="O3961" s="3" t="s">
        <v>10041</v>
      </c>
      <c r="P3961" s="17">
        <v>45380</v>
      </c>
      <c r="Q3961" s="4">
        <v>0</v>
      </c>
    </row>
    <row r="3962" spans="1:17" ht="30" x14ac:dyDescent="0.25">
      <c r="A3962" s="2" t="s">
        <v>4794</v>
      </c>
      <c r="B3962" s="3" t="s">
        <v>5016</v>
      </c>
      <c r="C3962" s="3">
        <v>44</v>
      </c>
      <c r="D3962" s="46" t="str">
        <f>IF(Tabla1[[#This Row],[EDAD]]&lt;=35,"Adultos jóvenes 18 - 35 años",IF(C3962&gt;=36,"Adultos mayores 36 años en adelante"))</f>
        <v>Adultos mayores 36 años en adelante</v>
      </c>
      <c r="E3962" s="3" t="s">
        <v>5019</v>
      </c>
      <c r="F3962" s="3" t="s">
        <v>5026</v>
      </c>
      <c r="G3962" s="3" t="s">
        <v>5031</v>
      </c>
      <c r="H3962" s="3" t="s">
        <v>9817</v>
      </c>
      <c r="I3962" s="17">
        <v>45649</v>
      </c>
      <c r="J3962" s="18">
        <f>YEAR(Tabla1[[#This Row],[FECHA DE COMPRA]])</f>
        <v>2024</v>
      </c>
      <c r="K3962" s="19">
        <v>67.62</v>
      </c>
      <c r="L3962" s="20">
        <v>0.3</v>
      </c>
      <c r="M3962" s="19">
        <f>Tienda!$K1264-Tienda!$K1264*Tienda!$L1264</f>
        <v>31.311</v>
      </c>
      <c r="N3962" s="3" t="s">
        <v>10038</v>
      </c>
      <c r="O3962" s="3" t="s">
        <v>10041</v>
      </c>
      <c r="P3962" s="17">
        <v>45296</v>
      </c>
      <c r="Q3962" s="4">
        <v>0</v>
      </c>
    </row>
    <row r="3963" spans="1:17" ht="30" x14ac:dyDescent="0.25">
      <c r="A3963" s="2" t="s">
        <v>941</v>
      </c>
      <c r="B3963" s="3" t="s">
        <v>5015</v>
      </c>
      <c r="C3963" s="3">
        <v>38</v>
      </c>
      <c r="D3963" s="46" t="str">
        <f>IF(Tabla1[[#This Row],[EDAD]]&lt;=35,"Adultos jóvenes 18 - 35 años",IF(C3963&gt;=36,"Adultos mayores 36 años en adelante"))</f>
        <v>Adultos mayores 36 años en adelante</v>
      </c>
      <c r="E3963" s="3" t="s">
        <v>5018</v>
      </c>
      <c r="F3963" s="3" t="s">
        <v>5029</v>
      </c>
      <c r="G3963" s="3" t="s">
        <v>5037</v>
      </c>
      <c r="H3963" s="3" t="s">
        <v>5964</v>
      </c>
      <c r="I3963" s="17">
        <v>45555</v>
      </c>
      <c r="J3963" s="18">
        <f>YEAR(Tabla1[[#This Row],[FECHA DE COMPRA]])</f>
        <v>2024</v>
      </c>
      <c r="K3963" s="19">
        <v>52.74</v>
      </c>
      <c r="L3963" s="20">
        <v>0.1</v>
      </c>
      <c r="M3963" s="19">
        <f>Tienda!$K1266-Tienda!$K1266*Tienda!$L1266</f>
        <v>32.935000000000002</v>
      </c>
      <c r="N3963" s="3" t="s">
        <v>10038</v>
      </c>
      <c r="O3963" s="3" t="s">
        <v>10041</v>
      </c>
      <c r="P3963" s="17">
        <v>45555</v>
      </c>
      <c r="Q3963" s="4">
        <v>0</v>
      </c>
    </row>
    <row r="3964" spans="1:17" ht="30" x14ac:dyDescent="0.25">
      <c r="A3964" s="2" t="s">
        <v>1235</v>
      </c>
      <c r="B3964" s="3" t="s">
        <v>5015</v>
      </c>
      <c r="C3964" s="3">
        <v>41</v>
      </c>
      <c r="D3964" s="46" t="str">
        <f>IF(Tabla1[[#This Row],[EDAD]]&lt;=35,"Adultos jóvenes 18 - 35 años",IF(C3964&gt;=36,"Adultos mayores 36 años en adelante"))</f>
        <v>Adultos mayores 36 años en adelante</v>
      </c>
      <c r="E3964" s="3" t="s">
        <v>5021</v>
      </c>
      <c r="F3964" s="3" t="s">
        <v>5030</v>
      </c>
      <c r="G3964" s="3" t="s">
        <v>5035</v>
      </c>
      <c r="H3964" s="3" t="s">
        <v>6258</v>
      </c>
      <c r="I3964" s="17">
        <v>45628</v>
      </c>
      <c r="J3964" s="18">
        <f>YEAR(Tabla1[[#This Row],[FECHA DE COMPRA]])</f>
        <v>2024</v>
      </c>
      <c r="K3964" s="19">
        <v>60.89</v>
      </c>
      <c r="L3964" s="20">
        <v>0.2</v>
      </c>
      <c r="M3964" s="19">
        <f>Tienda!$K1271-Tienda!$K1271*Tienda!$L1271</f>
        <v>34.216000000000001</v>
      </c>
      <c r="N3964" s="3" t="s">
        <v>10038</v>
      </c>
      <c r="O3964" s="3" t="s">
        <v>10041</v>
      </c>
      <c r="P3964" s="17">
        <v>45628</v>
      </c>
      <c r="Q3964" s="4">
        <v>0</v>
      </c>
    </row>
    <row r="3965" spans="1:17" ht="30" x14ac:dyDescent="0.25">
      <c r="A3965" s="2" t="s">
        <v>3244</v>
      </c>
      <c r="B3965" s="3" t="s">
        <v>5015</v>
      </c>
      <c r="C3965" s="3">
        <v>62</v>
      </c>
      <c r="D3965" s="46" t="str">
        <f>IF(Tabla1[[#This Row],[EDAD]]&lt;=35,"Adultos jóvenes 18 - 35 años",IF(C3965&gt;=36,"Adultos mayores 36 años en adelante"))</f>
        <v>Adultos mayores 36 años en adelante</v>
      </c>
      <c r="E3965" s="3" t="s">
        <v>5017</v>
      </c>
      <c r="F3965" s="3" t="s">
        <v>5028</v>
      </c>
      <c r="G3965" s="3" t="s">
        <v>5032</v>
      </c>
      <c r="H3965" s="3" t="s">
        <v>8267</v>
      </c>
      <c r="I3965" s="17">
        <v>45609</v>
      </c>
      <c r="J3965" s="18">
        <f>YEAR(Tabla1[[#This Row],[FECHA DE COMPRA]])</f>
        <v>2024</v>
      </c>
      <c r="K3965" s="19">
        <v>63.9</v>
      </c>
      <c r="L3965" s="20">
        <v>0.2</v>
      </c>
      <c r="M3965" s="19">
        <f>Tienda!$K1277-Tienda!$K1277*Tienda!$L1277</f>
        <v>39.192999999999998</v>
      </c>
      <c r="N3965" s="3" t="s">
        <v>10038</v>
      </c>
      <c r="O3965" s="3" t="s">
        <v>10041</v>
      </c>
      <c r="P3965" s="17">
        <v>45609</v>
      </c>
      <c r="Q3965" s="4">
        <v>0</v>
      </c>
    </row>
    <row r="3966" spans="1:17" ht="30" x14ac:dyDescent="0.25">
      <c r="A3966" s="2" t="s">
        <v>1058</v>
      </c>
      <c r="B3966" s="3" t="s">
        <v>5015</v>
      </c>
      <c r="C3966" s="3">
        <v>45</v>
      </c>
      <c r="D3966" s="46" t="str">
        <f>IF(Tabla1[[#This Row],[EDAD]]&lt;=35,"Adultos jóvenes 18 - 35 años",IF(C3966&gt;=36,"Adultos mayores 36 años en adelante"))</f>
        <v>Adultos mayores 36 años en adelante</v>
      </c>
      <c r="E3966" s="3" t="s">
        <v>5018</v>
      </c>
      <c r="F3966" s="3" t="s">
        <v>5030</v>
      </c>
      <c r="G3966" s="3" t="s">
        <v>5035</v>
      </c>
      <c r="H3966" s="3" t="s">
        <v>6081</v>
      </c>
      <c r="I3966" s="17">
        <v>45620</v>
      </c>
      <c r="J3966" s="18">
        <f>YEAR(Tabla1[[#This Row],[FECHA DE COMPRA]])</f>
        <v>2024</v>
      </c>
      <c r="K3966" s="19">
        <v>73.150000000000006</v>
      </c>
      <c r="L3966" s="20">
        <v>0.3</v>
      </c>
      <c r="M3966" s="19">
        <f>Tienda!$K1278-Tienda!$K1278*Tienda!$L1278</f>
        <v>39.319000000000003</v>
      </c>
      <c r="N3966" s="3" t="s">
        <v>10038</v>
      </c>
      <c r="O3966" s="3" t="s">
        <v>10041</v>
      </c>
      <c r="P3966" s="17">
        <v>45620</v>
      </c>
      <c r="Q3966" s="4">
        <v>0</v>
      </c>
    </row>
    <row r="3967" spans="1:17" ht="30" x14ac:dyDescent="0.25">
      <c r="A3967" s="2" t="s">
        <v>4348</v>
      </c>
      <c r="B3967" s="3" t="s">
        <v>5015</v>
      </c>
      <c r="C3967" s="3">
        <v>51</v>
      </c>
      <c r="D3967" s="46" t="str">
        <f>IF(Tabla1[[#This Row],[EDAD]]&lt;=35,"Adultos jóvenes 18 - 35 años",IF(C3967&gt;=36,"Adultos mayores 36 años en adelante"))</f>
        <v>Adultos mayores 36 años en adelante</v>
      </c>
      <c r="E3967" s="3" t="s">
        <v>5022</v>
      </c>
      <c r="F3967" s="3" t="s">
        <v>5028</v>
      </c>
      <c r="G3967" s="3" t="s">
        <v>5031</v>
      </c>
      <c r="H3967" s="3" t="s">
        <v>9371</v>
      </c>
      <c r="I3967" s="17">
        <v>45432</v>
      </c>
      <c r="J3967" s="18">
        <f>YEAR(Tabla1[[#This Row],[FECHA DE COMPRA]])</f>
        <v>2024</v>
      </c>
      <c r="K3967" s="19">
        <v>57.14</v>
      </c>
      <c r="L3967" s="20">
        <v>0.1</v>
      </c>
      <c r="M3967" s="19">
        <f>Tienda!$K1281-Tienda!$K1281*Tienda!$L1281</f>
        <v>44.96</v>
      </c>
      <c r="N3967" s="3" t="s">
        <v>10038</v>
      </c>
      <c r="O3967" s="3" t="s">
        <v>10041</v>
      </c>
      <c r="P3967" s="17">
        <v>45432</v>
      </c>
      <c r="Q3967" s="4">
        <v>0</v>
      </c>
    </row>
    <row r="3968" spans="1:17" ht="30" x14ac:dyDescent="0.25">
      <c r="A3968" s="2" t="s">
        <v>4858</v>
      </c>
      <c r="B3968" s="3" t="s">
        <v>5016</v>
      </c>
      <c r="C3968" s="3">
        <v>40</v>
      </c>
      <c r="D3968" s="46" t="str">
        <f>IF(Tabla1[[#This Row],[EDAD]]&lt;=35,"Adultos jóvenes 18 - 35 años",IF(C3968&gt;=36,"Adultos mayores 36 años en adelante"))</f>
        <v>Adultos mayores 36 años en adelante</v>
      </c>
      <c r="E3968" s="3" t="s">
        <v>5019</v>
      </c>
      <c r="F3968" s="3" t="s">
        <v>5025</v>
      </c>
      <c r="G3968" s="3" t="s">
        <v>5031</v>
      </c>
      <c r="H3968" s="3" t="s">
        <v>9881</v>
      </c>
      <c r="I3968" s="17">
        <v>45636</v>
      </c>
      <c r="J3968" s="18">
        <f>YEAR(Tabla1[[#This Row],[FECHA DE COMPRA]])</f>
        <v>2024</v>
      </c>
      <c r="K3968" s="19">
        <v>57.69</v>
      </c>
      <c r="L3968" s="20">
        <v>0.1</v>
      </c>
      <c r="M3968" s="19">
        <f>Tienda!$K1283-Tienda!$K1283*Tienda!$L1283</f>
        <v>46.751999999999995</v>
      </c>
      <c r="N3968" s="3" t="s">
        <v>10038</v>
      </c>
      <c r="O3968" s="3" t="s">
        <v>10041</v>
      </c>
      <c r="P3968" s="17">
        <v>45636</v>
      </c>
      <c r="Q3968" s="4">
        <v>0</v>
      </c>
    </row>
    <row r="3969" spans="1:17" ht="30" x14ac:dyDescent="0.25">
      <c r="A3969" s="2" t="s">
        <v>4149</v>
      </c>
      <c r="B3969" s="3" t="s">
        <v>5016</v>
      </c>
      <c r="C3969" s="3">
        <v>40</v>
      </c>
      <c r="D3969" s="46" t="str">
        <f>IF(Tabla1[[#This Row],[EDAD]]&lt;=35,"Adultos jóvenes 18 - 35 años",IF(C3969&gt;=36,"Adultos mayores 36 años en adelante"))</f>
        <v>Adultos mayores 36 años en adelante</v>
      </c>
      <c r="E3969" s="3" t="s">
        <v>5017</v>
      </c>
      <c r="F3969" s="3" t="s">
        <v>5028</v>
      </c>
      <c r="G3969" s="3" t="s">
        <v>5037</v>
      </c>
      <c r="H3969" s="3" t="s">
        <v>9172</v>
      </c>
      <c r="I3969" s="17">
        <v>45624</v>
      </c>
      <c r="J3969" s="18">
        <f>YEAR(Tabla1[[#This Row],[FECHA DE COMPRA]])</f>
        <v>2024</v>
      </c>
      <c r="K3969" s="19">
        <v>75.33</v>
      </c>
      <c r="L3969" s="20">
        <v>0.3</v>
      </c>
      <c r="M3969" s="19">
        <f>Tienda!$K1287-Tienda!$K1287*Tienda!$L1287</f>
        <v>50.246000000000002</v>
      </c>
      <c r="N3969" s="3" t="s">
        <v>10038</v>
      </c>
      <c r="O3969" s="3" t="s">
        <v>10041</v>
      </c>
      <c r="P3969" s="17">
        <v>45486</v>
      </c>
      <c r="Q3969" s="4">
        <v>0</v>
      </c>
    </row>
    <row r="3970" spans="1:17" ht="30" x14ac:dyDescent="0.25">
      <c r="A3970" s="2" t="s">
        <v>2529</v>
      </c>
      <c r="B3970" s="3" t="s">
        <v>5016</v>
      </c>
      <c r="C3970" s="3">
        <v>65</v>
      </c>
      <c r="D3970" s="46" t="str">
        <f>IF(Tabla1[[#This Row],[EDAD]]&lt;=35,"Adultos jóvenes 18 - 35 años",IF(C3970&gt;=36,"Adultos mayores 36 años en adelante"))</f>
        <v>Adultos mayores 36 años en adelante</v>
      </c>
      <c r="E3970" s="3" t="s">
        <v>5017</v>
      </c>
      <c r="F3970" s="3" t="s">
        <v>5028</v>
      </c>
      <c r="G3970" s="3" t="s">
        <v>5033</v>
      </c>
      <c r="H3970" s="3" t="s">
        <v>7552</v>
      </c>
      <c r="I3970" s="17">
        <v>45326</v>
      </c>
      <c r="J3970" s="18">
        <f>YEAR(Tabla1[[#This Row],[FECHA DE COMPRA]])</f>
        <v>2024</v>
      </c>
      <c r="K3970" s="19">
        <v>67.400000000000006</v>
      </c>
      <c r="L3970" s="20">
        <v>0.2</v>
      </c>
      <c r="M3970" s="19">
        <f>Tienda!$K1293-Tienda!$K1293*Tienda!$L1293</f>
        <v>59.338999999999999</v>
      </c>
      <c r="N3970" s="3" t="s">
        <v>10038</v>
      </c>
      <c r="O3970" s="3" t="s">
        <v>10041</v>
      </c>
      <c r="P3970" s="17">
        <v>45326</v>
      </c>
      <c r="Q3970" s="4">
        <v>0</v>
      </c>
    </row>
    <row r="3971" spans="1:17" ht="30" x14ac:dyDescent="0.25">
      <c r="A3971" s="2" t="s">
        <v>3600</v>
      </c>
      <c r="B3971" s="3" t="s">
        <v>5015</v>
      </c>
      <c r="C3971" s="3">
        <v>47</v>
      </c>
      <c r="D3971" s="46" t="str">
        <f>IF(Tabla1[[#This Row],[EDAD]]&lt;=35,"Adultos jóvenes 18 - 35 años",IF(C3971&gt;=36,"Adultos mayores 36 años en adelante"))</f>
        <v>Adultos mayores 36 años en adelante</v>
      </c>
      <c r="E3971" s="3" t="s">
        <v>5021</v>
      </c>
      <c r="F3971" s="3" t="s">
        <v>5026</v>
      </c>
      <c r="G3971" s="3" t="s">
        <v>5034</v>
      </c>
      <c r="H3971" s="3" t="s">
        <v>8623</v>
      </c>
      <c r="I3971" s="17">
        <v>45624</v>
      </c>
      <c r="J3971" s="18">
        <f>YEAR(Tabla1[[#This Row],[FECHA DE COMPRA]])</f>
        <v>2024</v>
      </c>
      <c r="K3971" s="19">
        <v>60.84</v>
      </c>
      <c r="L3971" s="20">
        <v>0.1</v>
      </c>
      <c r="M3971" s="19">
        <f>Tienda!$K1296-Tienda!$K1296*Tienda!$L1296</f>
        <v>62.31</v>
      </c>
      <c r="N3971" s="3" t="s">
        <v>10038</v>
      </c>
      <c r="O3971" s="3" t="s">
        <v>10041</v>
      </c>
      <c r="P3971" s="17">
        <v>45624</v>
      </c>
      <c r="Q3971" s="4">
        <v>0</v>
      </c>
    </row>
    <row r="3972" spans="1:17" ht="30" x14ac:dyDescent="0.25">
      <c r="A3972" s="2" t="s">
        <v>3977</v>
      </c>
      <c r="B3972" s="3" t="s">
        <v>5015</v>
      </c>
      <c r="C3972" s="3">
        <v>59</v>
      </c>
      <c r="D3972" s="46" t="str">
        <f>IF(Tabla1[[#This Row],[EDAD]]&lt;=35,"Adultos jóvenes 18 - 35 años",IF(C3972&gt;=36,"Adultos mayores 36 años en adelante"))</f>
        <v>Adultos mayores 36 años en adelante</v>
      </c>
      <c r="E3972" s="3" t="s">
        <v>5023</v>
      </c>
      <c r="F3972" s="3" t="s">
        <v>5025</v>
      </c>
      <c r="G3972" s="3" t="s">
        <v>5035</v>
      </c>
      <c r="H3972" s="3" t="s">
        <v>9000</v>
      </c>
      <c r="I3972" s="17">
        <v>45657</v>
      </c>
      <c r="J3972" s="18">
        <f>YEAR(Tabla1[[#This Row],[FECHA DE COMPRA]])</f>
        <v>2024</v>
      </c>
      <c r="K3972" s="19">
        <v>60.9</v>
      </c>
      <c r="L3972" s="20">
        <v>0.1</v>
      </c>
      <c r="M3972" s="19">
        <f>Tienda!$K1297-Tienda!$K1297*Tienda!$L1297</f>
        <v>62.89</v>
      </c>
      <c r="N3972" s="3" t="s">
        <v>10038</v>
      </c>
      <c r="O3972" s="3" t="s">
        <v>10041</v>
      </c>
      <c r="P3972" s="17">
        <v>45657</v>
      </c>
      <c r="Q3972" s="4">
        <v>0</v>
      </c>
    </row>
    <row r="3973" spans="1:17" ht="30" x14ac:dyDescent="0.25">
      <c r="A3973" s="2" t="s">
        <v>4951</v>
      </c>
      <c r="B3973" s="3" t="s">
        <v>5015</v>
      </c>
      <c r="C3973" s="3">
        <v>43</v>
      </c>
      <c r="D3973" s="46" t="str">
        <f>IF(Tabla1[[#This Row],[EDAD]]&lt;=35,"Adultos jóvenes 18 - 35 años",IF(C3973&gt;=36,"Adultos mayores 36 años en adelante"))</f>
        <v>Adultos mayores 36 años en adelante</v>
      </c>
      <c r="E3973" s="3" t="s">
        <v>5022</v>
      </c>
      <c r="F3973" s="3" t="s">
        <v>5029</v>
      </c>
      <c r="G3973" s="3" t="s">
        <v>5036</v>
      </c>
      <c r="H3973" s="3" t="s">
        <v>9974</v>
      </c>
      <c r="I3973" s="17">
        <v>45441</v>
      </c>
      <c r="J3973" s="18">
        <f>YEAR(Tabla1[[#This Row],[FECHA DE COMPRA]])</f>
        <v>2024</v>
      </c>
      <c r="K3973" s="19">
        <v>55.17</v>
      </c>
      <c r="L3973" s="20">
        <v>0</v>
      </c>
      <c r="M3973" s="19">
        <f>Tienda!$K1298-Tienda!$K1298*Tienda!$L1298</f>
        <v>63.027000000000001</v>
      </c>
      <c r="N3973" s="3" t="s">
        <v>10038</v>
      </c>
      <c r="O3973" s="3" t="s">
        <v>10041</v>
      </c>
      <c r="P3973" s="17">
        <v>45441</v>
      </c>
      <c r="Q3973" s="4">
        <v>0</v>
      </c>
    </row>
    <row r="3974" spans="1:17" ht="30" x14ac:dyDescent="0.25">
      <c r="A3974" s="2" t="s">
        <v>1978</v>
      </c>
      <c r="B3974" s="3" t="s">
        <v>5016</v>
      </c>
      <c r="C3974" s="3">
        <v>48</v>
      </c>
      <c r="D3974" s="46" t="str">
        <f>IF(Tabla1[[#This Row],[EDAD]]&lt;=35,"Adultos jóvenes 18 - 35 años",IF(C3974&gt;=36,"Adultos mayores 36 años en adelante"))</f>
        <v>Adultos mayores 36 años en adelante</v>
      </c>
      <c r="E3974" s="3" t="s">
        <v>5019</v>
      </c>
      <c r="F3974" s="3" t="s">
        <v>5025</v>
      </c>
      <c r="G3974" s="3" t="s">
        <v>5033</v>
      </c>
      <c r="H3974" s="3" t="s">
        <v>7001</v>
      </c>
      <c r="I3974" s="17">
        <v>45422</v>
      </c>
      <c r="J3974" s="18">
        <f>YEAR(Tabla1[[#This Row],[FECHA DE COMPRA]])</f>
        <v>2024</v>
      </c>
      <c r="K3974" s="19">
        <v>62.33</v>
      </c>
      <c r="L3974" s="20">
        <v>0.1</v>
      </c>
      <c r="M3974" s="19">
        <f>Tienda!$K1305-Tienda!$K1305*Tienda!$L1305</f>
        <v>74.474999999999994</v>
      </c>
      <c r="N3974" s="3" t="s">
        <v>10038</v>
      </c>
      <c r="O3974" s="3" t="s">
        <v>10041</v>
      </c>
      <c r="P3974" s="17">
        <v>45422</v>
      </c>
      <c r="Q3974" s="4">
        <v>0</v>
      </c>
    </row>
    <row r="3975" spans="1:17" ht="30" x14ac:dyDescent="0.25">
      <c r="A3975" s="2" t="s">
        <v>1650</v>
      </c>
      <c r="B3975" s="3" t="s">
        <v>5016</v>
      </c>
      <c r="C3975" s="3">
        <v>44</v>
      </c>
      <c r="D3975" s="46" t="str">
        <f>IF(Tabla1[[#This Row],[EDAD]]&lt;=35,"Adultos jóvenes 18 - 35 años",IF(C3975&gt;=36,"Adultos mayores 36 años en adelante"))</f>
        <v>Adultos mayores 36 años en adelante</v>
      </c>
      <c r="E3975" s="3" t="s">
        <v>5019</v>
      </c>
      <c r="F3975" s="3" t="s">
        <v>5029</v>
      </c>
      <c r="G3975" s="3" t="s">
        <v>5035</v>
      </c>
      <c r="H3975" s="3" t="s">
        <v>6673</v>
      </c>
      <c r="I3975" s="17">
        <v>45472</v>
      </c>
      <c r="J3975" s="18">
        <f>YEAR(Tabla1[[#This Row],[FECHA DE COMPRA]])</f>
        <v>2024</v>
      </c>
      <c r="K3975" s="19">
        <v>56.11</v>
      </c>
      <c r="L3975" s="20">
        <v>0</v>
      </c>
      <c r="M3975" s="19">
        <f>Tienda!$K1306-Tienda!$K1306*Tienda!$L1306</f>
        <v>74.637</v>
      </c>
      <c r="N3975" s="3" t="s">
        <v>10038</v>
      </c>
      <c r="O3975" s="3" t="s">
        <v>10041</v>
      </c>
      <c r="P3975" s="17">
        <v>45472</v>
      </c>
      <c r="Q3975" s="4">
        <v>0</v>
      </c>
    </row>
    <row r="3976" spans="1:17" ht="30" x14ac:dyDescent="0.25">
      <c r="A3976" s="2" t="s">
        <v>691</v>
      </c>
      <c r="B3976" s="3" t="s">
        <v>5016</v>
      </c>
      <c r="C3976" s="3">
        <v>53</v>
      </c>
      <c r="D3976" s="46" t="str">
        <f>IF(Tabla1[[#This Row],[EDAD]]&lt;=35,"Adultos jóvenes 18 - 35 años",IF(C3976&gt;=36,"Adultos mayores 36 años en adelante"))</f>
        <v>Adultos mayores 36 años en adelante</v>
      </c>
      <c r="E3976" s="3" t="s">
        <v>5017</v>
      </c>
      <c r="F3976" s="3" t="s">
        <v>5026</v>
      </c>
      <c r="G3976" s="3" t="s">
        <v>5034</v>
      </c>
      <c r="H3976" s="3" t="s">
        <v>5714</v>
      </c>
      <c r="I3976" s="17">
        <v>45589</v>
      </c>
      <c r="J3976" s="18">
        <f>YEAR(Tabla1[[#This Row],[FECHA DE COMPRA]])</f>
        <v>2024</v>
      </c>
      <c r="K3976" s="19">
        <v>81.040000000000006</v>
      </c>
      <c r="L3976" s="20">
        <v>0.3</v>
      </c>
      <c r="M3976" s="19">
        <f>Tienda!$K1310-Tienda!$K1310*Tienda!$L1310</f>
        <v>82.11</v>
      </c>
      <c r="N3976" s="3" t="s">
        <v>10038</v>
      </c>
      <c r="O3976" s="3" t="s">
        <v>10041</v>
      </c>
      <c r="P3976" s="17">
        <v>45589</v>
      </c>
      <c r="Q3976" s="4">
        <v>0</v>
      </c>
    </row>
    <row r="3977" spans="1:17" ht="30" x14ac:dyDescent="0.25">
      <c r="A3977" s="2" t="s">
        <v>3570</v>
      </c>
      <c r="B3977" s="3" t="s">
        <v>5016</v>
      </c>
      <c r="C3977" s="3">
        <v>60</v>
      </c>
      <c r="D3977" s="46" t="str">
        <f>IF(Tabla1[[#This Row],[EDAD]]&lt;=35,"Adultos jóvenes 18 - 35 años",IF(C3977&gt;=36,"Adultos mayores 36 años en adelante"))</f>
        <v>Adultos mayores 36 años en adelante</v>
      </c>
      <c r="E3977" s="3" t="s">
        <v>5021</v>
      </c>
      <c r="F3977" s="3" t="s">
        <v>5029</v>
      </c>
      <c r="G3977" s="3" t="s">
        <v>5032</v>
      </c>
      <c r="H3977" s="3" t="s">
        <v>8593</v>
      </c>
      <c r="I3977" s="17">
        <v>45639</v>
      </c>
      <c r="J3977" s="18">
        <f>YEAR(Tabla1[[#This Row],[FECHA DE COMPRA]])</f>
        <v>2024</v>
      </c>
      <c r="K3977" s="19">
        <v>56.83</v>
      </c>
      <c r="L3977" s="20">
        <v>0</v>
      </c>
      <c r="M3977" s="19">
        <f>Tienda!$K1312-Tienda!$K1312*Tienda!$L1312</f>
        <v>84.342999999999989</v>
      </c>
      <c r="N3977" s="3" t="s">
        <v>10038</v>
      </c>
      <c r="O3977" s="3" t="s">
        <v>10041</v>
      </c>
      <c r="P3977" s="17">
        <v>45639</v>
      </c>
      <c r="Q3977" s="4">
        <v>0</v>
      </c>
    </row>
    <row r="3978" spans="1:17" ht="30" x14ac:dyDescent="0.25">
      <c r="A3978" s="2" t="s">
        <v>2915</v>
      </c>
      <c r="B3978" s="3" t="s">
        <v>5016</v>
      </c>
      <c r="C3978" s="3">
        <v>65</v>
      </c>
      <c r="D3978" s="46" t="str">
        <f>IF(Tabla1[[#This Row],[EDAD]]&lt;=35,"Adultos jóvenes 18 - 35 años",IF(C3978&gt;=36,"Adultos mayores 36 años en adelante"))</f>
        <v>Adultos mayores 36 años en adelante</v>
      </c>
      <c r="E3978" s="3" t="s">
        <v>5019</v>
      </c>
      <c r="F3978" s="3" t="s">
        <v>5024</v>
      </c>
      <c r="G3978" s="3" t="s">
        <v>5036</v>
      </c>
      <c r="H3978" s="3" t="s">
        <v>7938</v>
      </c>
      <c r="I3978" s="17">
        <v>45328</v>
      </c>
      <c r="J3978" s="18">
        <f>YEAR(Tabla1[[#This Row],[FECHA DE COMPRA]])</f>
        <v>2024</v>
      </c>
      <c r="K3978" s="19">
        <v>72.31</v>
      </c>
      <c r="L3978" s="20">
        <v>0.2</v>
      </c>
      <c r="M3978" s="19">
        <f>Tienda!$K1314-Tienda!$K1314*Tienda!$L1314</f>
        <v>87.641999999999996</v>
      </c>
      <c r="N3978" s="3" t="s">
        <v>10038</v>
      </c>
      <c r="O3978" s="3" t="s">
        <v>10041</v>
      </c>
      <c r="P3978" s="17">
        <v>45328</v>
      </c>
      <c r="Q3978" s="4">
        <v>0</v>
      </c>
    </row>
    <row r="3979" spans="1:17" ht="30" x14ac:dyDescent="0.25">
      <c r="A3979" s="2" t="s">
        <v>903</v>
      </c>
      <c r="B3979" s="3" t="s">
        <v>5015</v>
      </c>
      <c r="C3979" s="3">
        <v>55</v>
      </c>
      <c r="D3979" s="46" t="str">
        <f>IF(Tabla1[[#This Row],[EDAD]]&lt;=35,"Adultos jóvenes 18 - 35 años",IF(C3979&gt;=36,"Adultos mayores 36 años en adelante"))</f>
        <v>Adultos mayores 36 años en adelante</v>
      </c>
      <c r="E3979" s="3" t="s">
        <v>5017</v>
      </c>
      <c r="F3979" s="3" t="s">
        <v>5029</v>
      </c>
      <c r="G3979" s="3" t="s">
        <v>5034</v>
      </c>
      <c r="H3979" s="3" t="s">
        <v>5926</v>
      </c>
      <c r="I3979" s="17">
        <v>45569</v>
      </c>
      <c r="J3979" s="18">
        <f>YEAR(Tabla1[[#This Row],[FECHA DE COMPRA]])</f>
        <v>2024</v>
      </c>
      <c r="K3979" s="19">
        <v>83.63</v>
      </c>
      <c r="L3979" s="20">
        <v>0.3</v>
      </c>
      <c r="M3979" s="19">
        <f>Tienda!$K1316-Tienda!$K1316*Tienda!$L1316</f>
        <v>94.45</v>
      </c>
      <c r="N3979" s="3" t="s">
        <v>10038</v>
      </c>
      <c r="O3979" s="3" t="s">
        <v>10041</v>
      </c>
      <c r="P3979" s="17">
        <v>45569</v>
      </c>
      <c r="Q3979" s="4">
        <v>0</v>
      </c>
    </row>
    <row r="3980" spans="1:17" ht="30" x14ac:dyDescent="0.25">
      <c r="A3980" s="2" t="s">
        <v>1718</v>
      </c>
      <c r="B3980" s="3" t="s">
        <v>5015</v>
      </c>
      <c r="C3980" s="3">
        <v>43</v>
      </c>
      <c r="D3980" s="46" t="str">
        <f>IF(Tabla1[[#This Row],[EDAD]]&lt;=35,"Adultos jóvenes 18 - 35 años",IF(C3980&gt;=36,"Adultos mayores 36 años en adelante"))</f>
        <v>Adultos mayores 36 años en adelante</v>
      </c>
      <c r="E3980" s="3" t="s">
        <v>5019</v>
      </c>
      <c r="F3980" s="3" t="s">
        <v>5024</v>
      </c>
      <c r="G3980" s="3" t="s">
        <v>5031</v>
      </c>
      <c r="H3980" s="3" t="s">
        <v>6741</v>
      </c>
      <c r="I3980" s="17">
        <v>45525</v>
      </c>
      <c r="J3980" s="18">
        <f>YEAR(Tabla1[[#This Row],[FECHA DE COMPRA]])</f>
        <v>2024</v>
      </c>
      <c r="K3980" s="19">
        <v>59.05</v>
      </c>
      <c r="L3980" s="20">
        <v>0</v>
      </c>
      <c r="M3980" s="19">
        <f>Tienda!$K1319-Tienda!$K1319*Tienda!$L1319</f>
        <v>95.328000000000003</v>
      </c>
      <c r="N3980" s="3" t="s">
        <v>10038</v>
      </c>
      <c r="O3980" s="3" t="s">
        <v>10041</v>
      </c>
      <c r="P3980" s="17">
        <v>45525</v>
      </c>
      <c r="Q3980" s="4">
        <v>0</v>
      </c>
    </row>
    <row r="3981" spans="1:17" ht="30" x14ac:dyDescent="0.25">
      <c r="A3981" s="2" t="s">
        <v>276</v>
      </c>
      <c r="B3981" s="3" t="s">
        <v>5015</v>
      </c>
      <c r="C3981" s="3">
        <v>62</v>
      </c>
      <c r="D3981" s="46" t="str">
        <f>IF(Tabla1[[#This Row],[EDAD]]&lt;=35,"Adultos jóvenes 18 - 35 años",IF(C3981&gt;=36,"Adultos mayores 36 años en adelante"))</f>
        <v>Adultos mayores 36 años en adelante</v>
      </c>
      <c r="E3981" s="3" t="s">
        <v>5017</v>
      </c>
      <c r="F3981" s="3" t="s">
        <v>5029</v>
      </c>
      <c r="G3981" s="3" t="s">
        <v>5035</v>
      </c>
      <c r="H3981" s="3" t="s">
        <v>5299</v>
      </c>
      <c r="I3981" s="17">
        <v>45460</v>
      </c>
      <c r="J3981" s="18">
        <f>YEAR(Tabla1[[#This Row],[FECHA DE COMPRA]])</f>
        <v>2024</v>
      </c>
      <c r="K3981" s="19">
        <v>59.87</v>
      </c>
      <c r="L3981" s="20">
        <v>0</v>
      </c>
      <c r="M3981" s="19">
        <f>Tienda!$K1323-Tienda!$K1323*Tienda!$L1323</f>
        <v>99.808000000000007</v>
      </c>
      <c r="N3981" s="3" t="s">
        <v>10038</v>
      </c>
      <c r="O3981" s="3" t="s">
        <v>10041</v>
      </c>
      <c r="P3981" s="17">
        <v>45460</v>
      </c>
      <c r="Q3981" s="4">
        <v>0</v>
      </c>
    </row>
    <row r="3982" spans="1:17" ht="30" x14ac:dyDescent="0.25">
      <c r="A3982" s="2" t="s">
        <v>2163</v>
      </c>
      <c r="B3982" s="3" t="s">
        <v>5015</v>
      </c>
      <c r="C3982" s="3">
        <v>46</v>
      </c>
      <c r="D3982" s="46" t="str">
        <f>IF(Tabla1[[#This Row],[EDAD]]&lt;=35,"Adultos jóvenes 18 - 35 años",IF(C3982&gt;=36,"Adultos mayores 36 años en adelante"))</f>
        <v>Adultos mayores 36 años en adelante</v>
      </c>
      <c r="E3982" s="3" t="s">
        <v>5018</v>
      </c>
      <c r="F3982" s="3" t="s">
        <v>5025</v>
      </c>
      <c r="G3982" s="3" t="s">
        <v>5037</v>
      </c>
      <c r="H3982" s="3" t="s">
        <v>7186</v>
      </c>
      <c r="I3982" s="17">
        <v>45624</v>
      </c>
      <c r="J3982" s="18">
        <f>YEAR(Tabla1[[#This Row],[FECHA DE COMPRA]])</f>
        <v>2024</v>
      </c>
      <c r="K3982" s="19">
        <v>88.31</v>
      </c>
      <c r="L3982" s="20">
        <v>0.3</v>
      </c>
      <c r="M3982" s="19">
        <f>Tienda!$K1332-Tienda!$K1332*Tienda!$L1332</f>
        <v>114.98</v>
      </c>
      <c r="N3982" s="3" t="s">
        <v>10038</v>
      </c>
      <c r="O3982" s="3" t="s">
        <v>10041</v>
      </c>
      <c r="P3982" s="17">
        <v>45400</v>
      </c>
      <c r="Q3982" s="4">
        <v>0</v>
      </c>
    </row>
    <row r="3983" spans="1:17" ht="30" x14ac:dyDescent="0.25">
      <c r="A3983" s="2" t="s">
        <v>230</v>
      </c>
      <c r="B3983" s="3" t="s">
        <v>5016</v>
      </c>
      <c r="C3983" s="3">
        <v>44</v>
      </c>
      <c r="D3983" s="46" t="str">
        <f>IF(Tabla1[[#This Row],[EDAD]]&lt;=35,"Adultos jóvenes 18 - 35 años",IF(C3983&gt;=36,"Adultos mayores 36 años en adelante"))</f>
        <v>Adultos mayores 36 años en adelante</v>
      </c>
      <c r="E3983" s="3" t="s">
        <v>5023</v>
      </c>
      <c r="F3983" s="3" t="s">
        <v>5028</v>
      </c>
      <c r="G3983" s="3" t="s">
        <v>5033</v>
      </c>
      <c r="H3983" s="3" t="s">
        <v>5253</v>
      </c>
      <c r="I3983" s="17">
        <v>45624</v>
      </c>
      <c r="J3983" s="18">
        <f>YEAR(Tabla1[[#This Row],[FECHA DE COMPRA]])</f>
        <v>2024</v>
      </c>
      <c r="K3983" s="19">
        <v>77.8</v>
      </c>
      <c r="L3983" s="20">
        <v>0.2</v>
      </c>
      <c r="M3983" s="19">
        <f>Tienda!$K1335-Tienda!$K1335*Tienda!$L1335</f>
        <v>121.32</v>
      </c>
      <c r="N3983" s="3" t="s">
        <v>10038</v>
      </c>
      <c r="O3983" s="3" t="s">
        <v>10041</v>
      </c>
      <c r="P3983" s="17">
        <v>45481</v>
      </c>
      <c r="Q3983" s="4">
        <v>0</v>
      </c>
    </row>
    <row r="3984" spans="1:17" ht="30" x14ac:dyDescent="0.25">
      <c r="A3984" s="2" t="s">
        <v>3769</v>
      </c>
      <c r="B3984" s="3" t="s">
        <v>5015</v>
      </c>
      <c r="C3984" s="3">
        <v>38</v>
      </c>
      <c r="D3984" s="46" t="str">
        <f>IF(Tabla1[[#This Row],[EDAD]]&lt;=35,"Adultos jóvenes 18 - 35 años",IF(C3984&gt;=36,"Adultos mayores 36 años en adelante"))</f>
        <v>Adultos mayores 36 años en adelante</v>
      </c>
      <c r="E3984" s="3" t="s">
        <v>5017</v>
      </c>
      <c r="F3984" s="3" t="s">
        <v>5029</v>
      </c>
      <c r="G3984" s="3" t="s">
        <v>5036</v>
      </c>
      <c r="H3984" s="3" t="s">
        <v>8792</v>
      </c>
      <c r="I3984" s="17">
        <v>45649</v>
      </c>
      <c r="J3984" s="18">
        <f>YEAR(Tabla1[[#This Row],[FECHA DE COMPRA]])</f>
        <v>2024</v>
      </c>
      <c r="K3984" s="19">
        <v>69.61</v>
      </c>
      <c r="L3984" s="20">
        <v>0.1</v>
      </c>
      <c r="M3984" s="19">
        <f>Tienda!$K1338-Tienda!$K1338*Tienda!$L1338</f>
        <v>127.10699999999999</v>
      </c>
      <c r="N3984" s="3" t="s">
        <v>10038</v>
      </c>
      <c r="O3984" s="3" t="s">
        <v>10041</v>
      </c>
      <c r="P3984" s="17">
        <v>45305</v>
      </c>
      <c r="Q3984" s="4">
        <v>0</v>
      </c>
    </row>
    <row r="3985" spans="1:17" ht="30" x14ac:dyDescent="0.25">
      <c r="A3985" s="2" t="s">
        <v>459</v>
      </c>
      <c r="B3985" s="3" t="s">
        <v>5015</v>
      </c>
      <c r="C3985" s="3">
        <v>45</v>
      </c>
      <c r="D3985" s="46" t="str">
        <f>IF(Tabla1[[#This Row],[EDAD]]&lt;=35,"Adultos jóvenes 18 - 35 años",IF(C3985&gt;=36,"Adultos mayores 36 años en adelante"))</f>
        <v>Adultos mayores 36 años en adelante</v>
      </c>
      <c r="E3985" s="3" t="s">
        <v>5022</v>
      </c>
      <c r="F3985" s="3" t="s">
        <v>5028</v>
      </c>
      <c r="G3985" s="3" t="s">
        <v>5036</v>
      </c>
      <c r="H3985" s="3" t="s">
        <v>5482</v>
      </c>
      <c r="I3985" s="17">
        <v>45420</v>
      </c>
      <c r="J3985" s="18">
        <f>YEAR(Tabla1[[#This Row],[FECHA DE COMPRA]])</f>
        <v>2024</v>
      </c>
      <c r="K3985" s="19">
        <v>69.900000000000006</v>
      </c>
      <c r="L3985" s="20">
        <v>0.1</v>
      </c>
      <c r="M3985" s="19">
        <f>Tienda!$K1342-Tienda!$K1342*Tienda!$L1342</f>
        <v>130.05599999999998</v>
      </c>
      <c r="N3985" s="3" t="s">
        <v>10038</v>
      </c>
      <c r="O3985" s="3" t="s">
        <v>10041</v>
      </c>
      <c r="P3985" s="17">
        <v>45420</v>
      </c>
      <c r="Q3985" s="4">
        <v>0</v>
      </c>
    </row>
    <row r="3986" spans="1:17" ht="30" x14ac:dyDescent="0.25">
      <c r="A3986" s="2" t="s">
        <v>1059</v>
      </c>
      <c r="B3986" s="3" t="s">
        <v>5015</v>
      </c>
      <c r="C3986" s="3">
        <v>60</v>
      </c>
      <c r="D3986" s="46" t="str">
        <f>IF(Tabla1[[#This Row],[EDAD]]&lt;=35,"Adultos jóvenes 18 - 35 años",IF(C3986&gt;=36,"Adultos mayores 36 años en adelante"))</f>
        <v>Adultos mayores 36 años en adelante</v>
      </c>
      <c r="E3986" s="3" t="s">
        <v>5023</v>
      </c>
      <c r="F3986" s="3" t="s">
        <v>5026</v>
      </c>
      <c r="G3986" s="3" t="s">
        <v>5037</v>
      </c>
      <c r="H3986" s="3" t="s">
        <v>6082</v>
      </c>
      <c r="I3986" s="17">
        <v>45649</v>
      </c>
      <c r="J3986" s="18">
        <f>YEAR(Tabla1[[#This Row],[FECHA DE COMPRA]])</f>
        <v>2024</v>
      </c>
      <c r="K3986" s="19">
        <v>91.62</v>
      </c>
      <c r="L3986" s="20">
        <v>0.3</v>
      </c>
      <c r="M3986" s="19">
        <f>Tienda!$K1349-Tienda!$K1349*Tienda!$L1349</f>
        <v>140.83199999999999</v>
      </c>
      <c r="N3986" s="3" t="s">
        <v>10038</v>
      </c>
      <c r="O3986" s="3" t="s">
        <v>10041</v>
      </c>
      <c r="P3986" s="17">
        <v>45292</v>
      </c>
      <c r="Q3986" s="4">
        <v>0</v>
      </c>
    </row>
    <row r="3987" spans="1:17" ht="30" x14ac:dyDescent="0.25">
      <c r="A3987" s="2" t="s">
        <v>369</v>
      </c>
      <c r="B3987" s="3" t="s">
        <v>5015</v>
      </c>
      <c r="C3987" s="3">
        <v>41</v>
      </c>
      <c r="D3987" s="46" t="str">
        <f>IF(Tabla1[[#This Row],[EDAD]]&lt;=35,"Adultos jóvenes 18 - 35 años",IF(C3987&gt;=36,"Adultos mayores 36 años en adelante"))</f>
        <v>Adultos mayores 36 años en adelante</v>
      </c>
      <c r="E3987" s="3" t="s">
        <v>5018</v>
      </c>
      <c r="F3987" s="3" t="s">
        <v>5030</v>
      </c>
      <c r="G3987" s="3" t="s">
        <v>5032</v>
      </c>
      <c r="H3987" s="3" t="s">
        <v>5392</v>
      </c>
      <c r="I3987" s="17">
        <v>45437</v>
      </c>
      <c r="J3987" s="18">
        <f>YEAR(Tabla1[[#This Row],[FECHA DE COMPRA]])</f>
        <v>2024</v>
      </c>
      <c r="K3987" s="19">
        <v>64.14</v>
      </c>
      <c r="L3987" s="20">
        <v>0</v>
      </c>
      <c r="M3987" s="19">
        <f>Tienda!$K1350-Tienda!$K1350*Tienda!$L1350</f>
        <v>141.24799999999999</v>
      </c>
      <c r="N3987" s="3" t="s">
        <v>10038</v>
      </c>
      <c r="O3987" s="3" t="s">
        <v>10041</v>
      </c>
      <c r="P3987" s="17">
        <v>45437</v>
      </c>
      <c r="Q3987" s="4">
        <v>0</v>
      </c>
    </row>
    <row r="3988" spans="1:17" ht="30" x14ac:dyDescent="0.25">
      <c r="A3988" s="2" t="s">
        <v>4761</v>
      </c>
      <c r="B3988" s="3" t="s">
        <v>5015</v>
      </c>
      <c r="C3988" s="3">
        <v>64</v>
      </c>
      <c r="D3988" s="46" t="str">
        <f>IF(Tabla1[[#This Row],[EDAD]]&lt;=35,"Adultos jóvenes 18 - 35 años",IF(C3988&gt;=36,"Adultos mayores 36 años en adelante"))</f>
        <v>Adultos mayores 36 años en adelante</v>
      </c>
      <c r="E3988" s="3" t="s">
        <v>5023</v>
      </c>
      <c r="F3988" s="3" t="s">
        <v>5027</v>
      </c>
      <c r="G3988" s="3" t="s">
        <v>5036</v>
      </c>
      <c r="H3988" s="3" t="s">
        <v>9784</v>
      </c>
      <c r="I3988" s="17">
        <v>45639</v>
      </c>
      <c r="J3988" s="18">
        <f>YEAR(Tabla1[[#This Row],[FECHA DE COMPRA]])</f>
        <v>2024</v>
      </c>
      <c r="K3988" s="19">
        <v>91.75</v>
      </c>
      <c r="L3988" s="20">
        <v>0.3</v>
      </c>
      <c r="M3988" s="19">
        <f>Tienda!$K1351-Tienda!$K1351*Tienda!$L1351</f>
        <v>141.26400000000001</v>
      </c>
      <c r="N3988" s="3" t="s">
        <v>10038</v>
      </c>
      <c r="O3988" s="3" t="s">
        <v>10041</v>
      </c>
      <c r="P3988" s="17">
        <v>45639</v>
      </c>
      <c r="Q3988" s="4">
        <v>0</v>
      </c>
    </row>
    <row r="3989" spans="1:17" ht="30" x14ac:dyDescent="0.25">
      <c r="A3989" s="2" t="s">
        <v>1659</v>
      </c>
      <c r="B3989" s="3" t="s">
        <v>5015</v>
      </c>
      <c r="C3989" s="3">
        <v>36</v>
      </c>
      <c r="D3989" s="46" t="str">
        <f>IF(Tabla1[[#This Row],[EDAD]]&lt;=35,"Adultos jóvenes 18 - 35 años",IF(C3989&gt;=36,"Adultos mayores 36 años en adelante"))</f>
        <v>Adultos mayores 36 años en adelante</v>
      </c>
      <c r="E3989" s="3" t="s">
        <v>5018</v>
      </c>
      <c r="F3989" s="3" t="s">
        <v>5030</v>
      </c>
      <c r="G3989" s="3" t="s">
        <v>5036</v>
      </c>
      <c r="H3989" s="3" t="s">
        <v>6682</v>
      </c>
      <c r="I3989" s="17">
        <v>45424</v>
      </c>
      <c r="J3989" s="18">
        <f>YEAR(Tabla1[[#This Row],[FECHA DE COMPRA]])</f>
        <v>2024</v>
      </c>
      <c r="K3989" s="19">
        <v>80.319999999999993</v>
      </c>
      <c r="L3989" s="20">
        <v>0.2</v>
      </c>
      <c r="M3989" s="19">
        <f>Tienda!$K1353-Tienda!$K1353*Tienda!$L1353</f>
        <v>144.51</v>
      </c>
      <c r="N3989" s="3" t="s">
        <v>10038</v>
      </c>
      <c r="O3989" s="3" t="s">
        <v>10041</v>
      </c>
      <c r="P3989" s="17">
        <v>45424</v>
      </c>
      <c r="Q3989" s="4">
        <v>0</v>
      </c>
    </row>
    <row r="3990" spans="1:17" ht="30" x14ac:dyDescent="0.25">
      <c r="A3990" s="2" t="s">
        <v>2369</v>
      </c>
      <c r="B3990" s="3" t="s">
        <v>5015</v>
      </c>
      <c r="C3990" s="3">
        <v>38</v>
      </c>
      <c r="D3990" s="46" t="str">
        <f>IF(Tabla1[[#This Row],[EDAD]]&lt;=35,"Adultos jóvenes 18 - 35 años",IF(C3990&gt;=36,"Adultos mayores 36 años en adelante"))</f>
        <v>Adultos mayores 36 años en adelante</v>
      </c>
      <c r="E3990" s="3" t="s">
        <v>5023</v>
      </c>
      <c r="F3990" s="3" t="s">
        <v>5027</v>
      </c>
      <c r="G3990" s="3" t="s">
        <v>5031</v>
      </c>
      <c r="H3990" s="3" t="s">
        <v>7392</v>
      </c>
      <c r="I3990" s="17">
        <v>45382</v>
      </c>
      <c r="J3990" s="18">
        <f>YEAR(Tabla1[[#This Row],[FECHA DE COMPRA]])</f>
        <v>2024</v>
      </c>
      <c r="K3990" s="19">
        <v>80.819999999999993</v>
      </c>
      <c r="L3990" s="20">
        <v>0.2</v>
      </c>
      <c r="M3990" s="19">
        <f>Tienda!$K1355-Tienda!$K1355*Tienda!$L1355</f>
        <v>147.19200000000001</v>
      </c>
      <c r="N3990" s="3" t="s">
        <v>10038</v>
      </c>
      <c r="O3990" s="3" t="s">
        <v>10041</v>
      </c>
      <c r="P3990" s="17">
        <v>45382</v>
      </c>
      <c r="Q3990" s="4">
        <v>0</v>
      </c>
    </row>
    <row r="3991" spans="1:17" ht="30" x14ac:dyDescent="0.25">
      <c r="A3991" s="2" t="s">
        <v>2853</v>
      </c>
      <c r="B3991" s="3" t="s">
        <v>5015</v>
      </c>
      <c r="C3991" s="3">
        <v>65</v>
      </c>
      <c r="D3991" s="46" t="str">
        <f>IF(Tabla1[[#This Row],[EDAD]]&lt;=35,"Adultos jóvenes 18 - 35 años",IF(C3991&gt;=36,"Adultos mayores 36 años en adelante"))</f>
        <v>Adultos mayores 36 años en adelante</v>
      </c>
      <c r="E3991" s="3" t="s">
        <v>5020</v>
      </c>
      <c r="F3991" s="3" t="s">
        <v>5030</v>
      </c>
      <c r="G3991" s="3" t="s">
        <v>5033</v>
      </c>
      <c r="H3991" s="3" t="s">
        <v>7876</v>
      </c>
      <c r="I3991" s="17">
        <v>45649</v>
      </c>
      <c r="J3991" s="18">
        <f>YEAR(Tabla1[[#This Row],[FECHA DE COMPRA]])</f>
        <v>2024</v>
      </c>
      <c r="K3991" s="19">
        <v>82.33</v>
      </c>
      <c r="L3991" s="20">
        <v>0.2</v>
      </c>
      <c r="M3991" s="19">
        <f>Tienda!$K1360-Tienda!$K1360*Tienda!$L1360</f>
        <v>155.63</v>
      </c>
      <c r="N3991" s="3" t="s">
        <v>10038</v>
      </c>
      <c r="O3991" s="3" t="s">
        <v>10041</v>
      </c>
      <c r="P3991" s="17">
        <v>45296</v>
      </c>
      <c r="Q3991" s="4">
        <v>0</v>
      </c>
    </row>
    <row r="3992" spans="1:17" ht="30" x14ac:dyDescent="0.25">
      <c r="A3992" s="2" t="s">
        <v>1069</v>
      </c>
      <c r="B3992" s="3" t="s">
        <v>5015</v>
      </c>
      <c r="C3992" s="3">
        <v>49</v>
      </c>
      <c r="D3992" s="46" t="str">
        <f>IF(Tabla1[[#This Row],[EDAD]]&lt;=35,"Adultos jóvenes 18 - 35 años",IF(C3992&gt;=36,"Adultos mayores 36 años en adelante"))</f>
        <v>Adultos mayores 36 años en adelante</v>
      </c>
      <c r="E3992" s="3" t="s">
        <v>5018</v>
      </c>
      <c r="F3992" s="3" t="s">
        <v>5030</v>
      </c>
      <c r="G3992" s="3" t="s">
        <v>5033</v>
      </c>
      <c r="H3992" s="3" t="s">
        <v>6092</v>
      </c>
      <c r="I3992" s="17">
        <v>45624</v>
      </c>
      <c r="J3992" s="18">
        <f>YEAR(Tabla1[[#This Row],[FECHA DE COMPRA]])</f>
        <v>2024</v>
      </c>
      <c r="K3992" s="19">
        <v>73.31</v>
      </c>
      <c r="L3992" s="20">
        <v>0.1</v>
      </c>
      <c r="M3992" s="19">
        <f>Tienda!$K1361-Tienda!$K1361*Tienda!$L1361</f>
        <v>158.24</v>
      </c>
      <c r="N3992" s="3" t="s">
        <v>10038</v>
      </c>
      <c r="O3992" s="3" t="s">
        <v>10041</v>
      </c>
      <c r="P3992" s="17">
        <v>45482</v>
      </c>
      <c r="Q3992" s="4">
        <v>0</v>
      </c>
    </row>
    <row r="3993" spans="1:17" ht="30" x14ac:dyDescent="0.25">
      <c r="A3993" s="2" t="s">
        <v>4364</v>
      </c>
      <c r="B3993" s="3" t="s">
        <v>5016</v>
      </c>
      <c r="C3993" s="3">
        <v>61</v>
      </c>
      <c r="D3993" s="46" t="str">
        <f>IF(Tabla1[[#This Row],[EDAD]]&lt;=35,"Adultos jóvenes 18 - 35 años",IF(C3993&gt;=36,"Adultos mayores 36 años en adelante"))</f>
        <v>Adultos mayores 36 años en adelante</v>
      </c>
      <c r="E3993" s="3" t="s">
        <v>5023</v>
      </c>
      <c r="F3993" s="3" t="s">
        <v>5024</v>
      </c>
      <c r="G3993" s="3" t="s">
        <v>5036</v>
      </c>
      <c r="H3993" s="3" t="s">
        <v>9387</v>
      </c>
      <c r="I3993" s="17">
        <v>45624</v>
      </c>
      <c r="J3993" s="18">
        <f>YEAR(Tabla1[[#This Row],[FECHA DE COMPRA]])</f>
        <v>2024</v>
      </c>
      <c r="K3993" s="19">
        <v>96.21</v>
      </c>
      <c r="L3993" s="20">
        <v>0.3</v>
      </c>
      <c r="M3993" s="19">
        <f>Tienda!$K1366-Tienda!$K1366*Tienda!$L1366</f>
        <v>162.63999999999999</v>
      </c>
      <c r="N3993" s="3" t="s">
        <v>10038</v>
      </c>
      <c r="O3993" s="3" t="s">
        <v>10041</v>
      </c>
      <c r="P3993" s="17">
        <v>45411</v>
      </c>
      <c r="Q3993" s="4">
        <v>0</v>
      </c>
    </row>
    <row r="3994" spans="1:17" ht="30" x14ac:dyDescent="0.25">
      <c r="A3994" s="2" t="s">
        <v>3068</v>
      </c>
      <c r="B3994" s="3" t="s">
        <v>5015</v>
      </c>
      <c r="C3994" s="3">
        <v>58</v>
      </c>
      <c r="D3994" s="46" t="str">
        <f>IF(Tabla1[[#This Row],[EDAD]]&lt;=35,"Adultos jóvenes 18 - 35 años",IF(C3994&gt;=36,"Adultos mayores 36 años en adelante"))</f>
        <v>Adultos mayores 36 años en adelante</v>
      </c>
      <c r="E3994" s="3" t="s">
        <v>5019</v>
      </c>
      <c r="F3994" s="3" t="s">
        <v>5026</v>
      </c>
      <c r="G3994" s="3" t="s">
        <v>5034</v>
      </c>
      <c r="H3994" s="3" t="s">
        <v>8091</v>
      </c>
      <c r="I3994" s="17">
        <v>45541</v>
      </c>
      <c r="J3994" s="18">
        <f>YEAR(Tabla1[[#This Row],[FECHA DE COMPRA]])</f>
        <v>2024</v>
      </c>
      <c r="K3994" s="19">
        <v>67.45</v>
      </c>
      <c r="L3994" s="20">
        <v>0</v>
      </c>
      <c r="M3994" s="19">
        <f>Tienda!$K1369-Tienda!$K1369*Tienda!$L1369</f>
        <v>168.66</v>
      </c>
      <c r="N3994" s="3" t="s">
        <v>10038</v>
      </c>
      <c r="O3994" s="3" t="s">
        <v>10041</v>
      </c>
      <c r="P3994" s="17">
        <v>45541</v>
      </c>
      <c r="Q3994" s="4">
        <v>0</v>
      </c>
    </row>
    <row r="3995" spans="1:17" ht="30" x14ac:dyDescent="0.25">
      <c r="A3995" s="2" t="s">
        <v>1269</v>
      </c>
      <c r="B3995" s="3" t="s">
        <v>5015</v>
      </c>
      <c r="C3995" s="3">
        <v>47</v>
      </c>
      <c r="D3995" s="46" t="str">
        <f>IF(Tabla1[[#This Row],[EDAD]]&lt;=35,"Adultos jóvenes 18 - 35 años",IF(C3995&gt;=36,"Adultos mayores 36 años en adelante"))</f>
        <v>Adultos mayores 36 años en adelante</v>
      </c>
      <c r="E3995" s="3" t="s">
        <v>5022</v>
      </c>
      <c r="F3995" s="3" t="s">
        <v>5026</v>
      </c>
      <c r="G3995" s="3" t="s">
        <v>5035</v>
      </c>
      <c r="H3995" s="3" t="s">
        <v>6292</v>
      </c>
      <c r="I3995" s="17">
        <v>45653</v>
      </c>
      <c r="J3995" s="18">
        <f>YEAR(Tabla1[[#This Row],[FECHA DE COMPRA]])</f>
        <v>2024</v>
      </c>
      <c r="K3995" s="19">
        <v>75.25</v>
      </c>
      <c r="L3995" s="20">
        <v>0.1</v>
      </c>
      <c r="M3995" s="19">
        <f>Tienda!$K1372-Tienda!$K1372*Tienda!$L1372</f>
        <v>197.59</v>
      </c>
      <c r="N3995" s="3" t="s">
        <v>10038</v>
      </c>
      <c r="O3995" s="3" t="s">
        <v>10041</v>
      </c>
      <c r="P3995" s="17">
        <v>45653</v>
      </c>
      <c r="Q3995" s="4">
        <v>0</v>
      </c>
    </row>
    <row r="3996" spans="1:17" ht="30" x14ac:dyDescent="0.25">
      <c r="A3996" s="2" t="s">
        <v>303</v>
      </c>
      <c r="B3996" s="3" t="s">
        <v>5015</v>
      </c>
      <c r="C3996" s="3">
        <v>47</v>
      </c>
      <c r="D3996" s="46" t="str">
        <f>IF(Tabla1[[#This Row],[EDAD]]&lt;=35,"Adultos jóvenes 18 - 35 años",IF(C3996&gt;=36,"Adultos mayores 36 años en adelante"))</f>
        <v>Adultos mayores 36 años en adelante</v>
      </c>
      <c r="E3996" s="3" t="s">
        <v>5018</v>
      </c>
      <c r="F3996" s="3" t="s">
        <v>5029</v>
      </c>
      <c r="G3996" s="3" t="s">
        <v>5037</v>
      </c>
      <c r="H3996" s="3" t="s">
        <v>5326</v>
      </c>
      <c r="I3996" s="17">
        <v>45335</v>
      </c>
      <c r="J3996" s="18">
        <f>YEAR(Tabla1[[#This Row],[FECHA DE COMPRA]])</f>
        <v>2024</v>
      </c>
      <c r="K3996" s="19">
        <v>99.37</v>
      </c>
      <c r="L3996" s="20">
        <v>0.3</v>
      </c>
      <c r="M3996" s="19">
        <f>Tienda!$K1373-Tienda!$K1373*Tienda!$L1373</f>
        <v>35.909999999999997</v>
      </c>
      <c r="N3996" s="3" t="s">
        <v>10038</v>
      </c>
      <c r="O3996" s="3" t="s">
        <v>10041</v>
      </c>
      <c r="P3996" s="17">
        <v>45368</v>
      </c>
      <c r="Q3996" s="4">
        <v>0</v>
      </c>
    </row>
    <row r="3997" spans="1:17" ht="30" x14ac:dyDescent="0.25">
      <c r="A3997" s="2" t="s">
        <v>864</v>
      </c>
      <c r="B3997" s="3" t="s">
        <v>5015</v>
      </c>
      <c r="C3997" s="3">
        <v>56</v>
      </c>
      <c r="D3997" s="46" t="str">
        <f>IF(Tabla1[[#This Row],[EDAD]]&lt;=35,"Adultos jóvenes 18 - 35 años",IF(C3997&gt;=36,"Adultos mayores 36 años en adelante"))</f>
        <v>Adultos mayores 36 años en adelante</v>
      </c>
      <c r="E3997" s="3" t="s">
        <v>5018</v>
      </c>
      <c r="F3997" s="3" t="s">
        <v>5024</v>
      </c>
      <c r="G3997" s="3" t="s">
        <v>5036</v>
      </c>
      <c r="H3997" s="3" t="s">
        <v>5887</v>
      </c>
      <c r="I3997" s="17">
        <v>45656</v>
      </c>
      <c r="J3997" s="18">
        <f>YEAR(Tabla1[[#This Row],[FECHA DE COMPRA]])</f>
        <v>2024</v>
      </c>
      <c r="K3997" s="19">
        <v>100.95</v>
      </c>
      <c r="L3997" s="20">
        <v>0.3</v>
      </c>
      <c r="M3997" s="19">
        <f>Tienda!$K1384-Tienda!$K1384*Tienda!$L1384</f>
        <v>39.256</v>
      </c>
      <c r="N3997" s="3" t="s">
        <v>10038</v>
      </c>
      <c r="O3997" s="3" t="s">
        <v>10041</v>
      </c>
      <c r="P3997" s="17">
        <v>45656</v>
      </c>
      <c r="Q3997" s="4">
        <v>0</v>
      </c>
    </row>
    <row r="3998" spans="1:17" ht="30" x14ac:dyDescent="0.25">
      <c r="A3998" s="2" t="s">
        <v>648</v>
      </c>
      <c r="B3998" s="3" t="s">
        <v>5015</v>
      </c>
      <c r="C3998" s="3">
        <v>45</v>
      </c>
      <c r="D3998" s="46" t="str">
        <f>IF(Tabla1[[#This Row],[EDAD]]&lt;=35,"Adultos jóvenes 18 - 35 años",IF(C3998&gt;=36,"Adultos mayores 36 años en adelante"))</f>
        <v>Adultos mayores 36 años en adelante</v>
      </c>
      <c r="E3998" s="3" t="s">
        <v>5017</v>
      </c>
      <c r="F3998" s="3" t="s">
        <v>5030</v>
      </c>
      <c r="G3998" s="3" t="s">
        <v>5032</v>
      </c>
      <c r="H3998" s="3" t="s">
        <v>5671</v>
      </c>
      <c r="I3998" s="17">
        <v>45609</v>
      </c>
      <c r="J3998" s="18">
        <f>YEAR(Tabla1[[#This Row],[FECHA DE COMPRA]])</f>
        <v>2024</v>
      </c>
      <c r="K3998" s="19">
        <v>71.86</v>
      </c>
      <c r="L3998" s="20">
        <v>0</v>
      </c>
      <c r="M3998" s="19">
        <f>Tienda!$K1389-Tienda!$K1389*Tienda!$L1389</f>
        <v>42.456000000000003</v>
      </c>
      <c r="N3998" s="3" t="s">
        <v>10038</v>
      </c>
      <c r="O3998" s="3" t="s">
        <v>10041</v>
      </c>
      <c r="P3998" s="17">
        <v>45609</v>
      </c>
      <c r="Q3998" s="4">
        <v>0</v>
      </c>
    </row>
    <row r="3999" spans="1:17" ht="30" x14ac:dyDescent="0.25">
      <c r="A3999" s="2" t="s">
        <v>4052</v>
      </c>
      <c r="B3999" s="3" t="s">
        <v>5016</v>
      </c>
      <c r="C3999" s="3">
        <v>54</v>
      </c>
      <c r="D3999" s="46" t="str">
        <f>IF(Tabla1[[#This Row],[EDAD]]&lt;=35,"Adultos jóvenes 18 - 35 años",IF(C3999&gt;=36,"Adultos mayores 36 años en adelante"))</f>
        <v>Adultos mayores 36 años en adelante</v>
      </c>
      <c r="E3999" s="3" t="s">
        <v>5019</v>
      </c>
      <c r="F3999" s="3" t="s">
        <v>5025</v>
      </c>
      <c r="G3999" s="3" t="s">
        <v>5036</v>
      </c>
      <c r="H3999" s="3" t="s">
        <v>9075</v>
      </c>
      <c r="I3999" s="17">
        <v>45526</v>
      </c>
      <c r="J3999" s="18">
        <f>YEAR(Tabla1[[#This Row],[FECHA DE COMPRA]])</f>
        <v>2024</v>
      </c>
      <c r="K3999" s="19">
        <v>80.709999999999994</v>
      </c>
      <c r="L3999" s="20">
        <v>0.1</v>
      </c>
      <c r="M3999" s="19">
        <f>Tienda!$K1391-Tienda!$K1391*Tienda!$L1391</f>
        <v>44.46</v>
      </c>
      <c r="N3999" s="3" t="s">
        <v>10038</v>
      </c>
      <c r="O3999" s="3" t="s">
        <v>10041</v>
      </c>
      <c r="P3999" s="17">
        <v>45526</v>
      </c>
      <c r="Q3999" s="4">
        <v>0</v>
      </c>
    </row>
    <row r="4000" spans="1:17" ht="30" x14ac:dyDescent="0.25">
      <c r="A4000" s="2" t="s">
        <v>428</v>
      </c>
      <c r="B4000" s="3" t="s">
        <v>5015</v>
      </c>
      <c r="C4000" s="3">
        <v>41</v>
      </c>
      <c r="D4000" s="46" t="str">
        <f>IF(Tabla1[[#This Row],[EDAD]]&lt;=35,"Adultos jóvenes 18 - 35 años",IF(C4000&gt;=36,"Adultos mayores 36 años en adelante"))</f>
        <v>Adultos mayores 36 años en adelante</v>
      </c>
      <c r="E4000" s="3" t="s">
        <v>5019</v>
      </c>
      <c r="F4000" s="3" t="s">
        <v>5030</v>
      </c>
      <c r="G4000" s="3" t="s">
        <v>5036</v>
      </c>
      <c r="H4000" s="3" t="s">
        <v>5451</v>
      </c>
      <c r="I4000" s="17">
        <v>45624</v>
      </c>
      <c r="J4000" s="18">
        <f>YEAR(Tabla1[[#This Row],[FECHA DE COMPRA]])</f>
        <v>2024</v>
      </c>
      <c r="K4000" s="19">
        <v>90.95</v>
      </c>
      <c r="L4000" s="20">
        <v>0.2</v>
      </c>
      <c r="M4000" s="19">
        <f>Tienda!$K1392-Tienda!$K1392*Tienda!$L1392</f>
        <v>44.468999999999994</v>
      </c>
      <c r="N4000" s="3" t="s">
        <v>10038</v>
      </c>
      <c r="O4000" s="3" t="s">
        <v>10041</v>
      </c>
      <c r="P4000" s="17">
        <v>45489</v>
      </c>
      <c r="Q4000" s="4">
        <v>0</v>
      </c>
    </row>
    <row r="4001" spans="1:17" ht="30" x14ac:dyDescent="0.25">
      <c r="A4001" s="2" t="s">
        <v>2225</v>
      </c>
      <c r="B4001" s="3" t="s">
        <v>5015</v>
      </c>
      <c r="C4001" s="3">
        <v>57</v>
      </c>
      <c r="D4001" s="46" t="str">
        <f>IF(Tabla1[[#This Row],[EDAD]]&lt;=35,"Adultos jóvenes 18 - 35 años",IF(C4001&gt;=36,"Adultos mayores 36 años en adelante"))</f>
        <v>Adultos mayores 36 años en adelante</v>
      </c>
      <c r="E4001" s="3" t="s">
        <v>5020</v>
      </c>
      <c r="F4001" s="3" t="s">
        <v>5028</v>
      </c>
      <c r="G4001" s="3" t="s">
        <v>5032</v>
      </c>
      <c r="H4001" s="3" t="s">
        <v>7248</v>
      </c>
      <c r="I4001" s="17">
        <v>45597</v>
      </c>
      <c r="J4001" s="18">
        <f>YEAR(Tabla1[[#This Row],[FECHA DE COMPRA]])</f>
        <v>2024</v>
      </c>
      <c r="K4001" s="19">
        <v>91.04</v>
      </c>
      <c r="L4001" s="20">
        <v>0.2</v>
      </c>
      <c r="M4001" s="19">
        <f>Tienda!$K1393-Tienda!$K1393*Tienda!$L1393</f>
        <v>45.639000000000003</v>
      </c>
      <c r="N4001" s="3" t="s">
        <v>10038</v>
      </c>
      <c r="O4001" s="3" t="s">
        <v>10041</v>
      </c>
      <c r="P4001" s="17">
        <v>45597</v>
      </c>
      <c r="Q4001" s="4">
        <v>0</v>
      </c>
    </row>
    <row r="4002" spans="1:17" ht="30" x14ac:dyDescent="0.25">
      <c r="A4002" s="2" t="s">
        <v>1484</v>
      </c>
      <c r="B4002" s="3" t="s">
        <v>5015</v>
      </c>
      <c r="C4002" s="3">
        <v>48</v>
      </c>
      <c r="D4002" s="46" t="str">
        <f>IF(Tabla1[[#This Row],[EDAD]]&lt;=35,"Adultos jóvenes 18 - 35 años",IF(C4002&gt;=36,"Adultos mayores 36 años en adelante"))</f>
        <v>Adultos mayores 36 años en adelante</v>
      </c>
      <c r="E4002" s="3" t="s">
        <v>5022</v>
      </c>
      <c r="F4002" s="3" t="s">
        <v>5024</v>
      </c>
      <c r="G4002" s="3" t="s">
        <v>5032</v>
      </c>
      <c r="H4002" s="3" t="s">
        <v>6507</v>
      </c>
      <c r="I4002" s="17">
        <v>45402</v>
      </c>
      <c r="J4002" s="18">
        <f>YEAR(Tabla1[[#This Row],[FECHA DE COMPRA]])</f>
        <v>2024</v>
      </c>
      <c r="K4002" s="19">
        <v>81.23</v>
      </c>
      <c r="L4002" s="20">
        <v>0.1</v>
      </c>
      <c r="M4002" s="19">
        <f>Tienda!$K1395-Tienda!$K1395*Tienda!$L1395</f>
        <v>45.688999999999993</v>
      </c>
      <c r="N4002" s="3" t="s">
        <v>10038</v>
      </c>
      <c r="O4002" s="3" t="s">
        <v>10041</v>
      </c>
      <c r="P4002" s="17">
        <v>45402</v>
      </c>
      <c r="Q4002" s="4">
        <v>0</v>
      </c>
    </row>
    <row r="4003" spans="1:17" ht="30" x14ac:dyDescent="0.25">
      <c r="A4003" s="2" t="s">
        <v>4309</v>
      </c>
      <c r="B4003" s="3" t="s">
        <v>5015</v>
      </c>
      <c r="C4003" s="3">
        <v>42</v>
      </c>
      <c r="D4003" s="46" t="str">
        <f>IF(Tabla1[[#This Row],[EDAD]]&lt;=35,"Adultos jóvenes 18 - 35 años",IF(C4003&gt;=36,"Adultos mayores 36 años en adelante"))</f>
        <v>Adultos mayores 36 años en adelante</v>
      </c>
      <c r="E4003" s="3" t="s">
        <v>5020</v>
      </c>
      <c r="F4003" s="3" t="s">
        <v>5027</v>
      </c>
      <c r="G4003" s="3" t="s">
        <v>5034</v>
      </c>
      <c r="H4003" s="3" t="s">
        <v>9332</v>
      </c>
      <c r="I4003" s="17">
        <v>45422</v>
      </c>
      <c r="J4003" s="18">
        <f>YEAR(Tabla1[[#This Row],[FECHA DE COMPRA]])</f>
        <v>2024</v>
      </c>
      <c r="K4003" s="19">
        <v>91.58</v>
      </c>
      <c r="L4003" s="20">
        <v>0.2</v>
      </c>
      <c r="M4003" s="19">
        <f>Tienda!$K1397-Tienda!$K1397*Tienda!$L1397</f>
        <v>46.77</v>
      </c>
      <c r="N4003" s="3" t="s">
        <v>10038</v>
      </c>
      <c r="O4003" s="3" t="s">
        <v>10041</v>
      </c>
      <c r="P4003" s="17">
        <v>45422</v>
      </c>
      <c r="Q4003" s="4">
        <v>0</v>
      </c>
    </row>
    <row r="4004" spans="1:17" ht="30" x14ac:dyDescent="0.25">
      <c r="A4004" s="2" t="s">
        <v>3829</v>
      </c>
      <c r="B4004" s="3" t="s">
        <v>5015</v>
      </c>
      <c r="C4004" s="3">
        <v>38</v>
      </c>
      <c r="D4004" s="46" t="str">
        <f>IF(Tabla1[[#This Row],[EDAD]]&lt;=35,"Adultos jóvenes 18 - 35 años",IF(C4004&gt;=36,"Adultos mayores 36 años en adelante"))</f>
        <v>Adultos mayores 36 años en adelante</v>
      </c>
      <c r="E4004" s="3" t="s">
        <v>5022</v>
      </c>
      <c r="F4004" s="3" t="s">
        <v>5028</v>
      </c>
      <c r="G4004" s="3" t="s">
        <v>5034</v>
      </c>
      <c r="H4004" s="3" t="s">
        <v>8852</v>
      </c>
      <c r="I4004" s="17">
        <v>45467</v>
      </c>
      <c r="J4004" s="18">
        <f>YEAR(Tabla1[[#This Row],[FECHA DE COMPRA]])</f>
        <v>2024</v>
      </c>
      <c r="K4004" s="19">
        <v>74.91</v>
      </c>
      <c r="L4004" s="20">
        <v>0</v>
      </c>
      <c r="M4004" s="19">
        <f>Tienda!$K1407-Tienda!$K1407*Tienda!$L1407</f>
        <v>49.811999999999998</v>
      </c>
      <c r="N4004" s="3" t="s">
        <v>10038</v>
      </c>
      <c r="O4004" s="3" t="s">
        <v>10041</v>
      </c>
      <c r="P4004" s="17">
        <v>45467</v>
      </c>
      <c r="Q4004" s="4">
        <v>0</v>
      </c>
    </row>
    <row r="4005" spans="1:17" ht="30" x14ac:dyDescent="0.25">
      <c r="A4005" s="2" t="s">
        <v>3667</v>
      </c>
      <c r="B4005" s="3" t="s">
        <v>5015</v>
      </c>
      <c r="C4005" s="3">
        <v>52</v>
      </c>
      <c r="D4005" s="46" t="str">
        <f>IF(Tabla1[[#This Row],[EDAD]]&lt;=35,"Adultos jóvenes 18 - 35 años",IF(C4005&gt;=36,"Adultos mayores 36 años en adelante"))</f>
        <v>Adultos mayores 36 años en adelante</v>
      </c>
      <c r="E4005" s="3" t="s">
        <v>5023</v>
      </c>
      <c r="F4005" s="3" t="s">
        <v>5028</v>
      </c>
      <c r="G4005" s="3" t="s">
        <v>5034</v>
      </c>
      <c r="H4005" s="3" t="s">
        <v>8690</v>
      </c>
      <c r="I4005" s="17">
        <v>45596</v>
      </c>
      <c r="J4005" s="18">
        <f>YEAR(Tabla1[[#This Row],[FECHA DE COMPRA]])</f>
        <v>2024</v>
      </c>
      <c r="K4005" s="19">
        <v>77.849999999999994</v>
      </c>
      <c r="L4005" s="20">
        <v>0</v>
      </c>
      <c r="M4005" s="19">
        <f>Tienda!$K1423-Tienda!$K1423*Tienda!$L1423</f>
        <v>57.408000000000001</v>
      </c>
      <c r="N4005" s="3" t="s">
        <v>10038</v>
      </c>
      <c r="O4005" s="3" t="s">
        <v>10041</v>
      </c>
      <c r="P4005" s="17">
        <v>45596</v>
      </c>
      <c r="Q4005" s="4">
        <v>0</v>
      </c>
    </row>
    <row r="4006" spans="1:17" ht="30" x14ac:dyDescent="0.25">
      <c r="A4006" s="2" t="s">
        <v>4689</v>
      </c>
      <c r="B4006" s="3" t="s">
        <v>5015</v>
      </c>
      <c r="C4006" s="3">
        <v>41</v>
      </c>
      <c r="D4006" s="46" t="str">
        <f>IF(Tabla1[[#This Row],[EDAD]]&lt;=35,"Adultos jóvenes 18 - 35 años",IF(C4006&gt;=36,"Adultos mayores 36 años en adelante"))</f>
        <v>Adultos mayores 36 años en adelante</v>
      </c>
      <c r="E4006" s="3" t="s">
        <v>5017</v>
      </c>
      <c r="F4006" s="3" t="s">
        <v>5025</v>
      </c>
      <c r="G4006" s="3" t="s">
        <v>5037</v>
      </c>
      <c r="H4006" s="3" t="s">
        <v>9712</v>
      </c>
      <c r="I4006" s="17">
        <v>45526</v>
      </c>
      <c r="J4006" s="18">
        <f>YEAR(Tabla1[[#This Row],[FECHA DE COMPRA]])</f>
        <v>2024</v>
      </c>
      <c r="K4006" s="19">
        <v>97.57</v>
      </c>
      <c r="L4006" s="20">
        <v>0.2</v>
      </c>
      <c r="M4006" s="19">
        <f>Tienda!$K1424-Tienda!$K1424*Tienda!$L1424</f>
        <v>57.57</v>
      </c>
      <c r="N4006" s="3" t="s">
        <v>10038</v>
      </c>
      <c r="O4006" s="3" t="s">
        <v>10041</v>
      </c>
      <c r="P4006" s="17">
        <v>45526</v>
      </c>
      <c r="Q4006" s="4">
        <v>0</v>
      </c>
    </row>
    <row r="4007" spans="1:17" ht="30" x14ac:dyDescent="0.25">
      <c r="A4007" s="2" t="s">
        <v>4139</v>
      </c>
      <c r="B4007" s="3" t="s">
        <v>5015</v>
      </c>
      <c r="C4007" s="3">
        <v>62</v>
      </c>
      <c r="D4007" s="46" t="str">
        <f>IF(Tabla1[[#This Row],[EDAD]]&lt;=35,"Adultos jóvenes 18 - 35 años",IF(C4007&gt;=36,"Adultos mayores 36 años en adelante"))</f>
        <v>Adultos mayores 36 años en adelante</v>
      </c>
      <c r="E4007" s="3" t="s">
        <v>5018</v>
      </c>
      <c r="F4007" s="3" t="s">
        <v>5029</v>
      </c>
      <c r="G4007" s="3" t="s">
        <v>5036</v>
      </c>
      <c r="H4007" s="3" t="s">
        <v>9162</v>
      </c>
      <c r="I4007" s="17">
        <v>45594</v>
      </c>
      <c r="J4007" s="18">
        <f>YEAR(Tabla1[[#This Row],[FECHA DE COMPRA]])</f>
        <v>2024</v>
      </c>
      <c r="K4007" s="19">
        <v>97.58</v>
      </c>
      <c r="L4007" s="20">
        <v>0.2</v>
      </c>
      <c r="M4007" s="19">
        <f>Tienda!$K1426-Tienda!$K1426*Tienda!$L1426</f>
        <v>58.93</v>
      </c>
      <c r="N4007" s="3" t="s">
        <v>10038</v>
      </c>
      <c r="O4007" s="3" t="s">
        <v>10041</v>
      </c>
      <c r="P4007" s="17">
        <v>45594</v>
      </c>
      <c r="Q4007" s="4">
        <v>0</v>
      </c>
    </row>
    <row r="4008" spans="1:17" ht="30" x14ac:dyDescent="0.25">
      <c r="A4008" s="2" t="s">
        <v>1303</v>
      </c>
      <c r="B4008" s="3" t="s">
        <v>5016</v>
      </c>
      <c r="C4008" s="3">
        <v>41</v>
      </c>
      <c r="D4008" s="46" t="str">
        <f>IF(Tabla1[[#This Row],[EDAD]]&lt;=35,"Adultos jóvenes 18 - 35 años",IF(C4008&gt;=36,"Adultos mayores 36 años en adelante"))</f>
        <v>Adultos mayores 36 años en adelante</v>
      </c>
      <c r="E4008" s="3" t="s">
        <v>5019</v>
      </c>
      <c r="F4008" s="3" t="s">
        <v>5030</v>
      </c>
      <c r="G4008" s="3" t="s">
        <v>5034</v>
      </c>
      <c r="H4008" s="3" t="s">
        <v>6326</v>
      </c>
      <c r="I4008" s="17">
        <v>45624</v>
      </c>
      <c r="J4008" s="18">
        <f>YEAR(Tabla1[[#This Row],[FECHA DE COMPRA]])</f>
        <v>2024</v>
      </c>
      <c r="K4008" s="19">
        <v>87.68</v>
      </c>
      <c r="L4008" s="20">
        <v>0.1</v>
      </c>
      <c r="M4008" s="19">
        <f>Tienda!$K1428-Tienda!$K1428*Tienda!$L1428</f>
        <v>59.465000000000003</v>
      </c>
      <c r="N4008" s="3" t="s">
        <v>10038</v>
      </c>
      <c r="O4008" s="3" t="s">
        <v>10041</v>
      </c>
      <c r="P4008" s="17">
        <v>45493</v>
      </c>
      <c r="Q4008" s="4">
        <v>0</v>
      </c>
    </row>
    <row r="4009" spans="1:17" ht="30" x14ac:dyDescent="0.25">
      <c r="A4009" s="2" t="s">
        <v>371</v>
      </c>
      <c r="B4009" s="3" t="s">
        <v>5016</v>
      </c>
      <c r="C4009" s="3">
        <v>60</v>
      </c>
      <c r="D4009" s="46" t="str">
        <f>IF(Tabla1[[#This Row],[EDAD]]&lt;=35,"Adultos jóvenes 18 - 35 años",IF(C4009&gt;=36,"Adultos mayores 36 años en adelante"))</f>
        <v>Adultos mayores 36 años en adelante</v>
      </c>
      <c r="E4009" s="3" t="s">
        <v>5017</v>
      </c>
      <c r="F4009" s="3" t="s">
        <v>5029</v>
      </c>
      <c r="G4009" s="3" t="s">
        <v>5037</v>
      </c>
      <c r="H4009" s="3" t="s">
        <v>5394</v>
      </c>
      <c r="I4009" s="17">
        <v>45350</v>
      </c>
      <c r="J4009" s="18">
        <f>YEAR(Tabla1[[#This Row],[FECHA DE COMPRA]])</f>
        <v>2024</v>
      </c>
      <c r="K4009" s="19">
        <v>98.65</v>
      </c>
      <c r="L4009" s="20">
        <v>0.2</v>
      </c>
      <c r="M4009" s="19">
        <f>Tienda!$K1429-Tienda!$K1429*Tienda!$L1429</f>
        <v>60.63</v>
      </c>
      <c r="N4009" s="3" t="s">
        <v>10038</v>
      </c>
      <c r="O4009" s="3" t="s">
        <v>10041</v>
      </c>
      <c r="P4009" s="17">
        <v>45350</v>
      </c>
      <c r="Q4009" s="4">
        <v>0</v>
      </c>
    </row>
    <row r="4010" spans="1:17" ht="30" x14ac:dyDescent="0.25">
      <c r="A4010" s="2" t="s">
        <v>2144</v>
      </c>
      <c r="B4010" s="3" t="s">
        <v>5015</v>
      </c>
      <c r="C4010" s="3">
        <v>43</v>
      </c>
      <c r="D4010" s="46" t="str">
        <f>IF(Tabla1[[#This Row],[EDAD]]&lt;=35,"Adultos jóvenes 18 - 35 años",IF(C4010&gt;=36,"Adultos mayores 36 años en adelante"))</f>
        <v>Adultos mayores 36 años en adelante</v>
      </c>
      <c r="E4010" s="3" t="s">
        <v>5020</v>
      </c>
      <c r="F4010" s="3" t="s">
        <v>5029</v>
      </c>
      <c r="G4010" s="3" t="s">
        <v>5035</v>
      </c>
      <c r="H4010" s="3" t="s">
        <v>7167</v>
      </c>
      <c r="I4010" s="17">
        <v>45624</v>
      </c>
      <c r="J4010" s="18">
        <f>YEAR(Tabla1[[#This Row],[FECHA DE COMPRA]])</f>
        <v>2024</v>
      </c>
      <c r="K4010" s="19">
        <v>113.81</v>
      </c>
      <c r="L4010" s="20">
        <v>0.3</v>
      </c>
      <c r="M4010" s="19">
        <f>Tienda!$K1434-Tienda!$K1434*Tienda!$L1434</f>
        <v>64.372</v>
      </c>
      <c r="N4010" s="3" t="s">
        <v>10038</v>
      </c>
      <c r="O4010" s="3" t="s">
        <v>10041</v>
      </c>
      <c r="P4010" s="17">
        <v>45400</v>
      </c>
      <c r="Q4010" s="4">
        <v>0</v>
      </c>
    </row>
    <row r="4011" spans="1:17" ht="30" x14ac:dyDescent="0.25">
      <c r="A4011" s="2" t="s">
        <v>565</v>
      </c>
      <c r="B4011" s="3" t="s">
        <v>5015</v>
      </c>
      <c r="C4011" s="3">
        <v>61</v>
      </c>
      <c r="D4011" s="46" t="str">
        <f>IF(Tabla1[[#This Row],[EDAD]]&lt;=35,"Adultos jóvenes 18 - 35 años",IF(C4011&gt;=36,"Adultos mayores 36 años en adelante"))</f>
        <v>Adultos mayores 36 años en adelante</v>
      </c>
      <c r="E4011" s="3" t="s">
        <v>5022</v>
      </c>
      <c r="F4011" s="3" t="s">
        <v>5029</v>
      </c>
      <c r="G4011" s="3" t="s">
        <v>5036</v>
      </c>
      <c r="H4011" s="3" t="s">
        <v>5588</v>
      </c>
      <c r="I4011" s="17">
        <v>45557</v>
      </c>
      <c r="J4011" s="18">
        <f>YEAR(Tabla1[[#This Row],[FECHA DE COMPRA]])</f>
        <v>2024</v>
      </c>
      <c r="K4011" s="19">
        <v>100.7</v>
      </c>
      <c r="L4011" s="20">
        <v>0.2</v>
      </c>
      <c r="M4011" s="19">
        <f>Tienda!$K1438-Tienda!$K1438*Tienda!$L1438</f>
        <v>68.36</v>
      </c>
      <c r="N4011" s="3" t="s">
        <v>10038</v>
      </c>
      <c r="O4011" s="3" t="s">
        <v>10041</v>
      </c>
      <c r="P4011" s="17">
        <v>45557</v>
      </c>
      <c r="Q4011" s="4">
        <v>0</v>
      </c>
    </row>
    <row r="4012" spans="1:17" ht="30" x14ac:dyDescent="0.25">
      <c r="A4012" s="2" t="s">
        <v>2800</v>
      </c>
      <c r="B4012" s="3" t="s">
        <v>5015</v>
      </c>
      <c r="C4012" s="3">
        <v>54</v>
      </c>
      <c r="D4012" s="46" t="str">
        <f>IF(Tabla1[[#This Row],[EDAD]]&lt;=35,"Adultos jóvenes 18 - 35 años",IF(C4012&gt;=36,"Adultos mayores 36 años en adelante"))</f>
        <v>Adultos mayores 36 años en adelante</v>
      </c>
      <c r="E4012" s="3" t="s">
        <v>5021</v>
      </c>
      <c r="F4012" s="3" t="s">
        <v>5025</v>
      </c>
      <c r="G4012" s="3" t="s">
        <v>5035</v>
      </c>
      <c r="H4012" s="3" t="s">
        <v>7823</v>
      </c>
      <c r="I4012" s="17">
        <v>45621</v>
      </c>
      <c r="J4012" s="18">
        <f>YEAR(Tabla1[[#This Row],[FECHA DE COMPRA]])</f>
        <v>2024</v>
      </c>
      <c r="K4012" s="19">
        <v>82.39</v>
      </c>
      <c r="L4012" s="20">
        <v>0</v>
      </c>
      <c r="M4012" s="19">
        <f>Tienda!$K1449-Tienda!$K1449*Tienda!$L1449</f>
        <v>72.332999999999998</v>
      </c>
      <c r="N4012" s="3" t="s">
        <v>10038</v>
      </c>
      <c r="O4012" s="3" t="s">
        <v>10041</v>
      </c>
      <c r="P4012" s="17">
        <v>45621</v>
      </c>
      <c r="Q4012" s="4">
        <v>0</v>
      </c>
    </row>
    <row r="4013" spans="1:17" ht="30" x14ac:dyDescent="0.25">
      <c r="A4013" s="2" t="s">
        <v>3742</v>
      </c>
      <c r="B4013" s="3" t="s">
        <v>5015</v>
      </c>
      <c r="C4013" s="3">
        <v>53</v>
      </c>
      <c r="D4013" s="46" t="str">
        <f>IF(Tabla1[[#This Row],[EDAD]]&lt;=35,"Adultos jóvenes 18 - 35 años",IF(C4013&gt;=36,"Adultos mayores 36 años en adelante"))</f>
        <v>Adultos mayores 36 años en adelante</v>
      </c>
      <c r="E4013" s="3" t="s">
        <v>5018</v>
      </c>
      <c r="F4013" s="3" t="s">
        <v>5024</v>
      </c>
      <c r="G4013" s="3" t="s">
        <v>5036</v>
      </c>
      <c r="H4013" s="3" t="s">
        <v>8765</v>
      </c>
      <c r="I4013" s="17">
        <v>45420</v>
      </c>
      <c r="J4013" s="18">
        <f>YEAR(Tabla1[[#This Row],[FECHA DE COMPRA]])</f>
        <v>2024</v>
      </c>
      <c r="K4013" s="19">
        <v>93.54</v>
      </c>
      <c r="L4013" s="20">
        <v>0.1</v>
      </c>
      <c r="M4013" s="19">
        <f>Tienda!$K1453-Tienda!$K1453*Tienda!$L1453</f>
        <v>73.185000000000002</v>
      </c>
      <c r="N4013" s="3" t="s">
        <v>10038</v>
      </c>
      <c r="O4013" s="3" t="s">
        <v>10041</v>
      </c>
      <c r="P4013" s="17">
        <v>45420</v>
      </c>
      <c r="Q4013" s="4">
        <v>0</v>
      </c>
    </row>
    <row r="4014" spans="1:17" ht="30" x14ac:dyDescent="0.25">
      <c r="A4014" s="2" t="s">
        <v>3843</v>
      </c>
      <c r="B4014" s="3" t="s">
        <v>5015</v>
      </c>
      <c r="C4014" s="3">
        <v>53</v>
      </c>
      <c r="D4014" s="46" t="str">
        <f>IF(Tabla1[[#This Row],[EDAD]]&lt;=35,"Adultos jóvenes 18 - 35 años",IF(C4014&gt;=36,"Adultos mayores 36 años en adelante"))</f>
        <v>Adultos mayores 36 años en adelante</v>
      </c>
      <c r="E4014" s="3" t="s">
        <v>5022</v>
      </c>
      <c r="F4014" s="3" t="s">
        <v>5027</v>
      </c>
      <c r="G4014" s="3" t="s">
        <v>5036</v>
      </c>
      <c r="H4014" s="3" t="s">
        <v>8866</v>
      </c>
      <c r="I4014" s="17">
        <v>45425</v>
      </c>
      <c r="J4014" s="18">
        <f>YEAR(Tabla1[[#This Row],[FECHA DE COMPRA]])</f>
        <v>2024</v>
      </c>
      <c r="K4014" s="19">
        <v>93.66</v>
      </c>
      <c r="L4014" s="20">
        <v>0.1</v>
      </c>
      <c r="M4014" s="19">
        <f>Tienda!$K1454-Tienda!$K1454*Tienda!$L1454</f>
        <v>73.679999999999993</v>
      </c>
      <c r="N4014" s="3" t="s">
        <v>10038</v>
      </c>
      <c r="O4014" s="3" t="s">
        <v>10041</v>
      </c>
      <c r="P4014" s="17">
        <v>45425</v>
      </c>
      <c r="Q4014" s="4">
        <v>0</v>
      </c>
    </row>
    <row r="4015" spans="1:17" ht="30" x14ac:dyDescent="0.25">
      <c r="A4015" s="2" t="s">
        <v>4656</v>
      </c>
      <c r="B4015" s="3" t="s">
        <v>5015</v>
      </c>
      <c r="C4015" s="3">
        <v>47</v>
      </c>
      <c r="D4015" s="46" t="str">
        <f>IF(Tabla1[[#This Row],[EDAD]]&lt;=35,"Adultos jóvenes 18 - 35 años",IF(C4015&gt;=36,"Adultos mayores 36 años en adelante"))</f>
        <v>Adultos mayores 36 años en adelante</v>
      </c>
      <c r="E4015" s="3" t="s">
        <v>5018</v>
      </c>
      <c r="F4015" s="3" t="s">
        <v>5024</v>
      </c>
      <c r="G4015" s="3" t="s">
        <v>5035</v>
      </c>
      <c r="H4015" s="3" t="s">
        <v>9679</v>
      </c>
      <c r="I4015" s="17">
        <v>45649</v>
      </c>
      <c r="J4015" s="18">
        <f>YEAR(Tabla1[[#This Row],[FECHA DE COMPRA]])</f>
        <v>2024</v>
      </c>
      <c r="K4015" s="19">
        <v>106.01</v>
      </c>
      <c r="L4015" s="20">
        <v>0.2</v>
      </c>
      <c r="M4015" s="19">
        <f>Tienda!$K1457-Tienda!$K1457*Tienda!$L1457</f>
        <v>76.08</v>
      </c>
      <c r="N4015" s="3" t="s">
        <v>10038</v>
      </c>
      <c r="O4015" s="3" t="s">
        <v>10041</v>
      </c>
      <c r="P4015" s="17">
        <v>45649</v>
      </c>
      <c r="Q4015" s="4">
        <v>0</v>
      </c>
    </row>
    <row r="4016" spans="1:17" ht="30" x14ac:dyDescent="0.25">
      <c r="A4016" s="2" t="s">
        <v>3871</v>
      </c>
      <c r="B4016" s="3" t="s">
        <v>5015</v>
      </c>
      <c r="C4016" s="3">
        <v>47</v>
      </c>
      <c r="D4016" s="46" t="str">
        <f>IF(Tabla1[[#This Row],[EDAD]]&lt;=35,"Adultos jóvenes 18 - 35 años",IF(C4016&gt;=36,"Adultos mayores 36 años en adelante"))</f>
        <v>Adultos mayores 36 años en adelante</v>
      </c>
      <c r="E4016" s="3" t="s">
        <v>5019</v>
      </c>
      <c r="F4016" s="3" t="s">
        <v>5025</v>
      </c>
      <c r="G4016" s="3" t="s">
        <v>5036</v>
      </c>
      <c r="H4016" s="3" t="s">
        <v>8894</v>
      </c>
      <c r="I4016" s="17">
        <v>45587</v>
      </c>
      <c r="J4016" s="18">
        <f>YEAR(Tabla1[[#This Row],[FECHA DE COMPRA]])</f>
        <v>2024</v>
      </c>
      <c r="K4016" s="19">
        <v>106.3</v>
      </c>
      <c r="L4016" s="20">
        <v>0.2</v>
      </c>
      <c r="M4016" s="19">
        <f>Tienda!$K1458-Tienda!$K1458*Tienda!$L1458</f>
        <v>76.715999999999994</v>
      </c>
      <c r="N4016" s="3" t="s">
        <v>10038</v>
      </c>
      <c r="O4016" s="3" t="s">
        <v>10041</v>
      </c>
      <c r="P4016" s="17">
        <v>45587</v>
      </c>
      <c r="Q4016" s="4">
        <v>0</v>
      </c>
    </row>
    <row r="4017" spans="1:17" ht="30" x14ac:dyDescent="0.25">
      <c r="A4017" s="2" t="s">
        <v>4271</v>
      </c>
      <c r="B4017" s="3" t="s">
        <v>5015</v>
      </c>
      <c r="C4017" s="3">
        <v>47</v>
      </c>
      <c r="D4017" s="46" t="str">
        <f>IF(Tabla1[[#This Row],[EDAD]]&lt;=35,"Adultos jóvenes 18 - 35 años",IF(C4017&gt;=36,"Adultos mayores 36 años en adelante"))</f>
        <v>Adultos mayores 36 años en adelante</v>
      </c>
      <c r="E4017" s="3" t="s">
        <v>5021</v>
      </c>
      <c r="F4017" s="3" t="s">
        <v>5029</v>
      </c>
      <c r="G4017" s="3" t="s">
        <v>5032</v>
      </c>
      <c r="H4017" s="3" t="s">
        <v>9294</v>
      </c>
      <c r="I4017" s="17">
        <v>45436</v>
      </c>
      <c r="J4017" s="18">
        <f>YEAR(Tabla1[[#This Row],[FECHA DE COMPRA]])</f>
        <v>2024</v>
      </c>
      <c r="K4017" s="19">
        <v>122.83</v>
      </c>
      <c r="L4017" s="20">
        <v>0.3</v>
      </c>
      <c r="M4017" s="19">
        <f>Tienda!$K1467-Tienda!$K1467*Tienda!$L1467</f>
        <v>79.900000000000006</v>
      </c>
      <c r="N4017" s="3" t="s">
        <v>10038</v>
      </c>
      <c r="O4017" s="3" t="s">
        <v>10041</v>
      </c>
      <c r="P4017" s="17">
        <v>45436</v>
      </c>
      <c r="Q4017" s="4">
        <v>0</v>
      </c>
    </row>
    <row r="4018" spans="1:17" ht="30" x14ac:dyDescent="0.25">
      <c r="A4018" s="2" t="s">
        <v>2857</v>
      </c>
      <c r="B4018" s="3" t="s">
        <v>5016</v>
      </c>
      <c r="C4018" s="3">
        <v>41</v>
      </c>
      <c r="D4018" s="46" t="str">
        <f>IF(Tabla1[[#This Row],[EDAD]]&lt;=35,"Adultos jóvenes 18 - 35 años",IF(C4018&gt;=36,"Adultos mayores 36 años en adelante"))</f>
        <v>Adultos mayores 36 años en adelante</v>
      </c>
      <c r="E4018" s="3" t="s">
        <v>5023</v>
      </c>
      <c r="F4018" s="3" t="s">
        <v>5028</v>
      </c>
      <c r="G4018" s="3" t="s">
        <v>5034</v>
      </c>
      <c r="H4018" s="3" t="s">
        <v>7880</v>
      </c>
      <c r="I4018" s="17">
        <v>45527</v>
      </c>
      <c r="J4018" s="18">
        <f>YEAR(Tabla1[[#This Row],[FECHA DE COMPRA]])</f>
        <v>2024</v>
      </c>
      <c r="K4018" s="19">
        <v>123.09</v>
      </c>
      <c r="L4018" s="20">
        <v>0.3</v>
      </c>
      <c r="M4018" s="19">
        <f>Tienda!$K1468-Tienda!$K1468*Tienda!$L1468</f>
        <v>80.2</v>
      </c>
      <c r="N4018" s="3" t="s">
        <v>10038</v>
      </c>
      <c r="O4018" s="3" t="s">
        <v>10041</v>
      </c>
      <c r="P4018" s="17">
        <v>45527</v>
      </c>
      <c r="Q4018" s="4">
        <v>0</v>
      </c>
    </row>
    <row r="4019" spans="1:17" ht="30" x14ac:dyDescent="0.25">
      <c r="A4019" s="2" t="s">
        <v>2600</v>
      </c>
      <c r="B4019" s="3" t="s">
        <v>5015</v>
      </c>
      <c r="C4019" s="3">
        <v>46</v>
      </c>
      <c r="D4019" s="46" t="str">
        <f>IF(Tabla1[[#This Row],[EDAD]]&lt;=35,"Adultos jóvenes 18 - 35 años",IF(C4019&gt;=36,"Adultos mayores 36 años en adelante"))</f>
        <v>Adultos mayores 36 años en adelante</v>
      </c>
      <c r="E4019" s="3" t="s">
        <v>5020</v>
      </c>
      <c r="F4019" s="3" t="s">
        <v>5030</v>
      </c>
      <c r="G4019" s="3" t="s">
        <v>5037</v>
      </c>
      <c r="H4019" s="3" t="s">
        <v>7623</v>
      </c>
      <c r="I4019" s="17">
        <v>45605</v>
      </c>
      <c r="J4019" s="18">
        <f>YEAR(Tabla1[[#This Row],[FECHA DE COMPRA]])</f>
        <v>2024</v>
      </c>
      <c r="K4019" s="19">
        <v>96.43</v>
      </c>
      <c r="L4019" s="20">
        <v>0.1</v>
      </c>
      <c r="M4019" s="19">
        <f>Tienda!$K1470-Tienda!$K1470*Tienda!$L1470</f>
        <v>81.162000000000006</v>
      </c>
      <c r="N4019" s="3" t="s">
        <v>10038</v>
      </c>
      <c r="O4019" s="3" t="s">
        <v>10041</v>
      </c>
      <c r="P4019" s="17">
        <v>45605</v>
      </c>
      <c r="Q4019" s="4">
        <v>0</v>
      </c>
    </row>
    <row r="4020" spans="1:17" ht="30" x14ac:dyDescent="0.25">
      <c r="A4020" s="2" t="s">
        <v>235</v>
      </c>
      <c r="B4020" s="3" t="s">
        <v>5015</v>
      </c>
      <c r="C4020" s="3">
        <v>51</v>
      </c>
      <c r="D4020" s="46" t="str">
        <f>IF(Tabla1[[#This Row],[EDAD]]&lt;=35,"Adultos jóvenes 18 - 35 años",IF(C4020&gt;=36,"Adultos mayores 36 años en adelante"))</f>
        <v>Adultos mayores 36 años en adelante</v>
      </c>
      <c r="E4020" s="3" t="s">
        <v>5020</v>
      </c>
      <c r="F4020" s="3" t="s">
        <v>5026</v>
      </c>
      <c r="G4020" s="3" t="s">
        <v>5032</v>
      </c>
      <c r="H4020" s="3" t="s">
        <v>5258</v>
      </c>
      <c r="I4020" s="17">
        <v>45402</v>
      </c>
      <c r="J4020" s="18">
        <f>YEAR(Tabla1[[#This Row],[FECHA DE COMPRA]])</f>
        <v>2024</v>
      </c>
      <c r="K4020" s="19">
        <v>123.99</v>
      </c>
      <c r="L4020" s="20">
        <v>0.3</v>
      </c>
      <c r="M4020" s="19">
        <f>Tienda!$K1471-Tienda!$K1471*Tienda!$L1471</f>
        <v>81.679999999999993</v>
      </c>
      <c r="N4020" s="3" t="s">
        <v>10038</v>
      </c>
      <c r="O4020" s="3" t="s">
        <v>10041</v>
      </c>
      <c r="P4020" s="17">
        <v>45402</v>
      </c>
      <c r="Q4020" s="4">
        <v>0</v>
      </c>
    </row>
    <row r="4021" spans="1:17" ht="30" x14ac:dyDescent="0.25">
      <c r="A4021" s="2" t="s">
        <v>4635</v>
      </c>
      <c r="B4021" s="3" t="s">
        <v>5016</v>
      </c>
      <c r="C4021" s="3">
        <v>40</v>
      </c>
      <c r="D4021" s="46" t="str">
        <f>IF(Tabla1[[#This Row],[EDAD]]&lt;=35,"Adultos jóvenes 18 - 35 años",IF(C4021&gt;=36,"Adultos mayores 36 años en adelante"))</f>
        <v>Adultos mayores 36 años en adelante</v>
      </c>
      <c r="E4021" s="3" t="s">
        <v>5017</v>
      </c>
      <c r="F4021" s="3" t="s">
        <v>5028</v>
      </c>
      <c r="G4021" s="3" t="s">
        <v>5035</v>
      </c>
      <c r="H4021" s="3" t="s">
        <v>9658</v>
      </c>
      <c r="I4021" s="17">
        <v>45599</v>
      </c>
      <c r="J4021" s="18">
        <f>YEAR(Tabla1[[#This Row],[FECHA DE COMPRA]])</f>
        <v>2024</v>
      </c>
      <c r="K4021" s="19">
        <v>90.44</v>
      </c>
      <c r="L4021" s="20">
        <v>0</v>
      </c>
      <c r="M4021" s="19">
        <f>Tienda!$K1490-Tienda!$K1490*Tienda!$L1490</f>
        <v>92.492999999999995</v>
      </c>
      <c r="N4021" s="3" t="s">
        <v>10038</v>
      </c>
      <c r="O4021" s="3" t="s">
        <v>10041</v>
      </c>
      <c r="P4021" s="17">
        <v>45599</v>
      </c>
      <c r="Q4021" s="4">
        <v>0</v>
      </c>
    </row>
    <row r="4022" spans="1:17" ht="30" x14ac:dyDescent="0.25">
      <c r="A4022" s="2" t="s">
        <v>4474</v>
      </c>
      <c r="B4022" s="3" t="s">
        <v>5015</v>
      </c>
      <c r="C4022" s="3">
        <v>59</v>
      </c>
      <c r="D4022" s="46" t="str">
        <f>IF(Tabla1[[#This Row],[EDAD]]&lt;=35,"Adultos jóvenes 18 - 35 años",IF(C4022&gt;=36,"Adultos mayores 36 años en adelante"))</f>
        <v>Adultos mayores 36 años en adelante</v>
      </c>
      <c r="E4022" s="3" t="s">
        <v>5020</v>
      </c>
      <c r="F4022" s="3" t="s">
        <v>5028</v>
      </c>
      <c r="G4022" s="3" t="s">
        <v>5036</v>
      </c>
      <c r="H4022" s="3" t="s">
        <v>9497</v>
      </c>
      <c r="I4022" s="17">
        <v>45624</v>
      </c>
      <c r="J4022" s="18">
        <f>YEAR(Tabla1[[#This Row],[FECHA DE COMPRA]])</f>
        <v>2024</v>
      </c>
      <c r="K4022" s="19">
        <v>116.32</v>
      </c>
      <c r="L4022" s="20">
        <v>0.2</v>
      </c>
      <c r="M4022" s="19">
        <f>Tienda!$K1504-Tienda!$K1504*Tienda!$L1504</f>
        <v>101.98400000000001</v>
      </c>
      <c r="N4022" s="3" t="s">
        <v>10038</v>
      </c>
      <c r="O4022" s="3" t="s">
        <v>10041</v>
      </c>
      <c r="P4022" s="17">
        <v>45484</v>
      </c>
      <c r="Q4022" s="4">
        <v>0</v>
      </c>
    </row>
    <row r="4023" spans="1:17" ht="30" x14ac:dyDescent="0.25">
      <c r="A4023" s="2" t="s">
        <v>420</v>
      </c>
      <c r="B4023" s="3" t="s">
        <v>5015</v>
      </c>
      <c r="C4023" s="3">
        <v>43</v>
      </c>
      <c r="D4023" s="46" t="str">
        <f>IF(Tabla1[[#This Row],[EDAD]]&lt;=35,"Adultos jóvenes 18 - 35 años",IF(C4023&gt;=36,"Adultos mayores 36 años en adelante"))</f>
        <v>Adultos mayores 36 años en adelante</v>
      </c>
      <c r="E4023" s="3" t="s">
        <v>5018</v>
      </c>
      <c r="F4023" s="3" t="s">
        <v>5027</v>
      </c>
      <c r="G4023" s="3" t="s">
        <v>5031</v>
      </c>
      <c r="H4023" s="3" t="s">
        <v>5443</v>
      </c>
      <c r="I4023" s="17">
        <v>45635</v>
      </c>
      <c r="J4023" s="18">
        <f>YEAR(Tabla1[[#This Row],[FECHA DE COMPRA]])</f>
        <v>2024</v>
      </c>
      <c r="K4023" s="19">
        <v>133.18</v>
      </c>
      <c r="L4023" s="20">
        <v>0.3</v>
      </c>
      <c r="M4023" s="19">
        <f>Tienda!$K1505-Tienda!$K1505*Tienda!$L1505</f>
        <v>102.328</v>
      </c>
      <c r="N4023" s="3" t="s">
        <v>10038</v>
      </c>
      <c r="O4023" s="3" t="s">
        <v>10041</v>
      </c>
      <c r="P4023" s="17">
        <v>45635</v>
      </c>
      <c r="Q4023" s="4">
        <v>0</v>
      </c>
    </row>
    <row r="4024" spans="1:17" ht="30" x14ac:dyDescent="0.25">
      <c r="A4024" s="2" t="s">
        <v>2634</v>
      </c>
      <c r="B4024" s="3" t="s">
        <v>5015</v>
      </c>
      <c r="C4024" s="3">
        <v>53</v>
      </c>
      <c r="D4024" s="46" t="str">
        <f>IF(Tabla1[[#This Row],[EDAD]]&lt;=35,"Adultos jóvenes 18 - 35 años",IF(C4024&gt;=36,"Adultos mayores 36 años en adelante"))</f>
        <v>Adultos mayores 36 años en adelante</v>
      </c>
      <c r="E4024" s="3" t="s">
        <v>5023</v>
      </c>
      <c r="F4024" s="3" t="s">
        <v>5029</v>
      </c>
      <c r="G4024" s="3" t="s">
        <v>5033</v>
      </c>
      <c r="H4024" s="3" t="s">
        <v>7657</v>
      </c>
      <c r="I4024" s="17">
        <v>45402</v>
      </c>
      <c r="J4024" s="18">
        <f>YEAR(Tabla1[[#This Row],[FECHA DE COMPRA]])</f>
        <v>2024</v>
      </c>
      <c r="K4024" s="19">
        <v>105.76</v>
      </c>
      <c r="L4024" s="20">
        <v>0.1</v>
      </c>
      <c r="M4024" s="19">
        <f>Tienda!$K1512-Tienda!$K1512*Tienda!$L1512</f>
        <v>106.304</v>
      </c>
      <c r="N4024" s="3" t="s">
        <v>10038</v>
      </c>
      <c r="O4024" s="3" t="s">
        <v>10041</v>
      </c>
      <c r="P4024" s="17">
        <v>45402</v>
      </c>
      <c r="Q4024" s="4">
        <v>0</v>
      </c>
    </row>
    <row r="4025" spans="1:17" ht="30" x14ac:dyDescent="0.25">
      <c r="A4025" s="2" t="s">
        <v>73</v>
      </c>
      <c r="B4025" s="3" t="s">
        <v>5016</v>
      </c>
      <c r="C4025" s="3">
        <v>53</v>
      </c>
      <c r="D4025" s="46" t="str">
        <f>IF(Tabla1[[#This Row],[EDAD]]&lt;=35,"Adultos jóvenes 18 - 35 años",IF(C4025&gt;=36,"Adultos mayores 36 años en adelante"))</f>
        <v>Adultos mayores 36 años en adelante</v>
      </c>
      <c r="E4025" s="3" t="s">
        <v>5017</v>
      </c>
      <c r="F4025" s="3" t="s">
        <v>5027</v>
      </c>
      <c r="G4025" s="3" t="s">
        <v>5032</v>
      </c>
      <c r="H4025" s="3" t="s">
        <v>5096</v>
      </c>
      <c r="I4025" s="17">
        <v>45434</v>
      </c>
      <c r="J4025" s="18">
        <f>YEAR(Tabla1[[#This Row],[FECHA DE COMPRA]])</f>
        <v>2024</v>
      </c>
      <c r="K4025" s="19">
        <v>136.05000000000001</v>
      </c>
      <c r="L4025" s="20">
        <v>0.3</v>
      </c>
      <c r="M4025" s="19">
        <f>Tienda!$K1513-Tienda!$K1513*Tienda!$L1513</f>
        <v>106.37200000000001</v>
      </c>
      <c r="N4025" s="3" t="s">
        <v>10038</v>
      </c>
      <c r="O4025" s="3" t="s">
        <v>10041</v>
      </c>
      <c r="P4025" s="17">
        <v>45434</v>
      </c>
      <c r="Q4025" s="4">
        <v>0</v>
      </c>
    </row>
    <row r="4026" spans="1:17" ht="30" x14ac:dyDescent="0.25">
      <c r="A4026" s="2" t="s">
        <v>4515</v>
      </c>
      <c r="B4026" s="3" t="s">
        <v>5016</v>
      </c>
      <c r="C4026" s="3">
        <v>38</v>
      </c>
      <c r="D4026" s="46" t="str">
        <f>IF(Tabla1[[#This Row],[EDAD]]&lt;=35,"Adultos jóvenes 18 - 35 años",IF(C4026&gt;=36,"Adultos mayores 36 años en adelante"))</f>
        <v>Adultos mayores 36 años en adelante</v>
      </c>
      <c r="E4026" s="3" t="s">
        <v>5023</v>
      </c>
      <c r="F4026" s="3" t="s">
        <v>5027</v>
      </c>
      <c r="G4026" s="3" t="s">
        <v>5037</v>
      </c>
      <c r="H4026" s="3" t="s">
        <v>9538</v>
      </c>
      <c r="I4026" s="17">
        <v>45610</v>
      </c>
      <c r="J4026" s="18">
        <f>YEAR(Tabla1[[#This Row],[FECHA DE COMPRA]])</f>
        <v>2024</v>
      </c>
      <c r="K4026" s="19">
        <v>119.53</v>
      </c>
      <c r="L4026" s="20">
        <v>0.2</v>
      </c>
      <c r="M4026" s="19">
        <f>Tienda!$K1517-Tienda!$K1517*Tienda!$L1517</f>
        <v>107.821</v>
      </c>
      <c r="N4026" s="3" t="s">
        <v>10038</v>
      </c>
      <c r="O4026" s="3" t="s">
        <v>10041</v>
      </c>
      <c r="P4026" s="17">
        <v>45610</v>
      </c>
      <c r="Q4026" s="4">
        <v>0</v>
      </c>
    </row>
    <row r="4027" spans="1:17" ht="30" x14ac:dyDescent="0.25">
      <c r="A4027" s="2" t="s">
        <v>3683</v>
      </c>
      <c r="B4027" s="3" t="s">
        <v>5015</v>
      </c>
      <c r="C4027" s="3">
        <v>38</v>
      </c>
      <c r="D4027" s="46" t="str">
        <f>IF(Tabla1[[#This Row],[EDAD]]&lt;=35,"Adultos jóvenes 18 - 35 años",IF(C4027&gt;=36,"Adultos mayores 36 años en adelante"))</f>
        <v>Adultos mayores 36 años en adelante</v>
      </c>
      <c r="E4027" s="3" t="s">
        <v>5022</v>
      </c>
      <c r="F4027" s="3" t="s">
        <v>5025</v>
      </c>
      <c r="G4027" s="3" t="s">
        <v>5033</v>
      </c>
      <c r="H4027" s="3" t="s">
        <v>8706</v>
      </c>
      <c r="I4027" s="17">
        <v>45627</v>
      </c>
      <c r="J4027" s="18">
        <f>YEAR(Tabla1[[#This Row],[FECHA DE COMPRA]])</f>
        <v>2024</v>
      </c>
      <c r="K4027" s="19">
        <v>108.09</v>
      </c>
      <c r="L4027" s="20">
        <v>0.1</v>
      </c>
      <c r="M4027" s="19">
        <f>Tienda!$K1525-Tienda!$K1525*Tienda!$L1525</f>
        <v>113.155</v>
      </c>
      <c r="N4027" s="3" t="s">
        <v>10038</v>
      </c>
      <c r="O4027" s="3" t="s">
        <v>10041</v>
      </c>
      <c r="P4027" s="17">
        <v>45627</v>
      </c>
      <c r="Q4027" s="4">
        <v>0</v>
      </c>
    </row>
    <row r="4028" spans="1:17" ht="30" x14ac:dyDescent="0.25">
      <c r="A4028" s="2" t="s">
        <v>1992</v>
      </c>
      <c r="B4028" s="3" t="s">
        <v>5015</v>
      </c>
      <c r="C4028" s="3">
        <v>38</v>
      </c>
      <c r="D4028" s="46" t="str">
        <f>IF(Tabla1[[#This Row],[EDAD]]&lt;=35,"Adultos jóvenes 18 - 35 años",IF(C4028&gt;=36,"Adultos mayores 36 años en adelante"))</f>
        <v>Adultos mayores 36 años en adelante</v>
      </c>
      <c r="E4028" s="3" t="s">
        <v>5018</v>
      </c>
      <c r="F4028" s="3" t="s">
        <v>5027</v>
      </c>
      <c r="G4028" s="3" t="s">
        <v>5032</v>
      </c>
      <c r="H4028" s="3" t="s">
        <v>7015</v>
      </c>
      <c r="I4028" s="17">
        <v>45624</v>
      </c>
      <c r="J4028" s="18">
        <f>YEAR(Tabla1[[#This Row],[FECHA DE COMPRA]])</f>
        <v>2024</v>
      </c>
      <c r="K4028" s="19">
        <v>140.21</v>
      </c>
      <c r="L4028" s="20">
        <v>0.3</v>
      </c>
      <c r="M4028" s="19">
        <f>Tienda!$K1528-Tienda!$K1528*Tienda!$L1528</f>
        <v>113.53599999999999</v>
      </c>
      <c r="N4028" s="3" t="s">
        <v>10038</v>
      </c>
      <c r="O4028" s="3" t="s">
        <v>10041</v>
      </c>
      <c r="P4028" s="17">
        <v>45411</v>
      </c>
      <c r="Q4028" s="4">
        <v>0</v>
      </c>
    </row>
    <row r="4029" spans="1:17" ht="30" x14ac:dyDescent="0.25">
      <c r="A4029" s="2" t="s">
        <v>682</v>
      </c>
      <c r="B4029" s="3" t="s">
        <v>5016</v>
      </c>
      <c r="C4029" s="3">
        <v>37</v>
      </c>
      <c r="D4029" s="46" t="str">
        <f>IF(Tabla1[[#This Row],[EDAD]]&lt;=35,"Adultos jóvenes 18 - 35 años",IF(C4029&gt;=36,"Adultos mayores 36 años en adelante"))</f>
        <v>Adultos mayores 36 años en adelante</v>
      </c>
      <c r="E4029" s="3" t="s">
        <v>5023</v>
      </c>
      <c r="F4029" s="3" t="s">
        <v>5024</v>
      </c>
      <c r="G4029" s="3" t="s">
        <v>5036</v>
      </c>
      <c r="H4029" s="3" t="s">
        <v>5705</v>
      </c>
      <c r="I4029" s="17">
        <v>45509</v>
      </c>
      <c r="J4029" s="18">
        <f>YEAR(Tabla1[[#This Row],[FECHA DE COMPRA]])</f>
        <v>2024</v>
      </c>
      <c r="K4029" s="19">
        <v>142.09</v>
      </c>
      <c r="L4029" s="20">
        <v>0.3</v>
      </c>
      <c r="M4029" s="19">
        <f>Tienda!$K1534-Tienda!$K1534*Tienda!$L1534</f>
        <v>117.98</v>
      </c>
      <c r="N4029" s="3" t="s">
        <v>10038</v>
      </c>
      <c r="O4029" s="3" t="s">
        <v>10041</v>
      </c>
      <c r="P4029" s="17">
        <v>45509</v>
      </c>
      <c r="Q4029" s="4">
        <v>0</v>
      </c>
    </row>
    <row r="4030" spans="1:17" ht="30" x14ac:dyDescent="0.25">
      <c r="A4030" s="2" t="s">
        <v>4230</v>
      </c>
      <c r="B4030" s="3" t="s">
        <v>5015</v>
      </c>
      <c r="C4030" s="3">
        <v>57</v>
      </c>
      <c r="D4030" s="46" t="str">
        <f>IF(Tabla1[[#This Row],[EDAD]]&lt;=35,"Adultos jóvenes 18 - 35 años",IF(C4030&gt;=36,"Adultos mayores 36 años en adelante"))</f>
        <v>Adultos mayores 36 años en adelante</v>
      </c>
      <c r="E4030" s="3" t="s">
        <v>5021</v>
      </c>
      <c r="F4030" s="3" t="s">
        <v>5027</v>
      </c>
      <c r="G4030" s="3" t="s">
        <v>5032</v>
      </c>
      <c r="H4030" s="3" t="s">
        <v>9253</v>
      </c>
      <c r="I4030" s="17">
        <v>45624</v>
      </c>
      <c r="J4030" s="18">
        <f>YEAR(Tabla1[[#This Row],[FECHA DE COMPRA]])</f>
        <v>2024</v>
      </c>
      <c r="K4030" s="19">
        <v>100.45</v>
      </c>
      <c r="L4030" s="20">
        <v>0</v>
      </c>
      <c r="M4030" s="19">
        <f>Tienda!$K1539-Tienda!$K1539*Tienda!$L1539</f>
        <v>121.86</v>
      </c>
      <c r="N4030" s="3" t="s">
        <v>10038</v>
      </c>
      <c r="O4030" s="3" t="s">
        <v>10041</v>
      </c>
      <c r="P4030" s="17">
        <v>45495</v>
      </c>
      <c r="Q4030" s="4">
        <v>0</v>
      </c>
    </row>
    <row r="4031" spans="1:17" ht="30" x14ac:dyDescent="0.25">
      <c r="A4031" s="2" t="s">
        <v>1910</v>
      </c>
      <c r="B4031" s="3" t="s">
        <v>5015</v>
      </c>
      <c r="C4031" s="3">
        <v>55</v>
      </c>
      <c r="D4031" s="46" t="str">
        <f>IF(Tabla1[[#This Row],[EDAD]]&lt;=35,"Adultos jóvenes 18 - 35 años",IF(C4031&gt;=36,"Adultos mayores 36 años en adelante"))</f>
        <v>Adultos mayores 36 años en adelante</v>
      </c>
      <c r="E4031" s="3" t="s">
        <v>5018</v>
      </c>
      <c r="F4031" s="3" t="s">
        <v>5027</v>
      </c>
      <c r="G4031" s="3" t="s">
        <v>5037</v>
      </c>
      <c r="H4031" s="3" t="s">
        <v>6933</v>
      </c>
      <c r="I4031" s="17">
        <v>45624</v>
      </c>
      <c r="J4031" s="18">
        <f>YEAR(Tabla1[[#This Row],[FECHA DE COMPRA]])</f>
        <v>2024</v>
      </c>
      <c r="K4031" s="19">
        <v>144.37</v>
      </c>
      <c r="L4031" s="20">
        <v>0.3</v>
      </c>
      <c r="M4031" s="19">
        <f>Tienda!$K1542-Tienda!$K1542*Tienda!$L1542</f>
        <v>123.714</v>
      </c>
      <c r="N4031" s="3" t="s">
        <v>10038</v>
      </c>
      <c r="O4031" s="3" t="s">
        <v>10041</v>
      </c>
      <c r="P4031" s="17">
        <v>45394</v>
      </c>
      <c r="Q4031" s="4">
        <v>0</v>
      </c>
    </row>
    <row r="4032" spans="1:17" ht="30" x14ac:dyDescent="0.25">
      <c r="A4032" s="2" t="s">
        <v>4112</v>
      </c>
      <c r="B4032" s="3" t="s">
        <v>5016</v>
      </c>
      <c r="C4032" s="3">
        <v>47</v>
      </c>
      <c r="D4032" s="46" t="str">
        <f>IF(Tabla1[[#This Row],[EDAD]]&lt;=35,"Adultos jóvenes 18 - 35 años",IF(C4032&gt;=36,"Adultos mayores 36 años en adelante"))</f>
        <v>Adultos mayores 36 años en adelante</v>
      </c>
      <c r="E4032" s="3" t="s">
        <v>5021</v>
      </c>
      <c r="F4032" s="3" t="s">
        <v>5025</v>
      </c>
      <c r="G4032" s="3" t="s">
        <v>5034</v>
      </c>
      <c r="H4032" s="3" t="s">
        <v>9135</v>
      </c>
      <c r="I4032" s="17">
        <v>45471</v>
      </c>
      <c r="J4032" s="18">
        <f>YEAR(Tabla1[[#This Row],[FECHA DE COMPRA]])</f>
        <v>2024</v>
      </c>
      <c r="K4032" s="19">
        <v>127.05</v>
      </c>
      <c r="L4032" s="20">
        <v>0.2</v>
      </c>
      <c r="M4032" s="19">
        <f>Tienda!$K1545-Tienda!$K1545*Tienda!$L1545</f>
        <v>125.82900000000001</v>
      </c>
      <c r="N4032" s="3" t="s">
        <v>10038</v>
      </c>
      <c r="O4032" s="3" t="s">
        <v>10041</v>
      </c>
      <c r="P4032" s="17">
        <v>45471</v>
      </c>
      <c r="Q4032" s="4">
        <v>0</v>
      </c>
    </row>
    <row r="4033" spans="1:17" ht="30" x14ac:dyDescent="0.25">
      <c r="A4033" s="2" t="s">
        <v>4569</v>
      </c>
      <c r="B4033" s="3" t="s">
        <v>5015</v>
      </c>
      <c r="C4033" s="3">
        <v>54</v>
      </c>
      <c r="D4033" s="46" t="str">
        <f>IF(Tabla1[[#This Row],[EDAD]]&lt;=35,"Adultos jóvenes 18 - 35 años",IF(C4033&gt;=36,"Adultos mayores 36 años en adelante"))</f>
        <v>Adultos mayores 36 años en adelante</v>
      </c>
      <c r="E4033" s="3" t="s">
        <v>5023</v>
      </c>
      <c r="F4033" s="3" t="s">
        <v>5029</v>
      </c>
      <c r="G4033" s="3" t="s">
        <v>5037</v>
      </c>
      <c r="H4033" s="3" t="s">
        <v>9592</v>
      </c>
      <c r="I4033" s="17">
        <v>45349</v>
      </c>
      <c r="J4033" s="18">
        <f>YEAR(Tabla1[[#This Row],[FECHA DE COMPRA]])</f>
        <v>2024</v>
      </c>
      <c r="K4033" s="19">
        <v>147.34</v>
      </c>
      <c r="L4033" s="20">
        <v>0.3</v>
      </c>
      <c r="M4033" s="19">
        <f>Tienda!$K1553-Tienda!$K1553*Tienda!$L1553</f>
        <v>129.35300000000001</v>
      </c>
      <c r="N4033" s="3" t="s">
        <v>10038</v>
      </c>
      <c r="O4033" s="3" t="s">
        <v>10041</v>
      </c>
      <c r="P4033" s="17">
        <v>45349</v>
      </c>
      <c r="Q4033" s="4">
        <v>0</v>
      </c>
    </row>
    <row r="4034" spans="1:17" ht="30" x14ac:dyDescent="0.25">
      <c r="A4034" s="2" t="s">
        <v>2211</v>
      </c>
      <c r="B4034" s="3" t="s">
        <v>5015</v>
      </c>
      <c r="C4034" s="3">
        <v>49</v>
      </c>
      <c r="D4034" s="46" t="str">
        <f>IF(Tabla1[[#This Row],[EDAD]]&lt;=35,"Adultos jóvenes 18 - 35 años",IF(C4034&gt;=36,"Adultos mayores 36 años en adelante"))</f>
        <v>Adultos mayores 36 años en adelante</v>
      </c>
      <c r="E4034" s="3" t="s">
        <v>5018</v>
      </c>
      <c r="F4034" s="3" t="s">
        <v>5028</v>
      </c>
      <c r="G4034" s="3" t="s">
        <v>5031</v>
      </c>
      <c r="H4034" s="3" t="s">
        <v>7234</v>
      </c>
      <c r="I4034" s="17">
        <v>45624</v>
      </c>
      <c r="J4034" s="18">
        <f>YEAR(Tabla1[[#This Row],[FECHA DE COMPRA]])</f>
        <v>2024</v>
      </c>
      <c r="K4034" s="19">
        <v>114.8</v>
      </c>
      <c r="L4034" s="20">
        <v>0.1</v>
      </c>
      <c r="M4034" s="19">
        <f>Tienda!$K1554-Tienda!$K1554*Tienda!$L1554</f>
        <v>130.30000000000001</v>
      </c>
      <c r="N4034" s="3" t="s">
        <v>10038</v>
      </c>
      <c r="O4034" s="3" t="s">
        <v>10041</v>
      </c>
      <c r="P4034" s="17">
        <v>45394</v>
      </c>
      <c r="Q4034" s="4">
        <v>0</v>
      </c>
    </row>
    <row r="4035" spans="1:17" ht="30" x14ac:dyDescent="0.25">
      <c r="A4035" s="2" t="s">
        <v>2305</v>
      </c>
      <c r="B4035" s="3" t="s">
        <v>5015</v>
      </c>
      <c r="C4035" s="3">
        <v>52</v>
      </c>
      <c r="D4035" s="46" t="str">
        <f>IF(Tabla1[[#This Row],[EDAD]]&lt;=35,"Adultos jóvenes 18 - 35 años",IF(C4035&gt;=36,"Adultos mayores 36 años en adelante"))</f>
        <v>Adultos mayores 36 años en adelante</v>
      </c>
      <c r="E4035" s="3" t="s">
        <v>5023</v>
      </c>
      <c r="F4035" s="3" t="s">
        <v>5028</v>
      </c>
      <c r="G4035" s="3" t="s">
        <v>5034</v>
      </c>
      <c r="H4035" s="3" t="s">
        <v>7328</v>
      </c>
      <c r="I4035" s="17">
        <v>45564</v>
      </c>
      <c r="J4035" s="18">
        <f>YEAR(Tabla1[[#This Row],[FECHA DE COMPRA]])</f>
        <v>2024</v>
      </c>
      <c r="K4035" s="19">
        <v>104.53</v>
      </c>
      <c r="L4035" s="20">
        <v>0</v>
      </c>
      <c r="M4035" s="19">
        <f>Tienda!$K1558-Tienda!$K1558*Tienda!$L1558</f>
        <v>131.43199999999999</v>
      </c>
      <c r="N4035" s="3" t="s">
        <v>10038</v>
      </c>
      <c r="O4035" s="3" t="s">
        <v>10041</v>
      </c>
      <c r="P4035" s="17">
        <v>45564</v>
      </c>
      <c r="Q4035" s="4">
        <v>0</v>
      </c>
    </row>
    <row r="4036" spans="1:17" ht="30" x14ac:dyDescent="0.25">
      <c r="A4036" s="2" t="s">
        <v>1828</v>
      </c>
      <c r="B4036" s="3" t="s">
        <v>5015</v>
      </c>
      <c r="C4036" s="3">
        <v>45</v>
      </c>
      <c r="D4036" s="46" t="str">
        <f>IF(Tabla1[[#This Row],[EDAD]]&lt;=35,"Adultos jóvenes 18 - 35 años",IF(C4036&gt;=36,"Adultos mayores 36 años en adelante"))</f>
        <v>Adultos mayores 36 años en adelante</v>
      </c>
      <c r="E4036" s="3" t="s">
        <v>5023</v>
      </c>
      <c r="F4036" s="3" t="s">
        <v>5024</v>
      </c>
      <c r="G4036" s="3" t="s">
        <v>5036</v>
      </c>
      <c r="H4036" s="3" t="s">
        <v>6851</v>
      </c>
      <c r="I4036" s="17">
        <v>45618</v>
      </c>
      <c r="J4036" s="18">
        <f>YEAR(Tabla1[[#This Row],[FECHA DE COMPRA]])</f>
        <v>2024</v>
      </c>
      <c r="K4036" s="19">
        <v>150.66</v>
      </c>
      <c r="L4036" s="20">
        <v>0.3</v>
      </c>
      <c r="M4036" s="19">
        <f>Tienda!$K1561-Tienda!$K1561*Tienda!$L1561</f>
        <v>133.392</v>
      </c>
      <c r="N4036" s="3" t="s">
        <v>10038</v>
      </c>
      <c r="O4036" s="3" t="s">
        <v>10041</v>
      </c>
      <c r="P4036" s="17">
        <v>45465</v>
      </c>
      <c r="Q4036" s="4">
        <v>0</v>
      </c>
    </row>
    <row r="4037" spans="1:17" ht="30" x14ac:dyDescent="0.25">
      <c r="A4037" s="2" t="s">
        <v>4499</v>
      </c>
      <c r="B4037" s="3" t="s">
        <v>5015</v>
      </c>
      <c r="C4037" s="3">
        <v>56</v>
      </c>
      <c r="D4037" s="46" t="str">
        <f>IF(Tabla1[[#This Row],[EDAD]]&lt;=35,"Adultos jóvenes 18 - 35 años",IF(C4037&gt;=36,"Adultos mayores 36 años en adelante"))</f>
        <v>Adultos mayores 36 años en adelante</v>
      </c>
      <c r="E4037" s="3" t="s">
        <v>5022</v>
      </c>
      <c r="F4037" s="3" t="s">
        <v>5026</v>
      </c>
      <c r="G4037" s="3" t="s">
        <v>5035</v>
      </c>
      <c r="H4037" s="3" t="s">
        <v>9522</v>
      </c>
      <c r="I4037" s="17">
        <v>45612</v>
      </c>
      <c r="J4037" s="18">
        <f>YEAR(Tabla1[[#This Row],[FECHA DE COMPRA]])</f>
        <v>2024</v>
      </c>
      <c r="K4037" s="19">
        <v>131.99</v>
      </c>
      <c r="L4037" s="20">
        <v>0.2</v>
      </c>
      <c r="M4037" s="19">
        <f>Tienda!$K1562-Tienda!$K1562*Tienda!$L1562</f>
        <v>133.75200000000001</v>
      </c>
      <c r="N4037" s="3" t="s">
        <v>10038</v>
      </c>
      <c r="O4037" s="3" t="s">
        <v>10041</v>
      </c>
      <c r="P4037" s="17">
        <v>45612</v>
      </c>
      <c r="Q4037" s="4">
        <v>0</v>
      </c>
    </row>
    <row r="4038" spans="1:17" ht="30" x14ac:dyDescent="0.25">
      <c r="A4038" s="2" t="s">
        <v>3154</v>
      </c>
      <c r="B4038" s="3" t="s">
        <v>5015</v>
      </c>
      <c r="C4038" s="3">
        <v>39</v>
      </c>
      <c r="D4038" s="46" t="str">
        <f>IF(Tabla1[[#This Row],[EDAD]]&lt;=35,"Adultos jóvenes 18 - 35 años",IF(C4038&gt;=36,"Adultos mayores 36 años en adelante"))</f>
        <v>Adultos mayores 36 años en adelante</v>
      </c>
      <c r="E4038" s="3" t="s">
        <v>5021</v>
      </c>
      <c r="F4038" s="3" t="s">
        <v>5027</v>
      </c>
      <c r="G4038" s="3" t="s">
        <v>5031</v>
      </c>
      <c r="H4038" s="3" t="s">
        <v>8177</v>
      </c>
      <c r="I4038" s="17">
        <v>45459</v>
      </c>
      <c r="J4038" s="18">
        <f>YEAR(Tabla1[[#This Row],[FECHA DE COMPRA]])</f>
        <v>2024</v>
      </c>
      <c r="K4038" s="19">
        <v>132.99</v>
      </c>
      <c r="L4038" s="20">
        <v>0.2</v>
      </c>
      <c r="M4038" s="19">
        <f>Tienda!$K1564-Tienda!$K1564*Tienda!$L1564</f>
        <v>134.57499999999999</v>
      </c>
      <c r="N4038" s="3" t="s">
        <v>10038</v>
      </c>
      <c r="O4038" s="3" t="s">
        <v>10041</v>
      </c>
      <c r="P4038" s="17">
        <v>45459</v>
      </c>
      <c r="Q4038" s="4">
        <v>0</v>
      </c>
    </row>
    <row r="4039" spans="1:17" ht="30" x14ac:dyDescent="0.25">
      <c r="A4039" s="2" t="s">
        <v>3844</v>
      </c>
      <c r="B4039" s="3" t="s">
        <v>5016</v>
      </c>
      <c r="C4039" s="3">
        <v>65</v>
      </c>
      <c r="D4039" s="46" t="str">
        <f>IF(Tabla1[[#This Row],[EDAD]]&lt;=35,"Adultos jóvenes 18 - 35 años",IF(C4039&gt;=36,"Adultos mayores 36 años en adelante"))</f>
        <v>Adultos mayores 36 años en adelante</v>
      </c>
      <c r="E4039" s="3" t="s">
        <v>5019</v>
      </c>
      <c r="F4039" s="3" t="s">
        <v>5026</v>
      </c>
      <c r="G4039" s="3" t="s">
        <v>5034</v>
      </c>
      <c r="H4039" s="3" t="s">
        <v>8867</v>
      </c>
      <c r="I4039" s="17">
        <v>45401</v>
      </c>
      <c r="J4039" s="18">
        <f>YEAR(Tabla1[[#This Row],[FECHA DE COMPRA]])</f>
        <v>2024</v>
      </c>
      <c r="K4039" s="19">
        <v>133.87</v>
      </c>
      <c r="L4039" s="20">
        <v>0.2</v>
      </c>
      <c r="M4039" s="19">
        <f>Tienda!$K1569-Tienda!$K1569*Tienda!$L1569</f>
        <v>138.654</v>
      </c>
      <c r="N4039" s="3" t="s">
        <v>10038</v>
      </c>
      <c r="O4039" s="3" t="s">
        <v>10041</v>
      </c>
      <c r="P4039" s="17">
        <v>45401</v>
      </c>
      <c r="Q4039" s="4">
        <v>0</v>
      </c>
    </row>
    <row r="4040" spans="1:17" ht="30" x14ac:dyDescent="0.25">
      <c r="A4040" s="2" t="s">
        <v>1113</v>
      </c>
      <c r="B4040" s="3" t="s">
        <v>5015</v>
      </c>
      <c r="C4040" s="3">
        <v>58</v>
      </c>
      <c r="D4040" s="46" t="str">
        <f>IF(Tabla1[[#This Row],[EDAD]]&lt;=35,"Adultos jóvenes 18 - 35 años",IF(C4040&gt;=36,"Adultos mayores 36 años en adelante"))</f>
        <v>Adultos mayores 36 años en adelante</v>
      </c>
      <c r="E4040" s="3" t="s">
        <v>5017</v>
      </c>
      <c r="F4040" s="3" t="s">
        <v>5024</v>
      </c>
      <c r="G4040" s="3" t="s">
        <v>5031</v>
      </c>
      <c r="H4040" s="3" t="s">
        <v>6136</v>
      </c>
      <c r="I4040" s="17">
        <v>45325</v>
      </c>
      <c r="J4040" s="18">
        <f>YEAR(Tabla1[[#This Row],[FECHA DE COMPRA]])</f>
        <v>2024</v>
      </c>
      <c r="K4040" s="19">
        <v>107.36</v>
      </c>
      <c r="L4040" s="20">
        <v>0</v>
      </c>
      <c r="M4040" s="19">
        <f>Tienda!$K1570-Tienda!$K1570*Tienda!$L1570</f>
        <v>139.554</v>
      </c>
      <c r="N4040" s="3" t="s">
        <v>10038</v>
      </c>
      <c r="O4040" s="3" t="s">
        <v>10041</v>
      </c>
      <c r="P4040" s="17">
        <v>45325</v>
      </c>
      <c r="Q4040" s="4">
        <v>0</v>
      </c>
    </row>
    <row r="4041" spans="1:17" ht="30" x14ac:dyDescent="0.25">
      <c r="A4041" s="2" t="s">
        <v>516</v>
      </c>
      <c r="B4041" s="3" t="s">
        <v>5015</v>
      </c>
      <c r="C4041" s="3">
        <v>51</v>
      </c>
      <c r="D4041" s="46" t="str">
        <f>IF(Tabla1[[#This Row],[EDAD]]&lt;=35,"Adultos jóvenes 18 - 35 años",IF(C4041&gt;=36,"Adultos mayores 36 años en adelante"))</f>
        <v>Adultos mayores 36 años en adelante</v>
      </c>
      <c r="E4041" s="3" t="s">
        <v>5021</v>
      </c>
      <c r="F4041" s="3" t="s">
        <v>5029</v>
      </c>
      <c r="G4041" s="3" t="s">
        <v>5036</v>
      </c>
      <c r="H4041" s="3" t="s">
        <v>5539</v>
      </c>
      <c r="I4041" s="17">
        <v>45555</v>
      </c>
      <c r="J4041" s="18">
        <f>YEAR(Tabla1[[#This Row],[FECHA DE COMPRA]])</f>
        <v>2024</v>
      </c>
      <c r="K4041" s="19">
        <v>121.54</v>
      </c>
      <c r="L4041" s="20">
        <v>0.1</v>
      </c>
      <c r="M4041" s="19">
        <f>Tienda!$K1579-Tienda!$K1579*Tienda!$L1579</f>
        <v>144.01</v>
      </c>
      <c r="N4041" s="3" t="s">
        <v>10038</v>
      </c>
      <c r="O4041" s="3" t="s">
        <v>10041</v>
      </c>
      <c r="P4041" s="17">
        <v>45555</v>
      </c>
      <c r="Q4041" s="4">
        <v>0</v>
      </c>
    </row>
    <row r="4042" spans="1:17" ht="30" x14ac:dyDescent="0.25">
      <c r="A4042" s="2" t="s">
        <v>2888</v>
      </c>
      <c r="B4042" s="3" t="s">
        <v>5015</v>
      </c>
      <c r="C4042" s="3">
        <v>41</v>
      </c>
      <c r="D4042" s="46" t="str">
        <f>IF(Tabla1[[#This Row],[EDAD]]&lt;=35,"Adultos jóvenes 18 - 35 años",IF(C4042&gt;=36,"Adultos mayores 36 años en adelante"))</f>
        <v>Adultos mayores 36 años en adelante</v>
      </c>
      <c r="E4042" s="3" t="s">
        <v>5017</v>
      </c>
      <c r="F4042" s="3" t="s">
        <v>5025</v>
      </c>
      <c r="G4042" s="3" t="s">
        <v>5037</v>
      </c>
      <c r="H4042" s="3" t="s">
        <v>7911</v>
      </c>
      <c r="I4042" s="17">
        <v>45425</v>
      </c>
      <c r="J4042" s="18">
        <f>YEAR(Tabla1[[#This Row],[FECHA DE COMPRA]])</f>
        <v>2024</v>
      </c>
      <c r="K4042" s="19">
        <v>109.49</v>
      </c>
      <c r="L4042" s="20">
        <v>0</v>
      </c>
      <c r="M4042" s="19">
        <f>Tienda!$K1581-Tienda!$K1581*Tienda!$L1581</f>
        <v>144.67500000000001</v>
      </c>
      <c r="N4042" s="3" t="s">
        <v>10038</v>
      </c>
      <c r="O4042" s="3" t="s">
        <v>10041</v>
      </c>
      <c r="P4042" s="17">
        <v>45425</v>
      </c>
      <c r="Q4042" s="4">
        <v>0</v>
      </c>
    </row>
    <row r="4043" spans="1:17" ht="30" x14ac:dyDescent="0.25">
      <c r="A4043" s="2" t="s">
        <v>1376</v>
      </c>
      <c r="B4043" s="3" t="s">
        <v>5015</v>
      </c>
      <c r="C4043" s="3">
        <v>52</v>
      </c>
      <c r="D4043" s="46" t="str">
        <f>IF(Tabla1[[#This Row],[EDAD]]&lt;=35,"Adultos jóvenes 18 - 35 años",IF(C4043&gt;=36,"Adultos mayores 36 años en adelante"))</f>
        <v>Adultos mayores 36 años en adelante</v>
      </c>
      <c r="E4043" s="3" t="s">
        <v>5021</v>
      </c>
      <c r="F4043" s="3" t="s">
        <v>5027</v>
      </c>
      <c r="G4043" s="3" t="s">
        <v>5031</v>
      </c>
      <c r="H4043" s="3" t="s">
        <v>6399</v>
      </c>
      <c r="I4043" s="17">
        <v>45428</v>
      </c>
      <c r="J4043" s="18">
        <f>YEAR(Tabla1[[#This Row],[FECHA DE COMPRA]])</f>
        <v>2024</v>
      </c>
      <c r="K4043" s="19">
        <v>136.88</v>
      </c>
      <c r="L4043" s="20">
        <v>0.2</v>
      </c>
      <c r="M4043" s="19">
        <f>Tienda!$K1582-Tienda!$K1582*Tienda!$L1582</f>
        <v>145.608</v>
      </c>
      <c r="N4043" s="3" t="s">
        <v>10038</v>
      </c>
      <c r="O4043" s="3" t="s">
        <v>10041</v>
      </c>
      <c r="P4043" s="17">
        <v>45428</v>
      </c>
      <c r="Q4043" s="4">
        <v>0</v>
      </c>
    </row>
    <row r="4044" spans="1:17" ht="30" x14ac:dyDescent="0.25">
      <c r="A4044" s="2" t="s">
        <v>750</v>
      </c>
      <c r="B4044" s="3" t="s">
        <v>5016</v>
      </c>
      <c r="C4044" s="3">
        <v>38</v>
      </c>
      <c r="D4044" s="46" t="str">
        <f>IF(Tabla1[[#This Row],[EDAD]]&lt;=35,"Adultos jóvenes 18 - 35 años",IF(C4044&gt;=36,"Adultos mayores 36 años en adelante"))</f>
        <v>Adultos mayores 36 años en adelante</v>
      </c>
      <c r="E4044" s="3" t="s">
        <v>5019</v>
      </c>
      <c r="F4044" s="3" t="s">
        <v>5026</v>
      </c>
      <c r="G4044" s="3" t="s">
        <v>5032</v>
      </c>
      <c r="H4044" s="3" t="s">
        <v>5773</v>
      </c>
      <c r="I4044" s="17">
        <v>45644</v>
      </c>
      <c r="J4044" s="18">
        <f>YEAR(Tabla1[[#This Row],[FECHA DE COMPRA]])</f>
        <v>2024</v>
      </c>
      <c r="K4044" s="19">
        <v>109.65</v>
      </c>
      <c r="L4044" s="20">
        <v>0</v>
      </c>
      <c r="M4044" s="19">
        <f>Tienda!$K1583-Tienda!$K1583*Tienda!$L1583</f>
        <v>146.15099999999998</v>
      </c>
      <c r="N4044" s="3" t="s">
        <v>10038</v>
      </c>
      <c r="O4044" s="3" t="s">
        <v>10041</v>
      </c>
      <c r="P4044" s="17">
        <v>45644</v>
      </c>
      <c r="Q4044" s="4">
        <v>0</v>
      </c>
    </row>
    <row r="4045" spans="1:17" ht="30" x14ac:dyDescent="0.25">
      <c r="A4045" s="2" t="s">
        <v>229</v>
      </c>
      <c r="B4045" s="3" t="s">
        <v>5016</v>
      </c>
      <c r="C4045" s="3">
        <v>54</v>
      </c>
      <c r="D4045" s="46" t="str">
        <f>IF(Tabla1[[#This Row],[EDAD]]&lt;=35,"Adultos jóvenes 18 - 35 años",IF(C4045&gt;=36,"Adultos mayores 36 años en adelante"))</f>
        <v>Adultos mayores 36 años en adelante</v>
      </c>
      <c r="E4045" s="3" t="s">
        <v>5019</v>
      </c>
      <c r="F4045" s="3" t="s">
        <v>5030</v>
      </c>
      <c r="G4045" s="3" t="s">
        <v>5031</v>
      </c>
      <c r="H4045" s="3" t="s">
        <v>5252</v>
      </c>
      <c r="I4045" s="17">
        <v>45381</v>
      </c>
      <c r="J4045" s="18">
        <f>YEAR(Tabla1[[#This Row],[FECHA DE COMPRA]])</f>
        <v>2024</v>
      </c>
      <c r="K4045" s="19">
        <v>157.25</v>
      </c>
      <c r="L4045" s="20">
        <v>0.3</v>
      </c>
      <c r="M4045" s="19">
        <f>Tienda!$K1585-Tienda!$K1585*Tienda!$L1585</f>
        <v>147.072</v>
      </c>
      <c r="N4045" s="3" t="s">
        <v>10038</v>
      </c>
      <c r="O4045" s="3" t="s">
        <v>10041</v>
      </c>
      <c r="P4045" s="17">
        <v>45381</v>
      </c>
      <c r="Q4045" s="4">
        <v>0</v>
      </c>
    </row>
    <row r="4046" spans="1:17" ht="30" x14ac:dyDescent="0.25">
      <c r="A4046" s="2" t="s">
        <v>2321</v>
      </c>
      <c r="B4046" s="3" t="s">
        <v>5015</v>
      </c>
      <c r="C4046" s="3">
        <v>50</v>
      </c>
      <c r="D4046" s="46" t="str">
        <f>IF(Tabla1[[#This Row],[EDAD]]&lt;=35,"Adultos jóvenes 18 - 35 años",IF(C4046&gt;=36,"Adultos mayores 36 años en adelante"))</f>
        <v>Adultos mayores 36 años en adelante</v>
      </c>
      <c r="E4046" s="3" t="s">
        <v>5020</v>
      </c>
      <c r="F4046" s="3" t="s">
        <v>5028</v>
      </c>
      <c r="G4046" s="3" t="s">
        <v>5034</v>
      </c>
      <c r="H4046" s="3" t="s">
        <v>7344</v>
      </c>
      <c r="I4046" s="17">
        <v>45352</v>
      </c>
      <c r="J4046" s="18">
        <f>YEAR(Tabla1[[#This Row],[FECHA DE COMPRA]])</f>
        <v>2024</v>
      </c>
      <c r="K4046" s="19">
        <v>138.11000000000001</v>
      </c>
      <c r="L4046" s="20">
        <v>0.2</v>
      </c>
      <c r="M4046" s="19">
        <f>Tienda!$K1588-Tienda!$K1588*Tienda!$L1588</f>
        <v>151.62299999999999</v>
      </c>
      <c r="N4046" s="3" t="s">
        <v>10038</v>
      </c>
      <c r="O4046" s="3" t="s">
        <v>10041</v>
      </c>
      <c r="P4046" s="17">
        <v>45352</v>
      </c>
      <c r="Q4046" s="4">
        <v>0</v>
      </c>
    </row>
    <row r="4047" spans="1:17" ht="30" x14ac:dyDescent="0.25">
      <c r="A4047" s="2" t="s">
        <v>2891</v>
      </c>
      <c r="B4047" s="3" t="s">
        <v>5016</v>
      </c>
      <c r="C4047" s="3">
        <v>56</v>
      </c>
      <c r="D4047" s="46" t="str">
        <f>IF(Tabla1[[#This Row],[EDAD]]&lt;=35,"Adultos jóvenes 18 - 35 años",IF(C4047&gt;=36,"Adultos mayores 36 años en adelante"))</f>
        <v>Adultos mayores 36 años en adelante</v>
      </c>
      <c r="E4047" s="3" t="s">
        <v>5019</v>
      </c>
      <c r="F4047" s="3" t="s">
        <v>5027</v>
      </c>
      <c r="G4047" s="3" t="s">
        <v>5032</v>
      </c>
      <c r="H4047" s="3" t="s">
        <v>7914</v>
      </c>
      <c r="I4047" s="17">
        <v>45330</v>
      </c>
      <c r="J4047" s="18">
        <f>YEAR(Tabla1[[#This Row],[FECHA DE COMPRA]])</f>
        <v>2024</v>
      </c>
      <c r="K4047" s="19">
        <v>139.51</v>
      </c>
      <c r="L4047" s="20">
        <v>0.2</v>
      </c>
      <c r="M4047" s="19">
        <f>Tienda!$K1593-Tienda!$K1593*Tienda!$L1593</f>
        <v>155.34399999999999</v>
      </c>
      <c r="N4047" s="3" t="s">
        <v>10038</v>
      </c>
      <c r="O4047" s="3" t="s">
        <v>10041</v>
      </c>
      <c r="P4047" s="17">
        <v>45330</v>
      </c>
      <c r="Q4047" s="4">
        <v>0</v>
      </c>
    </row>
    <row r="4048" spans="1:17" ht="30" x14ac:dyDescent="0.25">
      <c r="A4048" s="2" t="s">
        <v>2381</v>
      </c>
      <c r="B4048" s="3" t="s">
        <v>5015</v>
      </c>
      <c r="C4048" s="3">
        <v>63</v>
      </c>
      <c r="D4048" s="46" t="str">
        <f>IF(Tabla1[[#This Row],[EDAD]]&lt;=35,"Adultos jóvenes 18 - 35 años",IF(C4048&gt;=36,"Adultos mayores 36 años en adelante"))</f>
        <v>Adultos mayores 36 años en adelante</v>
      </c>
      <c r="E4048" s="3" t="s">
        <v>5018</v>
      </c>
      <c r="F4048" s="3" t="s">
        <v>5030</v>
      </c>
      <c r="G4048" s="3" t="s">
        <v>5032</v>
      </c>
      <c r="H4048" s="3" t="s">
        <v>7404</v>
      </c>
      <c r="I4048" s="17">
        <v>45618</v>
      </c>
      <c r="J4048" s="18">
        <f>YEAR(Tabla1[[#This Row],[FECHA DE COMPRA]])</f>
        <v>2024</v>
      </c>
      <c r="K4048" s="19">
        <v>112.13</v>
      </c>
      <c r="L4048" s="20">
        <v>0</v>
      </c>
      <c r="M4048" s="19">
        <f>Tienda!$K1596-Tienda!$K1596*Tienda!$L1596</f>
        <v>156.80699999999999</v>
      </c>
      <c r="N4048" s="3" t="s">
        <v>10038</v>
      </c>
      <c r="O4048" s="3" t="s">
        <v>10041</v>
      </c>
      <c r="P4048" s="17">
        <v>45462</v>
      </c>
      <c r="Q4048" s="4">
        <v>0</v>
      </c>
    </row>
    <row r="4049" spans="1:17" ht="30" x14ac:dyDescent="0.25">
      <c r="A4049" s="2" t="s">
        <v>911</v>
      </c>
      <c r="B4049" s="3" t="s">
        <v>5015</v>
      </c>
      <c r="C4049" s="3">
        <v>51</v>
      </c>
      <c r="D4049" s="46" t="str">
        <f>IF(Tabla1[[#This Row],[EDAD]]&lt;=35,"Adultos jóvenes 18 - 35 años",IF(C4049&gt;=36,"Adultos mayores 36 años en adelante"))</f>
        <v>Adultos mayores 36 años en adelante</v>
      </c>
      <c r="E4049" s="3" t="s">
        <v>5019</v>
      </c>
      <c r="F4049" s="3" t="s">
        <v>5030</v>
      </c>
      <c r="G4049" s="3" t="s">
        <v>5032</v>
      </c>
      <c r="H4049" s="3" t="s">
        <v>5934</v>
      </c>
      <c r="I4049" s="17">
        <v>45563</v>
      </c>
      <c r="J4049" s="18">
        <f>YEAR(Tabla1[[#This Row],[FECHA DE COMPRA]])</f>
        <v>2024</v>
      </c>
      <c r="K4049" s="19">
        <v>126.04</v>
      </c>
      <c r="L4049" s="20">
        <v>0.1</v>
      </c>
      <c r="M4049" s="19">
        <f>Tienda!$K1598-Tienda!$K1598*Tienda!$L1598</f>
        <v>159.58799999999999</v>
      </c>
      <c r="N4049" s="3" t="s">
        <v>10038</v>
      </c>
      <c r="O4049" s="3" t="s">
        <v>10041</v>
      </c>
      <c r="P4049" s="17">
        <v>45563</v>
      </c>
      <c r="Q4049" s="4">
        <v>0</v>
      </c>
    </row>
    <row r="4050" spans="1:17" ht="30" x14ac:dyDescent="0.25">
      <c r="A4050" s="2" t="s">
        <v>3863</v>
      </c>
      <c r="B4050" s="3" t="s">
        <v>5015</v>
      </c>
      <c r="C4050" s="3">
        <v>43</v>
      </c>
      <c r="D4050" s="46" t="str">
        <f>IF(Tabla1[[#This Row],[EDAD]]&lt;=35,"Adultos jóvenes 18 - 35 años",IF(C4050&gt;=36,"Adultos mayores 36 años en adelante"))</f>
        <v>Adultos mayores 36 años en adelante</v>
      </c>
      <c r="E4050" s="3" t="s">
        <v>5021</v>
      </c>
      <c r="F4050" s="3" t="s">
        <v>5028</v>
      </c>
      <c r="G4050" s="3" t="s">
        <v>5033</v>
      </c>
      <c r="H4050" s="3" t="s">
        <v>8886</v>
      </c>
      <c r="I4050" s="17">
        <v>45433</v>
      </c>
      <c r="J4050" s="18">
        <f>YEAR(Tabla1[[#This Row],[FECHA DE COMPRA]])</f>
        <v>2024</v>
      </c>
      <c r="K4050" s="19">
        <v>127.06</v>
      </c>
      <c r="L4050" s="20">
        <v>0.1</v>
      </c>
      <c r="M4050" s="19">
        <f>Tienda!$K1603-Tienda!$K1603*Tienda!$L1603</f>
        <v>162.56</v>
      </c>
      <c r="N4050" s="3" t="s">
        <v>10038</v>
      </c>
      <c r="O4050" s="3" t="s">
        <v>10041</v>
      </c>
      <c r="P4050" s="17">
        <v>45433</v>
      </c>
      <c r="Q4050" s="4">
        <v>0</v>
      </c>
    </row>
    <row r="4051" spans="1:17" ht="30" x14ac:dyDescent="0.25">
      <c r="A4051" s="2" t="s">
        <v>2330</v>
      </c>
      <c r="B4051" s="3" t="s">
        <v>5015</v>
      </c>
      <c r="C4051" s="3">
        <v>52</v>
      </c>
      <c r="D4051" s="46" t="str">
        <f>IF(Tabla1[[#This Row],[EDAD]]&lt;=35,"Adultos jóvenes 18 - 35 años",IF(C4051&gt;=36,"Adultos mayores 36 años en adelante"))</f>
        <v>Adultos mayores 36 años en adelante</v>
      </c>
      <c r="E4051" s="3" t="s">
        <v>5023</v>
      </c>
      <c r="F4051" s="3" t="s">
        <v>5029</v>
      </c>
      <c r="G4051" s="3" t="s">
        <v>5037</v>
      </c>
      <c r="H4051" s="3" t="s">
        <v>7353</v>
      </c>
      <c r="I4051" s="17">
        <v>45598</v>
      </c>
      <c r="J4051" s="18">
        <f>YEAR(Tabla1[[#This Row],[FECHA DE COMPRA]])</f>
        <v>2024</v>
      </c>
      <c r="K4051" s="19">
        <v>167.17</v>
      </c>
      <c r="L4051" s="20">
        <v>0.3</v>
      </c>
      <c r="M4051" s="19">
        <f>Tienda!$K1620-Tienda!$K1620*Tienda!$L1620</f>
        <v>191.55</v>
      </c>
      <c r="N4051" s="3" t="s">
        <v>10038</v>
      </c>
      <c r="O4051" s="3" t="s">
        <v>10041</v>
      </c>
      <c r="P4051" s="17">
        <v>45598</v>
      </c>
      <c r="Q4051" s="4">
        <v>0</v>
      </c>
    </row>
    <row r="4052" spans="1:17" ht="30" x14ac:dyDescent="0.25">
      <c r="A4052" s="2" t="s">
        <v>2350</v>
      </c>
      <c r="B4052" s="3" t="s">
        <v>5015</v>
      </c>
      <c r="C4052" s="3">
        <v>51</v>
      </c>
      <c r="D4052" s="46" t="str">
        <f>IF(Tabla1[[#This Row],[EDAD]]&lt;=35,"Adultos jóvenes 18 - 35 años",IF(C4052&gt;=36,"Adultos mayores 36 años en adelante"))</f>
        <v>Adultos mayores 36 años en adelante</v>
      </c>
      <c r="E4052" s="3" t="s">
        <v>5023</v>
      </c>
      <c r="F4052" s="3" t="s">
        <v>5024</v>
      </c>
      <c r="G4052" s="3" t="s">
        <v>5031</v>
      </c>
      <c r="H4052" s="3" t="s">
        <v>7373</v>
      </c>
      <c r="I4052" s="17">
        <v>45334</v>
      </c>
      <c r="J4052" s="18">
        <f>YEAR(Tabla1[[#This Row],[FECHA DE COMPRA]])</f>
        <v>2024</v>
      </c>
      <c r="K4052" s="19">
        <v>167.69</v>
      </c>
      <c r="L4052" s="20">
        <v>0.3</v>
      </c>
      <c r="M4052" s="19">
        <f>Tienda!$K1623-Tienda!$K1623*Tienda!$L1623</f>
        <v>196.73</v>
      </c>
      <c r="N4052" s="3" t="s">
        <v>10038</v>
      </c>
      <c r="O4052" s="3" t="s">
        <v>10041</v>
      </c>
      <c r="P4052" s="17">
        <v>45334</v>
      </c>
      <c r="Q4052" s="4">
        <v>0</v>
      </c>
    </row>
    <row r="4053" spans="1:17" ht="30" x14ac:dyDescent="0.25">
      <c r="A4053" s="2" t="s">
        <v>1171</v>
      </c>
      <c r="B4053" s="3" t="s">
        <v>5016</v>
      </c>
      <c r="C4053" s="3">
        <v>61</v>
      </c>
      <c r="D4053" s="46" t="str">
        <f>IF(Tabla1[[#This Row],[EDAD]]&lt;=35,"Adultos jóvenes 18 - 35 años",IF(C4053&gt;=36,"Adultos mayores 36 años en adelante"))</f>
        <v>Adultos mayores 36 años en adelante</v>
      </c>
      <c r="E4053" s="3" t="s">
        <v>5021</v>
      </c>
      <c r="F4053" s="3" t="s">
        <v>5029</v>
      </c>
      <c r="G4053" s="3" t="s">
        <v>5036</v>
      </c>
      <c r="H4053" s="3" t="s">
        <v>6194</v>
      </c>
      <c r="I4053" s="17">
        <v>45471</v>
      </c>
      <c r="J4053" s="18">
        <f>YEAR(Tabla1[[#This Row],[FECHA DE COMPRA]])</f>
        <v>2024</v>
      </c>
      <c r="K4053" s="19">
        <v>170.14</v>
      </c>
      <c r="L4053" s="20">
        <v>0.3</v>
      </c>
      <c r="M4053" s="19">
        <f>Tienda!$K1632-Tienda!$K1632*Tienda!$L1632</f>
        <v>79.415999999999997</v>
      </c>
      <c r="N4053" s="3" t="s">
        <v>10038</v>
      </c>
      <c r="O4053" s="3" t="s">
        <v>10041</v>
      </c>
      <c r="P4053" s="17">
        <v>45471</v>
      </c>
      <c r="Q4053" s="4">
        <v>0</v>
      </c>
    </row>
    <row r="4054" spans="1:17" ht="30" x14ac:dyDescent="0.25">
      <c r="A4054" s="2" t="s">
        <v>170</v>
      </c>
      <c r="B4054" s="3" t="s">
        <v>5015</v>
      </c>
      <c r="C4054" s="3">
        <v>48</v>
      </c>
      <c r="D4054" s="46" t="str">
        <f>IF(Tabla1[[#This Row],[EDAD]]&lt;=35,"Adultos jóvenes 18 - 35 años",IF(C4054&gt;=36,"Adultos mayores 36 años en adelante"))</f>
        <v>Adultos mayores 36 años en adelante</v>
      </c>
      <c r="E4054" s="3" t="s">
        <v>5020</v>
      </c>
      <c r="F4054" s="3" t="s">
        <v>5028</v>
      </c>
      <c r="G4054" s="3" t="s">
        <v>5037</v>
      </c>
      <c r="H4054" s="3" t="s">
        <v>5193</v>
      </c>
      <c r="I4054" s="17">
        <v>45595</v>
      </c>
      <c r="J4054" s="18">
        <f>YEAR(Tabla1[[#This Row],[FECHA DE COMPRA]])</f>
        <v>2024</v>
      </c>
      <c r="K4054" s="19">
        <v>133.82</v>
      </c>
      <c r="L4054" s="20">
        <v>0.1</v>
      </c>
      <c r="M4054" s="19">
        <f>Tienda!$K1638-Tienda!$K1638*Tienda!$L1638</f>
        <v>151.26</v>
      </c>
      <c r="N4054" s="3" t="s">
        <v>10038</v>
      </c>
      <c r="O4054" s="3" t="s">
        <v>10041</v>
      </c>
      <c r="P4054" s="17">
        <v>45595</v>
      </c>
      <c r="Q4054" s="4">
        <v>0</v>
      </c>
    </row>
    <row r="4055" spans="1:17" ht="30" x14ac:dyDescent="0.25">
      <c r="A4055" s="2" t="s">
        <v>1330</v>
      </c>
      <c r="B4055" s="3" t="s">
        <v>5015</v>
      </c>
      <c r="C4055" s="3">
        <v>56</v>
      </c>
      <c r="D4055" s="46" t="str">
        <f>IF(Tabla1[[#This Row],[EDAD]]&lt;=35,"Adultos jóvenes 18 - 35 años",IF(C4055&gt;=36,"Adultos mayores 36 años en adelante"))</f>
        <v>Adultos mayores 36 años en adelante</v>
      </c>
      <c r="E4055" s="3" t="s">
        <v>5022</v>
      </c>
      <c r="F4055" s="3" t="s">
        <v>5026</v>
      </c>
      <c r="G4055" s="3" t="s">
        <v>5037</v>
      </c>
      <c r="H4055" s="3" t="s">
        <v>6353</v>
      </c>
      <c r="I4055" s="17">
        <v>45472</v>
      </c>
      <c r="J4055" s="18">
        <f>YEAR(Tabla1[[#This Row],[FECHA DE COMPRA]])</f>
        <v>2024</v>
      </c>
      <c r="K4055" s="19">
        <v>173.98</v>
      </c>
      <c r="L4055" s="20">
        <v>0.3</v>
      </c>
      <c r="M4055" s="19">
        <f>Tienda!$K1646-Tienda!$K1646*Tienda!$L1646</f>
        <v>40.369</v>
      </c>
      <c r="N4055" s="3" t="s">
        <v>10038</v>
      </c>
      <c r="O4055" s="3" t="s">
        <v>10041</v>
      </c>
      <c r="P4055" s="17">
        <v>45472</v>
      </c>
      <c r="Q4055" s="4">
        <v>0</v>
      </c>
    </row>
    <row r="4056" spans="1:17" ht="30" x14ac:dyDescent="0.25">
      <c r="A4056" s="2" t="s">
        <v>307</v>
      </c>
      <c r="B4056" s="3" t="s">
        <v>5015</v>
      </c>
      <c r="C4056" s="3">
        <v>65</v>
      </c>
      <c r="D4056" s="46" t="str">
        <f>IF(Tabla1[[#This Row],[EDAD]]&lt;=35,"Adultos jóvenes 18 - 35 años",IF(C4056&gt;=36,"Adultos mayores 36 años en adelante"))</f>
        <v>Adultos mayores 36 años en adelante</v>
      </c>
      <c r="E4056" s="3" t="s">
        <v>5018</v>
      </c>
      <c r="F4056" s="3" t="s">
        <v>5027</v>
      </c>
      <c r="G4056" s="3" t="s">
        <v>5033</v>
      </c>
      <c r="H4056" s="3" t="s">
        <v>5330</v>
      </c>
      <c r="I4056" s="17">
        <v>45335</v>
      </c>
      <c r="J4056" s="18">
        <f>YEAR(Tabla1[[#This Row],[FECHA DE COMPRA]])</f>
        <v>2024</v>
      </c>
      <c r="K4056" s="19">
        <v>153.19</v>
      </c>
      <c r="L4056" s="20">
        <v>0.2</v>
      </c>
      <c r="M4056" s="19">
        <f>Tienda!$K1651-Tienda!$K1651*Tienda!$L1651</f>
        <v>93.703999999999994</v>
      </c>
      <c r="N4056" s="3" t="s">
        <v>10038</v>
      </c>
      <c r="O4056" s="3" t="s">
        <v>10041</v>
      </c>
      <c r="P4056" s="17">
        <v>45367</v>
      </c>
      <c r="Q4056" s="4">
        <v>0</v>
      </c>
    </row>
    <row r="4057" spans="1:17" ht="30" x14ac:dyDescent="0.25">
      <c r="A4057" s="2" t="s">
        <v>3678</v>
      </c>
      <c r="B4057" s="3" t="s">
        <v>5015</v>
      </c>
      <c r="C4057" s="3">
        <v>45</v>
      </c>
      <c r="D4057" s="46" t="str">
        <f>IF(Tabla1[[#This Row],[EDAD]]&lt;=35,"Adultos jóvenes 18 - 35 años",IF(C4057&gt;=36,"Adultos mayores 36 años en adelante"))</f>
        <v>Adultos mayores 36 años en adelante</v>
      </c>
      <c r="E4057" s="3" t="s">
        <v>5023</v>
      </c>
      <c r="F4057" s="3" t="s">
        <v>5030</v>
      </c>
      <c r="G4057" s="3" t="s">
        <v>5035</v>
      </c>
      <c r="H4057" s="3" t="s">
        <v>8701</v>
      </c>
      <c r="I4057" s="17">
        <v>45555</v>
      </c>
      <c r="J4057" s="18">
        <f>YEAR(Tabla1[[#This Row],[FECHA DE COMPRA]])</f>
        <v>2024</v>
      </c>
      <c r="K4057" s="19">
        <v>154.16999999999999</v>
      </c>
      <c r="L4057" s="20">
        <v>0.2</v>
      </c>
      <c r="M4057" s="19">
        <f>Tienda!$K1654-Tienda!$K1654*Tienda!$L1654</f>
        <v>8.9110000000000014</v>
      </c>
      <c r="N4057" s="3" t="s">
        <v>10038</v>
      </c>
      <c r="O4057" s="3" t="s">
        <v>10041</v>
      </c>
      <c r="P4057" s="17">
        <v>45555</v>
      </c>
      <c r="Q4057" s="4">
        <v>0</v>
      </c>
    </row>
    <row r="4058" spans="1:17" ht="30" x14ac:dyDescent="0.25">
      <c r="A4058" s="2" t="s">
        <v>2980</v>
      </c>
      <c r="B4058" s="3" t="s">
        <v>5015</v>
      </c>
      <c r="C4058" s="3">
        <v>41</v>
      </c>
      <c r="D4058" s="46" t="str">
        <f>IF(Tabla1[[#This Row],[EDAD]]&lt;=35,"Adultos jóvenes 18 - 35 años",IF(C4058&gt;=36,"Adultos mayores 36 años en adelante"))</f>
        <v>Adultos mayores 36 años en adelante</v>
      </c>
      <c r="E4058" s="3" t="s">
        <v>5020</v>
      </c>
      <c r="F4058" s="3" t="s">
        <v>5030</v>
      </c>
      <c r="G4058" s="3" t="s">
        <v>5035</v>
      </c>
      <c r="H4058" s="3" t="s">
        <v>8003</v>
      </c>
      <c r="I4058" s="17">
        <v>45606</v>
      </c>
      <c r="J4058" s="18">
        <f>YEAR(Tabla1[[#This Row],[FECHA DE COMPRA]])</f>
        <v>2024</v>
      </c>
      <c r="K4058" s="19">
        <v>156.28</v>
      </c>
      <c r="L4058" s="20">
        <v>0.2</v>
      </c>
      <c r="M4058" s="19">
        <f>Tienda!$K1659-Tienda!$K1659*Tienda!$L1659</f>
        <v>31.184999999999999</v>
      </c>
      <c r="N4058" s="3" t="s">
        <v>10038</v>
      </c>
      <c r="O4058" s="3" t="s">
        <v>10041</v>
      </c>
      <c r="P4058" s="17">
        <v>45606</v>
      </c>
      <c r="Q4058" s="4">
        <v>0</v>
      </c>
    </row>
    <row r="4059" spans="1:17" ht="30" x14ac:dyDescent="0.25">
      <c r="A4059" s="2" t="s">
        <v>1743</v>
      </c>
      <c r="B4059" s="3" t="s">
        <v>5015</v>
      </c>
      <c r="C4059" s="3">
        <v>36</v>
      </c>
      <c r="D4059" s="46" t="str">
        <f>IF(Tabla1[[#This Row],[EDAD]]&lt;=35,"Adultos jóvenes 18 - 35 años",IF(C4059&gt;=36,"Adultos mayores 36 años en adelante"))</f>
        <v>Adultos mayores 36 años en adelante</v>
      </c>
      <c r="E4059" s="3" t="s">
        <v>5022</v>
      </c>
      <c r="F4059" s="3" t="s">
        <v>5024</v>
      </c>
      <c r="G4059" s="3" t="s">
        <v>5035</v>
      </c>
      <c r="H4059" s="3" t="s">
        <v>6766</v>
      </c>
      <c r="I4059" s="17">
        <v>45429</v>
      </c>
      <c r="J4059" s="18">
        <f>YEAR(Tabla1[[#This Row],[FECHA DE COMPRA]])</f>
        <v>2024</v>
      </c>
      <c r="K4059" s="19">
        <v>181.31</v>
      </c>
      <c r="L4059" s="20">
        <v>0.3</v>
      </c>
      <c r="M4059" s="19">
        <f>Tienda!$K1665-Tienda!$K1665*Tienda!$L1665</f>
        <v>119.3</v>
      </c>
      <c r="N4059" s="3" t="s">
        <v>10038</v>
      </c>
      <c r="O4059" s="3" t="s">
        <v>10041</v>
      </c>
      <c r="P4059" s="17">
        <v>45429</v>
      </c>
      <c r="Q4059" s="4">
        <v>0</v>
      </c>
    </row>
    <row r="4060" spans="1:17" ht="30" x14ac:dyDescent="0.25">
      <c r="A4060" s="2" t="s">
        <v>3104</v>
      </c>
      <c r="B4060" s="3" t="s">
        <v>5015</v>
      </c>
      <c r="C4060" s="3">
        <v>63</v>
      </c>
      <c r="D4060" s="46" t="str">
        <f>IF(Tabla1[[#This Row],[EDAD]]&lt;=35,"Adultos jóvenes 18 - 35 años",IF(C4060&gt;=36,"Adultos mayores 36 años en adelante"))</f>
        <v>Adultos mayores 36 años en adelante</v>
      </c>
      <c r="E4060" s="3" t="s">
        <v>5020</v>
      </c>
      <c r="F4060" s="3" t="s">
        <v>5024</v>
      </c>
      <c r="G4060" s="3" t="s">
        <v>5036</v>
      </c>
      <c r="H4060" s="3" t="s">
        <v>8127</v>
      </c>
      <c r="I4060" s="17">
        <v>45353</v>
      </c>
      <c r="J4060" s="18">
        <f>YEAR(Tabla1[[#This Row],[FECHA DE COMPRA]])</f>
        <v>2024</v>
      </c>
      <c r="K4060" s="19">
        <v>181.46</v>
      </c>
      <c r="L4060" s="20">
        <v>0.3</v>
      </c>
      <c r="M4060" s="19">
        <f>Tienda!$K1666-Tienda!$K1666*Tienda!$L1666</f>
        <v>111.645</v>
      </c>
      <c r="N4060" s="3" t="s">
        <v>10038</v>
      </c>
      <c r="O4060" s="3" t="s">
        <v>10041</v>
      </c>
      <c r="P4060" s="17">
        <v>45353</v>
      </c>
      <c r="Q4060" s="4">
        <v>0</v>
      </c>
    </row>
    <row r="4061" spans="1:17" ht="30" x14ac:dyDescent="0.25">
      <c r="A4061" s="2" t="s">
        <v>3518</v>
      </c>
      <c r="B4061" s="3" t="s">
        <v>5016</v>
      </c>
      <c r="C4061" s="3">
        <v>54</v>
      </c>
      <c r="D4061" s="46" t="str">
        <f>IF(Tabla1[[#This Row],[EDAD]]&lt;=35,"Adultos jóvenes 18 - 35 años",IF(C4061&gt;=36,"Adultos mayores 36 años en adelante"))</f>
        <v>Adultos mayores 36 años en adelante</v>
      </c>
      <c r="E4061" s="3" t="s">
        <v>5021</v>
      </c>
      <c r="F4061" s="3" t="s">
        <v>5030</v>
      </c>
      <c r="G4061" s="3" t="s">
        <v>5033</v>
      </c>
      <c r="H4061" s="3" t="s">
        <v>8541</v>
      </c>
      <c r="I4061" s="17">
        <v>45589</v>
      </c>
      <c r="J4061" s="18">
        <f>YEAR(Tabla1[[#This Row],[FECHA DE COMPRA]])</f>
        <v>2024</v>
      </c>
      <c r="K4061" s="19">
        <v>141.38</v>
      </c>
      <c r="L4061" s="20">
        <v>0.1</v>
      </c>
      <c r="M4061" s="19">
        <f>Tienda!$K1668-Tienda!$K1668*Tienda!$L1668</f>
        <v>110.91499999999999</v>
      </c>
      <c r="N4061" s="3" t="s">
        <v>10038</v>
      </c>
      <c r="O4061" s="3" t="s">
        <v>10041</v>
      </c>
      <c r="P4061" s="17">
        <v>45589</v>
      </c>
      <c r="Q4061" s="4">
        <v>0</v>
      </c>
    </row>
    <row r="4062" spans="1:17" ht="30" x14ac:dyDescent="0.25">
      <c r="A4062" s="2" t="s">
        <v>3493</v>
      </c>
      <c r="B4062" s="3" t="s">
        <v>5016</v>
      </c>
      <c r="C4062" s="3">
        <v>57</v>
      </c>
      <c r="D4062" s="46" t="str">
        <f>IF(Tabla1[[#This Row],[EDAD]]&lt;=35,"Adultos jóvenes 18 - 35 años",IF(C4062&gt;=36,"Adultos mayores 36 años en adelante"))</f>
        <v>Adultos mayores 36 años en adelante</v>
      </c>
      <c r="E4062" s="3" t="s">
        <v>5023</v>
      </c>
      <c r="F4062" s="3" t="s">
        <v>5029</v>
      </c>
      <c r="G4062" s="3" t="s">
        <v>5033</v>
      </c>
      <c r="H4062" s="3" t="s">
        <v>8516</v>
      </c>
      <c r="I4062" s="17">
        <v>45657</v>
      </c>
      <c r="J4062" s="18">
        <f>YEAR(Tabla1[[#This Row],[FECHA DE COMPRA]])</f>
        <v>2024</v>
      </c>
      <c r="K4062" s="19">
        <v>185.55</v>
      </c>
      <c r="L4062" s="20">
        <v>0.3</v>
      </c>
      <c r="M4062" s="19">
        <f>Tienda!$K1683-Tienda!$K1683*Tienda!$L1683</f>
        <v>114.5</v>
      </c>
      <c r="N4062" s="3" t="s">
        <v>10038</v>
      </c>
      <c r="O4062" s="3" t="s">
        <v>10041</v>
      </c>
      <c r="P4062" s="17">
        <v>45657</v>
      </c>
      <c r="Q4062" s="4">
        <v>0</v>
      </c>
    </row>
    <row r="4063" spans="1:17" ht="30" x14ac:dyDescent="0.25">
      <c r="A4063" s="2" t="s">
        <v>3962</v>
      </c>
      <c r="B4063" s="3" t="s">
        <v>5015</v>
      </c>
      <c r="C4063" s="3">
        <v>53</v>
      </c>
      <c r="D4063" s="46" t="str">
        <f>IF(Tabla1[[#This Row],[EDAD]]&lt;=35,"Adultos jóvenes 18 - 35 años",IF(C4063&gt;=36,"Adultos mayores 36 años en adelante"))</f>
        <v>Adultos mayores 36 años en adelante</v>
      </c>
      <c r="E4063" s="3" t="s">
        <v>5017</v>
      </c>
      <c r="F4063" s="3" t="s">
        <v>5028</v>
      </c>
      <c r="G4063" s="3" t="s">
        <v>5036</v>
      </c>
      <c r="H4063" s="3" t="s">
        <v>8985</v>
      </c>
      <c r="I4063" s="17">
        <v>45623</v>
      </c>
      <c r="J4063" s="18">
        <f>YEAR(Tabla1[[#This Row],[FECHA DE COMPRA]])</f>
        <v>2024</v>
      </c>
      <c r="K4063" s="19">
        <v>129.91999999999999</v>
      </c>
      <c r="L4063" s="20">
        <v>0</v>
      </c>
      <c r="M4063" s="19">
        <f>Tienda!$K1684-Tienda!$K1684*Tienda!$L1684</f>
        <v>17.05</v>
      </c>
      <c r="N4063" s="3" t="s">
        <v>10038</v>
      </c>
      <c r="O4063" s="3" t="s">
        <v>10041</v>
      </c>
      <c r="P4063" s="17">
        <v>45623</v>
      </c>
      <c r="Q4063" s="4">
        <v>0</v>
      </c>
    </row>
    <row r="4064" spans="1:17" ht="30" x14ac:dyDescent="0.25">
      <c r="A4064" s="2" t="s">
        <v>4853</v>
      </c>
      <c r="B4064" s="3" t="s">
        <v>5015</v>
      </c>
      <c r="C4064" s="3">
        <v>60</v>
      </c>
      <c r="D4064" s="46" t="str">
        <f>IF(Tabla1[[#This Row],[EDAD]]&lt;=35,"Adultos jóvenes 18 - 35 años",IF(C4064&gt;=36,"Adultos mayores 36 años en adelante"))</f>
        <v>Adultos mayores 36 años en adelante</v>
      </c>
      <c r="E4064" s="3" t="s">
        <v>5019</v>
      </c>
      <c r="F4064" s="3" t="s">
        <v>5029</v>
      </c>
      <c r="G4064" s="3" t="s">
        <v>5033</v>
      </c>
      <c r="H4064" s="3" t="s">
        <v>9876</v>
      </c>
      <c r="I4064" s="17">
        <v>45582</v>
      </c>
      <c r="J4064" s="18">
        <f>YEAR(Tabla1[[#This Row],[FECHA DE COMPRA]])</f>
        <v>2024</v>
      </c>
      <c r="K4064" s="19">
        <v>162.87</v>
      </c>
      <c r="L4064" s="20">
        <v>0.2</v>
      </c>
      <c r="M4064" s="19">
        <f>Tienda!$K1687-Tienda!$K1687*Tienda!$L1687</f>
        <v>37.093000000000004</v>
      </c>
      <c r="N4064" s="3" t="s">
        <v>10038</v>
      </c>
      <c r="O4064" s="3" t="s">
        <v>10041</v>
      </c>
      <c r="P4064" s="17">
        <v>45582</v>
      </c>
      <c r="Q4064" s="4">
        <v>0</v>
      </c>
    </row>
    <row r="4065" spans="1:17" ht="30" x14ac:dyDescent="0.25">
      <c r="A4065" s="2" t="s">
        <v>2894</v>
      </c>
      <c r="B4065" s="3" t="s">
        <v>5016</v>
      </c>
      <c r="C4065" s="3">
        <v>55</v>
      </c>
      <c r="D4065" s="46" t="str">
        <f>IF(Tabla1[[#This Row],[EDAD]]&lt;=35,"Adultos jóvenes 18 - 35 años",IF(C4065&gt;=36,"Adultos mayores 36 años en adelante"))</f>
        <v>Adultos mayores 36 años en adelante</v>
      </c>
      <c r="E4065" s="3" t="s">
        <v>5017</v>
      </c>
      <c r="F4065" s="3" t="s">
        <v>5025</v>
      </c>
      <c r="G4065" s="3" t="s">
        <v>5035</v>
      </c>
      <c r="H4065" s="3" t="s">
        <v>7917</v>
      </c>
      <c r="I4065" s="17">
        <v>45428</v>
      </c>
      <c r="J4065" s="18">
        <f>YEAR(Tabla1[[#This Row],[FECHA DE COMPRA]])</f>
        <v>2024</v>
      </c>
      <c r="K4065" s="19">
        <v>188.94</v>
      </c>
      <c r="L4065" s="20">
        <v>0.3</v>
      </c>
      <c r="M4065" s="19">
        <f>Tienda!$K1694-Tienda!$K1694*Tienda!$L1694</f>
        <v>106.50399999999999</v>
      </c>
      <c r="N4065" s="3" t="s">
        <v>10038</v>
      </c>
      <c r="O4065" s="3" t="s">
        <v>10041</v>
      </c>
      <c r="P4065" s="17">
        <v>45428</v>
      </c>
      <c r="Q4065" s="4">
        <v>0</v>
      </c>
    </row>
    <row r="4066" spans="1:17" ht="30" x14ac:dyDescent="0.25">
      <c r="A4066" s="2" t="s">
        <v>4989</v>
      </c>
      <c r="B4066" s="3" t="s">
        <v>5015</v>
      </c>
      <c r="C4066" s="3">
        <v>38</v>
      </c>
      <c r="D4066" s="46" t="str">
        <f>IF(Tabla1[[#This Row],[EDAD]]&lt;=35,"Adultos jóvenes 18 - 35 años",IF(C4066&gt;=36,"Adultos mayores 36 años en adelante"))</f>
        <v>Adultos mayores 36 años en adelante</v>
      </c>
      <c r="E4066" s="3" t="s">
        <v>5022</v>
      </c>
      <c r="F4066" s="3" t="s">
        <v>5030</v>
      </c>
      <c r="G4066" s="3" t="s">
        <v>5037</v>
      </c>
      <c r="H4066" s="3" t="s">
        <v>10012</v>
      </c>
      <c r="I4066" s="17">
        <v>45509</v>
      </c>
      <c r="J4066" s="18">
        <f>YEAR(Tabla1[[#This Row],[FECHA DE COMPRA]])</f>
        <v>2024</v>
      </c>
      <c r="K4066" s="19">
        <v>167.07</v>
      </c>
      <c r="L4066" s="20">
        <v>0.2</v>
      </c>
      <c r="M4066" s="19">
        <f>Tienda!$K1698-Tienda!$K1698*Tienda!$L1698</f>
        <v>8.0400000000000009</v>
      </c>
      <c r="N4066" s="3" t="s">
        <v>10038</v>
      </c>
      <c r="O4066" s="3" t="s">
        <v>10041</v>
      </c>
      <c r="P4066" s="17">
        <v>45509</v>
      </c>
      <c r="Q4066" s="4">
        <v>0</v>
      </c>
    </row>
    <row r="4067" spans="1:17" ht="30" x14ac:dyDescent="0.25">
      <c r="A4067" s="2" t="s">
        <v>861</v>
      </c>
      <c r="B4067" s="3" t="s">
        <v>5015</v>
      </c>
      <c r="C4067" s="3">
        <v>60</v>
      </c>
      <c r="D4067" s="46" t="str">
        <f>IF(Tabla1[[#This Row],[EDAD]]&lt;=35,"Adultos jóvenes 18 - 35 años",IF(C4067&gt;=36,"Adultos mayores 36 años en adelante"))</f>
        <v>Adultos mayores 36 años en adelante</v>
      </c>
      <c r="E4067" s="3" t="s">
        <v>5019</v>
      </c>
      <c r="F4067" s="3" t="s">
        <v>5026</v>
      </c>
      <c r="G4067" s="3" t="s">
        <v>5037</v>
      </c>
      <c r="H4067" s="3" t="s">
        <v>5884</v>
      </c>
      <c r="I4067" s="17">
        <v>45649</v>
      </c>
      <c r="J4067" s="18">
        <f>YEAR(Tabla1[[#This Row],[FECHA DE COMPRA]])</f>
        <v>2024</v>
      </c>
      <c r="K4067" s="19">
        <v>191.78</v>
      </c>
      <c r="L4067" s="20">
        <v>0.3</v>
      </c>
      <c r="M4067" s="19">
        <f>Tienda!$K1700-Tienda!$K1700*Tienda!$L1700</f>
        <v>69.447000000000003</v>
      </c>
      <c r="N4067" s="3" t="s">
        <v>10038</v>
      </c>
      <c r="O4067" s="3" t="s">
        <v>10041</v>
      </c>
      <c r="P4067" s="17">
        <v>45649</v>
      </c>
      <c r="Q4067" s="4">
        <v>0</v>
      </c>
    </row>
    <row r="4068" spans="1:17" ht="30" x14ac:dyDescent="0.25">
      <c r="A4068" s="2" t="s">
        <v>3548</v>
      </c>
      <c r="B4068" s="3" t="s">
        <v>5016</v>
      </c>
      <c r="C4068" s="3">
        <v>64</v>
      </c>
      <c r="D4068" s="46" t="str">
        <f>IF(Tabla1[[#This Row],[EDAD]]&lt;=35,"Adultos jóvenes 18 - 35 años",IF(C4068&gt;=36,"Adultos mayores 36 años en adelante"))</f>
        <v>Adultos mayores 36 años en adelante</v>
      </c>
      <c r="E4068" s="3" t="s">
        <v>5023</v>
      </c>
      <c r="F4068" s="3" t="s">
        <v>5029</v>
      </c>
      <c r="G4068" s="3" t="s">
        <v>5033</v>
      </c>
      <c r="H4068" s="3" t="s">
        <v>8571</v>
      </c>
      <c r="I4068" s="17">
        <v>45618</v>
      </c>
      <c r="J4068" s="18">
        <f>YEAR(Tabla1[[#This Row],[FECHA DE COMPRA]])</f>
        <v>2024</v>
      </c>
      <c r="K4068" s="19">
        <v>149.96</v>
      </c>
      <c r="L4068" s="20">
        <v>0.1</v>
      </c>
      <c r="M4068" s="19">
        <f>Tienda!$K1704-Tienda!$K1704*Tienda!$L1704</f>
        <v>11.824</v>
      </c>
      <c r="N4068" s="3" t="s">
        <v>10038</v>
      </c>
      <c r="O4068" s="3" t="s">
        <v>10041</v>
      </c>
      <c r="P4068" s="17">
        <v>45465</v>
      </c>
      <c r="Q4068" s="4">
        <v>0</v>
      </c>
    </row>
    <row r="4069" spans="1:17" ht="30" x14ac:dyDescent="0.25">
      <c r="A4069" s="2" t="s">
        <v>4654</v>
      </c>
      <c r="B4069" s="3" t="s">
        <v>5015</v>
      </c>
      <c r="C4069" s="3">
        <v>45</v>
      </c>
      <c r="D4069" s="46" t="str">
        <f>IF(Tabla1[[#This Row],[EDAD]]&lt;=35,"Adultos jóvenes 18 - 35 años",IF(C4069&gt;=36,"Adultos mayores 36 años en adelante"))</f>
        <v>Adultos mayores 36 años en adelante</v>
      </c>
      <c r="E4069" s="3" t="s">
        <v>5022</v>
      </c>
      <c r="F4069" s="3" t="s">
        <v>5024</v>
      </c>
      <c r="G4069" s="3" t="s">
        <v>5031</v>
      </c>
      <c r="H4069" s="3" t="s">
        <v>9677</v>
      </c>
      <c r="I4069" s="17">
        <v>45438</v>
      </c>
      <c r="J4069" s="18">
        <f>YEAR(Tabla1[[#This Row],[FECHA DE COMPRA]])</f>
        <v>2024</v>
      </c>
      <c r="K4069" s="19">
        <v>170.19</v>
      </c>
      <c r="L4069" s="20">
        <v>0.2</v>
      </c>
      <c r="M4069" s="19">
        <f>Tienda!$K1711-Tienda!$K1711*Tienda!$L1711</f>
        <v>94.310999999999993</v>
      </c>
      <c r="N4069" s="3" t="s">
        <v>10038</v>
      </c>
      <c r="O4069" s="3" t="s">
        <v>10041</v>
      </c>
      <c r="P4069" s="17">
        <v>45438</v>
      </c>
      <c r="Q4069" s="4">
        <v>0</v>
      </c>
    </row>
    <row r="4070" spans="1:17" ht="30" x14ac:dyDescent="0.25">
      <c r="A4070" s="2" t="s">
        <v>359</v>
      </c>
      <c r="B4070" s="3" t="s">
        <v>5015</v>
      </c>
      <c r="C4070" s="3">
        <v>46</v>
      </c>
      <c r="D4070" s="46" t="str">
        <f>IF(Tabla1[[#This Row],[EDAD]]&lt;=35,"Adultos jóvenes 18 - 35 años",IF(C4070&gt;=36,"Adultos mayores 36 años en adelante"))</f>
        <v>Adultos mayores 36 años en adelante</v>
      </c>
      <c r="E4070" s="3" t="s">
        <v>5022</v>
      </c>
      <c r="F4070" s="3" t="s">
        <v>5029</v>
      </c>
      <c r="G4070" s="3" t="s">
        <v>5033</v>
      </c>
      <c r="H4070" s="3" t="s">
        <v>5382</v>
      </c>
      <c r="I4070" s="17">
        <v>45618</v>
      </c>
      <c r="J4070" s="18">
        <f>YEAR(Tabla1[[#This Row],[FECHA DE COMPRA]])</f>
        <v>2024</v>
      </c>
      <c r="K4070" s="19">
        <v>170.23</v>
      </c>
      <c r="L4070" s="20">
        <v>0.2</v>
      </c>
      <c r="M4070" s="19">
        <f>Tienda!$K1712-Tienda!$K1712*Tienda!$L1712</f>
        <v>124.533</v>
      </c>
      <c r="N4070" s="3" t="s">
        <v>10038</v>
      </c>
      <c r="O4070" s="3" t="s">
        <v>10041</v>
      </c>
      <c r="P4070" s="17">
        <v>45470</v>
      </c>
      <c r="Q4070" s="4">
        <v>0</v>
      </c>
    </row>
    <row r="4071" spans="1:17" ht="30" x14ac:dyDescent="0.25">
      <c r="A4071" s="2" t="s">
        <v>4859</v>
      </c>
      <c r="B4071" s="3" t="s">
        <v>5015</v>
      </c>
      <c r="C4071" s="3">
        <v>57</v>
      </c>
      <c r="D4071" s="46" t="str">
        <f>IF(Tabla1[[#This Row],[EDAD]]&lt;=35,"Adultos jóvenes 18 - 35 años",IF(C4071&gt;=36,"Adultos mayores 36 años en adelante"))</f>
        <v>Adultos mayores 36 años en adelante</v>
      </c>
      <c r="E4071" s="3" t="s">
        <v>5022</v>
      </c>
      <c r="F4071" s="3" t="s">
        <v>5026</v>
      </c>
      <c r="G4071" s="3" t="s">
        <v>5032</v>
      </c>
      <c r="H4071" s="3" t="s">
        <v>9882</v>
      </c>
      <c r="I4071" s="17">
        <v>45618</v>
      </c>
      <c r="J4071" s="18">
        <f>YEAR(Tabla1[[#This Row],[FECHA DE COMPRA]])</f>
        <v>2024</v>
      </c>
      <c r="K4071" s="19">
        <v>170.51</v>
      </c>
      <c r="L4071" s="20">
        <v>0.2</v>
      </c>
      <c r="M4071" s="19">
        <f>Tienda!$K1714-Tienda!$K1714*Tienda!$L1714</f>
        <v>144.648</v>
      </c>
      <c r="N4071" s="3" t="s">
        <v>10038</v>
      </c>
      <c r="O4071" s="3" t="s">
        <v>10041</v>
      </c>
      <c r="P4071" s="17">
        <v>45618</v>
      </c>
      <c r="Q4071" s="4">
        <v>0</v>
      </c>
    </row>
    <row r="4072" spans="1:17" ht="30" x14ac:dyDescent="0.25">
      <c r="A4072" s="2" t="s">
        <v>2275</v>
      </c>
      <c r="B4072" s="3" t="s">
        <v>5015</v>
      </c>
      <c r="C4072" s="3">
        <v>46</v>
      </c>
      <c r="D4072" s="46" t="str">
        <f>IF(Tabla1[[#This Row],[EDAD]]&lt;=35,"Adultos jóvenes 18 - 35 años",IF(C4072&gt;=36,"Adultos mayores 36 años en adelante"))</f>
        <v>Adultos mayores 36 años en adelante</v>
      </c>
      <c r="E4072" s="3" t="s">
        <v>5022</v>
      </c>
      <c r="F4072" s="3" t="s">
        <v>5027</v>
      </c>
      <c r="G4072" s="3" t="s">
        <v>5031</v>
      </c>
      <c r="H4072" s="3" t="s">
        <v>7298</v>
      </c>
      <c r="I4072" s="17">
        <v>45352</v>
      </c>
      <c r="J4072" s="18">
        <f>YEAR(Tabla1[[#This Row],[FECHA DE COMPRA]])</f>
        <v>2024</v>
      </c>
      <c r="K4072" s="19">
        <v>195.03</v>
      </c>
      <c r="L4072" s="20">
        <v>0.3</v>
      </c>
      <c r="M4072" s="19">
        <f>Tienda!$K1715-Tienda!$K1715*Tienda!$L1715</f>
        <v>115.108</v>
      </c>
      <c r="N4072" s="3" t="s">
        <v>10038</v>
      </c>
      <c r="O4072" s="3" t="s">
        <v>10041</v>
      </c>
      <c r="P4072" s="17">
        <v>45352</v>
      </c>
      <c r="Q4072" s="4">
        <v>0</v>
      </c>
    </row>
    <row r="4073" spans="1:17" ht="30" x14ac:dyDescent="0.25">
      <c r="A4073" s="2" t="s">
        <v>2096</v>
      </c>
      <c r="B4073" s="3" t="s">
        <v>5015</v>
      </c>
      <c r="C4073" s="3">
        <v>57</v>
      </c>
      <c r="D4073" s="46" t="str">
        <f>IF(Tabla1[[#This Row],[EDAD]]&lt;=35,"Adultos jóvenes 18 - 35 años",IF(C4073&gt;=36,"Adultos mayores 36 años en adelante"))</f>
        <v>Adultos mayores 36 años en adelante</v>
      </c>
      <c r="E4073" s="3" t="s">
        <v>5017</v>
      </c>
      <c r="F4073" s="3" t="s">
        <v>5024</v>
      </c>
      <c r="G4073" s="3" t="s">
        <v>5035</v>
      </c>
      <c r="H4073" s="3" t="s">
        <v>7119</v>
      </c>
      <c r="I4073" s="17">
        <v>45648</v>
      </c>
      <c r="J4073" s="18">
        <f>YEAR(Tabla1[[#This Row],[FECHA DE COMPRA]])</f>
        <v>2024</v>
      </c>
      <c r="K4073" s="19">
        <v>152.75</v>
      </c>
      <c r="L4073" s="20">
        <v>0.1</v>
      </c>
      <c r="M4073" s="19">
        <f>Tienda!$K1719-Tienda!$K1719*Tienda!$L1719</f>
        <v>169.875</v>
      </c>
      <c r="N4073" s="3" t="s">
        <v>10038</v>
      </c>
      <c r="O4073" s="3" t="s">
        <v>10041</v>
      </c>
      <c r="P4073" s="17">
        <v>45648</v>
      </c>
      <c r="Q4073" s="4">
        <v>0</v>
      </c>
    </row>
    <row r="4074" spans="1:17" ht="30" x14ac:dyDescent="0.25">
      <c r="A4074" s="2" t="s">
        <v>1773</v>
      </c>
      <c r="B4074" s="3" t="s">
        <v>5015</v>
      </c>
      <c r="C4074" s="3">
        <v>59</v>
      </c>
      <c r="D4074" s="46" t="str">
        <f>IF(Tabla1[[#This Row],[EDAD]]&lt;=35,"Adultos jóvenes 18 - 35 años",IF(C4074&gt;=36,"Adultos mayores 36 años en adelante"))</f>
        <v>Adultos mayores 36 años en adelante</v>
      </c>
      <c r="E4074" s="3" t="s">
        <v>5022</v>
      </c>
      <c r="F4074" s="3" t="s">
        <v>5026</v>
      </c>
      <c r="G4074" s="3" t="s">
        <v>5033</v>
      </c>
      <c r="H4074" s="3" t="s">
        <v>6796</v>
      </c>
      <c r="I4074" s="17">
        <v>45650</v>
      </c>
      <c r="J4074" s="18">
        <f>YEAR(Tabla1[[#This Row],[FECHA DE COMPRA]])</f>
        <v>2024</v>
      </c>
      <c r="K4074" s="19">
        <v>172.06</v>
      </c>
      <c r="L4074" s="20">
        <v>0.2</v>
      </c>
      <c r="M4074" s="19">
        <f>Tienda!$K1720-Tienda!$K1720*Tienda!$L1720</f>
        <v>13.573</v>
      </c>
      <c r="N4074" s="3" t="s">
        <v>10038</v>
      </c>
      <c r="O4074" s="3" t="s">
        <v>10041</v>
      </c>
      <c r="P4074" s="17">
        <v>45650</v>
      </c>
      <c r="Q4074" s="4">
        <v>0</v>
      </c>
    </row>
    <row r="4075" spans="1:17" ht="30" x14ac:dyDescent="0.25">
      <c r="A4075" s="2" t="s">
        <v>4991</v>
      </c>
      <c r="B4075" s="3" t="s">
        <v>5015</v>
      </c>
      <c r="C4075" s="3">
        <v>63</v>
      </c>
      <c r="D4075" s="46" t="str">
        <f>IF(Tabla1[[#This Row],[EDAD]]&lt;=35,"Adultos jóvenes 18 - 35 años",IF(C4075&gt;=36,"Adultos mayores 36 años en adelante"))</f>
        <v>Adultos mayores 36 años en adelante</v>
      </c>
      <c r="E4075" s="3" t="s">
        <v>5023</v>
      </c>
      <c r="F4075" s="3" t="s">
        <v>5029</v>
      </c>
      <c r="G4075" s="3" t="s">
        <v>5035</v>
      </c>
      <c r="H4075" s="3" t="s">
        <v>10014</v>
      </c>
      <c r="I4075" s="17">
        <v>45329</v>
      </c>
      <c r="J4075" s="18">
        <f>YEAR(Tabla1[[#This Row],[FECHA DE COMPRA]])</f>
        <v>2024</v>
      </c>
      <c r="K4075" s="19">
        <v>153.19999999999999</v>
      </c>
      <c r="L4075" s="20">
        <v>0.1</v>
      </c>
      <c r="M4075" s="19">
        <f>Tienda!$K1723-Tienda!$K1723*Tienda!$L1723</f>
        <v>27.811</v>
      </c>
      <c r="N4075" s="3" t="s">
        <v>10038</v>
      </c>
      <c r="O4075" s="3" t="s">
        <v>10041</v>
      </c>
      <c r="P4075" s="17">
        <v>45329</v>
      </c>
      <c r="Q4075" s="4">
        <v>0</v>
      </c>
    </row>
    <row r="4076" spans="1:17" ht="30" x14ac:dyDescent="0.25">
      <c r="A4076" s="2" t="s">
        <v>317</v>
      </c>
      <c r="B4076" s="3" t="s">
        <v>5015</v>
      </c>
      <c r="C4076" s="3">
        <v>62</v>
      </c>
      <c r="D4076" s="46" t="str">
        <f>IF(Tabla1[[#This Row],[EDAD]]&lt;=35,"Adultos jóvenes 18 - 35 años",IF(C4076&gt;=36,"Adultos mayores 36 años en adelante"))</f>
        <v>Adultos mayores 36 años en adelante</v>
      </c>
      <c r="E4076" s="3" t="s">
        <v>5023</v>
      </c>
      <c r="F4076" s="3" t="s">
        <v>5025</v>
      </c>
      <c r="G4076" s="3" t="s">
        <v>5036</v>
      </c>
      <c r="H4076" s="3" t="s">
        <v>5340</v>
      </c>
      <c r="I4076" s="17">
        <v>45436</v>
      </c>
      <c r="J4076" s="18">
        <f>YEAR(Tabla1[[#This Row],[FECHA DE COMPRA]])</f>
        <v>2024</v>
      </c>
      <c r="K4076" s="19">
        <v>173.26</v>
      </c>
      <c r="L4076" s="20">
        <v>0.2</v>
      </c>
      <c r="M4076" s="19">
        <f>Tienda!$K1726-Tienda!$K1726*Tienda!$L1726</f>
        <v>70.616</v>
      </c>
      <c r="N4076" s="3" t="s">
        <v>10038</v>
      </c>
      <c r="O4076" s="3" t="s">
        <v>10041</v>
      </c>
      <c r="P4076" s="17">
        <v>45436</v>
      </c>
      <c r="Q4076" s="4">
        <v>0</v>
      </c>
    </row>
    <row r="4077" spans="1:17" ht="30" x14ac:dyDescent="0.25">
      <c r="A4077" s="2" t="s">
        <v>2426</v>
      </c>
      <c r="B4077" s="3" t="s">
        <v>5015</v>
      </c>
      <c r="C4077" s="3">
        <v>59</v>
      </c>
      <c r="D4077" s="46" t="str">
        <f>IF(Tabla1[[#This Row],[EDAD]]&lt;=35,"Adultos jóvenes 18 - 35 años",IF(C4077&gt;=36,"Adultos mayores 36 años en adelante"))</f>
        <v>Adultos mayores 36 años en adelante</v>
      </c>
      <c r="E4077" s="3" t="s">
        <v>5021</v>
      </c>
      <c r="F4077" s="3" t="s">
        <v>5025</v>
      </c>
      <c r="G4077" s="3" t="s">
        <v>5033</v>
      </c>
      <c r="H4077" s="3" t="s">
        <v>7449</v>
      </c>
      <c r="I4077" s="17">
        <v>45600</v>
      </c>
      <c r="J4077" s="18">
        <f>YEAR(Tabla1[[#This Row],[FECHA DE COMPRA]])</f>
        <v>2024</v>
      </c>
      <c r="K4077" s="19">
        <v>198.43</v>
      </c>
      <c r="L4077" s="20">
        <v>0.3</v>
      </c>
      <c r="M4077" s="19">
        <f>Tienda!$K1727-Tienda!$K1727*Tienda!$L1727</f>
        <v>143.96</v>
      </c>
      <c r="N4077" s="3" t="s">
        <v>10038</v>
      </c>
      <c r="O4077" s="3" t="s">
        <v>10041</v>
      </c>
      <c r="P4077" s="17">
        <v>45600</v>
      </c>
      <c r="Q4077" s="4">
        <v>0</v>
      </c>
    </row>
    <row r="4078" spans="1:17" ht="30" x14ac:dyDescent="0.25">
      <c r="A4078" s="2" t="s">
        <v>1787</v>
      </c>
      <c r="B4078" s="3" t="s">
        <v>5015</v>
      </c>
      <c r="C4078" s="3">
        <v>37</v>
      </c>
      <c r="D4078" s="46" t="str">
        <f>IF(Tabla1[[#This Row],[EDAD]]&lt;=35,"Adultos jóvenes 18 - 35 años",IF(C4078&gt;=36,"Adultos mayores 36 años en adelante"))</f>
        <v>Adultos mayores 36 años en adelante</v>
      </c>
      <c r="E4078" s="3" t="s">
        <v>5022</v>
      </c>
      <c r="F4078" s="3" t="s">
        <v>5025</v>
      </c>
      <c r="G4078" s="3" t="s">
        <v>5032</v>
      </c>
      <c r="H4078" s="3" t="s">
        <v>6810</v>
      </c>
      <c r="I4078" s="17">
        <v>45560</v>
      </c>
      <c r="J4078" s="18">
        <f>YEAR(Tabla1[[#This Row],[FECHA DE COMPRA]])</f>
        <v>2024</v>
      </c>
      <c r="K4078" s="19">
        <v>174.56</v>
      </c>
      <c r="L4078" s="20">
        <v>0.2</v>
      </c>
      <c r="M4078" s="19">
        <f>Tienda!$K1728-Tienda!$K1728*Tienda!$L1728</f>
        <v>121.28</v>
      </c>
      <c r="N4078" s="3" t="s">
        <v>10038</v>
      </c>
      <c r="O4078" s="3" t="s">
        <v>10041</v>
      </c>
      <c r="P4078" s="17">
        <v>45560</v>
      </c>
      <c r="Q4078" s="4">
        <v>0</v>
      </c>
    </row>
    <row r="4079" spans="1:17" ht="30" x14ac:dyDescent="0.25">
      <c r="A4079" s="2" t="s">
        <v>575</v>
      </c>
      <c r="B4079" s="3" t="s">
        <v>5016</v>
      </c>
      <c r="C4079" s="3">
        <v>47</v>
      </c>
      <c r="D4079" s="46" t="str">
        <f>IF(Tabla1[[#This Row],[EDAD]]&lt;=35,"Adultos jóvenes 18 - 35 años",IF(C4079&gt;=36,"Adultos mayores 36 años en adelante"))</f>
        <v>Adultos mayores 36 años en adelante</v>
      </c>
      <c r="E4079" s="3" t="s">
        <v>5021</v>
      </c>
      <c r="F4079" s="3" t="s">
        <v>5026</v>
      </c>
      <c r="G4079" s="3" t="s">
        <v>5031</v>
      </c>
      <c r="H4079" s="3" t="s">
        <v>5598</v>
      </c>
      <c r="I4079" s="17">
        <v>45649</v>
      </c>
      <c r="J4079" s="18">
        <f>YEAR(Tabla1[[#This Row],[FECHA DE COMPRA]])</f>
        <v>2024</v>
      </c>
      <c r="K4079" s="19">
        <v>176.7</v>
      </c>
      <c r="L4079" s="20">
        <v>0.2</v>
      </c>
      <c r="M4079" s="19">
        <f>Tienda!$K1738-Tienda!$K1738*Tienda!$L1738</f>
        <v>64.144000000000005</v>
      </c>
      <c r="N4079" s="3" t="s">
        <v>10038</v>
      </c>
      <c r="O4079" s="3" t="s">
        <v>10041</v>
      </c>
      <c r="P4079" s="17">
        <v>45649</v>
      </c>
      <c r="Q4079" s="4">
        <v>0</v>
      </c>
    </row>
    <row r="4080" spans="1:17" ht="30" x14ac:dyDescent="0.25">
      <c r="A4080" s="2" t="s">
        <v>2762</v>
      </c>
      <c r="B4080" s="3" t="s">
        <v>5015</v>
      </c>
      <c r="C4080" s="3">
        <v>43</v>
      </c>
      <c r="D4080" s="46" t="str">
        <f>IF(Tabla1[[#This Row],[EDAD]]&lt;=35,"Adultos jóvenes 18 - 35 años",IF(C4080&gt;=36,"Adultos mayores 36 años en adelante"))</f>
        <v>Adultos mayores 36 años en adelante</v>
      </c>
      <c r="E4080" s="3" t="s">
        <v>5020</v>
      </c>
      <c r="F4080" s="3" t="s">
        <v>5030</v>
      </c>
      <c r="G4080" s="3" t="s">
        <v>5037</v>
      </c>
      <c r="H4080" s="3" t="s">
        <v>7785</v>
      </c>
      <c r="I4080" s="17">
        <v>45385</v>
      </c>
      <c r="J4080" s="18">
        <f>YEAR(Tabla1[[#This Row],[FECHA DE COMPRA]])</f>
        <v>2024</v>
      </c>
      <c r="K4080" s="19">
        <v>183.01</v>
      </c>
      <c r="L4080" s="20">
        <v>0.2</v>
      </c>
      <c r="M4080" s="19">
        <f>Tienda!$K1758-Tienda!$K1758*Tienda!$L1758</f>
        <v>19.456</v>
      </c>
      <c r="N4080" s="3" t="s">
        <v>10038</v>
      </c>
      <c r="O4080" s="3" t="s">
        <v>10041</v>
      </c>
      <c r="P4080" s="17">
        <v>45385</v>
      </c>
      <c r="Q4080" s="4">
        <v>0</v>
      </c>
    </row>
    <row r="4081" spans="1:17" ht="30" x14ac:dyDescent="0.25">
      <c r="A4081" s="2" t="s">
        <v>1778</v>
      </c>
      <c r="B4081" s="3" t="s">
        <v>5015</v>
      </c>
      <c r="C4081" s="3">
        <v>64</v>
      </c>
      <c r="D4081" s="46" t="str">
        <f>IF(Tabla1[[#This Row],[EDAD]]&lt;=35,"Adultos jóvenes 18 - 35 años",IF(C4081&gt;=36,"Adultos mayores 36 años en adelante"))</f>
        <v>Adultos mayores 36 años en adelante</v>
      </c>
      <c r="E4081" s="3" t="s">
        <v>5018</v>
      </c>
      <c r="F4081" s="3" t="s">
        <v>5025</v>
      </c>
      <c r="G4081" s="3" t="s">
        <v>5031</v>
      </c>
      <c r="H4081" s="3" t="s">
        <v>6801</v>
      </c>
      <c r="I4081" s="17">
        <v>45638</v>
      </c>
      <c r="J4081" s="18">
        <f>YEAR(Tabla1[[#This Row],[FECHA DE COMPRA]])</f>
        <v>2024</v>
      </c>
      <c r="K4081" s="19">
        <v>183.59</v>
      </c>
      <c r="L4081" s="20">
        <v>0.2</v>
      </c>
      <c r="M4081" s="19">
        <f>Tienda!$K1763-Tienda!$K1763*Tienda!$L1763</f>
        <v>69.992999999999995</v>
      </c>
      <c r="N4081" s="3" t="s">
        <v>10038</v>
      </c>
      <c r="O4081" s="3" t="s">
        <v>10041</v>
      </c>
      <c r="P4081" s="17">
        <v>45638</v>
      </c>
      <c r="Q4081" s="4">
        <v>0</v>
      </c>
    </row>
    <row r="4082" spans="1:17" ht="30" x14ac:dyDescent="0.25">
      <c r="A4082" s="2" t="s">
        <v>2733</v>
      </c>
      <c r="B4082" s="3" t="s">
        <v>5015</v>
      </c>
      <c r="C4082" s="3">
        <v>46</v>
      </c>
      <c r="D4082" s="46" t="str">
        <f>IF(Tabla1[[#This Row],[EDAD]]&lt;=35,"Adultos jóvenes 18 - 35 años",IF(C4082&gt;=36,"Adultos mayores 36 años en adelante"))</f>
        <v>Adultos mayores 36 años en adelante</v>
      </c>
      <c r="E4082" s="3" t="s">
        <v>5017</v>
      </c>
      <c r="F4082" s="3" t="s">
        <v>5025</v>
      </c>
      <c r="G4082" s="3" t="s">
        <v>5036</v>
      </c>
      <c r="H4082" s="3" t="s">
        <v>7756</v>
      </c>
      <c r="I4082" s="17">
        <v>45438</v>
      </c>
      <c r="J4082" s="18">
        <f>YEAR(Tabla1[[#This Row],[FECHA DE COMPRA]])</f>
        <v>2024</v>
      </c>
      <c r="K4082" s="19">
        <v>147.55000000000001</v>
      </c>
      <c r="L4082" s="20">
        <v>0</v>
      </c>
      <c r="M4082" s="19">
        <f>Tienda!$K1765-Tienda!$K1765*Tienda!$L1765</f>
        <v>70.734999999999999</v>
      </c>
      <c r="N4082" s="3" t="s">
        <v>10038</v>
      </c>
      <c r="O4082" s="3" t="s">
        <v>10041</v>
      </c>
      <c r="P4082" s="17">
        <v>45438</v>
      </c>
      <c r="Q4082" s="4">
        <v>0</v>
      </c>
    </row>
    <row r="4083" spans="1:17" ht="30" x14ac:dyDescent="0.25">
      <c r="A4083" s="2" t="s">
        <v>848</v>
      </c>
      <c r="B4083" s="3" t="s">
        <v>5016</v>
      </c>
      <c r="C4083" s="3">
        <v>39</v>
      </c>
      <c r="D4083" s="46" t="str">
        <f>IF(Tabla1[[#This Row],[EDAD]]&lt;=35,"Adultos jóvenes 18 - 35 años",IF(C4083&gt;=36,"Adultos mayores 36 años en adelante"))</f>
        <v>Adultos mayores 36 años en adelante</v>
      </c>
      <c r="E4083" s="3" t="s">
        <v>5023</v>
      </c>
      <c r="F4083" s="3" t="s">
        <v>5030</v>
      </c>
      <c r="G4083" s="3" t="s">
        <v>5031</v>
      </c>
      <c r="H4083" s="3" t="s">
        <v>5871</v>
      </c>
      <c r="I4083" s="17">
        <v>45649</v>
      </c>
      <c r="J4083" s="18">
        <f>YEAR(Tabla1[[#This Row],[FECHA DE COMPRA]])</f>
        <v>2024</v>
      </c>
      <c r="K4083" s="19">
        <v>148.63</v>
      </c>
      <c r="L4083" s="20">
        <v>0</v>
      </c>
      <c r="M4083" s="19">
        <f>Tienda!$K1770-Tienda!$K1770*Tienda!$L1770</f>
        <v>97.881</v>
      </c>
      <c r="N4083" s="3" t="s">
        <v>10038</v>
      </c>
      <c r="O4083" s="3" t="s">
        <v>10041</v>
      </c>
      <c r="P4083" s="17">
        <v>45306</v>
      </c>
      <c r="Q4083" s="4">
        <v>0</v>
      </c>
    </row>
    <row r="4084" spans="1:17" ht="30" x14ac:dyDescent="0.25">
      <c r="A4084" s="2" t="s">
        <v>768</v>
      </c>
      <c r="B4084" s="3" t="s">
        <v>5015</v>
      </c>
      <c r="C4084" s="3">
        <v>36</v>
      </c>
      <c r="D4084" s="46" t="str">
        <f>IF(Tabla1[[#This Row],[EDAD]]&lt;=35,"Adultos jóvenes 18 - 35 años",IF(C4084&gt;=36,"Adultos mayores 36 años en adelante"))</f>
        <v>Adultos mayores 36 años en adelante</v>
      </c>
      <c r="E4084" s="3" t="s">
        <v>5022</v>
      </c>
      <c r="F4084" s="3" t="s">
        <v>5024</v>
      </c>
      <c r="G4084" s="3" t="s">
        <v>5036</v>
      </c>
      <c r="H4084" s="3" t="s">
        <v>5791</v>
      </c>
      <c r="I4084" s="17">
        <v>45593</v>
      </c>
      <c r="J4084" s="18">
        <f>YEAR(Tabla1[[#This Row],[FECHA DE COMPRA]])</f>
        <v>2024</v>
      </c>
      <c r="K4084" s="19">
        <v>149.47999999999999</v>
      </c>
      <c r="L4084" s="20">
        <v>0</v>
      </c>
      <c r="M4084" s="19">
        <f>Tienda!$K1772-Tienda!$K1772*Tienda!$L1772</f>
        <v>152.27099999999999</v>
      </c>
      <c r="N4084" s="3" t="s">
        <v>10038</v>
      </c>
      <c r="O4084" s="3" t="s">
        <v>10041</v>
      </c>
      <c r="P4084" s="17">
        <v>45593</v>
      </c>
      <c r="Q4084" s="4">
        <v>0</v>
      </c>
    </row>
    <row r="4085" spans="1:17" ht="30" x14ac:dyDescent="0.25">
      <c r="A4085" s="2" t="s">
        <v>1064</v>
      </c>
      <c r="B4085" s="3" t="s">
        <v>5015</v>
      </c>
      <c r="C4085" s="3">
        <v>39</v>
      </c>
      <c r="D4085" s="46" t="str">
        <f>IF(Tabla1[[#This Row],[EDAD]]&lt;=35,"Adultos jóvenes 18 - 35 años",IF(C4085&gt;=36,"Adultos mayores 36 años en adelante"))</f>
        <v>Adultos mayores 36 años en adelante</v>
      </c>
      <c r="E4085" s="3" t="s">
        <v>5022</v>
      </c>
      <c r="F4085" s="3" t="s">
        <v>5026</v>
      </c>
      <c r="G4085" s="3" t="s">
        <v>5035</v>
      </c>
      <c r="H4085" s="3" t="s">
        <v>6087</v>
      </c>
      <c r="I4085" s="17">
        <v>45476</v>
      </c>
      <c r="J4085" s="18">
        <f>YEAR(Tabla1[[#This Row],[FECHA DE COMPRA]])</f>
        <v>2024</v>
      </c>
      <c r="K4085" s="19">
        <v>149.88</v>
      </c>
      <c r="L4085" s="20">
        <v>0</v>
      </c>
      <c r="M4085" s="19">
        <f>Tienda!$K1775-Tienda!$K1775*Tienda!$L1775</f>
        <v>82.691000000000003</v>
      </c>
      <c r="N4085" s="3" t="s">
        <v>10038</v>
      </c>
      <c r="O4085" s="3" t="s">
        <v>10041</v>
      </c>
      <c r="P4085" s="17">
        <v>45476</v>
      </c>
      <c r="Q4085" s="4">
        <v>0</v>
      </c>
    </row>
    <row r="4086" spans="1:17" ht="30" x14ac:dyDescent="0.25">
      <c r="A4086" s="2" t="s">
        <v>4210</v>
      </c>
      <c r="B4086" s="3" t="s">
        <v>5016</v>
      </c>
      <c r="C4086" s="3">
        <v>37</v>
      </c>
      <c r="D4086" s="46" t="str">
        <f>IF(Tabla1[[#This Row],[EDAD]]&lt;=35,"Adultos jóvenes 18 - 35 años",IF(C4086&gt;=36,"Adultos mayores 36 años en adelante"))</f>
        <v>Adultos mayores 36 años en adelante</v>
      </c>
      <c r="E4086" s="3" t="s">
        <v>5019</v>
      </c>
      <c r="F4086" s="3" t="s">
        <v>5025</v>
      </c>
      <c r="G4086" s="3" t="s">
        <v>5032</v>
      </c>
      <c r="H4086" s="3" t="s">
        <v>9233</v>
      </c>
      <c r="I4086" s="17">
        <v>45588</v>
      </c>
      <c r="J4086" s="18">
        <f>YEAR(Tabla1[[#This Row],[FECHA DE COMPRA]])</f>
        <v>2024</v>
      </c>
      <c r="K4086" s="19">
        <v>167.09</v>
      </c>
      <c r="L4086" s="20">
        <v>0.1</v>
      </c>
      <c r="M4086" s="19">
        <f>Tienda!$K1777-Tienda!$K1777*Tienda!$L1777</f>
        <v>87.12</v>
      </c>
      <c r="N4086" s="3" t="s">
        <v>10038</v>
      </c>
      <c r="O4086" s="3" t="s">
        <v>10041</v>
      </c>
      <c r="P4086" s="17">
        <v>45588</v>
      </c>
      <c r="Q4086" s="4">
        <v>0</v>
      </c>
    </row>
    <row r="4087" spans="1:17" ht="30" x14ac:dyDescent="0.25">
      <c r="A4087" s="2" t="s">
        <v>966</v>
      </c>
      <c r="B4087" s="3" t="s">
        <v>5015</v>
      </c>
      <c r="C4087" s="3">
        <v>53</v>
      </c>
      <c r="D4087" s="46" t="str">
        <f>IF(Tabla1[[#This Row],[EDAD]]&lt;=35,"Adultos jóvenes 18 - 35 años",IF(C4087&gt;=36,"Adultos mayores 36 años en adelante"))</f>
        <v>Adultos mayores 36 años en adelante</v>
      </c>
      <c r="E4087" s="3" t="s">
        <v>5021</v>
      </c>
      <c r="F4087" s="3" t="s">
        <v>5024</v>
      </c>
      <c r="G4087" s="3" t="s">
        <v>5037</v>
      </c>
      <c r="H4087" s="3" t="s">
        <v>5989</v>
      </c>
      <c r="I4087" s="17">
        <v>45325</v>
      </c>
      <c r="J4087" s="18">
        <f>YEAR(Tabla1[[#This Row],[FECHA DE COMPRA]])</f>
        <v>2024</v>
      </c>
      <c r="K4087" s="19">
        <v>188.1</v>
      </c>
      <c r="L4087" s="20">
        <v>0.2</v>
      </c>
      <c r="M4087" s="19">
        <f>Tienda!$K1778-Tienda!$K1778*Tienda!$L1778</f>
        <v>137.60599999999999</v>
      </c>
      <c r="N4087" s="3" t="s">
        <v>10038</v>
      </c>
      <c r="O4087" s="3" t="s">
        <v>10041</v>
      </c>
      <c r="P4087" s="17">
        <v>45325</v>
      </c>
      <c r="Q4087" s="4">
        <v>0</v>
      </c>
    </row>
    <row r="4088" spans="1:17" ht="30" x14ac:dyDescent="0.25">
      <c r="A4088" s="2" t="s">
        <v>4433</v>
      </c>
      <c r="B4088" s="3" t="s">
        <v>5015</v>
      </c>
      <c r="C4088" s="3">
        <v>39</v>
      </c>
      <c r="D4088" s="46" t="str">
        <f>IF(Tabla1[[#This Row],[EDAD]]&lt;=35,"Adultos jóvenes 18 - 35 años",IF(C4088&gt;=36,"Adultos mayores 36 años en adelante"))</f>
        <v>Adultos mayores 36 años en adelante</v>
      </c>
      <c r="E4088" s="3" t="s">
        <v>5020</v>
      </c>
      <c r="F4088" s="3" t="s">
        <v>5024</v>
      </c>
      <c r="G4088" s="3" t="s">
        <v>5031</v>
      </c>
      <c r="H4088" s="3" t="s">
        <v>9456</v>
      </c>
      <c r="I4088" s="17">
        <v>45624</v>
      </c>
      <c r="J4088" s="18">
        <f>YEAR(Tabla1[[#This Row],[FECHA DE COMPRA]])</f>
        <v>2024</v>
      </c>
      <c r="K4088" s="19">
        <v>168.92</v>
      </c>
      <c r="L4088" s="20">
        <v>0.1</v>
      </c>
      <c r="M4088" s="19">
        <f>Tienda!$K1783-Tienda!$K1783*Tienda!$L1783</f>
        <v>97.864000000000004</v>
      </c>
      <c r="N4088" s="3" t="s">
        <v>10038</v>
      </c>
      <c r="O4088" s="3" t="s">
        <v>10041</v>
      </c>
      <c r="P4088" s="17">
        <v>45495</v>
      </c>
      <c r="Q4088" s="4">
        <v>0</v>
      </c>
    </row>
    <row r="4089" spans="1:17" ht="30" x14ac:dyDescent="0.25">
      <c r="A4089" s="2" t="s">
        <v>149</v>
      </c>
      <c r="B4089" s="3" t="s">
        <v>5016</v>
      </c>
      <c r="C4089" s="3">
        <v>56</v>
      </c>
      <c r="D4089" s="46" t="str">
        <f>IF(Tabla1[[#This Row],[EDAD]]&lt;=35,"Adultos jóvenes 18 - 35 años",IF(C4089&gt;=36,"Adultos mayores 36 años en adelante"))</f>
        <v>Adultos mayores 36 años en adelante</v>
      </c>
      <c r="E4089" s="3" t="s">
        <v>5023</v>
      </c>
      <c r="F4089" s="3" t="s">
        <v>5027</v>
      </c>
      <c r="G4089" s="3" t="s">
        <v>5032</v>
      </c>
      <c r="H4089" s="3" t="s">
        <v>5172</v>
      </c>
      <c r="I4089" s="17">
        <v>45640</v>
      </c>
      <c r="J4089" s="18">
        <f>YEAR(Tabla1[[#This Row],[FECHA DE COMPRA]])</f>
        <v>2024</v>
      </c>
      <c r="K4089" s="19">
        <v>153.97999999999999</v>
      </c>
      <c r="L4089" s="20">
        <v>0</v>
      </c>
      <c r="M4089" s="19">
        <f>Tienda!$K1792-Tienda!$K1792*Tienda!$L1792</f>
        <v>113.35</v>
      </c>
      <c r="N4089" s="3" t="s">
        <v>10038</v>
      </c>
      <c r="O4089" s="3" t="s">
        <v>10041</v>
      </c>
      <c r="P4089" s="17">
        <v>45640</v>
      </c>
      <c r="Q4089" s="4">
        <v>0</v>
      </c>
    </row>
    <row r="4090" spans="1:17" ht="30" x14ac:dyDescent="0.25">
      <c r="A4090" s="2" t="s">
        <v>20</v>
      </c>
      <c r="B4090" s="3" t="s">
        <v>5015</v>
      </c>
      <c r="C4090" s="3">
        <v>50</v>
      </c>
      <c r="D4090" s="46" t="str">
        <f>IF(Tabla1[[#This Row],[EDAD]]&lt;=35,"Adultos jóvenes 18 - 35 años",IF(C4090&gt;=36,"Adultos mayores 36 años en adelante"))</f>
        <v>Adultos mayores 36 años en adelante</v>
      </c>
      <c r="E4090" s="3" t="s">
        <v>5018</v>
      </c>
      <c r="F4090" s="3" t="s">
        <v>5026</v>
      </c>
      <c r="G4090" s="3" t="s">
        <v>5035</v>
      </c>
      <c r="H4090" s="3" t="s">
        <v>5043</v>
      </c>
      <c r="I4090" s="17">
        <v>45652</v>
      </c>
      <c r="J4090" s="18">
        <f>YEAR(Tabla1[[#This Row],[FECHA DE COMPRA]])</f>
        <v>2024</v>
      </c>
      <c r="K4090" s="19">
        <v>176.89</v>
      </c>
      <c r="L4090" s="20">
        <v>0.1</v>
      </c>
      <c r="M4090" s="19">
        <f>Tienda!$K1814-Tienda!$K1814*Tienda!$L1814</f>
        <v>11.13</v>
      </c>
      <c r="N4090" s="3" t="s">
        <v>10038</v>
      </c>
      <c r="O4090" s="3" t="s">
        <v>10041</v>
      </c>
      <c r="P4090" s="17">
        <v>45652</v>
      </c>
      <c r="Q4090" s="4">
        <v>0</v>
      </c>
    </row>
    <row r="4091" spans="1:17" ht="30" x14ac:dyDescent="0.25">
      <c r="A4091" s="2" t="s">
        <v>4263</v>
      </c>
      <c r="B4091" s="3" t="s">
        <v>5015</v>
      </c>
      <c r="C4091" s="3">
        <v>57</v>
      </c>
      <c r="D4091" s="46" t="str">
        <f>IF(Tabla1[[#This Row],[EDAD]]&lt;=35,"Adultos jóvenes 18 - 35 años",IF(C4091&gt;=36,"Adultos mayores 36 años en adelante"))</f>
        <v>Adultos mayores 36 años en adelante</v>
      </c>
      <c r="E4091" s="3" t="s">
        <v>5019</v>
      </c>
      <c r="F4091" s="3" t="s">
        <v>5028</v>
      </c>
      <c r="G4091" s="3" t="s">
        <v>5034</v>
      </c>
      <c r="H4091" s="3" t="s">
        <v>9286</v>
      </c>
      <c r="I4091" s="17">
        <v>45403</v>
      </c>
      <c r="J4091" s="18">
        <f>YEAR(Tabla1[[#This Row],[FECHA DE COMPRA]])</f>
        <v>2024</v>
      </c>
      <c r="K4091" s="19">
        <v>163.02000000000001</v>
      </c>
      <c r="L4091" s="20">
        <v>0</v>
      </c>
      <c r="M4091" s="19">
        <f>Tienda!$K1822-Tienda!$K1822*Tienda!$L1822</f>
        <v>86.36</v>
      </c>
      <c r="N4091" s="3" t="s">
        <v>10038</v>
      </c>
      <c r="O4091" s="3" t="s">
        <v>10041</v>
      </c>
      <c r="P4091" s="17">
        <v>45403</v>
      </c>
      <c r="Q4091" s="4">
        <v>0</v>
      </c>
    </row>
    <row r="4092" spans="1:17" ht="30" x14ac:dyDescent="0.25">
      <c r="A4092" s="2" t="s">
        <v>439</v>
      </c>
      <c r="B4092" s="3" t="s">
        <v>5016</v>
      </c>
      <c r="C4092" s="3">
        <v>42</v>
      </c>
      <c r="D4092" s="46" t="str">
        <f>IF(Tabla1[[#This Row],[EDAD]]&lt;=35,"Adultos jóvenes 18 - 35 años",IF(C4092&gt;=36,"Adultos mayores 36 años en adelante"))</f>
        <v>Adultos mayores 36 años en adelante</v>
      </c>
      <c r="E4092" s="3" t="s">
        <v>5017</v>
      </c>
      <c r="F4092" s="3" t="s">
        <v>5027</v>
      </c>
      <c r="G4092" s="3" t="s">
        <v>5033</v>
      </c>
      <c r="H4092" s="3" t="s">
        <v>5462</v>
      </c>
      <c r="I4092" s="17">
        <v>45649</v>
      </c>
      <c r="J4092" s="18">
        <f>YEAR(Tabla1[[#This Row],[FECHA DE COMPRA]])</f>
        <v>2024</v>
      </c>
      <c r="K4092" s="19">
        <v>181.74</v>
      </c>
      <c r="L4092" s="20">
        <v>0.1</v>
      </c>
      <c r="M4092" s="19">
        <f>Tienda!$K1824-Tienda!$K1824*Tienda!$L1824</f>
        <v>138.4</v>
      </c>
      <c r="N4092" s="3" t="s">
        <v>10038</v>
      </c>
      <c r="O4092" s="3" t="s">
        <v>10041</v>
      </c>
      <c r="P4092" s="17">
        <v>45303</v>
      </c>
      <c r="Q4092" s="4">
        <v>0</v>
      </c>
    </row>
    <row r="4093" spans="1:17" ht="30" x14ac:dyDescent="0.25">
      <c r="A4093" s="2" t="s">
        <v>1974</v>
      </c>
      <c r="B4093" s="3" t="s">
        <v>5015</v>
      </c>
      <c r="C4093" s="3">
        <v>44</v>
      </c>
      <c r="D4093" s="46" t="str">
        <f>IF(Tabla1[[#This Row],[EDAD]]&lt;=35,"Adultos jóvenes 18 - 35 años",IF(C4093&gt;=36,"Adultos mayores 36 años en adelante"))</f>
        <v>Adultos mayores 36 años en adelante</v>
      </c>
      <c r="E4093" s="3" t="s">
        <v>5020</v>
      </c>
      <c r="F4093" s="3" t="s">
        <v>5026</v>
      </c>
      <c r="G4093" s="3" t="s">
        <v>5031</v>
      </c>
      <c r="H4093" s="3" t="s">
        <v>6997</v>
      </c>
      <c r="I4093" s="17">
        <v>45555</v>
      </c>
      <c r="J4093" s="18">
        <f>YEAR(Tabla1[[#This Row],[FECHA DE COMPRA]])</f>
        <v>2024</v>
      </c>
      <c r="K4093" s="19">
        <v>185.81</v>
      </c>
      <c r="L4093" s="20">
        <v>0.1</v>
      </c>
      <c r="M4093" s="19">
        <f>Tienda!$K1832-Tienda!$K1832*Tienda!$L1832</f>
        <v>61.478999999999999</v>
      </c>
      <c r="N4093" s="3" t="s">
        <v>10038</v>
      </c>
      <c r="O4093" s="3" t="s">
        <v>10041</v>
      </c>
      <c r="P4093" s="17">
        <v>45555</v>
      </c>
      <c r="Q4093" s="4">
        <v>0</v>
      </c>
    </row>
    <row r="4094" spans="1:17" ht="30" x14ac:dyDescent="0.25">
      <c r="A4094" s="2" t="s">
        <v>2347</v>
      </c>
      <c r="B4094" s="3" t="s">
        <v>5015</v>
      </c>
      <c r="C4094" s="3">
        <v>46</v>
      </c>
      <c r="D4094" s="46" t="str">
        <f>IF(Tabla1[[#This Row],[EDAD]]&lt;=35,"Adultos jóvenes 18 - 35 años",IF(C4094&gt;=36,"Adultos mayores 36 años en adelante"))</f>
        <v>Adultos mayores 36 años en adelante</v>
      </c>
      <c r="E4094" s="3" t="s">
        <v>5023</v>
      </c>
      <c r="F4094" s="3" t="s">
        <v>5025</v>
      </c>
      <c r="G4094" s="3" t="s">
        <v>5034</v>
      </c>
      <c r="H4094" s="3" t="s">
        <v>7370</v>
      </c>
      <c r="I4094" s="17">
        <v>45624</v>
      </c>
      <c r="J4094" s="18">
        <f>YEAR(Tabla1[[#This Row],[FECHA DE COMPRA]])</f>
        <v>2024</v>
      </c>
      <c r="K4094" s="19">
        <v>187.44</v>
      </c>
      <c r="L4094" s="20">
        <v>0.1</v>
      </c>
      <c r="M4094" s="19">
        <f>Tienda!$K1836-Tienda!$K1836*Tienda!$L1836</f>
        <v>103.752</v>
      </c>
      <c r="N4094" s="3" t="s">
        <v>10038</v>
      </c>
      <c r="O4094" s="3" t="s">
        <v>10041</v>
      </c>
      <c r="P4094" s="17">
        <v>45394</v>
      </c>
      <c r="Q4094" s="4">
        <v>0</v>
      </c>
    </row>
    <row r="4095" spans="1:17" ht="30" x14ac:dyDescent="0.25">
      <c r="A4095" s="2" t="s">
        <v>4964</v>
      </c>
      <c r="B4095" s="3" t="s">
        <v>5015</v>
      </c>
      <c r="C4095" s="3">
        <v>43</v>
      </c>
      <c r="D4095" s="46" t="str">
        <f>IF(Tabla1[[#This Row],[EDAD]]&lt;=35,"Adultos jóvenes 18 - 35 años",IF(C4095&gt;=36,"Adultos mayores 36 años en adelante"))</f>
        <v>Adultos mayores 36 años en adelante</v>
      </c>
      <c r="E4095" s="3" t="s">
        <v>5022</v>
      </c>
      <c r="F4095" s="3" t="s">
        <v>5030</v>
      </c>
      <c r="G4095" s="3" t="s">
        <v>5033</v>
      </c>
      <c r="H4095" s="3" t="s">
        <v>9987</v>
      </c>
      <c r="I4095" s="17">
        <v>45654</v>
      </c>
      <c r="J4095" s="18">
        <f>YEAR(Tabla1[[#This Row],[FECHA DE COMPRA]])</f>
        <v>2024</v>
      </c>
      <c r="K4095" s="19">
        <v>168.7</v>
      </c>
      <c r="L4095" s="20">
        <v>0</v>
      </c>
      <c r="M4095" s="19">
        <f>Tienda!$K1837-Tienda!$K1837*Tienda!$L1837</f>
        <v>115.542</v>
      </c>
      <c r="N4095" s="3" t="s">
        <v>10038</v>
      </c>
      <c r="O4095" s="3" t="s">
        <v>10041</v>
      </c>
      <c r="P4095" s="17">
        <v>45654</v>
      </c>
      <c r="Q4095" s="4">
        <v>0</v>
      </c>
    </row>
    <row r="4096" spans="1:17" ht="30" x14ac:dyDescent="0.25">
      <c r="A4096" s="2" t="s">
        <v>3723</v>
      </c>
      <c r="B4096" s="3" t="s">
        <v>5015</v>
      </c>
      <c r="C4096" s="3">
        <v>51</v>
      </c>
      <c r="D4096" s="46" t="str">
        <f>IF(Tabla1[[#This Row],[EDAD]]&lt;=35,"Adultos jóvenes 18 - 35 años",IF(C4096&gt;=36,"Adultos mayores 36 años en adelante"))</f>
        <v>Adultos mayores 36 años en adelante</v>
      </c>
      <c r="E4096" s="3" t="s">
        <v>5019</v>
      </c>
      <c r="F4096" s="3" t="s">
        <v>5025</v>
      </c>
      <c r="G4096" s="3" t="s">
        <v>5034</v>
      </c>
      <c r="H4096" s="3" t="s">
        <v>8746</v>
      </c>
      <c r="I4096" s="17">
        <v>45553</v>
      </c>
      <c r="J4096" s="18">
        <f>YEAR(Tabla1[[#This Row],[FECHA DE COMPRA]])</f>
        <v>2024</v>
      </c>
      <c r="K4096" s="19">
        <v>169.61</v>
      </c>
      <c r="L4096" s="20">
        <v>0</v>
      </c>
      <c r="M4096" s="19">
        <f>Tienda!$K1839-Tienda!$K1839*Tienda!$L1839</f>
        <v>125.62899999999999</v>
      </c>
      <c r="N4096" s="3" t="s">
        <v>10038</v>
      </c>
      <c r="O4096" s="3" t="s">
        <v>10041</v>
      </c>
      <c r="P4096" s="17">
        <v>45553</v>
      </c>
      <c r="Q4096" s="4">
        <v>0</v>
      </c>
    </row>
    <row r="4097" spans="1:17" ht="30" x14ac:dyDescent="0.25">
      <c r="A4097" s="2" t="s">
        <v>2214</v>
      </c>
      <c r="B4097" s="3" t="s">
        <v>5015</v>
      </c>
      <c r="C4097" s="3">
        <v>39</v>
      </c>
      <c r="D4097" s="46" t="str">
        <f>IF(Tabla1[[#This Row],[EDAD]]&lt;=35,"Adultos jóvenes 18 - 35 años",IF(C4097&gt;=36,"Adultos mayores 36 años en adelante"))</f>
        <v>Adultos mayores 36 años en adelante</v>
      </c>
      <c r="E4097" s="3" t="s">
        <v>5022</v>
      </c>
      <c r="F4097" s="3" t="s">
        <v>5026</v>
      </c>
      <c r="G4097" s="3" t="s">
        <v>5032</v>
      </c>
      <c r="H4097" s="3" t="s">
        <v>7237</v>
      </c>
      <c r="I4097" s="17">
        <v>45335</v>
      </c>
      <c r="J4097" s="18">
        <f>YEAR(Tabla1[[#This Row],[FECHA DE COMPRA]])</f>
        <v>2024</v>
      </c>
      <c r="K4097" s="19">
        <v>189.29</v>
      </c>
      <c r="L4097" s="20">
        <v>0.1</v>
      </c>
      <c r="M4097" s="19">
        <f>Tienda!$K1844-Tienda!$K1844*Tienda!$L1844</f>
        <v>30.750999999999998</v>
      </c>
      <c r="N4097" s="3" t="s">
        <v>10038</v>
      </c>
      <c r="O4097" s="3" t="s">
        <v>10041</v>
      </c>
      <c r="P4097" s="17">
        <v>45375</v>
      </c>
      <c r="Q4097" s="4">
        <v>0</v>
      </c>
    </row>
    <row r="4098" spans="1:17" ht="30" x14ac:dyDescent="0.25">
      <c r="A4098" s="2" t="s">
        <v>3282</v>
      </c>
      <c r="B4098" s="3" t="s">
        <v>5015</v>
      </c>
      <c r="C4098" s="3">
        <v>43</v>
      </c>
      <c r="D4098" s="46" t="str">
        <f>IF(Tabla1[[#This Row],[EDAD]]&lt;=35,"Adultos jóvenes 18 - 35 años",IF(C4098&gt;=36,"Adultos mayores 36 años en adelante"))</f>
        <v>Adultos mayores 36 años en adelante</v>
      </c>
      <c r="E4098" s="3" t="s">
        <v>5022</v>
      </c>
      <c r="F4098" s="3" t="s">
        <v>5024</v>
      </c>
      <c r="G4098" s="3" t="s">
        <v>5034</v>
      </c>
      <c r="H4098" s="3" t="s">
        <v>8305</v>
      </c>
      <c r="I4098" s="17">
        <v>45643</v>
      </c>
      <c r="J4098" s="18">
        <f>YEAR(Tabla1[[#This Row],[FECHA DE COMPRA]])</f>
        <v>2024</v>
      </c>
      <c r="K4098" s="19">
        <v>193.06</v>
      </c>
      <c r="L4098" s="20">
        <v>0.1</v>
      </c>
      <c r="M4098" s="19">
        <f>Tienda!$K1849-Tienda!$K1849*Tienda!$L1849</f>
        <v>119.86200000000001</v>
      </c>
      <c r="N4098" s="3" t="s">
        <v>10038</v>
      </c>
      <c r="O4098" s="3" t="s">
        <v>10041</v>
      </c>
      <c r="P4098" s="17">
        <v>45643</v>
      </c>
      <c r="Q4098" s="4">
        <v>0</v>
      </c>
    </row>
    <row r="4099" spans="1:17" ht="30" x14ac:dyDescent="0.25">
      <c r="A4099" s="2" t="s">
        <v>1491</v>
      </c>
      <c r="B4099" s="3" t="s">
        <v>5016</v>
      </c>
      <c r="C4099" s="3">
        <v>53</v>
      </c>
      <c r="D4099" s="46" t="str">
        <f>IF(Tabla1[[#This Row],[EDAD]]&lt;=35,"Adultos jóvenes 18 - 35 años",IF(C4099&gt;=36,"Adultos mayores 36 años en adelante"))</f>
        <v>Adultos mayores 36 años en adelante</v>
      </c>
      <c r="E4099" s="3" t="s">
        <v>5019</v>
      </c>
      <c r="F4099" s="3" t="s">
        <v>5024</v>
      </c>
      <c r="G4099" s="3" t="s">
        <v>5034</v>
      </c>
      <c r="H4099" s="3" t="s">
        <v>6514</v>
      </c>
      <c r="I4099" s="17">
        <v>45649</v>
      </c>
      <c r="J4099" s="18">
        <f>YEAR(Tabla1[[#This Row],[FECHA DE COMPRA]])</f>
        <v>2024</v>
      </c>
      <c r="K4099" s="19">
        <v>196.08</v>
      </c>
      <c r="L4099" s="20">
        <v>0.1</v>
      </c>
      <c r="M4099" s="19">
        <f>Tienda!$K1853-Tienda!$K1853*Tienda!$L1853</f>
        <v>134.19200000000001</v>
      </c>
      <c r="N4099" s="3" t="s">
        <v>10038</v>
      </c>
      <c r="O4099" s="3" t="s">
        <v>10041</v>
      </c>
      <c r="P4099" s="17">
        <v>45295</v>
      </c>
      <c r="Q4099" s="4">
        <v>0</v>
      </c>
    </row>
    <row r="4100" spans="1:17" ht="30" x14ac:dyDescent="0.25">
      <c r="A4100" s="2" t="s">
        <v>2564</v>
      </c>
      <c r="B4100" s="3" t="s">
        <v>5015</v>
      </c>
      <c r="C4100" s="3">
        <v>40</v>
      </c>
      <c r="D4100" s="46" t="str">
        <f>IF(Tabla1[[#This Row],[EDAD]]&lt;=35,"Adultos jóvenes 18 - 35 años",IF(C4100&gt;=36,"Adultos mayores 36 años en adelante"))</f>
        <v>Adultos mayores 36 años en adelante</v>
      </c>
      <c r="E4100" s="3" t="s">
        <v>5023</v>
      </c>
      <c r="F4100" s="3" t="s">
        <v>5030</v>
      </c>
      <c r="G4100" s="3" t="s">
        <v>5035</v>
      </c>
      <c r="H4100" s="3" t="s">
        <v>7587</v>
      </c>
      <c r="I4100" s="17">
        <v>45646</v>
      </c>
      <c r="J4100" s="18">
        <f>YEAR(Tabla1[[#This Row],[FECHA DE COMPRA]])</f>
        <v>2024</v>
      </c>
      <c r="K4100" s="19">
        <v>197.88</v>
      </c>
      <c r="L4100" s="20">
        <v>0.1</v>
      </c>
      <c r="M4100" s="19">
        <f>Tienda!$K1859-Tienda!$K1859*Tienda!$L1859</f>
        <v>105.00700000000001</v>
      </c>
      <c r="N4100" s="3" t="s">
        <v>10038</v>
      </c>
      <c r="O4100" s="3" t="s">
        <v>10041</v>
      </c>
      <c r="P4100" s="17">
        <v>45646</v>
      </c>
      <c r="Q4100" s="4">
        <v>0</v>
      </c>
    </row>
    <row r="4101" spans="1:17" ht="30" x14ac:dyDescent="0.25">
      <c r="A4101" s="2" t="s">
        <v>2318</v>
      </c>
      <c r="B4101" s="3" t="s">
        <v>5015</v>
      </c>
      <c r="C4101" s="3">
        <v>47</v>
      </c>
      <c r="D4101" s="46" t="str">
        <f>IF(Tabla1[[#This Row],[EDAD]]&lt;=35,"Adultos jóvenes 18 - 35 años",IF(C4101&gt;=36,"Adultos mayores 36 años en adelante"))</f>
        <v>Adultos mayores 36 años en adelante</v>
      </c>
      <c r="E4101" s="3" t="s">
        <v>5020</v>
      </c>
      <c r="F4101" s="3" t="s">
        <v>5029</v>
      </c>
      <c r="G4101" s="3" t="s">
        <v>5033</v>
      </c>
      <c r="H4101" s="3" t="s">
        <v>7341</v>
      </c>
      <c r="I4101" s="17">
        <v>45421</v>
      </c>
      <c r="J4101" s="18">
        <f>YEAR(Tabla1[[#This Row],[FECHA DE COMPRA]])</f>
        <v>2024</v>
      </c>
      <c r="K4101" s="19">
        <v>180.25</v>
      </c>
      <c r="L4101" s="20">
        <v>0</v>
      </c>
      <c r="M4101" s="19">
        <f>Tienda!$K1863-Tienda!$K1863*Tienda!$L1863</f>
        <v>9.4770000000000003</v>
      </c>
      <c r="N4101" s="3" t="s">
        <v>10038</v>
      </c>
      <c r="O4101" s="3" t="s">
        <v>10041</v>
      </c>
      <c r="P4101" s="17">
        <v>45421</v>
      </c>
      <c r="Q4101" s="4">
        <v>0</v>
      </c>
    </row>
    <row r="4102" spans="1:17" ht="30" x14ac:dyDescent="0.25">
      <c r="A4102" s="2" t="s">
        <v>4509</v>
      </c>
      <c r="B4102" s="3" t="s">
        <v>5015</v>
      </c>
      <c r="C4102" s="3">
        <v>41</v>
      </c>
      <c r="D4102" s="46" t="str">
        <f>IF(Tabla1[[#This Row],[EDAD]]&lt;=35,"Adultos jóvenes 18 - 35 años",IF(C4102&gt;=36,"Adultos mayores 36 años en adelante"))</f>
        <v>Adultos mayores 36 años en adelante</v>
      </c>
      <c r="E4102" s="3" t="s">
        <v>5017</v>
      </c>
      <c r="F4102" s="3" t="s">
        <v>5029</v>
      </c>
      <c r="G4102" s="3" t="s">
        <v>5033</v>
      </c>
      <c r="H4102" s="3" t="s">
        <v>9532</v>
      </c>
      <c r="I4102" s="17">
        <v>45636</v>
      </c>
      <c r="J4102" s="18">
        <f>YEAR(Tabla1[[#This Row],[FECHA DE COMPRA]])</f>
        <v>2024</v>
      </c>
      <c r="K4102" s="19">
        <v>184.18</v>
      </c>
      <c r="L4102" s="20">
        <v>0</v>
      </c>
      <c r="M4102" s="19">
        <f>Tienda!$K1867-Tienda!$K1867*Tienda!$L1867</f>
        <v>132.69900000000001</v>
      </c>
      <c r="N4102" s="3" t="s">
        <v>10038</v>
      </c>
      <c r="O4102" s="3" t="s">
        <v>10041</v>
      </c>
      <c r="P4102" s="17">
        <v>45636</v>
      </c>
      <c r="Q4102" s="4">
        <v>0</v>
      </c>
    </row>
    <row r="4103" spans="1:17" ht="30" x14ac:dyDescent="0.25">
      <c r="A4103" s="2" t="s">
        <v>2824</v>
      </c>
      <c r="B4103" s="3" t="s">
        <v>5015</v>
      </c>
      <c r="C4103" s="3">
        <v>53</v>
      </c>
      <c r="D4103" s="46" t="str">
        <f>IF(Tabla1[[#This Row],[EDAD]]&lt;=35,"Adultos jóvenes 18 - 35 años",IF(C4103&gt;=36,"Adultos mayores 36 años en adelante"))</f>
        <v>Adultos mayores 36 años en adelante</v>
      </c>
      <c r="E4103" s="3" t="s">
        <v>5023</v>
      </c>
      <c r="F4103" s="3" t="s">
        <v>5030</v>
      </c>
      <c r="G4103" s="3" t="s">
        <v>5035</v>
      </c>
      <c r="H4103" s="3" t="s">
        <v>7847</v>
      </c>
      <c r="I4103" s="17">
        <v>45649</v>
      </c>
      <c r="J4103" s="18">
        <f>YEAR(Tabla1[[#This Row],[FECHA DE COMPRA]])</f>
        <v>2024</v>
      </c>
      <c r="K4103" s="19">
        <v>185.33</v>
      </c>
      <c r="L4103" s="20">
        <v>0</v>
      </c>
      <c r="M4103" s="19">
        <f>Tienda!$K1869-Tienda!$K1869*Tienda!$L1869</f>
        <v>137.03199999999998</v>
      </c>
      <c r="N4103" s="3" t="s">
        <v>10038</v>
      </c>
      <c r="O4103" s="3" t="s">
        <v>10041</v>
      </c>
      <c r="P4103" s="17">
        <v>45299</v>
      </c>
      <c r="Q4103" s="4">
        <v>0</v>
      </c>
    </row>
    <row r="4104" spans="1:17" ht="30" x14ac:dyDescent="0.25">
      <c r="A4104" s="2" t="s">
        <v>3253</v>
      </c>
      <c r="B4104" s="3" t="s">
        <v>5015</v>
      </c>
      <c r="C4104" s="3">
        <v>43</v>
      </c>
      <c r="D4104" s="46" t="str">
        <f>IF(Tabla1[[#This Row],[EDAD]]&lt;=35,"Adultos jóvenes 18 - 35 años",IF(C4104&gt;=36,"Adultos mayores 36 años en adelante"))</f>
        <v>Adultos mayores 36 años en adelante</v>
      </c>
      <c r="E4104" s="3" t="s">
        <v>5020</v>
      </c>
      <c r="F4104" s="3" t="s">
        <v>5027</v>
      </c>
      <c r="G4104" s="3" t="s">
        <v>5035</v>
      </c>
      <c r="H4104" s="3" t="s">
        <v>8276</v>
      </c>
      <c r="I4104" s="17">
        <v>45568</v>
      </c>
      <c r="J4104" s="18">
        <f>YEAR(Tabla1[[#This Row],[FECHA DE COMPRA]])</f>
        <v>2024</v>
      </c>
      <c r="K4104" s="19">
        <v>186.23</v>
      </c>
      <c r="L4104" s="20">
        <v>0</v>
      </c>
      <c r="M4104" s="19">
        <f>Tienda!$K1870-Tienda!$K1870*Tienda!$L1870</f>
        <v>45.73</v>
      </c>
      <c r="N4104" s="3" t="s">
        <v>10038</v>
      </c>
      <c r="O4104" s="3" t="s">
        <v>10041</v>
      </c>
      <c r="P4104" s="17">
        <v>45568</v>
      </c>
      <c r="Q4104" s="4">
        <v>0</v>
      </c>
    </row>
    <row r="4105" spans="1:17" ht="30" x14ac:dyDescent="0.25">
      <c r="A4105" s="2" t="s">
        <v>4409</v>
      </c>
      <c r="B4105" s="3" t="s">
        <v>5016</v>
      </c>
      <c r="C4105" s="3">
        <v>50</v>
      </c>
      <c r="D4105" s="46" t="str">
        <f>IF(Tabla1[[#This Row],[EDAD]]&lt;=35,"Adultos jóvenes 18 - 35 años",IF(C4105&gt;=36,"Adultos mayores 36 años en adelante"))</f>
        <v>Adultos mayores 36 años en adelante</v>
      </c>
      <c r="E4105" s="3" t="s">
        <v>5019</v>
      </c>
      <c r="F4105" s="3" t="s">
        <v>5025</v>
      </c>
      <c r="G4105" s="3" t="s">
        <v>5035</v>
      </c>
      <c r="H4105" s="3" t="s">
        <v>9432</v>
      </c>
      <c r="I4105" s="17">
        <v>45624</v>
      </c>
      <c r="J4105" s="18">
        <f>YEAR(Tabla1[[#This Row],[FECHA DE COMPRA]])</f>
        <v>2024</v>
      </c>
      <c r="K4105" s="19">
        <v>194.28</v>
      </c>
      <c r="L4105" s="20">
        <v>0</v>
      </c>
      <c r="M4105" s="19">
        <f>Tienda!$K1879-Tienda!$K1879*Tienda!$L1879</f>
        <v>150.71199999999999</v>
      </c>
      <c r="N4105" s="3" t="s">
        <v>10038</v>
      </c>
      <c r="O4105" s="3" t="s">
        <v>10041</v>
      </c>
      <c r="P4105" s="17">
        <v>45495</v>
      </c>
      <c r="Q4105" s="4">
        <v>0</v>
      </c>
    </row>
    <row r="4106" spans="1:17" ht="30" x14ac:dyDescent="0.25">
      <c r="A4106" s="2" t="s">
        <v>3331</v>
      </c>
      <c r="B4106" s="3" t="s">
        <v>5015</v>
      </c>
      <c r="C4106" s="3">
        <v>42</v>
      </c>
      <c r="D4106" s="46" t="str">
        <f>IF(Tabla1[[#This Row],[EDAD]]&lt;=35,"Adultos jóvenes 18 - 35 años",IF(C4106&gt;=36,"Adultos mayores 36 años en adelante"))</f>
        <v>Adultos mayores 36 años en adelante</v>
      </c>
      <c r="E4106" s="3" t="s">
        <v>5018</v>
      </c>
      <c r="F4106" s="3" t="s">
        <v>5026</v>
      </c>
      <c r="G4106" s="3" t="s">
        <v>5036</v>
      </c>
      <c r="H4106" s="3" t="s">
        <v>8354</v>
      </c>
      <c r="I4106" s="17">
        <v>45355</v>
      </c>
      <c r="J4106" s="18">
        <f>YEAR(Tabla1[[#This Row],[FECHA DE COMPRA]])</f>
        <v>2024</v>
      </c>
      <c r="K4106" s="19">
        <v>198.58</v>
      </c>
      <c r="L4106" s="20">
        <v>0</v>
      </c>
      <c r="M4106" s="19">
        <f>Tienda!$K1885-Tienda!$K1885*Tienda!$L1885</f>
        <v>56.529000000000003</v>
      </c>
      <c r="N4106" s="3" t="s">
        <v>10038</v>
      </c>
      <c r="O4106" s="3" t="s">
        <v>10041</v>
      </c>
      <c r="P4106" s="17">
        <v>45355</v>
      </c>
      <c r="Q4106" s="4">
        <v>0</v>
      </c>
    </row>
    <row r="4107" spans="1:17" ht="30" x14ac:dyDescent="0.25">
      <c r="A4107" s="2" t="s">
        <v>658</v>
      </c>
      <c r="B4107" s="3" t="s">
        <v>5015</v>
      </c>
      <c r="C4107" s="3">
        <v>54</v>
      </c>
      <c r="D4107" s="46" t="str">
        <f>IF(Tabla1[[#This Row],[EDAD]]&lt;=35,"Adultos jóvenes 18 - 35 años",IF(C4107&gt;=36,"Adultos mayores 36 años en adelante"))</f>
        <v>Adultos mayores 36 años en adelante</v>
      </c>
      <c r="E4107" s="3" t="s">
        <v>5023</v>
      </c>
      <c r="F4107" s="3" t="s">
        <v>5028</v>
      </c>
      <c r="G4107" s="3" t="s">
        <v>5037</v>
      </c>
      <c r="H4107" s="3" t="s">
        <v>5681</v>
      </c>
      <c r="I4107" s="17">
        <v>45328</v>
      </c>
      <c r="J4107" s="18">
        <f>YEAR(Tabla1[[#This Row],[FECHA DE COMPRA]])</f>
        <v>2024</v>
      </c>
      <c r="K4107" s="19">
        <v>199.33</v>
      </c>
      <c r="L4107" s="20">
        <v>0</v>
      </c>
      <c r="M4107" s="19">
        <f>Tienda!$K1886-Tienda!$K1886*Tienda!$L1886</f>
        <v>88.808999999999997</v>
      </c>
      <c r="N4107" s="3" t="s">
        <v>10038</v>
      </c>
      <c r="O4107" s="3" t="s">
        <v>10041</v>
      </c>
      <c r="P4107" s="17">
        <v>45328</v>
      </c>
      <c r="Q4107" s="4">
        <v>0</v>
      </c>
    </row>
    <row r="4108" spans="1:17" ht="30" x14ac:dyDescent="0.25">
      <c r="A4108" s="2" t="s">
        <v>2239</v>
      </c>
      <c r="B4108" s="3" t="s">
        <v>5015</v>
      </c>
      <c r="C4108" s="3">
        <v>39</v>
      </c>
      <c r="D4108" s="46" t="str">
        <f>IF(Tabla1[[#This Row],[EDAD]]&lt;=35,"Adultos jóvenes 18 - 35 años",IF(C4108&gt;=36,"Adultos mayores 36 años en adelante"))</f>
        <v>Adultos mayores 36 años en adelante</v>
      </c>
      <c r="E4108" s="3" t="s">
        <v>5019</v>
      </c>
      <c r="F4108" s="3" t="s">
        <v>5030</v>
      </c>
      <c r="G4108" s="3" t="s">
        <v>5034</v>
      </c>
      <c r="H4108" s="3" t="s">
        <v>7262</v>
      </c>
      <c r="I4108" s="17">
        <v>45554</v>
      </c>
      <c r="J4108" s="18">
        <f>YEAR(Tabla1[[#This Row],[FECHA DE COMPRA]])</f>
        <v>2024</v>
      </c>
      <c r="K4108" s="19">
        <v>199.62</v>
      </c>
      <c r="L4108" s="20">
        <v>0</v>
      </c>
      <c r="M4108" s="19">
        <f>Tienda!$K1887-Tienda!$K1887*Tienda!$L1887</f>
        <v>192.61</v>
      </c>
      <c r="N4108" s="3" t="s">
        <v>10038</v>
      </c>
      <c r="O4108" s="3" t="s">
        <v>10041</v>
      </c>
      <c r="P4108" s="17">
        <v>45554</v>
      </c>
      <c r="Q4108" s="4">
        <v>0</v>
      </c>
    </row>
    <row r="4109" spans="1:17" ht="30" x14ac:dyDescent="0.25">
      <c r="A4109" s="2" t="s">
        <v>2814</v>
      </c>
      <c r="B4109" s="3" t="s">
        <v>5015</v>
      </c>
      <c r="C4109" s="3">
        <v>58</v>
      </c>
      <c r="D4109" s="46" t="str">
        <f>IF(Tabla1[[#This Row],[EDAD]]&lt;=35,"Adultos jóvenes 18 - 35 años",IF(C4109&gt;=36,"Adultos mayores 36 años en adelante"))</f>
        <v>Adultos mayores 36 años en adelante</v>
      </c>
      <c r="E4109" s="3" t="s">
        <v>5018</v>
      </c>
      <c r="F4109" s="3" t="s">
        <v>5030</v>
      </c>
      <c r="G4109" s="3" t="s">
        <v>5033</v>
      </c>
      <c r="H4109" s="3" t="s">
        <v>7837</v>
      </c>
      <c r="I4109" s="17">
        <v>45642</v>
      </c>
      <c r="J4109" s="18">
        <f>YEAR(Tabla1[[#This Row],[FECHA DE COMPRA]])</f>
        <v>2024</v>
      </c>
      <c r="K4109" s="19">
        <v>50.9</v>
      </c>
      <c r="L4109" s="20">
        <v>0.3</v>
      </c>
      <c r="M4109" s="19">
        <f>Tienda!$K1971-Tienda!$K1971*Tienda!$L1971</f>
        <v>86.912000000000006</v>
      </c>
      <c r="N4109" s="3" t="s">
        <v>10038</v>
      </c>
      <c r="O4109" s="3" t="s">
        <v>10041</v>
      </c>
      <c r="P4109" s="17">
        <v>45912</v>
      </c>
      <c r="Q4109" s="4">
        <v>0</v>
      </c>
    </row>
    <row r="4110" spans="1:17" ht="30" x14ac:dyDescent="0.25">
      <c r="A4110" s="2" t="s">
        <v>4641</v>
      </c>
      <c r="B4110" s="3" t="s">
        <v>5015</v>
      </c>
      <c r="C4110" s="3">
        <v>40</v>
      </c>
      <c r="D4110" s="46" t="str">
        <f>IF(Tabla1[[#This Row],[EDAD]]&lt;=35,"Adultos jóvenes 18 - 35 años",IF(C4110&gt;=36,"Adultos mayores 36 años en adelante"))</f>
        <v>Adultos mayores 36 años en adelante</v>
      </c>
      <c r="E4110" s="3" t="s">
        <v>5023</v>
      </c>
      <c r="F4110" s="3" t="s">
        <v>5030</v>
      </c>
      <c r="G4110" s="3" t="s">
        <v>5034</v>
      </c>
      <c r="H4110" s="3" t="s">
        <v>9664</v>
      </c>
      <c r="I4110" s="17">
        <v>45496</v>
      </c>
      <c r="J4110" s="18">
        <f>YEAR(Tabla1[[#This Row],[FECHA DE COMPRA]])</f>
        <v>2024</v>
      </c>
      <c r="K4110" s="19">
        <v>35.9</v>
      </c>
      <c r="L4110" s="20">
        <v>0</v>
      </c>
      <c r="M4110" s="19">
        <f>Tienda!$K1972-Tienda!$K1972*Tienda!$L1972</f>
        <v>142.72800000000001</v>
      </c>
      <c r="N4110" s="3" t="s">
        <v>10038</v>
      </c>
      <c r="O4110" s="3" t="s">
        <v>10041</v>
      </c>
      <c r="P4110" s="17">
        <v>45856</v>
      </c>
      <c r="Q4110" s="4">
        <v>0</v>
      </c>
    </row>
    <row r="4111" spans="1:17" ht="30" x14ac:dyDescent="0.25">
      <c r="A4111" s="2" t="s">
        <v>57</v>
      </c>
      <c r="B4111" s="3" t="s">
        <v>5016</v>
      </c>
      <c r="C4111" s="3">
        <v>48</v>
      </c>
      <c r="D4111" s="46" t="str">
        <f>IF(Tabla1[[#This Row],[EDAD]]&lt;=35,"Adultos jóvenes 18 - 35 años",IF(C4111&gt;=36,"Adultos mayores 36 años en adelante"))</f>
        <v>Adultos mayores 36 años en adelante</v>
      </c>
      <c r="E4111" s="3" t="s">
        <v>5019</v>
      </c>
      <c r="F4111" s="3" t="s">
        <v>5028</v>
      </c>
      <c r="G4111" s="3" t="s">
        <v>5036</v>
      </c>
      <c r="H4111" s="3" t="s">
        <v>5080</v>
      </c>
      <c r="I4111" s="17">
        <v>45349</v>
      </c>
      <c r="J4111" s="18">
        <f>YEAR(Tabla1[[#This Row],[FECHA DE COMPRA]])</f>
        <v>2024</v>
      </c>
      <c r="K4111" s="19">
        <v>40.07</v>
      </c>
      <c r="L4111" s="20">
        <v>0.1</v>
      </c>
      <c r="M4111" s="19">
        <f>Tienda!$K1975-Tienda!$K1975*Tienda!$L1975</f>
        <v>39.06</v>
      </c>
      <c r="N4111" s="3" t="s">
        <v>10038</v>
      </c>
      <c r="O4111" s="3" t="s">
        <v>10041</v>
      </c>
      <c r="P4111" s="17">
        <v>45349</v>
      </c>
      <c r="Q4111" s="4">
        <v>0</v>
      </c>
    </row>
    <row r="4112" spans="1:17" ht="30" x14ac:dyDescent="0.25">
      <c r="A4112" s="2" t="s">
        <v>3640</v>
      </c>
      <c r="B4112" s="3" t="s">
        <v>5015</v>
      </c>
      <c r="C4112" s="3">
        <v>37</v>
      </c>
      <c r="D4112" s="46" t="str">
        <f>IF(Tabla1[[#This Row],[EDAD]]&lt;=35,"Adultos jóvenes 18 - 35 años",IF(C4112&gt;=36,"Adultos mayores 36 años en adelante"))</f>
        <v>Adultos mayores 36 años en adelante</v>
      </c>
      <c r="E4112" s="3" t="s">
        <v>5022</v>
      </c>
      <c r="F4112" s="3" t="s">
        <v>5025</v>
      </c>
      <c r="G4112" s="3" t="s">
        <v>5034</v>
      </c>
      <c r="H4112" s="3" t="s">
        <v>8663</v>
      </c>
      <c r="I4112" s="17">
        <v>45374</v>
      </c>
      <c r="J4112" s="18">
        <f>YEAR(Tabla1[[#This Row],[FECHA DE COMPRA]])</f>
        <v>2024</v>
      </c>
      <c r="K4112" s="19">
        <v>52.1</v>
      </c>
      <c r="L4112" s="20">
        <v>0.3</v>
      </c>
      <c r="M4112" s="19">
        <f>Tienda!$K1978-Tienda!$K1978*Tienda!$L1978</f>
        <v>76.391999999999996</v>
      </c>
      <c r="N4112" s="3" t="s">
        <v>10038</v>
      </c>
      <c r="O4112" s="3" t="s">
        <v>10041</v>
      </c>
      <c r="P4112" s="17">
        <v>45374</v>
      </c>
      <c r="Q4112" s="4">
        <v>0</v>
      </c>
    </row>
    <row r="4113" spans="1:17" ht="30" x14ac:dyDescent="0.25">
      <c r="A4113" s="2" t="s">
        <v>2589</v>
      </c>
      <c r="B4113" s="3" t="s">
        <v>5016</v>
      </c>
      <c r="C4113" s="3">
        <v>62</v>
      </c>
      <c r="D4113" s="46" t="str">
        <f>IF(Tabla1[[#This Row],[EDAD]]&lt;=35,"Adultos jóvenes 18 - 35 años",IF(C4113&gt;=36,"Adultos mayores 36 años en adelante"))</f>
        <v>Adultos mayores 36 años en adelante</v>
      </c>
      <c r="E4113" s="3" t="s">
        <v>5019</v>
      </c>
      <c r="F4113" s="3" t="s">
        <v>5028</v>
      </c>
      <c r="G4113" s="3" t="s">
        <v>5033</v>
      </c>
      <c r="H4113" s="3" t="s">
        <v>7612</v>
      </c>
      <c r="I4113" s="17">
        <v>45348</v>
      </c>
      <c r="J4113" s="18">
        <f>YEAR(Tabla1[[#This Row],[FECHA DE COMPRA]])</f>
        <v>2024</v>
      </c>
      <c r="K4113" s="19">
        <v>40.67</v>
      </c>
      <c r="L4113" s="20">
        <v>0.1</v>
      </c>
      <c r="M4113" s="19">
        <f>Tienda!$K1979-Tienda!$K1979*Tienda!$L1979</f>
        <v>101.92</v>
      </c>
      <c r="N4113" s="3" t="s">
        <v>10038</v>
      </c>
      <c r="O4113" s="3" t="s">
        <v>10041</v>
      </c>
      <c r="P4113" s="17">
        <v>45348</v>
      </c>
      <c r="Q4113" s="4">
        <v>0</v>
      </c>
    </row>
    <row r="4114" spans="1:17" ht="30" x14ac:dyDescent="0.25">
      <c r="A4114" s="2" t="s">
        <v>2918</v>
      </c>
      <c r="B4114" s="3" t="s">
        <v>5015</v>
      </c>
      <c r="C4114" s="3">
        <v>50</v>
      </c>
      <c r="D4114" s="46" t="str">
        <f>IF(Tabla1[[#This Row],[EDAD]]&lt;=35,"Adultos jóvenes 18 - 35 años",IF(C4114&gt;=36,"Adultos mayores 36 años en adelante"))</f>
        <v>Adultos mayores 36 años en adelante</v>
      </c>
      <c r="E4114" s="3" t="s">
        <v>5023</v>
      </c>
      <c r="F4114" s="3" t="s">
        <v>5025</v>
      </c>
      <c r="G4114" s="3" t="s">
        <v>5035</v>
      </c>
      <c r="H4114" s="3" t="s">
        <v>7941</v>
      </c>
      <c r="I4114" s="17">
        <v>45507</v>
      </c>
      <c r="J4114" s="18">
        <f>YEAR(Tabla1[[#This Row],[FECHA DE COMPRA]])</f>
        <v>2024</v>
      </c>
      <c r="K4114" s="19">
        <v>40.78</v>
      </c>
      <c r="L4114" s="20">
        <v>0.1</v>
      </c>
      <c r="M4114" s="19">
        <f>Tienda!$K1980-Tienda!$K1980*Tienda!$L1980</f>
        <v>93.048000000000002</v>
      </c>
      <c r="N4114" s="3" t="s">
        <v>10038</v>
      </c>
      <c r="O4114" s="3" t="s">
        <v>10041</v>
      </c>
      <c r="P4114" s="17">
        <v>45597</v>
      </c>
      <c r="Q4114" s="4">
        <v>0</v>
      </c>
    </row>
    <row r="4115" spans="1:17" ht="30" x14ac:dyDescent="0.25">
      <c r="A4115" s="2" t="s">
        <v>1569</v>
      </c>
      <c r="B4115" s="3" t="s">
        <v>5015</v>
      </c>
      <c r="C4115" s="3">
        <v>56</v>
      </c>
      <c r="D4115" s="46" t="str">
        <f>IF(Tabla1[[#This Row],[EDAD]]&lt;=35,"Adultos jóvenes 18 - 35 años",IF(C4115&gt;=36,"Adultos mayores 36 años en adelante"))</f>
        <v>Adultos mayores 36 años en adelante</v>
      </c>
      <c r="E4115" s="3" t="s">
        <v>5018</v>
      </c>
      <c r="F4115" s="3" t="s">
        <v>5026</v>
      </c>
      <c r="G4115" s="3" t="s">
        <v>5031</v>
      </c>
      <c r="H4115" s="3" t="s">
        <v>6592</v>
      </c>
      <c r="I4115" s="17">
        <v>45359</v>
      </c>
      <c r="J4115" s="18">
        <f>YEAR(Tabla1[[#This Row],[FECHA DE COMPRA]])</f>
        <v>2024</v>
      </c>
      <c r="K4115" s="19">
        <v>41.22</v>
      </c>
      <c r="L4115" s="20">
        <v>0.1</v>
      </c>
      <c r="M4115" s="19">
        <f>Tienda!$K1983-Tienda!$K1983*Tienda!$L1983</f>
        <v>119.36</v>
      </c>
      <c r="N4115" s="3" t="s">
        <v>10038</v>
      </c>
      <c r="O4115" s="3" t="s">
        <v>10041</v>
      </c>
      <c r="P4115" s="17">
        <v>45359</v>
      </c>
      <c r="Q4115" s="4">
        <v>0</v>
      </c>
    </row>
    <row r="4116" spans="1:17" ht="30" x14ac:dyDescent="0.25">
      <c r="A4116" s="2" t="s">
        <v>1357</v>
      </c>
      <c r="B4116" s="3" t="s">
        <v>5015</v>
      </c>
      <c r="C4116" s="3">
        <v>49</v>
      </c>
      <c r="D4116" s="46" t="str">
        <f>IF(Tabla1[[#This Row],[EDAD]]&lt;=35,"Adultos jóvenes 18 - 35 años",IF(C4116&gt;=36,"Adultos mayores 36 años en adelante"))</f>
        <v>Adultos mayores 36 años en adelante</v>
      </c>
      <c r="E4116" s="3" t="s">
        <v>5019</v>
      </c>
      <c r="F4116" s="3" t="s">
        <v>5028</v>
      </c>
      <c r="G4116" s="3" t="s">
        <v>5034</v>
      </c>
      <c r="H4116" s="3" t="s">
        <v>6380</v>
      </c>
      <c r="I4116" s="17">
        <v>45574</v>
      </c>
      <c r="J4116" s="18">
        <f>YEAR(Tabla1[[#This Row],[FECHA DE COMPRA]])</f>
        <v>2024</v>
      </c>
      <c r="K4116" s="19">
        <v>41.34</v>
      </c>
      <c r="L4116" s="20">
        <v>0.1</v>
      </c>
      <c r="M4116" s="19">
        <f>Tienda!$K1985-Tienda!$K1985*Tienda!$L1985</f>
        <v>138.23599999999999</v>
      </c>
      <c r="N4116" s="3" t="s">
        <v>10038</v>
      </c>
      <c r="O4116" s="3" t="s">
        <v>10041</v>
      </c>
      <c r="P4116" s="17">
        <v>45574</v>
      </c>
      <c r="Q4116" s="4">
        <v>0</v>
      </c>
    </row>
    <row r="4117" spans="1:17" ht="30" x14ac:dyDescent="0.25">
      <c r="A4117" s="2" t="s">
        <v>4165</v>
      </c>
      <c r="B4117" s="3" t="s">
        <v>5015</v>
      </c>
      <c r="C4117" s="3">
        <v>46</v>
      </c>
      <c r="D4117" s="46" t="str">
        <f>IF(Tabla1[[#This Row],[EDAD]]&lt;=35,"Adultos jóvenes 18 - 35 años",IF(C4117&gt;=36,"Adultos mayores 36 años en adelante"))</f>
        <v>Adultos mayores 36 años en adelante</v>
      </c>
      <c r="E4117" s="3" t="s">
        <v>5017</v>
      </c>
      <c r="F4117" s="3" t="s">
        <v>5029</v>
      </c>
      <c r="G4117" s="3" t="s">
        <v>5034</v>
      </c>
      <c r="H4117" s="3" t="s">
        <v>9188</v>
      </c>
      <c r="I4117" s="17">
        <v>45335</v>
      </c>
      <c r="J4117" s="18">
        <f>YEAR(Tabla1[[#This Row],[FECHA DE COMPRA]])</f>
        <v>2024</v>
      </c>
      <c r="K4117" s="19">
        <v>47.14</v>
      </c>
      <c r="L4117" s="20">
        <v>0.2</v>
      </c>
      <c r="M4117" s="19">
        <f>Tienda!$K1993-Tienda!$K1993*Tienda!$L1993</f>
        <v>175.83</v>
      </c>
      <c r="N4117" s="3" t="s">
        <v>10038</v>
      </c>
      <c r="O4117" s="3" t="s">
        <v>10041</v>
      </c>
      <c r="P4117" s="17">
        <v>45335</v>
      </c>
      <c r="Q4117" s="4">
        <v>0</v>
      </c>
    </row>
    <row r="4118" spans="1:17" ht="30" x14ac:dyDescent="0.25">
      <c r="A4118" s="2" t="s">
        <v>1621</v>
      </c>
      <c r="B4118" s="3" t="s">
        <v>5016</v>
      </c>
      <c r="C4118" s="3">
        <v>64</v>
      </c>
      <c r="D4118" s="46" t="str">
        <f>IF(Tabla1[[#This Row],[EDAD]]&lt;=35,"Adultos jóvenes 18 - 35 años",IF(C4118&gt;=36,"Adultos mayores 36 años en adelante"))</f>
        <v>Adultos mayores 36 años en adelante</v>
      </c>
      <c r="E4118" s="3" t="s">
        <v>5017</v>
      </c>
      <c r="F4118" s="3" t="s">
        <v>5028</v>
      </c>
      <c r="G4118" s="3" t="s">
        <v>5033</v>
      </c>
      <c r="H4118" s="3" t="s">
        <v>6644</v>
      </c>
      <c r="I4118" s="17">
        <v>45373</v>
      </c>
      <c r="J4118" s="18">
        <f>YEAR(Tabla1[[#This Row],[FECHA DE COMPRA]])</f>
        <v>2024</v>
      </c>
      <c r="K4118" s="19">
        <v>37.76</v>
      </c>
      <c r="L4118" s="20">
        <v>0</v>
      </c>
      <c r="M4118" s="19">
        <f>Tienda!$K1994-Tienda!$K1994*Tienda!$L1994</f>
        <v>70.605000000000004</v>
      </c>
      <c r="N4118" s="3" t="s">
        <v>10038</v>
      </c>
      <c r="O4118" s="3" t="s">
        <v>10041</v>
      </c>
      <c r="P4118" s="17">
        <v>45553</v>
      </c>
      <c r="Q4118" s="4">
        <v>0</v>
      </c>
    </row>
    <row r="4119" spans="1:17" ht="30" x14ac:dyDescent="0.25">
      <c r="A4119" s="2" t="s">
        <v>1761</v>
      </c>
      <c r="B4119" s="3" t="s">
        <v>5015</v>
      </c>
      <c r="C4119" s="3">
        <v>54</v>
      </c>
      <c r="D4119" s="46" t="str">
        <f>IF(Tabla1[[#This Row],[EDAD]]&lt;=35,"Adultos jóvenes 18 - 35 años",IF(C4119&gt;=36,"Adultos mayores 36 años en adelante"))</f>
        <v>Adultos mayores 36 años en adelante</v>
      </c>
      <c r="E4119" s="3" t="s">
        <v>5020</v>
      </c>
      <c r="F4119" s="3" t="s">
        <v>5025</v>
      </c>
      <c r="G4119" s="3" t="s">
        <v>5035</v>
      </c>
      <c r="H4119" s="3" t="s">
        <v>6784</v>
      </c>
      <c r="I4119" s="17">
        <v>45461</v>
      </c>
      <c r="J4119" s="18">
        <f>YEAR(Tabla1[[#This Row],[FECHA DE COMPRA]])</f>
        <v>2024</v>
      </c>
      <c r="K4119" s="19">
        <v>54.86</v>
      </c>
      <c r="L4119" s="20">
        <v>0.3</v>
      </c>
      <c r="M4119" s="19">
        <f>Tienda!$K2002-Tienda!$K2002*Tienda!$L2002</f>
        <v>122.17099999999999</v>
      </c>
      <c r="N4119" s="3" t="s">
        <v>10038</v>
      </c>
      <c r="O4119" s="3" t="s">
        <v>10041</v>
      </c>
      <c r="P4119" s="17">
        <v>45551</v>
      </c>
      <c r="Q4119" s="4">
        <v>0</v>
      </c>
    </row>
    <row r="4120" spans="1:17" ht="30" x14ac:dyDescent="0.25">
      <c r="A4120" s="2" t="s">
        <v>4599</v>
      </c>
      <c r="B4120" s="3" t="s">
        <v>5016</v>
      </c>
      <c r="C4120" s="3">
        <v>55</v>
      </c>
      <c r="D4120" s="46" t="str">
        <f>IF(Tabla1[[#This Row],[EDAD]]&lt;=35,"Adultos jóvenes 18 - 35 años",IF(C4120&gt;=36,"Adultos mayores 36 años en adelante"))</f>
        <v>Adultos mayores 36 años en adelante</v>
      </c>
      <c r="E4120" s="3" t="s">
        <v>5021</v>
      </c>
      <c r="F4120" s="3" t="s">
        <v>5027</v>
      </c>
      <c r="G4120" s="3" t="s">
        <v>5034</v>
      </c>
      <c r="H4120" s="3" t="s">
        <v>9622</v>
      </c>
      <c r="I4120" s="17">
        <v>45441</v>
      </c>
      <c r="J4120" s="18">
        <f>YEAR(Tabla1[[#This Row],[FECHA DE COMPRA]])</f>
        <v>2024</v>
      </c>
      <c r="K4120" s="19">
        <v>55.47</v>
      </c>
      <c r="L4120" s="20">
        <v>0.3</v>
      </c>
      <c r="M4120" s="19">
        <f>Tienda!$K2004-Tienda!$K2004*Tienda!$L2004</f>
        <v>105.33599999999998</v>
      </c>
      <c r="N4120" s="3" t="s">
        <v>10038</v>
      </c>
      <c r="O4120" s="3" t="s">
        <v>10041</v>
      </c>
      <c r="P4120" s="17">
        <v>45441</v>
      </c>
      <c r="Q4120" s="4">
        <v>0</v>
      </c>
    </row>
    <row r="4121" spans="1:17" ht="30" x14ac:dyDescent="0.25">
      <c r="A4121" s="2" t="s">
        <v>2722</v>
      </c>
      <c r="B4121" s="3" t="s">
        <v>5015</v>
      </c>
      <c r="C4121" s="3">
        <v>60</v>
      </c>
      <c r="D4121" s="46" t="str">
        <f>IF(Tabla1[[#This Row],[EDAD]]&lt;=35,"Adultos jóvenes 18 - 35 años",IF(C4121&gt;=36,"Adultos mayores 36 años en adelante"))</f>
        <v>Adultos mayores 36 años en adelante</v>
      </c>
      <c r="E4121" s="3" t="s">
        <v>5018</v>
      </c>
      <c r="F4121" s="3" t="s">
        <v>5024</v>
      </c>
      <c r="G4121" s="3" t="s">
        <v>5032</v>
      </c>
      <c r="H4121" s="3" t="s">
        <v>7745</v>
      </c>
      <c r="I4121" s="17">
        <v>45310</v>
      </c>
      <c r="J4121" s="18">
        <f>YEAR(Tabla1[[#This Row],[FECHA DE COMPRA]])</f>
        <v>2024</v>
      </c>
      <c r="K4121" s="19">
        <v>55.94</v>
      </c>
      <c r="L4121" s="20">
        <v>0.3</v>
      </c>
      <c r="M4121" s="19">
        <f>Tienda!$K2005-Tienda!$K2005*Tienda!$L2005</f>
        <v>55.77600000000001</v>
      </c>
      <c r="N4121" s="3" t="s">
        <v>10038</v>
      </c>
      <c r="O4121" s="3" t="s">
        <v>10041</v>
      </c>
      <c r="P4121" s="17">
        <v>45310</v>
      </c>
      <c r="Q4121" s="4">
        <v>0</v>
      </c>
    </row>
    <row r="4122" spans="1:17" ht="30" x14ac:dyDescent="0.25">
      <c r="A4122" s="2" t="s">
        <v>3857</v>
      </c>
      <c r="B4122" s="3" t="s">
        <v>5015</v>
      </c>
      <c r="C4122" s="3">
        <v>40</v>
      </c>
      <c r="D4122" s="46" t="str">
        <f>IF(Tabla1[[#This Row],[EDAD]]&lt;=35,"Adultos jóvenes 18 - 35 años",IF(C4122&gt;=36,"Adultos mayores 36 años en adelante"))</f>
        <v>Adultos mayores 36 años en adelante</v>
      </c>
      <c r="E4122" s="3" t="s">
        <v>5017</v>
      </c>
      <c r="F4122" s="3" t="s">
        <v>5029</v>
      </c>
      <c r="G4122" s="3" t="s">
        <v>5037</v>
      </c>
      <c r="H4122" s="3" t="s">
        <v>8880</v>
      </c>
      <c r="I4122" s="17">
        <v>45392</v>
      </c>
      <c r="J4122" s="18">
        <f>YEAR(Tabla1[[#This Row],[FECHA DE COMPRA]])</f>
        <v>2024</v>
      </c>
      <c r="K4122" s="19">
        <v>39.159999999999997</v>
      </c>
      <c r="L4122" s="20">
        <v>0</v>
      </c>
      <c r="M4122" s="19">
        <f>Tienda!$K2006-Tienda!$K2006*Tienda!$L2006</f>
        <v>115.255</v>
      </c>
      <c r="N4122" s="3" t="s">
        <v>10038</v>
      </c>
      <c r="O4122" s="3" t="s">
        <v>10041</v>
      </c>
      <c r="P4122" s="17">
        <v>45392</v>
      </c>
      <c r="Q4122" s="4">
        <v>0</v>
      </c>
    </row>
    <row r="4123" spans="1:17" ht="30" x14ac:dyDescent="0.25">
      <c r="A4123" s="2" t="s">
        <v>3708</v>
      </c>
      <c r="B4123" s="3" t="s">
        <v>5016</v>
      </c>
      <c r="C4123" s="3">
        <v>65</v>
      </c>
      <c r="D4123" s="46" t="str">
        <f>IF(Tabla1[[#This Row],[EDAD]]&lt;=35,"Adultos jóvenes 18 - 35 años",IF(C4123&gt;=36,"Adultos mayores 36 años en adelante"))</f>
        <v>Adultos mayores 36 años en adelante</v>
      </c>
      <c r="E4123" s="3" t="s">
        <v>5023</v>
      </c>
      <c r="F4123" s="3" t="s">
        <v>5024</v>
      </c>
      <c r="G4123" s="3" t="s">
        <v>5035</v>
      </c>
      <c r="H4123" s="3" t="s">
        <v>8731</v>
      </c>
      <c r="I4123" s="17">
        <v>45333</v>
      </c>
      <c r="J4123" s="18">
        <f>YEAR(Tabla1[[#This Row],[FECHA DE COMPRA]])</f>
        <v>2024</v>
      </c>
      <c r="K4123" s="19">
        <v>49.58</v>
      </c>
      <c r="L4123" s="20">
        <v>0.2</v>
      </c>
      <c r="M4123" s="19">
        <f>Tienda!$K2015-Tienda!$K2015*Tienda!$L2015</f>
        <v>140.22999999999999</v>
      </c>
      <c r="N4123" s="3" t="s">
        <v>10038</v>
      </c>
      <c r="O4123" s="3" t="s">
        <v>10041</v>
      </c>
      <c r="P4123" s="17">
        <v>45333</v>
      </c>
      <c r="Q4123" s="4">
        <v>0</v>
      </c>
    </row>
    <row r="4124" spans="1:17" ht="30" x14ac:dyDescent="0.25">
      <c r="A4124" s="2" t="s">
        <v>2074</v>
      </c>
      <c r="B4124" s="3" t="s">
        <v>5015</v>
      </c>
      <c r="C4124" s="3">
        <v>45</v>
      </c>
      <c r="D4124" s="46" t="str">
        <f>IF(Tabla1[[#This Row],[EDAD]]&lt;=35,"Adultos jóvenes 18 - 35 años",IF(C4124&gt;=36,"Adultos mayores 36 años en adelante"))</f>
        <v>Adultos mayores 36 años en adelante</v>
      </c>
      <c r="E4124" s="3" t="s">
        <v>5019</v>
      </c>
      <c r="F4124" s="3" t="s">
        <v>5029</v>
      </c>
      <c r="G4124" s="3" t="s">
        <v>5031</v>
      </c>
      <c r="H4124" s="3" t="s">
        <v>7097</v>
      </c>
      <c r="I4124" s="17">
        <v>45347</v>
      </c>
      <c r="J4124" s="18">
        <f>YEAR(Tabla1[[#This Row],[FECHA DE COMPRA]])</f>
        <v>2024</v>
      </c>
      <c r="K4124" s="19">
        <v>39.67</v>
      </c>
      <c r="L4124" s="20">
        <v>0</v>
      </c>
      <c r="M4124" s="19">
        <f>Tienda!$K2016-Tienda!$K2016*Tienda!$L2016</f>
        <v>134.792</v>
      </c>
      <c r="N4124" s="3" t="s">
        <v>10038</v>
      </c>
      <c r="O4124" s="3" t="s">
        <v>10041</v>
      </c>
      <c r="P4124" s="17">
        <v>45347</v>
      </c>
      <c r="Q4124" s="4">
        <v>0</v>
      </c>
    </row>
    <row r="4125" spans="1:17" ht="30" x14ac:dyDescent="0.25">
      <c r="A4125" s="2" t="s">
        <v>418</v>
      </c>
      <c r="B4125" s="3" t="s">
        <v>5015</v>
      </c>
      <c r="C4125" s="3">
        <v>60</v>
      </c>
      <c r="D4125" s="46" t="str">
        <f>IF(Tabla1[[#This Row],[EDAD]]&lt;=35,"Adultos jóvenes 18 - 35 años",IF(C4125&gt;=36,"Adultos mayores 36 años en adelante"))</f>
        <v>Adultos mayores 36 años en adelante</v>
      </c>
      <c r="E4125" s="3" t="s">
        <v>5018</v>
      </c>
      <c r="F4125" s="3" t="s">
        <v>5028</v>
      </c>
      <c r="G4125" s="3" t="s">
        <v>5035</v>
      </c>
      <c r="H4125" s="3" t="s">
        <v>5441</v>
      </c>
      <c r="I4125" s="17">
        <v>45563</v>
      </c>
      <c r="J4125" s="18">
        <f>YEAR(Tabla1[[#This Row],[FECHA DE COMPRA]])</f>
        <v>2024</v>
      </c>
      <c r="K4125" s="19">
        <v>56.96</v>
      </c>
      <c r="L4125" s="20">
        <v>0.3</v>
      </c>
      <c r="M4125" s="19">
        <f>Tienda!$K2017-Tienda!$K2017*Tienda!$L2017</f>
        <v>177.51</v>
      </c>
      <c r="N4125" s="3" t="s">
        <v>10038</v>
      </c>
      <c r="O4125" s="3" t="s">
        <v>10041</v>
      </c>
      <c r="P4125" s="17">
        <v>45833</v>
      </c>
      <c r="Q4125" s="4">
        <v>0</v>
      </c>
    </row>
    <row r="4126" spans="1:17" ht="30" x14ac:dyDescent="0.25">
      <c r="A4126" s="2" t="s">
        <v>4824</v>
      </c>
      <c r="B4126" s="3" t="s">
        <v>5015</v>
      </c>
      <c r="C4126" s="3">
        <v>57</v>
      </c>
      <c r="D4126" s="46" t="str">
        <f>IF(Tabla1[[#This Row],[EDAD]]&lt;=35,"Adultos jóvenes 18 - 35 años",IF(C4126&gt;=36,"Adultos mayores 36 años en adelante"))</f>
        <v>Adultos mayores 36 años en adelante</v>
      </c>
      <c r="E4126" s="3" t="s">
        <v>5020</v>
      </c>
      <c r="F4126" s="3" t="s">
        <v>5025</v>
      </c>
      <c r="G4126" s="3" t="s">
        <v>5035</v>
      </c>
      <c r="H4126" s="3" t="s">
        <v>9847</v>
      </c>
      <c r="I4126" s="17">
        <v>45432</v>
      </c>
      <c r="J4126" s="18">
        <f>YEAR(Tabla1[[#This Row],[FECHA DE COMPRA]])</f>
        <v>2024</v>
      </c>
      <c r="K4126" s="19">
        <v>49.91</v>
      </c>
      <c r="L4126" s="20">
        <v>0.2</v>
      </c>
      <c r="M4126" s="19">
        <f>Tienda!$K2018-Tienda!$K2018*Tienda!$L2018</f>
        <v>123.255</v>
      </c>
      <c r="N4126" s="3" t="s">
        <v>10038</v>
      </c>
      <c r="O4126" s="3" t="s">
        <v>10041</v>
      </c>
      <c r="P4126" s="17">
        <v>45792</v>
      </c>
      <c r="Q4126" s="4">
        <v>0</v>
      </c>
    </row>
    <row r="4127" spans="1:17" ht="30" x14ac:dyDescent="0.25">
      <c r="A4127" s="2" t="s">
        <v>4187</v>
      </c>
      <c r="B4127" s="3" t="s">
        <v>5015</v>
      </c>
      <c r="C4127" s="3">
        <v>38</v>
      </c>
      <c r="D4127" s="46" t="str">
        <f>IF(Tabla1[[#This Row],[EDAD]]&lt;=35,"Adultos jóvenes 18 - 35 años",IF(C4127&gt;=36,"Adultos mayores 36 años en adelante"))</f>
        <v>Adultos mayores 36 años en adelante</v>
      </c>
      <c r="E4127" s="3" t="s">
        <v>5020</v>
      </c>
      <c r="F4127" s="3" t="s">
        <v>5025</v>
      </c>
      <c r="G4127" s="3" t="s">
        <v>5034</v>
      </c>
      <c r="H4127" s="3" t="s">
        <v>9210</v>
      </c>
      <c r="I4127" s="17">
        <v>45327</v>
      </c>
      <c r="J4127" s="18">
        <f>YEAR(Tabla1[[#This Row],[FECHA DE COMPRA]])</f>
        <v>2024</v>
      </c>
      <c r="K4127" s="19">
        <v>57.11</v>
      </c>
      <c r="L4127" s="20">
        <v>0.3</v>
      </c>
      <c r="M4127" s="19">
        <f>Tienda!$K2019-Tienda!$K2019*Tienda!$L2019</f>
        <v>161.721</v>
      </c>
      <c r="N4127" s="3" t="s">
        <v>10038</v>
      </c>
      <c r="O4127" s="3" t="s">
        <v>10041</v>
      </c>
      <c r="P4127" s="17">
        <v>45597</v>
      </c>
      <c r="Q4127" s="4">
        <v>0</v>
      </c>
    </row>
    <row r="4128" spans="1:17" ht="30" x14ac:dyDescent="0.25">
      <c r="A4128" s="2" t="s">
        <v>812</v>
      </c>
      <c r="B4128" s="3" t="s">
        <v>5015</v>
      </c>
      <c r="C4128" s="3">
        <v>44</v>
      </c>
      <c r="D4128" s="46" t="str">
        <f>IF(Tabla1[[#This Row],[EDAD]]&lt;=35,"Adultos jóvenes 18 - 35 años",IF(C4128&gt;=36,"Adultos mayores 36 años en adelante"))</f>
        <v>Adultos mayores 36 años en adelante</v>
      </c>
      <c r="E4128" s="3" t="s">
        <v>5021</v>
      </c>
      <c r="F4128" s="3" t="s">
        <v>5026</v>
      </c>
      <c r="G4128" s="3" t="s">
        <v>5037</v>
      </c>
      <c r="H4128" s="3" t="s">
        <v>5835</v>
      </c>
      <c r="I4128" s="17">
        <v>45579</v>
      </c>
      <c r="J4128" s="18">
        <f>YEAR(Tabla1[[#This Row],[FECHA DE COMPRA]])</f>
        <v>2024</v>
      </c>
      <c r="K4128" s="19">
        <v>50.74</v>
      </c>
      <c r="L4128" s="20">
        <v>0.2</v>
      </c>
      <c r="M4128" s="19">
        <f>Tienda!$K2024-Tienda!$K2024*Tienda!$L2024</f>
        <v>139.804</v>
      </c>
      <c r="N4128" s="3" t="s">
        <v>10038</v>
      </c>
      <c r="O4128" s="3" t="s">
        <v>10041</v>
      </c>
      <c r="P4128" s="17">
        <v>45579</v>
      </c>
      <c r="Q4128" s="4">
        <v>0</v>
      </c>
    </row>
    <row r="4129" spans="1:17" ht="30" x14ac:dyDescent="0.25">
      <c r="A4129" s="2" t="s">
        <v>2696</v>
      </c>
      <c r="B4129" s="3" t="s">
        <v>5015</v>
      </c>
      <c r="C4129" s="3">
        <v>37</v>
      </c>
      <c r="D4129" s="46" t="str">
        <f>IF(Tabla1[[#This Row],[EDAD]]&lt;=35,"Adultos jóvenes 18 - 35 años",IF(C4129&gt;=36,"Adultos mayores 36 años en adelante"))</f>
        <v>Adultos mayores 36 años en adelante</v>
      </c>
      <c r="E4129" s="3" t="s">
        <v>5023</v>
      </c>
      <c r="F4129" s="3" t="s">
        <v>5028</v>
      </c>
      <c r="G4129" s="3" t="s">
        <v>5034</v>
      </c>
      <c r="H4129" s="3" t="s">
        <v>7719</v>
      </c>
      <c r="I4129" s="17">
        <v>45363</v>
      </c>
      <c r="J4129" s="18">
        <f>YEAR(Tabla1[[#This Row],[FECHA DE COMPRA]])</f>
        <v>2024</v>
      </c>
      <c r="K4129" s="19">
        <v>51.2</v>
      </c>
      <c r="L4129" s="20">
        <v>0.2</v>
      </c>
      <c r="M4129" s="19">
        <f>Tienda!$K2026-Tienda!$K2026*Tienda!$L2026</f>
        <v>77.86</v>
      </c>
      <c r="N4129" s="3" t="s">
        <v>10038</v>
      </c>
      <c r="O4129" s="3" t="s">
        <v>10041</v>
      </c>
      <c r="P4129" s="17">
        <v>45363</v>
      </c>
      <c r="Q4129" s="4">
        <v>0</v>
      </c>
    </row>
    <row r="4130" spans="1:17" ht="30" x14ac:dyDescent="0.25">
      <c r="A4130" s="2" t="s">
        <v>877</v>
      </c>
      <c r="B4130" s="3" t="s">
        <v>5015</v>
      </c>
      <c r="C4130" s="3">
        <v>63</v>
      </c>
      <c r="D4130" s="46" t="str">
        <f>IF(Tabla1[[#This Row],[EDAD]]&lt;=35,"Adultos jóvenes 18 - 35 años",IF(C4130&gt;=36,"Adultos mayores 36 años en adelante"))</f>
        <v>Adultos mayores 36 años en adelante</v>
      </c>
      <c r="E4130" s="3" t="s">
        <v>5020</v>
      </c>
      <c r="F4130" s="3" t="s">
        <v>5030</v>
      </c>
      <c r="G4130" s="3" t="s">
        <v>5034</v>
      </c>
      <c r="H4130" s="3" t="s">
        <v>5900</v>
      </c>
      <c r="I4130" s="17">
        <v>45339</v>
      </c>
      <c r="J4130" s="18">
        <f>YEAR(Tabla1[[#This Row],[FECHA DE COMPRA]])</f>
        <v>2024</v>
      </c>
      <c r="K4130" s="19">
        <v>52.41</v>
      </c>
      <c r="L4130" s="20">
        <v>0.2</v>
      </c>
      <c r="M4130" s="19">
        <f>Tienda!$K2033-Tienda!$K2033*Tienda!$L2033</f>
        <v>119.352</v>
      </c>
      <c r="N4130" s="3" t="s">
        <v>10038</v>
      </c>
      <c r="O4130" s="3" t="s">
        <v>10042</v>
      </c>
      <c r="P4130" s="17">
        <v>45699</v>
      </c>
      <c r="Q4130" s="4">
        <v>3</v>
      </c>
    </row>
    <row r="4131" spans="1:17" ht="30" x14ac:dyDescent="0.25">
      <c r="A4131" s="2" t="s">
        <v>2002</v>
      </c>
      <c r="B4131" s="3" t="s">
        <v>5016</v>
      </c>
      <c r="C4131" s="3">
        <v>51</v>
      </c>
      <c r="D4131" s="46" t="str">
        <f>IF(Tabla1[[#This Row],[EDAD]]&lt;=35,"Adultos jóvenes 18 - 35 años",IF(C4131&gt;=36,"Adultos mayores 36 años en adelante"))</f>
        <v>Adultos mayores 36 años en adelante</v>
      </c>
      <c r="E4131" s="3" t="s">
        <v>5017</v>
      </c>
      <c r="F4131" s="3" t="s">
        <v>5030</v>
      </c>
      <c r="G4131" s="3" t="s">
        <v>5034</v>
      </c>
      <c r="H4131" s="3" t="s">
        <v>7025</v>
      </c>
      <c r="I4131" s="17">
        <v>45582</v>
      </c>
      <c r="J4131" s="18">
        <f>YEAR(Tabla1[[#This Row],[FECHA DE COMPRA]])</f>
        <v>2024</v>
      </c>
      <c r="K4131" s="19">
        <v>52.85</v>
      </c>
      <c r="L4131" s="20">
        <v>0.2</v>
      </c>
      <c r="M4131" s="19">
        <f>Tienda!$K2036-Tienda!$K2036*Tienda!$L2036</f>
        <v>115.768</v>
      </c>
      <c r="N4131" s="3" t="s">
        <v>10038</v>
      </c>
      <c r="O4131" s="3" t="s">
        <v>10042</v>
      </c>
      <c r="P4131" s="17">
        <v>45582</v>
      </c>
      <c r="Q4131" s="4">
        <v>3</v>
      </c>
    </row>
    <row r="4132" spans="1:17" ht="30" x14ac:dyDescent="0.25">
      <c r="A4132" s="2" t="s">
        <v>1032</v>
      </c>
      <c r="B4132" s="3" t="s">
        <v>5016</v>
      </c>
      <c r="C4132" s="3">
        <v>50</v>
      </c>
      <c r="D4132" s="46" t="str">
        <f>IF(Tabla1[[#This Row],[EDAD]]&lt;=35,"Adultos jóvenes 18 - 35 años",IF(C4132&gt;=36,"Adultos mayores 36 años en adelante"))</f>
        <v>Adultos mayores 36 años en adelante</v>
      </c>
      <c r="E4132" s="3" t="s">
        <v>5021</v>
      </c>
      <c r="F4132" s="3" t="s">
        <v>5029</v>
      </c>
      <c r="G4132" s="3" t="s">
        <v>5034</v>
      </c>
      <c r="H4132" s="3" t="s">
        <v>6055</v>
      </c>
      <c r="I4132" s="17">
        <v>45525</v>
      </c>
      <c r="J4132" s="18">
        <f>YEAR(Tabla1[[#This Row],[FECHA DE COMPRA]])</f>
        <v>2024</v>
      </c>
      <c r="K4132" s="19">
        <v>47.07</v>
      </c>
      <c r="L4132" s="20">
        <v>0.1</v>
      </c>
      <c r="M4132" s="19">
        <f>Tienda!$K2037-Tienda!$K2037*Tienda!$L2037</f>
        <v>87.695999999999998</v>
      </c>
      <c r="N4132" s="3" t="s">
        <v>10038</v>
      </c>
      <c r="O4132" s="3" t="s">
        <v>10042</v>
      </c>
      <c r="P4132" s="17">
        <v>45525</v>
      </c>
      <c r="Q4132" s="4">
        <v>3</v>
      </c>
    </row>
    <row r="4133" spans="1:17" ht="30" x14ac:dyDescent="0.25">
      <c r="A4133" s="2" t="s">
        <v>2424</v>
      </c>
      <c r="B4133" s="3" t="s">
        <v>5015</v>
      </c>
      <c r="C4133" s="3">
        <v>44</v>
      </c>
      <c r="D4133" s="46" t="str">
        <f>IF(Tabla1[[#This Row],[EDAD]]&lt;=35,"Adultos jóvenes 18 - 35 años",IF(C4133&gt;=36,"Adultos mayores 36 años en adelante"))</f>
        <v>Adultos mayores 36 años en adelante</v>
      </c>
      <c r="E4133" s="3" t="s">
        <v>5017</v>
      </c>
      <c r="F4133" s="3" t="s">
        <v>5024</v>
      </c>
      <c r="G4133" s="3" t="s">
        <v>5035</v>
      </c>
      <c r="H4133" s="3" t="s">
        <v>7447</v>
      </c>
      <c r="I4133" s="17">
        <v>45335</v>
      </c>
      <c r="J4133" s="18">
        <f>YEAR(Tabla1[[#This Row],[FECHA DE COMPRA]])</f>
        <v>2024</v>
      </c>
      <c r="K4133" s="19">
        <v>61.16</v>
      </c>
      <c r="L4133" s="20">
        <v>0.3</v>
      </c>
      <c r="M4133" s="19">
        <f>Tienda!$K2041-Tienda!$K2041*Tienda!$L2041</f>
        <v>102.68800000000002</v>
      </c>
      <c r="N4133" s="3" t="s">
        <v>10038</v>
      </c>
      <c r="O4133" s="3" t="s">
        <v>10042</v>
      </c>
      <c r="P4133" s="17">
        <v>45335</v>
      </c>
      <c r="Q4133" s="4">
        <v>3</v>
      </c>
    </row>
    <row r="4134" spans="1:17" ht="30" x14ac:dyDescent="0.25">
      <c r="A4134" s="2" t="s">
        <v>61</v>
      </c>
      <c r="B4134" s="3" t="s">
        <v>5015</v>
      </c>
      <c r="C4134" s="3">
        <v>47</v>
      </c>
      <c r="D4134" s="46" t="str">
        <f>IF(Tabla1[[#This Row],[EDAD]]&lt;=35,"Adultos jóvenes 18 - 35 años",IF(C4134&gt;=36,"Adultos mayores 36 años en adelante"))</f>
        <v>Adultos mayores 36 años en adelante</v>
      </c>
      <c r="E4134" s="3" t="s">
        <v>5018</v>
      </c>
      <c r="F4134" s="3" t="s">
        <v>5024</v>
      </c>
      <c r="G4134" s="3" t="s">
        <v>5034</v>
      </c>
      <c r="H4134" s="3" t="s">
        <v>5084</v>
      </c>
      <c r="I4134" s="17">
        <v>45399</v>
      </c>
      <c r="J4134" s="18">
        <f>YEAR(Tabla1[[#This Row],[FECHA DE COMPRA]])</f>
        <v>2024</v>
      </c>
      <c r="K4134" s="19">
        <v>43.46</v>
      </c>
      <c r="L4134" s="20">
        <v>0</v>
      </c>
      <c r="M4134" s="19">
        <f>Tienda!$K2044-Tienda!$K2044*Tienda!$L2044</f>
        <v>18.035999999999998</v>
      </c>
      <c r="N4134" s="3" t="s">
        <v>10038</v>
      </c>
      <c r="O4134" s="3" t="s">
        <v>10042</v>
      </c>
      <c r="P4134" s="17">
        <v>45579</v>
      </c>
      <c r="Q4134" s="4">
        <v>3</v>
      </c>
    </row>
    <row r="4135" spans="1:17" ht="30" x14ac:dyDescent="0.25">
      <c r="A4135" s="2" t="s">
        <v>2393</v>
      </c>
      <c r="B4135" s="3" t="s">
        <v>5015</v>
      </c>
      <c r="C4135" s="3">
        <v>47</v>
      </c>
      <c r="D4135" s="46" t="str">
        <f>IF(Tabla1[[#This Row],[EDAD]]&lt;=35,"Adultos jóvenes 18 - 35 años",IF(C4135&gt;=36,"Adultos mayores 36 años en adelante"))</f>
        <v>Adultos mayores 36 años en adelante</v>
      </c>
      <c r="E4135" s="3" t="s">
        <v>5022</v>
      </c>
      <c r="F4135" s="3" t="s">
        <v>5028</v>
      </c>
      <c r="G4135" s="3" t="s">
        <v>5031</v>
      </c>
      <c r="H4135" s="3" t="s">
        <v>7416</v>
      </c>
      <c r="I4135" s="17">
        <v>45319</v>
      </c>
      <c r="J4135" s="18">
        <f>YEAR(Tabla1[[#This Row],[FECHA DE COMPRA]])</f>
        <v>2024</v>
      </c>
      <c r="K4135" s="19">
        <v>48.31</v>
      </c>
      <c r="L4135" s="20">
        <v>0.1</v>
      </c>
      <c r="M4135" s="19">
        <f>Tienda!$K2045-Tienda!$K2045*Tienda!$L2045</f>
        <v>34.475000000000001</v>
      </c>
      <c r="N4135" s="3" t="s">
        <v>10038</v>
      </c>
      <c r="O4135" s="3" t="s">
        <v>10042</v>
      </c>
      <c r="P4135" s="17">
        <v>45409</v>
      </c>
      <c r="Q4135" s="4">
        <v>3</v>
      </c>
    </row>
    <row r="4136" spans="1:17" ht="30" x14ac:dyDescent="0.25">
      <c r="A4136" s="2" t="s">
        <v>1116</v>
      </c>
      <c r="B4136" s="3" t="s">
        <v>5015</v>
      </c>
      <c r="C4136" s="3">
        <v>63</v>
      </c>
      <c r="D4136" s="46" t="str">
        <f>IF(Tabla1[[#This Row],[EDAD]]&lt;=35,"Adultos jóvenes 18 - 35 años",IF(C4136&gt;=36,"Adultos mayores 36 años en adelante"))</f>
        <v>Adultos mayores 36 años en adelante</v>
      </c>
      <c r="E4136" s="3" t="s">
        <v>5021</v>
      </c>
      <c r="F4136" s="3" t="s">
        <v>5026</v>
      </c>
      <c r="G4136" s="3" t="s">
        <v>5031</v>
      </c>
      <c r="H4136" s="3" t="s">
        <v>6139</v>
      </c>
      <c r="I4136" s="17">
        <v>45512</v>
      </c>
      <c r="J4136" s="18">
        <f>YEAR(Tabla1[[#This Row],[FECHA DE COMPRA]])</f>
        <v>2024</v>
      </c>
      <c r="K4136" s="19">
        <v>62.66</v>
      </c>
      <c r="L4136" s="20">
        <v>0.3</v>
      </c>
      <c r="M4136" s="19">
        <f>Tienda!$K2047-Tienda!$K2047*Tienda!$L2047</f>
        <v>19.288</v>
      </c>
      <c r="N4136" s="3" t="s">
        <v>10038</v>
      </c>
      <c r="O4136" s="3" t="s">
        <v>10042</v>
      </c>
      <c r="P4136" s="17">
        <v>45692</v>
      </c>
      <c r="Q4136" s="4">
        <v>3</v>
      </c>
    </row>
    <row r="4137" spans="1:17" ht="30" x14ac:dyDescent="0.25">
      <c r="A4137" s="2" t="s">
        <v>4412</v>
      </c>
      <c r="B4137" s="3" t="s">
        <v>5015</v>
      </c>
      <c r="C4137" s="3">
        <v>46</v>
      </c>
      <c r="D4137" s="46" t="str">
        <f>IF(Tabla1[[#This Row],[EDAD]]&lt;=35,"Adultos jóvenes 18 - 35 años",IF(C4137&gt;=36,"Adultos mayores 36 años en adelante"))</f>
        <v>Adultos mayores 36 años en adelante</v>
      </c>
      <c r="E4137" s="3" t="s">
        <v>5021</v>
      </c>
      <c r="F4137" s="3" t="s">
        <v>5027</v>
      </c>
      <c r="G4137" s="3" t="s">
        <v>5032</v>
      </c>
      <c r="H4137" s="3" t="s">
        <v>9435</v>
      </c>
      <c r="I4137" s="17">
        <v>45578</v>
      </c>
      <c r="J4137" s="18">
        <f>YEAR(Tabla1[[#This Row],[FECHA DE COMPRA]])</f>
        <v>2024</v>
      </c>
      <c r="K4137" s="19">
        <v>48.96</v>
      </c>
      <c r="L4137" s="20">
        <v>0.1</v>
      </c>
      <c r="M4137" s="19">
        <f>Tienda!$K2048-Tienda!$K2048*Tienda!$L2048</f>
        <v>87.44</v>
      </c>
      <c r="N4137" s="3" t="s">
        <v>10038</v>
      </c>
      <c r="O4137" s="3" t="s">
        <v>10042</v>
      </c>
      <c r="P4137" s="17">
        <v>45578</v>
      </c>
      <c r="Q4137" s="4">
        <v>3</v>
      </c>
    </row>
    <row r="4138" spans="1:17" ht="30" x14ac:dyDescent="0.25">
      <c r="A4138" s="2" t="s">
        <v>3101</v>
      </c>
      <c r="B4138" s="3" t="s">
        <v>5016</v>
      </c>
      <c r="C4138" s="3">
        <v>52</v>
      </c>
      <c r="D4138" s="46" t="str">
        <f>IF(Tabla1[[#This Row],[EDAD]]&lt;=35,"Adultos jóvenes 18 - 35 años",IF(C4138&gt;=36,"Adultos mayores 36 años en adelante"))</f>
        <v>Adultos mayores 36 años en adelante</v>
      </c>
      <c r="E4138" s="3" t="s">
        <v>5019</v>
      </c>
      <c r="F4138" s="3" t="s">
        <v>5027</v>
      </c>
      <c r="G4138" s="3" t="s">
        <v>5036</v>
      </c>
      <c r="H4138" s="3" t="s">
        <v>8124</v>
      </c>
      <c r="I4138" s="17">
        <v>45552</v>
      </c>
      <c r="J4138" s="18">
        <f>YEAR(Tabla1[[#This Row],[FECHA DE COMPRA]])</f>
        <v>2024</v>
      </c>
      <c r="K4138" s="19">
        <v>63.02</v>
      </c>
      <c r="L4138" s="20">
        <v>0.3</v>
      </c>
      <c r="M4138" s="19">
        <f>Tienda!$K2050-Tienda!$K2050*Tienda!$L2050</f>
        <v>66.430000000000007</v>
      </c>
      <c r="N4138" s="3" t="s">
        <v>10038</v>
      </c>
      <c r="O4138" s="3" t="s">
        <v>10042</v>
      </c>
      <c r="P4138" s="17">
        <v>45732</v>
      </c>
      <c r="Q4138" s="4">
        <v>3</v>
      </c>
    </row>
    <row r="4139" spans="1:17" ht="30" x14ac:dyDescent="0.25">
      <c r="A4139" s="2" t="s">
        <v>4639</v>
      </c>
      <c r="B4139" s="3" t="s">
        <v>5015</v>
      </c>
      <c r="C4139" s="3">
        <v>46</v>
      </c>
      <c r="D4139" s="46" t="str">
        <f>IF(Tabla1[[#This Row],[EDAD]]&lt;=35,"Adultos jóvenes 18 - 35 años",IF(C4139&gt;=36,"Adultos mayores 36 años en adelante"))</f>
        <v>Adultos mayores 36 años en adelante</v>
      </c>
      <c r="E4139" s="3" t="s">
        <v>5018</v>
      </c>
      <c r="F4139" s="3" t="s">
        <v>5024</v>
      </c>
      <c r="G4139" s="3" t="s">
        <v>5036</v>
      </c>
      <c r="H4139" s="3" t="s">
        <v>9662</v>
      </c>
      <c r="I4139" s="17">
        <v>45373</v>
      </c>
      <c r="J4139" s="18">
        <f>YEAR(Tabla1[[#This Row],[FECHA DE COMPRA]])</f>
        <v>2024</v>
      </c>
      <c r="K4139" s="19">
        <v>49.15</v>
      </c>
      <c r="L4139" s="20">
        <v>0.1</v>
      </c>
      <c r="M4139" s="19">
        <f>Tienda!$K2051-Tienda!$K2051*Tienda!$L2051</f>
        <v>117.93599999999999</v>
      </c>
      <c r="N4139" s="3" t="s">
        <v>10038</v>
      </c>
      <c r="O4139" s="3" t="s">
        <v>10042</v>
      </c>
      <c r="P4139" s="17">
        <v>45373</v>
      </c>
      <c r="Q4139" s="4">
        <v>3</v>
      </c>
    </row>
    <row r="4140" spans="1:17" ht="30" x14ac:dyDescent="0.25">
      <c r="A4140" s="2" t="s">
        <v>4353</v>
      </c>
      <c r="B4140" s="3" t="s">
        <v>5015</v>
      </c>
      <c r="C4140" s="3">
        <v>58</v>
      </c>
      <c r="D4140" s="46" t="str">
        <f>IF(Tabla1[[#This Row],[EDAD]]&lt;=35,"Adultos jóvenes 18 - 35 años",IF(C4140&gt;=36,"Adultos mayores 36 años en adelante"))</f>
        <v>Adultos mayores 36 años en adelante</v>
      </c>
      <c r="E4140" s="3" t="s">
        <v>5018</v>
      </c>
      <c r="F4140" s="3" t="s">
        <v>5025</v>
      </c>
      <c r="G4140" s="3" t="s">
        <v>5031</v>
      </c>
      <c r="H4140" s="3" t="s">
        <v>9376</v>
      </c>
      <c r="I4140" s="17">
        <v>45551</v>
      </c>
      <c r="J4140" s="18">
        <f>YEAR(Tabla1[[#This Row],[FECHA DE COMPRA]])</f>
        <v>2024</v>
      </c>
      <c r="K4140" s="19">
        <v>44.31</v>
      </c>
      <c r="L4140" s="20">
        <v>0</v>
      </c>
      <c r="M4140" s="19">
        <f>Tienda!$K2052-Tienda!$K2052*Tienda!$L2052</f>
        <v>113.50399999999999</v>
      </c>
      <c r="N4140" s="3" t="s">
        <v>10038</v>
      </c>
      <c r="O4140" s="3" t="s">
        <v>10042</v>
      </c>
      <c r="P4140" s="17">
        <v>45551</v>
      </c>
      <c r="Q4140" s="4">
        <v>3</v>
      </c>
    </row>
    <row r="4141" spans="1:17" ht="30" x14ac:dyDescent="0.25">
      <c r="A4141" s="2" t="s">
        <v>4893</v>
      </c>
      <c r="B4141" s="3" t="s">
        <v>5015</v>
      </c>
      <c r="C4141" s="3">
        <v>50</v>
      </c>
      <c r="D4141" s="46" t="str">
        <f>IF(Tabla1[[#This Row],[EDAD]]&lt;=35,"Adultos jóvenes 18 - 35 años",IF(C4141&gt;=36,"Adultos mayores 36 años en adelante"))</f>
        <v>Adultos mayores 36 años en adelante</v>
      </c>
      <c r="E4141" s="3" t="s">
        <v>5020</v>
      </c>
      <c r="F4141" s="3" t="s">
        <v>5028</v>
      </c>
      <c r="G4141" s="3" t="s">
        <v>5035</v>
      </c>
      <c r="H4141" s="3" t="s">
        <v>9916</v>
      </c>
      <c r="I4141" s="17">
        <v>45392</v>
      </c>
      <c r="J4141" s="18">
        <f>YEAR(Tabla1[[#This Row],[FECHA DE COMPRA]])</f>
        <v>2024</v>
      </c>
      <c r="K4141" s="19">
        <v>55.52</v>
      </c>
      <c r="L4141" s="20">
        <v>0.2</v>
      </c>
      <c r="M4141" s="19">
        <f>Tienda!$K2053-Tienda!$K2053*Tienda!$L2053</f>
        <v>121.008</v>
      </c>
      <c r="N4141" s="3" t="s">
        <v>10038</v>
      </c>
      <c r="O4141" s="3" t="s">
        <v>10042</v>
      </c>
      <c r="P4141" s="17">
        <v>45392</v>
      </c>
      <c r="Q4141" s="4">
        <v>3</v>
      </c>
    </row>
    <row r="4142" spans="1:17" ht="30" x14ac:dyDescent="0.25">
      <c r="A4142" s="2" t="s">
        <v>4358</v>
      </c>
      <c r="B4142" s="3" t="s">
        <v>5015</v>
      </c>
      <c r="C4142" s="3">
        <v>61</v>
      </c>
      <c r="D4142" s="46" t="str">
        <f>IF(Tabla1[[#This Row],[EDAD]]&lt;=35,"Adultos jóvenes 18 - 35 años",IF(C4142&gt;=36,"Adultos mayores 36 años en adelante"))</f>
        <v>Adultos mayores 36 años en adelante</v>
      </c>
      <c r="E4142" s="3" t="s">
        <v>5022</v>
      </c>
      <c r="F4142" s="3" t="s">
        <v>5028</v>
      </c>
      <c r="G4142" s="3" t="s">
        <v>5032</v>
      </c>
      <c r="H4142" s="3" t="s">
        <v>9381</v>
      </c>
      <c r="I4142" s="17">
        <v>45515</v>
      </c>
      <c r="J4142" s="18">
        <f>YEAR(Tabla1[[#This Row],[FECHA DE COMPRA]])</f>
        <v>2024</v>
      </c>
      <c r="K4142" s="19">
        <v>44.62</v>
      </c>
      <c r="L4142" s="20">
        <v>0</v>
      </c>
      <c r="M4142" s="19">
        <f>Tienda!$K2056-Tienda!$K2056*Tienda!$L2056</f>
        <v>80.945999999999998</v>
      </c>
      <c r="N4142" s="3" t="s">
        <v>10038</v>
      </c>
      <c r="O4142" s="3" t="s">
        <v>10042</v>
      </c>
      <c r="P4142" s="17">
        <v>45875</v>
      </c>
      <c r="Q4142" s="4">
        <v>3</v>
      </c>
    </row>
    <row r="4143" spans="1:17" ht="30" x14ac:dyDescent="0.25">
      <c r="A4143" s="2" t="s">
        <v>1390</v>
      </c>
      <c r="B4143" s="3" t="s">
        <v>5016</v>
      </c>
      <c r="C4143" s="3">
        <v>39</v>
      </c>
      <c r="D4143" s="46" t="str">
        <f>IF(Tabla1[[#This Row],[EDAD]]&lt;=35,"Adultos jóvenes 18 - 35 años",IF(C4143&gt;=36,"Adultos mayores 36 años en adelante"))</f>
        <v>Adultos mayores 36 años en adelante</v>
      </c>
      <c r="E4143" s="3" t="s">
        <v>5019</v>
      </c>
      <c r="F4143" s="3" t="s">
        <v>5030</v>
      </c>
      <c r="G4143" s="3" t="s">
        <v>5034</v>
      </c>
      <c r="H4143" s="3" t="s">
        <v>6413</v>
      </c>
      <c r="I4143" s="17">
        <v>45404</v>
      </c>
      <c r="J4143" s="18">
        <f>YEAR(Tabla1[[#This Row],[FECHA DE COMPRA]])</f>
        <v>2024</v>
      </c>
      <c r="K4143" s="19">
        <v>50.04</v>
      </c>
      <c r="L4143" s="20">
        <v>0.1</v>
      </c>
      <c r="M4143" s="19">
        <f>Tienda!$K2058-Tienda!$K2058*Tienda!$L2058</f>
        <v>94.227000000000004</v>
      </c>
      <c r="N4143" s="3" t="s">
        <v>10038</v>
      </c>
      <c r="O4143" s="3" t="s">
        <v>10042</v>
      </c>
      <c r="P4143" s="17">
        <v>45404</v>
      </c>
      <c r="Q4143" s="4">
        <v>3</v>
      </c>
    </row>
    <row r="4144" spans="1:17" ht="30" x14ac:dyDescent="0.25">
      <c r="A4144" s="2" t="s">
        <v>651</v>
      </c>
      <c r="B4144" s="3" t="s">
        <v>5015</v>
      </c>
      <c r="C4144" s="3">
        <v>57</v>
      </c>
      <c r="D4144" s="46" t="str">
        <f>IF(Tabla1[[#This Row],[EDAD]]&lt;=35,"Adultos jóvenes 18 - 35 años",IF(C4144&gt;=36,"Adultos mayores 36 años en adelante"))</f>
        <v>Adultos mayores 36 años en adelante</v>
      </c>
      <c r="E4144" s="3" t="s">
        <v>5020</v>
      </c>
      <c r="F4144" s="3" t="s">
        <v>5024</v>
      </c>
      <c r="G4144" s="3" t="s">
        <v>5036</v>
      </c>
      <c r="H4144" s="3" t="s">
        <v>5674</v>
      </c>
      <c r="I4144" s="17">
        <v>45443</v>
      </c>
      <c r="J4144" s="18">
        <f>YEAR(Tabla1[[#This Row],[FECHA DE COMPRA]])</f>
        <v>2024</v>
      </c>
      <c r="K4144" s="19">
        <v>64.849999999999994</v>
      </c>
      <c r="L4144" s="20">
        <v>0.3</v>
      </c>
      <c r="M4144" s="19">
        <f>Tienda!$K2060-Tienda!$K2060*Tienda!$L2060</f>
        <v>127.477</v>
      </c>
      <c r="N4144" s="3" t="s">
        <v>10038</v>
      </c>
      <c r="O4144" s="3" t="s">
        <v>10042</v>
      </c>
      <c r="P4144" s="17">
        <v>45443</v>
      </c>
      <c r="Q4144" s="4">
        <v>3</v>
      </c>
    </row>
    <row r="4145" spans="1:17" ht="30" x14ac:dyDescent="0.25">
      <c r="A4145" s="2" t="s">
        <v>3122</v>
      </c>
      <c r="B4145" s="3" t="s">
        <v>5015</v>
      </c>
      <c r="C4145" s="3">
        <v>43</v>
      </c>
      <c r="D4145" s="46" t="str">
        <f>IF(Tabla1[[#This Row],[EDAD]]&lt;=35,"Adultos jóvenes 18 - 35 años",IF(C4145&gt;=36,"Adultos mayores 36 años en adelante"))</f>
        <v>Adultos mayores 36 años en adelante</v>
      </c>
      <c r="E4145" s="3" t="s">
        <v>5022</v>
      </c>
      <c r="F4145" s="3" t="s">
        <v>5024</v>
      </c>
      <c r="G4145" s="3" t="s">
        <v>5036</v>
      </c>
      <c r="H4145" s="3" t="s">
        <v>8145</v>
      </c>
      <c r="I4145" s="17">
        <v>45310</v>
      </c>
      <c r="J4145" s="18">
        <f>YEAR(Tabla1[[#This Row],[FECHA DE COMPRA]])</f>
        <v>2024</v>
      </c>
      <c r="K4145" s="19">
        <v>65.010000000000005</v>
      </c>
      <c r="L4145" s="20">
        <v>0.3</v>
      </c>
      <c r="M4145" s="19">
        <f>Tienda!$K2062-Tienda!$K2062*Tienda!$L2062</f>
        <v>119.05</v>
      </c>
      <c r="N4145" s="3" t="s">
        <v>10038</v>
      </c>
      <c r="O4145" s="3" t="s">
        <v>10042</v>
      </c>
      <c r="P4145" s="17">
        <v>45310</v>
      </c>
      <c r="Q4145" s="4">
        <v>3</v>
      </c>
    </row>
    <row r="4146" spans="1:17" ht="30" x14ac:dyDescent="0.25">
      <c r="A4146" s="2" t="s">
        <v>288</v>
      </c>
      <c r="B4146" s="3" t="s">
        <v>5016</v>
      </c>
      <c r="C4146" s="3">
        <v>63</v>
      </c>
      <c r="D4146" s="46" t="str">
        <f>IF(Tabla1[[#This Row],[EDAD]]&lt;=35,"Adultos jóvenes 18 - 35 años",IF(C4146&gt;=36,"Adultos mayores 36 años en adelante"))</f>
        <v>Adultos mayores 36 años en adelante</v>
      </c>
      <c r="E4146" s="3" t="s">
        <v>5017</v>
      </c>
      <c r="F4146" s="3" t="s">
        <v>5028</v>
      </c>
      <c r="G4146" s="3" t="s">
        <v>5034</v>
      </c>
      <c r="H4146" s="3" t="s">
        <v>5311</v>
      </c>
      <c r="I4146" s="17">
        <v>45572</v>
      </c>
      <c r="J4146" s="18">
        <f>YEAR(Tabla1[[#This Row],[FECHA DE COMPRA]])</f>
        <v>2024</v>
      </c>
      <c r="K4146" s="19">
        <v>65.17</v>
      </c>
      <c r="L4146" s="20">
        <v>0.3</v>
      </c>
      <c r="M4146" s="19">
        <f>Tienda!$K2063-Tienda!$K2063*Tienda!$L2063</f>
        <v>38.695999999999998</v>
      </c>
      <c r="N4146" s="3" t="s">
        <v>10038</v>
      </c>
      <c r="O4146" s="3" t="s">
        <v>10042</v>
      </c>
      <c r="P4146" s="17">
        <v>45572</v>
      </c>
      <c r="Q4146" s="4">
        <v>3</v>
      </c>
    </row>
    <row r="4147" spans="1:17" ht="30" x14ac:dyDescent="0.25">
      <c r="A4147" s="2" t="s">
        <v>2417</v>
      </c>
      <c r="B4147" s="3" t="s">
        <v>5015</v>
      </c>
      <c r="C4147" s="3">
        <v>56</v>
      </c>
      <c r="D4147" s="46" t="str">
        <f>IF(Tabla1[[#This Row],[EDAD]]&lt;=35,"Adultos jóvenes 18 - 35 años",IF(C4147&gt;=36,"Adultos mayores 36 años en adelante"))</f>
        <v>Adultos mayores 36 años en adelante</v>
      </c>
      <c r="E4147" s="3" t="s">
        <v>5021</v>
      </c>
      <c r="F4147" s="3" t="s">
        <v>5024</v>
      </c>
      <c r="G4147" s="3" t="s">
        <v>5035</v>
      </c>
      <c r="H4147" s="3" t="s">
        <v>7440</v>
      </c>
      <c r="I4147" s="17">
        <v>45360</v>
      </c>
      <c r="J4147" s="18">
        <f>YEAR(Tabla1[[#This Row],[FECHA DE COMPRA]])</f>
        <v>2024</v>
      </c>
      <c r="K4147" s="19">
        <v>65.42</v>
      </c>
      <c r="L4147" s="20">
        <v>0.3</v>
      </c>
      <c r="M4147" s="19">
        <f>Tienda!$K2068-Tienda!$K2068*Tienda!$L2068</f>
        <v>64.266999999999996</v>
      </c>
      <c r="N4147" s="3" t="s">
        <v>10038</v>
      </c>
      <c r="O4147" s="3" t="s">
        <v>10042</v>
      </c>
      <c r="P4147" s="17">
        <v>45720</v>
      </c>
      <c r="Q4147" s="4">
        <v>3</v>
      </c>
    </row>
    <row r="4148" spans="1:17" ht="30" x14ac:dyDescent="0.25">
      <c r="A4148" s="2" t="s">
        <v>4242</v>
      </c>
      <c r="B4148" s="3" t="s">
        <v>5016</v>
      </c>
      <c r="C4148" s="3">
        <v>60</v>
      </c>
      <c r="D4148" s="46" t="str">
        <f>IF(Tabla1[[#This Row],[EDAD]]&lt;=35,"Adultos jóvenes 18 - 35 años",IF(C4148&gt;=36,"Adultos mayores 36 años en adelante"))</f>
        <v>Adultos mayores 36 años en adelante</v>
      </c>
      <c r="E4148" s="3" t="s">
        <v>5023</v>
      </c>
      <c r="F4148" s="3" t="s">
        <v>5026</v>
      </c>
      <c r="G4148" s="3" t="s">
        <v>5033</v>
      </c>
      <c r="H4148" s="3" t="s">
        <v>9265</v>
      </c>
      <c r="I4148" s="17">
        <v>45620</v>
      </c>
      <c r="J4148" s="18">
        <f>YEAR(Tabla1[[#This Row],[FECHA DE COMPRA]])</f>
        <v>2024</v>
      </c>
      <c r="K4148" s="19">
        <v>46.22</v>
      </c>
      <c r="L4148" s="20">
        <v>0</v>
      </c>
      <c r="M4148" s="19">
        <f>Tienda!$K2070-Tienda!$K2070*Tienda!$L2070</f>
        <v>70.602000000000004</v>
      </c>
      <c r="N4148" s="3" t="s">
        <v>10038</v>
      </c>
      <c r="O4148" s="3" t="s">
        <v>10042</v>
      </c>
      <c r="P4148" s="17">
        <v>45710</v>
      </c>
      <c r="Q4148" s="4">
        <v>3</v>
      </c>
    </row>
    <row r="4149" spans="1:17" ht="30" x14ac:dyDescent="0.25">
      <c r="A4149" s="2" t="s">
        <v>765</v>
      </c>
      <c r="B4149" s="3" t="s">
        <v>5015</v>
      </c>
      <c r="C4149" s="3">
        <v>63</v>
      </c>
      <c r="D4149" s="46" t="str">
        <f>IF(Tabla1[[#This Row],[EDAD]]&lt;=35,"Adultos jóvenes 18 - 35 años",IF(C4149&gt;=36,"Adultos mayores 36 años en adelante"))</f>
        <v>Adultos mayores 36 años en adelante</v>
      </c>
      <c r="E4149" s="3" t="s">
        <v>5022</v>
      </c>
      <c r="F4149" s="3" t="s">
        <v>5029</v>
      </c>
      <c r="G4149" s="3" t="s">
        <v>5033</v>
      </c>
      <c r="H4149" s="3" t="s">
        <v>5788</v>
      </c>
      <c r="I4149" s="17">
        <v>45330</v>
      </c>
      <c r="J4149" s="18">
        <f>YEAR(Tabla1[[#This Row],[FECHA DE COMPRA]])</f>
        <v>2024</v>
      </c>
      <c r="K4149" s="19">
        <v>51.85</v>
      </c>
      <c r="L4149" s="20">
        <v>0.1</v>
      </c>
      <c r="M4149" s="19">
        <f>Tienda!$K2074-Tienda!$K2074*Tienda!$L2074</f>
        <v>8.3230000000000004</v>
      </c>
      <c r="N4149" s="3" t="s">
        <v>10038</v>
      </c>
      <c r="O4149" s="3" t="s">
        <v>10042</v>
      </c>
      <c r="P4149" s="17">
        <v>45690</v>
      </c>
      <c r="Q4149" s="4">
        <v>3</v>
      </c>
    </row>
    <row r="4150" spans="1:17" ht="30" x14ac:dyDescent="0.25">
      <c r="A4150" s="2" t="s">
        <v>4517</v>
      </c>
      <c r="B4150" s="3" t="s">
        <v>5015</v>
      </c>
      <c r="C4150" s="3">
        <v>58</v>
      </c>
      <c r="D4150" s="46" t="str">
        <f>IF(Tabla1[[#This Row],[EDAD]]&lt;=35,"Adultos jóvenes 18 - 35 años",IF(C4150&gt;=36,"Adultos mayores 36 años en adelante"))</f>
        <v>Adultos mayores 36 años en adelante</v>
      </c>
      <c r="E4150" s="3" t="s">
        <v>5021</v>
      </c>
      <c r="F4150" s="3" t="s">
        <v>5028</v>
      </c>
      <c r="G4150" s="3" t="s">
        <v>5032</v>
      </c>
      <c r="H4150" s="3" t="s">
        <v>9540</v>
      </c>
      <c r="I4150" s="17">
        <v>45460</v>
      </c>
      <c r="J4150" s="18">
        <f>YEAR(Tabla1[[#This Row],[FECHA DE COMPRA]])</f>
        <v>2024</v>
      </c>
      <c r="K4150" s="19">
        <v>47.02</v>
      </c>
      <c r="L4150" s="20">
        <v>0</v>
      </c>
      <c r="M4150" s="19">
        <f>Tienda!$K2077-Tienda!$K2077*Tienda!$L2077</f>
        <v>175.54</v>
      </c>
      <c r="N4150" s="3" t="s">
        <v>10038</v>
      </c>
      <c r="O4150" s="3" t="s">
        <v>10042</v>
      </c>
      <c r="P4150" s="17">
        <v>45730</v>
      </c>
      <c r="Q4150" s="4">
        <v>3</v>
      </c>
    </row>
    <row r="4151" spans="1:17" ht="30" x14ac:dyDescent="0.25">
      <c r="A4151" s="2" t="s">
        <v>1639</v>
      </c>
      <c r="B4151" s="3" t="s">
        <v>5015</v>
      </c>
      <c r="C4151" s="3">
        <v>49</v>
      </c>
      <c r="D4151" s="46" t="str">
        <f>IF(Tabla1[[#This Row],[EDAD]]&lt;=35,"Adultos jóvenes 18 - 35 años",IF(C4151&gt;=36,"Adultos mayores 36 años en adelante"))</f>
        <v>Adultos mayores 36 años en adelante</v>
      </c>
      <c r="E4151" s="3" t="s">
        <v>5020</v>
      </c>
      <c r="F4151" s="3" t="s">
        <v>5026</v>
      </c>
      <c r="G4151" s="3" t="s">
        <v>5037</v>
      </c>
      <c r="H4151" s="3" t="s">
        <v>6662</v>
      </c>
      <c r="I4151" s="17">
        <v>45315</v>
      </c>
      <c r="J4151" s="18">
        <f>YEAR(Tabla1[[#This Row],[FECHA DE COMPRA]])</f>
        <v>2024</v>
      </c>
      <c r="K4151" s="19">
        <v>67.510000000000005</v>
      </c>
      <c r="L4151" s="20">
        <v>0.3</v>
      </c>
      <c r="M4151" s="19">
        <f>Tienda!$K2080-Tienda!$K2080*Tienda!$L2080</f>
        <v>110.82</v>
      </c>
      <c r="N4151" s="3" t="s">
        <v>10038</v>
      </c>
      <c r="O4151" s="3" t="s">
        <v>10042</v>
      </c>
      <c r="P4151" s="17">
        <v>45315</v>
      </c>
      <c r="Q4151" s="4">
        <v>3</v>
      </c>
    </row>
    <row r="4152" spans="1:17" ht="30" x14ac:dyDescent="0.25">
      <c r="A4152" s="2" t="s">
        <v>2436</v>
      </c>
      <c r="B4152" s="3" t="s">
        <v>5015</v>
      </c>
      <c r="C4152" s="3">
        <v>45</v>
      </c>
      <c r="D4152" s="46" t="str">
        <f>IF(Tabla1[[#This Row],[EDAD]]&lt;=35,"Adultos jóvenes 18 - 35 años",IF(C4152&gt;=36,"Adultos mayores 36 años en adelante"))</f>
        <v>Adultos mayores 36 años en adelante</v>
      </c>
      <c r="E4152" s="3" t="s">
        <v>5023</v>
      </c>
      <c r="F4152" s="3" t="s">
        <v>5028</v>
      </c>
      <c r="G4152" s="3" t="s">
        <v>5036</v>
      </c>
      <c r="H4152" s="3" t="s">
        <v>7459</v>
      </c>
      <c r="I4152" s="17">
        <v>45409</v>
      </c>
      <c r="J4152" s="18">
        <f>YEAR(Tabla1[[#This Row],[FECHA DE COMPRA]])</f>
        <v>2024</v>
      </c>
      <c r="K4152" s="19">
        <v>61.2</v>
      </c>
      <c r="L4152" s="20">
        <v>0.2</v>
      </c>
      <c r="M4152" s="19">
        <f>Tienda!$K2089-Tienda!$K2089*Tienda!$L2089</f>
        <v>132.94999999999999</v>
      </c>
      <c r="N4152" s="3" t="s">
        <v>10038</v>
      </c>
      <c r="O4152" s="3" t="s">
        <v>10042</v>
      </c>
      <c r="P4152" s="17">
        <v>45589</v>
      </c>
      <c r="Q4152" s="4">
        <v>3</v>
      </c>
    </row>
    <row r="4153" spans="1:17" ht="30" x14ac:dyDescent="0.25">
      <c r="A4153" s="2" t="s">
        <v>453</v>
      </c>
      <c r="B4153" s="3" t="s">
        <v>5015</v>
      </c>
      <c r="C4153" s="3">
        <v>62</v>
      </c>
      <c r="D4153" s="46" t="str">
        <f>IF(Tabla1[[#This Row],[EDAD]]&lt;=35,"Adultos jóvenes 18 - 35 años",IF(C4153&gt;=36,"Adultos mayores 36 años en adelante"))</f>
        <v>Adultos mayores 36 años en adelante</v>
      </c>
      <c r="E4153" s="3" t="s">
        <v>5021</v>
      </c>
      <c r="F4153" s="3" t="s">
        <v>5029</v>
      </c>
      <c r="G4153" s="3" t="s">
        <v>5037</v>
      </c>
      <c r="H4153" s="3" t="s">
        <v>5476</v>
      </c>
      <c r="I4153" s="17">
        <v>45496</v>
      </c>
      <c r="J4153" s="18">
        <f>YEAR(Tabla1[[#This Row],[FECHA DE COMPRA]])</f>
        <v>2024</v>
      </c>
      <c r="K4153" s="19">
        <v>50.13</v>
      </c>
      <c r="L4153" s="20">
        <v>0</v>
      </c>
      <c r="M4153" s="19">
        <f>Tienda!$K2099-Tienda!$K2099*Tienda!$L2099</f>
        <v>24.67</v>
      </c>
      <c r="N4153" s="3" t="s">
        <v>10038</v>
      </c>
      <c r="O4153" s="3" t="s">
        <v>10042</v>
      </c>
      <c r="P4153" s="17">
        <v>45586</v>
      </c>
      <c r="Q4153" s="4">
        <v>3</v>
      </c>
    </row>
    <row r="4154" spans="1:17" ht="30" x14ac:dyDescent="0.25">
      <c r="A4154" s="2" t="s">
        <v>4798</v>
      </c>
      <c r="B4154" s="3" t="s">
        <v>5015</v>
      </c>
      <c r="C4154" s="3">
        <v>37</v>
      </c>
      <c r="D4154" s="46" t="str">
        <f>IF(Tabla1[[#This Row],[EDAD]]&lt;=35,"Adultos jóvenes 18 - 35 años",IF(C4154&gt;=36,"Adultos mayores 36 años en adelante"))</f>
        <v>Adultos mayores 36 años en adelante</v>
      </c>
      <c r="E4154" s="3" t="s">
        <v>5017</v>
      </c>
      <c r="F4154" s="3" t="s">
        <v>5024</v>
      </c>
      <c r="G4154" s="3" t="s">
        <v>5036</v>
      </c>
      <c r="H4154" s="3" t="s">
        <v>9821</v>
      </c>
      <c r="I4154" s="17">
        <v>45387</v>
      </c>
      <c r="J4154" s="18">
        <f>YEAR(Tabla1[[#This Row],[FECHA DE COMPRA]])</f>
        <v>2024</v>
      </c>
      <c r="K4154" s="19">
        <v>71.73</v>
      </c>
      <c r="L4154" s="20">
        <v>0.3</v>
      </c>
      <c r="M4154" s="19">
        <f>Tienda!$K2100-Tienda!$K2100*Tienda!$L2100</f>
        <v>44.751000000000005</v>
      </c>
      <c r="N4154" s="3" t="s">
        <v>10038</v>
      </c>
      <c r="O4154" s="3" t="s">
        <v>10042</v>
      </c>
      <c r="P4154" s="17">
        <v>45387</v>
      </c>
      <c r="Q4154" s="4">
        <v>3</v>
      </c>
    </row>
    <row r="4155" spans="1:17" ht="30" x14ac:dyDescent="0.25">
      <c r="A4155" s="2" t="s">
        <v>2667</v>
      </c>
      <c r="B4155" s="3" t="s">
        <v>5016</v>
      </c>
      <c r="C4155" s="3">
        <v>56</v>
      </c>
      <c r="D4155" s="46" t="str">
        <f>IF(Tabla1[[#This Row],[EDAD]]&lt;=35,"Adultos jóvenes 18 - 35 años",IF(C4155&gt;=36,"Adultos mayores 36 años en adelante"))</f>
        <v>Adultos mayores 36 años en adelante</v>
      </c>
      <c r="E4155" s="3" t="s">
        <v>5023</v>
      </c>
      <c r="F4155" s="3" t="s">
        <v>5029</v>
      </c>
      <c r="G4155" s="3" t="s">
        <v>5033</v>
      </c>
      <c r="H4155" s="3" t="s">
        <v>7690</v>
      </c>
      <c r="I4155" s="17">
        <v>45506</v>
      </c>
      <c r="J4155" s="18">
        <f>YEAR(Tabla1[[#This Row],[FECHA DE COMPRA]])</f>
        <v>2024</v>
      </c>
      <c r="K4155" s="19">
        <v>62.87</v>
      </c>
      <c r="L4155" s="20">
        <v>0.2</v>
      </c>
      <c r="M4155" s="19">
        <f>Tienda!$K2101-Tienda!$K2101*Tienda!$L2101</f>
        <v>112.095</v>
      </c>
      <c r="N4155" s="3" t="s">
        <v>10038</v>
      </c>
      <c r="O4155" s="3" t="s">
        <v>10042</v>
      </c>
      <c r="P4155" s="17">
        <v>45776</v>
      </c>
      <c r="Q4155" s="4">
        <v>3</v>
      </c>
    </row>
    <row r="4156" spans="1:17" ht="30" x14ac:dyDescent="0.25">
      <c r="A4156" s="2" t="s">
        <v>3713</v>
      </c>
      <c r="B4156" s="3" t="s">
        <v>5016</v>
      </c>
      <c r="C4156" s="3">
        <v>50</v>
      </c>
      <c r="D4156" s="46" t="str">
        <f>IF(Tabla1[[#This Row],[EDAD]]&lt;=35,"Adultos jóvenes 18 - 35 años",IF(C4156&gt;=36,"Adultos mayores 36 años en adelante"))</f>
        <v>Adultos mayores 36 años en adelante</v>
      </c>
      <c r="E4156" s="3" t="s">
        <v>5023</v>
      </c>
      <c r="F4156" s="3" t="s">
        <v>5024</v>
      </c>
      <c r="G4156" s="3" t="s">
        <v>5033</v>
      </c>
      <c r="H4156" s="3" t="s">
        <v>8736</v>
      </c>
      <c r="I4156" s="17">
        <v>45635</v>
      </c>
      <c r="J4156" s="18">
        <f>YEAR(Tabla1[[#This Row],[FECHA DE COMPRA]])</f>
        <v>2024</v>
      </c>
      <c r="K4156" s="19">
        <v>56.71</v>
      </c>
      <c r="L4156" s="20">
        <v>0.1</v>
      </c>
      <c r="M4156" s="19">
        <f>Tienda!$K2104-Tienda!$K2104*Tienda!$L2104</f>
        <v>110.94300000000001</v>
      </c>
      <c r="N4156" s="3" t="s">
        <v>10038</v>
      </c>
      <c r="O4156" s="3" t="s">
        <v>10042</v>
      </c>
      <c r="P4156" s="17">
        <v>45905</v>
      </c>
      <c r="Q4156" s="4">
        <v>3</v>
      </c>
    </row>
    <row r="4157" spans="1:17" ht="30" x14ac:dyDescent="0.25">
      <c r="A4157" s="2" t="s">
        <v>1466</v>
      </c>
      <c r="B4157" s="3" t="s">
        <v>5015</v>
      </c>
      <c r="C4157" s="3">
        <v>38</v>
      </c>
      <c r="D4157" s="46" t="str">
        <f>IF(Tabla1[[#This Row],[EDAD]]&lt;=35,"Adultos jóvenes 18 - 35 años",IF(C4157&gt;=36,"Adultos mayores 36 años en adelante"))</f>
        <v>Adultos mayores 36 años en adelante</v>
      </c>
      <c r="E4157" s="3" t="s">
        <v>5019</v>
      </c>
      <c r="F4157" s="3" t="s">
        <v>5029</v>
      </c>
      <c r="G4157" s="3" t="s">
        <v>5032</v>
      </c>
      <c r="H4157" s="3" t="s">
        <v>6489</v>
      </c>
      <c r="I4157" s="17">
        <v>45644</v>
      </c>
      <c r="J4157" s="18">
        <f>YEAR(Tabla1[[#This Row],[FECHA DE COMPRA]])</f>
        <v>2024</v>
      </c>
      <c r="K4157" s="19">
        <v>72.98</v>
      </c>
      <c r="L4157" s="20">
        <v>0.3</v>
      </c>
      <c r="M4157" s="19">
        <f>Tienda!$K2106-Tienda!$K2106*Tienda!$L2106</f>
        <v>91.063000000000002</v>
      </c>
      <c r="N4157" s="3" t="s">
        <v>10038</v>
      </c>
      <c r="O4157" s="3" t="s">
        <v>10042</v>
      </c>
      <c r="P4157" s="17">
        <v>46004</v>
      </c>
      <c r="Q4157" s="4">
        <v>3</v>
      </c>
    </row>
    <row r="4158" spans="1:17" ht="30" x14ac:dyDescent="0.25">
      <c r="A4158" s="2" t="s">
        <v>1936</v>
      </c>
      <c r="B4158" s="3" t="s">
        <v>5015</v>
      </c>
      <c r="C4158" s="3">
        <v>49</v>
      </c>
      <c r="D4158" s="46" t="str">
        <f>IF(Tabla1[[#This Row],[EDAD]]&lt;=35,"Adultos jóvenes 18 - 35 años",IF(C4158&gt;=36,"Adultos mayores 36 años en adelante"))</f>
        <v>Adultos mayores 36 años en adelante</v>
      </c>
      <c r="E4158" s="3" t="s">
        <v>5021</v>
      </c>
      <c r="F4158" s="3" t="s">
        <v>5025</v>
      </c>
      <c r="G4158" s="3" t="s">
        <v>5033</v>
      </c>
      <c r="H4158" s="3" t="s">
        <v>6959</v>
      </c>
      <c r="I4158" s="17">
        <v>45380</v>
      </c>
      <c r="J4158" s="18">
        <f>YEAR(Tabla1[[#This Row],[FECHA DE COMPRA]])</f>
        <v>2024</v>
      </c>
      <c r="K4158" s="19">
        <v>51.35</v>
      </c>
      <c r="L4158" s="20">
        <v>0</v>
      </c>
      <c r="M4158" s="19">
        <f>Tienda!$K2108-Tienda!$K2108*Tienda!$L2108</f>
        <v>10.341000000000001</v>
      </c>
      <c r="N4158" s="3" t="s">
        <v>10038</v>
      </c>
      <c r="O4158" s="3" t="s">
        <v>10042</v>
      </c>
      <c r="P4158" s="17">
        <v>45380</v>
      </c>
      <c r="Q4158" s="4">
        <v>3</v>
      </c>
    </row>
    <row r="4159" spans="1:17" ht="30" x14ac:dyDescent="0.25">
      <c r="A4159" s="2" t="s">
        <v>2490</v>
      </c>
      <c r="B4159" s="3" t="s">
        <v>5016</v>
      </c>
      <c r="C4159" s="3">
        <v>52</v>
      </c>
      <c r="D4159" s="46" t="str">
        <f>IF(Tabla1[[#This Row],[EDAD]]&lt;=35,"Adultos jóvenes 18 - 35 años",IF(C4159&gt;=36,"Adultos mayores 36 años en adelante"))</f>
        <v>Adultos mayores 36 años en adelante</v>
      </c>
      <c r="E4159" s="3" t="s">
        <v>5023</v>
      </c>
      <c r="F4159" s="3" t="s">
        <v>5030</v>
      </c>
      <c r="G4159" s="3" t="s">
        <v>5031</v>
      </c>
      <c r="H4159" s="3" t="s">
        <v>7513</v>
      </c>
      <c r="I4159" s="17">
        <v>45588</v>
      </c>
      <c r="J4159" s="18">
        <f>YEAR(Tabla1[[#This Row],[FECHA DE COMPRA]])</f>
        <v>2024</v>
      </c>
      <c r="K4159" s="19">
        <v>57.48</v>
      </c>
      <c r="L4159" s="20">
        <v>0.1</v>
      </c>
      <c r="M4159" s="19">
        <f>Tienda!$K2111-Tienda!$K2111*Tienda!$L2111</f>
        <v>105.28200000000001</v>
      </c>
      <c r="N4159" s="3" t="s">
        <v>10038</v>
      </c>
      <c r="O4159" s="3" t="s">
        <v>10042</v>
      </c>
      <c r="P4159" s="17">
        <v>45948</v>
      </c>
      <c r="Q4159" s="4">
        <v>3</v>
      </c>
    </row>
    <row r="4160" spans="1:17" ht="30" x14ac:dyDescent="0.25">
      <c r="A4160" s="2" t="s">
        <v>2677</v>
      </c>
      <c r="B4160" s="3" t="s">
        <v>5015</v>
      </c>
      <c r="C4160" s="3">
        <v>57</v>
      </c>
      <c r="D4160" s="46" t="str">
        <f>IF(Tabla1[[#This Row],[EDAD]]&lt;=35,"Adultos jóvenes 18 - 35 años",IF(C4160&gt;=36,"Adultos mayores 36 años en adelante"))</f>
        <v>Adultos mayores 36 años en adelante</v>
      </c>
      <c r="E4160" s="3" t="s">
        <v>5018</v>
      </c>
      <c r="F4160" s="3" t="s">
        <v>5027</v>
      </c>
      <c r="G4160" s="3" t="s">
        <v>5036</v>
      </c>
      <c r="H4160" s="3" t="s">
        <v>7700</v>
      </c>
      <c r="I4160" s="17">
        <v>45346</v>
      </c>
      <c r="J4160" s="18">
        <f>YEAR(Tabla1[[#This Row],[FECHA DE COMPRA]])</f>
        <v>2024</v>
      </c>
      <c r="K4160" s="19">
        <v>74.12</v>
      </c>
      <c r="L4160" s="20">
        <v>0.3</v>
      </c>
      <c r="M4160" s="19">
        <f>Tienda!$K2112-Tienda!$K2112*Tienda!$L2112</f>
        <v>135.07</v>
      </c>
      <c r="N4160" s="3" t="s">
        <v>10038</v>
      </c>
      <c r="O4160" s="3" t="s">
        <v>10042</v>
      </c>
      <c r="P4160" s="17">
        <v>45346</v>
      </c>
      <c r="Q4160" s="4">
        <v>3</v>
      </c>
    </row>
    <row r="4161" spans="1:17" ht="30" x14ac:dyDescent="0.25">
      <c r="A4161" s="2" t="s">
        <v>2242</v>
      </c>
      <c r="B4161" s="3" t="s">
        <v>5016</v>
      </c>
      <c r="C4161" s="3">
        <v>49</v>
      </c>
      <c r="D4161" s="46" t="str">
        <f>IF(Tabla1[[#This Row],[EDAD]]&lt;=35,"Adultos jóvenes 18 - 35 años",IF(C4161&gt;=36,"Adultos mayores 36 años en adelante"))</f>
        <v>Adultos mayores 36 años en adelante</v>
      </c>
      <c r="E4161" s="3" t="s">
        <v>5023</v>
      </c>
      <c r="F4161" s="3" t="s">
        <v>5029</v>
      </c>
      <c r="G4161" s="3" t="s">
        <v>5035</v>
      </c>
      <c r="H4161" s="3" t="s">
        <v>7265</v>
      </c>
      <c r="I4161" s="17">
        <v>45384</v>
      </c>
      <c r="J4161" s="18">
        <f>YEAR(Tabla1[[#This Row],[FECHA DE COMPRA]])</f>
        <v>2024</v>
      </c>
      <c r="K4161" s="19">
        <v>58.01</v>
      </c>
      <c r="L4161" s="20">
        <v>0.1</v>
      </c>
      <c r="M4161" s="19">
        <f>Tienda!$K2114-Tienda!$K2114*Tienda!$L2114</f>
        <v>84.461999999999989</v>
      </c>
      <c r="N4161" s="3" t="s">
        <v>10038</v>
      </c>
      <c r="O4161" s="3" t="s">
        <v>10042</v>
      </c>
      <c r="P4161" s="17">
        <v>45654</v>
      </c>
      <c r="Q4161" s="4">
        <v>3</v>
      </c>
    </row>
    <row r="4162" spans="1:17" ht="30" x14ac:dyDescent="0.25">
      <c r="A4162" s="2" t="s">
        <v>4707</v>
      </c>
      <c r="B4162" s="3" t="s">
        <v>5016</v>
      </c>
      <c r="C4162" s="3">
        <v>63</v>
      </c>
      <c r="D4162" s="46" t="str">
        <f>IF(Tabla1[[#This Row],[EDAD]]&lt;=35,"Adultos jóvenes 18 - 35 años",IF(C4162&gt;=36,"Adultos mayores 36 años en adelante"))</f>
        <v>Adultos mayores 36 años en adelante</v>
      </c>
      <c r="E4162" s="3" t="s">
        <v>5017</v>
      </c>
      <c r="F4162" s="3" t="s">
        <v>5025</v>
      </c>
      <c r="G4162" s="3" t="s">
        <v>5034</v>
      </c>
      <c r="H4162" s="3" t="s">
        <v>9730</v>
      </c>
      <c r="I4162" s="17">
        <v>45335</v>
      </c>
      <c r="J4162" s="18">
        <f>YEAR(Tabla1[[#This Row],[FECHA DE COMPRA]])</f>
        <v>2024</v>
      </c>
      <c r="K4162" s="19">
        <v>65.31</v>
      </c>
      <c r="L4162" s="20">
        <v>0.2</v>
      </c>
      <c r="M4162" s="19">
        <f>Tienda!$K2115-Tienda!$K2115*Tienda!$L2115</f>
        <v>127.89</v>
      </c>
      <c r="N4162" s="3" t="s">
        <v>10038</v>
      </c>
      <c r="O4162" s="3" t="s">
        <v>10042</v>
      </c>
      <c r="P4162" s="17">
        <v>45335</v>
      </c>
      <c r="Q4162" s="4">
        <v>3</v>
      </c>
    </row>
    <row r="4163" spans="1:17" ht="30" x14ac:dyDescent="0.25">
      <c r="A4163" s="2" t="s">
        <v>2647</v>
      </c>
      <c r="B4163" s="3" t="s">
        <v>5016</v>
      </c>
      <c r="C4163" s="3">
        <v>38</v>
      </c>
      <c r="D4163" s="46" t="str">
        <f>IF(Tabla1[[#This Row],[EDAD]]&lt;=35,"Adultos jóvenes 18 - 35 años",IF(C4163&gt;=36,"Adultos mayores 36 años en adelante"))</f>
        <v>Adultos mayores 36 años en adelante</v>
      </c>
      <c r="E4163" s="3" t="s">
        <v>5023</v>
      </c>
      <c r="F4163" s="3" t="s">
        <v>5024</v>
      </c>
      <c r="G4163" s="3" t="s">
        <v>5035</v>
      </c>
      <c r="H4163" s="3" t="s">
        <v>7670</v>
      </c>
      <c r="I4163" s="17">
        <v>45583</v>
      </c>
      <c r="J4163" s="18">
        <f>YEAR(Tabla1[[#This Row],[FECHA DE COMPRA]])</f>
        <v>2024</v>
      </c>
      <c r="K4163" s="19">
        <v>52.48</v>
      </c>
      <c r="L4163" s="20">
        <v>0</v>
      </c>
      <c r="M4163" s="19">
        <f>Tienda!$K2117-Tienda!$K2117*Tienda!$L2117</f>
        <v>163.44999999999999</v>
      </c>
      <c r="N4163" s="3" t="s">
        <v>10038</v>
      </c>
      <c r="O4163" s="3" t="s">
        <v>10042</v>
      </c>
      <c r="P4163" s="17">
        <v>45853</v>
      </c>
      <c r="Q4163" s="4">
        <v>3</v>
      </c>
    </row>
    <row r="4164" spans="1:17" ht="30" x14ac:dyDescent="0.25">
      <c r="A4164" s="2" t="s">
        <v>3636</v>
      </c>
      <c r="B4164" s="3" t="s">
        <v>5015</v>
      </c>
      <c r="C4164" s="3">
        <v>56</v>
      </c>
      <c r="D4164" s="46" t="str">
        <f>IF(Tabla1[[#This Row],[EDAD]]&lt;=35,"Adultos jóvenes 18 - 35 años",IF(C4164&gt;=36,"Adultos mayores 36 años en adelante"))</f>
        <v>Adultos mayores 36 años en adelante</v>
      </c>
      <c r="E4164" s="3" t="s">
        <v>5018</v>
      </c>
      <c r="F4164" s="3" t="s">
        <v>5027</v>
      </c>
      <c r="G4164" s="3" t="s">
        <v>5037</v>
      </c>
      <c r="H4164" s="3" t="s">
        <v>8659</v>
      </c>
      <c r="I4164" s="17">
        <v>45514</v>
      </c>
      <c r="J4164" s="18">
        <f>YEAR(Tabla1[[#This Row],[FECHA DE COMPRA]])</f>
        <v>2024</v>
      </c>
      <c r="K4164" s="19">
        <v>75.819999999999993</v>
      </c>
      <c r="L4164" s="20">
        <v>0.3</v>
      </c>
      <c r="M4164" s="19">
        <f>Tienda!$K2120-Tienda!$K2120*Tienda!$L2120</f>
        <v>40.167999999999999</v>
      </c>
      <c r="N4164" s="3" t="s">
        <v>10038</v>
      </c>
      <c r="O4164" s="3" t="s">
        <v>10042</v>
      </c>
      <c r="P4164" s="17">
        <v>45514</v>
      </c>
      <c r="Q4164" s="4">
        <v>3</v>
      </c>
    </row>
    <row r="4165" spans="1:17" ht="30" x14ac:dyDescent="0.25">
      <c r="A4165" s="2" t="s">
        <v>4590</v>
      </c>
      <c r="B4165" s="3" t="s">
        <v>5015</v>
      </c>
      <c r="C4165" s="3">
        <v>43</v>
      </c>
      <c r="D4165" s="46" t="str">
        <f>IF(Tabla1[[#This Row],[EDAD]]&lt;=35,"Adultos jóvenes 18 - 35 años",IF(C4165&gt;=36,"Adultos mayores 36 años en adelante"))</f>
        <v>Adultos mayores 36 años en adelante</v>
      </c>
      <c r="E4165" s="3" t="s">
        <v>5022</v>
      </c>
      <c r="F4165" s="3" t="s">
        <v>5028</v>
      </c>
      <c r="G4165" s="3" t="s">
        <v>5033</v>
      </c>
      <c r="H4165" s="3" t="s">
        <v>9613</v>
      </c>
      <c r="I4165" s="17">
        <v>45551</v>
      </c>
      <c r="J4165" s="18">
        <f>YEAR(Tabla1[[#This Row],[FECHA DE COMPRA]])</f>
        <v>2024</v>
      </c>
      <c r="K4165" s="19">
        <v>53.34</v>
      </c>
      <c r="L4165" s="20">
        <v>0</v>
      </c>
      <c r="M4165" s="19">
        <f>Tienda!$K2123-Tienda!$K2123*Tienda!$L2123</f>
        <v>78.147999999999996</v>
      </c>
      <c r="N4165" s="3" t="s">
        <v>10038</v>
      </c>
      <c r="O4165" s="3" t="s">
        <v>10042</v>
      </c>
      <c r="P4165" s="17">
        <v>45551</v>
      </c>
      <c r="Q4165" s="4">
        <v>3</v>
      </c>
    </row>
    <row r="4166" spans="1:17" ht="30" x14ac:dyDescent="0.25">
      <c r="A4166" s="2" t="s">
        <v>4208</v>
      </c>
      <c r="B4166" s="3" t="s">
        <v>5016</v>
      </c>
      <c r="C4166" s="3">
        <v>54</v>
      </c>
      <c r="D4166" s="46" t="str">
        <f>IF(Tabla1[[#This Row],[EDAD]]&lt;=35,"Adultos jóvenes 18 - 35 años",IF(C4166&gt;=36,"Adultos mayores 36 años en adelante"))</f>
        <v>Adultos mayores 36 años en adelante</v>
      </c>
      <c r="E4166" s="3" t="s">
        <v>5023</v>
      </c>
      <c r="F4166" s="3" t="s">
        <v>5026</v>
      </c>
      <c r="G4166" s="3" t="s">
        <v>5037</v>
      </c>
      <c r="H4166" s="3" t="s">
        <v>9231</v>
      </c>
      <c r="I4166" s="17">
        <v>45598</v>
      </c>
      <c r="J4166" s="18">
        <f>YEAR(Tabla1[[#This Row],[FECHA DE COMPRA]])</f>
        <v>2024</v>
      </c>
      <c r="K4166" s="19">
        <v>59.33</v>
      </c>
      <c r="L4166" s="20">
        <v>0.1</v>
      </c>
      <c r="M4166" s="19">
        <f>Tienda!$K2124-Tienda!$K2124*Tienda!$L2124</f>
        <v>17.899999999999999</v>
      </c>
      <c r="N4166" s="3" t="s">
        <v>10038</v>
      </c>
      <c r="O4166" s="3" t="s">
        <v>10042</v>
      </c>
      <c r="P4166" s="17">
        <v>45688</v>
      </c>
      <c r="Q4166" s="4">
        <v>3</v>
      </c>
    </row>
    <row r="4167" spans="1:17" ht="30" x14ac:dyDescent="0.25">
      <c r="A4167" s="2" t="s">
        <v>2169</v>
      </c>
      <c r="B4167" s="3" t="s">
        <v>5016</v>
      </c>
      <c r="C4167" s="3">
        <v>51</v>
      </c>
      <c r="D4167" s="46" t="str">
        <f>IF(Tabla1[[#This Row],[EDAD]]&lt;=35,"Adultos jóvenes 18 - 35 años",IF(C4167&gt;=36,"Adultos mayores 36 años en adelante"))</f>
        <v>Adultos mayores 36 años en adelante</v>
      </c>
      <c r="E4167" s="3" t="s">
        <v>5019</v>
      </c>
      <c r="F4167" s="3" t="s">
        <v>5029</v>
      </c>
      <c r="G4167" s="3" t="s">
        <v>5031</v>
      </c>
      <c r="H4167" s="3" t="s">
        <v>7192</v>
      </c>
      <c r="I4167" s="17">
        <v>45371</v>
      </c>
      <c r="J4167" s="18">
        <f>YEAR(Tabla1[[#This Row],[FECHA DE COMPRA]])</f>
        <v>2024</v>
      </c>
      <c r="K4167" s="19">
        <v>53.7</v>
      </c>
      <c r="L4167" s="20">
        <v>0</v>
      </c>
      <c r="M4167" s="19">
        <f>Tienda!$K2128-Tienda!$K2128*Tienda!$L2128</f>
        <v>118.006</v>
      </c>
      <c r="N4167" s="3" t="s">
        <v>10038</v>
      </c>
      <c r="O4167" s="3" t="s">
        <v>10042</v>
      </c>
      <c r="P4167" s="17">
        <v>45461</v>
      </c>
      <c r="Q4167" s="4">
        <v>3</v>
      </c>
    </row>
    <row r="4168" spans="1:17" ht="30" x14ac:dyDescent="0.25">
      <c r="A4168" s="2" t="s">
        <v>2617</v>
      </c>
      <c r="B4168" s="3" t="s">
        <v>5015</v>
      </c>
      <c r="C4168" s="3">
        <v>61</v>
      </c>
      <c r="D4168" s="46" t="str">
        <f>IF(Tabla1[[#This Row],[EDAD]]&lt;=35,"Adultos jóvenes 18 - 35 años",IF(C4168&gt;=36,"Adultos mayores 36 años en adelante"))</f>
        <v>Adultos mayores 36 años en adelante</v>
      </c>
      <c r="E4168" s="3" t="s">
        <v>5020</v>
      </c>
      <c r="F4168" s="3" t="s">
        <v>5029</v>
      </c>
      <c r="G4168" s="3" t="s">
        <v>5037</v>
      </c>
      <c r="H4168" s="3" t="s">
        <v>7640</v>
      </c>
      <c r="I4168" s="17">
        <v>45634</v>
      </c>
      <c r="J4168" s="18">
        <f>YEAR(Tabla1[[#This Row],[FECHA DE COMPRA]])</f>
        <v>2024</v>
      </c>
      <c r="K4168" s="19">
        <v>59.74</v>
      </c>
      <c r="L4168" s="20">
        <v>0.1</v>
      </c>
      <c r="M4168" s="19">
        <f>Tienda!$K2129-Tienda!$K2129*Tienda!$L2129</f>
        <v>24.184000000000001</v>
      </c>
      <c r="N4168" s="3" t="s">
        <v>10038</v>
      </c>
      <c r="O4168" s="3" t="s">
        <v>10042</v>
      </c>
      <c r="P4168" s="17">
        <v>45625</v>
      </c>
      <c r="Q4168" s="4">
        <v>3</v>
      </c>
    </row>
    <row r="4169" spans="1:17" ht="30" x14ac:dyDescent="0.25">
      <c r="A4169" s="2" t="s">
        <v>3685</v>
      </c>
      <c r="B4169" s="3" t="s">
        <v>5016</v>
      </c>
      <c r="C4169" s="3">
        <v>43</v>
      </c>
      <c r="D4169" s="46" t="str">
        <f>IF(Tabla1[[#This Row],[EDAD]]&lt;=35,"Adultos jóvenes 18 - 35 años",IF(C4169&gt;=36,"Adultos mayores 36 años en adelante"))</f>
        <v>Adultos mayores 36 años en adelante</v>
      </c>
      <c r="E4169" s="3" t="s">
        <v>5019</v>
      </c>
      <c r="F4169" s="3" t="s">
        <v>5024</v>
      </c>
      <c r="G4169" s="3" t="s">
        <v>5031</v>
      </c>
      <c r="H4169" s="3" t="s">
        <v>8708</v>
      </c>
      <c r="I4169" s="17">
        <v>45517</v>
      </c>
      <c r="J4169" s="18">
        <f>YEAR(Tabla1[[#This Row],[FECHA DE COMPRA]])</f>
        <v>2024</v>
      </c>
      <c r="K4169" s="19">
        <v>68.08</v>
      </c>
      <c r="L4169" s="20">
        <v>0.2</v>
      </c>
      <c r="M4169" s="19">
        <f>Tienda!$K2136-Tienda!$K2136*Tienda!$L2136</f>
        <v>78.507000000000005</v>
      </c>
      <c r="N4169" s="3" t="s">
        <v>10038</v>
      </c>
      <c r="O4169" s="3" t="s">
        <v>10042</v>
      </c>
      <c r="P4169" s="17">
        <v>45517</v>
      </c>
      <c r="Q4169" s="4">
        <v>3</v>
      </c>
    </row>
    <row r="4170" spans="1:17" ht="30" x14ac:dyDescent="0.25">
      <c r="A4170" s="2" t="s">
        <v>868</v>
      </c>
      <c r="B4170" s="3" t="s">
        <v>5016</v>
      </c>
      <c r="C4170" s="3">
        <v>60</v>
      </c>
      <c r="D4170" s="46" t="str">
        <f>IF(Tabla1[[#This Row],[EDAD]]&lt;=35,"Adultos jóvenes 18 - 35 años",IF(C4170&gt;=36,"Adultos mayores 36 años en adelante"))</f>
        <v>Adultos mayores 36 años en adelante</v>
      </c>
      <c r="E4170" s="3" t="s">
        <v>5017</v>
      </c>
      <c r="F4170" s="3" t="s">
        <v>5029</v>
      </c>
      <c r="G4170" s="3" t="s">
        <v>5037</v>
      </c>
      <c r="H4170" s="3" t="s">
        <v>5891</v>
      </c>
      <c r="I4170" s="17">
        <v>45651</v>
      </c>
      <c r="J4170" s="18">
        <f>YEAR(Tabla1[[#This Row],[FECHA DE COMPRA]])</f>
        <v>2024</v>
      </c>
      <c r="K4170" s="19">
        <v>54.88</v>
      </c>
      <c r="L4170" s="20">
        <v>0</v>
      </c>
      <c r="M4170" s="19">
        <f>Tienda!$K2139-Tienda!$K2139*Tienda!$L2139</f>
        <v>138.08000000000001</v>
      </c>
      <c r="N4170" s="3" t="s">
        <v>10038</v>
      </c>
      <c r="O4170" s="3" t="s">
        <v>10042</v>
      </c>
      <c r="P4170" s="17">
        <v>45741</v>
      </c>
      <c r="Q4170" s="4">
        <v>3</v>
      </c>
    </row>
    <row r="4171" spans="1:17" ht="30" x14ac:dyDescent="0.25">
      <c r="A4171" s="2" t="s">
        <v>3754</v>
      </c>
      <c r="B4171" s="3" t="s">
        <v>5016</v>
      </c>
      <c r="C4171" s="3">
        <v>43</v>
      </c>
      <c r="D4171" s="46" t="str">
        <f>IF(Tabla1[[#This Row],[EDAD]]&lt;=35,"Adultos jóvenes 18 - 35 años",IF(C4171&gt;=36,"Adultos mayores 36 años en adelante"))</f>
        <v>Adultos mayores 36 años en adelante</v>
      </c>
      <c r="E4171" s="3" t="s">
        <v>5017</v>
      </c>
      <c r="F4171" s="3" t="s">
        <v>5028</v>
      </c>
      <c r="G4171" s="3" t="s">
        <v>5036</v>
      </c>
      <c r="H4171" s="3" t="s">
        <v>8777</v>
      </c>
      <c r="I4171" s="17">
        <v>45334</v>
      </c>
      <c r="J4171" s="18">
        <f>YEAR(Tabla1[[#This Row],[FECHA DE COMPRA]])</f>
        <v>2024</v>
      </c>
      <c r="K4171" s="19">
        <v>78.69</v>
      </c>
      <c r="L4171" s="20">
        <v>0.3</v>
      </c>
      <c r="M4171" s="19">
        <f>Tienda!$K2141-Tienda!$K2141*Tienda!$L2141</f>
        <v>82.043999999999997</v>
      </c>
      <c r="N4171" s="3" t="s">
        <v>10038</v>
      </c>
      <c r="O4171" s="3" t="s">
        <v>10042</v>
      </c>
      <c r="P4171" s="17">
        <v>45514</v>
      </c>
      <c r="Q4171" s="4">
        <v>3</v>
      </c>
    </row>
    <row r="4172" spans="1:17" ht="30" x14ac:dyDescent="0.25">
      <c r="A4172" s="2" t="s">
        <v>681</v>
      </c>
      <c r="B4172" s="3" t="s">
        <v>5015</v>
      </c>
      <c r="C4172" s="3">
        <v>58</v>
      </c>
      <c r="D4172" s="46" t="str">
        <f>IF(Tabla1[[#This Row],[EDAD]]&lt;=35,"Adultos jóvenes 18 - 35 años",IF(C4172&gt;=36,"Adultos mayores 36 años en adelante"))</f>
        <v>Adultos mayores 36 años en adelante</v>
      </c>
      <c r="E4172" s="3" t="s">
        <v>5020</v>
      </c>
      <c r="F4172" s="3" t="s">
        <v>5028</v>
      </c>
      <c r="G4172" s="3" t="s">
        <v>5035</v>
      </c>
      <c r="H4172" s="3" t="s">
        <v>5704</v>
      </c>
      <c r="I4172" s="17">
        <v>45483</v>
      </c>
      <c r="J4172" s="18">
        <f>YEAR(Tabla1[[#This Row],[FECHA DE COMPRA]])</f>
        <v>2024</v>
      </c>
      <c r="K4172" s="19">
        <v>61.42</v>
      </c>
      <c r="L4172" s="20">
        <v>0.1</v>
      </c>
      <c r="M4172" s="19">
        <f>Tienda!$K2142-Tienda!$K2142*Tienda!$L2142</f>
        <v>134.69399999999999</v>
      </c>
      <c r="N4172" s="3" t="s">
        <v>10038</v>
      </c>
      <c r="O4172" s="3" t="s">
        <v>10042</v>
      </c>
      <c r="P4172" s="17">
        <v>45483</v>
      </c>
      <c r="Q4172" s="4">
        <v>3</v>
      </c>
    </row>
    <row r="4173" spans="1:17" ht="30" x14ac:dyDescent="0.25">
      <c r="A4173" s="2" t="s">
        <v>1516</v>
      </c>
      <c r="B4173" s="3" t="s">
        <v>5016</v>
      </c>
      <c r="C4173" s="3">
        <v>60</v>
      </c>
      <c r="D4173" s="46" t="str">
        <f>IF(Tabla1[[#This Row],[EDAD]]&lt;=35,"Adultos jóvenes 18 - 35 años",IF(C4173&gt;=36,"Adultos mayores 36 años en adelante"))</f>
        <v>Adultos mayores 36 años en adelante</v>
      </c>
      <c r="E4173" s="3" t="s">
        <v>5023</v>
      </c>
      <c r="F4173" s="3" t="s">
        <v>5024</v>
      </c>
      <c r="G4173" s="3" t="s">
        <v>5037</v>
      </c>
      <c r="H4173" s="3" t="s">
        <v>6539</v>
      </c>
      <c r="I4173" s="17">
        <v>45630</v>
      </c>
      <c r="J4173" s="18">
        <f>YEAR(Tabla1[[#This Row],[FECHA DE COMPRA]])</f>
        <v>2024</v>
      </c>
      <c r="K4173" s="19">
        <v>61.7</v>
      </c>
      <c r="L4173" s="20">
        <v>0.1</v>
      </c>
      <c r="M4173" s="19">
        <f>Tienda!$K2144-Tienda!$K2144*Tienda!$L2144</f>
        <v>80.099999999999994</v>
      </c>
      <c r="N4173" s="3" t="s">
        <v>10038</v>
      </c>
      <c r="O4173" s="3" t="s">
        <v>10042</v>
      </c>
      <c r="P4173" s="17">
        <v>45990</v>
      </c>
      <c r="Q4173" s="4">
        <v>3</v>
      </c>
    </row>
    <row r="4174" spans="1:17" ht="30" x14ac:dyDescent="0.25">
      <c r="A4174" s="2" t="s">
        <v>3800</v>
      </c>
      <c r="B4174" s="3" t="s">
        <v>5015</v>
      </c>
      <c r="C4174" s="3">
        <v>55</v>
      </c>
      <c r="D4174" s="46" t="str">
        <f>IF(Tabla1[[#This Row],[EDAD]]&lt;=35,"Adultos jóvenes 18 - 35 años",IF(C4174&gt;=36,"Adultos mayores 36 años en adelante"))</f>
        <v>Adultos mayores 36 años en adelante</v>
      </c>
      <c r="E4174" s="3" t="s">
        <v>5018</v>
      </c>
      <c r="F4174" s="3" t="s">
        <v>5027</v>
      </c>
      <c r="G4174" s="3" t="s">
        <v>5034</v>
      </c>
      <c r="H4174" s="3" t="s">
        <v>8823</v>
      </c>
      <c r="I4174" s="17">
        <v>45380</v>
      </c>
      <c r="J4174" s="18">
        <f>YEAR(Tabla1[[#This Row],[FECHA DE COMPRA]])</f>
        <v>2024</v>
      </c>
      <c r="K4174" s="19">
        <v>69.569999999999993</v>
      </c>
      <c r="L4174" s="20">
        <v>0.2</v>
      </c>
      <c r="M4174" s="19">
        <f>Tienda!$K2146-Tienda!$K2146*Tienda!$L2146</f>
        <v>15.813000000000001</v>
      </c>
      <c r="N4174" s="3" t="s">
        <v>10038</v>
      </c>
      <c r="O4174" s="3" t="s">
        <v>10042</v>
      </c>
      <c r="P4174" s="17">
        <v>45380</v>
      </c>
      <c r="Q4174" s="4">
        <v>3</v>
      </c>
    </row>
    <row r="4175" spans="1:17" ht="30" x14ac:dyDescent="0.25">
      <c r="A4175" s="2" t="s">
        <v>4198</v>
      </c>
      <c r="B4175" s="3" t="s">
        <v>5015</v>
      </c>
      <c r="C4175" s="3">
        <v>42</v>
      </c>
      <c r="D4175" s="46" t="str">
        <f>IF(Tabla1[[#This Row],[EDAD]]&lt;=35,"Adultos jóvenes 18 - 35 años",IF(C4175&gt;=36,"Adultos mayores 36 años en adelante"))</f>
        <v>Adultos mayores 36 años en adelante</v>
      </c>
      <c r="E4175" s="3" t="s">
        <v>5023</v>
      </c>
      <c r="F4175" s="3" t="s">
        <v>5029</v>
      </c>
      <c r="G4175" s="3" t="s">
        <v>5036</v>
      </c>
      <c r="H4175" s="3" t="s">
        <v>9221</v>
      </c>
      <c r="I4175" s="17">
        <v>45651</v>
      </c>
      <c r="J4175" s="18">
        <f>YEAR(Tabla1[[#This Row],[FECHA DE COMPRA]])</f>
        <v>2024</v>
      </c>
      <c r="K4175" s="19">
        <v>69.7</v>
      </c>
      <c r="L4175" s="20">
        <v>0.2</v>
      </c>
      <c r="M4175" s="19">
        <f>Tienda!$K2148-Tienda!$K2148*Tienda!$L2148</f>
        <v>152.88</v>
      </c>
      <c r="N4175" s="3" t="s">
        <v>10038</v>
      </c>
      <c r="O4175" s="3" t="s">
        <v>10042</v>
      </c>
      <c r="P4175" s="17">
        <v>45741</v>
      </c>
      <c r="Q4175" s="4">
        <v>3</v>
      </c>
    </row>
    <row r="4176" spans="1:17" ht="30" x14ac:dyDescent="0.25">
      <c r="A4176" s="2" t="s">
        <v>2818</v>
      </c>
      <c r="B4176" s="3" t="s">
        <v>5015</v>
      </c>
      <c r="C4176" s="3">
        <v>36</v>
      </c>
      <c r="D4176" s="46" t="str">
        <f>IF(Tabla1[[#This Row],[EDAD]]&lt;=35,"Adultos jóvenes 18 - 35 años",IF(C4176&gt;=36,"Adultos mayores 36 años en adelante"))</f>
        <v>Adultos mayores 36 años en adelante</v>
      </c>
      <c r="E4176" s="3" t="s">
        <v>5018</v>
      </c>
      <c r="F4176" s="3" t="s">
        <v>5026</v>
      </c>
      <c r="G4176" s="3" t="s">
        <v>5034</v>
      </c>
      <c r="H4176" s="3" t="s">
        <v>7841</v>
      </c>
      <c r="I4176" s="17">
        <v>45411</v>
      </c>
      <c r="J4176" s="18">
        <f>YEAR(Tabla1[[#This Row],[FECHA DE COMPRA]])</f>
        <v>2024</v>
      </c>
      <c r="K4176" s="19">
        <v>79.680000000000007</v>
      </c>
      <c r="L4176" s="20">
        <v>0.3</v>
      </c>
      <c r="M4176" s="19">
        <f>Tienda!$K2150-Tienda!$K2150*Tienda!$L2150</f>
        <v>56.89</v>
      </c>
      <c r="N4176" s="3" t="s">
        <v>10038</v>
      </c>
      <c r="O4176" s="3" t="s">
        <v>10042</v>
      </c>
      <c r="P4176" s="17">
        <v>45411</v>
      </c>
      <c r="Q4176" s="4">
        <v>3</v>
      </c>
    </row>
    <row r="4177" spans="1:17" ht="30" x14ac:dyDescent="0.25">
      <c r="A4177" s="2" t="s">
        <v>3567</v>
      </c>
      <c r="B4177" s="3" t="s">
        <v>5015</v>
      </c>
      <c r="C4177" s="3">
        <v>43</v>
      </c>
      <c r="D4177" s="46" t="str">
        <f>IF(Tabla1[[#This Row],[EDAD]]&lt;=35,"Adultos jóvenes 18 - 35 años",IF(C4177&gt;=36,"Adultos mayores 36 años en adelante"))</f>
        <v>Adultos mayores 36 años en adelante</v>
      </c>
      <c r="E4177" s="3" t="s">
        <v>5022</v>
      </c>
      <c r="F4177" s="3" t="s">
        <v>5024</v>
      </c>
      <c r="G4177" s="3" t="s">
        <v>5033</v>
      </c>
      <c r="H4177" s="3" t="s">
        <v>8590</v>
      </c>
      <c r="I4177" s="17">
        <v>45616</v>
      </c>
      <c r="J4177" s="18">
        <f>YEAR(Tabla1[[#This Row],[FECHA DE COMPRA]])</f>
        <v>2024</v>
      </c>
      <c r="K4177" s="19">
        <v>79.77</v>
      </c>
      <c r="L4177" s="20">
        <v>0.3</v>
      </c>
      <c r="M4177" s="19">
        <f>Tienda!$K2151-Tienda!$K2151*Tienda!$L2151</f>
        <v>145.952</v>
      </c>
      <c r="N4177" s="3" t="s">
        <v>10038</v>
      </c>
      <c r="O4177" s="3" t="s">
        <v>10042</v>
      </c>
      <c r="P4177" s="17">
        <v>45796</v>
      </c>
      <c r="Q4177" s="4">
        <v>3</v>
      </c>
    </row>
    <row r="4178" spans="1:17" ht="30" x14ac:dyDescent="0.25">
      <c r="A4178" s="2" t="s">
        <v>1647</v>
      </c>
      <c r="B4178" s="3" t="s">
        <v>5015</v>
      </c>
      <c r="C4178" s="3">
        <v>57</v>
      </c>
      <c r="D4178" s="46" t="str">
        <f>IF(Tabla1[[#This Row],[EDAD]]&lt;=35,"Adultos jóvenes 18 - 35 años",IF(C4178&gt;=36,"Adultos mayores 36 años en adelante"))</f>
        <v>Adultos mayores 36 años en adelante</v>
      </c>
      <c r="E4178" s="3" t="s">
        <v>5018</v>
      </c>
      <c r="F4178" s="3" t="s">
        <v>5024</v>
      </c>
      <c r="G4178" s="3" t="s">
        <v>5033</v>
      </c>
      <c r="H4178" s="3" t="s">
        <v>6670</v>
      </c>
      <c r="I4178" s="17">
        <v>45364</v>
      </c>
      <c r="J4178" s="18">
        <f>YEAR(Tabla1[[#This Row],[FECHA DE COMPRA]])</f>
        <v>2024</v>
      </c>
      <c r="K4178" s="19">
        <v>55.9</v>
      </c>
      <c r="L4178" s="20">
        <v>0</v>
      </c>
      <c r="M4178" s="19">
        <f>Tienda!$K2152-Tienda!$K2152*Tienda!$L2152</f>
        <v>28.336000000000002</v>
      </c>
      <c r="N4178" s="3" t="s">
        <v>10038</v>
      </c>
      <c r="O4178" s="3" t="s">
        <v>10042</v>
      </c>
      <c r="P4178" s="17">
        <v>45364</v>
      </c>
      <c r="Q4178" s="4">
        <v>3</v>
      </c>
    </row>
    <row r="4179" spans="1:17" ht="30" x14ac:dyDescent="0.25">
      <c r="A4179" s="2" t="s">
        <v>232</v>
      </c>
      <c r="B4179" s="3" t="s">
        <v>5016</v>
      </c>
      <c r="C4179" s="3">
        <v>52</v>
      </c>
      <c r="D4179" s="46" t="str">
        <f>IF(Tabla1[[#This Row],[EDAD]]&lt;=35,"Adultos jóvenes 18 - 35 años",IF(C4179&gt;=36,"Adultos mayores 36 años en adelante"))</f>
        <v>Adultos mayores 36 años en adelante</v>
      </c>
      <c r="E4179" s="3" t="s">
        <v>5023</v>
      </c>
      <c r="F4179" s="3" t="s">
        <v>5028</v>
      </c>
      <c r="G4179" s="3" t="s">
        <v>5037</v>
      </c>
      <c r="H4179" s="3" t="s">
        <v>5255</v>
      </c>
      <c r="I4179" s="17">
        <v>45647</v>
      </c>
      <c r="J4179" s="18">
        <f>YEAR(Tabla1[[#This Row],[FECHA DE COMPRA]])</f>
        <v>2024</v>
      </c>
      <c r="K4179" s="19">
        <v>80.209999999999994</v>
      </c>
      <c r="L4179" s="20">
        <v>0.3</v>
      </c>
      <c r="M4179" s="19">
        <f>Tienda!$K2155-Tienda!$K2155*Tienda!$L2155</f>
        <v>47.856000000000002</v>
      </c>
      <c r="N4179" s="3" t="s">
        <v>10038</v>
      </c>
      <c r="O4179" s="3" t="s">
        <v>10042</v>
      </c>
      <c r="P4179" s="17">
        <v>45917</v>
      </c>
      <c r="Q4179" s="4">
        <v>3</v>
      </c>
    </row>
    <row r="4180" spans="1:17" ht="30" x14ac:dyDescent="0.25">
      <c r="A4180" s="2" t="s">
        <v>2324</v>
      </c>
      <c r="B4180" s="3" t="s">
        <v>5015</v>
      </c>
      <c r="C4180" s="3">
        <v>36</v>
      </c>
      <c r="D4180" s="46" t="str">
        <f>IF(Tabla1[[#This Row],[EDAD]]&lt;=35,"Adultos jóvenes 18 - 35 años",IF(C4180&gt;=36,"Adultos mayores 36 años en adelante"))</f>
        <v>Adultos mayores 36 años en adelante</v>
      </c>
      <c r="E4180" s="3" t="s">
        <v>5020</v>
      </c>
      <c r="F4180" s="3" t="s">
        <v>5029</v>
      </c>
      <c r="G4180" s="3" t="s">
        <v>5037</v>
      </c>
      <c r="H4180" s="3" t="s">
        <v>7347</v>
      </c>
      <c r="I4180" s="17">
        <v>45372</v>
      </c>
      <c r="J4180" s="18">
        <f>YEAR(Tabla1[[#This Row],[FECHA DE COMPRA]])</f>
        <v>2024</v>
      </c>
      <c r="K4180" s="19">
        <v>56.32</v>
      </c>
      <c r="L4180" s="20">
        <v>0</v>
      </c>
      <c r="M4180" s="19">
        <f>Tienda!$K2156-Tienda!$K2156*Tienda!$L2156</f>
        <v>90.818000000000012</v>
      </c>
      <c r="N4180" s="3" t="s">
        <v>10038</v>
      </c>
      <c r="O4180" s="3" t="s">
        <v>10042</v>
      </c>
      <c r="P4180" s="17">
        <v>45642</v>
      </c>
      <c r="Q4180" s="4">
        <v>3</v>
      </c>
    </row>
    <row r="4181" spans="1:17" ht="30" x14ac:dyDescent="0.25">
      <c r="A4181" s="2" t="s">
        <v>4888</v>
      </c>
      <c r="B4181" s="3" t="s">
        <v>5016</v>
      </c>
      <c r="C4181" s="3">
        <v>51</v>
      </c>
      <c r="D4181" s="46" t="str">
        <f>IF(Tabla1[[#This Row],[EDAD]]&lt;=35,"Adultos jóvenes 18 - 35 años",IF(C4181&gt;=36,"Adultos mayores 36 años en adelante"))</f>
        <v>Adultos mayores 36 años en adelante</v>
      </c>
      <c r="E4181" s="3" t="s">
        <v>5021</v>
      </c>
      <c r="F4181" s="3" t="s">
        <v>5029</v>
      </c>
      <c r="G4181" s="3" t="s">
        <v>5031</v>
      </c>
      <c r="H4181" s="3" t="s">
        <v>9911</v>
      </c>
      <c r="I4181" s="17">
        <v>45462</v>
      </c>
      <c r="J4181" s="18">
        <f>YEAR(Tabla1[[#This Row],[FECHA DE COMPRA]])</f>
        <v>2024</v>
      </c>
      <c r="K4181" s="19">
        <v>71.17</v>
      </c>
      <c r="L4181" s="20">
        <v>0.2</v>
      </c>
      <c r="M4181" s="19">
        <f>Tienda!$K2161-Tienda!$K2161*Tienda!$L2161</f>
        <v>119.55199999999999</v>
      </c>
      <c r="N4181" s="3" t="s">
        <v>10038</v>
      </c>
      <c r="O4181" s="3" t="s">
        <v>10042</v>
      </c>
      <c r="P4181" s="17">
        <v>45642</v>
      </c>
      <c r="Q4181" s="4">
        <v>3</v>
      </c>
    </row>
    <row r="4182" spans="1:17" ht="30" x14ac:dyDescent="0.25">
      <c r="A4182" s="2" t="s">
        <v>3386</v>
      </c>
      <c r="B4182" s="3" t="s">
        <v>5015</v>
      </c>
      <c r="C4182" s="3">
        <v>37</v>
      </c>
      <c r="D4182" s="46" t="str">
        <f>IF(Tabla1[[#This Row],[EDAD]]&lt;=35,"Adultos jóvenes 18 - 35 años",IF(C4182&gt;=36,"Adultos mayores 36 años en adelante"))</f>
        <v>Adultos mayores 36 años en adelante</v>
      </c>
      <c r="E4182" s="3" t="s">
        <v>5017</v>
      </c>
      <c r="F4182" s="3" t="s">
        <v>5024</v>
      </c>
      <c r="G4182" s="3" t="s">
        <v>5036</v>
      </c>
      <c r="H4182" s="3" t="s">
        <v>8409</v>
      </c>
      <c r="I4182" s="17">
        <v>45344</v>
      </c>
      <c r="J4182" s="18">
        <f>YEAR(Tabla1[[#This Row],[FECHA DE COMPRA]])</f>
        <v>2024</v>
      </c>
      <c r="K4182" s="19">
        <v>56.97</v>
      </c>
      <c r="L4182" s="20">
        <v>0</v>
      </c>
      <c r="M4182" s="19">
        <f>Tienda!$K2162-Tienda!$K2162*Tienda!$L2162</f>
        <v>12.82</v>
      </c>
      <c r="N4182" s="3" t="s">
        <v>10038</v>
      </c>
      <c r="O4182" s="3" t="s">
        <v>10042</v>
      </c>
      <c r="P4182" s="17">
        <v>45614</v>
      </c>
      <c r="Q4182" s="4">
        <v>3</v>
      </c>
    </row>
    <row r="4183" spans="1:17" ht="30" x14ac:dyDescent="0.25">
      <c r="A4183" s="2" t="s">
        <v>4069</v>
      </c>
      <c r="B4183" s="3" t="s">
        <v>5016</v>
      </c>
      <c r="C4183" s="3">
        <v>51</v>
      </c>
      <c r="D4183" s="46" t="str">
        <f>IF(Tabla1[[#This Row],[EDAD]]&lt;=35,"Adultos jóvenes 18 - 35 años",IF(C4183&gt;=36,"Adultos mayores 36 años en adelante"))</f>
        <v>Adultos mayores 36 años en adelante</v>
      </c>
      <c r="E4183" s="3" t="s">
        <v>5021</v>
      </c>
      <c r="F4183" s="3" t="s">
        <v>5029</v>
      </c>
      <c r="G4183" s="3" t="s">
        <v>5037</v>
      </c>
      <c r="H4183" s="3" t="s">
        <v>9092</v>
      </c>
      <c r="I4183" s="17">
        <v>45375</v>
      </c>
      <c r="J4183" s="18">
        <f>YEAR(Tabla1[[#This Row],[FECHA DE COMPRA]])</f>
        <v>2024</v>
      </c>
      <c r="K4183" s="19">
        <v>82.14</v>
      </c>
      <c r="L4183" s="20">
        <v>0.3</v>
      </c>
      <c r="M4183" s="19">
        <f>Tienda!$K2167-Tienda!$K2167*Tienda!$L2167</f>
        <v>132.06899999999999</v>
      </c>
      <c r="N4183" s="3" t="s">
        <v>10038</v>
      </c>
      <c r="O4183" s="3" t="s">
        <v>10042</v>
      </c>
      <c r="P4183" s="17">
        <v>45375</v>
      </c>
      <c r="Q4183" s="4">
        <v>3</v>
      </c>
    </row>
    <row r="4184" spans="1:17" ht="30" x14ac:dyDescent="0.25">
      <c r="A4184" s="2" t="s">
        <v>1270</v>
      </c>
      <c r="B4184" s="3" t="s">
        <v>5016</v>
      </c>
      <c r="C4184" s="3">
        <v>62</v>
      </c>
      <c r="D4184" s="46" t="str">
        <f>IF(Tabla1[[#This Row],[EDAD]]&lt;=35,"Adultos jóvenes 18 - 35 años",IF(C4184&gt;=36,"Adultos mayores 36 años en adelante"))</f>
        <v>Adultos mayores 36 años en adelante</v>
      </c>
      <c r="E4184" s="3" t="s">
        <v>5017</v>
      </c>
      <c r="F4184" s="3" t="s">
        <v>5024</v>
      </c>
      <c r="G4184" s="3" t="s">
        <v>5034</v>
      </c>
      <c r="H4184" s="3" t="s">
        <v>6293</v>
      </c>
      <c r="I4184" s="17">
        <v>45598</v>
      </c>
      <c r="J4184" s="18">
        <f>YEAR(Tabla1[[#This Row],[FECHA DE COMPRA]])</f>
        <v>2024</v>
      </c>
      <c r="K4184" s="19">
        <v>71.89</v>
      </c>
      <c r="L4184" s="20">
        <v>0.2</v>
      </c>
      <c r="M4184" s="19">
        <f>Tienda!$K2168-Tienda!$K2168*Tienda!$L2168</f>
        <v>144.66999999999999</v>
      </c>
      <c r="N4184" s="3" t="s">
        <v>10038</v>
      </c>
      <c r="O4184" s="3" t="s">
        <v>10042</v>
      </c>
      <c r="P4184" s="17">
        <v>45778</v>
      </c>
      <c r="Q4184" s="4">
        <v>3</v>
      </c>
    </row>
    <row r="4185" spans="1:17" ht="30" x14ac:dyDescent="0.25">
      <c r="A4185" s="2" t="s">
        <v>1009</v>
      </c>
      <c r="B4185" s="3" t="s">
        <v>5016</v>
      </c>
      <c r="C4185" s="3">
        <v>52</v>
      </c>
      <c r="D4185" s="46" t="str">
        <f>IF(Tabla1[[#This Row],[EDAD]]&lt;=35,"Adultos jóvenes 18 - 35 años",IF(C4185&gt;=36,"Adultos mayores 36 años en adelante"))</f>
        <v>Adultos mayores 36 años en adelante</v>
      </c>
      <c r="E4185" s="3" t="s">
        <v>5023</v>
      </c>
      <c r="F4185" s="3" t="s">
        <v>5029</v>
      </c>
      <c r="G4185" s="3" t="s">
        <v>5035</v>
      </c>
      <c r="H4185" s="3" t="s">
        <v>6032</v>
      </c>
      <c r="I4185" s="17">
        <v>45416</v>
      </c>
      <c r="J4185" s="18">
        <f>YEAR(Tabla1[[#This Row],[FECHA DE COMPRA]])</f>
        <v>2024</v>
      </c>
      <c r="K4185" s="19">
        <v>72.02</v>
      </c>
      <c r="L4185" s="20">
        <v>0.2</v>
      </c>
      <c r="M4185" s="19">
        <f>Tienda!$K2171-Tienda!$K2171*Tienda!$L2171</f>
        <v>114.44000000000001</v>
      </c>
      <c r="N4185" s="3" t="s">
        <v>10038</v>
      </c>
      <c r="O4185" s="3" t="s">
        <v>10042</v>
      </c>
      <c r="P4185" s="17">
        <v>45416</v>
      </c>
      <c r="Q4185" s="4">
        <v>3</v>
      </c>
    </row>
    <row r="4186" spans="1:17" ht="30" x14ac:dyDescent="0.25">
      <c r="A4186" s="2" t="s">
        <v>234</v>
      </c>
      <c r="B4186" s="3" t="s">
        <v>5015</v>
      </c>
      <c r="C4186" s="3">
        <v>53</v>
      </c>
      <c r="D4186" s="46" t="str">
        <f>IF(Tabla1[[#This Row],[EDAD]]&lt;=35,"Adultos jóvenes 18 - 35 años",IF(C4186&gt;=36,"Adultos mayores 36 años en adelante"))</f>
        <v>Adultos mayores 36 años en adelante</v>
      </c>
      <c r="E4186" s="3" t="s">
        <v>5020</v>
      </c>
      <c r="F4186" s="3" t="s">
        <v>5030</v>
      </c>
      <c r="G4186" s="3" t="s">
        <v>5032</v>
      </c>
      <c r="H4186" s="3" t="s">
        <v>5257</v>
      </c>
      <c r="I4186" s="17">
        <v>45645</v>
      </c>
      <c r="J4186" s="18">
        <f>YEAR(Tabla1[[#This Row],[FECHA DE COMPRA]])</f>
        <v>2024</v>
      </c>
      <c r="K4186" s="19">
        <v>83.83</v>
      </c>
      <c r="L4186" s="20">
        <v>0.3</v>
      </c>
      <c r="M4186" s="19">
        <f>Tienda!$K2179-Tienda!$K2179*Tienda!$L2179</f>
        <v>138.80699999999999</v>
      </c>
      <c r="N4186" s="3" t="s">
        <v>10038</v>
      </c>
      <c r="O4186" s="3" t="s">
        <v>10042</v>
      </c>
      <c r="P4186" s="17">
        <v>45735</v>
      </c>
      <c r="Q4186" s="4">
        <v>3</v>
      </c>
    </row>
    <row r="4187" spans="1:17" ht="30" x14ac:dyDescent="0.25">
      <c r="A4187" s="2" t="s">
        <v>579</v>
      </c>
      <c r="B4187" s="3" t="s">
        <v>5015</v>
      </c>
      <c r="C4187" s="3">
        <v>49</v>
      </c>
      <c r="D4187" s="46" t="str">
        <f>IF(Tabla1[[#This Row],[EDAD]]&lt;=35,"Adultos jóvenes 18 - 35 años",IF(C4187&gt;=36,"Adultos mayores 36 años en adelante"))</f>
        <v>Adultos mayores 36 años en adelante</v>
      </c>
      <c r="E4187" s="3" t="s">
        <v>5019</v>
      </c>
      <c r="F4187" s="3" t="s">
        <v>5028</v>
      </c>
      <c r="G4187" s="3" t="s">
        <v>5036</v>
      </c>
      <c r="H4187" s="3" t="s">
        <v>5602</v>
      </c>
      <c r="I4187" s="17">
        <v>45363</v>
      </c>
      <c r="J4187" s="18">
        <f>YEAR(Tabla1[[#This Row],[FECHA DE COMPRA]])</f>
        <v>2024</v>
      </c>
      <c r="K4187" s="19">
        <v>59.06</v>
      </c>
      <c r="L4187" s="20">
        <v>0</v>
      </c>
      <c r="M4187" s="19">
        <f>Tienda!$K2182-Tienda!$K2182*Tienda!$L2182</f>
        <v>103.976</v>
      </c>
      <c r="N4187" s="3" t="s">
        <v>10038</v>
      </c>
      <c r="O4187" s="3" t="s">
        <v>10042</v>
      </c>
      <c r="P4187" s="17">
        <v>45363</v>
      </c>
      <c r="Q4187" s="4">
        <v>3</v>
      </c>
    </row>
    <row r="4188" spans="1:17" ht="30" x14ac:dyDescent="0.25">
      <c r="A4188" s="2" t="s">
        <v>332</v>
      </c>
      <c r="B4188" s="3" t="s">
        <v>5015</v>
      </c>
      <c r="C4188" s="3">
        <v>38</v>
      </c>
      <c r="D4188" s="46" t="str">
        <f>IF(Tabla1[[#This Row],[EDAD]]&lt;=35,"Adultos jóvenes 18 - 35 años",IF(C4188&gt;=36,"Adultos mayores 36 años en adelante"))</f>
        <v>Adultos mayores 36 años en adelante</v>
      </c>
      <c r="E4188" s="3" t="s">
        <v>5022</v>
      </c>
      <c r="F4188" s="3" t="s">
        <v>5025</v>
      </c>
      <c r="G4188" s="3" t="s">
        <v>5037</v>
      </c>
      <c r="H4188" s="3" t="s">
        <v>5355</v>
      </c>
      <c r="I4188" s="17">
        <v>45310</v>
      </c>
      <c r="J4188" s="18">
        <f>YEAR(Tabla1[[#This Row],[FECHA DE COMPRA]])</f>
        <v>2024</v>
      </c>
      <c r="K4188" s="19">
        <v>65.680000000000007</v>
      </c>
      <c r="L4188" s="20">
        <v>0.1</v>
      </c>
      <c r="M4188" s="19">
        <f>Tienda!$K2185-Tienda!$K2185*Tienda!$L2185</f>
        <v>39.936</v>
      </c>
      <c r="N4188" s="3" t="s">
        <v>10038</v>
      </c>
      <c r="O4188" s="3" t="s">
        <v>10042</v>
      </c>
      <c r="P4188" s="17">
        <v>45310</v>
      </c>
      <c r="Q4188" s="4">
        <v>3</v>
      </c>
    </row>
    <row r="4189" spans="1:17" ht="30" x14ac:dyDescent="0.25">
      <c r="A4189" s="2" t="s">
        <v>4329</v>
      </c>
      <c r="B4189" s="3" t="s">
        <v>5016</v>
      </c>
      <c r="C4189" s="3">
        <v>42</v>
      </c>
      <c r="D4189" s="46" t="str">
        <f>IF(Tabla1[[#This Row],[EDAD]]&lt;=35,"Adultos jóvenes 18 - 35 años",IF(C4189&gt;=36,"Adultos mayores 36 años en adelante"))</f>
        <v>Adultos mayores 36 años en adelante</v>
      </c>
      <c r="E4189" s="3" t="s">
        <v>5023</v>
      </c>
      <c r="F4189" s="3" t="s">
        <v>5025</v>
      </c>
      <c r="G4189" s="3" t="s">
        <v>5037</v>
      </c>
      <c r="H4189" s="3" t="s">
        <v>9352</v>
      </c>
      <c r="I4189" s="17">
        <v>45341</v>
      </c>
      <c r="J4189" s="18">
        <f>YEAR(Tabla1[[#This Row],[FECHA DE COMPRA]])</f>
        <v>2024</v>
      </c>
      <c r="K4189" s="19">
        <v>65.790000000000006</v>
      </c>
      <c r="L4189" s="20">
        <v>0.1</v>
      </c>
      <c r="M4189" s="19">
        <f>Tienda!$K2186-Tienda!$K2186*Tienda!$L2186</f>
        <v>71.162000000000006</v>
      </c>
      <c r="N4189" s="3" t="s">
        <v>10038</v>
      </c>
      <c r="O4189" s="3" t="s">
        <v>10042</v>
      </c>
      <c r="P4189" s="17">
        <v>45341</v>
      </c>
      <c r="Q4189" s="4">
        <v>3</v>
      </c>
    </row>
    <row r="4190" spans="1:17" ht="30" x14ac:dyDescent="0.25">
      <c r="A4190" s="2" t="s">
        <v>2412</v>
      </c>
      <c r="B4190" s="3" t="s">
        <v>5015</v>
      </c>
      <c r="C4190" s="3">
        <v>54</v>
      </c>
      <c r="D4190" s="46" t="str">
        <f>IF(Tabla1[[#This Row],[EDAD]]&lt;=35,"Adultos jóvenes 18 - 35 años",IF(C4190&gt;=36,"Adultos mayores 36 años en adelante"))</f>
        <v>Adultos mayores 36 años en adelante</v>
      </c>
      <c r="E4190" s="3" t="s">
        <v>5021</v>
      </c>
      <c r="F4190" s="3" t="s">
        <v>5024</v>
      </c>
      <c r="G4190" s="3" t="s">
        <v>5033</v>
      </c>
      <c r="H4190" s="3" t="s">
        <v>7435</v>
      </c>
      <c r="I4190" s="17">
        <v>45366</v>
      </c>
      <c r="J4190" s="18">
        <f>YEAR(Tabla1[[#This Row],[FECHA DE COMPRA]])</f>
        <v>2024</v>
      </c>
      <c r="K4190" s="19">
        <v>65.989999999999995</v>
      </c>
      <c r="L4190" s="20">
        <v>0.1</v>
      </c>
      <c r="M4190" s="19">
        <f>Tienda!$K2187-Tienda!$K2187*Tienda!$L2187</f>
        <v>111.59200000000001</v>
      </c>
      <c r="N4190" s="3" t="s">
        <v>10038</v>
      </c>
      <c r="O4190" s="3" t="s">
        <v>10042</v>
      </c>
      <c r="P4190" s="17">
        <v>45456</v>
      </c>
      <c r="Q4190" s="4">
        <v>3</v>
      </c>
    </row>
    <row r="4191" spans="1:17" ht="30" x14ac:dyDescent="0.25">
      <c r="A4191" s="2" t="s">
        <v>4393</v>
      </c>
      <c r="B4191" s="3" t="s">
        <v>5015</v>
      </c>
      <c r="C4191" s="3">
        <v>56</v>
      </c>
      <c r="D4191" s="46" t="str">
        <f>IF(Tabla1[[#This Row],[EDAD]]&lt;=35,"Adultos jóvenes 18 - 35 años",IF(C4191&gt;=36,"Adultos mayores 36 años en adelante"))</f>
        <v>Adultos mayores 36 años en adelante</v>
      </c>
      <c r="E4191" s="3" t="s">
        <v>5022</v>
      </c>
      <c r="F4191" s="3" t="s">
        <v>5026</v>
      </c>
      <c r="G4191" s="3" t="s">
        <v>5036</v>
      </c>
      <c r="H4191" s="3" t="s">
        <v>9416</v>
      </c>
      <c r="I4191" s="17">
        <v>45360</v>
      </c>
      <c r="J4191" s="18">
        <f>YEAR(Tabla1[[#This Row],[FECHA DE COMPRA]])</f>
        <v>2024</v>
      </c>
      <c r="K4191" s="19">
        <v>66.099999999999994</v>
      </c>
      <c r="L4191" s="20">
        <v>0.1</v>
      </c>
      <c r="M4191" s="19">
        <f>Tienda!$K2190-Tienda!$K2190*Tienda!$L2190</f>
        <v>68.47999999999999</v>
      </c>
      <c r="N4191" s="3" t="s">
        <v>10038</v>
      </c>
      <c r="O4191" s="3" t="s">
        <v>10042</v>
      </c>
      <c r="P4191" s="17">
        <v>45360</v>
      </c>
      <c r="Q4191" s="4">
        <v>3</v>
      </c>
    </row>
    <row r="4192" spans="1:17" ht="30" x14ac:dyDescent="0.25">
      <c r="A4192" s="2" t="s">
        <v>2130</v>
      </c>
      <c r="B4192" s="3" t="s">
        <v>5015</v>
      </c>
      <c r="C4192" s="3">
        <v>36</v>
      </c>
      <c r="D4192" s="46" t="str">
        <f>IF(Tabla1[[#This Row],[EDAD]]&lt;=35,"Adultos jóvenes 18 - 35 años",IF(C4192&gt;=36,"Adultos mayores 36 años en adelante"))</f>
        <v>Adultos mayores 36 años en adelante</v>
      </c>
      <c r="E4192" s="3" t="s">
        <v>5019</v>
      </c>
      <c r="F4192" s="3" t="s">
        <v>5029</v>
      </c>
      <c r="G4192" s="3" t="s">
        <v>5031</v>
      </c>
      <c r="H4192" s="3" t="s">
        <v>7153</v>
      </c>
      <c r="I4192" s="17">
        <v>45541</v>
      </c>
      <c r="J4192" s="18">
        <f>YEAR(Tabla1[[#This Row],[FECHA DE COMPRA]])</f>
        <v>2024</v>
      </c>
      <c r="K4192" s="19">
        <v>59.59</v>
      </c>
      <c r="L4192" s="20">
        <v>0</v>
      </c>
      <c r="M4192" s="19">
        <f>Tienda!$K2191-Tienda!$K2191*Tienda!$L2191</f>
        <v>99.527999999999992</v>
      </c>
      <c r="N4192" s="3" t="s">
        <v>10038</v>
      </c>
      <c r="O4192" s="3" t="s">
        <v>10042</v>
      </c>
      <c r="P4192" s="17">
        <v>45811</v>
      </c>
      <c r="Q4192" s="4">
        <v>3</v>
      </c>
    </row>
    <row r="4193" spans="1:17" ht="30" x14ac:dyDescent="0.25">
      <c r="A4193" s="2" t="s">
        <v>3411</v>
      </c>
      <c r="B4193" s="3" t="s">
        <v>5015</v>
      </c>
      <c r="C4193" s="3">
        <v>56</v>
      </c>
      <c r="D4193" s="46" t="str">
        <f>IF(Tabla1[[#This Row],[EDAD]]&lt;=35,"Adultos jóvenes 18 - 35 años",IF(C4193&gt;=36,"Adultos mayores 36 años en adelante"))</f>
        <v>Adultos mayores 36 años en adelante</v>
      </c>
      <c r="E4193" s="3" t="s">
        <v>5022</v>
      </c>
      <c r="F4193" s="3" t="s">
        <v>5024</v>
      </c>
      <c r="G4193" s="3" t="s">
        <v>5031</v>
      </c>
      <c r="H4193" s="3" t="s">
        <v>8434</v>
      </c>
      <c r="I4193" s="17">
        <v>45630</v>
      </c>
      <c r="J4193" s="18">
        <f>YEAR(Tabla1[[#This Row],[FECHA DE COMPRA]])</f>
        <v>2024</v>
      </c>
      <c r="K4193" s="19">
        <v>59.71</v>
      </c>
      <c r="L4193" s="20">
        <v>0</v>
      </c>
      <c r="M4193" s="19">
        <f>Tienda!$K2192-Tienda!$K2192*Tienda!$L2192</f>
        <v>49.266000000000005</v>
      </c>
      <c r="N4193" s="3" t="s">
        <v>10038</v>
      </c>
      <c r="O4193" s="3" t="s">
        <v>10042</v>
      </c>
      <c r="P4193" s="17">
        <v>45720</v>
      </c>
      <c r="Q4193" s="4">
        <v>3</v>
      </c>
    </row>
    <row r="4194" spans="1:17" ht="30" x14ac:dyDescent="0.25">
      <c r="A4194" s="2" t="s">
        <v>4084</v>
      </c>
      <c r="B4194" s="3" t="s">
        <v>5015</v>
      </c>
      <c r="C4194" s="3">
        <v>36</v>
      </c>
      <c r="D4194" s="46" t="str">
        <f>IF(Tabla1[[#This Row],[EDAD]]&lt;=35,"Adultos jóvenes 18 - 35 años",IF(C4194&gt;=36,"Adultos mayores 36 años en adelante"))</f>
        <v>Adultos mayores 36 años en adelante</v>
      </c>
      <c r="E4194" s="3" t="s">
        <v>5021</v>
      </c>
      <c r="F4194" s="3" t="s">
        <v>5029</v>
      </c>
      <c r="G4194" s="3" t="s">
        <v>5036</v>
      </c>
      <c r="H4194" s="3" t="s">
        <v>9107</v>
      </c>
      <c r="I4194" s="17">
        <v>45505</v>
      </c>
      <c r="J4194" s="18">
        <f>YEAR(Tabla1[[#This Row],[FECHA DE COMPRA]])</f>
        <v>2024</v>
      </c>
      <c r="K4194" s="19">
        <v>85.41</v>
      </c>
      <c r="L4194" s="20">
        <v>0.3</v>
      </c>
      <c r="M4194" s="19">
        <f>Tienda!$K2193-Tienda!$K2193*Tienda!$L2193</f>
        <v>105.35999999999999</v>
      </c>
      <c r="N4194" s="3" t="s">
        <v>10038</v>
      </c>
      <c r="O4194" s="3" t="s">
        <v>10042</v>
      </c>
      <c r="P4194" s="17">
        <v>45505</v>
      </c>
      <c r="Q4194" s="4">
        <v>3</v>
      </c>
    </row>
    <row r="4195" spans="1:17" ht="30" x14ac:dyDescent="0.25">
      <c r="A4195" s="2" t="s">
        <v>3239</v>
      </c>
      <c r="B4195" s="3" t="s">
        <v>5015</v>
      </c>
      <c r="C4195" s="3">
        <v>48</v>
      </c>
      <c r="D4195" s="46" t="str">
        <f>IF(Tabla1[[#This Row],[EDAD]]&lt;=35,"Adultos jóvenes 18 - 35 años",IF(C4195&gt;=36,"Adultos mayores 36 años en adelante"))</f>
        <v>Adultos mayores 36 años en adelante</v>
      </c>
      <c r="E4195" s="3" t="s">
        <v>5017</v>
      </c>
      <c r="F4195" s="3" t="s">
        <v>5025</v>
      </c>
      <c r="G4195" s="3" t="s">
        <v>5037</v>
      </c>
      <c r="H4195" s="3" t="s">
        <v>8262</v>
      </c>
      <c r="I4195" s="17">
        <v>45499</v>
      </c>
      <c r="J4195" s="18">
        <f>YEAR(Tabla1[[#This Row],[FECHA DE COMPRA]])</f>
        <v>2024</v>
      </c>
      <c r="K4195" s="19">
        <v>85.61</v>
      </c>
      <c r="L4195" s="20">
        <v>0.3</v>
      </c>
      <c r="M4195" s="19">
        <f>Tienda!$K2195-Tienda!$K2195*Tienda!$L2195</f>
        <v>60.255999999999993</v>
      </c>
      <c r="N4195" s="3" t="s">
        <v>10038</v>
      </c>
      <c r="O4195" s="3" t="s">
        <v>10042</v>
      </c>
      <c r="P4195" s="17">
        <v>45769</v>
      </c>
      <c r="Q4195" s="4">
        <v>3</v>
      </c>
    </row>
    <row r="4196" spans="1:17" ht="30" x14ac:dyDescent="0.25">
      <c r="A4196" s="2" t="s">
        <v>1754</v>
      </c>
      <c r="B4196" s="3" t="s">
        <v>5016</v>
      </c>
      <c r="C4196" s="3">
        <v>40</v>
      </c>
      <c r="D4196" s="46" t="str">
        <f>IF(Tabla1[[#This Row],[EDAD]]&lt;=35,"Adultos jóvenes 18 - 35 años",IF(C4196&gt;=36,"Adultos mayores 36 años en adelante"))</f>
        <v>Adultos mayores 36 años en adelante</v>
      </c>
      <c r="E4196" s="3" t="s">
        <v>5019</v>
      </c>
      <c r="F4196" s="3" t="s">
        <v>5024</v>
      </c>
      <c r="G4196" s="3" t="s">
        <v>5037</v>
      </c>
      <c r="H4196" s="3" t="s">
        <v>6777</v>
      </c>
      <c r="I4196" s="17">
        <v>45574</v>
      </c>
      <c r="J4196" s="18">
        <f>YEAR(Tabla1[[#This Row],[FECHA DE COMPRA]])</f>
        <v>2024</v>
      </c>
      <c r="K4196" s="19">
        <v>75.2</v>
      </c>
      <c r="L4196" s="20">
        <v>0.2</v>
      </c>
      <c r="M4196" s="19">
        <f>Tienda!$K2197-Tienda!$K2197*Tienda!$L2197</f>
        <v>133.864</v>
      </c>
      <c r="N4196" s="3" t="s">
        <v>10038</v>
      </c>
      <c r="O4196" s="3" t="s">
        <v>10042</v>
      </c>
      <c r="P4196" s="17">
        <v>45664</v>
      </c>
      <c r="Q4196" s="4">
        <v>3</v>
      </c>
    </row>
    <row r="4197" spans="1:17" ht="30" x14ac:dyDescent="0.25">
      <c r="A4197" s="2" t="s">
        <v>2974</v>
      </c>
      <c r="B4197" s="3" t="s">
        <v>5015</v>
      </c>
      <c r="C4197" s="3">
        <v>51</v>
      </c>
      <c r="D4197" s="46" t="str">
        <f>IF(Tabla1[[#This Row],[EDAD]]&lt;=35,"Adultos jóvenes 18 - 35 años",IF(C4197&gt;=36,"Adultos mayores 36 años en adelante"))</f>
        <v>Adultos mayores 36 años en adelante</v>
      </c>
      <c r="E4197" s="3" t="s">
        <v>5022</v>
      </c>
      <c r="F4197" s="3" t="s">
        <v>5025</v>
      </c>
      <c r="G4197" s="3" t="s">
        <v>5031</v>
      </c>
      <c r="H4197" s="3" t="s">
        <v>7997</v>
      </c>
      <c r="I4197" s="17">
        <v>45636</v>
      </c>
      <c r="J4197" s="18">
        <f>YEAR(Tabla1[[#This Row],[FECHA DE COMPRA]])</f>
        <v>2024</v>
      </c>
      <c r="K4197" s="19">
        <v>76.03</v>
      </c>
      <c r="L4197" s="20">
        <v>0.2</v>
      </c>
      <c r="M4197" s="19">
        <f>Tienda!$K2200-Tienda!$K2200*Tienda!$L2200</f>
        <v>117.49600000000001</v>
      </c>
      <c r="N4197" s="3" t="s">
        <v>10038</v>
      </c>
      <c r="O4197" s="3" t="s">
        <v>10042</v>
      </c>
      <c r="P4197" s="17">
        <v>45818</v>
      </c>
      <c r="Q4197" s="4">
        <v>3</v>
      </c>
    </row>
    <row r="4198" spans="1:17" ht="30" x14ac:dyDescent="0.25">
      <c r="A4198" s="2" t="s">
        <v>4430</v>
      </c>
      <c r="B4198" s="3" t="s">
        <v>5015</v>
      </c>
      <c r="C4198" s="3">
        <v>36</v>
      </c>
      <c r="D4198" s="46" t="str">
        <f>IF(Tabla1[[#This Row],[EDAD]]&lt;=35,"Adultos jóvenes 18 - 35 años",IF(C4198&gt;=36,"Adultos mayores 36 años en adelante"))</f>
        <v>Adultos mayores 36 años en adelante</v>
      </c>
      <c r="E4198" s="3" t="s">
        <v>5020</v>
      </c>
      <c r="F4198" s="3" t="s">
        <v>5027</v>
      </c>
      <c r="G4198" s="3" t="s">
        <v>5036</v>
      </c>
      <c r="H4198" s="3" t="s">
        <v>9453</v>
      </c>
      <c r="I4198" s="17">
        <v>45388</v>
      </c>
      <c r="J4198" s="18">
        <f>YEAR(Tabla1[[#This Row],[FECHA DE COMPRA]])</f>
        <v>2024</v>
      </c>
      <c r="K4198" s="19">
        <v>87.34</v>
      </c>
      <c r="L4198" s="20">
        <v>0.3</v>
      </c>
      <c r="M4198" s="19">
        <f>Tienda!$K2202-Tienda!$K2202*Tienda!$L2202</f>
        <v>162.04</v>
      </c>
      <c r="N4198" s="3" t="s">
        <v>10038</v>
      </c>
      <c r="O4198" s="3" t="s">
        <v>10042</v>
      </c>
      <c r="P4198" s="17">
        <v>45388</v>
      </c>
      <c r="Q4198" s="4">
        <v>3</v>
      </c>
    </row>
    <row r="4199" spans="1:17" ht="30" x14ac:dyDescent="0.25">
      <c r="A4199" s="2" t="s">
        <v>4878</v>
      </c>
      <c r="B4199" s="3" t="s">
        <v>5016</v>
      </c>
      <c r="C4199" s="3">
        <v>43</v>
      </c>
      <c r="D4199" s="46" t="str">
        <f>IF(Tabla1[[#This Row],[EDAD]]&lt;=35,"Adultos jóvenes 18 - 35 años",IF(C4199&gt;=36,"Adultos mayores 36 años en adelante"))</f>
        <v>Adultos mayores 36 años en adelante</v>
      </c>
      <c r="E4199" s="3" t="s">
        <v>5023</v>
      </c>
      <c r="F4199" s="3" t="s">
        <v>5024</v>
      </c>
      <c r="G4199" s="3" t="s">
        <v>5036</v>
      </c>
      <c r="H4199" s="3" t="s">
        <v>9901</v>
      </c>
      <c r="I4199" s="17">
        <v>45339</v>
      </c>
      <c r="J4199" s="18">
        <f>YEAR(Tabla1[[#This Row],[FECHA DE COMPRA]])</f>
        <v>2024</v>
      </c>
      <c r="K4199" s="19">
        <v>87.52</v>
      </c>
      <c r="L4199" s="20">
        <v>0.3</v>
      </c>
      <c r="M4199" s="19">
        <f>Tienda!$K2204-Tienda!$K2204*Tienda!$L2204</f>
        <v>64.19</v>
      </c>
      <c r="N4199" s="3" t="s">
        <v>10038</v>
      </c>
      <c r="O4199" s="3" t="s">
        <v>10042</v>
      </c>
      <c r="P4199" s="17">
        <v>45519</v>
      </c>
      <c r="Q4199" s="4">
        <v>3</v>
      </c>
    </row>
    <row r="4200" spans="1:17" ht="30" x14ac:dyDescent="0.25">
      <c r="A4200" s="2" t="s">
        <v>3564</v>
      </c>
      <c r="B4200" s="3" t="s">
        <v>5016</v>
      </c>
      <c r="C4200" s="3">
        <v>64</v>
      </c>
      <c r="D4200" s="46" t="str">
        <f>IF(Tabla1[[#This Row],[EDAD]]&lt;=35,"Adultos jóvenes 18 - 35 años",IF(C4200&gt;=36,"Adultos mayores 36 años en adelante"))</f>
        <v>Adultos mayores 36 años en adelante</v>
      </c>
      <c r="E4200" s="3" t="s">
        <v>5019</v>
      </c>
      <c r="F4200" s="3" t="s">
        <v>5026</v>
      </c>
      <c r="G4200" s="3" t="s">
        <v>5031</v>
      </c>
      <c r="H4200" s="3" t="s">
        <v>8587</v>
      </c>
      <c r="I4200" s="17">
        <v>45467</v>
      </c>
      <c r="J4200" s="18">
        <f>YEAR(Tabla1[[#This Row],[FECHA DE COMPRA]])</f>
        <v>2024</v>
      </c>
      <c r="K4200" s="19">
        <v>68.290000000000006</v>
      </c>
      <c r="L4200" s="20">
        <v>0.1</v>
      </c>
      <c r="M4200" s="19">
        <f>Tienda!$K2206-Tienda!$K2206*Tienda!$L2206</f>
        <v>118.36800000000001</v>
      </c>
      <c r="N4200" s="3" t="s">
        <v>10038</v>
      </c>
      <c r="O4200" s="3" t="s">
        <v>10042</v>
      </c>
      <c r="P4200" s="17">
        <v>45737</v>
      </c>
      <c r="Q4200" s="4">
        <v>3</v>
      </c>
    </row>
    <row r="4201" spans="1:17" ht="30" x14ac:dyDescent="0.25">
      <c r="A4201" s="2" t="s">
        <v>2459</v>
      </c>
      <c r="B4201" s="3" t="s">
        <v>5015</v>
      </c>
      <c r="C4201" s="3">
        <v>51</v>
      </c>
      <c r="D4201" s="46" t="str">
        <f>IF(Tabla1[[#This Row],[EDAD]]&lt;=35,"Adultos jóvenes 18 - 35 años",IF(C4201&gt;=36,"Adultos mayores 36 años en adelante"))</f>
        <v>Adultos mayores 36 años en adelante</v>
      </c>
      <c r="E4201" s="3" t="s">
        <v>5021</v>
      </c>
      <c r="F4201" s="3" t="s">
        <v>5026</v>
      </c>
      <c r="G4201" s="3" t="s">
        <v>5036</v>
      </c>
      <c r="H4201" s="3" t="s">
        <v>7482</v>
      </c>
      <c r="I4201" s="17">
        <v>45541</v>
      </c>
      <c r="J4201" s="18">
        <f>YEAR(Tabla1[[#This Row],[FECHA DE COMPRA]])</f>
        <v>2024</v>
      </c>
      <c r="K4201" s="19">
        <v>76.959999999999994</v>
      </c>
      <c r="L4201" s="20">
        <v>0.2</v>
      </c>
      <c r="M4201" s="19">
        <f>Tienda!$K2207-Tienda!$K2207*Tienda!$L2207</f>
        <v>177.86699999999999</v>
      </c>
      <c r="N4201" s="3" t="s">
        <v>10038</v>
      </c>
      <c r="O4201" s="3" t="s">
        <v>10042</v>
      </c>
      <c r="P4201" s="17">
        <v>45631</v>
      </c>
      <c r="Q4201" s="4">
        <v>3</v>
      </c>
    </row>
    <row r="4202" spans="1:17" ht="30" x14ac:dyDescent="0.25">
      <c r="A4202" s="2" t="s">
        <v>1831</v>
      </c>
      <c r="B4202" s="3" t="s">
        <v>5015</v>
      </c>
      <c r="C4202" s="3">
        <v>40</v>
      </c>
      <c r="D4202" s="46" t="str">
        <f>IF(Tabla1[[#This Row],[EDAD]]&lt;=35,"Adultos jóvenes 18 - 35 años",IF(C4202&gt;=36,"Adultos mayores 36 años en adelante"))</f>
        <v>Adultos mayores 36 años en adelante</v>
      </c>
      <c r="E4202" s="3" t="s">
        <v>5018</v>
      </c>
      <c r="F4202" s="3" t="s">
        <v>5024</v>
      </c>
      <c r="G4202" s="3" t="s">
        <v>5035</v>
      </c>
      <c r="H4202" s="3" t="s">
        <v>6854</v>
      </c>
      <c r="I4202" s="17">
        <v>45504</v>
      </c>
      <c r="J4202" s="18">
        <f>YEAR(Tabla1[[#This Row],[FECHA DE COMPRA]])</f>
        <v>2024</v>
      </c>
      <c r="K4202" s="19">
        <v>68.44</v>
      </c>
      <c r="L4202" s="20">
        <v>0.1</v>
      </c>
      <c r="M4202" s="19">
        <f>Tienda!$K2208-Tienda!$K2208*Tienda!$L2208</f>
        <v>23.667000000000002</v>
      </c>
      <c r="N4202" s="3" t="s">
        <v>10038</v>
      </c>
      <c r="O4202" s="3" t="s">
        <v>10042</v>
      </c>
      <c r="P4202" s="17">
        <v>45864</v>
      </c>
      <c r="Q4202" s="4">
        <v>3</v>
      </c>
    </row>
    <row r="4203" spans="1:17" ht="30" x14ac:dyDescent="0.25">
      <c r="A4203" s="2" t="s">
        <v>3451</v>
      </c>
      <c r="B4203" s="3" t="s">
        <v>5015</v>
      </c>
      <c r="C4203" s="3">
        <v>44</v>
      </c>
      <c r="D4203" s="46" t="str">
        <f>IF(Tabla1[[#This Row],[EDAD]]&lt;=35,"Adultos jóvenes 18 - 35 años",IF(C4203&gt;=36,"Adultos mayores 36 años en adelante"))</f>
        <v>Adultos mayores 36 años en adelante</v>
      </c>
      <c r="E4203" s="3" t="s">
        <v>5020</v>
      </c>
      <c r="F4203" s="3" t="s">
        <v>5029</v>
      </c>
      <c r="G4203" s="3" t="s">
        <v>5033</v>
      </c>
      <c r="H4203" s="3" t="s">
        <v>8474</v>
      </c>
      <c r="I4203" s="17">
        <v>45534</v>
      </c>
      <c r="J4203" s="18">
        <f>YEAR(Tabla1[[#This Row],[FECHA DE COMPRA]])</f>
        <v>2024</v>
      </c>
      <c r="K4203" s="19">
        <v>77.150000000000006</v>
      </c>
      <c r="L4203" s="20">
        <v>0.2</v>
      </c>
      <c r="M4203" s="19">
        <f>Tienda!$K2210-Tienda!$K2210*Tienda!$L2210</f>
        <v>112.67</v>
      </c>
      <c r="N4203" s="3" t="s">
        <v>10038</v>
      </c>
      <c r="O4203" s="3" t="s">
        <v>10042</v>
      </c>
      <c r="P4203" s="17">
        <v>45804</v>
      </c>
      <c r="Q4203" s="4">
        <v>3</v>
      </c>
    </row>
    <row r="4204" spans="1:17" ht="30" x14ac:dyDescent="0.25">
      <c r="A4204" s="2" t="s">
        <v>4542</v>
      </c>
      <c r="B4204" s="3" t="s">
        <v>5015</v>
      </c>
      <c r="C4204" s="3">
        <v>48</v>
      </c>
      <c r="D4204" s="46" t="str">
        <f>IF(Tabla1[[#This Row],[EDAD]]&lt;=35,"Adultos jóvenes 18 - 35 años",IF(C4204&gt;=36,"Adultos mayores 36 años en adelante"))</f>
        <v>Adultos mayores 36 años en adelante</v>
      </c>
      <c r="E4204" s="3" t="s">
        <v>5018</v>
      </c>
      <c r="F4204" s="3" t="s">
        <v>5024</v>
      </c>
      <c r="G4204" s="3" t="s">
        <v>5031</v>
      </c>
      <c r="H4204" s="3" t="s">
        <v>9565</v>
      </c>
      <c r="I4204" s="17">
        <v>45575</v>
      </c>
      <c r="J4204" s="18">
        <f>YEAR(Tabla1[[#This Row],[FECHA DE COMPRA]])</f>
        <v>2024</v>
      </c>
      <c r="K4204" s="19">
        <v>69.45</v>
      </c>
      <c r="L4204" s="20">
        <v>0.1</v>
      </c>
      <c r="M4204" s="19">
        <f>Tienda!$K2217-Tienda!$K2217*Tienda!$L2217</f>
        <v>196.88</v>
      </c>
      <c r="N4204" s="3" t="s">
        <v>10038</v>
      </c>
      <c r="O4204" s="3" t="s">
        <v>10042</v>
      </c>
      <c r="P4204" s="17">
        <v>45575</v>
      </c>
      <c r="Q4204" s="4">
        <v>3</v>
      </c>
    </row>
    <row r="4205" spans="1:17" ht="30" x14ac:dyDescent="0.25">
      <c r="A4205" s="2" t="s">
        <v>3207</v>
      </c>
      <c r="B4205" s="3" t="s">
        <v>5015</v>
      </c>
      <c r="C4205" s="3">
        <v>53</v>
      </c>
      <c r="D4205" s="46" t="str">
        <f>IF(Tabla1[[#This Row],[EDAD]]&lt;=35,"Adultos jóvenes 18 - 35 años",IF(C4205&gt;=36,"Adultos mayores 36 años en adelante"))</f>
        <v>Adultos mayores 36 años en adelante</v>
      </c>
      <c r="E4205" s="3" t="s">
        <v>5022</v>
      </c>
      <c r="F4205" s="3" t="s">
        <v>5028</v>
      </c>
      <c r="G4205" s="3" t="s">
        <v>5035</v>
      </c>
      <c r="H4205" s="3" t="s">
        <v>8230</v>
      </c>
      <c r="I4205" s="17">
        <v>45422</v>
      </c>
      <c r="J4205" s="18">
        <f>YEAR(Tabla1[[#This Row],[FECHA DE COMPRA]])</f>
        <v>2024</v>
      </c>
      <c r="K4205" s="19">
        <v>90.3</v>
      </c>
      <c r="L4205" s="20">
        <v>0.3</v>
      </c>
      <c r="M4205" s="19">
        <f>Tienda!$K2220-Tienda!$K2220*Tienda!$L2220</f>
        <v>10.827</v>
      </c>
      <c r="N4205" s="3" t="s">
        <v>10038</v>
      </c>
      <c r="O4205" s="3" t="s">
        <v>10042</v>
      </c>
      <c r="P4205" s="17">
        <v>45782</v>
      </c>
      <c r="Q4205" s="4">
        <v>3</v>
      </c>
    </row>
    <row r="4206" spans="1:17" ht="30" x14ac:dyDescent="0.25">
      <c r="A4206" s="2" t="s">
        <v>137</v>
      </c>
      <c r="B4206" s="3" t="s">
        <v>5015</v>
      </c>
      <c r="C4206" s="3">
        <v>62</v>
      </c>
      <c r="D4206" s="46" t="str">
        <f>IF(Tabla1[[#This Row],[EDAD]]&lt;=35,"Adultos jóvenes 18 - 35 años",IF(C4206&gt;=36,"Adultos mayores 36 años en adelante"))</f>
        <v>Adultos mayores 36 años en adelante</v>
      </c>
      <c r="E4206" s="3" t="s">
        <v>5019</v>
      </c>
      <c r="F4206" s="3" t="s">
        <v>5025</v>
      </c>
      <c r="G4206" s="3" t="s">
        <v>5034</v>
      </c>
      <c r="H4206" s="3" t="s">
        <v>5160</v>
      </c>
      <c r="I4206" s="17">
        <v>45634</v>
      </c>
      <c r="J4206" s="18">
        <f>YEAR(Tabla1[[#This Row],[FECHA DE COMPRA]])</f>
        <v>2024</v>
      </c>
      <c r="K4206" s="19">
        <v>63.54</v>
      </c>
      <c r="L4206" s="20">
        <v>0</v>
      </c>
      <c r="M4206" s="19">
        <f>Tienda!$K2224-Tienda!$K2224*Tienda!$L2224</f>
        <v>130.29</v>
      </c>
      <c r="N4206" s="3" t="s">
        <v>10038</v>
      </c>
      <c r="O4206" s="3" t="s">
        <v>10042</v>
      </c>
      <c r="P4206" s="17">
        <v>45810</v>
      </c>
      <c r="Q4206" s="4">
        <v>3</v>
      </c>
    </row>
    <row r="4207" spans="1:17" ht="30" x14ac:dyDescent="0.25">
      <c r="A4207" s="2" t="s">
        <v>653</v>
      </c>
      <c r="B4207" s="3" t="s">
        <v>5015</v>
      </c>
      <c r="C4207" s="3">
        <v>36</v>
      </c>
      <c r="D4207" s="46" t="str">
        <f>IF(Tabla1[[#This Row],[EDAD]]&lt;=35,"Adultos jóvenes 18 - 35 años",IF(C4207&gt;=36,"Adultos mayores 36 años en adelante"))</f>
        <v>Adultos mayores 36 años en adelante</v>
      </c>
      <c r="E4207" s="3" t="s">
        <v>5023</v>
      </c>
      <c r="F4207" s="3" t="s">
        <v>5027</v>
      </c>
      <c r="G4207" s="3" t="s">
        <v>5035</v>
      </c>
      <c r="H4207" s="3" t="s">
        <v>5676</v>
      </c>
      <c r="I4207" s="17">
        <v>45548</v>
      </c>
      <c r="J4207" s="18">
        <f>YEAR(Tabla1[[#This Row],[FECHA DE COMPRA]])</f>
        <v>2024</v>
      </c>
      <c r="K4207" s="19">
        <v>91.08</v>
      </c>
      <c r="L4207" s="20">
        <v>0.3</v>
      </c>
      <c r="M4207" s="19">
        <f>Tienda!$K2227-Tienda!$K2227*Tienda!$L2227</f>
        <v>70.325999999999993</v>
      </c>
      <c r="N4207" s="3" t="s">
        <v>10038</v>
      </c>
      <c r="O4207" s="3" t="s">
        <v>10042</v>
      </c>
      <c r="P4207" s="17">
        <v>45818</v>
      </c>
      <c r="Q4207" s="4">
        <v>3</v>
      </c>
    </row>
    <row r="4208" spans="1:17" ht="30" x14ac:dyDescent="0.25">
      <c r="A4208" s="2" t="s">
        <v>3654</v>
      </c>
      <c r="B4208" s="3" t="s">
        <v>5016</v>
      </c>
      <c r="C4208" s="3">
        <v>49</v>
      </c>
      <c r="D4208" s="46" t="str">
        <f>IF(Tabla1[[#This Row],[EDAD]]&lt;=35,"Adultos jóvenes 18 - 35 años",IF(C4208&gt;=36,"Adultos mayores 36 años en adelante"))</f>
        <v>Adultos mayores 36 años en adelante</v>
      </c>
      <c r="E4208" s="3" t="s">
        <v>5023</v>
      </c>
      <c r="F4208" s="3" t="s">
        <v>5028</v>
      </c>
      <c r="G4208" s="3" t="s">
        <v>5035</v>
      </c>
      <c r="H4208" s="3" t="s">
        <v>8677</v>
      </c>
      <c r="I4208" s="17">
        <v>45341</v>
      </c>
      <c r="J4208" s="18">
        <f>YEAR(Tabla1[[#This Row],[FECHA DE COMPRA]])</f>
        <v>2024</v>
      </c>
      <c r="K4208" s="19">
        <v>91.74</v>
      </c>
      <c r="L4208" s="20">
        <v>0.3</v>
      </c>
      <c r="M4208" s="19">
        <f>Tienda!$K2229-Tienda!$K2229*Tienda!$L2229</f>
        <v>198.98</v>
      </c>
      <c r="N4208" s="3" t="s">
        <v>10038</v>
      </c>
      <c r="O4208" s="3" t="s">
        <v>10042</v>
      </c>
      <c r="P4208" s="17">
        <v>45341</v>
      </c>
      <c r="Q4208" s="4">
        <v>3</v>
      </c>
    </row>
    <row r="4209" spans="1:17" ht="30" x14ac:dyDescent="0.25">
      <c r="A4209" s="2" t="s">
        <v>1086</v>
      </c>
      <c r="B4209" s="3" t="s">
        <v>5016</v>
      </c>
      <c r="C4209" s="3">
        <v>65</v>
      </c>
      <c r="D4209" s="46" t="str">
        <f>IF(Tabla1[[#This Row],[EDAD]]&lt;=35,"Adultos jóvenes 18 - 35 años",IF(C4209&gt;=36,"Adultos mayores 36 años en adelante"))</f>
        <v>Adultos mayores 36 años en adelante</v>
      </c>
      <c r="E4209" s="3" t="s">
        <v>5023</v>
      </c>
      <c r="F4209" s="3" t="s">
        <v>5030</v>
      </c>
      <c r="G4209" s="3" t="s">
        <v>5033</v>
      </c>
      <c r="H4209" s="3" t="s">
        <v>6109</v>
      </c>
      <c r="I4209" s="17">
        <v>45583</v>
      </c>
      <c r="J4209" s="18">
        <f>YEAR(Tabla1[[#This Row],[FECHA DE COMPRA]])</f>
        <v>2024</v>
      </c>
      <c r="K4209" s="19">
        <v>91.88</v>
      </c>
      <c r="L4209" s="20">
        <v>0.3</v>
      </c>
      <c r="M4209" s="19">
        <f>Tienda!$K2230-Tienda!$K2230*Tienda!$L2230</f>
        <v>146.673</v>
      </c>
      <c r="N4209" s="3" t="s">
        <v>10038</v>
      </c>
      <c r="O4209" s="3" t="s">
        <v>10042</v>
      </c>
      <c r="P4209" s="17">
        <v>45943</v>
      </c>
      <c r="Q4209" s="4">
        <v>3</v>
      </c>
    </row>
    <row r="4210" spans="1:17" ht="30" x14ac:dyDescent="0.25">
      <c r="A4210" s="2" t="s">
        <v>1470</v>
      </c>
      <c r="B4210" s="3" t="s">
        <v>5015</v>
      </c>
      <c r="C4210" s="3">
        <v>40</v>
      </c>
      <c r="D4210" s="46" t="str">
        <f>IF(Tabla1[[#This Row],[EDAD]]&lt;=35,"Adultos jóvenes 18 - 35 años",IF(C4210&gt;=36,"Adultos mayores 36 años en adelante"))</f>
        <v>Adultos mayores 36 años en adelante</v>
      </c>
      <c r="E4210" s="3" t="s">
        <v>5023</v>
      </c>
      <c r="F4210" s="3" t="s">
        <v>5030</v>
      </c>
      <c r="G4210" s="3" t="s">
        <v>5034</v>
      </c>
      <c r="H4210" s="3" t="s">
        <v>6493</v>
      </c>
      <c r="I4210" s="17">
        <v>45487</v>
      </c>
      <c r="J4210" s="18">
        <f>YEAR(Tabla1[[#This Row],[FECHA DE COMPRA]])</f>
        <v>2024</v>
      </c>
      <c r="K4210" s="19">
        <v>92.79</v>
      </c>
      <c r="L4210" s="20">
        <v>0.3</v>
      </c>
      <c r="M4210" s="19">
        <f>Tienda!$K2233-Tienda!$K2233*Tienda!$L2233</f>
        <v>131.47</v>
      </c>
      <c r="N4210" s="3" t="s">
        <v>10038</v>
      </c>
      <c r="O4210" s="3" t="s">
        <v>10042</v>
      </c>
      <c r="P4210" s="17">
        <v>45757</v>
      </c>
      <c r="Q4210" s="4">
        <v>3</v>
      </c>
    </row>
    <row r="4211" spans="1:17" ht="30" x14ac:dyDescent="0.25">
      <c r="A4211" s="2" t="s">
        <v>3327</v>
      </c>
      <c r="B4211" s="3" t="s">
        <v>5015</v>
      </c>
      <c r="C4211" s="3">
        <v>62</v>
      </c>
      <c r="D4211" s="46" t="str">
        <f>IF(Tabla1[[#This Row],[EDAD]]&lt;=35,"Adultos jóvenes 18 - 35 años",IF(C4211&gt;=36,"Adultos mayores 36 años en adelante"))</f>
        <v>Adultos mayores 36 años en adelante</v>
      </c>
      <c r="E4211" s="3" t="s">
        <v>5018</v>
      </c>
      <c r="F4211" s="3" t="s">
        <v>5027</v>
      </c>
      <c r="G4211" s="3" t="s">
        <v>5035</v>
      </c>
      <c r="H4211" s="3" t="s">
        <v>8350</v>
      </c>
      <c r="I4211" s="17">
        <v>45635</v>
      </c>
      <c r="J4211" s="18">
        <f>YEAR(Tabla1[[#This Row],[FECHA DE COMPRA]])</f>
        <v>2024</v>
      </c>
      <c r="K4211" s="19">
        <v>65.260000000000005</v>
      </c>
      <c r="L4211" s="20">
        <v>0</v>
      </c>
      <c r="M4211" s="19">
        <f>Tienda!$K2234-Tienda!$K2234*Tienda!$L2234</f>
        <v>113.554</v>
      </c>
      <c r="N4211" s="3" t="s">
        <v>10038</v>
      </c>
      <c r="O4211" s="3" t="s">
        <v>10042</v>
      </c>
      <c r="P4211" s="17">
        <v>45905</v>
      </c>
      <c r="Q4211" s="4">
        <v>3</v>
      </c>
    </row>
    <row r="4212" spans="1:17" ht="30" x14ac:dyDescent="0.25">
      <c r="A4212" s="2" t="s">
        <v>537</v>
      </c>
      <c r="B4212" s="3" t="s">
        <v>5015</v>
      </c>
      <c r="C4212" s="3">
        <v>61</v>
      </c>
      <c r="D4212" s="46" t="str">
        <f>IF(Tabla1[[#This Row],[EDAD]]&lt;=35,"Adultos jóvenes 18 - 35 años",IF(C4212&gt;=36,"Adultos mayores 36 años en adelante"))</f>
        <v>Adultos mayores 36 años en adelante</v>
      </c>
      <c r="E4212" s="3" t="s">
        <v>5018</v>
      </c>
      <c r="F4212" s="3" t="s">
        <v>5028</v>
      </c>
      <c r="G4212" s="3" t="s">
        <v>5035</v>
      </c>
      <c r="H4212" s="3" t="s">
        <v>5560</v>
      </c>
      <c r="I4212" s="17">
        <v>45314</v>
      </c>
      <c r="J4212" s="18">
        <f>YEAR(Tabla1[[#This Row],[FECHA DE COMPRA]])</f>
        <v>2024</v>
      </c>
      <c r="K4212" s="19">
        <v>81.790000000000006</v>
      </c>
      <c r="L4212" s="20">
        <v>0.2</v>
      </c>
      <c r="M4212" s="19">
        <f>Tienda!$K2235-Tienda!$K2235*Tienda!$L2235</f>
        <v>122.63</v>
      </c>
      <c r="N4212" s="3" t="s">
        <v>10038</v>
      </c>
      <c r="O4212" s="3" t="s">
        <v>10042</v>
      </c>
      <c r="P4212" s="17">
        <v>45494</v>
      </c>
      <c r="Q4212" s="4">
        <v>3</v>
      </c>
    </row>
    <row r="4213" spans="1:17" ht="30" x14ac:dyDescent="0.25">
      <c r="A4213" s="2" t="s">
        <v>2170</v>
      </c>
      <c r="B4213" s="3" t="s">
        <v>5015</v>
      </c>
      <c r="C4213" s="3">
        <v>59</v>
      </c>
      <c r="D4213" s="46" t="str">
        <f>IF(Tabla1[[#This Row],[EDAD]]&lt;=35,"Adultos jóvenes 18 - 35 años",IF(C4213&gt;=36,"Adultos mayores 36 años en adelante"))</f>
        <v>Adultos mayores 36 años en adelante</v>
      </c>
      <c r="E4213" s="3" t="s">
        <v>5021</v>
      </c>
      <c r="F4213" s="3" t="s">
        <v>5026</v>
      </c>
      <c r="G4213" s="3" t="s">
        <v>5034</v>
      </c>
      <c r="H4213" s="3" t="s">
        <v>7193</v>
      </c>
      <c r="I4213" s="17">
        <v>45341</v>
      </c>
      <c r="J4213" s="18">
        <f>YEAR(Tabla1[[#This Row],[FECHA DE COMPRA]])</f>
        <v>2024</v>
      </c>
      <c r="K4213" s="19">
        <v>82.18</v>
      </c>
      <c r="L4213" s="20">
        <v>0.2</v>
      </c>
      <c r="M4213" s="19">
        <f>Tienda!$K2237-Tienda!$K2237*Tienda!$L2237</f>
        <v>69.685000000000002</v>
      </c>
      <c r="N4213" s="3" t="s">
        <v>10038</v>
      </c>
      <c r="O4213" s="3" t="s">
        <v>10042</v>
      </c>
      <c r="P4213" s="17">
        <v>45341</v>
      </c>
      <c r="Q4213" s="4">
        <v>3</v>
      </c>
    </row>
    <row r="4214" spans="1:17" ht="30" x14ac:dyDescent="0.25">
      <c r="A4214" s="2" t="s">
        <v>583</v>
      </c>
      <c r="B4214" s="3" t="s">
        <v>5015</v>
      </c>
      <c r="C4214" s="3">
        <v>62</v>
      </c>
      <c r="D4214" s="46" t="str">
        <f>IF(Tabla1[[#This Row],[EDAD]]&lt;=35,"Adultos jóvenes 18 - 35 años",IF(C4214&gt;=36,"Adultos mayores 36 años en adelante"))</f>
        <v>Adultos mayores 36 años en adelante</v>
      </c>
      <c r="E4214" s="3" t="s">
        <v>5017</v>
      </c>
      <c r="F4214" s="3" t="s">
        <v>5030</v>
      </c>
      <c r="G4214" s="3" t="s">
        <v>5035</v>
      </c>
      <c r="H4214" s="3" t="s">
        <v>5606</v>
      </c>
      <c r="I4214" s="17">
        <v>45316</v>
      </c>
      <c r="J4214" s="18">
        <f>YEAR(Tabla1[[#This Row],[FECHA DE COMPRA]])</f>
        <v>2024</v>
      </c>
      <c r="K4214" s="19">
        <v>82.93</v>
      </c>
      <c r="L4214" s="20">
        <v>0.2</v>
      </c>
      <c r="M4214" s="19">
        <f>Tienda!$K2241-Tienda!$K2241*Tienda!$L2241</f>
        <v>14.637</v>
      </c>
      <c r="N4214" s="3" t="s">
        <v>10038</v>
      </c>
      <c r="O4214" s="3" t="s">
        <v>10042</v>
      </c>
      <c r="P4214" s="17">
        <v>45316</v>
      </c>
      <c r="Q4214" s="4">
        <v>3</v>
      </c>
    </row>
    <row r="4215" spans="1:17" ht="30" x14ac:dyDescent="0.25">
      <c r="A4215" s="2" t="s">
        <v>2522</v>
      </c>
      <c r="B4215" s="3" t="s">
        <v>5015</v>
      </c>
      <c r="C4215" s="3">
        <v>48</v>
      </c>
      <c r="D4215" s="46" t="str">
        <f>IF(Tabla1[[#This Row],[EDAD]]&lt;=35,"Adultos jóvenes 18 - 35 años",IF(C4215&gt;=36,"Adultos mayores 36 años en adelante"))</f>
        <v>Adultos mayores 36 años en adelante</v>
      </c>
      <c r="E4215" s="3" t="s">
        <v>5020</v>
      </c>
      <c r="F4215" s="3" t="s">
        <v>5025</v>
      </c>
      <c r="G4215" s="3" t="s">
        <v>5036</v>
      </c>
      <c r="H4215" s="3" t="s">
        <v>7545</v>
      </c>
      <c r="I4215" s="17">
        <v>45560</v>
      </c>
      <c r="J4215" s="18">
        <f>YEAR(Tabla1[[#This Row],[FECHA DE COMPRA]])</f>
        <v>2024</v>
      </c>
      <c r="K4215" s="19">
        <v>74.03</v>
      </c>
      <c r="L4215" s="20">
        <v>0.1</v>
      </c>
      <c r="M4215" s="19">
        <f>Tienda!$K2243-Tienda!$K2243*Tienda!$L2243</f>
        <v>144.08800000000002</v>
      </c>
      <c r="N4215" s="3" t="s">
        <v>10038</v>
      </c>
      <c r="O4215" s="3" t="s">
        <v>10042</v>
      </c>
      <c r="P4215" s="17">
        <v>45830</v>
      </c>
      <c r="Q4215" s="4">
        <v>3</v>
      </c>
    </row>
    <row r="4216" spans="1:17" ht="30" x14ac:dyDescent="0.25">
      <c r="A4216" s="2" t="s">
        <v>2131</v>
      </c>
      <c r="B4216" s="3" t="s">
        <v>5015</v>
      </c>
      <c r="C4216" s="3">
        <v>59</v>
      </c>
      <c r="D4216" s="46" t="str">
        <f>IF(Tabla1[[#This Row],[EDAD]]&lt;=35,"Adultos jóvenes 18 - 35 años",IF(C4216&gt;=36,"Adultos mayores 36 años en adelante"))</f>
        <v>Adultos mayores 36 años en adelante</v>
      </c>
      <c r="E4216" s="3" t="s">
        <v>5022</v>
      </c>
      <c r="F4216" s="3" t="s">
        <v>5025</v>
      </c>
      <c r="G4216" s="3" t="s">
        <v>5034</v>
      </c>
      <c r="H4216" s="3" t="s">
        <v>7154</v>
      </c>
      <c r="I4216" s="17">
        <v>45354</v>
      </c>
      <c r="J4216" s="18">
        <f>YEAR(Tabla1[[#This Row],[FECHA DE COMPRA]])</f>
        <v>2024</v>
      </c>
      <c r="K4216" s="19">
        <v>66.819999999999993</v>
      </c>
      <c r="L4216" s="20">
        <v>0</v>
      </c>
      <c r="M4216" s="19">
        <f>Tienda!$K2245-Tienda!$K2245*Tienda!$L2245</f>
        <v>133.452</v>
      </c>
      <c r="N4216" s="3" t="s">
        <v>10038</v>
      </c>
      <c r="O4216" s="3" t="s">
        <v>10042</v>
      </c>
      <c r="P4216" s="17">
        <v>45624</v>
      </c>
      <c r="Q4216" s="4">
        <v>3</v>
      </c>
    </row>
    <row r="4217" spans="1:17" ht="30" x14ac:dyDescent="0.25">
      <c r="A4217" s="2" t="s">
        <v>485</v>
      </c>
      <c r="B4217" s="3" t="s">
        <v>5015</v>
      </c>
      <c r="C4217" s="3">
        <v>47</v>
      </c>
      <c r="D4217" s="46" t="str">
        <f>IF(Tabla1[[#This Row],[EDAD]]&lt;=35,"Adultos jóvenes 18 - 35 años",IF(C4217&gt;=36,"Adultos mayores 36 años en adelante"))</f>
        <v>Adultos mayores 36 años en adelante</v>
      </c>
      <c r="E4217" s="3" t="s">
        <v>5020</v>
      </c>
      <c r="F4217" s="3" t="s">
        <v>5025</v>
      </c>
      <c r="G4217" s="3" t="s">
        <v>5037</v>
      </c>
      <c r="H4217" s="3" t="s">
        <v>5508</v>
      </c>
      <c r="I4217" s="17">
        <v>45502</v>
      </c>
      <c r="J4217" s="18">
        <f>YEAR(Tabla1[[#This Row],[FECHA DE COMPRA]])</f>
        <v>2024</v>
      </c>
      <c r="K4217" s="19">
        <v>83.64</v>
      </c>
      <c r="L4217" s="20">
        <v>0.2</v>
      </c>
      <c r="M4217" s="19">
        <f>Tienda!$K2246-Tienda!$K2246*Tienda!$L2246</f>
        <v>130.298</v>
      </c>
      <c r="N4217" s="3" t="s">
        <v>10038</v>
      </c>
      <c r="O4217" s="3" t="s">
        <v>10042</v>
      </c>
      <c r="P4217" s="17">
        <v>45502</v>
      </c>
      <c r="Q4217" s="4">
        <v>3</v>
      </c>
    </row>
    <row r="4218" spans="1:17" ht="30" x14ac:dyDescent="0.25">
      <c r="A4218" s="2" t="s">
        <v>2114</v>
      </c>
      <c r="B4218" s="3" t="s">
        <v>5016</v>
      </c>
      <c r="C4218" s="3">
        <v>40</v>
      </c>
      <c r="D4218" s="46" t="str">
        <f>IF(Tabla1[[#This Row],[EDAD]]&lt;=35,"Adultos jóvenes 18 - 35 años",IF(C4218&gt;=36,"Adultos mayores 36 años en adelante"))</f>
        <v>Adultos mayores 36 años en adelante</v>
      </c>
      <c r="E4218" s="3" t="s">
        <v>5019</v>
      </c>
      <c r="F4218" s="3" t="s">
        <v>5028</v>
      </c>
      <c r="G4218" s="3" t="s">
        <v>5031</v>
      </c>
      <c r="H4218" s="3" t="s">
        <v>7137</v>
      </c>
      <c r="I4218" s="17">
        <v>45392</v>
      </c>
      <c r="J4218" s="18">
        <f>YEAR(Tabla1[[#This Row],[FECHA DE COMPRA]])</f>
        <v>2024</v>
      </c>
      <c r="K4218" s="19">
        <v>83.74</v>
      </c>
      <c r="L4218" s="20">
        <v>0.2</v>
      </c>
      <c r="M4218" s="19">
        <f>Tienda!$K2247-Tienda!$K2247*Tienda!$L2247</f>
        <v>24.48</v>
      </c>
      <c r="N4218" s="3" t="s">
        <v>10038</v>
      </c>
      <c r="O4218" s="3" t="s">
        <v>10042</v>
      </c>
      <c r="P4218" s="17">
        <v>45392</v>
      </c>
      <c r="Q4218" s="4">
        <v>3</v>
      </c>
    </row>
    <row r="4219" spans="1:17" ht="30" x14ac:dyDescent="0.25">
      <c r="A4219" s="2" t="s">
        <v>3519</v>
      </c>
      <c r="B4219" s="3" t="s">
        <v>5016</v>
      </c>
      <c r="C4219" s="3">
        <v>39</v>
      </c>
      <c r="D4219" s="46" t="str">
        <f>IF(Tabla1[[#This Row],[EDAD]]&lt;=35,"Adultos jóvenes 18 - 35 años",IF(C4219&gt;=36,"Adultos mayores 36 años en adelante"))</f>
        <v>Adultos mayores 36 años en adelante</v>
      </c>
      <c r="E4219" s="3" t="s">
        <v>5017</v>
      </c>
      <c r="F4219" s="3" t="s">
        <v>5025</v>
      </c>
      <c r="G4219" s="3" t="s">
        <v>5035</v>
      </c>
      <c r="H4219" s="3" t="s">
        <v>8542</v>
      </c>
      <c r="I4219" s="17">
        <v>45345</v>
      </c>
      <c r="J4219" s="18">
        <f>YEAR(Tabla1[[#This Row],[FECHA DE COMPRA]])</f>
        <v>2024</v>
      </c>
      <c r="K4219" s="19">
        <v>96.09</v>
      </c>
      <c r="L4219" s="20">
        <v>0.3</v>
      </c>
      <c r="M4219" s="19">
        <f>Tienda!$K2251-Tienda!$K2251*Tienda!$L2251</f>
        <v>106.09899999999999</v>
      </c>
      <c r="N4219" s="3" t="s">
        <v>10038</v>
      </c>
      <c r="O4219" s="3" t="s">
        <v>10042</v>
      </c>
      <c r="P4219" s="17">
        <v>45345</v>
      </c>
      <c r="Q4219" s="4">
        <v>3</v>
      </c>
    </row>
    <row r="4220" spans="1:17" ht="30" x14ac:dyDescent="0.25">
      <c r="A4220" s="2" t="s">
        <v>4860</v>
      </c>
      <c r="B4220" s="3" t="s">
        <v>5016</v>
      </c>
      <c r="C4220" s="3">
        <v>57</v>
      </c>
      <c r="D4220" s="46" t="str">
        <f>IF(Tabla1[[#This Row],[EDAD]]&lt;=35,"Adultos jóvenes 18 - 35 años",IF(C4220&gt;=36,"Adultos mayores 36 años en adelante"))</f>
        <v>Adultos mayores 36 años en adelante</v>
      </c>
      <c r="E4220" s="3" t="s">
        <v>5019</v>
      </c>
      <c r="F4220" s="3" t="s">
        <v>5029</v>
      </c>
      <c r="G4220" s="3" t="s">
        <v>5034</v>
      </c>
      <c r="H4220" s="3" t="s">
        <v>9883</v>
      </c>
      <c r="I4220" s="17">
        <v>45624</v>
      </c>
      <c r="J4220" s="18">
        <f>YEAR(Tabla1[[#This Row],[FECHA DE COMPRA]])</f>
        <v>2024</v>
      </c>
      <c r="K4220" s="19">
        <v>96.23</v>
      </c>
      <c r="L4220" s="20">
        <v>0.3</v>
      </c>
      <c r="M4220" s="19">
        <f>Tienda!$K2253-Tienda!$K2253*Tienda!$L2253</f>
        <v>165.81</v>
      </c>
      <c r="N4220" s="3" t="s">
        <v>10038</v>
      </c>
      <c r="O4220" s="3" t="s">
        <v>10042</v>
      </c>
      <c r="P4220" s="17">
        <v>45714</v>
      </c>
      <c r="Q4220" s="4">
        <v>3</v>
      </c>
    </row>
    <row r="4221" spans="1:17" ht="30" x14ac:dyDescent="0.25">
      <c r="A4221" s="2" t="s">
        <v>3699</v>
      </c>
      <c r="B4221" s="3" t="s">
        <v>5016</v>
      </c>
      <c r="C4221" s="3">
        <v>58</v>
      </c>
      <c r="D4221" s="46" t="str">
        <f>IF(Tabla1[[#This Row],[EDAD]]&lt;=35,"Adultos jóvenes 18 - 35 años",IF(C4221&gt;=36,"Adultos mayores 36 años en adelante"))</f>
        <v>Adultos mayores 36 años en adelante</v>
      </c>
      <c r="E4221" s="3" t="s">
        <v>5023</v>
      </c>
      <c r="F4221" s="3" t="s">
        <v>5030</v>
      </c>
      <c r="G4221" s="3" t="s">
        <v>5032</v>
      </c>
      <c r="H4221" s="3" t="s">
        <v>8722</v>
      </c>
      <c r="I4221" s="17">
        <v>45464</v>
      </c>
      <c r="J4221" s="18">
        <f>YEAR(Tabla1[[#This Row],[FECHA DE COMPRA]])</f>
        <v>2024</v>
      </c>
      <c r="K4221" s="19">
        <v>96.26</v>
      </c>
      <c r="L4221" s="20">
        <v>0.3</v>
      </c>
      <c r="M4221" s="19">
        <f>Tienda!$K2254-Tienda!$K2254*Tienda!$L2254</f>
        <v>170.14500000000001</v>
      </c>
      <c r="N4221" s="3" t="s">
        <v>10038</v>
      </c>
      <c r="O4221" s="3" t="s">
        <v>10042</v>
      </c>
      <c r="P4221" s="17">
        <v>45824</v>
      </c>
      <c r="Q4221" s="4">
        <v>3</v>
      </c>
    </row>
    <row r="4222" spans="1:17" ht="30" x14ac:dyDescent="0.25">
      <c r="A4222" s="2" t="s">
        <v>4138</v>
      </c>
      <c r="B4222" s="3" t="s">
        <v>5015</v>
      </c>
      <c r="C4222" s="3">
        <v>58</v>
      </c>
      <c r="D4222" s="46" t="str">
        <f>IF(Tabla1[[#This Row],[EDAD]]&lt;=35,"Adultos jóvenes 18 - 35 años",IF(C4222&gt;=36,"Adultos mayores 36 años en adelante"))</f>
        <v>Adultos mayores 36 años en adelante</v>
      </c>
      <c r="E4222" s="3" t="s">
        <v>5021</v>
      </c>
      <c r="F4222" s="3" t="s">
        <v>5029</v>
      </c>
      <c r="G4222" s="3" t="s">
        <v>5037</v>
      </c>
      <c r="H4222" s="3" t="s">
        <v>9161</v>
      </c>
      <c r="I4222" s="17">
        <v>45499</v>
      </c>
      <c r="J4222" s="18">
        <f>YEAR(Tabla1[[#This Row],[FECHA DE COMPRA]])</f>
        <v>2024</v>
      </c>
      <c r="K4222" s="19">
        <v>84.25</v>
      </c>
      <c r="L4222" s="20">
        <v>0.2</v>
      </c>
      <c r="M4222" s="19">
        <f>Tienda!$K2256-Tienda!$K2256*Tienda!$L2256</f>
        <v>41.311999999999998</v>
      </c>
      <c r="N4222" s="3" t="s">
        <v>10038</v>
      </c>
      <c r="O4222" s="3" t="s">
        <v>10042</v>
      </c>
      <c r="P4222" s="17">
        <v>45769</v>
      </c>
      <c r="Q4222" s="4">
        <v>3</v>
      </c>
    </row>
    <row r="4223" spans="1:17" ht="30" x14ac:dyDescent="0.25">
      <c r="A4223" s="2" t="s">
        <v>4581</v>
      </c>
      <c r="B4223" s="3" t="s">
        <v>5015</v>
      </c>
      <c r="C4223" s="3">
        <v>49</v>
      </c>
      <c r="D4223" s="46" t="str">
        <f>IF(Tabla1[[#This Row],[EDAD]]&lt;=35,"Adultos jóvenes 18 - 35 años",IF(C4223&gt;=36,"Adultos mayores 36 años en adelante"))</f>
        <v>Adultos mayores 36 años en adelante</v>
      </c>
      <c r="E4223" s="3" t="s">
        <v>5018</v>
      </c>
      <c r="F4223" s="3" t="s">
        <v>5028</v>
      </c>
      <c r="G4223" s="3" t="s">
        <v>5033</v>
      </c>
      <c r="H4223" s="3" t="s">
        <v>9604</v>
      </c>
      <c r="I4223" s="17">
        <v>45377</v>
      </c>
      <c r="J4223" s="18">
        <f>YEAR(Tabla1[[#This Row],[FECHA DE COMPRA]])</f>
        <v>2024</v>
      </c>
      <c r="K4223" s="19">
        <v>96.99</v>
      </c>
      <c r="L4223" s="20">
        <v>0.3</v>
      </c>
      <c r="M4223" s="19">
        <f>Tienda!$K2259-Tienda!$K2259*Tienda!$L2259</f>
        <v>60.451999999999998</v>
      </c>
      <c r="N4223" s="3" t="s">
        <v>10038</v>
      </c>
      <c r="O4223" s="3" t="s">
        <v>10042</v>
      </c>
      <c r="P4223" s="17">
        <v>45467</v>
      </c>
      <c r="Q4223" s="4">
        <v>3</v>
      </c>
    </row>
    <row r="4224" spans="1:17" ht="30" x14ac:dyDescent="0.25">
      <c r="A4224" s="2" t="s">
        <v>936</v>
      </c>
      <c r="B4224" s="3" t="s">
        <v>5015</v>
      </c>
      <c r="C4224" s="3">
        <v>46</v>
      </c>
      <c r="D4224" s="46" t="str">
        <f>IF(Tabla1[[#This Row],[EDAD]]&lt;=35,"Adultos jóvenes 18 - 35 años",IF(C4224&gt;=36,"Adultos mayores 36 años en adelante"))</f>
        <v>Adultos mayores 36 años en adelante</v>
      </c>
      <c r="E4224" s="3" t="s">
        <v>5020</v>
      </c>
      <c r="F4224" s="3" t="s">
        <v>5029</v>
      </c>
      <c r="G4224" s="3" t="s">
        <v>5036</v>
      </c>
      <c r="H4224" s="3" t="s">
        <v>5959</v>
      </c>
      <c r="I4224" s="17">
        <v>45324</v>
      </c>
      <c r="J4224" s="18">
        <f>YEAR(Tabla1[[#This Row],[FECHA DE COMPRA]])</f>
        <v>2024</v>
      </c>
      <c r="K4224" s="19">
        <v>68.34</v>
      </c>
      <c r="L4224" s="20">
        <v>0</v>
      </c>
      <c r="M4224" s="19">
        <f>Tienda!$K2260-Tienda!$K2260*Tienda!$L2260</f>
        <v>20.759999999999998</v>
      </c>
      <c r="N4224" s="3" t="s">
        <v>10038</v>
      </c>
      <c r="O4224" s="3" t="s">
        <v>10042</v>
      </c>
      <c r="P4224" s="17">
        <v>45684</v>
      </c>
      <c r="Q4224" s="4">
        <v>3</v>
      </c>
    </row>
    <row r="4225" spans="1:17" ht="30" x14ac:dyDescent="0.25">
      <c r="A4225" s="2" t="s">
        <v>370</v>
      </c>
      <c r="B4225" s="3" t="s">
        <v>5015</v>
      </c>
      <c r="C4225" s="3">
        <v>43</v>
      </c>
      <c r="D4225" s="46" t="str">
        <f>IF(Tabla1[[#This Row],[EDAD]]&lt;=35,"Adultos jóvenes 18 - 35 años",IF(C4225&gt;=36,"Adultos mayores 36 años en adelante"))</f>
        <v>Adultos mayores 36 años en adelante</v>
      </c>
      <c r="E4225" s="3" t="s">
        <v>5021</v>
      </c>
      <c r="F4225" s="3" t="s">
        <v>5026</v>
      </c>
      <c r="G4225" s="3" t="s">
        <v>5032</v>
      </c>
      <c r="H4225" s="3" t="s">
        <v>5393</v>
      </c>
      <c r="I4225" s="17">
        <v>45331</v>
      </c>
      <c r="J4225" s="18">
        <f>YEAR(Tabla1[[#This Row],[FECHA DE COMPRA]])</f>
        <v>2024</v>
      </c>
      <c r="K4225" s="19">
        <v>85.6</v>
      </c>
      <c r="L4225" s="20">
        <v>0.2</v>
      </c>
      <c r="M4225" s="19">
        <f>Tienda!$K2263-Tienda!$K2263*Tienda!$L2263</f>
        <v>42.805</v>
      </c>
      <c r="N4225" s="3" t="s">
        <v>10038</v>
      </c>
      <c r="O4225" s="3" t="s">
        <v>10042</v>
      </c>
      <c r="P4225" s="17">
        <v>45331</v>
      </c>
      <c r="Q4225" s="4">
        <v>3</v>
      </c>
    </row>
    <row r="4226" spans="1:17" ht="30" x14ac:dyDescent="0.25">
      <c r="A4226" s="2" t="s">
        <v>2858</v>
      </c>
      <c r="B4226" s="3" t="s">
        <v>5016</v>
      </c>
      <c r="C4226" s="3">
        <v>40</v>
      </c>
      <c r="D4226" s="46" t="str">
        <f>IF(Tabla1[[#This Row],[EDAD]]&lt;=35,"Adultos jóvenes 18 - 35 años",IF(C4226&gt;=36,"Adultos mayores 36 años en adelante"))</f>
        <v>Adultos mayores 36 años en adelante</v>
      </c>
      <c r="E4226" s="3" t="s">
        <v>5017</v>
      </c>
      <c r="F4226" s="3" t="s">
        <v>5024</v>
      </c>
      <c r="G4226" s="3" t="s">
        <v>5036</v>
      </c>
      <c r="H4226" s="3" t="s">
        <v>7881</v>
      </c>
      <c r="I4226" s="17">
        <v>45381</v>
      </c>
      <c r="J4226" s="18">
        <f>YEAR(Tabla1[[#This Row],[FECHA DE COMPRA]])</f>
        <v>2024</v>
      </c>
      <c r="K4226" s="19">
        <v>85.7</v>
      </c>
      <c r="L4226" s="20">
        <v>0.2</v>
      </c>
      <c r="M4226" s="19">
        <f>Tienda!$K2265-Tienda!$K2265*Tienda!$L2265</f>
        <v>119.944</v>
      </c>
      <c r="N4226" s="3" t="s">
        <v>10038</v>
      </c>
      <c r="O4226" s="3" t="s">
        <v>10042</v>
      </c>
      <c r="P4226" s="17">
        <v>45381</v>
      </c>
      <c r="Q4226" s="4">
        <v>3</v>
      </c>
    </row>
    <row r="4227" spans="1:17" ht="30" x14ac:dyDescent="0.25">
      <c r="A4227" s="2" t="s">
        <v>1856</v>
      </c>
      <c r="B4227" s="3" t="s">
        <v>5016</v>
      </c>
      <c r="C4227" s="3">
        <v>43</v>
      </c>
      <c r="D4227" s="46" t="str">
        <f>IF(Tabla1[[#This Row],[EDAD]]&lt;=35,"Adultos jóvenes 18 - 35 años",IF(C4227&gt;=36,"Adultos mayores 36 años en adelante"))</f>
        <v>Adultos mayores 36 años en adelante</v>
      </c>
      <c r="E4227" s="3" t="s">
        <v>5019</v>
      </c>
      <c r="F4227" s="3" t="s">
        <v>5024</v>
      </c>
      <c r="G4227" s="3" t="s">
        <v>5037</v>
      </c>
      <c r="H4227" s="3" t="s">
        <v>6879</v>
      </c>
      <c r="I4227" s="17">
        <v>45487</v>
      </c>
      <c r="J4227" s="18">
        <f>YEAR(Tabla1[[#This Row],[FECHA DE COMPRA]])</f>
        <v>2024</v>
      </c>
      <c r="K4227" s="19">
        <v>76.5</v>
      </c>
      <c r="L4227" s="20">
        <v>0.1</v>
      </c>
      <c r="M4227" s="19">
        <f>Tienda!$K2269-Tienda!$K2269*Tienda!$L2269</f>
        <v>64.611000000000004</v>
      </c>
      <c r="N4227" s="3" t="s">
        <v>10038</v>
      </c>
      <c r="O4227" s="3" t="s">
        <v>10042</v>
      </c>
      <c r="P4227" s="17">
        <v>45577</v>
      </c>
      <c r="Q4227" s="4">
        <v>3</v>
      </c>
    </row>
    <row r="4228" spans="1:17" ht="30" x14ac:dyDescent="0.25">
      <c r="A4228" s="2" t="s">
        <v>4653</v>
      </c>
      <c r="B4228" s="3" t="s">
        <v>5015</v>
      </c>
      <c r="C4228" s="3">
        <v>60</v>
      </c>
      <c r="D4228" s="46" t="str">
        <f>IF(Tabla1[[#This Row],[EDAD]]&lt;=35,"Adultos jóvenes 18 - 35 años",IF(C4228&gt;=36,"Adultos mayores 36 años en adelante"))</f>
        <v>Adultos mayores 36 años en adelante</v>
      </c>
      <c r="E4228" s="3" t="s">
        <v>5020</v>
      </c>
      <c r="F4228" s="3" t="s">
        <v>5024</v>
      </c>
      <c r="G4228" s="3" t="s">
        <v>5035</v>
      </c>
      <c r="H4228" s="3" t="s">
        <v>9676</v>
      </c>
      <c r="I4228" s="17">
        <v>45624</v>
      </c>
      <c r="J4228" s="18">
        <f>YEAR(Tabla1[[#This Row],[FECHA DE COMPRA]])</f>
        <v>2024</v>
      </c>
      <c r="K4228" s="19">
        <v>76.790000000000006</v>
      </c>
      <c r="L4228" s="20">
        <v>0.1</v>
      </c>
      <c r="M4228" s="19">
        <f>Tienda!$K2271-Tienda!$K2271*Tienda!$L2271</f>
        <v>157.41999999999999</v>
      </c>
      <c r="N4228" s="3" t="s">
        <v>10038</v>
      </c>
      <c r="O4228" s="3" t="s">
        <v>10042</v>
      </c>
      <c r="P4228" s="17">
        <v>45675</v>
      </c>
      <c r="Q4228" s="4">
        <v>3</v>
      </c>
    </row>
    <row r="4229" spans="1:17" ht="30" x14ac:dyDescent="0.25">
      <c r="A4229" s="2" t="s">
        <v>675</v>
      </c>
      <c r="B4229" s="3" t="s">
        <v>5015</v>
      </c>
      <c r="C4229" s="3">
        <v>65</v>
      </c>
      <c r="D4229" s="46" t="str">
        <f>IF(Tabla1[[#This Row],[EDAD]]&lt;=35,"Adultos jóvenes 18 - 35 años",IF(C4229&gt;=36,"Adultos mayores 36 años en adelante"))</f>
        <v>Adultos mayores 36 años en adelante</v>
      </c>
      <c r="E4229" s="3" t="s">
        <v>5018</v>
      </c>
      <c r="F4229" s="3" t="s">
        <v>5025</v>
      </c>
      <c r="G4229" s="3" t="s">
        <v>5031</v>
      </c>
      <c r="H4229" s="3" t="s">
        <v>5698</v>
      </c>
      <c r="I4229" s="17">
        <v>45359</v>
      </c>
      <c r="J4229" s="18">
        <f>YEAR(Tabla1[[#This Row],[FECHA DE COMPRA]])</f>
        <v>2024</v>
      </c>
      <c r="K4229" s="19">
        <v>69.22</v>
      </c>
      <c r="L4229" s="20">
        <v>0</v>
      </c>
      <c r="M4229" s="19">
        <f>Tienda!$K2272-Tienda!$K2272*Tienda!$L2272</f>
        <v>167.79</v>
      </c>
      <c r="N4229" s="3" t="s">
        <v>10038</v>
      </c>
      <c r="O4229" s="3" t="s">
        <v>10042</v>
      </c>
      <c r="P4229" s="17">
        <v>45359</v>
      </c>
      <c r="Q4229" s="4">
        <v>3</v>
      </c>
    </row>
    <row r="4230" spans="1:17" ht="30" x14ac:dyDescent="0.25">
      <c r="A4230" s="2" t="s">
        <v>490</v>
      </c>
      <c r="B4230" s="3" t="s">
        <v>5015</v>
      </c>
      <c r="C4230" s="3">
        <v>44</v>
      </c>
      <c r="D4230" s="46" t="str">
        <f>IF(Tabla1[[#This Row],[EDAD]]&lt;=35,"Adultos jóvenes 18 - 35 años",IF(C4230&gt;=36,"Adultos mayores 36 años en adelante"))</f>
        <v>Adultos mayores 36 años en adelante</v>
      </c>
      <c r="E4230" s="3" t="s">
        <v>5021</v>
      </c>
      <c r="F4230" s="3" t="s">
        <v>5024</v>
      </c>
      <c r="G4230" s="3" t="s">
        <v>5031</v>
      </c>
      <c r="H4230" s="3" t="s">
        <v>5513</v>
      </c>
      <c r="I4230" s="17">
        <v>45597</v>
      </c>
      <c r="J4230" s="18">
        <f>YEAR(Tabla1[[#This Row],[FECHA DE COMPRA]])</f>
        <v>2024</v>
      </c>
      <c r="K4230" s="19">
        <v>69.25</v>
      </c>
      <c r="L4230" s="20">
        <v>0</v>
      </c>
      <c r="M4230" s="19">
        <f>Tienda!$K2273-Tienda!$K2273*Tienda!$L2273</f>
        <v>74.061000000000007</v>
      </c>
      <c r="N4230" s="3" t="s">
        <v>10038</v>
      </c>
      <c r="O4230" s="3" t="s">
        <v>10042</v>
      </c>
      <c r="P4230" s="17">
        <v>45867</v>
      </c>
      <c r="Q4230" s="4">
        <v>3</v>
      </c>
    </row>
    <row r="4231" spans="1:17" ht="30" x14ac:dyDescent="0.25">
      <c r="A4231" s="2" t="s">
        <v>2023</v>
      </c>
      <c r="B4231" s="3" t="s">
        <v>5015</v>
      </c>
      <c r="C4231" s="3">
        <v>47</v>
      </c>
      <c r="D4231" s="46" t="str">
        <f>IF(Tabla1[[#This Row],[EDAD]]&lt;=35,"Adultos jóvenes 18 - 35 años",IF(C4231&gt;=36,"Adultos mayores 36 años en adelante"))</f>
        <v>Adultos mayores 36 años en adelante</v>
      </c>
      <c r="E4231" s="3" t="s">
        <v>5018</v>
      </c>
      <c r="F4231" s="3" t="s">
        <v>5024</v>
      </c>
      <c r="G4231" s="3" t="s">
        <v>5034</v>
      </c>
      <c r="H4231" s="3" t="s">
        <v>7046</v>
      </c>
      <c r="I4231" s="17">
        <v>45381</v>
      </c>
      <c r="J4231" s="18">
        <f>YEAR(Tabla1[[#This Row],[FECHA DE COMPRA]])</f>
        <v>2024</v>
      </c>
      <c r="K4231" s="19">
        <v>69.489999999999995</v>
      </c>
      <c r="L4231" s="20">
        <v>0</v>
      </c>
      <c r="M4231" s="19">
        <f>Tienda!$K2274-Tienda!$K2274*Tienda!$L2274</f>
        <v>89.649000000000001</v>
      </c>
      <c r="N4231" s="3" t="s">
        <v>10038</v>
      </c>
      <c r="O4231" s="3" t="s">
        <v>10042</v>
      </c>
      <c r="P4231" s="17">
        <v>45381</v>
      </c>
      <c r="Q4231" s="4">
        <v>3</v>
      </c>
    </row>
    <row r="4232" spans="1:17" ht="30" x14ac:dyDescent="0.25">
      <c r="A4232" s="2" t="s">
        <v>108</v>
      </c>
      <c r="B4232" s="3" t="s">
        <v>5016</v>
      </c>
      <c r="C4232" s="3">
        <v>56</v>
      </c>
      <c r="D4232" s="46" t="str">
        <f>IF(Tabla1[[#This Row],[EDAD]]&lt;=35,"Adultos jóvenes 18 - 35 años",IF(C4232&gt;=36,"Adultos mayores 36 años en adelante"))</f>
        <v>Adultos mayores 36 años en adelante</v>
      </c>
      <c r="E4232" s="3" t="s">
        <v>5019</v>
      </c>
      <c r="F4232" s="3" t="s">
        <v>5029</v>
      </c>
      <c r="G4232" s="3" t="s">
        <v>5032</v>
      </c>
      <c r="H4232" s="3" t="s">
        <v>5131</v>
      </c>
      <c r="I4232" s="17">
        <v>45585</v>
      </c>
      <c r="J4232" s="18">
        <f>YEAR(Tabla1[[#This Row],[FECHA DE COMPRA]])</f>
        <v>2024</v>
      </c>
      <c r="K4232" s="19">
        <v>69.510000000000005</v>
      </c>
      <c r="L4232" s="20">
        <v>0</v>
      </c>
      <c r="M4232" s="19">
        <f>Tienda!$K2275-Tienda!$K2275*Tienda!$L2275</f>
        <v>134.88300000000001</v>
      </c>
      <c r="N4232" s="3" t="s">
        <v>10038</v>
      </c>
      <c r="O4232" s="3" t="s">
        <v>10042</v>
      </c>
      <c r="P4232" s="17">
        <v>45675</v>
      </c>
      <c r="Q4232" s="4">
        <v>3</v>
      </c>
    </row>
    <row r="4233" spans="1:17" ht="30" x14ac:dyDescent="0.25">
      <c r="A4233" s="2" t="s">
        <v>4702</v>
      </c>
      <c r="B4233" s="3" t="s">
        <v>5015</v>
      </c>
      <c r="C4233" s="3">
        <v>44</v>
      </c>
      <c r="D4233" s="46" t="str">
        <f>IF(Tabla1[[#This Row],[EDAD]]&lt;=35,"Adultos jóvenes 18 - 35 años",IF(C4233&gt;=36,"Adultos mayores 36 años en adelante"))</f>
        <v>Adultos mayores 36 años en adelante</v>
      </c>
      <c r="E4233" s="3" t="s">
        <v>5022</v>
      </c>
      <c r="F4233" s="3" t="s">
        <v>5024</v>
      </c>
      <c r="G4233" s="3" t="s">
        <v>5036</v>
      </c>
      <c r="H4233" s="3" t="s">
        <v>9725</v>
      </c>
      <c r="I4233" s="17">
        <v>45634</v>
      </c>
      <c r="J4233" s="18">
        <f>YEAR(Tabla1[[#This Row],[FECHA DE COMPRA]])</f>
        <v>2024</v>
      </c>
      <c r="K4233" s="19">
        <v>99.87</v>
      </c>
      <c r="L4233" s="20">
        <v>0.3</v>
      </c>
      <c r="M4233" s="19">
        <f>Tienda!$K2280-Tienda!$K2280*Tienda!$L2280</f>
        <v>52.073</v>
      </c>
      <c r="N4233" s="3" t="s">
        <v>10038</v>
      </c>
      <c r="O4233" s="3" t="s">
        <v>10042</v>
      </c>
      <c r="P4233" s="17">
        <v>45456</v>
      </c>
      <c r="Q4233" s="4">
        <v>3</v>
      </c>
    </row>
    <row r="4234" spans="1:17" ht="30" x14ac:dyDescent="0.25">
      <c r="A4234" s="2" t="s">
        <v>2447</v>
      </c>
      <c r="B4234" s="3" t="s">
        <v>5015</v>
      </c>
      <c r="C4234" s="3">
        <v>54</v>
      </c>
      <c r="D4234" s="46" t="str">
        <f>IF(Tabla1[[#This Row],[EDAD]]&lt;=35,"Adultos jóvenes 18 - 35 años",IF(C4234&gt;=36,"Adultos mayores 36 años en adelante"))</f>
        <v>Adultos mayores 36 años en adelante</v>
      </c>
      <c r="E4234" s="3" t="s">
        <v>5017</v>
      </c>
      <c r="F4234" s="3" t="s">
        <v>5026</v>
      </c>
      <c r="G4234" s="3" t="s">
        <v>5036</v>
      </c>
      <c r="H4234" s="3" t="s">
        <v>7470</v>
      </c>
      <c r="I4234" s="17">
        <v>45391</v>
      </c>
      <c r="J4234" s="18">
        <f>YEAR(Tabla1[[#This Row],[FECHA DE COMPRA]])</f>
        <v>2024</v>
      </c>
      <c r="K4234" s="19">
        <v>69.95</v>
      </c>
      <c r="L4234" s="20">
        <v>0</v>
      </c>
      <c r="M4234" s="19">
        <f>Tienda!$K2281-Tienda!$K2281*Tienda!$L2281</f>
        <v>74.697000000000003</v>
      </c>
      <c r="N4234" s="3" t="s">
        <v>10038</v>
      </c>
      <c r="O4234" s="3" t="s">
        <v>10042</v>
      </c>
      <c r="P4234" s="17">
        <v>45391</v>
      </c>
      <c r="Q4234" s="4">
        <v>3</v>
      </c>
    </row>
    <row r="4235" spans="1:17" ht="30" x14ac:dyDescent="0.25">
      <c r="A4235" s="2" t="s">
        <v>1074</v>
      </c>
      <c r="B4235" s="3" t="s">
        <v>5015</v>
      </c>
      <c r="C4235" s="3">
        <v>65</v>
      </c>
      <c r="D4235" s="46" t="str">
        <f>IF(Tabla1[[#This Row],[EDAD]]&lt;=35,"Adultos jóvenes 18 - 35 años",IF(C4235&gt;=36,"Adultos mayores 36 años en adelante"))</f>
        <v>Adultos mayores 36 años en adelante</v>
      </c>
      <c r="E4235" s="3" t="s">
        <v>5017</v>
      </c>
      <c r="F4235" s="3" t="s">
        <v>5030</v>
      </c>
      <c r="G4235" s="3" t="s">
        <v>5032</v>
      </c>
      <c r="H4235" s="3" t="s">
        <v>6097</v>
      </c>
      <c r="I4235" s="17">
        <v>45341</v>
      </c>
      <c r="J4235" s="18">
        <f>YEAR(Tabla1[[#This Row],[FECHA DE COMPRA]])</f>
        <v>2024</v>
      </c>
      <c r="K4235" s="19">
        <v>87.92</v>
      </c>
      <c r="L4235" s="20">
        <v>0.2</v>
      </c>
      <c r="M4235" s="19">
        <f>Tienda!$K2286-Tienda!$K2286*Tienda!$L2286</f>
        <v>47.393999999999998</v>
      </c>
      <c r="N4235" s="3" t="s">
        <v>10038</v>
      </c>
      <c r="O4235" s="3" t="s">
        <v>10042</v>
      </c>
      <c r="P4235" s="17">
        <v>45521</v>
      </c>
      <c r="Q4235" s="4"/>
    </row>
    <row r="4236" spans="1:17" ht="30" x14ac:dyDescent="0.25">
      <c r="A4236" s="2" t="s">
        <v>5010</v>
      </c>
      <c r="B4236" s="3" t="s">
        <v>5015</v>
      </c>
      <c r="C4236" s="3">
        <v>50</v>
      </c>
      <c r="D4236" s="46" t="str">
        <f>IF(Tabla1[[#This Row],[EDAD]]&lt;=35,"Adultos jóvenes 18 - 35 años",IF(C4236&gt;=36,"Adultos mayores 36 años en adelante"))</f>
        <v>Adultos mayores 36 años en adelante</v>
      </c>
      <c r="E4236" s="3" t="s">
        <v>5017</v>
      </c>
      <c r="F4236" s="3" t="s">
        <v>5024</v>
      </c>
      <c r="G4236" s="3" t="s">
        <v>5032</v>
      </c>
      <c r="H4236" s="3" t="s">
        <v>10033</v>
      </c>
      <c r="I4236" s="17">
        <v>45319</v>
      </c>
      <c r="J4236" s="18">
        <f>YEAR(Tabla1[[#This Row],[FECHA DE COMPRA]])</f>
        <v>2024</v>
      </c>
      <c r="K4236" s="19">
        <v>101.13</v>
      </c>
      <c r="L4236" s="20">
        <v>0.3</v>
      </c>
      <c r="M4236" s="19">
        <f>Tienda!$K2291-Tienda!$K2291*Tienda!$L2291</f>
        <v>149.63</v>
      </c>
      <c r="N4236" s="3" t="s">
        <v>10038</v>
      </c>
      <c r="O4236" s="3" t="s">
        <v>10042</v>
      </c>
      <c r="P4236" s="17">
        <v>45409</v>
      </c>
      <c r="Q4236" s="4">
        <v>3</v>
      </c>
    </row>
    <row r="4237" spans="1:17" ht="30" x14ac:dyDescent="0.25">
      <c r="A4237" s="2" t="s">
        <v>3373</v>
      </c>
      <c r="B4237" s="3" t="s">
        <v>5016</v>
      </c>
      <c r="C4237" s="3">
        <v>53</v>
      </c>
      <c r="D4237" s="46" t="str">
        <f>IF(Tabla1[[#This Row],[EDAD]]&lt;=35,"Adultos jóvenes 18 - 35 años",IF(C4237&gt;=36,"Adultos mayores 36 años en adelante"))</f>
        <v>Adultos mayores 36 años en adelante</v>
      </c>
      <c r="E4237" s="3" t="s">
        <v>5017</v>
      </c>
      <c r="F4237" s="3" t="s">
        <v>5026</v>
      </c>
      <c r="G4237" s="3" t="s">
        <v>5037</v>
      </c>
      <c r="H4237" s="3" t="s">
        <v>8396</v>
      </c>
      <c r="I4237" s="17">
        <v>45606</v>
      </c>
      <c r="J4237" s="18">
        <f>YEAR(Tabla1[[#This Row],[FECHA DE COMPRA]])</f>
        <v>2024</v>
      </c>
      <c r="K4237" s="19">
        <v>70.849999999999994</v>
      </c>
      <c r="L4237" s="20">
        <v>0</v>
      </c>
      <c r="M4237" s="19">
        <f>Tienda!$K2293-Tienda!$K2293*Tienda!$L2293</f>
        <v>90.98599999999999</v>
      </c>
      <c r="N4237" s="3" t="s">
        <v>10038</v>
      </c>
      <c r="O4237" s="3" t="s">
        <v>10042</v>
      </c>
      <c r="P4237" s="17">
        <v>45696</v>
      </c>
      <c r="Q4237" s="4">
        <v>3</v>
      </c>
    </row>
    <row r="4238" spans="1:17" ht="30" x14ac:dyDescent="0.25">
      <c r="A4238" s="2" t="s">
        <v>528</v>
      </c>
      <c r="B4238" s="3" t="s">
        <v>5015</v>
      </c>
      <c r="C4238" s="3">
        <v>38</v>
      </c>
      <c r="D4238" s="46" t="str">
        <f>IF(Tabla1[[#This Row],[EDAD]]&lt;=35,"Adultos jóvenes 18 - 35 años",IF(C4238&gt;=36,"Adultos mayores 36 años en adelante"))</f>
        <v>Adultos mayores 36 años en adelante</v>
      </c>
      <c r="E4238" s="3" t="s">
        <v>5019</v>
      </c>
      <c r="F4238" s="3" t="s">
        <v>5027</v>
      </c>
      <c r="G4238" s="3" t="s">
        <v>5036</v>
      </c>
      <c r="H4238" s="3" t="s">
        <v>5551</v>
      </c>
      <c r="I4238" s="17">
        <v>45513</v>
      </c>
      <c r="J4238" s="18">
        <f>YEAR(Tabla1[[#This Row],[FECHA DE COMPRA]])</f>
        <v>2024</v>
      </c>
      <c r="K4238" s="19">
        <v>88.63</v>
      </c>
      <c r="L4238" s="20">
        <v>0.2</v>
      </c>
      <c r="M4238" s="19">
        <f>Tienda!$K2294-Tienda!$K2294*Tienda!$L2294</f>
        <v>168.31800000000001</v>
      </c>
      <c r="N4238" s="3" t="s">
        <v>10038</v>
      </c>
      <c r="O4238" s="3" t="s">
        <v>10042</v>
      </c>
      <c r="P4238" s="17">
        <v>45513</v>
      </c>
      <c r="Q4238" s="4">
        <v>12</v>
      </c>
    </row>
    <row r="4239" spans="1:17" ht="30" x14ac:dyDescent="0.25">
      <c r="A4239" s="2" t="s">
        <v>1971</v>
      </c>
      <c r="B4239" s="3" t="s">
        <v>5015</v>
      </c>
      <c r="C4239" s="3">
        <v>53</v>
      </c>
      <c r="D4239" s="46" t="str">
        <f>IF(Tabla1[[#This Row],[EDAD]]&lt;=35,"Adultos jóvenes 18 - 35 años",IF(C4239&gt;=36,"Adultos mayores 36 años en adelante"))</f>
        <v>Adultos mayores 36 años en adelante</v>
      </c>
      <c r="E4239" s="3" t="s">
        <v>5017</v>
      </c>
      <c r="F4239" s="3" t="s">
        <v>5030</v>
      </c>
      <c r="G4239" s="3" t="s">
        <v>5035</v>
      </c>
      <c r="H4239" s="3" t="s">
        <v>6994</v>
      </c>
      <c r="I4239" s="17">
        <v>45619</v>
      </c>
      <c r="J4239" s="18">
        <f>YEAR(Tabla1[[#This Row],[FECHA DE COMPRA]])</f>
        <v>2024</v>
      </c>
      <c r="K4239" s="19">
        <v>101.87</v>
      </c>
      <c r="L4239" s="20">
        <v>0.3</v>
      </c>
      <c r="M4239" s="19">
        <f>Tienda!$K2299-Tienda!$K2299*Tienda!$L2299</f>
        <v>63.612000000000009</v>
      </c>
      <c r="N4239" s="3" t="s">
        <v>10038</v>
      </c>
      <c r="O4239" s="3" t="s">
        <v>10042</v>
      </c>
      <c r="P4239" s="17">
        <v>45889</v>
      </c>
      <c r="Q4239" s="4">
        <v>9</v>
      </c>
    </row>
    <row r="4240" spans="1:17" ht="30" x14ac:dyDescent="0.25">
      <c r="A4240" s="2" t="s">
        <v>198</v>
      </c>
      <c r="B4240" s="3" t="s">
        <v>5015</v>
      </c>
      <c r="C4240" s="3">
        <v>56</v>
      </c>
      <c r="D4240" s="46" t="str">
        <f>IF(Tabla1[[#This Row],[EDAD]]&lt;=35,"Adultos jóvenes 18 - 35 años",IF(C4240&gt;=36,"Adultos mayores 36 años en adelante"))</f>
        <v>Adultos mayores 36 años en adelante</v>
      </c>
      <c r="E4240" s="3" t="s">
        <v>5018</v>
      </c>
      <c r="F4240" s="3" t="s">
        <v>5028</v>
      </c>
      <c r="G4240" s="3" t="s">
        <v>5036</v>
      </c>
      <c r="H4240" s="3" t="s">
        <v>5221</v>
      </c>
      <c r="I4240" s="17">
        <v>45553</v>
      </c>
      <c r="J4240" s="18">
        <f>YEAR(Tabla1[[#This Row],[FECHA DE COMPRA]])</f>
        <v>2024</v>
      </c>
      <c r="K4240" s="19">
        <v>71.400000000000006</v>
      </c>
      <c r="L4240" s="20">
        <v>0</v>
      </c>
      <c r="M4240" s="19">
        <f>Tienda!$K2300-Tienda!$K2300*Tienda!$L2300</f>
        <v>114.79300000000001</v>
      </c>
      <c r="N4240" s="3" t="s">
        <v>10038</v>
      </c>
      <c r="O4240" s="3" t="s">
        <v>10042</v>
      </c>
      <c r="P4240" s="17">
        <v>45733</v>
      </c>
      <c r="Q4240" s="4">
        <v>6</v>
      </c>
    </row>
    <row r="4241" spans="1:17" ht="30" x14ac:dyDescent="0.25">
      <c r="A4241" s="2" t="s">
        <v>174</v>
      </c>
      <c r="B4241" s="3" t="s">
        <v>5015</v>
      </c>
      <c r="C4241" s="3">
        <v>52</v>
      </c>
      <c r="D4241" s="46" t="str">
        <f>IF(Tabla1[[#This Row],[EDAD]]&lt;=35,"Adultos jóvenes 18 - 35 años",IF(C4241&gt;=36,"Adultos mayores 36 años en adelante"))</f>
        <v>Adultos mayores 36 años en adelante</v>
      </c>
      <c r="E4241" s="3" t="s">
        <v>5017</v>
      </c>
      <c r="F4241" s="3" t="s">
        <v>5026</v>
      </c>
      <c r="G4241" s="3" t="s">
        <v>5034</v>
      </c>
      <c r="H4241" s="3" t="s">
        <v>5197</v>
      </c>
      <c r="I4241" s="17">
        <v>45554</v>
      </c>
      <c r="J4241" s="18">
        <f>YEAR(Tabla1[[#This Row],[FECHA DE COMPRA]])</f>
        <v>2024</v>
      </c>
      <c r="K4241" s="19">
        <v>89.35</v>
      </c>
      <c r="L4241" s="20">
        <v>0.2</v>
      </c>
      <c r="M4241" s="19">
        <f>Tienda!$K2301-Tienda!$K2301*Tienda!$L2301</f>
        <v>176.02</v>
      </c>
      <c r="N4241" s="3" t="s">
        <v>10038</v>
      </c>
      <c r="O4241" s="3" t="s">
        <v>10042</v>
      </c>
      <c r="P4241" s="17">
        <v>45824</v>
      </c>
      <c r="Q4241" s="4">
        <v>9</v>
      </c>
    </row>
    <row r="4242" spans="1:17" ht="30" x14ac:dyDescent="0.25">
      <c r="A4242" s="2" t="s">
        <v>403</v>
      </c>
      <c r="B4242" s="3" t="s">
        <v>5015</v>
      </c>
      <c r="C4242" s="3">
        <v>64</v>
      </c>
      <c r="D4242" s="46" t="str">
        <f>IF(Tabla1[[#This Row],[EDAD]]&lt;=35,"Adultos jóvenes 18 - 35 años",IF(C4242&gt;=36,"Adultos mayores 36 años en adelante"))</f>
        <v>Adultos mayores 36 años en adelante</v>
      </c>
      <c r="E4242" s="3" t="s">
        <v>5020</v>
      </c>
      <c r="F4242" s="3" t="s">
        <v>5030</v>
      </c>
      <c r="G4242" s="3" t="s">
        <v>5035</v>
      </c>
      <c r="H4242" s="3" t="s">
        <v>5426</v>
      </c>
      <c r="I4242" s="17">
        <v>45575</v>
      </c>
      <c r="J4242" s="18">
        <f>YEAR(Tabla1[[#This Row],[FECHA DE COMPRA]])</f>
        <v>2024</v>
      </c>
      <c r="K4242" s="19">
        <v>71.58</v>
      </c>
      <c r="L4242" s="20">
        <v>0</v>
      </c>
      <c r="M4242" s="19">
        <f>Tienda!$K2302-Tienda!$K2302*Tienda!$L2302</f>
        <v>15.489000000000001</v>
      </c>
      <c r="N4242" s="3" t="s">
        <v>10038</v>
      </c>
      <c r="O4242" s="3" t="s">
        <v>10042</v>
      </c>
      <c r="P4242" s="17">
        <v>45755</v>
      </c>
      <c r="Q4242" s="4">
        <v>6</v>
      </c>
    </row>
    <row r="4243" spans="1:17" ht="30" x14ac:dyDescent="0.25">
      <c r="A4243" s="2" t="s">
        <v>2528</v>
      </c>
      <c r="B4243" s="3" t="s">
        <v>5015</v>
      </c>
      <c r="C4243" s="3">
        <v>45</v>
      </c>
      <c r="D4243" s="46" t="str">
        <f>IF(Tabla1[[#This Row],[EDAD]]&lt;=35,"Adultos jóvenes 18 - 35 años",IF(C4243&gt;=36,"Adultos mayores 36 años en adelante"))</f>
        <v>Adultos mayores 36 años en adelante</v>
      </c>
      <c r="E4243" s="3" t="s">
        <v>5019</v>
      </c>
      <c r="F4243" s="3" t="s">
        <v>5029</v>
      </c>
      <c r="G4243" s="3" t="s">
        <v>5032</v>
      </c>
      <c r="H4243" s="3" t="s">
        <v>7551</v>
      </c>
      <c r="I4243" s="17">
        <v>45335</v>
      </c>
      <c r="J4243" s="18">
        <f>YEAR(Tabla1[[#This Row],[FECHA DE COMPRA]])</f>
        <v>2024</v>
      </c>
      <c r="K4243" s="19">
        <v>89.53</v>
      </c>
      <c r="L4243" s="20">
        <v>0.2</v>
      </c>
      <c r="M4243" s="19">
        <f>Tienda!$K2303-Tienda!$K2303*Tienda!$L2303</f>
        <v>87.948000000000008</v>
      </c>
      <c r="N4243" s="3" t="s">
        <v>10038</v>
      </c>
      <c r="O4243" s="3" t="s">
        <v>10042</v>
      </c>
      <c r="P4243" s="17">
        <v>45335</v>
      </c>
      <c r="Q4243" s="4">
        <v>9</v>
      </c>
    </row>
    <row r="4244" spans="1:17" ht="30" x14ac:dyDescent="0.25">
      <c r="A4244" s="2" t="s">
        <v>1099</v>
      </c>
      <c r="B4244" s="3" t="s">
        <v>5015</v>
      </c>
      <c r="C4244" s="3">
        <v>55</v>
      </c>
      <c r="D4244" s="46" t="str">
        <f>IF(Tabla1[[#This Row],[EDAD]]&lt;=35,"Adultos jóvenes 18 - 35 años",IF(C4244&gt;=36,"Adultos mayores 36 años en adelante"))</f>
        <v>Adultos mayores 36 años en adelante</v>
      </c>
      <c r="E4244" s="3" t="s">
        <v>5022</v>
      </c>
      <c r="F4244" s="3" t="s">
        <v>5025</v>
      </c>
      <c r="G4244" s="3" t="s">
        <v>5037</v>
      </c>
      <c r="H4244" s="3" t="s">
        <v>6122</v>
      </c>
      <c r="I4244" s="17">
        <v>45311</v>
      </c>
      <c r="J4244" s="18">
        <f>YEAR(Tabla1[[#This Row],[FECHA DE COMPRA]])</f>
        <v>2024</v>
      </c>
      <c r="K4244" s="19">
        <v>102.33</v>
      </c>
      <c r="L4244" s="20">
        <v>0.3</v>
      </c>
      <c r="M4244" s="19">
        <f>Tienda!$K2304-Tienda!$K2304*Tienda!$L2304</f>
        <v>75.319999999999993</v>
      </c>
      <c r="N4244" s="3" t="s">
        <v>10038</v>
      </c>
      <c r="O4244" s="3" t="s">
        <v>10042</v>
      </c>
      <c r="P4244" s="17">
        <v>45671</v>
      </c>
      <c r="Q4244" s="4">
        <v>12</v>
      </c>
    </row>
    <row r="4245" spans="1:17" ht="30" x14ac:dyDescent="0.25">
      <c r="A4245" s="2" t="s">
        <v>2132</v>
      </c>
      <c r="B4245" s="3" t="s">
        <v>5016</v>
      </c>
      <c r="C4245" s="3">
        <v>51</v>
      </c>
      <c r="D4245" s="46" t="str">
        <f>IF(Tabla1[[#This Row],[EDAD]]&lt;=35,"Adultos jóvenes 18 - 35 años",IF(C4245&gt;=36,"Adultos mayores 36 años en adelante"))</f>
        <v>Adultos mayores 36 años en adelante</v>
      </c>
      <c r="E4245" s="3" t="s">
        <v>5019</v>
      </c>
      <c r="F4245" s="3" t="s">
        <v>5024</v>
      </c>
      <c r="G4245" s="3" t="s">
        <v>5037</v>
      </c>
      <c r="H4245" s="3" t="s">
        <v>7155</v>
      </c>
      <c r="I4245" s="17">
        <v>45531</v>
      </c>
      <c r="J4245" s="18">
        <f>YEAR(Tabla1[[#This Row],[FECHA DE COMPRA]])</f>
        <v>2024</v>
      </c>
      <c r="K4245" s="19">
        <v>72.260000000000005</v>
      </c>
      <c r="L4245" s="20">
        <v>0</v>
      </c>
      <c r="M4245" s="19">
        <f>Tienda!$K2308-Tienda!$K2308*Tienda!$L2308</f>
        <v>18.795000000000002</v>
      </c>
      <c r="N4245" s="3" t="s">
        <v>10038</v>
      </c>
      <c r="O4245" s="3" t="s">
        <v>10042</v>
      </c>
      <c r="P4245" s="17">
        <v>45891</v>
      </c>
      <c r="Q4245" s="4">
        <v>12</v>
      </c>
    </row>
    <row r="4246" spans="1:17" ht="30" x14ac:dyDescent="0.25">
      <c r="A4246" s="2" t="s">
        <v>595</v>
      </c>
      <c r="B4246" s="3" t="s">
        <v>5016</v>
      </c>
      <c r="C4246" s="3">
        <v>62</v>
      </c>
      <c r="D4246" s="46" t="str">
        <f>IF(Tabla1[[#This Row],[EDAD]]&lt;=35,"Adultos jóvenes 18 - 35 años",IF(C4246&gt;=36,"Adultos mayores 36 años en adelante"))</f>
        <v>Adultos mayores 36 años en adelante</v>
      </c>
      <c r="E4246" s="3" t="s">
        <v>5019</v>
      </c>
      <c r="F4246" s="3" t="s">
        <v>5024</v>
      </c>
      <c r="G4246" s="3" t="s">
        <v>5033</v>
      </c>
      <c r="H4246" s="3" t="s">
        <v>5618</v>
      </c>
      <c r="I4246" s="17">
        <v>45444</v>
      </c>
      <c r="J4246" s="18">
        <f>YEAR(Tabla1[[#This Row],[FECHA DE COMPRA]])</f>
        <v>2024</v>
      </c>
      <c r="K4246" s="19">
        <v>80.31</v>
      </c>
      <c r="L4246" s="20">
        <v>0.1</v>
      </c>
      <c r="M4246" s="19">
        <f>Tienda!$K2309-Tienda!$K2309*Tienda!$L2309</f>
        <v>148.72800000000001</v>
      </c>
      <c r="N4246" s="3" t="s">
        <v>10038</v>
      </c>
      <c r="O4246" s="3" t="s">
        <v>10042</v>
      </c>
      <c r="P4246" s="17">
        <v>45624</v>
      </c>
      <c r="Q4246" s="4">
        <v>6</v>
      </c>
    </row>
    <row r="4247" spans="1:17" ht="30" x14ac:dyDescent="0.25">
      <c r="A4247" s="2" t="s">
        <v>2937</v>
      </c>
      <c r="B4247" s="3" t="s">
        <v>5015</v>
      </c>
      <c r="C4247" s="3">
        <v>52</v>
      </c>
      <c r="D4247" s="46" t="str">
        <f>IF(Tabla1[[#This Row],[EDAD]]&lt;=35,"Adultos jóvenes 18 - 35 años",IF(C4247&gt;=36,"Adultos mayores 36 años en adelante"))</f>
        <v>Adultos mayores 36 años en adelante</v>
      </c>
      <c r="E4247" s="3" t="s">
        <v>5021</v>
      </c>
      <c r="F4247" s="3" t="s">
        <v>5028</v>
      </c>
      <c r="G4247" s="3" t="s">
        <v>5032</v>
      </c>
      <c r="H4247" s="3" t="s">
        <v>7960</v>
      </c>
      <c r="I4247" s="17">
        <v>45395</v>
      </c>
      <c r="J4247" s="18">
        <f>YEAR(Tabla1[[#This Row],[FECHA DE COMPRA]])</f>
        <v>2024</v>
      </c>
      <c r="K4247" s="19">
        <v>72.459999999999994</v>
      </c>
      <c r="L4247" s="20">
        <v>0</v>
      </c>
      <c r="M4247" s="19">
        <f>Tienda!$K2313-Tienda!$K2313*Tienda!$L2313</f>
        <v>78.686999999999998</v>
      </c>
      <c r="N4247" s="3" t="s">
        <v>10038</v>
      </c>
      <c r="O4247" s="3" t="s">
        <v>10042</v>
      </c>
      <c r="P4247" s="17">
        <v>45485</v>
      </c>
      <c r="Q4247" s="4">
        <v>3</v>
      </c>
    </row>
    <row r="4248" spans="1:17" ht="30" x14ac:dyDescent="0.25">
      <c r="A4248" s="2" t="s">
        <v>84</v>
      </c>
      <c r="B4248" s="3" t="s">
        <v>5015</v>
      </c>
      <c r="C4248" s="3">
        <v>52</v>
      </c>
      <c r="D4248" s="46" t="str">
        <f>IF(Tabla1[[#This Row],[EDAD]]&lt;=35,"Adultos jóvenes 18 - 35 años",IF(C4248&gt;=36,"Adultos mayores 36 años en adelante"))</f>
        <v>Adultos mayores 36 años en adelante</v>
      </c>
      <c r="E4248" s="3" t="s">
        <v>5019</v>
      </c>
      <c r="F4248" s="3" t="s">
        <v>5025</v>
      </c>
      <c r="G4248" s="3" t="s">
        <v>5032</v>
      </c>
      <c r="H4248" s="3" t="s">
        <v>5107</v>
      </c>
      <c r="I4248" s="17">
        <v>45387</v>
      </c>
      <c r="J4248" s="18">
        <f>YEAR(Tabla1[[#This Row],[FECHA DE COMPRA]])</f>
        <v>2024</v>
      </c>
      <c r="K4248" s="19">
        <v>72.510000000000005</v>
      </c>
      <c r="L4248" s="20">
        <v>0</v>
      </c>
      <c r="M4248" s="19">
        <f>Tienda!$K2314-Tienda!$K2314*Tienda!$L2314</f>
        <v>144.44999999999999</v>
      </c>
      <c r="N4248" s="3" t="s">
        <v>10038</v>
      </c>
      <c r="O4248" s="3" t="s">
        <v>10042</v>
      </c>
      <c r="P4248" s="17">
        <v>45387</v>
      </c>
      <c r="Q4248" s="4">
        <v>9</v>
      </c>
    </row>
    <row r="4249" spans="1:17" ht="30" x14ac:dyDescent="0.25">
      <c r="A4249" s="2" t="s">
        <v>1161</v>
      </c>
      <c r="B4249" s="3" t="s">
        <v>5016</v>
      </c>
      <c r="C4249" s="3">
        <v>60</v>
      </c>
      <c r="D4249" s="46" t="str">
        <f>IF(Tabla1[[#This Row],[EDAD]]&lt;=35,"Adultos jóvenes 18 - 35 años",IF(C4249&gt;=36,"Adultos mayores 36 años en adelante"))</f>
        <v>Adultos mayores 36 años en adelante</v>
      </c>
      <c r="E4249" s="3" t="s">
        <v>5017</v>
      </c>
      <c r="F4249" s="3" t="s">
        <v>5026</v>
      </c>
      <c r="G4249" s="3" t="s">
        <v>5033</v>
      </c>
      <c r="H4249" s="3" t="s">
        <v>6184</v>
      </c>
      <c r="I4249" s="17">
        <v>45336</v>
      </c>
      <c r="J4249" s="18">
        <f>YEAR(Tabla1[[#This Row],[FECHA DE COMPRA]])</f>
        <v>2024</v>
      </c>
      <c r="K4249" s="19">
        <v>80.58</v>
      </c>
      <c r="L4249" s="20">
        <v>0.1</v>
      </c>
      <c r="M4249" s="19">
        <f>Tienda!$K2316-Tienda!$K2316*Tienda!$L2316</f>
        <v>20.09</v>
      </c>
      <c r="N4249" s="3" t="s">
        <v>10038</v>
      </c>
      <c r="O4249" s="3" t="s">
        <v>10042</v>
      </c>
      <c r="P4249" s="17">
        <v>45426</v>
      </c>
      <c r="Q4249" s="4">
        <v>3</v>
      </c>
    </row>
    <row r="4250" spans="1:17" ht="30" x14ac:dyDescent="0.25">
      <c r="A4250" s="2" t="s">
        <v>320</v>
      </c>
      <c r="B4250" s="3" t="s">
        <v>5015</v>
      </c>
      <c r="C4250" s="3">
        <v>61</v>
      </c>
      <c r="D4250" s="46" t="str">
        <f>IF(Tabla1[[#This Row],[EDAD]]&lt;=35,"Adultos jóvenes 18 - 35 años",IF(C4250&gt;=36,"Adultos mayores 36 años en adelante"))</f>
        <v>Adultos mayores 36 años en adelante</v>
      </c>
      <c r="E4250" s="3" t="s">
        <v>5017</v>
      </c>
      <c r="F4250" s="3" t="s">
        <v>5030</v>
      </c>
      <c r="G4250" s="3" t="s">
        <v>5037</v>
      </c>
      <c r="H4250" s="3" t="s">
        <v>5343</v>
      </c>
      <c r="I4250" s="17">
        <v>45630</v>
      </c>
      <c r="J4250" s="18">
        <f>YEAR(Tabla1[[#This Row],[FECHA DE COMPRA]])</f>
        <v>2024</v>
      </c>
      <c r="K4250" s="19">
        <v>103.79</v>
      </c>
      <c r="L4250" s="20">
        <v>0.3</v>
      </c>
      <c r="M4250" s="19">
        <f>Tienda!$K2318-Tienda!$K2318*Tienda!$L2318</f>
        <v>83.796999999999997</v>
      </c>
      <c r="N4250" s="3" t="s">
        <v>10038</v>
      </c>
      <c r="O4250" s="3" t="s">
        <v>10042</v>
      </c>
      <c r="P4250" s="17">
        <v>45900</v>
      </c>
      <c r="Q4250" s="4">
        <v>9</v>
      </c>
    </row>
    <row r="4251" spans="1:17" ht="30" x14ac:dyDescent="0.25">
      <c r="A4251" s="2" t="s">
        <v>1562</v>
      </c>
      <c r="B4251" s="3" t="s">
        <v>5016</v>
      </c>
      <c r="C4251" s="3">
        <v>38</v>
      </c>
      <c r="D4251" s="46" t="str">
        <f>IF(Tabla1[[#This Row],[EDAD]]&lt;=35,"Adultos jóvenes 18 - 35 años",IF(C4251&gt;=36,"Adultos mayores 36 años en adelante"))</f>
        <v>Adultos mayores 36 años en adelante</v>
      </c>
      <c r="E4251" s="3" t="s">
        <v>5023</v>
      </c>
      <c r="F4251" s="3" t="s">
        <v>5028</v>
      </c>
      <c r="G4251" s="3" t="s">
        <v>5036</v>
      </c>
      <c r="H4251" s="3" t="s">
        <v>6585</v>
      </c>
      <c r="I4251" s="17">
        <v>45326</v>
      </c>
      <c r="J4251" s="18">
        <f>YEAR(Tabla1[[#This Row],[FECHA DE COMPRA]])</f>
        <v>2024</v>
      </c>
      <c r="K4251" s="19">
        <v>81.03</v>
      </c>
      <c r="L4251" s="20">
        <v>0.1</v>
      </c>
      <c r="M4251" s="19">
        <f>Tienda!$K2322-Tienda!$K2322*Tienda!$L2322</f>
        <v>73.953000000000003</v>
      </c>
      <c r="N4251" s="3" t="s">
        <v>10038</v>
      </c>
      <c r="O4251" s="3" t="s">
        <v>10042</v>
      </c>
      <c r="P4251" s="17">
        <v>45326</v>
      </c>
      <c r="Q4251" s="4">
        <v>6</v>
      </c>
    </row>
    <row r="4252" spans="1:17" ht="30" x14ac:dyDescent="0.25">
      <c r="A4252" s="2" t="s">
        <v>3126</v>
      </c>
      <c r="B4252" s="3" t="s">
        <v>5015</v>
      </c>
      <c r="C4252" s="3">
        <v>55</v>
      </c>
      <c r="D4252" s="46" t="str">
        <f>IF(Tabla1[[#This Row],[EDAD]]&lt;=35,"Adultos jóvenes 18 - 35 años",IF(C4252&gt;=36,"Adultos mayores 36 años en adelante"))</f>
        <v>Adultos mayores 36 años en adelante</v>
      </c>
      <c r="E4252" s="3" t="s">
        <v>5017</v>
      </c>
      <c r="F4252" s="3" t="s">
        <v>5026</v>
      </c>
      <c r="G4252" s="3" t="s">
        <v>5031</v>
      </c>
      <c r="H4252" s="3" t="s">
        <v>8149</v>
      </c>
      <c r="I4252" s="17">
        <v>45566</v>
      </c>
      <c r="J4252" s="18">
        <f>YEAR(Tabla1[[#This Row],[FECHA DE COMPRA]])</f>
        <v>2024</v>
      </c>
      <c r="K4252" s="19">
        <v>73.19</v>
      </c>
      <c r="L4252" s="20">
        <v>0</v>
      </c>
      <c r="M4252" s="19">
        <f>Tienda!$K2325-Tienda!$K2325*Tienda!$L2325</f>
        <v>70.686000000000007</v>
      </c>
      <c r="N4252" s="3" t="s">
        <v>10038</v>
      </c>
      <c r="O4252" s="3" t="s">
        <v>10042</v>
      </c>
      <c r="P4252" s="17">
        <v>45836</v>
      </c>
      <c r="Q4252" s="4">
        <v>9</v>
      </c>
    </row>
    <row r="4253" spans="1:17" ht="30" x14ac:dyDescent="0.25">
      <c r="A4253" s="2" t="s">
        <v>2489</v>
      </c>
      <c r="B4253" s="3" t="s">
        <v>5015</v>
      </c>
      <c r="C4253" s="3">
        <v>46</v>
      </c>
      <c r="D4253" s="46" t="str">
        <f>IF(Tabla1[[#This Row],[EDAD]]&lt;=35,"Adultos jóvenes 18 - 35 años",IF(C4253&gt;=36,"Adultos mayores 36 años en adelante"))</f>
        <v>Adultos mayores 36 años en adelante</v>
      </c>
      <c r="E4253" s="3" t="s">
        <v>5022</v>
      </c>
      <c r="F4253" s="3" t="s">
        <v>5030</v>
      </c>
      <c r="G4253" s="3" t="s">
        <v>5033</v>
      </c>
      <c r="H4253" s="3" t="s">
        <v>7512</v>
      </c>
      <c r="I4253" s="17">
        <v>45325</v>
      </c>
      <c r="J4253" s="18">
        <f>YEAR(Tabla1[[#This Row],[FECHA DE COMPRA]])</f>
        <v>2024</v>
      </c>
      <c r="K4253" s="19">
        <v>73.709999999999994</v>
      </c>
      <c r="L4253" s="20">
        <v>0</v>
      </c>
      <c r="M4253" s="19">
        <f>Tienda!$K2328-Tienda!$K2328*Tienda!$L2328</f>
        <v>98.518000000000001</v>
      </c>
      <c r="N4253" s="3" t="s">
        <v>10038</v>
      </c>
      <c r="O4253" s="3" t="s">
        <v>10042</v>
      </c>
      <c r="P4253" s="17">
        <v>45325</v>
      </c>
      <c r="Q4253" s="4">
        <v>12</v>
      </c>
    </row>
    <row r="4254" spans="1:17" ht="30" x14ac:dyDescent="0.25">
      <c r="A4254" s="2" t="s">
        <v>4315</v>
      </c>
      <c r="B4254" s="3" t="s">
        <v>5015</v>
      </c>
      <c r="C4254" s="3">
        <v>36</v>
      </c>
      <c r="D4254" s="46" t="str">
        <f>IF(Tabla1[[#This Row],[EDAD]]&lt;=35,"Adultos jóvenes 18 - 35 años",IF(C4254&gt;=36,"Adultos mayores 36 años en adelante"))</f>
        <v>Adultos mayores 36 años en adelante</v>
      </c>
      <c r="E4254" s="3" t="s">
        <v>5019</v>
      </c>
      <c r="F4254" s="3" t="s">
        <v>5028</v>
      </c>
      <c r="G4254" s="3" t="s">
        <v>5037</v>
      </c>
      <c r="H4254" s="3" t="s">
        <v>9338</v>
      </c>
      <c r="I4254" s="17">
        <v>45572</v>
      </c>
      <c r="J4254" s="18">
        <f>YEAR(Tabla1[[#This Row],[FECHA DE COMPRA]])</f>
        <v>2024</v>
      </c>
      <c r="K4254" s="19">
        <v>105.42</v>
      </c>
      <c r="L4254" s="20">
        <v>0.3</v>
      </c>
      <c r="M4254" s="19">
        <f>Tienda!$K2329-Tienda!$K2329*Tienda!$L2329</f>
        <v>145.37700000000001</v>
      </c>
      <c r="N4254" s="3" t="s">
        <v>10038</v>
      </c>
      <c r="O4254" s="3" t="s">
        <v>10042</v>
      </c>
      <c r="P4254" s="17">
        <v>45662</v>
      </c>
      <c r="Q4254" s="4">
        <v>3</v>
      </c>
    </row>
    <row r="4255" spans="1:17" ht="30" x14ac:dyDescent="0.25">
      <c r="A4255" s="2" t="s">
        <v>3593</v>
      </c>
      <c r="B4255" s="3" t="s">
        <v>5015</v>
      </c>
      <c r="C4255" s="3">
        <v>40</v>
      </c>
      <c r="D4255" s="46" t="str">
        <f>IF(Tabla1[[#This Row],[EDAD]]&lt;=35,"Adultos jóvenes 18 - 35 años",IF(C4255&gt;=36,"Adultos mayores 36 años en adelante"))</f>
        <v>Adultos mayores 36 años en adelante</v>
      </c>
      <c r="E4255" s="3" t="s">
        <v>5022</v>
      </c>
      <c r="F4255" s="3" t="s">
        <v>5028</v>
      </c>
      <c r="G4255" s="3" t="s">
        <v>5035</v>
      </c>
      <c r="H4255" s="3" t="s">
        <v>8616</v>
      </c>
      <c r="I4255" s="17">
        <v>45399</v>
      </c>
      <c r="J4255" s="18">
        <f>YEAR(Tabla1[[#This Row],[FECHA DE COMPRA]])</f>
        <v>2024</v>
      </c>
      <c r="K4255" s="19">
        <v>82.07</v>
      </c>
      <c r="L4255" s="20">
        <v>0.1</v>
      </c>
      <c r="M4255" s="19">
        <f>Tienda!$K2330-Tienda!$K2330*Tienda!$L2330</f>
        <v>35.19</v>
      </c>
      <c r="N4255" s="3" t="s">
        <v>10038</v>
      </c>
      <c r="O4255" s="3" t="s">
        <v>10042</v>
      </c>
      <c r="P4255" s="17">
        <v>45669</v>
      </c>
      <c r="Q4255" s="4">
        <v>9</v>
      </c>
    </row>
    <row r="4256" spans="1:17" ht="30" x14ac:dyDescent="0.25">
      <c r="A4256" s="2" t="s">
        <v>426</v>
      </c>
      <c r="B4256" s="3" t="s">
        <v>5015</v>
      </c>
      <c r="C4256" s="3">
        <v>46</v>
      </c>
      <c r="D4256" s="46" t="str">
        <f>IF(Tabla1[[#This Row],[EDAD]]&lt;=35,"Adultos jóvenes 18 - 35 años",IF(C4256&gt;=36,"Adultos mayores 36 años en adelante"))</f>
        <v>Adultos mayores 36 años en adelante</v>
      </c>
      <c r="E4256" s="3" t="s">
        <v>5020</v>
      </c>
      <c r="F4256" s="3" t="s">
        <v>5026</v>
      </c>
      <c r="G4256" s="3" t="s">
        <v>5037</v>
      </c>
      <c r="H4256" s="3" t="s">
        <v>5449</v>
      </c>
      <c r="I4256" s="17">
        <v>45351</v>
      </c>
      <c r="J4256" s="18">
        <f>YEAR(Tabla1[[#This Row],[FECHA DE COMPRA]])</f>
        <v>2024</v>
      </c>
      <c r="K4256" s="19">
        <v>93.01</v>
      </c>
      <c r="L4256" s="20">
        <v>0.2</v>
      </c>
      <c r="M4256" s="19">
        <f>Tienda!$K2331-Tienda!$K2331*Tienda!$L2331</f>
        <v>102.03200000000001</v>
      </c>
      <c r="N4256" s="3" t="s">
        <v>10038</v>
      </c>
      <c r="O4256" s="3" t="s">
        <v>10042</v>
      </c>
      <c r="P4256" s="17">
        <v>45351</v>
      </c>
      <c r="Q4256" s="4">
        <v>9</v>
      </c>
    </row>
    <row r="4257" spans="1:17" ht="30" x14ac:dyDescent="0.25">
      <c r="A4257" s="2" t="s">
        <v>5011</v>
      </c>
      <c r="B4257" s="3" t="s">
        <v>5015</v>
      </c>
      <c r="C4257" s="3">
        <v>42</v>
      </c>
      <c r="D4257" s="46" t="str">
        <f>IF(Tabla1[[#This Row],[EDAD]]&lt;=35,"Adultos jóvenes 18 - 35 años",IF(C4257&gt;=36,"Adultos mayores 36 años en adelante"))</f>
        <v>Adultos mayores 36 años en adelante</v>
      </c>
      <c r="E4257" s="3" t="s">
        <v>5018</v>
      </c>
      <c r="F4257" s="3" t="s">
        <v>5028</v>
      </c>
      <c r="G4257" s="3" t="s">
        <v>5035</v>
      </c>
      <c r="H4257" s="3" t="s">
        <v>10034</v>
      </c>
      <c r="I4257" s="17">
        <v>45487</v>
      </c>
      <c r="J4257" s="18">
        <f>YEAR(Tabla1[[#This Row],[FECHA DE COMPRA]])</f>
        <v>2024</v>
      </c>
      <c r="K4257" s="19">
        <v>107.15</v>
      </c>
      <c r="L4257" s="20">
        <v>0.3</v>
      </c>
      <c r="M4257" s="19">
        <f>Tienda!$K2333-Tienda!$K2333*Tienda!$L2333</f>
        <v>56.808000000000007</v>
      </c>
      <c r="N4257" s="3" t="s">
        <v>10038</v>
      </c>
      <c r="O4257" s="3" t="s">
        <v>10042</v>
      </c>
      <c r="P4257" s="17">
        <v>45487</v>
      </c>
      <c r="Q4257" s="4">
        <v>3</v>
      </c>
    </row>
    <row r="4258" spans="1:17" ht="30" x14ac:dyDescent="0.25">
      <c r="A4258" s="2" t="s">
        <v>2216</v>
      </c>
      <c r="B4258" s="3" t="s">
        <v>5015</v>
      </c>
      <c r="C4258" s="3">
        <v>56</v>
      </c>
      <c r="D4258" s="46" t="str">
        <f>IF(Tabla1[[#This Row],[EDAD]]&lt;=35,"Adultos jóvenes 18 - 35 años",IF(C4258&gt;=36,"Adultos mayores 36 años en adelante"))</f>
        <v>Adultos mayores 36 años en adelante</v>
      </c>
      <c r="E4258" s="3" t="s">
        <v>5018</v>
      </c>
      <c r="F4258" s="3" t="s">
        <v>5025</v>
      </c>
      <c r="G4258" s="3" t="s">
        <v>5036</v>
      </c>
      <c r="H4258" s="3" t="s">
        <v>7239</v>
      </c>
      <c r="I4258" s="17">
        <v>45365</v>
      </c>
      <c r="J4258" s="18">
        <f>YEAR(Tabla1[[#This Row],[FECHA DE COMPRA]])</f>
        <v>2024</v>
      </c>
      <c r="K4258" s="19">
        <v>107.67</v>
      </c>
      <c r="L4258" s="20">
        <v>0.3</v>
      </c>
      <c r="M4258" s="19">
        <f>Tienda!$K2336-Tienda!$K2336*Tienda!$L2336</f>
        <v>140.28800000000001</v>
      </c>
      <c r="N4258" s="3" t="s">
        <v>10038</v>
      </c>
      <c r="O4258" s="3" t="s">
        <v>10042</v>
      </c>
      <c r="P4258" s="17">
        <v>45365</v>
      </c>
      <c r="Q4258" s="4">
        <v>9</v>
      </c>
    </row>
    <row r="4259" spans="1:17" ht="30" x14ac:dyDescent="0.25">
      <c r="A4259" s="2" t="s">
        <v>472</v>
      </c>
      <c r="B4259" s="3" t="s">
        <v>5015</v>
      </c>
      <c r="C4259" s="3">
        <v>42</v>
      </c>
      <c r="D4259" s="46" t="str">
        <f>IF(Tabla1[[#This Row],[EDAD]]&lt;=35,"Adultos jóvenes 18 - 35 años",IF(C4259&gt;=36,"Adultos mayores 36 años en adelante"))</f>
        <v>Adultos mayores 36 años en adelante</v>
      </c>
      <c r="E4259" s="3" t="s">
        <v>5021</v>
      </c>
      <c r="F4259" s="3" t="s">
        <v>5026</v>
      </c>
      <c r="G4259" s="3" t="s">
        <v>5033</v>
      </c>
      <c r="H4259" s="3" t="s">
        <v>5495</v>
      </c>
      <c r="I4259" s="17">
        <v>45354</v>
      </c>
      <c r="J4259" s="18">
        <f>YEAR(Tabla1[[#This Row],[FECHA DE COMPRA]])</f>
        <v>2024</v>
      </c>
      <c r="K4259" s="19">
        <v>83.8</v>
      </c>
      <c r="L4259" s="20">
        <v>0.1</v>
      </c>
      <c r="M4259" s="19">
        <f>Tienda!$K2337-Tienda!$K2337*Tienda!$L2337</f>
        <v>77.128</v>
      </c>
      <c r="N4259" s="3" t="s">
        <v>10038</v>
      </c>
      <c r="O4259" s="3" t="s">
        <v>10042</v>
      </c>
      <c r="P4259" s="17">
        <v>45444</v>
      </c>
      <c r="Q4259" s="4">
        <v>3</v>
      </c>
    </row>
    <row r="4260" spans="1:17" ht="30" x14ac:dyDescent="0.25">
      <c r="A4260" s="2" t="s">
        <v>1289</v>
      </c>
      <c r="B4260" s="3" t="s">
        <v>5015</v>
      </c>
      <c r="C4260" s="3">
        <v>61</v>
      </c>
      <c r="D4260" s="46" t="str">
        <f>IF(Tabla1[[#This Row],[EDAD]]&lt;=35,"Adultos jóvenes 18 - 35 años",IF(C4260&gt;=36,"Adultos mayores 36 años en adelante"))</f>
        <v>Adultos mayores 36 años en adelante</v>
      </c>
      <c r="E4260" s="3" t="s">
        <v>5021</v>
      </c>
      <c r="F4260" s="3" t="s">
        <v>5028</v>
      </c>
      <c r="G4260" s="3" t="s">
        <v>5037</v>
      </c>
      <c r="H4260" s="3" t="s">
        <v>6312</v>
      </c>
      <c r="I4260" s="17">
        <v>45654</v>
      </c>
      <c r="J4260" s="18">
        <f>YEAR(Tabla1[[#This Row],[FECHA DE COMPRA]])</f>
        <v>2024</v>
      </c>
      <c r="K4260" s="19">
        <v>94.35</v>
      </c>
      <c r="L4260" s="20">
        <v>0.2</v>
      </c>
      <c r="M4260" s="19">
        <f>Tienda!$K2339-Tienda!$K2339*Tienda!$L2339</f>
        <v>110.726</v>
      </c>
      <c r="N4260" s="3" t="s">
        <v>10038</v>
      </c>
      <c r="O4260" s="3" t="s">
        <v>10042</v>
      </c>
      <c r="P4260" s="17">
        <v>45744</v>
      </c>
      <c r="Q4260" s="4">
        <v>3</v>
      </c>
    </row>
    <row r="4261" spans="1:17" ht="30" x14ac:dyDescent="0.25">
      <c r="A4261" s="2" t="s">
        <v>1497</v>
      </c>
      <c r="B4261" s="3" t="s">
        <v>5015</v>
      </c>
      <c r="C4261" s="3">
        <v>56</v>
      </c>
      <c r="D4261" s="46" t="str">
        <f>IF(Tabla1[[#This Row],[EDAD]]&lt;=35,"Adultos jóvenes 18 - 35 años",IF(C4261&gt;=36,"Adultos mayores 36 años en adelante"))</f>
        <v>Adultos mayores 36 años en adelante</v>
      </c>
      <c r="E4261" s="3" t="s">
        <v>5017</v>
      </c>
      <c r="F4261" s="3" t="s">
        <v>5026</v>
      </c>
      <c r="G4261" s="3" t="s">
        <v>5037</v>
      </c>
      <c r="H4261" s="3" t="s">
        <v>6520</v>
      </c>
      <c r="I4261" s="17">
        <v>45337</v>
      </c>
      <c r="J4261" s="18">
        <f>YEAR(Tabla1[[#This Row],[FECHA DE COMPRA]])</f>
        <v>2024</v>
      </c>
      <c r="K4261" s="19">
        <v>94.78</v>
      </c>
      <c r="L4261" s="20">
        <v>0.2</v>
      </c>
      <c r="M4261" s="19">
        <f>Tienda!$K2340-Tienda!$K2340*Tienda!$L2340</f>
        <v>196.19</v>
      </c>
      <c r="N4261" s="3" t="s">
        <v>10038</v>
      </c>
      <c r="O4261" s="3" t="s">
        <v>10042</v>
      </c>
      <c r="P4261" s="17">
        <v>45427</v>
      </c>
      <c r="Q4261" s="4">
        <v>3</v>
      </c>
    </row>
    <row r="4262" spans="1:17" ht="30" x14ac:dyDescent="0.25">
      <c r="A4262" s="2" t="s">
        <v>4557</v>
      </c>
      <c r="B4262" s="3" t="s">
        <v>5015</v>
      </c>
      <c r="C4262" s="3">
        <v>51</v>
      </c>
      <c r="D4262" s="46" t="str">
        <f>IF(Tabla1[[#This Row],[EDAD]]&lt;=35,"Adultos jóvenes 18 - 35 años",IF(C4262&gt;=36,"Adultos mayores 36 años en adelante"))</f>
        <v>Adultos mayores 36 años en adelante</v>
      </c>
      <c r="E4262" s="3" t="s">
        <v>5020</v>
      </c>
      <c r="F4262" s="3" t="s">
        <v>5027</v>
      </c>
      <c r="G4262" s="3" t="s">
        <v>5037</v>
      </c>
      <c r="H4262" s="3" t="s">
        <v>9580</v>
      </c>
      <c r="I4262" s="17">
        <v>45530</v>
      </c>
      <c r="J4262" s="18">
        <f>YEAR(Tabla1[[#This Row],[FECHA DE COMPRA]])</f>
        <v>2024</v>
      </c>
      <c r="K4262" s="19">
        <v>95.75</v>
      </c>
      <c r="L4262" s="20">
        <v>0.2</v>
      </c>
      <c r="M4262" s="19">
        <f>Tienda!$K2343-Tienda!$K2343*Tienda!$L2343</f>
        <v>32.256</v>
      </c>
      <c r="N4262" s="3" t="s">
        <v>10038</v>
      </c>
      <c r="O4262" s="3" t="s">
        <v>10042</v>
      </c>
      <c r="P4262" s="17">
        <v>45530</v>
      </c>
      <c r="Q4262" s="4">
        <v>9</v>
      </c>
    </row>
    <row r="4263" spans="1:17" ht="30" x14ac:dyDescent="0.25">
      <c r="A4263" s="2" t="s">
        <v>1087</v>
      </c>
      <c r="B4263" s="3" t="s">
        <v>5015</v>
      </c>
      <c r="C4263" s="3">
        <v>39</v>
      </c>
      <c r="D4263" s="46" t="str">
        <f>IF(Tabla1[[#This Row],[EDAD]]&lt;=35,"Adultos jóvenes 18 - 35 años",IF(C4263&gt;=36,"Adultos mayores 36 años en adelante"))</f>
        <v>Adultos mayores 36 años en adelante</v>
      </c>
      <c r="E4263" s="3" t="s">
        <v>5017</v>
      </c>
      <c r="F4263" s="3" t="s">
        <v>5029</v>
      </c>
      <c r="G4263" s="3" t="s">
        <v>5034</v>
      </c>
      <c r="H4263" s="3" t="s">
        <v>6110</v>
      </c>
      <c r="I4263" s="17">
        <v>45350</v>
      </c>
      <c r="J4263" s="18">
        <f>YEAR(Tabla1[[#This Row],[FECHA DE COMPRA]])</f>
        <v>2024</v>
      </c>
      <c r="K4263" s="19">
        <v>77.05</v>
      </c>
      <c r="L4263" s="20">
        <v>0</v>
      </c>
      <c r="M4263" s="19">
        <f>Tienda!$K2346-Tienda!$K2346*Tienda!$L2346</f>
        <v>95.47</v>
      </c>
      <c r="N4263" s="3" t="s">
        <v>10038</v>
      </c>
      <c r="O4263" s="3" t="s">
        <v>10042</v>
      </c>
      <c r="P4263" s="17">
        <v>45440</v>
      </c>
      <c r="Q4263" s="4">
        <v>3</v>
      </c>
    </row>
    <row r="4264" spans="1:17" ht="30" x14ac:dyDescent="0.25">
      <c r="A4264" s="2" t="s">
        <v>4461</v>
      </c>
      <c r="B4264" s="3" t="s">
        <v>5015</v>
      </c>
      <c r="C4264" s="3">
        <v>44</v>
      </c>
      <c r="D4264" s="46" t="str">
        <f>IF(Tabla1[[#This Row],[EDAD]]&lt;=35,"Adultos jóvenes 18 - 35 años",IF(C4264&gt;=36,"Adultos mayores 36 años en adelante"))</f>
        <v>Adultos mayores 36 años en adelante</v>
      </c>
      <c r="E4264" s="3" t="s">
        <v>5022</v>
      </c>
      <c r="F4264" s="3" t="s">
        <v>5024</v>
      </c>
      <c r="G4264" s="3" t="s">
        <v>5036</v>
      </c>
      <c r="H4264" s="3" t="s">
        <v>9484</v>
      </c>
      <c r="I4264" s="17">
        <v>45323</v>
      </c>
      <c r="J4264" s="18">
        <f>YEAR(Tabla1[[#This Row],[FECHA DE COMPRA]])</f>
        <v>2024</v>
      </c>
      <c r="K4264" s="19">
        <v>85.67</v>
      </c>
      <c r="L4264" s="20">
        <v>0.1</v>
      </c>
      <c r="M4264" s="19">
        <f>Tienda!$K2348-Tienda!$K2348*Tienda!$L2348</f>
        <v>78.183000000000007</v>
      </c>
      <c r="N4264" s="3" t="s">
        <v>10038</v>
      </c>
      <c r="O4264" s="3" t="s">
        <v>10042</v>
      </c>
      <c r="P4264" s="17">
        <v>45323</v>
      </c>
      <c r="Q4264" s="4">
        <v>6</v>
      </c>
    </row>
    <row r="4265" spans="1:17" ht="30" x14ac:dyDescent="0.25">
      <c r="A4265" s="2" t="s">
        <v>3602</v>
      </c>
      <c r="B4265" s="3" t="s">
        <v>5015</v>
      </c>
      <c r="C4265" s="3">
        <v>50</v>
      </c>
      <c r="D4265" s="46" t="str">
        <f>IF(Tabla1[[#This Row],[EDAD]]&lt;=35,"Adultos jóvenes 18 - 35 años",IF(C4265&gt;=36,"Adultos mayores 36 años en adelante"))</f>
        <v>Adultos mayores 36 años en adelante</v>
      </c>
      <c r="E4265" s="3" t="s">
        <v>5022</v>
      </c>
      <c r="F4265" s="3" t="s">
        <v>5024</v>
      </c>
      <c r="G4265" s="3" t="s">
        <v>5034</v>
      </c>
      <c r="H4265" s="3" t="s">
        <v>8625</v>
      </c>
      <c r="I4265" s="17">
        <v>45335</v>
      </c>
      <c r="J4265" s="18">
        <f>YEAR(Tabla1[[#This Row],[FECHA DE COMPRA]])</f>
        <v>2024</v>
      </c>
      <c r="K4265" s="19">
        <v>96.49</v>
      </c>
      <c r="L4265" s="20">
        <v>0.2</v>
      </c>
      <c r="M4265" s="19">
        <f>Tienda!$K2349-Tienda!$K2349*Tienda!$L2349</f>
        <v>176.82300000000001</v>
      </c>
      <c r="N4265" s="3" t="s">
        <v>10038</v>
      </c>
      <c r="O4265" s="3" t="s">
        <v>10042</v>
      </c>
      <c r="P4265" s="17">
        <v>45335</v>
      </c>
      <c r="Q4265" s="4">
        <v>9</v>
      </c>
    </row>
    <row r="4266" spans="1:17" ht="30" x14ac:dyDescent="0.25">
      <c r="A4266" s="2" t="s">
        <v>922</v>
      </c>
      <c r="B4266" s="3" t="s">
        <v>5015</v>
      </c>
      <c r="C4266" s="3">
        <v>46</v>
      </c>
      <c r="D4266" s="46" t="str">
        <f>IF(Tabla1[[#This Row],[EDAD]]&lt;=35,"Adultos jóvenes 18 - 35 años",IF(C4266&gt;=36,"Adultos mayores 36 años en adelante"))</f>
        <v>Adultos mayores 36 años en adelante</v>
      </c>
      <c r="E4266" s="3" t="s">
        <v>5023</v>
      </c>
      <c r="F4266" s="3" t="s">
        <v>5027</v>
      </c>
      <c r="G4266" s="3" t="s">
        <v>5037</v>
      </c>
      <c r="H4266" s="3" t="s">
        <v>5945</v>
      </c>
      <c r="I4266" s="17">
        <v>45420</v>
      </c>
      <c r="J4266" s="18">
        <f>YEAR(Tabla1[[#This Row],[FECHA DE COMPRA]])</f>
        <v>2024</v>
      </c>
      <c r="K4266" s="19">
        <v>96.5</v>
      </c>
      <c r="L4266" s="20">
        <v>0.2</v>
      </c>
      <c r="M4266" s="19">
        <f>Tienda!$K2350-Tienda!$K2350*Tienda!$L2350</f>
        <v>52.648000000000003</v>
      </c>
      <c r="N4266" s="3" t="s">
        <v>10038</v>
      </c>
      <c r="O4266" s="3" t="s">
        <v>10042</v>
      </c>
      <c r="P4266" s="17">
        <v>45600</v>
      </c>
      <c r="Q4266" s="4">
        <v>6</v>
      </c>
    </row>
    <row r="4267" spans="1:17" ht="30" x14ac:dyDescent="0.25">
      <c r="A4267" s="2" t="s">
        <v>1443</v>
      </c>
      <c r="B4267" s="3" t="s">
        <v>5015</v>
      </c>
      <c r="C4267" s="3">
        <v>57</v>
      </c>
      <c r="D4267" s="46" t="str">
        <f>IF(Tabla1[[#This Row],[EDAD]]&lt;=35,"Adultos jóvenes 18 - 35 años",IF(C4267&gt;=36,"Adultos mayores 36 años en adelante"))</f>
        <v>Adultos mayores 36 años en adelante</v>
      </c>
      <c r="E4267" s="3" t="s">
        <v>5022</v>
      </c>
      <c r="F4267" s="3" t="s">
        <v>5027</v>
      </c>
      <c r="G4267" s="3" t="s">
        <v>5032</v>
      </c>
      <c r="H4267" s="3" t="s">
        <v>6466</v>
      </c>
      <c r="I4267" s="17">
        <v>45615</v>
      </c>
      <c r="J4267" s="18">
        <f>YEAR(Tabla1[[#This Row],[FECHA DE COMPRA]])</f>
        <v>2024</v>
      </c>
      <c r="K4267" s="19">
        <v>96.78</v>
      </c>
      <c r="L4267" s="20">
        <v>0.2</v>
      </c>
      <c r="M4267" s="19">
        <f>Tienda!$K2352-Tienda!$K2352*Tienda!$L2352</f>
        <v>74.640999999999991</v>
      </c>
      <c r="N4267" s="3" t="s">
        <v>10038</v>
      </c>
      <c r="O4267" s="3" t="s">
        <v>10042</v>
      </c>
      <c r="P4267" s="17">
        <v>45705</v>
      </c>
      <c r="Q4267" s="4">
        <v>3</v>
      </c>
    </row>
    <row r="4268" spans="1:17" ht="30" x14ac:dyDescent="0.25">
      <c r="A4268" s="2" t="s">
        <v>3974</v>
      </c>
      <c r="B4268" s="3" t="s">
        <v>5015</v>
      </c>
      <c r="C4268" s="3">
        <v>45</v>
      </c>
      <c r="D4268" s="46" t="str">
        <f>IF(Tabla1[[#This Row],[EDAD]]&lt;=35,"Adultos jóvenes 18 - 35 años",IF(C4268&gt;=36,"Adultos mayores 36 años en adelante"))</f>
        <v>Adultos mayores 36 años en adelante</v>
      </c>
      <c r="E4268" s="3" t="s">
        <v>5020</v>
      </c>
      <c r="F4268" s="3" t="s">
        <v>5029</v>
      </c>
      <c r="G4268" s="3" t="s">
        <v>5034</v>
      </c>
      <c r="H4268" s="3" t="s">
        <v>8997</v>
      </c>
      <c r="I4268" s="17">
        <v>45336</v>
      </c>
      <c r="J4268" s="18">
        <f>YEAR(Tabla1[[#This Row],[FECHA DE COMPRA]])</f>
        <v>2024</v>
      </c>
      <c r="K4268" s="19">
        <v>77.760000000000005</v>
      </c>
      <c r="L4268" s="20">
        <v>0</v>
      </c>
      <c r="M4268" s="19">
        <f>Tienda!$K2355-Tienda!$K2355*Tienda!$L2355</f>
        <v>100.197</v>
      </c>
      <c r="N4268" s="3" t="s">
        <v>10038</v>
      </c>
      <c r="O4268" s="3" t="s">
        <v>10042</v>
      </c>
      <c r="P4268" s="17">
        <v>45336</v>
      </c>
      <c r="Q4268" s="4">
        <v>3</v>
      </c>
    </row>
    <row r="4269" spans="1:17" ht="30" x14ac:dyDescent="0.25">
      <c r="A4269" s="2" t="s">
        <v>1931</v>
      </c>
      <c r="B4269" s="3" t="s">
        <v>5016</v>
      </c>
      <c r="C4269" s="3">
        <v>52</v>
      </c>
      <c r="D4269" s="46" t="str">
        <f>IF(Tabla1[[#This Row],[EDAD]]&lt;=35,"Adultos jóvenes 18 - 35 años",IF(C4269&gt;=36,"Adultos mayores 36 años en adelante"))</f>
        <v>Adultos mayores 36 años en adelante</v>
      </c>
      <c r="E4269" s="3" t="s">
        <v>5021</v>
      </c>
      <c r="F4269" s="3" t="s">
        <v>5029</v>
      </c>
      <c r="G4269" s="3" t="s">
        <v>5037</v>
      </c>
      <c r="H4269" s="3" t="s">
        <v>6954</v>
      </c>
      <c r="I4269" s="17">
        <v>45500</v>
      </c>
      <c r="J4269" s="18">
        <f>YEAR(Tabla1[[#This Row],[FECHA DE COMPRA]])</f>
        <v>2024</v>
      </c>
      <c r="K4269" s="19">
        <v>97.22</v>
      </c>
      <c r="L4269" s="20">
        <v>0.2</v>
      </c>
      <c r="M4269" s="19">
        <f>Tienda!$K2356-Tienda!$K2356*Tienda!$L2356</f>
        <v>13.524000000000001</v>
      </c>
      <c r="N4269" s="3" t="s">
        <v>10038</v>
      </c>
      <c r="O4269" s="3" t="s">
        <v>10042</v>
      </c>
      <c r="P4269" s="17">
        <v>45500</v>
      </c>
      <c r="Q4269" s="4">
        <v>6</v>
      </c>
    </row>
    <row r="4270" spans="1:17" ht="30" x14ac:dyDescent="0.25">
      <c r="A4270" s="2" t="s">
        <v>1284</v>
      </c>
      <c r="B4270" s="3" t="s">
        <v>5016</v>
      </c>
      <c r="C4270" s="3">
        <v>49</v>
      </c>
      <c r="D4270" s="46" t="str">
        <f>IF(Tabla1[[#This Row],[EDAD]]&lt;=35,"Adultos jóvenes 18 - 35 años",IF(C4270&gt;=36,"Adultos mayores 36 años en adelante"))</f>
        <v>Adultos mayores 36 años en adelante</v>
      </c>
      <c r="E4270" s="3" t="s">
        <v>5021</v>
      </c>
      <c r="F4270" s="3" t="s">
        <v>5025</v>
      </c>
      <c r="G4270" s="3" t="s">
        <v>5033</v>
      </c>
      <c r="H4270" s="3" t="s">
        <v>6307</v>
      </c>
      <c r="I4270" s="17">
        <v>45308</v>
      </c>
      <c r="J4270" s="18">
        <f>YEAR(Tabla1[[#This Row],[FECHA DE COMPRA]])</f>
        <v>2024</v>
      </c>
      <c r="K4270" s="19">
        <v>111.14</v>
      </c>
      <c r="L4270" s="20">
        <v>0.3</v>
      </c>
      <c r="M4270" s="19">
        <f>Tienda!$K2359-Tienda!$K2359*Tienda!$L2359</f>
        <v>151.27199999999999</v>
      </c>
      <c r="N4270" s="3" t="s">
        <v>10038</v>
      </c>
      <c r="O4270" s="3" t="s">
        <v>10042</v>
      </c>
      <c r="P4270" s="17">
        <v>45308</v>
      </c>
      <c r="Q4270" s="4">
        <v>12</v>
      </c>
    </row>
    <row r="4271" spans="1:17" ht="30" x14ac:dyDescent="0.25">
      <c r="A4271" s="2" t="s">
        <v>4018</v>
      </c>
      <c r="B4271" s="3" t="s">
        <v>5015</v>
      </c>
      <c r="C4271" s="3">
        <v>48</v>
      </c>
      <c r="D4271" s="46" t="str">
        <f>IF(Tabla1[[#This Row],[EDAD]]&lt;=35,"Adultos jóvenes 18 - 35 años",IF(C4271&gt;=36,"Adultos mayores 36 años en adelante"))</f>
        <v>Adultos mayores 36 años en adelante</v>
      </c>
      <c r="E4271" s="3" t="s">
        <v>5023</v>
      </c>
      <c r="F4271" s="3" t="s">
        <v>5028</v>
      </c>
      <c r="G4271" s="3" t="s">
        <v>5036</v>
      </c>
      <c r="H4271" s="3" t="s">
        <v>9041</v>
      </c>
      <c r="I4271" s="17">
        <v>45624</v>
      </c>
      <c r="J4271" s="18">
        <f>YEAR(Tabla1[[#This Row],[FECHA DE COMPRA]])</f>
        <v>2024</v>
      </c>
      <c r="K4271" s="19">
        <v>86.51</v>
      </c>
      <c r="L4271" s="20">
        <v>0.1</v>
      </c>
      <c r="M4271" s="19">
        <f>Tienda!$K2360-Tienda!$K2360*Tienda!$L2360</f>
        <v>171.59399999999999</v>
      </c>
      <c r="N4271" s="3" t="s">
        <v>10038</v>
      </c>
      <c r="O4271" s="3" t="s">
        <v>10042</v>
      </c>
      <c r="P4271" s="17">
        <v>45838</v>
      </c>
      <c r="Q4271" s="4">
        <v>12</v>
      </c>
    </row>
    <row r="4272" spans="1:17" ht="30" x14ac:dyDescent="0.25">
      <c r="A4272" s="2" t="s">
        <v>2047</v>
      </c>
      <c r="B4272" s="3" t="s">
        <v>5016</v>
      </c>
      <c r="C4272" s="3">
        <v>36</v>
      </c>
      <c r="D4272" s="46" t="str">
        <f>IF(Tabla1[[#This Row],[EDAD]]&lt;=35,"Adultos jóvenes 18 - 35 años",IF(C4272&gt;=36,"Adultos mayores 36 años en adelante"))</f>
        <v>Adultos mayores 36 años en adelante</v>
      </c>
      <c r="E4272" s="3" t="s">
        <v>5019</v>
      </c>
      <c r="F4272" s="3" t="s">
        <v>5027</v>
      </c>
      <c r="G4272" s="3" t="s">
        <v>5031</v>
      </c>
      <c r="H4272" s="3" t="s">
        <v>7070</v>
      </c>
      <c r="I4272" s="17">
        <v>45340</v>
      </c>
      <c r="J4272" s="18">
        <f>YEAR(Tabla1[[#This Row],[FECHA DE COMPRA]])</f>
        <v>2024</v>
      </c>
      <c r="K4272" s="19">
        <v>111.45</v>
      </c>
      <c r="L4272" s="20">
        <v>0.3</v>
      </c>
      <c r="M4272" s="19">
        <f>Tienda!$K2361-Tienda!$K2361*Tienda!$L2361</f>
        <v>24.728000000000002</v>
      </c>
      <c r="N4272" s="3" t="s">
        <v>10038</v>
      </c>
      <c r="O4272" s="3" t="s">
        <v>10042</v>
      </c>
      <c r="P4272" s="17">
        <v>45340</v>
      </c>
      <c r="Q4272" s="4">
        <v>9</v>
      </c>
    </row>
    <row r="4273" spans="1:17" ht="30" x14ac:dyDescent="0.25">
      <c r="A4273" s="2" t="s">
        <v>1324</v>
      </c>
      <c r="B4273" s="3" t="s">
        <v>5015</v>
      </c>
      <c r="C4273" s="3">
        <v>42</v>
      </c>
      <c r="D4273" s="46" t="str">
        <f>IF(Tabla1[[#This Row],[EDAD]]&lt;=35,"Adultos jóvenes 18 - 35 años",IF(C4273&gt;=36,"Adultos mayores 36 años en adelante"))</f>
        <v>Adultos mayores 36 años en adelante</v>
      </c>
      <c r="E4273" s="3" t="s">
        <v>5021</v>
      </c>
      <c r="F4273" s="3" t="s">
        <v>5024</v>
      </c>
      <c r="G4273" s="3" t="s">
        <v>5031</v>
      </c>
      <c r="H4273" s="3" t="s">
        <v>6347</v>
      </c>
      <c r="I4273" s="17">
        <v>45358</v>
      </c>
      <c r="J4273" s="18">
        <f>YEAR(Tabla1[[#This Row],[FECHA DE COMPRA]])</f>
        <v>2024</v>
      </c>
      <c r="K4273" s="19">
        <v>98.08</v>
      </c>
      <c r="L4273" s="20">
        <v>0.2</v>
      </c>
      <c r="M4273" s="19">
        <f>Tienda!$K2368-Tienda!$K2368*Tienda!$L2368</f>
        <v>35.340000000000003</v>
      </c>
      <c r="N4273" s="3" t="s">
        <v>10038</v>
      </c>
      <c r="O4273" s="3" t="s">
        <v>10042</v>
      </c>
      <c r="P4273" s="17">
        <v>45358</v>
      </c>
      <c r="Q4273" s="4">
        <v>6</v>
      </c>
    </row>
    <row r="4274" spans="1:17" ht="30" x14ac:dyDescent="0.25">
      <c r="A4274" s="2" t="s">
        <v>4251</v>
      </c>
      <c r="B4274" s="3" t="s">
        <v>5015</v>
      </c>
      <c r="C4274" s="3">
        <v>36</v>
      </c>
      <c r="D4274" s="46" t="str">
        <f>IF(Tabla1[[#This Row],[EDAD]]&lt;=35,"Adultos jóvenes 18 - 35 años",IF(C4274&gt;=36,"Adultos mayores 36 años en adelante"))</f>
        <v>Adultos mayores 36 años en adelante</v>
      </c>
      <c r="E4274" s="3" t="s">
        <v>5019</v>
      </c>
      <c r="F4274" s="3" t="s">
        <v>5028</v>
      </c>
      <c r="G4274" s="3" t="s">
        <v>5036</v>
      </c>
      <c r="H4274" s="3" t="s">
        <v>9274</v>
      </c>
      <c r="I4274" s="17">
        <v>45322</v>
      </c>
      <c r="J4274" s="18">
        <f>YEAR(Tabla1[[#This Row],[FECHA DE COMPRA]])</f>
        <v>2024</v>
      </c>
      <c r="K4274" s="19">
        <v>112.86</v>
      </c>
      <c r="L4274" s="20">
        <v>0.3</v>
      </c>
      <c r="M4274" s="19">
        <f>Tienda!$K2370-Tienda!$K2370*Tienda!$L2370</f>
        <v>115.64</v>
      </c>
      <c r="N4274" s="3" t="s">
        <v>10038</v>
      </c>
      <c r="O4274" s="3" t="s">
        <v>10042</v>
      </c>
      <c r="P4274" s="17">
        <v>45322</v>
      </c>
      <c r="Q4274" s="4">
        <v>6</v>
      </c>
    </row>
    <row r="4275" spans="1:17" ht="30" x14ac:dyDescent="0.25">
      <c r="A4275" s="2" t="s">
        <v>3866</v>
      </c>
      <c r="B4275" s="3" t="s">
        <v>5016</v>
      </c>
      <c r="C4275" s="3">
        <v>61</v>
      </c>
      <c r="D4275" s="46" t="str">
        <f>IF(Tabla1[[#This Row],[EDAD]]&lt;=35,"Adultos jóvenes 18 - 35 años",IF(C4275&gt;=36,"Adultos mayores 36 años en adelante"))</f>
        <v>Adultos mayores 36 años en adelante</v>
      </c>
      <c r="E4275" s="3" t="s">
        <v>5019</v>
      </c>
      <c r="F4275" s="3" t="s">
        <v>5027</v>
      </c>
      <c r="G4275" s="3" t="s">
        <v>5037</v>
      </c>
      <c r="H4275" s="3" t="s">
        <v>8889</v>
      </c>
      <c r="I4275" s="17">
        <v>45364</v>
      </c>
      <c r="J4275" s="18">
        <f>YEAR(Tabla1[[#This Row],[FECHA DE COMPRA]])</f>
        <v>2024</v>
      </c>
      <c r="K4275" s="19">
        <v>99.22</v>
      </c>
      <c r="L4275" s="20">
        <v>0.2</v>
      </c>
      <c r="M4275" s="19">
        <f>Tienda!$K2376-Tienda!$K2376*Tienda!$L2376</f>
        <v>20.853000000000002</v>
      </c>
      <c r="N4275" s="3" t="s">
        <v>10038</v>
      </c>
      <c r="O4275" s="3" t="s">
        <v>10042</v>
      </c>
      <c r="P4275" s="17">
        <v>45364</v>
      </c>
      <c r="Q4275" s="4">
        <v>12</v>
      </c>
    </row>
    <row r="4276" spans="1:17" ht="30" x14ac:dyDescent="0.25">
      <c r="A4276" s="2" t="s">
        <v>4189</v>
      </c>
      <c r="B4276" s="3" t="s">
        <v>5015</v>
      </c>
      <c r="C4276" s="3">
        <v>54</v>
      </c>
      <c r="D4276" s="46" t="str">
        <f>IF(Tabla1[[#This Row],[EDAD]]&lt;=35,"Adultos jóvenes 18 - 35 años",IF(C4276&gt;=36,"Adultos mayores 36 años en adelante"))</f>
        <v>Adultos mayores 36 años en adelante</v>
      </c>
      <c r="E4276" s="3" t="s">
        <v>5022</v>
      </c>
      <c r="F4276" s="3" t="s">
        <v>5024</v>
      </c>
      <c r="G4276" s="3" t="s">
        <v>5035</v>
      </c>
      <c r="H4276" s="3" t="s">
        <v>9212</v>
      </c>
      <c r="I4276" s="17">
        <v>45499</v>
      </c>
      <c r="J4276" s="18">
        <f>YEAR(Tabla1[[#This Row],[FECHA DE COMPRA]])</f>
        <v>2024</v>
      </c>
      <c r="K4276" s="19">
        <v>79.38</v>
      </c>
      <c r="L4276" s="20">
        <v>0</v>
      </c>
      <c r="M4276" s="19">
        <f>Tienda!$K2377-Tienda!$K2377*Tienda!$L2377</f>
        <v>108.08999999999999</v>
      </c>
      <c r="N4276" s="3" t="s">
        <v>10038</v>
      </c>
      <c r="O4276" s="3" t="s">
        <v>10042</v>
      </c>
      <c r="P4276" s="17">
        <v>45499</v>
      </c>
      <c r="Q4276" s="4">
        <v>9</v>
      </c>
    </row>
    <row r="4277" spans="1:17" ht="30" x14ac:dyDescent="0.25">
      <c r="A4277" s="2" t="s">
        <v>4826</v>
      </c>
      <c r="B4277" s="3" t="s">
        <v>5016</v>
      </c>
      <c r="C4277" s="3">
        <v>48</v>
      </c>
      <c r="D4277" s="46" t="str">
        <f>IF(Tabla1[[#This Row],[EDAD]]&lt;=35,"Adultos jóvenes 18 - 35 años",IF(C4277&gt;=36,"Adultos mayores 36 años en adelante"))</f>
        <v>Adultos mayores 36 años en adelante</v>
      </c>
      <c r="E4277" s="3" t="s">
        <v>5017</v>
      </c>
      <c r="F4277" s="3" t="s">
        <v>5025</v>
      </c>
      <c r="G4277" s="3" t="s">
        <v>5031</v>
      </c>
      <c r="H4277" s="3" t="s">
        <v>9849</v>
      </c>
      <c r="I4277" s="17">
        <v>45362</v>
      </c>
      <c r="J4277" s="18">
        <f>YEAR(Tabla1[[#This Row],[FECHA DE COMPRA]])</f>
        <v>2024</v>
      </c>
      <c r="K4277" s="19">
        <v>88.76</v>
      </c>
      <c r="L4277" s="20">
        <v>0.1</v>
      </c>
      <c r="M4277" s="19">
        <f>Tienda!$K2382-Tienda!$K2382*Tienda!$L2382</f>
        <v>21.015000000000001</v>
      </c>
      <c r="N4277" s="3" t="s">
        <v>10038</v>
      </c>
      <c r="O4277" s="3" t="s">
        <v>10042</v>
      </c>
      <c r="P4277" s="17">
        <v>45362</v>
      </c>
      <c r="Q4277" s="4">
        <v>12</v>
      </c>
    </row>
    <row r="4278" spans="1:17" ht="30" x14ac:dyDescent="0.25">
      <c r="A4278" s="2" t="s">
        <v>1763</v>
      </c>
      <c r="B4278" s="3" t="s">
        <v>5016</v>
      </c>
      <c r="C4278" s="3">
        <v>63</v>
      </c>
      <c r="D4278" s="46" t="str">
        <f>IF(Tabla1[[#This Row],[EDAD]]&lt;=35,"Adultos jóvenes 18 - 35 años",IF(C4278&gt;=36,"Adultos mayores 36 años en adelante"))</f>
        <v>Adultos mayores 36 años en adelante</v>
      </c>
      <c r="E4278" s="3" t="s">
        <v>5017</v>
      </c>
      <c r="F4278" s="3" t="s">
        <v>5029</v>
      </c>
      <c r="G4278" s="3" t="s">
        <v>5035</v>
      </c>
      <c r="H4278" s="3" t="s">
        <v>6786</v>
      </c>
      <c r="I4278" s="17">
        <v>45378</v>
      </c>
      <c r="J4278" s="18">
        <f>YEAR(Tabla1[[#This Row],[FECHA DE COMPRA]])</f>
        <v>2024</v>
      </c>
      <c r="K4278" s="19">
        <v>99.95</v>
      </c>
      <c r="L4278" s="20">
        <v>0.2</v>
      </c>
      <c r="M4278" s="19">
        <f>Tienda!$K2385-Tienda!$K2385*Tienda!$L2385</f>
        <v>42.318000000000005</v>
      </c>
      <c r="N4278" s="3" t="s">
        <v>10038</v>
      </c>
      <c r="O4278" s="3" t="s">
        <v>10042</v>
      </c>
      <c r="P4278" s="17">
        <v>45378</v>
      </c>
      <c r="Q4278" s="4">
        <v>6</v>
      </c>
    </row>
    <row r="4279" spans="1:17" ht="30" x14ac:dyDescent="0.25">
      <c r="A4279" s="2" t="s">
        <v>3847</v>
      </c>
      <c r="B4279" s="3" t="s">
        <v>5015</v>
      </c>
      <c r="C4279" s="3">
        <v>59</v>
      </c>
      <c r="D4279" s="46" t="str">
        <f>IF(Tabla1[[#This Row],[EDAD]]&lt;=35,"Adultos jóvenes 18 - 35 años",IF(C4279&gt;=36,"Adultos mayores 36 años en adelante"))</f>
        <v>Adultos mayores 36 años en adelante</v>
      </c>
      <c r="E4279" s="3" t="s">
        <v>5018</v>
      </c>
      <c r="F4279" s="3" t="s">
        <v>5030</v>
      </c>
      <c r="G4279" s="3" t="s">
        <v>5036</v>
      </c>
      <c r="H4279" s="3" t="s">
        <v>8870</v>
      </c>
      <c r="I4279" s="17">
        <v>45563</v>
      </c>
      <c r="J4279" s="18">
        <f>YEAR(Tabla1[[#This Row],[FECHA DE COMPRA]])</f>
        <v>2024</v>
      </c>
      <c r="K4279" s="19">
        <v>114.28</v>
      </c>
      <c r="L4279" s="20">
        <v>0.3</v>
      </c>
      <c r="M4279" s="19">
        <f>Tienda!$K2386-Tienda!$K2386*Tienda!$L2386</f>
        <v>111.783</v>
      </c>
      <c r="N4279" s="3" t="s">
        <v>10038</v>
      </c>
      <c r="O4279" s="3" t="s">
        <v>10042</v>
      </c>
      <c r="P4279" s="17">
        <v>45923</v>
      </c>
      <c r="Q4279" s="4">
        <v>12</v>
      </c>
    </row>
    <row r="4280" spans="1:17" ht="30" x14ac:dyDescent="0.25">
      <c r="A4280" s="2" t="s">
        <v>2187</v>
      </c>
      <c r="B4280" s="3" t="s">
        <v>5015</v>
      </c>
      <c r="C4280" s="3">
        <v>37</v>
      </c>
      <c r="D4280" s="46" t="str">
        <f>IF(Tabla1[[#This Row],[EDAD]]&lt;=35,"Adultos jóvenes 18 - 35 años",IF(C4280&gt;=36,"Adultos mayores 36 años en adelante"))</f>
        <v>Adultos mayores 36 años en adelante</v>
      </c>
      <c r="E4280" s="3" t="s">
        <v>5021</v>
      </c>
      <c r="F4280" s="3" t="s">
        <v>5030</v>
      </c>
      <c r="G4280" s="3" t="s">
        <v>5037</v>
      </c>
      <c r="H4280" s="3" t="s">
        <v>7210</v>
      </c>
      <c r="I4280" s="17">
        <v>45630</v>
      </c>
      <c r="J4280" s="18">
        <f>YEAR(Tabla1[[#This Row],[FECHA DE COMPRA]])</f>
        <v>2024</v>
      </c>
      <c r="K4280" s="19">
        <v>115.16</v>
      </c>
      <c r="L4280" s="20">
        <v>0.3</v>
      </c>
      <c r="M4280" s="19">
        <f>Tienda!$K2390-Tienda!$K2390*Tienda!$L2390</f>
        <v>135.69</v>
      </c>
      <c r="N4280" s="3" t="s">
        <v>10038</v>
      </c>
      <c r="O4280" s="3" t="s">
        <v>10042</v>
      </c>
      <c r="P4280" s="17">
        <v>45900</v>
      </c>
      <c r="Q4280" s="4">
        <v>9</v>
      </c>
    </row>
    <row r="4281" spans="1:17" ht="30" x14ac:dyDescent="0.25">
      <c r="A4281" s="2" t="s">
        <v>4303</v>
      </c>
      <c r="B4281" s="3" t="s">
        <v>5015</v>
      </c>
      <c r="C4281" s="3">
        <v>49</v>
      </c>
      <c r="D4281" s="46" t="str">
        <f>IF(Tabla1[[#This Row],[EDAD]]&lt;=35,"Adultos jóvenes 18 - 35 años",IF(C4281&gt;=36,"Adultos mayores 36 años en adelante"))</f>
        <v>Adultos mayores 36 años en adelante</v>
      </c>
      <c r="E4281" s="3" t="s">
        <v>5020</v>
      </c>
      <c r="F4281" s="3" t="s">
        <v>5027</v>
      </c>
      <c r="G4281" s="3" t="s">
        <v>5032</v>
      </c>
      <c r="H4281" s="3" t="s">
        <v>9326</v>
      </c>
      <c r="I4281" s="17">
        <v>45635</v>
      </c>
      <c r="J4281" s="18">
        <f>YEAR(Tabla1[[#This Row],[FECHA DE COMPRA]])</f>
        <v>2024</v>
      </c>
      <c r="K4281" s="19">
        <v>89.8</v>
      </c>
      <c r="L4281" s="20">
        <v>0.1</v>
      </c>
      <c r="M4281" s="19">
        <f>Tienda!$K2391-Tienda!$K2391*Tienda!$L2391</f>
        <v>131.57999999999998</v>
      </c>
      <c r="N4281" s="3" t="s">
        <v>10038</v>
      </c>
      <c r="O4281" s="3" t="s">
        <v>10042</v>
      </c>
      <c r="P4281" s="17">
        <v>45457</v>
      </c>
      <c r="Q4281" s="4">
        <v>3</v>
      </c>
    </row>
    <row r="4282" spans="1:17" ht="30" x14ac:dyDescent="0.25">
      <c r="A4282" s="2" t="s">
        <v>2099</v>
      </c>
      <c r="B4282" s="3" t="s">
        <v>5015</v>
      </c>
      <c r="C4282" s="3">
        <v>60</v>
      </c>
      <c r="D4282" s="46" t="str">
        <f>IF(Tabla1[[#This Row],[EDAD]]&lt;=35,"Adultos jóvenes 18 - 35 años",IF(C4282&gt;=36,"Adultos mayores 36 años en adelante"))</f>
        <v>Adultos mayores 36 años en adelante</v>
      </c>
      <c r="E4282" s="3" t="s">
        <v>5018</v>
      </c>
      <c r="F4282" s="3" t="s">
        <v>5029</v>
      </c>
      <c r="G4282" s="3" t="s">
        <v>5033</v>
      </c>
      <c r="H4282" s="3" t="s">
        <v>7122</v>
      </c>
      <c r="I4282" s="17">
        <v>45539</v>
      </c>
      <c r="J4282" s="18">
        <f>YEAR(Tabla1[[#This Row],[FECHA DE COMPRA]])</f>
        <v>2024</v>
      </c>
      <c r="K4282" s="19">
        <v>115.99</v>
      </c>
      <c r="L4282" s="20">
        <v>0.3</v>
      </c>
      <c r="M4282" s="19">
        <f>Tienda!$K2394-Tienda!$K2394*Tienda!$L2394</f>
        <v>56.272999999999996</v>
      </c>
      <c r="N4282" s="3" t="s">
        <v>10038</v>
      </c>
      <c r="O4282" s="3" t="s">
        <v>10042</v>
      </c>
      <c r="P4282" s="17">
        <v>45539</v>
      </c>
      <c r="Q4282" s="4">
        <v>9</v>
      </c>
    </row>
    <row r="4283" spans="1:17" ht="30" x14ac:dyDescent="0.25">
      <c r="A4283" s="2" t="s">
        <v>1349</v>
      </c>
      <c r="B4283" s="3" t="s">
        <v>5015</v>
      </c>
      <c r="C4283" s="3">
        <v>44</v>
      </c>
      <c r="D4283" s="46" t="str">
        <f>IF(Tabla1[[#This Row],[EDAD]]&lt;=35,"Adultos jóvenes 18 - 35 años",IF(C4283&gt;=36,"Adultos mayores 36 años en adelante"))</f>
        <v>Adultos mayores 36 años en adelante</v>
      </c>
      <c r="E4283" s="3" t="s">
        <v>5017</v>
      </c>
      <c r="F4283" s="3" t="s">
        <v>5024</v>
      </c>
      <c r="G4283" s="3" t="s">
        <v>5036</v>
      </c>
      <c r="H4283" s="3" t="s">
        <v>6372</v>
      </c>
      <c r="I4283" s="17">
        <v>45634</v>
      </c>
      <c r="J4283" s="18">
        <f>YEAR(Tabla1[[#This Row],[FECHA DE COMPRA]])</f>
        <v>2024</v>
      </c>
      <c r="K4283" s="19">
        <v>101.9</v>
      </c>
      <c r="L4283" s="20">
        <v>0.2</v>
      </c>
      <c r="M4283" s="19">
        <f>Tienda!$K2397-Tienda!$K2397*Tienda!$L2397</f>
        <v>154.184</v>
      </c>
      <c r="N4283" s="3" t="s">
        <v>10038</v>
      </c>
      <c r="O4283" s="3" t="s">
        <v>10042</v>
      </c>
      <c r="P4283" s="17">
        <v>45535</v>
      </c>
      <c r="Q4283" s="4">
        <v>3</v>
      </c>
    </row>
    <row r="4284" spans="1:17" ht="30" x14ac:dyDescent="0.25">
      <c r="A4284" s="2" t="s">
        <v>4062</v>
      </c>
      <c r="B4284" s="3" t="s">
        <v>5015</v>
      </c>
      <c r="C4284" s="3">
        <v>51</v>
      </c>
      <c r="D4284" s="46" t="str">
        <f>IF(Tabla1[[#This Row],[EDAD]]&lt;=35,"Adultos jóvenes 18 - 35 años",IF(C4284&gt;=36,"Adultos mayores 36 años en adelante"))</f>
        <v>Adultos mayores 36 años en adelante</v>
      </c>
      <c r="E4284" s="3" t="s">
        <v>5018</v>
      </c>
      <c r="F4284" s="3" t="s">
        <v>5027</v>
      </c>
      <c r="G4284" s="3" t="s">
        <v>5036</v>
      </c>
      <c r="H4284" s="3" t="s">
        <v>9085</v>
      </c>
      <c r="I4284" s="17">
        <v>45537</v>
      </c>
      <c r="J4284" s="18">
        <f>YEAR(Tabla1[[#This Row],[FECHA DE COMPRA]])</f>
        <v>2024</v>
      </c>
      <c r="K4284" s="19">
        <v>117.67</v>
      </c>
      <c r="L4284" s="20">
        <v>0.3</v>
      </c>
      <c r="M4284" s="19">
        <f>Tienda!$K2404-Tienda!$K2404*Tienda!$L2404</f>
        <v>140.41</v>
      </c>
      <c r="N4284" s="3" t="s">
        <v>10038</v>
      </c>
      <c r="O4284" s="3" t="s">
        <v>10042</v>
      </c>
      <c r="P4284" s="17">
        <v>45627</v>
      </c>
      <c r="Q4284" s="4">
        <v>3</v>
      </c>
    </row>
    <row r="4285" spans="1:17" ht="30" x14ac:dyDescent="0.25">
      <c r="A4285" s="2" t="s">
        <v>300</v>
      </c>
      <c r="B4285" s="3" t="s">
        <v>5016</v>
      </c>
      <c r="C4285" s="3">
        <v>47</v>
      </c>
      <c r="D4285" s="46" t="str">
        <f>IF(Tabla1[[#This Row],[EDAD]]&lt;=35,"Adultos jóvenes 18 - 35 años",IF(C4285&gt;=36,"Adultos mayores 36 años en adelante"))</f>
        <v>Adultos mayores 36 años en adelante</v>
      </c>
      <c r="E4285" s="3" t="s">
        <v>5017</v>
      </c>
      <c r="F4285" s="3" t="s">
        <v>5025</v>
      </c>
      <c r="G4285" s="3" t="s">
        <v>5033</v>
      </c>
      <c r="H4285" s="3" t="s">
        <v>5323</v>
      </c>
      <c r="I4285" s="17">
        <v>45462</v>
      </c>
      <c r="J4285" s="18">
        <f>YEAR(Tabla1[[#This Row],[FECHA DE COMPRA]])</f>
        <v>2024</v>
      </c>
      <c r="K4285" s="19">
        <v>103.64</v>
      </c>
      <c r="L4285" s="20">
        <v>0.2</v>
      </c>
      <c r="M4285" s="19">
        <f>Tienda!$K2405-Tienda!$K2405*Tienda!$L2405</f>
        <v>165.79</v>
      </c>
      <c r="N4285" s="3" t="s">
        <v>10038</v>
      </c>
      <c r="O4285" s="3" t="s">
        <v>10042</v>
      </c>
      <c r="P4285" s="17">
        <v>45822</v>
      </c>
      <c r="Q4285" s="4">
        <v>12</v>
      </c>
    </row>
    <row r="4286" spans="1:17" ht="30" x14ac:dyDescent="0.25">
      <c r="A4286" s="2" t="s">
        <v>4046</v>
      </c>
      <c r="B4286" s="3" t="s">
        <v>5015</v>
      </c>
      <c r="C4286" s="3">
        <v>63</v>
      </c>
      <c r="D4286" s="46" t="str">
        <f>IF(Tabla1[[#This Row],[EDAD]]&lt;=35,"Adultos jóvenes 18 - 35 años",IF(C4286&gt;=36,"Adultos mayores 36 años en adelante"))</f>
        <v>Adultos mayores 36 años en adelante</v>
      </c>
      <c r="E4286" s="3" t="s">
        <v>5019</v>
      </c>
      <c r="F4286" s="3" t="s">
        <v>5029</v>
      </c>
      <c r="G4286" s="3" t="s">
        <v>5037</v>
      </c>
      <c r="H4286" s="3" t="s">
        <v>9069</v>
      </c>
      <c r="I4286" s="17">
        <v>45433</v>
      </c>
      <c r="J4286" s="18">
        <f>YEAR(Tabla1[[#This Row],[FECHA DE COMPRA]])</f>
        <v>2024</v>
      </c>
      <c r="K4286" s="19">
        <v>92.22</v>
      </c>
      <c r="L4286" s="20">
        <v>0.1</v>
      </c>
      <c r="M4286" s="19">
        <f>Tienda!$K2407-Tienda!$K2407*Tienda!$L2407</f>
        <v>67.858000000000004</v>
      </c>
      <c r="N4286" s="3" t="s">
        <v>10038</v>
      </c>
      <c r="O4286" s="3" t="s">
        <v>10042</v>
      </c>
      <c r="P4286" s="17">
        <v>45613</v>
      </c>
      <c r="Q4286" s="4">
        <v>6</v>
      </c>
    </row>
    <row r="4287" spans="1:17" ht="30" x14ac:dyDescent="0.25">
      <c r="A4287" s="2" t="s">
        <v>3926</v>
      </c>
      <c r="B4287" s="3" t="s">
        <v>5015</v>
      </c>
      <c r="C4287" s="3">
        <v>61</v>
      </c>
      <c r="D4287" s="46" t="str">
        <f>IF(Tabla1[[#This Row],[EDAD]]&lt;=35,"Adultos jóvenes 18 - 35 años",IF(C4287&gt;=36,"Adultos mayores 36 años en adelante"))</f>
        <v>Adultos mayores 36 años en adelante</v>
      </c>
      <c r="E4287" s="3" t="s">
        <v>5023</v>
      </c>
      <c r="F4287" s="3" t="s">
        <v>5030</v>
      </c>
      <c r="G4287" s="3" t="s">
        <v>5036</v>
      </c>
      <c r="H4287" s="3" t="s">
        <v>8949</v>
      </c>
      <c r="I4287" s="17">
        <v>45408</v>
      </c>
      <c r="J4287" s="18">
        <f>YEAR(Tabla1[[#This Row],[FECHA DE COMPRA]])</f>
        <v>2024</v>
      </c>
      <c r="K4287" s="19">
        <v>92.35</v>
      </c>
      <c r="L4287" s="20">
        <v>0.1</v>
      </c>
      <c r="M4287" s="19">
        <f>Tienda!$K2408-Tienda!$K2408*Tienda!$L2408</f>
        <v>151.69999999999999</v>
      </c>
      <c r="N4287" s="3" t="s">
        <v>10038</v>
      </c>
      <c r="O4287" s="3" t="s">
        <v>10042</v>
      </c>
      <c r="P4287" s="17">
        <v>45408</v>
      </c>
      <c r="Q4287" s="4">
        <v>6</v>
      </c>
    </row>
    <row r="4288" spans="1:17" ht="30" x14ac:dyDescent="0.25">
      <c r="A4288" s="2" t="s">
        <v>827</v>
      </c>
      <c r="B4288" s="3" t="s">
        <v>5016</v>
      </c>
      <c r="C4288" s="3">
        <v>46</v>
      </c>
      <c r="D4288" s="46" t="str">
        <f>IF(Tabla1[[#This Row],[EDAD]]&lt;=35,"Adultos jóvenes 18 - 35 años",IF(C4288&gt;=36,"Adultos mayores 36 años en adelante"))</f>
        <v>Adultos mayores 36 años en adelante</v>
      </c>
      <c r="E4288" s="3" t="s">
        <v>5023</v>
      </c>
      <c r="F4288" s="3" t="s">
        <v>5029</v>
      </c>
      <c r="G4288" s="3" t="s">
        <v>5032</v>
      </c>
      <c r="H4288" s="3" t="s">
        <v>5850</v>
      </c>
      <c r="I4288" s="17">
        <v>45612</v>
      </c>
      <c r="J4288" s="18">
        <f>YEAR(Tabla1[[#This Row],[FECHA DE COMPRA]])</f>
        <v>2024</v>
      </c>
      <c r="K4288" s="19">
        <v>92.46</v>
      </c>
      <c r="L4288" s="20">
        <v>0.1</v>
      </c>
      <c r="M4288" s="19">
        <f>Tienda!$K2409-Tienda!$K2409*Tienda!$L2409</f>
        <v>137.07000000000002</v>
      </c>
      <c r="N4288" s="3" t="s">
        <v>10038</v>
      </c>
      <c r="O4288" s="3" t="s">
        <v>10042</v>
      </c>
      <c r="P4288" s="17">
        <v>45972</v>
      </c>
      <c r="Q4288" s="4">
        <v>12</v>
      </c>
    </row>
    <row r="4289" spans="1:17" ht="30" x14ac:dyDescent="0.25">
      <c r="A4289" s="2" t="s">
        <v>641</v>
      </c>
      <c r="B4289" s="3" t="s">
        <v>5015</v>
      </c>
      <c r="C4289" s="3">
        <v>63</v>
      </c>
      <c r="D4289" s="46" t="str">
        <f>IF(Tabla1[[#This Row],[EDAD]]&lt;=35,"Adultos jóvenes 18 - 35 años",IF(C4289&gt;=36,"Adultos mayores 36 años en adelante"))</f>
        <v>Adultos mayores 36 años en adelante</v>
      </c>
      <c r="E4289" s="3" t="s">
        <v>5020</v>
      </c>
      <c r="F4289" s="3" t="s">
        <v>5026</v>
      </c>
      <c r="G4289" s="3" t="s">
        <v>5035</v>
      </c>
      <c r="H4289" s="3" t="s">
        <v>5664</v>
      </c>
      <c r="I4289" s="17">
        <v>45414</v>
      </c>
      <c r="J4289" s="18">
        <f>YEAR(Tabla1[[#This Row],[FECHA DE COMPRA]])</f>
        <v>2024</v>
      </c>
      <c r="K4289" s="19">
        <v>83.5</v>
      </c>
      <c r="L4289" s="20">
        <v>0</v>
      </c>
      <c r="M4289" s="19">
        <f>Tienda!$K2411-Tienda!$K2411*Tienda!$L2411</f>
        <v>52.948</v>
      </c>
      <c r="N4289" s="3" t="s">
        <v>10038</v>
      </c>
      <c r="O4289" s="3" t="s">
        <v>10042</v>
      </c>
      <c r="P4289" s="17">
        <v>45594</v>
      </c>
      <c r="Q4289" s="4">
        <v>6</v>
      </c>
    </row>
    <row r="4290" spans="1:17" ht="30" x14ac:dyDescent="0.25">
      <c r="A4290" s="2" t="s">
        <v>3372</v>
      </c>
      <c r="B4290" s="3" t="s">
        <v>5015</v>
      </c>
      <c r="C4290" s="3">
        <v>36</v>
      </c>
      <c r="D4290" s="46" t="str">
        <f>IF(Tabla1[[#This Row],[EDAD]]&lt;=35,"Adultos jóvenes 18 - 35 años",IF(C4290&gt;=36,"Adultos mayores 36 años en adelante"))</f>
        <v>Adultos mayores 36 años en adelante</v>
      </c>
      <c r="E4290" s="3" t="s">
        <v>5020</v>
      </c>
      <c r="F4290" s="3" t="s">
        <v>5024</v>
      </c>
      <c r="G4290" s="3" t="s">
        <v>5037</v>
      </c>
      <c r="H4290" s="3" t="s">
        <v>8395</v>
      </c>
      <c r="I4290" s="17">
        <v>45346</v>
      </c>
      <c r="J4290" s="18">
        <f>YEAR(Tabla1[[#This Row],[FECHA DE COMPRA]])</f>
        <v>2024</v>
      </c>
      <c r="K4290" s="19">
        <v>104.55</v>
      </c>
      <c r="L4290" s="20">
        <v>0.2</v>
      </c>
      <c r="M4290" s="19">
        <f>Tienda!$K2413-Tienda!$K2413*Tienda!$L2413</f>
        <v>18.071999999999999</v>
      </c>
      <c r="N4290" s="3" t="s">
        <v>10038</v>
      </c>
      <c r="O4290" s="3" t="s">
        <v>10042</v>
      </c>
      <c r="P4290" s="17">
        <v>45526</v>
      </c>
      <c r="Q4290" s="4">
        <v>6</v>
      </c>
    </row>
    <row r="4291" spans="1:17" ht="30" x14ac:dyDescent="0.25">
      <c r="A4291" s="2" t="s">
        <v>3931</v>
      </c>
      <c r="B4291" s="3" t="s">
        <v>5015</v>
      </c>
      <c r="C4291" s="3">
        <v>41</v>
      </c>
      <c r="D4291" s="46" t="str">
        <f>IF(Tabla1[[#This Row],[EDAD]]&lt;=35,"Adultos jóvenes 18 - 35 años",IF(C4291&gt;=36,"Adultos mayores 36 años en adelante"))</f>
        <v>Adultos mayores 36 años en adelante</v>
      </c>
      <c r="E4291" s="3" t="s">
        <v>5022</v>
      </c>
      <c r="F4291" s="3" t="s">
        <v>5027</v>
      </c>
      <c r="G4291" s="3" t="s">
        <v>5037</v>
      </c>
      <c r="H4291" s="3" t="s">
        <v>8954</v>
      </c>
      <c r="I4291" s="17">
        <v>45514</v>
      </c>
      <c r="J4291" s="18">
        <f>YEAR(Tabla1[[#This Row],[FECHA DE COMPRA]])</f>
        <v>2024</v>
      </c>
      <c r="K4291" s="19">
        <v>120.57</v>
      </c>
      <c r="L4291" s="20">
        <v>0.3</v>
      </c>
      <c r="M4291" s="19">
        <f>Tienda!$K2419-Tienda!$K2419*Tienda!$L2419</f>
        <v>168.60599999999999</v>
      </c>
      <c r="N4291" s="3" t="s">
        <v>10038</v>
      </c>
      <c r="O4291" s="3" t="s">
        <v>10042</v>
      </c>
      <c r="P4291" s="17">
        <v>45784</v>
      </c>
      <c r="Q4291" s="4">
        <v>9</v>
      </c>
    </row>
    <row r="4292" spans="1:17" ht="30" x14ac:dyDescent="0.25">
      <c r="A4292" s="2" t="s">
        <v>289</v>
      </c>
      <c r="B4292" s="3" t="s">
        <v>5015</v>
      </c>
      <c r="C4292" s="3">
        <v>58</v>
      </c>
      <c r="D4292" s="46" t="str">
        <f>IF(Tabla1[[#This Row],[EDAD]]&lt;=35,"Adultos jóvenes 18 - 35 años",IF(C4292&gt;=36,"Adultos mayores 36 años en adelante"))</f>
        <v>Adultos mayores 36 años en adelante</v>
      </c>
      <c r="E4292" s="3" t="s">
        <v>5020</v>
      </c>
      <c r="F4292" s="3" t="s">
        <v>5027</v>
      </c>
      <c r="G4292" s="3" t="s">
        <v>5036</v>
      </c>
      <c r="H4292" s="3" t="s">
        <v>5312</v>
      </c>
      <c r="I4292" s="17">
        <v>45524</v>
      </c>
      <c r="J4292" s="18">
        <f>YEAR(Tabla1[[#This Row],[FECHA DE COMPRA]])</f>
        <v>2024</v>
      </c>
      <c r="K4292" s="19">
        <v>105.87</v>
      </c>
      <c r="L4292" s="20">
        <v>0.2</v>
      </c>
      <c r="M4292" s="19">
        <f>Tienda!$K2423-Tienda!$K2423*Tienda!$L2423</f>
        <v>64.39</v>
      </c>
      <c r="N4292" s="3" t="s">
        <v>10038</v>
      </c>
      <c r="O4292" s="3" t="s">
        <v>10042</v>
      </c>
      <c r="P4292" s="17">
        <v>45524</v>
      </c>
      <c r="Q4292" s="4">
        <v>12</v>
      </c>
    </row>
    <row r="4293" spans="1:17" ht="30" x14ac:dyDescent="0.25">
      <c r="A4293" s="2" t="s">
        <v>4954</v>
      </c>
      <c r="B4293" s="3" t="s">
        <v>5015</v>
      </c>
      <c r="C4293" s="3">
        <v>47</v>
      </c>
      <c r="D4293" s="46" t="str">
        <f>IF(Tabla1[[#This Row],[EDAD]]&lt;=35,"Adultos jóvenes 18 - 35 años",IF(C4293&gt;=36,"Adultos mayores 36 años en adelante"))</f>
        <v>Adultos mayores 36 años en adelante</v>
      </c>
      <c r="E4293" s="3" t="s">
        <v>5021</v>
      </c>
      <c r="F4293" s="3" t="s">
        <v>5029</v>
      </c>
      <c r="G4293" s="3" t="s">
        <v>5036</v>
      </c>
      <c r="H4293" s="3" t="s">
        <v>9977</v>
      </c>
      <c r="I4293" s="17">
        <v>45554</v>
      </c>
      <c r="J4293" s="18">
        <f>YEAR(Tabla1[[#This Row],[FECHA DE COMPRA]])</f>
        <v>2024</v>
      </c>
      <c r="K4293" s="19">
        <v>121.01</v>
      </c>
      <c r="L4293" s="20">
        <v>0.3</v>
      </c>
      <c r="M4293" s="19">
        <f>Tienda!$K2424-Tienda!$K2424*Tienda!$L2424</f>
        <v>44.24</v>
      </c>
      <c r="N4293" s="3" t="s">
        <v>10038</v>
      </c>
      <c r="O4293" s="3" t="s">
        <v>10042</v>
      </c>
      <c r="P4293" s="17">
        <v>45734</v>
      </c>
      <c r="Q4293" s="4">
        <v>6</v>
      </c>
    </row>
    <row r="4294" spans="1:17" ht="30" x14ac:dyDescent="0.25">
      <c r="A4294" s="2" t="s">
        <v>380</v>
      </c>
      <c r="B4294" s="3" t="s">
        <v>5015</v>
      </c>
      <c r="C4294" s="3">
        <v>46</v>
      </c>
      <c r="D4294" s="46" t="str">
        <f>IF(Tabla1[[#This Row],[EDAD]]&lt;=35,"Adultos jóvenes 18 - 35 años",IF(C4294&gt;=36,"Adultos mayores 36 años en adelante"))</f>
        <v>Adultos mayores 36 años en adelante</v>
      </c>
      <c r="E4294" s="3" t="s">
        <v>5020</v>
      </c>
      <c r="F4294" s="3" t="s">
        <v>5024</v>
      </c>
      <c r="G4294" s="3" t="s">
        <v>5036</v>
      </c>
      <c r="H4294" s="3" t="s">
        <v>5403</v>
      </c>
      <c r="I4294" s="17">
        <v>45548</v>
      </c>
      <c r="J4294" s="18">
        <f>YEAR(Tabla1[[#This Row],[FECHA DE COMPRA]])</f>
        <v>2024</v>
      </c>
      <c r="K4294" s="19">
        <v>121.05</v>
      </c>
      <c r="L4294" s="20">
        <v>0.3</v>
      </c>
      <c r="M4294" s="19">
        <f>Tienda!$K2425-Tienda!$K2425*Tienda!$L2425</f>
        <v>138.41</v>
      </c>
      <c r="N4294" s="3" t="s">
        <v>10038</v>
      </c>
      <c r="O4294" s="3" t="s">
        <v>10042</v>
      </c>
      <c r="P4294" s="17">
        <v>45548</v>
      </c>
      <c r="Q4294" s="4">
        <v>12</v>
      </c>
    </row>
    <row r="4295" spans="1:17" ht="30" x14ac:dyDescent="0.25">
      <c r="A4295" s="2" t="s">
        <v>3236</v>
      </c>
      <c r="B4295" s="3" t="s">
        <v>5015</v>
      </c>
      <c r="C4295" s="3">
        <v>61</v>
      </c>
      <c r="D4295" s="46" t="str">
        <f>IF(Tabla1[[#This Row],[EDAD]]&lt;=35,"Adultos jóvenes 18 - 35 años",IF(C4295&gt;=36,"Adultos mayores 36 años en adelante"))</f>
        <v>Adultos mayores 36 años en adelante</v>
      </c>
      <c r="E4295" s="3" t="s">
        <v>5022</v>
      </c>
      <c r="F4295" s="3" t="s">
        <v>5026</v>
      </c>
      <c r="G4295" s="3" t="s">
        <v>5035</v>
      </c>
      <c r="H4295" s="3" t="s">
        <v>8259</v>
      </c>
      <c r="I4295" s="17">
        <v>45371</v>
      </c>
      <c r="J4295" s="18">
        <f>YEAR(Tabla1[[#This Row],[FECHA DE COMPRA]])</f>
        <v>2024</v>
      </c>
      <c r="K4295" s="19">
        <v>85.04</v>
      </c>
      <c r="L4295" s="20">
        <v>0</v>
      </c>
      <c r="M4295" s="19">
        <f>Tienda!$K2426-Tienda!$K2426*Tienda!$L2426</f>
        <v>181.95</v>
      </c>
      <c r="N4295" s="3" t="s">
        <v>10038</v>
      </c>
      <c r="O4295" s="3" t="s">
        <v>10042</v>
      </c>
      <c r="P4295" s="17">
        <v>45551</v>
      </c>
      <c r="Q4295" s="4">
        <v>6</v>
      </c>
    </row>
    <row r="4296" spans="1:17" ht="30" x14ac:dyDescent="0.25">
      <c r="A4296" s="2" t="s">
        <v>3791</v>
      </c>
      <c r="B4296" s="3" t="s">
        <v>5015</v>
      </c>
      <c r="C4296" s="3">
        <v>51</v>
      </c>
      <c r="D4296" s="46" t="str">
        <f>IF(Tabla1[[#This Row],[EDAD]]&lt;=35,"Adultos jóvenes 18 - 35 años",IF(C4296&gt;=36,"Adultos mayores 36 años en adelante"))</f>
        <v>Adultos mayores 36 años en adelante</v>
      </c>
      <c r="E4296" s="3" t="s">
        <v>5023</v>
      </c>
      <c r="F4296" s="3" t="s">
        <v>5027</v>
      </c>
      <c r="G4296" s="3" t="s">
        <v>5035</v>
      </c>
      <c r="H4296" s="3" t="s">
        <v>8814</v>
      </c>
      <c r="I4296" s="17">
        <v>45645</v>
      </c>
      <c r="J4296" s="18">
        <f>YEAR(Tabla1[[#This Row],[FECHA DE COMPRA]])</f>
        <v>2024</v>
      </c>
      <c r="K4296" s="19">
        <v>106.86</v>
      </c>
      <c r="L4296" s="20">
        <v>0.2</v>
      </c>
      <c r="M4296" s="19">
        <f>Tienda!$K2434-Tienda!$K2434*Tienda!$L2434</f>
        <v>110.971</v>
      </c>
      <c r="N4296" s="3" t="s">
        <v>10038</v>
      </c>
      <c r="O4296" s="3" t="s">
        <v>10042</v>
      </c>
      <c r="P4296" s="17">
        <v>45735</v>
      </c>
      <c r="Q4296" s="4">
        <v>3</v>
      </c>
    </row>
    <row r="4297" spans="1:17" ht="30" x14ac:dyDescent="0.25">
      <c r="A4297" s="2" t="s">
        <v>2736</v>
      </c>
      <c r="B4297" s="3" t="s">
        <v>5015</v>
      </c>
      <c r="C4297" s="3">
        <v>52</v>
      </c>
      <c r="D4297" s="46" t="str">
        <f>IF(Tabla1[[#This Row],[EDAD]]&lt;=35,"Adultos jóvenes 18 - 35 años",IF(C4297&gt;=36,"Adultos mayores 36 años en adelante"))</f>
        <v>Adultos mayores 36 años en adelante</v>
      </c>
      <c r="E4297" s="3" t="s">
        <v>5018</v>
      </c>
      <c r="F4297" s="3" t="s">
        <v>5030</v>
      </c>
      <c r="G4297" s="3" t="s">
        <v>5037</v>
      </c>
      <c r="H4297" s="3" t="s">
        <v>7759</v>
      </c>
      <c r="I4297" s="17">
        <v>45321</v>
      </c>
      <c r="J4297" s="18">
        <f>YEAR(Tabla1[[#This Row],[FECHA DE COMPRA]])</f>
        <v>2024</v>
      </c>
      <c r="K4297" s="19">
        <v>122.28</v>
      </c>
      <c r="L4297" s="20">
        <v>0.3</v>
      </c>
      <c r="M4297" s="19">
        <f>Tienda!$K2435-Tienda!$K2435*Tienda!$L2435</f>
        <v>166.85</v>
      </c>
      <c r="N4297" s="3" t="s">
        <v>10038</v>
      </c>
      <c r="O4297" s="3" t="s">
        <v>10042</v>
      </c>
      <c r="P4297" s="17">
        <v>45501</v>
      </c>
      <c r="Q4297" s="4">
        <v>6</v>
      </c>
    </row>
    <row r="4298" spans="1:17" ht="30" x14ac:dyDescent="0.25">
      <c r="A4298" s="2" t="s">
        <v>2663</v>
      </c>
      <c r="B4298" s="3" t="s">
        <v>5015</v>
      </c>
      <c r="C4298" s="3">
        <v>48</v>
      </c>
      <c r="D4298" s="46" t="str">
        <f>IF(Tabla1[[#This Row],[EDAD]]&lt;=35,"Adultos jóvenes 18 - 35 años",IF(C4298&gt;=36,"Adultos mayores 36 años en adelante"))</f>
        <v>Adultos mayores 36 años en adelante</v>
      </c>
      <c r="E4298" s="3" t="s">
        <v>5018</v>
      </c>
      <c r="F4298" s="3" t="s">
        <v>5030</v>
      </c>
      <c r="G4298" s="3" t="s">
        <v>5031</v>
      </c>
      <c r="H4298" s="3" t="s">
        <v>7686</v>
      </c>
      <c r="I4298" s="17">
        <v>45541</v>
      </c>
      <c r="J4298" s="18">
        <f>YEAR(Tabla1[[#This Row],[FECHA DE COMPRA]])</f>
        <v>2024</v>
      </c>
      <c r="K4298" s="19">
        <v>107.28</v>
      </c>
      <c r="L4298" s="20">
        <v>0.2</v>
      </c>
      <c r="M4298" s="19">
        <f>Tienda!$K2436-Tienda!$K2436*Tienda!$L2436</f>
        <v>174.53</v>
      </c>
      <c r="N4298" s="3" t="s">
        <v>10038</v>
      </c>
      <c r="O4298" s="3" t="s">
        <v>10042</v>
      </c>
      <c r="P4298" s="17">
        <v>45631</v>
      </c>
      <c r="Q4298" s="4">
        <v>3</v>
      </c>
    </row>
    <row r="4299" spans="1:17" ht="30" x14ac:dyDescent="0.25">
      <c r="A4299" s="2" t="s">
        <v>247</v>
      </c>
      <c r="B4299" s="3" t="s">
        <v>5016</v>
      </c>
      <c r="C4299" s="3">
        <v>63</v>
      </c>
      <c r="D4299" s="46" t="str">
        <f>IF(Tabla1[[#This Row],[EDAD]]&lt;=35,"Adultos jóvenes 18 - 35 años",IF(C4299&gt;=36,"Adultos mayores 36 años en adelante"))</f>
        <v>Adultos mayores 36 años en adelante</v>
      </c>
      <c r="E4299" s="3" t="s">
        <v>5017</v>
      </c>
      <c r="F4299" s="3" t="s">
        <v>5027</v>
      </c>
      <c r="G4299" s="3" t="s">
        <v>5034</v>
      </c>
      <c r="H4299" s="3" t="s">
        <v>5270</v>
      </c>
      <c r="I4299" s="17">
        <v>45472</v>
      </c>
      <c r="J4299" s="18">
        <f>YEAR(Tabla1[[#This Row],[FECHA DE COMPRA]])</f>
        <v>2024</v>
      </c>
      <c r="K4299" s="19">
        <v>86.42</v>
      </c>
      <c r="L4299" s="20">
        <v>0</v>
      </c>
      <c r="M4299" s="19">
        <f>Tienda!$K2438-Tienda!$K2438*Tienda!$L2438</f>
        <v>24.024000000000001</v>
      </c>
      <c r="N4299" s="3" t="s">
        <v>10038</v>
      </c>
      <c r="O4299" s="3" t="s">
        <v>10042</v>
      </c>
      <c r="P4299" s="17">
        <v>45562</v>
      </c>
      <c r="Q4299" s="4">
        <v>3</v>
      </c>
    </row>
    <row r="4300" spans="1:17" ht="30" x14ac:dyDescent="0.25">
      <c r="A4300" s="2" t="s">
        <v>793</v>
      </c>
      <c r="B4300" s="3" t="s">
        <v>5016</v>
      </c>
      <c r="C4300" s="3">
        <v>38</v>
      </c>
      <c r="D4300" s="46" t="str">
        <f>IF(Tabla1[[#This Row],[EDAD]]&lt;=35,"Adultos jóvenes 18 - 35 años",IF(C4300&gt;=36,"Adultos mayores 36 años en adelante"))</f>
        <v>Adultos mayores 36 años en adelante</v>
      </c>
      <c r="E4300" s="3" t="s">
        <v>5023</v>
      </c>
      <c r="F4300" s="3" t="s">
        <v>5025</v>
      </c>
      <c r="G4300" s="3" t="s">
        <v>5031</v>
      </c>
      <c r="H4300" s="3" t="s">
        <v>5816</v>
      </c>
      <c r="I4300" s="17">
        <v>45574</v>
      </c>
      <c r="J4300" s="18">
        <f>YEAR(Tabla1[[#This Row],[FECHA DE COMPRA]])</f>
        <v>2024</v>
      </c>
      <c r="K4300" s="19">
        <v>86.95</v>
      </c>
      <c r="L4300" s="20">
        <v>0</v>
      </c>
      <c r="M4300" s="19">
        <f>Tienda!$K2440-Tienda!$K2440*Tienda!$L2440</f>
        <v>16.936</v>
      </c>
      <c r="N4300" s="3" t="s">
        <v>10038</v>
      </c>
      <c r="O4300" s="3" t="s">
        <v>10042</v>
      </c>
      <c r="P4300" s="17">
        <v>45754</v>
      </c>
      <c r="Q4300" s="4">
        <v>6</v>
      </c>
    </row>
    <row r="4301" spans="1:17" ht="30" x14ac:dyDescent="0.25">
      <c r="A4301" s="2" t="s">
        <v>3565</v>
      </c>
      <c r="B4301" s="3" t="s">
        <v>5015</v>
      </c>
      <c r="C4301" s="3">
        <v>57</v>
      </c>
      <c r="D4301" s="46" t="str">
        <f>IF(Tabla1[[#This Row],[EDAD]]&lt;=35,"Adultos jóvenes 18 - 35 años",IF(C4301&gt;=36,"Adultos mayores 36 años en adelante"))</f>
        <v>Adultos mayores 36 años en adelante</v>
      </c>
      <c r="E4301" s="3" t="s">
        <v>5022</v>
      </c>
      <c r="F4301" s="3" t="s">
        <v>5027</v>
      </c>
      <c r="G4301" s="3" t="s">
        <v>5031</v>
      </c>
      <c r="H4301" s="3" t="s">
        <v>8588</v>
      </c>
      <c r="I4301" s="17">
        <v>45555</v>
      </c>
      <c r="J4301" s="18">
        <f>YEAR(Tabla1[[#This Row],[FECHA DE COMPRA]])</f>
        <v>2024</v>
      </c>
      <c r="K4301" s="19">
        <v>109.26</v>
      </c>
      <c r="L4301" s="20">
        <v>0.2</v>
      </c>
      <c r="M4301" s="19">
        <f>Tienda!$K2442-Tienda!$K2442*Tienda!$L2442</f>
        <v>75.463999999999999</v>
      </c>
      <c r="N4301" s="3" t="s">
        <v>10038</v>
      </c>
      <c r="O4301" s="3" t="s">
        <v>10042</v>
      </c>
      <c r="P4301" s="17">
        <v>45645</v>
      </c>
      <c r="Q4301" s="4">
        <v>3</v>
      </c>
    </row>
    <row r="4302" spans="1:17" ht="30" x14ac:dyDescent="0.25">
      <c r="A4302" s="2" t="s">
        <v>4683</v>
      </c>
      <c r="B4302" s="3" t="s">
        <v>5015</v>
      </c>
      <c r="C4302" s="3">
        <v>50</v>
      </c>
      <c r="D4302" s="46" t="str">
        <f>IF(Tabla1[[#This Row],[EDAD]]&lt;=35,"Adultos jóvenes 18 - 35 años",IF(C4302&gt;=36,"Adultos mayores 36 años en adelante"))</f>
        <v>Adultos mayores 36 años en adelante</v>
      </c>
      <c r="E4302" s="3" t="s">
        <v>5022</v>
      </c>
      <c r="F4302" s="3" t="s">
        <v>5025</v>
      </c>
      <c r="G4302" s="3" t="s">
        <v>5032</v>
      </c>
      <c r="H4302" s="3" t="s">
        <v>9706</v>
      </c>
      <c r="I4302" s="17">
        <v>45418</v>
      </c>
      <c r="J4302" s="18">
        <f>YEAR(Tabla1[[#This Row],[FECHA DE COMPRA]])</f>
        <v>2024</v>
      </c>
      <c r="K4302" s="19">
        <v>126.1</v>
      </c>
      <c r="L4302" s="20">
        <v>0.3</v>
      </c>
      <c r="M4302" s="19">
        <f>Tienda!$K2447-Tienda!$K2447*Tienda!$L2447</f>
        <v>130.50800000000001</v>
      </c>
      <c r="N4302" s="3" t="s">
        <v>10038</v>
      </c>
      <c r="O4302" s="3" t="s">
        <v>10042</v>
      </c>
      <c r="P4302" s="17">
        <v>45508</v>
      </c>
      <c r="Q4302" s="4">
        <v>3</v>
      </c>
    </row>
    <row r="4303" spans="1:17" ht="30" x14ac:dyDescent="0.25">
      <c r="A4303" s="2" t="s">
        <v>2626</v>
      </c>
      <c r="B4303" s="3" t="s">
        <v>5015</v>
      </c>
      <c r="C4303" s="3">
        <v>46</v>
      </c>
      <c r="D4303" s="46" t="str">
        <f>IF(Tabla1[[#This Row],[EDAD]]&lt;=35,"Adultos jóvenes 18 - 35 años",IF(C4303&gt;=36,"Adultos mayores 36 años en adelante"))</f>
        <v>Adultos mayores 36 años en adelante</v>
      </c>
      <c r="E4303" s="3" t="s">
        <v>5017</v>
      </c>
      <c r="F4303" s="3" t="s">
        <v>5029</v>
      </c>
      <c r="G4303" s="3" t="s">
        <v>5032</v>
      </c>
      <c r="H4303" s="3" t="s">
        <v>7649</v>
      </c>
      <c r="I4303" s="17">
        <v>45433</v>
      </c>
      <c r="J4303" s="18">
        <f>YEAR(Tabla1[[#This Row],[FECHA DE COMPRA]])</f>
        <v>2024</v>
      </c>
      <c r="K4303" s="19">
        <v>110.56</v>
      </c>
      <c r="L4303" s="20">
        <v>0.2</v>
      </c>
      <c r="M4303" s="19">
        <f>Tienda!$K2449-Tienda!$K2449*Tienda!$L2449</f>
        <v>102.717</v>
      </c>
      <c r="N4303" s="3" t="s">
        <v>10038</v>
      </c>
      <c r="O4303" s="3" t="s">
        <v>10042</v>
      </c>
      <c r="P4303" s="17">
        <v>45703</v>
      </c>
      <c r="Q4303" s="4">
        <v>9</v>
      </c>
    </row>
    <row r="4304" spans="1:17" ht="30" x14ac:dyDescent="0.25">
      <c r="A4304" s="2" t="s">
        <v>3656</v>
      </c>
      <c r="B4304" s="3" t="s">
        <v>5015</v>
      </c>
      <c r="C4304" s="3">
        <v>60</v>
      </c>
      <c r="D4304" s="46" t="str">
        <f>IF(Tabla1[[#This Row],[EDAD]]&lt;=35,"Adultos jóvenes 18 - 35 años",IF(C4304&gt;=36,"Adultos mayores 36 años en adelante"))</f>
        <v>Adultos mayores 36 años en adelante</v>
      </c>
      <c r="E4304" s="3" t="s">
        <v>5022</v>
      </c>
      <c r="F4304" s="3" t="s">
        <v>5027</v>
      </c>
      <c r="G4304" s="3" t="s">
        <v>5031</v>
      </c>
      <c r="H4304" s="3" t="s">
        <v>8679</v>
      </c>
      <c r="I4304" s="17">
        <v>45649</v>
      </c>
      <c r="J4304" s="18">
        <f>YEAR(Tabla1[[#This Row],[FECHA DE COMPRA]])</f>
        <v>2024</v>
      </c>
      <c r="K4304" s="19">
        <v>111.03</v>
      </c>
      <c r="L4304" s="20">
        <v>0.2</v>
      </c>
      <c r="M4304" s="19">
        <f>Tienda!$K2453-Tienda!$K2453*Tienda!$L2453</f>
        <v>79.8</v>
      </c>
      <c r="N4304" s="3" t="s">
        <v>10038</v>
      </c>
      <c r="O4304" s="3" t="s">
        <v>10042</v>
      </c>
      <c r="P4304" s="17">
        <v>46009</v>
      </c>
      <c r="Q4304" s="4">
        <v>12</v>
      </c>
    </row>
    <row r="4305" spans="1:17" ht="30" x14ac:dyDescent="0.25">
      <c r="A4305" s="2" t="s">
        <v>3165</v>
      </c>
      <c r="B4305" s="3" t="s">
        <v>5016</v>
      </c>
      <c r="C4305" s="3">
        <v>64</v>
      </c>
      <c r="D4305" s="46" t="str">
        <f>IF(Tabla1[[#This Row],[EDAD]]&lt;=35,"Adultos jóvenes 18 - 35 años",IF(C4305&gt;=36,"Adultos mayores 36 años en adelante"))</f>
        <v>Adultos mayores 36 años en adelante</v>
      </c>
      <c r="E4305" s="3" t="s">
        <v>5019</v>
      </c>
      <c r="F4305" s="3" t="s">
        <v>5026</v>
      </c>
      <c r="G4305" s="3" t="s">
        <v>5037</v>
      </c>
      <c r="H4305" s="3" t="s">
        <v>8188</v>
      </c>
      <c r="I4305" s="17">
        <v>45410</v>
      </c>
      <c r="J4305" s="18">
        <f>YEAR(Tabla1[[#This Row],[FECHA DE COMPRA]])</f>
        <v>2024</v>
      </c>
      <c r="K4305" s="19">
        <v>88.83</v>
      </c>
      <c r="L4305" s="20">
        <v>0</v>
      </c>
      <c r="M4305" s="19">
        <f>Tienda!$K2454-Tienda!$K2454*Tienda!$L2454</f>
        <v>26.92</v>
      </c>
      <c r="N4305" s="3" t="s">
        <v>10038</v>
      </c>
      <c r="O4305" s="3" t="s">
        <v>10042</v>
      </c>
      <c r="P4305" s="17">
        <v>45410</v>
      </c>
      <c r="Q4305" s="4">
        <v>9</v>
      </c>
    </row>
    <row r="4306" spans="1:17" ht="30" x14ac:dyDescent="0.25">
      <c r="A4306" s="2" t="s">
        <v>2310</v>
      </c>
      <c r="B4306" s="3" t="s">
        <v>5015</v>
      </c>
      <c r="C4306" s="3">
        <v>51</v>
      </c>
      <c r="D4306" s="46" t="str">
        <f>IF(Tabla1[[#This Row],[EDAD]]&lt;=35,"Adultos jóvenes 18 - 35 años",IF(C4306&gt;=36,"Adultos mayores 36 años en adelante"))</f>
        <v>Adultos mayores 36 años en adelante</v>
      </c>
      <c r="E4306" s="3" t="s">
        <v>5020</v>
      </c>
      <c r="F4306" s="3" t="s">
        <v>5028</v>
      </c>
      <c r="G4306" s="3" t="s">
        <v>5036</v>
      </c>
      <c r="H4306" s="3" t="s">
        <v>7333</v>
      </c>
      <c r="I4306" s="17">
        <v>45335</v>
      </c>
      <c r="J4306" s="18">
        <f>YEAR(Tabla1[[#This Row],[FECHA DE COMPRA]])</f>
        <v>2024</v>
      </c>
      <c r="K4306" s="19">
        <v>98.97</v>
      </c>
      <c r="L4306" s="20">
        <v>0.1</v>
      </c>
      <c r="M4306" s="19">
        <f>Tienda!$K2456-Tienda!$K2456*Tienda!$L2456</f>
        <v>142.256</v>
      </c>
      <c r="N4306" s="3" t="s">
        <v>10038</v>
      </c>
      <c r="O4306" s="3" t="s">
        <v>10042</v>
      </c>
      <c r="P4306" s="17">
        <v>45367</v>
      </c>
      <c r="Q4306" s="4">
        <v>12</v>
      </c>
    </row>
    <row r="4307" spans="1:17" ht="30" x14ac:dyDescent="0.25">
      <c r="A4307" s="2" t="s">
        <v>1811</v>
      </c>
      <c r="B4307" s="3" t="s">
        <v>5015</v>
      </c>
      <c r="C4307" s="3">
        <v>41</v>
      </c>
      <c r="D4307" s="46" t="str">
        <f>IF(Tabla1[[#This Row],[EDAD]]&lt;=35,"Adultos jóvenes 18 - 35 años",IF(C4307&gt;=36,"Adultos mayores 36 años en adelante"))</f>
        <v>Adultos mayores 36 años en adelante</v>
      </c>
      <c r="E4307" s="3" t="s">
        <v>5020</v>
      </c>
      <c r="F4307" s="3" t="s">
        <v>5030</v>
      </c>
      <c r="G4307" s="3" t="s">
        <v>5031</v>
      </c>
      <c r="H4307" s="3" t="s">
        <v>6834</v>
      </c>
      <c r="I4307" s="17">
        <v>45546</v>
      </c>
      <c r="J4307" s="18">
        <f>YEAR(Tabla1[[#This Row],[FECHA DE COMPRA]])</f>
        <v>2024</v>
      </c>
      <c r="K4307" s="19">
        <v>127.27</v>
      </c>
      <c r="L4307" s="20">
        <v>0.3</v>
      </c>
      <c r="M4307" s="19">
        <f>Tienda!$K2457-Tienda!$K2457*Tienda!$L2457</f>
        <v>61.15</v>
      </c>
      <c r="N4307" s="3" t="s">
        <v>10038</v>
      </c>
      <c r="O4307" s="3" t="s">
        <v>10042</v>
      </c>
      <c r="P4307" s="17">
        <v>45546</v>
      </c>
      <c r="Q4307" s="4">
        <v>6</v>
      </c>
    </row>
    <row r="4308" spans="1:17" ht="30" x14ac:dyDescent="0.25">
      <c r="A4308" s="2" t="s">
        <v>1365</v>
      </c>
      <c r="B4308" s="3" t="s">
        <v>5015</v>
      </c>
      <c r="C4308" s="3">
        <v>36</v>
      </c>
      <c r="D4308" s="46" t="str">
        <f>IF(Tabla1[[#This Row],[EDAD]]&lt;=35,"Adultos jóvenes 18 - 35 años",IF(C4308&gt;=36,"Adultos mayores 36 años en adelante"))</f>
        <v>Adultos mayores 36 años en adelante</v>
      </c>
      <c r="E4308" s="3" t="s">
        <v>5018</v>
      </c>
      <c r="F4308" s="3" t="s">
        <v>5028</v>
      </c>
      <c r="G4308" s="3" t="s">
        <v>5034</v>
      </c>
      <c r="H4308" s="3" t="s">
        <v>6388</v>
      </c>
      <c r="I4308" s="17">
        <v>45396</v>
      </c>
      <c r="J4308" s="18">
        <f>YEAR(Tabla1[[#This Row],[FECHA DE COMPRA]])</f>
        <v>2024</v>
      </c>
      <c r="K4308" s="19">
        <v>111.95</v>
      </c>
      <c r="L4308" s="20">
        <v>0.2</v>
      </c>
      <c r="M4308" s="19">
        <f>Tienda!$K2458-Tienda!$K2458*Tienda!$L2458</f>
        <v>182.27</v>
      </c>
      <c r="N4308" s="3" t="s">
        <v>10038</v>
      </c>
      <c r="O4308" s="3" t="s">
        <v>10042</v>
      </c>
      <c r="P4308" s="17">
        <v>45396</v>
      </c>
      <c r="Q4308" s="4">
        <v>9</v>
      </c>
    </row>
    <row r="4309" spans="1:17" ht="30" x14ac:dyDescent="0.25">
      <c r="A4309" s="2" t="s">
        <v>2737</v>
      </c>
      <c r="B4309" s="3" t="s">
        <v>5016</v>
      </c>
      <c r="C4309" s="3">
        <v>53</v>
      </c>
      <c r="D4309" s="46" t="str">
        <f>IF(Tabla1[[#This Row],[EDAD]]&lt;=35,"Adultos jóvenes 18 - 35 años",IF(C4309&gt;=36,"Adultos mayores 36 años en adelante"))</f>
        <v>Adultos mayores 36 años en adelante</v>
      </c>
      <c r="E4309" s="3" t="s">
        <v>5017</v>
      </c>
      <c r="F4309" s="3" t="s">
        <v>5030</v>
      </c>
      <c r="G4309" s="3" t="s">
        <v>5033</v>
      </c>
      <c r="H4309" s="3" t="s">
        <v>7760</v>
      </c>
      <c r="I4309" s="17">
        <v>45581</v>
      </c>
      <c r="J4309" s="18">
        <f>YEAR(Tabla1[[#This Row],[FECHA DE COMPRA]])</f>
        <v>2024</v>
      </c>
      <c r="K4309" s="19">
        <v>89.85</v>
      </c>
      <c r="L4309" s="20">
        <v>0</v>
      </c>
      <c r="M4309" s="19">
        <f>Tienda!$K2459-Tienda!$K2459*Tienda!$L2459</f>
        <v>9.729000000000001</v>
      </c>
      <c r="N4309" s="3" t="s">
        <v>10038</v>
      </c>
      <c r="O4309" s="3" t="s">
        <v>10042</v>
      </c>
      <c r="P4309" s="17">
        <v>45671</v>
      </c>
      <c r="Q4309" s="4">
        <v>3</v>
      </c>
    </row>
    <row r="4310" spans="1:17" ht="30" x14ac:dyDescent="0.25">
      <c r="A4310" s="2" t="s">
        <v>797</v>
      </c>
      <c r="B4310" s="3" t="s">
        <v>5015</v>
      </c>
      <c r="C4310" s="3">
        <v>45</v>
      </c>
      <c r="D4310" s="46" t="str">
        <f>IF(Tabla1[[#This Row],[EDAD]]&lt;=35,"Adultos jóvenes 18 - 35 años",IF(C4310&gt;=36,"Adultos mayores 36 años en adelante"))</f>
        <v>Adultos mayores 36 años en adelante</v>
      </c>
      <c r="E4310" s="3" t="s">
        <v>5020</v>
      </c>
      <c r="F4310" s="3" t="s">
        <v>5024</v>
      </c>
      <c r="G4310" s="3" t="s">
        <v>5034</v>
      </c>
      <c r="H4310" s="3" t="s">
        <v>5820</v>
      </c>
      <c r="I4310" s="17">
        <v>45348</v>
      </c>
      <c r="J4310" s="18">
        <f>YEAR(Tabla1[[#This Row],[FECHA DE COMPRA]])</f>
        <v>2024</v>
      </c>
      <c r="K4310" s="19">
        <v>128.63999999999999</v>
      </c>
      <c r="L4310" s="20">
        <v>0.3</v>
      </c>
      <c r="M4310" s="19">
        <f>Tienda!$K2462-Tienda!$K2462*Tienda!$L2462</f>
        <v>38.57</v>
      </c>
      <c r="N4310" s="3" t="s">
        <v>10038</v>
      </c>
      <c r="O4310" s="3" t="s">
        <v>10042</v>
      </c>
      <c r="P4310" s="17">
        <v>45618</v>
      </c>
      <c r="Q4310" s="4">
        <v>9</v>
      </c>
    </row>
    <row r="4311" spans="1:17" ht="30" x14ac:dyDescent="0.25">
      <c r="A4311" s="2" t="s">
        <v>1862</v>
      </c>
      <c r="B4311" s="3" t="s">
        <v>5015</v>
      </c>
      <c r="C4311" s="3">
        <v>39</v>
      </c>
      <c r="D4311" s="46" t="str">
        <f>IF(Tabla1[[#This Row],[EDAD]]&lt;=35,"Adultos jóvenes 18 - 35 años",IF(C4311&gt;=36,"Adultos mayores 36 años en adelante"))</f>
        <v>Adultos mayores 36 años en adelante</v>
      </c>
      <c r="E4311" s="3" t="s">
        <v>5021</v>
      </c>
      <c r="F4311" s="3" t="s">
        <v>5025</v>
      </c>
      <c r="G4311" s="3" t="s">
        <v>5037</v>
      </c>
      <c r="H4311" s="3" t="s">
        <v>6885</v>
      </c>
      <c r="I4311" s="17">
        <v>45548</v>
      </c>
      <c r="J4311" s="18">
        <f>YEAR(Tabla1[[#This Row],[FECHA DE COMPRA]])</f>
        <v>2024</v>
      </c>
      <c r="K4311" s="19">
        <v>90.06</v>
      </c>
      <c r="L4311" s="20">
        <v>0</v>
      </c>
      <c r="M4311" s="19">
        <f>Tienda!$K2463-Tienda!$K2463*Tienda!$L2463</f>
        <v>39.08</v>
      </c>
      <c r="N4311" s="3" t="s">
        <v>10038</v>
      </c>
      <c r="O4311" s="3" t="s">
        <v>10042</v>
      </c>
      <c r="P4311" s="17">
        <v>45548</v>
      </c>
      <c r="Q4311" s="4">
        <v>12</v>
      </c>
    </row>
    <row r="4312" spans="1:17" ht="30" x14ac:dyDescent="0.25">
      <c r="A4312" s="2" t="s">
        <v>2012</v>
      </c>
      <c r="B4312" s="3" t="s">
        <v>5015</v>
      </c>
      <c r="C4312" s="3">
        <v>46</v>
      </c>
      <c r="D4312" s="46" t="str">
        <f>IF(Tabla1[[#This Row],[EDAD]]&lt;=35,"Adultos jóvenes 18 - 35 años",IF(C4312&gt;=36,"Adultos mayores 36 años en adelante"))</f>
        <v>Adultos mayores 36 años en adelante</v>
      </c>
      <c r="E4312" s="3" t="s">
        <v>5019</v>
      </c>
      <c r="F4312" s="3" t="s">
        <v>5026</v>
      </c>
      <c r="G4312" s="3" t="s">
        <v>5036</v>
      </c>
      <c r="H4312" s="3" t="s">
        <v>7035</v>
      </c>
      <c r="I4312" s="17">
        <v>45346</v>
      </c>
      <c r="J4312" s="18">
        <f>YEAR(Tabla1[[#This Row],[FECHA DE COMPRA]])</f>
        <v>2024</v>
      </c>
      <c r="K4312" s="19">
        <v>113.17</v>
      </c>
      <c r="L4312" s="20">
        <v>0.2</v>
      </c>
      <c r="M4312" s="19">
        <f>Tienda!$K2470-Tienda!$K2470*Tienda!$L2470</f>
        <v>146.51</v>
      </c>
      <c r="N4312" s="3" t="s">
        <v>10038</v>
      </c>
      <c r="O4312" s="3" t="s">
        <v>10042</v>
      </c>
      <c r="P4312" s="17">
        <v>45706</v>
      </c>
      <c r="Q4312" s="4">
        <v>12</v>
      </c>
    </row>
    <row r="4313" spans="1:17" ht="30" x14ac:dyDescent="0.25">
      <c r="A4313" s="2" t="s">
        <v>1536</v>
      </c>
      <c r="B4313" s="3" t="s">
        <v>5015</v>
      </c>
      <c r="C4313" s="3">
        <v>47</v>
      </c>
      <c r="D4313" s="46" t="str">
        <f>IF(Tabla1[[#This Row],[EDAD]]&lt;=35,"Adultos jóvenes 18 - 35 años",IF(C4313&gt;=36,"Adultos mayores 36 años en adelante"))</f>
        <v>Adultos mayores 36 años en adelante</v>
      </c>
      <c r="E4313" s="3" t="s">
        <v>5021</v>
      </c>
      <c r="F4313" s="3" t="s">
        <v>5024</v>
      </c>
      <c r="G4313" s="3" t="s">
        <v>5031</v>
      </c>
      <c r="H4313" s="3" t="s">
        <v>6559</v>
      </c>
      <c r="I4313" s="17">
        <v>45618</v>
      </c>
      <c r="J4313" s="18">
        <f>YEAR(Tabla1[[#This Row],[FECHA DE COMPRA]])</f>
        <v>2024</v>
      </c>
      <c r="K4313" s="19">
        <v>129.57</v>
      </c>
      <c r="L4313" s="20">
        <v>0.3</v>
      </c>
      <c r="M4313" s="19">
        <f>Tienda!$K2473-Tienda!$K2473*Tienda!$L2473</f>
        <v>25.544</v>
      </c>
      <c r="N4313" s="3" t="s">
        <v>10038</v>
      </c>
      <c r="O4313" s="3" t="s">
        <v>10042</v>
      </c>
      <c r="P4313" s="17">
        <v>45888</v>
      </c>
      <c r="Q4313" s="4">
        <v>9</v>
      </c>
    </row>
    <row r="4314" spans="1:17" ht="30" x14ac:dyDescent="0.25">
      <c r="A4314" s="2" t="s">
        <v>1506</v>
      </c>
      <c r="B4314" s="3" t="s">
        <v>5016</v>
      </c>
      <c r="C4314" s="3">
        <v>56</v>
      </c>
      <c r="D4314" s="46" t="str">
        <f>IF(Tabla1[[#This Row],[EDAD]]&lt;=35,"Adultos jóvenes 18 - 35 años",IF(C4314&gt;=36,"Adultos mayores 36 años en adelante"))</f>
        <v>Adultos mayores 36 años en adelante</v>
      </c>
      <c r="E4314" s="3" t="s">
        <v>5017</v>
      </c>
      <c r="F4314" s="3" t="s">
        <v>5027</v>
      </c>
      <c r="G4314" s="3" t="s">
        <v>5036</v>
      </c>
      <c r="H4314" s="3" t="s">
        <v>6529</v>
      </c>
      <c r="I4314" s="17">
        <v>45635</v>
      </c>
      <c r="J4314" s="18">
        <f>YEAR(Tabla1[[#This Row],[FECHA DE COMPRA]])</f>
        <v>2024</v>
      </c>
      <c r="K4314" s="19">
        <v>91.27</v>
      </c>
      <c r="L4314" s="20">
        <v>0</v>
      </c>
      <c r="M4314" s="19">
        <f>Tienda!$K2477-Tienda!$K2477*Tienda!$L2477</f>
        <v>41.741</v>
      </c>
      <c r="N4314" s="3" t="s">
        <v>10038</v>
      </c>
      <c r="O4314" s="3" t="s">
        <v>10042</v>
      </c>
      <c r="P4314" s="17">
        <v>45817</v>
      </c>
      <c r="Q4314" s="4">
        <v>12</v>
      </c>
    </row>
    <row r="4315" spans="1:17" ht="30" x14ac:dyDescent="0.25">
      <c r="A4315" s="2" t="s">
        <v>2454</v>
      </c>
      <c r="B4315" s="3" t="s">
        <v>5016</v>
      </c>
      <c r="C4315" s="3">
        <v>50</v>
      </c>
      <c r="D4315" s="46" t="str">
        <f>IF(Tabla1[[#This Row],[EDAD]]&lt;=35,"Adultos jóvenes 18 - 35 años",IF(C4315&gt;=36,"Adultos mayores 36 años en adelante"))</f>
        <v>Adultos mayores 36 años en adelante</v>
      </c>
      <c r="E4315" s="3" t="s">
        <v>5017</v>
      </c>
      <c r="F4315" s="3" t="s">
        <v>5025</v>
      </c>
      <c r="G4315" s="3" t="s">
        <v>5036</v>
      </c>
      <c r="H4315" s="3" t="s">
        <v>7477</v>
      </c>
      <c r="I4315" s="17">
        <v>45533</v>
      </c>
      <c r="J4315" s="18">
        <f>YEAR(Tabla1[[#This Row],[FECHA DE COMPRA]])</f>
        <v>2024</v>
      </c>
      <c r="K4315" s="19">
        <v>91.66</v>
      </c>
      <c r="L4315" s="20">
        <v>0</v>
      </c>
      <c r="M4315" s="19">
        <f>Tienda!$K2481-Tienda!$K2481*Tienda!$L2481</f>
        <v>70.316999999999993</v>
      </c>
      <c r="N4315" s="3" t="s">
        <v>10038</v>
      </c>
      <c r="O4315" s="3" t="s">
        <v>10042</v>
      </c>
      <c r="P4315" s="17">
        <v>45623</v>
      </c>
      <c r="Q4315" s="4">
        <v>3</v>
      </c>
    </row>
    <row r="4316" spans="1:17" ht="30" x14ac:dyDescent="0.25">
      <c r="A4316" s="2" t="s">
        <v>4775</v>
      </c>
      <c r="B4316" s="3" t="s">
        <v>5015</v>
      </c>
      <c r="C4316" s="3">
        <v>38</v>
      </c>
      <c r="D4316" s="46" t="str">
        <f>IF(Tabla1[[#This Row],[EDAD]]&lt;=35,"Adultos jóvenes 18 - 35 años",IF(C4316&gt;=36,"Adultos mayores 36 años en adelante"))</f>
        <v>Adultos mayores 36 años en adelante</v>
      </c>
      <c r="E4316" s="3" t="s">
        <v>5018</v>
      </c>
      <c r="F4316" s="3" t="s">
        <v>5030</v>
      </c>
      <c r="G4316" s="3" t="s">
        <v>5036</v>
      </c>
      <c r="H4316" s="3" t="s">
        <v>9798</v>
      </c>
      <c r="I4316" s="17">
        <v>45520</v>
      </c>
      <c r="J4316" s="18">
        <f>YEAR(Tabla1[[#This Row],[FECHA DE COMPRA]])</f>
        <v>2024</v>
      </c>
      <c r="K4316" s="19">
        <v>91.7</v>
      </c>
      <c r="L4316" s="20">
        <v>0</v>
      </c>
      <c r="M4316" s="19">
        <f>Tienda!$K2482-Tienda!$K2482*Tienda!$L2482</f>
        <v>72.504000000000005</v>
      </c>
      <c r="N4316" s="3" t="s">
        <v>10038</v>
      </c>
      <c r="O4316" s="3" t="s">
        <v>10042</v>
      </c>
      <c r="P4316" s="17">
        <v>45520</v>
      </c>
      <c r="Q4316" s="4">
        <v>6</v>
      </c>
    </row>
    <row r="4317" spans="1:17" ht="30" x14ac:dyDescent="0.25">
      <c r="A4317" s="2" t="s">
        <v>4318</v>
      </c>
      <c r="B4317" s="3" t="s">
        <v>5015</v>
      </c>
      <c r="C4317" s="3">
        <v>58</v>
      </c>
      <c r="D4317" s="46" t="str">
        <f>IF(Tabla1[[#This Row],[EDAD]]&lt;=35,"Adultos jóvenes 18 - 35 años",IF(C4317&gt;=36,"Adultos mayores 36 años en adelante"))</f>
        <v>Adultos mayores 36 años en adelante</v>
      </c>
      <c r="E4317" s="3" t="s">
        <v>5021</v>
      </c>
      <c r="F4317" s="3" t="s">
        <v>5027</v>
      </c>
      <c r="G4317" s="3" t="s">
        <v>5034</v>
      </c>
      <c r="H4317" s="3" t="s">
        <v>9341</v>
      </c>
      <c r="I4317" s="17">
        <v>45515</v>
      </c>
      <c r="J4317" s="18">
        <f>YEAR(Tabla1[[#This Row],[FECHA DE COMPRA]])</f>
        <v>2024</v>
      </c>
      <c r="K4317" s="19">
        <v>115.19</v>
      </c>
      <c r="L4317" s="20">
        <v>0.2</v>
      </c>
      <c r="M4317" s="19">
        <f>Tienda!$K2486-Tienda!$K2486*Tienda!$L2486</f>
        <v>94.355999999999995</v>
      </c>
      <c r="N4317" s="3" t="s">
        <v>10038</v>
      </c>
      <c r="O4317" s="3" t="s">
        <v>10042</v>
      </c>
      <c r="P4317" s="17">
        <v>45515</v>
      </c>
      <c r="Q4317" s="4">
        <v>9</v>
      </c>
    </row>
    <row r="4318" spans="1:17" ht="30" x14ac:dyDescent="0.25">
      <c r="A4318" s="2" t="s">
        <v>3537</v>
      </c>
      <c r="B4318" s="3" t="s">
        <v>5015</v>
      </c>
      <c r="C4318" s="3">
        <v>64</v>
      </c>
      <c r="D4318" s="46" t="str">
        <f>IF(Tabla1[[#This Row],[EDAD]]&lt;=35,"Adultos jóvenes 18 - 35 años",IF(C4318&gt;=36,"Adultos mayores 36 años en adelante"))</f>
        <v>Adultos mayores 36 años en adelante</v>
      </c>
      <c r="E4318" s="3" t="s">
        <v>5019</v>
      </c>
      <c r="F4318" s="3" t="s">
        <v>5028</v>
      </c>
      <c r="G4318" s="3" t="s">
        <v>5031</v>
      </c>
      <c r="H4318" s="3" t="s">
        <v>8560</v>
      </c>
      <c r="I4318" s="17">
        <v>45333</v>
      </c>
      <c r="J4318" s="18">
        <f>YEAR(Tabla1[[#This Row],[FECHA DE COMPRA]])</f>
        <v>2024</v>
      </c>
      <c r="K4318" s="19">
        <v>132.86000000000001</v>
      </c>
      <c r="L4318" s="20">
        <v>0.3</v>
      </c>
      <c r="M4318" s="19">
        <f>Tienda!$K2489-Tienda!$K2489*Tienda!$L2489</f>
        <v>111.78</v>
      </c>
      <c r="N4318" s="3" t="s">
        <v>10038</v>
      </c>
      <c r="O4318" s="3" t="s">
        <v>10042</v>
      </c>
      <c r="P4318" s="17">
        <v>45333</v>
      </c>
      <c r="Q4318" s="4">
        <v>6</v>
      </c>
    </row>
    <row r="4319" spans="1:17" ht="30" x14ac:dyDescent="0.25">
      <c r="A4319" s="2" t="s">
        <v>956</v>
      </c>
      <c r="B4319" s="3" t="s">
        <v>5015</v>
      </c>
      <c r="C4319" s="3">
        <v>50</v>
      </c>
      <c r="D4319" s="46" t="str">
        <f>IF(Tabla1[[#This Row],[EDAD]]&lt;=35,"Adultos jóvenes 18 - 35 años",IF(C4319&gt;=36,"Adultos mayores 36 años en adelante"))</f>
        <v>Adultos mayores 36 años en adelante</v>
      </c>
      <c r="E4319" s="3" t="s">
        <v>5022</v>
      </c>
      <c r="F4319" s="3" t="s">
        <v>5027</v>
      </c>
      <c r="G4319" s="3" t="s">
        <v>5035</v>
      </c>
      <c r="H4319" s="3" t="s">
        <v>5979</v>
      </c>
      <c r="I4319" s="17">
        <v>45393</v>
      </c>
      <c r="J4319" s="18">
        <f>YEAR(Tabla1[[#This Row],[FECHA DE COMPRA]])</f>
        <v>2024</v>
      </c>
      <c r="K4319" s="19">
        <v>103.54</v>
      </c>
      <c r="L4319" s="20">
        <v>0.1</v>
      </c>
      <c r="M4319" s="19">
        <f>Tienda!$K2492-Tienda!$K2492*Tienda!$L2492</f>
        <v>98.527999999999992</v>
      </c>
      <c r="N4319" s="3" t="s">
        <v>10038</v>
      </c>
      <c r="O4319" s="3" t="s">
        <v>10042</v>
      </c>
      <c r="P4319" s="17">
        <v>45483</v>
      </c>
      <c r="Q4319" s="4">
        <v>3</v>
      </c>
    </row>
    <row r="4320" spans="1:17" ht="30" x14ac:dyDescent="0.25">
      <c r="A4320" s="2" t="s">
        <v>1924</v>
      </c>
      <c r="B4320" s="3" t="s">
        <v>5016</v>
      </c>
      <c r="C4320" s="3">
        <v>43</v>
      </c>
      <c r="D4320" s="46" t="str">
        <f>IF(Tabla1[[#This Row],[EDAD]]&lt;=35,"Adultos jóvenes 18 - 35 años",IF(C4320&gt;=36,"Adultos mayores 36 años en adelante"))</f>
        <v>Adultos mayores 36 años en adelante</v>
      </c>
      <c r="E4320" s="3" t="s">
        <v>5017</v>
      </c>
      <c r="F4320" s="3" t="s">
        <v>5030</v>
      </c>
      <c r="G4320" s="3" t="s">
        <v>5033</v>
      </c>
      <c r="H4320" s="3" t="s">
        <v>6947</v>
      </c>
      <c r="I4320" s="17">
        <v>45339</v>
      </c>
      <c r="J4320" s="18">
        <f>YEAR(Tabla1[[#This Row],[FECHA DE COMPRA]])</f>
        <v>2024</v>
      </c>
      <c r="K4320" s="19">
        <v>93.77</v>
      </c>
      <c r="L4320" s="20">
        <v>0</v>
      </c>
      <c r="M4320" s="19">
        <f>Tienda!$K2497-Tienda!$K2497*Tienda!$L2497</f>
        <v>124.352</v>
      </c>
      <c r="N4320" s="3" t="s">
        <v>10038</v>
      </c>
      <c r="O4320" s="3" t="s">
        <v>10042</v>
      </c>
      <c r="P4320" s="17">
        <v>45339</v>
      </c>
      <c r="Q4320" s="4">
        <v>12</v>
      </c>
    </row>
    <row r="4321" spans="1:17" ht="30" x14ac:dyDescent="0.25">
      <c r="A4321" s="2" t="s">
        <v>3755</v>
      </c>
      <c r="B4321" s="3" t="s">
        <v>5015</v>
      </c>
      <c r="C4321" s="3">
        <v>36</v>
      </c>
      <c r="D4321" s="46" t="str">
        <f>IF(Tabla1[[#This Row],[EDAD]]&lt;=35,"Adultos jóvenes 18 - 35 años",IF(C4321&gt;=36,"Adultos mayores 36 años en adelante"))</f>
        <v>Adultos mayores 36 años en adelante</v>
      </c>
      <c r="E4321" s="3" t="s">
        <v>5020</v>
      </c>
      <c r="F4321" s="3" t="s">
        <v>5025</v>
      </c>
      <c r="G4321" s="3" t="s">
        <v>5032</v>
      </c>
      <c r="H4321" s="3" t="s">
        <v>8778</v>
      </c>
      <c r="I4321" s="17">
        <v>45435</v>
      </c>
      <c r="J4321" s="18">
        <f>YEAR(Tabla1[[#This Row],[FECHA DE COMPRA]])</f>
        <v>2024</v>
      </c>
      <c r="K4321" s="19">
        <v>94.28</v>
      </c>
      <c r="L4321" s="20">
        <v>0</v>
      </c>
      <c r="M4321" s="19">
        <f>Tienda!$K2504-Tienda!$K2504*Tienda!$L2504</f>
        <v>158.256</v>
      </c>
      <c r="N4321" s="3" t="s">
        <v>10038</v>
      </c>
      <c r="O4321" s="3" t="s">
        <v>10042</v>
      </c>
      <c r="P4321" s="17">
        <v>45705</v>
      </c>
      <c r="Q4321" s="4">
        <v>9</v>
      </c>
    </row>
    <row r="4322" spans="1:17" ht="30" x14ac:dyDescent="0.25">
      <c r="A4322" s="2" t="s">
        <v>1422</v>
      </c>
      <c r="B4322" s="3" t="s">
        <v>5015</v>
      </c>
      <c r="C4322" s="3">
        <v>57</v>
      </c>
      <c r="D4322" s="46" t="str">
        <f>IF(Tabla1[[#This Row],[EDAD]]&lt;=35,"Adultos jóvenes 18 - 35 años",IF(C4322&gt;=36,"Adultos mayores 36 años en adelante"))</f>
        <v>Adultos mayores 36 años en adelante</v>
      </c>
      <c r="E4322" s="3" t="s">
        <v>5019</v>
      </c>
      <c r="F4322" s="3" t="s">
        <v>5027</v>
      </c>
      <c r="G4322" s="3" t="s">
        <v>5034</v>
      </c>
      <c r="H4322" s="3" t="s">
        <v>6445</v>
      </c>
      <c r="I4322" s="17">
        <v>45587</v>
      </c>
      <c r="J4322" s="18">
        <f>YEAR(Tabla1[[#This Row],[FECHA DE COMPRA]])</f>
        <v>2024</v>
      </c>
      <c r="K4322" s="19">
        <v>94.29</v>
      </c>
      <c r="L4322" s="20">
        <v>0</v>
      </c>
      <c r="M4322" s="19">
        <f>Tienda!$K2505-Tienda!$K2505*Tienda!$L2505</f>
        <v>183.45</v>
      </c>
      <c r="N4322" s="3" t="s">
        <v>10038</v>
      </c>
      <c r="O4322" s="3" t="s">
        <v>10042</v>
      </c>
      <c r="P4322" s="17">
        <v>45767</v>
      </c>
      <c r="Q4322" s="4">
        <v>6</v>
      </c>
    </row>
    <row r="4323" spans="1:17" ht="30" x14ac:dyDescent="0.25">
      <c r="A4323" s="2" t="s">
        <v>2843</v>
      </c>
      <c r="B4323" s="3" t="s">
        <v>5015</v>
      </c>
      <c r="C4323" s="3">
        <v>47</v>
      </c>
      <c r="D4323" s="46" t="str">
        <f>IF(Tabla1[[#This Row],[EDAD]]&lt;=35,"Adultos jóvenes 18 - 35 años",IF(C4323&gt;=36,"Adultos mayores 36 años en adelante"))</f>
        <v>Adultos mayores 36 años en adelante</v>
      </c>
      <c r="E4323" s="3" t="s">
        <v>5018</v>
      </c>
      <c r="F4323" s="3" t="s">
        <v>5030</v>
      </c>
      <c r="G4323" s="3" t="s">
        <v>5036</v>
      </c>
      <c r="H4323" s="3" t="s">
        <v>7866</v>
      </c>
      <c r="I4323" s="17">
        <v>45405</v>
      </c>
      <c r="J4323" s="18">
        <f>YEAR(Tabla1[[#This Row],[FECHA DE COMPRA]])</f>
        <v>2024</v>
      </c>
      <c r="K4323" s="19">
        <v>94.49</v>
      </c>
      <c r="L4323" s="20">
        <v>0</v>
      </c>
      <c r="M4323" s="19">
        <f>Tienda!$K2507-Tienda!$K2507*Tienda!$L2507</f>
        <v>17.18</v>
      </c>
      <c r="N4323" s="3" t="s">
        <v>10038</v>
      </c>
      <c r="O4323" s="3" t="s">
        <v>10042</v>
      </c>
      <c r="P4323" s="17">
        <v>45405</v>
      </c>
      <c r="Q4323" s="4">
        <v>6</v>
      </c>
    </row>
    <row r="4324" spans="1:17" ht="30" x14ac:dyDescent="0.25">
      <c r="A4324" s="2" t="s">
        <v>2897</v>
      </c>
      <c r="B4324" s="3" t="s">
        <v>5015</v>
      </c>
      <c r="C4324" s="3">
        <v>47</v>
      </c>
      <c r="D4324" s="46" t="str">
        <f>IF(Tabla1[[#This Row],[EDAD]]&lt;=35,"Adultos jóvenes 18 - 35 años",IF(C4324&gt;=36,"Adultos mayores 36 años en adelante"))</f>
        <v>Adultos mayores 36 años en adelante</v>
      </c>
      <c r="E4324" s="3" t="s">
        <v>5023</v>
      </c>
      <c r="F4324" s="3" t="s">
        <v>5028</v>
      </c>
      <c r="G4324" s="3" t="s">
        <v>5033</v>
      </c>
      <c r="H4324" s="3" t="s">
        <v>7920</v>
      </c>
      <c r="I4324" s="17">
        <v>45631</v>
      </c>
      <c r="J4324" s="18">
        <f>YEAR(Tabla1[[#This Row],[FECHA DE COMPRA]])</f>
        <v>2024</v>
      </c>
      <c r="K4324" s="19">
        <v>135.21</v>
      </c>
      <c r="L4324" s="20">
        <v>0.3</v>
      </c>
      <c r="M4324" s="19">
        <f>Tienda!$K2508-Tienda!$K2508*Tienda!$L2508</f>
        <v>18.856000000000002</v>
      </c>
      <c r="N4324" s="3" t="s">
        <v>10038</v>
      </c>
      <c r="O4324" s="3" t="s">
        <v>10042</v>
      </c>
      <c r="P4324" s="17">
        <v>45991</v>
      </c>
      <c r="Q4324" s="4">
        <v>12</v>
      </c>
    </row>
    <row r="4325" spans="1:17" ht="30" x14ac:dyDescent="0.25">
      <c r="A4325" s="2" t="s">
        <v>1690</v>
      </c>
      <c r="B4325" s="3" t="s">
        <v>5015</v>
      </c>
      <c r="C4325" s="3">
        <v>50</v>
      </c>
      <c r="D4325" s="46" t="str">
        <f>IF(Tabla1[[#This Row],[EDAD]]&lt;=35,"Adultos jóvenes 18 - 35 años",IF(C4325&gt;=36,"Adultos mayores 36 años en adelante"))</f>
        <v>Adultos mayores 36 años en adelante</v>
      </c>
      <c r="E4325" s="3" t="s">
        <v>5017</v>
      </c>
      <c r="F4325" s="3" t="s">
        <v>5029</v>
      </c>
      <c r="G4325" s="3" t="s">
        <v>5031</v>
      </c>
      <c r="H4325" s="3" t="s">
        <v>6713</v>
      </c>
      <c r="I4325" s="17">
        <v>45402</v>
      </c>
      <c r="J4325" s="18">
        <f>YEAR(Tabla1[[#This Row],[FECHA DE COMPRA]])</f>
        <v>2024</v>
      </c>
      <c r="K4325" s="19">
        <v>135.47999999999999</v>
      </c>
      <c r="L4325" s="20">
        <v>0.3</v>
      </c>
      <c r="M4325" s="19">
        <f>Tienda!$K2509-Tienda!$K2509*Tienda!$L2509</f>
        <v>16.722999999999999</v>
      </c>
      <c r="N4325" s="3" t="s">
        <v>10038</v>
      </c>
      <c r="O4325" s="3" t="s">
        <v>10042</v>
      </c>
      <c r="P4325" s="17">
        <v>45402</v>
      </c>
      <c r="Q4325" s="4">
        <v>6</v>
      </c>
    </row>
    <row r="4326" spans="1:17" ht="30" x14ac:dyDescent="0.25">
      <c r="A4326" s="2" t="s">
        <v>1699</v>
      </c>
      <c r="B4326" s="3" t="s">
        <v>5016</v>
      </c>
      <c r="C4326" s="3">
        <v>50</v>
      </c>
      <c r="D4326" s="46" t="str">
        <f>IF(Tabla1[[#This Row],[EDAD]]&lt;=35,"Adultos jóvenes 18 - 35 años",IF(C4326&gt;=36,"Adultos mayores 36 años en adelante"))</f>
        <v>Adultos mayores 36 años en adelante</v>
      </c>
      <c r="E4326" s="3" t="s">
        <v>5019</v>
      </c>
      <c r="F4326" s="3" t="s">
        <v>5028</v>
      </c>
      <c r="G4326" s="3" t="s">
        <v>5035</v>
      </c>
      <c r="H4326" s="3" t="s">
        <v>6722</v>
      </c>
      <c r="I4326" s="17">
        <v>45509</v>
      </c>
      <c r="J4326" s="18">
        <f>YEAR(Tabla1[[#This Row],[FECHA DE COMPRA]])</f>
        <v>2024</v>
      </c>
      <c r="K4326" s="19">
        <v>136.16999999999999</v>
      </c>
      <c r="L4326" s="20">
        <v>0.3</v>
      </c>
      <c r="M4326" s="19">
        <f>Tienda!$K2510-Tienda!$K2510*Tienda!$L2510</f>
        <v>31.34</v>
      </c>
      <c r="N4326" s="3" t="s">
        <v>10038</v>
      </c>
      <c r="O4326" s="3" t="s">
        <v>10042</v>
      </c>
      <c r="P4326" s="17">
        <v>45689</v>
      </c>
      <c r="Q4326" s="4">
        <v>6</v>
      </c>
    </row>
    <row r="4327" spans="1:17" ht="30" x14ac:dyDescent="0.25">
      <c r="A4327" s="2" t="s">
        <v>396</v>
      </c>
      <c r="B4327" s="3" t="s">
        <v>5015</v>
      </c>
      <c r="C4327" s="3">
        <v>49</v>
      </c>
      <c r="D4327" s="46" t="str">
        <f>IF(Tabla1[[#This Row],[EDAD]]&lt;=35,"Adultos jóvenes 18 - 35 años",IF(C4327&gt;=36,"Adultos mayores 36 años en adelante"))</f>
        <v>Adultos mayores 36 años en adelante</v>
      </c>
      <c r="E4327" s="3" t="s">
        <v>5020</v>
      </c>
      <c r="F4327" s="3" t="s">
        <v>5024</v>
      </c>
      <c r="G4327" s="3" t="s">
        <v>5034</v>
      </c>
      <c r="H4327" s="3" t="s">
        <v>5419</v>
      </c>
      <c r="I4327" s="17">
        <v>45624</v>
      </c>
      <c r="J4327" s="18">
        <f>YEAR(Tabla1[[#This Row],[FECHA DE COMPRA]])</f>
        <v>2024</v>
      </c>
      <c r="K4327" s="19">
        <v>105.93</v>
      </c>
      <c r="L4327" s="20">
        <v>0.1</v>
      </c>
      <c r="M4327" s="19">
        <f>Tienda!$K2511-Tienda!$K2511*Tienda!$L2511</f>
        <v>29.681999999999995</v>
      </c>
      <c r="N4327" s="3" t="s">
        <v>10038</v>
      </c>
      <c r="O4327" s="3" t="s">
        <v>10042</v>
      </c>
      <c r="P4327" s="17">
        <v>45804</v>
      </c>
      <c r="Q4327" s="4">
        <v>6</v>
      </c>
    </row>
    <row r="4328" spans="1:17" ht="30" x14ac:dyDescent="0.25">
      <c r="A4328" s="2" t="s">
        <v>3443</v>
      </c>
      <c r="B4328" s="3" t="s">
        <v>5016</v>
      </c>
      <c r="C4328" s="3">
        <v>53</v>
      </c>
      <c r="D4328" s="46" t="str">
        <f>IF(Tabla1[[#This Row],[EDAD]]&lt;=35,"Adultos jóvenes 18 - 35 años",IF(C4328&gt;=36,"Adultos mayores 36 años en adelante"))</f>
        <v>Adultos mayores 36 años en adelante</v>
      </c>
      <c r="E4328" s="3" t="s">
        <v>5019</v>
      </c>
      <c r="F4328" s="3" t="s">
        <v>5025</v>
      </c>
      <c r="G4328" s="3" t="s">
        <v>5034</v>
      </c>
      <c r="H4328" s="3" t="s">
        <v>8466</v>
      </c>
      <c r="I4328" s="17">
        <v>45584</v>
      </c>
      <c r="J4328" s="18">
        <f>YEAR(Tabla1[[#This Row],[FECHA DE COMPRA]])</f>
        <v>2024</v>
      </c>
      <c r="K4328" s="19">
        <v>95.51</v>
      </c>
      <c r="L4328" s="20">
        <v>0</v>
      </c>
      <c r="M4328" s="19">
        <f>Tienda!$K2514-Tienda!$K2514*Tienda!$L2514</f>
        <v>34.244</v>
      </c>
      <c r="N4328" s="3" t="s">
        <v>10038</v>
      </c>
      <c r="O4328" s="3" t="s">
        <v>10042</v>
      </c>
      <c r="P4328" s="17">
        <v>45674</v>
      </c>
      <c r="Q4328" s="4">
        <v>3</v>
      </c>
    </row>
    <row r="4329" spans="1:17" ht="30" x14ac:dyDescent="0.25">
      <c r="A4329" s="2" t="s">
        <v>462</v>
      </c>
      <c r="B4329" s="3" t="s">
        <v>5015</v>
      </c>
      <c r="C4329" s="3">
        <v>60</v>
      </c>
      <c r="D4329" s="46" t="str">
        <f>IF(Tabla1[[#This Row],[EDAD]]&lt;=35,"Adultos jóvenes 18 - 35 años",IF(C4329&gt;=36,"Adultos mayores 36 años en adelante"))</f>
        <v>Adultos mayores 36 años en adelante</v>
      </c>
      <c r="E4329" s="3" t="s">
        <v>5020</v>
      </c>
      <c r="F4329" s="3" t="s">
        <v>5027</v>
      </c>
      <c r="G4329" s="3" t="s">
        <v>5034</v>
      </c>
      <c r="H4329" s="3" t="s">
        <v>5485</v>
      </c>
      <c r="I4329" s="17">
        <v>45509</v>
      </c>
      <c r="J4329" s="18">
        <f>YEAR(Tabla1[[#This Row],[FECHA DE COMPRA]])</f>
        <v>2024</v>
      </c>
      <c r="K4329" s="19">
        <v>95.57</v>
      </c>
      <c r="L4329" s="20">
        <v>0</v>
      </c>
      <c r="M4329" s="19">
        <f>Tienda!$K2515-Tienda!$K2515*Tienda!$L2515</f>
        <v>45.306000000000004</v>
      </c>
      <c r="N4329" s="3" t="s">
        <v>10038</v>
      </c>
      <c r="O4329" s="3" t="s">
        <v>10042</v>
      </c>
      <c r="P4329" s="17">
        <v>45599</v>
      </c>
      <c r="Q4329" s="4">
        <v>3</v>
      </c>
    </row>
    <row r="4330" spans="1:17" ht="30" x14ac:dyDescent="0.25">
      <c r="A4330" s="2" t="s">
        <v>4901</v>
      </c>
      <c r="B4330" s="3" t="s">
        <v>5015</v>
      </c>
      <c r="C4330" s="3">
        <v>56</v>
      </c>
      <c r="D4330" s="46" t="str">
        <f>IF(Tabla1[[#This Row],[EDAD]]&lt;=35,"Adultos jóvenes 18 - 35 años",IF(C4330&gt;=36,"Adultos mayores 36 años en adelante"))</f>
        <v>Adultos mayores 36 años en adelante</v>
      </c>
      <c r="E4330" s="3" t="s">
        <v>5019</v>
      </c>
      <c r="F4330" s="3" t="s">
        <v>5026</v>
      </c>
      <c r="G4330" s="3" t="s">
        <v>5033</v>
      </c>
      <c r="H4330" s="3" t="s">
        <v>9924</v>
      </c>
      <c r="I4330" s="17">
        <v>45308</v>
      </c>
      <c r="J4330" s="18">
        <f>YEAR(Tabla1[[#This Row],[FECHA DE COMPRA]])</f>
        <v>2024</v>
      </c>
      <c r="K4330" s="19">
        <v>119.81</v>
      </c>
      <c r="L4330" s="20">
        <v>0.2</v>
      </c>
      <c r="M4330" s="19">
        <f>Tienda!$K2516-Tienda!$K2516*Tienda!$L2516</f>
        <v>41.495999999999995</v>
      </c>
      <c r="N4330" s="3" t="s">
        <v>10038</v>
      </c>
      <c r="O4330" s="3" t="s">
        <v>10042</v>
      </c>
      <c r="P4330" s="17">
        <v>45308</v>
      </c>
      <c r="Q4330" s="4">
        <v>12</v>
      </c>
    </row>
    <row r="4331" spans="1:17" ht="30" x14ac:dyDescent="0.25">
      <c r="A4331" s="2" t="s">
        <v>335</v>
      </c>
      <c r="B4331" s="3" t="s">
        <v>5015</v>
      </c>
      <c r="C4331" s="3">
        <v>64</v>
      </c>
      <c r="D4331" s="46" t="str">
        <f>IF(Tabla1[[#This Row],[EDAD]]&lt;=35,"Adultos jóvenes 18 - 35 años",IF(C4331&gt;=36,"Adultos mayores 36 años en adelante"))</f>
        <v>Adultos mayores 36 años en adelante</v>
      </c>
      <c r="E4331" s="3" t="s">
        <v>5020</v>
      </c>
      <c r="F4331" s="3" t="s">
        <v>5030</v>
      </c>
      <c r="G4331" s="3" t="s">
        <v>5032</v>
      </c>
      <c r="H4331" s="3" t="s">
        <v>5358</v>
      </c>
      <c r="I4331" s="17">
        <v>45401</v>
      </c>
      <c r="J4331" s="18">
        <f>YEAR(Tabla1[[#This Row],[FECHA DE COMPRA]])</f>
        <v>2024</v>
      </c>
      <c r="K4331" s="19">
        <v>137.36000000000001</v>
      </c>
      <c r="L4331" s="20">
        <v>0.3</v>
      </c>
      <c r="M4331" s="19">
        <f>Tienda!$K2518-Tienda!$K2518*Tienda!$L2518</f>
        <v>38.444000000000003</v>
      </c>
      <c r="N4331" s="3" t="s">
        <v>10038</v>
      </c>
      <c r="O4331" s="3" t="s">
        <v>10042</v>
      </c>
      <c r="P4331" s="17">
        <v>45761</v>
      </c>
      <c r="Q4331" s="4">
        <v>12</v>
      </c>
    </row>
    <row r="4332" spans="1:17" ht="30" x14ac:dyDescent="0.25">
      <c r="A4332" s="2" t="s">
        <v>2537</v>
      </c>
      <c r="B4332" s="3" t="s">
        <v>5016</v>
      </c>
      <c r="C4332" s="3">
        <v>50</v>
      </c>
      <c r="D4332" s="46" t="str">
        <f>IF(Tabla1[[#This Row],[EDAD]]&lt;=35,"Adultos jóvenes 18 - 35 años",IF(C4332&gt;=36,"Adultos mayores 36 años en adelante"))</f>
        <v>Adultos mayores 36 años en adelante</v>
      </c>
      <c r="E4332" s="3" t="s">
        <v>5017</v>
      </c>
      <c r="F4332" s="3" t="s">
        <v>5028</v>
      </c>
      <c r="G4332" s="3" t="s">
        <v>5032</v>
      </c>
      <c r="H4332" s="3" t="s">
        <v>7560</v>
      </c>
      <c r="I4332" s="17">
        <v>45336</v>
      </c>
      <c r="J4332" s="18">
        <f>YEAR(Tabla1[[#This Row],[FECHA DE COMPRA]])</f>
        <v>2024</v>
      </c>
      <c r="K4332" s="19">
        <v>138.11000000000001</v>
      </c>
      <c r="L4332" s="20">
        <v>0.3</v>
      </c>
      <c r="M4332" s="19">
        <f>Tienda!$K2519-Tienda!$K2519*Tienda!$L2519</f>
        <v>60.77</v>
      </c>
      <c r="N4332" s="3" t="s">
        <v>10038</v>
      </c>
      <c r="O4332" s="3" t="s">
        <v>10042</v>
      </c>
      <c r="P4332" s="17">
        <v>45336</v>
      </c>
      <c r="Q4332" s="4">
        <v>3</v>
      </c>
    </row>
    <row r="4333" spans="1:17" ht="30" x14ac:dyDescent="0.25">
      <c r="A4333" s="2" t="s">
        <v>1961</v>
      </c>
      <c r="B4333" s="3" t="s">
        <v>5015</v>
      </c>
      <c r="C4333" s="3">
        <v>46</v>
      </c>
      <c r="D4333" s="46" t="str">
        <f>IF(Tabla1[[#This Row],[EDAD]]&lt;=35,"Adultos jóvenes 18 - 35 años",IF(C4333&gt;=36,"Adultos mayores 36 años en adelante"))</f>
        <v>Adultos mayores 36 años en adelante</v>
      </c>
      <c r="E4333" s="3" t="s">
        <v>5020</v>
      </c>
      <c r="F4333" s="3" t="s">
        <v>5026</v>
      </c>
      <c r="G4333" s="3" t="s">
        <v>5032</v>
      </c>
      <c r="H4333" s="3" t="s">
        <v>6984</v>
      </c>
      <c r="I4333" s="17">
        <v>45402</v>
      </c>
      <c r="J4333" s="18">
        <f>YEAR(Tabla1[[#This Row],[FECHA DE COMPRA]])</f>
        <v>2024</v>
      </c>
      <c r="K4333" s="19">
        <v>121.35</v>
      </c>
      <c r="L4333" s="20">
        <v>0.2</v>
      </c>
      <c r="M4333" s="19">
        <f>Tienda!$K2520-Tienda!$K2520*Tienda!$L2520</f>
        <v>49.239999999999995</v>
      </c>
      <c r="N4333" s="3" t="s">
        <v>10038</v>
      </c>
      <c r="O4333" s="3" t="s">
        <v>10042</v>
      </c>
      <c r="P4333" s="17">
        <v>45402</v>
      </c>
      <c r="Q4333" s="4">
        <v>3</v>
      </c>
    </row>
    <row r="4334" spans="1:17" ht="30" x14ac:dyDescent="0.25">
      <c r="A4334" s="2" t="s">
        <v>4420</v>
      </c>
      <c r="B4334" s="3" t="s">
        <v>5016</v>
      </c>
      <c r="C4334" s="3">
        <v>62</v>
      </c>
      <c r="D4334" s="46" t="str">
        <f>IF(Tabla1[[#This Row],[EDAD]]&lt;=35,"Adultos jóvenes 18 - 35 años",IF(C4334&gt;=36,"Adultos mayores 36 años en adelante"))</f>
        <v>Adultos mayores 36 años en adelante</v>
      </c>
      <c r="E4334" s="3" t="s">
        <v>5021</v>
      </c>
      <c r="F4334" s="3" t="s">
        <v>5025</v>
      </c>
      <c r="G4334" s="3" t="s">
        <v>5033</v>
      </c>
      <c r="H4334" s="3" t="s">
        <v>9443</v>
      </c>
      <c r="I4334" s="17">
        <v>45412</v>
      </c>
      <c r="J4334" s="18">
        <f>YEAR(Tabla1[[#This Row],[FECHA DE COMPRA]])</f>
        <v>2024</v>
      </c>
      <c r="K4334" s="19">
        <v>108.24</v>
      </c>
      <c r="L4334" s="20">
        <v>0.1</v>
      </c>
      <c r="M4334" s="19">
        <f>Tienda!$K2523-Tienda!$K2523*Tienda!$L2523</f>
        <v>63.9</v>
      </c>
      <c r="N4334" s="3" t="s">
        <v>10038</v>
      </c>
      <c r="O4334" s="3" t="s">
        <v>10042</v>
      </c>
      <c r="P4334" s="17">
        <v>45412</v>
      </c>
      <c r="Q4334" s="4">
        <v>3</v>
      </c>
    </row>
    <row r="4335" spans="1:17" ht="30" x14ac:dyDescent="0.25">
      <c r="A4335" s="2" t="s">
        <v>1249</v>
      </c>
      <c r="B4335" s="3" t="s">
        <v>5015</v>
      </c>
      <c r="C4335" s="3">
        <v>58</v>
      </c>
      <c r="D4335" s="46" t="str">
        <f>IF(Tabla1[[#This Row],[EDAD]]&lt;=35,"Adultos jóvenes 18 - 35 años",IF(C4335&gt;=36,"Adultos mayores 36 años en adelante"))</f>
        <v>Adultos mayores 36 años en adelante</v>
      </c>
      <c r="E4335" s="3" t="s">
        <v>5019</v>
      </c>
      <c r="F4335" s="3" t="s">
        <v>5028</v>
      </c>
      <c r="G4335" s="3" t="s">
        <v>5033</v>
      </c>
      <c r="H4335" s="3" t="s">
        <v>6272</v>
      </c>
      <c r="I4335" s="17">
        <v>45360</v>
      </c>
      <c r="J4335" s="18">
        <f>YEAR(Tabla1[[#This Row],[FECHA DE COMPRA]])</f>
        <v>2024</v>
      </c>
      <c r="K4335" s="19">
        <v>121.84</v>
      </c>
      <c r="L4335" s="20">
        <v>0.2</v>
      </c>
      <c r="M4335" s="19">
        <f>Tienda!$K2525-Tienda!$K2525*Tienda!$L2525</f>
        <v>53.809000000000005</v>
      </c>
      <c r="N4335" s="3" t="s">
        <v>10038</v>
      </c>
      <c r="O4335" s="3" t="s">
        <v>10042</v>
      </c>
      <c r="P4335" s="17">
        <v>45360</v>
      </c>
      <c r="Q4335" s="4">
        <v>3</v>
      </c>
    </row>
    <row r="4336" spans="1:17" ht="30" x14ac:dyDescent="0.25">
      <c r="A4336" s="2" t="s">
        <v>3439</v>
      </c>
      <c r="B4336" s="3" t="s">
        <v>5015</v>
      </c>
      <c r="C4336" s="3">
        <v>55</v>
      </c>
      <c r="D4336" s="46" t="str">
        <f>IF(Tabla1[[#This Row],[EDAD]]&lt;=35,"Adultos jóvenes 18 - 35 años",IF(C4336&gt;=36,"Adultos mayores 36 años en adelante"))</f>
        <v>Adultos mayores 36 años en adelante</v>
      </c>
      <c r="E4336" s="3" t="s">
        <v>5022</v>
      </c>
      <c r="F4336" s="3" t="s">
        <v>5025</v>
      </c>
      <c r="G4336" s="3" t="s">
        <v>5037</v>
      </c>
      <c r="H4336" s="3" t="s">
        <v>8462</v>
      </c>
      <c r="I4336" s="17">
        <v>45442</v>
      </c>
      <c r="J4336" s="18">
        <f>YEAR(Tabla1[[#This Row],[FECHA DE COMPRA]])</f>
        <v>2024</v>
      </c>
      <c r="K4336" s="19">
        <v>139.38</v>
      </c>
      <c r="L4336" s="20">
        <v>0.3</v>
      </c>
      <c r="M4336" s="19">
        <f>Tienda!$K2527-Tienda!$K2527*Tienda!$L2527</f>
        <v>65.927999999999997</v>
      </c>
      <c r="N4336" s="3" t="s">
        <v>10038</v>
      </c>
      <c r="O4336" s="3" t="s">
        <v>10042</v>
      </c>
      <c r="P4336" s="17">
        <v>45712</v>
      </c>
      <c r="Q4336" s="4">
        <v>9</v>
      </c>
    </row>
    <row r="4337" spans="1:17" ht="30" x14ac:dyDescent="0.25">
      <c r="A4337" s="2" t="s">
        <v>94</v>
      </c>
      <c r="B4337" s="3" t="s">
        <v>5015</v>
      </c>
      <c r="C4337" s="3">
        <v>65</v>
      </c>
      <c r="D4337" s="46" t="str">
        <f>IF(Tabla1[[#This Row],[EDAD]]&lt;=35,"Adultos jóvenes 18 - 35 años",IF(C4337&gt;=36,"Adultos mayores 36 años en adelante"))</f>
        <v>Adultos mayores 36 años en adelante</v>
      </c>
      <c r="E4337" s="3" t="s">
        <v>5022</v>
      </c>
      <c r="F4337" s="3" t="s">
        <v>5026</v>
      </c>
      <c r="G4337" s="3" t="s">
        <v>5036</v>
      </c>
      <c r="H4337" s="3" t="s">
        <v>5117</v>
      </c>
      <c r="I4337" s="17">
        <v>45310</v>
      </c>
      <c r="J4337" s="18">
        <f>YEAR(Tabla1[[#This Row],[FECHA DE COMPRA]])</f>
        <v>2024</v>
      </c>
      <c r="K4337" s="19">
        <v>122.32</v>
      </c>
      <c r="L4337" s="20">
        <v>0.2</v>
      </c>
      <c r="M4337" s="19">
        <f>Tienda!$K2530-Tienda!$K2530*Tienda!$L2530</f>
        <v>84.231000000000009</v>
      </c>
      <c r="N4337" s="3" t="s">
        <v>10038</v>
      </c>
      <c r="O4337" s="3" t="s">
        <v>10042</v>
      </c>
      <c r="P4337" s="17">
        <v>45310</v>
      </c>
      <c r="Q4337" s="4">
        <v>9</v>
      </c>
    </row>
    <row r="4338" spans="1:17" ht="30" x14ac:dyDescent="0.25">
      <c r="A4338" s="2" t="s">
        <v>2801</v>
      </c>
      <c r="B4338" s="3" t="s">
        <v>5015</v>
      </c>
      <c r="C4338" s="3">
        <v>62</v>
      </c>
      <c r="D4338" s="46" t="str">
        <f>IF(Tabla1[[#This Row],[EDAD]]&lt;=35,"Adultos jóvenes 18 - 35 años",IF(C4338&gt;=36,"Adultos mayores 36 años en adelante"))</f>
        <v>Adultos mayores 36 años en adelante</v>
      </c>
      <c r="E4338" s="3" t="s">
        <v>5017</v>
      </c>
      <c r="F4338" s="3" t="s">
        <v>5030</v>
      </c>
      <c r="G4338" s="3" t="s">
        <v>5037</v>
      </c>
      <c r="H4338" s="3" t="s">
        <v>7824</v>
      </c>
      <c r="I4338" s="17">
        <v>45618</v>
      </c>
      <c r="J4338" s="18">
        <f>YEAR(Tabla1[[#This Row],[FECHA DE COMPRA]])</f>
        <v>2024</v>
      </c>
      <c r="K4338" s="19">
        <v>139.84</v>
      </c>
      <c r="L4338" s="20">
        <v>0.3</v>
      </c>
      <c r="M4338" s="19">
        <f>Tienda!$K2531-Tienda!$K2531*Tienda!$L2531</f>
        <v>79.88</v>
      </c>
      <c r="N4338" s="3" t="s">
        <v>10038</v>
      </c>
      <c r="O4338" s="3" t="s">
        <v>10042</v>
      </c>
      <c r="P4338" s="17">
        <v>45643</v>
      </c>
      <c r="Q4338" s="4">
        <v>6</v>
      </c>
    </row>
    <row r="4339" spans="1:17" ht="30" x14ac:dyDescent="0.25">
      <c r="A4339" s="2" t="s">
        <v>3815</v>
      </c>
      <c r="B4339" s="3" t="s">
        <v>5015</v>
      </c>
      <c r="C4339" s="3">
        <v>55</v>
      </c>
      <c r="D4339" s="46" t="str">
        <f>IF(Tabla1[[#This Row],[EDAD]]&lt;=35,"Adultos jóvenes 18 - 35 años",IF(C4339&gt;=36,"Adultos mayores 36 años en adelante"))</f>
        <v>Adultos mayores 36 años en adelante</v>
      </c>
      <c r="E4339" s="3" t="s">
        <v>5017</v>
      </c>
      <c r="F4339" s="3" t="s">
        <v>5028</v>
      </c>
      <c r="G4339" s="3" t="s">
        <v>5031</v>
      </c>
      <c r="H4339" s="3" t="s">
        <v>8838</v>
      </c>
      <c r="I4339" s="17">
        <v>45397</v>
      </c>
      <c r="J4339" s="18">
        <f>YEAR(Tabla1[[#This Row],[FECHA DE COMPRA]])</f>
        <v>2024</v>
      </c>
      <c r="K4339" s="19">
        <v>140.31</v>
      </c>
      <c r="L4339" s="20">
        <v>0.3</v>
      </c>
      <c r="M4339" s="19">
        <f>Tienda!$K2533-Tienda!$K2533*Tienda!$L2533</f>
        <v>103.95</v>
      </c>
      <c r="N4339" s="3" t="s">
        <v>10038</v>
      </c>
      <c r="O4339" s="3" t="s">
        <v>10042</v>
      </c>
      <c r="P4339" s="17">
        <v>45397</v>
      </c>
      <c r="Q4339" s="4">
        <v>9</v>
      </c>
    </row>
    <row r="4340" spans="1:17" ht="30" x14ac:dyDescent="0.25">
      <c r="A4340" s="2" t="s">
        <v>2358</v>
      </c>
      <c r="B4340" s="3" t="s">
        <v>5015</v>
      </c>
      <c r="C4340" s="3">
        <v>37</v>
      </c>
      <c r="D4340" s="46" t="str">
        <f>IF(Tabla1[[#This Row],[EDAD]]&lt;=35,"Adultos jóvenes 18 - 35 años",IF(C4340&gt;=36,"Adultos mayores 36 años en adelante"))</f>
        <v>Adultos mayores 36 años en adelante</v>
      </c>
      <c r="E4340" s="3" t="s">
        <v>5020</v>
      </c>
      <c r="F4340" s="3" t="s">
        <v>5030</v>
      </c>
      <c r="G4340" s="3" t="s">
        <v>5037</v>
      </c>
      <c r="H4340" s="3" t="s">
        <v>7381</v>
      </c>
      <c r="I4340" s="17">
        <v>45581</v>
      </c>
      <c r="J4340" s="18">
        <f>YEAR(Tabla1[[#This Row],[FECHA DE COMPRA]])</f>
        <v>2024</v>
      </c>
      <c r="K4340" s="19">
        <v>140.34</v>
      </c>
      <c r="L4340" s="20">
        <v>0.3</v>
      </c>
      <c r="M4340" s="19">
        <f>Tienda!$K2534-Tienda!$K2534*Tienda!$L2534</f>
        <v>94.032000000000011</v>
      </c>
      <c r="N4340" s="3" t="s">
        <v>10038</v>
      </c>
      <c r="O4340" s="3" t="s">
        <v>10042</v>
      </c>
      <c r="P4340" s="17">
        <v>45941</v>
      </c>
      <c r="Q4340" s="4">
        <v>12</v>
      </c>
    </row>
    <row r="4341" spans="1:17" ht="30" x14ac:dyDescent="0.25">
      <c r="A4341" s="2" t="s">
        <v>655</v>
      </c>
      <c r="B4341" s="3" t="s">
        <v>5015</v>
      </c>
      <c r="C4341" s="3">
        <v>37</v>
      </c>
      <c r="D4341" s="46" t="str">
        <f>IF(Tabla1[[#This Row],[EDAD]]&lt;=35,"Adultos jóvenes 18 - 35 años",IF(C4341&gt;=36,"Adultos mayores 36 años en adelante"))</f>
        <v>Adultos mayores 36 años en adelante</v>
      </c>
      <c r="E4341" s="3" t="s">
        <v>5021</v>
      </c>
      <c r="F4341" s="3" t="s">
        <v>5026</v>
      </c>
      <c r="G4341" s="3" t="s">
        <v>5033</v>
      </c>
      <c r="H4341" s="3" t="s">
        <v>5678</v>
      </c>
      <c r="I4341" s="17">
        <v>45362</v>
      </c>
      <c r="J4341" s="18">
        <f>YEAR(Tabla1[[#This Row],[FECHA DE COMPRA]])</f>
        <v>2024</v>
      </c>
      <c r="K4341" s="19">
        <v>98.38</v>
      </c>
      <c r="L4341" s="20">
        <v>0</v>
      </c>
      <c r="M4341" s="19">
        <f>Tienda!$K2536-Tienda!$K2536*Tienda!$L2536</f>
        <v>114.9</v>
      </c>
      <c r="N4341" s="3" t="s">
        <v>10038</v>
      </c>
      <c r="O4341" s="3" t="s">
        <v>10042</v>
      </c>
      <c r="P4341" s="17">
        <v>45722</v>
      </c>
      <c r="Q4341" s="4">
        <v>12</v>
      </c>
    </row>
    <row r="4342" spans="1:17" ht="30" x14ac:dyDescent="0.25">
      <c r="A4342" s="2" t="s">
        <v>2868</v>
      </c>
      <c r="B4342" s="3" t="s">
        <v>5015</v>
      </c>
      <c r="C4342" s="3">
        <v>51</v>
      </c>
      <c r="D4342" s="46" t="str">
        <f>IF(Tabla1[[#This Row],[EDAD]]&lt;=35,"Adultos jóvenes 18 - 35 años",IF(C4342&gt;=36,"Adultos mayores 36 años en adelante"))</f>
        <v>Adultos mayores 36 años en adelante</v>
      </c>
      <c r="E4342" s="3" t="s">
        <v>5022</v>
      </c>
      <c r="F4342" s="3" t="s">
        <v>5030</v>
      </c>
      <c r="G4342" s="3" t="s">
        <v>5034</v>
      </c>
      <c r="H4342" s="3" t="s">
        <v>7891</v>
      </c>
      <c r="I4342" s="17">
        <v>45594</v>
      </c>
      <c r="J4342" s="18">
        <f>YEAR(Tabla1[[#This Row],[FECHA DE COMPRA]])</f>
        <v>2024</v>
      </c>
      <c r="K4342" s="19">
        <v>123</v>
      </c>
      <c r="L4342" s="20">
        <v>0.2</v>
      </c>
      <c r="M4342" s="19">
        <f>Tienda!$K2538-Tienda!$K2538*Tienda!$L2538</f>
        <v>89.376000000000005</v>
      </c>
      <c r="N4342" s="3" t="s">
        <v>10038</v>
      </c>
      <c r="O4342" s="3" t="s">
        <v>10042</v>
      </c>
      <c r="P4342" s="17">
        <v>45684</v>
      </c>
      <c r="Q4342" s="4">
        <v>3</v>
      </c>
    </row>
    <row r="4343" spans="1:17" ht="30" x14ac:dyDescent="0.25">
      <c r="A4343" s="2" t="s">
        <v>294</v>
      </c>
      <c r="B4343" s="3" t="s">
        <v>5016</v>
      </c>
      <c r="C4343" s="3">
        <v>44</v>
      </c>
      <c r="D4343" s="46" t="str">
        <f>IF(Tabla1[[#This Row],[EDAD]]&lt;=35,"Adultos jóvenes 18 - 35 años",IF(C4343&gt;=36,"Adultos mayores 36 años en adelante"))</f>
        <v>Adultos mayores 36 años en adelante</v>
      </c>
      <c r="E4343" s="3" t="s">
        <v>5017</v>
      </c>
      <c r="F4343" s="3" t="s">
        <v>5026</v>
      </c>
      <c r="G4343" s="3" t="s">
        <v>5031</v>
      </c>
      <c r="H4343" s="3" t="s">
        <v>5317</v>
      </c>
      <c r="I4343" s="17">
        <v>45388</v>
      </c>
      <c r="J4343" s="18">
        <f>YEAR(Tabla1[[#This Row],[FECHA DE COMPRA]])</f>
        <v>2024</v>
      </c>
      <c r="K4343" s="19">
        <v>98.89</v>
      </c>
      <c r="L4343" s="20">
        <v>0</v>
      </c>
      <c r="M4343" s="19">
        <f>Tienda!$K2540-Tienda!$K2540*Tienda!$L2540</f>
        <v>118.467</v>
      </c>
      <c r="N4343" s="3" t="s">
        <v>10038</v>
      </c>
      <c r="O4343" s="3" t="s">
        <v>10042</v>
      </c>
      <c r="P4343" s="17">
        <v>45388</v>
      </c>
      <c r="Q4343" s="4">
        <v>9</v>
      </c>
    </row>
    <row r="4344" spans="1:17" ht="30" x14ac:dyDescent="0.25">
      <c r="A4344" s="2" t="s">
        <v>56</v>
      </c>
      <c r="B4344" s="3" t="s">
        <v>5015</v>
      </c>
      <c r="C4344" s="3">
        <v>53</v>
      </c>
      <c r="D4344" s="46" t="str">
        <f>IF(Tabla1[[#This Row],[EDAD]]&lt;=35,"Adultos jóvenes 18 - 35 años",IF(C4344&gt;=36,"Adultos mayores 36 años en adelante"))</f>
        <v>Adultos mayores 36 años en adelante</v>
      </c>
      <c r="E4344" s="3" t="s">
        <v>5017</v>
      </c>
      <c r="F4344" s="3" t="s">
        <v>5025</v>
      </c>
      <c r="G4344" s="3" t="s">
        <v>5033</v>
      </c>
      <c r="H4344" s="3" t="s">
        <v>5079</v>
      </c>
      <c r="I4344" s="17">
        <v>45346</v>
      </c>
      <c r="J4344" s="18">
        <f>YEAR(Tabla1[[#This Row],[FECHA DE COMPRA]])</f>
        <v>2024</v>
      </c>
      <c r="K4344" s="19">
        <v>123.7</v>
      </c>
      <c r="L4344" s="20">
        <v>0.2</v>
      </c>
      <c r="M4344" s="19">
        <f>Tienda!$K2541-Tienda!$K2541*Tienda!$L2541</f>
        <v>92.638000000000005</v>
      </c>
      <c r="N4344" s="3" t="s">
        <v>10038</v>
      </c>
      <c r="O4344" s="3" t="s">
        <v>10042</v>
      </c>
      <c r="P4344" s="17">
        <v>45346</v>
      </c>
      <c r="Q4344" s="4">
        <v>12</v>
      </c>
    </row>
    <row r="4345" spans="1:17" ht="30" x14ac:dyDescent="0.25">
      <c r="A4345" s="2" t="s">
        <v>3468</v>
      </c>
      <c r="B4345" s="3" t="s">
        <v>5015</v>
      </c>
      <c r="C4345" s="3">
        <v>48</v>
      </c>
      <c r="D4345" s="46" t="str">
        <f>IF(Tabla1[[#This Row],[EDAD]]&lt;=35,"Adultos jóvenes 18 - 35 años",IF(C4345&gt;=36,"Adultos mayores 36 años en adelante"))</f>
        <v>Adultos mayores 36 años en adelante</v>
      </c>
      <c r="E4345" s="3" t="s">
        <v>5019</v>
      </c>
      <c r="F4345" s="3" t="s">
        <v>5027</v>
      </c>
      <c r="G4345" s="3" t="s">
        <v>5036</v>
      </c>
      <c r="H4345" s="3" t="s">
        <v>8491</v>
      </c>
      <c r="I4345" s="17">
        <v>45444</v>
      </c>
      <c r="J4345" s="18">
        <f>YEAR(Tabla1[[#This Row],[FECHA DE COMPRA]])</f>
        <v>2024</v>
      </c>
      <c r="K4345" s="19">
        <v>99.56</v>
      </c>
      <c r="L4345" s="20">
        <v>0</v>
      </c>
      <c r="M4345" s="19">
        <f>Tienda!$K2544-Tienda!$K2544*Tienda!$L2544</f>
        <v>132.77699999999999</v>
      </c>
      <c r="N4345" s="3" t="s">
        <v>10038</v>
      </c>
      <c r="O4345" s="3" t="s">
        <v>10042</v>
      </c>
      <c r="P4345" s="17">
        <v>45534</v>
      </c>
      <c r="Q4345" s="4">
        <v>3</v>
      </c>
    </row>
    <row r="4346" spans="1:17" ht="30" x14ac:dyDescent="0.25">
      <c r="A4346" s="2" t="s">
        <v>3380</v>
      </c>
      <c r="B4346" s="3" t="s">
        <v>5015</v>
      </c>
      <c r="C4346" s="3">
        <v>57</v>
      </c>
      <c r="D4346" s="46" t="str">
        <f>IF(Tabla1[[#This Row],[EDAD]]&lt;=35,"Adultos jóvenes 18 - 35 años",IF(C4346&gt;=36,"Adultos mayores 36 años en adelante"))</f>
        <v>Adultos mayores 36 años en adelante</v>
      </c>
      <c r="E4346" s="3" t="s">
        <v>5018</v>
      </c>
      <c r="F4346" s="3" t="s">
        <v>5029</v>
      </c>
      <c r="G4346" s="3" t="s">
        <v>5032</v>
      </c>
      <c r="H4346" s="3" t="s">
        <v>8403</v>
      </c>
      <c r="I4346" s="17">
        <v>45369</v>
      </c>
      <c r="J4346" s="18">
        <f>YEAR(Tabla1[[#This Row],[FECHA DE COMPRA]])</f>
        <v>2024</v>
      </c>
      <c r="K4346" s="19">
        <v>99.83</v>
      </c>
      <c r="L4346" s="20">
        <v>0</v>
      </c>
      <c r="M4346" s="19">
        <f>Tienda!$K2548-Tienda!$K2548*Tienda!$L2548</f>
        <v>154.08000000000001</v>
      </c>
      <c r="N4346" s="3" t="s">
        <v>10038</v>
      </c>
      <c r="O4346" s="3" t="s">
        <v>10042</v>
      </c>
      <c r="P4346" s="17">
        <v>45639</v>
      </c>
      <c r="Q4346" s="4">
        <v>9</v>
      </c>
    </row>
    <row r="4347" spans="1:17" ht="30" x14ac:dyDescent="0.25">
      <c r="A4347" s="2" t="s">
        <v>1793</v>
      </c>
      <c r="B4347" s="3" t="s">
        <v>5015</v>
      </c>
      <c r="C4347" s="3">
        <v>48</v>
      </c>
      <c r="D4347" s="46" t="str">
        <f>IF(Tabla1[[#This Row],[EDAD]]&lt;=35,"Adultos jóvenes 18 - 35 años",IF(C4347&gt;=36,"Adultos mayores 36 años en adelante"))</f>
        <v>Adultos mayores 36 años en adelante</v>
      </c>
      <c r="E4347" s="3" t="s">
        <v>5020</v>
      </c>
      <c r="F4347" s="3" t="s">
        <v>5028</v>
      </c>
      <c r="G4347" s="3" t="s">
        <v>5037</v>
      </c>
      <c r="H4347" s="3" t="s">
        <v>6816</v>
      </c>
      <c r="I4347" s="17">
        <v>45359</v>
      </c>
      <c r="J4347" s="18">
        <f>YEAR(Tabla1[[#This Row],[FECHA DE COMPRA]])</f>
        <v>2024</v>
      </c>
      <c r="K4347" s="19">
        <v>99.98</v>
      </c>
      <c r="L4347" s="20">
        <v>0</v>
      </c>
      <c r="M4347" s="19">
        <f>Tienda!$K2550-Tienda!$K2550*Tienda!$L2550</f>
        <v>125.968</v>
      </c>
      <c r="N4347" s="3" t="s">
        <v>10038</v>
      </c>
      <c r="O4347" s="3" t="s">
        <v>10042</v>
      </c>
      <c r="P4347" s="17">
        <v>45359</v>
      </c>
      <c r="Q4347" s="4">
        <v>3</v>
      </c>
    </row>
    <row r="4348" spans="1:17" ht="30" x14ac:dyDescent="0.25">
      <c r="A4348" s="2" t="s">
        <v>4072</v>
      </c>
      <c r="B4348" s="3" t="s">
        <v>5015</v>
      </c>
      <c r="C4348" s="3">
        <v>51</v>
      </c>
      <c r="D4348" s="46" t="str">
        <f>IF(Tabla1[[#This Row],[EDAD]]&lt;=35,"Adultos jóvenes 18 - 35 años",IF(C4348&gt;=36,"Adultos mayores 36 años en adelante"))</f>
        <v>Adultos mayores 36 años en adelante</v>
      </c>
      <c r="E4348" s="3" t="s">
        <v>5018</v>
      </c>
      <c r="F4348" s="3" t="s">
        <v>5028</v>
      </c>
      <c r="G4348" s="3" t="s">
        <v>5031</v>
      </c>
      <c r="H4348" s="3" t="s">
        <v>9095</v>
      </c>
      <c r="I4348" s="17">
        <v>45649</v>
      </c>
      <c r="J4348" s="18">
        <f>YEAR(Tabla1[[#This Row],[FECHA DE COMPRA]])</f>
        <v>2024</v>
      </c>
      <c r="K4348" s="19">
        <v>111.18</v>
      </c>
      <c r="L4348" s="20">
        <v>0.1</v>
      </c>
      <c r="M4348" s="19">
        <f>Tienda!$K2552-Tienda!$K2552*Tienda!$L2552</f>
        <v>165.59</v>
      </c>
      <c r="N4348" s="3" t="s">
        <v>10038</v>
      </c>
      <c r="O4348" s="3" t="s">
        <v>10042</v>
      </c>
      <c r="P4348" s="17">
        <v>45575</v>
      </c>
      <c r="Q4348" s="4">
        <v>9</v>
      </c>
    </row>
    <row r="4349" spans="1:17" ht="30" x14ac:dyDescent="0.25">
      <c r="A4349" s="2" t="s">
        <v>3576</v>
      </c>
      <c r="B4349" s="3" t="s">
        <v>5016</v>
      </c>
      <c r="C4349" s="3">
        <v>46</v>
      </c>
      <c r="D4349" s="46" t="str">
        <f>IF(Tabla1[[#This Row],[EDAD]]&lt;=35,"Adultos jóvenes 18 - 35 años",IF(C4349&gt;=36,"Adultos mayores 36 años en adelante"))</f>
        <v>Adultos mayores 36 años en adelante</v>
      </c>
      <c r="E4349" s="3" t="s">
        <v>5023</v>
      </c>
      <c r="F4349" s="3" t="s">
        <v>5025</v>
      </c>
      <c r="G4349" s="3" t="s">
        <v>5037</v>
      </c>
      <c r="H4349" s="3" t="s">
        <v>8599</v>
      </c>
      <c r="I4349" s="17">
        <v>45581</v>
      </c>
      <c r="J4349" s="18">
        <f>YEAR(Tabla1[[#This Row],[FECHA DE COMPRA]])</f>
        <v>2024</v>
      </c>
      <c r="K4349" s="19">
        <v>100.16</v>
      </c>
      <c r="L4349" s="20">
        <v>0</v>
      </c>
      <c r="M4349" s="19">
        <f>Tienda!$K2556-Tienda!$K2556*Tienda!$L2556</f>
        <v>153.02699999999999</v>
      </c>
      <c r="N4349" s="3" t="s">
        <v>10038</v>
      </c>
      <c r="O4349" s="3" t="s">
        <v>10042</v>
      </c>
      <c r="P4349" s="17">
        <v>45671</v>
      </c>
      <c r="Q4349" s="4">
        <v>3</v>
      </c>
    </row>
    <row r="4350" spans="1:17" ht="30" x14ac:dyDescent="0.25">
      <c r="A4350" s="2" t="s">
        <v>3353</v>
      </c>
      <c r="B4350" s="3" t="s">
        <v>5015</v>
      </c>
      <c r="C4350" s="3">
        <v>47</v>
      </c>
      <c r="D4350" s="46" t="str">
        <f>IF(Tabla1[[#This Row],[EDAD]]&lt;=35,"Adultos jóvenes 18 - 35 años",IF(C4350&gt;=36,"Adultos mayores 36 años en adelante"))</f>
        <v>Adultos mayores 36 años en adelante</v>
      </c>
      <c r="E4350" s="3" t="s">
        <v>5019</v>
      </c>
      <c r="F4350" s="3" t="s">
        <v>5028</v>
      </c>
      <c r="G4350" s="3" t="s">
        <v>5033</v>
      </c>
      <c r="H4350" s="3" t="s">
        <v>8376</v>
      </c>
      <c r="I4350" s="17">
        <v>45649</v>
      </c>
      <c r="J4350" s="18">
        <f>YEAR(Tabla1[[#This Row],[FECHA DE COMPRA]])</f>
        <v>2024</v>
      </c>
      <c r="K4350" s="19">
        <v>143.46</v>
      </c>
      <c r="L4350" s="20">
        <v>0.3</v>
      </c>
      <c r="M4350" s="19">
        <f>Tienda!$K2557-Tienda!$K2557*Tienda!$L2557</f>
        <v>139.26400000000001</v>
      </c>
      <c r="N4350" s="3" t="s">
        <v>10038</v>
      </c>
      <c r="O4350" s="3" t="s">
        <v>10042</v>
      </c>
      <c r="P4350" s="17">
        <v>45477</v>
      </c>
      <c r="Q4350" s="4">
        <v>6</v>
      </c>
    </row>
    <row r="4351" spans="1:17" ht="30" x14ac:dyDescent="0.25">
      <c r="A4351" s="2" t="s">
        <v>832</v>
      </c>
      <c r="B4351" s="3" t="s">
        <v>5015</v>
      </c>
      <c r="C4351" s="3">
        <v>38</v>
      </c>
      <c r="D4351" s="46" t="str">
        <f>IF(Tabla1[[#This Row],[EDAD]]&lt;=35,"Adultos jóvenes 18 - 35 años",IF(C4351&gt;=36,"Adultos mayores 36 años en adelante"))</f>
        <v>Adultos mayores 36 años en adelante</v>
      </c>
      <c r="E4351" s="3" t="s">
        <v>5017</v>
      </c>
      <c r="F4351" s="3" t="s">
        <v>5025</v>
      </c>
      <c r="G4351" s="3" t="s">
        <v>5035</v>
      </c>
      <c r="H4351" s="3" t="s">
        <v>5855</v>
      </c>
      <c r="I4351" s="17">
        <v>45356</v>
      </c>
      <c r="J4351" s="18">
        <f>YEAR(Tabla1[[#This Row],[FECHA DE COMPRA]])</f>
        <v>2024</v>
      </c>
      <c r="K4351" s="19">
        <v>143.51</v>
      </c>
      <c r="L4351" s="20">
        <v>0.3</v>
      </c>
      <c r="M4351" s="19">
        <f>Tienda!$K2559-Tienda!$K2559*Tienda!$L2559</f>
        <v>148.208</v>
      </c>
      <c r="N4351" s="3" t="s">
        <v>10038</v>
      </c>
      <c r="O4351" s="3" t="s">
        <v>10042</v>
      </c>
      <c r="P4351" s="17">
        <v>45356</v>
      </c>
      <c r="Q4351" s="4">
        <v>6</v>
      </c>
    </row>
    <row r="4352" spans="1:17" ht="30" x14ac:dyDescent="0.25">
      <c r="A4352" s="2" t="s">
        <v>1239</v>
      </c>
      <c r="B4352" s="3" t="s">
        <v>5015</v>
      </c>
      <c r="C4352" s="3">
        <v>60</v>
      </c>
      <c r="D4352" s="46" t="str">
        <f>IF(Tabla1[[#This Row],[EDAD]]&lt;=35,"Adultos jóvenes 18 - 35 años",IF(C4352&gt;=36,"Adultos mayores 36 años en adelante"))</f>
        <v>Adultos mayores 36 años en adelante</v>
      </c>
      <c r="E4352" s="3" t="s">
        <v>5019</v>
      </c>
      <c r="F4352" s="3" t="s">
        <v>5030</v>
      </c>
      <c r="G4352" s="3" t="s">
        <v>5035</v>
      </c>
      <c r="H4352" s="3" t="s">
        <v>6262</v>
      </c>
      <c r="I4352" s="17">
        <v>45507</v>
      </c>
      <c r="J4352" s="18">
        <f>YEAR(Tabla1[[#This Row],[FECHA DE COMPRA]])</f>
        <v>2024</v>
      </c>
      <c r="K4352" s="19">
        <v>111.79</v>
      </c>
      <c r="L4352" s="20">
        <v>0.1</v>
      </c>
      <c r="M4352" s="19">
        <f>Tienda!$K2560-Tienda!$K2560*Tienda!$L2560</f>
        <v>150.376</v>
      </c>
      <c r="N4352" s="3" t="s">
        <v>10038</v>
      </c>
      <c r="O4352" s="3" t="s">
        <v>10042</v>
      </c>
      <c r="P4352" s="17">
        <v>45597</v>
      </c>
      <c r="Q4352" s="4">
        <v>3</v>
      </c>
    </row>
    <row r="4353" spans="1:17" ht="30" x14ac:dyDescent="0.25">
      <c r="A4353" s="2" t="s">
        <v>2073</v>
      </c>
      <c r="B4353" s="3" t="s">
        <v>5016</v>
      </c>
      <c r="C4353" s="3">
        <v>45</v>
      </c>
      <c r="D4353" s="46" t="str">
        <f>IF(Tabla1[[#This Row],[EDAD]]&lt;=35,"Adultos jóvenes 18 - 35 años",IF(C4353&gt;=36,"Adultos mayores 36 años en adelante"))</f>
        <v>Adultos mayores 36 años en adelante</v>
      </c>
      <c r="E4353" s="3" t="s">
        <v>5021</v>
      </c>
      <c r="F4353" s="3" t="s">
        <v>5030</v>
      </c>
      <c r="G4353" s="3" t="s">
        <v>5036</v>
      </c>
      <c r="H4353" s="3" t="s">
        <v>7096</v>
      </c>
      <c r="I4353" s="17">
        <v>45364</v>
      </c>
      <c r="J4353" s="18">
        <f>YEAR(Tabla1[[#This Row],[FECHA DE COMPRA]])</f>
        <v>2024</v>
      </c>
      <c r="K4353" s="19">
        <v>100.62</v>
      </c>
      <c r="L4353" s="20">
        <v>0</v>
      </c>
      <c r="M4353" s="19">
        <f>Tienda!$K2561-Tienda!$K2561*Tienda!$L2561</f>
        <v>152.83199999999999</v>
      </c>
      <c r="N4353" s="3" t="s">
        <v>10038</v>
      </c>
      <c r="O4353" s="3" t="s">
        <v>10042</v>
      </c>
      <c r="P4353" s="17">
        <v>45364</v>
      </c>
      <c r="Q4353" s="4">
        <v>3</v>
      </c>
    </row>
    <row r="4354" spans="1:17" ht="30" x14ac:dyDescent="0.25">
      <c r="A4354" s="2" t="s">
        <v>4749</v>
      </c>
      <c r="B4354" s="3" t="s">
        <v>5015</v>
      </c>
      <c r="C4354" s="3">
        <v>48</v>
      </c>
      <c r="D4354" s="46" t="str">
        <f>IF(Tabla1[[#This Row],[EDAD]]&lt;=35,"Adultos jóvenes 18 - 35 años",IF(C4354&gt;=36,"Adultos mayores 36 años en adelante"))</f>
        <v>Adultos mayores 36 años en adelante</v>
      </c>
      <c r="E4354" s="3" t="s">
        <v>5020</v>
      </c>
      <c r="F4354" s="3" t="s">
        <v>5024</v>
      </c>
      <c r="G4354" s="3" t="s">
        <v>5031</v>
      </c>
      <c r="H4354" s="3" t="s">
        <v>9772</v>
      </c>
      <c r="I4354" s="17">
        <v>45532</v>
      </c>
      <c r="J4354" s="18">
        <f>YEAR(Tabla1[[#This Row],[FECHA DE COMPRA]])</f>
        <v>2024</v>
      </c>
      <c r="K4354" s="19">
        <v>143.86000000000001</v>
      </c>
      <c r="L4354" s="20">
        <v>0.3</v>
      </c>
      <c r="M4354" s="19">
        <f>Tienda!$K2562-Tienda!$K2562*Tienda!$L2562</f>
        <v>179.44200000000001</v>
      </c>
      <c r="N4354" s="3" t="s">
        <v>10038</v>
      </c>
      <c r="O4354" s="3" t="s">
        <v>10042</v>
      </c>
      <c r="P4354" s="17">
        <v>45532</v>
      </c>
      <c r="Q4354" s="4">
        <v>12</v>
      </c>
    </row>
    <row r="4355" spans="1:17" ht="30" x14ac:dyDescent="0.25">
      <c r="A4355" s="2" t="s">
        <v>4491</v>
      </c>
      <c r="B4355" s="3" t="s">
        <v>5015</v>
      </c>
      <c r="C4355" s="3">
        <v>53</v>
      </c>
      <c r="D4355" s="46" t="str">
        <f>IF(Tabla1[[#This Row],[EDAD]]&lt;=35,"Adultos jóvenes 18 - 35 años",IF(C4355&gt;=36,"Adultos mayores 36 años en adelante"))</f>
        <v>Adultos mayores 36 años en adelante</v>
      </c>
      <c r="E4355" s="3" t="s">
        <v>5022</v>
      </c>
      <c r="F4355" s="3" t="s">
        <v>5029</v>
      </c>
      <c r="G4355" s="3" t="s">
        <v>5034</v>
      </c>
      <c r="H4355" s="3" t="s">
        <v>9514</v>
      </c>
      <c r="I4355" s="17">
        <v>45645</v>
      </c>
      <c r="J4355" s="18">
        <f>YEAR(Tabla1[[#This Row],[FECHA DE COMPRA]])</f>
        <v>2024</v>
      </c>
      <c r="K4355" s="19">
        <v>112.45</v>
      </c>
      <c r="L4355" s="20">
        <v>0.1</v>
      </c>
      <c r="M4355" s="19">
        <f>Tienda!$K2565-Tienda!$K2565*Tienda!$L2565</f>
        <v>17.378999999999998</v>
      </c>
      <c r="N4355" s="3" t="s">
        <v>10038</v>
      </c>
      <c r="O4355" s="3" t="s">
        <v>10042</v>
      </c>
      <c r="P4355" s="17">
        <v>45825</v>
      </c>
      <c r="Q4355" s="4">
        <v>6</v>
      </c>
    </row>
    <row r="4356" spans="1:17" ht="30" x14ac:dyDescent="0.25">
      <c r="A4356" s="2" t="s">
        <v>1662</v>
      </c>
      <c r="B4356" s="3" t="s">
        <v>5016</v>
      </c>
      <c r="C4356" s="3">
        <v>56</v>
      </c>
      <c r="D4356" s="46" t="str">
        <f>IF(Tabla1[[#This Row],[EDAD]]&lt;=35,"Adultos jóvenes 18 - 35 años",IF(C4356&gt;=36,"Adultos mayores 36 años en adelante"))</f>
        <v>Adultos mayores 36 años en adelante</v>
      </c>
      <c r="E4356" s="3" t="s">
        <v>5021</v>
      </c>
      <c r="F4356" s="3" t="s">
        <v>5028</v>
      </c>
      <c r="G4356" s="3" t="s">
        <v>5032</v>
      </c>
      <c r="H4356" s="3" t="s">
        <v>6685</v>
      </c>
      <c r="I4356" s="17">
        <v>45374</v>
      </c>
      <c r="J4356" s="18">
        <f>YEAR(Tabla1[[#This Row],[FECHA DE COMPRA]])</f>
        <v>2024</v>
      </c>
      <c r="K4356" s="19">
        <v>126.59</v>
      </c>
      <c r="L4356" s="20">
        <v>0.2</v>
      </c>
      <c r="M4356" s="19">
        <f>Tienda!$K2566-Tienda!$K2566*Tienda!$L2566</f>
        <v>23.99</v>
      </c>
      <c r="N4356" s="3" t="s">
        <v>10038</v>
      </c>
      <c r="O4356" s="3" t="s">
        <v>10042</v>
      </c>
      <c r="P4356" s="17">
        <v>45374</v>
      </c>
      <c r="Q4356" s="4">
        <v>12</v>
      </c>
    </row>
    <row r="4357" spans="1:17" ht="30" x14ac:dyDescent="0.25">
      <c r="A4357" s="2" t="s">
        <v>443</v>
      </c>
      <c r="B4357" s="3" t="s">
        <v>5015</v>
      </c>
      <c r="C4357" s="3">
        <v>57</v>
      </c>
      <c r="D4357" s="46" t="str">
        <f>IF(Tabla1[[#This Row],[EDAD]]&lt;=35,"Adultos jóvenes 18 - 35 años",IF(C4357&gt;=36,"Adultos mayores 36 años en adelante"))</f>
        <v>Adultos mayores 36 años en adelante</v>
      </c>
      <c r="E4357" s="3" t="s">
        <v>5022</v>
      </c>
      <c r="F4357" s="3" t="s">
        <v>5026</v>
      </c>
      <c r="G4357" s="3" t="s">
        <v>5035</v>
      </c>
      <c r="H4357" s="3" t="s">
        <v>5466</v>
      </c>
      <c r="I4357" s="17">
        <v>45545</v>
      </c>
      <c r="J4357" s="18">
        <f>YEAR(Tabla1[[#This Row],[FECHA DE COMPRA]])</f>
        <v>2024</v>
      </c>
      <c r="K4357" s="19">
        <v>144.84</v>
      </c>
      <c r="L4357" s="20">
        <v>0.3</v>
      </c>
      <c r="M4357" s="19">
        <f>Tienda!$K2569-Tienda!$K2569*Tienda!$L2569</f>
        <v>22.077999999999999</v>
      </c>
      <c r="N4357" s="3" t="s">
        <v>10038</v>
      </c>
      <c r="O4357" s="3" t="s">
        <v>10042</v>
      </c>
      <c r="P4357" s="17">
        <v>45545</v>
      </c>
      <c r="Q4357" s="4">
        <v>6</v>
      </c>
    </row>
    <row r="4358" spans="1:17" ht="30" x14ac:dyDescent="0.25">
      <c r="A4358" s="2" t="s">
        <v>1076</v>
      </c>
      <c r="B4358" s="3" t="s">
        <v>5016</v>
      </c>
      <c r="C4358" s="3">
        <v>65</v>
      </c>
      <c r="D4358" s="46" t="str">
        <f>IF(Tabla1[[#This Row],[EDAD]]&lt;=35,"Adultos jóvenes 18 - 35 años",IF(C4358&gt;=36,"Adultos mayores 36 años en adelante"))</f>
        <v>Adultos mayores 36 años en adelante</v>
      </c>
      <c r="E4358" s="3" t="s">
        <v>5019</v>
      </c>
      <c r="F4358" s="3" t="s">
        <v>5028</v>
      </c>
      <c r="G4358" s="3" t="s">
        <v>5034</v>
      </c>
      <c r="H4358" s="3" t="s">
        <v>6099</v>
      </c>
      <c r="I4358" s="17">
        <v>45516</v>
      </c>
      <c r="J4358" s="18">
        <f>YEAR(Tabla1[[#This Row],[FECHA DE COMPRA]])</f>
        <v>2024</v>
      </c>
      <c r="K4358" s="19">
        <v>144.86000000000001</v>
      </c>
      <c r="L4358" s="20">
        <v>0.3</v>
      </c>
      <c r="M4358" s="19">
        <f>Tienda!$K2570-Tienda!$K2570*Tienda!$L2570</f>
        <v>36.25</v>
      </c>
      <c r="N4358" s="3" t="s">
        <v>10038</v>
      </c>
      <c r="O4358" s="3" t="s">
        <v>10042</v>
      </c>
      <c r="P4358" s="17">
        <v>45696</v>
      </c>
      <c r="Q4358" s="4">
        <v>6</v>
      </c>
    </row>
    <row r="4359" spans="1:17" ht="30" x14ac:dyDescent="0.25">
      <c r="A4359" s="2" t="s">
        <v>4495</v>
      </c>
      <c r="B4359" s="3" t="s">
        <v>5015</v>
      </c>
      <c r="C4359" s="3">
        <v>51</v>
      </c>
      <c r="D4359" s="46" t="str">
        <f>IF(Tabla1[[#This Row],[EDAD]]&lt;=35,"Adultos jóvenes 18 - 35 años",IF(C4359&gt;=36,"Adultos mayores 36 años en adelante"))</f>
        <v>Adultos mayores 36 años en adelante</v>
      </c>
      <c r="E4359" s="3" t="s">
        <v>5020</v>
      </c>
      <c r="F4359" s="3" t="s">
        <v>5029</v>
      </c>
      <c r="G4359" s="3" t="s">
        <v>5037</v>
      </c>
      <c r="H4359" s="3" t="s">
        <v>9518</v>
      </c>
      <c r="I4359" s="17">
        <v>45315</v>
      </c>
      <c r="J4359" s="18">
        <f>YEAR(Tabla1[[#This Row],[FECHA DE COMPRA]])</f>
        <v>2024</v>
      </c>
      <c r="K4359" s="19">
        <v>112.69</v>
      </c>
      <c r="L4359" s="20">
        <v>0.1</v>
      </c>
      <c r="M4359" s="19">
        <f>Tienda!$K2571-Tienda!$K2571*Tienda!$L2571</f>
        <v>40.519999999999996</v>
      </c>
      <c r="N4359" s="3" t="s">
        <v>10038</v>
      </c>
      <c r="O4359" s="3" t="s">
        <v>10042</v>
      </c>
      <c r="P4359" s="17">
        <v>45315</v>
      </c>
      <c r="Q4359" s="4">
        <v>12</v>
      </c>
    </row>
    <row r="4360" spans="1:17" ht="30" x14ac:dyDescent="0.25">
      <c r="A4360" s="2" t="s">
        <v>4362</v>
      </c>
      <c r="B4360" s="3" t="s">
        <v>5015</v>
      </c>
      <c r="C4360" s="3">
        <v>64</v>
      </c>
      <c r="D4360" s="46" t="str">
        <f>IF(Tabla1[[#This Row],[EDAD]]&lt;=35,"Adultos jóvenes 18 - 35 años",IF(C4360&gt;=36,"Adultos mayores 36 años en adelante"))</f>
        <v>Adultos mayores 36 años en adelante</v>
      </c>
      <c r="E4360" s="3" t="s">
        <v>5023</v>
      </c>
      <c r="F4360" s="3" t="s">
        <v>5029</v>
      </c>
      <c r="G4360" s="3" t="s">
        <v>5037</v>
      </c>
      <c r="H4360" s="3" t="s">
        <v>9385</v>
      </c>
      <c r="I4360" s="17">
        <v>45514</v>
      </c>
      <c r="J4360" s="18">
        <f>YEAR(Tabla1[[#This Row],[FECHA DE COMPRA]])</f>
        <v>2024</v>
      </c>
      <c r="K4360" s="19">
        <v>101.51</v>
      </c>
      <c r="L4360" s="20">
        <v>0</v>
      </c>
      <c r="M4360" s="19">
        <f>Tienda!$K2573-Tienda!$K2573*Tienda!$L2573</f>
        <v>39.850999999999999</v>
      </c>
      <c r="N4360" s="3" t="s">
        <v>10038</v>
      </c>
      <c r="O4360" s="3" t="s">
        <v>10042</v>
      </c>
      <c r="P4360" s="17">
        <v>45514</v>
      </c>
      <c r="Q4360" s="4">
        <v>9</v>
      </c>
    </row>
    <row r="4361" spans="1:17" ht="30" x14ac:dyDescent="0.25">
      <c r="A4361" s="2" t="s">
        <v>2261</v>
      </c>
      <c r="B4361" s="3" t="s">
        <v>5015</v>
      </c>
      <c r="C4361" s="3">
        <v>39</v>
      </c>
      <c r="D4361" s="46" t="str">
        <f>IF(Tabla1[[#This Row],[EDAD]]&lt;=35,"Adultos jóvenes 18 - 35 años",IF(C4361&gt;=36,"Adultos mayores 36 años en adelante"))</f>
        <v>Adultos mayores 36 años en adelante</v>
      </c>
      <c r="E4361" s="3" t="s">
        <v>5018</v>
      </c>
      <c r="F4361" s="3" t="s">
        <v>5026</v>
      </c>
      <c r="G4361" s="3" t="s">
        <v>5037</v>
      </c>
      <c r="H4361" s="3" t="s">
        <v>7284</v>
      </c>
      <c r="I4361" s="17">
        <v>45649</v>
      </c>
      <c r="J4361" s="18">
        <f>YEAR(Tabla1[[#This Row],[FECHA DE COMPRA]])</f>
        <v>2024</v>
      </c>
      <c r="K4361" s="19">
        <v>127.76</v>
      </c>
      <c r="L4361" s="20">
        <v>0.2</v>
      </c>
      <c r="M4361" s="19">
        <f>Tienda!$K2581-Tienda!$K2581*Tienda!$L2581</f>
        <v>86.58</v>
      </c>
      <c r="N4361" s="3" t="s">
        <v>10038</v>
      </c>
      <c r="O4361" s="3" t="s">
        <v>10042</v>
      </c>
      <c r="P4361" s="17">
        <v>45562</v>
      </c>
      <c r="Q4361" s="4">
        <v>9</v>
      </c>
    </row>
    <row r="4362" spans="1:17" ht="30" x14ac:dyDescent="0.25">
      <c r="A4362" s="2" t="s">
        <v>4805</v>
      </c>
      <c r="B4362" s="3" t="s">
        <v>5015</v>
      </c>
      <c r="C4362" s="3">
        <v>49</v>
      </c>
      <c r="D4362" s="46" t="str">
        <f>IF(Tabla1[[#This Row],[EDAD]]&lt;=35,"Adultos jóvenes 18 - 35 años",IF(C4362&gt;=36,"Adultos mayores 36 años en adelante"))</f>
        <v>Adultos mayores 36 años en adelante</v>
      </c>
      <c r="E4362" s="3" t="s">
        <v>5021</v>
      </c>
      <c r="F4362" s="3" t="s">
        <v>5025</v>
      </c>
      <c r="G4362" s="3" t="s">
        <v>5031</v>
      </c>
      <c r="H4362" s="3" t="s">
        <v>9828</v>
      </c>
      <c r="I4362" s="17">
        <v>45308</v>
      </c>
      <c r="J4362" s="18">
        <f>YEAR(Tabla1[[#This Row],[FECHA DE COMPRA]])</f>
        <v>2024</v>
      </c>
      <c r="K4362" s="19">
        <v>146.61000000000001</v>
      </c>
      <c r="L4362" s="20">
        <v>0.3</v>
      </c>
      <c r="M4362" s="19">
        <f>Tienda!$K2587-Tienda!$K2587*Tienda!$L2587</f>
        <v>116.70299999999999</v>
      </c>
      <c r="N4362" s="3" t="s">
        <v>10038</v>
      </c>
      <c r="O4362" s="3" t="s">
        <v>10042</v>
      </c>
      <c r="P4362" s="17">
        <v>45398</v>
      </c>
      <c r="Q4362" s="4">
        <v>3</v>
      </c>
    </row>
    <row r="4363" spans="1:17" ht="30" x14ac:dyDescent="0.25">
      <c r="A4363" s="2" t="s">
        <v>3076</v>
      </c>
      <c r="B4363" s="3" t="s">
        <v>5016</v>
      </c>
      <c r="C4363" s="3">
        <v>50</v>
      </c>
      <c r="D4363" s="46" t="str">
        <f>IF(Tabla1[[#This Row],[EDAD]]&lt;=35,"Adultos jóvenes 18 - 35 años",IF(C4363&gt;=36,"Adultos mayores 36 años en adelante"))</f>
        <v>Adultos mayores 36 años en adelante</v>
      </c>
      <c r="E4363" s="3" t="s">
        <v>5017</v>
      </c>
      <c r="F4363" s="3" t="s">
        <v>5024</v>
      </c>
      <c r="G4363" s="3" t="s">
        <v>5034</v>
      </c>
      <c r="H4363" s="3" t="s">
        <v>8099</v>
      </c>
      <c r="I4363" s="17">
        <v>45535</v>
      </c>
      <c r="J4363" s="18">
        <f>YEAR(Tabla1[[#This Row],[FECHA DE COMPRA]])</f>
        <v>2024</v>
      </c>
      <c r="K4363" s="19">
        <v>102.64</v>
      </c>
      <c r="L4363" s="20">
        <v>0</v>
      </c>
      <c r="M4363" s="19">
        <f>Tienda!$K2588-Tienda!$K2588*Tienda!$L2588</f>
        <v>120.75299999999999</v>
      </c>
      <c r="N4363" s="3" t="s">
        <v>10038</v>
      </c>
      <c r="O4363" s="3" t="s">
        <v>10042</v>
      </c>
      <c r="P4363" s="17">
        <v>45535</v>
      </c>
      <c r="Q4363" s="4">
        <v>9</v>
      </c>
    </row>
    <row r="4364" spans="1:17" ht="30" x14ac:dyDescent="0.25">
      <c r="A4364" s="2" t="s">
        <v>1706</v>
      </c>
      <c r="B4364" s="3" t="s">
        <v>5015</v>
      </c>
      <c r="C4364" s="3">
        <v>48</v>
      </c>
      <c r="D4364" s="46" t="str">
        <f>IF(Tabla1[[#This Row],[EDAD]]&lt;=35,"Adultos jóvenes 18 - 35 años",IF(C4364&gt;=36,"Adultos mayores 36 años en adelante"))</f>
        <v>Adultos mayores 36 años en adelante</v>
      </c>
      <c r="E4364" s="3" t="s">
        <v>5019</v>
      </c>
      <c r="F4364" s="3" t="s">
        <v>5030</v>
      </c>
      <c r="G4364" s="3" t="s">
        <v>5034</v>
      </c>
      <c r="H4364" s="3" t="s">
        <v>6729</v>
      </c>
      <c r="I4364" s="17">
        <v>45649</v>
      </c>
      <c r="J4364" s="18">
        <f>YEAR(Tabla1[[#This Row],[FECHA DE COMPRA]])</f>
        <v>2024</v>
      </c>
      <c r="K4364" s="19">
        <v>147.91999999999999</v>
      </c>
      <c r="L4364" s="20">
        <v>0.3</v>
      </c>
      <c r="M4364" s="19">
        <f>Tienda!$K2591-Tienda!$K2591*Tienda!$L2591</f>
        <v>115.328</v>
      </c>
      <c r="N4364" s="3" t="s">
        <v>10038</v>
      </c>
      <c r="O4364" s="3" t="s">
        <v>10042</v>
      </c>
      <c r="P4364" s="17">
        <v>45475</v>
      </c>
      <c r="Q4364" s="4">
        <v>6</v>
      </c>
    </row>
    <row r="4365" spans="1:17" ht="30" x14ac:dyDescent="0.25">
      <c r="A4365" s="2" t="s">
        <v>1941</v>
      </c>
      <c r="B4365" s="3" t="s">
        <v>5015</v>
      </c>
      <c r="C4365" s="3">
        <v>51</v>
      </c>
      <c r="D4365" s="46" t="str">
        <f>IF(Tabla1[[#This Row],[EDAD]]&lt;=35,"Adultos jóvenes 18 - 35 años",IF(C4365&gt;=36,"Adultos mayores 36 años en adelante"))</f>
        <v>Adultos mayores 36 años en adelante</v>
      </c>
      <c r="E4365" s="3" t="s">
        <v>5020</v>
      </c>
      <c r="F4365" s="3" t="s">
        <v>5025</v>
      </c>
      <c r="G4365" s="3" t="s">
        <v>5033</v>
      </c>
      <c r="H4365" s="3" t="s">
        <v>6964</v>
      </c>
      <c r="I4365" s="17">
        <v>45506</v>
      </c>
      <c r="J4365" s="18">
        <f>YEAR(Tabla1[[#This Row],[FECHA DE COMPRA]])</f>
        <v>2024</v>
      </c>
      <c r="K4365" s="19">
        <v>148.18</v>
      </c>
      <c r="L4365" s="20">
        <v>0.3</v>
      </c>
      <c r="M4365" s="19">
        <f>Tienda!$K2592-Tienda!$K2592*Tienda!$L2592</f>
        <v>117.72</v>
      </c>
      <c r="N4365" s="3" t="s">
        <v>10038</v>
      </c>
      <c r="O4365" s="3" t="s">
        <v>10042</v>
      </c>
      <c r="P4365" s="17">
        <v>45866</v>
      </c>
      <c r="Q4365" s="4">
        <v>12</v>
      </c>
    </row>
    <row r="4366" spans="1:17" ht="30" x14ac:dyDescent="0.25">
      <c r="A4366" s="2" t="s">
        <v>2562</v>
      </c>
      <c r="B4366" s="3" t="s">
        <v>5015</v>
      </c>
      <c r="C4366" s="3">
        <v>60</v>
      </c>
      <c r="D4366" s="46" t="str">
        <f>IF(Tabla1[[#This Row],[EDAD]]&lt;=35,"Adultos jóvenes 18 - 35 años",IF(C4366&gt;=36,"Adultos mayores 36 años en adelante"))</f>
        <v>Adultos mayores 36 años en adelante</v>
      </c>
      <c r="E4366" s="3" t="s">
        <v>5022</v>
      </c>
      <c r="F4366" s="3" t="s">
        <v>5026</v>
      </c>
      <c r="G4366" s="3" t="s">
        <v>5037</v>
      </c>
      <c r="H4366" s="3" t="s">
        <v>7585</v>
      </c>
      <c r="I4366" s="17">
        <v>45376</v>
      </c>
      <c r="J4366" s="18">
        <f>YEAR(Tabla1[[#This Row],[FECHA DE COMPRA]])</f>
        <v>2024</v>
      </c>
      <c r="K4366" s="19">
        <v>104.4</v>
      </c>
      <c r="L4366" s="20">
        <v>0</v>
      </c>
      <c r="M4366" s="19">
        <f>Tienda!$K2597-Tienda!$K2597*Tienda!$L2597</f>
        <v>114.71600000000001</v>
      </c>
      <c r="N4366" s="3" t="s">
        <v>10038</v>
      </c>
      <c r="O4366" s="3" t="s">
        <v>10042</v>
      </c>
      <c r="P4366" s="17">
        <v>45376</v>
      </c>
      <c r="Q4366" s="4">
        <v>9</v>
      </c>
    </row>
    <row r="4367" spans="1:17" ht="30" x14ac:dyDescent="0.25">
      <c r="A4367" s="2" t="s">
        <v>3642</v>
      </c>
      <c r="B4367" s="3" t="s">
        <v>5015</v>
      </c>
      <c r="C4367" s="3">
        <v>56</v>
      </c>
      <c r="D4367" s="46" t="str">
        <f>IF(Tabla1[[#This Row],[EDAD]]&lt;=35,"Adultos jóvenes 18 - 35 años",IF(C4367&gt;=36,"Adultos mayores 36 años en adelante"))</f>
        <v>Adultos mayores 36 años en adelante</v>
      </c>
      <c r="E4367" s="3" t="s">
        <v>5020</v>
      </c>
      <c r="F4367" s="3" t="s">
        <v>5029</v>
      </c>
      <c r="G4367" s="3" t="s">
        <v>5034</v>
      </c>
      <c r="H4367" s="3" t="s">
        <v>8665</v>
      </c>
      <c r="I4367" s="17">
        <v>45396</v>
      </c>
      <c r="J4367" s="18">
        <f>YEAR(Tabla1[[#This Row],[FECHA DE COMPRA]])</f>
        <v>2024</v>
      </c>
      <c r="K4367" s="19">
        <v>130.6</v>
      </c>
      <c r="L4367" s="20">
        <v>0.2</v>
      </c>
      <c r="M4367" s="19">
        <f>Tienda!$K2598-Tienda!$K2598*Tienda!$L2598</f>
        <v>122.437</v>
      </c>
      <c r="N4367" s="3" t="s">
        <v>10038</v>
      </c>
      <c r="O4367" s="3" t="s">
        <v>10042</v>
      </c>
      <c r="P4367" s="17">
        <v>45756</v>
      </c>
      <c r="Q4367" s="4">
        <v>12</v>
      </c>
    </row>
    <row r="4368" spans="1:17" ht="30" x14ac:dyDescent="0.25">
      <c r="A4368" s="2" t="s">
        <v>4055</v>
      </c>
      <c r="B4368" s="3" t="s">
        <v>5016</v>
      </c>
      <c r="C4368" s="3">
        <v>39</v>
      </c>
      <c r="D4368" s="46" t="str">
        <f>IF(Tabla1[[#This Row],[EDAD]]&lt;=35,"Adultos jóvenes 18 - 35 años",IF(C4368&gt;=36,"Adultos mayores 36 años en adelante"))</f>
        <v>Adultos mayores 36 años en adelante</v>
      </c>
      <c r="E4368" s="3" t="s">
        <v>5017</v>
      </c>
      <c r="F4368" s="3" t="s">
        <v>5024</v>
      </c>
      <c r="G4368" s="3" t="s">
        <v>5037</v>
      </c>
      <c r="H4368" s="3" t="s">
        <v>9078</v>
      </c>
      <c r="I4368" s="17">
        <v>45598</v>
      </c>
      <c r="J4368" s="18">
        <f>YEAR(Tabla1[[#This Row],[FECHA DE COMPRA]])</f>
        <v>2024</v>
      </c>
      <c r="K4368" s="19">
        <v>105.82</v>
      </c>
      <c r="L4368" s="20">
        <v>0</v>
      </c>
      <c r="M4368" s="19">
        <f>Tienda!$K2603-Tienda!$K2603*Tienda!$L2603</f>
        <v>147.15199999999999</v>
      </c>
      <c r="N4368" s="3" t="s">
        <v>10038</v>
      </c>
      <c r="O4368" s="3" t="s">
        <v>10042</v>
      </c>
      <c r="P4368" s="17">
        <v>45958</v>
      </c>
      <c r="Q4368" s="4">
        <v>12</v>
      </c>
    </row>
    <row r="4369" spans="1:17" ht="30" x14ac:dyDescent="0.25">
      <c r="A4369" s="2" t="s">
        <v>4559</v>
      </c>
      <c r="B4369" s="3" t="s">
        <v>5015</v>
      </c>
      <c r="C4369" s="3">
        <v>55</v>
      </c>
      <c r="D4369" s="46" t="str">
        <f>IF(Tabla1[[#This Row],[EDAD]]&lt;=35,"Adultos jóvenes 18 - 35 años",IF(C4369&gt;=36,"Adultos mayores 36 años en adelante"))</f>
        <v>Adultos mayores 36 años en adelante</v>
      </c>
      <c r="E4369" s="3" t="s">
        <v>5017</v>
      </c>
      <c r="F4369" s="3" t="s">
        <v>5026</v>
      </c>
      <c r="G4369" s="3" t="s">
        <v>5034</v>
      </c>
      <c r="H4369" s="3" t="s">
        <v>9582</v>
      </c>
      <c r="I4369" s="17">
        <v>45347</v>
      </c>
      <c r="J4369" s="18">
        <f>YEAR(Tabla1[[#This Row],[FECHA DE COMPRA]])</f>
        <v>2024</v>
      </c>
      <c r="K4369" s="19">
        <v>151.18</v>
      </c>
      <c r="L4369" s="20">
        <v>0.3</v>
      </c>
      <c r="M4369" s="19">
        <f>Tienda!$K2604-Tienda!$K2604*Tienda!$L2604</f>
        <v>150.91199999999998</v>
      </c>
      <c r="N4369" s="3" t="s">
        <v>10038</v>
      </c>
      <c r="O4369" s="3" t="s">
        <v>10042</v>
      </c>
      <c r="P4369" s="17">
        <v>45347</v>
      </c>
      <c r="Q4369" s="4">
        <v>12</v>
      </c>
    </row>
    <row r="4370" spans="1:17" ht="30" x14ac:dyDescent="0.25">
      <c r="A4370" s="2" t="s">
        <v>4167</v>
      </c>
      <c r="B4370" s="3" t="s">
        <v>5015</v>
      </c>
      <c r="C4370" s="3">
        <v>61</v>
      </c>
      <c r="D4370" s="46" t="str">
        <f>IF(Tabla1[[#This Row],[EDAD]]&lt;=35,"Adultos jóvenes 18 - 35 años",IF(C4370&gt;=36,"Adultos mayores 36 años en adelante"))</f>
        <v>Adultos mayores 36 años en adelante</v>
      </c>
      <c r="E4370" s="3" t="s">
        <v>5022</v>
      </c>
      <c r="F4370" s="3" t="s">
        <v>5024</v>
      </c>
      <c r="G4370" s="3" t="s">
        <v>5034</v>
      </c>
      <c r="H4370" s="3" t="s">
        <v>9190</v>
      </c>
      <c r="I4370" s="17">
        <v>45507</v>
      </c>
      <c r="J4370" s="18">
        <f>YEAR(Tabla1[[#This Row],[FECHA DE COMPRA]])</f>
        <v>2024</v>
      </c>
      <c r="K4370" s="19">
        <v>118.36</v>
      </c>
      <c r="L4370" s="20">
        <v>0.1</v>
      </c>
      <c r="M4370" s="19">
        <f>Tienda!$K2612-Tienda!$K2612*Tienda!$L2612</f>
        <v>17.402000000000001</v>
      </c>
      <c r="N4370" s="3" t="s">
        <v>10038</v>
      </c>
      <c r="O4370" s="3" t="s">
        <v>10042</v>
      </c>
      <c r="P4370" s="17">
        <v>45597</v>
      </c>
      <c r="Q4370" s="4">
        <v>3</v>
      </c>
    </row>
    <row r="4371" spans="1:17" ht="30" x14ac:dyDescent="0.25">
      <c r="A4371" s="2" t="s">
        <v>3505</v>
      </c>
      <c r="B4371" s="3" t="s">
        <v>5016</v>
      </c>
      <c r="C4371" s="3">
        <v>61</v>
      </c>
      <c r="D4371" s="46" t="str">
        <f>IF(Tabla1[[#This Row],[EDAD]]&lt;=35,"Adultos jóvenes 18 - 35 años",IF(C4371&gt;=36,"Adultos mayores 36 años en adelante"))</f>
        <v>Adultos mayores 36 años en adelante</v>
      </c>
      <c r="E4371" s="3" t="s">
        <v>5023</v>
      </c>
      <c r="F4371" s="3" t="s">
        <v>5028</v>
      </c>
      <c r="G4371" s="3" t="s">
        <v>5033</v>
      </c>
      <c r="H4371" s="3" t="s">
        <v>8528</v>
      </c>
      <c r="I4371" s="17">
        <v>45334</v>
      </c>
      <c r="J4371" s="18">
        <f>YEAR(Tabla1[[#This Row],[FECHA DE COMPRA]])</f>
        <v>2024</v>
      </c>
      <c r="K4371" s="19">
        <v>152.66</v>
      </c>
      <c r="L4371" s="20">
        <v>0.3</v>
      </c>
      <c r="M4371" s="19">
        <f>Tienda!$K2614-Tienda!$K2614*Tienda!$L2614</f>
        <v>21.791999999999998</v>
      </c>
      <c r="N4371" s="3" t="s">
        <v>10038</v>
      </c>
      <c r="O4371" s="3" t="s">
        <v>10042</v>
      </c>
      <c r="P4371" s="17">
        <v>45424</v>
      </c>
      <c r="Q4371" s="4">
        <v>3</v>
      </c>
    </row>
    <row r="4372" spans="1:17" ht="30" x14ac:dyDescent="0.25">
      <c r="A4372" s="2" t="s">
        <v>2882</v>
      </c>
      <c r="B4372" s="3" t="s">
        <v>5015</v>
      </c>
      <c r="C4372" s="3">
        <v>38</v>
      </c>
      <c r="D4372" s="46" t="str">
        <f>IF(Tabla1[[#This Row],[EDAD]]&lt;=35,"Adultos jóvenes 18 - 35 años",IF(C4372&gt;=36,"Adultos mayores 36 años en adelante"))</f>
        <v>Adultos mayores 36 años en adelante</v>
      </c>
      <c r="E4372" s="3" t="s">
        <v>5022</v>
      </c>
      <c r="F4372" s="3" t="s">
        <v>5027</v>
      </c>
      <c r="G4372" s="3" t="s">
        <v>5034</v>
      </c>
      <c r="H4372" s="3" t="s">
        <v>7905</v>
      </c>
      <c r="I4372" s="17">
        <v>45649</v>
      </c>
      <c r="J4372" s="18">
        <f>YEAR(Tabla1[[#This Row],[FECHA DE COMPRA]])</f>
        <v>2024</v>
      </c>
      <c r="K4372" s="19">
        <v>152.81</v>
      </c>
      <c r="L4372" s="20">
        <v>0.3</v>
      </c>
      <c r="M4372" s="19">
        <f>Tienda!$K2616-Tienda!$K2616*Tienda!$L2616</f>
        <v>27.448</v>
      </c>
      <c r="N4372" s="3" t="s">
        <v>10038</v>
      </c>
      <c r="O4372" s="3" t="s">
        <v>10042</v>
      </c>
      <c r="P4372" s="17">
        <v>45393</v>
      </c>
      <c r="Q4372" s="4">
        <v>3</v>
      </c>
    </row>
    <row r="4373" spans="1:17" ht="30" x14ac:dyDescent="0.25">
      <c r="A4373" s="2" t="s">
        <v>938</v>
      </c>
      <c r="B4373" s="3" t="s">
        <v>5016</v>
      </c>
      <c r="C4373" s="3">
        <v>53</v>
      </c>
      <c r="D4373" s="46" t="str">
        <f>IF(Tabla1[[#This Row],[EDAD]]&lt;=35,"Adultos jóvenes 18 - 35 años",IF(C4373&gt;=36,"Adultos mayores 36 años en adelante"))</f>
        <v>Adultos mayores 36 años en adelante</v>
      </c>
      <c r="E4373" s="3" t="s">
        <v>5023</v>
      </c>
      <c r="F4373" s="3" t="s">
        <v>5027</v>
      </c>
      <c r="G4373" s="3" t="s">
        <v>5035</v>
      </c>
      <c r="H4373" s="3" t="s">
        <v>5961</v>
      </c>
      <c r="I4373" s="17">
        <v>45312</v>
      </c>
      <c r="J4373" s="18">
        <f>YEAR(Tabla1[[#This Row],[FECHA DE COMPRA]])</f>
        <v>2024</v>
      </c>
      <c r="K4373" s="19">
        <v>134.16999999999999</v>
      </c>
      <c r="L4373" s="20">
        <v>0.2</v>
      </c>
      <c r="M4373" s="19">
        <f>Tienda!$K2620-Tienda!$K2620*Tienda!$L2620</f>
        <v>35.882999999999996</v>
      </c>
      <c r="N4373" s="3" t="s">
        <v>10038</v>
      </c>
      <c r="O4373" s="3" t="s">
        <v>10042</v>
      </c>
      <c r="P4373" s="17">
        <v>45312</v>
      </c>
      <c r="Q4373" s="4">
        <v>9</v>
      </c>
    </row>
    <row r="4374" spans="1:17" ht="30" x14ac:dyDescent="0.25">
      <c r="A4374" s="2" t="s">
        <v>4960</v>
      </c>
      <c r="B4374" s="3" t="s">
        <v>5016</v>
      </c>
      <c r="C4374" s="3">
        <v>39</v>
      </c>
      <c r="D4374" s="46" t="str">
        <f>IF(Tabla1[[#This Row],[EDAD]]&lt;=35,"Adultos jóvenes 18 - 35 años",IF(C4374&gt;=36,"Adultos mayores 36 años en adelante"))</f>
        <v>Adultos mayores 36 años en adelante</v>
      </c>
      <c r="E4374" s="3" t="s">
        <v>5019</v>
      </c>
      <c r="F4374" s="3" t="s">
        <v>5028</v>
      </c>
      <c r="G4374" s="3" t="s">
        <v>5034</v>
      </c>
      <c r="H4374" s="3" t="s">
        <v>9983</v>
      </c>
      <c r="I4374" s="17">
        <v>45341</v>
      </c>
      <c r="J4374" s="18">
        <f>YEAR(Tabla1[[#This Row],[FECHA DE COMPRA]])</f>
        <v>2024</v>
      </c>
      <c r="K4374" s="19">
        <v>134.38</v>
      </c>
      <c r="L4374" s="20">
        <v>0.2</v>
      </c>
      <c r="M4374" s="19">
        <f>Tienda!$K2621-Tienda!$K2621*Tienda!$L2621</f>
        <v>44.360999999999997</v>
      </c>
      <c r="N4374" s="3" t="s">
        <v>10038</v>
      </c>
      <c r="O4374" s="3" t="s">
        <v>10042</v>
      </c>
      <c r="P4374" s="17">
        <v>45611</v>
      </c>
      <c r="Q4374" s="4">
        <v>9</v>
      </c>
    </row>
    <row r="4375" spans="1:17" ht="30" x14ac:dyDescent="0.25">
      <c r="A4375" s="2" t="s">
        <v>2689</v>
      </c>
      <c r="B4375" s="3" t="s">
        <v>5015</v>
      </c>
      <c r="C4375" s="3">
        <v>63</v>
      </c>
      <c r="D4375" s="46" t="str">
        <f>IF(Tabla1[[#This Row],[EDAD]]&lt;=35,"Adultos jóvenes 18 - 35 años",IF(C4375&gt;=36,"Adultos mayores 36 años en adelante"))</f>
        <v>Adultos mayores 36 años en adelante</v>
      </c>
      <c r="E4375" s="3" t="s">
        <v>5020</v>
      </c>
      <c r="F4375" s="3" t="s">
        <v>5028</v>
      </c>
      <c r="G4375" s="3" t="s">
        <v>5035</v>
      </c>
      <c r="H4375" s="3" t="s">
        <v>7712</v>
      </c>
      <c r="I4375" s="17">
        <v>45350</v>
      </c>
      <c r="J4375" s="18">
        <f>YEAR(Tabla1[[#This Row],[FECHA DE COMPRA]])</f>
        <v>2024</v>
      </c>
      <c r="K4375" s="19">
        <v>134.61000000000001</v>
      </c>
      <c r="L4375" s="20">
        <v>0.2</v>
      </c>
      <c r="M4375" s="19">
        <f>Tienda!$K2624-Tienda!$K2624*Tienda!$L2624</f>
        <v>59.53</v>
      </c>
      <c r="N4375" s="3" t="s">
        <v>10038</v>
      </c>
      <c r="O4375" s="3" t="s">
        <v>10042</v>
      </c>
      <c r="P4375" s="17">
        <v>45350</v>
      </c>
      <c r="Q4375" s="4">
        <v>6</v>
      </c>
    </row>
    <row r="4376" spans="1:17" ht="30" x14ac:dyDescent="0.25">
      <c r="A4376" s="2" t="s">
        <v>3908</v>
      </c>
      <c r="B4376" s="3" t="s">
        <v>5015</v>
      </c>
      <c r="C4376" s="3">
        <v>62</v>
      </c>
      <c r="D4376" s="46" t="str">
        <f>IF(Tabla1[[#This Row],[EDAD]]&lt;=35,"Adultos jóvenes 18 - 35 años",IF(C4376&gt;=36,"Adultos mayores 36 años en adelante"))</f>
        <v>Adultos mayores 36 años en adelante</v>
      </c>
      <c r="E4376" s="3" t="s">
        <v>5022</v>
      </c>
      <c r="F4376" s="3" t="s">
        <v>5029</v>
      </c>
      <c r="G4376" s="3" t="s">
        <v>5031</v>
      </c>
      <c r="H4376" s="3" t="s">
        <v>8931</v>
      </c>
      <c r="I4376" s="17">
        <v>45361</v>
      </c>
      <c r="J4376" s="18">
        <f>YEAR(Tabla1[[#This Row],[FECHA DE COMPRA]])</f>
        <v>2024</v>
      </c>
      <c r="K4376" s="19">
        <v>135.03</v>
      </c>
      <c r="L4376" s="20">
        <v>0.2</v>
      </c>
      <c r="M4376" s="19">
        <f>Tienda!$K2628-Tienda!$K2628*Tienda!$L2628</f>
        <v>69.81</v>
      </c>
      <c r="N4376" s="3" t="s">
        <v>10038</v>
      </c>
      <c r="O4376" s="3" t="s">
        <v>10042</v>
      </c>
      <c r="P4376" s="17">
        <v>45631</v>
      </c>
      <c r="Q4376" s="4">
        <v>9</v>
      </c>
    </row>
    <row r="4377" spans="1:17" ht="30" x14ac:dyDescent="0.25">
      <c r="A4377" s="2" t="s">
        <v>3203</v>
      </c>
      <c r="B4377" s="3" t="s">
        <v>5015</v>
      </c>
      <c r="C4377" s="3">
        <v>45</v>
      </c>
      <c r="D4377" s="46" t="str">
        <f>IF(Tabla1[[#This Row],[EDAD]]&lt;=35,"Adultos jóvenes 18 - 35 años",IF(C4377&gt;=36,"Adultos mayores 36 años en adelante"))</f>
        <v>Adultos mayores 36 años en adelante</v>
      </c>
      <c r="E4377" s="3" t="s">
        <v>5022</v>
      </c>
      <c r="F4377" s="3" t="s">
        <v>5030</v>
      </c>
      <c r="G4377" s="3" t="s">
        <v>5034</v>
      </c>
      <c r="H4377" s="3" t="s">
        <v>8226</v>
      </c>
      <c r="I4377" s="17">
        <v>45335</v>
      </c>
      <c r="J4377" s="18">
        <f>YEAR(Tabla1[[#This Row],[FECHA DE COMPRA]])</f>
        <v>2024</v>
      </c>
      <c r="K4377" s="19">
        <v>135.15</v>
      </c>
      <c r="L4377" s="20">
        <v>0.2</v>
      </c>
      <c r="M4377" s="19">
        <f>Tienda!$K2629-Tienda!$K2629*Tienda!$L2629</f>
        <v>76.61</v>
      </c>
      <c r="N4377" s="3" t="s">
        <v>10038</v>
      </c>
      <c r="O4377" s="3" t="s">
        <v>10042</v>
      </c>
      <c r="P4377" s="17">
        <v>45371</v>
      </c>
      <c r="Q4377" s="4">
        <v>9</v>
      </c>
    </row>
    <row r="4378" spans="1:17" ht="30" x14ac:dyDescent="0.25">
      <c r="A4378" s="2" t="s">
        <v>3139</v>
      </c>
      <c r="B4378" s="3" t="s">
        <v>5016</v>
      </c>
      <c r="C4378" s="3">
        <v>56</v>
      </c>
      <c r="D4378" s="46" t="str">
        <f>IF(Tabla1[[#This Row],[EDAD]]&lt;=35,"Adultos jóvenes 18 - 35 años",IF(C4378&gt;=36,"Adultos mayores 36 años en adelante"))</f>
        <v>Adultos mayores 36 años en adelante</v>
      </c>
      <c r="E4378" s="3" t="s">
        <v>5021</v>
      </c>
      <c r="F4378" s="3" t="s">
        <v>5026</v>
      </c>
      <c r="G4378" s="3" t="s">
        <v>5031</v>
      </c>
      <c r="H4378" s="3" t="s">
        <v>8162</v>
      </c>
      <c r="I4378" s="17">
        <v>45634</v>
      </c>
      <c r="J4378" s="18">
        <f>YEAR(Tabla1[[#This Row],[FECHA DE COMPRA]])</f>
        <v>2024</v>
      </c>
      <c r="K4378" s="19">
        <v>135.46</v>
      </c>
      <c r="L4378" s="20">
        <v>0.2</v>
      </c>
      <c r="M4378" s="19">
        <f>Tienda!$K2631-Tienda!$K2631*Tienda!$L2631</f>
        <v>77.540000000000006</v>
      </c>
      <c r="N4378" s="3" t="s">
        <v>10038</v>
      </c>
      <c r="O4378" s="3" t="s">
        <v>10042</v>
      </c>
      <c r="P4378" s="17">
        <v>45456</v>
      </c>
      <c r="Q4378" s="4">
        <v>12</v>
      </c>
    </row>
    <row r="4379" spans="1:17" ht="30" x14ac:dyDescent="0.25">
      <c r="A4379" s="2" t="s">
        <v>1445</v>
      </c>
      <c r="B4379" s="3" t="s">
        <v>5015</v>
      </c>
      <c r="C4379" s="3">
        <v>48</v>
      </c>
      <c r="D4379" s="46" t="str">
        <f>IF(Tabla1[[#This Row],[EDAD]]&lt;=35,"Adultos jóvenes 18 - 35 años",IF(C4379&gt;=36,"Adultos mayores 36 años en adelante"))</f>
        <v>Adultos mayores 36 años en adelante</v>
      </c>
      <c r="E4379" s="3" t="s">
        <v>5020</v>
      </c>
      <c r="F4379" s="3" t="s">
        <v>5030</v>
      </c>
      <c r="G4379" s="3" t="s">
        <v>5031</v>
      </c>
      <c r="H4379" s="3" t="s">
        <v>6468</v>
      </c>
      <c r="I4379" s="17">
        <v>45489</v>
      </c>
      <c r="J4379" s="18">
        <f>YEAR(Tabla1[[#This Row],[FECHA DE COMPRA]])</f>
        <v>2024</v>
      </c>
      <c r="K4379" s="19">
        <v>155.35</v>
      </c>
      <c r="L4379" s="20">
        <v>0.3</v>
      </c>
      <c r="M4379" s="19">
        <f>Tienda!$K2633-Tienda!$K2633*Tienda!$L2633</f>
        <v>64.344000000000008</v>
      </c>
      <c r="N4379" s="3" t="s">
        <v>10038</v>
      </c>
      <c r="O4379" s="3" t="s">
        <v>10042</v>
      </c>
      <c r="P4379" s="17">
        <v>45669</v>
      </c>
      <c r="Q4379" s="4">
        <v>6</v>
      </c>
    </row>
    <row r="4380" spans="1:17" ht="30" x14ac:dyDescent="0.25">
      <c r="A4380" s="2" t="s">
        <v>3294</v>
      </c>
      <c r="B4380" s="3" t="s">
        <v>5015</v>
      </c>
      <c r="C4380" s="3">
        <v>51</v>
      </c>
      <c r="D4380" s="46" t="str">
        <f>IF(Tabla1[[#This Row],[EDAD]]&lt;=35,"Adultos jóvenes 18 - 35 años",IF(C4380&gt;=36,"Adultos mayores 36 años en adelante"))</f>
        <v>Adultos mayores 36 años en adelante</v>
      </c>
      <c r="E4380" s="3" t="s">
        <v>5018</v>
      </c>
      <c r="F4380" s="3" t="s">
        <v>5026</v>
      </c>
      <c r="G4380" s="3" t="s">
        <v>5035</v>
      </c>
      <c r="H4380" s="3" t="s">
        <v>8317</v>
      </c>
      <c r="I4380" s="17">
        <v>45362</v>
      </c>
      <c r="J4380" s="18">
        <f>YEAR(Tabla1[[#This Row],[FECHA DE COMPRA]])</f>
        <v>2024</v>
      </c>
      <c r="K4380" s="19">
        <v>121.16</v>
      </c>
      <c r="L4380" s="20">
        <v>0.1</v>
      </c>
      <c r="M4380" s="19">
        <f>Tienda!$K2635-Tienda!$K2635*Tienda!$L2635</f>
        <v>59.227000000000004</v>
      </c>
      <c r="N4380" s="3" t="s">
        <v>10038</v>
      </c>
      <c r="O4380" s="3" t="s">
        <v>10042</v>
      </c>
      <c r="P4380" s="17">
        <v>45632</v>
      </c>
      <c r="Q4380" s="4">
        <v>9</v>
      </c>
    </row>
    <row r="4381" spans="1:17" ht="30" x14ac:dyDescent="0.25">
      <c r="A4381" s="2" t="s">
        <v>2487</v>
      </c>
      <c r="B4381" s="3" t="s">
        <v>5015</v>
      </c>
      <c r="C4381" s="3">
        <v>58</v>
      </c>
      <c r="D4381" s="46" t="str">
        <f>IF(Tabla1[[#This Row],[EDAD]]&lt;=35,"Adultos jóvenes 18 - 35 años",IF(C4381&gt;=36,"Adultos mayores 36 años en adelante"))</f>
        <v>Adultos mayores 36 años en adelante</v>
      </c>
      <c r="E4381" s="3" t="s">
        <v>5020</v>
      </c>
      <c r="F4381" s="3" t="s">
        <v>5028</v>
      </c>
      <c r="G4381" s="3" t="s">
        <v>5034</v>
      </c>
      <c r="H4381" s="3" t="s">
        <v>7510</v>
      </c>
      <c r="I4381" s="17">
        <v>45362</v>
      </c>
      <c r="J4381" s="18">
        <f>YEAR(Tabla1[[#This Row],[FECHA DE COMPRA]])</f>
        <v>2024</v>
      </c>
      <c r="K4381" s="19">
        <v>109.85</v>
      </c>
      <c r="L4381" s="20">
        <v>0</v>
      </c>
      <c r="M4381" s="19">
        <f>Tienda!$K2638-Tienda!$K2638*Tienda!$L2638</f>
        <v>61.466999999999999</v>
      </c>
      <c r="N4381" s="3" t="s">
        <v>10038</v>
      </c>
      <c r="O4381" s="3" t="s">
        <v>10042</v>
      </c>
      <c r="P4381" s="17">
        <v>45362</v>
      </c>
      <c r="Q4381" s="4">
        <v>9</v>
      </c>
    </row>
    <row r="4382" spans="1:17" ht="30" x14ac:dyDescent="0.25">
      <c r="A4382" s="2" t="s">
        <v>4876</v>
      </c>
      <c r="B4382" s="3" t="s">
        <v>5015</v>
      </c>
      <c r="C4382" s="3">
        <v>59</v>
      </c>
      <c r="D4382" s="46" t="str">
        <f>IF(Tabla1[[#This Row],[EDAD]]&lt;=35,"Adultos jóvenes 18 - 35 años",IF(C4382&gt;=36,"Adultos mayores 36 años en adelante"))</f>
        <v>Adultos mayores 36 años en adelante</v>
      </c>
      <c r="E4382" s="3" t="s">
        <v>5018</v>
      </c>
      <c r="F4382" s="3" t="s">
        <v>5030</v>
      </c>
      <c r="G4382" s="3" t="s">
        <v>5034</v>
      </c>
      <c r="H4382" s="3" t="s">
        <v>9899</v>
      </c>
      <c r="I4382" s="17">
        <v>45335</v>
      </c>
      <c r="J4382" s="18">
        <f>YEAR(Tabla1[[#This Row],[FECHA DE COMPRA]])</f>
        <v>2024</v>
      </c>
      <c r="K4382" s="19">
        <v>157.1</v>
      </c>
      <c r="L4382" s="20">
        <v>0.3</v>
      </c>
      <c r="M4382" s="19">
        <f>Tienda!$K2639-Tienda!$K2639*Tienda!$L2639</f>
        <v>62.804000000000002</v>
      </c>
      <c r="N4382" s="3" t="s">
        <v>10038</v>
      </c>
      <c r="O4382" s="3" t="s">
        <v>10042</v>
      </c>
      <c r="P4382" s="17">
        <v>45335</v>
      </c>
      <c r="Q4382" s="4">
        <v>12</v>
      </c>
    </row>
    <row r="4383" spans="1:17" ht="30" x14ac:dyDescent="0.25">
      <c r="A4383" s="2" t="s">
        <v>1207</v>
      </c>
      <c r="B4383" s="3" t="s">
        <v>5016</v>
      </c>
      <c r="C4383" s="3">
        <v>52</v>
      </c>
      <c r="D4383" s="46" t="str">
        <f>IF(Tabla1[[#This Row],[EDAD]]&lt;=35,"Adultos jóvenes 18 - 35 años",IF(C4383&gt;=36,"Adultos mayores 36 años en adelante"))</f>
        <v>Adultos mayores 36 años en adelante</v>
      </c>
      <c r="E4383" s="3" t="s">
        <v>5023</v>
      </c>
      <c r="F4383" s="3" t="s">
        <v>5027</v>
      </c>
      <c r="G4383" s="3" t="s">
        <v>5034</v>
      </c>
      <c r="H4383" s="3" t="s">
        <v>6230</v>
      </c>
      <c r="I4383" s="17">
        <v>45553</v>
      </c>
      <c r="J4383" s="18">
        <f>YEAR(Tabla1[[#This Row],[FECHA DE COMPRA]])</f>
        <v>2024</v>
      </c>
      <c r="K4383" s="19">
        <v>157.15</v>
      </c>
      <c r="L4383" s="20">
        <v>0.3</v>
      </c>
      <c r="M4383" s="19">
        <f>Tienda!$K2640-Tienda!$K2640*Tienda!$L2640</f>
        <v>73.048000000000002</v>
      </c>
      <c r="N4383" s="3" t="s">
        <v>10038</v>
      </c>
      <c r="O4383" s="3" t="s">
        <v>10042</v>
      </c>
      <c r="P4383" s="17">
        <v>45553</v>
      </c>
      <c r="Q4383" s="4">
        <v>3</v>
      </c>
    </row>
    <row r="4384" spans="1:17" ht="30" x14ac:dyDescent="0.25">
      <c r="A4384" s="2" t="s">
        <v>1607</v>
      </c>
      <c r="B4384" s="3" t="s">
        <v>5016</v>
      </c>
      <c r="C4384" s="3">
        <v>54</v>
      </c>
      <c r="D4384" s="46" t="str">
        <f>IF(Tabla1[[#This Row],[EDAD]]&lt;=35,"Adultos jóvenes 18 - 35 años",IF(C4384&gt;=36,"Adultos mayores 36 años en adelante"))</f>
        <v>Adultos mayores 36 años en adelante</v>
      </c>
      <c r="E4384" s="3" t="s">
        <v>5023</v>
      </c>
      <c r="F4384" s="3" t="s">
        <v>5028</v>
      </c>
      <c r="G4384" s="3" t="s">
        <v>5034</v>
      </c>
      <c r="H4384" s="3" t="s">
        <v>6630</v>
      </c>
      <c r="I4384" s="17">
        <v>45649</v>
      </c>
      <c r="J4384" s="18">
        <f>YEAR(Tabla1[[#This Row],[FECHA DE COMPRA]])</f>
        <v>2024</v>
      </c>
      <c r="K4384" s="19">
        <v>137.84</v>
      </c>
      <c r="L4384" s="20">
        <v>0.2</v>
      </c>
      <c r="M4384" s="19">
        <f>Tienda!$K2641-Tienda!$K2641*Tienda!$L2641</f>
        <v>92.28</v>
      </c>
      <c r="N4384" s="3" t="s">
        <v>10038</v>
      </c>
      <c r="O4384" s="3" t="s">
        <v>10042</v>
      </c>
      <c r="P4384" s="17">
        <v>45477</v>
      </c>
      <c r="Q4384" s="4">
        <v>6</v>
      </c>
    </row>
    <row r="4385" spans="1:17" ht="30" x14ac:dyDescent="0.25">
      <c r="A4385" s="2" t="s">
        <v>135</v>
      </c>
      <c r="B4385" s="3" t="s">
        <v>5015</v>
      </c>
      <c r="C4385" s="3">
        <v>37</v>
      </c>
      <c r="D4385" s="46" t="str">
        <f>IF(Tabla1[[#This Row],[EDAD]]&lt;=35,"Adultos jóvenes 18 - 35 años",IF(C4385&gt;=36,"Adultos mayores 36 años en adelante"))</f>
        <v>Adultos mayores 36 años en adelante</v>
      </c>
      <c r="E4385" s="3" t="s">
        <v>5023</v>
      </c>
      <c r="F4385" s="3" t="s">
        <v>5026</v>
      </c>
      <c r="G4385" s="3" t="s">
        <v>5032</v>
      </c>
      <c r="H4385" s="3" t="s">
        <v>5158</v>
      </c>
      <c r="I4385" s="17">
        <v>45336</v>
      </c>
      <c r="J4385" s="18">
        <f>YEAR(Tabla1[[#This Row],[FECHA DE COMPRA]])</f>
        <v>2024</v>
      </c>
      <c r="K4385" s="19">
        <v>122.79</v>
      </c>
      <c r="L4385" s="20">
        <v>0.1</v>
      </c>
      <c r="M4385" s="19">
        <f>Tienda!$K2643-Tienda!$K2643*Tienda!$L2643</f>
        <v>67.192999999999998</v>
      </c>
      <c r="N4385" s="3" t="s">
        <v>10038</v>
      </c>
      <c r="O4385" s="3" t="s">
        <v>10042</v>
      </c>
      <c r="P4385" s="17">
        <v>45606</v>
      </c>
      <c r="Q4385" s="4">
        <v>9</v>
      </c>
    </row>
    <row r="4386" spans="1:17" ht="30" x14ac:dyDescent="0.25">
      <c r="A4386" s="2" t="s">
        <v>730</v>
      </c>
      <c r="B4386" s="3" t="s">
        <v>5015</v>
      </c>
      <c r="C4386" s="3">
        <v>56</v>
      </c>
      <c r="D4386" s="46" t="str">
        <f>IF(Tabla1[[#This Row],[EDAD]]&lt;=35,"Adultos jóvenes 18 - 35 años",IF(C4386&gt;=36,"Adultos mayores 36 años en adelante"))</f>
        <v>Adultos mayores 36 años en adelante</v>
      </c>
      <c r="E4386" s="3" t="s">
        <v>5018</v>
      </c>
      <c r="F4386" s="3" t="s">
        <v>5026</v>
      </c>
      <c r="G4386" s="3" t="s">
        <v>5031</v>
      </c>
      <c r="H4386" s="3" t="s">
        <v>5753</v>
      </c>
      <c r="I4386" s="17">
        <v>45360</v>
      </c>
      <c r="J4386" s="18">
        <f>YEAR(Tabla1[[#This Row],[FECHA DE COMPRA]])</f>
        <v>2024</v>
      </c>
      <c r="K4386" s="19">
        <v>138.41</v>
      </c>
      <c r="L4386" s="20">
        <v>0.2</v>
      </c>
      <c r="M4386" s="19">
        <f>Tienda!$K2644-Tienda!$K2644*Tienda!$L2644</f>
        <v>86.625</v>
      </c>
      <c r="N4386" s="3" t="s">
        <v>10038</v>
      </c>
      <c r="O4386" s="3" t="s">
        <v>10042</v>
      </c>
      <c r="P4386" s="17">
        <v>45450</v>
      </c>
      <c r="Q4386" s="4">
        <v>3</v>
      </c>
    </row>
    <row r="4387" spans="1:17" ht="30" x14ac:dyDescent="0.25">
      <c r="A4387" s="2" t="s">
        <v>1240</v>
      </c>
      <c r="B4387" s="3" t="s">
        <v>5015</v>
      </c>
      <c r="C4387" s="3">
        <v>51</v>
      </c>
      <c r="D4387" s="46" t="str">
        <f>IF(Tabla1[[#This Row],[EDAD]]&lt;=35,"Adultos jóvenes 18 - 35 años",IF(C4387&gt;=36,"Adultos mayores 36 años en adelante"))</f>
        <v>Adultos mayores 36 años en adelante</v>
      </c>
      <c r="E4387" s="3" t="s">
        <v>5023</v>
      </c>
      <c r="F4387" s="3" t="s">
        <v>5029</v>
      </c>
      <c r="G4387" s="3" t="s">
        <v>5036</v>
      </c>
      <c r="H4387" s="3" t="s">
        <v>6263</v>
      </c>
      <c r="I4387" s="17">
        <v>45423</v>
      </c>
      <c r="J4387" s="18">
        <f>YEAR(Tabla1[[#This Row],[FECHA DE COMPRA]])</f>
        <v>2024</v>
      </c>
      <c r="K4387" s="19">
        <v>158.27000000000001</v>
      </c>
      <c r="L4387" s="20">
        <v>0.3</v>
      </c>
      <c r="M4387" s="19">
        <f>Tienda!$K2646-Tienda!$K2646*Tienda!$L2646</f>
        <v>80.597999999999999</v>
      </c>
      <c r="N4387" s="3" t="s">
        <v>10038</v>
      </c>
      <c r="O4387" s="3" t="s">
        <v>10042</v>
      </c>
      <c r="P4387" s="17">
        <v>45693</v>
      </c>
      <c r="Q4387" s="4">
        <v>9</v>
      </c>
    </row>
    <row r="4388" spans="1:17" ht="30" x14ac:dyDescent="0.25">
      <c r="A4388" s="2" t="s">
        <v>666</v>
      </c>
      <c r="B4388" s="3" t="s">
        <v>5015</v>
      </c>
      <c r="C4388" s="3">
        <v>43</v>
      </c>
      <c r="D4388" s="46" t="str">
        <f>IF(Tabla1[[#This Row],[EDAD]]&lt;=35,"Adultos jóvenes 18 - 35 años",IF(C4388&gt;=36,"Adultos mayores 36 años en adelante"))</f>
        <v>Adultos mayores 36 años en adelante</v>
      </c>
      <c r="E4388" s="3" t="s">
        <v>5022</v>
      </c>
      <c r="F4388" s="3" t="s">
        <v>5025</v>
      </c>
      <c r="G4388" s="3" t="s">
        <v>5032</v>
      </c>
      <c r="H4388" s="3" t="s">
        <v>5689</v>
      </c>
      <c r="I4388" s="17">
        <v>45534</v>
      </c>
      <c r="J4388" s="18">
        <f>YEAR(Tabla1[[#This Row],[FECHA DE COMPRA]])</f>
        <v>2024</v>
      </c>
      <c r="K4388" s="19">
        <v>123.17</v>
      </c>
      <c r="L4388" s="20">
        <v>0.1</v>
      </c>
      <c r="M4388" s="19">
        <f>Tienda!$K2647-Tienda!$K2647*Tienda!$L2647</f>
        <v>84.371000000000009</v>
      </c>
      <c r="N4388" s="3" t="s">
        <v>10038</v>
      </c>
      <c r="O4388" s="3" t="s">
        <v>10042</v>
      </c>
      <c r="P4388" s="17">
        <v>45534</v>
      </c>
      <c r="Q4388" s="4">
        <v>9</v>
      </c>
    </row>
    <row r="4389" spans="1:17" ht="30" x14ac:dyDescent="0.25">
      <c r="A4389" s="2" t="s">
        <v>4426</v>
      </c>
      <c r="B4389" s="3" t="s">
        <v>5015</v>
      </c>
      <c r="C4389" s="3">
        <v>43</v>
      </c>
      <c r="D4389" s="46" t="str">
        <f>IF(Tabla1[[#This Row],[EDAD]]&lt;=35,"Adultos jóvenes 18 - 35 años",IF(C4389&gt;=36,"Adultos mayores 36 años en adelante"))</f>
        <v>Adultos mayores 36 años en adelante</v>
      </c>
      <c r="E4389" s="3" t="s">
        <v>5018</v>
      </c>
      <c r="F4389" s="3" t="s">
        <v>5028</v>
      </c>
      <c r="G4389" s="3" t="s">
        <v>5034</v>
      </c>
      <c r="H4389" s="3" t="s">
        <v>9449</v>
      </c>
      <c r="I4389" s="17">
        <v>45335</v>
      </c>
      <c r="J4389" s="18">
        <f>YEAR(Tabla1[[#This Row],[FECHA DE COMPRA]])</f>
        <v>2024</v>
      </c>
      <c r="K4389" s="19">
        <v>138.58000000000001</v>
      </c>
      <c r="L4389" s="20">
        <v>0.2</v>
      </c>
      <c r="M4389" s="19">
        <f>Tienda!$K2648-Tienda!$K2648*Tienda!$L2648</f>
        <v>120.76</v>
      </c>
      <c r="N4389" s="3" t="s">
        <v>10038</v>
      </c>
      <c r="O4389" s="3" t="s">
        <v>10042</v>
      </c>
      <c r="P4389" s="17">
        <v>45605</v>
      </c>
      <c r="Q4389" s="4">
        <v>9</v>
      </c>
    </row>
    <row r="4390" spans="1:17" ht="30" x14ac:dyDescent="0.25">
      <c r="A4390" s="2" t="s">
        <v>2202</v>
      </c>
      <c r="B4390" s="3" t="s">
        <v>5016</v>
      </c>
      <c r="C4390" s="3">
        <v>39</v>
      </c>
      <c r="D4390" s="46" t="str">
        <f>IF(Tabla1[[#This Row],[EDAD]]&lt;=35,"Adultos jóvenes 18 - 35 años",IF(C4390&gt;=36,"Adultos mayores 36 años en adelante"))</f>
        <v>Adultos mayores 36 años en adelante</v>
      </c>
      <c r="E4390" s="3" t="s">
        <v>5019</v>
      </c>
      <c r="F4390" s="3" t="s">
        <v>5028</v>
      </c>
      <c r="G4390" s="3" t="s">
        <v>5036</v>
      </c>
      <c r="H4390" s="3" t="s">
        <v>7225</v>
      </c>
      <c r="I4390" s="17">
        <v>45547</v>
      </c>
      <c r="J4390" s="18">
        <f>YEAR(Tabla1[[#This Row],[FECHA DE COMPRA]])</f>
        <v>2024</v>
      </c>
      <c r="K4390" s="19">
        <v>158.49</v>
      </c>
      <c r="L4390" s="20">
        <v>0.3</v>
      </c>
      <c r="M4390" s="19">
        <f>Tienda!$K2649-Tienda!$K2649*Tienda!$L2649</f>
        <v>123.44</v>
      </c>
      <c r="N4390" s="3" t="s">
        <v>10038</v>
      </c>
      <c r="O4390" s="3" t="s">
        <v>10042</v>
      </c>
      <c r="P4390" s="17">
        <v>45907</v>
      </c>
      <c r="Q4390" s="4">
        <v>12</v>
      </c>
    </row>
    <row r="4391" spans="1:17" ht="30" x14ac:dyDescent="0.25">
      <c r="A4391" s="2" t="s">
        <v>91</v>
      </c>
      <c r="B4391" s="3" t="s">
        <v>5015</v>
      </c>
      <c r="C4391" s="3">
        <v>46</v>
      </c>
      <c r="D4391" s="46" t="str">
        <f>IF(Tabla1[[#This Row],[EDAD]]&lt;=35,"Adultos jóvenes 18 - 35 años",IF(C4391&gt;=36,"Adultos mayores 36 años en adelante"))</f>
        <v>Adultos mayores 36 años en adelante</v>
      </c>
      <c r="E4391" s="3" t="s">
        <v>5021</v>
      </c>
      <c r="F4391" s="3" t="s">
        <v>5030</v>
      </c>
      <c r="G4391" s="3" t="s">
        <v>5031</v>
      </c>
      <c r="H4391" s="3" t="s">
        <v>5114</v>
      </c>
      <c r="I4391" s="17">
        <v>45560</v>
      </c>
      <c r="J4391" s="18">
        <f>YEAR(Tabla1[[#This Row],[FECHA DE COMPRA]])</f>
        <v>2024</v>
      </c>
      <c r="K4391" s="19">
        <v>138.85</v>
      </c>
      <c r="L4391" s="20">
        <v>0.2</v>
      </c>
      <c r="M4391" s="19">
        <f>Tienda!$K2652-Tienda!$K2652*Tienda!$L2652</f>
        <v>131.97</v>
      </c>
      <c r="N4391" s="3" t="s">
        <v>10038</v>
      </c>
      <c r="O4391" s="3" t="s">
        <v>10042</v>
      </c>
      <c r="P4391" s="17">
        <v>45740</v>
      </c>
      <c r="Q4391" s="4">
        <v>6</v>
      </c>
    </row>
    <row r="4392" spans="1:17" ht="30" x14ac:dyDescent="0.25">
      <c r="A4392" s="2" t="s">
        <v>3784</v>
      </c>
      <c r="B4392" s="3" t="s">
        <v>5015</v>
      </c>
      <c r="C4392" s="3">
        <v>41</v>
      </c>
      <c r="D4392" s="46" t="str">
        <f>IF(Tabla1[[#This Row],[EDAD]]&lt;=35,"Adultos jóvenes 18 - 35 años",IF(C4392&gt;=36,"Adultos mayores 36 años en adelante"))</f>
        <v>Adultos mayores 36 años en adelante</v>
      </c>
      <c r="E4392" s="3" t="s">
        <v>5020</v>
      </c>
      <c r="F4392" s="3" t="s">
        <v>5030</v>
      </c>
      <c r="G4392" s="3" t="s">
        <v>5037</v>
      </c>
      <c r="H4392" s="3" t="s">
        <v>8807</v>
      </c>
      <c r="I4392" s="17">
        <v>45635</v>
      </c>
      <c r="J4392" s="18">
        <f>YEAR(Tabla1[[#This Row],[FECHA DE COMPRA]])</f>
        <v>2024</v>
      </c>
      <c r="K4392" s="19">
        <v>138.88999999999999</v>
      </c>
      <c r="L4392" s="20">
        <v>0.2</v>
      </c>
      <c r="M4392" s="19">
        <f>Tienda!$K2653-Tienda!$K2653*Tienda!$L2653</f>
        <v>107.768</v>
      </c>
      <c r="N4392" s="3" t="s">
        <v>10038</v>
      </c>
      <c r="O4392" s="3" t="s">
        <v>10042</v>
      </c>
      <c r="P4392" s="17">
        <v>45637</v>
      </c>
      <c r="Q4392" s="4">
        <v>6</v>
      </c>
    </row>
    <row r="4393" spans="1:17" ht="30" x14ac:dyDescent="0.25">
      <c r="A4393" s="2" t="s">
        <v>1364</v>
      </c>
      <c r="B4393" s="3" t="s">
        <v>5015</v>
      </c>
      <c r="C4393" s="3">
        <v>56</v>
      </c>
      <c r="D4393" s="46" t="str">
        <f>IF(Tabla1[[#This Row],[EDAD]]&lt;=35,"Adultos jóvenes 18 - 35 años",IF(C4393&gt;=36,"Adultos mayores 36 años en adelante"))</f>
        <v>Adultos mayores 36 años en adelante</v>
      </c>
      <c r="E4393" s="3" t="s">
        <v>5017</v>
      </c>
      <c r="F4393" s="3" t="s">
        <v>5026</v>
      </c>
      <c r="G4393" s="3" t="s">
        <v>5032</v>
      </c>
      <c r="H4393" s="3" t="s">
        <v>6387</v>
      </c>
      <c r="I4393" s="17">
        <v>45529</v>
      </c>
      <c r="J4393" s="18">
        <f>YEAR(Tabla1[[#This Row],[FECHA DE COMPRA]])</f>
        <v>2024</v>
      </c>
      <c r="K4393" s="19">
        <v>111.23</v>
      </c>
      <c r="L4393" s="20">
        <v>0</v>
      </c>
      <c r="M4393" s="19">
        <f>Tienda!$K2654-Tienda!$K2654*Tienda!$L2654</f>
        <v>113.208</v>
      </c>
      <c r="N4393" s="3" t="s">
        <v>10038</v>
      </c>
      <c r="O4393" s="3" t="s">
        <v>10042</v>
      </c>
      <c r="P4393" s="17">
        <v>45529</v>
      </c>
      <c r="Q4393" s="4">
        <v>6</v>
      </c>
    </row>
    <row r="4394" spans="1:17" ht="30" x14ac:dyDescent="0.25">
      <c r="A4394" s="2" t="s">
        <v>3155</v>
      </c>
      <c r="B4394" s="3" t="s">
        <v>5015</v>
      </c>
      <c r="C4394" s="3">
        <v>63</v>
      </c>
      <c r="D4394" s="46" t="str">
        <f>IF(Tabla1[[#This Row],[EDAD]]&lt;=35,"Adultos jóvenes 18 - 35 años",IF(C4394&gt;=36,"Adultos mayores 36 años en adelante"))</f>
        <v>Adultos mayores 36 años en adelante</v>
      </c>
      <c r="E4394" s="3" t="s">
        <v>5022</v>
      </c>
      <c r="F4394" s="3" t="s">
        <v>5027</v>
      </c>
      <c r="G4394" s="3" t="s">
        <v>5034</v>
      </c>
      <c r="H4394" s="3" t="s">
        <v>8178</v>
      </c>
      <c r="I4394" s="17">
        <v>45311</v>
      </c>
      <c r="J4394" s="18">
        <f>YEAR(Tabla1[[#This Row],[FECHA DE COMPRA]])</f>
        <v>2024</v>
      </c>
      <c r="K4394" s="19">
        <v>139.12</v>
      </c>
      <c r="L4394" s="20">
        <v>0.2</v>
      </c>
      <c r="M4394" s="19">
        <f>Tienda!$K2655-Tienda!$K2655*Tienda!$L2655</f>
        <v>155.49</v>
      </c>
      <c r="N4394" s="3" t="s">
        <v>10038</v>
      </c>
      <c r="O4394" s="3" t="s">
        <v>10042</v>
      </c>
      <c r="P4394" s="17">
        <v>45311</v>
      </c>
      <c r="Q4394" s="4">
        <v>12</v>
      </c>
    </row>
    <row r="4395" spans="1:17" ht="30" x14ac:dyDescent="0.25">
      <c r="A4395" s="2" t="s">
        <v>261</v>
      </c>
      <c r="B4395" s="3" t="s">
        <v>5015</v>
      </c>
      <c r="C4395" s="3">
        <v>46</v>
      </c>
      <c r="D4395" s="46" t="str">
        <f>IF(Tabla1[[#This Row],[EDAD]]&lt;=35,"Adultos jóvenes 18 - 35 años",IF(C4395&gt;=36,"Adultos mayores 36 años en adelante"))</f>
        <v>Adultos mayores 36 años en adelante</v>
      </c>
      <c r="E4395" s="3" t="s">
        <v>5018</v>
      </c>
      <c r="F4395" s="3" t="s">
        <v>5030</v>
      </c>
      <c r="G4395" s="3" t="s">
        <v>5032</v>
      </c>
      <c r="H4395" s="3" t="s">
        <v>5284</v>
      </c>
      <c r="I4395" s="17">
        <v>45333</v>
      </c>
      <c r="J4395" s="18">
        <f>YEAR(Tabla1[[#This Row],[FECHA DE COMPRA]])</f>
        <v>2024</v>
      </c>
      <c r="K4395" s="19">
        <v>111.65</v>
      </c>
      <c r="L4395" s="20">
        <v>0</v>
      </c>
      <c r="M4395" s="19">
        <f>Tienda!$K2657-Tienda!$K2657*Tienda!$L2657</f>
        <v>157.24</v>
      </c>
      <c r="N4395" s="3" t="s">
        <v>10038</v>
      </c>
      <c r="O4395" s="3" t="s">
        <v>10042</v>
      </c>
      <c r="P4395" s="17">
        <v>45333</v>
      </c>
      <c r="Q4395" s="4">
        <v>3</v>
      </c>
    </row>
    <row r="4396" spans="1:17" ht="30" x14ac:dyDescent="0.25">
      <c r="A4396" s="2" t="s">
        <v>3772</v>
      </c>
      <c r="B4396" s="3" t="s">
        <v>5015</v>
      </c>
      <c r="C4396" s="3">
        <v>53</v>
      </c>
      <c r="D4396" s="46" t="str">
        <f>IF(Tabla1[[#This Row],[EDAD]]&lt;=35,"Adultos jóvenes 18 - 35 años",IF(C4396&gt;=36,"Adultos mayores 36 años en adelante"))</f>
        <v>Adultos mayores 36 años en adelante</v>
      </c>
      <c r="E4396" s="3" t="s">
        <v>5018</v>
      </c>
      <c r="F4396" s="3" t="s">
        <v>5027</v>
      </c>
      <c r="G4396" s="3" t="s">
        <v>5032</v>
      </c>
      <c r="H4396" s="3" t="s">
        <v>8795</v>
      </c>
      <c r="I4396" s="17">
        <v>45344</v>
      </c>
      <c r="J4396" s="18">
        <f>YEAR(Tabla1[[#This Row],[FECHA DE COMPRA]])</f>
        <v>2024</v>
      </c>
      <c r="K4396" s="19">
        <v>159.80000000000001</v>
      </c>
      <c r="L4396" s="20">
        <v>0.3</v>
      </c>
      <c r="M4396" s="19">
        <f>Tienda!$K2659-Tienda!$K2659*Tienda!$L2659</f>
        <v>128.06400000000002</v>
      </c>
      <c r="N4396" s="3" t="s">
        <v>10038</v>
      </c>
      <c r="O4396" s="3" t="s">
        <v>10042</v>
      </c>
      <c r="P4396" s="17">
        <v>45434</v>
      </c>
      <c r="Q4396" s="4">
        <v>3</v>
      </c>
    </row>
    <row r="4397" spans="1:17" ht="30" x14ac:dyDescent="0.25">
      <c r="A4397" s="2" t="s">
        <v>286</v>
      </c>
      <c r="B4397" s="3" t="s">
        <v>5016</v>
      </c>
      <c r="C4397" s="3">
        <v>58</v>
      </c>
      <c r="D4397" s="46" t="str">
        <f>IF(Tabla1[[#This Row],[EDAD]]&lt;=35,"Adultos jóvenes 18 - 35 años",IF(C4397&gt;=36,"Adultos mayores 36 años en adelante"))</f>
        <v>Adultos mayores 36 años en adelante</v>
      </c>
      <c r="E4397" s="3" t="s">
        <v>5023</v>
      </c>
      <c r="F4397" s="3" t="s">
        <v>5028</v>
      </c>
      <c r="G4397" s="3" t="s">
        <v>5031</v>
      </c>
      <c r="H4397" s="3" t="s">
        <v>5309</v>
      </c>
      <c r="I4397" s="17">
        <v>45338</v>
      </c>
      <c r="J4397" s="18">
        <f>YEAR(Tabla1[[#This Row],[FECHA DE COMPRA]])</f>
        <v>2024</v>
      </c>
      <c r="K4397" s="19">
        <v>140.13999999999999</v>
      </c>
      <c r="L4397" s="20">
        <v>0.2</v>
      </c>
      <c r="M4397" s="19">
        <f>Tienda!$K2663-Tienda!$K2663*Tienda!$L2663</f>
        <v>172.6</v>
      </c>
      <c r="N4397" s="3" t="s">
        <v>10038</v>
      </c>
      <c r="O4397" s="3" t="s">
        <v>10042</v>
      </c>
      <c r="P4397" s="17">
        <v>45338</v>
      </c>
      <c r="Q4397" s="4">
        <v>9</v>
      </c>
    </row>
    <row r="4398" spans="1:17" ht="30" x14ac:dyDescent="0.25">
      <c r="A4398" s="2" t="s">
        <v>2559</v>
      </c>
      <c r="B4398" s="3" t="s">
        <v>5015</v>
      </c>
      <c r="C4398" s="3">
        <v>55</v>
      </c>
      <c r="D4398" s="46" t="str">
        <f>IF(Tabla1[[#This Row],[EDAD]]&lt;=35,"Adultos jóvenes 18 - 35 años",IF(C4398&gt;=36,"Adultos mayores 36 años en adelante"))</f>
        <v>Adultos mayores 36 años en adelante</v>
      </c>
      <c r="E4398" s="3" t="s">
        <v>5023</v>
      </c>
      <c r="F4398" s="3" t="s">
        <v>5025</v>
      </c>
      <c r="G4398" s="3" t="s">
        <v>5036</v>
      </c>
      <c r="H4398" s="3" t="s">
        <v>7582</v>
      </c>
      <c r="I4398" s="17">
        <v>45635</v>
      </c>
      <c r="J4398" s="18">
        <f>YEAR(Tabla1[[#This Row],[FECHA DE COMPRA]])</f>
        <v>2024</v>
      </c>
      <c r="K4398" s="19">
        <v>160.97999999999999</v>
      </c>
      <c r="L4398" s="20">
        <v>0.3</v>
      </c>
      <c r="M4398" s="19">
        <f>Tienda!$K2665-Tienda!$K2665*Tienda!$L2665</f>
        <v>169.37100000000001</v>
      </c>
      <c r="N4398" s="3" t="s">
        <v>10038</v>
      </c>
      <c r="O4398" s="3" t="s">
        <v>10042</v>
      </c>
      <c r="P4398" s="17">
        <v>45450</v>
      </c>
      <c r="Q4398" s="4">
        <v>3</v>
      </c>
    </row>
    <row r="4399" spans="1:17" ht="30" x14ac:dyDescent="0.25">
      <c r="A4399" s="2" t="s">
        <v>4811</v>
      </c>
      <c r="B4399" s="3" t="s">
        <v>5016</v>
      </c>
      <c r="C4399" s="3">
        <v>39</v>
      </c>
      <c r="D4399" s="46" t="str">
        <f>IF(Tabla1[[#This Row],[EDAD]]&lt;=35,"Adultos jóvenes 18 - 35 años",IF(C4399&gt;=36,"Adultos mayores 36 años en adelante"))</f>
        <v>Adultos mayores 36 años en adelante</v>
      </c>
      <c r="E4399" s="3" t="s">
        <v>5023</v>
      </c>
      <c r="F4399" s="3" t="s">
        <v>5029</v>
      </c>
      <c r="G4399" s="3" t="s">
        <v>5033</v>
      </c>
      <c r="H4399" s="3" t="s">
        <v>9834</v>
      </c>
      <c r="I4399" s="17">
        <v>45386</v>
      </c>
      <c r="J4399" s="18">
        <f>YEAR(Tabla1[[#This Row],[FECHA DE COMPRA]])</f>
        <v>2024</v>
      </c>
      <c r="K4399" s="19">
        <v>125.21</v>
      </c>
      <c r="L4399" s="20">
        <v>0.1</v>
      </c>
      <c r="M4399" s="19">
        <f>Tienda!$K2666-Tienda!$K2666*Tienda!$L2666</f>
        <v>131.78199999999998</v>
      </c>
      <c r="N4399" s="3" t="s">
        <v>10038</v>
      </c>
      <c r="O4399" s="3" t="s">
        <v>10042</v>
      </c>
      <c r="P4399" s="17">
        <v>45386</v>
      </c>
      <c r="Q4399" s="4">
        <v>6</v>
      </c>
    </row>
    <row r="4400" spans="1:17" ht="30" x14ac:dyDescent="0.25">
      <c r="A4400" s="2" t="s">
        <v>4527</v>
      </c>
      <c r="B4400" s="3" t="s">
        <v>5015</v>
      </c>
      <c r="C4400" s="3">
        <v>52</v>
      </c>
      <c r="D4400" s="46" t="str">
        <f>IF(Tabla1[[#This Row],[EDAD]]&lt;=35,"Adultos jóvenes 18 - 35 años",IF(C4400&gt;=36,"Adultos mayores 36 años en adelante"))</f>
        <v>Adultos mayores 36 años en adelante</v>
      </c>
      <c r="E4400" s="3" t="s">
        <v>5019</v>
      </c>
      <c r="F4400" s="3" t="s">
        <v>5028</v>
      </c>
      <c r="G4400" s="3" t="s">
        <v>5036</v>
      </c>
      <c r="H4400" s="3" t="s">
        <v>9550</v>
      </c>
      <c r="I4400" s="17">
        <v>45313</v>
      </c>
      <c r="J4400" s="18">
        <f>YEAR(Tabla1[[#This Row],[FECHA DE COMPRA]])</f>
        <v>2024</v>
      </c>
      <c r="K4400" s="19">
        <v>112.99</v>
      </c>
      <c r="L4400" s="20">
        <v>0</v>
      </c>
      <c r="M4400" s="19">
        <f>Tienda!$K2668-Tienda!$K2668*Tienda!$L2668</f>
        <v>159.38399999999999</v>
      </c>
      <c r="N4400" s="3" t="s">
        <v>10038</v>
      </c>
      <c r="O4400" s="3" t="s">
        <v>10042</v>
      </c>
      <c r="P4400" s="17">
        <v>45673</v>
      </c>
      <c r="Q4400" s="4">
        <v>12</v>
      </c>
    </row>
    <row r="4401" spans="1:17" ht="30" x14ac:dyDescent="0.25">
      <c r="A4401" s="2" t="s">
        <v>3135</v>
      </c>
      <c r="B4401" s="3" t="s">
        <v>5016</v>
      </c>
      <c r="C4401" s="3">
        <v>46</v>
      </c>
      <c r="D4401" s="46" t="str">
        <f>IF(Tabla1[[#This Row],[EDAD]]&lt;=35,"Adultos jóvenes 18 - 35 años",IF(C4401&gt;=36,"Adultos mayores 36 años en adelante"))</f>
        <v>Adultos mayores 36 años en adelante</v>
      </c>
      <c r="E4401" s="3" t="s">
        <v>5023</v>
      </c>
      <c r="F4401" s="3" t="s">
        <v>5026</v>
      </c>
      <c r="G4401" s="3" t="s">
        <v>5036</v>
      </c>
      <c r="H4401" s="3" t="s">
        <v>8158</v>
      </c>
      <c r="I4401" s="17">
        <v>45530</v>
      </c>
      <c r="J4401" s="18">
        <f>YEAR(Tabla1[[#This Row],[FECHA DE COMPRA]])</f>
        <v>2024</v>
      </c>
      <c r="K4401" s="19">
        <v>125.83</v>
      </c>
      <c r="L4401" s="20">
        <v>0.1</v>
      </c>
      <c r="M4401" s="19">
        <f>Tienda!$K2670-Tienda!$K2670*Tienda!$L2670</f>
        <v>8.8159999999999989</v>
      </c>
      <c r="N4401" s="3" t="s">
        <v>10038</v>
      </c>
      <c r="O4401" s="3" t="s">
        <v>10042</v>
      </c>
      <c r="P4401" s="17">
        <v>45530</v>
      </c>
      <c r="Q4401" s="4">
        <v>3</v>
      </c>
    </row>
    <row r="4402" spans="1:17" ht="30" x14ac:dyDescent="0.25">
      <c r="A4402" s="2" t="s">
        <v>1801</v>
      </c>
      <c r="B4402" s="3" t="s">
        <v>5016</v>
      </c>
      <c r="C4402" s="3">
        <v>39</v>
      </c>
      <c r="D4402" s="46" t="str">
        <f>IF(Tabla1[[#This Row],[EDAD]]&lt;=35,"Adultos jóvenes 18 - 35 años",IF(C4402&gt;=36,"Adultos mayores 36 años en adelante"))</f>
        <v>Adultos mayores 36 años en adelante</v>
      </c>
      <c r="E4402" s="3" t="s">
        <v>5017</v>
      </c>
      <c r="F4402" s="3" t="s">
        <v>5027</v>
      </c>
      <c r="G4402" s="3" t="s">
        <v>5036</v>
      </c>
      <c r="H4402" s="3" t="s">
        <v>6824</v>
      </c>
      <c r="I4402" s="17">
        <v>45472</v>
      </c>
      <c r="J4402" s="18">
        <f>YEAR(Tabla1[[#This Row],[FECHA DE COMPRA]])</f>
        <v>2024</v>
      </c>
      <c r="K4402" s="19">
        <v>162.38</v>
      </c>
      <c r="L4402" s="20">
        <v>0.3</v>
      </c>
      <c r="M4402" s="19">
        <f>Tienda!$K2675-Tienda!$K2675*Tienda!$L2675</f>
        <v>36.423000000000002</v>
      </c>
      <c r="N4402" s="3" t="s">
        <v>10038</v>
      </c>
      <c r="O4402" s="3" t="s">
        <v>10042</v>
      </c>
      <c r="P4402" s="17">
        <v>45652</v>
      </c>
      <c r="Q4402" s="4">
        <v>6</v>
      </c>
    </row>
    <row r="4403" spans="1:17" ht="30" x14ac:dyDescent="0.25">
      <c r="A4403" s="2" t="s">
        <v>1487</v>
      </c>
      <c r="B4403" s="3" t="s">
        <v>5015</v>
      </c>
      <c r="C4403" s="3">
        <v>51</v>
      </c>
      <c r="D4403" s="46" t="str">
        <f>IF(Tabla1[[#This Row],[EDAD]]&lt;=35,"Adultos jóvenes 18 - 35 años",IF(C4403&gt;=36,"Adultos mayores 36 años en adelante"))</f>
        <v>Adultos mayores 36 años en adelante</v>
      </c>
      <c r="E4403" s="3" t="s">
        <v>5018</v>
      </c>
      <c r="F4403" s="3" t="s">
        <v>5027</v>
      </c>
      <c r="G4403" s="3" t="s">
        <v>5032</v>
      </c>
      <c r="H4403" s="3" t="s">
        <v>6510</v>
      </c>
      <c r="I4403" s="17">
        <v>45602</v>
      </c>
      <c r="J4403" s="18">
        <f>YEAR(Tabla1[[#This Row],[FECHA DE COMPRA]])</f>
        <v>2024</v>
      </c>
      <c r="K4403" s="19">
        <v>164.53</v>
      </c>
      <c r="L4403" s="20">
        <v>0.3</v>
      </c>
      <c r="M4403" s="19">
        <f>Tienda!$K2683-Tienda!$K2683*Tienda!$L2683</f>
        <v>78.52</v>
      </c>
      <c r="N4403" s="3" t="s">
        <v>10038</v>
      </c>
      <c r="O4403" s="3" t="s">
        <v>10042</v>
      </c>
      <c r="P4403" s="17">
        <v>45692</v>
      </c>
      <c r="Q4403" s="4">
        <v>3</v>
      </c>
    </row>
    <row r="4404" spans="1:17" ht="30" x14ac:dyDescent="0.25">
      <c r="A4404" s="2" t="s">
        <v>3837</v>
      </c>
      <c r="B4404" s="3" t="s">
        <v>5015</v>
      </c>
      <c r="C4404" s="3">
        <v>39</v>
      </c>
      <c r="D4404" s="46" t="str">
        <f>IF(Tabla1[[#This Row],[EDAD]]&lt;=35,"Adultos jóvenes 18 - 35 años",IF(C4404&gt;=36,"Adultos mayores 36 años en adelante"))</f>
        <v>Adultos mayores 36 años en adelante</v>
      </c>
      <c r="E4404" s="3" t="s">
        <v>5019</v>
      </c>
      <c r="F4404" s="3" t="s">
        <v>5024</v>
      </c>
      <c r="G4404" s="3" t="s">
        <v>5037</v>
      </c>
      <c r="H4404" s="3" t="s">
        <v>8860</v>
      </c>
      <c r="I4404" s="17">
        <v>45311</v>
      </c>
      <c r="J4404" s="18">
        <f>YEAR(Tabla1[[#This Row],[FECHA DE COMPRA]])</f>
        <v>2024</v>
      </c>
      <c r="K4404" s="19">
        <v>115.23</v>
      </c>
      <c r="L4404" s="20">
        <v>0</v>
      </c>
      <c r="M4404" s="19">
        <f>Tienda!$K2684-Tienda!$K2684*Tienda!$L2684</f>
        <v>84.393000000000001</v>
      </c>
      <c r="N4404" s="3" t="s">
        <v>10038</v>
      </c>
      <c r="O4404" s="3" t="s">
        <v>10042</v>
      </c>
      <c r="P4404" s="17">
        <v>45311</v>
      </c>
      <c r="Q4404" s="4">
        <v>12</v>
      </c>
    </row>
    <row r="4405" spans="1:17" ht="30" x14ac:dyDescent="0.25">
      <c r="A4405" s="2" t="s">
        <v>3497</v>
      </c>
      <c r="B4405" s="3" t="s">
        <v>5015</v>
      </c>
      <c r="C4405" s="3">
        <v>55</v>
      </c>
      <c r="D4405" s="46" t="str">
        <f>IF(Tabla1[[#This Row],[EDAD]]&lt;=35,"Adultos jóvenes 18 - 35 años",IF(C4405&gt;=36,"Adultos mayores 36 años en adelante"))</f>
        <v>Adultos mayores 36 años en adelante</v>
      </c>
      <c r="E4405" s="3" t="s">
        <v>5021</v>
      </c>
      <c r="F4405" s="3" t="s">
        <v>5027</v>
      </c>
      <c r="G4405" s="3" t="s">
        <v>5033</v>
      </c>
      <c r="H4405" s="3" t="s">
        <v>8520</v>
      </c>
      <c r="I4405" s="17">
        <v>45322</v>
      </c>
      <c r="J4405" s="18">
        <f>YEAR(Tabla1[[#This Row],[FECHA DE COMPRA]])</f>
        <v>2024</v>
      </c>
      <c r="K4405" s="19">
        <v>165.09</v>
      </c>
      <c r="L4405" s="20">
        <v>0.3</v>
      </c>
      <c r="M4405" s="19">
        <f>Tienda!$K2686-Tienda!$K2686*Tienda!$L2686</f>
        <v>118.02</v>
      </c>
      <c r="N4405" s="3" t="s">
        <v>10038</v>
      </c>
      <c r="O4405" s="3" t="s">
        <v>10042</v>
      </c>
      <c r="P4405" s="17">
        <v>45322</v>
      </c>
      <c r="Q4405" s="4">
        <v>6</v>
      </c>
    </row>
    <row r="4406" spans="1:17" ht="30" x14ac:dyDescent="0.25">
      <c r="A4406" s="2" t="s">
        <v>3629</v>
      </c>
      <c r="B4406" s="3" t="s">
        <v>5015</v>
      </c>
      <c r="C4406" s="3">
        <v>55</v>
      </c>
      <c r="D4406" s="46" t="str">
        <f>IF(Tabla1[[#This Row],[EDAD]]&lt;=35,"Adultos jóvenes 18 - 35 años",IF(C4406&gt;=36,"Adultos mayores 36 años en adelante"))</f>
        <v>Adultos mayores 36 años en adelante</v>
      </c>
      <c r="E4406" s="3" t="s">
        <v>5021</v>
      </c>
      <c r="F4406" s="3" t="s">
        <v>5028</v>
      </c>
      <c r="G4406" s="3" t="s">
        <v>5035</v>
      </c>
      <c r="H4406" s="3" t="s">
        <v>8652</v>
      </c>
      <c r="I4406" s="17">
        <v>45335</v>
      </c>
      <c r="J4406" s="18">
        <f>YEAR(Tabla1[[#This Row],[FECHA DE COMPRA]])</f>
        <v>2024</v>
      </c>
      <c r="K4406" s="19">
        <v>129.32</v>
      </c>
      <c r="L4406" s="20">
        <v>0.1</v>
      </c>
      <c r="M4406" s="19">
        <f>Tienda!$K2688-Tienda!$K2688*Tienda!$L2688</f>
        <v>127.84</v>
      </c>
      <c r="N4406" s="3" t="s">
        <v>10038</v>
      </c>
      <c r="O4406" s="3" t="s">
        <v>10042</v>
      </c>
      <c r="P4406" s="17">
        <v>45465</v>
      </c>
      <c r="Q4406" s="4">
        <v>3</v>
      </c>
    </row>
    <row r="4407" spans="1:17" ht="30" x14ac:dyDescent="0.25">
      <c r="A4407" s="2" t="s">
        <v>3105</v>
      </c>
      <c r="B4407" s="3" t="s">
        <v>5016</v>
      </c>
      <c r="C4407" s="3">
        <v>56</v>
      </c>
      <c r="D4407" s="46" t="str">
        <f>IF(Tabla1[[#This Row],[EDAD]]&lt;=35,"Adultos jóvenes 18 - 35 años",IF(C4407&gt;=36,"Adultos mayores 36 años en adelante"))</f>
        <v>Adultos mayores 36 años en adelante</v>
      </c>
      <c r="E4407" s="3" t="s">
        <v>5017</v>
      </c>
      <c r="F4407" s="3" t="s">
        <v>5027</v>
      </c>
      <c r="G4407" s="3" t="s">
        <v>5036</v>
      </c>
      <c r="H4407" s="3" t="s">
        <v>8128</v>
      </c>
      <c r="I4407" s="17">
        <v>45423</v>
      </c>
      <c r="J4407" s="18">
        <f>YEAR(Tabla1[[#This Row],[FECHA DE COMPRA]])</f>
        <v>2024</v>
      </c>
      <c r="K4407" s="19">
        <v>166.69</v>
      </c>
      <c r="L4407" s="20">
        <v>0.3</v>
      </c>
      <c r="M4407" s="19">
        <f>Tienda!$K2690-Tienda!$K2690*Tienda!$L2690</f>
        <v>137.28</v>
      </c>
      <c r="N4407" s="3" t="s">
        <v>10038</v>
      </c>
      <c r="O4407" s="3" t="s">
        <v>10042</v>
      </c>
      <c r="P4407" s="17">
        <v>45513</v>
      </c>
      <c r="Q4407" s="4">
        <v>3</v>
      </c>
    </row>
    <row r="4408" spans="1:17" ht="30" x14ac:dyDescent="0.25">
      <c r="A4408" s="2" t="s">
        <v>3182</v>
      </c>
      <c r="B4408" s="3" t="s">
        <v>5015</v>
      </c>
      <c r="C4408" s="3">
        <v>63</v>
      </c>
      <c r="D4408" s="46" t="str">
        <f>IF(Tabla1[[#This Row],[EDAD]]&lt;=35,"Adultos jóvenes 18 - 35 años",IF(C4408&gt;=36,"Adultos mayores 36 años en adelante"))</f>
        <v>Adultos mayores 36 años en adelante</v>
      </c>
      <c r="E4408" s="3" t="s">
        <v>5020</v>
      </c>
      <c r="F4408" s="3" t="s">
        <v>5025</v>
      </c>
      <c r="G4408" s="3" t="s">
        <v>5032</v>
      </c>
      <c r="H4408" s="3" t="s">
        <v>8205</v>
      </c>
      <c r="I4408" s="17">
        <v>45338</v>
      </c>
      <c r="J4408" s="18">
        <f>YEAR(Tabla1[[#This Row],[FECHA DE COMPRA]])</f>
        <v>2024</v>
      </c>
      <c r="K4408" s="19">
        <v>145.94</v>
      </c>
      <c r="L4408" s="20">
        <v>0.2</v>
      </c>
      <c r="M4408" s="19">
        <f>Tienda!$K2691-Tienda!$K2691*Tienda!$L2691</f>
        <v>120.988</v>
      </c>
      <c r="N4408" s="3" t="s">
        <v>10038</v>
      </c>
      <c r="O4408" s="3" t="s">
        <v>10042</v>
      </c>
      <c r="P4408" s="17">
        <v>45338</v>
      </c>
      <c r="Q4408" s="4">
        <v>9</v>
      </c>
    </row>
    <row r="4409" spans="1:17" ht="30" x14ac:dyDescent="0.25">
      <c r="A4409" s="2" t="s">
        <v>3932</v>
      </c>
      <c r="B4409" s="3" t="s">
        <v>5015</v>
      </c>
      <c r="C4409" s="3">
        <v>61</v>
      </c>
      <c r="D4409" s="46" t="str">
        <f>IF(Tabla1[[#This Row],[EDAD]]&lt;=35,"Adultos jóvenes 18 - 35 años",IF(C4409&gt;=36,"Adultos mayores 36 años en adelante"))</f>
        <v>Adultos mayores 36 años en adelante</v>
      </c>
      <c r="E4409" s="3" t="s">
        <v>5020</v>
      </c>
      <c r="F4409" s="3" t="s">
        <v>5027</v>
      </c>
      <c r="G4409" s="3" t="s">
        <v>5037</v>
      </c>
      <c r="H4409" s="3" t="s">
        <v>8955</v>
      </c>
      <c r="I4409" s="17">
        <v>45392</v>
      </c>
      <c r="J4409" s="18">
        <f>YEAR(Tabla1[[#This Row],[FECHA DE COMPRA]])</f>
        <v>2024</v>
      </c>
      <c r="K4409" s="19">
        <v>146.44</v>
      </c>
      <c r="L4409" s="20">
        <v>0.2</v>
      </c>
      <c r="M4409" s="19">
        <f>Tienda!$K2693-Tienda!$K2693*Tienda!$L2693</f>
        <v>131.86599999999999</v>
      </c>
      <c r="N4409" s="3" t="s">
        <v>10038</v>
      </c>
      <c r="O4409" s="3" t="s">
        <v>10042</v>
      </c>
      <c r="P4409" s="17">
        <v>45392</v>
      </c>
      <c r="Q4409" s="4">
        <v>9</v>
      </c>
    </row>
    <row r="4410" spans="1:17" ht="30" x14ac:dyDescent="0.25">
      <c r="A4410" s="2" t="s">
        <v>1434</v>
      </c>
      <c r="B4410" s="3" t="s">
        <v>5015</v>
      </c>
      <c r="C4410" s="3">
        <v>55</v>
      </c>
      <c r="D4410" s="46" t="str">
        <f>IF(Tabla1[[#This Row],[EDAD]]&lt;=35,"Adultos jóvenes 18 - 35 años",IF(C4410&gt;=36,"Adultos mayores 36 años en adelante"))</f>
        <v>Adultos mayores 36 años en adelante</v>
      </c>
      <c r="E4410" s="3" t="s">
        <v>5020</v>
      </c>
      <c r="F4410" s="3" t="s">
        <v>5030</v>
      </c>
      <c r="G4410" s="3" t="s">
        <v>5033</v>
      </c>
      <c r="H4410" s="3" t="s">
        <v>6457</v>
      </c>
      <c r="I4410" s="17">
        <v>45348</v>
      </c>
      <c r="J4410" s="18">
        <f>YEAR(Tabla1[[#This Row],[FECHA DE COMPRA]])</f>
        <v>2024</v>
      </c>
      <c r="K4410" s="19">
        <v>130.30000000000001</v>
      </c>
      <c r="L4410" s="20">
        <v>0.1</v>
      </c>
      <c r="M4410" s="19">
        <f>Tienda!$K2695-Tienda!$K2695*Tienda!$L2695</f>
        <v>7.7839999999999989</v>
      </c>
      <c r="N4410" s="3" t="s">
        <v>10038</v>
      </c>
      <c r="O4410" s="3" t="s">
        <v>10042</v>
      </c>
      <c r="P4410" s="17">
        <v>45348</v>
      </c>
      <c r="Q4410" s="4">
        <v>12</v>
      </c>
    </row>
    <row r="4411" spans="1:17" ht="30" x14ac:dyDescent="0.25">
      <c r="A4411" s="2" t="s">
        <v>2584</v>
      </c>
      <c r="B4411" s="3" t="s">
        <v>5015</v>
      </c>
      <c r="C4411" s="3">
        <v>42</v>
      </c>
      <c r="D4411" s="46" t="str">
        <f>IF(Tabla1[[#This Row],[EDAD]]&lt;=35,"Adultos jóvenes 18 - 35 años",IF(C4411&gt;=36,"Adultos mayores 36 años en adelante"))</f>
        <v>Adultos mayores 36 años en adelante</v>
      </c>
      <c r="E4411" s="3" t="s">
        <v>5017</v>
      </c>
      <c r="F4411" s="3" t="s">
        <v>5027</v>
      </c>
      <c r="G4411" s="3" t="s">
        <v>5031</v>
      </c>
      <c r="H4411" s="3" t="s">
        <v>7607</v>
      </c>
      <c r="I4411" s="17">
        <v>45365</v>
      </c>
      <c r="J4411" s="18">
        <f>YEAR(Tabla1[[#This Row],[FECHA DE COMPRA]])</f>
        <v>2024</v>
      </c>
      <c r="K4411" s="19">
        <v>167.55</v>
      </c>
      <c r="L4411" s="20">
        <v>0.3</v>
      </c>
      <c r="M4411" s="19">
        <f>Tienda!$K2696-Tienda!$K2696*Tienda!$L2696</f>
        <v>9.1280000000000001</v>
      </c>
      <c r="N4411" s="3" t="s">
        <v>10038</v>
      </c>
      <c r="O4411" s="3" t="s">
        <v>10042</v>
      </c>
      <c r="P4411" s="17">
        <v>45365</v>
      </c>
      <c r="Q4411" s="4">
        <v>9</v>
      </c>
    </row>
    <row r="4412" spans="1:17" ht="30" x14ac:dyDescent="0.25">
      <c r="A4412" s="2" t="s">
        <v>1323</v>
      </c>
      <c r="B4412" s="3" t="s">
        <v>5015</v>
      </c>
      <c r="C4412" s="3">
        <v>40</v>
      </c>
      <c r="D4412" s="46" t="str">
        <f>IF(Tabla1[[#This Row],[EDAD]]&lt;=35,"Adultos jóvenes 18 - 35 años",IF(C4412&gt;=36,"Adultos mayores 36 años en adelante"))</f>
        <v>Adultos mayores 36 años en adelante</v>
      </c>
      <c r="E4412" s="3" t="s">
        <v>5022</v>
      </c>
      <c r="F4412" s="3" t="s">
        <v>5028</v>
      </c>
      <c r="G4412" s="3" t="s">
        <v>5033</v>
      </c>
      <c r="H4412" s="3" t="s">
        <v>6346</v>
      </c>
      <c r="I4412" s="17">
        <v>45524</v>
      </c>
      <c r="J4412" s="18">
        <f>YEAR(Tabla1[[#This Row],[FECHA DE COMPRA]])</f>
        <v>2024</v>
      </c>
      <c r="K4412" s="19">
        <v>117.31</v>
      </c>
      <c r="L4412" s="20">
        <v>0</v>
      </c>
      <c r="M4412" s="19">
        <f>Tienda!$K2697-Tienda!$K2697*Tienda!$L2697</f>
        <v>9.1980000000000004</v>
      </c>
      <c r="N4412" s="3" t="s">
        <v>10038</v>
      </c>
      <c r="O4412" s="3" t="s">
        <v>10042</v>
      </c>
      <c r="P4412" s="17">
        <v>45884</v>
      </c>
      <c r="Q4412" s="4">
        <v>12</v>
      </c>
    </row>
    <row r="4413" spans="1:17" ht="30" x14ac:dyDescent="0.25">
      <c r="A4413" s="2" t="s">
        <v>2352</v>
      </c>
      <c r="B4413" s="3" t="s">
        <v>5016</v>
      </c>
      <c r="C4413" s="3">
        <v>65</v>
      </c>
      <c r="D4413" s="46" t="str">
        <f>IF(Tabla1[[#This Row],[EDAD]]&lt;=35,"Adultos jóvenes 18 - 35 años",IF(C4413&gt;=36,"Adultos mayores 36 años en adelante"))</f>
        <v>Adultos mayores 36 años en adelante</v>
      </c>
      <c r="E4413" s="3" t="s">
        <v>5023</v>
      </c>
      <c r="F4413" s="3" t="s">
        <v>5025</v>
      </c>
      <c r="G4413" s="3" t="s">
        <v>5036</v>
      </c>
      <c r="H4413" s="3" t="s">
        <v>7375</v>
      </c>
      <c r="I4413" s="17">
        <v>45552</v>
      </c>
      <c r="J4413" s="18">
        <f>YEAR(Tabla1[[#This Row],[FECHA DE COMPRA]])</f>
        <v>2024</v>
      </c>
      <c r="K4413" s="19">
        <v>130.44999999999999</v>
      </c>
      <c r="L4413" s="20">
        <v>0.1</v>
      </c>
      <c r="M4413" s="19">
        <f>Tienda!$K2699-Tienda!$K2699*Tienda!$L2699</f>
        <v>10.8</v>
      </c>
      <c r="N4413" s="3" t="s">
        <v>10038</v>
      </c>
      <c r="O4413" s="3" t="s">
        <v>10042</v>
      </c>
      <c r="P4413" s="17">
        <v>45732</v>
      </c>
      <c r="Q4413" s="4">
        <v>6</v>
      </c>
    </row>
    <row r="4414" spans="1:17" ht="30" x14ac:dyDescent="0.25">
      <c r="A4414" s="2" t="s">
        <v>735</v>
      </c>
      <c r="B4414" s="3" t="s">
        <v>5015</v>
      </c>
      <c r="C4414" s="3">
        <v>42</v>
      </c>
      <c r="D4414" s="46" t="str">
        <f>IF(Tabla1[[#This Row],[EDAD]]&lt;=35,"Adultos jóvenes 18 - 35 años",IF(C4414&gt;=36,"Adultos mayores 36 años en adelante"))</f>
        <v>Adultos mayores 36 años en adelante</v>
      </c>
      <c r="E4414" s="3" t="s">
        <v>5018</v>
      </c>
      <c r="F4414" s="3" t="s">
        <v>5026</v>
      </c>
      <c r="G4414" s="3" t="s">
        <v>5032</v>
      </c>
      <c r="H4414" s="3" t="s">
        <v>5758</v>
      </c>
      <c r="I4414" s="17">
        <v>45491</v>
      </c>
      <c r="J4414" s="18">
        <f>YEAR(Tabla1[[#This Row],[FECHA DE COMPRA]])</f>
        <v>2024</v>
      </c>
      <c r="K4414" s="19">
        <v>168.72</v>
      </c>
      <c r="L4414" s="20">
        <v>0.3</v>
      </c>
      <c r="M4414" s="19">
        <f>Tienda!$K2705-Tienda!$K2705*Tienda!$L2705</f>
        <v>12.712</v>
      </c>
      <c r="N4414" s="3" t="s">
        <v>10038</v>
      </c>
      <c r="O4414" s="3" t="s">
        <v>10042</v>
      </c>
      <c r="P4414" s="17">
        <v>45491</v>
      </c>
      <c r="Q4414" s="4">
        <v>6</v>
      </c>
    </row>
    <row r="4415" spans="1:17" ht="30" x14ac:dyDescent="0.25">
      <c r="A4415" s="2" t="s">
        <v>4146</v>
      </c>
      <c r="B4415" s="3" t="s">
        <v>5015</v>
      </c>
      <c r="C4415" s="3">
        <v>36</v>
      </c>
      <c r="D4415" s="46" t="str">
        <f>IF(Tabla1[[#This Row],[EDAD]]&lt;=35,"Adultos jóvenes 18 - 35 años",IF(C4415&gt;=36,"Adultos mayores 36 años en adelante"))</f>
        <v>Adultos mayores 36 años en adelante</v>
      </c>
      <c r="E4415" s="3" t="s">
        <v>5018</v>
      </c>
      <c r="F4415" s="3" t="s">
        <v>5029</v>
      </c>
      <c r="G4415" s="3" t="s">
        <v>5035</v>
      </c>
      <c r="H4415" s="3" t="s">
        <v>9169</v>
      </c>
      <c r="I4415" s="17">
        <v>45413</v>
      </c>
      <c r="J4415" s="18">
        <f>YEAR(Tabla1[[#This Row],[FECHA DE COMPRA]])</f>
        <v>2024</v>
      </c>
      <c r="K4415" s="19">
        <v>147.91</v>
      </c>
      <c r="L4415" s="20">
        <v>0.2</v>
      </c>
      <c r="M4415" s="19">
        <f>Tienda!$K2706-Tienda!$K2706*Tienda!$L2706</f>
        <v>14.35</v>
      </c>
      <c r="N4415" s="3" t="s">
        <v>10038</v>
      </c>
      <c r="O4415" s="3" t="s">
        <v>10042</v>
      </c>
      <c r="P4415" s="17">
        <v>45413</v>
      </c>
      <c r="Q4415" s="4">
        <v>12</v>
      </c>
    </row>
    <row r="4416" spans="1:17" ht="30" x14ac:dyDescent="0.25">
      <c r="A4416" s="2" t="s">
        <v>3958</v>
      </c>
      <c r="B4416" s="3" t="s">
        <v>5015</v>
      </c>
      <c r="C4416" s="3">
        <v>44</v>
      </c>
      <c r="D4416" s="46" t="str">
        <f>IF(Tabla1[[#This Row],[EDAD]]&lt;=35,"Adultos jóvenes 18 - 35 años",IF(C4416&gt;=36,"Adultos mayores 36 años en adelante"))</f>
        <v>Adultos mayores 36 años en adelante</v>
      </c>
      <c r="E4416" s="3" t="s">
        <v>5020</v>
      </c>
      <c r="F4416" s="3" t="s">
        <v>5025</v>
      </c>
      <c r="G4416" s="3" t="s">
        <v>5037</v>
      </c>
      <c r="H4416" s="3" t="s">
        <v>8981</v>
      </c>
      <c r="I4416" s="17">
        <v>45420</v>
      </c>
      <c r="J4416" s="18">
        <f>YEAR(Tabla1[[#This Row],[FECHA DE COMPRA]])</f>
        <v>2024</v>
      </c>
      <c r="K4416" s="19">
        <v>132.44999999999999</v>
      </c>
      <c r="L4416" s="20">
        <v>0.1</v>
      </c>
      <c r="M4416" s="19">
        <f>Tienda!$K2710-Tienda!$K2710*Tienda!$L2710</f>
        <v>16.268000000000001</v>
      </c>
      <c r="N4416" s="3" t="s">
        <v>10038</v>
      </c>
      <c r="O4416" s="3" t="s">
        <v>10042</v>
      </c>
      <c r="P4416" s="17">
        <v>45780</v>
      </c>
      <c r="Q4416" s="4">
        <v>12</v>
      </c>
    </row>
    <row r="4417" spans="1:17" ht="30" x14ac:dyDescent="0.25">
      <c r="A4417" s="2" t="s">
        <v>4380</v>
      </c>
      <c r="B4417" s="3" t="s">
        <v>5015</v>
      </c>
      <c r="C4417" s="3">
        <v>44</v>
      </c>
      <c r="D4417" s="46" t="str">
        <f>IF(Tabla1[[#This Row],[EDAD]]&lt;=35,"Adultos jóvenes 18 - 35 años",IF(C4417&gt;=36,"Adultos mayores 36 años en adelante"))</f>
        <v>Adultos mayores 36 años en adelante</v>
      </c>
      <c r="E4417" s="3" t="s">
        <v>5020</v>
      </c>
      <c r="F4417" s="3" t="s">
        <v>5028</v>
      </c>
      <c r="G4417" s="3" t="s">
        <v>5036</v>
      </c>
      <c r="H4417" s="3" t="s">
        <v>9403</v>
      </c>
      <c r="I4417" s="17">
        <v>45557</v>
      </c>
      <c r="J4417" s="18">
        <f>YEAR(Tabla1[[#This Row],[FECHA DE COMPRA]])</f>
        <v>2024</v>
      </c>
      <c r="K4417" s="19">
        <v>170.48</v>
      </c>
      <c r="L4417" s="20">
        <v>0.3</v>
      </c>
      <c r="M4417" s="19">
        <f>Tienda!$K2711-Tienda!$K2711*Tienda!$L2711</f>
        <v>16.541999999999998</v>
      </c>
      <c r="N4417" s="3" t="s">
        <v>10038</v>
      </c>
      <c r="O4417" s="3" t="s">
        <v>10042</v>
      </c>
      <c r="P4417" s="17">
        <v>45917</v>
      </c>
      <c r="Q4417" s="4">
        <v>12</v>
      </c>
    </row>
    <row r="4418" spans="1:17" ht="30" x14ac:dyDescent="0.25">
      <c r="A4418" s="2" t="s">
        <v>2535</v>
      </c>
      <c r="B4418" s="3" t="s">
        <v>5016</v>
      </c>
      <c r="C4418" s="3">
        <v>44</v>
      </c>
      <c r="D4418" s="46" t="str">
        <f>IF(Tabla1[[#This Row],[EDAD]]&lt;=35,"Adultos jóvenes 18 - 35 años",IF(C4418&gt;=36,"Adultos mayores 36 años en adelante"))</f>
        <v>Adultos mayores 36 años en adelante</v>
      </c>
      <c r="E4418" s="3" t="s">
        <v>5019</v>
      </c>
      <c r="F4418" s="3" t="s">
        <v>5024</v>
      </c>
      <c r="G4418" s="3" t="s">
        <v>5037</v>
      </c>
      <c r="H4418" s="3" t="s">
        <v>7558</v>
      </c>
      <c r="I4418" s="17">
        <v>45319</v>
      </c>
      <c r="J4418" s="18">
        <f>YEAR(Tabla1[[#This Row],[FECHA DE COMPRA]])</f>
        <v>2024</v>
      </c>
      <c r="K4418" s="19">
        <v>170.79</v>
      </c>
      <c r="L4418" s="20">
        <v>0.3</v>
      </c>
      <c r="M4418" s="19">
        <f>Tienda!$K2712-Tienda!$K2712*Tienda!$L2712</f>
        <v>16.696000000000002</v>
      </c>
      <c r="N4418" s="3" t="s">
        <v>10038</v>
      </c>
      <c r="O4418" s="3" t="s">
        <v>10042</v>
      </c>
      <c r="P4418" s="17">
        <v>45679</v>
      </c>
      <c r="Q4418" s="4">
        <v>12</v>
      </c>
    </row>
    <row r="4419" spans="1:17" ht="30" x14ac:dyDescent="0.25">
      <c r="A4419" s="2" t="s">
        <v>1710</v>
      </c>
      <c r="B4419" s="3" t="s">
        <v>5015</v>
      </c>
      <c r="C4419" s="3">
        <v>44</v>
      </c>
      <c r="D4419" s="46" t="str">
        <f>IF(Tabla1[[#This Row],[EDAD]]&lt;=35,"Adultos jóvenes 18 - 35 años",IF(C4419&gt;=36,"Adultos mayores 36 años en adelante"))</f>
        <v>Adultos mayores 36 años en adelante</v>
      </c>
      <c r="E4419" s="3" t="s">
        <v>5020</v>
      </c>
      <c r="F4419" s="3" t="s">
        <v>5025</v>
      </c>
      <c r="G4419" s="3" t="s">
        <v>5037</v>
      </c>
      <c r="H4419" s="3" t="s">
        <v>6733</v>
      </c>
      <c r="I4419" s="17">
        <v>45579</v>
      </c>
      <c r="J4419" s="18">
        <f>YEAR(Tabla1[[#This Row],[FECHA DE COMPRA]])</f>
        <v>2024</v>
      </c>
      <c r="K4419" s="19">
        <v>149.94999999999999</v>
      </c>
      <c r="L4419" s="20">
        <v>0.2</v>
      </c>
      <c r="M4419" s="19">
        <f>Tienda!$K2715-Tienda!$K2715*Tienda!$L2715</f>
        <v>18.186</v>
      </c>
      <c r="N4419" s="3" t="s">
        <v>10038</v>
      </c>
      <c r="O4419" s="3" t="s">
        <v>10042</v>
      </c>
      <c r="P4419" s="17">
        <v>45849</v>
      </c>
      <c r="Q4419" s="4">
        <v>9</v>
      </c>
    </row>
    <row r="4420" spans="1:17" ht="30" x14ac:dyDescent="0.25">
      <c r="A4420" s="2" t="s">
        <v>1842</v>
      </c>
      <c r="B4420" s="3" t="s">
        <v>5016</v>
      </c>
      <c r="C4420" s="3">
        <v>65</v>
      </c>
      <c r="D4420" s="46" t="str">
        <f>IF(Tabla1[[#This Row],[EDAD]]&lt;=35,"Adultos jóvenes 18 - 35 años",IF(C4420&gt;=36,"Adultos mayores 36 años en adelante"))</f>
        <v>Adultos mayores 36 años en adelante</v>
      </c>
      <c r="E4420" s="3" t="s">
        <v>5021</v>
      </c>
      <c r="F4420" s="3" t="s">
        <v>5024</v>
      </c>
      <c r="G4420" s="3" t="s">
        <v>5033</v>
      </c>
      <c r="H4420" s="3" t="s">
        <v>6865</v>
      </c>
      <c r="I4420" s="17">
        <v>45562</v>
      </c>
      <c r="J4420" s="18">
        <f>YEAR(Tabla1[[#This Row],[FECHA DE COMPRA]])</f>
        <v>2024</v>
      </c>
      <c r="K4420" s="19">
        <v>133.41</v>
      </c>
      <c r="L4420" s="20">
        <v>0.1</v>
      </c>
      <c r="M4420" s="19">
        <f>Tienda!$K2718-Tienda!$K2718*Tienda!$L2718</f>
        <v>20.408000000000001</v>
      </c>
      <c r="N4420" s="3" t="s">
        <v>10038</v>
      </c>
      <c r="O4420" s="3" t="s">
        <v>10042</v>
      </c>
      <c r="P4420" s="17">
        <v>45742</v>
      </c>
      <c r="Q4420" s="4">
        <v>6</v>
      </c>
    </row>
    <row r="4421" spans="1:17" ht="30" x14ac:dyDescent="0.25">
      <c r="A4421" s="2" t="s">
        <v>72</v>
      </c>
      <c r="B4421" s="3" t="s">
        <v>5015</v>
      </c>
      <c r="C4421" s="3">
        <v>63</v>
      </c>
      <c r="D4421" s="46" t="str">
        <f>IF(Tabla1[[#This Row],[EDAD]]&lt;=35,"Adultos jóvenes 18 - 35 años",IF(C4421&gt;=36,"Adultos mayores 36 años en adelante"))</f>
        <v>Adultos mayores 36 años en adelante</v>
      </c>
      <c r="E4421" s="3" t="s">
        <v>5019</v>
      </c>
      <c r="F4421" s="3" t="s">
        <v>5030</v>
      </c>
      <c r="G4421" s="3" t="s">
        <v>5037</v>
      </c>
      <c r="H4421" s="3" t="s">
        <v>5095</v>
      </c>
      <c r="I4421" s="17">
        <v>45351</v>
      </c>
      <c r="J4421" s="18">
        <f>YEAR(Tabla1[[#This Row],[FECHA DE COMPRA]])</f>
        <v>2024</v>
      </c>
      <c r="K4421" s="19">
        <v>172.45</v>
      </c>
      <c r="L4421" s="20">
        <v>0.3</v>
      </c>
      <c r="M4421" s="19">
        <f>Tienda!$K2722-Tienda!$K2722*Tienda!$L2722</f>
        <v>21.952000000000002</v>
      </c>
      <c r="N4421" s="3" t="s">
        <v>10038</v>
      </c>
      <c r="O4421" s="3" t="s">
        <v>10042</v>
      </c>
      <c r="P4421" s="17">
        <v>45351</v>
      </c>
      <c r="Q4421" s="4">
        <v>6</v>
      </c>
    </row>
    <row r="4422" spans="1:17" ht="30" x14ac:dyDescent="0.25">
      <c r="A4422" s="2" t="s">
        <v>4525</v>
      </c>
      <c r="B4422" s="3" t="s">
        <v>5015</v>
      </c>
      <c r="C4422" s="3">
        <v>58</v>
      </c>
      <c r="D4422" s="46" t="str">
        <f>IF(Tabla1[[#This Row],[EDAD]]&lt;=35,"Adultos jóvenes 18 - 35 años",IF(C4422&gt;=36,"Adultos mayores 36 años en adelante"))</f>
        <v>Adultos mayores 36 años en adelante</v>
      </c>
      <c r="E4422" s="3" t="s">
        <v>5023</v>
      </c>
      <c r="F4422" s="3" t="s">
        <v>5030</v>
      </c>
      <c r="G4422" s="3" t="s">
        <v>5036</v>
      </c>
      <c r="H4422" s="3" t="s">
        <v>9548</v>
      </c>
      <c r="I4422" s="17">
        <v>45538</v>
      </c>
      <c r="J4422" s="18">
        <f>YEAR(Tabla1[[#This Row],[FECHA DE COMPRA]])</f>
        <v>2024</v>
      </c>
      <c r="K4422" s="19">
        <v>151.01</v>
      </c>
      <c r="L4422" s="20">
        <v>0.2</v>
      </c>
      <c r="M4422" s="19">
        <f>Tienda!$K2723-Tienda!$K2723*Tienda!$L2723</f>
        <v>22.008000000000003</v>
      </c>
      <c r="N4422" s="3" t="s">
        <v>10038</v>
      </c>
      <c r="O4422" s="3" t="s">
        <v>10042</v>
      </c>
      <c r="P4422" s="17">
        <v>45538</v>
      </c>
      <c r="Q4422" s="4">
        <v>3</v>
      </c>
    </row>
    <row r="4423" spans="1:17" ht="30" x14ac:dyDescent="0.25">
      <c r="A4423" s="2" t="s">
        <v>3993</v>
      </c>
      <c r="B4423" s="3" t="s">
        <v>5016</v>
      </c>
      <c r="C4423" s="3">
        <v>62</v>
      </c>
      <c r="D4423" s="46" t="str">
        <f>IF(Tabla1[[#This Row],[EDAD]]&lt;=35,"Adultos jóvenes 18 - 35 años",IF(C4423&gt;=36,"Adultos mayores 36 años en adelante"))</f>
        <v>Adultos mayores 36 años en adelante</v>
      </c>
      <c r="E4423" s="3" t="s">
        <v>5023</v>
      </c>
      <c r="F4423" s="3" t="s">
        <v>5030</v>
      </c>
      <c r="G4423" s="3" t="s">
        <v>5033</v>
      </c>
      <c r="H4423" s="3" t="s">
        <v>9016</v>
      </c>
      <c r="I4423" s="17">
        <v>45520</v>
      </c>
      <c r="J4423" s="18">
        <f>YEAR(Tabla1[[#This Row],[FECHA DE COMPRA]])</f>
        <v>2024</v>
      </c>
      <c r="K4423" s="19">
        <v>172.6</v>
      </c>
      <c r="L4423" s="20">
        <v>0.3</v>
      </c>
      <c r="M4423" s="19">
        <f>Tienda!$K2724-Tienda!$K2724*Tienda!$L2724</f>
        <v>22.472000000000001</v>
      </c>
      <c r="N4423" s="3" t="s">
        <v>10038</v>
      </c>
      <c r="O4423" s="3" t="s">
        <v>10042</v>
      </c>
      <c r="P4423" s="17">
        <v>45700</v>
      </c>
      <c r="Q4423" s="4">
        <v>6</v>
      </c>
    </row>
    <row r="4424" spans="1:17" ht="30" x14ac:dyDescent="0.25">
      <c r="A4424" s="2" t="s">
        <v>467</v>
      </c>
      <c r="B4424" s="3" t="s">
        <v>5015</v>
      </c>
      <c r="C4424" s="3">
        <v>59</v>
      </c>
      <c r="D4424" s="46" t="str">
        <f>IF(Tabla1[[#This Row],[EDAD]]&lt;=35,"Adultos jóvenes 18 - 35 años",IF(C4424&gt;=36,"Adultos mayores 36 años en adelante"))</f>
        <v>Adultos mayores 36 años en adelante</v>
      </c>
      <c r="E4424" s="3" t="s">
        <v>5020</v>
      </c>
      <c r="F4424" s="3" t="s">
        <v>5025</v>
      </c>
      <c r="G4424" s="3" t="s">
        <v>5031</v>
      </c>
      <c r="H4424" s="3" t="s">
        <v>5490</v>
      </c>
      <c r="I4424" s="17">
        <v>45577</v>
      </c>
      <c r="J4424" s="18">
        <f>YEAR(Tabla1[[#This Row],[FECHA DE COMPRA]])</f>
        <v>2024</v>
      </c>
      <c r="K4424" s="19">
        <v>121.17</v>
      </c>
      <c r="L4424" s="20">
        <v>0</v>
      </c>
      <c r="M4424" s="19">
        <f>Tienda!$K2726-Tienda!$K2726*Tienda!$L2726</f>
        <v>23.149000000000001</v>
      </c>
      <c r="N4424" s="3" t="s">
        <v>10038</v>
      </c>
      <c r="O4424" s="3" t="s">
        <v>10042</v>
      </c>
      <c r="P4424" s="17">
        <v>45577</v>
      </c>
      <c r="Q4424" s="4">
        <v>9</v>
      </c>
    </row>
    <row r="4425" spans="1:17" ht="30" x14ac:dyDescent="0.25">
      <c r="A4425" s="2" t="s">
        <v>4913</v>
      </c>
      <c r="B4425" s="3" t="s">
        <v>5015</v>
      </c>
      <c r="C4425" s="3">
        <v>40</v>
      </c>
      <c r="D4425" s="46" t="str">
        <f>IF(Tabla1[[#This Row],[EDAD]]&lt;=35,"Adultos jóvenes 18 - 35 años",IF(C4425&gt;=36,"Adultos mayores 36 años en adelante"))</f>
        <v>Adultos mayores 36 años en adelante</v>
      </c>
      <c r="E4425" s="3" t="s">
        <v>5018</v>
      </c>
      <c r="F4425" s="3" t="s">
        <v>5030</v>
      </c>
      <c r="G4425" s="3" t="s">
        <v>5037</v>
      </c>
      <c r="H4425" s="3" t="s">
        <v>9936</v>
      </c>
      <c r="I4425" s="17">
        <v>45338</v>
      </c>
      <c r="J4425" s="18">
        <f>YEAR(Tabla1[[#This Row],[FECHA DE COMPRA]])</f>
        <v>2024</v>
      </c>
      <c r="K4425" s="19">
        <v>151.52000000000001</v>
      </c>
      <c r="L4425" s="20">
        <v>0.2</v>
      </c>
      <c r="M4425" s="19">
        <f>Tienda!$K2727-Tienda!$K2727*Tienda!$L2727</f>
        <v>23.56</v>
      </c>
      <c r="N4425" s="3" t="s">
        <v>10038</v>
      </c>
      <c r="O4425" s="3" t="s">
        <v>10042</v>
      </c>
      <c r="P4425" s="17">
        <v>45338</v>
      </c>
      <c r="Q4425" s="4">
        <v>6</v>
      </c>
    </row>
    <row r="4426" spans="1:17" ht="30" x14ac:dyDescent="0.25">
      <c r="A4426" s="2" t="s">
        <v>686</v>
      </c>
      <c r="B4426" s="3" t="s">
        <v>5016</v>
      </c>
      <c r="C4426" s="3">
        <v>50</v>
      </c>
      <c r="D4426" s="46" t="str">
        <f>IF(Tabla1[[#This Row],[EDAD]]&lt;=35,"Adultos jóvenes 18 - 35 años",IF(C4426&gt;=36,"Adultos mayores 36 años en adelante"))</f>
        <v>Adultos mayores 36 años en adelante</v>
      </c>
      <c r="E4426" s="3" t="s">
        <v>5019</v>
      </c>
      <c r="F4426" s="3" t="s">
        <v>5026</v>
      </c>
      <c r="G4426" s="3" t="s">
        <v>5037</v>
      </c>
      <c r="H4426" s="3" t="s">
        <v>5709</v>
      </c>
      <c r="I4426" s="17">
        <v>45454</v>
      </c>
      <c r="J4426" s="18">
        <f>YEAR(Tabla1[[#This Row],[FECHA DE COMPRA]])</f>
        <v>2024</v>
      </c>
      <c r="K4426" s="19">
        <v>136.41</v>
      </c>
      <c r="L4426" s="20">
        <v>0.1</v>
      </c>
      <c r="M4426" s="19">
        <f>Tienda!$K2732-Tienda!$K2732*Tienda!$L2732</f>
        <v>24.704999999999998</v>
      </c>
      <c r="N4426" s="3" t="s">
        <v>10038</v>
      </c>
      <c r="O4426" s="3" t="s">
        <v>10042</v>
      </c>
      <c r="P4426" s="17">
        <v>45544</v>
      </c>
      <c r="Q4426" s="4">
        <v>3</v>
      </c>
    </row>
    <row r="4427" spans="1:17" ht="30" x14ac:dyDescent="0.25">
      <c r="A4427" s="2" t="s">
        <v>3307</v>
      </c>
      <c r="B4427" s="3" t="s">
        <v>5015</v>
      </c>
      <c r="C4427" s="3">
        <v>45</v>
      </c>
      <c r="D4427" s="46" t="str">
        <f>IF(Tabla1[[#This Row],[EDAD]]&lt;=35,"Adultos jóvenes 18 - 35 años",IF(C4427&gt;=36,"Adultos mayores 36 años en adelante"))</f>
        <v>Adultos mayores 36 años en adelante</v>
      </c>
      <c r="E4427" s="3" t="s">
        <v>5018</v>
      </c>
      <c r="F4427" s="3" t="s">
        <v>5025</v>
      </c>
      <c r="G4427" s="3" t="s">
        <v>5035</v>
      </c>
      <c r="H4427" s="3" t="s">
        <v>8330</v>
      </c>
      <c r="I4427" s="17">
        <v>45543</v>
      </c>
      <c r="J4427" s="18">
        <f>YEAR(Tabla1[[#This Row],[FECHA DE COMPRA]])</f>
        <v>2024</v>
      </c>
      <c r="K4427" s="19">
        <v>136.44999999999999</v>
      </c>
      <c r="L4427" s="20">
        <v>0.1</v>
      </c>
      <c r="M4427" s="19">
        <f>Tienda!$K2734-Tienda!$K2734*Tienda!$L2734</f>
        <v>25.451999999999998</v>
      </c>
      <c r="N4427" s="3" t="s">
        <v>10038</v>
      </c>
      <c r="O4427" s="3" t="s">
        <v>10042</v>
      </c>
      <c r="P4427" s="17">
        <v>45903</v>
      </c>
      <c r="Q4427" s="4">
        <v>12</v>
      </c>
    </row>
    <row r="4428" spans="1:17" ht="30" x14ac:dyDescent="0.25">
      <c r="A4428" s="2" t="s">
        <v>4869</v>
      </c>
      <c r="B4428" s="3" t="s">
        <v>5015</v>
      </c>
      <c r="C4428" s="3">
        <v>45</v>
      </c>
      <c r="D4428" s="46" t="str">
        <f>IF(Tabla1[[#This Row],[EDAD]]&lt;=35,"Adultos jóvenes 18 - 35 años",IF(C4428&gt;=36,"Adultos mayores 36 años en adelante"))</f>
        <v>Adultos mayores 36 años en adelante</v>
      </c>
      <c r="E4428" s="3" t="s">
        <v>5020</v>
      </c>
      <c r="F4428" s="3" t="s">
        <v>5024</v>
      </c>
      <c r="G4428" s="3" t="s">
        <v>5036</v>
      </c>
      <c r="H4428" s="3" t="s">
        <v>9892</v>
      </c>
      <c r="I4428" s="17">
        <v>45535</v>
      </c>
      <c r="J4428" s="18">
        <f>YEAR(Tabla1[[#This Row],[FECHA DE COMPRA]])</f>
        <v>2024</v>
      </c>
      <c r="K4428" s="19">
        <v>136.58000000000001</v>
      </c>
      <c r="L4428" s="20">
        <v>0.1</v>
      </c>
      <c r="M4428" s="19">
        <f>Tienda!$K2735-Tienda!$K2735*Tienda!$L2735</f>
        <v>25.95</v>
      </c>
      <c r="N4428" s="3" t="s">
        <v>10038</v>
      </c>
      <c r="O4428" s="3" t="s">
        <v>10042</v>
      </c>
      <c r="P4428" s="17">
        <v>45625</v>
      </c>
      <c r="Q4428" s="4">
        <v>3</v>
      </c>
    </row>
    <row r="4429" spans="1:17" ht="30" x14ac:dyDescent="0.25">
      <c r="A4429" s="2" t="s">
        <v>3921</v>
      </c>
      <c r="B4429" s="3" t="s">
        <v>5015</v>
      </c>
      <c r="C4429" s="3">
        <v>51</v>
      </c>
      <c r="D4429" s="46" t="str">
        <f>IF(Tabla1[[#This Row],[EDAD]]&lt;=35,"Adultos jóvenes 18 - 35 años",IF(C4429&gt;=36,"Adultos mayores 36 años en adelante"))</f>
        <v>Adultos mayores 36 años en adelante</v>
      </c>
      <c r="E4429" s="3" t="s">
        <v>5023</v>
      </c>
      <c r="F4429" s="3" t="s">
        <v>5025</v>
      </c>
      <c r="G4429" s="3" t="s">
        <v>5037</v>
      </c>
      <c r="H4429" s="3" t="s">
        <v>8944</v>
      </c>
      <c r="I4429" s="17">
        <v>45405</v>
      </c>
      <c r="J4429" s="18">
        <f>YEAR(Tabla1[[#This Row],[FECHA DE COMPRA]])</f>
        <v>2024</v>
      </c>
      <c r="K4429" s="19">
        <v>176.31</v>
      </c>
      <c r="L4429" s="20">
        <v>0.3</v>
      </c>
      <c r="M4429" s="19">
        <f>Tienda!$K2740-Tienda!$K2740*Tienda!$L2740</f>
        <v>29.6</v>
      </c>
      <c r="N4429" s="3" t="s">
        <v>10038</v>
      </c>
      <c r="O4429" s="3" t="s">
        <v>10042</v>
      </c>
      <c r="P4429" s="17">
        <v>45675</v>
      </c>
      <c r="Q4429" s="4">
        <v>9</v>
      </c>
    </row>
    <row r="4430" spans="1:17" ht="30" x14ac:dyDescent="0.25">
      <c r="A4430" s="2" t="s">
        <v>3690</v>
      </c>
      <c r="B4430" s="3" t="s">
        <v>5015</v>
      </c>
      <c r="C4430" s="3">
        <v>45</v>
      </c>
      <c r="D4430" s="46" t="str">
        <f>IF(Tabla1[[#This Row],[EDAD]]&lt;=35,"Adultos jóvenes 18 - 35 años",IF(C4430&gt;=36,"Adultos mayores 36 años en adelante"))</f>
        <v>Adultos mayores 36 años en adelante</v>
      </c>
      <c r="E4430" s="3" t="s">
        <v>5020</v>
      </c>
      <c r="F4430" s="3" t="s">
        <v>5024</v>
      </c>
      <c r="G4430" s="3" t="s">
        <v>5037</v>
      </c>
      <c r="H4430" s="3" t="s">
        <v>8713</v>
      </c>
      <c r="I4430" s="17">
        <v>45316</v>
      </c>
      <c r="J4430" s="18">
        <f>YEAR(Tabla1[[#This Row],[FECHA DE COMPRA]])</f>
        <v>2024</v>
      </c>
      <c r="K4430" s="19">
        <v>176.95</v>
      </c>
      <c r="L4430" s="20">
        <v>0.3</v>
      </c>
      <c r="M4430" s="19">
        <f>Tienda!$K2742-Tienda!$K2742*Tienda!$L2742</f>
        <v>31.045000000000002</v>
      </c>
      <c r="N4430" s="3" t="s">
        <v>10038</v>
      </c>
      <c r="O4430" s="3" t="s">
        <v>10042</v>
      </c>
      <c r="P4430" s="17">
        <v>45316</v>
      </c>
      <c r="Q4430" s="4">
        <v>3</v>
      </c>
    </row>
    <row r="4431" spans="1:17" ht="30" x14ac:dyDescent="0.25">
      <c r="A4431" s="2" t="s">
        <v>4823</v>
      </c>
      <c r="B4431" s="3" t="s">
        <v>5016</v>
      </c>
      <c r="C4431" s="3">
        <v>43</v>
      </c>
      <c r="D4431" s="46" t="str">
        <f>IF(Tabla1[[#This Row],[EDAD]]&lt;=35,"Adultos jóvenes 18 - 35 años",IF(C4431&gt;=36,"Adultos mayores 36 años en adelante"))</f>
        <v>Adultos mayores 36 años en adelante</v>
      </c>
      <c r="E4431" s="3" t="s">
        <v>5023</v>
      </c>
      <c r="F4431" s="3" t="s">
        <v>5024</v>
      </c>
      <c r="G4431" s="3" t="s">
        <v>5033</v>
      </c>
      <c r="H4431" s="3" t="s">
        <v>9846</v>
      </c>
      <c r="I4431" s="17">
        <v>45636</v>
      </c>
      <c r="J4431" s="18">
        <f>YEAR(Tabla1[[#This Row],[FECHA DE COMPRA]])</f>
        <v>2024</v>
      </c>
      <c r="K4431" s="19">
        <v>124.46</v>
      </c>
      <c r="L4431" s="20">
        <v>0</v>
      </c>
      <c r="M4431" s="19">
        <f>Tienda!$K2745-Tienda!$K2745*Tienda!$L2745</f>
        <v>32.216000000000001</v>
      </c>
      <c r="N4431" s="3" t="s">
        <v>10038</v>
      </c>
      <c r="O4431" s="3" t="s">
        <v>10042</v>
      </c>
      <c r="P4431" s="17">
        <v>45446</v>
      </c>
      <c r="Q4431" s="4">
        <v>12</v>
      </c>
    </row>
    <row r="4432" spans="1:17" ht="30" x14ac:dyDescent="0.25">
      <c r="A4432" s="2" t="s">
        <v>2036</v>
      </c>
      <c r="B4432" s="3" t="s">
        <v>5015</v>
      </c>
      <c r="C4432" s="3">
        <v>61</v>
      </c>
      <c r="D4432" s="46" t="str">
        <f>IF(Tabla1[[#This Row],[EDAD]]&lt;=35,"Adultos jóvenes 18 - 35 años",IF(C4432&gt;=36,"Adultos mayores 36 años en adelante"))</f>
        <v>Adultos mayores 36 años en adelante</v>
      </c>
      <c r="E4432" s="3" t="s">
        <v>5020</v>
      </c>
      <c r="F4432" s="3" t="s">
        <v>5025</v>
      </c>
      <c r="G4432" s="3" t="s">
        <v>5037</v>
      </c>
      <c r="H4432" s="3" t="s">
        <v>7059</v>
      </c>
      <c r="I4432" s="17">
        <v>45310</v>
      </c>
      <c r="J4432" s="18">
        <f>YEAR(Tabla1[[#This Row],[FECHA DE COMPRA]])</f>
        <v>2024</v>
      </c>
      <c r="K4432" s="19">
        <v>138.75</v>
      </c>
      <c r="L4432" s="20">
        <v>0.1</v>
      </c>
      <c r="M4432" s="19">
        <f>Tienda!$K2748-Tienda!$K2748*Tienda!$L2748</f>
        <v>33.129000000000005</v>
      </c>
      <c r="N4432" s="3" t="s">
        <v>10038</v>
      </c>
      <c r="O4432" s="3" t="s">
        <v>10042</v>
      </c>
      <c r="P4432" s="17">
        <v>45310</v>
      </c>
      <c r="Q4432" s="4">
        <v>12</v>
      </c>
    </row>
    <row r="4433" spans="1:17" ht="30" x14ac:dyDescent="0.25">
      <c r="A4433" s="2" t="s">
        <v>5002</v>
      </c>
      <c r="B4433" s="3" t="s">
        <v>5016</v>
      </c>
      <c r="C4433" s="3">
        <v>57</v>
      </c>
      <c r="D4433" s="46" t="str">
        <f>IF(Tabla1[[#This Row],[EDAD]]&lt;=35,"Adultos jóvenes 18 - 35 años",IF(C4433&gt;=36,"Adultos mayores 36 años en adelante"))</f>
        <v>Adultos mayores 36 años en adelante</v>
      </c>
      <c r="E4433" s="3" t="s">
        <v>5017</v>
      </c>
      <c r="F4433" s="3" t="s">
        <v>5027</v>
      </c>
      <c r="G4433" s="3" t="s">
        <v>5035</v>
      </c>
      <c r="H4433" s="3" t="s">
        <v>10025</v>
      </c>
      <c r="I4433" s="17">
        <v>45318</v>
      </c>
      <c r="J4433" s="18">
        <f>YEAR(Tabla1[[#This Row],[FECHA DE COMPRA]])</f>
        <v>2024</v>
      </c>
      <c r="K4433" s="19">
        <v>178.59</v>
      </c>
      <c r="L4433" s="20">
        <v>0.3</v>
      </c>
      <c r="M4433" s="19">
        <f>Tienda!$K2750-Tienda!$K2750*Tienda!$L2750</f>
        <v>34.281000000000006</v>
      </c>
      <c r="N4433" s="3" t="s">
        <v>10038</v>
      </c>
      <c r="O4433" s="3" t="s">
        <v>10042</v>
      </c>
      <c r="P4433" s="17">
        <v>45408</v>
      </c>
      <c r="Q4433" s="4">
        <v>3</v>
      </c>
    </row>
    <row r="4434" spans="1:17" ht="30" x14ac:dyDescent="0.25">
      <c r="A4434" s="2" t="s">
        <v>3168</v>
      </c>
      <c r="B4434" s="3" t="s">
        <v>5015</v>
      </c>
      <c r="C4434" s="3">
        <v>43</v>
      </c>
      <c r="D4434" s="46" t="str">
        <f>IF(Tabla1[[#This Row],[EDAD]]&lt;=35,"Adultos jóvenes 18 - 35 años",IF(C4434&gt;=36,"Adultos mayores 36 años en adelante"))</f>
        <v>Adultos mayores 36 años en adelante</v>
      </c>
      <c r="E4434" s="3" t="s">
        <v>5021</v>
      </c>
      <c r="F4434" s="3" t="s">
        <v>5027</v>
      </c>
      <c r="G4434" s="3" t="s">
        <v>5032</v>
      </c>
      <c r="H4434" s="3" t="s">
        <v>8191</v>
      </c>
      <c r="I4434" s="17">
        <v>45473</v>
      </c>
      <c r="J4434" s="18">
        <f>YEAR(Tabla1[[#This Row],[FECHA DE COMPRA]])</f>
        <v>2024</v>
      </c>
      <c r="K4434" s="19">
        <v>125.24</v>
      </c>
      <c r="L4434" s="20">
        <v>0</v>
      </c>
      <c r="M4434" s="19">
        <f>Tienda!$K2752-Tienda!$K2752*Tienda!$L2752</f>
        <v>35.387999999999998</v>
      </c>
      <c r="N4434" s="3" t="s">
        <v>10038</v>
      </c>
      <c r="O4434" s="3" t="s">
        <v>10042</v>
      </c>
      <c r="P4434" s="17">
        <v>45743</v>
      </c>
      <c r="Q4434" s="4">
        <v>9</v>
      </c>
    </row>
    <row r="4435" spans="1:17" ht="30" x14ac:dyDescent="0.25">
      <c r="A4435" s="2" t="s">
        <v>1637</v>
      </c>
      <c r="B4435" s="3" t="s">
        <v>5016</v>
      </c>
      <c r="C4435" s="3">
        <v>47</v>
      </c>
      <c r="D4435" s="46" t="str">
        <f>IF(Tabla1[[#This Row],[EDAD]]&lt;=35,"Adultos jóvenes 18 - 35 años",IF(C4435&gt;=36,"Adultos mayores 36 años en adelante"))</f>
        <v>Adultos mayores 36 años en adelante</v>
      </c>
      <c r="E4435" s="3" t="s">
        <v>5017</v>
      </c>
      <c r="F4435" s="3" t="s">
        <v>5028</v>
      </c>
      <c r="G4435" s="3" t="s">
        <v>5033</v>
      </c>
      <c r="H4435" s="3" t="s">
        <v>6660</v>
      </c>
      <c r="I4435" s="17">
        <v>45435</v>
      </c>
      <c r="J4435" s="18">
        <f>YEAR(Tabla1[[#This Row],[FECHA DE COMPRA]])</f>
        <v>2024</v>
      </c>
      <c r="K4435" s="19">
        <v>139.51</v>
      </c>
      <c r="L4435" s="20">
        <v>0.1</v>
      </c>
      <c r="M4435" s="19">
        <f>Tienda!$K2754-Tienda!$K2754*Tienda!$L2754</f>
        <v>36.323999999999998</v>
      </c>
      <c r="N4435" s="3" t="s">
        <v>10038</v>
      </c>
      <c r="O4435" s="3" t="s">
        <v>10042</v>
      </c>
      <c r="P4435" s="17">
        <v>45615</v>
      </c>
      <c r="Q4435" s="4">
        <v>6</v>
      </c>
    </row>
    <row r="4436" spans="1:17" ht="30" x14ac:dyDescent="0.25">
      <c r="A4436" s="2" t="s">
        <v>2045</v>
      </c>
      <c r="B4436" s="3" t="s">
        <v>5016</v>
      </c>
      <c r="C4436" s="3">
        <v>58</v>
      </c>
      <c r="D4436" s="46" t="str">
        <f>IF(Tabla1[[#This Row],[EDAD]]&lt;=35,"Adultos jóvenes 18 - 35 años",IF(C4436&gt;=36,"Adultos mayores 36 años en adelante"))</f>
        <v>Adultos mayores 36 años en adelante</v>
      </c>
      <c r="E4436" s="3" t="s">
        <v>5017</v>
      </c>
      <c r="F4436" s="3" t="s">
        <v>5025</v>
      </c>
      <c r="G4436" s="3" t="s">
        <v>5036</v>
      </c>
      <c r="H4436" s="3" t="s">
        <v>7068</v>
      </c>
      <c r="I4436" s="17">
        <v>45336</v>
      </c>
      <c r="J4436" s="18">
        <f>YEAR(Tabla1[[#This Row],[FECHA DE COMPRA]])</f>
        <v>2024</v>
      </c>
      <c r="K4436" s="19">
        <v>179.56</v>
      </c>
      <c r="L4436" s="20">
        <v>0.3</v>
      </c>
      <c r="M4436" s="19">
        <f>Tienda!$K2757-Tienda!$K2757*Tienda!$L2757</f>
        <v>37.44</v>
      </c>
      <c r="N4436" s="3" t="s">
        <v>10038</v>
      </c>
      <c r="O4436" s="3" t="s">
        <v>10042</v>
      </c>
      <c r="P4436" s="17">
        <v>45336</v>
      </c>
      <c r="Q4436" s="4">
        <v>6</v>
      </c>
    </row>
    <row r="4437" spans="1:17" ht="30" x14ac:dyDescent="0.25">
      <c r="A4437" s="2" t="s">
        <v>3150</v>
      </c>
      <c r="B4437" s="3" t="s">
        <v>5016</v>
      </c>
      <c r="C4437" s="3">
        <v>48</v>
      </c>
      <c r="D4437" s="46" t="str">
        <f>IF(Tabla1[[#This Row],[EDAD]]&lt;=35,"Adultos jóvenes 18 - 35 años",IF(C4437&gt;=36,"Adultos mayores 36 años en adelante"))</f>
        <v>Adultos mayores 36 años en adelante</v>
      </c>
      <c r="E4437" s="3" t="s">
        <v>5021</v>
      </c>
      <c r="F4437" s="3" t="s">
        <v>5028</v>
      </c>
      <c r="G4437" s="3" t="s">
        <v>5035</v>
      </c>
      <c r="H4437" s="3" t="s">
        <v>8173</v>
      </c>
      <c r="I4437" s="17">
        <v>45594</v>
      </c>
      <c r="J4437" s="18">
        <f>YEAR(Tabla1[[#This Row],[FECHA DE COMPRA]])</f>
        <v>2024</v>
      </c>
      <c r="K4437" s="19">
        <v>157.46</v>
      </c>
      <c r="L4437" s="20">
        <v>0.2</v>
      </c>
      <c r="M4437" s="19">
        <f>Tienda!$K2762-Tienda!$K2762*Tienda!$L2762</f>
        <v>41.341999999999999</v>
      </c>
      <c r="N4437" s="3" t="s">
        <v>10038</v>
      </c>
      <c r="O4437" s="3" t="s">
        <v>10042</v>
      </c>
      <c r="P4437" s="17">
        <v>45684</v>
      </c>
      <c r="Q4437" s="4">
        <v>3</v>
      </c>
    </row>
    <row r="4438" spans="1:17" ht="30" x14ac:dyDescent="0.25">
      <c r="A4438" s="2" t="s">
        <v>3786</v>
      </c>
      <c r="B4438" s="3" t="s">
        <v>5015</v>
      </c>
      <c r="C4438" s="3">
        <v>41</v>
      </c>
      <c r="D4438" s="46" t="str">
        <f>IF(Tabla1[[#This Row],[EDAD]]&lt;=35,"Adultos jóvenes 18 - 35 años",IF(C4438&gt;=36,"Adultos mayores 36 años en adelante"))</f>
        <v>Adultos mayores 36 años en adelante</v>
      </c>
      <c r="E4438" s="3" t="s">
        <v>5018</v>
      </c>
      <c r="F4438" s="3" t="s">
        <v>5026</v>
      </c>
      <c r="G4438" s="3" t="s">
        <v>5031</v>
      </c>
      <c r="H4438" s="3" t="s">
        <v>8809</v>
      </c>
      <c r="I4438" s="17">
        <v>45649</v>
      </c>
      <c r="J4438" s="18">
        <f>YEAR(Tabla1[[#This Row],[FECHA DE COMPRA]])</f>
        <v>2024</v>
      </c>
      <c r="K4438" s="19">
        <v>157.52000000000001</v>
      </c>
      <c r="L4438" s="20">
        <v>0.2</v>
      </c>
      <c r="M4438" s="19">
        <f>Tienda!$K2763-Tienda!$K2763*Tienda!$L2763</f>
        <v>42.034999999999997</v>
      </c>
      <c r="N4438" s="3" t="s">
        <v>10038</v>
      </c>
      <c r="O4438" s="3" t="s">
        <v>10042</v>
      </c>
      <c r="P4438" s="17">
        <v>45663</v>
      </c>
      <c r="Q4438" s="4">
        <v>12</v>
      </c>
    </row>
    <row r="4439" spans="1:17" ht="30" x14ac:dyDescent="0.25">
      <c r="A4439" s="2" t="s">
        <v>2664</v>
      </c>
      <c r="B4439" s="3" t="s">
        <v>5015</v>
      </c>
      <c r="C4439" s="3">
        <v>51</v>
      </c>
      <c r="D4439" s="46" t="str">
        <f>IF(Tabla1[[#This Row],[EDAD]]&lt;=35,"Adultos jóvenes 18 - 35 años",IF(C4439&gt;=36,"Adultos mayores 36 años en adelante"))</f>
        <v>Adultos mayores 36 años en adelante</v>
      </c>
      <c r="E4439" s="3" t="s">
        <v>5021</v>
      </c>
      <c r="F4439" s="3" t="s">
        <v>5030</v>
      </c>
      <c r="G4439" s="3" t="s">
        <v>5037</v>
      </c>
      <c r="H4439" s="3" t="s">
        <v>7687</v>
      </c>
      <c r="I4439" s="17">
        <v>45575</v>
      </c>
      <c r="J4439" s="18">
        <f>YEAR(Tabla1[[#This Row],[FECHA DE COMPRA]])</f>
        <v>2024</v>
      </c>
      <c r="K4439" s="19">
        <v>126.16</v>
      </c>
      <c r="L4439" s="20">
        <v>0</v>
      </c>
      <c r="M4439" s="19">
        <f>Tienda!$K2764-Tienda!$K2764*Tienda!$L2764</f>
        <v>42.048999999999999</v>
      </c>
      <c r="N4439" s="3" t="s">
        <v>10038</v>
      </c>
      <c r="O4439" s="3" t="s">
        <v>10042</v>
      </c>
      <c r="P4439" s="17">
        <v>45935</v>
      </c>
      <c r="Q4439" s="4">
        <v>12</v>
      </c>
    </row>
    <row r="4440" spans="1:17" ht="30" x14ac:dyDescent="0.25">
      <c r="A4440" s="2" t="s">
        <v>3129</v>
      </c>
      <c r="B4440" s="3" t="s">
        <v>5015</v>
      </c>
      <c r="C4440" s="3">
        <v>55</v>
      </c>
      <c r="D4440" s="46" t="str">
        <f>IF(Tabla1[[#This Row],[EDAD]]&lt;=35,"Adultos jóvenes 18 - 35 años",IF(C4440&gt;=36,"Adultos mayores 36 años en adelante"))</f>
        <v>Adultos mayores 36 años en adelante</v>
      </c>
      <c r="E4440" s="3" t="s">
        <v>5021</v>
      </c>
      <c r="F4440" s="3" t="s">
        <v>5028</v>
      </c>
      <c r="G4440" s="3" t="s">
        <v>5036</v>
      </c>
      <c r="H4440" s="3" t="s">
        <v>8152</v>
      </c>
      <c r="I4440" s="17">
        <v>45618</v>
      </c>
      <c r="J4440" s="18">
        <f>YEAR(Tabla1[[#This Row],[FECHA DE COMPRA]])</f>
        <v>2024</v>
      </c>
      <c r="K4440" s="19">
        <v>140.28</v>
      </c>
      <c r="L4440" s="20">
        <v>0.1</v>
      </c>
      <c r="M4440" s="19">
        <f>Tienda!$K2766-Tienda!$K2766*Tienda!$L2766</f>
        <v>42.68</v>
      </c>
      <c r="N4440" s="3" t="s">
        <v>10038</v>
      </c>
      <c r="O4440" s="3" t="s">
        <v>10042</v>
      </c>
      <c r="P4440" s="17">
        <v>45830</v>
      </c>
      <c r="Q4440" s="4">
        <v>12</v>
      </c>
    </row>
    <row r="4441" spans="1:17" ht="30" x14ac:dyDescent="0.25">
      <c r="A4441" s="2" t="s">
        <v>3077</v>
      </c>
      <c r="B4441" s="3" t="s">
        <v>5015</v>
      </c>
      <c r="C4441" s="3">
        <v>46</v>
      </c>
      <c r="D4441" s="46" t="str">
        <f>IF(Tabla1[[#This Row],[EDAD]]&lt;=35,"Adultos jóvenes 18 - 35 años",IF(C4441&gt;=36,"Adultos mayores 36 años en adelante"))</f>
        <v>Adultos mayores 36 años en adelante</v>
      </c>
      <c r="E4441" s="3" t="s">
        <v>5020</v>
      </c>
      <c r="F4441" s="3" t="s">
        <v>5028</v>
      </c>
      <c r="G4441" s="3" t="s">
        <v>5035</v>
      </c>
      <c r="H4441" s="3" t="s">
        <v>8100</v>
      </c>
      <c r="I4441" s="17">
        <v>45310</v>
      </c>
      <c r="J4441" s="18">
        <f>YEAR(Tabla1[[#This Row],[FECHA DE COMPRA]])</f>
        <v>2024</v>
      </c>
      <c r="K4441" s="19">
        <v>158.86000000000001</v>
      </c>
      <c r="L4441" s="20">
        <v>0.2</v>
      </c>
      <c r="M4441" s="19">
        <f>Tienda!$K2771-Tienda!$K2771*Tienda!$L2771</f>
        <v>44.163000000000004</v>
      </c>
      <c r="N4441" s="3" t="s">
        <v>10038</v>
      </c>
      <c r="O4441" s="3" t="s">
        <v>10042</v>
      </c>
      <c r="P4441" s="17">
        <v>45310</v>
      </c>
      <c r="Q4441" s="4">
        <v>3</v>
      </c>
    </row>
    <row r="4442" spans="1:17" ht="30" x14ac:dyDescent="0.25">
      <c r="A4442" s="2" t="s">
        <v>4477</v>
      </c>
      <c r="B4442" s="3" t="s">
        <v>5015</v>
      </c>
      <c r="C4442" s="3">
        <v>52</v>
      </c>
      <c r="D4442" s="46" t="str">
        <f>IF(Tabla1[[#This Row],[EDAD]]&lt;=35,"Adultos jóvenes 18 - 35 años",IF(C4442&gt;=36,"Adultos mayores 36 años en adelante"))</f>
        <v>Adultos mayores 36 años en adelante</v>
      </c>
      <c r="E4442" s="3" t="s">
        <v>5021</v>
      </c>
      <c r="F4442" s="3" t="s">
        <v>5030</v>
      </c>
      <c r="G4442" s="3" t="s">
        <v>5033</v>
      </c>
      <c r="H4442" s="3" t="s">
        <v>9500</v>
      </c>
      <c r="I4442" s="17">
        <v>45329</v>
      </c>
      <c r="J4442" s="18">
        <f>YEAR(Tabla1[[#This Row],[FECHA DE COMPRA]])</f>
        <v>2024</v>
      </c>
      <c r="K4442" s="19">
        <v>141.29</v>
      </c>
      <c r="L4442" s="20">
        <v>0.1</v>
      </c>
      <c r="M4442" s="19">
        <f>Tienda!$K2772-Tienda!$K2772*Tienda!$L2772</f>
        <v>44.207999999999998</v>
      </c>
      <c r="N4442" s="3" t="s">
        <v>10038</v>
      </c>
      <c r="O4442" s="3" t="s">
        <v>10042</v>
      </c>
      <c r="P4442" s="17">
        <v>45689</v>
      </c>
      <c r="Q4442" s="4">
        <v>12</v>
      </c>
    </row>
    <row r="4443" spans="1:17" ht="30" x14ac:dyDescent="0.25">
      <c r="A4443" s="2" t="s">
        <v>3610</v>
      </c>
      <c r="B4443" s="3" t="s">
        <v>5016</v>
      </c>
      <c r="C4443" s="3">
        <v>40</v>
      </c>
      <c r="D4443" s="46" t="str">
        <f>IF(Tabla1[[#This Row],[EDAD]]&lt;=35,"Adultos jóvenes 18 - 35 años",IF(C4443&gt;=36,"Adultos mayores 36 años en adelante"))</f>
        <v>Adultos mayores 36 años en adelante</v>
      </c>
      <c r="E4443" s="3" t="s">
        <v>5017</v>
      </c>
      <c r="F4443" s="3" t="s">
        <v>5030</v>
      </c>
      <c r="G4443" s="3" t="s">
        <v>5035</v>
      </c>
      <c r="H4443" s="3" t="s">
        <v>8633</v>
      </c>
      <c r="I4443" s="17">
        <v>45573</v>
      </c>
      <c r="J4443" s="18">
        <f>YEAR(Tabla1[[#This Row],[FECHA DE COMPRA]])</f>
        <v>2024</v>
      </c>
      <c r="K4443" s="19">
        <v>181.91</v>
      </c>
      <c r="L4443" s="20">
        <v>0.3</v>
      </c>
      <c r="M4443" s="19">
        <f>Tienda!$K2774-Tienda!$K2774*Tienda!$L2774</f>
        <v>45.260999999999996</v>
      </c>
      <c r="N4443" s="3" t="s">
        <v>10038</v>
      </c>
      <c r="O4443" s="3" t="s">
        <v>10042</v>
      </c>
      <c r="P4443" s="17">
        <v>45573</v>
      </c>
      <c r="Q4443" s="4">
        <v>12</v>
      </c>
    </row>
    <row r="4444" spans="1:17" ht="30" x14ac:dyDescent="0.25">
      <c r="A4444" s="2" t="s">
        <v>1890</v>
      </c>
      <c r="B4444" s="3" t="s">
        <v>5015</v>
      </c>
      <c r="C4444" s="3">
        <v>56</v>
      </c>
      <c r="D4444" s="46" t="str">
        <f>IF(Tabla1[[#This Row],[EDAD]]&lt;=35,"Adultos jóvenes 18 - 35 años",IF(C4444&gt;=36,"Adultos mayores 36 años en adelante"))</f>
        <v>Adultos mayores 36 años en adelante</v>
      </c>
      <c r="E4444" s="3" t="s">
        <v>5021</v>
      </c>
      <c r="F4444" s="3" t="s">
        <v>5028</v>
      </c>
      <c r="G4444" s="3" t="s">
        <v>5032</v>
      </c>
      <c r="H4444" s="3" t="s">
        <v>6913</v>
      </c>
      <c r="I4444" s="17">
        <v>45540</v>
      </c>
      <c r="J4444" s="18">
        <f>YEAR(Tabla1[[#This Row],[FECHA DE COMPRA]])</f>
        <v>2024</v>
      </c>
      <c r="K4444" s="19">
        <v>127.89</v>
      </c>
      <c r="L4444" s="20">
        <v>0</v>
      </c>
      <c r="M4444" s="19">
        <f>Tienda!$K2779-Tienda!$K2779*Tienda!$L2779</f>
        <v>47.079000000000001</v>
      </c>
      <c r="N4444" s="3" t="s">
        <v>10038</v>
      </c>
      <c r="O4444" s="3" t="s">
        <v>10042</v>
      </c>
      <c r="P4444" s="17">
        <v>45720</v>
      </c>
      <c r="Q4444" s="4">
        <v>6</v>
      </c>
    </row>
    <row r="4445" spans="1:17" ht="30" x14ac:dyDescent="0.25">
      <c r="A4445" s="2" t="s">
        <v>145</v>
      </c>
      <c r="B4445" s="3" t="s">
        <v>5016</v>
      </c>
      <c r="C4445" s="3">
        <v>49</v>
      </c>
      <c r="D4445" s="46" t="str">
        <f>IF(Tabla1[[#This Row],[EDAD]]&lt;=35,"Adultos jóvenes 18 - 35 años",IF(C4445&gt;=36,"Adultos mayores 36 años en adelante"))</f>
        <v>Adultos mayores 36 años en adelante</v>
      </c>
      <c r="E4445" s="3" t="s">
        <v>5017</v>
      </c>
      <c r="F4445" s="3" t="s">
        <v>5029</v>
      </c>
      <c r="G4445" s="3" t="s">
        <v>5031</v>
      </c>
      <c r="H4445" s="3" t="s">
        <v>5168</v>
      </c>
      <c r="I4445" s="17">
        <v>45531</v>
      </c>
      <c r="J4445" s="18">
        <f>YEAR(Tabla1[[#This Row],[FECHA DE COMPRA]])</f>
        <v>2024</v>
      </c>
      <c r="K4445" s="19">
        <v>160.21</v>
      </c>
      <c r="L4445" s="20">
        <v>0.2</v>
      </c>
      <c r="M4445" s="19">
        <f>Tienda!$K2781-Tienda!$K2781*Tienda!$L2781</f>
        <v>47.49</v>
      </c>
      <c r="N4445" s="3" t="s">
        <v>10038</v>
      </c>
      <c r="O4445" s="3" t="s">
        <v>10042</v>
      </c>
      <c r="P4445" s="17">
        <v>45801</v>
      </c>
      <c r="Q4445" s="4">
        <v>9</v>
      </c>
    </row>
    <row r="4446" spans="1:17" ht="30" x14ac:dyDescent="0.25">
      <c r="A4446" s="2" t="s">
        <v>3936</v>
      </c>
      <c r="B4446" s="3" t="s">
        <v>5015</v>
      </c>
      <c r="C4446" s="3">
        <v>63</v>
      </c>
      <c r="D4446" s="46" t="str">
        <f>IF(Tabla1[[#This Row],[EDAD]]&lt;=35,"Adultos jóvenes 18 - 35 años",IF(C4446&gt;=36,"Adultos mayores 36 años en adelante"))</f>
        <v>Adultos mayores 36 años en adelante</v>
      </c>
      <c r="E4446" s="3" t="s">
        <v>5020</v>
      </c>
      <c r="F4446" s="3" t="s">
        <v>5025</v>
      </c>
      <c r="G4446" s="3" t="s">
        <v>5033</v>
      </c>
      <c r="H4446" s="3" t="s">
        <v>8959</v>
      </c>
      <c r="I4446" s="17">
        <v>45453</v>
      </c>
      <c r="J4446" s="18">
        <f>YEAR(Tabla1[[#This Row],[FECHA DE COMPRA]])</f>
        <v>2024</v>
      </c>
      <c r="K4446" s="19">
        <v>143.21</v>
      </c>
      <c r="L4446" s="20">
        <v>0.1</v>
      </c>
      <c r="M4446" s="19">
        <f>Tienda!$K2787-Tienda!$K2787*Tienda!$L2787</f>
        <v>51.344000000000008</v>
      </c>
      <c r="N4446" s="3" t="s">
        <v>10038</v>
      </c>
      <c r="O4446" s="3" t="s">
        <v>10042</v>
      </c>
      <c r="P4446" s="17">
        <v>45543</v>
      </c>
      <c r="Q4446" s="4">
        <v>3</v>
      </c>
    </row>
    <row r="4447" spans="1:17" ht="30" x14ac:dyDescent="0.25">
      <c r="A4447" s="2" t="s">
        <v>4351</v>
      </c>
      <c r="B4447" s="3" t="s">
        <v>5015</v>
      </c>
      <c r="C4447" s="3">
        <v>52</v>
      </c>
      <c r="D4447" s="46" t="str">
        <f>IF(Tabla1[[#This Row],[EDAD]]&lt;=35,"Adultos jóvenes 18 - 35 años",IF(C4447&gt;=36,"Adultos mayores 36 años en adelante"))</f>
        <v>Adultos mayores 36 años en adelante</v>
      </c>
      <c r="E4447" s="3" t="s">
        <v>5021</v>
      </c>
      <c r="F4447" s="3" t="s">
        <v>5028</v>
      </c>
      <c r="G4447" s="3" t="s">
        <v>5031</v>
      </c>
      <c r="H4447" s="3" t="s">
        <v>9374</v>
      </c>
      <c r="I4447" s="17">
        <v>45487</v>
      </c>
      <c r="J4447" s="18">
        <f>YEAR(Tabla1[[#This Row],[FECHA DE COMPRA]])</f>
        <v>2024</v>
      </c>
      <c r="K4447" s="19">
        <v>130.09</v>
      </c>
      <c r="L4447" s="20">
        <v>0</v>
      </c>
      <c r="M4447" s="19">
        <f>Tienda!$K2791-Tienda!$K2791*Tienda!$L2791</f>
        <v>54.136000000000003</v>
      </c>
      <c r="N4447" s="3" t="s">
        <v>10038</v>
      </c>
      <c r="O4447" s="3" t="s">
        <v>10042</v>
      </c>
      <c r="P4447" s="17">
        <v>45487</v>
      </c>
      <c r="Q4447" s="4">
        <v>12</v>
      </c>
    </row>
    <row r="4448" spans="1:17" ht="30" x14ac:dyDescent="0.25">
      <c r="A4448" s="2" t="s">
        <v>572</v>
      </c>
      <c r="B4448" s="3" t="s">
        <v>5015</v>
      </c>
      <c r="C4448" s="3">
        <v>65</v>
      </c>
      <c r="D4448" s="46" t="str">
        <f>IF(Tabla1[[#This Row],[EDAD]]&lt;=35,"Adultos jóvenes 18 - 35 años",IF(C4448&gt;=36,"Adultos mayores 36 años en adelante"))</f>
        <v>Adultos mayores 36 años en adelante</v>
      </c>
      <c r="E4448" s="3" t="s">
        <v>5017</v>
      </c>
      <c r="F4448" s="3" t="s">
        <v>5028</v>
      </c>
      <c r="G4448" s="3" t="s">
        <v>5031</v>
      </c>
      <c r="H4448" s="3" t="s">
        <v>5595</v>
      </c>
      <c r="I4448" s="17">
        <v>45387</v>
      </c>
      <c r="J4448" s="18">
        <f>YEAR(Tabla1[[#This Row],[FECHA DE COMPRA]])</f>
        <v>2024</v>
      </c>
      <c r="K4448" s="19">
        <v>185.87</v>
      </c>
      <c r="L4448" s="20">
        <v>0.3</v>
      </c>
      <c r="M4448" s="19">
        <f>Tienda!$K2792-Tienda!$K2792*Tienda!$L2792</f>
        <v>54.31</v>
      </c>
      <c r="N4448" s="3" t="s">
        <v>10038</v>
      </c>
      <c r="O4448" s="3" t="s">
        <v>10042</v>
      </c>
      <c r="P4448" s="17">
        <v>45387</v>
      </c>
      <c r="Q4448" s="4">
        <v>6</v>
      </c>
    </row>
    <row r="4449" spans="1:17" ht="30" x14ac:dyDescent="0.25">
      <c r="A4449" s="2" t="s">
        <v>2219</v>
      </c>
      <c r="B4449" s="3" t="s">
        <v>5015</v>
      </c>
      <c r="C4449" s="3">
        <v>44</v>
      </c>
      <c r="D4449" s="46" t="str">
        <f>IF(Tabla1[[#This Row],[EDAD]]&lt;=35,"Adultos jóvenes 18 - 35 años",IF(C4449&gt;=36,"Adultos mayores 36 años en adelante"))</f>
        <v>Adultos mayores 36 años en adelante</v>
      </c>
      <c r="E4449" s="3" t="s">
        <v>5022</v>
      </c>
      <c r="F4449" s="3" t="s">
        <v>5027</v>
      </c>
      <c r="G4449" s="3" t="s">
        <v>5031</v>
      </c>
      <c r="H4449" s="3" t="s">
        <v>7242</v>
      </c>
      <c r="I4449" s="17">
        <v>45540</v>
      </c>
      <c r="J4449" s="18">
        <f>YEAR(Tabla1[[#This Row],[FECHA DE COMPRA]])</f>
        <v>2024</v>
      </c>
      <c r="K4449" s="19">
        <v>144.72999999999999</v>
      </c>
      <c r="L4449" s="20">
        <v>0.1</v>
      </c>
      <c r="M4449" s="19">
        <f>Tienda!$K2793-Tienda!$K2793*Tienda!$L2793</f>
        <v>55.179000000000002</v>
      </c>
      <c r="N4449" s="3" t="s">
        <v>10038</v>
      </c>
      <c r="O4449" s="3" t="s">
        <v>10042</v>
      </c>
      <c r="P4449" s="17">
        <v>45630</v>
      </c>
      <c r="Q4449" s="4">
        <v>3</v>
      </c>
    </row>
    <row r="4450" spans="1:17" ht="30" x14ac:dyDescent="0.25">
      <c r="A4450" s="2" t="s">
        <v>2920</v>
      </c>
      <c r="B4450" s="3" t="s">
        <v>5015</v>
      </c>
      <c r="C4450" s="3">
        <v>52</v>
      </c>
      <c r="D4450" s="46" t="str">
        <f>IF(Tabla1[[#This Row],[EDAD]]&lt;=35,"Adultos jóvenes 18 - 35 años",IF(C4450&gt;=36,"Adultos mayores 36 años en adelante"))</f>
        <v>Adultos mayores 36 años en adelante</v>
      </c>
      <c r="E4450" s="3" t="s">
        <v>5020</v>
      </c>
      <c r="F4450" s="3" t="s">
        <v>5024</v>
      </c>
      <c r="G4450" s="3" t="s">
        <v>5033</v>
      </c>
      <c r="H4450" s="3" t="s">
        <v>7943</v>
      </c>
      <c r="I4450" s="17">
        <v>45326</v>
      </c>
      <c r="J4450" s="18">
        <f>YEAR(Tabla1[[#This Row],[FECHA DE COMPRA]])</f>
        <v>2024</v>
      </c>
      <c r="K4450" s="19">
        <v>186.67</v>
      </c>
      <c r="L4450" s="20">
        <v>0.3</v>
      </c>
      <c r="M4450" s="19">
        <f>Tienda!$K2797-Tienda!$K2797*Tienda!$L2797</f>
        <v>55.591999999999999</v>
      </c>
      <c r="N4450" s="3" t="s">
        <v>10038</v>
      </c>
      <c r="O4450" s="3" t="s">
        <v>10042</v>
      </c>
      <c r="P4450" s="17">
        <v>45686</v>
      </c>
      <c r="Q4450" s="4">
        <v>12</v>
      </c>
    </row>
    <row r="4451" spans="1:17" ht="30" x14ac:dyDescent="0.25">
      <c r="A4451" s="2" t="s">
        <v>1572</v>
      </c>
      <c r="B4451" s="3" t="s">
        <v>5015</v>
      </c>
      <c r="C4451" s="3">
        <v>54</v>
      </c>
      <c r="D4451" s="46" t="str">
        <f>IF(Tabla1[[#This Row],[EDAD]]&lt;=35,"Adultos jóvenes 18 - 35 años",IF(C4451&gt;=36,"Adultos mayores 36 años en adelante"))</f>
        <v>Adultos mayores 36 años en adelante</v>
      </c>
      <c r="E4451" s="3" t="s">
        <v>5017</v>
      </c>
      <c r="F4451" s="3" t="s">
        <v>5030</v>
      </c>
      <c r="G4451" s="3" t="s">
        <v>5033</v>
      </c>
      <c r="H4451" s="3" t="s">
        <v>6595</v>
      </c>
      <c r="I4451" s="17">
        <v>45631</v>
      </c>
      <c r="J4451" s="18">
        <f>YEAR(Tabla1[[#This Row],[FECHA DE COMPRA]])</f>
        <v>2024</v>
      </c>
      <c r="K4451" s="19">
        <v>163.65</v>
      </c>
      <c r="L4451" s="20">
        <v>0.2</v>
      </c>
      <c r="M4451" s="19">
        <f>Tienda!$K2800-Tienda!$K2800*Tienda!$L2800</f>
        <v>58.707000000000001</v>
      </c>
      <c r="N4451" s="3" t="s">
        <v>10038</v>
      </c>
      <c r="O4451" s="3" t="s">
        <v>10042</v>
      </c>
      <c r="P4451" s="17">
        <v>45811</v>
      </c>
      <c r="Q4451" s="4">
        <v>6</v>
      </c>
    </row>
    <row r="4452" spans="1:17" ht="30" x14ac:dyDescent="0.25">
      <c r="A4452" s="2" t="s">
        <v>1002</v>
      </c>
      <c r="B4452" s="3" t="s">
        <v>5015</v>
      </c>
      <c r="C4452" s="3">
        <v>36</v>
      </c>
      <c r="D4452" s="46" t="str">
        <f>IF(Tabla1[[#This Row],[EDAD]]&lt;=35,"Adultos jóvenes 18 - 35 años",IF(C4452&gt;=36,"Adultos mayores 36 años en adelante"))</f>
        <v>Adultos mayores 36 años en adelante</v>
      </c>
      <c r="E4452" s="3" t="s">
        <v>5020</v>
      </c>
      <c r="F4452" s="3" t="s">
        <v>5027</v>
      </c>
      <c r="G4452" s="3" t="s">
        <v>5037</v>
      </c>
      <c r="H4452" s="3" t="s">
        <v>6025</v>
      </c>
      <c r="I4452" s="17">
        <v>45311</v>
      </c>
      <c r="J4452" s="18">
        <f>YEAR(Tabla1[[#This Row],[FECHA DE COMPRA]])</f>
        <v>2024</v>
      </c>
      <c r="K4452" s="19">
        <v>145.61000000000001</v>
      </c>
      <c r="L4452" s="20">
        <v>0.1</v>
      </c>
      <c r="M4452" s="19">
        <f>Tienda!$K2802-Tienda!$K2802*Tienda!$L2802</f>
        <v>59.563000000000002</v>
      </c>
      <c r="N4452" s="3" t="s">
        <v>10038</v>
      </c>
      <c r="O4452" s="3" t="s">
        <v>10042</v>
      </c>
      <c r="P4452" s="17">
        <v>45311</v>
      </c>
      <c r="Q4452" s="4">
        <v>6</v>
      </c>
    </row>
    <row r="4453" spans="1:17" ht="30" x14ac:dyDescent="0.25">
      <c r="A4453" s="2" t="s">
        <v>2003</v>
      </c>
      <c r="B4453" s="3" t="s">
        <v>5015</v>
      </c>
      <c r="C4453" s="3">
        <v>47</v>
      </c>
      <c r="D4453" s="46" t="str">
        <f>IF(Tabla1[[#This Row],[EDAD]]&lt;=35,"Adultos jóvenes 18 - 35 años",IF(C4453&gt;=36,"Adultos mayores 36 años en adelante"))</f>
        <v>Adultos mayores 36 años en adelante</v>
      </c>
      <c r="E4453" s="3" t="s">
        <v>5023</v>
      </c>
      <c r="F4453" s="3" t="s">
        <v>5025</v>
      </c>
      <c r="G4453" s="3" t="s">
        <v>5036</v>
      </c>
      <c r="H4453" s="3" t="s">
        <v>7026</v>
      </c>
      <c r="I4453" s="17">
        <v>45649</v>
      </c>
      <c r="J4453" s="18">
        <f>YEAR(Tabla1[[#This Row],[FECHA DE COMPRA]])</f>
        <v>2024</v>
      </c>
      <c r="K4453" s="19">
        <v>131.30000000000001</v>
      </c>
      <c r="L4453" s="20">
        <v>0</v>
      </c>
      <c r="M4453" s="19">
        <f>Tienda!$K2804-Tienda!$K2804*Tienda!$L2804</f>
        <v>61.65</v>
      </c>
      <c r="N4453" s="3" t="s">
        <v>10038</v>
      </c>
      <c r="O4453" s="3" t="s">
        <v>10042</v>
      </c>
      <c r="P4453" s="17">
        <v>45390</v>
      </c>
      <c r="Q4453" s="4">
        <v>3</v>
      </c>
    </row>
    <row r="4454" spans="1:17" ht="30" x14ac:dyDescent="0.25">
      <c r="A4454" s="2" t="s">
        <v>3809</v>
      </c>
      <c r="B4454" s="3" t="s">
        <v>5016</v>
      </c>
      <c r="C4454" s="3">
        <v>61</v>
      </c>
      <c r="D4454" s="46" t="str">
        <f>IF(Tabla1[[#This Row],[EDAD]]&lt;=35,"Adultos jóvenes 18 - 35 años",IF(C4454&gt;=36,"Adultos mayores 36 años en adelante"))</f>
        <v>Adultos mayores 36 años en adelante</v>
      </c>
      <c r="E4454" s="3" t="s">
        <v>5017</v>
      </c>
      <c r="F4454" s="3" t="s">
        <v>5026</v>
      </c>
      <c r="G4454" s="3" t="s">
        <v>5037</v>
      </c>
      <c r="H4454" s="3" t="s">
        <v>8832</v>
      </c>
      <c r="I4454" s="17">
        <v>45395</v>
      </c>
      <c r="J4454" s="18">
        <f>YEAR(Tabla1[[#This Row],[FECHA DE COMPRA]])</f>
        <v>2024</v>
      </c>
      <c r="K4454" s="19">
        <v>164.39</v>
      </c>
      <c r="L4454" s="20">
        <v>0.2</v>
      </c>
      <c r="M4454" s="19">
        <f>Tienda!$K2808-Tienda!$K2808*Tienda!$L2808</f>
        <v>63.076999999999998</v>
      </c>
      <c r="N4454" s="3" t="s">
        <v>10038</v>
      </c>
      <c r="O4454" s="3" t="s">
        <v>10042</v>
      </c>
      <c r="P4454" s="17">
        <v>45575</v>
      </c>
      <c r="Q4454" s="4">
        <v>6</v>
      </c>
    </row>
    <row r="4455" spans="1:17" ht="30" x14ac:dyDescent="0.25">
      <c r="A4455" s="2" t="s">
        <v>2476</v>
      </c>
      <c r="B4455" s="3" t="s">
        <v>5015</v>
      </c>
      <c r="C4455" s="3">
        <v>48</v>
      </c>
      <c r="D4455" s="46" t="str">
        <f>IF(Tabla1[[#This Row],[EDAD]]&lt;=35,"Adultos jóvenes 18 - 35 años",IF(C4455&gt;=36,"Adultos mayores 36 años en adelante"))</f>
        <v>Adultos mayores 36 años en adelante</v>
      </c>
      <c r="E4455" s="3" t="s">
        <v>5023</v>
      </c>
      <c r="F4455" s="3" t="s">
        <v>5025</v>
      </c>
      <c r="G4455" s="3" t="s">
        <v>5037</v>
      </c>
      <c r="H4455" s="3" t="s">
        <v>7499</v>
      </c>
      <c r="I4455" s="17">
        <v>45332</v>
      </c>
      <c r="J4455" s="18">
        <f>YEAR(Tabla1[[#This Row],[FECHA DE COMPRA]])</f>
        <v>2024</v>
      </c>
      <c r="K4455" s="19">
        <v>146.59</v>
      </c>
      <c r="L4455" s="20">
        <v>0.1</v>
      </c>
      <c r="M4455" s="19">
        <f>Tienda!$K2810-Tienda!$K2810*Tienda!$L2810</f>
        <v>63.527999999999999</v>
      </c>
      <c r="N4455" s="3" t="s">
        <v>10038</v>
      </c>
      <c r="O4455" s="3" t="s">
        <v>10042</v>
      </c>
      <c r="P4455" s="17">
        <v>45692</v>
      </c>
      <c r="Q4455" s="4">
        <v>12</v>
      </c>
    </row>
    <row r="4456" spans="1:17" ht="30" x14ac:dyDescent="0.25">
      <c r="A4456" s="2" t="s">
        <v>2446</v>
      </c>
      <c r="B4456" s="3" t="s">
        <v>5016</v>
      </c>
      <c r="C4456" s="3">
        <v>53</v>
      </c>
      <c r="D4456" s="46" t="str">
        <f>IF(Tabla1[[#This Row],[EDAD]]&lt;=35,"Adultos jóvenes 18 - 35 años",IF(C4456&gt;=36,"Adultos mayores 36 años en adelante"))</f>
        <v>Adultos mayores 36 años en adelante</v>
      </c>
      <c r="E4456" s="3" t="s">
        <v>5019</v>
      </c>
      <c r="F4456" s="3" t="s">
        <v>5024</v>
      </c>
      <c r="G4456" s="3" t="s">
        <v>5035</v>
      </c>
      <c r="H4456" s="3" t="s">
        <v>7469</v>
      </c>
      <c r="I4456" s="17">
        <v>45455</v>
      </c>
      <c r="J4456" s="18">
        <f>YEAR(Tabla1[[#This Row],[FECHA DE COMPRA]])</f>
        <v>2024</v>
      </c>
      <c r="K4456" s="19">
        <v>146.94</v>
      </c>
      <c r="L4456" s="20">
        <v>0.1</v>
      </c>
      <c r="M4456" s="19">
        <f>Tienda!$K2812-Tienda!$K2812*Tienda!$L2812</f>
        <v>64.259999999999991</v>
      </c>
      <c r="N4456" s="3" t="s">
        <v>10038</v>
      </c>
      <c r="O4456" s="3" t="s">
        <v>10042</v>
      </c>
      <c r="P4456" s="17">
        <v>45815</v>
      </c>
      <c r="Q4456" s="4">
        <v>12</v>
      </c>
    </row>
    <row r="4457" spans="1:17" ht="30" x14ac:dyDescent="0.25">
      <c r="A4457" s="2" t="s">
        <v>4185</v>
      </c>
      <c r="B4457" s="3" t="s">
        <v>5015</v>
      </c>
      <c r="C4457" s="3">
        <v>43</v>
      </c>
      <c r="D4457" s="46" t="str">
        <f>IF(Tabla1[[#This Row],[EDAD]]&lt;=35,"Adultos jóvenes 18 - 35 años",IF(C4457&gt;=36,"Adultos mayores 36 años en adelante"))</f>
        <v>Adultos mayores 36 años en adelante</v>
      </c>
      <c r="E4457" s="3" t="s">
        <v>5020</v>
      </c>
      <c r="F4457" s="3" t="s">
        <v>5024</v>
      </c>
      <c r="G4457" s="3" t="s">
        <v>5032</v>
      </c>
      <c r="H4457" s="3" t="s">
        <v>9208</v>
      </c>
      <c r="I4457" s="17">
        <v>45333</v>
      </c>
      <c r="J4457" s="18">
        <f>YEAR(Tabla1[[#This Row],[FECHA DE COMPRA]])</f>
        <v>2024</v>
      </c>
      <c r="K4457" s="19">
        <v>147.25</v>
      </c>
      <c r="L4457" s="20">
        <v>0.1</v>
      </c>
      <c r="M4457" s="19">
        <f>Tienda!$K2813-Tienda!$K2813*Tienda!$L2813</f>
        <v>64.88</v>
      </c>
      <c r="N4457" s="3" t="s">
        <v>10038</v>
      </c>
      <c r="O4457" s="3" t="s">
        <v>10042</v>
      </c>
      <c r="P4457" s="17">
        <v>45693</v>
      </c>
      <c r="Q4457" s="4">
        <v>12</v>
      </c>
    </row>
    <row r="4458" spans="1:17" ht="30" x14ac:dyDescent="0.25">
      <c r="A4458" s="2" t="s">
        <v>4469</v>
      </c>
      <c r="B4458" s="3" t="s">
        <v>5015</v>
      </c>
      <c r="C4458" s="3">
        <v>57</v>
      </c>
      <c r="D4458" s="46" t="str">
        <f>IF(Tabla1[[#This Row],[EDAD]]&lt;=35,"Adultos jóvenes 18 - 35 años",IF(C4458&gt;=36,"Adultos mayores 36 años en adelante"))</f>
        <v>Adultos mayores 36 años en adelante</v>
      </c>
      <c r="E4458" s="3" t="s">
        <v>5020</v>
      </c>
      <c r="F4458" s="3" t="s">
        <v>5025</v>
      </c>
      <c r="G4458" s="3" t="s">
        <v>5036</v>
      </c>
      <c r="H4458" s="3" t="s">
        <v>9492</v>
      </c>
      <c r="I4458" s="17">
        <v>45613</v>
      </c>
      <c r="J4458" s="18">
        <f>YEAR(Tabla1[[#This Row],[FECHA DE COMPRA]])</f>
        <v>2024</v>
      </c>
      <c r="K4458" s="19">
        <v>166.13</v>
      </c>
      <c r="L4458" s="20">
        <v>0.2</v>
      </c>
      <c r="M4458" s="19">
        <f>Tienda!$K2817-Tienda!$K2817*Tienda!$L2817</f>
        <v>66.842999999999989</v>
      </c>
      <c r="N4458" s="3" t="s">
        <v>10038</v>
      </c>
      <c r="O4458" s="3" t="s">
        <v>10042</v>
      </c>
      <c r="P4458" s="17">
        <v>45703</v>
      </c>
      <c r="Q4458" s="4">
        <v>3</v>
      </c>
    </row>
    <row r="4459" spans="1:17" ht="30" x14ac:dyDescent="0.25">
      <c r="A4459" s="2" t="s">
        <v>4722</v>
      </c>
      <c r="B4459" s="3" t="s">
        <v>5015</v>
      </c>
      <c r="C4459" s="3">
        <v>53</v>
      </c>
      <c r="D4459" s="46" t="str">
        <f>IF(Tabla1[[#This Row],[EDAD]]&lt;=35,"Adultos jóvenes 18 - 35 años",IF(C4459&gt;=36,"Adultos mayores 36 años en adelante"))</f>
        <v>Adultos mayores 36 años en adelante</v>
      </c>
      <c r="E4459" s="3" t="s">
        <v>5018</v>
      </c>
      <c r="F4459" s="3" t="s">
        <v>5030</v>
      </c>
      <c r="G4459" s="3" t="s">
        <v>5034</v>
      </c>
      <c r="H4459" s="3" t="s">
        <v>9745</v>
      </c>
      <c r="I4459" s="17">
        <v>45529</v>
      </c>
      <c r="J4459" s="18">
        <f>YEAR(Tabla1[[#This Row],[FECHA DE COMPRA]])</f>
        <v>2024</v>
      </c>
      <c r="K4459" s="19">
        <v>166.68</v>
      </c>
      <c r="L4459" s="20">
        <v>0.2</v>
      </c>
      <c r="M4459" s="19">
        <f>Tienda!$K2820-Tienda!$K2820*Tienda!$L2820</f>
        <v>69.811000000000007</v>
      </c>
      <c r="N4459" s="3" t="s">
        <v>10038</v>
      </c>
      <c r="O4459" s="3" t="s">
        <v>10042</v>
      </c>
      <c r="P4459" s="17">
        <v>45889</v>
      </c>
      <c r="Q4459" s="4">
        <v>12</v>
      </c>
    </row>
    <row r="4460" spans="1:17" ht="30" x14ac:dyDescent="0.25">
      <c r="A4460" s="2" t="s">
        <v>944</v>
      </c>
      <c r="B4460" s="3" t="s">
        <v>5015</v>
      </c>
      <c r="C4460" s="3">
        <v>63</v>
      </c>
      <c r="D4460" s="46" t="str">
        <f>IF(Tabla1[[#This Row],[EDAD]]&lt;=35,"Adultos jóvenes 18 - 35 años",IF(C4460&gt;=36,"Adultos mayores 36 años en adelante"))</f>
        <v>Adultos mayores 36 años en adelante</v>
      </c>
      <c r="E4460" s="3" t="s">
        <v>5018</v>
      </c>
      <c r="F4460" s="3" t="s">
        <v>5027</v>
      </c>
      <c r="G4460" s="3" t="s">
        <v>5035</v>
      </c>
      <c r="H4460" s="3" t="s">
        <v>5967</v>
      </c>
      <c r="I4460" s="17">
        <v>45626</v>
      </c>
      <c r="J4460" s="18">
        <f>YEAR(Tabla1[[#This Row],[FECHA DE COMPRA]])</f>
        <v>2024</v>
      </c>
      <c r="K4460" s="19">
        <v>191.54</v>
      </c>
      <c r="L4460" s="20">
        <v>0.3</v>
      </c>
      <c r="M4460" s="19">
        <f>Tienda!$K2824-Tienda!$K2824*Tienda!$L2824</f>
        <v>71.048000000000002</v>
      </c>
      <c r="N4460" s="3" t="s">
        <v>10038</v>
      </c>
      <c r="O4460" s="3" t="s">
        <v>10042</v>
      </c>
      <c r="P4460" s="17">
        <v>45806</v>
      </c>
      <c r="Q4460" s="4">
        <v>6</v>
      </c>
    </row>
    <row r="4461" spans="1:17" ht="30" x14ac:dyDescent="0.25">
      <c r="A4461" s="2" t="s">
        <v>3052</v>
      </c>
      <c r="B4461" s="3" t="s">
        <v>5015</v>
      </c>
      <c r="C4461" s="3">
        <v>65</v>
      </c>
      <c r="D4461" s="46" t="str">
        <f>IF(Tabla1[[#This Row],[EDAD]]&lt;=35,"Adultos jóvenes 18 - 35 años",IF(C4461&gt;=36,"Adultos mayores 36 años en adelante"))</f>
        <v>Adultos mayores 36 años en adelante</v>
      </c>
      <c r="E4461" s="3" t="s">
        <v>5018</v>
      </c>
      <c r="F4461" s="3" t="s">
        <v>5026</v>
      </c>
      <c r="G4461" s="3" t="s">
        <v>5035</v>
      </c>
      <c r="H4461" s="3" t="s">
        <v>8075</v>
      </c>
      <c r="I4461" s="17">
        <v>45405</v>
      </c>
      <c r="J4461" s="18">
        <f>YEAR(Tabla1[[#This Row],[FECHA DE COMPRA]])</f>
        <v>2024</v>
      </c>
      <c r="K4461" s="19">
        <v>134.24</v>
      </c>
      <c r="L4461" s="20">
        <v>0</v>
      </c>
      <c r="M4461" s="19">
        <f>Tienda!$K2825-Tienda!$K2825*Tienda!$L2825</f>
        <v>72.176000000000002</v>
      </c>
      <c r="N4461" s="3" t="s">
        <v>10038</v>
      </c>
      <c r="O4461" s="3" t="s">
        <v>10042</v>
      </c>
      <c r="P4461" s="17">
        <v>45405</v>
      </c>
      <c r="Q4461" s="4">
        <v>6</v>
      </c>
    </row>
    <row r="4462" spans="1:17" ht="30" x14ac:dyDescent="0.25">
      <c r="A4462" s="2" t="s">
        <v>1526</v>
      </c>
      <c r="B4462" s="3" t="s">
        <v>5016</v>
      </c>
      <c r="C4462" s="3">
        <v>51</v>
      </c>
      <c r="D4462" s="46" t="str">
        <f>IF(Tabla1[[#This Row],[EDAD]]&lt;=35,"Adultos jóvenes 18 - 35 años",IF(C4462&gt;=36,"Adultos mayores 36 años en adelante"))</f>
        <v>Adultos mayores 36 años en adelante</v>
      </c>
      <c r="E4462" s="3" t="s">
        <v>5021</v>
      </c>
      <c r="F4462" s="3" t="s">
        <v>5024</v>
      </c>
      <c r="G4462" s="3" t="s">
        <v>5036</v>
      </c>
      <c r="H4462" s="3" t="s">
        <v>6549</v>
      </c>
      <c r="I4462" s="17">
        <v>45378</v>
      </c>
      <c r="J4462" s="18">
        <f>YEAR(Tabla1[[#This Row],[FECHA DE COMPRA]])</f>
        <v>2024</v>
      </c>
      <c r="K4462" s="19">
        <v>167.93</v>
      </c>
      <c r="L4462" s="20">
        <v>0.2</v>
      </c>
      <c r="M4462" s="19">
        <f>Tienda!$K2827-Tienda!$K2827*Tienda!$L2827</f>
        <v>73.47</v>
      </c>
      <c r="N4462" s="3" t="s">
        <v>10038</v>
      </c>
      <c r="O4462" s="3" t="s">
        <v>10042</v>
      </c>
      <c r="P4462" s="17">
        <v>45378</v>
      </c>
      <c r="Q4462" s="4">
        <v>9</v>
      </c>
    </row>
    <row r="4463" spans="1:17" ht="30" x14ac:dyDescent="0.25">
      <c r="A4463" s="2" t="s">
        <v>4606</v>
      </c>
      <c r="B4463" s="3" t="s">
        <v>5015</v>
      </c>
      <c r="C4463" s="3">
        <v>64</v>
      </c>
      <c r="D4463" s="46" t="str">
        <f>IF(Tabla1[[#This Row],[EDAD]]&lt;=35,"Adultos jóvenes 18 - 35 años",IF(C4463&gt;=36,"Adultos mayores 36 años en adelante"))</f>
        <v>Adultos mayores 36 años en adelante</v>
      </c>
      <c r="E4463" s="3" t="s">
        <v>5017</v>
      </c>
      <c r="F4463" s="3" t="s">
        <v>5030</v>
      </c>
      <c r="G4463" s="3" t="s">
        <v>5031</v>
      </c>
      <c r="H4463" s="3" t="s">
        <v>9629</v>
      </c>
      <c r="I4463" s="17">
        <v>45552</v>
      </c>
      <c r="J4463" s="18">
        <f>YEAR(Tabla1[[#This Row],[FECHA DE COMPRA]])</f>
        <v>2024</v>
      </c>
      <c r="K4463" s="19">
        <v>192.63</v>
      </c>
      <c r="L4463" s="20">
        <v>0.3</v>
      </c>
      <c r="M4463" s="19">
        <f>Tienda!$K2830-Tienda!$K2830*Tienda!$L2830</f>
        <v>74.507999999999996</v>
      </c>
      <c r="N4463" s="3" t="s">
        <v>10038</v>
      </c>
      <c r="O4463" s="3" t="s">
        <v>10042</v>
      </c>
      <c r="P4463" s="17">
        <v>45912</v>
      </c>
      <c r="Q4463" s="4">
        <v>12</v>
      </c>
    </row>
    <row r="4464" spans="1:17" ht="30" x14ac:dyDescent="0.25">
      <c r="A4464" s="2" t="s">
        <v>3542</v>
      </c>
      <c r="B4464" s="3" t="s">
        <v>5016</v>
      </c>
      <c r="C4464" s="3">
        <v>37</v>
      </c>
      <c r="D4464" s="46" t="str">
        <f>IF(Tabla1[[#This Row],[EDAD]]&lt;=35,"Adultos jóvenes 18 - 35 años",IF(C4464&gt;=36,"Adultos mayores 36 años en adelante"))</f>
        <v>Adultos mayores 36 años en adelante</v>
      </c>
      <c r="E4464" s="3" t="s">
        <v>5021</v>
      </c>
      <c r="F4464" s="3" t="s">
        <v>5026</v>
      </c>
      <c r="G4464" s="3" t="s">
        <v>5034</v>
      </c>
      <c r="H4464" s="3" t="s">
        <v>8565</v>
      </c>
      <c r="I4464" s="17">
        <v>45649</v>
      </c>
      <c r="J4464" s="18">
        <f>YEAR(Tabla1[[#This Row],[FECHA DE COMPRA]])</f>
        <v>2024</v>
      </c>
      <c r="K4464" s="19">
        <v>169.12</v>
      </c>
      <c r="L4464" s="20">
        <v>0.2</v>
      </c>
      <c r="M4464" s="19">
        <f>Tienda!$K2835-Tienda!$K2835*Tienda!$L2835</f>
        <v>76.608000000000004</v>
      </c>
      <c r="N4464" s="3" t="s">
        <v>10038</v>
      </c>
      <c r="O4464" s="3" t="s">
        <v>10042</v>
      </c>
      <c r="P4464" s="17">
        <v>45652</v>
      </c>
      <c r="Q4464" s="4">
        <v>12</v>
      </c>
    </row>
    <row r="4465" spans="1:17" ht="30" x14ac:dyDescent="0.25">
      <c r="A4465" s="2" t="s">
        <v>4236</v>
      </c>
      <c r="B4465" s="3" t="s">
        <v>5015</v>
      </c>
      <c r="C4465" s="3">
        <v>44</v>
      </c>
      <c r="D4465" s="46" t="str">
        <f>IF(Tabla1[[#This Row],[EDAD]]&lt;=35,"Adultos jóvenes 18 - 35 años",IF(C4465&gt;=36,"Adultos mayores 36 años en adelante"))</f>
        <v>Adultos mayores 36 años en adelante</v>
      </c>
      <c r="E4465" s="3" t="s">
        <v>5022</v>
      </c>
      <c r="F4465" s="3" t="s">
        <v>5026</v>
      </c>
      <c r="G4465" s="3" t="s">
        <v>5033</v>
      </c>
      <c r="H4465" s="3" t="s">
        <v>9259</v>
      </c>
      <c r="I4465" s="17">
        <v>45354</v>
      </c>
      <c r="J4465" s="18">
        <f>YEAR(Tabla1[[#This Row],[FECHA DE COMPRA]])</f>
        <v>2024</v>
      </c>
      <c r="K4465" s="19">
        <v>150.35</v>
      </c>
      <c r="L4465" s="20">
        <v>0.1</v>
      </c>
      <c r="M4465" s="19">
        <f>Tienda!$K2836-Tienda!$K2836*Tienda!$L2836</f>
        <v>77.265000000000001</v>
      </c>
      <c r="N4465" s="3" t="s">
        <v>10038</v>
      </c>
      <c r="O4465" s="3" t="s">
        <v>10042</v>
      </c>
      <c r="P4465" s="17">
        <v>45444</v>
      </c>
      <c r="Q4465" s="4">
        <v>3</v>
      </c>
    </row>
    <row r="4466" spans="1:17" ht="30" x14ac:dyDescent="0.25">
      <c r="A4466" s="2" t="s">
        <v>239</v>
      </c>
      <c r="B4466" s="3" t="s">
        <v>5016</v>
      </c>
      <c r="C4466" s="3">
        <v>45</v>
      </c>
      <c r="D4466" s="46" t="str">
        <f>IF(Tabla1[[#This Row],[EDAD]]&lt;=35,"Adultos jóvenes 18 - 35 años",IF(C4466&gt;=36,"Adultos mayores 36 años en adelante"))</f>
        <v>Adultos mayores 36 años en adelante</v>
      </c>
      <c r="E4466" s="3" t="s">
        <v>5023</v>
      </c>
      <c r="F4466" s="3" t="s">
        <v>5028</v>
      </c>
      <c r="G4466" s="3" t="s">
        <v>5032</v>
      </c>
      <c r="H4466" s="3" t="s">
        <v>5262</v>
      </c>
      <c r="I4466" s="17">
        <v>45330</v>
      </c>
      <c r="J4466" s="18">
        <f>YEAR(Tabla1[[#This Row],[FECHA DE COMPRA]])</f>
        <v>2024</v>
      </c>
      <c r="K4466" s="19">
        <v>169.32</v>
      </c>
      <c r="L4466" s="20">
        <v>0.2</v>
      </c>
      <c r="M4466" s="19">
        <f>Tienda!$K2837-Tienda!$K2837*Tienda!$L2837</f>
        <v>77.34</v>
      </c>
      <c r="N4466" s="3" t="s">
        <v>10038</v>
      </c>
      <c r="O4466" s="3" t="s">
        <v>10042</v>
      </c>
      <c r="P4466" s="17">
        <v>45600</v>
      </c>
      <c r="Q4466" s="4">
        <v>9</v>
      </c>
    </row>
    <row r="4467" spans="1:17" ht="30" x14ac:dyDescent="0.25">
      <c r="A4467" s="2" t="s">
        <v>4750</v>
      </c>
      <c r="B4467" s="3" t="s">
        <v>5015</v>
      </c>
      <c r="C4467" s="3">
        <v>48</v>
      </c>
      <c r="D4467" s="46" t="str">
        <f>IF(Tabla1[[#This Row],[EDAD]]&lt;=35,"Adultos jóvenes 18 - 35 años",IF(C4467&gt;=36,"Adultos mayores 36 años en adelante"))</f>
        <v>Adultos mayores 36 años en adelante</v>
      </c>
      <c r="E4467" s="3" t="s">
        <v>5021</v>
      </c>
      <c r="F4467" s="3" t="s">
        <v>5027</v>
      </c>
      <c r="G4467" s="3" t="s">
        <v>5032</v>
      </c>
      <c r="H4467" s="3" t="s">
        <v>9773</v>
      </c>
      <c r="I4467" s="17">
        <v>45387</v>
      </c>
      <c r="J4467" s="18">
        <f>YEAR(Tabla1[[#This Row],[FECHA DE COMPRA]])</f>
        <v>2024</v>
      </c>
      <c r="K4467" s="19">
        <v>150.85</v>
      </c>
      <c r="L4467" s="20">
        <v>0.1</v>
      </c>
      <c r="M4467" s="19">
        <f>Tienda!$K2841-Tienda!$K2841*Tienda!$L2841</f>
        <v>78.959999999999994</v>
      </c>
      <c r="N4467" s="3" t="s">
        <v>10038</v>
      </c>
      <c r="O4467" s="3" t="s">
        <v>10042</v>
      </c>
      <c r="P4467" s="17">
        <v>45387</v>
      </c>
      <c r="Q4467" s="4">
        <v>9</v>
      </c>
    </row>
    <row r="4468" spans="1:17" ht="30" x14ac:dyDescent="0.25">
      <c r="A4468" s="2" t="s">
        <v>28</v>
      </c>
      <c r="B4468" s="3" t="s">
        <v>5015</v>
      </c>
      <c r="C4468" s="3">
        <v>43</v>
      </c>
      <c r="D4468" s="46" t="str">
        <f>IF(Tabla1[[#This Row],[EDAD]]&lt;=35,"Adultos jóvenes 18 - 35 años",IF(C4468&gt;=36,"Adultos mayores 36 años en adelante"))</f>
        <v>Adultos mayores 36 años en adelante</v>
      </c>
      <c r="E4468" s="3" t="s">
        <v>5019</v>
      </c>
      <c r="F4468" s="3" t="s">
        <v>5027</v>
      </c>
      <c r="G4468" s="3" t="s">
        <v>5032</v>
      </c>
      <c r="H4468" s="3" t="s">
        <v>5051</v>
      </c>
      <c r="I4468" s="17">
        <v>45351</v>
      </c>
      <c r="J4468" s="18">
        <f>YEAR(Tabla1[[#This Row],[FECHA DE COMPRA]])</f>
        <v>2024</v>
      </c>
      <c r="K4468" s="19">
        <v>150.97999999999999</v>
      </c>
      <c r="L4468" s="20">
        <v>0.1</v>
      </c>
      <c r="M4468" s="19">
        <f>Tienda!$K2842-Tienda!$K2842*Tienda!$L2842</f>
        <v>79.34</v>
      </c>
      <c r="N4468" s="3" t="s">
        <v>10038</v>
      </c>
      <c r="O4468" s="3" t="s">
        <v>10042</v>
      </c>
      <c r="P4468" s="17">
        <v>45351</v>
      </c>
      <c r="Q4468" s="4">
        <v>12</v>
      </c>
    </row>
    <row r="4469" spans="1:17" ht="30" x14ac:dyDescent="0.25">
      <c r="A4469" s="2" t="s">
        <v>144</v>
      </c>
      <c r="B4469" s="3" t="s">
        <v>5016</v>
      </c>
      <c r="C4469" s="3">
        <v>64</v>
      </c>
      <c r="D4469" s="46" t="str">
        <f>IF(Tabla1[[#This Row],[EDAD]]&lt;=35,"Adultos jóvenes 18 - 35 años",IF(C4469&gt;=36,"Adultos mayores 36 años en adelante"))</f>
        <v>Adultos mayores 36 años en adelante</v>
      </c>
      <c r="E4469" s="3" t="s">
        <v>5019</v>
      </c>
      <c r="F4469" s="3" t="s">
        <v>5028</v>
      </c>
      <c r="G4469" s="3" t="s">
        <v>5032</v>
      </c>
      <c r="H4469" s="3" t="s">
        <v>5167</v>
      </c>
      <c r="I4469" s="17">
        <v>45357</v>
      </c>
      <c r="J4469" s="18">
        <f>YEAR(Tabla1[[#This Row],[FECHA DE COMPRA]])</f>
        <v>2024</v>
      </c>
      <c r="K4469" s="19">
        <v>135.93</v>
      </c>
      <c r="L4469" s="20">
        <v>0</v>
      </c>
      <c r="M4469" s="19">
        <f>Tienda!$K2844-Tienda!$K2844*Tienda!$L2844</f>
        <v>80.037000000000006</v>
      </c>
      <c r="N4469" s="3" t="s">
        <v>10038</v>
      </c>
      <c r="O4469" s="3" t="s">
        <v>10042</v>
      </c>
      <c r="P4469" s="17">
        <v>45357</v>
      </c>
      <c r="Q4469" s="4">
        <v>9</v>
      </c>
    </row>
    <row r="4470" spans="1:17" ht="30" x14ac:dyDescent="0.25">
      <c r="A4470" s="2" t="s">
        <v>4607</v>
      </c>
      <c r="B4470" s="3" t="s">
        <v>5015</v>
      </c>
      <c r="C4470" s="3">
        <v>47</v>
      </c>
      <c r="D4470" s="46" t="str">
        <f>IF(Tabla1[[#This Row],[EDAD]]&lt;=35,"Adultos jóvenes 18 - 35 años",IF(C4470&gt;=36,"Adultos mayores 36 años en adelante"))</f>
        <v>Adultos mayores 36 años en adelante</v>
      </c>
      <c r="E4470" s="3" t="s">
        <v>5021</v>
      </c>
      <c r="F4470" s="3" t="s">
        <v>5029</v>
      </c>
      <c r="G4470" s="3" t="s">
        <v>5034</v>
      </c>
      <c r="H4470" s="3" t="s">
        <v>9630</v>
      </c>
      <c r="I4470" s="17">
        <v>45516</v>
      </c>
      <c r="J4470" s="18">
        <f>YEAR(Tabla1[[#This Row],[FECHA DE COMPRA]])</f>
        <v>2024</v>
      </c>
      <c r="K4470" s="19">
        <v>136.24</v>
      </c>
      <c r="L4470" s="20">
        <v>0</v>
      </c>
      <c r="M4470" s="19">
        <f>Tienda!$K2846-Tienda!$K2846*Tienda!$L2846</f>
        <v>80.727999999999994</v>
      </c>
      <c r="N4470" s="3" t="s">
        <v>10038</v>
      </c>
      <c r="O4470" s="3" t="s">
        <v>10042</v>
      </c>
      <c r="P4470" s="17">
        <v>45606</v>
      </c>
      <c r="Q4470" s="4">
        <v>3</v>
      </c>
    </row>
    <row r="4471" spans="1:17" ht="30" x14ac:dyDescent="0.25">
      <c r="A4471" s="2" t="s">
        <v>3263</v>
      </c>
      <c r="B4471" s="3" t="s">
        <v>5015</v>
      </c>
      <c r="C4471" s="3">
        <v>50</v>
      </c>
      <c r="D4471" s="46" t="str">
        <f>IF(Tabla1[[#This Row],[EDAD]]&lt;=35,"Adultos jóvenes 18 - 35 años",IF(C4471&gt;=36,"Adultos mayores 36 años en adelante"))</f>
        <v>Adultos mayores 36 años en adelante</v>
      </c>
      <c r="E4471" s="3" t="s">
        <v>5022</v>
      </c>
      <c r="F4471" s="3" t="s">
        <v>5025</v>
      </c>
      <c r="G4471" s="3" t="s">
        <v>5032</v>
      </c>
      <c r="H4471" s="3" t="s">
        <v>8286</v>
      </c>
      <c r="I4471" s="17">
        <v>45560</v>
      </c>
      <c r="J4471" s="18">
        <f>YEAR(Tabla1[[#This Row],[FECHA DE COMPRA]])</f>
        <v>2024</v>
      </c>
      <c r="K4471" s="19">
        <v>171.04</v>
      </c>
      <c r="L4471" s="20">
        <v>0.2</v>
      </c>
      <c r="M4471" s="19">
        <f>Tienda!$K2848-Tienda!$K2848*Tienda!$L2848</f>
        <v>81.228000000000009</v>
      </c>
      <c r="N4471" s="3" t="s">
        <v>10038</v>
      </c>
      <c r="O4471" s="3" t="s">
        <v>10042</v>
      </c>
      <c r="P4471" s="17">
        <v>45920</v>
      </c>
      <c r="Q4471" s="4">
        <v>12</v>
      </c>
    </row>
    <row r="4472" spans="1:17" ht="30" x14ac:dyDescent="0.25">
      <c r="A4472" s="2" t="s">
        <v>2455</v>
      </c>
      <c r="B4472" s="3" t="s">
        <v>5015</v>
      </c>
      <c r="C4472" s="3">
        <v>52</v>
      </c>
      <c r="D4472" s="46" t="str">
        <f>IF(Tabla1[[#This Row],[EDAD]]&lt;=35,"Adultos jóvenes 18 - 35 años",IF(C4472&gt;=36,"Adultos mayores 36 años en adelante"))</f>
        <v>Adultos mayores 36 años en adelante</v>
      </c>
      <c r="E4472" s="3" t="s">
        <v>5022</v>
      </c>
      <c r="F4472" s="3" t="s">
        <v>5024</v>
      </c>
      <c r="G4472" s="3" t="s">
        <v>5031</v>
      </c>
      <c r="H4472" s="3" t="s">
        <v>7478</v>
      </c>
      <c r="I4472" s="17">
        <v>45356</v>
      </c>
      <c r="J4472" s="18">
        <f>YEAR(Tabla1[[#This Row],[FECHA DE COMPRA]])</f>
        <v>2024</v>
      </c>
      <c r="K4472" s="19">
        <v>153.62</v>
      </c>
      <c r="L4472" s="20">
        <v>0.1</v>
      </c>
      <c r="M4472" s="19">
        <f>Tienda!$K2857-Tienda!$K2857*Tienda!$L2857</f>
        <v>85.567999999999998</v>
      </c>
      <c r="N4472" s="3" t="s">
        <v>10038</v>
      </c>
      <c r="O4472" s="3" t="s">
        <v>10042</v>
      </c>
      <c r="P4472" s="17">
        <v>45356</v>
      </c>
      <c r="Q4472" s="4">
        <v>6</v>
      </c>
    </row>
    <row r="4473" spans="1:17" ht="30" x14ac:dyDescent="0.25">
      <c r="A4473" s="2" t="s">
        <v>3619</v>
      </c>
      <c r="B4473" s="3" t="s">
        <v>5015</v>
      </c>
      <c r="C4473" s="3">
        <v>59</v>
      </c>
      <c r="D4473" s="46" t="str">
        <f>IF(Tabla1[[#This Row],[EDAD]]&lt;=35,"Adultos jóvenes 18 - 35 años",IF(C4473&gt;=36,"Adultos mayores 36 años en adelante"))</f>
        <v>Adultos mayores 36 años en adelante</v>
      </c>
      <c r="E4473" s="3" t="s">
        <v>5023</v>
      </c>
      <c r="F4473" s="3" t="s">
        <v>5024</v>
      </c>
      <c r="G4473" s="3" t="s">
        <v>5035</v>
      </c>
      <c r="H4473" s="3" t="s">
        <v>8642</v>
      </c>
      <c r="I4473" s="17">
        <v>45634</v>
      </c>
      <c r="J4473" s="18">
        <f>YEAR(Tabla1[[#This Row],[FECHA DE COMPRA]])</f>
        <v>2024</v>
      </c>
      <c r="K4473" s="19">
        <v>197.89</v>
      </c>
      <c r="L4473" s="20">
        <v>0.3</v>
      </c>
      <c r="M4473" s="19">
        <f>Tienda!$K2860-Tienda!$K2860*Tienda!$L2860</f>
        <v>85.847999999999999</v>
      </c>
      <c r="N4473" s="3" t="s">
        <v>10038</v>
      </c>
      <c r="O4473" s="3" t="s">
        <v>10042</v>
      </c>
      <c r="P4473" s="17">
        <v>45539</v>
      </c>
      <c r="Q4473" s="4">
        <v>3</v>
      </c>
    </row>
    <row r="4474" spans="1:17" ht="30" x14ac:dyDescent="0.25">
      <c r="A4474" s="2" t="s">
        <v>3573</v>
      </c>
      <c r="B4474" s="3" t="s">
        <v>5015</v>
      </c>
      <c r="C4474" s="3">
        <v>53</v>
      </c>
      <c r="D4474" s="46" t="str">
        <f>IF(Tabla1[[#This Row],[EDAD]]&lt;=35,"Adultos jóvenes 18 - 35 años",IF(C4474&gt;=36,"Adultos mayores 36 años en adelante"))</f>
        <v>Adultos mayores 36 años en adelante</v>
      </c>
      <c r="E4474" s="3" t="s">
        <v>5018</v>
      </c>
      <c r="F4474" s="3" t="s">
        <v>5028</v>
      </c>
      <c r="G4474" s="3" t="s">
        <v>5032</v>
      </c>
      <c r="H4474" s="3" t="s">
        <v>8596</v>
      </c>
      <c r="I4474" s="17">
        <v>45633</v>
      </c>
      <c r="J4474" s="18">
        <f>YEAR(Tabla1[[#This Row],[FECHA DE COMPRA]])</f>
        <v>2024</v>
      </c>
      <c r="K4474" s="19">
        <v>173.72</v>
      </c>
      <c r="L4474" s="20">
        <v>0.2</v>
      </c>
      <c r="M4474" s="19">
        <f>Tienda!$K2863-Tienda!$K2863*Tienda!$L2863</f>
        <v>88.2</v>
      </c>
      <c r="N4474" s="3" t="s">
        <v>10038</v>
      </c>
      <c r="O4474" s="3" t="s">
        <v>10042</v>
      </c>
      <c r="P4474" s="17">
        <v>45993</v>
      </c>
      <c r="Q4474" s="4">
        <v>12</v>
      </c>
    </row>
    <row r="4475" spans="1:17" ht="30" x14ac:dyDescent="0.25">
      <c r="A4475" s="2" t="s">
        <v>4092</v>
      </c>
      <c r="B4475" s="3" t="s">
        <v>5015</v>
      </c>
      <c r="C4475" s="3">
        <v>49</v>
      </c>
      <c r="D4475" s="46" t="str">
        <f>IF(Tabla1[[#This Row],[EDAD]]&lt;=35,"Adultos jóvenes 18 - 35 años",IF(C4475&gt;=36,"Adultos mayores 36 años en adelante"))</f>
        <v>Adultos mayores 36 años en adelante</v>
      </c>
      <c r="E4475" s="3" t="s">
        <v>5022</v>
      </c>
      <c r="F4475" s="3" t="s">
        <v>5029</v>
      </c>
      <c r="G4475" s="3" t="s">
        <v>5037</v>
      </c>
      <c r="H4475" s="3" t="s">
        <v>9115</v>
      </c>
      <c r="I4475" s="17">
        <v>45391</v>
      </c>
      <c r="J4475" s="18">
        <f>YEAR(Tabla1[[#This Row],[FECHA DE COMPRA]])</f>
        <v>2024</v>
      </c>
      <c r="K4475" s="19">
        <v>139.05000000000001</v>
      </c>
      <c r="L4475" s="20">
        <v>0</v>
      </c>
      <c r="M4475" s="19">
        <f>Tienda!$K2865-Tienda!$K2865*Tienda!$L2865</f>
        <v>88.788000000000011</v>
      </c>
      <c r="N4475" s="3" t="s">
        <v>10038</v>
      </c>
      <c r="O4475" s="3" t="s">
        <v>10042</v>
      </c>
      <c r="P4475" s="17">
        <v>45391</v>
      </c>
      <c r="Q4475" s="4">
        <v>3</v>
      </c>
    </row>
    <row r="4476" spans="1:17" ht="30" x14ac:dyDescent="0.25">
      <c r="A4476" s="2" t="s">
        <v>1631</v>
      </c>
      <c r="B4476" s="3" t="s">
        <v>5016</v>
      </c>
      <c r="C4476" s="3">
        <v>48</v>
      </c>
      <c r="D4476" s="46" t="str">
        <f>IF(Tabla1[[#This Row],[EDAD]]&lt;=35,"Adultos jóvenes 18 - 35 años",IF(C4476&gt;=36,"Adultos mayores 36 años en adelante"))</f>
        <v>Adultos mayores 36 años en adelante</v>
      </c>
      <c r="E4476" s="3" t="s">
        <v>5017</v>
      </c>
      <c r="F4476" s="3" t="s">
        <v>5024</v>
      </c>
      <c r="G4476" s="3" t="s">
        <v>5035</v>
      </c>
      <c r="H4476" s="3" t="s">
        <v>6654</v>
      </c>
      <c r="I4476" s="17">
        <v>45524</v>
      </c>
      <c r="J4476" s="18">
        <f>YEAR(Tabla1[[#This Row],[FECHA DE COMPRA]])</f>
        <v>2024</v>
      </c>
      <c r="K4476" s="19">
        <v>174.36</v>
      </c>
      <c r="L4476" s="20">
        <v>0.2</v>
      </c>
      <c r="M4476" s="19">
        <f>Tienda!$K2870-Tienda!$K2870*Tienda!$L2870</f>
        <v>91.272999999999996</v>
      </c>
      <c r="N4476" s="3" t="s">
        <v>10038</v>
      </c>
      <c r="O4476" s="3" t="s">
        <v>10042</v>
      </c>
      <c r="P4476" s="17">
        <v>45614</v>
      </c>
      <c r="Q4476" s="4">
        <v>3</v>
      </c>
    </row>
    <row r="4477" spans="1:17" ht="30" x14ac:dyDescent="0.25">
      <c r="A4477" s="2" t="s">
        <v>2794</v>
      </c>
      <c r="B4477" s="3" t="s">
        <v>5015</v>
      </c>
      <c r="C4477" s="3">
        <v>63</v>
      </c>
      <c r="D4477" s="46" t="str">
        <f>IF(Tabla1[[#This Row],[EDAD]]&lt;=35,"Adultos jóvenes 18 - 35 años",IF(C4477&gt;=36,"Adultos mayores 36 años en adelante"))</f>
        <v>Adultos mayores 36 años en adelante</v>
      </c>
      <c r="E4477" s="3" t="s">
        <v>5021</v>
      </c>
      <c r="F4477" s="3" t="s">
        <v>5026</v>
      </c>
      <c r="G4477" s="3" t="s">
        <v>5034</v>
      </c>
      <c r="H4477" s="3" t="s">
        <v>7817</v>
      </c>
      <c r="I4477" s="17">
        <v>45538</v>
      </c>
      <c r="J4477" s="18">
        <f>YEAR(Tabla1[[#This Row],[FECHA DE COMPRA]])</f>
        <v>2024</v>
      </c>
      <c r="K4477" s="19">
        <v>155.04</v>
      </c>
      <c r="L4477" s="20">
        <v>0.1</v>
      </c>
      <c r="M4477" s="19">
        <f>Tienda!$K2871-Tienda!$K2871*Tienda!$L2871</f>
        <v>91.82</v>
      </c>
      <c r="N4477" s="3" t="s">
        <v>10038</v>
      </c>
      <c r="O4477" s="3" t="s">
        <v>10042</v>
      </c>
      <c r="P4477" s="17">
        <v>45538</v>
      </c>
      <c r="Q4477" s="4">
        <v>6</v>
      </c>
    </row>
    <row r="4478" spans="1:17" ht="30" x14ac:dyDescent="0.25">
      <c r="A4478" s="2" t="s">
        <v>2265</v>
      </c>
      <c r="B4478" s="3" t="s">
        <v>5015</v>
      </c>
      <c r="C4478" s="3">
        <v>56</v>
      </c>
      <c r="D4478" s="46" t="str">
        <f>IF(Tabla1[[#This Row],[EDAD]]&lt;=35,"Adultos jóvenes 18 - 35 años",IF(C4478&gt;=36,"Adultos mayores 36 años en adelante"))</f>
        <v>Adultos mayores 36 años en adelante</v>
      </c>
      <c r="E4478" s="3" t="s">
        <v>5022</v>
      </c>
      <c r="F4478" s="3" t="s">
        <v>5029</v>
      </c>
      <c r="G4478" s="3" t="s">
        <v>5033</v>
      </c>
      <c r="H4478" s="3" t="s">
        <v>7288</v>
      </c>
      <c r="I4478" s="17">
        <v>45635</v>
      </c>
      <c r="J4478" s="18">
        <f>YEAR(Tabla1[[#This Row],[FECHA DE COMPRA]])</f>
        <v>2024</v>
      </c>
      <c r="K4478" s="19">
        <v>139.59</v>
      </c>
      <c r="L4478" s="20">
        <v>0</v>
      </c>
      <c r="M4478" s="19">
        <f>Tienda!$K2873-Tienda!$K2873*Tienda!$L2873</f>
        <v>92.537999999999997</v>
      </c>
      <c r="N4478" s="3" t="s">
        <v>10038</v>
      </c>
      <c r="O4478" s="3" t="s">
        <v>10042</v>
      </c>
      <c r="P4478" s="17">
        <v>45535</v>
      </c>
      <c r="Q4478" s="4">
        <v>3</v>
      </c>
    </row>
    <row r="4479" spans="1:17" ht="30" x14ac:dyDescent="0.25">
      <c r="A4479" s="2" t="s">
        <v>3979</v>
      </c>
      <c r="B4479" s="3" t="s">
        <v>5016</v>
      </c>
      <c r="C4479" s="3">
        <v>63</v>
      </c>
      <c r="D4479" s="46" t="str">
        <f>IF(Tabla1[[#This Row],[EDAD]]&lt;=35,"Adultos jóvenes 18 - 35 años",IF(C4479&gt;=36,"Adultos mayores 36 años en adelante"))</f>
        <v>Adultos mayores 36 años en adelante</v>
      </c>
      <c r="E4479" s="3" t="s">
        <v>5017</v>
      </c>
      <c r="F4479" s="3" t="s">
        <v>5030</v>
      </c>
      <c r="G4479" s="3" t="s">
        <v>5034</v>
      </c>
      <c r="H4479" s="3" t="s">
        <v>9002</v>
      </c>
      <c r="I4479" s="17">
        <v>45624</v>
      </c>
      <c r="J4479" s="18">
        <f>YEAR(Tabla1[[#This Row],[FECHA DE COMPRA]])</f>
        <v>2024</v>
      </c>
      <c r="K4479" s="19">
        <v>174.73</v>
      </c>
      <c r="L4479" s="20">
        <v>0.2</v>
      </c>
      <c r="M4479" s="19">
        <f>Tienda!$K2875-Tienda!$K2875*Tienda!$L2875</f>
        <v>92.775999999999996</v>
      </c>
      <c r="N4479" s="3" t="s">
        <v>10038</v>
      </c>
      <c r="O4479" s="3" t="s">
        <v>10042</v>
      </c>
      <c r="P4479" s="17">
        <v>45490</v>
      </c>
      <c r="Q4479" s="4">
        <v>3</v>
      </c>
    </row>
    <row r="4480" spans="1:17" ht="30" x14ac:dyDescent="0.25">
      <c r="A4480" s="2" t="s">
        <v>211</v>
      </c>
      <c r="B4480" s="3" t="s">
        <v>5015</v>
      </c>
      <c r="C4480" s="3">
        <v>40</v>
      </c>
      <c r="D4480" s="46" t="str">
        <f>IF(Tabla1[[#This Row],[EDAD]]&lt;=35,"Adultos jóvenes 18 - 35 años",IF(C4480&gt;=36,"Adultos mayores 36 años en adelante"))</f>
        <v>Adultos mayores 36 años en adelante</v>
      </c>
      <c r="E4480" s="3" t="s">
        <v>5023</v>
      </c>
      <c r="F4480" s="3" t="s">
        <v>5025</v>
      </c>
      <c r="G4480" s="3" t="s">
        <v>5033</v>
      </c>
      <c r="H4480" s="3" t="s">
        <v>5234</v>
      </c>
      <c r="I4480" s="17">
        <v>45407</v>
      </c>
      <c r="J4480" s="18">
        <f>YEAR(Tabla1[[#This Row],[FECHA DE COMPRA]])</f>
        <v>2024</v>
      </c>
      <c r="K4480" s="19">
        <v>155.33000000000001</v>
      </c>
      <c r="L4480" s="20">
        <v>0.1</v>
      </c>
      <c r="M4480" s="19">
        <f>Tienda!$K2876-Tienda!$K2876*Tienda!$L2876</f>
        <v>93.798000000000002</v>
      </c>
      <c r="N4480" s="3" t="s">
        <v>10038</v>
      </c>
      <c r="O4480" s="3" t="s">
        <v>10042</v>
      </c>
      <c r="P4480" s="17">
        <v>45497</v>
      </c>
      <c r="Q4480" s="4">
        <v>3</v>
      </c>
    </row>
    <row r="4481" spans="1:17" ht="30" x14ac:dyDescent="0.25">
      <c r="A4481" s="2" t="s">
        <v>678</v>
      </c>
      <c r="B4481" s="3" t="s">
        <v>5016</v>
      </c>
      <c r="C4481" s="3">
        <v>52</v>
      </c>
      <c r="D4481" s="46" t="str">
        <f>IF(Tabla1[[#This Row],[EDAD]]&lt;=35,"Adultos jóvenes 18 - 35 años",IF(C4481&gt;=36,"Adultos mayores 36 años en adelante"))</f>
        <v>Adultos mayores 36 años en adelante</v>
      </c>
      <c r="E4481" s="3" t="s">
        <v>5019</v>
      </c>
      <c r="F4481" s="3" t="s">
        <v>5024</v>
      </c>
      <c r="G4481" s="3" t="s">
        <v>5031</v>
      </c>
      <c r="H4481" s="3" t="s">
        <v>5701</v>
      </c>
      <c r="I4481" s="17">
        <v>45507</v>
      </c>
      <c r="J4481" s="18">
        <f>YEAR(Tabla1[[#This Row],[FECHA DE COMPRA]])</f>
        <v>2024</v>
      </c>
      <c r="K4481" s="19">
        <v>174.86</v>
      </c>
      <c r="L4481" s="20">
        <v>0.2</v>
      </c>
      <c r="M4481" s="19">
        <f>Tienda!$K2879-Tienda!$K2879*Tienda!$L2879</f>
        <v>95.97</v>
      </c>
      <c r="N4481" s="3" t="s">
        <v>10038</v>
      </c>
      <c r="O4481" s="3" t="s">
        <v>10042</v>
      </c>
      <c r="P4481" s="17">
        <v>45867</v>
      </c>
      <c r="Q4481" s="4">
        <v>12</v>
      </c>
    </row>
    <row r="4482" spans="1:17" ht="30" x14ac:dyDescent="0.25">
      <c r="A4482" s="2" t="s">
        <v>4376</v>
      </c>
      <c r="B4482" s="3" t="s">
        <v>5016</v>
      </c>
      <c r="C4482" s="3">
        <v>39</v>
      </c>
      <c r="D4482" s="46" t="str">
        <f>IF(Tabla1[[#This Row],[EDAD]]&lt;=35,"Adultos jóvenes 18 - 35 años",IF(C4482&gt;=36,"Adultos mayores 36 años en adelante"))</f>
        <v>Adultos mayores 36 años en adelante</v>
      </c>
      <c r="E4482" s="3" t="s">
        <v>5023</v>
      </c>
      <c r="F4482" s="3" t="s">
        <v>5026</v>
      </c>
      <c r="G4482" s="3" t="s">
        <v>5036</v>
      </c>
      <c r="H4482" s="3" t="s">
        <v>9399</v>
      </c>
      <c r="I4482" s="17">
        <v>45476</v>
      </c>
      <c r="J4482" s="18">
        <f>YEAR(Tabla1[[#This Row],[FECHA DE COMPRA]])</f>
        <v>2024</v>
      </c>
      <c r="K4482" s="19">
        <v>174.96</v>
      </c>
      <c r="L4482" s="20">
        <v>0.2</v>
      </c>
      <c r="M4482" s="19">
        <f>Tienda!$K2880-Tienda!$K2880*Tienda!$L2880</f>
        <v>96.47399999999999</v>
      </c>
      <c r="N4482" s="3" t="s">
        <v>10038</v>
      </c>
      <c r="O4482" s="3" t="s">
        <v>10042</v>
      </c>
      <c r="P4482" s="17">
        <v>45746</v>
      </c>
      <c r="Q4482" s="4">
        <v>9</v>
      </c>
    </row>
    <row r="4483" spans="1:17" ht="30" x14ac:dyDescent="0.25">
      <c r="A4483" s="2" t="s">
        <v>1475</v>
      </c>
      <c r="B4483" s="3" t="s">
        <v>5015</v>
      </c>
      <c r="C4483" s="3">
        <v>58</v>
      </c>
      <c r="D4483" s="46" t="str">
        <f>IF(Tabla1[[#This Row],[EDAD]]&lt;=35,"Adultos jóvenes 18 - 35 años",IF(C4483&gt;=36,"Adultos mayores 36 años en adelante"))</f>
        <v>Adultos mayores 36 años en adelante</v>
      </c>
      <c r="E4483" s="3" t="s">
        <v>5020</v>
      </c>
      <c r="F4483" s="3" t="s">
        <v>5024</v>
      </c>
      <c r="G4483" s="3" t="s">
        <v>5033</v>
      </c>
      <c r="H4483" s="3" t="s">
        <v>6498</v>
      </c>
      <c r="I4483" s="17">
        <v>45404</v>
      </c>
      <c r="J4483" s="18">
        <f>YEAR(Tabla1[[#This Row],[FECHA DE COMPRA]])</f>
        <v>2024</v>
      </c>
      <c r="K4483" s="19">
        <v>140.37</v>
      </c>
      <c r="L4483" s="20">
        <v>0</v>
      </c>
      <c r="M4483" s="19">
        <f>Tienda!$K2883-Tienda!$K2883*Tienda!$L2883</f>
        <v>97.784999999999997</v>
      </c>
      <c r="N4483" s="3" t="s">
        <v>10038</v>
      </c>
      <c r="O4483" s="3" t="s">
        <v>10042</v>
      </c>
      <c r="P4483" s="17">
        <v>45674</v>
      </c>
      <c r="Q4483" s="4">
        <v>9</v>
      </c>
    </row>
    <row r="4484" spans="1:17" ht="30" x14ac:dyDescent="0.25">
      <c r="A4484" s="2" t="s">
        <v>1574</v>
      </c>
      <c r="B4484" s="3" t="s">
        <v>5015</v>
      </c>
      <c r="C4484" s="3">
        <v>61</v>
      </c>
      <c r="D4484" s="46" t="str">
        <f>IF(Tabla1[[#This Row],[EDAD]]&lt;=35,"Adultos jóvenes 18 - 35 años",IF(C4484&gt;=36,"Adultos mayores 36 años en adelante"))</f>
        <v>Adultos mayores 36 años en adelante</v>
      </c>
      <c r="E4484" s="3" t="s">
        <v>5019</v>
      </c>
      <c r="F4484" s="3" t="s">
        <v>5030</v>
      </c>
      <c r="G4484" s="3" t="s">
        <v>5036</v>
      </c>
      <c r="H4484" s="3" t="s">
        <v>6597</v>
      </c>
      <c r="I4484" s="17">
        <v>45639</v>
      </c>
      <c r="J4484" s="18">
        <f>YEAR(Tabla1[[#This Row],[FECHA DE COMPRA]])</f>
        <v>2024</v>
      </c>
      <c r="K4484" s="19">
        <v>142.38999999999999</v>
      </c>
      <c r="L4484" s="20">
        <v>0</v>
      </c>
      <c r="M4484" s="19">
        <f>Tienda!$K2889-Tienda!$K2889*Tienda!$L2889</f>
        <v>101.36699999999999</v>
      </c>
      <c r="N4484" s="3" t="s">
        <v>10038</v>
      </c>
      <c r="O4484" s="3" t="s">
        <v>10042</v>
      </c>
      <c r="P4484" s="17">
        <v>45909</v>
      </c>
      <c r="Q4484" s="4">
        <v>9</v>
      </c>
    </row>
    <row r="4485" spans="1:17" ht="30" x14ac:dyDescent="0.25">
      <c r="A4485" s="2" t="s">
        <v>4608</v>
      </c>
      <c r="B4485" s="3" t="s">
        <v>5016</v>
      </c>
      <c r="C4485" s="3">
        <v>54</v>
      </c>
      <c r="D4485" s="46" t="str">
        <f>IF(Tabla1[[#This Row],[EDAD]]&lt;=35,"Adultos jóvenes 18 - 35 años",IF(C4485&gt;=36,"Adultos mayores 36 años en adelante"))</f>
        <v>Adultos mayores 36 años en adelante</v>
      </c>
      <c r="E4485" s="3" t="s">
        <v>5021</v>
      </c>
      <c r="F4485" s="3" t="s">
        <v>5028</v>
      </c>
      <c r="G4485" s="3" t="s">
        <v>5032</v>
      </c>
      <c r="H4485" s="3" t="s">
        <v>9631</v>
      </c>
      <c r="I4485" s="17">
        <v>45405</v>
      </c>
      <c r="J4485" s="18">
        <f>YEAR(Tabla1[[#This Row],[FECHA DE COMPRA]])</f>
        <v>2024</v>
      </c>
      <c r="K4485" s="19">
        <v>179.34</v>
      </c>
      <c r="L4485" s="20">
        <v>0.2</v>
      </c>
      <c r="M4485" s="19">
        <f>Tienda!$K2896-Tienda!$K2896*Tienda!$L2896</f>
        <v>106.68</v>
      </c>
      <c r="N4485" s="3" t="s">
        <v>10038</v>
      </c>
      <c r="O4485" s="3" t="s">
        <v>10042</v>
      </c>
      <c r="P4485" s="17">
        <v>45405</v>
      </c>
      <c r="Q4485" s="4">
        <v>12</v>
      </c>
    </row>
    <row r="4486" spans="1:17" ht="30" x14ac:dyDescent="0.25">
      <c r="A4486" s="2" t="s">
        <v>1547</v>
      </c>
      <c r="B4486" s="3" t="s">
        <v>5016</v>
      </c>
      <c r="C4486" s="3">
        <v>38</v>
      </c>
      <c r="D4486" s="46" t="str">
        <f>IF(Tabla1[[#This Row],[EDAD]]&lt;=35,"Adultos jóvenes 18 - 35 años",IF(C4486&gt;=36,"Adultos mayores 36 años en adelante"))</f>
        <v>Adultos mayores 36 años en adelante</v>
      </c>
      <c r="E4486" s="3" t="s">
        <v>5021</v>
      </c>
      <c r="F4486" s="3" t="s">
        <v>5028</v>
      </c>
      <c r="G4486" s="3" t="s">
        <v>5032</v>
      </c>
      <c r="H4486" s="3" t="s">
        <v>6570</v>
      </c>
      <c r="I4486" s="17">
        <v>45489</v>
      </c>
      <c r="J4486" s="18">
        <f>YEAR(Tabla1[[#This Row],[FECHA DE COMPRA]])</f>
        <v>2024</v>
      </c>
      <c r="K4486" s="19">
        <v>159.55000000000001</v>
      </c>
      <c r="L4486" s="20">
        <v>0.1</v>
      </c>
      <c r="M4486" s="19">
        <f>Tienda!$K2897-Tienda!$K2897*Tienda!$L2897</f>
        <v>107.631</v>
      </c>
      <c r="N4486" s="3" t="s">
        <v>10038</v>
      </c>
      <c r="O4486" s="3" t="s">
        <v>10042</v>
      </c>
      <c r="P4486" s="17">
        <v>45669</v>
      </c>
      <c r="Q4486" s="4">
        <v>6</v>
      </c>
    </row>
    <row r="4487" spans="1:17" ht="30" x14ac:dyDescent="0.25">
      <c r="A4487" s="2" t="s">
        <v>1318</v>
      </c>
      <c r="B4487" s="3" t="s">
        <v>5015</v>
      </c>
      <c r="C4487" s="3">
        <v>39</v>
      </c>
      <c r="D4487" s="46" t="str">
        <f>IF(Tabla1[[#This Row],[EDAD]]&lt;=35,"Adultos jóvenes 18 - 35 años",IF(C4487&gt;=36,"Adultos mayores 36 años en adelante"))</f>
        <v>Adultos mayores 36 años en adelante</v>
      </c>
      <c r="E4487" s="3" t="s">
        <v>5018</v>
      </c>
      <c r="F4487" s="3" t="s">
        <v>5028</v>
      </c>
      <c r="G4487" s="3" t="s">
        <v>5036</v>
      </c>
      <c r="H4487" s="3" t="s">
        <v>6341</v>
      </c>
      <c r="I4487" s="17">
        <v>45359</v>
      </c>
      <c r="J4487" s="18">
        <f>YEAR(Tabla1[[#This Row],[FECHA DE COMPRA]])</f>
        <v>2024</v>
      </c>
      <c r="K4487" s="19">
        <v>143.79</v>
      </c>
      <c r="L4487" s="20">
        <v>0</v>
      </c>
      <c r="M4487" s="19">
        <f>Tienda!$K2898-Tienda!$K2898*Tienda!$L2898</f>
        <v>107.968</v>
      </c>
      <c r="N4487" s="3" t="s">
        <v>10038</v>
      </c>
      <c r="O4487" s="3" t="s">
        <v>10042</v>
      </c>
      <c r="P4487" s="17">
        <v>45359</v>
      </c>
      <c r="Q4487" s="4">
        <v>12</v>
      </c>
    </row>
    <row r="4488" spans="1:17" ht="30" x14ac:dyDescent="0.25">
      <c r="A4488" s="2" t="s">
        <v>4147</v>
      </c>
      <c r="B4488" s="3" t="s">
        <v>5016</v>
      </c>
      <c r="C4488" s="3">
        <v>55</v>
      </c>
      <c r="D4488" s="46" t="str">
        <f>IF(Tabla1[[#This Row],[EDAD]]&lt;=35,"Adultos jóvenes 18 - 35 años",IF(C4488&gt;=36,"Adultos mayores 36 años en adelante"))</f>
        <v>Adultos mayores 36 años en adelante</v>
      </c>
      <c r="E4488" s="3" t="s">
        <v>5017</v>
      </c>
      <c r="F4488" s="3" t="s">
        <v>5029</v>
      </c>
      <c r="G4488" s="3" t="s">
        <v>5037</v>
      </c>
      <c r="H4488" s="3" t="s">
        <v>9170</v>
      </c>
      <c r="I4488" s="17">
        <v>45412</v>
      </c>
      <c r="J4488" s="18">
        <f>YEAR(Tabla1[[#This Row],[FECHA DE COMPRA]])</f>
        <v>2024</v>
      </c>
      <c r="K4488" s="19">
        <v>180.48</v>
      </c>
      <c r="L4488" s="20">
        <v>0.2</v>
      </c>
      <c r="M4488" s="19">
        <f>Tienda!$K2901-Tienda!$K2901*Tienda!$L2901</f>
        <v>109.732</v>
      </c>
      <c r="N4488" s="3" t="s">
        <v>10038</v>
      </c>
      <c r="O4488" s="3" t="s">
        <v>10042</v>
      </c>
      <c r="P4488" s="17">
        <v>45412</v>
      </c>
      <c r="Q4488" s="4">
        <v>3</v>
      </c>
    </row>
    <row r="4489" spans="1:17" ht="30" x14ac:dyDescent="0.25">
      <c r="A4489" s="2" t="s">
        <v>1652</v>
      </c>
      <c r="B4489" s="3" t="s">
        <v>5015</v>
      </c>
      <c r="C4489" s="3">
        <v>54</v>
      </c>
      <c r="D4489" s="46" t="str">
        <f>IF(Tabla1[[#This Row],[EDAD]]&lt;=35,"Adultos jóvenes 18 - 35 años",IF(C4489&gt;=36,"Adultos mayores 36 años en adelante"))</f>
        <v>Adultos mayores 36 años en adelante</v>
      </c>
      <c r="E4489" s="3" t="s">
        <v>5020</v>
      </c>
      <c r="F4489" s="3" t="s">
        <v>5026</v>
      </c>
      <c r="G4489" s="3" t="s">
        <v>5032</v>
      </c>
      <c r="H4489" s="3" t="s">
        <v>6675</v>
      </c>
      <c r="I4489" s="17">
        <v>45540</v>
      </c>
      <c r="J4489" s="18">
        <f>YEAR(Tabla1[[#This Row],[FECHA DE COMPRA]])</f>
        <v>2024</v>
      </c>
      <c r="K4489" s="19">
        <v>181</v>
      </c>
      <c r="L4489" s="20">
        <v>0.2</v>
      </c>
      <c r="M4489" s="19">
        <f>Tienda!$K2903-Tienda!$K2903*Tienda!$L2903</f>
        <v>110.52000000000001</v>
      </c>
      <c r="N4489" s="3" t="s">
        <v>10038</v>
      </c>
      <c r="O4489" s="3" t="s">
        <v>10042</v>
      </c>
      <c r="P4489" s="17">
        <v>45540</v>
      </c>
      <c r="Q4489" s="4">
        <v>9</v>
      </c>
    </row>
    <row r="4490" spans="1:17" ht="30" x14ac:dyDescent="0.25">
      <c r="A4490" s="2" t="s">
        <v>3100</v>
      </c>
      <c r="B4490" s="3" t="s">
        <v>5015</v>
      </c>
      <c r="C4490" s="3">
        <v>37</v>
      </c>
      <c r="D4490" s="46" t="str">
        <f>IF(Tabla1[[#This Row],[EDAD]]&lt;=35,"Adultos jóvenes 18 - 35 años",IF(C4490&gt;=36,"Adultos mayores 36 años en adelante"))</f>
        <v>Adultos mayores 36 años en adelante</v>
      </c>
      <c r="E4490" s="3" t="s">
        <v>5017</v>
      </c>
      <c r="F4490" s="3" t="s">
        <v>5028</v>
      </c>
      <c r="G4490" s="3" t="s">
        <v>5032</v>
      </c>
      <c r="H4490" s="3" t="s">
        <v>8123</v>
      </c>
      <c r="I4490" s="17">
        <v>45307</v>
      </c>
      <c r="J4490" s="18">
        <f>YEAR(Tabla1[[#This Row],[FECHA DE COMPRA]])</f>
        <v>2024</v>
      </c>
      <c r="K4490" s="19">
        <v>161.28</v>
      </c>
      <c r="L4490" s="20">
        <v>0.1</v>
      </c>
      <c r="M4490" s="19">
        <f>Tienda!$K2904-Tienda!$K2904*Tienda!$L2904</f>
        <v>111.52000000000001</v>
      </c>
      <c r="N4490" s="3" t="s">
        <v>10038</v>
      </c>
      <c r="O4490" s="3" t="s">
        <v>10042</v>
      </c>
      <c r="P4490" s="17">
        <v>45487</v>
      </c>
      <c r="Q4490" s="4">
        <v>9</v>
      </c>
    </row>
    <row r="4491" spans="1:17" ht="30" x14ac:dyDescent="0.25">
      <c r="A4491" s="2" t="s">
        <v>4544</v>
      </c>
      <c r="B4491" s="3" t="s">
        <v>5016</v>
      </c>
      <c r="C4491" s="3">
        <v>40</v>
      </c>
      <c r="D4491" s="46" t="str">
        <f>IF(Tabla1[[#This Row],[EDAD]]&lt;=35,"Adultos jóvenes 18 - 35 años",IF(C4491&gt;=36,"Adultos mayores 36 años en adelante"))</f>
        <v>Adultos mayores 36 años en adelante</v>
      </c>
      <c r="E4491" s="3" t="s">
        <v>5019</v>
      </c>
      <c r="F4491" s="3" t="s">
        <v>5024</v>
      </c>
      <c r="G4491" s="3" t="s">
        <v>5034</v>
      </c>
      <c r="H4491" s="3" t="s">
        <v>9567</v>
      </c>
      <c r="I4491" s="17">
        <v>45624</v>
      </c>
      <c r="J4491" s="18">
        <f>YEAR(Tabla1[[#This Row],[FECHA DE COMPRA]])</f>
        <v>2024</v>
      </c>
      <c r="K4491" s="19">
        <v>145.85</v>
      </c>
      <c r="L4491" s="20">
        <v>0</v>
      </c>
      <c r="M4491" s="19">
        <f>Tienda!$K2906-Tienda!$K2906*Tienda!$L2906</f>
        <v>111.94199999999999</v>
      </c>
      <c r="N4491" s="3" t="s">
        <v>10038</v>
      </c>
      <c r="O4491" s="3" t="s">
        <v>10042</v>
      </c>
      <c r="P4491" s="17">
        <v>45857</v>
      </c>
      <c r="Q4491" s="4">
        <v>12</v>
      </c>
    </row>
    <row r="4492" spans="1:17" ht="30" x14ac:dyDescent="0.25">
      <c r="A4492" s="2" t="s">
        <v>3761</v>
      </c>
      <c r="B4492" s="3" t="s">
        <v>5015</v>
      </c>
      <c r="C4492" s="3">
        <v>62</v>
      </c>
      <c r="D4492" s="46" t="str">
        <f>IF(Tabla1[[#This Row],[EDAD]]&lt;=35,"Adultos jóvenes 18 - 35 años",IF(C4492&gt;=36,"Adultos mayores 36 años en adelante"))</f>
        <v>Adultos mayores 36 años en adelante</v>
      </c>
      <c r="E4492" s="3" t="s">
        <v>5022</v>
      </c>
      <c r="F4492" s="3" t="s">
        <v>5024</v>
      </c>
      <c r="G4492" s="3" t="s">
        <v>5033</v>
      </c>
      <c r="H4492" s="3" t="s">
        <v>8784</v>
      </c>
      <c r="I4492" s="17">
        <v>45649</v>
      </c>
      <c r="J4492" s="18">
        <f>YEAR(Tabla1[[#This Row],[FECHA DE COMPRA]])</f>
        <v>2024</v>
      </c>
      <c r="K4492" s="19">
        <v>162.34</v>
      </c>
      <c r="L4492" s="20">
        <v>0.1</v>
      </c>
      <c r="M4492" s="19">
        <f>Tienda!$K2908-Tienda!$K2908*Tienda!$L2908</f>
        <v>113.83199999999999</v>
      </c>
      <c r="N4492" s="3" t="s">
        <v>10038</v>
      </c>
      <c r="O4492" s="3" t="s">
        <v>10042</v>
      </c>
      <c r="P4492" s="17">
        <v>45390</v>
      </c>
      <c r="Q4492" s="4">
        <v>3</v>
      </c>
    </row>
    <row r="4493" spans="1:17" ht="30" x14ac:dyDescent="0.25">
      <c r="A4493" s="2" t="s">
        <v>2531</v>
      </c>
      <c r="B4493" s="3" t="s">
        <v>5015</v>
      </c>
      <c r="C4493" s="3">
        <v>43</v>
      </c>
      <c r="D4493" s="46" t="str">
        <f>IF(Tabla1[[#This Row],[EDAD]]&lt;=35,"Adultos jóvenes 18 - 35 años",IF(C4493&gt;=36,"Adultos mayores 36 años en adelante"))</f>
        <v>Adultos mayores 36 años en adelante</v>
      </c>
      <c r="E4493" s="3" t="s">
        <v>5019</v>
      </c>
      <c r="F4493" s="3" t="s">
        <v>5027</v>
      </c>
      <c r="G4493" s="3" t="s">
        <v>5037</v>
      </c>
      <c r="H4493" s="3" t="s">
        <v>7554</v>
      </c>
      <c r="I4493" s="17">
        <v>45335</v>
      </c>
      <c r="J4493" s="18">
        <f>YEAR(Tabla1[[#This Row],[FECHA DE COMPRA]])</f>
        <v>2024</v>
      </c>
      <c r="K4493" s="19">
        <v>182.69</v>
      </c>
      <c r="L4493" s="20">
        <v>0.2</v>
      </c>
      <c r="M4493" s="19">
        <f>Tienda!$K2910-Tienda!$K2910*Tienda!$L2910</f>
        <v>114.51199999999999</v>
      </c>
      <c r="N4493" s="3" t="s">
        <v>10038</v>
      </c>
      <c r="O4493" s="3" t="s">
        <v>10042</v>
      </c>
      <c r="P4493" s="17">
        <v>45457</v>
      </c>
      <c r="Q4493" s="4">
        <v>3</v>
      </c>
    </row>
    <row r="4494" spans="1:17" ht="30" x14ac:dyDescent="0.25">
      <c r="A4494" s="2" t="s">
        <v>597</v>
      </c>
      <c r="B4494" s="3" t="s">
        <v>5016</v>
      </c>
      <c r="C4494" s="3">
        <v>37</v>
      </c>
      <c r="D4494" s="46" t="str">
        <f>IF(Tabla1[[#This Row],[EDAD]]&lt;=35,"Adultos jóvenes 18 - 35 años",IF(C4494&gt;=36,"Adultos mayores 36 años en adelante"))</f>
        <v>Adultos mayores 36 años en adelante</v>
      </c>
      <c r="E4494" s="3" t="s">
        <v>5019</v>
      </c>
      <c r="F4494" s="3" t="s">
        <v>5027</v>
      </c>
      <c r="G4494" s="3" t="s">
        <v>5031</v>
      </c>
      <c r="H4494" s="3" t="s">
        <v>5620</v>
      </c>
      <c r="I4494" s="17">
        <v>45636</v>
      </c>
      <c r="J4494" s="18">
        <f>YEAR(Tabla1[[#This Row],[FECHA DE COMPRA]])</f>
        <v>2024</v>
      </c>
      <c r="K4494" s="19">
        <v>162.62</v>
      </c>
      <c r="L4494" s="20">
        <v>0.1</v>
      </c>
      <c r="M4494" s="19">
        <f>Tienda!$K2911-Tienda!$K2911*Tienda!$L2911</f>
        <v>115.256</v>
      </c>
      <c r="N4494" s="3" t="s">
        <v>10038</v>
      </c>
      <c r="O4494" s="3" t="s">
        <v>10042</v>
      </c>
      <c r="P4494" s="17">
        <v>45458</v>
      </c>
      <c r="Q4494" s="4">
        <v>9</v>
      </c>
    </row>
    <row r="4495" spans="1:17" ht="30" x14ac:dyDescent="0.25">
      <c r="A4495" s="2" t="s">
        <v>3467</v>
      </c>
      <c r="B4495" s="3" t="s">
        <v>5015</v>
      </c>
      <c r="C4495" s="3">
        <v>62</v>
      </c>
      <c r="D4495" s="46" t="str">
        <f>IF(Tabla1[[#This Row],[EDAD]]&lt;=35,"Adultos jóvenes 18 - 35 años",IF(C4495&gt;=36,"Adultos mayores 36 años en adelante"))</f>
        <v>Adultos mayores 36 años en adelante</v>
      </c>
      <c r="E4495" s="3" t="s">
        <v>5019</v>
      </c>
      <c r="F4495" s="3" t="s">
        <v>5028</v>
      </c>
      <c r="G4495" s="3" t="s">
        <v>5036</v>
      </c>
      <c r="H4495" s="3" t="s">
        <v>8490</v>
      </c>
      <c r="I4495" s="17">
        <v>45395</v>
      </c>
      <c r="J4495" s="18">
        <f>YEAR(Tabla1[[#This Row],[FECHA DE COMPRA]])</f>
        <v>2024</v>
      </c>
      <c r="K4495" s="19">
        <v>163.54</v>
      </c>
      <c r="L4495" s="20">
        <v>0.1</v>
      </c>
      <c r="M4495" s="19">
        <f>Tienda!$K2915-Tienda!$K2915*Tienda!$L2915</f>
        <v>116.523</v>
      </c>
      <c r="N4495" s="3" t="s">
        <v>10038</v>
      </c>
      <c r="O4495" s="3" t="s">
        <v>10042</v>
      </c>
      <c r="P4495" s="17">
        <v>45395</v>
      </c>
      <c r="Q4495" s="4">
        <v>9</v>
      </c>
    </row>
    <row r="4496" spans="1:17" ht="30" x14ac:dyDescent="0.25">
      <c r="A4496" s="2" t="s">
        <v>1654</v>
      </c>
      <c r="B4496" s="3" t="s">
        <v>5015</v>
      </c>
      <c r="C4496" s="3">
        <v>48</v>
      </c>
      <c r="D4496" s="46" t="str">
        <f>IF(Tabla1[[#This Row],[EDAD]]&lt;=35,"Adultos jóvenes 18 - 35 años",IF(C4496&gt;=36,"Adultos mayores 36 años en adelante"))</f>
        <v>Adultos mayores 36 años en adelante</v>
      </c>
      <c r="E4496" s="3" t="s">
        <v>5018</v>
      </c>
      <c r="F4496" s="3" t="s">
        <v>5024</v>
      </c>
      <c r="G4496" s="3" t="s">
        <v>5032</v>
      </c>
      <c r="H4496" s="3" t="s">
        <v>6677</v>
      </c>
      <c r="I4496" s="17">
        <v>45392</v>
      </c>
      <c r="J4496" s="18">
        <f>YEAR(Tabla1[[#This Row],[FECHA DE COMPRA]])</f>
        <v>2024</v>
      </c>
      <c r="K4496" s="19">
        <v>184.68</v>
      </c>
      <c r="L4496" s="20">
        <v>0.2</v>
      </c>
      <c r="M4496" s="19">
        <f>Tienda!$K2921-Tienda!$K2921*Tienda!$L2921</f>
        <v>118.696</v>
      </c>
      <c r="N4496" s="3" t="s">
        <v>10038</v>
      </c>
      <c r="O4496" s="3" t="s">
        <v>10042</v>
      </c>
      <c r="P4496" s="17">
        <v>45392</v>
      </c>
      <c r="Q4496" s="4">
        <v>3</v>
      </c>
    </row>
    <row r="4497" spans="1:17" ht="30" x14ac:dyDescent="0.25">
      <c r="A4497" s="2" t="s">
        <v>4801</v>
      </c>
      <c r="B4497" s="3" t="s">
        <v>5015</v>
      </c>
      <c r="C4497" s="3">
        <v>65</v>
      </c>
      <c r="D4497" s="46" t="str">
        <f>IF(Tabla1[[#This Row],[EDAD]]&lt;=35,"Adultos jóvenes 18 - 35 años",IF(C4497&gt;=36,"Adultos mayores 36 años en adelante"))</f>
        <v>Adultos mayores 36 años en adelante</v>
      </c>
      <c r="E4497" s="3" t="s">
        <v>5020</v>
      </c>
      <c r="F4497" s="3" t="s">
        <v>5030</v>
      </c>
      <c r="G4497" s="3" t="s">
        <v>5032</v>
      </c>
      <c r="H4497" s="3" t="s">
        <v>9824</v>
      </c>
      <c r="I4497" s="17">
        <v>45525</v>
      </c>
      <c r="J4497" s="18">
        <f>YEAR(Tabla1[[#This Row],[FECHA DE COMPRA]])</f>
        <v>2024</v>
      </c>
      <c r="K4497" s="19">
        <v>184.72</v>
      </c>
      <c r="L4497" s="20">
        <v>0.2</v>
      </c>
      <c r="M4497" s="19">
        <f>Tienda!$K2922-Tienda!$K2922*Tienda!$L2922</f>
        <v>119.04</v>
      </c>
      <c r="N4497" s="3" t="s">
        <v>10038</v>
      </c>
      <c r="O4497" s="3" t="s">
        <v>10042</v>
      </c>
      <c r="P4497" s="17">
        <v>45705</v>
      </c>
      <c r="Q4497" s="4">
        <v>6</v>
      </c>
    </row>
    <row r="4498" spans="1:17" ht="30" x14ac:dyDescent="0.25">
      <c r="A4498" s="2" t="s">
        <v>3452</v>
      </c>
      <c r="B4498" s="3" t="s">
        <v>5016</v>
      </c>
      <c r="C4498" s="3">
        <v>61</v>
      </c>
      <c r="D4498" s="46" t="str">
        <f>IF(Tabla1[[#This Row],[EDAD]]&lt;=35,"Adultos jóvenes 18 - 35 años",IF(C4498&gt;=36,"Adultos mayores 36 años en adelante"))</f>
        <v>Adultos mayores 36 años en adelante</v>
      </c>
      <c r="E4498" s="3" t="s">
        <v>5021</v>
      </c>
      <c r="F4498" s="3" t="s">
        <v>5029</v>
      </c>
      <c r="G4498" s="3" t="s">
        <v>5036</v>
      </c>
      <c r="H4498" s="3" t="s">
        <v>8475</v>
      </c>
      <c r="I4498" s="17">
        <v>45333</v>
      </c>
      <c r="J4498" s="18">
        <f>YEAR(Tabla1[[#This Row],[FECHA DE COMPRA]])</f>
        <v>2024</v>
      </c>
      <c r="K4498" s="19">
        <v>164.78</v>
      </c>
      <c r="L4498" s="20">
        <v>0.1</v>
      </c>
      <c r="M4498" s="19">
        <f>Tienda!$K2925-Tienda!$K2925*Tienda!$L2925</f>
        <v>120.38</v>
      </c>
      <c r="N4498" s="3" t="s">
        <v>10038</v>
      </c>
      <c r="O4498" s="3" t="s">
        <v>10042</v>
      </c>
      <c r="P4498" s="17">
        <v>45423</v>
      </c>
      <c r="Q4498" s="4">
        <v>3</v>
      </c>
    </row>
    <row r="4499" spans="1:17" ht="30" x14ac:dyDescent="0.25">
      <c r="A4499" s="2" t="s">
        <v>603</v>
      </c>
      <c r="B4499" s="3" t="s">
        <v>5015</v>
      </c>
      <c r="C4499" s="3">
        <v>59</v>
      </c>
      <c r="D4499" s="46" t="str">
        <f>IF(Tabla1[[#This Row],[EDAD]]&lt;=35,"Adultos jóvenes 18 - 35 años",IF(C4499&gt;=36,"Adultos mayores 36 años en adelante"))</f>
        <v>Adultos mayores 36 años en adelante</v>
      </c>
      <c r="E4499" s="3" t="s">
        <v>5017</v>
      </c>
      <c r="F4499" s="3" t="s">
        <v>5025</v>
      </c>
      <c r="G4499" s="3" t="s">
        <v>5034</v>
      </c>
      <c r="H4499" s="3" t="s">
        <v>5626</v>
      </c>
      <c r="I4499" s="17">
        <v>45335</v>
      </c>
      <c r="J4499" s="18">
        <f>YEAR(Tabla1[[#This Row],[FECHA DE COMPRA]])</f>
        <v>2024</v>
      </c>
      <c r="K4499" s="19">
        <v>164.89</v>
      </c>
      <c r="L4499" s="20">
        <v>0.1</v>
      </c>
      <c r="M4499" s="19">
        <f>Tienda!$K2926-Tienda!$K2926*Tienda!$L2926</f>
        <v>121.16800000000001</v>
      </c>
      <c r="N4499" s="3" t="s">
        <v>10038</v>
      </c>
      <c r="O4499" s="3" t="s">
        <v>10042</v>
      </c>
      <c r="P4499" s="17">
        <v>45335</v>
      </c>
      <c r="Q4499" s="4">
        <v>9</v>
      </c>
    </row>
    <row r="4500" spans="1:17" ht="30" x14ac:dyDescent="0.25">
      <c r="A4500" s="2" t="s">
        <v>2329</v>
      </c>
      <c r="B4500" s="3" t="s">
        <v>5015</v>
      </c>
      <c r="C4500" s="3">
        <v>44</v>
      </c>
      <c r="D4500" s="46" t="str">
        <f>IF(Tabla1[[#This Row],[EDAD]]&lt;=35,"Adultos jóvenes 18 - 35 años",IF(C4500&gt;=36,"Adultos mayores 36 años en adelante"))</f>
        <v>Adultos mayores 36 años en adelante</v>
      </c>
      <c r="E4500" s="3" t="s">
        <v>5022</v>
      </c>
      <c r="F4500" s="3" t="s">
        <v>5025</v>
      </c>
      <c r="G4500" s="3" t="s">
        <v>5035</v>
      </c>
      <c r="H4500" s="3" t="s">
        <v>7352</v>
      </c>
      <c r="I4500" s="17">
        <v>45378</v>
      </c>
      <c r="J4500" s="18">
        <f>YEAR(Tabla1[[#This Row],[FECHA DE COMPRA]])</f>
        <v>2024</v>
      </c>
      <c r="K4500" s="19">
        <v>149.01</v>
      </c>
      <c r="L4500" s="20">
        <v>0</v>
      </c>
      <c r="M4500" s="19">
        <f>Tienda!$K2927-Tienda!$K2927*Tienda!$L2927</f>
        <v>121.24799999999999</v>
      </c>
      <c r="N4500" s="3" t="s">
        <v>10038</v>
      </c>
      <c r="O4500" s="3" t="s">
        <v>10042</v>
      </c>
      <c r="P4500" s="17">
        <v>45378</v>
      </c>
      <c r="Q4500" s="4">
        <v>9</v>
      </c>
    </row>
    <row r="4501" spans="1:17" ht="30" x14ac:dyDescent="0.25">
      <c r="A4501" s="2" t="s">
        <v>4344</v>
      </c>
      <c r="B4501" s="3" t="s">
        <v>5015</v>
      </c>
      <c r="C4501" s="3">
        <v>58</v>
      </c>
      <c r="D4501" s="46" t="str">
        <f>IF(Tabla1[[#This Row],[EDAD]]&lt;=35,"Adultos jóvenes 18 - 35 años",IF(C4501&gt;=36,"Adultos mayores 36 años en adelante"))</f>
        <v>Adultos mayores 36 años en adelante</v>
      </c>
      <c r="E4501" s="3" t="s">
        <v>5018</v>
      </c>
      <c r="F4501" s="3" t="s">
        <v>5027</v>
      </c>
      <c r="G4501" s="3" t="s">
        <v>5034</v>
      </c>
      <c r="H4501" s="3" t="s">
        <v>9367</v>
      </c>
      <c r="I4501" s="17">
        <v>45324</v>
      </c>
      <c r="J4501" s="18">
        <f>YEAR(Tabla1[[#This Row],[FECHA DE COMPRA]])</f>
        <v>2024</v>
      </c>
      <c r="K4501" s="19">
        <v>166</v>
      </c>
      <c r="L4501" s="20">
        <v>0.1</v>
      </c>
      <c r="M4501" s="19">
        <f>Tienda!$K2929-Tienda!$K2929*Tienda!$L2929</f>
        <v>121.4</v>
      </c>
      <c r="N4501" s="3" t="s">
        <v>10038</v>
      </c>
      <c r="O4501" s="3" t="s">
        <v>10042</v>
      </c>
      <c r="P4501" s="17">
        <v>45324</v>
      </c>
      <c r="Q4501" s="4">
        <v>6</v>
      </c>
    </row>
    <row r="4502" spans="1:17" ht="30" x14ac:dyDescent="0.25">
      <c r="A4502" s="2" t="s">
        <v>2923</v>
      </c>
      <c r="B4502" s="3" t="s">
        <v>5015</v>
      </c>
      <c r="C4502" s="3">
        <v>63</v>
      </c>
      <c r="D4502" s="46" t="str">
        <f>IF(Tabla1[[#This Row],[EDAD]]&lt;=35,"Adultos jóvenes 18 - 35 años",IF(C4502&gt;=36,"Adultos mayores 36 años en adelante"))</f>
        <v>Adultos mayores 36 años en adelante</v>
      </c>
      <c r="E4502" s="3" t="s">
        <v>5018</v>
      </c>
      <c r="F4502" s="3" t="s">
        <v>5025</v>
      </c>
      <c r="G4502" s="3" t="s">
        <v>5036</v>
      </c>
      <c r="H4502" s="3" t="s">
        <v>7946</v>
      </c>
      <c r="I4502" s="17">
        <v>45408</v>
      </c>
      <c r="J4502" s="18">
        <f>YEAR(Tabla1[[#This Row],[FECHA DE COMPRA]])</f>
        <v>2024</v>
      </c>
      <c r="K4502" s="19">
        <v>187.08</v>
      </c>
      <c r="L4502" s="20">
        <v>0.2</v>
      </c>
      <c r="M4502" s="19">
        <f>Tienda!$K2930-Tienda!$K2930*Tienda!$L2930</f>
        <v>121.41499999999999</v>
      </c>
      <c r="N4502" s="3" t="s">
        <v>10038</v>
      </c>
      <c r="O4502" s="3" t="s">
        <v>10042</v>
      </c>
      <c r="P4502" s="17">
        <v>45408</v>
      </c>
      <c r="Q4502" s="4">
        <v>6</v>
      </c>
    </row>
    <row r="4503" spans="1:17" ht="30" x14ac:dyDescent="0.25">
      <c r="A4503" s="2" t="s">
        <v>2746</v>
      </c>
      <c r="B4503" s="3" t="s">
        <v>5015</v>
      </c>
      <c r="C4503" s="3">
        <v>43</v>
      </c>
      <c r="D4503" s="46" t="str">
        <f>IF(Tabla1[[#This Row],[EDAD]]&lt;=35,"Adultos jóvenes 18 - 35 años",IF(C4503&gt;=36,"Adultos mayores 36 años en adelante"))</f>
        <v>Adultos mayores 36 años en adelante</v>
      </c>
      <c r="E4503" s="3" t="s">
        <v>5017</v>
      </c>
      <c r="F4503" s="3" t="s">
        <v>5027</v>
      </c>
      <c r="G4503" s="3" t="s">
        <v>5033</v>
      </c>
      <c r="H4503" s="3" t="s">
        <v>7769</v>
      </c>
      <c r="I4503" s="17">
        <v>45531</v>
      </c>
      <c r="J4503" s="18">
        <f>YEAR(Tabla1[[#This Row],[FECHA DE COMPRA]])</f>
        <v>2024</v>
      </c>
      <c r="K4503" s="19">
        <v>188.5</v>
      </c>
      <c r="L4503" s="20">
        <v>0.2</v>
      </c>
      <c r="M4503" s="19">
        <f>Tienda!$K2935-Tienda!$K2935*Tienda!$L2935</f>
        <v>123.066</v>
      </c>
      <c r="N4503" s="3" t="s">
        <v>10038</v>
      </c>
      <c r="O4503" s="3" t="s">
        <v>10042</v>
      </c>
      <c r="P4503" s="17">
        <v>45711</v>
      </c>
      <c r="Q4503" s="4">
        <v>6</v>
      </c>
    </row>
    <row r="4504" spans="1:17" ht="30" x14ac:dyDescent="0.25">
      <c r="A4504" s="2" t="s">
        <v>3672</v>
      </c>
      <c r="B4504" s="3" t="s">
        <v>5015</v>
      </c>
      <c r="C4504" s="3">
        <v>55</v>
      </c>
      <c r="D4504" s="46" t="str">
        <f>IF(Tabla1[[#This Row],[EDAD]]&lt;=35,"Adultos jóvenes 18 - 35 años",IF(C4504&gt;=36,"Adultos mayores 36 años en adelante"))</f>
        <v>Adultos mayores 36 años en adelante</v>
      </c>
      <c r="E4504" s="3" t="s">
        <v>5022</v>
      </c>
      <c r="F4504" s="3" t="s">
        <v>5026</v>
      </c>
      <c r="G4504" s="3" t="s">
        <v>5032</v>
      </c>
      <c r="H4504" s="3" t="s">
        <v>8695</v>
      </c>
      <c r="I4504" s="17">
        <v>45548</v>
      </c>
      <c r="J4504" s="18">
        <f>YEAR(Tabla1[[#This Row],[FECHA DE COMPRA]])</f>
        <v>2024</v>
      </c>
      <c r="K4504" s="19">
        <v>189</v>
      </c>
      <c r="L4504" s="20">
        <v>0.2</v>
      </c>
      <c r="M4504" s="19">
        <f>Tienda!$K2937-Tienda!$K2937*Tienda!$L2937</f>
        <v>123.45599999999999</v>
      </c>
      <c r="N4504" s="3" t="s">
        <v>10038</v>
      </c>
      <c r="O4504" s="3" t="s">
        <v>10042</v>
      </c>
      <c r="P4504" s="17">
        <v>45548</v>
      </c>
      <c r="Q4504" s="4">
        <v>9</v>
      </c>
    </row>
    <row r="4505" spans="1:17" ht="30" x14ac:dyDescent="0.25">
      <c r="A4505" s="2" t="s">
        <v>1013</v>
      </c>
      <c r="B4505" s="3" t="s">
        <v>5015</v>
      </c>
      <c r="C4505" s="3">
        <v>46</v>
      </c>
      <c r="D4505" s="46" t="str">
        <f>IF(Tabla1[[#This Row],[EDAD]]&lt;=35,"Adultos jóvenes 18 - 35 años",IF(C4505&gt;=36,"Adultos mayores 36 años en adelante"))</f>
        <v>Adultos mayores 36 años en adelante</v>
      </c>
      <c r="E4505" s="3" t="s">
        <v>5022</v>
      </c>
      <c r="F4505" s="3" t="s">
        <v>5028</v>
      </c>
      <c r="G4505" s="3" t="s">
        <v>5032</v>
      </c>
      <c r="H4505" s="3" t="s">
        <v>6036</v>
      </c>
      <c r="I4505" s="17">
        <v>45374</v>
      </c>
      <c r="J4505" s="18">
        <f>YEAR(Tabla1[[#This Row],[FECHA DE COMPRA]])</f>
        <v>2024</v>
      </c>
      <c r="K4505" s="19">
        <v>190.54</v>
      </c>
      <c r="L4505" s="20">
        <v>0.2</v>
      </c>
      <c r="M4505" s="19">
        <f>Tienda!$K2942-Tienda!$K2942*Tienda!$L2942</f>
        <v>128.50200000000001</v>
      </c>
      <c r="N4505" s="3" t="s">
        <v>10038</v>
      </c>
      <c r="O4505" s="3" t="s">
        <v>10042</v>
      </c>
      <c r="P4505" s="17">
        <v>45734</v>
      </c>
      <c r="Q4505" s="4">
        <v>12</v>
      </c>
    </row>
    <row r="4506" spans="1:17" ht="30" x14ac:dyDescent="0.25">
      <c r="A4506" s="2" t="s">
        <v>2563</v>
      </c>
      <c r="B4506" s="3" t="s">
        <v>5016</v>
      </c>
      <c r="C4506" s="3">
        <v>61</v>
      </c>
      <c r="D4506" s="46" t="str">
        <f>IF(Tabla1[[#This Row],[EDAD]]&lt;=35,"Adultos jóvenes 18 - 35 años",IF(C4506&gt;=36,"Adultos mayores 36 años en adelante"))</f>
        <v>Adultos mayores 36 años en adelante</v>
      </c>
      <c r="E4506" s="3" t="s">
        <v>5023</v>
      </c>
      <c r="F4506" s="3" t="s">
        <v>5026</v>
      </c>
      <c r="G4506" s="3" t="s">
        <v>5033</v>
      </c>
      <c r="H4506" s="3" t="s">
        <v>7586</v>
      </c>
      <c r="I4506" s="17">
        <v>45594</v>
      </c>
      <c r="J4506" s="18">
        <f>YEAR(Tabla1[[#This Row],[FECHA DE COMPRA]])</f>
        <v>2024</v>
      </c>
      <c r="K4506" s="19">
        <v>169.73</v>
      </c>
      <c r="L4506" s="20">
        <v>0.1</v>
      </c>
      <c r="M4506" s="19">
        <f>Tienda!$K2943-Tienda!$K2943*Tienda!$L2943</f>
        <v>128.637</v>
      </c>
      <c r="N4506" s="3" t="s">
        <v>10038</v>
      </c>
      <c r="O4506" s="3" t="s">
        <v>10042</v>
      </c>
      <c r="P4506" s="17">
        <v>45954</v>
      </c>
      <c r="Q4506" s="4">
        <v>12</v>
      </c>
    </row>
    <row r="4507" spans="1:17" ht="30" x14ac:dyDescent="0.25">
      <c r="A4507" s="2" t="s">
        <v>2020</v>
      </c>
      <c r="B4507" s="3" t="s">
        <v>5016</v>
      </c>
      <c r="C4507" s="3">
        <v>61</v>
      </c>
      <c r="D4507" s="46" t="str">
        <f>IF(Tabla1[[#This Row],[EDAD]]&lt;=35,"Adultos jóvenes 18 - 35 años",IF(C4507&gt;=36,"Adultos mayores 36 años en adelante"))</f>
        <v>Adultos mayores 36 años en adelante</v>
      </c>
      <c r="E4507" s="3" t="s">
        <v>5017</v>
      </c>
      <c r="F4507" s="3" t="s">
        <v>5029</v>
      </c>
      <c r="G4507" s="3" t="s">
        <v>5037</v>
      </c>
      <c r="H4507" s="3" t="s">
        <v>7043</v>
      </c>
      <c r="I4507" s="17">
        <v>45581</v>
      </c>
      <c r="J4507" s="18">
        <f>YEAR(Tabla1[[#This Row],[FECHA DE COMPRA]])</f>
        <v>2024</v>
      </c>
      <c r="K4507" s="19">
        <v>170.01</v>
      </c>
      <c r="L4507" s="20">
        <v>0.1</v>
      </c>
      <c r="M4507" s="19">
        <f>Tienda!$K2946-Tienda!$K2946*Tienda!$L2946</f>
        <v>130.578</v>
      </c>
      <c r="N4507" s="3" t="s">
        <v>10038</v>
      </c>
      <c r="O4507" s="3" t="s">
        <v>10042</v>
      </c>
      <c r="P4507" s="17">
        <v>45581</v>
      </c>
      <c r="Q4507" s="4">
        <v>9</v>
      </c>
    </row>
    <row r="4508" spans="1:17" ht="30" x14ac:dyDescent="0.25">
      <c r="A4508" s="2" t="s">
        <v>3550</v>
      </c>
      <c r="B4508" s="3" t="s">
        <v>5016</v>
      </c>
      <c r="C4508" s="3">
        <v>62</v>
      </c>
      <c r="D4508" s="46" t="str">
        <f>IF(Tabla1[[#This Row],[EDAD]]&lt;=35,"Adultos jóvenes 18 - 35 años",IF(C4508&gt;=36,"Adultos mayores 36 años en adelante"))</f>
        <v>Adultos mayores 36 años en adelante</v>
      </c>
      <c r="E4508" s="3" t="s">
        <v>5021</v>
      </c>
      <c r="F4508" s="3" t="s">
        <v>5030</v>
      </c>
      <c r="G4508" s="3" t="s">
        <v>5032</v>
      </c>
      <c r="H4508" s="3" t="s">
        <v>8573</v>
      </c>
      <c r="I4508" s="17">
        <v>45395</v>
      </c>
      <c r="J4508" s="18">
        <f>YEAR(Tabla1[[#This Row],[FECHA DE COMPRA]])</f>
        <v>2024</v>
      </c>
      <c r="K4508" s="19">
        <v>191.66</v>
      </c>
      <c r="L4508" s="20">
        <v>0.2</v>
      </c>
      <c r="M4508" s="19">
        <f>Tienda!$K2948-Tienda!$K2948*Tienda!$L2948</f>
        <v>132.19200000000001</v>
      </c>
      <c r="N4508" s="3" t="s">
        <v>10038</v>
      </c>
      <c r="O4508" s="3" t="s">
        <v>10042</v>
      </c>
      <c r="P4508" s="17">
        <v>45485</v>
      </c>
      <c r="Q4508" s="4">
        <v>3</v>
      </c>
    </row>
    <row r="4509" spans="1:17" ht="30" x14ac:dyDescent="0.25">
      <c r="A4509" s="2" t="s">
        <v>192</v>
      </c>
      <c r="B4509" s="3" t="s">
        <v>5016</v>
      </c>
      <c r="C4509" s="3">
        <v>53</v>
      </c>
      <c r="D4509" s="46" t="str">
        <f>IF(Tabla1[[#This Row],[EDAD]]&lt;=35,"Adultos jóvenes 18 - 35 años",IF(C4509&gt;=36,"Adultos mayores 36 años en adelante"))</f>
        <v>Adultos mayores 36 años en adelante</v>
      </c>
      <c r="E4509" s="3" t="s">
        <v>5017</v>
      </c>
      <c r="F4509" s="3" t="s">
        <v>5024</v>
      </c>
      <c r="G4509" s="3" t="s">
        <v>5032</v>
      </c>
      <c r="H4509" s="3" t="s">
        <v>5215</v>
      </c>
      <c r="I4509" s="17">
        <v>45649</v>
      </c>
      <c r="J4509" s="18">
        <f>YEAR(Tabla1[[#This Row],[FECHA DE COMPRA]])</f>
        <v>2024</v>
      </c>
      <c r="K4509" s="19">
        <v>191.87</v>
      </c>
      <c r="L4509" s="20">
        <v>0.2</v>
      </c>
      <c r="M4509" s="19">
        <f>Tienda!$K2949-Tienda!$K2949*Tienda!$L2949</f>
        <v>132.50299999999999</v>
      </c>
      <c r="N4509" s="3" t="s">
        <v>10038</v>
      </c>
      <c r="O4509" s="3" t="s">
        <v>10042</v>
      </c>
      <c r="P4509" s="17">
        <v>45383</v>
      </c>
      <c r="Q4509" s="4">
        <v>3</v>
      </c>
    </row>
    <row r="4510" spans="1:17" ht="30" x14ac:dyDescent="0.25">
      <c r="A4510" s="2" t="s">
        <v>1022</v>
      </c>
      <c r="B4510" s="3" t="s">
        <v>5015</v>
      </c>
      <c r="C4510" s="3">
        <v>36</v>
      </c>
      <c r="D4510" s="46" t="str">
        <f>IF(Tabla1[[#This Row],[EDAD]]&lt;=35,"Adultos jóvenes 18 - 35 años",IF(C4510&gt;=36,"Adultos mayores 36 años en adelante"))</f>
        <v>Adultos mayores 36 años en adelante</v>
      </c>
      <c r="E4510" s="3" t="s">
        <v>5017</v>
      </c>
      <c r="F4510" s="3" t="s">
        <v>5025</v>
      </c>
      <c r="G4510" s="3" t="s">
        <v>5031</v>
      </c>
      <c r="H4510" s="3" t="s">
        <v>6045</v>
      </c>
      <c r="I4510" s="17">
        <v>45601</v>
      </c>
      <c r="J4510" s="18">
        <f>YEAR(Tabla1[[#This Row],[FECHA DE COMPRA]])</f>
        <v>2024</v>
      </c>
      <c r="K4510" s="19">
        <v>192.21</v>
      </c>
      <c r="L4510" s="20">
        <v>0.2</v>
      </c>
      <c r="M4510" s="19">
        <f>Tienda!$K2952-Tienda!$K2952*Tienda!$L2952</f>
        <v>134.80799999999999</v>
      </c>
      <c r="N4510" s="3" t="s">
        <v>10038</v>
      </c>
      <c r="O4510" s="3" t="s">
        <v>10042</v>
      </c>
      <c r="P4510" s="17">
        <v>45961</v>
      </c>
      <c r="Q4510" s="4">
        <v>12</v>
      </c>
    </row>
    <row r="4511" spans="1:17" ht="30" x14ac:dyDescent="0.25">
      <c r="A4511" s="2" t="s">
        <v>2018</v>
      </c>
      <c r="B4511" s="3" t="s">
        <v>5016</v>
      </c>
      <c r="C4511" s="3">
        <v>52</v>
      </c>
      <c r="D4511" s="46" t="str">
        <f>IF(Tabla1[[#This Row],[EDAD]]&lt;=35,"Adultos jóvenes 18 - 35 años",IF(C4511&gt;=36,"Adultos mayores 36 años en adelante"))</f>
        <v>Adultos mayores 36 años en adelante</v>
      </c>
      <c r="E4511" s="3" t="s">
        <v>5023</v>
      </c>
      <c r="F4511" s="3" t="s">
        <v>5026</v>
      </c>
      <c r="G4511" s="3" t="s">
        <v>5034</v>
      </c>
      <c r="H4511" s="3" t="s">
        <v>7041</v>
      </c>
      <c r="I4511" s="17">
        <v>45586</v>
      </c>
      <c r="J4511" s="18">
        <f>YEAR(Tabla1[[#This Row],[FECHA DE COMPRA]])</f>
        <v>2024</v>
      </c>
      <c r="K4511" s="19">
        <v>154.13</v>
      </c>
      <c r="L4511" s="20">
        <v>0</v>
      </c>
      <c r="M4511" s="19">
        <f>Tienda!$K2954-Tienda!$K2954*Tienda!$L2954</f>
        <v>135.91899999999998</v>
      </c>
      <c r="N4511" s="3" t="s">
        <v>10038</v>
      </c>
      <c r="O4511" s="3" t="s">
        <v>10042</v>
      </c>
      <c r="P4511" s="17">
        <v>45856</v>
      </c>
      <c r="Q4511" s="4">
        <v>9</v>
      </c>
    </row>
    <row r="4512" spans="1:17" ht="30" x14ac:dyDescent="0.25">
      <c r="A4512" s="2" t="s">
        <v>2810</v>
      </c>
      <c r="B4512" s="3" t="s">
        <v>5015</v>
      </c>
      <c r="C4512" s="3">
        <v>60</v>
      </c>
      <c r="D4512" s="46" t="str">
        <f>IF(Tabla1[[#This Row],[EDAD]]&lt;=35,"Adultos jóvenes 18 - 35 años",IF(C4512&gt;=36,"Adultos mayores 36 años en adelante"))</f>
        <v>Adultos mayores 36 años en adelante</v>
      </c>
      <c r="E4512" s="3" t="s">
        <v>5021</v>
      </c>
      <c r="F4512" s="3" t="s">
        <v>5028</v>
      </c>
      <c r="G4512" s="3" t="s">
        <v>5036</v>
      </c>
      <c r="H4512" s="3" t="s">
        <v>7833</v>
      </c>
      <c r="I4512" s="17">
        <v>45547</v>
      </c>
      <c r="J4512" s="18">
        <f>YEAR(Tabla1[[#This Row],[FECHA DE COMPRA]])</f>
        <v>2024</v>
      </c>
      <c r="K4512" s="19">
        <v>171.68</v>
      </c>
      <c r="L4512" s="20">
        <v>0.1</v>
      </c>
      <c r="M4512" s="19">
        <f>Tienda!$K2957-Tienda!$K2957*Tienda!$L2957</f>
        <v>136.76400000000001</v>
      </c>
      <c r="N4512" s="3" t="s">
        <v>10038</v>
      </c>
      <c r="O4512" s="3" t="s">
        <v>10042</v>
      </c>
      <c r="P4512" s="17">
        <v>45547</v>
      </c>
      <c r="Q4512" s="4">
        <v>3</v>
      </c>
    </row>
    <row r="4513" spans="1:17" ht="30" x14ac:dyDescent="0.25">
      <c r="A4513" s="2" t="s">
        <v>3442</v>
      </c>
      <c r="B4513" s="3" t="s">
        <v>5015</v>
      </c>
      <c r="C4513" s="3">
        <v>63</v>
      </c>
      <c r="D4513" s="46" t="str">
        <f>IF(Tabla1[[#This Row],[EDAD]]&lt;=35,"Adultos jóvenes 18 - 35 años",IF(C4513&gt;=36,"Adultos mayores 36 años en adelante"))</f>
        <v>Adultos mayores 36 años en adelante</v>
      </c>
      <c r="E4513" s="3" t="s">
        <v>5020</v>
      </c>
      <c r="F4513" s="3" t="s">
        <v>5029</v>
      </c>
      <c r="G4513" s="3" t="s">
        <v>5037</v>
      </c>
      <c r="H4513" s="3" t="s">
        <v>8465</v>
      </c>
      <c r="I4513" s="17">
        <v>45635</v>
      </c>
      <c r="J4513" s="18">
        <f>YEAR(Tabla1[[#This Row],[FECHA DE COMPRA]])</f>
        <v>2024</v>
      </c>
      <c r="K4513" s="19">
        <v>154.62</v>
      </c>
      <c r="L4513" s="20">
        <v>0</v>
      </c>
      <c r="M4513" s="19">
        <f>Tienda!$K2959-Tienda!$K2959*Tienda!$L2959</f>
        <v>137.78100000000001</v>
      </c>
      <c r="N4513" s="3" t="s">
        <v>10038</v>
      </c>
      <c r="O4513" s="3" t="s">
        <v>10042</v>
      </c>
      <c r="P4513" s="17">
        <v>45445</v>
      </c>
      <c r="Q4513" s="4">
        <v>12</v>
      </c>
    </row>
    <row r="4514" spans="1:17" ht="30" x14ac:dyDescent="0.25">
      <c r="A4514" s="2" t="s">
        <v>4837</v>
      </c>
      <c r="B4514" s="3" t="s">
        <v>5015</v>
      </c>
      <c r="C4514" s="3">
        <v>46</v>
      </c>
      <c r="D4514" s="46" t="str">
        <f>IF(Tabla1[[#This Row],[EDAD]]&lt;=35,"Adultos jóvenes 18 - 35 años",IF(C4514&gt;=36,"Adultos mayores 36 años en adelante"))</f>
        <v>Adultos mayores 36 años en adelante</v>
      </c>
      <c r="E4514" s="3" t="s">
        <v>5022</v>
      </c>
      <c r="F4514" s="3" t="s">
        <v>5025</v>
      </c>
      <c r="G4514" s="3" t="s">
        <v>5034</v>
      </c>
      <c r="H4514" s="3" t="s">
        <v>9860</v>
      </c>
      <c r="I4514" s="17">
        <v>45546</v>
      </c>
      <c r="J4514" s="18">
        <f>YEAR(Tabla1[[#This Row],[FECHA DE COMPRA]])</f>
        <v>2024</v>
      </c>
      <c r="K4514" s="19">
        <v>172.44</v>
      </c>
      <c r="L4514" s="20">
        <v>0.1</v>
      </c>
      <c r="M4514" s="19">
        <f>Tienda!$K2961-Tienda!$K2961*Tienda!$L2961</f>
        <v>139.70600000000002</v>
      </c>
      <c r="N4514" s="3" t="s">
        <v>10038</v>
      </c>
      <c r="O4514" s="3" t="s">
        <v>10042</v>
      </c>
      <c r="P4514" s="17">
        <v>45816</v>
      </c>
      <c r="Q4514" s="4">
        <v>9</v>
      </c>
    </row>
    <row r="4515" spans="1:17" ht="30" x14ac:dyDescent="0.25">
      <c r="A4515" s="2" t="s">
        <v>4587</v>
      </c>
      <c r="B4515" s="3" t="s">
        <v>5016</v>
      </c>
      <c r="C4515" s="3">
        <v>46</v>
      </c>
      <c r="D4515" s="46" t="str">
        <f>IF(Tabla1[[#This Row],[EDAD]]&lt;=35,"Adultos jóvenes 18 - 35 años",IF(C4515&gt;=36,"Adultos mayores 36 años en adelante"))</f>
        <v>Adultos mayores 36 años en adelante</v>
      </c>
      <c r="E4515" s="3" t="s">
        <v>5019</v>
      </c>
      <c r="F4515" s="3" t="s">
        <v>5024</v>
      </c>
      <c r="G4515" s="3" t="s">
        <v>5032</v>
      </c>
      <c r="H4515" s="3" t="s">
        <v>9610</v>
      </c>
      <c r="I4515" s="17">
        <v>45355</v>
      </c>
      <c r="J4515" s="18">
        <f>YEAR(Tabla1[[#This Row],[FECHA DE COMPRA]])</f>
        <v>2024</v>
      </c>
      <c r="K4515" s="19">
        <v>173.64</v>
      </c>
      <c r="L4515" s="20">
        <v>0.1</v>
      </c>
      <c r="M4515" s="19">
        <f>Tienda!$K2967-Tienda!$K2967*Tienda!$L2967</f>
        <v>141.68</v>
      </c>
      <c r="N4515" s="3" t="s">
        <v>10038</v>
      </c>
      <c r="O4515" s="3" t="s">
        <v>10042</v>
      </c>
      <c r="P4515" s="17">
        <v>45535</v>
      </c>
      <c r="Q4515" s="4">
        <v>6</v>
      </c>
    </row>
    <row r="4516" spans="1:17" ht="30" x14ac:dyDescent="0.25">
      <c r="A4516" s="2" t="s">
        <v>4657</v>
      </c>
      <c r="B4516" s="3" t="s">
        <v>5015</v>
      </c>
      <c r="C4516" s="3">
        <v>51</v>
      </c>
      <c r="D4516" s="46" t="str">
        <f>IF(Tabla1[[#This Row],[EDAD]]&lt;=35,"Adultos jóvenes 18 - 35 años",IF(C4516&gt;=36,"Adultos mayores 36 años en adelante"))</f>
        <v>Adultos mayores 36 años en adelante</v>
      </c>
      <c r="E4516" s="3" t="s">
        <v>5020</v>
      </c>
      <c r="F4516" s="3" t="s">
        <v>5029</v>
      </c>
      <c r="G4516" s="3" t="s">
        <v>5034</v>
      </c>
      <c r="H4516" s="3" t="s">
        <v>9680</v>
      </c>
      <c r="I4516" s="17">
        <v>45308</v>
      </c>
      <c r="J4516" s="18">
        <f>YEAR(Tabla1[[#This Row],[FECHA DE COMPRA]])</f>
        <v>2024</v>
      </c>
      <c r="K4516" s="19">
        <v>174.45</v>
      </c>
      <c r="L4516" s="20">
        <v>0.1</v>
      </c>
      <c r="M4516" s="19">
        <f>Tienda!$K2969-Tienda!$K2969*Tienda!$L2969</f>
        <v>143.35</v>
      </c>
      <c r="N4516" s="3" t="s">
        <v>10038</v>
      </c>
      <c r="O4516" s="3" t="s">
        <v>10042</v>
      </c>
      <c r="P4516" s="17">
        <v>45308</v>
      </c>
      <c r="Q4516" s="4">
        <v>9</v>
      </c>
    </row>
    <row r="4517" spans="1:17" ht="30" x14ac:dyDescent="0.25">
      <c r="A4517" s="2" t="s">
        <v>4861</v>
      </c>
      <c r="B4517" s="3" t="s">
        <v>5016</v>
      </c>
      <c r="C4517" s="3">
        <v>44</v>
      </c>
      <c r="D4517" s="46" t="str">
        <f>IF(Tabla1[[#This Row],[EDAD]]&lt;=35,"Adultos jóvenes 18 - 35 años",IF(C4517&gt;=36,"Adultos mayores 36 años en adelante"))</f>
        <v>Adultos mayores 36 años en adelante</v>
      </c>
      <c r="E4517" s="3" t="s">
        <v>5023</v>
      </c>
      <c r="F4517" s="3" t="s">
        <v>5030</v>
      </c>
      <c r="G4517" s="3" t="s">
        <v>5031</v>
      </c>
      <c r="H4517" s="3" t="s">
        <v>9884</v>
      </c>
      <c r="I4517" s="17">
        <v>45639</v>
      </c>
      <c r="J4517" s="18">
        <f>YEAR(Tabla1[[#This Row],[FECHA DE COMPRA]])</f>
        <v>2024</v>
      </c>
      <c r="K4517" s="19">
        <v>157.21</v>
      </c>
      <c r="L4517" s="20">
        <v>0</v>
      </c>
      <c r="M4517" s="19">
        <f>Tienda!$K2970-Tienda!$K2970*Tienda!$L2970</f>
        <v>143.63999999999999</v>
      </c>
      <c r="N4517" s="3" t="s">
        <v>10038</v>
      </c>
      <c r="O4517" s="3" t="s">
        <v>10042</v>
      </c>
      <c r="P4517" s="17">
        <v>45819</v>
      </c>
      <c r="Q4517" s="4">
        <v>6</v>
      </c>
    </row>
    <row r="4518" spans="1:17" ht="30" x14ac:dyDescent="0.25">
      <c r="A4518" s="2" t="s">
        <v>1424</v>
      </c>
      <c r="B4518" s="3" t="s">
        <v>5015</v>
      </c>
      <c r="C4518" s="3">
        <v>62</v>
      </c>
      <c r="D4518" s="46" t="str">
        <f>IF(Tabla1[[#This Row],[EDAD]]&lt;=35,"Adultos jóvenes 18 - 35 años",IF(C4518&gt;=36,"Adultos mayores 36 años en adelante"))</f>
        <v>Adultos mayores 36 años en adelante</v>
      </c>
      <c r="E4518" s="3" t="s">
        <v>5017</v>
      </c>
      <c r="F4518" s="3" t="s">
        <v>5024</v>
      </c>
      <c r="G4518" s="3" t="s">
        <v>5032</v>
      </c>
      <c r="H4518" s="3" t="s">
        <v>6447</v>
      </c>
      <c r="I4518" s="17">
        <v>45594</v>
      </c>
      <c r="J4518" s="18">
        <f>YEAR(Tabla1[[#This Row],[FECHA DE COMPRA]])</f>
        <v>2024</v>
      </c>
      <c r="K4518" s="19">
        <v>196.54</v>
      </c>
      <c r="L4518" s="20">
        <v>0.2</v>
      </c>
      <c r="M4518" s="19">
        <f>Tienda!$K2971-Tienda!$K2971*Tienda!$L2971</f>
        <v>144.14400000000001</v>
      </c>
      <c r="N4518" s="3" t="s">
        <v>10038</v>
      </c>
      <c r="O4518" s="3" t="s">
        <v>10042</v>
      </c>
      <c r="P4518" s="17">
        <v>45774</v>
      </c>
      <c r="Q4518" s="4">
        <v>6</v>
      </c>
    </row>
    <row r="4519" spans="1:17" ht="30" x14ac:dyDescent="0.25">
      <c r="A4519" s="2" t="s">
        <v>1046</v>
      </c>
      <c r="B4519" s="3" t="s">
        <v>5016</v>
      </c>
      <c r="C4519" s="3">
        <v>62</v>
      </c>
      <c r="D4519" s="46" t="str">
        <f>IF(Tabla1[[#This Row],[EDAD]]&lt;=35,"Adultos jóvenes 18 - 35 años",IF(C4519&gt;=36,"Adultos mayores 36 años en adelante"))</f>
        <v>Adultos mayores 36 años en adelante</v>
      </c>
      <c r="E4519" s="3" t="s">
        <v>5017</v>
      </c>
      <c r="F4519" s="3" t="s">
        <v>5028</v>
      </c>
      <c r="G4519" s="3" t="s">
        <v>5034</v>
      </c>
      <c r="H4519" s="3" t="s">
        <v>6069</v>
      </c>
      <c r="I4519" s="17">
        <v>45553</v>
      </c>
      <c r="J4519" s="18">
        <f>YEAR(Tabla1[[#This Row],[FECHA DE COMPRA]])</f>
        <v>2024</v>
      </c>
      <c r="K4519" s="19">
        <v>157.36000000000001</v>
      </c>
      <c r="L4519" s="20">
        <v>0</v>
      </c>
      <c r="M4519" s="19">
        <f>Tienda!$K2972-Tienda!$K2972*Tienda!$L2972</f>
        <v>144.97</v>
      </c>
      <c r="N4519" s="3" t="s">
        <v>10038</v>
      </c>
      <c r="O4519" s="3" t="s">
        <v>10042</v>
      </c>
      <c r="P4519" s="17">
        <v>45733</v>
      </c>
      <c r="Q4519" s="4">
        <v>6</v>
      </c>
    </row>
    <row r="4520" spans="1:17" ht="30" x14ac:dyDescent="0.25">
      <c r="A4520" s="2" t="s">
        <v>4947</v>
      </c>
      <c r="B4520" s="3" t="s">
        <v>5015</v>
      </c>
      <c r="C4520" s="3">
        <v>43</v>
      </c>
      <c r="D4520" s="46" t="str">
        <f>IF(Tabla1[[#This Row],[EDAD]]&lt;=35,"Adultos jóvenes 18 - 35 años",IF(C4520&gt;=36,"Adultos mayores 36 años en adelante"))</f>
        <v>Adultos mayores 36 años en adelante</v>
      </c>
      <c r="E4520" s="3" t="s">
        <v>5021</v>
      </c>
      <c r="F4520" s="3" t="s">
        <v>5030</v>
      </c>
      <c r="G4520" s="3" t="s">
        <v>5033</v>
      </c>
      <c r="H4520" s="3" t="s">
        <v>9970</v>
      </c>
      <c r="I4520" s="17">
        <v>45557</v>
      </c>
      <c r="J4520" s="18">
        <f>YEAR(Tabla1[[#This Row],[FECHA DE COMPRA]])</f>
        <v>2024</v>
      </c>
      <c r="K4520" s="19">
        <v>157.66</v>
      </c>
      <c r="L4520" s="20">
        <v>0</v>
      </c>
      <c r="M4520" s="19">
        <f>Tienda!$K2976-Tienda!$K2976*Tienda!$L2976</f>
        <v>148.44</v>
      </c>
      <c r="N4520" s="3" t="s">
        <v>10038</v>
      </c>
      <c r="O4520" s="3" t="s">
        <v>10042</v>
      </c>
      <c r="P4520" s="17">
        <v>45827</v>
      </c>
      <c r="Q4520" s="4">
        <v>9</v>
      </c>
    </row>
    <row r="4521" spans="1:17" ht="30" x14ac:dyDescent="0.25">
      <c r="A4521" s="2" t="s">
        <v>4570</v>
      </c>
      <c r="B4521" s="3" t="s">
        <v>5015</v>
      </c>
      <c r="C4521" s="3">
        <v>50</v>
      </c>
      <c r="D4521" s="46" t="str">
        <f>IF(Tabla1[[#This Row],[EDAD]]&lt;=35,"Adultos jóvenes 18 - 35 años",IF(C4521&gt;=36,"Adultos mayores 36 años en adelante"))</f>
        <v>Adultos mayores 36 años en adelante</v>
      </c>
      <c r="E4521" s="3" t="s">
        <v>5018</v>
      </c>
      <c r="F4521" s="3" t="s">
        <v>5026</v>
      </c>
      <c r="G4521" s="3" t="s">
        <v>5033</v>
      </c>
      <c r="H4521" s="3" t="s">
        <v>9593</v>
      </c>
      <c r="I4521" s="17">
        <v>45368</v>
      </c>
      <c r="J4521" s="18">
        <f>YEAR(Tabla1[[#This Row],[FECHA DE COMPRA]])</f>
        <v>2024</v>
      </c>
      <c r="K4521" s="19">
        <v>158.44999999999999</v>
      </c>
      <c r="L4521" s="20">
        <v>0</v>
      </c>
      <c r="M4521" s="19">
        <f>Tienda!$K2980-Tienda!$K2980*Tienda!$L2980</f>
        <v>150.714</v>
      </c>
      <c r="N4521" s="3" t="s">
        <v>10038</v>
      </c>
      <c r="O4521" s="3" t="s">
        <v>10042</v>
      </c>
      <c r="P4521" s="17">
        <v>45458</v>
      </c>
      <c r="Q4521" s="4">
        <v>3</v>
      </c>
    </row>
    <row r="4522" spans="1:17" ht="30" x14ac:dyDescent="0.25">
      <c r="A4522" s="2" t="s">
        <v>588</v>
      </c>
      <c r="B4522" s="3" t="s">
        <v>5015</v>
      </c>
      <c r="C4522" s="3">
        <v>62</v>
      </c>
      <c r="D4522" s="46" t="str">
        <f>IF(Tabla1[[#This Row],[EDAD]]&lt;=35,"Adultos jóvenes 18 - 35 años",IF(C4522&gt;=36,"Adultos mayores 36 años en adelante"))</f>
        <v>Adultos mayores 36 años en adelante</v>
      </c>
      <c r="E4522" s="3" t="s">
        <v>5020</v>
      </c>
      <c r="F4522" s="3" t="s">
        <v>5027</v>
      </c>
      <c r="G4522" s="3" t="s">
        <v>5033</v>
      </c>
      <c r="H4522" s="3" t="s">
        <v>5611</v>
      </c>
      <c r="I4522" s="17">
        <v>45328</v>
      </c>
      <c r="J4522" s="18">
        <f>YEAR(Tabla1[[#This Row],[FECHA DE COMPRA]])</f>
        <v>2024</v>
      </c>
      <c r="K4522" s="19">
        <v>199.26</v>
      </c>
      <c r="L4522" s="20">
        <v>0.2</v>
      </c>
      <c r="M4522" s="19">
        <f>Tienda!$K2981-Tienda!$K2981*Tienda!$L2981</f>
        <v>151.18199999999999</v>
      </c>
      <c r="N4522" s="3" t="s">
        <v>10038</v>
      </c>
      <c r="O4522" s="3" t="s">
        <v>10042</v>
      </c>
      <c r="P4522" s="17">
        <v>45328</v>
      </c>
      <c r="Q4522" s="4">
        <v>9</v>
      </c>
    </row>
    <row r="4523" spans="1:17" ht="30" x14ac:dyDescent="0.25">
      <c r="A4523" s="2" t="s">
        <v>1275</v>
      </c>
      <c r="B4523" s="3" t="s">
        <v>5015</v>
      </c>
      <c r="C4523" s="3">
        <v>48</v>
      </c>
      <c r="D4523" s="46" t="str">
        <f>IF(Tabla1[[#This Row],[EDAD]]&lt;=35,"Adultos jóvenes 18 - 35 años",IF(C4523&gt;=36,"Adultos mayores 36 años en adelante"))</f>
        <v>Adultos mayores 36 años en adelante</v>
      </c>
      <c r="E4523" s="3" t="s">
        <v>5019</v>
      </c>
      <c r="F4523" s="3" t="s">
        <v>5027</v>
      </c>
      <c r="G4523" s="3" t="s">
        <v>5034</v>
      </c>
      <c r="H4523" s="3" t="s">
        <v>6298</v>
      </c>
      <c r="I4523" s="17">
        <v>45377</v>
      </c>
      <c r="J4523" s="18">
        <f>YEAR(Tabla1[[#This Row],[FECHA DE COMPRA]])</f>
        <v>2024</v>
      </c>
      <c r="K4523" s="19">
        <v>177.41</v>
      </c>
      <c r="L4523" s="20">
        <v>0.1</v>
      </c>
      <c r="M4523" s="19">
        <f>Tienda!$K2983-Tienda!$K2983*Tienda!$L2983</f>
        <v>152.334</v>
      </c>
      <c r="N4523" s="3" t="s">
        <v>10038</v>
      </c>
      <c r="O4523" s="3" t="s">
        <v>10042</v>
      </c>
      <c r="P4523" s="17">
        <v>45377</v>
      </c>
      <c r="Q4523" s="4">
        <v>12</v>
      </c>
    </row>
    <row r="4524" spans="1:17" ht="30" x14ac:dyDescent="0.25">
      <c r="A4524" s="2" t="s">
        <v>244</v>
      </c>
      <c r="B4524" s="3" t="s">
        <v>5015</v>
      </c>
      <c r="C4524" s="3">
        <v>63</v>
      </c>
      <c r="D4524" s="46" t="str">
        <f>IF(Tabla1[[#This Row],[EDAD]]&lt;=35,"Adultos jóvenes 18 - 35 años",IF(C4524&gt;=36,"Adultos mayores 36 años en adelante"))</f>
        <v>Adultos mayores 36 años en adelante</v>
      </c>
      <c r="E4524" s="3" t="s">
        <v>5020</v>
      </c>
      <c r="F4524" s="3" t="s">
        <v>5024</v>
      </c>
      <c r="G4524" s="3" t="s">
        <v>5033</v>
      </c>
      <c r="H4524" s="3" t="s">
        <v>5267</v>
      </c>
      <c r="I4524" s="17">
        <v>45535</v>
      </c>
      <c r="J4524" s="18">
        <f>YEAR(Tabla1[[#This Row],[FECHA DE COMPRA]])</f>
        <v>2024</v>
      </c>
      <c r="K4524" s="19">
        <v>178.2</v>
      </c>
      <c r="L4524" s="20">
        <v>0.1</v>
      </c>
      <c r="M4524" s="19">
        <f>Tienda!$K2988-Tienda!$K2988*Tienda!$L2988</f>
        <v>154.56</v>
      </c>
      <c r="N4524" s="3" t="s">
        <v>10038</v>
      </c>
      <c r="O4524" s="3" t="s">
        <v>10042</v>
      </c>
      <c r="P4524" s="17">
        <v>45535</v>
      </c>
      <c r="Q4524" s="4">
        <v>9</v>
      </c>
    </row>
    <row r="4525" spans="1:17" ht="30" x14ac:dyDescent="0.25">
      <c r="A4525" s="2" t="s">
        <v>2618</v>
      </c>
      <c r="B4525" s="3" t="s">
        <v>5015</v>
      </c>
      <c r="C4525" s="3">
        <v>55</v>
      </c>
      <c r="D4525" s="46" t="str">
        <f>IF(Tabla1[[#This Row],[EDAD]]&lt;=35,"Adultos jóvenes 18 - 35 años",IF(C4525&gt;=36,"Adultos mayores 36 años en adelante"))</f>
        <v>Adultos mayores 36 años en adelante</v>
      </c>
      <c r="E4525" s="3" t="s">
        <v>5018</v>
      </c>
      <c r="F4525" s="3" t="s">
        <v>5029</v>
      </c>
      <c r="G4525" s="3" t="s">
        <v>5034</v>
      </c>
      <c r="H4525" s="3" t="s">
        <v>7641</v>
      </c>
      <c r="I4525" s="17">
        <v>45619</v>
      </c>
      <c r="J4525" s="18">
        <f>YEAR(Tabla1[[#This Row],[FECHA DE COMPRA]])</f>
        <v>2024</v>
      </c>
      <c r="K4525" s="19">
        <v>179.95</v>
      </c>
      <c r="L4525" s="20">
        <v>0.1</v>
      </c>
      <c r="M4525" s="19">
        <f>Tienda!$K2992-Tienda!$K2992*Tienda!$L2992</f>
        <v>156.08800000000002</v>
      </c>
      <c r="N4525" s="3" t="s">
        <v>10038</v>
      </c>
      <c r="O4525" s="3" t="s">
        <v>10042</v>
      </c>
      <c r="P4525" s="17">
        <v>45823</v>
      </c>
      <c r="Q4525" s="4">
        <v>12</v>
      </c>
    </row>
    <row r="4526" spans="1:17" ht="30" x14ac:dyDescent="0.25">
      <c r="A4526" s="2" t="s">
        <v>3048</v>
      </c>
      <c r="B4526" s="3" t="s">
        <v>5016</v>
      </c>
      <c r="C4526" s="3">
        <v>60</v>
      </c>
      <c r="D4526" s="46" t="str">
        <f>IF(Tabla1[[#This Row],[EDAD]]&lt;=35,"Adultos jóvenes 18 - 35 años",IF(C4526&gt;=36,"Adultos mayores 36 años en adelante"))</f>
        <v>Adultos mayores 36 años en adelante</v>
      </c>
      <c r="E4526" s="3" t="s">
        <v>5017</v>
      </c>
      <c r="F4526" s="3" t="s">
        <v>5026</v>
      </c>
      <c r="G4526" s="3" t="s">
        <v>5033</v>
      </c>
      <c r="H4526" s="3" t="s">
        <v>8071</v>
      </c>
      <c r="I4526" s="17">
        <v>45605</v>
      </c>
      <c r="J4526" s="18">
        <f>YEAR(Tabla1[[#This Row],[FECHA DE COMPRA]])</f>
        <v>2024</v>
      </c>
      <c r="K4526" s="19">
        <v>163.22</v>
      </c>
      <c r="L4526" s="20">
        <v>0</v>
      </c>
      <c r="M4526" s="19">
        <f>Tienda!$K2996-Tienda!$K2996*Tienda!$L2996</f>
        <v>157.66400000000002</v>
      </c>
      <c r="N4526" s="3" t="s">
        <v>10038</v>
      </c>
      <c r="O4526" s="3" t="s">
        <v>10042</v>
      </c>
      <c r="P4526" s="17">
        <v>45695</v>
      </c>
      <c r="Q4526" s="4">
        <v>3</v>
      </c>
    </row>
    <row r="4527" spans="1:17" ht="30" x14ac:dyDescent="0.25">
      <c r="A4527" s="2" t="s">
        <v>4201</v>
      </c>
      <c r="B4527" s="3" t="s">
        <v>5015</v>
      </c>
      <c r="C4527" s="3">
        <v>45</v>
      </c>
      <c r="D4527" s="46" t="str">
        <f>IF(Tabla1[[#This Row],[EDAD]]&lt;=35,"Adultos jóvenes 18 - 35 años",IF(C4527&gt;=36,"Adultos mayores 36 años en adelante"))</f>
        <v>Adultos mayores 36 años en adelante</v>
      </c>
      <c r="E4527" s="3" t="s">
        <v>5023</v>
      </c>
      <c r="F4527" s="3" t="s">
        <v>5028</v>
      </c>
      <c r="G4527" s="3" t="s">
        <v>5035</v>
      </c>
      <c r="H4527" s="3" t="s">
        <v>9224</v>
      </c>
      <c r="I4527" s="17">
        <v>45422</v>
      </c>
      <c r="J4527" s="18">
        <f>YEAR(Tabla1[[#This Row],[FECHA DE COMPRA]])</f>
        <v>2024</v>
      </c>
      <c r="K4527" s="19">
        <v>164.74</v>
      </c>
      <c r="L4527" s="20">
        <v>0</v>
      </c>
      <c r="M4527" s="19">
        <f>Tienda!$K3000-Tienda!$K3000*Tienda!$L3000</f>
        <v>159.65600000000001</v>
      </c>
      <c r="N4527" s="3" t="s">
        <v>10038</v>
      </c>
      <c r="O4527" s="3" t="s">
        <v>10042</v>
      </c>
      <c r="P4527" s="17">
        <v>45512</v>
      </c>
      <c r="Q4527" s="4">
        <v>3</v>
      </c>
    </row>
    <row r="4528" spans="1:17" ht="30" x14ac:dyDescent="0.25">
      <c r="A4528" s="2" t="s">
        <v>1781</v>
      </c>
      <c r="B4528" s="3" t="s">
        <v>5016</v>
      </c>
      <c r="C4528" s="3">
        <v>42</v>
      </c>
      <c r="D4528" s="46" t="str">
        <f>IF(Tabla1[[#This Row],[EDAD]]&lt;=35,"Adultos jóvenes 18 - 35 años",IF(C4528&gt;=36,"Adultos mayores 36 años en adelante"))</f>
        <v>Adultos mayores 36 años en adelante</v>
      </c>
      <c r="E4528" s="3" t="s">
        <v>5021</v>
      </c>
      <c r="F4528" s="3" t="s">
        <v>5028</v>
      </c>
      <c r="G4528" s="3" t="s">
        <v>5033</v>
      </c>
      <c r="H4528" s="3" t="s">
        <v>6804</v>
      </c>
      <c r="I4528" s="17">
        <v>45618</v>
      </c>
      <c r="J4528" s="18">
        <f>YEAR(Tabla1[[#This Row],[FECHA DE COMPRA]])</f>
        <v>2024</v>
      </c>
      <c r="K4528" s="19">
        <v>183.66</v>
      </c>
      <c r="L4528" s="20">
        <v>0.1</v>
      </c>
      <c r="M4528" s="19">
        <f>Tienda!$K3002-Tienda!$K3002*Tienda!$L3002</f>
        <v>163.17000000000002</v>
      </c>
      <c r="N4528" s="3" t="s">
        <v>10038</v>
      </c>
      <c r="O4528" s="3" t="s">
        <v>10042</v>
      </c>
      <c r="P4528" s="17">
        <v>45732</v>
      </c>
      <c r="Q4528" s="4">
        <v>9</v>
      </c>
    </row>
    <row r="4529" spans="1:17" ht="30" x14ac:dyDescent="0.25">
      <c r="A4529" s="2" t="s">
        <v>817</v>
      </c>
      <c r="B4529" s="3" t="s">
        <v>5015</v>
      </c>
      <c r="C4529" s="3">
        <v>63</v>
      </c>
      <c r="D4529" s="46" t="str">
        <f>IF(Tabla1[[#This Row],[EDAD]]&lt;=35,"Adultos jóvenes 18 - 35 años",IF(C4529&gt;=36,"Adultos mayores 36 años en adelante"))</f>
        <v>Adultos mayores 36 años en adelante</v>
      </c>
      <c r="E4529" s="3" t="s">
        <v>5019</v>
      </c>
      <c r="F4529" s="3" t="s">
        <v>5027</v>
      </c>
      <c r="G4529" s="3" t="s">
        <v>5034</v>
      </c>
      <c r="H4529" s="3" t="s">
        <v>5840</v>
      </c>
      <c r="I4529" s="17">
        <v>45580</v>
      </c>
      <c r="J4529" s="18">
        <f>YEAR(Tabla1[[#This Row],[FECHA DE COMPRA]])</f>
        <v>2024</v>
      </c>
      <c r="K4529" s="19">
        <v>183.74</v>
      </c>
      <c r="L4529" s="20">
        <v>0.1</v>
      </c>
      <c r="M4529" s="19">
        <f>Tienda!$K3003-Tienda!$K3003*Tienda!$L3003</f>
        <v>165.04</v>
      </c>
      <c r="N4529" s="3" t="s">
        <v>10038</v>
      </c>
      <c r="O4529" s="3" t="s">
        <v>10042</v>
      </c>
      <c r="P4529" s="17">
        <v>45580</v>
      </c>
      <c r="Q4529" s="4">
        <v>9</v>
      </c>
    </row>
    <row r="4530" spans="1:17" ht="30" x14ac:dyDescent="0.25">
      <c r="A4530" s="2" t="s">
        <v>425</v>
      </c>
      <c r="B4530" s="3" t="s">
        <v>5015</v>
      </c>
      <c r="C4530" s="3">
        <v>61</v>
      </c>
      <c r="D4530" s="46" t="str">
        <f>IF(Tabla1[[#This Row],[EDAD]]&lt;=35,"Adultos jóvenes 18 - 35 años",IF(C4530&gt;=36,"Adultos mayores 36 años en adelante"))</f>
        <v>Adultos mayores 36 años en adelante</v>
      </c>
      <c r="E4530" s="3" t="s">
        <v>5022</v>
      </c>
      <c r="F4530" s="3" t="s">
        <v>5026</v>
      </c>
      <c r="G4530" s="3" t="s">
        <v>5036</v>
      </c>
      <c r="H4530" s="3" t="s">
        <v>5448</v>
      </c>
      <c r="I4530" s="17">
        <v>45436</v>
      </c>
      <c r="J4530" s="18">
        <f>YEAR(Tabla1[[#This Row],[FECHA DE COMPRA]])</f>
        <v>2024</v>
      </c>
      <c r="K4530" s="19">
        <v>165.83</v>
      </c>
      <c r="L4530" s="20">
        <v>0</v>
      </c>
      <c r="M4530" s="19">
        <f>Tienda!$K3005-Tienda!$K3005*Tienda!$L3005</f>
        <v>166.66</v>
      </c>
      <c r="N4530" s="3" t="s">
        <v>10038</v>
      </c>
      <c r="O4530" s="3" t="s">
        <v>10042</v>
      </c>
      <c r="P4530" s="17">
        <v>45796</v>
      </c>
      <c r="Q4530" s="4">
        <v>12</v>
      </c>
    </row>
    <row r="4531" spans="1:17" ht="30" x14ac:dyDescent="0.25">
      <c r="A4531" s="2" t="s">
        <v>2514</v>
      </c>
      <c r="B4531" s="3" t="s">
        <v>5015</v>
      </c>
      <c r="C4531" s="3">
        <v>37</v>
      </c>
      <c r="D4531" s="46" t="str">
        <f>IF(Tabla1[[#This Row],[EDAD]]&lt;=35,"Adultos jóvenes 18 - 35 años",IF(C4531&gt;=36,"Adultos mayores 36 años en adelante"))</f>
        <v>Adultos mayores 36 años en adelante</v>
      </c>
      <c r="E4531" s="3" t="s">
        <v>5023</v>
      </c>
      <c r="F4531" s="3" t="s">
        <v>5029</v>
      </c>
      <c r="G4531" s="3" t="s">
        <v>5032</v>
      </c>
      <c r="H4531" s="3" t="s">
        <v>7537</v>
      </c>
      <c r="I4531" s="17">
        <v>45537</v>
      </c>
      <c r="J4531" s="18">
        <f>YEAR(Tabla1[[#This Row],[FECHA DE COMPRA]])</f>
        <v>2024</v>
      </c>
      <c r="K4531" s="19">
        <v>186.03</v>
      </c>
      <c r="L4531" s="20">
        <v>0.1</v>
      </c>
      <c r="M4531" s="19">
        <f>Tienda!$K3011-Tienda!$K3011*Tienda!$L3011</f>
        <v>170.75700000000001</v>
      </c>
      <c r="N4531" s="3" t="s">
        <v>10038</v>
      </c>
      <c r="O4531" s="3" t="s">
        <v>10042</v>
      </c>
      <c r="P4531" s="17">
        <v>45537</v>
      </c>
      <c r="Q4531" s="4">
        <v>12</v>
      </c>
    </row>
    <row r="4532" spans="1:17" ht="30" x14ac:dyDescent="0.25">
      <c r="A4532" s="2" t="s">
        <v>1915</v>
      </c>
      <c r="B4532" s="3" t="s">
        <v>5015</v>
      </c>
      <c r="C4532" s="3">
        <v>40</v>
      </c>
      <c r="D4532" s="46" t="str">
        <f>IF(Tabla1[[#This Row],[EDAD]]&lt;=35,"Adultos jóvenes 18 - 35 años",IF(C4532&gt;=36,"Adultos mayores 36 años en adelante"))</f>
        <v>Adultos mayores 36 años en adelante</v>
      </c>
      <c r="E4532" s="3" t="s">
        <v>5019</v>
      </c>
      <c r="F4532" s="3" t="s">
        <v>5024</v>
      </c>
      <c r="G4532" s="3" t="s">
        <v>5033</v>
      </c>
      <c r="H4532" s="3" t="s">
        <v>6938</v>
      </c>
      <c r="I4532" s="17">
        <v>45549</v>
      </c>
      <c r="J4532" s="18">
        <f>YEAR(Tabla1[[#This Row],[FECHA DE COMPRA]])</f>
        <v>2024</v>
      </c>
      <c r="K4532" s="19">
        <v>167.65</v>
      </c>
      <c r="L4532" s="20">
        <v>0</v>
      </c>
      <c r="M4532" s="19">
        <f>Tienda!$K3012-Tienda!$K3012*Tienda!$L3012</f>
        <v>174.98699999999999</v>
      </c>
      <c r="N4532" s="3" t="s">
        <v>10038</v>
      </c>
      <c r="O4532" s="3" t="s">
        <v>10042</v>
      </c>
      <c r="P4532" s="17">
        <v>45549</v>
      </c>
      <c r="Q4532" s="4">
        <v>12</v>
      </c>
    </row>
    <row r="4533" spans="1:17" ht="30" x14ac:dyDescent="0.25">
      <c r="A4533" s="2" t="s">
        <v>680</v>
      </c>
      <c r="B4533" s="3" t="s">
        <v>5016</v>
      </c>
      <c r="C4533" s="3">
        <v>37</v>
      </c>
      <c r="D4533" s="46" t="str">
        <f>IF(Tabla1[[#This Row],[EDAD]]&lt;=35,"Adultos jóvenes 18 - 35 años",IF(C4533&gt;=36,"Adultos mayores 36 años en adelante"))</f>
        <v>Adultos mayores 36 años en adelante</v>
      </c>
      <c r="E4533" s="3" t="s">
        <v>5017</v>
      </c>
      <c r="F4533" s="3" t="s">
        <v>5029</v>
      </c>
      <c r="G4533" s="3" t="s">
        <v>5034</v>
      </c>
      <c r="H4533" s="3" t="s">
        <v>5703</v>
      </c>
      <c r="I4533" s="17">
        <v>45350</v>
      </c>
      <c r="J4533" s="18">
        <f>YEAR(Tabla1[[#This Row],[FECHA DE COMPRA]])</f>
        <v>2024</v>
      </c>
      <c r="K4533" s="19">
        <v>169.21</v>
      </c>
      <c r="L4533" s="20">
        <v>0</v>
      </c>
      <c r="M4533" s="19">
        <f>Tienda!$K3015-Tienda!$K3015*Tienda!$L3015</f>
        <v>178.06</v>
      </c>
      <c r="N4533" s="3" t="s">
        <v>10038</v>
      </c>
      <c r="O4533" s="3" t="s">
        <v>10042</v>
      </c>
      <c r="P4533" s="17">
        <v>45710</v>
      </c>
      <c r="Q4533" s="4">
        <v>12</v>
      </c>
    </row>
    <row r="4534" spans="1:17" ht="30" x14ac:dyDescent="0.25">
      <c r="A4534" s="2" t="s">
        <v>3071</v>
      </c>
      <c r="B4534" s="3" t="s">
        <v>5015</v>
      </c>
      <c r="C4534" s="3">
        <v>47</v>
      </c>
      <c r="D4534" s="46" t="str">
        <f>IF(Tabla1[[#This Row],[EDAD]]&lt;=35,"Adultos jóvenes 18 - 35 años",IF(C4534&gt;=36,"Adultos mayores 36 años en adelante"))</f>
        <v>Adultos mayores 36 años en adelante</v>
      </c>
      <c r="E4534" s="3" t="s">
        <v>5022</v>
      </c>
      <c r="F4534" s="3" t="s">
        <v>5028</v>
      </c>
      <c r="G4534" s="3" t="s">
        <v>5037</v>
      </c>
      <c r="H4534" s="3" t="s">
        <v>8094</v>
      </c>
      <c r="I4534" s="17">
        <v>45422</v>
      </c>
      <c r="J4534" s="18">
        <f>YEAR(Tabla1[[#This Row],[FECHA DE COMPRA]])</f>
        <v>2024</v>
      </c>
      <c r="K4534" s="19">
        <v>169.54</v>
      </c>
      <c r="L4534" s="20">
        <v>0</v>
      </c>
      <c r="M4534" s="19">
        <f>Tienda!$K3018-Tienda!$K3018*Tienda!$L3018</f>
        <v>179.48699999999999</v>
      </c>
      <c r="N4534" s="3" t="s">
        <v>10038</v>
      </c>
      <c r="O4534" s="3" t="s">
        <v>10042</v>
      </c>
      <c r="P4534" s="17">
        <v>45782</v>
      </c>
      <c r="Q4534" s="4">
        <v>12</v>
      </c>
    </row>
    <row r="4535" spans="1:17" ht="30" x14ac:dyDescent="0.25">
      <c r="A4535" s="2" t="s">
        <v>1826</v>
      </c>
      <c r="B4535" s="3" t="s">
        <v>5016</v>
      </c>
      <c r="C4535" s="3">
        <v>41</v>
      </c>
      <c r="D4535" s="46" t="str">
        <f>IF(Tabla1[[#This Row],[EDAD]]&lt;=35,"Adultos jóvenes 18 - 35 años",IF(C4535&gt;=36,"Adultos mayores 36 años en adelante"))</f>
        <v>Adultos mayores 36 años en adelante</v>
      </c>
      <c r="E4535" s="3" t="s">
        <v>5023</v>
      </c>
      <c r="F4535" s="3" t="s">
        <v>5025</v>
      </c>
      <c r="G4535" s="3" t="s">
        <v>5034</v>
      </c>
      <c r="H4535" s="3" t="s">
        <v>6849</v>
      </c>
      <c r="I4535" s="17">
        <v>45346</v>
      </c>
      <c r="J4535" s="18">
        <f>YEAR(Tabla1[[#This Row],[FECHA DE COMPRA]])</f>
        <v>2024</v>
      </c>
      <c r="K4535" s="19">
        <v>188.89</v>
      </c>
      <c r="L4535" s="20">
        <v>0.1</v>
      </c>
      <c r="M4535" s="19">
        <f>Tienda!$K3019-Tienda!$K3019*Tienda!$L3019</f>
        <v>180.41</v>
      </c>
      <c r="N4535" s="3" t="s">
        <v>10038</v>
      </c>
      <c r="O4535" s="3" t="s">
        <v>10042</v>
      </c>
      <c r="P4535" s="17">
        <v>45346</v>
      </c>
      <c r="Q4535" s="4">
        <v>9</v>
      </c>
    </row>
    <row r="4536" spans="1:17" ht="30" x14ac:dyDescent="0.25">
      <c r="A4536" s="2" t="s">
        <v>1894</v>
      </c>
      <c r="B4536" s="3" t="s">
        <v>5015</v>
      </c>
      <c r="C4536" s="3">
        <v>42</v>
      </c>
      <c r="D4536" s="46" t="str">
        <f>IF(Tabla1[[#This Row],[EDAD]]&lt;=35,"Adultos jóvenes 18 - 35 años",IF(C4536&gt;=36,"Adultos mayores 36 años en adelante"))</f>
        <v>Adultos mayores 36 años en adelante</v>
      </c>
      <c r="E4536" s="3" t="s">
        <v>5019</v>
      </c>
      <c r="F4536" s="3" t="s">
        <v>5030</v>
      </c>
      <c r="G4536" s="3" t="s">
        <v>5031</v>
      </c>
      <c r="H4536" s="3" t="s">
        <v>6917</v>
      </c>
      <c r="I4536" s="17">
        <v>45420</v>
      </c>
      <c r="J4536" s="18">
        <f>YEAR(Tabla1[[#This Row],[FECHA DE COMPRA]])</f>
        <v>2024</v>
      </c>
      <c r="K4536" s="19">
        <v>170.1</v>
      </c>
      <c r="L4536" s="20">
        <v>0</v>
      </c>
      <c r="M4536" s="19">
        <f>Tienda!$K3021-Tienda!$K3021*Tienda!$L3021</f>
        <v>182.96</v>
      </c>
      <c r="N4536" s="3" t="s">
        <v>10038</v>
      </c>
      <c r="O4536" s="3" t="s">
        <v>10042</v>
      </c>
      <c r="P4536" s="17">
        <v>45690</v>
      </c>
      <c r="Q4536" s="4">
        <v>9</v>
      </c>
    </row>
    <row r="4537" spans="1:17" ht="30" x14ac:dyDescent="0.25">
      <c r="A4537" s="2" t="s">
        <v>2148</v>
      </c>
      <c r="B4537" s="3" t="s">
        <v>5015</v>
      </c>
      <c r="C4537" s="3">
        <v>42</v>
      </c>
      <c r="D4537" s="46" t="str">
        <f>IF(Tabla1[[#This Row],[EDAD]]&lt;=35,"Adultos jóvenes 18 - 35 años",IF(C4537&gt;=36,"Adultos mayores 36 años en adelante"))</f>
        <v>Adultos mayores 36 años en adelante</v>
      </c>
      <c r="E4537" s="3" t="s">
        <v>5018</v>
      </c>
      <c r="F4537" s="3" t="s">
        <v>5024</v>
      </c>
      <c r="G4537" s="3" t="s">
        <v>5037</v>
      </c>
      <c r="H4537" s="3" t="s">
        <v>7171</v>
      </c>
      <c r="I4537" s="17">
        <v>45357</v>
      </c>
      <c r="J4537" s="18">
        <f>YEAR(Tabla1[[#This Row],[FECHA DE COMPRA]])</f>
        <v>2024</v>
      </c>
      <c r="K4537" s="19">
        <v>189.21</v>
      </c>
      <c r="L4537" s="20">
        <v>0.1</v>
      </c>
      <c r="M4537" s="19">
        <f>Tienda!$K3022-Tienda!$K3022*Tienda!$L3022</f>
        <v>184.34</v>
      </c>
      <c r="N4537" s="3" t="s">
        <v>10038</v>
      </c>
      <c r="O4537" s="3" t="s">
        <v>10042</v>
      </c>
      <c r="P4537" s="17">
        <v>45357</v>
      </c>
      <c r="Q4537" s="4">
        <v>3</v>
      </c>
    </row>
    <row r="4538" spans="1:17" ht="30" x14ac:dyDescent="0.25">
      <c r="A4538" s="2" t="s">
        <v>3413</v>
      </c>
      <c r="B4538" s="3" t="s">
        <v>5015</v>
      </c>
      <c r="C4538" s="3">
        <v>50</v>
      </c>
      <c r="D4538" s="46" t="str">
        <f>IF(Tabla1[[#This Row],[EDAD]]&lt;=35,"Adultos jóvenes 18 - 35 años",IF(C4538&gt;=36,"Adultos mayores 36 años en adelante"))</f>
        <v>Adultos mayores 36 años en adelante</v>
      </c>
      <c r="E4538" s="3" t="s">
        <v>5020</v>
      </c>
      <c r="F4538" s="3" t="s">
        <v>5030</v>
      </c>
      <c r="G4538" s="3" t="s">
        <v>5032</v>
      </c>
      <c r="H4538" s="3" t="s">
        <v>8436</v>
      </c>
      <c r="I4538" s="17">
        <v>45310</v>
      </c>
      <c r="J4538" s="18">
        <f>YEAR(Tabla1[[#This Row],[FECHA DE COMPRA]])</f>
        <v>2024</v>
      </c>
      <c r="K4538" s="19">
        <v>170.38</v>
      </c>
      <c r="L4538" s="20">
        <v>0</v>
      </c>
      <c r="M4538" s="19">
        <f>Tienda!$K3023-Tienda!$K3023*Tienda!$L3023</f>
        <v>187.58</v>
      </c>
      <c r="N4538" s="3" t="s">
        <v>10038</v>
      </c>
      <c r="O4538" s="3" t="s">
        <v>10042</v>
      </c>
      <c r="P4538" s="17">
        <v>45310</v>
      </c>
      <c r="Q4538" s="4">
        <v>3</v>
      </c>
    </row>
    <row r="4539" spans="1:17" ht="30" x14ac:dyDescent="0.25">
      <c r="A4539" s="2" t="s">
        <v>628</v>
      </c>
      <c r="B4539" s="3" t="s">
        <v>5016</v>
      </c>
      <c r="C4539" s="3">
        <v>41</v>
      </c>
      <c r="D4539" s="46" t="str">
        <f>IF(Tabla1[[#This Row],[EDAD]]&lt;=35,"Adultos jóvenes 18 - 35 años",IF(C4539&gt;=36,"Adultos mayores 36 años en adelante"))</f>
        <v>Adultos mayores 36 años en adelante</v>
      </c>
      <c r="E4539" s="3" t="s">
        <v>5017</v>
      </c>
      <c r="F4539" s="3" t="s">
        <v>5028</v>
      </c>
      <c r="G4539" s="3" t="s">
        <v>5034</v>
      </c>
      <c r="H4539" s="3" t="s">
        <v>5651</v>
      </c>
      <c r="I4539" s="17">
        <v>45548</v>
      </c>
      <c r="J4539" s="18">
        <f>YEAR(Tabla1[[#This Row],[FECHA DE COMPRA]])</f>
        <v>2024</v>
      </c>
      <c r="K4539" s="19">
        <v>173.26</v>
      </c>
      <c r="L4539" s="20">
        <v>0</v>
      </c>
      <c r="M4539" s="19">
        <f>Tienda!$K3030-Tienda!$K3030*Tienda!$L3030</f>
        <v>8.6239999999999988</v>
      </c>
      <c r="N4539" s="3" t="s">
        <v>10038</v>
      </c>
      <c r="O4539" s="3" t="s">
        <v>10042</v>
      </c>
      <c r="P4539" s="17">
        <v>45548</v>
      </c>
      <c r="Q4539" s="4">
        <v>3</v>
      </c>
    </row>
    <row r="4540" spans="1:17" ht="30" x14ac:dyDescent="0.25">
      <c r="A4540" s="2" t="s">
        <v>2511</v>
      </c>
      <c r="B4540" s="3" t="s">
        <v>5015</v>
      </c>
      <c r="C4540" s="3">
        <v>41</v>
      </c>
      <c r="D4540" s="46" t="str">
        <f>IF(Tabla1[[#This Row],[EDAD]]&lt;=35,"Adultos jóvenes 18 - 35 años",IF(C4540&gt;=36,"Adultos mayores 36 años en adelante"))</f>
        <v>Adultos mayores 36 años en adelante</v>
      </c>
      <c r="E4540" s="3" t="s">
        <v>5018</v>
      </c>
      <c r="F4540" s="3" t="s">
        <v>5030</v>
      </c>
      <c r="G4540" s="3" t="s">
        <v>5037</v>
      </c>
      <c r="H4540" s="3" t="s">
        <v>7534</v>
      </c>
      <c r="I4540" s="17">
        <v>45384</v>
      </c>
      <c r="J4540" s="18">
        <f>YEAR(Tabla1[[#This Row],[FECHA DE COMPRA]])</f>
        <v>2024</v>
      </c>
      <c r="K4540" s="19">
        <v>192.55</v>
      </c>
      <c r="L4540" s="20">
        <v>0.1</v>
      </c>
      <c r="M4540" s="19">
        <f>Tienda!$K3031-Tienda!$K3031*Tienda!$L3031</f>
        <v>8.7010000000000005</v>
      </c>
      <c r="N4540" s="3" t="s">
        <v>10038</v>
      </c>
      <c r="O4540" s="3" t="s">
        <v>10042</v>
      </c>
      <c r="P4540" s="17">
        <v>45744</v>
      </c>
      <c r="Q4540" s="4">
        <v>12</v>
      </c>
    </row>
    <row r="4541" spans="1:17" ht="30" x14ac:dyDescent="0.25">
      <c r="A4541" s="2" t="s">
        <v>728</v>
      </c>
      <c r="B4541" s="3" t="s">
        <v>5015</v>
      </c>
      <c r="C4541" s="3">
        <v>50</v>
      </c>
      <c r="D4541" s="46" t="str">
        <f>IF(Tabla1[[#This Row],[EDAD]]&lt;=35,"Adultos jóvenes 18 - 35 años",IF(C4541&gt;=36,"Adultos mayores 36 años en adelante"))</f>
        <v>Adultos mayores 36 años en adelante</v>
      </c>
      <c r="E4541" s="3" t="s">
        <v>5022</v>
      </c>
      <c r="F4541" s="3" t="s">
        <v>5026</v>
      </c>
      <c r="G4541" s="3" t="s">
        <v>5031</v>
      </c>
      <c r="H4541" s="3" t="s">
        <v>5751</v>
      </c>
      <c r="I4541" s="17">
        <v>45338</v>
      </c>
      <c r="J4541" s="18">
        <f>YEAR(Tabla1[[#This Row],[FECHA DE COMPRA]])</f>
        <v>2024</v>
      </c>
      <c r="K4541" s="19">
        <v>173.72</v>
      </c>
      <c r="L4541" s="20">
        <v>0</v>
      </c>
      <c r="M4541" s="19">
        <f>Tienda!$K3035-Tienda!$K3035*Tienda!$L3035</f>
        <v>11.78</v>
      </c>
      <c r="N4541" s="3" t="s">
        <v>10038</v>
      </c>
      <c r="O4541" s="3" t="s">
        <v>10042</v>
      </c>
      <c r="P4541" s="17">
        <v>45338</v>
      </c>
      <c r="Q4541" s="4">
        <v>12</v>
      </c>
    </row>
    <row r="4542" spans="1:17" ht="30" x14ac:dyDescent="0.25">
      <c r="A4542" s="2" t="s">
        <v>592</v>
      </c>
      <c r="B4542" s="3" t="s">
        <v>5016</v>
      </c>
      <c r="C4542" s="3">
        <v>40</v>
      </c>
      <c r="D4542" s="46" t="str">
        <f>IF(Tabla1[[#This Row],[EDAD]]&lt;=35,"Adultos jóvenes 18 - 35 años",IF(C4542&gt;=36,"Adultos mayores 36 años en adelante"))</f>
        <v>Adultos mayores 36 años en adelante</v>
      </c>
      <c r="E4542" s="3" t="s">
        <v>5021</v>
      </c>
      <c r="F4542" s="3" t="s">
        <v>5027</v>
      </c>
      <c r="G4542" s="3" t="s">
        <v>5033</v>
      </c>
      <c r="H4542" s="3" t="s">
        <v>5615</v>
      </c>
      <c r="I4542" s="17">
        <v>45323</v>
      </c>
      <c r="J4542" s="18">
        <f>YEAR(Tabla1[[#This Row],[FECHA DE COMPRA]])</f>
        <v>2024</v>
      </c>
      <c r="K4542" s="19">
        <v>176.97</v>
      </c>
      <c r="L4542" s="20">
        <v>0</v>
      </c>
      <c r="M4542" s="19">
        <f>Tienda!$K3041-Tienda!$K3041*Tienda!$L3041</f>
        <v>17.36</v>
      </c>
      <c r="N4542" s="3" t="s">
        <v>10038</v>
      </c>
      <c r="O4542" s="3" t="s">
        <v>10042</v>
      </c>
      <c r="P4542" s="17">
        <v>45323</v>
      </c>
      <c r="Q4542" s="4">
        <v>3</v>
      </c>
    </row>
    <row r="4543" spans="1:17" ht="30" x14ac:dyDescent="0.25">
      <c r="A4543" s="2" t="s">
        <v>4844</v>
      </c>
      <c r="B4543" s="3" t="s">
        <v>5015</v>
      </c>
      <c r="C4543" s="3">
        <v>62</v>
      </c>
      <c r="D4543" s="46" t="str">
        <f>IF(Tabla1[[#This Row],[EDAD]]&lt;=35,"Adultos jóvenes 18 - 35 años",IF(C4543&gt;=36,"Adultos mayores 36 años en adelante"))</f>
        <v>Adultos mayores 36 años en adelante</v>
      </c>
      <c r="E4543" s="3" t="s">
        <v>5022</v>
      </c>
      <c r="F4543" s="3" t="s">
        <v>5024</v>
      </c>
      <c r="G4543" s="3" t="s">
        <v>5033</v>
      </c>
      <c r="H4543" s="3" t="s">
        <v>9867</v>
      </c>
      <c r="I4543" s="17">
        <v>45319</v>
      </c>
      <c r="J4543" s="18">
        <f>YEAR(Tabla1[[#This Row],[FECHA DE COMPRA]])</f>
        <v>2024</v>
      </c>
      <c r="K4543" s="19">
        <v>177.06</v>
      </c>
      <c r="L4543" s="20">
        <v>0</v>
      </c>
      <c r="M4543" s="19">
        <f>Tienda!$K3042-Tienda!$K3042*Tienda!$L3042</f>
        <v>17.891999999999999</v>
      </c>
      <c r="N4543" s="3" t="s">
        <v>10038</v>
      </c>
      <c r="O4543" s="3" t="s">
        <v>10042</v>
      </c>
      <c r="P4543" s="17">
        <v>45319</v>
      </c>
      <c r="Q4543" s="4">
        <v>3</v>
      </c>
    </row>
    <row r="4544" spans="1:17" ht="30" x14ac:dyDescent="0.25">
      <c r="A4544" s="2" t="s">
        <v>2251</v>
      </c>
      <c r="B4544" s="3" t="s">
        <v>5016</v>
      </c>
      <c r="C4544" s="3">
        <v>60</v>
      </c>
      <c r="D4544" s="46" t="str">
        <f>IF(Tabla1[[#This Row],[EDAD]]&lt;=35,"Adultos jóvenes 18 - 35 años",IF(C4544&gt;=36,"Adultos mayores 36 años en adelante"))</f>
        <v>Adultos mayores 36 años en adelante</v>
      </c>
      <c r="E4544" s="3" t="s">
        <v>5017</v>
      </c>
      <c r="F4544" s="3" t="s">
        <v>5024</v>
      </c>
      <c r="G4544" s="3" t="s">
        <v>5036</v>
      </c>
      <c r="H4544" s="3" t="s">
        <v>7274</v>
      </c>
      <c r="I4544" s="17">
        <v>45604</v>
      </c>
      <c r="J4544" s="18">
        <f>YEAR(Tabla1[[#This Row],[FECHA DE COMPRA]])</f>
        <v>2024</v>
      </c>
      <c r="K4544" s="19">
        <v>198.01</v>
      </c>
      <c r="L4544" s="20">
        <v>0.1</v>
      </c>
      <c r="M4544" s="19">
        <f>Tienda!$K3046-Tienda!$K3046*Tienda!$L3046</f>
        <v>18.917999999999999</v>
      </c>
      <c r="N4544" s="3" t="s">
        <v>10038</v>
      </c>
      <c r="O4544" s="3" t="s">
        <v>10042</v>
      </c>
      <c r="P4544" s="17">
        <v>45964</v>
      </c>
      <c r="Q4544" s="4">
        <v>12</v>
      </c>
    </row>
    <row r="4545" spans="1:17" ht="30" x14ac:dyDescent="0.25">
      <c r="A4545" s="2" t="s">
        <v>727</v>
      </c>
      <c r="B4545" s="3" t="s">
        <v>5015</v>
      </c>
      <c r="C4545" s="3">
        <v>64</v>
      </c>
      <c r="D4545" s="46" t="str">
        <f>IF(Tabla1[[#This Row],[EDAD]]&lt;=35,"Adultos jóvenes 18 - 35 años",IF(C4545&gt;=36,"Adultos mayores 36 años en adelante"))</f>
        <v>Adultos mayores 36 años en adelante</v>
      </c>
      <c r="E4545" s="3" t="s">
        <v>5017</v>
      </c>
      <c r="F4545" s="3" t="s">
        <v>5030</v>
      </c>
      <c r="G4545" s="3" t="s">
        <v>5031</v>
      </c>
      <c r="H4545" s="3" t="s">
        <v>5750</v>
      </c>
      <c r="I4545" s="17">
        <v>45454</v>
      </c>
      <c r="J4545" s="18">
        <f>YEAR(Tabla1[[#This Row],[FECHA DE COMPRA]])</f>
        <v>2024</v>
      </c>
      <c r="K4545" s="19">
        <v>178.37</v>
      </c>
      <c r="L4545" s="20">
        <v>0</v>
      </c>
      <c r="M4545" s="19">
        <f>Tienda!$K3047-Tienda!$K3047*Tienda!$L3047</f>
        <v>18.963000000000001</v>
      </c>
      <c r="N4545" s="3" t="s">
        <v>10038</v>
      </c>
      <c r="O4545" s="3" t="s">
        <v>10042</v>
      </c>
      <c r="P4545" s="17">
        <v>45454</v>
      </c>
      <c r="Q4545" s="4">
        <v>6</v>
      </c>
    </row>
    <row r="4546" spans="1:17" ht="30" x14ac:dyDescent="0.25">
      <c r="A4546" s="2" t="s">
        <v>1231</v>
      </c>
      <c r="B4546" s="3" t="s">
        <v>5016</v>
      </c>
      <c r="C4546" s="3">
        <v>45</v>
      </c>
      <c r="D4546" s="46" t="str">
        <f>IF(Tabla1[[#This Row],[EDAD]]&lt;=35,"Adultos jóvenes 18 - 35 años",IF(C4546&gt;=36,"Adultos mayores 36 años en adelante"))</f>
        <v>Adultos mayores 36 años en adelante</v>
      </c>
      <c r="E4546" s="3" t="s">
        <v>5023</v>
      </c>
      <c r="F4546" s="3" t="s">
        <v>5027</v>
      </c>
      <c r="G4546" s="3" t="s">
        <v>5031</v>
      </c>
      <c r="H4546" s="3" t="s">
        <v>6254</v>
      </c>
      <c r="I4546" s="17">
        <v>45648</v>
      </c>
      <c r="J4546" s="18">
        <f>YEAR(Tabla1[[#This Row],[FECHA DE COMPRA]])</f>
        <v>2024</v>
      </c>
      <c r="K4546" s="19">
        <v>198.39</v>
      </c>
      <c r="L4546" s="20">
        <v>0.1</v>
      </c>
      <c r="M4546" s="19">
        <f>Tienda!$K3048-Tienda!$K3048*Tienda!$L3048</f>
        <v>19.096000000000004</v>
      </c>
      <c r="N4546" s="3" t="s">
        <v>10038</v>
      </c>
      <c r="O4546" s="3" t="s">
        <v>10042</v>
      </c>
      <c r="P4546" s="17">
        <v>45828</v>
      </c>
      <c r="Q4546" s="4">
        <v>6</v>
      </c>
    </row>
    <row r="4547" spans="1:17" ht="30" x14ac:dyDescent="0.25">
      <c r="A4547" s="2" t="s">
        <v>2503</v>
      </c>
      <c r="B4547" s="3" t="s">
        <v>5015</v>
      </c>
      <c r="C4547" s="3">
        <v>63</v>
      </c>
      <c r="D4547" s="46" t="str">
        <f>IF(Tabla1[[#This Row],[EDAD]]&lt;=35,"Adultos jóvenes 18 - 35 años",IF(C4547&gt;=36,"Adultos mayores 36 años en adelante"))</f>
        <v>Adultos mayores 36 años en adelante</v>
      </c>
      <c r="E4547" s="3" t="s">
        <v>5021</v>
      </c>
      <c r="F4547" s="3" t="s">
        <v>5025</v>
      </c>
      <c r="G4547" s="3" t="s">
        <v>5035</v>
      </c>
      <c r="H4547" s="3" t="s">
        <v>7526</v>
      </c>
      <c r="I4547" s="17">
        <v>45335</v>
      </c>
      <c r="J4547" s="18">
        <f>YEAR(Tabla1[[#This Row],[FECHA DE COMPRA]])</f>
        <v>2024</v>
      </c>
      <c r="K4547" s="19">
        <v>178.76</v>
      </c>
      <c r="L4547" s="20">
        <v>0</v>
      </c>
      <c r="M4547" s="19">
        <f>Tienda!$K3049-Tienda!$K3049*Tienda!$L3049</f>
        <v>19.190000000000001</v>
      </c>
      <c r="N4547" s="3" t="s">
        <v>10038</v>
      </c>
      <c r="O4547" s="3" t="s">
        <v>10042</v>
      </c>
      <c r="P4547" s="17">
        <v>45335</v>
      </c>
      <c r="Q4547" s="4">
        <v>12</v>
      </c>
    </row>
    <row r="4548" spans="1:17" ht="30" x14ac:dyDescent="0.25">
      <c r="A4548" s="2" t="s">
        <v>3906</v>
      </c>
      <c r="B4548" s="3" t="s">
        <v>5015</v>
      </c>
      <c r="C4548" s="3">
        <v>39</v>
      </c>
      <c r="D4548" s="46" t="str">
        <f>IF(Tabla1[[#This Row],[EDAD]]&lt;=35,"Adultos jóvenes 18 - 35 años",IF(C4548&gt;=36,"Adultos mayores 36 años en adelante"))</f>
        <v>Adultos mayores 36 años en adelante</v>
      </c>
      <c r="E4548" s="3" t="s">
        <v>5022</v>
      </c>
      <c r="F4548" s="3" t="s">
        <v>5026</v>
      </c>
      <c r="G4548" s="3" t="s">
        <v>5031</v>
      </c>
      <c r="H4548" s="3" t="s">
        <v>8929</v>
      </c>
      <c r="I4548" s="17">
        <v>45307</v>
      </c>
      <c r="J4548" s="18">
        <f>YEAR(Tabla1[[#This Row],[FECHA DE COMPRA]])</f>
        <v>2024</v>
      </c>
      <c r="K4548" s="19">
        <v>178.83</v>
      </c>
      <c r="L4548" s="20">
        <v>0</v>
      </c>
      <c r="M4548" s="19">
        <f>Tienda!$K3050-Tienda!$K3050*Tienda!$L3050</f>
        <v>19.25</v>
      </c>
      <c r="N4548" s="3" t="s">
        <v>10038</v>
      </c>
      <c r="O4548" s="3" t="s">
        <v>10042</v>
      </c>
      <c r="P4548" s="17">
        <v>45307</v>
      </c>
      <c r="Q4548" s="4">
        <v>9</v>
      </c>
    </row>
    <row r="4549" spans="1:17" ht="30" x14ac:dyDescent="0.25">
      <c r="A4549" s="2" t="s">
        <v>2662</v>
      </c>
      <c r="B4549" s="3" t="s">
        <v>5016</v>
      </c>
      <c r="C4549" s="3">
        <v>51</v>
      </c>
      <c r="D4549" s="46" t="str">
        <f>IF(Tabla1[[#This Row],[EDAD]]&lt;=35,"Adultos jóvenes 18 - 35 años",IF(C4549&gt;=36,"Adultos mayores 36 años en adelante"))</f>
        <v>Adultos mayores 36 años en adelante</v>
      </c>
      <c r="E4549" s="3" t="s">
        <v>5021</v>
      </c>
      <c r="F4549" s="3" t="s">
        <v>5024</v>
      </c>
      <c r="G4549" s="3" t="s">
        <v>5033</v>
      </c>
      <c r="H4549" s="3" t="s">
        <v>7685</v>
      </c>
      <c r="I4549" s="17">
        <v>45505</v>
      </c>
      <c r="J4549" s="18">
        <f>YEAR(Tabla1[[#This Row],[FECHA DE COMPRA]])</f>
        <v>2024</v>
      </c>
      <c r="K4549" s="19">
        <v>199</v>
      </c>
      <c r="L4549" s="20">
        <v>0.1</v>
      </c>
      <c r="M4549" s="19">
        <f>Tienda!$K3053-Tienda!$K3053*Tienda!$L3053</f>
        <v>19.950000000000003</v>
      </c>
      <c r="N4549" s="3" t="s">
        <v>10038</v>
      </c>
      <c r="O4549" s="3" t="s">
        <v>10042</v>
      </c>
      <c r="P4549" s="17">
        <v>45505</v>
      </c>
      <c r="Q4549" s="4">
        <v>3</v>
      </c>
    </row>
    <row r="4550" spans="1:17" ht="30" x14ac:dyDescent="0.25">
      <c r="A4550" s="2" t="s">
        <v>4332</v>
      </c>
      <c r="B4550" s="3" t="s">
        <v>5015</v>
      </c>
      <c r="C4550" s="3">
        <v>59</v>
      </c>
      <c r="D4550" s="46" t="str">
        <f>IF(Tabla1[[#This Row],[EDAD]]&lt;=35,"Adultos jóvenes 18 - 35 años",IF(C4550&gt;=36,"Adultos mayores 36 años en adelante"))</f>
        <v>Adultos mayores 36 años en adelante</v>
      </c>
      <c r="E4550" s="3" t="s">
        <v>5020</v>
      </c>
      <c r="F4550" s="3" t="s">
        <v>5027</v>
      </c>
      <c r="G4550" s="3" t="s">
        <v>5037</v>
      </c>
      <c r="H4550" s="3" t="s">
        <v>9355</v>
      </c>
      <c r="I4550" s="17">
        <v>45649</v>
      </c>
      <c r="J4550" s="18">
        <f>YEAR(Tabla1[[#This Row],[FECHA DE COMPRA]])</f>
        <v>2024</v>
      </c>
      <c r="K4550" s="19">
        <v>199.08</v>
      </c>
      <c r="L4550" s="20">
        <v>0.1</v>
      </c>
      <c r="M4550" s="19">
        <f>Tienda!$K3055-Tienda!$K3055*Tienda!$L3055</f>
        <v>23.4</v>
      </c>
      <c r="N4550" s="3" t="s">
        <v>10038</v>
      </c>
      <c r="O4550" s="3" t="s">
        <v>10042</v>
      </c>
      <c r="P4550" s="17">
        <v>45394</v>
      </c>
      <c r="Q4550" s="4">
        <v>3</v>
      </c>
    </row>
    <row r="4551" spans="1:17" ht="30" x14ac:dyDescent="0.25">
      <c r="A4551" s="2" t="s">
        <v>2740</v>
      </c>
      <c r="B4551" s="3" t="s">
        <v>5015</v>
      </c>
      <c r="C4551" s="3">
        <v>60</v>
      </c>
      <c r="D4551" s="46" t="str">
        <f>IF(Tabla1[[#This Row],[EDAD]]&lt;=35,"Adultos jóvenes 18 - 35 años",IF(C4551&gt;=36,"Adultos mayores 36 años en adelante"))</f>
        <v>Adultos mayores 36 años en adelante</v>
      </c>
      <c r="E4551" s="3" t="s">
        <v>5023</v>
      </c>
      <c r="F4551" s="3" t="s">
        <v>5025</v>
      </c>
      <c r="G4551" s="3" t="s">
        <v>5033</v>
      </c>
      <c r="H4551" s="3" t="s">
        <v>7763</v>
      </c>
      <c r="I4551" s="17">
        <v>45650</v>
      </c>
      <c r="J4551" s="18">
        <f>YEAR(Tabla1[[#This Row],[FECHA DE COMPRA]])</f>
        <v>2024</v>
      </c>
      <c r="K4551" s="19">
        <v>179.38</v>
      </c>
      <c r="L4551" s="20">
        <v>0</v>
      </c>
      <c r="M4551" s="19">
        <f>Tienda!$K3056-Tienda!$K3056*Tienda!$L3056</f>
        <v>24.110999999999997</v>
      </c>
      <c r="N4551" s="3" t="s">
        <v>10038</v>
      </c>
      <c r="O4551" s="3" t="s">
        <v>10042</v>
      </c>
      <c r="P4551" s="17">
        <v>45740</v>
      </c>
      <c r="Q4551" s="4">
        <v>3</v>
      </c>
    </row>
    <row r="4552" spans="1:17" ht="30" x14ac:dyDescent="0.25">
      <c r="A4552" s="2" t="s">
        <v>2304</v>
      </c>
      <c r="B4552" s="3" t="s">
        <v>5016</v>
      </c>
      <c r="C4552" s="3">
        <v>63</v>
      </c>
      <c r="D4552" s="46" t="str">
        <f>IF(Tabla1[[#This Row],[EDAD]]&lt;=35,"Adultos jóvenes 18 - 35 años",IF(C4552&gt;=36,"Adultos mayores 36 años en adelante"))</f>
        <v>Adultos mayores 36 años en adelante</v>
      </c>
      <c r="E4552" s="3" t="s">
        <v>5019</v>
      </c>
      <c r="F4552" s="3" t="s">
        <v>5028</v>
      </c>
      <c r="G4552" s="3" t="s">
        <v>5031</v>
      </c>
      <c r="H4552" s="3" t="s">
        <v>7327</v>
      </c>
      <c r="I4552" s="17">
        <v>45369</v>
      </c>
      <c r="J4552" s="18">
        <f>YEAR(Tabla1[[#This Row],[FECHA DE COMPRA]])</f>
        <v>2024</v>
      </c>
      <c r="K4552" s="19">
        <v>179.99</v>
      </c>
      <c r="L4552" s="20">
        <v>0</v>
      </c>
      <c r="M4552" s="19">
        <f>Tienda!$K3057-Tienda!$K3057*Tienda!$L3057</f>
        <v>24.43</v>
      </c>
      <c r="N4552" s="3" t="s">
        <v>10038</v>
      </c>
      <c r="O4552" s="3" t="s">
        <v>10042</v>
      </c>
      <c r="P4552" s="17">
        <v>45369</v>
      </c>
      <c r="Q4552" s="4">
        <v>3</v>
      </c>
    </row>
    <row r="4553" spans="1:17" ht="30" x14ac:dyDescent="0.25">
      <c r="A4553" s="2" t="s">
        <v>4659</v>
      </c>
      <c r="B4553" s="3" t="s">
        <v>5015</v>
      </c>
      <c r="C4553" s="3">
        <v>38</v>
      </c>
      <c r="D4553" s="46" t="str">
        <f>IF(Tabla1[[#This Row],[EDAD]]&lt;=35,"Adultos jóvenes 18 - 35 años",IF(C4553&gt;=36,"Adultos mayores 36 años en adelante"))</f>
        <v>Adultos mayores 36 años en adelante</v>
      </c>
      <c r="E4553" s="3" t="s">
        <v>5018</v>
      </c>
      <c r="F4553" s="3" t="s">
        <v>5030</v>
      </c>
      <c r="G4553" s="3" t="s">
        <v>5035</v>
      </c>
      <c r="H4553" s="3" t="s">
        <v>9682</v>
      </c>
      <c r="I4553" s="17">
        <v>45443</v>
      </c>
      <c r="J4553" s="18">
        <f>YEAR(Tabla1[[#This Row],[FECHA DE COMPRA]])</f>
        <v>2024</v>
      </c>
      <c r="K4553" s="19">
        <v>180.18</v>
      </c>
      <c r="L4553" s="20">
        <v>0</v>
      </c>
      <c r="M4553" s="19">
        <f>Tienda!$K3058-Tienda!$K3058*Tienda!$L3058</f>
        <v>25.87</v>
      </c>
      <c r="N4553" s="3" t="s">
        <v>10038</v>
      </c>
      <c r="O4553" s="3" t="s">
        <v>10042</v>
      </c>
      <c r="P4553" s="17">
        <v>45443</v>
      </c>
      <c r="Q4553" s="4">
        <v>9</v>
      </c>
    </row>
    <row r="4554" spans="1:17" ht="30" x14ac:dyDescent="0.25">
      <c r="A4554" s="2" t="s">
        <v>3928</v>
      </c>
      <c r="B4554" s="3" t="s">
        <v>5016</v>
      </c>
      <c r="C4554" s="3">
        <v>58</v>
      </c>
      <c r="D4554" s="46" t="str">
        <f>IF(Tabla1[[#This Row],[EDAD]]&lt;=35,"Adultos jóvenes 18 - 35 años",IF(C4554&gt;=36,"Adultos mayores 36 años en adelante"))</f>
        <v>Adultos mayores 36 años en adelante</v>
      </c>
      <c r="E4554" s="3" t="s">
        <v>5021</v>
      </c>
      <c r="F4554" s="3" t="s">
        <v>5028</v>
      </c>
      <c r="G4554" s="3" t="s">
        <v>5037</v>
      </c>
      <c r="H4554" s="3" t="s">
        <v>8951</v>
      </c>
      <c r="I4554" s="17">
        <v>45627</v>
      </c>
      <c r="J4554" s="18">
        <f>YEAR(Tabla1[[#This Row],[FECHA DE COMPRA]])</f>
        <v>2024</v>
      </c>
      <c r="K4554" s="19">
        <v>180.78</v>
      </c>
      <c r="L4554" s="20">
        <v>0</v>
      </c>
      <c r="M4554" s="19">
        <f>Tienda!$K3061-Tienda!$K3061*Tienda!$L3061</f>
        <v>27.22</v>
      </c>
      <c r="N4554" s="3" t="s">
        <v>10038</v>
      </c>
      <c r="O4554" s="3" t="s">
        <v>10042</v>
      </c>
      <c r="P4554" s="17">
        <v>45987</v>
      </c>
      <c r="Q4554" s="4">
        <v>12</v>
      </c>
    </row>
    <row r="4555" spans="1:17" ht="30" x14ac:dyDescent="0.25">
      <c r="A4555" s="2" t="s">
        <v>852</v>
      </c>
      <c r="B4555" s="3" t="s">
        <v>5015</v>
      </c>
      <c r="C4555" s="3">
        <v>36</v>
      </c>
      <c r="D4555" s="46" t="str">
        <f>IF(Tabla1[[#This Row],[EDAD]]&lt;=35,"Adultos jóvenes 18 - 35 años",IF(C4555&gt;=36,"Adultos mayores 36 años en adelante"))</f>
        <v>Adultos mayores 36 años en adelante</v>
      </c>
      <c r="E4555" s="3" t="s">
        <v>5020</v>
      </c>
      <c r="F4555" s="3" t="s">
        <v>5024</v>
      </c>
      <c r="G4555" s="3" t="s">
        <v>5031</v>
      </c>
      <c r="H4555" s="3" t="s">
        <v>5875</v>
      </c>
      <c r="I4555" s="17">
        <v>45555</v>
      </c>
      <c r="J4555" s="18">
        <f>YEAR(Tabla1[[#This Row],[FECHA DE COMPRA]])</f>
        <v>2024</v>
      </c>
      <c r="K4555" s="19">
        <v>183.89</v>
      </c>
      <c r="L4555" s="20">
        <v>0</v>
      </c>
      <c r="M4555" s="19">
        <f>Tienda!$K3065-Tienda!$K3065*Tienda!$L3065</f>
        <v>28.494</v>
      </c>
      <c r="N4555" s="3" t="s">
        <v>10038</v>
      </c>
      <c r="O4555" s="3" t="s">
        <v>10042</v>
      </c>
      <c r="P4555" s="17">
        <v>45735</v>
      </c>
      <c r="Q4555" s="4">
        <v>6</v>
      </c>
    </row>
    <row r="4556" spans="1:17" ht="30" x14ac:dyDescent="0.25">
      <c r="A4556" s="2" t="s">
        <v>3687</v>
      </c>
      <c r="B4556" s="3" t="s">
        <v>5016</v>
      </c>
      <c r="C4556" s="3">
        <v>60</v>
      </c>
      <c r="D4556" s="46" t="str">
        <f>IF(Tabla1[[#This Row],[EDAD]]&lt;=35,"Adultos jóvenes 18 - 35 años",IF(C4556&gt;=36,"Adultos mayores 36 años en adelante"))</f>
        <v>Adultos mayores 36 años en adelante</v>
      </c>
      <c r="E4556" s="3" t="s">
        <v>5021</v>
      </c>
      <c r="F4556" s="3" t="s">
        <v>5024</v>
      </c>
      <c r="G4556" s="3" t="s">
        <v>5035</v>
      </c>
      <c r="H4556" s="3" t="s">
        <v>8710</v>
      </c>
      <c r="I4556" s="17">
        <v>45635</v>
      </c>
      <c r="J4556" s="18">
        <f>YEAR(Tabla1[[#This Row],[FECHA DE COMPRA]])</f>
        <v>2024</v>
      </c>
      <c r="K4556" s="19">
        <v>185.78</v>
      </c>
      <c r="L4556" s="20">
        <v>0</v>
      </c>
      <c r="M4556" s="19">
        <f>Tienda!$K3068-Tienda!$K3068*Tienda!$L3068</f>
        <v>30.366</v>
      </c>
      <c r="N4556" s="3" t="s">
        <v>10038</v>
      </c>
      <c r="O4556" s="3" t="s">
        <v>10042</v>
      </c>
      <c r="P4556" s="17">
        <v>45450</v>
      </c>
      <c r="Q4556" s="4">
        <v>9</v>
      </c>
    </row>
    <row r="4557" spans="1:17" ht="30" x14ac:dyDescent="0.25">
      <c r="A4557" s="2" t="s">
        <v>561</v>
      </c>
      <c r="B4557" s="3" t="s">
        <v>5015</v>
      </c>
      <c r="C4557" s="3">
        <v>38</v>
      </c>
      <c r="D4557" s="46" t="str">
        <f>IF(Tabla1[[#This Row],[EDAD]]&lt;=35,"Adultos jóvenes 18 - 35 años",IF(C4557&gt;=36,"Adultos mayores 36 años en adelante"))</f>
        <v>Adultos mayores 36 años en adelante</v>
      </c>
      <c r="E4557" s="3" t="s">
        <v>5020</v>
      </c>
      <c r="F4557" s="3" t="s">
        <v>5029</v>
      </c>
      <c r="G4557" s="3" t="s">
        <v>5037</v>
      </c>
      <c r="H4557" s="3" t="s">
        <v>5584</v>
      </c>
      <c r="I4557" s="17">
        <v>45372</v>
      </c>
      <c r="J4557" s="18">
        <f>YEAR(Tabla1[[#This Row],[FECHA DE COMPRA]])</f>
        <v>2024</v>
      </c>
      <c r="K4557" s="19">
        <v>190.24</v>
      </c>
      <c r="L4557" s="20">
        <v>0</v>
      </c>
      <c r="M4557" s="19">
        <f>Tienda!$K3076-Tienda!$K3076*Tienda!$L3076</f>
        <v>34.496000000000002</v>
      </c>
      <c r="N4557" s="3" t="s">
        <v>10038</v>
      </c>
      <c r="O4557" s="3" t="s">
        <v>10042</v>
      </c>
      <c r="P4557" s="17">
        <v>45372</v>
      </c>
      <c r="Q4557" s="4">
        <v>12</v>
      </c>
    </row>
    <row r="4558" spans="1:17" ht="30" x14ac:dyDescent="0.25">
      <c r="A4558" s="2" t="s">
        <v>4423</v>
      </c>
      <c r="B4558" s="3" t="s">
        <v>5015</v>
      </c>
      <c r="C4558" s="3">
        <v>57</v>
      </c>
      <c r="D4558" s="46" t="str">
        <f>IF(Tabla1[[#This Row],[EDAD]]&lt;=35,"Adultos jóvenes 18 - 35 años",IF(C4558&gt;=36,"Adultos mayores 36 años en adelante"))</f>
        <v>Adultos mayores 36 años en adelante</v>
      </c>
      <c r="E4558" s="3" t="s">
        <v>5017</v>
      </c>
      <c r="F4558" s="3" t="s">
        <v>5025</v>
      </c>
      <c r="G4558" s="3" t="s">
        <v>5035</v>
      </c>
      <c r="H4558" s="3" t="s">
        <v>9446</v>
      </c>
      <c r="I4558" s="17">
        <v>45478</v>
      </c>
      <c r="J4558" s="18">
        <f>YEAR(Tabla1[[#This Row],[FECHA DE COMPRA]])</f>
        <v>2024</v>
      </c>
      <c r="K4558" s="19">
        <v>194.16</v>
      </c>
      <c r="L4558" s="20">
        <v>0</v>
      </c>
      <c r="M4558" s="19">
        <f>Tienda!$K3086-Tienda!$K3086*Tienda!$L3086</f>
        <v>38.04</v>
      </c>
      <c r="N4558" s="3" t="s">
        <v>10038</v>
      </c>
      <c r="O4558" s="3" t="s">
        <v>10042</v>
      </c>
      <c r="P4558" s="17">
        <v>45838</v>
      </c>
      <c r="Q4558" s="4">
        <v>12</v>
      </c>
    </row>
    <row r="4559" spans="1:17" ht="30" x14ac:dyDescent="0.25">
      <c r="A4559" s="2" t="s">
        <v>306</v>
      </c>
      <c r="B4559" s="3" t="s">
        <v>5015</v>
      </c>
      <c r="C4559" s="3">
        <v>58</v>
      </c>
      <c r="D4559" s="46" t="str">
        <f>IF(Tabla1[[#This Row],[EDAD]]&lt;=35,"Adultos jóvenes 18 - 35 años",IF(C4559&gt;=36,"Adultos mayores 36 años en adelante"))</f>
        <v>Adultos mayores 36 años en adelante</v>
      </c>
      <c r="E4559" s="3" t="s">
        <v>5020</v>
      </c>
      <c r="F4559" s="3" t="s">
        <v>5030</v>
      </c>
      <c r="G4559" s="3" t="s">
        <v>5032</v>
      </c>
      <c r="H4559" s="3" t="s">
        <v>5329</v>
      </c>
      <c r="I4559" s="17">
        <v>45634</v>
      </c>
      <c r="J4559" s="18">
        <f>YEAR(Tabla1[[#This Row],[FECHA DE COMPRA]])</f>
        <v>2024</v>
      </c>
      <c r="K4559" s="19">
        <v>194.78</v>
      </c>
      <c r="L4559" s="20">
        <v>0</v>
      </c>
      <c r="M4559" s="19">
        <f>Tienda!$K3088-Tienda!$K3088*Tienda!$L3088</f>
        <v>38.384</v>
      </c>
      <c r="N4559" s="3" t="s">
        <v>10038</v>
      </c>
      <c r="O4559" s="3" t="s">
        <v>10042</v>
      </c>
      <c r="P4559" s="17">
        <v>45808</v>
      </c>
      <c r="Q4559" s="4">
        <v>12</v>
      </c>
    </row>
    <row r="4560" spans="1:17" ht="30" x14ac:dyDescent="0.25">
      <c r="A4560" s="2" t="s">
        <v>3273</v>
      </c>
      <c r="B4560" s="3" t="s">
        <v>5015</v>
      </c>
      <c r="C4560" s="3">
        <v>38</v>
      </c>
      <c r="D4560" s="46" t="str">
        <f>IF(Tabla1[[#This Row],[EDAD]]&lt;=35,"Adultos jóvenes 18 - 35 años",IF(C4560&gt;=36,"Adultos mayores 36 años en adelante"))</f>
        <v>Adultos mayores 36 años en adelante</v>
      </c>
      <c r="E4560" s="3" t="s">
        <v>5022</v>
      </c>
      <c r="F4560" s="3" t="s">
        <v>5024</v>
      </c>
      <c r="G4560" s="3" t="s">
        <v>5032</v>
      </c>
      <c r="H4560" s="3" t="s">
        <v>8296</v>
      </c>
      <c r="I4560" s="17">
        <v>45634</v>
      </c>
      <c r="J4560" s="18">
        <f>YEAR(Tabla1[[#This Row],[FECHA DE COMPRA]])</f>
        <v>2024</v>
      </c>
      <c r="K4560" s="19">
        <v>195.16</v>
      </c>
      <c r="L4560" s="20">
        <v>0</v>
      </c>
      <c r="M4560" s="19">
        <f>Tienda!$K3089-Tienda!$K3089*Tienda!$L3089</f>
        <v>39.171999999999997</v>
      </c>
      <c r="N4560" s="3" t="s">
        <v>10038</v>
      </c>
      <c r="O4560" s="3" t="s">
        <v>10042</v>
      </c>
      <c r="P4560" s="17">
        <v>45456</v>
      </c>
      <c r="Q4560" s="4">
        <v>12</v>
      </c>
    </row>
    <row r="4561" spans="1:17" ht="30" x14ac:dyDescent="0.25">
      <c r="A4561" s="2" t="s">
        <v>2557</v>
      </c>
      <c r="B4561" s="3" t="s">
        <v>5015</v>
      </c>
      <c r="C4561" s="3">
        <v>59</v>
      </c>
      <c r="D4561" s="46" t="str">
        <f>IF(Tabla1[[#This Row],[EDAD]]&lt;=35,"Adultos jóvenes 18 - 35 años",IF(C4561&gt;=36,"Adultos mayores 36 años en adelante"))</f>
        <v>Adultos mayores 36 años en adelante</v>
      </c>
      <c r="E4561" s="3" t="s">
        <v>5022</v>
      </c>
      <c r="F4561" s="3" t="s">
        <v>5029</v>
      </c>
      <c r="G4561" s="3" t="s">
        <v>5036</v>
      </c>
      <c r="H4561" s="3" t="s">
        <v>7580</v>
      </c>
      <c r="I4561" s="17">
        <v>45578</v>
      </c>
      <c r="J4561" s="18">
        <f>YEAR(Tabla1[[#This Row],[FECHA DE COMPRA]])</f>
        <v>2024</v>
      </c>
      <c r="K4561" s="19">
        <v>195.45</v>
      </c>
      <c r="L4561" s="20">
        <v>0</v>
      </c>
      <c r="M4561" s="19">
        <f>Tienda!$K3091-Tienda!$K3091*Tienda!$L3091</f>
        <v>39.298000000000002</v>
      </c>
      <c r="N4561" s="3" t="s">
        <v>10038</v>
      </c>
      <c r="O4561" s="3" t="s">
        <v>10042</v>
      </c>
      <c r="P4561" s="17">
        <v>45848</v>
      </c>
      <c r="Q4561" s="4">
        <v>9</v>
      </c>
    </row>
    <row r="4562" spans="1:17" ht="30" x14ac:dyDescent="0.25">
      <c r="A4562" s="2" t="s">
        <v>4425</v>
      </c>
      <c r="B4562" s="3" t="s">
        <v>5015</v>
      </c>
      <c r="C4562" s="3">
        <v>44</v>
      </c>
      <c r="D4562" s="46" t="str">
        <f>IF(Tabla1[[#This Row],[EDAD]]&lt;=35,"Adultos jóvenes 18 - 35 años",IF(C4562&gt;=36,"Adultos mayores 36 años en adelante"))</f>
        <v>Adultos mayores 36 años en adelante</v>
      </c>
      <c r="E4562" s="3" t="s">
        <v>5022</v>
      </c>
      <c r="F4562" s="3" t="s">
        <v>5027</v>
      </c>
      <c r="G4562" s="3" t="s">
        <v>5037</v>
      </c>
      <c r="H4562" s="3" t="s">
        <v>9448</v>
      </c>
      <c r="I4562" s="17">
        <v>45318</v>
      </c>
      <c r="J4562" s="18">
        <f>YEAR(Tabla1[[#This Row],[FECHA DE COMPRA]])</f>
        <v>2024</v>
      </c>
      <c r="K4562" s="19">
        <v>195.77</v>
      </c>
      <c r="L4562" s="20">
        <v>0</v>
      </c>
      <c r="M4562" s="19">
        <f>Tienda!$K3093-Tienda!$K3093*Tienda!$L3093</f>
        <v>40.401000000000003</v>
      </c>
      <c r="N4562" s="3" t="s">
        <v>10038</v>
      </c>
      <c r="O4562" s="3" t="s">
        <v>10042</v>
      </c>
      <c r="P4562" s="17">
        <v>45318</v>
      </c>
      <c r="Q4562" s="4">
        <v>12</v>
      </c>
    </row>
    <row r="4563" spans="1:17" ht="30" x14ac:dyDescent="0.25">
      <c r="A4563" s="2" t="s">
        <v>2392</v>
      </c>
      <c r="B4563" s="3" t="s">
        <v>5016</v>
      </c>
      <c r="C4563" s="3">
        <v>57</v>
      </c>
      <c r="D4563" s="46" t="str">
        <f>IF(Tabla1[[#This Row],[EDAD]]&lt;=35,"Adultos jóvenes 18 - 35 años",IF(C4563&gt;=36,"Adultos mayores 36 años en adelante"))</f>
        <v>Adultos mayores 36 años en adelante</v>
      </c>
      <c r="E4563" s="3" t="s">
        <v>5019</v>
      </c>
      <c r="F4563" s="3" t="s">
        <v>5026</v>
      </c>
      <c r="G4563" s="3" t="s">
        <v>5034</v>
      </c>
      <c r="H4563" s="3" t="s">
        <v>7415</v>
      </c>
      <c r="I4563" s="17">
        <v>45533</v>
      </c>
      <c r="J4563" s="18">
        <f>YEAR(Tabla1[[#This Row],[FECHA DE COMPRA]])</f>
        <v>2024</v>
      </c>
      <c r="K4563" s="19">
        <v>197.09</v>
      </c>
      <c r="L4563" s="20">
        <v>0</v>
      </c>
      <c r="M4563" s="19">
        <f>Tienda!$K3098-Tienda!$K3098*Tienda!$L3098</f>
        <v>41.92</v>
      </c>
      <c r="N4563" s="3" t="s">
        <v>10038</v>
      </c>
      <c r="O4563" s="3" t="s">
        <v>10042</v>
      </c>
      <c r="P4563" s="17">
        <v>45713</v>
      </c>
      <c r="Q4563" s="4">
        <v>6</v>
      </c>
    </row>
    <row r="4564" spans="1:17" ht="30" x14ac:dyDescent="0.25">
      <c r="A4564" s="2" t="s">
        <v>48</v>
      </c>
      <c r="B4564" s="3" t="s">
        <v>5015</v>
      </c>
      <c r="C4564" s="3">
        <v>61</v>
      </c>
      <c r="D4564" s="46" t="str">
        <f>IF(Tabla1[[#This Row],[EDAD]]&lt;=35,"Adultos jóvenes 18 - 35 años",IF(C4564&gt;=36,"Adultos mayores 36 años en adelante"))</f>
        <v>Adultos mayores 36 años en adelante</v>
      </c>
      <c r="E4564" s="3" t="s">
        <v>5022</v>
      </c>
      <c r="F4564" s="3" t="s">
        <v>5028</v>
      </c>
      <c r="G4564" s="3" t="s">
        <v>5035</v>
      </c>
      <c r="H4564" s="3" t="s">
        <v>5071</v>
      </c>
      <c r="I4564" s="17">
        <v>45649</v>
      </c>
      <c r="J4564" s="18">
        <f>YEAR(Tabla1[[#This Row],[FECHA DE COMPRA]])</f>
        <v>2024</v>
      </c>
      <c r="K4564" s="19">
        <v>198.54</v>
      </c>
      <c r="L4564" s="20">
        <v>0</v>
      </c>
      <c r="M4564" s="19">
        <f>Tienda!$K3101-Tienda!$K3101*Tienda!$L3101</f>
        <v>44.093000000000004</v>
      </c>
      <c r="N4564" s="3" t="s">
        <v>10038</v>
      </c>
      <c r="O4564" s="3" t="s">
        <v>10042</v>
      </c>
      <c r="P4564" s="17">
        <v>45662</v>
      </c>
      <c r="Q4564" s="4">
        <v>12</v>
      </c>
    </row>
    <row r="4565" spans="1:17" ht="30" x14ac:dyDescent="0.25">
      <c r="A4565" s="2" t="s">
        <v>4119</v>
      </c>
      <c r="B4565" s="3" t="s">
        <v>5016</v>
      </c>
      <c r="C4565" s="3">
        <v>60</v>
      </c>
      <c r="D4565" s="46" t="str">
        <f>IF(Tabla1[[#This Row],[EDAD]]&lt;=35,"Adultos jóvenes 18 - 35 años",IF(C4565&gt;=36,"Adultos mayores 36 años en adelante"))</f>
        <v>Adultos mayores 36 años en adelante</v>
      </c>
      <c r="E4565" s="3" t="s">
        <v>5021</v>
      </c>
      <c r="F4565" s="3" t="s">
        <v>5024</v>
      </c>
      <c r="G4565" s="3" t="s">
        <v>5037</v>
      </c>
      <c r="H4565" s="3" t="s">
        <v>9142</v>
      </c>
      <c r="I4565" s="17">
        <v>45404</v>
      </c>
      <c r="J4565" s="18">
        <f>YEAR(Tabla1[[#This Row],[FECHA DE COMPRA]])</f>
        <v>2024</v>
      </c>
      <c r="K4565" s="19">
        <v>199.29</v>
      </c>
      <c r="L4565" s="20">
        <v>0</v>
      </c>
      <c r="M4565" s="19">
        <f>Tienda!$K3102-Tienda!$K3102*Tienda!$L3102</f>
        <v>45.290000000000006</v>
      </c>
      <c r="N4565" s="3" t="s">
        <v>10038</v>
      </c>
      <c r="O4565" s="3" t="s">
        <v>10042</v>
      </c>
      <c r="P4565" s="17">
        <v>45404</v>
      </c>
      <c r="Q4565" s="4">
        <v>12</v>
      </c>
    </row>
    <row r="4566" spans="1:17" ht="30" x14ac:dyDescent="0.25">
      <c r="A4566" s="2" t="s">
        <v>3310</v>
      </c>
      <c r="B4566" s="3" t="s">
        <v>5015</v>
      </c>
      <c r="C4566" s="3">
        <v>51</v>
      </c>
      <c r="D4566" s="46" t="str">
        <f>IF(Tabla1[[#This Row],[EDAD]]&lt;=35,"Adultos jóvenes 18 - 35 años",IF(C4566&gt;=36,"Adultos mayores 36 años en adelante"))</f>
        <v>Adultos mayores 36 años en adelante</v>
      </c>
      <c r="E4566" s="3" t="s">
        <v>5022</v>
      </c>
      <c r="F4566" s="3" t="s">
        <v>5029</v>
      </c>
      <c r="G4566" s="3" t="s">
        <v>5037</v>
      </c>
      <c r="H4566" s="3" t="s">
        <v>8333</v>
      </c>
      <c r="I4566" s="17">
        <v>45379</v>
      </c>
      <c r="J4566" s="18">
        <f>YEAR(Tabla1[[#This Row],[FECHA DE COMPRA]])</f>
        <v>2024</v>
      </c>
      <c r="K4566" s="19">
        <v>199.32</v>
      </c>
      <c r="L4566" s="20">
        <v>0</v>
      </c>
      <c r="M4566" s="19">
        <f>Tienda!$K3103-Tienda!$K3103*Tienda!$L3103</f>
        <v>45.5</v>
      </c>
      <c r="N4566" s="3" t="s">
        <v>10038</v>
      </c>
      <c r="O4566" s="3" t="s">
        <v>10042</v>
      </c>
      <c r="P4566" s="17">
        <v>45739</v>
      </c>
      <c r="Q4566" s="4">
        <v>12</v>
      </c>
    </row>
    <row r="4567" spans="1:17" ht="30" x14ac:dyDescent="0.25">
      <c r="A4567" s="2" t="s">
        <v>3300</v>
      </c>
      <c r="B4567" s="3" t="s">
        <v>5016</v>
      </c>
      <c r="C4567" s="3">
        <v>45</v>
      </c>
      <c r="D4567" s="46" t="str">
        <f>IF(Tabla1[[#This Row],[EDAD]]&lt;=35,"Adultos jóvenes 18 - 35 años",IF(C4567&gt;=36,"Adultos mayores 36 años en adelante"))</f>
        <v>Adultos mayores 36 años en adelante</v>
      </c>
      <c r="E4567" s="3" t="s">
        <v>5017</v>
      </c>
      <c r="F4567" s="3" t="s">
        <v>5028</v>
      </c>
      <c r="G4567" s="3" t="s">
        <v>5036</v>
      </c>
      <c r="H4567" s="3" t="s">
        <v>8323</v>
      </c>
      <c r="I4567" s="17">
        <v>45672</v>
      </c>
      <c r="J4567" s="18">
        <f>YEAR(Tabla1[[#This Row],[FECHA DE COMPRA]])</f>
        <v>2025</v>
      </c>
      <c r="K4567" s="19">
        <v>35.020000000000003</v>
      </c>
      <c r="L4567" s="20">
        <v>0</v>
      </c>
      <c r="M4567" s="19">
        <f>Tienda!$K4335-Tienda!$K4335*Tienda!$L4335</f>
        <v>97.472000000000008</v>
      </c>
      <c r="N4567" s="3" t="s">
        <v>10038</v>
      </c>
      <c r="O4567" s="3" t="s">
        <v>10041</v>
      </c>
      <c r="P4567" s="17">
        <v>45672</v>
      </c>
      <c r="Q4567" s="4">
        <v>0</v>
      </c>
    </row>
    <row r="4568" spans="1:17" ht="30" x14ac:dyDescent="0.25">
      <c r="A4568" s="2" t="s">
        <v>625</v>
      </c>
      <c r="B4568" s="3" t="s">
        <v>5015</v>
      </c>
      <c r="C4568" s="3">
        <v>59</v>
      </c>
      <c r="D4568" s="46" t="str">
        <f>IF(Tabla1[[#This Row],[EDAD]]&lt;=35,"Adultos jóvenes 18 - 35 años",IF(C4568&gt;=36,"Adultos mayores 36 años en adelante"))</f>
        <v>Adultos mayores 36 años en adelante</v>
      </c>
      <c r="E4568" s="3" t="s">
        <v>5020</v>
      </c>
      <c r="F4568" s="3" t="s">
        <v>5024</v>
      </c>
      <c r="G4568" s="3" t="s">
        <v>5031</v>
      </c>
      <c r="H4568" s="3" t="s">
        <v>5648</v>
      </c>
      <c r="I4568" s="17">
        <v>45673</v>
      </c>
      <c r="J4568" s="18">
        <f>YEAR(Tabla1[[#This Row],[FECHA DE COMPRA]])</f>
        <v>2025</v>
      </c>
      <c r="K4568" s="19">
        <v>35.700000000000003</v>
      </c>
      <c r="L4568" s="20">
        <v>0.1</v>
      </c>
      <c r="M4568" s="19">
        <f>Tienda!$K4336-Tienda!$K4336*Tienda!$L4336</f>
        <v>97.566000000000003</v>
      </c>
      <c r="N4568" s="3" t="s">
        <v>10038</v>
      </c>
      <c r="O4568" s="3" t="s">
        <v>10041</v>
      </c>
      <c r="P4568" s="17">
        <v>45673</v>
      </c>
      <c r="Q4568" s="4">
        <v>0</v>
      </c>
    </row>
    <row r="4569" spans="1:17" ht="30" x14ac:dyDescent="0.25">
      <c r="A4569" s="2" t="s">
        <v>2432</v>
      </c>
      <c r="B4569" s="3" t="s">
        <v>5016</v>
      </c>
      <c r="C4569" s="3">
        <v>48</v>
      </c>
      <c r="D4569" s="46" t="str">
        <f>IF(Tabla1[[#This Row],[EDAD]]&lt;=35,"Adultos jóvenes 18 - 35 años",IF(C4569&gt;=36,"Adultos mayores 36 años en adelante"))</f>
        <v>Adultos mayores 36 años en adelante</v>
      </c>
      <c r="E4569" s="3" t="s">
        <v>5017</v>
      </c>
      <c r="F4569" s="3" t="s">
        <v>5029</v>
      </c>
      <c r="G4569" s="3" t="s">
        <v>5035</v>
      </c>
      <c r="H4569" s="3" t="s">
        <v>7455</v>
      </c>
      <c r="I4569" s="17">
        <v>45701</v>
      </c>
      <c r="J4569" s="18">
        <f>YEAR(Tabla1[[#This Row],[FECHA DE COMPRA]])</f>
        <v>2025</v>
      </c>
      <c r="K4569" s="19">
        <v>56.44</v>
      </c>
      <c r="L4569" s="20">
        <v>0</v>
      </c>
      <c r="M4569" s="19">
        <f>Tienda!$K4339-Tienda!$K4339*Tienda!$L4339</f>
        <v>98.217000000000013</v>
      </c>
      <c r="N4569" s="3" t="s">
        <v>10038</v>
      </c>
      <c r="O4569" s="3" t="s">
        <v>10041</v>
      </c>
      <c r="P4569" s="17">
        <v>45673</v>
      </c>
      <c r="Q4569" s="4">
        <v>0</v>
      </c>
    </row>
    <row r="4570" spans="1:17" ht="30" x14ac:dyDescent="0.25">
      <c r="A4570" s="2" t="s">
        <v>2296</v>
      </c>
      <c r="B4570" s="3" t="s">
        <v>5015</v>
      </c>
      <c r="C4570" s="3">
        <v>56</v>
      </c>
      <c r="D4570" s="46" t="str">
        <f>IF(Tabla1[[#This Row],[EDAD]]&lt;=35,"Adultos jóvenes 18 - 35 años",IF(C4570&gt;=36,"Adultos mayores 36 años en adelante"))</f>
        <v>Adultos mayores 36 años en adelante</v>
      </c>
      <c r="E4570" s="3" t="s">
        <v>5022</v>
      </c>
      <c r="F4570" s="3" t="s">
        <v>5028</v>
      </c>
      <c r="G4570" s="3" t="s">
        <v>5034</v>
      </c>
      <c r="H4570" s="3" t="s">
        <v>7319</v>
      </c>
      <c r="I4570" s="17">
        <v>45701</v>
      </c>
      <c r="J4570" s="18">
        <f>YEAR(Tabla1[[#This Row],[FECHA DE COMPRA]])</f>
        <v>2025</v>
      </c>
      <c r="K4570" s="19">
        <v>69.2</v>
      </c>
      <c r="L4570" s="20">
        <v>0.3</v>
      </c>
      <c r="M4570" s="19">
        <f>Tienda!$K4343-Tienda!$K4343*Tienda!$L4343</f>
        <v>98.89</v>
      </c>
      <c r="N4570" s="3" t="s">
        <v>10038</v>
      </c>
      <c r="O4570" s="3" t="s">
        <v>10041</v>
      </c>
      <c r="P4570" s="17">
        <v>45686</v>
      </c>
      <c r="Q4570" s="4">
        <v>0</v>
      </c>
    </row>
    <row r="4571" spans="1:17" ht="30" x14ac:dyDescent="0.25">
      <c r="A4571" s="2" t="s">
        <v>243</v>
      </c>
      <c r="B4571" s="3" t="s">
        <v>5015</v>
      </c>
      <c r="C4571" s="3">
        <v>38</v>
      </c>
      <c r="D4571" s="46" t="str">
        <f>IF(Tabla1[[#This Row],[EDAD]]&lt;=35,"Adultos jóvenes 18 - 35 años",IF(C4571&gt;=36,"Adultos mayores 36 años en adelante"))</f>
        <v>Adultos mayores 36 años en adelante</v>
      </c>
      <c r="E4571" s="3" t="s">
        <v>5017</v>
      </c>
      <c r="F4571" s="3" t="s">
        <v>5027</v>
      </c>
      <c r="G4571" s="3" t="s">
        <v>5032</v>
      </c>
      <c r="H4571" s="3" t="s">
        <v>5266</v>
      </c>
      <c r="I4571" s="17">
        <v>45701</v>
      </c>
      <c r="J4571" s="18">
        <f>YEAR(Tabla1[[#This Row],[FECHA DE COMPRA]])</f>
        <v>2025</v>
      </c>
      <c r="K4571" s="19">
        <v>87.18</v>
      </c>
      <c r="L4571" s="20">
        <v>0.3</v>
      </c>
      <c r="M4571" s="19">
        <f>Tienda!$K4345-Tienda!$K4345*Tienda!$L4345</f>
        <v>99.56</v>
      </c>
      <c r="N4571" s="3" t="s">
        <v>10038</v>
      </c>
      <c r="O4571" s="3" t="s">
        <v>10041</v>
      </c>
      <c r="P4571" s="17">
        <v>45681</v>
      </c>
      <c r="Q4571" s="4">
        <v>0</v>
      </c>
    </row>
    <row r="4572" spans="1:17" ht="30" x14ac:dyDescent="0.25">
      <c r="A4572" s="2" t="s">
        <v>4260</v>
      </c>
      <c r="B4572" s="3" t="s">
        <v>5015</v>
      </c>
      <c r="C4572" s="3">
        <v>49</v>
      </c>
      <c r="D4572" s="46" t="str">
        <f>IF(Tabla1[[#This Row],[EDAD]]&lt;=35,"Adultos jóvenes 18 - 35 años",IF(C4572&gt;=36,"Adultos mayores 36 años en adelante"))</f>
        <v>Adultos mayores 36 años en adelante</v>
      </c>
      <c r="E4572" s="3" t="s">
        <v>5018</v>
      </c>
      <c r="F4572" s="3" t="s">
        <v>5029</v>
      </c>
      <c r="G4572" s="3" t="s">
        <v>5033</v>
      </c>
      <c r="H4572" s="3" t="s">
        <v>9283</v>
      </c>
      <c r="I4572" s="17">
        <v>45667</v>
      </c>
      <c r="J4572" s="18">
        <f>YEAR(Tabla1[[#This Row],[FECHA DE COMPRA]])</f>
        <v>2025</v>
      </c>
      <c r="K4572" s="19">
        <v>91.52</v>
      </c>
      <c r="L4572" s="20">
        <v>0.2</v>
      </c>
      <c r="M4572" s="19">
        <f>Tienda!$K4348-Tienda!$K4348*Tienda!$L4348</f>
        <v>100.06200000000001</v>
      </c>
      <c r="N4572" s="3" t="s">
        <v>10038</v>
      </c>
      <c r="O4572" s="3" t="s">
        <v>10041</v>
      </c>
      <c r="P4572" s="17">
        <v>45667</v>
      </c>
      <c r="Q4572" s="4">
        <v>0</v>
      </c>
    </row>
    <row r="4573" spans="1:17" ht="30" x14ac:dyDescent="0.25">
      <c r="A4573" s="2" t="s">
        <v>3234</v>
      </c>
      <c r="B4573" s="3" t="s">
        <v>5015</v>
      </c>
      <c r="C4573" s="3">
        <v>42</v>
      </c>
      <c r="D4573" s="46" t="str">
        <f>IF(Tabla1[[#This Row],[EDAD]]&lt;=35,"Adultos jóvenes 18 - 35 años",IF(C4573&gt;=36,"Adultos mayores 36 años en adelante"))</f>
        <v>Adultos mayores 36 años en adelante</v>
      </c>
      <c r="E4573" s="3" t="s">
        <v>5023</v>
      </c>
      <c r="F4573" s="3" t="s">
        <v>5026</v>
      </c>
      <c r="G4573" s="3" t="s">
        <v>5034</v>
      </c>
      <c r="H4573" s="3" t="s">
        <v>8257</v>
      </c>
      <c r="I4573" s="17">
        <v>45662</v>
      </c>
      <c r="J4573" s="18">
        <f>YEAR(Tabla1[[#This Row],[FECHA DE COMPRA]])</f>
        <v>2025</v>
      </c>
      <c r="K4573" s="19">
        <v>93.11</v>
      </c>
      <c r="L4573" s="20">
        <v>0.3</v>
      </c>
      <c r="M4573" s="19">
        <f>Tienda!$K4350-Tienda!$K4350*Tienda!$L4350</f>
        <v>100.422</v>
      </c>
      <c r="N4573" s="3" t="s">
        <v>10038</v>
      </c>
      <c r="O4573" s="3" t="s">
        <v>10041</v>
      </c>
      <c r="P4573" s="17">
        <v>45662</v>
      </c>
      <c r="Q4573" s="4">
        <v>0</v>
      </c>
    </row>
    <row r="4574" spans="1:17" ht="30" x14ac:dyDescent="0.25">
      <c r="A4574" s="2" t="s">
        <v>3143</v>
      </c>
      <c r="B4574" s="3" t="s">
        <v>5015</v>
      </c>
      <c r="C4574" s="3">
        <v>48</v>
      </c>
      <c r="D4574" s="46" t="str">
        <f>IF(Tabla1[[#This Row],[EDAD]]&lt;=35,"Adultos jóvenes 18 - 35 años",IF(C4574&gt;=36,"Adultos mayores 36 años en adelante"))</f>
        <v>Adultos mayores 36 años en adelante</v>
      </c>
      <c r="E4574" s="3" t="s">
        <v>5019</v>
      </c>
      <c r="F4574" s="3" t="s">
        <v>5025</v>
      </c>
      <c r="G4574" s="3" t="s">
        <v>5037</v>
      </c>
      <c r="H4574" s="3" t="s">
        <v>8166</v>
      </c>
      <c r="I4574" s="17">
        <v>45671</v>
      </c>
      <c r="J4574" s="18">
        <f>YEAR(Tabla1[[#This Row],[FECHA DE COMPRA]])</f>
        <v>2025</v>
      </c>
      <c r="K4574" s="19">
        <v>178.29</v>
      </c>
      <c r="L4574" s="20">
        <v>0.2</v>
      </c>
      <c r="M4574" s="19">
        <f>Tienda!$K4351-Tienda!$K4351*Tienda!$L4351</f>
        <v>100.45699999999999</v>
      </c>
      <c r="N4574" s="3" t="s">
        <v>10038</v>
      </c>
      <c r="O4574" s="3" t="s">
        <v>10041</v>
      </c>
      <c r="P4574" s="17">
        <v>45671</v>
      </c>
      <c r="Q4574" s="4">
        <v>0</v>
      </c>
    </row>
    <row r="4575" spans="1:17" ht="30" x14ac:dyDescent="0.25">
      <c r="A4575" s="2" t="s">
        <v>578</v>
      </c>
      <c r="B4575" s="3" t="s">
        <v>5016</v>
      </c>
      <c r="C4575" s="3">
        <v>61</v>
      </c>
      <c r="D4575" s="46" t="str">
        <f>IF(Tabla1[[#This Row],[EDAD]]&lt;=35,"Adultos jóvenes 18 - 35 años",IF(C4575&gt;=36,"Adultos mayores 36 años en adelante"))</f>
        <v>Adultos mayores 36 años en adelante</v>
      </c>
      <c r="E4575" s="3" t="s">
        <v>5023</v>
      </c>
      <c r="F4575" s="3" t="s">
        <v>5028</v>
      </c>
      <c r="G4575" s="3" t="s">
        <v>5037</v>
      </c>
      <c r="H4575" s="3" t="s">
        <v>5601</v>
      </c>
      <c r="I4575" s="17">
        <v>45671</v>
      </c>
      <c r="J4575" s="18">
        <f>YEAR(Tabla1[[#This Row],[FECHA DE COMPRA]])</f>
        <v>2025</v>
      </c>
      <c r="K4575" s="19">
        <v>179.25</v>
      </c>
      <c r="L4575" s="20">
        <v>0.1</v>
      </c>
      <c r="M4575" s="19">
        <f>Tienda!$K4352-Tienda!$K4352*Tienda!$L4352</f>
        <v>100.611</v>
      </c>
      <c r="N4575" s="3" t="s">
        <v>10038</v>
      </c>
      <c r="O4575" s="3" t="s">
        <v>10041</v>
      </c>
      <c r="P4575" s="17">
        <v>45671</v>
      </c>
      <c r="Q4575" s="4">
        <v>0</v>
      </c>
    </row>
    <row r="4576" spans="1:17" ht="30" x14ac:dyDescent="0.25">
      <c r="A4576" s="2" t="s">
        <v>4346</v>
      </c>
      <c r="B4576" s="3" t="s">
        <v>5015</v>
      </c>
      <c r="C4576" s="3">
        <v>44</v>
      </c>
      <c r="D4576" s="46" t="str">
        <f>IF(Tabla1[[#This Row],[EDAD]]&lt;=35,"Adultos jóvenes 18 - 35 años",IF(C4576&gt;=36,"Adultos mayores 36 años en adelante"))</f>
        <v>Adultos mayores 36 años en adelante</v>
      </c>
      <c r="E4576" s="3" t="s">
        <v>5020</v>
      </c>
      <c r="F4576" s="3" t="s">
        <v>5027</v>
      </c>
      <c r="G4576" s="3" t="s">
        <v>5032</v>
      </c>
      <c r="H4576" s="3" t="s">
        <v>9369</v>
      </c>
      <c r="I4576" s="17">
        <v>45669</v>
      </c>
      <c r="J4576" s="18">
        <f>YEAR(Tabla1[[#This Row],[FECHA DE COMPRA]])</f>
        <v>2025</v>
      </c>
      <c r="K4576" s="19">
        <v>179.49</v>
      </c>
      <c r="L4576" s="20">
        <v>0</v>
      </c>
      <c r="M4576" s="19">
        <f>Tienda!$K4353-Tienda!$K4353*Tienda!$L4353</f>
        <v>100.62</v>
      </c>
      <c r="N4576" s="3" t="s">
        <v>10038</v>
      </c>
      <c r="O4576" s="3" t="s">
        <v>10041</v>
      </c>
      <c r="P4576" s="17">
        <v>45669</v>
      </c>
      <c r="Q4576" s="4">
        <v>0</v>
      </c>
    </row>
    <row r="4577" spans="1:17" ht="30" x14ac:dyDescent="0.25">
      <c r="A4577" s="2" t="s">
        <v>487</v>
      </c>
      <c r="B4577" s="3" t="s">
        <v>5015</v>
      </c>
      <c r="C4577" s="3">
        <v>54</v>
      </c>
      <c r="D4577" s="46" t="str">
        <f>IF(Tabla1[[#This Row],[EDAD]]&lt;=35,"Adultos jóvenes 18 - 35 años",IF(C4577&gt;=36,"Adultos mayores 36 años en adelante"))</f>
        <v>Adultos mayores 36 años en adelante</v>
      </c>
      <c r="E4577" s="3" t="s">
        <v>5018</v>
      </c>
      <c r="F4577" s="3" t="s">
        <v>5024</v>
      </c>
      <c r="G4577" s="3" t="s">
        <v>5037</v>
      </c>
      <c r="H4577" s="3" t="s">
        <v>5510</v>
      </c>
      <c r="I4577" s="17">
        <v>45673</v>
      </c>
      <c r="J4577" s="18">
        <f>YEAR(Tabla1[[#This Row],[FECHA DE COMPRA]])</f>
        <v>2025</v>
      </c>
      <c r="K4577" s="19">
        <v>181.79</v>
      </c>
      <c r="L4577" s="20">
        <v>0.1</v>
      </c>
      <c r="M4577" s="19">
        <f>Tienda!$K4355-Tienda!$K4355*Tienda!$L4355</f>
        <v>101.205</v>
      </c>
      <c r="N4577" s="3" t="s">
        <v>10038</v>
      </c>
      <c r="O4577" s="3" t="s">
        <v>10041</v>
      </c>
      <c r="P4577" s="17">
        <v>45673</v>
      </c>
      <c r="Q4577" s="4">
        <v>0</v>
      </c>
    </row>
    <row r="4578" spans="1:17" ht="30" x14ac:dyDescent="0.25">
      <c r="A4578" s="2" t="s">
        <v>4043</v>
      </c>
      <c r="B4578" s="3" t="s">
        <v>5015</v>
      </c>
      <c r="C4578" s="3">
        <v>42</v>
      </c>
      <c r="D4578" s="46" t="str">
        <f>IF(Tabla1[[#This Row],[EDAD]]&lt;=35,"Adultos jóvenes 18 - 35 años",IF(C4578&gt;=36,"Adultos mayores 36 años en adelante"))</f>
        <v>Adultos mayores 36 años en adelante</v>
      </c>
      <c r="E4578" s="3" t="s">
        <v>5017</v>
      </c>
      <c r="F4578" s="3" t="s">
        <v>5026</v>
      </c>
      <c r="G4578" s="3" t="s">
        <v>5035</v>
      </c>
      <c r="H4578" s="3" t="s">
        <v>9066</v>
      </c>
      <c r="I4578" s="17">
        <v>45658</v>
      </c>
      <c r="J4578" s="18">
        <f>YEAR(Tabla1[[#This Row],[FECHA DE COMPRA]])</f>
        <v>2025</v>
      </c>
      <c r="K4578" s="19">
        <v>185.67</v>
      </c>
      <c r="L4578" s="20">
        <v>0.1</v>
      </c>
      <c r="M4578" s="19">
        <f>Tienda!$K4357-Tienda!$K4357*Tienda!$L4357</f>
        <v>101.38800000000001</v>
      </c>
      <c r="N4578" s="3" t="s">
        <v>10038</v>
      </c>
      <c r="O4578" s="3" t="s">
        <v>10041</v>
      </c>
      <c r="P4578" s="17">
        <v>45658</v>
      </c>
      <c r="Q4578" s="4">
        <v>0</v>
      </c>
    </row>
    <row r="4579" spans="1:17" ht="30" x14ac:dyDescent="0.25">
      <c r="A4579" s="2" t="s">
        <v>3870</v>
      </c>
      <c r="B4579" s="3" t="s">
        <v>5015</v>
      </c>
      <c r="C4579" s="3">
        <v>42</v>
      </c>
      <c r="D4579" s="46" t="str">
        <f>IF(Tabla1[[#This Row],[EDAD]]&lt;=35,"Adultos jóvenes 18 - 35 años",IF(C4579&gt;=36,"Adultos mayores 36 años en adelante"))</f>
        <v>Adultos mayores 36 años en adelante</v>
      </c>
      <c r="E4579" s="3" t="s">
        <v>5022</v>
      </c>
      <c r="F4579" s="3" t="s">
        <v>5025</v>
      </c>
      <c r="G4579" s="3" t="s">
        <v>5037</v>
      </c>
      <c r="H4579" s="3" t="s">
        <v>8893</v>
      </c>
      <c r="I4579" s="17">
        <v>45697</v>
      </c>
      <c r="J4579" s="18">
        <f>YEAR(Tabla1[[#This Row],[FECHA DE COMPRA]])</f>
        <v>2025</v>
      </c>
      <c r="K4579" s="19">
        <v>66.349999999999994</v>
      </c>
      <c r="L4579" s="20">
        <v>0.3</v>
      </c>
      <c r="M4579" s="19">
        <f>Tienda!$K4359-Tienda!$K4359*Tienda!$L4359</f>
        <v>101.42099999999999</v>
      </c>
      <c r="N4579" s="3" t="s">
        <v>10038</v>
      </c>
      <c r="O4579" s="3" t="s">
        <v>10041</v>
      </c>
      <c r="P4579" s="17">
        <v>45697</v>
      </c>
      <c r="Q4579" s="4">
        <v>0</v>
      </c>
    </row>
    <row r="4580" spans="1:17" ht="30" x14ac:dyDescent="0.25">
      <c r="A4580" s="2" t="s">
        <v>1580</v>
      </c>
      <c r="B4580" s="3" t="s">
        <v>5015</v>
      </c>
      <c r="C4580" s="3">
        <v>37</v>
      </c>
      <c r="D4580" s="46" t="str">
        <f>IF(Tabla1[[#This Row],[EDAD]]&lt;=35,"Adultos jóvenes 18 - 35 años",IF(C4580&gt;=36,"Adultos mayores 36 años en adelante"))</f>
        <v>Adultos mayores 36 años en adelante</v>
      </c>
      <c r="E4580" s="3" t="s">
        <v>5020</v>
      </c>
      <c r="F4580" s="3" t="s">
        <v>5025</v>
      </c>
      <c r="G4580" s="3" t="s">
        <v>5036</v>
      </c>
      <c r="H4580" s="3" t="s">
        <v>6603</v>
      </c>
      <c r="I4580" s="17">
        <v>45697</v>
      </c>
      <c r="J4580" s="18">
        <f>YEAR(Tabla1[[#This Row],[FECHA DE COMPRA]])</f>
        <v>2025</v>
      </c>
      <c r="K4580" s="19">
        <v>80.650000000000006</v>
      </c>
      <c r="L4580" s="20">
        <v>0.3</v>
      </c>
      <c r="M4580" s="19">
        <f>Tienda!$K4360-Tienda!$K4360*Tienda!$L4360</f>
        <v>101.51</v>
      </c>
      <c r="N4580" s="3" t="s">
        <v>10038</v>
      </c>
      <c r="O4580" s="3" t="s">
        <v>10041</v>
      </c>
      <c r="P4580" s="17">
        <v>45697</v>
      </c>
      <c r="Q4580" s="4">
        <v>0</v>
      </c>
    </row>
    <row r="4581" spans="1:17" ht="30" x14ac:dyDescent="0.25">
      <c r="A4581" s="2" t="s">
        <v>5005</v>
      </c>
      <c r="B4581" s="3" t="s">
        <v>5015</v>
      </c>
      <c r="C4581" s="3">
        <v>47</v>
      </c>
      <c r="D4581" s="46" t="str">
        <f>IF(Tabla1[[#This Row],[EDAD]]&lt;=35,"Adultos jóvenes 18 - 35 años",IF(C4581&gt;=36,"Adultos mayores 36 años en adelante"))</f>
        <v>Adultos mayores 36 años en adelante</v>
      </c>
      <c r="E4581" s="3" t="s">
        <v>5022</v>
      </c>
      <c r="F4581" s="3" t="s">
        <v>5026</v>
      </c>
      <c r="G4581" s="3" t="s">
        <v>5036</v>
      </c>
      <c r="H4581" s="3" t="s">
        <v>10028</v>
      </c>
      <c r="I4581" s="17">
        <v>45701</v>
      </c>
      <c r="J4581" s="18">
        <f>YEAR(Tabla1[[#This Row],[FECHA DE COMPRA]])</f>
        <v>2025</v>
      </c>
      <c r="K4581" s="19">
        <v>177.34</v>
      </c>
      <c r="L4581" s="20">
        <v>0.3</v>
      </c>
      <c r="M4581" s="19">
        <f>Tienda!$K4362-Tienda!$K4362*Tienda!$L4362</f>
        <v>102.62700000000001</v>
      </c>
      <c r="N4581" s="3" t="s">
        <v>10038</v>
      </c>
      <c r="O4581" s="3" t="s">
        <v>10041</v>
      </c>
      <c r="P4581" s="17">
        <v>45701</v>
      </c>
      <c r="Q4581" s="4">
        <v>0</v>
      </c>
    </row>
    <row r="4582" spans="1:17" ht="30" x14ac:dyDescent="0.25">
      <c r="A4582" s="2" t="s">
        <v>3680</v>
      </c>
      <c r="B4582" s="3" t="s">
        <v>5016</v>
      </c>
      <c r="C4582" s="3">
        <v>57</v>
      </c>
      <c r="D4582" s="46" t="str">
        <f>IF(Tabla1[[#This Row],[EDAD]]&lt;=35,"Adultos jóvenes 18 - 35 años",IF(C4582&gt;=36,"Adultos mayores 36 años en adelante"))</f>
        <v>Adultos mayores 36 años en adelante</v>
      </c>
      <c r="E4582" s="3" t="s">
        <v>5021</v>
      </c>
      <c r="F4582" s="3" t="s">
        <v>5030</v>
      </c>
      <c r="G4582" s="3" t="s">
        <v>5037</v>
      </c>
      <c r="H4582" s="3" t="s">
        <v>8703</v>
      </c>
      <c r="I4582" s="17">
        <v>45702</v>
      </c>
      <c r="J4582" s="18">
        <f>YEAR(Tabla1[[#This Row],[FECHA DE COMPRA]])</f>
        <v>2025</v>
      </c>
      <c r="K4582" s="19">
        <v>50.58</v>
      </c>
      <c r="L4582" s="20">
        <v>0.1</v>
      </c>
      <c r="M4582" s="19">
        <f>Tienda!$K4363-Tienda!$K4363*Tienda!$L4363</f>
        <v>102.64</v>
      </c>
      <c r="N4582" s="3" t="s">
        <v>10038</v>
      </c>
      <c r="O4582" s="3" t="s">
        <v>10041</v>
      </c>
      <c r="P4582" s="17">
        <v>45702</v>
      </c>
      <c r="Q4582" s="4">
        <v>0</v>
      </c>
    </row>
    <row r="4583" spans="1:17" ht="30" x14ac:dyDescent="0.25">
      <c r="A4583" s="2" t="s">
        <v>2682</v>
      </c>
      <c r="B4583" s="3" t="s">
        <v>5015</v>
      </c>
      <c r="C4583" s="3">
        <v>62</v>
      </c>
      <c r="D4583" s="46" t="str">
        <f>IF(Tabla1[[#This Row],[EDAD]]&lt;=35,"Adultos jóvenes 18 - 35 años",IF(C4583&gt;=36,"Adultos mayores 36 años en adelante"))</f>
        <v>Adultos mayores 36 años en adelante</v>
      </c>
      <c r="E4583" s="3" t="s">
        <v>5017</v>
      </c>
      <c r="F4583" s="3" t="s">
        <v>5025</v>
      </c>
      <c r="G4583" s="3" t="s">
        <v>5033</v>
      </c>
      <c r="H4583" s="3" t="s">
        <v>7705</v>
      </c>
      <c r="I4583" s="17">
        <v>45702</v>
      </c>
      <c r="J4583" s="18">
        <f>YEAR(Tabla1[[#This Row],[FECHA DE COMPRA]])</f>
        <v>2025</v>
      </c>
      <c r="K4583" s="19">
        <v>150.97999999999999</v>
      </c>
      <c r="L4583" s="20">
        <v>0.3</v>
      </c>
      <c r="M4583" s="19">
        <f>Tienda!$K4364-Tienda!$K4364*Tienda!$L4364</f>
        <v>103.54399999999998</v>
      </c>
      <c r="N4583" s="3" t="s">
        <v>10038</v>
      </c>
      <c r="O4583" s="3" t="s">
        <v>10041</v>
      </c>
      <c r="P4583" s="17">
        <v>45702</v>
      </c>
      <c r="Q4583" s="4">
        <v>0</v>
      </c>
    </row>
    <row r="4584" spans="1:17" ht="30" x14ac:dyDescent="0.25">
      <c r="A4584" s="2" t="s">
        <v>4367</v>
      </c>
      <c r="B4584" s="3" t="s">
        <v>5016</v>
      </c>
      <c r="C4584" s="3">
        <v>39</v>
      </c>
      <c r="D4584" s="46" t="str">
        <f>IF(Tabla1[[#This Row],[EDAD]]&lt;=35,"Adultos jóvenes 18 - 35 años",IF(C4584&gt;=36,"Adultos mayores 36 años en adelante"))</f>
        <v>Adultos mayores 36 años en adelante</v>
      </c>
      <c r="E4584" s="3" t="s">
        <v>5017</v>
      </c>
      <c r="F4584" s="3" t="s">
        <v>5027</v>
      </c>
      <c r="G4584" s="3" t="s">
        <v>5034</v>
      </c>
      <c r="H4584" s="3" t="s">
        <v>9390</v>
      </c>
      <c r="I4584" s="17">
        <v>45702</v>
      </c>
      <c r="J4584" s="18">
        <f>YEAR(Tabla1[[#This Row],[FECHA DE COMPRA]])</f>
        <v>2025</v>
      </c>
      <c r="K4584" s="19">
        <v>185.09</v>
      </c>
      <c r="L4584" s="20">
        <v>0.1</v>
      </c>
      <c r="M4584" s="19">
        <f>Tienda!$K4365-Tienda!$K4365*Tienda!$L4365</f>
        <v>103.726</v>
      </c>
      <c r="N4584" s="3" t="s">
        <v>10038</v>
      </c>
      <c r="O4584" s="3" t="s">
        <v>10041</v>
      </c>
      <c r="P4584" s="17">
        <v>45702</v>
      </c>
      <c r="Q4584" s="4">
        <v>0</v>
      </c>
    </row>
    <row r="4585" spans="1:17" ht="30" x14ac:dyDescent="0.25">
      <c r="A4585" s="2" t="s">
        <v>1725</v>
      </c>
      <c r="B4585" s="3" t="s">
        <v>5015</v>
      </c>
      <c r="C4585" s="3">
        <v>37</v>
      </c>
      <c r="D4585" s="46" t="str">
        <f>IF(Tabla1[[#This Row],[EDAD]]&lt;=35,"Adultos jóvenes 18 - 35 años",IF(C4585&gt;=36,"Adultos mayores 36 años en adelante"))</f>
        <v>Adultos mayores 36 años en adelante</v>
      </c>
      <c r="E4585" s="3" t="s">
        <v>5022</v>
      </c>
      <c r="F4585" s="3" t="s">
        <v>5028</v>
      </c>
      <c r="G4585" s="3" t="s">
        <v>5035</v>
      </c>
      <c r="H4585" s="3" t="s">
        <v>6748</v>
      </c>
      <c r="I4585" s="17">
        <v>45711</v>
      </c>
      <c r="J4585" s="18">
        <f>YEAR(Tabla1[[#This Row],[FECHA DE COMPRA]])</f>
        <v>2025</v>
      </c>
      <c r="K4585" s="19">
        <v>106.4</v>
      </c>
      <c r="L4585" s="20">
        <v>0</v>
      </c>
      <c r="M4585" s="19">
        <f>Tienda!$K4367-Tienda!$K4367*Tienda!$L4367</f>
        <v>104.47999999999999</v>
      </c>
      <c r="N4585" s="3" t="s">
        <v>10038</v>
      </c>
      <c r="O4585" s="3" t="s">
        <v>10041</v>
      </c>
      <c r="P4585" s="17">
        <v>45711</v>
      </c>
      <c r="Q4585" s="4">
        <v>0</v>
      </c>
    </row>
    <row r="4586" spans="1:17" ht="30" x14ac:dyDescent="0.25">
      <c r="A4586" s="2" t="s">
        <v>2580</v>
      </c>
      <c r="B4586" s="3" t="s">
        <v>5015</v>
      </c>
      <c r="C4586" s="3">
        <v>45</v>
      </c>
      <c r="D4586" s="46" t="str">
        <f>IF(Tabla1[[#This Row],[EDAD]]&lt;=35,"Adultos jóvenes 18 - 35 años",IF(C4586&gt;=36,"Adultos mayores 36 años en adelante"))</f>
        <v>Adultos mayores 36 años en adelante</v>
      </c>
      <c r="E4586" s="3" t="s">
        <v>5021</v>
      </c>
      <c r="F4586" s="3" t="s">
        <v>5027</v>
      </c>
      <c r="G4586" s="3" t="s">
        <v>5034</v>
      </c>
      <c r="H4586" s="3" t="s">
        <v>7603</v>
      </c>
      <c r="I4586" s="17">
        <v>45711</v>
      </c>
      <c r="J4586" s="18">
        <f>YEAR(Tabla1[[#This Row],[FECHA DE COMPRA]])</f>
        <v>2025</v>
      </c>
      <c r="K4586" s="19">
        <v>157.61000000000001</v>
      </c>
      <c r="L4586" s="20">
        <v>0.2</v>
      </c>
      <c r="M4586" s="19">
        <f>Tienda!$K4369-Tienda!$K4369*Tienda!$L4369</f>
        <v>105.82600000000001</v>
      </c>
      <c r="N4586" s="3" t="s">
        <v>10038</v>
      </c>
      <c r="O4586" s="3" t="s">
        <v>10041</v>
      </c>
      <c r="P4586" s="17">
        <v>45711</v>
      </c>
      <c r="Q4586" s="4">
        <v>0</v>
      </c>
    </row>
    <row r="4587" spans="1:17" ht="30" x14ac:dyDescent="0.25">
      <c r="A4587" s="2" t="s">
        <v>4478</v>
      </c>
      <c r="B4587" s="3" t="s">
        <v>5015</v>
      </c>
      <c r="C4587" s="3">
        <v>56</v>
      </c>
      <c r="D4587" s="46" t="str">
        <f>IF(Tabla1[[#This Row],[EDAD]]&lt;=35,"Adultos jóvenes 18 - 35 años",IF(C4587&gt;=36,"Adultos mayores 36 años en adelante"))</f>
        <v>Adultos mayores 36 años en adelante</v>
      </c>
      <c r="E4587" s="3" t="s">
        <v>5021</v>
      </c>
      <c r="F4587" s="3" t="s">
        <v>5026</v>
      </c>
      <c r="G4587" s="3" t="s">
        <v>5036</v>
      </c>
      <c r="H4587" s="3" t="s">
        <v>9501</v>
      </c>
      <c r="I4587" s="17">
        <v>45712</v>
      </c>
      <c r="J4587" s="18">
        <f>YEAR(Tabla1[[#This Row],[FECHA DE COMPRA]])</f>
        <v>2025</v>
      </c>
      <c r="K4587" s="19">
        <v>170.76</v>
      </c>
      <c r="L4587" s="20">
        <v>0</v>
      </c>
      <c r="M4587" s="19">
        <f>Tienda!$K4372-Tienda!$K4372*Tienda!$L4372</f>
        <v>106.96700000000001</v>
      </c>
      <c r="N4587" s="3" t="s">
        <v>10038</v>
      </c>
      <c r="O4587" s="3" t="s">
        <v>10041</v>
      </c>
      <c r="P4587" s="17">
        <v>45712</v>
      </c>
      <c r="Q4587" s="4">
        <v>0</v>
      </c>
    </row>
    <row r="4588" spans="1:17" ht="30" x14ac:dyDescent="0.25">
      <c r="A4588" s="2" t="s">
        <v>2513</v>
      </c>
      <c r="B4588" s="3" t="s">
        <v>5016</v>
      </c>
      <c r="C4588" s="3">
        <v>49</v>
      </c>
      <c r="D4588" s="46" t="str">
        <f>IF(Tabla1[[#This Row],[EDAD]]&lt;=35,"Adultos jóvenes 18 - 35 años",IF(C4588&gt;=36,"Adultos mayores 36 años en adelante"))</f>
        <v>Adultos mayores 36 años en adelante</v>
      </c>
      <c r="E4588" s="3" t="s">
        <v>5021</v>
      </c>
      <c r="F4588" s="3" t="s">
        <v>5028</v>
      </c>
      <c r="G4588" s="3" t="s">
        <v>5032</v>
      </c>
      <c r="H4588" s="3" t="s">
        <v>7536</v>
      </c>
      <c r="I4588" s="17">
        <v>45712</v>
      </c>
      <c r="J4588" s="18">
        <f>YEAR(Tabla1[[#This Row],[FECHA DE COMPRA]])</f>
        <v>2025</v>
      </c>
      <c r="K4588" s="19">
        <v>186.32</v>
      </c>
      <c r="L4588" s="20">
        <v>0</v>
      </c>
      <c r="M4588" s="19">
        <f>Tienda!$K4373-Tienda!$K4373*Tienda!$L4373</f>
        <v>107.33599999999998</v>
      </c>
      <c r="N4588" s="3" t="s">
        <v>10038</v>
      </c>
      <c r="O4588" s="3" t="s">
        <v>10041</v>
      </c>
      <c r="P4588" s="17">
        <v>45712</v>
      </c>
      <c r="Q4588" s="4">
        <v>0</v>
      </c>
    </row>
    <row r="4589" spans="1:17" ht="30" x14ac:dyDescent="0.25">
      <c r="A4589" s="2" t="s">
        <v>397</v>
      </c>
      <c r="B4589" s="3" t="s">
        <v>5015</v>
      </c>
      <c r="C4589" s="3">
        <v>57</v>
      </c>
      <c r="D4589" s="46" t="str">
        <f>IF(Tabla1[[#This Row],[EDAD]]&lt;=35,"Adultos jóvenes 18 - 35 años",IF(C4589&gt;=36,"Adultos mayores 36 años en adelante"))</f>
        <v>Adultos mayores 36 años en adelante</v>
      </c>
      <c r="E4589" s="3" t="s">
        <v>5017</v>
      </c>
      <c r="F4589" s="3" t="s">
        <v>5029</v>
      </c>
      <c r="G4589" s="3" t="s">
        <v>5033</v>
      </c>
      <c r="H4589" s="3" t="s">
        <v>5420</v>
      </c>
      <c r="I4589" s="17">
        <v>45739</v>
      </c>
      <c r="J4589" s="18">
        <f>YEAR(Tabla1[[#This Row],[FECHA DE COMPRA]])</f>
        <v>2025</v>
      </c>
      <c r="K4589" s="19">
        <v>52.54</v>
      </c>
      <c r="L4589" s="20">
        <v>0.3</v>
      </c>
      <c r="M4589" s="19">
        <f>Tienda!$K4377-Tienda!$K4377*Tienda!$L4377</f>
        <v>108.12</v>
      </c>
      <c r="N4589" s="3" t="s">
        <v>10038</v>
      </c>
      <c r="O4589" s="3" t="s">
        <v>10041</v>
      </c>
      <c r="P4589" s="17">
        <v>45739</v>
      </c>
      <c r="Q4589" s="4">
        <v>0</v>
      </c>
    </row>
    <row r="4590" spans="1:17" ht="30" x14ac:dyDescent="0.25">
      <c r="A4590" s="2" t="s">
        <v>745</v>
      </c>
      <c r="B4590" s="3" t="s">
        <v>5015</v>
      </c>
      <c r="C4590" s="3">
        <v>47</v>
      </c>
      <c r="D4590" s="46" t="str">
        <f>IF(Tabla1[[#This Row],[EDAD]]&lt;=35,"Adultos jóvenes 18 - 35 años",IF(C4590&gt;=36,"Adultos mayores 36 años en adelante"))</f>
        <v>Adultos mayores 36 años en adelante</v>
      </c>
      <c r="E4590" s="3" t="s">
        <v>5020</v>
      </c>
      <c r="F4590" s="3" t="s">
        <v>5026</v>
      </c>
      <c r="G4590" s="3" t="s">
        <v>5036</v>
      </c>
      <c r="H4590" s="3" t="s">
        <v>5768</v>
      </c>
      <c r="I4590" s="17">
        <v>45736</v>
      </c>
      <c r="J4590" s="18">
        <f>YEAR(Tabla1[[#This Row],[FECHA DE COMPRA]])</f>
        <v>2025</v>
      </c>
      <c r="K4590" s="19">
        <v>54.42</v>
      </c>
      <c r="L4590" s="20">
        <v>0.3</v>
      </c>
      <c r="M4590" s="19">
        <f>Tienda!$K4378-Tienda!$K4378*Tienda!$L4378</f>
        <v>108.36800000000001</v>
      </c>
      <c r="N4590" s="3" t="s">
        <v>10038</v>
      </c>
      <c r="O4590" s="3" t="s">
        <v>10041</v>
      </c>
      <c r="P4590" s="17">
        <v>45736</v>
      </c>
      <c r="Q4590" s="4">
        <v>0</v>
      </c>
    </row>
    <row r="4591" spans="1:17" ht="30" x14ac:dyDescent="0.25">
      <c r="A4591" s="2" t="s">
        <v>1372</v>
      </c>
      <c r="B4591" s="3" t="s">
        <v>5015</v>
      </c>
      <c r="C4591" s="3">
        <v>37</v>
      </c>
      <c r="D4591" s="46" t="str">
        <f>IF(Tabla1[[#This Row],[EDAD]]&lt;=35,"Adultos jóvenes 18 - 35 años",IF(C4591&gt;=36,"Adultos mayores 36 años en adelante"))</f>
        <v>Adultos mayores 36 años en adelante</v>
      </c>
      <c r="E4591" s="3" t="s">
        <v>5018</v>
      </c>
      <c r="F4591" s="3" t="s">
        <v>5025</v>
      </c>
      <c r="G4591" s="3" t="s">
        <v>5036</v>
      </c>
      <c r="H4591" s="3" t="s">
        <v>6395</v>
      </c>
      <c r="I4591" s="17">
        <v>45726</v>
      </c>
      <c r="J4591" s="18">
        <f>YEAR(Tabla1[[#This Row],[FECHA DE COMPRA]])</f>
        <v>2025</v>
      </c>
      <c r="K4591" s="19">
        <v>56.06</v>
      </c>
      <c r="L4591" s="20">
        <v>0.3</v>
      </c>
      <c r="M4591" s="19">
        <f>Tienda!$K4379-Tienda!$K4379*Tienda!$L4379</f>
        <v>108.745</v>
      </c>
      <c r="N4591" s="3" t="s">
        <v>10038</v>
      </c>
      <c r="O4591" s="3" t="s">
        <v>10041</v>
      </c>
      <c r="P4591" s="17">
        <v>45726</v>
      </c>
      <c r="Q4591" s="4">
        <v>0</v>
      </c>
    </row>
    <row r="4592" spans="1:17" ht="30" x14ac:dyDescent="0.25">
      <c r="A4592" s="2" t="s">
        <v>1418</v>
      </c>
      <c r="B4592" s="3" t="s">
        <v>5015</v>
      </c>
      <c r="C4592" s="3">
        <v>40</v>
      </c>
      <c r="D4592" s="46" t="str">
        <f>IF(Tabla1[[#This Row],[EDAD]]&lt;=35,"Adultos jóvenes 18 - 35 años",IF(C4592&gt;=36,"Adultos mayores 36 años en adelante"))</f>
        <v>Adultos mayores 36 años en adelante</v>
      </c>
      <c r="E4592" s="3" t="s">
        <v>5021</v>
      </c>
      <c r="F4592" s="3" t="s">
        <v>5029</v>
      </c>
      <c r="G4592" s="3" t="s">
        <v>5032</v>
      </c>
      <c r="H4592" s="3" t="s">
        <v>6441</v>
      </c>
      <c r="I4592" s="17">
        <v>45736</v>
      </c>
      <c r="J4592" s="18">
        <f>YEAR(Tabla1[[#This Row],[FECHA DE COMPRA]])</f>
        <v>2025</v>
      </c>
      <c r="K4592" s="19">
        <v>57.2</v>
      </c>
      <c r="L4592" s="20">
        <v>0.2</v>
      </c>
      <c r="M4592" s="19">
        <f>Tienda!$K4380-Tienda!$K4380*Tienda!$L4380</f>
        <v>109.044</v>
      </c>
      <c r="N4592" s="3" t="s">
        <v>10038</v>
      </c>
      <c r="O4592" s="3" t="s">
        <v>10041</v>
      </c>
      <c r="P4592" s="17">
        <v>45736</v>
      </c>
      <c r="Q4592" s="4">
        <v>0</v>
      </c>
    </row>
    <row r="4593" spans="1:17" ht="30" x14ac:dyDescent="0.25">
      <c r="A4593" s="2" t="s">
        <v>215</v>
      </c>
      <c r="B4593" s="3" t="s">
        <v>5016</v>
      </c>
      <c r="C4593" s="3">
        <v>62</v>
      </c>
      <c r="D4593" s="46" t="str">
        <f>IF(Tabla1[[#This Row],[EDAD]]&lt;=35,"Adultos jóvenes 18 - 35 años",IF(C4593&gt;=36,"Adultos mayores 36 años en adelante"))</f>
        <v>Adultos mayores 36 años en adelante</v>
      </c>
      <c r="E4593" s="3" t="s">
        <v>5023</v>
      </c>
      <c r="F4593" s="3" t="s">
        <v>5026</v>
      </c>
      <c r="G4593" s="3" t="s">
        <v>5032</v>
      </c>
      <c r="H4593" s="3" t="s">
        <v>5238</v>
      </c>
      <c r="I4593" s="17">
        <v>45737</v>
      </c>
      <c r="J4593" s="18">
        <f>YEAR(Tabla1[[#This Row],[FECHA DE COMPRA]])</f>
        <v>2025</v>
      </c>
      <c r="K4593" s="19">
        <v>58.19</v>
      </c>
      <c r="L4593" s="20">
        <v>0.3</v>
      </c>
      <c r="M4593" s="19">
        <f>Tienda!$K4382-Tienda!$K4382*Tienda!$L4382</f>
        <v>109.97</v>
      </c>
      <c r="N4593" s="3" t="s">
        <v>10038</v>
      </c>
      <c r="O4593" s="3" t="s">
        <v>10041</v>
      </c>
      <c r="P4593" s="17">
        <v>45737</v>
      </c>
      <c r="Q4593" s="4">
        <v>0</v>
      </c>
    </row>
    <row r="4594" spans="1:17" ht="30" x14ac:dyDescent="0.25">
      <c r="A4594" s="2" t="s">
        <v>716</v>
      </c>
      <c r="B4594" s="3" t="s">
        <v>5015</v>
      </c>
      <c r="C4594" s="3">
        <v>58</v>
      </c>
      <c r="D4594" s="46" t="str">
        <f>IF(Tabla1[[#This Row],[EDAD]]&lt;=35,"Adultos jóvenes 18 - 35 años",IF(C4594&gt;=36,"Adultos mayores 36 años en adelante"))</f>
        <v>Adultos mayores 36 años en adelante</v>
      </c>
      <c r="E4594" s="3" t="s">
        <v>5019</v>
      </c>
      <c r="F4594" s="3" t="s">
        <v>5029</v>
      </c>
      <c r="G4594" s="3" t="s">
        <v>5031</v>
      </c>
      <c r="H4594" s="3" t="s">
        <v>5739</v>
      </c>
      <c r="I4594" s="17">
        <v>45726</v>
      </c>
      <c r="J4594" s="18">
        <f>YEAR(Tabla1[[#This Row],[FECHA DE COMPRA]])</f>
        <v>2025</v>
      </c>
      <c r="K4594" s="19">
        <v>62.09</v>
      </c>
      <c r="L4594" s="20">
        <v>0.3</v>
      </c>
      <c r="M4594" s="19">
        <f>Tienda!$K4383-Tienda!$K4383*Tienda!$L4383</f>
        <v>110.005</v>
      </c>
      <c r="N4594" s="3" t="s">
        <v>10038</v>
      </c>
      <c r="O4594" s="3" t="s">
        <v>10041</v>
      </c>
      <c r="P4594" s="17">
        <v>45726</v>
      </c>
      <c r="Q4594" s="4">
        <v>0</v>
      </c>
    </row>
    <row r="4595" spans="1:17" ht="30" x14ac:dyDescent="0.25">
      <c r="A4595" s="2" t="s">
        <v>2658</v>
      </c>
      <c r="B4595" s="3" t="s">
        <v>5015</v>
      </c>
      <c r="C4595" s="3">
        <v>63</v>
      </c>
      <c r="D4595" s="46" t="str">
        <f>IF(Tabla1[[#This Row],[EDAD]]&lt;=35,"Adultos jóvenes 18 - 35 años",IF(C4595&gt;=36,"Adultos mayores 36 años en adelante"))</f>
        <v>Adultos mayores 36 años en adelante</v>
      </c>
      <c r="E4595" s="3" t="s">
        <v>5018</v>
      </c>
      <c r="F4595" s="3" t="s">
        <v>5026</v>
      </c>
      <c r="G4595" s="3" t="s">
        <v>5037</v>
      </c>
      <c r="H4595" s="3" t="s">
        <v>7681</v>
      </c>
      <c r="I4595" s="17">
        <v>45747</v>
      </c>
      <c r="J4595" s="18">
        <f>YEAR(Tabla1[[#This Row],[FECHA DE COMPRA]])</f>
        <v>2025</v>
      </c>
      <c r="K4595" s="19">
        <v>82.25</v>
      </c>
      <c r="L4595" s="20">
        <v>0.2</v>
      </c>
      <c r="M4595" s="19">
        <f>Tienda!$K4386-Tienda!$K4386*Tienda!$L4386</f>
        <v>110.72799999999999</v>
      </c>
      <c r="N4595" s="3" t="s">
        <v>10038</v>
      </c>
      <c r="O4595" s="3" t="s">
        <v>10041</v>
      </c>
      <c r="P4595" s="17">
        <v>45747</v>
      </c>
      <c r="Q4595" s="4">
        <v>0</v>
      </c>
    </row>
    <row r="4596" spans="1:17" ht="30" x14ac:dyDescent="0.25">
      <c r="A4596" s="2" t="s">
        <v>2954</v>
      </c>
      <c r="B4596" s="3" t="s">
        <v>5015</v>
      </c>
      <c r="C4596" s="3">
        <v>60</v>
      </c>
      <c r="D4596" s="46" t="str">
        <f>IF(Tabla1[[#This Row],[EDAD]]&lt;=35,"Adultos jóvenes 18 - 35 años",IF(C4596&gt;=36,"Adultos mayores 36 años en adelante"))</f>
        <v>Adultos mayores 36 años en adelante</v>
      </c>
      <c r="E4596" s="3" t="s">
        <v>5020</v>
      </c>
      <c r="F4596" s="3" t="s">
        <v>5024</v>
      </c>
      <c r="G4596" s="3" t="s">
        <v>5037</v>
      </c>
      <c r="H4596" s="3" t="s">
        <v>7977</v>
      </c>
      <c r="I4596" s="17">
        <v>45744</v>
      </c>
      <c r="J4596" s="18">
        <f>YEAR(Tabla1[[#This Row],[FECHA DE COMPRA]])</f>
        <v>2025</v>
      </c>
      <c r="K4596" s="19">
        <v>108.6</v>
      </c>
      <c r="L4596" s="20">
        <v>0.1</v>
      </c>
      <c r="M4596" s="19">
        <f>Tienda!$K4389-Tienda!$K4389*Tienda!$L4389</f>
        <v>110.864</v>
      </c>
      <c r="N4596" s="3" t="s">
        <v>10038</v>
      </c>
      <c r="O4596" s="3" t="s">
        <v>10041</v>
      </c>
      <c r="P4596" s="17">
        <v>45744</v>
      </c>
      <c r="Q4596" s="4">
        <v>0</v>
      </c>
    </row>
    <row r="4597" spans="1:17" ht="30" x14ac:dyDescent="0.25">
      <c r="A4597" s="2" t="s">
        <v>4231</v>
      </c>
      <c r="B4597" s="3" t="s">
        <v>5016</v>
      </c>
      <c r="C4597" s="3">
        <v>57</v>
      </c>
      <c r="D4597" s="46" t="str">
        <f>IF(Tabla1[[#This Row],[EDAD]]&lt;=35,"Adultos jóvenes 18 - 35 años",IF(C4597&gt;=36,"Adultos mayores 36 años en adelante"))</f>
        <v>Adultos mayores 36 años en adelante</v>
      </c>
      <c r="E4597" s="3" t="s">
        <v>5019</v>
      </c>
      <c r="F4597" s="3" t="s">
        <v>5026</v>
      </c>
      <c r="G4597" s="3" t="s">
        <v>5032</v>
      </c>
      <c r="H4597" s="3" t="s">
        <v>9254</v>
      </c>
      <c r="I4597" s="17">
        <v>45718</v>
      </c>
      <c r="J4597" s="18">
        <f>YEAR(Tabla1[[#This Row],[FECHA DE COMPRA]])</f>
        <v>2025</v>
      </c>
      <c r="K4597" s="19">
        <v>113.82</v>
      </c>
      <c r="L4597" s="20">
        <v>0.1</v>
      </c>
      <c r="M4597" s="19">
        <f>Tienda!$K4390-Tienda!$K4390*Tienda!$L4390</f>
        <v>110.94300000000001</v>
      </c>
      <c r="N4597" s="3" t="s">
        <v>10038</v>
      </c>
      <c r="O4597" s="3" t="s">
        <v>10041</v>
      </c>
      <c r="P4597" s="17">
        <v>45718</v>
      </c>
      <c r="Q4597" s="4">
        <v>0</v>
      </c>
    </row>
    <row r="4598" spans="1:17" ht="30" x14ac:dyDescent="0.25">
      <c r="A4598" s="2" t="s">
        <v>53</v>
      </c>
      <c r="B4598" s="3" t="s">
        <v>5015</v>
      </c>
      <c r="C4598" s="3">
        <v>64</v>
      </c>
      <c r="D4598" s="46" t="str">
        <f>IF(Tabla1[[#This Row],[EDAD]]&lt;=35,"Adultos jóvenes 18 - 35 años",IF(C4598&gt;=36,"Adultos mayores 36 años en adelante"))</f>
        <v>Adultos mayores 36 años en adelante</v>
      </c>
      <c r="E4598" s="3" t="s">
        <v>5019</v>
      </c>
      <c r="F4598" s="3" t="s">
        <v>5024</v>
      </c>
      <c r="G4598" s="3" t="s">
        <v>5035</v>
      </c>
      <c r="H4598" s="3" t="s">
        <v>5076</v>
      </c>
      <c r="I4598" s="17">
        <v>45722</v>
      </c>
      <c r="J4598" s="18">
        <f>YEAR(Tabla1[[#This Row],[FECHA DE COMPRA]])</f>
        <v>2025</v>
      </c>
      <c r="K4598" s="19">
        <v>119.79</v>
      </c>
      <c r="L4598" s="20">
        <v>0.1</v>
      </c>
      <c r="M4598" s="19">
        <f>Tienda!$K4393-Tienda!$K4393*Tienda!$L4393</f>
        <v>111.23</v>
      </c>
      <c r="N4598" s="3" t="s">
        <v>10038</v>
      </c>
      <c r="O4598" s="3" t="s">
        <v>10041</v>
      </c>
      <c r="P4598" s="17">
        <v>45722</v>
      </c>
      <c r="Q4598" s="4">
        <v>0</v>
      </c>
    </row>
    <row r="4599" spans="1:17" ht="30" x14ac:dyDescent="0.25">
      <c r="A4599" s="2" t="s">
        <v>384</v>
      </c>
      <c r="B4599" s="3" t="s">
        <v>5015</v>
      </c>
      <c r="C4599" s="3">
        <v>41</v>
      </c>
      <c r="D4599" s="46" t="str">
        <f>IF(Tabla1[[#This Row],[EDAD]]&lt;=35,"Adultos jóvenes 18 - 35 años",IF(C4599&gt;=36,"Adultos mayores 36 años en adelante"))</f>
        <v>Adultos mayores 36 años en adelante</v>
      </c>
      <c r="E4599" s="3" t="s">
        <v>5018</v>
      </c>
      <c r="F4599" s="3" t="s">
        <v>5024</v>
      </c>
      <c r="G4599" s="3" t="s">
        <v>5033</v>
      </c>
      <c r="H4599" s="3" t="s">
        <v>5407</v>
      </c>
      <c r="I4599" s="17">
        <v>45736</v>
      </c>
      <c r="J4599" s="18">
        <f>YEAR(Tabla1[[#This Row],[FECHA DE COMPRA]])</f>
        <v>2025</v>
      </c>
      <c r="K4599" s="19">
        <v>120.57</v>
      </c>
      <c r="L4599" s="20">
        <v>0.2</v>
      </c>
      <c r="M4599" s="19">
        <f>Tienda!$K4394-Tienda!$K4394*Tienda!$L4394</f>
        <v>111.29600000000001</v>
      </c>
      <c r="N4599" s="3" t="s">
        <v>10038</v>
      </c>
      <c r="O4599" s="3" t="s">
        <v>10041</v>
      </c>
      <c r="P4599" s="17">
        <v>45736</v>
      </c>
      <c r="Q4599" s="4">
        <v>0</v>
      </c>
    </row>
    <row r="4600" spans="1:17" ht="30" x14ac:dyDescent="0.25">
      <c r="A4600" s="2" t="s">
        <v>4044</v>
      </c>
      <c r="B4600" s="3" t="s">
        <v>5016</v>
      </c>
      <c r="C4600" s="3">
        <v>46</v>
      </c>
      <c r="D4600" s="46" t="str">
        <f>IF(Tabla1[[#This Row],[EDAD]]&lt;=35,"Adultos jóvenes 18 - 35 años",IF(C4600&gt;=36,"Adultos mayores 36 años en adelante"))</f>
        <v>Adultos mayores 36 años en adelante</v>
      </c>
      <c r="E4600" s="3" t="s">
        <v>5021</v>
      </c>
      <c r="F4600" s="3" t="s">
        <v>5026</v>
      </c>
      <c r="G4600" s="3" t="s">
        <v>5037</v>
      </c>
      <c r="H4600" s="3" t="s">
        <v>9067</v>
      </c>
      <c r="I4600" s="17">
        <v>45717</v>
      </c>
      <c r="J4600" s="18">
        <f>YEAR(Tabla1[[#This Row],[FECHA DE COMPRA]])</f>
        <v>2025</v>
      </c>
      <c r="K4600" s="19">
        <v>168.08</v>
      </c>
      <c r="L4600" s="20">
        <v>0.2</v>
      </c>
      <c r="M4600" s="19">
        <f>Tienda!$K4395-Tienda!$K4395*Tienda!$L4395</f>
        <v>111.65</v>
      </c>
      <c r="N4600" s="3" t="s">
        <v>10038</v>
      </c>
      <c r="O4600" s="3" t="s">
        <v>10041</v>
      </c>
      <c r="P4600" s="17">
        <v>45717</v>
      </c>
      <c r="Q4600" s="4">
        <v>0</v>
      </c>
    </row>
    <row r="4601" spans="1:17" ht="30" x14ac:dyDescent="0.25">
      <c r="A4601" s="2" t="s">
        <v>1832</v>
      </c>
      <c r="B4601" s="3" t="s">
        <v>5015</v>
      </c>
      <c r="C4601" s="3">
        <v>50</v>
      </c>
      <c r="D4601" s="46" t="str">
        <f>IF(Tabla1[[#This Row],[EDAD]]&lt;=35,"Adultos jóvenes 18 - 35 años",IF(C4601&gt;=36,"Adultos mayores 36 años en adelante"))</f>
        <v>Adultos mayores 36 años en adelante</v>
      </c>
      <c r="E4601" s="3" t="s">
        <v>5017</v>
      </c>
      <c r="F4601" s="3" t="s">
        <v>5025</v>
      </c>
      <c r="G4601" s="3" t="s">
        <v>5031</v>
      </c>
      <c r="H4601" s="3" t="s">
        <v>6855</v>
      </c>
      <c r="I4601" s="17">
        <v>45720</v>
      </c>
      <c r="J4601" s="18">
        <f>YEAR(Tabla1[[#This Row],[FECHA DE COMPRA]])</f>
        <v>2025</v>
      </c>
      <c r="K4601" s="19">
        <v>177.38</v>
      </c>
      <c r="L4601" s="20">
        <v>0.2</v>
      </c>
      <c r="M4601" s="19">
        <f>Tienda!$K4396-Tienda!$K4396*Tienda!$L4396</f>
        <v>111.86000000000001</v>
      </c>
      <c r="N4601" s="3" t="s">
        <v>10038</v>
      </c>
      <c r="O4601" s="3" t="s">
        <v>10041</v>
      </c>
      <c r="P4601" s="17">
        <v>45720</v>
      </c>
      <c r="Q4601" s="4">
        <v>0</v>
      </c>
    </row>
    <row r="4602" spans="1:17" ht="30" x14ac:dyDescent="0.25">
      <c r="A4602" s="2" t="s">
        <v>4872</v>
      </c>
      <c r="B4602" s="3" t="s">
        <v>5015</v>
      </c>
      <c r="C4602" s="3">
        <v>50</v>
      </c>
      <c r="D4602" s="46" t="str">
        <f>IF(Tabla1[[#This Row],[EDAD]]&lt;=35,"Adultos jóvenes 18 - 35 años",IF(C4602&gt;=36,"Adultos mayores 36 años en adelante"))</f>
        <v>Adultos mayores 36 años en adelante</v>
      </c>
      <c r="E4602" s="3" t="s">
        <v>5018</v>
      </c>
      <c r="F4602" s="3" t="s">
        <v>5028</v>
      </c>
      <c r="G4602" s="3" t="s">
        <v>5033</v>
      </c>
      <c r="H4602" s="3" t="s">
        <v>9895</v>
      </c>
      <c r="I4602" s="17">
        <v>45723</v>
      </c>
      <c r="J4602" s="18">
        <f>YEAR(Tabla1[[#This Row],[FECHA DE COMPRA]])</f>
        <v>2025</v>
      </c>
      <c r="K4602" s="19">
        <v>181.16</v>
      </c>
      <c r="L4602" s="20">
        <v>0.1</v>
      </c>
      <c r="M4602" s="19">
        <f>Tienda!$K4397-Tienda!$K4397*Tienda!$L4397</f>
        <v>112.11199999999999</v>
      </c>
      <c r="N4602" s="3" t="s">
        <v>10038</v>
      </c>
      <c r="O4602" s="3" t="s">
        <v>10041</v>
      </c>
      <c r="P4602" s="17">
        <v>45723</v>
      </c>
      <c r="Q4602" s="4">
        <v>0</v>
      </c>
    </row>
    <row r="4603" spans="1:17" ht="30" x14ac:dyDescent="0.25">
      <c r="A4603" s="2" t="s">
        <v>3034</v>
      </c>
      <c r="B4603" s="3" t="s">
        <v>5016</v>
      </c>
      <c r="C4603" s="3">
        <v>62</v>
      </c>
      <c r="D4603" s="46" t="str">
        <f>IF(Tabla1[[#This Row],[EDAD]]&lt;=35,"Adultos jóvenes 18 - 35 años",IF(C4603&gt;=36,"Adultos mayores 36 años en adelante"))</f>
        <v>Adultos mayores 36 años en adelante</v>
      </c>
      <c r="E4603" s="3" t="s">
        <v>5019</v>
      </c>
      <c r="F4603" s="3" t="s">
        <v>5026</v>
      </c>
      <c r="G4603" s="3" t="s">
        <v>5031</v>
      </c>
      <c r="H4603" s="3" t="s">
        <v>8057</v>
      </c>
      <c r="I4603" s="17">
        <v>45731</v>
      </c>
      <c r="J4603" s="18">
        <f>YEAR(Tabla1[[#This Row],[FECHA DE COMPRA]])</f>
        <v>2025</v>
      </c>
      <c r="K4603" s="19">
        <v>182.82</v>
      </c>
      <c r="L4603" s="20">
        <v>0.1</v>
      </c>
      <c r="M4603" s="19">
        <f>Tienda!$K4398-Tienda!$K4398*Tienda!$L4398</f>
        <v>112.68599999999999</v>
      </c>
      <c r="N4603" s="3" t="s">
        <v>10038</v>
      </c>
      <c r="O4603" s="3" t="s">
        <v>10041</v>
      </c>
      <c r="P4603" s="17">
        <v>45731</v>
      </c>
      <c r="Q4603" s="4">
        <v>0</v>
      </c>
    </row>
    <row r="4604" spans="1:17" ht="30" x14ac:dyDescent="0.25">
      <c r="A4604" s="2" t="s">
        <v>2434</v>
      </c>
      <c r="B4604" s="3" t="s">
        <v>5016</v>
      </c>
      <c r="C4604" s="3">
        <v>40</v>
      </c>
      <c r="D4604" s="46" t="str">
        <f>IF(Tabla1[[#This Row],[EDAD]]&lt;=35,"Adultos jóvenes 18 - 35 años",IF(C4604&gt;=36,"Adultos mayores 36 años en adelante"))</f>
        <v>Adultos mayores 36 años en adelante</v>
      </c>
      <c r="E4604" s="3" t="s">
        <v>5023</v>
      </c>
      <c r="F4604" s="3" t="s">
        <v>5025</v>
      </c>
      <c r="G4604" s="3" t="s">
        <v>5036</v>
      </c>
      <c r="H4604" s="3" t="s">
        <v>7457</v>
      </c>
      <c r="I4604" s="17">
        <v>45724</v>
      </c>
      <c r="J4604" s="18">
        <f>YEAR(Tabla1[[#This Row],[FECHA DE COMPRA]])</f>
        <v>2025</v>
      </c>
      <c r="K4604" s="19">
        <v>187.86</v>
      </c>
      <c r="L4604" s="20">
        <v>0.3</v>
      </c>
      <c r="M4604" s="19">
        <f>Tienda!$K4400-Tienda!$K4400*Tienda!$L4400</f>
        <v>112.99</v>
      </c>
      <c r="N4604" s="3" t="s">
        <v>10038</v>
      </c>
      <c r="O4604" s="3" t="s">
        <v>10041</v>
      </c>
      <c r="P4604" s="17">
        <v>45724</v>
      </c>
      <c r="Q4604" s="4">
        <v>0</v>
      </c>
    </row>
    <row r="4605" spans="1:17" ht="30" x14ac:dyDescent="0.25">
      <c r="A4605" s="2" t="s">
        <v>4965</v>
      </c>
      <c r="B4605" s="3" t="s">
        <v>5015</v>
      </c>
      <c r="C4605" s="3">
        <v>46</v>
      </c>
      <c r="D4605" s="46" t="str">
        <f>IF(Tabla1[[#This Row],[EDAD]]&lt;=35,"Adultos jóvenes 18 - 35 años",IF(C4605&gt;=36,"Adultos mayores 36 años en adelante"))</f>
        <v>Adultos mayores 36 años en adelante</v>
      </c>
      <c r="E4605" s="3" t="s">
        <v>5022</v>
      </c>
      <c r="F4605" s="3" t="s">
        <v>5026</v>
      </c>
      <c r="G4605" s="3" t="s">
        <v>5037</v>
      </c>
      <c r="H4605" s="3" t="s">
        <v>9988</v>
      </c>
      <c r="I4605" s="17">
        <v>45725</v>
      </c>
      <c r="J4605" s="18">
        <f>YEAR(Tabla1[[#This Row],[FECHA DE COMPRA]])</f>
        <v>2025</v>
      </c>
      <c r="K4605" s="19">
        <v>188.62</v>
      </c>
      <c r="L4605" s="20">
        <v>0</v>
      </c>
      <c r="M4605" s="19">
        <f>Tienda!$K4401-Tienda!$K4401*Tienda!$L4401</f>
        <v>113.247</v>
      </c>
      <c r="N4605" s="3" t="s">
        <v>10038</v>
      </c>
      <c r="O4605" s="3" t="s">
        <v>10041</v>
      </c>
      <c r="P4605" s="17">
        <v>45725</v>
      </c>
      <c r="Q4605" s="4">
        <v>0</v>
      </c>
    </row>
    <row r="4606" spans="1:17" ht="30" x14ac:dyDescent="0.25">
      <c r="A4606" s="2" t="s">
        <v>3803</v>
      </c>
      <c r="B4606" s="3" t="s">
        <v>5015</v>
      </c>
      <c r="C4606" s="3">
        <v>40</v>
      </c>
      <c r="D4606" s="46" t="str">
        <f>IF(Tabla1[[#This Row],[EDAD]]&lt;=35,"Adultos jóvenes 18 - 35 años",IF(C4606&gt;=36,"Adultos mayores 36 años en adelante"))</f>
        <v>Adultos mayores 36 años en adelante</v>
      </c>
      <c r="E4606" s="3" t="s">
        <v>5023</v>
      </c>
      <c r="F4606" s="3" t="s">
        <v>5030</v>
      </c>
      <c r="G4606" s="3" t="s">
        <v>5037</v>
      </c>
      <c r="H4606" s="3" t="s">
        <v>8826</v>
      </c>
      <c r="I4606" s="17">
        <v>45731</v>
      </c>
      <c r="J4606" s="18">
        <f>YEAR(Tabla1[[#This Row],[FECHA DE COMPRA]])</f>
        <v>2025</v>
      </c>
      <c r="K4606" s="19">
        <v>189.07</v>
      </c>
      <c r="L4606" s="20">
        <v>0.3</v>
      </c>
      <c r="M4606" s="19">
        <f>Tienda!$K4402-Tienda!$K4402*Tienda!$L4402</f>
        <v>113.666</v>
      </c>
      <c r="N4606" s="3" t="s">
        <v>10038</v>
      </c>
      <c r="O4606" s="3" t="s">
        <v>10041</v>
      </c>
      <c r="P4606" s="17">
        <v>45731</v>
      </c>
      <c r="Q4606" s="4">
        <v>0</v>
      </c>
    </row>
    <row r="4607" spans="1:17" ht="30" x14ac:dyDescent="0.25">
      <c r="A4607" s="2" t="s">
        <v>26</v>
      </c>
      <c r="B4607" s="3" t="s">
        <v>5015</v>
      </c>
      <c r="C4607" s="3">
        <v>58</v>
      </c>
      <c r="D4607" s="46" t="str">
        <f>IF(Tabla1[[#This Row],[EDAD]]&lt;=35,"Adultos jóvenes 18 - 35 años",IF(C4607&gt;=36,"Adultos mayores 36 años en adelante"))</f>
        <v>Adultos mayores 36 años en adelante</v>
      </c>
      <c r="E4607" s="3" t="s">
        <v>5020</v>
      </c>
      <c r="F4607" s="3" t="s">
        <v>5025</v>
      </c>
      <c r="G4607" s="3" t="s">
        <v>5037</v>
      </c>
      <c r="H4607" s="3" t="s">
        <v>5049</v>
      </c>
      <c r="I4607" s="17">
        <v>45701</v>
      </c>
      <c r="J4607" s="18">
        <f>YEAR(Tabla1[[#This Row],[FECHA DE COMPRA]])</f>
        <v>2025</v>
      </c>
      <c r="K4607" s="19">
        <v>11.43</v>
      </c>
      <c r="L4607" s="20">
        <v>0</v>
      </c>
      <c r="M4607" s="19">
        <f>Tienda!$K4403-Tienda!$K4403*Tienda!$L4403</f>
        <v>115.17099999999999</v>
      </c>
      <c r="N4607" s="3" t="s">
        <v>10038</v>
      </c>
      <c r="O4607" s="3" t="s">
        <v>10041</v>
      </c>
      <c r="P4607" s="17">
        <v>45661</v>
      </c>
      <c r="Q4607" s="4">
        <v>0</v>
      </c>
    </row>
    <row r="4608" spans="1:17" ht="30" x14ac:dyDescent="0.25">
      <c r="A4608" s="2" t="s">
        <v>4137</v>
      </c>
      <c r="B4608" s="3" t="s">
        <v>5015</v>
      </c>
      <c r="C4608" s="3">
        <v>53</v>
      </c>
      <c r="D4608" s="46" t="str">
        <f>IF(Tabla1[[#This Row],[EDAD]]&lt;=35,"Adultos jóvenes 18 - 35 años",IF(C4608&gt;=36,"Adultos mayores 36 años en adelante"))</f>
        <v>Adultos mayores 36 años en adelante</v>
      </c>
      <c r="E4608" s="3" t="s">
        <v>5018</v>
      </c>
      <c r="F4608" s="3" t="s">
        <v>5024</v>
      </c>
      <c r="G4608" s="3" t="s">
        <v>5033</v>
      </c>
      <c r="H4608" s="3" t="s">
        <v>9160</v>
      </c>
      <c r="I4608" s="17">
        <v>45670</v>
      </c>
      <c r="J4608" s="18">
        <f>YEAR(Tabla1[[#This Row],[FECHA DE COMPRA]])</f>
        <v>2025</v>
      </c>
      <c r="K4608" s="19">
        <v>26.04</v>
      </c>
      <c r="L4608" s="20">
        <v>0.3</v>
      </c>
      <c r="M4608" s="19">
        <f>Tienda!$K4407-Tienda!$K4407*Tienda!$L4407</f>
        <v>116.68299999999999</v>
      </c>
      <c r="N4608" s="3" t="s">
        <v>10038</v>
      </c>
      <c r="O4608" s="3" t="s">
        <v>10041</v>
      </c>
      <c r="P4608" s="17">
        <v>45670</v>
      </c>
      <c r="Q4608" s="4">
        <v>0</v>
      </c>
    </row>
    <row r="4609" spans="1:17" ht="30" x14ac:dyDescent="0.25">
      <c r="A4609" s="2" t="s">
        <v>2799</v>
      </c>
      <c r="B4609" s="3" t="s">
        <v>5015</v>
      </c>
      <c r="C4609" s="3">
        <v>54</v>
      </c>
      <c r="D4609" s="46" t="str">
        <f>IF(Tabla1[[#This Row],[EDAD]]&lt;=35,"Adultos jóvenes 18 - 35 años",IF(C4609&gt;=36,"Adultos mayores 36 años en adelante"))</f>
        <v>Adultos mayores 36 años en adelante</v>
      </c>
      <c r="E4609" s="3" t="s">
        <v>5019</v>
      </c>
      <c r="F4609" s="3" t="s">
        <v>5029</v>
      </c>
      <c r="G4609" s="3" t="s">
        <v>5036</v>
      </c>
      <c r="H4609" s="3" t="s">
        <v>7822</v>
      </c>
      <c r="I4609" s="17">
        <v>45701</v>
      </c>
      <c r="J4609" s="18">
        <f>YEAR(Tabla1[[#This Row],[FECHA DE COMPRA]])</f>
        <v>2025</v>
      </c>
      <c r="K4609" s="19">
        <v>67.34</v>
      </c>
      <c r="L4609" s="20">
        <v>0.3</v>
      </c>
      <c r="M4609" s="19">
        <f>Tienda!$K4413-Tienda!$K4413*Tienda!$L4413</f>
        <v>117.40499999999999</v>
      </c>
      <c r="N4609" s="3" t="s">
        <v>10038</v>
      </c>
      <c r="O4609" s="3" t="s">
        <v>10041</v>
      </c>
      <c r="P4609" s="17">
        <v>45685</v>
      </c>
      <c r="Q4609" s="4">
        <v>0</v>
      </c>
    </row>
    <row r="4610" spans="1:17" ht="30" x14ac:dyDescent="0.25">
      <c r="A4610" s="2" t="s">
        <v>4193</v>
      </c>
      <c r="B4610" s="3" t="s">
        <v>5015</v>
      </c>
      <c r="C4610" s="3">
        <v>57</v>
      </c>
      <c r="D4610" s="46" t="str">
        <f>IF(Tabla1[[#This Row],[EDAD]]&lt;=35,"Adultos jóvenes 18 - 35 años",IF(C4610&gt;=36,"Adultos mayores 36 años en adelante"))</f>
        <v>Adultos mayores 36 años en adelante</v>
      </c>
      <c r="E4610" s="3" t="s">
        <v>5018</v>
      </c>
      <c r="F4610" s="3" t="s">
        <v>5025</v>
      </c>
      <c r="G4610" s="3" t="s">
        <v>5037</v>
      </c>
      <c r="H4610" s="3" t="s">
        <v>9216</v>
      </c>
      <c r="I4610" s="17">
        <v>45701</v>
      </c>
      <c r="J4610" s="18">
        <f>YEAR(Tabla1[[#This Row],[FECHA DE COMPRA]])</f>
        <v>2025</v>
      </c>
      <c r="K4610" s="19">
        <v>67.87</v>
      </c>
      <c r="L4610" s="20">
        <v>0</v>
      </c>
      <c r="M4610" s="19">
        <f>Tienda!$K4414-Tienda!$K4414*Tienda!$L4414</f>
        <v>118.104</v>
      </c>
      <c r="N4610" s="3" t="s">
        <v>10038</v>
      </c>
      <c r="O4610" s="3" t="s">
        <v>10041</v>
      </c>
      <c r="P4610" s="17">
        <v>45666</v>
      </c>
      <c r="Q4610" s="4">
        <v>0</v>
      </c>
    </row>
    <row r="4611" spans="1:17" ht="30" x14ac:dyDescent="0.25">
      <c r="A4611" s="2" t="s">
        <v>2058</v>
      </c>
      <c r="B4611" s="3" t="s">
        <v>5015</v>
      </c>
      <c r="C4611" s="3">
        <v>50</v>
      </c>
      <c r="D4611" s="46" t="str">
        <f>IF(Tabla1[[#This Row],[EDAD]]&lt;=35,"Adultos jóvenes 18 - 35 años",IF(C4611&gt;=36,"Adultos mayores 36 años en adelante"))</f>
        <v>Adultos mayores 36 años en adelante</v>
      </c>
      <c r="E4611" s="3" t="s">
        <v>5022</v>
      </c>
      <c r="F4611" s="3" t="s">
        <v>5028</v>
      </c>
      <c r="G4611" s="3" t="s">
        <v>5036</v>
      </c>
      <c r="H4611" s="3" t="s">
        <v>7081</v>
      </c>
      <c r="I4611" s="17">
        <v>45701</v>
      </c>
      <c r="J4611" s="18">
        <f>YEAR(Tabla1[[#This Row],[FECHA DE COMPRA]])</f>
        <v>2025</v>
      </c>
      <c r="K4611" s="19">
        <v>68.84</v>
      </c>
      <c r="L4611" s="20">
        <v>0</v>
      </c>
      <c r="M4611" s="19">
        <f>Tienda!$K4415-Tienda!$K4415*Tienda!$L4415</f>
        <v>118.328</v>
      </c>
      <c r="N4611" s="3" t="s">
        <v>10038</v>
      </c>
      <c r="O4611" s="3" t="s">
        <v>10041</v>
      </c>
      <c r="P4611" s="17">
        <v>45684</v>
      </c>
      <c r="Q4611" s="4">
        <v>0</v>
      </c>
    </row>
    <row r="4612" spans="1:17" ht="30" x14ac:dyDescent="0.25">
      <c r="A4612" s="2" t="s">
        <v>256</v>
      </c>
      <c r="B4612" s="3" t="s">
        <v>5015</v>
      </c>
      <c r="C4612" s="3">
        <v>45</v>
      </c>
      <c r="D4612" s="46" t="str">
        <f>IF(Tabla1[[#This Row],[EDAD]]&lt;=35,"Adultos jóvenes 18 - 35 años",IF(C4612&gt;=36,"Adultos mayores 36 años en adelante"))</f>
        <v>Adultos mayores 36 años en adelante</v>
      </c>
      <c r="E4612" s="3" t="s">
        <v>5020</v>
      </c>
      <c r="F4612" s="3" t="s">
        <v>5027</v>
      </c>
      <c r="G4612" s="3" t="s">
        <v>5034</v>
      </c>
      <c r="H4612" s="3" t="s">
        <v>5279</v>
      </c>
      <c r="I4612" s="17">
        <v>45673</v>
      </c>
      <c r="J4612" s="18">
        <f>YEAR(Tabla1[[#This Row],[FECHA DE COMPRA]])</f>
        <v>2025</v>
      </c>
      <c r="K4612" s="19">
        <v>70.430000000000007</v>
      </c>
      <c r="L4612" s="20">
        <v>0.1</v>
      </c>
      <c r="M4612" s="19">
        <f>Tienda!$K4416-Tienda!$K4416*Tienda!$L4416</f>
        <v>119.20499999999998</v>
      </c>
      <c r="N4612" s="3" t="s">
        <v>10038</v>
      </c>
      <c r="O4612" s="3" t="s">
        <v>10041</v>
      </c>
      <c r="P4612" s="17">
        <v>45673</v>
      </c>
      <c r="Q4612" s="4">
        <v>0</v>
      </c>
    </row>
    <row r="4613" spans="1:17" ht="30" x14ac:dyDescent="0.25">
      <c r="A4613" s="2" t="s">
        <v>2444</v>
      </c>
      <c r="B4613" s="3" t="s">
        <v>5016</v>
      </c>
      <c r="C4613" s="3">
        <v>46</v>
      </c>
      <c r="D4613" s="46" t="str">
        <f>IF(Tabla1[[#This Row],[EDAD]]&lt;=35,"Adultos jóvenes 18 - 35 años",IF(C4613&gt;=36,"Adultos mayores 36 años en adelante"))</f>
        <v>Adultos mayores 36 años en adelante</v>
      </c>
      <c r="E4613" s="3" t="s">
        <v>5021</v>
      </c>
      <c r="F4613" s="3" t="s">
        <v>5026</v>
      </c>
      <c r="G4613" s="3" t="s">
        <v>5033</v>
      </c>
      <c r="H4613" s="3" t="s">
        <v>7467</v>
      </c>
      <c r="I4613" s="17">
        <v>45660</v>
      </c>
      <c r="J4613" s="18">
        <f>YEAR(Tabla1[[#This Row],[FECHA DE COMPRA]])</f>
        <v>2025</v>
      </c>
      <c r="K4613" s="19">
        <v>76.489999999999995</v>
      </c>
      <c r="L4613" s="20">
        <v>0.2</v>
      </c>
      <c r="M4613" s="19">
        <f>Tienda!$K4418-Tienda!$K4418*Tienda!$L4418</f>
        <v>119.553</v>
      </c>
      <c r="N4613" s="3" t="s">
        <v>10038</v>
      </c>
      <c r="O4613" s="3" t="s">
        <v>10041</v>
      </c>
      <c r="P4613" s="17">
        <v>45660</v>
      </c>
      <c r="Q4613" s="4">
        <v>0</v>
      </c>
    </row>
    <row r="4614" spans="1:17" ht="30" x14ac:dyDescent="0.25">
      <c r="A4614" s="2" t="s">
        <v>2788</v>
      </c>
      <c r="B4614" s="3" t="s">
        <v>5015</v>
      </c>
      <c r="C4614" s="3">
        <v>51</v>
      </c>
      <c r="D4614" s="46" t="str">
        <f>IF(Tabla1[[#This Row],[EDAD]]&lt;=35,"Adultos jóvenes 18 - 35 años",IF(C4614&gt;=36,"Adultos mayores 36 años en adelante"))</f>
        <v>Adultos mayores 36 años en adelante</v>
      </c>
      <c r="E4614" s="3" t="s">
        <v>5018</v>
      </c>
      <c r="F4614" s="3" t="s">
        <v>5030</v>
      </c>
      <c r="G4614" s="3" t="s">
        <v>5032</v>
      </c>
      <c r="H4614" s="3" t="s">
        <v>7811</v>
      </c>
      <c r="I4614" s="17">
        <v>45701</v>
      </c>
      <c r="J4614" s="18">
        <f>YEAR(Tabla1[[#This Row],[FECHA DE COMPRA]])</f>
        <v>2025</v>
      </c>
      <c r="K4614" s="19">
        <v>85</v>
      </c>
      <c r="L4614" s="20">
        <v>0.3</v>
      </c>
      <c r="M4614" s="19">
        <f>Tienda!$K4421-Tienda!$K4421*Tienda!$L4421</f>
        <v>120.715</v>
      </c>
      <c r="N4614" s="3" t="s">
        <v>10038</v>
      </c>
      <c r="O4614" s="3" t="s">
        <v>10041</v>
      </c>
      <c r="P4614" s="17">
        <v>45685</v>
      </c>
      <c r="Q4614" s="4">
        <v>0</v>
      </c>
    </row>
    <row r="4615" spans="1:17" ht="30" x14ac:dyDescent="0.25">
      <c r="A4615" s="2" t="s">
        <v>334</v>
      </c>
      <c r="B4615" s="3" t="s">
        <v>5015</v>
      </c>
      <c r="C4615" s="3">
        <v>43</v>
      </c>
      <c r="D4615" s="46" t="str">
        <f>IF(Tabla1[[#This Row],[EDAD]]&lt;=35,"Adultos jóvenes 18 - 35 años",IF(C4615&gt;=36,"Adultos mayores 36 años en adelante"))</f>
        <v>Adultos mayores 36 años en adelante</v>
      </c>
      <c r="E4615" s="3" t="s">
        <v>5017</v>
      </c>
      <c r="F4615" s="3" t="s">
        <v>5030</v>
      </c>
      <c r="G4615" s="3" t="s">
        <v>5035</v>
      </c>
      <c r="H4615" s="3" t="s">
        <v>5357</v>
      </c>
      <c r="I4615" s="17">
        <v>45701</v>
      </c>
      <c r="J4615" s="18">
        <f>YEAR(Tabla1[[#This Row],[FECHA DE COMPRA]])</f>
        <v>2025</v>
      </c>
      <c r="K4615" s="19">
        <v>85.74</v>
      </c>
      <c r="L4615" s="20">
        <v>0</v>
      </c>
      <c r="M4615" s="19">
        <f>Tienda!$K4422-Tienda!$K4422*Tienda!$L4422</f>
        <v>120.80799999999999</v>
      </c>
      <c r="N4615" s="3" t="s">
        <v>10038</v>
      </c>
      <c r="O4615" s="3" t="s">
        <v>10041</v>
      </c>
      <c r="P4615" s="17">
        <v>45666</v>
      </c>
      <c r="Q4615" s="4">
        <v>0</v>
      </c>
    </row>
    <row r="4616" spans="1:17" ht="30" x14ac:dyDescent="0.25">
      <c r="A4616" s="2" t="s">
        <v>1917</v>
      </c>
      <c r="B4616" s="3" t="s">
        <v>5016</v>
      </c>
      <c r="C4616" s="3">
        <v>43</v>
      </c>
      <c r="D4616" s="46" t="str">
        <f>IF(Tabla1[[#This Row],[EDAD]]&lt;=35,"Adultos jóvenes 18 - 35 años",IF(C4616&gt;=36,"Adultos mayores 36 años en adelante"))</f>
        <v>Adultos mayores 36 años en adelante</v>
      </c>
      <c r="E4616" s="3" t="s">
        <v>5017</v>
      </c>
      <c r="F4616" s="3" t="s">
        <v>5026</v>
      </c>
      <c r="G4616" s="3" t="s">
        <v>5037</v>
      </c>
      <c r="H4616" s="3" t="s">
        <v>6940</v>
      </c>
      <c r="I4616" s="17">
        <v>45659</v>
      </c>
      <c r="J4616" s="18">
        <f>YEAR(Tabla1[[#This Row],[FECHA DE COMPRA]])</f>
        <v>2025</v>
      </c>
      <c r="K4616" s="19">
        <v>96.29</v>
      </c>
      <c r="L4616" s="20">
        <v>0.3</v>
      </c>
      <c r="M4616" s="19">
        <f>Tienda!$K4423-Tienda!$K4423*Tienda!$L4423</f>
        <v>120.82</v>
      </c>
      <c r="N4616" s="3" t="s">
        <v>10038</v>
      </c>
      <c r="O4616" s="3" t="s">
        <v>10041</v>
      </c>
      <c r="P4616" s="17">
        <v>45659</v>
      </c>
      <c r="Q4616" s="4">
        <v>0</v>
      </c>
    </row>
    <row r="4617" spans="1:17" ht="30" x14ac:dyDescent="0.25">
      <c r="A4617" s="2" t="s">
        <v>643</v>
      </c>
      <c r="B4617" s="3" t="s">
        <v>5015</v>
      </c>
      <c r="C4617" s="3">
        <v>47</v>
      </c>
      <c r="D4617" s="46" t="str">
        <f>IF(Tabla1[[#This Row],[EDAD]]&lt;=35,"Adultos jóvenes 18 - 35 años",IF(C4617&gt;=36,"Adultos mayores 36 años en adelante"))</f>
        <v>Adultos mayores 36 años en adelante</v>
      </c>
      <c r="E4617" s="3" t="s">
        <v>5019</v>
      </c>
      <c r="F4617" s="3" t="s">
        <v>5028</v>
      </c>
      <c r="G4617" s="3" t="s">
        <v>5035</v>
      </c>
      <c r="H4617" s="3" t="s">
        <v>5666</v>
      </c>
      <c r="I4617" s="17">
        <v>45701</v>
      </c>
      <c r="J4617" s="18">
        <f>YEAR(Tabla1[[#This Row],[FECHA DE COMPRA]])</f>
        <v>2025</v>
      </c>
      <c r="K4617" s="19">
        <v>103.13</v>
      </c>
      <c r="L4617" s="20">
        <v>0.2</v>
      </c>
      <c r="M4617" s="19">
        <f>Tienda!$K4424-Tienda!$K4424*Tienda!$L4424</f>
        <v>121.17</v>
      </c>
      <c r="N4617" s="3" t="s">
        <v>10038</v>
      </c>
      <c r="O4617" s="3" t="s">
        <v>10041</v>
      </c>
      <c r="P4617" s="17">
        <v>45677</v>
      </c>
      <c r="Q4617" s="4">
        <v>0</v>
      </c>
    </row>
    <row r="4618" spans="1:17" ht="30" x14ac:dyDescent="0.25">
      <c r="A4618" s="2" t="s">
        <v>3588</v>
      </c>
      <c r="B4618" s="3" t="s">
        <v>5015</v>
      </c>
      <c r="C4618" s="3">
        <v>48</v>
      </c>
      <c r="D4618" s="46" t="str">
        <f>IF(Tabla1[[#This Row],[EDAD]]&lt;=35,"Adultos jóvenes 18 - 35 años",IF(C4618&gt;=36,"Adultos mayores 36 años en adelante"))</f>
        <v>Adultos mayores 36 años en adelante</v>
      </c>
      <c r="E4618" s="3" t="s">
        <v>5023</v>
      </c>
      <c r="F4618" s="3" t="s">
        <v>5025</v>
      </c>
      <c r="G4618" s="3" t="s">
        <v>5036</v>
      </c>
      <c r="H4618" s="3" t="s">
        <v>8611</v>
      </c>
      <c r="I4618" s="17">
        <v>45701</v>
      </c>
      <c r="J4618" s="18">
        <f>YEAR(Tabla1[[#This Row],[FECHA DE COMPRA]])</f>
        <v>2025</v>
      </c>
      <c r="K4618" s="19">
        <v>103.18</v>
      </c>
      <c r="L4618" s="20">
        <v>0.2</v>
      </c>
      <c r="M4618" s="19">
        <f>Tienda!$K4425-Tienda!$K4425*Tienda!$L4425</f>
        <v>121.21600000000001</v>
      </c>
      <c r="N4618" s="3" t="s">
        <v>10038</v>
      </c>
      <c r="O4618" s="3" t="s">
        <v>10041</v>
      </c>
      <c r="P4618" s="17">
        <v>45679</v>
      </c>
      <c r="Q4618" s="4">
        <v>0</v>
      </c>
    </row>
    <row r="4619" spans="1:17" ht="30" x14ac:dyDescent="0.25">
      <c r="A4619" s="2" t="s">
        <v>4604</v>
      </c>
      <c r="B4619" s="3" t="s">
        <v>5015</v>
      </c>
      <c r="C4619" s="3">
        <v>44</v>
      </c>
      <c r="D4619" s="46" t="str">
        <f>IF(Tabla1[[#This Row],[EDAD]]&lt;=35,"Adultos jóvenes 18 - 35 años",IF(C4619&gt;=36,"Adultos mayores 36 años en adelante"))</f>
        <v>Adultos mayores 36 años en adelante</v>
      </c>
      <c r="E4619" s="3" t="s">
        <v>5017</v>
      </c>
      <c r="F4619" s="3" t="s">
        <v>5030</v>
      </c>
      <c r="G4619" s="3" t="s">
        <v>5036</v>
      </c>
      <c r="H4619" s="3" t="s">
        <v>9627</v>
      </c>
      <c r="I4619" s="17">
        <v>45701</v>
      </c>
      <c r="J4619" s="18">
        <f>YEAR(Tabla1[[#This Row],[FECHA DE COMPRA]])</f>
        <v>2025</v>
      </c>
      <c r="K4619" s="19">
        <v>111.01</v>
      </c>
      <c r="L4619" s="20">
        <v>0.3</v>
      </c>
      <c r="M4619" s="19">
        <f>Tienda!$K4426-Tienda!$K4426*Tienda!$L4426</f>
        <v>122.76899999999999</v>
      </c>
      <c r="N4619" s="3" t="s">
        <v>10038</v>
      </c>
      <c r="O4619" s="3" t="s">
        <v>10041</v>
      </c>
      <c r="P4619" s="17">
        <v>45674</v>
      </c>
      <c r="Q4619" s="4">
        <v>0</v>
      </c>
    </row>
    <row r="4620" spans="1:17" ht="30" x14ac:dyDescent="0.25">
      <c r="A4620" s="2" t="s">
        <v>4501</v>
      </c>
      <c r="B4620" s="3" t="s">
        <v>5015</v>
      </c>
      <c r="C4620" s="3">
        <v>45</v>
      </c>
      <c r="D4620" s="46" t="str">
        <f>IF(Tabla1[[#This Row],[EDAD]]&lt;=35,"Adultos jóvenes 18 - 35 años",IF(C4620&gt;=36,"Adultos mayores 36 años en adelante"))</f>
        <v>Adultos mayores 36 años en adelante</v>
      </c>
      <c r="E4620" s="3" t="s">
        <v>5017</v>
      </c>
      <c r="F4620" s="3" t="s">
        <v>5026</v>
      </c>
      <c r="G4620" s="3" t="s">
        <v>5034</v>
      </c>
      <c r="H4620" s="3" t="s">
        <v>9524</v>
      </c>
      <c r="I4620" s="17">
        <v>45688</v>
      </c>
      <c r="J4620" s="18">
        <f>YEAR(Tabla1[[#This Row],[FECHA DE COMPRA]])</f>
        <v>2025</v>
      </c>
      <c r="K4620" s="19">
        <v>123.46</v>
      </c>
      <c r="L4620" s="20">
        <v>0.1</v>
      </c>
      <c r="M4620" s="19">
        <f>Tienda!$K4428-Tienda!$K4428*Tienda!$L4428</f>
        <v>122.92200000000001</v>
      </c>
      <c r="N4620" s="3" t="s">
        <v>10038</v>
      </c>
      <c r="O4620" s="3" t="s">
        <v>10041</v>
      </c>
      <c r="P4620" s="17">
        <v>45688</v>
      </c>
      <c r="Q4620" s="4">
        <v>0</v>
      </c>
    </row>
    <row r="4621" spans="1:17" ht="30" x14ac:dyDescent="0.25">
      <c r="A4621" s="2" t="s">
        <v>4677</v>
      </c>
      <c r="B4621" s="3" t="s">
        <v>5016</v>
      </c>
      <c r="C4621" s="3">
        <v>40</v>
      </c>
      <c r="D4621" s="46" t="str">
        <f>IF(Tabla1[[#This Row],[EDAD]]&lt;=35,"Adultos jóvenes 18 - 35 años",IF(C4621&gt;=36,"Adultos mayores 36 años en adelante"))</f>
        <v>Adultos mayores 36 años en adelante</v>
      </c>
      <c r="E4621" s="3" t="s">
        <v>5021</v>
      </c>
      <c r="F4621" s="3" t="s">
        <v>5028</v>
      </c>
      <c r="G4621" s="3" t="s">
        <v>5035</v>
      </c>
      <c r="H4621" s="3" t="s">
        <v>9700</v>
      </c>
      <c r="I4621" s="17">
        <v>45673</v>
      </c>
      <c r="J4621" s="18">
        <f>YEAR(Tabla1[[#This Row],[FECHA DE COMPRA]])</f>
        <v>2025</v>
      </c>
      <c r="K4621" s="19">
        <v>125.16</v>
      </c>
      <c r="L4621" s="20">
        <v>0.3</v>
      </c>
      <c r="M4621" s="19">
        <f>Tienda!$K4430-Tienda!$K4430*Tienda!$L4430</f>
        <v>123.86499999999999</v>
      </c>
      <c r="N4621" s="3" t="s">
        <v>10038</v>
      </c>
      <c r="O4621" s="3" t="s">
        <v>10041</v>
      </c>
      <c r="P4621" s="17">
        <v>45673</v>
      </c>
      <c r="Q4621" s="4">
        <v>0</v>
      </c>
    </row>
    <row r="4622" spans="1:17" ht="30" x14ac:dyDescent="0.25">
      <c r="A4622" s="2" t="s">
        <v>811</v>
      </c>
      <c r="B4622" s="3" t="s">
        <v>5015</v>
      </c>
      <c r="C4622" s="3">
        <v>65</v>
      </c>
      <c r="D4622" s="46" t="str">
        <f>IF(Tabla1[[#This Row],[EDAD]]&lt;=35,"Adultos jóvenes 18 - 35 años",IF(C4622&gt;=36,"Adultos mayores 36 años en adelante"))</f>
        <v>Adultos mayores 36 años en adelante</v>
      </c>
      <c r="E4622" s="3" t="s">
        <v>5018</v>
      </c>
      <c r="F4622" s="3" t="s">
        <v>5027</v>
      </c>
      <c r="G4622" s="3" t="s">
        <v>5031</v>
      </c>
      <c r="H4622" s="3" t="s">
        <v>5834</v>
      </c>
      <c r="I4622" s="17">
        <v>45677</v>
      </c>
      <c r="J4622" s="18">
        <f>YEAR(Tabla1[[#This Row],[FECHA DE COMPRA]])</f>
        <v>2025</v>
      </c>
      <c r="K4622" s="19">
        <v>142.16999999999999</v>
      </c>
      <c r="L4622" s="20">
        <v>0.1</v>
      </c>
      <c r="M4622" s="19">
        <f>Tienda!$K4431-Tienda!$K4431*Tienda!$L4431</f>
        <v>124.46</v>
      </c>
      <c r="N4622" s="3" t="s">
        <v>10038</v>
      </c>
      <c r="O4622" s="3" t="s">
        <v>10041</v>
      </c>
      <c r="P4622" s="17">
        <v>45677</v>
      </c>
      <c r="Q4622" s="4">
        <v>0</v>
      </c>
    </row>
    <row r="4623" spans="1:17" ht="30" x14ac:dyDescent="0.25">
      <c r="A4623" s="2" t="s">
        <v>1791</v>
      </c>
      <c r="B4623" s="3" t="s">
        <v>5015</v>
      </c>
      <c r="C4623" s="3">
        <v>55</v>
      </c>
      <c r="D4623" s="46" t="str">
        <f>IF(Tabla1[[#This Row],[EDAD]]&lt;=35,"Adultos jóvenes 18 - 35 años",IF(C4623&gt;=36,"Adultos mayores 36 años en adelante"))</f>
        <v>Adultos mayores 36 años en adelante</v>
      </c>
      <c r="E4623" s="3" t="s">
        <v>5022</v>
      </c>
      <c r="F4623" s="3" t="s">
        <v>5025</v>
      </c>
      <c r="G4623" s="3" t="s">
        <v>5032</v>
      </c>
      <c r="H4623" s="3" t="s">
        <v>6814</v>
      </c>
      <c r="I4623" s="17">
        <v>45685</v>
      </c>
      <c r="J4623" s="18">
        <f>YEAR(Tabla1[[#This Row],[FECHA DE COMPRA]])</f>
        <v>2025</v>
      </c>
      <c r="K4623" s="19">
        <v>147.72999999999999</v>
      </c>
      <c r="L4623" s="20">
        <v>0.3</v>
      </c>
      <c r="M4623" s="19">
        <f>Tienda!$K4432-Tienda!$K4432*Tienda!$L4432</f>
        <v>124.875</v>
      </c>
      <c r="N4623" s="3" t="s">
        <v>10038</v>
      </c>
      <c r="O4623" s="3" t="s">
        <v>10041</v>
      </c>
      <c r="P4623" s="17">
        <v>45685</v>
      </c>
      <c r="Q4623" s="4">
        <v>0</v>
      </c>
    </row>
    <row r="4624" spans="1:17" ht="30" x14ac:dyDescent="0.25">
      <c r="A4624" s="2" t="s">
        <v>3907</v>
      </c>
      <c r="B4624" s="3" t="s">
        <v>5015</v>
      </c>
      <c r="C4624" s="3">
        <v>56</v>
      </c>
      <c r="D4624" s="46" t="str">
        <f>IF(Tabla1[[#This Row],[EDAD]]&lt;=35,"Adultos jóvenes 18 - 35 años",IF(C4624&gt;=36,"Adultos mayores 36 años en adelante"))</f>
        <v>Adultos mayores 36 años en adelante</v>
      </c>
      <c r="E4624" s="3" t="s">
        <v>5017</v>
      </c>
      <c r="F4624" s="3" t="s">
        <v>5029</v>
      </c>
      <c r="G4624" s="3" t="s">
        <v>5034</v>
      </c>
      <c r="H4624" s="3" t="s">
        <v>8930</v>
      </c>
      <c r="I4624" s="17">
        <v>45661</v>
      </c>
      <c r="J4624" s="18">
        <f>YEAR(Tabla1[[#This Row],[FECHA DE COMPRA]])</f>
        <v>2025</v>
      </c>
      <c r="K4624" s="19">
        <v>151.99</v>
      </c>
      <c r="L4624" s="20">
        <v>0.2</v>
      </c>
      <c r="M4624" s="19">
        <f>Tienda!$K4433-Tienda!$K4433*Tienda!$L4433</f>
        <v>125.01300000000001</v>
      </c>
      <c r="N4624" s="3" t="s">
        <v>10038</v>
      </c>
      <c r="O4624" s="3" t="s">
        <v>10041</v>
      </c>
      <c r="P4624" s="17">
        <v>45661</v>
      </c>
      <c r="Q4624" s="4">
        <v>0</v>
      </c>
    </row>
    <row r="4625" spans="1:17" ht="30" x14ac:dyDescent="0.25">
      <c r="A4625" s="2" t="s">
        <v>1943</v>
      </c>
      <c r="B4625" s="3" t="s">
        <v>5016</v>
      </c>
      <c r="C4625" s="3">
        <v>38</v>
      </c>
      <c r="D4625" s="46" t="str">
        <f>IF(Tabla1[[#This Row],[EDAD]]&lt;=35,"Adultos jóvenes 18 - 35 años",IF(C4625&gt;=36,"Adultos mayores 36 años en adelante"))</f>
        <v>Adultos mayores 36 años en adelante</v>
      </c>
      <c r="E4625" s="3" t="s">
        <v>5021</v>
      </c>
      <c r="F4625" s="3" t="s">
        <v>5025</v>
      </c>
      <c r="G4625" s="3" t="s">
        <v>5032</v>
      </c>
      <c r="H4625" s="3" t="s">
        <v>6966</v>
      </c>
      <c r="I4625" s="17">
        <v>45659</v>
      </c>
      <c r="J4625" s="18">
        <f>YEAR(Tabla1[[#This Row],[FECHA DE COMPRA]])</f>
        <v>2025</v>
      </c>
      <c r="K4625" s="19">
        <v>153.74</v>
      </c>
      <c r="L4625" s="20">
        <v>0.2</v>
      </c>
      <c r="M4625" s="19">
        <f>Tienda!$K4434-Tienda!$K4434*Tienda!$L4434</f>
        <v>125.24</v>
      </c>
      <c r="N4625" s="3" t="s">
        <v>10038</v>
      </c>
      <c r="O4625" s="3" t="s">
        <v>10041</v>
      </c>
      <c r="P4625" s="17">
        <v>45659</v>
      </c>
      <c r="Q4625" s="4">
        <v>0</v>
      </c>
    </row>
    <row r="4626" spans="1:17" ht="30" x14ac:dyDescent="0.25">
      <c r="A4626" s="2" t="s">
        <v>2499</v>
      </c>
      <c r="B4626" s="3" t="s">
        <v>5016</v>
      </c>
      <c r="C4626" s="3">
        <v>65</v>
      </c>
      <c r="D4626" s="46" t="str">
        <f>IF(Tabla1[[#This Row],[EDAD]]&lt;=35,"Adultos jóvenes 18 - 35 años",IF(C4626&gt;=36,"Adultos mayores 36 años en adelante"))</f>
        <v>Adultos mayores 36 años en adelante</v>
      </c>
      <c r="E4626" s="3" t="s">
        <v>5021</v>
      </c>
      <c r="F4626" s="3" t="s">
        <v>5024</v>
      </c>
      <c r="G4626" s="3" t="s">
        <v>5034</v>
      </c>
      <c r="H4626" s="3" t="s">
        <v>7522</v>
      </c>
      <c r="I4626" s="17">
        <v>45664</v>
      </c>
      <c r="J4626" s="18">
        <f>YEAR(Tabla1[[#This Row],[FECHA DE COMPRA]])</f>
        <v>2025</v>
      </c>
      <c r="K4626" s="19">
        <v>155.79</v>
      </c>
      <c r="L4626" s="20">
        <v>0.2</v>
      </c>
      <c r="M4626" s="19">
        <f>Tienda!$K4436-Tienda!$K4436*Tienda!$L4436</f>
        <v>125.69200000000001</v>
      </c>
      <c r="N4626" s="3" t="s">
        <v>10038</v>
      </c>
      <c r="O4626" s="3" t="s">
        <v>10041</v>
      </c>
      <c r="P4626" s="17">
        <v>45664</v>
      </c>
      <c r="Q4626" s="4">
        <v>0</v>
      </c>
    </row>
    <row r="4627" spans="1:17" ht="30" x14ac:dyDescent="0.25">
      <c r="A4627" s="2" t="s">
        <v>3724</v>
      </c>
      <c r="B4627" s="3" t="s">
        <v>5015</v>
      </c>
      <c r="C4627" s="3">
        <v>49</v>
      </c>
      <c r="D4627" s="46" t="str">
        <f>IF(Tabla1[[#This Row],[EDAD]]&lt;=35,"Adultos jóvenes 18 - 35 años",IF(C4627&gt;=36,"Adultos mayores 36 años en adelante"))</f>
        <v>Adultos mayores 36 años en adelante</v>
      </c>
      <c r="E4627" s="3" t="s">
        <v>5021</v>
      </c>
      <c r="F4627" s="3" t="s">
        <v>5028</v>
      </c>
      <c r="G4627" s="3" t="s">
        <v>5037</v>
      </c>
      <c r="H4627" s="3" t="s">
        <v>8747</v>
      </c>
      <c r="I4627" s="17">
        <v>45663</v>
      </c>
      <c r="J4627" s="18">
        <f>YEAR(Tabla1[[#This Row],[FECHA DE COMPRA]])</f>
        <v>2025</v>
      </c>
      <c r="K4627" s="19">
        <v>170.92</v>
      </c>
      <c r="L4627" s="20">
        <v>0</v>
      </c>
      <c r="M4627" s="19">
        <f>Tienda!$K4438-Tienda!$K4438*Tienda!$L4438</f>
        <v>126.01600000000001</v>
      </c>
      <c r="N4627" s="3" t="s">
        <v>10038</v>
      </c>
      <c r="O4627" s="3" t="s">
        <v>10041</v>
      </c>
      <c r="P4627" s="17">
        <v>45663</v>
      </c>
      <c r="Q4627" s="4">
        <v>0</v>
      </c>
    </row>
    <row r="4628" spans="1:17" ht="30" x14ac:dyDescent="0.25">
      <c r="A4628" s="2" t="s">
        <v>470</v>
      </c>
      <c r="B4628" s="3" t="s">
        <v>5015</v>
      </c>
      <c r="C4628" s="3">
        <v>46</v>
      </c>
      <c r="D4628" s="46" t="str">
        <f>IF(Tabla1[[#This Row],[EDAD]]&lt;=35,"Adultos jóvenes 18 - 35 años",IF(C4628&gt;=36,"Adultos mayores 36 años en adelante"))</f>
        <v>Adultos mayores 36 años en adelante</v>
      </c>
      <c r="E4628" s="3" t="s">
        <v>5022</v>
      </c>
      <c r="F4628" s="3" t="s">
        <v>5030</v>
      </c>
      <c r="G4628" s="3" t="s">
        <v>5032</v>
      </c>
      <c r="H4628" s="3" t="s">
        <v>5493</v>
      </c>
      <c r="I4628" s="17">
        <v>45685</v>
      </c>
      <c r="J4628" s="18">
        <f>YEAR(Tabla1[[#This Row],[FECHA DE COMPRA]])</f>
        <v>2025</v>
      </c>
      <c r="K4628" s="19">
        <v>171.55</v>
      </c>
      <c r="L4628" s="20">
        <v>0.3</v>
      </c>
      <c r="M4628" s="19">
        <f>Tienda!$K4439-Tienda!$K4439*Tienda!$L4439</f>
        <v>126.16</v>
      </c>
      <c r="N4628" s="3" t="s">
        <v>10038</v>
      </c>
      <c r="O4628" s="3" t="s">
        <v>10041</v>
      </c>
      <c r="P4628" s="17">
        <v>45685</v>
      </c>
      <c r="Q4628" s="4">
        <v>0</v>
      </c>
    </row>
    <row r="4629" spans="1:17" ht="30" x14ac:dyDescent="0.25">
      <c r="A4629" s="2" t="s">
        <v>1056</v>
      </c>
      <c r="B4629" s="3" t="s">
        <v>5015</v>
      </c>
      <c r="C4629" s="3">
        <v>49</v>
      </c>
      <c r="D4629" s="46" t="str">
        <f>IF(Tabla1[[#This Row],[EDAD]]&lt;=35,"Adultos jóvenes 18 - 35 años",IF(C4629&gt;=36,"Adultos mayores 36 años en adelante"))</f>
        <v>Adultos mayores 36 años en adelante</v>
      </c>
      <c r="E4629" s="3" t="s">
        <v>5018</v>
      </c>
      <c r="F4629" s="3" t="s">
        <v>5030</v>
      </c>
      <c r="G4629" s="3" t="s">
        <v>5036</v>
      </c>
      <c r="H4629" s="3" t="s">
        <v>6079</v>
      </c>
      <c r="I4629" s="17">
        <v>45675</v>
      </c>
      <c r="J4629" s="18">
        <f>YEAR(Tabla1[[#This Row],[FECHA DE COMPRA]])</f>
        <v>2025</v>
      </c>
      <c r="K4629" s="19">
        <v>176.57</v>
      </c>
      <c r="L4629" s="20">
        <v>0.1</v>
      </c>
      <c r="M4629" s="19">
        <f>Tienda!$K4441-Tienda!$K4441*Tienda!$L4441</f>
        <v>127.08800000000001</v>
      </c>
      <c r="N4629" s="3" t="s">
        <v>10038</v>
      </c>
      <c r="O4629" s="3" t="s">
        <v>10041</v>
      </c>
      <c r="P4629" s="17">
        <v>45675</v>
      </c>
      <c r="Q4629" s="4">
        <v>0</v>
      </c>
    </row>
    <row r="4630" spans="1:17" ht="30" x14ac:dyDescent="0.25">
      <c r="A4630" s="2" t="s">
        <v>3356</v>
      </c>
      <c r="B4630" s="3" t="s">
        <v>5015</v>
      </c>
      <c r="C4630" s="3">
        <v>51</v>
      </c>
      <c r="D4630" s="46" t="str">
        <f>IF(Tabla1[[#This Row],[EDAD]]&lt;=35,"Adultos jóvenes 18 - 35 años",IF(C4630&gt;=36,"Adultos mayores 36 años en adelante"))</f>
        <v>Adultos mayores 36 años en adelante</v>
      </c>
      <c r="E4630" s="3" t="s">
        <v>5019</v>
      </c>
      <c r="F4630" s="3" t="s">
        <v>5027</v>
      </c>
      <c r="G4630" s="3" t="s">
        <v>5035</v>
      </c>
      <c r="H4630" s="3" t="s">
        <v>8379</v>
      </c>
      <c r="I4630" s="17">
        <v>45667</v>
      </c>
      <c r="J4630" s="18">
        <f>YEAR(Tabla1[[#This Row],[FECHA DE COMPRA]])</f>
        <v>2025</v>
      </c>
      <c r="K4630" s="19">
        <v>183.63</v>
      </c>
      <c r="L4630" s="20">
        <v>0.1</v>
      </c>
      <c r="M4630" s="19">
        <f>Tienda!$K4442-Tienda!$K4442*Tienda!$L4442</f>
        <v>127.16099999999999</v>
      </c>
      <c r="N4630" s="3" t="s">
        <v>10038</v>
      </c>
      <c r="O4630" s="3" t="s">
        <v>10041</v>
      </c>
      <c r="P4630" s="17">
        <v>45667</v>
      </c>
      <c r="Q4630" s="4">
        <v>0</v>
      </c>
    </row>
    <row r="4631" spans="1:17" ht="30" x14ac:dyDescent="0.25">
      <c r="A4631" s="2" t="s">
        <v>4552</v>
      </c>
      <c r="B4631" s="3" t="s">
        <v>5015</v>
      </c>
      <c r="C4631" s="3">
        <v>51</v>
      </c>
      <c r="D4631" s="46" t="str">
        <f>IF(Tabla1[[#This Row],[EDAD]]&lt;=35,"Adultos jóvenes 18 - 35 años",IF(C4631&gt;=36,"Adultos mayores 36 años en adelante"))</f>
        <v>Adultos mayores 36 años en adelante</v>
      </c>
      <c r="E4631" s="3" t="s">
        <v>5019</v>
      </c>
      <c r="F4631" s="3" t="s">
        <v>5025</v>
      </c>
      <c r="G4631" s="3" t="s">
        <v>5036</v>
      </c>
      <c r="H4631" s="3" t="s">
        <v>9575</v>
      </c>
      <c r="I4631" s="17">
        <v>45701</v>
      </c>
      <c r="J4631" s="18">
        <f>YEAR(Tabla1[[#This Row],[FECHA DE COMPRA]])</f>
        <v>2025</v>
      </c>
      <c r="K4631" s="19">
        <v>192.88</v>
      </c>
      <c r="L4631" s="20">
        <v>0.1</v>
      </c>
      <c r="M4631" s="19">
        <f>Tienda!$K4445-Tienda!$K4445*Tienda!$L4445</f>
        <v>128.16800000000001</v>
      </c>
      <c r="N4631" s="3" t="s">
        <v>10038</v>
      </c>
      <c r="O4631" s="3" t="s">
        <v>10041</v>
      </c>
      <c r="P4631" s="17">
        <v>45672</v>
      </c>
      <c r="Q4631" s="4">
        <v>0</v>
      </c>
    </row>
    <row r="4632" spans="1:17" ht="30" x14ac:dyDescent="0.25">
      <c r="A4632" s="2" t="s">
        <v>1252</v>
      </c>
      <c r="B4632" s="3" t="s">
        <v>5015</v>
      </c>
      <c r="C4632" s="3">
        <v>62</v>
      </c>
      <c r="D4632" s="46" t="str">
        <f>IF(Tabla1[[#This Row],[EDAD]]&lt;=35,"Adultos jóvenes 18 - 35 años",IF(C4632&gt;=36,"Adultos mayores 36 años en adelante"))</f>
        <v>Adultos mayores 36 años en adelante</v>
      </c>
      <c r="E4632" s="3" t="s">
        <v>5017</v>
      </c>
      <c r="F4632" s="3" t="s">
        <v>5030</v>
      </c>
      <c r="G4632" s="3" t="s">
        <v>5037</v>
      </c>
      <c r="H4632" s="3" t="s">
        <v>6275</v>
      </c>
      <c r="I4632" s="17">
        <v>45701</v>
      </c>
      <c r="J4632" s="18">
        <f>YEAR(Tabla1[[#This Row],[FECHA DE COMPRA]])</f>
        <v>2025</v>
      </c>
      <c r="K4632" s="19">
        <v>196.73</v>
      </c>
      <c r="L4632" s="20">
        <v>0.3</v>
      </c>
      <c r="M4632" s="19">
        <f>Tienda!$K4446-Tienda!$K4446*Tienda!$L4446</f>
        <v>128.88900000000001</v>
      </c>
      <c r="N4632" s="3" t="s">
        <v>10038</v>
      </c>
      <c r="O4632" s="3" t="s">
        <v>10041</v>
      </c>
      <c r="P4632" s="17">
        <v>45669</v>
      </c>
      <c r="Q4632" s="4">
        <v>0</v>
      </c>
    </row>
    <row r="4633" spans="1:17" ht="30" x14ac:dyDescent="0.25">
      <c r="A4633" s="2" t="s">
        <v>4981</v>
      </c>
      <c r="B4633" s="3" t="s">
        <v>5015</v>
      </c>
      <c r="C4633" s="3">
        <v>53</v>
      </c>
      <c r="D4633" s="46" t="str">
        <f>IF(Tabla1[[#This Row],[EDAD]]&lt;=35,"Adultos jóvenes 18 - 35 años",IF(C4633&gt;=36,"Adultos mayores 36 años en adelante"))</f>
        <v>Adultos mayores 36 años en adelante</v>
      </c>
      <c r="E4633" s="3" t="s">
        <v>5022</v>
      </c>
      <c r="F4633" s="3" t="s">
        <v>5030</v>
      </c>
      <c r="G4633" s="3" t="s">
        <v>5035</v>
      </c>
      <c r="H4633" s="3" t="s">
        <v>10004</v>
      </c>
      <c r="I4633" s="17">
        <v>45689</v>
      </c>
      <c r="J4633" s="18">
        <f>YEAR(Tabla1[[#This Row],[FECHA DE COMPRA]])</f>
        <v>2025</v>
      </c>
      <c r="K4633" s="19">
        <v>61.82</v>
      </c>
      <c r="L4633" s="20">
        <v>0</v>
      </c>
      <c r="M4633" s="19">
        <f>Tienda!$K4447-Tienda!$K4447*Tienda!$L4447</f>
        <v>130.09</v>
      </c>
      <c r="N4633" s="3" t="s">
        <v>10038</v>
      </c>
      <c r="O4633" s="3" t="s">
        <v>10041</v>
      </c>
      <c r="P4633" s="17">
        <v>45689</v>
      </c>
      <c r="Q4633" s="4">
        <v>0</v>
      </c>
    </row>
    <row r="4634" spans="1:17" ht="30" x14ac:dyDescent="0.25">
      <c r="A4634" s="2" t="s">
        <v>2409</v>
      </c>
      <c r="B4634" s="3" t="s">
        <v>5015</v>
      </c>
      <c r="C4634" s="3">
        <v>58</v>
      </c>
      <c r="D4634" s="46" t="str">
        <f>IF(Tabla1[[#This Row],[EDAD]]&lt;=35,"Adultos jóvenes 18 - 35 años",IF(C4634&gt;=36,"Adultos mayores 36 años en adelante"))</f>
        <v>Adultos mayores 36 años en adelante</v>
      </c>
      <c r="E4634" s="3" t="s">
        <v>5018</v>
      </c>
      <c r="F4634" s="3" t="s">
        <v>5026</v>
      </c>
      <c r="G4634" s="3" t="s">
        <v>5036</v>
      </c>
      <c r="H4634" s="3" t="s">
        <v>7432</v>
      </c>
      <c r="I4634" s="17">
        <v>45689</v>
      </c>
      <c r="J4634" s="18">
        <f>YEAR(Tabla1[[#This Row],[FECHA DE COMPRA]])</f>
        <v>2025</v>
      </c>
      <c r="K4634" s="19">
        <v>96.72</v>
      </c>
      <c r="L4634" s="20">
        <v>0.2</v>
      </c>
      <c r="M4634" s="19">
        <f>Tienda!$K4448-Tienda!$K4448*Tienda!$L4448</f>
        <v>130.10900000000001</v>
      </c>
      <c r="N4634" s="3" t="s">
        <v>10038</v>
      </c>
      <c r="O4634" s="3" t="s">
        <v>10041</v>
      </c>
      <c r="P4634" s="17">
        <v>45689</v>
      </c>
      <c r="Q4634" s="4">
        <v>0</v>
      </c>
    </row>
    <row r="4635" spans="1:17" ht="30" x14ac:dyDescent="0.25">
      <c r="A4635" s="2" t="s">
        <v>2614</v>
      </c>
      <c r="B4635" s="3" t="s">
        <v>5015</v>
      </c>
      <c r="C4635" s="3">
        <v>43</v>
      </c>
      <c r="D4635" s="46" t="str">
        <f>IF(Tabla1[[#This Row],[EDAD]]&lt;=35,"Adultos jóvenes 18 - 35 años",IF(C4635&gt;=36,"Adultos mayores 36 años en adelante"))</f>
        <v>Adultos mayores 36 años en adelante</v>
      </c>
      <c r="E4635" s="3" t="s">
        <v>5022</v>
      </c>
      <c r="F4635" s="3" t="s">
        <v>5025</v>
      </c>
      <c r="G4635" s="3" t="s">
        <v>5036</v>
      </c>
      <c r="H4635" s="3" t="s">
        <v>7637</v>
      </c>
      <c r="I4635" s="17">
        <v>45691</v>
      </c>
      <c r="J4635" s="18">
        <f>YEAR(Tabla1[[#This Row],[FECHA DE COMPRA]])</f>
        <v>2025</v>
      </c>
      <c r="K4635" s="19">
        <v>17.61</v>
      </c>
      <c r="L4635" s="20">
        <v>0.1</v>
      </c>
      <c r="M4635" s="19">
        <f>Tienda!$K4449-Tienda!$K4449*Tienda!$L4449</f>
        <v>130.25700000000001</v>
      </c>
      <c r="N4635" s="3" t="s">
        <v>10038</v>
      </c>
      <c r="O4635" s="3" t="s">
        <v>10041</v>
      </c>
      <c r="P4635" s="17">
        <v>45691</v>
      </c>
      <c r="Q4635" s="4">
        <v>0</v>
      </c>
    </row>
    <row r="4636" spans="1:17" ht="30" x14ac:dyDescent="0.25">
      <c r="A4636" s="2" t="s">
        <v>4762</v>
      </c>
      <c r="B4636" s="3" t="s">
        <v>5016</v>
      </c>
      <c r="C4636" s="3">
        <v>64</v>
      </c>
      <c r="D4636" s="46" t="str">
        <f>IF(Tabla1[[#This Row],[EDAD]]&lt;=35,"Adultos jóvenes 18 - 35 años",IF(C4636&gt;=36,"Adultos mayores 36 años en adelante"))</f>
        <v>Adultos mayores 36 años en adelante</v>
      </c>
      <c r="E4636" s="3" t="s">
        <v>5017</v>
      </c>
      <c r="F4636" s="3" t="s">
        <v>5029</v>
      </c>
      <c r="G4636" s="3" t="s">
        <v>5036</v>
      </c>
      <c r="H4636" s="3" t="s">
        <v>9785</v>
      </c>
      <c r="I4636" s="17">
        <v>45692</v>
      </c>
      <c r="J4636" s="18">
        <f>YEAR(Tabla1[[#This Row],[FECHA DE COMPRA]])</f>
        <v>2025</v>
      </c>
      <c r="K4636" s="19">
        <v>18.13</v>
      </c>
      <c r="L4636" s="20">
        <v>0.1</v>
      </c>
      <c r="M4636" s="19">
        <f>Tienda!$K4450-Tienda!$K4450*Tienda!$L4450</f>
        <v>130.66899999999998</v>
      </c>
      <c r="N4636" s="3" t="s">
        <v>10038</v>
      </c>
      <c r="O4636" s="3" t="s">
        <v>10041</v>
      </c>
      <c r="P4636" s="17">
        <v>45692</v>
      </c>
      <c r="Q4636" s="4">
        <v>0</v>
      </c>
    </row>
    <row r="4637" spans="1:17" ht="30" x14ac:dyDescent="0.25">
      <c r="A4637" s="2" t="s">
        <v>576</v>
      </c>
      <c r="B4637" s="3" t="s">
        <v>5015</v>
      </c>
      <c r="C4637" s="3">
        <v>61</v>
      </c>
      <c r="D4637" s="46" t="str">
        <f>IF(Tabla1[[#This Row],[EDAD]]&lt;=35,"Adultos jóvenes 18 - 35 años",IF(C4637&gt;=36,"Adultos mayores 36 años en adelante"))</f>
        <v>Adultos mayores 36 años en adelante</v>
      </c>
      <c r="E4637" s="3" t="s">
        <v>5018</v>
      </c>
      <c r="F4637" s="3" t="s">
        <v>5027</v>
      </c>
      <c r="G4637" s="3" t="s">
        <v>5031</v>
      </c>
      <c r="H4637" s="3" t="s">
        <v>5599</v>
      </c>
      <c r="I4637" s="17">
        <v>45694</v>
      </c>
      <c r="J4637" s="18">
        <f>YEAR(Tabla1[[#This Row],[FECHA DE COMPRA]])</f>
        <v>2025</v>
      </c>
      <c r="K4637" s="19">
        <v>81.099999999999994</v>
      </c>
      <c r="L4637" s="20">
        <v>0.3</v>
      </c>
      <c r="M4637" s="19">
        <f>Tienda!$K4451-Tienda!$K4451*Tienda!$L4451</f>
        <v>130.92000000000002</v>
      </c>
      <c r="N4637" s="3" t="s">
        <v>10038</v>
      </c>
      <c r="O4637" s="3" t="s">
        <v>10041</v>
      </c>
      <c r="P4637" s="17">
        <v>45694</v>
      </c>
      <c r="Q4637" s="4">
        <v>0</v>
      </c>
    </row>
    <row r="4638" spans="1:17" ht="30" x14ac:dyDescent="0.25">
      <c r="A4638" s="2" t="s">
        <v>3435</v>
      </c>
      <c r="B4638" s="3" t="s">
        <v>5016</v>
      </c>
      <c r="C4638" s="3">
        <v>51</v>
      </c>
      <c r="D4638" s="46" t="str">
        <f>IF(Tabla1[[#This Row],[EDAD]]&lt;=35,"Adultos jóvenes 18 - 35 años",IF(C4638&gt;=36,"Adultos mayores 36 años en adelante"))</f>
        <v>Adultos mayores 36 años en adelante</v>
      </c>
      <c r="E4638" s="3" t="s">
        <v>5017</v>
      </c>
      <c r="F4638" s="3" t="s">
        <v>5025</v>
      </c>
      <c r="G4638" s="3" t="s">
        <v>5035</v>
      </c>
      <c r="H4638" s="3" t="s">
        <v>8458</v>
      </c>
      <c r="I4638" s="17">
        <v>45695</v>
      </c>
      <c r="J4638" s="18">
        <f>YEAR(Tabla1[[#This Row],[FECHA DE COMPRA]])</f>
        <v>2025</v>
      </c>
      <c r="K4638" s="19">
        <v>48.35</v>
      </c>
      <c r="L4638" s="20">
        <v>0.1</v>
      </c>
      <c r="M4638" s="19">
        <f>Tienda!$K4453-Tienda!$K4453*Tienda!$L4453</f>
        <v>131.30000000000001</v>
      </c>
      <c r="N4638" s="3" t="s">
        <v>10038</v>
      </c>
      <c r="O4638" s="3" t="s">
        <v>10041</v>
      </c>
      <c r="P4638" s="17">
        <v>45695</v>
      </c>
      <c r="Q4638" s="4">
        <v>0</v>
      </c>
    </row>
    <row r="4639" spans="1:17" ht="30" x14ac:dyDescent="0.25">
      <c r="A4639" s="2" t="s">
        <v>2625</v>
      </c>
      <c r="B4639" s="3" t="s">
        <v>5015</v>
      </c>
      <c r="C4639" s="3">
        <v>40</v>
      </c>
      <c r="D4639" s="46" t="str">
        <f>IF(Tabla1[[#This Row],[EDAD]]&lt;=35,"Adultos jóvenes 18 - 35 años",IF(C4639&gt;=36,"Adultos mayores 36 años en adelante"))</f>
        <v>Adultos mayores 36 años en adelante</v>
      </c>
      <c r="E4639" s="3" t="s">
        <v>5020</v>
      </c>
      <c r="F4639" s="3" t="s">
        <v>5029</v>
      </c>
      <c r="G4639" s="3" t="s">
        <v>5037</v>
      </c>
      <c r="H4639" s="3" t="s">
        <v>7648</v>
      </c>
      <c r="I4639" s="17">
        <v>45695</v>
      </c>
      <c r="J4639" s="18">
        <f>YEAR(Tabla1[[#This Row],[FECHA DE COMPRA]])</f>
        <v>2025</v>
      </c>
      <c r="K4639" s="19">
        <v>49.17</v>
      </c>
      <c r="L4639" s="20">
        <v>0.3</v>
      </c>
      <c r="M4639" s="19">
        <f>Tienda!$K4454-Tienda!$K4454*Tienda!$L4454</f>
        <v>131.512</v>
      </c>
      <c r="N4639" s="3" t="s">
        <v>10038</v>
      </c>
      <c r="O4639" s="3" t="s">
        <v>10041</v>
      </c>
      <c r="P4639" s="17">
        <v>45695</v>
      </c>
      <c r="Q4639" s="4">
        <v>0</v>
      </c>
    </row>
    <row r="4640" spans="1:17" ht="30" x14ac:dyDescent="0.25">
      <c r="A4640" s="2" t="s">
        <v>4169</v>
      </c>
      <c r="B4640" s="3" t="s">
        <v>5015</v>
      </c>
      <c r="C4640" s="3">
        <v>64</v>
      </c>
      <c r="D4640" s="46" t="str">
        <f>IF(Tabla1[[#This Row],[EDAD]]&lt;=35,"Adultos jóvenes 18 - 35 años",IF(C4640&gt;=36,"Adultos mayores 36 años en adelante"))</f>
        <v>Adultos mayores 36 años en adelante</v>
      </c>
      <c r="E4640" s="3" t="s">
        <v>5020</v>
      </c>
      <c r="F4640" s="3" t="s">
        <v>5027</v>
      </c>
      <c r="G4640" s="3" t="s">
        <v>5037</v>
      </c>
      <c r="H4640" s="3" t="s">
        <v>9192</v>
      </c>
      <c r="I4640" s="17">
        <v>45696</v>
      </c>
      <c r="J4640" s="18">
        <f>YEAR(Tabla1[[#This Row],[FECHA DE COMPRA]])</f>
        <v>2025</v>
      </c>
      <c r="K4640" s="19">
        <v>115.7</v>
      </c>
      <c r="L4640" s="20">
        <v>0.3</v>
      </c>
      <c r="M4640" s="19">
        <f>Tienda!$K4455-Tienda!$K4455*Tienda!$L4455</f>
        <v>131.93100000000001</v>
      </c>
      <c r="N4640" s="3" t="s">
        <v>10038</v>
      </c>
      <c r="O4640" s="3" t="s">
        <v>10041</v>
      </c>
      <c r="P4640" s="17">
        <v>45696</v>
      </c>
      <c r="Q4640" s="4">
        <v>0</v>
      </c>
    </row>
    <row r="4641" spans="1:17" ht="30" x14ac:dyDescent="0.25">
      <c r="A4641" s="2" t="s">
        <v>3890</v>
      </c>
      <c r="B4641" s="3" t="s">
        <v>5015</v>
      </c>
      <c r="C4641" s="3">
        <v>63</v>
      </c>
      <c r="D4641" s="46" t="str">
        <f>IF(Tabla1[[#This Row],[EDAD]]&lt;=35,"Adultos jóvenes 18 - 35 años",IF(C4641&gt;=36,"Adultos mayores 36 años en adelante"))</f>
        <v>Adultos mayores 36 años en adelante</v>
      </c>
      <c r="E4641" s="3" t="s">
        <v>5018</v>
      </c>
      <c r="F4641" s="3" t="s">
        <v>5026</v>
      </c>
      <c r="G4641" s="3" t="s">
        <v>5036</v>
      </c>
      <c r="H4641" s="3" t="s">
        <v>8913</v>
      </c>
      <c r="I4641" s="17">
        <v>45696</v>
      </c>
      <c r="J4641" s="18">
        <f>YEAR(Tabla1[[#This Row],[FECHA DE COMPRA]])</f>
        <v>2025</v>
      </c>
      <c r="K4641" s="19">
        <v>124.27</v>
      </c>
      <c r="L4641" s="20">
        <v>0.1</v>
      </c>
      <c r="M4641" s="19">
        <f>Tienda!$K4456-Tienda!$K4456*Tienda!$L4456</f>
        <v>132.24600000000001</v>
      </c>
      <c r="N4641" s="3" t="s">
        <v>10038</v>
      </c>
      <c r="O4641" s="3" t="s">
        <v>10041</v>
      </c>
      <c r="P4641" s="17">
        <v>45696</v>
      </c>
      <c r="Q4641" s="4">
        <v>0</v>
      </c>
    </row>
    <row r="4642" spans="1:17" ht="30" x14ac:dyDescent="0.25">
      <c r="A4642" s="2" t="s">
        <v>2611</v>
      </c>
      <c r="B4642" s="3" t="s">
        <v>5015</v>
      </c>
      <c r="C4642" s="3">
        <v>52</v>
      </c>
      <c r="D4642" s="46" t="str">
        <f>IF(Tabla1[[#This Row],[EDAD]]&lt;=35,"Adultos jóvenes 18 - 35 años",IF(C4642&gt;=36,"Adultos mayores 36 años en adelante"))</f>
        <v>Adultos mayores 36 años en adelante</v>
      </c>
      <c r="E4642" s="3" t="s">
        <v>5017</v>
      </c>
      <c r="F4642" s="3" t="s">
        <v>5030</v>
      </c>
      <c r="G4642" s="3" t="s">
        <v>5032</v>
      </c>
      <c r="H4642" s="3" t="s">
        <v>7634</v>
      </c>
      <c r="I4642" s="17">
        <v>45696</v>
      </c>
      <c r="J4642" s="18">
        <f>YEAR(Tabla1[[#This Row],[FECHA DE COMPRA]])</f>
        <v>2025</v>
      </c>
      <c r="K4642" s="19">
        <v>195.24</v>
      </c>
      <c r="L4642" s="20">
        <v>0</v>
      </c>
      <c r="M4642" s="19">
        <f>Tienda!$K4457-Tienda!$K4457*Tienda!$L4457</f>
        <v>132.52500000000001</v>
      </c>
      <c r="N4642" s="3" t="s">
        <v>10038</v>
      </c>
      <c r="O4642" s="3" t="s">
        <v>10041</v>
      </c>
      <c r="P4642" s="17">
        <v>45696</v>
      </c>
      <c r="Q4642" s="4">
        <v>0</v>
      </c>
    </row>
    <row r="4643" spans="1:17" ht="30" x14ac:dyDescent="0.25">
      <c r="A4643" s="2" t="s">
        <v>857</v>
      </c>
      <c r="B4643" s="3" t="s">
        <v>5015</v>
      </c>
      <c r="C4643" s="3">
        <v>58</v>
      </c>
      <c r="D4643" s="46" t="str">
        <f>IF(Tabla1[[#This Row],[EDAD]]&lt;=35,"Adultos jóvenes 18 - 35 años",IF(C4643&gt;=36,"Adultos mayores 36 años en adelante"))</f>
        <v>Adultos mayores 36 años en adelante</v>
      </c>
      <c r="E4643" s="3" t="s">
        <v>5018</v>
      </c>
      <c r="F4643" s="3" t="s">
        <v>5024</v>
      </c>
      <c r="G4643" s="3" t="s">
        <v>5031</v>
      </c>
      <c r="H4643" s="3" t="s">
        <v>5880</v>
      </c>
      <c r="I4643" s="17">
        <v>45697</v>
      </c>
      <c r="J4643" s="18">
        <f>YEAR(Tabla1[[#This Row],[FECHA DE COMPRA]])</f>
        <v>2025</v>
      </c>
      <c r="K4643" s="19">
        <v>171.91</v>
      </c>
      <c r="L4643" s="20">
        <v>0.2</v>
      </c>
      <c r="M4643" s="19">
        <f>Tienda!$K4458-Tienda!$K4458*Tienda!$L4458</f>
        <v>132.904</v>
      </c>
      <c r="N4643" s="3" t="s">
        <v>10038</v>
      </c>
      <c r="O4643" s="3" t="s">
        <v>10041</v>
      </c>
      <c r="P4643" s="17">
        <v>45697</v>
      </c>
      <c r="Q4643" s="4">
        <v>0</v>
      </c>
    </row>
    <row r="4644" spans="1:17" ht="30" x14ac:dyDescent="0.25">
      <c r="A4644" s="2" t="s">
        <v>4005</v>
      </c>
      <c r="B4644" s="3" t="s">
        <v>5015</v>
      </c>
      <c r="C4644" s="3">
        <v>64</v>
      </c>
      <c r="D4644" s="46" t="str">
        <f>IF(Tabla1[[#This Row],[EDAD]]&lt;=35,"Adultos jóvenes 18 - 35 años",IF(C4644&gt;=36,"Adultos mayores 36 años en adelante"))</f>
        <v>Adultos mayores 36 años en adelante</v>
      </c>
      <c r="E4644" s="3" t="s">
        <v>5018</v>
      </c>
      <c r="F4644" s="3" t="s">
        <v>5026</v>
      </c>
      <c r="G4644" s="3" t="s">
        <v>5032</v>
      </c>
      <c r="H4644" s="3" t="s">
        <v>9028</v>
      </c>
      <c r="I4644" s="17">
        <v>45698</v>
      </c>
      <c r="J4644" s="18">
        <f>YEAR(Tabla1[[#This Row],[FECHA DE COMPRA]])</f>
        <v>2025</v>
      </c>
      <c r="K4644" s="19">
        <v>102.04</v>
      </c>
      <c r="L4644" s="20">
        <v>0.2</v>
      </c>
      <c r="M4644" s="19">
        <f>Tienda!$K4459-Tienda!$K4459*Tienda!$L4459</f>
        <v>133.34399999999999</v>
      </c>
      <c r="N4644" s="3" t="s">
        <v>10038</v>
      </c>
      <c r="O4644" s="3" t="s">
        <v>10041</v>
      </c>
      <c r="P4644" s="17">
        <v>45698</v>
      </c>
      <c r="Q4644" s="4">
        <v>0</v>
      </c>
    </row>
    <row r="4645" spans="1:17" ht="30" x14ac:dyDescent="0.25">
      <c r="A4645" s="2" t="s">
        <v>2017</v>
      </c>
      <c r="B4645" s="3" t="s">
        <v>5015</v>
      </c>
      <c r="C4645" s="3">
        <v>59</v>
      </c>
      <c r="D4645" s="46" t="str">
        <f>IF(Tabla1[[#This Row],[EDAD]]&lt;=35,"Adultos jóvenes 18 - 35 años",IF(C4645&gt;=36,"Adultos mayores 36 años en adelante"))</f>
        <v>Adultos mayores 36 años en adelante</v>
      </c>
      <c r="E4645" s="3" t="s">
        <v>5019</v>
      </c>
      <c r="F4645" s="3" t="s">
        <v>5025</v>
      </c>
      <c r="G4645" s="3" t="s">
        <v>5037</v>
      </c>
      <c r="H4645" s="3" t="s">
        <v>7040</v>
      </c>
      <c r="I4645" s="17">
        <v>45700</v>
      </c>
      <c r="J4645" s="18">
        <f>YEAR(Tabla1[[#This Row],[FECHA DE COMPRA]])</f>
        <v>2025</v>
      </c>
      <c r="K4645" s="19">
        <v>193.78</v>
      </c>
      <c r="L4645" s="20">
        <v>0.2</v>
      </c>
      <c r="M4645" s="19">
        <f>Tienda!$K4464-Tienda!$K4464*Tienda!$L4464</f>
        <v>135.29599999999999</v>
      </c>
      <c r="N4645" s="3" t="s">
        <v>10038</v>
      </c>
      <c r="O4645" s="3" t="s">
        <v>10041</v>
      </c>
      <c r="P4645" s="17">
        <v>45700</v>
      </c>
      <c r="Q4645" s="4">
        <v>0</v>
      </c>
    </row>
    <row r="4646" spans="1:17" ht="30" x14ac:dyDescent="0.25">
      <c r="A4646" s="2" t="s">
        <v>2574</v>
      </c>
      <c r="B4646" s="3" t="s">
        <v>5015</v>
      </c>
      <c r="C4646" s="3">
        <v>61</v>
      </c>
      <c r="D4646" s="46" t="str">
        <f>IF(Tabla1[[#This Row],[EDAD]]&lt;=35,"Adultos jóvenes 18 - 35 años",IF(C4646&gt;=36,"Adultos mayores 36 años en adelante"))</f>
        <v>Adultos mayores 36 años en adelante</v>
      </c>
      <c r="E4646" s="3" t="s">
        <v>5020</v>
      </c>
      <c r="F4646" s="3" t="s">
        <v>5025</v>
      </c>
      <c r="G4646" s="3" t="s">
        <v>5035</v>
      </c>
      <c r="H4646" s="3" t="s">
        <v>7597</v>
      </c>
      <c r="I4646" s="17">
        <v>45702</v>
      </c>
      <c r="J4646" s="18">
        <f>YEAR(Tabla1[[#This Row],[FECHA DE COMPRA]])</f>
        <v>2025</v>
      </c>
      <c r="K4646" s="19">
        <v>126.56</v>
      </c>
      <c r="L4646" s="20">
        <v>0.3</v>
      </c>
      <c r="M4646" s="19">
        <f>Tienda!$K4465-Tienda!$K4465*Tienda!$L4465</f>
        <v>135.315</v>
      </c>
      <c r="N4646" s="3" t="s">
        <v>10038</v>
      </c>
      <c r="O4646" s="3" t="s">
        <v>10041</v>
      </c>
      <c r="P4646" s="17">
        <v>45702</v>
      </c>
      <c r="Q4646" s="4">
        <v>0</v>
      </c>
    </row>
    <row r="4647" spans="1:17" ht="30" x14ac:dyDescent="0.25">
      <c r="A4647" s="2" t="s">
        <v>1245</v>
      </c>
      <c r="B4647" s="3" t="s">
        <v>5015</v>
      </c>
      <c r="C4647" s="3">
        <v>60</v>
      </c>
      <c r="D4647" s="46" t="str">
        <f>IF(Tabla1[[#This Row],[EDAD]]&lt;=35,"Adultos jóvenes 18 - 35 años",IF(C4647&gt;=36,"Adultos mayores 36 años en adelante"))</f>
        <v>Adultos mayores 36 años en adelante</v>
      </c>
      <c r="E4647" s="3" t="s">
        <v>5023</v>
      </c>
      <c r="F4647" s="3" t="s">
        <v>5030</v>
      </c>
      <c r="G4647" s="3" t="s">
        <v>5035</v>
      </c>
      <c r="H4647" s="3" t="s">
        <v>6268</v>
      </c>
      <c r="I4647" s="17">
        <v>45702</v>
      </c>
      <c r="J4647" s="18">
        <f>YEAR(Tabla1[[#This Row],[FECHA DE COMPRA]])</f>
        <v>2025</v>
      </c>
      <c r="K4647" s="19">
        <v>192.16</v>
      </c>
      <c r="L4647" s="20">
        <v>0.3</v>
      </c>
      <c r="M4647" s="19">
        <f>Tienda!$K4467-Tienda!$K4467*Tienda!$L4467</f>
        <v>135.76499999999999</v>
      </c>
      <c r="N4647" s="3" t="s">
        <v>10038</v>
      </c>
      <c r="O4647" s="3" t="s">
        <v>10041</v>
      </c>
      <c r="P4647" s="17">
        <v>45702</v>
      </c>
      <c r="Q4647" s="4">
        <v>0</v>
      </c>
    </row>
    <row r="4648" spans="1:17" ht="30" x14ac:dyDescent="0.25">
      <c r="A4648" s="2" t="s">
        <v>4391</v>
      </c>
      <c r="B4648" s="3" t="s">
        <v>5015</v>
      </c>
      <c r="C4648" s="3">
        <v>65</v>
      </c>
      <c r="D4648" s="46" t="str">
        <f>IF(Tabla1[[#This Row],[EDAD]]&lt;=35,"Adultos jóvenes 18 - 35 años",IF(C4648&gt;=36,"Adultos mayores 36 años en adelante"))</f>
        <v>Adultos mayores 36 años en adelante</v>
      </c>
      <c r="E4648" s="3" t="s">
        <v>5021</v>
      </c>
      <c r="F4648" s="3" t="s">
        <v>5025</v>
      </c>
      <c r="G4648" s="3" t="s">
        <v>5034</v>
      </c>
      <c r="H4648" s="3" t="s">
        <v>9414</v>
      </c>
      <c r="I4648" s="17">
        <v>45703</v>
      </c>
      <c r="J4648" s="18">
        <f>YEAR(Tabla1[[#This Row],[FECHA DE COMPRA]])</f>
        <v>2025</v>
      </c>
      <c r="K4648" s="19">
        <v>179.39</v>
      </c>
      <c r="L4648" s="20">
        <v>0</v>
      </c>
      <c r="M4648" s="19">
        <f>Tienda!$K4468-Tienda!$K4468*Tienda!$L4468</f>
        <v>135.88200000000001</v>
      </c>
      <c r="N4648" s="3" t="s">
        <v>10038</v>
      </c>
      <c r="O4648" s="3" t="s">
        <v>10041</v>
      </c>
      <c r="P4648" s="17">
        <v>45703</v>
      </c>
      <c r="Q4648" s="4">
        <v>0</v>
      </c>
    </row>
    <row r="4649" spans="1:17" ht="30" x14ac:dyDescent="0.25">
      <c r="A4649" s="2" t="s">
        <v>4161</v>
      </c>
      <c r="B4649" s="3" t="s">
        <v>5015</v>
      </c>
      <c r="C4649" s="3">
        <v>54</v>
      </c>
      <c r="D4649" s="46" t="str">
        <f>IF(Tabla1[[#This Row],[EDAD]]&lt;=35,"Adultos jóvenes 18 - 35 años",IF(C4649&gt;=36,"Adultos mayores 36 años en adelante"))</f>
        <v>Adultos mayores 36 años en adelante</v>
      </c>
      <c r="E4649" s="3" t="s">
        <v>5017</v>
      </c>
      <c r="F4649" s="3" t="s">
        <v>5028</v>
      </c>
      <c r="G4649" s="3" t="s">
        <v>5033</v>
      </c>
      <c r="H4649" s="3" t="s">
        <v>9184</v>
      </c>
      <c r="I4649" s="17">
        <v>45705</v>
      </c>
      <c r="J4649" s="18">
        <f>YEAR(Tabla1[[#This Row],[FECHA DE COMPRA]])</f>
        <v>2025</v>
      </c>
      <c r="K4649" s="19">
        <v>29.48</v>
      </c>
      <c r="L4649" s="20">
        <v>0.1</v>
      </c>
      <c r="M4649" s="19">
        <f>Tienda!$K4470-Tienda!$K4470*Tienda!$L4470</f>
        <v>136.24</v>
      </c>
      <c r="N4649" s="3" t="s">
        <v>10038</v>
      </c>
      <c r="O4649" s="3" t="s">
        <v>10041</v>
      </c>
      <c r="P4649" s="17">
        <v>45705</v>
      </c>
      <c r="Q4649" s="4">
        <v>0</v>
      </c>
    </row>
    <row r="4650" spans="1:17" ht="30" x14ac:dyDescent="0.25">
      <c r="A4650" s="2" t="s">
        <v>4771</v>
      </c>
      <c r="B4650" s="3" t="s">
        <v>5015</v>
      </c>
      <c r="C4650" s="3">
        <v>51</v>
      </c>
      <c r="D4650" s="46" t="str">
        <f>IF(Tabla1[[#This Row],[EDAD]]&lt;=35,"Adultos jóvenes 18 - 35 años",IF(C4650&gt;=36,"Adultos mayores 36 años en adelante"))</f>
        <v>Adultos mayores 36 años en adelante</v>
      </c>
      <c r="E4650" s="3" t="s">
        <v>5020</v>
      </c>
      <c r="F4650" s="3" t="s">
        <v>5026</v>
      </c>
      <c r="G4650" s="3" t="s">
        <v>5034</v>
      </c>
      <c r="H4650" s="3" t="s">
        <v>9794</v>
      </c>
      <c r="I4650" s="17">
        <v>45706</v>
      </c>
      <c r="J4650" s="18">
        <f>YEAR(Tabla1[[#This Row],[FECHA DE COMPRA]])</f>
        <v>2025</v>
      </c>
      <c r="K4650" s="19">
        <v>19.170000000000002</v>
      </c>
      <c r="L4650" s="20">
        <v>0.3</v>
      </c>
      <c r="M4650" s="19">
        <f>Tienda!$K4471-Tienda!$K4471*Tienda!$L4471</f>
        <v>136.83199999999999</v>
      </c>
      <c r="N4650" s="3" t="s">
        <v>10038</v>
      </c>
      <c r="O4650" s="3" t="s">
        <v>10041</v>
      </c>
      <c r="P4650" s="17">
        <v>45706</v>
      </c>
      <c r="Q4650" s="4">
        <v>0</v>
      </c>
    </row>
    <row r="4651" spans="1:17" ht="30" x14ac:dyDescent="0.25">
      <c r="A4651" s="2" t="s">
        <v>3756</v>
      </c>
      <c r="B4651" s="3" t="s">
        <v>5015</v>
      </c>
      <c r="C4651" s="3">
        <v>63</v>
      </c>
      <c r="D4651" s="46" t="str">
        <f>IF(Tabla1[[#This Row],[EDAD]]&lt;=35,"Adultos jóvenes 18 - 35 años",IF(C4651&gt;=36,"Adultos mayores 36 años en adelante"))</f>
        <v>Adultos mayores 36 años en adelante</v>
      </c>
      <c r="E4651" s="3" t="s">
        <v>5018</v>
      </c>
      <c r="F4651" s="3" t="s">
        <v>5026</v>
      </c>
      <c r="G4651" s="3" t="s">
        <v>5033</v>
      </c>
      <c r="H4651" s="3" t="s">
        <v>8779</v>
      </c>
      <c r="I4651" s="17">
        <v>45706</v>
      </c>
      <c r="J4651" s="18">
        <f>YEAR(Tabla1[[#This Row],[FECHA DE COMPRA]])</f>
        <v>2025</v>
      </c>
      <c r="K4651" s="19">
        <v>128.43</v>
      </c>
      <c r="L4651" s="20">
        <v>0.1</v>
      </c>
      <c r="M4651" s="19">
        <f>Tienda!$K4472-Tienda!$K4472*Tienda!$L4472</f>
        <v>138.25800000000001</v>
      </c>
      <c r="N4651" s="3" t="s">
        <v>10038</v>
      </c>
      <c r="O4651" s="3" t="s">
        <v>10041</v>
      </c>
      <c r="P4651" s="17">
        <v>45706</v>
      </c>
      <c r="Q4651" s="4">
        <v>0</v>
      </c>
    </row>
    <row r="4652" spans="1:17" ht="30" x14ac:dyDescent="0.25">
      <c r="A4652" s="2" t="s">
        <v>4541</v>
      </c>
      <c r="B4652" s="3" t="s">
        <v>5015</v>
      </c>
      <c r="C4652" s="3">
        <v>61</v>
      </c>
      <c r="D4652" s="46" t="str">
        <f>IF(Tabla1[[#This Row],[EDAD]]&lt;=35,"Adultos jóvenes 18 - 35 años",IF(C4652&gt;=36,"Adultos mayores 36 años en adelante"))</f>
        <v>Adultos mayores 36 años en adelante</v>
      </c>
      <c r="E4652" s="3" t="s">
        <v>5023</v>
      </c>
      <c r="F4652" s="3" t="s">
        <v>5025</v>
      </c>
      <c r="G4652" s="3" t="s">
        <v>5033</v>
      </c>
      <c r="H4652" s="3" t="s">
        <v>9564</v>
      </c>
      <c r="I4652" s="17">
        <v>45707</v>
      </c>
      <c r="J4652" s="18">
        <f>YEAR(Tabla1[[#This Row],[FECHA DE COMPRA]])</f>
        <v>2025</v>
      </c>
      <c r="K4652" s="19">
        <v>29.15</v>
      </c>
      <c r="L4652" s="20">
        <v>0</v>
      </c>
      <c r="M4652" s="19">
        <f>Tienda!$K4475-Tienda!$K4475*Tienda!$L4475</f>
        <v>139.05000000000001</v>
      </c>
      <c r="N4652" s="3" t="s">
        <v>10038</v>
      </c>
      <c r="O4652" s="3" t="s">
        <v>10041</v>
      </c>
      <c r="P4652" s="17">
        <v>45707</v>
      </c>
      <c r="Q4652" s="4">
        <v>0</v>
      </c>
    </row>
    <row r="4653" spans="1:17" ht="30" x14ac:dyDescent="0.25">
      <c r="A4653" s="2" t="s">
        <v>2968</v>
      </c>
      <c r="B4653" s="3" t="s">
        <v>5016</v>
      </c>
      <c r="C4653" s="3">
        <v>46</v>
      </c>
      <c r="D4653" s="46" t="str">
        <f>IF(Tabla1[[#This Row],[EDAD]]&lt;=35,"Adultos jóvenes 18 - 35 años",IF(C4653&gt;=36,"Adultos mayores 36 años en adelante"))</f>
        <v>Adultos mayores 36 años en adelante</v>
      </c>
      <c r="E4653" s="3" t="s">
        <v>5017</v>
      </c>
      <c r="F4653" s="3" t="s">
        <v>5024</v>
      </c>
      <c r="G4653" s="3" t="s">
        <v>5035</v>
      </c>
      <c r="H4653" s="3" t="s">
        <v>7991</v>
      </c>
      <c r="I4653" s="17">
        <v>45707</v>
      </c>
      <c r="J4653" s="18">
        <f>YEAR(Tabla1[[#This Row],[FECHA DE COMPRA]])</f>
        <v>2025</v>
      </c>
      <c r="K4653" s="19">
        <v>102.58</v>
      </c>
      <c r="L4653" s="20">
        <v>0</v>
      </c>
      <c r="M4653" s="19">
        <f>Tienda!$K4476-Tienda!$K4476*Tienda!$L4476</f>
        <v>139.488</v>
      </c>
      <c r="N4653" s="3" t="s">
        <v>10038</v>
      </c>
      <c r="O4653" s="3" t="s">
        <v>10041</v>
      </c>
      <c r="P4653" s="17">
        <v>45707</v>
      </c>
      <c r="Q4653" s="4">
        <v>0</v>
      </c>
    </row>
    <row r="4654" spans="1:17" ht="30" x14ac:dyDescent="0.25">
      <c r="A4654" s="2" t="s">
        <v>4985</v>
      </c>
      <c r="B4654" s="3" t="s">
        <v>5015</v>
      </c>
      <c r="C4654" s="3">
        <v>62</v>
      </c>
      <c r="D4654" s="46" t="str">
        <f>IF(Tabla1[[#This Row],[EDAD]]&lt;=35,"Adultos jóvenes 18 - 35 años",IF(C4654&gt;=36,"Adultos mayores 36 años en adelante"))</f>
        <v>Adultos mayores 36 años en adelante</v>
      </c>
      <c r="E4654" s="3" t="s">
        <v>5020</v>
      </c>
      <c r="F4654" s="3" t="s">
        <v>5029</v>
      </c>
      <c r="G4654" s="3" t="s">
        <v>5037</v>
      </c>
      <c r="H4654" s="3" t="s">
        <v>10008</v>
      </c>
      <c r="I4654" s="17">
        <v>45708</v>
      </c>
      <c r="J4654" s="18">
        <f>YEAR(Tabla1[[#This Row],[FECHA DE COMPRA]])</f>
        <v>2025</v>
      </c>
      <c r="K4654" s="19">
        <v>67.77</v>
      </c>
      <c r="L4654" s="20">
        <v>0</v>
      </c>
      <c r="M4654" s="19">
        <f>Tienda!$K4477-Tienda!$K4477*Tienda!$L4477</f>
        <v>139.536</v>
      </c>
      <c r="N4654" s="3" t="s">
        <v>10038</v>
      </c>
      <c r="O4654" s="3" t="s">
        <v>10041</v>
      </c>
      <c r="P4654" s="17">
        <v>45708</v>
      </c>
      <c r="Q4654" s="4">
        <v>0</v>
      </c>
    </row>
    <row r="4655" spans="1:17" ht="30" x14ac:dyDescent="0.25">
      <c r="A4655" s="2" t="s">
        <v>238</v>
      </c>
      <c r="B4655" s="3" t="s">
        <v>5015</v>
      </c>
      <c r="C4655" s="3">
        <v>40</v>
      </c>
      <c r="D4655" s="46" t="str">
        <f>IF(Tabla1[[#This Row],[EDAD]]&lt;=35,"Adultos jóvenes 18 - 35 años",IF(C4655&gt;=36,"Adultos mayores 36 años en adelante"))</f>
        <v>Adultos mayores 36 años en adelante</v>
      </c>
      <c r="E4655" s="3" t="s">
        <v>5019</v>
      </c>
      <c r="F4655" s="3" t="s">
        <v>5025</v>
      </c>
      <c r="G4655" s="3" t="s">
        <v>5031</v>
      </c>
      <c r="H4655" s="3" t="s">
        <v>5261</v>
      </c>
      <c r="I4655" s="17">
        <v>45709</v>
      </c>
      <c r="J4655" s="18">
        <f>YEAR(Tabla1[[#This Row],[FECHA DE COMPRA]])</f>
        <v>2025</v>
      </c>
      <c r="K4655" s="19">
        <v>30.82</v>
      </c>
      <c r="L4655" s="20">
        <v>0.3</v>
      </c>
      <c r="M4655" s="19">
        <f>Tienda!$K4478-Tienda!$K4478*Tienda!$L4478</f>
        <v>139.59</v>
      </c>
      <c r="N4655" s="3" t="s">
        <v>10038</v>
      </c>
      <c r="O4655" s="3" t="s">
        <v>10041</v>
      </c>
      <c r="P4655" s="17">
        <v>45709</v>
      </c>
      <c r="Q4655" s="4">
        <v>0</v>
      </c>
    </row>
    <row r="4656" spans="1:17" ht="30" x14ac:dyDescent="0.25">
      <c r="A4656" s="2" t="s">
        <v>1450</v>
      </c>
      <c r="B4656" s="3" t="s">
        <v>5015</v>
      </c>
      <c r="C4656" s="3">
        <v>44</v>
      </c>
      <c r="D4656" s="46" t="str">
        <f>IF(Tabla1[[#This Row],[EDAD]]&lt;=35,"Adultos jóvenes 18 - 35 años",IF(C4656&gt;=36,"Adultos mayores 36 años en adelante"))</f>
        <v>Adultos mayores 36 años en adelante</v>
      </c>
      <c r="E4656" s="3" t="s">
        <v>5019</v>
      </c>
      <c r="F4656" s="3" t="s">
        <v>5028</v>
      </c>
      <c r="G4656" s="3" t="s">
        <v>5032</v>
      </c>
      <c r="H4656" s="3" t="s">
        <v>6473</v>
      </c>
      <c r="I4656" s="17">
        <v>45709</v>
      </c>
      <c r="J4656" s="18">
        <f>YEAR(Tabla1[[#This Row],[FECHA DE COMPRA]])</f>
        <v>2025</v>
      </c>
      <c r="K4656" s="19">
        <v>49.06</v>
      </c>
      <c r="L4656" s="20">
        <v>0.2</v>
      </c>
      <c r="M4656" s="19">
        <f>Tienda!$K4479-Tienda!$K4479*Tienda!$L4479</f>
        <v>139.78399999999999</v>
      </c>
      <c r="N4656" s="3" t="s">
        <v>10038</v>
      </c>
      <c r="O4656" s="3" t="s">
        <v>10041</v>
      </c>
      <c r="P4656" s="17">
        <v>45709</v>
      </c>
      <c r="Q4656" s="4">
        <v>0</v>
      </c>
    </row>
    <row r="4657" spans="1:17" ht="30" x14ac:dyDescent="0.25">
      <c r="A4657" s="2" t="s">
        <v>668</v>
      </c>
      <c r="B4657" s="3" t="s">
        <v>5016</v>
      </c>
      <c r="C4657" s="3">
        <v>45</v>
      </c>
      <c r="D4657" s="46" t="str">
        <f>IF(Tabla1[[#This Row],[EDAD]]&lt;=35,"Adultos jóvenes 18 - 35 años",IF(C4657&gt;=36,"Adultos mayores 36 años en adelante"))</f>
        <v>Adultos mayores 36 años en adelante</v>
      </c>
      <c r="E4657" s="3" t="s">
        <v>5019</v>
      </c>
      <c r="F4657" s="3" t="s">
        <v>5027</v>
      </c>
      <c r="G4657" s="3" t="s">
        <v>5032</v>
      </c>
      <c r="H4657" s="3" t="s">
        <v>5691</v>
      </c>
      <c r="I4657" s="17">
        <v>45712</v>
      </c>
      <c r="J4657" s="18">
        <f>YEAR(Tabla1[[#This Row],[FECHA DE COMPRA]])</f>
        <v>2025</v>
      </c>
      <c r="K4657" s="19">
        <v>87.89</v>
      </c>
      <c r="L4657" s="20">
        <v>0.3</v>
      </c>
      <c r="M4657" s="19">
        <f>Tienda!$K4482-Tienda!$K4482*Tienda!$L4482</f>
        <v>139.96800000000002</v>
      </c>
      <c r="N4657" s="3" t="s">
        <v>10038</v>
      </c>
      <c r="O4657" s="3" t="s">
        <v>10041</v>
      </c>
      <c r="P4657" s="17">
        <v>45712</v>
      </c>
      <c r="Q4657" s="4">
        <v>0</v>
      </c>
    </row>
    <row r="4658" spans="1:17" ht="30" x14ac:dyDescent="0.25">
      <c r="A4658" s="2" t="s">
        <v>2250</v>
      </c>
      <c r="B4658" s="3" t="s">
        <v>5015</v>
      </c>
      <c r="C4658" s="3">
        <v>60</v>
      </c>
      <c r="D4658" s="46" t="str">
        <f>IF(Tabla1[[#This Row],[EDAD]]&lt;=35,"Adultos jóvenes 18 - 35 años",IF(C4658&gt;=36,"Adultos mayores 36 años en adelante"))</f>
        <v>Adultos mayores 36 años en adelante</v>
      </c>
      <c r="E4658" s="3" t="s">
        <v>5017</v>
      </c>
      <c r="F4658" s="3" t="s">
        <v>5025</v>
      </c>
      <c r="G4658" s="3" t="s">
        <v>5031</v>
      </c>
      <c r="H4658" s="3" t="s">
        <v>7273</v>
      </c>
      <c r="I4658" s="17">
        <v>45712</v>
      </c>
      <c r="J4658" s="18">
        <f>YEAR(Tabla1[[#This Row],[FECHA DE COMPRA]])</f>
        <v>2025</v>
      </c>
      <c r="K4658" s="19">
        <v>87.91</v>
      </c>
      <c r="L4658" s="20">
        <v>0</v>
      </c>
      <c r="M4658" s="19">
        <f>Tienda!$K4483-Tienda!$K4483*Tienda!$L4483</f>
        <v>140.37</v>
      </c>
      <c r="N4658" s="3" t="s">
        <v>10038</v>
      </c>
      <c r="O4658" s="3" t="s">
        <v>10041</v>
      </c>
      <c r="P4658" s="17">
        <v>45712</v>
      </c>
      <c r="Q4658" s="4">
        <v>0</v>
      </c>
    </row>
    <row r="4659" spans="1:17" ht="30" x14ac:dyDescent="0.25">
      <c r="A4659" s="2" t="s">
        <v>720</v>
      </c>
      <c r="B4659" s="3" t="s">
        <v>5015</v>
      </c>
      <c r="C4659" s="3">
        <v>63</v>
      </c>
      <c r="D4659" s="46" t="str">
        <f>IF(Tabla1[[#This Row],[EDAD]]&lt;=35,"Adultos jóvenes 18 - 35 años",IF(C4659&gt;=36,"Adultos mayores 36 años en adelante"))</f>
        <v>Adultos mayores 36 años en adelante</v>
      </c>
      <c r="E4659" s="3" t="s">
        <v>5019</v>
      </c>
      <c r="F4659" s="3" t="s">
        <v>5029</v>
      </c>
      <c r="G4659" s="3" t="s">
        <v>5036</v>
      </c>
      <c r="H4659" s="3" t="s">
        <v>5743</v>
      </c>
      <c r="I4659" s="17">
        <v>45713</v>
      </c>
      <c r="J4659" s="18">
        <f>YEAR(Tabla1[[#This Row],[FECHA DE COMPRA]])</f>
        <v>2025</v>
      </c>
      <c r="K4659" s="19">
        <v>160.43</v>
      </c>
      <c r="L4659" s="20">
        <v>0</v>
      </c>
      <c r="M4659" s="19">
        <f>Tienda!$K4485-Tienda!$K4485*Tienda!$L4485</f>
        <v>143.47200000000001</v>
      </c>
      <c r="N4659" s="3" t="s">
        <v>10038</v>
      </c>
      <c r="O4659" s="3" t="s">
        <v>10041</v>
      </c>
      <c r="P4659" s="17">
        <v>45713</v>
      </c>
      <c r="Q4659" s="4">
        <v>0</v>
      </c>
    </row>
    <row r="4660" spans="1:17" ht="30" x14ac:dyDescent="0.25">
      <c r="A4660" s="2" t="s">
        <v>2010</v>
      </c>
      <c r="B4660" s="3" t="s">
        <v>5015</v>
      </c>
      <c r="C4660" s="3">
        <v>56</v>
      </c>
      <c r="D4660" s="46" t="str">
        <f>IF(Tabla1[[#This Row],[EDAD]]&lt;=35,"Adultos jóvenes 18 - 35 años",IF(C4660&gt;=36,"Adultos mayores 36 años en adelante"))</f>
        <v>Adultos mayores 36 años en adelante</v>
      </c>
      <c r="E4660" s="3" t="s">
        <v>5018</v>
      </c>
      <c r="F4660" s="3" t="s">
        <v>5025</v>
      </c>
      <c r="G4660" s="3" t="s">
        <v>5037</v>
      </c>
      <c r="H4660" s="3" t="s">
        <v>7033</v>
      </c>
      <c r="I4660" s="17">
        <v>45714</v>
      </c>
      <c r="J4660" s="18">
        <f>YEAR(Tabla1[[#This Row],[FECHA DE COMPRA]])</f>
        <v>2025</v>
      </c>
      <c r="K4660" s="19">
        <v>132.55000000000001</v>
      </c>
      <c r="L4660" s="20">
        <v>0</v>
      </c>
      <c r="M4660" s="19">
        <f>Tienda!$K4486-Tienda!$K4486*Tienda!$L4486</f>
        <v>143.595</v>
      </c>
      <c r="N4660" s="3" t="s">
        <v>10038</v>
      </c>
      <c r="O4660" s="3" t="s">
        <v>10041</v>
      </c>
      <c r="P4660" s="17">
        <v>45714</v>
      </c>
      <c r="Q4660" s="4">
        <v>0</v>
      </c>
    </row>
    <row r="4661" spans="1:17" ht="30" x14ac:dyDescent="0.25">
      <c r="A4661" s="2" t="s">
        <v>712</v>
      </c>
      <c r="B4661" s="3" t="s">
        <v>5015</v>
      </c>
      <c r="C4661" s="3">
        <v>57</v>
      </c>
      <c r="D4661" s="46" t="str">
        <f>IF(Tabla1[[#This Row],[EDAD]]&lt;=35,"Adultos jóvenes 18 - 35 años",IF(C4661&gt;=36,"Adultos mayores 36 años en adelante"))</f>
        <v>Adultos mayores 36 años en adelante</v>
      </c>
      <c r="E4661" s="3" t="s">
        <v>5022</v>
      </c>
      <c r="F4661" s="3" t="s">
        <v>5030</v>
      </c>
      <c r="G4661" s="3" t="s">
        <v>5035</v>
      </c>
      <c r="H4661" s="3" t="s">
        <v>5735</v>
      </c>
      <c r="I4661" s="17">
        <v>45716</v>
      </c>
      <c r="J4661" s="18">
        <f>YEAR(Tabla1[[#This Row],[FECHA DE COMPRA]])</f>
        <v>2025</v>
      </c>
      <c r="K4661" s="19">
        <v>84.86</v>
      </c>
      <c r="L4661" s="20">
        <v>0.1</v>
      </c>
      <c r="M4661" s="19">
        <f>Tienda!$K4487-Tienda!$K4487*Tienda!$L4487</f>
        <v>143.79</v>
      </c>
      <c r="N4661" s="3" t="s">
        <v>10038</v>
      </c>
      <c r="O4661" s="3" t="s">
        <v>10041</v>
      </c>
      <c r="P4661" s="17">
        <v>45716</v>
      </c>
      <c r="Q4661" s="4">
        <v>0</v>
      </c>
    </row>
    <row r="4662" spans="1:17" ht="30" x14ac:dyDescent="0.25">
      <c r="A4662" s="2" t="s">
        <v>3067</v>
      </c>
      <c r="B4662" s="3" t="s">
        <v>5015</v>
      </c>
      <c r="C4662" s="3">
        <v>63</v>
      </c>
      <c r="D4662" s="46" t="str">
        <f>IF(Tabla1[[#This Row],[EDAD]]&lt;=35,"Adultos jóvenes 18 - 35 años",IF(C4662&gt;=36,"Adultos mayores 36 años en adelante"))</f>
        <v>Adultos mayores 36 años en adelante</v>
      </c>
      <c r="E4662" s="3" t="s">
        <v>5023</v>
      </c>
      <c r="F4662" s="3" t="s">
        <v>5026</v>
      </c>
      <c r="G4662" s="3" t="s">
        <v>5033</v>
      </c>
      <c r="H4662" s="3" t="s">
        <v>8090</v>
      </c>
      <c r="I4662" s="17">
        <v>45717</v>
      </c>
      <c r="J4662" s="18">
        <f>YEAR(Tabla1[[#This Row],[FECHA DE COMPRA]])</f>
        <v>2025</v>
      </c>
      <c r="K4662" s="19">
        <v>11.07</v>
      </c>
      <c r="L4662" s="20">
        <v>0.2</v>
      </c>
      <c r="M4662" s="19">
        <f>Tienda!$K4488-Tienda!$K4488*Tienda!$L4488</f>
        <v>144.38399999999999</v>
      </c>
      <c r="N4662" s="3" t="s">
        <v>10038</v>
      </c>
      <c r="O4662" s="3" t="s">
        <v>10041</v>
      </c>
      <c r="P4662" s="17">
        <v>45717</v>
      </c>
      <c r="Q4662" s="4">
        <v>0</v>
      </c>
    </row>
    <row r="4663" spans="1:17" ht="30" x14ac:dyDescent="0.25">
      <c r="A4663" s="2" t="s">
        <v>4129</v>
      </c>
      <c r="B4663" s="3" t="s">
        <v>5015</v>
      </c>
      <c r="C4663" s="3">
        <v>36</v>
      </c>
      <c r="D4663" s="46" t="str">
        <f>IF(Tabla1[[#This Row],[EDAD]]&lt;=35,"Adultos jóvenes 18 - 35 años",IF(C4663&gt;=36,"Adultos mayores 36 años en adelante"))</f>
        <v>Adultos mayores 36 años en adelante</v>
      </c>
      <c r="E4663" s="3" t="s">
        <v>5018</v>
      </c>
      <c r="F4663" s="3" t="s">
        <v>5024</v>
      </c>
      <c r="G4663" s="3" t="s">
        <v>5031</v>
      </c>
      <c r="H4663" s="3" t="s">
        <v>9152</v>
      </c>
      <c r="I4663" s="17">
        <v>45719</v>
      </c>
      <c r="J4663" s="18">
        <f>YEAR(Tabla1[[#This Row],[FECHA DE COMPRA]])</f>
        <v>2025</v>
      </c>
      <c r="K4663" s="19">
        <v>13.27</v>
      </c>
      <c r="L4663" s="20">
        <v>0.1</v>
      </c>
      <c r="M4663" s="19">
        <f>Tienda!$K4489-Tienda!$K4489*Tienda!$L4489</f>
        <v>144.80000000000001</v>
      </c>
      <c r="N4663" s="3" t="s">
        <v>10038</v>
      </c>
      <c r="O4663" s="3" t="s">
        <v>10041</v>
      </c>
      <c r="P4663" s="17">
        <v>45719</v>
      </c>
      <c r="Q4663" s="4">
        <v>0</v>
      </c>
    </row>
    <row r="4664" spans="1:17" ht="30" x14ac:dyDescent="0.25">
      <c r="A4664" s="2" t="s">
        <v>1141</v>
      </c>
      <c r="B4664" s="3" t="s">
        <v>5015</v>
      </c>
      <c r="C4664" s="3">
        <v>58</v>
      </c>
      <c r="D4664" s="46" t="str">
        <f>IF(Tabla1[[#This Row],[EDAD]]&lt;=35,"Adultos jóvenes 18 - 35 años",IF(C4664&gt;=36,"Adultos mayores 36 años en adelante"))</f>
        <v>Adultos mayores 36 años en adelante</v>
      </c>
      <c r="E4664" s="3" t="s">
        <v>5018</v>
      </c>
      <c r="F4664" s="3" t="s">
        <v>5030</v>
      </c>
      <c r="G4664" s="3" t="s">
        <v>5035</v>
      </c>
      <c r="H4664" s="3" t="s">
        <v>6164</v>
      </c>
      <c r="I4664" s="17">
        <v>45726</v>
      </c>
      <c r="J4664" s="18">
        <f>YEAR(Tabla1[[#This Row],[FECHA DE COMPRA]])</f>
        <v>2025</v>
      </c>
      <c r="K4664" s="19">
        <v>20.85</v>
      </c>
      <c r="L4664" s="20">
        <v>0</v>
      </c>
      <c r="M4664" s="19">
        <f>Tienda!$K4492-Tienda!$K4492*Tienda!$L4492</f>
        <v>146.10599999999999</v>
      </c>
      <c r="N4664" s="3" t="s">
        <v>10038</v>
      </c>
      <c r="O4664" s="3" t="s">
        <v>10041</v>
      </c>
      <c r="P4664" s="17">
        <v>45726</v>
      </c>
      <c r="Q4664" s="4">
        <v>0</v>
      </c>
    </row>
    <row r="4665" spans="1:17" ht="30" x14ac:dyDescent="0.25">
      <c r="A4665" s="2" t="s">
        <v>1084</v>
      </c>
      <c r="B4665" s="3" t="s">
        <v>5015</v>
      </c>
      <c r="C4665" s="3">
        <v>59</v>
      </c>
      <c r="D4665" s="46" t="str">
        <f>IF(Tabla1[[#This Row],[EDAD]]&lt;=35,"Adultos jóvenes 18 - 35 años",IF(C4665&gt;=36,"Adultos mayores 36 años en adelante"))</f>
        <v>Adultos mayores 36 años en adelante</v>
      </c>
      <c r="E4665" s="3" t="s">
        <v>5018</v>
      </c>
      <c r="F4665" s="3" t="s">
        <v>5030</v>
      </c>
      <c r="G4665" s="3" t="s">
        <v>5032</v>
      </c>
      <c r="H4665" s="3" t="s">
        <v>6107</v>
      </c>
      <c r="I4665" s="17">
        <v>45718</v>
      </c>
      <c r="J4665" s="18">
        <f>YEAR(Tabla1[[#This Row],[FECHA DE COMPRA]])</f>
        <v>2025</v>
      </c>
      <c r="K4665" s="19">
        <v>21.03</v>
      </c>
      <c r="L4665" s="20">
        <v>0.2</v>
      </c>
      <c r="M4665" s="19">
        <f>Tienda!$K4493-Tienda!$K4493*Tienda!$L4493</f>
        <v>146.15199999999999</v>
      </c>
      <c r="N4665" s="3" t="s">
        <v>10038</v>
      </c>
      <c r="O4665" s="3" t="s">
        <v>10041</v>
      </c>
      <c r="P4665" s="17">
        <v>45718</v>
      </c>
      <c r="Q4665" s="4">
        <v>0</v>
      </c>
    </row>
    <row r="4666" spans="1:17" ht="30" x14ac:dyDescent="0.25">
      <c r="A4666" s="2" t="s">
        <v>4322</v>
      </c>
      <c r="B4666" s="3" t="s">
        <v>5015</v>
      </c>
      <c r="C4666" s="3">
        <v>42</v>
      </c>
      <c r="D4666" s="46" t="str">
        <f>IF(Tabla1[[#This Row],[EDAD]]&lt;=35,"Adultos jóvenes 18 - 35 años",IF(C4666&gt;=36,"Adultos mayores 36 años en adelante"))</f>
        <v>Adultos mayores 36 años en adelante</v>
      </c>
      <c r="E4666" s="3" t="s">
        <v>5018</v>
      </c>
      <c r="F4666" s="3" t="s">
        <v>5030</v>
      </c>
      <c r="G4666" s="3" t="s">
        <v>5035</v>
      </c>
      <c r="H4666" s="3" t="s">
        <v>9345</v>
      </c>
      <c r="I4666" s="17">
        <v>45717</v>
      </c>
      <c r="J4666" s="18">
        <f>YEAR(Tabla1[[#This Row],[FECHA DE COMPRA]])</f>
        <v>2025</v>
      </c>
      <c r="K4666" s="19">
        <v>31.36</v>
      </c>
      <c r="L4666" s="20">
        <v>0.3</v>
      </c>
      <c r="M4666" s="19">
        <f>Tienda!$K4494-Tienda!$K4494*Tienda!$L4494</f>
        <v>146.358</v>
      </c>
      <c r="N4666" s="3" t="s">
        <v>10038</v>
      </c>
      <c r="O4666" s="3" t="s">
        <v>10041</v>
      </c>
      <c r="P4666" s="17">
        <v>45717</v>
      </c>
      <c r="Q4666" s="4">
        <v>0</v>
      </c>
    </row>
    <row r="4667" spans="1:17" ht="30" x14ac:dyDescent="0.25">
      <c r="A4667" s="2" t="s">
        <v>402</v>
      </c>
      <c r="B4667" s="3" t="s">
        <v>5015</v>
      </c>
      <c r="C4667" s="3">
        <v>42</v>
      </c>
      <c r="D4667" s="46" t="str">
        <f>IF(Tabla1[[#This Row],[EDAD]]&lt;=35,"Adultos jóvenes 18 - 35 años",IF(C4667&gt;=36,"Adultos mayores 36 años en adelante"))</f>
        <v>Adultos mayores 36 años en adelante</v>
      </c>
      <c r="E4667" s="3" t="s">
        <v>5018</v>
      </c>
      <c r="F4667" s="3" t="s">
        <v>5026</v>
      </c>
      <c r="G4667" s="3" t="s">
        <v>5032</v>
      </c>
      <c r="H4667" s="3" t="s">
        <v>5425</v>
      </c>
      <c r="I4667" s="17">
        <v>45720</v>
      </c>
      <c r="J4667" s="18">
        <f>YEAR(Tabla1[[#This Row],[FECHA DE COMPRA]])</f>
        <v>2025</v>
      </c>
      <c r="K4667" s="19">
        <v>37.770000000000003</v>
      </c>
      <c r="L4667" s="20">
        <v>0.1</v>
      </c>
      <c r="M4667" s="19">
        <f>Tienda!$K4495-Tienda!$K4495*Tienda!$L4495</f>
        <v>147.18599999999998</v>
      </c>
      <c r="N4667" s="3" t="s">
        <v>10038</v>
      </c>
      <c r="O4667" s="3" t="s">
        <v>10041</v>
      </c>
      <c r="P4667" s="17">
        <v>45720</v>
      </c>
      <c r="Q4667" s="4">
        <v>0</v>
      </c>
    </row>
    <row r="4668" spans="1:17" ht="30" x14ac:dyDescent="0.25">
      <c r="A4668" s="2" t="s">
        <v>3715</v>
      </c>
      <c r="B4668" s="3" t="s">
        <v>5015</v>
      </c>
      <c r="C4668" s="3">
        <v>50</v>
      </c>
      <c r="D4668" s="46" t="str">
        <f>IF(Tabla1[[#This Row],[EDAD]]&lt;=35,"Adultos jóvenes 18 - 35 años",IF(C4668&gt;=36,"Adultos mayores 36 años en adelante"))</f>
        <v>Adultos mayores 36 años en adelante</v>
      </c>
      <c r="E4668" s="3" t="s">
        <v>5017</v>
      </c>
      <c r="F4668" s="3" t="s">
        <v>5025</v>
      </c>
      <c r="G4668" s="3" t="s">
        <v>5032</v>
      </c>
      <c r="H4668" s="3" t="s">
        <v>8738</v>
      </c>
      <c r="I4668" s="17">
        <v>45719</v>
      </c>
      <c r="J4668" s="18">
        <f>YEAR(Tabla1[[#This Row],[FECHA DE COMPRA]])</f>
        <v>2025</v>
      </c>
      <c r="K4668" s="19">
        <v>38.35</v>
      </c>
      <c r="L4668" s="20">
        <v>0</v>
      </c>
      <c r="M4668" s="19">
        <f>Tienda!$K4496-Tienda!$K4496*Tienda!$L4496</f>
        <v>147.744</v>
      </c>
      <c r="N4668" s="3" t="s">
        <v>10038</v>
      </c>
      <c r="O4668" s="3" t="s">
        <v>10041</v>
      </c>
      <c r="P4668" s="17">
        <v>45719</v>
      </c>
      <c r="Q4668" s="4">
        <v>0</v>
      </c>
    </row>
    <row r="4669" spans="1:17" ht="30" x14ac:dyDescent="0.25">
      <c r="A4669" s="2" t="s">
        <v>1306</v>
      </c>
      <c r="B4669" s="3" t="s">
        <v>5015</v>
      </c>
      <c r="C4669" s="3">
        <v>51</v>
      </c>
      <c r="D4669" s="46" t="str">
        <f>IF(Tabla1[[#This Row],[EDAD]]&lt;=35,"Adultos jóvenes 18 - 35 años",IF(C4669&gt;=36,"Adultos mayores 36 años en adelante"))</f>
        <v>Adultos mayores 36 años en adelante</v>
      </c>
      <c r="E4669" s="3" t="s">
        <v>5020</v>
      </c>
      <c r="F4669" s="3" t="s">
        <v>5028</v>
      </c>
      <c r="G4669" s="3" t="s">
        <v>5032</v>
      </c>
      <c r="H4669" s="3" t="s">
        <v>6329</v>
      </c>
      <c r="I4669" s="17">
        <v>45721</v>
      </c>
      <c r="J4669" s="18">
        <f>YEAR(Tabla1[[#This Row],[FECHA DE COMPRA]])</f>
        <v>2025</v>
      </c>
      <c r="K4669" s="19">
        <v>51.74</v>
      </c>
      <c r="L4669" s="20">
        <v>0.3</v>
      </c>
      <c r="M4669" s="19">
        <f>Tienda!$K4498-Tienda!$K4498*Tienda!$L4498</f>
        <v>148.30199999999999</v>
      </c>
      <c r="N4669" s="3" t="s">
        <v>10038</v>
      </c>
      <c r="O4669" s="3" t="s">
        <v>10041</v>
      </c>
      <c r="P4669" s="17">
        <v>45721</v>
      </c>
      <c r="Q4669" s="4">
        <v>0</v>
      </c>
    </row>
    <row r="4670" spans="1:17" ht="30" x14ac:dyDescent="0.25">
      <c r="A4670" s="2" t="s">
        <v>4275</v>
      </c>
      <c r="B4670" s="3" t="s">
        <v>5015</v>
      </c>
      <c r="C4670" s="3">
        <v>61</v>
      </c>
      <c r="D4670" s="46" t="str">
        <f>IF(Tabla1[[#This Row],[EDAD]]&lt;=35,"Adultos jóvenes 18 - 35 años",IF(C4670&gt;=36,"Adultos mayores 36 años en adelante"))</f>
        <v>Adultos mayores 36 años en adelante</v>
      </c>
      <c r="E4670" s="3" t="s">
        <v>5020</v>
      </c>
      <c r="F4670" s="3" t="s">
        <v>5024</v>
      </c>
      <c r="G4670" s="3" t="s">
        <v>5034</v>
      </c>
      <c r="H4670" s="3" t="s">
        <v>9298</v>
      </c>
      <c r="I4670" s="17">
        <v>45717</v>
      </c>
      <c r="J4670" s="18">
        <f>YEAR(Tabla1[[#This Row],[FECHA DE COMPRA]])</f>
        <v>2025</v>
      </c>
      <c r="K4670" s="19">
        <v>54.73</v>
      </c>
      <c r="L4670" s="20">
        <v>0.2</v>
      </c>
      <c r="M4670" s="19">
        <f>Tienda!$K4500-Tienda!$K4500*Tienda!$L4500</f>
        <v>149.01</v>
      </c>
      <c r="N4670" s="3" t="s">
        <v>10038</v>
      </c>
      <c r="O4670" s="3" t="s">
        <v>10041</v>
      </c>
      <c r="P4670" s="17">
        <v>45717</v>
      </c>
      <c r="Q4670" s="4">
        <v>0</v>
      </c>
    </row>
    <row r="4671" spans="1:17" ht="30" x14ac:dyDescent="0.25">
      <c r="A4671" s="2" t="s">
        <v>3232</v>
      </c>
      <c r="B4671" s="3" t="s">
        <v>5015</v>
      </c>
      <c r="C4671" s="3">
        <v>62</v>
      </c>
      <c r="D4671" s="46" t="str">
        <f>IF(Tabla1[[#This Row],[EDAD]]&lt;=35,"Adultos jóvenes 18 - 35 años",IF(C4671&gt;=36,"Adultos mayores 36 años en adelante"))</f>
        <v>Adultos mayores 36 años en adelante</v>
      </c>
      <c r="E4671" s="3" t="s">
        <v>5021</v>
      </c>
      <c r="F4671" s="3" t="s">
        <v>5029</v>
      </c>
      <c r="G4671" s="3" t="s">
        <v>5034</v>
      </c>
      <c r="H4671" s="3" t="s">
        <v>8255</v>
      </c>
      <c r="I4671" s="17">
        <v>45743</v>
      </c>
      <c r="J4671" s="18">
        <f>YEAR(Tabla1[[#This Row],[FECHA DE COMPRA]])</f>
        <v>2025</v>
      </c>
      <c r="K4671" s="19">
        <v>57.22</v>
      </c>
      <c r="L4671" s="20">
        <v>0</v>
      </c>
      <c r="M4671" s="19">
        <f>Tienda!$K4502-Tienda!$K4502*Tienda!$L4502</f>
        <v>149.66400000000002</v>
      </c>
      <c r="N4671" s="3" t="s">
        <v>10038</v>
      </c>
      <c r="O4671" s="3" t="s">
        <v>10041</v>
      </c>
      <c r="P4671" s="17">
        <v>45743</v>
      </c>
      <c r="Q4671" s="4">
        <v>0</v>
      </c>
    </row>
    <row r="4672" spans="1:17" ht="30" x14ac:dyDescent="0.25">
      <c r="A4672" s="2" t="s">
        <v>986</v>
      </c>
      <c r="B4672" s="3" t="s">
        <v>5015</v>
      </c>
      <c r="C4672" s="3">
        <v>56</v>
      </c>
      <c r="D4672" s="46" t="str">
        <f>IF(Tabla1[[#This Row],[EDAD]]&lt;=35,"Adultos jóvenes 18 - 35 años",IF(C4672&gt;=36,"Adultos mayores 36 años en adelante"))</f>
        <v>Adultos mayores 36 años en adelante</v>
      </c>
      <c r="E4672" s="3" t="s">
        <v>5018</v>
      </c>
      <c r="F4672" s="3" t="s">
        <v>5028</v>
      </c>
      <c r="G4672" s="3" t="s">
        <v>5034</v>
      </c>
      <c r="H4672" s="3" t="s">
        <v>6009</v>
      </c>
      <c r="I4672" s="17">
        <v>45720</v>
      </c>
      <c r="J4672" s="18">
        <f>YEAR(Tabla1[[#This Row],[FECHA DE COMPRA]])</f>
        <v>2025</v>
      </c>
      <c r="K4672" s="19">
        <v>61.05</v>
      </c>
      <c r="L4672" s="20">
        <v>0</v>
      </c>
      <c r="M4672" s="19">
        <f>Tienda!$K4503-Tienda!$K4503*Tienda!$L4503</f>
        <v>150.80000000000001</v>
      </c>
      <c r="N4672" s="3" t="s">
        <v>10038</v>
      </c>
      <c r="O4672" s="3" t="s">
        <v>10041</v>
      </c>
      <c r="P4672" s="17">
        <v>45720</v>
      </c>
      <c r="Q4672" s="4">
        <v>0</v>
      </c>
    </row>
    <row r="4673" spans="1:17" ht="30" x14ac:dyDescent="0.25">
      <c r="A4673" s="2" t="s">
        <v>3801</v>
      </c>
      <c r="B4673" s="3" t="s">
        <v>5015</v>
      </c>
      <c r="C4673" s="3">
        <v>48</v>
      </c>
      <c r="D4673" s="46" t="str">
        <f>IF(Tabla1[[#This Row],[EDAD]]&lt;=35,"Adultos jóvenes 18 - 35 años",IF(C4673&gt;=36,"Adultos mayores 36 años en adelante"))</f>
        <v>Adultos mayores 36 años en adelante</v>
      </c>
      <c r="E4673" s="3" t="s">
        <v>5021</v>
      </c>
      <c r="F4673" s="3" t="s">
        <v>5024</v>
      </c>
      <c r="G4673" s="3" t="s">
        <v>5033</v>
      </c>
      <c r="H4673" s="3" t="s">
        <v>8824</v>
      </c>
      <c r="I4673" s="17">
        <v>45733</v>
      </c>
      <c r="J4673" s="18">
        <f>YEAR(Tabla1[[#This Row],[FECHA DE COMPRA]])</f>
        <v>2025</v>
      </c>
      <c r="K4673" s="19">
        <v>63.61</v>
      </c>
      <c r="L4673" s="20">
        <v>0.3</v>
      </c>
      <c r="M4673" s="19">
        <f>Tienda!$K4504-Tienda!$K4504*Tienda!$L4504</f>
        <v>151.19999999999999</v>
      </c>
      <c r="N4673" s="3" t="s">
        <v>10038</v>
      </c>
      <c r="O4673" s="3" t="s">
        <v>10041</v>
      </c>
      <c r="P4673" s="17">
        <v>45733</v>
      </c>
      <c r="Q4673" s="4">
        <v>0</v>
      </c>
    </row>
    <row r="4674" spans="1:17" ht="30" x14ac:dyDescent="0.25">
      <c r="A4674" s="2" t="s">
        <v>3747</v>
      </c>
      <c r="B4674" s="3" t="s">
        <v>5015</v>
      </c>
      <c r="C4674" s="3">
        <v>62</v>
      </c>
      <c r="D4674" s="46" t="str">
        <f>IF(Tabla1[[#This Row],[EDAD]]&lt;=35,"Adultos jóvenes 18 - 35 años",IF(C4674&gt;=36,"Adultos mayores 36 años en adelante"))</f>
        <v>Adultos mayores 36 años en adelante</v>
      </c>
      <c r="E4674" s="3" t="s">
        <v>5022</v>
      </c>
      <c r="F4674" s="3" t="s">
        <v>5029</v>
      </c>
      <c r="G4674" s="3" t="s">
        <v>5032</v>
      </c>
      <c r="H4674" s="3" t="s">
        <v>8770</v>
      </c>
      <c r="I4674" s="17">
        <v>45739</v>
      </c>
      <c r="J4674" s="18">
        <f>YEAR(Tabla1[[#This Row],[FECHA DE COMPRA]])</f>
        <v>2025</v>
      </c>
      <c r="K4674" s="19">
        <v>91.26</v>
      </c>
      <c r="L4674" s="20">
        <v>0.3</v>
      </c>
      <c r="M4674" s="19">
        <f>Tienda!$K4507-Tienda!$K4507*Tienda!$L4507</f>
        <v>153.00899999999999</v>
      </c>
      <c r="N4674" s="3" t="s">
        <v>10038</v>
      </c>
      <c r="O4674" s="3" t="s">
        <v>10041</v>
      </c>
      <c r="P4674" s="17">
        <v>45739</v>
      </c>
      <c r="Q4674" s="4">
        <v>0</v>
      </c>
    </row>
    <row r="4675" spans="1:17" ht="30" x14ac:dyDescent="0.25">
      <c r="A4675" s="2" t="s">
        <v>4932</v>
      </c>
      <c r="B4675" s="3" t="s">
        <v>5015</v>
      </c>
      <c r="C4675" s="3">
        <v>53</v>
      </c>
      <c r="D4675" s="46" t="str">
        <f>IF(Tabla1[[#This Row],[EDAD]]&lt;=35,"Adultos jóvenes 18 - 35 años",IF(C4675&gt;=36,"Adultos mayores 36 años en adelante"))</f>
        <v>Adultos mayores 36 años en adelante</v>
      </c>
      <c r="E4675" s="3" t="s">
        <v>5022</v>
      </c>
      <c r="F4675" s="3" t="s">
        <v>5029</v>
      </c>
      <c r="G4675" s="3" t="s">
        <v>5036</v>
      </c>
      <c r="H4675" s="3" t="s">
        <v>9955</v>
      </c>
      <c r="I4675" s="17">
        <v>45726</v>
      </c>
      <c r="J4675" s="18">
        <f>YEAR(Tabla1[[#This Row],[FECHA DE COMPRA]])</f>
        <v>2025</v>
      </c>
      <c r="K4675" s="19">
        <v>99.17</v>
      </c>
      <c r="L4675" s="20">
        <v>0.3</v>
      </c>
      <c r="M4675" s="19">
        <f>Tienda!$K4509-Tienda!$K4509*Tienda!$L4509</f>
        <v>153.49600000000001</v>
      </c>
      <c r="N4675" s="3" t="s">
        <v>10038</v>
      </c>
      <c r="O4675" s="3" t="s">
        <v>10041</v>
      </c>
      <c r="P4675" s="17">
        <v>45726</v>
      </c>
      <c r="Q4675" s="4">
        <v>0</v>
      </c>
    </row>
    <row r="4676" spans="1:17" ht="30" x14ac:dyDescent="0.25">
      <c r="A4676" s="2" t="s">
        <v>773</v>
      </c>
      <c r="B4676" s="3" t="s">
        <v>5015</v>
      </c>
      <c r="C4676" s="3">
        <v>47</v>
      </c>
      <c r="D4676" s="46" t="str">
        <f>IF(Tabla1[[#This Row],[EDAD]]&lt;=35,"Adultos jóvenes 18 - 35 años",IF(C4676&gt;=36,"Adultos mayores 36 años en adelante"))</f>
        <v>Adultos mayores 36 años en adelante</v>
      </c>
      <c r="E4676" s="3" t="s">
        <v>5017</v>
      </c>
      <c r="F4676" s="3" t="s">
        <v>5025</v>
      </c>
      <c r="G4676" s="3" t="s">
        <v>5032</v>
      </c>
      <c r="H4676" s="3" t="s">
        <v>5796</v>
      </c>
      <c r="I4676" s="17">
        <v>45718</v>
      </c>
      <c r="J4676" s="18">
        <f>YEAR(Tabla1[[#This Row],[FECHA DE COMPRA]])</f>
        <v>2025</v>
      </c>
      <c r="K4676" s="19">
        <v>100.39</v>
      </c>
      <c r="L4676" s="20">
        <v>0.1</v>
      </c>
      <c r="M4676" s="19">
        <f>Tienda!$K4510-Tienda!$K4510*Tienda!$L4510</f>
        <v>153.768</v>
      </c>
      <c r="N4676" s="3" t="s">
        <v>10038</v>
      </c>
      <c r="O4676" s="3" t="s">
        <v>10041</v>
      </c>
      <c r="P4676" s="17">
        <v>45718</v>
      </c>
      <c r="Q4676" s="4">
        <v>0</v>
      </c>
    </row>
    <row r="4677" spans="1:17" ht="30" x14ac:dyDescent="0.25">
      <c r="A4677" s="2" t="s">
        <v>3583</v>
      </c>
      <c r="B4677" s="3" t="s">
        <v>5015</v>
      </c>
      <c r="C4677" s="3">
        <v>61</v>
      </c>
      <c r="D4677" s="46" t="str">
        <f>IF(Tabla1[[#This Row],[EDAD]]&lt;=35,"Adultos jóvenes 18 - 35 años",IF(C4677&gt;=36,"Adultos mayores 36 años en adelante"))</f>
        <v>Adultos mayores 36 años en adelante</v>
      </c>
      <c r="E4677" s="3" t="s">
        <v>5018</v>
      </c>
      <c r="F4677" s="3" t="s">
        <v>5024</v>
      </c>
      <c r="G4677" s="3" t="s">
        <v>5034</v>
      </c>
      <c r="H4677" s="3" t="s">
        <v>8606</v>
      </c>
      <c r="I4677" s="17">
        <v>45744</v>
      </c>
      <c r="J4677" s="18">
        <f>YEAR(Tabla1[[#This Row],[FECHA DE COMPRA]])</f>
        <v>2025</v>
      </c>
      <c r="K4677" s="19">
        <v>100.6</v>
      </c>
      <c r="L4677" s="20">
        <v>0.3</v>
      </c>
      <c r="M4677" s="19">
        <f>Tienda!$K4511-Tienda!$K4511*Tienda!$L4511</f>
        <v>154.13</v>
      </c>
      <c r="N4677" s="3" t="s">
        <v>10038</v>
      </c>
      <c r="O4677" s="3" t="s">
        <v>10041</v>
      </c>
      <c r="P4677" s="17">
        <v>45744</v>
      </c>
      <c r="Q4677" s="4">
        <v>0</v>
      </c>
    </row>
    <row r="4678" spans="1:17" ht="30" x14ac:dyDescent="0.25">
      <c r="A4678" s="2" t="s">
        <v>4502</v>
      </c>
      <c r="B4678" s="3" t="s">
        <v>5015</v>
      </c>
      <c r="C4678" s="3">
        <v>57</v>
      </c>
      <c r="D4678" s="46" t="str">
        <f>IF(Tabla1[[#This Row],[EDAD]]&lt;=35,"Adultos jóvenes 18 - 35 años",IF(C4678&gt;=36,"Adultos mayores 36 años en adelante"))</f>
        <v>Adultos mayores 36 años en adelante</v>
      </c>
      <c r="E4678" s="3" t="s">
        <v>5023</v>
      </c>
      <c r="F4678" s="3" t="s">
        <v>5027</v>
      </c>
      <c r="G4678" s="3" t="s">
        <v>5032</v>
      </c>
      <c r="H4678" s="3" t="s">
        <v>9525</v>
      </c>
      <c r="I4678" s="17">
        <v>45718</v>
      </c>
      <c r="J4678" s="18">
        <f>YEAR(Tabla1[[#This Row],[FECHA DE COMPRA]])</f>
        <v>2025</v>
      </c>
      <c r="K4678" s="19">
        <v>107.67</v>
      </c>
      <c r="L4678" s="20">
        <v>0.3</v>
      </c>
      <c r="M4678" s="19">
        <f>Tienda!$K4512-Tienda!$K4512*Tienda!$L4512</f>
        <v>154.512</v>
      </c>
      <c r="N4678" s="3" t="s">
        <v>10038</v>
      </c>
      <c r="O4678" s="3" t="s">
        <v>10041</v>
      </c>
      <c r="P4678" s="17">
        <v>45718</v>
      </c>
      <c r="Q4678" s="4">
        <v>0</v>
      </c>
    </row>
    <row r="4679" spans="1:17" ht="30" x14ac:dyDescent="0.25">
      <c r="A4679" s="2" t="s">
        <v>3250</v>
      </c>
      <c r="B4679" s="3" t="s">
        <v>5015</v>
      </c>
      <c r="C4679" s="3">
        <v>52</v>
      </c>
      <c r="D4679" s="46" t="str">
        <f>IF(Tabla1[[#This Row],[EDAD]]&lt;=35,"Adultos jóvenes 18 - 35 años",IF(C4679&gt;=36,"Adultos mayores 36 años en adelante"))</f>
        <v>Adultos mayores 36 años en adelante</v>
      </c>
      <c r="E4679" s="3" t="s">
        <v>5021</v>
      </c>
      <c r="F4679" s="3" t="s">
        <v>5025</v>
      </c>
      <c r="G4679" s="3" t="s">
        <v>5035</v>
      </c>
      <c r="H4679" s="3" t="s">
        <v>8273</v>
      </c>
      <c r="I4679" s="17">
        <v>45717</v>
      </c>
      <c r="J4679" s="18">
        <f>YEAR(Tabla1[[#This Row],[FECHA DE COMPRA]])</f>
        <v>2025</v>
      </c>
      <c r="K4679" s="19">
        <v>112.04</v>
      </c>
      <c r="L4679" s="20">
        <v>0</v>
      </c>
      <c r="M4679" s="19">
        <f>Tienda!$K4514-Tienda!$K4514*Tienda!$L4514</f>
        <v>155.196</v>
      </c>
      <c r="N4679" s="3" t="s">
        <v>10038</v>
      </c>
      <c r="O4679" s="3" t="s">
        <v>10041</v>
      </c>
      <c r="P4679" s="17">
        <v>45717</v>
      </c>
      <c r="Q4679" s="4">
        <v>0</v>
      </c>
    </row>
    <row r="4680" spans="1:17" ht="30" x14ac:dyDescent="0.25">
      <c r="A4680" s="2" t="s">
        <v>3796</v>
      </c>
      <c r="B4680" s="3" t="s">
        <v>5015</v>
      </c>
      <c r="C4680" s="3">
        <v>37</v>
      </c>
      <c r="D4680" s="46" t="str">
        <f>IF(Tabla1[[#This Row],[EDAD]]&lt;=35,"Adultos jóvenes 18 - 35 años",IF(C4680&gt;=36,"Adultos mayores 36 años en adelante"))</f>
        <v>Adultos mayores 36 años en adelante</v>
      </c>
      <c r="E4680" s="3" t="s">
        <v>5018</v>
      </c>
      <c r="F4680" s="3" t="s">
        <v>5024</v>
      </c>
      <c r="G4680" s="3" t="s">
        <v>5036</v>
      </c>
      <c r="H4680" s="3" t="s">
        <v>8819</v>
      </c>
      <c r="I4680" s="17">
        <v>45731</v>
      </c>
      <c r="J4680" s="18">
        <f>YEAR(Tabla1[[#This Row],[FECHA DE COMPRA]])</f>
        <v>2025</v>
      </c>
      <c r="K4680" s="19">
        <v>148.86000000000001</v>
      </c>
      <c r="L4680" s="20">
        <v>0.1</v>
      </c>
      <c r="M4680" s="19">
        <f>Tienda!$K4519-Tienda!$K4519*Tienda!$L4519</f>
        <v>157.36000000000001</v>
      </c>
      <c r="N4680" s="3" t="s">
        <v>10038</v>
      </c>
      <c r="O4680" s="3" t="s">
        <v>10041</v>
      </c>
      <c r="P4680" s="17">
        <v>45731</v>
      </c>
      <c r="Q4680" s="4">
        <v>0</v>
      </c>
    </row>
    <row r="4681" spans="1:17" ht="30" x14ac:dyDescent="0.25">
      <c r="A4681" s="2" t="s">
        <v>2869</v>
      </c>
      <c r="B4681" s="3" t="s">
        <v>5015</v>
      </c>
      <c r="C4681" s="3">
        <v>49</v>
      </c>
      <c r="D4681" s="46" t="str">
        <f>IF(Tabla1[[#This Row],[EDAD]]&lt;=35,"Adultos jóvenes 18 - 35 años",IF(C4681&gt;=36,"Adultos mayores 36 años en adelante"))</f>
        <v>Adultos mayores 36 años en adelante</v>
      </c>
      <c r="E4681" s="3" t="s">
        <v>5021</v>
      </c>
      <c r="F4681" s="3" t="s">
        <v>5029</v>
      </c>
      <c r="G4681" s="3" t="s">
        <v>5033</v>
      </c>
      <c r="H4681" s="3" t="s">
        <v>7892</v>
      </c>
      <c r="I4681" s="17">
        <v>45735</v>
      </c>
      <c r="J4681" s="18">
        <f>YEAR(Tabla1[[#This Row],[FECHA DE COMPRA]])</f>
        <v>2025</v>
      </c>
      <c r="K4681" s="19">
        <v>155.71</v>
      </c>
      <c r="L4681" s="20">
        <v>0.3</v>
      </c>
      <c r="M4681" s="19">
        <f>Tienda!$K4520-Tienda!$K4520*Tienda!$L4520</f>
        <v>157.66</v>
      </c>
      <c r="N4681" s="3" t="s">
        <v>10038</v>
      </c>
      <c r="O4681" s="3" t="s">
        <v>10041</v>
      </c>
      <c r="P4681" s="17">
        <v>45735</v>
      </c>
      <c r="Q4681" s="4">
        <v>0</v>
      </c>
    </row>
    <row r="4682" spans="1:17" ht="30" x14ac:dyDescent="0.25">
      <c r="A4682" s="2" t="s">
        <v>1674</v>
      </c>
      <c r="B4682" s="3" t="s">
        <v>5015</v>
      </c>
      <c r="C4682" s="3">
        <v>59</v>
      </c>
      <c r="D4682" s="46" t="str">
        <f>IF(Tabla1[[#This Row],[EDAD]]&lt;=35,"Adultos jóvenes 18 - 35 años",IF(C4682&gt;=36,"Adultos mayores 36 años en adelante"))</f>
        <v>Adultos mayores 36 años en adelante</v>
      </c>
      <c r="E4682" s="3" t="s">
        <v>5021</v>
      </c>
      <c r="F4682" s="3" t="s">
        <v>5029</v>
      </c>
      <c r="G4682" s="3" t="s">
        <v>5035</v>
      </c>
      <c r="H4682" s="3" t="s">
        <v>6697</v>
      </c>
      <c r="I4682" s="17">
        <v>45723</v>
      </c>
      <c r="J4682" s="18">
        <f>YEAR(Tabla1[[#This Row],[FECHA DE COMPRA]])</f>
        <v>2025</v>
      </c>
      <c r="K4682" s="19">
        <v>173.34</v>
      </c>
      <c r="L4682" s="20">
        <v>0</v>
      </c>
      <c r="M4682" s="19">
        <f>Tienda!$K4521-Tienda!$K4521*Tienda!$L4521</f>
        <v>158.44999999999999</v>
      </c>
      <c r="N4682" s="3" t="s">
        <v>10038</v>
      </c>
      <c r="O4682" s="3" t="s">
        <v>10041</v>
      </c>
      <c r="P4682" s="17">
        <v>45723</v>
      </c>
      <c r="Q4682" s="4">
        <v>0</v>
      </c>
    </row>
    <row r="4683" spans="1:17" ht="30" x14ac:dyDescent="0.25">
      <c r="A4683" s="2" t="s">
        <v>2809</v>
      </c>
      <c r="B4683" s="3" t="s">
        <v>5015</v>
      </c>
      <c r="C4683" s="3">
        <v>42</v>
      </c>
      <c r="D4683" s="46" t="str">
        <f>IF(Tabla1[[#This Row],[EDAD]]&lt;=35,"Adultos jóvenes 18 - 35 años",IF(C4683&gt;=36,"Adultos mayores 36 años en adelante"))</f>
        <v>Adultos mayores 36 años en adelante</v>
      </c>
      <c r="E4683" s="3" t="s">
        <v>5023</v>
      </c>
      <c r="F4683" s="3" t="s">
        <v>5028</v>
      </c>
      <c r="G4683" s="3" t="s">
        <v>5037</v>
      </c>
      <c r="H4683" s="3" t="s">
        <v>7832</v>
      </c>
      <c r="I4683" s="17">
        <v>45738</v>
      </c>
      <c r="J4683" s="18">
        <f>YEAR(Tabla1[[#This Row],[FECHA DE COMPRA]])</f>
        <v>2025</v>
      </c>
      <c r="K4683" s="19">
        <v>176.27</v>
      </c>
      <c r="L4683" s="20">
        <v>0.3</v>
      </c>
      <c r="M4683" s="19">
        <f>Tienda!$K4523-Tienda!$K4523*Tienda!$L4523</f>
        <v>159.66899999999998</v>
      </c>
      <c r="N4683" s="3" t="s">
        <v>10038</v>
      </c>
      <c r="O4683" s="3" t="s">
        <v>10041</v>
      </c>
      <c r="P4683" s="17">
        <v>45738</v>
      </c>
      <c r="Q4683" s="4">
        <v>0</v>
      </c>
    </row>
    <row r="4684" spans="1:17" ht="30" x14ac:dyDescent="0.25">
      <c r="A4684" s="2" t="s">
        <v>1808</v>
      </c>
      <c r="B4684" s="3" t="s">
        <v>5016</v>
      </c>
      <c r="C4684" s="3">
        <v>57</v>
      </c>
      <c r="D4684" s="46" t="str">
        <f>IF(Tabla1[[#This Row],[EDAD]]&lt;=35,"Adultos jóvenes 18 - 35 años",IF(C4684&gt;=36,"Adultos mayores 36 años en adelante"))</f>
        <v>Adultos mayores 36 años en adelante</v>
      </c>
      <c r="E4684" s="3" t="s">
        <v>5023</v>
      </c>
      <c r="F4684" s="3" t="s">
        <v>5027</v>
      </c>
      <c r="G4684" s="3" t="s">
        <v>5031</v>
      </c>
      <c r="H4684" s="3" t="s">
        <v>6831</v>
      </c>
      <c r="I4684" s="17">
        <v>45717</v>
      </c>
      <c r="J4684" s="18">
        <f>YEAR(Tabla1[[#This Row],[FECHA DE COMPRA]])</f>
        <v>2025</v>
      </c>
      <c r="K4684" s="19">
        <v>191.47</v>
      </c>
      <c r="L4684" s="20">
        <v>0.2</v>
      </c>
      <c r="M4684" s="19">
        <f>Tienda!$K4524-Tienda!$K4524*Tienda!$L4524</f>
        <v>160.38</v>
      </c>
      <c r="N4684" s="3" t="s">
        <v>10038</v>
      </c>
      <c r="O4684" s="3" t="s">
        <v>10041</v>
      </c>
      <c r="P4684" s="17">
        <v>45717</v>
      </c>
      <c r="Q4684" s="4">
        <v>0</v>
      </c>
    </row>
    <row r="4685" spans="1:17" ht="30" x14ac:dyDescent="0.25">
      <c r="A4685" s="2" t="s">
        <v>1217</v>
      </c>
      <c r="B4685" s="3" t="s">
        <v>5016</v>
      </c>
      <c r="C4685" s="3">
        <v>43</v>
      </c>
      <c r="D4685" s="46" t="str">
        <f>IF(Tabla1[[#This Row],[EDAD]]&lt;=35,"Adultos jóvenes 18 - 35 años",IF(C4685&gt;=36,"Adultos mayores 36 años en adelante"))</f>
        <v>Adultos mayores 36 años en adelante</v>
      </c>
      <c r="E4685" s="3" t="s">
        <v>5019</v>
      </c>
      <c r="F4685" s="3" t="s">
        <v>5028</v>
      </c>
      <c r="G4685" s="3" t="s">
        <v>5036</v>
      </c>
      <c r="H4685" s="3" t="s">
        <v>6240</v>
      </c>
      <c r="I4685" s="17">
        <v>45723</v>
      </c>
      <c r="J4685" s="18">
        <f>YEAR(Tabla1[[#This Row],[FECHA DE COMPRA]])</f>
        <v>2025</v>
      </c>
      <c r="K4685" s="19">
        <v>198.74</v>
      </c>
      <c r="L4685" s="20">
        <v>0.3</v>
      </c>
      <c r="M4685" s="19">
        <f>Tienda!$K4525-Tienda!$K4525*Tienda!$L4525</f>
        <v>161.95499999999998</v>
      </c>
      <c r="N4685" s="3" t="s">
        <v>10038</v>
      </c>
      <c r="O4685" s="3" t="s">
        <v>10041</v>
      </c>
      <c r="P4685" s="17">
        <v>45723</v>
      </c>
      <c r="Q4685" s="4">
        <v>0</v>
      </c>
    </row>
    <row r="4686" spans="1:17" ht="30" x14ac:dyDescent="0.25">
      <c r="A4686" s="2" t="s">
        <v>2410</v>
      </c>
      <c r="B4686" s="3" t="s">
        <v>5015</v>
      </c>
      <c r="C4686" s="3">
        <v>36</v>
      </c>
      <c r="D4686" s="46" t="str">
        <f>IF(Tabla1[[#This Row],[EDAD]]&lt;=35,"Adultos jóvenes 18 - 35 años",IF(C4686&gt;=36,"Adultos mayores 36 años en adelante"))</f>
        <v>Adultos mayores 36 años en adelante</v>
      </c>
      <c r="E4686" s="3" t="s">
        <v>5017</v>
      </c>
      <c r="F4686" s="3" t="s">
        <v>5029</v>
      </c>
      <c r="G4686" s="3" t="s">
        <v>5034</v>
      </c>
      <c r="H4686" s="3" t="s">
        <v>7433</v>
      </c>
      <c r="I4686" s="17">
        <v>45764</v>
      </c>
      <c r="J4686" s="18">
        <f>YEAR(Tabla1[[#This Row],[FECHA DE COMPRA]])</f>
        <v>2025</v>
      </c>
      <c r="K4686" s="19">
        <v>15.64</v>
      </c>
      <c r="L4686" s="20">
        <v>0</v>
      </c>
      <c r="M4686" s="19">
        <f>Tienda!$K4527-Tienda!$K4527*Tienda!$L4527</f>
        <v>164.74</v>
      </c>
      <c r="N4686" s="3" t="s">
        <v>10038</v>
      </c>
      <c r="O4686" s="3" t="s">
        <v>10041</v>
      </c>
      <c r="P4686" s="17">
        <v>45764</v>
      </c>
      <c r="Q4686" s="4">
        <v>0</v>
      </c>
    </row>
    <row r="4687" spans="1:17" ht="30" x14ac:dyDescent="0.25">
      <c r="A4687" s="2" t="s">
        <v>769</v>
      </c>
      <c r="B4687" s="3" t="s">
        <v>5015</v>
      </c>
      <c r="C4687" s="3">
        <v>42</v>
      </c>
      <c r="D4687" s="46" t="str">
        <f>IF(Tabla1[[#This Row],[EDAD]]&lt;=35,"Adultos jóvenes 18 - 35 años",IF(C4687&gt;=36,"Adultos mayores 36 años en adelante"))</f>
        <v>Adultos mayores 36 años en adelante</v>
      </c>
      <c r="E4687" s="3" t="s">
        <v>5017</v>
      </c>
      <c r="F4687" s="3" t="s">
        <v>5027</v>
      </c>
      <c r="G4687" s="3" t="s">
        <v>5036</v>
      </c>
      <c r="H4687" s="3" t="s">
        <v>5792</v>
      </c>
      <c r="I4687" s="17">
        <v>45769</v>
      </c>
      <c r="J4687" s="18">
        <f>YEAR(Tabla1[[#This Row],[FECHA DE COMPRA]])</f>
        <v>2025</v>
      </c>
      <c r="K4687" s="19">
        <v>27.19</v>
      </c>
      <c r="L4687" s="20">
        <v>0.1</v>
      </c>
      <c r="M4687" s="19">
        <f>Tienda!$K4528-Tienda!$K4528*Tienda!$L4528</f>
        <v>165.29399999999998</v>
      </c>
      <c r="N4687" s="3" t="s">
        <v>10038</v>
      </c>
      <c r="O4687" s="3" t="s">
        <v>10041</v>
      </c>
      <c r="P4687" s="17">
        <v>45769</v>
      </c>
      <c r="Q4687" s="4">
        <v>0</v>
      </c>
    </row>
    <row r="4688" spans="1:17" ht="30" x14ac:dyDescent="0.25">
      <c r="A4688" s="2" t="s">
        <v>2267</v>
      </c>
      <c r="B4688" s="3" t="s">
        <v>5016</v>
      </c>
      <c r="C4688" s="3">
        <v>43</v>
      </c>
      <c r="D4688" s="46" t="str">
        <f>IF(Tabla1[[#This Row],[EDAD]]&lt;=35,"Adultos jóvenes 18 - 35 años",IF(C4688&gt;=36,"Adultos mayores 36 años en adelante"))</f>
        <v>Adultos mayores 36 años en adelante</v>
      </c>
      <c r="E4688" s="3" t="s">
        <v>5021</v>
      </c>
      <c r="F4688" s="3" t="s">
        <v>5026</v>
      </c>
      <c r="G4688" s="3" t="s">
        <v>5034</v>
      </c>
      <c r="H4688" s="3" t="s">
        <v>7290</v>
      </c>
      <c r="I4688" s="17">
        <v>45768</v>
      </c>
      <c r="J4688" s="18">
        <f>YEAR(Tabla1[[#This Row],[FECHA DE COMPRA]])</f>
        <v>2025</v>
      </c>
      <c r="K4688" s="19">
        <v>34.979999999999997</v>
      </c>
      <c r="L4688" s="20">
        <v>0.3</v>
      </c>
      <c r="M4688" s="19">
        <f>Tienda!$K4529-Tienda!$K4529*Tienda!$L4529</f>
        <v>165.36600000000001</v>
      </c>
      <c r="N4688" s="3" t="s">
        <v>10038</v>
      </c>
      <c r="O4688" s="3" t="s">
        <v>10041</v>
      </c>
      <c r="P4688" s="17">
        <v>45768</v>
      </c>
      <c r="Q4688" s="4">
        <v>0</v>
      </c>
    </row>
    <row r="4689" spans="1:17" ht="30" x14ac:dyDescent="0.25">
      <c r="A4689" s="2" t="s">
        <v>3668</v>
      </c>
      <c r="B4689" s="3" t="s">
        <v>5015</v>
      </c>
      <c r="C4689" s="3">
        <v>40</v>
      </c>
      <c r="D4689" s="46" t="str">
        <f>IF(Tabla1[[#This Row],[EDAD]]&lt;=35,"Adultos jóvenes 18 - 35 años",IF(C4689&gt;=36,"Adultos mayores 36 años en adelante"))</f>
        <v>Adultos mayores 36 años en adelante</v>
      </c>
      <c r="E4689" s="3" t="s">
        <v>5020</v>
      </c>
      <c r="F4689" s="3" t="s">
        <v>5028</v>
      </c>
      <c r="G4689" s="3" t="s">
        <v>5036</v>
      </c>
      <c r="H4689" s="3" t="s">
        <v>8691</v>
      </c>
      <c r="I4689" s="17">
        <v>45760</v>
      </c>
      <c r="J4689" s="18">
        <f>YEAR(Tabla1[[#This Row],[FECHA DE COMPRA]])</f>
        <v>2025</v>
      </c>
      <c r="K4689" s="19">
        <v>47</v>
      </c>
      <c r="L4689" s="20">
        <v>0</v>
      </c>
      <c r="M4689" s="19">
        <f>Tienda!$K4531-Tienda!$K4531*Tienda!$L4531</f>
        <v>167.42699999999999</v>
      </c>
      <c r="N4689" s="3" t="s">
        <v>10038</v>
      </c>
      <c r="O4689" s="3" t="s">
        <v>10041</v>
      </c>
      <c r="P4689" s="17">
        <v>45760</v>
      </c>
      <c r="Q4689" s="4">
        <v>0</v>
      </c>
    </row>
    <row r="4690" spans="1:17" ht="30" x14ac:dyDescent="0.25">
      <c r="A4690" s="2" t="s">
        <v>2542</v>
      </c>
      <c r="B4690" s="3" t="s">
        <v>5015</v>
      </c>
      <c r="C4690" s="3">
        <v>63</v>
      </c>
      <c r="D4690" s="46" t="str">
        <f>IF(Tabla1[[#This Row],[EDAD]]&lt;=35,"Adultos jóvenes 18 - 35 años",IF(C4690&gt;=36,"Adultos mayores 36 años en adelante"))</f>
        <v>Adultos mayores 36 años en adelante</v>
      </c>
      <c r="E4690" s="3" t="s">
        <v>5023</v>
      </c>
      <c r="F4690" s="3" t="s">
        <v>5024</v>
      </c>
      <c r="G4690" s="3" t="s">
        <v>5037</v>
      </c>
      <c r="H4690" s="3" t="s">
        <v>7565</v>
      </c>
      <c r="I4690" s="17">
        <v>45752</v>
      </c>
      <c r="J4690" s="18">
        <f>YEAR(Tabla1[[#This Row],[FECHA DE COMPRA]])</f>
        <v>2025</v>
      </c>
      <c r="K4690" s="19">
        <v>49.72</v>
      </c>
      <c r="L4690" s="20">
        <v>0.3</v>
      </c>
      <c r="M4690" s="19">
        <f>Tienda!$K4532-Tienda!$K4532*Tienda!$L4532</f>
        <v>167.65</v>
      </c>
      <c r="N4690" s="3" t="s">
        <v>10038</v>
      </c>
      <c r="O4690" s="3" t="s">
        <v>10041</v>
      </c>
      <c r="P4690" s="17">
        <v>45752</v>
      </c>
      <c r="Q4690" s="4">
        <v>0</v>
      </c>
    </row>
    <row r="4691" spans="1:17" ht="30" x14ac:dyDescent="0.25">
      <c r="A4691" s="2" t="s">
        <v>1228</v>
      </c>
      <c r="B4691" s="3" t="s">
        <v>5015</v>
      </c>
      <c r="C4691" s="3">
        <v>43</v>
      </c>
      <c r="D4691" s="46" t="str">
        <f>IF(Tabla1[[#This Row],[EDAD]]&lt;=35,"Adultos jóvenes 18 - 35 años",IF(C4691&gt;=36,"Adultos mayores 36 años en adelante"))</f>
        <v>Adultos mayores 36 años en adelante</v>
      </c>
      <c r="E4691" s="3" t="s">
        <v>5018</v>
      </c>
      <c r="F4691" s="3" t="s">
        <v>5024</v>
      </c>
      <c r="G4691" s="3" t="s">
        <v>5035</v>
      </c>
      <c r="H4691" s="3" t="s">
        <v>6251</v>
      </c>
      <c r="I4691" s="17">
        <v>45756</v>
      </c>
      <c r="J4691" s="18">
        <f>YEAR(Tabla1[[#This Row],[FECHA DE COMPRA]])</f>
        <v>2025</v>
      </c>
      <c r="K4691" s="19">
        <v>52.16</v>
      </c>
      <c r="L4691" s="20">
        <v>0.2</v>
      </c>
      <c r="M4691" s="19">
        <f>Tienda!$K4533-Tienda!$K4533*Tienda!$L4533</f>
        <v>169.21</v>
      </c>
      <c r="N4691" s="3" t="s">
        <v>10038</v>
      </c>
      <c r="O4691" s="3" t="s">
        <v>10041</v>
      </c>
      <c r="P4691" s="17">
        <v>45756</v>
      </c>
      <c r="Q4691" s="4">
        <v>0</v>
      </c>
    </row>
    <row r="4692" spans="1:17" ht="30" x14ac:dyDescent="0.25">
      <c r="A4692" s="2" t="s">
        <v>847</v>
      </c>
      <c r="B4692" s="3" t="s">
        <v>5015</v>
      </c>
      <c r="C4692" s="3">
        <v>59</v>
      </c>
      <c r="D4692" s="46" t="str">
        <f>IF(Tabla1[[#This Row],[EDAD]]&lt;=35,"Adultos jóvenes 18 - 35 años",IF(C4692&gt;=36,"Adultos mayores 36 años en adelante"))</f>
        <v>Adultos mayores 36 años en adelante</v>
      </c>
      <c r="E4692" s="3" t="s">
        <v>5018</v>
      </c>
      <c r="F4692" s="3" t="s">
        <v>5030</v>
      </c>
      <c r="G4692" s="3" t="s">
        <v>5033</v>
      </c>
      <c r="H4692" s="3" t="s">
        <v>5870</v>
      </c>
      <c r="I4692" s="17">
        <v>45755</v>
      </c>
      <c r="J4692" s="18">
        <f>YEAR(Tabla1[[#This Row],[FECHA DE COMPRA]])</f>
        <v>2025</v>
      </c>
      <c r="K4692" s="19">
        <v>63.15</v>
      </c>
      <c r="L4692" s="20">
        <v>0.3</v>
      </c>
      <c r="M4692" s="19">
        <f>Tienda!$K4534-Tienda!$K4534*Tienda!$L4534</f>
        <v>169.54</v>
      </c>
      <c r="N4692" s="3" t="s">
        <v>10038</v>
      </c>
      <c r="O4692" s="3" t="s">
        <v>10041</v>
      </c>
      <c r="P4692" s="17">
        <v>45755</v>
      </c>
      <c r="Q4692" s="4">
        <v>0</v>
      </c>
    </row>
    <row r="4693" spans="1:17" ht="30" x14ac:dyDescent="0.25">
      <c r="A4693" s="2" t="s">
        <v>3090</v>
      </c>
      <c r="B4693" s="3" t="s">
        <v>5015</v>
      </c>
      <c r="C4693" s="3">
        <v>55</v>
      </c>
      <c r="D4693" s="46" t="str">
        <f>IF(Tabla1[[#This Row],[EDAD]]&lt;=35,"Adultos jóvenes 18 - 35 años",IF(C4693&gt;=36,"Adultos mayores 36 años en adelante"))</f>
        <v>Adultos mayores 36 años en adelante</v>
      </c>
      <c r="E4693" s="3" t="s">
        <v>5019</v>
      </c>
      <c r="F4693" s="3" t="s">
        <v>5025</v>
      </c>
      <c r="G4693" s="3" t="s">
        <v>5032</v>
      </c>
      <c r="H4693" s="3" t="s">
        <v>8113</v>
      </c>
      <c r="I4693" s="17">
        <v>45767</v>
      </c>
      <c r="J4693" s="18">
        <f>YEAR(Tabla1[[#This Row],[FECHA DE COMPRA]])</f>
        <v>2025</v>
      </c>
      <c r="K4693" s="19">
        <v>68.459999999999994</v>
      </c>
      <c r="L4693" s="20">
        <v>0.3</v>
      </c>
      <c r="M4693" s="19">
        <f>Tienda!$K4535-Tienda!$K4535*Tienda!$L4535</f>
        <v>170.00099999999998</v>
      </c>
      <c r="N4693" s="3" t="s">
        <v>10038</v>
      </c>
      <c r="O4693" s="3" t="s">
        <v>10041</v>
      </c>
      <c r="P4693" s="17">
        <v>45767</v>
      </c>
      <c r="Q4693" s="4">
        <v>0</v>
      </c>
    </row>
    <row r="4694" spans="1:17" ht="30" x14ac:dyDescent="0.25">
      <c r="A4694" s="2" t="s">
        <v>1715</v>
      </c>
      <c r="B4694" s="3" t="s">
        <v>5015</v>
      </c>
      <c r="C4694" s="3">
        <v>42</v>
      </c>
      <c r="D4694" s="46" t="str">
        <f>IF(Tabla1[[#This Row],[EDAD]]&lt;=35,"Adultos jóvenes 18 - 35 años",IF(C4694&gt;=36,"Adultos mayores 36 años en adelante"))</f>
        <v>Adultos mayores 36 años en adelante</v>
      </c>
      <c r="E4694" s="3" t="s">
        <v>5018</v>
      </c>
      <c r="F4694" s="3" t="s">
        <v>5027</v>
      </c>
      <c r="G4694" s="3" t="s">
        <v>5037</v>
      </c>
      <c r="H4694" s="3" t="s">
        <v>6738</v>
      </c>
      <c r="I4694" s="17">
        <v>45777</v>
      </c>
      <c r="J4694" s="18">
        <f>YEAR(Tabla1[[#This Row],[FECHA DE COMPRA]])</f>
        <v>2025</v>
      </c>
      <c r="K4694" s="19">
        <v>69.099999999999994</v>
      </c>
      <c r="L4694" s="20">
        <v>0.1</v>
      </c>
      <c r="M4694" s="19">
        <f>Tienda!$K4536-Tienda!$K4536*Tienda!$L4536</f>
        <v>170.1</v>
      </c>
      <c r="N4694" s="3" t="s">
        <v>10038</v>
      </c>
      <c r="O4694" s="3" t="s">
        <v>10041</v>
      </c>
      <c r="P4694" s="17">
        <v>45777</v>
      </c>
      <c r="Q4694" s="4">
        <v>0</v>
      </c>
    </row>
    <row r="4695" spans="1:17" ht="30" x14ac:dyDescent="0.25">
      <c r="A4695" s="2" t="s">
        <v>2932</v>
      </c>
      <c r="B4695" s="3" t="s">
        <v>5016</v>
      </c>
      <c r="C4695" s="3">
        <v>60</v>
      </c>
      <c r="D4695" s="46" t="str">
        <f>IF(Tabla1[[#This Row],[EDAD]]&lt;=35,"Adultos jóvenes 18 - 35 años",IF(C4695&gt;=36,"Adultos mayores 36 años en adelante"))</f>
        <v>Adultos mayores 36 años en adelante</v>
      </c>
      <c r="E4695" s="3" t="s">
        <v>5023</v>
      </c>
      <c r="F4695" s="3" t="s">
        <v>5030</v>
      </c>
      <c r="G4695" s="3" t="s">
        <v>5036</v>
      </c>
      <c r="H4695" s="3" t="s">
        <v>7955</v>
      </c>
      <c r="I4695" s="17">
        <v>45752</v>
      </c>
      <c r="J4695" s="18">
        <f>YEAR(Tabla1[[#This Row],[FECHA DE COMPRA]])</f>
        <v>2025</v>
      </c>
      <c r="K4695" s="19">
        <v>71.319999999999993</v>
      </c>
      <c r="L4695" s="20">
        <v>0.3</v>
      </c>
      <c r="M4695" s="19">
        <f>Tienda!$K4537-Tienda!$K4537*Tienda!$L4537</f>
        <v>170.28900000000002</v>
      </c>
      <c r="N4695" s="3" t="s">
        <v>10038</v>
      </c>
      <c r="O4695" s="3" t="s">
        <v>10041</v>
      </c>
      <c r="P4695" s="17">
        <v>45752</v>
      </c>
      <c r="Q4695" s="4">
        <v>0</v>
      </c>
    </row>
    <row r="4696" spans="1:17" ht="30" x14ac:dyDescent="0.25">
      <c r="A4696" s="2" t="s">
        <v>4211</v>
      </c>
      <c r="B4696" s="3" t="s">
        <v>5015</v>
      </c>
      <c r="C4696" s="3">
        <v>59</v>
      </c>
      <c r="D4696" s="46" t="str">
        <f>IF(Tabla1[[#This Row],[EDAD]]&lt;=35,"Adultos jóvenes 18 - 35 años",IF(C4696&gt;=36,"Adultos mayores 36 años en adelante"))</f>
        <v>Adultos mayores 36 años en adelante</v>
      </c>
      <c r="E4696" s="3" t="s">
        <v>5020</v>
      </c>
      <c r="F4696" s="3" t="s">
        <v>5025</v>
      </c>
      <c r="G4696" s="3" t="s">
        <v>5034</v>
      </c>
      <c r="H4696" s="3" t="s">
        <v>9234</v>
      </c>
      <c r="I4696" s="17">
        <v>45759</v>
      </c>
      <c r="J4696" s="18">
        <f>YEAR(Tabla1[[#This Row],[FECHA DE COMPRA]])</f>
        <v>2025</v>
      </c>
      <c r="K4696" s="19">
        <v>75.27</v>
      </c>
      <c r="L4696" s="20">
        <v>0.1</v>
      </c>
      <c r="M4696" s="19">
        <f>Tienda!$K4538-Tienda!$K4538*Tienda!$L4538</f>
        <v>170.38</v>
      </c>
      <c r="N4696" s="3" t="s">
        <v>10038</v>
      </c>
      <c r="O4696" s="3" t="s">
        <v>10041</v>
      </c>
      <c r="P4696" s="17">
        <v>45759</v>
      </c>
      <c r="Q4696" s="4">
        <v>0</v>
      </c>
    </row>
    <row r="4697" spans="1:17" ht="30" x14ac:dyDescent="0.25">
      <c r="A4697" s="2" t="s">
        <v>4739</v>
      </c>
      <c r="B4697" s="3" t="s">
        <v>5015</v>
      </c>
      <c r="C4697" s="3">
        <v>63</v>
      </c>
      <c r="D4697" s="46" t="str">
        <f>IF(Tabla1[[#This Row],[EDAD]]&lt;=35,"Adultos jóvenes 18 - 35 años",IF(C4697&gt;=36,"Adultos mayores 36 años en adelante"))</f>
        <v>Adultos mayores 36 años en adelante</v>
      </c>
      <c r="E4697" s="3" t="s">
        <v>5023</v>
      </c>
      <c r="F4697" s="3" t="s">
        <v>5029</v>
      </c>
      <c r="G4697" s="3" t="s">
        <v>5035</v>
      </c>
      <c r="H4697" s="3" t="s">
        <v>9762</v>
      </c>
      <c r="I4697" s="17">
        <v>45749</v>
      </c>
      <c r="J4697" s="18">
        <f>YEAR(Tabla1[[#This Row],[FECHA DE COMPRA]])</f>
        <v>2025</v>
      </c>
      <c r="K4697" s="19">
        <v>79.7</v>
      </c>
      <c r="L4697" s="20">
        <v>0.1</v>
      </c>
      <c r="M4697" s="19">
        <f>Tienda!$K4539-Tienda!$K4539*Tienda!$L4539</f>
        <v>173.26</v>
      </c>
      <c r="N4697" s="3" t="s">
        <v>10038</v>
      </c>
      <c r="O4697" s="3" t="s">
        <v>10041</v>
      </c>
      <c r="P4697" s="17">
        <v>45749</v>
      </c>
      <c r="Q4697" s="4">
        <v>0</v>
      </c>
    </row>
    <row r="4698" spans="1:17" ht="30" x14ac:dyDescent="0.25">
      <c r="A4698" s="2" t="s">
        <v>4291</v>
      </c>
      <c r="B4698" s="3" t="s">
        <v>5015</v>
      </c>
      <c r="C4698" s="3">
        <v>51</v>
      </c>
      <c r="D4698" s="46" t="str">
        <f>IF(Tabla1[[#This Row],[EDAD]]&lt;=35,"Adultos jóvenes 18 - 35 años",IF(C4698&gt;=36,"Adultos mayores 36 años en adelante"))</f>
        <v>Adultos mayores 36 años en adelante</v>
      </c>
      <c r="E4698" s="3" t="s">
        <v>5023</v>
      </c>
      <c r="F4698" s="3" t="s">
        <v>5030</v>
      </c>
      <c r="G4698" s="3" t="s">
        <v>5036</v>
      </c>
      <c r="H4698" s="3" t="s">
        <v>9314</v>
      </c>
      <c r="I4698" s="17">
        <v>45769</v>
      </c>
      <c r="J4698" s="18">
        <f>YEAR(Tabla1[[#This Row],[FECHA DE COMPRA]])</f>
        <v>2025</v>
      </c>
      <c r="K4698" s="19">
        <v>89.25</v>
      </c>
      <c r="L4698" s="20">
        <v>0.3</v>
      </c>
      <c r="M4698" s="19">
        <f>Tienda!$K4540-Tienda!$K4540*Tienda!$L4540</f>
        <v>173.29500000000002</v>
      </c>
      <c r="N4698" s="3" t="s">
        <v>10038</v>
      </c>
      <c r="O4698" s="3" t="s">
        <v>10041</v>
      </c>
      <c r="P4698" s="17">
        <v>45769</v>
      </c>
      <c r="Q4698" s="4">
        <v>0</v>
      </c>
    </row>
    <row r="4699" spans="1:17" ht="30" x14ac:dyDescent="0.25">
      <c r="A4699" s="2" t="s">
        <v>4528</v>
      </c>
      <c r="B4699" s="3" t="s">
        <v>5016</v>
      </c>
      <c r="C4699" s="3">
        <v>43</v>
      </c>
      <c r="D4699" s="46" t="str">
        <f>IF(Tabla1[[#This Row],[EDAD]]&lt;=35,"Adultos jóvenes 18 - 35 años",IF(C4699&gt;=36,"Adultos mayores 36 años en adelante"))</f>
        <v>Adultos mayores 36 años en adelante</v>
      </c>
      <c r="E4699" s="3" t="s">
        <v>5017</v>
      </c>
      <c r="F4699" s="3" t="s">
        <v>5027</v>
      </c>
      <c r="G4699" s="3" t="s">
        <v>5034</v>
      </c>
      <c r="H4699" s="3" t="s">
        <v>9551</v>
      </c>
      <c r="I4699" s="17">
        <v>45752</v>
      </c>
      <c r="J4699" s="18">
        <f>YEAR(Tabla1[[#This Row],[FECHA DE COMPRA]])</f>
        <v>2025</v>
      </c>
      <c r="K4699" s="19">
        <v>93.97</v>
      </c>
      <c r="L4699" s="20">
        <v>0.2</v>
      </c>
      <c r="M4699" s="19">
        <f>Tienda!$K4541-Tienda!$K4541*Tienda!$L4541</f>
        <v>173.72</v>
      </c>
      <c r="N4699" s="3" t="s">
        <v>10038</v>
      </c>
      <c r="O4699" s="3" t="s">
        <v>10041</v>
      </c>
      <c r="P4699" s="17">
        <v>45752</v>
      </c>
      <c r="Q4699" s="4">
        <v>0</v>
      </c>
    </row>
    <row r="4700" spans="1:17" ht="30" x14ac:dyDescent="0.25">
      <c r="A4700" s="2" t="s">
        <v>1875</v>
      </c>
      <c r="B4700" s="3" t="s">
        <v>5015</v>
      </c>
      <c r="C4700" s="3">
        <v>42</v>
      </c>
      <c r="D4700" s="46" t="str">
        <f>IF(Tabla1[[#This Row],[EDAD]]&lt;=35,"Adultos jóvenes 18 - 35 años",IF(C4700&gt;=36,"Adultos mayores 36 años en adelante"))</f>
        <v>Adultos mayores 36 años en adelante</v>
      </c>
      <c r="E4700" s="3" t="s">
        <v>5022</v>
      </c>
      <c r="F4700" s="3" t="s">
        <v>5025</v>
      </c>
      <c r="G4700" s="3" t="s">
        <v>5037</v>
      </c>
      <c r="H4700" s="3" t="s">
        <v>6898</v>
      </c>
      <c r="I4700" s="17">
        <v>45748</v>
      </c>
      <c r="J4700" s="18">
        <f>YEAR(Tabla1[[#This Row],[FECHA DE COMPRA]])</f>
        <v>2025</v>
      </c>
      <c r="K4700" s="19">
        <v>97.95</v>
      </c>
      <c r="L4700" s="20">
        <v>0.3</v>
      </c>
      <c r="M4700" s="19">
        <f>Tienda!$K4542-Tienda!$K4542*Tienda!$L4542</f>
        <v>176.97</v>
      </c>
      <c r="N4700" s="3" t="s">
        <v>10038</v>
      </c>
      <c r="O4700" s="3" t="s">
        <v>10041</v>
      </c>
      <c r="P4700" s="17">
        <v>45748</v>
      </c>
      <c r="Q4700" s="4">
        <v>0</v>
      </c>
    </row>
    <row r="4701" spans="1:17" ht="30" x14ac:dyDescent="0.25">
      <c r="A4701" s="2" t="s">
        <v>935</v>
      </c>
      <c r="B4701" s="3" t="s">
        <v>5016</v>
      </c>
      <c r="C4701" s="3">
        <v>51</v>
      </c>
      <c r="D4701" s="46" t="str">
        <f>IF(Tabla1[[#This Row],[EDAD]]&lt;=35,"Adultos jóvenes 18 - 35 años",IF(C4701&gt;=36,"Adultos mayores 36 años en adelante"))</f>
        <v>Adultos mayores 36 años en adelante</v>
      </c>
      <c r="E4701" s="3" t="s">
        <v>5019</v>
      </c>
      <c r="F4701" s="3" t="s">
        <v>5028</v>
      </c>
      <c r="G4701" s="3" t="s">
        <v>5031</v>
      </c>
      <c r="H4701" s="3" t="s">
        <v>5958</v>
      </c>
      <c r="I4701" s="17">
        <v>45758</v>
      </c>
      <c r="J4701" s="18">
        <f>YEAR(Tabla1[[#This Row],[FECHA DE COMPRA]])</f>
        <v>2025</v>
      </c>
      <c r="K4701" s="19">
        <v>98.69</v>
      </c>
      <c r="L4701" s="20">
        <v>0</v>
      </c>
      <c r="M4701" s="19">
        <f>Tienda!$K4543-Tienda!$K4543*Tienda!$L4543</f>
        <v>177.06</v>
      </c>
      <c r="N4701" s="3" t="s">
        <v>10038</v>
      </c>
      <c r="O4701" s="3" t="s">
        <v>10041</v>
      </c>
      <c r="P4701" s="17">
        <v>45758</v>
      </c>
      <c r="Q4701" s="4">
        <v>0</v>
      </c>
    </row>
    <row r="4702" spans="1:17" ht="30" x14ac:dyDescent="0.25">
      <c r="A4702" s="2" t="s">
        <v>4248</v>
      </c>
      <c r="B4702" s="3" t="s">
        <v>5015</v>
      </c>
      <c r="C4702" s="3">
        <v>54</v>
      </c>
      <c r="D4702" s="46" t="str">
        <f>IF(Tabla1[[#This Row],[EDAD]]&lt;=35,"Adultos jóvenes 18 - 35 años",IF(C4702&gt;=36,"Adultos mayores 36 años en adelante"))</f>
        <v>Adultos mayores 36 años en adelante</v>
      </c>
      <c r="E4702" s="3" t="s">
        <v>5018</v>
      </c>
      <c r="F4702" s="3" t="s">
        <v>5030</v>
      </c>
      <c r="G4702" s="3" t="s">
        <v>5032</v>
      </c>
      <c r="H4702" s="3" t="s">
        <v>9271</v>
      </c>
      <c r="I4702" s="17">
        <v>45763</v>
      </c>
      <c r="J4702" s="18">
        <f>YEAR(Tabla1[[#This Row],[FECHA DE COMPRA]])</f>
        <v>2025</v>
      </c>
      <c r="K4702" s="19">
        <v>105.77</v>
      </c>
      <c r="L4702" s="20">
        <v>0</v>
      </c>
      <c r="M4702" s="19">
        <f>Tienda!$K4545-Tienda!$K4545*Tienda!$L4545</f>
        <v>178.37</v>
      </c>
      <c r="N4702" s="3" t="s">
        <v>10038</v>
      </c>
      <c r="O4702" s="3" t="s">
        <v>10041</v>
      </c>
      <c r="P4702" s="17">
        <v>45763</v>
      </c>
      <c r="Q4702" s="4">
        <v>0</v>
      </c>
    </row>
    <row r="4703" spans="1:17" ht="30" x14ac:dyDescent="0.25">
      <c r="A4703" s="2" t="s">
        <v>4663</v>
      </c>
      <c r="B4703" s="3" t="s">
        <v>5015</v>
      </c>
      <c r="C4703" s="3">
        <v>57</v>
      </c>
      <c r="D4703" s="46" t="str">
        <f>IF(Tabla1[[#This Row],[EDAD]]&lt;=35,"Adultos jóvenes 18 - 35 años",IF(C4703&gt;=36,"Adultos mayores 36 años en adelante"))</f>
        <v>Adultos mayores 36 años en adelante</v>
      </c>
      <c r="E4703" s="3" t="s">
        <v>5018</v>
      </c>
      <c r="F4703" s="3" t="s">
        <v>5028</v>
      </c>
      <c r="G4703" s="3" t="s">
        <v>5031</v>
      </c>
      <c r="H4703" s="3" t="s">
        <v>9686</v>
      </c>
      <c r="I4703" s="17">
        <v>45755</v>
      </c>
      <c r="J4703" s="18">
        <f>YEAR(Tabla1[[#This Row],[FECHA DE COMPRA]])</f>
        <v>2025</v>
      </c>
      <c r="K4703" s="19">
        <v>117.06</v>
      </c>
      <c r="L4703" s="20">
        <v>0.3</v>
      </c>
      <c r="M4703" s="19">
        <f>Tienda!$K4546-Tienda!$K4546*Tienda!$L4546</f>
        <v>178.55099999999999</v>
      </c>
      <c r="N4703" s="3" t="s">
        <v>10038</v>
      </c>
      <c r="O4703" s="3" t="s">
        <v>10041</v>
      </c>
      <c r="P4703" s="17">
        <v>45755</v>
      </c>
      <c r="Q4703" s="4">
        <v>0</v>
      </c>
    </row>
    <row r="4704" spans="1:17" ht="30" x14ac:dyDescent="0.25">
      <c r="A4704" s="2" t="s">
        <v>546</v>
      </c>
      <c r="B4704" s="3" t="s">
        <v>5015</v>
      </c>
      <c r="C4704" s="3">
        <v>48</v>
      </c>
      <c r="D4704" s="46" t="str">
        <f>IF(Tabla1[[#This Row],[EDAD]]&lt;=35,"Adultos jóvenes 18 - 35 años",IF(C4704&gt;=36,"Adultos mayores 36 años en adelante"))</f>
        <v>Adultos mayores 36 años en adelante</v>
      </c>
      <c r="E4704" s="3" t="s">
        <v>5019</v>
      </c>
      <c r="F4704" s="3" t="s">
        <v>5027</v>
      </c>
      <c r="G4704" s="3" t="s">
        <v>5033</v>
      </c>
      <c r="H4704" s="3" t="s">
        <v>5569</v>
      </c>
      <c r="I4704" s="17">
        <v>45749</v>
      </c>
      <c r="J4704" s="18">
        <f>YEAR(Tabla1[[#This Row],[FECHA DE COMPRA]])</f>
        <v>2025</v>
      </c>
      <c r="K4704" s="19">
        <v>130.11000000000001</v>
      </c>
      <c r="L4704" s="20">
        <v>0</v>
      </c>
      <c r="M4704" s="19">
        <f>Tienda!$K4547-Tienda!$K4547*Tienda!$L4547</f>
        <v>178.76</v>
      </c>
      <c r="N4704" s="3" t="s">
        <v>10038</v>
      </c>
      <c r="O4704" s="3" t="s">
        <v>10041</v>
      </c>
      <c r="P4704" s="17">
        <v>45749</v>
      </c>
      <c r="Q4704" s="4">
        <v>0</v>
      </c>
    </row>
    <row r="4705" spans="1:17" ht="30" x14ac:dyDescent="0.25">
      <c r="A4705" s="2" t="s">
        <v>499</v>
      </c>
      <c r="B4705" s="3" t="s">
        <v>5015</v>
      </c>
      <c r="C4705" s="3">
        <v>40</v>
      </c>
      <c r="D4705" s="46" t="str">
        <f>IF(Tabla1[[#This Row],[EDAD]]&lt;=35,"Adultos jóvenes 18 - 35 años",IF(C4705&gt;=36,"Adultos mayores 36 años en adelante"))</f>
        <v>Adultos mayores 36 años en adelante</v>
      </c>
      <c r="E4705" s="3" t="s">
        <v>5020</v>
      </c>
      <c r="F4705" s="3" t="s">
        <v>5024</v>
      </c>
      <c r="G4705" s="3" t="s">
        <v>5031</v>
      </c>
      <c r="H4705" s="3" t="s">
        <v>5522</v>
      </c>
      <c r="I4705" s="17">
        <v>45764</v>
      </c>
      <c r="J4705" s="18">
        <f>YEAR(Tabla1[[#This Row],[FECHA DE COMPRA]])</f>
        <v>2025</v>
      </c>
      <c r="K4705" s="19">
        <v>131.06</v>
      </c>
      <c r="L4705" s="20">
        <v>0</v>
      </c>
      <c r="M4705" s="19">
        <f>Tienda!$K4548-Tienda!$K4548*Tienda!$L4548</f>
        <v>178.83</v>
      </c>
      <c r="N4705" s="3" t="s">
        <v>10038</v>
      </c>
      <c r="O4705" s="3" t="s">
        <v>10041</v>
      </c>
      <c r="P4705" s="17">
        <v>45764</v>
      </c>
      <c r="Q4705" s="4">
        <v>0</v>
      </c>
    </row>
    <row r="4706" spans="1:17" ht="30" x14ac:dyDescent="0.25">
      <c r="A4706" s="2" t="s">
        <v>3149</v>
      </c>
      <c r="B4706" s="3" t="s">
        <v>5015</v>
      </c>
      <c r="C4706" s="3">
        <v>61</v>
      </c>
      <c r="D4706" s="46" t="str">
        <f>IF(Tabla1[[#This Row],[EDAD]]&lt;=35,"Adultos jóvenes 18 - 35 años",IF(C4706&gt;=36,"Adultos mayores 36 años en adelante"))</f>
        <v>Adultos mayores 36 años en adelante</v>
      </c>
      <c r="E4706" s="3" t="s">
        <v>5018</v>
      </c>
      <c r="F4706" s="3" t="s">
        <v>5026</v>
      </c>
      <c r="G4706" s="3" t="s">
        <v>5032</v>
      </c>
      <c r="H4706" s="3" t="s">
        <v>8172</v>
      </c>
      <c r="I4706" s="17">
        <v>45753</v>
      </c>
      <c r="J4706" s="18">
        <f>YEAR(Tabla1[[#This Row],[FECHA DE COMPRA]])</f>
        <v>2025</v>
      </c>
      <c r="K4706" s="19">
        <v>131.71</v>
      </c>
      <c r="L4706" s="20">
        <v>0.1</v>
      </c>
      <c r="M4706" s="19">
        <f>Tienda!$K4549-Tienda!$K4549*Tienda!$L4549</f>
        <v>179.1</v>
      </c>
      <c r="N4706" s="3" t="s">
        <v>10038</v>
      </c>
      <c r="O4706" s="3" t="s">
        <v>10041</v>
      </c>
      <c r="P4706" s="17">
        <v>45753</v>
      </c>
      <c r="Q4706" s="4">
        <v>0</v>
      </c>
    </row>
    <row r="4707" spans="1:17" ht="30" x14ac:dyDescent="0.25">
      <c r="A4707" s="2" t="s">
        <v>1969</v>
      </c>
      <c r="B4707" s="3" t="s">
        <v>5015</v>
      </c>
      <c r="C4707" s="3">
        <v>51</v>
      </c>
      <c r="D4707" s="46" t="str">
        <f>IF(Tabla1[[#This Row],[EDAD]]&lt;=35,"Adultos jóvenes 18 - 35 años",IF(C4707&gt;=36,"Adultos mayores 36 años en adelante"))</f>
        <v>Adultos mayores 36 años en adelante</v>
      </c>
      <c r="E4707" s="3" t="s">
        <v>5020</v>
      </c>
      <c r="F4707" s="3" t="s">
        <v>5024</v>
      </c>
      <c r="G4707" s="3" t="s">
        <v>5037</v>
      </c>
      <c r="H4707" s="3" t="s">
        <v>6992</v>
      </c>
      <c r="I4707" s="17">
        <v>45767</v>
      </c>
      <c r="J4707" s="18">
        <f>YEAR(Tabla1[[#This Row],[FECHA DE COMPRA]])</f>
        <v>2025</v>
      </c>
      <c r="K4707" s="19">
        <v>142.22</v>
      </c>
      <c r="L4707" s="20">
        <v>0</v>
      </c>
      <c r="M4707" s="19">
        <f>Tienda!$K4550-Tienda!$K4550*Tienda!$L4550</f>
        <v>179.17200000000003</v>
      </c>
      <c r="N4707" s="3" t="s">
        <v>10038</v>
      </c>
      <c r="O4707" s="3" t="s">
        <v>10041</v>
      </c>
      <c r="P4707" s="17">
        <v>45767</v>
      </c>
      <c r="Q4707" s="4">
        <v>0</v>
      </c>
    </row>
    <row r="4708" spans="1:17" ht="30" x14ac:dyDescent="0.25">
      <c r="A4708" s="2" t="s">
        <v>4550</v>
      </c>
      <c r="B4708" s="3" t="s">
        <v>5015</v>
      </c>
      <c r="C4708" s="3">
        <v>49</v>
      </c>
      <c r="D4708" s="46" t="str">
        <f>IF(Tabla1[[#This Row],[EDAD]]&lt;=35,"Adultos jóvenes 18 - 35 años",IF(C4708&gt;=36,"Adultos mayores 36 años en adelante"))</f>
        <v>Adultos mayores 36 años en adelante</v>
      </c>
      <c r="E4708" s="3" t="s">
        <v>5020</v>
      </c>
      <c r="F4708" s="3" t="s">
        <v>5028</v>
      </c>
      <c r="G4708" s="3" t="s">
        <v>5032</v>
      </c>
      <c r="H4708" s="3" t="s">
        <v>9573</v>
      </c>
      <c r="I4708" s="17">
        <v>45770</v>
      </c>
      <c r="J4708" s="18">
        <f>YEAR(Tabla1[[#This Row],[FECHA DE COMPRA]])</f>
        <v>2025</v>
      </c>
      <c r="K4708" s="19">
        <v>144.93</v>
      </c>
      <c r="L4708" s="20">
        <v>0</v>
      </c>
      <c r="M4708" s="19">
        <f>Tienda!$K4551-Tienda!$K4551*Tienda!$L4551</f>
        <v>179.38</v>
      </c>
      <c r="N4708" s="3" t="s">
        <v>10038</v>
      </c>
      <c r="O4708" s="3" t="s">
        <v>10041</v>
      </c>
      <c r="P4708" s="17">
        <v>45770</v>
      </c>
      <c r="Q4708" s="4">
        <v>0</v>
      </c>
    </row>
    <row r="4709" spans="1:17" ht="30" x14ac:dyDescent="0.25">
      <c r="A4709" s="2" t="s">
        <v>964</v>
      </c>
      <c r="B4709" s="3" t="s">
        <v>5015</v>
      </c>
      <c r="C4709" s="3">
        <v>53</v>
      </c>
      <c r="D4709" s="46" t="str">
        <f>IF(Tabla1[[#This Row],[EDAD]]&lt;=35,"Adultos jóvenes 18 - 35 años",IF(C4709&gt;=36,"Adultos mayores 36 años en adelante"))</f>
        <v>Adultos mayores 36 años en adelante</v>
      </c>
      <c r="E4709" s="3" t="s">
        <v>5020</v>
      </c>
      <c r="F4709" s="3" t="s">
        <v>5027</v>
      </c>
      <c r="G4709" s="3" t="s">
        <v>5031</v>
      </c>
      <c r="H4709" s="3" t="s">
        <v>5987</v>
      </c>
      <c r="I4709" s="17">
        <v>45749</v>
      </c>
      <c r="J4709" s="18">
        <f>YEAR(Tabla1[[#This Row],[FECHA DE COMPRA]])</f>
        <v>2025</v>
      </c>
      <c r="K4709" s="19">
        <v>157.78</v>
      </c>
      <c r="L4709" s="20">
        <v>0.2</v>
      </c>
      <c r="M4709" s="19">
        <f>Tienda!$K4552-Tienda!$K4552*Tienda!$L4552</f>
        <v>179.99</v>
      </c>
      <c r="N4709" s="3" t="s">
        <v>10038</v>
      </c>
      <c r="O4709" s="3" t="s">
        <v>10041</v>
      </c>
      <c r="P4709" s="17">
        <v>45749</v>
      </c>
      <c r="Q4709" s="4">
        <v>0</v>
      </c>
    </row>
    <row r="4710" spans="1:17" ht="30" x14ac:dyDescent="0.25">
      <c r="A4710" s="2" t="s">
        <v>924</v>
      </c>
      <c r="B4710" s="3" t="s">
        <v>5015</v>
      </c>
      <c r="C4710" s="3">
        <v>37</v>
      </c>
      <c r="D4710" s="46" t="str">
        <f>IF(Tabla1[[#This Row],[EDAD]]&lt;=35,"Adultos jóvenes 18 - 35 años",IF(C4710&gt;=36,"Adultos mayores 36 años en adelante"))</f>
        <v>Adultos mayores 36 años en adelante</v>
      </c>
      <c r="E4710" s="3" t="s">
        <v>5020</v>
      </c>
      <c r="F4710" s="3" t="s">
        <v>5029</v>
      </c>
      <c r="G4710" s="3" t="s">
        <v>5035</v>
      </c>
      <c r="H4710" s="3" t="s">
        <v>5947</v>
      </c>
      <c r="I4710" s="17">
        <v>45753</v>
      </c>
      <c r="J4710" s="18">
        <f>YEAR(Tabla1[[#This Row],[FECHA DE COMPRA]])</f>
        <v>2025</v>
      </c>
      <c r="K4710" s="19">
        <v>160.22999999999999</v>
      </c>
      <c r="L4710" s="20">
        <v>0.3</v>
      </c>
      <c r="M4710" s="19">
        <f>Tienda!$K4553-Tienda!$K4553*Tienda!$L4553</f>
        <v>180.18</v>
      </c>
      <c r="N4710" s="3" t="s">
        <v>10038</v>
      </c>
      <c r="O4710" s="3" t="s">
        <v>10041</v>
      </c>
      <c r="P4710" s="17">
        <v>45753</v>
      </c>
      <c r="Q4710" s="4">
        <v>0</v>
      </c>
    </row>
    <row r="4711" spans="1:17" ht="30" x14ac:dyDescent="0.25">
      <c r="A4711" s="2" t="s">
        <v>2122</v>
      </c>
      <c r="B4711" s="3" t="s">
        <v>5015</v>
      </c>
      <c r="C4711" s="3">
        <v>64</v>
      </c>
      <c r="D4711" s="46" t="str">
        <f>IF(Tabla1[[#This Row],[EDAD]]&lt;=35,"Adultos jóvenes 18 - 35 años",IF(C4711&gt;=36,"Adultos mayores 36 años en adelante"))</f>
        <v>Adultos mayores 36 años en adelante</v>
      </c>
      <c r="E4711" s="3" t="s">
        <v>5017</v>
      </c>
      <c r="F4711" s="3" t="s">
        <v>5029</v>
      </c>
      <c r="G4711" s="3" t="s">
        <v>5032</v>
      </c>
      <c r="H4711" s="3" t="s">
        <v>7145</v>
      </c>
      <c r="I4711" s="17">
        <v>45762</v>
      </c>
      <c r="J4711" s="18">
        <f>YEAR(Tabla1[[#This Row],[FECHA DE COMPRA]])</f>
        <v>2025</v>
      </c>
      <c r="K4711" s="19">
        <v>170.33</v>
      </c>
      <c r="L4711" s="20">
        <v>0.2</v>
      </c>
      <c r="M4711" s="19">
        <f>Tienda!$K4554-Tienda!$K4554*Tienda!$L4554</f>
        <v>180.78</v>
      </c>
      <c r="N4711" s="3" t="s">
        <v>10038</v>
      </c>
      <c r="O4711" s="3" t="s">
        <v>10041</v>
      </c>
      <c r="P4711" s="17">
        <v>45762</v>
      </c>
      <c r="Q4711" s="4">
        <v>0</v>
      </c>
    </row>
    <row r="4712" spans="1:17" ht="30" x14ac:dyDescent="0.25">
      <c r="A4712" s="2" t="s">
        <v>4643</v>
      </c>
      <c r="B4712" s="3" t="s">
        <v>5016</v>
      </c>
      <c r="C4712" s="3">
        <v>44</v>
      </c>
      <c r="D4712" s="46" t="str">
        <f>IF(Tabla1[[#This Row],[EDAD]]&lt;=35,"Adultos jóvenes 18 - 35 años",IF(C4712&gt;=36,"Adultos mayores 36 años en adelante"))</f>
        <v>Adultos mayores 36 años en adelante</v>
      </c>
      <c r="E4712" s="3" t="s">
        <v>5017</v>
      </c>
      <c r="F4712" s="3" t="s">
        <v>5028</v>
      </c>
      <c r="G4712" s="3" t="s">
        <v>5036</v>
      </c>
      <c r="H4712" s="3" t="s">
        <v>9666</v>
      </c>
      <c r="I4712" s="17">
        <v>45768</v>
      </c>
      <c r="J4712" s="18">
        <f>YEAR(Tabla1[[#This Row],[FECHA DE COMPRA]])</f>
        <v>2025</v>
      </c>
      <c r="K4712" s="19">
        <v>174.91</v>
      </c>
      <c r="L4712" s="20">
        <v>0.1</v>
      </c>
      <c r="M4712" s="19">
        <f>Tienda!$K4555-Tienda!$K4555*Tienda!$L4555</f>
        <v>183.89</v>
      </c>
      <c r="N4712" s="3" t="s">
        <v>10038</v>
      </c>
      <c r="O4712" s="3" t="s">
        <v>10041</v>
      </c>
      <c r="P4712" s="17">
        <v>45768</v>
      </c>
      <c r="Q4712" s="4">
        <v>0</v>
      </c>
    </row>
    <row r="4713" spans="1:17" ht="30" x14ac:dyDescent="0.25">
      <c r="A4713" s="2" t="s">
        <v>1889</v>
      </c>
      <c r="B4713" s="3" t="s">
        <v>5015</v>
      </c>
      <c r="C4713" s="3">
        <v>46</v>
      </c>
      <c r="D4713" s="46" t="str">
        <f>IF(Tabla1[[#This Row],[EDAD]]&lt;=35,"Adultos jóvenes 18 - 35 años",IF(C4713&gt;=36,"Adultos mayores 36 años en adelante"))</f>
        <v>Adultos mayores 36 años en adelante</v>
      </c>
      <c r="E4713" s="3" t="s">
        <v>5019</v>
      </c>
      <c r="F4713" s="3" t="s">
        <v>5027</v>
      </c>
      <c r="G4713" s="3" t="s">
        <v>5035</v>
      </c>
      <c r="H4713" s="3" t="s">
        <v>6912</v>
      </c>
      <c r="I4713" s="17">
        <v>45753</v>
      </c>
      <c r="J4713" s="18">
        <f>YEAR(Tabla1[[#This Row],[FECHA DE COMPRA]])</f>
        <v>2025</v>
      </c>
      <c r="K4713" s="19">
        <v>177.53</v>
      </c>
      <c r="L4713" s="20">
        <v>0.1</v>
      </c>
      <c r="M4713" s="19">
        <f>Tienda!$K4556-Tienda!$K4556*Tienda!$L4556</f>
        <v>185.78</v>
      </c>
      <c r="N4713" s="3" t="s">
        <v>10038</v>
      </c>
      <c r="O4713" s="3" t="s">
        <v>10041</v>
      </c>
      <c r="P4713" s="17">
        <v>45753</v>
      </c>
      <c r="Q4713" s="4">
        <v>0</v>
      </c>
    </row>
    <row r="4714" spans="1:17" ht="30" x14ac:dyDescent="0.25">
      <c r="A4714" s="2" t="s">
        <v>2620</v>
      </c>
      <c r="B4714" s="3" t="s">
        <v>5015</v>
      </c>
      <c r="C4714" s="3">
        <v>62</v>
      </c>
      <c r="D4714" s="46" t="str">
        <f>IF(Tabla1[[#This Row],[EDAD]]&lt;=35,"Adultos jóvenes 18 - 35 años",IF(C4714&gt;=36,"Adultos mayores 36 años en adelante"))</f>
        <v>Adultos mayores 36 años en adelante</v>
      </c>
      <c r="E4714" s="3" t="s">
        <v>5017</v>
      </c>
      <c r="F4714" s="3" t="s">
        <v>5028</v>
      </c>
      <c r="G4714" s="3" t="s">
        <v>5036</v>
      </c>
      <c r="H4714" s="3" t="s">
        <v>7643</v>
      </c>
      <c r="I4714" s="17">
        <v>45749</v>
      </c>
      <c r="J4714" s="18">
        <f>YEAR(Tabla1[[#This Row],[FECHA DE COMPRA]])</f>
        <v>2025</v>
      </c>
      <c r="K4714" s="19">
        <v>181.17</v>
      </c>
      <c r="L4714" s="20">
        <v>0.2</v>
      </c>
      <c r="M4714" s="19">
        <f>Tienda!$K4557-Tienda!$K4557*Tienda!$L4557</f>
        <v>190.24</v>
      </c>
      <c r="N4714" s="3" t="s">
        <v>10038</v>
      </c>
      <c r="O4714" s="3" t="s">
        <v>10041</v>
      </c>
      <c r="P4714" s="17">
        <v>45749</v>
      </c>
      <c r="Q4714" s="4">
        <v>0</v>
      </c>
    </row>
    <row r="4715" spans="1:17" ht="30" x14ac:dyDescent="0.25">
      <c r="A4715" s="2" t="s">
        <v>2786</v>
      </c>
      <c r="B4715" s="3" t="s">
        <v>5015</v>
      </c>
      <c r="C4715" s="3">
        <v>52</v>
      </c>
      <c r="D4715" s="46" t="str">
        <f>IF(Tabla1[[#This Row],[EDAD]]&lt;=35,"Adultos jóvenes 18 - 35 años",IF(C4715&gt;=36,"Adultos mayores 36 años en adelante"))</f>
        <v>Adultos mayores 36 años en adelante</v>
      </c>
      <c r="E4715" s="3" t="s">
        <v>5018</v>
      </c>
      <c r="F4715" s="3" t="s">
        <v>5024</v>
      </c>
      <c r="G4715" s="3" t="s">
        <v>5034</v>
      </c>
      <c r="H4715" s="3" t="s">
        <v>7809</v>
      </c>
      <c r="I4715" s="17">
        <v>45763</v>
      </c>
      <c r="J4715" s="18">
        <f>YEAR(Tabla1[[#This Row],[FECHA DE COMPRA]])</f>
        <v>2025</v>
      </c>
      <c r="K4715" s="19">
        <v>187.44</v>
      </c>
      <c r="L4715" s="20">
        <v>0</v>
      </c>
      <c r="M4715" s="19">
        <f>Tienda!$K4558-Tienda!$K4558*Tienda!$L4558</f>
        <v>194.16</v>
      </c>
      <c r="N4715" s="3" t="s">
        <v>10038</v>
      </c>
      <c r="O4715" s="3" t="s">
        <v>10041</v>
      </c>
      <c r="P4715" s="17">
        <v>45763</v>
      </c>
      <c r="Q4715" s="4">
        <v>0</v>
      </c>
    </row>
    <row r="4716" spans="1:17" ht="30" x14ac:dyDescent="0.25">
      <c r="A4716" s="2" t="s">
        <v>2423</v>
      </c>
      <c r="B4716" s="3" t="s">
        <v>5015</v>
      </c>
      <c r="C4716" s="3">
        <v>58</v>
      </c>
      <c r="D4716" s="46" t="str">
        <f>IF(Tabla1[[#This Row],[EDAD]]&lt;=35,"Adultos jóvenes 18 - 35 años",IF(C4716&gt;=36,"Adultos mayores 36 años en adelante"))</f>
        <v>Adultos mayores 36 años en adelante</v>
      </c>
      <c r="E4716" s="3" t="s">
        <v>5018</v>
      </c>
      <c r="F4716" s="3" t="s">
        <v>5030</v>
      </c>
      <c r="G4716" s="3" t="s">
        <v>5033</v>
      </c>
      <c r="H4716" s="3" t="s">
        <v>7446</v>
      </c>
      <c r="I4716" s="17">
        <v>45759</v>
      </c>
      <c r="J4716" s="18">
        <f>YEAR(Tabla1[[#This Row],[FECHA DE COMPRA]])</f>
        <v>2025</v>
      </c>
      <c r="K4716" s="19">
        <v>188.89</v>
      </c>
      <c r="L4716" s="20">
        <v>0</v>
      </c>
      <c r="M4716" s="19">
        <f>Tienda!$K4560-Tienda!$K4560*Tienda!$L4560</f>
        <v>195.16</v>
      </c>
      <c r="N4716" s="3" t="s">
        <v>10038</v>
      </c>
      <c r="O4716" s="3" t="s">
        <v>10041</v>
      </c>
      <c r="P4716" s="17">
        <v>45759</v>
      </c>
      <c r="Q4716" s="4">
        <v>0</v>
      </c>
    </row>
    <row r="4717" spans="1:17" ht="30" x14ac:dyDescent="0.25">
      <c r="A4717" s="2" t="s">
        <v>2539</v>
      </c>
      <c r="B4717" s="3" t="s">
        <v>5015</v>
      </c>
      <c r="C4717" s="3">
        <v>41</v>
      </c>
      <c r="D4717" s="46" t="str">
        <f>IF(Tabla1[[#This Row],[EDAD]]&lt;=35,"Adultos jóvenes 18 - 35 años",IF(C4717&gt;=36,"Adultos mayores 36 años en adelante"))</f>
        <v>Adultos mayores 36 años en adelante</v>
      </c>
      <c r="E4717" s="3" t="s">
        <v>5023</v>
      </c>
      <c r="F4717" s="3" t="s">
        <v>5024</v>
      </c>
      <c r="G4717" s="3" t="s">
        <v>5036</v>
      </c>
      <c r="H4717" s="3" t="s">
        <v>7562</v>
      </c>
      <c r="I4717" s="17">
        <v>45774</v>
      </c>
      <c r="J4717" s="18">
        <f>YEAR(Tabla1[[#This Row],[FECHA DE COMPRA]])</f>
        <v>2025</v>
      </c>
      <c r="K4717" s="19">
        <v>191.72</v>
      </c>
      <c r="L4717" s="20">
        <v>0.3</v>
      </c>
      <c r="M4717" s="19">
        <f>Tienda!$K4561-Tienda!$K4561*Tienda!$L4561</f>
        <v>195.45</v>
      </c>
      <c r="N4717" s="3" t="s">
        <v>10038</v>
      </c>
      <c r="O4717" s="3" t="s">
        <v>10041</v>
      </c>
      <c r="P4717" s="17">
        <v>45774</v>
      </c>
      <c r="Q4717" s="4">
        <v>0</v>
      </c>
    </row>
    <row r="4718" spans="1:17" ht="30" x14ac:dyDescent="0.25">
      <c r="A4718" s="2" t="s">
        <v>2591</v>
      </c>
      <c r="B4718" s="3" t="s">
        <v>5015</v>
      </c>
      <c r="C4718" s="3">
        <v>47</v>
      </c>
      <c r="D4718" s="46" t="str">
        <f>IF(Tabla1[[#This Row],[EDAD]]&lt;=35,"Adultos jóvenes 18 - 35 años",IF(C4718&gt;=36,"Adultos mayores 36 años en adelante"))</f>
        <v>Adultos mayores 36 años en adelante</v>
      </c>
      <c r="E4718" s="3" t="s">
        <v>5018</v>
      </c>
      <c r="F4718" s="3" t="s">
        <v>5024</v>
      </c>
      <c r="G4718" s="3" t="s">
        <v>5034</v>
      </c>
      <c r="H4718" s="3" t="s">
        <v>7614</v>
      </c>
      <c r="I4718" s="17">
        <v>45807</v>
      </c>
      <c r="J4718" s="18">
        <f>YEAR(Tabla1[[#This Row],[FECHA DE COMPRA]])</f>
        <v>2025</v>
      </c>
      <c r="K4718" s="19">
        <v>10.47</v>
      </c>
      <c r="L4718" s="20">
        <v>0.1</v>
      </c>
      <c r="M4718" s="19">
        <f>Tienda!$K4563-Tienda!$K4563*Tienda!$L4563</f>
        <v>197.09</v>
      </c>
      <c r="N4718" s="3" t="s">
        <v>10038</v>
      </c>
      <c r="O4718" s="3" t="s">
        <v>10041</v>
      </c>
      <c r="P4718" s="17">
        <v>45807</v>
      </c>
      <c r="Q4718" s="4">
        <v>0</v>
      </c>
    </row>
    <row r="4719" spans="1:17" ht="30" x14ac:dyDescent="0.25">
      <c r="A4719" s="2" t="s">
        <v>741</v>
      </c>
      <c r="B4719" s="3" t="s">
        <v>5015</v>
      </c>
      <c r="C4719" s="3">
        <v>39</v>
      </c>
      <c r="D4719" s="46" t="str">
        <f>IF(Tabla1[[#This Row],[EDAD]]&lt;=35,"Adultos jóvenes 18 - 35 años",IF(C4719&gt;=36,"Adultos mayores 36 años en adelante"))</f>
        <v>Adultos mayores 36 años en adelante</v>
      </c>
      <c r="E4719" s="3" t="s">
        <v>5019</v>
      </c>
      <c r="F4719" s="3" t="s">
        <v>5030</v>
      </c>
      <c r="G4719" s="3" t="s">
        <v>5032</v>
      </c>
      <c r="H4719" s="3" t="s">
        <v>5764</v>
      </c>
      <c r="I4719" s="17">
        <v>45805</v>
      </c>
      <c r="J4719" s="18">
        <f>YEAR(Tabla1[[#This Row],[FECHA DE COMPRA]])</f>
        <v>2025</v>
      </c>
      <c r="K4719" s="19">
        <v>12.13</v>
      </c>
      <c r="L4719" s="20">
        <v>0.3</v>
      </c>
      <c r="M4719" s="19">
        <f>Tienda!$K4565-Tienda!$K4565*Tienda!$L4565</f>
        <v>199.29</v>
      </c>
      <c r="N4719" s="3" t="s">
        <v>10038</v>
      </c>
      <c r="O4719" s="3" t="s">
        <v>10041</v>
      </c>
      <c r="P4719" s="17">
        <v>45805</v>
      </c>
      <c r="Q4719" s="4">
        <v>0</v>
      </c>
    </row>
    <row r="4720" spans="1:17" ht="30" x14ac:dyDescent="0.25">
      <c r="A4720" s="2" t="s">
        <v>1749</v>
      </c>
      <c r="B4720" s="3" t="s">
        <v>5016</v>
      </c>
      <c r="C4720" s="3">
        <v>61</v>
      </c>
      <c r="D4720" s="46" t="str">
        <f>IF(Tabla1[[#This Row],[EDAD]]&lt;=35,"Adultos jóvenes 18 - 35 años",IF(C4720&gt;=36,"Adultos mayores 36 años en adelante"))</f>
        <v>Adultos mayores 36 años en adelante</v>
      </c>
      <c r="E4720" s="3" t="s">
        <v>5021</v>
      </c>
      <c r="F4720" s="3" t="s">
        <v>5024</v>
      </c>
      <c r="G4720" s="3" t="s">
        <v>5033</v>
      </c>
      <c r="H4720" s="3" t="s">
        <v>6772</v>
      </c>
      <c r="I4720" s="17">
        <v>45799</v>
      </c>
      <c r="J4720" s="18">
        <f>YEAR(Tabla1[[#This Row],[FECHA DE COMPRA]])</f>
        <v>2025</v>
      </c>
      <c r="K4720" s="19">
        <v>16.86</v>
      </c>
      <c r="L4720" s="20">
        <v>0.3</v>
      </c>
      <c r="M4720" s="19">
        <f>Tienda!$K4567-Tienda!$K4567*Tienda!$L4567</f>
        <v>35.020000000000003</v>
      </c>
      <c r="N4720" s="3" t="s">
        <v>10038</v>
      </c>
      <c r="O4720" s="3" t="s">
        <v>10041</v>
      </c>
      <c r="P4720" s="17">
        <v>45799</v>
      </c>
      <c r="Q4720" s="4">
        <v>0</v>
      </c>
    </row>
    <row r="4721" spans="1:17" ht="30" x14ac:dyDescent="0.25">
      <c r="A4721" s="2" t="s">
        <v>2081</v>
      </c>
      <c r="B4721" s="3" t="s">
        <v>5015</v>
      </c>
      <c r="C4721" s="3">
        <v>41</v>
      </c>
      <c r="D4721" s="46" t="str">
        <f>IF(Tabla1[[#This Row],[EDAD]]&lt;=35,"Adultos jóvenes 18 - 35 años",IF(C4721&gt;=36,"Adultos mayores 36 años en adelante"))</f>
        <v>Adultos mayores 36 años en adelante</v>
      </c>
      <c r="E4721" s="3" t="s">
        <v>5022</v>
      </c>
      <c r="F4721" s="3" t="s">
        <v>5028</v>
      </c>
      <c r="G4721" s="3" t="s">
        <v>5037</v>
      </c>
      <c r="H4721" s="3" t="s">
        <v>7104</v>
      </c>
      <c r="I4721" s="17">
        <v>45798</v>
      </c>
      <c r="J4721" s="18">
        <f>YEAR(Tabla1[[#This Row],[FECHA DE COMPRA]])</f>
        <v>2025</v>
      </c>
      <c r="K4721" s="19">
        <v>19.59</v>
      </c>
      <c r="L4721" s="20">
        <v>0.2</v>
      </c>
      <c r="M4721" s="19">
        <f>Tienda!$K4569-Tienda!$K4569*Tienda!$L4569</f>
        <v>56.44</v>
      </c>
      <c r="N4721" s="3" t="s">
        <v>10038</v>
      </c>
      <c r="O4721" s="3" t="s">
        <v>10041</v>
      </c>
      <c r="P4721" s="17">
        <v>45798</v>
      </c>
      <c r="Q4721" s="4">
        <v>0</v>
      </c>
    </row>
    <row r="4722" spans="1:17" ht="30" x14ac:dyDescent="0.25">
      <c r="A4722" s="2" t="s">
        <v>2323</v>
      </c>
      <c r="B4722" s="3" t="s">
        <v>5015</v>
      </c>
      <c r="C4722" s="3">
        <v>61</v>
      </c>
      <c r="D4722" s="46" t="str">
        <f>IF(Tabla1[[#This Row],[EDAD]]&lt;=35,"Adultos jóvenes 18 - 35 años",IF(C4722&gt;=36,"Adultos mayores 36 años en adelante"))</f>
        <v>Adultos mayores 36 años en adelante</v>
      </c>
      <c r="E4722" s="3" t="s">
        <v>5017</v>
      </c>
      <c r="F4722" s="3" t="s">
        <v>5024</v>
      </c>
      <c r="G4722" s="3" t="s">
        <v>5034</v>
      </c>
      <c r="H4722" s="3" t="s">
        <v>7346</v>
      </c>
      <c r="I4722" s="17">
        <v>45792</v>
      </c>
      <c r="J4722" s="18">
        <f>YEAR(Tabla1[[#This Row],[FECHA DE COMPRA]])</f>
        <v>2025</v>
      </c>
      <c r="K4722" s="19">
        <v>21.27</v>
      </c>
      <c r="L4722" s="20">
        <v>0.2</v>
      </c>
      <c r="M4722" s="19">
        <f>Tienda!$K4570-Tienda!$K4570*Tienda!$L4570</f>
        <v>48.44</v>
      </c>
      <c r="N4722" s="3" t="s">
        <v>10038</v>
      </c>
      <c r="O4722" s="3" t="s">
        <v>10041</v>
      </c>
      <c r="P4722" s="17">
        <v>45792</v>
      </c>
      <c r="Q4722" s="4">
        <v>0</v>
      </c>
    </row>
    <row r="4723" spans="1:17" ht="30" x14ac:dyDescent="0.25">
      <c r="A4723" s="2" t="s">
        <v>4490</v>
      </c>
      <c r="B4723" s="3" t="s">
        <v>5015</v>
      </c>
      <c r="C4723" s="3">
        <v>64</v>
      </c>
      <c r="D4723" s="46" t="str">
        <f>IF(Tabla1[[#This Row],[EDAD]]&lt;=35,"Adultos jóvenes 18 - 35 años",IF(C4723&gt;=36,"Adultos mayores 36 años en adelante"))</f>
        <v>Adultos mayores 36 años en adelante</v>
      </c>
      <c r="E4723" s="3" t="s">
        <v>5019</v>
      </c>
      <c r="F4723" s="3" t="s">
        <v>5026</v>
      </c>
      <c r="G4723" s="3" t="s">
        <v>5032</v>
      </c>
      <c r="H4723" s="3" t="s">
        <v>9513</v>
      </c>
      <c r="I4723" s="17">
        <v>45786</v>
      </c>
      <c r="J4723" s="18">
        <f>YEAR(Tabla1[[#This Row],[FECHA DE COMPRA]])</f>
        <v>2025</v>
      </c>
      <c r="K4723" s="19">
        <v>23.66</v>
      </c>
      <c r="L4723" s="20">
        <v>0.2</v>
      </c>
      <c r="M4723" s="19">
        <f>Tienda!$K4571-Tienda!$K4571*Tienda!$L4571</f>
        <v>61.02600000000001</v>
      </c>
      <c r="N4723" s="3" t="s">
        <v>10038</v>
      </c>
      <c r="O4723" s="3" t="s">
        <v>10041</v>
      </c>
      <c r="P4723" s="17">
        <v>45786</v>
      </c>
      <c r="Q4723" s="4">
        <v>0</v>
      </c>
    </row>
    <row r="4724" spans="1:17" ht="30" x14ac:dyDescent="0.25">
      <c r="A4724" s="2" t="s">
        <v>961</v>
      </c>
      <c r="B4724" s="3" t="s">
        <v>5015</v>
      </c>
      <c r="C4724" s="3">
        <v>48</v>
      </c>
      <c r="D4724" s="46" t="str">
        <f>IF(Tabla1[[#This Row],[EDAD]]&lt;=35,"Adultos jóvenes 18 - 35 años",IF(C4724&gt;=36,"Adultos mayores 36 años en adelante"))</f>
        <v>Adultos mayores 36 años en adelante</v>
      </c>
      <c r="E4724" s="3" t="s">
        <v>5022</v>
      </c>
      <c r="F4724" s="3" t="s">
        <v>5026</v>
      </c>
      <c r="G4724" s="3" t="s">
        <v>5033</v>
      </c>
      <c r="H4724" s="3" t="s">
        <v>5984</v>
      </c>
      <c r="I4724" s="17">
        <v>45806</v>
      </c>
      <c r="J4724" s="18">
        <f>YEAR(Tabla1[[#This Row],[FECHA DE COMPRA]])</f>
        <v>2025</v>
      </c>
      <c r="K4724" s="19">
        <v>27.9</v>
      </c>
      <c r="L4724" s="20">
        <v>0</v>
      </c>
      <c r="M4724" s="19">
        <f>Tienda!$K4572-Tienda!$K4572*Tienda!$L4572</f>
        <v>73.215999999999994</v>
      </c>
      <c r="N4724" s="3" t="s">
        <v>10038</v>
      </c>
      <c r="O4724" s="3" t="s">
        <v>10041</v>
      </c>
      <c r="P4724" s="17">
        <v>45806</v>
      </c>
      <c r="Q4724" s="4">
        <v>0</v>
      </c>
    </row>
    <row r="4725" spans="1:17" ht="30" x14ac:dyDescent="0.25">
      <c r="A4725" s="2" t="s">
        <v>1236</v>
      </c>
      <c r="B4725" s="3" t="s">
        <v>5015</v>
      </c>
      <c r="C4725" s="3">
        <v>59</v>
      </c>
      <c r="D4725" s="46" t="str">
        <f>IF(Tabla1[[#This Row],[EDAD]]&lt;=35,"Adultos jóvenes 18 - 35 años",IF(C4725&gt;=36,"Adultos mayores 36 años en adelante"))</f>
        <v>Adultos mayores 36 años en adelante</v>
      </c>
      <c r="E4725" s="3" t="s">
        <v>5018</v>
      </c>
      <c r="F4725" s="3" t="s">
        <v>5024</v>
      </c>
      <c r="G4725" s="3" t="s">
        <v>5035</v>
      </c>
      <c r="H4725" s="3" t="s">
        <v>6259</v>
      </c>
      <c r="I4725" s="17">
        <v>45781</v>
      </c>
      <c r="J4725" s="18">
        <f>YEAR(Tabla1[[#This Row],[FECHA DE COMPRA]])</f>
        <v>2025</v>
      </c>
      <c r="K4725" s="19">
        <v>33.44</v>
      </c>
      <c r="L4725" s="20">
        <v>0.1</v>
      </c>
      <c r="M4725" s="19">
        <f>Tienda!$K4573-Tienda!$K4573*Tienda!$L4573</f>
        <v>65.176999999999992</v>
      </c>
      <c r="N4725" s="3" t="s">
        <v>10038</v>
      </c>
      <c r="O4725" s="3" t="s">
        <v>10041</v>
      </c>
      <c r="P4725" s="17">
        <v>45781</v>
      </c>
      <c r="Q4725" s="4">
        <v>0</v>
      </c>
    </row>
    <row r="4726" spans="1:17" ht="30" x14ac:dyDescent="0.25">
      <c r="A4726" s="2" t="s">
        <v>4534</v>
      </c>
      <c r="B4726" s="3" t="s">
        <v>5015</v>
      </c>
      <c r="C4726" s="3">
        <v>55</v>
      </c>
      <c r="D4726" s="46" t="str">
        <f>IF(Tabla1[[#This Row],[EDAD]]&lt;=35,"Adultos jóvenes 18 - 35 años",IF(C4726&gt;=36,"Adultos mayores 36 años en adelante"))</f>
        <v>Adultos mayores 36 años en adelante</v>
      </c>
      <c r="E4726" s="3" t="s">
        <v>5018</v>
      </c>
      <c r="F4726" s="3" t="s">
        <v>5030</v>
      </c>
      <c r="G4726" s="3" t="s">
        <v>5037</v>
      </c>
      <c r="H4726" s="3" t="s">
        <v>9557</v>
      </c>
      <c r="I4726" s="17">
        <v>45792</v>
      </c>
      <c r="J4726" s="18">
        <f>YEAR(Tabla1[[#This Row],[FECHA DE COMPRA]])</f>
        <v>2025</v>
      </c>
      <c r="K4726" s="19">
        <v>47.05</v>
      </c>
      <c r="L4726" s="20">
        <v>0.3</v>
      </c>
      <c r="M4726" s="19">
        <f>Tienda!$K4575-Tienda!$K4575*Tienda!$L4575</f>
        <v>161.32499999999999</v>
      </c>
      <c r="N4726" s="3" t="s">
        <v>10038</v>
      </c>
      <c r="O4726" s="3" t="s">
        <v>10041</v>
      </c>
      <c r="P4726" s="17">
        <v>45792</v>
      </c>
      <c r="Q4726" s="4">
        <v>0</v>
      </c>
    </row>
    <row r="4727" spans="1:17" ht="30" x14ac:dyDescent="0.25">
      <c r="A4727" s="2" t="s">
        <v>1757</v>
      </c>
      <c r="B4727" s="3" t="s">
        <v>5016</v>
      </c>
      <c r="C4727" s="3">
        <v>37</v>
      </c>
      <c r="D4727" s="46" t="str">
        <f>IF(Tabla1[[#This Row],[EDAD]]&lt;=35,"Adultos jóvenes 18 - 35 años",IF(C4727&gt;=36,"Adultos mayores 36 años en adelante"))</f>
        <v>Adultos mayores 36 años en adelante</v>
      </c>
      <c r="E4727" s="3" t="s">
        <v>5019</v>
      </c>
      <c r="F4727" s="3" t="s">
        <v>5028</v>
      </c>
      <c r="G4727" s="3" t="s">
        <v>5036</v>
      </c>
      <c r="H4727" s="3" t="s">
        <v>6780</v>
      </c>
      <c r="I4727" s="17">
        <v>45799</v>
      </c>
      <c r="J4727" s="18">
        <f>YEAR(Tabla1[[#This Row],[FECHA DE COMPRA]])</f>
        <v>2025</v>
      </c>
      <c r="K4727" s="19">
        <v>54.42</v>
      </c>
      <c r="L4727" s="20">
        <v>0</v>
      </c>
      <c r="M4727" s="19">
        <f>Tienda!$K4576-Tienda!$K4576*Tienda!$L4576</f>
        <v>179.49</v>
      </c>
      <c r="N4727" s="3" t="s">
        <v>10038</v>
      </c>
      <c r="O4727" s="3" t="s">
        <v>10041</v>
      </c>
      <c r="P4727" s="17">
        <v>45799</v>
      </c>
      <c r="Q4727" s="4">
        <v>0</v>
      </c>
    </row>
    <row r="4728" spans="1:17" ht="30" x14ac:dyDescent="0.25">
      <c r="A4728" s="2" t="s">
        <v>134</v>
      </c>
      <c r="B4728" s="3" t="s">
        <v>5016</v>
      </c>
      <c r="C4728" s="3">
        <v>55</v>
      </c>
      <c r="D4728" s="46" t="str">
        <f>IF(Tabla1[[#This Row],[EDAD]]&lt;=35,"Adultos jóvenes 18 - 35 años",IF(C4728&gt;=36,"Adultos mayores 36 años en adelante"))</f>
        <v>Adultos mayores 36 años en adelante</v>
      </c>
      <c r="E4728" s="3" t="s">
        <v>5021</v>
      </c>
      <c r="F4728" s="3" t="s">
        <v>5029</v>
      </c>
      <c r="G4728" s="3" t="s">
        <v>5033</v>
      </c>
      <c r="H4728" s="3" t="s">
        <v>5157</v>
      </c>
      <c r="I4728" s="17">
        <v>45783</v>
      </c>
      <c r="J4728" s="18">
        <f>YEAR(Tabla1[[#This Row],[FECHA DE COMPRA]])</f>
        <v>2025</v>
      </c>
      <c r="K4728" s="19">
        <v>60.92</v>
      </c>
      <c r="L4728" s="20">
        <v>0.1</v>
      </c>
      <c r="M4728" s="19">
        <f>Tienda!$K4577-Tienda!$K4577*Tienda!$L4577</f>
        <v>163.61099999999999</v>
      </c>
      <c r="N4728" s="3" t="s">
        <v>10038</v>
      </c>
      <c r="O4728" s="3" t="s">
        <v>10041</v>
      </c>
      <c r="P4728" s="17">
        <v>45783</v>
      </c>
      <c r="Q4728" s="4">
        <v>0</v>
      </c>
    </row>
    <row r="4729" spans="1:17" ht="30" x14ac:dyDescent="0.25">
      <c r="A4729" s="2" t="s">
        <v>4190</v>
      </c>
      <c r="B4729" s="3" t="s">
        <v>5015</v>
      </c>
      <c r="C4729" s="3">
        <v>63</v>
      </c>
      <c r="D4729" s="46" t="str">
        <f>IF(Tabla1[[#This Row],[EDAD]]&lt;=35,"Adultos jóvenes 18 - 35 años",IF(C4729&gt;=36,"Adultos mayores 36 años en adelante"))</f>
        <v>Adultos mayores 36 años en adelante</v>
      </c>
      <c r="E4729" s="3" t="s">
        <v>5020</v>
      </c>
      <c r="F4729" s="3" t="s">
        <v>5025</v>
      </c>
      <c r="G4729" s="3" t="s">
        <v>5032</v>
      </c>
      <c r="H4729" s="3" t="s">
        <v>9213</v>
      </c>
      <c r="I4729" s="17">
        <v>45789</v>
      </c>
      <c r="J4729" s="18">
        <f>YEAR(Tabla1[[#This Row],[FECHA DE COMPRA]])</f>
        <v>2025</v>
      </c>
      <c r="K4729" s="19">
        <v>64.260000000000005</v>
      </c>
      <c r="L4729" s="20">
        <v>0.1</v>
      </c>
      <c r="M4729" s="19">
        <f>Tienda!$K4579-Tienda!$K4579*Tienda!$L4579</f>
        <v>46.444999999999993</v>
      </c>
      <c r="N4729" s="3" t="s">
        <v>10038</v>
      </c>
      <c r="O4729" s="3" t="s">
        <v>10041</v>
      </c>
      <c r="P4729" s="17">
        <v>45789</v>
      </c>
      <c r="Q4729" s="4">
        <v>0</v>
      </c>
    </row>
    <row r="4730" spans="1:17" ht="30" x14ac:dyDescent="0.25">
      <c r="A4730" s="2" t="s">
        <v>1687</v>
      </c>
      <c r="B4730" s="3" t="s">
        <v>5015</v>
      </c>
      <c r="C4730" s="3">
        <v>48</v>
      </c>
      <c r="D4730" s="46" t="str">
        <f>IF(Tabla1[[#This Row],[EDAD]]&lt;=35,"Adultos jóvenes 18 - 35 años",IF(C4730&gt;=36,"Adultos mayores 36 años en adelante"))</f>
        <v>Adultos mayores 36 años en adelante</v>
      </c>
      <c r="E4730" s="3" t="s">
        <v>5023</v>
      </c>
      <c r="F4730" s="3" t="s">
        <v>5029</v>
      </c>
      <c r="G4730" s="3" t="s">
        <v>5034</v>
      </c>
      <c r="H4730" s="3" t="s">
        <v>6710</v>
      </c>
      <c r="I4730" s="17">
        <v>45780</v>
      </c>
      <c r="J4730" s="18">
        <f>YEAR(Tabla1[[#This Row],[FECHA DE COMPRA]])</f>
        <v>2025</v>
      </c>
      <c r="K4730" s="19">
        <v>69.72</v>
      </c>
      <c r="L4730" s="20">
        <v>0.1</v>
      </c>
      <c r="M4730" s="19">
        <f>Tienda!$K4580-Tienda!$K4580*Tienda!$L4580</f>
        <v>56.455000000000005</v>
      </c>
      <c r="N4730" s="3" t="s">
        <v>10038</v>
      </c>
      <c r="O4730" s="3" t="s">
        <v>10041</v>
      </c>
      <c r="P4730" s="17">
        <v>45780</v>
      </c>
      <c r="Q4730" s="4">
        <v>0</v>
      </c>
    </row>
    <row r="4731" spans="1:17" ht="30" x14ac:dyDescent="0.25">
      <c r="A4731" s="2" t="s">
        <v>1726</v>
      </c>
      <c r="B4731" s="3" t="s">
        <v>5015</v>
      </c>
      <c r="C4731" s="3">
        <v>54</v>
      </c>
      <c r="D4731" s="46" t="str">
        <f>IF(Tabla1[[#This Row],[EDAD]]&lt;=35,"Adultos jóvenes 18 - 35 años",IF(C4731&gt;=36,"Adultos mayores 36 años en adelante"))</f>
        <v>Adultos mayores 36 años en adelante</v>
      </c>
      <c r="E4731" s="3" t="s">
        <v>5022</v>
      </c>
      <c r="F4731" s="3" t="s">
        <v>5027</v>
      </c>
      <c r="G4731" s="3" t="s">
        <v>5036</v>
      </c>
      <c r="H4731" s="3" t="s">
        <v>6749</v>
      </c>
      <c r="I4731" s="17">
        <v>45806</v>
      </c>
      <c r="J4731" s="18">
        <f>YEAR(Tabla1[[#This Row],[FECHA DE COMPRA]])</f>
        <v>2025</v>
      </c>
      <c r="K4731" s="19">
        <v>82.5</v>
      </c>
      <c r="L4731" s="20">
        <v>0.3</v>
      </c>
      <c r="M4731" s="19">
        <f>Tienda!$K4582-Tienda!$K4582*Tienda!$L4582</f>
        <v>45.521999999999998</v>
      </c>
      <c r="N4731" s="3" t="s">
        <v>10038</v>
      </c>
      <c r="O4731" s="3" t="s">
        <v>10041</v>
      </c>
      <c r="P4731" s="17">
        <v>45806</v>
      </c>
      <c r="Q4731" s="4">
        <v>0</v>
      </c>
    </row>
    <row r="4732" spans="1:17" ht="30" x14ac:dyDescent="0.25">
      <c r="A4732" s="2" t="s">
        <v>665</v>
      </c>
      <c r="B4732" s="3" t="s">
        <v>5016</v>
      </c>
      <c r="C4732" s="3">
        <v>56</v>
      </c>
      <c r="D4732" s="46" t="str">
        <f>IF(Tabla1[[#This Row],[EDAD]]&lt;=35,"Adultos jóvenes 18 - 35 años",IF(C4732&gt;=36,"Adultos mayores 36 años en adelante"))</f>
        <v>Adultos mayores 36 años en adelante</v>
      </c>
      <c r="E4732" s="3" t="s">
        <v>5019</v>
      </c>
      <c r="F4732" s="3" t="s">
        <v>5028</v>
      </c>
      <c r="G4732" s="3" t="s">
        <v>5037</v>
      </c>
      <c r="H4732" s="3" t="s">
        <v>5688</v>
      </c>
      <c r="I4732" s="17">
        <v>45798</v>
      </c>
      <c r="J4732" s="18">
        <f>YEAR(Tabla1[[#This Row],[FECHA DE COMPRA]])</f>
        <v>2025</v>
      </c>
      <c r="K4732" s="19">
        <v>83.29</v>
      </c>
      <c r="L4732" s="20">
        <v>0.2</v>
      </c>
      <c r="M4732" s="19">
        <f>Tienda!$K4583-Tienda!$K4583*Tienda!$L4583</f>
        <v>105.68599999999999</v>
      </c>
      <c r="N4732" s="3" t="s">
        <v>10038</v>
      </c>
      <c r="O4732" s="3" t="s">
        <v>10041</v>
      </c>
      <c r="P4732" s="17">
        <v>45798</v>
      </c>
      <c r="Q4732" s="4">
        <v>0</v>
      </c>
    </row>
    <row r="4733" spans="1:17" ht="30" x14ac:dyDescent="0.25">
      <c r="A4733" s="2" t="s">
        <v>468</v>
      </c>
      <c r="B4733" s="3" t="s">
        <v>5015</v>
      </c>
      <c r="C4733" s="3">
        <v>54</v>
      </c>
      <c r="D4733" s="46" t="str">
        <f>IF(Tabla1[[#This Row],[EDAD]]&lt;=35,"Adultos jóvenes 18 - 35 años",IF(C4733&gt;=36,"Adultos mayores 36 años en adelante"))</f>
        <v>Adultos mayores 36 años en adelante</v>
      </c>
      <c r="E4733" s="3" t="s">
        <v>5020</v>
      </c>
      <c r="F4733" s="3" t="s">
        <v>5024</v>
      </c>
      <c r="G4733" s="3" t="s">
        <v>5031</v>
      </c>
      <c r="H4733" s="3" t="s">
        <v>5491</v>
      </c>
      <c r="I4733" s="17">
        <v>45805</v>
      </c>
      <c r="J4733" s="18">
        <f>YEAR(Tabla1[[#This Row],[FECHA DE COMPRA]])</f>
        <v>2025</v>
      </c>
      <c r="K4733" s="19">
        <v>85.91</v>
      </c>
      <c r="L4733" s="20">
        <v>0.1</v>
      </c>
      <c r="M4733" s="19">
        <f>Tienda!$K4584-Tienda!$K4584*Tienda!$L4584</f>
        <v>166.58100000000002</v>
      </c>
      <c r="N4733" s="3" t="s">
        <v>10038</v>
      </c>
      <c r="O4733" s="3" t="s">
        <v>10041</v>
      </c>
      <c r="P4733" s="17">
        <v>45805</v>
      </c>
      <c r="Q4733" s="4">
        <v>0</v>
      </c>
    </row>
    <row r="4734" spans="1:17" ht="30" x14ac:dyDescent="0.25">
      <c r="A4734" s="2" t="s">
        <v>2360</v>
      </c>
      <c r="B4734" s="3" t="s">
        <v>5016</v>
      </c>
      <c r="C4734" s="3">
        <v>37</v>
      </c>
      <c r="D4734" s="46" t="str">
        <f>IF(Tabla1[[#This Row],[EDAD]]&lt;=35,"Adultos jóvenes 18 - 35 años",IF(C4734&gt;=36,"Adultos mayores 36 años en adelante"))</f>
        <v>Adultos mayores 36 años en adelante</v>
      </c>
      <c r="E4734" s="3" t="s">
        <v>5019</v>
      </c>
      <c r="F4734" s="3" t="s">
        <v>5024</v>
      </c>
      <c r="G4734" s="3" t="s">
        <v>5035</v>
      </c>
      <c r="H4734" s="3" t="s">
        <v>7383</v>
      </c>
      <c r="I4734" s="17">
        <v>45808</v>
      </c>
      <c r="J4734" s="18">
        <f>YEAR(Tabla1[[#This Row],[FECHA DE COMPRA]])</f>
        <v>2025</v>
      </c>
      <c r="K4734" s="19">
        <v>86.19</v>
      </c>
      <c r="L4734" s="20">
        <v>0.1</v>
      </c>
      <c r="M4734" s="19">
        <f>Tienda!$K4585-Tienda!$K4585*Tienda!$L4585</f>
        <v>106.4</v>
      </c>
      <c r="N4734" s="3" t="s">
        <v>10038</v>
      </c>
      <c r="O4734" s="3" t="s">
        <v>10041</v>
      </c>
      <c r="P4734" s="17">
        <v>45808</v>
      </c>
      <c r="Q4734" s="4">
        <v>0</v>
      </c>
    </row>
    <row r="4735" spans="1:17" ht="30" x14ac:dyDescent="0.25">
      <c r="A4735" s="2" t="s">
        <v>3536</v>
      </c>
      <c r="B4735" s="3" t="s">
        <v>5015</v>
      </c>
      <c r="C4735" s="3">
        <v>56</v>
      </c>
      <c r="D4735" s="46" t="str">
        <f>IF(Tabla1[[#This Row],[EDAD]]&lt;=35,"Adultos jóvenes 18 - 35 años",IF(C4735&gt;=36,"Adultos mayores 36 años en adelante"))</f>
        <v>Adultos mayores 36 años en adelante</v>
      </c>
      <c r="E4735" s="3" t="s">
        <v>5023</v>
      </c>
      <c r="F4735" s="3" t="s">
        <v>5029</v>
      </c>
      <c r="G4735" s="3" t="s">
        <v>5034</v>
      </c>
      <c r="H4735" s="3" t="s">
        <v>8559</v>
      </c>
      <c r="I4735" s="17">
        <v>45795</v>
      </c>
      <c r="J4735" s="18">
        <f>YEAR(Tabla1[[#This Row],[FECHA DE COMPRA]])</f>
        <v>2025</v>
      </c>
      <c r="K4735" s="19">
        <v>86.74</v>
      </c>
      <c r="L4735" s="20">
        <v>0.3</v>
      </c>
      <c r="M4735" s="19">
        <f>Tienda!$K4586-Tienda!$K4586*Tienda!$L4586</f>
        <v>126.08800000000001</v>
      </c>
      <c r="N4735" s="3" t="s">
        <v>10038</v>
      </c>
      <c r="O4735" s="3" t="s">
        <v>10041</v>
      </c>
      <c r="P4735" s="17">
        <v>45795</v>
      </c>
      <c r="Q4735" s="4">
        <v>0</v>
      </c>
    </row>
    <row r="4736" spans="1:17" ht="30" x14ac:dyDescent="0.25">
      <c r="A4736" s="2" t="s">
        <v>4915</v>
      </c>
      <c r="B4736" s="3" t="s">
        <v>5015</v>
      </c>
      <c r="C4736" s="3">
        <v>39</v>
      </c>
      <c r="D4736" s="46" t="str">
        <f>IF(Tabla1[[#This Row],[EDAD]]&lt;=35,"Adultos jóvenes 18 - 35 años",IF(C4736&gt;=36,"Adultos mayores 36 años en adelante"))</f>
        <v>Adultos mayores 36 años en adelante</v>
      </c>
      <c r="E4736" s="3" t="s">
        <v>5022</v>
      </c>
      <c r="F4736" s="3" t="s">
        <v>5027</v>
      </c>
      <c r="G4736" s="3" t="s">
        <v>5031</v>
      </c>
      <c r="H4736" s="3" t="s">
        <v>9938</v>
      </c>
      <c r="I4736" s="17">
        <v>45780</v>
      </c>
      <c r="J4736" s="18">
        <f>YEAR(Tabla1[[#This Row],[FECHA DE COMPRA]])</f>
        <v>2025</v>
      </c>
      <c r="K4736" s="19">
        <v>87.93</v>
      </c>
      <c r="L4736" s="20">
        <v>0</v>
      </c>
      <c r="M4736" s="19">
        <f>Tienda!$K4587-Tienda!$K4587*Tienda!$L4587</f>
        <v>170.76</v>
      </c>
      <c r="N4736" s="3" t="s">
        <v>10038</v>
      </c>
      <c r="O4736" s="3" t="s">
        <v>10041</v>
      </c>
      <c r="P4736" s="17">
        <v>45780</v>
      </c>
      <c r="Q4736" s="4">
        <v>0</v>
      </c>
    </row>
    <row r="4737" spans="1:17" ht="30" x14ac:dyDescent="0.25">
      <c r="A4737" s="2" t="s">
        <v>4655</v>
      </c>
      <c r="B4737" s="3" t="s">
        <v>5015</v>
      </c>
      <c r="C4737" s="3">
        <v>39</v>
      </c>
      <c r="D4737" s="46" t="str">
        <f>IF(Tabla1[[#This Row],[EDAD]]&lt;=35,"Adultos jóvenes 18 - 35 años",IF(C4737&gt;=36,"Adultos mayores 36 años en adelante"))</f>
        <v>Adultos mayores 36 años en adelante</v>
      </c>
      <c r="E4737" s="3" t="s">
        <v>5022</v>
      </c>
      <c r="F4737" s="3" t="s">
        <v>5028</v>
      </c>
      <c r="G4737" s="3" t="s">
        <v>5033</v>
      </c>
      <c r="H4737" s="3" t="s">
        <v>9678</v>
      </c>
      <c r="I4737" s="17">
        <v>45808</v>
      </c>
      <c r="J4737" s="18">
        <f>YEAR(Tabla1[[#This Row],[FECHA DE COMPRA]])</f>
        <v>2025</v>
      </c>
      <c r="K4737" s="19">
        <v>91.71</v>
      </c>
      <c r="L4737" s="20">
        <v>0.1</v>
      </c>
      <c r="M4737" s="19">
        <f>Tienda!$K4588-Tienda!$K4588*Tienda!$L4588</f>
        <v>186.32</v>
      </c>
      <c r="N4737" s="3" t="s">
        <v>10038</v>
      </c>
      <c r="O4737" s="3" t="s">
        <v>10041</v>
      </c>
      <c r="P4737" s="17">
        <v>45808</v>
      </c>
      <c r="Q4737" s="4">
        <v>0</v>
      </c>
    </row>
    <row r="4738" spans="1:17" ht="30" x14ac:dyDescent="0.25">
      <c r="A4738" s="2" t="s">
        <v>324</v>
      </c>
      <c r="B4738" s="3" t="s">
        <v>5015</v>
      </c>
      <c r="C4738" s="3">
        <v>51</v>
      </c>
      <c r="D4738" s="46" t="str">
        <f>IF(Tabla1[[#This Row],[EDAD]]&lt;=35,"Adultos jóvenes 18 - 35 años",IF(C4738&gt;=36,"Adultos mayores 36 años en adelante"))</f>
        <v>Adultos mayores 36 años en adelante</v>
      </c>
      <c r="E4738" s="3" t="s">
        <v>5022</v>
      </c>
      <c r="F4738" s="3" t="s">
        <v>5024</v>
      </c>
      <c r="G4738" s="3" t="s">
        <v>5033</v>
      </c>
      <c r="H4738" s="3" t="s">
        <v>5347</v>
      </c>
      <c r="I4738" s="17">
        <v>45783</v>
      </c>
      <c r="J4738" s="18">
        <f>YEAR(Tabla1[[#This Row],[FECHA DE COMPRA]])</f>
        <v>2025</v>
      </c>
      <c r="K4738" s="19">
        <v>96.87</v>
      </c>
      <c r="L4738" s="20">
        <v>0</v>
      </c>
      <c r="M4738" s="19">
        <f>Tienda!$K4589-Tienda!$K4589*Tienda!$L4589</f>
        <v>36.777999999999999</v>
      </c>
      <c r="N4738" s="3" t="s">
        <v>10038</v>
      </c>
      <c r="O4738" s="3" t="s">
        <v>10041</v>
      </c>
      <c r="P4738" s="17">
        <v>45783</v>
      </c>
      <c r="Q4738" s="4">
        <v>0</v>
      </c>
    </row>
    <row r="4739" spans="1:17" ht="30" x14ac:dyDescent="0.25">
      <c r="A4739" s="2" t="s">
        <v>2491</v>
      </c>
      <c r="B4739" s="3" t="s">
        <v>5016</v>
      </c>
      <c r="C4739" s="3">
        <v>63</v>
      </c>
      <c r="D4739" s="46" t="str">
        <f>IF(Tabla1[[#This Row],[EDAD]]&lt;=35,"Adultos jóvenes 18 - 35 años",IF(C4739&gt;=36,"Adultos mayores 36 años en adelante"))</f>
        <v>Adultos mayores 36 años en adelante</v>
      </c>
      <c r="E4739" s="3" t="s">
        <v>5019</v>
      </c>
      <c r="F4739" s="3" t="s">
        <v>5024</v>
      </c>
      <c r="G4739" s="3" t="s">
        <v>5037</v>
      </c>
      <c r="H4739" s="3" t="s">
        <v>7514</v>
      </c>
      <c r="I4739" s="17">
        <v>45808</v>
      </c>
      <c r="J4739" s="18">
        <f>YEAR(Tabla1[[#This Row],[FECHA DE COMPRA]])</f>
        <v>2025</v>
      </c>
      <c r="K4739" s="19">
        <v>98.83</v>
      </c>
      <c r="L4739" s="20">
        <v>0.3</v>
      </c>
      <c r="M4739" s="19">
        <f>Tienda!$K4590-Tienda!$K4590*Tienda!$L4590</f>
        <v>38.094000000000001</v>
      </c>
      <c r="N4739" s="3" t="s">
        <v>10038</v>
      </c>
      <c r="O4739" s="3" t="s">
        <v>10041</v>
      </c>
      <c r="P4739" s="17">
        <v>45808</v>
      </c>
      <c r="Q4739" s="4">
        <v>0</v>
      </c>
    </row>
    <row r="4740" spans="1:17" ht="30" x14ac:dyDescent="0.25">
      <c r="A4740" s="2" t="s">
        <v>3286</v>
      </c>
      <c r="B4740" s="3" t="s">
        <v>5015</v>
      </c>
      <c r="C4740" s="3">
        <v>41</v>
      </c>
      <c r="D4740" s="46" t="str">
        <f>IF(Tabla1[[#This Row],[EDAD]]&lt;=35,"Adultos jóvenes 18 - 35 años",IF(C4740&gt;=36,"Adultos mayores 36 años en adelante"))</f>
        <v>Adultos mayores 36 años en adelante</v>
      </c>
      <c r="E4740" s="3" t="s">
        <v>5020</v>
      </c>
      <c r="F4740" s="3" t="s">
        <v>5026</v>
      </c>
      <c r="G4740" s="3" t="s">
        <v>5036</v>
      </c>
      <c r="H4740" s="3" t="s">
        <v>8309</v>
      </c>
      <c r="I4740" s="17">
        <v>45782</v>
      </c>
      <c r="J4740" s="18">
        <f>YEAR(Tabla1[[#This Row],[FECHA DE COMPRA]])</f>
        <v>2025</v>
      </c>
      <c r="K4740" s="19">
        <v>106.51</v>
      </c>
      <c r="L4740" s="20">
        <v>0.1</v>
      </c>
      <c r="M4740" s="19">
        <f>Tienda!$K4592-Tienda!$K4592*Tienda!$L4592</f>
        <v>45.760000000000005</v>
      </c>
      <c r="N4740" s="3" t="s">
        <v>10038</v>
      </c>
      <c r="O4740" s="3" t="s">
        <v>10041</v>
      </c>
      <c r="P4740" s="17">
        <v>45782</v>
      </c>
      <c r="Q4740" s="4">
        <v>0</v>
      </c>
    </row>
    <row r="4741" spans="1:17" ht="30" x14ac:dyDescent="0.25">
      <c r="A4741" s="2" t="s">
        <v>1089</v>
      </c>
      <c r="B4741" s="3" t="s">
        <v>5015</v>
      </c>
      <c r="C4741" s="3">
        <v>40</v>
      </c>
      <c r="D4741" s="46" t="str">
        <f>IF(Tabla1[[#This Row],[EDAD]]&lt;=35,"Adultos jóvenes 18 - 35 años",IF(C4741&gt;=36,"Adultos mayores 36 años en adelante"))</f>
        <v>Adultos mayores 36 años en adelante</v>
      </c>
      <c r="E4741" s="3" t="s">
        <v>5022</v>
      </c>
      <c r="F4741" s="3" t="s">
        <v>5024</v>
      </c>
      <c r="G4741" s="3" t="s">
        <v>5034</v>
      </c>
      <c r="H4741" s="3" t="s">
        <v>6112</v>
      </c>
      <c r="I4741" s="17">
        <v>45795</v>
      </c>
      <c r="J4741" s="18">
        <f>YEAR(Tabla1[[#This Row],[FECHA DE COMPRA]])</f>
        <v>2025</v>
      </c>
      <c r="K4741" s="19">
        <v>113.42</v>
      </c>
      <c r="L4741" s="20">
        <v>0.1</v>
      </c>
      <c r="M4741" s="19">
        <f>Tienda!$K4594-Tienda!$K4594*Tienda!$L4594</f>
        <v>43.463000000000008</v>
      </c>
      <c r="N4741" s="3" t="s">
        <v>10038</v>
      </c>
      <c r="O4741" s="3" t="s">
        <v>10041</v>
      </c>
      <c r="P4741" s="17">
        <v>45795</v>
      </c>
      <c r="Q4741" s="4">
        <v>0</v>
      </c>
    </row>
    <row r="4742" spans="1:17" ht="30" x14ac:dyDescent="0.25">
      <c r="A4742" s="2" t="s">
        <v>58</v>
      </c>
      <c r="B4742" s="3" t="s">
        <v>5015</v>
      </c>
      <c r="C4742" s="3">
        <v>47</v>
      </c>
      <c r="D4742" s="46" t="str">
        <f>IF(Tabla1[[#This Row],[EDAD]]&lt;=35,"Adultos jóvenes 18 - 35 años",IF(C4742&gt;=36,"Adultos mayores 36 años en adelante"))</f>
        <v>Adultos mayores 36 años en adelante</v>
      </c>
      <c r="E4742" s="3" t="s">
        <v>5019</v>
      </c>
      <c r="F4742" s="3" t="s">
        <v>5028</v>
      </c>
      <c r="G4742" s="3" t="s">
        <v>5032</v>
      </c>
      <c r="H4742" s="3" t="s">
        <v>5081</v>
      </c>
      <c r="I4742" s="17">
        <v>45803</v>
      </c>
      <c r="J4742" s="18">
        <f>YEAR(Tabla1[[#This Row],[FECHA DE COMPRA]])</f>
        <v>2025</v>
      </c>
      <c r="K4742" s="19">
        <v>119.19</v>
      </c>
      <c r="L4742" s="20">
        <v>0</v>
      </c>
      <c r="M4742" s="19">
        <f>Tienda!$K4595-Tienda!$K4595*Tienda!$L4595</f>
        <v>65.8</v>
      </c>
      <c r="N4742" s="3" t="s">
        <v>10038</v>
      </c>
      <c r="O4742" s="3" t="s">
        <v>10041</v>
      </c>
      <c r="P4742" s="17">
        <v>45803</v>
      </c>
      <c r="Q4742" s="4">
        <v>0</v>
      </c>
    </row>
    <row r="4743" spans="1:17" ht="30" x14ac:dyDescent="0.25">
      <c r="A4743" s="2" t="s">
        <v>3427</v>
      </c>
      <c r="B4743" s="3" t="s">
        <v>5015</v>
      </c>
      <c r="C4743" s="3">
        <v>36</v>
      </c>
      <c r="D4743" s="46" t="str">
        <f>IF(Tabla1[[#This Row],[EDAD]]&lt;=35,"Adultos jóvenes 18 - 35 años",IF(C4743&gt;=36,"Adultos mayores 36 años en adelante"))</f>
        <v>Adultos mayores 36 años en adelante</v>
      </c>
      <c r="E4743" s="3" t="s">
        <v>5018</v>
      </c>
      <c r="F4743" s="3" t="s">
        <v>5029</v>
      </c>
      <c r="G4743" s="3" t="s">
        <v>5035</v>
      </c>
      <c r="H4743" s="3" t="s">
        <v>8450</v>
      </c>
      <c r="I4743" s="17">
        <v>45784</v>
      </c>
      <c r="J4743" s="18">
        <f>YEAR(Tabla1[[#This Row],[FECHA DE COMPRA]])</f>
        <v>2025</v>
      </c>
      <c r="K4743" s="19">
        <v>126.62</v>
      </c>
      <c r="L4743" s="20">
        <v>0.2</v>
      </c>
      <c r="M4743" s="19">
        <f>Tienda!$K4596-Tienda!$K4596*Tienda!$L4596</f>
        <v>97.74</v>
      </c>
      <c r="N4743" s="3" t="s">
        <v>10038</v>
      </c>
      <c r="O4743" s="3" t="s">
        <v>10041</v>
      </c>
      <c r="P4743" s="17">
        <v>45784</v>
      </c>
      <c r="Q4743" s="4">
        <v>0</v>
      </c>
    </row>
    <row r="4744" spans="1:17" ht="30" x14ac:dyDescent="0.25">
      <c r="A4744" s="2" t="s">
        <v>2964</v>
      </c>
      <c r="B4744" s="3" t="s">
        <v>5016</v>
      </c>
      <c r="C4744" s="3">
        <v>48</v>
      </c>
      <c r="D4744" s="46" t="str">
        <f>IF(Tabla1[[#This Row],[EDAD]]&lt;=35,"Adultos jóvenes 18 - 35 años",IF(C4744&gt;=36,"Adultos mayores 36 años en adelante"))</f>
        <v>Adultos mayores 36 años en adelante</v>
      </c>
      <c r="E4744" s="3" t="s">
        <v>5023</v>
      </c>
      <c r="F4744" s="3" t="s">
        <v>5024</v>
      </c>
      <c r="G4744" s="3" t="s">
        <v>5037</v>
      </c>
      <c r="H4744" s="3" t="s">
        <v>7987</v>
      </c>
      <c r="I4744" s="17">
        <v>45788</v>
      </c>
      <c r="J4744" s="18">
        <f>YEAR(Tabla1[[#This Row],[FECHA DE COMPRA]])</f>
        <v>2025</v>
      </c>
      <c r="K4744" s="19">
        <v>133.88999999999999</v>
      </c>
      <c r="L4744" s="20">
        <v>0.3</v>
      </c>
      <c r="M4744" s="19">
        <f>Tienda!$K4597-Tienda!$K4597*Tienda!$L4597</f>
        <v>102.43799999999999</v>
      </c>
      <c r="N4744" s="3" t="s">
        <v>10038</v>
      </c>
      <c r="O4744" s="3" t="s">
        <v>10041</v>
      </c>
      <c r="P4744" s="17">
        <v>45788</v>
      </c>
      <c r="Q4744" s="4">
        <v>0</v>
      </c>
    </row>
    <row r="4745" spans="1:17" ht="30" x14ac:dyDescent="0.25">
      <c r="A4745" s="2" t="s">
        <v>1549</v>
      </c>
      <c r="B4745" s="3" t="s">
        <v>5015</v>
      </c>
      <c r="C4745" s="3">
        <v>56</v>
      </c>
      <c r="D4745" s="46" t="str">
        <f>IF(Tabla1[[#This Row],[EDAD]]&lt;=35,"Adultos jóvenes 18 - 35 años",IF(C4745&gt;=36,"Adultos mayores 36 años en adelante"))</f>
        <v>Adultos mayores 36 años en adelante</v>
      </c>
      <c r="E4745" s="3" t="s">
        <v>5022</v>
      </c>
      <c r="F4745" s="3" t="s">
        <v>5026</v>
      </c>
      <c r="G4745" s="3" t="s">
        <v>5036</v>
      </c>
      <c r="H4745" s="3" t="s">
        <v>6572</v>
      </c>
      <c r="I4745" s="17">
        <v>45796</v>
      </c>
      <c r="J4745" s="18">
        <f>YEAR(Tabla1[[#This Row],[FECHA DE COMPRA]])</f>
        <v>2025</v>
      </c>
      <c r="K4745" s="19">
        <v>139.77000000000001</v>
      </c>
      <c r="L4745" s="20">
        <v>0.2</v>
      </c>
      <c r="M4745" s="19">
        <f>Tienda!$K4600-Tienda!$K4600*Tienda!$L4600</f>
        <v>134.464</v>
      </c>
      <c r="N4745" s="3" t="s">
        <v>10038</v>
      </c>
      <c r="O4745" s="3" t="s">
        <v>10041</v>
      </c>
      <c r="P4745" s="17">
        <v>45796</v>
      </c>
      <c r="Q4745" s="4">
        <v>0</v>
      </c>
    </row>
    <row r="4746" spans="1:17" ht="30" x14ac:dyDescent="0.25">
      <c r="A4746" s="2" t="s">
        <v>1327</v>
      </c>
      <c r="B4746" s="3" t="s">
        <v>5015</v>
      </c>
      <c r="C4746" s="3">
        <v>47</v>
      </c>
      <c r="D4746" s="46" t="str">
        <f>IF(Tabla1[[#This Row],[EDAD]]&lt;=35,"Adultos jóvenes 18 - 35 años",IF(C4746&gt;=36,"Adultos mayores 36 años en adelante"))</f>
        <v>Adultos mayores 36 años en adelante</v>
      </c>
      <c r="E4746" s="3" t="s">
        <v>5023</v>
      </c>
      <c r="F4746" s="3" t="s">
        <v>5028</v>
      </c>
      <c r="G4746" s="3" t="s">
        <v>5031</v>
      </c>
      <c r="H4746" s="3" t="s">
        <v>6350</v>
      </c>
      <c r="I4746" s="17">
        <v>45793</v>
      </c>
      <c r="J4746" s="18">
        <f>YEAR(Tabla1[[#This Row],[FECHA DE COMPRA]])</f>
        <v>2025</v>
      </c>
      <c r="K4746" s="19">
        <v>148.18</v>
      </c>
      <c r="L4746" s="20">
        <v>0.1</v>
      </c>
      <c r="M4746" s="19">
        <f>Tienda!$K4602-Tienda!$K4602*Tienda!$L4602</f>
        <v>163.04399999999998</v>
      </c>
      <c r="N4746" s="3" t="s">
        <v>10038</v>
      </c>
      <c r="O4746" s="3" t="s">
        <v>10041</v>
      </c>
      <c r="P4746" s="17">
        <v>45793</v>
      </c>
      <c r="Q4746" s="4">
        <v>0</v>
      </c>
    </row>
    <row r="4747" spans="1:17" ht="30" x14ac:dyDescent="0.25">
      <c r="A4747" s="2" t="s">
        <v>2155</v>
      </c>
      <c r="B4747" s="3" t="s">
        <v>5015</v>
      </c>
      <c r="C4747" s="3">
        <v>64</v>
      </c>
      <c r="D4747" s="46" t="str">
        <f>IF(Tabla1[[#This Row],[EDAD]]&lt;=35,"Adultos jóvenes 18 - 35 años",IF(C4747&gt;=36,"Adultos mayores 36 años en adelante"))</f>
        <v>Adultos mayores 36 años en adelante</v>
      </c>
      <c r="E4747" s="3" t="s">
        <v>5019</v>
      </c>
      <c r="F4747" s="3" t="s">
        <v>5025</v>
      </c>
      <c r="G4747" s="3" t="s">
        <v>5035</v>
      </c>
      <c r="H4747" s="3" t="s">
        <v>7178</v>
      </c>
      <c r="I4747" s="17">
        <v>45792</v>
      </c>
      <c r="J4747" s="18">
        <f>YEAR(Tabla1[[#This Row],[FECHA DE COMPRA]])</f>
        <v>2025</v>
      </c>
      <c r="K4747" s="19">
        <v>159.1</v>
      </c>
      <c r="L4747" s="20">
        <v>0.1</v>
      </c>
      <c r="M4747" s="19">
        <f>Tienda!$K4603-Tienda!$K4603*Tienda!$L4603</f>
        <v>164.53799999999998</v>
      </c>
      <c r="N4747" s="3" t="s">
        <v>10038</v>
      </c>
      <c r="O4747" s="3" t="s">
        <v>10041</v>
      </c>
      <c r="P4747" s="17">
        <v>45792</v>
      </c>
      <c r="Q4747" s="4">
        <v>0</v>
      </c>
    </row>
    <row r="4748" spans="1:17" ht="30" x14ac:dyDescent="0.25">
      <c r="A4748" s="2" t="s">
        <v>3038</v>
      </c>
      <c r="B4748" s="3" t="s">
        <v>5015</v>
      </c>
      <c r="C4748" s="3">
        <v>62</v>
      </c>
      <c r="D4748" s="46" t="str">
        <f>IF(Tabla1[[#This Row],[EDAD]]&lt;=35,"Adultos jóvenes 18 - 35 años",IF(C4748&gt;=36,"Adultos mayores 36 años en adelante"))</f>
        <v>Adultos mayores 36 años en adelante</v>
      </c>
      <c r="E4748" s="3" t="s">
        <v>5019</v>
      </c>
      <c r="F4748" s="3" t="s">
        <v>5030</v>
      </c>
      <c r="G4748" s="3" t="s">
        <v>5033</v>
      </c>
      <c r="H4748" s="3" t="s">
        <v>8061</v>
      </c>
      <c r="I4748" s="17">
        <v>45790</v>
      </c>
      <c r="J4748" s="18">
        <f>YEAR(Tabla1[[#This Row],[FECHA DE COMPRA]])</f>
        <v>2025</v>
      </c>
      <c r="K4748" s="19">
        <v>160.28</v>
      </c>
      <c r="L4748" s="20">
        <v>0.1</v>
      </c>
      <c r="M4748" s="19">
        <f>Tienda!$K4604-Tienda!$K4604*Tienda!$L4604</f>
        <v>131.50200000000001</v>
      </c>
      <c r="N4748" s="3" t="s">
        <v>10038</v>
      </c>
      <c r="O4748" s="3" t="s">
        <v>10041</v>
      </c>
      <c r="P4748" s="17">
        <v>45790</v>
      </c>
      <c r="Q4748" s="4">
        <v>0</v>
      </c>
    </row>
    <row r="4749" spans="1:17" ht="30" x14ac:dyDescent="0.25">
      <c r="A4749" s="2" t="s">
        <v>4983</v>
      </c>
      <c r="B4749" s="3" t="s">
        <v>5016</v>
      </c>
      <c r="C4749" s="3">
        <v>52</v>
      </c>
      <c r="D4749" s="46" t="str">
        <f>IF(Tabla1[[#This Row],[EDAD]]&lt;=35,"Adultos jóvenes 18 - 35 años",IF(C4749&gt;=36,"Adultos mayores 36 años en adelante"))</f>
        <v>Adultos mayores 36 años en adelante</v>
      </c>
      <c r="E4749" s="3" t="s">
        <v>5017</v>
      </c>
      <c r="F4749" s="3" t="s">
        <v>5026</v>
      </c>
      <c r="G4749" s="3" t="s">
        <v>5036</v>
      </c>
      <c r="H4749" s="3" t="s">
        <v>10006</v>
      </c>
      <c r="I4749" s="17">
        <v>45799</v>
      </c>
      <c r="J4749" s="18">
        <f>YEAR(Tabla1[[#This Row],[FECHA DE COMPRA]])</f>
        <v>2025</v>
      </c>
      <c r="K4749" s="19">
        <v>179.09</v>
      </c>
      <c r="L4749" s="20">
        <v>0.1</v>
      </c>
      <c r="M4749" s="19">
        <f>Tienda!$K4608-Tienda!$K4608*Tienda!$L4608</f>
        <v>18.228000000000002</v>
      </c>
      <c r="N4749" s="3" t="s">
        <v>10038</v>
      </c>
      <c r="O4749" s="3" t="s">
        <v>10041</v>
      </c>
      <c r="P4749" s="17">
        <v>45799</v>
      </c>
      <c r="Q4749" s="4">
        <v>0</v>
      </c>
    </row>
    <row r="4750" spans="1:17" ht="30" x14ac:dyDescent="0.25">
      <c r="A4750" s="2" t="s">
        <v>1098</v>
      </c>
      <c r="B4750" s="3" t="s">
        <v>5015</v>
      </c>
      <c r="C4750" s="3">
        <v>65</v>
      </c>
      <c r="D4750" s="46" t="str">
        <f>IF(Tabla1[[#This Row],[EDAD]]&lt;=35,"Adultos jóvenes 18 - 35 años",IF(C4750&gt;=36,"Adultos mayores 36 años en adelante"))</f>
        <v>Adultos mayores 36 años en adelante</v>
      </c>
      <c r="E4750" s="3" t="s">
        <v>5019</v>
      </c>
      <c r="F4750" s="3" t="s">
        <v>5029</v>
      </c>
      <c r="G4750" s="3" t="s">
        <v>5034</v>
      </c>
      <c r="H4750" s="3" t="s">
        <v>6121</v>
      </c>
      <c r="I4750" s="17">
        <v>45784</v>
      </c>
      <c r="J4750" s="18">
        <f>YEAR(Tabla1[[#This Row],[FECHA DE COMPRA]])</f>
        <v>2025</v>
      </c>
      <c r="K4750" s="19">
        <v>190.27</v>
      </c>
      <c r="L4750" s="20">
        <v>0.2</v>
      </c>
      <c r="M4750" s="19">
        <f>Tienda!$K4612-Tienda!$K4612*Tienda!$L4612</f>
        <v>63.387000000000008</v>
      </c>
      <c r="N4750" s="3" t="s">
        <v>10038</v>
      </c>
      <c r="O4750" s="3" t="s">
        <v>10041</v>
      </c>
      <c r="P4750" s="17">
        <v>45784</v>
      </c>
      <c r="Q4750" s="4">
        <v>0</v>
      </c>
    </row>
    <row r="4751" spans="1:17" ht="30" x14ac:dyDescent="0.25">
      <c r="A4751" s="2" t="s">
        <v>2914</v>
      </c>
      <c r="B4751" s="3" t="s">
        <v>5016</v>
      </c>
      <c r="C4751" s="3">
        <v>64</v>
      </c>
      <c r="D4751" s="46" t="str">
        <f>IF(Tabla1[[#This Row],[EDAD]]&lt;=35,"Adultos jóvenes 18 - 35 años",IF(C4751&gt;=36,"Adultos mayores 36 años en adelante"))</f>
        <v>Adultos mayores 36 años en adelante</v>
      </c>
      <c r="E4751" s="3" t="s">
        <v>5017</v>
      </c>
      <c r="F4751" s="3" t="s">
        <v>5025</v>
      </c>
      <c r="G4751" s="3" t="s">
        <v>5033</v>
      </c>
      <c r="H4751" s="3" t="s">
        <v>7937</v>
      </c>
      <c r="I4751" s="17">
        <v>45805</v>
      </c>
      <c r="J4751" s="18">
        <f>YEAR(Tabla1[[#This Row],[FECHA DE COMPRA]])</f>
        <v>2025</v>
      </c>
      <c r="K4751" s="19">
        <v>193.65</v>
      </c>
      <c r="L4751" s="20">
        <v>0.1</v>
      </c>
      <c r="M4751" s="19">
        <f>Tienda!$K4613-Tienda!$K4613*Tienda!$L4613</f>
        <v>61.191999999999993</v>
      </c>
      <c r="N4751" s="3" t="s">
        <v>10038</v>
      </c>
      <c r="O4751" s="3" t="s">
        <v>10041</v>
      </c>
      <c r="P4751" s="17">
        <v>45805</v>
      </c>
      <c r="Q4751" s="4">
        <v>0</v>
      </c>
    </row>
    <row r="4752" spans="1:17" ht="30" x14ac:dyDescent="0.25">
      <c r="A4752" s="2" t="s">
        <v>843</v>
      </c>
      <c r="B4752" s="3" t="s">
        <v>5015</v>
      </c>
      <c r="C4752" s="3">
        <v>39</v>
      </c>
      <c r="D4752" s="46" t="str">
        <f>IF(Tabla1[[#This Row],[EDAD]]&lt;=35,"Adultos jóvenes 18 - 35 años",IF(C4752&gt;=36,"Adultos mayores 36 años en adelante"))</f>
        <v>Adultos mayores 36 años en adelante</v>
      </c>
      <c r="E4752" s="3" t="s">
        <v>5020</v>
      </c>
      <c r="F4752" s="3" t="s">
        <v>5026</v>
      </c>
      <c r="G4752" s="3" t="s">
        <v>5035</v>
      </c>
      <c r="H4752" s="3" t="s">
        <v>5866</v>
      </c>
      <c r="I4752" s="17">
        <v>45780</v>
      </c>
      <c r="J4752" s="18">
        <f>YEAR(Tabla1[[#This Row],[FECHA DE COMPRA]])</f>
        <v>2025</v>
      </c>
      <c r="K4752" s="19">
        <v>195.31</v>
      </c>
      <c r="L4752" s="20">
        <v>0</v>
      </c>
      <c r="M4752" s="19">
        <f>Tienda!$K4614-Tienda!$K4614*Tienda!$L4614</f>
        <v>59.5</v>
      </c>
      <c r="N4752" s="3" t="s">
        <v>10038</v>
      </c>
      <c r="O4752" s="3" t="s">
        <v>10041</v>
      </c>
      <c r="P4752" s="17">
        <v>45780</v>
      </c>
      <c r="Q4752" s="4">
        <v>0</v>
      </c>
    </row>
    <row r="4753" spans="1:17" ht="30" x14ac:dyDescent="0.25">
      <c r="A4753" s="2" t="s">
        <v>3395</v>
      </c>
      <c r="B4753" s="3" t="s">
        <v>5015</v>
      </c>
      <c r="C4753" s="3">
        <v>50</v>
      </c>
      <c r="D4753" s="46" t="str">
        <f>IF(Tabla1[[#This Row],[EDAD]]&lt;=35,"Adultos jóvenes 18 - 35 años",IF(C4753&gt;=36,"Adultos mayores 36 años en adelante"))</f>
        <v>Adultos mayores 36 años en adelante</v>
      </c>
      <c r="E4753" s="3" t="s">
        <v>5020</v>
      </c>
      <c r="F4753" s="3" t="s">
        <v>5025</v>
      </c>
      <c r="G4753" s="3" t="s">
        <v>5035</v>
      </c>
      <c r="H4753" s="3" t="s">
        <v>8418</v>
      </c>
      <c r="I4753" s="17">
        <v>45824</v>
      </c>
      <c r="J4753" s="18">
        <f>YEAR(Tabla1[[#This Row],[FECHA DE COMPRA]])</f>
        <v>2025</v>
      </c>
      <c r="K4753" s="19">
        <v>28.75</v>
      </c>
      <c r="L4753" s="20">
        <v>0</v>
      </c>
      <c r="M4753" s="19">
        <f>Tienda!$K4616-Tienda!$K4616*Tienda!$L4616</f>
        <v>67.403000000000006</v>
      </c>
      <c r="N4753" s="3" t="s">
        <v>10038</v>
      </c>
      <c r="O4753" s="3" t="s">
        <v>10041</v>
      </c>
      <c r="P4753" s="17">
        <v>45824</v>
      </c>
      <c r="Q4753" s="4">
        <v>0</v>
      </c>
    </row>
    <row r="4754" spans="1:17" ht="30" x14ac:dyDescent="0.25">
      <c r="A4754" s="2" t="s">
        <v>2551</v>
      </c>
      <c r="B4754" s="3" t="s">
        <v>5015</v>
      </c>
      <c r="C4754" s="3">
        <v>52</v>
      </c>
      <c r="D4754" s="46" t="str">
        <f>IF(Tabla1[[#This Row],[EDAD]]&lt;=35,"Adultos jóvenes 18 - 35 años",IF(C4754&gt;=36,"Adultos mayores 36 años en adelante"))</f>
        <v>Adultos mayores 36 años en adelante</v>
      </c>
      <c r="E4754" s="3" t="s">
        <v>5020</v>
      </c>
      <c r="F4754" s="3" t="s">
        <v>5025</v>
      </c>
      <c r="G4754" s="3" t="s">
        <v>5035</v>
      </c>
      <c r="H4754" s="3" t="s">
        <v>7574</v>
      </c>
      <c r="I4754" s="17">
        <v>45830</v>
      </c>
      <c r="J4754" s="18">
        <f>YEAR(Tabla1[[#This Row],[FECHA DE COMPRA]])</f>
        <v>2025</v>
      </c>
      <c r="K4754" s="19">
        <v>30.7</v>
      </c>
      <c r="L4754" s="20">
        <v>0.3</v>
      </c>
      <c r="M4754" s="19">
        <f>Tienda!$K4618-Tienda!$K4618*Tienda!$L4618</f>
        <v>82.544000000000011</v>
      </c>
      <c r="N4754" s="3" t="s">
        <v>10038</v>
      </c>
      <c r="O4754" s="3" t="s">
        <v>10041</v>
      </c>
      <c r="P4754" s="17">
        <v>45830</v>
      </c>
      <c r="Q4754" s="4">
        <v>0</v>
      </c>
    </row>
    <row r="4755" spans="1:17" ht="30" x14ac:dyDescent="0.25">
      <c r="A4755" s="2" t="s">
        <v>2493</v>
      </c>
      <c r="B4755" s="3" t="s">
        <v>5015</v>
      </c>
      <c r="C4755" s="3">
        <v>36</v>
      </c>
      <c r="D4755" s="46" t="str">
        <f>IF(Tabla1[[#This Row],[EDAD]]&lt;=35,"Adultos jóvenes 18 - 35 años",IF(C4755&gt;=36,"Adultos mayores 36 años en adelante"))</f>
        <v>Adultos mayores 36 años en adelante</v>
      </c>
      <c r="E4755" s="3" t="s">
        <v>5020</v>
      </c>
      <c r="F4755" s="3" t="s">
        <v>5030</v>
      </c>
      <c r="G4755" s="3" t="s">
        <v>5034</v>
      </c>
      <c r="H4755" s="3" t="s">
        <v>7516</v>
      </c>
      <c r="I4755" s="17">
        <v>45825</v>
      </c>
      <c r="J4755" s="18">
        <f>YEAR(Tabla1[[#This Row],[FECHA DE COMPRA]])</f>
        <v>2025</v>
      </c>
      <c r="K4755" s="19">
        <v>35.08</v>
      </c>
      <c r="L4755" s="20">
        <v>0.1</v>
      </c>
      <c r="M4755" s="19">
        <f>Tienda!$K4620-Tienda!$K4620*Tienda!$L4620</f>
        <v>111.11399999999999</v>
      </c>
      <c r="N4755" s="3" t="s">
        <v>10038</v>
      </c>
      <c r="O4755" s="3" t="s">
        <v>10041</v>
      </c>
      <c r="P4755" s="17">
        <v>45825</v>
      </c>
      <c r="Q4755" s="4">
        <v>0</v>
      </c>
    </row>
    <row r="4756" spans="1:17" ht="30" x14ac:dyDescent="0.25">
      <c r="A4756" s="2" t="s">
        <v>3763</v>
      </c>
      <c r="B4756" s="3" t="s">
        <v>5016</v>
      </c>
      <c r="C4756" s="3">
        <v>55</v>
      </c>
      <c r="D4756" s="46" t="str">
        <f>IF(Tabla1[[#This Row],[EDAD]]&lt;=35,"Adultos jóvenes 18 - 35 años",IF(C4756&gt;=36,"Adultos mayores 36 años en adelante"))</f>
        <v>Adultos mayores 36 años en adelante</v>
      </c>
      <c r="E4756" s="3" t="s">
        <v>5019</v>
      </c>
      <c r="F4756" s="3" t="s">
        <v>5027</v>
      </c>
      <c r="G4756" s="3" t="s">
        <v>5036</v>
      </c>
      <c r="H4756" s="3" t="s">
        <v>8786</v>
      </c>
      <c r="I4756" s="17">
        <v>45831</v>
      </c>
      <c r="J4756" s="18">
        <f>YEAR(Tabla1[[#This Row],[FECHA DE COMPRA]])</f>
        <v>2025</v>
      </c>
      <c r="K4756" s="19">
        <v>45.85</v>
      </c>
      <c r="L4756" s="20">
        <v>0.1</v>
      </c>
      <c r="M4756" s="19">
        <f>Tienda!$K4622-Tienda!$K4622*Tienda!$L4622</f>
        <v>127.95299999999999</v>
      </c>
      <c r="N4756" s="3" t="s">
        <v>10038</v>
      </c>
      <c r="O4756" s="3" t="s">
        <v>10041</v>
      </c>
      <c r="P4756" s="17">
        <v>45831</v>
      </c>
      <c r="Q4756" s="4">
        <v>0</v>
      </c>
    </row>
    <row r="4757" spans="1:17" ht="30" x14ac:dyDescent="0.25">
      <c r="A4757" s="2" t="s">
        <v>4814</v>
      </c>
      <c r="B4757" s="3" t="s">
        <v>5016</v>
      </c>
      <c r="C4757" s="3">
        <v>57</v>
      </c>
      <c r="D4757" s="46" t="str">
        <f>IF(Tabla1[[#This Row],[EDAD]]&lt;=35,"Adultos jóvenes 18 - 35 años",IF(C4757&gt;=36,"Adultos mayores 36 años en adelante"))</f>
        <v>Adultos mayores 36 años en adelante</v>
      </c>
      <c r="E4757" s="3" t="s">
        <v>5017</v>
      </c>
      <c r="F4757" s="3" t="s">
        <v>5025</v>
      </c>
      <c r="G4757" s="3" t="s">
        <v>5031</v>
      </c>
      <c r="H4757" s="3" t="s">
        <v>9837</v>
      </c>
      <c r="I4757" s="17">
        <v>45822</v>
      </c>
      <c r="J4757" s="18">
        <f>YEAR(Tabla1[[#This Row],[FECHA DE COMPRA]])</f>
        <v>2025</v>
      </c>
      <c r="K4757" s="19">
        <v>53.78</v>
      </c>
      <c r="L4757" s="20">
        <v>0.2</v>
      </c>
      <c r="M4757" s="19">
        <f>Tienda!$K4623-Tienda!$K4623*Tienda!$L4623</f>
        <v>103.411</v>
      </c>
      <c r="N4757" s="3" t="s">
        <v>10038</v>
      </c>
      <c r="O4757" s="3" t="s">
        <v>10041</v>
      </c>
      <c r="P4757" s="17">
        <v>45822</v>
      </c>
      <c r="Q4757" s="4">
        <v>0</v>
      </c>
    </row>
    <row r="4758" spans="1:17" ht="30" x14ac:dyDescent="0.25">
      <c r="A4758" s="2" t="s">
        <v>2133</v>
      </c>
      <c r="B4758" s="3" t="s">
        <v>5016</v>
      </c>
      <c r="C4758" s="3">
        <v>57</v>
      </c>
      <c r="D4758" s="46" t="str">
        <f>IF(Tabla1[[#This Row],[EDAD]]&lt;=35,"Adultos jóvenes 18 - 35 años",IF(C4758&gt;=36,"Adultos mayores 36 años en adelante"))</f>
        <v>Adultos mayores 36 años en adelante</v>
      </c>
      <c r="E4758" s="3" t="s">
        <v>5021</v>
      </c>
      <c r="F4758" s="3" t="s">
        <v>5024</v>
      </c>
      <c r="G4758" s="3" t="s">
        <v>5034</v>
      </c>
      <c r="H4758" s="3" t="s">
        <v>7156</v>
      </c>
      <c r="I4758" s="17">
        <v>45828</v>
      </c>
      <c r="J4758" s="18">
        <f>YEAR(Tabla1[[#This Row],[FECHA DE COMPRA]])</f>
        <v>2025</v>
      </c>
      <c r="K4758" s="19">
        <v>54.92</v>
      </c>
      <c r="L4758" s="20">
        <v>0</v>
      </c>
      <c r="M4758" s="19">
        <f>Tienda!$K4624-Tienda!$K4624*Tienda!$L4624</f>
        <v>121.59200000000001</v>
      </c>
      <c r="N4758" s="3" t="s">
        <v>10038</v>
      </c>
      <c r="O4758" s="3" t="s">
        <v>10041</v>
      </c>
      <c r="P4758" s="17">
        <v>45828</v>
      </c>
      <c r="Q4758" s="4">
        <v>0</v>
      </c>
    </row>
    <row r="4759" spans="1:17" ht="30" x14ac:dyDescent="0.25">
      <c r="A4759" s="2" t="s">
        <v>445</v>
      </c>
      <c r="B4759" s="3" t="s">
        <v>5015</v>
      </c>
      <c r="C4759" s="3">
        <v>42</v>
      </c>
      <c r="D4759" s="46" t="str">
        <f>IF(Tabla1[[#This Row],[EDAD]]&lt;=35,"Adultos jóvenes 18 - 35 años",IF(C4759&gt;=36,"Adultos mayores 36 años en adelante"))</f>
        <v>Adultos mayores 36 años en adelante</v>
      </c>
      <c r="E4759" s="3" t="s">
        <v>5017</v>
      </c>
      <c r="F4759" s="3" t="s">
        <v>5024</v>
      </c>
      <c r="G4759" s="3" t="s">
        <v>5035</v>
      </c>
      <c r="H4759" s="3" t="s">
        <v>5468</v>
      </c>
      <c r="I4759" s="17">
        <v>45836</v>
      </c>
      <c r="J4759" s="18">
        <f>YEAR(Tabla1[[#This Row],[FECHA DE COMPRA]])</f>
        <v>2025</v>
      </c>
      <c r="K4759" s="19">
        <v>84.45</v>
      </c>
      <c r="L4759" s="20">
        <v>0.2</v>
      </c>
      <c r="M4759" s="19">
        <f>Tienda!$K4627-Tienda!$K4627*Tienda!$L4627</f>
        <v>170.92</v>
      </c>
      <c r="N4759" s="3" t="s">
        <v>10038</v>
      </c>
      <c r="O4759" s="3" t="s">
        <v>10041</v>
      </c>
      <c r="P4759" s="17">
        <v>45836</v>
      </c>
      <c r="Q4759" s="4">
        <v>0</v>
      </c>
    </row>
    <row r="4760" spans="1:17" ht="30" x14ac:dyDescent="0.25">
      <c r="A4760" s="2" t="s">
        <v>1419</v>
      </c>
      <c r="B4760" s="3" t="s">
        <v>5015</v>
      </c>
      <c r="C4760" s="3">
        <v>46</v>
      </c>
      <c r="D4760" s="46" t="str">
        <f>IF(Tabla1[[#This Row],[EDAD]]&lt;=35,"Adultos jóvenes 18 - 35 años",IF(C4760&gt;=36,"Adultos mayores 36 años en adelante"))</f>
        <v>Adultos mayores 36 años en adelante</v>
      </c>
      <c r="E4760" s="3" t="s">
        <v>5018</v>
      </c>
      <c r="F4760" s="3" t="s">
        <v>5026</v>
      </c>
      <c r="G4760" s="3" t="s">
        <v>5031</v>
      </c>
      <c r="H4760" s="3" t="s">
        <v>6442</v>
      </c>
      <c r="I4760" s="17">
        <v>45819</v>
      </c>
      <c r="J4760" s="18">
        <f>YEAR(Tabla1[[#This Row],[FECHA DE COMPRA]])</f>
        <v>2025</v>
      </c>
      <c r="K4760" s="19">
        <v>108.74</v>
      </c>
      <c r="L4760" s="20">
        <v>0.2</v>
      </c>
      <c r="M4760" s="19">
        <f>Tienda!$K4629-Tienda!$K4629*Tienda!$L4629</f>
        <v>158.91299999999998</v>
      </c>
      <c r="N4760" s="3" t="s">
        <v>10038</v>
      </c>
      <c r="O4760" s="3" t="s">
        <v>10041</v>
      </c>
      <c r="P4760" s="17">
        <v>45819</v>
      </c>
      <c r="Q4760" s="4">
        <v>0</v>
      </c>
    </row>
    <row r="4761" spans="1:17" ht="30" x14ac:dyDescent="0.25">
      <c r="A4761" s="2" t="s">
        <v>4574</v>
      </c>
      <c r="B4761" s="3" t="s">
        <v>5016</v>
      </c>
      <c r="C4761" s="3">
        <v>45</v>
      </c>
      <c r="D4761" s="46" t="str">
        <f>IF(Tabla1[[#This Row],[EDAD]]&lt;=35,"Adultos jóvenes 18 - 35 años",IF(C4761&gt;=36,"Adultos mayores 36 años en adelante"))</f>
        <v>Adultos mayores 36 años en adelante</v>
      </c>
      <c r="E4761" s="3" t="s">
        <v>5023</v>
      </c>
      <c r="F4761" s="3" t="s">
        <v>5029</v>
      </c>
      <c r="G4761" s="3" t="s">
        <v>5035</v>
      </c>
      <c r="H4761" s="3" t="s">
        <v>9597</v>
      </c>
      <c r="I4761" s="17">
        <v>45814</v>
      </c>
      <c r="J4761" s="18">
        <f>YEAR(Tabla1[[#This Row],[FECHA DE COMPRA]])</f>
        <v>2025</v>
      </c>
      <c r="K4761" s="19">
        <v>113.1</v>
      </c>
      <c r="L4761" s="20">
        <v>0.3</v>
      </c>
      <c r="M4761" s="19">
        <f>Tienda!$K4630-Tienda!$K4630*Tienda!$L4630</f>
        <v>165.267</v>
      </c>
      <c r="N4761" s="3" t="s">
        <v>10038</v>
      </c>
      <c r="O4761" s="3" t="s">
        <v>10041</v>
      </c>
      <c r="P4761" s="17">
        <v>45814</v>
      </c>
      <c r="Q4761" s="4">
        <v>0</v>
      </c>
    </row>
    <row r="4762" spans="1:17" ht="30" x14ac:dyDescent="0.25">
      <c r="A4762" s="2" t="s">
        <v>277</v>
      </c>
      <c r="B4762" s="3" t="s">
        <v>5015</v>
      </c>
      <c r="C4762" s="3">
        <v>37</v>
      </c>
      <c r="D4762" s="46" t="str">
        <f>IF(Tabla1[[#This Row],[EDAD]]&lt;=35,"Adultos jóvenes 18 - 35 años",IF(C4762&gt;=36,"Adultos mayores 36 años en adelante"))</f>
        <v>Adultos mayores 36 años en adelante</v>
      </c>
      <c r="E4762" s="3" t="s">
        <v>5018</v>
      </c>
      <c r="F4762" s="3" t="s">
        <v>5028</v>
      </c>
      <c r="G4762" s="3" t="s">
        <v>5031</v>
      </c>
      <c r="H4762" s="3" t="s">
        <v>5300</v>
      </c>
      <c r="I4762" s="17">
        <v>45811</v>
      </c>
      <c r="J4762" s="18">
        <f>YEAR(Tabla1[[#This Row],[FECHA DE COMPRA]])</f>
        <v>2025</v>
      </c>
      <c r="K4762" s="19">
        <v>123.92</v>
      </c>
      <c r="L4762" s="20">
        <v>0.3</v>
      </c>
      <c r="M4762" s="19">
        <f>Tienda!$K4631-Tienda!$K4631*Tienda!$L4631</f>
        <v>173.59199999999998</v>
      </c>
      <c r="N4762" s="3" t="s">
        <v>10038</v>
      </c>
      <c r="O4762" s="3" t="s">
        <v>10041</v>
      </c>
      <c r="P4762" s="17">
        <v>45811</v>
      </c>
      <c r="Q4762" s="4">
        <v>0</v>
      </c>
    </row>
    <row r="4763" spans="1:17" ht="30" x14ac:dyDescent="0.25">
      <c r="A4763" s="2" t="s">
        <v>3575</v>
      </c>
      <c r="B4763" s="3" t="s">
        <v>5015</v>
      </c>
      <c r="C4763" s="3">
        <v>56</v>
      </c>
      <c r="D4763" s="46" t="str">
        <f>IF(Tabla1[[#This Row],[EDAD]]&lt;=35,"Adultos jóvenes 18 - 35 años",IF(C4763&gt;=36,"Adultos mayores 36 años en adelante"))</f>
        <v>Adultos mayores 36 años en adelante</v>
      </c>
      <c r="E4763" s="3" t="s">
        <v>5020</v>
      </c>
      <c r="F4763" s="3" t="s">
        <v>5025</v>
      </c>
      <c r="G4763" s="3" t="s">
        <v>5031</v>
      </c>
      <c r="H4763" s="3" t="s">
        <v>8598</v>
      </c>
      <c r="I4763" s="17">
        <v>45826</v>
      </c>
      <c r="J4763" s="18">
        <f>YEAR(Tabla1[[#This Row],[FECHA DE COMPRA]])</f>
        <v>2025</v>
      </c>
      <c r="K4763" s="19">
        <v>137.5</v>
      </c>
      <c r="L4763" s="20">
        <v>0.2</v>
      </c>
      <c r="M4763" s="19">
        <f>Tienda!$K4632-Tienda!$K4632*Tienda!$L4632</f>
        <v>137.71100000000001</v>
      </c>
      <c r="N4763" s="3" t="s">
        <v>10038</v>
      </c>
      <c r="O4763" s="3" t="s">
        <v>10041</v>
      </c>
      <c r="P4763" s="17">
        <v>45826</v>
      </c>
      <c r="Q4763" s="4">
        <v>0</v>
      </c>
    </row>
    <row r="4764" spans="1:17" ht="30" x14ac:dyDescent="0.25">
      <c r="A4764" s="2" t="s">
        <v>2157</v>
      </c>
      <c r="B4764" s="3" t="s">
        <v>5015</v>
      </c>
      <c r="C4764" s="3">
        <v>50</v>
      </c>
      <c r="D4764" s="46" t="str">
        <f>IF(Tabla1[[#This Row],[EDAD]]&lt;=35,"Adultos jóvenes 18 - 35 años",IF(C4764&gt;=36,"Adultos mayores 36 años en adelante"))</f>
        <v>Adultos mayores 36 años en adelante</v>
      </c>
      <c r="E4764" s="3" t="s">
        <v>5022</v>
      </c>
      <c r="F4764" s="3" t="s">
        <v>5024</v>
      </c>
      <c r="G4764" s="3" t="s">
        <v>5033</v>
      </c>
      <c r="H4764" s="3" t="s">
        <v>7180</v>
      </c>
      <c r="I4764" s="17">
        <v>45836</v>
      </c>
      <c r="J4764" s="18">
        <f>YEAR(Tabla1[[#This Row],[FECHA DE COMPRA]])</f>
        <v>2025</v>
      </c>
      <c r="K4764" s="19">
        <v>141.38</v>
      </c>
      <c r="L4764" s="20">
        <v>0.2</v>
      </c>
      <c r="M4764" s="19">
        <f>Tienda!$K4633-Tienda!$K4633*Tienda!$L4633</f>
        <v>61.82</v>
      </c>
      <c r="N4764" s="3" t="s">
        <v>10038</v>
      </c>
      <c r="O4764" s="3" t="s">
        <v>10041</v>
      </c>
      <c r="P4764" s="17">
        <v>45836</v>
      </c>
      <c r="Q4764" s="4">
        <v>0</v>
      </c>
    </row>
    <row r="4765" spans="1:17" ht="30" x14ac:dyDescent="0.25">
      <c r="A4765" s="2" t="s">
        <v>1509</v>
      </c>
      <c r="B4765" s="3" t="s">
        <v>5015</v>
      </c>
      <c r="C4765" s="3">
        <v>60</v>
      </c>
      <c r="D4765" s="46" t="str">
        <f>IF(Tabla1[[#This Row],[EDAD]]&lt;=35,"Adultos jóvenes 18 - 35 años",IF(C4765&gt;=36,"Adultos mayores 36 años en adelante"))</f>
        <v>Adultos mayores 36 años en adelante</v>
      </c>
      <c r="E4765" s="3" t="s">
        <v>5018</v>
      </c>
      <c r="F4765" s="3" t="s">
        <v>5028</v>
      </c>
      <c r="G4765" s="3" t="s">
        <v>5033</v>
      </c>
      <c r="H4765" s="3" t="s">
        <v>6532</v>
      </c>
      <c r="I4765" s="17">
        <v>45810</v>
      </c>
      <c r="J4765" s="18">
        <f>YEAR(Tabla1[[#This Row],[FECHA DE COMPRA]])</f>
        <v>2025</v>
      </c>
      <c r="K4765" s="19">
        <v>148.1</v>
      </c>
      <c r="L4765" s="20">
        <v>0.1</v>
      </c>
      <c r="M4765" s="19">
        <f>Tienda!$K4635-Tienda!$K4635*Tienda!$L4635</f>
        <v>15.849</v>
      </c>
      <c r="N4765" s="3" t="s">
        <v>10038</v>
      </c>
      <c r="O4765" s="3" t="s">
        <v>10041</v>
      </c>
      <c r="P4765" s="17">
        <v>45810</v>
      </c>
      <c r="Q4765" s="4">
        <v>0</v>
      </c>
    </row>
    <row r="4766" spans="1:17" ht="30" x14ac:dyDescent="0.25">
      <c r="A4766" s="2" t="s">
        <v>4747</v>
      </c>
      <c r="B4766" s="3" t="s">
        <v>5015</v>
      </c>
      <c r="C4766" s="3">
        <v>61</v>
      </c>
      <c r="D4766" s="46" t="str">
        <f>IF(Tabla1[[#This Row],[EDAD]]&lt;=35,"Adultos jóvenes 18 - 35 años",IF(C4766&gt;=36,"Adultos mayores 36 años en adelante"))</f>
        <v>Adultos mayores 36 años en adelante</v>
      </c>
      <c r="E4766" s="3" t="s">
        <v>5018</v>
      </c>
      <c r="F4766" s="3" t="s">
        <v>5026</v>
      </c>
      <c r="G4766" s="3" t="s">
        <v>5037</v>
      </c>
      <c r="H4766" s="3" t="s">
        <v>9770</v>
      </c>
      <c r="I4766" s="17">
        <v>45812</v>
      </c>
      <c r="J4766" s="18">
        <f>YEAR(Tabla1[[#This Row],[FECHA DE COMPRA]])</f>
        <v>2025</v>
      </c>
      <c r="K4766" s="19">
        <v>164.8</v>
      </c>
      <c r="L4766" s="20">
        <v>0.1</v>
      </c>
      <c r="M4766" s="19">
        <f>Tienda!$K4638-Tienda!$K4638*Tienda!$L4638</f>
        <v>43.515000000000001</v>
      </c>
      <c r="N4766" s="3" t="s">
        <v>10038</v>
      </c>
      <c r="O4766" s="3" t="s">
        <v>10041</v>
      </c>
      <c r="P4766" s="17">
        <v>45812</v>
      </c>
      <c r="Q4766" s="4">
        <v>0</v>
      </c>
    </row>
    <row r="4767" spans="1:17" ht="30" x14ac:dyDescent="0.25">
      <c r="A4767" s="2" t="s">
        <v>1006</v>
      </c>
      <c r="B4767" s="3" t="s">
        <v>5015</v>
      </c>
      <c r="C4767" s="3">
        <v>39</v>
      </c>
      <c r="D4767" s="46" t="str">
        <f>IF(Tabla1[[#This Row],[EDAD]]&lt;=35,"Adultos jóvenes 18 - 35 años",IF(C4767&gt;=36,"Adultos mayores 36 años en adelante"))</f>
        <v>Adultos mayores 36 años en adelante</v>
      </c>
      <c r="E4767" s="3" t="s">
        <v>5021</v>
      </c>
      <c r="F4767" s="3" t="s">
        <v>5030</v>
      </c>
      <c r="G4767" s="3" t="s">
        <v>5036</v>
      </c>
      <c r="H4767" s="3" t="s">
        <v>6029</v>
      </c>
      <c r="I4767" s="17">
        <v>45836</v>
      </c>
      <c r="J4767" s="18">
        <f>YEAR(Tabla1[[#This Row],[FECHA DE COMPRA]])</f>
        <v>2025</v>
      </c>
      <c r="K4767" s="19">
        <v>166.46</v>
      </c>
      <c r="L4767" s="20">
        <v>0.2</v>
      </c>
      <c r="M4767" s="19">
        <f>Tienda!$K4640-Tienda!$K4640*Tienda!$L4640</f>
        <v>80.990000000000009</v>
      </c>
      <c r="N4767" s="3" t="s">
        <v>10038</v>
      </c>
      <c r="O4767" s="3" t="s">
        <v>10041</v>
      </c>
      <c r="P4767" s="17">
        <v>45836</v>
      </c>
      <c r="Q4767" s="4">
        <v>0</v>
      </c>
    </row>
    <row r="4768" spans="1:17" ht="30" x14ac:dyDescent="0.25">
      <c r="A4768" s="2" t="s">
        <v>2783</v>
      </c>
      <c r="B4768" s="3" t="s">
        <v>5015</v>
      </c>
      <c r="C4768" s="3">
        <v>45</v>
      </c>
      <c r="D4768" s="46" t="str">
        <f>IF(Tabla1[[#This Row],[EDAD]]&lt;=35,"Adultos jóvenes 18 - 35 años",IF(C4768&gt;=36,"Adultos mayores 36 años en adelante"))</f>
        <v>Adultos mayores 36 años en adelante</v>
      </c>
      <c r="E4768" s="3" t="s">
        <v>5020</v>
      </c>
      <c r="F4768" s="3" t="s">
        <v>5025</v>
      </c>
      <c r="G4768" s="3" t="s">
        <v>5034</v>
      </c>
      <c r="H4768" s="3" t="s">
        <v>7806</v>
      </c>
      <c r="I4768" s="17">
        <v>45828</v>
      </c>
      <c r="J4768" s="18">
        <f>YEAR(Tabla1[[#This Row],[FECHA DE COMPRA]])</f>
        <v>2025</v>
      </c>
      <c r="K4768" s="19">
        <v>171.17</v>
      </c>
      <c r="L4768" s="20">
        <v>0.2</v>
      </c>
      <c r="M4768" s="19">
        <f>Tienda!$K4641-Tienda!$K4641*Tienda!$L4641</f>
        <v>111.84299999999999</v>
      </c>
      <c r="N4768" s="3" t="s">
        <v>10038</v>
      </c>
      <c r="O4768" s="3" t="s">
        <v>10041</v>
      </c>
      <c r="P4768" s="17">
        <v>45828</v>
      </c>
      <c r="Q4768" s="4">
        <v>0</v>
      </c>
    </row>
    <row r="4769" spans="1:17" ht="30" x14ac:dyDescent="0.25">
      <c r="A4769" s="2" t="s">
        <v>1745</v>
      </c>
      <c r="B4769" s="3" t="s">
        <v>5016</v>
      </c>
      <c r="C4769" s="3">
        <v>65</v>
      </c>
      <c r="D4769" s="46" t="str">
        <f>IF(Tabla1[[#This Row],[EDAD]]&lt;=35,"Adultos jóvenes 18 - 35 años",IF(C4769&gt;=36,"Adultos mayores 36 años en adelante"))</f>
        <v>Adultos mayores 36 años en adelante</v>
      </c>
      <c r="E4769" s="3" t="s">
        <v>5021</v>
      </c>
      <c r="F4769" s="3" t="s">
        <v>5029</v>
      </c>
      <c r="G4769" s="3" t="s">
        <v>5035</v>
      </c>
      <c r="H4769" s="3" t="s">
        <v>6768</v>
      </c>
      <c r="I4769" s="17">
        <v>45835</v>
      </c>
      <c r="J4769" s="18">
        <f>YEAR(Tabla1[[#This Row],[FECHA DE COMPRA]])</f>
        <v>2025</v>
      </c>
      <c r="K4769" s="19">
        <v>172.43</v>
      </c>
      <c r="L4769" s="20">
        <v>0.2</v>
      </c>
      <c r="M4769" s="19">
        <f>Tienda!$K4643-Tienda!$K4643*Tienda!$L4643</f>
        <v>137.52799999999999</v>
      </c>
      <c r="N4769" s="3" t="s">
        <v>10038</v>
      </c>
      <c r="O4769" s="3" t="s">
        <v>10041</v>
      </c>
      <c r="P4769" s="17">
        <v>45835</v>
      </c>
      <c r="Q4769" s="4">
        <v>0</v>
      </c>
    </row>
    <row r="4770" spans="1:17" ht="30" x14ac:dyDescent="0.25">
      <c r="A4770" s="2" t="s">
        <v>747</v>
      </c>
      <c r="B4770" s="3" t="s">
        <v>5015</v>
      </c>
      <c r="C4770" s="3">
        <v>47</v>
      </c>
      <c r="D4770" s="46" t="str">
        <f>IF(Tabla1[[#This Row],[EDAD]]&lt;=35,"Adultos jóvenes 18 - 35 años",IF(C4770&gt;=36,"Adultos mayores 36 años en adelante"))</f>
        <v>Adultos mayores 36 años en adelante</v>
      </c>
      <c r="E4770" s="3" t="s">
        <v>5020</v>
      </c>
      <c r="F4770" s="3" t="s">
        <v>5025</v>
      </c>
      <c r="G4770" s="3" t="s">
        <v>5031</v>
      </c>
      <c r="H4770" s="3" t="s">
        <v>5770</v>
      </c>
      <c r="I4770" s="17">
        <v>45827</v>
      </c>
      <c r="J4770" s="18">
        <f>YEAR(Tabla1[[#This Row],[FECHA DE COMPRA]])</f>
        <v>2025</v>
      </c>
      <c r="K4770" s="19">
        <v>172.52</v>
      </c>
      <c r="L4770" s="20">
        <v>0</v>
      </c>
      <c r="M4770" s="19">
        <f>Tienda!$K4644-Tienda!$K4644*Tienda!$L4644</f>
        <v>81.632000000000005</v>
      </c>
      <c r="N4770" s="3" t="s">
        <v>10038</v>
      </c>
      <c r="O4770" s="3" t="s">
        <v>10041</v>
      </c>
      <c r="P4770" s="17">
        <v>45827</v>
      </c>
      <c r="Q4770" s="4">
        <v>0</v>
      </c>
    </row>
    <row r="4771" spans="1:17" ht="30" x14ac:dyDescent="0.25">
      <c r="A4771" s="2" t="s">
        <v>4221</v>
      </c>
      <c r="B4771" s="3" t="s">
        <v>5016</v>
      </c>
      <c r="C4771" s="3">
        <v>41</v>
      </c>
      <c r="D4771" s="46" t="str">
        <f>IF(Tabla1[[#This Row],[EDAD]]&lt;=35,"Adultos jóvenes 18 - 35 años",IF(C4771&gt;=36,"Adultos mayores 36 años en adelante"))</f>
        <v>Adultos mayores 36 años en adelante</v>
      </c>
      <c r="E4771" s="3" t="s">
        <v>5017</v>
      </c>
      <c r="F4771" s="3" t="s">
        <v>5030</v>
      </c>
      <c r="G4771" s="3" t="s">
        <v>5036</v>
      </c>
      <c r="H4771" s="3" t="s">
        <v>9244</v>
      </c>
      <c r="I4771" s="17">
        <v>45827</v>
      </c>
      <c r="J4771" s="18">
        <f>YEAR(Tabla1[[#This Row],[FECHA DE COMPRA]])</f>
        <v>2025</v>
      </c>
      <c r="K4771" s="19">
        <v>172.79</v>
      </c>
      <c r="L4771" s="20">
        <v>0.3</v>
      </c>
      <c r="M4771" s="19">
        <f>Tienda!$K4645-Tienda!$K4645*Tienda!$L4645</f>
        <v>155.024</v>
      </c>
      <c r="N4771" s="3" t="s">
        <v>10038</v>
      </c>
      <c r="O4771" s="3" t="s">
        <v>10041</v>
      </c>
      <c r="P4771" s="17">
        <v>45827</v>
      </c>
      <c r="Q4771" s="4">
        <v>0</v>
      </c>
    </row>
    <row r="4772" spans="1:17" ht="30" x14ac:dyDescent="0.25">
      <c r="A4772" s="2" t="s">
        <v>4586</v>
      </c>
      <c r="B4772" s="3" t="s">
        <v>5015</v>
      </c>
      <c r="C4772" s="3">
        <v>65</v>
      </c>
      <c r="D4772" s="46" t="str">
        <f>IF(Tabla1[[#This Row],[EDAD]]&lt;=35,"Adultos jóvenes 18 - 35 años",IF(C4772&gt;=36,"Adultos mayores 36 años en adelante"))</f>
        <v>Adultos mayores 36 años en adelante</v>
      </c>
      <c r="E4772" s="3" t="s">
        <v>5023</v>
      </c>
      <c r="F4772" s="3" t="s">
        <v>5024</v>
      </c>
      <c r="G4772" s="3" t="s">
        <v>5036</v>
      </c>
      <c r="H4772" s="3" t="s">
        <v>9609</v>
      </c>
      <c r="I4772" s="17">
        <v>45825</v>
      </c>
      <c r="J4772" s="18">
        <f>YEAR(Tabla1[[#This Row],[FECHA DE COMPRA]])</f>
        <v>2025</v>
      </c>
      <c r="K4772" s="19">
        <v>174.89</v>
      </c>
      <c r="L4772" s="20">
        <v>0.2</v>
      </c>
      <c r="M4772" s="19">
        <f>Tienda!$K4646-Tienda!$K4646*Tienda!$L4646</f>
        <v>88.592000000000013</v>
      </c>
      <c r="N4772" s="3" t="s">
        <v>10038</v>
      </c>
      <c r="O4772" s="3" t="s">
        <v>10041</v>
      </c>
      <c r="P4772" s="17">
        <v>45825</v>
      </c>
      <c r="Q4772" s="4">
        <v>0</v>
      </c>
    </row>
    <row r="4773" spans="1:17" ht="30" x14ac:dyDescent="0.25">
      <c r="A4773" s="2" t="s">
        <v>3978</v>
      </c>
      <c r="B4773" s="3" t="s">
        <v>5015</v>
      </c>
      <c r="C4773" s="3">
        <v>64</v>
      </c>
      <c r="D4773" s="46" t="str">
        <f>IF(Tabla1[[#This Row],[EDAD]]&lt;=35,"Adultos jóvenes 18 - 35 años",IF(C4773&gt;=36,"Adultos mayores 36 años en adelante"))</f>
        <v>Adultos mayores 36 años en adelante</v>
      </c>
      <c r="E4773" s="3" t="s">
        <v>5020</v>
      </c>
      <c r="F4773" s="3" t="s">
        <v>5026</v>
      </c>
      <c r="G4773" s="3" t="s">
        <v>5037</v>
      </c>
      <c r="H4773" s="3" t="s">
        <v>9001</v>
      </c>
      <c r="I4773" s="17">
        <v>45816</v>
      </c>
      <c r="J4773" s="18">
        <f>YEAR(Tabla1[[#This Row],[FECHA DE COMPRA]])</f>
        <v>2025</v>
      </c>
      <c r="K4773" s="19">
        <v>175.71</v>
      </c>
      <c r="L4773" s="20">
        <v>0.3</v>
      </c>
      <c r="M4773" s="19">
        <f>Tienda!$K4647-Tienda!$K4647*Tienda!$L4647</f>
        <v>134.512</v>
      </c>
      <c r="N4773" s="3" t="s">
        <v>10038</v>
      </c>
      <c r="O4773" s="3" t="s">
        <v>10041</v>
      </c>
      <c r="P4773" s="17">
        <v>45816</v>
      </c>
      <c r="Q4773" s="4">
        <v>0</v>
      </c>
    </row>
    <row r="4774" spans="1:17" ht="30" x14ac:dyDescent="0.25">
      <c r="A4774" s="2" t="s">
        <v>510</v>
      </c>
      <c r="B4774" s="3" t="s">
        <v>5016</v>
      </c>
      <c r="C4774" s="3">
        <v>63</v>
      </c>
      <c r="D4774" s="46" t="str">
        <f>IF(Tabla1[[#This Row],[EDAD]]&lt;=35,"Adultos jóvenes 18 - 35 años",IF(C4774&gt;=36,"Adultos mayores 36 años en adelante"))</f>
        <v>Adultos mayores 36 años en adelante</v>
      </c>
      <c r="E4774" s="3" t="s">
        <v>5019</v>
      </c>
      <c r="F4774" s="3" t="s">
        <v>5025</v>
      </c>
      <c r="G4774" s="3" t="s">
        <v>5032</v>
      </c>
      <c r="H4774" s="3" t="s">
        <v>5533</v>
      </c>
      <c r="I4774" s="17">
        <v>45821</v>
      </c>
      <c r="J4774" s="18">
        <f>YEAR(Tabla1[[#This Row],[FECHA DE COMPRA]])</f>
        <v>2025</v>
      </c>
      <c r="K4774" s="19">
        <v>177.11</v>
      </c>
      <c r="L4774" s="20">
        <v>0.3</v>
      </c>
      <c r="M4774" s="19">
        <f>Tienda!$K4648-Tienda!$K4648*Tienda!$L4648</f>
        <v>179.39</v>
      </c>
      <c r="N4774" s="3" t="s">
        <v>10038</v>
      </c>
      <c r="O4774" s="3" t="s">
        <v>10041</v>
      </c>
      <c r="P4774" s="17">
        <v>45821</v>
      </c>
      <c r="Q4774" s="4">
        <v>0</v>
      </c>
    </row>
    <row r="4775" spans="1:17" ht="30" x14ac:dyDescent="0.25">
      <c r="A4775" s="2" t="s">
        <v>3737</v>
      </c>
      <c r="B4775" s="3" t="s">
        <v>5015</v>
      </c>
      <c r="C4775" s="3">
        <v>38</v>
      </c>
      <c r="D4775" s="46" t="str">
        <f>IF(Tabla1[[#This Row],[EDAD]]&lt;=35,"Adultos jóvenes 18 - 35 años",IF(C4775&gt;=36,"Adultos mayores 36 años en adelante"))</f>
        <v>Adultos mayores 36 años en adelante</v>
      </c>
      <c r="E4775" s="3" t="s">
        <v>5017</v>
      </c>
      <c r="F4775" s="3" t="s">
        <v>5028</v>
      </c>
      <c r="G4775" s="3" t="s">
        <v>5033</v>
      </c>
      <c r="H4775" s="3" t="s">
        <v>8760</v>
      </c>
      <c r="I4775" s="17">
        <v>45831</v>
      </c>
      <c r="J4775" s="18">
        <f>YEAR(Tabla1[[#This Row],[FECHA DE COMPRA]])</f>
        <v>2025</v>
      </c>
      <c r="K4775" s="19">
        <v>190.94</v>
      </c>
      <c r="L4775" s="20">
        <v>0</v>
      </c>
      <c r="M4775" s="19">
        <f>Tienda!$K4649-Tienda!$K4649*Tienda!$L4649</f>
        <v>26.532</v>
      </c>
      <c r="N4775" s="3" t="s">
        <v>10038</v>
      </c>
      <c r="O4775" s="3" t="s">
        <v>10041</v>
      </c>
      <c r="P4775" s="17">
        <v>45831</v>
      </c>
      <c r="Q4775" s="4">
        <v>0</v>
      </c>
    </row>
    <row r="4776" spans="1:17" ht="30" x14ac:dyDescent="0.25">
      <c r="A4776" s="2" t="s">
        <v>4375</v>
      </c>
      <c r="B4776" s="3" t="s">
        <v>5016</v>
      </c>
      <c r="C4776" s="3">
        <v>57</v>
      </c>
      <c r="D4776" s="46" t="str">
        <f>IF(Tabla1[[#This Row],[EDAD]]&lt;=35,"Adultos jóvenes 18 - 35 años",IF(C4776&gt;=36,"Adultos mayores 36 años en adelante"))</f>
        <v>Adultos mayores 36 años en adelante</v>
      </c>
      <c r="E4776" s="3" t="s">
        <v>5023</v>
      </c>
      <c r="F4776" s="3" t="s">
        <v>5024</v>
      </c>
      <c r="G4776" s="3" t="s">
        <v>5035</v>
      </c>
      <c r="H4776" s="3" t="s">
        <v>9398</v>
      </c>
      <c r="I4776" s="17">
        <v>45818</v>
      </c>
      <c r="J4776" s="18">
        <f>YEAR(Tabla1[[#This Row],[FECHA DE COMPRA]])</f>
        <v>2025</v>
      </c>
      <c r="K4776" s="19">
        <v>191.08</v>
      </c>
      <c r="L4776" s="20">
        <v>0</v>
      </c>
      <c r="M4776" s="19">
        <f>Tienda!$K4650-Tienda!$K4650*Tienda!$L4650</f>
        <v>13.419</v>
      </c>
      <c r="N4776" s="3" t="s">
        <v>10038</v>
      </c>
      <c r="O4776" s="3" t="s">
        <v>10041</v>
      </c>
      <c r="P4776" s="17">
        <v>45818</v>
      </c>
      <c r="Q4776" s="4">
        <v>0</v>
      </c>
    </row>
    <row r="4777" spans="1:17" ht="30" x14ac:dyDescent="0.25">
      <c r="A4777" s="2" t="s">
        <v>1403</v>
      </c>
      <c r="B4777" s="3" t="s">
        <v>5015</v>
      </c>
      <c r="C4777" s="3">
        <v>65</v>
      </c>
      <c r="D4777" s="46" t="str">
        <f>IF(Tabla1[[#This Row],[EDAD]]&lt;=35,"Adultos jóvenes 18 - 35 años",IF(C4777&gt;=36,"Adultos mayores 36 años en adelante"))</f>
        <v>Adultos mayores 36 años en adelante</v>
      </c>
      <c r="E4777" s="3" t="s">
        <v>5019</v>
      </c>
      <c r="F4777" s="3" t="s">
        <v>5026</v>
      </c>
      <c r="G4777" s="3" t="s">
        <v>5031</v>
      </c>
      <c r="H4777" s="3" t="s">
        <v>6426</v>
      </c>
      <c r="I4777" s="17">
        <v>45839</v>
      </c>
      <c r="J4777" s="18">
        <f>YEAR(Tabla1[[#This Row],[FECHA DE COMPRA]])</f>
        <v>2025</v>
      </c>
      <c r="K4777" s="19">
        <v>24.24</v>
      </c>
      <c r="L4777" s="20">
        <v>0.2</v>
      </c>
      <c r="M4777" s="19">
        <f>Tienda!$K4652-Tienda!$K4652*Tienda!$L4652</f>
        <v>29.15</v>
      </c>
      <c r="N4777" s="3" t="s">
        <v>10038</v>
      </c>
      <c r="O4777" s="3" t="s">
        <v>10041</v>
      </c>
      <c r="P4777" s="17">
        <v>45839</v>
      </c>
      <c r="Q4777" s="4">
        <v>0</v>
      </c>
    </row>
    <row r="4778" spans="1:17" ht="30" x14ac:dyDescent="0.25">
      <c r="A4778" s="2" t="s">
        <v>1845</v>
      </c>
      <c r="B4778" s="3" t="s">
        <v>5015</v>
      </c>
      <c r="C4778" s="3">
        <v>36</v>
      </c>
      <c r="D4778" s="46" t="str">
        <f>IF(Tabla1[[#This Row],[EDAD]]&lt;=35,"Adultos jóvenes 18 - 35 años",IF(C4778&gt;=36,"Adultos mayores 36 años en adelante"))</f>
        <v>Adultos mayores 36 años en adelante</v>
      </c>
      <c r="E4778" s="3" t="s">
        <v>5022</v>
      </c>
      <c r="F4778" s="3" t="s">
        <v>5025</v>
      </c>
      <c r="G4778" s="3" t="s">
        <v>5031</v>
      </c>
      <c r="H4778" s="3" t="s">
        <v>6868</v>
      </c>
      <c r="I4778" s="17">
        <v>45842</v>
      </c>
      <c r="J4778" s="18">
        <f>YEAR(Tabla1[[#This Row],[FECHA DE COMPRA]])</f>
        <v>2025</v>
      </c>
      <c r="K4778" s="19">
        <v>26.38</v>
      </c>
      <c r="L4778" s="20">
        <v>0</v>
      </c>
      <c r="M4778" s="19">
        <f>Tienda!$K4653-Tienda!$K4653*Tienda!$L4653</f>
        <v>102.58</v>
      </c>
      <c r="N4778" s="3" t="s">
        <v>10038</v>
      </c>
      <c r="O4778" s="3" t="s">
        <v>10041</v>
      </c>
      <c r="P4778" s="17">
        <v>45842</v>
      </c>
      <c r="Q4778" s="4">
        <v>0</v>
      </c>
    </row>
    <row r="4779" spans="1:17" ht="30" x14ac:dyDescent="0.25">
      <c r="A4779" s="2" t="s">
        <v>3474</v>
      </c>
      <c r="B4779" s="3" t="s">
        <v>5016</v>
      </c>
      <c r="C4779" s="3">
        <v>63</v>
      </c>
      <c r="D4779" s="46" t="str">
        <f>IF(Tabla1[[#This Row],[EDAD]]&lt;=35,"Adultos jóvenes 18 - 35 años",IF(C4779&gt;=36,"Adultos mayores 36 años en adelante"))</f>
        <v>Adultos mayores 36 años en adelante</v>
      </c>
      <c r="E4779" s="3" t="s">
        <v>5023</v>
      </c>
      <c r="F4779" s="3" t="s">
        <v>5029</v>
      </c>
      <c r="G4779" s="3" t="s">
        <v>5031</v>
      </c>
      <c r="H4779" s="3" t="s">
        <v>8497</v>
      </c>
      <c r="I4779" s="17">
        <v>45841</v>
      </c>
      <c r="J4779" s="18">
        <f>YEAR(Tabla1[[#This Row],[FECHA DE COMPRA]])</f>
        <v>2025</v>
      </c>
      <c r="K4779" s="19">
        <v>32.04</v>
      </c>
      <c r="L4779" s="20">
        <v>0.2</v>
      </c>
      <c r="M4779" s="19">
        <f>Tienda!$K4655-Tienda!$K4655*Tienda!$L4655</f>
        <v>21.573999999999998</v>
      </c>
      <c r="N4779" s="3" t="s">
        <v>10038</v>
      </c>
      <c r="O4779" s="3" t="s">
        <v>10041</v>
      </c>
      <c r="P4779" s="17">
        <v>45841</v>
      </c>
      <c r="Q4779" s="4">
        <v>0</v>
      </c>
    </row>
    <row r="4780" spans="1:17" ht="30" x14ac:dyDescent="0.25">
      <c r="A4780" s="2" t="s">
        <v>2669</v>
      </c>
      <c r="B4780" s="3" t="s">
        <v>5016</v>
      </c>
      <c r="C4780" s="3">
        <v>61</v>
      </c>
      <c r="D4780" s="46" t="str">
        <f>IF(Tabla1[[#This Row],[EDAD]]&lt;=35,"Adultos jóvenes 18 - 35 años",IF(C4780&gt;=36,"Adultos mayores 36 años en adelante"))</f>
        <v>Adultos mayores 36 años en adelante</v>
      </c>
      <c r="E4780" s="3" t="s">
        <v>5019</v>
      </c>
      <c r="F4780" s="3" t="s">
        <v>5024</v>
      </c>
      <c r="G4780" s="3" t="s">
        <v>5031</v>
      </c>
      <c r="H4780" s="3" t="s">
        <v>7692</v>
      </c>
      <c r="I4780" s="17">
        <v>45853</v>
      </c>
      <c r="J4780" s="18">
        <f>YEAR(Tabla1[[#This Row],[FECHA DE COMPRA]])</f>
        <v>2025</v>
      </c>
      <c r="K4780" s="19">
        <v>36.25</v>
      </c>
      <c r="L4780" s="20">
        <v>0.2</v>
      </c>
      <c r="M4780" s="19">
        <f>Tienda!$K4656-Tienda!$K4656*Tienda!$L4656</f>
        <v>39.248000000000005</v>
      </c>
      <c r="N4780" s="3" t="s">
        <v>10038</v>
      </c>
      <c r="O4780" s="3" t="s">
        <v>10041</v>
      </c>
      <c r="P4780" s="17">
        <v>45853</v>
      </c>
      <c r="Q4780" s="4">
        <v>0</v>
      </c>
    </row>
    <row r="4781" spans="1:17" ht="30" x14ac:dyDescent="0.25">
      <c r="A4781" s="2" t="s">
        <v>2044</v>
      </c>
      <c r="B4781" s="3" t="s">
        <v>5015</v>
      </c>
      <c r="C4781" s="3">
        <v>57</v>
      </c>
      <c r="D4781" s="46" t="str">
        <f>IF(Tabla1[[#This Row],[EDAD]]&lt;=35,"Adultos jóvenes 18 - 35 años",IF(C4781&gt;=36,"Adultos mayores 36 años en adelante"))</f>
        <v>Adultos mayores 36 años en adelante</v>
      </c>
      <c r="E4781" s="3" t="s">
        <v>5019</v>
      </c>
      <c r="F4781" s="3" t="s">
        <v>5028</v>
      </c>
      <c r="G4781" s="3" t="s">
        <v>5036</v>
      </c>
      <c r="H4781" s="3" t="s">
        <v>7067</v>
      </c>
      <c r="I4781" s="17">
        <v>45857</v>
      </c>
      <c r="J4781" s="18">
        <f>YEAR(Tabla1[[#This Row],[FECHA DE COMPRA]])</f>
        <v>2025</v>
      </c>
      <c r="K4781" s="19">
        <v>98.11</v>
      </c>
      <c r="L4781" s="20">
        <v>0.1</v>
      </c>
      <c r="M4781" s="19">
        <f>Tienda!$K4657-Tienda!$K4657*Tienda!$L4657</f>
        <v>61.522999999999996</v>
      </c>
      <c r="N4781" s="3" t="s">
        <v>10038</v>
      </c>
      <c r="O4781" s="3" t="s">
        <v>10041</v>
      </c>
      <c r="P4781" s="17">
        <v>45857</v>
      </c>
      <c r="Q4781" s="4">
        <v>0</v>
      </c>
    </row>
    <row r="4782" spans="1:17" ht="30" x14ac:dyDescent="0.25">
      <c r="A4782" s="2" t="s">
        <v>4339</v>
      </c>
      <c r="B4782" s="3" t="s">
        <v>5015</v>
      </c>
      <c r="C4782" s="3">
        <v>60</v>
      </c>
      <c r="D4782" s="46" t="str">
        <f>IF(Tabla1[[#This Row],[EDAD]]&lt;=35,"Adultos jóvenes 18 - 35 años",IF(C4782&gt;=36,"Adultos mayores 36 años en adelante"))</f>
        <v>Adultos mayores 36 años en adelante</v>
      </c>
      <c r="E4782" s="3" t="s">
        <v>5018</v>
      </c>
      <c r="F4782" s="3" t="s">
        <v>5028</v>
      </c>
      <c r="G4782" s="3" t="s">
        <v>5036</v>
      </c>
      <c r="H4782" s="3" t="s">
        <v>9362</v>
      </c>
      <c r="I4782" s="17">
        <v>45853</v>
      </c>
      <c r="J4782" s="18">
        <f>YEAR(Tabla1[[#This Row],[FECHA DE COMPRA]])</f>
        <v>2025</v>
      </c>
      <c r="K4782" s="19">
        <v>102.24</v>
      </c>
      <c r="L4782" s="20">
        <v>0.1</v>
      </c>
      <c r="M4782" s="19">
        <f>Tienda!$K4658-Tienda!$K4658*Tienda!$L4658</f>
        <v>87.91</v>
      </c>
      <c r="N4782" s="3" t="s">
        <v>10038</v>
      </c>
      <c r="O4782" s="3" t="s">
        <v>10041</v>
      </c>
      <c r="P4782" s="17">
        <v>45853</v>
      </c>
      <c r="Q4782" s="4">
        <v>0</v>
      </c>
    </row>
    <row r="4783" spans="1:17" ht="30" x14ac:dyDescent="0.25">
      <c r="A4783" s="2" t="s">
        <v>3001</v>
      </c>
      <c r="B4783" s="3" t="s">
        <v>5016</v>
      </c>
      <c r="C4783" s="3">
        <v>57</v>
      </c>
      <c r="D4783" s="46" t="str">
        <f>IF(Tabla1[[#This Row],[EDAD]]&lt;=35,"Adultos jóvenes 18 - 35 años",IF(C4783&gt;=36,"Adultos mayores 36 años en adelante"))</f>
        <v>Adultos mayores 36 años en adelante</v>
      </c>
      <c r="E4783" s="3" t="s">
        <v>5021</v>
      </c>
      <c r="F4783" s="3" t="s">
        <v>5027</v>
      </c>
      <c r="G4783" s="3" t="s">
        <v>5033</v>
      </c>
      <c r="H4783" s="3" t="s">
        <v>8024</v>
      </c>
      <c r="I4783" s="17">
        <v>45853</v>
      </c>
      <c r="J4783" s="18">
        <f>YEAR(Tabla1[[#This Row],[FECHA DE COMPRA]])</f>
        <v>2025</v>
      </c>
      <c r="K4783" s="19">
        <v>105.87</v>
      </c>
      <c r="L4783" s="20">
        <v>0</v>
      </c>
      <c r="M4783" s="19">
        <f>Tienda!$K4659-Tienda!$K4659*Tienda!$L4659</f>
        <v>160.43</v>
      </c>
      <c r="N4783" s="3" t="s">
        <v>10038</v>
      </c>
      <c r="O4783" s="3" t="s">
        <v>10041</v>
      </c>
      <c r="P4783" s="17">
        <v>45853</v>
      </c>
      <c r="Q4783" s="4">
        <v>0</v>
      </c>
    </row>
    <row r="4784" spans="1:17" ht="30" x14ac:dyDescent="0.25">
      <c r="A4784" s="2" t="s">
        <v>1043</v>
      </c>
      <c r="B4784" s="3" t="s">
        <v>5015</v>
      </c>
      <c r="C4784" s="3">
        <v>44</v>
      </c>
      <c r="D4784" s="46" t="str">
        <f>IF(Tabla1[[#This Row],[EDAD]]&lt;=35,"Adultos jóvenes 18 - 35 años",IF(C4784&gt;=36,"Adultos mayores 36 años en adelante"))</f>
        <v>Adultos mayores 36 años en adelante</v>
      </c>
      <c r="E4784" s="3" t="s">
        <v>5022</v>
      </c>
      <c r="F4784" s="3" t="s">
        <v>5030</v>
      </c>
      <c r="G4784" s="3" t="s">
        <v>5035</v>
      </c>
      <c r="H4784" s="3" t="s">
        <v>6066</v>
      </c>
      <c r="I4784" s="17">
        <v>45858</v>
      </c>
      <c r="J4784" s="18">
        <f>YEAR(Tabla1[[#This Row],[FECHA DE COMPRA]])</f>
        <v>2025</v>
      </c>
      <c r="K4784" s="19">
        <v>140.31</v>
      </c>
      <c r="L4784" s="20">
        <v>0</v>
      </c>
      <c r="M4784" s="19">
        <f>Tienda!$K4661-Tienda!$K4661*Tienda!$L4661</f>
        <v>76.373999999999995</v>
      </c>
      <c r="N4784" s="3" t="s">
        <v>10038</v>
      </c>
      <c r="O4784" s="3" t="s">
        <v>10041</v>
      </c>
      <c r="P4784" s="17">
        <v>45858</v>
      </c>
      <c r="Q4784" s="4">
        <v>0</v>
      </c>
    </row>
    <row r="4785" spans="1:17" ht="30" x14ac:dyDescent="0.25">
      <c r="A4785" s="2" t="s">
        <v>2344</v>
      </c>
      <c r="B4785" s="3" t="s">
        <v>5015</v>
      </c>
      <c r="C4785" s="3">
        <v>57</v>
      </c>
      <c r="D4785" s="46" t="str">
        <f>IF(Tabla1[[#This Row],[EDAD]]&lt;=35,"Adultos jóvenes 18 - 35 años",IF(C4785&gt;=36,"Adultos mayores 36 años en adelante"))</f>
        <v>Adultos mayores 36 años en adelante</v>
      </c>
      <c r="E4785" s="3" t="s">
        <v>5020</v>
      </c>
      <c r="F4785" s="3" t="s">
        <v>5029</v>
      </c>
      <c r="G4785" s="3" t="s">
        <v>5034</v>
      </c>
      <c r="H4785" s="3" t="s">
        <v>7367</v>
      </c>
      <c r="I4785" s="17">
        <v>45848</v>
      </c>
      <c r="J4785" s="18">
        <f>YEAR(Tabla1[[#This Row],[FECHA DE COMPRA]])</f>
        <v>2025</v>
      </c>
      <c r="K4785" s="19">
        <v>163.5</v>
      </c>
      <c r="L4785" s="20">
        <v>0</v>
      </c>
      <c r="M4785" s="19">
        <f>Tienda!$K4663-Tienda!$K4663*Tienda!$L4663</f>
        <v>11.943</v>
      </c>
      <c r="N4785" s="3" t="s">
        <v>10038</v>
      </c>
      <c r="O4785" s="3" t="s">
        <v>10041</v>
      </c>
      <c r="P4785" s="17">
        <v>45848</v>
      </c>
      <c r="Q4785" s="4">
        <v>0</v>
      </c>
    </row>
    <row r="4786" spans="1:17" ht="30" x14ac:dyDescent="0.25">
      <c r="A4786" s="2" t="s">
        <v>3888</v>
      </c>
      <c r="B4786" s="3" t="s">
        <v>5015</v>
      </c>
      <c r="C4786" s="3">
        <v>58</v>
      </c>
      <c r="D4786" s="46" t="str">
        <f>IF(Tabla1[[#This Row],[EDAD]]&lt;=35,"Adultos jóvenes 18 - 35 años",IF(C4786&gt;=36,"Adultos mayores 36 años en adelante"))</f>
        <v>Adultos mayores 36 años en adelante</v>
      </c>
      <c r="E4786" s="3" t="s">
        <v>5022</v>
      </c>
      <c r="F4786" s="3" t="s">
        <v>5025</v>
      </c>
      <c r="G4786" s="3" t="s">
        <v>5034</v>
      </c>
      <c r="H4786" s="3" t="s">
        <v>8911</v>
      </c>
      <c r="I4786" s="17">
        <v>45848</v>
      </c>
      <c r="J4786" s="18">
        <f>YEAR(Tabla1[[#This Row],[FECHA DE COMPRA]])</f>
        <v>2025</v>
      </c>
      <c r="K4786" s="19">
        <v>185.74</v>
      </c>
      <c r="L4786" s="20">
        <v>0.2</v>
      </c>
      <c r="M4786" s="19">
        <f>Tienda!$K4664-Tienda!$K4664*Tienda!$L4664</f>
        <v>20.85</v>
      </c>
      <c r="N4786" s="3" t="s">
        <v>10038</v>
      </c>
      <c r="O4786" s="3" t="s">
        <v>10041</v>
      </c>
      <c r="P4786" s="17">
        <v>45848</v>
      </c>
      <c r="Q4786" s="4">
        <v>0</v>
      </c>
    </row>
    <row r="4787" spans="1:17" ht="30" x14ac:dyDescent="0.25">
      <c r="A4787" s="2" t="s">
        <v>2808</v>
      </c>
      <c r="B4787" s="3" t="s">
        <v>5015</v>
      </c>
      <c r="C4787" s="3">
        <v>65</v>
      </c>
      <c r="D4787" s="46" t="str">
        <f>IF(Tabla1[[#This Row],[EDAD]]&lt;=35,"Adultos jóvenes 18 - 35 años",IF(C4787&gt;=36,"Adultos mayores 36 años en adelante"))</f>
        <v>Adultos mayores 36 años en adelante</v>
      </c>
      <c r="E4787" s="3" t="s">
        <v>5021</v>
      </c>
      <c r="F4787" s="3" t="s">
        <v>5028</v>
      </c>
      <c r="G4787" s="3" t="s">
        <v>5033</v>
      </c>
      <c r="H4787" s="3" t="s">
        <v>7831</v>
      </c>
      <c r="I4787" s="17">
        <v>45850</v>
      </c>
      <c r="J4787" s="18">
        <f>YEAR(Tabla1[[#This Row],[FECHA DE COMPRA]])</f>
        <v>2025</v>
      </c>
      <c r="K4787" s="19">
        <v>188.27</v>
      </c>
      <c r="L4787" s="20">
        <v>0</v>
      </c>
      <c r="M4787" s="19">
        <f>Tienda!$K4665-Tienda!$K4665*Tienda!$L4665</f>
        <v>16.824000000000002</v>
      </c>
      <c r="N4787" s="3" t="s">
        <v>10038</v>
      </c>
      <c r="O4787" s="3" t="s">
        <v>10041</v>
      </c>
      <c r="P4787" s="17">
        <v>45850</v>
      </c>
      <c r="Q4787" s="4">
        <v>0</v>
      </c>
    </row>
    <row r="4788" spans="1:17" ht="30" x14ac:dyDescent="0.25">
      <c r="A4788" s="2" t="s">
        <v>3861</v>
      </c>
      <c r="B4788" s="3" t="s">
        <v>5016</v>
      </c>
      <c r="C4788" s="3">
        <v>57</v>
      </c>
      <c r="D4788" s="46" t="str">
        <f>IF(Tabla1[[#This Row],[EDAD]]&lt;=35,"Adultos jóvenes 18 - 35 años",IF(C4788&gt;=36,"Adultos mayores 36 años en adelante"))</f>
        <v>Adultos mayores 36 años en adelante</v>
      </c>
      <c r="E4788" s="3" t="s">
        <v>5019</v>
      </c>
      <c r="F4788" s="3" t="s">
        <v>5028</v>
      </c>
      <c r="G4788" s="3" t="s">
        <v>5037</v>
      </c>
      <c r="H4788" s="3" t="s">
        <v>8884</v>
      </c>
      <c r="I4788" s="17">
        <v>45866</v>
      </c>
      <c r="J4788" s="18">
        <f>YEAR(Tabla1[[#This Row],[FECHA DE COMPRA]])</f>
        <v>2025</v>
      </c>
      <c r="K4788" s="19">
        <v>193.16</v>
      </c>
      <c r="L4788" s="20">
        <v>0</v>
      </c>
      <c r="M4788" s="19">
        <f>Tienda!$K4667-Tienda!$K4667*Tienda!$L4667</f>
        <v>33.993000000000002</v>
      </c>
      <c r="N4788" s="3" t="s">
        <v>10038</v>
      </c>
      <c r="O4788" s="3" t="s">
        <v>10041</v>
      </c>
      <c r="P4788" s="17">
        <v>45866</v>
      </c>
      <c r="Q4788" s="4">
        <v>0</v>
      </c>
    </row>
    <row r="4789" spans="1:17" ht="30" x14ac:dyDescent="0.25">
      <c r="A4789" s="2" t="s">
        <v>2828</v>
      </c>
      <c r="B4789" s="3" t="s">
        <v>5015</v>
      </c>
      <c r="C4789" s="3">
        <v>56</v>
      </c>
      <c r="D4789" s="46" t="str">
        <f>IF(Tabla1[[#This Row],[EDAD]]&lt;=35,"Adultos jóvenes 18 - 35 años",IF(C4789&gt;=36,"Adultos mayores 36 años en adelante"))</f>
        <v>Adultos mayores 36 años en adelante</v>
      </c>
      <c r="E4789" s="3" t="s">
        <v>5019</v>
      </c>
      <c r="F4789" s="3" t="s">
        <v>5026</v>
      </c>
      <c r="G4789" s="3" t="s">
        <v>5031</v>
      </c>
      <c r="H4789" s="3" t="s">
        <v>7851</v>
      </c>
      <c r="I4789" s="17">
        <v>45872</v>
      </c>
      <c r="J4789" s="18">
        <f>YEAR(Tabla1[[#This Row],[FECHA DE COMPRA]])</f>
        <v>2025</v>
      </c>
      <c r="K4789" s="19">
        <v>29.95</v>
      </c>
      <c r="L4789" s="20">
        <v>0.2</v>
      </c>
      <c r="M4789" s="19">
        <f>Tienda!$K4668-Tienda!$K4668*Tienda!$L4668</f>
        <v>38.35</v>
      </c>
      <c r="N4789" s="3" t="s">
        <v>10038</v>
      </c>
      <c r="O4789" s="3" t="s">
        <v>10041</v>
      </c>
      <c r="P4789" s="17">
        <v>45872</v>
      </c>
      <c r="Q4789" s="4">
        <v>0</v>
      </c>
    </row>
    <row r="4790" spans="1:17" ht="30" x14ac:dyDescent="0.25">
      <c r="A4790" s="2" t="s">
        <v>4556</v>
      </c>
      <c r="B4790" s="3" t="s">
        <v>5016</v>
      </c>
      <c r="C4790" s="3">
        <v>47</v>
      </c>
      <c r="D4790" s="46" t="str">
        <f>IF(Tabla1[[#This Row],[EDAD]]&lt;=35,"Adultos jóvenes 18 - 35 años",IF(C4790&gt;=36,"Adultos mayores 36 años en adelante"))</f>
        <v>Adultos mayores 36 años en adelante</v>
      </c>
      <c r="E4790" s="3" t="s">
        <v>5021</v>
      </c>
      <c r="F4790" s="3" t="s">
        <v>5029</v>
      </c>
      <c r="G4790" s="3" t="s">
        <v>5033</v>
      </c>
      <c r="H4790" s="3" t="s">
        <v>9579</v>
      </c>
      <c r="I4790" s="17">
        <v>45870</v>
      </c>
      <c r="J4790" s="18">
        <f>YEAR(Tabla1[[#This Row],[FECHA DE COMPRA]])</f>
        <v>2025</v>
      </c>
      <c r="K4790" s="19">
        <v>30.21</v>
      </c>
      <c r="L4790" s="20">
        <v>0.1</v>
      </c>
      <c r="M4790" s="19">
        <f>Tienda!$K4669-Tienda!$K4669*Tienda!$L4669</f>
        <v>36.218000000000004</v>
      </c>
      <c r="N4790" s="3" t="s">
        <v>10038</v>
      </c>
      <c r="O4790" s="3" t="s">
        <v>10041</v>
      </c>
      <c r="P4790" s="17">
        <v>45870</v>
      </c>
      <c r="Q4790" s="4">
        <v>0</v>
      </c>
    </row>
    <row r="4791" spans="1:17" ht="30" x14ac:dyDescent="0.25">
      <c r="A4791" s="2" t="s">
        <v>433</v>
      </c>
      <c r="B4791" s="3" t="s">
        <v>5015</v>
      </c>
      <c r="C4791" s="3">
        <v>60</v>
      </c>
      <c r="D4791" s="46" t="str">
        <f>IF(Tabla1[[#This Row],[EDAD]]&lt;=35,"Adultos jóvenes 18 - 35 años",IF(C4791&gt;=36,"Adultos mayores 36 años en adelante"))</f>
        <v>Adultos mayores 36 años en adelante</v>
      </c>
      <c r="E4791" s="3" t="s">
        <v>5020</v>
      </c>
      <c r="F4791" s="3" t="s">
        <v>5028</v>
      </c>
      <c r="G4791" s="3" t="s">
        <v>5036</v>
      </c>
      <c r="H4791" s="3" t="s">
        <v>5456</v>
      </c>
      <c r="I4791" s="17">
        <v>45881</v>
      </c>
      <c r="J4791" s="18">
        <f>YEAR(Tabla1[[#This Row],[FECHA DE COMPRA]])</f>
        <v>2025</v>
      </c>
      <c r="K4791" s="19">
        <v>33.04</v>
      </c>
      <c r="L4791" s="20">
        <v>0.2</v>
      </c>
      <c r="M4791" s="19">
        <f>Tienda!$K4670-Tienda!$K4670*Tienda!$L4670</f>
        <v>43.783999999999999</v>
      </c>
      <c r="N4791" s="3" t="s">
        <v>10038</v>
      </c>
      <c r="O4791" s="3" t="s">
        <v>10041</v>
      </c>
      <c r="P4791" s="17">
        <v>45881</v>
      </c>
      <c r="Q4791" s="4">
        <v>0</v>
      </c>
    </row>
    <row r="4792" spans="1:17" ht="30" x14ac:dyDescent="0.25">
      <c r="A4792" s="2" t="s">
        <v>2059</v>
      </c>
      <c r="B4792" s="3" t="s">
        <v>5015</v>
      </c>
      <c r="C4792" s="3">
        <v>63</v>
      </c>
      <c r="D4792" s="46" t="str">
        <f>IF(Tabla1[[#This Row],[EDAD]]&lt;=35,"Adultos jóvenes 18 - 35 años",IF(C4792&gt;=36,"Adultos mayores 36 años en adelante"))</f>
        <v>Adultos mayores 36 años en adelante</v>
      </c>
      <c r="E4792" s="3" t="s">
        <v>5018</v>
      </c>
      <c r="F4792" s="3" t="s">
        <v>5030</v>
      </c>
      <c r="G4792" s="3" t="s">
        <v>5031</v>
      </c>
      <c r="H4792" s="3" t="s">
        <v>7082</v>
      </c>
      <c r="I4792" s="17">
        <v>45885</v>
      </c>
      <c r="J4792" s="18">
        <f>YEAR(Tabla1[[#This Row],[FECHA DE COMPRA]])</f>
        <v>2025</v>
      </c>
      <c r="K4792" s="19">
        <v>53.57</v>
      </c>
      <c r="L4792" s="20">
        <v>0.3</v>
      </c>
      <c r="M4792" s="19">
        <f>Tienda!$K4672-Tienda!$K4672*Tienda!$L4672</f>
        <v>61.05</v>
      </c>
      <c r="N4792" s="3" t="s">
        <v>10038</v>
      </c>
      <c r="O4792" s="3" t="s">
        <v>10041</v>
      </c>
      <c r="P4792" s="17">
        <v>45885</v>
      </c>
      <c r="Q4792" s="4">
        <v>0</v>
      </c>
    </row>
    <row r="4793" spans="1:17" ht="30" x14ac:dyDescent="0.25">
      <c r="A4793" s="2" t="s">
        <v>2883</v>
      </c>
      <c r="B4793" s="3" t="s">
        <v>5015</v>
      </c>
      <c r="C4793" s="3">
        <v>45</v>
      </c>
      <c r="D4793" s="46" t="str">
        <f>IF(Tabla1[[#This Row],[EDAD]]&lt;=35,"Adultos jóvenes 18 - 35 años",IF(C4793&gt;=36,"Adultos mayores 36 años en adelante"))</f>
        <v>Adultos mayores 36 años en adelante</v>
      </c>
      <c r="E4793" s="3" t="s">
        <v>5021</v>
      </c>
      <c r="F4793" s="3" t="s">
        <v>5030</v>
      </c>
      <c r="G4793" s="3" t="s">
        <v>5036</v>
      </c>
      <c r="H4793" s="3" t="s">
        <v>7906</v>
      </c>
      <c r="I4793" s="17">
        <v>45874</v>
      </c>
      <c r="J4793" s="18">
        <f>YEAR(Tabla1[[#This Row],[FECHA DE COMPRA]])</f>
        <v>2025</v>
      </c>
      <c r="K4793" s="19">
        <v>64.66</v>
      </c>
      <c r="L4793" s="20">
        <v>0.3</v>
      </c>
      <c r="M4793" s="19">
        <f>Tienda!$K4673-Tienda!$K4673*Tienda!$L4673</f>
        <v>44.527000000000001</v>
      </c>
      <c r="N4793" s="3" t="s">
        <v>10038</v>
      </c>
      <c r="O4793" s="3" t="s">
        <v>10041</v>
      </c>
      <c r="P4793" s="17">
        <v>45874</v>
      </c>
      <c r="Q4793" s="4">
        <v>0</v>
      </c>
    </row>
    <row r="4794" spans="1:17" ht="30" x14ac:dyDescent="0.25">
      <c r="A4794" s="2" t="s">
        <v>825</v>
      </c>
      <c r="B4794" s="3" t="s">
        <v>5016</v>
      </c>
      <c r="C4794" s="3">
        <v>37</v>
      </c>
      <c r="D4794" s="46" t="str">
        <f>IF(Tabla1[[#This Row],[EDAD]]&lt;=35,"Adultos jóvenes 18 - 35 años",IF(C4794&gt;=36,"Adultos mayores 36 años en adelante"))</f>
        <v>Adultos mayores 36 años en adelante</v>
      </c>
      <c r="E4794" s="3" t="s">
        <v>5017</v>
      </c>
      <c r="F4794" s="3" t="s">
        <v>5026</v>
      </c>
      <c r="G4794" s="3" t="s">
        <v>5032</v>
      </c>
      <c r="H4794" s="3" t="s">
        <v>5848</v>
      </c>
      <c r="I4794" s="17">
        <v>45872</v>
      </c>
      <c r="J4794" s="18">
        <f>YEAR(Tabla1[[#This Row],[FECHA DE COMPRA]])</f>
        <v>2025</v>
      </c>
      <c r="K4794" s="19">
        <v>84.28</v>
      </c>
      <c r="L4794" s="20">
        <v>0.2</v>
      </c>
      <c r="M4794" s="19">
        <f>Tienda!$K4675-Tienda!$K4675*Tienda!$L4675</f>
        <v>69.419000000000011</v>
      </c>
      <c r="N4794" s="3" t="s">
        <v>10038</v>
      </c>
      <c r="O4794" s="3" t="s">
        <v>10041</v>
      </c>
      <c r="P4794" s="17">
        <v>45872</v>
      </c>
      <c r="Q4794" s="4">
        <v>0</v>
      </c>
    </row>
    <row r="4795" spans="1:17" ht="30" x14ac:dyDescent="0.25">
      <c r="A4795" s="2" t="s">
        <v>3305</v>
      </c>
      <c r="B4795" s="3" t="s">
        <v>5015</v>
      </c>
      <c r="C4795" s="3">
        <v>44</v>
      </c>
      <c r="D4795" s="46" t="str">
        <f>IF(Tabla1[[#This Row],[EDAD]]&lt;=35,"Adultos jóvenes 18 - 35 años",IF(C4795&gt;=36,"Adultos mayores 36 años en adelante"))</f>
        <v>Adultos mayores 36 años en adelante</v>
      </c>
      <c r="E4795" s="3" t="s">
        <v>5017</v>
      </c>
      <c r="F4795" s="3" t="s">
        <v>5027</v>
      </c>
      <c r="G4795" s="3" t="s">
        <v>5031</v>
      </c>
      <c r="H4795" s="3" t="s">
        <v>8328</v>
      </c>
      <c r="I4795" s="17">
        <v>45872</v>
      </c>
      <c r="J4795" s="18">
        <f>YEAR(Tabla1[[#This Row],[FECHA DE COMPRA]])</f>
        <v>2025</v>
      </c>
      <c r="K4795" s="19">
        <v>120.94</v>
      </c>
      <c r="L4795" s="20">
        <v>0.1</v>
      </c>
      <c r="M4795" s="19">
        <f>Tienda!$K4678-Tienda!$K4678*Tienda!$L4678</f>
        <v>75.369</v>
      </c>
      <c r="N4795" s="3" t="s">
        <v>10038</v>
      </c>
      <c r="O4795" s="3" t="s">
        <v>10041</v>
      </c>
      <c r="P4795" s="17">
        <v>45872</v>
      </c>
      <c r="Q4795" s="4">
        <v>0</v>
      </c>
    </row>
    <row r="4796" spans="1:17" ht="30" x14ac:dyDescent="0.25">
      <c r="A4796" s="2" t="s">
        <v>3472</v>
      </c>
      <c r="B4796" s="3" t="s">
        <v>5015</v>
      </c>
      <c r="C4796" s="3">
        <v>44</v>
      </c>
      <c r="D4796" s="46" t="str">
        <f>IF(Tabla1[[#This Row],[EDAD]]&lt;=35,"Adultos jóvenes 18 - 35 años",IF(C4796&gt;=36,"Adultos mayores 36 años en adelante"))</f>
        <v>Adultos mayores 36 años en adelante</v>
      </c>
      <c r="E4796" s="3" t="s">
        <v>5021</v>
      </c>
      <c r="F4796" s="3" t="s">
        <v>5030</v>
      </c>
      <c r="G4796" s="3" t="s">
        <v>5035</v>
      </c>
      <c r="H4796" s="3" t="s">
        <v>8495</v>
      </c>
      <c r="I4796" s="17">
        <v>45678</v>
      </c>
      <c r="J4796" s="18">
        <f>YEAR(Tabla1[[#This Row],[FECHA DE COMPRA]])</f>
        <v>2025</v>
      </c>
      <c r="K4796" s="19">
        <v>13.46</v>
      </c>
      <c r="L4796" s="20">
        <v>0</v>
      </c>
      <c r="M4796" s="19">
        <f>Tienda!$K4679-Tienda!$K4679*Tienda!$L4679</f>
        <v>112.04</v>
      </c>
      <c r="N4796" s="3" t="s">
        <v>10038</v>
      </c>
      <c r="O4796" s="3" t="s">
        <v>10042</v>
      </c>
      <c r="P4796" s="17">
        <v>45678</v>
      </c>
      <c r="Q4796" s="4">
        <v>0</v>
      </c>
    </row>
    <row r="4797" spans="1:17" ht="30" x14ac:dyDescent="0.25">
      <c r="A4797" s="2" t="s">
        <v>2844</v>
      </c>
      <c r="B4797" s="3" t="s">
        <v>5015</v>
      </c>
      <c r="C4797" s="3">
        <v>60</v>
      </c>
      <c r="D4797" s="46" t="str">
        <f>IF(Tabla1[[#This Row],[EDAD]]&lt;=35,"Adultos jóvenes 18 - 35 años",IF(C4797&gt;=36,"Adultos mayores 36 años en adelante"))</f>
        <v>Adultos mayores 36 años en adelante</v>
      </c>
      <c r="E4797" s="3" t="s">
        <v>5022</v>
      </c>
      <c r="F4797" s="3" t="s">
        <v>5025</v>
      </c>
      <c r="G4797" s="3" t="s">
        <v>5032</v>
      </c>
      <c r="H4797" s="3" t="s">
        <v>7867</v>
      </c>
      <c r="I4797" s="17">
        <v>45701</v>
      </c>
      <c r="J4797" s="18">
        <f>YEAR(Tabla1[[#This Row],[FECHA DE COMPRA]])</f>
        <v>2025</v>
      </c>
      <c r="K4797" s="19">
        <v>16.29</v>
      </c>
      <c r="L4797" s="20">
        <v>0.3</v>
      </c>
      <c r="M4797" s="19">
        <f>Tienda!$K4680-Tienda!$K4680*Tienda!$L4680</f>
        <v>133.97400000000002</v>
      </c>
      <c r="N4797" s="3" t="s">
        <v>10038</v>
      </c>
      <c r="O4797" s="3" t="s">
        <v>10042</v>
      </c>
      <c r="P4797" s="17">
        <v>45680</v>
      </c>
      <c r="Q4797" s="4">
        <v>0</v>
      </c>
    </row>
    <row r="4798" spans="1:17" ht="30" x14ac:dyDescent="0.25">
      <c r="A4798" s="2" t="s">
        <v>4549</v>
      </c>
      <c r="B4798" s="3" t="s">
        <v>5015</v>
      </c>
      <c r="C4798" s="3">
        <v>65</v>
      </c>
      <c r="D4798" s="46" t="str">
        <f>IF(Tabla1[[#This Row],[EDAD]]&lt;=35,"Adultos jóvenes 18 - 35 años",IF(C4798&gt;=36,"Adultos mayores 36 años en adelante"))</f>
        <v>Adultos mayores 36 años en adelante</v>
      </c>
      <c r="E4798" s="3" t="s">
        <v>5023</v>
      </c>
      <c r="F4798" s="3" t="s">
        <v>5029</v>
      </c>
      <c r="G4798" s="3" t="s">
        <v>5035</v>
      </c>
      <c r="H4798" s="3" t="s">
        <v>9572</v>
      </c>
      <c r="I4798" s="17">
        <v>45701</v>
      </c>
      <c r="J4798" s="18">
        <f>YEAR(Tabla1[[#This Row],[FECHA DE COMPRA]])</f>
        <v>2025</v>
      </c>
      <c r="K4798" s="19">
        <v>18.2</v>
      </c>
      <c r="L4798" s="20">
        <v>0.2</v>
      </c>
      <c r="M4798" s="19">
        <f>Tienda!$K4681-Tienda!$K4681*Tienda!$L4681</f>
        <v>108.99700000000001</v>
      </c>
      <c r="N4798" s="3" t="s">
        <v>10038</v>
      </c>
      <c r="O4798" s="3" t="s">
        <v>10042</v>
      </c>
      <c r="P4798" s="17">
        <v>45664</v>
      </c>
      <c r="Q4798" s="4">
        <v>0</v>
      </c>
    </row>
    <row r="4799" spans="1:17" ht="30" x14ac:dyDescent="0.25">
      <c r="A4799" s="2" t="s">
        <v>1501</v>
      </c>
      <c r="B4799" s="3" t="s">
        <v>5015</v>
      </c>
      <c r="C4799" s="3">
        <v>46</v>
      </c>
      <c r="D4799" s="46" t="str">
        <f>IF(Tabla1[[#This Row],[EDAD]]&lt;=35,"Adultos jóvenes 18 - 35 años",IF(C4799&gt;=36,"Adultos mayores 36 años en adelante"))</f>
        <v>Adultos mayores 36 años en adelante</v>
      </c>
      <c r="E4799" s="3" t="s">
        <v>5022</v>
      </c>
      <c r="F4799" s="3" t="s">
        <v>5024</v>
      </c>
      <c r="G4799" s="3" t="s">
        <v>5031</v>
      </c>
      <c r="H4799" s="3" t="s">
        <v>6524</v>
      </c>
      <c r="I4799" s="17">
        <v>45701</v>
      </c>
      <c r="J4799" s="18">
        <f>YEAR(Tabla1[[#This Row],[FECHA DE COMPRA]])</f>
        <v>2025</v>
      </c>
      <c r="K4799" s="19">
        <v>18.29</v>
      </c>
      <c r="L4799" s="20">
        <v>0.2</v>
      </c>
      <c r="M4799" s="19">
        <f>Tienda!$K4682-Tienda!$K4682*Tienda!$L4682</f>
        <v>173.34</v>
      </c>
      <c r="N4799" s="3" t="s">
        <v>10038</v>
      </c>
      <c r="O4799" s="3" t="s">
        <v>10042</v>
      </c>
      <c r="P4799" s="17">
        <v>45661</v>
      </c>
      <c r="Q4799" s="4">
        <v>0</v>
      </c>
    </row>
    <row r="4800" spans="1:17" ht="30" x14ac:dyDescent="0.25">
      <c r="A4800" s="2" t="s">
        <v>2178</v>
      </c>
      <c r="B4800" s="3" t="s">
        <v>5015</v>
      </c>
      <c r="C4800" s="3">
        <v>52</v>
      </c>
      <c r="D4800" s="46" t="str">
        <f>IF(Tabla1[[#This Row],[EDAD]]&lt;=35,"Adultos jóvenes 18 - 35 años",IF(C4800&gt;=36,"Adultos mayores 36 años en adelante"))</f>
        <v>Adultos mayores 36 años en adelante</v>
      </c>
      <c r="E4800" s="3" t="s">
        <v>5020</v>
      </c>
      <c r="F4800" s="3" t="s">
        <v>5025</v>
      </c>
      <c r="G4800" s="3" t="s">
        <v>5032</v>
      </c>
      <c r="H4800" s="3" t="s">
        <v>7201</v>
      </c>
      <c r="I4800" s="17">
        <v>45701</v>
      </c>
      <c r="J4800" s="18">
        <f>YEAR(Tabla1[[#This Row],[FECHA DE COMPRA]])</f>
        <v>2025</v>
      </c>
      <c r="K4800" s="19">
        <v>22.56</v>
      </c>
      <c r="L4800" s="20">
        <v>0.2</v>
      </c>
      <c r="M4800" s="19">
        <f>Tienda!$K4684-Tienda!$K4684*Tienda!$L4684</f>
        <v>153.17599999999999</v>
      </c>
      <c r="N4800" s="3" t="s">
        <v>10038</v>
      </c>
      <c r="O4800" s="3" t="s">
        <v>10042</v>
      </c>
      <c r="P4800" s="17">
        <v>45673</v>
      </c>
      <c r="Q4800" s="4">
        <v>0</v>
      </c>
    </row>
    <row r="4801" spans="1:17" ht="30" x14ac:dyDescent="0.25">
      <c r="A4801" s="2" t="s">
        <v>2832</v>
      </c>
      <c r="B4801" s="3" t="s">
        <v>5015</v>
      </c>
      <c r="C4801" s="3">
        <v>53</v>
      </c>
      <c r="D4801" s="46" t="str">
        <f>IF(Tabla1[[#This Row],[EDAD]]&lt;=35,"Adultos jóvenes 18 - 35 años",IF(C4801&gt;=36,"Adultos mayores 36 años en adelante"))</f>
        <v>Adultos mayores 36 años en adelante</v>
      </c>
      <c r="E4801" s="3" t="s">
        <v>5022</v>
      </c>
      <c r="F4801" s="3" t="s">
        <v>5027</v>
      </c>
      <c r="G4801" s="3" t="s">
        <v>5037</v>
      </c>
      <c r="H4801" s="3" t="s">
        <v>7855</v>
      </c>
      <c r="I4801" s="17">
        <v>45701</v>
      </c>
      <c r="J4801" s="18">
        <f>YEAR(Tabla1[[#This Row],[FECHA DE COMPRA]])</f>
        <v>2025</v>
      </c>
      <c r="K4801" s="19">
        <v>24.39</v>
      </c>
      <c r="L4801" s="20">
        <v>0.3</v>
      </c>
      <c r="M4801" s="19">
        <f>Tienda!$K4685-Tienda!$K4685*Tienda!$L4685</f>
        <v>139.11799999999999</v>
      </c>
      <c r="N4801" s="3" t="s">
        <v>10038</v>
      </c>
      <c r="O4801" s="3" t="s">
        <v>10042</v>
      </c>
      <c r="P4801" s="17">
        <v>45686</v>
      </c>
      <c r="Q4801" s="4">
        <v>0</v>
      </c>
    </row>
    <row r="4802" spans="1:17" ht="30" x14ac:dyDescent="0.25">
      <c r="A4802" s="2" t="s">
        <v>3937</v>
      </c>
      <c r="B4802" s="3" t="s">
        <v>5015</v>
      </c>
      <c r="C4802" s="3">
        <v>48</v>
      </c>
      <c r="D4802" s="46" t="str">
        <f>IF(Tabla1[[#This Row],[EDAD]]&lt;=35,"Adultos jóvenes 18 - 35 años",IF(C4802&gt;=36,"Adultos mayores 36 años en adelante"))</f>
        <v>Adultos mayores 36 años en adelante</v>
      </c>
      <c r="E4802" s="3" t="s">
        <v>5018</v>
      </c>
      <c r="F4802" s="3" t="s">
        <v>5027</v>
      </c>
      <c r="G4802" s="3" t="s">
        <v>5034</v>
      </c>
      <c r="H4802" s="3" t="s">
        <v>8960</v>
      </c>
      <c r="I4802" s="17">
        <v>45666</v>
      </c>
      <c r="J4802" s="18">
        <f>YEAR(Tabla1[[#This Row],[FECHA DE COMPRA]])</f>
        <v>2025</v>
      </c>
      <c r="K4802" s="19">
        <v>39.74</v>
      </c>
      <c r="L4802" s="20">
        <v>0.3</v>
      </c>
      <c r="M4802" s="19">
        <f>Tienda!$K4690-Tienda!$K4690*Tienda!$L4690</f>
        <v>34.804000000000002</v>
      </c>
      <c r="N4802" s="3" t="s">
        <v>10038</v>
      </c>
      <c r="O4802" s="3" t="s">
        <v>10042</v>
      </c>
      <c r="P4802" s="17">
        <v>45666</v>
      </c>
      <c r="Q4802" s="4">
        <v>0</v>
      </c>
    </row>
    <row r="4803" spans="1:17" ht="30" x14ac:dyDescent="0.25">
      <c r="A4803" s="2" t="s">
        <v>2886</v>
      </c>
      <c r="B4803" s="3" t="s">
        <v>5015</v>
      </c>
      <c r="C4803" s="3">
        <v>61</v>
      </c>
      <c r="D4803" s="46" t="str">
        <f>IF(Tabla1[[#This Row],[EDAD]]&lt;=35,"Adultos jóvenes 18 - 35 años",IF(C4803&gt;=36,"Adultos mayores 36 años en adelante"))</f>
        <v>Adultos mayores 36 años en adelante</v>
      </c>
      <c r="E4803" s="3" t="s">
        <v>5018</v>
      </c>
      <c r="F4803" s="3" t="s">
        <v>5024</v>
      </c>
      <c r="G4803" s="3" t="s">
        <v>5033</v>
      </c>
      <c r="H4803" s="3" t="s">
        <v>7909</v>
      </c>
      <c r="I4803" s="17">
        <v>45665</v>
      </c>
      <c r="J4803" s="18">
        <f>YEAR(Tabla1[[#This Row],[FECHA DE COMPRA]])</f>
        <v>2025</v>
      </c>
      <c r="K4803" s="19">
        <v>46.26</v>
      </c>
      <c r="L4803" s="20">
        <v>0.1</v>
      </c>
      <c r="M4803" s="19">
        <f>Tienda!$K4691-Tienda!$K4691*Tienda!$L4691</f>
        <v>41.727999999999994</v>
      </c>
      <c r="N4803" s="3" t="s">
        <v>10038</v>
      </c>
      <c r="O4803" s="3" t="s">
        <v>10042</v>
      </c>
      <c r="P4803" s="17">
        <v>45665</v>
      </c>
      <c r="Q4803" s="4">
        <v>0</v>
      </c>
    </row>
    <row r="4804" spans="1:17" ht="30" x14ac:dyDescent="0.25">
      <c r="A4804" s="2" t="s">
        <v>282</v>
      </c>
      <c r="B4804" s="3" t="s">
        <v>5016</v>
      </c>
      <c r="C4804" s="3">
        <v>50</v>
      </c>
      <c r="D4804" s="46" t="str">
        <f>IF(Tabla1[[#This Row],[EDAD]]&lt;=35,"Adultos jóvenes 18 - 35 años",IF(C4804&gt;=36,"Adultos mayores 36 años en adelante"))</f>
        <v>Adultos mayores 36 años en adelante</v>
      </c>
      <c r="E4804" s="3" t="s">
        <v>5017</v>
      </c>
      <c r="F4804" s="3" t="s">
        <v>5028</v>
      </c>
      <c r="G4804" s="3" t="s">
        <v>5035</v>
      </c>
      <c r="H4804" s="3" t="s">
        <v>5305</v>
      </c>
      <c r="I4804" s="17">
        <v>45666</v>
      </c>
      <c r="J4804" s="18">
        <f>YEAR(Tabla1[[#This Row],[FECHA DE COMPRA]])</f>
        <v>2025</v>
      </c>
      <c r="K4804" s="19">
        <v>50.62</v>
      </c>
      <c r="L4804" s="20">
        <v>0.2</v>
      </c>
      <c r="M4804" s="19">
        <f>Tienda!$K4692-Tienda!$K4692*Tienda!$L4692</f>
        <v>44.204999999999998</v>
      </c>
      <c r="N4804" s="3" t="s">
        <v>10038</v>
      </c>
      <c r="O4804" s="3" t="s">
        <v>10042</v>
      </c>
      <c r="P4804" s="17">
        <v>45666</v>
      </c>
      <c r="Q4804" s="4">
        <v>0</v>
      </c>
    </row>
    <row r="4805" spans="1:17" ht="30" x14ac:dyDescent="0.25">
      <c r="A4805" s="2" t="s">
        <v>1512</v>
      </c>
      <c r="B4805" s="3" t="s">
        <v>5016</v>
      </c>
      <c r="C4805" s="3">
        <v>39</v>
      </c>
      <c r="D4805" s="46" t="str">
        <f>IF(Tabla1[[#This Row],[EDAD]]&lt;=35,"Adultos jóvenes 18 - 35 años",IF(C4805&gt;=36,"Adultos mayores 36 años en adelante"))</f>
        <v>Adultos mayores 36 años en adelante</v>
      </c>
      <c r="E4805" s="3" t="s">
        <v>5021</v>
      </c>
      <c r="F4805" s="3" t="s">
        <v>5026</v>
      </c>
      <c r="G4805" s="3" t="s">
        <v>5037</v>
      </c>
      <c r="H4805" s="3" t="s">
        <v>6535</v>
      </c>
      <c r="I4805" s="17">
        <v>45682</v>
      </c>
      <c r="J4805" s="18">
        <f>YEAR(Tabla1[[#This Row],[FECHA DE COMPRA]])</f>
        <v>2025</v>
      </c>
      <c r="K4805" s="19">
        <v>50.9</v>
      </c>
      <c r="L4805" s="20">
        <v>0.1</v>
      </c>
      <c r="M4805" s="19">
        <f>Tienda!$K4693-Tienda!$K4693*Tienda!$L4693</f>
        <v>47.921999999999997</v>
      </c>
      <c r="N4805" s="3" t="s">
        <v>10038</v>
      </c>
      <c r="O4805" s="3" t="s">
        <v>10042</v>
      </c>
      <c r="P4805" s="17">
        <v>45682</v>
      </c>
      <c r="Q4805" s="4">
        <v>0</v>
      </c>
    </row>
    <row r="4806" spans="1:17" ht="30" x14ac:dyDescent="0.25">
      <c r="A4806" s="2" t="s">
        <v>2375</v>
      </c>
      <c r="B4806" s="3" t="s">
        <v>5015</v>
      </c>
      <c r="C4806" s="3">
        <v>51</v>
      </c>
      <c r="D4806" s="46" t="str">
        <f>IF(Tabla1[[#This Row],[EDAD]]&lt;=35,"Adultos jóvenes 18 - 35 años",IF(C4806&gt;=36,"Adultos mayores 36 años en adelante"))</f>
        <v>Adultos mayores 36 años en adelante</v>
      </c>
      <c r="E4806" s="3" t="s">
        <v>5020</v>
      </c>
      <c r="F4806" s="3" t="s">
        <v>5029</v>
      </c>
      <c r="G4806" s="3" t="s">
        <v>5031</v>
      </c>
      <c r="H4806" s="3" t="s">
        <v>7398</v>
      </c>
      <c r="I4806" s="17">
        <v>45701</v>
      </c>
      <c r="J4806" s="18">
        <f>YEAR(Tabla1[[#This Row],[FECHA DE COMPRA]])</f>
        <v>2025</v>
      </c>
      <c r="K4806" s="19">
        <v>57.4</v>
      </c>
      <c r="L4806" s="20">
        <v>0.1</v>
      </c>
      <c r="M4806" s="19">
        <f>Tienda!$K4694-Tienda!$K4694*Tienda!$L4694</f>
        <v>62.19</v>
      </c>
      <c r="N4806" s="3" t="s">
        <v>10038</v>
      </c>
      <c r="O4806" s="3" t="s">
        <v>10042</v>
      </c>
      <c r="P4806" s="17">
        <v>45670</v>
      </c>
      <c r="Q4806" s="4">
        <v>0</v>
      </c>
    </row>
    <row r="4807" spans="1:17" ht="30" x14ac:dyDescent="0.25">
      <c r="A4807" s="2" t="s">
        <v>4907</v>
      </c>
      <c r="B4807" s="3" t="s">
        <v>5015</v>
      </c>
      <c r="C4807" s="3">
        <v>58</v>
      </c>
      <c r="D4807" s="46" t="str">
        <f>IF(Tabla1[[#This Row],[EDAD]]&lt;=35,"Adultos jóvenes 18 - 35 años",IF(C4807&gt;=36,"Adultos mayores 36 años en adelante"))</f>
        <v>Adultos mayores 36 años en adelante</v>
      </c>
      <c r="E4807" s="3" t="s">
        <v>5021</v>
      </c>
      <c r="F4807" s="3" t="s">
        <v>5030</v>
      </c>
      <c r="G4807" s="3" t="s">
        <v>5035</v>
      </c>
      <c r="H4807" s="3" t="s">
        <v>9930</v>
      </c>
      <c r="I4807" s="17">
        <v>45685</v>
      </c>
      <c r="J4807" s="18">
        <f>YEAR(Tabla1[[#This Row],[FECHA DE COMPRA]])</f>
        <v>2025</v>
      </c>
      <c r="K4807" s="19">
        <v>71.92</v>
      </c>
      <c r="L4807" s="20">
        <v>0.2</v>
      </c>
      <c r="M4807" s="19">
        <f>Tienda!$K4699-Tienda!$K4699*Tienda!$L4699</f>
        <v>75.176000000000002</v>
      </c>
      <c r="N4807" s="3" t="s">
        <v>10038</v>
      </c>
      <c r="O4807" s="3" t="s">
        <v>10042</v>
      </c>
      <c r="P4807" s="17">
        <v>45685</v>
      </c>
      <c r="Q4807" s="4">
        <v>0</v>
      </c>
    </row>
    <row r="4808" spans="1:17" ht="30" x14ac:dyDescent="0.25">
      <c r="A4808" s="2" t="s">
        <v>2644</v>
      </c>
      <c r="B4808" s="3" t="s">
        <v>5016</v>
      </c>
      <c r="C4808" s="3">
        <v>44</v>
      </c>
      <c r="D4808" s="46" t="str">
        <f>IF(Tabla1[[#This Row],[EDAD]]&lt;=35,"Adultos jóvenes 18 - 35 años",IF(C4808&gt;=36,"Adultos mayores 36 años en adelante"))</f>
        <v>Adultos mayores 36 años en adelante</v>
      </c>
      <c r="E4808" s="3" t="s">
        <v>5019</v>
      </c>
      <c r="F4808" s="3" t="s">
        <v>5029</v>
      </c>
      <c r="G4808" s="3" t="s">
        <v>5031</v>
      </c>
      <c r="H4808" s="3" t="s">
        <v>7667</v>
      </c>
      <c r="I4808" s="17">
        <v>45658</v>
      </c>
      <c r="J4808" s="18">
        <f>YEAR(Tabla1[[#This Row],[FECHA DE COMPRA]])</f>
        <v>2025</v>
      </c>
      <c r="K4808" s="19">
        <v>74.97</v>
      </c>
      <c r="L4808" s="20">
        <v>0.3</v>
      </c>
      <c r="M4808" s="19">
        <f>Tienda!$K4700-Tienda!$K4700*Tienda!$L4700</f>
        <v>68.564999999999998</v>
      </c>
      <c r="N4808" s="3" t="s">
        <v>10038</v>
      </c>
      <c r="O4808" s="3" t="s">
        <v>10042</v>
      </c>
      <c r="P4808" s="17">
        <v>45658</v>
      </c>
      <c r="Q4808" s="4">
        <v>0</v>
      </c>
    </row>
    <row r="4809" spans="1:17" ht="30" x14ac:dyDescent="0.25">
      <c r="A4809" s="2" t="s">
        <v>1398</v>
      </c>
      <c r="B4809" s="3" t="s">
        <v>5016</v>
      </c>
      <c r="C4809" s="3">
        <v>64</v>
      </c>
      <c r="D4809" s="46" t="str">
        <f>IF(Tabla1[[#This Row],[EDAD]]&lt;=35,"Adultos jóvenes 18 - 35 años",IF(C4809&gt;=36,"Adultos mayores 36 años en adelante"))</f>
        <v>Adultos mayores 36 años en adelante</v>
      </c>
      <c r="E4809" s="3" t="s">
        <v>5017</v>
      </c>
      <c r="F4809" s="3" t="s">
        <v>5026</v>
      </c>
      <c r="G4809" s="3" t="s">
        <v>5032</v>
      </c>
      <c r="H4809" s="3" t="s">
        <v>6421</v>
      </c>
      <c r="I4809" s="17">
        <v>45684</v>
      </c>
      <c r="J4809" s="18">
        <f>YEAR(Tabla1[[#This Row],[FECHA DE COMPRA]])</f>
        <v>2025</v>
      </c>
      <c r="K4809" s="19">
        <v>75.27</v>
      </c>
      <c r="L4809" s="20">
        <v>0</v>
      </c>
      <c r="M4809" s="19">
        <f>Tienda!$K4701-Tienda!$K4701*Tienda!$L4701</f>
        <v>98.69</v>
      </c>
      <c r="N4809" s="3" t="s">
        <v>10038</v>
      </c>
      <c r="O4809" s="3" t="s">
        <v>10042</v>
      </c>
      <c r="P4809" s="17">
        <v>45684</v>
      </c>
      <c r="Q4809" s="4">
        <v>0</v>
      </c>
    </row>
    <row r="4810" spans="1:17" ht="30" x14ac:dyDescent="0.25">
      <c r="A4810" s="2" t="s">
        <v>389</v>
      </c>
      <c r="B4810" s="3" t="s">
        <v>5015</v>
      </c>
      <c r="C4810" s="3">
        <v>50</v>
      </c>
      <c r="D4810" s="46" t="str">
        <f>IF(Tabla1[[#This Row],[EDAD]]&lt;=35,"Adultos jóvenes 18 - 35 años",IF(C4810&gt;=36,"Adultos mayores 36 años en adelante"))</f>
        <v>Adultos mayores 36 años en adelante</v>
      </c>
      <c r="E4810" s="3" t="s">
        <v>5018</v>
      </c>
      <c r="F4810" s="3" t="s">
        <v>5030</v>
      </c>
      <c r="G4810" s="3" t="s">
        <v>5034</v>
      </c>
      <c r="H4810" s="3" t="s">
        <v>5412</v>
      </c>
      <c r="I4810" s="17">
        <v>45701</v>
      </c>
      <c r="J4810" s="18">
        <f>YEAR(Tabla1[[#This Row],[FECHA DE COMPRA]])</f>
        <v>2025</v>
      </c>
      <c r="K4810" s="19">
        <v>78.89</v>
      </c>
      <c r="L4810" s="20">
        <v>0.2</v>
      </c>
      <c r="M4810" s="19">
        <f>Tienda!$K4702-Tienda!$K4702*Tienda!$L4702</f>
        <v>105.77</v>
      </c>
      <c r="N4810" s="3" t="s">
        <v>10038</v>
      </c>
      <c r="O4810" s="3" t="s">
        <v>10042</v>
      </c>
      <c r="P4810" s="17">
        <v>45670</v>
      </c>
      <c r="Q4810" s="4">
        <v>0</v>
      </c>
    </row>
    <row r="4811" spans="1:17" ht="30" x14ac:dyDescent="0.25">
      <c r="A4811" s="2" t="s">
        <v>4827</v>
      </c>
      <c r="B4811" s="3" t="s">
        <v>5015</v>
      </c>
      <c r="C4811" s="3">
        <v>56</v>
      </c>
      <c r="D4811" s="46" t="str">
        <f>IF(Tabla1[[#This Row],[EDAD]]&lt;=35,"Adultos jóvenes 18 - 35 años",IF(C4811&gt;=36,"Adultos mayores 36 años en adelante"))</f>
        <v>Adultos mayores 36 años en adelante</v>
      </c>
      <c r="E4811" s="3" t="s">
        <v>5017</v>
      </c>
      <c r="F4811" s="3" t="s">
        <v>5024</v>
      </c>
      <c r="G4811" s="3" t="s">
        <v>5034</v>
      </c>
      <c r="H4811" s="3" t="s">
        <v>9850</v>
      </c>
      <c r="I4811" s="17">
        <v>45701</v>
      </c>
      <c r="J4811" s="18">
        <f>YEAR(Tabla1[[#This Row],[FECHA DE COMPRA]])</f>
        <v>2025</v>
      </c>
      <c r="K4811" s="19">
        <v>79.95</v>
      </c>
      <c r="L4811" s="20">
        <v>0.1</v>
      </c>
      <c r="M4811" s="19">
        <f>Tienda!$K4703-Tienda!$K4703*Tienda!$L4703</f>
        <v>81.942000000000007</v>
      </c>
      <c r="N4811" s="3" t="s">
        <v>10038</v>
      </c>
      <c r="O4811" s="3" t="s">
        <v>10042</v>
      </c>
      <c r="P4811" s="17">
        <v>45666</v>
      </c>
      <c r="Q4811" s="4">
        <v>0</v>
      </c>
    </row>
    <row r="4812" spans="1:17" ht="30" x14ac:dyDescent="0.25">
      <c r="A4812" s="2" t="s">
        <v>1358</v>
      </c>
      <c r="B4812" s="3" t="s">
        <v>5015</v>
      </c>
      <c r="C4812" s="3">
        <v>38</v>
      </c>
      <c r="D4812" s="46" t="str">
        <f>IF(Tabla1[[#This Row],[EDAD]]&lt;=35,"Adultos jóvenes 18 - 35 años",IF(C4812&gt;=36,"Adultos mayores 36 años en adelante"))</f>
        <v>Adultos mayores 36 años en adelante</v>
      </c>
      <c r="E4812" s="3" t="s">
        <v>5023</v>
      </c>
      <c r="F4812" s="3" t="s">
        <v>5025</v>
      </c>
      <c r="G4812" s="3" t="s">
        <v>5037</v>
      </c>
      <c r="H4812" s="3" t="s">
        <v>6381</v>
      </c>
      <c r="I4812" s="17">
        <v>45667</v>
      </c>
      <c r="J4812" s="18">
        <f>YEAR(Tabla1[[#This Row],[FECHA DE COMPRA]])</f>
        <v>2025</v>
      </c>
      <c r="K4812" s="19">
        <v>97.94</v>
      </c>
      <c r="L4812" s="20">
        <v>0.3</v>
      </c>
      <c r="M4812" s="19">
        <f>Tienda!$K4706-Tienda!$K4706*Tienda!$L4706</f>
        <v>118.539</v>
      </c>
      <c r="N4812" s="3" t="s">
        <v>10038</v>
      </c>
      <c r="O4812" s="3" t="s">
        <v>10042</v>
      </c>
      <c r="P4812" s="17">
        <v>45667</v>
      </c>
      <c r="Q4812" s="4">
        <v>0</v>
      </c>
    </row>
    <row r="4813" spans="1:17" ht="30" x14ac:dyDescent="0.25">
      <c r="A4813" s="2" t="s">
        <v>882</v>
      </c>
      <c r="B4813" s="3" t="s">
        <v>5015</v>
      </c>
      <c r="C4813" s="3">
        <v>55</v>
      </c>
      <c r="D4813" s="46" t="str">
        <f>IF(Tabla1[[#This Row],[EDAD]]&lt;=35,"Adultos jóvenes 18 - 35 años",IF(C4813&gt;=36,"Adultos mayores 36 años en adelante"))</f>
        <v>Adultos mayores 36 años en adelante</v>
      </c>
      <c r="E4813" s="3" t="s">
        <v>5022</v>
      </c>
      <c r="F4813" s="3" t="s">
        <v>5028</v>
      </c>
      <c r="G4813" s="3" t="s">
        <v>5037</v>
      </c>
      <c r="H4813" s="3" t="s">
        <v>5905</v>
      </c>
      <c r="I4813" s="17">
        <v>45660</v>
      </c>
      <c r="J4813" s="18">
        <f>YEAR(Tabla1[[#This Row],[FECHA DE COMPRA]])</f>
        <v>2025</v>
      </c>
      <c r="K4813" s="19">
        <v>99.14</v>
      </c>
      <c r="L4813" s="20">
        <v>0.2</v>
      </c>
      <c r="M4813" s="19">
        <f>Tienda!$K4707-Tienda!$K4707*Tienda!$L4707</f>
        <v>142.22</v>
      </c>
      <c r="N4813" s="3" t="s">
        <v>10038</v>
      </c>
      <c r="O4813" s="3" t="s">
        <v>10042</v>
      </c>
      <c r="P4813" s="17">
        <v>45660</v>
      </c>
      <c r="Q4813" s="4">
        <v>0</v>
      </c>
    </row>
    <row r="4814" spans="1:17" ht="30" x14ac:dyDescent="0.25">
      <c r="A4814" s="2" t="s">
        <v>2864</v>
      </c>
      <c r="B4814" s="3" t="s">
        <v>5015</v>
      </c>
      <c r="C4814" s="3">
        <v>42</v>
      </c>
      <c r="D4814" s="46" t="str">
        <f>IF(Tabla1[[#This Row],[EDAD]]&lt;=35,"Adultos jóvenes 18 - 35 años",IF(C4814&gt;=36,"Adultos mayores 36 años en adelante"))</f>
        <v>Adultos mayores 36 años en adelante</v>
      </c>
      <c r="E4814" s="3" t="s">
        <v>5018</v>
      </c>
      <c r="F4814" s="3" t="s">
        <v>5028</v>
      </c>
      <c r="G4814" s="3" t="s">
        <v>5034</v>
      </c>
      <c r="H4814" s="3" t="s">
        <v>7887</v>
      </c>
      <c r="I4814" s="17">
        <v>45672</v>
      </c>
      <c r="J4814" s="18">
        <f>YEAR(Tabla1[[#This Row],[FECHA DE COMPRA]])</f>
        <v>2025</v>
      </c>
      <c r="K4814" s="19">
        <v>124.38</v>
      </c>
      <c r="L4814" s="20">
        <v>0.3</v>
      </c>
      <c r="M4814" s="19">
        <f>Tienda!$K4710-Tienda!$K4710*Tienda!$L4710</f>
        <v>112.161</v>
      </c>
      <c r="N4814" s="3" t="s">
        <v>10038</v>
      </c>
      <c r="O4814" s="3" t="s">
        <v>10042</v>
      </c>
      <c r="P4814" s="17">
        <v>45672</v>
      </c>
      <c r="Q4814" s="4">
        <v>0</v>
      </c>
    </row>
    <row r="4815" spans="1:17" ht="30" x14ac:dyDescent="0.25">
      <c r="A4815" s="2" t="s">
        <v>2438</v>
      </c>
      <c r="B4815" s="3" t="s">
        <v>5016</v>
      </c>
      <c r="C4815" s="3">
        <v>49</v>
      </c>
      <c r="D4815" s="46" t="str">
        <f>IF(Tabla1[[#This Row],[EDAD]]&lt;=35,"Adultos jóvenes 18 - 35 años",IF(C4815&gt;=36,"Adultos mayores 36 años en adelante"))</f>
        <v>Adultos mayores 36 años en adelante</v>
      </c>
      <c r="E4815" s="3" t="s">
        <v>5023</v>
      </c>
      <c r="F4815" s="3" t="s">
        <v>5025</v>
      </c>
      <c r="G4815" s="3" t="s">
        <v>5036</v>
      </c>
      <c r="H4815" s="3" t="s">
        <v>7461</v>
      </c>
      <c r="I4815" s="17">
        <v>45666</v>
      </c>
      <c r="J4815" s="18">
        <f>YEAR(Tabla1[[#This Row],[FECHA DE COMPRA]])</f>
        <v>2025</v>
      </c>
      <c r="K4815" s="19">
        <v>125.2</v>
      </c>
      <c r="L4815" s="20">
        <v>0</v>
      </c>
      <c r="M4815" s="19">
        <f>Tienda!$K4711-Tienda!$K4711*Tienda!$L4711</f>
        <v>136.26400000000001</v>
      </c>
      <c r="N4815" s="3" t="s">
        <v>10038</v>
      </c>
      <c r="O4815" s="3" t="s">
        <v>10042</v>
      </c>
      <c r="P4815" s="17">
        <v>45666</v>
      </c>
      <c r="Q4815" s="4">
        <v>0</v>
      </c>
    </row>
    <row r="4816" spans="1:17" ht="30" x14ac:dyDescent="0.25">
      <c r="A4816" s="2" t="s">
        <v>121</v>
      </c>
      <c r="B4816" s="3" t="s">
        <v>5015</v>
      </c>
      <c r="C4816" s="3">
        <v>58</v>
      </c>
      <c r="D4816" s="46" t="str">
        <f>IF(Tabla1[[#This Row],[EDAD]]&lt;=35,"Adultos jóvenes 18 - 35 años",IF(C4816&gt;=36,"Adultos mayores 36 años en adelante"))</f>
        <v>Adultos mayores 36 años en adelante</v>
      </c>
      <c r="E4816" s="3" t="s">
        <v>5020</v>
      </c>
      <c r="F4816" s="3" t="s">
        <v>5024</v>
      </c>
      <c r="G4816" s="3" t="s">
        <v>5031</v>
      </c>
      <c r="H4816" s="3" t="s">
        <v>5144</v>
      </c>
      <c r="I4816" s="17">
        <v>45681</v>
      </c>
      <c r="J4816" s="18">
        <f>YEAR(Tabla1[[#This Row],[FECHA DE COMPRA]])</f>
        <v>2025</v>
      </c>
      <c r="K4816" s="19">
        <v>132.85</v>
      </c>
      <c r="L4816" s="20">
        <v>0.2</v>
      </c>
      <c r="M4816" s="19">
        <f>Tienda!$K4713-Tienda!$K4713*Tienda!$L4713</f>
        <v>159.77699999999999</v>
      </c>
      <c r="N4816" s="3" t="s">
        <v>10038</v>
      </c>
      <c r="O4816" s="3" t="s">
        <v>10042</v>
      </c>
      <c r="P4816" s="17">
        <v>45681</v>
      </c>
      <c r="Q4816" s="4">
        <v>0</v>
      </c>
    </row>
    <row r="4817" spans="1:17" ht="30" x14ac:dyDescent="0.25">
      <c r="A4817" s="2" t="s">
        <v>2294</v>
      </c>
      <c r="B4817" s="3" t="s">
        <v>5015</v>
      </c>
      <c r="C4817" s="3">
        <v>46</v>
      </c>
      <c r="D4817" s="46" t="str">
        <f>IF(Tabla1[[#This Row],[EDAD]]&lt;=35,"Adultos jóvenes 18 - 35 años",IF(C4817&gt;=36,"Adultos mayores 36 años en adelante"))</f>
        <v>Adultos mayores 36 años en adelante</v>
      </c>
      <c r="E4817" s="3" t="s">
        <v>5020</v>
      </c>
      <c r="F4817" s="3" t="s">
        <v>5029</v>
      </c>
      <c r="G4817" s="3" t="s">
        <v>5031</v>
      </c>
      <c r="H4817" s="3" t="s">
        <v>7317</v>
      </c>
      <c r="I4817" s="17">
        <v>45693</v>
      </c>
      <c r="J4817" s="18">
        <f>YEAR(Tabla1[[#This Row],[FECHA DE COMPRA]])</f>
        <v>2025</v>
      </c>
      <c r="K4817" s="19">
        <v>23.43</v>
      </c>
      <c r="L4817" s="20">
        <v>0.1</v>
      </c>
      <c r="M4817" s="19">
        <f>Tienda!$K4714-Tienda!$K4714*Tienda!$L4714</f>
        <v>144.93599999999998</v>
      </c>
      <c r="N4817" s="3" t="s">
        <v>10038</v>
      </c>
      <c r="O4817" s="3" t="s">
        <v>10042</v>
      </c>
      <c r="P4817" s="17">
        <v>45693</v>
      </c>
      <c r="Q4817" s="4">
        <v>0</v>
      </c>
    </row>
    <row r="4818" spans="1:17" ht="30" x14ac:dyDescent="0.25">
      <c r="A4818" s="2" t="s">
        <v>4171</v>
      </c>
      <c r="B4818" s="3" t="s">
        <v>5015</v>
      </c>
      <c r="C4818" s="3">
        <v>51</v>
      </c>
      <c r="D4818" s="46" t="str">
        <f>IF(Tabla1[[#This Row],[EDAD]]&lt;=35,"Adultos jóvenes 18 - 35 años",IF(C4818&gt;=36,"Adultos mayores 36 años en adelante"))</f>
        <v>Adultos mayores 36 años en adelante</v>
      </c>
      <c r="E4818" s="3" t="s">
        <v>5022</v>
      </c>
      <c r="F4818" s="3" t="s">
        <v>5025</v>
      </c>
      <c r="G4818" s="3" t="s">
        <v>5035</v>
      </c>
      <c r="H4818" s="3" t="s">
        <v>9194</v>
      </c>
      <c r="I4818" s="17">
        <v>45693</v>
      </c>
      <c r="J4818" s="18">
        <f>YEAR(Tabla1[[#This Row],[FECHA DE COMPRA]])</f>
        <v>2025</v>
      </c>
      <c r="K4818" s="19">
        <v>67.58</v>
      </c>
      <c r="L4818" s="20">
        <v>0.3</v>
      </c>
      <c r="M4818" s="19">
        <f>Tienda!$K4715-Tienda!$K4715*Tienda!$L4715</f>
        <v>187.44</v>
      </c>
      <c r="N4818" s="3" t="s">
        <v>10038</v>
      </c>
      <c r="O4818" s="3" t="s">
        <v>10042</v>
      </c>
      <c r="P4818" s="17">
        <v>45693</v>
      </c>
      <c r="Q4818" s="4">
        <v>0</v>
      </c>
    </row>
    <row r="4819" spans="1:17" ht="30" x14ac:dyDescent="0.25">
      <c r="A4819" s="2" t="s">
        <v>1534</v>
      </c>
      <c r="B4819" s="3" t="s">
        <v>5016</v>
      </c>
      <c r="C4819" s="3">
        <v>64</v>
      </c>
      <c r="D4819" s="46" t="str">
        <f>IF(Tabla1[[#This Row],[EDAD]]&lt;=35,"Adultos jóvenes 18 - 35 años",IF(C4819&gt;=36,"Adultos mayores 36 años en adelante"))</f>
        <v>Adultos mayores 36 años en adelante</v>
      </c>
      <c r="E4819" s="3" t="s">
        <v>5023</v>
      </c>
      <c r="F4819" s="3" t="s">
        <v>5030</v>
      </c>
      <c r="G4819" s="3" t="s">
        <v>5035</v>
      </c>
      <c r="H4819" s="3" t="s">
        <v>6557</v>
      </c>
      <c r="I4819" s="17">
        <v>45693</v>
      </c>
      <c r="J4819" s="18">
        <f>YEAR(Tabla1[[#This Row],[FECHA DE COMPRA]])</f>
        <v>2025</v>
      </c>
      <c r="K4819" s="19">
        <v>80.53</v>
      </c>
      <c r="L4819" s="20">
        <v>0.3</v>
      </c>
      <c r="M4819" s="19">
        <f>Tienda!$K4716-Tienda!$K4716*Tienda!$L4716</f>
        <v>188.89</v>
      </c>
      <c r="N4819" s="3" t="s">
        <v>10038</v>
      </c>
      <c r="O4819" s="3" t="s">
        <v>10042</v>
      </c>
      <c r="P4819" s="17">
        <v>45693</v>
      </c>
      <c r="Q4819" s="4">
        <v>0</v>
      </c>
    </row>
    <row r="4820" spans="1:17" ht="30" x14ac:dyDescent="0.25">
      <c r="A4820" s="2" t="s">
        <v>2652</v>
      </c>
      <c r="B4820" s="3" t="s">
        <v>5015</v>
      </c>
      <c r="C4820" s="3">
        <v>55</v>
      </c>
      <c r="D4820" s="46" t="str">
        <f>IF(Tabla1[[#This Row],[EDAD]]&lt;=35,"Adultos jóvenes 18 - 35 años",IF(C4820&gt;=36,"Adultos mayores 36 años en adelante"))</f>
        <v>Adultos mayores 36 años en adelante</v>
      </c>
      <c r="E4820" s="3" t="s">
        <v>5020</v>
      </c>
      <c r="F4820" s="3" t="s">
        <v>5030</v>
      </c>
      <c r="G4820" s="3" t="s">
        <v>5033</v>
      </c>
      <c r="H4820" s="3" t="s">
        <v>7675</v>
      </c>
      <c r="I4820" s="17">
        <v>45693</v>
      </c>
      <c r="J4820" s="18">
        <f>YEAR(Tabla1[[#This Row],[FECHA DE COMPRA]])</f>
        <v>2025</v>
      </c>
      <c r="K4820" s="19">
        <v>88.95</v>
      </c>
      <c r="L4820" s="20">
        <v>0.2</v>
      </c>
      <c r="M4820" s="19">
        <f>Tienda!$K4717-Tienda!$K4717*Tienda!$L4717</f>
        <v>134.20400000000001</v>
      </c>
      <c r="N4820" s="3" t="s">
        <v>10038</v>
      </c>
      <c r="O4820" s="3" t="s">
        <v>10042</v>
      </c>
      <c r="P4820" s="17">
        <v>45693</v>
      </c>
      <c r="Q4820" s="4">
        <v>0</v>
      </c>
    </row>
    <row r="4821" spans="1:17" ht="30" x14ac:dyDescent="0.25">
      <c r="A4821" s="2" t="s">
        <v>3277</v>
      </c>
      <c r="B4821" s="3" t="s">
        <v>5015</v>
      </c>
      <c r="C4821" s="3">
        <v>49</v>
      </c>
      <c r="D4821" s="46" t="str">
        <f>IF(Tabla1[[#This Row],[EDAD]]&lt;=35,"Adultos jóvenes 18 - 35 años",IF(C4821&gt;=36,"Adultos mayores 36 años en adelante"))</f>
        <v>Adultos mayores 36 años en adelante</v>
      </c>
      <c r="E4821" s="3" t="s">
        <v>5018</v>
      </c>
      <c r="F4821" s="3" t="s">
        <v>5025</v>
      </c>
      <c r="G4821" s="3" t="s">
        <v>5033</v>
      </c>
      <c r="H4821" s="3" t="s">
        <v>8300</v>
      </c>
      <c r="I4821" s="17">
        <v>45693</v>
      </c>
      <c r="J4821" s="18">
        <f>YEAR(Tabla1[[#This Row],[FECHA DE COMPRA]])</f>
        <v>2025</v>
      </c>
      <c r="K4821" s="19">
        <v>91.2</v>
      </c>
      <c r="L4821" s="20">
        <v>0.2</v>
      </c>
      <c r="M4821" s="19">
        <f>Tienda!$K4718-Tienda!$K4718*Tienda!$L4718</f>
        <v>9.423</v>
      </c>
      <c r="N4821" s="3" t="s">
        <v>10038</v>
      </c>
      <c r="O4821" s="3" t="s">
        <v>10042</v>
      </c>
      <c r="P4821" s="17">
        <v>45693</v>
      </c>
      <c r="Q4821" s="4">
        <v>0</v>
      </c>
    </row>
    <row r="4822" spans="1:17" ht="30" x14ac:dyDescent="0.25">
      <c r="A4822" s="2" t="s">
        <v>4041</v>
      </c>
      <c r="B4822" s="3" t="s">
        <v>5016</v>
      </c>
      <c r="C4822" s="3">
        <v>49</v>
      </c>
      <c r="D4822" s="46" t="str">
        <f>IF(Tabla1[[#This Row],[EDAD]]&lt;=35,"Adultos jóvenes 18 - 35 años",IF(C4822&gt;=36,"Adultos mayores 36 años en adelante"))</f>
        <v>Adultos mayores 36 años en adelante</v>
      </c>
      <c r="E4822" s="3" t="s">
        <v>5023</v>
      </c>
      <c r="F4822" s="3" t="s">
        <v>5030</v>
      </c>
      <c r="G4822" s="3" t="s">
        <v>5037</v>
      </c>
      <c r="H4822" s="3" t="s">
        <v>9064</v>
      </c>
      <c r="I4822" s="17">
        <v>45701</v>
      </c>
      <c r="J4822" s="18">
        <f>YEAR(Tabla1[[#This Row],[FECHA DE COMPRA]])</f>
        <v>2025</v>
      </c>
      <c r="K4822" s="19">
        <v>11.25</v>
      </c>
      <c r="L4822" s="20">
        <v>0.1</v>
      </c>
      <c r="M4822" s="19">
        <f>Tienda!$K4719-Tienda!$K4719*Tienda!$L4719</f>
        <v>8.4909999999999997</v>
      </c>
      <c r="N4822" s="3" t="s">
        <v>10038</v>
      </c>
      <c r="O4822" s="3" t="s">
        <v>10042</v>
      </c>
      <c r="P4822" s="17">
        <v>45754</v>
      </c>
      <c r="Q4822" s="4">
        <v>3</v>
      </c>
    </row>
    <row r="4823" spans="1:17" ht="30" x14ac:dyDescent="0.25">
      <c r="A4823" s="2" t="s">
        <v>4652</v>
      </c>
      <c r="B4823" s="3" t="s">
        <v>5015</v>
      </c>
      <c r="C4823" s="3">
        <v>48</v>
      </c>
      <c r="D4823" s="46" t="str">
        <f>IF(Tabla1[[#This Row],[EDAD]]&lt;=35,"Adultos jóvenes 18 - 35 años",IF(C4823&gt;=36,"Adultos mayores 36 años en adelante"))</f>
        <v>Adultos mayores 36 años en adelante</v>
      </c>
      <c r="E4823" s="3" t="s">
        <v>5023</v>
      </c>
      <c r="F4823" s="3" t="s">
        <v>5026</v>
      </c>
      <c r="G4823" s="3" t="s">
        <v>5037</v>
      </c>
      <c r="H4823" s="3" t="s">
        <v>9675</v>
      </c>
      <c r="I4823" s="17">
        <v>45660</v>
      </c>
      <c r="J4823" s="18">
        <f>YEAR(Tabla1[[#This Row],[FECHA DE COMPRA]])</f>
        <v>2025</v>
      </c>
      <c r="K4823" s="19">
        <v>27.81</v>
      </c>
      <c r="L4823" s="20">
        <v>0.3</v>
      </c>
      <c r="M4823" s="19">
        <f>Tienda!$K4724-Tienda!$K4724*Tienda!$L4724</f>
        <v>27.9</v>
      </c>
      <c r="N4823" s="3" t="s">
        <v>10038</v>
      </c>
      <c r="O4823" s="3" t="s">
        <v>10042</v>
      </c>
      <c r="P4823" s="17">
        <v>45750</v>
      </c>
      <c r="Q4823" s="4">
        <v>3</v>
      </c>
    </row>
    <row r="4824" spans="1:17" ht="30" x14ac:dyDescent="0.25">
      <c r="A4824" s="2" t="s">
        <v>3007</v>
      </c>
      <c r="B4824" s="3" t="s">
        <v>5015</v>
      </c>
      <c r="C4824" s="3">
        <v>39</v>
      </c>
      <c r="D4824" s="46" t="str">
        <f>IF(Tabla1[[#This Row],[EDAD]]&lt;=35,"Adultos jóvenes 18 - 35 años",IF(C4824&gt;=36,"Adultos mayores 36 años en adelante"))</f>
        <v>Adultos mayores 36 años en adelante</v>
      </c>
      <c r="E4824" s="3" t="s">
        <v>5020</v>
      </c>
      <c r="F4824" s="3" t="s">
        <v>5024</v>
      </c>
      <c r="G4824" s="3" t="s">
        <v>5032</v>
      </c>
      <c r="H4824" s="3" t="s">
        <v>8030</v>
      </c>
      <c r="I4824" s="17">
        <v>45701</v>
      </c>
      <c r="J4824" s="18">
        <f>YEAR(Tabla1[[#This Row],[FECHA DE COMPRA]])</f>
        <v>2025</v>
      </c>
      <c r="K4824" s="19">
        <v>32.75</v>
      </c>
      <c r="L4824" s="20">
        <v>0.1</v>
      </c>
      <c r="M4824" s="19">
        <f>Tienda!$K4726-Tienda!$K4726*Tienda!$L4726</f>
        <v>32.935000000000002</v>
      </c>
      <c r="N4824" s="3" t="s">
        <v>10038</v>
      </c>
      <c r="O4824" s="3" t="s">
        <v>10042</v>
      </c>
      <c r="P4824" s="17">
        <v>45763</v>
      </c>
      <c r="Q4824" s="4">
        <v>3</v>
      </c>
    </row>
    <row r="4825" spans="1:17" ht="30" x14ac:dyDescent="0.25">
      <c r="A4825" s="2" t="s">
        <v>3283</v>
      </c>
      <c r="B4825" s="3" t="s">
        <v>5016</v>
      </c>
      <c r="C4825" s="3">
        <v>60</v>
      </c>
      <c r="D4825" s="46" t="str">
        <f>IF(Tabla1[[#This Row],[EDAD]]&lt;=35,"Adultos jóvenes 18 - 35 años",IF(C4825&gt;=36,"Adultos mayores 36 años en adelante"))</f>
        <v>Adultos mayores 36 años en adelante</v>
      </c>
      <c r="E4825" s="3" t="s">
        <v>5021</v>
      </c>
      <c r="F4825" s="3" t="s">
        <v>5027</v>
      </c>
      <c r="G4825" s="3" t="s">
        <v>5035</v>
      </c>
      <c r="H4825" s="3" t="s">
        <v>8306</v>
      </c>
      <c r="I4825" s="17">
        <v>45671</v>
      </c>
      <c r="J4825" s="18">
        <f>YEAR(Tabla1[[#This Row],[FECHA DE COMPRA]])</f>
        <v>2025</v>
      </c>
      <c r="K4825" s="19">
        <v>36.57</v>
      </c>
      <c r="L4825" s="20">
        <v>0.2</v>
      </c>
      <c r="M4825" s="19">
        <f>Tienda!$K4727-Tienda!$K4727*Tienda!$L4727</f>
        <v>54.42</v>
      </c>
      <c r="N4825" s="3" t="s">
        <v>10038</v>
      </c>
      <c r="O4825" s="3" t="s">
        <v>10042</v>
      </c>
      <c r="P4825" s="17">
        <v>45851</v>
      </c>
      <c r="Q4825" s="4">
        <v>6</v>
      </c>
    </row>
    <row r="4826" spans="1:17" ht="30" x14ac:dyDescent="0.25">
      <c r="A4826" s="2" t="s">
        <v>3448</v>
      </c>
      <c r="B4826" s="3" t="s">
        <v>5016</v>
      </c>
      <c r="C4826" s="3">
        <v>51</v>
      </c>
      <c r="D4826" s="46" t="str">
        <f>IF(Tabla1[[#This Row],[EDAD]]&lt;=35,"Adultos jóvenes 18 - 35 años",IF(C4826&gt;=36,"Adultos mayores 36 años en adelante"))</f>
        <v>Adultos mayores 36 años en adelante</v>
      </c>
      <c r="E4826" s="3" t="s">
        <v>5019</v>
      </c>
      <c r="F4826" s="3" t="s">
        <v>5025</v>
      </c>
      <c r="G4826" s="3" t="s">
        <v>5035</v>
      </c>
      <c r="H4826" s="3" t="s">
        <v>8471</v>
      </c>
      <c r="I4826" s="17">
        <v>45658</v>
      </c>
      <c r="J4826" s="18">
        <f>YEAR(Tabla1[[#This Row],[FECHA DE COMPRA]])</f>
        <v>2025</v>
      </c>
      <c r="K4826" s="19">
        <v>74.27</v>
      </c>
      <c r="L4826" s="20">
        <v>0</v>
      </c>
      <c r="M4826" s="19">
        <f>Tienda!$K4731-Tienda!$K4731*Tienda!$L4731</f>
        <v>57.75</v>
      </c>
      <c r="N4826" s="3" t="s">
        <v>10038</v>
      </c>
      <c r="O4826" s="3" t="s">
        <v>10042</v>
      </c>
      <c r="P4826" s="17">
        <v>45928</v>
      </c>
      <c r="Q4826" s="4">
        <v>9</v>
      </c>
    </row>
    <row r="4827" spans="1:17" ht="30" x14ac:dyDescent="0.25">
      <c r="A4827" s="2" t="s">
        <v>1426</v>
      </c>
      <c r="B4827" s="3" t="s">
        <v>5016</v>
      </c>
      <c r="C4827" s="3">
        <v>36</v>
      </c>
      <c r="D4827" s="46" t="str">
        <f>IF(Tabla1[[#This Row],[EDAD]]&lt;=35,"Adultos jóvenes 18 - 35 años",IF(C4827&gt;=36,"Adultos mayores 36 años en adelante"))</f>
        <v>Adultos mayores 36 años en adelante</v>
      </c>
      <c r="E4827" s="3" t="s">
        <v>5023</v>
      </c>
      <c r="F4827" s="3" t="s">
        <v>5024</v>
      </c>
      <c r="G4827" s="3" t="s">
        <v>5032</v>
      </c>
      <c r="H4827" s="3" t="s">
        <v>6449</v>
      </c>
      <c r="I4827" s="17">
        <v>45683</v>
      </c>
      <c r="J4827" s="18">
        <f>YEAR(Tabla1[[#This Row],[FECHA DE COMPRA]])</f>
        <v>2025</v>
      </c>
      <c r="K4827" s="19">
        <v>77.709999999999994</v>
      </c>
      <c r="L4827" s="20">
        <v>0.2</v>
      </c>
      <c r="M4827" s="19">
        <f>Tienda!$K4732-Tienda!$K4732*Tienda!$L4732</f>
        <v>66.632000000000005</v>
      </c>
      <c r="N4827" s="3" t="s">
        <v>10038</v>
      </c>
      <c r="O4827" s="3" t="s">
        <v>10042</v>
      </c>
      <c r="P4827" s="17">
        <v>45953</v>
      </c>
      <c r="Q4827" s="4">
        <v>9</v>
      </c>
    </row>
    <row r="4828" spans="1:17" ht="30" x14ac:dyDescent="0.25">
      <c r="A4828" s="2" t="s">
        <v>684</v>
      </c>
      <c r="B4828" s="3" t="s">
        <v>5015</v>
      </c>
      <c r="C4828" s="3">
        <v>47</v>
      </c>
      <c r="D4828" s="46" t="str">
        <f>IF(Tabla1[[#This Row],[EDAD]]&lt;=35,"Adultos jóvenes 18 - 35 años",IF(C4828&gt;=36,"Adultos mayores 36 años en adelante"))</f>
        <v>Adultos mayores 36 años en adelante</v>
      </c>
      <c r="E4828" s="3" t="s">
        <v>5021</v>
      </c>
      <c r="F4828" s="3" t="s">
        <v>5024</v>
      </c>
      <c r="G4828" s="3" t="s">
        <v>5035</v>
      </c>
      <c r="H4828" s="3" t="s">
        <v>5707</v>
      </c>
      <c r="I4828" s="17">
        <v>45667</v>
      </c>
      <c r="J4828" s="18">
        <f>YEAR(Tabla1[[#This Row],[FECHA DE COMPRA]])</f>
        <v>2025</v>
      </c>
      <c r="K4828" s="19">
        <v>98.33</v>
      </c>
      <c r="L4828" s="20">
        <v>0.3</v>
      </c>
      <c r="M4828" s="19">
        <f>Tienda!$K4735-Tienda!$K4735*Tienda!$L4735</f>
        <v>60.717999999999996</v>
      </c>
      <c r="N4828" s="3" t="s">
        <v>10038</v>
      </c>
      <c r="O4828" s="3" t="s">
        <v>10042</v>
      </c>
      <c r="P4828" s="17">
        <v>45847</v>
      </c>
      <c r="Q4828" s="4">
        <v>6</v>
      </c>
    </row>
    <row r="4829" spans="1:17" ht="30" x14ac:dyDescent="0.25">
      <c r="A4829" s="2" t="s">
        <v>4226</v>
      </c>
      <c r="B4829" s="3" t="s">
        <v>5015</v>
      </c>
      <c r="C4829" s="3">
        <v>41</v>
      </c>
      <c r="D4829" s="46" t="str">
        <f>IF(Tabla1[[#This Row],[EDAD]]&lt;=35,"Adultos jóvenes 18 - 35 años",IF(C4829&gt;=36,"Adultos mayores 36 años en adelante"))</f>
        <v>Adultos mayores 36 años en adelante</v>
      </c>
      <c r="E4829" s="3" t="s">
        <v>5022</v>
      </c>
      <c r="F4829" s="3" t="s">
        <v>5030</v>
      </c>
      <c r="G4829" s="3" t="s">
        <v>5031</v>
      </c>
      <c r="H4829" s="3" t="s">
        <v>9249</v>
      </c>
      <c r="I4829" s="17">
        <v>45660</v>
      </c>
      <c r="J4829" s="18">
        <f>YEAR(Tabla1[[#This Row],[FECHA DE COMPRA]])</f>
        <v>2025</v>
      </c>
      <c r="K4829" s="19">
        <v>98.74</v>
      </c>
      <c r="L4829" s="20">
        <v>0.2</v>
      </c>
      <c r="M4829" s="19">
        <f>Tienda!$K4736-Tienda!$K4736*Tienda!$L4736</f>
        <v>87.93</v>
      </c>
      <c r="N4829" s="3" t="s">
        <v>10038</v>
      </c>
      <c r="O4829" s="3" t="s">
        <v>10042</v>
      </c>
      <c r="P4829" s="17">
        <v>45930</v>
      </c>
      <c r="Q4829" s="4">
        <v>9</v>
      </c>
    </row>
    <row r="4830" spans="1:17" ht="30" x14ac:dyDescent="0.25">
      <c r="A4830" s="2" t="s">
        <v>219</v>
      </c>
      <c r="B4830" s="3" t="s">
        <v>5015</v>
      </c>
      <c r="C4830" s="3">
        <v>39</v>
      </c>
      <c r="D4830" s="46" t="str">
        <f>IF(Tabla1[[#This Row],[EDAD]]&lt;=35,"Adultos jóvenes 18 - 35 años",IF(C4830&gt;=36,"Adultos mayores 36 años en adelante"))</f>
        <v>Adultos mayores 36 años en adelante</v>
      </c>
      <c r="E4830" s="3" t="s">
        <v>5022</v>
      </c>
      <c r="F4830" s="3" t="s">
        <v>5026</v>
      </c>
      <c r="G4830" s="3" t="s">
        <v>5037</v>
      </c>
      <c r="H4830" s="3" t="s">
        <v>5242</v>
      </c>
      <c r="I4830" s="17">
        <v>45672</v>
      </c>
      <c r="J4830" s="18">
        <f>YEAR(Tabla1[[#This Row],[FECHA DE COMPRA]])</f>
        <v>2025</v>
      </c>
      <c r="K4830" s="19">
        <v>99.64</v>
      </c>
      <c r="L4830" s="20">
        <v>0.1</v>
      </c>
      <c r="M4830" s="19">
        <f>Tienda!$K4737-Tienda!$K4737*Tienda!$L4737</f>
        <v>82.538999999999987</v>
      </c>
      <c r="N4830" s="3" t="s">
        <v>10038</v>
      </c>
      <c r="O4830" s="3" t="s">
        <v>10042</v>
      </c>
      <c r="P4830" s="17">
        <v>45852</v>
      </c>
      <c r="Q4830" s="4">
        <v>6</v>
      </c>
    </row>
    <row r="4831" spans="1:17" ht="30" x14ac:dyDescent="0.25">
      <c r="A4831" s="2" t="s">
        <v>1402</v>
      </c>
      <c r="B4831" s="3" t="s">
        <v>5016</v>
      </c>
      <c r="C4831" s="3">
        <v>54</v>
      </c>
      <c r="D4831" s="46" t="str">
        <f>IF(Tabla1[[#This Row],[EDAD]]&lt;=35,"Adultos jóvenes 18 - 35 años",IF(C4831&gt;=36,"Adultos mayores 36 años en adelante"))</f>
        <v>Adultos mayores 36 años en adelante</v>
      </c>
      <c r="E4831" s="3" t="s">
        <v>5021</v>
      </c>
      <c r="F4831" s="3" t="s">
        <v>5030</v>
      </c>
      <c r="G4831" s="3" t="s">
        <v>5033</v>
      </c>
      <c r="H4831" s="3" t="s">
        <v>6425</v>
      </c>
      <c r="I4831" s="17">
        <v>45658</v>
      </c>
      <c r="J4831" s="18">
        <f>YEAR(Tabla1[[#This Row],[FECHA DE COMPRA]])</f>
        <v>2025</v>
      </c>
      <c r="K4831" s="19">
        <v>124.46</v>
      </c>
      <c r="L4831" s="20">
        <v>0.2</v>
      </c>
      <c r="M4831" s="19">
        <f>Tienda!$K4740-Tienda!$K4740*Tienda!$L4740</f>
        <v>95.859000000000009</v>
      </c>
      <c r="N4831" s="3" t="s">
        <v>10038</v>
      </c>
      <c r="O4831" s="3" t="s">
        <v>10042</v>
      </c>
      <c r="P4831" s="17">
        <v>45748</v>
      </c>
      <c r="Q4831" s="4">
        <v>3</v>
      </c>
    </row>
    <row r="4832" spans="1:17" ht="30" x14ac:dyDescent="0.25">
      <c r="A4832" s="2" t="s">
        <v>1556</v>
      </c>
      <c r="B4832" s="3" t="s">
        <v>5015</v>
      </c>
      <c r="C4832" s="3">
        <v>40</v>
      </c>
      <c r="D4832" s="46" t="str">
        <f>IF(Tabla1[[#This Row],[EDAD]]&lt;=35,"Adultos jóvenes 18 - 35 años",IF(C4832&gt;=36,"Adultos mayores 36 años en adelante"))</f>
        <v>Adultos mayores 36 años en adelante</v>
      </c>
      <c r="E4832" s="3" t="s">
        <v>5020</v>
      </c>
      <c r="F4832" s="3" t="s">
        <v>5030</v>
      </c>
      <c r="G4832" s="3" t="s">
        <v>5033</v>
      </c>
      <c r="H4832" s="3" t="s">
        <v>6579</v>
      </c>
      <c r="I4832" s="17">
        <v>45679</v>
      </c>
      <c r="J4832" s="18">
        <f>YEAR(Tabla1[[#This Row],[FECHA DE COMPRA]])</f>
        <v>2025</v>
      </c>
      <c r="K4832" s="19">
        <v>130.78</v>
      </c>
      <c r="L4832" s="20">
        <v>0.2</v>
      </c>
      <c r="M4832" s="19">
        <f>Tienda!$K4743-Tienda!$K4743*Tienda!$L4743</f>
        <v>101.29600000000001</v>
      </c>
      <c r="N4832" s="3" t="s">
        <v>10038</v>
      </c>
      <c r="O4832" s="3" t="s">
        <v>10042</v>
      </c>
      <c r="P4832" s="17">
        <v>46039</v>
      </c>
      <c r="Q4832" s="4">
        <v>12</v>
      </c>
    </row>
    <row r="4833" spans="1:17" ht="30" x14ac:dyDescent="0.25">
      <c r="A4833" s="2" t="s">
        <v>4305</v>
      </c>
      <c r="B4833" s="3" t="s">
        <v>5016</v>
      </c>
      <c r="C4833" s="3">
        <v>39</v>
      </c>
      <c r="D4833" s="46" t="str">
        <f>IF(Tabla1[[#This Row],[EDAD]]&lt;=35,"Adultos jóvenes 18 - 35 años",IF(C4833&gt;=36,"Adultos mayores 36 años en adelante"))</f>
        <v>Adultos mayores 36 años en adelante</v>
      </c>
      <c r="E4833" s="3" t="s">
        <v>5017</v>
      </c>
      <c r="F4833" s="3" t="s">
        <v>5024</v>
      </c>
      <c r="G4833" s="3" t="s">
        <v>5033</v>
      </c>
      <c r="H4833" s="3" t="s">
        <v>9328</v>
      </c>
      <c r="I4833" s="17">
        <v>45685</v>
      </c>
      <c r="J4833" s="18">
        <f>YEAR(Tabla1[[#This Row],[FECHA DE COMPRA]])</f>
        <v>2025</v>
      </c>
      <c r="K4833" s="19">
        <v>134.74</v>
      </c>
      <c r="L4833" s="20">
        <v>0.2</v>
      </c>
      <c r="M4833" s="19">
        <f>Tienda!$K4745-Tienda!$K4745*Tienda!$L4745</f>
        <v>111.816</v>
      </c>
      <c r="N4833" s="3" t="s">
        <v>10038</v>
      </c>
      <c r="O4833" s="3" t="s">
        <v>10042</v>
      </c>
      <c r="P4833" s="17">
        <v>45775</v>
      </c>
      <c r="Q4833" s="4">
        <v>3</v>
      </c>
    </row>
    <row r="4834" spans="1:17" ht="30" x14ac:dyDescent="0.25">
      <c r="A4834" s="2" t="s">
        <v>2691</v>
      </c>
      <c r="B4834" s="3" t="s">
        <v>5015</v>
      </c>
      <c r="C4834" s="3">
        <v>53</v>
      </c>
      <c r="D4834" s="46" t="str">
        <f>IF(Tabla1[[#This Row],[EDAD]]&lt;=35,"Adultos jóvenes 18 - 35 años",IF(C4834&gt;=36,"Adultos mayores 36 años en adelante"))</f>
        <v>Adultos mayores 36 años en adelante</v>
      </c>
      <c r="E4834" s="3" t="s">
        <v>5020</v>
      </c>
      <c r="F4834" s="3" t="s">
        <v>5024</v>
      </c>
      <c r="G4834" s="3" t="s">
        <v>5031</v>
      </c>
      <c r="H4834" s="3" t="s">
        <v>7714</v>
      </c>
      <c r="I4834" s="17">
        <v>45665</v>
      </c>
      <c r="J4834" s="18">
        <f>YEAR(Tabla1[[#This Row],[FECHA DE COMPRA]])</f>
        <v>2025</v>
      </c>
      <c r="K4834" s="19">
        <v>163.5</v>
      </c>
      <c r="L4834" s="20">
        <v>0</v>
      </c>
      <c r="M4834" s="19">
        <f>Tienda!$K4748-Tienda!$K4748*Tienda!$L4748</f>
        <v>144.25200000000001</v>
      </c>
      <c r="N4834" s="3" t="s">
        <v>10038</v>
      </c>
      <c r="O4834" s="3" t="s">
        <v>10042</v>
      </c>
      <c r="P4834" s="17">
        <v>46025</v>
      </c>
      <c r="Q4834" s="4">
        <v>12</v>
      </c>
    </row>
    <row r="4835" spans="1:17" ht="30" x14ac:dyDescent="0.25">
      <c r="A4835" s="2" t="s">
        <v>4158</v>
      </c>
      <c r="B4835" s="3" t="s">
        <v>5015</v>
      </c>
      <c r="C4835" s="3">
        <v>49</v>
      </c>
      <c r="D4835" s="46" t="str">
        <f>IF(Tabla1[[#This Row],[EDAD]]&lt;=35,"Adultos jóvenes 18 - 35 años",IF(C4835&gt;=36,"Adultos mayores 36 años en adelante"))</f>
        <v>Adultos mayores 36 años en adelante</v>
      </c>
      <c r="E4835" s="3" t="s">
        <v>5021</v>
      </c>
      <c r="F4835" s="3" t="s">
        <v>5026</v>
      </c>
      <c r="G4835" s="3" t="s">
        <v>5031</v>
      </c>
      <c r="H4835" s="3" t="s">
        <v>9181</v>
      </c>
      <c r="I4835" s="17">
        <v>45676</v>
      </c>
      <c r="J4835" s="18">
        <f>YEAR(Tabla1[[#This Row],[FECHA DE COMPRA]])</f>
        <v>2025</v>
      </c>
      <c r="K4835" s="19">
        <v>178.18</v>
      </c>
      <c r="L4835" s="20">
        <v>0.2</v>
      </c>
      <c r="M4835" s="19">
        <f>Tienda!$K4751-Tienda!$K4751*Tienda!$L4751</f>
        <v>174.285</v>
      </c>
      <c r="N4835" s="3" t="s">
        <v>10038</v>
      </c>
      <c r="O4835" s="3" t="s">
        <v>10042</v>
      </c>
      <c r="P4835" s="17">
        <v>45766</v>
      </c>
      <c r="Q4835" s="4">
        <v>3</v>
      </c>
    </row>
    <row r="4836" spans="1:17" ht="30" x14ac:dyDescent="0.25">
      <c r="A4836" s="2" t="s">
        <v>4438</v>
      </c>
      <c r="B4836" s="3" t="s">
        <v>5015</v>
      </c>
      <c r="C4836" s="3">
        <v>58</v>
      </c>
      <c r="D4836" s="46" t="str">
        <f>IF(Tabla1[[#This Row],[EDAD]]&lt;=35,"Adultos jóvenes 18 - 35 años",IF(C4836&gt;=36,"Adultos mayores 36 años en adelante"))</f>
        <v>Adultos mayores 36 años en adelante</v>
      </c>
      <c r="E4836" s="3" t="s">
        <v>5022</v>
      </c>
      <c r="F4836" s="3" t="s">
        <v>5024</v>
      </c>
      <c r="G4836" s="3" t="s">
        <v>5034</v>
      </c>
      <c r="H4836" s="3" t="s">
        <v>9461</v>
      </c>
      <c r="I4836" s="17">
        <v>45662</v>
      </c>
      <c r="J4836" s="18">
        <f>YEAR(Tabla1[[#This Row],[FECHA DE COMPRA]])</f>
        <v>2025</v>
      </c>
      <c r="K4836" s="19">
        <v>178.72</v>
      </c>
      <c r="L4836" s="20">
        <v>0</v>
      </c>
      <c r="M4836" s="19">
        <f>Tienda!$K4752-Tienda!$K4752*Tienda!$L4752</f>
        <v>195.31</v>
      </c>
      <c r="N4836" s="3" t="s">
        <v>10038</v>
      </c>
      <c r="O4836" s="3" t="s">
        <v>10042</v>
      </c>
      <c r="P4836" s="17">
        <v>46022</v>
      </c>
      <c r="Q4836" s="4">
        <v>12</v>
      </c>
    </row>
    <row r="4837" spans="1:17" ht="30" x14ac:dyDescent="0.25">
      <c r="A4837" s="2" t="s">
        <v>1362</v>
      </c>
      <c r="B4837" s="3" t="s">
        <v>5015</v>
      </c>
      <c r="C4837" s="3">
        <v>49</v>
      </c>
      <c r="D4837" s="46" t="str">
        <f>IF(Tabla1[[#This Row],[EDAD]]&lt;=35,"Adultos jóvenes 18 - 35 años",IF(C4837&gt;=36,"Adultos mayores 36 años en adelante"))</f>
        <v>Adultos mayores 36 años en adelante</v>
      </c>
      <c r="E4837" s="3" t="s">
        <v>5017</v>
      </c>
      <c r="F4837" s="3" t="s">
        <v>5027</v>
      </c>
      <c r="G4837" s="3" t="s">
        <v>5035</v>
      </c>
      <c r="H4837" s="3" t="s">
        <v>6385</v>
      </c>
      <c r="I4837" s="17">
        <v>45673</v>
      </c>
      <c r="J4837" s="18">
        <f>YEAR(Tabla1[[#This Row],[FECHA DE COMPRA]])</f>
        <v>2025</v>
      </c>
      <c r="K4837" s="19">
        <v>183.02</v>
      </c>
      <c r="L4837" s="20">
        <v>0</v>
      </c>
      <c r="M4837" s="19">
        <f>Tienda!$K4753-Tienda!$K4753*Tienda!$L4753</f>
        <v>28.75</v>
      </c>
      <c r="N4837" s="3" t="s">
        <v>10038</v>
      </c>
      <c r="O4837" s="3" t="s">
        <v>10042</v>
      </c>
      <c r="P4837" s="17">
        <v>46033</v>
      </c>
      <c r="Q4837" s="4">
        <v>12</v>
      </c>
    </row>
    <row r="4838" spans="1:17" ht="30" x14ac:dyDescent="0.25">
      <c r="A4838" s="2" t="s">
        <v>1494</v>
      </c>
      <c r="B4838" s="3" t="s">
        <v>5015</v>
      </c>
      <c r="C4838" s="3">
        <v>46</v>
      </c>
      <c r="D4838" s="46" t="str">
        <f>IF(Tabla1[[#This Row],[EDAD]]&lt;=35,"Adultos jóvenes 18 - 35 años",IF(C4838&gt;=36,"Adultos mayores 36 años en adelante"))</f>
        <v>Adultos mayores 36 años en adelante</v>
      </c>
      <c r="E4838" s="3" t="s">
        <v>5017</v>
      </c>
      <c r="F4838" s="3" t="s">
        <v>5029</v>
      </c>
      <c r="G4838" s="3" t="s">
        <v>5037</v>
      </c>
      <c r="H4838" s="3" t="s">
        <v>6517</v>
      </c>
      <c r="I4838" s="17">
        <v>45701</v>
      </c>
      <c r="J4838" s="18">
        <f>YEAR(Tabla1[[#This Row],[FECHA DE COMPRA]])</f>
        <v>2025</v>
      </c>
      <c r="K4838" s="19">
        <v>185.71</v>
      </c>
      <c r="L4838" s="20">
        <v>0.3</v>
      </c>
      <c r="M4838" s="19">
        <f>Tienda!$K4755-Tienda!$K4755*Tienda!$L4755</f>
        <v>31.571999999999999</v>
      </c>
      <c r="N4838" s="3" t="s">
        <v>10038</v>
      </c>
      <c r="O4838" s="3" t="s">
        <v>10042</v>
      </c>
      <c r="P4838" s="17">
        <v>45753</v>
      </c>
      <c r="Q4838" s="4">
        <v>3</v>
      </c>
    </row>
    <row r="4839" spans="1:17" ht="30" x14ac:dyDescent="0.25">
      <c r="A4839" s="2" t="s">
        <v>271</v>
      </c>
      <c r="B4839" s="3" t="s">
        <v>5015</v>
      </c>
      <c r="C4839" s="3">
        <v>64</v>
      </c>
      <c r="D4839" s="46" t="str">
        <f>IF(Tabla1[[#This Row],[EDAD]]&lt;=35,"Adultos jóvenes 18 - 35 años",IF(C4839&gt;=36,"Adultos mayores 36 años en adelante"))</f>
        <v>Adultos mayores 36 años en adelante</v>
      </c>
      <c r="E4839" s="3" t="s">
        <v>5020</v>
      </c>
      <c r="F4839" s="3" t="s">
        <v>5029</v>
      </c>
      <c r="G4839" s="3" t="s">
        <v>5037</v>
      </c>
      <c r="H4839" s="3" t="s">
        <v>5294</v>
      </c>
      <c r="I4839" s="17">
        <v>45701</v>
      </c>
      <c r="J4839" s="18">
        <f>YEAR(Tabla1[[#This Row],[FECHA DE COMPRA]])</f>
        <v>2025</v>
      </c>
      <c r="K4839" s="19">
        <v>196.63</v>
      </c>
      <c r="L4839" s="20">
        <v>0</v>
      </c>
      <c r="M4839" s="19">
        <f>Tienda!$K4756-Tienda!$K4756*Tienda!$L4756</f>
        <v>41.265000000000001</v>
      </c>
      <c r="N4839" s="3" t="s">
        <v>10038</v>
      </c>
      <c r="O4839" s="3" t="s">
        <v>10042</v>
      </c>
      <c r="P4839" s="17">
        <v>46030</v>
      </c>
      <c r="Q4839" s="4">
        <v>12</v>
      </c>
    </row>
    <row r="4840" spans="1:17" ht="30" x14ac:dyDescent="0.25">
      <c r="A4840" s="2" t="s">
        <v>2289</v>
      </c>
      <c r="B4840" s="3" t="s">
        <v>5015</v>
      </c>
      <c r="C4840" s="3">
        <v>53</v>
      </c>
      <c r="D4840" s="46" t="str">
        <f>IF(Tabla1[[#This Row],[EDAD]]&lt;=35,"Adultos jóvenes 18 - 35 años",IF(C4840&gt;=36,"Adultos mayores 36 años en adelante"))</f>
        <v>Adultos mayores 36 años en adelante</v>
      </c>
      <c r="E4840" s="3" t="s">
        <v>5021</v>
      </c>
      <c r="F4840" s="3" t="s">
        <v>5027</v>
      </c>
      <c r="G4840" s="3" t="s">
        <v>5035</v>
      </c>
      <c r="H4840" s="3" t="s">
        <v>7312</v>
      </c>
      <c r="I4840" s="17">
        <v>45659</v>
      </c>
      <c r="J4840" s="18">
        <f>YEAR(Tabla1[[#This Row],[FECHA DE COMPRA]])</f>
        <v>2025</v>
      </c>
      <c r="K4840" s="19">
        <v>199.59</v>
      </c>
      <c r="L4840" s="20">
        <v>0.1</v>
      </c>
      <c r="M4840" s="19">
        <f>Tienda!$K4757-Tienda!$K4757*Tienda!$L4757</f>
        <v>43.024000000000001</v>
      </c>
      <c r="N4840" s="3" t="s">
        <v>10038</v>
      </c>
      <c r="O4840" s="3" t="s">
        <v>10042</v>
      </c>
      <c r="P4840" s="17">
        <v>46019</v>
      </c>
      <c r="Q4840" s="4">
        <v>12</v>
      </c>
    </row>
    <row r="4841" spans="1:17" ht="30" x14ac:dyDescent="0.25">
      <c r="A4841" s="2" t="s">
        <v>1989</v>
      </c>
      <c r="B4841" s="3" t="s">
        <v>5016</v>
      </c>
      <c r="C4841" s="3">
        <v>44</v>
      </c>
      <c r="D4841" s="46" t="str">
        <f>IF(Tabla1[[#This Row],[EDAD]]&lt;=35,"Adultos jóvenes 18 - 35 años",IF(C4841&gt;=36,"Adultos mayores 36 años en adelante"))</f>
        <v>Adultos mayores 36 años en adelante</v>
      </c>
      <c r="E4841" s="3" t="s">
        <v>5023</v>
      </c>
      <c r="F4841" s="3" t="s">
        <v>5026</v>
      </c>
      <c r="G4841" s="3" t="s">
        <v>5032</v>
      </c>
      <c r="H4841" s="3" t="s">
        <v>7012</v>
      </c>
      <c r="I4841" s="17">
        <v>45689</v>
      </c>
      <c r="J4841" s="18">
        <f>YEAR(Tabla1[[#This Row],[FECHA DE COMPRA]])</f>
        <v>2025</v>
      </c>
      <c r="K4841" s="19">
        <v>67.58</v>
      </c>
      <c r="L4841" s="20">
        <v>0.2</v>
      </c>
      <c r="M4841" s="19">
        <f>Tienda!$K4758-Tienda!$K4758*Tienda!$L4758</f>
        <v>54.92</v>
      </c>
      <c r="N4841" s="3" t="s">
        <v>10038</v>
      </c>
      <c r="O4841" s="3" t="s">
        <v>10042</v>
      </c>
      <c r="P4841" s="17">
        <v>45959</v>
      </c>
      <c r="Q4841" s="4">
        <v>9</v>
      </c>
    </row>
    <row r="4842" spans="1:17" ht="30" x14ac:dyDescent="0.25">
      <c r="A4842" s="2" t="s">
        <v>1346</v>
      </c>
      <c r="B4842" s="3" t="s">
        <v>5015</v>
      </c>
      <c r="C4842" s="3">
        <v>61</v>
      </c>
      <c r="D4842" s="46" t="str">
        <f>IF(Tabla1[[#This Row],[EDAD]]&lt;=35,"Adultos jóvenes 18 - 35 años",IF(C4842&gt;=36,"Adultos mayores 36 años en adelante"))</f>
        <v>Adultos mayores 36 años en adelante</v>
      </c>
      <c r="E4842" s="3" t="s">
        <v>5018</v>
      </c>
      <c r="F4842" s="3" t="s">
        <v>5030</v>
      </c>
      <c r="G4842" s="3" t="s">
        <v>5034</v>
      </c>
      <c r="H4842" s="3" t="s">
        <v>6369</v>
      </c>
      <c r="I4842" s="17">
        <v>45689</v>
      </c>
      <c r="J4842" s="18">
        <f>YEAR(Tabla1[[#This Row],[FECHA DE COMPRA]])</f>
        <v>2025</v>
      </c>
      <c r="K4842" s="19">
        <v>199.3</v>
      </c>
      <c r="L4842" s="20">
        <v>0</v>
      </c>
      <c r="M4842" s="19">
        <f>Tienda!$K4760-Tienda!$K4760*Tienda!$L4760</f>
        <v>86.99199999999999</v>
      </c>
      <c r="N4842" s="3" t="s">
        <v>10038</v>
      </c>
      <c r="O4842" s="3" t="s">
        <v>10042</v>
      </c>
      <c r="P4842" s="17">
        <v>45779</v>
      </c>
      <c r="Q4842" s="4">
        <v>3</v>
      </c>
    </row>
    <row r="4843" spans="1:17" ht="30" x14ac:dyDescent="0.25">
      <c r="A4843" s="2" t="s">
        <v>4601</v>
      </c>
      <c r="B4843" s="3" t="s">
        <v>5015</v>
      </c>
      <c r="C4843" s="3">
        <v>39</v>
      </c>
      <c r="D4843" s="46" t="str">
        <f>IF(Tabla1[[#This Row],[EDAD]]&lt;=35,"Adultos jóvenes 18 - 35 años",IF(C4843&gt;=36,"Adultos mayores 36 años en adelante"))</f>
        <v>Adultos mayores 36 años en adelante</v>
      </c>
      <c r="E4843" s="3" t="s">
        <v>5017</v>
      </c>
      <c r="F4843" s="3" t="s">
        <v>5025</v>
      </c>
      <c r="G4843" s="3" t="s">
        <v>5031</v>
      </c>
      <c r="H4843" s="3" t="s">
        <v>9624</v>
      </c>
      <c r="I4843" s="17">
        <v>45690</v>
      </c>
      <c r="J4843" s="18">
        <f>YEAR(Tabla1[[#This Row],[FECHA DE COMPRA]])</f>
        <v>2025</v>
      </c>
      <c r="K4843" s="19">
        <v>37.74</v>
      </c>
      <c r="L4843" s="20">
        <v>0.1</v>
      </c>
      <c r="M4843" s="19">
        <f>Tienda!$K4761-Tienda!$K4761*Tienda!$L4761</f>
        <v>79.169999999999987</v>
      </c>
      <c r="N4843" s="3" t="s">
        <v>10038</v>
      </c>
      <c r="O4843" s="3" t="s">
        <v>10042</v>
      </c>
      <c r="P4843" s="17">
        <v>45870</v>
      </c>
      <c r="Q4843" s="4">
        <v>6</v>
      </c>
    </row>
    <row r="4844" spans="1:17" ht="30" x14ac:dyDescent="0.25">
      <c r="A4844" s="2" t="s">
        <v>4523</v>
      </c>
      <c r="B4844" s="3" t="s">
        <v>5016</v>
      </c>
      <c r="C4844" s="3">
        <v>46</v>
      </c>
      <c r="D4844" s="46" t="str">
        <f>IF(Tabla1[[#This Row],[EDAD]]&lt;=35,"Adultos jóvenes 18 - 35 años",IF(C4844&gt;=36,"Adultos mayores 36 años en adelante"))</f>
        <v>Adultos mayores 36 años en adelante</v>
      </c>
      <c r="E4844" s="3" t="s">
        <v>5021</v>
      </c>
      <c r="F4844" s="3" t="s">
        <v>5026</v>
      </c>
      <c r="G4844" s="3" t="s">
        <v>5035</v>
      </c>
      <c r="H4844" s="3" t="s">
        <v>9546</v>
      </c>
      <c r="I4844" s="17">
        <v>45690</v>
      </c>
      <c r="J4844" s="18">
        <f>YEAR(Tabla1[[#This Row],[FECHA DE COMPRA]])</f>
        <v>2025</v>
      </c>
      <c r="K4844" s="19">
        <v>64.61</v>
      </c>
      <c r="L4844" s="20">
        <v>0.1</v>
      </c>
      <c r="M4844" s="19">
        <f>Tienda!$K4762-Tienda!$K4762*Tienda!$L4762</f>
        <v>86.744</v>
      </c>
      <c r="N4844" s="3" t="s">
        <v>10038</v>
      </c>
      <c r="O4844" s="3" t="s">
        <v>10042</v>
      </c>
      <c r="P4844" s="17">
        <v>45960</v>
      </c>
      <c r="Q4844" s="4">
        <v>9</v>
      </c>
    </row>
    <row r="4845" spans="1:17" ht="30" x14ac:dyDescent="0.25">
      <c r="A4845" s="2" t="s">
        <v>2026</v>
      </c>
      <c r="B4845" s="3" t="s">
        <v>5015</v>
      </c>
      <c r="C4845" s="3">
        <v>49</v>
      </c>
      <c r="D4845" s="46" t="str">
        <f>IF(Tabla1[[#This Row],[EDAD]]&lt;=35,"Adultos jóvenes 18 - 35 años",IF(C4845&gt;=36,"Adultos mayores 36 años en adelante"))</f>
        <v>Adultos mayores 36 años en adelante</v>
      </c>
      <c r="E4845" s="3" t="s">
        <v>5023</v>
      </c>
      <c r="F4845" s="3" t="s">
        <v>5028</v>
      </c>
      <c r="G4845" s="3" t="s">
        <v>5034</v>
      </c>
      <c r="H4845" s="3" t="s">
        <v>7049</v>
      </c>
      <c r="I4845" s="17">
        <v>45690</v>
      </c>
      <c r="J4845" s="18">
        <f>YEAR(Tabla1[[#This Row],[FECHA DE COMPRA]])</f>
        <v>2025</v>
      </c>
      <c r="K4845" s="19">
        <v>123.59</v>
      </c>
      <c r="L4845" s="20">
        <v>0.1</v>
      </c>
      <c r="M4845" s="19">
        <f>Tienda!$K4763-Tienda!$K4763*Tienda!$L4763</f>
        <v>110</v>
      </c>
      <c r="N4845" s="3" t="s">
        <v>10038</v>
      </c>
      <c r="O4845" s="3" t="s">
        <v>10042</v>
      </c>
      <c r="P4845" s="17">
        <v>45960</v>
      </c>
      <c r="Q4845" s="4">
        <v>9</v>
      </c>
    </row>
    <row r="4846" spans="1:17" ht="30" x14ac:dyDescent="0.25">
      <c r="A4846" s="2" t="s">
        <v>886</v>
      </c>
      <c r="B4846" s="3" t="s">
        <v>5016</v>
      </c>
      <c r="C4846" s="3">
        <v>37</v>
      </c>
      <c r="D4846" s="46" t="str">
        <f>IF(Tabla1[[#This Row],[EDAD]]&lt;=35,"Adultos jóvenes 18 - 35 años",IF(C4846&gt;=36,"Adultos mayores 36 años en adelante"))</f>
        <v>Adultos mayores 36 años en adelante</v>
      </c>
      <c r="E4846" s="3" t="s">
        <v>5021</v>
      </c>
      <c r="F4846" s="3" t="s">
        <v>5027</v>
      </c>
      <c r="G4846" s="3" t="s">
        <v>5031</v>
      </c>
      <c r="H4846" s="3" t="s">
        <v>5909</v>
      </c>
      <c r="I4846" s="17">
        <v>45690</v>
      </c>
      <c r="J4846" s="18">
        <f>YEAR(Tabla1[[#This Row],[FECHA DE COMPRA]])</f>
        <v>2025</v>
      </c>
      <c r="K4846" s="19">
        <v>125.17</v>
      </c>
      <c r="L4846" s="20">
        <v>0.3</v>
      </c>
      <c r="M4846" s="19">
        <f>Tienda!$K4764-Tienda!$K4764*Tienda!$L4764</f>
        <v>113.104</v>
      </c>
      <c r="N4846" s="3" t="s">
        <v>10038</v>
      </c>
      <c r="O4846" s="3" t="s">
        <v>10042</v>
      </c>
      <c r="P4846" s="17">
        <v>45960</v>
      </c>
      <c r="Q4846" s="4">
        <v>9</v>
      </c>
    </row>
    <row r="4847" spans="1:17" ht="30" x14ac:dyDescent="0.25">
      <c r="A4847" s="2" t="s">
        <v>3228</v>
      </c>
      <c r="B4847" s="3" t="s">
        <v>5016</v>
      </c>
      <c r="C4847" s="3">
        <v>44</v>
      </c>
      <c r="D4847" s="46" t="str">
        <f>IF(Tabla1[[#This Row],[EDAD]]&lt;=35,"Adultos jóvenes 18 - 35 años",IF(C4847&gt;=36,"Adultos mayores 36 años en adelante"))</f>
        <v>Adultos mayores 36 años en adelante</v>
      </c>
      <c r="E4847" s="3" t="s">
        <v>5023</v>
      </c>
      <c r="F4847" s="3" t="s">
        <v>5025</v>
      </c>
      <c r="G4847" s="3" t="s">
        <v>5035</v>
      </c>
      <c r="H4847" s="3" t="s">
        <v>8251</v>
      </c>
      <c r="I4847" s="17">
        <v>45691</v>
      </c>
      <c r="J4847" s="18">
        <f>YEAR(Tabla1[[#This Row],[FECHA DE COMPRA]])</f>
        <v>2025</v>
      </c>
      <c r="K4847" s="19">
        <v>133.72</v>
      </c>
      <c r="L4847" s="20">
        <v>0.1</v>
      </c>
      <c r="M4847" s="19">
        <f>Tienda!$K4765-Tienda!$K4765*Tienda!$L4765</f>
        <v>133.29</v>
      </c>
      <c r="N4847" s="3" t="s">
        <v>10038</v>
      </c>
      <c r="O4847" s="3" t="s">
        <v>10042</v>
      </c>
      <c r="P4847" s="17">
        <v>45781</v>
      </c>
      <c r="Q4847" s="4">
        <v>3</v>
      </c>
    </row>
    <row r="4848" spans="1:17" ht="30" x14ac:dyDescent="0.25">
      <c r="A4848" s="2" t="s">
        <v>1477</v>
      </c>
      <c r="B4848" s="3" t="s">
        <v>5016</v>
      </c>
      <c r="C4848" s="3">
        <v>39</v>
      </c>
      <c r="D4848" s="46" t="str">
        <f>IF(Tabla1[[#This Row],[EDAD]]&lt;=35,"Adultos jóvenes 18 - 35 años",IF(C4848&gt;=36,"Adultos mayores 36 años en adelante"))</f>
        <v>Adultos mayores 36 años en adelante</v>
      </c>
      <c r="E4848" s="3" t="s">
        <v>5023</v>
      </c>
      <c r="F4848" s="3" t="s">
        <v>5028</v>
      </c>
      <c r="G4848" s="3" t="s">
        <v>5037</v>
      </c>
      <c r="H4848" s="3" t="s">
        <v>6500</v>
      </c>
      <c r="I4848" s="17">
        <v>45693</v>
      </c>
      <c r="J4848" s="18">
        <f>YEAR(Tabla1[[#This Row],[FECHA DE COMPRA]])</f>
        <v>2025</v>
      </c>
      <c r="K4848" s="19">
        <v>75.08</v>
      </c>
      <c r="L4848" s="20">
        <v>0.3</v>
      </c>
      <c r="M4848" s="19">
        <f>Tienda!$K4766-Tienda!$K4766*Tienda!$L4766</f>
        <v>148.32000000000002</v>
      </c>
      <c r="N4848" s="3" t="s">
        <v>10038</v>
      </c>
      <c r="O4848" s="3" t="s">
        <v>10042</v>
      </c>
      <c r="P4848" s="17">
        <v>45783</v>
      </c>
      <c r="Q4848" s="4">
        <v>3</v>
      </c>
    </row>
    <row r="4849" spans="1:17" ht="30" x14ac:dyDescent="0.25">
      <c r="A4849" s="2" t="s">
        <v>3301</v>
      </c>
      <c r="B4849" s="3" t="s">
        <v>5015</v>
      </c>
      <c r="C4849" s="3">
        <v>50</v>
      </c>
      <c r="D4849" s="46" t="str">
        <f>IF(Tabla1[[#This Row],[EDAD]]&lt;=35,"Adultos jóvenes 18 - 35 años",IF(C4849&gt;=36,"Adultos mayores 36 años en adelante"))</f>
        <v>Adultos mayores 36 años en adelante</v>
      </c>
      <c r="E4849" s="3" t="s">
        <v>5018</v>
      </c>
      <c r="F4849" s="3" t="s">
        <v>5029</v>
      </c>
      <c r="G4849" s="3" t="s">
        <v>5036</v>
      </c>
      <c r="H4849" s="3" t="s">
        <v>8324</v>
      </c>
      <c r="I4849" s="17">
        <v>45696</v>
      </c>
      <c r="J4849" s="18">
        <f>YEAR(Tabla1[[#This Row],[FECHA DE COMPRA]])</f>
        <v>2025</v>
      </c>
      <c r="K4849" s="19">
        <v>55</v>
      </c>
      <c r="L4849" s="20">
        <v>0.3</v>
      </c>
      <c r="M4849" s="19">
        <f>Tienda!$K4767-Tienda!$K4767*Tienda!$L4767</f>
        <v>133.16800000000001</v>
      </c>
      <c r="N4849" s="3" t="s">
        <v>10038</v>
      </c>
      <c r="O4849" s="3" t="s">
        <v>10042</v>
      </c>
      <c r="P4849" s="17">
        <v>45966</v>
      </c>
      <c r="Q4849" s="4">
        <v>9</v>
      </c>
    </row>
    <row r="4850" spans="1:17" ht="30" x14ac:dyDescent="0.25">
      <c r="A4850" s="2" t="s">
        <v>4510</v>
      </c>
      <c r="B4850" s="3" t="s">
        <v>5016</v>
      </c>
      <c r="C4850" s="3">
        <v>44</v>
      </c>
      <c r="D4850" s="46" t="str">
        <f>IF(Tabla1[[#This Row],[EDAD]]&lt;=35,"Adultos jóvenes 18 - 35 años",IF(C4850&gt;=36,"Adultos mayores 36 años en adelante"))</f>
        <v>Adultos mayores 36 años en adelante</v>
      </c>
      <c r="E4850" s="3" t="s">
        <v>5021</v>
      </c>
      <c r="F4850" s="3" t="s">
        <v>5024</v>
      </c>
      <c r="G4850" s="3" t="s">
        <v>5032</v>
      </c>
      <c r="H4850" s="3" t="s">
        <v>9533</v>
      </c>
      <c r="I4850" s="17">
        <v>45697</v>
      </c>
      <c r="J4850" s="18">
        <f>YEAR(Tabla1[[#This Row],[FECHA DE COMPRA]])</f>
        <v>2025</v>
      </c>
      <c r="K4850" s="19">
        <v>99.42</v>
      </c>
      <c r="L4850" s="20">
        <v>0.1</v>
      </c>
      <c r="M4850" s="19">
        <f>Tienda!$K4769-Tienda!$K4769*Tienda!$L4769</f>
        <v>137.94400000000002</v>
      </c>
      <c r="N4850" s="3" t="s">
        <v>10038</v>
      </c>
      <c r="O4850" s="3" t="s">
        <v>10042</v>
      </c>
      <c r="P4850" s="17">
        <v>45877</v>
      </c>
      <c r="Q4850" s="4">
        <v>6</v>
      </c>
    </row>
    <row r="4851" spans="1:17" ht="30" x14ac:dyDescent="0.25">
      <c r="A4851" s="2" t="s">
        <v>650</v>
      </c>
      <c r="B4851" s="3" t="s">
        <v>5015</v>
      </c>
      <c r="C4851" s="3">
        <v>63</v>
      </c>
      <c r="D4851" s="46" t="str">
        <f>IF(Tabla1[[#This Row],[EDAD]]&lt;=35,"Adultos jóvenes 18 - 35 años",IF(C4851&gt;=36,"Adultos mayores 36 años en adelante"))</f>
        <v>Adultos mayores 36 años en adelante</v>
      </c>
      <c r="E4851" s="3" t="s">
        <v>5023</v>
      </c>
      <c r="F4851" s="3" t="s">
        <v>5030</v>
      </c>
      <c r="G4851" s="3" t="s">
        <v>5032</v>
      </c>
      <c r="H4851" s="3" t="s">
        <v>5673</v>
      </c>
      <c r="I4851" s="17">
        <v>45697</v>
      </c>
      <c r="J4851" s="18">
        <f>YEAR(Tabla1[[#This Row],[FECHA DE COMPRA]])</f>
        <v>2025</v>
      </c>
      <c r="K4851" s="19">
        <v>148.47999999999999</v>
      </c>
      <c r="L4851" s="20">
        <v>0.1</v>
      </c>
      <c r="M4851" s="19">
        <f>Tienda!$K4770-Tienda!$K4770*Tienda!$L4770</f>
        <v>172.52</v>
      </c>
      <c r="N4851" s="3" t="s">
        <v>10038</v>
      </c>
      <c r="O4851" s="3" t="s">
        <v>10042</v>
      </c>
      <c r="P4851" s="17">
        <v>45877</v>
      </c>
      <c r="Q4851" s="4">
        <v>6</v>
      </c>
    </row>
    <row r="4852" spans="1:17" ht="30" x14ac:dyDescent="0.25">
      <c r="A4852" s="2" t="s">
        <v>2753</v>
      </c>
      <c r="B4852" s="3" t="s">
        <v>5015</v>
      </c>
      <c r="C4852" s="3">
        <v>55</v>
      </c>
      <c r="D4852" s="46" t="str">
        <f>IF(Tabla1[[#This Row],[EDAD]]&lt;=35,"Adultos jóvenes 18 - 35 años",IF(C4852&gt;=36,"Adultos mayores 36 años en adelante"))</f>
        <v>Adultos mayores 36 años en adelante</v>
      </c>
      <c r="E4852" s="3" t="s">
        <v>5021</v>
      </c>
      <c r="F4852" s="3" t="s">
        <v>5026</v>
      </c>
      <c r="G4852" s="3" t="s">
        <v>5037</v>
      </c>
      <c r="H4852" s="3" t="s">
        <v>7776</v>
      </c>
      <c r="I4852" s="17">
        <v>45698</v>
      </c>
      <c r="J4852" s="18">
        <f>YEAR(Tabla1[[#This Row],[FECHA DE COMPRA]])</f>
        <v>2025</v>
      </c>
      <c r="K4852" s="19">
        <v>67.150000000000006</v>
      </c>
      <c r="L4852" s="20">
        <v>0.1</v>
      </c>
      <c r="M4852" s="19">
        <f>Tienda!$K4771-Tienda!$K4771*Tienda!$L4771</f>
        <v>120.953</v>
      </c>
      <c r="N4852" s="3" t="s">
        <v>10038</v>
      </c>
      <c r="O4852" s="3" t="s">
        <v>10042</v>
      </c>
      <c r="P4852" s="17">
        <v>45968</v>
      </c>
      <c r="Q4852" s="4">
        <v>9</v>
      </c>
    </row>
    <row r="4853" spans="1:17" ht="30" x14ac:dyDescent="0.25">
      <c r="A4853" s="2" t="s">
        <v>2328</v>
      </c>
      <c r="B4853" s="3" t="s">
        <v>5016</v>
      </c>
      <c r="C4853" s="3">
        <v>55</v>
      </c>
      <c r="D4853" s="46" t="str">
        <f>IF(Tabla1[[#This Row],[EDAD]]&lt;=35,"Adultos jóvenes 18 - 35 años",IF(C4853&gt;=36,"Adultos mayores 36 años en adelante"))</f>
        <v>Adultos mayores 36 años en adelante</v>
      </c>
      <c r="E4853" s="3" t="s">
        <v>5019</v>
      </c>
      <c r="F4853" s="3" t="s">
        <v>5028</v>
      </c>
      <c r="G4853" s="3" t="s">
        <v>5036</v>
      </c>
      <c r="H4853" s="3" t="s">
        <v>7351</v>
      </c>
      <c r="I4853" s="17">
        <v>45698</v>
      </c>
      <c r="J4853" s="18">
        <f>YEAR(Tabla1[[#This Row],[FECHA DE COMPRA]])</f>
        <v>2025</v>
      </c>
      <c r="K4853" s="19">
        <v>99.15</v>
      </c>
      <c r="L4853" s="20">
        <v>0.3</v>
      </c>
      <c r="M4853" s="19">
        <f>Tienda!$K4772-Tienda!$K4772*Tienda!$L4772</f>
        <v>139.91199999999998</v>
      </c>
      <c r="N4853" s="3" t="s">
        <v>10038</v>
      </c>
      <c r="O4853" s="3" t="s">
        <v>10042</v>
      </c>
      <c r="P4853" s="17">
        <v>46058</v>
      </c>
      <c r="Q4853" s="4">
        <v>12</v>
      </c>
    </row>
    <row r="4854" spans="1:17" ht="30" x14ac:dyDescent="0.25">
      <c r="A4854" s="2" t="s">
        <v>4688</v>
      </c>
      <c r="B4854" s="3" t="s">
        <v>5015</v>
      </c>
      <c r="C4854" s="3">
        <v>38</v>
      </c>
      <c r="D4854" s="46" t="str">
        <f>IF(Tabla1[[#This Row],[EDAD]]&lt;=35,"Adultos jóvenes 18 - 35 años",IF(C4854&gt;=36,"Adultos mayores 36 años en adelante"))</f>
        <v>Adultos mayores 36 años en adelante</v>
      </c>
      <c r="E4854" s="3" t="s">
        <v>5020</v>
      </c>
      <c r="F4854" s="3" t="s">
        <v>5026</v>
      </c>
      <c r="G4854" s="3" t="s">
        <v>5037</v>
      </c>
      <c r="H4854" s="3" t="s">
        <v>9711</v>
      </c>
      <c r="I4854" s="17">
        <v>45699</v>
      </c>
      <c r="J4854" s="18">
        <f>YEAR(Tabla1[[#This Row],[FECHA DE COMPRA]])</f>
        <v>2025</v>
      </c>
      <c r="K4854" s="19">
        <v>105.72</v>
      </c>
      <c r="L4854" s="20">
        <v>0.1</v>
      </c>
      <c r="M4854" s="19">
        <f>Tienda!$K4773-Tienda!$K4773*Tienda!$L4773</f>
        <v>122.99700000000001</v>
      </c>
      <c r="N4854" s="3" t="s">
        <v>10038</v>
      </c>
      <c r="O4854" s="3" t="s">
        <v>10042</v>
      </c>
      <c r="P4854" s="17">
        <v>45789</v>
      </c>
      <c r="Q4854" s="4">
        <v>3</v>
      </c>
    </row>
    <row r="4855" spans="1:17" ht="30" x14ac:dyDescent="0.25">
      <c r="A4855" s="2" t="s">
        <v>1008</v>
      </c>
      <c r="B4855" s="3" t="s">
        <v>5015</v>
      </c>
      <c r="C4855" s="3">
        <v>37</v>
      </c>
      <c r="D4855" s="46" t="str">
        <f>IF(Tabla1[[#This Row],[EDAD]]&lt;=35,"Adultos jóvenes 18 - 35 años",IF(C4855&gt;=36,"Adultos mayores 36 años en adelante"))</f>
        <v>Adultos mayores 36 años en adelante</v>
      </c>
      <c r="E4855" s="3" t="s">
        <v>5019</v>
      </c>
      <c r="F4855" s="3" t="s">
        <v>5027</v>
      </c>
      <c r="G4855" s="3" t="s">
        <v>5036</v>
      </c>
      <c r="H4855" s="3" t="s">
        <v>6031</v>
      </c>
      <c r="I4855" s="17">
        <v>45700</v>
      </c>
      <c r="J4855" s="18">
        <f>YEAR(Tabla1[[#This Row],[FECHA DE COMPRA]])</f>
        <v>2025</v>
      </c>
      <c r="K4855" s="19">
        <v>57.65</v>
      </c>
      <c r="L4855" s="20">
        <v>0</v>
      </c>
      <c r="M4855" s="19">
        <f>Tienda!$K4774-Tienda!$K4774*Tienda!$L4774</f>
        <v>123.977</v>
      </c>
      <c r="N4855" s="3" t="s">
        <v>10038</v>
      </c>
      <c r="O4855" s="3" t="s">
        <v>10042</v>
      </c>
      <c r="P4855" s="17">
        <v>45970</v>
      </c>
      <c r="Q4855" s="4">
        <v>9</v>
      </c>
    </row>
    <row r="4856" spans="1:17" ht="30" x14ac:dyDescent="0.25">
      <c r="A4856" s="2" t="s">
        <v>456</v>
      </c>
      <c r="B4856" s="3" t="s">
        <v>5015</v>
      </c>
      <c r="C4856" s="3">
        <v>54</v>
      </c>
      <c r="D4856" s="46" t="str">
        <f>IF(Tabla1[[#This Row],[EDAD]]&lt;=35,"Adultos jóvenes 18 - 35 años",IF(C4856&gt;=36,"Adultos mayores 36 años en adelante"))</f>
        <v>Adultos mayores 36 años en adelante</v>
      </c>
      <c r="E4856" s="3" t="s">
        <v>5023</v>
      </c>
      <c r="F4856" s="3" t="s">
        <v>5024</v>
      </c>
      <c r="G4856" s="3" t="s">
        <v>5036</v>
      </c>
      <c r="H4856" s="3" t="s">
        <v>5479</v>
      </c>
      <c r="I4856" s="17">
        <v>45702</v>
      </c>
      <c r="J4856" s="18">
        <f>YEAR(Tabla1[[#This Row],[FECHA DE COMPRA]])</f>
        <v>2025</v>
      </c>
      <c r="K4856" s="19">
        <v>193.35</v>
      </c>
      <c r="L4856" s="20">
        <v>0</v>
      </c>
      <c r="M4856" s="19">
        <f>Tienda!$K4780-Tienda!$K4780*Tienda!$L4780</f>
        <v>29</v>
      </c>
      <c r="N4856" s="3" t="s">
        <v>10038</v>
      </c>
      <c r="O4856" s="3" t="s">
        <v>10042</v>
      </c>
      <c r="P4856" s="17">
        <v>45792</v>
      </c>
      <c r="Q4856" s="4">
        <v>3</v>
      </c>
    </row>
    <row r="4857" spans="1:17" ht="30" x14ac:dyDescent="0.25">
      <c r="A4857" s="2" t="s">
        <v>4832</v>
      </c>
      <c r="B4857" s="3" t="s">
        <v>5015</v>
      </c>
      <c r="C4857" s="3">
        <v>45</v>
      </c>
      <c r="D4857" s="46" t="str">
        <f>IF(Tabla1[[#This Row],[EDAD]]&lt;=35,"Adultos jóvenes 18 - 35 años",IF(C4857&gt;=36,"Adultos mayores 36 años en adelante"))</f>
        <v>Adultos mayores 36 años en adelante</v>
      </c>
      <c r="E4857" s="3" t="s">
        <v>5022</v>
      </c>
      <c r="F4857" s="3" t="s">
        <v>5025</v>
      </c>
      <c r="G4857" s="3" t="s">
        <v>5037</v>
      </c>
      <c r="H4857" s="3" t="s">
        <v>9855</v>
      </c>
      <c r="I4857" s="17">
        <v>45703</v>
      </c>
      <c r="J4857" s="18">
        <f>YEAR(Tabla1[[#This Row],[FECHA DE COMPRA]])</f>
        <v>2025</v>
      </c>
      <c r="K4857" s="19">
        <v>38.049999999999997</v>
      </c>
      <c r="L4857" s="20">
        <v>0.2</v>
      </c>
      <c r="M4857" s="19">
        <f>Tienda!$K4781-Tienda!$K4781*Tienda!$L4781</f>
        <v>88.299000000000007</v>
      </c>
      <c r="N4857" s="3" t="s">
        <v>10038</v>
      </c>
      <c r="O4857" s="3" t="s">
        <v>10042</v>
      </c>
      <c r="P4857" s="17">
        <v>45793</v>
      </c>
      <c r="Q4857" s="4">
        <v>3</v>
      </c>
    </row>
    <row r="4858" spans="1:17" ht="30" x14ac:dyDescent="0.25">
      <c r="A4858" s="2" t="s">
        <v>1573</v>
      </c>
      <c r="B4858" s="3" t="s">
        <v>5016</v>
      </c>
      <c r="C4858" s="3">
        <v>55</v>
      </c>
      <c r="D4858" s="46" t="str">
        <f>IF(Tabla1[[#This Row],[EDAD]]&lt;=35,"Adultos jóvenes 18 - 35 años",IF(C4858&gt;=36,"Adultos mayores 36 años en adelante"))</f>
        <v>Adultos mayores 36 años en adelante</v>
      </c>
      <c r="E4858" s="3" t="s">
        <v>5021</v>
      </c>
      <c r="F4858" s="3" t="s">
        <v>5026</v>
      </c>
      <c r="G4858" s="3" t="s">
        <v>5035</v>
      </c>
      <c r="H4858" s="3" t="s">
        <v>6596</v>
      </c>
      <c r="I4858" s="17">
        <v>45703</v>
      </c>
      <c r="J4858" s="18">
        <f>YEAR(Tabla1[[#This Row],[FECHA DE COMPRA]])</f>
        <v>2025</v>
      </c>
      <c r="K4858" s="19">
        <v>165.8</v>
      </c>
      <c r="L4858" s="20">
        <v>0.1</v>
      </c>
      <c r="M4858" s="19">
        <f>Tienda!$K4782-Tienda!$K4782*Tienda!$L4782</f>
        <v>92.015999999999991</v>
      </c>
      <c r="N4858" s="3" t="s">
        <v>10038</v>
      </c>
      <c r="O4858" s="3" t="s">
        <v>10042</v>
      </c>
      <c r="P4858" s="17">
        <v>45883</v>
      </c>
      <c r="Q4858" s="4">
        <v>6</v>
      </c>
    </row>
    <row r="4859" spans="1:17" ht="30" x14ac:dyDescent="0.25">
      <c r="A4859" s="2" t="s">
        <v>4911</v>
      </c>
      <c r="B4859" s="3" t="s">
        <v>5016</v>
      </c>
      <c r="C4859" s="3">
        <v>47</v>
      </c>
      <c r="D4859" s="46" t="str">
        <f>IF(Tabla1[[#This Row],[EDAD]]&lt;=35,"Adultos jóvenes 18 - 35 años",IF(C4859&gt;=36,"Adultos mayores 36 años en adelante"))</f>
        <v>Adultos mayores 36 años en adelante</v>
      </c>
      <c r="E4859" s="3" t="s">
        <v>5017</v>
      </c>
      <c r="F4859" s="3" t="s">
        <v>5029</v>
      </c>
      <c r="G4859" s="3" t="s">
        <v>5031</v>
      </c>
      <c r="H4859" s="3" t="s">
        <v>9934</v>
      </c>
      <c r="I4859" s="17">
        <v>45705</v>
      </c>
      <c r="J4859" s="18">
        <f>YEAR(Tabla1[[#This Row],[FECHA DE COMPRA]])</f>
        <v>2025</v>
      </c>
      <c r="K4859" s="19">
        <v>174.94</v>
      </c>
      <c r="L4859" s="20">
        <v>0.3</v>
      </c>
      <c r="M4859" s="19">
        <f>Tienda!$K4783-Tienda!$K4783*Tienda!$L4783</f>
        <v>105.87</v>
      </c>
      <c r="N4859" s="3" t="s">
        <v>10038</v>
      </c>
      <c r="O4859" s="3" t="s">
        <v>10042</v>
      </c>
      <c r="P4859" s="17">
        <v>45885</v>
      </c>
      <c r="Q4859" s="4">
        <v>6</v>
      </c>
    </row>
    <row r="4860" spans="1:17" ht="30" x14ac:dyDescent="0.25">
      <c r="A4860" s="2" t="s">
        <v>645</v>
      </c>
      <c r="B4860" s="3" t="s">
        <v>5015</v>
      </c>
      <c r="C4860" s="3">
        <v>64</v>
      </c>
      <c r="D4860" s="46" t="str">
        <f>IF(Tabla1[[#This Row],[EDAD]]&lt;=35,"Adultos jóvenes 18 - 35 años",IF(C4860&gt;=36,"Adultos mayores 36 años en adelante"))</f>
        <v>Adultos mayores 36 años en adelante</v>
      </c>
      <c r="E4860" s="3" t="s">
        <v>5020</v>
      </c>
      <c r="F4860" s="3" t="s">
        <v>5024</v>
      </c>
      <c r="G4860" s="3" t="s">
        <v>5034</v>
      </c>
      <c r="H4860" s="3" t="s">
        <v>5668</v>
      </c>
      <c r="I4860" s="17">
        <v>45706</v>
      </c>
      <c r="J4860" s="18">
        <f>YEAR(Tabla1[[#This Row],[FECHA DE COMPRA]])</f>
        <v>2025</v>
      </c>
      <c r="K4860" s="19">
        <v>86.69</v>
      </c>
      <c r="L4860" s="20">
        <v>0</v>
      </c>
      <c r="M4860" s="19">
        <f>Tienda!$K4784-Tienda!$K4784*Tienda!$L4784</f>
        <v>140.31</v>
      </c>
      <c r="N4860" s="3" t="s">
        <v>10038</v>
      </c>
      <c r="O4860" s="3" t="s">
        <v>10042</v>
      </c>
      <c r="P4860" s="17">
        <v>45886</v>
      </c>
      <c r="Q4860" s="4">
        <v>6</v>
      </c>
    </row>
    <row r="4861" spans="1:17" ht="30" x14ac:dyDescent="0.25">
      <c r="A4861" s="2" t="s">
        <v>2055</v>
      </c>
      <c r="B4861" s="3" t="s">
        <v>5016</v>
      </c>
      <c r="C4861" s="3">
        <v>36</v>
      </c>
      <c r="D4861" s="46" t="str">
        <f>IF(Tabla1[[#This Row],[EDAD]]&lt;=35,"Adultos jóvenes 18 - 35 años",IF(C4861&gt;=36,"Adultos mayores 36 años en adelante"))</f>
        <v>Adultos mayores 36 años en adelante</v>
      </c>
      <c r="E4861" s="3" t="s">
        <v>5023</v>
      </c>
      <c r="F4861" s="3" t="s">
        <v>5027</v>
      </c>
      <c r="G4861" s="3" t="s">
        <v>5033</v>
      </c>
      <c r="H4861" s="3" t="s">
        <v>7078</v>
      </c>
      <c r="I4861" s="17">
        <v>45706</v>
      </c>
      <c r="J4861" s="18">
        <f>YEAR(Tabla1[[#This Row],[FECHA DE COMPRA]])</f>
        <v>2025</v>
      </c>
      <c r="K4861" s="19">
        <v>181.47</v>
      </c>
      <c r="L4861" s="20">
        <v>0.1</v>
      </c>
      <c r="M4861" s="19">
        <f>Tienda!$K4786-Tienda!$K4786*Tienda!$L4786</f>
        <v>148.59200000000001</v>
      </c>
      <c r="N4861" s="3" t="s">
        <v>10038</v>
      </c>
      <c r="O4861" s="3" t="s">
        <v>10042</v>
      </c>
      <c r="P4861" s="17">
        <v>45976</v>
      </c>
      <c r="Q4861" s="4">
        <v>9</v>
      </c>
    </row>
    <row r="4862" spans="1:17" ht="30" x14ac:dyDescent="0.25">
      <c r="A4862" s="2" t="s">
        <v>3943</v>
      </c>
      <c r="B4862" s="3" t="s">
        <v>5015</v>
      </c>
      <c r="C4862" s="3">
        <v>57</v>
      </c>
      <c r="D4862" s="46" t="str">
        <f>IF(Tabla1[[#This Row],[EDAD]]&lt;=35,"Adultos jóvenes 18 - 35 años",IF(C4862&gt;=36,"Adultos mayores 36 años en adelante"))</f>
        <v>Adultos mayores 36 años en adelante</v>
      </c>
      <c r="E4862" s="3" t="s">
        <v>5018</v>
      </c>
      <c r="F4862" s="3" t="s">
        <v>5027</v>
      </c>
      <c r="G4862" s="3" t="s">
        <v>5033</v>
      </c>
      <c r="H4862" s="3" t="s">
        <v>8966</v>
      </c>
      <c r="I4862" s="17">
        <v>45707</v>
      </c>
      <c r="J4862" s="18">
        <f>YEAR(Tabla1[[#This Row],[FECHA DE COMPRA]])</f>
        <v>2025</v>
      </c>
      <c r="K4862" s="19">
        <v>110.38</v>
      </c>
      <c r="L4862" s="20">
        <v>0.1</v>
      </c>
      <c r="M4862" s="19">
        <f>Tienda!$K4787-Tienda!$K4787*Tienda!$L4787</f>
        <v>188.27</v>
      </c>
      <c r="N4862" s="3" t="s">
        <v>10038</v>
      </c>
      <c r="O4862" s="3" t="s">
        <v>10042</v>
      </c>
      <c r="P4862" s="17">
        <v>45977</v>
      </c>
      <c r="Q4862" s="4">
        <v>9</v>
      </c>
    </row>
    <row r="4863" spans="1:17" ht="30" x14ac:dyDescent="0.25">
      <c r="A4863" s="2" t="s">
        <v>4923</v>
      </c>
      <c r="B4863" s="3" t="s">
        <v>5015</v>
      </c>
      <c r="C4863" s="3">
        <v>40</v>
      </c>
      <c r="D4863" s="46" t="str">
        <f>IF(Tabla1[[#This Row],[EDAD]]&lt;=35,"Adultos jóvenes 18 - 35 años",IF(C4863&gt;=36,"Adultos mayores 36 años en adelante"))</f>
        <v>Adultos mayores 36 años en adelante</v>
      </c>
      <c r="E4863" s="3" t="s">
        <v>5023</v>
      </c>
      <c r="F4863" s="3" t="s">
        <v>5025</v>
      </c>
      <c r="G4863" s="3" t="s">
        <v>5033</v>
      </c>
      <c r="H4863" s="3" t="s">
        <v>9946</v>
      </c>
      <c r="I4863" s="17">
        <v>45708</v>
      </c>
      <c r="J4863" s="18">
        <f>YEAR(Tabla1[[#This Row],[FECHA DE COMPRA]])</f>
        <v>2025</v>
      </c>
      <c r="K4863" s="19">
        <v>45.3</v>
      </c>
      <c r="L4863" s="20">
        <v>0.2</v>
      </c>
      <c r="M4863" s="19">
        <f>Tienda!$K4788-Tienda!$K4788*Tienda!$L4788</f>
        <v>193.16</v>
      </c>
      <c r="N4863" s="3" t="s">
        <v>10038</v>
      </c>
      <c r="O4863" s="3" t="s">
        <v>10042</v>
      </c>
      <c r="P4863" s="17">
        <v>45978</v>
      </c>
      <c r="Q4863" s="4">
        <v>9</v>
      </c>
    </row>
    <row r="4864" spans="1:17" ht="30" x14ac:dyDescent="0.25">
      <c r="A4864" s="2" t="s">
        <v>2880</v>
      </c>
      <c r="B4864" s="3" t="s">
        <v>5016</v>
      </c>
      <c r="C4864" s="3">
        <v>65</v>
      </c>
      <c r="D4864" s="46" t="str">
        <f>IF(Tabla1[[#This Row],[EDAD]]&lt;=35,"Adultos jóvenes 18 - 35 años",IF(C4864&gt;=36,"Adultos mayores 36 años en adelante"))</f>
        <v>Adultos mayores 36 años en adelante</v>
      </c>
      <c r="E4864" s="3" t="s">
        <v>5017</v>
      </c>
      <c r="F4864" s="3" t="s">
        <v>5026</v>
      </c>
      <c r="G4864" s="3" t="s">
        <v>5031</v>
      </c>
      <c r="H4864" s="3" t="s">
        <v>7903</v>
      </c>
      <c r="I4864" s="17">
        <v>45709</v>
      </c>
      <c r="J4864" s="18">
        <f>YEAR(Tabla1[[#This Row],[FECHA DE COMPRA]])</f>
        <v>2025</v>
      </c>
      <c r="K4864" s="19">
        <v>35.07</v>
      </c>
      <c r="L4864" s="20">
        <v>0.3</v>
      </c>
      <c r="M4864" s="19">
        <f>Tienda!$K4790-Tienda!$K4790*Tienda!$L4790</f>
        <v>27.189</v>
      </c>
      <c r="N4864" s="3" t="s">
        <v>10038</v>
      </c>
      <c r="O4864" s="3" t="s">
        <v>10042</v>
      </c>
      <c r="P4864" s="17">
        <v>46069</v>
      </c>
      <c r="Q4864" s="4">
        <v>12</v>
      </c>
    </row>
    <row r="4865" spans="1:17" ht="30" x14ac:dyDescent="0.25">
      <c r="A4865" s="2" t="s">
        <v>185</v>
      </c>
      <c r="B4865" s="3" t="s">
        <v>5015</v>
      </c>
      <c r="C4865" s="3">
        <v>50</v>
      </c>
      <c r="D4865" s="46" t="str">
        <f>IF(Tabla1[[#This Row],[EDAD]]&lt;=35,"Adultos jóvenes 18 - 35 años",IF(C4865&gt;=36,"Adultos mayores 36 años en adelante"))</f>
        <v>Adultos mayores 36 años en adelante</v>
      </c>
      <c r="E4865" s="3" t="s">
        <v>5018</v>
      </c>
      <c r="F4865" s="3" t="s">
        <v>5026</v>
      </c>
      <c r="G4865" s="3" t="s">
        <v>5036</v>
      </c>
      <c r="H4865" s="3" t="s">
        <v>5208</v>
      </c>
      <c r="I4865" s="17">
        <v>45709</v>
      </c>
      <c r="J4865" s="18">
        <f>YEAR(Tabla1[[#This Row],[FECHA DE COMPRA]])</f>
        <v>2025</v>
      </c>
      <c r="K4865" s="19">
        <v>132.63</v>
      </c>
      <c r="L4865" s="20">
        <v>0.2</v>
      </c>
      <c r="M4865" s="19">
        <f>Tienda!$K4792-Tienda!$K4792*Tienda!$L4792</f>
        <v>37.499000000000002</v>
      </c>
      <c r="N4865" s="3" t="s">
        <v>10038</v>
      </c>
      <c r="O4865" s="3" t="s">
        <v>10042</v>
      </c>
      <c r="P4865" s="17">
        <v>46069</v>
      </c>
      <c r="Q4865" s="4">
        <v>12</v>
      </c>
    </row>
    <row r="4866" spans="1:17" ht="30" x14ac:dyDescent="0.25">
      <c r="A4866" s="2" t="s">
        <v>4431</v>
      </c>
      <c r="B4866" s="3" t="s">
        <v>5016</v>
      </c>
      <c r="C4866" s="3">
        <v>41</v>
      </c>
      <c r="D4866" s="46" t="str">
        <f>IF(Tabla1[[#This Row],[EDAD]]&lt;=35,"Adultos jóvenes 18 - 35 años",IF(C4866&gt;=36,"Adultos mayores 36 años en adelante"))</f>
        <v>Adultos mayores 36 años en adelante</v>
      </c>
      <c r="E4866" s="3" t="s">
        <v>5019</v>
      </c>
      <c r="F4866" s="3" t="s">
        <v>5025</v>
      </c>
      <c r="G4866" s="3" t="s">
        <v>5037</v>
      </c>
      <c r="H4866" s="3" t="s">
        <v>9454</v>
      </c>
      <c r="I4866" s="17">
        <v>45711</v>
      </c>
      <c r="J4866" s="18">
        <f>YEAR(Tabla1[[#This Row],[FECHA DE COMPRA]])</f>
        <v>2025</v>
      </c>
      <c r="K4866" s="19">
        <v>56.16</v>
      </c>
      <c r="L4866" s="20">
        <v>0.3</v>
      </c>
      <c r="M4866" s="19">
        <f>Tienda!$K4793-Tienda!$K4793*Tienda!$L4793</f>
        <v>45.262</v>
      </c>
      <c r="N4866" s="3" t="s">
        <v>10038</v>
      </c>
      <c r="O4866" s="3" t="s">
        <v>10042</v>
      </c>
      <c r="P4866" s="17">
        <v>45981</v>
      </c>
      <c r="Q4866" s="4">
        <v>9</v>
      </c>
    </row>
    <row r="4867" spans="1:17" ht="30" x14ac:dyDescent="0.25">
      <c r="A4867" s="2" t="s">
        <v>173</v>
      </c>
      <c r="B4867" s="3" t="s">
        <v>5015</v>
      </c>
      <c r="C4867" s="3">
        <v>51</v>
      </c>
      <c r="D4867" s="46" t="str">
        <f>IF(Tabla1[[#This Row],[EDAD]]&lt;=35,"Adultos jóvenes 18 - 35 años",IF(C4867&gt;=36,"Adultos mayores 36 años en adelante"))</f>
        <v>Adultos mayores 36 años en adelante</v>
      </c>
      <c r="E4867" s="3" t="s">
        <v>5020</v>
      </c>
      <c r="F4867" s="3" t="s">
        <v>5029</v>
      </c>
      <c r="G4867" s="3" t="s">
        <v>5032</v>
      </c>
      <c r="H4867" s="3" t="s">
        <v>5196</v>
      </c>
      <c r="I4867" s="17">
        <v>45711</v>
      </c>
      <c r="J4867" s="18">
        <f>YEAR(Tabla1[[#This Row],[FECHA DE COMPRA]])</f>
        <v>2025</v>
      </c>
      <c r="K4867" s="19">
        <v>69.34</v>
      </c>
      <c r="L4867" s="20">
        <v>0.2</v>
      </c>
      <c r="M4867" s="19">
        <f>Tienda!$K4794-Tienda!$K4794*Tienda!$L4794</f>
        <v>67.424000000000007</v>
      </c>
      <c r="N4867" s="3" t="s">
        <v>10038</v>
      </c>
      <c r="O4867" s="3" t="s">
        <v>10042</v>
      </c>
      <c r="P4867" s="17">
        <v>45981</v>
      </c>
      <c r="Q4867" s="4">
        <v>9</v>
      </c>
    </row>
    <row r="4868" spans="1:17" ht="30" x14ac:dyDescent="0.25">
      <c r="A4868" s="2" t="s">
        <v>2903</v>
      </c>
      <c r="B4868" s="3" t="s">
        <v>5015</v>
      </c>
      <c r="C4868" s="3">
        <v>36</v>
      </c>
      <c r="D4868" s="46" t="str">
        <f>IF(Tabla1[[#This Row],[EDAD]]&lt;=35,"Adultos jóvenes 18 - 35 años",IF(C4868&gt;=36,"Adultos mayores 36 años en adelante"))</f>
        <v>Adultos mayores 36 años en adelante</v>
      </c>
      <c r="E4868" s="3" t="s">
        <v>5023</v>
      </c>
      <c r="F4868" s="3" t="s">
        <v>5025</v>
      </c>
      <c r="G4868" s="3" t="s">
        <v>5036</v>
      </c>
      <c r="H4868" s="3" t="s">
        <v>7926</v>
      </c>
      <c r="I4868" s="17">
        <v>45712</v>
      </c>
      <c r="J4868" s="18">
        <f>YEAR(Tabla1[[#This Row],[FECHA DE COMPRA]])</f>
        <v>2025</v>
      </c>
      <c r="K4868" s="19">
        <v>76.849999999999994</v>
      </c>
      <c r="L4868" s="20">
        <v>0.1</v>
      </c>
      <c r="M4868" s="19">
        <f>Tienda!$K4795-Tienda!$K4795*Tienda!$L4795</f>
        <v>108.846</v>
      </c>
      <c r="N4868" s="3" t="s">
        <v>10038</v>
      </c>
      <c r="O4868" s="3" t="s">
        <v>10042</v>
      </c>
      <c r="P4868" s="17">
        <v>45892</v>
      </c>
      <c r="Q4868" s="4">
        <v>6</v>
      </c>
    </row>
    <row r="4869" spans="1:17" ht="30" x14ac:dyDescent="0.25">
      <c r="A4869" s="2" t="s">
        <v>4877</v>
      </c>
      <c r="B4869" s="3" t="s">
        <v>5015</v>
      </c>
      <c r="C4869" s="3">
        <v>45</v>
      </c>
      <c r="D4869" s="46" t="str">
        <f>IF(Tabla1[[#This Row],[EDAD]]&lt;=35,"Adultos jóvenes 18 - 35 años",IF(C4869&gt;=36,"Adultos mayores 36 años en adelante"))</f>
        <v>Adultos mayores 36 años en adelante</v>
      </c>
      <c r="E4869" s="3" t="s">
        <v>5018</v>
      </c>
      <c r="F4869" s="3" t="s">
        <v>5025</v>
      </c>
      <c r="G4869" s="3" t="s">
        <v>5035</v>
      </c>
      <c r="H4869" s="3" t="s">
        <v>9900</v>
      </c>
      <c r="I4869" s="17">
        <v>45713</v>
      </c>
      <c r="J4869" s="18">
        <f>YEAR(Tabla1[[#This Row],[FECHA DE COMPRA]])</f>
        <v>2025</v>
      </c>
      <c r="K4869" s="19">
        <v>119.99</v>
      </c>
      <c r="L4869" s="20">
        <v>0</v>
      </c>
      <c r="M4869" s="19">
        <f>Tienda!$K4796-Tienda!$K4796*Tienda!$L4796</f>
        <v>13.46</v>
      </c>
      <c r="N4869" s="3" t="s">
        <v>10038</v>
      </c>
      <c r="O4869" s="3" t="s">
        <v>10042</v>
      </c>
      <c r="P4869" s="17">
        <v>46073</v>
      </c>
      <c r="Q4869" s="4">
        <v>12</v>
      </c>
    </row>
    <row r="4870" spans="1:17" ht="30" x14ac:dyDescent="0.25">
      <c r="A4870" s="2" t="s">
        <v>2067</v>
      </c>
      <c r="B4870" s="3" t="s">
        <v>5016</v>
      </c>
      <c r="C4870" s="3">
        <v>58</v>
      </c>
      <c r="D4870" s="46" t="str">
        <f>IF(Tabla1[[#This Row],[EDAD]]&lt;=35,"Adultos jóvenes 18 - 35 años",IF(C4870&gt;=36,"Adultos mayores 36 años en adelante"))</f>
        <v>Adultos mayores 36 años en adelante</v>
      </c>
      <c r="E4870" s="3" t="s">
        <v>5017</v>
      </c>
      <c r="F4870" s="3" t="s">
        <v>5027</v>
      </c>
      <c r="G4870" s="3" t="s">
        <v>5032</v>
      </c>
      <c r="H4870" s="3" t="s">
        <v>7090</v>
      </c>
      <c r="I4870" s="17">
        <v>45715</v>
      </c>
      <c r="J4870" s="18">
        <f>YEAR(Tabla1[[#This Row],[FECHA DE COMPRA]])</f>
        <v>2025</v>
      </c>
      <c r="K4870" s="19">
        <v>171.24</v>
      </c>
      <c r="L4870" s="20">
        <v>0.3</v>
      </c>
      <c r="M4870" s="19">
        <f>Tienda!$K4797-Tienda!$K4797*Tienda!$L4797</f>
        <v>11.402999999999999</v>
      </c>
      <c r="N4870" s="3" t="s">
        <v>10038</v>
      </c>
      <c r="O4870" s="3" t="s">
        <v>10042</v>
      </c>
      <c r="P4870" s="17">
        <v>45805</v>
      </c>
      <c r="Q4870" s="4">
        <v>3</v>
      </c>
    </row>
    <row r="4871" spans="1:17" ht="30" x14ac:dyDescent="0.25">
      <c r="A4871" s="2" t="s">
        <v>2556</v>
      </c>
      <c r="B4871" s="3" t="s">
        <v>5015</v>
      </c>
      <c r="C4871" s="3">
        <v>51</v>
      </c>
      <c r="D4871" s="46" t="str">
        <f>IF(Tabla1[[#This Row],[EDAD]]&lt;=35,"Adultos jóvenes 18 - 35 años",IF(C4871&gt;=36,"Adultos mayores 36 años en adelante"))</f>
        <v>Adultos mayores 36 años en adelante</v>
      </c>
      <c r="E4871" s="3" t="s">
        <v>5020</v>
      </c>
      <c r="F4871" s="3" t="s">
        <v>5029</v>
      </c>
      <c r="G4871" s="3" t="s">
        <v>5035</v>
      </c>
      <c r="H4871" s="3" t="s">
        <v>7579</v>
      </c>
      <c r="I4871" s="17">
        <v>45716</v>
      </c>
      <c r="J4871" s="18">
        <f>YEAR(Tabla1[[#This Row],[FECHA DE COMPRA]])</f>
        <v>2025</v>
      </c>
      <c r="K4871" s="19">
        <v>25.91</v>
      </c>
      <c r="L4871" s="20">
        <v>0.1</v>
      </c>
      <c r="M4871" s="19">
        <f>Tienda!$K4798-Tienda!$K4798*Tienda!$L4798</f>
        <v>14.559999999999999</v>
      </c>
      <c r="N4871" s="3" t="s">
        <v>10038</v>
      </c>
      <c r="O4871" s="3" t="s">
        <v>10042</v>
      </c>
      <c r="P4871" s="17">
        <v>45896</v>
      </c>
      <c r="Q4871" s="4">
        <v>6</v>
      </c>
    </row>
    <row r="4872" spans="1:17" ht="30" x14ac:dyDescent="0.25">
      <c r="A4872" s="2" t="s">
        <v>4224</v>
      </c>
      <c r="B4872" s="3" t="s">
        <v>5015</v>
      </c>
      <c r="C4872" s="3">
        <v>45</v>
      </c>
      <c r="D4872" s="46" t="str">
        <f>IF(Tabla1[[#This Row],[EDAD]]&lt;=35,"Adultos jóvenes 18 - 35 años",IF(C4872&gt;=36,"Adultos mayores 36 años en adelante"))</f>
        <v>Adultos mayores 36 años en adelante</v>
      </c>
      <c r="E4872" s="3" t="s">
        <v>5018</v>
      </c>
      <c r="F4872" s="3" t="s">
        <v>5029</v>
      </c>
      <c r="G4872" s="3" t="s">
        <v>5036</v>
      </c>
      <c r="H4872" s="3" t="s">
        <v>9247</v>
      </c>
      <c r="I4872" s="17">
        <v>45716</v>
      </c>
      <c r="J4872" s="18">
        <f>YEAR(Tabla1[[#This Row],[FECHA DE COMPRA]])</f>
        <v>2025</v>
      </c>
      <c r="K4872" s="19">
        <v>170.94</v>
      </c>
      <c r="L4872" s="20">
        <v>0.1</v>
      </c>
      <c r="M4872" s="19">
        <f>Tienda!$K4799-Tienda!$K4799*Tienda!$L4799</f>
        <v>14.632</v>
      </c>
      <c r="N4872" s="3" t="s">
        <v>10038</v>
      </c>
      <c r="O4872" s="3" t="s">
        <v>10042</v>
      </c>
      <c r="P4872" s="17">
        <v>46076</v>
      </c>
      <c r="Q4872" s="4">
        <v>12</v>
      </c>
    </row>
    <row r="4873" spans="1:17" ht="30" x14ac:dyDescent="0.25">
      <c r="A4873" s="2" t="s">
        <v>1686</v>
      </c>
      <c r="B4873" s="3" t="s">
        <v>5015</v>
      </c>
      <c r="C4873" s="3">
        <v>44</v>
      </c>
      <c r="D4873" s="46" t="str">
        <f>IF(Tabla1[[#This Row],[EDAD]]&lt;=35,"Adultos jóvenes 18 - 35 años",IF(C4873&gt;=36,"Adultos mayores 36 años en adelante"))</f>
        <v>Adultos mayores 36 años en adelante</v>
      </c>
      <c r="E4873" s="3" t="s">
        <v>5018</v>
      </c>
      <c r="F4873" s="3" t="s">
        <v>5027</v>
      </c>
      <c r="G4873" s="3" t="s">
        <v>5033</v>
      </c>
      <c r="H4873" s="3" t="s">
        <v>6709</v>
      </c>
      <c r="I4873" s="17">
        <v>45732</v>
      </c>
      <c r="J4873" s="18">
        <f>YEAR(Tabla1[[#This Row],[FECHA DE COMPRA]])</f>
        <v>2025</v>
      </c>
      <c r="K4873" s="19">
        <v>19.07</v>
      </c>
      <c r="L4873" s="20">
        <v>0.2</v>
      </c>
      <c r="M4873" s="19">
        <f>Tienda!$K4800-Tienda!$K4800*Tienda!$L4800</f>
        <v>18.047999999999998</v>
      </c>
      <c r="N4873" s="3" t="s">
        <v>10038</v>
      </c>
      <c r="O4873" s="3" t="s">
        <v>10042</v>
      </c>
      <c r="P4873" s="17">
        <v>46002</v>
      </c>
      <c r="Q4873" s="4">
        <v>9</v>
      </c>
    </row>
    <row r="4874" spans="1:17" ht="30" x14ac:dyDescent="0.25">
      <c r="A4874" s="2" t="s">
        <v>1786</v>
      </c>
      <c r="B4874" s="3" t="s">
        <v>5015</v>
      </c>
      <c r="C4874" s="3">
        <v>64</v>
      </c>
      <c r="D4874" s="46" t="str">
        <f>IF(Tabla1[[#This Row],[EDAD]]&lt;=35,"Adultos jóvenes 18 - 35 años",IF(C4874&gt;=36,"Adultos mayores 36 años en adelante"))</f>
        <v>Adultos mayores 36 años en adelante</v>
      </c>
      <c r="E4874" s="3" t="s">
        <v>5018</v>
      </c>
      <c r="F4874" s="3" t="s">
        <v>5027</v>
      </c>
      <c r="G4874" s="3" t="s">
        <v>5037</v>
      </c>
      <c r="H4874" s="3" t="s">
        <v>6809</v>
      </c>
      <c r="I4874" s="17">
        <v>45729</v>
      </c>
      <c r="J4874" s="18">
        <f>YEAR(Tabla1[[#This Row],[FECHA DE COMPRA]])</f>
        <v>2025</v>
      </c>
      <c r="K4874" s="19">
        <v>23.66</v>
      </c>
      <c r="L4874" s="20">
        <v>0.2</v>
      </c>
      <c r="M4874" s="19">
        <f>Tienda!$K4801-Tienda!$K4801*Tienda!$L4801</f>
        <v>17.073</v>
      </c>
      <c r="N4874" s="3" t="s">
        <v>10038</v>
      </c>
      <c r="O4874" s="3" t="s">
        <v>10042</v>
      </c>
      <c r="P4874" s="17">
        <v>45909</v>
      </c>
      <c r="Q4874" s="4">
        <v>6</v>
      </c>
    </row>
    <row r="4875" spans="1:17" ht="30" x14ac:dyDescent="0.25">
      <c r="A4875" s="2" t="s">
        <v>1597</v>
      </c>
      <c r="B4875" s="3" t="s">
        <v>5016</v>
      </c>
      <c r="C4875" s="3">
        <v>51</v>
      </c>
      <c r="D4875" s="46" t="str">
        <f>IF(Tabla1[[#This Row],[EDAD]]&lt;=35,"Adultos jóvenes 18 - 35 años",IF(C4875&gt;=36,"Adultos mayores 36 años en adelante"))</f>
        <v>Adultos mayores 36 años en adelante</v>
      </c>
      <c r="E4875" s="3" t="s">
        <v>5019</v>
      </c>
      <c r="F4875" s="3" t="s">
        <v>5027</v>
      </c>
      <c r="G4875" s="3" t="s">
        <v>5034</v>
      </c>
      <c r="H4875" s="3" t="s">
        <v>6620</v>
      </c>
      <c r="I4875" s="17">
        <v>45730</v>
      </c>
      <c r="J4875" s="18">
        <f>YEAR(Tabla1[[#This Row],[FECHA DE COMPRA]])</f>
        <v>2025</v>
      </c>
      <c r="K4875" s="19">
        <v>33.72</v>
      </c>
      <c r="L4875" s="20">
        <v>0.2</v>
      </c>
      <c r="M4875" s="19">
        <f>Tienda!$K4802-Tienda!$K4802*Tienda!$L4802</f>
        <v>27.818000000000001</v>
      </c>
      <c r="N4875" s="3" t="s">
        <v>10038</v>
      </c>
      <c r="O4875" s="3" t="s">
        <v>10042</v>
      </c>
      <c r="P4875" s="17">
        <v>46000</v>
      </c>
      <c r="Q4875" s="4">
        <v>9</v>
      </c>
    </row>
    <row r="4876" spans="1:17" ht="30" x14ac:dyDescent="0.25">
      <c r="A4876" s="2" t="s">
        <v>2831</v>
      </c>
      <c r="B4876" s="3" t="s">
        <v>5015</v>
      </c>
      <c r="C4876" s="3">
        <v>55</v>
      </c>
      <c r="D4876" s="46" t="str">
        <f>IF(Tabla1[[#This Row],[EDAD]]&lt;=35,"Adultos jóvenes 18 - 35 años",IF(C4876&gt;=36,"Adultos mayores 36 años en adelante"))</f>
        <v>Adultos mayores 36 años en adelante</v>
      </c>
      <c r="E4876" s="3" t="s">
        <v>5019</v>
      </c>
      <c r="F4876" s="3" t="s">
        <v>5027</v>
      </c>
      <c r="G4876" s="3" t="s">
        <v>5033</v>
      </c>
      <c r="H4876" s="3" t="s">
        <v>7854</v>
      </c>
      <c r="I4876" s="17">
        <v>45734</v>
      </c>
      <c r="J4876" s="18">
        <f>YEAR(Tabla1[[#This Row],[FECHA DE COMPRA]])</f>
        <v>2025</v>
      </c>
      <c r="K4876" s="19">
        <v>33.93</v>
      </c>
      <c r="L4876" s="20">
        <v>0.2</v>
      </c>
      <c r="M4876" s="19">
        <f>Tienda!$K4803-Tienda!$K4803*Tienda!$L4803</f>
        <v>41.634</v>
      </c>
      <c r="N4876" s="3" t="s">
        <v>10038</v>
      </c>
      <c r="O4876" s="3" t="s">
        <v>10042</v>
      </c>
      <c r="P4876" s="17">
        <v>45914</v>
      </c>
      <c r="Q4876" s="4">
        <v>6</v>
      </c>
    </row>
    <row r="4877" spans="1:17" ht="30" x14ac:dyDescent="0.25">
      <c r="A4877" s="2" t="s">
        <v>3290</v>
      </c>
      <c r="B4877" s="3" t="s">
        <v>5015</v>
      </c>
      <c r="C4877" s="3">
        <v>49</v>
      </c>
      <c r="D4877" s="46" t="str">
        <f>IF(Tabla1[[#This Row],[EDAD]]&lt;=35,"Adultos jóvenes 18 - 35 años",IF(C4877&gt;=36,"Adultos mayores 36 años en adelante"))</f>
        <v>Adultos mayores 36 años en adelante</v>
      </c>
      <c r="E4877" s="3" t="s">
        <v>5019</v>
      </c>
      <c r="F4877" s="3" t="s">
        <v>5029</v>
      </c>
      <c r="G4877" s="3" t="s">
        <v>5031</v>
      </c>
      <c r="H4877" s="3" t="s">
        <v>8313</v>
      </c>
      <c r="I4877" s="17">
        <v>45744</v>
      </c>
      <c r="J4877" s="18">
        <f>YEAR(Tabla1[[#This Row],[FECHA DE COMPRA]])</f>
        <v>2025</v>
      </c>
      <c r="K4877" s="19">
        <v>35.74</v>
      </c>
      <c r="L4877" s="20">
        <v>0.3</v>
      </c>
      <c r="M4877" s="19">
        <f>Tienda!$K4804-Tienda!$K4804*Tienda!$L4804</f>
        <v>40.495999999999995</v>
      </c>
      <c r="N4877" s="3" t="s">
        <v>10038</v>
      </c>
      <c r="O4877" s="3" t="s">
        <v>10042</v>
      </c>
      <c r="P4877" s="17">
        <v>45834</v>
      </c>
      <c r="Q4877" s="4">
        <v>3</v>
      </c>
    </row>
    <row r="4878" spans="1:17" ht="30" x14ac:dyDescent="0.25">
      <c r="A4878" s="2" t="s">
        <v>4444</v>
      </c>
      <c r="B4878" s="3" t="s">
        <v>5016</v>
      </c>
      <c r="C4878" s="3">
        <v>43</v>
      </c>
      <c r="D4878" s="46" t="str">
        <f>IF(Tabla1[[#This Row],[EDAD]]&lt;=35,"Adultos jóvenes 18 - 35 años",IF(C4878&gt;=36,"Adultos mayores 36 años en adelante"))</f>
        <v>Adultos mayores 36 años en adelante</v>
      </c>
      <c r="E4878" s="3" t="s">
        <v>5021</v>
      </c>
      <c r="F4878" s="3" t="s">
        <v>5027</v>
      </c>
      <c r="G4878" s="3" t="s">
        <v>5032</v>
      </c>
      <c r="H4878" s="3" t="s">
        <v>9467</v>
      </c>
      <c r="I4878" s="17">
        <v>45720</v>
      </c>
      <c r="J4878" s="18">
        <f>YEAR(Tabla1[[#This Row],[FECHA DE COMPRA]])</f>
        <v>2025</v>
      </c>
      <c r="K4878" s="19">
        <v>39.79</v>
      </c>
      <c r="L4878" s="20">
        <v>0.1</v>
      </c>
      <c r="M4878" s="19">
        <f>Tienda!$K4806-Tienda!$K4806*Tienda!$L4806</f>
        <v>51.66</v>
      </c>
      <c r="N4878" s="3" t="s">
        <v>10038</v>
      </c>
      <c r="O4878" s="3" t="s">
        <v>10042</v>
      </c>
      <c r="P4878" s="17">
        <v>45990</v>
      </c>
      <c r="Q4878" s="4">
        <v>9</v>
      </c>
    </row>
    <row r="4879" spans="1:17" ht="30" x14ac:dyDescent="0.25">
      <c r="A4879" s="2" t="s">
        <v>1758</v>
      </c>
      <c r="B4879" s="3" t="s">
        <v>5016</v>
      </c>
      <c r="C4879" s="3">
        <v>47</v>
      </c>
      <c r="D4879" s="46" t="str">
        <f>IF(Tabla1[[#This Row],[EDAD]]&lt;=35,"Adultos jóvenes 18 - 35 años",IF(C4879&gt;=36,"Adultos mayores 36 años en adelante"))</f>
        <v>Adultos mayores 36 años en adelante</v>
      </c>
      <c r="E4879" s="3" t="s">
        <v>5019</v>
      </c>
      <c r="F4879" s="3" t="s">
        <v>5030</v>
      </c>
      <c r="G4879" s="3" t="s">
        <v>5032</v>
      </c>
      <c r="H4879" s="3" t="s">
        <v>6781</v>
      </c>
      <c r="I4879" s="17">
        <v>45725</v>
      </c>
      <c r="J4879" s="18">
        <f>YEAR(Tabla1[[#This Row],[FECHA DE COMPRA]])</f>
        <v>2025</v>
      </c>
      <c r="K4879" s="19">
        <v>48.94</v>
      </c>
      <c r="L4879" s="20">
        <v>0</v>
      </c>
      <c r="M4879" s="19">
        <f>Tienda!$K4807-Tienda!$K4807*Tienda!$L4807</f>
        <v>57.536000000000001</v>
      </c>
      <c r="N4879" s="3" t="s">
        <v>10038</v>
      </c>
      <c r="O4879" s="3" t="s">
        <v>10042</v>
      </c>
      <c r="P4879" s="17">
        <v>45815</v>
      </c>
      <c r="Q4879" s="4">
        <v>3</v>
      </c>
    </row>
    <row r="4880" spans="1:17" ht="30" x14ac:dyDescent="0.25">
      <c r="A4880" s="2" t="s">
        <v>4780</v>
      </c>
      <c r="B4880" s="3" t="s">
        <v>5015</v>
      </c>
      <c r="C4880" s="3">
        <v>45</v>
      </c>
      <c r="D4880" s="46" t="str">
        <f>IF(Tabla1[[#This Row],[EDAD]]&lt;=35,"Adultos jóvenes 18 - 35 años",IF(C4880&gt;=36,"Adultos mayores 36 años en adelante"))</f>
        <v>Adultos mayores 36 años en adelante</v>
      </c>
      <c r="E4880" s="3" t="s">
        <v>5020</v>
      </c>
      <c r="F4880" s="3" t="s">
        <v>5030</v>
      </c>
      <c r="G4880" s="3" t="s">
        <v>5032</v>
      </c>
      <c r="H4880" s="3" t="s">
        <v>9803</v>
      </c>
      <c r="I4880" s="17">
        <v>45742</v>
      </c>
      <c r="J4880" s="18">
        <f>YEAR(Tabla1[[#This Row],[FECHA DE COMPRA]])</f>
        <v>2025</v>
      </c>
      <c r="K4880" s="19">
        <v>50</v>
      </c>
      <c r="L4880" s="20">
        <v>0.1</v>
      </c>
      <c r="M4880" s="19">
        <f>Tienda!$K4808-Tienda!$K4808*Tienda!$L4808</f>
        <v>52.478999999999999</v>
      </c>
      <c r="N4880" s="3" t="s">
        <v>10038</v>
      </c>
      <c r="O4880" s="3" t="s">
        <v>10042</v>
      </c>
      <c r="P4880" s="17">
        <v>45832</v>
      </c>
      <c r="Q4880" s="4">
        <v>3</v>
      </c>
    </row>
    <row r="4881" spans="1:17" ht="30" x14ac:dyDescent="0.25">
      <c r="A4881" s="2" t="s">
        <v>454</v>
      </c>
      <c r="B4881" s="3" t="s">
        <v>5016</v>
      </c>
      <c r="C4881" s="3">
        <v>48</v>
      </c>
      <c r="D4881" s="46" t="str">
        <f>IF(Tabla1[[#This Row],[EDAD]]&lt;=35,"Adultos jóvenes 18 - 35 años",IF(C4881&gt;=36,"Adultos mayores 36 años en adelante"))</f>
        <v>Adultos mayores 36 años en adelante</v>
      </c>
      <c r="E4881" s="3" t="s">
        <v>5019</v>
      </c>
      <c r="F4881" s="3" t="s">
        <v>5026</v>
      </c>
      <c r="G4881" s="3" t="s">
        <v>5036</v>
      </c>
      <c r="H4881" s="3" t="s">
        <v>5477</v>
      </c>
      <c r="I4881" s="17">
        <v>45723</v>
      </c>
      <c r="J4881" s="18">
        <f>YEAR(Tabla1[[#This Row],[FECHA DE COMPRA]])</f>
        <v>2025</v>
      </c>
      <c r="K4881" s="19">
        <v>56.21</v>
      </c>
      <c r="L4881" s="20">
        <v>0.1</v>
      </c>
      <c r="M4881" s="19">
        <f>Tienda!$K4810-Tienda!$K4810*Tienda!$L4810</f>
        <v>63.112000000000002</v>
      </c>
      <c r="N4881" s="3" t="s">
        <v>10038</v>
      </c>
      <c r="O4881" s="3" t="s">
        <v>10042</v>
      </c>
      <c r="P4881" s="17">
        <v>46083</v>
      </c>
      <c r="Q4881" s="4">
        <v>12</v>
      </c>
    </row>
    <row r="4882" spans="1:17" ht="30" x14ac:dyDescent="0.25">
      <c r="A4882" s="2" t="s">
        <v>555</v>
      </c>
      <c r="B4882" s="3" t="s">
        <v>5015</v>
      </c>
      <c r="C4882" s="3">
        <v>48</v>
      </c>
      <c r="D4882" s="46" t="str">
        <f>IF(Tabla1[[#This Row],[EDAD]]&lt;=35,"Adultos jóvenes 18 - 35 años",IF(C4882&gt;=36,"Adultos mayores 36 años en adelante"))</f>
        <v>Adultos mayores 36 años en adelante</v>
      </c>
      <c r="E4882" s="3" t="s">
        <v>5017</v>
      </c>
      <c r="F4882" s="3" t="s">
        <v>5026</v>
      </c>
      <c r="G4882" s="3" t="s">
        <v>5032</v>
      </c>
      <c r="H4882" s="3" t="s">
        <v>5578</v>
      </c>
      <c r="I4882" s="17">
        <v>45746</v>
      </c>
      <c r="J4882" s="18">
        <f>YEAR(Tabla1[[#This Row],[FECHA DE COMPRA]])</f>
        <v>2025</v>
      </c>
      <c r="K4882" s="19">
        <v>63.67</v>
      </c>
      <c r="L4882" s="20">
        <v>0.2</v>
      </c>
      <c r="M4882" s="19">
        <f>Tienda!$K4811-Tienda!$K4811*Tienda!$L4811</f>
        <v>71.954999999999998</v>
      </c>
      <c r="N4882" s="3" t="s">
        <v>10038</v>
      </c>
      <c r="O4882" s="3" t="s">
        <v>10042</v>
      </c>
      <c r="P4882" s="17">
        <v>45926</v>
      </c>
      <c r="Q4882" s="4">
        <v>6</v>
      </c>
    </row>
    <row r="4883" spans="1:17" ht="30" x14ac:dyDescent="0.25">
      <c r="A4883" s="2" t="s">
        <v>1543</v>
      </c>
      <c r="B4883" s="3" t="s">
        <v>5015</v>
      </c>
      <c r="C4883" s="3">
        <v>58</v>
      </c>
      <c r="D4883" s="46" t="str">
        <f>IF(Tabla1[[#This Row],[EDAD]]&lt;=35,"Adultos jóvenes 18 - 35 años",IF(C4883&gt;=36,"Adultos mayores 36 años en adelante"))</f>
        <v>Adultos mayores 36 años en adelante</v>
      </c>
      <c r="E4883" s="3" t="s">
        <v>5017</v>
      </c>
      <c r="F4883" s="3" t="s">
        <v>5027</v>
      </c>
      <c r="G4883" s="3" t="s">
        <v>5034</v>
      </c>
      <c r="H4883" s="3" t="s">
        <v>6566</v>
      </c>
      <c r="I4883" s="17">
        <v>45722</v>
      </c>
      <c r="J4883" s="18">
        <f>YEAR(Tabla1[[#This Row],[FECHA DE COMPRA]])</f>
        <v>2025</v>
      </c>
      <c r="K4883" s="19">
        <v>76.03</v>
      </c>
      <c r="L4883" s="20">
        <v>0.2</v>
      </c>
      <c r="M4883" s="19">
        <f>Tienda!$K4815-Tienda!$K4815*Tienda!$L4815</f>
        <v>125.2</v>
      </c>
      <c r="N4883" s="3" t="s">
        <v>10038</v>
      </c>
      <c r="O4883" s="3" t="s">
        <v>10042</v>
      </c>
      <c r="P4883" s="17">
        <v>45902</v>
      </c>
      <c r="Q4883" s="4">
        <v>6</v>
      </c>
    </row>
    <row r="4884" spans="1:17" ht="30" x14ac:dyDescent="0.25">
      <c r="A4884" s="2" t="s">
        <v>3347</v>
      </c>
      <c r="B4884" s="3" t="s">
        <v>5015</v>
      </c>
      <c r="C4884" s="3">
        <v>55</v>
      </c>
      <c r="D4884" s="46" t="str">
        <f>IF(Tabla1[[#This Row],[EDAD]]&lt;=35,"Adultos jóvenes 18 - 35 años",IF(C4884&gt;=36,"Adultos mayores 36 años en adelante"))</f>
        <v>Adultos mayores 36 años en adelante</v>
      </c>
      <c r="E4884" s="3" t="s">
        <v>5021</v>
      </c>
      <c r="F4884" s="3" t="s">
        <v>5024</v>
      </c>
      <c r="G4884" s="3" t="s">
        <v>5034</v>
      </c>
      <c r="H4884" s="3" t="s">
        <v>8370</v>
      </c>
      <c r="I4884" s="17">
        <v>45724</v>
      </c>
      <c r="J4884" s="18">
        <f>YEAR(Tabla1[[#This Row],[FECHA DE COMPRA]])</f>
        <v>2025</v>
      </c>
      <c r="K4884" s="19">
        <v>80.7</v>
      </c>
      <c r="L4884" s="20">
        <v>0.1</v>
      </c>
      <c r="M4884" s="19">
        <f>Tienda!$K4816-Tienda!$K4816*Tienda!$L4816</f>
        <v>106.28</v>
      </c>
      <c r="N4884" s="3" t="s">
        <v>10038</v>
      </c>
      <c r="O4884" s="3" t="s">
        <v>10042</v>
      </c>
      <c r="P4884" s="17">
        <v>45994</v>
      </c>
      <c r="Q4884" s="4">
        <v>9</v>
      </c>
    </row>
    <row r="4885" spans="1:17" ht="30" x14ac:dyDescent="0.25">
      <c r="A4885" s="2" t="s">
        <v>4459</v>
      </c>
      <c r="B4885" s="3" t="s">
        <v>5015</v>
      </c>
      <c r="C4885" s="3">
        <v>45</v>
      </c>
      <c r="D4885" s="46" t="str">
        <f>IF(Tabla1[[#This Row],[EDAD]]&lt;=35,"Adultos jóvenes 18 - 35 años",IF(C4885&gt;=36,"Adultos mayores 36 años en adelante"))</f>
        <v>Adultos mayores 36 años en adelante</v>
      </c>
      <c r="E4885" s="3" t="s">
        <v>5019</v>
      </c>
      <c r="F4885" s="3" t="s">
        <v>5026</v>
      </c>
      <c r="G4885" s="3" t="s">
        <v>5034</v>
      </c>
      <c r="H4885" s="3" t="s">
        <v>9482</v>
      </c>
      <c r="I4885" s="17">
        <v>45733</v>
      </c>
      <c r="J4885" s="18">
        <f>YEAR(Tabla1[[#This Row],[FECHA DE COMPRA]])</f>
        <v>2025</v>
      </c>
      <c r="K4885" s="19">
        <v>80.91</v>
      </c>
      <c r="L4885" s="20">
        <v>0.1</v>
      </c>
      <c r="M4885" s="19">
        <f>Tienda!$K4817-Tienda!$K4817*Tienda!$L4817</f>
        <v>21.087</v>
      </c>
      <c r="N4885" s="3" t="s">
        <v>10038</v>
      </c>
      <c r="O4885" s="3" t="s">
        <v>10042</v>
      </c>
      <c r="P4885" s="17">
        <v>45913</v>
      </c>
      <c r="Q4885" s="4">
        <v>6</v>
      </c>
    </row>
    <row r="4886" spans="1:17" ht="30" x14ac:dyDescent="0.25">
      <c r="A4886" s="2" t="s">
        <v>186</v>
      </c>
      <c r="B4886" s="3" t="s">
        <v>5015</v>
      </c>
      <c r="C4886" s="3">
        <v>44</v>
      </c>
      <c r="D4886" s="46" t="str">
        <f>IF(Tabla1[[#This Row],[EDAD]]&lt;=35,"Adultos jóvenes 18 - 35 años",IF(C4886&gt;=36,"Adultos mayores 36 años en adelante"))</f>
        <v>Adultos mayores 36 años en adelante</v>
      </c>
      <c r="E4886" s="3" t="s">
        <v>5019</v>
      </c>
      <c r="F4886" s="3" t="s">
        <v>5030</v>
      </c>
      <c r="G4886" s="3" t="s">
        <v>5031</v>
      </c>
      <c r="H4886" s="3" t="s">
        <v>5209</v>
      </c>
      <c r="I4886" s="17">
        <v>45720</v>
      </c>
      <c r="J4886" s="18">
        <f>YEAR(Tabla1[[#This Row],[FECHA DE COMPRA]])</f>
        <v>2025</v>
      </c>
      <c r="K4886" s="19">
        <v>82.93</v>
      </c>
      <c r="L4886" s="20">
        <v>0.1</v>
      </c>
      <c r="M4886" s="19">
        <f>Tienda!$K4819-Tienda!$K4819*Tienda!$L4819</f>
        <v>56.371000000000002</v>
      </c>
      <c r="N4886" s="3" t="s">
        <v>10038</v>
      </c>
      <c r="O4886" s="3" t="s">
        <v>10042</v>
      </c>
      <c r="P4886" s="17">
        <v>45900</v>
      </c>
      <c r="Q4886" s="4">
        <v>6</v>
      </c>
    </row>
    <row r="4887" spans="1:17" ht="30" x14ac:dyDescent="0.25">
      <c r="A4887" s="2" t="s">
        <v>959</v>
      </c>
      <c r="B4887" s="3" t="s">
        <v>5016</v>
      </c>
      <c r="C4887" s="3">
        <v>64</v>
      </c>
      <c r="D4887" s="46" t="str">
        <f>IF(Tabla1[[#This Row],[EDAD]]&lt;=35,"Adultos jóvenes 18 - 35 años",IF(C4887&gt;=36,"Adultos mayores 36 años en adelante"))</f>
        <v>Adultos mayores 36 años en adelante</v>
      </c>
      <c r="E4887" s="3" t="s">
        <v>5019</v>
      </c>
      <c r="F4887" s="3" t="s">
        <v>5030</v>
      </c>
      <c r="G4887" s="3" t="s">
        <v>5034</v>
      </c>
      <c r="H4887" s="3" t="s">
        <v>5982</v>
      </c>
      <c r="I4887" s="17">
        <v>45718</v>
      </c>
      <c r="J4887" s="18">
        <f>YEAR(Tabla1[[#This Row],[FECHA DE COMPRA]])</f>
        <v>2025</v>
      </c>
      <c r="K4887" s="19">
        <v>97.22</v>
      </c>
      <c r="L4887" s="20">
        <v>0</v>
      </c>
      <c r="M4887" s="19">
        <f>Tienda!$K4821-Tienda!$K4821*Tienda!$L4821</f>
        <v>72.960000000000008</v>
      </c>
      <c r="N4887" s="3" t="s">
        <v>10038</v>
      </c>
      <c r="O4887" s="3" t="s">
        <v>10042</v>
      </c>
      <c r="P4887" s="17">
        <v>46078</v>
      </c>
      <c r="Q4887" s="4">
        <v>12</v>
      </c>
    </row>
    <row r="4888" spans="1:17" ht="30" x14ac:dyDescent="0.25">
      <c r="A4888" s="2" t="s">
        <v>4779</v>
      </c>
      <c r="B4888" s="3" t="s">
        <v>5016</v>
      </c>
      <c r="C4888" s="3">
        <v>56</v>
      </c>
      <c r="D4888" s="46" t="str">
        <f>IF(Tabla1[[#This Row],[EDAD]]&lt;=35,"Adultos jóvenes 18 - 35 años",IF(C4888&gt;=36,"Adultos mayores 36 años en adelante"))</f>
        <v>Adultos mayores 36 años en adelante</v>
      </c>
      <c r="E4888" s="3" t="s">
        <v>5017</v>
      </c>
      <c r="F4888" s="3" t="s">
        <v>5027</v>
      </c>
      <c r="G4888" s="3" t="s">
        <v>5037</v>
      </c>
      <c r="H4888" s="3" t="s">
        <v>9802</v>
      </c>
      <c r="I4888" s="17">
        <v>45742</v>
      </c>
      <c r="J4888" s="18">
        <f>YEAR(Tabla1[[#This Row],[FECHA DE COMPRA]])</f>
        <v>2025</v>
      </c>
      <c r="K4888" s="19">
        <v>97.37</v>
      </c>
      <c r="L4888" s="20">
        <v>0.3</v>
      </c>
      <c r="M4888" s="19">
        <f>Tienda!$K4822-Tienda!$K4822*Tienda!$L4822</f>
        <v>10.125</v>
      </c>
      <c r="N4888" s="3" t="s">
        <v>10038</v>
      </c>
      <c r="O4888" s="3" t="s">
        <v>10042</v>
      </c>
      <c r="P4888" s="17">
        <v>45922</v>
      </c>
      <c r="Q4888" s="4">
        <v>6</v>
      </c>
    </row>
    <row r="4889" spans="1:17" ht="30" x14ac:dyDescent="0.25">
      <c r="A4889" s="2" t="s">
        <v>2309</v>
      </c>
      <c r="B4889" s="3" t="s">
        <v>5015</v>
      </c>
      <c r="C4889" s="3">
        <v>48</v>
      </c>
      <c r="D4889" s="46" t="str">
        <f>IF(Tabla1[[#This Row],[EDAD]]&lt;=35,"Adultos jóvenes 18 - 35 años",IF(C4889&gt;=36,"Adultos mayores 36 años en adelante"))</f>
        <v>Adultos mayores 36 años en adelante</v>
      </c>
      <c r="E4889" s="3" t="s">
        <v>5020</v>
      </c>
      <c r="F4889" s="3" t="s">
        <v>5028</v>
      </c>
      <c r="G4889" s="3" t="s">
        <v>5033</v>
      </c>
      <c r="H4889" s="3" t="s">
        <v>7332</v>
      </c>
      <c r="I4889" s="17">
        <v>45742</v>
      </c>
      <c r="J4889" s="18">
        <f>YEAR(Tabla1[[#This Row],[FECHA DE COMPRA]])</f>
        <v>2025</v>
      </c>
      <c r="K4889" s="19">
        <v>113.98</v>
      </c>
      <c r="L4889" s="20">
        <v>0</v>
      </c>
      <c r="M4889" s="19">
        <f>Tienda!$K4824-Tienda!$K4824*Tienda!$L4824</f>
        <v>29.475000000000001</v>
      </c>
      <c r="N4889" s="3" t="s">
        <v>10038</v>
      </c>
      <c r="O4889" s="3" t="s">
        <v>10042</v>
      </c>
      <c r="P4889" s="17">
        <v>45922</v>
      </c>
      <c r="Q4889" s="4">
        <v>6</v>
      </c>
    </row>
    <row r="4890" spans="1:17" ht="30" x14ac:dyDescent="0.25">
      <c r="A4890" s="2" t="s">
        <v>1266</v>
      </c>
      <c r="B4890" s="3" t="s">
        <v>5016</v>
      </c>
      <c r="C4890" s="3">
        <v>65</v>
      </c>
      <c r="D4890" s="46" t="str">
        <f>IF(Tabla1[[#This Row],[EDAD]]&lt;=35,"Adultos jóvenes 18 - 35 años",IF(C4890&gt;=36,"Adultos mayores 36 años en adelante"))</f>
        <v>Adultos mayores 36 años en adelante</v>
      </c>
      <c r="E4890" s="3" t="s">
        <v>5019</v>
      </c>
      <c r="F4890" s="3" t="s">
        <v>5025</v>
      </c>
      <c r="G4890" s="3" t="s">
        <v>5037</v>
      </c>
      <c r="H4890" s="3" t="s">
        <v>6289</v>
      </c>
      <c r="I4890" s="17">
        <v>45736</v>
      </c>
      <c r="J4890" s="18">
        <f>YEAR(Tabla1[[#This Row],[FECHA DE COMPRA]])</f>
        <v>2025</v>
      </c>
      <c r="K4890" s="19">
        <v>117.9</v>
      </c>
      <c r="L4890" s="20">
        <v>0.3</v>
      </c>
      <c r="M4890" s="19">
        <f>Tienda!$K4826-Tienda!$K4826*Tienda!$L4826</f>
        <v>74.27</v>
      </c>
      <c r="N4890" s="3" t="s">
        <v>10038</v>
      </c>
      <c r="O4890" s="3" t="s">
        <v>10042</v>
      </c>
      <c r="P4890" s="17">
        <v>46096</v>
      </c>
      <c r="Q4890" s="4">
        <v>12</v>
      </c>
    </row>
    <row r="4891" spans="1:17" ht="30" x14ac:dyDescent="0.25">
      <c r="A4891" s="2" t="s">
        <v>4326</v>
      </c>
      <c r="B4891" s="3" t="s">
        <v>5015</v>
      </c>
      <c r="C4891" s="3">
        <v>45</v>
      </c>
      <c r="D4891" s="46" t="str">
        <f>IF(Tabla1[[#This Row],[EDAD]]&lt;=35,"Adultos jóvenes 18 - 35 años",IF(C4891&gt;=36,"Adultos mayores 36 años en adelante"))</f>
        <v>Adultos mayores 36 años en adelante</v>
      </c>
      <c r="E4891" s="3" t="s">
        <v>5018</v>
      </c>
      <c r="F4891" s="3" t="s">
        <v>5029</v>
      </c>
      <c r="G4891" s="3" t="s">
        <v>5032</v>
      </c>
      <c r="H4891" s="3" t="s">
        <v>9349</v>
      </c>
      <c r="I4891" s="17">
        <v>45732</v>
      </c>
      <c r="J4891" s="18">
        <f>YEAR(Tabla1[[#This Row],[FECHA DE COMPRA]])</f>
        <v>2025</v>
      </c>
      <c r="K4891" s="19">
        <v>138.47</v>
      </c>
      <c r="L4891" s="20">
        <v>0.3</v>
      </c>
      <c r="M4891" s="19">
        <f>Tienda!$K4829-Tienda!$K4829*Tienda!$L4829</f>
        <v>78.99199999999999</v>
      </c>
      <c r="N4891" s="3" t="s">
        <v>10038</v>
      </c>
      <c r="O4891" s="3" t="s">
        <v>10042</v>
      </c>
      <c r="P4891" s="17">
        <v>45822</v>
      </c>
      <c r="Q4891" s="4">
        <v>3</v>
      </c>
    </row>
    <row r="4892" spans="1:17" ht="30" x14ac:dyDescent="0.25">
      <c r="A4892" s="2" t="s">
        <v>4937</v>
      </c>
      <c r="B4892" s="3" t="s">
        <v>5015</v>
      </c>
      <c r="C4892" s="3">
        <v>36</v>
      </c>
      <c r="D4892" s="46" t="str">
        <f>IF(Tabla1[[#This Row],[EDAD]]&lt;=35,"Adultos jóvenes 18 - 35 años",IF(C4892&gt;=36,"Adultos mayores 36 años en adelante"))</f>
        <v>Adultos mayores 36 años en adelante</v>
      </c>
      <c r="E4892" s="3" t="s">
        <v>5017</v>
      </c>
      <c r="F4892" s="3" t="s">
        <v>5026</v>
      </c>
      <c r="G4892" s="3" t="s">
        <v>5037</v>
      </c>
      <c r="H4892" s="3" t="s">
        <v>9960</v>
      </c>
      <c r="I4892" s="17">
        <v>45738</v>
      </c>
      <c r="J4892" s="18">
        <f>YEAR(Tabla1[[#This Row],[FECHA DE COMPRA]])</f>
        <v>2025</v>
      </c>
      <c r="K4892" s="19">
        <v>140.77000000000001</v>
      </c>
      <c r="L4892" s="20">
        <v>0.1</v>
      </c>
      <c r="M4892" s="19">
        <f>Tienda!$K4830-Tienda!$K4830*Tienda!$L4830</f>
        <v>89.676000000000002</v>
      </c>
      <c r="N4892" s="3" t="s">
        <v>10038</v>
      </c>
      <c r="O4892" s="3" t="s">
        <v>10042</v>
      </c>
      <c r="P4892" s="17">
        <v>45918</v>
      </c>
      <c r="Q4892" s="4">
        <v>6</v>
      </c>
    </row>
    <row r="4893" spans="1:17" ht="30" x14ac:dyDescent="0.25">
      <c r="A4893" s="2" t="s">
        <v>1601</v>
      </c>
      <c r="B4893" s="3" t="s">
        <v>5015</v>
      </c>
      <c r="C4893" s="3">
        <v>52</v>
      </c>
      <c r="D4893" s="46" t="str">
        <f>IF(Tabla1[[#This Row],[EDAD]]&lt;=35,"Adultos jóvenes 18 - 35 años",IF(C4893&gt;=36,"Adultos mayores 36 años en adelante"))</f>
        <v>Adultos mayores 36 años en adelante</v>
      </c>
      <c r="E4893" s="3" t="s">
        <v>5018</v>
      </c>
      <c r="F4893" s="3" t="s">
        <v>5029</v>
      </c>
      <c r="G4893" s="3" t="s">
        <v>5035</v>
      </c>
      <c r="H4893" s="3" t="s">
        <v>6624</v>
      </c>
      <c r="I4893" s="17">
        <v>45727</v>
      </c>
      <c r="J4893" s="18">
        <f>YEAR(Tabla1[[#This Row],[FECHA DE COMPRA]])</f>
        <v>2025</v>
      </c>
      <c r="K4893" s="19">
        <v>142.4</v>
      </c>
      <c r="L4893" s="20">
        <v>0</v>
      </c>
      <c r="M4893" s="19">
        <f>Tienda!$K4831-Tienda!$K4831*Tienda!$L4831</f>
        <v>99.567999999999998</v>
      </c>
      <c r="N4893" s="3" t="s">
        <v>10038</v>
      </c>
      <c r="O4893" s="3" t="s">
        <v>10042</v>
      </c>
      <c r="P4893" s="17">
        <v>45817</v>
      </c>
      <c r="Q4893" s="4">
        <v>3</v>
      </c>
    </row>
    <row r="4894" spans="1:17" ht="30" x14ac:dyDescent="0.25">
      <c r="A4894" s="2" t="s">
        <v>2719</v>
      </c>
      <c r="B4894" s="3" t="s">
        <v>5016</v>
      </c>
      <c r="C4894" s="3">
        <v>60</v>
      </c>
      <c r="D4894" s="46" t="str">
        <f>IF(Tabla1[[#This Row],[EDAD]]&lt;=35,"Adultos jóvenes 18 - 35 años",IF(C4894&gt;=36,"Adultos mayores 36 años en adelante"))</f>
        <v>Adultos mayores 36 años en adelante</v>
      </c>
      <c r="E4894" s="3" t="s">
        <v>5017</v>
      </c>
      <c r="F4894" s="3" t="s">
        <v>5028</v>
      </c>
      <c r="G4894" s="3" t="s">
        <v>5031</v>
      </c>
      <c r="H4894" s="3" t="s">
        <v>7742</v>
      </c>
      <c r="I4894" s="17">
        <v>45733</v>
      </c>
      <c r="J4894" s="18">
        <f>YEAR(Tabla1[[#This Row],[FECHA DE COMPRA]])</f>
        <v>2025</v>
      </c>
      <c r="K4894" s="19">
        <v>142.47</v>
      </c>
      <c r="L4894" s="20">
        <v>0.1</v>
      </c>
      <c r="M4894" s="19">
        <f>Tienda!$K4832-Tienda!$K4832*Tienda!$L4832</f>
        <v>104.624</v>
      </c>
      <c r="N4894" s="3" t="s">
        <v>10038</v>
      </c>
      <c r="O4894" s="3" t="s">
        <v>10042</v>
      </c>
      <c r="P4894" s="17">
        <v>45913</v>
      </c>
      <c r="Q4894" s="4">
        <v>6</v>
      </c>
    </row>
    <row r="4895" spans="1:17" ht="30" x14ac:dyDescent="0.25">
      <c r="A4895" s="2" t="s">
        <v>2850</v>
      </c>
      <c r="B4895" s="3" t="s">
        <v>5015</v>
      </c>
      <c r="C4895" s="3">
        <v>56</v>
      </c>
      <c r="D4895" s="46" t="str">
        <f>IF(Tabla1[[#This Row],[EDAD]]&lt;=35,"Adultos jóvenes 18 - 35 años",IF(C4895&gt;=36,"Adultos mayores 36 años en adelante"))</f>
        <v>Adultos mayores 36 años en adelante</v>
      </c>
      <c r="E4895" s="3" t="s">
        <v>5017</v>
      </c>
      <c r="F4895" s="3" t="s">
        <v>5024</v>
      </c>
      <c r="G4895" s="3" t="s">
        <v>5035</v>
      </c>
      <c r="H4895" s="3" t="s">
        <v>7873</v>
      </c>
      <c r="I4895" s="17">
        <v>45735</v>
      </c>
      <c r="J4895" s="18">
        <f>YEAR(Tabla1[[#This Row],[FECHA DE COMPRA]])</f>
        <v>2025</v>
      </c>
      <c r="K4895" s="19">
        <v>168.83</v>
      </c>
      <c r="L4895" s="20">
        <v>0.2</v>
      </c>
      <c r="M4895" s="19">
        <f>Tienda!$K4837-Tienda!$K4837*Tienda!$L4837</f>
        <v>183.02</v>
      </c>
      <c r="N4895" s="3" t="s">
        <v>10038</v>
      </c>
      <c r="O4895" s="3" t="s">
        <v>10042</v>
      </c>
      <c r="P4895" s="17">
        <v>46095</v>
      </c>
      <c r="Q4895" s="4">
        <v>12</v>
      </c>
    </row>
    <row r="4896" spans="1:17" ht="30" x14ac:dyDescent="0.25">
      <c r="A4896" s="2" t="s">
        <v>2257</v>
      </c>
      <c r="B4896" s="3" t="s">
        <v>5015</v>
      </c>
      <c r="C4896" s="3">
        <v>58</v>
      </c>
      <c r="D4896" s="46" t="str">
        <f>IF(Tabla1[[#This Row],[EDAD]]&lt;=35,"Adultos jóvenes 18 - 35 años",IF(C4896&gt;=36,"Adultos mayores 36 años en adelante"))</f>
        <v>Adultos mayores 36 años en adelante</v>
      </c>
      <c r="E4896" s="3" t="s">
        <v>5021</v>
      </c>
      <c r="F4896" s="3" t="s">
        <v>5030</v>
      </c>
      <c r="G4896" s="3" t="s">
        <v>5034</v>
      </c>
      <c r="H4896" s="3" t="s">
        <v>7280</v>
      </c>
      <c r="I4896" s="17">
        <v>45721</v>
      </c>
      <c r="J4896" s="18">
        <f>YEAR(Tabla1[[#This Row],[FECHA DE COMPRA]])</f>
        <v>2025</v>
      </c>
      <c r="K4896" s="19">
        <v>170.25</v>
      </c>
      <c r="L4896" s="20">
        <v>0</v>
      </c>
      <c r="M4896" s="19">
        <f>Tienda!$K4838-Tienda!$K4838*Tienda!$L4838</f>
        <v>129.99700000000001</v>
      </c>
      <c r="N4896" s="3" t="s">
        <v>10038</v>
      </c>
      <c r="O4896" s="3" t="s">
        <v>10042</v>
      </c>
      <c r="P4896" s="17">
        <v>45901</v>
      </c>
      <c r="Q4896" s="4">
        <v>6</v>
      </c>
    </row>
    <row r="4897" spans="1:17" ht="30" x14ac:dyDescent="0.25">
      <c r="A4897" s="2" t="s">
        <v>1627</v>
      </c>
      <c r="B4897" s="3" t="s">
        <v>5016</v>
      </c>
      <c r="C4897" s="3">
        <v>47</v>
      </c>
      <c r="D4897" s="46" t="str">
        <f>IF(Tabla1[[#This Row],[EDAD]]&lt;=35,"Adultos jóvenes 18 - 35 años",IF(C4897&gt;=36,"Adultos mayores 36 años en adelante"))</f>
        <v>Adultos mayores 36 años en adelante</v>
      </c>
      <c r="E4897" s="3" t="s">
        <v>5023</v>
      </c>
      <c r="F4897" s="3" t="s">
        <v>5029</v>
      </c>
      <c r="G4897" s="3" t="s">
        <v>5031</v>
      </c>
      <c r="H4897" s="3" t="s">
        <v>6650</v>
      </c>
      <c r="I4897" s="17">
        <v>45735</v>
      </c>
      <c r="J4897" s="18">
        <f>YEAR(Tabla1[[#This Row],[FECHA DE COMPRA]])</f>
        <v>2025</v>
      </c>
      <c r="K4897" s="19">
        <v>173.4</v>
      </c>
      <c r="L4897" s="20">
        <v>0</v>
      </c>
      <c r="M4897" s="19">
        <f>Tienda!$K4840-Tienda!$K4840*Tienda!$L4840</f>
        <v>179.631</v>
      </c>
      <c r="N4897" s="3" t="s">
        <v>10038</v>
      </c>
      <c r="O4897" s="3" t="s">
        <v>10042</v>
      </c>
      <c r="P4897" s="17">
        <v>46005</v>
      </c>
      <c r="Q4897" s="4">
        <v>9</v>
      </c>
    </row>
    <row r="4898" spans="1:17" ht="30" x14ac:dyDescent="0.25">
      <c r="A4898" s="2" t="s">
        <v>3491</v>
      </c>
      <c r="B4898" s="3" t="s">
        <v>5016</v>
      </c>
      <c r="C4898" s="3">
        <v>53</v>
      </c>
      <c r="D4898" s="46" t="str">
        <f>IF(Tabla1[[#This Row],[EDAD]]&lt;=35,"Adultos jóvenes 18 - 35 años",IF(C4898&gt;=36,"Adultos mayores 36 años en adelante"))</f>
        <v>Adultos mayores 36 años en adelante</v>
      </c>
      <c r="E4898" s="3" t="s">
        <v>5021</v>
      </c>
      <c r="F4898" s="3" t="s">
        <v>5028</v>
      </c>
      <c r="G4898" s="3" t="s">
        <v>5032</v>
      </c>
      <c r="H4898" s="3" t="s">
        <v>8514</v>
      </c>
      <c r="I4898" s="17">
        <v>45741</v>
      </c>
      <c r="J4898" s="18">
        <f>YEAR(Tabla1[[#This Row],[FECHA DE COMPRA]])</f>
        <v>2025</v>
      </c>
      <c r="K4898" s="19">
        <v>182.63</v>
      </c>
      <c r="L4898" s="20">
        <v>0</v>
      </c>
      <c r="M4898" s="19">
        <f>Tienda!$K4842-Tienda!$K4842*Tienda!$L4842</f>
        <v>199.3</v>
      </c>
      <c r="N4898" s="3" t="s">
        <v>10038</v>
      </c>
      <c r="O4898" s="3" t="s">
        <v>10042</v>
      </c>
      <c r="P4898" s="17">
        <v>46011</v>
      </c>
      <c r="Q4898" s="4">
        <v>9</v>
      </c>
    </row>
    <row r="4899" spans="1:17" ht="30" x14ac:dyDescent="0.25">
      <c r="A4899" s="2" t="s">
        <v>4034</v>
      </c>
      <c r="B4899" s="3" t="s">
        <v>5015</v>
      </c>
      <c r="C4899" s="3">
        <v>38</v>
      </c>
      <c r="D4899" s="46" t="str">
        <f>IF(Tabla1[[#This Row],[EDAD]]&lt;=35,"Adultos jóvenes 18 - 35 años",IF(C4899&gt;=36,"Adultos mayores 36 años en adelante"))</f>
        <v>Adultos mayores 36 años en adelante</v>
      </c>
      <c r="E4899" s="3" t="s">
        <v>5019</v>
      </c>
      <c r="F4899" s="3" t="s">
        <v>5029</v>
      </c>
      <c r="G4899" s="3" t="s">
        <v>5037</v>
      </c>
      <c r="H4899" s="3" t="s">
        <v>9057</v>
      </c>
      <c r="I4899" s="17">
        <v>45742</v>
      </c>
      <c r="J4899" s="18">
        <f>YEAR(Tabla1[[#This Row],[FECHA DE COMPRA]])</f>
        <v>2025</v>
      </c>
      <c r="K4899" s="19">
        <v>190.42</v>
      </c>
      <c r="L4899" s="20">
        <v>0.1</v>
      </c>
      <c r="M4899" s="19">
        <f>Tienda!$K4843-Tienda!$K4843*Tienda!$L4843</f>
        <v>33.966000000000001</v>
      </c>
      <c r="N4899" s="3" t="s">
        <v>10038</v>
      </c>
      <c r="O4899" s="3" t="s">
        <v>10042</v>
      </c>
      <c r="P4899" s="17">
        <v>46012</v>
      </c>
      <c r="Q4899" s="4">
        <v>9</v>
      </c>
    </row>
    <row r="4900" spans="1:17" ht="30" x14ac:dyDescent="0.25">
      <c r="A4900" s="2" t="s">
        <v>3137</v>
      </c>
      <c r="B4900" s="3" t="s">
        <v>5015</v>
      </c>
      <c r="C4900" s="3">
        <v>57</v>
      </c>
      <c r="D4900" s="46" t="str">
        <f>IF(Tabla1[[#This Row],[EDAD]]&lt;=35,"Adultos jóvenes 18 - 35 años",IF(C4900&gt;=36,"Adultos mayores 36 años en adelante"))</f>
        <v>Adultos mayores 36 años en adelante</v>
      </c>
      <c r="E4900" s="3" t="s">
        <v>5017</v>
      </c>
      <c r="F4900" s="3" t="s">
        <v>5024</v>
      </c>
      <c r="G4900" s="3" t="s">
        <v>5035</v>
      </c>
      <c r="H4900" s="3" t="s">
        <v>8160</v>
      </c>
      <c r="I4900" s="17">
        <v>45725</v>
      </c>
      <c r="J4900" s="18">
        <f>YEAR(Tabla1[[#This Row],[FECHA DE COMPRA]])</f>
        <v>2025</v>
      </c>
      <c r="K4900" s="19">
        <v>190.95</v>
      </c>
      <c r="L4900" s="20">
        <v>0.1</v>
      </c>
      <c r="M4900" s="19">
        <f>Tienda!$K4844-Tienda!$K4844*Tienda!$L4844</f>
        <v>58.149000000000001</v>
      </c>
      <c r="N4900" s="3" t="s">
        <v>10038</v>
      </c>
      <c r="O4900" s="3" t="s">
        <v>10042</v>
      </c>
      <c r="P4900" s="17">
        <v>45995</v>
      </c>
      <c r="Q4900" s="4">
        <v>9</v>
      </c>
    </row>
    <row r="4901" spans="1:17" ht="30" x14ac:dyDescent="0.25">
      <c r="A4901" s="2" t="s">
        <v>4764</v>
      </c>
      <c r="B4901" s="3" t="s">
        <v>5015</v>
      </c>
      <c r="C4901" s="3">
        <v>37</v>
      </c>
      <c r="D4901" s="46" t="str">
        <f>IF(Tabla1[[#This Row],[EDAD]]&lt;=35,"Adultos jóvenes 18 - 35 años",IF(C4901&gt;=36,"Adultos mayores 36 años en adelante"))</f>
        <v>Adultos mayores 36 años en adelante</v>
      </c>
      <c r="E4901" s="3" t="s">
        <v>5022</v>
      </c>
      <c r="F4901" s="3" t="s">
        <v>5027</v>
      </c>
      <c r="G4901" s="3" t="s">
        <v>5033</v>
      </c>
      <c r="H4901" s="3" t="s">
        <v>9787</v>
      </c>
      <c r="I4901" s="17">
        <v>45721</v>
      </c>
      <c r="J4901" s="18">
        <f>YEAR(Tabla1[[#This Row],[FECHA DE COMPRA]])</f>
        <v>2025</v>
      </c>
      <c r="K4901" s="19">
        <v>193.62</v>
      </c>
      <c r="L4901" s="20">
        <v>0.3</v>
      </c>
      <c r="M4901" s="19">
        <f>Tienda!$K4845-Tienda!$K4845*Tienda!$L4845</f>
        <v>111.23099999999999</v>
      </c>
      <c r="N4901" s="3" t="s">
        <v>10038</v>
      </c>
      <c r="O4901" s="3" t="s">
        <v>10042</v>
      </c>
      <c r="P4901" s="17">
        <v>46081</v>
      </c>
      <c r="Q4901" s="4">
        <v>12</v>
      </c>
    </row>
    <row r="4902" spans="1:17" ht="30" x14ac:dyDescent="0.25">
      <c r="A4902" s="2" t="s">
        <v>751</v>
      </c>
      <c r="B4902" s="3" t="s">
        <v>5015</v>
      </c>
      <c r="C4902" s="3">
        <v>42</v>
      </c>
      <c r="D4902" s="46" t="str">
        <f>IF(Tabla1[[#This Row],[EDAD]]&lt;=35,"Adultos jóvenes 18 - 35 años",IF(C4902&gt;=36,"Adultos mayores 36 años en adelante"))</f>
        <v>Adultos mayores 36 años en adelante</v>
      </c>
      <c r="E4902" s="3" t="s">
        <v>5020</v>
      </c>
      <c r="F4902" s="3" t="s">
        <v>5026</v>
      </c>
      <c r="G4902" s="3" t="s">
        <v>5033</v>
      </c>
      <c r="H4902" s="3" t="s">
        <v>5774</v>
      </c>
      <c r="I4902" s="17">
        <v>45746</v>
      </c>
      <c r="J4902" s="18">
        <f>YEAR(Tabla1[[#This Row],[FECHA DE COMPRA]])</f>
        <v>2025</v>
      </c>
      <c r="K4902" s="19">
        <v>194.31</v>
      </c>
      <c r="L4902" s="20">
        <v>0</v>
      </c>
      <c r="M4902" s="19">
        <f>Tienda!$K4846-Tienda!$K4846*Tienda!$L4846</f>
        <v>87.619</v>
      </c>
      <c r="N4902" s="3" t="s">
        <v>10038</v>
      </c>
      <c r="O4902" s="3" t="s">
        <v>10042</v>
      </c>
      <c r="P4902" s="17">
        <v>45836</v>
      </c>
      <c r="Q4902" s="4">
        <v>3</v>
      </c>
    </row>
    <row r="4903" spans="1:17" ht="30" x14ac:dyDescent="0.25">
      <c r="A4903" s="2" t="s">
        <v>2483</v>
      </c>
      <c r="B4903" s="3" t="s">
        <v>5015</v>
      </c>
      <c r="C4903" s="3">
        <v>37</v>
      </c>
      <c r="D4903" s="46" t="str">
        <f>IF(Tabla1[[#This Row],[EDAD]]&lt;=35,"Adultos jóvenes 18 - 35 años",IF(C4903&gt;=36,"Adultos mayores 36 años en adelante"))</f>
        <v>Adultos mayores 36 años en adelante</v>
      </c>
      <c r="E4903" s="3" t="s">
        <v>5018</v>
      </c>
      <c r="F4903" s="3" t="s">
        <v>5026</v>
      </c>
      <c r="G4903" s="3" t="s">
        <v>5037</v>
      </c>
      <c r="H4903" s="3" t="s">
        <v>7506</v>
      </c>
      <c r="I4903" s="17">
        <v>45759</v>
      </c>
      <c r="J4903" s="18">
        <f>YEAR(Tabla1[[#This Row],[FECHA DE COMPRA]])</f>
        <v>2025</v>
      </c>
      <c r="K4903" s="19">
        <v>25.04</v>
      </c>
      <c r="L4903" s="20">
        <v>0.1</v>
      </c>
      <c r="M4903" s="19">
        <f>Tienda!$K4848-Tienda!$K4848*Tienda!$L4848</f>
        <v>52.555999999999997</v>
      </c>
      <c r="N4903" s="3" t="s">
        <v>10038</v>
      </c>
      <c r="O4903" s="3" t="s">
        <v>10042</v>
      </c>
      <c r="P4903" s="17">
        <v>45849</v>
      </c>
      <c r="Q4903" s="4">
        <v>3</v>
      </c>
    </row>
    <row r="4904" spans="1:17" ht="30" x14ac:dyDescent="0.25">
      <c r="A4904" s="2" t="s">
        <v>405</v>
      </c>
      <c r="B4904" s="3" t="s">
        <v>5016</v>
      </c>
      <c r="C4904" s="3">
        <v>53</v>
      </c>
      <c r="D4904" s="46" t="str">
        <f>IF(Tabla1[[#This Row],[EDAD]]&lt;=35,"Adultos jóvenes 18 - 35 años",IF(C4904&gt;=36,"Adultos mayores 36 años en adelante"))</f>
        <v>Adultos mayores 36 años en adelante</v>
      </c>
      <c r="E4904" s="3" t="s">
        <v>5023</v>
      </c>
      <c r="F4904" s="3" t="s">
        <v>5026</v>
      </c>
      <c r="G4904" s="3" t="s">
        <v>5032</v>
      </c>
      <c r="H4904" s="3" t="s">
        <v>5428</v>
      </c>
      <c r="I4904" s="17">
        <v>45770</v>
      </c>
      <c r="J4904" s="18">
        <f>YEAR(Tabla1[[#This Row],[FECHA DE COMPRA]])</f>
        <v>2025</v>
      </c>
      <c r="K4904" s="19">
        <v>31.2</v>
      </c>
      <c r="L4904" s="20">
        <v>0.1</v>
      </c>
      <c r="M4904" s="19">
        <f>Tienda!$K4849-Tienda!$K4849*Tienda!$L4849</f>
        <v>38.5</v>
      </c>
      <c r="N4904" s="3" t="s">
        <v>10038</v>
      </c>
      <c r="O4904" s="3" t="s">
        <v>10042</v>
      </c>
      <c r="P4904" s="17">
        <v>45860</v>
      </c>
      <c r="Q4904" s="4">
        <v>3</v>
      </c>
    </row>
    <row r="4905" spans="1:17" ht="30" x14ac:dyDescent="0.25">
      <c r="A4905" s="2" t="s">
        <v>1173</v>
      </c>
      <c r="B4905" s="3" t="s">
        <v>5016</v>
      </c>
      <c r="C4905" s="3">
        <v>38</v>
      </c>
      <c r="D4905" s="46" t="str">
        <f>IF(Tabla1[[#This Row],[EDAD]]&lt;=35,"Adultos jóvenes 18 - 35 años",IF(C4905&gt;=36,"Adultos mayores 36 años en adelante"))</f>
        <v>Adultos mayores 36 años en adelante</v>
      </c>
      <c r="E4905" s="3" t="s">
        <v>5019</v>
      </c>
      <c r="F4905" s="3" t="s">
        <v>5024</v>
      </c>
      <c r="G4905" s="3" t="s">
        <v>5032</v>
      </c>
      <c r="H4905" s="3" t="s">
        <v>6196</v>
      </c>
      <c r="I4905" s="17">
        <v>45773</v>
      </c>
      <c r="J4905" s="18">
        <f>YEAR(Tabla1[[#This Row],[FECHA DE COMPRA]])</f>
        <v>2025</v>
      </c>
      <c r="K4905" s="19">
        <v>32.83</v>
      </c>
      <c r="L4905" s="20">
        <v>0</v>
      </c>
      <c r="M4905" s="19">
        <f>Tienda!$K4851-Tienda!$K4851*Tienda!$L4851</f>
        <v>133.63200000000001</v>
      </c>
      <c r="N4905" s="3" t="s">
        <v>10038</v>
      </c>
      <c r="O4905" s="3" t="s">
        <v>10042</v>
      </c>
      <c r="P4905" s="17">
        <v>45953</v>
      </c>
      <c r="Q4905" s="4">
        <v>6</v>
      </c>
    </row>
    <row r="4906" spans="1:17" ht="30" x14ac:dyDescent="0.25">
      <c r="A4906" s="2" t="s">
        <v>1809</v>
      </c>
      <c r="B4906" s="3" t="s">
        <v>5015</v>
      </c>
      <c r="C4906" s="3">
        <v>44</v>
      </c>
      <c r="D4906" s="46" t="str">
        <f>IF(Tabla1[[#This Row],[EDAD]]&lt;=35,"Adultos jóvenes 18 - 35 años",IF(C4906&gt;=36,"Adultos mayores 36 años en adelante"))</f>
        <v>Adultos mayores 36 años en adelante</v>
      </c>
      <c r="E4906" s="3" t="s">
        <v>5022</v>
      </c>
      <c r="F4906" s="3" t="s">
        <v>5028</v>
      </c>
      <c r="G4906" s="3" t="s">
        <v>5036</v>
      </c>
      <c r="H4906" s="3" t="s">
        <v>6832</v>
      </c>
      <c r="I4906" s="17">
        <v>45752</v>
      </c>
      <c r="J4906" s="18">
        <f>YEAR(Tabla1[[#This Row],[FECHA DE COMPRA]])</f>
        <v>2025</v>
      </c>
      <c r="K4906" s="19">
        <v>37.35</v>
      </c>
      <c r="L4906" s="20">
        <v>0.1</v>
      </c>
      <c r="M4906" s="19">
        <f>Tienda!$K4853-Tienda!$K4853*Tienda!$L4853</f>
        <v>69.405000000000001</v>
      </c>
      <c r="N4906" s="3" t="s">
        <v>10038</v>
      </c>
      <c r="O4906" s="3" t="s">
        <v>10042</v>
      </c>
      <c r="P4906" s="17">
        <v>46022</v>
      </c>
      <c r="Q4906" s="4">
        <v>9</v>
      </c>
    </row>
    <row r="4907" spans="1:17" ht="30" x14ac:dyDescent="0.25">
      <c r="A4907" s="2" t="s">
        <v>2097</v>
      </c>
      <c r="B4907" s="3" t="s">
        <v>5016</v>
      </c>
      <c r="C4907" s="3">
        <v>47</v>
      </c>
      <c r="D4907" s="46" t="str">
        <f>IF(Tabla1[[#This Row],[EDAD]]&lt;=35,"Adultos jóvenes 18 - 35 años",IF(C4907&gt;=36,"Adultos mayores 36 años en adelante"))</f>
        <v>Adultos mayores 36 años en adelante</v>
      </c>
      <c r="E4907" s="3" t="s">
        <v>5023</v>
      </c>
      <c r="F4907" s="3" t="s">
        <v>5025</v>
      </c>
      <c r="G4907" s="3" t="s">
        <v>5033</v>
      </c>
      <c r="H4907" s="3" t="s">
        <v>7120</v>
      </c>
      <c r="I4907" s="17">
        <v>45765</v>
      </c>
      <c r="J4907" s="18">
        <f>YEAR(Tabla1[[#This Row],[FECHA DE COMPRA]])</f>
        <v>2025</v>
      </c>
      <c r="K4907" s="19">
        <v>71.41</v>
      </c>
      <c r="L4907" s="20">
        <v>0.2</v>
      </c>
      <c r="M4907" s="19">
        <f>Tienda!$K4856-Tienda!$K4856*Tienda!$L4856</f>
        <v>193.35</v>
      </c>
      <c r="N4907" s="3" t="s">
        <v>10038</v>
      </c>
      <c r="O4907" s="3" t="s">
        <v>10042</v>
      </c>
      <c r="P4907" s="17">
        <v>45855</v>
      </c>
      <c r="Q4907" s="4">
        <v>3</v>
      </c>
    </row>
    <row r="4908" spans="1:17" ht="30" x14ac:dyDescent="0.25">
      <c r="A4908" s="2" t="s">
        <v>993</v>
      </c>
      <c r="B4908" s="3" t="s">
        <v>5015</v>
      </c>
      <c r="C4908" s="3">
        <v>45</v>
      </c>
      <c r="D4908" s="46" t="str">
        <f>IF(Tabla1[[#This Row],[EDAD]]&lt;=35,"Adultos jóvenes 18 - 35 años",IF(C4908&gt;=36,"Adultos mayores 36 años en adelante"))</f>
        <v>Adultos mayores 36 años en adelante</v>
      </c>
      <c r="E4908" s="3" t="s">
        <v>5017</v>
      </c>
      <c r="F4908" s="3" t="s">
        <v>5025</v>
      </c>
      <c r="G4908" s="3" t="s">
        <v>5033</v>
      </c>
      <c r="H4908" s="3" t="s">
        <v>6016</v>
      </c>
      <c r="I4908" s="17">
        <v>45750</v>
      </c>
      <c r="J4908" s="18">
        <f>YEAR(Tabla1[[#This Row],[FECHA DE COMPRA]])</f>
        <v>2025</v>
      </c>
      <c r="K4908" s="19">
        <v>73</v>
      </c>
      <c r="L4908" s="20">
        <v>0.3</v>
      </c>
      <c r="M4908" s="19">
        <f>Tienda!$K4858-Tienda!$K4858*Tienda!$L4858</f>
        <v>149.22</v>
      </c>
      <c r="N4908" s="3" t="s">
        <v>10038</v>
      </c>
      <c r="O4908" s="3" t="s">
        <v>10042</v>
      </c>
      <c r="P4908" s="17">
        <v>45930</v>
      </c>
      <c r="Q4908" s="4">
        <v>6</v>
      </c>
    </row>
    <row r="4909" spans="1:17" ht="30" x14ac:dyDescent="0.25">
      <c r="A4909" s="2" t="s">
        <v>3152</v>
      </c>
      <c r="B4909" s="3" t="s">
        <v>5015</v>
      </c>
      <c r="C4909" s="3">
        <v>42</v>
      </c>
      <c r="D4909" s="46" t="str">
        <f>IF(Tabla1[[#This Row],[EDAD]]&lt;=35,"Adultos jóvenes 18 - 35 años",IF(C4909&gt;=36,"Adultos mayores 36 años en adelante"))</f>
        <v>Adultos mayores 36 años en adelante</v>
      </c>
      <c r="E4909" s="3" t="s">
        <v>5018</v>
      </c>
      <c r="F4909" s="3" t="s">
        <v>5029</v>
      </c>
      <c r="G4909" s="3" t="s">
        <v>5036</v>
      </c>
      <c r="H4909" s="3" t="s">
        <v>8175</v>
      </c>
      <c r="I4909" s="17">
        <v>45755</v>
      </c>
      <c r="J4909" s="18">
        <f>YEAR(Tabla1[[#This Row],[FECHA DE COMPRA]])</f>
        <v>2025</v>
      </c>
      <c r="K4909" s="19">
        <v>77.239999999999995</v>
      </c>
      <c r="L4909" s="20">
        <v>0</v>
      </c>
      <c r="M4909" s="19">
        <f>Tienda!$K4860-Tienda!$K4860*Tienda!$L4860</f>
        <v>86.69</v>
      </c>
      <c r="N4909" s="3" t="s">
        <v>10038</v>
      </c>
      <c r="O4909" s="3" t="s">
        <v>10042</v>
      </c>
      <c r="P4909" s="17">
        <v>46025</v>
      </c>
      <c r="Q4909" s="4">
        <v>9</v>
      </c>
    </row>
    <row r="4910" spans="1:17" ht="30" x14ac:dyDescent="0.25">
      <c r="A4910" s="2" t="s">
        <v>4216</v>
      </c>
      <c r="B4910" s="3" t="s">
        <v>5015</v>
      </c>
      <c r="C4910" s="3">
        <v>54</v>
      </c>
      <c r="D4910" s="46" t="str">
        <f>IF(Tabla1[[#This Row],[EDAD]]&lt;=35,"Adultos jóvenes 18 - 35 años",IF(C4910&gt;=36,"Adultos mayores 36 años en adelante"))</f>
        <v>Adultos mayores 36 años en adelante</v>
      </c>
      <c r="E4910" s="3" t="s">
        <v>5023</v>
      </c>
      <c r="F4910" s="3" t="s">
        <v>5025</v>
      </c>
      <c r="G4910" s="3" t="s">
        <v>5032</v>
      </c>
      <c r="H4910" s="3" t="s">
        <v>9239</v>
      </c>
      <c r="I4910" s="17">
        <v>45761</v>
      </c>
      <c r="J4910" s="18">
        <f>YEAR(Tabla1[[#This Row],[FECHA DE COMPRA]])</f>
        <v>2025</v>
      </c>
      <c r="K4910" s="19">
        <v>83.05</v>
      </c>
      <c r="L4910" s="20">
        <v>0.1</v>
      </c>
      <c r="M4910" s="19">
        <f>Tienda!$K4861-Tienda!$K4861*Tienda!$L4861</f>
        <v>163.32300000000001</v>
      </c>
      <c r="N4910" s="3" t="s">
        <v>10038</v>
      </c>
      <c r="O4910" s="3" t="s">
        <v>10042</v>
      </c>
      <c r="P4910" s="17">
        <v>45941</v>
      </c>
      <c r="Q4910" s="4">
        <v>6</v>
      </c>
    </row>
    <row r="4911" spans="1:17" ht="30" x14ac:dyDescent="0.25">
      <c r="A4911" s="2" t="s">
        <v>3023</v>
      </c>
      <c r="B4911" s="3" t="s">
        <v>5016</v>
      </c>
      <c r="C4911" s="3">
        <v>37</v>
      </c>
      <c r="D4911" s="46" t="str">
        <f>IF(Tabla1[[#This Row],[EDAD]]&lt;=35,"Adultos jóvenes 18 - 35 años",IF(C4911&gt;=36,"Adultos mayores 36 años en adelante"))</f>
        <v>Adultos mayores 36 años en adelante</v>
      </c>
      <c r="E4911" s="3" t="s">
        <v>5023</v>
      </c>
      <c r="F4911" s="3" t="s">
        <v>5027</v>
      </c>
      <c r="G4911" s="3" t="s">
        <v>5032</v>
      </c>
      <c r="H4911" s="3" t="s">
        <v>8046</v>
      </c>
      <c r="I4911" s="17">
        <v>45753</v>
      </c>
      <c r="J4911" s="18">
        <f>YEAR(Tabla1[[#This Row],[FECHA DE COMPRA]])</f>
        <v>2025</v>
      </c>
      <c r="K4911" s="19">
        <v>89.01</v>
      </c>
      <c r="L4911" s="20">
        <v>0.2</v>
      </c>
      <c r="M4911" s="19">
        <f>Tienda!$K4862-Tienda!$K4862*Tienda!$L4862</f>
        <v>99.341999999999999</v>
      </c>
      <c r="N4911" s="3" t="s">
        <v>10038</v>
      </c>
      <c r="O4911" s="3" t="s">
        <v>10042</v>
      </c>
      <c r="P4911" s="17">
        <v>46023</v>
      </c>
      <c r="Q4911" s="4">
        <v>9</v>
      </c>
    </row>
    <row r="4912" spans="1:17" ht="30" x14ac:dyDescent="0.25">
      <c r="A4912" s="2" t="s">
        <v>1582</v>
      </c>
      <c r="B4912" s="3" t="s">
        <v>5016</v>
      </c>
      <c r="C4912" s="3">
        <v>51</v>
      </c>
      <c r="D4912" s="46" t="str">
        <f>IF(Tabla1[[#This Row],[EDAD]]&lt;=35,"Adultos jóvenes 18 - 35 años",IF(C4912&gt;=36,"Adultos mayores 36 años en adelante"))</f>
        <v>Adultos mayores 36 años en adelante</v>
      </c>
      <c r="E4912" s="3" t="s">
        <v>5017</v>
      </c>
      <c r="F4912" s="3" t="s">
        <v>5024</v>
      </c>
      <c r="G4912" s="3" t="s">
        <v>5034</v>
      </c>
      <c r="H4912" s="3" t="s">
        <v>6605</v>
      </c>
      <c r="I4912" s="17">
        <v>45777</v>
      </c>
      <c r="J4912" s="18">
        <f>YEAR(Tabla1[[#This Row],[FECHA DE COMPRA]])</f>
        <v>2025</v>
      </c>
      <c r="K4912" s="19">
        <v>89.93</v>
      </c>
      <c r="L4912" s="20">
        <v>0.2</v>
      </c>
      <c r="M4912" s="19">
        <f>Tienda!$K4863-Tienda!$K4863*Tienda!$L4863</f>
        <v>36.239999999999995</v>
      </c>
      <c r="N4912" s="3" t="s">
        <v>10038</v>
      </c>
      <c r="O4912" s="3" t="s">
        <v>10042</v>
      </c>
      <c r="P4912" s="17">
        <v>46137</v>
      </c>
      <c r="Q4912" s="4">
        <v>12</v>
      </c>
    </row>
    <row r="4913" spans="1:17" ht="30" x14ac:dyDescent="0.25">
      <c r="A4913" s="2" t="s">
        <v>2889</v>
      </c>
      <c r="B4913" s="3" t="s">
        <v>5015</v>
      </c>
      <c r="C4913" s="3">
        <v>52</v>
      </c>
      <c r="D4913" s="46" t="str">
        <f>IF(Tabla1[[#This Row],[EDAD]]&lt;=35,"Adultos jóvenes 18 - 35 años",IF(C4913&gt;=36,"Adultos mayores 36 años en adelante"))</f>
        <v>Adultos mayores 36 años en adelante</v>
      </c>
      <c r="E4913" s="3" t="s">
        <v>5017</v>
      </c>
      <c r="F4913" s="3" t="s">
        <v>5024</v>
      </c>
      <c r="G4913" s="3" t="s">
        <v>5033</v>
      </c>
      <c r="H4913" s="3" t="s">
        <v>7912</v>
      </c>
      <c r="I4913" s="17">
        <v>45748</v>
      </c>
      <c r="J4913" s="18">
        <f>YEAR(Tabla1[[#This Row],[FECHA DE COMPRA]])</f>
        <v>2025</v>
      </c>
      <c r="K4913" s="19">
        <v>90.19</v>
      </c>
      <c r="L4913" s="20">
        <v>0.1</v>
      </c>
      <c r="M4913" s="19">
        <f>Tienda!$K4864-Tienda!$K4864*Tienda!$L4864</f>
        <v>24.548999999999999</v>
      </c>
      <c r="N4913" s="3" t="s">
        <v>10038</v>
      </c>
      <c r="O4913" s="3" t="s">
        <v>10042</v>
      </c>
      <c r="P4913" s="17">
        <v>45838</v>
      </c>
      <c r="Q4913" s="4">
        <v>3</v>
      </c>
    </row>
    <row r="4914" spans="1:17" ht="30" x14ac:dyDescent="0.25">
      <c r="A4914" s="2" t="s">
        <v>4235</v>
      </c>
      <c r="B4914" s="3" t="s">
        <v>5015</v>
      </c>
      <c r="C4914" s="3">
        <v>62</v>
      </c>
      <c r="D4914" s="46" t="str">
        <f>IF(Tabla1[[#This Row],[EDAD]]&lt;=35,"Adultos jóvenes 18 - 35 años",IF(C4914&gt;=36,"Adultos mayores 36 años en adelante"))</f>
        <v>Adultos mayores 36 años en adelante</v>
      </c>
      <c r="E4914" s="3" t="s">
        <v>5022</v>
      </c>
      <c r="F4914" s="3" t="s">
        <v>5025</v>
      </c>
      <c r="G4914" s="3" t="s">
        <v>5033</v>
      </c>
      <c r="H4914" s="3" t="s">
        <v>9258</v>
      </c>
      <c r="I4914" s="17">
        <v>45757</v>
      </c>
      <c r="J4914" s="18">
        <f>YEAR(Tabla1[[#This Row],[FECHA DE COMPRA]])</f>
        <v>2025</v>
      </c>
      <c r="K4914" s="19">
        <v>108.42</v>
      </c>
      <c r="L4914" s="20">
        <v>0.1</v>
      </c>
      <c r="M4914" s="19">
        <f>Tienda!$K4865-Tienda!$K4865*Tienda!$L4865</f>
        <v>106.104</v>
      </c>
      <c r="N4914" s="3" t="s">
        <v>10038</v>
      </c>
      <c r="O4914" s="3" t="s">
        <v>10042</v>
      </c>
      <c r="P4914" s="17">
        <v>45847</v>
      </c>
      <c r="Q4914" s="4">
        <v>3</v>
      </c>
    </row>
    <row r="4915" spans="1:17" ht="30" x14ac:dyDescent="0.25">
      <c r="A4915" s="2" t="s">
        <v>4821</v>
      </c>
      <c r="B4915" s="3" t="s">
        <v>5015</v>
      </c>
      <c r="C4915" s="3">
        <v>56</v>
      </c>
      <c r="D4915" s="46" t="str">
        <f>IF(Tabla1[[#This Row],[EDAD]]&lt;=35,"Adultos jóvenes 18 - 35 años",IF(C4915&gt;=36,"Adultos mayores 36 años en adelante"))</f>
        <v>Adultos mayores 36 años en adelante</v>
      </c>
      <c r="E4915" s="3" t="s">
        <v>5022</v>
      </c>
      <c r="F4915" s="3" t="s">
        <v>5024</v>
      </c>
      <c r="G4915" s="3" t="s">
        <v>5035</v>
      </c>
      <c r="H4915" s="3" t="s">
        <v>9844</v>
      </c>
      <c r="I4915" s="17">
        <v>45758</v>
      </c>
      <c r="J4915" s="18">
        <f>YEAR(Tabla1[[#This Row],[FECHA DE COMPRA]])</f>
        <v>2025</v>
      </c>
      <c r="K4915" s="19">
        <v>118.9</v>
      </c>
      <c r="L4915" s="20">
        <v>0</v>
      </c>
      <c r="M4915" s="19">
        <f>Tienda!$K4866-Tienda!$K4866*Tienda!$L4866</f>
        <v>39.311999999999998</v>
      </c>
      <c r="N4915" s="3" t="s">
        <v>10038</v>
      </c>
      <c r="O4915" s="3" t="s">
        <v>10042</v>
      </c>
      <c r="P4915" s="17">
        <v>46028</v>
      </c>
      <c r="Q4915" s="4">
        <v>9</v>
      </c>
    </row>
    <row r="4916" spans="1:17" ht="30" x14ac:dyDescent="0.25">
      <c r="A4916" s="2" t="s">
        <v>3109</v>
      </c>
      <c r="B4916" s="3" t="s">
        <v>5015</v>
      </c>
      <c r="C4916" s="3">
        <v>63</v>
      </c>
      <c r="D4916" s="46" t="str">
        <f>IF(Tabla1[[#This Row],[EDAD]]&lt;=35,"Adultos jóvenes 18 - 35 años",IF(C4916&gt;=36,"Adultos mayores 36 años en adelante"))</f>
        <v>Adultos mayores 36 años en adelante</v>
      </c>
      <c r="E4916" s="3" t="s">
        <v>5020</v>
      </c>
      <c r="F4916" s="3" t="s">
        <v>5030</v>
      </c>
      <c r="G4916" s="3" t="s">
        <v>5037</v>
      </c>
      <c r="H4916" s="3" t="s">
        <v>8132</v>
      </c>
      <c r="I4916" s="17">
        <v>45755</v>
      </c>
      <c r="J4916" s="18">
        <f>YEAR(Tabla1[[#This Row],[FECHA DE COMPRA]])</f>
        <v>2025</v>
      </c>
      <c r="K4916" s="19">
        <v>121.11</v>
      </c>
      <c r="L4916" s="20">
        <v>0.1</v>
      </c>
      <c r="M4916" s="19">
        <f>Tienda!$K4867-Tienda!$K4867*Tienda!$L4867</f>
        <v>55.472000000000001</v>
      </c>
      <c r="N4916" s="3" t="s">
        <v>10038</v>
      </c>
      <c r="O4916" s="3" t="s">
        <v>10042</v>
      </c>
      <c r="P4916" s="17">
        <v>45845</v>
      </c>
      <c r="Q4916" s="4">
        <v>3</v>
      </c>
    </row>
    <row r="4917" spans="1:17" ht="30" x14ac:dyDescent="0.25">
      <c r="A4917" s="2" t="s">
        <v>2672</v>
      </c>
      <c r="B4917" s="3" t="s">
        <v>5016</v>
      </c>
      <c r="C4917" s="3">
        <v>36</v>
      </c>
      <c r="D4917" s="46" t="str">
        <f>IF(Tabla1[[#This Row],[EDAD]]&lt;=35,"Adultos jóvenes 18 - 35 años",IF(C4917&gt;=36,"Adultos mayores 36 años en adelante"))</f>
        <v>Adultos mayores 36 años en adelante</v>
      </c>
      <c r="E4917" s="3" t="s">
        <v>5019</v>
      </c>
      <c r="F4917" s="3" t="s">
        <v>5025</v>
      </c>
      <c r="G4917" s="3" t="s">
        <v>5032</v>
      </c>
      <c r="H4917" s="3" t="s">
        <v>7695</v>
      </c>
      <c r="I4917" s="17">
        <v>45768</v>
      </c>
      <c r="J4917" s="18">
        <f>YEAR(Tabla1[[#This Row],[FECHA DE COMPRA]])</f>
        <v>2025</v>
      </c>
      <c r="K4917" s="19">
        <v>127.43</v>
      </c>
      <c r="L4917" s="20">
        <v>0.2</v>
      </c>
      <c r="M4917" s="19">
        <f>Tienda!$K4868-Tienda!$K4868*Tienda!$L4868</f>
        <v>69.164999999999992</v>
      </c>
      <c r="N4917" s="3" t="s">
        <v>10038</v>
      </c>
      <c r="O4917" s="3" t="s">
        <v>10042</v>
      </c>
      <c r="P4917" s="17">
        <v>46128</v>
      </c>
      <c r="Q4917" s="4">
        <v>12</v>
      </c>
    </row>
    <row r="4918" spans="1:17" ht="30" x14ac:dyDescent="0.25">
      <c r="A4918" s="2" t="s">
        <v>3526</v>
      </c>
      <c r="B4918" s="3" t="s">
        <v>5016</v>
      </c>
      <c r="C4918" s="3">
        <v>64</v>
      </c>
      <c r="D4918" s="46" t="str">
        <f>IF(Tabla1[[#This Row],[EDAD]]&lt;=35,"Adultos jóvenes 18 - 35 años",IF(C4918&gt;=36,"Adultos mayores 36 años en adelante"))</f>
        <v>Adultos mayores 36 años en adelante</v>
      </c>
      <c r="E4918" s="3" t="s">
        <v>5023</v>
      </c>
      <c r="F4918" s="3" t="s">
        <v>5026</v>
      </c>
      <c r="G4918" s="3" t="s">
        <v>5035</v>
      </c>
      <c r="H4918" s="3" t="s">
        <v>8549</v>
      </c>
      <c r="I4918" s="17">
        <v>45756</v>
      </c>
      <c r="J4918" s="18">
        <f>YEAR(Tabla1[[#This Row],[FECHA DE COMPRA]])</f>
        <v>2025</v>
      </c>
      <c r="K4918" s="19">
        <v>132.03</v>
      </c>
      <c r="L4918" s="20">
        <v>0.3</v>
      </c>
      <c r="M4918" s="19">
        <f>Tienda!$K4869-Tienda!$K4869*Tienda!$L4869</f>
        <v>119.99</v>
      </c>
      <c r="N4918" s="3" t="s">
        <v>10038</v>
      </c>
      <c r="O4918" s="3" t="s">
        <v>10042</v>
      </c>
      <c r="P4918" s="17">
        <v>45846</v>
      </c>
      <c r="Q4918" s="4">
        <v>3</v>
      </c>
    </row>
    <row r="4919" spans="1:17" ht="30" x14ac:dyDescent="0.25">
      <c r="A4919" s="2" t="s">
        <v>1638</v>
      </c>
      <c r="B4919" s="3" t="s">
        <v>5015</v>
      </c>
      <c r="C4919" s="3">
        <v>41</v>
      </c>
      <c r="D4919" s="46" t="str">
        <f>IF(Tabla1[[#This Row],[EDAD]]&lt;=35,"Adultos jóvenes 18 - 35 años",IF(C4919&gt;=36,"Adultos mayores 36 años en adelante"))</f>
        <v>Adultos mayores 36 años en adelante</v>
      </c>
      <c r="E4919" s="3" t="s">
        <v>5023</v>
      </c>
      <c r="F4919" s="3" t="s">
        <v>5028</v>
      </c>
      <c r="G4919" s="3" t="s">
        <v>5035</v>
      </c>
      <c r="H4919" s="3" t="s">
        <v>6661</v>
      </c>
      <c r="I4919" s="17">
        <v>45772</v>
      </c>
      <c r="J4919" s="18">
        <f>YEAR(Tabla1[[#This Row],[FECHA DE COMPRA]])</f>
        <v>2025</v>
      </c>
      <c r="K4919" s="19">
        <v>138.80000000000001</v>
      </c>
      <c r="L4919" s="20">
        <v>0.1</v>
      </c>
      <c r="M4919" s="19">
        <f>Tienda!$K4871-Tienda!$K4871*Tienda!$L4871</f>
        <v>23.318999999999999</v>
      </c>
      <c r="N4919" s="3" t="s">
        <v>10038</v>
      </c>
      <c r="O4919" s="3" t="s">
        <v>10042</v>
      </c>
      <c r="P4919" s="17">
        <v>45952</v>
      </c>
      <c r="Q4919" s="4">
        <v>6</v>
      </c>
    </row>
    <row r="4920" spans="1:17" ht="30" x14ac:dyDescent="0.25">
      <c r="A4920" s="2" t="s">
        <v>1290</v>
      </c>
      <c r="B4920" s="3" t="s">
        <v>5016</v>
      </c>
      <c r="C4920" s="3">
        <v>54</v>
      </c>
      <c r="D4920" s="46" t="str">
        <f>IF(Tabla1[[#This Row],[EDAD]]&lt;=35,"Adultos jóvenes 18 - 35 años",IF(C4920&gt;=36,"Adultos mayores 36 años en adelante"))</f>
        <v>Adultos mayores 36 años en adelante</v>
      </c>
      <c r="E4920" s="3" t="s">
        <v>5017</v>
      </c>
      <c r="F4920" s="3" t="s">
        <v>5029</v>
      </c>
      <c r="G4920" s="3" t="s">
        <v>5037</v>
      </c>
      <c r="H4920" s="3" t="s">
        <v>6313</v>
      </c>
      <c r="I4920" s="17">
        <v>45760</v>
      </c>
      <c r="J4920" s="18">
        <f>YEAR(Tabla1[[#This Row],[FECHA DE COMPRA]])</f>
        <v>2025</v>
      </c>
      <c r="K4920" s="19">
        <v>148.69999999999999</v>
      </c>
      <c r="L4920" s="20">
        <v>0.2</v>
      </c>
      <c r="M4920" s="19">
        <f>Tienda!$K4872-Tienda!$K4872*Tienda!$L4872</f>
        <v>153.846</v>
      </c>
      <c r="N4920" s="3" t="s">
        <v>10038</v>
      </c>
      <c r="O4920" s="3" t="s">
        <v>10042</v>
      </c>
      <c r="P4920" s="17">
        <v>46030</v>
      </c>
      <c r="Q4920" s="4">
        <v>9</v>
      </c>
    </row>
    <row r="4921" spans="1:17" ht="30" x14ac:dyDescent="0.25">
      <c r="A4921" s="2" t="s">
        <v>3465</v>
      </c>
      <c r="B4921" s="3" t="s">
        <v>5015</v>
      </c>
      <c r="C4921" s="3">
        <v>39</v>
      </c>
      <c r="D4921" s="46" t="str">
        <f>IF(Tabla1[[#This Row],[EDAD]]&lt;=35,"Adultos jóvenes 18 - 35 años",IF(C4921&gt;=36,"Adultos mayores 36 años en adelante"))</f>
        <v>Adultos mayores 36 años en adelante</v>
      </c>
      <c r="E4921" s="3" t="s">
        <v>5021</v>
      </c>
      <c r="F4921" s="3" t="s">
        <v>5028</v>
      </c>
      <c r="G4921" s="3" t="s">
        <v>5032</v>
      </c>
      <c r="H4921" s="3" t="s">
        <v>8488</v>
      </c>
      <c r="I4921" s="17">
        <v>45751</v>
      </c>
      <c r="J4921" s="18">
        <f>YEAR(Tabla1[[#This Row],[FECHA DE COMPRA]])</f>
        <v>2025</v>
      </c>
      <c r="K4921" s="19">
        <v>149.46</v>
      </c>
      <c r="L4921" s="20">
        <v>0.1</v>
      </c>
      <c r="M4921" s="19">
        <f>Tienda!$K4873-Tienda!$K4873*Tienda!$L4873</f>
        <v>15.256</v>
      </c>
      <c r="N4921" s="3" t="s">
        <v>10038</v>
      </c>
      <c r="O4921" s="3" t="s">
        <v>10042</v>
      </c>
      <c r="P4921" s="17">
        <v>46111</v>
      </c>
      <c r="Q4921" s="4">
        <v>12</v>
      </c>
    </row>
    <row r="4922" spans="1:17" ht="30" x14ac:dyDescent="0.25">
      <c r="A4922" s="2" t="s">
        <v>2958</v>
      </c>
      <c r="B4922" s="3" t="s">
        <v>5015</v>
      </c>
      <c r="C4922" s="3">
        <v>51</v>
      </c>
      <c r="D4922" s="46" t="str">
        <f>IF(Tabla1[[#This Row],[EDAD]]&lt;=35,"Adultos jóvenes 18 - 35 años",IF(C4922&gt;=36,"Adultos mayores 36 años en adelante"))</f>
        <v>Adultos mayores 36 años en adelante</v>
      </c>
      <c r="E4922" s="3" t="s">
        <v>5017</v>
      </c>
      <c r="F4922" s="3" t="s">
        <v>5027</v>
      </c>
      <c r="G4922" s="3" t="s">
        <v>5032</v>
      </c>
      <c r="H4922" s="3" t="s">
        <v>7981</v>
      </c>
      <c r="I4922" s="17">
        <v>45758</v>
      </c>
      <c r="J4922" s="18">
        <f>YEAR(Tabla1[[#This Row],[FECHA DE COMPRA]])</f>
        <v>2025</v>
      </c>
      <c r="K4922" s="19">
        <v>151.88</v>
      </c>
      <c r="L4922" s="20">
        <v>0</v>
      </c>
      <c r="M4922" s="19">
        <f>Tienda!$K4874-Tienda!$K4874*Tienda!$L4874</f>
        <v>18.928000000000001</v>
      </c>
      <c r="N4922" s="3" t="s">
        <v>10038</v>
      </c>
      <c r="O4922" s="3" t="s">
        <v>10042</v>
      </c>
      <c r="P4922" s="17">
        <v>45938</v>
      </c>
      <c r="Q4922" s="4">
        <v>6</v>
      </c>
    </row>
    <row r="4923" spans="1:17" ht="30" x14ac:dyDescent="0.25">
      <c r="A4923" s="2" t="s">
        <v>197</v>
      </c>
      <c r="B4923" s="3" t="s">
        <v>5015</v>
      </c>
      <c r="C4923" s="3">
        <v>47</v>
      </c>
      <c r="D4923" s="46" t="str">
        <f>IF(Tabla1[[#This Row],[EDAD]]&lt;=35,"Adultos jóvenes 18 - 35 años",IF(C4923&gt;=36,"Adultos mayores 36 años en adelante"))</f>
        <v>Adultos mayores 36 años en adelante</v>
      </c>
      <c r="E4923" s="3" t="s">
        <v>5018</v>
      </c>
      <c r="F4923" s="3" t="s">
        <v>5024</v>
      </c>
      <c r="G4923" s="3" t="s">
        <v>5035</v>
      </c>
      <c r="H4923" s="3" t="s">
        <v>5220</v>
      </c>
      <c r="I4923" s="17">
        <v>45773</v>
      </c>
      <c r="J4923" s="18">
        <f>YEAR(Tabla1[[#This Row],[FECHA DE COMPRA]])</f>
        <v>2025</v>
      </c>
      <c r="K4923" s="19">
        <v>165.57</v>
      </c>
      <c r="L4923" s="20">
        <v>0.1</v>
      </c>
      <c r="M4923" s="19">
        <f>Tienda!$K4875-Tienda!$K4875*Tienda!$L4875</f>
        <v>26.975999999999999</v>
      </c>
      <c r="N4923" s="3" t="s">
        <v>10038</v>
      </c>
      <c r="O4923" s="3" t="s">
        <v>10042</v>
      </c>
      <c r="P4923" s="17">
        <v>46043</v>
      </c>
      <c r="Q4923" s="4">
        <v>9</v>
      </c>
    </row>
    <row r="4924" spans="1:17" ht="30" x14ac:dyDescent="0.25">
      <c r="A4924" s="2" t="s">
        <v>3697</v>
      </c>
      <c r="B4924" s="3" t="s">
        <v>5015</v>
      </c>
      <c r="C4924" s="3">
        <v>59</v>
      </c>
      <c r="D4924" s="46" t="str">
        <f>IF(Tabla1[[#This Row],[EDAD]]&lt;=35,"Adultos jóvenes 18 - 35 años",IF(C4924&gt;=36,"Adultos mayores 36 años en adelante"))</f>
        <v>Adultos mayores 36 años en adelante</v>
      </c>
      <c r="E4924" s="3" t="s">
        <v>5017</v>
      </c>
      <c r="F4924" s="3" t="s">
        <v>5027</v>
      </c>
      <c r="G4924" s="3" t="s">
        <v>5036</v>
      </c>
      <c r="H4924" s="3" t="s">
        <v>8720</v>
      </c>
      <c r="I4924" s="17">
        <v>45750</v>
      </c>
      <c r="J4924" s="18">
        <f>YEAR(Tabla1[[#This Row],[FECHA DE COMPRA]])</f>
        <v>2025</v>
      </c>
      <c r="K4924" s="19">
        <v>176.46</v>
      </c>
      <c r="L4924" s="20">
        <v>0</v>
      </c>
      <c r="M4924" s="19">
        <f>Tienda!$K4877-Tienda!$K4877*Tienda!$L4877</f>
        <v>25.018000000000001</v>
      </c>
      <c r="N4924" s="3" t="s">
        <v>10038</v>
      </c>
      <c r="O4924" s="3" t="s">
        <v>10042</v>
      </c>
      <c r="P4924" s="17">
        <v>46110</v>
      </c>
      <c r="Q4924" s="4">
        <v>12</v>
      </c>
    </row>
    <row r="4925" spans="1:17" ht="30" x14ac:dyDescent="0.25">
      <c r="A4925" s="2" t="s">
        <v>2639</v>
      </c>
      <c r="B4925" s="3" t="s">
        <v>5015</v>
      </c>
      <c r="C4925" s="3">
        <v>53</v>
      </c>
      <c r="D4925" s="46" t="str">
        <f>IF(Tabla1[[#This Row],[EDAD]]&lt;=35,"Adultos jóvenes 18 - 35 años",IF(C4925&gt;=36,"Adultos mayores 36 años en adelante"))</f>
        <v>Adultos mayores 36 años en adelante</v>
      </c>
      <c r="E4925" s="3" t="s">
        <v>5020</v>
      </c>
      <c r="F4925" s="3" t="s">
        <v>5026</v>
      </c>
      <c r="G4925" s="3" t="s">
        <v>5035</v>
      </c>
      <c r="H4925" s="3" t="s">
        <v>7662</v>
      </c>
      <c r="I4925" s="17">
        <v>45761</v>
      </c>
      <c r="J4925" s="18">
        <f>YEAR(Tabla1[[#This Row],[FECHA DE COMPRA]])</f>
        <v>2025</v>
      </c>
      <c r="K4925" s="19">
        <v>183.08</v>
      </c>
      <c r="L4925" s="20">
        <v>0.1</v>
      </c>
      <c r="M4925" s="19">
        <f>Tienda!$K4878-Tienda!$K4878*Tienda!$L4878</f>
        <v>35.811</v>
      </c>
      <c r="N4925" s="3" t="s">
        <v>10038</v>
      </c>
      <c r="O4925" s="3" t="s">
        <v>10042</v>
      </c>
      <c r="P4925" s="17">
        <v>45851</v>
      </c>
      <c r="Q4925" s="4">
        <v>3</v>
      </c>
    </row>
    <row r="4926" spans="1:17" ht="30" x14ac:dyDescent="0.25">
      <c r="A4926" s="2" t="s">
        <v>2054</v>
      </c>
      <c r="B4926" s="3" t="s">
        <v>5015</v>
      </c>
      <c r="C4926" s="3">
        <v>46</v>
      </c>
      <c r="D4926" s="46" t="str">
        <f>IF(Tabla1[[#This Row],[EDAD]]&lt;=35,"Adultos jóvenes 18 - 35 años",IF(C4926&gt;=36,"Adultos mayores 36 años en adelante"))</f>
        <v>Adultos mayores 36 años en adelante</v>
      </c>
      <c r="E4926" s="3" t="s">
        <v>5021</v>
      </c>
      <c r="F4926" s="3" t="s">
        <v>5029</v>
      </c>
      <c r="G4926" s="3" t="s">
        <v>5037</v>
      </c>
      <c r="H4926" s="3" t="s">
        <v>7077</v>
      </c>
      <c r="I4926" s="17">
        <v>45749</v>
      </c>
      <c r="J4926" s="18">
        <f>YEAR(Tabla1[[#This Row],[FECHA DE COMPRA]])</f>
        <v>2025</v>
      </c>
      <c r="K4926" s="19">
        <v>183.9</v>
      </c>
      <c r="L4926" s="20">
        <v>0.3</v>
      </c>
      <c r="M4926" s="19">
        <f>Tienda!$K4879-Tienda!$K4879*Tienda!$L4879</f>
        <v>48.94</v>
      </c>
      <c r="N4926" s="3" t="s">
        <v>10038</v>
      </c>
      <c r="O4926" s="3" t="s">
        <v>10042</v>
      </c>
      <c r="P4926" s="17">
        <v>46109</v>
      </c>
      <c r="Q4926" s="4">
        <v>12</v>
      </c>
    </row>
    <row r="4927" spans="1:17" ht="30" x14ac:dyDescent="0.25">
      <c r="A4927" s="2" t="s">
        <v>1017</v>
      </c>
      <c r="B4927" s="3" t="s">
        <v>5015</v>
      </c>
      <c r="C4927" s="3">
        <v>58</v>
      </c>
      <c r="D4927" s="46" t="str">
        <f>IF(Tabla1[[#This Row],[EDAD]]&lt;=35,"Adultos jóvenes 18 - 35 años",IF(C4927&gt;=36,"Adultos mayores 36 años en adelante"))</f>
        <v>Adultos mayores 36 años en adelante</v>
      </c>
      <c r="E4927" s="3" t="s">
        <v>5020</v>
      </c>
      <c r="F4927" s="3" t="s">
        <v>5028</v>
      </c>
      <c r="G4927" s="3" t="s">
        <v>5035</v>
      </c>
      <c r="H4927" s="3" t="s">
        <v>6040</v>
      </c>
      <c r="I4927" s="17">
        <v>45775</v>
      </c>
      <c r="J4927" s="18">
        <f>YEAR(Tabla1[[#This Row],[FECHA DE COMPRA]])</f>
        <v>2025</v>
      </c>
      <c r="K4927" s="19">
        <v>185.51</v>
      </c>
      <c r="L4927" s="20">
        <v>0.2</v>
      </c>
      <c r="M4927" s="19">
        <f>Tienda!$K4880-Tienda!$K4880*Tienda!$L4880</f>
        <v>45</v>
      </c>
      <c r="N4927" s="3" t="s">
        <v>10038</v>
      </c>
      <c r="O4927" s="3" t="s">
        <v>10042</v>
      </c>
      <c r="P4927" s="17">
        <v>45865</v>
      </c>
      <c r="Q4927" s="4">
        <v>3</v>
      </c>
    </row>
    <row r="4928" spans="1:17" ht="30" x14ac:dyDescent="0.25">
      <c r="A4928" s="2" t="s">
        <v>1267</v>
      </c>
      <c r="B4928" s="3" t="s">
        <v>5015</v>
      </c>
      <c r="C4928" s="3">
        <v>55</v>
      </c>
      <c r="D4928" s="46" t="str">
        <f>IF(Tabla1[[#This Row],[EDAD]]&lt;=35,"Adultos jóvenes 18 - 35 años",IF(C4928&gt;=36,"Adultos mayores 36 años en adelante"))</f>
        <v>Adultos mayores 36 años en adelante</v>
      </c>
      <c r="E4928" s="3" t="s">
        <v>5020</v>
      </c>
      <c r="F4928" s="3" t="s">
        <v>5028</v>
      </c>
      <c r="G4928" s="3" t="s">
        <v>5035</v>
      </c>
      <c r="H4928" s="3" t="s">
        <v>6290</v>
      </c>
      <c r="I4928" s="17">
        <v>45775</v>
      </c>
      <c r="J4928" s="18">
        <f>YEAR(Tabla1[[#This Row],[FECHA DE COMPRA]])</f>
        <v>2025</v>
      </c>
      <c r="K4928" s="19">
        <v>197.78</v>
      </c>
      <c r="L4928" s="20">
        <v>0.3</v>
      </c>
      <c r="M4928" s="19">
        <f>Tienda!$K4884-Tienda!$K4884*Tienda!$L4884</f>
        <v>72.63</v>
      </c>
      <c r="N4928" s="3" t="s">
        <v>10038</v>
      </c>
      <c r="O4928" s="3" t="s">
        <v>10042</v>
      </c>
      <c r="P4928" s="17">
        <v>45865</v>
      </c>
      <c r="Q4928" s="4">
        <v>3</v>
      </c>
    </row>
    <row r="4929" spans="1:17" ht="30" x14ac:dyDescent="0.25">
      <c r="A4929" s="2" t="s">
        <v>1243</v>
      </c>
      <c r="B4929" s="3" t="s">
        <v>5016</v>
      </c>
      <c r="C4929" s="3">
        <v>50</v>
      </c>
      <c r="D4929" s="46" t="str">
        <f>IF(Tabla1[[#This Row],[EDAD]]&lt;=35,"Adultos jóvenes 18 - 35 años",IF(C4929&gt;=36,"Adultos mayores 36 años en adelante"))</f>
        <v>Adultos mayores 36 años en adelante</v>
      </c>
      <c r="E4929" s="3" t="s">
        <v>5017</v>
      </c>
      <c r="F4929" s="3" t="s">
        <v>5030</v>
      </c>
      <c r="G4929" s="3" t="s">
        <v>5035</v>
      </c>
      <c r="H4929" s="3" t="s">
        <v>6266</v>
      </c>
      <c r="I4929" s="17">
        <v>45803</v>
      </c>
      <c r="J4929" s="18">
        <f>YEAR(Tabla1[[#This Row],[FECHA DE COMPRA]])</f>
        <v>2025</v>
      </c>
      <c r="K4929" s="19">
        <v>27.04</v>
      </c>
      <c r="L4929" s="20">
        <v>0.3</v>
      </c>
      <c r="M4929" s="19">
        <f>Tienda!$K4887-Tienda!$K4887*Tienda!$L4887</f>
        <v>97.22</v>
      </c>
      <c r="N4929" s="3" t="s">
        <v>10038</v>
      </c>
      <c r="O4929" s="3" t="s">
        <v>10042</v>
      </c>
      <c r="P4929" s="17">
        <v>45893</v>
      </c>
      <c r="Q4929" s="4">
        <v>3</v>
      </c>
    </row>
    <row r="4930" spans="1:17" ht="30" x14ac:dyDescent="0.25">
      <c r="A4930" s="2" t="s">
        <v>689</v>
      </c>
      <c r="B4930" s="3" t="s">
        <v>5016</v>
      </c>
      <c r="C4930" s="3">
        <v>42</v>
      </c>
      <c r="D4930" s="46" t="str">
        <f>IF(Tabla1[[#This Row],[EDAD]]&lt;=35,"Adultos jóvenes 18 - 35 años",IF(C4930&gt;=36,"Adultos mayores 36 años en adelante"))</f>
        <v>Adultos mayores 36 años en adelante</v>
      </c>
      <c r="E4930" s="3" t="s">
        <v>5017</v>
      </c>
      <c r="F4930" s="3" t="s">
        <v>5027</v>
      </c>
      <c r="G4930" s="3" t="s">
        <v>5035</v>
      </c>
      <c r="H4930" s="3" t="s">
        <v>5712</v>
      </c>
      <c r="I4930" s="17">
        <v>45790</v>
      </c>
      <c r="J4930" s="18">
        <f>YEAR(Tabla1[[#This Row],[FECHA DE COMPRA]])</f>
        <v>2025</v>
      </c>
      <c r="K4930" s="19">
        <v>28.34</v>
      </c>
      <c r="L4930" s="20">
        <v>0.3</v>
      </c>
      <c r="M4930" s="19">
        <f>Tienda!$K4889-Tienda!$K4889*Tienda!$L4889</f>
        <v>113.98</v>
      </c>
      <c r="N4930" s="3" t="s">
        <v>10038</v>
      </c>
      <c r="O4930" s="3" t="s">
        <v>10042</v>
      </c>
      <c r="P4930" s="17">
        <v>46060</v>
      </c>
      <c r="Q4930" s="4">
        <v>9</v>
      </c>
    </row>
    <row r="4931" spans="1:17" ht="30" x14ac:dyDescent="0.25">
      <c r="A4931" s="2" t="s">
        <v>4894</v>
      </c>
      <c r="B4931" s="3" t="s">
        <v>5015</v>
      </c>
      <c r="C4931" s="3">
        <v>58</v>
      </c>
      <c r="D4931" s="46" t="str">
        <f>IF(Tabla1[[#This Row],[EDAD]]&lt;=35,"Adultos jóvenes 18 - 35 años",IF(C4931&gt;=36,"Adultos mayores 36 años en adelante"))</f>
        <v>Adultos mayores 36 años en adelante</v>
      </c>
      <c r="E4931" s="3" t="s">
        <v>5019</v>
      </c>
      <c r="F4931" s="3" t="s">
        <v>5026</v>
      </c>
      <c r="G4931" s="3" t="s">
        <v>5034</v>
      </c>
      <c r="H4931" s="3" t="s">
        <v>9917</v>
      </c>
      <c r="I4931" s="17">
        <v>45802</v>
      </c>
      <c r="J4931" s="18">
        <f>YEAR(Tabla1[[#This Row],[FECHA DE COMPRA]])</f>
        <v>2025</v>
      </c>
      <c r="K4931" s="19">
        <v>33.03</v>
      </c>
      <c r="L4931" s="20">
        <v>0.2</v>
      </c>
      <c r="M4931" s="19">
        <f>Tienda!$K4891-Tienda!$K4891*Tienda!$L4891</f>
        <v>96.929000000000002</v>
      </c>
      <c r="N4931" s="3" t="s">
        <v>10038</v>
      </c>
      <c r="O4931" s="3" t="s">
        <v>10042</v>
      </c>
      <c r="P4931" s="17">
        <v>45982</v>
      </c>
      <c r="Q4931" s="4">
        <v>6</v>
      </c>
    </row>
    <row r="4932" spans="1:17" ht="30" x14ac:dyDescent="0.25">
      <c r="A4932" s="2" t="s">
        <v>3541</v>
      </c>
      <c r="B4932" s="3" t="s">
        <v>5015</v>
      </c>
      <c r="C4932" s="3">
        <v>53</v>
      </c>
      <c r="D4932" s="46" t="str">
        <f>IF(Tabla1[[#This Row],[EDAD]]&lt;=35,"Adultos jóvenes 18 - 35 años",IF(C4932&gt;=36,"Adultos mayores 36 años en adelante"))</f>
        <v>Adultos mayores 36 años en adelante</v>
      </c>
      <c r="E4932" s="3" t="s">
        <v>5020</v>
      </c>
      <c r="F4932" s="3" t="s">
        <v>5025</v>
      </c>
      <c r="G4932" s="3" t="s">
        <v>5035</v>
      </c>
      <c r="H4932" s="3" t="s">
        <v>8564</v>
      </c>
      <c r="I4932" s="17">
        <v>45790</v>
      </c>
      <c r="J4932" s="18">
        <f>YEAR(Tabla1[[#This Row],[FECHA DE COMPRA]])</f>
        <v>2025</v>
      </c>
      <c r="K4932" s="19">
        <v>41.02</v>
      </c>
      <c r="L4932" s="20">
        <v>0.2</v>
      </c>
      <c r="M4932" s="19">
        <f>Tienda!$K4893-Tienda!$K4893*Tienda!$L4893</f>
        <v>142.4</v>
      </c>
      <c r="N4932" s="3" t="s">
        <v>10038</v>
      </c>
      <c r="O4932" s="3" t="s">
        <v>10042</v>
      </c>
      <c r="P4932" s="17">
        <v>45880</v>
      </c>
      <c r="Q4932" s="4">
        <v>3</v>
      </c>
    </row>
    <row r="4933" spans="1:17" ht="30" x14ac:dyDescent="0.25">
      <c r="A4933" s="2" t="s">
        <v>1850</v>
      </c>
      <c r="B4933" s="3" t="s">
        <v>5015</v>
      </c>
      <c r="C4933" s="3">
        <v>65</v>
      </c>
      <c r="D4933" s="46" t="str">
        <f>IF(Tabla1[[#This Row],[EDAD]]&lt;=35,"Adultos jóvenes 18 - 35 años",IF(C4933&gt;=36,"Adultos mayores 36 años en adelante"))</f>
        <v>Adultos mayores 36 años en adelante</v>
      </c>
      <c r="E4933" s="3" t="s">
        <v>5019</v>
      </c>
      <c r="F4933" s="3" t="s">
        <v>5028</v>
      </c>
      <c r="G4933" s="3" t="s">
        <v>5035</v>
      </c>
      <c r="H4933" s="3" t="s">
        <v>6873</v>
      </c>
      <c r="I4933" s="17">
        <v>45790</v>
      </c>
      <c r="J4933" s="18">
        <f>YEAR(Tabla1[[#This Row],[FECHA DE COMPRA]])</f>
        <v>2025</v>
      </c>
      <c r="K4933" s="19">
        <v>42.81</v>
      </c>
      <c r="L4933" s="20">
        <v>0.1</v>
      </c>
      <c r="M4933" s="19">
        <f>Tienda!$K4894-Tienda!$K4894*Tienda!$L4894</f>
        <v>128.22300000000001</v>
      </c>
      <c r="N4933" s="3" t="s">
        <v>10038</v>
      </c>
      <c r="O4933" s="3" t="s">
        <v>10042</v>
      </c>
      <c r="P4933" s="17">
        <v>46060</v>
      </c>
      <c r="Q4933" s="4">
        <v>9</v>
      </c>
    </row>
    <row r="4934" spans="1:17" ht="30" x14ac:dyDescent="0.25">
      <c r="A4934" s="2" t="s">
        <v>4568</v>
      </c>
      <c r="B4934" s="3" t="s">
        <v>5015</v>
      </c>
      <c r="C4934" s="3">
        <v>45</v>
      </c>
      <c r="D4934" s="46" t="str">
        <f>IF(Tabla1[[#This Row],[EDAD]]&lt;=35,"Adultos jóvenes 18 - 35 años",IF(C4934&gt;=36,"Adultos mayores 36 años en adelante"))</f>
        <v>Adultos mayores 36 años en adelante</v>
      </c>
      <c r="E4934" s="3" t="s">
        <v>5017</v>
      </c>
      <c r="F4934" s="3" t="s">
        <v>5029</v>
      </c>
      <c r="G4934" s="3" t="s">
        <v>5033</v>
      </c>
      <c r="H4934" s="3" t="s">
        <v>9591</v>
      </c>
      <c r="I4934" s="17">
        <v>45783</v>
      </c>
      <c r="J4934" s="18">
        <f>YEAR(Tabla1[[#This Row],[FECHA DE COMPRA]])</f>
        <v>2025</v>
      </c>
      <c r="K4934" s="19">
        <v>46.67</v>
      </c>
      <c r="L4934" s="20">
        <v>0.2</v>
      </c>
      <c r="M4934" s="19">
        <f>Tienda!$K4895-Tienda!$K4895*Tienda!$L4895</f>
        <v>135.06400000000002</v>
      </c>
      <c r="N4934" s="3" t="s">
        <v>10038</v>
      </c>
      <c r="O4934" s="3" t="s">
        <v>10042</v>
      </c>
      <c r="P4934" s="17">
        <v>46143</v>
      </c>
      <c r="Q4934" s="4">
        <v>12</v>
      </c>
    </row>
    <row r="4935" spans="1:17" ht="30" x14ac:dyDescent="0.25">
      <c r="A4935" s="2" t="s">
        <v>789</v>
      </c>
      <c r="B4935" s="3" t="s">
        <v>5015</v>
      </c>
      <c r="C4935" s="3">
        <v>49</v>
      </c>
      <c r="D4935" s="46" t="str">
        <f>IF(Tabla1[[#This Row],[EDAD]]&lt;=35,"Adultos jóvenes 18 - 35 años",IF(C4935&gt;=36,"Adultos mayores 36 años en adelante"))</f>
        <v>Adultos mayores 36 años en adelante</v>
      </c>
      <c r="E4935" s="3" t="s">
        <v>5020</v>
      </c>
      <c r="F4935" s="3" t="s">
        <v>5026</v>
      </c>
      <c r="G4935" s="3" t="s">
        <v>5033</v>
      </c>
      <c r="H4935" s="3" t="s">
        <v>5812</v>
      </c>
      <c r="I4935" s="17">
        <v>45797</v>
      </c>
      <c r="J4935" s="18">
        <f>YEAR(Tabla1[[#This Row],[FECHA DE COMPRA]])</f>
        <v>2025</v>
      </c>
      <c r="K4935" s="19">
        <v>78.53</v>
      </c>
      <c r="L4935" s="20">
        <v>0.2</v>
      </c>
      <c r="M4935" s="19">
        <f>Tienda!$K4897-Tienda!$K4897*Tienda!$L4897</f>
        <v>173.4</v>
      </c>
      <c r="N4935" s="3" t="s">
        <v>10038</v>
      </c>
      <c r="O4935" s="3" t="s">
        <v>10042</v>
      </c>
      <c r="P4935" s="17">
        <v>46157</v>
      </c>
      <c r="Q4935" s="4">
        <v>12</v>
      </c>
    </row>
    <row r="4936" spans="1:17" ht="30" x14ac:dyDescent="0.25">
      <c r="A4936" s="2" t="s">
        <v>3401</v>
      </c>
      <c r="B4936" s="3" t="s">
        <v>5016</v>
      </c>
      <c r="C4936" s="3">
        <v>50</v>
      </c>
      <c r="D4936" s="46" t="str">
        <f>IF(Tabla1[[#This Row],[EDAD]]&lt;=35,"Adultos jóvenes 18 - 35 años",IF(C4936&gt;=36,"Adultos mayores 36 años en adelante"))</f>
        <v>Adultos mayores 36 años en adelante</v>
      </c>
      <c r="E4936" s="3" t="s">
        <v>5023</v>
      </c>
      <c r="F4936" s="3" t="s">
        <v>5024</v>
      </c>
      <c r="G4936" s="3" t="s">
        <v>5034</v>
      </c>
      <c r="H4936" s="3" t="s">
        <v>8424</v>
      </c>
      <c r="I4936" s="17">
        <v>45793</v>
      </c>
      <c r="J4936" s="18">
        <f>YEAR(Tabla1[[#This Row],[FECHA DE COMPRA]])</f>
        <v>2025</v>
      </c>
      <c r="K4936" s="19">
        <v>85.47</v>
      </c>
      <c r="L4936" s="20">
        <v>0.2</v>
      </c>
      <c r="M4936" s="19">
        <f>Tienda!$K4899-Tienda!$K4899*Tienda!$L4899</f>
        <v>171.37799999999999</v>
      </c>
      <c r="N4936" s="3" t="s">
        <v>10038</v>
      </c>
      <c r="O4936" s="3" t="s">
        <v>10042</v>
      </c>
      <c r="P4936" s="17">
        <v>46063</v>
      </c>
      <c r="Q4936" s="4">
        <v>9</v>
      </c>
    </row>
    <row r="4937" spans="1:17" ht="30" x14ac:dyDescent="0.25">
      <c r="A4937" s="2" t="s">
        <v>1566</v>
      </c>
      <c r="B4937" s="3" t="s">
        <v>5015</v>
      </c>
      <c r="C4937" s="3">
        <v>49</v>
      </c>
      <c r="D4937" s="46" t="str">
        <f>IF(Tabla1[[#This Row],[EDAD]]&lt;=35,"Adultos jóvenes 18 - 35 años",IF(C4937&gt;=36,"Adultos mayores 36 años en adelante"))</f>
        <v>Adultos mayores 36 años en adelante</v>
      </c>
      <c r="E4937" s="3" t="s">
        <v>5020</v>
      </c>
      <c r="F4937" s="3" t="s">
        <v>5027</v>
      </c>
      <c r="G4937" s="3" t="s">
        <v>5034</v>
      </c>
      <c r="H4937" s="3" t="s">
        <v>6589</v>
      </c>
      <c r="I4937" s="17">
        <v>45778</v>
      </c>
      <c r="J4937" s="18">
        <f>YEAR(Tabla1[[#This Row],[FECHA DE COMPRA]])</f>
        <v>2025</v>
      </c>
      <c r="K4937" s="19">
        <v>88.73</v>
      </c>
      <c r="L4937" s="20">
        <v>0</v>
      </c>
      <c r="M4937" s="19">
        <f>Tienda!$K4900-Tienda!$K4900*Tienda!$L4900</f>
        <v>171.85499999999999</v>
      </c>
      <c r="N4937" s="3" t="s">
        <v>10038</v>
      </c>
      <c r="O4937" s="3" t="s">
        <v>10042</v>
      </c>
      <c r="P4937" s="17">
        <v>45958</v>
      </c>
      <c r="Q4937" s="4">
        <v>6</v>
      </c>
    </row>
    <row r="4938" spans="1:17" ht="30" x14ac:dyDescent="0.25">
      <c r="A4938" s="2" t="s">
        <v>285</v>
      </c>
      <c r="B4938" s="3" t="s">
        <v>5016</v>
      </c>
      <c r="C4938" s="3">
        <v>37</v>
      </c>
      <c r="D4938" s="46" t="str">
        <f>IF(Tabla1[[#This Row],[EDAD]]&lt;=35,"Adultos jóvenes 18 - 35 años",IF(C4938&gt;=36,"Adultos mayores 36 años en adelante"))</f>
        <v>Adultos mayores 36 años en adelante</v>
      </c>
      <c r="E4938" s="3" t="s">
        <v>5017</v>
      </c>
      <c r="F4938" s="3" t="s">
        <v>5029</v>
      </c>
      <c r="G4938" s="3" t="s">
        <v>5031</v>
      </c>
      <c r="H4938" s="3" t="s">
        <v>5308</v>
      </c>
      <c r="I4938" s="17">
        <v>45806</v>
      </c>
      <c r="J4938" s="18">
        <f>YEAR(Tabla1[[#This Row],[FECHA DE COMPRA]])</f>
        <v>2025</v>
      </c>
      <c r="K4938" s="19">
        <v>89.86</v>
      </c>
      <c r="L4938" s="20">
        <v>0.3</v>
      </c>
      <c r="M4938" s="19">
        <f>Tienda!$K4901-Tienda!$K4901*Tienda!$L4901</f>
        <v>135.53399999999999</v>
      </c>
      <c r="N4938" s="3" t="s">
        <v>10038</v>
      </c>
      <c r="O4938" s="3" t="s">
        <v>10042</v>
      </c>
      <c r="P4938" s="17">
        <v>46076</v>
      </c>
      <c r="Q4938" s="4">
        <v>9</v>
      </c>
    </row>
    <row r="4939" spans="1:17" ht="30" x14ac:dyDescent="0.25">
      <c r="A4939" s="2" t="s">
        <v>4930</v>
      </c>
      <c r="B4939" s="3" t="s">
        <v>5015</v>
      </c>
      <c r="C4939" s="3">
        <v>56</v>
      </c>
      <c r="D4939" s="46" t="str">
        <f>IF(Tabla1[[#This Row],[EDAD]]&lt;=35,"Adultos jóvenes 18 - 35 años",IF(C4939&gt;=36,"Adultos mayores 36 años en adelante"))</f>
        <v>Adultos mayores 36 años en adelante</v>
      </c>
      <c r="E4939" s="3" t="s">
        <v>5020</v>
      </c>
      <c r="F4939" s="3" t="s">
        <v>5026</v>
      </c>
      <c r="G4939" s="3" t="s">
        <v>5033</v>
      </c>
      <c r="H4939" s="3" t="s">
        <v>9953</v>
      </c>
      <c r="I4939" s="17">
        <v>45793</v>
      </c>
      <c r="J4939" s="18">
        <f>YEAR(Tabla1[[#This Row],[FECHA DE COMPRA]])</f>
        <v>2025</v>
      </c>
      <c r="K4939" s="19">
        <v>94.4</v>
      </c>
      <c r="L4939" s="20">
        <v>0.3</v>
      </c>
      <c r="M4939" s="19">
        <f>Tienda!$K4902-Tienda!$K4902*Tienda!$L4902</f>
        <v>194.31</v>
      </c>
      <c r="N4939" s="3" t="s">
        <v>10038</v>
      </c>
      <c r="O4939" s="3" t="s">
        <v>10042</v>
      </c>
      <c r="P4939" s="17">
        <v>46063</v>
      </c>
      <c r="Q4939" s="4">
        <v>9</v>
      </c>
    </row>
    <row r="4940" spans="1:17" ht="30" x14ac:dyDescent="0.25">
      <c r="A4940" s="2" t="s">
        <v>431</v>
      </c>
      <c r="B4940" s="3" t="s">
        <v>5016</v>
      </c>
      <c r="C4940" s="3">
        <v>53</v>
      </c>
      <c r="D4940" s="46" t="str">
        <f>IF(Tabla1[[#This Row],[EDAD]]&lt;=35,"Adultos jóvenes 18 - 35 años",IF(C4940&gt;=36,"Adultos mayores 36 años en adelante"))</f>
        <v>Adultos mayores 36 años en adelante</v>
      </c>
      <c r="E4940" s="3" t="s">
        <v>5021</v>
      </c>
      <c r="F4940" s="3" t="s">
        <v>5030</v>
      </c>
      <c r="G4940" s="3" t="s">
        <v>5034</v>
      </c>
      <c r="H4940" s="3" t="s">
        <v>5454</v>
      </c>
      <c r="I4940" s="17">
        <v>45798</v>
      </c>
      <c r="J4940" s="18">
        <f>YEAR(Tabla1[[#This Row],[FECHA DE COMPRA]])</f>
        <v>2025</v>
      </c>
      <c r="K4940" s="19">
        <v>96.44</v>
      </c>
      <c r="L4940" s="20">
        <v>0.1</v>
      </c>
      <c r="M4940" s="19">
        <f>Tienda!$K4903-Tienda!$K4903*Tienda!$L4903</f>
        <v>22.535999999999998</v>
      </c>
      <c r="N4940" s="3" t="s">
        <v>10038</v>
      </c>
      <c r="O4940" s="3" t="s">
        <v>10042</v>
      </c>
      <c r="P4940" s="17">
        <v>46158</v>
      </c>
      <c r="Q4940" s="4">
        <v>12</v>
      </c>
    </row>
    <row r="4941" spans="1:17" ht="30" x14ac:dyDescent="0.25">
      <c r="A4941" s="2" t="s">
        <v>501</v>
      </c>
      <c r="B4941" s="3" t="s">
        <v>5015</v>
      </c>
      <c r="C4941" s="3">
        <v>53</v>
      </c>
      <c r="D4941" s="46" t="str">
        <f>IF(Tabla1[[#This Row],[EDAD]]&lt;=35,"Adultos jóvenes 18 - 35 años",IF(C4941&gt;=36,"Adultos mayores 36 años en adelante"))</f>
        <v>Adultos mayores 36 años en adelante</v>
      </c>
      <c r="E4941" s="3" t="s">
        <v>5021</v>
      </c>
      <c r="F4941" s="3" t="s">
        <v>5025</v>
      </c>
      <c r="G4941" s="3" t="s">
        <v>5033</v>
      </c>
      <c r="H4941" s="3" t="s">
        <v>5524</v>
      </c>
      <c r="I4941" s="17">
        <v>45784</v>
      </c>
      <c r="J4941" s="18">
        <f>YEAR(Tabla1[[#This Row],[FECHA DE COMPRA]])</f>
        <v>2025</v>
      </c>
      <c r="K4941" s="19">
        <v>98.65</v>
      </c>
      <c r="L4941" s="20">
        <v>0</v>
      </c>
      <c r="M4941" s="19">
        <f>Tienda!$K4904-Tienda!$K4904*Tienda!$L4904</f>
        <v>28.08</v>
      </c>
      <c r="N4941" s="3" t="s">
        <v>10038</v>
      </c>
      <c r="O4941" s="3" t="s">
        <v>10042</v>
      </c>
      <c r="P4941" s="17">
        <v>46054</v>
      </c>
      <c r="Q4941" s="4">
        <v>9</v>
      </c>
    </row>
    <row r="4942" spans="1:17" ht="30" x14ac:dyDescent="0.25">
      <c r="A4942" s="2" t="s">
        <v>4288</v>
      </c>
      <c r="B4942" s="3" t="s">
        <v>5015</v>
      </c>
      <c r="C4942" s="3">
        <v>51</v>
      </c>
      <c r="D4942" s="46" t="str">
        <f>IF(Tabla1[[#This Row],[EDAD]]&lt;=35,"Adultos jóvenes 18 - 35 años",IF(C4942&gt;=36,"Adultos mayores 36 años en adelante"))</f>
        <v>Adultos mayores 36 años en adelante</v>
      </c>
      <c r="E4942" s="3" t="s">
        <v>5020</v>
      </c>
      <c r="F4942" s="3" t="s">
        <v>5026</v>
      </c>
      <c r="G4942" s="3" t="s">
        <v>5032</v>
      </c>
      <c r="H4942" s="3" t="s">
        <v>9311</v>
      </c>
      <c r="I4942" s="17">
        <v>45808</v>
      </c>
      <c r="J4942" s="18">
        <f>YEAR(Tabla1[[#This Row],[FECHA DE COMPRA]])</f>
        <v>2025</v>
      </c>
      <c r="K4942" s="19">
        <v>109</v>
      </c>
      <c r="L4942" s="20">
        <v>0.2</v>
      </c>
      <c r="M4942" s="19">
        <f>Tienda!$K4907-Tienda!$K4907*Tienda!$L4907</f>
        <v>57.128</v>
      </c>
      <c r="N4942" s="3" t="s">
        <v>10038</v>
      </c>
      <c r="O4942" s="3" t="s">
        <v>10042</v>
      </c>
      <c r="P4942" s="17">
        <v>45898</v>
      </c>
      <c r="Q4942" s="4">
        <v>3</v>
      </c>
    </row>
    <row r="4943" spans="1:17" ht="30" x14ac:dyDescent="0.25">
      <c r="A4943" s="2" t="s">
        <v>4004</v>
      </c>
      <c r="B4943" s="3" t="s">
        <v>5015</v>
      </c>
      <c r="C4943" s="3">
        <v>65</v>
      </c>
      <c r="D4943" s="46" t="str">
        <f>IF(Tabla1[[#This Row],[EDAD]]&lt;=35,"Adultos jóvenes 18 - 35 años",IF(C4943&gt;=36,"Adultos mayores 36 años en adelante"))</f>
        <v>Adultos mayores 36 años en adelante</v>
      </c>
      <c r="E4943" s="3" t="s">
        <v>5019</v>
      </c>
      <c r="F4943" s="3" t="s">
        <v>5029</v>
      </c>
      <c r="G4943" s="3" t="s">
        <v>5031</v>
      </c>
      <c r="H4943" s="3" t="s">
        <v>9027</v>
      </c>
      <c r="I4943" s="17">
        <v>45797</v>
      </c>
      <c r="J4943" s="18">
        <f>YEAR(Tabla1[[#This Row],[FECHA DE COMPRA]])</f>
        <v>2025</v>
      </c>
      <c r="K4943" s="19">
        <v>112.82</v>
      </c>
      <c r="L4943" s="20">
        <v>0</v>
      </c>
      <c r="M4943" s="19">
        <f>Tienda!$K4908-Tienda!$K4908*Tienda!$L4908</f>
        <v>51.1</v>
      </c>
      <c r="N4943" s="3" t="s">
        <v>10038</v>
      </c>
      <c r="O4943" s="3" t="s">
        <v>10042</v>
      </c>
      <c r="P4943" s="17">
        <v>45977</v>
      </c>
      <c r="Q4943" s="4">
        <v>6</v>
      </c>
    </row>
    <row r="4944" spans="1:17" ht="30" x14ac:dyDescent="0.25">
      <c r="A4944" s="2" t="s">
        <v>953</v>
      </c>
      <c r="B4944" s="3" t="s">
        <v>5015</v>
      </c>
      <c r="C4944" s="3">
        <v>53</v>
      </c>
      <c r="D4944" s="46" t="str">
        <f>IF(Tabla1[[#This Row],[EDAD]]&lt;=35,"Adultos jóvenes 18 - 35 años",IF(C4944&gt;=36,"Adultos mayores 36 años en adelante"))</f>
        <v>Adultos mayores 36 años en adelante</v>
      </c>
      <c r="E4944" s="3" t="s">
        <v>5022</v>
      </c>
      <c r="F4944" s="3" t="s">
        <v>5028</v>
      </c>
      <c r="G4944" s="3" t="s">
        <v>5034</v>
      </c>
      <c r="H4944" s="3" t="s">
        <v>5976</v>
      </c>
      <c r="I4944" s="17">
        <v>45783</v>
      </c>
      <c r="J4944" s="18">
        <f>YEAR(Tabla1[[#This Row],[FECHA DE COMPRA]])</f>
        <v>2025</v>
      </c>
      <c r="K4944" s="19">
        <v>146.44</v>
      </c>
      <c r="L4944" s="20">
        <v>0.1</v>
      </c>
      <c r="M4944" s="19">
        <f>Tienda!$K4911-Tienda!$K4911*Tienda!$L4911</f>
        <v>71.207999999999998</v>
      </c>
      <c r="N4944" s="3" t="s">
        <v>10038</v>
      </c>
      <c r="O4944" s="3" t="s">
        <v>10042</v>
      </c>
      <c r="P4944" s="17">
        <v>46053</v>
      </c>
      <c r="Q4944" s="4">
        <v>9</v>
      </c>
    </row>
    <row r="4945" spans="1:17" ht="30" x14ac:dyDescent="0.25">
      <c r="A4945" s="2" t="s">
        <v>1155</v>
      </c>
      <c r="B4945" s="3" t="s">
        <v>5015</v>
      </c>
      <c r="C4945" s="3">
        <v>57</v>
      </c>
      <c r="D4945" s="46" t="str">
        <f>IF(Tabla1[[#This Row],[EDAD]]&lt;=35,"Adultos jóvenes 18 - 35 años",IF(C4945&gt;=36,"Adultos mayores 36 años en adelante"))</f>
        <v>Adultos mayores 36 años en adelante</v>
      </c>
      <c r="E4945" s="3" t="s">
        <v>5018</v>
      </c>
      <c r="F4945" s="3" t="s">
        <v>5026</v>
      </c>
      <c r="G4945" s="3" t="s">
        <v>5037</v>
      </c>
      <c r="H4945" s="3" t="s">
        <v>6178</v>
      </c>
      <c r="I4945" s="17">
        <v>45808</v>
      </c>
      <c r="J4945" s="18">
        <f>YEAR(Tabla1[[#This Row],[FECHA DE COMPRA]])</f>
        <v>2025</v>
      </c>
      <c r="K4945" s="19">
        <v>148.35</v>
      </c>
      <c r="L4945" s="20">
        <v>0.3</v>
      </c>
      <c r="M4945" s="19">
        <f>Tienda!$K4912-Tienda!$K4912*Tienda!$L4912</f>
        <v>71.944000000000003</v>
      </c>
      <c r="N4945" s="3" t="s">
        <v>10038</v>
      </c>
      <c r="O4945" s="3" t="s">
        <v>10042</v>
      </c>
      <c r="P4945" s="17">
        <v>46078</v>
      </c>
      <c r="Q4945" s="4">
        <v>9</v>
      </c>
    </row>
    <row r="4946" spans="1:17" ht="30" x14ac:dyDescent="0.25">
      <c r="A4946" s="2" t="s">
        <v>4057</v>
      </c>
      <c r="B4946" s="3" t="s">
        <v>5015</v>
      </c>
      <c r="C4946" s="3">
        <v>61</v>
      </c>
      <c r="D4946" s="46" t="str">
        <f>IF(Tabla1[[#This Row],[EDAD]]&lt;=35,"Adultos jóvenes 18 - 35 años",IF(C4946&gt;=36,"Adultos mayores 36 años en adelante"))</f>
        <v>Adultos mayores 36 años en adelante</v>
      </c>
      <c r="E4946" s="3" t="s">
        <v>5022</v>
      </c>
      <c r="F4946" s="3" t="s">
        <v>5027</v>
      </c>
      <c r="G4946" s="3" t="s">
        <v>5033</v>
      </c>
      <c r="H4946" s="3" t="s">
        <v>9080</v>
      </c>
      <c r="I4946" s="17">
        <v>45786</v>
      </c>
      <c r="J4946" s="18">
        <f>YEAR(Tabla1[[#This Row],[FECHA DE COMPRA]])</f>
        <v>2025</v>
      </c>
      <c r="K4946" s="19">
        <v>148.71</v>
      </c>
      <c r="L4946" s="20">
        <v>0.1</v>
      </c>
      <c r="M4946" s="19">
        <f>Tienda!$K4913-Tienda!$K4913*Tienda!$L4913</f>
        <v>81.170999999999992</v>
      </c>
      <c r="N4946" s="3" t="s">
        <v>10038</v>
      </c>
      <c r="O4946" s="3" t="s">
        <v>10042</v>
      </c>
      <c r="P4946" s="17">
        <v>46056</v>
      </c>
      <c r="Q4946" s="4">
        <v>9</v>
      </c>
    </row>
    <row r="4947" spans="1:17" ht="30" x14ac:dyDescent="0.25">
      <c r="A4947" s="2" t="s">
        <v>718</v>
      </c>
      <c r="B4947" s="3" t="s">
        <v>5015</v>
      </c>
      <c r="C4947" s="3">
        <v>65</v>
      </c>
      <c r="D4947" s="46" t="str">
        <f>IF(Tabla1[[#This Row],[EDAD]]&lt;=35,"Adultos jóvenes 18 - 35 años",IF(C4947&gt;=36,"Adultos mayores 36 años en adelante"))</f>
        <v>Adultos mayores 36 años en adelante</v>
      </c>
      <c r="E4947" s="3" t="s">
        <v>5019</v>
      </c>
      <c r="F4947" s="3" t="s">
        <v>5029</v>
      </c>
      <c r="G4947" s="3" t="s">
        <v>5035</v>
      </c>
      <c r="H4947" s="3" t="s">
        <v>5741</v>
      </c>
      <c r="I4947" s="17">
        <v>45808</v>
      </c>
      <c r="J4947" s="18">
        <f>YEAR(Tabla1[[#This Row],[FECHA DE COMPRA]])</f>
        <v>2025</v>
      </c>
      <c r="K4947" s="19">
        <v>157.77000000000001</v>
      </c>
      <c r="L4947" s="20">
        <v>0.2</v>
      </c>
      <c r="M4947" s="19">
        <f>Tienda!$K4914-Tienda!$K4914*Tienda!$L4914</f>
        <v>97.578000000000003</v>
      </c>
      <c r="N4947" s="3" t="s">
        <v>10038</v>
      </c>
      <c r="O4947" s="3" t="s">
        <v>10042</v>
      </c>
      <c r="P4947" s="17">
        <v>45898</v>
      </c>
      <c r="Q4947" s="4">
        <v>3</v>
      </c>
    </row>
    <row r="4948" spans="1:17" ht="30" x14ac:dyDescent="0.25">
      <c r="A4948" s="2" t="s">
        <v>4307</v>
      </c>
      <c r="B4948" s="3" t="s">
        <v>5015</v>
      </c>
      <c r="C4948" s="3">
        <v>59</v>
      </c>
      <c r="D4948" s="46" t="str">
        <f>IF(Tabla1[[#This Row],[EDAD]]&lt;=35,"Adultos jóvenes 18 - 35 años",IF(C4948&gt;=36,"Adultos mayores 36 años en adelante"))</f>
        <v>Adultos mayores 36 años en adelante</v>
      </c>
      <c r="E4948" s="3" t="s">
        <v>5018</v>
      </c>
      <c r="F4948" s="3" t="s">
        <v>5027</v>
      </c>
      <c r="G4948" s="3" t="s">
        <v>5036</v>
      </c>
      <c r="H4948" s="3" t="s">
        <v>9330</v>
      </c>
      <c r="I4948" s="17">
        <v>45793</v>
      </c>
      <c r="J4948" s="18">
        <f>YEAR(Tabla1[[#This Row],[FECHA DE COMPRA]])</f>
        <v>2025</v>
      </c>
      <c r="K4948" s="19">
        <v>158.24</v>
      </c>
      <c r="L4948" s="20">
        <v>0</v>
      </c>
      <c r="M4948" s="19">
        <f>Tienda!$K4915-Tienda!$K4915*Tienda!$L4915</f>
        <v>118.9</v>
      </c>
      <c r="N4948" s="3" t="s">
        <v>10038</v>
      </c>
      <c r="O4948" s="3" t="s">
        <v>10042</v>
      </c>
      <c r="P4948" s="17">
        <v>46153</v>
      </c>
      <c r="Q4948" s="4">
        <v>12</v>
      </c>
    </row>
    <row r="4949" spans="1:17" ht="30" x14ac:dyDescent="0.25">
      <c r="A4949" s="2" t="s">
        <v>2069</v>
      </c>
      <c r="B4949" s="3" t="s">
        <v>5015</v>
      </c>
      <c r="C4949" s="3">
        <v>37</v>
      </c>
      <c r="D4949" s="46" t="str">
        <f>IF(Tabla1[[#This Row],[EDAD]]&lt;=35,"Adultos jóvenes 18 - 35 años",IF(C4949&gt;=36,"Adultos mayores 36 años en adelante"))</f>
        <v>Adultos mayores 36 años en adelante</v>
      </c>
      <c r="E4949" s="3" t="s">
        <v>5021</v>
      </c>
      <c r="F4949" s="3" t="s">
        <v>5027</v>
      </c>
      <c r="G4949" s="3" t="s">
        <v>5033</v>
      </c>
      <c r="H4949" s="3" t="s">
        <v>7092</v>
      </c>
      <c r="I4949" s="17">
        <v>45796</v>
      </c>
      <c r="J4949" s="18">
        <f>YEAR(Tabla1[[#This Row],[FECHA DE COMPRA]])</f>
        <v>2025</v>
      </c>
      <c r="K4949" s="19">
        <v>179.02</v>
      </c>
      <c r="L4949" s="20">
        <v>0.3</v>
      </c>
      <c r="M4949" s="19">
        <f>Tienda!$K4917-Tienda!$K4917*Tienda!$L4917</f>
        <v>101.944</v>
      </c>
      <c r="N4949" s="3" t="s">
        <v>10038</v>
      </c>
      <c r="O4949" s="3" t="s">
        <v>10042</v>
      </c>
      <c r="P4949" s="17">
        <v>46066</v>
      </c>
      <c r="Q4949" s="4">
        <v>9</v>
      </c>
    </row>
    <row r="4950" spans="1:17" ht="30" x14ac:dyDescent="0.25">
      <c r="A4950" s="2" t="s">
        <v>2907</v>
      </c>
      <c r="B4950" s="3" t="s">
        <v>5016</v>
      </c>
      <c r="C4950" s="3">
        <v>44</v>
      </c>
      <c r="D4950" s="46" t="str">
        <f>IF(Tabla1[[#This Row],[EDAD]]&lt;=35,"Adultos jóvenes 18 - 35 años",IF(C4950&gt;=36,"Adultos mayores 36 años en adelante"))</f>
        <v>Adultos mayores 36 años en adelante</v>
      </c>
      <c r="E4950" s="3" t="s">
        <v>5019</v>
      </c>
      <c r="F4950" s="3" t="s">
        <v>5025</v>
      </c>
      <c r="G4950" s="3" t="s">
        <v>5033</v>
      </c>
      <c r="H4950" s="3" t="s">
        <v>7930</v>
      </c>
      <c r="I4950" s="17">
        <v>45790</v>
      </c>
      <c r="J4950" s="18">
        <f>YEAR(Tabla1[[#This Row],[FECHA DE COMPRA]])</f>
        <v>2025</v>
      </c>
      <c r="K4950" s="19">
        <v>184.46</v>
      </c>
      <c r="L4950" s="20">
        <v>0.3</v>
      </c>
      <c r="M4950" s="19">
        <f>Tienda!$K4920-Tienda!$K4920*Tienda!$L4920</f>
        <v>118.96</v>
      </c>
      <c r="N4950" s="3" t="s">
        <v>10038</v>
      </c>
      <c r="O4950" s="3" t="s">
        <v>10042</v>
      </c>
      <c r="P4950" s="17">
        <v>45970</v>
      </c>
      <c r="Q4950" s="4">
        <v>6</v>
      </c>
    </row>
    <row r="4951" spans="1:17" ht="30" x14ac:dyDescent="0.25">
      <c r="A4951" s="2" t="s">
        <v>1014</v>
      </c>
      <c r="B4951" s="3" t="s">
        <v>5015</v>
      </c>
      <c r="C4951" s="3">
        <v>62</v>
      </c>
      <c r="D4951" s="46" t="str">
        <f>IF(Tabla1[[#This Row],[EDAD]]&lt;=35,"Adultos jóvenes 18 - 35 años",IF(C4951&gt;=36,"Adultos mayores 36 años en adelante"))</f>
        <v>Adultos mayores 36 años en adelante</v>
      </c>
      <c r="E4951" s="3" t="s">
        <v>5020</v>
      </c>
      <c r="F4951" s="3" t="s">
        <v>5025</v>
      </c>
      <c r="G4951" s="3" t="s">
        <v>5036</v>
      </c>
      <c r="H4951" s="3" t="s">
        <v>6037</v>
      </c>
      <c r="I4951" s="17">
        <v>45788</v>
      </c>
      <c r="J4951" s="18">
        <f>YEAR(Tabla1[[#This Row],[FECHA DE COMPRA]])</f>
        <v>2025</v>
      </c>
      <c r="K4951" s="19">
        <v>190.65</v>
      </c>
      <c r="L4951" s="20">
        <v>0.1</v>
      </c>
      <c r="M4951" s="19">
        <f>Tienda!$K4921-Tienda!$K4921*Tienda!$L4921</f>
        <v>134.51400000000001</v>
      </c>
      <c r="N4951" s="3" t="s">
        <v>10038</v>
      </c>
      <c r="O4951" s="3" t="s">
        <v>10042</v>
      </c>
      <c r="P4951" s="17">
        <v>45968</v>
      </c>
      <c r="Q4951" s="4">
        <v>6</v>
      </c>
    </row>
    <row r="4952" spans="1:17" ht="30" x14ac:dyDescent="0.25">
      <c r="A4952" s="2" t="s">
        <v>795</v>
      </c>
      <c r="B4952" s="3" t="s">
        <v>5015</v>
      </c>
      <c r="C4952" s="3">
        <v>59</v>
      </c>
      <c r="D4952" s="46" t="str">
        <f>IF(Tabla1[[#This Row],[EDAD]]&lt;=35,"Adultos jóvenes 18 - 35 años",IF(C4952&gt;=36,"Adultos mayores 36 años en adelante"))</f>
        <v>Adultos mayores 36 años en adelante</v>
      </c>
      <c r="E4952" s="3" t="s">
        <v>5019</v>
      </c>
      <c r="F4952" s="3" t="s">
        <v>5025</v>
      </c>
      <c r="G4952" s="3" t="s">
        <v>5032</v>
      </c>
      <c r="H4952" s="3" t="s">
        <v>5818</v>
      </c>
      <c r="I4952" s="17">
        <v>45802</v>
      </c>
      <c r="J4952" s="18">
        <f>YEAR(Tabla1[[#This Row],[FECHA DE COMPRA]])</f>
        <v>2025</v>
      </c>
      <c r="K4952" s="19">
        <v>193.59</v>
      </c>
      <c r="L4952" s="20">
        <v>0</v>
      </c>
      <c r="M4952" s="19">
        <f>Tienda!$K4923-Tienda!$K4923*Tienda!$L4923</f>
        <v>149.01300000000001</v>
      </c>
      <c r="N4952" s="3" t="s">
        <v>10038</v>
      </c>
      <c r="O4952" s="3" t="s">
        <v>10042</v>
      </c>
      <c r="P4952" s="17">
        <v>45982</v>
      </c>
      <c r="Q4952" s="4">
        <v>6</v>
      </c>
    </row>
    <row r="4953" spans="1:17" ht="30" x14ac:dyDescent="0.25">
      <c r="A4953" s="2" t="s">
        <v>4862</v>
      </c>
      <c r="B4953" s="3" t="s">
        <v>5015</v>
      </c>
      <c r="C4953" s="3">
        <v>58</v>
      </c>
      <c r="D4953" s="46" t="str">
        <f>IF(Tabla1[[#This Row],[EDAD]]&lt;=35,"Adultos jóvenes 18 - 35 años",IF(C4953&gt;=36,"Adultos mayores 36 años en adelante"))</f>
        <v>Adultos mayores 36 años en adelante</v>
      </c>
      <c r="E4953" s="3" t="s">
        <v>5019</v>
      </c>
      <c r="F4953" s="3" t="s">
        <v>5026</v>
      </c>
      <c r="G4953" s="3" t="s">
        <v>5031</v>
      </c>
      <c r="H4953" s="3" t="s">
        <v>9885</v>
      </c>
      <c r="I4953" s="17">
        <v>45794</v>
      </c>
      <c r="J4953" s="18">
        <f>YEAR(Tabla1[[#This Row],[FECHA DE COMPRA]])</f>
        <v>2025</v>
      </c>
      <c r="K4953" s="19">
        <v>196.43</v>
      </c>
      <c r="L4953" s="20">
        <v>0.3</v>
      </c>
      <c r="M4953" s="19">
        <f>Tienda!$K4924-Tienda!$K4924*Tienda!$L4924</f>
        <v>176.46</v>
      </c>
      <c r="N4953" s="3" t="s">
        <v>10038</v>
      </c>
      <c r="O4953" s="3" t="s">
        <v>10042</v>
      </c>
      <c r="P4953" s="17">
        <v>46064</v>
      </c>
      <c r="Q4953" s="4">
        <v>9</v>
      </c>
    </row>
    <row r="4954" spans="1:17" ht="30" x14ac:dyDescent="0.25">
      <c r="A4954" s="2" t="s">
        <v>3970</v>
      </c>
      <c r="B4954" s="3" t="s">
        <v>5015</v>
      </c>
      <c r="C4954" s="3">
        <v>56</v>
      </c>
      <c r="D4954" s="46" t="str">
        <f>IF(Tabla1[[#This Row],[EDAD]]&lt;=35,"Adultos jóvenes 18 - 35 años",IF(C4954&gt;=36,"Adultos mayores 36 años en adelante"))</f>
        <v>Adultos mayores 36 años en adelante</v>
      </c>
      <c r="E4954" s="3" t="s">
        <v>5018</v>
      </c>
      <c r="F4954" s="3" t="s">
        <v>5030</v>
      </c>
      <c r="G4954" s="3" t="s">
        <v>5032</v>
      </c>
      <c r="H4954" s="3" t="s">
        <v>8993</v>
      </c>
      <c r="I4954" s="17">
        <v>45816</v>
      </c>
      <c r="J4954" s="18">
        <f>YEAR(Tabla1[[#This Row],[FECHA DE COMPRA]])</f>
        <v>2025</v>
      </c>
      <c r="K4954" s="19">
        <v>15.26</v>
      </c>
      <c r="L4954" s="20">
        <v>0.1</v>
      </c>
      <c r="M4954" s="19">
        <f>Tienda!$K4925-Tienda!$K4925*Tienda!$L4925</f>
        <v>164.77200000000002</v>
      </c>
      <c r="N4954" s="3" t="s">
        <v>10038</v>
      </c>
      <c r="O4954" s="3" t="s">
        <v>10042</v>
      </c>
      <c r="P4954" s="17">
        <v>45996</v>
      </c>
      <c r="Q4954" s="4">
        <v>6</v>
      </c>
    </row>
    <row r="4955" spans="1:17" ht="30" x14ac:dyDescent="0.25">
      <c r="A4955" s="2" t="s">
        <v>1264</v>
      </c>
      <c r="B4955" s="3" t="s">
        <v>5016</v>
      </c>
      <c r="C4955" s="3">
        <v>62</v>
      </c>
      <c r="D4955" s="46" t="str">
        <f>IF(Tabla1[[#This Row],[EDAD]]&lt;=35,"Adultos jóvenes 18 - 35 años",IF(C4955&gt;=36,"Adultos mayores 36 años en adelante"))</f>
        <v>Adultos mayores 36 años en adelante</v>
      </c>
      <c r="E4955" s="3" t="s">
        <v>5017</v>
      </c>
      <c r="F4955" s="3" t="s">
        <v>5026</v>
      </c>
      <c r="G4955" s="3" t="s">
        <v>5036</v>
      </c>
      <c r="H4955" s="3" t="s">
        <v>6287</v>
      </c>
      <c r="I4955" s="17">
        <v>45825</v>
      </c>
      <c r="J4955" s="18">
        <f>YEAR(Tabla1[[#This Row],[FECHA DE COMPRA]])</f>
        <v>2025</v>
      </c>
      <c r="K4955" s="19">
        <v>18.91</v>
      </c>
      <c r="L4955" s="20">
        <v>0.2</v>
      </c>
      <c r="M4955" s="19">
        <f>Tienda!$K4926-Tienda!$K4926*Tienda!$L4926</f>
        <v>128.73000000000002</v>
      </c>
      <c r="N4955" s="3" t="s">
        <v>10038</v>
      </c>
      <c r="O4955" s="3" t="s">
        <v>10042</v>
      </c>
      <c r="P4955" s="17">
        <v>45915</v>
      </c>
      <c r="Q4955" s="4">
        <v>3</v>
      </c>
    </row>
    <row r="4956" spans="1:17" ht="30" x14ac:dyDescent="0.25">
      <c r="A4956" s="2" t="s">
        <v>2276</v>
      </c>
      <c r="B4956" s="3" t="s">
        <v>5015</v>
      </c>
      <c r="C4956" s="3">
        <v>50</v>
      </c>
      <c r="D4956" s="46" t="str">
        <f>IF(Tabla1[[#This Row],[EDAD]]&lt;=35,"Adultos jóvenes 18 - 35 años",IF(C4956&gt;=36,"Adultos mayores 36 años en adelante"))</f>
        <v>Adultos mayores 36 años en adelante</v>
      </c>
      <c r="E4956" s="3" t="s">
        <v>5019</v>
      </c>
      <c r="F4956" s="3" t="s">
        <v>5028</v>
      </c>
      <c r="G4956" s="3" t="s">
        <v>5033</v>
      </c>
      <c r="H4956" s="3" t="s">
        <v>7299</v>
      </c>
      <c r="I4956" s="17">
        <v>45813</v>
      </c>
      <c r="J4956" s="18">
        <f>YEAR(Tabla1[[#This Row],[FECHA DE COMPRA]])</f>
        <v>2025</v>
      </c>
      <c r="K4956" s="19">
        <v>31.15</v>
      </c>
      <c r="L4956" s="20">
        <v>0.1</v>
      </c>
      <c r="M4956" s="19">
        <f>Tienda!$K4928-Tienda!$K4928*Tienda!$L4928</f>
        <v>138.446</v>
      </c>
      <c r="N4956" s="3" t="s">
        <v>10038</v>
      </c>
      <c r="O4956" s="3" t="s">
        <v>10042</v>
      </c>
      <c r="P4956" s="17">
        <v>46083</v>
      </c>
      <c r="Q4956" s="4">
        <v>9</v>
      </c>
    </row>
    <row r="4957" spans="1:17" ht="30" x14ac:dyDescent="0.25">
      <c r="A4957" s="2" t="s">
        <v>4222</v>
      </c>
      <c r="B4957" s="3" t="s">
        <v>5015</v>
      </c>
      <c r="C4957" s="3">
        <v>37</v>
      </c>
      <c r="D4957" s="46" t="str">
        <f>IF(Tabla1[[#This Row],[EDAD]]&lt;=35,"Adultos jóvenes 18 - 35 años",IF(C4957&gt;=36,"Adultos mayores 36 años en adelante"))</f>
        <v>Adultos mayores 36 años en adelante</v>
      </c>
      <c r="E4957" s="3" t="s">
        <v>5021</v>
      </c>
      <c r="F4957" s="3" t="s">
        <v>5026</v>
      </c>
      <c r="G4957" s="3" t="s">
        <v>5033</v>
      </c>
      <c r="H4957" s="3" t="s">
        <v>9245</v>
      </c>
      <c r="I4957" s="17">
        <v>45821</v>
      </c>
      <c r="J4957" s="18">
        <f>YEAR(Tabla1[[#This Row],[FECHA DE COMPRA]])</f>
        <v>2025</v>
      </c>
      <c r="K4957" s="19">
        <v>34.06</v>
      </c>
      <c r="L4957" s="20">
        <v>0.3</v>
      </c>
      <c r="M4957" s="19">
        <f>Tienda!$K4929-Tienda!$K4929*Tienda!$L4929</f>
        <v>18.927999999999997</v>
      </c>
      <c r="N4957" s="3" t="s">
        <v>10038</v>
      </c>
      <c r="O4957" s="3" t="s">
        <v>10042</v>
      </c>
      <c r="P4957" s="17">
        <v>46091</v>
      </c>
      <c r="Q4957" s="4">
        <v>9</v>
      </c>
    </row>
    <row r="4958" spans="1:17" ht="30" x14ac:dyDescent="0.25">
      <c r="A4958" s="2" t="s">
        <v>2637</v>
      </c>
      <c r="B4958" s="3" t="s">
        <v>5015</v>
      </c>
      <c r="C4958" s="3">
        <v>53</v>
      </c>
      <c r="D4958" s="46" t="str">
        <f>IF(Tabla1[[#This Row],[EDAD]]&lt;=35,"Adultos jóvenes 18 - 35 años",IF(C4958&gt;=36,"Adultos mayores 36 años en adelante"))</f>
        <v>Adultos mayores 36 años en adelante</v>
      </c>
      <c r="E4958" s="3" t="s">
        <v>5022</v>
      </c>
      <c r="F4958" s="3" t="s">
        <v>5028</v>
      </c>
      <c r="G4958" s="3" t="s">
        <v>5036</v>
      </c>
      <c r="H4958" s="3" t="s">
        <v>7660</v>
      </c>
      <c r="I4958" s="17">
        <v>45809</v>
      </c>
      <c r="J4958" s="18">
        <f>YEAR(Tabla1[[#This Row],[FECHA DE COMPRA]])</f>
        <v>2025</v>
      </c>
      <c r="K4958" s="19">
        <v>36.549999999999997</v>
      </c>
      <c r="L4958" s="20">
        <v>0</v>
      </c>
      <c r="M4958" s="19">
        <f>Tienda!$K4930-Tienda!$K4930*Tienda!$L4930</f>
        <v>19.838000000000001</v>
      </c>
      <c r="N4958" s="3" t="s">
        <v>10038</v>
      </c>
      <c r="O4958" s="3" t="s">
        <v>10042</v>
      </c>
      <c r="P4958" s="17">
        <v>45899</v>
      </c>
      <c r="Q4958" s="4">
        <v>3</v>
      </c>
    </row>
    <row r="4959" spans="1:17" ht="30" x14ac:dyDescent="0.25">
      <c r="A4959" s="2" t="s">
        <v>2830</v>
      </c>
      <c r="B4959" s="3" t="s">
        <v>5015</v>
      </c>
      <c r="C4959" s="3">
        <v>52</v>
      </c>
      <c r="D4959" s="46" t="str">
        <f>IF(Tabla1[[#This Row],[EDAD]]&lt;=35,"Adultos jóvenes 18 - 35 años",IF(C4959&gt;=36,"Adultos mayores 36 años en adelante"))</f>
        <v>Adultos mayores 36 años en adelante</v>
      </c>
      <c r="E4959" s="3" t="s">
        <v>5018</v>
      </c>
      <c r="F4959" s="3" t="s">
        <v>5024</v>
      </c>
      <c r="G4959" s="3" t="s">
        <v>5031</v>
      </c>
      <c r="H4959" s="3" t="s">
        <v>7853</v>
      </c>
      <c r="I4959" s="17">
        <v>45834</v>
      </c>
      <c r="J4959" s="18">
        <f>YEAR(Tabla1[[#This Row],[FECHA DE COMPRA]])</f>
        <v>2025</v>
      </c>
      <c r="K4959" s="19">
        <v>48.39</v>
      </c>
      <c r="L4959" s="20">
        <v>0</v>
      </c>
      <c r="M4959" s="19">
        <f>Tienda!$K4932-Tienda!$K4932*Tienda!$L4932</f>
        <v>32.816000000000003</v>
      </c>
      <c r="N4959" s="3" t="s">
        <v>10038</v>
      </c>
      <c r="O4959" s="3" t="s">
        <v>10042</v>
      </c>
      <c r="P4959" s="17">
        <v>46194</v>
      </c>
      <c r="Q4959" s="4">
        <v>12</v>
      </c>
    </row>
    <row r="4960" spans="1:17" ht="30" x14ac:dyDescent="0.25">
      <c r="A4960" s="2" t="s">
        <v>2840</v>
      </c>
      <c r="B4960" s="3" t="s">
        <v>5015</v>
      </c>
      <c r="C4960" s="3">
        <v>45</v>
      </c>
      <c r="D4960" s="46" t="str">
        <f>IF(Tabla1[[#This Row],[EDAD]]&lt;=35,"Adultos jóvenes 18 - 35 años",IF(C4960&gt;=36,"Adultos mayores 36 años en adelante"))</f>
        <v>Adultos mayores 36 años en adelante</v>
      </c>
      <c r="E4960" s="3" t="s">
        <v>5020</v>
      </c>
      <c r="F4960" s="3" t="s">
        <v>5025</v>
      </c>
      <c r="G4960" s="3" t="s">
        <v>5033</v>
      </c>
      <c r="H4960" s="3" t="s">
        <v>7863</v>
      </c>
      <c r="I4960" s="17">
        <v>45809</v>
      </c>
      <c r="J4960" s="18">
        <f>YEAR(Tabla1[[#This Row],[FECHA DE COMPRA]])</f>
        <v>2025</v>
      </c>
      <c r="K4960" s="19">
        <v>51.64</v>
      </c>
      <c r="L4960" s="20">
        <v>0.2</v>
      </c>
      <c r="M4960" s="19">
        <f>Tienda!$K4933-Tienda!$K4933*Tienda!$L4933</f>
        <v>38.529000000000003</v>
      </c>
      <c r="N4960" s="3" t="s">
        <v>10038</v>
      </c>
      <c r="O4960" s="3" t="s">
        <v>10042</v>
      </c>
      <c r="P4960" s="17">
        <v>46079</v>
      </c>
      <c r="Q4960" s="4">
        <v>9</v>
      </c>
    </row>
    <row r="4961" spans="1:17" ht="30" x14ac:dyDescent="0.25">
      <c r="A4961" s="2" t="s">
        <v>1193</v>
      </c>
      <c r="B4961" s="3" t="s">
        <v>5015</v>
      </c>
      <c r="C4961" s="3">
        <v>42</v>
      </c>
      <c r="D4961" s="46" t="str">
        <f>IF(Tabla1[[#This Row],[EDAD]]&lt;=35,"Adultos jóvenes 18 - 35 años",IF(C4961&gt;=36,"Adultos mayores 36 años en adelante"))</f>
        <v>Adultos mayores 36 años en adelante</v>
      </c>
      <c r="E4961" s="3" t="s">
        <v>5022</v>
      </c>
      <c r="F4961" s="3" t="s">
        <v>5028</v>
      </c>
      <c r="G4961" s="3" t="s">
        <v>5031</v>
      </c>
      <c r="H4961" s="3" t="s">
        <v>6216</v>
      </c>
      <c r="I4961" s="17">
        <v>45812</v>
      </c>
      <c r="J4961" s="18">
        <f>YEAR(Tabla1[[#This Row],[FECHA DE COMPRA]])</f>
        <v>2025</v>
      </c>
      <c r="K4961" s="19">
        <v>65.67</v>
      </c>
      <c r="L4961" s="20">
        <v>0.2</v>
      </c>
      <c r="M4961" s="19">
        <f>Tienda!$K4935-Tienda!$K4935*Tienda!$L4935</f>
        <v>62.823999999999998</v>
      </c>
      <c r="N4961" s="3" t="s">
        <v>10038</v>
      </c>
      <c r="O4961" s="3" t="s">
        <v>10042</v>
      </c>
      <c r="P4961" s="17">
        <v>45992</v>
      </c>
      <c r="Q4961" s="4">
        <v>6</v>
      </c>
    </row>
    <row r="4962" spans="1:17" ht="30" x14ac:dyDescent="0.25">
      <c r="A4962" s="2" t="s">
        <v>845</v>
      </c>
      <c r="B4962" s="3" t="s">
        <v>5015</v>
      </c>
      <c r="C4962" s="3">
        <v>36</v>
      </c>
      <c r="D4962" s="46" t="str">
        <f>IF(Tabla1[[#This Row],[EDAD]]&lt;=35,"Adultos jóvenes 18 - 35 años",IF(C4962&gt;=36,"Adultos mayores 36 años en adelante"))</f>
        <v>Adultos mayores 36 años en adelante</v>
      </c>
      <c r="E4962" s="3" t="s">
        <v>5018</v>
      </c>
      <c r="F4962" s="3" t="s">
        <v>5029</v>
      </c>
      <c r="G4962" s="3" t="s">
        <v>5033</v>
      </c>
      <c r="H4962" s="3" t="s">
        <v>5868</v>
      </c>
      <c r="I4962" s="17">
        <v>45829</v>
      </c>
      <c r="J4962" s="18">
        <f>YEAR(Tabla1[[#This Row],[FECHA DE COMPRA]])</f>
        <v>2025</v>
      </c>
      <c r="K4962" s="19">
        <v>69.56</v>
      </c>
      <c r="L4962" s="20">
        <v>0.1</v>
      </c>
      <c r="M4962" s="19">
        <f>Tienda!$K4937-Tienda!$K4937*Tienda!$L4937</f>
        <v>88.73</v>
      </c>
      <c r="N4962" s="3" t="s">
        <v>10038</v>
      </c>
      <c r="O4962" s="3" t="s">
        <v>10042</v>
      </c>
      <c r="P4962" s="17">
        <v>46009</v>
      </c>
      <c r="Q4962" s="4">
        <v>6</v>
      </c>
    </row>
    <row r="4963" spans="1:17" ht="30" x14ac:dyDescent="0.25">
      <c r="A4963" s="2" t="s">
        <v>2224</v>
      </c>
      <c r="B4963" s="3" t="s">
        <v>5015</v>
      </c>
      <c r="C4963" s="3">
        <v>38</v>
      </c>
      <c r="D4963" s="46" t="str">
        <f>IF(Tabla1[[#This Row],[EDAD]]&lt;=35,"Adultos jóvenes 18 - 35 años",IF(C4963&gt;=36,"Adultos mayores 36 años en adelante"))</f>
        <v>Adultos mayores 36 años en adelante</v>
      </c>
      <c r="E4963" s="3" t="s">
        <v>5017</v>
      </c>
      <c r="F4963" s="3" t="s">
        <v>5028</v>
      </c>
      <c r="G4963" s="3" t="s">
        <v>5035</v>
      </c>
      <c r="H4963" s="3" t="s">
        <v>7247</v>
      </c>
      <c r="I4963" s="17">
        <v>45819</v>
      </c>
      <c r="J4963" s="18">
        <f>YEAR(Tabla1[[#This Row],[FECHA DE COMPRA]])</f>
        <v>2025</v>
      </c>
      <c r="K4963" s="19">
        <v>70.040000000000006</v>
      </c>
      <c r="L4963" s="20">
        <v>0.2</v>
      </c>
      <c r="M4963" s="19">
        <f>Tienda!$K4938-Tienda!$K4938*Tienda!$L4938</f>
        <v>62.902000000000001</v>
      </c>
      <c r="N4963" s="3" t="s">
        <v>10038</v>
      </c>
      <c r="O4963" s="3" t="s">
        <v>10042</v>
      </c>
      <c r="P4963" s="17">
        <v>45999</v>
      </c>
      <c r="Q4963" s="4">
        <v>6</v>
      </c>
    </row>
    <row r="4964" spans="1:17" ht="30" x14ac:dyDescent="0.25">
      <c r="A4964" s="2" t="s">
        <v>604</v>
      </c>
      <c r="B4964" s="3" t="s">
        <v>5015</v>
      </c>
      <c r="C4964" s="3">
        <v>55</v>
      </c>
      <c r="D4964" s="46" t="str">
        <f>IF(Tabla1[[#This Row],[EDAD]]&lt;=35,"Adultos jóvenes 18 - 35 años",IF(C4964&gt;=36,"Adultos mayores 36 años en adelante"))</f>
        <v>Adultos mayores 36 años en adelante</v>
      </c>
      <c r="E4964" s="3" t="s">
        <v>5023</v>
      </c>
      <c r="F4964" s="3" t="s">
        <v>5024</v>
      </c>
      <c r="G4964" s="3" t="s">
        <v>5034</v>
      </c>
      <c r="H4964" s="3" t="s">
        <v>5627</v>
      </c>
      <c r="I4964" s="17">
        <v>45821</v>
      </c>
      <c r="J4964" s="18">
        <f>YEAR(Tabla1[[#This Row],[FECHA DE COMPRA]])</f>
        <v>2025</v>
      </c>
      <c r="K4964" s="19">
        <v>78.61</v>
      </c>
      <c r="L4964" s="20">
        <v>0</v>
      </c>
      <c r="M4964" s="19">
        <f>Tienda!$K4939-Tienda!$K4939*Tienda!$L4939</f>
        <v>66.080000000000013</v>
      </c>
      <c r="N4964" s="3" t="s">
        <v>10038</v>
      </c>
      <c r="O4964" s="3" t="s">
        <v>10042</v>
      </c>
      <c r="P4964" s="17">
        <v>45911</v>
      </c>
      <c r="Q4964" s="4">
        <v>3</v>
      </c>
    </row>
    <row r="4965" spans="1:17" ht="30" x14ac:dyDescent="0.25">
      <c r="A4965" s="2" t="s">
        <v>3814</v>
      </c>
      <c r="B4965" s="3" t="s">
        <v>5015</v>
      </c>
      <c r="C4965" s="3">
        <v>44</v>
      </c>
      <c r="D4965" s="46" t="str">
        <f>IF(Tabla1[[#This Row],[EDAD]]&lt;=35,"Adultos jóvenes 18 - 35 años",IF(C4965&gt;=36,"Adultos mayores 36 años en adelante"))</f>
        <v>Adultos mayores 36 años en adelante</v>
      </c>
      <c r="E4965" s="3" t="s">
        <v>5018</v>
      </c>
      <c r="F4965" s="3" t="s">
        <v>5026</v>
      </c>
      <c r="G4965" s="3" t="s">
        <v>5034</v>
      </c>
      <c r="H4965" s="3" t="s">
        <v>8837</v>
      </c>
      <c r="I4965" s="17">
        <v>45812</v>
      </c>
      <c r="J4965" s="18">
        <f>YEAR(Tabla1[[#This Row],[FECHA DE COMPRA]])</f>
        <v>2025</v>
      </c>
      <c r="K4965" s="19">
        <v>78.88</v>
      </c>
      <c r="L4965" s="20">
        <v>0.2</v>
      </c>
      <c r="M4965" s="19">
        <f>Tienda!$K4940-Tienda!$K4940*Tienda!$L4940</f>
        <v>86.795999999999992</v>
      </c>
      <c r="N4965" s="3" t="s">
        <v>10038</v>
      </c>
      <c r="O4965" s="3" t="s">
        <v>10042</v>
      </c>
      <c r="P4965" s="17">
        <v>46172</v>
      </c>
      <c r="Q4965" s="4">
        <v>12</v>
      </c>
    </row>
    <row r="4966" spans="1:17" ht="30" x14ac:dyDescent="0.25">
      <c r="A4966" s="2" t="s">
        <v>951</v>
      </c>
      <c r="B4966" s="3" t="s">
        <v>5015</v>
      </c>
      <c r="C4966" s="3">
        <v>59</v>
      </c>
      <c r="D4966" s="46" t="str">
        <f>IF(Tabla1[[#This Row],[EDAD]]&lt;=35,"Adultos jóvenes 18 - 35 años",IF(C4966&gt;=36,"Adultos mayores 36 años en adelante"))</f>
        <v>Adultos mayores 36 años en adelante</v>
      </c>
      <c r="E4966" s="3" t="s">
        <v>5023</v>
      </c>
      <c r="F4966" s="3" t="s">
        <v>5026</v>
      </c>
      <c r="G4966" s="3" t="s">
        <v>5037</v>
      </c>
      <c r="H4966" s="3" t="s">
        <v>5974</v>
      </c>
      <c r="I4966" s="17">
        <v>45824</v>
      </c>
      <c r="J4966" s="18">
        <f>YEAR(Tabla1[[#This Row],[FECHA DE COMPRA]])</f>
        <v>2025</v>
      </c>
      <c r="K4966" s="19">
        <v>88.66</v>
      </c>
      <c r="L4966" s="20">
        <v>0</v>
      </c>
      <c r="M4966" s="19">
        <f>Tienda!$K4942-Tienda!$K4942*Tienda!$L4942</f>
        <v>87.2</v>
      </c>
      <c r="N4966" s="3" t="s">
        <v>10038</v>
      </c>
      <c r="O4966" s="3" t="s">
        <v>10042</v>
      </c>
      <c r="P4966" s="17">
        <v>45914</v>
      </c>
      <c r="Q4966" s="4">
        <v>3</v>
      </c>
    </row>
    <row r="4967" spans="1:17" ht="30" x14ac:dyDescent="0.25">
      <c r="A4967" s="2" t="s">
        <v>2884</v>
      </c>
      <c r="B4967" s="3" t="s">
        <v>5015</v>
      </c>
      <c r="C4967" s="3">
        <v>45</v>
      </c>
      <c r="D4967" s="46" t="str">
        <f>IF(Tabla1[[#This Row],[EDAD]]&lt;=35,"Adultos jóvenes 18 - 35 años",IF(C4967&gt;=36,"Adultos mayores 36 años en adelante"))</f>
        <v>Adultos mayores 36 años en adelante</v>
      </c>
      <c r="E4967" s="3" t="s">
        <v>5021</v>
      </c>
      <c r="F4967" s="3" t="s">
        <v>5026</v>
      </c>
      <c r="G4967" s="3" t="s">
        <v>5035</v>
      </c>
      <c r="H4967" s="3" t="s">
        <v>7907</v>
      </c>
      <c r="I4967" s="17">
        <v>45833</v>
      </c>
      <c r="J4967" s="18">
        <f>YEAR(Tabla1[[#This Row],[FECHA DE COMPRA]])</f>
        <v>2025</v>
      </c>
      <c r="K4967" s="19">
        <v>113.91</v>
      </c>
      <c r="L4967" s="20">
        <v>0.2</v>
      </c>
      <c r="M4967" s="19">
        <f>Tienda!$K4945-Tienda!$K4945*Tienda!$L4945</f>
        <v>103.845</v>
      </c>
      <c r="N4967" s="3" t="s">
        <v>10038</v>
      </c>
      <c r="O4967" s="3" t="s">
        <v>10042</v>
      </c>
      <c r="P4967" s="17">
        <v>46193</v>
      </c>
      <c r="Q4967" s="4">
        <v>12</v>
      </c>
    </row>
    <row r="4968" spans="1:17" ht="30" x14ac:dyDescent="0.25">
      <c r="A4968" s="2" t="s">
        <v>1055</v>
      </c>
      <c r="B4968" s="3" t="s">
        <v>5015</v>
      </c>
      <c r="C4968" s="3">
        <v>42</v>
      </c>
      <c r="D4968" s="46" t="str">
        <f>IF(Tabla1[[#This Row],[EDAD]]&lt;=35,"Adultos jóvenes 18 - 35 años",IF(C4968&gt;=36,"Adultos mayores 36 años en adelante"))</f>
        <v>Adultos mayores 36 años en adelante</v>
      </c>
      <c r="E4968" s="3" t="s">
        <v>5020</v>
      </c>
      <c r="F4968" s="3" t="s">
        <v>5029</v>
      </c>
      <c r="G4968" s="3" t="s">
        <v>5036</v>
      </c>
      <c r="H4968" s="3" t="s">
        <v>6078</v>
      </c>
      <c r="I4968" s="17">
        <v>45834</v>
      </c>
      <c r="J4968" s="18">
        <f>YEAR(Tabla1[[#This Row],[FECHA DE COMPRA]])</f>
        <v>2025</v>
      </c>
      <c r="K4968" s="19">
        <v>121.53</v>
      </c>
      <c r="L4968" s="20">
        <v>0.3</v>
      </c>
      <c r="M4968" s="19">
        <f>Tienda!$K4947-Tienda!$K4947*Tienda!$L4947</f>
        <v>126.21600000000001</v>
      </c>
      <c r="N4968" s="3" t="s">
        <v>10038</v>
      </c>
      <c r="O4968" s="3" t="s">
        <v>10042</v>
      </c>
      <c r="P4968" s="17">
        <v>46104</v>
      </c>
      <c r="Q4968" s="4">
        <v>9</v>
      </c>
    </row>
    <row r="4969" spans="1:17" ht="30" x14ac:dyDescent="0.25">
      <c r="A4969" s="2" t="s">
        <v>1776</v>
      </c>
      <c r="B4969" s="3" t="s">
        <v>5015</v>
      </c>
      <c r="C4969" s="3">
        <v>36</v>
      </c>
      <c r="D4969" s="46" t="str">
        <f>IF(Tabla1[[#This Row],[EDAD]]&lt;=35,"Adultos jóvenes 18 - 35 años",IF(C4969&gt;=36,"Adultos mayores 36 años en adelante"))</f>
        <v>Adultos mayores 36 años en adelante</v>
      </c>
      <c r="E4969" s="3" t="s">
        <v>5020</v>
      </c>
      <c r="F4969" s="3" t="s">
        <v>5024</v>
      </c>
      <c r="G4969" s="3" t="s">
        <v>5037</v>
      </c>
      <c r="H4969" s="3" t="s">
        <v>6799</v>
      </c>
      <c r="I4969" s="17">
        <v>45819</v>
      </c>
      <c r="J4969" s="18">
        <f>YEAR(Tabla1[[#This Row],[FECHA DE COMPRA]])</f>
        <v>2025</v>
      </c>
      <c r="K4969" s="19">
        <v>124.09</v>
      </c>
      <c r="L4969" s="20">
        <v>0.3</v>
      </c>
      <c r="M4969" s="19">
        <f>Tienda!$K4948-Tienda!$K4948*Tienda!$L4948</f>
        <v>158.24</v>
      </c>
      <c r="N4969" s="3" t="s">
        <v>10038</v>
      </c>
      <c r="O4969" s="3" t="s">
        <v>10042</v>
      </c>
      <c r="P4969" s="17">
        <v>45999</v>
      </c>
      <c r="Q4969" s="4">
        <v>6</v>
      </c>
    </row>
    <row r="4970" spans="1:17" ht="30" x14ac:dyDescent="0.25">
      <c r="A4970" s="2" t="s">
        <v>2924</v>
      </c>
      <c r="B4970" s="3" t="s">
        <v>5015</v>
      </c>
      <c r="C4970" s="3">
        <v>49</v>
      </c>
      <c r="D4970" s="46" t="str">
        <f>IF(Tabla1[[#This Row],[EDAD]]&lt;=35,"Adultos jóvenes 18 - 35 años",IF(C4970&gt;=36,"Adultos mayores 36 años en adelante"))</f>
        <v>Adultos mayores 36 años en adelante</v>
      </c>
      <c r="E4970" s="3" t="s">
        <v>5020</v>
      </c>
      <c r="F4970" s="3" t="s">
        <v>5027</v>
      </c>
      <c r="G4970" s="3" t="s">
        <v>5034</v>
      </c>
      <c r="H4970" s="3" t="s">
        <v>7947</v>
      </c>
      <c r="I4970" s="17">
        <v>45836</v>
      </c>
      <c r="J4970" s="18">
        <f>YEAR(Tabla1[[#This Row],[FECHA DE COMPRA]])</f>
        <v>2025</v>
      </c>
      <c r="K4970" s="19">
        <v>140.59</v>
      </c>
      <c r="L4970" s="20">
        <v>0.2</v>
      </c>
      <c r="M4970" s="19">
        <f>Tienda!$K4949-Tienda!$K4949*Tienda!$L4949</f>
        <v>125.31400000000001</v>
      </c>
      <c r="N4970" s="3" t="s">
        <v>10038</v>
      </c>
      <c r="O4970" s="3" t="s">
        <v>10042</v>
      </c>
      <c r="P4970" s="17">
        <v>46016</v>
      </c>
      <c r="Q4970" s="4">
        <v>6</v>
      </c>
    </row>
    <row r="4971" spans="1:17" ht="30" x14ac:dyDescent="0.25">
      <c r="A4971" s="2" t="s">
        <v>109</v>
      </c>
      <c r="B4971" s="3" t="s">
        <v>5015</v>
      </c>
      <c r="C4971" s="3">
        <v>62</v>
      </c>
      <c r="D4971" s="46" t="str">
        <f>IF(Tabla1[[#This Row],[EDAD]]&lt;=35,"Adultos jóvenes 18 - 35 años",IF(C4971&gt;=36,"Adultos mayores 36 años en adelante"))</f>
        <v>Adultos mayores 36 años en adelante</v>
      </c>
      <c r="E4971" s="3" t="s">
        <v>5020</v>
      </c>
      <c r="F4971" s="3" t="s">
        <v>5030</v>
      </c>
      <c r="G4971" s="3" t="s">
        <v>5036</v>
      </c>
      <c r="H4971" s="3" t="s">
        <v>5132</v>
      </c>
      <c r="I4971" s="17">
        <v>45838</v>
      </c>
      <c r="J4971" s="18">
        <f>YEAR(Tabla1[[#This Row],[FECHA DE COMPRA]])</f>
        <v>2025</v>
      </c>
      <c r="K4971" s="19">
        <v>145.96</v>
      </c>
      <c r="L4971" s="20">
        <v>0.3</v>
      </c>
      <c r="M4971" s="19">
        <f>Tienda!$K4950-Tienda!$K4950*Tienda!$L4950</f>
        <v>129.12200000000001</v>
      </c>
      <c r="N4971" s="3" t="s">
        <v>10038</v>
      </c>
      <c r="O4971" s="3" t="s">
        <v>10042</v>
      </c>
      <c r="P4971" s="17">
        <v>46198</v>
      </c>
      <c r="Q4971" s="4">
        <v>12</v>
      </c>
    </row>
    <row r="4972" spans="1:17" ht="30" x14ac:dyDescent="0.25">
      <c r="A4972" s="2" t="s">
        <v>3098</v>
      </c>
      <c r="B4972" s="3" t="s">
        <v>5016</v>
      </c>
      <c r="C4972" s="3">
        <v>62</v>
      </c>
      <c r="D4972" s="46" t="str">
        <f>IF(Tabla1[[#This Row],[EDAD]]&lt;=35,"Adultos jóvenes 18 - 35 años",IF(C4972&gt;=36,"Adultos mayores 36 años en adelante"))</f>
        <v>Adultos mayores 36 años en adelante</v>
      </c>
      <c r="E4972" s="3" t="s">
        <v>5017</v>
      </c>
      <c r="F4972" s="3" t="s">
        <v>5025</v>
      </c>
      <c r="G4972" s="3" t="s">
        <v>5037</v>
      </c>
      <c r="H4972" s="3" t="s">
        <v>8121</v>
      </c>
      <c r="I4972" s="17">
        <v>45819</v>
      </c>
      <c r="J4972" s="18">
        <f>YEAR(Tabla1[[#This Row],[FECHA DE COMPRA]])</f>
        <v>2025</v>
      </c>
      <c r="K4972" s="19">
        <v>146.4</v>
      </c>
      <c r="L4972" s="20">
        <v>0.2</v>
      </c>
      <c r="M4972" s="19">
        <f>Tienda!$K4951-Tienda!$K4951*Tienda!$L4951</f>
        <v>171.58500000000001</v>
      </c>
      <c r="N4972" s="3" t="s">
        <v>10038</v>
      </c>
      <c r="O4972" s="3" t="s">
        <v>10042</v>
      </c>
      <c r="P4972" s="17">
        <v>45999</v>
      </c>
      <c r="Q4972" s="4">
        <v>6</v>
      </c>
    </row>
    <row r="4973" spans="1:17" ht="30" x14ac:dyDescent="0.25">
      <c r="A4973" s="2" t="s">
        <v>1797</v>
      </c>
      <c r="B4973" s="3" t="s">
        <v>5015</v>
      </c>
      <c r="C4973" s="3">
        <v>50</v>
      </c>
      <c r="D4973" s="46" t="str">
        <f>IF(Tabla1[[#This Row],[EDAD]]&lt;=35,"Adultos jóvenes 18 - 35 años",IF(C4973&gt;=36,"Adultos mayores 36 años en adelante"))</f>
        <v>Adultos mayores 36 años en adelante</v>
      </c>
      <c r="E4973" s="3" t="s">
        <v>5022</v>
      </c>
      <c r="F4973" s="3" t="s">
        <v>5026</v>
      </c>
      <c r="G4973" s="3" t="s">
        <v>5033</v>
      </c>
      <c r="H4973" s="3" t="s">
        <v>6820</v>
      </c>
      <c r="I4973" s="17">
        <v>45824</v>
      </c>
      <c r="J4973" s="18">
        <f>YEAR(Tabla1[[#This Row],[FECHA DE COMPRA]])</f>
        <v>2025</v>
      </c>
      <c r="K4973" s="19">
        <v>151.16999999999999</v>
      </c>
      <c r="L4973" s="20">
        <v>0</v>
      </c>
      <c r="M4973" s="19">
        <f>Tienda!$K4952-Tienda!$K4952*Tienda!$L4952</f>
        <v>193.59</v>
      </c>
      <c r="N4973" s="3" t="s">
        <v>10038</v>
      </c>
      <c r="O4973" s="3" t="s">
        <v>10042</v>
      </c>
      <c r="P4973" s="17">
        <v>45914</v>
      </c>
      <c r="Q4973" s="4">
        <v>3</v>
      </c>
    </row>
    <row r="4974" spans="1:17" ht="30" x14ac:dyDescent="0.25">
      <c r="A4974" s="2" t="s">
        <v>913</v>
      </c>
      <c r="B4974" s="3" t="s">
        <v>5015</v>
      </c>
      <c r="C4974" s="3">
        <v>39</v>
      </c>
      <c r="D4974" s="46" t="str">
        <f>IF(Tabla1[[#This Row],[EDAD]]&lt;=35,"Adultos jóvenes 18 - 35 años",IF(C4974&gt;=36,"Adultos mayores 36 años en adelante"))</f>
        <v>Adultos mayores 36 años en adelante</v>
      </c>
      <c r="E4974" s="3" t="s">
        <v>5018</v>
      </c>
      <c r="F4974" s="3" t="s">
        <v>5030</v>
      </c>
      <c r="G4974" s="3" t="s">
        <v>5037</v>
      </c>
      <c r="H4974" s="3" t="s">
        <v>5936</v>
      </c>
      <c r="I4974" s="17">
        <v>45823</v>
      </c>
      <c r="J4974" s="18">
        <f>YEAR(Tabla1[[#This Row],[FECHA DE COMPRA]])</f>
        <v>2025</v>
      </c>
      <c r="K4974" s="19">
        <v>152.28</v>
      </c>
      <c r="L4974" s="20">
        <v>0.1</v>
      </c>
      <c r="M4974" s="19">
        <f>Tienda!$K4953-Tienda!$K4953*Tienda!$L4953</f>
        <v>137.501</v>
      </c>
      <c r="N4974" s="3" t="s">
        <v>10038</v>
      </c>
      <c r="O4974" s="3" t="s">
        <v>10042</v>
      </c>
      <c r="P4974" s="17">
        <v>45913</v>
      </c>
      <c r="Q4974" s="4">
        <v>3</v>
      </c>
    </row>
    <row r="4975" spans="1:17" ht="30" x14ac:dyDescent="0.25">
      <c r="A4975" s="2" t="s">
        <v>392</v>
      </c>
      <c r="B4975" s="3" t="s">
        <v>5015</v>
      </c>
      <c r="C4975" s="3">
        <v>38</v>
      </c>
      <c r="D4975" s="46" t="str">
        <f>IF(Tabla1[[#This Row],[EDAD]]&lt;=35,"Adultos jóvenes 18 - 35 años",IF(C4975&gt;=36,"Adultos mayores 36 años en adelante"))</f>
        <v>Adultos mayores 36 años en adelante</v>
      </c>
      <c r="E4975" s="3" t="s">
        <v>5022</v>
      </c>
      <c r="F4975" s="3" t="s">
        <v>5025</v>
      </c>
      <c r="G4975" s="3" t="s">
        <v>5031</v>
      </c>
      <c r="H4975" s="3" t="s">
        <v>5415</v>
      </c>
      <c r="I4975" s="17">
        <v>45820</v>
      </c>
      <c r="J4975" s="18">
        <f>YEAR(Tabla1[[#This Row],[FECHA DE COMPRA]])</f>
        <v>2025</v>
      </c>
      <c r="K4975" s="19">
        <v>154.41999999999999</v>
      </c>
      <c r="L4975" s="20">
        <v>0</v>
      </c>
      <c r="M4975" s="19">
        <f>Tienda!$K4954-Tienda!$K4954*Tienda!$L4954</f>
        <v>13.734</v>
      </c>
      <c r="N4975" s="3" t="s">
        <v>10038</v>
      </c>
      <c r="O4975" s="3" t="s">
        <v>10042</v>
      </c>
      <c r="P4975" s="17">
        <v>46000</v>
      </c>
      <c r="Q4975" s="4">
        <v>6</v>
      </c>
    </row>
    <row r="4976" spans="1:17" ht="30" x14ac:dyDescent="0.25">
      <c r="A4976" s="2" t="s">
        <v>4962</v>
      </c>
      <c r="B4976" s="3" t="s">
        <v>5015</v>
      </c>
      <c r="C4976" s="3">
        <v>56</v>
      </c>
      <c r="D4976" s="46" t="str">
        <f>IF(Tabla1[[#This Row],[EDAD]]&lt;=35,"Adultos jóvenes 18 - 35 años",IF(C4976&gt;=36,"Adultos mayores 36 años en adelante"))</f>
        <v>Adultos mayores 36 años en adelante</v>
      </c>
      <c r="E4976" s="3" t="s">
        <v>5021</v>
      </c>
      <c r="F4976" s="3" t="s">
        <v>5025</v>
      </c>
      <c r="G4976" s="3" t="s">
        <v>5036</v>
      </c>
      <c r="H4976" s="3" t="s">
        <v>9985</v>
      </c>
      <c r="I4976" s="17">
        <v>45817</v>
      </c>
      <c r="J4976" s="18">
        <f>YEAR(Tabla1[[#This Row],[FECHA DE COMPRA]])</f>
        <v>2025</v>
      </c>
      <c r="K4976" s="19">
        <v>157.09</v>
      </c>
      <c r="L4976" s="20">
        <v>0.1</v>
      </c>
      <c r="M4976" s="19">
        <f>Tienda!$K4955-Tienda!$K4955*Tienda!$L4955</f>
        <v>15.128</v>
      </c>
      <c r="N4976" s="3" t="s">
        <v>10038</v>
      </c>
      <c r="O4976" s="3" t="s">
        <v>10042</v>
      </c>
      <c r="P4976" s="17">
        <v>45907</v>
      </c>
      <c r="Q4976" s="4">
        <v>3</v>
      </c>
    </row>
    <row r="4977" spans="1:17" ht="30" x14ac:dyDescent="0.25">
      <c r="A4977" s="2" t="s">
        <v>1044</v>
      </c>
      <c r="B4977" s="3" t="s">
        <v>5016</v>
      </c>
      <c r="C4977" s="3">
        <v>54</v>
      </c>
      <c r="D4977" s="46" t="str">
        <f>IF(Tabla1[[#This Row],[EDAD]]&lt;=35,"Adultos jóvenes 18 - 35 años",IF(C4977&gt;=36,"Adultos mayores 36 años en adelante"))</f>
        <v>Adultos mayores 36 años en adelante</v>
      </c>
      <c r="E4977" s="3" t="s">
        <v>5017</v>
      </c>
      <c r="F4977" s="3" t="s">
        <v>5025</v>
      </c>
      <c r="G4977" s="3" t="s">
        <v>5033</v>
      </c>
      <c r="H4977" s="3" t="s">
        <v>6067</v>
      </c>
      <c r="I4977" s="17">
        <v>45812</v>
      </c>
      <c r="J4977" s="18">
        <f>YEAR(Tabla1[[#This Row],[FECHA DE COMPRA]])</f>
        <v>2025</v>
      </c>
      <c r="K4977" s="19">
        <v>159.13</v>
      </c>
      <c r="L4977" s="20">
        <v>0.3</v>
      </c>
      <c r="M4977" s="19">
        <f>Tienda!$K4956-Tienda!$K4956*Tienda!$L4956</f>
        <v>28.034999999999997</v>
      </c>
      <c r="N4977" s="3" t="s">
        <v>10038</v>
      </c>
      <c r="O4977" s="3" t="s">
        <v>10042</v>
      </c>
      <c r="P4977" s="17">
        <v>45902</v>
      </c>
      <c r="Q4977" s="4">
        <v>3</v>
      </c>
    </row>
    <row r="4978" spans="1:17" ht="30" x14ac:dyDescent="0.25">
      <c r="A4978" s="2" t="s">
        <v>3795</v>
      </c>
      <c r="B4978" s="3" t="s">
        <v>5015</v>
      </c>
      <c r="C4978" s="3">
        <v>46</v>
      </c>
      <c r="D4978" s="46" t="str">
        <f>IF(Tabla1[[#This Row],[EDAD]]&lt;=35,"Adultos jóvenes 18 - 35 años",IF(C4978&gt;=36,"Adultos mayores 36 años en adelante"))</f>
        <v>Adultos mayores 36 años en adelante</v>
      </c>
      <c r="E4978" s="3" t="s">
        <v>5020</v>
      </c>
      <c r="F4978" s="3" t="s">
        <v>5027</v>
      </c>
      <c r="G4978" s="3" t="s">
        <v>5036</v>
      </c>
      <c r="H4978" s="3" t="s">
        <v>8818</v>
      </c>
      <c r="I4978" s="17">
        <v>45834</v>
      </c>
      <c r="J4978" s="18">
        <f>YEAR(Tabla1[[#This Row],[FECHA DE COMPRA]])</f>
        <v>2025</v>
      </c>
      <c r="K4978" s="19">
        <v>165.34</v>
      </c>
      <c r="L4978" s="20">
        <v>0.3</v>
      </c>
      <c r="M4978" s="19">
        <f>Tienda!$K4958-Tienda!$K4958*Tienda!$L4958</f>
        <v>36.549999999999997</v>
      </c>
      <c r="N4978" s="3" t="s">
        <v>10038</v>
      </c>
      <c r="O4978" s="3" t="s">
        <v>10042</v>
      </c>
      <c r="P4978" s="17">
        <v>46104</v>
      </c>
      <c r="Q4978" s="4">
        <v>9</v>
      </c>
    </row>
    <row r="4979" spans="1:17" ht="30" x14ac:dyDescent="0.25">
      <c r="A4979" s="2" t="s">
        <v>2627</v>
      </c>
      <c r="B4979" s="3" t="s">
        <v>5015</v>
      </c>
      <c r="C4979" s="3">
        <v>54</v>
      </c>
      <c r="D4979" s="46" t="str">
        <f>IF(Tabla1[[#This Row],[EDAD]]&lt;=35,"Adultos jóvenes 18 - 35 años",IF(C4979&gt;=36,"Adultos mayores 36 años en adelante"))</f>
        <v>Adultos mayores 36 años en adelante</v>
      </c>
      <c r="E4979" s="3" t="s">
        <v>5021</v>
      </c>
      <c r="F4979" s="3" t="s">
        <v>5025</v>
      </c>
      <c r="G4979" s="3" t="s">
        <v>5036</v>
      </c>
      <c r="H4979" s="3" t="s">
        <v>7650</v>
      </c>
      <c r="I4979" s="17">
        <v>45818</v>
      </c>
      <c r="J4979" s="18">
        <f>YEAR(Tabla1[[#This Row],[FECHA DE COMPRA]])</f>
        <v>2025</v>
      </c>
      <c r="K4979" s="19">
        <v>168.51</v>
      </c>
      <c r="L4979" s="20">
        <v>0</v>
      </c>
      <c r="M4979" s="19">
        <f>Tienda!$K4960-Tienda!$K4960*Tienda!$L4960</f>
        <v>41.311999999999998</v>
      </c>
      <c r="N4979" s="3" t="s">
        <v>10038</v>
      </c>
      <c r="O4979" s="3" t="s">
        <v>10042</v>
      </c>
      <c r="P4979" s="17">
        <v>46088</v>
      </c>
      <c r="Q4979" s="4">
        <v>9</v>
      </c>
    </row>
    <row r="4980" spans="1:17" ht="30" x14ac:dyDescent="0.25">
      <c r="A4980" s="2" t="s">
        <v>3938</v>
      </c>
      <c r="B4980" s="3" t="s">
        <v>5015</v>
      </c>
      <c r="C4980" s="3">
        <v>47</v>
      </c>
      <c r="D4980" s="46" t="str">
        <f>IF(Tabla1[[#This Row],[EDAD]]&lt;=35,"Adultos jóvenes 18 - 35 años",IF(C4980&gt;=36,"Adultos mayores 36 años en adelante"))</f>
        <v>Adultos mayores 36 años en adelante</v>
      </c>
      <c r="E4980" s="3" t="s">
        <v>5020</v>
      </c>
      <c r="F4980" s="3" t="s">
        <v>5029</v>
      </c>
      <c r="G4980" s="3" t="s">
        <v>5034</v>
      </c>
      <c r="H4980" s="3" t="s">
        <v>8961</v>
      </c>
      <c r="I4980" s="17">
        <v>45835</v>
      </c>
      <c r="J4980" s="18">
        <f>YEAR(Tabla1[[#This Row],[FECHA DE COMPRA]])</f>
        <v>2025</v>
      </c>
      <c r="K4980" s="19">
        <v>187.34</v>
      </c>
      <c r="L4980" s="20">
        <v>0.1</v>
      </c>
      <c r="M4980" s="19">
        <f>Tienda!$K4963-Tienda!$K4963*Tienda!$L4963</f>
        <v>56.032000000000004</v>
      </c>
      <c r="N4980" s="3" t="s">
        <v>10038</v>
      </c>
      <c r="O4980" s="3" t="s">
        <v>10042</v>
      </c>
      <c r="P4980" s="17">
        <v>46015</v>
      </c>
      <c r="Q4980" s="4">
        <v>6</v>
      </c>
    </row>
    <row r="4981" spans="1:17" ht="30" x14ac:dyDescent="0.25">
      <c r="A4981" s="2" t="s">
        <v>3344</v>
      </c>
      <c r="B4981" s="3" t="s">
        <v>5015</v>
      </c>
      <c r="C4981" s="3">
        <v>57</v>
      </c>
      <c r="D4981" s="46" t="str">
        <f>IF(Tabla1[[#This Row],[EDAD]]&lt;=35,"Adultos jóvenes 18 - 35 años",IF(C4981&gt;=36,"Adultos mayores 36 años en adelante"))</f>
        <v>Adultos mayores 36 años en adelante</v>
      </c>
      <c r="E4981" s="3" t="s">
        <v>5018</v>
      </c>
      <c r="F4981" s="3" t="s">
        <v>5025</v>
      </c>
      <c r="G4981" s="3" t="s">
        <v>5033</v>
      </c>
      <c r="H4981" s="3" t="s">
        <v>8367</v>
      </c>
      <c r="I4981" s="17">
        <v>45859</v>
      </c>
      <c r="J4981" s="18">
        <f>YEAR(Tabla1[[#This Row],[FECHA DE COMPRA]])</f>
        <v>2025</v>
      </c>
      <c r="K4981" s="19">
        <v>18.89</v>
      </c>
      <c r="L4981" s="20">
        <v>0</v>
      </c>
      <c r="M4981" s="19">
        <f>Tienda!$K4966-Tienda!$K4966*Tienda!$L4966</f>
        <v>88.66</v>
      </c>
      <c r="N4981" s="3" t="s">
        <v>10038</v>
      </c>
      <c r="O4981" s="3" t="s">
        <v>10042</v>
      </c>
      <c r="P4981" s="17">
        <v>45949</v>
      </c>
      <c r="Q4981" s="4">
        <v>3</v>
      </c>
    </row>
    <row r="4982" spans="1:17" ht="30" x14ac:dyDescent="0.25">
      <c r="A4982" s="2" t="s">
        <v>1304</v>
      </c>
      <c r="B4982" s="3" t="s">
        <v>5015</v>
      </c>
      <c r="C4982" s="3">
        <v>40</v>
      </c>
      <c r="D4982" s="46" t="str">
        <f>IF(Tabla1[[#This Row],[EDAD]]&lt;=35,"Adultos jóvenes 18 - 35 años",IF(C4982&gt;=36,"Adultos mayores 36 años en adelante"))</f>
        <v>Adultos mayores 36 años en adelante</v>
      </c>
      <c r="E4982" s="3" t="s">
        <v>5019</v>
      </c>
      <c r="F4982" s="3" t="s">
        <v>5028</v>
      </c>
      <c r="G4982" s="3" t="s">
        <v>5031</v>
      </c>
      <c r="H4982" s="3" t="s">
        <v>6327</v>
      </c>
      <c r="I4982" s="17">
        <v>45868</v>
      </c>
      <c r="J4982" s="18">
        <f>YEAR(Tabla1[[#This Row],[FECHA DE COMPRA]])</f>
        <v>2025</v>
      </c>
      <c r="K4982" s="19">
        <v>33.97</v>
      </c>
      <c r="L4982" s="20">
        <v>0.3</v>
      </c>
      <c r="M4982" s="19">
        <f>Tienda!$K4967-Tienda!$K4967*Tienda!$L4967</f>
        <v>91.128</v>
      </c>
      <c r="N4982" s="3" t="s">
        <v>10038</v>
      </c>
      <c r="O4982" s="3" t="s">
        <v>10042</v>
      </c>
      <c r="P4982" s="17">
        <v>46138</v>
      </c>
      <c r="Q4982" s="4">
        <v>9</v>
      </c>
    </row>
    <row r="4983" spans="1:17" ht="30" x14ac:dyDescent="0.25">
      <c r="A4983" s="2" t="s">
        <v>1595</v>
      </c>
      <c r="B4983" s="3" t="s">
        <v>5016</v>
      </c>
      <c r="C4983" s="3">
        <v>43</v>
      </c>
      <c r="D4983" s="46" t="str">
        <f>IF(Tabla1[[#This Row],[EDAD]]&lt;=35,"Adultos jóvenes 18 - 35 años",IF(C4983&gt;=36,"Adultos mayores 36 años en adelante"))</f>
        <v>Adultos mayores 36 años en adelante</v>
      </c>
      <c r="E4983" s="3" t="s">
        <v>5017</v>
      </c>
      <c r="F4983" s="3" t="s">
        <v>5027</v>
      </c>
      <c r="G4983" s="3" t="s">
        <v>5037</v>
      </c>
      <c r="H4983" s="3" t="s">
        <v>6618</v>
      </c>
      <c r="I4983" s="17">
        <v>45850</v>
      </c>
      <c r="J4983" s="18">
        <f>YEAR(Tabla1[[#This Row],[FECHA DE COMPRA]])</f>
        <v>2025</v>
      </c>
      <c r="K4983" s="19">
        <v>36.909999999999997</v>
      </c>
      <c r="L4983" s="20">
        <v>0.3</v>
      </c>
      <c r="M4983" s="19">
        <f>Tienda!$K4968-Tienda!$K4968*Tienda!$L4968</f>
        <v>85.070999999999998</v>
      </c>
      <c r="N4983" s="3" t="s">
        <v>10038</v>
      </c>
      <c r="O4983" s="3" t="s">
        <v>10042</v>
      </c>
      <c r="P4983" s="17">
        <v>46210</v>
      </c>
      <c r="Q4983" s="4">
        <v>12</v>
      </c>
    </row>
    <row r="4984" spans="1:17" ht="30" x14ac:dyDescent="0.25">
      <c r="A4984" s="2" t="s">
        <v>469</v>
      </c>
      <c r="B4984" s="3" t="s">
        <v>5015</v>
      </c>
      <c r="C4984" s="3">
        <v>37</v>
      </c>
      <c r="D4984" s="46" t="str">
        <f>IF(Tabla1[[#This Row],[EDAD]]&lt;=35,"Adultos jóvenes 18 - 35 años",IF(C4984&gt;=36,"Adultos mayores 36 años en adelante"))</f>
        <v>Adultos mayores 36 años en adelante</v>
      </c>
      <c r="E4984" s="3" t="s">
        <v>5023</v>
      </c>
      <c r="F4984" s="3" t="s">
        <v>5024</v>
      </c>
      <c r="G4984" s="3" t="s">
        <v>5032</v>
      </c>
      <c r="H4984" s="3" t="s">
        <v>5492</v>
      </c>
      <c r="I4984" s="17">
        <v>45841</v>
      </c>
      <c r="J4984" s="18">
        <f>YEAR(Tabla1[[#This Row],[FECHA DE COMPRA]])</f>
        <v>2025</v>
      </c>
      <c r="K4984" s="19">
        <v>41.93</v>
      </c>
      <c r="L4984" s="20">
        <v>0.2</v>
      </c>
      <c r="M4984" s="19">
        <f>Tienda!$K4970-Tienda!$K4970*Tienda!$L4970</f>
        <v>112.47200000000001</v>
      </c>
      <c r="N4984" s="3" t="s">
        <v>10038</v>
      </c>
      <c r="O4984" s="3" t="s">
        <v>10042</v>
      </c>
      <c r="P4984" s="17">
        <v>45931</v>
      </c>
      <c r="Q4984" s="4">
        <v>3</v>
      </c>
    </row>
    <row r="4985" spans="1:17" ht="30" x14ac:dyDescent="0.25">
      <c r="A4985" s="2" t="s">
        <v>387</v>
      </c>
      <c r="B4985" s="3" t="s">
        <v>5015</v>
      </c>
      <c r="C4985" s="3">
        <v>41</v>
      </c>
      <c r="D4985" s="46" t="str">
        <f>IF(Tabla1[[#This Row],[EDAD]]&lt;=35,"Adultos jóvenes 18 - 35 años",IF(C4985&gt;=36,"Adultos mayores 36 años en adelante"))</f>
        <v>Adultos mayores 36 años en adelante</v>
      </c>
      <c r="E4985" s="3" t="s">
        <v>5018</v>
      </c>
      <c r="F4985" s="3" t="s">
        <v>5029</v>
      </c>
      <c r="G4985" s="3" t="s">
        <v>5032</v>
      </c>
      <c r="H4985" s="3" t="s">
        <v>5410</v>
      </c>
      <c r="I4985" s="17">
        <v>45855</v>
      </c>
      <c r="J4985" s="18">
        <f>YEAR(Tabla1[[#This Row],[FECHA DE COMPRA]])</f>
        <v>2025</v>
      </c>
      <c r="K4985" s="19">
        <v>112.77</v>
      </c>
      <c r="L4985" s="20">
        <v>0.3</v>
      </c>
      <c r="M4985" s="19">
        <f>Tienda!$K4976-Tienda!$K4976*Tienda!$L4976</f>
        <v>141.381</v>
      </c>
      <c r="N4985" s="3" t="s">
        <v>10038</v>
      </c>
      <c r="O4985" s="3" t="s">
        <v>10042</v>
      </c>
      <c r="P4985" s="17">
        <v>46125</v>
      </c>
      <c r="Q4985" s="4">
        <v>9</v>
      </c>
    </row>
    <row r="4986" spans="1:17" ht="30" x14ac:dyDescent="0.25">
      <c r="A4986" s="2" t="s">
        <v>1844</v>
      </c>
      <c r="B4986" s="3" t="s">
        <v>5016</v>
      </c>
      <c r="C4986" s="3">
        <v>48</v>
      </c>
      <c r="D4986" s="46" t="str">
        <f>IF(Tabla1[[#This Row],[EDAD]]&lt;=35,"Adultos jóvenes 18 - 35 años",IF(C4986&gt;=36,"Adultos mayores 36 años en adelante"))</f>
        <v>Adultos mayores 36 años en adelante</v>
      </c>
      <c r="E4986" s="3" t="s">
        <v>5017</v>
      </c>
      <c r="F4986" s="3" t="s">
        <v>5025</v>
      </c>
      <c r="G4986" s="3" t="s">
        <v>5034</v>
      </c>
      <c r="H4986" s="3" t="s">
        <v>6867</v>
      </c>
      <c r="I4986" s="17">
        <v>45864</v>
      </c>
      <c r="J4986" s="18">
        <f>YEAR(Tabla1[[#This Row],[FECHA DE COMPRA]])</f>
        <v>2025</v>
      </c>
      <c r="K4986" s="19">
        <v>112.8</v>
      </c>
      <c r="L4986" s="20">
        <v>0.3</v>
      </c>
      <c r="M4986" s="19">
        <f>Tienda!$K4977-Tienda!$K4977*Tienda!$L4977</f>
        <v>111.39099999999999</v>
      </c>
      <c r="N4986" s="3" t="s">
        <v>10038</v>
      </c>
      <c r="O4986" s="3" t="s">
        <v>10042</v>
      </c>
      <c r="P4986" s="17">
        <v>45954</v>
      </c>
      <c r="Q4986" s="4">
        <v>3</v>
      </c>
    </row>
    <row r="4987" spans="1:17" ht="30" x14ac:dyDescent="0.25">
      <c r="A4987" s="2" t="s">
        <v>1213</v>
      </c>
      <c r="B4987" s="3" t="s">
        <v>5015</v>
      </c>
      <c r="C4987" s="3">
        <v>37</v>
      </c>
      <c r="D4987" s="46" t="str">
        <f>IF(Tabla1[[#This Row],[EDAD]]&lt;=35,"Adultos jóvenes 18 - 35 años",IF(C4987&gt;=36,"Adultos mayores 36 años en adelante"))</f>
        <v>Adultos mayores 36 años en adelante</v>
      </c>
      <c r="E4987" s="3" t="s">
        <v>5018</v>
      </c>
      <c r="F4987" s="3" t="s">
        <v>5028</v>
      </c>
      <c r="G4987" s="3" t="s">
        <v>5031</v>
      </c>
      <c r="H4987" s="3" t="s">
        <v>6236</v>
      </c>
      <c r="I4987" s="17">
        <v>45868</v>
      </c>
      <c r="J4987" s="18">
        <f>YEAR(Tabla1[[#This Row],[FECHA DE COMPRA]])</f>
        <v>2025</v>
      </c>
      <c r="K4987" s="19">
        <v>157.72</v>
      </c>
      <c r="L4987" s="20">
        <v>0.3</v>
      </c>
      <c r="M4987" s="19">
        <f>Tienda!$K4981-Tienda!$K4981*Tienda!$L4981</f>
        <v>18.89</v>
      </c>
      <c r="N4987" s="3" t="s">
        <v>10038</v>
      </c>
      <c r="O4987" s="3" t="s">
        <v>10042</v>
      </c>
      <c r="P4987" s="17">
        <v>46048</v>
      </c>
      <c r="Q4987" s="4">
        <v>6</v>
      </c>
    </row>
    <row r="4988" spans="1:17" ht="30" x14ac:dyDescent="0.25">
      <c r="A4988" s="2" t="s">
        <v>1160</v>
      </c>
      <c r="B4988" s="3" t="s">
        <v>5015</v>
      </c>
      <c r="C4988" s="3">
        <v>42</v>
      </c>
      <c r="D4988" s="46" t="str">
        <f>IF(Tabla1[[#This Row],[EDAD]]&lt;=35,"Adultos jóvenes 18 - 35 años",IF(C4988&gt;=36,"Adultos mayores 36 años en adelante"))</f>
        <v>Adultos mayores 36 años en adelante</v>
      </c>
      <c r="E4988" s="3" t="s">
        <v>5018</v>
      </c>
      <c r="F4988" s="3" t="s">
        <v>5024</v>
      </c>
      <c r="G4988" s="3" t="s">
        <v>5034</v>
      </c>
      <c r="H4988" s="3" t="s">
        <v>6183</v>
      </c>
      <c r="I4988" s="17">
        <v>45849</v>
      </c>
      <c r="J4988" s="18">
        <f>YEAR(Tabla1[[#This Row],[FECHA DE COMPRA]])</f>
        <v>2025</v>
      </c>
      <c r="K4988" s="19">
        <v>159.38</v>
      </c>
      <c r="L4988" s="20">
        <v>0.1</v>
      </c>
      <c r="M4988" s="19">
        <f>Tienda!$K4982-Tienda!$K4982*Tienda!$L4982</f>
        <v>23.779</v>
      </c>
      <c r="N4988" s="3" t="s">
        <v>10038</v>
      </c>
      <c r="O4988" s="3" t="s">
        <v>10042</v>
      </c>
      <c r="P4988" s="17">
        <v>46209</v>
      </c>
      <c r="Q4988" s="4">
        <v>12</v>
      </c>
    </row>
    <row r="4989" spans="1:17" ht="30" x14ac:dyDescent="0.25">
      <c r="A4989" s="2" t="s">
        <v>4470</v>
      </c>
      <c r="B4989" s="3" t="s">
        <v>5016</v>
      </c>
      <c r="C4989" s="3">
        <v>50</v>
      </c>
      <c r="D4989" s="46" t="str">
        <f>IF(Tabla1[[#This Row],[EDAD]]&lt;=35,"Adultos jóvenes 18 - 35 años",IF(C4989&gt;=36,"Adultos mayores 36 años en adelante"))</f>
        <v>Adultos mayores 36 años en adelante</v>
      </c>
      <c r="E4989" s="3" t="s">
        <v>5017</v>
      </c>
      <c r="F4989" s="3" t="s">
        <v>5028</v>
      </c>
      <c r="G4989" s="3" t="s">
        <v>5035</v>
      </c>
      <c r="H4989" s="3" t="s">
        <v>9493</v>
      </c>
      <c r="I4989" s="17">
        <v>45869</v>
      </c>
      <c r="J4989" s="18">
        <f>YEAR(Tabla1[[#This Row],[FECHA DE COMPRA]])</f>
        <v>2025</v>
      </c>
      <c r="K4989" s="19">
        <v>163.96</v>
      </c>
      <c r="L4989" s="20">
        <v>0.1</v>
      </c>
      <c r="M4989" s="19">
        <f>Tienda!$K4983-Tienda!$K4983*Tienda!$L4983</f>
        <v>25.836999999999996</v>
      </c>
      <c r="N4989" s="3" t="s">
        <v>10038</v>
      </c>
      <c r="O4989" s="3" t="s">
        <v>10042</v>
      </c>
      <c r="P4989" s="17">
        <v>46049</v>
      </c>
      <c r="Q4989" s="4">
        <v>6</v>
      </c>
    </row>
    <row r="4990" spans="1:17" ht="30" x14ac:dyDescent="0.25">
      <c r="A4990" s="2" t="s">
        <v>2146</v>
      </c>
      <c r="B4990" s="3" t="s">
        <v>5015</v>
      </c>
      <c r="C4990" s="3">
        <v>56</v>
      </c>
      <c r="D4990" s="46" t="str">
        <f>IF(Tabla1[[#This Row],[EDAD]]&lt;=35,"Adultos jóvenes 18 - 35 años",IF(C4990&gt;=36,"Adultos mayores 36 años en adelante"))</f>
        <v>Adultos mayores 36 años en adelante</v>
      </c>
      <c r="E4990" s="3" t="s">
        <v>5022</v>
      </c>
      <c r="F4990" s="3" t="s">
        <v>5026</v>
      </c>
      <c r="G4990" s="3" t="s">
        <v>5031</v>
      </c>
      <c r="H4990" s="3" t="s">
        <v>7169</v>
      </c>
      <c r="I4990" s="17">
        <v>45848</v>
      </c>
      <c r="J4990" s="18">
        <f>YEAR(Tabla1[[#This Row],[FECHA DE COMPRA]])</f>
        <v>2025</v>
      </c>
      <c r="K4990" s="19">
        <v>164.73</v>
      </c>
      <c r="L4990" s="20">
        <v>0.1</v>
      </c>
      <c r="M4990" s="19">
        <f>Tienda!$K4985-Tienda!$K4985*Tienda!$L4985</f>
        <v>78.938999999999993</v>
      </c>
      <c r="N4990" s="3" t="s">
        <v>10038</v>
      </c>
      <c r="O4990" s="3" t="s">
        <v>10042</v>
      </c>
      <c r="P4990" s="17">
        <v>46028</v>
      </c>
      <c r="Q4990" s="4">
        <v>6</v>
      </c>
    </row>
    <row r="4991" spans="1:17" ht="30" x14ac:dyDescent="0.25">
      <c r="A4991" s="2" t="s">
        <v>2975</v>
      </c>
      <c r="B4991" s="3" t="s">
        <v>5015</v>
      </c>
      <c r="C4991" s="3">
        <v>65</v>
      </c>
      <c r="D4991" s="46" t="str">
        <f>IF(Tabla1[[#This Row],[EDAD]]&lt;=35,"Adultos jóvenes 18 - 35 años",IF(C4991&gt;=36,"Adultos mayores 36 años en adelante"))</f>
        <v>Adultos mayores 36 años en adelante</v>
      </c>
      <c r="E4991" s="3" t="s">
        <v>5021</v>
      </c>
      <c r="F4991" s="3" t="s">
        <v>5025</v>
      </c>
      <c r="G4991" s="3" t="s">
        <v>5035</v>
      </c>
      <c r="H4991" s="3" t="s">
        <v>7998</v>
      </c>
      <c r="I4991" s="17">
        <v>45855</v>
      </c>
      <c r="J4991" s="18">
        <f>YEAR(Tabla1[[#This Row],[FECHA DE COMPRA]])</f>
        <v>2025</v>
      </c>
      <c r="K4991" s="19">
        <v>168.41</v>
      </c>
      <c r="L4991" s="20">
        <v>0.3</v>
      </c>
      <c r="M4991" s="19">
        <f>Tienda!$K4987-Tienda!$K4987*Tienda!$L4987</f>
        <v>110.404</v>
      </c>
      <c r="N4991" s="3" t="s">
        <v>10038</v>
      </c>
      <c r="O4991" s="3" t="s">
        <v>10042</v>
      </c>
      <c r="P4991" s="17">
        <v>46125</v>
      </c>
      <c r="Q4991" s="4">
        <v>9</v>
      </c>
    </row>
    <row r="4992" spans="1:17" ht="30" x14ac:dyDescent="0.25">
      <c r="A4992" s="2" t="s">
        <v>4081</v>
      </c>
      <c r="B4992" s="3" t="s">
        <v>5016</v>
      </c>
      <c r="C4992" s="3">
        <v>43</v>
      </c>
      <c r="D4992" s="46" t="str">
        <f>IF(Tabla1[[#This Row],[EDAD]]&lt;=35,"Adultos jóvenes 18 - 35 años",IF(C4992&gt;=36,"Adultos mayores 36 años en adelante"))</f>
        <v>Adultos mayores 36 años en adelante</v>
      </c>
      <c r="E4992" s="3" t="s">
        <v>5017</v>
      </c>
      <c r="F4992" s="3" t="s">
        <v>5025</v>
      </c>
      <c r="G4992" s="3" t="s">
        <v>5037</v>
      </c>
      <c r="H4992" s="3" t="s">
        <v>9104</v>
      </c>
      <c r="I4992" s="17">
        <v>45851</v>
      </c>
      <c r="J4992" s="18">
        <f>YEAR(Tabla1[[#This Row],[FECHA DE COMPRA]])</f>
        <v>2025</v>
      </c>
      <c r="K4992" s="19">
        <v>168.64</v>
      </c>
      <c r="L4992" s="20">
        <v>0</v>
      </c>
      <c r="M4992" s="19">
        <f>Tienda!$K4988-Tienda!$K4988*Tienda!$L4988</f>
        <v>143.44200000000001</v>
      </c>
      <c r="N4992" s="3" t="s">
        <v>10038</v>
      </c>
      <c r="O4992" s="3" t="s">
        <v>10042</v>
      </c>
      <c r="P4992" s="17">
        <v>46031</v>
      </c>
      <c r="Q4992" s="4">
        <v>6</v>
      </c>
    </row>
    <row r="4993" spans="1:17" ht="30" x14ac:dyDescent="0.25">
      <c r="A4993" s="2" t="s">
        <v>3349</v>
      </c>
      <c r="B4993" s="3" t="s">
        <v>5015</v>
      </c>
      <c r="C4993" s="3">
        <v>56</v>
      </c>
      <c r="D4993" s="46" t="str">
        <f>IF(Tabla1[[#This Row],[EDAD]]&lt;=35,"Adultos jóvenes 18 - 35 años",IF(C4993&gt;=36,"Adultos mayores 36 años en adelante"))</f>
        <v>Adultos mayores 36 años en adelante</v>
      </c>
      <c r="E4993" s="3" t="s">
        <v>5019</v>
      </c>
      <c r="F4993" s="3" t="s">
        <v>5024</v>
      </c>
      <c r="G4993" s="3" t="s">
        <v>5036</v>
      </c>
      <c r="H4993" s="3" t="s">
        <v>8372</v>
      </c>
      <c r="I4993" s="17">
        <v>45871</v>
      </c>
      <c r="J4993" s="18">
        <f>YEAR(Tabla1[[#This Row],[FECHA DE COMPRA]])</f>
        <v>2025</v>
      </c>
      <c r="K4993" s="19">
        <v>28.8</v>
      </c>
      <c r="L4993" s="20">
        <v>0.3</v>
      </c>
      <c r="M4993" s="19">
        <f>Tienda!$K4991-Tienda!$K4991*Tienda!$L4991</f>
        <v>117.887</v>
      </c>
      <c r="N4993" s="3" t="s">
        <v>10038</v>
      </c>
      <c r="O4993" s="3" t="s">
        <v>10042</v>
      </c>
      <c r="P4993" s="17">
        <v>46231</v>
      </c>
      <c r="Q4993" s="4">
        <v>12</v>
      </c>
    </row>
    <row r="4994" spans="1:17" ht="30" x14ac:dyDescent="0.25">
      <c r="A4994" s="2" t="s">
        <v>1764</v>
      </c>
      <c r="B4994" s="3" t="s">
        <v>5015</v>
      </c>
      <c r="C4994" s="3">
        <v>37</v>
      </c>
      <c r="D4994" s="46" t="str">
        <f>IF(Tabla1[[#This Row],[EDAD]]&lt;=35,"Adultos jóvenes 18 - 35 años",IF(C4994&gt;=36,"Adultos mayores 36 años en adelante"))</f>
        <v>Adultos mayores 36 años en adelante</v>
      </c>
      <c r="E4994" s="3" t="s">
        <v>5020</v>
      </c>
      <c r="F4994" s="3" t="s">
        <v>5027</v>
      </c>
      <c r="G4994" s="3" t="s">
        <v>5034</v>
      </c>
      <c r="H4994" s="3" t="s">
        <v>6787</v>
      </c>
      <c r="I4994" s="17">
        <v>45879</v>
      </c>
      <c r="J4994" s="18">
        <f>YEAR(Tabla1[[#This Row],[FECHA DE COMPRA]])</f>
        <v>2025</v>
      </c>
      <c r="K4994" s="19">
        <v>34.119999999999997</v>
      </c>
      <c r="L4994" s="20">
        <v>0.3</v>
      </c>
      <c r="M4994" s="19">
        <f>Tienda!$K4992-Tienda!$K4992*Tienda!$L4992</f>
        <v>168.64</v>
      </c>
      <c r="N4994" s="3" t="s">
        <v>10038</v>
      </c>
      <c r="O4994" s="3" t="s">
        <v>10042</v>
      </c>
      <c r="P4994" s="17">
        <v>46059</v>
      </c>
      <c r="Q4994" s="4">
        <v>6</v>
      </c>
    </row>
    <row r="4995" spans="1:17" ht="30" x14ac:dyDescent="0.25">
      <c r="A4995" s="2" t="s">
        <v>1062</v>
      </c>
      <c r="B4995" s="3" t="s">
        <v>5015</v>
      </c>
      <c r="C4995" s="3">
        <v>60</v>
      </c>
      <c r="D4995" s="46" t="str">
        <f>IF(Tabla1[[#This Row],[EDAD]]&lt;=35,"Adultos jóvenes 18 - 35 años",IF(C4995&gt;=36,"Adultos mayores 36 años en adelante"))</f>
        <v>Adultos mayores 36 años en adelante</v>
      </c>
      <c r="E4995" s="3" t="s">
        <v>5022</v>
      </c>
      <c r="F4995" s="3" t="s">
        <v>5030</v>
      </c>
      <c r="G4995" s="3" t="s">
        <v>5034</v>
      </c>
      <c r="H4995" s="3" t="s">
        <v>6085</v>
      </c>
      <c r="I4995" s="17">
        <v>45882</v>
      </c>
      <c r="J4995" s="18">
        <f>YEAR(Tabla1[[#This Row],[FECHA DE COMPRA]])</f>
        <v>2025</v>
      </c>
      <c r="K4995" s="19">
        <v>75.91</v>
      </c>
      <c r="L4995" s="20">
        <v>0</v>
      </c>
      <c r="M4995" s="19">
        <f>Tienda!$K4993-Tienda!$K4993*Tienda!$L4993</f>
        <v>20.16</v>
      </c>
      <c r="N4995" s="3" t="s">
        <v>10038</v>
      </c>
      <c r="O4995" s="3" t="s">
        <v>10042</v>
      </c>
      <c r="P4995" s="17">
        <v>46242</v>
      </c>
      <c r="Q4995" s="4">
        <v>12</v>
      </c>
    </row>
    <row r="4996" spans="1:17" ht="30" x14ac:dyDescent="0.25">
      <c r="A4996" s="2" t="s">
        <v>2712</v>
      </c>
      <c r="B4996" s="3" t="s">
        <v>5015</v>
      </c>
      <c r="C4996" s="3">
        <v>39</v>
      </c>
      <c r="D4996" s="46" t="str">
        <f>IF(Tabla1[[#This Row],[EDAD]]&lt;=35,"Adultos jóvenes 18 - 35 años",IF(C4996&gt;=36,"Adultos mayores 36 años en adelante"))</f>
        <v>Adultos mayores 36 años en adelante</v>
      </c>
      <c r="E4996" s="3" t="s">
        <v>5021</v>
      </c>
      <c r="F4996" s="3" t="s">
        <v>5027</v>
      </c>
      <c r="G4996" s="3" t="s">
        <v>5033</v>
      </c>
      <c r="H4996" s="3" t="s">
        <v>7735</v>
      </c>
      <c r="I4996" s="17">
        <v>45871</v>
      </c>
      <c r="J4996" s="18">
        <f>YEAR(Tabla1[[#This Row],[FECHA DE COMPRA]])</f>
        <v>2025</v>
      </c>
      <c r="K4996" s="19">
        <v>85.33</v>
      </c>
      <c r="L4996" s="20">
        <v>0.3</v>
      </c>
      <c r="M4996" s="19">
        <f>Tienda!$K4994-Tienda!$K4994*Tienda!$L4994</f>
        <v>23.884</v>
      </c>
      <c r="N4996" s="3" t="s">
        <v>10038</v>
      </c>
      <c r="O4996" s="3" t="s">
        <v>10042</v>
      </c>
      <c r="P4996" s="17">
        <v>46141</v>
      </c>
      <c r="Q4996" s="4">
        <v>9</v>
      </c>
    </row>
    <row r="4997" spans="1:17" ht="30" x14ac:dyDescent="0.25">
      <c r="A4997" s="2" t="s">
        <v>2699</v>
      </c>
      <c r="B4997" s="3" t="s">
        <v>5015</v>
      </c>
      <c r="C4997" s="3">
        <v>63</v>
      </c>
      <c r="D4997" s="46" t="str">
        <f>IF(Tabla1[[#This Row],[EDAD]]&lt;=35,"Adultos jóvenes 18 - 35 años",IF(C4997&gt;=36,"Adultos mayores 36 años en adelante"))</f>
        <v>Adultos mayores 36 años en adelante</v>
      </c>
      <c r="E4997" s="3" t="s">
        <v>5018</v>
      </c>
      <c r="F4997" s="3" t="s">
        <v>5028</v>
      </c>
      <c r="G4997" s="3" t="s">
        <v>5031</v>
      </c>
      <c r="H4997" s="3" t="s">
        <v>7722</v>
      </c>
      <c r="I4997" s="17">
        <v>45885</v>
      </c>
      <c r="J4997" s="18">
        <f>YEAR(Tabla1[[#This Row],[FECHA DE COMPRA]])</f>
        <v>2025</v>
      </c>
      <c r="K4997" s="19">
        <v>167.99</v>
      </c>
      <c r="L4997" s="20">
        <v>0.1</v>
      </c>
      <c r="M4997" s="19">
        <f>Tienda!$K4996-Tienda!$K4996*Tienda!$L4996</f>
        <v>59.730999999999995</v>
      </c>
      <c r="N4997" s="3" t="s">
        <v>10038</v>
      </c>
      <c r="O4997" s="3" t="s">
        <v>10042</v>
      </c>
      <c r="P4997" s="17">
        <v>46065</v>
      </c>
      <c r="Q4997" s="4">
        <v>6</v>
      </c>
    </row>
    <row r="4998" spans="1:17" ht="30" x14ac:dyDescent="0.25">
      <c r="A4998" s="2" t="s">
        <v>1979</v>
      </c>
      <c r="B4998" s="3" t="s">
        <v>5015</v>
      </c>
      <c r="C4998" s="3">
        <v>43</v>
      </c>
      <c r="D4998" s="46" t="str">
        <f>IF(Tabla1[[#This Row],[EDAD]]&lt;=35,"Adultos jóvenes 18 - 35 años",IF(C4998&gt;=36,"Adultos mayores 36 años en adelante"))</f>
        <v>Adultos mayores 36 años en adelante</v>
      </c>
      <c r="E4998" s="3" t="s">
        <v>5017</v>
      </c>
      <c r="F4998" s="3" t="s">
        <v>5027</v>
      </c>
      <c r="G4998" s="3" t="s">
        <v>5034</v>
      </c>
      <c r="H4998" s="3" t="s">
        <v>7002</v>
      </c>
      <c r="I4998" s="17">
        <v>45882</v>
      </c>
      <c r="J4998" s="18">
        <f>YEAR(Tabla1[[#This Row],[FECHA DE COMPRA]])</f>
        <v>2025</v>
      </c>
      <c r="K4998" s="19">
        <v>169.68</v>
      </c>
      <c r="L4998" s="20">
        <v>0</v>
      </c>
      <c r="M4998" s="19">
        <f>Tienda!$K4997-Tienda!$K4997*Tienda!$L4997</f>
        <v>151.191</v>
      </c>
      <c r="N4998" s="3" t="s">
        <v>10038</v>
      </c>
      <c r="O4998" s="3" t="s">
        <v>10042</v>
      </c>
      <c r="P4998" s="17">
        <v>46062</v>
      </c>
      <c r="Q4998" s="4">
        <v>6</v>
      </c>
    </row>
    <row r="4999" spans="1:17" ht="30" x14ac:dyDescent="0.25">
      <c r="A4999" s="2" t="s">
        <v>460</v>
      </c>
      <c r="B4999" s="3" t="s">
        <v>5015</v>
      </c>
      <c r="C4999" s="3">
        <v>39</v>
      </c>
      <c r="D4999" s="46" t="str">
        <f>IF(Tabla1[[#This Row],[EDAD]]&lt;=35,"Adultos jóvenes 18 - 35 años",IF(C4999&gt;=36,"Adultos mayores 36 años en adelante"))</f>
        <v>Adultos mayores 36 años en adelante</v>
      </c>
      <c r="E4999" s="3" t="s">
        <v>5020</v>
      </c>
      <c r="F4999" s="3" t="s">
        <v>5025</v>
      </c>
      <c r="G4999" s="3" t="s">
        <v>5035</v>
      </c>
      <c r="H4999" s="3" t="s">
        <v>5483</v>
      </c>
      <c r="I4999" s="17">
        <v>45878</v>
      </c>
      <c r="J4999" s="18">
        <f>YEAR(Tabla1[[#This Row],[FECHA DE COMPRA]])</f>
        <v>2025</v>
      </c>
      <c r="K4999" s="19">
        <v>187.9</v>
      </c>
      <c r="L4999" s="20">
        <v>0.2</v>
      </c>
      <c r="M4999" s="19">
        <f>Tienda!$K4999-Tienda!$K4999*Tienda!$L4999</f>
        <v>150.32</v>
      </c>
      <c r="N4999" s="3" t="s">
        <v>10038</v>
      </c>
      <c r="O4999" s="3" t="s">
        <v>10042</v>
      </c>
      <c r="P4999" s="17">
        <v>46238</v>
      </c>
      <c r="Q4999" s="4">
        <v>12</v>
      </c>
    </row>
    <row r="5000" spans="1:17" ht="30" x14ac:dyDescent="0.25">
      <c r="A5000" s="2" t="s">
        <v>46</v>
      </c>
      <c r="B5000" s="3" t="s">
        <v>5015</v>
      </c>
      <c r="C5000" s="3">
        <v>45</v>
      </c>
      <c r="D5000" s="46" t="str">
        <f>IF(Tabla1[[#This Row],[EDAD]]&lt;=35,"Adultos jóvenes 18 - 35 años",IF(C5000&gt;=36,"Adultos mayores 36 años en adelante"))</f>
        <v>Adultos mayores 36 años en adelante</v>
      </c>
      <c r="E5000" s="3" t="s">
        <v>5021</v>
      </c>
      <c r="F5000" s="3" t="s">
        <v>5024</v>
      </c>
      <c r="G5000" s="3" t="s">
        <v>5031</v>
      </c>
      <c r="H5000" s="3" t="s">
        <v>5069</v>
      </c>
      <c r="I5000" s="17">
        <v>45879</v>
      </c>
      <c r="J5000" s="18">
        <f>YEAR(Tabla1[[#This Row],[FECHA DE COMPRA]])</f>
        <v>2025</v>
      </c>
      <c r="K5000" s="19">
        <v>188.21</v>
      </c>
      <c r="L5000" s="20">
        <v>0</v>
      </c>
      <c r="M5000" s="19">
        <f>Tienda!$K5000-Tienda!$K5000*Tienda!$L5000</f>
        <v>188.21</v>
      </c>
      <c r="N5000" s="3" t="s">
        <v>10038</v>
      </c>
      <c r="O5000" s="3" t="s">
        <v>10042</v>
      </c>
      <c r="P5000" s="17">
        <v>46059</v>
      </c>
      <c r="Q5000" s="4">
        <v>6</v>
      </c>
    </row>
    <row r="5001" spans="1:17" ht="30" x14ac:dyDescent="0.25">
      <c r="A5001" s="2" t="s">
        <v>3107</v>
      </c>
      <c r="B5001" s="3" t="s">
        <v>5015</v>
      </c>
      <c r="C5001" s="3">
        <v>65</v>
      </c>
      <c r="D5001" s="46" t="str">
        <f>IF(Tabla1[[#This Row],[EDAD]]&lt;=35,"Adultos jóvenes 18 - 35 años",IF(C5001&gt;=36,"Adultos mayores 36 años en adelante"))</f>
        <v>Adultos mayores 36 años en adelante</v>
      </c>
      <c r="E5001" s="3" t="s">
        <v>5020</v>
      </c>
      <c r="F5001" s="3" t="s">
        <v>5024</v>
      </c>
      <c r="G5001" s="3" t="s">
        <v>5031</v>
      </c>
      <c r="H5001" s="3" t="s">
        <v>8130</v>
      </c>
      <c r="I5001" s="17">
        <v>45873</v>
      </c>
      <c r="J5001" s="18">
        <f>YEAR(Tabla1[[#This Row],[FECHA DE COMPRA]])</f>
        <v>2025</v>
      </c>
      <c r="K5001" s="19">
        <v>199.48</v>
      </c>
      <c r="L5001" s="20">
        <v>0.3</v>
      </c>
      <c r="M5001" s="19">
        <f>Tienda!$K5001-Tienda!$K5001*Tienda!$L5001</f>
        <v>139.636</v>
      </c>
      <c r="N5001" s="3" t="s">
        <v>10038</v>
      </c>
      <c r="O5001" s="3" t="s">
        <v>10042</v>
      </c>
      <c r="P5001" s="17">
        <v>46143</v>
      </c>
      <c r="Q5001" s="4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AA62-E0B9-435E-A670-1D0B436B2A01}">
  <sheetPr>
    <tabColor theme="7" tint="-0.499984740745262"/>
  </sheetPr>
  <dimension ref="A1:C14"/>
  <sheetViews>
    <sheetView workbookViewId="0">
      <selection activeCell="C15" sqref="C15"/>
    </sheetView>
  </sheetViews>
  <sheetFormatPr baseColWidth="10" defaultRowHeight="29.45" customHeight="1" x14ac:dyDescent="0.25"/>
  <cols>
    <col min="1" max="1" width="19.42578125" customWidth="1"/>
  </cols>
  <sheetData>
    <row r="1" spans="1:3" ht="29.45" customHeight="1" x14ac:dyDescent="0.25">
      <c r="A1" s="23" t="s">
        <v>10048</v>
      </c>
    </row>
    <row r="2" spans="1:3" s="6" customFormat="1" ht="29.45" customHeight="1" x14ac:dyDescent="0.25">
      <c r="A2" s="5" t="s">
        <v>10044</v>
      </c>
      <c r="B2" s="24">
        <v>2024</v>
      </c>
      <c r="C2" s="24">
        <v>2025</v>
      </c>
    </row>
    <row r="3" spans="1:3" s="6" customFormat="1" ht="29.45" customHeight="1" x14ac:dyDescent="0.25">
      <c r="A3" s="7" t="s">
        <v>5016</v>
      </c>
      <c r="B3" s="25">
        <f>COUNTIFS(Tabla1[AÑO DE COMPRA],'Resumen Género'!B2,Tabla1[GENERO],'Resumen Género'!A3)</f>
        <v>859</v>
      </c>
      <c r="C3" s="25">
        <f>COUNTIFS(Tabla1[AÑO DE COMPRA],'Resumen Género'!C2,Tabla1[GENERO],'Resumen Género'!A3)</f>
        <v>511</v>
      </c>
    </row>
    <row r="4" spans="1:3" s="6" customFormat="1" ht="29.45" customHeight="1" x14ac:dyDescent="0.25">
      <c r="A4" s="8" t="s">
        <v>5015</v>
      </c>
      <c r="B4" s="26">
        <f>COUNTIFS(Tabla1[AÑO DE COMPRA],'Resumen Género'!B2,Tabla1[GENERO],'Resumen Género'!A4)</f>
        <v>2243</v>
      </c>
      <c r="C4" s="26">
        <f>COUNTIFS(Tabla1[AÑO DE COMPRA],'Resumen Género'!C2,Tabla1[GENERO],'Resumen Género'!A4)</f>
        <v>1387</v>
      </c>
    </row>
    <row r="5" spans="1:3" ht="29.45" customHeight="1" x14ac:dyDescent="0.25">
      <c r="A5" s="23" t="s">
        <v>10050</v>
      </c>
    </row>
    <row r="6" spans="1:3" ht="29.45" customHeight="1" x14ac:dyDescent="0.25">
      <c r="A6" s="5" t="s">
        <v>10053</v>
      </c>
      <c r="B6" s="39" t="s">
        <v>10051</v>
      </c>
      <c r="C6" s="40"/>
    </row>
    <row r="7" spans="1:3" ht="29.45" customHeight="1" x14ac:dyDescent="0.25">
      <c r="A7" s="31" t="s">
        <v>10039</v>
      </c>
      <c r="B7" s="41">
        <f>AVERAGEIF(Tienda!N2:N5001,'Resumen Género'!A7,Tienda!M2:M5001)</f>
        <v>94.120793916349825</v>
      </c>
      <c r="C7" s="42"/>
    </row>
    <row r="8" spans="1:3" ht="29.45" customHeight="1" x14ac:dyDescent="0.25">
      <c r="A8" s="8" t="s">
        <v>10040</v>
      </c>
      <c r="B8" s="41">
        <f>AVERAGEIF(Tienda!N2:N5001,'Resumen Género'!A8,Tienda!M2:M5001)</f>
        <v>82.938656418554544</v>
      </c>
      <c r="C8" s="42"/>
    </row>
    <row r="9" spans="1:3" ht="29.45" customHeight="1" x14ac:dyDescent="0.25">
      <c r="A9" s="8" t="s">
        <v>10038</v>
      </c>
      <c r="B9" s="43">
        <f>AVERAGEIF(Tienda!N2:N5001,'Resumen Género'!A9,Tienda!M2:M5001)</f>
        <v>94.799385581649304</v>
      </c>
      <c r="C9" s="44"/>
    </row>
    <row r="10" spans="1:3" ht="29.45" customHeight="1" x14ac:dyDescent="0.25">
      <c r="A10" s="23" t="s">
        <v>10049</v>
      </c>
    </row>
    <row r="11" spans="1:3" ht="29.45" customHeight="1" x14ac:dyDescent="0.25">
      <c r="A11" s="5" t="s">
        <v>10045</v>
      </c>
      <c r="B11" s="36" t="s">
        <v>10046</v>
      </c>
      <c r="C11" s="37"/>
    </row>
    <row r="12" spans="1:3" ht="35.450000000000003" customHeight="1" x14ac:dyDescent="0.25">
      <c r="A12" s="21" t="s">
        <v>10047</v>
      </c>
      <c r="B12" s="38">
        <f>COUNTIF(Tienda!C2:C5001,"&lt;=35")</f>
        <v>1856</v>
      </c>
      <c r="C12" s="38"/>
    </row>
    <row r="13" spans="1:3" ht="35.450000000000003" customHeight="1" x14ac:dyDescent="0.25">
      <c r="A13" s="22" t="s">
        <v>10052</v>
      </c>
      <c r="B13" s="38">
        <f>COUNTIF(Tienda!C2:C5001,"&gt;35")</f>
        <v>3144</v>
      </c>
      <c r="C13" s="38"/>
    </row>
    <row r="14" spans="1:3" ht="35.450000000000003" customHeight="1" x14ac:dyDescent="0.25"/>
  </sheetData>
  <mergeCells count="7">
    <mergeCell ref="B11:C11"/>
    <mergeCell ref="B12:C12"/>
    <mergeCell ref="B13:C13"/>
    <mergeCell ref="B6:C6"/>
    <mergeCell ref="B7:C7"/>
    <mergeCell ref="B8:C8"/>
    <mergeCell ref="B9:C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Tienda</vt:lpstr>
      <vt:lpstr>Resumen Género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limones</dc:creator>
  <cp:lastModifiedBy>Priscila</cp:lastModifiedBy>
  <dcterms:created xsi:type="dcterms:W3CDTF">2025-08-17T13:37:31Z</dcterms:created>
  <dcterms:modified xsi:type="dcterms:W3CDTF">2025-08-22T04:15:11Z</dcterms:modified>
</cp:coreProperties>
</file>